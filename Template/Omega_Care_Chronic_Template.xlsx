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Line'!$A$1:$AR$4001</definedName>
    <definedName name="_xlnm._FilterDatabase" localSheetId="3" hidden="1">'Per Invoice'!$A$1:$AB$1501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808080"/>
    </font>
    <font>
      <color rgb="FF0000FF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OMEGA CARE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A-P, R-AA, AF-AM (same order as the system export).</t>
        </is>
      </c>
    </row>
    <row r="6">
      <c r="A6" s="3" t="inlineStr">
        <is>
          <t>3. Green columns (Q, AB, AC, AD, AE) and the grey helper columns (AN-AR)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the invoice number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October 2026 sheet)</t>
        </is>
      </c>
    </row>
    <row r="15">
      <c r="A15" s="3" t="inlineStr">
        <is>
          <t>Co val = Order Co Payment x 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(14%) if Local is TRUE, otherwise Imported rate (6%). Lines with 'Special Rebates?' = Yes get 0%.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4,000 lines and 1,500 invoices per month. A line with an empty Order # is ignored.</t>
        </is>
      </c>
    </row>
    <row r="21">
      <c r="A21" s="3" t="inlineStr">
        <is>
          <t>Max Limit rule (as in the old sheet): if an invoice's Grand Total is above its Max Limit, Co val = Co Payment x Max Limit / 100 + (Grand Total - Max Limit). Per Line keeps the plain Co val, so 'Settings' shows the difference as 'Max Limit adjustment'.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OMEGA CARE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National Bank of Egypt Employees Families; المجلس الاعلى لتنظيم الاعلام; EMAAS - Omega; اللجنة النقابية المهنية لتجارة المحمول; Universal October Bulk-Omega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0.14</v>
      </c>
      <c r="D6" t="inlineStr">
        <is>
          <t>Source: Oct sheet (Rebates = 14 on Local lines).</t>
        </is>
      </c>
    </row>
    <row r="7">
      <c r="B7" t="inlineStr">
        <is>
          <t>Imported (IMP) products rebate %</t>
        </is>
      </c>
      <c r="C7" s="5" t="n">
        <v>0.06</v>
      </c>
      <c r="D7" t="inlineStr">
        <is>
          <t>Source: Oct sheet (Rebates = 6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Line'!$E$2:$E$4001)</f>
        <v/>
      </c>
    </row>
    <row r="11">
      <c r="B11" t="inlineStr">
        <is>
          <t>Invoices (unique Order #)</t>
        </is>
      </c>
      <c r="C11">
        <f>MAX('Per Line'!$AO$2:$AO$4001)</f>
        <v/>
      </c>
    </row>
    <row r="12">
      <c r="B12" t="inlineStr">
        <is>
          <t>Invoices shown in Per Invoice</t>
        </is>
      </c>
      <c r="C12">
        <f>SUMPRODUCT(--('Per Invoice'!$B$2:$B$1501&lt;&gt;""))</f>
        <v/>
      </c>
    </row>
    <row r="13">
      <c r="B13" t="inlineStr">
        <is>
          <t>Grand Total - Per Line (Product Total)</t>
        </is>
      </c>
      <c r="C13" s="7">
        <f>SUM('Per Line'!$Y$2:$Y$4001)</f>
        <v/>
      </c>
    </row>
    <row r="14">
      <c r="B14" t="inlineStr">
        <is>
          <t>Grand Total - Per Invoice</t>
        </is>
      </c>
      <c r="C14" s="7">
        <f>SUM('Per Invoice'!$Y$2:$Y$1501)</f>
        <v/>
      </c>
    </row>
    <row r="15">
      <c r="B15" t="inlineStr">
        <is>
          <t>Discount - Per Line</t>
        </is>
      </c>
      <c r="C15" s="7">
        <f>SUM('Per Line'!$AC$2:$AC$4001)</f>
        <v/>
      </c>
    </row>
    <row r="16">
      <c r="B16" t="inlineStr">
        <is>
          <t>Discount - Per Invoice</t>
        </is>
      </c>
      <c r="C16" s="7">
        <f>SUM('Per Invoice'!$W$2:$W$1501)</f>
        <v/>
      </c>
    </row>
    <row r="17">
      <c r="B17" t="inlineStr">
        <is>
          <t>Co val - Per Line</t>
        </is>
      </c>
      <c r="C17" s="7">
        <f>SUM('Per Line'!$Q$2:$Q$4001)</f>
        <v/>
      </c>
    </row>
    <row r="18">
      <c r="B18" t="inlineStr">
        <is>
          <t>Co val - Per Invoice</t>
        </is>
      </c>
      <c r="C18" s="7">
        <f>SUM('Per Invoice'!$L$2:$L$1501)</f>
        <v/>
      </c>
    </row>
    <row r="19">
      <c r="B19" t="inlineStr">
        <is>
          <t>Net - Per Line</t>
        </is>
      </c>
      <c r="C19" s="7">
        <f>SUM('Per Line'!$AE$2:$AE$4001)</f>
        <v/>
      </c>
    </row>
    <row r="20">
      <c r="B20" t="inlineStr">
        <is>
          <t>Net - Per Invoice</t>
        </is>
      </c>
      <c r="C20" s="7">
        <f>SUM('Per Invoice'!$Z$2:$Z$1501)</f>
        <v/>
      </c>
    </row>
    <row r="21">
      <c r="B21" t="inlineStr">
        <is>
          <t>Max Limit adjustment (Co val, Per Invoice only)</t>
        </is>
      </c>
      <c r="C21" s="7">
        <f>SUM('Per Invoice'!$AB$2:$AB$1501)</f>
        <v/>
      </c>
      <c r="D21" t="inlineStr">
        <is>
          <t>Invoices whose Grand Total is above the Max Limit: Co val = Co% x Max Limit / 100 + (Grand Total - Max Limit). This difference exists only in Per Invoice, as in the old sheet.</t>
        </is>
      </c>
    </row>
    <row r="23">
      <c r="B23" s="6" t="inlineStr">
        <is>
          <t>STATUS</t>
        </is>
      </c>
      <c r="C23" s="6">
        <f>IF(C10=0,"No data loaded",IF(COUNTA('Per Line'!$E:$E)-1&gt;4000,"TOO MANY LINES - extend template",IF(C11&gt;1500,"TOO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0" customWidth="1" min="5" max="5"/>
    <col width="14" customWidth="1" min="6" max="6"/>
    <col width="17" customWidth="1" min="7" max="7"/>
    <col width="18" customWidth="1" min="8" max="8"/>
    <col width="12" customWidth="1" min="9" max="9"/>
    <col width="24" customWidth="1" min="10" max="10"/>
    <col width="12" customWidth="1" min="11" max="11"/>
    <col width="26" customWidth="1" min="12" max="12"/>
    <col width="14" customWidth="1" min="13" max="13"/>
    <col width="12" customWidth="1" min="14" max="14"/>
    <col width="12" customWidth="1" min="15" max="15"/>
    <col width="12" customWidth="1" min="16" max="16"/>
    <col width="11" customWidth="1" min="17" max="17"/>
    <col width="12" customWidth="1" min="18" max="18"/>
    <col width="12" customWidth="1" min="19" max="19"/>
    <col width="44" customWidth="1" min="20" max="20"/>
    <col width="12" customWidth="1" min="21" max="21"/>
    <col width="20" customWidth="1" min="22" max="22"/>
    <col width="12" customWidth="1" min="23" max="23"/>
    <col width="12" customWidth="1" min="24" max="24"/>
    <col width="12" customWidth="1" min="25" max="25"/>
    <col width="36" customWidth="1" min="26" max="26"/>
    <col width="12" customWidth="1" min="27" max="27"/>
    <col width="11" customWidth="1" min="28" max="28"/>
    <col width="11" customWidth="1" min="29" max="29"/>
    <col width="11" customWidth="1" min="30" max="30"/>
    <col width="11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7" customWidth="1" min="38" max="38"/>
    <col width="12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32" customHeight="1">
      <c r="A1" s="8" t="inlineStr">
        <is>
          <t>Cycle</t>
        </is>
      </c>
      <c r="B1" s="8" t="inlineStr">
        <is>
          <t>Ticket #</t>
        </is>
      </c>
      <c r="C1" s="8" t="inlineStr">
        <is>
          <t>Stage</t>
        </is>
      </c>
      <c r="D1" s="8" t="inlineStr">
        <is>
          <t>Approval Ref</t>
        </is>
      </c>
      <c r="E1" s="8" t="inlineStr">
        <is>
          <t>Order #</t>
        </is>
      </c>
      <c r="F1" s="8" t="inlineStr">
        <is>
          <t>Channel</t>
        </is>
      </c>
      <c r="G1" s="8" t="inlineStr">
        <is>
          <t>Create At</t>
        </is>
      </c>
      <c r="H1" s="8" t="inlineStr">
        <is>
          <t>Insurance Company</t>
        </is>
      </c>
      <c r="I1" s="8" t="inlineStr">
        <is>
          <t>Country Portal ID</t>
        </is>
      </c>
      <c r="J1" s="8" t="inlineStr">
        <is>
          <t>Corporate</t>
        </is>
      </c>
      <c r="K1" s="8" t="inlineStr">
        <is>
          <t>Card</t>
        </is>
      </c>
      <c r="L1" s="8" t="inlineStr">
        <is>
          <t>Name</t>
        </is>
      </c>
      <c r="M1" s="8" t="inlineStr">
        <is>
          <t>Status</t>
        </is>
      </c>
      <c r="N1" s="8" t="inlineStr">
        <is>
          <t>Local Rebates</t>
        </is>
      </c>
      <c r="O1" s="8" t="inlineStr">
        <is>
          <t>Imported Rebates</t>
        </is>
      </c>
      <c r="P1" s="8" t="inlineStr">
        <is>
          <t>Order Co Payment</t>
        </is>
      </c>
      <c r="Q1" s="9" t="inlineStr">
        <is>
          <t>Co val</t>
        </is>
      </c>
      <c r="R1" s="8" t="inlineStr">
        <is>
          <t>By Patient</t>
        </is>
      </c>
      <c r="S1" s="8" t="inlineStr">
        <is>
          <t>heisenberg id</t>
        </is>
      </c>
      <c r="T1" s="8" t="inlineStr">
        <is>
          <t>Product Name</t>
        </is>
      </c>
      <c r="U1" s="8" t="inlineStr">
        <is>
          <t>Local</t>
        </is>
      </c>
      <c r="V1" s="8" t="inlineStr">
        <is>
          <t>Unit</t>
        </is>
      </c>
      <c r="W1" s="8" t="inlineStr">
        <is>
          <t>Quantity</t>
        </is>
      </c>
      <c r="X1" s="8" t="inlineStr">
        <is>
          <t>Unit Price</t>
        </is>
      </c>
      <c r="Y1" s="8" t="inlineStr">
        <is>
          <t>Product Total</t>
        </is>
      </c>
      <c r="Z1" s="8" t="inlineStr">
        <is>
          <t>ERX ID</t>
        </is>
      </c>
      <c r="AA1" s="8" t="inlineStr">
        <is>
          <t>Special Rebates?</t>
        </is>
      </c>
      <c r="AB1" s="9" t="inlineStr">
        <is>
          <t>Rebates</t>
        </is>
      </c>
      <c r="AC1" s="9" t="inlineStr">
        <is>
          <t>Discount</t>
        </is>
      </c>
      <c r="AD1" s="9" t="inlineStr">
        <is>
          <t>Subtotal</t>
        </is>
      </c>
      <c r="AE1" s="9" t="inlineStr">
        <is>
          <t>Net</t>
        </is>
      </c>
      <c r="AF1" s="8" t="inlineStr">
        <is>
          <t>Approval Type</t>
        </is>
      </c>
      <c r="AG1" s="8" t="inlineStr">
        <is>
          <t>Max Limit</t>
        </is>
      </c>
      <c r="AH1" s="8" t="inlineStr">
        <is>
          <t>Exceeding Limit</t>
        </is>
      </c>
      <c r="AI1" s="8" t="inlineStr">
        <is>
          <t>Amount collected from customer</t>
        </is>
      </c>
      <c r="AJ1" s="8" t="inlineStr">
        <is>
          <t>By Patient (Delivered)</t>
        </is>
      </c>
      <c r="AK1" s="8" t="inlineStr">
        <is>
          <t>Dispense Number</t>
        </is>
      </c>
      <c r="AL1" s="8" t="inlineStr">
        <is>
          <t>Dispense Date</t>
        </is>
      </c>
      <c r="AM1" s="8" t="inlineStr">
        <is>
          <t>Has OTP?</t>
        </is>
      </c>
      <c r="AN1" s="10" t="inlineStr">
        <is>
          <t>Order 1st Row (helper)</t>
        </is>
      </c>
      <c r="AO1" s="10" t="inlineStr">
        <is>
          <t>Invoice # (helper)</t>
        </is>
      </c>
      <c r="AP1" s="10" t="inlineStr">
        <is>
          <t>Is Local (helper)</t>
        </is>
      </c>
      <c r="AQ1" s="10" t="inlineStr">
        <is>
          <t>Is Special (helper)</t>
        </is>
      </c>
      <c r="AR1" s="10" t="inlineStr">
        <is>
          <t>Sort Key (helper)</t>
        </is>
      </c>
    </row>
    <row r="2">
      <c r="G2" s="11" t="n"/>
      <c r="Q2" s="7">
        <f>IF($E2="","",P2*Y2/100)</f>
        <v/>
      </c>
      <c r="R2" s="7" t="n"/>
      <c r="X2" s="7" t="n"/>
      <c r="Y2" s="7" t="n"/>
      <c r="AB2">
        <f>IF($E2="","",IF($AQ2=1,0,IF($AP2=1,Settings!$C$6,Settings!$C$7))*100)</f>
        <v/>
      </c>
      <c r="AC2" s="7">
        <f>IF($E2="","",Y2*AB2/100)</f>
        <v/>
      </c>
      <c r="AD2" s="7">
        <f>IF($E2="","",Y2-AC2)</f>
        <v/>
      </c>
      <c r="AE2" s="7">
        <f>IF($E2="","",AD2-Q2)</f>
        <v/>
      </c>
      <c r="AI2" s="7" t="n"/>
      <c r="AL2" s="11" t="n"/>
      <c r="AN2">
        <f>IF($E2="","",IF(COUNTIF($E$2:$E2,$E2)=1,1,0))</f>
        <v/>
      </c>
      <c r="AO2">
        <f>IF($AN2=1,SUMPRODUCT(--($AR$2:$AR$4001&lt;$AR2))+1,"")</f>
        <v/>
      </c>
      <c r="AP2">
        <f>IF($E2="","",IF(OR($U2=TRUE(),$U2="TRUE"),1,0))</f>
        <v/>
      </c>
      <c r="AQ2">
        <f>IF($E2="","",IF($AA2="Yes",1,0))</f>
        <v/>
      </c>
      <c r="AR2">
        <f>IF($AN2=1,IFERROR(VALUE(MID($E2,2,20)),1000000000)+ROW()/100000,"")</f>
        <v/>
      </c>
    </row>
    <row r="3">
      <c r="G3" s="11" t="n"/>
      <c r="Q3" s="7">
        <f>IF($E3="","",P3*Y3/100)</f>
        <v/>
      </c>
      <c r="R3" s="7" t="n"/>
      <c r="X3" s="7" t="n"/>
      <c r="Y3" s="7" t="n"/>
      <c r="AB3">
        <f>IF($E3="","",IF($AQ3=1,0,IF($AP3=1,Settings!$C$6,Settings!$C$7))*100)</f>
        <v/>
      </c>
      <c r="AC3" s="7">
        <f>IF($E3="","",Y3*AB3/100)</f>
        <v/>
      </c>
      <c r="AD3" s="7">
        <f>IF($E3="","",Y3-AC3)</f>
        <v/>
      </c>
      <c r="AE3" s="7">
        <f>IF($E3="","",AD3-Q3)</f>
        <v/>
      </c>
      <c r="AI3" s="7" t="n"/>
      <c r="AL3" s="11" t="n"/>
      <c r="AN3">
        <f>IF($E3="","",IF(COUNTIF($E$2:$E3,$E3)=1,1,0))</f>
        <v/>
      </c>
      <c r="AO3">
        <f>IF($AN3=1,SUMPRODUCT(--($AR$2:$AR$4001&lt;$AR3))+1,"")</f>
        <v/>
      </c>
      <c r="AP3">
        <f>IF($E3="","",IF(OR($U3=TRUE(),$U3="TRUE"),1,0))</f>
        <v/>
      </c>
      <c r="AQ3">
        <f>IF($E3="","",IF($AA3="Yes",1,0))</f>
        <v/>
      </c>
      <c r="AR3">
        <f>IF($AN3=1,IFERROR(VALUE(MID($E3,2,20)),1000000000)+ROW()/100000,"")</f>
        <v/>
      </c>
    </row>
    <row r="4">
      <c r="G4" s="11" t="n"/>
      <c r="Q4" s="7">
        <f>IF($E4="","",P4*Y4/100)</f>
        <v/>
      </c>
      <c r="R4" s="7" t="n"/>
      <c r="X4" s="7" t="n"/>
      <c r="Y4" s="7" t="n"/>
      <c r="AB4">
        <f>IF($E4="","",IF($AQ4=1,0,IF($AP4=1,Settings!$C$6,Settings!$C$7))*100)</f>
        <v/>
      </c>
      <c r="AC4" s="7">
        <f>IF($E4="","",Y4*AB4/100)</f>
        <v/>
      </c>
      <c r="AD4" s="7">
        <f>IF($E4="","",Y4-AC4)</f>
        <v/>
      </c>
      <c r="AE4" s="7">
        <f>IF($E4="","",AD4-Q4)</f>
        <v/>
      </c>
      <c r="AI4" s="7" t="n"/>
      <c r="AL4" s="11" t="n"/>
      <c r="AN4">
        <f>IF($E4="","",IF(COUNTIF($E$2:$E4,$E4)=1,1,0))</f>
        <v/>
      </c>
      <c r="AO4">
        <f>IF($AN4=1,SUMPRODUCT(--($AR$2:$AR$4001&lt;$AR4))+1,"")</f>
        <v/>
      </c>
      <c r="AP4">
        <f>IF($E4="","",IF(OR($U4=TRUE(),$U4="TRUE"),1,0))</f>
        <v/>
      </c>
      <c r="AQ4">
        <f>IF($E4="","",IF($AA4="Yes",1,0))</f>
        <v/>
      </c>
      <c r="AR4">
        <f>IF($AN4=1,IFERROR(VALUE(MID($E4,2,20)),1000000000)+ROW()/100000,"")</f>
        <v/>
      </c>
    </row>
    <row r="5">
      <c r="G5" s="11" t="n"/>
      <c r="Q5" s="7">
        <f>IF($E5="","",P5*Y5/100)</f>
        <v/>
      </c>
      <c r="R5" s="7" t="n"/>
      <c r="X5" s="7" t="n"/>
      <c r="Y5" s="7" t="n"/>
      <c r="AB5">
        <f>IF($E5="","",IF($AQ5=1,0,IF($AP5=1,Settings!$C$6,Settings!$C$7))*100)</f>
        <v/>
      </c>
      <c r="AC5" s="7">
        <f>IF($E5="","",Y5*AB5/100)</f>
        <v/>
      </c>
      <c r="AD5" s="7">
        <f>IF($E5="","",Y5-AC5)</f>
        <v/>
      </c>
      <c r="AE5" s="7">
        <f>IF($E5="","",AD5-Q5)</f>
        <v/>
      </c>
      <c r="AI5" s="7" t="n"/>
      <c r="AL5" s="11" t="n"/>
      <c r="AN5">
        <f>IF($E5="","",IF(COUNTIF($E$2:$E5,$E5)=1,1,0))</f>
        <v/>
      </c>
      <c r="AO5">
        <f>IF($AN5=1,SUMPRODUCT(--($AR$2:$AR$4001&lt;$AR5))+1,"")</f>
        <v/>
      </c>
      <c r="AP5">
        <f>IF($E5="","",IF(OR($U5=TRUE(),$U5="TRUE"),1,0))</f>
        <v/>
      </c>
      <c r="AQ5">
        <f>IF($E5="","",IF($AA5="Yes",1,0))</f>
        <v/>
      </c>
      <c r="AR5">
        <f>IF($AN5=1,IFERROR(VALUE(MID($E5,2,20)),1000000000)+ROW()/100000,"")</f>
        <v/>
      </c>
    </row>
    <row r="6">
      <c r="G6" s="11" t="n"/>
      <c r="Q6" s="7">
        <f>IF($E6="","",P6*Y6/100)</f>
        <v/>
      </c>
      <c r="R6" s="7" t="n"/>
      <c r="X6" s="7" t="n"/>
      <c r="Y6" s="7" t="n"/>
      <c r="AB6">
        <f>IF($E6="","",IF($AQ6=1,0,IF($AP6=1,Settings!$C$6,Settings!$C$7))*100)</f>
        <v/>
      </c>
      <c r="AC6" s="7">
        <f>IF($E6="","",Y6*AB6/100)</f>
        <v/>
      </c>
      <c r="AD6" s="7">
        <f>IF($E6="","",Y6-AC6)</f>
        <v/>
      </c>
      <c r="AE6" s="7">
        <f>IF($E6="","",AD6-Q6)</f>
        <v/>
      </c>
      <c r="AI6" s="7" t="n"/>
      <c r="AL6" s="11" t="n"/>
      <c r="AN6">
        <f>IF($E6="","",IF(COUNTIF($E$2:$E6,$E6)=1,1,0))</f>
        <v/>
      </c>
      <c r="AO6">
        <f>IF($AN6=1,SUMPRODUCT(--($AR$2:$AR$4001&lt;$AR6))+1,"")</f>
        <v/>
      </c>
      <c r="AP6">
        <f>IF($E6="","",IF(OR($U6=TRUE(),$U6="TRUE"),1,0))</f>
        <v/>
      </c>
      <c r="AQ6">
        <f>IF($E6="","",IF($AA6="Yes",1,0))</f>
        <v/>
      </c>
      <c r="AR6">
        <f>IF($AN6=1,IFERROR(VALUE(MID($E6,2,20)),1000000000)+ROW()/100000,"")</f>
        <v/>
      </c>
    </row>
    <row r="7">
      <c r="G7" s="11" t="n"/>
      <c r="Q7" s="7">
        <f>IF($E7="","",P7*Y7/100)</f>
        <v/>
      </c>
      <c r="R7" s="7" t="n"/>
      <c r="X7" s="7" t="n"/>
      <c r="Y7" s="7" t="n"/>
      <c r="AB7">
        <f>IF($E7="","",IF($AQ7=1,0,IF($AP7=1,Settings!$C$6,Settings!$C$7))*100)</f>
        <v/>
      </c>
      <c r="AC7" s="7">
        <f>IF($E7="","",Y7*AB7/100)</f>
        <v/>
      </c>
      <c r="AD7" s="7">
        <f>IF($E7="","",Y7-AC7)</f>
        <v/>
      </c>
      <c r="AE7" s="7">
        <f>IF($E7="","",AD7-Q7)</f>
        <v/>
      </c>
      <c r="AI7" s="7" t="n"/>
      <c r="AL7" s="11" t="n"/>
      <c r="AN7">
        <f>IF($E7="","",IF(COUNTIF($E$2:$E7,$E7)=1,1,0))</f>
        <v/>
      </c>
      <c r="AO7">
        <f>IF($AN7=1,SUMPRODUCT(--($AR$2:$AR$4001&lt;$AR7))+1,"")</f>
        <v/>
      </c>
      <c r="AP7">
        <f>IF($E7="","",IF(OR($U7=TRUE(),$U7="TRUE"),1,0))</f>
        <v/>
      </c>
      <c r="AQ7">
        <f>IF($E7="","",IF($AA7="Yes",1,0))</f>
        <v/>
      </c>
      <c r="AR7">
        <f>IF($AN7=1,IFERROR(VALUE(MID($E7,2,20)),1000000000)+ROW()/100000,"")</f>
        <v/>
      </c>
    </row>
    <row r="8">
      <c r="G8" s="11" t="n"/>
      <c r="Q8" s="7">
        <f>IF($E8="","",P8*Y8/100)</f>
        <v/>
      </c>
      <c r="R8" s="7" t="n"/>
      <c r="X8" s="7" t="n"/>
      <c r="Y8" s="7" t="n"/>
      <c r="AB8">
        <f>IF($E8="","",IF($AQ8=1,0,IF($AP8=1,Settings!$C$6,Settings!$C$7))*100)</f>
        <v/>
      </c>
      <c r="AC8" s="7">
        <f>IF($E8="","",Y8*AB8/100)</f>
        <v/>
      </c>
      <c r="AD8" s="7">
        <f>IF($E8="","",Y8-AC8)</f>
        <v/>
      </c>
      <c r="AE8" s="7">
        <f>IF($E8="","",AD8-Q8)</f>
        <v/>
      </c>
      <c r="AI8" s="7" t="n"/>
      <c r="AL8" s="11" t="n"/>
      <c r="AN8">
        <f>IF($E8="","",IF(COUNTIF($E$2:$E8,$E8)=1,1,0))</f>
        <v/>
      </c>
      <c r="AO8">
        <f>IF($AN8=1,SUMPRODUCT(--($AR$2:$AR$4001&lt;$AR8))+1,"")</f>
        <v/>
      </c>
      <c r="AP8">
        <f>IF($E8="","",IF(OR($U8=TRUE(),$U8="TRUE"),1,0))</f>
        <v/>
      </c>
      <c r="AQ8">
        <f>IF($E8="","",IF($AA8="Yes",1,0))</f>
        <v/>
      </c>
      <c r="AR8">
        <f>IF($AN8=1,IFERROR(VALUE(MID($E8,2,20)),1000000000)+ROW()/100000,"")</f>
        <v/>
      </c>
    </row>
    <row r="9">
      <c r="G9" s="11" t="n"/>
      <c r="Q9" s="7">
        <f>IF($E9="","",P9*Y9/100)</f>
        <v/>
      </c>
      <c r="R9" s="7" t="n"/>
      <c r="X9" s="7" t="n"/>
      <c r="Y9" s="7" t="n"/>
      <c r="AB9">
        <f>IF($E9="","",IF($AQ9=1,0,IF($AP9=1,Settings!$C$6,Settings!$C$7))*100)</f>
        <v/>
      </c>
      <c r="AC9" s="7">
        <f>IF($E9="","",Y9*AB9/100)</f>
        <v/>
      </c>
      <c r="AD9" s="7">
        <f>IF($E9="","",Y9-AC9)</f>
        <v/>
      </c>
      <c r="AE9" s="7">
        <f>IF($E9="","",AD9-Q9)</f>
        <v/>
      </c>
      <c r="AI9" s="7" t="n"/>
      <c r="AL9" s="11" t="n"/>
      <c r="AN9">
        <f>IF($E9="","",IF(COUNTIF($E$2:$E9,$E9)=1,1,0))</f>
        <v/>
      </c>
      <c r="AO9">
        <f>IF($AN9=1,SUMPRODUCT(--($AR$2:$AR$4001&lt;$AR9))+1,"")</f>
        <v/>
      </c>
      <c r="AP9">
        <f>IF($E9="","",IF(OR($U9=TRUE(),$U9="TRUE"),1,0))</f>
        <v/>
      </c>
      <c r="AQ9">
        <f>IF($E9="","",IF($AA9="Yes",1,0))</f>
        <v/>
      </c>
      <c r="AR9">
        <f>IF($AN9=1,IFERROR(VALUE(MID($E9,2,20)),1000000000)+ROW()/100000,"")</f>
        <v/>
      </c>
    </row>
    <row r="10">
      <c r="G10" s="11" t="n"/>
      <c r="Q10" s="7">
        <f>IF($E10="","",P10*Y10/100)</f>
        <v/>
      </c>
      <c r="R10" s="7" t="n"/>
      <c r="X10" s="7" t="n"/>
      <c r="Y10" s="7" t="n"/>
      <c r="AB10">
        <f>IF($E10="","",IF($AQ10=1,0,IF($AP10=1,Settings!$C$6,Settings!$C$7))*100)</f>
        <v/>
      </c>
      <c r="AC10" s="7">
        <f>IF($E10="","",Y10*AB10/100)</f>
        <v/>
      </c>
      <c r="AD10" s="7">
        <f>IF($E10="","",Y10-AC10)</f>
        <v/>
      </c>
      <c r="AE10" s="7">
        <f>IF($E10="","",AD10-Q10)</f>
        <v/>
      </c>
      <c r="AI10" s="7" t="n"/>
      <c r="AL10" s="11" t="n"/>
      <c r="AN10">
        <f>IF($E10="","",IF(COUNTIF($E$2:$E10,$E10)=1,1,0))</f>
        <v/>
      </c>
      <c r="AO10">
        <f>IF($AN10=1,SUMPRODUCT(--($AR$2:$AR$4001&lt;$AR10))+1,"")</f>
        <v/>
      </c>
      <c r="AP10">
        <f>IF($E10="","",IF(OR($U10=TRUE(),$U10="TRUE"),1,0))</f>
        <v/>
      </c>
      <c r="AQ10">
        <f>IF($E10="","",IF($AA10="Yes",1,0))</f>
        <v/>
      </c>
      <c r="AR10">
        <f>IF($AN10=1,IFERROR(VALUE(MID($E10,2,20)),1000000000)+ROW()/100000,"")</f>
        <v/>
      </c>
    </row>
    <row r="11">
      <c r="G11" s="11" t="n"/>
      <c r="Q11" s="7">
        <f>IF($E11="","",P11*Y11/100)</f>
        <v/>
      </c>
      <c r="R11" s="7" t="n"/>
      <c r="X11" s="7" t="n"/>
      <c r="Y11" s="7" t="n"/>
      <c r="AB11">
        <f>IF($E11="","",IF($AQ11=1,0,IF($AP11=1,Settings!$C$6,Settings!$C$7))*100)</f>
        <v/>
      </c>
      <c r="AC11" s="7">
        <f>IF($E11="","",Y11*AB11/100)</f>
        <v/>
      </c>
      <c r="AD11" s="7">
        <f>IF($E11="","",Y11-AC11)</f>
        <v/>
      </c>
      <c r="AE11" s="7">
        <f>IF($E11="","",AD11-Q11)</f>
        <v/>
      </c>
      <c r="AI11" s="7" t="n"/>
      <c r="AL11" s="11" t="n"/>
      <c r="AN11">
        <f>IF($E11="","",IF(COUNTIF($E$2:$E11,$E11)=1,1,0))</f>
        <v/>
      </c>
      <c r="AO11">
        <f>IF($AN11=1,SUMPRODUCT(--($AR$2:$AR$4001&lt;$AR11))+1,"")</f>
        <v/>
      </c>
      <c r="AP11">
        <f>IF($E11="","",IF(OR($U11=TRUE(),$U11="TRUE"),1,0))</f>
        <v/>
      </c>
      <c r="AQ11">
        <f>IF($E11="","",IF($AA11="Yes",1,0))</f>
        <v/>
      </c>
      <c r="AR11">
        <f>IF($AN11=1,IFERROR(VALUE(MID($E11,2,20)),1000000000)+ROW()/100000,"")</f>
        <v/>
      </c>
    </row>
    <row r="12">
      <c r="G12" s="11" t="n"/>
      <c r="Q12" s="7">
        <f>IF($E12="","",P12*Y12/100)</f>
        <v/>
      </c>
      <c r="R12" s="7" t="n"/>
      <c r="X12" s="7" t="n"/>
      <c r="Y12" s="7" t="n"/>
      <c r="AB12">
        <f>IF($E12="","",IF($AQ12=1,0,IF($AP12=1,Settings!$C$6,Settings!$C$7))*100)</f>
        <v/>
      </c>
      <c r="AC12" s="7">
        <f>IF($E12="","",Y12*AB12/100)</f>
        <v/>
      </c>
      <c r="AD12" s="7">
        <f>IF($E12="","",Y12-AC12)</f>
        <v/>
      </c>
      <c r="AE12" s="7">
        <f>IF($E12="","",AD12-Q12)</f>
        <v/>
      </c>
      <c r="AI12" s="7" t="n"/>
      <c r="AL12" s="11" t="n"/>
      <c r="AN12">
        <f>IF($E12="","",IF(COUNTIF($E$2:$E12,$E12)=1,1,0))</f>
        <v/>
      </c>
      <c r="AO12">
        <f>IF($AN12=1,SUMPRODUCT(--($AR$2:$AR$4001&lt;$AR12))+1,"")</f>
        <v/>
      </c>
      <c r="AP12">
        <f>IF($E12="","",IF(OR($U12=TRUE(),$U12="TRUE"),1,0))</f>
        <v/>
      </c>
      <c r="AQ12">
        <f>IF($E12="","",IF($AA12="Yes",1,0))</f>
        <v/>
      </c>
      <c r="AR12">
        <f>IF($AN12=1,IFERROR(VALUE(MID($E12,2,20)),1000000000)+ROW()/100000,"")</f>
        <v/>
      </c>
    </row>
    <row r="13">
      <c r="G13" s="11" t="n"/>
      <c r="Q13" s="7">
        <f>IF($E13="","",P13*Y13/100)</f>
        <v/>
      </c>
      <c r="R13" s="7" t="n"/>
      <c r="X13" s="7" t="n"/>
      <c r="Y13" s="7" t="n"/>
      <c r="AB13">
        <f>IF($E13="","",IF($AQ13=1,0,IF($AP13=1,Settings!$C$6,Settings!$C$7))*100)</f>
        <v/>
      </c>
      <c r="AC13" s="7">
        <f>IF($E13="","",Y13*AB13/100)</f>
        <v/>
      </c>
      <c r="AD13" s="7">
        <f>IF($E13="","",Y13-AC13)</f>
        <v/>
      </c>
      <c r="AE13" s="7">
        <f>IF($E13="","",AD13-Q13)</f>
        <v/>
      </c>
      <c r="AI13" s="7" t="n"/>
      <c r="AL13" s="11" t="n"/>
      <c r="AN13">
        <f>IF($E13="","",IF(COUNTIF($E$2:$E13,$E13)=1,1,0))</f>
        <v/>
      </c>
      <c r="AO13">
        <f>IF($AN13=1,SUMPRODUCT(--($AR$2:$AR$4001&lt;$AR13))+1,"")</f>
        <v/>
      </c>
      <c r="AP13">
        <f>IF($E13="","",IF(OR($U13=TRUE(),$U13="TRUE"),1,0))</f>
        <v/>
      </c>
      <c r="AQ13">
        <f>IF($E13="","",IF($AA13="Yes",1,0))</f>
        <v/>
      </c>
      <c r="AR13">
        <f>IF($AN13=1,IFERROR(VALUE(MID($E13,2,20)),1000000000)+ROW()/100000,"")</f>
        <v/>
      </c>
    </row>
    <row r="14">
      <c r="G14" s="11" t="n"/>
      <c r="Q14" s="7">
        <f>IF($E14="","",P14*Y14/100)</f>
        <v/>
      </c>
      <c r="R14" s="7" t="n"/>
      <c r="X14" s="7" t="n"/>
      <c r="Y14" s="7" t="n"/>
      <c r="AB14">
        <f>IF($E14="","",IF($AQ14=1,0,IF($AP14=1,Settings!$C$6,Settings!$C$7))*100)</f>
        <v/>
      </c>
      <c r="AC14" s="7">
        <f>IF($E14="","",Y14*AB14/100)</f>
        <v/>
      </c>
      <c r="AD14" s="7">
        <f>IF($E14="","",Y14-AC14)</f>
        <v/>
      </c>
      <c r="AE14" s="7">
        <f>IF($E14="","",AD14-Q14)</f>
        <v/>
      </c>
      <c r="AI14" s="7" t="n"/>
      <c r="AL14" s="11" t="n"/>
      <c r="AN14">
        <f>IF($E14="","",IF(COUNTIF($E$2:$E14,$E14)=1,1,0))</f>
        <v/>
      </c>
      <c r="AO14">
        <f>IF($AN14=1,SUMPRODUCT(--($AR$2:$AR$4001&lt;$AR14))+1,"")</f>
        <v/>
      </c>
      <c r="AP14">
        <f>IF($E14="","",IF(OR($U14=TRUE(),$U14="TRUE"),1,0))</f>
        <v/>
      </c>
      <c r="AQ14">
        <f>IF($E14="","",IF($AA14="Yes",1,0))</f>
        <v/>
      </c>
      <c r="AR14">
        <f>IF($AN14=1,IFERROR(VALUE(MID($E14,2,20)),1000000000)+ROW()/100000,"")</f>
        <v/>
      </c>
    </row>
    <row r="15">
      <c r="G15" s="11" t="n"/>
      <c r="Q15" s="7">
        <f>IF($E15="","",P15*Y15/100)</f>
        <v/>
      </c>
      <c r="R15" s="7" t="n"/>
      <c r="X15" s="7" t="n"/>
      <c r="Y15" s="7" t="n"/>
      <c r="AB15">
        <f>IF($E15="","",IF($AQ15=1,0,IF($AP15=1,Settings!$C$6,Settings!$C$7))*100)</f>
        <v/>
      </c>
      <c r="AC15" s="7">
        <f>IF($E15="","",Y15*AB15/100)</f>
        <v/>
      </c>
      <c r="AD15" s="7">
        <f>IF($E15="","",Y15-AC15)</f>
        <v/>
      </c>
      <c r="AE15" s="7">
        <f>IF($E15="","",AD15-Q15)</f>
        <v/>
      </c>
      <c r="AI15" s="7" t="n"/>
      <c r="AL15" s="11" t="n"/>
      <c r="AN15">
        <f>IF($E15="","",IF(COUNTIF($E$2:$E15,$E15)=1,1,0))</f>
        <v/>
      </c>
      <c r="AO15">
        <f>IF($AN15=1,SUMPRODUCT(--($AR$2:$AR$4001&lt;$AR15))+1,"")</f>
        <v/>
      </c>
      <c r="AP15">
        <f>IF($E15="","",IF(OR($U15=TRUE(),$U15="TRUE"),1,0))</f>
        <v/>
      </c>
      <c r="AQ15">
        <f>IF($E15="","",IF($AA15="Yes",1,0))</f>
        <v/>
      </c>
      <c r="AR15">
        <f>IF($AN15=1,IFERROR(VALUE(MID($E15,2,20)),1000000000)+ROW()/100000,"")</f>
        <v/>
      </c>
    </row>
    <row r="16">
      <c r="G16" s="11" t="n"/>
      <c r="Q16" s="7">
        <f>IF($E16="","",P16*Y16/100)</f>
        <v/>
      </c>
      <c r="R16" s="7" t="n"/>
      <c r="X16" s="7" t="n"/>
      <c r="Y16" s="7" t="n"/>
      <c r="AB16">
        <f>IF($E16="","",IF($AQ16=1,0,IF($AP16=1,Settings!$C$6,Settings!$C$7))*100)</f>
        <v/>
      </c>
      <c r="AC16" s="7">
        <f>IF($E16="","",Y16*AB16/100)</f>
        <v/>
      </c>
      <c r="AD16" s="7">
        <f>IF($E16="","",Y16-AC16)</f>
        <v/>
      </c>
      <c r="AE16" s="7">
        <f>IF($E16="","",AD16-Q16)</f>
        <v/>
      </c>
      <c r="AI16" s="7" t="n"/>
      <c r="AL16" s="11" t="n"/>
      <c r="AN16">
        <f>IF($E16="","",IF(COUNTIF($E$2:$E16,$E16)=1,1,0))</f>
        <v/>
      </c>
      <c r="AO16">
        <f>IF($AN16=1,SUMPRODUCT(--($AR$2:$AR$4001&lt;$AR16))+1,"")</f>
        <v/>
      </c>
      <c r="AP16">
        <f>IF($E16="","",IF(OR($U16=TRUE(),$U16="TRUE"),1,0))</f>
        <v/>
      </c>
      <c r="AQ16">
        <f>IF($E16="","",IF($AA16="Yes",1,0))</f>
        <v/>
      </c>
      <c r="AR16">
        <f>IF($AN16=1,IFERROR(VALUE(MID($E16,2,20)),1000000000)+ROW()/100000,"")</f>
        <v/>
      </c>
    </row>
    <row r="17">
      <c r="G17" s="11" t="n"/>
      <c r="Q17" s="7">
        <f>IF($E17="","",P17*Y17/100)</f>
        <v/>
      </c>
      <c r="R17" s="7" t="n"/>
      <c r="X17" s="7" t="n"/>
      <c r="Y17" s="7" t="n"/>
      <c r="AB17">
        <f>IF($E17="","",IF($AQ17=1,0,IF($AP17=1,Settings!$C$6,Settings!$C$7))*100)</f>
        <v/>
      </c>
      <c r="AC17" s="7">
        <f>IF($E17="","",Y17*AB17/100)</f>
        <v/>
      </c>
      <c r="AD17" s="7">
        <f>IF($E17="","",Y17-AC17)</f>
        <v/>
      </c>
      <c r="AE17" s="7">
        <f>IF($E17="","",AD17-Q17)</f>
        <v/>
      </c>
      <c r="AI17" s="7" t="n"/>
      <c r="AL17" s="11" t="n"/>
      <c r="AN17">
        <f>IF($E17="","",IF(COUNTIF($E$2:$E17,$E17)=1,1,0))</f>
        <v/>
      </c>
      <c r="AO17">
        <f>IF($AN17=1,SUMPRODUCT(--($AR$2:$AR$4001&lt;$AR17))+1,"")</f>
        <v/>
      </c>
      <c r="AP17">
        <f>IF($E17="","",IF(OR($U17=TRUE(),$U17="TRUE"),1,0))</f>
        <v/>
      </c>
      <c r="AQ17">
        <f>IF($E17="","",IF($AA17="Yes",1,0))</f>
        <v/>
      </c>
      <c r="AR17">
        <f>IF($AN17=1,IFERROR(VALUE(MID($E17,2,20)),1000000000)+ROW()/100000,"")</f>
        <v/>
      </c>
    </row>
    <row r="18">
      <c r="G18" s="11" t="n"/>
      <c r="Q18" s="7">
        <f>IF($E18="","",P18*Y18/100)</f>
        <v/>
      </c>
      <c r="R18" s="7" t="n"/>
      <c r="X18" s="7" t="n"/>
      <c r="Y18" s="7" t="n"/>
      <c r="AB18">
        <f>IF($E18="","",IF($AQ18=1,0,IF($AP18=1,Settings!$C$6,Settings!$C$7))*100)</f>
        <v/>
      </c>
      <c r="AC18" s="7">
        <f>IF($E18="","",Y18*AB18/100)</f>
        <v/>
      </c>
      <c r="AD18" s="7">
        <f>IF($E18="","",Y18-AC18)</f>
        <v/>
      </c>
      <c r="AE18" s="7">
        <f>IF($E18="","",AD18-Q18)</f>
        <v/>
      </c>
      <c r="AI18" s="7" t="n"/>
      <c r="AL18" s="11" t="n"/>
      <c r="AN18">
        <f>IF($E18="","",IF(COUNTIF($E$2:$E18,$E18)=1,1,0))</f>
        <v/>
      </c>
      <c r="AO18">
        <f>IF($AN18=1,SUMPRODUCT(--($AR$2:$AR$4001&lt;$AR18))+1,"")</f>
        <v/>
      </c>
      <c r="AP18">
        <f>IF($E18="","",IF(OR($U18=TRUE(),$U18="TRUE"),1,0))</f>
        <v/>
      </c>
      <c r="AQ18">
        <f>IF($E18="","",IF($AA18="Yes",1,0))</f>
        <v/>
      </c>
      <c r="AR18">
        <f>IF($AN18=1,IFERROR(VALUE(MID($E18,2,20)),1000000000)+ROW()/100000,"")</f>
        <v/>
      </c>
    </row>
    <row r="19">
      <c r="G19" s="11" t="n"/>
      <c r="Q19" s="7">
        <f>IF($E19="","",P19*Y19/100)</f>
        <v/>
      </c>
      <c r="R19" s="7" t="n"/>
      <c r="X19" s="7" t="n"/>
      <c r="Y19" s="7" t="n"/>
      <c r="AB19">
        <f>IF($E19="","",IF($AQ19=1,0,IF($AP19=1,Settings!$C$6,Settings!$C$7))*100)</f>
        <v/>
      </c>
      <c r="AC19" s="7">
        <f>IF($E19="","",Y19*AB19/100)</f>
        <v/>
      </c>
      <c r="AD19" s="7">
        <f>IF($E19="","",Y19-AC19)</f>
        <v/>
      </c>
      <c r="AE19" s="7">
        <f>IF($E19="","",AD19-Q19)</f>
        <v/>
      </c>
      <c r="AI19" s="7" t="n"/>
      <c r="AL19" s="11" t="n"/>
      <c r="AN19">
        <f>IF($E19="","",IF(COUNTIF($E$2:$E19,$E19)=1,1,0))</f>
        <v/>
      </c>
      <c r="AO19">
        <f>IF($AN19=1,SUMPRODUCT(--($AR$2:$AR$4001&lt;$AR19))+1,"")</f>
        <v/>
      </c>
      <c r="AP19">
        <f>IF($E19="","",IF(OR($U19=TRUE(),$U19="TRUE"),1,0))</f>
        <v/>
      </c>
      <c r="AQ19">
        <f>IF($E19="","",IF($AA19="Yes",1,0))</f>
        <v/>
      </c>
      <c r="AR19">
        <f>IF($AN19=1,IFERROR(VALUE(MID($E19,2,20)),1000000000)+ROW()/100000,"")</f>
        <v/>
      </c>
    </row>
    <row r="20">
      <c r="G20" s="11" t="n"/>
      <c r="Q20" s="7">
        <f>IF($E20="","",P20*Y20/100)</f>
        <v/>
      </c>
      <c r="R20" s="7" t="n"/>
      <c r="X20" s="7" t="n"/>
      <c r="Y20" s="7" t="n"/>
      <c r="AB20">
        <f>IF($E20="","",IF($AQ20=1,0,IF($AP20=1,Settings!$C$6,Settings!$C$7))*100)</f>
        <v/>
      </c>
      <c r="AC20" s="7">
        <f>IF($E20="","",Y20*AB20/100)</f>
        <v/>
      </c>
      <c r="AD20" s="7">
        <f>IF($E20="","",Y20-AC20)</f>
        <v/>
      </c>
      <c r="AE20" s="7">
        <f>IF($E20="","",AD20-Q20)</f>
        <v/>
      </c>
      <c r="AI20" s="7" t="n"/>
      <c r="AL20" s="11" t="n"/>
      <c r="AN20">
        <f>IF($E20="","",IF(COUNTIF($E$2:$E20,$E20)=1,1,0))</f>
        <v/>
      </c>
      <c r="AO20">
        <f>IF($AN20=1,SUMPRODUCT(--($AR$2:$AR$4001&lt;$AR20))+1,"")</f>
        <v/>
      </c>
      <c r="AP20">
        <f>IF($E20="","",IF(OR($U20=TRUE(),$U20="TRUE"),1,0))</f>
        <v/>
      </c>
      <c r="AQ20">
        <f>IF($E20="","",IF($AA20="Yes",1,0))</f>
        <v/>
      </c>
      <c r="AR20">
        <f>IF($AN20=1,IFERROR(VALUE(MID($E20,2,20)),1000000000)+ROW()/100000,"")</f>
        <v/>
      </c>
    </row>
    <row r="21">
      <c r="G21" s="11" t="n"/>
      <c r="Q21" s="7">
        <f>IF($E21="","",P21*Y21/100)</f>
        <v/>
      </c>
      <c r="R21" s="7" t="n"/>
      <c r="X21" s="7" t="n"/>
      <c r="Y21" s="7" t="n"/>
      <c r="AB21">
        <f>IF($E21="","",IF($AQ21=1,0,IF($AP21=1,Settings!$C$6,Settings!$C$7))*100)</f>
        <v/>
      </c>
      <c r="AC21" s="7">
        <f>IF($E21="","",Y21*AB21/100)</f>
        <v/>
      </c>
      <c r="AD21" s="7">
        <f>IF($E21="","",Y21-AC21)</f>
        <v/>
      </c>
      <c r="AE21" s="7">
        <f>IF($E21="","",AD21-Q21)</f>
        <v/>
      </c>
      <c r="AI21" s="7" t="n"/>
      <c r="AL21" s="11" t="n"/>
      <c r="AN21">
        <f>IF($E21="","",IF(COUNTIF($E$2:$E21,$E21)=1,1,0))</f>
        <v/>
      </c>
      <c r="AO21">
        <f>IF($AN21=1,SUMPRODUCT(--($AR$2:$AR$4001&lt;$AR21))+1,"")</f>
        <v/>
      </c>
      <c r="AP21">
        <f>IF($E21="","",IF(OR($U21=TRUE(),$U21="TRUE"),1,0))</f>
        <v/>
      </c>
      <c r="AQ21">
        <f>IF($E21="","",IF($AA21="Yes",1,0))</f>
        <v/>
      </c>
      <c r="AR21">
        <f>IF($AN21=1,IFERROR(VALUE(MID($E21,2,20)),1000000000)+ROW()/100000,"")</f>
        <v/>
      </c>
    </row>
    <row r="22">
      <c r="G22" s="11" t="n"/>
      <c r="Q22" s="7">
        <f>IF($E22="","",P22*Y22/100)</f>
        <v/>
      </c>
      <c r="R22" s="7" t="n"/>
      <c r="X22" s="7" t="n"/>
      <c r="Y22" s="7" t="n"/>
      <c r="AB22">
        <f>IF($E22="","",IF($AQ22=1,0,IF($AP22=1,Settings!$C$6,Settings!$C$7))*100)</f>
        <v/>
      </c>
      <c r="AC22" s="7">
        <f>IF($E22="","",Y22*AB22/100)</f>
        <v/>
      </c>
      <c r="AD22" s="7">
        <f>IF($E22="","",Y22-AC22)</f>
        <v/>
      </c>
      <c r="AE22" s="7">
        <f>IF($E22="","",AD22-Q22)</f>
        <v/>
      </c>
      <c r="AI22" s="7" t="n"/>
      <c r="AL22" s="11" t="n"/>
      <c r="AN22">
        <f>IF($E22="","",IF(COUNTIF($E$2:$E22,$E22)=1,1,0))</f>
        <v/>
      </c>
      <c r="AO22">
        <f>IF($AN22=1,SUMPRODUCT(--($AR$2:$AR$4001&lt;$AR22))+1,"")</f>
        <v/>
      </c>
      <c r="AP22">
        <f>IF($E22="","",IF(OR($U22=TRUE(),$U22="TRUE"),1,0))</f>
        <v/>
      </c>
      <c r="AQ22">
        <f>IF($E22="","",IF($AA22="Yes",1,0))</f>
        <v/>
      </c>
      <c r="AR22">
        <f>IF($AN22=1,IFERROR(VALUE(MID($E22,2,20)),1000000000)+ROW()/100000,"")</f>
        <v/>
      </c>
    </row>
    <row r="23">
      <c r="G23" s="11" t="n"/>
      <c r="Q23" s="7">
        <f>IF($E23="","",P23*Y23/100)</f>
        <v/>
      </c>
      <c r="R23" s="7" t="n"/>
      <c r="X23" s="7" t="n"/>
      <c r="Y23" s="7" t="n"/>
      <c r="AB23">
        <f>IF($E23="","",IF($AQ23=1,0,IF($AP23=1,Settings!$C$6,Settings!$C$7))*100)</f>
        <v/>
      </c>
      <c r="AC23" s="7">
        <f>IF($E23="","",Y23*AB23/100)</f>
        <v/>
      </c>
      <c r="AD23" s="7">
        <f>IF($E23="","",Y23-AC23)</f>
        <v/>
      </c>
      <c r="AE23" s="7">
        <f>IF($E23="","",AD23-Q23)</f>
        <v/>
      </c>
      <c r="AI23" s="7" t="n"/>
      <c r="AL23" s="11" t="n"/>
      <c r="AN23">
        <f>IF($E23="","",IF(COUNTIF($E$2:$E23,$E23)=1,1,0))</f>
        <v/>
      </c>
      <c r="AO23">
        <f>IF($AN23=1,SUMPRODUCT(--($AR$2:$AR$4001&lt;$AR23))+1,"")</f>
        <v/>
      </c>
      <c r="AP23">
        <f>IF($E23="","",IF(OR($U23=TRUE(),$U23="TRUE"),1,0))</f>
        <v/>
      </c>
      <c r="AQ23">
        <f>IF($E23="","",IF($AA23="Yes",1,0))</f>
        <v/>
      </c>
      <c r="AR23">
        <f>IF($AN23=1,IFERROR(VALUE(MID($E23,2,20)),1000000000)+ROW()/100000,"")</f>
        <v/>
      </c>
    </row>
    <row r="24">
      <c r="G24" s="11" t="n"/>
      <c r="Q24" s="7">
        <f>IF($E24="","",P24*Y24/100)</f>
        <v/>
      </c>
      <c r="R24" s="7" t="n"/>
      <c r="X24" s="7" t="n"/>
      <c r="Y24" s="7" t="n"/>
      <c r="AB24">
        <f>IF($E24="","",IF($AQ24=1,0,IF($AP24=1,Settings!$C$6,Settings!$C$7))*100)</f>
        <v/>
      </c>
      <c r="AC24" s="7">
        <f>IF($E24="","",Y24*AB24/100)</f>
        <v/>
      </c>
      <c r="AD24" s="7">
        <f>IF($E24="","",Y24-AC24)</f>
        <v/>
      </c>
      <c r="AE24" s="7">
        <f>IF($E24="","",AD24-Q24)</f>
        <v/>
      </c>
      <c r="AI24" s="7" t="n"/>
      <c r="AL24" s="11" t="n"/>
      <c r="AN24">
        <f>IF($E24="","",IF(COUNTIF($E$2:$E24,$E24)=1,1,0))</f>
        <v/>
      </c>
      <c r="AO24">
        <f>IF($AN24=1,SUMPRODUCT(--($AR$2:$AR$4001&lt;$AR24))+1,"")</f>
        <v/>
      </c>
      <c r="AP24">
        <f>IF($E24="","",IF(OR($U24=TRUE(),$U24="TRUE"),1,0))</f>
        <v/>
      </c>
      <c r="AQ24">
        <f>IF($E24="","",IF($AA24="Yes",1,0))</f>
        <v/>
      </c>
      <c r="AR24">
        <f>IF($AN24=1,IFERROR(VALUE(MID($E24,2,20)),1000000000)+ROW()/100000,"")</f>
        <v/>
      </c>
    </row>
    <row r="25">
      <c r="G25" s="11" t="n"/>
      <c r="Q25" s="7">
        <f>IF($E25="","",P25*Y25/100)</f>
        <v/>
      </c>
      <c r="R25" s="7" t="n"/>
      <c r="X25" s="7" t="n"/>
      <c r="Y25" s="7" t="n"/>
      <c r="AB25">
        <f>IF($E25="","",IF($AQ25=1,0,IF($AP25=1,Settings!$C$6,Settings!$C$7))*100)</f>
        <v/>
      </c>
      <c r="AC25" s="7">
        <f>IF($E25="","",Y25*AB25/100)</f>
        <v/>
      </c>
      <c r="AD25" s="7">
        <f>IF($E25="","",Y25-AC25)</f>
        <v/>
      </c>
      <c r="AE25" s="7">
        <f>IF($E25="","",AD25-Q25)</f>
        <v/>
      </c>
      <c r="AI25" s="7" t="n"/>
      <c r="AL25" s="11" t="n"/>
      <c r="AN25">
        <f>IF($E25="","",IF(COUNTIF($E$2:$E25,$E25)=1,1,0))</f>
        <v/>
      </c>
      <c r="AO25">
        <f>IF($AN25=1,SUMPRODUCT(--($AR$2:$AR$4001&lt;$AR25))+1,"")</f>
        <v/>
      </c>
      <c r="AP25">
        <f>IF($E25="","",IF(OR($U25=TRUE(),$U25="TRUE"),1,0))</f>
        <v/>
      </c>
      <c r="AQ25">
        <f>IF($E25="","",IF($AA25="Yes",1,0))</f>
        <v/>
      </c>
      <c r="AR25">
        <f>IF($AN25=1,IFERROR(VALUE(MID($E25,2,20)),1000000000)+ROW()/100000,"")</f>
        <v/>
      </c>
    </row>
    <row r="26">
      <c r="G26" s="11" t="n"/>
      <c r="Q26" s="7">
        <f>IF($E26="","",P26*Y26/100)</f>
        <v/>
      </c>
      <c r="R26" s="7" t="n"/>
      <c r="X26" s="7" t="n"/>
      <c r="Y26" s="7" t="n"/>
      <c r="AB26">
        <f>IF($E26="","",IF($AQ26=1,0,IF($AP26=1,Settings!$C$6,Settings!$C$7))*100)</f>
        <v/>
      </c>
      <c r="AC26" s="7">
        <f>IF($E26="","",Y26*AB26/100)</f>
        <v/>
      </c>
      <c r="AD26" s="7">
        <f>IF($E26="","",Y26-AC26)</f>
        <v/>
      </c>
      <c r="AE26" s="7">
        <f>IF($E26="","",AD26-Q26)</f>
        <v/>
      </c>
      <c r="AI26" s="7" t="n"/>
      <c r="AL26" s="11" t="n"/>
      <c r="AN26">
        <f>IF($E26="","",IF(COUNTIF($E$2:$E26,$E26)=1,1,0))</f>
        <v/>
      </c>
      <c r="AO26">
        <f>IF($AN26=1,SUMPRODUCT(--($AR$2:$AR$4001&lt;$AR26))+1,"")</f>
        <v/>
      </c>
      <c r="AP26">
        <f>IF($E26="","",IF(OR($U26=TRUE(),$U26="TRUE"),1,0))</f>
        <v/>
      </c>
      <c r="AQ26">
        <f>IF($E26="","",IF($AA26="Yes",1,0))</f>
        <v/>
      </c>
      <c r="AR26">
        <f>IF($AN26=1,IFERROR(VALUE(MID($E26,2,20)),1000000000)+ROW()/100000,"")</f>
        <v/>
      </c>
    </row>
    <row r="27">
      <c r="G27" s="11" t="n"/>
      <c r="Q27" s="7">
        <f>IF($E27="","",P27*Y27/100)</f>
        <v/>
      </c>
      <c r="R27" s="7" t="n"/>
      <c r="X27" s="7" t="n"/>
      <c r="Y27" s="7" t="n"/>
      <c r="AB27">
        <f>IF($E27="","",IF($AQ27=1,0,IF($AP27=1,Settings!$C$6,Settings!$C$7))*100)</f>
        <v/>
      </c>
      <c r="AC27" s="7">
        <f>IF($E27="","",Y27*AB27/100)</f>
        <v/>
      </c>
      <c r="AD27" s="7">
        <f>IF($E27="","",Y27-AC27)</f>
        <v/>
      </c>
      <c r="AE27" s="7">
        <f>IF($E27="","",AD27-Q27)</f>
        <v/>
      </c>
      <c r="AI27" s="7" t="n"/>
      <c r="AL27" s="11" t="n"/>
      <c r="AN27">
        <f>IF($E27="","",IF(COUNTIF($E$2:$E27,$E27)=1,1,0))</f>
        <v/>
      </c>
      <c r="AO27">
        <f>IF($AN27=1,SUMPRODUCT(--($AR$2:$AR$4001&lt;$AR27))+1,"")</f>
        <v/>
      </c>
      <c r="AP27">
        <f>IF($E27="","",IF(OR($U27=TRUE(),$U27="TRUE"),1,0))</f>
        <v/>
      </c>
      <c r="AQ27">
        <f>IF($E27="","",IF($AA27="Yes",1,0))</f>
        <v/>
      </c>
      <c r="AR27">
        <f>IF($AN27=1,IFERROR(VALUE(MID($E27,2,20)),1000000000)+ROW()/100000,"")</f>
        <v/>
      </c>
    </row>
    <row r="28">
      <c r="G28" s="11" t="n"/>
      <c r="Q28" s="7">
        <f>IF($E28="","",P28*Y28/100)</f>
        <v/>
      </c>
      <c r="R28" s="7" t="n"/>
      <c r="X28" s="7" t="n"/>
      <c r="Y28" s="7" t="n"/>
      <c r="AB28">
        <f>IF($E28="","",IF($AQ28=1,0,IF($AP28=1,Settings!$C$6,Settings!$C$7))*100)</f>
        <v/>
      </c>
      <c r="AC28" s="7">
        <f>IF($E28="","",Y28*AB28/100)</f>
        <v/>
      </c>
      <c r="AD28" s="7">
        <f>IF($E28="","",Y28-AC28)</f>
        <v/>
      </c>
      <c r="AE28" s="7">
        <f>IF($E28="","",AD28-Q28)</f>
        <v/>
      </c>
      <c r="AI28" s="7" t="n"/>
      <c r="AL28" s="11" t="n"/>
      <c r="AN28">
        <f>IF($E28="","",IF(COUNTIF($E$2:$E28,$E28)=1,1,0))</f>
        <v/>
      </c>
      <c r="AO28">
        <f>IF($AN28=1,SUMPRODUCT(--($AR$2:$AR$4001&lt;$AR28))+1,"")</f>
        <v/>
      </c>
      <c r="AP28">
        <f>IF($E28="","",IF(OR($U28=TRUE(),$U28="TRUE"),1,0))</f>
        <v/>
      </c>
      <c r="AQ28">
        <f>IF($E28="","",IF($AA28="Yes",1,0))</f>
        <v/>
      </c>
      <c r="AR28">
        <f>IF($AN28=1,IFERROR(VALUE(MID($E28,2,20)),1000000000)+ROW()/100000,"")</f>
        <v/>
      </c>
    </row>
    <row r="29">
      <c r="G29" s="11" t="n"/>
      <c r="Q29" s="7">
        <f>IF($E29="","",P29*Y29/100)</f>
        <v/>
      </c>
      <c r="R29" s="7" t="n"/>
      <c r="X29" s="7" t="n"/>
      <c r="Y29" s="7" t="n"/>
      <c r="AB29">
        <f>IF($E29="","",IF($AQ29=1,0,IF($AP29=1,Settings!$C$6,Settings!$C$7))*100)</f>
        <v/>
      </c>
      <c r="AC29" s="7">
        <f>IF($E29="","",Y29*AB29/100)</f>
        <v/>
      </c>
      <c r="AD29" s="7">
        <f>IF($E29="","",Y29-AC29)</f>
        <v/>
      </c>
      <c r="AE29" s="7">
        <f>IF($E29="","",AD29-Q29)</f>
        <v/>
      </c>
      <c r="AI29" s="7" t="n"/>
      <c r="AL29" s="11" t="n"/>
      <c r="AN29">
        <f>IF($E29="","",IF(COUNTIF($E$2:$E29,$E29)=1,1,0))</f>
        <v/>
      </c>
      <c r="AO29">
        <f>IF($AN29=1,SUMPRODUCT(--($AR$2:$AR$4001&lt;$AR29))+1,"")</f>
        <v/>
      </c>
      <c r="AP29">
        <f>IF($E29="","",IF(OR($U29=TRUE(),$U29="TRUE"),1,0))</f>
        <v/>
      </c>
      <c r="AQ29">
        <f>IF($E29="","",IF($AA29="Yes",1,0))</f>
        <v/>
      </c>
      <c r="AR29">
        <f>IF($AN29=1,IFERROR(VALUE(MID($E29,2,20)),1000000000)+ROW()/100000,"")</f>
        <v/>
      </c>
    </row>
    <row r="30">
      <c r="G30" s="11" t="n"/>
      <c r="Q30" s="7">
        <f>IF($E30="","",P30*Y30/100)</f>
        <v/>
      </c>
      <c r="R30" s="7" t="n"/>
      <c r="X30" s="7" t="n"/>
      <c r="Y30" s="7" t="n"/>
      <c r="AB30">
        <f>IF($E30="","",IF($AQ30=1,0,IF($AP30=1,Settings!$C$6,Settings!$C$7))*100)</f>
        <v/>
      </c>
      <c r="AC30" s="7">
        <f>IF($E30="","",Y30*AB30/100)</f>
        <v/>
      </c>
      <c r="AD30" s="7">
        <f>IF($E30="","",Y30-AC30)</f>
        <v/>
      </c>
      <c r="AE30" s="7">
        <f>IF($E30="","",AD30-Q30)</f>
        <v/>
      </c>
      <c r="AI30" s="7" t="n"/>
      <c r="AL30" s="11" t="n"/>
      <c r="AN30">
        <f>IF($E30="","",IF(COUNTIF($E$2:$E30,$E30)=1,1,0))</f>
        <v/>
      </c>
      <c r="AO30">
        <f>IF($AN30=1,SUMPRODUCT(--($AR$2:$AR$4001&lt;$AR30))+1,"")</f>
        <v/>
      </c>
      <c r="AP30">
        <f>IF($E30="","",IF(OR($U30=TRUE(),$U30="TRUE"),1,0))</f>
        <v/>
      </c>
      <c r="AQ30">
        <f>IF($E30="","",IF($AA30="Yes",1,0))</f>
        <v/>
      </c>
      <c r="AR30">
        <f>IF($AN30=1,IFERROR(VALUE(MID($E30,2,20)),1000000000)+ROW()/100000,"")</f>
        <v/>
      </c>
    </row>
    <row r="31">
      <c r="G31" s="11" t="n"/>
      <c r="Q31" s="7">
        <f>IF($E31="","",P31*Y31/100)</f>
        <v/>
      </c>
      <c r="R31" s="7" t="n"/>
      <c r="X31" s="7" t="n"/>
      <c r="Y31" s="7" t="n"/>
      <c r="AB31">
        <f>IF($E31="","",IF($AQ31=1,0,IF($AP31=1,Settings!$C$6,Settings!$C$7))*100)</f>
        <v/>
      </c>
      <c r="AC31" s="7">
        <f>IF($E31="","",Y31*AB31/100)</f>
        <v/>
      </c>
      <c r="AD31" s="7">
        <f>IF($E31="","",Y31-AC31)</f>
        <v/>
      </c>
      <c r="AE31" s="7">
        <f>IF($E31="","",AD31-Q31)</f>
        <v/>
      </c>
      <c r="AI31" s="7" t="n"/>
      <c r="AL31" s="11" t="n"/>
      <c r="AN31">
        <f>IF($E31="","",IF(COUNTIF($E$2:$E31,$E31)=1,1,0))</f>
        <v/>
      </c>
      <c r="AO31">
        <f>IF($AN31=1,SUMPRODUCT(--($AR$2:$AR$4001&lt;$AR31))+1,"")</f>
        <v/>
      </c>
      <c r="AP31">
        <f>IF($E31="","",IF(OR($U31=TRUE(),$U31="TRUE"),1,0))</f>
        <v/>
      </c>
      <c r="AQ31">
        <f>IF($E31="","",IF($AA31="Yes",1,0))</f>
        <v/>
      </c>
      <c r="AR31">
        <f>IF($AN31=1,IFERROR(VALUE(MID($E31,2,20)),1000000000)+ROW()/100000,"")</f>
        <v/>
      </c>
    </row>
    <row r="32">
      <c r="G32" s="11" t="n"/>
      <c r="Q32" s="7">
        <f>IF($E32="","",P32*Y32/100)</f>
        <v/>
      </c>
      <c r="R32" s="7" t="n"/>
      <c r="X32" s="7" t="n"/>
      <c r="Y32" s="7" t="n"/>
      <c r="AB32">
        <f>IF($E32="","",IF($AQ32=1,0,IF($AP32=1,Settings!$C$6,Settings!$C$7))*100)</f>
        <v/>
      </c>
      <c r="AC32" s="7">
        <f>IF($E32="","",Y32*AB32/100)</f>
        <v/>
      </c>
      <c r="AD32" s="7">
        <f>IF($E32="","",Y32-AC32)</f>
        <v/>
      </c>
      <c r="AE32" s="7">
        <f>IF($E32="","",AD32-Q32)</f>
        <v/>
      </c>
      <c r="AI32" s="7" t="n"/>
      <c r="AL32" s="11" t="n"/>
      <c r="AN32">
        <f>IF($E32="","",IF(COUNTIF($E$2:$E32,$E32)=1,1,0))</f>
        <v/>
      </c>
      <c r="AO32">
        <f>IF($AN32=1,SUMPRODUCT(--($AR$2:$AR$4001&lt;$AR32))+1,"")</f>
        <v/>
      </c>
      <c r="AP32">
        <f>IF($E32="","",IF(OR($U32=TRUE(),$U32="TRUE"),1,0))</f>
        <v/>
      </c>
      <c r="AQ32">
        <f>IF($E32="","",IF($AA32="Yes",1,0))</f>
        <v/>
      </c>
      <c r="AR32">
        <f>IF($AN32=1,IFERROR(VALUE(MID($E32,2,20)),1000000000)+ROW()/100000,"")</f>
        <v/>
      </c>
    </row>
    <row r="33">
      <c r="G33" s="11" t="n"/>
      <c r="Q33" s="7">
        <f>IF($E33="","",P33*Y33/100)</f>
        <v/>
      </c>
      <c r="R33" s="7" t="n"/>
      <c r="X33" s="7" t="n"/>
      <c r="Y33" s="7" t="n"/>
      <c r="AB33">
        <f>IF($E33="","",IF($AQ33=1,0,IF($AP33=1,Settings!$C$6,Settings!$C$7))*100)</f>
        <v/>
      </c>
      <c r="AC33" s="7">
        <f>IF($E33="","",Y33*AB33/100)</f>
        <v/>
      </c>
      <c r="AD33" s="7">
        <f>IF($E33="","",Y33-AC33)</f>
        <v/>
      </c>
      <c r="AE33" s="7">
        <f>IF($E33="","",AD33-Q33)</f>
        <v/>
      </c>
      <c r="AI33" s="7" t="n"/>
      <c r="AL33" s="11" t="n"/>
      <c r="AN33">
        <f>IF($E33="","",IF(COUNTIF($E$2:$E33,$E33)=1,1,0))</f>
        <v/>
      </c>
      <c r="AO33">
        <f>IF($AN33=1,SUMPRODUCT(--($AR$2:$AR$4001&lt;$AR33))+1,"")</f>
        <v/>
      </c>
      <c r="AP33">
        <f>IF($E33="","",IF(OR($U33=TRUE(),$U33="TRUE"),1,0))</f>
        <v/>
      </c>
      <c r="AQ33">
        <f>IF($E33="","",IF($AA33="Yes",1,0))</f>
        <v/>
      </c>
      <c r="AR33">
        <f>IF($AN33=1,IFERROR(VALUE(MID($E33,2,20)),1000000000)+ROW()/100000,"")</f>
        <v/>
      </c>
    </row>
    <row r="34">
      <c r="G34" s="11" t="n"/>
      <c r="Q34" s="7">
        <f>IF($E34="","",P34*Y34/100)</f>
        <v/>
      </c>
      <c r="R34" s="7" t="n"/>
      <c r="X34" s="7" t="n"/>
      <c r="Y34" s="7" t="n"/>
      <c r="AB34">
        <f>IF($E34="","",IF($AQ34=1,0,IF($AP34=1,Settings!$C$6,Settings!$C$7))*100)</f>
        <v/>
      </c>
      <c r="AC34" s="7">
        <f>IF($E34="","",Y34*AB34/100)</f>
        <v/>
      </c>
      <c r="AD34" s="7">
        <f>IF($E34="","",Y34-AC34)</f>
        <v/>
      </c>
      <c r="AE34" s="7">
        <f>IF($E34="","",AD34-Q34)</f>
        <v/>
      </c>
      <c r="AI34" s="7" t="n"/>
      <c r="AL34" s="11" t="n"/>
      <c r="AN34">
        <f>IF($E34="","",IF(COUNTIF($E$2:$E34,$E34)=1,1,0))</f>
        <v/>
      </c>
      <c r="AO34">
        <f>IF($AN34=1,SUMPRODUCT(--($AR$2:$AR$4001&lt;$AR34))+1,"")</f>
        <v/>
      </c>
      <c r="AP34">
        <f>IF($E34="","",IF(OR($U34=TRUE(),$U34="TRUE"),1,0))</f>
        <v/>
      </c>
      <c r="AQ34">
        <f>IF($E34="","",IF($AA34="Yes",1,0))</f>
        <v/>
      </c>
      <c r="AR34">
        <f>IF($AN34=1,IFERROR(VALUE(MID($E34,2,20)),1000000000)+ROW()/100000,"")</f>
        <v/>
      </c>
    </row>
    <row r="35">
      <c r="G35" s="11" t="n"/>
      <c r="Q35" s="7">
        <f>IF($E35="","",P35*Y35/100)</f>
        <v/>
      </c>
      <c r="R35" s="7" t="n"/>
      <c r="X35" s="7" t="n"/>
      <c r="Y35" s="7" t="n"/>
      <c r="AB35">
        <f>IF($E35="","",IF($AQ35=1,0,IF($AP35=1,Settings!$C$6,Settings!$C$7))*100)</f>
        <v/>
      </c>
      <c r="AC35" s="7">
        <f>IF($E35="","",Y35*AB35/100)</f>
        <v/>
      </c>
      <c r="AD35" s="7">
        <f>IF($E35="","",Y35-AC35)</f>
        <v/>
      </c>
      <c r="AE35" s="7">
        <f>IF($E35="","",AD35-Q35)</f>
        <v/>
      </c>
      <c r="AI35" s="7" t="n"/>
      <c r="AL35" s="11" t="n"/>
      <c r="AN35">
        <f>IF($E35="","",IF(COUNTIF($E$2:$E35,$E35)=1,1,0))</f>
        <v/>
      </c>
      <c r="AO35">
        <f>IF($AN35=1,SUMPRODUCT(--($AR$2:$AR$4001&lt;$AR35))+1,"")</f>
        <v/>
      </c>
      <c r="AP35">
        <f>IF($E35="","",IF(OR($U35=TRUE(),$U35="TRUE"),1,0))</f>
        <v/>
      </c>
      <c r="AQ35">
        <f>IF($E35="","",IF($AA35="Yes",1,0))</f>
        <v/>
      </c>
      <c r="AR35">
        <f>IF($AN35=1,IFERROR(VALUE(MID($E35,2,20)),1000000000)+ROW()/100000,"")</f>
        <v/>
      </c>
    </row>
    <row r="36">
      <c r="G36" s="11" t="n"/>
      <c r="Q36" s="7">
        <f>IF($E36="","",P36*Y36/100)</f>
        <v/>
      </c>
      <c r="R36" s="7" t="n"/>
      <c r="X36" s="7" t="n"/>
      <c r="Y36" s="7" t="n"/>
      <c r="AB36">
        <f>IF($E36="","",IF($AQ36=1,0,IF($AP36=1,Settings!$C$6,Settings!$C$7))*100)</f>
        <v/>
      </c>
      <c r="AC36" s="7">
        <f>IF($E36="","",Y36*AB36/100)</f>
        <v/>
      </c>
      <c r="AD36" s="7">
        <f>IF($E36="","",Y36-AC36)</f>
        <v/>
      </c>
      <c r="AE36" s="7">
        <f>IF($E36="","",AD36-Q36)</f>
        <v/>
      </c>
      <c r="AI36" s="7" t="n"/>
      <c r="AL36" s="11" t="n"/>
      <c r="AN36">
        <f>IF($E36="","",IF(COUNTIF($E$2:$E36,$E36)=1,1,0))</f>
        <v/>
      </c>
      <c r="AO36">
        <f>IF($AN36=1,SUMPRODUCT(--($AR$2:$AR$4001&lt;$AR36))+1,"")</f>
        <v/>
      </c>
      <c r="AP36">
        <f>IF($E36="","",IF(OR($U36=TRUE(),$U36="TRUE"),1,0))</f>
        <v/>
      </c>
      <c r="AQ36">
        <f>IF($E36="","",IF($AA36="Yes",1,0))</f>
        <v/>
      </c>
      <c r="AR36">
        <f>IF($AN36=1,IFERROR(VALUE(MID($E36,2,20)),1000000000)+ROW()/100000,"")</f>
        <v/>
      </c>
    </row>
    <row r="37">
      <c r="G37" s="11" t="n"/>
      <c r="Q37" s="7">
        <f>IF($E37="","",P37*Y37/100)</f>
        <v/>
      </c>
      <c r="R37" s="7" t="n"/>
      <c r="X37" s="7" t="n"/>
      <c r="Y37" s="7" t="n"/>
      <c r="AB37">
        <f>IF($E37="","",IF($AQ37=1,0,IF($AP37=1,Settings!$C$6,Settings!$C$7))*100)</f>
        <v/>
      </c>
      <c r="AC37" s="7">
        <f>IF($E37="","",Y37*AB37/100)</f>
        <v/>
      </c>
      <c r="AD37" s="7">
        <f>IF($E37="","",Y37-AC37)</f>
        <v/>
      </c>
      <c r="AE37" s="7">
        <f>IF($E37="","",AD37-Q37)</f>
        <v/>
      </c>
      <c r="AI37" s="7" t="n"/>
      <c r="AL37" s="11" t="n"/>
      <c r="AN37">
        <f>IF($E37="","",IF(COUNTIF($E$2:$E37,$E37)=1,1,0))</f>
        <v/>
      </c>
      <c r="AO37">
        <f>IF($AN37=1,SUMPRODUCT(--($AR$2:$AR$4001&lt;$AR37))+1,"")</f>
        <v/>
      </c>
      <c r="AP37">
        <f>IF($E37="","",IF(OR($U37=TRUE(),$U37="TRUE"),1,0))</f>
        <v/>
      </c>
      <c r="AQ37">
        <f>IF($E37="","",IF($AA37="Yes",1,0))</f>
        <v/>
      </c>
      <c r="AR37">
        <f>IF($AN37=1,IFERROR(VALUE(MID($E37,2,20)),1000000000)+ROW()/100000,"")</f>
        <v/>
      </c>
    </row>
    <row r="38">
      <c r="G38" s="11" t="n"/>
      <c r="Q38" s="7">
        <f>IF($E38="","",P38*Y38/100)</f>
        <v/>
      </c>
      <c r="R38" s="7" t="n"/>
      <c r="X38" s="7" t="n"/>
      <c r="Y38" s="7" t="n"/>
      <c r="AB38">
        <f>IF($E38="","",IF($AQ38=1,0,IF($AP38=1,Settings!$C$6,Settings!$C$7))*100)</f>
        <v/>
      </c>
      <c r="AC38" s="7">
        <f>IF($E38="","",Y38*AB38/100)</f>
        <v/>
      </c>
      <c r="AD38" s="7">
        <f>IF($E38="","",Y38-AC38)</f>
        <v/>
      </c>
      <c r="AE38" s="7">
        <f>IF($E38="","",AD38-Q38)</f>
        <v/>
      </c>
      <c r="AI38" s="7" t="n"/>
      <c r="AL38" s="11" t="n"/>
      <c r="AN38">
        <f>IF($E38="","",IF(COUNTIF($E$2:$E38,$E38)=1,1,0))</f>
        <v/>
      </c>
      <c r="AO38">
        <f>IF($AN38=1,SUMPRODUCT(--($AR$2:$AR$4001&lt;$AR38))+1,"")</f>
        <v/>
      </c>
      <c r="AP38">
        <f>IF($E38="","",IF(OR($U38=TRUE(),$U38="TRUE"),1,0))</f>
        <v/>
      </c>
      <c r="AQ38">
        <f>IF($E38="","",IF($AA38="Yes",1,0))</f>
        <v/>
      </c>
      <c r="AR38">
        <f>IF($AN38=1,IFERROR(VALUE(MID($E38,2,20)),1000000000)+ROW()/100000,"")</f>
        <v/>
      </c>
    </row>
    <row r="39">
      <c r="G39" s="11" t="n"/>
      <c r="Q39" s="7">
        <f>IF($E39="","",P39*Y39/100)</f>
        <v/>
      </c>
      <c r="R39" s="7" t="n"/>
      <c r="X39" s="7" t="n"/>
      <c r="Y39" s="7" t="n"/>
      <c r="AB39">
        <f>IF($E39="","",IF($AQ39=1,0,IF($AP39=1,Settings!$C$6,Settings!$C$7))*100)</f>
        <v/>
      </c>
      <c r="AC39" s="7">
        <f>IF($E39="","",Y39*AB39/100)</f>
        <v/>
      </c>
      <c r="AD39" s="7">
        <f>IF($E39="","",Y39-AC39)</f>
        <v/>
      </c>
      <c r="AE39" s="7">
        <f>IF($E39="","",AD39-Q39)</f>
        <v/>
      </c>
      <c r="AI39" s="7" t="n"/>
      <c r="AL39" s="11" t="n"/>
      <c r="AN39">
        <f>IF($E39="","",IF(COUNTIF($E$2:$E39,$E39)=1,1,0))</f>
        <v/>
      </c>
      <c r="AO39">
        <f>IF($AN39=1,SUMPRODUCT(--($AR$2:$AR$4001&lt;$AR39))+1,"")</f>
        <v/>
      </c>
      <c r="AP39">
        <f>IF($E39="","",IF(OR($U39=TRUE(),$U39="TRUE"),1,0))</f>
        <v/>
      </c>
      <c r="AQ39">
        <f>IF($E39="","",IF($AA39="Yes",1,0))</f>
        <v/>
      </c>
      <c r="AR39">
        <f>IF($AN39=1,IFERROR(VALUE(MID($E39,2,20)),1000000000)+ROW()/100000,"")</f>
        <v/>
      </c>
    </row>
    <row r="40">
      <c r="G40" s="11" t="n"/>
      <c r="Q40" s="7">
        <f>IF($E40="","",P40*Y40/100)</f>
        <v/>
      </c>
      <c r="R40" s="7" t="n"/>
      <c r="X40" s="7" t="n"/>
      <c r="Y40" s="7" t="n"/>
      <c r="AB40">
        <f>IF($E40="","",IF($AQ40=1,0,IF($AP40=1,Settings!$C$6,Settings!$C$7))*100)</f>
        <v/>
      </c>
      <c r="AC40" s="7">
        <f>IF($E40="","",Y40*AB40/100)</f>
        <v/>
      </c>
      <c r="AD40" s="7">
        <f>IF($E40="","",Y40-AC40)</f>
        <v/>
      </c>
      <c r="AE40" s="7">
        <f>IF($E40="","",AD40-Q40)</f>
        <v/>
      </c>
      <c r="AI40" s="7" t="n"/>
      <c r="AL40" s="11" t="n"/>
      <c r="AN40">
        <f>IF($E40="","",IF(COUNTIF($E$2:$E40,$E40)=1,1,0))</f>
        <v/>
      </c>
      <c r="AO40">
        <f>IF($AN40=1,SUMPRODUCT(--($AR$2:$AR$4001&lt;$AR40))+1,"")</f>
        <v/>
      </c>
      <c r="AP40">
        <f>IF($E40="","",IF(OR($U40=TRUE(),$U40="TRUE"),1,0))</f>
        <v/>
      </c>
      <c r="AQ40">
        <f>IF($E40="","",IF($AA40="Yes",1,0))</f>
        <v/>
      </c>
      <c r="AR40">
        <f>IF($AN40=1,IFERROR(VALUE(MID($E40,2,20)),1000000000)+ROW()/100000,"")</f>
        <v/>
      </c>
    </row>
    <row r="41">
      <c r="G41" s="11" t="n"/>
      <c r="Q41" s="7">
        <f>IF($E41="","",P41*Y41/100)</f>
        <v/>
      </c>
      <c r="R41" s="7" t="n"/>
      <c r="X41" s="7" t="n"/>
      <c r="Y41" s="7" t="n"/>
      <c r="AB41">
        <f>IF($E41="","",IF($AQ41=1,0,IF($AP41=1,Settings!$C$6,Settings!$C$7))*100)</f>
        <v/>
      </c>
      <c r="AC41" s="7">
        <f>IF($E41="","",Y41*AB41/100)</f>
        <v/>
      </c>
      <c r="AD41" s="7">
        <f>IF($E41="","",Y41-AC41)</f>
        <v/>
      </c>
      <c r="AE41" s="7">
        <f>IF($E41="","",AD41-Q41)</f>
        <v/>
      </c>
      <c r="AI41" s="7" t="n"/>
      <c r="AL41" s="11" t="n"/>
      <c r="AN41">
        <f>IF($E41="","",IF(COUNTIF($E$2:$E41,$E41)=1,1,0))</f>
        <v/>
      </c>
      <c r="AO41">
        <f>IF($AN41=1,SUMPRODUCT(--($AR$2:$AR$4001&lt;$AR41))+1,"")</f>
        <v/>
      </c>
      <c r="AP41">
        <f>IF($E41="","",IF(OR($U41=TRUE(),$U41="TRUE"),1,0))</f>
        <v/>
      </c>
      <c r="AQ41">
        <f>IF($E41="","",IF($AA41="Yes",1,0))</f>
        <v/>
      </c>
      <c r="AR41">
        <f>IF($AN41=1,IFERROR(VALUE(MID($E41,2,20)),1000000000)+ROW()/100000,"")</f>
        <v/>
      </c>
    </row>
    <row r="42">
      <c r="G42" s="11" t="n"/>
      <c r="Q42" s="7">
        <f>IF($E42="","",P42*Y42/100)</f>
        <v/>
      </c>
      <c r="R42" s="7" t="n"/>
      <c r="X42" s="7" t="n"/>
      <c r="Y42" s="7" t="n"/>
      <c r="AB42">
        <f>IF($E42="","",IF($AQ42=1,0,IF($AP42=1,Settings!$C$6,Settings!$C$7))*100)</f>
        <v/>
      </c>
      <c r="AC42" s="7">
        <f>IF($E42="","",Y42*AB42/100)</f>
        <v/>
      </c>
      <c r="AD42" s="7">
        <f>IF($E42="","",Y42-AC42)</f>
        <v/>
      </c>
      <c r="AE42" s="7">
        <f>IF($E42="","",AD42-Q42)</f>
        <v/>
      </c>
      <c r="AI42" s="7" t="n"/>
      <c r="AL42" s="11" t="n"/>
      <c r="AN42">
        <f>IF($E42="","",IF(COUNTIF($E$2:$E42,$E42)=1,1,0))</f>
        <v/>
      </c>
      <c r="AO42">
        <f>IF($AN42=1,SUMPRODUCT(--($AR$2:$AR$4001&lt;$AR42))+1,"")</f>
        <v/>
      </c>
      <c r="AP42">
        <f>IF($E42="","",IF(OR($U42=TRUE(),$U42="TRUE"),1,0))</f>
        <v/>
      </c>
      <c r="AQ42">
        <f>IF($E42="","",IF($AA42="Yes",1,0))</f>
        <v/>
      </c>
      <c r="AR42">
        <f>IF($AN42=1,IFERROR(VALUE(MID($E42,2,20)),1000000000)+ROW()/100000,"")</f>
        <v/>
      </c>
    </row>
    <row r="43">
      <c r="G43" s="11" t="n"/>
      <c r="Q43" s="7">
        <f>IF($E43="","",P43*Y43/100)</f>
        <v/>
      </c>
      <c r="R43" s="7" t="n"/>
      <c r="X43" s="7" t="n"/>
      <c r="Y43" s="7" t="n"/>
      <c r="AB43">
        <f>IF($E43="","",IF($AQ43=1,0,IF($AP43=1,Settings!$C$6,Settings!$C$7))*100)</f>
        <v/>
      </c>
      <c r="AC43" s="7">
        <f>IF($E43="","",Y43*AB43/100)</f>
        <v/>
      </c>
      <c r="AD43" s="7">
        <f>IF($E43="","",Y43-AC43)</f>
        <v/>
      </c>
      <c r="AE43" s="7">
        <f>IF($E43="","",AD43-Q43)</f>
        <v/>
      </c>
      <c r="AI43" s="7" t="n"/>
      <c r="AL43" s="11" t="n"/>
      <c r="AN43">
        <f>IF($E43="","",IF(COUNTIF($E$2:$E43,$E43)=1,1,0))</f>
        <v/>
      </c>
      <c r="AO43">
        <f>IF($AN43=1,SUMPRODUCT(--($AR$2:$AR$4001&lt;$AR43))+1,"")</f>
        <v/>
      </c>
      <c r="AP43">
        <f>IF($E43="","",IF(OR($U43=TRUE(),$U43="TRUE"),1,0))</f>
        <v/>
      </c>
      <c r="AQ43">
        <f>IF($E43="","",IF($AA43="Yes",1,0))</f>
        <v/>
      </c>
      <c r="AR43">
        <f>IF($AN43=1,IFERROR(VALUE(MID($E43,2,20)),1000000000)+ROW()/100000,"")</f>
        <v/>
      </c>
    </row>
    <row r="44">
      <c r="G44" s="11" t="n"/>
      <c r="Q44" s="7">
        <f>IF($E44="","",P44*Y44/100)</f>
        <v/>
      </c>
      <c r="R44" s="7" t="n"/>
      <c r="X44" s="7" t="n"/>
      <c r="Y44" s="7" t="n"/>
      <c r="AB44">
        <f>IF($E44="","",IF($AQ44=1,0,IF($AP44=1,Settings!$C$6,Settings!$C$7))*100)</f>
        <v/>
      </c>
      <c r="AC44" s="7">
        <f>IF($E44="","",Y44*AB44/100)</f>
        <v/>
      </c>
      <c r="AD44" s="7">
        <f>IF($E44="","",Y44-AC44)</f>
        <v/>
      </c>
      <c r="AE44" s="7">
        <f>IF($E44="","",AD44-Q44)</f>
        <v/>
      </c>
      <c r="AI44" s="7" t="n"/>
      <c r="AL44" s="11" t="n"/>
      <c r="AN44">
        <f>IF($E44="","",IF(COUNTIF($E$2:$E44,$E44)=1,1,0))</f>
        <v/>
      </c>
      <c r="AO44">
        <f>IF($AN44=1,SUMPRODUCT(--($AR$2:$AR$4001&lt;$AR44))+1,"")</f>
        <v/>
      </c>
      <c r="AP44">
        <f>IF($E44="","",IF(OR($U44=TRUE(),$U44="TRUE"),1,0))</f>
        <v/>
      </c>
      <c r="AQ44">
        <f>IF($E44="","",IF($AA44="Yes",1,0))</f>
        <v/>
      </c>
      <c r="AR44">
        <f>IF($AN44=1,IFERROR(VALUE(MID($E44,2,20)),1000000000)+ROW()/100000,"")</f>
        <v/>
      </c>
    </row>
    <row r="45">
      <c r="G45" s="11" t="n"/>
      <c r="Q45" s="7">
        <f>IF($E45="","",P45*Y45/100)</f>
        <v/>
      </c>
      <c r="R45" s="7" t="n"/>
      <c r="X45" s="7" t="n"/>
      <c r="Y45" s="7" t="n"/>
      <c r="AB45">
        <f>IF($E45="","",IF($AQ45=1,0,IF($AP45=1,Settings!$C$6,Settings!$C$7))*100)</f>
        <v/>
      </c>
      <c r="AC45" s="7">
        <f>IF($E45="","",Y45*AB45/100)</f>
        <v/>
      </c>
      <c r="AD45" s="7">
        <f>IF($E45="","",Y45-AC45)</f>
        <v/>
      </c>
      <c r="AE45" s="7">
        <f>IF($E45="","",AD45-Q45)</f>
        <v/>
      </c>
      <c r="AI45" s="7" t="n"/>
      <c r="AL45" s="11" t="n"/>
      <c r="AN45">
        <f>IF($E45="","",IF(COUNTIF($E$2:$E45,$E45)=1,1,0))</f>
        <v/>
      </c>
      <c r="AO45">
        <f>IF($AN45=1,SUMPRODUCT(--($AR$2:$AR$4001&lt;$AR45))+1,"")</f>
        <v/>
      </c>
      <c r="AP45">
        <f>IF($E45="","",IF(OR($U45=TRUE(),$U45="TRUE"),1,0))</f>
        <v/>
      </c>
      <c r="AQ45">
        <f>IF($E45="","",IF($AA45="Yes",1,0))</f>
        <v/>
      </c>
      <c r="AR45">
        <f>IF($AN45=1,IFERROR(VALUE(MID($E45,2,20)),1000000000)+ROW()/100000,"")</f>
        <v/>
      </c>
    </row>
    <row r="46">
      <c r="G46" s="11" t="n"/>
      <c r="Q46" s="7">
        <f>IF($E46="","",P46*Y46/100)</f>
        <v/>
      </c>
      <c r="R46" s="7" t="n"/>
      <c r="X46" s="7" t="n"/>
      <c r="Y46" s="7" t="n"/>
      <c r="AB46">
        <f>IF($E46="","",IF($AQ46=1,0,IF($AP46=1,Settings!$C$6,Settings!$C$7))*100)</f>
        <v/>
      </c>
      <c r="AC46" s="7">
        <f>IF($E46="","",Y46*AB46/100)</f>
        <v/>
      </c>
      <c r="AD46" s="7">
        <f>IF($E46="","",Y46-AC46)</f>
        <v/>
      </c>
      <c r="AE46" s="7">
        <f>IF($E46="","",AD46-Q46)</f>
        <v/>
      </c>
      <c r="AI46" s="7" t="n"/>
      <c r="AL46" s="11" t="n"/>
      <c r="AN46">
        <f>IF($E46="","",IF(COUNTIF($E$2:$E46,$E46)=1,1,0))</f>
        <v/>
      </c>
      <c r="AO46">
        <f>IF($AN46=1,SUMPRODUCT(--($AR$2:$AR$4001&lt;$AR46))+1,"")</f>
        <v/>
      </c>
      <c r="AP46">
        <f>IF($E46="","",IF(OR($U46=TRUE(),$U46="TRUE"),1,0))</f>
        <v/>
      </c>
      <c r="AQ46">
        <f>IF($E46="","",IF($AA46="Yes",1,0))</f>
        <v/>
      </c>
      <c r="AR46">
        <f>IF($AN46=1,IFERROR(VALUE(MID($E46,2,20)),1000000000)+ROW()/100000,"")</f>
        <v/>
      </c>
    </row>
    <row r="47">
      <c r="G47" s="11" t="n"/>
      <c r="Q47" s="7">
        <f>IF($E47="","",P47*Y47/100)</f>
        <v/>
      </c>
      <c r="R47" s="7" t="n"/>
      <c r="X47" s="7" t="n"/>
      <c r="Y47" s="7" t="n"/>
      <c r="AB47">
        <f>IF($E47="","",IF($AQ47=1,0,IF($AP47=1,Settings!$C$6,Settings!$C$7))*100)</f>
        <v/>
      </c>
      <c r="AC47" s="7">
        <f>IF($E47="","",Y47*AB47/100)</f>
        <v/>
      </c>
      <c r="AD47" s="7">
        <f>IF($E47="","",Y47-AC47)</f>
        <v/>
      </c>
      <c r="AE47" s="7">
        <f>IF($E47="","",AD47-Q47)</f>
        <v/>
      </c>
      <c r="AI47" s="7" t="n"/>
      <c r="AL47" s="11" t="n"/>
      <c r="AN47">
        <f>IF($E47="","",IF(COUNTIF($E$2:$E47,$E47)=1,1,0))</f>
        <v/>
      </c>
      <c r="AO47">
        <f>IF($AN47=1,SUMPRODUCT(--($AR$2:$AR$4001&lt;$AR47))+1,"")</f>
        <v/>
      </c>
      <c r="AP47">
        <f>IF($E47="","",IF(OR($U47=TRUE(),$U47="TRUE"),1,0))</f>
        <v/>
      </c>
      <c r="AQ47">
        <f>IF($E47="","",IF($AA47="Yes",1,0))</f>
        <v/>
      </c>
      <c r="AR47">
        <f>IF($AN47=1,IFERROR(VALUE(MID($E47,2,20)),1000000000)+ROW()/100000,"")</f>
        <v/>
      </c>
    </row>
    <row r="48">
      <c r="G48" s="11" t="n"/>
      <c r="Q48" s="7">
        <f>IF($E48="","",P48*Y48/100)</f>
        <v/>
      </c>
      <c r="R48" s="7" t="n"/>
      <c r="X48" s="7" t="n"/>
      <c r="Y48" s="7" t="n"/>
      <c r="AB48">
        <f>IF($E48="","",IF($AQ48=1,0,IF($AP48=1,Settings!$C$6,Settings!$C$7))*100)</f>
        <v/>
      </c>
      <c r="AC48" s="7">
        <f>IF($E48="","",Y48*AB48/100)</f>
        <v/>
      </c>
      <c r="AD48" s="7">
        <f>IF($E48="","",Y48-AC48)</f>
        <v/>
      </c>
      <c r="AE48" s="7">
        <f>IF($E48="","",AD48-Q48)</f>
        <v/>
      </c>
      <c r="AI48" s="7" t="n"/>
      <c r="AL48" s="11" t="n"/>
      <c r="AN48">
        <f>IF($E48="","",IF(COUNTIF($E$2:$E48,$E48)=1,1,0))</f>
        <v/>
      </c>
      <c r="AO48">
        <f>IF($AN48=1,SUMPRODUCT(--($AR$2:$AR$4001&lt;$AR48))+1,"")</f>
        <v/>
      </c>
      <c r="AP48">
        <f>IF($E48="","",IF(OR($U48=TRUE(),$U48="TRUE"),1,0))</f>
        <v/>
      </c>
      <c r="AQ48">
        <f>IF($E48="","",IF($AA48="Yes",1,0))</f>
        <v/>
      </c>
      <c r="AR48">
        <f>IF($AN48=1,IFERROR(VALUE(MID($E48,2,20)),1000000000)+ROW()/100000,"")</f>
        <v/>
      </c>
    </row>
    <row r="49">
      <c r="G49" s="11" t="n"/>
      <c r="Q49" s="7">
        <f>IF($E49="","",P49*Y49/100)</f>
        <v/>
      </c>
      <c r="R49" s="7" t="n"/>
      <c r="X49" s="7" t="n"/>
      <c r="Y49" s="7" t="n"/>
      <c r="AB49">
        <f>IF($E49="","",IF($AQ49=1,0,IF($AP49=1,Settings!$C$6,Settings!$C$7))*100)</f>
        <v/>
      </c>
      <c r="AC49" s="7">
        <f>IF($E49="","",Y49*AB49/100)</f>
        <v/>
      </c>
      <c r="AD49" s="7">
        <f>IF($E49="","",Y49-AC49)</f>
        <v/>
      </c>
      <c r="AE49" s="7">
        <f>IF($E49="","",AD49-Q49)</f>
        <v/>
      </c>
      <c r="AI49" s="7" t="n"/>
      <c r="AL49" s="11" t="n"/>
      <c r="AN49">
        <f>IF($E49="","",IF(COUNTIF($E$2:$E49,$E49)=1,1,0))</f>
        <v/>
      </c>
      <c r="AO49">
        <f>IF($AN49=1,SUMPRODUCT(--($AR$2:$AR$4001&lt;$AR49))+1,"")</f>
        <v/>
      </c>
      <c r="AP49">
        <f>IF($E49="","",IF(OR($U49=TRUE(),$U49="TRUE"),1,0))</f>
        <v/>
      </c>
      <c r="AQ49">
        <f>IF($E49="","",IF($AA49="Yes",1,0))</f>
        <v/>
      </c>
      <c r="AR49">
        <f>IF($AN49=1,IFERROR(VALUE(MID($E49,2,20)),1000000000)+ROW()/100000,"")</f>
        <v/>
      </c>
    </row>
    <row r="50">
      <c r="G50" s="11" t="n"/>
      <c r="Q50" s="7">
        <f>IF($E50="","",P50*Y50/100)</f>
        <v/>
      </c>
      <c r="R50" s="7" t="n"/>
      <c r="X50" s="7" t="n"/>
      <c r="Y50" s="7" t="n"/>
      <c r="AB50">
        <f>IF($E50="","",IF($AQ50=1,0,IF($AP50=1,Settings!$C$6,Settings!$C$7))*100)</f>
        <v/>
      </c>
      <c r="AC50" s="7">
        <f>IF($E50="","",Y50*AB50/100)</f>
        <v/>
      </c>
      <c r="AD50" s="7">
        <f>IF($E50="","",Y50-AC50)</f>
        <v/>
      </c>
      <c r="AE50" s="7">
        <f>IF($E50="","",AD50-Q50)</f>
        <v/>
      </c>
      <c r="AI50" s="7" t="n"/>
      <c r="AL50" s="11" t="n"/>
      <c r="AN50">
        <f>IF($E50="","",IF(COUNTIF($E$2:$E50,$E50)=1,1,0))</f>
        <v/>
      </c>
      <c r="AO50">
        <f>IF($AN50=1,SUMPRODUCT(--($AR$2:$AR$4001&lt;$AR50))+1,"")</f>
        <v/>
      </c>
      <c r="AP50">
        <f>IF($E50="","",IF(OR($U50=TRUE(),$U50="TRUE"),1,0))</f>
        <v/>
      </c>
      <c r="AQ50">
        <f>IF($E50="","",IF($AA50="Yes",1,0))</f>
        <v/>
      </c>
      <c r="AR50">
        <f>IF($AN50=1,IFERROR(VALUE(MID($E50,2,20)),1000000000)+ROW()/100000,"")</f>
        <v/>
      </c>
    </row>
    <row r="51">
      <c r="G51" s="11" t="n"/>
      <c r="Q51" s="7">
        <f>IF($E51="","",P51*Y51/100)</f>
        <v/>
      </c>
      <c r="R51" s="7" t="n"/>
      <c r="X51" s="7" t="n"/>
      <c r="Y51" s="7" t="n"/>
      <c r="AB51">
        <f>IF($E51="","",IF($AQ51=1,0,IF($AP51=1,Settings!$C$6,Settings!$C$7))*100)</f>
        <v/>
      </c>
      <c r="AC51" s="7">
        <f>IF($E51="","",Y51*AB51/100)</f>
        <v/>
      </c>
      <c r="AD51" s="7">
        <f>IF($E51="","",Y51-AC51)</f>
        <v/>
      </c>
      <c r="AE51" s="7">
        <f>IF($E51="","",AD51-Q51)</f>
        <v/>
      </c>
      <c r="AI51" s="7" t="n"/>
      <c r="AL51" s="11" t="n"/>
      <c r="AN51">
        <f>IF($E51="","",IF(COUNTIF($E$2:$E51,$E51)=1,1,0))</f>
        <v/>
      </c>
      <c r="AO51">
        <f>IF($AN51=1,SUMPRODUCT(--($AR$2:$AR$4001&lt;$AR51))+1,"")</f>
        <v/>
      </c>
      <c r="AP51">
        <f>IF($E51="","",IF(OR($U51=TRUE(),$U51="TRUE"),1,0))</f>
        <v/>
      </c>
      <c r="AQ51">
        <f>IF($E51="","",IF($AA51="Yes",1,0))</f>
        <v/>
      </c>
      <c r="AR51">
        <f>IF($AN51=1,IFERROR(VALUE(MID($E51,2,20)),1000000000)+ROW()/100000,"")</f>
        <v/>
      </c>
    </row>
    <row r="52">
      <c r="G52" s="11" t="n"/>
      <c r="Q52" s="7">
        <f>IF($E52="","",P52*Y52/100)</f>
        <v/>
      </c>
      <c r="R52" s="7" t="n"/>
      <c r="X52" s="7" t="n"/>
      <c r="Y52" s="7" t="n"/>
      <c r="AB52">
        <f>IF($E52="","",IF($AQ52=1,0,IF($AP52=1,Settings!$C$6,Settings!$C$7))*100)</f>
        <v/>
      </c>
      <c r="AC52" s="7">
        <f>IF($E52="","",Y52*AB52/100)</f>
        <v/>
      </c>
      <c r="AD52" s="7">
        <f>IF($E52="","",Y52-AC52)</f>
        <v/>
      </c>
      <c r="AE52" s="7">
        <f>IF($E52="","",AD52-Q52)</f>
        <v/>
      </c>
      <c r="AI52" s="7" t="n"/>
      <c r="AL52" s="11" t="n"/>
      <c r="AN52">
        <f>IF($E52="","",IF(COUNTIF($E$2:$E52,$E52)=1,1,0))</f>
        <v/>
      </c>
      <c r="AO52">
        <f>IF($AN52=1,SUMPRODUCT(--($AR$2:$AR$4001&lt;$AR52))+1,"")</f>
        <v/>
      </c>
      <c r="AP52">
        <f>IF($E52="","",IF(OR($U52=TRUE(),$U52="TRUE"),1,0))</f>
        <v/>
      </c>
      <c r="AQ52">
        <f>IF($E52="","",IF($AA52="Yes",1,0))</f>
        <v/>
      </c>
      <c r="AR52">
        <f>IF($AN52=1,IFERROR(VALUE(MID($E52,2,20)),1000000000)+ROW()/100000,"")</f>
        <v/>
      </c>
    </row>
    <row r="53">
      <c r="G53" s="11" t="n"/>
      <c r="Q53" s="7">
        <f>IF($E53="","",P53*Y53/100)</f>
        <v/>
      </c>
      <c r="R53" s="7" t="n"/>
      <c r="X53" s="7" t="n"/>
      <c r="Y53" s="7" t="n"/>
      <c r="AB53">
        <f>IF($E53="","",IF($AQ53=1,0,IF($AP53=1,Settings!$C$6,Settings!$C$7))*100)</f>
        <v/>
      </c>
      <c r="AC53" s="7">
        <f>IF($E53="","",Y53*AB53/100)</f>
        <v/>
      </c>
      <c r="AD53" s="7">
        <f>IF($E53="","",Y53-AC53)</f>
        <v/>
      </c>
      <c r="AE53" s="7">
        <f>IF($E53="","",AD53-Q53)</f>
        <v/>
      </c>
      <c r="AI53" s="7" t="n"/>
      <c r="AL53" s="11" t="n"/>
      <c r="AN53">
        <f>IF($E53="","",IF(COUNTIF($E$2:$E53,$E53)=1,1,0))</f>
        <v/>
      </c>
      <c r="AO53">
        <f>IF($AN53=1,SUMPRODUCT(--($AR$2:$AR$4001&lt;$AR53))+1,"")</f>
        <v/>
      </c>
      <c r="AP53">
        <f>IF($E53="","",IF(OR($U53=TRUE(),$U53="TRUE"),1,0))</f>
        <v/>
      </c>
      <c r="AQ53">
        <f>IF($E53="","",IF($AA53="Yes",1,0))</f>
        <v/>
      </c>
      <c r="AR53">
        <f>IF($AN53=1,IFERROR(VALUE(MID($E53,2,20)),1000000000)+ROW()/100000,"")</f>
        <v/>
      </c>
    </row>
    <row r="54">
      <c r="G54" s="11" t="n"/>
      <c r="Q54" s="7">
        <f>IF($E54="","",P54*Y54/100)</f>
        <v/>
      </c>
      <c r="R54" s="7" t="n"/>
      <c r="X54" s="7" t="n"/>
      <c r="Y54" s="7" t="n"/>
      <c r="AB54">
        <f>IF($E54="","",IF($AQ54=1,0,IF($AP54=1,Settings!$C$6,Settings!$C$7))*100)</f>
        <v/>
      </c>
      <c r="AC54" s="7">
        <f>IF($E54="","",Y54*AB54/100)</f>
        <v/>
      </c>
      <c r="AD54" s="7">
        <f>IF($E54="","",Y54-AC54)</f>
        <v/>
      </c>
      <c r="AE54" s="7">
        <f>IF($E54="","",AD54-Q54)</f>
        <v/>
      </c>
      <c r="AI54" s="7" t="n"/>
      <c r="AL54" s="11" t="n"/>
      <c r="AN54">
        <f>IF($E54="","",IF(COUNTIF($E$2:$E54,$E54)=1,1,0))</f>
        <v/>
      </c>
      <c r="AO54">
        <f>IF($AN54=1,SUMPRODUCT(--($AR$2:$AR$4001&lt;$AR54))+1,"")</f>
        <v/>
      </c>
      <c r="AP54">
        <f>IF($E54="","",IF(OR($U54=TRUE(),$U54="TRUE"),1,0))</f>
        <v/>
      </c>
      <c r="AQ54">
        <f>IF($E54="","",IF($AA54="Yes",1,0))</f>
        <v/>
      </c>
      <c r="AR54">
        <f>IF($AN54=1,IFERROR(VALUE(MID($E54,2,20)),1000000000)+ROW()/100000,"")</f>
        <v/>
      </c>
    </row>
    <row r="55">
      <c r="G55" s="11" t="n"/>
      <c r="Q55" s="7">
        <f>IF($E55="","",P55*Y55/100)</f>
        <v/>
      </c>
      <c r="R55" s="7" t="n"/>
      <c r="X55" s="7" t="n"/>
      <c r="Y55" s="7" t="n"/>
      <c r="AB55">
        <f>IF($E55="","",IF($AQ55=1,0,IF($AP55=1,Settings!$C$6,Settings!$C$7))*100)</f>
        <v/>
      </c>
      <c r="AC55" s="7">
        <f>IF($E55="","",Y55*AB55/100)</f>
        <v/>
      </c>
      <c r="AD55" s="7">
        <f>IF($E55="","",Y55-AC55)</f>
        <v/>
      </c>
      <c r="AE55" s="7">
        <f>IF($E55="","",AD55-Q55)</f>
        <v/>
      </c>
      <c r="AI55" s="7" t="n"/>
      <c r="AL55" s="11" t="n"/>
      <c r="AN55">
        <f>IF($E55="","",IF(COUNTIF($E$2:$E55,$E55)=1,1,0))</f>
        <v/>
      </c>
      <c r="AO55">
        <f>IF($AN55=1,SUMPRODUCT(--($AR$2:$AR$4001&lt;$AR55))+1,"")</f>
        <v/>
      </c>
      <c r="AP55">
        <f>IF($E55="","",IF(OR($U55=TRUE(),$U55="TRUE"),1,0))</f>
        <v/>
      </c>
      <c r="AQ55">
        <f>IF($E55="","",IF($AA55="Yes",1,0))</f>
        <v/>
      </c>
      <c r="AR55">
        <f>IF($AN55=1,IFERROR(VALUE(MID($E55,2,20)),1000000000)+ROW()/100000,"")</f>
        <v/>
      </c>
    </row>
    <row r="56">
      <c r="G56" s="11" t="n"/>
      <c r="Q56" s="7">
        <f>IF($E56="","",P56*Y56/100)</f>
        <v/>
      </c>
      <c r="R56" s="7" t="n"/>
      <c r="X56" s="7" t="n"/>
      <c r="Y56" s="7" t="n"/>
      <c r="AB56">
        <f>IF($E56="","",IF($AQ56=1,0,IF($AP56=1,Settings!$C$6,Settings!$C$7))*100)</f>
        <v/>
      </c>
      <c r="AC56" s="7">
        <f>IF($E56="","",Y56*AB56/100)</f>
        <v/>
      </c>
      <c r="AD56" s="7">
        <f>IF($E56="","",Y56-AC56)</f>
        <v/>
      </c>
      <c r="AE56" s="7">
        <f>IF($E56="","",AD56-Q56)</f>
        <v/>
      </c>
      <c r="AI56" s="7" t="n"/>
      <c r="AL56" s="11" t="n"/>
      <c r="AN56">
        <f>IF($E56="","",IF(COUNTIF($E$2:$E56,$E56)=1,1,0))</f>
        <v/>
      </c>
      <c r="AO56">
        <f>IF($AN56=1,SUMPRODUCT(--($AR$2:$AR$4001&lt;$AR56))+1,"")</f>
        <v/>
      </c>
      <c r="AP56">
        <f>IF($E56="","",IF(OR($U56=TRUE(),$U56="TRUE"),1,0))</f>
        <v/>
      </c>
      <c r="AQ56">
        <f>IF($E56="","",IF($AA56="Yes",1,0))</f>
        <v/>
      </c>
      <c r="AR56">
        <f>IF($AN56=1,IFERROR(VALUE(MID($E56,2,20)),1000000000)+ROW()/100000,"")</f>
        <v/>
      </c>
    </row>
    <row r="57">
      <c r="G57" s="11" t="n"/>
      <c r="Q57" s="7">
        <f>IF($E57="","",P57*Y57/100)</f>
        <v/>
      </c>
      <c r="R57" s="7" t="n"/>
      <c r="X57" s="7" t="n"/>
      <c r="Y57" s="7" t="n"/>
      <c r="AB57">
        <f>IF($E57="","",IF($AQ57=1,0,IF($AP57=1,Settings!$C$6,Settings!$C$7))*100)</f>
        <v/>
      </c>
      <c r="AC57" s="7">
        <f>IF($E57="","",Y57*AB57/100)</f>
        <v/>
      </c>
      <c r="AD57" s="7">
        <f>IF($E57="","",Y57-AC57)</f>
        <v/>
      </c>
      <c r="AE57" s="7">
        <f>IF($E57="","",AD57-Q57)</f>
        <v/>
      </c>
      <c r="AI57" s="7" t="n"/>
      <c r="AL57" s="11" t="n"/>
      <c r="AN57">
        <f>IF($E57="","",IF(COUNTIF($E$2:$E57,$E57)=1,1,0))</f>
        <v/>
      </c>
      <c r="AO57">
        <f>IF($AN57=1,SUMPRODUCT(--($AR$2:$AR$4001&lt;$AR57))+1,"")</f>
        <v/>
      </c>
      <c r="AP57">
        <f>IF($E57="","",IF(OR($U57=TRUE(),$U57="TRUE"),1,0))</f>
        <v/>
      </c>
      <c r="AQ57">
        <f>IF($E57="","",IF($AA57="Yes",1,0))</f>
        <v/>
      </c>
      <c r="AR57">
        <f>IF($AN57=1,IFERROR(VALUE(MID($E57,2,20)),1000000000)+ROW()/100000,"")</f>
        <v/>
      </c>
    </row>
    <row r="58">
      <c r="G58" s="11" t="n"/>
      <c r="Q58" s="7">
        <f>IF($E58="","",P58*Y58/100)</f>
        <v/>
      </c>
      <c r="R58" s="7" t="n"/>
      <c r="X58" s="7" t="n"/>
      <c r="Y58" s="7" t="n"/>
      <c r="AB58">
        <f>IF($E58="","",IF($AQ58=1,0,IF($AP58=1,Settings!$C$6,Settings!$C$7))*100)</f>
        <v/>
      </c>
      <c r="AC58" s="7">
        <f>IF($E58="","",Y58*AB58/100)</f>
        <v/>
      </c>
      <c r="AD58" s="7">
        <f>IF($E58="","",Y58-AC58)</f>
        <v/>
      </c>
      <c r="AE58" s="7">
        <f>IF($E58="","",AD58-Q58)</f>
        <v/>
      </c>
      <c r="AI58" s="7" t="n"/>
      <c r="AL58" s="11" t="n"/>
      <c r="AN58">
        <f>IF($E58="","",IF(COUNTIF($E$2:$E58,$E58)=1,1,0))</f>
        <v/>
      </c>
      <c r="AO58">
        <f>IF($AN58=1,SUMPRODUCT(--($AR$2:$AR$4001&lt;$AR58))+1,"")</f>
        <v/>
      </c>
      <c r="AP58">
        <f>IF($E58="","",IF(OR($U58=TRUE(),$U58="TRUE"),1,0))</f>
        <v/>
      </c>
      <c r="AQ58">
        <f>IF($E58="","",IF($AA58="Yes",1,0))</f>
        <v/>
      </c>
      <c r="AR58">
        <f>IF($AN58=1,IFERROR(VALUE(MID($E58,2,20)),1000000000)+ROW()/100000,"")</f>
        <v/>
      </c>
    </row>
    <row r="59">
      <c r="G59" s="11" t="n"/>
      <c r="Q59" s="7">
        <f>IF($E59="","",P59*Y59/100)</f>
        <v/>
      </c>
      <c r="R59" s="7" t="n"/>
      <c r="X59" s="7" t="n"/>
      <c r="Y59" s="7" t="n"/>
      <c r="AB59">
        <f>IF($E59="","",IF($AQ59=1,0,IF($AP59=1,Settings!$C$6,Settings!$C$7))*100)</f>
        <v/>
      </c>
      <c r="AC59" s="7">
        <f>IF($E59="","",Y59*AB59/100)</f>
        <v/>
      </c>
      <c r="AD59" s="7">
        <f>IF($E59="","",Y59-AC59)</f>
        <v/>
      </c>
      <c r="AE59" s="7">
        <f>IF($E59="","",AD59-Q59)</f>
        <v/>
      </c>
      <c r="AI59" s="7" t="n"/>
      <c r="AL59" s="11" t="n"/>
      <c r="AN59">
        <f>IF($E59="","",IF(COUNTIF($E$2:$E59,$E59)=1,1,0))</f>
        <v/>
      </c>
      <c r="AO59">
        <f>IF($AN59=1,SUMPRODUCT(--($AR$2:$AR$4001&lt;$AR59))+1,"")</f>
        <v/>
      </c>
      <c r="AP59">
        <f>IF($E59="","",IF(OR($U59=TRUE(),$U59="TRUE"),1,0))</f>
        <v/>
      </c>
      <c r="AQ59">
        <f>IF($E59="","",IF($AA59="Yes",1,0))</f>
        <v/>
      </c>
      <c r="AR59">
        <f>IF($AN59=1,IFERROR(VALUE(MID($E59,2,20)),1000000000)+ROW()/100000,"")</f>
        <v/>
      </c>
    </row>
    <row r="60">
      <c r="G60" s="11" t="n"/>
      <c r="Q60" s="7">
        <f>IF($E60="","",P60*Y60/100)</f>
        <v/>
      </c>
      <c r="R60" s="7" t="n"/>
      <c r="X60" s="7" t="n"/>
      <c r="Y60" s="7" t="n"/>
      <c r="AB60">
        <f>IF($E60="","",IF($AQ60=1,0,IF($AP60=1,Settings!$C$6,Settings!$C$7))*100)</f>
        <v/>
      </c>
      <c r="AC60" s="7">
        <f>IF($E60="","",Y60*AB60/100)</f>
        <v/>
      </c>
      <c r="AD60" s="7">
        <f>IF($E60="","",Y60-AC60)</f>
        <v/>
      </c>
      <c r="AE60" s="7">
        <f>IF($E60="","",AD60-Q60)</f>
        <v/>
      </c>
      <c r="AI60" s="7" t="n"/>
      <c r="AL60" s="11" t="n"/>
      <c r="AN60">
        <f>IF($E60="","",IF(COUNTIF($E$2:$E60,$E60)=1,1,0))</f>
        <v/>
      </c>
      <c r="AO60">
        <f>IF($AN60=1,SUMPRODUCT(--($AR$2:$AR$4001&lt;$AR60))+1,"")</f>
        <v/>
      </c>
      <c r="AP60">
        <f>IF($E60="","",IF(OR($U60=TRUE(),$U60="TRUE"),1,0))</f>
        <v/>
      </c>
      <c r="AQ60">
        <f>IF($E60="","",IF($AA60="Yes",1,0))</f>
        <v/>
      </c>
      <c r="AR60">
        <f>IF($AN60=1,IFERROR(VALUE(MID($E60,2,20)),1000000000)+ROW()/100000,"")</f>
        <v/>
      </c>
    </row>
    <row r="61">
      <c r="G61" s="11" t="n"/>
      <c r="Q61" s="7">
        <f>IF($E61="","",P61*Y61/100)</f>
        <v/>
      </c>
      <c r="R61" s="7" t="n"/>
      <c r="X61" s="7" t="n"/>
      <c r="Y61" s="7" t="n"/>
      <c r="AB61">
        <f>IF($E61="","",IF($AQ61=1,0,IF($AP61=1,Settings!$C$6,Settings!$C$7))*100)</f>
        <v/>
      </c>
      <c r="AC61" s="7">
        <f>IF($E61="","",Y61*AB61/100)</f>
        <v/>
      </c>
      <c r="AD61" s="7">
        <f>IF($E61="","",Y61-AC61)</f>
        <v/>
      </c>
      <c r="AE61" s="7">
        <f>IF($E61="","",AD61-Q61)</f>
        <v/>
      </c>
      <c r="AI61" s="7" t="n"/>
      <c r="AL61" s="11" t="n"/>
      <c r="AN61">
        <f>IF($E61="","",IF(COUNTIF($E$2:$E61,$E61)=1,1,0))</f>
        <v/>
      </c>
      <c r="AO61">
        <f>IF($AN61=1,SUMPRODUCT(--($AR$2:$AR$4001&lt;$AR61))+1,"")</f>
        <v/>
      </c>
      <c r="AP61">
        <f>IF($E61="","",IF(OR($U61=TRUE(),$U61="TRUE"),1,0))</f>
        <v/>
      </c>
      <c r="AQ61">
        <f>IF($E61="","",IF($AA61="Yes",1,0))</f>
        <v/>
      </c>
      <c r="AR61">
        <f>IF($AN61=1,IFERROR(VALUE(MID($E61,2,20)),1000000000)+ROW()/100000,"")</f>
        <v/>
      </c>
    </row>
    <row r="62">
      <c r="G62" s="11" t="n"/>
      <c r="Q62" s="7">
        <f>IF($E62="","",P62*Y62/100)</f>
        <v/>
      </c>
      <c r="R62" s="7" t="n"/>
      <c r="X62" s="7" t="n"/>
      <c r="Y62" s="7" t="n"/>
      <c r="AB62">
        <f>IF($E62="","",IF($AQ62=1,0,IF($AP62=1,Settings!$C$6,Settings!$C$7))*100)</f>
        <v/>
      </c>
      <c r="AC62" s="7">
        <f>IF($E62="","",Y62*AB62/100)</f>
        <v/>
      </c>
      <c r="AD62" s="7">
        <f>IF($E62="","",Y62-AC62)</f>
        <v/>
      </c>
      <c r="AE62" s="7">
        <f>IF($E62="","",AD62-Q62)</f>
        <v/>
      </c>
      <c r="AI62" s="7" t="n"/>
      <c r="AL62" s="11" t="n"/>
      <c r="AN62">
        <f>IF($E62="","",IF(COUNTIF($E$2:$E62,$E62)=1,1,0))</f>
        <v/>
      </c>
      <c r="AO62">
        <f>IF($AN62=1,SUMPRODUCT(--($AR$2:$AR$4001&lt;$AR62))+1,"")</f>
        <v/>
      </c>
      <c r="AP62">
        <f>IF($E62="","",IF(OR($U62=TRUE(),$U62="TRUE"),1,0))</f>
        <v/>
      </c>
      <c r="AQ62">
        <f>IF($E62="","",IF($AA62="Yes",1,0))</f>
        <v/>
      </c>
      <c r="AR62">
        <f>IF($AN62=1,IFERROR(VALUE(MID($E62,2,20)),1000000000)+ROW()/100000,"")</f>
        <v/>
      </c>
    </row>
    <row r="63">
      <c r="G63" s="11" t="n"/>
      <c r="Q63" s="7">
        <f>IF($E63="","",P63*Y63/100)</f>
        <v/>
      </c>
      <c r="R63" s="7" t="n"/>
      <c r="X63" s="7" t="n"/>
      <c r="Y63" s="7" t="n"/>
      <c r="AB63">
        <f>IF($E63="","",IF($AQ63=1,0,IF($AP63=1,Settings!$C$6,Settings!$C$7))*100)</f>
        <v/>
      </c>
      <c r="AC63" s="7">
        <f>IF($E63="","",Y63*AB63/100)</f>
        <v/>
      </c>
      <c r="AD63" s="7">
        <f>IF($E63="","",Y63-AC63)</f>
        <v/>
      </c>
      <c r="AE63" s="7">
        <f>IF($E63="","",AD63-Q63)</f>
        <v/>
      </c>
      <c r="AI63" s="7" t="n"/>
      <c r="AL63" s="11" t="n"/>
      <c r="AN63">
        <f>IF($E63="","",IF(COUNTIF($E$2:$E63,$E63)=1,1,0))</f>
        <v/>
      </c>
      <c r="AO63">
        <f>IF($AN63=1,SUMPRODUCT(--($AR$2:$AR$4001&lt;$AR63))+1,"")</f>
        <v/>
      </c>
      <c r="AP63">
        <f>IF($E63="","",IF(OR($U63=TRUE(),$U63="TRUE"),1,0))</f>
        <v/>
      </c>
      <c r="AQ63">
        <f>IF($E63="","",IF($AA63="Yes",1,0))</f>
        <v/>
      </c>
      <c r="AR63">
        <f>IF($AN63=1,IFERROR(VALUE(MID($E63,2,20)),1000000000)+ROW()/100000,"")</f>
        <v/>
      </c>
    </row>
    <row r="64">
      <c r="G64" s="11" t="n"/>
      <c r="Q64" s="7">
        <f>IF($E64="","",P64*Y64/100)</f>
        <v/>
      </c>
      <c r="R64" s="7" t="n"/>
      <c r="X64" s="7" t="n"/>
      <c r="Y64" s="7" t="n"/>
      <c r="AB64">
        <f>IF($E64="","",IF($AQ64=1,0,IF($AP64=1,Settings!$C$6,Settings!$C$7))*100)</f>
        <v/>
      </c>
      <c r="AC64" s="7">
        <f>IF($E64="","",Y64*AB64/100)</f>
        <v/>
      </c>
      <c r="AD64" s="7">
        <f>IF($E64="","",Y64-AC64)</f>
        <v/>
      </c>
      <c r="AE64" s="7">
        <f>IF($E64="","",AD64-Q64)</f>
        <v/>
      </c>
      <c r="AI64" s="7" t="n"/>
      <c r="AL64" s="11" t="n"/>
      <c r="AN64">
        <f>IF($E64="","",IF(COUNTIF($E$2:$E64,$E64)=1,1,0))</f>
        <v/>
      </c>
      <c r="AO64">
        <f>IF($AN64=1,SUMPRODUCT(--($AR$2:$AR$4001&lt;$AR64))+1,"")</f>
        <v/>
      </c>
      <c r="AP64">
        <f>IF($E64="","",IF(OR($U64=TRUE(),$U64="TRUE"),1,0))</f>
        <v/>
      </c>
      <c r="AQ64">
        <f>IF($E64="","",IF($AA64="Yes",1,0))</f>
        <v/>
      </c>
      <c r="AR64">
        <f>IF($AN64=1,IFERROR(VALUE(MID($E64,2,20)),1000000000)+ROW()/100000,"")</f>
        <v/>
      </c>
    </row>
    <row r="65">
      <c r="G65" s="11" t="n"/>
      <c r="Q65" s="7">
        <f>IF($E65="","",P65*Y65/100)</f>
        <v/>
      </c>
      <c r="R65" s="7" t="n"/>
      <c r="X65" s="7" t="n"/>
      <c r="Y65" s="7" t="n"/>
      <c r="AB65">
        <f>IF($E65="","",IF($AQ65=1,0,IF($AP65=1,Settings!$C$6,Settings!$C$7))*100)</f>
        <v/>
      </c>
      <c r="AC65" s="7">
        <f>IF($E65="","",Y65*AB65/100)</f>
        <v/>
      </c>
      <c r="AD65" s="7">
        <f>IF($E65="","",Y65-AC65)</f>
        <v/>
      </c>
      <c r="AE65" s="7">
        <f>IF($E65="","",AD65-Q65)</f>
        <v/>
      </c>
      <c r="AI65" s="7" t="n"/>
      <c r="AL65" s="11" t="n"/>
      <c r="AN65">
        <f>IF($E65="","",IF(COUNTIF($E$2:$E65,$E65)=1,1,0))</f>
        <v/>
      </c>
      <c r="AO65">
        <f>IF($AN65=1,SUMPRODUCT(--($AR$2:$AR$4001&lt;$AR65))+1,"")</f>
        <v/>
      </c>
      <c r="AP65">
        <f>IF($E65="","",IF(OR($U65=TRUE(),$U65="TRUE"),1,0))</f>
        <v/>
      </c>
      <c r="AQ65">
        <f>IF($E65="","",IF($AA65="Yes",1,0))</f>
        <v/>
      </c>
      <c r="AR65">
        <f>IF($AN65=1,IFERROR(VALUE(MID($E65,2,20)),1000000000)+ROW()/100000,"")</f>
        <v/>
      </c>
    </row>
    <row r="66">
      <c r="G66" s="11" t="n"/>
      <c r="Q66" s="7">
        <f>IF($E66="","",P66*Y66/100)</f>
        <v/>
      </c>
      <c r="R66" s="7" t="n"/>
      <c r="X66" s="7" t="n"/>
      <c r="Y66" s="7" t="n"/>
      <c r="AB66">
        <f>IF($E66="","",IF($AQ66=1,0,IF($AP66=1,Settings!$C$6,Settings!$C$7))*100)</f>
        <v/>
      </c>
      <c r="AC66" s="7">
        <f>IF($E66="","",Y66*AB66/100)</f>
        <v/>
      </c>
      <c r="AD66" s="7">
        <f>IF($E66="","",Y66-AC66)</f>
        <v/>
      </c>
      <c r="AE66" s="7">
        <f>IF($E66="","",AD66-Q66)</f>
        <v/>
      </c>
      <c r="AI66" s="7" t="n"/>
      <c r="AL66" s="11" t="n"/>
      <c r="AN66">
        <f>IF($E66="","",IF(COUNTIF($E$2:$E66,$E66)=1,1,0))</f>
        <v/>
      </c>
      <c r="AO66">
        <f>IF($AN66=1,SUMPRODUCT(--($AR$2:$AR$4001&lt;$AR66))+1,"")</f>
        <v/>
      </c>
      <c r="AP66">
        <f>IF($E66="","",IF(OR($U66=TRUE(),$U66="TRUE"),1,0))</f>
        <v/>
      </c>
      <c r="AQ66">
        <f>IF($E66="","",IF($AA66="Yes",1,0))</f>
        <v/>
      </c>
      <c r="AR66">
        <f>IF($AN66=1,IFERROR(VALUE(MID($E66,2,20)),1000000000)+ROW()/100000,"")</f>
        <v/>
      </c>
    </row>
    <row r="67">
      <c r="G67" s="11" t="n"/>
      <c r="Q67" s="7">
        <f>IF($E67="","",P67*Y67/100)</f>
        <v/>
      </c>
      <c r="R67" s="7" t="n"/>
      <c r="X67" s="7" t="n"/>
      <c r="Y67" s="7" t="n"/>
      <c r="AB67">
        <f>IF($E67="","",IF($AQ67=1,0,IF($AP67=1,Settings!$C$6,Settings!$C$7))*100)</f>
        <v/>
      </c>
      <c r="AC67" s="7">
        <f>IF($E67="","",Y67*AB67/100)</f>
        <v/>
      </c>
      <c r="AD67" s="7">
        <f>IF($E67="","",Y67-AC67)</f>
        <v/>
      </c>
      <c r="AE67" s="7">
        <f>IF($E67="","",AD67-Q67)</f>
        <v/>
      </c>
      <c r="AI67" s="7" t="n"/>
      <c r="AL67" s="11" t="n"/>
      <c r="AN67">
        <f>IF($E67="","",IF(COUNTIF($E$2:$E67,$E67)=1,1,0))</f>
        <v/>
      </c>
      <c r="AO67">
        <f>IF($AN67=1,SUMPRODUCT(--($AR$2:$AR$4001&lt;$AR67))+1,"")</f>
        <v/>
      </c>
      <c r="AP67">
        <f>IF($E67="","",IF(OR($U67=TRUE(),$U67="TRUE"),1,0))</f>
        <v/>
      </c>
      <c r="AQ67">
        <f>IF($E67="","",IF($AA67="Yes",1,0))</f>
        <v/>
      </c>
      <c r="AR67">
        <f>IF($AN67=1,IFERROR(VALUE(MID($E67,2,20)),1000000000)+ROW()/100000,"")</f>
        <v/>
      </c>
    </row>
    <row r="68">
      <c r="G68" s="11" t="n"/>
      <c r="Q68" s="7">
        <f>IF($E68="","",P68*Y68/100)</f>
        <v/>
      </c>
      <c r="R68" s="7" t="n"/>
      <c r="X68" s="7" t="n"/>
      <c r="Y68" s="7" t="n"/>
      <c r="AB68">
        <f>IF($E68="","",IF($AQ68=1,0,IF($AP68=1,Settings!$C$6,Settings!$C$7))*100)</f>
        <v/>
      </c>
      <c r="AC68" s="7">
        <f>IF($E68="","",Y68*AB68/100)</f>
        <v/>
      </c>
      <c r="AD68" s="7">
        <f>IF($E68="","",Y68-AC68)</f>
        <v/>
      </c>
      <c r="AE68" s="7">
        <f>IF($E68="","",AD68-Q68)</f>
        <v/>
      </c>
      <c r="AI68" s="7" t="n"/>
      <c r="AL68" s="11" t="n"/>
      <c r="AN68">
        <f>IF($E68="","",IF(COUNTIF($E$2:$E68,$E68)=1,1,0))</f>
        <v/>
      </c>
      <c r="AO68">
        <f>IF($AN68=1,SUMPRODUCT(--($AR$2:$AR$4001&lt;$AR68))+1,"")</f>
        <v/>
      </c>
      <c r="AP68">
        <f>IF($E68="","",IF(OR($U68=TRUE(),$U68="TRUE"),1,0))</f>
        <v/>
      </c>
      <c r="AQ68">
        <f>IF($E68="","",IF($AA68="Yes",1,0))</f>
        <v/>
      </c>
      <c r="AR68">
        <f>IF($AN68=1,IFERROR(VALUE(MID($E68,2,20)),1000000000)+ROW()/100000,"")</f>
        <v/>
      </c>
    </row>
    <row r="69">
      <c r="G69" s="11" t="n"/>
      <c r="Q69" s="7">
        <f>IF($E69="","",P69*Y69/100)</f>
        <v/>
      </c>
      <c r="R69" s="7" t="n"/>
      <c r="X69" s="7" t="n"/>
      <c r="Y69" s="7" t="n"/>
      <c r="AB69">
        <f>IF($E69="","",IF($AQ69=1,0,IF($AP69=1,Settings!$C$6,Settings!$C$7))*100)</f>
        <v/>
      </c>
      <c r="AC69" s="7">
        <f>IF($E69="","",Y69*AB69/100)</f>
        <v/>
      </c>
      <c r="AD69" s="7">
        <f>IF($E69="","",Y69-AC69)</f>
        <v/>
      </c>
      <c r="AE69" s="7">
        <f>IF($E69="","",AD69-Q69)</f>
        <v/>
      </c>
      <c r="AI69" s="7" t="n"/>
      <c r="AL69" s="11" t="n"/>
      <c r="AN69">
        <f>IF($E69="","",IF(COUNTIF($E$2:$E69,$E69)=1,1,0))</f>
        <v/>
      </c>
      <c r="AO69">
        <f>IF($AN69=1,SUMPRODUCT(--($AR$2:$AR$4001&lt;$AR69))+1,"")</f>
        <v/>
      </c>
      <c r="AP69">
        <f>IF($E69="","",IF(OR($U69=TRUE(),$U69="TRUE"),1,0))</f>
        <v/>
      </c>
      <c r="AQ69">
        <f>IF($E69="","",IF($AA69="Yes",1,0))</f>
        <v/>
      </c>
      <c r="AR69">
        <f>IF($AN69=1,IFERROR(VALUE(MID($E69,2,20)),1000000000)+ROW()/100000,"")</f>
        <v/>
      </c>
    </row>
    <row r="70">
      <c r="G70" s="11" t="n"/>
      <c r="Q70" s="7">
        <f>IF($E70="","",P70*Y70/100)</f>
        <v/>
      </c>
      <c r="R70" s="7" t="n"/>
      <c r="X70" s="7" t="n"/>
      <c r="Y70" s="7" t="n"/>
      <c r="AB70">
        <f>IF($E70="","",IF($AQ70=1,0,IF($AP70=1,Settings!$C$6,Settings!$C$7))*100)</f>
        <v/>
      </c>
      <c r="AC70" s="7">
        <f>IF($E70="","",Y70*AB70/100)</f>
        <v/>
      </c>
      <c r="AD70" s="7">
        <f>IF($E70="","",Y70-AC70)</f>
        <v/>
      </c>
      <c r="AE70" s="7">
        <f>IF($E70="","",AD70-Q70)</f>
        <v/>
      </c>
      <c r="AI70" s="7" t="n"/>
      <c r="AL70" s="11" t="n"/>
      <c r="AN70">
        <f>IF($E70="","",IF(COUNTIF($E$2:$E70,$E70)=1,1,0))</f>
        <v/>
      </c>
      <c r="AO70">
        <f>IF($AN70=1,SUMPRODUCT(--($AR$2:$AR$4001&lt;$AR70))+1,"")</f>
        <v/>
      </c>
      <c r="AP70">
        <f>IF($E70="","",IF(OR($U70=TRUE(),$U70="TRUE"),1,0))</f>
        <v/>
      </c>
      <c r="AQ70">
        <f>IF($E70="","",IF($AA70="Yes",1,0))</f>
        <v/>
      </c>
      <c r="AR70">
        <f>IF($AN70=1,IFERROR(VALUE(MID($E70,2,20)),1000000000)+ROW()/100000,"")</f>
        <v/>
      </c>
    </row>
    <row r="71">
      <c r="G71" s="11" t="n"/>
      <c r="Q71" s="7">
        <f>IF($E71="","",P71*Y71/100)</f>
        <v/>
      </c>
      <c r="R71" s="7" t="n"/>
      <c r="X71" s="7" t="n"/>
      <c r="Y71" s="7" t="n"/>
      <c r="AB71">
        <f>IF($E71="","",IF($AQ71=1,0,IF($AP71=1,Settings!$C$6,Settings!$C$7))*100)</f>
        <v/>
      </c>
      <c r="AC71" s="7">
        <f>IF($E71="","",Y71*AB71/100)</f>
        <v/>
      </c>
      <c r="AD71" s="7">
        <f>IF($E71="","",Y71-AC71)</f>
        <v/>
      </c>
      <c r="AE71" s="7">
        <f>IF($E71="","",AD71-Q71)</f>
        <v/>
      </c>
      <c r="AI71" s="7" t="n"/>
      <c r="AL71" s="11" t="n"/>
      <c r="AN71">
        <f>IF($E71="","",IF(COUNTIF($E$2:$E71,$E71)=1,1,0))</f>
        <v/>
      </c>
      <c r="AO71">
        <f>IF($AN71=1,SUMPRODUCT(--($AR$2:$AR$4001&lt;$AR71))+1,"")</f>
        <v/>
      </c>
      <c r="AP71">
        <f>IF($E71="","",IF(OR($U71=TRUE(),$U71="TRUE"),1,0))</f>
        <v/>
      </c>
      <c r="AQ71">
        <f>IF($E71="","",IF($AA71="Yes",1,0))</f>
        <v/>
      </c>
      <c r="AR71">
        <f>IF($AN71=1,IFERROR(VALUE(MID($E71,2,20)),1000000000)+ROW()/100000,"")</f>
        <v/>
      </c>
    </row>
    <row r="72">
      <c r="G72" s="11" t="n"/>
      <c r="Q72" s="7">
        <f>IF($E72="","",P72*Y72/100)</f>
        <v/>
      </c>
      <c r="R72" s="7" t="n"/>
      <c r="X72" s="7" t="n"/>
      <c r="Y72" s="7" t="n"/>
      <c r="AB72">
        <f>IF($E72="","",IF($AQ72=1,0,IF($AP72=1,Settings!$C$6,Settings!$C$7))*100)</f>
        <v/>
      </c>
      <c r="AC72" s="7">
        <f>IF($E72="","",Y72*AB72/100)</f>
        <v/>
      </c>
      <c r="AD72" s="7">
        <f>IF($E72="","",Y72-AC72)</f>
        <v/>
      </c>
      <c r="AE72" s="7">
        <f>IF($E72="","",AD72-Q72)</f>
        <v/>
      </c>
      <c r="AI72" s="7" t="n"/>
      <c r="AL72" s="11" t="n"/>
      <c r="AN72">
        <f>IF($E72="","",IF(COUNTIF($E$2:$E72,$E72)=1,1,0))</f>
        <v/>
      </c>
      <c r="AO72">
        <f>IF($AN72=1,SUMPRODUCT(--($AR$2:$AR$4001&lt;$AR72))+1,"")</f>
        <v/>
      </c>
      <c r="AP72">
        <f>IF($E72="","",IF(OR($U72=TRUE(),$U72="TRUE"),1,0))</f>
        <v/>
      </c>
      <c r="AQ72">
        <f>IF($E72="","",IF($AA72="Yes",1,0))</f>
        <v/>
      </c>
      <c r="AR72">
        <f>IF($AN72=1,IFERROR(VALUE(MID($E72,2,20)),1000000000)+ROW()/100000,"")</f>
        <v/>
      </c>
    </row>
    <row r="73">
      <c r="G73" s="11" t="n"/>
      <c r="Q73" s="7">
        <f>IF($E73="","",P73*Y73/100)</f>
        <v/>
      </c>
      <c r="R73" s="7" t="n"/>
      <c r="X73" s="7" t="n"/>
      <c r="Y73" s="7" t="n"/>
      <c r="AB73">
        <f>IF($E73="","",IF($AQ73=1,0,IF($AP73=1,Settings!$C$6,Settings!$C$7))*100)</f>
        <v/>
      </c>
      <c r="AC73" s="7">
        <f>IF($E73="","",Y73*AB73/100)</f>
        <v/>
      </c>
      <c r="AD73" s="7">
        <f>IF($E73="","",Y73-AC73)</f>
        <v/>
      </c>
      <c r="AE73" s="7">
        <f>IF($E73="","",AD73-Q73)</f>
        <v/>
      </c>
      <c r="AI73" s="7" t="n"/>
      <c r="AL73" s="11" t="n"/>
      <c r="AN73">
        <f>IF($E73="","",IF(COUNTIF($E$2:$E73,$E73)=1,1,0))</f>
        <v/>
      </c>
      <c r="AO73">
        <f>IF($AN73=1,SUMPRODUCT(--($AR$2:$AR$4001&lt;$AR73))+1,"")</f>
        <v/>
      </c>
      <c r="AP73">
        <f>IF($E73="","",IF(OR($U73=TRUE(),$U73="TRUE"),1,0))</f>
        <v/>
      </c>
      <c r="AQ73">
        <f>IF($E73="","",IF($AA73="Yes",1,0))</f>
        <v/>
      </c>
      <c r="AR73">
        <f>IF($AN73=1,IFERROR(VALUE(MID($E73,2,20)),1000000000)+ROW()/100000,"")</f>
        <v/>
      </c>
    </row>
    <row r="74">
      <c r="G74" s="11" t="n"/>
      <c r="Q74" s="7">
        <f>IF($E74="","",P74*Y74/100)</f>
        <v/>
      </c>
      <c r="R74" s="7" t="n"/>
      <c r="X74" s="7" t="n"/>
      <c r="Y74" s="7" t="n"/>
      <c r="AB74">
        <f>IF($E74="","",IF($AQ74=1,0,IF($AP74=1,Settings!$C$6,Settings!$C$7))*100)</f>
        <v/>
      </c>
      <c r="AC74" s="7">
        <f>IF($E74="","",Y74*AB74/100)</f>
        <v/>
      </c>
      <c r="AD74" s="7">
        <f>IF($E74="","",Y74-AC74)</f>
        <v/>
      </c>
      <c r="AE74" s="7">
        <f>IF($E74="","",AD74-Q74)</f>
        <v/>
      </c>
      <c r="AI74" s="7" t="n"/>
      <c r="AL74" s="11" t="n"/>
      <c r="AN74">
        <f>IF($E74="","",IF(COUNTIF($E$2:$E74,$E74)=1,1,0))</f>
        <v/>
      </c>
      <c r="AO74">
        <f>IF($AN74=1,SUMPRODUCT(--($AR$2:$AR$4001&lt;$AR74))+1,"")</f>
        <v/>
      </c>
      <c r="AP74">
        <f>IF($E74="","",IF(OR($U74=TRUE(),$U74="TRUE"),1,0))</f>
        <v/>
      </c>
      <c r="AQ74">
        <f>IF($E74="","",IF($AA74="Yes",1,0))</f>
        <v/>
      </c>
      <c r="AR74">
        <f>IF($AN74=1,IFERROR(VALUE(MID($E74,2,20)),1000000000)+ROW()/100000,"")</f>
        <v/>
      </c>
    </row>
    <row r="75">
      <c r="G75" s="11" t="n"/>
      <c r="Q75" s="7">
        <f>IF($E75="","",P75*Y75/100)</f>
        <v/>
      </c>
      <c r="R75" s="7" t="n"/>
      <c r="X75" s="7" t="n"/>
      <c r="Y75" s="7" t="n"/>
      <c r="AB75">
        <f>IF($E75="","",IF($AQ75=1,0,IF($AP75=1,Settings!$C$6,Settings!$C$7))*100)</f>
        <v/>
      </c>
      <c r="AC75" s="7">
        <f>IF($E75="","",Y75*AB75/100)</f>
        <v/>
      </c>
      <c r="AD75" s="7">
        <f>IF($E75="","",Y75-AC75)</f>
        <v/>
      </c>
      <c r="AE75" s="7">
        <f>IF($E75="","",AD75-Q75)</f>
        <v/>
      </c>
      <c r="AI75" s="7" t="n"/>
      <c r="AL75" s="11" t="n"/>
      <c r="AN75">
        <f>IF($E75="","",IF(COUNTIF($E$2:$E75,$E75)=1,1,0))</f>
        <v/>
      </c>
      <c r="AO75">
        <f>IF($AN75=1,SUMPRODUCT(--($AR$2:$AR$4001&lt;$AR75))+1,"")</f>
        <v/>
      </c>
      <c r="AP75">
        <f>IF($E75="","",IF(OR($U75=TRUE(),$U75="TRUE"),1,0))</f>
        <v/>
      </c>
      <c r="AQ75">
        <f>IF($E75="","",IF($AA75="Yes",1,0))</f>
        <v/>
      </c>
      <c r="AR75">
        <f>IF($AN75=1,IFERROR(VALUE(MID($E75,2,20)),1000000000)+ROW()/100000,"")</f>
        <v/>
      </c>
    </row>
    <row r="76">
      <c r="G76" s="11" t="n"/>
      <c r="Q76" s="7">
        <f>IF($E76="","",P76*Y76/100)</f>
        <v/>
      </c>
      <c r="R76" s="7" t="n"/>
      <c r="X76" s="7" t="n"/>
      <c r="Y76" s="7" t="n"/>
      <c r="AB76">
        <f>IF($E76="","",IF($AQ76=1,0,IF($AP76=1,Settings!$C$6,Settings!$C$7))*100)</f>
        <v/>
      </c>
      <c r="AC76" s="7">
        <f>IF($E76="","",Y76*AB76/100)</f>
        <v/>
      </c>
      <c r="AD76" s="7">
        <f>IF($E76="","",Y76-AC76)</f>
        <v/>
      </c>
      <c r="AE76" s="7">
        <f>IF($E76="","",AD76-Q76)</f>
        <v/>
      </c>
      <c r="AI76" s="7" t="n"/>
      <c r="AL76" s="11" t="n"/>
      <c r="AN76">
        <f>IF($E76="","",IF(COUNTIF($E$2:$E76,$E76)=1,1,0))</f>
        <v/>
      </c>
      <c r="AO76">
        <f>IF($AN76=1,SUMPRODUCT(--($AR$2:$AR$4001&lt;$AR76))+1,"")</f>
        <v/>
      </c>
      <c r="AP76">
        <f>IF($E76="","",IF(OR($U76=TRUE(),$U76="TRUE"),1,0))</f>
        <v/>
      </c>
      <c r="AQ76">
        <f>IF($E76="","",IF($AA76="Yes",1,0))</f>
        <v/>
      </c>
      <c r="AR76">
        <f>IF($AN76=1,IFERROR(VALUE(MID($E76,2,20)),1000000000)+ROW()/100000,"")</f>
        <v/>
      </c>
    </row>
    <row r="77">
      <c r="G77" s="11" t="n"/>
      <c r="Q77" s="7">
        <f>IF($E77="","",P77*Y77/100)</f>
        <v/>
      </c>
      <c r="R77" s="7" t="n"/>
      <c r="X77" s="7" t="n"/>
      <c r="Y77" s="7" t="n"/>
      <c r="AB77">
        <f>IF($E77="","",IF($AQ77=1,0,IF($AP77=1,Settings!$C$6,Settings!$C$7))*100)</f>
        <v/>
      </c>
      <c r="AC77" s="7">
        <f>IF($E77="","",Y77*AB77/100)</f>
        <v/>
      </c>
      <c r="AD77" s="7">
        <f>IF($E77="","",Y77-AC77)</f>
        <v/>
      </c>
      <c r="AE77" s="7">
        <f>IF($E77="","",AD77-Q77)</f>
        <v/>
      </c>
      <c r="AI77" s="7" t="n"/>
      <c r="AL77" s="11" t="n"/>
      <c r="AN77">
        <f>IF($E77="","",IF(COUNTIF($E$2:$E77,$E77)=1,1,0))</f>
        <v/>
      </c>
      <c r="AO77">
        <f>IF($AN77=1,SUMPRODUCT(--($AR$2:$AR$4001&lt;$AR77))+1,"")</f>
        <v/>
      </c>
      <c r="AP77">
        <f>IF($E77="","",IF(OR($U77=TRUE(),$U77="TRUE"),1,0))</f>
        <v/>
      </c>
      <c r="AQ77">
        <f>IF($E77="","",IF($AA77="Yes",1,0))</f>
        <v/>
      </c>
      <c r="AR77">
        <f>IF($AN77=1,IFERROR(VALUE(MID($E77,2,20)),1000000000)+ROW()/100000,"")</f>
        <v/>
      </c>
    </row>
    <row r="78">
      <c r="G78" s="11" t="n"/>
      <c r="Q78" s="7">
        <f>IF($E78="","",P78*Y78/100)</f>
        <v/>
      </c>
      <c r="R78" s="7" t="n"/>
      <c r="X78" s="7" t="n"/>
      <c r="Y78" s="7" t="n"/>
      <c r="AB78">
        <f>IF($E78="","",IF($AQ78=1,0,IF($AP78=1,Settings!$C$6,Settings!$C$7))*100)</f>
        <v/>
      </c>
      <c r="AC78" s="7">
        <f>IF($E78="","",Y78*AB78/100)</f>
        <v/>
      </c>
      <c r="AD78" s="7">
        <f>IF($E78="","",Y78-AC78)</f>
        <v/>
      </c>
      <c r="AE78" s="7">
        <f>IF($E78="","",AD78-Q78)</f>
        <v/>
      </c>
      <c r="AI78" s="7" t="n"/>
      <c r="AL78" s="11" t="n"/>
      <c r="AN78">
        <f>IF($E78="","",IF(COUNTIF($E$2:$E78,$E78)=1,1,0))</f>
        <v/>
      </c>
      <c r="AO78">
        <f>IF($AN78=1,SUMPRODUCT(--($AR$2:$AR$4001&lt;$AR78))+1,"")</f>
        <v/>
      </c>
      <c r="AP78">
        <f>IF($E78="","",IF(OR($U78=TRUE(),$U78="TRUE"),1,0))</f>
        <v/>
      </c>
      <c r="AQ78">
        <f>IF($E78="","",IF($AA78="Yes",1,0))</f>
        <v/>
      </c>
      <c r="AR78">
        <f>IF($AN78=1,IFERROR(VALUE(MID($E78,2,20)),1000000000)+ROW()/100000,"")</f>
        <v/>
      </c>
    </row>
    <row r="79">
      <c r="G79" s="11" t="n"/>
      <c r="Q79" s="7">
        <f>IF($E79="","",P79*Y79/100)</f>
        <v/>
      </c>
      <c r="R79" s="7" t="n"/>
      <c r="X79" s="7" t="n"/>
      <c r="Y79" s="7" t="n"/>
      <c r="AB79">
        <f>IF($E79="","",IF($AQ79=1,0,IF($AP79=1,Settings!$C$6,Settings!$C$7))*100)</f>
        <v/>
      </c>
      <c r="AC79" s="7">
        <f>IF($E79="","",Y79*AB79/100)</f>
        <v/>
      </c>
      <c r="AD79" s="7">
        <f>IF($E79="","",Y79-AC79)</f>
        <v/>
      </c>
      <c r="AE79" s="7">
        <f>IF($E79="","",AD79-Q79)</f>
        <v/>
      </c>
      <c r="AI79" s="7" t="n"/>
      <c r="AL79" s="11" t="n"/>
      <c r="AN79">
        <f>IF($E79="","",IF(COUNTIF($E$2:$E79,$E79)=1,1,0))</f>
        <v/>
      </c>
      <c r="AO79">
        <f>IF($AN79=1,SUMPRODUCT(--($AR$2:$AR$4001&lt;$AR79))+1,"")</f>
        <v/>
      </c>
      <c r="AP79">
        <f>IF($E79="","",IF(OR($U79=TRUE(),$U79="TRUE"),1,0))</f>
        <v/>
      </c>
      <c r="AQ79">
        <f>IF($E79="","",IF($AA79="Yes",1,0))</f>
        <v/>
      </c>
      <c r="AR79">
        <f>IF($AN79=1,IFERROR(VALUE(MID($E79,2,20)),1000000000)+ROW()/100000,"")</f>
        <v/>
      </c>
    </row>
    <row r="80">
      <c r="G80" s="11" t="n"/>
      <c r="Q80" s="7">
        <f>IF($E80="","",P80*Y80/100)</f>
        <v/>
      </c>
      <c r="R80" s="7" t="n"/>
      <c r="X80" s="7" t="n"/>
      <c r="Y80" s="7" t="n"/>
      <c r="AB80">
        <f>IF($E80="","",IF($AQ80=1,0,IF($AP80=1,Settings!$C$6,Settings!$C$7))*100)</f>
        <v/>
      </c>
      <c r="AC80" s="7">
        <f>IF($E80="","",Y80*AB80/100)</f>
        <v/>
      </c>
      <c r="AD80" s="7">
        <f>IF($E80="","",Y80-AC80)</f>
        <v/>
      </c>
      <c r="AE80" s="7">
        <f>IF($E80="","",AD80-Q80)</f>
        <v/>
      </c>
      <c r="AI80" s="7" t="n"/>
      <c r="AL80" s="11" t="n"/>
      <c r="AN80">
        <f>IF($E80="","",IF(COUNTIF($E$2:$E80,$E80)=1,1,0))</f>
        <v/>
      </c>
      <c r="AO80">
        <f>IF($AN80=1,SUMPRODUCT(--($AR$2:$AR$4001&lt;$AR80))+1,"")</f>
        <v/>
      </c>
      <c r="AP80">
        <f>IF($E80="","",IF(OR($U80=TRUE(),$U80="TRUE"),1,0))</f>
        <v/>
      </c>
      <c r="AQ80">
        <f>IF($E80="","",IF($AA80="Yes",1,0))</f>
        <v/>
      </c>
      <c r="AR80">
        <f>IF($AN80=1,IFERROR(VALUE(MID($E80,2,20)),1000000000)+ROW()/100000,"")</f>
        <v/>
      </c>
    </row>
    <row r="81">
      <c r="G81" s="11" t="n"/>
      <c r="Q81" s="7">
        <f>IF($E81="","",P81*Y81/100)</f>
        <v/>
      </c>
      <c r="R81" s="7" t="n"/>
      <c r="X81" s="7" t="n"/>
      <c r="Y81" s="7" t="n"/>
      <c r="AB81">
        <f>IF($E81="","",IF($AQ81=1,0,IF($AP81=1,Settings!$C$6,Settings!$C$7))*100)</f>
        <v/>
      </c>
      <c r="AC81" s="7">
        <f>IF($E81="","",Y81*AB81/100)</f>
        <v/>
      </c>
      <c r="AD81" s="7">
        <f>IF($E81="","",Y81-AC81)</f>
        <v/>
      </c>
      <c r="AE81" s="7">
        <f>IF($E81="","",AD81-Q81)</f>
        <v/>
      </c>
      <c r="AI81" s="7" t="n"/>
      <c r="AL81" s="11" t="n"/>
      <c r="AN81">
        <f>IF($E81="","",IF(COUNTIF($E$2:$E81,$E81)=1,1,0))</f>
        <v/>
      </c>
      <c r="AO81">
        <f>IF($AN81=1,SUMPRODUCT(--($AR$2:$AR$4001&lt;$AR81))+1,"")</f>
        <v/>
      </c>
      <c r="AP81">
        <f>IF($E81="","",IF(OR($U81=TRUE(),$U81="TRUE"),1,0))</f>
        <v/>
      </c>
      <c r="AQ81">
        <f>IF($E81="","",IF($AA81="Yes",1,0))</f>
        <v/>
      </c>
      <c r="AR81">
        <f>IF($AN81=1,IFERROR(VALUE(MID($E81,2,20)),1000000000)+ROW()/100000,"")</f>
        <v/>
      </c>
    </row>
    <row r="82">
      <c r="G82" s="11" t="n"/>
      <c r="Q82" s="7">
        <f>IF($E82="","",P82*Y82/100)</f>
        <v/>
      </c>
      <c r="R82" s="7" t="n"/>
      <c r="X82" s="7" t="n"/>
      <c r="Y82" s="7" t="n"/>
      <c r="AB82">
        <f>IF($E82="","",IF($AQ82=1,0,IF($AP82=1,Settings!$C$6,Settings!$C$7))*100)</f>
        <v/>
      </c>
      <c r="AC82" s="7">
        <f>IF($E82="","",Y82*AB82/100)</f>
        <v/>
      </c>
      <c r="AD82" s="7">
        <f>IF($E82="","",Y82-AC82)</f>
        <v/>
      </c>
      <c r="AE82" s="7">
        <f>IF($E82="","",AD82-Q82)</f>
        <v/>
      </c>
      <c r="AI82" s="7" t="n"/>
      <c r="AL82" s="11" t="n"/>
      <c r="AN82">
        <f>IF($E82="","",IF(COUNTIF($E$2:$E82,$E82)=1,1,0))</f>
        <v/>
      </c>
      <c r="AO82">
        <f>IF($AN82=1,SUMPRODUCT(--($AR$2:$AR$4001&lt;$AR82))+1,"")</f>
        <v/>
      </c>
      <c r="AP82">
        <f>IF($E82="","",IF(OR($U82=TRUE(),$U82="TRUE"),1,0))</f>
        <v/>
      </c>
      <c r="AQ82">
        <f>IF($E82="","",IF($AA82="Yes",1,0))</f>
        <v/>
      </c>
      <c r="AR82">
        <f>IF($AN82=1,IFERROR(VALUE(MID($E82,2,20)),1000000000)+ROW()/100000,"")</f>
        <v/>
      </c>
    </row>
    <row r="83">
      <c r="G83" s="11" t="n"/>
      <c r="Q83" s="7">
        <f>IF($E83="","",P83*Y83/100)</f>
        <v/>
      </c>
      <c r="R83" s="7" t="n"/>
      <c r="X83" s="7" t="n"/>
      <c r="Y83" s="7" t="n"/>
      <c r="AB83">
        <f>IF($E83="","",IF($AQ83=1,0,IF($AP83=1,Settings!$C$6,Settings!$C$7))*100)</f>
        <v/>
      </c>
      <c r="AC83" s="7">
        <f>IF($E83="","",Y83*AB83/100)</f>
        <v/>
      </c>
      <c r="AD83" s="7">
        <f>IF($E83="","",Y83-AC83)</f>
        <v/>
      </c>
      <c r="AE83" s="7">
        <f>IF($E83="","",AD83-Q83)</f>
        <v/>
      </c>
      <c r="AI83" s="7" t="n"/>
      <c r="AL83" s="11" t="n"/>
      <c r="AN83">
        <f>IF($E83="","",IF(COUNTIF($E$2:$E83,$E83)=1,1,0))</f>
        <v/>
      </c>
      <c r="AO83">
        <f>IF($AN83=1,SUMPRODUCT(--($AR$2:$AR$4001&lt;$AR83))+1,"")</f>
        <v/>
      </c>
      <c r="AP83">
        <f>IF($E83="","",IF(OR($U83=TRUE(),$U83="TRUE"),1,0))</f>
        <v/>
      </c>
      <c r="AQ83">
        <f>IF($E83="","",IF($AA83="Yes",1,0))</f>
        <v/>
      </c>
      <c r="AR83">
        <f>IF($AN83=1,IFERROR(VALUE(MID($E83,2,20)),1000000000)+ROW()/100000,"")</f>
        <v/>
      </c>
    </row>
    <row r="84">
      <c r="G84" s="11" t="n"/>
      <c r="Q84" s="7">
        <f>IF($E84="","",P84*Y84/100)</f>
        <v/>
      </c>
      <c r="R84" s="7" t="n"/>
      <c r="X84" s="7" t="n"/>
      <c r="Y84" s="7" t="n"/>
      <c r="AB84">
        <f>IF($E84="","",IF($AQ84=1,0,IF($AP84=1,Settings!$C$6,Settings!$C$7))*100)</f>
        <v/>
      </c>
      <c r="AC84" s="7">
        <f>IF($E84="","",Y84*AB84/100)</f>
        <v/>
      </c>
      <c r="AD84" s="7">
        <f>IF($E84="","",Y84-AC84)</f>
        <v/>
      </c>
      <c r="AE84" s="7">
        <f>IF($E84="","",AD84-Q84)</f>
        <v/>
      </c>
      <c r="AI84" s="7" t="n"/>
      <c r="AL84" s="11" t="n"/>
      <c r="AN84">
        <f>IF($E84="","",IF(COUNTIF($E$2:$E84,$E84)=1,1,0))</f>
        <v/>
      </c>
      <c r="AO84">
        <f>IF($AN84=1,SUMPRODUCT(--($AR$2:$AR$4001&lt;$AR84))+1,"")</f>
        <v/>
      </c>
      <c r="AP84">
        <f>IF($E84="","",IF(OR($U84=TRUE(),$U84="TRUE"),1,0))</f>
        <v/>
      </c>
      <c r="AQ84">
        <f>IF($E84="","",IF($AA84="Yes",1,0))</f>
        <v/>
      </c>
      <c r="AR84">
        <f>IF($AN84=1,IFERROR(VALUE(MID($E84,2,20)),1000000000)+ROW()/100000,"")</f>
        <v/>
      </c>
    </row>
    <row r="85">
      <c r="G85" s="11" t="n"/>
      <c r="Q85" s="7">
        <f>IF($E85="","",P85*Y85/100)</f>
        <v/>
      </c>
      <c r="R85" s="7" t="n"/>
      <c r="X85" s="7" t="n"/>
      <c r="Y85" s="7" t="n"/>
      <c r="AB85">
        <f>IF($E85="","",IF($AQ85=1,0,IF($AP85=1,Settings!$C$6,Settings!$C$7))*100)</f>
        <v/>
      </c>
      <c r="AC85" s="7">
        <f>IF($E85="","",Y85*AB85/100)</f>
        <v/>
      </c>
      <c r="AD85" s="7">
        <f>IF($E85="","",Y85-AC85)</f>
        <v/>
      </c>
      <c r="AE85" s="7">
        <f>IF($E85="","",AD85-Q85)</f>
        <v/>
      </c>
      <c r="AI85" s="7" t="n"/>
      <c r="AL85" s="11" t="n"/>
      <c r="AN85">
        <f>IF($E85="","",IF(COUNTIF($E$2:$E85,$E85)=1,1,0))</f>
        <v/>
      </c>
      <c r="AO85">
        <f>IF($AN85=1,SUMPRODUCT(--($AR$2:$AR$4001&lt;$AR85))+1,"")</f>
        <v/>
      </c>
      <c r="AP85">
        <f>IF($E85="","",IF(OR($U85=TRUE(),$U85="TRUE"),1,0))</f>
        <v/>
      </c>
      <c r="AQ85">
        <f>IF($E85="","",IF($AA85="Yes",1,0))</f>
        <v/>
      </c>
      <c r="AR85">
        <f>IF($AN85=1,IFERROR(VALUE(MID($E85,2,20)),1000000000)+ROW()/100000,"")</f>
        <v/>
      </c>
    </row>
    <row r="86">
      <c r="G86" s="11" t="n"/>
      <c r="Q86" s="7">
        <f>IF($E86="","",P86*Y86/100)</f>
        <v/>
      </c>
      <c r="R86" s="7" t="n"/>
      <c r="X86" s="7" t="n"/>
      <c r="Y86" s="7" t="n"/>
      <c r="AB86">
        <f>IF($E86="","",IF($AQ86=1,0,IF($AP86=1,Settings!$C$6,Settings!$C$7))*100)</f>
        <v/>
      </c>
      <c r="AC86" s="7">
        <f>IF($E86="","",Y86*AB86/100)</f>
        <v/>
      </c>
      <c r="AD86" s="7">
        <f>IF($E86="","",Y86-AC86)</f>
        <v/>
      </c>
      <c r="AE86" s="7">
        <f>IF($E86="","",AD86-Q86)</f>
        <v/>
      </c>
      <c r="AI86" s="7" t="n"/>
      <c r="AL86" s="11" t="n"/>
      <c r="AN86">
        <f>IF($E86="","",IF(COUNTIF($E$2:$E86,$E86)=1,1,0))</f>
        <v/>
      </c>
      <c r="AO86">
        <f>IF($AN86=1,SUMPRODUCT(--($AR$2:$AR$4001&lt;$AR86))+1,"")</f>
        <v/>
      </c>
      <c r="AP86">
        <f>IF($E86="","",IF(OR($U86=TRUE(),$U86="TRUE"),1,0))</f>
        <v/>
      </c>
      <c r="AQ86">
        <f>IF($E86="","",IF($AA86="Yes",1,0))</f>
        <v/>
      </c>
      <c r="AR86">
        <f>IF($AN86=1,IFERROR(VALUE(MID($E86,2,20)),1000000000)+ROW()/100000,"")</f>
        <v/>
      </c>
    </row>
    <row r="87">
      <c r="G87" s="11" t="n"/>
      <c r="Q87" s="7">
        <f>IF($E87="","",P87*Y87/100)</f>
        <v/>
      </c>
      <c r="R87" s="7" t="n"/>
      <c r="X87" s="7" t="n"/>
      <c r="Y87" s="7" t="n"/>
      <c r="AB87">
        <f>IF($E87="","",IF($AQ87=1,0,IF($AP87=1,Settings!$C$6,Settings!$C$7))*100)</f>
        <v/>
      </c>
      <c r="AC87" s="7">
        <f>IF($E87="","",Y87*AB87/100)</f>
        <v/>
      </c>
      <c r="AD87" s="7">
        <f>IF($E87="","",Y87-AC87)</f>
        <v/>
      </c>
      <c r="AE87" s="7">
        <f>IF($E87="","",AD87-Q87)</f>
        <v/>
      </c>
      <c r="AI87" s="7" t="n"/>
      <c r="AL87" s="11" t="n"/>
      <c r="AN87">
        <f>IF($E87="","",IF(COUNTIF($E$2:$E87,$E87)=1,1,0))</f>
        <v/>
      </c>
      <c r="AO87">
        <f>IF($AN87=1,SUMPRODUCT(--($AR$2:$AR$4001&lt;$AR87))+1,"")</f>
        <v/>
      </c>
      <c r="AP87">
        <f>IF($E87="","",IF(OR($U87=TRUE(),$U87="TRUE"),1,0))</f>
        <v/>
      </c>
      <c r="AQ87">
        <f>IF($E87="","",IF($AA87="Yes",1,0))</f>
        <v/>
      </c>
      <c r="AR87">
        <f>IF($AN87=1,IFERROR(VALUE(MID($E87,2,20)),1000000000)+ROW()/100000,"")</f>
        <v/>
      </c>
    </row>
    <row r="88">
      <c r="G88" s="11" t="n"/>
      <c r="Q88" s="7">
        <f>IF($E88="","",P88*Y88/100)</f>
        <v/>
      </c>
      <c r="R88" s="7" t="n"/>
      <c r="X88" s="7" t="n"/>
      <c r="Y88" s="7" t="n"/>
      <c r="AB88">
        <f>IF($E88="","",IF($AQ88=1,0,IF($AP88=1,Settings!$C$6,Settings!$C$7))*100)</f>
        <v/>
      </c>
      <c r="AC88" s="7">
        <f>IF($E88="","",Y88*AB88/100)</f>
        <v/>
      </c>
      <c r="AD88" s="7">
        <f>IF($E88="","",Y88-AC88)</f>
        <v/>
      </c>
      <c r="AE88" s="7">
        <f>IF($E88="","",AD88-Q88)</f>
        <v/>
      </c>
      <c r="AI88" s="7" t="n"/>
      <c r="AL88" s="11" t="n"/>
      <c r="AN88">
        <f>IF($E88="","",IF(COUNTIF($E$2:$E88,$E88)=1,1,0))</f>
        <v/>
      </c>
      <c r="AO88">
        <f>IF($AN88=1,SUMPRODUCT(--($AR$2:$AR$4001&lt;$AR88))+1,"")</f>
        <v/>
      </c>
      <c r="AP88">
        <f>IF($E88="","",IF(OR($U88=TRUE(),$U88="TRUE"),1,0))</f>
        <v/>
      </c>
      <c r="AQ88">
        <f>IF($E88="","",IF($AA88="Yes",1,0))</f>
        <v/>
      </c>
      <c r="AR88">
        <f>IF($AN88=1,IFERROR(VALUE(MID($E88,2,20)),1000000000)+ROW()/100000,"")</f>
        <v/>
      </c>
    </row>
    <row r="89">
      <c r="G89" s="11" t="n"/>
      <c r="Q89" s="7">
        <f>IF($E89="","",P89*Y89/100)</f>
        <v/>
      </c>
      <c r="R89" s="7" t="n"/>
      <c r="X89" s="7" t="n"/>
      <c r="Y89" s="7" t="n"/>
      <c r="AB89">
        <f>IF($E89="","",IF($AQ89=1,0,IF($AP89=1,Settings!$C$6,Settings!$C$7))*100)</f>
        <v/>
      </c>
      <c r="AC89" s="7">
        <f>IF($E89="","",Y89*AB89/100)</f>
        <v/>
      </c>
      <c r="AD89" s="7">
        <f>IF($E89="","",Y89-AC89)</f>
        <v/>
      </c>
      <c r="AE89" s="7">
        <f>IF($E89="","",AD89-Q89)</f>
        <v/>
      </c>
      <c r="AI89" s="7" t="n"/>
      <c r="AL89" s="11" t="n"/>
      <c r="AN89">
        <f>IF($E89="","",IF(COUNTIF($E$2:$E89,$E89)=1,1,0))</f>
        <v/>
      </c>
      <c r="AO89">
        <f>IF($AN89=1,SUMPRODUCT(--($AR$2:$AR$4001&lt;$AR89))+1,"")</f>
        <v/>
      </c>
      <c r="AP89">
        <f>IF($E89="","",IF(OR($U89=TRUE(),$U89="TRUE"),1,0))</f>
        <v/>
      </c>
      <c r="AQ89">
        <f>IF($E89="","",IF($AA89="Yes",1,0))</f>
        <v/>
      </c>
      <c r="AR89">
        <f>IF($AN89=1,IFERROR(VALUE(MID($E89,2,20)),1000000000)+ROW()/100000,"")</f>
        <v/>
      </c>
    </row>
    <row r="90">
      <c r="G90" s="11" t="n"/>
      <c r="Q90" s="7">
        <f>IF($E90="","",P90*Y90/100)</f>
        <v/>
      </c>
      <c r="R90" s="7" t="n"/>
      <c r="X90" s="7" t="n"/>
      <c r="Y90" s="7" t="n"/>
      <c r="AB90">
        <f>IF($E90="","",IF($AQ90=1,0,IF($AP90=1,Settings!$C$6,Settings!$C$7))*100)</f>
        <v/>
      </c>
      <c r="AC90" s="7">
        <f>IF($E90="","",Y90*AB90/100)</f>
        <v/>
      </c>
      <c r="AD90" s="7">
        <f>IF($E90="","",Y90-AC90)</f>
        <v/>
      </c>
      <c r="AE90" s="7">
        <f>IF($E90="","",AD90-Q90)</f>
        <v/>
      </c>
      <c r="AI90" s="7" t="n"/>
      <c r="AL90" s="11" t="n"/>
      <c r="AN90">
        <f>IF($E90="","",IF(COUNTIF($E$2:$E90,$E90)=1,1,0))</f>
        <v/>
      </c>
      <c r="AO90">
        <f>IF($AN90=1,SUMPRODUCT(--($AR$2:$AR$4001&lt;$AR90))+1,"")</f>
        <v/>
      </c>
      <c r="AP90">
        <f>IF($E90="","",IF(OR($U90=TRUE(),$U90="TRUE"),1,0))</f>
        <v/>
      </c>
      <c r="AQ90">
        <f>IF($E90="","",IF($AA90="Yes",1,0))</f>
        <v/>
      </c>
      <c r="AR90">
        <f>IF($AN90=1,IFERROR(VALUE(MID($E90,2,20)),1000000000)+ROW()/100000,"")</f>
        <v/>
      </c>
    </row>
    <row r="91">
      <c r="G91" s="11" t="n"/>
      <c r="Q91" s="7">
        <f>IF($E91="","",P91*Y91/100)</f>
        <v/>
      </c>
      <c r="R91" s="7" t="n"/>
      <c r="X91" s="7" t="n"/>
      <c r="Y91" s="7" t="n"/>
      <c r="AB91">
        <f>IF($E91="","",IF($AQ91=1,0,IF($AP91=1,Settings!$C$6,Settings!$C$7))*100)</f>
        <v/>
      </c>
      <c r="AC91" s="7">
        <f>IF($E91="","",Y91*AB91/100)</f>
        <v/>
      </c>
      <c r="AD91" s="7">
        <f>IF($E91="","",Y91-AC91)</f>
        <v/>
      </c>
      <c r="AE91" s="7">
        <f>IF($E91="","",AD91-Q91)</f>
        <v/>
      </c>
      <c r="AI91" s="7" t="n"/>
      <c r="AL91" s="11" t="n"/>
      <c r="AN91">
        <f>IF($E91="","",IF(COUNTIF($E$2:$E91,$E91)=1,1,0))</f>
        <v/>
      </c>
      <c r="AO91">
        <f>IF($AN91=1,SUMPRODUCT(--($AR$2:$AR$4001&lt;$AR91))+1,"")</f>
        <v/>
      </c>
      <c r="AP91">
        <f>IF($E91="","",IF(OR($U91=TRUE(),$U91="TRUE"),1,0))</f>
        <v/>
      </c>
      <c r="AQ91">
        <f>IF($E91="","",IF($AA91="Yes",1,0))</f>
        <v/>
      </c>
      <c r="AR91">
        <f>IF($AN91=1,IFERROR(VALUE(MID($E91,2,20)),1000000000)+ROW()/100000,"")</f>
        <v/>
      </c>
    </row>
    <row r="92">
      <c r="G92" s="11" t="n"/>
      <c r="Q92" s="7">
        <f>IF($E92="","",P92*Y92/100)</f>
        <v/>
      </c>
      <c r="R92" s="7" t="n"/>
      <c r="X92" s="7" t="n"/>
      <c r="Y92" s="7" t="n"/>
      <c r="AB92">
        <f>IF($E92="","",IF($AQ92=1,0,IF($AP92=1,Settings!$C$6,Settings!$C$7))*100)</f>
        <v/>
      </c>
      <c r="AC92" s="7">
        <f>IF($E92="","",Y92*AB92/100)</f>
        <v/>
      </c>
      <c r="AD92" s="7">
        <f>IF($E92="","",Y92-AC92)</f>
        <v/>
      </c>
      <c r="AE92" s="7">
        <f>IF($E92="","",AD92-Q92)</f>
        <v/>
      </c>
      <c r="AI92" s="7" t="n"/>
      <c r="AL92" s="11" t="n"/>
      <c r="AN92">
        <f>IF($E92="","",IF(COUNTIF($E$2:$E92,$E92)=1,1,0))</f>
        <v/>
      </c>
      <c r="AO92">
        <f>IF($AN92=1,SUMPRODUCT(--($AR$2:$AR$4001&lt;$AR92))+1,"")</f>
        <v/>
      </c>
      <c r="AP92">
        <f>IF($E92="","",IF(OR($U92=TRUE(),$U92="TRUE"),1,0))</f>
        <v/>
      </c>
      <c r="AQ92">
        <f>IF($E92="","",IF($AA92="Yes",1,0))</f>
        <v/>
      </c>
      <c r="AR92">
        <f>IF($AN92=1,IFERROR(VALUE(MID($E92,2,20)),1000000000)+ROW()/100000,"")</f>
        <v/>
      </c>
    </row>
    <row r="93">
      <c r="G93" s="11" t="n"/>
      <c r="Q93" s="7">
        <f>IF($E93="","",P93*Y93/100)</f>
        <v/>
      </c>
      <c r="R93" s="7" t="n"/>
      <c r="X93" s="7" t="n"/>
      <c r="Y93" s="7" t="n"/>
      <c r="AB93">
        <f>IF($E93="","",IF($AQ93=1,0,IF($AP93=1,Settings!$C$6,Settings!$C$7))*100)</f>
        <v/>
      </c>
      <c r="AC93" s="7">
        <f>IF($E93="","",Y93*AB93/100)</f>
        <v/>
      </c>
      <c r="AD93" s="7">
        <f>IF($E93="","",Y93-AC93)</f>
        <v/>
      </c>
      <c r="AE93" s="7">
        <f>IF($E93="","",AD93-Q93)</f>
        <v/>
      </c>
      <c r="AI93" s="7" t="n"/>
      <c r="AL93" s="11" t="n"/>
      <c r="AN93">
        <f>IF($E93="","",IF(COUNTIF($E$2:$E93,$E93)=1,1,0))</f>
        <v/>
      </c>
      <c r="AO93">
        <f>IF($AN93=1,SUMPRODUCT(--($AR$2:$AR$4001&lt;$AR93))+1,"")</f>
        <v/>
      </c>
      <c r="AP93">
        <f>IF($E93="","",IF(OR($U93=TRUE(),$U93="TRUE"),1,0))</f>
        <v/>
      </c>
      <c r="AQ93">
        <f>IF($E93="","",IF($AA93="Yes",1,0))</f>
        <v/>
      </c>
      <c r="AR93">
        <f>IF($AN93=1,IFERROR(VALUE(MID($E93,2,20)),1000000000)+ROW()/100000,"")</f>
        <v/>
      </c>
    </row>
    <row r="94">
      <c r="G94" s="11" t="n"/>
      <c r="Q94" s="7">
        <f>IF($E94="","",P94*Y94/100)</f>
        <v/>
      </c>
      <c r="R94" s="7" t="n"/>
      <c r="X94" s="7" t="n"/>
      <c r="Y94" s="7" t="n"/>
      <c r="AB94">
        <f>IF($E94="","",IF($AQ94=1,0,IF($AP94=1,Settings!$C$6,Settings!$C$7))*100)</f>
        <v/>
      </c>
      <c r="AC94" s="7">
        <f>IF($E94="","",Y94*AB94/100)</f>
        <v/>
      </c>
      <c r="AD94" s="7">
        <f>IF($E94="","",Y94-AC94)</f>
        <v/>
      </c>
      <c r="AE94" s="7">
        <f>IF($E94="","",AD94-Q94)</f>
        <v/>
      </c>
      <c r="AI94" s="7" t="n"/>
      <c r="AL94" s="11" t="n"/>
      <c r="AN94">
        <f>IF($E94="","",IF(COUNTIF($E$2:$E94,$E94)=1,1,0))</f>
        <v/>
      </c>
      <c r="AO94">
        <f>IF($AN94=1,SUMPRODUCT(--($AR$2:$AR$4001&lt;$AR94))+1,"")</f>
        <v/>
      </c>
      <c r="AP94">
        <f>IF($E94="","",IF(OR($U94=TRUE(),$U94="TRUE"),1,0))</f>
        <v/>
      </c>
      <c r="AQ94">
        <f>IF($E94="","",IF($AA94="Yes",1,0))</f>
        <v/>
      </c>
      <c r="AR94">
        <f>IF($AN94=1,IFERROR(VALUE(MID($E94,2,20)),1000000000)+ROW()/100000,"")</f>
        <v/>
      </c>
    </row>
    <row r="95">
      <c r="G95" s="11" t="n"/>
      <c r="Q95" s="7">
        <f>IF($E95="","",P95*Y95/100)</f>
        <v/>
      </c>
      <c r="R95" s="7" t="n"/>
      <c r="X95" s="7" t="n"/>
      <c r="Y95" s="7" t="n"/>
      <c r="AB95">
        <f>IF($E95="","",IF($AQ95=1,0,IF($AP95=1,Settings!$C$6,Settings!$C$7))*100)</f>
        <v/>
      </c>
      <c r="AC95" s="7">
        <f>IF($E95="","",Y95*AB95/100)</f>
        <v/>
      </c>
      <c r="AD95" s="7">
        <f>IF($E95="","",Y95-AC95)</f>
        <v/>
      </c>
      <c r="AE95" s="7">
        <f>IF($E95="","",AD95-Q95)</f>
        <v/>
      </c>
      <c r="AI95" s="7" t="n"/>
      <c r="AL95" s="11" t="n"/>
      <c r="AN95">
        <f>IF($E95="","",IF(COUNTIF($E$2:$E95,$E95)=1,1,0))</f>
        <v/>
      </c>
      <c r="AO95">
        <f>IF($AN95=1,SUMPRODUCT(--($AR$2:$AR$4001&lt;$AR95))+1,"")</f>
        <v/>
      </c>
      <c r="AP95">
        <f>IF($E95="","",IF(OR($U95=TRUE(),$U95="TRUE"),1,0))</f>
        <v/>
      </c>
      <c r="AQ95">
        <f>IF($E95="","",IF($AA95="Yes",1,0))</f>
        <v/>
      </c>
      <c r="AR95">
        <f>IF($AN95=1,IFERROR(VALUE(MID($E95,2,20)),1000000000)+ROW()/100000,"")</f>
        <v/>
      </c>
    </row>
    <row r="96">
      <c r="G96" s="11" t="n"/>
      <c r="Q96" s="7">
        <f>IF($E96="","",P96*Y96/100)</f>
        <v/>
      </c>
      <c r="R96" s="7" t="n"/>
      <c r="X96" s="7" t="n"/>
      <c r="Y96" s="7" t="n"/>
      <c r="AB96">
        <f>IF($E96="","",IF($AQ96=1,0,IF($AP96=1,Settings!$C$6,Settings!$C$7))*100)</f>
        <v/>
      </c>
      <c r="AC96" s="7">
        <f>IF($E96="","",Y96*AB96/100)</f>
        <v/>
      </c>
      <c r="AD96" s="7">
        <f>IF($E96="","",Y96-AC96)</f>
        <v/>
      </c>
      <c r="AE96" s="7">
        <f>IF($E96="","",AD96-Q96)</f>
        <v/>
      </c>
      <c r="AI96" s="7" t="n"/>
      <c r="AL96" s="11" t="n"/>
      <c r="AN96">
        <f>IF($E96="","",IF(COUNTIF($E$2:$E96,$E96)=1,1,0))</f>
        <v/>
      </c>
      <c r="AO96">
        <f>IF($AN96=1,SUMPRODUCT(--($AR$2:$AR$4001&lt;$AR96))+1,"")</f>
        <v/>
      </c>
      <c r="AP96">
        <f>IF($E96="","",IF(OR($U96=TRUE(),$U96="TRUE"),1,0))</f>
        <v/>
      </c>
      <c r="AQ96">
        <f>IF($E96="","",IF($AA96="Yes",1,0))</f>
        <v/>
      </c>
      <c r="AR96">
        <f>IF($AN96=1,IFERROR(VALUE(MID($E96,2,20)),1000000000)+ROW()/100000,"")</f>
        <v/>
      </c>
    </row>
    <row r="97">
      <c r="G97" s="11" t="n"/>
      <c r="Q97" s="7">
        <f>IF($E97="","",P97*Y97/100)</f>
        <v/>
      </c>
      <c r="R97" s="7" t="n"/>
      <c r="X97" s="7" t="n"/>
      <c r="Y97" s="7" t="n"/>
      <c r="AB97">
        <f>IF($E97="","",IF($AQ97=1,0,IF($AP97=1,Settings!$C$6,Settings!$C$7))*100)</f>
        <v/>
      </c>
      <c r="AC97" s="7">
        <f>IF($E97="","",Y97*AB97/100)</f>
        <v/>
      </c>
      <c r="AD97" s="7">
        <f>IF($E97="","",Y97-AC97)</f>
        <v/>
      </c>
      <c r="AE97" s="7">
        <f>IF($E97="","",AD97-Q97)</f>
        <v/>
      </c>
      <c r="AI97" s="7" t="n"/>
      <c r="AL97" s="11" t="n"/>
      <c r="AN97">
        <f>IF($E97="","",IF(COUNTIF($E$2:$E97,$E97)=1,1,0))</f>
        <v/>
      </c>
      <c r="AO97">
        <f>IF($AN97=1,SUMPRODUCT(--($AR$2:$AR$4001&lt;$AR97))+1,"")</f>
        <v/>
      </c>
      <c r="AP97">
        <f>IF($E97="","",IF(OR($U97=TRUE(),$U97="TRUE"),1,0))</f>
        <v/>
      </c>
      <c r="AQ97">
        <f>IF($E97="","",IF($AA97="Yes",1,0))</f>
        <v/>
      </c>
      <c r="AR97">
        <f>IF($AN97=1,IFERROR(VALUE(MID($E97,2,20)),1000000000)+ROW()/100000,"")</f>
        <v/>
      </c>
    </row>
    <row r="98">
      <c r="G98" s="11" t="n"/>
      <c r="Q98" s="7">
        <f>IF($E98="","",P98*Y98/100)</f>
        <v/>
      </c>
      <c r="R98" s="7" t="n"/>
      <c r="X98" s="7" t="n"/>
      <c r="Y98" s="7" t="n"/>
      <c r="AB98">
        <f>IF($E98="","",IF($AQ98=1,0,IF($AP98=1,Settings!$C$6,Settings!$C$7))*100)</f>
        <v/>
      </c>
      <c r="AC98" s="7">
        <f>IF($E98="","",Y98*AB98/100)</f>
        <v/>
      </c>
      <c r="AD98" s="7">
        <f>IF($E98="","",Y98-AC98)</f>
        <v/>
      </c>
      <c r="AE98" s="7">
        <f>IF($E98="","",AD98-Q98)</f>
        <v/>
      </c>
      <c r="AI98" s="7" t="n"/>
      <c r="AL98" s="11" t="n"/>
      <c r="AN98">
        <f>IF($E98="","",IF(COUNTIF($E$2:$E98,$E98)=1,1,0))</f>
        <v/>
      </c>
      <c r="AO98">
        <f>IF($AN98=1,SUMPRODUCT(--($AR$2:$AR$4001&lt;$AR98))+1,"")</f>
        <v/>
      </c>
      <c r="AP98">
        <f>IF($E98="","",IF(OR($U98=TRUE(),$U98="TRUE"),1,0))</f>
        <v/>
      </c>
      <c r="AQ98">
        <f>IF($E98="","",IF($AA98="Yes",1,0))</f>
        <v/>
      </c>
      <c r="AR98">
        <f>IF($AN98=1,IFERROR(VALUE(MID($E98,2,20)),1000000000)+ROW()/100000,"")</f>
        <v/>
      </c>
    </row>
    <row r="99">
      <c r="G99" s="11" t="n"/>
      <c r="Q99" s="7">
        <f>IF($E99="","",P99*Y99/100)</f>
        <v/>
      </c>
      <c r="R99" s="7" t="n"/>
      <c r="X99" s="7" t="n"/>
      <c r="Y99" s="7" t="n"/>
      <c r="AB99">
        <f>IF($E99="","",IF($AQ99=1,0,IF($AP99=1,Settings!$C$6,Settings!$C$7))*100)</f>
        <v/>
      </c>
      <c r="AC99" s="7">
        <f>IF($E99="","",Y99*AB99/100)</f>
        <v/>
      </c>
      <c r="AD99" s="7">
        <f>IF($E99="","",Y99-AC99)</f>
        <v/>
      </c>
      <c r="AE99" s="7">
        <f>IF($E99="","",AD99-Q99)</f>
        <v/>
      </c>
      <c r="AI99" s="7" t="n"/>
      <c r="AL99" s="11" t="n"/>
      <c r="AN99">
        <f>IF($E99="","",IF(COUNTIF($E$2:$E99,$E99)=1,1,0))</f>
        <v/>
      </c>
      <c r="AO99">
        <f>IF($AN99=1,SUMPRODUCT(--($AR$2:$AR$4001&lt;$AR99))+1,"")</f>
        <v/>
      </c>
      <c r="AP99">
        <f>IF($E99="","",IF(OR($U99=TRUE(),$U99="TRUE"),1,0))</f>
        <v/>
      </c>
      <c r="AQ99">
        <f>IF($E99="","",IF($AA99="Yes",1,0))</f>
        <v/>
      </c>
      <c r="AR99">
        <f>IF($AN99=1,IFERROR(VALUE(MID($E99,2,20)),1000000000)+ROW()/100000,"")</f>
        <v/>
      </c>
    </row>
    <row r="100">
      <c r="G100" s="11" t="n"/>
      <c r="Q100" s="7">
        <f>IF($E100="","",P100*Y100/100)</f>
        <v/>
      </c>
      <c r="R100" s="7" t="n"/>
      <c r="X100" s="7" t="n"/>
      <c r="Y100" s="7" t="n"/>
      <c r="AB100">
        <f>IF($E100="","",IF($AQ100=1,0,IF($AP100=1,Settings!$C$6,Settings!$C$7))*100)</f>
        <v/>
      </c>
      <c r="AC100" s="7">
        <f>IF($E100="","",Y100*AB100/100)</f>
        <v/>
      </c>
      <c r="AD100" s="7">
        <f>IF($E100="","",Y100-AC100)</f>
        <v/>
      </c>
      <c r="AE100" s="7">
        <f>IF($E100="","",AD100-Q100)</f>
        <v/>
      </c>
      <c r="AI100" s="7" t="n"/>
      <c r="AL100" s="11" t="n"/>
      <c r="AN100">
        <f>IF($E100="","",IF(COUNTIF($E$2:$E100,$E100)=1,1,0))</f>
        <v/>
      </c>
      <c r="AO100">
        <f>IF($AN100=1,SUMPRODUCT(--($AR$2:$AR$4001&lt;$AR100))+1,"")</f>
        <v/>
      </c>
      <c r="AP100">
        <f>IF($E100="","",IF(OR($U100=TRUE(),$U100="TRUE"),1,0))</f>
        <v/>
      </c>
      <c r="AQ100">
        <f>IF($E100="","",IF($AA100="Yes",1,0))</f>
        <v/>
      </c>
      <c r="AR100">
        <f>IF($AN100=1,IFERROR(VALUE(MID($E100,2,20)),1000000000)+ROW()/100000,"")</f>
        <v/>
      </c>
    </row>
    <row r="101">
      <c r="G101" s="11" t="n"/>
      <c r="Q101" s="7">
        <f>IF($E101="","",P101*Y101/100)</f>
        <v/>
      </c>
      <c r="R101" s="7" t="n"/>
      <c r="X101" s="7" t="n"/>
      <c r="Y101" s="7" t="n"/>
      <c r="AB101">
        <f>IF($E101="","",IF($AQ101=1,0,IF($AP101=1,Settings!$C$6,Settings!$C$7))*100)</f>
        <v/>
      </c>
      <c r="AC101" s="7">
        <f>IF($E101="","",Y101*AB101/100)</f>
        <v/>
      </c>
      <c r="AD101" s="7">
        <f>IF($E101="","",Y101-AC101)</f>
        <v/>
      </c>
      <c r="AE101" s="7">
        <f>IF($E101="","",AD101-Q101)</f>
        <v/>
      </c>
      <c r="AI101" s="7" t="n"/>
      <c r="AL101" s="11" t="n"/>
      <c r="AN101">
        <f>IF($E101="","",IF(COUNTIF($E$2:$E101,$E101)=1,1,0))</f>
        <v/>
      </c>
      <c r="AO101">
        <f>IF($AN101=1,SUMPRODUCT(--($AR$2:$AR$4001&lt;$AR101))+1,"")</f>
        <v/>
      </c>
      <c r="AP101">
        <f>IF($E101="","",IF(OR($U101=TRUE(),$U101="TRUE"),1,0))</f>
        <v/>
      </c>
      <c r="AQ101">
        <f>IF($E101="","",IF($AA101="Yes",1,0))</f>
        <v/>
      </c>
      <c r="AR101">
        <f>IF($AN101=1,IFERROR(VALUE(MID($E101,2,20)),1000000000)+ROW()/100000,"")</f>
        <v/>
      </c>
    </row>
    <row r="102">
      <c r="G102" s="11" t="n"/>
      <c r="Q102" s="7">
        <f>IF($E102="","",P102*Y102/100)</f>
        <v/>
      </c>
      <c r="R102" s="7" t="n"/>
      <c r="X102" s="7" t="n"/>
      <c r="Y102" s="7" t="n"/>
      <c r="AB102">
        <f>IF($E102="","",IF($AQ102=1,0,IF($AP102=1,Settings!$C$6,Settings!$C$7))*100)</f>
        <v/>
      </c>
      <c r="AC102" s="7">
        <f>IF($E102="","",Y102*AB102/100)</f>
        <v/>
      </c>
      <c r="AD102" s="7">
        <f>IF($E102="","",Y102-AC102)</f>
        <v/>
      </c>
      <c r="AE102" s="7">
        <f>IF($E102="","",AD102-Q102)</f>
        <v/>
      </c>
      <c r="AI102" s="7" t="n"/>
      <c r="AL102" s="11" t="n"/>
      <c r="AN102">
        <f>IF($E102="","",IF(COUNTIF($E$2:$E102,$E102)=1,1,0))</f>
        <v/>
      </c>
      <c r="AO102">
        <f>IF($AN102=1,SUMPRODUCT(--($AR$2:$AR$4001&lt;$AR102))+1,"")</f>
        <v/>
      </c>
      <c r="AP102">
        <f>IF($E102="","",IF(OR($U102=TRUE(),$U102="TRUE"),1,0))</f>
        <v/>
      </c>
      <c r="AQ102">
        <f>IF($E102="","",IF($AA102="Yes",1,0))</f>
        <v/>
      </c>
      <c r="AR102">
        <f>IF($AN102=1,IFERROR(VALUE(MID($E102,2,20)),1000000000)+ROW()/100000,"")</f>
        <v/>
      </c>
    </row>
    <row r="103">
      <c r="G103" s="11" t="n"/>
      <c r="Q103" s="7">
        <f>IF($E103="","",P103*Y103/100)</f>
        <v/>
      </c>
      <c r="R103" s="7" t="n"/>
      <c r="X103" s="7" t="n"/>
      <c r="Y103" s="7" t="n"/>
      <c r="AB103">
        <f>IF($E103="","",IF($AQ103=1,0,IF($AP103=1,Settings!$C$6,Settings!$C$7))*100)</f>
        <v/>
      </c>
      <c r="AC103" s="7">
        <f>IF($E103="","",Y103*AB103/100)</f>
        <v/>
      </c>
      <c r="AD103" s="7">
        <f>IF($E103="","",Y103-AC103)</f>
        <v/>
      </c>
      <c r="AE103" s="7">
        <f>IF($E103="","",AD103-Q103)</f>
        <v/>
      </c>
      <c r="AI103" s="7" t="n"/>
      <c r="AL103" s="11" t="n"/>
      <c r="AN103">
        <f>IF($E103="","",IF(COUNTIF($E$2:$E103,$E103)=1,1,0))</f>
        <v/>
      </c>
      <c r="AO103">
        <f>IF($AN103=1,SUMPRODUCT(--($AR$2:$AR$4001&lt;$AR103))+1,"")</f>
        <v/>
      </c>
      <c r="AP103">
        <f>IF($E103="","",IF(OR($U103=TRUE(),$U103="TRUE"),1,0))</f>
        <v/>
      </c>
      <c r="AQ103">
        <f>IF($E103="","",IF($AA103="Yes",1,0))</f>
        <v/>
      </c>
      <c r="AR103">
        <f>IF($AN103=1,IFERROR(VALUE(MID($E103,2,20)),1000000000)+ROW()/100000,"")</f>
        <v/>
      </c>
    </row>
    <row r="104">
      <c r="G104" s="11" t="n"/>
      <c r="Q104" s="7">
        <f>IF($E104="","",P104*Y104/100)</f>
        <v/>
      </c>
      <c r="R104" s="7" t="n"/>
      <c r="X104" s="7" t="n"/>
      <c r="Y104" s="7" t="n"/>
      <c r="AB104">
        <f>IF($E104="","",IF($AQ104=1,0,IF($AP104=1,Settings!$C$6,Settings!$C$7))*100)</f>
        <v/>
      </c>
      <c r="AC104" s="7">
        <f>IF($E104="","",Y104*AB104/100)</f>
        <v/>
      </c>
      <c r="AD104" s="7">
        <f>IF($E104="","",Y104-AC104)</f>
        <v/>
      </c>
      <c r="AE104" s="7">
        <f>IF($E104="","",AD104-Q104)</f>
        <v/>
      </c>
      <c r="AI104" s="7" t="n"/>
      <c r="AL104" s="11" t="n"/>
      <c r="AN104">
        <f>IF($E104="","",IF(COUNTIF($E$2:$E104,$E104)=1,1,0))</f>
        <v/>
      </c>
      <c r="AO104">
        <f>IF($AN104=1,SUMPRODUCT(--($AR$2:$AR$4001&lt;$AR104))+1,"")</f>
        <v/>
      </c>
      <c r="AP104">
        <f>IF($E104="","",IF(OR($U104=TRUE(),$U104="TRUE"),1,0))</f>
        <v/>
      </c>
      <c r="AQ104">
        <f>IF($E104="","",IF($AA104="Yes",1,0))</f>
        <v/>
      </c>
      <c r="AR104">
        <f>IF($AN104=1,IFERROR(VALUE(MID($E104,2,20)),1000000000)+ROW()/100000,"")</f>
        <v/>
      </c>
    </row>
    <row r="105">
      <c r="G105" s="11" t="n"/>
      <c r="Q105" s="7">
        <f>IF($E105="","",P105*Y105/100)</f>
        <v/>
      </c>
      <c r="R105" s="7" t="n"/>
      <c r="X105" s="7" t="n"/>
      <c r="Y105" s="7" t="n"/>
      <c r="AB105">
        <f>IF($E105="","",IF($AQ105=1,0,IF($AP105=1,Settings!$C$6,Settings!$C$7))*100)</f>
        <v/>
      </c>
      <c r="AC105" s="7">
        <f>IF($E105="","",Y105*AB105/100)</f>
        <v/>
      </c>
      <c r="AD105" s="7">
        <f>IF($E105="","",Y105-AC105)</f>
        <v/>
      </c>
      <c r="AE105" s="7">
        <f>IF($E105="","",AD105-Q105)</f>
        <v/>
      </c>
      <c r="AI105" s="7" t="n"/>
      <c r="AL105" s="11" t="n"/>
      <c r="AN105">
        <f>IF($E105="","",IF(COUNTIF($E$2:$E105,$E105)=1,1,0))</f>
        <v/>
      </c>
      <c r="AO105">
        <f>IF($AN105=1,SUMPRODUCT(--($AR$2:$AR$4001&lt;$AR105))+1,"")</f>
        <v/>
      </c>
      <c r="AP105">
        <f>IF($E105="","",IF(OR($U105=TRUE(),$U105="TRUE"),1,0))</f>
        <v/>
      </c>
      <c r="AQ105">
        <f>IF($E105="","",IF($AA105="Yes",1,0))</f>
        <v/>
      </c>
      <c r="AR105">
        <f>IF($AN105=1,IFERROR(VALUE(MID($E105,2,20)),1000000000)+ROW()/100000,"")</f>
        <v/>
      </c>
    </row>
    <row r="106">
      <c r="G106" s="11" t="n"/>
      <c r="Q106" s="7">
        <f>IF($E106="","",P106*Y106/100)</f>
        <v/>
      </c>
      <c r="R106" s="7" t="n"/>
      <c r="X106" s="7" t="n"/>
      <c r="Y106" s="7" t="n"/>
      <c r="AB106">
        <f>IF($E106="","",IF($AQ106=1,0,IF($AP106=1,Settings!$C$6,Settings!$C$7))*100)</f>
        <v/>
      </c>
      <c r="AC106" s="7">
        <f>IF($E106="","",Y106*AB106/100)</f>
        <v/>
      </c>
      <c r="AD106" s="7">
        <f>IF($E106="","",Y106-AC106)</f>
        <v/>
      </c>
      <c r="AE106" s="7">
        <f>IF($E106="","",AD106-Q106)</f>
        <v/>
      </c>
      <c r="AI106" s="7" t="n"/>
      <c r="AL106" s="11" t="n"/>
      <c r="AN106">
        <f>IF($E106="","",IF(COUNTIF($E$2:$E106,$E106)=1,1,0))</f>
        <v/>
      </c>
      <c r="AO106">
        <f>IF($AN106=1,SUMPRODUCT(--($AR$2:$AR$4001&lt;$AR106))+1,"")</f>
        <v/>
      </c>
      <c r="AP106">
        <f>IF($E106="","",IF(OR($U106=TRUE(),$U106="TRUE"),1,0))</f>
        <v/>
      </c>
      <c r="AQ106">
        <f>IF($E106="","",IF($AA106="Yes",1,0))</f>
        <v/>
      </c>
      <c r="AR106">
        <f>IF($AN106=1,IFERROR(VALUE(MID($E106,2,20)),1000000000)+ROW()/100000,"")</f>
        <v/>
      </c>
    </row>
    <row r="107">
      <c r="G107" s="11" t="n"/>
      <c r="Q107" s="7">
        <f>IF($E107="","",P107*Y107/100)</f>
        <v/>
      </c>
      <c r="R107" s="7" t="n"/>
      <c r="X107" s="7" t="n"/>
      <c r="Y107" s="7" t="n"/>
      <c r="AB107">
        <f>IF($E107="","",IF($AQ107=1,0,IF($AP107=1,Settings!$C$6,Settings!$C$7))*100)</f>
        <v/>
      </c>
      <c r="AC107" s="7">
        <f>IF($E107="","",Y107*AB107/100)</f>
        <v/>
      </c>
      <c r="AD107" s="7">
        <f>IF($E107="","",Y107-AC107)</f>
        <v/>
      </c>
      <c r="AE107" s="7">
        <f>IF($E107="","",AD107-Q107)</f>
        <v/>
      </c>
      <c r="AI107" s="7" t="n"/>
      <c r="AL107" s="11" t="n"/>
      <c r="AN107">
        <f>IF($E107="","",IF(COUNTIF($E$2:$E107,$E107)=1,1,0))</f>
        <v/>
      </c>
      <c r="AO107">
        <f>IF($AN107=1,SUMPRODUCT(--($AR$2:$AR$4001&lt;$AR107))+1,"")</f>
        <v/>
      </c>
      <c r="AP107">
        <f>IF($E107="","",IF(OR($U107=TRUE(),$U107="TRUE"),1,0))</f>
        <v/>
      </c>
      <c r="AQ107">
        <f>IF($E107="","",IF($AA107="Yes",1,0))</f>
        <v/>
      </c>
      <c r="AR107">
        <f>IF($AN107=1,IFERROR(VALUE(MID($E107,2,20)),1000000000)+ROW()/100000,"")</f>
        <v/>
      </c>
    </row>
    <row r="108">
      <c r="G108" s="11" t="n"/>
      <c r="Q108" s="7">
        <f>IF($E108="","",P108*Y108/100)</f>
        <v/>
      </c>
      <c r="R108" s="7" t="n"/>
      <c r="X108" s="7" t="n"/>
      <c r="Y108" s="7" t="n"/>
      <c r="AB108">
        <f>IF($E108="","",IF($AQ108=1,0,IF($AP108=1,Settings!$C$6,Settings!$C$7))*100)</f>
        <v/>
      </c>
      <c r="AC108" s="7">
        <f>IF($E108="","",Y108*AB108/100)</f>
        <v/>
      </c>
      <c r="AD108" s="7">
        <f>IF($E108="","",Y108-AC108)</f>
        <v/>
      </c>
      <c r="AE108" s="7">
        <f>IF($E108="","",AD108-Q108)</f>
        <v/>
      </c>
      <c r="AI108" s="7" t="n"/>
      <c r="AL108" s="11" t="n"/>
      <c r="AN108">
        <f>IF($E108="","",IF(COUNTIF($E$2:$E108,$E108)=1,1,0))</f>
        <v/>
      </c>
      <c r="AO108">
        <f>IF($AN108=1,SUMPRODUCT(--($AR$2:$AR$4001&lt;$AR108))+1,"")</f>
        <v/>
      </c>
      <c r="AP108">
        <f>IF($E108="","",IF(OR($U108=TRUE(),$U108="TRUE"),1,0))</f>
        <v/>
      </c>
      <c r="AQ108">
        <f>IF($E108="","",IF($AA108="Yes",1,0))</f>
        <v/>
      </c>
      <c r="AR108">
        <f>IF($AN108=1,IFERROR(VALUE(MID($E108,2,20)),1000000000)+ROW()/100000,"")</f>
        <v/>
      </c>
    </row>
    <row r="109">
      <c r="G109" s="11" t="n"/>
      <c r="Q109" s="7">
        <f>IF($E109="","",P109*Y109/100)</f>
        <v/>
      </c>
      <c r="R109" s="7" t="n"/>
      <c r="X109" s="7" t="n"/>
      <c r="Y109" s="7" t="n"/>
      <c r="AB109">
        <f>IF($E109="","",IF($AQ109=1,0,IF($AP109=1,Settings!$C$6,Settings!$C$7))*100)</f>
        <v/>
      </c>
      <c r="AC109" s="7">
        <f>IF($E109="","",Y109*AB109/100)</f>
        <v/>
      </c>
      <c r="AD109" s="7">
        <f>IF($E109="","",Y109-AC109)</f>
        <v/>
      </c>
      <c r="AE109" s="7">
        <f>IF($E109="","",AD109-Q109)</f>
        <v/>
      </c>
      <c r="AI109" s="7" t="n"/>
      <c r="AL109" s="11" t="n"/>
      <c r="AN109">
        <f>IF($E109="","",IF(COUNTIF($E$2:$E109,$E109)=1,1,0))</f>
        <v/>
      </c>
      <c r="AO109">
        <f>IF($AN109=1,SUMPRODUCT(--($AR$2:$AR$4001&lt;$AR109))+1,"")</f>
        <v/>
      </c>
      <c r="AP109">
        <f>IF($E109="","",IF(OR($U109=TRUE(),$U109="TRUE"),1,0))</f>
        <v/>
      </c>
      <c r="AQ109">
        <f>IF($E109="","",IF($AA109="Yes",1,0))</f>
        <v/>
      </c>
      <c r="AR109">
        <f>IF($AN109=1,IFERROR(VALUE(MID($E109,2,20)),1000000000)+ROW()/100000,"")</f>
        <v/>
      </c>
    </row>
    <row r="110">
      <c r="G110" s="11" t="n"/>
      <c r="Q110" s="7">
        <f>IF($E110="","",P110*Y110/100)</f>
        <v/>
      </c>
      <c r="R110" s="7" t="n"/>
      <c r="X110" s="7" t="n"/>
      <c r="Y110" s="7" t="n"/>
      <c r="AB110">
        <f>IF($E110="","",IF($AQ110=1,0,IF($AP110=1,Settings!$C$6,Settings!$C$7))*100)</f>
        <v/>
      </c>
      <c r="AC110" s="7">
        <f>IF($E110="","",Y110*AB110/100)</f>
        <v/>
      </c>
      <c r="AD110" s="7">
        <f>IF($E110="","",Y110-AC110)</f>
        <v/>
      </c>
      <c r="AE110" s="7">
        <f>IF($E110="","",AD110-Q110)</f>
        <v/>
      </c>
      <c r="AI110" s="7" t="n"/>
      <c r="AL110" s="11" t="n"/>
      <c r="AN110">
        <f>IF($E110="","",IF(COUNTIF($E$2:$E110,$E110)=1,1,0))</f>
        <v/>
      </c>
      <c r="AO110">
        <f>IF($AN110=1,SUMPRODUCT(--($AR$2:$AR$4001&lt;$AR110))+1,"")</f>
        <v/>
      </c>
      <c r="AP110">
        <f>IF($E110="","",IF(OR($U110=TRUE(),$U110="TRUE"),1,0))</f>
        <v/>
      </c>
      <c r="AQ110">
        <f>IF($E110="","",IF($AA110="Yes",1,0))</f>
        <v/>
      </c>
      <c r="AR110">
        <f>IF($AN110=1,IFERROR(VALUE(MID($E110,2,20)),1000000000)+ROW()/100000,"")</f>
        <v/>
      </c>
    </row>
    <row r="111">
      <c r="G111" s="11" t="n"/>
      <c r="Q111" s="7">
        <f>IF($E111="","",P111*Y111/100)</f>
        <v/>
      </c>
      <c r="R111" s="7" t="n"/>
      <c r="X111" s="7" t="n"/>
      <c r="Y111" s="7" t="n"/>
      <c r="AB111">
        <f>IF($E111="","",IF($AQ111=1,0,IF($AP111=1,Settings!$C$6,Settings!$C$7))*100)</f>
        <v/>
      </c>
      <c r="AC111" s="7">
        <f>IF($E111="","",Y111*AB111/100)</f>
        <v/>
      </c>
      <c r="AD111" s="7">
        <f>IF($E111="","",Y111-AC111)</f>
        <v/>
      </c>
      <c r="AE111" s="7">
        <f>IF($E111="","",AD111-Q111)</f>
        <v/>
      </c>
      <c r="AI111" s="7" t="n"/>
      <c r="AL111" s="11" t="n"/>
      <c r="AN111">
        <f>IF($E111="","",IF(COUNTIF($E$2:$E111,$E111)=1,1,0))</f>
        <v/>
      </c>
      <c r="AO111">
        <f>IF($AN111=1,SUMPRODUCT(--($AR$2:$AR$4001&lt;$AR111))+1,"")</f>
        <v/>
      </c>
      <c r="AP111">
        <f>IF($E111="","",IF(OR($U111=TRUE(),$U111="TRUE"),1,0))</f>
        <v/>
      </c>
      <c r="AQ111">
        <f>IF($E111="","",IF($AA111="Yes",1,0))</f>
        <v/>
      </c>
      <c r="AR111">
        <f>IF($AN111=1,IFERROR(VALUE(MID($E111,2,20)),1000000000)+ROW()/100000,"")</f>
        <v/>
      </c>
    </row>
    <row r="112">
      <c r="G112" s="11" t="n"/>
      <c r="Q112" s="7">
        <f>IF($E112="","",P112*Y112/100)</f>
        <v/>
      </c>
      <c r="R112" s="7" t="n"/>
      <c r="X112" s="7" t="n"/>
      <c r="Y112" s="7" t="n"/>
      <c r="AB112">
        <f>IF($E112="","",IF($AQ112=1,0,IF($AP112=1,Settings!$C$6,Settings!$C$7))*100)</f>
        <v/>
      </c>
      <c r="AC112" s="7">
        <f>IF($E112="","",Y112*AB112/100)</f>
        <v/>
      </c>
      <c r="AD112" s="7">
        <f>IF($E112="","",Y112-AC112)</f>
        <v/>
      </c>
      <c r="AE112" s="7">
        <f>IF($E112="","",AD112-Q112)</f>
        <v/>
      </c>
      <c r="AI112" s="7" t="n"/>
      <c r="AL112" s="11" t="n"/>
      <c r="AN112">
        <f>IF($E112="","",IF(COUNTIF($E$2:$E112,$E112)=1,1,0))</f>
        <v/>
      </c>
      <c r="AO112">
        <f>IF($AN112=1,SUMPRODUCT(--($AR$2:$AR$4001&lt;$AR112))+1,"")</f>
        <v/>
      </c>
      <c r="AP112">
        <f>IF($E112="","",IF(OR($U112=TRUE(),$U112="TRUE"),1,0))</f>
        <v/>
      </c>
      <c r="AQ112">
        <f>IF($E112="","",IF($AA112="Yes",1,0))</f>
        <v/>
      </c>
      <c r="AR112">
        <f>IF($AN112=1,IFERROR(VALUE(MID($E112,2,20)),1000000000)+ROW()/100000,"")</f>
        <v/>
      </c>
    </row>
    <row r="113">
      <c r="G113" s="11" t="n"/>
      <c r="Q113" s="7">
        <f>IF($E113="","",P113*Y113/100)</f>
        <v/>
      </c>
      <c r="R113" s="7" t="n"/>
      <c r="X113" s="7" t="n"/>
      <c r="Y113" s="7" t="n"/>
      <c r="AB113">
        <f>IF($E113="","",IF($AQ113=1,0,IF($AP113=1,Settings!$C$6,Settings!$C$7))*100)</f>
        <v/>
      </c>
      <c r="AC113" s="7">
        <f>IF($E113="","",Y113*AB113/100)</f>
        <v/>
      </c>
      <c r="AD113" s="7">
        <f>IF($E113="","",Y113-AC113)</f>
        <v/>
      </c>
      <c r="AE113" s="7">
        <f>IF($E113="","",AD113-Q113)</f>
        <v/>
      </c>
      <c r="AI113" s="7" t="n"/>
      <c r="AL113" s="11" t="n"/>
      <c r="AN113">
        <f>IF($E113="","",IF(COUNTIF($E$2:$E113,$E113)=1,1,0))</f>
        <v/>
      </c>
      <c r="AO113">
        <f>IF($AN113=1,SUMPRODUCT(--($AR$2:$AR$4001&lt;$AR113))+1,"")</f>
        <v/>
      </c>
      <c r="AP113">
        <f>IF($E113="","",IF(OR($U113=TRUE(),$U113="TRUE"),1,0))</f>
        <v/>
      </c>
      <c r="AQ113">
        <f>IF($E113="","",IF($AA113="Yes",1,0))</f>
        <v/>
      </c>
      <c r="AR113">
        <f>IF($AN113=1,IFERROR(VALUE(MID($E113,2,20)),1000000000)+ROW()/100000,"")</f>
        <v/>
      </c>
    </row>
    <row r="114">
      <c r="G114" s="11" t="n"/>
      <c r="Q114" s="7">
        <f>IF($E114="","",P114*Y114/100)</f>
        <v/>
      </c>
      <c r="R114" s="7" t="n"/>
      <c r="X114" s="7" t="n"/>
      <c r="Y114" s="7" t="n"/>
      <c r="AB114">
        <f>IF($E114="","",IF($AQ114=1,0,IF($AP114=1,Settings!$C$6,Settings!$C$7))*100)</f>
        <v/>
      </c>
      <c r="AC114" s="7">
        <f>IF($E114="","",Y114*AB114/100)</f>
        <v/>
      </c>
      <c r="AD114" s="7">
        <f>IF($E114="","",Y114-AC114)</f>
        <v/>
      </c>
      <c r="AE114" s="7">
        <f>IF($E114="","",AD114-Q114)</f>
        <v/>
      </c>
      <c r="AI114" s="7" t="n"/>
      <c r="AL114" s="11" t="n"/>
      <c r="AN114">
        <f>IF($E114="","",IF(COUNTIF($E$2:$E114,$E114)=1,1,0))</f>
        <v/>
      </c>
      <c r="AO114">
        <f>IF($AN114=1,SUMPRODUCT(--($AR$2:$AR$4001&lt;$AR114))+1,"")</f>
        <v/>
      </c>
      <c r="AP114">
        <f>IF($E114="","",IF(OR($U114=TRUE(),$U114="TRUE"),1,0))</f>
        <v/>
      </c>
      <c r="AQ114">
        <f>IF($E114="","",IF($AA114="Yes",1,0))</f>
        <v/>
      </c>
      <c r="AR114">
        <f>IF($AN114=1,IFERROR(VALUE(MID($E114,2,20)),1000000000)+ROW()/100000,"")</f>
        <v/>
      </c>
    </row>
    <row r="115">
      <c r="G115" s="11" t="n"/>
      <c r="Q115" s="7">
        <f>IF($E115="","",P115*Y115/100)</f>
        <v/>
      </c>
      <c r="R115" s="7" t="n"/>
      <c r="X115" s="7" t="n"/>
      <c r="Y115" s="7" t="n"/>
      <c r="AB115">
        <f>IF($E115="","",IF($AQ115=1,0,IF($AP115=1,Settings!$C$6,Settings!$C$7))*100)</f>
        <v/>
      </c>
      <c r="AC115" s="7">
        <f>IF($E115="","",Y115*AB115/100)</f>
        <v/>
      </c>
      <c r="AD115" s="7">
        <f>IF($E115="","",Y115-AC115)</f>
        <v/>
      </c>
      <c r="AE115" s="7">
        <f>IF($E115="","",AD115-Q115)</f>
        <v/>
      </c>
      <c r="AI115" s="7" t="n"/>
      <c r="AL115" s="11" t="n"/>
      <c r="AN115">
        <f>IF($E115="","",IF(COUNTIF($E$2:$E115,$E115)=1,1,0))</f>
        <v/>
      </c>
      <c r="AO115">
        <f>IF($AN115=1,SUMPRODUCT(--($AR$2:$AR$4001&lt;$AR115))+1,"")</f>
        <v/>
      </c>
      <c r="AP115">
        <f>IF($E115="","",IF(OR($U115=TRUE(),$U115="TRUE"),1,0))</f>
        <v/>
      </c>
      <c r="AQ115">
        <f>IF($E115="","",IF($AA115="Yes",1,0))</f>
        <v/>
      </c>
      <c r="AR115">
        <f>IF($AN115=1,IFERROR(VALUE(MID($E115,2,20)),1000000000)+ROW()/100000,"")</f>
        <v/>
      </c>
    </row>
    <row r="116">
      <c r="G116" s="11" t="n"/>
      <c r="Q116" s="7">
        <f>IF($E116="","",P116*Y116/100)</f>
        <v/>
      </c>
      <c r="R116" s="7" t="n"/>
      <c r="X116" s="7" t="n"/>
      <c r="Y116" s="7" t="n"/>
      <c r="AB116">
        <f>IF($E116="","",IF($AQ116=1,0,IF($AP116=1,Settings!$C$6,Settings!$C$7))*100)</f>
        <v/>
      </c>
      <c r="AC116" s="7">
        <f>IF($E116="","",Y116*AB116/100)</f>
        <v/>
      </c>
      <c r="AD116" s="7">
        <f>IF($E116="","",Y116-AC116)</f>
        <v/>
      </c>
      <c r="AE116" s="7">
        <f>IF($E116="","",AD116-Q116)</f>
        <v/>
      </c>
      <c r="AI116" s="7" t="n"/>
      <c r="AL116" s="11" t="n"/>
      <c r="AN116">
        <f>IF($E116="","",IF(COUNTIF($E$2:$E116,$E116)=1,1,0))</f>
        <v/>
      </c>
      <c r="AO116">
        <f>IF($AN116=1,SUMPRODUCT(--($AR$2:$AR$4001&lt;$AR116))+1,"")</f>
        <v/>
      </c>
      <c r="AP116">
        <f>IF($E116="","",IF(OR($U116=TRUE(),$U116="TRUE"),1,0))</f>
        <v/>
      </c>
      <c r="AQ116">
        <f>IF($E116="","",IF($AA116="Yes",1,0))</f>
        <v/>
      </c>
      <c r="AR116">
        <f>IF($AN116=1,IFERROR(VALUE(MID($E116,2,20)),1000000000)+ROW()/100000,"")</f>
        <v/>
      </c>
    </row>
    <row r="117">
      <c r="G117" s="11" t="n"/>
      <c r="Q117" s="7">
        <f>IF($E117="","",P117*Y117/100)</f>
        <v/>
      </c>
      <c r="R117" s="7" t="n"/>
      <c r="X117" s="7" t="n"/>
      <c r="Y117" s="7" t="n"/>
      <c r="AB117">
        <f>IF($E117="","",IF($AQ117=1,0,IF($AP117=1,Settings!$C$6,Settings!$C$7))*100)</f>
        <v/>
      </c>
      <c r="AC117" s="7">
        <f>IF($E117="","",Y117*AB117/100)</f>
        <v/>
      </c>
      <c r="AD117" s="7">
        <f>IF($E117="","",Y117-AC117)</f>
        <v/>
      </c>
      <c r="AE117" s="7">
        <f>IF($E117="","",AD117-Q117)</f>
        <v/>
      </c>
      <c r="AI117" s="7" t="n"/>
      <c r="AL117" s="11" t="n"/>
      <c r="AN117">
        <f>IF($E117="","",IF(COUNTIF($E$2:$E117,$E117)=1,1,0))</f>
        <v/>
      </c>
      <c r="AO117">
        <f>IF($AN117=1,SUMPRODUCT(--($AR$2:$AR$4001&lt;$AR117))+1,"")</f>
        <v/>
      </c>
      <c r="AP117">
        <f>IF($E117="","",IF(OR($U117=TRUE(),$U117="TRUE"),1,0))</f>
        <v/>
      </c>
      <c r="AQ117">
        <f>IF($E117="","",IF($AA117="Yes",1,0))</f>
        <v/>
      </c>
      <c r="AR117">
        <f>IF($AN117=1,IFERROR(VALUE(MID($E117,2,20)),1000000000)+ROW()/100000,"")</f>
        <v/>
      </c>
    </row>
    <row r="118">
      <c r="G118" s="11" t="n"/>
      <c r="Q118" s="7">
        <f>IF($E118="","",P118*Y118/100)</f>
        <v/>
      </c>
      <c r="R118" s="7" t="n"/>
      <c r="X118" s="7" t="n"/>
      <c r="Y118" s="7" t="n"/>
      <c r="AB118">
        <f>IF($E118="","",IF($AQ118=1,0,IF($AP118=1,Settings!$C$6,Settings!$C$7))*100)</f>
        <v/>
      </c>
      <c r="AC118" s="7">
        <f>IF($E118="","",Y118*AB118/100)</f>
        <v/>
      </c>
      <c r="AD118" s="7">
        <f>IF($E118="","",Y118-AC118)</f>
        <v/>
      </c>
      <c r="AE118" s="7">
        <f>IF($E118="","",AD118-Q118)</f>
        <v/>
      </c>
      <c r="AI118" s="7" t="n"/>
      <c r="AL118" s="11" t="n"/>
      <c r="AN118">
        <f>IF($E118="","",IF(COUNTIF($E$2:$E118,$E118)=1,1,0))</f>
        <v/>
      </c>
      <c r="AO118">
        <f>IF($AN118=1,SUMPRODUCT(--($AR$2:$AR$4001&lt;$AR118))+1,"")</f>
        <v/>
      </c>
      <c r="AP118">
        <f>IF($E118="","",IF(OR($U118=TRUE(),$U118="TRUE"),1,0))</f>
        <v/>
      </c>
      <c r="AQ118">
        <f>IF($E118="","",IF($AA118="Yes",1,0))</f>
        <v/>
      </c>
      <c r="AR118">
        <f>IF($AN118=1,IFERROR(VALUE(MID($E118,2,20)),1000000000)+ROW()/100000,"")</f>
        <v/>
      </c>
    </row>
    <row r="119">
      <c r="G119" s="11" t="n"/>
      <c r="Q119" s="7">
        <f>IF($E119="","",P119*Y119/100)</f>
        <v/>
      </c>
      <c r="R119" s="7" t="n"/>
      <c r="X119" s="7" t="n"/>
      <c r="Y119" s="7" t="n"/>
      <c r="AB119">
        <f>IF($E119="","",IF($AQ119=1,0,IF($AP119=1,Settings!$C$6,Settings!$C$7))*100)</f>
        <v/>
      </c>
      <c r="AC119" s="7">
        <f>IF($E119="","",Y119*AB119/100)</f>
        <v/>
      </c>
      <c r="AD119" s="7">
        <f>IF($E119="","",Y119-AC119)</f>
        <v/>
      </c>
      <c r="AE119" s="7">
        <f>IF($E119="","",AD119-Q119)</f>
        <v/>
      </c>
      <c r="AI119" s="7" t="n"/>
      <c r="AL119" s="11" t="n"/>
      <c r="AN119">
        <f>IF($E119="","",IF(COUNTIF($E$2:$E119,$E119)=1,1,0))</f>
        <v/>
      </c>
      <c r="AO119">
        <f>IF($AN119=1,SUMPRODUCT(--($AR$2:$AR$4001&lt;$AR119))+1,"")</f>
        <v/>
      </c>
      <c r="AP119">
        <f>IF($E119="","",IF(OR($U119=TRUE(),$U119="TRUE"),1,0))</f>
        <v/>
      </c>
      <c r="AQ119">
        <f>IF($E119="","",IF($AA119="Yes",1,0))</f>
        <v/>
      </c>
      <c r="AR119">
        <f>IF($AN119=1,IFERROR(VALUE(MID($E119,2,20)),1000000000)+ROW()/100000,"")</f>
        <v/>
      </c>
    </row>
    <row r="120">
      <c r="G120" s="11" t="n"/>
      <c r="Q120" s="7">
        <f>IF($E120="","",P120*Y120/100)</f>
        <v/>
      </c>
      <c r="R120" s="7" t="n"/>
      <c r="X120" s="7" t="n"/>
      <c r="Y120" s="7" t="n"/>
      <c r="AB120">
        <f>IF($E120="","",IF($AQ120=1,0,IF($AP120=1,Settings!$C$6,Settings!$C$7))*100)</f>
        <v/>
      </c>
      <c r="AC120" s="7">
        <f>IF($E120="","",Y120*AB120/100)</f>
        <v/>
      </c>
      <c r="AD120" s="7">
        <f>IF($E120="","",Y120-AC120)</f>
        <v/>
      </c>
      <c r="AE120" s="7">
        <f>IF($E120="","",AD120-Q120)</f>
        <v/>
      </c>
      <c r="AI120" s="7" t="n"/>
      <c r="AL120" s="11" t="n"/>
      <c r="AN120">
        <f>IF($E120="","",IF(COUNTIF($E$2:$E120,$E120)=1,1,0))</f>
        <v/>
      </c>
      <c r="AO120">
        <f>IF($AN120=1,SUMPRODUCT(--($AR$2:$AR$4001&lt;$AR120))+1,"")</f>
        <v/>
      </c>
      <c r="AP120">
        <f>IF($E120="","",IF(OR($U120=TRUE(),$U120="TRUE"),1,0))</f>
        <v/>
      </c>
      <c r="AQ120">
        <f>IF($E120="","",IF($AA120="Yes",1,0))</f>
        <v/>
      </c>
      <c r="AR120">
        <f>IF($AN120=1,IFERROR(VALUE(MID($E120,2,20)),1000000000)+ROW()/100000,"")</f>
        <v/>
      </c>
    </row>
    <row r="121">
      <c r="G121" s="11" t="n"/>
      <c r="Q121" s="7">
        <f>IF($E121="","",P121*Y121/100)</f>
        <v/>
      </c>
      <c r="R121" s="7" t="n"/>
      <c r="X121" s="7" t="n"/>
      <c r="Y121" s="7" t="n"/>
      <c r="AB121">
        <f>IF($E121="","",IF($AQ121=1,0,IF($AP121=1,Settings!$C$6,Settings!$C$7))*100)</f>
        <v/>
      </c>
      <c r="AC121" s="7">
        <f>IF($E121="","",Y121*AB121/100)</f>
        <v/>
      </c>
      <c r="AD121" s="7">
        <f>IF($E121="","",Y121-AC121)</f>
        <v/>
      </c>
      <c r="AE121" s="7">
        <f>IF($E121="","",AD121-Q121)</f>
        <v/>
      </c>
      <c r="AI121" s="7" t="n"/>
      <c r="AL121" s="11" t="n"/>
      <c r="AN121">
        <f>IF($E121="","",IF(COUNTIF($E$2:$E121,$E121)=1,1,0))</f>
        <v/>
      </c>
      <c r="AO121">
        <f>IF($AN121=1,SUMPRODUCT(--($AR$2:$AR$4001&lt;$AR121))+1,"")</f>
        <v/>
      </c>
      <c r="AP121">
        <f>IF($E121="","",IF(OR($U121=TRUE(),$U121="TRUE"),1,0))</f>
        <v/>
      </c>
      <c r="AQ121">
        <f>IF($E121="","",IF($AA121="Yes",1,0))</f>
        <v/>
      </c>
      <c r="AR121">
        <f>IF($AN121=1,IFERROR(VALUE(MID($E121,2,20)),1000000000)+ROW()/100000,"")</f>
        <v/>
      </c>
    </row>
    <row r="122">
      <c r="G122" s="11" t="n"/>
      <c r="Q122" s="7">
        <f>IF($E122="","",P122*Y122/100)</f>
        <v/>
      </c>
      <c r="R122" s="7" t="n"/>
      <c r="X122" s="7" t="n"/>
      <c r="Y122" s="7" t="n"/>
      <c r="AB122">
        <f>IF($E122="","",IF($AQ122=1,0,IF($AP122=1,Settings!$C$6,Settings!$C$7))*100)</f>
        <v/>
      </c>
      <c r="AC122" s="7">
        <f>IF($E122="","",Y122*AB122/100)</f>
        <v/>
      </c>
      <c r="AD122" s="7">
        <f>IF($E122="","",Y122-AC122)</f>
        <v/>
      </c>
      <c r="AE122" s="7">
        <f>IF($E122="","",AD122-Q122)</f>
        <v/>
      </c>
      <c r="AI122" s="7" t="n"/>
      <c r="AL122" s="11" t="n"/>
      <c r="AN122">
        <f>IF($E122="","",IF(COUNTIF($E$2:$E122,$E122)=1,1,0))</f>
        <v/>
      </c>
      <c r="AO122">
        <f>IF($AN122=1,SUMPRODUCT(--($AR$2:$AR$4001&lt;$AR122))+1,"")</f>
        <v/>
      </c>
      <c r="AP122">
        <f>IF($E122="","",IF(OR($U122=TRUE(),$U122="TRUE"),1,0))</f>
        <v/>
      </c>
      <c r="AQ122">
        <f>IF($E122="","",IF($AA122="Yes",1,0))</f>
        <v/>
      </c>
      <c r="AR122">
        <f>IF($AN122=1,IFERROR(VALUE(MID($E122,2,20)),1000000000)+ROW()/100000,"")</f>
        <v/>
      </c>
    </row>
    <row r="123">
      <c r="G123" s="11" t="n"/>
      <c r="Q123" s="7">
        <f>IF($E123="","",P123*Y123/100)</f>
        <v/>
      </c>
      <c r="R123" s="7" t="n"/>
      <c r="X123" s="7" t="n"/>
      <c r="Y123" s="7" t="n"/>
      <c r="AB123">
        <f>IF($E123="","",IF($AQ123=1,0,IF($AP123=1,Settings!$C$6,Settings!$C$7))*100)</f>
        <v/>
      </c>
      <c r="AC123" s="7">
        <f>IF($E123="","",Y123*AB123/100)</f>
        <v/>
      </c>
      <c r="AD123" s="7">
        <f>IF($E123="","",Y123-AC123)</f>
        <v/>
      </c>
      <c r="AE123" s="7">
        <f>IF($E123="","",AD123-Q123)</f>
        <v/>
      </c>
      <c r="AI123" s="7" t="n"/>
      <c r="AL123" s="11" t="n"/>
      <c r="AN123">
        <f>IF($E123="","",IF(COUNTIF($E$2:$E123,$E123)=1,1,0))</f>
        <v/>
      </c>
      <c r="AO123">
        <f>IF($AN123=1,SUMPRODUCT(--($AR$2:$AR$4001&lt;$AR123))+1,"")</f>
        <v/>
      </c>
      <c r="AP123">
        <f>IF($E123="","",IF(OR($U123=TRUE(),$U123="TRUE"),1,0))</f>
        <v/>
      </c>
      <c r="AQ123">
        <f>IF($E123="","",IF($AA123="Yes",1,0))</f>
        <v/>
      </c>
      <c r="AR123">
        <f>IF($AN123=1,IFERROR(VALUE(MID($E123,2,20)),1000000000)+ROW()/100000,"")</f>
        <v/>
      </c>
    </row>
    <row r="124">
      <c r="G124" s="11" t="n"/>
      <c r="Q124" s="7">
        <f>IF($E124="","",P124*Y124/100)</f>
        <v/>
      </c>
      <c r="R124" s="7" t="n"/>
      <c r="X124" s="7" t="n"/>
      <c r="Y124" s="7" t="n"/>
      <c r="AB124">
        <f>IF($E124="","",IF($AQ124=1,0,IF($AP124=1,Settings!$C$6,Settings!$C$7))*100)</f>
        <v/>
      </c>
      <c r="AC124" s="7">
        <f>IF($E124="","",Y124*AB124/100)</f>
        <v/>
      </c>
      <c r="AD124" s="7">
        <f>IF($E124="","",Y124-AC124)</f>
        <v/>
      </c>
      <c r="AE124" s="7">
        <f>IF($E124="","",AD124-Q124)</f>
        <v/>
      </c>
      <c r="AI124" s="7" t="n"/>
      <c r="AL124" s="11" t="n"/>
      <c r="AN124">
        <f>IF($E124="","",IF(COUNTIF($E$2:$E124,$E124)=1,1,0))</f>
        <v/>
      </c>
      <c r="AO124">
        <f>IF($AN124=1,SUMPRODUCT(--($AR$2:$AR$4001&lt;$AR124))+1,"")</f>
        <v/>
      </c>
      <c r="AP124">
        <f>IF($E124="","",IF(OR($U124=TRUE(),$U124="TRUE"),1,0))</f>
        <v/>
      </c>
      <c r="AQ124">
        <f>IF($E124="","",IF($AA124="Yes",1,0))</f>
        <v/>
      </c>
      <c r="AR124">
        <f>IF($AN124=1,IFERROR(VALUE(MID($E124,2,20)),1000000000)+ROW()/100000,"")</f>
        <v/>
      </c>
    </row>
    <row r="125">
      <c r="G125" s="11" t="n"/>
      <c r="Q125" s="7">
        <f>IF($E125="","",P125*Y125/100)</f>
        <v/>
      </c>
      <c r="R125" s="7" t="n"/>
      <c r="X125" s="7" t="n"/>
      <c r="Y125" s="7" t="n"/>
      <c r="AB125">
        <f>IF($E125="","",IF($AQ125=1,0,IF($AP125=1,Settings!$C$6,Settings!$C$7))*100)</f>
        <v/>
      </c>
      <c r="AC125" s="7">
        <f>IF($E125="","",Y125*AB125/100)</f>
        <v/>
      </c>
      <c r="AD125" s="7">
        <f>IF($E125="","",Y125-AC125)</f>
        <v/>
      </c>
      <c r="AE125" s="7">
        <f>IF($E125="","",AD125-Q125)</f>
        <v/>
      </c>
      <c r="AI125" s="7" t="n"/>
      <c r="AL125" s="11" t="n"/>
      <c r="AN125">
        <f>IF($E125="","",IF(COUNTIF($E$2:$E125,$E125)=1,1,0))</f>
        <v/>
      </c>
      <c r="AO125">
        <f>IF($AN125=1,SUMPRODUCT(--($AR$2:$AR$4001&lt;$AR125))+1,"")</f>
        <v/>
      </c>
      <c r="AP125">
        <f>IF($E125="","",IF(OR($U125=TRUE(),$U125="TRUE"),1,0))</f>
        <v/>
      </c>
      <c r="AQ125">
        <f>IF($E125="","",IF($AA125="Yes",1,0))</f>
        <v/>
      </c>
      <c r="AR125">
        <f>IF($AN125=1,IFERROR(VALUE(MID($E125,2,20)),1000000000)+ROW()/100000,"")</f>
        <v/>
      </c>
    </row>
    <row r="126">
      <c r="G126" s="11" t="n"/>
      <c r="Q126" s="7">
        <f>IF($E126="","",P126*Y126/100)</f>
        <v/>
      </c>
      <c r="R126" s="7" t="n"/>
      <c r="X126" s="7" t="n"/>
      <c r="Y126" s="7" t="n"/>
      <c r="AB126">
        <f>IF($E126="","",IF($AQ126=1,0,IF($AP126=1,Settings!$C$6,Settings!$C$7))*100)</f>
        <v/>
      </c>
      <c r="AC126" s="7">
        <f>IF($E126="","",Y126*AB126/100)</f>
        <v/>
      </c>
      <c r="AD126" s="7">
        <f>IF($E126="","",Y126-AC126)</f>
        <v/>
      </c>
      <c r="AE126" s="7">
        <f>IF($E126="","",AD126-Q126)</f>
        <v/>
      </c>
      <c r="AI126" s="7" t="n"/>
      <c r="AL126" s="11" t="n"/>
      <c r="AN126">
        <f>IF($E126="","",IF(COUNTIF($E$2:$E126,$E126)=1,1,0))</f>
        <v/>
      </c>
      <c r="AO126">
        <f>IF($AN126=1,SUMPRODUCT(--($AR$2:$AR$4001&lt;$AR126))+1,"")</f>
        <v/>
      </c>
      <c r="AP126">
        <f>IF($E126="","",IF(OR($U126=TRUE(),$U126="TRUE"),1,0))</f>
        <v/>
      </c>
      <c r="AQ126">
        <f>IF($E126="","",IF($AA126="Yes",1,0))</f>
        <v/>
      </c>
      <c r="AR126">
        <f>IF($AN126=1,IFERROR(VALUE(MID($E126,2,20)),1000000000)+ROW()/100000,"")</f>
        <v/>
      </c>
    </row>
    <row r="127">
      <c r="G127" s="11" t="n"/>
      <c r="Q127" s="7">
        <f>IF($E127="","",P127*Y127/100)</f>
        <v/>
      </c>
      <c r="R127" s="7" t="n"/>
      <c r="X127" s="7" t="n"/>
      <c r="Y127" s="7" t="n"/>
      <c r="AB127">
        <f>IF($E127="","",IF($AQ127=1,0,IF($AP127=1,Settings!$C$6,Settings!$C$7))*100)</f>
        <v/>
      </c>
      <c r="AC127" s="7">
        <f>IF($E127="","",Y127*AB127/100)</f>
        <v/>
      </c>
      <c r="AD127" s="7">
        <f>IF($E127="","",Y127-AC127)</f>
        <v/>
      </c>
      <c r="AE127" s="7">
        <f>IF($E127="","",AD127-Q127)</f>
        <v/>
      </c>
      <c r="AI127" s="7" t="n"/>
      <c r="AL127" s="11" t="n"/>
      <c r="AN127">
        <f>IF($E127="","",IF(COUNTIF($E$2:$E127,$E127)=1,1,0))</f>
        <v/>
      </c>
      <c r="AO127">
        <f>IF($AN127=1,SUMPRODUCT(--($AR$2:$AR$4001&lt;$AR127))+1,"")</f>
        <v/>
      </c>
      <c r="AP127">
        <f>IF($E127="","",IF(OR($U127=TRUE(),$U127="TRUE"),1,0))</f>
        <v/>
      </c>
      <c r="AQ127">
        <f>IF($E127="","",IF($AA127="Yes",1,0))</f>
        <v/>
      </c>
      <c r="AR127">
        <f>IF($AN127=1,IFERROR(VALUE(MID($E127,2,20)),1000000000)+ROW()/100000,"")</f>
        <v/>
      </c>
    </row>
    <row r="128">
      <c r="G128" s="11" t="n"/>
      <c r="Q128" s="7">
        <f>IF($E128="","",P128*Y128/100)</f>
        <v/>
      </c>
      <c r="R128" s="7" t="n"/>
      <c r="X128" s="7" t="n"/>
      <c r="Y128" s="7" t="n"/>
      <c r="AB128">
        <f>IF($E128="","",IF($AQ128=1,0,IF($AP128=1,Settings!$C$6,Settings!$C$7))*100)</f>
        <v/>
      </c>
      <c r="AC128" s="7">
        <f>IF($E128="","",Y128*AB128/100)</f>
        <v/>
      </c>
      <c r="AD128" s="7">
        <f>IF($E128="","",Y128-AC128)</f>
        <v/>
      </c>
      <c r="AE128" s="7">
        <f>IF($E128="","",AD128-Q128)</f>
        <v/>
      </c>
      <c r="AI128" s="7" t="n"/>
      <c r="AL128" s="11" t="n"/>
      <c r="AN128">
        <f>IF($E128="","",IF(COUNTIF($E$2:$E128,$E128)=1,1,0))</f>
        <v/>
      </c>
      <c r="AO128">
        <f>IF($AN128=1,SUMPRODUCT(--($AR$2:$AR$4001&lt;$AR128))+1,"")</f>
        <v/>
      </c>
      <c r="AP128">
        <f>IF($E128="","",IF(OR($U128=TRUE(),$U128="TRUE"),1,0))</f>
        <v/>
      </c>
      <c r="AQ128">
        <f>IF($E128="","",IF($AA128="Yes",1,0))</f>
        <v/>
      </c>
      <c r="AR128">
        <f>IF($AN128=1,IFERROR(VALUE(MID($E128,2,20)),1000000000)+ROW()/100000,"")</f>
        <v/>
      </c>
    </row>
    <row r="129">
      <c r="G129" s="11" t="n"/>
      <c r="Q129" s="7">
        <f>IF($E129="","",P129*Y129/100)</f>
        <v/>
      </c>
      <c r="R129" s="7" t="n"/>
      <c r="X129" s="7" t="n"/>
      <c r="Y129" s="7" t="n"/>
      <c r="AB129">
        <f>IF($E129="","",IF($AQ129=1,0,IF($AP129=1,Settings!$C$6,Settings!$C$7))*100)</f>
        <v/>
      </c>
      <c r="AC129" s="7">
        <f>IF($E129="","",Y129*AB129/100)</f>
        <v/>
      </c>
      <c r="AD129" s="7">
        <f>IF($E129="","",Y129-AC129)</f>
        <v/>
      </c>
      <c r="AE129" s="7">
        <f>IF($E129="","",AD129-Q129)</f>
        <v/>
      </c>
      <c r="AI129" s="7" t="n"/>
      <c r="AL129" s="11" t="n"/>
      <c r="AN129">
        <f>IF($E129="","",IF(COUNTIF($E$2:$E129,$E129)=1,1,0))</f>
        <v/>
      </c>
      <c r="AO129">
        <f>IF($AN129=1,SUMPRODUCT(--($AR$2:$AR$4001&lt;$AR129))+1,"")</f>
        <v/>
      </c>
      <c r="AP129">
        <f>IF($E129="","",IF(OR($U129=TRUE(),$U129="TRUE"),1,0))</f>
        <v/>
      </c>
      <c r="AQ129">
        <f>IF($E129="","",IF($AA129="Yes",1,0))</f>
        <v/>
      </c>
      <c r="AR129">
        <f>IF($AN129=1,IFERROR(VALUE(MID($E129,2,20)),1000000000)+ROW()/100000,"")</f>
        <v/>
      </c>
    </row>
    <row r="130">
      <c r="G130" s="11" t="n"/>
      <c r="Q130" s="7">
        <f>IF($E130="","",P130*Y130/100)</f>
        <v/>
      </c>
      <c r="R130" s="7" t="n"/>
      <c r="X130" s="7" t="n"/>
      <c r="Y130" s="7" t="n"/>
      <c r="AB130">
        <f>IF($E130="","",IF($AQ130=1,0,IF($AP130=1,Settings!$C$6,Settings!$C$7))*100)</f>
        <v/>
      </c>
      <c r="AC130" s="7">
        <f>IF($E130="","",Y130*AB130/100)</f>
        <v/>
      </c>
      <c r="AD130" s="7">
        <f>IF($E130="","",Y130-AC130)</f>
        <v/>
      </c>
      <c r="AE130" s="7">
        <f>IF($E130="","",AD130-Q130)</f>
        <v/>
      </c>
      <c r="AI130" s="7" t="n"/>
      <c r="AL130" s="11" t="n"/>
      <c r="AN130">
        <f>IF($E130="","",IF(COUNTIF($E$2:$E130,$E130)=1,1,0))</f>
        <v/>
      </c>
      <c r="AO130">
        <f>IF($AN130=1,SUMPRODUCT(--($AR$2:$AR$4001&lt;$AR130))+1,"")</f>
        <v/>
      </c>
      <c r="AP130">
        <f>IF($E130="","",IF(OR($U130=TRUE(),$U130="TRUE"),1,0))</f>
        <v/>
      </c>
      <c r="AQ130">
        <f>IF($E130="","",IF($AA130="Yes",1,0))</f>
        <v/>
      </c>
      <c r="AR130">
        <f>IF($AN130=1,IFERROR(VALUE(MID($E130,2,20)),1000000000)+ROW()/100000,"")</f>
        <v/>
      </c>
    </row>
    <row r="131">
      <c r="G131" s="11" t="n"/>
      <c r="Q131" s="7">
        <f>IF($E131="","",P131*Y131/100)</f>
        <v/>
      </c>
      <c r="R131" s="7" t="n"/>
      <c r="X131" s="7" t="n"/>
      <c r="Y131" s="7" t="n"/>
      <c r="AB131">
        <f>IF($E131="","",IF($AQ131=1,0,IF($AP131=1,Settings!$C$6,Settings!$C$7))*100)</f>
        <v/>
      </c>
      <c r="AC131" s="7">
        <f>IF($E131="","",Y131*AB131/100)</f>
        <v/>
      </c>
      <c r="AD131" s="7">
        <f>IF($E131="","",Y131-AC131)</f>
        <v/>
      </c>
      <c r="AE131" s="7">
        <f>IF($E131="","",AD131-Q131)</f>
        <v/>
      </c>
      <c r="AI131" s="7" t="n"/>
      <c r="AL131" s="11" t="n"/>
      <c r="AN131">
        <f>IF($E131="","",IF(COUNTIF($E$2:$E131,$E131)=1,1,0))</f>
        <v/>
      </c>
      <c r="AO131">
        <f>IF($AN131=1,SUMPRODUCT(--($AR$2:$AR$4001&lt;$AR131))+1,"")</f>
        <v/>
      </c>
      <c r="AP131">
        <f>IF($E131="","",IF(OR($U131=TRUE(),$U131="TRUE"),1,0))</f>
        <v/>
      </c>
      <c r="AQ131">
        <f>IF($E131="","",IF($AA131="Yes",1,0))</f>
        <v/>
      </c>
      <c r="AR131">
        <f>IF($AN131=1,IFERROR(VALUE(MID($E131,2,20)),1000000000)+ROW()/100000,"")</f>
        <v/>
      </c>
    </row>
    <row r="132">
      <c r="G132" s="11" t="n"/>
      <c r="Q132" s="7">
        <f>IF($E132="","",P132*Y132/100)</f>
        <v/>
      </c>
      <c r="R132" s="7" t="n"/>
      <c r="X132" s="7" t="n"/>
      <c r="Y132" s="7" t="n"/>
      <c r="AB132">
        <f>IF($E132="","",IF($AQ132=1,0,IF($AP132=1,Settings!$C$6,Settings!$C$7))*100)</f>
        <v/>
      </c>
      <c r="AC132" s="7">
        <f>IF($E132="","",Y132*AB132/100)</f>
        <v/>
      </c>
      <c r="AD132" s="7">
        <f>IF($E132="","",Y132-AC132)</f>
        <v/>
      </c>
      <c r="AE132" s="7">
        <f>IF($E132="","",AD132-Q132)</f>
        <v/>
      </c>
      <c r="AI132" s="7" t="n"/>
      <c r="AL132" s="11" t="n"/>
      <c r="AN132">
        <f>IF($E132="","",IF(COUNTIF($E$2:$E132,$E132)=1,1,0))</f>
        <v/>
      </c>
      <c r="AO132">
        <f>IF($AN132=1,SUMPRODUCT(--($AR$2:$AR$4001&lt;$AR132))+1,"")</f>
        <v/>
      </c>
      <c r="AP132">
        <f>IF($E132="","",IF(OR($U132=TRUE(),$U132="TRUE"),1,0))</f>
        <v/>
      </c>
      <c r="AQ132">
        <f>IF($E132="","",IF($AA132="Yes",1,0))</f>
        <v/>
      </c>
      <c r="AR132">
        <f>IF($AN132=1,IFERROR(VALUE(MID($E132,2,20)),1000000000)+ROW()/100000,"")</f>
        <v/>
      </c>
    </row>
    <row r="133">
      <c r="G133" s="11" t="n"/>
      <c r="Q133" s="7">
        <f>IF($E133="","",P133*Y133/100)</f>
        <v/>
      </c>
      <c r="R133" s="7" t="n"/>
      <c r="X133" s="7" t="n"/>
      <c r="Y133" s="7" t="n"/>
      <c r="AB133">
        <f>IF($E133="","",IF($AQ133=1,0,IF($AP133=1,Settings!$C$6,Settings!$C$7))*100)</f>
        <v/>
      </c>
      <c r="AC133" s="7">
        <f>IF($E133="","",Y133*AB133/100)</f>
        <v/>
      </c>
      <c r="AD133" s="7">
        <f>IF($E133="","",Y133-AC133)</f>
        <v/>
      </c>
      <c r="AE133" s="7">
        <f>IF($E133="","",AD133-Q133)</f>
        <v/>
      </c>
      <c r="AI133" s="7" t="n"/>
      <c r="AL133" s="11" t="n"/>
      <c r="AN133">
        <f>IF($E133="","",IF(COUNTIF($E$2:$E133,$E133)=1,1,0))</f>
        <v/>
      </c>
      <c r="AO133">
        <f>IF($AN133=1,SUMPRODUCT(--($AR$2:$AR$4001&lt;$AR133))+1,"")</f>
        <v/>
      </c>
      <c r="AP133">
        <f>IF($E133="","",IF(OR($U133=TRUE(),$U133="TRUE"),1,0))</f>
        <v/>
      </c>
      <c r="AQ133">
        <f>IF($E133="","",IF($AA133="Yes",1,0))</f>
        <v/>
      </c>
      <c r="AR133">
        <f>IF($AN133=1,IFERROR(VALUE(MID($E133,2,20)),1000000000)+ROW()/100000,"")</f>
        <v/>
      </c>
    </row>
    <row r="134">
      <c r="G134" s="11" t="n"/>
      <c r="Q134" s="7">
        <f>IF($E134="","",P134*Y134/100)</f>
        <v/>
      </c>
      <c r="R134" s="7" t="n"/>
      <c r="X134" s="7" t="n"/>
      <c r="Y134" s="7" t="n"/>
      <c r="AB134">
        <f>IF($E134="","",IF($AQ134=1,0,IF($AP134=1,Settings!$C$6,Settings!$C$7))*100)</f>
        <v/>
      </c>
      <c r="AC134" s="7">
        <f>IF($E134="","",Y134*AB134/100)</f>
        <v/>
      </c>
      <c r="AD134" s="7">
        <f>IF($E134="","",Y134-AC134)</f>
        <v/>
      </c>
      <c r="AE134" s="7">
        <f>IF($E134="","",AD134-Q134)</f>
        <v/>
      </c>
      <c r="AI134" s="7" t="n"/>
      <c r="AL134" s="11" t="n"/>
      <c r="AN134">
        <f>IF($E134="","",IF(COUNTIF($E$2:$E134,$E134)=1,1,0))</f>
        <v/>
      </c>
      <c r="AO134">
        <f>IF($AN134=1,SUMPRODUCT(--($AR$2:$AR$4001&lt;$AR134))+1,"")</f>
        <v/>
      </c>
      <c r="AP134">
        <f>IF($E134="","",IF(OR($U134=TRUE(),$U134="TRUE"),1,0))</f>
        <v/>
      </c>
      <c r="AQ134">
        <f>IF($E134="","",IF($AA134="Yes",1,0))</f>
        <v/>
      </c>
      <c r="AR134">
        <f>IF($AN134=1,IFERROR(VALUE(MID($E134,2,20)),1000000000)+ROW()/100000,"")</f>
        <v/>
      </c>
    </row>
    <row r="135">
      <c r="G135" s="11" t="n"/>
      <c r="Q135" s="7">
        <f>IF($E135="","",P135*Y135/100)</f>
        <v/>
      </c>
      <c r="R135" s="7" t="n"/>
      <c r="X135" s="7" t="n"/>
      <c r="Y135" s="7" t="n"/>
      <c r="AB135">
        <f>IF($E135="","",IF($AQ135=1,0,IF($AP135=1,Settings!$C$6,Settings!$C$7))*100)</f>
        <v/>
      </c>
      <c r="AC135" s="7">
        <f>IF($E135="","",Y135*AB135/100)</f>
        <v/>
      </c>
      <c r="AD135" s="7">
        <f>IF($E135="","",Y135-AC135)</f>
        <v/>
      </c>
      <c r="AE135" s="7">
        <f>IF($E135="","",AD135-Q135)</f>
        <v/>
      </c>
      <c r="AI135" s="7" t="n"/>
      <c r="AL135" s="11" t="n"/>
      <c r="AN135">
        <f>IF($E135="","",IF(COUNTIF($E$2:$E135,$E135)=1,1,0))</f>
        <v/>
      </c>
      <c r="AO135">
        <f>IF($AN135=1,SUMPRODUCT(--($AR$2:$AR$4001&lt;$AR135))+1,"")</f>
        <v/>
      </c>
      <c r="AP135">
        <f>IF($E135="","",IF(OR($U135=TRUE(),$U135="TRUE"),1,0))</f>
        <v/>
      </c>
      <c r="AQ135">
        <f>IF($E135="","",IF($AA135="Yes",1,0))</f>
        <v/>
      </c>
      <c r="AR135">
        <f>IF($AN135=1,IFERROR(VALUE(MID($E135,2,20)),1000000000)+ROW()/100000,"")</f>
        <v/>
      </c>
    </row>
    <row r="136">
      <c r="G136" s="11" t="n"/>
      <c r="Q136" s="7">
        <f>IF($E136="","",P136*Y136/100)</f>
        <v/>
      </c>
      <c r="R136" s="7" t="n"/>
      <c r="X136" s="7" t="n"/>
      <c r="Y136" s="7" t="n"/>
      <c r="AB136">
        <f>IF($E136="","",IF($AQ136=1,0,IF($AP136=1,Settings!$C$6,Settings!$C$7))*100)</f>
        <v/>
      </c>
      <c r="AC136" s="7">
        <f>IF($E136="","",Y136*AB136/100)</f>
        <v/>
      </c>
      <c r="AD136" s="7">
        <f>IF($E136="","",Y136-AC136)</f>
        <v/>
      </c>
      <c r="AE136" s="7">
        <f>IF($E136="","",AD136-Q136)</f>
        <v/>
      </c>
      <c r="AI136" s="7" t="n"/>
      <c r="AL136" s="11" t="n"/>
      <c r="AN136">
        <f>IF($E136="","",IF(COUNTIF($E$2:$E136,$E136)=1,1,0))</f>
        <v/>
      </c>
      <c r="AO136">
        <f>IF($AN136=1,SUMPRODUCT(--($AR$2:$AR$4001&lt;$AR136))+1,"")</f>
        <v/>
      </c>
      <c r="AP136">
        <f>IF($E136="","",IF(OR($U136=TRUE(),$U136="TRUE"),1,0))</f>
        <v/>
      </c>
      <c r="AQ136">
        <f>IF($E136="","",IF($AA136="Yes",1,0))</f>
        <v/>
      </c>
      <c r="AR136">
        <f>IF($AN136=1,IFERROR(VALUE(MID($E136,2,20)),1000000000)+ROW()/100000,"")</f>
        <v/>
      </c>
    </row>
    <row r="137">
      <c r="G137" s="11" t="n"/>
      <c r="Q137" s="7">
        <f>IF($E137="","",P137*Y137/100)</f>
        <v/>
      </c>
      <c r="R137" s="7" t="n"/>
      <c r="X137" s="7" t="n"/>
      <c r="Y137" s="7" t="n"/>
      <c r="AB137">
        <f>IF($E137="","",IF($AQ137=1,0,IF($AP137=1,Settings!$C$6,Settings!$C$7))*100)</f>
        <v/>
      </c>
      <c r="AC137" s="7">
        <f>IF($E137="","",Y137*AB137/100)</f>
        <v/>
      </c>
      <c r="AD137" s="7">
        <f>IF($E137="","",Y137-AC137)</f>
        <v/>
      </c>
      <c r="AE137" s="7">
        <f>IF($E137="","",AD137-Q137)</f>
        <v/>
      </c>
      <c r="AI137" s="7" t="n"/>
      <c r="AL137" s="11" t="n"/>
      <c r="AN137">
        <f>IF($E137="","",IF(COUNTIF($E$2:$E137,$E137)=1,1,0))</f>
        <v/>
      </c>
      <c r="AO137">
        <f>IF($AN137=1,SUMPRODUCT(--($AR$2:$AR$4001&lt;$AR137))+1,"")</f>
        <v/>
      </c>
      <c r="AP137">
        <f>IF($E137="","",IF(OR($U137=TRUE(),$U137="TRUE"),1,0))</f>
        <v/>
      </c>
      <c r="AQ137">
        <f>IF($E137="","",IF($AA137="Yes",1,0))</f>
        <v/>
      </c>
      <c r="AR137">
        <f>IF($AN137=1,IFERROR(VALUE(MID($E137,2,20)),1000000000)+ROW()/100000,"")</f>
        <v/>
      </c>
    </row>
    <row r="138">
      <c r="G138" s="11" t="n"/>
      <c r="Q138" s="7">
        <f>IF($E138="","",P138*Y138/100)</f>
        <v/>
      </c>
      <c r="R138" s="7" t="n"/>
      <c r="X138" s="7" t="n"/>
      <c r="Y138" s="7" t="n"/>
      <c r="AB138">
        <f>IF($E138="","",IF($AQ138=1,0,IF($AP138=1,Settings!$C$6,Settings!$C$7))*100)</f>
        <v/>
      </c>
      <c r="AC138" s="7">
        <f>IF($E138="","",Y138*AB138/100)</f>
        <v/>
      </c>
      <c r="AD138" s="7">
        <f>IF($E138="","",Y138-AC138)</f>
        <v/>
      </c>
      <c r="AE138" s="7">
        <f>IF($E138="","",AD138-Q138)</f>
        <v/>
      </c>
      <c r="AI138" s="7" t="n"/>
      <c r="AL138" s="11" t="n"/>
      <c r="AN138">
        <f>IF($E138="","",IF(COUNTIF($E$2:$E138,$E138)=1,1,0))</f>
        <v/>
      </c>
      <c r="AO138">
        <f>IF($AN138=1,SUMPRODUCT(--($AR$2:$AR$4001&lt;$AR138))+1,"")</f>
        <v/>
      </c>
      <c r="AP138">
        <f>IF($E138="","",IF(OR($U138=TRUE(),$U138="TRUE"),1,0))</f>
        <v/>
      </c>
      <c r="AQ138">
        <f>IF($E138="","",IF($AA138="Yes",1,0))</f>
        <v/>
      </c>
      <c r="AR138">
        <f>IF($AN138=1,IFERROR(VALUE(MID($E138,2,20)),1000000000)+ROW()/100000,"")</f>
        <v/>
      </c>
    </row>
    <row r="139">
      <c r="G139" s="11" t="n"/>
      <c r="Q139" s="7">
        <f>IF($E139="","",P139*Y139/100)</f>
        <v/>
      </c>
      <c r="R139" s="7" t="n"/>
      <c r="X139" s="7" t="n"/>
      <c r="Y139" s="7" t="n"/>
      <c r="AB139">
        <f>IF($E139="","",IF($AQ139=1,0,IF($AP139=1,Settings!$C$6,Settings!$C$7))*100)</f>
        <v/>
      </c>
      <c r="AC139" s="7">
        <f>IF($E139="","",Y139*AB139/100)</f>
        <v/>
      </c>
      <c r="AD139" s="7">
        <f>IF($E139="","",Y139-AC139)</f>
        <v/>
      </c>
      <c r="AE139" s="7">
        <f>IF($E139="","",AD139-Q139)</f>
        <v/>
      </c>
      <c r="AI139" s="7" t="n"/>
      <c r="AL139" s="11" t="n"/>
      <c r="AN139">
        <f>IF($E139="","",IF(COUNTIF($E$2:$E139,$E139)=1,1,0))</f>
        <v/>
      </c>
      <c r="AO139">
        <f>IF($AN139=1,SUMPRODUCT(--($AR$2:$AR$4001&lt;$AR139))+1,"")</f>
        <v/>
      </c>
      <c r="AP139">
        <f>IF($E139="","",IF(OR($U139=TRUE(),$U139="TRUE"),1,0))</f>
        <v/>
      </c>
      <c r="AQ139">
        <f>IF($E139="","",IF($AA139="Yes",1,0))</f>
        <v/>
      </c>
      <c r="AR139">
        <f>IF($AN139=1,IFERROR(VALUE(MID($E139,2,20)),1000000000)+ROW()/100000,"")</f>
        <v/>
      </c>
    </row>
    <row r="140">
      <c r="G140" s="11" t="n"/>
      <c r="Q140" s="7">
        <f>IF($E140="","",P140*Y140/100)</f>
        <v/>
      </c>
      <c r="R140" s="7" t="n"/>
      <c r="X140" s="7" t="n"/>
      <c r="Y140" s="7" t="n"/>
      <c r="AB140">
        <f>IF($E140="","",IF($AQ140=1,0,IF($AP140=1,Settings!$C$6,Settings!$C$7))*100)</f>
        <v/>
      </c>
      <c r="AC140" s="7">
        <f>IF($E140="","",Y140*AB140/100)</f>
        <v/>
      </c>
      <c r="AD140" s="7">
        <f>IF($E140="","",Y140-AC140)</f>
        <v/>
      </c>
      <c r="AE140" s="7">
        <f>IF($E140="","",AD140-Q140)</f>
        <v/>
      </c>
      <c r="AI140" s="7" t="n"/>
      <c r="AL140" s="11" t="n"/>
      <c r="AN140">
        <f>IF($E140="","",IF(COUNTIF($E$2:$E140,$E140)=1,1,0))</f>
        <v/>
      </c>
      <c r="AO140">
        <f>IF($AN140=1,SUMPRODUCT(--($AR$2:$AR$4001&lt;$AR140))+1,"")</f>
        <v/>
      </c>
      <c r="AP140">
        <f>IF($E140="","",IF(OR($U140=TRUE(),$U140="TRUE"),1,0))</f>
        <v/>
      </c>
      <c r="AQ140">
        <f>IF($E140="","",IF($AA140="Yes",1,0))</f>
        <v/>
      </c>
      <c r="AR140">
        <f>IF($AN140=1,IFERROR(VALUE(MID($E140,2,20)),1000000000)+ROW()/100000,"")</f>
        <v/>
      </c>
    </row>
    <row r="141">
      <c r="G141" s="11" t="n"/>
      <c r="Q141" s="7">
        <f>IF($E141="","",P141*Y141/100)</f>
        <v/>
      </c>
      <c r="R141" s="7" t="n"/>
      <c r="X141" s="7" t="n"/>
      <c r="Y141" s="7" t="n"/>
      <c r="AB141">
        <f>IF($E141="","",IF($AQ141=1,0,IF($AP141=1,Settings!$C$6,Settings!$C$7))*100)</f>
        <v/>
      </c>
      <c r="AC141" s="7">
        <f>IF($E141="","",Y141*AB141/100)</f>
        <v/>
      </c>
      <c r="AD141" s="7">
        <f>IF($E141="","",Y141-AC141)</f>
        <v/>
      </c>
      <c r="AE141" s="7">
        <f>IF($E141="","",AD141-Q141)</f>
        <v/>
      </c>
      <c r="AI141" s="7" t="n"/>
      <c r="AL141" s="11" t="n"/>
      <c r="AN141">
        <f>IF($E141="","",IF(COUNTIF($E$2:$E141,$E141)=1,1,0))</f>
        <v/>
      </c>
      <c r="AO141">
        <f>IF($AN141=1,SUMPRODUCT(--($AR$2:$AR$4001&lt;$AR141))+1,"")</f>
        <v/>
      </c>
      <c r="AP141">
        <f>IF($E141="","",IF(OR($U141=TRUE(),$U141="TRUE"),1,0))</f>
        <v/>
      </c>
      <c r="AQ141">
        <f>IF($E141="","",IF($AA141="Yes",1,0))</f>
        <v/>
      </c>
      <c r="AR141">
        <f>IF($AN141=1,IFERROR(VALUE(MID($E141,2,20)),1000000000)+ROW()/100000,"")</f>
        <v/>
      </c>
    </row>
    <row r="142">
      <c r="G142" s="11" t="n"/>
      <c r="Q142" s="7">
        <f>IF($E142="","",P142*Y142/100)</f>
        <v/>
      </c>
      <c r="R142" s="7" t="n"/>
      <c r="X142" s="7" t="n"/>
      <c r="Y142" s="7" t="n"/>
      <c r="AB142">
        <f>IF($E142="","",IF($AQ142=1,0,IF($AP142=1,Settings!$C$6,Settings!$C$7))*100)</f>
        <v/>
      </c>
      <c r="AC142" s="7">
        <f>IF($E142="","",Y142*AB142/100)</f>
        <v/>
      </c>
      <c r="AD142" s="7">
        <f>IF($E142="","",Y142-AC142)</f>
        <v/>
      </c>
      <c r="AE142" s="7">
        <f>IF($E142="","",AD142-Q142)</f>
        <v/>
      </c>
      <c r="AI142" s="7" t="n"/>
      <c r="AL142" s="11" t="n"/>
      <c r="AN142">
        <f>IF($E142="","",IF(COUNTIF($E$2:$E142,$E142)=1,1,0))</f>
        <v/>
      </c>
      <c r="AO142">
        <f>IF($AN142=1,SUMPRODUCT(--($AR$2:$AR$4001&lt;$AR142))+1,"")</f>
        <v/>
      </c>
      <c r="AP142">
        <f>IF($E142="","",IF(OR($U142=TRUE(),$U142="TRUE"),1,0))</f>
        <v/>
      </c>
      <c r="AQ142">
        <f>IF($E142="","",IF($AA142="Yes",1,0))</f>
        <v/>
      </c>
      <c r="AR142">
        <f>IF($AN142=1,IFERROR(VALUE(MID($E142,2,20)),1000000000)+ROW()/100000,"")</f>
        <v/>
      </c>
    </row>
    <row r="143">
      <c r="G143" s="11" t="n"/>
      <c r="Q143" s="7">
        <f>IF($E143="","",P143*Y143/100)</f>
        <v/>
      </c>
      <c r="R143" s="7" t="n"/>
      <c r="X143" s="7" t="n"/>
      <c r="Y143" s="7" t="n"/>
      <c r="AB143">
        <f>IF($E143="","",IF($AQ143=1,0,IF($AP143=1,Settings!$C$6,Settings!$C$7))*100)</f>
        <v/>
      </c>
      <c r="AC143" s="7">
        <f>IF($E143="","",Y143*AB143/100)</f>
        <v/>
      </c>
      <c r="AD143" s="7">
        <f>IF($E143="","",Y143-AC143)</f>
        <v/>
      </c>
      <c r="AE143" s="7">
        <f>IF($E143="","",AD143-Q143)</f>
        <v/>
      </c>
      <c r="AI143" s="7" t="n"/>
      <c r="AL143" s="11" t="n"/>
      <c r="AN143">
        <f>IF($E143="","",IF(COUNTIF($E$2:$E143,$E143)=1,1,0))</f>
        <v/>
      </c>
      <c r="AO143">
        <f>IF($AN143=1,SUMPRODUCT(--($AR$2:$AR$4001&lt;$AR143))+1,"")</f>
        <v/>
      </c>
      <c r="AP143">
        <f>IF($E143="","",IF(OR($U143=TRUE(),$U143="TRUE"),1,0))</f>
        <v/>
      </c>
      <c r="AQ143">
        <f>IF($E143="","",IF($AA143="Yes",1,0))</f>
        <v/>
      </c>
      <c r="AR143">
        <f>IF($AN143=1,IFERROR(VALUE(MID($E143,2,20)),1000000000)+ROW()/100000,"")</f>
        <v/>
      </c>
    </row>
    <row r="144">
      <c r="G144" s="11" t="n"/>
      <c r="Q144" s="7">
        <f>IF($E144="","",P144*Y144/100)</f>
        <v/>
      </c>
      <c r="R144" s="7" t="n"/>
      <c r="X144" s="7" t="n"/>
      <c r="Y144" s="7" t="n"/>
      <c r="AB144">
        <f>IF($E144="","",IF($AQ144=1,0,IF($AP144=1,Settings!$C$6,Settings!$C$7))*100)</f>
        <v/>
      </c>
      <c r="AC144" s="7">
        <f>IF($E144="","",Y144*AB144/100)</f>
        <v/>
      </c>
      <c r="AD144" s="7">
        <f>IF($E144="","",Y144-AC144)</f>
        <v/>
      </c>
      <c r="AE144" s="7">
        <f>IF($E144="","",AD144-Q144)</f>
        <v/>
      </c>
      <c r="AI144" s="7" t="n"/>
      <c r="AL144" s="11" t="n"/>
      <c r="AN144">
        <f>IF($E144="","",IF(COUNTIF($E$2:$E144,$E144)=1,1,0))</f>
        <v/>
      </c>
      <c r="AO144">
        <f>IF($AN144=1,SUMPRODUCT(--($AR$2:$AR$4001&lt;$AR144))+1,"")</f>
        <v/>
      </c>
      <c r="AP144">
        <f>IF($E144="","",IF(OR($U144=TRUE(),$U144="TRUE"),1,0))</f>
        <v/>
      </c>
      <c r="AQ144">
        <f>IF($E144="","",IF($AA144="Yes",1,0))</f>
        <v/>
      </c>
      <c r="AR144">
        <f>IF($AN144=1,IFERROR(VALUE(MID($E144,2,20)),1000000000)+ROW()/100000,"")</f>
        <v/>
      </c>
    </row>
    <row r="145">
      <c r="G145" s="11" t="n"/>
      <c r="Q145" s="7">
        <f>IF($E145="","",P145*Y145/100)</f>
        <v/>
      </c>
      <c r="R145" s="7" t="n"/>
      <c r="X145" s="7" t="n"/>
      <c r="Y145" s="7" t="n"/>
      <c r="AB145">
        <f>IF($E145="","",IF($AQ145=1,0,IF($AP145=1,Settings!$C$6,Settings!$C$7))*100)</f>
        <v/>
      </c>
      <c r="AC145" s="7">
        <f>IF($E145="","",Y145*AB145/100)</f>
        <v/>
      </c>
      <c r="AD145" s="7">
        <f>IF($E145="","",Y145-AC145)</f>
        <v/>
      </c>
      <c r="AE145" s="7">
        <f>IF($E145="","",AD145-Q145)</f>
        <v/>
      </c>
      <c r="AI145" s="7" t="n"/>
      <c r="AL145" s="11" t="n"/>
      <c r="AN145">
        <f>IF($E145="","",IF(COUNTIF($E$2:$E145,$E145)=1,1,0))</f>
        <v/>
      </c>
      <c r="AO145">
        <f>IF($AN145=1,SUMPRODUCT(--($AR$2:$AR$4001&lt;$AR145))+1,"")</f>
        <v/>
      </c>
      <c r="AP145">
        <f>IF($E145="","",IF(OR($U145=TRUE(),$U145="TRUE"),1,0))</f>
        <v/>
      </c>
      <c r="AQ145">
        <f>IF($E145="","",IF($AA145="Yes",1,0))</f>
        <v/>
      </c>
      <c r="AR145">
        <f>IF($AN145=1,IFERROR(VALUE(MID($E145,2,20)),1000000000)+ROW()/100000,"")</f>
        <v/>
      </c>
    </row>
    <row r="146">
      <c r="G146" s="11" t="n"/>
      <c r="Q146" s="7">
        <f>IF($E146="","",P146*Y146/100)</f>
        <v/>
      </c>
      <c r="R146" s="7" t="n"/>
      <c r="X146" s="7" t="n"/>
      <c r="Y146" s="7" t="n"/>
      <c r="AB146">
        <f>IF($E146="","",IF($AQ146=1,0,IF($AP146=1,Settings!$C$6,Settings!$C$7))*100)</f>
        <v/>
      </c>
      <c r="AC146" s="7">
        <f>IF($E146="","",Y146*AB146/100)</f>
        <v/>
      </c>
      <c r="AD146" s="7">
        <f>IF($E146="","",Y146-AC146)</f>
        <v/>
      </c>
      <c r="AE146" s="7">
        <f>IF($E146="","",AD146-Q146)</f>
        <v/>
      </c>
      <c r="AI146" s="7" t="n"/>
      <c r="AL146" s="11" t="n"/>
      <c r="AN146">
        <f>IF($E146="","",IF(COUNTIF($E$2:$E146,$E146)=1,1,0))</f>
        <v/>
      </c>
      <c r="AO146">
        <f>IF($AN146=1,SUMPRODUCT(--($AR$2:$AR$4001&lt;$AR146))+1,"")</f>
        <v/>
      </c>
      <c r="AP146">
        <f>IF($E146="","",IF(OR($U146=TRUE(),$U146="TRUE"),1,0))</f>
        <v/>
      </c>
      <c r="AQ146">
        <f>IF($E146="","",IF($AA146="Yes",1,0))</f>
        <v/>
      </c>
      <c r="AR146">
        <f>IF($AN146=1,IFERROR(VALUE(MID($E146,2,20)),1000000000)+ROW()/100000,"")</f>
        <v/>
      </c>
    </row>
    <row r="147">
      <c r="G147" s="11" t="n"/>
      <c r="Q147" s="7">
        <f>IF($E147="","",P147*Y147/100)</f>
        <v/>
      </c>
      <c r="R147" s="7" t="n"/>
      <c r="X147" s="7" t="n"/>
      <c r="Y147" s="7" t="n"/>
      <c r="AB147">
        <f>IF($E147="","",IF($AQ147=1,0,IF($AP147=1,Settings!$C$6,Settings!$C$7))*100)</f>
        <v/>
      </c>
      <c r="AC147" s="7">
        <f>IF($E147="","",Y147*AB147/100)</f>
        <v/>
      </c>
      <c r="AD147" s="7">
        <f>IF($E147="","",Y147-AC147)</f>
        <v/>
      </c>
      <c r="AE147" s="7">
        <f>IF($E147="","",AD147-Q147)</f>
        <v/>
      </c>
      <c r="AI147" s="7" t="n"/>
      <c r="AL147" s="11" t="n"/>
      <c r="AN147">
        <f>IF($E147="","",IF(COUNTIF($E$2:$E147,$E147)=1,1,0))</f>
        <v/>
      </c>
      <c r="AO147">
        <f>IF($AN147=1,SUMPRODUCT(--($AR$2:$AR$4001&lt;$AR147))+1,"")</f>
        <v/>
      </c>
      <c r="AP147">
        <f>IF($E147="","",IF(OR($U147=TRUE(),$U147="TRUE"),1,0))</f>
        <v/>
      </c>
      <c r="AQ147">
        <f>IF($E147="","",IF($AA147="Yes",1,0))</f>
        <v/>
      </c>
      <c r="AR147">
        <f>IF($AN147=1,IFERROR(VALUE(MID($E147,2,20)),1000000000)+ROW()/100000,"")</f>
        <v/>
      </c>
    </row>
    <row r="148">
      <c r="G148" s="11" t="n"/>
      <c r="Q148" s="7">
        <f>IF($E148="","",P148*Y148/100)</f>
        <v/>
      </c>
      <c r="R148" s="7" t="n"/>
      <c r="X148" s="7" t="n"/>
      <c r="Y148" s="7" t="n"/>
      <c r="AB148">
        <f>IF($E148="","",IF($AQ148=1,0,IF($AP148=1,Settings!$C$6,Settings!$C$7))*100)</f>
        <v/>
      </c>
      <c r="AC148" s="7">
        <f>IF($E148="","",Y148*AB148/100)</f>
        <v/>
      </c>
      <c r="AD148" s="7">
        <f>IF($E148="","",Y148-AC148)</f>
        <v/>
      </c>
      <c r="AE148" s="7">
        <f>IF($E148="","",AD148-Q148)</f>
        <v/>
      </c>
      <c r="AI148" s="7" t="n"/>
      <c r="AL148" s="11" t="n"/>
      <c r="AN148">
        <f>IF($E148="","",IF(COUNTIF($E$2:$E148,$E148)=1,1,0))</f>
        <v/>
      </c>
      <c r="AO148">
        <f>IF($AN148=1,SUMPRODUCT(--($AR$2:$AR$4001&lt;$AR148))+1,"")</f>
        <v/>
      </c>
      <c r="AP148">
        <f>IF($E148="","",IF(OR($U148=TRUE(),$U148="TRUE"),1,0))</f>
        <v/>
      </c>
      <c r="AQ148">
        <f>IF($E148="","",IF($AA148="Yes",1,0))</f>
        <v/>
      </c>
      <c r="AR148">
        <f>IF($AN148=1,IFERROR(VALUE(MID($E148,2,20)),1000000000)+ROW()/100000,"")</f>
        <v/>
      </c>
    </row>
    <row r="149">
      <c r="G149" s="11" t="n"/>
      <c r="Q149" s="7">
        <f>IF($E149="","",P149*Y149/100)</f>
        <v/>
      </c>
      <c r="R149" s="7" t="n"/>
      <c r="X149" s="7" t="n"/>
      <c r="Y149" s="7" t="n"/>
      <c r="AB149">
        <f>IF($E149="","",IF($AQ149=1,0,IF($AP149=1,Settings!$C$6,Settings!$C$7))*100)</f>
        <v/>
      </c>
      <c r="AC149" s="7">
        <f>IF($E149="","",Y149*AB149/100)</f>
        <v/>
      </c>
      <c r="AD149" s="7">
        <f>IF($E149="","",Y149-AC149)</f>
        <v/>
      </c>
      <c r="AE149" s="7">
        <f>IF($E149="","",AD149-Q149)</f>
        <v/>
      </c>
      <c r="AI149" s="7" t="n"/>
      <c r="AL149" s="11" t="n"/>
      <c r="AN149">
        <f>IF($E149="","",IF(COUNTIF($E$2:$E149,$E149)=1,1,0))</f>
        <v/>
      </c>
      <c r="AO149">
        <f>IF($AN149=1,SUMPRODUCT(--($AR$2:$AR$4001&lt;$AR149))+1,"")</f>
        <v/>
      </c>
      <c r="AP149">
        <f>IF($E149="","",IF(OR($U149=TRUE(),$U149="TRUE"),1,0))</f>
        <v/>
      </c>
      <c r="AQ149">
        <f>IF($E149="","",IF($AA149="Yes",1,0))</f>
        <v/>
      </c>
      <c r="AR149">
        <f>IF($AN149=1,IFERROR(VALUE(MID($E149,2,20)),1000000000)+ROW()/100000,"")</f>
        <v/>
      </c>
    </row>
    <row r="150">
      <c r="G150" s="11" t="n"/>
      <c r="Q150" s="7">
        <f>IF($E150="","",P150*Y150/100)</f>
        <v/>
      </c>
      <c r="R150" s="7" t="n"/>
      <c r="X150" s="7" t="n"/>
      <c r="Y150" s="7" t="n"/>
      <c r="AB150">
        <f>IF($E150="","",IF($AQ150=1,0,IF($AP150=1,Settings!$C$6,Settings!$C$7))*100)</f>
        <v/>
      </c>
      <c r="AC150" s="7">
        <f>IF($E150="","",Y150*AB150/100)</f>
        <v/>
      </c>
      <c r="AD150" s="7">
        <f>IF($E150="","",Y150-AC150)</f>
        <v/>
      </c>
      <c r="AE150" s="7">
        <f>IF($E150="","",AD150-Q150)</f>
        <v/>
      </c>
      <c r="AI150" s="7" t="n"/>
      <c r="AL150" s="11" t="n"/>
      <c r="AN150">
        <f>IF($E150="","",IF(COUNTIF($E$2:$E150,$E150)=1,1,0))</f>
        <v/>
      </c>
      <c r="AO150">
        <f>IF($AN150=1,SUMPRODUCT(--($AR$2:$AR$4001&lt;$AR150))+1,"")</f>
        <v/>
      </c>
      <c r="AP150">
        <f>IF($E150="","",IF(OR($U150=TRUE(),$U150="TRUE"),1,0))</f>
        <v/>
      </c>
      <c r="AQ150">
        <f>IF($E150="","",IF($AA150="Yes",1,0))</f>
        <v/>
      </c>
      <c r="AR150">
        <f>IF($AN150=1,IFERROR(VALUE(MID($E150,2,20)),1000000000)+ROW()/100000,"")</f>
        <v/>
      </c>
    </row>
    <row r="151">
      <c r="G151" s="11" t="n"/>
      <c r="Q151" s="7">
        <f>IF($E151="","",P151*Y151/100)</f>
        <v/>
      </c>
      <c r="R151" s="7" t="n"/>
      <c r="X151" s="7" t="n"/>
      <c r="Y151" s="7" t="n"/>
      <c r="AB151">
        <f>IF($E151="","",IF($AQ151=1,0,IF($AP151=1,Settings!$C$6,Settings!$C$7))*100)</f>
        <v/>
      </c>
      <c r="AC151" s="7">
        <f>IF($E151="","",Y151*AB151/100)</f>
        <v/>
      </c>
      <c r="AD151" s="7">
        <f>IF($E151="","",Y151-AC151)</f>
        <v/>
      </c>
      <c r="AE151" s="7">
        <f>IF($E151="","",AD151-Q151)</f>
        <v/>
      </c>
      <c r="AI151" s="7" t="n"/>
      <c r="AL151" s="11" t="n"/>
      <c r="AN151">
        <f>IF($E151="","",IF(COUNTIF($E$2:$E151,$E151)=1,1,0))</f>
        <v/>
      </c>
      <c r="AO151">
        <f>IF($AN151=1,SUMPRODUCT(--($AR$2:$AR$4001&lt;$AR151))+1,"")</f>
        <v/>
      </c>
      <c r="AP151">
        <f>IF($E151="","",IF(OR($U151=TRUE(),$U151="TRUE"),1,0))</f>
        <v/>
      </c>
      <c r="AQ151">
        <f>IF($E151="","",IF($AA151="Yes",1,0))</f>
        <v/>
      </c>
      <c r="AR151">
        <f>IF($AN151=1,IFERROR(VALUE(MID($E151,2,20)),1000000000)+ROW()/100000,"")</f>
        <v/>
      </c>
    </row>
    <row r="152">
      <c r="G152" s="11" t="n"/>
      <c r="Q152" s="7">
        <f>IF($E152="","",P152*Y152/100)</f>
        <v/>
      </c>
      <c r="R152" s="7" t="n"/>
      <c r="X152" s="7" t="n"/>
      <c r="Y152" s="7" t="n"/>
      <c r="AB152">
        <f>IF($E152="","",IF($AQ152=1,0,IF($AP152=1,Settings!$C$6,Settings!$C$7))*100)</f>
        <v/>
      </c>
      <c r="AC152" s="7">
        <f>IF($E152="","",Y152*AB152/100)</f>
        <v/>
      </c>
      <c r="AD152" s="7">
        <f>IF($E152="","",Y152-AC152)</f>
        <v/>
      </c>
      <c r="AE152" s="7">
        <f>IF($E152="","",AD152-Q152)</f>
        <v/>
      </c>
      <c r="AI152" s="7" t="n"/>
      <c r="AL152" s="11" t="n"/>
      <c r="AN152">
        <f>IF($E152="","",IF(COUNTIF($E$2:$E152,$E152)=1,1,0))</f>
        <v/>
      </c>
      <c r="AO152">
        <f>IF($AN152=1,SUMPRODUCT(--($AR$2:$AR$4001&lt;$AR152))+1,"")</f>
        <v/>
      </c>
      <c r="AP152">
        <f>IF($E152="","",IF(OR($U152=TRUE(),$U152="TRUE"),1,0))</f>
        <v/>
      </c>
      <c r="AQ152">
        <f>IF($E152="","",IF($AA152="Yes",1,0))</f>
        <v/>
      </c>
      <c r="AR152">
        <f>IF($AN152=1,IFERROR(VALUE(MID($E152,2,20)),1000000000)+ROW()/100000,"")</f>
        <v/>
      </c>
    </row>
    <row r="153">
      <c r="G153" s="11" t="n"/>
      <c r="Q153" s="7">
        <f>IF($E153="","",P153*Y153/100)</f>
        <v/>
      </c>
      <c r="R153" s="7" t="n"/>
      <c r="X153" s="7" t="n"/>
      <c r="Y153" s="7" t="n"/>
      <c r="AB153">
        <f>IF($E153="","",IF($AQ153=1,0,IF($AP153=1,Settings!$C$6,Settings!$C$7))*100)</f>
        <v/>
      </c>
      <c r="AC153" s="7">
        <f>IF($E153="","",Y153*AB153/100)</f>
        <v/>
      </c>
      <c r="AD153" s="7">
        <f>IF($E153="","",Y153-AC153)</f>
        <v/>
      </c>
      <c r="AE153" s="7">
        <f>IF($E153="","",AD153-Q153)</f>
        <v/>
      </c>
      <c r="AI153" s="7" t="n"/>
      <c r="AL153" s="11" t="n"/>
      <c r="AN153">
        <f>IF($E153="","",IF(COUNTIF($E$2:$E153,$E153)=1,1,0))</f>
        <v/>
      </c>
      <c r="AO153">
        <f>IF($AN153=1,SUMPRODUCT(--($AR$2:$AR$4001&lt;$AR153))+1,"")</f>
        <v/>
      </c>
      <c r="AP153">
        <f>IF($E153="","",IF(OR($U153=TRUE(),$U153="TRUE"),1,0))</f>
        <v/>
      </c>
      <c r="AQ153">
        <f>IF($E153="","",IF($AA153="Yes",1,0))</f>
        <v/>
      </c>
      <c r="AR153">
        <f>IF($AN153=1,IFERROR(VALUE(MID($E153,2,20)),1000000000)+ROW()/100000,"")</f>
        <v/>
      </c>
    </row>
    <row r="154">
      <c r="G154" s="11" t="n"/>
      <c r="Q154" s="7">
        <f>IF($E154="","",P154*Y154/100)</f>
        <v/>
      </c>
      <c r="R154" s="7" t="n"/>
      <c r="X154" s="7" t="n"/>
      <c r="Y154" s="7" t="n"/>
      <c r="AB154">
        <f>IF($E154="","",IF($AQ154=1,0,IF($AP154=1,Settings!$C$6,Settings!$C$7))*100)</f>
        <v/>
      </c>
      <c r="AC154" s="7">
        <f>IF($E154="","",Y154*AB154/100)</f>
        <v/>
      </c>
      <c r="AD154" s="7">
        <f>IF($E154="","",Y154-AC154)</f>
        <v/>
      </c>
      <c r="AE154" s="7">
        <f>IF($E154="","",AD154-Q154)</f>
        <v/>
      </c>
      <c r="AI154" s="7" t="n"/>
      <c r="AL154" s="11" t="n"/>
      <c r="AN154">
        <f>IF($E154="","",IF(COUNTIF($E$2:$E154,$E154)=1,1,0))</f>
        <v/>
      </c>
      <c r="AO154">
        <f>IF($AN154=1,SUMPRODUCT(--($AR$2:$AR$4001&lt;$AR154))+1,"")</f>
        <v/>
      </c>
      <c r="AP154">
        <f>IF($E154="","",IF(OR($U154=TRUE(),$U154="TRUE"),1,0))</f>
        <v/>
      </c>
      <c r="AQ154">
        <f>IF($E154="","",IF($AA154="Yes",1,0))</f>
        <v/>
      </c>
      <c r="AR154">
        <f>IF($AN154=1,IFERROR(VALUE(MID($E154,2,20)),1000000000)+ROW()/100000,"")</f>
        <v/>
      </c>
    </row>
    <row r="155">
      <c r="G155" s="11" t="n"/>
      <c r="Q155" s="7">
        <f>IF($E155="","",P155*Y155/100)</f>
        <v/>
      </c>
      <c r="R155" s="7" t="n"/>
      <c r="X155" s="7" t="n"/>
      <c r="Y155" s="7" t="n"/>
      <c r="AB155">
        <f>IF($E155="","",IF($AQ155=1,0,IF($AP155=1,Settings!$C$6,Settings!$C$7))*100)</f>
        <v/>
      </c>
      <c r="AC155" s="7">
        <f>IF($E155="","",Y155*AB155/100)</f>
        <v/>
      </c>
      <c r="AD155" s="7">
        <f>IF($E155="","",Y155-AC155)</f>
        <v/>
      </c>
      <c r="AE155" s="7">
        <f>IF($E155="","",AD155-Q155)</f>
        <v/>
      </c>
      <c r="AI155" s="7" t="n"/>
      <c r="AL155" s="11" t="n"/>
      <c r="AN155">
        <f>IF($E155="","",IF(COUNTIF($E$2:$E155,$E155)=1,1,0))</f>
        <v/>
      </c>
      <c r="AO155">
        <f>IF($AN155=1,SUMPRODUCT(--($AR$2:$AR$4001&lt;$AR155))+1,"")</f>
        <v/>
      </c>
      <c r="AP155">
        <f>IF($E155="","",IF(OR($U155=TRUE(),$U155="TRUE"),1,0))</f>
        <v/>
      </c>
      <c r="AQ155">
        <f>IF($E155="","",IF($AA155="Yes",1,0))</f>
        <v/>
      </c>
      <c r="AR155">
        <f>IF($AN155=1,IFERROR(VALUE(MID($E155,2,20)),1000000000)+ROW()/100000,"")</f>
        <v/>
      </c>
    </row>
    <row r="156">
      <c r="G156" s="11" t="n"/>
      <c r="Q156" s="7">
        <f>IF($E156="","",P156*Y156/100)</f>
        <v/>
      </c>
      <c r="R156" s="7" t="n"/>
      <c r="X156" s="7" t="n"/>
      <c r="Y156" s="7" t="n"/>
      <c r="AB156">
        <f>IF($E156="","",IF($AQ156=1,0,IF($AP156=1,Settings!$C$6,Settings!$C$7))*100)</f>
        <v/>
      </c>
      <c r="AC156" s="7">
        <f>IF($E156="","",Y156*AB156/100)</f>
        <v/>
      </c>
      <c r="AD156" s="7">
        <f>IF($E156="","",Y156-AC156)</f>
        <v/>
      </c>
      <c r="AE156" s="7">
        <f>IF($E156="","",AD156-Q156)</f>
        <v/>
      </c>
      <c r="AI156" s="7" t="n"/>
      <c r="AL156" s="11" t="n"/>
      <c r="AN156">
        <f>IF($E156="","",IF(COUNTIF($E$2:$E156,$E156)=1,1,0))</f>
        <v/>
      </c>
      <c r="AO156">
        <f>IF($AN156=1,SUMPRODUCT(--($AR$2:$AR$4001&lt;$AR156))+1,"")</f>
        <v/>
      </c>
      <c r="AP156">
        <f>IF($E156="","",IF(OR($U156=TRUE(),$U156="TRUE"),1,0))</f>
        <v/>
      </c>
      <c r="AQ156">
        <f>IF($E156="","",IF($AA156="Yes",1,0))</f>
        <v/>
      </c>
      <c r="AR156">
        <f>IF($AN156=1,IFERROR(VALUE(MID($E156,2,20)),1000000000)+ROW()/100000,"")</f>
        <v/>
      </c>
    </row>
    <row r="157">
      <c r="G157" s="11" t="n"/>
      <c r="Q157" s="7">
        <f>IF($E157="","",P157*Y157/100)</f>
        <v/>
      </c>
      <c r="R157" s="7" t="n"/>
      <c r="X157" s="7" t="n"/>
      <c r="Y157" s="7" t="n"/>
      <c r="AB157">
        <f>IF($E157="","",IF($AQ157=1,0,IF($AP157=1,Settings!$C$6,Settings!$C$7))*100)</f>
        <v/>
      </c>
      <c r="AC157" s="7">
        <f>IF($E157="","",Y157*AB157/100)</f>
        <v/>
      </c>
      <c r="AD157" s="7">
        <f>IF($E157="","",Y157-AC157)</f>
        <v/>
      </c>
      <c r="AE157" s="7">
        <f>IF($E157="","",AD157-Q157)</f>
        <v/>
      </c>
      <c r="AI157" s="7" t="n"/>
      <c r="AL157" s="11" t="n"/>
      <c r="AN157">
        <f>IF($E157="","",IF(COUNTIF($E$2:$E157,$E157)=1,1,0))</f>
        <v/>
      </c>
      <c r="AO157">
        <f>IF($AN157=1,SUMPRODUCT(--($AR$2:$AR$4001&lt;$AR157))+1,"")</f>
        <v/>
      </c>
      <c r="AP157">
        <f>IF($E157="","",IF(OR($U157=TRUE(),$U157="TRUE"),1,0))</f>
        <v/>
      </c>
      <c r="AQ157">
        <f>IF($E157="","",IF($AA157="Yes",1,0))</f>
        <v/>
      </c>
      <c r="AR157">
        <f>IF($AN157=1,IFERROR(VALUE(MID($E157,2,20)),1000000000)+ROW()/100000,"")</f>
        <v/>
      </c>
    </row>
    <row r="158">
      <c r="G158" s="11" t="n"/>
      <c r="Q158" s="7">
        <f>IF($E158="","",P158*Y158/100)</f>
        <v/>
      </c>
      <c r="R158" s="7" t="n"/>
      <c r="X158" s="7" t="n"/>
      <c r="Y158" s="7" t="n"/>
      <c r="AB158">
        <f>IF($E158="","",IF($AQ158=1,0,IF($AP158=1,Settings!$C$6,Settings!$C$7))*100)</f>
        <v/>
      </c>
      <c r="AC158" s="7">
        <f>IF($E158="","",Y158*AB158/100)</f>
        <v/>
      </c>
      <c r="AD158" s="7">
        <f>IF($E158="","",Y158-AC158)</f>
        <v/>
      </c>
      <c r="AE158" s="7">
        <f>IF($E158="","",AD158-Q158)</f>
        <v/>
      </c>
      <c r="AI158" s="7" t="n"/>
      <c r="AL158" s="11" t="n"/>
      <c r="AN158">
        <f>IF($E158="","",IF(COUNTIF($E$2:$E158,$E158)=1,1,0))</f>
        <v/>
      </c>
      <c r="AO158">
        <f>IF($AN158=1,SUMPRODUCT(--($AR$2:$AR$4001&lt;$AR158))+1,"")</f>
        <v/>
      </c>
      <c r="AP158">
        <f>IF($E158="","",IF(OR($U158=TRUE(),$U158="TRUE"),1,0))</f>
        <v/>
      </c>
      <c r="AQ158">
        <f>IF($E158="","",IF($AA158="Yes",1,0))</f>
        <v/>
      </c>
      <c r="AR158">
        <f>IF($AN158=1,IFERROR(VALUE(MID($E158,2,20)),1000000000)+ROW()/100000,"")</f>
        <v/>
      </c>
    </row>
    <row r="159">
      <c r="G159" s="11" t="n"/>
      <c r="Q159" s="7">
        <f>IF($E159="","",P159*Y159/100)</f>
        <v/>
      </c>
      <c r="R159" s="7" t="n"/>
      <c r="X159" s="7" t="n"/>
      <c r="Y159" s="7" t="n"/>
      <c r="AB159">
        <f>IF($E159="","",IF($AQ159=1,0,IF($AP159=1,Settings!$C$6,Settings!$C$7))*100)</f>
        <v/>
      </c>
      <c r="AC159" s="7">
        <f>IF($E159="","",Y159*AB159/100)</f>
        <v/>
      </c>
      <c r="AD159" s="7">
        <f>IF($E159="","",Y159-AC159)</f>
        <v/>
      </c>
      <c r="AE159" s="7">
        <f>IF($E159="","",AD159-Q159)</f>
        <v/>
      </c>
      <c r="AI159" s="7" t="n"/>
      <c r="AL159" s="11" t="n"/>
      <c r="AN159">
        <f>IF($E159="","",IF(COUNTIF($E$2:$E159,$E159)=1,1,0))</f>
        <v/>
      </c>
      <c r="AO159">
        <f>IF($AN159=1,SUMPRODUCT(--($AR$2:$AR$4001&lt;$AR159))+1,"")</f>
        <v/>
      </c>
      <c r="AP159">
        <f>IF($E159="","",IF(OR($U159=TRUE(),$U159="TRUE"),1,0))</f>
        <v/>
      </c>
      <c r="AQ159">
        <f>IF($E159="","",IF($AA159="Yes",1,0))</f>
        <v/>
      </c>
      <c r="AR159">
        <f>IF($AN159=1,IFERROR(VALUE(MID($E159,2,20)),1000000000)+ROW()/100000,"")</f>
        <v/>
      </c>
    </row>
    <row r="160">
      <c r="G160" s="11" t="n"/>
      <c r="Q160" s="7">
        <f>IF($E160="","",P160*Y160/100)</f>
        <v/>
      </c>
      <c r="R160" s="7" t="n"/>
      <c r="X160" s="7" t="n"/>
      <c r="Y160" s="7" t="n"/>
      <c r="AB160">
        <f>IF($E160="","",IF($AQ160=1,0,IF($AP160=1,Settings!$C$6,Settings!$C$7))*100)</f>
        <v/>
      </c>
      <c r="AC160" s="7">
        <f>IF($E160="","",Y160*AB160/100)</f>
        <v/>
      </c>
      <c r="AD160" s="7">
        <f>IF($E160="","",Y160-AC160)</f>
        <v/>
      </c>
      <c r="AE160" s="7">
        <f>IF($E160="","",AD160-Q160)</f>
        <v/>
      </c>
      <c r="AI160" s="7" t="n"/>
      <c r="AL160" s="11" t="n"/>
      <c r="AN160">
        <f>IF($E160="","",IF(COUNTIF($E$2:$E160,$E160)=1,1,0))</f>
        <v/>
      </c>
      <c r="AO160">
        <f>IF($AN160=1,SUMPRODUCT(--($AR$2:$AR$4001&lt;$AR160))+1,"")</f>
        <v/>
      </c>
      <c r="AP160">
        <f>IF($E160="","",IF(OR($U160=TRUE(),$U160="TRUE"),1,0))</f>
        <v/>
      </c>
      <c r="AQ160">
        <f>IF($E160="","",IF($AA160="Yes",1,0))</f>
        <v/>
      </c>
      <c r="AR160">
        <f>IF($AN160=1,IFERROR(VALUE(MID($E160,2,20)),1000000000)+ROW()/100000,"")</f>
        <v/>
      </c>
    </row>
    <row r="161">
      <c r="G161" s="11" t="n"/>
      <c r="Q161" s="7">
        <f>IF($E161="","",P161*Y161/100)</f>
        <v/>
      </c>
      <c r="R161" s="7" t="n"/>
      <c r="X161" s="7" t="n"/>
      <c r="Y161" s="7" t="n"/>
      <c r="AB161">
        <f>IF($E161="","",IF($AQ161=1,0,IF($AP161=1,Settings!$C$6,Settings!$C$7))*100)</f>
        <v/>
      </c>
      <c r="AC161" s="7">
        <f>IF($E161="","",Y161*AB161/100)</f>
        <v/>
      </c>
      <c r="AD161" s="7">
        <f>IF($E161="","",Y161-AC161)</f>
        <v/>
      </c>
      <c r="AE161" s="7">
        <f>IF($E161="","",AD161-Q161)</f>
        <v/>
      </c>
      <c r="AI161" s="7" t="n"/>
      <c r="AL161" s="11" t="n"/>
      <c r="AN161">
        <f>IF($E161="","",IF(COUNTIF($E$2:$E161,$E161)=1,1,0))</f>
        <v/>
      </c>
      <c r="AO161">
        <f>IF($AN161=1,SUMPRODUCT(--($AR$2:$AR$4001&lt;$AR161))+1,"")</f>
        <v/>
      </c>
      <c r="AP161">
        <f>IF($E161="","",IF(OR($U161=TRUE(),$U161="TRUE"),1,0))</f>
        <v/>
      </c>
      <c r="AQ161">
        <f>IF($E161="","",IF($AA161="Yes",1,0))</f>
        <v/>
      </c>
      <c r="AR161">
        <f>IF($AN161=1,IFERROR(VALUE(MID($E161,2,20)),1000000000)+ROW()/100000,"")</f>
        <v/>
      </c>
    </row>
    <row r="162">
      <c r="G162" s="11" t="n"/>
      <c r="Q162" s="7">
        <f>IF($E162="","",P162*Y162/100)</f>
        <v/>
      </c>
      <c r="R162" s="7" t="n"/>
      <c r="X162" s="7" t="n"/>
      <c r="Y162" s="7" t="n"/>
      <c r="AB162">
        <f>IF($E162="","",IF($AQ162=1,0,IF($AP162=1,Settings!$C$6,Settings!$C$7))*100)</f>
        <v/>
      </c>
      <c r="AC162" s="7">
        <f>IF($E162="","",Y162*AB162/100)</f>
        <v/>
      </c>
      <c r="AD162" s="7">
        <f>IF($E162="","",Y162-AC162)</f>
        <v/>
      </c>
      <c r="AE162" s="7">
        <f>IF($E162="","",AD162-Q162)</f>
        <v/>
      </c>
      <c r="AI162" s="7" t="n"/>
      <c r="AL162" s="11" t="n"/>
      <c r="AN162">
        <f>IF($E162="","",IF(COUNTIF($E$2:$E162,$E162)=1,1,0))</f>
        <v/>
      </c>
      <c r="AO162">
        <f>IF($AN162=1,SUMPRODUCT(--($AR$2:$AR$4001&lt;$AR162))+1,"")</f>
        <v/>
      </c>
      <c r="AP162">
        <f>IF($E162="","",IF(OR($U162=TRUE(),$U162="TRUE"),1,0))</f>
        <v/>
      </c>
      <c r="AQ162">
        <f>IF($E162="","",IF($AA162="Yes",1,0))</f>
        <v/>
      </c>
      <c r="AR162">
        <f>IF($AN162=1,IFERROR(VALUE(MID($E162,2,20)),1000000000)+ROW()/100000,"")</f>
        <v/>
      </c>
    </row>
    <row r="163">
      <c r="G163" s="11" t="n"/>
      <c r="Q163" s="7">
        <f>IF($E163="","",P163*Y163/100)</f>
        <v/>
      </c>
      <c r="R163" s="7" t="n"/>
      <c r="X163" s="7" t="n"/>
      <c r="Y163" s="7" t="n"/>
      <c r="AB163">
        <f>IF($E163="","",IF($AQ163=1,0,IF($AP163=1,Settings!$C$6,Settings!$C$7))*100)</f>
        <v/>
      </c>
      <c r="AC163" s="7">
        <f>IF($E163="","",Y163*AB163/100)</f>
        <v/>
      </c>
      <c r="AD163" s="7">
        <f>IF($E163="","",Y163-AC163)</f>
        <v/>
      </c>
      <c r="AE163" s="7">
        <f>IF($E163="","",AD163-Q163)</f>
        <v/>
      </c>
      <c r="AI163" s="7" t="n"/>
      <c r="AL163" s="11" t="n"/>
      <c r="AN163">
        <f>IF($E163="","",IF(COUNTIF($E$2:$E163,$E163)=1,1,0))</f>
        <v/>
      </c>
      <c r="AO163">
        <f>IF($AN163=1,SUMPRODUCT(--($AR$2:$AR$4001&lt;$AR163))+1,"")</f>
        <v/>
      </c>
      <c r="AP163">
        <f>IF($E163="","",IF(OR($U163=TRUE(),$U163="TRUE"),1,0))</f>
        <v/>
      </c>
      <c r="AQ163">
        <f>IF($E163="","",IF($AA163="Yes",1,0))</f>
        <v/>
      </c>
      <c r="AR163">
        <f>IF($AN163=1,IFERROR(VALUE(MID($E163,2,20)),1000000000)+ROW()/100000,"")</f>
        <v/>
      </c>
    </row>
    <row r="164">
      <c r="G164" s="11" t="n"/>
      <c r="Q164" s="7">
        <f>IF($E164="","",P164*Y164/100)</f>
        <v/>
      </c>
      <c r="R164" s="7" t="n"/>
      <c r="X164" s="7" t="n"/>
      <c r="Y164" s="7" t="n"/>
      <c r="AB164">
        <f>IF($E164="","",IF($AQ164=1,0,IF($AP164=1,Settings!$C$6,Settings!$C$7))*100)</f>
        <v/>
      </c>
      <c r="AC164" s="7">
        <f>IF($E164="","",Y164*AB164/100)</f>
        <v/>
      </c>
      <c r="AD164" s="7">
        <f>IF($E164="","",Y164-AC164)</f>
        <v/>
      </c>
      <c r="AE164" s="7">
        <f>IF($E164="","",AD164-Q164)</f>
        <v/>
      </c>
      <c r="AI164" s="7" t="n"/>
      <c r="AL164" s="11" t="n"/>
      <c r="AN164">
        <f>IF($E164="","",IF(COUNTIF($E$2:$E164,$E164)=1,1,0))</f>
        <v/>
      </c>
      <c r="AO164">
        <f>IF($AN164=1,SUMPRODUCT(--($AR$2:$AR$4001&lt;$AR164))+1,"")</f>
        <v/>
      </c>
      <c r="AP164">
        <f>IF($E164="","",IF(OR($U164=TRUE(),$U164="TRUE"),1,0))</f>
        <v/>
      </c>
      <c r="AQ164">
        <f>IF($E164="","",IF($AA164="Yes",1,0))</f>
        <v/>
      </c>
      <c r="AR164">
        <f>IF($AN164=1,IFERROR(VALUE(MID($E164,2,20)),1000000000)+ROW()/100000,"")</f>
        <v/>
      </c>
    </row>
    <row r="165">
      <c r="G165" s="11" t="n"/>
      <c r="Q165" s="7">
        <f>IF($E165="","",P165*Y165/100)</f>
        <v/>
      </c>
      <c r="R165" s="7" t="n"/>
      <c r="X165" s="7" t="n"/>
      <c r="Y165" s="7" t="n"/>
      <c r="AB165">
        <f>IF($E165="","",IF($AQ165=1,0,IF($AP165=1,Settings!$C$6,Settings!$C$7))*100)</f>
        <v/>
      </c>
      <c r="AC165" s="7">
        <f>IF($E165="","",Y165*AB165/100)</f>
        <v/>
      </c>
      <c r="AD165" s="7">
        <f>IF($E165="","",Y165-AC165)</f>
        <v/>
      </c>
      <c r="AE165" s="7">
        <f>IF($E165="","",AD165-Q165)</f>
        <v/>
      </c>
      <c r="AI165" s="7" t="n"/>
      <c r="AL165" s="11" t="n"/>
      <c r="AN165">
        <f>IF($E165="","",IF(COUNTIF($E$2:$E165,$E165)=1,1,0))</f>
        <v/>
      </c>
      <c r="AO165">
        <f>IF($AN165=1,SUMPRODUCT(--($AR$2:$AR$4001&lt;$AR165))+1,"")</f>
        <v/>
      </c>
      <c r="AP165">
        <f>IF($E165="","",IF(OR($U165=TRUE(),$U165="TRUE"),1,0))</f>
        <v/>
      </c>
      <c r="AQ165">
        <f>IF($E165="","",IF($AA165="Yes",1,0))</f>
        <v/>
      </c>
      <c r="AR165">
        <f>IF($AN165=1,IFERROR(VALUE(MID($E165,2,20)),1000000000)+ROW()/100000,"")</f>
        <v/>
      </c>
    </row>
    <row r="166">
      <c r="G166" s="11" t="n"/>
      <c r="Q166" s="7">
        <f>IF($E166="","",P166*Y166/100)</f>
        <v/>
      </c>
      <c r="R166" s="7" t="n"/>
      <c r="X166" s="7" t="n"/>
      <c r="Y166" s="7" t="n"/>
      <c r="AB166">
        <f>IF($E166="","",IF($AQ166=1,0,IF($AP166=1,Settings!$C$6,Settings!$C$7))*100)</f>
        <v/>
      </c>
      <c r="AC166" s="7">
        <f>IF($E166="","",Y166*AB166/100)</f>
        <v/>
      </c>
      <c r="AD166" s="7">
        <f>IF($E166="","",Y166-AC166)</f>
        <v/>
      </c>
      <c r="AE166" s="7">
        <f>IF($E166="","",AD166-Q166)</f>
        <v/>
      </c>
      <c r="AI166" s="7" t="n"/>
      <c r="AL166" s="11" t="n"/>
      <c r="AN166">
        <f>IF($E166="","",IF(COUNTIF($E$2:$E166,$E166)=1,1,0))</f>
        <v/>
      </c>
      <c r="AO166">
        <f>IF($AN166=1,SUMPRODUCT(--($AR$2:$AR$4001&lt;$AR166))+1,"")</f>
        <v/>
      </c>
      <c r="AP166">
        <f>IF($E166="","",IF(OR($U166=TRUE(),$U166="TRUE"),1,0))</f>
        <v/>
      </c>
      <c r="AQ166">
        <f>IF($E166="","",IF($AA166="Yes",1,0))</f>
        <v/>
      </c>
      <c r="AR166">
        <f>IF($AN166=1,IFERROR(VALUE(MID($E166,2,20)),1000000000)+ROW()/100000,"")</f>
        <v/>
      </c>
    </row>
    <row r="167">
      <c r="G167" s="11" t="n"/>
      <c r="Q167" s="7">
        <f>IF($E167="","",P167*Y167/100)</f>
        <v/>
      </c>
      <c r="R167" s="7" t="n"/>
      <c r="X167" s="7" t="n"/>
      <c r="Y167" s="7" t="n"/>
      <c r="AB167">
        <f>IF($E167="","",IF($AQ167=1,0,IF($AP167=1,Settings!$C$6,Settings!$C$7))*100)</f>
        <v/>
      </c>
      <c r="AC167" s="7">
        <f>IF($E167="","",Y167*AB167/100)</f>
        <v/>
      </c>
      <c r="AD167" s="7">
        <f>IF($E167="","",Y167-AC167)</f>
        <v/>
      </c>
      <c r="AE167" s="7">
        <f>IF($E167="","",AD167-Q167)</f>
        <v/>
      </c>
      <c r="AI167" s="7" t="n"/>
      <c r="AL167" s="11" t="n"/>
      <c r="AN167">
        <f>IF($E167="","",IF(COUNTIF($E$2:$E167,$E167)=1,1,0))</f>
        <v/>
      </c>
      <c r="AO167">
        <f>IF($AN167=1,SUMPRODUCT(--($AR$2:$AR$4001&lt;$AR167))+1,"")</f>
        <v/>
      </c>
      <c r="AP167">
        <f>IF($E167="","",IF(OR($U167=TRUE(),$U167="TRUE"),1,0))</f>
        <v/>
      </c>
      <c r="AQ167">
        <f>IF($E167="","",IF($AA167="Yes",1,0))</f>
        <v/>
      </c>
      <c r="AR167">
        <f>IF($AN167=1,IFERROR(VALUE(MID($E167,2,20)),1000000000)+ROW()/100000,"")</f>
        <v/>
      </c>
    </row>
    <row r="168">
      <c r="G168" s="11" t="n"/>
      <c r="Q168" s="7">
        <f>IF($E168="","",P168*Y168/100)</f>
        <v/>
      </c>
      <c r="R168" s="7" t="n"/>
      <c r="X168" s="7" t="n"/>
      <c r="Y168" s="7" t="n"/>
      <c r="AB168">
        <f>IF($E168="","",IF($AQ168=1,0,IF($AP168=1,Settings!$C$6,Settings!$C$7))*100)</f>
        <v/>
      </c>
      <c r="AC168" s="7">
        <f>IF($E168="","",Y168*AB168/100)</f>
        <v/>
      </c>
      <c r="AD168" s="7">
        <f>IF($E168="","",Y168-AC168)</f>
        <v/>
      </c>
      <c r="AE168" s="7">
        <f>IF($E168="","",AD168-Q168)</f>
        <v/>
      </c>
      <c r="AI168" s="7" t="n"/>
      <c r="AL168" s="11" t="n"/>
      <c r="AN168">
        <f>IF($E168="","",IF(COUNTIF($E$2:$E168,$E168)=1,1,0))</f>
        <v/>
      </c>
      <c r="AO168">
        <f>IF($AN168=1,SUMPRODUCT(--($AR$2:$AR$4001&lt;$AR168))+1,"")</f>
        <v/>
      </c>
      <c r="AP168">
        <f>IF($E168="","",IF(OR($U168=TRUE(),$U168="TRUE"),1,0))</f>
        <v/>
      </c>
      <c r="AQ168">
        <f>IF($E168="","",IF($AA168="Yes",1,0))</f>
        <v/>
      </c>
      <c r="AR168">
        <f>IF($AN168=1,IFERROR(VALUE(MID($E168,2,20)),1000000000)+ROW()/100000,"")</f>
        <v/>
      </c>
    </row>
    <row r="169">
      <c r="G169" s="11" t="n"/>
      <c r="Q169" s="7">
        <f>IF($E169="","",P169*Y169/100)</f>
        <v/>
      </c>
      <c r="R169" s="7" t="n"/>
      <c r="X169" s="7" t="n"/>
      <c r="Y169" s="7" t="n"/>
      <c r="AB169">
        <f>IF($E169="","",IF($AQ169=1,0,IF($AP169=1,Settings!$C$6,Settings!$C$7))*100)</f>
        <v/>
      </c>
      <c r="AC169" s="7">
        <f>IF($E169="","",Y169*AB169/100)</f>
        <v/>
      </c>
      <c r="AD169" s="7">
        <f>IF($E169="","",Y169-AC169)</f>
        <v/>
      </c>
      <c r="AE169" s="7">
        <f>IF($E169="","",AD169-Q169)</f>
        <v/>
      </c>
      <c r="AI169" s="7" t="n"/>
      <c r="AL169" s="11" t="n"/>
      <c r="AN169">
        <f>IF($E169="","",IF(COUNTIF($E$2:$E169,$E169)=1,1,0))</f>
        <v/>
      </c>
      <c r="AO169">
        <f>IF($AN169=1,SUMPRODUCT(--($AR$2:$AR$4001&lt;$AR169))+1,"")</f>
        <v/>
      </c>
      <c r="AP169">
        <f>IF($E169="","",IF(OR($U169=TRUE(),$U169="TRUE"),1,0))</f>
        <v/>
      </c>
      <c r="AQ169">
        <f>IF($E169="","",IF($AA169="Yes",1,0))</f>
        <v/>
      </c>
      <c r="AR169">
        <f>IF($AN169=1,IFERROR(VALUE(MID($E169,2,20)),1000000000)+ROW()/100000,"")</f>
        <v/>
      </c>
    </row>
    <row r="170">
      <c r="G170" s="11" t="n"/>
      <c r="Q170" s="7">
        <f>IF($E170="","",P170*Y170/100)</f>
        <v/>
      </c>
      <c r="R170" s="7" t="n"/>
      <c r="X170" s="7" t="n"/>
      <c r="Y170" s="7" t="n"/>
      <c r="AB170">
        <f>IF($E170="","",IF($AQ170=1,0,IF($AP170=1,Settings!$C$6,Settings!$C$7))*100)</f>
        <v/>
      </c>
      <c r="AC170" s="7">
        <f>IF($E170="","",Y170*AB170/100)</f>
        <v/>
      </c>
      <c r="AD170" s="7">
        <f>IF($E170="","",Y170-AC170)</f>
        <v/>
      </c>
      <c r="AE170" s="7">
        <f>IF($E170="","",AD170-Q170)</f>
        <v/>
      </c>
      <c r="AI170" s="7" t="n"/>
      <c r="AL170" s="11" t="n"/>
      <c r="AN170">
        <f>IF($E170="","",IF(COUNTIF($E$2:$E170,$E170)=1,1,0))</f>
        <v/>
      </c>
      <c r="AO170">
        <f>IF($AN170=1,SUMPRODUCT(--($AR$2:$AR$4001&lt;$AR170))+1,"")</f>
        <v/>
      </c>
      <c r="AP170">
        <f>IF($E170="","",IF(OR($U170=TRUE(),$U170="TRUE"),1,0))</f>
        <v/>
      </c>
      <c r="AQ170">
        <f>IF($E170="","",IF($AA170="Yes",1,0))</f>
        <v/>
      </c>
      <c r="AR170">
        <f>IF($AN170=1,IFERROR(VALUE(MID($E170,2,20)),1000000000)+ROW()/100000,"")</f>
        <v/>
      </c>
    </row>
    <row r="171">
      <c r="G171" s="11" t="n"/>
      <c r="Q171" s="7">
        <f>IF($E171="","",P171*Y171/100)</f>
        <v/>
      </c>
      <c r="R171" s="7" t="n"/>
      <c r="X171" s="7" t="n"/>
      <c r="Y171" s="7" t="n"/>
      <c r="AB171">
        <f>IF($E171="","",IF($AQ171=1,0,IF($AP171=1,Settings!$C$6,Settings!$C$7))*100)</f>
        <v/>
      </c>
      <c r="AC171" s="7">
        <f>IF($E171="","",Y171*AB171/100)</f>
        <v/>
      </c>
      <c r="AD171" s="7">
        <f>IF($E171="","",Y171-AC171)</f>
        <v/>
      </c>
      <c r="AE171" s="7">
        <f>IF($E171="","",AD171-Q171)</f>
        <v/>
      </c>
      <c r="AI171" s="7" t="n"/>
      <c r="AL171" s="11" t="n"/>
      <c r="AN171">
        <f>IF($E171="","",IF(COUNTIF($E$2:$E171,$E171)=1,1,0))</f>
        <v/>
      </c>
      <c r="AO171">
        <f>IF($AN171=1,SUMPRODUCT(--($AR$2:$AR$4001&lt;$AR171))+1,"")</f>
        <v/>
      </c>
      <c r="AP171">
        <f>IF($E171="","",IF(OR($U171=TRUE(),$U171="TRUE"),1,0))</f>
        <v/>
      </c>
      <c r="AQ171">
        <f>IF($E171="","",IF($AA171="Yes",1,0))</f>
        <v/>
      </c>
      <c r="AR171">
        <f>IF($AN171=1,IFERROR(VALUE(MID($E171,2,20)),1000000000)+ROW()/100000,"")</f>
        <v/>
      </c>
    </row>
    <row r="172">
      <c r="G172" s="11" t="n"/>
      <c r="Q172" s="7">
        <f>IF($E172="","",P172*Y172/100)</f>
        <v/>
      </c>
      <c r="R172" s="7" t="n"/>
      <c r="X172" s="7" t="n"/>
      <c r="Y172" s="7" t="n"/>
      <c r="AB172">
        <f>IF($E172="","",IF($AQ172=1,0,IF($AP172=1,Settings!$C$6,Settings!$C$7))*100)</f>
        <v/>
      </c>
      <c r="AC172" s="7">
        <f>IF($E172="","",Y172*AB172/100)</f>
        <v/>
      </c>
      <c r="AD172" s="7">
        <f>IF($E172="","",Y172-AC172)</f>
        <v/>
      </c>
      <c r="AE172" s="7">
        <f>IF($E172="","",AD172-Q172)</f>
        <v/>
      </c>
      <c r="AI172" s="7" t="n"/>
      <c r="AL172" s="11" t="n"/>
      <c r="AN172">
        <f>IF($E172="","",IF(COUNTIF($E$2:$E172,$E172)=1,1,0))</f>
        <v/>
      </c>
      <c r="AO172">
        <f>IF($AN172=1,SUMPRODUCT(--($AR$2:$AR$4001&lt;$AR172))+1,"")</f>
        <v/>
      </c>
      <c r="AP172">
        <f>IF($E172="","",IF(OR($U172=TRUE(),$U172="TRUE"),1,0))</f>
        <v/>
      </c>
      <c r="AQ172">
        <f>IF($E172="","",IF($AA172="Yes",1,0))</f>
        <v/>
      </c>
      <c r="AR172">
        <f>IF($AN172=1,IFERROR(VALUE(MID($E172,2,20)),1000000000)+ROW()/100000,"")</f>
        <v/>
      </c>
    </row>
    <row r="173">
      <c r="G173" s="11" t="n"/>
      <c r="Q173" s="7">
        <f>IF($E173="","",P173*Y173/100)</f>
        <v/>
      </c>
      <c r="R173" s="7" t="n"/>
      <c r="X173" s="7" t="n"/>
      <c r="Y173" s="7" t="n"/>
      <c r="AB173">
        <f>IF($E173="","",IF($AQ173=1,0,IF($AP173=1,Settings!$C$6,Settings!$C$7))*100)</f>
        <v/>
      </c>
      <c r="AC173" s="7">
        <f>IF($E173="","",Y173*AB173/100)</f>
        <v/>
      </c>
      <c r="AD173" s="7">
        <f>IF($E173="","",Y173-AC173)</f>
        <v/>
      </c>
      <c r="AE173" s="7">
        <f>IF($E173="","",AD173-Q173)</f>
        <v/>
      </c>
      <c r="AI173" s="7" t="n"/>
      <c r="AL173" s="11" t="n"/>
      <c r="AN173">
        <f>IF($E173="","",IF(COUNTIF($E$2:$E173,$E173)=1,1,0))</f>
        <v/>
      </c>
      <c r="AO173">
        <f>IF($AN173=1,SUMPRODUCT(--($AR$2:$AR$4001&lt;$AR173))+1,"")</f>
        <v/>
      </c>
      <c r="AP173">
        <f>IF($E173="","",IF(OR($U173=TRUE(),$U173="TRUE"),1,0))</f>
        <v/>
      </c>
      <c r="AQ173">
        <f>IF($E173="","",IF($AA173="Yes",1,0))</f>
        <v/>
      </c>
      <c r="AR173">
        <f>IF($AN173=1,IFERROR(VALUE(MID($E173,2,20)),1000000000)+ROW()/100000,"")</f>
        <v/>
      </c>
    </row>
    <row r="174">
      <c r="G174" s="11" t="n"/>
      <c r="Q174" s="7">
        <f>IF($E174="","",P174*Y174/100)</f>
        <v/>
      </c>
      <c r="R174" s="7" t="n"/>
      <c r="X174" s="7" t="n"/>
      <c r="Y174" s="7" t="n"/>
      <c r="AB174">
        <f>IF($E174="","",IF($AQ174=1,0,IF($AP174=1,Settings!$C$6,Settings!$C$7))*100)</f>
        <v/>
      </c>
      <c r="AC174" s="7">
        <f>IF($E174="","",Y174*AB174/100)</f>
        <v/>
      </c>
      <c r="AD174" s="7">
        <f>IF($E174="","",Y174-AC174)</f>
        <v/>
      </c>
      <c r="AE174" s="7">
        <f>IF($E174="","",AD174-Q174)</f>
        <v/>
      </c>
      <c r="AI174" s="7" t="n"/>
      <c r="AL174" s="11" t="n"/>
      <c r="AN174">
        <f>IF($E174="","",IF(COUNTIF($E$2:$E174,$E174)=1,1,0))</f>
        <v/>
      </c>
      <c r="AO174">
        <f>IF($AN174=1,SUMPRODUCT(--($AR$2:$AR$4001&lt;$AR174))+1,"")</f>
        <v/>
      </c>
      <c r="AP174">
        <f>IF($E174="","",IF(OR($U174=TRUE(),$U174="TRUE"),1,0))</f>
        <v/>
      </c>
      <c r="AQ174">
        <f>IF($E174="","",IF($AA174="Yes",1,0))</f>
        <v/>
      </c>
      <c r="AR174">
        <f>IF($AN174=1,IFERROR(VALUE(MID($E174,2,20)),1000000000)+ROW()/100000,"")</f>
        <v/>
      </c>
    </row>
    <row r="175">
      <c r="G175" s="11" t="n"/>
      <c r="Q175" s="7">
        <f>IF($E175="","",P175*Y175/100)</f>
        <v/>
      </c>
      <c r="R175" s="7" t="n"/>
      <c r="X175" s="7" t="n"/>
      <c r="Y175" s="7" t="n"/>
      <c r="AB175">
        <f>IF($E175="","",IF($AQ175=1,0,IF($AP175=1,Settings!$C$6,Settings!$C$7))*100)</f>
        <v/>
      </c>
      <c r="AC175" s="7">
        <f>IF($E175="","",Y175*AB175/100)</f>
        <v/>
      </c>
      <c r="AD175" s="7">
        <f>IF($E175="","",Y175-AC175)</f>
        <v/>
      </c>
      <c r="AE175" s="7">
        <f>IF($E175="","",AD175-Q175)</f>
        <v/>
      </c>
      <c r="AI175" s="7" t="n"/>
      <c r="AL175" s="11" t="n"/>
      <c r="AN175">
        <f>IF($E175="","",IF(COUNTIF($E$2:$E175,$E175)=1,1,0))</f>
        <v/>
      </c>
      <c r="AO175">
        <f>IF($AN175=1,SUMPRODUCT(--($AR$2:$AR$4001&lt;$AR175))+1,"")</f>
        <v/>
      </c>
      <c r="AP175">
        <f>IF($E175="","",IF(OR($U175=TRUE(),$U175="TRUE"),1,0))</f>
        <v/>
      </c>
      <c r="AQ175">
        <f>IF($E175="","",IF($AA175="Yes",1,0))</f>
        <v/>
      </c>
      <c r="AR175">
        <f>IF($AN175=1,IFERROR(VALUE(MID($E175,2,20)),1000000000)+ROW()/100000,"")</f>
        <v/>
      </c>
    </row>
    <row r="176">
      <c r="G176" s="11" t="n"/>
      <c r="Q176" s="7">
        <f>IF($E176="","",P176*Y176/100)</f>
        <v/>
      </c>
      <c r="R176" s="7" t="n"/>
      <c r="X176" s="7" t="n"/>
      <c r="Y176" s="7" t="n"/>
      <c r="AB176">
        <f>IF($E176="","",IF($AQ176=1,0,IF($AP176=1,Settings!$C$6,Settings!$C$7))*100)</f>
        <v/>
      </c>
      <c r="AC176" s="7">
        <f>IF($E176="","",Y176*AB176/100)</f>
        <v/>
      </c>
      <c r="AD176" s="7">
        <f>IF($E176="","",Y176-AC176)</f>
        <v/>
      </c>
      <c r="AE176" s="7">
        <f>IF($E176="","",AD176-Q176)</f>
        <v/>
      </c>
      <c r="AI176" s="7" t="n"/>
      <c r="AL176" s="11" t="n"/>
      <c r="AN176">
        <f>IF($E176="","",IF(COUNTIF($E$2:$E176,$E176)=1,1,0))</f>
        <v/>
      </c>
      <c r="AO176">
        <f>IF($AN176=1,SUMPRODUCT(--($AR$2:$AR$4001&lt;$AR176))+1,"")</f>
        <v/>
      </c>
      <c r="AP176">
        <f>IF($E176="","",IF(OR($U176=TRUE(),$U176="TRUE"),1,0))</f>
        <v/>
      </c>
      <c r="AQ176">
        <f>IF($E176="","",IF($AA176="Yes",1,0))</f>
        <v/>
      </c>
      <c r="AR176">
        <f>IF($AN176=1,IFERROR(VALUE(MID($E176,2,20)),1000000000)+ROW()/100000,"")</f>
        <v/>
      </c>
    </row>
    <row r="177">
      <c r="G177" s="11" t="n"/>
      <c r="Q177" s="7">
        <f>IF($E177="","",P177*Y177/100)</f>
        <v/>
      </c>
      <c r="R177" s="7" t="n"/>
      <c r="X177" s="7" t="n"/>
      <c r="Y177" s="7" t="n"/>
      <c r="AB177">
        <f>IF($E177="","",IF($AQ177=1,0,IF($AP177=1,Settings!$C$6,Settings!$C$7))*100)</f>
        <v/>
      </c>
      <c r="AC177" s="7">
        <f>IF($E177="","",Y177*AB177/100)</f>
        <v/>
      </c>
      <c r="AD177" s="7">
        <f>IF($E177="","",Y177-AC177)</f>
        <v/>
      </c>
      <c r="AE177" s="7">
        <f>IF($E177="","",AD177-Q177)</f>
        <v/>
      </c>
      <c r="AI177" s="7" t="n"/>
      <c r="AL177" s="11" t="n"/>
      <c r="AN177">
        <f>IF($E177="","",IF(COUNTIF($E$2:$E177,$E177)=1,1,0))</f>
        <v/>
      </c>
      <c r="AO177">
        <f>IF($AN177=1,SUMPRODUCT(--($AR$2:$AR$4001&lt;$AR177))+1,"")</f>
        <v/>
      </c>
      <c r="AP177">
        <f>IF($E177="","",IF(OR($U177=TRUE(),$U177="TRUE"),1,0))</f>
        <v/>
      </c>
      <c r="AQ177">
        <f>IF($E177="","",IF($AA177="Yes",1,0))</f>
        <v/>
      </c>
      <c r="AR177">
        <f>IF($AN177=1,IFERROR(VALUE(MID($E177,2,20)),1000000000)+ROW()/100000,"")</f>
        <v/>
      </c>
    </row>
    <row r="178">
      <c r="G178" s="11" t="n"/>
      <c r="Q178" s="7">
        <f>IF($E178="","",P178*Y178/100)</f>
        <v/>
      </c>
      <c r="R178" s="7" t="n"/>
      <c r="X178" s="7" t="n"/>
      <c r="Y178" s="7" t="n"/>
      <c r="AB178">
        <f>IF($E178="","",IF($AQ178=1,0,IF($AP178=1,Settings!$C$6,Settings!$C$7))*100)</f>
        <v/>
      </c>
      <c r="AC178" s="7">
        <f>IF($E178="","",Y178*AB178/100)</f>
        <v/>
      </c>
      <c r="AD178" s="7">
        <f>IF($E178="","",Y178-AC178)</f>
        <v/>
      </c>
      <c r="AE178" s="7">
        <f>IF($E178="","",AD178-Q178)</f>
        <v/>
      </c>
      <c r="AI178" s="7" t="n"/>
      <c r="AL178" s="11" t="n"/>
      <c r="AN178">
        <f>IF($E178="","",IF(COUNTIF($E$2:$E178,$E178)=1,1,0))</f>
        <v/>
      </c>
      <c r="AO178">
        <f>IF($AN178=1,SUMPRODUCT(--($AR$2:$AR$4001&lt;$AR178))+1,"")</f>
        <v/>
      </c>
      <c r="AP178">
        <f>IF($E178="","",IF(OR($U178=TRUE(),$U178="TRUE"),1,0))</f>
        <v/>
      </c>
      <c r="AQ178">
        <f>IF($E178="","",IF($AA178="Yes",1,0))</f>
        <v/>
      </c>
      <c r="AR178">
        <f>IF($AN178=1,IFERROR(VALUE(MID($E178,2,20)),1000000000)+ROW()/100000,"")</f>
        <v/>
      </c>
    </row>
    <row r="179">
      <c r="G179" s="11" t="n"/>
      <c r="Q179" s="7">
        <f>IF($E179="","",P179*Y179/100)</f>
        <v/>
      </c>
      <c r="R179" s="7" t="n"/>
      <c r="X179" s="7" t="n"/>
      <c r="Y179" s="7" t="n"/>
      <c r="AB179">
        <f>IF($E179="","",IF($AQ179=1,0,IF($AP179=1,Settings!$C$6,Settings!$C$7))*100)</f>
        <v/>
      </c>
      <c r="AC179" s="7">
        <f>IF($E179="","",Y179*AB179/100)</f>
        <v/>
      </c>
      <c r="AD179" s="7">
        <f>IF($E179="","",Y179-AC179)</f>
        <v/>
      </c>
      <c r="AE179" s="7">
        <f>IF($E179="","",AD179-Q179)</f>
        <v/>
      </c>
      <c r="AI179" s="7" t="n"/>
      <c r="AL179" s="11" t="n"/>
      <c r="AN179">
        <f>IF($E179="","",IF(COUNTIF($E$2:$E179,$E179)=1,1,0))</f>
        <v/>
      </c>
      <c r="AO179">
        <f>IF($AN179=1,SUMPRODUCT(--($AR$2:$AR$4001&lt;$AR179))+1,"")</f>
        <v/>
      </c>
      <c r="AP179">
        <f>IF($E179="","",IF(OR($U179=TRUE(),$U179="TRUE"),1,0))</f>
        <v/>
      </c>
      <c r="AQ179">
        <f>IF($E179="","",IF($AA179="Yes",1,0))</f>
        <v/>
      </c>
      <c r="AR179">
        <f>IF($AN179=1,IFERROR(VALUE(MID($E179,2,20)),1000000000)+ROW()/100000,"")</f>
        <v/>
      </c>
    </row>
    <row r="180">
      <c r="G180" s="11" t="n"/>
      <c r="Q180" s="7">
        <f>IF($E180="","",P180*Y180/100)</f>
        <v/>
      </c>
      <c r="R180" s="7" t="n"/>
      <c r="X180" s="7" t="n"/>
      <c r="Y180" s="7" t="n"/>
      <c r="AB180">
        <f>IF($E180="","",IF($AQ180=1,0,IF($AP180=1,Settings!$C$6,Settings!$C$7))*100)</f>
        <v/>
      </c>
      <c r="AC180" s="7">
        <f>IF($E180="","",Y180*AB180/100)</f>
        <v/>
      </c>
      <c r="AD180" s="7">
        <f>IF($E180="","",Y180-AC180)</f>
        <v/>
      </c>
      <c r="AE180" s="7">
        <f>IF($E180="","",AD180-Q180)</f>
        <v/>
      </c>
      <c r="AI180" s="7" t="n"/>
      <c r="AL180" s="11" t="n"/>
      <c r="AN180">
        <f>IF($E180="","",IF(COUNTIF($E$2:$E180,$E180)=1,1,0))</f>
        <v/>
      </c>
      <c r="AO180">
        <f>IF($AN180=1,SUMPRODUCT(--($AR$2:$AR$4001&lt;$AR180))+1,"")</f>
        <v/>
      </c>
      <c r="AP180">
        <f>IF($E180="","",IF(OR($U180=TRUE(),$U180="TRUE"),1,0))</f>
        <v/>
      </c>
      <c r="AQ180">
        <f>IF($E180="","",IF($AA180="Yes",1,0))</f>
        <v/>
      </c>
      <c r="AR180">
        <f>IF($AN180=1,IFERROR(VALUE(MID($E180,2,20)),1000000000)+ROW()/100000,"")</f>
        <v/>
      </c>
    </row>
    <row r="181">
      <c r="G181" s="11" t="n"/>
      <c r="Q181" s="7">
        <f>IF($E181="","",P181*Y181/100)</f>
        <v/>
      </c>
      <c r="R181" s="7" t="n"/>
      <c r="X181" s="7" t="n"/>
      <c r="Y181" s="7" t="n"/>
      <c r="AB181">
        <f>IF($E181="","",IF($AQ181=1,0,IF($AP181=1,Settings!$C$6,Settings!$C$7))*100)</f>
        <v/>
      </c>
      <c r="AC181" s="7">
        <f>IF($E181="","",Y181*AB181/100)</f>
        <v/>
      </c>
      <c r="AD181" s="7">
        <f>IF($E181="","",Y181-AC181)</f>
        <v/>
      </c>
      <c r="AE181" s="7">
        <f>IF($E181="","",AD181-Q181)</f>
        <v/>
      </c>
      <c r="AI181" s="7" t="n"/>
      <c r="AL181" s="11" t="n"/>
      <c r="AN181">
        <f>IF($E181="","",IF(COUNTIF($E$2:$E181,$E181)=1,1,0))</f>
        <v/>
      </c>
      <c r="AO181">
        <f>IF($AN181=1,SUMPRODUCT(--($AR$2:$AR$4001&lt;$AR181))+1,"")</f>
        <v/>
      </c>
      <c r="AP181">
        <f>IF($E181="","",IF(OR($U181=TRUE(),$U181="TRUE"),1,0))</f>
        <v/>
      </c>
      <c r="AQ181">
        <f>IF($E181="","",IF($AA181="Yes",1,0))</f>
        <v/>
      </c>
      <c r="AR181">
        <f>IF($AN181=1,IFERROR(VALUE(MID($E181,2,20)),1000000000)+ROW()/100000,"")</f>
        <v/>
      </c>
    </row>
    <row r="182">
      <c r="G182" s="11" t="n"/>
      <c r="Q182" s="7">
        <f>IF($E182="","",P182*Y182/100)</f>
        <v/>
      </c>
      <c r="R182" s="7" t="n"/>
      <c r="X182" s="7" t="n"/>
      <c r="Y182" s="7" t="n"/>
      <c r="AB182">
        <f>IF($E182="","",IF($AQ182=1,0,IF($AP182=1,Settings!$C$6,Settings!$C$7))*100)</f>
        <v/>
      </c>
      <c r="AC182" s="7">
        <f>IF($E182="","",Y182*AB182/100)</f>
        <v/>
      </c>
      <c r="AD182" s="7">
        <f>IF($E182="","",Y182-AC182)</f>
        <v/>
      </c>
      <c r="AE182" s="7">
        <f>IF($E182="","",AD182-Q182)</f>
        <v/>
      </c>
      <c r="AI182" s="7" t="n"/>
      <c r="AL182" s="11" t="n"/>
      <c r="AN182">
        <f>IF($E182="","",IF(COUNTIF($E$2:$E182,$E182)=1,1,0))</f>
        <v/>
      </c>
      <c r="AO182">
        <f>IF($AN182=1,SUMPRODUCT(--($AR$2:$AR$4001&lt;$AR182))+1,"")</f>
        <v/>
      </c>
      <c r="AP182">
        <f>IF($E182="","",IF(OR($U182=TRUE(),$U182="TRUE"),1,0))</f>
        <v/>
      </c>
      <c r="AQ182">
        <f>IF($E182="","",IF($AA182="Yes",1,0))</f>
        <v/>
      </c>
      <c r="AR182">
        <f>IF($AN182=1,IFERROR(VALUE(MID($E182,2,20)),1000000000)+ROW()/100000,"")</f>
        <v/>
      </c>
    </row>
    <row r="183">
      <c r="G183" s="11" t="n"/>
      <c r="Q183" s="7">
        <f>IF($E183="","",P183*Y183/100)</f>
        <v/>
      </c>
      <c r="R183" s="7" t="n"/>
      <c r="X183" s="7" t="n"/>
      <c r="Y183" s="7" t="n"/>
      <c r="AB183">
        <f>IF($E183="","",IF($AQ183=1,0,IF($AP183=1,Settings!$C$6,Settings!$C$7))*100)</f>
        <v/>
      </c>
      <c r="AC183" s="7">
        <f>IF($E183="","",Y183*AB183/100)</f>
        <v/>
      </c>
      <c r="AD183" s="7">
        <f>IF($E183="","",Y183-AC183)</f>
        <v/>
      </c>
      <c r="AE183" s="7">
        <f>IF($E183="","",AD183-Q183)</f>
        <v/>
      </c>
      <c r="AI183" s="7" t="n"/>
      <c r="AL183" s="11" t="n"/>
      <c r="AN183">
        <f>IF($E183="","",IF(COUNTIF($E$2:$E183,$E183)=1,1,0))</f>
        <v/>
      </c>
      <c r="AO183">
        <f>IF($AN183=1,SUMPRODUCT(--($AR$2:$AR$4001&lt;$AR183))+1,"")</f>
        <v/>
      </c>
      <c r="AP183">
        <f>IF($E183="","",IF(OR($U183=TRUE(),$U183="TRUE"),1,0))</f>
        <v/>
      </c>
      <c r="AQ183">
        <f>IF($E183="","",IF($AA183="Yes",1,0))</f>
        <v/>
      </c>
      <c r="AR183">
        <f>IF($AN183=1,IFERROR(VALUE(MID($E183,2,20)),1000000000)+ROW()/100000,"")</f>
        <v/>
      </c>
    </row>
    <row r="184">
      <c r="G184" s="11" t="n"/>
      <c r="Q184" s="7">
        <f>IF($E184="","",P184*Y184/100)</f>
        <v/>
      </c>
      <c r="R184" s="7" t="n"/>
      <c r="X184" s="7" t="n"/>
      <c r="Y184" s="7" t="n"/>
      <c r="AB184">
        <f>IF($E184="","",IF($AQ184=1,0,IF($AP184=1,Settings!$C$6,Settings!$C$7))*100)</f>
        <v/>
      </c>
      <c r="AC184" s="7">
        <f>IF($E184="","",Y184*AB184/100)</f>
        <v/>
      </c>
      <c r="AD184" s="7">
        <f>IF($E184="","",Y184-AC184)</f>
        <v/>
      </c>
      <c r="AE184" s="7">
        <f>IF($E184="","",AD184-Q184)</f>
        <v/>
      </c>
      <c r="AI184" s="7" t="n"/>
      <c r="AL184" s="11" t="n"/>
      <c r="AN184">
        <f>IF($E184="","",IF(COUNTIF($E$2:$E184,$E184)=1,1,0))</f>
        <v/>
      </c>
      <c r="AO184">
        <f>IF($AN184=1,SUMPRODUCT(--($AR$2:$AR$4001&lt;$AR184))+1,"")</f>
        <v/>
      </c>
      <c r="AP184">
        <f>IF($E184="","",IF(OR($U184=TRUE(),$U184="TRUE"),1,0))</f>
        <v/>
      </c>
      <c r="AQ184">
        <f>IF($E184="","",IF($AA184="Yes",1,0))</f>
        <v/>
      </c>
      <c r="AR184">
        <f>IF($AN184=1,IFERROR(VALUE(MID($E184,2,20)),1000000000)+ROW()/100000,"")</f>
        <v/>
      </c>
    </row>
    <row r="185">
      <c r="G185" s="11" t="n"/>
      <c r="Q185" s="7">
        <f>IF($E185="","",P185*Y185/100)</f>
        <v/>
      </c>
      <c r="R185" s="7" t="n"/>
      <c r="X185" s="7" t="n"/>
      <c r="Y185" s="7" t="n"/>
      <c r="AB185">
        <f>IF($E185="","",IF($AQ185=1,0,IF($AP185=1,Settings!$C$6,Settings!$C$7))*100)</f>
        <v/>
      </c>
      <c r="AC185" s="7">
        <f>IF($E185="","",Y185*AB185/100)</f>
        <v/>
      </c>
      <c r="AD185" s="7">
        <f>IF($E185="","",Y185-AC185)</f>
        <v/>
      </c>
      <c r="AE185" s="7">
        <f>IF($E185="","",AD185-Q185)</f>
        <v/>
      </c>
      <c r="AI185" s="7" t="n"/>
      <c r="AL185" s="11" t="n"/>
      <c r="AN185">
        <f>IF($E185="","",IF(COUNTIF($E$2:$E185,$E185)=1,1,0))</f>
        <v/>
      </c>
      <c r="AO185">
        <f>IF($AN185=1,SUMPRODUCT(--($AR$2:$AR$4001&lt;$AR185))+1,"")</f>
        <v/>
      </c>
      <c r="AP185">
        <f>IF($E185="","",IF(OR($U185=TRUE(),$U185="TRUE"),1,0))</f>
        <v/>
      </c>
      <c r="AQ185">
        <f>IF($E185="","",IF($AA185="Yes",1,0))</f>
        <v/>
      </c>
      <c r="AR185">
        <f>IF($AN185=1,IFERROR(VALUE(MID($E185,2,20)),1000000000)+ROW()/100000,"")</f>
        <v/>
      </c>
    </row>
    <row r="186">
      <c r="G186" s="11" t="n"/>
      <c r="Q186" s="7">
        <f>IF($E186="","",P186*Y186/100)</f>
        <v/>
      </c>
      <c r="R186" s="7" t="n"/>
      <c r="X186" s="7" t="n"/>
      <c r="Y186" s="7" t="n"/>
      <c r="AB186">
        <f>IF($E186="","",IF($AQ186=1,0,IF($AP186=1,Settings!$C$6,Settings!$C$7))*100)</f>
        <v/>
      </c>
      <c r="AC186" s="7">
        <f>IF($E186="","",Y186*AB186/100)</f>
        <v/>
      </c>
      <c r="AD186" s="7">
        <f>IF($E186="","",Y186-AC186)</f>
        <v/>
      </c>
      <c r="AE186" s="7">
        <f>IF($E186="","",AD186-Q186)</f>
        <v/>
      </c>
      <c r="AI186" s="7" t="n"/>
      <c r="AL186" s="11" t="n"/>
      <c r="AN186">
        <f>IF($E186="","",IF(COUNTIF($E$2:$E186,$E186)=1,1,0))</f>
        <v/>
      </c>
      <c r="AO186">
        <f>IF($AN186=1,SUMPRODUCT(--($AR$2:$AR$4001&lt;$AR186))+1,"")</f>
        <v/>
      </c>
      <c r="AP186">
        <f>IF($E186="","",IF(OR($U186=TRUE(),$U186="TRUE"),1,0))</f>
        <v/>
      </c>
      <c r="AQ186">
        <f>IF($E186="","",IF($AA186="Yes",1,0))</f>
        <v/>
      </c>
      <c r="AR186">
        <f>IF($AN186=1,IFERROR(VALUE(MID($E186,2,20)),1000000000)+ROW()/100000,"")</f>
        <v/>
      </c>
    </row>
    <row r="187">
      <c r="G187" s="11" t="n"/>
      <c r="Q187" s="7">
        <f>IF($E187="","",P187*Y187/100)</f>
        <v/>
      </c>
      <c r="R187" s="7" t="n"/>
      <c r="X187" s="7" t="n"/>
      <c r="Y187" s="7" t="n"/>
      <c r="AB187">
        <f>IF($E187="","",IF($AQ187=1,0,IF($AP187=1,Settings!$C$6,Settings!$C$7))*100)</f>
        <v/>
      </c>
      <c r="AC187" s="7">
        <f>IF($E187="","",Y187*AB187/100)</f>
        <v/>
      </c>
      <c r="AD187" s="7">
        <f>IF($E187="","",Y187-AC187)</f>
        <v/>
      </c>
      <c r="AE187" s="7">
        <f>IF($E187="","",AD187-Q187)</f>
        <v/>
      </c>
      <c r="AI187" s="7" t="n"/>
      <c r="AL187" s="11" t="n"/>
      <c r="AN187">
        <f>IF($E187="","",IF(COUNTIF($E$2:$E187,$E187)=1,1,0))</f>
        <v/>
      </c>
      <c r="AO187">
        <f>IF($AN187=1,SUMPRODUCT(--($AR$2:$AR$4001&lt;$AR187))+1,"")</f>
        <v/>
      </c>
      <c r="AP187">
        <f>IF($E187="","",IF(OR($U187=TRUE(),$U187="TRUE"),1,0))</f>
        <v/>
      </c>
      <c r="AQ187">
        <f>IF($E187="","",IF($AA187="Yes",1,0))</f>
        <v/>
      </c>
      <c r="AR187">
        <f>IF($AN187=1,IFERROR(VALUE(MID($E187,2,20)),1000000000)+ROW()/100000,"")</f>
        <v/>
      </c>
    </row>
    <row r="188">
      <c r="G188" s="11" t="n"/>
      <c r="Q188" s="7">
        <f>IF($E188="","",P188*Y188/100)</f>
        <v/>
      </c>
      <c r="R188" s="7" t="n"/>
      <c r="X188" s="7" t="n"/>
      <c r="Y188" s="7" t="n"/>
      <c r="AB188">
        <f>IF($E188="","",IF($AQ188=1,0,IF($AP188=1,Settings!$C$6,Settings!$C$7))*100)</f>
        <v/>
      </c>
      <c r="AC188" s="7">
        <f>IF($E188="","",Y188*AB188/100)</f>
        <v/>
      </c>
      <c r="AD188" s="7">
        <f>IF($E188="","",Y188-AC188)</f>
        <v/>
      </c>
      <c r="AE188" s="7">
        <f>IF($E188="","",AD188-Q188)</f>
        <v/>
      </c>
      <c r="AI188" s="7" t="n"/>
      <c r="AL188" s="11" t="n"/>
      <c r="AN188">
        <f>IF($E188="","",IF(COUNTIF($E$2:$E188,$E188)=1,1,0))</f>
        <v/>
      </c>
      <c r="AO188">
        <f>IF($AN188=1,SUMPRODUCT(--($AR$2:$AR$4001&lt;$AR188))+1,"")</f>
        <v/>
      </c>
      <c r="AP188">
        <f>IF($E188="","",IF(OR($U188=TRUE(),$U188="TRUE"),1,0))</f>
        <v/>
      </c>
      <c r="AQ188">
        <f>IF($E188="","",IF($AA188="Yes",1,0))</f>
        <v/>
      </c>
      <c r="AR188">
        <f>IF($AN188=1,IFERROR(VALUE(MID($E188,2,20)),1000000000)+ROW()/100000,"")</f>
        <v/>
      </c>
    </row>
    <row r="189">
      <c r="G189" s="11" t="n"/>
      <c r="Q189" s="7">
        <f>IF($E189="","",P189*Y189/100)</f>
        <v/>
      </c>
      <c r="R189" s="7" t="n"/>
      <c r="X189" s="7" t="n"/>
      <c r="Y189" s="7" t="n"/>
      <c r="AB189">
        <f>IF($E189="","",IF($AQ189=1,0,IF($AP189=1,Settings!$C$6,Settings!$C$7))*100)</f>
        <v/>
      </c>
      <c r="AC189" s="7">
        <f>IF($E189="","",Y189*AB189/100)</f>
        <v/>
      </c>
      <c r="AD189" s="7">
        <f>IF($E189="","",Y189-AC189)</f>
        <v/>
      </c>
      <c r="AE189" s="7">
        <f>IF($E189="","",AD189-Q189)</f>
        <v/>
      </c>
      <c r="AI189" s="7" t="n"/>
      <c r="AL189" s="11" t="n"/>
      <c r="AN189">
        <f>IF($E189="","",IF(COUNTIF($E$2:$E189,$E189)=1,1,0))</f>
        <v/>
      </c>
      <c r="AO189">
        <f>IF($AN189=1,SUMPRODUCT(--($AR$2:$AR$4001&lt;$AR189))+1,"")</f>
        <v/>
      </c>
      <c r="AP189">
        <f>IF($E189="","",IF(OR($U189=TRUE(),$U189="TRUE"),1,0))</f>
        <v/>
      </c>
      <c r="AQ189">
        <f>IF($E189="","",IF($AA189="Yes",1,0))</f>
        <v/>
      </c>
      <c r="AR189">
        <f>IF($AN189=1,IFERROR(VALUE(MID($E189,2,20)),1000000000)+ROW()/100000,"")</f>
        <v/>
      </c>
    </row>
    <row r="190">
      <c r="G190" s="11" t="n"/>
      <c r="Q190" s="7">
        <f>IF($E190="","",P190*Y190/100)</f>
        <v/>
      </c>
      <c r="R190" s="7" t="n"/>
      <c r="X190" s="7" t="n"/>
      <c r="Y190" s="7" t="n"/>
      <c r="AB190">
        <f>IF($E190="","",IF($AQ190=1,0,IF($AP190=1,Settings!$C$6,Settings!$C$7))*100)</f>
        <v/>
      </c>
      <c r="AC190" s="7">
        <f>IF($E190="","",Y190*AB190/100)</f>
        <v/>
      </c>
      <c r="AD190" s="7">
        <f>IF($E190="","",Y190-AC190)</f>
        <v/>
      </c>
      <c r="AE190" s="7">
        <f>IF($E190="","",AD190-Q190)</f>
        <v/>
      </c>
      <c r="AI190" s="7" t="n"/>
      <c r="AL190" s="11" t="n"/>
      <c r="AN190">
        <f>IF($E190="","",IF(COUNTIF($E$2:$E190,$E190)=1,1,0))</f>
        <v/>
      </c>
      <c r="AO190">
        <f>IF($AN190=1,SUMPRODUCT(--($AR$2:$AR$4001&lt;$AR190))+1,"")</f>
        <v/>
      </c>
      <c r="AP190">
        <f>IF($E190="","",IF(OR($U190=TRUE(),$U190="TRUE"),1,0))</f>
        <v/>
      </c>
      <c r="AQ190">
        <f>IF($E190="","",IF($AA190="Yes",1,0))</f>
        <v/>
      </c>
      <c r="AR190">
        <f>IF($AN190=1,IFERROR(VALUE(MID($E190,2,20)),1000000000)+ROW()/100000,"")</f>
        <v/>
      </c>
    </row>
    <row r="191">
      <c r="G191" s="11" t="n"/>
      <c r="Q191" s="7">
        <f>IF($E191="","",P191*Y191/100)</f>
        <v/>
      </c>
      <c r="R191" s="7" t="n"/>
      <c r="X191" s="7" t="n"/>
      <c r="Y191" s="7" t="n"/>
      <c r="AB191">
        <f>IF($E191="","",IF($AQ191=1,0,IF($AP191=1,Settings!$C$6,Settings!$C$7))*100)</f>
        <v/>
      </c>
      <c r="AC191" s="7">
        <f>IF($E191="","",Y191*AB191/100)</f>
        <v/>
      </c>
      <c r="AD191" s="7">
        <f>IF($E191="","",Y191-AC191)</f>
        <v/>
      </c>
      <c r="AE191" s="7">
        <f>IF($E191="","",AD191-Q191)</f>
        <v/>
      </c>
      <c r="AI191" s="7" t="n"/>
      <c r="AL191" s="11" t="n"/>
      <c r="AN191">
        <f>IF($E191="","",IF(COUNTIF($E$2:$E191,$E191)=1,1,0))</f>
        <v/>
      </c>
      <c r="AO191">
        <f>IF($AN191=1,SUMPRODUCT(--($AR$2:$AR$4001&lt;$AR191))+1,"")</f>
        <v/>
      </c>
      <c r="AP191">
        <f>IF($E191="","",IF(OR($U191=TRUE(),$U191="TRUE"),1,0))</f>
        <v/>
      </c>
      <c r="AQ191">
        <f>IF($E191="","",IF($AA191="Yes",1,0))</f>
        <v/>
      </c>
      <c r="AR191">
        <f>IF($AN191=1,IFERROR(VALUE(MID($E191,2,20)),1000000000)+ROW()/100000,"")</f>
        <v/>
      </c>
    </row>
    <row r="192">
      <c r="G192" s="11" t="n"/>
      <c r="Q192" s="7">
        <f>IF($E192="","",P192*Y192/100)</f>
        <v/>
      </c>
      <c r="R192" s="7" t="n"/>
      <c r="X192" s="7" t="n"/>
      <c r="Y192" s="7" t="n"/>
      <c r="AB192">
        <f>IF($E192="","",IF($AQ192=1,0,IF($AP192=1,Settings!$C$6,Settings!$C$7))*100)</f>
        <v/>
      </c>
      <c r="AC192" s="7">
        <f>IF($E192="","",Y192*AB192/100)</f>
        <v/>
      </c>
      <c r="AD192" s="7">
        <f>IF($E192="","",Y192-AC192)</f>
        <v/>
      </c>
      <c r="AE192" s="7">
        <f>IF($E192="","",AD192-Q192)</f>
        <v/>
      </c>
      <c r="AI192" s="7" t="n"/>
      <c r="AL192" s="11" t="n"/>
      <c r="AN192">
        <f>IF($E192="","",IF(COUNTIF($E$2:$E192,$E192)=1,1,0))</f>
        <v/>
      </c>
      <c r="AO192">
        <f>IF($AN192=1,SUMPRODUCT(--($AR$2:$AR$4001&lt;$AR192))+1,"")</f>
        <v/>
      </c>
      <c r="AP192">
        <f>IF($E192="","",IF(OR($U192=TRUE(),$U192="TRUE"),1,0))</f>
        <v/>
      </c>
      <c r="AQ192">
        <f>IF($E192="","",IF($AA192="Yes",1,0))</f>
        <v/>
      </c>
      <c r="AR192">
        <f>IF($AN192=1,IFERROR(VALUE(MID($E192,2,20)),1000000000)+ROW()/100000,"")</f>
        <v/>
      </c>
    </row>
    <row r="193">
      <c r="G193" s="11" t="n"/>
      <c r="Q193" s="7">
        <f>IF($E193="","",P193*Y193/100)</f>
        <v/>
      </c>
      <c r="R193" s="7" t="n"/>
      <c r="X193" s="7" t="n"/>
      <c r="Y193" s="7" t="n"/>
      <c r="AB193">
        <f>IF($E193="","",IF($AQ193=1,0,IF($AP193=1,Settings!$C$6,Settings!$C$7))*100)</f>
        <v/>
      </c>
      <c r="AC193" s="7">
        <f>IF($E193="","",Y193*AB193/100)</f>
        <v/>
      </c>
      <c r="AD193" s="7">
        <f>IF($E193="","",Y193-AC193)</f>
        <v/>
      </c>
      <c r="AE193" s="7">
        <f>IF($E193="","",AD193-Q193)</f>
        <v/>
      </c>
      <c r="AI193" s="7" t="n"/>
      <c r="AL193" s="11" t="n"/>
      <c r="AN193">
        <f>IF($E193="","",IF(COUNTIF($E$2:$E193,$E193)=1,1,0))</f>
        <v/>
      </c>
      <c r="AO193">
        <f>IF($AN193=1,SUMPRODUCT(--($AR$2:$AR$4001&lt;$AR193))+1,"")</f>
        <v/>
      </c>
      <c r="AP193">
        <f>IF($E193="","",IF(OR($U193=TRUE(),$U193="TRUE"),1,0))</f>
        <v/>
      </c>
      <c r="AQ193">
        <f>IF($E193="","",IF($AA193="Yes",1,0))</f>
        <v/>
      </c>
      <c r="AR193">
        <f>IF($AN193=1,IFERROR(VALUE(MID($E193,2,20)),1000000000)+ROW()/100000,"")</f>
        <v/>
      </c>
    </row>
    <row r="194">
      <c r="G194" s="11" t="n"/>
      <c r="Q194" s="7">
        <f>IF($E194="","",P194*Y194/100)</f>
        <v/>
      </c>
      <c r="R194" s="7" t="n"/>
      <c r="X194" s="7" t="n"/>
      <c r="Y194" s="7" t="n"/>
      <c r="AB194">
        <f>IF($E194="","",IF($AQ194=1,0,IF($AP194=1,Settings!$C$6,Settings!$C$7))*100)</f>
        <v/>
      </c>
      <c r="AC194" s="7">
        <f>IF($E194="","",Y194*AB194/100)</f>
        <v/>
      </c>
      <c r="AD194" s="7">
        <f>IF($E194="","",Y194-AC194)</f>
        <v/>
      </c>
      <c r="AE194" s="7">
        <f>IF($E194="","",AD194-Q194)</f>
        <v/>
      </c>
      <c r="AI194" s="7" t="n"/>
      <c r="AL194" s="11" t="n"/>
      <c r="AN194">
        <f>IF($E194="","",IF(COUNTIF($E$2:$E194,$E194)=1,1,0))</f>
        <v/>
      </c>
      <c r="AO194">
        <f>IF($AN194=1,SUMPRODUCT(--($AR$2:$AR$4001&lt;$AR194))+1,"")</f>
        <v/>
      </c>
      <c r="AP194">
        <f>IF($E194="","",IF(OR($U194=TRUE(),$U194="TRUE"),1,0))</f>
        <v/>
      </c>
      <c r="AQ194">
        <f>IF($E194="","",IF($AA194="Yes",1,0))</f>
        <v/>
      </c>
      <c r="AR194">
        <f>IF($AN194=1,IFERROR(VALUE(MID($E194,2,20)),1000000000)+ROW()/100000,"")</f>
        <v/>
      </c>
    </row>
    <row r="195">
      <c r="G195" s="11" t="n"/>
      <c r="Q195" s="7">
        <f>IF($E195="","",P195*Y195/100)</f>
        <v/>
      </c>
      <c r="R195" s="7" t="n"/>
      <c r="X195" s="7" t="n"/>
      <c r="Y195" s="7" t="n"/>
      <c r="AB195">
        <f>IF($E195="","",IF($AQ195=1,0,IF($AP195=1,Settings!$C$6,Settings!$C$7))*100)</f>
        <v/>
      </c>
      <c r="AC195" s="7">
        <f>IF($E195="","",Y195*AB195/100)</f>
        <v/>
      </c>
      <c r="AD195" s="7">
        <f>IF($E195="","",Y195-AC195)</f>
        <v/>
      </c>
      <c r="AE195" s="7">
        <f>IF($E195="","",AD195-Q195)</f>
        <v/>
      </c>
      <c r="AI195" s="7" t="n"/>
      <c r="AL195" s="11" t="n"/>
      <c r="AN195">
        <f>IF($E195="","",IF(COUNTIF($E$2:$E195,$E195)=1,1,0))</f>
        <v/>
      </c>
      <c r="AO195">
        <f>IF($AN195=1,SUMPRODUCT(--($AR$2:$AR$4001&lt;$AR195))+1,"")</f>
        <v/>
      </c>
      <c r="AP195">
        <f>IF($E195="","",IF(OR($U195=TRUE(),$U195="TRUE"),1,0))</f>
        <v/>
      </c>
      <c r="AQ195">
        <f>IF($E195="","",IF($AA195="Yes",1,0))</f>
        <v/>
      </c>
      <c r="AR195">
        <f>IF($AN195=1,IFERROR(VALUE(MID($E195,2,20)),1000000000)+ROW()/100000,"")</f>
        <v/>
      </c>
    </row>
    <row r="196">
      <c r="G196" s="11" t="n"/>
      <c r="Q196" s="7">
        <f>IF($E196="","",P196*Y196/100)</f>
        <v/>
      </c>
      <c r="R196" s="7" t="n"/>
      <c r="X196" s="7" t="n"/>
      <c r="Y196" s="7" t="n"/>
      <c r="AB196">
        <f>IF($E196="","",IF($AQ196=1,0,IF($AP196=1,Settings!$C$6,Settings!$C$7))*100)</f>
        <v/>
      </c>
      <c r="AC196" s="7">
        <f>IF($E196="","",Y196*AB196/100)</f>
        <v/>
      </c>
      <c r="AD196" s="7">
        <f>IF($E196="","",Y196-AC196)</f>
        <v/>
      </c>
      <c r="AE196" s="7">
        <f>IF($E196="","",AD196-Q196)</f>
        <v/>
      </c>
      <c r="AI196" s="7" t="n"/>
      <c r="AL196" s="11" t="n"/>
      <c r="AN196">
        <f>IF($E196="","",IF(COUNTIF($E$2:$E196,$E196)=1,1,0))</f>
        <v/>
      </c>
      <c r="AO196">
        <f>IF($AN196=1,SUMPRODUCT(--($AR$2:$AR$4001&lt;$AR196))+1,"")</f>
        <v/>
      </c>
      <c r="AP196">
        <f>IF($E196="","",IF(OR($U196=TRUE(),$U196="TRUE"),1,0))</f>
        <v/>
      </c>
      <c r="AQ196">
        <f>IF($E196="","",IF($AA196="Yes",1,0))</f>
        <v/>
      </c>
      <c r="AR196">
        <f>IF($AN196=1,IFERROR(VALUE(MID($E196,2,20)),1000000000)+ROW()/100000,"")</f>
        <v/>
      </c>
    </row>
    <row r="197">
      <c r="G197" s="11" t="n"/>
      <c r="Q197" s="7">
        <f>IF($E197="","",P197*Y197/100)</f>
        <v/>
      </c>
      <c r="R197" s="7" t="n"/>
      <c r="X197" s="7" t="n"/>
      <c r="Y197" s="7" t="n"/>
      <c r="AB197">
        <f>IF($E197="","",IF($AQ197=1,0,IF($AP197=1,Settings!$C$6,Settings!$C$7))*100)</f>
        <v/>
      </c>
      <c r="AC197" s="7">
        <f>IF($E197="","",Y197*AB197/100)</f>
        <v/>
      </c>
      <c r="AD197" s="7">
        <f>IF($E197="","",Y197-AC197)</f>
        <v/>
      </c>
      <c r="AE197" s="7">
        <f>IF($E197="","",AD197-Q197)</f>
        <v/>
      </c>
      <c r="AI197" s="7" t="n"/>
      <c r="AL197" s="11" t="n"/>
      <c r="AN197">
        <f>IF($E197="","",IF(COUNTIF($E$2:$E197,$E197)=1,1,0))</f>
        <v/>
      </c>
      <c r="AO197">
        <f>IF($AN197=1,SUMPRODUCT(--($AR$2:$AR$4001&lt;$AR197))+1,"")</f>
        <v/>
      </c>
      <c r="AP197">
        <f>IF($E197="","",IF(OR($U197=TRUE(),$U197="TRUE"),1,0))</f>
        <v/>
      </c>
      <c r="AQ197">
        <f>IF($E197="","",IF($AA197="Yes",1,0))</f>
        <v/>
      </c>
      <c r="AR197">
        <f>IF($AN197=1,IFERROR(VALUE(MID($E197,2,20)),1000000000)+ROW()/100000,"")</f>
        <v/>
      </c>
    </row>
    <row r="198">
      <c r="G198" s="11" t="n"/>
      <c r="Q198" s="7">
        <f>IF($E198="","",P198*Y198/100)</f>
        <v/>
      </c>
      <c r="R198" s="7" t="n"/>
      <c r="X198" s="7" t="n"/>
      <c r="Y198" s="7" t="n"/>
      <c r="AB198">
        <f>IF($E198="","",IF($AQ198=1,0,IF($AP198=1,Settings!$C$6,Settings!$C$7))*100)</f>
        <v/>
      </c>
      <c r="AC198" s="7">
        <f>IF($E198="","",Y198*AB198/100)</f>
        <v/>
      </c>
      <c r="AD198" s="7">
        <f>IF($E198="","",Y198-AC198)</f>
        <v/>
      </c>
      <c r="AE198" s="7">
        <f>IF($E198="","",AD198-Q198)</f>
        <v/>
      </c>
      <c r="AI198" s="7" t="n"/>
      <c r="AL198" s="11" t="n"/>
      <c r="AN198">
        <f>IF($E198="","",IF(COUNTIF($E$2:$E198,$E198)=1,1,0))</f>
        <v/>
      </c>
      <c r="AO198">
        <f>IF($AN198=1,SUMPRODUCT(--($AR$2:$AR$4001&lt;$AR198))+1,"")</f>
        <v/>
      </c>
      <c r="AP198">
        <f>IF($E198="","",IF(OR($U198=TRUE(),$U198="TRUE"),1,0))</f>
        <v/>
      </c>
      <c r="AQ198">
        <f>IF($E198="","",IF($AA198="Yes",1,0))</f>
        <v/>
      </c>
      <c r="AR198">
        <f>IF($AN198=1,IFERROR(VALUE(MID($E198,2,20)),1000000000)+ROW()/100000,"")</f>
        <v/>
      </c>
    </row>
    <row r="199">
      <c r="G199" s="11" t="n"/>
      <c r="Q199" s="7">
        <f>IF($E199="","",P199*Y199/100)</f>
        <v/>
      </c>
      <c r="R199" s="7" t="n"/>
      <c r="X199" s="7" t="n"/>
      <c r="Y199" s="7" t="n"/>
      <c r="AB199">
        <f>IF($E199="","",IF($AQ199=1,0,IF($AP199=1,Settings!$C$6,Settings!$C$7))*100)</f>
        <v/>
      </c>
      <c r="AC199" s="7">
        <f>IF($E199="","",Y199*AB199/100)</f>
        <v/>
      </c>
      <c r="AD199" s="7">
        <f>IF($E199="","",Y199-AC199)</f>
        <v/>
      </c>
      <c r="AE199" s="7">
        <f>IF($E199="","",AD199-Q199)</f>
        <v/>
      </c>
      <c r="AI199" s="7" t="n"/>
      <c r="AL199" s="11" t="n"/>
      <c r="AN199">
        <f>IF($E199="","",IF(COUNTIF($E$2:$E199,$E199)=1,1,0))</f>
        <v/>
      </c>
      <c r="AO199">
        <f>IF($AN199=1,SUMPRODUCT(--($AR$2:$AR$4001&lt;$AR199))+1,"")</f>
        <v/>
      </c>
      <c r="AP199">
        <f>IF($E199="","",IF(OR($U199=TRUE(),$U199="TRUE"),1,0))</f>
        <v/>
      </c>
      <c r="AQ199">
        <f>IF($E199="","",IF($AA199="Yes",1,0))</f>
        <v/>
      </c>
      <c r="AR199">
        <f>IF($AN199=1,IFERROR(VALUE(MID($E199,2,20)),1000000000)+ROW()/100000,"")</f>
        <v/>
      </c>
    </row>
    <row r="200">
      <c r="G200" s="11" t="n"/>
      <c r="Q200" s="7">
        <f>IF($E200="","",P200*Y200/100)</f>
        <v/>
      </c>
      <c r="R200" s="7" t="n"/>
      <c r="X200" s="7" t="n"/>
      <c r="Y200" s="7" t="n"/>
      <c r="AB200">
        <f>IF($E200="","",IF($AQ200=1,0,IF($AP200=1,Settings!$C$6,Settings!$C$7))*100)</f>
        <v/>
      </c>
      <c r="AC200" s="7">
        <f>IF($E200="","",Y200*AB200/100)</f>
        <v/>
      </c>
      <c r="AD200" s="7">
        <f>IF($E200="","",Y200-AC200)</f>
        <v/>
      </c>
      <c r="AE200" s="7">
        <f>IF($E200="","",AD200-Q200)</f>
        <v/>
      </c>
      <c r="AI200" s="7" t="n"/>
      <c r="AL200" s="11" t="n"/>
      <c r="AN200">
        <f>IF($E200="","",IF(COUNTIF($E$2:$E200,$E200)=1,1,0))</f>
        <v/>
      </c>
      <c r="AO200">
        <f>IF($AN200=1,SUMPRODUCT(--($AR$2:$AR$4001&lt;$AR200))+1,"")</f>
        <v/>
      </c>
      <c r="AP200">
        <f>IF($E200="","",IF(OR($U200=TRUE(),$U200="TRUE"),1,0))</f>
        <v/>
      </c>
      <c r="AQ200">
        <f>IF($E200="","",IF($AA200="Yes",1,0))</f>
        <v/>
      </c>
      <c r="AR200">
        <f>IF($AN200=1,IFERROR(VALUE(MID($E200,2,20)),1000000000)+ROW()/100000,"")</f>
        <v/>
      </c>
    </row>
    <row r="201">
      <c r="G201" s="11" t="n"/>
      <c r="Q201" s="7">
        <f>IF($E201="","",P201*Y201/100)</f>
        <v/>
      </c>
      <c r="R201" s="7" t="n"/>
      <c r="X201" s="7" t="n"/>
      <c r="Y201" s="7" t="n"/>
      <c r="AB201">
        <f>IF($E201="","",IF($AQ201=1,0,IF($AP201=1,Settings!$C$6,Settings!$C$7))*100)</f>
        <v/>
      </c>
      <c r="AC201" s="7">
        <f>IF($E201="","",Y201*AB201/100)</f>
        <v/>
      </c>
      <c r="AD201" s="7">
        <f>IF($E201="","",Y201-AC201)</f>
        <v/>
      </c>
      <c r="AE201" s="7">
        <f>IF($E201="","",AD201-Q201)</f>
        <v/>
      </c>
      <c r="AI201" s="7" t="n"/>
      <c r="AL201" s="11" t="n"/>
      <c r="AN201">
        <f>IF($E201="","",IF(COUNTIF($E$2:$E201,$E201)=1,1,0))</f>
        <v/>
      </c>
      <c r="AO201">
        <f>IF($AN201=1,SUMPRODUCT(--($AR$2:$AR$4001&lt;$AR201))+1,"")</f>
        <v/>
      </c>
      <c r="AP201">
        <f>IF($E201="","",IF(OR($U201=TRUE(),$U201="TRUE"),1,0))</f>
        <v/>
      </c>
      <c r="AQ201">
        <f>IF($E201="","",IF($AA201="Yes",1,0))</f>
        <v/>
      </c>
      <c r="AR201">
        <f>IF($AN201=1,IFERROR(VALUE(MID($E201,2,20)),1000000000)+ROW()/100000,"")</f>
        <v/>
      </c>
    </row>
    <row r="202">
      <c r="G202" s="11" t="n"/>
      <c r="Q202" s="7">
        <f>IF($E202="","",P202*Y202/100)</f>
        <v/>
      </c>
      <c r="R202" s="7" t="n"/>
      <c r="X202" s="7" t="n"/>
      <c r="Y202" s="7" t="n"/>
      <c r="AB202">
        <f>IF($E202="","",IF($AQ202=1,0,IF($AP202=1,Settings!$C$6,Settings!$C$7))*100)</f>
        <v/>
      </c>
      <c r="AC202" s="7">
        <f>IF($E202="","",Y202*AB202/100)</f>
        <v/>
      </c>
      <c r="AD202" s="7">
        <f>IF($E202="","",Y202-AC202)</f>
        <v/>
      </c>
      <c r="AE202" s="7">
        <f>IF($E202="","",AD202-Q202)</f>
        <v/>
      </c>
      <c r="AI202" s="7" t="n"/>
      <c r="AL202" s="11" t="n"/>
      <c r="AN202">
        <f>IF($E202="","",IF(COUNTIF($E$2:$E202,$E202)=1,1,0))</f>
        <v/>
      </c>
      <c r="AO202">
        <f>IF($AN202=1,SUMPRODUCT(--($AR$2:$AR$4001&lt;$AR202))+1,"")</f>
        <v/>
      </c>
      <c r="AP202">
        <f>IF($E202="","",IF(OR($U202=TRUE(),$U202="TRUE"),1,0))</f>
        <v/>
      </c>
      <c r="AQ202">
        <f>IF($E202="","",IF($AA202="Yes",1,0))</f>
        <v/>
      </c>
      <c r="AR202">
        <f>IF($AN202=1,IFERROR(VALUE(MID($E202,2,20)),1000000000)+ROW()/100000,"")</f>
        <v/>
      </c>
    </row>
    <row r="203">
      <c r="G203" s="11" t="n"/>
      <c r="Q203" s="7">
        <f>IF($E203="","",P203*Y203/100)</f>
        <v/>
      </c>
      <c r="R203" s="7" t="n"/>
      <c r="X203" s="7" t="n"/>
      <c r="Y203" s="7" t="n"/>
      <c r="AB203">
        <f>IF($E203="","",IF($AQ203=1,0,IF($AP203=1,Settings!$C$6,Settings!$C$7))*100)</f>
        <v/>
      </c>
      <c r="AC203" s="7">
        <f>IF($E203="","",Y203*AB203/100)</f>
        <v/>
      </c>
      <c r="AD203" s="7">
        <f>IF($E203="","",Y203-AC203)</f>
        <v/>
      </c>
      <c r="AE203" s="7">
        <f>IF($E203="","",AD203-Q203)</f>
        <v/>
      </c>
      <c r="AI203" s="7" t="n"/>
      <c r="AL203" s="11" t="n"/>
      <c r="AN203">
        <f>IF($E203="","",IF(COUNTIF($E$2:$E203,$E203)=1,1,0))</f>
        <v/>
      </c>
      <c r="AO203">
        <f>IF($AN203=1,SUMPRODUCT(--($AR$2:$AR$4001&lt;$AR203))+1,"")</f>
        <v/>
      </c>
      <c r="AP203">
        <f>IF($E203="","",IF(OR($U203=TRUE(),$U203="TRUE"),1,0))</f>
        <v/>
      </c>
      <c r="AQ203">
        <f>IF($E203="","",IF($AA203="Yes",1,0))</f>
        <v/>
      </c>
      <c r="AR203">
        <f>IF($AN203=1,IFERROR(VALUE(MID($E203,2,20)),1000000000)+ROW()/100000,"")</f>
        <v/>
      </c>
    </row>
    <row r="204">
      <c r="G204" s="11" t="n"/>
      <c r="Q204" s="7">
        <f>IF($E204="","",P204*Y204/100)</f>
        <v/>
      </c>
      <c r="R204" s="7" t="n"/>
      <c r="X204" s="7" t="n"/>
      <c r="Y204" s="7" t="n"/>
      <c r="AB204">
        <f>IF($E204="","",IF($AQ204=1,0,IF($AP204=1,Settings!$C$6,Settings!$C$7))*100)</f>
        <v/>
      </c>
      <c r="AC204" s="7">
        <f>IF($E204="","",Y204*AB204/100)</f>
        <v/>
      </c>
      <c r="AD204" s="7">
        <f>IF($E204="","",Y204-AC204)</f>
        <v/>
      </c>
      <c r="AE204" s="7">
        <f>IF($E204="","",AD204-Q204)</f>
        <v/>
      </c>
      <c r="AI204" s="7" t="n"/>
      <c r="AL204" s="11" t="n"/>
      <c r="AN204">
        <f>IF($E204="","",IF(COUNTIF($E$2:$E204,$E204)=1,1,0))</f>
        <v/>
      </c>
      <c r="AO204">
        <f>IF($AN204=1,SUMPRODUCT(--($AR$2:$AR$4001&lt;$AR204))+1,"")</f>
        <v/>
      </c>
      <c r="AP204">
        <f>IF($E204="","",IF(OR($U204=TRUE(),$U204="TRUE"),1,0))</f>
        <v/>
      </c>
      <c r="AQ204">
        <f>IF($E204="","",IF($AA204="Yes",1,0))</f>
        <v/>
      </c>
      <c r="AR204">
        <f>IF($AN204=1,IFERROR(VALUE(MID($E204,2,20)),1000000000)+ROW()/100000,"")</f>
        <v/>
      </c>
    </row>
    <row r="205">
      <c r="G205" s="11" t="n"/>
      <c r="Q205" s="7">
        <f>IF($E205="","",P205*Y205/100)</f>
        <v/>
      </c>
      <c r="R205" s="7" t="n"/>
      <c r="X205" s="7" t="n"/>
      <c r="Y205" s="7" t="n"/>
      <c r="AB205">
        <f>IF($E205="","",IF($AQ205=1,0,IF($AP205=1,Settings!$C$6,Settings!$C$7))*100)</f>
        <v/>
      </c>
      <c r="AC205" s="7">
        <f>IF($E205="","",Y205*AB205/100)</f>
        <v/>
      </c>
      <c r="AD205" s="7">
        <f>IF($E205="","",Y205-AC205)</f>
        <v/>
      </c>
      <c r="AE205" s="7">
        <f>IF($E205="","",AD205-Q205)</f>
        <v/>
      </c>
      <c r="AI205" s="7" t="n"/>
      <c r="AL205" s="11" t="n"/>
      <c r="AN205">
        <f>IF($E205="","",IF(COUNTIF($E$2:$E205,$E205)=1,1,0))</f>
        <v/>
      </c>
      <c r="AO205">
        <f>IF($AN205=1,SUMPRODUCT(--($AR$2:$AR$4001&lt;$AR205))+1,"")</f>
        <v/>
      </c>
      <c r="AP205">
        <f>IF($E205="","",IF(OR($U205=TRUE(),$U205="TRUE"),1,0))</f>
        <v/>
      </c>
      <c r="AQ205">
        <f>IF($E205="","",IF($AA205="Yes",1,0))</f>
        <v/>
      </c>
      <c r="AR205">
        <f>IF($AN205=1,IFERROR(VALUE(MID($E205,2,20)),1000000000)+ROW()/100000,"")</f>
        <v/>
      </c>
    </row>
    <row r="206">
      <c r="G206" s="11" t="n"/>
      <c r="Q206" s="7">
        <f>IF($E206="","",P206*Y206/100)</f>
        <v/>
      </c>
      <c r="R206" s="7" t="n"/>
      <c r="X206" s="7" t="n"/>
      <c r="Y206" s="7" t="n"/>
      <c r="AB206">
        <f>IF($E206="","",IF($AQ206=1,0,IF($AP206=1,Settings!$C$6,Settings!$C$7))*100)</f>
        <v/>
      </c>
      <c r="AC206" s="7">
        <f>IF($E206="","",Y206*AB206/100)</f>
        <v/>
      </c>
      <c r="AD206" s="7">
        <f>IF($E206="","",Y206-AC206)</f>
        <v/>
      </c>
      <c r="AE206" s="7">
        <f>IF($E206="","",AD206-Q206)</f>
        <v/>
      </c>
      <c r="AI206" s="7" t="n"/>
      <c r="AL206" s="11" t="n"/>
      <c r="AN206">
        <f>IF($E206="","",IF(COUNTIF($E$2:$E206,$E206)=1,1,0))</f>
        <v/>
      </c>
      <c r="AO206">
        <f>IF($AN206=1,SUMPRODUCT(--($AR$2:$AR$4001&lt;$AR206))+1,"")</f>
        <v/>
      </c>
      <c r="AP206">
        <f>IF($E206="","",IF(OR($U206=TRUE(),$U206="TRUE"),1,0))</f>
        <v/>
      </c>
      <c r="AQ206">
        <f>IF($E206="","",IF($AA206="Yes",1,0))</f>
        <v/>
      </c>
      <c r="AR206">
        <f>IF($AN206=1,IFERROR(VALUE(MID($E206,2,20)),1000000000)+ROW()/100000,"")</f>
        <v/>
      </c>
    </row>
    <row r="207">
      <c r="G207" s="11" t="n"/>
      <c r="Q207" s="7">
        <f>IF($E207="","",P207*Y207/100)</f>
        <v/>
      </c>
      <c r="R207" s="7" t="n"/>
      <c r="X207" s="7" t="n"/>
      <c r="Y207" s="7" t="n"/>
      <c r="AB207">
        <f>IF($E207="","",IF($AQ207=1,0,IF($AP207=1,Settings!$C$6,Settings!$C$7))*100)</f>
        <v/>
      </c>
      <c r="AC207" s="7">
        <f>IF($E207="","",Y207*AB207/100)</f>
        <v/>
      </c>
      <c r="AD207" s="7">
        <f>IF($E207="","",Y207-AC207)</f>
        <v/>
      </c>
      <c r="AE207" s="7">
        <f>IF($E207="","",AD207-Q207)</f>
        <v/>
      </c>
      <c r="AI207" s="7" t="n"/>
      <c r="AL207" s="11" t="n"/>
      <c r="AN207">
        <f>IF($E207="","",IF(COUNTIF($E$2:$E207,$E207)=1,1,0))</f>
        <v/>
      </c>
      <c r="AO207">
        <f>IF($AN207=1,SUMPRODUCT(--($AR$2:$AR$4001&lt;$AR207))+1,"")</f>
        <v/>
      </c>
      <c r="AP207">
        <f>IF($E207="","",IF(OR($U207=TRUE(),$U207="TRUE"),1,0))</f>
        <v/>
      </c>
      <c r="AQ207">
        <f>IF($E207="","",IF($AA207="Yes",1,0))</f>
        <v/>
      </c>
      <c r="AR207">
        <f>IF($AN207=1,IFERROR(VALUE(MID($E207,2,20)),1000000000)+ROW()/100000,"")</f>
        <v/>
      </c>
    </row>
    <row r="208">
      <c r="G208" s="11" t="n"/>
      <c r="Q208" s="7">
        <f>IF($E208="","",P208*Y208/100)</f>
        <v/>
      </c>
      <c r="R208" s="7" t="n"/>
      <c r="X208" s="7" t="n"/>
      <c r="Y208" s="7" t="n"/>
      <c r="AB208">
        <f>IF($E208="","",IF($AQ208=1,0,IF($AP208=1,Settings!$C$6,Settings!$C$7))*100)</f>
        <v/>
      </c>
      <c r="AC208" s="7">
        <f>IF($E208="","",Y208*AB208/100)</f>
        <v/>
      </c>
      <c r="AD208" s="7">
        <f>IF($E208="","",Y208-AC208)</f>
        <v/>
      </c>
      <c r="AE208" s="7">
        <f>IF($E208="","",AD208-Q208)</f>
        <v/>
      </c>
      <c r="AI208" s="7" t="n"/>
      <c r="AL208" s="11" t="n"/>
      <c r="AN208">
        <f>IF($E208="","",IF(COUNTIF($E$2:$E208,$E208)=1,1,0))</f>
        <v/>
      </c>
      <c r="AO208">
        <f>IF($AN208=1,SUMPRODUCT(--($AR$2:$AR$4001&lt;$AR208))+1,"")</f>
        <v/>
      </c>
      <c r="AP208">
        <f>IF($E208="","",IF(OR($U208=TRUE(),$U208="TRUE"),1,0))</f>
        <v/>
      </c>
      <c r="AQ208">
        <f>IF($E208="","",IF($AA208="Yes",1,0))</f>
        <v/>
      </c>
      <c r="AR208">
        <f>IF($AN208=1,IFERROR(VALUE(MID($E208,2,20)),1000000000)+ROW()/100000,"")</f>
        <v/>
      </c>
    </row>
    <row r="209">
      <c r="G209" s="11" t="n"/>
      <c r="Q209" s="7">
        <f>IF($E209="","",P209*Y209/100)</f>
        <v/>
      </c>
      <c r="R209" s="7" t="n"/>
      <c r="X209" s="7" t="n"/>
      <c r="Y209" s="7" t="n"/>
      <c r="AB209">
        <f>IF($E209="","",IF($AQ209=1,0,IF($AP209=1,Settings!$C$6,Settings!$C$7))*100)</f>
        <v/>
      </c>
      <c r="AC209" s="7">
        <f>IF($E209="","",Y209*AB209/100)</f>
        <v/>
      </c>
      <c r="AD209" s="7">
        <f>IF($E209="","",Y209-AC209)</f>
        <v/>
      </c>
      <c r="AE209" s="7">
        <f>IF($E209="","",AD209-Q209)</f>
        <v/>
      </c>
      <c r="AI209" s="7" t="n"/>
      <c r="AL209" s="11" t="n"/>
      <c r="AN209">
        <f>IF($E209="","",IF(COUNTIF($E$2:$E209,$E209)=1,1,0))</f>
        <v/>
      </c>
      <c r="AO209">
        <f>IF($AN209=1,SUMPRODUCT(--($AR$2:$AR$4001&lt;$AR209))+1,"")</f>
        <v/>
      </c>
      <c r="AP209">
        <f>IF($E209="","",IF(OR($U209=TRUE(),$U209="TRUE"),1,0))</f>
        <v/>
      </c>
      <c r="AQ209">
        <f>IF($E209="","",IF($AA209="Yes",1,0))</f>
        <v/>
      </c>
      <c r="AR209">
        <f>IF($AN209=1,IFERROR(VALUE(MID($E209,2,20)),1000000000)+ROW()/100000,"")</f>
        <v/>
      </c>
    </row>
    <row r="210">
      <c r="G210" s="11" t="n"/>
      <c r="Q210" s="7">
        <f>IF($E210="","",P210*Y210/100)</f>
        <v/>
      </c>
      <c r="R210" s="7" t="n"/>
      <c r="X210" s="7" t="n"/>
      <c r="Y210" s="7" t="n"/>
      <c r="AB210">
        <f>IF($E210="","",IF($AQ210=1,0,IF($AP210=1,Settings!$C$6,Settings!$C$7))*100)</f>
        <v/>
      </c>
      <c r="AC210" s="7">
        <f>IF($E210="","",Y210*AB210/100)</f>
        <v/>
      </c>
      <c r="AD210" s="7">
        <f>IF($E210="","",Y210-AC210)</f>
        <v/>
      </c>
      <c r="AE210" s="7">
        <f>IF($E210="","",AD210-Q210)</f>
        <v/>
      </c>
      <c r="AI210" s="7" t="n"/>
      <c r="AL210" s="11" t="n"/>
      <c r="AN210">
        <f>IF($E210="","",IF(COUNTIF($E$2:$E210,$E210)=1,1,0))</f>
        <v/>
      </c>
      <c r="AO210">
        <f>IF($AN210=1,SUMPRODUCT(--($AR$2:$AR$4001&lt;$AR210))+1,"")</f>
        <v/>
      </c>
      <c r="AP210">
        <f>IF($E210="","",IF(OR($U210=TRUE(),$U210="TRUE"),1,0))</f>
        <v/>
      </c>
      <c r="AQ210">
        <f>IF($E210="","",IF($AA210="Yes",1,0))</f>
        <v/>
      </c>
      <c r="AR210">
        <f>IF($AN210=1,IFERROR(VALUE(MID($E210,2,20)),1000000000)+ROW()/100000,"")</f>
        <v/>
      </c>
    </row>
    <row r="211">
      <c r="G211" s="11" t="n"/>
      <c r="Q211" s="7">
        <f>IF($E211="","",P211*Y211/100)</f>
        <v/>
      </c>
      <c r="R211" s="7" t="n"/>
      <c r="X211" s="7" t="n"/>
      <c r="Y211" s="7" t="n"/>
      <c r="AB211">
        <f>IF($E211="","",IF($AQ211=1,0,IF($AP211=1,Settings!$C$6,Settings!$C$7))*100)</f>
        <v/>
      </c>
      <c r="AC211" s="7">
        <f>IF($E211="","",Y211*AB211/100)</f>
        <v/>
      </c>
      <c r="AD211" s="7">
        <f>IF($E211="","",Y211-AC211)</f>
        <v/>
      </c>
      <c r="AE211" s="7">
        <f>IF($E211="","",AD211-Q211)</f>
        <v/>
      </c>
      <c r="AI211" s="7" t="n"/>
      <c r="AL211" s="11" t="n"/>
      <c r="AN211">
        <f>IF($E211="","",IF(COUNTIF($E$2:$E211,$E211)=1,1,0))</f>
        <v/>
      </c>
      <c r="AO211">
        <f>IF($AN211=1,SUMPRODUCT(--($AR$2:$AR$4001&lt;$AR211))+1,"")</f>
        <v/>
      </c>
      <c r="AP211">
        <f>IF($E211="","",IF(OR($U211=TRUE(),$U211="TRUE"),1,0))</f>
        <v/>
      </c>
      <c r="AQ211">
        <f>IF($E211="","",IF($AA211="Yes",1,0))</f>
        <v/>
      </c>
      <c r="AR211">
        <f>IF($AN211=1,IFERROR(VALUE(MID($E211,2,20)),1000000000)+ROW()/100000,"")</f>
        <v/>
      </c>
    </row>
    <row r="212">
      <c r="G212" s="11" t="n"/>
      <c r="Q212" s="7">
        <f>IF($E212="","",P212*Y212/100)</f>
        <v/>
      </c>
      <c r="R212" s="7" t="n"/>
      <c r="X212" s="7" t="n"/>
      <c r="Y212" s="7" t="n"/>
      <c r="AB212">
        <f>IF($E212="","",IF($AQ212=1,0,IF($AP212=1,Settings!$C$6,Settings!$C$7))*100)</f>
        <v/>
      </c>
      <c r="AC212" s="7">
        <f>IF($E212="","",Y212*AB212/100)</f>
        <v/>
      </c>
      <c r="AD212" s="7">
        <f>IF($E212="","",Y212-AC212)</f>
        <v/>
      </c>
      <c r="AE212" s="7">
        <f>IF($E212="","",AD212-Q212)</f>
        <v/>
      </c>
      <c r="AI212" s="7" t="n"/>
      <c r="AL212" s="11" t="n"/>
      <c r="AN212">
        <f>IF($E212="","",IF(COUNTIF($E$2:$E212,$E212)=1,1,0))</f>
        <v/>
      </c>
      <c r="AO212">
        <f>IF($AN212=1,SUMPRODUCT(--($AR$2:$AR$4001&lt;$AR212))+1,"")</f>
        <v/>
      </c>
      <c r="AP212">
        <f>IF($E212="","",IF(OR($U212=TRUE(),$U212="TRUE"),1,0))</f>
        <v/>
      </c>
      <c r="AQ212">
        <f>IF($E212="","",IF($AA212="Yes",1,0))</f>
        <v/>
      </c>
      <c r="AR212">
        <f>IF($AN212=1,IFERROR(VALUE(MID($E212,2,20)),1000000000)+ROW()/100000,"")</f>
        <v/>
      </c>
    </row>
    <row r="213">
      <c r="G213" s="11" t="n"/>
      <c r="Q213" s="7">
        <f>IF($E213="","",P213*Y213/100)</f>
        <v/>
      </c>
      <c r="R213" s="7" t="n"/>
      <c r="X213" s="7" t="n"/>
      <c r="Y213" s="7" t="n"/>
      <c r="AB213">
        <f>IF($E213="","",IF($AQ213=1,0,IF($AP213=1,Settings!$C$6,Settings!$C$7))*100)</f>
        <v/>
      </c>
      <c r="AC213" s="7">
        <f>IF($E213="","",Y213*AB213/100)</f>
        <v/>
      </c>
      <c r="AD213" s="7">
        <f>IF($E213="","",Y213-AC213)</f>
        <v/>
      </c>
      <c r="AE213" s="7">
        <f>IF($E213="","",AD213-Q213)</f>
        <v/>
      </c>
      <c r="AI213" s="7" t="n"/>
      <c r="AL213" s="11" t="n"/>
      <c r="AN213">
        <f>IF($E213="","",IF(COUNTIF($E$2:$E213,$E213)=1,1,0))</f>
        <v/>
      </c>
      <c r="AO213">
        <f>IF($AN213=1,SUMPRODUCT(--($AR$2:$AR$4001&lt;$AR213))+1,"")</f>
        <v/>
      </c>
      <c r="AP213">
        <f>IF($E213="","",IF(OR($U213=TRUE(),$U213="TRUE"),1,0))</f>
        <v/>
      </c>
      <c r="AQ213">
        <f>IF($E213="","",IF($AA213="Yes",1,0))</f>
        <v/>
      </c>
      <c r="AR213">
        <f>IF($AN213=1,IFERROR(VALUE(MID($E213,2,20)),1000000000)+ROW()/100000,"")</f>
        <v/>
      </c>
    </row>
    <row r="214">
      <c r="G214" s="11" t="n"/>
      <c r="Q214" s="7">
        <f>IF($E214="","",P214*Y214/100)</f>
        <v/>
      </c>
      <c r="R214" s="7" t="n"/>
      <c r="X214" s="7" t="n"/>
      <c r="Y214" s="7" t="n"/>
      <c r="AB214">
        <f>IF($E214="","",IF($AQ214=1,0,IF($AP214=1,Settings!$C$6,Settings!$C$7))*100)</f>
        <v/>
      </c>
      <c r="AC214" s="7">
        <f>IF($E214="","",Y214*AB214/100)</f>
        <v/>
      </c>
      <c r="AD214" s="7">
        <f>IF($E214="","",Y214-AC214)</f>
        <v/>
      </c>
      <c r="AE214" s="7">
        <f>IF($E214="","",AD214-Q214)</f>
        <v/>
      </c>
      <c r="AI214" s="7" t="n"/>
      <c r="AL214" s="11" t="n"/>
      <c r="AN214">
        <f>IF($E214="","",IF(COUNTIF($E$2:$E214,$E214)=1,1,0))</f>
        <v/>
      </c>
      <c r="AO214">
        <f>IF($AN214=1,SUMPRODUCT(--($AR$2:$AR$4001&lt;$AR214))+1,"")</f>
        <v/>
      </c>
      <c r="AP214">
        <f>IF($E214="","",IF(OR($U214=TRUE(),$U214="TRUE"),1,0))</f>
        <v/>
      </c>
      <c r="AQ214">
        <f>IF($E214="","",IF($AA214="Yes",1,0))</f>
        <v/>
      </c>
      <c r="AR214">
        <f>IF($AN214=1,IFERROR(VALUE(MID($E214,2,20)),1000000000)+ROW()/100000,"")</f>
        <v/>
      </c>
    </row>
    <row r="215">
      <c r="G215" s="11" t="n"/>
      <c r="Q215" s="7">
        <f>IF($E215="","",P215*Y215/100)</f>
        <v/>
      </c>
      <c r="R215" s="7" t="n"/>
      <c r="X215" s="7" t="n"/>
      <c r="Y215" s="7" t="n"/>
      <c r="AB215">
        <f>IF($E215="","",IF($AQ215=1,0,IF($AP215=1,Settings!$C$6,Settings!$C$7))*100)</f>
        <v/>
      </c>
      <c r="AC215" s="7">
        <f>IF($E215="","",Y215*AB215/100)</f>
        <v/>
      </c>
      <c r="AD215" s="7">
        <f>IF($E215="","",Y215-AC215)</f>
        <v/>
      </c>
      <c r="AE215" s="7">
        <f>IF($E215="","",AD215-Q215)</f>
        <v/>
      </c>
      <c r="AI215" s="7" t="n"/>
      <c r="AL215" s="11" t="n"/>
      <c r="AN215">
        <f>IF($E215="","",IF(COUNTIF($E$2:$E215,$E215)=1,1,0))</f>
        <v/>
      </c>
      <c r="AO215">
        <f>IF($AN215=1,SUMPRODUCT(--($AR$2:$AR$4001&lt;$AR215))+1,"")</f>
        <v/>
      </c>
      <c r="AP215">
        <f>IF($E215="","",IF(OR($U215=TRUE(),$U215="TRUE"),1,0))</f>
        <v/>
      </c>
      <c r="AQ215">
        <f>IF($E215="","",IF($AA215="Yes",1,0))</f>
        <v/>
      </c>
      <c r="AR215">
        <f>IF($AN215=1,IFERROR(VALUE(MID($E215,2,20)),1000000000)+ROW()/100000,"")</f>
        <v/>
      </c>
    </row>
    <row r="216">
      <c r="G216" s="11" t="n"/>
      <c r="Q216" s="7">
        <f>IF($E216="","",P216*Y216/100)</f>
        <v/>
      </c>
      <c r="R216" s="7" t="n"/>
      <c r="X216" s="7" t="n"/>
      <c r="Y216" s="7" t="n"/>
      <c r="AB216">
        <f>IF($E216="","",IF($AQ216=1,0,IF($AP216=1,Settings!$C$6,Settings!$C$7))*100)</f>
        <v/>
      </c>
      <c r="AC216" s="7">
        <f>IF($E216="","",Y216*AB216/100)</f>
        <v/>
      </c>
      <c r="AD216" s="7">
        <f>IF($E216="","",Y216-AC216)</f>
        <v/>
      </c>
      <c r="AE216" s="7">
        <f>IF($E216="","",AD216-Q216)</f>
        <v/>
      </c>
      <c r="AI216" s="7" t="n"/>
      <c r="AL216" s="11" t="n"/>
      <c r="AN216">
        <f>IF($E216="","",IF(COUNTIF($E$2:$E216,$E216)=1,1,0))</f>
        <v/>
      </c>
      <c r="AO216">
        <f>IF($AN216=1,SUMPRODUCT(--($AR$2:$AR$4001&lt;$AR216))+1,"")</f>
        <v/>
      </c>
      <c r="AP216">
        <f>IF($E216="","",IF(OR($U216=TRUE(),$U216="TRUE"),1,0))</f>
        <v/>
      </c>
      <c r="AQ216">
        <f>IF($E216="","",IF($AA216="Yes",1,0))</f>
        <v/>
      </c>
      <c r="AR216">
        <f>IF($AN216=1,IFERROR(VALUE(MID($E216,2,20)),1000000000)+ROW()/100000,"")</f>
        <v/>
      </c>
    </row>
    <row r="217">
      <c r="G217" s="11" t="n"/>
      <c r="Q217" s="7">
        <f>IF($E217="","",P217*Y217/100)</f>
        <v/>
      </c>
      <c r="R217" s="7" t="n"/>
      <c r="X217" s="7" t="n"/>
      <c r="Y217" s="7" t="n"/>
      <c r="AB217">
        <f>IF($E217="","",IF($AQ217=1,0,IF($AP217=1,Settings!$C$6,Settings!$C$7))*100)</f>
        <v/>
      </c>
      <c r="AC217" s="7">
        <f>IF($E217="","",Y217*AB217/100)</f>
        <v/>
      </c>
      <c r="AD217" s="7">
        <f>IF($E217="","",Y217-AC217)</f>
        <v/>
      </c>
      <c r="AE217" s="7">
        <f>IF($E217="","",AD217-Q217)</f>
        <v/>
      </c>
      <c r="AI217" s="7" t="n"/>
      <c r="AL217" s="11" t="n"/>
      <c r="AN217">
        <f>IF($E217="","",IF(COUNTIF($E$2:$E217,$E217)=1,1,0))</f>
        <v/>
      </c>
      <c r="AO217">
        <f>IF($AN217=1,SUMPRODUCT(--($AR$2:$AR$4001&lt;$AR217))+1,"")</f>
        <v/>
      </c>
      <c r="AP217">
        <f>IF($E217="","",IF(OR($U217=TRUE(),$U217="TRUE"),1,0))</f>
        <v/>
      </c>
      <c r="AQ217">
        <f>IF($E217="","",IF($AA217="Yes",1,0))</f>
        <v/>
      </c>
      <c r="AR217">
        <f>IF($AN217=1,IFERROR(VALUE(MID($E217,2,20)),1000000000)+ROW()/100000,"")</f>
        <v/>
      </c>
    </row>
    <row r="218">
      <c r="G218" s="11" t="n"/>
      <c r="Q218" s="7">
        <f>IF($E218="","",P218*Y218/100)</f>
        <v/>
      </c>
      <c r="R218" s="7" t="n"/>
      <c r="X218" s="7" t="n"/>
      <c r="Y218" s="7" t="n"/>
      <c r="AB218">
        <f>IF($E218="","",IF($AQ218=1,0,IF($AP218=1,Settings!$C$6,Settings!$C$7))*100)</f>
        <v/>
      </c>
      <c r="AC218" s="7">
        <f>IF($E218="","",Y218*AB218/100)</f>
        <v/>
      </c>
      <c r="AD218" s="7">
        <f>IF($E218="","",Y218-AC218)</f>
        <v/>
      </c>
      <c r="AE218" s="7">
        <f>IF($E218="","",AD218-Q218)</f>
        <v/>
      </c>
      <c r="AI218" s="7" t="n"/>
      <c r="AL218" s="11" t="n"/>
      <c r="AN218">
        <f>IF($E218="","",IF(COUNTIF($E$2:$E218,$E218)=1,1,0))</f>
        <v/>
      </c>
      <c r="AO218">
        <f>IF($AN218=1,SUMPRODUCT(--($AR$2:$AR$4001&lt;$AR218))+1,"")</f>
        <v/>
      </c>
      <c r="AP218">
        <f>IF($E218="","",IF(OR($U218=TRUE(),$U218="TRUE"),1,0))</f>
        <v/>
      </c>
      <c r="AQ218">
        <f>IF($E218="","",IF($AA218="Yes",1,0))</f>
        <v/>
      </c>
      <c r="AR218">
        <f>IF($AN218=1,IFERROR(VALUE(MID($E218,2,20)),1000000000)+ROW()/100000,"")</f>
        <v/>
      </c>
    </row>
    <row r="219">
      <c r="G219" s="11" t="n"/>
      <c r="Q219" s="7">
        <f>IF($E219="","",P219*Y219/100)</f>
        <v/>
      </c>
      <c r="R219" s="7" t="n"/>
      <c r="X219" s="7" t="n"/>
      <c r="Y219" s="7" t="n"/>
      <c r="AB219">
        <f>IF($E219="","",IF($AQ219=1,0,IF($AP219=1,Settings!$C$6,Settings!$C$7))*100)</f>
        <v/>
      </c>
      <c r="AC219" s="7">
        <f>IF($E219="","",Y219*AB219/100)</f>
        <v/>
      </c>
      <c r="AD219" s="7">
        <f>IF($E219="","",Y219-AC219)</f>
        <v/>
      </c>
      <c r="AE219" s="7">
        <f>IF($E219="","",AD219-Q219)</f>
        <v/>
      </c>
      <c r="AI219" s="7" t="n"/>
      <c r="AL219" s="11" t="n"/>
      <c r="AN219">
        <f>IF($E219="","",IF(COUNTIF($E$2:$E219,$E219)=1,1,0))</f>
        <v/>
      </c>
      <c r="AO219">
        <f>IF($AN219=1,SUMPRODUCT(--($AR$2:$AR$4001&lt;$AR219))+1,"")</f>
        <v/>
      </c>
      <c r="AP219">
        <f>IF($E219="","",IF(OR($U219=TRUE(),$U219="TRUE"),1,0))</f>
        <v/>
      </c>
      <c r="AQ219">
        <f>IF($E219="","",IF($AA219="Yes",1,0))</f>
        <v/>
      </c>
      <c r="AR219">
        <f>IF($AN219=1,IFERROR(VALUE(MID($E219,2,20)),1000000000)+ROW()/100000,"")</f>
        <v/>
      </c>
    </row>
    <row r="220">
      <c r="G220" s="11" t="n"/>
      <c r="Q220" s="7">
        <f>IF($E220="","",P220*Y220/100)</f>
        <v/>
      </c>
      <c r="R220" s="7" t="n"/>
      <c r="X220" s="7" t="n"/>
      <c r="Y220" s="7" t="n"/>
      <c r="AB220">
        <f>IF($E220="","",IF($AQ220=1,0,IF($AP220=1,Settings!$C$6,Settings!$C$7))*100)</f>
        <v/>
      </c>
      <c r="AC220" s="7">
        <f>IF($E220="","",Y220*AB220/100)</f>
        <v/>
      </c>
      <c r="AD220" s="7">
        <f>IF($E220="","",Y220-AC220)</f>
        <v/>
      </c>
      <c r="AE220" s="7">
        <f>IF($E220="","",AD220-Q220)</f>
        <v/>
      </c>
      <c r="AI220" s="7" t="n"/>
      <c r="AL220" s="11" t="n"/>
      <c r="AN220">
        <f>IF($E220="","",IF(COUNTIF($E$2:$E220,$E220)=1,1,0))</f>
        <v/>
      </c>
      <c r="AO220">
        <f>IF($AN220=1,SUMPRODUCT(--($AR$2:$AR$4001&lt;$AR220))+1,"")</f>
        <v/>
      </c>
      <c r="AP220">
        <f>IF($E220="","",IF(OR($U220=TRUE(),$U220="TRUE"),1,0))</f>
        <v/>
      </c>
      <c r="AQ220">
        <f>IF($E220="","",IF($AA220="Yes",1,0))</f>
        <v/>
      </c>
      <c r="AR220">
        <f>IF($AN220=1,IFERROR(VALUE(MID($E220,2,20)),1000000000)+ROW()/100000,"")</f>
        <v/>
      </c>
    </row>
    <row r="221">
      <c r="G221" s="11" t="n"/>
      <c r="Q221" s="7">
        <f>IF($E221="","",P221*Y221/100)</f>
        <v/>
      </c>
      <c r="R221" s="7" t="n"/>
      <c r="X221" s="7" t="n"/>
      <c r="Y221" s="7" t="n"/>
      <c r="AB221">
        <f>IF($E221="","",IF($AQ221=1,0,IF($AP221=1,Settings!$C$6,Settings!$C$7))*100)</f>
        <v/>
      </c>
      <c r="AC221" s="7">
        <f>IF($E221="","",Y221*AB221/100)</f>
        <v/>
      </c>
      <c r="AD221" s="7">
        <f>IF($E221="","",Y221-AC221)</f>
        <v/>
      </c>
      <c r="AE221" s="7">
        <f>IF($E221="","",AD221-Q221)</f>
        <v/>
      </c>
      <c r="AI221" s="7" t="n"/>
      <c r="AL221" s="11" t="n"/>
      <c r="AN221">
        <f>IF($E221="","",IF(COUNTIF($E$2:$E221,$E221)=1,1,0))</f>
        <v/>
      </c>
      <c r="AO221">
        <f>IF($AN221=1,SUMPRODUCT(--($AR$2:$AR$4001&lt;$AR221))+1,"")</f>
        <v/>
      </c>
      <c r="AP221">
        <f>IF($E221="","",IF(OR($U221=TRUE(),$U221="TRUE"),1,0))</f>
        <v/>
      </c>
      <c r="AQ221">
        <f>IF($E221="","",IF($AA221="Yes",1,0))</f>
        <v/>
      </c>
      <c r="AR221">
        <f>IF($AN221=1,IFERROR(VALUE(MID($E221,2,20)),1000000000)+ROW()/100000,"")</f>
        <v/>
      </c>
    </row>
    <row r="222">
      <c r="G222" s="11" t="n"/>
      <c r="Q222" s="7">
        <f>IF($E222="","",P222*Y222/100)</f>
        <v/>
      </c>
      <c r="R222" s="7" t="n"/>
      <c r="X222" s="7" t="n"/>
      <c r="Y222" s="7" t="n"/>
      <c r="AB222">
        <f>IF($E222="","",IF($AQ222=1,0,IF($AP222=1,Settings!$C$6,Settings!$C$7))*100)</f>
        <v/>
      </c>
      <c r="AC222" s="7">
        <f>IF($E222="","",Y222*AB222/100)</f>
        <v/>
      </c>
      <c r="AD222" s="7">
        <f>IF($E222="","",Y222-AC222)</f>
        <v/>
      </c>
      <c r="AE222" s="7">
        <f>IF($E222="","",AD222-Q222)</f>
        <v/>
      </c>
      <c r="AI222" s="7" t="n"/>
      <c r="AL222" s="11" t="n"/>
      <c r="AN222">
        <f>IF($E222="","",IF(COUNTIF($E$2:$E222,$E222)=1,1,0))</f>
        <v/>
      </c>
      <c r="AO222">
        <f>IF($AN222=1,SUMPRODUCT(--($AR$2:$AR$4001&lt;$AR222))+1,"")</f>
        <v/>
      </c>
      <c r="AP222">
        <f>IF($E222="","",IF(OR($U222=TRUE(),$U222="TRUE"),1,0))</f>
        <v/>
      </c>
      <c r="AQ222">
        <f>IF($E222="","",IF($AA222="Yes",1,0))</f>
        <v/>
      </c>
      <c r="AR222">
        <f>IF($AN222=1,IFERROR(VALUE(MID($E222,2,20)),1000000000)+ROW()/100000,"")</f>
        <v/>
      </c>
    </row>
    <row r="223">
      <c r="G223" s="11" t="n"/>
      <c r="Q223" s="7">
        <f>IF($E223="","",P223*Y223/100)</f>
        <v/>
      </c>
      <c r="R223" s="7" t="n"/>
      <c r="X223" s="7" t="n"/>
      <c r="Y223" s="7" t="n"/>
      <c r="AB223">
        <f>IF($E223="","",IF($AQ223=1,0,IF($AP223=1,Settings!$C$6,Settings!$C$7))*100)</f>
        <v/>
      </c>
      <c r="AC223" s="7">
        <f>IF($E223="","",Y223*AB223/100)</f>
        <v/>
      </c>
      <c r="AD223" s="7">
        <f>IF($E223="","",Y223-AC223)</f>
        <v/>
      </c>
      <c r="AE223" s="7">
        <f>IF($E223="","",AD223-Q223)</f>
        <v/>
      </c>
      <c r="AI223" s="7" t="n"/>
      <c r="AL223" s="11" t="n"/>
      <c r="AN223">
        <f>IF($E223="","",IF(COUNTIF($E$2:$E223,$E223)=1,1,0))</f>
        <v/>
      </c>
      <c r="AO223">
        <f>IF($AN223=1,SUMPRODUCT(--($AR$2:$AR$4001&lt;$AR223))+1,"")</f>
        <v/>
      </c>
      <c r="AP223">
        <f>IF($E223="","",IF(OR($U223=TRUE(),$U223="TRUE"),1,0))</f>
        <v/>
      </c>
      <c r="AQ223">
        <f>IF($E223="","",IF($AA223="Yes",1,0))</f>
        <v/>
      </c>
      <c r="AR223">
        <f>IF($AN223=1,IFERROR(VALUE(MID($E223,2,20)),1000000000)+ROW()/100000,"")</f>
        <v/>
      </c>
    </row>
    <row r="224">
      <c r="G224" s="11" t="n"/>
      <c r="Q224" s="7">
        <f>IF($E224="","",P224*Y224/100)</f>
        <v/>
      </c>
      <c r="R224" s="7" t="n"/>
      <c r="X224" s="7" t="n"/>
      <c r="Y224" s="7" t="n"/>
      <c r="AB224">
        <f>IF($E224="","",IF($AQ224=1,0,IF($AP224=1,Settings!$C$6,Settings!$C$7))*100)</f>
        <v/>
      </c>
      <c r="AC224" s="7">
        <f>IF($E224="","",Y224*AB224/100)</f>
        <v/>
      </c>
      <c r="AD224" s="7">
        <f>IF($E224="","",Y224-AC224)</f>
        <v/>
      </c>
      <c r="AE224" s="7">
        <f>IF($E224="","",AD224-Q224)</f>
        <v/>
      </c>
      <c r="AI224" s="7" t="n"/>
      <c r="AL224" s="11" t="n"/>
      <c r="AN224">
        <f>IF($E224="","",IF(COUNTIF($E$2:$E224,$E224)=1,1,0))</f>
        <v/>
      </c>
      <c r="AO224">
        <f>IF($AN224=1,SUMPRODUCT(--($AR$2:$AR$4001&lt;$AR224))+1,"")</f>
        <v/>
      </c>
      <c r="AP224">
        <f>IF($E224="","",IF(OR($U224=TRUE(),$U224="TRUE"),1,0))</f>
        <v/>
      </c>
      <c r="AQ224">
        <f>IF($E224="","",IF($AA224="Yes",1,0))</f>
        <v/>
      </c>
      <c r="AR224">
        <f>IF($AN224=1,IFERROR(VALUE(MID($E224,2,20)),1000000000)+ROW()/100000,"")</f>
        <v/>
      </c>
    </row>
    <row r="225">
      <c r="G225" s="11" t="n"/>
      <c r="Q225" s="7">
        <f>IF($E225="","",P225*Y225/100)</f>
        <v/>
      </c>
      <c r="R225" s="7" t="n"/>
      <c r="X225" s="7" t="n"/>
      <c r="Y225" s="7" t="n"/>
      <c r="AB225">
        <f>IF($E225="","",IF($AQ225=1,0,IF($AP225=1,Settings!$C$6,Settings!$C$7))*100)</f>
        <v/>
      </c>
      <c r="AC225" s="7">
        <f>IF($E225="","",Y225*AB225/100)</f>
        <v/>
      </c>
      <c r="AD225" s="7">
        <f>IF($E225="","",Y225-AC225)</f>
        <v/>
      </c>
      <c r="AE225" s="7">
        <f>IF($E225="","",AD225-Q225)</f>
        <v/>
      </c>
      <c r="AI225" s="7" t="n"/>
      <c r="AL225" s="11" t="n"/>
      <c r="AN225">
        <f>IF($E225="","",IF(COUNTIF($E$2:$E225,$E225)=1,1,0))</f>
        <v/>
      </c>
      <c r="AO225">
        <f>IF($AN225=1,SUMPRODUCT(--($AR$2:$AR$4001&lt;$AR225))+1,"")</f>
        <v/>
      </c>
      <c r="AP225">
        <f>IF($E225="","",IF(OR($U225=TRUE(),$U225="TRUE"),1,0))</f>
        <v/>
      </c>
      <c r="AQ225">
        <f>IF($E225="","",IF($AA225="Yes",1,0))</f>
        <v/>
      </c>
      <c r="AR225">
        <f>IF($AN225=1,IFERROR(VALUE(MID($E225,2,20)),1000000000)+ROW()/100000,"")</f>
        <v/>
      </c>
    </row>
    <row r="226">
      <c r="G226" s="11" t="n"/>
      <c r="Q226" s="7">
        <f>IF($E226="","",P226*Y226/100)</f>
        <v/>
      </c>
      <c r="R226" s="7" t="n"/>
      <c r="X226" s="7" t="n"/>
      <c r="Y226" s="7" t="n"/>
      <c r="AB226">
        <f>IF($E226="","",IF($AQ226=1,0,IF($AP226=1,Settings!$C$6,Settings!$C$7))*100)</f>
        <v/>
      </c>
      <c r="AC226" s="7">
        <f>IF($E226="","",Y226*AB226/100)</f>
        <v/>
      </c>
      <c r="AD226" s="7">
        <f>IF($E226="","",Y226-AC226)</f>
        <v/>
      </c>
      <c r="AE226" s="7">
        <f>IF($E226="","",AD226-Q226)</f>
        <v/>
      </c>
      <c r="AI226" s="7" t="n"/>
      <c r="AL226" s="11" t="n"/>
      <c r="AN226">
        <f>IF($E226="","",IF(COUNTIF($E$2:$E226,$E226)=1,1,0))</f>
        <v/>
      </c>
      <c r="AO226">
        <f>IF($AN226=1,SUMPRODUCT(--($AR$2:$AR$4001&lt;$AR226))+1,"")</f>
        <v/>
      </c>
      <c r="AP226">
        <f>IF($E226="","",IF(OR($U226=TRUE(),$U226="TRUE"),1,0))</f>
        <v/>
      </c>
      <c r="AQ226">
        <f>IF($E226="","",IF($AA226="Yes",1,0))</f>
        <v/>
      </c>
      <c r="AR226">
        <f>IF($AN226=1,IFERROR(VALUE(MID($E226,2,20)),1000000000)+ROW()/100000,"")</f>
        <v/>
      </c>
    </row>
    <row r="227">
      <c r="G227" s="11" t="n"/>
      <c r="Q227" s="7">
        <f>IF($E227="","",P227*Y227/100)</f>
        <v/>
      </c>
      <c r="R227" s="7" t="n"/>
      <c r="X227" s="7" t="n"/>
      <c r="Y227" s="7" t="n"/>
      <c r="AB227">
        <f>IF($E227="","",IF($AQ227=1,0,IF($AP227=1,Settings!$C$6,Settings!$C$7))*100)</f>
        <v/>
      </c>
      <c r="AC227" s="7">
        <f>IF($E227="","",Y227*AB227/100)</f>
        <v/>
      </c>
      <c r="AD227" s="7">
        <f>IF($E227="","",Y227-AC227)</f>
        <v/>
      </c>
      <c r="AE227" s="7">
        <f>IF($E227="","",AD227-Q227)</f>
        <v/>
      </c>
      <c r="AI227" s="7" t="n"/>
      <c r="AL227" s="11" t="n"/>
      <c r="AN227">
        <f>IF($E227="","",IF(COUNTIF($E$2:$E227,$E227)=1,1,0))</f>
        <v/>
      </c>
      <c r="AO227">
        <f>IF($AN227=1,SUMPRODUCT(--($AR$2:$AR$4001&lt;$AR227))+1,"")</f>
        <v/>
      </c>
      <c r="AP227">
        <f>IF($E227="","",IF(OR($U227=TRUE(),$U227="TRUE"),1,0))</f>
        <v/>
      </c>
      <c r="AQ227">
        <f>IF($E227="","",IF($AA227="Yes",1,0))</f>
        <v/>
      </c>
      <c r="AR227">
        <f>IF($AN227=1,IFERROR(VALUE(MID($E227,2,20)),1000000000)+ROW()/100000,"")</f>
        <v/>
      </c>
    </row>
    <row r="228">
      <c r="G228" s="11" t="n"/>
      <c r="Q228" s="7">
        <f>IF($E228="","",P228*Y228/100)</f>
        <v/>
      </c>
      <c r="R228" s="7" t="n"/>
      <c r="X228" s="7" t="n"/>
      <c r="Y228" s="7" t="n"/>
      <c r="AB228">
        <f>IF($E228="","",IF($AQ228=1,0,IF($AP228=1,Settings!$C$6,Settings!$C$7))*100)</f>
        <v/>
      </c>
      <c r="AC228" s="7">
        <f>IF($E228="","",Y228*AB228/100)</f>
        <v/>
      </c>
      <c r="AD228" s="7">
        <f>IF($E228="","",Y228-AC228)</f>
        <v/>
      </c>
      <c r="AE228" s="7">
        <f>IF($E228="","",AD228-Q228)</f>
        <v/>
      </c>
      <c r="AI228" s="7" t="n"/>
      <c r="AL228" s="11" t="n"/>
      <c r="AN228">
        <f>IF($E228="","",IF(COUNTIF($E$2:$E228,$E228)=1,1,0))</f>
        <v/>
      </c>
      <c r="AO228">
        <f>IF($AN228=1,SUMPRODUCT(--($AR$2:$AR$4001&lt;$AR228))+1,"")</f>
        <v/>
      </c>
      <c r="AP228">
        <f>IF($E228="","",IF(OR($U228=TRUE(),$U228="TRUE"),1,0))</f>
        <v/>
      </c>
      <c r="AQ228">
        <f>IF($E228="","",IF($AA228="Yes",1,0))</f>
        <v/>
      </c>
      <c r="AR228">
        <f>IF($AN228=1,IFERROR(VALUE(MID($E228,2,20)),1000000000)+ROW()/100000,"")</f>
        <v/>
      </c>
    </row>
    <row r="229">
      <c r="G229" s="11" t="n"/>
      <c r="Q229" s="7">
        <f>IF($E229="","",P229*Y229/100)</f>
        <v/>
      </c>
      <c r="R229" s="7" t="n"/>
      <c r="X229" s="7" t="n"/>
      <c r="Y229" s="7" t="n"/>
      <c r="AB229">
        <f>IF($E229="","",IF($AQ229=1,0,IF($AP229=1,Settings!$C$6,Settings!$C$7))*100)</f>
        <v/>
      </c>
      <c r="AC229" s="7">
        <f>IF($E229="","",Y229*AB229/100)</f>
        <v/>
      </c>
      <c r="AD229" s="7">
        <f>IF($E229="","",Y229-AC229)</f>
        <v/>
      </c>
      <c r="AE229" s="7">
        <f>IF($E229="","",AD229-Q229)</f>
        <v/>
      </c>
      <c r="AI229" s="7" t="n"/>
      <c r="AL229" s="11" t="n"/>
      <c r="AN229">
        <f>IF($E229="","",IF(COUNTIF($E$2:$E229,$E229)=1,1,0))</f>
        <v/>
      </c>
      <c r="AO229">
        <f>IF($AN229=1,SUMPRODUCT(--($AR$2:$AR$4001&lt;$AR229))+1,"")</f>
        <v/>
      </c>
      <c r="AP229">
        <f>IF($E229="","",IF(OR($U229=TRUE(),$U229="TRUE"),1,0))</f>
        <v/>
      </c>
      <c r="AQ229">
        <f>IF($E229="","",IF($AA229="Yes",1,0))</f>
        <v/>
      </c>
      <c r="AR229">
        <f>IF($AN229=1,IFERROR(VALUE(MID($E229,2,20)),1000000000)+ROW()/100000,"")</f>
        <v/>
      </c>
    </row>
    <row r="230">
      <c r="G230" s="11" t="n"/>
      <c r="Q230" s="7">
        <f>IF($E230="","",P230*Y230/100)</f>
        <v/>
      </c>
      <c r="R230" s="7" t="n"/>
      <c r="X230" s="7" t="n"/>
      <c r="Y230" s="7" t="n"/>
      <c r="AB230">
        <f>IF($E230="","",IF($AQ230=1,0,IF($AP230=1,Settings!$C$6,Settings!$C$7))*100)</f>
        <v/>
      </c>
      <c r="AC230" s="7">
        <f>IF($E230="","",Y230*AB230/100)</f>
        <v/>
      </c>
      <c r="AD230" s="7">
        <f>IF($E230="","",Y230-AC230)</f>
        <v/>
      </c>
      <c r="AE230" s="7">
        <f>IF($E230="","",AD230-Q230)</f>
        <v/>
      </c>
      <c r="AI230" s="7" t="n"/>
      <c r="AL230" s="11" t="n"/>
      <c r="AN230">
        <f>IF($E230="","",IF(COUNTIF($E$2:$E230,$E230)=1,1,0))</f>
        <v/>
      </c>
      <c r="AO230">
        <f>IF($AN230=1,SUMPRODUCT(--($AR$2:$AR$4001&lt;$AR230))+1,"")</f>
        <v/>
      </c>
      <c r="AP230">
        <f>IF($E230="","",IF(OR($U230=TRUE(),$U230="TRUE"),1,0))</f>
        <v/>
      </c>
      <c r="AQ230">
        <f>IF($E230="","",IF($AA230="Yes",1,0))</f>
        <v/>
      </c>
      <c r="AR230">
        <f>IF($AN230=1,IFERROR(VALUE(MID($E230,2,20)),1000000000)+ROW()/100000,"")</f>
        <v/>
      </c>
    </row>
    <row r="231">
      <c r="G231" s="11" t="n"/>
      <c r="Q231" s="7">
        <f>IF($E231="","",P231*Y231/100)</f>
        <v/>
      </c>
      <c r="R231" s="7" t="n"/>
      <c r="X231" s="7" t="n"/>
      <c r="Y231" s="7" t="n"/>
      <c r="AB231">
        <f>IF($E231="","",IF($AQ231=1,0,IF($AP231=1,Settings!$C$6,Settings!$C$7))*100)</f>
        <v/>
      </c>
      <c r="AC231" s="7">
        <f>IF($E231="","",Y231*AB231/100)</f>
        <v/>
      </c>
      <c r="AD231" s="7">
        <f>IF($E231="","",Y231-AC231)</f>
        <v/>
      </c>
      <c r="AE231" s="7">
        <f>IF($E231="","",AD231-Q231)</f>
        <v/>
      </c>
      <c r="AI231" s="7" t="n"/>
      <c r="AL231" s="11" t="n"/>
      <c r="AN231">
        <f>IF($E231="","",IF(COUNTIF($E$2:$E231,$E231)=1,1,0))</f>
        <v/>
      </c>
      <c r="AO231">
        <f>IF($AN231=1,SUMPRODUCT(--($AR$2:$AR$4001&lt;$AR231))+1,"")</f>
        <v/>
      </c>
      <c r="AP231">
        <f>IF($E231="","",IF(OR($U231=TRUE(),$U231="TRUE"),1,0))</f>
        <v/>
      </c>
      <c r="AQ231">
        <f>IF($E231="","",IF($AA231="Yes",1,0))</f>
        <v/>
      </c>
      <c r="AR231">
        <f>IF($AN231=1,IFERROR(VALUE(MID($E231,2,20)),1000000000)+ROW()/100000,"")</f>
        <v/>
      </c>
    </row>
    <row r="232">
      <c r="G232" s="11" t="n"/>
      <c r="Q232" s="7">
        <f>IF($E232="","",P232*Y232/100)</f>
        <v/>
      </c>
      <c r="R232" s="7" t="n"/>
      <c r="X232" s="7" t="n"/>
      <c r="Y232" s="7" t="n"/>
      <c r="AB232">
        <f>IF($E232="","",IF($AQ232=1,0,IF($AP232=1,Settings!$C$6,Settings!$C$7))*100)</f>
        <v/>
      </c>
      <c r="AC232" s="7">
        <f>IF($E232="","",Y232*AB232/100)</f>
        <v/>
      </c>
      <c r="AD232" s="7">
        <f>IF($E232="","",Y232-AC232)</f>
        <v/>
      </c>
      <c r="AE232" s="7">
        <f>IF($E232="","",AD232-Q232)</f>
        <v/>
      </c>
      <c r="AI232" s="7" t="n"/>
      <c r="AL232" s="11" t="n"/>
      <c r="AN232">
        <f>IF($E232="","",IF(COUNTIF($E$2:$E232,$E232)=1,1,0))</f>
        <v/>
      </c>
      <c r="AO232">
        <f>IF($AN232=1,SUMPRODUCT(--($AR$2:$AR$4001&lt;$AR232))+1,"")</f>
        <v/>
      </c>
      <c r="AP232">
        <f>IF($E232="","",IF(OR($U232=TRUE(),$U232="TRUE"),1,0))</f>
        <v/>
      </c>
      <c r="AQ232">
        <f>IF($E232="","",IF($AA232="Yes",1,0))</f>
        <v/>
      </c>
      <c r="AR232">
        <f>IF($AN232=1,IFERROR(VALUE(MID($E232,2,20)),1000000000)+ROW()/100000,"")</f>
        <v/>
      </c>
    </row>
    <row r="233">
      <c r="G233" s="11" t="n"/>
      <c r="Q233" s="7">
        <f>IF($E233="","",P233*Y233/100)</f>
        <v/>
      </c>
      <c r="R233" s="7" t="n"/>
      <c r="X233" s="7" t="n"/>
      <c r="Y233" s="7" t="n"/>
      <c r="AB233">
        <f>IF($E233="","",IF($AQ233=1,0,IF($AP233=1,Settings!$C$6,Settings!$C$7))*100)</f>
        <v/>
      </c>
      <c r="AC233" s="7">
        <f>IF($E233="","",Y233*AB233/100)</f>
        <v/>
      </c>
      <c r="AD233" s="7">
        <f>IF($E233="","",Y233-AC233)</f>
        <v/>
      </c>
      <c r="AE233" s="7">
        <f>IF($E233="","",AD233-Q233)</f>
        <v/>
      </c>
      <c r="AI233" s="7" t="n"/>
      <c r="AL233" s="11" t="n"/>
      <c r="AN233">
        <f>IF($E233="","",IF(COUNTIF($E$2:$E233,$E233)=1,1,0))</f>
        <v/>
      </c>
      <c r="AO233">
        <f>IF($AN233=1,SUMPRODUCT(--($AR$2:$AR$4001&lt;$AR233))+1,"")</f>
        <v/>
      </c>
      <c r="AP233">
        <f>IF($E233="","",IF(OR($U233=TRUE(),$U233="TRUE"),1,0))</f>
        <v/>
      </c>
      <c r="AQ233">
        <f>IF($E233="","",IF($AA233="Yes",1,0))</f>
        <v/>
      </c>
      <c r="AR233">
        <f>IF($AN233=1,IFERROR(VALUE(MID($E233,2,20)),1000000000)+ROW()/100000,"")</f>
        <v/>
      </c>
    </row>
    <row r="234">
      <c r="G234" s="11" t="n"/>
      <c r="Q234" s="7">
        <f>IF($E234="","",P234*Y234/100)</f>
        <v/>
      </c>
      <c r="R234" s="7" t="n"/>
      <c r="X234" s="7" t="n"/>
      <c r="Y234" s="7" t="n"/>
      <c r="AB234">
        <f>IF($E234="","",IF($AQ234=1,0,IF($AP234=1,Settings!$C$6,Settings!$C$7))*100)</f>
        <v/>
      </c>
      <c r="AC234" s="7">
        <f>IF($E234="","",Y234*AB234/100)</f>
        <v/>
      </c>
      <c r="AD234" s="7">
        <f>IF($E234="","",Y234-AC234)</f>
        <v/>
      </c>
      <c r="AE234" s="7">
        <f>IF($E234="","",AD234-Q234)</f>
        <v/>
      </c>
      <c r="AI234" s="7" t="n"/>
      <c r="AL234" s="11" t="n"/>
      <c r="AN234">
        <f>IF($E234="","",IF(COUNTIF($E$2:$E234,$E234)=1,1,0))</f>
        <v/>
      </c>
      <c r="AO234">
        <f>IF($AN234=1,SUMPRODUCT(--($AR$2:$AR$4001&lt;$AR234))+1,"")</f>
        <v/>
      </c>
      <c r="AP234">
        <f>IF($E234="","",IF(OR($U234=TRUE(),$U234="TRUE"),1,0))</f>
        <v/>
      </c>
      <c r="AQ234">
        <f>IF($E234="","",IF($AA234="Yes",1,0))</f>
        <v/>
      </c>
      <c r="AR234">
        <f>IF($AN234=1,IFERROR(VALUE(MID($E234,2,20)),1000000000)+ROW()/100000,"")</f>
        <v/>
      </c>
    </row>
    <row r="235">
      <c r="G235" s="11" t="n"/>
      <c r="Q235" s="7">
        <f>IF($E235="","",P235*Y235/100)</f>
        <v/>
      </c>
      <c r="R235" s="7" t="n"/>
      <c r="X235" s="7" t="n"/>
      <c r="Y235" s="7" t="n"/>
      <c r="AB235">
        <f>IF($E235="","",IF($AQ235=1,0,IF($AP235=1,Settings!$C$6,Settings!$C$7))*100)</f>
        <v/>
      </c>
      <c r="AC235" s="7">
        <f>IF($E235="","",Y235*AB235/100)</f>
        <v/>
      </c>
      <c r="AD235" s="7">
        <f>IF($E235="","",Y235-AC235)</f>
        <v/>
      </c>
      <c r="AE235" s="7">
        <f>IF($E235="","",AD235-Q235)</f>
        <v/>
      </c>
      <c r="AI235" s="7" t="n"/>
      <c r="AL235" s="11" t="n"/>
      <c r="AN235">
        <f>IF($E235="","",IF(COUNTIF($E$2:$E235,$E235)=1,1,0))</f>
        <v/>
      </c>
      <c r="AO235">
        <f>IF($AN235=1,SUMPRODUCT(--($AR$2:$AR$4001&lt;$AR235))+1,"")</f>
        <v/>
      </c>
      <c r="AP235">
        <f>IF($E235="","",IF(OR($U235=TRUE(),$U235="TRUE"),1,0))</f>
        <v/>
      </c>
      <c r="AQ235">
        <f>IF($E235="","",IF($AA235="Yes",1,0))</f>
        <v/>
      </c>
      <c r="AR235">
        <f>IF($AN235=1,IFERROR(VALUE(MID($E235,2,20)),1000000000)+ROW()/100000,"")</f>
        <v/>
      </c>
    </row>
    <row r="236">
      <c r="G236" s="11" t="n"/>
      <c r="Q236" s="7">
        <f>IF($E236="","",P236*Y236/100)</f>
        <v/>
      </c>
      <c r="R236" s="7" t="n"/>
      <c r="X236" s="7" t="n"/>
      <c r="Y236" s="7" t="n"/>
      <c r="AB236">
        <f>IF($E236="","",IF($AQ236=1,0,IF($AP236=1,Settings!$C$6,Settings!$C$7))*100)</f>
        <v/>
      </c>
      <c r="AC236" s="7">
        <f>IF($E236="","",Y236*AB236/100)</f>
        <v/>
      </c>
      <c r="AD236" s="7">
        <f>IF($E236="","",Y236-AC236)</f>
        <v/>
      </c>
      <c r="AE236" s="7">
        <f>IF($E236="","",AD236-Q236)</f>
        <v/>
      </c>
      <c r="AI236" s="7" t="n"/>
      <c r="AL236" s="11" t="n"/>
      <c r="AN236">
        <f>IF($E236="","",IF(COUNTIF($E$2:$E236,$E236)=1,1,0))</f>
        <v/>
      </c>
      <c r="AO236">
        <f>IF($AN236=1,SUMPRODUCT(--($AR$2:$AR$4001&lt;$AR236))+1,"")</f>
        <v/>
      </c>
      <c r="AP236">
        <f>IF($E236="","",IF(OR($U236=TRUE(),$U236="TRUE"),1,0))</f>
        <v/>
      </c>
      <c r="AQ236">
        <f>IF($E236="","",IF($AA236="Yes",1,0))</f>
        <v/>
      </c>
      <c r="AR236">
        <f>IF($AN236=1,IFERROR(VALUE(MID($E236,2,20)),1000000000)+ROW()/100000,"")</f>
        <v/>
      </c>
    </row>
    <row r="237">
      <c r="G237" s="11" t="n"/>
      <c r="Q237" s="7">
        <f>IF($E237="","",P237*Y237/100)</f>
        <v/>
      </c>
      <c r="R237" s="7" t="n"/>
      <c r="X237" s="7" t="n"/>
      <c r="Y237" s="7" t="n"/>
      <c r="AB237">
        <f>IF($E237="","",IF($AQ237=1,0,IF($AP237=1,Settings!$C$6,Settings!$C$7))*100)</f>
        <v/>
      </c>
      <c r="AC237" s="7">
        <f>IF($E237="","",Y237*AB237/100)</f>
        <v/>
      </c>
      <c r="AD237" s="7">
        <f>IF($E237="","",Y237-AC237)</f>
        <v/>
      </c>
      <c r="AE237" s="7">
        <f>IF($E237="","",AD237-Q237)</f>
        <v/>
      </c>
      <c r="AI237" s="7" t="n"/>
      <c r="AL237" s="11" t="n"/>
      <c r="AN237">
        <f>IF($E237="","",IF(COUNTIF($E$2:$E237,$E237)=1,1,0))</f>
        <v/>
      </c>
      <c r="AO237">
        <f>IF($AN237=1,SUMPRODUCT(--($AR$2:$AR$4001&lt;$AR237))+1,"")</f>
        <v/>
      </c>
      <c r="AP237">
        <f>IF($E237="","",IF(OR($U237=TRUE(),$U237="TRUE"),1,0))</f>
        <v/>
      </c>
      <c r="AQ237">
        <f>IF($E237="","",IF($AA237="Yes",1,0))</f>
        <v/>
      </c>
      <c r="AR237">
        <f>IF($AN237=1,IFERROR(VALUE(MID($E237,2,20)),1000000000)+ROW()/100000,"")</f>
        <v/>
      </c>
    </row>
    <row r="238">
      <c r="G238" s="11" t="n"/>
      <c r="Q238" s="7">
        <f>IF($E238="","",P238*Y238/100)</f>
        <v/>
      </c>
      <c r="R238" s="7" t="n"/>
      <c r="X238" s="7" t="n"/>
      <c r="Y238" s="7" t="n"/>
      <c r="AB238">
        <f>IF($E238="","",IF($AQ238=1,0,IF($AP238=1,Settings!$C$6,Settings!$C$7))*100)</f>
        <v/>
      </c>
      <c r="AC238" s="7">
        <f>IF($E238="","",Y238*AB238/100)</f>
        <v/>
      </c>
      <c r="AD238" s="7">
        <f>IF($E238="","",Y238-AC238)</f>
        <v/>
      </c>
      <c r="AE238" s="7">
        <f>IF($E238="","",AD238-Q238)</f>
        <v/>
      </c>
      <c r="AI238" s="7" t="n"/>
      <c r="AL238" s="11" t="n"/>
      <c r="AN238">
        <f>IF($E238="","",IF(COUNTIF($E$2:$E238,$E238)=1,1,0))</f>
        <v/>
      </c>
      <c r="AO238">
        <f>IF($AN238=1,SUMPRODUCT(--($AR$2:$AR$4001&lt;$AR238))+1,"")</f>
        <v/>
      </c>
      <c r="AP238">
        <f>IF($E238="","",IF(OR($U238=TRUE(),$U238="TRUE"),1,0))</f>
        <v/>
      </c>
      <c r="AQ238">
        <f>IF($E238="","",IF($AA238="Yes",1,0))</f>
        <v/>
      </c>
      <c r="AR238">
        <f>IF($AN238=1,IFERROR(VALUE(MID($E238,2,20)),1000000000)+ROW()/100000,"")</f>
        <v/>
      </c>
    </row>
    <row r="239">
      <c r="G239" s="11" t="n"/>
      <c r="Q239" s="7">
        <f>IF($E239="","",P239*Y239/100)</f>
        <v/>
      </c>
      <c r="R239" s="7" t="n"/>
      <c r="X239" s="7" t="n"/>
      <c r="Y239" s="7" t="n"/>
      <c r="AB239">
        <f>IF($E239="","",IF($AQ239=1,0,IF($AP239=1,Settings!$C$6,Settings!$C$7))*100)</f>
        <v/>
      </c>
      <c r="AC239" s="7">
        <f>IF($E239="","",Y239*AB239/100)</f>
        <v/>
      </c>
      <c r="AD239" s="7">
        <f>IF($E239="","",Y239-AC239)</f>
        <v/>
      </c>
      <c r="AE239" s="7">
        <f>IF($E239="","",AD239-Q239)</f>
        <v/>
      </c>
      <c r="AI239" s="7" t="n"/>
      <c r="AL239" s="11" t="n"/>
      <c r="AN239">
        <f>IF($E239="","",IF(COUNTIF($E$2:$E239,$E239)=1,1,0))</f>
        <v/>
      </c>
      <c r="AO239">
        <f>IF($AN239=1,SUMPRODUCT(--($AR$2:$AR$4001&lt;$AR239))+1,"")</f>
        <v/>
      </c>
      <c r="AP239">
        <f>IF($E239="","",IF(OR($U239=TRUE(),$U239="TRUE"),1,0))</f>
        <v/>
      </c>
      <c r="AQ239">
        <f>IF($E239="","",IF($AA239="Yes",1,0))</f>
        <v/>
      </c>
      <c r="AR239">
        <f>IF($AN239=1,IFERROR(VALUE(MID($E239,2,20)),1000000000)+ROW()/100000,"")</f>
        <v/>
      </c>
    </row>
    <row r="240">
      <c r="G240" s="11" t="n"/>
      <c r="Q240" s="7">
        <f>IF($E240="","",P240*Y240/100)</f>
        <v/>
      </c>
      <c r="R240" s="7" t="n"/>
      <c r="X240" s="7" t="n"/>
      <c r="Y240" s="7" t="n"/>
      <c r="AB240">
        <f>IF($E240="","",IF($AQ240=1,0,IF($AP240=1,Settings!$C$6,Settings!$C$7))*100)</f>
        <v/>
      </c>
      <c r="AC240" s="7">
        <f>IF($E240="","",Y240*AB240/100)</f>
        <v/>
      </c>
      <c r="AD240" s="7">
        <f>IF($E240="","",Y240-AC240)</f>
        <v/>
      </c>
      <c r="AE240" s="7">
        <f>IF($E240="","",AD240-Q240)</f>
        <v/>
      </c>
      <c r="AI240" s="7" t="n"/>
      <c r="AL240" s="11" t="n"/>
      <c r="AN240">
        <f>IF($E240="","",IF(COUNTIF($E$2:$E240,$E240)=1,1,0))</f>
        <v/>
      </c>
      <c r="AO240">
        <f>IF($AN240=1,SUMPRODUCT(--($AR$2:$AR$4001&lt;$AR240))+1,"")</f>
        <v/>
      </c>
      <c r="AP240">
        <f>IF($E240="","",IF(OR($U240=TRUE(),$U240="TRUE"),1,0))</f>
        <v/>
      </c>
      <c r="AQ240">
        <f>IF($E240="","",IF($AA240="Yes",1,0))</f>
        <v/>
      </c>
      <c r="AR240">
        <f>IF($AN240=1,IFERROR(VALUE(MID($E240,2,20)),1000000000)+ROW()/100000,"")</f>
        <v/>
      </c>
    </row>
    <row r="241">
      <c r="G241" s="11" t="n"/>
      <c r="Q241" s="7">
        <f>IF($E241="","",P241*Y241/100)</f>
        <v/>
      </c>
      <c r="R241" s="7" t="n"/>
      <c r="X241" s="7" t="n"/>
      <c r="Y241" s="7" t="n"/>
      <c r="AB241">
        <f>IF($E241="","",IF($AQ241=1,0,IF($AP241=1,Settings!$C$6,Settings!$C$7))*100)</f>
        <v/>
      </c>
      <c r="AC241" s="7">
        <f>IF($E241="","",Y241*AB241/100)</f>
        <v/>
      </c>
      <c r="AD241" s="7">
        <f>IF($E241="","",Y241-AC241)</f>
        <v/>
      </c>
      <c r="AE241" s="7">
        <f>IF($E241="","",AD241-Q241)</f>
        <v/>
      </c>
      <c r="AI241" s="7" t="n"/>
      <c r="AL241" s="11" t="n"/>
      <c r="AN241">
        <f>IF($E241="","",IF(COUNTIF($E$2:$E241,$E241)=1,1,0))</f>
        <v/>
      </c>
      <c r="AO241">
        <f>IF($AN241=1,SUMPRODUCT(--($AR$2:$AR$4001&lt;$AR241))+1,"")</f>
        <v/>
      </c>
      <c r="AP241">
        <f>IF($E241="","",IF(OR($U241=TRUE(),$U241="TRUE"),1,0))</f>
        <v/>
      </c>
      <c r="AQ241">
        <f>IF($E241="","",IF($AA241="Yes",1,0))</f>
        <v/>
      </c>
      <c r="AR241">
        <f>IF($AN241=1,IFERROR(VALUE(MID($E241,2,20)),1000000000)+ROW()/100000,"")</f>
        <v/>
      </c>
    </row>
    <row r="242">
      <c r="G242" s="11" t="n"/>
      <c r="Q242" s="7">
        <f>IF($E242="","",P242*Y242/100)</f>
        <v/>
      </c>
      <c r="R242" s="7" t="n"/>
      <c r="X242" s="7" t="n"/>
      <c r="Y242" s="7" t="n"/>
      <c r="AB242">
        <f>IF($E242="","",IF($AQ242=1,0,IF($AP242=1,Settings!$C$6,Settings!$C$7))*100)</f>
        <v/>
      </c>
      <c r="AC242" s="7">
        <f>IF($E242="","",Y242*AB242/100)</f>
        <v/>
      </c>
      <c r="AD242" s="7">
        <f>IF($E242="","",Y242-AC242)</f>
        <v/>
      </c>
      <c r="AE242" s="7">
        <f>IF($E242="","",AD242-Q242)</f>
        <v/>
      </c>
      <c r="AI242" s="7" t="n"/>
      <c r="AL242" s="11" t="n"/>
      <c r="AN242">
        <f>IF($E242="","",IF(COUNTIF($E$2:$E242,$E242)=1,1,0))</f>
        <v/>
      </c>
      <c r="AO242">
        <f>IF($AN242=1,SUMPRODUCT(--($AR$2:$AR$4001&lt;$AR242))+1,"")</f>
        <v/>
      </c>
      <c r="AP242">
        <f>IF($E242="","",IF(OR($U242=TRUE(),$U242="TRUE"),1,0))</f>
        <v/>
      </c>
      <c r="AQ242">
        <f>IF($E242="","",IF($AA242="Yes",1,0))</f>
        <v/>
      </c>
      <c r="AR242">
        <f>IF($AN242=1,IFERROR(VALUE(MID($E242,2,20)),1000000000)+ROW()/100000,"")</f>
        <v/>
      </c>
    </row>
    <row r="243">
      <c r="G243" s="11" t="n"/>
      <c r="Q243" s="7">
        <f>IF($E243="","",P243*Y243/100)</f>
        <v/>
      </c>
      <c r="R243" s="7" t="n"/>
      <c r="X243" s="7" t="n"/>
      <c r="Y243" s="7" t="n"/>
      <c r="AB243">
        <f>IF($E243="","",IF($AQ243=1,0,IF($AP243=1,Settings!$C$6,Settings!$C$7))*100)</f>
        <v/>
      </c>
      <c r="AC243" s="7">
        <f>IF($E243="","",Y243*AB243/100)</f>
        <v/>
      </c>
      <c r="AD243" s="7">
        <f>IF($E243="","",Y243-AC243)</f>
        <v/>
      </c>
      <c r="AE243" s="7">
        <f>IF($E243="","",AD243-Q243)</f>
        <v/>
      </c>
      <c r="AI243" s="7" t="n"/>
      <c r="AL243" s="11" t="n"/>
      <c r="AN243">
        <f>IF($E243="","",IF(COUNTIF($E$2:$E243,$E243)=1,1,0))</f>
        <v/>
      </c>
      <c r="AO243">
        <f>IF($AN243=1,SUMPRODUCT(--($AR$2:$AR$4001&lt;$AR243))+1,"")</f>
        <v/>
      </c>
      <c r="AP243">
        <f>IF($E243="","",IF(OR($U243=TRUE(),$U243="TRUE"),1,0))</f>
        <v/>
      </c>
      <c r="AQ243">
        <f>IF($E243="","",IF($AA243="Yes",1,0))</f>
        <v/>
      </c>
      <c r="AR243">
        <f>IF($AN243=1,IFERROR(VALUE(MID($E243,2,20)),1000000000)+ROW()/100000,"")</f>
        <v/>
      </c>
    </row>
    <row r="244">
      <c r="G244" s="11" t="n"/>
      <c r="Q244" s="7">
        <f>IF($E244="","",P244*Y244/100)</f>
        <v/>
      </c>
      <c r="R244" s="7" t="n"/>
      <c r="X244" s="7" t="n"/>
      <c r="Y244" s="7" t="n"/>
      <c r="AB244">
        <f>IF($E244="","",IF($AQ244=1,0,IF($AP244=1,Settings!$C$6,Settings!$C$7))*100)</f>
        <v/>
      </c>
      <c r="AC244" s="7">
        <f>IF($E244="","",Y244*AB244/100)</f>
        <v/>
      </c>
      <c r="AD244" s="7">
        <f>IF($E244="","",Y244-AC244)</f>
        <v/>
      </c>
      <c r="AE244" s="7">
        <f>IF($E244="","",AD244-Q244)</f>
        <v/>
      </c>
      <c r="AI244" s="7" t="n"/>
      <c r="AL244" s="11" t="n"/>
      <c r="AN244">
        <f>IF($E244="","",IF(COUNTIF($E$2:$E244,$E244)=1,1,0))</f>
        <v/>
      </c>
      <c r="AO244">
        <f>IF($AN244=1,SUMPRODUCT(--($AR$2:$AR$4001&lt;$AR244))+1,"")</f>
        <v/>
      </c>
      <c r="AP244">
        <f>IF($E244="","",IF(OR($U244=TRUE(),$U244="TRUE"),1,0))</f>
        <v/>
      </c>
      <c r="AQ244">
        <f>IF($E244="","",IF($AA244="Yes",1,0))</f>
        <v/>
      </c>
      <c r="AR244">
        <f>IF($AN244=1,IFERROR(VALUE(MID($E244,2,20)),1000000000)+ROW()/100000,"")</f>
        <v/>
      </c>
    </row>
    <row r="245">
      <c r="G245" s="11" t="n"/>
      <c r="Q245" s="7">
        <f>IF($E245="","",P245*Y245/100)</f>
        <v/>
      </c>
      <c r="R245" s="7" t="n"/>
      <c r="X245" s="7" t="n"/>
      <c r="Y245" s="7" t="n"/>
      <c r="AB245">
        <f>IF($E245="","",IF($AQ245=1,0,IF($AP245=1,Settings!$C$6,Settings!$C$7))*100)</f>
        <v/>
      </c>
      <c r="AC245" s="7">
        <f>IF($E245="","",Y245*AB245/100)</f>
        <v/>
      </c>
      <c r="AD245" s="7">
        <f>IF($E245="","",Y245-AC245)</f>
        <v/>
      </c>
      <c r="AE245" s="7">
        <f>IF($E245="","",AD245-Q245)</f>
        <v/>
      </c>
      <c r="AI245" s="7" t="n"/>
      <c r="AL245" s="11" t="n"/>
      <c r="AN245">
        <f>IF($E245="","",IF(COUNTIF($E$2:$E245,$E245)=1,1,0))</f>
        <v/>
      </c>
      <c r="AO245">
        <f>IF($AN245=1,SUMPRODUCT(--($AR$2:$AR$4001&lt;$AR245))+1,"")</f>
        <v/>
      </c>
      <c r="AP245">
        <f>IF($E245="","",IF(OR($U245=TRUE(),$U245="TRUE"),1,0))</f>
        <v/>
      </c>
      <c r="AQ245">
        <f>IF($E245="","",IF($AA245="Yes",1,0))</f>
        <v/>
      </c>
      <c r="AR245">
        <f>IF($AN245=1,IFERROR(VALUE(MID($E245,2,20)),1000000000)+ROW()/100000,"")</f>
        <v/>
      </c>
    </row>
    <row r="246">
      <c r="G246" s="11" t="n"/>
      <c r="Q246" s="7">
        <f>IF($E246="","",P246*Y246/100)</f>
        <v/>
      </c>
      <c r="R246" s="7" t="n"/>
      <c r="X246" s="7" t="n"/>
      <c r="Y246" s="7" t="n"/>
      <c r="AB246">
        <f>IF($E246="","",IF($AQ246=1,0,IF($AP246=1,Settings!$C$6,Settings!$C$7))*100)</f>
        <v/>
      </c>
      <c r="AC246" s="7">
        <f>IF($E246="","",Y246*AB246/100)</f>
        <v/>
      </c>
      <c r="AD246" s="7">
        <f>IF($E246="","",Y246-AC246)</f>
        <v/>
      </c>
      <c r="AE246" s="7">
        <f>IF($E246="","",AD246-Q246)</f>
        <v/>
      </c>
      <c r="AI246" s="7" t="n"/>
      <c r="AL246" s="11" t="n"/>
      <c r="AN246">
        <f>IF($E246="","",IF(COUNTIF($E$2:$E246,$E246)=1,1,0))</f>
        <v/>
      </c>
      <c r="AO246">
        <f>IF($AN246=1,SUMPRODUCT(--($AR$2:$AR$4001&lt;$AR246))+1,"")</f>
        <v/>
      </c>
      <c r="AP246">
        <f>IF($E246="","",IF(OR($U246=TRUE(),$U246="TRUE"),1,0))</f>
        <v/>
      </c>
      <c r="AQ246">
        <f>IF($E246="","",IF($AA246="Yes",1,0))</f>
        <v/>
      </c>
      <c r="AR246">
        <f>IF($AN246=1,IFERROR(VALUE(MID($E246,2,20)),1000000000)+ROW()/100000,"")</f>
        <v/>
      </c>
    </row>
    <row r="247">
      <c r="G247" s="11" t="n"/>
      <c r="Q247" s="7">
        <f>IF($E247="","",P247*Y247/100)</f>
        <v/>
      </c>
      <c r="R247" s="7" t="n"/>
      <c r="X247" s="7" t="n"/>
      <c r="Y247" s="7" t="n"/>
      <c r="AB247">
        <f>IF($E247="","",IF($AQ247=1,0,IF($AP247=1,Settings!$C$6,Settings!$C$7))*100)</f>
        <v/>
      </c>
      <c r="AC247" s="7">
        <f>IF($E247="","",Y247*AB247/100)</f>
        <v/>
      </c>
      <c r="AD247" s="7">
        <f>IF($E247="","",Y247-AC247)</f>
        <v/>
      </c>
      <c r="AE247" s="7">
        <f>IF($E247="","",AD247-Q247)</f>
        <v/>
      </c>
      <c r="AI247" s="7" t="n"/>
      <c r="AL247" s="11" t="n"/>
      <c r="AN247">
        <f>IF($E247="","",IF(COUNTIF($E$2:$E247,$E247)=1,1,0))</f>
        <v/>
      </c>
      <c r="AO247">
        <f>IF($AN247=1,SUMPRODUCT(--($AR$2:$AR$4001&lt;$AR247))+1,"")</f>
        <v/>
      </c>
      <c r="AP247">
        <f>IF($E247="","",IF(OR($U247=TRUE(),$U247="TRUE"),1,0))</f>
        <v/>
      </c>
      <c r="AQ247">
        <f>IF($E247="","",IF($AA247="Yes",1,0))</f>
        <v/>
      </c>
      <c r="AR247">
        <f>IF($AN247=1,IFERROR(VALUE(MID($E247,2,20)),1000000000)+ROW()/100000,"")</f>
        <v/>
      </c>
    </row>
    <row r="248">
      <c r="G248" s="11" t="n"/>
      <c r="Q248" s="7">
        <f>IF($E248="","",P248*Y248/100)</f>
        <v/>
      </c>
      <c r="R248" s="7" t="n"/>
      <c r="X248" s="7" t="n"/>
      <c r="Y248" s="7" t="n"/>
      <c r="AB248">
        <f>IF($E248="","",IF($AQ248=1,0,IF($AP248=1,Settings!$C$6,Settings!$C$7))*100)</f>
        <v/>
      </c>
      <c r="AC248" s="7">
        <f>IF($E248="","",Y248*AB248/100)</f>
        <v/>
      </c>
      <c r="AD248" s="7">
        <f>IF($E248="","",Y248-AC248)</f>
        <v/>
      </c>
      <c r="AE248" s="7">
        <f>IF($E248="","",AD248-Q248)</f>
        <v/>
      </c>
      <c r="AI248" s="7" t="n"/>
      <c r="AL248" s="11" t="n"/>
      <c r="AN248">
        <f>IF($E248="","",IF(COUNTIF($E$2:$E248,$E248)=1,1,0))</f>
        <v/>
      </c>
      <c r="AO248">
        <f>IF($AN248=1,SUMPRODUCT(--($AR$2:$AR$4001&lt;$AR248))+1,"")</f>
        <v/>
      </c>
      <c r="AP248">
        <f>IF($E248="","",IF(OR($U248=TRUE(),$U248="TRUE"),1,0))</f>
        <v/>
      </c>
      <c r="AQ248">
        <f>IF($E248="","",IF($AA248="Yes",1,0))</f>
        <v/>
      </c>
      <c r="AR248">
        <f>IF($AN248=1,IFERROR(VALUE(MID($E248,2,20)),1000000000)+ROW()/100000,"")</f>
        <v/>
      </c>
    </row>
    <row r="249">
      <c r="G249" s="11" t="n"/>
      <c r="Q249" s="7">
        <f>IF($E249="","",P249*Y249/100)</f>
        <v/>
      </c>
      <c r="R249" s="7" t="n"/>
      <c r="X249" s="7" t="n"/>
      <c r="Y249" s="7" t="n"/>
      <c r="AB249">
        <f>IF($E249="","",IF($AQ249=1,0,IF($AP249=1,Settings!$C$6,Settings!$C$7))*100)</f>
        <v/>
      </c>
      <c r="AC249" s="7">
        <f>IF($E249="","",Y249*AB249/100)</f>
        <v/>
      </c>
      <c r="AD249" s="7">
        <f>IF($E249="","",Y249-AC249)</f>
        <v/>
      </c>
      <c r="AE249" s="7">
        <f>IF($E249="","",AD249-Q249)</f>
        <v/>
      </c>
      <c r="AI249" s="7" t="n"/>
      <c r="AL249" s="11" t="n"/>
      <c r="AN249">
        <f>IF($E249="","",IF(COUNTIF($E$2:$E249,$E249)=1,1,0))</f>
        <v/>
      </c>
      <c r="AO249">
        <f>IF($AN249=1,SUMPRODUCT(--($AR$2:$AR$4001&lt;$AR249))+1,"")</f>
        <v/>
      </c>
      <c r="AP249">
        <f>IF($E249="","",IF(OR($U249=TRUE(),$U249="TRUE"),1,0))</f>
        <v/>
      </c>
      <c r="AQ249">
        <f>IF($E249="","",IF($AA249="Yes",1,0))</f>
        <v/>
      </c>
      <c r="AR249">
        <f>IF($AN249=1,IFERROR(VALUE(MID($E249,2,20)),1000000000)+ROW()/100000,"")</f>
        <v/>
      </c>
    </row>
    <row r="250">
      <c r="G250" s="11" t="n"/>
      <c r="Q250" s="7">
        <f>IF($E250="","",P250*Y250/100)</f>
        <v/>
      </c>
      <c r="R250" s="7" t="n"/>
      <c r="X250" s="7" t="n"/>
      <c r="Y250" s="7" t="n"/>
      <c r="AB250">
        <f>IF($E250="","",IF($AQ250=1,0,IF($AP250=1,Settings!$C$6,Settings!$C$7))*100)</f>
        <v/>
      </c>
      <c r="AC250" s="7">
        <f>IF($E250="","",Y250*AB250/100)</f>
        <v/>
      </c>
      <c r="AD250" s="7">
        <f>IF($E250="","",Y250-AC250)</f>
        <v/>
      </c>
      <c r="AE250" s="7">
        <f>IF($E250="","",AD250-Q250)</f>
        <v/>
      </c>
      <c r="AI250" s="7" t="n"/>
      <c r="AL250" s="11" t="n"/>
      <c r="AN250">
        <f>IF($E250="","",IF(COUNTIF($E$2:$E250,$E250)=1,1,0))</f>
        <v/>
      </c>
      <c r="AO250">
        <f>IF($AN250=1,SUMPRODUCT(--($AR$2:$AR$4001&lt;$AR250))+1,"")</f>
        <v/>
      </c>
      <c r="AP250">
        <f>IF($E250="","",IF(OR($U250=TRUE(),$U250="TRUE"),1,0))</f>
        <v/>
      </c>
      <c r="AQ250">
        <f>IF($E250="","",IF($AA250="Yes",1,0))</f>
        <v/>
      </c>
      <c r="AR250">
        <f>IF($AN250=1,IFERROR(VALUE(MID($E250,2,20)),1000000000)+ROW()/100000,"")</f>
        <v/>
      </c>
    </row>
    <row r="251">
      <c r="G251" s="11" t="n"/>
      <c r="Q251" s="7">
        <f>IF($E251="","",P251*Y251/100)</f>
        <v/>
      </c>
      <c r="R251" s="7" t="n"/>
      <c r="X251" s="7" t="n"/>
      <c r="Y251" s="7" t="n"/>
      <c r="AB251">
        <f>IF($E251="","",IF($AQ251=1,0,IF($AP251=1,Settings!$C$6,Settings!$C$7))*100)</f>
        <v/>
      </c>
      <c r="AC251" s="7">
        <f>IF($E251="","",Y251*AB251/100)</f>
        <v/>
      </c>
      <c r="AD251" s="7">
        <f>IF($E251="","",Y251-AC251)</f>
        <v/>
      </c>
      <c r="AE251" s="7">
        <f>IF($E251="","",AD251-Q251)</f>
        <v/>
      </c>
      <c r="AI251" s="7" t="n"/>
      <c r="AL251" s="11" t="n"/>
      <c r="AN251">
        <f>IF($E251="","",IF(COUNTIF($E$2:$E251,$E251)=1,1,0))</f>
        <v/>
      </c>
      <c r="AO251">
        <f>IF($AN251=1,SUMPRODUCT(--($AR$2:$AR$4001&lt;$AR251))+1,"")</f>
        <v/>
      </c>
      <c r="AP251">
        <f>IF($E251="","",IF(OR($U251=TRUE(),$U251="TRUE"),1,0))</f>
        <v/>
      </c>
      <c r="AQ251">
        <f>IF($E251="","",IF($AA251="Yes",1,0))</f>
        <v/>
      </c>
      <c r="AR251">
        <f>IF($AN251=1,IFERROR(VALUE(MID($E251,2,20)),1000000000)+ROW()/100000,"")</f>
        <v/>
      </c>
    </row>
    <row r="252">
      <c r="G252" s="11" t="n"/>
      <c r="Q252" s="7">
        <f>IF($E252="","",P252*Y252/100)</f>
        <v/>
      </c>
      <c r="R252" s="7" t="n"/>
      <c r="X252" s="7" t="n"/>
      <c r="Y252" s="7" t="n"/>
      <c r="AB252">
        <f>IF($E252="","",IF($AQ252=1,0,IF($AP252=1,Settings!$C$6,Settings!$C$7))*100)</f>
        <v/>
      </c>
      <c r="AC252" s="7">
        <f>IF($E252="","",Y252*AB252/100)</f>
        <v/>
      </c>
      <c r="AD252" s="7">
        <f>IF($E252="","",Y252-AC252)</f>
        <v/>
      </c>
      <c r="AE252" s="7">
        <f>IF($E252="","",AD252-Q252)</f>
        <v/>
      </c>
      <c r="AI252" s="7" t="n"/>
      <c r="AL252" s="11" t="n"/>
      <c r="AN252">
        <f>IF($E252="","",IF(COUNTIF($E$2:$E252,$E252)=1,1,0))</f>
        <v/>
      </c>
      <c r="AO252">
        <f>IF($AN252=1,SUMPRODUCT(--($AR$2:$AR$4001&lt;$AR252))+1,"")</f>
        <v/>
      </c>
      <c r="AP252">
        <f>IF($E252="","",IF(OR($U252=TRUE(),$U252="TRUE"),1,0))</f>
        <v/>
      </c>
      <c r="AQ252">
        <f>IF($E252="","",IF($AA252="Yes",1,0))</f>
        <v/>
      </c>
      <c r="AR252">
        <f>IF($AN252=1,IFERROR(VALUE(MID($E252,2,20)),1000000000)+ROW()/100000,"")</f>
        <v/>
      </c>
    </row>
    <row r="253">
      <c r="G253" s="11" t="n"/>
      <c r="Q253" s="7">
        <f>IF($E253="","",P253*Y253/100)</f>
        <v/>
      </c>
      <c r="R253" s="7" t="n"/>
      <c r="X253" s="7" t="n"/>
      <c r="Y253" s="7" t="n"/>
      <c r="AB253">
        <f>IF($E253="","",IF($AQ253=1,0,IF($AP253=1,Settings!$C$6,Settings!$C$7))*100)</f>
        <v/>
      </c>
      <c r="AC253" s="7">
        <f>IF($E253="","",Y253*AB253/100)</f>
        <v/>
      </c>
      <c r="AD253" s="7">
        <f>IF($E253="","",Y253-AC253)</f>
        <v/>
      </c>
      <c r="AE253" s="7">
        <f>IF($E253="","",AD253-Q253)</f>
        <v/>
      </c>
      <c r="AI253" s="7" t="n"/>
      <c r="AL253" s="11" t="n"/>
      <c r="AN253">
        <f>IF($E253="","",IF(COUNTIF($E$2:$E253,$E253)=1,1,0))</f>
        <v/>
      </c>
      <c r="AO253">
        <f>IF($AN253=1,SUMPRODUCT(--($AR$2:$AR$4001&lt;$AR253))+1,"")</f>
        <v/>
      </c>
      <c r="AP253">
        <f>IF($E253="","",IF(OR($U253=TRUE(),$U253="TRUE"),1,0))</f>
        <v/>
      </c>
      <c r="AQ253">
        <f>IF($E253="","",IF($AA253="Yes",1,0))</f>
        <v/>
      </c>
      <c r="AR253">
        <f>IF($AN253=1,IFERROR(VALUE(MID($E253,2,20)),1000000000)+ROW()/100000,"")</f>
        <v/>
      </c>
    </row>
    <row r="254">
      <c r="G254" s="11" t="n"/>
      <c r="Q254" s="7">
        <f>IF($E254="","",P254*Y254/100)</f>
        <v/>
      </c>
      <c r="R254" s="7" t="n"/>
      <c r="X254" s="7" t="n"/>
      <c r="Y254" s="7" t="n"/>
      <c r="AB254">
        <f>IF($E254="","",IF($AQ254=1,0,IF($AP254=1,Settings!$C$6,Settings!$C$7))*100)</f>
        <v/>
      </c>
      <c r="AC254" s="7">
        <f>IF($E254="","",Y254*AB254/100)</f>
        <v/>
      </c>
      <c r="AD254" s="7">
        <f>IF($E254="","",Y254-AC254)</f>
        <v/>
      </c>
      <c r="AE254" s="7">
        <f>IF($E254="","",AD254-Q254)</f>
        <v/>
      </c>
      <c r="AI254" s="7" t="n"/>
      <c r="AL254" s="11" t="n"/>
      <c r="AN254">
        <f>IF($E254="","",IF(COUNTIF($E$2:$E254,$E254)=1,1,0))</f>
        <v/>
      </c>
      <c r="AO254">
        <f>IF($AN254=1,SUMPRODUCT(--($AR$2:$AR$4001&lt;$AR254))+1,"")</f>
        <v/>
      </c>
      <c r="AP254">
        <f>IF($E254="","",IF(OR($U254=TRUE(),$U254="TRUE"),1,0))</f>
        <v/>
      </c>
      <c r="AQ254">
        <f>IF($E254="","",IF($AA254="Yes",1,0))</f>
        <v/>
      </c>
      <c r="AR254">
        <f>IF($AN254=1,IFERROR(VALUE(MID($E254,2,20)),1000000000)+ROW()/100000,"")</f>
        <v/>
      </c>
    </row>
    <row r="255">
      <c r="G255" s="11" t="n"/>
      <c r="Q255" s="7">
        <f>IF($E255="","",P255*Y255/100)</f>
        <v/>
      </c>
      <c r="R255" s="7" t="n"/>
      <c r="X255" s="7" t="n"/>
      <c r="Y255" s="7" t="n"/>
      <c r="AB255">
        <f>IF($E255="","",IF($AQ255=1,0,IF($AP255=1,Settings!$C$6,Settings!$C$7))*100)</f>
        <v/>
      </c>
      <c r="AC255" s="7">
        <f>IF($E255="","",Y255*AB255/100)</f>
        <v/>
      </c>
      <c r="AD255" s="7">
        <f>IF($E255="","",Y255-AC255)</f>
        <v/>
      </c>
      <c r="AE255" s="7">
        <f>IF($E255="","",AD255-Q255)</f>
        <v/>
      </c>
      <c r="AI255" s="7" t="n"/>
      <c r="AL255" s="11" t="n"/>
      <c r="AN255">
        <f>IF($E255="","",IF(COUNTIF($E$2:$E255,$E255)=1,1,0))</f>
        <v/>
      </c>
      <c r="AO255">
        <f>IF($AN255=1,SUMPRODUCT(--($AR$2:$AR$4001&lt;$AR255))+1,"")</f>
        <v/>
      </c>
      <c r="AP255">
        <f>IF($E255="","",IF(OR($U255=TRUE(),$U255="TRUE"),1,0))</f>
        <v/>
      </c>
      <c r="AQ255">
        <f>IF($E255="","",IF($AA255="Yes",1,0))</f>
        <v/>
      </c>
      <c r="AR255">
        <f>IF($AN255=1,IFERROR(VALUE(MID($E255,2,20)),1000000000)+ROW()/100000,"")</f>
        <v/>
      </c>
    </row>
    <row r="256">
      <c r="G256" s="11" t="n"/>
      <c r="Q256" s="7">
        <f>IF($E256="","",P256*Y256/100)</f>
        <v/>
      </c>
      <c r="R256" s="7" t="n"/>
      <c r="X256" s="7" t="n"/>
      <c r="Y256" s="7" t="n"/>
      <c r="AB256">
        <f>IF($E256="","",IF($AQ256=1,0,IF($AP256=1,Settings!$C$6,Settings!$C$7))*100)</f>
        <v/>
      </c>
      <c r="AC256" s="7">
        <f>IF($E256="","",Y256*AB256/100)</f>
        <v/>
      </c>
      <c r="AD256" s="7">
        <f>IF($E256="","",Y256-AC256)</f>
        <v/>
      </c>
      <c r="AE256" s="7">
        <f>IF($E256="","",AD256-Q256)</f>
        <v/>
      </c>
      <c r="AI256" s="7" t="n"/>
      <c r="AL256" s="11" t="n"/>
      <c r="AN256">
        <f>IF($E256="","",IF(COUNTIF($E$2:$E256,$E256)=1,1,0))</f>
        <v/>
      </c>
      <c r="AO256">
        <f>IF($AN256=1,SUMPRODUCT(--($AR$2:$AR$4001&lt;$AR256))+1,"")</f>
        <v/>
      </c>
      <c r="AP256">
        <f>IF($E256="","",IF(OR($U256=TRUE(),$U256="TRUE"),1,0))</f>
        <v/>
      </c>
      <c r="AQ256">
        <f>IF($E256="","",IF($AA256="Yes",1,0))</f>
        <v/>
      </c>
      <c r="AR256">
        <f>IF($AN256=1,IFERROR(VALUE(MID($E256,2,20)),1000000000)+ROW()/100000,"")</f>
        <v/>
      </c>
    </row>
    <row r="257">
      <c r="G257" s="11" t="n"/>
      <c r="Q257" s="7">
        <f>IF($E257="","",P257*Y257/100)</f>
        <v/>
      </c>
      <c r="R257" s="7" t="n"/>
      <c r="X257" s="7" t="n"/>
      <c r="Y257" s="7" t="n"/>
      <c r="AB257">
        <f>IF($E257="","",IF($AQ257=1,0,IF($AP257=1,Settings!$C$6,Settings!$C$7))*100)</f>
        <v/>
      </c>
      <c r="AC257" s="7">
        <f>IF($E257="","",Y257*AB257/100)</f>
        <v/>
      </c>
      <c r="AD257" s="7">
        <f>IF($E257="","",Y257-AC257)</f>
        <v/>
      </c>
      <c r="AE257" s="7">
        <f>IF($E257="","",AD257-Q257)</f>
        <v/>
      </c>
      <c r="AI257" s="7" t="n"/>
      <c r="AL257" s="11" t="n"/>
      <c r="AN257">
        <f>IF($E257="","",IF(COUNTIF($E$2:$E257,$E257)=1,1,0))</f>
        <v/>
      </c>
      <c r="AO257">
        <f>IF($AN257=1,SUMPRODUCT(--($AR$2:$AR$4001&lt;$AR257))+1,"")</f>
        <v/>
      </c>
      <c r="AP257">
        <f>IF($E257="","",IF(OR($U257=TRUE(),$U257="TRUE"),1,0))</f>
        <v/>
      </c>
      <c r="AQ257">
        <f>IF($E257="","",IF($AA257="Yes",1,0))</f>
        <v/>
      </c>
      <c r="AR257">
        <f>IF($AN257=1,IFERROR(VALUE(MID($E257,2,20)),1000000000)+ROW()/100000,"")</f>
        <v/>
      </c>
    </row>
    <row r="258">
      <c r="G258" s="11" t="n"/>
      <c r="Q258" s="7">
        <f>IF($E258="","",P258*Y258/100)</f>
        <v/>
      </c>
      <c r="R258" s="7" t="n"/>
      <c r="X258" s="7" t="n"/>
      <c r="Y258" s="7" t="n"/>
      <c r="AB258">
        <f>IF($E258="","",IF($AQ258=1,0,IF($AP258=1,Settings!$C$6,Settings!$C$7))*100)</f>
        <v/>
      </c>
      <c r="AC258" s="7">
        <f>IF($E258="","",Y258*AB258/100)</f>
        <v/>
      </c>
      <c r="AD258" s="7">
        <f>IF($E258="","",Y258-AC258)</f>
        <v/>
      </c>
      <c r="AE258" s="7">
        <f>IF($E258="","",AD258-Q258)</f>
        <v/>
      </c>
      <c r="AI258" s="7" t="n"/>
      <c r="AL258" s="11" t="n"/>
      <c r="AN258">
        <f>IF($E258="","",IF(COUNTIF($E$2:$E258,$E258)=1,1,0))</f>
        <v/>
      </c>
      <c r="AO258">
        <f>IF($AN258=1,SUMPRODUCT(--($AR$2:$AR$4001&lt;$AR258))+1,"")</f>
        <v/>
      </c>
      <c r="AP258">
        <f>IF($E258="","",IF(OR($U258=TRUE(),$U258="TRUE"),1,0))</f>
        <v/>
      </c>
      <c r="AQ258">
        <f>IF($E258="","",IF($AA258="Yes",1,0))</f>
        <v/>
      </c>
      <c r="AR258">
        <f>IF($AN258=1,IFERROR(VALUE(MID($E258,2,20)),1000000000)+ROW()/100000,"")</f>
        <v/>
      </c>
    </row>
    <row r="259">
      <c r="G259" s="11" t="n"/>
      <c r="Q259" s="7">
        <f>IF($E259="","",P259*Y259/100)</f>
        <v/>
      </c>
      <c r="R259" s="7" t="n"/>
      <c r="X259" s="7" t="n"/>
      <c r="Y259" s="7" t="n"/>
      <c r="AB259">
        <f>IF($E259="","",IF($AQ259=1,0,IF($AP259=1,Settings!$C$6,Settings!$C$7))*100)</f>
        <v/>
      </c>
      <c r="AC259" s="7">
        <f>IF($E259="","",Y259*AB259/100)</f>
        <v/>
      </c>
      <c r="AD259" s="7">
        <f>IF($E259="","",Y259-AC259)</f>
        <v/>
      </c>
      <c r="AE259" s="7">
        <f>IF($E259="","",AD259-Q259)</f>
        <v/>
      </c>
      <c r="AI259" s="7" t="n"/>
      <c r="AL259" s="11" t="n"/>
      <c r="AN259">
        <f>IF($E259="","",IF(COUNTIF($E$2:$E259,$E259)=1,1,0))</f>
        <v/>
      </c>
      <c r="AO259">
        <f>IF($AN259=1,SUMPRODUCT(--($AR$2:$AR$4001&lt;$AR259))+1,"")</f>
        <v/>
      </c>
      <c r="AP259">
        <f>IF($E259="","",IF(OR($U259=TRUE(),$U259="TRUE"),1,0))</f>
        <v/>
      </c>
      <c r="AQ259">
        <f>IF($E259="","",IF($AA259="Yes",1,0))</f>
        <v/>
      </c>
      <c r="AR259">
        <f>IF($AN259=1,IFERROR(VALUE(MID($E259,2,20)),1000000000)+ROW()/100000,"")</f>
        <v/>
      </c>
    </row>
    <row r="260">
      <c r="G260" s="11" t="n"/>
      <c r="Q260" s="7">
        <f>IF($E260="","",P260*Y260/100)</f>
        <v/>
      </c>
      <c r="R260" s="7" t="n"/>
      <c r="X260" s="7" t="n"/>
      <c r="Y260" s="7" t="n"/>
      <c r="AB260">
        <f>IF($E260="","",IF($AQ260=1,0,IF($AP260=1,Settings!$C$6,Settings!$C$7))*100)</f>
        <v/>
      </c>
      <c r="AC260" s="7">
        <f>IF($E260="","",Y260*AB260/100)</f>
        <v/>
      </c>
      <c r="AD260" s="7">
        <f>IF($E260="","",Y260-AC260)</f>
        <v/>
      </c>
      <c r="AE260" s="7">
        <f>IF($E260="","",AD260-Q260)</f>
        <v/>
      </c>
      <c r="AI260" s="7" t="n"/>
      <c r="AL260" s="11" t="n"/>
      <c r="AN260">
        <f>IF($E260="","",IF(COUNTIF($E$2:$E260,$E260)=1,1,0))</f>
        <v/>
      </c>
      <c r="AO260">
        <f>IF($AN260=1,SUMPRODUCT(--($AR$2:$AR$4001&lt;$AR260))+1,"")</f>
        <v/>
      </c>
      <c r="AP260">
        <f>IF($E260="","",IF(OR($U260=TRUE(),$U260="TRUE"),1,0))</f>
        <v/>
      </c>
      <c r="AQ260">
        <f>IF($E260="","",IF($AA260="Yes",1,0))</f>
        <v/>
      </c>
      <c r="AR260">
        <f>IF($AN260=1,IFERROR(VALUE(MID($E260,2,20)),1000000000)+ROW()/100000,"")</f>
        <v/>
      </c>
    </row>
    <row r="261">
      <c r="G261" s="11" t="n"/>
      <c r="Q261" s="7">
        <f>IF($E261="","",P261*Y261/100)</f>
        <v/>
      </c>
      <c r="R261" s="7" t="n"/>
      <c r="X261" s="7" t="n"/>
      <c r="Y261" s="7" t="n"/>
      <c r="AB261">
        <f>IF($E261="","",IF($AQ261=1,0,IF($AP261=1,Settings!$C$6,Settings!$C$7))*100)</f>
        <v/>
      </c>
      <c r="AC261" s="7">
        <f>IF($E261="","",Y261*AB261/100)</f>
        <v/>
      </c>
      <c r="AD261" s="7">
        <f>IF($E261="","",Y261-AC261)</f>
        <v/>
      </c>
      <c r="AE261" s="7">
        <f>IF($E261="","",AD261-Q261)</f>
        <v/>
      </c>
      <c r="AI261" s="7" t="n"/>
      <c r="AL261" s="11" t="n"/>
      <c r="AN261">
        <f>IF($E261="","",IF(COUNTIF($E$2:$E261,$E261)=1,1,0))</f>
        <v/>
      </c>
      <c r="AO261">
        <f>IF($AN261=1,SUMPRODUCT(--($AR$2:$AR$4001&lt;$AR261))+1,"")</f>
        <v/>
      </c>
      <c r="AP261">
        <f>IF($E261="","",IF(OR($U261=TRUE(),$U261="TRUE"),1,0))</f>
        <v/>
      </c>
      <c r="AQ261">
        <f>IF($E261="","",IF($AA261="Yes",1,0))</f>
        <v/>
      </c>
      <c r="AR261">
        <f>IF($AN261=1,IFERROR(VALUE(MID($E261,2,20)),1000000000)+ROW()/100000,"")</f>
        <v/>
      </c>
    </row>
    <row r="262">
      <c r="G262" s="11" t="n"/>
      <c r="Q262" s="7">
        <f>IF($E262="","",P262*Y262/100)</f>
        <v/>
      </c>
      <c r="R262" s="7" t="n"/>
      <c r="X262" s="7" t="n"/>
      <c r="Y262" s="7" t="n"/>
      <c r="AB262">
        <f>IF($E262="","",IF($AQ262=1,0,IF($AP262=1,Settings!$C$6,Settings!$C$7))*100)</f>
        <v/>
      </c>
      <c r="AC262" s="7">
        <f>IF($E262="","",Y262*AB262/100)</f>
        <v/>
      </c>
      <c r="AD262" s="7">
        <f>IF($E262="","",Y262-AC262)</f>
        <v/>
      </c>
      <c r="AE262" s="7">
        <f>IF($E262="","",AD262-Q262)</f>
        <v/>
      </c>
      <c r="AI262" s="7" t="n"/>
      <c r="AL262" s="11" t="n"/>
      <c r="AN262">
        <f>IF($E262="","",IF(COUNTIF($E$2:$E262,$E262)=1,1,0))</f>
        <v/>
      </c>
      <c r="AO262">
        <f>IF($AN262=1,SUMPRODUCT(--($AR$2:$AR$4001&lt;$AR262))+1,"")</f>
        <v/>
      </c>
      <c r="AP262">
        <f>IF($E262="","",IF(OR($U262=TRUE(),$U262="TRUE"),1,0))</f>
        <v/>
      </c>
      <c r="AQ262">
        <f>IF($E262="","",IF($AA262="Yes",1,0))</f>
        <v/>
      </c>
      <c r="AR262">
        <f>IF($AN262=1,IFERROR(VALUE(MID($E262,2,20)),1000000000)+ROW()/100000,"")</f>
        <v/>
      </c>
    </row>
    <row r="263">
      <c r="G263" s="11" t="n"/>
      <c r="Q263" s="7">
        <f>IF($E263="","",P263*Y263/100)</f>
        <v/>
      </c>
      <c r="R263" s="7" t="n"/>
      <c r="X263" s="7" t="n"/>
      <c r="Y263" s="7" t="n"/>
      <c r="AB263">
        <f>IF($E263="","",IF($AQ263=1,0,IF($AP263=1,Settings!$C$6,Settings!$C$7))*100)</f>
        <v/>
      </c>
      <c r="AC263" s="7">
        <f>IF($E263="","",Y263*AB263/100)</f>
        <v/>
      </c>
      <c r="AD263" s="7">
        <f>IF($E263="","",Y263-AC263)</f>
        <v/>
      </c>
      <c r="AE263" s="7">
        <f>IF($E263="","",AD263-Q263)</f>
        <v/>
      </c>
      <c r="AI263" s="7" t="n"/>
      <c r="AL263" s="11" t="n"/>
      <c r="AN263">
        <f>IF($E263="","",IF(COUNTIF($E$2:$E263,$E263)=1,1,0))</f>
        <v/>
      </c>
      <c r="AO263">
        <f>IF($AN263=1,SUMPRODUCT(--($AR$2:$AR$4001&lt;$AR263))+1,"")</f>
        <v/>
      </c>
      <c r="AP263">
        <f>IF($E263="","",IF(OR($U263=TRUE(),$U263="TRUE"),1,0))</f>
        <v/>
      </c>
      <c r="AQ263">
        <f>IF($E263="","",IF($AA263="Yes",1,0))</f>
        <v/>
      </c>
      <c r="AR263">
        <f>IF($AN263=1,IFERROR(VALUE(MID($E263,2,20)),1000000000)+ROW()/100000,"")</f>
        <v/>
      </c>
    </row>
    <row r="264">
      <c r="G264" s="11" t="n"/>
      <c r="Q264" s="7">
        <f>IF($E264="","",P264*Y264/100)</f>
        <v/>
      </c>
      <c r="R264" s="7" t="n"/>
      <c r="X264" s="7" t="n"/>
      <c r="Y264" s="7" t="n"/>
      <c r="AB264">
        <f>IF($E264="","",IF($AQ264=1,0,IF($AP264=1,Settings!$C$6,Settings!$C$7))*100)</f>
        <v/>
      </c>
      <c r="AC264" s="7">
        <f>IF($E264="","",Y264*AB264/100)</f>
        <v/>
      </c>
      <c r="AD264" s="7">
        <f>IF($E264="","",Y264-AC264)</f>
        <v/>
      </c>
      <c r="AE264" s="7">
        <f>IF($E264="","",AD264-Q264)</f>
        <v/>
      </c>
      <c r="AI264" s="7" t="n"/>
      <c r="AL264" s="11" t="n"/>
      <c r="AN264">
        <f>IF($E264="","",IF(COUNTIF($E$2:$E264,$E264)=1,1,0))</f>
        <v/>
      </c>
      <c r="AO264">
        <f>IF($AN264=1,SUMPRODUCT(--($AR$2:$AR$4001&lt;$AR264))+1,"")</f>
        <v/>
      </c>
      <c r="AP264">
        <f>IF($E264="","",IF(OR($U264=TRUE(),$U264="TRUE"),1,0))</f>
        <v/>
      </c>
      <c r="AQ264">
        <f>IF($E264="","",IF($AA264="Yes",1,0))</f>
        <v/>
      </c>
      <c r="AR264">
        <f>IF($AN264=1,IFERROR(VALUE(MID($E264,2,20)),1000000000)+ROW()/100000,"")</f>
        <v/>
      </c>
    </row>
    <row r="265">
      <c r="G265" s="11" t="n"/>
      <c r="Q265" s="7">
        <f>IF($E265="","",P265*Y265/100)</f>
        <v/>
      </c>
      <c r="R265" s="7" t="n"/>
      <c r="X265" s="7" t="n"/>
      <c r="Y265" s="7" t="n"/>
      <c r="AB265">
        <f>IF($E265="","",IF($AQ265=1,0,IF($AP265=1,Settings!$C$6,Settings!$C$7))*100)</f>
        <v/>
      </c>
      <c r="AC265" s="7">
        <f>IF($E265="","",Y265*AB265/100)</f>
        <v/>
      </c>
      <c r="AD265" s="7">
        <f>IF($E265="","",Y265-AC265)</f>
        <v/>
      </c>
      <c r="AE265" s="7">
        <f>IF($E265="","",AD265-Q265)</f>
        <v/>
      </c>
      <c r="AI265" s="7" t="n"/>
      <c r="AL265" s="11" t="n"/>
      <c r="AN265">
        <f>IF($E265="","",IF(COUNTIF($E$2:$E265,$E265)=1,1,0))</f>
        <v/>
      </c>
      <c r="AO265">
        <f>IF($AN265=1,SUMPRODUCT(--($AR$2:$AR$4001&lt;$AR265))+1,"")</f>
        <v/>
      </c>
      <c r="AP265">
        <f>IF($E265="","",IF(OR($U265=TRUE(),$U265="TRUE"),1,0))</f>
        <v/>
      </c>
      <c r="AQ265">
        <f>IF($E265="","",IF($AA265="Yes",1,0))</f>
        <v/>
      </c>
      <c r="AR265">
        <f>IF($AN265=1,IFERROR(VALUE(MID($E265,2,20)),1000000000)+ROW()/100000,"")</f>
        <v/>
      </c>
    </row>
    <row r="266">
      <c r="G266" s="11" t="n"/>
      <c r="Q266" s="7">
        <f>IF($E266="","",P266*Y266/100)</f>
        <v/>
      </c>
      <c r="R266" s="7" t="n"/>
      <c r="X266" s="7" t="n"/>
      <c r="Y266" s="7" t="n"/>
      <c r="AB266">
        <f>IF($E266="","",IF($AQ266=1,0,IF($AP266=1,Settings!$C$6,Settings!$C$7))*100)</f>
        <v/>
      </c>
      <c r="AC266" s="7">
        <f>IF($E266="","",Y266*AB266/100)</f>
        <v/>
      </c>
      <c r="AD266" s="7">
        <f>IF($E266="","",Y266-AC266)</f>
        <v/>
      </c>
      <c r="AE266" s="7">
        <f>IF($E266="","",AD266-Q266)</f>
        <v/>
      </c>
      <c r="AI266" s="7" t="n"/>
      <c r="AL266" s="11" t="n"/>
      <c r="AN266">
        <f>IF($E266="","",IF(COUNTIF($E$2:$E266,$E266)=1,1,0))</f>
        <v/>
      </c>
      <c r="AO266">
        <f>IF($AN266=1,SUMPRODUCT(--($AR$2:$AR$4001&lt;$AR266))+1,"")</f>
        <v/>
      </c>
      <c r="AP266">
        <f>IF($E266="","",IF(OR($U266=TRUE(),$U266="TRUE"),1,0))</f>
        <v/>
      </c>
      <c r="AQ266">
        <f>IF($E266="","",IF($AA266="Yes",1,0))</f>
        <v/>
      </c>
      <c r="AR266">
        <f>IF($AN266=1,IFERROR(VALUE(MID($E266,2,20)),1000000000)+ROW()/100000,"")</f>
        <v/>
      </c>
    </row>
    <row r="267">
      <c r="G267" s="11" t="n"/>
      <c r="Q267" s="7">
        <f>IF($E267="","",P267*Y267/100)</f>
        <v/>
      </c>
      <c r="R267" s="7" t="n"/>
      <c r="X267" s="7" t="n"/>
      <c r="Y267" s="7" t="n"/>
      <c r="AB267">
        <f>IF($E267="","",IF($AQ267=1,0,IF($AP267=1,Settings!$C$6,Settings!$C$7))*100)</f>
        <v/>
      </c>
      <c r="AC267" s="7">
        <f>IF($E267="","",Y267*AB267/100)</f>
        <v/>
      </c>
      <c r="AD267" s="7">
        <f>IF($E267="","",Y267-AC267)</f>
        <v/>
      </c>
      <c r="AE267" s="7">
        <f>IF($E267="","",AD267-Q267)</f>
        <v/>
      </c>
      <c r="AI267" s="7" t="n"/>
      <c r="AL267" s="11" t="n"/>
      <c r="AN267">
        <f>IF($E267="","",IF(COUNTIF($E$2:$E267,$E267)=1,1,0))</f>
        <v/>
      </c>
      <c r="AO267">
        <f>IF($AN267=1,SUMPRODUCT(--($AR$2:$AR$4001&lt;$AR267))+1,"")</f>
        <v/>
      </c>
      <c r="AP267">
        <f>IF($E267="","",IF(OR($U267=TRUE(),$U267="TRUE"),1,0))</f>
        <v/>
      </c>
      <c r="AQ267">
        <f>IF($E267="","",IF($AA267="Yes",1,0))</f>
        <v/>
      </c>
      <c r="AR267">
        <f>IF($AN267=1,IFERROR(VALUE(MID($E267,2,20)),1000000000)+ROW()/100000,"")</f>
        <v/>
      </c>
    </row>
    <row r="268">
      <c r="G268" s="11" t="n"/>
      <c r="Q268" s="7">
        <f>IF($E268="","",P268*Y268/100)</f>
        <v/>
      </c>
      <c r="R268" s="7" t="n"/>
      <c r="X268" s="7" t="n"/>
      <c r="Y268" s="7" t="n"/>
      <c r="AB268">
        <f>IF($E268="","",IF($AQ268=1,0,IF($AP268=1,Settings!$C$6,Settings!$C$7))*100)</f>
        <v/>
      </c>
      <c r="AC268" s="7">
        <f>IF($E268="","",Y268*AB268/100)</f>
        <v/>
      </c>
      <c r="AD268" s="7">
        <f>IF($E268="","",Y268-AC268)</f>
        <v/>
      </c>
      <c r="AE268" s="7">
        <f>IF($E268="","",AD268-Q268)</f>
        <v/>
      </c>
      <c r="AI268" s="7" t="n"/>
      <c r="AL268" s="11" t="n"/>
      <c r="AN268">
        <f>IF($E268="","",IF(COUNTIF($E$2:$E268,$E268)=1,1,0))</f>
        <v/>
      </c>
      <c r="AO268">
        <f>IF($AN268=1,SUMPRODUCT(--($AR$2:$AR$4001&lt;$AR268))+1,"")</f>
        <v/>
      </c>
      <c r="AP268">
        <f>IF($E268="","",IF(OR($U268=TRUE(),$U268="TRUE"),1,0))</f>
        <v/>
      </c>
      <c r="AQ268">
        <f>IF($E268="","",IF($AA268="Yes",1,0))</f>
        <v/>
      </c>
      <c r="AR268">
        <f>IF($AN268=1,IFERROR(VALUE(MID($E268,2,20)),1000000000)+ROW()/100000,"")</f>
        <v/>
      </c>
    </row>
    <row r="269">
      <c r="G269" s="11" t="n"/>
      <c r="Q269" s="7">
        <f>IF($E269="","",P269*Y269/100)</f>
        <v/>
      </c>
      <c r="R269" s="7" t="n"/>
      <c r="X269" s="7" t="n"/>
      <c r="Y269" s="7" t="n"/>
      <c r="AB269">
        <f>IF($E269="","",IF($AQ269=1,0,IF($AP269=1,Settings!$C$6,Settings!$C$7))*100)</f>
        <v/>
      </c>
      <c r="AC269" s="7">
        <f>IF($E269="","",Y269*AB269/100)</f>
        <v/>
      </c>
      <c r="AD269" s="7">
        <f>IF($E269="","",Y269-AC269)</f>
        <v/>
      </c>
      <c r="AE269" s="7">
        <f>IF($E269="","",AD269-Q269)</f>
        <v/>
      </c>
      <c r="AI269" s="7" t="n"/>
      <c r="AL269" s="11" t="n"/>
      <c r="AN269">
        <f>IF($E269="","",IF(COUNTIF($E$2:$E269,$E269)=1,1,0))</f>
        <v/>
      </c>
      <c r="AO269">
        <f>IF($AN269=1,SUMPRODUCT(--($AR$2:$AR$4001&lt;$AR269))+1,"")</f>
        <v/>
      </c>
      <c r="AP269">
        <f>IF($E269="","",IF(OR($U269=TRUE(),$U269="TRUE"),1,0))</f>
        <v/>
      </c>
      <c r="AQ269">
        <f>IF($E269="","",IF($AA269="Yes",1,0))</f>
        <v/>
      </c>
      <c r="AR269">
        <f>IF($AN269=1,IFERROR(VALUE(MID($E269,2,20)),1000000000)+ROW()/100000,"")</f>
        <v/>
      </c>
    </row>
    <row r="270">
      <c r="G270" s="11" t="n"/>
      <c r="Q270" s="7">
        <f>IF($E270="","",P270*Y270/100)</f>
        <v/>
      </c>
      <c r="R270" s="7" t="n"/>
      <c r="X270" s="7" t="n"/>
      <c r="Y270" s="7" t="n"/>
      <c r="AB270">
        <f>IF($E270="","",IF($AQ270=1,0,IF($AP270=1,Settings!$C$6,Settings!$C$7))*100)</f>
        <v/>
      </c>
      <c r="AC270" s="7">
        <f>IF($E270="","",Y270*AB270/100)</f>
        <v/>
      </c>
      <c r="AD270" s="7">
        <f>IF($E270="","",Y270-AC270)</f>
        <v/>
      </c>
      <c r="AE270" s="7">
        <f>IF($E270="","",AD270-Q270)</f>
        <v/>
      </c>
      <c r="AI270" s="7" t="n"/>
      <c r="AL270" s="11" t="n"/>
      <c r="AN270">
        <f>IF($E270="","",IF(COUNTIF($E$2:$E270,$E270)=1,1,0))</f>
        <v/>
      </c>
      <c r="AO270">
        <f>IF($AN270=1,SUMPRODUCT(--($AR$2:$AR$4001&lt;$AR270))+1,"")</f>
        <v/>
      </c>
      <c r="AP270">
        <f>IF($E270="","",IF(OR($U270=TRUE(),$U270="TRUE"),1,0))</f>
        <v/>
      </c>
      <c r="AQ270">
        <f>IF($E270="","",IF($AA270="Yes",1,0))</f>
        <v/>
      </c>
      <c r="AR270">
        <f>IF($AN270=1,IFERROR(VALUE(MID($E270,2,20)),1000000000)+ROW()/100000,"")</f>
        <v/>
      </c>
    </row>
    <row r="271">
      <c r="G271" s="11" t="n"/>
      <c r="Q271" s="7">
        <f>IF($E271="","",P271*Y271/100)</f>
        <v/>
      </c>
      <c r="R271" s="7" t="n"/>
      <c r="X271" s="7" t="n"/>
      <c r="Y271" s="7" t="n"/>
      <c r="AB271">
        <f>IF($E271="","",IF($AQ271=1,0,IF($AP271=1,Settings!$C$6,Settings!$C$7))*100)</f>
        <v/>
      </c>
      <c r="AC271" s="7">
        <f>IF($E271="","",Y271*AB271/100)</f>
        <v/>
      </c>
      <c r="AD271" s="7">
        <f>IF($E271="","",Y271-AC271)</f>
        <v/>
      </c>
      <c r="AE271" s="7">
        <f>IF($E271="","",AD271-Q271)</f>
        <v/>
      </c>
      <c r="AI271" s="7" t="n"/>
      <c r="AL271" s="11" t="n"/>
      <c r="AN271">
        <f>IF($E271="","",IF(COUNTIF($E$2:$E271,$E271)=1,1,0))</f>
        <v/>
      </c>
      <c r="AO271">
        <f>IF($AN271=1,SUMPRODUCT(--($AR$2:$AR$4001&lt;$AR271))+1,"")</f>
        <v/>
      </c>
      <c r="AP271">
        <f>IF($E271="","",IF(OR($U271=TRUE(),$U271="TRUE"),1,0))</f>
        <v/>
      </c>
      <c r="AQ271">
        <f>IF($E271="","",IF($AA271="Yes",1,0))</f>
        <v/>
      </c>
      <c r="AR271">
        <f>IF($AN271=1,IFERROR(VALUE(MID($E271,2,20)),1000000000)+ROW()/100000,"")</f>
        <v/>
      </c>
    </row>
    <row r="272">
      <c r="G272" s="11" t="n"/>
      <c r="Q272" s="7">
        <f>IF($E272="","",P272*Y272/100)</f>
        <v/>
      </c>
      <c r="R272" s="7" t="n"/>
      <c r="X272" s="7" t="n"/>
      <c r="Y272" s="7" t="n"/>
      <c r="AB272">
        <f>IF($E272="","",IF($AQ272=1,0,IF($AP272=1,Settings!$C$6,Settings!$C$7))*100)</f>
        <v/>
      </c>
      <c r="AC272" s="7">
        <f>IF($E272="","",Y272*AB272/100)</f>
        <v/>
      </c>
      <c r="AD272" s="7">
        <f>IF($E272="","",Y272-AC272)</f>
        <v/>
      </c>
      <c r="AE272" s="7">
        <f>IF($E272="","",AD272-Q272)</f>
        <v/>
      </c>
      <c r="AI272" s="7" t="n"/>
      <c r="AL272" s="11" t="n"/>
      <c r="AN272">
        <f>IF($E272="","",IF(COUNTIF($E$2:$E272,$E272)=1,1,0))</f>
        <v/>
      </c>
      <c r="AO272">
        <f>IF($AN272=1,SUMPRODUCT(--($AR$2:$AR$4001&lt;$AR272))+1,"")</f>
        <v/>
      </c>
      <c r="AP272">
        <f>IF($E272="","",IF(OR($U272=TRUE(),$U272="TRUE"),1,0))</f>
        <v/>
      </c>
      <c r="AQ272">
        <f>IF($E272="","",IF($AA272="Yes",1,0))</f>
        <v/>
      </c>
      <c r="AR272">
        <f>IF($AN272=1,IFERROR(VALUE(MID($E272,2,20)),1000000000)+ROW()/100000,"")</f>
        <v/>
      </c>
    </row>
    <row r="273">
      <c r="G273" s="11" t="n"/>
      <c r="Q273" s="7">
        <f>IF($E273="","",P273*Y273/100)</f>
        <v/>
      </c>
      <c r="R273" s="7" t="n"/>
      <c r="X273" s="7" t="n"/>
      <c r="Y273" s="7" t="n"/>
      <c r="AB273">
        <f>IF($E273="","",IF($AQ273=1,0,IF($AP273=1,Settings!$C$6,Settings!$C$7))*100)</f>
        <v/>
      </c>
      <c r="AC273" s="7">
        <f>IF($E273="","",Y273*AB273/100)</f>
        <v/>
      </c>
      <c r="AD273" s="7">
        <f>IF($E273="","",Y273-AC273)</f>
        <v/>
      </c>
      <c r="AE273" s="7">
        <f>IF($E273="","",AD273-Q273)</f>
        <v/>
      </c>
      <c r="AI273" s="7" t="n"/>
      <c r="AL273" s="11" t="n"/>
      <c r="AN273">
        <f>IF($E273="","",IF(COUNTIF($E$2:$E273,$E273)=1,1,0))</f>
        <v/>
      </c>
      <c r="AO273">
        <f>IF($AN273=1,SUMPRODUCT(--($AR$2:$AR$4001&lt;$AR273))+1,"")</f>
        <v/>
      </c>
      <c r="AP273">
        <f>IF($E273="","",IF(OR($U273=TRUE(),$U273="TRUE"),1,0))</f>
        <v/>
      </c>
      <c r="AQ273">
        <f>IF($E273="","",IF($AA273="Yes",1,0))</f>
        <v/>
      </c>
      <c r="AR273">
        <f>IF($AN273=1,IFERROR(VALUE(MID($E273,2,20)),1000000000)+ROW()/100000,"")</f>
        <v/>
      </c>
    </row>
    <row r="274">
      <c r="G274" s="11" t="n"/>
      <c r="Q274" s="7">
        <f>IF($E274="","",P274*Y274/100)</f>
        <v/>
      </c>
      <c r="R274" s="7" t="n"/>
      <c r="X274" s="7" t="n"/>
      <c r="Y274" s="7" t="n"/>
      <c r="AB274">
        <f>IF($E274="","",IF($AQ274=1,0,IF($AP274=1,Settings!$C$6,Settings!$C$7))*100)</f>
        <v/>
      </c>
      <c r="AC274" s="7">
        <f>IF($E274="","",Y274*AB274/100)</f>
        <v/>
      </c>
      <c r="AD274" s="7">
        <f>IF($E274="","",Y274-AC274)</f>
        <v/>
      </c>
      <c r="AE274" s="7">
        <f>IF($E274="","",AD274-Q274)</f>
        <v/>
      </c>
      <c r="AI274" s="7" t="n"/>
      <c r="AL274" s="11" t="n"/>
      <c r="AN274">
        <f>IF($E274="","",IF(COUNTIF($E$2:$E274,$E274)=1,1,0))</f>
        <v/>
      </c>
      <c r="AO274">
        <f>IF($AN274=1,SUMPRODUCT(--($AR$2:$AR$4001&lt;$AR274))+1,"")</f>
        <v/>
      </c>
      <c r="AP274">
        <f>IF($E274="","",IF(OR($U274=TRUE(),$U274="TRUE"),1,0))</f>
        <v/>
      </c>
      <c r="AQ274">
        <f>IF($E274="","",IF($AA274="Yes",1,0))</f>
        <v/>
      </c>
      <c r="AR274">
        <f>IF($AN274=1,IFERROR(VALUE(MID($E274,2,20)),1000000000)+ROW()/100000,"")</f>
        <v/>
      </c>
    </row>
    <row r="275">
      <c r="G275" s="11" t="n"/>
      <c r="Q275" s="7">
        <f>IF($E275="","",P275*Y275/100)</f>
        <v/>
      </c>
      <c r="R275" s="7" t="n"/>
      <c r="X275" s="7" t="n"/>
      <c r="Y275" s="7" t="n"/>
      <c r="AB275">
        <f>IF($E275="","",IF($AQ275=1,0,IF($AP275=1,Settings!$C$6,Settings!$C$7))*100)</f>
        <v/>
      </c>
      <c r="AC275" s="7">
        <f>IF($E275="","",Y275*AB275/100)</f>
        <v/>
      </c>
      <c r="AD275" s="7">
        <f>IF($E275="","",Y275-AC275)</f>
        <v/>
      </c>
      <c r="AE275" s="7">
        <f>IF($E275="","",AD275-Q275)</f>
        <v/>
      </c>
      <c r="AI275" s="7" t="n"/>
      <c r="AL275" s="11" t="n"/>
      <c r="AN275">
        <f>IF($E275="","",IF(COUNTIF($E$2:$E275,$E275)=1,1,0))</f>
        <v/>
      </c>
      <c r="AO275">
        <f>IF($AN275=1,SUMPRODUCT(--($AR$2:$AR$4001&lt;$AR275))+1,"")</f>
        <v/>
      </c>
      <c r="AP275">
        <f>IF($E275="","",IF(OR($U275=TRUE(),$U275="TRUE"),1,0))</f>
        <v/>
      </c>
      <c r="AQ275">
        <f>IF($E275="","",IF($AA275="Yes",1,0))</f>
        <v/>
      </c>
      <c r="AR275">
        <f>IF($AN275=1,IFERROR(VALUE(MID($E275,2,20)),1000000000)+ROW()/100000,"")</f>
        <v/>
      </c>
    </row>
    <row r="276">
      <c r="G276" s="11" t="n"/>
      <c r="Q276" s="7">
        <f>IF($E276="","",P276*Y276/100)</f>
        <v/>
      </c>
      <c r="R276" s="7" t="n"/>
      <c r="X276" s="7" t="n"/>
      <c r="Y276" s="7" t="n"/>
      <c r="AB276">
        <f>IF($E276="","",IF($AQ276=1,0,IF($AP276=1,Settings!$C$6,Settings!$C$7))*100)</f>
        <v/>
      </c>
      <c r="AC276" s="7">
        <f>IF($E276="","",Y276*AB276/100)</f>
        <v/>
      </c>
      <c r="AD276" s="7">
        <f>IF($E276="","",Y276-AC276)</f>
        <v/>
      </c>
      <c r="AE276" s="7">
        <f>IF($E276="","",AD276-Q276)</f>
        <v/>
      </c>
      <c r="AI276" s="7" t="n"/>
      <c r="AL276" s="11" t="n"/>
      <c r="AN276">
        <f>IF($E276="","",IF(COUNTIF($E$2:$E276,$E276)=1,1,0))</f>
        <v/>
      </c>
      <c r="AO276">
        <f>IF($AN276=1,SUMPRODUCT(--($AR$2:$AR$4001&lt;$AR276))+1,"")</f>
        <v/>
      </c>
      <c r="AP276">
        <f>IF($E276="","",IF(OR($U276=TRUE(),$U276="TRUE"),1,0))</f>
        <v/>
      </c>
      <c r="AQ276">
        <f>IF($E276="","",IF($AA276="Yes",1,0))</f>
        <v/>
      </c>
      <c r="AR276">
        <f>IF($AN276=1,IFERROR(VALUE(MID($E276,2,20)),1000000000)+ROW()/100000,"")</f>
        <v/>
      </c>
    </row>
    <row r="277">
      <c r="G277" s="11" t="n"/>
      <c r="Q277" s="7">
        <f>IF($E277="","",P277*Y277/100)</f>
        <v/>
      </c>
      <c r="R277" s="7" t="n"/>
      <c r="X277" s="7" t="n"/>
      <c r="Y277" s="7" t="n"/>
      <c r="AB277">
        <f>IF($E277="","",IF($AQ277=1,0,IF($AP277=1,Settings!$C$6,Settings!$C$7))*100)</f>
        <v/>
      </c>
      <c r="AC277" s="7">
        <f>IF($E277="","",Y277*AB277/100)</f>
        <v/>
      </c>
      <c r="AD277" s="7">
        <f>IF($E277="","",Y277-AC277)</f>
        <v/>
      </c>
      <c r="AE277" s="7">
        <f>IF($E277="","",AD277-Q277)</f>
        <v/>
      </c>
      <c r="AI277" s="7" t="n"/>
      <c r="AL277" s="11" t="n"/>
      <c r="AN277">
        <f>IF($E277="","",IF(COUNTIF($E$2:$E277,$E277)=1,1,0))</f>
        <v/>
      </c>
      <c r="AO277">
        <f>IF($AN277=1,SUMPRODUCT(--($AR$2:$AR$4001&lt;$AR277))+1,"")</f>
        <v/>
      </c>
      <c r="AP277">
        <f>IF($E277="","",IF(OR($U277=TRUE(),$U277="TRUE"),1,0))</f>
        <v/>
      </c>
      <c r="AQ277">
        <f>IF($E277="","",IF($AA277="Yes",1,0))</f>
        <v/>
      </c>
      <c r="AR277">
        <f>IF($AN277=1,IFERROR(VALUE(MID($E277,2,20)),1000000000)+ROW()/100000,"")</f>
        <v/>
      </c>
    </row>
    <row r="278">
      <c r="G278" s="11" t="n"/>
      <c r="Q278" s="7">
        <f>IF($E278="","",P278*Y278/100)</f>
        <v/>
      </c>
      <c r="R278" s="7" t="n"/>
      <c r="X278" s="7" t="n"/>
      <c r="Y278" s="7" t="n"/>
      <c r="AB278">
        <f>IF($E278="","",IF($AQ278=1,0,IF($AP278=1,Settings!$C$6,Settings!$C$7))*100)</f>
        <v/>
      </c>
      <c r="AC278" s="7">
        <f>IF($E278="","",Y278*AB278/100)</f>
        <v/>
      </c>
      <c r="AD278" s="7">
        <f>IF($E278="","",Y278-AC278)</f>
        <v/>
      </c>
      <c r="AE278" s="7">
        <f>IF($E278="","",AD278-Q278)</f>
        <v/>
      </c>
      <c r="AI278" s="7" t="n"/>
      <c r="AL278" s="11" t="n"/>
      <c r="AN278">
        <f>IF($E278="","",IF(COUNTIF($E$2:$E278,$E278)=1,1,0))</f>
        <v/>
      </c>
      <c r="AO278">
        <f>IF($AN278=1,SUMPRODUCT(--($AR$2:$AR$4001&lt;$AR278))+1,"")</f>
        <v/>
      </c>
      <c r="AP278">
        <f>IF($E278="","",IF(OR($U278=TRUE(),$U278="TRUE"),1,0))</f>
        <v/>
      </c>
      <c r="AQ278">
        <f>IF($E278="","",IF($AA278="Yes",1,0))</f>
        <v/>
      </c>
      <c r="AR278">
        <f>IF($AN278=1,IFERROR(VALUE(MID($E278,2,20)),1000000000)+ROW()/100000,"")</f>
        <v/>
      </c>
    </row>
    <row r="279">
      <c r="G279" s="11" t="n"/>
      <c r="Q279" s="7">
        <f>IF($E279="","",P279*Y279/100)</f>
        <v/>
      </c>
      <c r="R279" s="7" t="n"/>
      <c r="X279" s="7" t="n"/>
      <c r="Y279" s="7" t="n"/>
      <c r="AB279">
        <f>IF($E279="","",IF($AQ279=1,0,IF($AP279=1,Settings!$C$6,Settings!$C$7))*100)</f>
        <v/>
      </c>
      <c r="AC279" s="7">
        <f>IF($E279="","",Y279*AB279/100)</f>
        <v/>
      </c>
      <c r="AD279" s="7">
        <f>IF($E279="","",Y279-AC279)</f>
        <v/>
      </c>
      <c r="AE279" s="7">
        <f>IF($E279="","",AD279-Q279)</f>
        <v/>
      </c>
      <c r="AI279" s="7" t="n"/>
      <c r="AL279" s="11" t="n"/>
      <c r="AN279">
        <f>IF($E279="","",IF(COUNTIF($E$2:$E279,$E279)=1,1,0))</f>
        <v/>
      </c>
      <c r="AO279">
        <f>IF($AN279=1,SUMPRODUCT(--($AR$2:$AR$4001&lt;$AR279))+1,"")</f>
        <v/>
      </c>
      <c r="AP279">
        <f>IF($E279="","",IF(OR($U279=TRUE(),$U279="TRUE"),1,0))</f>
        <v/>
      </c>
      <c r="AQ279">
        <f>IF($E279="","",IF($AA279="Yes",1,0))</f>
        <v/>
      </c>
      <c r="AR279">
        <f>IF($AN279=1,IFERROR(VALUE(MID($E279,2,20)),1000000000)+ROW()/100000,"")</f>
        <v/>
      </c>
    </row>
    <row r="280">
      <c r="G280" s="11" t="n"/>
      <c r="Q280" s="7">
        <f>IF($E280="","",P280*Y280/100)</f>
        <v/>
      </c>
      <c r="R280" s="7" t="n"/>
      <c r="X280" s="7" t="n"/>
      <c r="Y280" s="7" t="n"/>
      <c r="AB280">
        <f>IF($E280="","",IF($AQ280=1,0,IF($AP280=1,Settings!$C$6,Settings!$C$7))*100)</f>
        <v/>
      </c>
      <c r="AC280" s="7">
        <f>IF($E280="","",Y280*AB280/100)</f>
        <v/>
      </c>
      <c r="AD280" s="7">
        <f>IF($E280="","",Y280-AC280)</f>
        <v/>
      </c>
      <c r="AE280" s="7">
        <f>IF($E280="","",AD280-Q280)</f>
        <v/>
      </c>
      <c r="AI280" s="7" t="n"/>
      <c r="AL280" s="11" t="n"/>
      <c r="AN280">
        <f>IF($E280="","",IF(COUNTIF($E$2:$E280,$E280)=1,1,0))</f>
        <v/>
      </c>
      <c r="AO280">
        <f>IF($AN280=1,SUMPRODUCT(--($AR$2:$AR$4001&lt;$AR280))+1,"")</f>
        <v/>
      </c>
      <c r="AP280">
        <f>IF($E280="","",IF(OR($U280=TRUE(),$U280="TRUE"),1,0))</f>
        <v/>
      </c>
      <c r="AQ280">
        <f>IF($E280="","",IF($AA280="Yes",1,0))</f>
        <v/>
      </c>
      <c r="AR280">
        <f>IF($AN280=1,IFERROR(VALUE(MID($E280,2,20)),1000000000)+ROW()/100000,"")</f>
        <v/>
      </c>
    </row>
    <row r="281">
      <c r="G281" s="11" t="n"/>
      <c r="Q281" s="7">
        <f>IF($E281="","",P281*Y281/100)</f>
        <v/>
      </c>
      <c r="R281" s="7" t="n"/>
      <c r="X281" s="7" t="n"/>
      <c r="Y281" s="7" t="n"/>
      <c r="AB281">
        <f>IF($E281="","",IF($AQ281=1,0,IF($AP281=1,Settings!$C$6,Settings!$C$7))*100)</f>
        <v/>
      </c>
      <c r="AC281" s="7">
        <f>IF($E281="","",Y281*AB281/100)</f>
        <v/>
      </c>
      <c r="AD281" s="7">
        <f>IF($E281="","",Y281-AC281)</f>
        <v/>
      </c>
      <c r="AE281" s="7">
        <f>IF($E281="","",AD281-Q281)</f>
        <v/>
      </c>
      <c r="AI281" s="7" t="n"/>
      <c r="AL281" s="11" t="n"/>
      <c r="AN281">
        <f>IF($E281="","",IF(COUNTIF($E$2:$E281,$E281)=1,1,0))</f>
        <v/>
      </c>
      <c r="AO281">
        <f>IF($AN281=1,SUMPRODUCT(--($AR$2:$AR$4001&lt;$AR281))+1,"")</f>
        <v/>
      </c>
      <c r="AP281">
        <f>IF($E281="","",IF(OR($U281=TRUE(),$U281="TRUE"),1,0))</f>
        <v/>
      </c>
      <c r="AQ281">
        <f>IF($E281="","",IF($AA281="Yes",1,0))</f>
        <v/>
      </c>
      <c r="AR281">
        <f>IF($AN281=1,IFERROR(VALUE(MID($E281,2,20)),1000000000)+ROW()/100000,"")</f>
        <v/>
      </c>
    </row>
    <row r="282">
      <c r="G282" s="11" t="n"/>
      <c r="Q282" s="7">
        <f>IF($E282="","",P282*Y282/100)</f>
        <v/>
      </c>
      <c r="R282" s="7" t="n"/>
      <c r="X282" s="7" t="n"/>
      <c r="Y282" s="7" t="n"/>
      <c r="AB282">
        <f>IF($E282="","",IF($AQ282=1,0,IF($AP282=1,Settings!$C$6,Settings!$C$7))*100)</f>
        <v/>
      </c>
      <c r="AC282" s="7">
        <f>IF($E282="","",Y282*AB282/100)</f>
        <v/>
      </c>
      <c r="AD282" s="7">
        <f>IF($E282="","",Y282-AC282)</f>
        <v/>
      </c>
      <c r="AE282" s="7">
        <f>IF($E282="","",AD282-Q282)</f>
        <v/>
      </c>
      <c r="AI282" s="7" t="n"/>
      <c r="AL282" s="11" t="n"/>
      <c r="AN282">
        <f>IF($E282="","",IF(COUNTIF($E$2:$E282,$E282)=1,1,0))</f>
        <v/>
      </c>
      <c r="AO282">
        <f>IF($AN282=1,SUMPRODUCT(--($AR$2:$AR$4001&lt;$AR282))+1,"")</f>
        <v/>
      </c>
      <c r="AP282">
        <f>IF($E282="","",IF(OR($U282=TRUE(),$U282="TRUE"),1,0))</f>
        <v/>
      </c>
      <c r="AQ282">
        <f>IF($E282="","",IF($AA282="Yes",1,0))</f>
        <v/>
      </c>
      <c r="AR282">
        <f>IF($AN282=1,IFERROR(VALUE(MID($E282,2,20)),1000000000)+ROW()/100000,"")</f>
        <v/>
      </c>
    </row>
    <row r="283">
      <c r="G283" s="11" t="n"/>
      <c r="Q283" s="7">
        <f>IF($E283="","",P283*Y283/100)</f>
        <v/>
      </c>
      <c r="R283" s="7" t="n"/>
      <c r="X283" s="7" t="n"/>
      <c r="Y283" s="7" t="n"/>
      <c r="AB283">
        <f>IF($E283="","",IF($AQ283=1,0,IF($AP283=1,Settings!$C$6,Settings!$C$7))*100)</f>
        <v/>
      </c>
      <c r="AC283" s="7">
        <f>IF($E283="","",Y283*AB283/100)</f>
        <v/>
      </c>
      <c r="AD283" s="7">
        <f>IF($E283="","",Y283-AC283)</f>
        <v/>
      </c>
      <c r="AE283" s="7">
        <f>IF($E283="","",AD283-Q283)</f>
        <v/>
      </c>
      <c r="AI283" s="7" t="n"/>
      <c r="AL283" s="11" t="n"/>
      <c r="AN283">
        <f>IF($E283="","",IF(COUNTIF($E$2:$E283,$E283)=1,1,0))</f>
        <v/>
      </c>
      <c r="AO283">
        <f>IF($AN283=1,SUMPRODUCT(--($AR$2:$AR$4001&lt;$AR283))+1,"")</f>
        <v/>
      </c>
      <c r="AP283">
        <f>IF($E283="","",IF(OR($U283=TRUE(),$U283="TRUE"),1,0))</f>
        <v/>
      </c>
      <c r="AQ283">
        <f>IF($E283="","",IF($AA283="Yes",1,0))</f>
        <v/>
      </c>
      <c r="AR283">
        <f>IF($AN283=1,IFERROR(VALUE(MID($E283,2,20)),1000000000)+ROW()/100000,"")</f>
        <v/>
      </c>
    </row>
    <row r="284">
      <c r="G284" s="11" t="n"/>
      <c r="Q284" s="7">
        <f>IF($E284="","",P284*Y284/100)</f>
        <v/>
      </c>
      <c r="R284" s="7" t="n"/>
      <c r="X284" s="7" t="n"/>
      <c r="Y284" s="7" t="n"/>
      <c r="AB284">
        <f>IF($E284="","",IF($AQ284=1,0,IF($AP284=1,Settings!$C$6,Settings!$C$7))*100)</f>
        <v/>
      </c>
      <c r="AC284" s="7">
        <f>IF($E284="","",Y284*AB284/100)</f>
        <v/>
      </c>
      <c r="AD284" s="7">
        <f>IF($E284="","",Y284-AC284)</f>
        <v/>
      </c>
      <c r="AE284" s="7">
        <f>IF($E284="","",AD284-Q284)</f>
        <v/>
      </c>
      <c r="AI284" s="7" t="n"/>
      <c r="AL284" s="11" t="n"/>
      <c r="AN284">
        <f>IF($E284="","",IF(COUNTIF($E$2:$E284,$E284)=1,1,0))</f>
        <v/>
      </c>
      <c r="AO284">
        <f>IF($AN284=1,SUMPRODUCT(--($AR$2:$AR$4001&lt;$AR284))+1,"")</f>
        <v/>
      </c>
      <c r="AP284">
        <f>IF($E284="","",IF(OR($U284=TRUE(),$U284="TRUE"),1,0))</f>
        <v/>
      </c>
      <c r="AQ284">
        <f>IF($E284="","",IF($AA284="Yes",1,0))</f>
        <v/>
      </c>
      <c r="AR284">
        <f>IF($AN284=1,IFERROR(VALUE(MID($E284,2,20)),1000000000)+ROW()/100000,"")</f>
        <v/>
      </c>
    </row>
    <row r="285">
      <c r="G285" s="11" t="n"/>
      <c r="Q285" s="7">
        <f>IF($E285="","",P285*Y285/100)</f>
        <v/>
      </c>
      <c r="R285" s="7" t="n"/>
      <c r="X285" s="7" t="n"/>
      <c r="Y285" s="7" t="n"/>
      <c r="AB285">
        <f>IF($E285="","",IF($AQ285=1,0,IF($AP285=1,Settings!$C$6,Settings!$C$7))*100)</f>
        <v/>
      </c>
      <c r="AC285" s="7">
        <f>IF($E285="","",Y285*AB285/100)</f>
        <v/>
      </c>
      <c r="AD285" s="7">
        <f>IF($E285="","",Y285-AC285)</f>
        <v/>
      </c>
      <c r="AE285" s="7">
        <f>IF($E285="","",AD285-Q285)</f>
        <v/>
      </c>
      <c r="AI285" s="7" t="n"/>
      <c r="AL285" s="11" t="n"/>
      <c r="AN285">
        <f>IF($E285="","",IF(COUNTIF($E$2:$E285,$E285)=1,1,0))</f>
        <v/>
      </c>
      <c r="AO285">
        <f>IF($AN285=1,SUMPRODUCT(--($AR$2:$AR$4001&lt;$AR285))+1,"")</f>
        <v/>
      </c>
      <c r="AP285">
        <f>IF($E285="","",IF(OR($U285=TRUE(),$U285="TRUE"),1,0))</f>
        <v/>
      </c>
      <c r="AQ285">
        <f>IF($E285="","",IF($AA285="Yes",1,0))</f>
        <v/>
      </c>
      <c r="AR285">
        <f>IF($AN285=1,IFERROR(VALUE(MID($E285,2,20)),1000000000)+ROW()/100000,"")</f>
        <v/>
      </c>
    </row>
    <row r="286">
      <c r="G286" s="11" t="n"/>
      <c r="Q286" s="7">
        <f>IF($E286="","",P286*Y286/100)</f>
        <v/>
      </c>
      <c r="R286" s="7" t="n"/>
      <c r="X286" s="7" t="n"/>
      <c r="Y286" s="7" t="n"/>
      <c r="AB286">
        <f>IF($E286="","",IF($AQ286=1,0,IF($AP286=1,Settings!$C$6,Settings!$C$7))*100)</f>
        <v/>
      </c>
      <c r="AC286" s="7">
        <f>IF($E286="","",Y286*AB286/100)</f>
        <v/>
      </c>
      <c r="AD286" s="7">
        <f>IF($E286="","",Y286-AC286)</f>
        <v/>
      </c>
      <c r="AE286" s="7">
        <f>IF($E286="","",AD286-Q286)</f>
        <v/>
      </c>
      <c r="AI286" s="7" t="n"/>
      <c r="AL286" s="11" t="n"/>
      <c r="AN286">
        <f>IF($E286="","",IF(COUNTIF($E$2:$E286,$E286)=1,1,0))</f>
        <v/>
      </c>
      <c r="AO286">
        <f>IF($AN286=1,SUMPRODUCT(--($AR$2:$AR$4001&lt;$AR286))+1,"")</f>
        <v/>
      </c>
      <c r="AP286">
        <f>IF($E286="","",IF(OR($U286=TRUE(),$U286="TRUE"),1,0))</f>
        <v/>
      </c>
      <c r="AQ286">
        <f>IF($E286="","",IF($AA286="Yes",1,0))</f>
        <v/>
      </c>
      <c r="AR286">
        <f>IF($AN286=1,IFERROR(VALUE(MID($E286,2,20)),1000000000)+ROW()/100000,"")</f>
        <v/>
      </c>
    </row>
    <row r="287">
      <c r="G287" s="11" t="n"/>
      <c r="Q287" s="7">
        <f>IF($E287="","",P287*Y287/100)</f>
        <v/>
      </c>
      <c r="R287" s="7" t="n"/>
      <c r="X287" s="7" t="n"/>
      <c r="Y287" s="7" t="n"/>
      <c r="AB287">
        <f>IF($E287="","",IF($AQ287=1,0,IF($AP287=1,Settings!$C$6,Settings!$C$7))*100)</f>
        <v/>
      </c>
      <c r="AC287" s="7">
        <f>IF($E287="","",Y287*AB287/100)</f>
        <v/>
      </c>
      <c r="AD287" s="7">
        <f>IF($E287="","",Y287-AC287)</f>
        <v/>
      </c>
      <c r="AE287" s="7">
        <f>IF($E287="","",AD287-Q287)</f>
        <v/>
      </c>
      <c r="AI287" s="7" t="n"/>
      <c r="AL287" s="11" t="n"/>
      <c r="AN287">
        <f>IF($E287="","",IF(COUNTIF($E$2:$E287,$E287)=1,1,0))</f>
        <v/>
      </c>
      <c r="AO287">
        <f>IF($AN287=1,SUMPRODUCT(--($AR$2:$AR$4001&lt;$AR287))+1,"")</f>
        <v/>
      </c>
      <c r="AP287">
        <f>IF($E287="","",IF(OR($U287=TRUE(),$U287="TRUE"),1,0))</f>
        <v/>
      </c>
      <c r="AQ287">
        <f>IF($E287="","",IF($AA287="Yes",1,0))</f>
        <v/>
      </c>
      <c r="AR287">
        <f>IF($AN287=1,IFERROR(VALUE(MID($E287,2,20)),1000000000)+ROW()/100000,"")</f>
        <v/>
      </c>
    </row>
    <row r="288">
      <c r="G288" s="11" t="n"/>
      <c r="Q288" s="7">
        <f>IF($E288="","",P288*Y288/100)</f>
        <v/>
      </c>
      <c r="R288" s="7" t="n"/>
      <c r="X288" s="7" t="n"/>
      <c r="Y288" s="7" t="n"/>
      <c r="AB288">
        <f>IF($E288="","",IF($AQ288=1,0,IF($AP288=1,Settings!$C$6,Settings!$C$7))*100)</f>
        <v/>
      </c>
      <c r="AC288" s="7">
        <f>IF($E288="","",Y288*AB288/100)</f>
        <v/>
      </c>
      <c r="AD288" s="7">
        <f>IF($E288="","",Y288-AC288)</f>
        <v/>
      </c>
      <c r="AE288" s="7">
        <f>IF($E288="","",AD288-Q288)</f>
        <v/>
      </c>
      <c r="AI288" s="7" t="n"/>
      <c r="AL288" s="11" t="n"/>
      <c r="AN288">
        <f>IF($E288="","",IF(COUNTIF($E$2:$E288,$E288)=1,1,0))</f>
        <v/>
      </c>
      <c r="AO288">
        <f>IF($AN288=1,SUMPRODUCT(--($AR$2:$AR$4001&lt;$AR288))+1,"")</f>
        <v/>
      </c>
      <c r="AP288">
        <f>IF($E288="","",IF(OR($U288=TRUE(),$U288="TRUE"),1,0))</f>
        <v/>
      </c>
      <c r="AQ288">
        <f>IF($E288="","",IF($AA288="Yes",1,0))</f>
        <v/>
      </c>
      <c r="AR288">
        <f>IF($AN288=1,IFERROR(VALUE(MID($E288,2,20)),1000000000)+ROW()/100000,"")</f>
        <v/>
      </c>
    </row>
    <row r="289">
      <c r="G289" s="11" t="n"/>
      <c r="Q289" s="7">
        <f>IF($E289="","",P289*Y289/100)</f>
        <v/>
      </c>
      <c r="R289" s="7" t="n"/>
      <c r="X289" s="7" t="n"/>
      <c r="Y289" s="7" t="n"/>
      <c r="AB289">
        <f>IF($E289="","",IF($AQ289=1,0,IF($AP289=1,Settings!$C$6,Settings!$C$7))*100)</f>
        <v/>
      </c>
      <c r="AC289" s="7">
        <f>IF($E289="","",Y289*AB289/100)</f>
        <v/>
      </c>
      <c r="AD289" s="7">
        <f>IF($E289="","",Y289-AC289)</f>
        <v/>
      </c>
      <c r="AE289" s="7">
        <f>IF($E289="","",AD289-Q289)</f>
        <v/>
      </c>
      <c r="AI289" s="7" t="n"/>
      <c r="AL289" s="11" t="n"/>
      <c r="AN289">
        <f>IF($E289="","",IF(COUNTIF($E$2:$E289,$E289)=1,1,0))</f>
        <v/>
      </c>
      <c r="AO289">
        <f>IF($AN289=1,SUMPRODUCT(--($AR$2:$AR$4001&lt;$AR289))+1,"")</f>
        <v/>
      </c>
      <c r="AP289">
        <f>IF($E289="","",IF(OR($U289=TRUE(),$U289="TRUE"),1,0))</f>
        <v/>
      </c>
      <c r="AQ289">
        <f>IF($E289="","",IF($AA289="Yes",1,0))</f>
        <v/>
      </c>
      <c r="AR289">
        <f>IF($AN289=1,IFERROR(VALUE(MID($E289,2,20)),1000000000)+ROW()/100000,"")</f>
        <v/>
      </c>
    </row>
    <row r="290">
      <c r="G290" s="11" t="n"/>
      <c r="Q290" s="7">
        <f>IF($E290="","",P290*Y290/100)</f>
        <v/>
      </c>
      <c r="R290" s="7" t="n"/>
      <c r="X290" s="7" t="n"/>
      <c r="Y290" s="7" t="n"/>
      <c r="AB290">
        <f>IF($E290="","",IF($AQ290=1,0,IF($AP290=1,Settings!$C$6,Settings!$C$7))*100)</f>
        <v/>
      </c>
      <c r="AC290" s="7">
        <f>IF($E290="","",Y290*AB290/100)</f>
        <v/>
      </c>
      <c r="AD290" s="7">
        <f>IF($E290="","",Y290-AC290)</f>
        <v/>
      </c>
      <c r="AE290" s="7">
        <f>IF($E290="","",AD290-Q290)</f>
        <v/>
      </c>
      <c r="AI290" s="7" t="n"/>
      <c r="AL290" s="11" t="n"/>
      <c r="AN290">
        <f>IF($E290="","",IF(COUNTIF($E$2:$E290,$E290)=1,1,0))</f>
        <v/>
      </c>
      <c r="AO290">
        <f>IF($AN290=1,SUMPRODUCT(--($AR$2:$AR$4001&lt;$AR290))+1,"")</f>
        <v/>
      </c>
      <c r="AP290">
        <f>IF($E290="","",IF(OR($U290=TRUE(),$U290="TRUE"),1,0))</f>
        <v/>
      </c>
      <c r="AQ290">
        <f>IF($E290="","",IF($AA290="Yes",1,0))</f>
        <v/>
      </c>
      <c r="AR290">
        <f>IF($AN290=1,IFERROR(VALUE(MID($E290,2,20)),1000000000)+ROW()/100000,"")</f>
        <v/>
      </c>
    </row>
    <row r="291">
      <c r="G291" s="11" t="n"/>
      <c r="Q291" s="7">
        <f>IF($E291="","",P291*Y291/100)</f>
        <v/>
      </c>
      <c r="R291" s="7" t="n"/>
      <c r="X291" s="7" t="n"/>
      <c r="Y291" s="7" t="n"/>
      <c r="AB291">
        <f>IF($E291="","",IF($AQ291=1,0,IF($AP291=1,Settings!$C$6,Settings!$C$7))*100)</f>
        <v/>
      </c>
      <c r="AC291" s="7">
        <f>IF($E291="","",Y291*AB291/100)</f>
        <v/>
      </c>
      <c r="AD291" s="7">
        <f>IF($E291="","",Y291-AC291)</f>
        <v/>
      </c>
      <c r="AE291" s="7">
        <f>IF($E291="","",AD291-Q291)</f>
        <v/>
      </c>
      <c r="AI291" s="7" t="n"/>
      <c r="AL291" s="11" t="n"/>
      <c r="AN291">
        <f>IF($E291="","",IF(COUNTIF($E$2:$E291,$E291)=1,1,0))</f>
        <v/>
      </c>
      <c r="AO291">
        <f>IF($AN291=1,SUMPRODUCT(--($AR$2:$AR$4001&lt;$AR291))+1,"")</f>
        <v/>
      </c>
      <c r="AP291">
        <f>IF($E291="","",IF(OR($U291=TRUE(),$U291="TRUE"),1,0))</f>
        <v/>
      </c>
      <c r="AQ291">
        <f>IF($E291="","",IF($AA291="Yes",1,0))</f>
        <v/>
      </c>
      <c r="AR291">
        <f>IF($AN291=1,IFERROR(VALUE(MID($E291,2,20)),1000000000)+ROW()/100000,"")</f>
        <v/>
      </c>
    </row>
    <row r="292">
      <c r="G292" s="11" t="n"/>
      <c r="Q292" s="7">
        <f>IF($E292="","",P292*Y292/100)</f>
        <v/>
      </c>
      <c r="R292" s="7" t="n"/>
      <c r="X292" s="7" t="n"/>
      <c r="Y292" s="7" t="n"/>
      <c r="AB292">
        <f>IF($E292="","",IF($AQ292=1,0,IF($AP292=1,Settings!$C$6,Settings!$C$7))*100)</f>
        <v/>
      </c>
      <c r="AC292" s="7">
        <f>IF($E292="","",Y292*AB292/100)</f>
        <v/>
      </c>
      <c r="AD292" s="7">
        <f>IF($E292="","",Y292-AC292)</f>
        <v/>
      </c>
      <c r="AE292" s="7">
        <f>IF($E292="","",AD292-Q292)</f>
        <v/>
      </c>
      <c r="AI292" s="7" t="n"/>
      <c r="AL292" s="11" t="n"/>
      <c r="AN292">
        <f>IF($E292="","",IF(COUNTIF($E$2:$E292,$E292)=1,1,0))</f>
        <v/>
      </c>
      <c r="AO292">
        <f>IF($AN292=1,SUMPRODUCT(--($AR$2:$AR$4001&lt;$AR292))+1,"")</f>
        <v/>
      </c>
      <c r="AP292">
        <f>IF($E292="","",IF(OR($U292=TRUE(),$U292="TRUE"),1,0))</f>
        <v/>
      </c>
      <c r="AQ292">
        <f>IF($E292="","",IF($AA292="Yes",1,0))</f>
        <v/>
      </c>
      <c r="AR292">
        <f>IF($AN292=1,IFERROR(VALUE(MID($E292,2,20)),1000000000)+ROW()/100000,"")</f>
        <v/>
      </c>
    </row>
    <row r="293">
      <c r="G293" s="11" t="n"/>
      <c r="Q293" s="7">
        <f>IF($E293="","",P293*Y293/100)</f>
        <v/>
      </c>
      <c r="R293" s="7" t="n"/>
      <c r="X293" s="7" t="n"/>
      <c r="Y293" s="7" t="n"/>
      <c r="AB293">
        <f>IF($E293="","",IF($AQ293=1,0,IF($AP293=1,Settings!$C$6,Settings!$C$7))*100)</f>
        <v/>
      </c>
      <c r="AC293" s="7">
        <f>IF($E293="","",Y293*AB293/100)</f>
        <v/>
      </c>
      <c r="AD293" s="7">
        <f>IF($E293="","",Y293-AC293)</f>
        <v/>
      </c>
      <c r="AE293" s="7">
        <f>IF($E293="","",AD293-Q293)</f>
        <v/>
      </c>
      <c r="AI293" s="7" t="n"/>
      <c r="AL293" s="11" t="n"/>
      <c r="AN293">
        <f>IF($E293="","",IF(COUNTIF($E$2:$E293,$E293)=1,1,0))</f>
        <v/>
      </c>
      <c r="AO293">
        <f>IF($AN293=1,SUMPRODUCT(--($AR$2:$AR$4001&lt;$AR293))+1,"")</f>
        <v/>
      </c>
      <c r="AP293">
        <f>IF($E293="","",IF(OR($U293=TRUE(),$U293="TRUE"),1,0))</f>
        <v/>
      </c>
      <c r="AQ293">
        <f>IF($E293="","",IF($AA293="Yes",1,0))</f>
        <v/>
      </c>
      <c r="AR293">
        <f>IF($AN293=1,IFERROR(VALUE(MID($E293,2,20)),1000000000)+ROW()/100000,"")</f>
        <v/>
      </c>
    </row>
    <row r="294">
      <c r="G294" s="11" t="n"/>
      <c r="Q294" s="7">
        <f>IF($E294="","",P294*Y294/100)</f>
        <v/>
      </c>
      <c r="R294" s="7" t="n"/>
      <c r="X294" s="7" t="n"/>
      <c r="Y294" s="7" t="n"/>
      <c r="AB294">
        <f>IF($E294="","",IF($AQ294=1,0,IF($AP294=1,Settings!$C$6,Settings!$C$7))*100)</f>
        <v/>
      </c>
      <c r="AC294" s="7">
        <f>IF($E294="","",Y294*AB294/100)</f>
        <v/>
      </c>
      <c r="AD294" s="7">
        <f>IF($E294="","",Y294-AC294)</f>
        <v/>
      </c>
      <c r="AE294" s="7">
        <f>IF($E294="","",AD294-Q294)</f>
        <v/>
      </c>
      <c r="AI294" s="7" t="n"/>
      <c r="AL294" s="11" t="n"/>
      <c r="AN294">
        <f>IF($E294="","",IF(COUNTIF($E$2:$E294,$E294)=1,1,0))</f>
        <v/>
      </c>
      <c r="AO294">
        <f>IF($AN294=1,SUMPRODUCT(--($AR$2:$AR$4001&lt;$AR294))+1,"")</f>
        <v/>
      </c>
      <c r="AP294">
        <f>IF($E294="","",IF(OR($U294=TRUE(),$U294="TRUE"),1,0))</f>
        <v/>
      </c>
      <c r="AQ294">
        <f>IF($E294="","",IF($AA294="Yes",1,0))</f>
        <v/>
      </c>
      <c r="AR294">
        <f>IF($AN294=1,IFERROR(VALUE(MID($E294,2,20)),1000000000)+ROW()/100000,"")</f>
        <v/>
      </c>
    </row>
    <row r="295">
      <c r="G295" s="11" t="n"/>
      <c r="Q295" s="7">
        <f>IF($E295="","",P295*Y295/100)</f>
        <v/>
      </c>
      <c r="R295" s="7" t="n"/>
      <c r="X295" s="7" t="n"/>
      <c r="Y295" s="7" t="n"/>
      <c r="AB295">
        <f>IF($E295="","",IF($AQ295=1,0,IF($AP295=1,Settings!$C$6,Settings!$C$7))*100)</f>
        <v/>
      </c>
      <c r="AC295" s="7">
        <f>IF($E295="","",Y295*AB295/100)</f>
        <v/>
      </c>
      <c r="AD295" s="7">
        <f>IF($E295="","",Y295-AC295)</f>
        <v/>
      </c>
      <c r="AE295" s="7">
        <f>IF($E295="","",AD295-Q295)</f>
        <v/>
      </c>
      <c r="AI295" s="7" t="n"/>
      <c r="AL295" s="11" t="n"/>
      <c r="AN295">
        <f>IF($E295="","",IF(COUNTIF($E$2:$E295,$E295)=1,1,0))</f>
        <v/>
      </c>
      <c r="AO295">
        <f>IF($AN295=1,SUMPRODUCT(--($AR$2:$AR$4001&lt;$AR295))+1,"")</f>
        <v/>
      </c>
      <c r="AP295">
        <f>IF($E295="","",IF(OR($U295=TRUE(),$U295="TRUE"),1,0))</f>
        <v/>
      </c>
      <c r="AQ295">
        <f>IF($E295="","",IF($AA295="Yes",1,0))</f>
        <v/>
      </c>
      <c r="AR295">
        <f>IF($AN295=1,IFERROR(VALUE(MID($E295,2,20)),1000000000)+ROW()/100000,"")</f>
        <v/>
      </c>
    </row>
    <row r="296">
      <c r="G296" s="11" t="n"/>
      <c r="Q296" s="7">
        <f>IF($E296="","",P296*Y296/100)</f>
        <v/>
      </c>
      <c r="R296" s="7" t="n"/>
      <c r="X296" s="7" t="n"/>
      <c r="Y296" s="7" t="n"/>
      <c r="AB296">
        <f>IF($E296="","",IF($AQ296=1,0,IF($AP296=1,Settings!$C$6,Settings!$C$7))*100)</f>
        <v/>
      </c>
      <c r="AC296" s="7">
        <f>IF($E296="","",Y296*AB296/100)</f>
        <v/>
      </c>
      <c r="AD296" s="7">
        <f>IF($E296="","",Y296-AC296)</f>
        <v/>
      </c>
      <c r="AE296" s="7">
        <f>IF($E296="","",AD296-Q296)</f>
        <v/>
      </c>
      <c r="AI296" s="7" t="n"/>
      <c r="AL296" s="11" t="n"/>
      <c r="AN296">
        <f>IF($E296="","",IF(COUNTIF($E$2:$E296,$E296)=1,1,0))</f>
        <v/>
      </c>
      <c r="AO296">
        <f>IF($AN296=1,SUMPRODUCT(--($AR$2:$AR$4001&lt;$AR296))+1,"")</f>
        <v/>
      </c>
      <c r="AP296">
        <f>IF($E296="","",IF(OR($U296=TRUE(),$U296="TRUE"),1,0))</f>
        <v/>
      </c>
      <c r="AQ296">
        <f>IF($E296="","",IF($AA296="Yes",1,0))</f>
        <v/>
      </c>
      <c r="AR296">
        <f>IF($AN296=1,IFERROR(VALUE(MID($E296,2,20)),1000000000)+ROW()/100000,"")</f>
        <v/>
      </c>
    </row>
    <row r="297">
      <c r="G297" s="11" t="n"/>
      <c r="Q297" s="7">
        <f>IF($E297="","",P297*Y297/100)</f>
        <v/>
      </c>
      <c r="R297" s="7" t="n"/>
      <c r="X297" s="7" t="n"/>
      <c r="Y297" s="7" t="n"/>
      <c r="AB297">
        <f>IF($E297="","",IF($AQ297=1,0,IF($AP297=1,Settings!$C$6,Settings!$C$7))*100)</f>
        <v/>
      </c>
      <c r="AC297" s="7">
        <f>IF($E297="","",Y297*AB297/100)</f>
        <v/>
      </c>
      <c r="AD297" s="7">
        <f>IF($E297="","",Y297-AC297)</f>
        <v/>
      </c>
      <c r="AE297" s="7">
        <f>IF($E297="","",AD297-Q297)</f>
        <v/>
      </c>
      <c r="AI297" s="7" t="n"/>
      <c r="AL297" s="11" t="n"/>
      <c r="AN297">
        <f>IF($E297="","",IF(COUNTIF($E$2:$E297,$E297)=1,1,0))</f>
        <v/>
      </c>
      <c r="AO297">
        <f>IF($AN297=1,SUMPRODUCT(--($AR$2:$AR$4001&lt;$AR297))+1,"")</f>
        <v/>
      </c>
      <c r="AP297">
        <f>IF($E297="","",IF(OR($U297=TRUE(),$U297="TRUE"),1,0))</f>
        <v/>
      </c>
      <c r="AQ297">
        <f>IF($E297="","",IF($AA297="Yes",1,0))</f>
        <v/>
      </c>
      <c r="AR297">
        <f>IF($AN297=1,IFERROR(VALUE(MID($E297,2,20)),1000000000)+ROW()/100000,"")</f>
        <v/>
      </c>
    </row>
    <row r="298">
      <c r="G298" s="11" t="n"/>
      <c r="Q298" s="7">
        <f>IF($E298="","",P298*Y298/100)</f>
        <v/>
      </c>
      <c r="R298" s="7" t="n"/>
      <c r="X298" s="7" t="n"/>
      <c r="Y298" s="7" t="n"/>
      <c r="AB298">
        <f>IF($E298="","",IF($AQ298=1,0,IF($AP298=1,Settings!$C$6,Settings!$C$7))*100)</f>
        <v/>
      </c>
      <c r="AC298" s="7">
        <f>IF($E298="","",Y298*AB298/100)</f>
        <v/>
      </c>
      <c r="AD298" s="7">
        <f>IF($E298="","",Y298-AC298)</f>
        <v/>
      </c>
      <c r="AE298" s="7">
        <f>IF($E298="","",AD298-Q298)</f>
        <v/>
      </c>
      <c r="AI298" s="7" t="n"/>
      <c r="AL298" s="11" t="n"/>
      <c r="AN298">
        <f>IF($E298="","",IF(COUNTIF($E$2:$E298,$E298)=1,1,0))</f>
        <v/>
      </c>
      <c r="AO298">
        <f>IF($AN298=1,SUMPRODUCT(--($AR$2:$AR$4001&lt;$AR298))+1,"")</f>
        <v/>
      </c>
      <c r="AP298">
        <f>IF($E298="","",IF(OR($U298=TRUE(),$U298="TRUE"),1,0))</f>
        <v/>
      </c>
      <c r="AQ298">
        <f>IF($E298="","",IF($AA298="Yes",1,0))</f>
        <v/>
      </c>
      <c r="AR298">
        <f>IF($AN298=1,IFERROR(VALUE(MID($E298,2,20)),1000000000)+ROW()/100000,"")</f>
        <v/>
      </c>
    </row>
    <row r="299">
      <c r="G299" s="11" t="n"/>
      <c r="Q299" s="7">
        <f>IF($E299="","",P299*Y299/100)</f>
        <v/>
      </c>
      <c r="R299" s="7" t="n"/>
      <c r="X299" s="7" t="n"/>
      <c r="Y299" s="7" t="n"/>
      <c r="AB299">
        <f>IF($E299="","",IF($AQ299=1,0,IF($AP299=1,Settings!$C$6,Settings!$C$7))*100)</f>
        <v/>
      </c>
      <c r="AC299" s="7">
        <f>IF($E299="","",Y299*AB299/100)</f>
        <v/>
      </c>
      <c r="AD299" s="7">
        <f>IF($E299="","",Y299-AC299)</f>
        <v/>
      </c>
      <c r="AE299" s="7">
        <f>IF($E299="","",AD299-Q299)</f>
        <v/>
      </c>
      <c r="AI299" s="7" t="n"/>
      <c r="AL299" s="11" t="n"/>
      <c r="AN299">
        <f>IF($E299="","",IF(COUNTIF($E$2:$E299,$E299)=1,1,0))</f>
        <v/>
      </c>
      <c r="AO299">
        <f>IF($AN299=1,SUMPRODUCT(--($AR$2:$AR$4001&lt;$AR299))+1,"")</f>
        <v/>
      </c>
      <c r="AP299">
        <f>IF($E299="","",IF(OR($U299=TRUE(),$U299="TRUE"),1,0))</f>
        <v/>
      </c>
      <c r="AQ299">
        <f>IF($E299="","",IF($AA299="Yes",1,0))</f>
        <v/>
      </c>
      <c r="AR299">
        <f>IF($AN299=1,IFERROR(VALUE(MID($E299,2,20)),1000000000)+ROW()/100000,"")</f>
        <v/>
      </c>
    </row>
    <row r="300">
      <c r="G300" s="11" t="n"/>
      <c r="Q300" s="7">
        <f>IF($E300="","",P300*Y300/100)</f>
        <v/>
      </c>
      <c r="R300" s="7" t="n"/>
      <c r="X300" s="7" t="n"/>
      <c r="Y300" s="7" t="n"/>
      <c r="AB300">
        <f>IF($E300="","",IF($AQ300=1,0,IF($AP300=1,Settings!$C$6,Settings!$C$7))*100)</f>
        <v/>
      </c>
      <c r="AC300" s="7">
        <f>IF($E300="","",Y300*AB300/100)</f>
        <v/>
      </c>
      <c r="AD300" s="7">
        <f>IF($E300="","",Y300-AC300)</f>
        <v/>
      </c>
      <c r="AE300" s="7">
        <f>IF($E300="","",AD300-Q300)</f>
        <v/>
      </c>
      <c r="AI300" s="7" t="n"/>
      <c r="AL300" s="11" t="n"/>
      <c r="AN300">
        <f>IF($E300="","",IF(COUNTIF($E$2:$E300,$E300)=1,1,0))</f>
        <v/>
      </c>
      <c r="AO300">
        <f>IF($AN300=1,SUMPRODUCT(--($AR$2:$AR$4001&lt;$AR300))+1,"")</f>
        <v/>
      </c>
      <c r="AP300">
        <f>IF($E300="","",IF(OR($U300=TRUE(),$U300="TRUE"),1,0))</f>
        <v/>
      </c>
      <c r="AQ300">
        <f>IF($E300="","",IF($AA300="Yes",1,0))</f>
        <v/>
      </c>
      <c r="AR300">
        <f>IF($AN300=1,IFERROR(VALUE(MID($E300,2,20)),1000000000)+ROW()/100000,"")</f>
        <v/>
      </c>
    </row>
    <row r="301">
      <c r="G301" s="11" t="n"/>
      <c r="Q301" s="7">
        <f>IF($E301="","",P301*Y301/100)</f>
        <v/>
      </c>
      <c r="R301" s="7" t="n"/>
      <c r="X301" s="7" t="n"/>
      <c r="Y301" s="7" t="n"/>
      <c r="AB301">
        <f>IF($E301="","",IF($AQ301=1,0,IF($AP301=1,Settings!$C$6,Settings!$C$7))*100)</f>
        <v/>
      </c>
      <c r="AC301" s="7">
        <f>IF($E301="","",Y301*AB301/100)</f>
        <v/>
      </c>
      <c r="AD301" s="7">
        <f>IF($E301="","",Y301-AC301)</f>
        <v/>
      </c>
      <c r="AE301" s="7">
        <f>IF($E301="","",AD301-Q301)</f>
        <v/>
      </c>
      <c r="AI301" s="7" t="n"/>
      <c r="AL301" s="11" t="n"/>
      <c r="AN301">
        <f>IF($E301="","",IF(COUNTIF($E$2:$E301,$E301)=1,1,0))</f>
        <v/>
      </c>
      <c r="AO301">
        <f>IF($AN301=1,SUMPRODUCT(--($AR$2:$AR$4001&lt;$AR301))+1,"")</f>
        <v/>
      </c>
      <c r="AP301">
        <f>IF($E301="","",IF(OR($U301=TRUE(),$U301="TRUE"),1,0))</f>
        <v/>
      </c>
      <c r="AQ301">
        <f>IF($E301="","",IF($AA301="Yes",1,0))</f>
        <v/>
      </c>
      <c r="AR301">
        <f>IF($AN301=1,IFERROR(VALUE(MID($E301,2,20)),1000000000)+ROW()/100000,"")</f>
        <v/>
      </c>
    </row>
    <row r="302">
      <c r="G302" s="11" t="n"/>
      <c r="Q302" s="7">
        <f>IF($E302="","",P302*Y302/100)</f>
        <v/>
      </c>
      <c r="R302" s="7" t="n"/>
      <c r="X302" s="7" t="n"/>
      <c r="Y302" s="7" t="n"/>
      <c r="AB302">
        <f>IF($E302="","",IF($AQ302=1,0,IF($AP302=1,Settings!$C$6,Settings!$C$7))*100)</f>
        <v/>
      </c>
      <c r="AC302" s="7">
        <f>IF($E302="","",Y302*AB302/100)</f>
        <v/>
      </c>
      <c r="AD302" s="7">
        <f>IF($E302="","",Y302-AC302)</f>
        <v/>
      </c>
      <c r="AE302" s="7">
        <f>IF($E302="","",AD302-Q302)</f>
        <v/>
      </c>
      <c r="AI302" s="7" t="n"/>
      <c r="AL302" s="11" t="n"/>
      <c r="AN302">
        <f>IF($E302="","",IF(COUNTIF($E$2:$E302,$E302)=1,1,0))</f>
        <v/>
      </c>
      <c r="AO302">
        <f>IF($AN302=1,SUMPRODUCT(--($AR$2:$AR$4001&lt;$AR302))+1,"")</f>
        <v/>
      </c>
      <c r="AP302">
        <f>IF($E302="","",IF(OR($U302=TRUE(),$U302="TRUE"),1,0))</f>
        <v/>
      </c>
      <c r="AQ302">
        <f>IF($E302="","",IF($AA302="Yes",1,0))</f>
        <v/>
      </c>
      <c r="AR302">
        <f>IF($AN302=1,IFERROR(VALUE(MID($E302,2,20)),1000000000)+ROW()/100000,"")</f>
        <v/>
      </c>
    </row>
    <row r="303">
      <c r="G303" s="11" t="n"/>
      <c r="Q303" s="7">
        <f>IF($E303="","",P303*Y303/100)</f>
        <v/>
      </c>
      <c r="R303" s="7" t="n"/>
      <c r="X303" s="7" t="n"/>
      <c r="Y303" s="7" t="n"/>
      <c r="AB303">
        <f>IF($E303="","",IF($AQ303=1,0,IF($AP303=1,Settings!$C$6,Settings!$C$7))*100)</f>
        <v/>
      </c>
      <c r="AC303" s="7">
        <f>IF($E303="","",Y303*AB303/100)</f>
        <v/>
      </c>
      <c r="AD303" s="7">
        <f>IF($E303="","",Y303-AC303)</f>
        <v/>
      </c>
      <c r="AE303" s="7">
        <f>IF($E303="","",AD303-Q303)</f>
        <v/>
      </c>
      <c r="AI303" s="7" t="n"/>
      <c r="AL303" s="11" t="n"/>
      <c r="AN303">
        <f>IF($E303="","",IF(COUNTIF($E$2:$E303,$E303)=1,1,0))</f>
        <v/>
      </c>
      <c r="AO303">
        <f>IF($AN303=1,SUMPRODUCT(--($AR$2:$AR$4001&lt;$AR303))+1,"")</f>
        <v/>
      </c>
      <c r="AP303">
        <f>IF($E303="","",IF(OR($U303=TRUE(),$U303="TRUE"),1,0))</f>
        <v/>
      </c>
      <c r="AQ303">
        <f>IF($E303="","",IF($AA303="Yes",1,0))</f>
        <v/>
      </c>
      <c r="AR303">
        <f>IF($AN303=1,IFERROR(VALUE(MID($E303,2,20)),1000000000)+ROW()/100000,"")</f>
        <v/>
      </c>
    </row>
    <row r="304">
      <c r="G304" s="11" t="n"/>
      <c r="Q304" s="7">
        <f>IF($E304="","",P304*Y304/100)</f>
        <v/>
      </c>
      <c r="R304" s="7" t="n"/>
      <c r="X304" s="7" t="n"/>
      <c r="Y304" s="7" t="n"/>
      <c r="AB304">
        <f>IF($E304="","",IF($AQ304=1,0,IF($AP304=1,Settings!$C$6,Settings!$C$7))*100)</f>
        <v/>
      </c>
      <c r="AC304" s="7">
        <f>IF($E304="","",Y304*AB304/100)</f>
        <v/>
      </c>
      <c r="AD304" s="7">
        <f>IF($E304="","",Y304-AC304)</f>
        <v/>
      </c>
      <c r="AE304" s="7">
        <f>IF($E304="","",AD304-Q304)</f>
        <v/>
      </c>
      <c r="AI304" s="7" t="n"/>
      <c r="AL304" s="11" t="n"/>
      <c r="AN304">
        <f>IF($E304="","",IF(COUNTIF($E$2:$E304,$E304)=1,1,0))</f>
        <v/>
      </c>
      <c r="AO304">
        <f>IF($AN304=1,SUMPRODUCT(--($AR$2:$AR$4001&lt;$AR304))+1,"")</f>
        <v/>
      </c>
      <c r="AP304">
        <f>IF($E304="","",IF(OR($U304=TRUE(),$U304="TRUE"),1,0))</f>
        <v/>
      </c>
      <c r="AQ304">
        <f>IF($E304="","",IF($AA304="Yes",1,0))</f>
        <v/>
      </c>
      <c r="AR304">
        <f>IF($AN304=1,IFERROR(VALUE(MID($E304,2,20)),1000000000)+ROW()/100000,"")</f>
        <v/>
      </c>
    </row>
    <row r="305">
      <c r="G305" s="11" t="n"/>
      <c r="Q305" s="7">
        <f>IF($E305="","",P305*Y305/100)</f>
        <v/>
      </c>
      <c r="R305" s="7" t="n"/>
      <c r="X305" s="7" t="n"/>
      <c r="Y305" s="7" t="n"/>
      <c r="AB305">
        <f>IF($E305="","",IF($AQ305=1,0,IF($AP305=1,Settings!$C$6,Settings!$C$7))*100)</f>
        <v/>
      </c>
      <c r="AC305" s="7">
        <f>IF($E305="","",Y305*AB305/100)</f>
        <v/>
      </c>
      <c r="AD305" s="7">
        <f>IF($E305="","",Y305-AC305)</f>
        <v/>
      </c>
      <c r="AE305" s="7">
        <f>IF($E305="","",AD305-Q305)</f>
        <v/>
      </c>
      <c r="AI305" s="7" t="n"/>
      <c r="AL305" s="11" t="n"/>
      <c r="AN305">
        <f>IF($E305="","",IF(COUNTIF($E$2:$E305,$E305)=1,1,0))</f>
        <v/>
      </c>
      <c r="AO305">
        <f>IF($AN305=1,SUMPRODUCT(--($AR$2:$AR$4001&lt;$AR305))+1,"")</f>
        <v/>
      </c>
      <c r="AP305">
        <f>IF($E305="","",IF(OR($U305=TRUE(),$U305="TRUE"),1,0))</f>
        <v/>
      </c>
      <c r="AQ305">
        <f>IF($E305="","",IF($AA305="Yes",1,0))</f>
        <v/>
      </c>
      <c r="AR305">
        <f>IF($AN305=1,IFERROR(VALUE(MID($E305,2,20)),1000000000)+ROW()/100000,"")</f>
        <v/>
      </c>
    </row>
    <row r="306">
      <c r="G306" s="11" t="n"/>
      <c r="Q306" s="7">
        <f>IF($E306="","",P306*Y306/100)</f>
        <v/>
      </c>
      <c r="R306" s="7" t="n"/>
      <c r="X306" s="7" t="n"/>
      <c r="Y306" s="7" t="n"/>
      <c r="AB306">
        <f>IF($E306="","",IF($AQ306=1,0,IF($AP306=1,Settings!$C$6,Settings!$C$7))*100)</f>
        <v/>
      </c>
      <c r="AC306" s="7">
        <f>IF($E306="","",Y306*AB306/100)</f>
        <v/>
      </c>
      <c r="AD306" s="7">
        <f>IF($E306="","",Y306-AC306)</f>
        <v/>
      </c>
      <c r="AE306" s="7">
        <f>IF($E306="","",AD306-Q306)</f>
        <v/>
      </c>
      <c r="AI306" s="7" t="n"/>
      <c r="AL306" s="11" t="n"/>
      <c r="AN306">
        <f>IF($E306="","",IF(COUNTIF($E$2:$E306,$E306)=1,1,0))</f>
        <v/>
      </c>
      <c r="AO306">
        <f>IF($AN306=1,SUMPRODUCT(--($AR$2:$AR$4001&lt;$AR306))+1,"")</f>
        <v/>
      </c>
      <c r="AP306">
        <f>IF($E306="","",IF(OR($U306=TRUE(),$U306="TRUE"),1,0))</f>
        <v/>
      </c>
      <c r="AQ306">
        <f>IF($E306="","",IF($AA306="Yes",1,0))</f>
        <v/>
      </c>
      <c r="AR306">
        <f>IF($AN306=1,IFERROR(VALUE(MID($E306,2,20)),1000000000)+ROW()/100000,"")</f>
        <v/>
      </c>
    </row>
    <row r="307">
      <c r="G307" s="11" t="n"/>
      <c r="Q307" s="7">
        <f>IF($E307="","",P307*Y307/100)</f>
        <v/>
      </c>
      <c r="R307" s="7" t="n"/>
      <c r="X307" s="7" t="n"/>
      <c r="Y307" s="7" t="n"/>
      <c r="AB307">
        <f>IF($E307="","",IF($AQ307=1,0,IF($AP307=1,Settings!$C$6,Settings!$C$7))*100)</f>
        <v/>
      </c>
      <c r="AC307" s="7">
        <f>IF($E307="","",Y307*AB307/100)</f>
        <v/>
      </c>
      <c r="AD307" s="7">
        <f>IF($E307="","",Y307-AC307)</f>
        <v/>
      </c>
      <c r="AE307" s="7">
        <f>IF($E307="","",AD307-Q307)</f>
        <v/>
      </c>
      <c r="AI307" s="7" t="n"/>
      <c r="AL307" s="11" t="n"/>
      <c r="AN307">
        <f>IF($E307="","",IF(COUNTIF($E$2:$E307,$E307)=1,1,0))</f>
        <v/>
      </c>
      <c r="AO307">
        <f>IF($AN307=1,SUMPRODUCT(--($AR$2:$AR$4001&lt;$AR307))+1,"")</f>
        <v/>
      </c>
      <c r="AP307">
        <f>IF($E307="","",IF(OR($U307=TRUE(),$U307="TRUE"),1,0))</f>
        <v/>
      </c>
      <c r="AQ307">
        <f>IF($E307="","",IF($AA307="Yes",1,0))</f>
        <v/>
      </c>
      <c r="AR307">
        <f>IF($AN307=1,IFERROR(VALUE(MID($E307,2,20)),1000000000)+ROW()/100000,"")</f>
        <v/>
      </c>
    </row>
    <row r="308">
      <c r="G308" s="11" t="n"/>
      <c r="Q308" s="7">
        <f>IF($E308="","",P308*Y308/100)</f>
        <v/>
      </c>
      <c r="R308" s="7" t="n"/>
      <c r="X308" s="7" t="n"/>
      <c r="Y308" s="7" t="n"/>
      <c r="AB308">
        <f>IF($E308="","",IF($AQ308=1,0,IF($AP308=1,Settings!$C$6,Settings!$C$7))*100)</f>
        <v/>
      </c>
      <c r="AC308" s="7">
        <f>IF($E308="","",Y308*AB308/100)</f>
        <v/>
      </c>
      <c r="AD308" s="7">
        <f>IF($E308="","",Y308-AC308)</f>
        <v/>
      </c>
      <c r="AE308" s="7">
        <f>IF($E308="","",AD308-Q308)</f>
        <v/>
      </c>
      <c r="AI308" s="7" t="n"/>
      <c r="AL308" s="11" t="n"/>
      <c r="AN308">
        <f>IF($E308="","",IF(COUNTIF($E$2:$E308,$E308)=1,1,0))</f>
        <v/>
      </c>
      <c r="AO308">
        <f>IF($AN308=1,SUMPRODUCT(--($AR$2:$AR$4001&lt;$AR308))+1,"")</f>
        <v/>
      </c>
      <c r="AP308">
        <f>IF($E308="","",IF(OR($U308=TRUE(),$U308="TRUE"),1,0))</f>
        <v/>
      </c>
      <c r="AQ308">
        <f>IF($E308="","",IF($AA308="Yes",1,0))</f>
        <v/>
      </c>
      <c r="AR308">
        <f>IF($AN308=1,IFERROR(VALUE(MID($E308,2,20)),1000000000)+ROW()/100000,"")</f>
        <v/>
      </c>
    </row>
    <row r="309">
      <c r="G309" s="11" t="n"/>
      <c r="Q309" s="7">
        <f>IF($E309="","",P309*Y309/100)</f>
        <v/>
      </c>
      <c r="R309" s="7" t="n"/>
      <c r="X309" s="7" t="n"/>
      <c r="Y309" s="7" t="n"/>
      <c r="AB309">
        <f>IF($E309="","",IF($AQ309=1,0,IF($AP309=1,Settings!$C$6,Settings!$C$7))*100)</f>
        <v/>
      </c>
      <c r="AC309" s="7">
        <f>IF($E309="","",Y309*AB309/100)</f>
        <v/>
      </c>
      <c r="AD309" s="7">
        <f>IF($E309="","",Y309-AC309)</f>
        <v/>
      </c>
      <c r="AE309" s="7">
        <f>IF($E309="","",AD309-Q309)</f>
        <v/>
      </c>
      <c r="AI309" s="7" t="n"/>
      <c r="AL309" s="11" t="n"/>
      <c r="AN309">
        <f>IF($E309="","",IF(COUNTIF($E$2:$E309,$E309)=1,1,0))</f>
        <v/>
      </c>
      <c r="AO309">
        <f>IF($AN309=1,SUMPRODUCT(--($AR$2:$AR$4001&lt;$AR309))+1,"")</f>
        <v/>
      </c>
      <c r="AP309">
        <f>IF($E309="","",IF(OR($U309=TRUE(),$U309="TRUE"),1,0))</f>
        <v/>
      </c>
      <c r="AQ309">
        <f>IF($E309="","",IF($AA309="Yes",1,0))</f>
        <v/>
      </c>
      <c r="AR309">
        <f>IF($AN309=1,IFERROR(VALUE(MID($E309,2,20)),1000000000)+ROW()/100000,"")</f>
        <v/>
      </c>
    </row>
    <row r="310">
      <c r="G310" s="11" t="n"/>
      <c r="Q310" s="7">
        <f>IF($E310="","",P310*Y310/100)</f>
        <v/>
      </c>
      <c r="R310" s="7" t="n"/>
      <c r="X310" s="7" t="n"/>
      <c r="Y310" s="7" t="n"/>
      <c r="AB310">
        <f>IF($E310="","",IF($AQ310=1,0,IF($AP310=1,Settings!$C$6,Settings!$C$7))*100)</f>
        <v/>
      </c>
      <c r="AC310" s="7">
        <f>IF($E310="","",Y310*AB310/100)</f>
        <v/>
      </c>
      <c r="AD310" s="7">
        <f>IF($E310="","",Y310-AC310)</f>
        <v/>
      </c>
      <c r="AE310" s="7">
        <f>IF($E310="","",AD310-Q310)</f>
        <v/>
      </c>
      <c r="AI310" s="7" t="n"/>
      <c r="AL310" s="11" t="n"/>
      <c r="AN310">
        <f>IF($E310="","",IF(COUNTIF($E$2:$E310,$E310)=1,1,0))</f>
        <v/>
      </c>
      <c r="AO310">
        <f>IF($AN310=1,SUMPRODUCT(--($AR$2:$AR$4001&lt;$AR310))+1,"")</f>
        <v/>
      </c>
      <c r="AP310">
        <f>IF($E310="","",IF(OR($U310=TRUE(),$U310="TRUE"),1,0))</f>
        <v/>
      </c>
      <c r="AQ310">
        <f>IF($E310="","",IF($AA310="Yes",1,0))</f>
        <v/>
      </c>
      <c r="AR310">
        <f>IF($AN310=1,IFERROR(VALUE(MID($E310,2,20)),1000000000)+ROW()/100000,"")</f>
        <v/>
      </c>
    </row>
    <row r="311">
      <c r="G311" s="11" t="n"/>
      <c r="Q311" s="7">
        <f>IF($E311="","",P311*Y311/100)</f>
        <v/>
      </c>
      <c r="R311" s="7" t="n"/>
      <c r="X311" s="7" t="n"/>
      <c r="Y311" s="7" t="n"/>
      <c r="AB311">
        <f>IF($E311="","",IF($AQ311=1,0,IF($AP311=1,Settings!$C$6,Settings!$C$7))*100)</f>
        <v/>
      </c>
      <c r="AC311" s="7">
        <f>IF($E311="","",Y311*AB311/100)</f>
        <v/>
      </c>
      <c r="AD311" s="7">
        <f>IF($E311="","",Y311-AC311)</f>
        <v/>
      </c>
      <c r="AE311" s="7">
        <f>IF($E311="","",AD311-Q311)</f>
        <v/>
      </c>
      <c r="AI311" s="7" t="n"/>
      <c r="AL311" s="11" t="n"/>
      <c r="AN311">
        <f>IF($E311="","",IF(COUNTIF($E$2:$E311,$E311)=1,1,0))</f>
        <v/>
      </c>
      <c r="AO311">
        <f>IF($AN311=1,SUMPRODUCT(--($AR$2:$AR$4001&lt;$AR311))+1,"")</f>
        <v/>
      </c>
      <c r="AP311">
        <f>IF($E311="","",IF(OR($U311=TRUE(),$U311="TRUE"),1,0))</f>
        <v/>
      </c>
      <c r="AQ311">
        <f>IF($E311="","",IF($AA311="Yes",1,0))</f>
        <v/>
      </c>
      <c r="AR311">
        <f>IF($AN311=1,IFERROR(VALUE(MID($E311,2,20)),1000000000)+ROW()/100000,"")</f>
        <v/>
      </c>
    </row>
    <row r="312">
      <c r="G312" s="11" t="n"/>
      <c r="Q312" s="7">
        <f>IF($E312="","",P312*Y312/100)</f>
        <v/>
      </c>
      <c r="R312" s="7" t="n"/>
      <c r="X312" s="7" t="n"/>
      <c r="Y312" s="7" t="n"/>
      <c r="AB312">
        <f>IF($E312="","",IF($AQ312=1,0,IF($AP312=1,Settings!$C$6,Settings!$C$7))*100)</f>
        <v/>
      </c>
      <c r="AC312" s="7">
        <f>IF($E312="","",Y312*AB312/100)</f>
        <v/>
      </c>
      <c r="AD312" s="7">
        <f>IF($E312="","",Y312-AC312)</f>
        <v/>
      </c>
      <c r="AE312" s="7">
        <f>IF($E312="","",AD312-Q312)</f>
        <v/>
      </c>
      <c r="AI312" s="7" t="n"/>
      <c r="AL312" s="11" t="n"/>
      <c r="AN312">
        <f>IF($E312="","",IF(COUNTIF($E$2:$E312,$E312)=1,1,0))</f>
        <v/>
      </c>
      <c r="AO312">
        <f>IF($AN312=1,SUMPRODUCT(--($AR$2:$AR$4001&lt;$AR312))+1,"")</f>
        <v/>
      </c>
      <c r="AP312">
        <f>IF($E312="","",IF(OR($U312=TRUE(),$U312="TRUE"),1,0))</f>
        <v/>
      </c>
      <c r="AQ312">
        <f>IF($E312="","",IF($AA312="Yes",1,0))</f>
        <v/>
      </c>
      <c r="AR312">
        <f>IF($AN312=1,IFERROR(VALUE(MID($E312,2,20)),1000000000)+ROW()/100000,"")</f>
        <v/>
      </c>
    </row>
    <row r="313">
      <c r="G313" s="11" t="n"/>
      <c r="Q313" s="7">
        <f>IF($E313="","",P313*Y313/100)</f>
        <v/>
      </c>
      <c r="R313" s="7" t="n"/>
      <c r="X313" s="7" t="n"/>
      <c r="Y313" s="7" t="n"/>
      <c r="AB313">
        <f>IF($E313="","",IF($AQ313=1,0,IF($AP313=1,Settings!$C$6,Settings!$C$7))*100)</f>
        <v/>
      </c>
      <c r="AC313" s="7">
        <f>IF($E313="","",Y313*AB313/100)</f>
        <v/>
      </c>
      <c r="AD313" s="7">
        <f>IF($E313="","",Y313-AC313)</f>
        <v/>
      </c>
      <c r="AE313" s="7">
        <f>IF($E313="","",AD313-Q313)</f>
        <v/>
      </c>
      <c r="AI313" s="7" t="n"/>
      <c r="AL313" s="11" t="n"/>
      <c r="AN313">
        <f>IF($E313="","",IF(COUNTIF($E$2:$E313,$E313)=1,1,0))</f>
        <v/>
      </c>
      <c r="AO313">
        <f>IF($AN313=1,SUMPRODUCT(--($AR$2:$AR$4001&lt;$AR313))+1,"")</f>
        <v/>
      </c>
      <c r="AP313">
        <f>IF($E313="","",IF(OR($U313=TRUE(),$U313="TRUE"),1,0))</f>
        <v/>
      </c>
      <c r="AQ313">
        <f>IF($E313="","",IF($AA313="Yes",1,0))</f>
        <v/>
      </c>
      <c r="AR313">
        <f>IF($AN313=1,IFERROR(VALUE(MID($E313,2,20)),1000000000)+ROW()/100000,"")</f>
        <v/>
      </c>
    </row>
    <row r="314">
      <c r="G314" s="11" t="n"/>
      <c r="Q314" s="7">
        <f>IF($E314="","",P314*Y314/100)</f>
        <v/>
      </c>
      <c r="R314" s="7" t="n"/>
      <c r="X314" s="7" t="n"/>
      <c r="Y314" s="7" t="n"/>
      <c r="AB314">
        <f>IF($E314="","",IF($AQ314=1,0,IF($AP314=1,Settings!$C$6,Settings!$C$7))*100)</f>
        <v/>
      </c>
      <c r="AC314" s="7">
        <f>IF($E314="","",Y314*AB314/100)</f>
        <v/>
      </c>
      <c r="AD314" s="7">
        <f>IF($E314="","",Y314-AC314)</f>
        <v/>
      </c>
      <c r="AE314" s="7">
        <f>IF($E314="","",AD314-Q314)</f>
        <v/>
      </c>
      <c r="AI314" s="7" t="n"/>
      <c r="AL314" s="11" t="n"/>
      <c r="AN314">
        <f>IF($E314="","",IF(COUNTIF($E$2:$E314,$E314)=1,1,0))</f>
        <v/>
      </c>
      <c r="AO314">
        <f>IF($AN314=1,SUMPRODUCT(--($AR$2:$AR$4001&lt;$AR314))+1,"")</f>
        <v/>
      </c>
      <c r="AP314">
        <f>IF($E314="","",IF(OR($U314=TRUE(),$U314="TRUE"),1,0))</f>
        <v/>
      </c>
      <c r="AQ314">
        <f>IF($E314="","",IF($AA314="Yes",1,0))</f>
        <v/>
      </c>
      <c r="AR314">
        <f>IF($AN314=1,IFERROR(VALUE(MID($E314,2,20)),1000000000)+ROW()/100000,"")</f>
        <v/>
      </c>
    </row>
    <row r="315">
      <c r="G315" s="11" t="n"/>
      <c r="Q315" s="7">
        <f>IF($E315="","",P315*Y315/100)</f>
        <v/>
      </c>
      <c r="R315" s="7" t="n"/>
      <c r="X315" s="7" t="n"/>
      <c r="Y315" s="7" t="n"/>
      <c r="AB315">
        <f>IF($E315="","",IF($AQ315=1,0,IF($AP315=1,Settings!$C$6,Settings!$C$7))*100)</f>
        <v/>
      </c>
      <c r="AC315" s="7">
        <f>IF($E315="","",Y315*AB315/100)</f>
        <v/>
      </c>
      <c r="AD315" s="7">
        <f>IF($E315="","",Y315-AC315)</f>
        <v/>
      </c>
      <c r="AE315" s="7">
        <f>IF($E315="","",AD315-Q315)</f>
        <v/>
      </c>
      <c r="AI315" s="7" t="n"/>
      <c r="AL315" s="11" t="n"/>
      <c r="AN315">
        <f>IF($E315="","",IF(COUNTIF($E$2:$E315,$E315)=1,1,0))</f>
        <v/>
      </c>
      <c r="AO315">
        <f>IF($AN315=1,SUMPRODUCT(--($AR$2:$AR$4001&lt;$AR315))+1,"")</f>
        <v/>
      </c>
      <c r="AP315">
        <f>IF($E315="","",IF(OR($U315=TRUE(),$U315="TRUE"),1,0))</f>
        <v/>
      </c>
      <c r="AQ315">
        <f>IF($E315="","",IF($AA315="Yes",1,0))</f>
        <v/>
      </c>
      <c r="AR315">
        <f>IF($AN315=1,IFERROR(VALUE(MID($E315,2,20)),1000000000)+ROW()/100000,"")</f>
        <v/>
      </c>
    </row>
    <row r="316">
      <c r="G316" s="11" t="n"/>
      <c r="Q316" s="7">
        <f>IF($E316="","",P316*Y316/100)</f>
        <v/>
      </c>
      <c r="R316" s="7" t="n"/>
      <c r="X316" s="7" t="n"/>
      <c r="Y316" s="7" t="n"/>
      <c r="AB316">
        <f>IF($E316="","",IF($AQ316=1,0,IF($AP316=1,Settings!$C$6,Settings!$C$7))*100)</f>
        <v/>
      </c>
      <c r="AC316" s="7">
        <f>IF($E316="","",Y316*AB316/100)</f>
        <v/>
      </c>
      <c r="AD316" s="7">
        <f>IF($E316="","",Y316-AC316)</f>
        <v/>
      </c>
      <c r="AE316" s="7">
        <f>IF($E316="","",AD316-Q316)</f>
        <v/>
      </c>
      <c r="AI316" s="7" t="n"/>
      <c r="AL316" s="11" t="n"/>
      <c r="AN316">
        <f>IF($E316="","",IF(COUNTIF($E$2:$E316,$E316)=1,1,0))</f>
        <v/>
      </c>
      <c r="AO316">
        <f>IF($AN316=1,SUMPRODUCT(--($AR$2:$AR$4001&lt;$AR316))+1,"")</f>
        <v/>
      </c>
      <c r="AP316">
        <f>IF($E316="","",IF(OR($U316=TRUE(),$U316="TRUE"),1,0))</f>
        <v/>
      </c>
      <c r="AQ316">
        <f>IF($E316="","",IF($AA316="Yes",1,0))</f>
        <v/>
      </c>
      <c r="AR316">
        <f>IF($AN316=1,IFERROR(VALUE(MID($E316,2,20)),1000000000)+ROW()/100000,"")</f>
        <v/>
      </c>
    </row>
    <row r="317">
      <c r="G317" s="11" t="n"/>
      <c r="Q317" s="7">
        <f>IF($E317="","",P317*Y317/100)</f>
        <v/>
      </c>
      <c r="R317" s="7" t="n"/>
      <c r="X317" s="7" t="n"/>
      <c r="Y317" s="7" t="n"/>
      <c r="AB317">
        <f>IF($E317="","",IF($AQ317=1,0,IF($AP317=1,Settings!$C$6,Settings!$C$7))*100)</f>
        <v/>
      </c>
      <c r="AC317" s="7">
        <f>IF($E317="","",Y317*AB317/100)</f>
        <v/>
      </c>
      <c r="AD317" s="7">
        <f>IF($E317="","",Y317-AC317)</f>
        <v/>
      </c>
      <c r="AE317" s="7">
        <f>IF($E317="","",AD317-Q317)</f>
        <v/>
      </c>
      <c r="AI317" s="7" t="n"/>
      <c r="AL317" s="11" t="n"/>
      <c r="AN317">
        <f>IF($E317="","",IF(COUNTIF($E$2:$E317,$E317)=1,1,0))</f>
        <v/>
      </c>
      <c r="AO317">
        <f>IF($AN317=1,SUMPRODUCT(--($AR$2:$AR$4001&lt;$AR317))+1,"")</f>
        <v/>
      </c>
      <c r="AP317">
        <f>IF($E317="","",IF(OR($U317=TRUE(),$U317="TRUE"),1,0))</f>
        <v/>
      </c>
      <c r="AQ317">
        <f>IF($E317="","",IF($AA317="Yes",1,0))</f>
        <v/>
      </c>
      <c r="AR317">
        <f>IF($AN317=1,IFERROR(VALUE(MID($E317,2,20)),1000000000)+ROW()/100000,"")</f>
        <v/>
      </c>
    </row>
    <row r="318">
      <c r="G318" s="11" t="n"/>
      <c r="Q318" s="7">
        <f>IF($E318="","",P318*Y318/100)</f>
        <v/>
      </c>
      <c r="R318" s="7" t="n"/>
      <c r="X318" s="7" t="n"/>
      <c r="Y318" s="7" t="n"/>
      <c r="AB318">
        <f>IF($E318="","",IF($AQ318=1,0,IF($AP318=1,Settings!$C$6,Settings!$C$7))*100)</f>
        <v/>
      </c>
      <c r="AC318" s="7">
        <f>IF($E318="","",Y318*AB318/100)</f>
        <v/>
      </c>
      <c r="AD318" s="7">
        <f>IF($E318="","",Y318-AC318)</f>
        <v/>
      </c>
      <c r="AE318" s="7">
        <f>IF($E318="","",AD318-Q318)</f>
        <v/>
      </c>
      <c r="AI318" s="7" t="n"/>
      <c r="AL318" s="11" t="n"/>
      <c r="AN318">
        <f>IF($E318="","",IF(COUNTIF($E$2:$E318,$E318)=1,1,0))</f>
        <v/>
      </c>
      <c r="AO318">
        <f>IF($AN318=1,SUMPRODUCT(--($AR$2:$AR$4001&lt;$AR318))+1,"")</f>
        <v/>
      </c>
      <c r="AP318">
        <f>IF($E318="","",IF(OR($U318=TRUE(),$U318="TRUE"),1,0))</f>
        <v/>
      </c>
      <c r="AQ318">
        <f>IF($E318="","",IF($AA318="Yes",1,0))</f>
        <v/>
      </c>
      <c r="AR318">
        <f>IF($AN318=1,IFERROR(VALUE(MID($E318,2,20)),1000000000)+ROW()/100000,"")</f>
        <v/>
      </c>
    </row>
    <row r="319">
      <c r="G319" s="11" t="n"/>
      <c r="Q319" s="7">
        <f>IF($E319="","",P319*Y319/100)</f>
        <v/>
      </c>
      <c r="R319" s="7" t="n"/>
      <c r="X319" s="7" t="n"/>
      <c r="Y319" s="7" t="n"/>
      <c r="AB319">
        <f>IF($E319="","",IF($AQ319=1,0,IF($AP319=1,Settings!$C$6,Settings!$C$7))*100)</f>
        <v/>
      </c>
      <c r="AC319" s="7">
        <f>IF($E319="","",Y319*AB319/100)</f>
        <v/>
      </c>
      <c r="AD319" s="7">
        <f>IF($E319="","",Y319-AC319)</f>
        <v/>
      </c>
      <c r="AE319" s="7">
        <f>IF($E319="","",AD319-Q319)</f>
        <v/>
      </c>
      <c r="AI319" s="7" t="n"/>
      <c r="AL319" s="11" t="n"/>
      <c r="AN319">
        <f>IF($E319="","",IF(COUNTIF($E$2:$E319,$E319)=1,1,0))</f>
        <v/>
      </c>
      <c r="AO319">
        <f>IF($AN319=1,SUMPRODUCT(--($AR$2:$AR$4001&lt;$AR319))+1,"")</f>
        <v/>
      </c>
      <c r="AP319">
        <f>IF($E319="","",IF(OR($U319=TRUE(),$U319="TRUE"),1,0))</f>
        <v/>
      </c>
      <c r="AQ319">
        <f>IF($E319="","",IF($AA319="Yes",1,0))</f>
        <v/>
      </c>
      <c r="AR319">
        <f>IF($AN319=1,IFERROR(VALUE(MID($E319,2,20)),1000000000)+ROW()/100000,"")</f>
        <v/>
      </c>
    </row>
    <row r="320">
      <c r="G320" s="11" t="n"/>
      <c r="Q320" s="7">
        <f>IF($E320="","",P320*Y320/100)</f>
        <v/>
      </c>
      <c r="R320" s="7" t="n"/>
      <c r="X320" s="7" t="n"/>
      <c r="Y320" s="7" t="n"/>
      <c r="AB320">
        <f>IF($E320="","",IF($AQ320=1,0,IF($AP320=1,Settings!$C$6,Settings!$C$7))*100)</f>
        <v/>
      </c>
      <c r="AC320" s="7">
        <f>IF($E320="","",Y320*AB320/100)</f>
        <v/>
      </c>
      <c r="AD320" s="7">
        <f>IF($E320="","",Y320-AC320)</f>
        <v/>
      </c>
      <c r="AE320" s="7">
        <f>IF($E320="","",AD320-Q320)</f>
        <v/>
      </c>
      <c r="AI320" s="7" t="n"/>
      <c r="AL320" s="11" t="n"/>
      <c r="AN320">
        <f>IF($E320="","",IF(COUNTIF($E$2:$E320,$E320)=1,1,0))</f>
        <v/>
      </c>
      <c r="AO320">
        <f>IF($AN320=1,SUMPRODUCT(--($AR$2:$AR$4001&lt;$AR320))+1,"")</f>
        <v/>
      </c>
      <c r="AP320">
        <f>IF($E320="","",IF(OR($U320=TRUE(),$U320="TRUE"),1,0))</f>
        <v/>
      </c>
      <c r="AQ320">
        <f>IF($E320="","",IF($AA320="Yes",1,0))</f>
        <v/>
      </c>
      <c r="AR320">
        <f>IF($AN320=1,IFERROR(VALUE(MID($E320,2,20)),1000000000)+ROW()/100000,"")</f>
        <v/>
      </c>
    </row>
    <row r="321">
      <c r="G321" s="11" t="n"/>
      <c r="Q321" s="7">
        <f>IF($E321="","",P321*Y321/100)</f>
        <v/>
      </c>
      <c r="R321" s="7" t="n"/>
      <c r="X321" s="7" t="n"/>
      <c r="Y321" s="7" t="n"/>
      <c r="AB321">
        <f>IF($E321="","",IF($AQ321=1,0,IF($AP321=1,Settings!$C$6,Settings!$C$7))*100)</f>
        <v/>
      </c>
      <c r="AC321" s="7">
        <f>IF($E321="","",Y321*AB321/100)</f>
        <v/>
      </c>
      <c r="AD321" s="7">
        <f>IF($E321="","",Y321-AC321)</f>
        <v/>
      </c>
      <c r="AE321" s="7">
        <f>IF($E321="","",AD321-Q321)</f>
        <v/>
      </c>
      <c r="AI321" s="7" t="n"/>
      <c r="AL321" s="11" t="n"/>
      <c r="AN321">
        <f>IF($E321="","",IF(COUNTIF($E$2:$E321,$E321)=1,1,0))</f>
        <v/>
      </c>
      <c r="AO321">
        <f>IF($AN321=1,SUMPRODUCT(--($AR$2:$AR$4001&lt;$AR321))+1,"")</f>
        <v/>
      </c>
      <c r="AP321">
        <f>IF($E321="","",IF(OR($U321=TRUE(),$U321="TRUE"),1,0))</f>
        <v/>
      </c>
      <c r="AQ321">
        <f>IF($E321="","",IF($AA321="Yes",1,0))</f>
        <v/>
      </c>
      <c r="AR321">
        <f>IF($AN321=1,IFERROR(VALUE(MID($E321,2,20)),1000000000)+ROW()/100000,"")</f>
        <v/>
      </c>
    </row>
    <row r="322">
      <c r="G322" s="11" t="n"/>
      <c r="Q322" s="7">
        <f>IF($E322="","",P322*Y322/100)</f>
        <v/>
      </c>
      <c r="R322" s="7" t="n"/>
      <c r="X322" s="7" t="n"/>
      <c r="Y322" s="7" t="n"/>
      <c r="AB322">
        <f>IF($E322="","",IF($AQ322=1,0,IF($AP322=1,Settings!$C$6,Settings!$C$7))*100)</f>
        <v/>
      </c>
      <c r="AC322" s="7">
        <f>IF($E322="","",Y322*AB322/100)</f>
        <v/>
      </c>
      <c r="AD322" s="7">
        <f>IF($E322="","",Y322-AC322)</f>
        <v/>
      </c>
      <c r="AE322" s="7">
        <f>IF($E322="","",AD322-Q322)</f>
        <v/>
      </c>
      <c r="AI322" s="7" t="n"/>
      <c r="AL322" s="11" t="n"/>
      <c r="AN322">
        <f>IF($E322="","",IF(COUNTIF($E$2:$E322,$E322)=1,1,0))</f>
        <v/>
      </c>
      <c r="AO322">
        <f>IF($AN322=1,SUMPRODUCT(--($AR$2:$AR$4001&lt;$AR322))+1,"")</f>
        <v/>
      </c>
      <c r="AP322">
        <f>IF($E322="","",IF(OR($U322=TRUE(),$U322="TRUE"),1,0))</f>
        <v/>
      </c>
      <c r="AQ322">
        <f>IF($E322="","",IF($AA322="Yes",1,0))</f>
        <v/>
      </c>
      <c r="AR322">
        <f>IF($AN322=1,IFERROR(VALUE(MID($E322,2,20)),1000000000)+ROW()/100000,"")</f>
        <v/>
      </c>
    </row>
    <row r="323">
      <c r="G323" s="11" t="n"/>
      <c r="Q323" s="7">
        <f>IF($E323="","",P323*Y323/100)</f>
        <v/>
      </c>
      <c r="R323" s="7" t="n"/>
      <c r="X323" s="7" t="n"/>
      <c r="Y323" s="7" t="n"/>
      <c r="AB323">
        <f>IF($E323="","",IF($AQ323=1,0,IF($AP323=1,Settings!$C$6,Settings!$C$7))*100)</f>
        <v/>
      </c>
      <c r="AC323" s="7">
        <f>IF($E323="","",Y323*AB323/100)</f>
        <v/>
      </c>
      <c r="AD323" s="7">
        <f>IF($E323="","",Y323-AC323)</f>
        <v/>
      </c>
      <c r="AE323" s="7">
        <f>IF($E323="","",AD323-Q323)</f>
        <v/>
      </c>
      <c r="AI323" s="7" t="n"/>
      <c r="AL323" s="11" t="n"/>
      <c r="AN323">
        <f>IF($E323="","",IF(COUNTIF($E$2:$E323,$E323)=1,1,0))</f>
        <v/>
      </c>
      <c r="AO323">
        <f>IF($AN323=1,SUMPRODUCT(--($AR$2:$AR$4001&lt;$AR323))+1,"")</f>
        <v/>
      </c>
      <c r="AP323">
        <f>IF($E323="","",IF(OR($U323=TRUE(),$U323="TRUE"),1,0))</f>
        <v/>
      </c>
      <c r="AQ323">
        <f>IF($E323="","",IF($AA323="Yes",1,0))</f>
        <v/>
      </c>
      <c r="AR323">
        <f>IF($AN323=1,IFERROR(VALUE(MID($E323,2,20)),1000000000)+ROW()/100000,"")</f>
        <v/>
      </c>
    </row>
    <row r="324">
      <c r="G324" s="11" t="n"/>
      <c r="Q324" s="7">
        <f>IF($E324="","",P324*Y324/100)</f>
        <v/>
      </c>
      <c r="R324" s="7" t="n"/>
      <c r="X324" s="7" t="n"/>
      <c r="Y324" s="7" t="n"/>
      <c r="AB324">
        <f>IF($E324="","",IF($AQ324=1,0,IF($AP324=1,Settings!$C$6,Settings!$C$7))*100)</f>
        <v/>
      </c>
      <c r="AC324" s="7">
        <f>IF($E324="","",Y324*AB324/100)</f>
        <v/>
      </c>
      <c r="AD324" s="7">
        <f>IF($E324="","",Y324-AC324)</f>
        <v/>
      </c>
      <c r="AE324" s="7">
        <f>IF($E324="","",AD324-Q324)</f>
        <v/>
      </c>
      <c r="AI324" s="7" t="n"/>
      <c r="AL324" s="11" t="n"/>
      <c r="AN324">
        <f>IF($E324="","",IF(COUNTIF($E$2:$E324,$E324)=1,1,0))</f>
        <v/>
      </c>
      <c r="AO324">
        <f>IF($AN324=1,SUMPRODUCT(--($AR$2:$AR$4001&lt;$AR324))+1,"")</f>
        <v/>
      </c>
      <c r="AP324">
        <f>IF($E324="","",IF(OR($U324=TRUE(),$U324="TRUE"),1,0))</f>
        <v/>
      </c>
      <c r="AQ324">
        <f>IF($E324="","",IF($AA324="Yes",1,0))</f>
        <v/>
      </c>
      <c r="AR324">
        <f>IF($AN324=1,IFERROR(VALUE(MID($E324,2,20)),1000000000)+ROW()/100000,"")</f>
        <v/>
      </c>
    </row>
    <row r="325">
      <c r="G325" s="11" t="n"/>
      <c r="Q325" s="7">
        <f>IF($E325="","",P325*Y325/100)</f>
        <v/>
      </c>
      <c r="R325" s="7" t="n"/>
      <c r="X325" s="7" t="n"/>
      <c r="Y325" s="7" t="n"/>
      <c r="AB325">
        <f>IF($E325="","",IF($AQ325=1,0,IF($AP325=1,Settings!$C$6,Settings!$C$7))*100)</f>
        <v/>
      </c>
      <c r="AC325" s="7">
        <f>IF($E325="","",Y325*AB325/100)</f>
        <v/>
      </c>
      <c r="AD325" s="7">
        <f>IF($E325="","",Y325-AC325)</f>
        <v/>
      </c>
      <c r="AE325" s="7">
        <f>IF($E325="","",AD325-Q325)</f>
        <v/>
      </c>
      <c r="AI325" s="7" t="n"/>
      <c r="AL325" s="11" t="n"/>
      <c r="AN325">
        <f>IF($E325="","",IF(COUNTIF($E$2:$E325,$E325)=1,1,0))</f>
        <v/>
      </c>
      <c r="AO325">
        <f>IF($AN325=1,SUMPRODUCT(--($AR$2:$AR$4001&lt;$AR325))+1,"")</f>
        <v/>
      </c>
      <c r="AP325">
        <f>IF($E325="","",IF(OR($U325=TRUE(),$U325="TRUE"),1,0))</f>
        <v/>
      </c>
      <c r="AQ325">
        <f>IF($E325="","",IF($AA325="Yes",1,0))</f>
        <v/>
      </c>
      <c r="AR325">
        <f>IF($AN325=1,IFERROR(VALUE(MID($E325,2,20)),1000000000)+ROW()/100000,"")</f>
        <v/>
      </c>
    </row>
    <row r="326">
      <c r="G326" s="11" t="n"/>
      <c r="Q326" s="7">
        <f>IF($E326="","",P326*Y326/100)</f>
        <v/>
      </c>
      <c r="R326" s="7" t="n"/>
      <c r="X326" s="7" t="n"/>
      <c r="Y326" s="7" t="n"/>
      <c r="AB326">
        <f>IF($E326="","",IF($AQ326=1,0,IF($AP326=1,Settings!$C$6,Settings!$C$7))*100)</f>
        <v/>
      </c>
      <c r="AC326" s="7">
        <f>IF($E326="","",Y326*AB326/100)</f>
        <v/>
      </c>
      <c r="AD326" s="7">
        <f>IF($E326="","",Y326-AC326)</f>
        <v/>
      </c>
      <c r="AE326" s="7">
        <f>IF($E326="","",AD326-Q326)</f>
        <v/>
      </c>
      <c r="AI326" s="7" t="n"/>
      <c r="AL326" s="11" t="n"/>
      <c r="AN326">
        <f>IF($E326="","",IF(COUNTIF($E$2:$E326,$E326)=1,1,0))</f>
        <v/>
      </c>
      <c r="AO326">
        <f>IF($AN326=1,SUMPRODUCT(--($AR$2:$AR$4001&lt;$AR326))+1,"")</f>
        <v/>
      </c>
      <c r="AP326">
        <f>IF($E326="","",IF(OR($U326=TRUE(),$U326="TRUE"),1,0))</f>
        <v/>
      </c>
      <c r="AQ326">
        <f>IF($E326="","",IF($AA326="Yes",1,0))</f>
        <v/>
      </c>
      <c r="AR326">
        <f>IF($AN326=1,IFERROR(VALUE(MID($E326,2,20)),1000000000)+ROW()/100000,"")</f>
        <v/>
      </c>
    </row>
    <row r="327">
      <c r="G327" s="11" t="n"/>
      <c r="Q327" s="7">
        <f>IF($E327="","",P327*Y327/100)</f>
        <v/>
      </c>
      <c r="R327" s="7" t="n"/>
      <c r="X327" s="7" t="n"/>
      <c r="Y327" s="7" t="n"/>
      <c r="AB327">
        <f>IF($E327="","",IF($AQ327=1,0,IF($AP327=1,Settings!$C$6,Settings!$C$7))*100)</f>
        <v/>
      </c>
      <c r="AC327" s="7">
        <f>IF($E327="","",Y327*AB327/100)</f>
        <v/>
      </c>
      <c r="AD327" s="7">
        <f>IF($E327="","",Y327-AC327)</f>
        <v/>
      </c>
      <c r="AE327" s="7">
        <f>IF($E327="","",AD327-Q327)</f>
        <v/>
      </c>
      <c r="AI327" s="7" t="n"/>
      <c r="AL327" s="11" t="n"/>
      <c r="AN327">
        <f>IF($E327="","",IF(COUNTIF($E$2:$E327,$E327)=1,1,0))</f>
        <v/>
      </c>
      <c r="AO327">
        <f>IF($AN327=1,SUMPRODUCT(--($AR$2:$AR$4001&lt;$AR327))+1,"")</f>
        <v/>
      </c>
      <c r="AP327">
        <f>IF($E327="","",IF(OR($U327=TRUE(),$U327="TRUE"),1,0))</f>
        <v/>
      </c>
      <c r="AQ327">
        <f>IF($E327="","",IF($AA327="Yes",1,0))</f>
        <v/>
      </c>
      <c r="AR327">
        <f>IF($AN327=1,IFERROR(VALUE(MID($E327,2,20)),1000000000)+ROW()/100000,"")</f>
        <v/>
      </c>
    </row>
    <row r="328">
      <c r="G328" s="11" t="n"/>
      <c r="Q328" s="7">
        <f>IF($E328="","",P328*Y328/100)</f>
        <v/>
      </c>
      <c r="R328" s="7" t="n"/>
      <c r="X328" s="7" t="n"/>
      <c r="Y328" s="7" t="n"/>
      <c r="AB328">
        <f>IF($E328="","",IF($AQ328=1,0,IF($AP328=1,Settings!$C$6,Settings!$C$7))*100)</f>
        <v/>
      </c>
      <c r="AC328" s="7">
        <f>IF($E328="","",Y328*AB328/100)</f>
        <v/>
      </c>
      <c r="AD328" s="7">
        <f>IF($E328="","",Y328-AC328)</f>
        <v/>
      </c>
      <c r="AE328" s="7">
        <f>IF($E328="","",AD328-Q328)</f>
        <v/>
      </c>
      <c r="AI328" s="7" t="n"/>
      <c r="AL328" s="11" t="n"/>
      <c r="AN328">
        <f>IF($E328="","",IF(COUNTIF($E$2:$E328,$E328)=1,1,0))</f>
        <v/>
      </c>
      <c r="AO328">
        <f>IF($AN328=1,SUMPRODUCT(--($AR$2:$AR$4001&lt;$AR328))+1,"")</f>
        <v/>
      </c>
      <c r="AP328">
        <f>IF($E328="","",IF(OR($U328=TRUE(),$U328="TRUE"),1,0))</f>
        <v/>
      </c>
      <c r="AQ328">
        <f>IF($E328="","",IF($AA328="Yes",1,0))</f>
        <v/>
      </c>
      <c r="AR328">
        <f>IF($AN328=1,IFERROR(VALUE(MID($E328,2,20)),1000000000)+ROW()/100000,"")</f>
        <v/>
      </c>
    </row>
    <row r="329">
      <c r="G329" s="11" t="n"/>
      <c r="Q329" s="7">
        <f>IF($E329="","",P329*Y329/100)</f>
        <v/>
      </c>
      <c r="R329" s="7" t="n"/>
      <c r="X329" s="7" t="n"/>
      <c r="Y329" s="7" t="n"/>
      <c r="AB329">
        <f>IF($E329="","",IF($AQ329=1,0,IF($AP329=1,Settings!$C$6,Settings!$C$7))*100)</f>
        <v/>
      </c>
      <c r="AC329" s="7">
        <f>IF($E329="","",Y329*AB329/100)</f>
        <v/>
      </c>
      <c r="AD329" s="7">
        <f>IF($E329="","",Y329-AC329)</f>
        <v/>
      </c>
      <c r="AE329" s="7">
        <f>IF($E329="","",AD329-Q329)</f>
        <v/>
      </c>
      <c r="AI329" s="7" t="n"/>
      <c r="AL329" s="11" t="n"/>
      <c r="AN329">
        <f>IF($E329="","",IF(COUNTIF($E$2:$E329,$E329)=1,1,0))</f>
        <v/>
      </c>
      <c r="AO329">
        <f>IF($AN329=1,SUMPRODUCT(--($AR$2:$AR$4001&lt;$AR329))+1,"")</f>
        <v/>
      </c>
      <c r="AP329">
        <f>IF($E329="","",IF(OR($U329=TRUE(),$U329="TRUE"),1,0))</f>
        <v/>
      </c>
      <c r="AQ329">
        <f>IF($E329="","",IF($AA329="Yes",1,0))</f>
        <v/>
      </c>
      <c r="AR329">
        <f>IF($AN329=1,IFERROR(VALUE(MID($E329,2,20)),1000000000)+ROW()/100000,"")</f>
        <v/>
      </c>
    </row>
    <row r="330">
      <c r="G330" s="11" t="n"/>
      <c r="Q330" s="7">
        <f>IF($E330="","",P330*Y330/100)</f>
        <v/>
      </c>
      <c r="R330" s="7" t="n"/>
      <c r="X330" s="7" t="n"/>
      <c r="Y330" s="7" t="n"/>
      <c r="AB330">
        <f>IF($E330="","",IF($AQ330=1,0,IF($AP330=1,Settings!$C$6,Settings!$C$7))*100)</f>
        <v/>
      </c>
      <c r="AC330" s="7">
        <f>IF($E330="","",Y330*AB330/100)</f>
        <v/>
      </c>
      <c r="AD330" s="7">
        <f>IF($E330="","",Y330-AC330)</f>
        <v/>
      </c>
      <c r="AE330" s="7">
        <f>IF($E330="","",AD330-Q330)</f>
        <v/>
      </c>
      <c r="AI330" s="7" t="n"/>
      <c r="AL330" s="11" t="n"/>
      <c r="AN330">
        <f>IF($E330="","",IF(COUNTIF($E$2:$E330,$E330)=1,1,0))</f>
        <v/>
      </c>
      <c r="AO330">
        <f>IF($AN330=1,SUMPRODUCT(--($AR$2:$AR$4001&lt;$AR330))+1,"")</f>
        <v/>
      </c>
      <c r="AP330">
        <f>IF($E330="","",IF(OR($U330=TRUE(),$U330="TRUE"),1,0))</f>
        <v/>
      </c>
      <c r="AQ330">
        <f>IF($E330="","",IF($AA330="Yes",1,0))</f>
        <v/>
      </c>
      <c r="AR330">
        <f>IF($AN330=1,IFERROR(VALUE(MID($E330,2,20)),1000000000)+ROW()/100000,"")</f>
        <v/>
      </c>
    </row>
    <row r="331">
      <c r="G331" s="11" t="n"/>
      <c r="Q331" s="7">
        <f>IF($E331="","",P331*Y331/100)</f>
        <v/>
      </c>
      <c r="R331" s="7" t="n"/>
      <c r="X331" s="7" t="n"/>
      <c r="Y331" s="7" t="n"/>
      <c r="AB331">
        <f>IF($E331="","",IF($AQ331=1,0,IF($AP331=1,Settings!$C$6,Settings!$C$7))*100)</f>
        <v/>
      </c>
      <c r="AC331" s="7">
        <f>IF($E331="","",Y331*AB331/100)</f>
        <v/>
      </c>
      <c r="AD331" s="7">
        <f>IF($E331="","",Y331-AC331)</f>
        <v/>
      </c>
      <c r="AE331" s="7">
        <f>IF($E331="","",AD331-Q331)</f>
        <v/>
      </c>
      <c r="AI331" s="7" t="n"/>
      <c r="AL331" s="11" t="n"/>
      <c r="AN331">
        <f>IF($E331="","",IF(COUNTIF($E$2:$E331,$E331)=1,1,0))</f>
        <v/>
      </c>
      <c r="AO331">
        <f>IF($AN331=1,SUMPRODUCT(--($AR$2:$AR$4001&lt;$AR331))+1,"")</f>
        <v/>
      </c>
      <c r="AP331">
        <f>IF($E331="","",IF(OR($U331=TRUE(),$U331="TRUE"),1,0))</f>
        <v/>
      </c>
      <c r="AQ331">
        <f>IF($E331="","",IF($AA331="Yes",1,0))</f>
        <v/>
      </c>
      <c r="AR331">
        <f>IF($AN331=1,IFERROR(VALUE(MID($E331,2,20)),1000000000)+ROW()/100000,"")</f>
        <v/>
      </c>
    </row>
    <row r="332">
      <c r="G332" s="11" t="n"/>
      <c r="Q332" s="7">
        <f>IF($E332="","",P332*Y332/100)</f>
        <v/>
      </c>
      <c r="R332" s="7" t="n"/>
      <c r="X332" s="7" t="n"/>
      <c r="Y332" s="7" t="n"/>
      <c r="AB332">
        <f>IF($E332="","",IF($AQ332=1,0,IF($AP332=1,Settings!$C$6,Settings!$C$7))*100)</f>
        <v/>
      </c>
      <c r="AC332" s="7">
        <f>IF($E332="","",Y332*AB332/100)</f>
        <v/>
      </c>
      <c r="AD332" s="7">
        <f>IF($E332="","",Y332-AC332)</f>
        <v/>
      </c>
      <c r="AE332" s="7">
        <f>IF($E332="","",AD332-Q332)</f>
        <v/>
      </c>
      <c r="AI332" s="7" t="n"/>
      <c r="AL332" s="11" t="n"/>
      <c r="AN332">
        <f>IF($E332="","",IF(COUNTIF($E$2:$E332,$E332)=1,1,0))</f>
        <v/>
      </c>
      <c r="AO332">
        <f>IF($AN332=1,SUMPRODUCT(--($AR$2:$AR$4001&lt;$AR332))+1,"")</f>
        <v/>
      </c>
      <c r="AP332">
        <f>IF($E332="","",IF(OR($U332=TRUE(),$U332="TRUE"),1,0))</f>
        <v/>
      </c>
      <c r="AQ332">
        <f>IF($E332="","",IF($AA332="Yes",1,0))</f>
        <v/>
      </c>
      <c r="AR332">
        <f>IF($AN332=1,IFERROR(VALUE(MID($E332,2,20)),1000000000)+ROW()/100000,"")</f>
        <v/>
      </c>
    </row>
    <row r="333">
      <c r="G333" s="11" t="n"/>
      <c r="Q333" s="7">
        <f>IF($E333="","",P333*Y333/100)</f>
        <v/>
      </c>
      <c r="R333" s="7" t="n"/>
      <c r="X333" s="7" t="n"/>
      <c r="Y333" s="7" t="n"/>
      <c r="AB333">
        <f>IF($E333="","",IF($AQ333=1,0,IF($AP333=1,Settings!$C$6,Settings!$C$7))*100)</f>
        <v/>
      </c>
      <c r="AC333" s="7">
        <f>IF($E333="","",Y333*AB333/100)</f>
        <v/>
      </c>
      <c r="AD333" s="7">
        <f>IF($E333="","",Y333-AC333)</f>
        <v/>
      </c>
      <c r="AE333" s="7">
        <f>IF($E333="","",AD333-Q333)</f>
        <v/>
      </c>
      <c r="AI333" s="7" t="n"/>
      <c r="AL333" s="11" t="n"/>
      <c r="AN333">
        <f>IF($E333="","",IF(COUNTIF($E$2:$E333,$E333)=1,1,0))</f>
        <v/>
      </c>
      <c r="AO333">
        <f>IF($AN333=1,SUMPRODUCT(--($AR$2:$AR$4001&lt;$AR333))+1,"")</f>
        <v/>
      </c>
      <c r="AP333">
        <f>IF($E333="","",IF(OR($U333=TRUE(),$U333="TRUE"),1,0))</f>
        <v/>
      </c>
      <c r="AQ333">
        <f>IF($E333="","",IF($AA333="Yes",1,0))</f>
        <v/>
      </c>
      <c r="AR333">
        <f>IF($AN333=1,IFERROR(VALUE(MID($E333,2,20)),1000000000)+ROW()/100000,"")</f>
        <v/>
      </c>
    </row>
    <row r="334">
      <c r="G334" s="11" t="n"/>
      <c r="Q334" s="7">
        <f>IF($E334="","",P334*Y334/100)</f>
        <v/>
      </c>
      <c r="R334" s="7" t="n"/>
      <c r="X334" s="7" t="n"/>
      <c r="Y334" s="7" t="n"/>
      <c r="AB334">
        <f>IF($E334="","",IF($AQ334=1,0,IF($AP334=1,Settings!$C$6,Settings!$C$7))*100)</f>
        <v/>
      </c>
      <c r="AC334" s="7">
        <f>IF($E334="","",Y334*AB334/100)</f>
        <v/>
      </c>
      <c r="AD334" s="7">
        <f>IF($E334="","",Y334-AC334)</f>
        <v/>
      </c>
      <c r="AE334" s="7">
        <f>IF($E334="","",AD334-Q334)</f>
        <v/>
      </c>
      <c r="AI334" s="7" t="n"/>
      <c r="AL334" s="11" t="n"/>
      <c r="AN334">
        <f>IF($E334="","",IF(COUNTIF($E$2:$E334,$E334)=1,1,0))</f>
        <v/>
      </c>
      <c r="AO334">
        <f>IF($AN334=1,SUMPRODUCT(--($AR$2:$AR$4001&lt;$AR334))+1,"")</f>
        <v/>
      </c>
      <c r="AP334">
        <f>IF($E334="","",IF(OR($U334=TRUE(),$U334="TRUE"),1,0))</f>
        <v/>
      </c>
      <c r="AQ334">
        <f>IF($E334="","",IF($AA334="Yes",1,0))</f>
        <v/>
      </c>
      <c r="AR334">
        <f>IF($AN334=1,IFERROR(VALUE(MID($E334,2,20)),1000000000)+ROW()/100000,"")</f>
        <v/>
      </c>
    </row>
    <row r="335">
      <c r="G335" s="11" t="n"/>
      <c r="Q335" s="7">
        <f>IF($E335="","",P335*Y335/100)</f>
        <v/>
      </c>
      <c r="R335" s="7" t="n"/>
      <c r="X335" s="7" t="n"/>
      <c r="Y335" s="7" t="n"/>
      <c r="AB335">
        <f>IF($E335="","",IF($AQ335=1,0,IF($AP335=1,Settings!$C$6,Settings!$C$7))*100)</f>
        <v/>
      </c>
      <c r="AC335" s="7">
        <f>IF($E335="","",Y335*AB335/100)</f>
        <v/>
      </c>
      <c r="AD335" s="7">
        <f>IF($E335="","",Y335-AC335)</f>
        <v/>
      </c>
      <c r="AE335" s="7">
        <f>IF($E335="","",AD335-Q335)</f>
        <v/>
      </c>
      <c r="AI335" s="7" t="n"/>
      <c r="AL335" s="11" t="n"/>
      <c r="AN335">
        <f>IF($E335="","",IF(COUNTIF($E$2:$E335,$E335)=1,1,0))</f>
        <v/>
      </c>
      <c r="AO335">
        <f>IF($AN335=1,SUMPRODUCT(--($AR$2:$AR$4001&lt;$AR335))+1,"")</f>
        <v/>
      </c>
      <c r="AP335">
        <f>IF($E335="","",IF(OR($U335=TRUE(),$U335="TRUE"),1,0))</f>
        <v/>
      </c>
      <c r="AQ335">
        <f>IF($E335="","",IF($AA335="Yes",1,0))</f>
        <v/>
      </c>
      <c r="AR335">
        <f>IF($AN335=1,IFERROR(VALUE(MID($E335,2,20)),1000000000)+ROW()/100000,"")</f>
        <v/>
      </c>
    </row>
    <row r="336">
      <c r="G336" s="11" t="n"/>
      <c r="Q336" s="7">
        <f>IF($E336="","",P336*Y336/100)</f>
        <v/>
      </c>
      <c r="R336" s="7" t="n"/>
      <c r="X336" s="7" t="n"/>
      <c r="Y336" s="7" t="n"/>
      <c r="AB336">
        <f>IF($E336="","",IF($AQ336=1,0,IF($AP336=1,Settings!$C$6,Settings!$C$7))*100)</f>
        <v/>
      </c>
      <c r="AC336" s="7">
        <f>IF($E336="","",Y336*AB336/100)</f>
        <v/>
      </c>
      <c r="AD336" s="7">
        <f>IF($E336="","",Y336-AC336)</f>
        <v/>
      </c>
      <c r="AE336" s="7">
        <f>IF($E336="","",AD336-Q336)</f>
        <v/>
      </c>
      <c r="AI336" s="7" t="n"/>
      <c r="AL336" s="11" t="n"/>
      <c r="AN336">
        <f>IF($E336="","",IF(COUNTIF($E$2:$E336,$E336)=1,1,0))</f>
        <v/>
      </c>
      <c r="AO336">
        <f>IF($AN336=1,SUMPRODUCT(--($AR$2:$AR$4001&lt;$AR336))+1,"")</f>
        <v/>
      </c>
      <c r="AP336">
        <f>IF($E336="","",IF(OR($U336=TRUE(),$U336="TRUE"),1,0))</f>
        <v/>
      </c>
      <c r="AQ336">
        <f>IF($E336="","",IF($AA336="Yes",1,0))</f>
        <v/>
      </c>
      <c r="AR336">
        <f>IF($AN336=1,IFERROR(VALUE(MID($E336,2,20)),1000000000)+ROW()/100000,"")</f>
        <v/>
      </c>
    </row>
    <row r="337">
      <c r="G337" s="11" t="n"/>
      <c r="Q337" s="7">
        <f>IF($E337="","",P337*Y337/100)</f>
        <v/>
      </c>
      <c r="R337" s="7" t="n"/>
      <c r="X337" s="7" t="n"/>
      <c r="Y337" s="7" t="n"/>
      <c r="AB337">
        <f>IF($E337="","",IF($AQ337=1,0,IF($AP337=1,Settings!$C$6,Settings!$C$7))*100)</f>
        <v/>
      </c>
      <c r="AC337" s="7">
        <f>IF($E337="","",Y337*AB337/100)</f>
        <v/>
      </c>
      <c r="AD337" s="7">
        <f>IF($E337="","",Y337-AC337)</f>
        <v/>
      </c>
      <c r="AE337" s="7">
        <f>IF($E337="","",AD337-Q337)</f>
        <v/>
      </c>
      <c r="AI337" s="7" t="n"/>
      <c r="AL337" s="11" t="n"/>
      <c r="AN337">
        <f>IF($E337="","",IF(COUNTIF($E$2:$E337,$E337)=1,1,0))</f>
        <v/>
      </c>
      <c r="AO337">
        <f>IF($AN337=1,SUMPRODUCT(--($AR$2:$AR$4001&lt;$AR337))+1,"")</f>
        <v/>
      </c>
      <c r="AP337">
        <f>IF($E337="","",IF(OR($U337=TRUE(),$U337="TRUE"),1,0))</f>
        <v/>
      </c>
      <c r="AQ337">
        <f>IF($E337="","",IF($AA337="Yes",1,0))</f>
        <v/>
      </c>
      <c r="AR337">
        <f>IF($AN337=1,IFERROR(VALUE(MID($E337,2,20)),1000000000)+ROW()/100000,"")</f>
        <v/>
      </c>
    </row>
    <row r="338">
      <c r="G338" s="11" t="n"/>
      <c r="Q338" s="7">
        <f>IF($E338="","",P338*Y338/100)</f>
        <v/>
      </c>
      <c r="R338" s="7" t="n"/>
      <c r="X338" s="7" t="n"/>
      <c r="Y338" s="7" t="n"/>
      <c r="AB338">
        <f>IF($E338="","",IF($AQ338=1,0,IF($AP338=1,Settings!$C$6,Settings!$C$7))*100)</f>
        <v/>
      </c>
      <c r="AC338" s="7">
        <f>IF($E338="","",Y338*AB338/100)</f>
        <v/>
      </c>
      <c r="AD338" s="7">
        <f>IF($E338="","",Y338-AC338)</f>
        <v/>
      </c>
      <c r="AE338" s="7">
        <f>IF($E338="","",AD338-Q338)</f>
        <v/>
      </c>
      <c r="AI338" s="7" t="n"/>
      <c r="AL338" s="11" t="n"/>
      <c r="AN338">
        <f>IF($E338="","",IF(COUNTIF($E$2:$E338,$E338)=1,1,0))</f>
        <v/>
      </c>
      <c r="AO338">
        <f>IF($AN338=1,SUMPRODUCT(--($AR$2:$AR$4001&lt;$AR338))+1,"")</f>
        <v/>
      </c>
      <c r="AP338">
        <f>IF($E338="","",IF(OR($U338=TRUE(),$U338="TRUE"),1,0))</f>
        <v/>
      </c>
      <c r="AQ338">
        <f>IF($E338="","",IF($AA338="Yes",1,0))</f>
        <v/>
      </c>
      <c r="AR338">
        <f>IF($AN338=1,IFERROR(VALUE(MID($E338,2,20)),1000000000)+ROW()/100000,"")</f>
        <v/>
      </c>
    </row>
    <row r="339">
      <c r="G339" s="11" t="n"/>
      <c r="Q339" s="7">
        <f>IF($E339="","",P339*Y339/100)</f>
        <v/>
      </c>
      <c r="R339" s="7" t="n"/>
      <c r="X339" s="7" t="n"/>
      <c r="Y339" s="7" t="n"/>
      <c r="AB339">
        <f>IF($E339="","",IF($AQ339=1,0,IF($AP339=1,Settings!$C$6,Settings!$C$7))*100)</f>
        <v/>
      </c>
      <c r="AC339" s="7">
        <f>IF($E339="","",Y339*AB339/100)</f>
        <v/>
      </c>
      <c r="AD339" s="7">
        <f>IF($E339="","",Y339-AC339)</f>
        <v/>
      </c>
      <c r="AE339" s="7">
        <f>IF($E339="","",AD339-Q339)</f>
        <v/>
      </c>
      <c r="AI339" s="7" t="n"/>
      <c r="AL339" s="11" t="n"/>
      <c r="AN339">
        <f>IF($E339="","",IF(COUNTIF($E$2:$E339,$E339)=1,1,0))</f>
        <v/>
      </c>
      <c r="AO339">
        <f>IF($AN339=1,SUMPRODUCT(--($AR$2:$AR$4001&lt;$AR339))+1,"")</f>
        <v/>
      </c>
      <c r="AP339">
        <f>IF($E339="","",IF(OR($U339=TRUE(),$U339="TRUE"),1,0))</f>
        <v/>
      </c>
      <c r="AQ339">
        <f>IF($E339="","",IF($AA339="Yes",1,0))</f>
        <v/>
      </c>
      <c r="AR339">
        <f>IF($AN339=1,IFERROR(VALUE(MID($E339,2,20)),1000000000)+ROW()/100000,"")</f>
        <v/>
      </c>
    </row>
    <row r="340">
      <c r="G340" s="11" t="n"/>
      <c r="Q340" s="7">
        <f>IF($E340="","",P340*Y340/100)</f>
        <v/>
      </c>
      <c r="R340" s="7" t="n"/>
      <c r="X340" s="7" t="n"/>
      <c r="Y340" s="7" t="n"/>
      <c r="AB340">
        <f>IF($E340="","",IF($AQ340=1,0,IF($AP340=1,Settings!$C$6,Settings!$C$7))*100)</f>
        <v/>
      </c>
      <c r="AC340" s="7">
        <f>IF($E340="","",Y340*AB340/100)</f>
        <v/>
      </c>
      <c r="AD340" s="7">
        <f>IF($E340="","",Y340-AC340)</f>
        <v/>
      </c>
      <c r="AE340" s="7">
        <f>IF($E340="","",AD340-Q340)</f>
        <v/>
      </c>
      <c r="AI340" s="7" t="n"/>
      <c r="AL340" s="11" t="n"/>
      <c r="AN340">
        <f>IF($E340="","",IF(COUNTIF($E$2:$E340,$E340)=1,1,0))</f>
        <v/>
      </c>
      <c r="AO340">
        <f>IF($AN340=1,SUMPRODUCT(--($AR$2:$AR$4001&lt;$AR340))+1,"")</f>
        <v/>
      </c>
      <c r="AP340">
        <f>IF($E340="","",IF(OR($U340=TRUE(),$U340="TRUE"),1,0))</f>
        <v/>
      </c>
      <c r="AQ340">
        <f>IF($E340="","",IF($AA340="Yes",1,0))</f>
        <v/>
      </c>
      <c r="AR340">
        <f>IF($AN340=1,IFERROR(VALUE(MID($E340,2,20)),1000000000)+ROW()/100000,"")</f>
        <v/>
      </c>
    </row>
    <row r="341">
      <c r="G341" s="11" t="n"/>
      <c r="Q341" s="7">
        <f>IF($E341="","",P341*Y341/100)</f>
        <v/>
      </c>
      <c r="R341" s="7" t="n"/>
      <c r="X341" s="7" t="n"/>
      <c r="Y341" s="7" t="n"/>
      <c r="AB341">
        <f>IF($E341="","",IF($AQ341=1,0,IF($AP341=1,Settings!$C$6,Settings!$C$7))*100)</f>
        <v/>
      </c>
      <c r="AC341" s="7">
        <f>IF($E341="","",Y341*AB341/100)</f>
        <v/>
      </c>
      <c r="AD341" s="7">
        <f>IF($E341="","",Y341-AC341)</f>
        <v/>
      </c>
      <c r="AE341" s="7">
        <f>IF($E341="","",AD341-Q341)</f>
        <v/>
      </c>
      <c r="AI341" s="7" t="n"/>
      <c r="AL341" s="11" t="n"/>
      <c r="AN341">
        <f>IF($E341="","",IF(COUNTIF($E$2:$E341,$E341)=1,1,0))</f>
        <v/>
      </c>
      <c r="AO341">
        <f>IF($AN341=1,SUMPRODUCT(--($AR$2:$AR$4001&lt;$AR341))+1,"")</f>
        <v/>
      </c>
      <c r="AP341">
        <f>IF($E341="","",IF(OR($U341=TRUE(),$U341="TRUE"),1,0))</f>
        <v/>
      </c>
      <c r="AQ341">
        <f>IF($E341="","",IF($AA341="Yes",1,0))</f>
        <v/>
      </c>
      <c r="AR341">
        <f>IF($AN341=1,IFERROR(VALUE(MID($E341,2,20)),1000000000)+ROW()/100000,"")</f>
        <v/>
      </c>
    </row>
    <row r="342">
      <c r="G342" s="11" t="n"/>
      <c r="Q342" s="7">
        <f>IF($E342="","",P342*Y342/100)</f>
        <v/>
      </c>
      <c r="R342" s="7" t="n"/>
      <c r="X342" s="7" t="n"/>
      <c r="Y342" s="7" t="n"/>
      <c r="AB342">
        <f>IF($E342="","",IF($AQ342=1,0,IF($AP342=1,Settings!$C$6,Settings!$C$7))*100)</f>
        <v/>
      </c>
      <c r="AC342" s="7">
        <f>IF($E342="","",Y342*AB342/100)</f>
        <v/>
      </c>
      <c r="AD342" s="7">
        <f>IF($E342="","",Y342-AC342)</f>
        <v/>
      </c>
      <c r="AE342" s="7">
        <f>IF($E342="","",AD342-Q342)</f>
        <v/>
      </c>
      <c r="AI342" s="7" t="n"/>
      <c r="AL342" s="11" t="n"/>
      <c r="AN342">
        <f>IF($E342="","",IF(COUNTIF($E$2:$E342,$E342)=1,1,0))</f>
        <v/>
      </c>
      <c r="AO342">
        <f>IF($AN342=1,SUMPRODUCT(--($AR$2:$AR$4001&lt;$AR342))+1,"")</f>
        <v/>
      </c>
      <c r="AP342">
        <f>IF($E342="","",IF(OR($U342=TRUE(),$U342="TRUE"),1,0))</f>
        <v/>
      </c>
      <c r="AQ342">
        <f>IF($E342="","",IF($AA342="Yes",1,0))</f>
        <v/>
      </c>
      <c r="AR342">
        <f>IF($AN342=1,IFERROR(VALUE(MID($E342,2,20)),1000000000)+ROW()/100000,"")</f>
        <v/>
      </c>
    </row>
    <row r="343">
      <c r="G343" s="11" t="n"/>
      <c r="Q343" s="7">
        <f>IF($E343="","",P343*Y343/100)</f>
        <v/>
      </c>
      <c r="R343" s="7" t="n"/>
      <c r="X343" s="7" t="n"/>
      <c r="Y343" s="7" t="n"/>
      <c r="AB343">
        <f>IF($E343="","",IF($AQ343=1,0,IF($AP343=1,Settings!$C$6,Settings!$C$7))*100)</f>
        <v/>
      </c>
      <c r="AC343" s="7">
        <f>IF($E343="","",Y343*AB343/100)</f>
        <v/>
      </c>
      <c r="AD343" s="7">
        <f>IF($E343="","",Y343-AC343)</f>
        <v/>
      </c>
      <c r="AE343" s="7">
        <f>IF($E343="","",AD343-Q343)</f>
        <v/>
      </c>
      <c r="AI343" s="7" t="n"/>
      <c r="AL343" s="11" t="n"/>
      <c r="AN343">
        <f>IF($E343="","",IF(COUNTIF($E$2:$E343,$E343)=1,1,0))</f>
        <v/>
      </c>
      <c r="AO343">
        <f>IF($AN343=1,SUMPRODUCT(--($AR$2:$AR$4001&lt;$AR343))+1,"")</f>
        <v/>
      </c>
      <c r="AP343">
        <f>IF($E343="","",IF(OR($U343=TRUE(),$U343="TRUE"),1,0))</f>
        <v/>
      </c>
      <c r="AQ343">
        <f>IF($E343="","",IF($AA343="Yes",1,0))</f>
        <v/>
      </c>
      <c r="AR343">
        <f>IF($AN343=1,IFERROR(VALUE(MID($E343,2,20)),1000000000)+ROW()/100000,"")</f>
        <v/>
      </c>
    </row>
    <row r="344">
      <c r="G344" s="11" t="n"/>
      <c r="Q344" s="7">
        <f>IF($E344="","",P344*Y344/100)</f>
        <v/>
      </c>
      <c r="R344" s="7" t="n"/>
      <c r="X344" s="7" t="n"/>
      <c r="Y344" s="7" t="n"/>
      <c r="AB344">
        <f>IF($E344="","",IF($AQ344=1,0,IF($AP344=1,Settings!$C$6,Settings!$C$7))*100)</f>
        <v/>
      </c>
      <c r="AC344" s="7">
        <f>IF($E344="","",Y344*AB344/100)</f>
        <v/>
      </c>
      <c r="AD344" s="7">
        <f>IF($E344="","",Y344-AC344)</f>
        <v/>
      </c>
      <c r="AE344" s="7">
        <f>IF($E344="","",AD344-Q344)</f>
        <v/>
      </c>
      <c r="AI344" s="7" t="n"/>
      <c r="AL344" s="11" t="n"/>
      <c r="AN344">
        <f>IF($E344="","",IF(COUNTIF($E$2:$E344,$E344)=1,1,0))</f>
        <v/>
      </c>
      <c r="AO344">
        <f>IF($AN344=1,SUMPRODUCT(--($AR$2:$AR$4001&lt;$AR344))+1,"")</f>
        <v/>
      </c>
      <c r="AP344">
        <f>IF($E344="","",IF(OR($U344=TRUE(),$U344="TRUE"),1,0))</f>
        <v/>
      </c>
      <c r="AQ344">
        <f>IF($E344="","",IF($AA344="Yes",1,0))</f>
        <v/>
      </c>
      <c r="AR344">
        <f>IF($AN344=1,IFERROR(VALUE(MID($E344,2,20)),1000000000)+ROW()/100000,"")</f>
        <v/>
      </c>
    </row>
    <row r="345">
      <c r="G345" s="11" t="n"/>
      <c r="Q345" s="7">
        <f>IF($E345="","",P345*Y345/100)</f>
        <v/>
      </c>
      <c r="R345" s="7" t="n"/>
      <c r="X345" s="7" t="n"/>
      <c r="Y345" s="7" t="n"/>
      <c r="AB345">
        <f>IF($E345="","",IF($AQ345=1,0,IF($AP345=1,Settings!$C$6,Settings!$C$7))*100)</f>
        <v/>
      </c>
      <c r="AC345" s="7">
        <f>IF($E345="","",Y345*AB345/100)</f>
        <v/>
      </c>
      <c r="AD345" s="7">
        <f>IF($E345="","",Y345-AC345)</f>
        <v/>
      </c>
      <c r="AE345" s="7">
        <f>IF($E345="","",AD345-Q345)</f>
        <v/>
      </c>
      <c r="AI345" s="7" t="n"/>
      <c r="AL345" s="11" t="n"/>
      <c r="AN345">
        <f>IF($E345="","",IF(COUNTIF($E$2:$E345,$E345)=1,1,0))</f>
        <v/>
      </c>
      <c r="AO345">
        <f>IF($AN345=1,SUMPRODUCT(--($AR$2:$AR$4001&lt;$AR345))+1,"")</f>
        <v/>
      </c>
      <c r="AP345">
        <f>IF($E345="","",IF(OR($U345=TRUE(),$U345="TRUE"),1,0))</f>
        <v/>
      </c>
      <c r="AQ345">
        <f>IF($E345="","",IF($AA345="Yes",1,0))</f>
        <v/>
      </c>
      <c r="AR345">
        <f>IF($AN345=1,IFERROR(VALUE(MID($E345,2,20)),1000000000)+ROW()/100000,"")</f>
        <v/>
      </c>
    </row>
    <row r="346">
      <c r="G346" s="11" t="n"/>
      <c r="Q346" s="7">
        <f>IF($E346="","",P346*Y346/100)</f>
        <v/>
      </c>
      <c r="R346" s="7" t="n"/>
      <c r="X346" s="7" t="n"/>
      <c r="Y346" s="7" t="n"/>
      <c r="AB346">
        <f>IF($E346="","",IF($AQ346=1,0,IF($AP346=1,Settings!$C$6,Settings!$C$7))*100)</f>
        <v/>
      </c>
      <c r="AC346" s="7">
        <f>IF($E346="","",Y346*AB346/100)</f>
        <v/>
      </c>
      <c r="AD346" s="7">
        <f>IF($E346="","",Y346-AC346)</f>
        <v/>
      </c>
      <c r="AE346" s="7">
        <f>IF($E346="","",AD346-Q346)</f>
        <v/>
      </c>
      <c r="AI346" s="7" t="n"/>
      <c r="AL346" s="11" t="n"/>
      <c r="AN346">
        <f>IF($E346="","",IF(COUNTIF($E$2:$E346,$E346)=1,1,0))</f>
        <v/>
      </c>
      <c r="AO346">
        <f>IF($AN346=1,SUMPRODUCT(--($AR$2:$AR$4001&lt;$AR346))+1,"")</f>
        <v/>
      </c>
      <c r="AP346">
        <f>IF($E346="","",IF(OR($U346=TRUE(),$U346="TRUE"),1,0))</f>
        <v/>
      </c>
      <c r="AQ346">
        <f>IF($E346="","",IF($AA346="Yes",1,0))</f>
        <v/>
      </c>
      <c r="AR346">
        <f>IF($AN346=1,IFERROR(VALUE(MID($E346,2,20)),1000000000)+ROW()/100000,"")</f>
        <v/>
      </c>
    </row>
    <row r="347">
      <c r="G347" s="11" t="n"/>
      <c r="Q347" s="7">
        <f>IF($E347="","",P347*Y347/100)</f>
        <v/>
      </c>
      <c r="R347" s="7" t="n"/>
      <c r="X347" s="7" t="n"/>
      <c r="Y347" s="7" t="n"/>
      <c r="AB347">
        <f>IF($E347="","",IF($AQ347=1,0,IF($AP347=1,Settings!$C$6,Settings!$C$7))*100)</f>
        <v/>
      </c>
      <c r="AC347" s="7">
        <f>IF($E347="","",Y347*AB347/100)</f>
        <v/>
      </c>
      <c r="AD347" s="7">
        <f>IF($E347="","",Y347-AC347)</f>
        <v/>
      </c>
      <c r="AE347" s="7">
        <f>IF($E347="","",AD347-Q347)</f>
        <v/>
      </c>
      <c r="AI347" s="7" t="n"/>
      <c r="AL347" s="11" t="n"/>
      <c r="AN347">
        <f>IF($E347="","",IF(COUNTIF($E$2:$E347,$E347)=1,1,0))</f>
        <v/>
      </c>
      <c r="AO347">
        <f>IF($AN347=1,SUMPRODUCT(--($AR$2:$AR$4001&lt;$AR347))+1,"")</f>
        <v/>
      </c>
      <c r="AP347">
        <f>IF($E347="","",IF(OR($U347=TRUE(),$U347="TRUE"),1,0))</f>
        <v/>
      </c>
      <c r="AQ347">
        <f>IF($E347="","",IF($AA347="Yes",1,0))</f>
        <v/>
      </c>
      <c r="AR347">
        <f>IF($AN347=1,IFERROR(VALUE(MID($E347,2,20)),1000000000)+ROW()/100000,"")</f>
        <v/>
      </c>
    </row>
    <row r="348">
      <c r="G348" s="11" t="n"/>
      <c r="Q348" s="7">
        <f>IF($E348="","",P348*Y348/100)</f>
        <v/>
      </c>
      <c r="R348" s="7" t="n"/>
      <c r="X348" s="7" t="n"/>
      <c r="Y348" s="7" t="n"/>
      <c r="AB348">
        <f>IF($E348="","",IF($AQ348=1,0,IF($AP348=1,Settings!$C$6,Settings!$C$7))*100)</f>
        <v/>
      </c>
      <c r="AC348" s="7">
        <f>IF($E348="","",Y348*AB348/100)</f>
        <v/>
      </c>
      <c r="AD348" s="7">
        <f>IF($E348="","",Y348-AC348)</f>
        <v/>
      </c>
      <c r="AE348" s="7">
        <f>IF($E348="","",AD348-Q348)</f>
        <v/>
      </c>
      <c r="AI348" s="7" t="n"/>
      <c r="AL348" s="11" t="n"/>
      <c r="AN348">
        <f>IF($E348="","",IF(COUNTIF($E$2:$E348,$E348)=1,1,0))</f>
        <v/>
      </c>
      <c r="AO348">
        <f>IF($AN348=1,SUMPRODUCT(--($AR$2:$AR$4001&lt;$AR348))+1,"")</f>
        <v/>
      </c>
      <c r="AP348">
        <f>IF($E348="","",IF(OR($U348=TRUE(),$U348="TRUE"),1,0))</f>
        <v/>
      </c>
      <c r="AQ348">
        <f>IF($E348="","",IF($AA348="Yes",1,0))</f>
        <v/>
      </c>
      <c r="AR348">
        <f>IF($AN348=1,IFERROR(VALUE(MID($E348,2,20)),1000000000)+ROW()/100000,"")</f>
        <v/>
      </c>
    </row>
    <row r="349">
      <c r="G349" s="11" t="n"/>
      <c r="Q349" s="7">
        <f>IF($E349="","",P349*Y349/100)</f>
        <v/>
      </c>
      <c r="R349" s="7" t="n"/>
      <c r="X349" s="7" t="n"/>
      <c r="Y349" s="7" t="n"/>
      <c r="AB349">
        <f>IF($E349="","",IF($AQ349=1,0,IF($AP349=1,Settings!$C$6,Settings!$C$7))*100)</f>
        <v/>
      </c>
      <c r="AC349" s="7">
        <f>IF($E349="","",Y349*AB349/100)</f>
        <v/>
      </c>
      <c r="AD349" s="7">
        <f>IF($E349="","",Y349-AC349)</f>
        <v/>
      </c>
      <c r="AE349" s="7">
        <f>IF($E349="","",AD349-Q349)</f>
        <v/>
      </c>
      <c r="AI349" s="7" t="n"/>
      <c r="AL349" s="11" t="n"/>
      <c r="AN349">
        <f>IF($E349="","",IF(COUNTIF($E$2:$E349,$E349)=1,1,0))</f>
        <v/>
      </c>
      <c r="AO349">
        <f>IF($AN349=1,SUMPRODUCT(--($AR$2:$AR$4001&lt;$AR349))+1,"")</f>
        <v/>
      </c>
      <c r="AP349">
        <f>IF($E349="","",IF(OR($U349=TRUE(),$U349="TRUE"),1,0))</f>
        <v/>
      </c>
      <c r="AQ349">
        <f>IF($E349="","",IF($AA349="Yes",1,0))</f>
        <v/>
      </c>
      <c r="AR349">
        <f>IF($AN349=1,IFERROR(VALUE(MID($E349,2,20)),1000000000)+ROW()/100000,"")</f>
        <v/>
      </c>
    </row>
    <row r="350">
      <c r="G350" s="11" t="n"/>
      <c r="Q350" s="7">
        <f>IF($E350="","",P350*Y350/100)</f>
        <v/>
      </c>
      <c r="R350" s="7" t="n"/>
      <c r="X350" s="7" t="n"/>
      <c r="Y350" s="7" t="n"/>
      <c r="AB350">
        <f>IF($E350="","",IF($AQ350=1,0,IF($AP350=1,Settings!$C$6,Settings!$C$7))*100)</f>
        <v/>
      </c>
      <c r="AC350" s="7">
        <f>IF($E350="","",Y350*AB350/100)</f>
        <v/>
      </c>
      <c r="AD350" s="7">
        <f>IF($E350="","",Y350-AC350)</f>
        <v/>
      </c>
      <c r="AE350" s="7">
        <f>IF($E350="","",AD350-Q350)</f>
        <v/>
      </c>
      <c r="AI350" s="7" t="n"/>
      <c r="AL350" s="11" t="n"/>
      <c r="AN350">
        <f>IF($E350="","",IF(COUNTIF($E$2:$E350,$E350)=1,1,0))</f>
        <v/>
      </c>
      <c r="AO350">
        <f>IF($AN350=1,SUMPRODUCT(--($AR$2:$AR$4001&lt;$AR350))+1,"")</f>
        <v/>
      </c>
      <c r="AP350">
        <f>IF($E350="","",IF(OR($U350=TRUE(),$U350="TRUE"),1,0))</f>
        <v/>
      </c>
      <c r="AQ350">
        <f>IF($E350="","",IF($AA350="Yes",1,0))</f>
        <v/>
      </c>
      <c r="AR350">
        <f>IF($AN350=1,IFERROR(VALUE(MID($E350,2,20)),1000000000)+ROW()/100000,"")</f>
        <v/>
      </c>
    </row>
    <row r="351">
      <c r="G351" s="11" t="n"/>
      <c r="Q351" s="7">
        <f>IF($E351="","",P351*Y351/100)</f>
        <v/>
      </c>
      <c r="R351" s="7" t="n"/>
      <c r="X351" s="7" t="n"/>
      <c r="Y351" s="7" t="n"/>
      <c r="AB351">
        <f>IF($E351="","",IF($AQ351=1,0,IF($AP351=1,Settings!$C$6,Settings!$C$7))*100)</f>
        <v/>
      </c>
      <c r="AC351" s="7">
        <f>IF($E351="","",Y351*AB351/100)</f>
        <v/>
      </c>
      <c r="AD351" s="7">
        <f>IF($E351="","",Y351-AC351)</f>
        <v/>
      </c>
      <c r="AE351" s="7">
        <f>IF($E351="","",AD351-Q351)</f>
        <v/>
      </c>
      <c r="AI351" s="7" t="n"/>
      <c r="AL351" s="11" t="n"/>
      <c r="AN351">
        <f>IF($E351="","",IF(COUNTIF($E$2:$E351,$E351)=1,1,0))</f>
        <v/>
      </c>
      <c r="AO351">
        <f>IF($AN351=1,SUMPRODUCT(--($AR$2:$AR$4001&lt;$AR351))+1,"")</f>
        <v/>
      </c>
      <c r="AP351">
        <f>IF($E351="","",IF(OR($U351=TRUE(),$U351="TRUE"),1,0))</f>
        <v/>
      </c>
      <c r="AQ351">
        <f>IF($E351="","",IF($AA351="Yes",1,0))</f>
        <v/>
      </c>
      <c r="AR351">
        <f>IF($AN351=1,IFERROR(VALUE(MID($E351,2,20)),1000000000)+ROW()/100000,"")</f>
        <v/>
      </c>
    </row>
    <row r="352">
      <c r="G352" s="11" t="n"/>
      <c r="Q352" s="7">
        <f>IF($E352="","",P352*Y352/100)</f>
        <v/>
      </c>
      <c r="R352" s="7" t="n"/>
      <c r="X352" s="7" t="n"/>
      <c r="Y352" s="7" t="n"/>
      <c r="AB352">
        <f>IF($E352="","",IF($AQ352=1,0,IF($AP352=1,Settings!$C$6,Settings!$C$7))*100)</f>
        <v/>
      </c>
      <c r="AC352" s="7">
        <f>IF($E352="","",Y352*AB352/100)</f>
        <v/>
      </c>
      <c r="AD352" s="7">
        <f>IF($E352="","",Y352-AC352)</f>
        <v/>
      </c>
      <c r="AE352" s="7">
        <f>IF($E352="","",AD352-Q352)</f>
        <v/>
      </c>
      <c r="AI352" s="7" t="n"/>
      <c r="AL352" s="11" t="n"/>
      <c r="AN352">
        <f>IF($E352="","",IF(COUNTIF($E$2:$E352,$E352)=1,1,0))</f>
        <v/>
      </c>
      <c r="AO352">
        <f>IF($AN352=1,SUMPRODUCT(--($AR$2:$AR$4001&lt;$AR352))+1,"")</f>
        <v/>
      </c>
      <c r="AP352">
        <f>IF($E352="","",IF(OR($U352=TRUE(),$U352="TRUE"),1,0))</f>
        <v/>
      </c>
      <c r="AQ352">
        <f>IF($E352="","",IF($AA352="Yes",1,0))</f>
        <v/>
      </c>
      <c r="AR352">
        <f>IF($AN352=1,IFERROR(VALUE(MID($E352,2,20)),1000000000)+ROW()/100000,"")</f>
        <v/>
      </c>
    </row>
    <row r="353">
      <c r="G353" s="11" t="n"/>
      <c r="Q353" s="7">
        <f>IF($E353="","",P353*Y353/100)</f>
        <v/>
      </c>
      <c r="R353" s="7" t="n"/>
      <c r="X353" s="7" t="n"/>
      <c r="Y353" s="7" t="n"/>
      <c r="AB353">
        <f>IF($E353="","",IF($AQ353=1,0,IF($AP353=1,Settings!$C$6,Settings!$C$7))*100)</f>
        <v/>
      </c>
      <c r="AC353" s="7">
        <f>IF($E353="","",Y353*AB353/100)</f>
        <v/>
      </c>
      <c r="AD353" s="7">
        <f>IF($E353="","",Y353-AC353)</f>
        <v/>
      </c>
      <c r="AE353" s="7">
        <f>IF($E353="","",AD353-Q353)</f>
        <v/>
      </c>
      <c r="AI353" s="7" t="n"/>
      <c r="AL353" s="11" t="n"/>
      <c r="AN353">
        <f>IF($E353="","",IF(COUNTIF($E$2:$E353,$E353)=1,1,0))</f>
        <v/>
      </c>
      <c r="AO353">
        <f>IF($AN353=1,SUMPRODUCT(--($AR$2:$AR$4001&lt;$AR353))+1,"")</f>
        <v/>
      </c>
      <c r="AP353">
        <f>IF($E353="","",IF(OR($U353=TRUE(),$U353="TRUE"),1,0))</f>
        <v/>
      </c>
      <c r="AQ353">
        <f>IF($E353="","",IF($AA353="Yes",1,0))</f>
        <v/>
      </c>
      <c r="AR353">
        <f>IF($AN353=1,IFERROR(VALUE(MID($E353,2,20)),1000000000)+ROW()/100000,"")</f>
        <v/>
      </c>
    </row>
    <row r="354">
      <c r="G354" s="11" t="n"/>
      <c r="Q354" s="7">
        <f>IF($E354="","",P354*Y354/100)</f>
        <v/>
      </c>
      <c r="R354" s="7" t="n"/>
      <c r="X354" s="7" t="n"/>
      <c r="Y354" s="7" t="n"/>
      <c r="AB354">
        <f>IF($E354="","",IF($AQ354=1,0,IF($AP354=1,Settings!$C$6,Settings!$C$7))*100)</f>
        <v/>
      </c>
      <c r="AC354" s="7">
        <f>IF($E354="","",Y354*AB354/100)</f>
        <v/>
      </c>
      <c r="AD354" s="7">
        <f>IF($E354="","",Y354-AC354)</f>
        <v/>
      </c>
      <c r="AE354" s="7">
        <f>IF($E354="","",AD354-Q354)</f>
        <v/>
      </c>
      <c r="AI354" s="7" t="n"/>
      <c r="AL354" s="11" t="n"/>
      <c r="AN354">
        <f>IF($E354="","",IF(COUNTIF($E$2:$E354,$E354)=1,1,0))</f>
        <v/>
      </c>
      <c r="AO354">
        <f>IF($AN354=1,SUMPRODUCT(--($AR$2:$AR$4001&lt;$AR354))+1,"")</f>
        <v/>
      </c>
      <c r="AP354">
        <f>IF($E354="","",IF(OR($U354=TRUE(),$U354="TRUE"),1,0))</f>
        <v/>
      </c>
      <c r="AQ354">
        <f>IF($E354="","",IF($AA354="Yes",1,0))</f>
        <v/>
      </c>
      <c r="AR354">
        <f>IF($AN354=1,IFERROR(VALUE(MID($E354,2,20)),1000000000)+ROW()/100000,"")</f>
        <v/>
      </c>
    </row>
    <row r="355">
      <c r="G355" s="11" t="n"/>
      <c r="Q355" s="7">
        <f>IF($E355="","",P355*Y355/100)</f>
        <v/>
      </c>
      <c r="R355" s="7" t="n"/>
      <c r="X355" s="7" t="n"/>
      <c r="Y355" s="7" t="n"/>
      <c r="AB355">
        <f>IF($E355="","",IF($AQ355=1,0,IF($AP355=1,Settings!$C$6,Settings!$C$7))*100)</f>
        <v/>
      </c>
      <c r="AC355" s="7">
        <f>IF($E355="","",Y355*AB355/100)</f>
        <v/>
      </c>
      <c r="AD355" s="7">
        <f>IF($E355="","",Y355-AC355)</f>
        <v/>
      </c>
      <c r="AE355" s="7">
        <f>IF($E355="","",AD355-Q355)</f>
        <v/>
      </c>
      <c r="AI355" s="7" t="n"/>
      <c r="AL355" s="11" t="n"/>
      <c r="AN355">
        <f>IF($E355="","",IF(COUNTIF($E$2:$E355,$E355)=1,1,0))</f>
        <v/>
      </c>
      <c r="AO355">
        <f>IF($AN355=1,SUMPRODUCT(--($AR$2:$AR$4001&lt;$AR355))+1,"")</f>
        <v/>
      </c>
      <c r="AP355">
        <f>IF($E355="","",IF(OR($U355=TRUE(),$U355="TRUE"),1,0))</f>
        <v/>
      </c>
      <c r="AQ355">
        <f>IF($E355="","",IF($AA355="Yes",1,0))</f>
        <v/>
      </c>
      <c r="AR355">
        <f>IF($AN355=1,IFERROR(VALUE(MID($E355,2,20)),1000000000)+ROW()/100000,"")</f>
        <v/>
      </c>
    </row>
    <row r="356">
      <c r="G356" s="11" t="n"/>
      <c r="Q356" s="7">
        <f>IF($E356="","",P356*Y356/100)</f>
        <v/>
      </c>
      <c r="R356" s="7" t="n"/>
      <c r="X356" s="7" t="n"/>
      <c r="Y356" s="7" t="n"/>
      <c r="AB356">
        <f>IF($E356="","",IF($AQ356=1,0,IF($AP356=1,Settings!$C$6,Settings!$C$7))*100)</f>
        <v/>
      </c>
      <c r="AC356" s="7">
        <f>IF($E356="","",Y356*AB356/100)</f>
        <v/>
      </c>
      <c r="AD356" s="7">
        <f>IF($E356="","",Y356-AC356)</f>
        <v/>
      </c>
      <c r="AE356" s="7">
        <f>IF($E356="","",AD356-Q356)</f>
        <v/>
      </c>
      <c r="AI356" s="7" t="n"/>
      <c r="AL356" s="11" t="n"/>
      <c r="AN356">
        <f>IF($E356="","",IF(COUNTIF($E$2:$E356,$E356)=1,1,0))</f>
        <v/>
      </c>
      <c r="AO356">
        <f>IF($AN356=1,SUMPRODUCT(--($AR$2:$AR$4001&lt;$AR356))+1,"")</f>
        <v/>
      </c>
      <c r="AP356">
        <f>IF($E356="","",IF(OR($U356=TRUE(),$U356="TRUE"),1,0))</f>
        <v/>
      </c>
      <c r="AQ356">
        <f>IF($E356="","",IF($AA356="Yes",1,0))</f>
        <v/>
      </c>
      <c r="AR356">
        <f>IF($AN356=1,IFERROR(VALUE(MID($E356,2,20)),1000000000)+ROW()/100000,"")</f>
        <v/>
      </c>
    </row>
    <row r="357">
      <c r="G357" s="11" t="n"/>
      <c r="Q357" s="7">
        <f>IF($E357="","",P357*Y357/100)</f>
        <v/>
      </c>
      <c r="R357" s="7" t="n"/>
      <c r="X357" s="7" t="n"/>
      <c r="Y357" s="7" t="n"/>
      <c r="AB357">
        <f>IF($E357="","",IF($AQ357=1,0,IF($AP357=1,Settings!$C$6,Settings!$C$7))*100)</f>
        <v/>
      </c>
      <c r="AC357" s="7">
        <f>IF($E357="","",Y357*AB357/100)</f>
        <v/>
      </c>
      <c r="AD357" s="7">
        <f>IF($E357="","",Y357-AC357)</f>
        <v/>
      </c>
      <c r="AE357" s="7">
        <f>IF($E357="","",AD357-Q357)</f>
        <v/>
      </c>
      <c r="AI357" s="7" t="n"/>
      <c r="AL357" s="11" t="n"/>
      <c r="AN357">
        <f>IF($E357="","",IF(COUNTIF($E$2:$E357,$E357)=1,1,0))</f>
        <v/>
      </c>
      <c r="AO357">
        <f>IF($AN357=1,SUMPRODUCT(--($AR$2:$AR$4001&lt;$AR357))+1,"")</f>
        <v/>
      </c>
      <c r="AP357">
        <f>IF($E357="","",IF(OR($U357=TRUE(),$U357="TRUE"),1,0))</f>
        <v/>
      </c>
      <c r="AQ357">
        <f>IF($E357="","",IF($AA357="Yes",1,0))</f>
        <v/>
      </c>
      <c r="AR357">
        <f>IF($AN357=1,IFERROR(VALUE(MID($E357,2,20)),1000000000)+ROW()/100000,"")</f>
        <v/>
      </c>
    </row>
    <row r="358">
      <c r="G358" s="11" t="n"/>
      <c r="Q358" s="7">
        <f>IF($E358="","",P358*Y358/100)</f>
        <v/>
      </c>
      <c r="R358" s="7" t="n"/>
      <c r="X358" s="7" t="n"/>
      <c r="Y358" s="7" t="n"/>
      <c r="AB358">
        <f>IF($E358="","",IF($AQ358=1,0,IF($AP358=1,Settings!$C$6,Settings!$C$7))*100)</f>
        <v/>
      </c>
      <c r="AC358" s="7">
        <f>IF($E358="","",Y358*AB358/100)</f>
        <v/>
      </c>
      <c r="AD358" s="7">
        <f>IF($E358="","",Y358-AC358)</f>
        <v/>
      </c>
      <c r="AE358" s="7">
        <f>IF($E358="","",AD358-Q358)</f>
        <v/>
      </c>
      <c r="AI358" s="7" t="n"/>
      <c r="AL358" s="11" t="n"/>
      <c r="AN358">
        <f>IF($E358="","",IF(COUNTIF($E$2:$E358,$E358)=1,1,0))</f>
        <v/>
      </c>
      <c r="AO358">
        <f>IF($AN358=1,SUMPRODUCT(--($AR$2:$AR$4001&lt;$AR358))+1,"")</f>
        <v/>
      </c>
      <c r="AP358">
        <f>IF($E358="","",IF(OR($U358=TRUE(),$U358="TRUE"),1,0))</f>
        <v/>
      </c>
      <c r="AQ358">
        <f>IF($E358="","",IF($AA358="Yes",1,0))</f>
        <v/>
      </c>
      <c r="AR358">
        <f>IF($AN358=1,IFERROR(VALUE(MID($E358,2,20)),1000000000)+ROW()/100000,"")</f>
        <v/>
      </c>
    </row>
    <row r="359">
      <c r="G359" s="11" t="n"/>
      <c r="Q359" s="7">
        <f>IF($E359="","",P359*Y359/100)</f>
        <v/>
      </c>
      <c r="R359" s="7" t="n"/>
      <c r="X359" s="7" t="n"/>
      <c r="Y359" s="7" t="n"/>
      <c r="AB359">
        <f>IF($E359="","",IF($AQ359=1,0,IF($AP359=1,Settings!$C$6,Settings!$C$7))*100)</f>
        <v/>
      </c>
      <c r="AC359" s="7">
        <f>IF($E359="","",Y359*AB359/100)</f>
        <v/>
      </c>
      <c r="AD359" s="7">
        <f>IF($E359="","",Y359-AC359)</f>
        <v/>
      </c>
      <c r="AE359" s="7">
        <f>IF($E359="","",AD359-Q359)</f>
        <v/>
      </c>
      <c r="AI359" s="7" t="n"/>
      <c r="AL359" s="11" t="n"/>
      <c r="AN359">
        <f>IF($E359="","",IF(COUNTIF($E$2:$E359,$E359)=1,1,0))</f>
        <v/>
      </c>
      <c r="AO359">
        <f>IF($AN359=1,SUMPRODUCT(--($AR$2:$AR$4001&lt;$AR359))+1,"")</f>
        <v/>
      </c>
      <c r="AP359">
        <f>IF($E359="","",IF(OR($U359=TRUE(),$U359="TRUE"),1,0))</f>
        <v/>
      </c>
      <c r="AQ359">
        <f>IF($E359="","",IF($AA359="Yes",1,0))</f>
        <v/>
      </c>
      <c r="AR359">
        <f>IF($AN359=1,IFERROR(VALUE(MID($E359,2,20)),1000000000)+ROW()/100000,"")</f>
        <v/>
      </c>
    </row>
    <row r="360">
      <c r="G360" s="11" t="n"/>
      <c r="Q360" s="7">
        <f>IF($E360="","",P360*Y360/100)</f>
        <v/>
      </c>
      <c r="R360" s="7" t="n"/>
      <c r="X360" s="7" t="n"/>
      <c r="Y360" s="7" t="n"/>
      <c r="AB360">
        <f>IF($E360="","",IF($AQ360=1,0,IF($AP360=1,Settings!$C$6,Settings!$C$7))*100)</f>
        <v/>
      </c>
      <c r="AC360" s="7">
        <f>IF($E360="","",Y360*AB360/100)</f>
        <v/>
      </c>
      <c r="AD360" s="7">
        <f>IF($E360="","",Y360-AC360)</f>
        <v/>
      </c>
      <c r="AE360" s="7">
        <f>IF($E360="","",AD360-Q360)</f>
        <v/>
      </c>
      <c r="AI360" s="7" t="n"/>
      <c r="AL360" s="11" t="n"/>
      <c r="AN360">
        <f>IF($E360="","",IF(COUNTIF($E$2:$E360,$E360)=1,1,0))</f>
        <v/>
      </c>
      <c r="AO360">
        <f>IF($AN360=1,SUMPRODUCT(--($AR$2:$AR$4001&lt;$AR360))+1,"")</f>
        <v/>
      </c>
      <c r="AP360">
        <f>IF($E360="","",IF(OR($U360=TRUE(),$U360="TRUE"),1,0))</f>
        <v/>
      </c>
      <c r="AQ360">
        <f>IF($E360="","",IF($AA360="Yes",1,0))</f>
        <v/>
      </c>
      <c r="AR360">
        <f>IF($AN360=1,IFERROR(VALUE(MID($E360,2,20)),1000000000)+ROW()/100000,"")</f>
        <v/>
      </c>
    </row>
    <row r="361">
      <c r="G361" s="11" t="n"/>
      <c r="Q361" s="7">
        <f>IF($E361="","",P361*Y361/100)</f>
        <v/>
      </c>
      <c r="R361" s="7" t="n"/>
      <c r="X361" s="7" t="n"/>
      <c r="Y361" s="7" t="n"/>
      <c r="AB361">
        <f>IF($E361="","",IF($AQ361=1,0,IF($AP361=1,Settings!$C$6,Settings!$C$7))*100)</f>
        <v/>
      </c>
      <c r="AC361" s="7">
        <f>IF($E361="","",Y361*AB361/100)</f>
        <v/>
      </c>
      <c r="AD361" s="7">
        <f>IF($E361="","",Y361-AC361)</f>
        <v/>
      </c>
      <c r="AE361" s="7">
        <f>IF($E361="","",AD361-Q361)</f>
        <v/>
      </c>
      <c r="AI361" s="7" t="n"/>
      <c r="AL361" s="11" t="n"/>
      <c r="AN361">
        <f>IF($E361="","",IF(COUNTIF($E$2:$E361,$E361)=1,1,0))</f>
        <v/>
      </c>
      <c r="AO361">
        <f>IF($AN361=1,SUMPRODUCT(--($AR$2:$AR$4001&lt;$AR361))+1,"")</f>
        <v/>
      </c>
      <c r="AP361">
        <f>IF($E361="","",IF(OR($U361=TRUE(),$U361="TRUE"),1,0))</f>
        <v/>
      </c>
      <c r="AQ361">
        <f>IF($E361="","",IF($AA361="Yes",1,0))</f>
        <v/>
      </c>
      <c r="AR361">
        <f>IF($AN361=1,IFERROR(VALUE(MID($E361,2,20)),1000000000)+ROW()/100000,"")</f>
        <v/>
      </c>
    </row>
    <row r="362">
      <c r="G362" s="11" t="n"/>
      <c r="Q362" s="7">
        <f>IF($E362="","",P362*Y362/100)</f>
        <v/>
      </c>
      <c r="R362" s="7" t="n"/>
      <c r="X362" s="7" t="n"/>
      <c r="Y362" s="7" t="n"/>
      <c r="AB362">
        <f>IF($E362="","",IF($AQ362=1,0,IF($AP362=1,Settings!$C$6,Settings!$C$7))*100)</f>
        <v/>
      </c>
      <c r="AC362" s="7">
        <f>IF($E362="","",Y362*AB362/100)</f>
        <v/>
      </c>
      <c r="AD362" s="7">
        <f>IF($E362="","",Y362-AC362)</f>
        <v/>
      </c>
      <c r="AE362" s="7">
        <f>IF($E362="","",AD362-Q362)</f>
        <v/>
      </c>
      <c r="AI362" s="7" t="n"/>
      <c r="AL362" s="11" t="n"/>
      <c r="AN362">
        <f>IF($E362="","",IF(COUNTIF($E$2:$E362,$E362)=1,1,0))</f>
        <v/>
      </c>
      <c r="AO362">
        <f>IF($AN362=1,SUMPRODUCT(--($AR$2:$AR$4001&lt;$AR362))+1,"")</f>
        <v/>
      </c>
      <c r="AP362">
        <f>IF($E362="","",IF(OR($U362=TRUE(),$U362="TRUE"),1,0))</f>
        <v/>
      </c>
      <c r="AQ362">
        <f>IF($E362="","",IF($AA362="Yes",1,0))</f>
        <v/>
      </c>
      <c r="AR362">
        <f>IF($AN362=1,IFERROR(VALUE(MID($E362,2,20)),1000000000)+ROW()/100000,"")</f>
        <v/>
      </c>
    </row>
    <row r="363">
      <c r="G363" s="11" t="n"/>
      <c r="Q363" s="7">
        <f>IF($E363="","",P363*Y363/100)</f>
        <v/>
      </c>
      <c r="R363" s="7" t="n"/>
      <c r="X363" s="7" t="n"/>
      <c r="Y363" s="7" t="n"/>
      <c r="AB363">
        <f>IF($E363="","",IF($AQ363=1,0,IF($AP363=1,Settings!$C$6,Settings!$C$7))*100)</f>
        <v/>
      </c>
      <c r="AC363" s="7">
        <f>IF($E363="","",Y363*AB363/100)</f>
        <v/>
      </c>
      <c r="AD363" s="7">
        <f>IF($E363="","",Y363-AC363)</f>
        <v/>
      </c>
      <c r="AE363" s="7">
        <f>IF($E363="","",AD363-Q363)</f>
        <v/>
      </c>
      <c r="AI363" s="7" t="n"/>
      <c r="AL363" s="11" t="n"/>
      <c r="AN363">
        <f>IF($E363="","",IF(COUNTIF($E$2:$E363,$E363)=1,1,0))</f>
        <v/>
      </c>
      <c r="AO363">
        <f>IF($AN363=1,SUMPRODUCT(--($AR$2:$AR$4001&lt;$AR363))+1,"")</f>
        <v/>
      </c>
      <c r="AP363">
        <f>IF($E363="","",IF(OR($U363=TRUE(),$U363="TRUE"),1,0))</f>
        <v/>
      </c>
      <c r="AQ363">
        <f>IF($E363="","",IF($AA363="Yes",1,0))</f>
        <v/>
      </c>
      <c r="AR363">
        <f>IF($AN363=1,IFERROR(VALUE(MID($E363,2,20)),1000000000)+ROW()/100000,"")</f>
        <v/>
      </c>
    </row>
    <row r="364">
      <c r="G364" s="11" t="n"/>
      <c r="Q364" s="7">
        <f>IF($E364="","",P364*Y364/100)</f>
        <v/>
      </c>
      <c r="R364" s="7" t="n"/>
      <c r="X364" s="7" t="n"/>
      <c r="Y364" s="7" t="n"/>
      <c r="AB364">
        <f>IF($E364="","",IF($AQ364=1,0,IF($AP364=1,Settings!$C$6,Settings!$C$7))*100)</f>
        <v/>
      </c>
      <c r="AC364" s="7">
        <f>IF($E364="","",Y364*AB364/100)</f>
        <v/>
      </c>
      <c r="AD364" s="7">
        <f>IF($E364="","",Y364-AC364)</f>
        <v/>
      </c>
      <c r="AE364" s="7">
        <f>IF($E364="","",AD364-Q364)</f>
        <v/>
      </c>
      <c r="AI364" s="7" t="n"/>
      <c r="AL364" s="11" t="n"/>
      <c r="AN364">
        <f>IF($E364="","",IF(COUNTIF($E$2:$E364,$E364)=1,1,0))</f>
        <v/>
      </c>
      <c r="AO364">
        <f>IF($AN364=1,SUMPRODUCT(--($AR$2:$AR$4001&lt;$AR364))+1,"")</f>
        <v/>
      </c>
      <c r="AP364">
        <f>IF($E364="","",IF(OR($U364=TRUE(),$U364="TRUE"),1,0))</f>
        <v/>
      </c>
      <c r="AQ364">
        <f>IF($E364="","",IF($AA364="Yes",1,0))</f>
        <v/>
      </c>
      <c r="AR364">
        <f>IF($AN364=1,IFERROR(VALUE(MID($E364,2,20)),1000000000)+ROW()/100000,"")</f>
        <v/>
      </c>
    </row>
    <row r="365">
      <c r="G365" s="11" t="n"/>
      <c r="Q365" s="7">
        <f>IF($E365="","",P365*Y365/100)</f>
        <v/>
      </c>
      <c r="R365" s="7" t="n"/>
      <c r="X365" s="7" t="n"/>
      <c r="Y365" s="7" t="n"/>
      <c r="AB365">
        <f>IF($E365="","",IF($AQ365=1,0,IF($AP365=1,Settings!$C$6,Settings!$C$7))*100)</f>
        <v/>
      </c>
      <c r="AC365" s="7">
        <f>IF($E365="","",Y365*AB365/100)</f>
        <v/>
      </c>
      <c r="AD365" s="7">
        <f>IF($E365="","",Y365-AC365)</f>
        <v/>
      </c>
      <c r="AE365" s="7">
        <f>IF($E365="","",AD365-Q365)</f>
        <v/>
      </c>
      <c r="AI365" s="7" t="n"/>
      <c r="AL365" s="11" t="n"/>
      <c r="AN365">
        <f>IF($E365="","",IF(COUNTIF($E$2:$E365,$E365)=1,1,0))</f>
        <v/>
      </c>
      <c r="AO365">
        <f>IF($AN365=1,SUMPRODUCT(--($AR$2:$AR$4001&lt;$AR365))+1,"")</f>
        <v/>
      </c>
      <c r="AP365">
        <f>IF($E365="","",IF(OR($U365=TRUE(),$U365="TRUE"),1,0))</f>
        <v/>
      </c>
      <c r="AQ365">
        <f>IF($E365="","",IF($AA365="Yes",1,0))</f>
        <v/>
      </c>
      <c r="AR365">
        <f>IF($AN365=1,IFERROR(VALUE(MID($E365,2,20)),1000000000)+ROW()/100000,"")</f>
        <v/>
      </c>
    </row>
    <row r="366">
      <c r="G366" s="11" t="n"/>
      <c r="Q366" s="7">
        <f>IF($E366="","",P366*Y366/100)</f>
        <v/>
      </c>
      <c r="R366" s="7" t="n"/>
      <c r="X366" s="7" t="n"/>
      <c r="Y366" s="7" t="n"/>
      <c r="AB366">
        <f>IF($E366="","",IF($AQ366=1,0,IF($AP366=1,Settings!$C$6,Settings!$C$7))*100)</f>
        <v/>
      </c>
      <c r="AC366" s="7">
        <f>IF($E366="","",Y366*AB366/100)</f>
        <v/>
      </c>
      <c r="AD366" s="7">
        <f>IF($E366="","",Y366-AC366)</f>
        <v/>
      </c>
      <c r="AE366" s="7">
        <f>IF($E366="","",AD366-Q366)</f>
        <v/>
      </c>
      <c r="AI366" s="7" t="n"/>
      <c r="AL366" s="11" t="n"/>
      <c r="AN366">
        <f>IF($E366="","",IF(COUNTIF($E$2:$E366,$E366)=1,1,0))</f>
        <v/>
      </c>
      <c r="AO366">
        <f>IF($AN366=1,SUMPRODUCT(--($AR$2:$AR$4001&lt;$AR366))+1,"")</f>
        <v/>
      </c>
      <c r="AP366">
        <f>IF($E366="","",IF(OR($U366=TRUE(),$U366="TRUE"),1,0))</f>
        <v/>
      </c>
      <c r="AQ366">
        <f>IF($E366="","",IF($AA366="Yes",1,0))</f>
        <v/>
      </c>
      <c r="AR366">
        <f>IF($AN366=1,IFERROR(VALUE(MID($E366,2,20)),1000000000)+ROW()/100000,"")</f>
        <v/>
      </c>
    </row>
    <row r="367">
      <c r="G367" s="11" t="n"/>
      <c r="Q367" s="7">
        <f>IF($E367="","",P367*Y367/100)</f>
        <v/>
      </c>
      <c r="R367" s="7" t="n"/>
      <c r="X367" s="7" t="n"/>
      <c r="Y367" s="7" t="n"/>
      <c r="AB367">
        <f>IF($E367="","",IF($AQ367=1,0,IF($AP367=1,Settings!$C$6,Settings!$C$7))*100)</f>
        <v/>
      </c>
      <c r="AC367" s="7">
        <f>IF($E367="","",Y367*AB367/100)</f>
        <v/>
      </c>
      <c r="AD367" s="7">
        <f>IF($E367="","",Y367-AC367)</f>
        <v/>
      </c>
      <c r="AE367" s="7">
        <f>IF($E367="","",AD367-Q367)</f>
        <v/>
      </c>
      <c r="AI367" s="7" t="n"/>
      <c r="AL367" s="11" t="n"/>
      <c r="AN367">
        <f>IF($E367="","",IF(COUNTIF($E$2:$E367,$E367)=1,1,0))</f>
        <v/>
      </c>
      <c r="AO367">
        <f>IF($AN367=1,SUMPRODUCT(--($AR$2:$AR$4001&lt;$AR367))+1,"")</f>
        <v/>
      </c>
      <c r="AP367">
        <f>IF($E367="","",IF(OR($U367=TRUE(),$U367="TRUE"),1,0))</f>
        <v/>
      </c>
      <c r="AQ367">
        <f>IF($E367="","",IF($AA367="Yes",1,0))</f>
        <v/>
      </c>
      <c r="AR367">
        <f>IF($AN367=1,IFERROR(VALUE(MID($E367,2,20)),1000000000)+ROW()/100000,"")</f>
        <v/>
      </c>
    </row>
    <row r="368">
      <c r="G368" s="11" t="n"/>
      <c r="Q368" s="7">
        <f>IF($E368="","",P368*Y368/100)</f>
        <v/>
      </c>
      <c r="R368" s="7" t="n"/>
      <c r="X368" s="7" t="n"/>
      <c r="Y368" s="7" t="n"/>
      <c r="AB368">
        <f>IF($E368="","",IF($AQ368=1,0,IF($AP368=1,Settings!$C$6,Settings!$C$7))*100)</f>
        <v/>
      </c>
      <c r="AC368" s="7">
        <f>IF($E368="","",Y368*AB368/100)</f>
        <v/>
      </c>
      <c r="AD368" s="7">
        <f>IF($E368="","",Y368-AC368)</f>
        <v/>
      </c>
      <c r="AE368" s="7">
        <f>IF($E368="","",AD368-Q368)</f>
        <v/>
      </c>
      <c r="AI368" s="7" t="n"/>
      <c r="AL368" s="11" t="n"/>
      <c r="AN368">
        <f>IF($E368="","",IF(COUNTIF($E$2:$E368,$E368)=1,1,0))</f>
        <v/>
      </c>
      <c r="AO368">
        <f>IF($AN368=1,SUMPRODUCT(--($AR$2:$AR$4001&lt;$AR368))+1,"")</f>
        <v/>
      </c>
      <c r="AP368">
        <f>IF($E368="","",IF(OR($U368=TRUE(),$U368="TRUE"),1,0))</f>
        <v/>
      </c>
      <c r="AQ368">
        <f>IF($E368="","",IF($AA368="Yes",1,0))</f>
        <v/>
      </c>
      <c r="AR368">
        <f>IF($AN368=1,IFERROR(VALUE(MID($E368,2,20)),1000000000)+ROW()/100000,"")</f>
        <v/>
      </c>
    </row>
    <row r="369">
      <c r="G369" s="11" t="n"/>
      <c r="Q369" s="7">
        <f>IF($E369="","",P369*Y369/100)</f>
        <v/>
      </c>
      <c r="R369" s="7" t="n"/>
      <c r="X369" s="7" t="n"/>
      <c r="Y369" s="7" t="n"/>
      <c r="AB369">
        <f>IF($E369="","",IF($AQ369=1,0,IF($AP369=1,Settings!$C$6,Settings!$C$7))*100)</f>
        <v/>
      </c>
      <c r="AC369" s="7">
        <f>IF($E369="","",Y369*AB369/100)</f>
        <v/>
      </c>
      <c r="AD369" s="7">
        <f>IF($E369="","",Y369-AC369)</f>
        <v/>
      </c>
      <c r="AE369" s="7">
        <f>IF($E369="","",AD369-Q369)</f>
        <v/>
      </c>
      <c r="AI369" s="7" t="n"/>
      <c r="AL369" s="11" t="n"/>
      <c r="AN369">
        <f>IF($E369="","",IF(COUNTIF($E$2:$E369,$E369)=1,1,0))</f>
        <v/>
      </c>
      <c r="AO369">
        <f>IF($AN369=1,SUMPRODUCT(--($AR$2:$AR$4001&lt;$AR369))+1,"")</f>
        <v/>
      </c>
      <c r="AP369">
        <f>IF($E369="","",IF(OR($U369=TRUE(),$U369="TRUE"),1,0))</f>
        <v/>
      </c>
      <c r="AQ369">
        <f>IF($E369="","",IF($AA369="Yes",1,0))</f>
        <v/>
      </c>
      <c r="AR369">
        <f>IF($AN369=1,IFERROR(VALUE(MID($E369,2,20)),1000000000)+ROW()/100000,"")</f>
        <v/>
      </c>
    </row>
    <row r="370">
      <c r="G370" s="11" t="n"/>
      <c r="Q370" s="7">
        <f>IF($E370="","",P370*Y370/100)</f>
        <v/>
      </c>
      <c r="R370" s="7" t="n"/>
      <c r="X370" s="7" t="n"/>
      <c r="Y370" s="7" t="n"/>
      <c r="AB370">
        <f>IF($E370="","",IF($AQ370=1,0,IF($AP370=1,Settings!$C$6,Settings!$C$7))*100)</f>
        <v/>
      </c>
      <c r="AC370" s="7">
        <f>IF($E370="","",Y370*AB370/100)</f>
        <v/>
      </c>
      <c r="AD370" s="7">
        <f>IF($E370="","",Y370-AC370)</f>
        <v/>
      </c>
      <c r="AE370" s="7">
        <f>IF($E370="","",AD370-Q370)</f>
        <v/>
      </c>
      <c r="AI370" s="7" t="n"/>
      <c r="AL370" s="11" t="n"/>
      <c r="AN370">
        <f>IF($E370="","",IF(COUNTIF($E$2:$E370,$E370)=1,1,0))</f>
        <v/>
      </c>
      <c r="AO370">
        <f>IF($AN370=1,SUMPRODUCT(--($AR$2:$AR$4001&lt;$AR370))+1,"")</f>
        <v/>
      </c>
      <c r="AP370">
        <f>IF($E370="","",IF(OR($U370=TRUE(),$U370="TRUE"),1,0))</f>
        <v/>
      </c>
      <c r="AQ370">
        <f>IF($E370="","",IF($AA370="Yes",1,0))</f>
        <v/>
      </c>
      <c r="AR370">
        <f>IF($AN370=1,IFERROR(VALUE(MID($E370,2,20)),1000000000)+ROW()/100000,"")</f>
        <v/>
      </c>
    </row>
    <row r="371">
      <c r="G371" s="11" t="n"/>
      <c r="Q371" s="7">
        <f>IF($E371="","",P371*Y371/100)</f>
        <v/>
      </c>
      <c r="R371" s="7" t="n"/>
      <c r="X371" s="7" t="n"/>
      <c r="Y371" s="7" t="n"/>
      <c r="AB371">
        <f>IF($E371="","",IF($AQ371=1,0,IF($AP371=1,Settings!$C$6,Settings!$C$7))*100)</f>
        <v/>
      </c>
      <c r="AC371" s="7">
        <f>IF($E371="","",Y371*AB371/100)</f>
        <v/>
      </c>
      <c r="AD371" s="7">
        <f>IF($E371="","",Y371-AC371)</f>
        <v/>
      </c>
      <c r="AE371" s="7">
        <f>IF($E371="","",AD371-Q371)</f>
        <v/>
      </c>
      <c r="AI371" s="7" t="n"/>
      <c r="AL371" s="11" t="n"/>
      <c r="AN371">
        <f>IF($E371="","",IF(COUNTIF($E$2:$E371,$E371)=1,1,0))</f>
        <v/>
      </c>
      <c r="AO371">
        <f>IF($AN371=1,SUMPRODUCT(--($AR$2:$AR$4001&lt;$AR371))+1,"")</f>
        <v/>
      </c>
      <c r="AP371">
        <f>IF($E371="","",IF(OR($U371=TRUE(),$U371="TRUE"),1,0))</f>
        <v/>
      </c>
      <c r="AQ371">
        <f>IF($E371="","",IF($AA371="Yes",1,0))</f>
        <v/>
      </c>
      <c r="AR371">
        <f>IF($AN371=1,IFERROR(VALUE(MID($E371,2,20)),1000000000)+ROW()/100000,"")</f>
        <v/>
      </c>
    </row>
    <row r="372">
      <c r="G372" s="11" t="n"/>
      <c r="Q372" s="7">
        <f>IF($E372="","",P372*Y372/100)</f>
        <v/>
      </c>
      <c r="R372" s="7" t="n"/>
      <c r="X372" s="7" t="n"/>
      <c r="Y372" s="7" t="n"/>
      <c r="AB372">
        <f>IF($E372="","",IF($AQ372=1,0,IF($AP372=1,Settings!$C$6,Settings!$C$7))*100)</f>
        <v/>
      </c>
      <c r="AC372" s="7">
        <f>IF($E372="","",Y372*AB372/100)</f>
        <v/>
      </c>
      <c r="AD372" s="7">
        <f>IF($E372="","",Y372-AC372)</f>
        <v/>
      </c>
      <c r="AE372" s="7">
        <f>IF($E372="","",AD372-Q372)</f>
        <v/>
      </c>
      <c r="AI372" s="7" t="n"/>
      <c r="AL372" s="11" t="n"/>
      <c r="AN372">
        <f>IF($E372="","",IF(COUNTIF($E$2:$E372,$E372)=1,1,0))</f>
        <v/>
      </c>
      <c r="AO372">
        <f>IF($AN372=1,SUMPRODUCT(--($AR$2:$AR$4001&lt;$AR372))+1,"")</f>
        <v/>
      </c>
      <c r="AP372">
        <f>IF($E372="","",IF(OR($U372=TRUE(),$U372="TRUE"),1,0))</f>
        <v/>
      </c>
      <c r="AQ372">
        <f>IF($E372="","",IF($AA372="Yes",1,0))</f>
        <v/>
      </c>
      <c r="AR372">
        <f>IF($AN372=1,IFERROR(VALUE(MID($E372,2,20)),1000000000)+ROW()/100000,"")</f>
        <v/>
      </c>
    </row>
    <row r="373">
      <c r="G373" s="11" t="n"/>
      <c r="Q373" s="7">
        <f>IF($E373="","",P373*Y373/100)</f>
        <v/>
      </c>
      <c r="R373" s="7" t="n"/>
      <c r="X373" s="7" t="n"/>
      <c r="Y373" s="7" t="n"/>
      <c r="AB373">
        <f>IF($E373="","",IF($AQ373=1,0,IF($AP373=1,Settings!$C$6,Settings!$C$7))*100)</f>
        <v/>
      </c>
      <c r="AC373" s="7">
        <f>IF($E373="","",Y373*AB373/100)</f>
        <v/>
      </c>
      <c r="AD373" s="7">
        <f>IF($E373="","",Y373-AC373)</f>
        <v/>
      </c>
      <c r="AE373" s="7">
        <f>IF($E373="","",AD373-Q373)</f>
        <v/>
      </c>
      <c r="AI373" s="7" t="n"/>
      <c r="AL373" s="11" t="n"/>
      <c r="AN373">
        <f>IF($E373="","",IF(COUNTIF($E$2:$E373,$E373)=1,1,0))</f>
        <v/>
      </c>
      <c r="AO373">
        <f>IF($AN373=1,SUMPRODUCT(--($AR$2:$AR$4001&lt;$AR373))+1,"")</f>
        <v/>
      </c>
      <c r="AP373">
        <f>IF($E373="","",IF(OR($U373=TRUE(),$U373="TRUE"),1,0))</f>
        <v/>
      </c>
      <c r="AQ373">
        <f>IF($E373="","",IF($AA373="Yes",1,0))</f>
        <v/>
      </c>
      <c r="AR373">
        <f>IF($AN373=1,IFERROR(VALUE(MID($E373,2,20)),1000000000)+ROW()/100000,"")</f>
        <v/>
      </c>
    </row>
    <row r="374">
      <c r="G374" s="11" t="n"/>
      <c r="Q374" s="7">
        <f>IF($E374="","",P374*Y374/100)</f>
        <v/>
      </c>
      <c r="R374" s="7" t="n"/>
      <c r="X374" s="7" t="n"/>
      <c r="Y374" s="7" t="n"/>
      <c r="AB374">
        <f>IF($E374="","",IF($AQ374=1,0,IF($AP374=1,Settings!$C$6,Settings!$C$7))*100)</f>
        <v/>
      </c>
      <c r="AC374" s="7">
        <f>IF($E374="","",Y374*AB374/100)</f>
        <v/>
      </c>
      <c r="AD374" s="7">
        <f>IF($E374="","",Y374-AC374)</f>
        <v/>
      </c>
      <c r="AE374" s="7">
        <f>IF($E374="","",AD374-Q374)</f>
        <v/>
      </c>
      <c r="AI374" s="7" t="n"/>
      <c r="AL374" s="11" t="n"/>
      <c r="AN374">
        <f>IF($E374="","",IF(COUNTIF($E$2:$E374,$E374)=1,1,0))</f>
        <v/>
      </c>
      <c r="AO374">
        <f>IF($AN374=1,SUMPRODUCT(--($AR$2:$AR$4001&lt;$AR374))+1,"")</f>
        <v/>
      </c>
      <c r="AP374">
        <f>IF($E374="","",IF(OR($U374=TRUE(),$U374="TRUE"),1,0))</f>
        <v/>
      </c>
      <c r="AQ374">
        <f>IF($E374="","",IF($AA374="Yes",1,0))</f>
        <v/>
      </c>
      <c r="AR374">
        <f>IF($AN374=1,IFERROR(VALUE(MID($E374,2,20)),1000000000)+ROW()/100000,"")</f>
        <v/>
      </c>
    </row>
    <row r="375">
      <c r="G375" s="11" t="n"/>
      <c r="Q375" s="7">
        <f>IF($E375="","",P375*Y375/100)</f>
        <v/>
      </c>
      <c r="R375" s="7" t="n"/>
      <c r="X375" s="7" t="n"/>
      <c r="Y375" s="7" t="n"/>
      <c r="AB375">
        <f>IF($E375="","",IF($AQ375=1,0,IF($AP375=1,Settings!$C$6,Settings!$C$7))*100)</f>
        <v/>
      </c>
      <c r="AC375" s="7">
        <f>IF($E375="","",Y375*AB375/100)</f>
        <v/>
      </c>
      <c r="AD375" s="7">
        <f>IF($E375="","",Y375-AC375)</f>
        <v/>
      </c>
      <c r="AE375" s="7">
        <f>IF($E375="","",AD375-Q375)</f>
        <v/>
      </c>
      <c r="AI375" s="7" t="n"/>
      <c r="AL375" s="11" t="n"/>
      <c r="AN375">
        <f>IF($E375="","",IF(COUNTIF($E$2:$E375,$E375)=1,1,0))</f>
        <v/>
      </c>
      <c r="AO375">
        <f>IF($AN375=1,SUMPRODUCT(--($AR$2:$AR$4001&lt;$AR375))+1,"")</f>
        <v/>
      </c>
      <c r="AP375">
        <f>IF($E375="","",IF(OR($U375=TRUE(),$U375="TRUE"),1,0))</f>
        <v/>
      </c>
      <c r="AQ375">
        <f>IF($E375="","",IF($AA375="Yes",1,0))</f>
        <v/>
      </c>
      <c r="AR375">
        <f>IF($AN375=1,IFERROR(VALUE(MID($E375,2,20)),1000000000)+ROW()/100000,"")</f>
        <v/>
      </c>
    </row>
    <row r="376">
      <c r="G376" s="11" t="n"/>
      <c r="Q376" s="7">
        <f>IF($E376="","",P376*Y376/100)</f>
        <v/>
      </c>
      <c r="R376" s="7" t="n"/>
      <c r="X376" s="7" t="n"/>
      <c r="Y376" s="7" t="n"/>
      <c r="AB376">
        <f>IF($E376="","",IF($AQ376=1,0,IF($AP376=1,Settings!$C$6,Settings!$C$7))*100)</f>
        <v/>
      </c>
      <c r="AC376" s="7">
        <f>IF($E376="","",Y376*AB376/100)</f>
        <v/>
      </c>
      <c r="AD376" s="7">
        <f>IF($E376="","",Y376-AC376)</f>
        <v/>
      </c>
      <c r="AE376" s="7">
        <f>IF($E376="","",AD376-Q376)</f>
        <v/>
      </c>
      <c r="AI376" s="7" t="n"/>
      <c r="AL376" s="11" t="n"/>
      <c r="AN376">
        <f>IF($E376="","",IF(COUNTIF($E$2:$E376,$E376)=1,1,0))</f>
        <v/>
      </c>
      <c r="AO376">
        <f>IF($AN376=1,SUMPRODUCT(--($AR$2:$AR$4001&lt;$AR376))+1,"")</f>
        <v/>
      </c>
      <c r="AP376">
        <f>IF($E376="","",IF(OR($U376=TRUE(),$U376="TRUE"),1,0))</f>
        <v/>
      </c>
      <c r="AQ376">
        <f>IF($E376="","",IF($AA376="Yes",1,0))</f>
        <v/>
      </c>
      <c r="AR376">
        <f>IF($AN376=1,IFERROR(VALUE(MID($E376,2,20)),1000000000)+ROW()/100000,"")</f>
        <v/>
      </c>
    </row>
    <row r="377">
      <c r="G377" s="11" t="n"/>
      <c r="Q377" s="7">
        <f>IF($E377="","",P377*Y377/100)</f>
        <v/>
      </c>
      <c r="R377" s="7" t="n"/>
      <c r="X377" s="7" t="n"/>
      <c r="Y377" s="7" t="n"/>
      <c r="AB377">
        <f>IF($E377="","",IF($AQ377=1,0,IF($AP377=1,Settings!$C$6,Settings!$C$7))*100)</f>
        <v/>
      </c>
      <c r="AC377" s="7">
        <f>IF($E377="","",Y377*AB377/100)</f>
        <v/>
      </c>
      <c r="AD377" s="7">
        <f>IF($E377="","",Y377-AC377)</f>
        <v/>
      </c>
      <c r="AE377" s="7">
        <f>IF($E377="","",AD377-Q377)</f>
        <v/>
      </c>
      <c r="AI377" s="7" t="n"/>
      <c r="AL377" s="11" t="n"/>
      <c r="AN377">
        <f>IF($E377="","",IF(COUNTIF($E$2:$E377,$E377)=1,1,0))</f>
        <v/>
      </c>
      <c r="AO377">
        <f>IF($AN377=1,SUMPRODUCT(--($AR$2:$AR$4001&lt;$AR377))+1,"")</f>
        <v/>
      </c>
      <c r="AP377">
        <f>IF($E377="","",IF(OR($U377=TRUE(),$U377="TRUE"),1,0))</f>
        <v/>
      </c>
      <c r="AQ377">
        <f>IF($E377="","",IF($AA377="Yes",1,0))</f>
        <v/>
      </c>
      <c r="AR377">
        <f>IF($AN377=1,IFERROR(VALUE(MID($E377,2,20)),1000000000)+ROW()/100000,"")</f>
        <v/>
      </c>
    </row>
    <row r="378">
      <c r="G378" s="11" t="n"/>
      <c r="Q378" s="7">
        <f>IF($E378="","",P378*Y378/100)</f>
        <v/>
      </c>
      <c r="R378" s="7" t="n"/>
      <c r="X378" s="7" t="n"/>
      <c r="Y378" s="7" t="n"/>
      <c r="AB378">
        <f>IF($E378="","",IF($AQ378=1,0,IF($AP378=1,Settings!$C$6,Settings!$C$7))*100)</f>
        <v/>
      </c>
      <c r="AC378" s="7">
        <f>IF($E378="","",Y378*AB378/100)</f>
        <v/>
      </c>
      <c r="AD378" s="7">
        <f>IF($E378="","",Y378-AC378)</f>
        <v/>
      </c>
      <c r="AE378" s="7">
        <f>IF($E378="","",AD378-Q378)</f>
        <v/>
      </c>
      <c r="AI378" s="7" t="n"/>
      <c r="AL378" s="11" t="n"/>
      <c r="AN378">
        <f>IF($E378="","",IF(COUNTIF($E$2:$E378,$E378)=1,1,0))</f>
        <v/>
      </c>
      <c r="AO378">
        <f>IF($AN378=1,SUMPRODUCT(--($AR$2:$AR$4001&lt;$AR378))+1,"")</f>
        <v/>
      </c>
      <c r="AP378">
        <f>IF($E378="","",IF(OR($U378=TRUE(),$U378="TRUE"),1,0))</f>
        <v/>
      </c>
      <c r="AQ378">
        <f>IF($E378="","",IF($AA378="Yes",1,0))</f>
        <v/>
      </c>
      <c r="AR378">
        <f>IF($AN378=1,IFERROR(VALUE(MID($E378,2,20)),1000000000)+ROW()/100000,"")</f>
        <v/>
      </c>
    </row>
    <row r="379">
      <c r="G379" s="11" t="n"/>
      <c r="Q379" s="7">
        <f>IF($E379="","",P379*Y379/100)</f>
        <v/>
      </c>
      <c r="R379" s="7" t="n"/>
      <c r="X379" s="7" t="n"/>
      <c r="Y379" s="7" t="n"/>
      <c r="AB379">
        <f>IF($E379="","",IF($AQ379=1,0,IF($AP379=1,Settings!$C$6,Settings!$C$7))*100)</f>
        <v/>
      </c>
      <c r="AC379" s="7">
        <f>IF($E379="","",Y379*AB379/100)</f>
        <v/>
      </c>
      <c r="AD379" s="7">
        <f>IF($E379="","",Y379-AC379)</f>
        <v/>
      </c>
      <c r="AE379" s="7">
        <f>IF($E379="","",AD379-Q379)</f>
        <v/>
      </c>
      <c r="AI379" s="7" t="n"/>
      <c r="AL379" s="11" t="n"/>
      <c r="AN379">
        <f>IF($E379="","",IF(COUNTIF($E$2:$E379,$E379)=1,1,0))</f>
        <v/>
      </c>
      <c r="AO379">
        <f>IF($AN379=1,SUMPRODUCT(--($AR$2:$AR$4001&lt;$AR379))+1,"")</f>
        <v/>
      </c>
      <c r="AP379">
        <f>IF($E379="","",IF(OR($U379=TRUE(),$U379="TRUE"),1,0))</f>
        <v/>
      </c>
      <c r="AQ379">
        <f>IF($E379="","",IF($AA379="Yes",1,0))</f>
        <v/>
      </c>
      <c r="AR379">
        <f>IF($AN379=1,IFERROR(VALUE(MID($E379,2,20)),1000000000)+ROW()/100000,"")</f>
        <v/>
      </c>
    </row>
    <row r="380">
      <c r="G380" s="11" t="n"/>
      <c r="Q380" s="7">
        <f>IF($E380="","",P380*Y380/100)</f>
        <v/>
      </c>
      <c r="R380" s="7" t="n"/>
      <c r="X380" s="7" t="n"/>
      <c r="Y380" s="7" t="n"/>
      <c r="AB380">
        <f>IF($E380="","",IF($AQ380=1,0,IF($AP380=1,Settings!$C$6,Settings!$C$7))*100)</f>
        <v/>
      </c>
      <c r="AC380" s="7">
        <f>IF($E380="","",Y380*AB380/100)</f>
        <v/>
      </c>
      <c r="AD380" s="7">
        <f>IF($E380="","",Y380-AC380)</f>
        <v/>
      </c>
      <c r="AE380" s="7">
        <f>IF($E380="","",AD380-Q380)</f>
        <v/>
      </c>
      <c r="AI380" s="7" t="n"/>
      <c r="AL380" s="11" t="n"/>
      <c r="AN380">
        <f>IF($E380="","",IF(COUNTIF($E$2:$E380,$E380)=1,1,0))</f>
        <v/>
      </c>
      <c r="AO380">
        <f>IF($AN380=1,SUMPRODUCT(--($AR$2:$AR$4001&lt;$AR380))+1,"")</f>
        <v/>
      </c>
      <c r="AP380">
        <f>IF($E380="","",IF(OR($U380=TRUE(),$U380="TRUE"),1,0))</f>
        <v/>
      </c>
      <c r="AQ380">
        <f>IF($E380="","",IF($AA380="Yes",1,0))</f>
        <v/>
      </c>
      <c r="AR380">
        <f>IF($AN380=1,IFERROR(VALUE(MID($E380,2,20)),1000000000)+ROW()/100000,"")</f>
        <v/>
      </c>
    </row>
    <row r="381">
      <c r="G381" s="11" t="n"/>
      <c r="Q381" s="7">
        <f>IF($E381="","",P381*Y381/100)</f>
        <v/>
      </c>
      <c r="R381" s="7" t="n"/>
      <c r="X381" s="7" t="n"/>
      <c r="Y381" s="7" t="n"/>
      <c r="AB381">
        <f>IF($E381="","",IF($AQ381=1,0,IF($AP381=1,Settings!$C$6,Settings!$C$7))*100)</f>
        <v/>
      </c>
      <c r="AC381" s="7">
        <f>IF($E381="","",Y381*AB381/100)</f>
        <v/>
      </c>
      <c r="AD381" s="7">
        <f>IF($E381="","",Y381-AC381)</f>
        <v/>
      </c>
      <c r="AE381" s="7">
        <f>IF($E381="","",AD381-Q381)</f>
        <v/>
      </c>
      <c r="AI381" s="7" t="n"/>
      <c r="AL381" s="11" t="n"/>
      <c r="AN381">
        <f>IF($E381="","",IF(COUNTIF($E$2:$E381,$E381)=1,1,0))</f>
        <v/>
      </c>
      <c r="AO381">
        <f>IF($AN381=1,SUMPRODUCT(--($AR$2:$AR$4001&lt;$AR381))+1,"")</f>
        <v/>
      </c>
      <c r="AP381">
        <f>IF($E381="","",IF(OR($U381=TRUE(),$U381="TRUE"),1,0))</f>
        <v/>
      </c>
      <c r="AQ381">
        <f>IF($E381="","",IF($AA381="Yes",1,0))</f>
        <v/>
      </c>
      <c r="AR381">
        <f>IF($AN381=1,IFERROR(VALUE(MID($E381,2,20)),1000000000)+ROW()/100000,"")</f>
        <v/>
      </c>
    </row>
    <row r="382">
      <c r="G382" s="11" t="n"/>
      <c r="Q382" s="7">
        <f>IF($E382="","",P382*Y382/100)</f>
        <v/>
      </c>
      <c r="R382" s="7" t="n"/>
      <c r="X382" s="7" t="n"/>
      <c r="Y382" s="7" t="n"/>
      <c r="AB382">
        <f>IF($E382="","",IF($AQ382=1,0,IF($AP382=1,Settings!$C$6,Settings!$C$7))*100)</f>
        <v/>
      </c>
      <c r="AC382" s="7">
        <f>IF($E382="","",Y382*AB382/100)</f>
        <v/>
      </c>
      <c r="AD382" s="7">
        <f>IF($E382="","",Y382-AC382)</f>
        <v/>
      </c>
      <c r="AE382" s="7">
        <f>IF($E382="","",AD382-Q382)</f>
        <v/>
      </c>
      <c r="AI382" s="7" t="n"/>
      <c r="AL382" s="11" t="n"/>
      <c r="AN382">
        <f>IF($E382="","",IF(COUNTIF($E$2:$E382,$E382)=1,1,0))</f>
        <v/>
      </c>
      <c r="AO382">
        <f>IF($AN382=1,SUMPRODUCT(--($AR$2:$AR$4001&lt;$AR382))+1,"")</f>
        <v/>
      </c>
      <c r="AP382">
        <f>IF($E382="","",IF(OR($U382=TRUE(),$U382="TRUE"),1,0))</f>
        <v/>
      </c>
      <c r="AQ382">
        <f>IF($E382="","",IF($AA382="Yes",1,0))</f>
        <v/>
      </c>
      <c r="AR382">
        <f>IF($AN382=1,IFERROR(VALUE(MID($E382,2,20)),1000000000)+ROW()/100000,"")</f>
        <v/>
      </c>
    </row>
    <row r="383">
      <c r="G383" s="11" t="n"/>
      <c r="Q383" s="7">
        <f>IF($E383="","",P383*Y383/100)</f>
        <v/>
      </c>
      <c r="R383" s="7" t="n"/>
      <c r="X383" s="7" t="n"/>
      <c r="Y383" s="7" t="n"/>
      <c r="AB383">
        <f>IF($E383="","",IF($AQ383=1,0,IF($AP383=1,Settings!$C$6,Settings!$C$7))*100)</f>
        <v/>
      </c>
      <c r="AC383" s="7">
        <f>IF($E383="","",Y383*AB383/100)</f>
        <v/>
      </c>
      <c r="AD383" s="7">
        <f>IF($E383="","",Y383-AC383)</f>
        <v/>
      </c>
      <c r="AE383" s="7">
        <f>IF($E383="","",AD383-Q383)</f>
        <v/>
      </c>
      <c r="AI383" s="7" t="n"/>
      <c r="AL383" s="11" t="n"/>
      <c r="AN383">
        <f>IF($E383="","",IF(COUNTIF($E$2:$E383,$E383)=1,1,0))</f>
        <v/>
      </c>
      <c r="AO383">
        <f>IF($AN383=1,SUMPRODUCT(--($AR$2:$AR$4001&lt;$AR383))+1,"")</f>
        <v/>
      </c>
      <c r="AP383">
        <f>IF($E383="","",IF(OR($U383=TRUE(),$U383="TRUE"),1,0))</f>
        <v/>
      </c>
      <c r="AQ383">
        <f>IF($E383="","",IF($AA383="Yes",1,0))</f>
        <v/>
      </c>
      <c r="AR383">
        <f>IF($AN383=1,IFERROR(VALUE(MID($E383,2,20)),1000000000)+ROW()/100000,"")</f>
        <v/>
      </c>
    </row>
    <row r="384">
      <c r="G384" s="11" t="n"/>
      <c r="Q384" s="7">
        <f>IF($E384="","",P384*Y384/100)</f>
        <v/>
      </c>
      <c r="R384" s="7" t="n"/>
      <c r="X384" s="7" t="n"/>
      <c r="Y384" s="7" t="n"/>
      <c r="AB384">
        <f>IF($E384="","",IF($AQ384=1,0,IF($AP384=1,Settings!$C$6,Settings!$C$7))*100)</f>
        <v/>
      </c>
      <c r="AC384" s="7">
        <f>IF($E384="","",Y384*AB384/100)</f>
        <v/>
      </c>
      <c r="AD384" s="7">
        <f>IF($E384="","",Y384-AC384)</f>
        <v/>
      </c>
      <c r="AE384" s="7">
        <f>IF($E384="","",AD384-Q384)</f>
        <v/>
      </c>
      <c r="AI384" s="7" t="n"/>
      <c r="AL384" s="11" t="n"/>
      <c r="AN384">
        <f>IF($E384="","",IF(COUNTIF($E$2:$E384,$E384)=1,1,0))</f>
        <v/>
      </c>
      <c r="AO384">
        <f>IF($AN384=1,SUMPRODUCT(--($AR$2:$AR$4001&lt;$AR384))+1,"")</f>
        <v/>
      </c>
      <c r="AP384">
        <f>IF($E384="","",IF(OR($U384=TRUE(),$U384="TRUE"),1,0))</f>
        <v/>
      </c>
      <c r="AQ384">
        <f>IF($E384="","",IF($AA384="Yes",1,0))</f>
        <v/>
      </c>
      <c r="AR384">
        <f>IF($AN384=1,IFERROR(VALUE(MID($E384,2,20)),1000000000)+ROW()/100000,"")</f>
        <v/>
      </c>
    </row>
    <row r="385">
      <c r="G385" s="11" t="n"/>
      <c r="Q385" s="7">
        <f>IF($E385="","",P385*Y385/100)</f>
        <v/>
      </c>
      <c r="R385" s="7" t="n"/>
      <c r="X385" s="7" t="n"/>
      <c r="Y385" s="7" t="n"/>
      <c r="AB385">
        <f>IF($E385="","",IF($AQ385=1,0,IF($AP385=1,Settings!$C$6,Settings!$C$7))*100)</f>
        <v/>
      </c>
      <c r="AC385" s="7">
        <f>IF($E385="","",Y385*AB385/100)</f>
        <v/>
      </c>
      <c r="AD385" s="7">
        <f>IF($E385="","",Y385-AC385)</f>
        <v/>
      </c>
      <c r="AE385" s="7">
        <f>IF($E385="","",AD385-Q385)</f>
        <v/>
      </c>
      <c r="AI385" s="7" t="n"/>
      <c r="AL385" s="11" t="n"/>
      <c r="AN385">
        <f>IF($E385="","",IF(COUNTIF($E$2:$E385,$E385)=1,1,0))</f>
        <v/>
      </c>
      <c r="AO385">
        <f>IF($AN385=1,SUMPRODUCT(--($AR$2:$AR$4001&lt;$AR385))+1,"")</f>
        <v/>
      </c>
      <c r="AP385">
        <f>IF($E385="","",IF(OR($U385=TRUE(),$U385="TRUE"),1,0))</f>
        <v/>
      </c>
      <c r="AQ385">
        <f>IF($E385="","",IF($AA385="Yes",1,0))</f>
        <v/>
      </c>
      <c r="AR385">
        <f>IF($AN385=1,IFERROR(VALUE(MID($E385,2,20)),1000000000)+ROW()/100000,"")</f>
        <v/>
      </c>
    </row>
    <row r="386">
      <c r="G386" s="11" t="n"/>
      <c r="Q386" s="7">
        <f>IF($E386="","",P386*Y386/100)</f>
        <v/>
      </c>
      <c r="R386" s="7" t="n"/>
      <c r="X386" s="7" t="n"/>
      <c r="Y386" s="7" t="n"/>
      <c r="AB386">
        <f>IF($E386="","",IF($AQ386=1,0,IF($AP386=1,Settings!$C$6,Settings!$C$7))*100)</f>
        <v/>
      </c>
      <c r="AC386" s="7">
        <f>IF($E386="","",Y386*AB386/100)</f>
        <v/>
      </c>
      <c r="AD386" s="7">
        <f>IF($E386="","",Y386-AC386)</f>
        <v/>
      </c>
      <c r="AE386" s="7">
        <f>IF($E386="","",AD386-Q386)</f>
        <v/>
      </c>
      <c r="AI386" s="7" t="n"/>
      <c r="AL386" s="11" t="n"/>
      <c r="AN386">
        <f>IF($E386="","",IF(COUNTIF($E$2:$E386,$E386)=1,1,0))</f>
        <v/>
      </c>
      <c r="AO386">
        <f>IF($AN386=1,SUMPRODUCT(--($AR$2:$AR$4001&lt;$AR386))+1,"")</f>
        <v/>
      </c>
      <c r="AP386">
        <f>IF($E386="","",IF(OR($U386=TRUE(),$U386="TRUE"),1,0))</f>
        <v/>
      </c>
      <c r="AQ386">
        <f>IF($E386="","",IF($AA386="Yes",1,0))</f>
        <v/>
      </c>
      <c r="AR386">
        <f>IF($AN386=1,IFERROR(VALUE(MID($E386,2,20)),1000000000)+ROW()/100000,"")</f>
        <v/>
      </c>
    </row>
    <row r="387">
      <c r="G387" s="11" t="n"/>
      <c r="Q387" s="7">
        <f>IF($E387="","",P387*Y387/100)</f>
        <v/>
      </c>
      <c r="R387" s="7" t="n"/>
      <c r="X387" s="7" t="n"/>
      <c r="Y387" s="7" t="n"/>
      <c r="AB387">
        <f>IF($E387="","",IF($AQ387=1,0,IF($AP387=1,Settings!$C$6,Settings!$C$7))*100)</f>
        <v/>
      </c>
      <c r="AC387" s="7">
        <f>IF($E387="","",Y387*AB387/100)</f>
        <v/>
      </c>
      <c r="AD387" s="7">
        <f>IF($E387="","",Y387-AC387)</f>
        <v/>
      </c>
      <c r="AE387" s="7">
        <f>IF($E387="","",AD387-Q387)</f>
        <v/>
      </c>
      <c r="AI387" s="7" t="n"/>
      <c r="AL387" s="11" t="n"/>
      <c r="AN387">
        <f>IF($E387="","",IF(COUNTIF($E$2:$E387,$E387)=1,1,0))</f>
        <v/>
      </c>
      <c r="AO387">
        <f>IF($AN387=1,SUMPRODUCT(--($AR$2:$AR$4001&lt;$AR387))+1,"")</f>
        <v/>
      </c>
      <c r="AP387">
        <f>IF($E387="","",IF(OR($U387=TRUE(),$U387="TRUE"),1,0))</f>
        <v/>
      </c>
      <c r="AQ387">
        <f>IF($E387="","",IF($AA387="Yes",1,0))</f>
        <v/>
      </c>
      <c r="AR387">
        <f>IF($AN387=1,IFERROR(VALUE(MID($E387,2,20)),1000000000)+ROW()/100000,"")</f>
        <v/>
      </c>
    </row>
    <row r="388">
      <c r="G388" s="11" t="n"/>
      <c r="Q388" s="7">
        <f>IF($E388="","",P388*Y388/100)</f>
        <v/>
      </c>
      <c r="R388" s="7" t="n"/>
      <c r="X388" s="7" t="n"/>
      <c r="Y388" s="7" t="n"/>
      <c r="AB388">
        <f>IF($E388="","",IF($AQ388=1,0,IF($AP388=1,Settings!$C$6,Settings!$C$7))*100)</f>
        <v/>
      </c>
      <c r="AC388" s="7">
        <f>IF($E388="","",Y388*AB388/100)</f>
        <v/>
      </c>
      <c r="AD388" s="7">
        <f>IF($E388="","",Y388-AC388)</f>
        <v/>
      </c>
      <c r="AE388" s="7">
        <f>IF($E388="","",AD388-Q388)</f>
        <v/>
      </c>
      <c r="AI388" s="7" t="n"/>
      <c r="AL388" s="11" t="n"/>
      <c r="AN388">
        <f>IF($E388="","",IF(COUNTIF($E$2:$E388,$E388)=1,1,0))</f>
        <v/>
      </c>
      <c r="AO388">
        <f>IF($AN388=1,SUMPRODUCT(--($AR$2:$AR$4001&lt;$AR388))+1,"")</f>
        <v/>
      </c>
      <c r="AP388">
        <f>IF($E388="","",IF(OR($U388=TRUE(),$U388="TRUE"),1,0))</f>
        <v/>
      </c>
      <c r="AQ388">
        <f>IF($E388="","",IF($AA388="Yes",1,0))</f>
        <v/>
      </c>
      <c r="AR388">
        <f>IF($AN388=1,IFERROR(VALUE(MID($E388,2,20)),1000000000)+ROW()/100000,"")</f>
        <v/>
      </c>
    </row>
    <row r="389">
      <c r="G389" s="11" t="n"/>
      <c r="Q389" s="7">
        <f>IF($E389="","",P389*Y389/100)</f>
        <v/>
      </c>
      <c r="R389" s="7" t="n"/>
      <c r="X389" s="7" t="n"/>
      <c r="Y389" s="7" t="n"/>
      <c r="AB389">
        <f>IF($E389="","",IF($AQ389=1,0,IF($AP389=1,Settings!$C$6,Settings!$C$7))*100)</f>
        <v/>
      </c>
      <c r="AC389" s="7">
        <f>IF($E389="","",Y389*AB389/100)</f>
        <v/>
      </c>
      <c r="AD389" s="7">
        <f>IF($E389="","",Y389-AC389)</f>
        <v/>
      </c>
      <c r="AE389" s="7">
        <f>IF($E389="","",AD389-Q389)</f>
        <v/>
      </c>
      <c r="AI389" s="7" t="n"/>
      <c r="AL389" s="11" t="n"/>
      <c r="AN389">
        <f>IF($E389="","",IF(COUNTIF($E$2:$E389,$E389)=1,1,0))</f>
        <v/>
      </c>
      <c r="AO389">
        <f>IF($AN389=1,SUMPRODUCT(--($AR$2:$AR$4001&lt;$AR389))+1,"")</f>
        <v/>
      </c>
      <c r="AP389">
        <f>IF($E389="","",IF(OR($U389=TRUE(),$U389="TRUE"),1,0))</f>
        <v/>
      </c>
      <c r="AQ389">
        <f>IF($E389="","",IF($AA389="Yes",1,0))</f>
        <v/>
      </c>
      <c r="AR389">
        <f>IF($AN389=1,IFERROR(VALUE(MID($E389,2,20)),1000000000)+ROW()/100000,"")</f>
        <v/>
      </c>
    </row>
    <row r="390">
      <c r="G390" s="11" t="n"/>
      <c r="Q390" s="7">
        <f>IF($E390="","",P390*Y390/100)</f>
        <v/>
      </c>
      <c r="R390" s="7" t="n"/>
      <c r="X390" s="7" t="n"/>
      <c r="Y390" s="7" t="n"/>
      <c r="AB390">
        <f>IF($E390="","",IF($AQ390=1,0,IF($AP390=1,Settings!$C$6,Settings!$C$7))*100)</f>
        <v/>
      </c>
      <c r="AC390" s="7">
        <f>IF($E390="","",Y390*AB390/100)</f>
        <v/>
      </c>
      <c r="AD390" s="7">
        <f>IF($E390="","",Y390-AC390)</f>
        <v/>
      </c>
      <c r="AE390" s="7">
        <f>IF($E390="","",AD390-Q390)</f>
        <v/>
      </c>
      <c r="AI390" s="7" t="n"/>
      <c r="AL390" s="11" t="n"/>
      <c r="AN390">
        <f>IF($E390="","",IF(COUNTIF($E$2:$E390,$E390)=1,1,0))</f>
        <v/>
      </c>
      <c r="AO390">
        <f>IF($AN390=1,SUMPRODUCT(--($AR$2:$AR$4001&lt;$AR390))+1,"")</f>
        <v/>
      </c>
      <c r="AP390">
        <f>IF($E390="","",IF(OR($U390=TRUE(),$U390="TRUE"),1,0))</f>
        <v/>
      </c>
      <c r="AQ390">
        <f>IF($E390="","",IF($AA390="Yes",1,0))</f>
        <v/>
      </c>
      <c r="AR390">
        <f>IF($AN390=1,IFERROR(VALUE(MID($E390,2,20)),1000000000)+ROW()/100000,"")</f>
        <v/>
      </c>
    </row>
    <row r="391">
      <c r="G391" s="11" t="n"/>
      <c r="Q391" s="7">
        <f>IF($E391="","",P391*Y391/100)</f>
        <v/>
      </c>
      <c r="R391" s="7" t="n"/>
      <c r="X391" s="7" t="n"/>
      <c r="Y391" s="7" t="n"/>
      <c r="AB391">
        <f>IF($E391="","",IF($AQ391=1,0,IF($AP391=1,Settings!$C$6,Settings!$C$7))*100)</f>
        <v/>
      </c>
      <c r="AC391" s="7">
        <f>IF($E391="","",Y391*AB391/100)</f>
        <v/>
      </c>
      <c r="AD391" s="7">
        <f>IF($E391="","",Y391-AC391)</f>
        <v/>
      </c>
      <c r="AE391" s="7">
        <f>IF($E391="","",AD391-Q391)</f>
        <v/>
      </c>
      <c r="AI391" s="7" t="n"/>
      <c r="AL391" s="11" t="n"/>
      <c r="AN391">
        <f>IF($E391="","",IF(COUNTIF($E$2:$E391,$E391)=1,1,0))</f>
        <v/>
      </c>
      <c r="AO391">
        <f>IF($AN391=1,SUMPRODUCT(--($AR$2:$AR$4001&lt;$AR391))+1,"")</f>
        <v/>
      </c>
      <c r="AP391">
        <f>IF($E391="","",IF(OR($U391=TRUE(),$U391="TRUE"),1,0))</f>
        <v/>
      </c>
      <c r="AQ391">
        <f>IF($E391="","",IF($AA391="Yes",1,0))</f>
        <v/>
      </c>
      <c r="AR391">
        <f>IF($AN391=1,IFERROR(VALUE(MID($E391,2,20)),1000000000)+ROW()/100000,"")</f>
        <v/>
      </c>
    </row>
    <row r="392">
      <c r="G392" s="11" t="n"/>
      <c r="Q392" s="7">
        <f>IF($E392="","",P392*Y392/100)</f>
        <v/>
      </c>
      <c r="R392" s="7" t="n"/>
      <c r="X392" s="7" t="n"/>
      <c r="Y392" s="7" t="n"/>
      <c r="AB392">
        <f>IF($E392="","",IF($AQ392=1,0,IF($AP392=1,Settings!$C$6,Settings!$C$7))*100)</f>
        <v/>
      </c>
      <c r="AC392" s="7">
        <f>IF($E392="","",Y392*AB392/100)</f>
        <v/>
      </c>
      <c r="AD392" s="7">
        <f>IF($E392="","",Y392-AC392)</f>
        <v/>
      </c>
      <c r="AE392" s="7">
        <f>IF($E392="","",AD392-Q392)</f>
        <v/>
      </c>
      <c r="AI392" s="7" t="n"/>
      <c r="AL392" s="11" t="n"/>
      <c r="AN392">
        <f>IF($E392="","",IF(COUNTIF($E$2:$E392,$E392)=1,1,0))</f>
        <v/>
      </c>
      <c r="AO392">
        <f>IF($AN392=1,SUMPRODUCT(--($AR$2:$AR$4001&lt;$AR392))+1,"")</f>
        <v/>
      </c>
      <c r="AP392">
        <f>IF($E392="","",IF(OR($U392=TRUE(),$U392="TRUE"),1,0))</f>
        <v/>
      </c>
      <c r="AQ392">
        <f>IF($E392="","",IF($AA392="Yes",1,0))</f>
        <v/>
      </c>
      <c r="AR392">
        <f>IF($AN392=1,IFERROR(VALUE(MID($E392,2,20)),1000000000)+ROW()/100000,"")</f>
        <v/>
      </c>
    </row>
    <row r="393">
      <c r="G393" s="11" t="n"/>
      <c r="Q393" s="7">
        <f>IF($E393="","",P393*Y393/100)</f>
        <v/>
      </c>
      <c r="R393" s="7" t="n"/>
      <c r="X393" s="7" t="n"/>
      <c r="Y393" s="7" t="n"/>
      <c r="AB393">
        <f>IF($E393="","",IF($AQ393=1,0,IF($AP393=1,Settings!$C$6,Settings!$C$7))*100)</f>
        <v/>
      </c>
      <c r="AC393" s="7">
        <f>IF($E393="","",Y393*AB393/100)</f>
        <v/>
      </c>
      <c r="AD393" s="7">
        <f>IF($E393="","",Y393-AC393)</f>
        <v/>
      </c>
      <c r="AE393" s="7">
        <f>IF($E393="","",AD393-Q393)</f>
        <v/>
      </c>
      <c r="AI393" s="7" t="n"/>
      <c r="AL393" s="11" t="n"/>
      <c r="AN393">
        <f>IF($E393="","",IF(COUNTIF($E$2:$E393,$E393)=1,1,0))</f>
        <v/>
      </c>
      <c r="AO393">
        <f>IF($AN393=1,SUMPRODUCT(--($AR$2:$AR$4001&lt;$AR393))+1,"")</f>
        <v/>
      </c>
      <c r="AP393">
        <f>IF($E393="","",IF(OR($U393=TRUE(),$U393="TRUE"),1,0))</f>
        <v/>
      </c>
      <c r="AQ393">
        <f>IF($E393="","",IF($AA393="Yes",1,0))</f>
        <v/>
      </c>
      <c r="AR393">
        <f>IF($AN393=1,IFERROR(VALUE(MID($E393,2,20)),1000000000)+ROW()/100000,"")</f>
        <v/>
      </c>
    </row>
    <row r="394">
      <c r="G394" s="11" t="n"/>
      <c r="Q394" s="7">
        <f>IF($E394="","",P394*Y394/100)</f>
        <v/>
      </c>
      <c r="R394" s="7" t="n"/>
      <c r="X394" s="7" t="n"/>
      <c r="Y394" s="7" t="n"/>
      <c r="AB394">
        <f>IF($E394="","",IF($AQ394=1,0,IF($AP394=1,Settings!$C$6,Settings!$C$7))*100)</f>
        <v/>
      </c>
      <c r="AC394" s="7">
        <f>IF($E394="","",Y394*AB394/100)</f>
        <v/>
      </c>
      <c r="AD394" s="7">
        <f>IF($E394="","",Y394-AC394)</f>
        <v/>
      </c>
      <c r="AE394" s="7">
        <f>IF($E394="","",AD394-Q394)</f>
        <v/>
      </c>
      <c r="AI394" s="7" t="n"/>
      <c r="AL394" s="11" t="n"/>
      <c r="AN394">
        <f>IF($E394="","",IF(COUNTIF($E$2:$E394,$E394)=1,1,0))</f>
        <v/>
      </c>
      <c r="AO394">
        <f>IF($AN394=1,SUMPRODUCT(--($AR$2:$AR$4001&lt;$AR394))+1,"")</f>
        <v/>
      </c>
      <c r="AP394">
        <f>IF($E394="","",IF(OR($U394=TRUE(),$U394="TRUE"),1,0))</f>
        <v/>
      </c>
      <c r="AQ394">
        <f>IF($E394="","",IF($AA394="Yes",1,0))</f>
        <v/>
      </c>
      <c r="AR394">
        <f>IF($AN394=1,IFERROR(VALUE(MID($E394,2,20)),1000000000)+ROW()/100000,"")</f>
        <v/>
      </c>
    </row>
    <row r="395">
      <c r="G395" s="11" t="n"/>
      <c r="Q395" s="7">
        <f>IF($E395="","",P395*Y395/100)</f>
        <v/>
      </c>
      <c r="R395" s="7" t="n"/>
      <c r="X395" s="7" t="n"/>
      <c r="Y395" s="7" t="n"/>
      <c r="AB395">
        <f>IF($E395="","",IF($AQ395=1,0,IF($AP395=1,Settings!$C$6,Settings!$C$7))*100)</f>
        <v/>
      </c>
      <c r="AC395" s="7">
        <f>IF($E395="","",Y395*AB395/100)</f>
        <v/>
      </c>
      <c r="AD395" s="7">
        <f>IF($E395="","",Y395-AC395)</f>
        <v/>
      </c>
      <c r="AE395" s="7">
        <f>IF($E395="","",AD395-Q395)</f>
        <v/>
      </c>
      <c r="AI395" s="7" t="n"/>
      <c r="AL395" s="11" t="n"/>
      <c r="AN395">
        <f>IF($E395="","",IF(COUNTIF($E$2:$E395,$E395)=1,1,0))</f>
        <v/>
      </c>
      <c r="AO395">
        <f>IF($AN395=1,SUMPRODUCT(--($AR$2:$AR$4001&lt;$AR395))+1,"")</f>
        <v/>
      </c>
      <c r="AP395">
        <f>IF($E395="","",IF(OR($U395=TRUE(),$U395="TRUE"),1,0))</f>
        <v/>
      </c>
      <c r="AQ395">
        <f>IF($E395="","",IF($AA395="Yes",1,0))</f>
        <v/>
      </c>
      <c r="AR395">
        <f>IF($AN395=1,IFERROR(VALUE(MID($E395,2,20)),1000000000)+ROW()/100000,"")</f>
        <v/>
      </c>
    </row>
    <row r="396">
      <c r="G396" s="11" t="n"/>
      <c r="Q396" s="7">
        <f>IF($E396="","",P396*Y396/100)</f>
        <v/>
      </c>
      <c r="R396" s="7" t="n"/>
      <c r="X396" s="7" t="n"/>
      <c r="Y396" s="7" t="n"/>
      <c r="AB396">
        <f>IF($E396="","",IF($AQ396=1,0,IF($AP396=1,Settings!$C$6,Settings!$C$7))*100)</f>
        <v/>
      </c>
      <c r="AC396" s="7">
        <f>IF($E396="","",Y396*AB396/100)</f>
        <v/>
      </c>
      <c r="AD396" s="7">
        <f>IF($E396="","",Y396-AC396)</f>
        <v/>
      </c>
      <c r="AE396" s="7">
        <f>IF($E396="","",AD396-Q396)</f>
        <v/>
      </c>
      <c r="AI396" s="7" t="n"/>
      <c r="AL396" s="11" t="n"/>
      <c r="AN396">
        <f>IF($E396="","",IF(COUNTIF($E$2:$E396,$E396)=1,1,0))</f>
        <v/>
      </c>
      <c r="AO396">
        <f>IF($AN396=1,SUMPRODUCT(--($AR$2:$AR$4001&lt;$AR396))+1,"")</f>
        <v/>
      </c>
      <c r="AP396">
        <f>IF($E396="","",IF(OR($U396=TRUE(),$U396="TRUE"),1,0))</f>
        <v/>
      </c>
      <c r="AQ396">
        <f>IF($E396="","",IF($AA396="Yes",1,0))</f>
        <v/>
      </c>
      <c r="AR396">
        <f>IF($AN396=1,IFERROR(VALUE(MID($E396,2,20)),1000000000)+ROW()/100000,"")</f>
        <v/>
      </c>
    </row>
    <row r="397">
      <c r="G397" s="11" t="n"/>
      <c r="Q397" s="7">
        <f>IF($E397="","",P397*Y397/100)</f>
        <v/>
      </c>
      <c r="R397" s="7" t="n"/>
      <c r="X397" s="7" t="n"/>
      <c r="Y397" s="7" t="n"/>
      <c r="AB397">
        <f>IF($E397="","",IF($AQ397=1,0,IF($AP397=1,Settings!$C$6,Settings!$C$7))*100)</f>
        <v/>
      </c>
      <c r="AC397" s="7">
        <f>IF($E397="","",Y397*AB397/100)</f>
        <v/>
      </c>
      <c r="AD397" s="7">
        <f>IF($E397="","",Y397-AC397)</f>
        <v/>
      </c>
      <c r="AE397" s="7">
        <f>IF($E397="","",AD397-Q397)</f>
        <v/>
      </c>
      <c r="AI397" s="7" t="n"/>
      <c r="AL397" s="11" t="n"/>
      <c r="AN397">
        <f>IF($E397="","",IF(COUNTIF($E$2:$E397,$E397)=1,1,0))</f>
        <v/>
      </c>
      <c r="AO397">
        <f>IF($AN397=1,SUMPRODUCT(--($AR$2:$AR$4001&lt;$AR397))+1,"")</f>
        <v/>
      </c>
      <c r="AP397">
        <f>IF($E397="","",IF(OR($U397=TRUE(),$U397="TRUE"),1,0))</f>
        <v/>
      </c>
      <c r="AQ397">
        <f>IF($E397="","",IF($AA397="Yes",1,0))</f>
        <v/>
      </c>
      <c r="AR397">
        <f>IF($AN397=1,IFERROR(VALUE(MID($E397,2,20)),1000000000)+ROW()/100000,"")</f>
        <v/>
      </c>
    </row>
    <row r="398">
      <c r="G398" s="11" t="n"/>
      <c r="Q398" s="7">
        <f>IF($E398="","",P398*Y398/100)</f>
        <v/>
      </c>
      <c r="R398" s="7" t="n"/>
      <c r="X398" s="7" t="n"/>
      <c r="Y398" s="7" t="n"/>
      <c r="AB398">
        <f>IF($E398="","",IF($AQ398=1,0,IF($AP398=1,Settings!$C$6,Settings!$C$7))*100)</f>
        <v/>
      </c>
      <c r="AC398" s="7">
        <f>IF($E398="","",Y398*AB398/100)</f>
        <v/>
      </c>
      <c r="AD398" s="7">
        <f>IF($E398="","",Y398-AC398)</f>
        <v/>
      </c>
      <c r="AE398" s="7">
        <f>IF($E398="","",AD398-Q398)</f>
        <v/>
      </c>
      <c r="AI398" s="7" t="n"/>
      <c r="AL398" s="11" t="n"/>
      <c r="AN398">
        <f>IF($E398="","",IF(COUNTIF($E$2:$E398,$E398)=1,1,0))</f>
        <v/>
      </c>
      <c r="AO398">
        <f>IF($AN398=1,SUMPRODUCT(--($AR$2:$AR$4001&lt;$AR398))+1,"")</f>
        <v/>
      </c>
      <c r="AP398">
        <f>IF($E398="","",IF(OR($U398=TRUE(),$U398="TRUE"),1,0))</f>
        <v/>
      </c>
      <c r="AQ398">
        <f>IF($E398="","",IF($AA398="Yes",1,0))</f>
        <v/>
      </c>
      <c r="AR398">
        <f>IF($AN398=1,IFERROR(VALUE(MID($E398,2,20)),1000000000)+ROW()/100000,"")</f>
        <v/>
      </c>
    </row>
    <row r="399">
      <c r="G399" s="11" t="n"/>
      <c r="Q399" s="7">
        <f>IF($E399="","",P399*Y399/100)</f>
        <v/>
      </c>
      <c r="R399" s="7" t="n"/>
      <c r="X399" s="7" t="n"/>
      <c r="Y399" s="7" t="n"/>
      <c r="AB399">
        <f>IF($E399="","",IF($AQ399=1,0,IF($AP399=1,Settings!$C$6,Settings!$C$7))*100)</f>
        <v/>
      </c>
      <c r="AC399" s="7">
        <f>IF($E399="","",Y399*AB399/100)</f>
        <v/>
      </c>
      <c r="AD399" s="7">
        <f>IF($E399="","",Y399-AC399)</f>
        <v/>
      </c>
      <c r="AE399" s="7">
        <f>IF($E399="","",AD399-Q399)</f>
        <v/>
      </c>
      <c r="AI399" s="7" t="n"/>
      <c r="AL399" s="11" t="n"/>
      <c r="AN399">
        <f>IF($E399="","",IF(COUNTIF($E$2:$E399,$E399)=1,1,0))</f>
        <v/>
      </c>
      <c r="AO399">
        <f>IF($AN399=1,SUMPRODUCT(--($AR$2:$AR$4001&lt;$AR399))+1,"")</f>
        <v/>
      </c>
      <c r="AP399">
        <f>IF($E399="","",IF(OR($U399=TRUE(),$U399="TRUE"),1,0))</f>
        <v/>
      </c>
      <c r="AQ399">
        <f>IF($E399="","",IF($AA399="Yes",1,0))</f>
        <v/>
      </c>
      <c r="AR399">
        <f>IF($AN399=1,IFERROR(VALUE(MID($E399,2,20)),1000000000)+ROW()/100000,"")</f>
        <v/>
      </c>
    </row>
    <row r="400">
      <c r="G400" s="11" t="n"/>
      <c r="Q400" s="7">
        <f>IF($E400="","",P400*Y400/100)</f>
        <v/>
      </c>
      <c r="R400" s="7" t="n"/>
      <c r="X400" s="7" t="n"/>
      <c r="Y400" s="7" t="n"/>
      <c r="AB400">
        <f>IF($E400="","",IF($AQ400=1,0,IF($AP400=1,Settings!$C$6,Settings!$C$7))*100)</f>
        <v/>
      </c>
      <c r="AC400" s="7">
        <f>IF($E400="","",Y400*AB400/100)</f>
        <v/>
      </c>
      <c r="AD400" s="7">
        <f>IF($E400="","",Y400-AC400)</f>
        <v/>
      </c>
      <c r="AE400" s="7">
        <f>IF($E400="","",AD400-Q400)</f>
        <v/>
      </c>
      <c r="AI400" s="7" t="n"/>
      <c r="AL400" s="11" t="n"/>
      <c r="AN400">
        <f>IF($E400="","",IF(COUNTIF($E$2:$E400,$E400)=1,1,0))</f>
        <v/>
      </c>
      <c r="AO400">
        <f>IF($AN400=1,SUMPRODUCT(--($AR$2:$AR$4001&lt;$AR400))+1,"")</f>
        <v/>
      </c>
      <c r="AP400">
        <f>IF($E400="","",IF(OR($U400=TRUE(),$U400="TRUE"),1,0))</f>
        <v/>
      </c>
      <c r="AQ400">
        <f>IF($E400="","",IF($AA400="Yes",1,0))</f>
        <v/>
      </c>
      <c r="AR400">
        <f>IF($AN400=1,IFERROR(VALUE(MID($E400,2,20)),1000000000)+ROW()/100000,"")</f>
        <v/>
      </c>
    </row>
    <row r="401">
      <c r="G401" s="11" t="n"/>
      <c r="Q401" s="7">
        <f>IF($E401="","",P401*Y401/100)</f>
        <v/>
      </c>
      <c r="R401" s="7" t="n"/>
      <c r="X401" s="7" t="n"/>
      <c r="Y401" s="7" t="n"/>
      <c r="AB401">
        <f>IF($E401="","",IF($AQ401=1,0,IF($AP401=1,Settings!$C$6,Settings!$C$7))*100)</f>
        <v/>
      </c>
      <c r="AC401" s="7">
        <f>IF($E401="","",Y401*AB401/100)</f>
        <v/>
      </c>
      <c r="AD401" s="7">
        <f>IF($E401="","",Y401-AC401)</f>
        <v/>
      </c>
      <c r="AE401" s="7">
        <f>IF($E401="","",AD401-Q401)</f>
        <v/>
      </c>
      <c r="AI401" s="7" t="n"/>
      <c r="AL401" s="11" t="n"/>
      <c r="AN401">
        <f>IF($E401="","",IF(COUNTIF($E$2:$E401,$E401)=1,1,0))</f>
        <v/>
      </c>
      <c r="AO401">
        <f>IF($AN401=1,SUMPRODUCT(--($AR$2:$AR$4001&lt;$AR401))+1,"")</f>
        <v/>
      </c>
      <c r="AP401">
        <f>IF($E401="","",IF(OR($U401=TRUE(),$U401="TRUE"),1,0))</f>
        <v/>
      </c>
      <c r="AQ401">
        <f>IF($E401="","",IF($AA401="Yes",1,0))</f>
        <v/>
      </c>
      <c r="AR401">
        <f>IF($AN401=1,IFERROR(VALUE(MID($E401,2,20)),1000000000)+ROW()/100000,"")</f>
        <v/>
      </c>
    </row>
    <row r="402">
      <c r="G402" s="11" t="n"/>
      <c r="Q402" s="7">
        <f>IF($E402="","",P402*Y402/100)</f>
        <v/>
      </c>
      <c r="R402" s="7" t="n"/>
      <c r="X402" s="7" t="n"/>
      <c r="Y402" s="7" t="n"/>
      <c r="AB402">
        <f>IF($E402="","",IF($AQ402=1,0,IF($AP402=1,Settings!$C$6,Settings!$C$7))*100)</f>
        <v/>
      </c>
      <c r="AC402" s="7">
        <f>IF($E402="","",Y402*AB402/100)</f>
        <v/>
      </c>
      <c r="AD402" s="7">
        <f>IF($E402="","",Y402-AC402)</f>
        <v/>
      </c>
      <c r="AE402" s="7">
        <f>IF($E402="","",AD402-Q402)</f>
        <v/>
      </c>
      <c r="AI402" s="7" t="n"/>
      <c r="AL402" s="11" t="n"/>
      <c r="AN402">
        <f>IF($E402="","",IF(COUNTIF($E$2:$E402,$E402)=1,1,0))</f>
        <v/>
      </c>
      <c r="AO402">
        <f>IF($AN402=1,SUMPRODUCT(--($AR$2:$AR$4001&lt;$AR402))+1,"")</f>
        <v/>
      </c>
      <c r="AP402">
        <f>IF($E402="","",IF(OR($U402=TRUE(),$U402="TRUE"),1,0))</f>
        <v/>
      </c>
      <c r="AQ402">
        <f>IF($E402="","",IF($AA402="Yes",1,0))</f>
        <v/>
      </c>
      <c r="AR402">
        <f>IF($AN402=1,IFERROR(VALUE(MID($E402,2,20)),1000000000)+ROW()/100000,"")</f>
        <v/>
      </c>
    </row>
    <row r="403">
      <c r="G403" s="11" t="n"/>
      <c r="Q403" s="7">
        <f>IF($E403="","",P403*Y403/100)</f>
        <v/>
      </c>
      <c r="R403" s="7" t="n"/>
      <c r="X403" s="7" t="n"/>
      <c r="Y403" s="7" t="n"/>
      <c r="AB403">
        <f>IF($E403="","",IF($AQ403=1,0,IF($AP403=1,Settings!$C$6,Settings!$C$7))*100)</f>
        <v/>
      </c>
      <c r="AC403" s="7">
        <f>IF($E403="","",Y403*AB403/100)</f>
        <v/>
      </c>
      <c r="AD403" s="7">
        <f>IF($E403="","",Y403-AC403)</f>
        <v/>
      </c>
      <c r="AE403" s="7">
        <f>IF($E403="","",AD403-Q403)</f>
        <v/>
      </c>
      <c r="AI403" s="7" t="n"/>
      <c r="AL403" s="11" t="n"/>
      <c r="AN403">
        <f>IF($E403="","",IF(COUNTIF($E$2:$E403,$E403)=1,1,0))</f>
        <v/>
      </c>
      <c r="AO403">
        <f>IF($AN403=1,SUMPRODUCT(--($AR$2:$AR$4001&lt;$AR403))+1,"")</f>
        <v/>
      </c>
      <c r="AP403">
        <f>IF($E403="","",IF(OR($U403=TRUE(),$U403="TRUE"),1,0))</f>
        <v/>
      </c>
      <c r="AQ403">
        <f>IF($E403="","",IF($AA403="Yes",1,0))</f>
        <v/>
      </c>
      <c r="AR403">
        <f>IF($AN403=1,IFERROR(VALUE(MID($E403,2,20)),1000000000)+ROW()/100000,"")</f>
        <v/>
      </c>
    </row>
    <row r="404">
      <c r="G404" s="11" t="n"/>
      <c r="Q404" s="7">
        <f>IF($E404="","",P404*Y404/100)</f>
        <v/>
      </c>
      <c r="R404" s="7" t="n"/>
      <c r="X404" s="7" t="n"/>
      <c r="Y404" s="7" t="n"/>
      <c r="AB404">
        <f>IF($E404="","",IF($AQ404=1,0,IF($AP404=1,Settings!$C$6,Settings!$C$7))*100)</f>
        <v/>
      </c>
      <c r="AC404" s="7">
        <f>IF($E404="","",Y404*AB404/100)</f>
        <v/>
      </c>
      <c r="AD404" s="7">
        <f>IF($E404="","",Y404-AC404)</f>
        <v/>
      </c>
      <c r="AE404" s="7">
        <f>IF($E404="","",AD404-Q404)</f>
        <v/>
      </c>
      <c r="AI404" s="7" t="n"/>
      <c r="AL404" s="11" t="n"/>
      <c r="AN404">
        <f>IF($E404="","",IF(COUNTIF($E$2:$E404,$E404)=1,1,0))</f>
        <v/>
      </c>
      <c r="AO404">
        <f>IF($AN404=1,SUMPRODUCT(--($AR$2:$AR$4001&lt;$AR404))+1,"")</f>
        <v/>
      </c>
      <c r="AP404">
        <f>IF($E404="","",IF(OR($U404=TRUE(),$U404="TRUE"),1,0))</f>
        <v/>
      </c>
      <c r="AQ404">
        <f>IF($E404="","",IF($AA404="Yes",1,0))</f>
        <v/>
      </c>
      <c r="AR404">
        <f>IF($AN404=1,IFERROR(VALUE(MID($E404,2,20)),1000000000)+ROW()/100000,"")</f>
        <v/>
      </c>
    </row>
    <row r="405">
      <c r="G405" s="11" t="n"/>
      <c r="Q405" s="7">
        <f>IF($E405="","",P405*Y405/100)</f>
        <v/>
      </c>
      <c r="R405" s="7" t="n"/>
      <c r="X405" s="7" t="n"/>
      <c r="Y405" s="7" t="n"/>
      <c r="AB405">
        <f>IF($E405="","",IF($AQ405=1,0,IF($AP405=1,Settings!$C$6,Settings!$C$7))*100)</f>
        <v/>
      </c>
      <c r="AC405" s="7">
        <f>IF($E405="","",Y405*AB405/100)</f>
        <v/>
      </c>
      <c r="AD405" s="7">
        <f>IF($E405="","",Y405-AC405)</f>
        <v/>
      </c>
      <c r="AE405" s="7">
        <f>IF($E405="","",AD405-Q405)</f>
        <v/>
      </c>
      <c r="AI405" s="7" t="n"/>
      <c r="AL405" s="11" t="n"/>
      <c r="AN405">
        <f>IF($E405="","",IF(COUNTIF($E$2:$E405,$E405)=1,1,0))</f>
        <v/>
      </c>
      <c r="AO405">
        <f>IF($AN405=1,SUMPRODUCT(--($AR$2:$AR$4001&lt;$AR405))+1,"")</f>
        <v/>
      </c>
      <c r="AP405">
        <f>IF($E405="","",IF(OR($U405=TRUE(),$U405="TRUE"),1,0))</f>
        <v/>
      </c>
      <c r="AQ405">
        <f>IF($E405="","",IF($AA405="Yes",1,0))</f>
        <v/>
      </c>
      <c r="AR405">
        <f>IF($AN405=1,IFERROR(VALUE(MID($E405,2,20)),1000000000)+ROW()/100000,"")</f>
        <v/>
      </c>
    </row>
    <row r="406">
      <c r="G406" s="11" t="n"/>
      <c r="Q406" s="7">
        <f>IF($E406="","",P406*Y406/100)</f>
        <v/>
      </c>
      <c r="R406" s="7" t="n"/>
      <c r="X406" s="7" t="n"/>
      <c r="Y406" s="7" t="n"/>
      <c r="AB406">
        <f>IF($E406="","",IF($AQ406=1,0,IF($AP406=1,Settings!$C$6,Settings!$C$7))*100)</f>
        <v/>
      </c>
      <c r="AC406" s="7">
        <f>IF($E406="","",Y406*AB406/100)</f>
        <v/>
      </c>
      <c r="AD406" s="7">
        <f>IF($E406="","",Y406-AC406)</f>
        <v/>
      </c>
      <c r="AE406" s="7">
        <f>IF($E406="","",AD406-Q406)</f>
        <v/>
      </c>
      <c r="AI406" s="7" t="n"/>
      <c r="AL406" s="11" t="n"/>
      <c r="AN406">
        <f>IF($E406="","",IF(COUNTIF($E$2:$E406,$E406)=1,1,0))</f>
        <v/>
      </c>
      <c r="AO406">
        <f>IF($AN406=1,SUMPRODUCT(--($AR$2:$AR$4001&lt;$AR406))+1,"")</f>
        <v/>
      </c>
      <c r="AP406">
        <f>IF($E406="","",IF(OR($U406=TRUE(),$U406="TRUE"),1,0))</f>
        <v/>
      </c>
      <c r="AQ406">
        <f>IF($E406="","",IF($AA406="Yes",1,0))</f>
        <v/>
      </c>
      <c r="AR406">
        <f>IF($AN406=1,IFERROR(VALUE(MID($E406,2,20)),1000000000)+ROW()/100000,"")</f>
        <v/>
      </c>
    </row>
    <row r="407">
      <c r="G407" s="11" t="n"/>
      <c r="Q407" s="7">
        <f>IF($E407="","",P407*Y407/100)</f>
        <v/>
      </c>
      <c r="R407" s="7" t="n"/>
      <c r="X407" s="7" t="n"/>
      <c r="Y407" s="7" t="n"/>
      <c r="AB407">
        <f>IF($E407="","",IF($AQ407=1,0,IF($AP407=1,Settings!$C$6,Settings!$C$7))*100)</f>
        <v/>
      </c>
      <c r="AC407" s="7">
        <f>IF($E407="","",Y407*AB407/100)</f>
        <v/>
      </c>
      <c r="AD407" s="7">
        <f>IF($E407="","",Y407-AC407)</f>
        <v/>
      </c>
      <c r="AE407" s="7">
        <f>IF($E407="","",AD407-Q407)</f>
        <v/>
      </c>
      <c r="AI407" s="7" t="n"/>
      <c r="AL407" s="11" t="n"/>
      <c r="AN407">
        <f>IF($E407="","",IF(COUNTIF($E$2:$E407,$E407)=1,1,0))</f>
        <v/>
      </c>
      <c r="AO407">
        <f>IF($AN407=1,SUMPRODUCT(--($AR$2:$AR$4001&lt;$AR407))+1,"")</f>
        <v/>
      </c>
      <c r="AP407">
        <f>IF($E407="","",IF(OR($U407=TRUE(),$U407="TRUE"),1,0))</f>
        <v/>
      </c>
      <c r="AQ407">
        <f>IF($E407="","",IF($AA407="Yes",1,0))</f>
        <v/>
      </c>
      <c r="AR407">
        <f>IF($AN407=1,IFERROR(VALUE(MID($E407,2,20)),1000000000)+ROW()/100000,"")</f>
        <v/>
      </c>
    </row>
    <row r="408">
      <c r="G408" s="11" t="n"/>
      <c r="Q408" s="7">
        <f>IF($E408="","",P408*Y408/100)</f>
        <v/>
      </c>
      <c r="R408" s="7" t="n"/>
      <c r="X408" s="7" t="n"/>
      <c r="Y408" s="7" t="n"/>
      <c r="AB408">
        <f>IF($E408="","",IF($AQ408=1,0,IF($AP408=1,Settings!$C$6,Settings!$C$7))*100)</f>
        <v/>
      </c>
      <c r="AC408" s="7">
        <f>IF($E408="","",Y408*AB408/100)</f>
        <v/>
      </c>
      <c r="AD408" s="7">
        <f>IF($E408="","",Y408-AC408)</f>
        <v/>
      </c>
      <c r="AE408" s="7">
        <f>IF($E408="","",AD408-Q408)</f>
        <v/>
      </c>
      <c r="AI408" s="7" t="n"/>
      <c r="AL408" s="11" t="n"/>
      <c r="AN408">
        <f>IF($E408="","",IF(COUNTIF($E$2:$E408,$E408)=1,1,0))</f>
        <v/>
      </c>
      <c r="AO408">
        <f>IF($AN408=1,SUMPRODUCT(--($AR$2:$AR$4001&lt;$AR408))+1,"")</f>
        <v/>
      </c>
      <c r="AP408">
        <f>IF($E408="","",IF(OR($U408=TRUE(),$U408="TRUE"),1,0))</f>
        <v/>
      </c>
      <c r="AQ408">
        <f>IF($E408="","",IF($AA408="Yes",1,0))</f>
        <v/>
      </c>
      <c r="AR408">
        <f>IF($AN408=1,IFERROR(VALUE(MID($E408,2,20)),1000000000)+ROW()/100000,"")</f>
        <v/>
      </c>
    </row>
    <row r="409">
      <c r="G409" s="11" t="n"/>
      <c r="Q409" s="7">
        <f>IF($E409="","",P409*Y409/100)</f>
        <v/>
      </c>
      <c r="R409" s="7" t="n"/>
      <c r="X409" s="7" t="n"/>
      <c r="Y409" s="7" t="n"/>
      <c r="AB409">
        <f>IF($E409="","",IF($AQ409=1,0,IF($AP409=1,Settings!$C$6,Settings!$C$7))*100)</f>
        <v/>
      </c>
      <c r="AC409" s="7">
        <f>IF($E409="","",Y409*AB409/100)</f>
        <v/>
      </c>
      <c r="AD409" s="7">
        <f>IF($E409="","",Y409-AC409)</f>
        <v/>
      </c>
      <c r="AE409" s="7">
        <f>IF($E409="","",AD409-Q409)</f>
        <v/>
      </c>
      <c r="AI409" s="7" t="n"/>
      <c r="AL409" s="11" t="n"/>
      <c r="AN409">
        <f>IF($E409="","",IF(COUNTIF($E$2:$E409,$E409)=1,1,0))</f>
        <v/>
      </c>
      <c r="AO409">
        <f>IF($AN409=1,SUMPRODUCT(--($AR$2:$AR$4001&lt;$AR409))+1,"")</f>
        <v/>
      </c>
      <c r="AP409">
        <f>IF($E409="","",IF(OR($U409=TRUE(),$U409="TRUE"),1,0))</f>
        <v/>
      </c>
      <c r="AQ409">
        <f>IF($E409="","",IF($AA409="Yes",1,0))</f>
        <v/>
      </c>
      <c r="AR409">
        <f>IF($AN409=1,IFERROR(VALUE(MID($E409,2,20)),1000000000)+ROW()/100000,"")</f>
        <v/>
      </c>
    </row>
    <row r="410">
      <c r="G410" s="11" t="n"/>
      <c r="Q410" s="7">
        <f>IF($E410="","",P410*Y410/100)</f>
        <v/>
      </c>
      <c r="R410" s="7" t="n"/>
      <c r="X410" s="7" t="n"/>
      <c r="Y410" s="7" t="n"/>
      <c r="AB410">
        <f>IF($E410="","",IF($AQ410=1,0,IF($AP410=1,Settings!$C$6,Settings!$C$7))*100)</f>
        <v/>
      </c>
      <c r="AC410" s="7">
        <f>IF($E410="","",Y410*AB410/100)</f>
        <v/>
      </c>
      <c r="AD410" s="7">
        <f>IF($E410="","",Y410-AC410)</f>
        <v/>
      </c>
      <c r="AE410" s="7">
        <f>IF($E410="","",AD410-Q410)</f>
        <v/>
      </c>
      <c r="AI410" s="7" t="n"/>
      <c r="AL410" s="11" t="n"/>
      <c r="AN410">
        <f>IF($E410="","",IF(COUNTIF($E$2:$E410,$E410)=1,1,0))</f>
        <v/>
      </c>
      <c r="AO410">
        <f>IF($AN410=1,SUMPRODUCT(--($AR$2:$AR$4001&lt;$AR410))+1,"")</f>
        <v/>
      </c>
      <c r="AP410">
        <f>IF($E410="","",IF(OR($U410=TRUE(),$U410="TRUE"),1,0))</f>
        <v/>
      </c>
      <c r="AQ410">
        <f>IF($E410="","",IF($AA410="Yes",1,0))</f>
        <v/>
      </c>
      <c r="AR410">
        <f>IF($AN410=1,IFERROR(VALUE(MID($E410,2,20)),1000000000)+ROW()/100000,"")</f>
        <v/>
      </c>
    </row>
    <row r="411">
      <c r="G411" s="11" t="n"/>
      <c r="Q411" s="7">
        <f>IF($E411="","",P411*Y411/100)</f>
        <v/>
      </c>
      <c r="R411" s="7" t="n"/>
      <c r="X411" s="7" t="n"/>
      <c r="Y411" s="7" t="n"/>
      <c r="AB411">
        <f>IF($E411="","",IF($AQ411=1,0,IF($AP411=1,Settings!$C$6,Settings!$C$7))*100)</f>
        <v/>
      </c>
      <c r="AC411" s="7">
        <f>IF($E411="","",Y411*AB411/100)</f>
        <v/>
      </c>
      <c r="AD411" s="7">
        <f>IF($E411="","",Y411-AC411)</f>
        <v/>
      </c>
      <c r="AE411" s="7">
        <f>IF($E411="","",AD411-Q411)</f>
        <v/>
      </c>
      <c r="AI411" s="7" t="n"/>
      <c r="AL411" s="11" t="n"/>
      <c r="AN411">
        <f>IF($E411="","",IF(COUNTIF($E$2:$E411,$E411)=1,1,0))</f>
        <v/>
      </c>
      <c r="AO411">
        <f>IF($AN411=1,SUMPRODUCT(--($AR$2:$AR$4001&lt;$AR411))+1,"")</f>
        <v/>
      </c>
      <c r="AP411">
        <f>IF($E411="","",IF(OR($U411=TRUE(),$U411="TRUE"),1,0))</f>
        <v/>
      </c>
      <c r="AQ411">
        <f>IF($E411="","",IF($AA411="Yes",1,0))</f>
        <v/>
      </c>
      <c r="AR411">
        <f>IF($AN411=1,IFERROR(VALUE(MID($E411,2,20)),1000000000)+ROW()/100000,"")</f>
        <v/>
      </c>
    </row>
    <row r="412">
      <c r="G412" s="11" t="n"/>
      <c r="Q412" s="7">
        <f>IF($E412="","",P412*Y412/100)</f>
        <v/>
      </c>
      <c r="R412" s="7" t="n"/>
      <c r="X412" s="7" t="n"/>
      <c r="Y412" s="7" t="n"/>
      <c r="AB412">
        <f>IF($E412="","",IF($AQ412=1,0,IF($AP412=1,Settings!$C$6,Settings!$C$7))*100)</f>
        <v/>
      </c>
      <c r="AC412" s="7">
        <f>IF($E412="","",Y412*AB412/100)</f>
        <v/>
      </c>
      <c r="AD412" s="7">
        <f>IF($E412="","",Y412-AC412)</f>
        <v/>
      </c>
      <c r="AE412" s="7">
        <f>IF($E412="","",AD412-Q412)</f>
        <v/>
      </c>
      <c r="AI412" s="7" t="n"/>
      <c r="AL412" s="11" t="n"/>
      <c r="AN412">
        <f>IF($E412="","",IF(COUNTIF($E$2:$E412,$E412)=1,1,0))</f>
        <v/>
      </c>
      <c r="AO412">
        <f>IF($AN412=1,SUMPRODUCT(--($AR$2:$AR$4001&lt;$AR412))+1,"")</f>
        <v/>
      </c>
      <c r="AP412">
        <f>IF($E412="","",IF(OR($U412=TRUE(),$U412="TRUE"),1,0))</f>
        <v/>
      </c>
      <c r="AQ412">
        <f>IF($E412="","",IF($AA412="Yes",1,0))</f>
        <v/>
      </c>
      <c r="AR412">
        <f>IF($AN412=1,IFERROR(VALUE(MID($E412,2,20)),1000000000)+ROW()/100000,"")</f>
        <v/>
      </c>
    </row>
    <row r="413">
      <c r="G413" s="11" t="n"/>
      <c r="Q413" s="7">
        <f>IF($E413="","",P413*Y413/100)</f>
        <v/>
      </c>
      <c r="R413" s="7" t="n"/>
      <c r="X413" s="7" t="n"/>
      <c r="Y413" s="7" t="n"/>
      <c r="AB413">
        <f>IF($E413="","",IF($AQ413=1,0,IF($AP413=1,Settings!$C$6,Settings!$C$7))*100)</f>
        <v/>
      </c>
      <c r="AC413" s="7">
        <f>IF($E413="","",Y413*AB413/100)</f>
        <v/>
      </c>
      <c r="AD413" s="7">
        <f>IF($E413="","",Y413-AC413)</f>
        <v/>
      </c>
      <c r="AE413" s="7">
        <f>IF($E413="","",AD413-Q413)</f>
        <v/>
      </c>
      <c r="AI413" s="7" t="n"/>
      <c r="AL413" s="11" t="n"/>
      <c r="AN413">
        <f>IF($E413="","",IF(COUNTIF($E$2:$E413,$E413)=1,1,0))</f>
        <v/>
      </c>
      <c r="AO413">
        <f>IF($AN413=1,SUMPRODUCT(--($AR$2:$AR$4001&lt;$AR413))+1,"")</f>
        <v/>
      </c>
      <c r="AP413">
        <f>IF($E413="","",IF(OR($U413=TRUE(),$U413="TRUE"),1,0))</f>
        <v/>
      </c>
      <c r="AQ413">
        <f>IF($E413="","",IF($AA413="Yes",1,0))</f>
        <v/>
      </c>
      <c r="AR413">
        <f>IF($AN413=1,IFERROR(VALUE(MID($E413,2,20)),1000000000)+ROW()/100000,"")</f>
        <v/>
      </c>
    </row>
    <row r="414">
      <c r="G414" s="11" t="n"/>
      <c r="Q414" s="7">
        <f>IF($E414="","",P414*Y414/100)</f>
        <v/>
      </c>
      <c r="R414" s="7" t="n"/>
      <c r="X414" s="7" t="n"/>
      <c r="Y414" s="7" t="n"/>
      <c r="AB414">
        <f>IF($E414="","",IF($AQ414=1,0,IF($AP414=1,Settings!$C$6,Settings!$C$7))*100)</f>
        <v/>
      </c>
      <c r="AC414" s="7">
        <f>IF($E414="","",Y414*AB414/100)</f>
        <v/>
      </c>
      <c r="AD414" s="7">
        <f>IF($E414="","",Y414-AC414)</f>
        <v/>
      </c>
      <c r="AE414" s="7">
        <f>IF($E414="","",AD414-Q414)</f>
        <v/>
      </c>
      <c r="AI414" s="7" t="n"/>
      <c r="AL414" s="11" t="n"/>
      <c r="AN414">
        <f>IF($E414="","",IF(COUNTIF($E$2:$E414,$E414)=1,1,0))</f>
        <v/>
      </c>
      <c r="AO414">
        <f>IF($AN414=1,SUMPRODUCT(--($AR$2:$AR$4001&lt;$AR414))+1,"")</f>
        <v/>
      </c>
      <c r="AP414">
        <f>IF($E414="","",IF(OR($U414=TRUE(),$U414="TRUE"),1,0))</f>
        <v/>
      </c>
      <c r="AQ414">
        <f>IF($E414="","",IF($AA414="Yes",1,0))</f>
        <v/>
      </c>
      <c r="AR414">
        <f>IF($AN414=1,IFERROR(VALUE(MID($E414,2,20)),1000000000)+ROW()/100000,"")</f>
        <v/>
      </c>
    </row>
    <row r="415">
      <c r="G415" s="11" t="n"/>
      <c r="Q415" s="7">
        <f>IF($E415="","",P415*Y415/100)</f>
        <v/>
      </c>
      <c r="R415" s="7" t="n"/>
      <c r="X415" s="7" t="n"/>
      <c r="Y415" s="7" t="n"/>
      <c r="AB415">
        <f>IF($E415="","",IF($AQ415=1,0,IF($AP415=1,Settings!$C$6,Settings!$C$7))*100)</f>
        <v/>
      </c>
      <c r="AC415" s="7">
        <f>IF($E415="","",Y415*AB415/100)</f>
        <v/>
      </c>
      <c r="AD415" s="7">
        <f>IF($E415="","",Y415-AC415)</f>
        <v/>
      </c>
      <c r="AE415" s="7">
        <f>IF($E415="","",AD415-Q415)</f>
        <v/>
      </c>
      <c r="AI415" s="7" t="n"/>
      <c r="AL415" s="11" t="n"/>
      <c r="AN415">
        <f>IF($E415="","",IF(COUNTIF($E$2:$E415,$E415)=1,1,0))</f>
        <v/>
      </c>
      <c r="AO415">
        <f>IF($AN415=1,SUMPRODUCT(--($AR$2:$AR$4001&lt;$AR415))+1,"")</f>
        <v/>
      </c>
      <c r="AP415">
        <f>IF($E415="","",IF(OR($U415=TRUE(),$U415="TRUE"),1,0))</f>
        <v/>
      </c>
      <c r="AQ415">
        <f>IF($E415="","",IF($AA415="Yes",1,0))</f>
        <v/>
      </c>
      <c r="AR415">
        <f>IF($AN415=1,IFERROR(VALUE(MID($E415,2,20)),1000000000)+ROW()/100000,"")</f>
        <v/>
      </c>
    </row>
    <row r="416">
      <c r="G416" s="11" t="n"/>
      <c r="Q416" s="7">
        <f>IF($E416="","",P416*Y416/100)</f>
        <v/>
      </c>
      <c r="R416" s="7" t="n"/>
      <c r="X416" s="7" t="n"/>
      <c r="Y416" s="7" t="n"/>
      <c r="AB416">
        <f>IF($E416="","",IF($AQ416=1,0,IF($AP416=1,Settings!$C$6,Settings!$C$7))*100)</f>
        <v/>
      </c>
      <c r="AC416" s="7">
        <f>IF($E416="","",Y416*AB416/100)</f>
        <v/>
      </c>
      <c r="AD416" s="7">
        <f>IF($E416="","",Y416-AC416)</f>
        <v/>
      </c>
      <c r="AE416" s="7">
        <f>IF($E416="","",AD416-Q416)</f>
        <v/>
      </c>
      <c r="AI416" s="7" t="n"/>
      <c r="AL416" s="11" t="n"/>
      <c r="AN416">
        <f>IF($E416="","",IF(COUNTIF($E$2:$E416,$E416)=1,1,0))</f>
        <v/>
      </c>
      <c r="AO416">
        <f>IF($AN416=1,SUMPRODUCT(--($AR$2:$AR$4001&lt;$AR416))+1,"")</f>
        <v/>
      </c>
      <c r="AP416">
        <f>IF($E416="","",IF(OR($U416=TRUE(),$U416="TRUE"),1,0))</f>
        <v/>
      </c>
      <c r="AQ416">
        <f>IF($E416="","",IF($AA416="Yes",1,0))</f>
        <v/>
      </c>
      <c r="AR416">
        <f>IF($AN416=1,IFERROR(VALUE(MID($E416,2,20)),1000000000)+ROW()/100000,"")</f>
        <v/>
      </c>
    </row>
    <row r="417">
      <c r="G417" s="11" t="n"/>
      <c r="Q417" s="7">
        <f>IF($E417="","",P417*Y417/100)</f>
        <v/>
      </c>
      <c r="R417" s="7" t="n"/>
      <c r="X417" s="7" t="n"/>
      <c r="Y417" s="7" t="n"/>
      <c r="AB417">
        <f>IF($E417="","",IF($AQ417=1,0,IF($AP417=1,Settings!$C$6,Settings!$C$7))*100)</f>
        <v/>
      </c>
      <c r="AC417" s="7">
        <f>IF($E417="","",Y417*AB417/100)</f>
        <v/>
      </c>
      <c r="AD417" s="7">
        <f>IF($E417="","",Y417-AC417)</f>
        <v/>
      </c>
      <c r="AE417" s="7">
        <f>IF($E417="","",AD417-Q417)</f>
        <v/>
      </c>
      <c r="AI417" s="7" t="n"/>
      <c r="AL417" s="11" t="n"/>
      <c r="AN417">
        <f>IF($E417="","",IF(COUNTIF($E$2:$E417,$E417)=1,1,0))</f>
        <v/>
      </c>
      <c r="AO417">
        <f>IF($AN417=1,SUMPRODUCT(--($AR$2:$AR$4001&lt;$AR417))+1,"")</f>
        <v/>
      </c>
      <c r="AP417">
        <f>IF($E417="","",IF(OR($U417=TRUE(),$U417="TRUE"),1,0))</f>
        <v/>
      </c>
      <c r="AQ417">
        <f>IF($E417="","",IF($AA417="Yes",1,0))</f>
        <v/>
      </c>
      <c r="AR417">
        <f>IF($AN417=1,IFERROR(VALUE(MID($E417,2,20)),1000000000)+ROW()/100000,"")</f>
        <v/>
      </c>
    </row>
    <row r="418">
      <c r="G418" s="11" t="n"/>
      <c r="Q418" s="7">
        <f>IF($E418="","",P418*Y418/100)</f>
        <v/>
      </c>
      <c r="R418" s="7" t="n"/>
      <c r="X418" s="7" t="n"/>
      <c r="Y418" s="7" t="n"/>
      <c r="AB418">
        <f>IF($E418="","",IF($AQ418=1,0,IF($AP418=1,Settings!$C$6,Settings!$C$7))*100)</f>
        <v/>
      </c>
      <c r="AC418" s="7">
        <f>IF($E418="","",Y418*AB418/100)</f>
        <v/>
      </c>
      <c r="AD418" s="7">
        <f>IF($E418="","",Y418-AC418)</f>
        <v/>
      </c>
      <c r="AE418" s="7">
        <f>IF($E418="","",AD418-Q418)</f>
        <v/>
      </c>
      <c r="AI418" s="7" t="n"/>
      <c r="AL418" s="11" t="n"/>
      <c r="AN418">
        <f>IF($E418="","",IF(COUNTIF($E$2:$E418,$E418)=1,1,0))</f>
        <v/>
      </c>
      <c r="AO418">
        <f>IF($AN418=1,SUMPRODUCT(--($AR$2:$AR$4001&lt;$AR418))+1,"")</f>
        <v/>
      </c>
      <c r="AP418">
        <f>IF($E418="","",IF(OR($U418=TRUE(),$U418="TRUE"),1,0))</f>
        <v/>
      </c>
      <c r="AQ418">
        <f>IF($E418="","",IF($AA418="Yes",1,0))</f>
        <v/>
      </c>
      <c r="AR418">
        <f>IF($AN418=1,IFERROR(VALUE(MID($E418,2,20)),1000000000)+ROW()/100000,"")</f>
        <v/>
      </c>
    </row>
    <row r="419">
      <c r="G419" s="11" t="n"/>
      <c r="Q419" s="7">
        <f>IF($E419="","",P419*Y419/100)</f>
        <v/>
      </c>
      <c r="R419" s="7" t="n"/>
      <c r="X419" s="7" t="n"/>
      <c r="Y419" s="7" t="n"/>
      <c r="AB419">
        <f>IF($E419="","",IF($AQ419=1,0,IF($AP419=1,Settings!$C$6,Settings!$C$7))*100)</f>
        <v/>
      </c>
      <c r="AC419" s="7">
        <f>IF($E419="","",Y419*AB419/100)</f>
        <v/>
      </c>
      <c r="AD419" s="7">
        <f>IF($E419="","",Y419-AC419)</f>
        <v/>
      </c>
      <c r="AE419" s="7">
        <f>IF($E419="","",AD419-Q419)</f>
        <v/>
      </c>
      <c r="AI419" s="7" t="n"/>
      <c r="AL419" s="11" t="n"/>
      <c r="AN419">
        <f>IF($E419="","",IF(COUNTIF($E$2:$E419,$E419)=1,1,0))</f>
        <v/>
      </c>
      <c r="AO419">
        <f>IF($AN419=1,SUMPRODUCT(--($AR$2:$AR$4001&lt;$AR419))+1,"")</f>
        <v/>
      </c>
      <c r="AP419">
        <f>IF($E419="","",IF(OR($U419=TRUE(),$U419="TRUE"),1,0))</f>
        <v/>
      </c>
      <c r="AQ419">
        <f>IF($E419="","",IF($AA419="Yes",1,0))</f>
        <v/>
      </c>
      <c r="AR419">
        <f>IF($AN419=1,IFERROR(VALUE(MID($E419,2,20)),1000000000)+ROW()/100000,"")</f>
        <v/>
      </c>
    </row>
    <row r="420">
      <c r="G420" s="11" t="n"/>
      <c r="Q420" s="7">
        <f>IF($E420="","",P420*Y420/100)</f>
        <v/>
      </c>
      <c r="R420" s="7" t="n"/>
      <c r="X420" s="7" t="n"/>
      <c r="Y420" s="7" t="n"/>
      <c r="AB420">
        <f>IF($E420="","",IF($AQ420=1,0,IF($AP420=1,Settings!$C$6,Settings!$C$7))*100)</f>
        <v/>
      </c>
      <c r="AC420" s="7">
        <f>IF($E420="","",Y420*AB420/100)</f>
        <v/>
      </c>
      <c r="AD420" s="7">
        <f>IF($E420="","",Y420-AC420)</f>
        <v/>
      </c>
      <c r="AE420" s="7">
        <f>IF($E420="","",AD420-Q420)</f>
        <v/>
      </c>
      <c r="AI420" s="7" t="n"/>
      <c r="AL420" s="11" t="n"/>
      <c r="AN420">
        <f>IF($E420="","",IF(COUNTIF($E$2:$E420,$E420)=1,1,0))</f>
        <v/>
      </c>
      <c r="AO420">
        <f>IF($AN420=1,SUMPRODUCT(--($AR$2:$AR$4001&lt;$AR420))+1,"")</f>
        <v/>
      </c>
      <c r="AP420">
        <f>IF($E420="","",IF(OR($U420=TRUE(),$U420="TRUE"),1,0))</f>
        <v/>
      </c>
      <c r="AQ420">
        <f>IF($E420="","",IF($AA420="Yes",1,0))</f>
        <v/>
      </c>
      <c r="AR420">
        <f>IF($AN420=1,IFERROR(VALUE(MID($E420,2,20)),1000000000)+ROW()/100000,"")</f>
        <v/>
      </c>
    </row>
    <row r="421">
      <c r="G421" s="11" t="n"/>
      <c r="Q421" s="7">
        <f>IF($E421="","",P421*Y421/100)</f>
        <v/>
      </c>
      <c r="R421" s="7" t="n"/>
      <c r="X421" s="7" t="n"/>
      <c r="Y421" s="7" t="n"/>
      <c r="AB421">
        <f>IF($E421="","",IF($AQ421=1,0,IF($AP421=1,Settings!$C$6,Settings!$C$7))*100)</f>
        <v/>
      </c>
      <c r="AC421" s="7">
        <f>IF($E421="","",Y421*AB421/100)</f>
        <v/>
      </c>
      <c r="AD421" s="7">
        <f>IF($E421="","",Y421-AC421)</f>
        <v/>
      </c>
      <c r="AE421" s="7">
        <f>IF($E421="","",AD421-Q421)</f>
        <v/>
      </c>
      <c r="AI421" s="7" t="n"/>
      <c r="AL421" s="11" t="n"/>
      <c r="AN421">
        <f>IF($E421="","",IF(COUNTIF($E$2:$E421,$E421)=1,1,0))</f>
        <v/>
      </c>
      <c r="AO421">
        <f>IF($AN421=1,SUMPRODUCT(--($AR$2:$AR$4001&lt;$AR421))+1,"")</f>
        <v/>
      </c>
      <c r="AP421">
        <f>IF($E421="","",IF(OR($U421=TRUE(),$U421="TRUE"),1,0))</f>
        <v/>
      </c>
      <c r="AQ421">
        <f>IF($E421="","",IF($AA421="Yes",1,0))</f>
        <v/>
      </c>
      <c r="AR421">
        <f>IF($AN421=1,IFERROR(VALUE(MID($E421,2,20)),1000000000)+ROW()/100000,"")</f>
        <v/>
      </c>
    </row>
    <row r="422">
      <c r="G422" s="11" t="n"/>
      <c r="Q422" s="7">
        <f>IF($E422="","",P422*Y422/100)</f>
        <v/>
      </c>
      <c r="R422" s="7" t="n"/>
      <c r="X422" s="7" t="n"/>
      <c r="Y422" s="7" t="n"/>
      <c r="AB422">
        <f>IF($E422="","",IF($AQ422=1,0,IF($AP422=1,Settings!$C$6,Settings!$C$7))*100)</f>
        <v/>
      </c>
      <c r="AC422" s="7">
        <f>IF($E422="","",Y422*AB422/100)</f>
        <v/>
      </c>
      <c r="AD422" s="7">
        <f>IF($E422="","",Y422-AC422)</f>
        <v/>
      </c>
      <c r="AE422" s="7">
        <f>IF($E422="","",AD422-Q422)</f>
        <v/>
      </c>
      <c r="AI422" s="7" t="n"/>
      <c r="AL422" s="11" t="n"/>
      <c r="AN422">
        <f>IF($E422="","",IF(COUNTIF($E$2:$E422,$E422)=1,1,0))</f>
        <v/>
      </c>
      <c r="AO422">
        <f>IF($AN422=1,SUMPRODUCT(--($AR$2:$AR$4001&lt;$AR422))+1,"")</f>
        <v/>
      </c>
      <c r="AP422">
        <f>IF($E422="","",IF(OR($U422=TRUE(),$U422="TRUE"),1,0))</f>
        <v/>
      </c>
      <c r="AQ422">
        <f>IF($E422="","",IF($AA422="Yes",1,0))</f>
        <v/>
      </c>
      <c r="AR422">
        <f>IF($AN422=1,IFERROR(VALUE(MID($E422,2,20)),1000000000)+ROW()/100000,"")</f>
        <v/>
      </c>
    </row>
    <row r="423">
      <c r="G423" s="11" t="n"/>
      <c r="Q423" s="7">
        <f>IF($E423="","",P423*Y423/100)</f>
        <v/>
      </c>
      <c r="R423" s="7" t="n"/>
      <c r="X423" s="7" t="n"/>
      <c r="Y423" s="7" t="n"/>
      <c r="AB423">
        <f>IF($E423="","",IF($AQ423=1,0,IF($AP423=1,Settings!$C$6,Settings!$C$7))*100)</f>
        <v/>
      </c>
      <c r="AC423" s="7">
        <f>IF($E423="","",Y423*AB423/100)</f>
        <v/>
      </c>
      <c r="AD423" s="7">
        <f>IF($E423="","",Y423-AC423)</f>
        <v/>
      </c>
      <c r="AE423" s="7">
        <f>IF($E423="","",AD423-Q423)</f>
        <v/>
      </c>
      <c r="AI423" s="7" t="n"/>
      <c r="AL423" s="11" t="n"/>
      <c r="AN423">
        <f>IF($E423="","",IF(COUNTIF($E$2:$E423,$E423)=1,1,0))</f>
        <v/>
      </c>
      <c r="AO423">
        <f>IF($AN423=1,SUMPRODUCT(--($AR$2:$AR$4001&lt;$AR423))+1,"")</f>
        <v/>
      </c>
      <c r="AP423">
        <f>IF($E423="","",IF(OR($U423=TRUE(),$U423="TRUE"),1,0))</f>
        <v/>
      </c>
      <c r="AQ423">
        <f>IF($E423="","",IF($AA423="Yes",1,0))</f>
        <v/>
      </c>
      <c r="AR423">
        <f>IF($AN423=1,IFERROR(VALUE(MID($E423,2,20)),1000000000)+ROW()/100000,"")</f>
        <v/>
      </c>
    </row>
    <row r="424">
      <c r="G424" s="11" t="n"/>
      <c r="Q424" s="7">
        <f>IF($E424="","",P424*Y424/100)</f>
        <v/>
      </c>
      <c r="R424" s="7" t="n"/>
      <c r="X424" s="7" t="n"/>
      <c r="Y424" s="7" t="n"/>
      <c r="AB424">
        <f>IF($E424="","",IF($AQ424=1,0,IF($AP424=1,Settings!$C$6,Settings!$C$7))*100)</f>
        <v/>
      </c>
      <c r="AC424" s="7">
        <f>IF($E424="","",Y424*AB424/100)</f>
        <v/>
      </c>
      <c r="AD424" s="7">
        <f>IF($E424="","",Y424-AC424)</f>
        <v/>
      </c>
      <c r="AE424" s="7">
        <f>IF($E424="","",AD424-Q424)</f>
        <v/>
      </c>
      <c r="AI424" s="7" t="n"/>
      <c r="AL424" s="11" t="n"/>
      <c r="AN424">
        <f>IF($E424="","",IF(COUNTIF($E$2:$E424,$E424)=1,1,0))</f>
        <v/>
      </c>
      <c r="AO424">
        <f>IF($AN424=1,SUMPRODUCT(--($AR$2:$AR$4001&lt;$AR424))+1,"")</f>
        <v/>
      </c>
      <c r="AP424">
        <f>IF($E424="","",IF(OR($U424=TRUE(),$U424="TRUE"),1,0))</f>
        <v/>
      </c>
      <c r="AQ424">
        <f>IF($E424="","",IF($AA424="Yes",1,0))</f>
        <v/>
      </c>
      <c r="AR424">
        <f>IF($AN424=1,IFERROR(VALUE(MID($E424,2,20)),1000000000)+ROW()/100000,"")</f>
        <v/>
      </c>
    </row>
    <row r="425">
      <c r="G425" s="11" t="n"/>
      <c r="Q425" s="7">
        <f>IF($E425="","",P425*Y425/100)</f>
        <v/>
      </c>
      <c r="R425" s="7" t="n"/>
      <c r="X425" s="7" t="n"/>
      <c r="Y425" s="7" t="n"/>
      <c r="AB425">
        <f>IF($E425="","",IF($AQ425=1,0,IF($AP425=1,Settings!$C$6,Settings!$C$7))*100)</f>
        <v/>
      </c>
      <c r="AC425" s="7">
        <f>IF($E425="","",Y425*AB425/100)</f>
        <v/>
      </c>
      <c r="AD425" s="7">
        <f>IF($E425="","",Y425-AC425)</f>
        <v/>
      </c>
      <c r="AE425" s="7">
        <f>IF($E425="","",AD425-Q425)</f>
        <v/>
      </c>
      <c r="AI425" s="7" t="n"/>
      <c r="AL425" s="11" t="n"/>
      <c r="AN425">
        <f>IF($E425="","",IF(COUNTIF($E$2:$E425,$E425)=1,1,0))</f>
        <v/>
      </c>
      <c r="AO425">
        <f>IF($AN425=1,SUMPRODUCT(--($AR$2:$AR$4001&lt;$AR425))+1,"")</f>
        <v/>
      </c>
      <c r="AP425">
        <f>IF($E425="","",IF(OR($U425=TRUE(),$U425="TRUE"),1,0))</f>
        <v/>
      </c>
      <c r="AQ425">
        <f>IF($E425="","",IF($AA425="Yes",1,0))</f>
        <v/>
      </c>
      <c r="AR425">
        <f>IF($AN425=1,IFERROR(VALUE(MID($E425,2,20)),1000000000)+ROW()/100000,"")</f>
        <v/>
      </c>
    </row>
    <row r="426">
      <c r="G426" s="11" t="n"/>
      <c r="Q426" s="7">
        <f>IF($E426="","",P426*Y426/100)</f>
        <v/>
      </c>
      <c r="R426" s="7" t="n"/>
      <c r="X426" s="7" t="n"/>
      <c r="Y426" s="7" t="n"/>
      <c r="AB426">
        <f>IF($E426="","",IF($AQ426=1,0,IF($AP426=1,Settings!$C$6,Settings!$C$7))*100)</f>
        <v/>
      </c>
      <c r="AC426" s="7">
        <f>IF($E426="","",Y426*AB426/100)</f>
        <v/>
      </c>
      <c r="AD426" s="7">
        <f>IF($E426="","",Y426-AC426)</f>
        <v/>
      </c>
      <c r="AE426" s="7">
        <f>IF($E426="","",AD426-Q426)</f>
        <v/>
      </c>
      <c r="AI426" s="7" t="n"/>
      <c r="AL426" s="11" t="n"/>
      <c r="AN426">
        <f>IF($E426="","",IF(COUNTIF($E$2:$E426,$E426)=1,1,0))</f>
        <v/>
      </c>
      <c r="AO426">
        <f>IF($AN426=1,SUMPRODUCT(--($AR$2:$AR$4001&lt;$AR426))+1,"")</f>
        <v/>
      </c>
      <c r="AP426">
        <f>IF($E426="","",IF(OR($U426=TRUE(),$U426="TRUE"),1,0))</f>
        <v/>
      </c>
      <c r="AQ426">
        <f>IF($E426="","",IF($AA426="Yes",1,0))</f>
        <v/>
      </c>
      <c r="AR426">
        <f>IF($AN426=1,IFERROR(VALUE(MID($E426,2,20)),1000000000)+ROW()/100000,"")</f>
        <v/>
      </c>
    </row>
    <row r="427">
      <c r="G427" s="11" t="n"/>
      <c r="Q427" s="7">
        <f>IF($E427="","",P427*Y427/100)</f>
        <v/>
      </c>
      <c r="R427" s="7" t="n"/>
      <c r="X427" s="7" t="n"/>
      <c r="Y427" s="7" t="n"/>
      <c r="AB427">
        <f>IF($E427="","",IF($AQ427=1,0,IF($AP427=1,Settings!$C$6,Settings!$C$7))*100)</f>
        <v/>
      </c>
      <c r="AC427" s="7">
        <f>IF($E427="","",Y427*AB427/100)</f>
        <v/>
      </c>
      <c r="AD427" s="7">
        <f>IF($E427="","",Y427-AC427)</f>
        <v/>
      </c>
      <c r="AE427" s="7">
        <f>IF($E427="","",AD427-Q427)</f>
        <v/>
      </c>
      <c r="AI427" s="7" t="n"/>
      <c r="AL427" s="11" t="n"/>
      <c r="AN427">
        <f>IF($E427="","",IF(COUNTIF($E$2:$E427,$E427)=1,1,0))</f>
        <v/>
      </c>
      <c r="AO427">
        <f>IF($AN427=1,SUMPRODUCT(--($AR$2:$AR$4001&lt;$AR427))+1,"")</f>
        <v/>
      </c>
      <c r="AP427">
        <f>IF($E427="","",IF(OR($U427=TRUE(),$U427="TRUE"),1,0))</f>
        <v/>
      </c>
      <c r="AQ427">
        <f>IF($E427="","",IF($AA427="Yes",1,0))</f>
        <v/>
      </c>
      <c r="AR427">
        <f>IF($AN427=1,IFERROR(VALUE(MID($E427,2,20)),1000000000)+ROW()/100000,"")</f>
        <v/>
      </c>
    </row>
    <row r="428">
      <c r="G428" s="11" t="n"/>
      <c r="Q428" s="7">
        <f>IF($E428="","",P428*Y428/100)</f>
        <v/>
      </c>
      <c r="R428" s="7" t="n"/>
      <c r="X428" s="7" t="n"/>
      <c r="Y428" s="7" t="n"/>
      <c r="AB428">
        <f>IF($E428="","",IF($AQ428=1,0,IF($AP428=1,Settings!$C$6,Settings!$C$7))*100)</f>
        <v/>
      </c>
      <c r="AC428" s="7">
        <f>IF($E428="","",Y428*AB428/100)</f>
        <v/>
      </c>
      <c r="AD428" s="7">
        <f>IF($E428="","",Y428-AC428)</f>
        <v/>
      </c>
      <c r="AE428" s="7">
        <f>IF($E428="","",AD428-Q428)</f>
        <v/>
      </c>
      <c r="AI428" s="7" t="n"/>
      <c r="AL428" s="11" t="n"/>
      <c r="AN428">
        <f>IF($E428="","",IF(COUNTIF($E$2:$E428,$E428)=1,1,0))</f>
        <v/>
      </c>
      <c r="AO428">
        <f>IF($AN428=1,SUMPRODUCT(--($AR$2:$AR$4001&lt;$AR428))+1,"")</f>
        <v/>
      </c>
      <c r="AP428">
        <f>IF($E428="","",IF(OR($U428=TRUE(),$U428="TRUE"),1,0))</f>
        <v/>
      </c>
      <c r="AQ428">
        <f>IF($E428="","",IF($AA428="Yes",1,0))</f>
        <v/>
      </c>
      <c r="AR428">
        <f>IF($AN428=1,IFERROR(VALUE(MID($E428,2,20)),1000000000)+ROW()/100000,"")</f>
        <v/>
      </c>
    </row>
    <row r="429">
      <c r="G429" s="11" t="n"/>
      <c r="Q429" s="7">
        <f>IF($E429="","",P429*Y429/100)</f>
        <v/>
      </c>
      <c r="R429" s="7" t="n"/>
      <c r="X429" s="7" t="n"/>
      <c r="Y429" s="7" t="n"/>
      <c r="AB429">
        <f>IF($E429="","",IF($AQ429=1,0,IF($AP429=1,Settings!$C$6,Settings!$C$7))*100)</f>
        <v/>
      </c>
      <c r="AC429" s="7">
        <f>IF($E429="","",Y429*AB429/100)</f>
        <v/>
      </c>
      <c r="AD429" s="7">
        <f>IF($E429="","",Y429-AC429)</f>
        <v/>
      </c>
      <c r="AE429" s="7">
        <f>IF($E429="","",AD429-Q429)</f>
        <v/>
      </c>
      <c r="AI429" s="7" t="n"/>
      <c r="AL429" s="11" t="n"/>
      <c r="AN429">
        <f>IF($E429="","",IF(COUNTIF($E$2:$E429,$E429)=1,1,0))</f>
        <v/>
      </c>
      <c r="AO429">
        <f>IF($AN429=1,SUMPRODUCT(--($AR$2:$AR$4001&lt;$AR429))+1,"")</f>
        <v/>
      </c>
      <c r="AP429">
        <f>IF($E429="","",IF(OR($U429=TRUE(),$U429="TRUE"),1,0))</f>
        <v/>
      </c>
      <c r="AQ429">
        <f>IF($E429="","",IF($AA429="Yes",1,0))</f>
        <v/>
      </c>
      <c r="AR429">
        <f>IF($AN429=1,IFERROR(VALUE(MID($E429,2,20)),1000000000)+ROW()/100000,"")</f>
        <v/>
      </c>
    </row>
    <row r="430">
      <c r="G430" s="11" t="n"/>
      <c r="Q430" s="7">
        <f>IF($E430="","",P430*Y430/100)</f>
        <v/>
      </c>
      <c r="R430" s="7" t="n"/>
      <c r="X430" s="7" t="n"/>
      <c r="Y430" s="7" t="n"/>
      <c r="AB430">
        <f>IF($E430="","",IF($AQ430=1,0,IF($AP430=1,Settings!$C$6,Settings!$C$7))*100)</f>
        <v/>
      </c>
      <c r="AC430" s="7">
        <f>IF($E430="","",Y430*AB430/100)</f>
        <v/>
      </c>
      <c r="AD430" s="7">
        <f>IF($E430="","",Y430-AC430)</f>
        <v/>
      </c>
      <c r="AE430" s="7">
        <f>IF($E430="","",AD430-Q430)</f>
        <v/>
      </c>
      <c r="AI430" s="7" t="n"/>
      <c r="AL430" s="11" t="n"/>
      <c r="AN430">
        <f>IF($E430="","",IF(COUNTIF($E$2:$E430,$E430)=1,1,0))</f>
        <v/>
      </c>
      <c r="AO430">
        <f>IF($AN430=1,SUMPRODUCT(--($AR$2:$AR$4001&lt;$AR430))+1,"")</f>
        <v/>
      </c>
      <c r="AP430">
        <f>IF($E430="","",IF(OR($U430=TRUE(),$U430="TRUE"),1,0))</f>
        <v/>
      </c>
      <c r="AQ430">
        <f>IF($E430="","",IF($AA430="Yes",1,0))</f>
        <v/>
      </c>
      <c r="AR430">
        <f>IF($AN430=1,IFERROR(VALUE(MID($E430,2,20)),1000000000)+ROW()/100000,"")</f>
        <v/>
      </c>
    </row>
    <row r="431">
      <c r="G431" s="11" t="n"/>
      <c r="Q431" s="7">
        <f>IF($E431="","",P431*Y431/100)</f>
        <v/>
      </c>
      <c r="R431" s="7" t="n"/>
      <c r="X431" s="7" t="n"/>
      <c r="Y431" s="7" t="n"/>
      <c r="AB431">
        <f>IF($E431="","",IF($AQ431=1,0,IF($AP431=1,Settings!$C$6,Settings!$C$7))*100)</f>
        <v/>
      </c>
      <c r="AC431" s="7">
        <f>IF($E431="","",Y431*AB431/100)</f>
        <v/>
      </c>
      <c r="AD431" s="7">
        <f>IF($E431="","",Y431-AC431)</f>
        <v/>
      </c>
      <c r="AE431" s="7">
        <f>IF($E431="","",AD431-Q431)</f>
        <v/>
      </c>
      <c r="AI431" s="7" t="n"/>
      <c r="AL431" s="11" t="n"/>
      <c r="AN431">
        <f>IF($E431="","",IF(COUNTIF($E$2:$E431,$E431)=1,1,0))</f>
        <v/>
      </c>
      <c r="AO431">
        <f>IF($AN431=1,SUMPRODUCT(--($AR$2:$AR$4001&lt;$AR431))+1,"")</f>
        <v/>
      </c>
      <c r="AP431">
        <f>IF($E431="","",IF(OR($U431=TRUE(),$U431="TRUE"),1,0))</f>
        <v/>
      </c>
      <c r="AQ431">
        <f>IF($E431="","",IF($AA431="Yes",1,0))</f>
        <v/>
      </c>
      <c r="AR431">
        <f>IF($AN431=1,IFERROR(VALUE(MID($E431,2,20)),1000000000)+ROW()/100000,"")</f>
        <v/>
      </c>
    </row>
    <row r="432">
      <c r="G432" s="11" t="n"/>
      <c r="Q432" s="7">
        <f>IF($E432="","",P432*Y432/100)</f>
        <v/>
      </c>
      <c r="R432" s="7" t="n"/>
      <c r="X432" s="7" t="n"/>
      <c r="Y432" s="7" t="n"/>
      <c r="AB432">
        <f>IF($E432="","",IF($AQ432=1,0,IF($AP432=1,Settings!$C$6,Settings!$C$7))*100)</f>
        <v/>
      </c>
      <c r="AC432" s="7">
        <f>IF($E432="","",Y432*AB432/100)</f>
        <v/>
      </c>
      <c r="AD432" s="7">
        <f>IF($E432="","",Y432-AC432)</f>
        <v/>
      </c>
      <c r="AE432" s="7">
        <f>IF($E432="","",AD432-Q432)</f>
        <v/>
      </c>
      <c r="AI432" s="7" t="n"/>
      <c r="AL432" s="11" t="n"/>
      <c r="AN432">
        <f>IF($E432="","",IF(COUNTIF($E$2:$E432,$E432)=1,1,0))</f>
        <v/>
      </c>
      <c r="AO432">
        <f>IF($AN432=1,SUMPRODUCT(--($AR$2:$AR$4001&lt;$AR432))+1,"")</f>
        <v/>
      </c>
      <c r="AP432">
        <f>IF($E432="","",IF(OR($U432=TRUE(),$U432="TRUE"),1,0))</f>
        <v/>
      </c>
      <c r="AQ432">
        <f>IF($E432="","",IF($AA432="Yes",1,0))</f>
        <v/>
      </c>
      <c r="AR432">
        <f>IF($AN432=1,IFERROR(VALUE(MID($E432,2,20)),1000000000)+ROW()/100000,"")</f>
        <v/>
      </c>
    </row>
    <row r="433">
      <c r="G433" s="11" t="n"/>
      <c r="Q433" s="7">
        <f>IF($E433="","",P433*Y433/100)</f>
        <v/>
      </c>
      <c r="R433" s="7" t="n"/>
      <c r="X433" s="7" t="n"/>
      <c r="Y433" s="7" t="n"/>
      <c r="AB433">
        <f>IF($E433="","",IF($AQ433=1,0,IF($AP433=1,Settings!$C$6,Settings!$C$7))*100)</f>
        <v/>
      </c>
      <c r="AC433" s="7">
        <f>IF($E433="","",Y433*AB433/100)</f>
        <v/>
      </c>
      <c r="AD433" s="7">
        <f>IF($E433="","",Y433-AC433)</f>
        <v/>
      </c>
      <c r="AE433" s="7">
        <f>IF($E433="","",AD433-Q433)</f>
        <v/>
      </c>
      <c r="AI433" s="7" t="n"/>
      <c r="AL433" s="11" t="n"/>
      <c r="AN433">
        <f>IF($E433="","",IF(COUNTIF($E$2:$E433,$E433)=1,1,0))</f>
        <v/>
      </c>
      <c r="AO433">
        <f>IF($AN433=1,SUMPRODUCT(--($AR$2:$AR$4001&lt;$AR433))+1,"")</f>
        <v/>
      </c>
      <c r="AP433">
        <f>IF($E433="","",IF(OR($U433=TRUE(),$U433="TRUE"),1,0))</f>
        <v/>
      </c>
      <c r="AQ433">
        <f>IF($E433="","",IF($AA433="Yes",1,0))</f>
        <v/>
      </c>
      <c r="AR433">
        <f>IF($AN433=1,IFERROR(VALUE(MID($E433,2,20)),1000000000)+ROW()/100000,"")</f>
        <v/>
      </c>
    </row>
    <row r="434">
      <c r="G434" s="11" t="n"/>
      <c r="Q434" s="7">
        <f>IF($E434="","",P434*Y434/100)</f>
        <v/>
      </c>
      <c r="R434" s="7" t="n"/>
      <c r="X434" s="7" t="n"/>
      <c r="Y434" s="7" t="n"/>
      <c r="AB434">
        <f>IF($E434="","",IF($AQ434=1,0,IF($AP434=1,Settings!$C$6,Settings!$C$7))*100)</f>
        <v/>
      </c>
      <c r="AC434" s="7">
        <f>IF($E434="","",Y434*AB434/100)</f>
        <v/>
      </c>
      <c r="AD434" s="7">
        <f>IF($E434="","",Y434-AC434)</f>
        <v/>
      </c>
      <c r="AE434" s="7">
        <f>IF($E434="","",AD434-Q434)</f>
        <v/>
      </c>
      <c r="AI434" s="7" t="n"/>
      <c r="AL434" s="11" t="n"/>
      <c r="AN434">
        <f>IF($E434="","",IF(COUNTIF($E$2:$E434,$E434)=1,1,0))</f>
        <v/>
      </c>
      <c r="AO434">
        <f>IF($AN434=1,SUMPRODUCT(--($AR$2:$AR$4001&lt;$AR434))+1,"")</f>
        <v/>
      </c>
      <c r="AP434">
        <f>IF($E434="","",IF(OR($U434=TRUE(),$U434="TRUE"),1,0))</f>
        <v/>
      </c>
      <c r="AQ434">
        <f>IF($E434="","",IF($AA434="Yes",1,0))</f>
        <v/>
      </c>
      <c r="AR434">
        <f>IF($AN434=1,IFERROR(VALUE(MID($E434,2,20)),1000000000)+ROW()/100000,"")</f>
        <v/>
      </c>
    </row>
    <row r="435">
      <c r="G435" s="11" t="n"/>
      <c r="Q435" s="7">
        <f>IF($E435="","",P435*Y435/100)</f>
        <v/>
      </c>
      <c r="R435" s="7" t="n"/>
      <c r="X435" s="7" t="n"/>
      <c r="Y435" s="7" t="n"/>
      <c r="AB435">
        <f>IF($E435="","",IF($AQ435=1,0,IF($AP435=1,Settings!$C$6,Settings!$C$7))*100)</f>
        <v/>
      </c>
      <c r="AC435" s="7">
        <f>IF($E435="","",Y435*AB435/100)</f>
        <v/>
      </c>
      <c r="AD435" s="7">
        <f>IF($E435="","",Y435-AC435)</f>
        <v/>
      </c>
      <c r="AE435" s="7">
        <f>IF($E435="","",AD435-Q435)</f>
        <v/>
      </c>
      <c r="AI435" s="7" t="n"/>
      <c r="AL435" s="11" t="n"/>
      <c r="AN435">
        <f>IF($E435="","",IF(COUNTIF($E$2:$E435,$E435)=1,1,0))</f>
        <v/>
      </c>
      <c r="AO435">
        <f>IF($AN435=1,SUMPRODUCT(--($AR$2:$AR$4001&lt;$AR435))+1,"")</f>
        <v/>
      </c>
      <c r="AP435">
        <f>IF($E435="","",IF(OR($U435=TRUE(),$U435="TRUE"),1,0))</f>
        <v/>
      </c>
      <c r="AQ435">
        <f>IF($E435="","",IF($AA435="Yes",1,0))</f>
        <v/>
      </c>
      <c r="AR435">
        <f>IF($AN435=1,IFERROR(VALUE(MID($E435,2,20)),1000000000)+ROW()/100000,"")</f>
        <v/>
      </c>
    </row>
    <row r="436">
      <c r="G436" s="11" t="n"/>
      <c r="Q436" s="7">
        <f>IF($E436="","",P436*Y436/100)</f>
        <v/>
      </c>
      <c r="R436" s="7" t="n"/>
      <c r="X436" s="7" t="n"/>
      <c r="Y436" s="7" t="n"/>
      <c r="AB436">
        <f>IF($E436="","",IF($AQ436=1,0,IF($AP436=1,Settings!$C$6,Settings!$C$7))*100)</f>
        <v/>
      </c>
      <c r="AC436" s="7">
        <f>IF($E436="","",Y436*AB436/100)</f>
        <v/>
      </c>
      <c r="AD436" s="7">
        <f>IF($E436="","",Y436-AC436)</f>
        <v/>
      </c>
      <c r="AE436" s="7">
        <f>IF($E436="","",AD436-Q436)</f>
        <v/>
      </c>
      <c r="AI436" s="7" t="n"/>
      <c r="AL436" s="11" t="n"/>
      <c r="AN436">
        <f>IF($E436="","",IF(COUNTIF($E$2:$E436,$E436)=1,1,0))</f>
        <v/>
      </c>
      <c r="AO436">
        <f>IF($AN436=1,SUMPRODUCT(--($AR$2:$AR$4001&lt;$AR436))+1,"")</f>
        <v/>
      </c>
      <c r="AP436">
        <f>IF($E436="","",IF(OR($U436=TRUE(),$U436="TRUE"),1,0))</f>
        <v/>
      </c>
      <c r="AQ436">
        <f>IF($E436="","",IF($AA436="Yes",1,0))</f>
        <v/>
      </c>
      <c r="AR436">
        <f>IF($AN436=1,IFERROR(VALUE(MID($E436,2,20)),1000000000)+ROW()/100000,"")</f>
        <v/>
      </c>
    </row>
    <row r="437">
      <c r="G437" s="11" t="n"/>
      <c r="Q437" s="7">
        <f>IF($E437="","",P437*Y437/100)</f>
        <v/>
      </c>
      <c r="R437" s="7" t="n"/>
      <c r="X437" s="7" t="n"/>
      <c r="Y437" s="7" t="n"/>
      <c r="AB437">
        <f>IF($E437="","",IF($AQ437=1,0,IF($AP437=1,Settings!$C$6,Settings!$C$7))*100)</f>
        <v/>
      </c>
      <c r="AC437" s="7">
        <f>IF($E437="","",Y437*AB437/100)</f>
        <v/>
      </c>
      <c r="AD437" s="7">
        <f>IF($E437="","",Y437-AC437)</f>
        <v/>
      </c>
      <c r="AE437" s="7">
        <f>IF($E437="","",AD437-Q437)</f>
        <v/>
      </c>
      <c r="AI437" s="7" t="n"/>
      <c r="AL437" s="11" t="n"/>
      <c r="AN437">
        <f>IF($E437="","",IF(COUNTIF($E$2:$E437,$E437)=1,1,0))</f>
        <v/>
      </c>
      <c r="AO437">
        <f>IF($AN437=1,SUMPRODUCT(--($AR$2:$AR$4001&lt;$AR437))+1,"")</f>
        <v/>
      </c>
      <c r="AP437">
        <f>IF($E437="","",IF(OR($U437=TRUE(),$U437="TRUE"),1,0))</f>
        <v/>
      </c>
      <c r="AQ437">
        <f>IF($E437="","",IF($AA437="Yes",1,0))</f>
        <v/>
      </c>
      <c r="AR437">
        <f>IF($AN437=1,IFERROR(VALUE(MID($E437,2,20)),1000000000)+ROW()/100000,"")</f>
        <v/>
      </c>
    </row>
    <row r="438">
      <c r="G438" s="11" t="n"/>
      <c r="Q438" s="7">
        <f>IF($E438="","",P438*Y438/100)</f>
        <v/>
      </c>
      <c r="R438" s="7" t="n"/>
      <c r="X438" s="7" t="n"/>
      <c r="Y438" s="7" t="n"/>
      <c r="AB438">
        <f>IF($E438="","",IF($AQ438=1,0,IF($AP438=1,Settings!$C$6,Settings!$C$7))*100)</f>
        <v/>
      </c>
      <c r="AC438" s="7">
        <f>IF($E438="","",Y438*AB438/100)</f>
        <v/>
      </c>
      <c r="AD438" s="7">
        <f>IF($E438="","",Y438-AC438)</f>
        <v/>
      </c>
      <c r="AE438" s="7">
        <f>IF($E438="","",AD438-Q438)</f>
        <v/>
      </c>
      <c r="AI438" s="7" t="n"/>
      <c r="AL438" s="11" t="n"/>
      <c r="AN438">
        <f>IF($E438="","",IF(COUNTIF($E$2:$E438,$E438)=1,1,0))</f>
        <v/>
      </c>
      <c r="AO438">
        <f>IF($AN438=1,SUMPRODUCT(--($AR$2:$AR$4001&lt;$AR438))+1,"")</f>
        <v/>
      </c>
      <c r="AP438">
        <f>IF($E438="","",IF(OR($U438=TRUE(),$U438="TRUE"),1,0))</f>
        <v/>
      </c>
      <c r="AQ438">
        <f>IF($E438="","",IF($AA438="Yes",1,0))</f>
        <v/>
      </c>
      <c r="AR438">
        <f>IF($AN438=1,IFERROR(VALUE(MID($E438,2,20)),1000000000)+ROW()/100000,"")</f>
        <v/>
      </c>
    </row>
    <row r="439">
      <c r="G439" s="11" t="n"/>
      <c r="Q439" s="7">
        <f>IF($E439="","",P439*Y439/100)</f>
        <v/>
      </c>
      <c r="R439" s="7" t="n"/>
      <c r="X439" s="7" t="n"/>
      <c r="Y439" s="7" t="n"/>
      <c r="AB439">
        <f>IF($E439="","",IF($AQ439=1,0,IF($AP439=1,Settings!$C$6,Settings!$C$7))*100)</f>
        <v/>
      </c>
      <c r="AC439" s="7">
        <f>IF($E439="","",Y439*AB439/100)</f>
        <v/>
      </c>
      <c r="AD439" s="7">
        <f>IF($E439="","",Y439-AC439)</f>
        <v/>
      </c>
      <c r="AE439" s="7">
        <f>IF($E439="","",AD439-Q439)</f>
        <v/>
      </c>
      <c r="AI439" s="7" t="n"/>
      <c r="AL439" s="11" t="n"/>
      <c r="AN439">
        <f>IF($E439="","",IF(COUNTIF($E$2:$E439,$E439)=1,1,0))</f>
        <v/>
      </c>
      <c r="AO439">
        <f>IF($AN439=1,SUMPRODUCT(--($AR$2:$AR$4001&lt;$AR439))+1,"")</f>
        <v/>
      </c>
      <c r="AP439">
        <f>IF($E439="","",IF(OR($U439=TRUE(),$U439="TRUE"),1,0))</f>
        <v/>
      </c>
      <c r="AQ439">
        <f>IF($E439="","",IF($AA439="Yes",1,0))</f>
        <v/>
      </c>
      <c r="AR439">
        <f>IF($AN439=1,IFERROR(VALUE(MID($E439,2,20)),1000000000)+ROW()/100000,"")</f>
        <v/>
      </c>
    </row>
    <row r="440">
      <c r="G440" s="11" t="n"/>
      <c r="Q440" s="7">
        <f>IF($E440="","",P440*Y440/100)</f>
        <v/>
      </c>
      <c r="R440" s="7" t="n"/>
      <c r="X440" s="7" t="n"/>
      <c r="Y440" s="7" t="n"/>
      <c r="AB440">
        <f>IF($E440="","",IF($AQ440=1,0,IF($AP440=1,Settings!$C$6,Settings!$C$7))*100)</f>
        <v/>
      </c>
      <c r="AC440" s="7">
        <f>IF($E440="","",Y440*AB440/100)</f>
        <v/>
      </c>
      <c r="AD440" s="7">
        <f>IF($E440="","",Y440-AC440)</f>
        <v/>
      </c>
      <c r="AE440" s="7">
        <f>IF($E440="","",AD440-Q440)</f>
        <v/>
      </c>
      <c r="AI440" s="7" t="n"/>
      <c r="AL440" s="11" t="n"/>
      <c r="AN440">
        <f>IF($E440="","",IF(COUNTIF($E$2:$E440,$E440)=1,1,0))</f>
        <v/>
      </c>
      <c r="AO440">
        <f>IF($AN440=1,SUMPRODUCT(--($AR$2:$AR$4001&lt;$AR440))+1,"")</f>
        <v/>
      </c>
      <c r="AP440">
        <f>IF($E440="","",IF(OR($U440=TRUE(),$U440="TRUE"),1,0))</f>
        <v/>
      </c>
      <c r="AQ440">
        <f>IF($E440="","",IF($AA440="Yes",1,0))</f>
        <v/>
      </c>
      <c r="AR440">
        <f>IF($AN440=1,IFERROR(VALUE(MID($E440,2,20)),1000000000)+ROW()/100000,"")</f>
        <v/>
      </c>
    </row>
    <row r="441">
      <c r="G441" s="11" t="n"/>
      <c r="Q441" s="7">
        <f>IF($E441="","",P441*Y441/100)</f>
        <v/>
      </c>
      <c r="R441" s="7" t="n"/>
      <c r="X441" s="7" t="n"/>
      <c r="Y441" s="7" t="n"/>
      <c r="AB441">
        <f>IF($E441="","",IF($AQ441=1,0,IF($AP441=1,Settings!$C$6,Settings!$C$7))*100)</f>
        <v/>
      </c>
      <c r="AC441" s="7">
        <f>IF($E441="","",Y441*AB441/100)</f>
        <v/>
      </c>
      <c r="AD441" s="7">
        <f>IF($E441="","",Y441-AC441)</f>
        <v/>
      </c>
      <c r="AE441" s="7">
        <f>IF($E441="","",AD441-Q441)</f>
        <v/>
      </c>
      <c r="AI441" s="7" t="n"/>
      <c r="AL441" s="11" t="n"/>
      <c r="AN441">
        <f>IF($E441="","",IF(COUNTIF($E$2:$E441,$E441)=1,1,0))</f>
        <v/>
      </c>
      <c r="AO441">
        <f>IF($AN441=1,SUMPRODUCT(--($AR$2:$AR$4001&lt;$AR441))+1,"")</f>
        <v/>
      </c>
      <c r="AP441">
        <f>IF($E441="","",IF(OR($U441=TRUE(),$U441="TRUE"),1,0))</f>
        <v/>
      </c>
      <c r="AQ441">
        <f>IF($E441="","",IF($AA441="Yes",1,0))</f>
        <v/>
      </c>
      <c r="AR441">
        <f>IF($AN441=1,IFERROR(VALUE(MID($E441,2,20)),1000000000)+ROW()/100000,"")</f>
        <v/>
      </c>
    </row>
    <row r="442">
      <c r="G442" s="11" t="n"/>
      <c r="Q442" s="7">
        <f>IF($E442="","",P442*Y442/100)</f>
        <v/>
      </c>
      <c r="R442" s="7" t="n"/>
      <c r="X442" s="7" t="n"/>
      <c r="Y442" s="7" t="n"/>
      <c r="AB442">
        <f>IF($E442="","",IF($AQ442=1,0,IF($AP442=1,Settings!$C$6,Settings!$C$7))*100)</f>
        <v/>
      </c>
      <c r="AC442" s="7">
        <f>IF($E442="","",Y442*AB442/100)</f>
        <v/>
      </c>
      <c r="AD442" s="7">
        <f>IF($E442="","",Y442-AC442)</f>
        <v/>
      </c>
      <c r="AE442" s="7">
        <f>IF($E442="","",AD442-Q442)</f>
        <v/>
      </c>
      <c r="AI442" s="7" t="n"/>
      <c r="AL442" s="11" t="n"/>
      <c r="AN442">
        <f>IF($E442="","",IF(COUNTIF($E$2:$E442,$E442)=1,1,0))</f>
        <v/>
      </c>
      <c r="AO442">
        <f>IF($AN442=1,SUMPRODUCT(--($AR$2:$AR$4001&lt;$AR442))+1,"")</f>
        <v/>
      </c>
      <c r="AP442">
        <f>IF($E442="","",IF(OR($U442=TRUE(),$U442="TRUE"),1,0))</f>
        <v/>
      </c>
      <c r="AQ442">
        <f>IF($E442="","",IF($AA442="Yes",1,0))</f>
        <v/>
      </c>
      <c r="AR442">
        <f>IF($AN442=1,IFERROR(VALUE(MID($E442,2,20)),1000000000)+ROW()/100000,"")</f>
        <v/>
      </c>
    </row>
    <row r="443">
      <c r="G443" s="11" t="n"/>
      <c r="Q443" s="7">
        <f>IF($E443="","",P443*Y443/100)</f>
        <v/>
      </c>
      <c r="R443" s="7" t="n"/>
      <c r="X443" s="7" t="n"/>
      <c r="Y443" s="7" t="n"/>
      <c r="AB443">
        <f>IF($E443="","",IF($AQ443=1,0,IF($AP443=1,Settings!$C$6,Settings!$C$7))*100)</f>
        <v/>
      </c>
      <c r="AC443" s="7">
        <f>IF($E443="","",Y443*AB443/100)</f>
        <v/>
      </c>
      <c r="AD443" s="7">
        <f>IF($E443="","",Y443-AC443)</f>
        <v/>
      </c>
      <c r="AE443" s="7">
        <f>IF($E443="","",AD443-Q443)</f>
        <v/>
      </c>
      <c r="AI443" s="7" t="n"/>
      <c r="AL443" s="11" t="n"/>
      <c r="AN443">
        <f>IF($E443="","",IF(COUNTIF($E$2:$E443,$E443)=1,1,0))</f>
        <v/>
      </c>
      <c r="AO443">
        <f>IF($AN443=1,SUMPRODUCT(--($AR$2:$AR$4001&lt;$AR443))+1,"")</f>
        <v/>
      </c>
      <c r="AP443">
        <f>IF($E443="","",IF(OR($U443=TRUE(),$U443="TRUE"),1,0))</f>
        <v/>
      </c>
      <c r="AQ443">
        <f>IF($E443="","",IF($AA443="Yes",1,0))</f>
        <v/>
      </c>
      <c r="AR443">
        <f>IF($AN443=1,IFERROR(VALUE(MID($E443,2,20)),1000000000)+ROW()/100000,"")</f>
        <v/>
      </c>
    </row>
    <row r="444">
      <c r="G444" s="11" t="n"/>
      <c r="Q444" s="7">
        <f>IF($E444="","",P444*Y444/100)</f>
        <v/>
      </c>
      <c r="R444" s="7" t="n"/>
      <c r="X444" s="7" t="n"/>
      <c r="Y444" s="7" t="n"/>
      <c r="AB444">
        <f>IF($E444="","",IF($AQ444=1,0,IF($AP444=1,Settings!$C$6,Settings!$C$7))*100)</f>
        <v/>
      </c>
      <c r="AC444" s="7">
        <f>IF($E444="","",Y444*AB444/100)</f>
        <v/>
      </c>
      <c r="AD444" s="7">
        <f>IF($E444="","",Y444-AC444)</f>
        <v/>
      </c>
      <c r="AE444" s="7">
        <f>IF($E444="","",AD444-Q444)</f>
        <v/>
      </c>
      <c r="AI444" s="7" t="n"/>
      <c r="AL444" s="11" t="n"/>
      <c r="AN444">
        <f>IF($E444="","",IF(COUNTIF($E$2:$E444,$E444)=1,1,0))</f>
        <v/>
      </c>
      <c r="AO444">
        <f>IF($AN444=1,SUMPRODUCT(--($AR$2:$AR$4001&lt;$AR444))+1,"")</f>
        <v/>
      </c>
      <c r="AP444">
        <f>IF($E444="","",IF(OR($U444=TRUE(),$U444="TRUE"),1,0))</f>
        <v/>
      </c>
      <c r="AQ444">
        <f>IF($E444="","",IF($AA444="Yes",1,0))</f>
        <v/>
      </c>
      <c r="AR444">
        <f>IF($AN444=1,IFERROR(VALUE(MID($E444,2,20)),1000000000)+ROW()/100000,"")</f>
        <v/>
      </c>
    </row>
    <row r="445">
      <c r="G445" s="11" t="n"/>
      <c r="Q445" s="7">
        <f>IF($E445="","",P445*Y445/100)</f>
        <v/>
      </c>
      <c r="R445" s="7" t="n"/>
      <c r="X445" s="7" t="n"/>
      <c r="Y445" s="7" t="n"/>
      <c r="AB445">
        <f>IF($E445="","",IF($AQ445=1,0,IF($AP445=1,Settings!$C$6,Settings!$C$7))*100)</f>
        <v/>
      </c>
      <c r="AC445" s="7">
        <f>IF($E445="","",Y445*AB445/100)</f>
        <v/>
      </c>
      <c r="AD445" s="7">
        <f>IF($E445="","",Y445-AC445)</f>
        <v/>
      </c>
      <c r="AE445" s="7">
        <f>IF($E445="","",AD445-Q445)</f>
        <v/>
      </c>
      <c r="AI445" s="7" t="n"/>
      <c r="AL445" s="11" t="n"/>
      <c r="AN445">
        <f>IF($E445="","",IF(COUNTIF($E$2:$E445,$E445)=1,1,0))</f>
        <v/>
      </c>
      <c r="AO445">
        <f>IF($AN445=1,SUMPRODUCT(--($AR$2:$AR$4001&lt;$AR445))+1,"")</f>
        <v/>
      </c>
      <c r="AP445">
        <f>IF($E445="","",IF(OR($U445=TRUE(),$U445="TRUE"),1,0))</f>
        <v/>
      </c>
      <c r="AQ445">
        <f>IF($E445="","",IF($AA445="Yes",1,0))</f>
        <v/>
      </c>
      <c r="AR445">
        <f>IF($AN445=1,IFERROR(VALUE(MID($E445,2,20)),1000000000)+ROW()/100000,"")</f>
        <v/>
      </c>
    </row>
    <row r="446">
      <c r="G446" s="11" t="n"/>
      <c r="Q446" s="7">
        <f>IF($E446="","",P446*Y446/100)</f>
        <v/>
      </c>
      <c r="R446" s="7" t="n"/>
      <c r="X446" s="7" t="n"/>
      <c r="Y446" s="7" t="n"/>
      <c r="AB446">
        <f>IF($E446="","",IF($AQ446=1,0,IF($AP446=1,Settings!$C$6,Settings!$C$7))*100)</f>
        <v/>
      </c>
      <c r="AC446" s="7">
        <f>IF($E446="","",Y446*AB446/100)</f>
        <v/>
      </c>
      <c r="AD446" s="7">
        <f>IF($E446="","",Y446-AC446)</f>
        <v/>
      </c>
      <c r="AE446" s="7">
        <f>IF($E446="","",AD446-Q446)</f>
        <v/>
      </c>
      <c r="AI446" s="7" t="n"/>
      <c r="AL446" s="11" t="n"/>
      <c r="AN446">
        <f>IF($E446="","",IF(COUNTIF($E$2:$E446,$E446)=1,1,0))</f>
        <v/>
      </c>
      <c r="AO446">
        <f>IF($AN446=1,SUMPRODUCT(--($AR$2:$AR$4001&lt;$AR446))+1,"")</f>
        <v/>
      </c>
      <c r="AP446">
        <f>IF($E446="","",IF(OR($U446=TRUE(),$U446="TRUE"),1,0))</f>
        <v/>
      </c>
      <c r="AQ446">
        <f>IF($E446="","",IF($AA446="Yes",1,0))</f>
        <v/>
      </c>
      <c r="AR446">
        <f>IF($AN446=1,IFERROR(VALUE(MID($E446,2,20)),1000000000)+ROW()/100000,"")</f>
        <v/>
      </c>
    </row>
    <row r="447">
      <c r="G447" s="11" t="n"/>
      <c r="Q447" s="7">
        <f>IF($E447="","",P447*Y447/100)</f>
        <v/>
      </c>
      <c r="R447" s="7" t="n"/>
      <c r="X447" s="7" t="n"/>
      <c r="Y447" s="7" t="n"/>
      <c r="AB447">
        <f>IF($E447="","",IF($AQ447=1,0,IF($AP447=1,Settings!$C$6,Settings!$C$7))*100)</f>
        <v/>
      </c>
      <c r="AC447" s="7">
        <f>IF($E447="","",Y447*AB447/100)</f>
        <v/>
      </c>
      <c r="AD447" s="7">
        <f>IF($E447="","",Y447-AC447)</f>
        <v/>
      </c>
      <c r="AE447" s="7">
        <f>IF($E447="","",AD447-Q447)</f>
        <v/>
      </c>
      <c r="AI447" s="7" t="n"/>
      <c r="AL447" s="11" t="n"/>
      <c r="AN447">
        <f>IF($E447="","",IF(COUNTIF($E$2:$E447,$E447)=1,1,0))</f>
        <v/>
      </c>
      <c r="AO447">
        <f>IF($AN447=1,SUMPRODUCT(--($AR$2:$AR$4001&lt;$AR447))+1,"")</f>
        <v/>
      </c>
      <c r="AP447">
        <f>IF($E447="","",IF(OR($U447=TRUE(),$U447="TRUE"),1,0))</f>
        <v/>
      </c>
      <c r="AQ447">
        <f>IF($E447="","",IF($AA447="Yes",1,0))</f>
        <v/>
      </c>
      <c r="AR447">
        <f>IF($AN447=1,IFERROR(VALUE(MID($E447,2,20)),1000000000)+ROW()/100000,"")</f>
        <v/>
      </c>
    </row>
    <row r="448">
      <c r="G448" s="11" t="n"/>
      <c r="Q448" s="7">
        <f>IF($E448="","",P448*Y448/100)</f>
        <v/>
      </c>
      <c r="R448" s="7" t="n"/>
      <c r="X448" s="7" t="n"/>
      <c r="Y448" s="7" t="n"/>
      <c r="AB448">
        <f>IF($E448="","",IF($AQ448=1,0,IF($AP448=1,Settings!$C$6,Settings!$C$7))*100)</f>
        <v/>
      </c>
      <c r="AC448" s="7">
        <f>IF($E448="","",Y448*AB448/100)</f>
        <v/>
      </c>
      <c r="AD448" s="7">
        <f>IF($E448="","",Y448-AC448)</f>
        <v/>
      </c>
      <c r="AE448" s="7">
        <f>IF($E448="","",AD448-Q448)</f>
        <v/>
      </c>
      <c r="AI448" s="7" t="n"/>
      <c r="AL448" s="11" t="n"/>
      <c r="AN448">
        <f>IF($E448="","",IF(COUNTIF($E$2:$E448,$E448)=1,1,0))</f>
        <v/>
      </c>
      <c r="AO448">
        <f>IF($AN448=1,SUMPRODUCT(--($AR$2:$AR$4001&lt;$AR448))+1,"")</f>
        <v/>
      </c>
      <c r="AP448">
        <f>IF($E448="","",IF(OR($U448=TRUE(),$U448="TRUE"),1,0))</f>
        <v/>
      </c>
      <c r="AQ448">
        <f>IF($E448="","",IF($AA448="Yes",1,0))</f>
        <v/>
      </c>
      <c r="AR448">
        <f>IF($AN448=1,IFERROR(VALUE(MID($E448,2,20)),1000000000)+ROW()/100000,"")</f>
        <v/>
      </c>
    </row>
    <row r="449">
      <c r="G449" s="11" t="n"/>
      <c r="Q449" s="7">
        <f>IF($E449="","",P449*Y449/100)</f>
        <v/>
      </c>
      <c r="R449" s="7" t="n"/>
      <c r="X449" s="7" t="n"/>
      <c r="Y449" s="7" t="n"/>
      <c r="AB449">
        <f>IF($E449="","",IF($AQ449=1,0,IF($AP449=1,Settings!$C$6,Settings!$C$7))*100)</f>
        <v/>
      </c>
      <c r="AC449" s="7">
        <f>IF($E449="","",Y449*AB449/100)</f>
        <v/>
      </c>
      <c r="AD449" s="7">
        <f>IF($E449="","",Y449-AC449)</f>
        <v/>
      </c>
      <c r="AE449" s="7">
        <f>IF($E449="","",AD449-Q449)</f>
        <v/>
      </c>
      <c r="AI449" s="7" t="n"/>
      <c r="AL449" s="11" t="n"/>
      <c r="AN449">
        <f>IF($E449="","",IF(COUNTIF($E$2:$E449,$E449)=1,1,0))</f>
        <v/>
      </c>
      <c r="AO449">
        <f>IF($AN449=1,SUMPRODUCT(--($AR$2:$AR$4001&lt;$AR449))+1,"")</f>
        <v/>
      </c>
      <c r="AP449">
        <f>IF($E449="","",IF(OR($U449=TRUE(),$U449="TRUE"),1,0))</f>
        <v/>
      </c>
      <c r="AQ449">
        <f>IF($E449="","",IF($AA449="Yes",1,0))</f>
        <v/>
      </c>
      <c r="AR449">
        <f>IF($AN449=1,IFERROR(VALUE(MID($E449,2,20)),1000000000)+ROW()/100000,"")</f>
        <v/>
      </c>
    </row>
    <row r="450">
      <c r="G450" s="11" t="n"/>
      <c r="Q450" s="7">
        <f>IF($E450="","",P450*Y450/100)</f>
        <v/>
      </c>
      <c r="R450" s="7" t="n"/>
      <c r="X450" s="7" t="n"/>
      <c r="Y450" s="7" t="n"/>
      <c r="AB450">
        <f>IF($E450="","",IF($AQ450=1,0,IF($AP450=1,Settings!$C$6,Settings!$C$7))*100)</f>
        <v/>
      </c>
      <c r="AC450" s="7">
        <f>IF($E450="","",Y450*AB450/100)</f>
        <v/>
      </c>
      <c r="AD450" s="7">
        <f>IF($E450="","",Y450-AC450)</f>
        <v/>
      </c>
      <c r="AE450" s="7">
        <f>IF($E450="","",AD450-Q450)</f>
        <v/>
      </c>
      <c r="AI450" s="7" t="n"/>
      <c r="AL450" s="11" t="n"/>
      <c r="AN450">
        <f>IF($E450="","",IF(COUNTIF($E$2:$E450,$E450)=1,1,0))</f>
        <v/>
      </c>
      <c r="AO450">
        <f>IF($AN450=1,SUMPRODUCT(--($AR$2:$AR$4001&lt;$AR450))+1,"")</f>
        <v/>
      </c>
      <c r="AP450">
        <f>IF($E450="","",IF(OR($U450=TRUE(),$U450="TRUE"),1,0))</f>
        <v/>
      </c>
      <c r="AQ450">
        <f>IF($E450="","",IF($AA450="Yes",1,0))</f>
        <v/>
      </c>
      <c r="AR450">
        <f>IF($AN450=1,IFERROR(VALUE(MID($E450,2,20)),1000000000)+ROW()/100000,"")</f>
        <v/>
      </c>
    </row>
    <row r="451">
      <c r="G451" s="11" t="n"/>
      <c r="Q451" s="7">
        <f>IF($E451="","",P451*Y451/100)</f>
        <v/>
      </c>
      <c r="R451" s="7" t="n"/>
      <c r="X451" s="7" t="n"/>
      <c r="Y451" s="7" t="n"/>
      <c r="AB451">
        <f>IF($E451="","",IF($AQ451=1,0,IF($AP451=1,Settings!$C$6,Settings!$C$7))*100)</f>
        <v/>
      </c>
      <c r="AC451" s="7">
        <f>IF($E451="","",Y451*AB451/100)</f>
        <v/>
      </c>
      <c r="AD451" s="7">
        <f>IF($E451="","",Y451-AC451)</f>
        <v/>
      </c>
      <c r="AE451" s="7">
        <f>IF($E451="","",AD451-Q451)</f>
        <v/>
      </c>
      <c r="AI451" s="7" t="n"/>
      <c r="AL451" s="11" t="n"/>
      <c r="AN451">
        <f>IF($E451="","",IF(COUNTIF($E$2:$E451,$E451)=1,1,0))</f>
        <v/>
      </c>
      <c r="AO451">
        <f>IF($AN451=1,SUMPRODUCT(--($AR$2:$AR$4001&lt;$AR451))+1,"")</f>
        <v/>
      </c>
      <c r="AP451">
        <f>IF($E451="","",IF(OR($U451=TRUE(),$U451="TRUE"),1,0))</f>
        <v/>
      </c>
      <c r="AQ451">
        <f>IF($E451="","",IF($AA451="Yes",1,0))</f>
        <v/>
      </c>
      <c r="AR451">
        <f>IF($AN451=1,IFERROR(VALUE(MID($E451,2,20)),1000000000)+ROW()/100000,"")</f>
        <v/>
      </c>
    </row>
    <row r="452">
      <c r="G452" s="11" t="n"/>
      <c r="Q452" s="7">
        <f>IF($E452="","",P452*Y452/100)</f>
        <v/>
      </c>
      <c r="R452" s="7" t="n"/>
      <c r="X452" s="7" t="n"/>
      <c r="Y452" s="7" t="n"/>
      <c r="AB452">
        <f>IF($E452="","",IF($AQ452=1,0,IF($AP452=1,Settings!$C$6,Settings!$C$7))*100)</f>
        <v/>
      </c>
      <c r="AC452" s="7">
        <f>IF($E452="","",Y452*AB452/100)</f>
        <v/>
      </c>
      <c r="AD452" s="7">
        <f>IF($E452="","",Y452-AC452)</f>
        <v/>
      </c>
      <c r="AE452" s="7">
        <f>IF($E452="","",AD452-Q452)</f>
        <v/>
      </c>
      <c r="AI452" s="7" t="n"/>
      <c r="AL452" s="11" t="n"/>
      <c r="AN452">
        <f>IF($E452="","",IF(COUNTIF($E$2:$E452,$E452)=1,1,0))</f>
        <v/>
      </c>
      <c r="AO452">
        <f>IF($AN452=1,SUMPRODUCT(--($AR$2:$AR$4001&lt;$AR452))+1,"")</f>
        <v/>
      </c>
      <c r="AP452">
        <f>IF($E452="","",IF(OR($U452=TRUE(),$U452="TRUE"),1,0))</f>
        <v/>
      </c>
      <c r="AQ452">
        <f>IF($E452="","",IF($AA452="Yes",1,0))</f>
        <v/>
      </c>
      <c r="AR452">
        <f>IF($AN452=1,IFERROR(VALUE(MID($E452,2,20)),1000000000)+ROW()/100000,"")</f>
        <v/>
      </c>
    </row>
    <row r="453">
      <c r="G453" s="11" t="n"/>
      <c r="Q453" s="7">
        <f>IF($E453="","",P453*Y453/100)</f>
        <v/>
      </c>
      <c r="R453" s="7" t="n"/>
      <c r="X453" s="7" t="n"/>
      <c r="Y453" s="7" t="n"/>
      <c r="AB453">
        <f>IF($E453="","",IF($AQ453=1,0,IF($AP453=1,Settings!$C$6,Settings!$C$7))*100)</f>
        <v/>
      </c>
      <c r="AC453" s="7">
        <f>IF($E453="","",Y453*AB453/100)</f>
        <v/>
      </c>
      <c r="AD453" s="7">
        <f>IF($E453="","",Y453-AC453)</f>
        <v/>
      </c>
      <c r="AE453" s="7">
        <f>IF($E453="","",AD453-Q453)</f>
        <v/>
      </c>
      <c r="AI453" s="7" t="n"/>
      <c r="AL453" s="11" t="n"/>
      <c r="AN453">
        <f>IF($E453="","",IF(COUNTIF($E$2:$E453,$E453)=1,1,0))</f>
        <v/>
      </c>
      <c r="AO453">
        <f>IF($AN453=1,SUMPRODUCT(--($AR$2:$AR$4001&lt;$AR453))+1,"")</f>
        <v/>
      </c>
      <c r="AP453">
        <f>IF($E453="","",IF(OR($U453=TRUE(),$U453="TRUE"),1,0))</f>
        <v/>
      </c>
      <c r="AQ453">
        <f>IF($E453="","",IF($AA453="Yes",1,0))</f>
        <v/>
      </c>
      <c r="AR453">
        <f>IF($AN453=1,IFERROR(VALUE(MID($E453,2,20)),1000000000)+ROW()/100000,"")</f>
        <v/>
      </c>
    </row>
    <row r="454">
      <c r="G454" s="11" t="n"/>
      <c r="Q454" s="7">
        <f>IF($E454="","",P454*Y454/100)</f>
        <v/>
      </c>
      <c r="R454" s="7" t="n"/>
      <c r="X454" s="7" t="n"/>
      <c r="Y454" s="7" t="n"/>
      <c r="AB454">
        <f>IF($E454="","",IF($AQ454=1,0,IF($AP454=1,Settings!$C$6,Settings!$C$7))*100)</f>
        <v/>
      </c>
      <c r="AC454" s="7">
        <f>IF($E454="","",Y454*AB454/100)</f>
        <v/>
      </c>
      <c r="AD454" s="7">
        <f>IF($E454="","",Y454-AC454)</f>
        <v/>
      </c>
      <c r="AE454" s="7">
        <f>IF($E454="","",AD454-Q454)</f>
        <v/>
      </c>
      <c r="AI454" s="7" t="n"/>
      <c r="AL454" s="11" t="n"/>
      <c r="AN454">
        <f>IF($E454="","",IF(COUNTIF($E$2:$E454,$E454)=1,1,0))</f>
        <v/>
      </c>
      <c r="AO454">
        <f>IF($AN454=1,SUMPRODUCT(--($AR$2:$AR$4001&lt;$AR454))+1,"")</f>
        <v/>
      </c>
      <c r="AP454">
        <f>IF($E454="","",IF(OR($U454=TRUE(),$U454="TRUE"),1,0))</f>
        <v/>
      </c>
      <c r="AQ454">
        <f>IF($E454="","",IF($AA454="Yes",1,0))</f>
        <v/>
      </c>
      <c r="AR454">
        <f>IF($AN454=1,IFERROR(VALUE(MID($E454,2,20)),1000000000)+ROW()/100000,"")</f>
        <v/>
      </c>
    </row>
    <row r="455">
      <c r="G455" s="11" t="n"/>
      <c r="Q455" s="7">
        <f>IF($E455="","",P455*Y455/100)</f>
        <v/>
      </c>
      <c r="R455" s="7" t="n"/>
      <c r="X455" s="7" t="n"/>
      <c r="Y455" s="7" t="n"/>
      <c r="AB455">
        <f>IF($E455="","",IF($AQ455=1,0,IF($AP455=1,Settings!$C$6,Settings!$C$7))*100)</f>
        <v/>
      </c>
      <c r="AC455" s="7">
        <f>IF($E455="","",Y455*AB455/100)</f>
        <v/>
      </c>
      <c r="AD455" s="7">
        <f>IF($E455="","",Y455-AC455)</f>
        <v/>
      </c>
      <c r="AE455" s="7">
        <f>IF($E455="","",AD455-Q455)</f>
        <v/>
      </c>
      <c r="AI455" s="7" t="n"/>
      <c r="AL455" s="11" t="n"/>
      <c r="AN455">
        <f>IF($E455="","",IF(COUNTIF($E$2:$E455,$E455)=1,1,0))</f>
        <v/>
      </c>
      <c r="AO455">
        <f>IF($AN455=1,SUMPRODUCT(--($AR$2:$AR$4001&lt;$AR455))+1,"")</f>
        <v/>
      </c>
      <c r="AP455">
        <f>IF($E455="","",IF(OR($U455=TRUE(),$U455="TRUE"),1,0))</f>
        <v/>
      </c>
      <c r="AQ455">
        <f>IF($E455="","",IF($AA455="Yes",1,0))</f>
        <v/>
      </c>
      <c r="AR455">
        <f>IF($AN455=1,IFERROR(VALUE(MID($E455,2,20)),1000000000)+ROW()/100000,"")</f>
        <v/>
      </c>
    </row>
    <row r="456">
      <c r="G456" s="11" t="n"/>
      <c r="Q456" s="7">
        <f>IF($E456="","",P456*Y456/100)</f>
        <v/>
      </c>
      <c r="R456" s="7" t="n"/>
      <c r="X456" s="7" t="n"/>
      <c r="Y456" s="7" t="n"/>
      <c r="AB456">
        <f>IF($E456="","",IF($AQ456=1,0,IF($AP456=1,Settings!$C$6,Settings!$C$7))*100)</f>
        <v/>
      </c>
      <c r="AC456" s="7">
        <f>IF($E456="","",Y456*AB456/100)</f>
        <v/>
      </c>
      <c r="AD456" s="7">
        <f>IF($E456="","",Y456-AC456)</f>
        <v/>
      </c>
      <c r="AE456" s="7">
        <f>IF($E456="","",AD456-Q456)</f>
        <v/>
      </c>
      <c r="AI456" s="7" t="n"/>
      <c r="AL456" s="11" t="n"/>
      <c r="AN456">
        <f>IF($E456="","",IF(COUNTIF($E$2:$E456,$E456)=1,1,0))</f>
        <v/>
      </c>
      <c r="AO456">
        <f>IF($AN456=1,SUMPRODUCT(--($AR$2:$AR$4001&lt;$AR456))+1,"")</f>
        <v/>
      </c>
      <c r="AP456">
        <f>IF($E456="","",IF(OR($U456=TRUE(),$U456="TRUE"),1,0))</f>
        <v/>
      </c>
      <c r="AQ456">
        <f>IF($E456="","",IF($AA456="Yes",1,0))</f>
        <v/>
      </c>
      <c r="AR456">
        <f>IF($AN456=1,IFERROR(VALUE(MID($E456,2,20)),1000000000)+ROW()/100000,"")</f>
        <v/>
      </c>
    </row>
    <row r="457">
      <c r="G457" s="11" t="n"/>
      <c r="Q457" s="7">
        <f>IF($E457="","",P457*Y457/100)</f>
        <v/>
      </c>
      <c r="R457" s="7" t="n"/>
      <c r="X457" s="7" t="n"/>
      <c r="Y457" s="7" t="n"/>
      <c r="AB457">
        <f>IF($E457="","",IF($AQ457=1,0,IF($AP457=1,Settings!$C$6,Settings!$C$7))*100)</f>
        <v/>
      </c>
      <c r="AC457" s="7">
        <f>IF($E457="","",Y457*AB457/100)</f>
        <v/>
      </c>
      <c r="AD457" s="7">
        <f>IF($E457="","",Y457-AC457)</f>
        <v/>
      </c>
      <c r="AE457" s="7">
        <f>IF($E457="","",AD457-Q457)</f>
        <v/>
      </c>
      <c r="AI457" s="7" t="n"/>
      <c r="AL457" s="11" t="n"/>
      <c r="AN457">
        <f>IF($E457="","",IF(COUNTIF($E$2:$E457,$E457)=1,1,0))</f>
        <v/>
      </c>
      <c r="AO457">
        <f>IF($AN457=1,SUMPRODUCT(--($AR$2:$AR$4001&lt;$AR457))+1,"")</f>
        <v/>
      </c>
      <c r="AP457">
        <f>IF($E457="","",IF(OR($U457=TRUE(),$U457="TRUE"),1,0))</f>
        <v/>
      </c>
      <c r="AQ457">
        <f>IF($E457="","",IF($AA457="Yes",1,0))</f>
        <v/>
      </c>
      <c r="AR457">
        <f>IF($AN457=1,IFERROR(VALUE(MID($E457,2,20)),1000000000)+ROW()/100000,"")</f>
        <v/>
      </c>
    </row>
    <row r="458">
      <c r="G458" s="11" t="n"/>
      <c r="Q458" s="7">
        <f>IF($E458="","",P458*Y458/100)</f>
        <v/>
      </c>
      <c r="R458" s="7" t="n"/>
      <c r="X458" s="7" t="n"/>
      <c r="Y458" s="7" t="n"/>
      <c r="AB458">
        <f>IF($E458="","",IF($AQ458=1,0,IF($AP458=1,Settings!$C$6,Settings!$C$7))*100)</f>
        <v/>
      </c>
      <c r="AC458" s="7">
        <f>IF($E458="","",Y458*AB458/100)</f>
        <v/>
      </c>
      <c r="AD458" s="7">
        <f>IF($E458="","",Y458-AC458)</f>
        <v/>
      </c>
      <c r="AE458" s="7">
        <f>IF($E458="","",AD458-Q458)</f>
        <v/>
      </c>
      <c r="AI458" s="7" t="n"/>
      <c r="AL458" s="11" t="n"/>
      <c r="AN458">
        <f>IF($E458="","",IF(COUNTIF($E$2:$E458,$E458)=1,1,0))</f>
        <v/>
      </c>
      <c r="AO458">
        <f>IF($AN458=1,SUMPRODUCT(--($AR$2:$AR$4001&lt;$AR458))+1,"")</f>
        <v/>
      </c>
      <c r="AP458">
        <f>IF($E458="","",IF(OR($U458=TRUE(),$U458="TRUE"),1,0))</f>
        <v/>
      </c>
      <c r="AQ458">
        <f>IF($E458="","",IF($AA458="Yes",1,0))</f>
        <v/>
      </c>
      <c r="AR458">
        <f>IF($AN458=1,IFERROR(VALUE(MID($E458,2,20)),1000000000)+ROW()/100000,"")</f>
        <v/>
      </c>
    </row>
    <row r="459">
      <c r="G459" s="11" t="n"/>
      <c r="Q459" s="7">
        <f>IF($E459="","",P459*Y459/100)</f>
        <v/>
      </c>
      <c r="R459" s="7" t="n"/>
      <c r="X459" s="7" t="n"/>
      <c r="Y459" s="7" t="n"/>
      <c r="AB459">
        <f>IF($E459="","",IF($AQ459=1,0,IF($AP459=1,Settings!$C$6,Settings!$C$7))*100)</f>
        <v/>
      </c>
      <c r="AC459" s="7">
        <f>IF($E459="","",Y459*AB459/100)</f>
        <v/>
      </c>
      <c r="AD459" s="7">
        <f>IF($E459="","",Y459-AC459)</f>
        <v/>
      </c>
      <c r="AE459" s="7">
        <f>IF($E459="","",AD459-Q459)</f>
        <v/>
      </c>
      <c r="AI459" s="7" t="n"/>
      <c r="AL459" s="11" t="n"/>
      <c r="AN459">
        <f>IF($E459="","",IF(COUNTIF($E$2:$E459,$E459)=1,1,0))</f>
        <v/>
      </c>
      <c r="AO459">
        <f>IF($AN459=1,SUMPRODUCT(--($AR$2:$AR$4001&lt;$AR459))+1,"")</f>
        <v/>
      </c>
      <c r="AP459">
        <f>IF($E459="","",IF(OR($U459=TRUE(),$U459="TRUE"),1,0))</f>
        <v/>
      </c>
      <c r="AQ459">
        <f>IF($E459="","",IF($AA459="Yes",1,0))</f>
        <v/>
      </c>
      <c r="AR459">
        <f>IF($AN459=1,IFERROR(VALUE(MID($E459,2,20)),1000000000)+ROW()/100000,"")</f>
        <v/>
      </c>
    </row>
    <row r="460">
      <c r="G460" s="11" t="n"/>
      <c r="Q460" s="7">
        <f>IF($E460="","",P460*Y460/100)</f>
        <v/>
      </c>
      <c r="R460" s="7" t="n"/>
      <c r="X460" s="7" t="n"/>
      <c r="Y460" s="7" t="n"/>
      <c r="AB460">
        <f>IF($E460="","",IF($AQ460=1,0,IF($AP460=1,Settings!$C$6,Settings!$C$7))*100)</f>
        <v/>
      </c>
      <c r="AC460" s="7">
        <f>IF($E460="","",Y460*AB460/100)</f>
        <v/>
      </c>
      <c r="AD460" s="7">
        <f>IF($E460="","",Y460-AC460)</f>
        <v/>
      </c>
      <c r="AE460" s="7">
        <f>IF($E460="","",AD460-Q460)</f>
        <v/>
      </c>
      <c r="AI460" s="7" t="n"/>
      <c r="AL460" s="11" t="n"/>
      <c r="AN460">
        <f>IF($E460="","",IF(COUNTIF($E$2:$E460,$E460)=1,1,0))</f>
        <v/>
      </c>
      <c r="AO460">
        <f>IF($AN460=1,SUMPRODUCT(--($AR$2:$AR$4001&lt;$AR460))+1,"")</f>
        <v/>
      </c>
      <c r="AP460">
        <f>IF($E460="","",IF(OR($U460=TRUE(),$U460="TRUE"),1,0))</f>
        <v/>
      </c>
      <c r="AQ460">
        <f>IF($E460="","",IF($AA460="Yes",1,0))</f>
        <v/>
      </c>
      <c r="AR460">
        <f>IF($AN460=1,IFERROR(VALUE(MID($E460,2,20)),1000000000)+ROW()/100000,"")</f>
        <v/>
      </c>
    </row>
    <row r="461">
      <c r="G461" s="11" t="n"/>
      <c r="Q461" s="7">
        <f>IF($E461="","",P461*Y461/100)</f>
        <v/>
      </c>
      <c r="R461" s="7" t="n"/>
      <c r="X461" s="7" t="n"/>
      <c r="Y461" s="7" t="n"/>
      <c r="AB461">
        <f>IF($E461="","",IF($AQ461=1,0,IF($AP461=1,Settings!$C$6,Settings!$C$7))*100)</f>
        <v/>
      </c>
      <c r="AC461" s="7">
        <f>IF($E461="","",Y461*AB461/100)</f>
        <v/>
      </c>
      <c r="AD461" s="7">
        <f>IF($E461="","",Y461-AC461)</f>
        <v/>
      </c>
      <c r="AE461" s="7">
        <f>IF($E461="","",AD461-Q461)</f>
        <v/>
      </c>
      <c r="AI461" s="7" t="n"/>
      <c r="AL461" s="11" t="n"/>
      <c r="AN461">
        <f>IF($E461="","",IF(COUNTIF($E$2:$E461,$E461)=1,1,0))</f>
        <v/>
      </c>
      <c r="AO461">
        <f>IF($AN461=1,SUMPRODUCT(--($AR$2:$AR$4001&lt;$AR461))+1,"")</f>
        <v/>
      </c>
      <c r="AP461">
        <f>IF($E461="","",IF(OR($U461=TRUE(),$U461="TRUE"),1,0))</f>
        <v/>
      </c>
      <c r="AQ461">
        <f>IF($E461="","",IF($AA461="Yes",1,0))</f>
        <v/>
      </c>
      <c r="AR461">
        <f>IF($AN461=1,IFERROR(VALUE(MID($E461,2,20)),1000000000)+ROW()/100000,"")</f>
        <v/>
      </c>
    </row>
    <row r="462">
      <c r="G462" s="11" t="n"/>
      <c r="Q462" s="7">
        <f>IF($E462="","",P462*Y462/100)</f>
        <v/>
      </c>
      <c r="R462" s="7" t="n"/>
      <c r="X462" s="7" t="n"/>
      <c r="Y462" s="7" t="n"/>
      <c r="AB462">
        <f>IF($E462="","",IF($AQ462=1,0,IF($AP462=1,Settings!$C$6,Settings!$C$7))*100)</f>
        <v/>
      </c>
      <c r="AC462" s="7">
        <f>IF($E462="","",Y462*AB462/100)</f>
        <v/>
      </c>
      <c r="AD462" s="7">
        <f>IF($E462="","",Y462-AC462)</f>
        <v/>
      </c>
      <c r="AE462" s="7">
        <f>IF($E462="","",AD462-Q462)</f>
        <v/>
      </c>
      <c r="AI462" s="7" t="n"/>
      <c r="AL462" s="11" t="n"/>
      <c r="AN462">
        <f>IF($E462="","",IF(COUNTIF($E$2:$E462,$E462)=1,1,0))</f>
        <v/>
      </c>
      <c r="AO462">
        <f>IF($AN462=1,SUMPRODUCT(--($AR$2:$AR$4001&lt;$AR462))+1,"")</f>
        <v/>
      </c>
      <c r="AP462">
        <f>IF($E462="","",IF(OR($U462=TRUE(),$U462="TRUE"),1,0))</f>
        <v/>
      </c>
      <c r="AQ462">
        <f>IF($E462="","",IF($AA462="Yes",1,0))</f>
        <v/>
      </c>
      <c r="AR462">
        <f>IF($AN462=1,IFERROR(VALUE(MID($E462,2,20)),1000000000)+ROW()/100000,"")</f>
        <v/>
      </c>
    </row>
    <row r="463">
      <c r="G463" s="11" t="n"/>
      <c r="Q463" s="7">
        <f>IF($E463="","",P463*Y463/100)</f>
        <v/>
      </c>
      <c r="R463" s="7" t="n"/>
      <c r="X463" s="7" t="n"/>
      <c r="Y463" s="7" t="n"/>
      <c r="AB463">
        <f>IF($E463="","",IF($AQ463=1,0,IF($AP463=1,Settings!$C$6,Settings!$C$7))*100)</f>
        <v/>
      </c>
      <c r="AC463" s="7">
        <f>IF($E463="","",Y463*AB463/100)</f>
        <v/>
      </c>
      <c r="AD463" s="7">
        <f>IF($E463="","",Y463-AC463)</f>
        <v/>
      </c>
      <c r="AE463" s="7">
        <f>IF($E463="","",AD463-Q463)</f>
        <v/>
      </c>
      <c r="AI463" s="7" t="n"/>
      <c r="AL463" s="11" t="n"/>
      <c r="AN463">
        <f>IF($E463="","",IF(COUNTIF($E$2:$E463,$E463)=1,1,0))</f>
        <v/>
      </c>
      <c r="AO463">
        <f>IF($AN463=1,SUMPRODUCT(--($AR$2:$AR$4001&lt;$AR463))+1,"")</f>
        <v/>
      </c>
      <c r="AP463">
        <f>IF($E463="","",IF(OR($U463=TRUE(),$U463="TRUE"),1,0))</f>
        <v/>
      </c>
      <c r="AQ463">
        <f>IF($E463="","",IF($AA463="Yes",1,0))</f>
        <v/>
      </c>
      <c r="AR463">
        <f>IF($AN463=1,IFERROR(VALUE(MID($E463,2,20)),1000000000)+ROW()/100000,"")</f>
        <v/>
      </c>
    </row>
    <row r="464">
      <c r="G464" s="11" t="n"/>
      <c r="Q464" s="7">
        <f>IF($E464="","",P464*Y464/100)</f>
        <v/>
      </c>
      <c r="R464" s="7" t="n"/>
      <c r="X464" s="7" t="n"/>
      <c r="Y464" s="7" t="n"/>
      <c r="AB464">
        <f>IF($E464="","",IF($AQ464=1,0,IF($AP464=1,Settings!$C$6,Settings!$C$7))*100)</f>
        <v/>
      </c>
      <c r="AC464" s="7">
        <f>IF($E464="","",Y464*AB464/100)</f>
        <v/>
      </c>
      <c r="AD464" s="7">
        <f>IF($E464="","",Y464-AC464)</f>
        <v/>
      </c>
      <c r="AE464" s="7">
        <f>IF($E464="","",AD464-Q464)</f>
        <v/>
      </c>
      <c r="AI464" s="7" t="n"/>
      <c r="AL464" s="11" t="n"/>
      <c r="AN464">
        <f>IF($E464="","",IF(COUNTIF($E$2:$E464,$E464)=1,1,0))</f>
        <v/>
      </c>
      <c r="AO464">
        <f>IF($AN464=1,SUMPRODUCT(--($AR$2:$AR$4001&lt;$AR464))+1,"")</f>
        <v/>
      </c>
      <c r="AP464">
        <f>IF($E464="","",IF(OR($U464=TRUE(),$U464="TRUE"),1,0))</f>
        <v/>
      </c>
      <c r="AQ464">
        <f>IF($E464="","",IF($AA464="Yes",1,0))</f>
        <v/>
      </c>
      <c r="AR464">
        <f>IF($AN464=1,IFERROR(VALUE(MID($E464,2,20)),1000000000)+ROW()/100000,"")</f>
        <v/>
      </c>
    </row>
    <row r="465">
      <c r="G465" s="11" t="n"/>
      <c r="Q465" s="7">
        <f>IF($E465="","",P465*Y465/100)</f>
        <v/>
      </c>
      <c r="R465" s="7" t="n"/>
      <c r="X465" s="7" t="n"/>
      <c r="Y465" s="7" t="n"/>
      <c r="AB465">
        <f>IF($E465="","",IF($AQ465=1,0,IF($AP465=1,Settings!$C$6,Settings!$C$7))*100)</f>
        <v/>
      </c>
      <c r="AC465" s="7">
        <f>IF($E465="","",Y465*AB465/100)</f>
        <v/>
      </c>
      <c r="AD465" s="7">
        <f>IF($E465="","",Y465-AC465)</f>
        <v/>
      </c>
      <c r="AE465" s="7">
        <f>IF($E465="","",AD465-Q465)</f>
        <v/>
      </c>
      <c r="AI465" s="7" t="n"/>
      <c r="AL465" s="11" t="n"/>
      <c r="AN465">
        <f>IF($E465="","",IF(COUNTIF($E$2:$E465,$E465)=1,1,0))</f>
        <v/>
      </c>
      <c r="AO465">
        <f>IF($AN465=1,SUMPRODUCT(--($AR$2:$AR$4001&lt;$AR465))+1,"")</f>
        <v/>
      </c>
      <c r="AP465">
        <f>IF($E465="","",IF(OR($U465=TRUE(),$U465="TRUE"),1,0))</f>
        <v/>
      </c>
      <c r="AQ465">
        <f>IF($E465="","",IF($AA465="Yes",1,0))</f>
        <v/>
      </c>
      <c r="AR465">
        <f>IF($AN465=1,IFERROR(VALUE(MID($E465,2,20)),1000000000)+ROW()/100000,"")</f>
        <v/>
      </c>
    </row>
    <row r="466">
      <c r="G466" s="11" t="n"/>
      <c r="Q466" s="7">
        <f>IF($E466="","",P466*Y466/100)</f>
        <v/>
      </c>
      <c r="R466" s="7" t="n"/>
      <c r="X466" s="7" t="n"/>
      <c r="Y466" s="7" t="n"/>
      <c r="AB466">
        <f>IF($E466="","",IF($AQ466=1,0,IF($AP466=1,Settings!$C$6,Settings!$C$7))*100)</f>
        <v/>
      </c>
      <c r="AC466" s="7">
        <f>IF($E466="","",Y466*AB466/100)</f>
        <v/>
      </c>
      <c r="AD466" s="7">
        <f>IF($E466="","",Y466-AC466)</f>
        <v/>
      </c>
      <c r="AE466" s="7">
        <f>IF($E466="","",AD466-Q466)</f>
        <v/>
      </c>
      <c r="AI466" s="7" t="n"/>
      <c r="AL466" s="11" t="n"/>
      <c r="AN466">
        <f>IF($E466="","",IF(COUNTIF($E$2:$E466,$E466)=1,1,0))</f>
        <v/>
      </c>
      <c r="AO466">
        <f>IF($AN466=1,SUMPRODUCT(--($AR$2:$AR$4001&lt;$AR466))+1,"")</f>
        <v/>
      </c>
      <c r="AP466">
        <f>IF($E466="","",IF(OR($U466=TRUE(),$U466="TRUE"),1,0))</f>
        <v/>
      </c>
      <c r="AQ466">
        <f>IF($E466="","",IF($AA466="Yes",1,0))</f>
        <v/>
      </c>
      <c r="AR466">
        <f>IF($AN466=1,IFERROR(VALUE(MID($E466,2,20)),1000000000)+ROW()/100000,"")</f>
        <v/>
      </c>
    </row>
    <row r="467">
      <c r="G467" s="11" t="n"/>
      <c r="Q467" s="7">
        <f>IF($E467="","",P467*Y467/100)</f>
        <v/>
      </c>
      <c r="R467" s="7" t="n"/>
      <c r="X467" s="7" t="n"/>
      <c r="Y467" s="7" t="n"/>
      <c r="AB467">
        <f>IF($E467="","",IF($AQ467=1,0,IF($AP467=1,Settings!$C$6,Settings!$C$7))*100)</f>
        <v/>
      </c>
      <c r="AC467" s="7">
        <f>IF($E467="","",Y467*AB467/100)</f>
        <v/>
      </c>
      <c r="AD467" s="7">
        <f>IF($E467="","",Y467-AC467)</f>
        <v/>
      </c>
      <c r="AE467" s="7">
        <f>IF($E467="","",AD467-Q467)</f>
        <v/>
      </c>
      <c r="AI467" s="7" t="n"/>
      <c r="AL467" s="11" t="n"/>
      <c r="AN467">
        <f>IF($E467="","",IF(COUNTIF($E$2:$E467,$E467)=1,1,0))</f>
        <v/>
      </c>
      <c r="AO467">
        <f>IF($AN467=1,SUMPRODUCT(--($AR$2:$AR$4001&lt;$AR467))+1,"")</f>
        <v/>
      </c>
      <c r="AP467">
        <f>IF($E467="","",IF(OR($U467=TRUE(),$U467="TRUE"),1,0))</f>
        <v/>
      </c>
      <c r="AQ467">
        <f>IF($E467="","",IF($AA467="Yes",1,0))</f>
        <v/>
      </c>
      <c r="AR467">
        <f>IF($AN467=1,IFERROR(VALUE(MID($E467,2,20)),1000000000)+ROW()/100000,"")</f>
        <v/>
      </c>
    </row>
    <row r="468">
      <c r="G468" s="11" t="n"/>
      <c r="Q468" s="7">
        <f>IF($E468="","",P468*Y468/100)</f>
        <v/>
      </c>
      <c r="R468" s="7" t="n"/>
      <c r="X468" s="7" t="n"/>
      <c r="Y468" s="7" t="n"/>
      <c r="AB468">
        <f>IF($E468="","",IF($AQ468=1,0,IF($AP468=1,Settings!$C$6,Settings!$C$7))*100)</f>
        <v/>
      </c>
      <c r="AC468" s="7">
        <f>IF($E468="","",Y468*AB468/100)</f>
        <v/>
      </c>
      <c r="AD468" s="7">
        <f>IF($E468="","",Y468-AC468)</f>
        <v/>
      </c>
      <c r="AE468" s="7">
        <f>IF($E468="","",AD468-Q468)</f>
        <v/>
      </c>
      <c r="AI468" s="7" t="n"/>
      <c r="AL468" s="11" t="n"/>
      <c r="AN468">
        <f>IF($E468="","",IF(COUNTIF($E$2:$E468,$E468)=1,1,0))</f>
        <v/>
      </c>
      <c r="AO468">
        <f>IF($AN468=1,SUMPRODUCT(--($AR$2:$AR$4001&lt;$AR468))+1,"")</f>
        <v/>
      </c>
      <c r="AP468">
        <f>IF($E468="","",IF(OR($U468=TRUE(),$U468="TRUE"),1,0))</f>
        <v/>
      </c>
      <c r="AQ468">
        <f>IF($E468="","",IF($AA468="Yes",1,0))</f>
        <v/>
      </c>
      <c r="AR468">
        <f>IF($AN468=1,IFERROR(VALUE(MID($E468,2,20)),1000000000)+ROW()/100000,"")</f>
        <v/>
      </c>
    </row>
    <row r="469">
      <c r="G469" s="11" t="n"/>
      <c r="Q469" s="7">
        <f>IF($E469="","",P469*Y469/100)</f>
        <v/>
      </c>
      <c r="R469" s="7" t="n"/>
      <c r="X469" s="7" t="n"/>
      <c r="Y469" s="7" t="n"/>
      <c r="AB469">
        <f>IF($E469="","",IF($AQ469=1,0,IF($AP469=1,Settings!$C$6,Settings!$C$7))*100)</f>
        <v/>
      </c>
      <c r="AC469" s="7">
        <f>IF($E469="","",Y469*AB469/100)</f>
        <v/>
      </c>
      <c r="AD469" s="7">
        <f>IF($E469="","",Y469-AC469)</f>
        <v/>
      </c>
      <c r="AE469" s="7">
        <f>IF($E469="","",AD469-Q469)</f>
        <v/>
      </c>
      <c r="AI469" s="7" t="n"/>
      <c r="AL469" s="11" t="n"/>
      <c r="AN469">
        <f>IF($E469="","",IF(COUNTIF($E$2:$E469,$E469)=1,1,0))</f>
        <v/>
      </c>
      <c r="AO469">
        <f>IF($AN469=1,SUMPRODUCT(--($AR$2:$AR$4001&lt;$AR469))+1,"")</f>
        <v/>
      </c>
      <c r="AP469">
        <f>IF($E469="","",IF(OR($U469=TRUE(),$U469="TRUE"),1,0))</f>
        <v/>
      </c>
      <c r="AQ469">
        <f>IF($E469="","",IF($AA469="Yes",1,0))</f>
        <v/>
      </c>
      <c r="AR469">
        <f>IF($AN469=1,IFERROR(VALUE(MID($E469,2,20)),1000000000)+ROW()/100000,"")</f>
        <v/>
      </c>
    </row>
    <row r="470">
      <c r="G470" s="11" t="n"/>
      <c r="Q470" s="7">
        <f>IF($E470="","",P470*Y470/100)</f>
        <v/>
      </c>
      <c r="R470" s="7" t="n"/>
      <c r="X470" s="7" t="n"/>
      <c r="Y470" s="7" t="n"/>
      <c r="AB470">
        <f>IF($E470="","",IF($AQ470=1,0,IF($AP470=1,Settings!$C$6,Settings!$C$7))*100)</f>
        <v/>
      </c>
      <c r="AC470" s="7">
        <f>IF($E470="","",Y470*AB470/100)</f>
        <v/>
      </c>
      <c r="AD470" s="7">
        <f>IF($E470="","",Y470-AC470)</f>
        <v/>
      </c>
      <c r="AE470" s="7">
        <f>IF($E470="","",AD470-Q470)</f>
        <v/>
      </c>
      <c r="AI470" s="7" t="n"/>
      <c r="AL470" s="11" t="n"/>
      <c r="AN470">
        <f>IF($E470="","",IF(COUNTIF($E$2:$E470,$E470)=1,1,0))</f>
        <v/>
      </c>
      <c r="AO470">
        <f>IF($AN470=1,SUMPRODUCT(--($AR$2:$AR$4001&lt;$AR470))+1,"")</f>
        <v/>
      </c>
      <c r="AP470">
        <f>IF($E470="","",IF(OR($U470=TRUE(),$U470="TRUE"),1,0))</f>
        <v/>
      </c>
      <c r="AQ470">
        <f>IF($E470="","",IF($AA470="Yes",1,0))</f>
        <v/>
      </c>
      <c r="AR470">
        <f>IF($AN470=1,IFERROR(VALUE(MID($E470,2,20)),1000000000)+ROW()/100000,"")</f>
        <v/>
      </c>
    </row>
    <row r="471">
      <c r="G471" s="11" t="n"/>
      <c r="Q471" s="7">
        <f>IF($E471="","",P471*Y471/100)</f>
        <v/>
      </c>
      <c r="R471" s="7" t="n"/>
      <c r="X471" s="7" t="n"/>
      <c r="Y471" s="7" t="n"/>
      <c r="AB471">
        <f>IF($E471="","",IF($AQ471=1,0,IF($AP471=1,Settings!$C$6,Settings!$C$7))*100)</f>
        <v/>
      </c>
      <c r="AC471" s="7">
        <f>IF($E471="","",Y471*AB471/100)</f>
        <v/>
      </c>
      <c r="AD471" s="7">
        <f>IF($E471="","",Y471-AC471)</f>
        <v/>
      </c>
      <c r="AE471" s="7">
        <f>IF($E471="","",AD471-Q471)</f>
        <v/>
      </c>
      <c r="AI471" s="7" t="n"/>
      <c r="AL471" s="11" t="n"/>
      <c r="AN471">
        <f>IF($E471="","",IF(COUNTIF($E$2:$E471,$E471)=1,1,0))</f>
        <v/>
      </c>
      <c r="AO471">
        <f>IF($AN471=1,SUMPRODUCT(--($AR$2:$AR$4001&lt;$AR471))+1,"")</f>
        <v/>
      </c>
      <c r="AP471">
        <f>IF($E471="","",IF(OR($U471=TRUE(),$U471="TRUE"),1,0))</f>
        <v/>
      </c>
      <c r="AQ471">
        <f>IF($E471="","",IF($AA471="Yes",1,0))</f>
        <v/>
      </c>
      <c r="AR471">
        <f>IF($AN471=1,IFERROR(VALUE(MID($E471,2,20)),1000000000)+ROW()/100000,"")</f>
        <v/>
      </c>
    </row>
    <row r="472">
      <c r="G472" s="11" t="n"/>
      <c r="Q472" s="7">
        <f>IF($E472="","",P472*Y472/100)</f>
        <v/>
      </c>
      <c r="R472" s="7" t="n"/>
      <c r="X472" s="7" t="n"/>
      <c r="Y472" s="7" t="n"/>
      <c r="AB472">
        <f>IF($E472="","",IF($AQ472=1,0,IF($AP472=1,Settings!$C$6,Settings!$C$7))*100)</f>
        <v/>
      </c>
      <c r="AC472" s="7">
        <f>IF($E472="","",Y472*AB472/100)</f>
        <v/>
      </c>
      <c r="AD472" s="7">
        <f>IF($E472="","",Y472-AC472)</f>
        <v/>
      </c>
      <c r="AE472" s="7">
        <f>IF($E472="","",AD472-Q472)</f>
        <v/>
      </c>
      <c r="AI472" s="7" t="n"/>
      <c r="AL472" s="11" t="n"/>
      <c r="AN472">
        <f>IF($E472="","",IF(COUNTIF($E$2:$E472,$E472)=1,1,0))</f>
        <v/>
      </c>
      <c r="AO472">
        <f>IF($AN472=1,SUMPRODUCT(--($AR$2:$AR$4001&lt;$AR472))+1,"")</f>
        <v/>
      </c>
      <c r="AP472">
        <f>IF($E472="","",IF(OR($U472=TRUE(),$U472="TRUE"),1,0))</f>
        <v/>
      </c>
      <c r="AQ472">
        <f>IF($E472="","",IF($AA472="Yes",1,0))</f>
        <v/>
      </c>
      <c r="AR472">
        <f>IF($AN472=1,IFERROR(VALUE(MID($E472,2,20)),1000000000)+ROW()/100000,"")</f>
        <v/>
      </c>
    </row>
    <row r="473">
      <c r="G473" s="11" t="n"/>
      <c r="Q473" s="7">
        <f>IF($E473="","",P473*Y473/100)</f>
        <v/>
      </c>
      <c r="R473" s="7" t="n"/>
      <c r="X473" s="7" t="n"/>
      <c r="Y473" s="7" t="n"/>
      <c r="AB473">
        <f>IF($E473="","",IF($AQ473=1,0,IF($AP473=1,Settings!$C$6,Settings!$C$7))*100)</f>
        <v/>
      </c>
      <c r="AC473" s="7">
        <f>IF($E473="","",Y473*AB473/100)</f>
        <v/>
      </c>
      <c r="AD473" s="7">
        <f>IF($E473="","",Y473-AC473)</f>
        <v/>
      </c>
      <c r="AE473" s="7">
        <f>IF($E473="","",AD473-Q473)</f>
        <v/>
      </c>
      <c r="AI473" s="7" t="n"/>
      <c r="AL473" s="11" t="n"/>
      <c r="AN473">
        <f>IF($E473="","",IF(COUNTIF($E$2:$E473,$E473)=1,1,0))</f>
        <v/>
      </c>
      <c r="AO473">
        <f>IF($AN473=1,SUMPRODUCT(--($AR$2:$AR$4001&lt;$AR473))+1,"")</f>
        <v/>
      </c>
      <c r="AP473">
        <f>IF($E473="","",IF(OR($U473=TRUE(),$U473="TRUE"),1,0))</f>
        <v/>
      </c>
      <c r="AQ473">
        <f>IF($E473="","",IF($AA473="Yes",1,0))</f>
        <v/>
      </c>
      <c r="AR473">
        <f>IF($AN473=1,IFERROR(VALUE(MID($E473,2,20)),1000000000)+ROW()/100000,"")</f>
        <v/>
      </c>
    </row>
    <row r="474">
      <c r="G474" s="11" t="n"/>
      <c r="Q474" s="7">
        <f>IF($E474="","",P474*Y474/100)</f>
        <v/>
      </c>
      <c r="R474" s="7" t="n"/>
      <c r="X474" s="7" t="n"/>
      <c r="Y474" s="7" t="n"/>
      <c r="AB474">
        <f>IF($E474="","",IF($AQ474=1,0,IF($AP474=1,Settings!$C$6,Settings!$C$7))*100)</f>
        <v/>
      </c>
      <c r="AC474" s="7">
        <f>IF($E474="","",Y474*AB474/100)</f>
        <v/>
      </c>
      <c r="AD474" s="7">
        <f>IF($E474="","",Y474-AC474)</f>
        <v/>
      </c>
      <c r="AE474" s="7">
        <f>IF($E474="","",AD474-Q474)</f>
        <v/>
      </c>
      <c r="AI474" s="7" t="n"/>
      <c r="AL474" s="11" t="n"/>
      <c r="AN474">
        <f>IF($E474="","",IF(COUNTIF($E$2:$E474,$E474)=1,1,0))</f>
        <v/>
      </c>
      <c r="AO474">
        <f>IF($AN474=1,SUMPRODUCT(--($AR$2:$AR$4001&lt;$AR474))+1,"")</f>
        <v/>
      </c>
      <c r="AP474">
        <f>IF($E474="","",IF(OR($U474=TRUE(),$U474="TRUE"),1,0))</f>
        <v/>
      </c>
      <c r="AQ474">
        <f>IF($E474="","",IF($AA474="Yes",1,0))</f>
        <v/>
      </c>
      <c r="AR474">
        <f>IF($AN474=1,IFERROR(VALUE(MID($E474,2,20)),1000000000)+ROW()/100000,"")</f>
        <v/>
      </c>
    </row>
    <row r="475">
      <c r="G475" s="11" t="n"/>
      <c r="Q475" s="7">
        <f>IF($E475="","",P475*Y475/100)</f>
        <v/>
      </c>
      <c r="R475" s="7" t="n"/>
      <c r="X475" s="7" t="n"/>
      <c r="Y475" s="7" t="n"/>
      <c r="AB475">
        <f>IF($E475="","",IF($AQ475=1,0,IF($AP475=1,Settings!$C$6,Settings!$C$7))*100)</f>
        <v/>
      </c>
      <c r="AC475" s="7">
        <f>IF($E475="","",Y475*AB475/100)</f>
        <v/>
      </c>
      <c r="AD475" s="7">
        <f>IF($E475="","",Y475-AC475)</f>
        <v/>
      </c>
      <c r="AE475" s="7">
        <f>IF($E475="","",AD475-Q475)</f>
        <v/>
      </c>
      <c r="AI475" s="7" t="n"/>
      <c r="AL475" s="11" t="n"/>
      <c r="AN475">
        <f>IF($E475="","",IF(COUNTIF($E$2:$E475,$E475)=1,1,0))</f>
        <v/>
      </c>
      <c r="AO475">
        <f>IF($AN475=1,SUMPRODUCT(--($AR$2:$AR$4001&lt;$AR475))+1,"")</f>
        <v/>
      </c>
      <c r="AP475">
        <f>IF($E475="","",IF(OR($U475=TRUE(),$U475="TRUE"),1,0))</f>
        <v/>
      </c>
      <c r="AQ475">
        <f>IF($E475="","",IF($AA475="Yes",1,0))</f>
        <v/>
      </c>
      <c r="AR475">
        <f>IF($AN475=1,IFERROR(VALUE(MID($E475,2,20)),1000000000)+ROW()/100000,"")</f>
        <v/>
      </c>
    </row>
    <row r="476">
      <c r="G476" s="11" t="n"/>
      <c r="Q476" s="7">
        <f>IF($E476="","",P476*Y476/100)</f>
        <v/>
      </c>
      <c r="R476" s="7" t="n"/>
      <c r="X476" s="7" t="n"/>
      <c r="Y476" s="7" t="n"/>
      <c r="AB476">
        <f>IF($E476="","",IF($AQ476=1,0,IF($AP476=1,Settings!$C$6,Settings!$C$7))*100)</f>
        <v/>
      </c>
      <c r="AC476" s="7">
        <f>IF($E476="","",Y476*AB476/100)</f>
        <v/>
      </c>
      <c r="AD476" s="7">
        <f>IF($E476="","",Y476-AC476)</f>
        <v/>
      </c>
      <c r="AE476" s="7">
        <f>IF($E476="","",AD476-Q476)</f>
        <v/>
      </c>
      <c r="AI476" s="7" t="n"/>
      <c r="AL476" s="11" t="n"/>
      <c r="AN476">
        <f>IF($E476="","",IF(COUNTIF($E$2:$E476,$E476)=1,1,0))</f>
        <v/>
      </c>
      <c r="AO476">
        <f>IF($AN476=1,SUMPRODUCT(--($AR$2:$AR$4001&lt;$AR476))+1,"")</f>
        <v/>
      </c>
      <c r="AP476">
        <f>IF($E476="","",IF(OR($U476=TRUE(),$U476="TRUE"),1,0))</f>
        <v/>
      </c>
      <c r="AQ476">
        <f>IF($E476="","",IF($AA476="Yes",1,0))</f>
        <v/>
      </c>
      <c r="AR476">
        <f>IF($AN476=1,IFERROR(VALUE(MID($E476,2,20)),1000000000)+ROW()/100000,"")</f>
        <v/>
      </c>
    </row>
    <row r="477">
      <c r="G477" s="11" t="n"/>
      <c r="Q477" s="7">
        <f>IF($E477="","",P477*Y477/100)</f>
        <v/>
      </c>
      <c r="R477" s="7" t="n"/>
      <c r="X477" s="7" t="n"/>
      <c r="Y477" s="7" t="n"/>
      <c r="AB477">
        <f>IF($E477="","",IF($AQ477=1,0,IF($AP477=1,Settings!$C$6,Settings!$C$7))*100)</f>
        <v/>
      </c>
      <c r="AC477" s="7">
        <f>IF($E477="","",Y477*AB477/100)</f>
        <v/>
      </c>
      <c r="AD477" s="7">
        <f>IF($E477="","",Y477-AC477)</f>
        <v/>
      </c>
      <c r="AE477" s="7">
        <f>IF($E477="","",AD477-Q477)</f>
        <v/>
      </c>
      <c r="AI477" s="7" t="n"/>
      <c r="AL477" s="11" t="n"/>
      <c r="AN477">
        <f>IF($E477="","",IF(COUNTIF($E$2:$E477,$E477)=1,1,0))</f>
        <v/>
      </c>
      <c r="AO477">
        <f>IF($AN477=1,SUMPRODUCT(--($AR$2:$AR$4001&lt;$AR477))+1,"")</f>
        <v/>
      </c>
      <c r="AP477">
        <f>IF($E477="","",IF(OR($U477=TRUE(),$U477="TRUE"),1,0))</f>
        <v/>
      </c>
      <c r="AQ477">
        <f>IF($E477="","",IF($AA477="Yes",1,0))</f>
        <v/>
      </c>
      <c r="AR477">
        <f>IF($AN477=1,IFERROR(VALUE(MID($E477,2,20)),1000000000)+ROW()/100000,"")</f>
        <v/>
      </c>
    </row>
    <row r="478">
      <c r="G478" s="11" t="n"/>
      <c r="Q478" s="7">
        <f>IF($E478="","",P478*Y478/100)</f>
        <v/>
      </c>
      <c r="R478" s="7" t="n"/>
      <c r="X478" s="7" t="n"/>
      <c r="Y478" s="7" t="n"/>
      <c r="AB478">
        <f>IF($E478="","",IF($AQ478=1,0,IF($AP478=1,Settings!$C$6,Settings!$C$7))*100)</f>
        <v/>
      </c>
      <c r="AC478" s="7">
        <f>IF($E478="","",Y478*AB478/100)</f>
        <v/>
      </c>
      <c r="AD478" s="7">
        <f>IF($E478="","",Y478-AC478)</f>
        <v/>
      </c>
      <c r="AE478" s="7">
        <f>IF($E478="","",AD478-Q478)</f>
        <v/>
      </c>
      <c r="AI478" s="7" t="n"/>
      <c r="AL478" s="11" t="n"/>
      <c r="AN478">
        <f>IF($E478="","",IF(COUNTIF($E$2:$E478,$E478)=1,1,0))</f>
        <v/>
      </c>
      <c r="AO478">
        <f>IF($AN478=1,SUMPRODUCT(--($AR$2:$AR$4001&lt;$AR478))+1,"")</f>
        <v/>
      </c>
      <c r="AP478">
        <f>IF($E478="","",IF(OR($U478=TRUE(),$U478="TRUE"),1,0))</f>
        <v/>
      </c>
      <c r="AQ478">
        <f>IF($E478="","",IF($AA478="Yes",1,0))</f>
        <v/>
      </c>
      <c r="AR478">
        <f>IF($AN478=1,IFERROR(VALUE(MID($E478,2,20)),1000000000)+ROW()/100000,"")</f>
        <v/>
      </c>
    </row>
    <row r="479">
      <c r="G479" s="11" t="n"/>
      <c r="Q479" s="7">
        <f>IF($E479="","",P479*Y479/100)</f>
        <v/>
      </c>
      <c r="R479" s="7" t="n"/>
      <c r="X479" s="7" t="n"/>
      <c r="Y479" s="7" t="n"/>
      <c r="AB479">
        <f>IF($E479="","",IF($AQ479=1,0,IF($AP479=1,Settings!$C$6,Settings!$C$7))*100)</f>
        <v/>
      </c>
      <c r="AC479" s="7">
        <f>IF($E479="","",Y479*AB479/100)</f>
        <v/>
      </c>
      <c r="AD479" s="7">
        <f>IF($E479="","",Y479-AC479)</f>
        <v/>
      </c>
      <c r="AE479" s="7">
        <f>IF($E479="","",AD479-Q479)</f>
        <v/>
      </c>
      <c r="AI479" s="7" t="n"/>
      <c r="AL479" s="11" t="n"/>
      <c r="AN479">
        <f>IF($E479="","",IF(COUNTIF($E$2:$E479,$E479)=1,1,0))</f>
        <v/>
      </c>
      <c r="AO479">
        <f>IF($AN479=1,SUMPRODUCT(--($AR$2:$AR$4001&lt;$AR479))+1,"")</f>
        <v/>
      </c>
      <c r="AP479">
        <f>IF($E479="","",IF(OR($U479=TRUE(),$U479="TRUE"),1,0))</f>
        <v/>
      </c>
      <c r="AQ479">
        <f>IF($E479="","",IF($AA479="Yes",1,0))</f>
        <v/>
      </c>
      <c r="AR479">
        <f>IF($AN479=1,IFERROR(VALUE(MID($E479,2,20)),1000000000)+ROW()/100000,"")</f>
        <v/>
      </c>
    </row>
    <row r="480">
      <c r="G480" s="11" t="n"/>
      <c r="Q480" s="7">
        <f>IF($E480="","",P480*Y480/100)</f>
        <v/>
      </c>
      <c r="R480" s="7" t="n"/>
      <c r="X480" s="7" t="n"/>
      <c r="Y480" s="7" t="n"/>
      <c r="AB480">
        <f>IF($E480="","",IF($AQ480=1,0,IF($AP480=1,Settings!$C$6,Settings!$C$7))*100)</f>
        <v/>
      </c>
      <c r="AC480" s="7">
        <f>IF($E480="","",Y480*AB480/100)</f>
        <v/>
      </c>
      <c r="AD480" s="7">
        <f>IF($E480="","",Y480-AC480)</f>
        <v/>
      </c>
      <c r="AE480" s="7">
        <f>IF($E480="","",AD480-Q480)</f>
        <v/>
      </c>
      <c r="AI480" s="7" t="n"/>
      <c r="AL480" s="11" t="n"/>
      <c r="AN480">
        <f>IF($E480="","",IF(COUNTIF($E$2:$E480,$E480)=1,1,0))</f>
        <v/>
      </c>
      <c r="AO480">
        <f>IF($AN480=1,SUMPRODUCT(--($AR$2:$AR$4001&lt;$AR480))+1,"")</f>
        <v/>
      </c>
      <c r="AP480">
        <f>IF($E480="","",IF(OR($U480=TRUE(),$U480="TRUE"),1,0))</f>
        <v/>
      </c>
      <c r="AQ480">
        <f>IF($E480="","",IF($AA480="Yes",1,0))</f>
        <v/>
      </c>
      <c r="AR480">
        <f>IF($AN480=1,IFERROR(VALUE(MID($E480,2,20)),1000000000)+ROW()/100000,"")</f>
        <v/>
      </c>
    </row>
    <row r="481">
      <c r="G481" s="11" t="n"/>
      <c r="Q481" s="7">
        <f>IF($E481="","",P481*Y481/100)</f>
        <v/>
      </c>
      <c r="R481" s="7" t="n"/>
      <c r="X481" s="7" t="n"/>
      <c r="Y481" s="7" t="n"/>
      <c r="AB481">
        <f>IF($E481="","",IF($AQ481=1,0,IF($AP481=1,Settings!$C$6,Settings!$C$7))*100)</f>
        <v/>
      </c>
      <c r="AC481" s="7">
        <f>IF($E481="","",Y481*AB481/100)</f>
        <v/>
      </c>
      <c r="AD481" s="7">
        <f>IF($E481="","",Y481-AC481)</f>
        <v/>
      </c>
      <c r="AE481" s="7">
        <f>IF($E481="","",AD481-Q481)</f>
        <v/>
      </c>
      <c r="AI481" s="7" t="n"/>
      <c r="AL481" s="11" t="n"/>
      <c r="AN481">
        <f>IF($E481="","",IF(COUNTIF($E$2:$E481,$E481)=1,1,0))</f>
        <v/>
      </c>
      <c r="AO481">
        <f>IF($AN481=1,SUMPRODUCT(--($AR$2:$AR$4001&lt;$AR481))+1,"")</f>
        <v/>
      </c>
      <c r="AP481">
        <f>IF($E481="","",IF(OR($U481=TRUE(),$U481="TRUE"),1,0))</f>
        <v/>
      </c>
      <c r="AQ481">
        <f>IF($E481="","",IF($AA481="Yes",1,0))</f>
        <v/>
      </c>
      <c r="AR481">
        <f>IF($AN481=1,IFERROR(VALUE(MID($E481,2,20)),1000000000)+ROW()/100000,"")</f>
        <v/>
      </c>
    </row>
    <row r="482">
      <c r="G482" s="11" t="n"/>
      <c r="Q482" s="7">
        <f>IF($E482="","",P482*Y482/100)</f>
        <v/>
      </c>
      <c r="R482" s="7" t="n"/>
      <c r="X482" s="7" t="n"/>
      <c r="Y482" s="7" t="n"/>
      <c r="AB482">
        <f>IF($E482="","",IF($AQ482=1,0,IF($AP482=1,Settings!$C$6,Settings!$C$7))*100)</f>
        <v/>
      </c>
      <c r="AC482" s="7">
        <f>IF($E482="","",Y482*AB482/100)</f>
        <v/>
      </c>
      <c r="AD482" s="7">
        <f>IF($E482="","",Y482-AC482)</f>
        <v/>
      </c>
      <c r="AE482" s="7">
        <f>IF($E482="","",AD482-Q482)</f>
        <v/>
      </c>
      <c r="AI482" s="7" t="n"/>
      <c r="AL482" s="11" t="n"/>
      <c r="AN482">
        <f>IF($E482="","",IF(COUNTIF($E$2:$E482,$E482)=1,1,0))</f>
        <v/>
      </c>
      <c r="AO482">
        <f>IF($AN482=1,SUMPRODUCT(--($AR$2:$AR$4001&lt;$AR482))+1,"")</f>
        <v/>
      </c>
      <c r="AP482">
        <f>IF($E482="","",IF(OR($U482=TRUE(),$U482="TRUE"),1,0))</f>
        <v/>
      </c>
      <c r="AQ482">
        <f>IF($E482="","",IF($AA482="Yes",1,0))</f>
        <v/>
      </c>
      <c r="AR482">
        <f>IF($AN482=1,IFERROR(VALUE(MID($E482,2,20)),1000000000)+ROW()/100000,"")</f>
        <v/>
      </c>
    </row>
    <row r="483">
      <c r="G483" s="11" t="n"/>
      <c r="Q483" s="7">
        <f>IF($E483="","",P483*Y483/100)</f>
        <v/>
      </c>
      <c r="R483" s="7" t="n"/>
      <c r="X483" s="7" t="n"/>
      <c r="Y483" s="7" t="n"/>
      <c r="AB483">
        <f>IF($E483="","",IF($AQ483=1,0,IF($AP483=1,Settings!$C$6,Settings!$C$7))*100)</f>
        <v/>
      </c>
      <c r="AC483" s="7">
        <f>IF($E483="","",Y483*AB483/100)</f>
        <v/>
      </c>
      <c r="AD483" s="7">
        <f>IF($E483="","",Y483-AC483)</f>
        <v/>
      </c>
      <c r="AE483" s="7">
        <f>IF($E483="","",AD483-Q483)</f>
        <v/>
      </c>
      <c r="AI483" s="7" t="n"/>
      <c r="AL483" s="11" t="n"/>
      <c r="AN483">
        <f>IF($E483="","",IF(COUNTIF($E$2:$E483,$E483)=1,1,0))</f>
        <v/>
      </c>
      <c r="AO483">
        <f>IF($AN483=1,SUMPRODUCT(--($AR$2:$AR$4001&lt;$AR483))+1,"")</f>
        <v/>
      </c>
      <c r="AP483">
        <f>IF($E483="","",IF(OR($U483=TRUE(),$U483="TRUE"),1,0))</f>
        <v/>
      </c>
      <c r="AQ483">
        <f>IF($E483="","",IF($AA483="Yes",1,0))</f>
        <v/>
      </c>
      <c r="AR483">
        <f>IF($AN483=1,IFERROR(VALUE(MID($E483,2,20)),1000000000)+ROW()/100000,"")</f>
        <v/>
      </c>
    </row>
    <row r="484">
      <c r="G484" s="11" t="n"/>
      <c r="Q484" s="7">
        <f>IF($E484="","",P484*Y484/100)</f>
        <v/>
      </c>
      <c r="R484" s="7" t="n"/>
      <c r="X484" s="7" t="n"/>
      <c r="Y484" s="7" t="n"/>
      <c r="AB484">
        <f>IF($E484="","",IF($AQ484=1,0,IF($AP484=1,Settings!$C$6,Settings!$C$7))*100)</f>
        <v/>
      </c>
      <c r="AC484" s="7">
        <f>IF($E484="","",Y484*AB484/100)</f>
        <v/>
      </c>
      <c r="AD484" s="7">
        <f>IF($E484="","",Y484-AC484)</f>
        <v/>
      </c>
      <c r="AE484" s="7">
        <f>IF($E484="","",AD484-Q484)</f>
        <v/>
      </c>
      <c r="AI484" s="7" t="n"/>
      <c r="AL484" s="11" t="n"/>
      <c r="AN484">
        <f>IF($E484="","",IF(COUNTIF($E$2:$E484,$E484)=1,1,0))</f>
        <v/>
      </c>
      <c r="AO484">
        <f>IF($AN484=1,SUMPRODUCT(--($AR$2:$AR$4001&lt;$AR484))+1,"")</f>
        <v/>
      </c>
      <c r="AP484">
        <f>IF($E484="","",IF(OR($U484=TRUE(),$U484="TRUE"),1,0))</f>
        <v/>
      </c>
      <c r="AQ484">
        <f>IF($E484="","",IF($AA484="Yes",1,0))</f>
        <v/>
      </c>
      <c r="AR484">
        <f>IF($AN484=1,IFERROR(VALUE(MID($E484,2,20)),1000000000)+ROW()/100000,"")</f>
        <v/>
      </c>
    </row>
    <row r="485">
      <c r="G485" s="11" t="n"/>
      <c r="Q485" s="7">
        <f>IF($E485="","",P485*Y485/100)</f>
        <v/>
      </c>
      <c r="R485" s="7" t="n"/>
      <c r="X485" s="7" t="n"/>
      <c r="Y485" s="7" t="n"/>
      <c r="AB485">
        <f>IF($E485="","",IF($AQ485=1,0,IF($AP485=1,Settings!$C$6,Settings!$C$7))*100)</f>
        <v/>
      </c>
      <c r="AC485" s="7">
        <f>IF($E485="","",Y485*AB485/100)</f>
        <v/>
      </c>
      <c r="AD485" s="7">
        <f>IF($E485="","",Y485-AC485)</f>
        <v/>
      </c>
      <c r="AE485" s="7">
        <f>IF($E485="","",AD485-Q485)</f>
        <v/>
      </c>
      <c r="AI485" s="7" t="n"/>
      <c r="AL485" s="11" t="n"/>
      <c r="AN485">
        <f>IF($E485="","",IF(COUNTIF($E$2:$E485,$E485)=1,1,0))</f>
        <v/>
      </c>
      <c r="AO485">
        <f>IF($AN485=1,SUMPRODUCT(--($AR$2:$AR$4001&lt;$AR485))+1,"")</f>
        <v/>
      </c>
      <c r="AP485">
        <f>IF($E485="","",IF(OR($U485=TRUE(),$U485="TRUE"),1,0))</f>
        <v/>
      </c>
      <c r="AQ485">
        <f>IF($E485="","",IF($AA485="Yes",1,0))</f>
        <v/>
      </c>
      <c r="AR485">
        <f>IF($AN485=1,IFERROR(VALUE(MID($E485,2,20)),1000000000)+ROW()/100000,"")</f>
        <v/>
      </c>
    </row>
    <row r="486">
      <c r="G486" s="11" t="n"/>
      <c r="Q486" s="7">
        <f>IF($E486="","",P486*Y486/100)</f>
        <v/>
      </c>
      <c r="R486" s="7" t="n"/>
      <c r="X486" s="7" t="n"/>
      <c r="Y486" s="7" t="n"/>
      <c r="AB486">
        <f>IF($E486="","",IF($AQ486=1,0,IF($AP486=1,Settings!$C$6,Settings!$C$7))*100)</f>
        <v/>
      </c>
      <c r="AC486" s="7">
        <f>IF($E486="","",Y486*AB486/100)</f>
        <v/>
      </c>
      <c r="AD486" s="7">
        <f>IF($E486="","",Y486-AC486)</f>
        <v/>
      </c>
      <c r="AE486" s="7">
        <f>IF($E486="","",AD486-Q486)</f>
        <v/>
      </c>
      <c r="AI486" s="7" t="n"/>
      <c r="AL486" s="11" t="n"/>
      <c r="AN486">
        <f>IF($E486="","",IF(COUNTIF($E$2:$E486,$E486)=1,1,0))</f>
        <v/>
      </c>
      <c r="AO486">
        <f>IF($AN486=1,SUMPRODUCT(--($AR$2:$AR$4001&lt;$AR486))+1,"")</f>
        <v/>
      </c>
      <c r="AP486">
        <f>IF($E486="","",IF(OR($U486=TRUE(),$U486="TRUE"),1,0))</f>
        <v/>
      </c>
      <c r="AQ486">
        <f>IF($E486="","",IF($AA486="Yes",1,0))</f>
        <v/>
      </c>
      <c r="AR486">
        <f>IF($AN486=1,IFERROR(VALUE(MID($E486,2,20)),1000000000)+ROW()/100000,"")</f>
        <v/>
      </c>
    </row>
    <row r="487">
      <c r="G487" s="11" t="n"/>
      <c r="Q487" s="7">
        <f>IF($E487="","",P487*Y487/100)</f>
        <v/>
      </c>
      <c r="R487" s="7" t="n"/>
      <c r="X487" s="7" t="n"/>
      <c r="Y487" s="7" t="n"/>
      <c r="AB487">
        <f>IF($E487="","",IF($AQ487=1,0,IF($AP487=1,Settings!$C$6,Settings!$C$7))*100)</f>
        <v/>
      </c>
      <c r="AC487" s="7">
        <f>IF($E487="","",Y487*AB487/100)</f>
        <v/>
      </c>
      <c r="AD487" s="7">
        <f>IF($E487="","",Y487-AC487)</f>
        <v/>
      </c>
      <c r="AE487" s="7">
        <f>IF($E487="","",AD487-Q487)</f>
        <v/>
      </c>
      <c r="AI487" s="7" t="n"/>
      <c r="AL487" s="11" t="n"/>
      <c r="AN487">
        <f>IF($E487="","",IF(COUNTIF($E$2:$E487,$E487)=1,1,0))</f>
        <v/>
      </c>
      <c r="AO487">
        <f>IF($AN487=1,SUMPRODUCT(--($AR$2:$AR$4001&lt;$AR487))+1,"")</f>
        <v/>
      </c>
      <c r="AP487">
        <f>IF($E487="","",IF(OR($U487=TRUE(),$U487="TRUE"),1,0))</f>
        <v/>
      </c>
      <c r="AQ487">
        <f>IF($E487="","",IF($AA487="Yes",1,0))</f>
        <v/>
      </c>
      <c r="AR487">
        <f>IF($AN487=1,IFERROR(VALUE(MID($E487,2,20)),1000000000)+ROW()/100000,"")</f>
        <v/>
      </c>
    </row>
    <row r="488">
      <c r="G488" s="11" t="n"/>
      <c r="Q488" s="7">
        <f>IF($E488="","",P488*Y488/100)</f>
        <v/>
      </c>
      <c r="R488" s="7" t="n"/>
      <c r="X488" s="7" t="n"/>
      <c r="Y488" s="7" t="n"/>
      <c r="AB488">
        <f>IF($E488="","",IF($AQ488=1,0,IF($AP488=1,Settings!$C$6,Settings!$C$7))*100)</f>
        <v/>
      </c>
      <c r="AC488" s="7">
        <f>IF($E488="","",Y488*AB488/100)</f>
        <v/>
      </c>
      <c r="AD488" s="7">
        <f>IF($E488="","",Y488-AC488)</f>
        <v/>
      </c>
      <c r="AE488" s="7">
        <f>IF($E488="","",AD488-Q488)</f>
        <v/>
      </c>
      <c r="AI488" s="7" t="n"/>
      <c r="AL488" s="11" t="n"/>
      <c r="AN488">
        <f>IF($E488="","",IF(COUNTIF($E$2:$E488,$E488)=1,1,0))</f>
        <v/>
      </c>
      <c r="AO488">
        <f>IF($AN488=1,SUMPRODUCT(--($AR$2:$AR$4001&lt;$AR488))+1,"")</f>
        <v/>
      </c>
      <c r="AP488">
        <f>IF($E488="","",IF(OR($U488=TRUE(),$U488="TRUE"),1,0))</f>
        <v/>
      </c>
      <c r="AQ488">
        <f>IF($E488="","",IF($AA488="Yes",1,0))</f>
        <v/>
      </c>
      <c r="AR488">
        <f>IF($AN488=1,IFERROR(VALUE(MID($E488,2,20)),1000000000)+ROW()/100000,"")</f>
        <v/>
      </c>
    </row>
    <row r="489">
      <c r="G489" s="11" t="n"/>
      <c r="Q489" s="7">
        <f>IF($E489="","",P489*Y489/100)</f>
        <v/>
      </c>
      <c r="R489" s="7" t="n"/>
      <c r="X489" s="7" t="n"/>
      <c r="Y489" s="7" t="n"/>
      <c r="AB489">
        <f>IF($E489="","",IF($AQ489=1,0,IF($AP489=1,Settings!$C$6,Settings!$C$7))*100)</f>
        <v/>
      </c>
      <c r="AC489" s="7">
        <f>IF($E489="","",Y489*AB489/100)</f>
        <v/>
      </c>
      <c r="AD489" s="7">
        <f>IF($E489="","",Y489-AC489)</f>
        <v/>
      </c>
      <c r="AE489" s="7">
        <f>IF($E489="","",AD489-Q489)</f>
        <v/>
      </c>
      <c r="AI489" s="7" t="n"/>
      <c r="AL489" s="11" t="n"/>
      <c r="AN489">
        <f>IF($E489="","",IF(COUNTIF($E$2:$E489,$E489)=1,1,0))</f>
        <v/>
      </c>
      <c r="AO489">
        <f>IF($AN489=1,SUMPRODUCT(--($AR$2:$AR$4001&lt;$AR489))+1,"")</f>
        <v/>
      </c>
      <c r="AP489">
        <f>IF($E489="","",IF(OR($U489=TRUE(),$U489="TRUE"),1,0))</f>
        <v/>
      </c>
      <c r="AQ489">
        <f>IF($E489="","",IF($AA489="Yes",1,0))</f>
        <v/>
      </c>
      <c r="AR489">
        <f>IF($AN489=1,IFERROR(VALUE(MID($E489,2,20)),1000000000)+ROW()/100000,"")</f>
        <v/>
      </c>
    </row>
    <row r="490">
      <c r="G490" s="11" t="n"/>
      <c r="Q490" s="7">
        <f>IF($E490="","",P490*Y490/100)</f>
        <v/>
      </c>
      <c r="R490" s="7" t="n"/>
      <c r="X490" s="7" t="n"/>
      <c r="Y490" s="7" t="n"/>
      <c r="AB490">
        <f>IF($E490="","",IF($AQ490=1,0,IF($AP490=1,Settings!$C$6,Settings!$C$7))*100)</f>
        <v/>
      </c>
      <c r="AC490" s="7">
        <f>IF($E490="","",Y490*AB490/100)</f>
        <v/>
      </c>
      <c r="AD490" s="7">
        <f>IF($E490="","",Y490-AC490)</f>
        <v/>
      </c>
      <c r="AE490" s="7">
        <f>IF($E490="","",AD490-Q490)</f>
        <v/>
      </c>
      <c r="AI490" s="7" t="n"/>
      <c r="AL490" s="11" t="n"/>
      <c r="AN490">
        <f>IF($E490="","",IF(COUNTIF($E$2:$E490,$E490)=1,1,0))</f>
        <v/>
      </c>
      <c r="AO490">
        <f>IF($AN490=1,SUMPRODUCT(--($AR$2:$AR$4001&lt;$AR490))+1,"")</f>
        <v/>
      </c>
      <c r="AP490">
        <f>IF($E490="","",IF(OR($U490=TRUE(),$U490="TRUE"),1,0))</f>
        <v/>
      </c>
      <c r="AQ490">
        <f>IF($E490="","",IF($AA490="Yes",1,0))</f>
        <v/>
      </c>
      <c r="AR490">
        <f>IF($AN490=1,IFERROR(VALUE(MID($E490,2,20)),1000000000)+ROW()/100000,"")</f>
        <v/>
      </c>
    </row>
    <row r="491">
      <c r="G491" s="11" t="n"/>
      <c r="Q491" s="7">
        <f>IF($E491="","",P491*Y491/100)</f>
        <v/>
      </c>
      <c r="R491" s="7" t="n"/>
      <c r="X491" s="7" t="n"/>
      <c r="Y491" s="7" t="n"/>
      <c r="AB491">
        <f>IF($E491="","",IF($AQ491=1,0,IF($AP491=1,Settings!$C$6,Settings!$C$7))*100)</f>
        <v/>
      </c>
      <c r="AC491" s="7">
        <f>IF($E491="","",Y491*AB491/100)</f>
        <v/>
      </c>
      <c r="AD491" s="7">
        <f>IF($E491="","",Y491-AC491)</f>
        <v/>
      </c>
      <c r="AE491" s="7">
        <f>IF($E491="","",AD491-Q491)</f>
        <v/>
      </c>
      <c r="AI491" s="7" t="n"/>
      <c r="AL491" s="11" t="n"/>
      <c r="AN491">
        <f>IF($E491="","",IF(COUNTIF($E$2:$E491,$E491)=1,1,0))</f>
        <v/>
      </c>
      <c r="AO491">
        <f>IF($AN491=1,SUMPRODUCT(--($AR$2:$AR$4001&lt;$AR491))+1,"")</f>
        <v/>
      </c>
      <c r="AP491">
        <f>IF($E491="","",IF(OR($U491=TRUE(),$U491="TRUE"),1,0))</f>
        <v/>
      </c>
      <c r="AQ491">
        <f>IF($E491="","",IF($AA491="Yes",1,0))</f>
        <v/>
      </c>
      <c r="AR491">
        <f>IF($AN491=1,IFERROR(VALUE(MID($E491,2,20)),1000000000)+ROW()/100000,"")</f>
        <v/>
      </c>
    </row>
    <row r="492">
      <c r="G492" s="11" t="n"/>
      <c r="Q492" s="7">
        <f>IF($E492="","",P492*Y492/100)</f>
        <v/>
      </c>
      <c r="R492" s="7" t="n"/>
      <c r="X492" s="7" t="n"/>
      <c r="Y492" s="7" t="n"/>
      <c r="AB492">
        <f>IF($E492="","",IF($AQ492=1,0,IF($AP492=1,Settings!$C$6,Settings!$C$7))*100)</f>
        <v/>
      </c>
      <c r="AC492" s="7">
        <f>IF($E492="","",Y492*AB492/100)</f>
        <v/>
      </c>
      <c r="AD492" s="7">
        <f>IF($E492="","",Y492-AC492)</f>
        <v/>
      </c>
      <c r="AE492" s="7">
        <f>IF($E492="","",AD492-Q492)</f>
        <v/>
      </c>
      <c r="AI492" s="7" t="n"/>
      <c r="AL492" s="11" t="n"/>
      <c r="AN492">
        <f>IF($E492="","",IF(COUNTIF($E$2:$E492,$E492)=1,1,0))</f>
        <v/>
      </c>
      <c r="AO492">
        <f>IF($AN492=1,SUMPRODUCT(--($AR$2:$AR$4001&lt;$AR492))+1,"")</f>
        <v/>
      </c>
      <c r="AP492">
        <f>IF($E492="","",IF(OR($U492=TRUE(),$U492="TRUE"),1,0))</f>
        <v/>
      </c>
      <c r="AQ492">
        <f>IF($E492="","",IF($AA492="Yes",1,0))</f>
        <v/>
      </c>
      <c r="AR492">
        <f>IF($AN492=1,IFERROR(VALUE(MID($E492,2,20)),1000000000)+ROW()/100000,"")</f>
        <v/>
      </c>
    </row>
    <row r="493">
      <c r="G493" s="11" t="n"/>
      <c r="Q493" s="7">
        <f>IF($E493="","",P493*Y493/100)</f>
        <v/>
      </c>
      <c r="R493" s="7" t="n"/>
      <c r="X493" s="7" t="n"/>
      <c r="Y493" s="7" t="n"/>
      <c r="AB493">
        <f>IF($E493="","",IF($AQ493=1,0,IF($AP493=1,Settings!$C$6,Settings!$C$7))*100)</f>
        <v/>
      </c>
      <c r="AC493" s="7">
        <f>IF($E493="","",Y493*AB493/100)</f>
        <v/>
      </c>
      <c r="AD493" s="7">
        <f>IF($E493="","",Y493-AC493)</f>
        <v/>
      </c>
      <c r="AE493" s="7">
        <f>IF($E493="","",AD493-Q493)</f>
        <v/>
      </c>
      <c r="AI493" s="7" t="n"/>
      <c r="AL493" s="11" t="n"/>
      <c r="AN493">
        <f>IF($E493="","",IF(COUNTIF($E$2:$E493,$E493)=1,1,0))</f>
        <v/>
      </c>
      <c r="AO493">
        <f>IF($AN493=1,SUMPRODUCT(--($AR$2:$AR$4001&lt;$AR493))+1,"")</f>
        <v/>
      </c>
      <c r="AP493">
        <f>IF($E493="","",IF(OR($U493=TRUE(),$U493="TRUE"),1,0))</f>
        <v/>
      </c>
      <c r="AQ493">
        <f>IF($E493="","",IF($AA493="Yes",1,0))</f>
        <v/>
      </c>
      <c r="AR493">
        <f>IF($AN493=1,IFERROR(VALUE(MID($E493,2,20)),1000000000)+ROW()/100000,"")</f>
        <v/>
      </c>
    </row>
    <row r="494">
      <c r="G494" s="11" t="n"/>
      <c r="Q494" s="7">
        <f>IF($E494="","",P494*Y494/100)</f>
        <v/>
      </c>
      <c r="R494" s="7" t="n"/>
      <c r="X494" s="7" t="n"/>
      <c r="Y494" s="7" t="n"/>
      <c r="AB494">
        <f>IF($E494="","",IF($AQ494=1,0,IF($AP494=1,Settings!$C$6,Settings!$C$7))*100)</f>
        <v/>
      </c>
      <c r="AC494" s="7">
        <f>IF($E494="","",Y494*AB494/100)</f>
        <v/>
      </c>
      <c r="AD494" s="7">
        <f>IF($E494="","",Y494-AC494)</f>
        <v/>
      </c>
      <c r="AE494" s="7">
        <f>IF($E494="","",AD494-Q494)</f>
        <v/>
      </c>
      <c r="AI494" s="7" t="n"/>
      <c r="AL494" s="11" t="n"/>
      <c r="AN494">
        <f>IF($E494="","",IF(COUNTIF($E$2:$E494,$E494)=1,1,0))</f>
        <v/>
      </c>
      <c r="AO494">
        <f>IF($AN494=1,SUMPRODUCT(--($AR$2:$AR$4001&lt;$AR494))+1,"")</f>
        <v/>
      </c>
      <c r="AP494">
        <f>IF($E494="","",IF(OR($U494=TRUE(),$U494="TRUE"),1,0))</f>
        <v/>
      </c>
      <c r="AQ494">
        <f>IF($E494="","",IF($AA494="Yes",1,0))</f>
        <v/>
      </c>
      <c r="AR494">
        <f>IF($AN494=1,IFERROR(VALUE(MID($E494,2,20)),1000000000)+ROW()/100000,"")</f>
        <v/>
      </c>
    </row>
    <row r="495">
      <c r="G495" s="11" t="n"/>
      <c r="Q495" s="7">
        <f>IF($E495="","",P495*Y495/100)</f>
        <v/>
      </c>
      <c r="R495" s="7" t="n"/>
      <c r="X495" s="7" t="n"/>
      <c r="Y495" s="7" t="n"/>
      <c r="AB495">
        <f>IF($E495="","",IF($AQ495=1,0,IF($AP495=1,Settings!$C$6,Settings!$C$7))*100)</f>
        <v/>
      </c>
      <c r="AC495" s="7">
        <f>IF($E495="","",Y495*AB495/100)</f>
        <v/>
      </c>
      <c r="AD495" s="7">
        <f>IF($E495="","",Y495-AC495)</f>
        <v/>
      </c>
      <c r="AE495" s="7">
        <f>IF($E495="","",AD495-Q495)</f>
        <v/>
      </c>
      <c r="AI495" s="7" t="n"/>
      <c r="AL495" s="11" t="n"/>
      <c r="AN495">
        <f>IF($E495="","",IF(COUNTIF($E$2:$E495,$E495)=1,1,0))</f>
        <v/>
      </c>
      <c r="AO495">
        <f>IF($AN495=1,SUMPRODUCT(--($AR$2:$AR$4001&lt;$AR495))+1,"")</f>
        <v/>
      </c>
      <c r="AP495">
        <f>IF($E495="","",IF(OR($U495=TRUE(),$U495="TRUE"),1,0))</f>
        <v/>
      </c>
      <c r="AQ495">
        <f>IF($E495="","",IF($AA495="Yes",1,0))</f>
        <v/>
      </c>
      <c r="AR495">
        <f>IF($AN495=1,IFERROR(VALUE(MID($E495,2,20)),1000000000)+ROW()/100000,"")</f>
        <v/>
      </c>
    </row>
    <row r="496">
      <c r="G496" s="11" t="n"/>
      <c r="Q496" s="7">
        <f>IF($E496="","",P496*Y496/100)</f>
        <v/>
      </c>
      <c r="R496" s="7" t="n"/>
      <c r="X496" s="7" t="n"/>
      <c r="Y496" s="7" t="n"/>
      <c r="AB496">
        <f>IF($E496="","",IF($AQ496=1,0,IF($AP496=1,Settings!$C$6,Settings!$C$7))*100)</f>
        <v/>
      </c>
      <c r="AC496" s="7">
        <f>IF($E496="","",Y496*AB496/100)</f>
        <v/>
      </c>
      <c r="AD496" s="7">
        <f>IF($E496="","",Y496-AC496)</f>
        <v/>
      </c>
      <c r="AE496" s="7">
        <f>IF($E496="","",AD496-Q496)</f>
        <v/>
      </c>
      <c r="AI496" s="7" t="n"/>
      <c r="AL496" s="11" t="n"/>
      <c r="AN496">
        <f>IF($E496="","",IF(COUNTIF($E$2:$E496,$E496)=1,1,0))</f>
        <v/>
      </c>
      <c r="AO496">
        <f>IF($AN496=1,SUMPRODUCT(--($AR$2:$AR$4001&lt;$AR496))+1,"")</f>
        <v/>
      </c>
      <c r="AP496">
        <f>IF($E496="","",IF(OR($U496=TRUE(),$U496="TRUE"),1,0))</f>
        <v/>
      </c>
      <c r="AQ496">
        <f>IF($E496="","",IF($AA496="Yes",1,0))</f>
        <v/>
      </c>
      <c r="AR496">
        <f>IF($AN496=1,IFERROR(VALUE(MID($E496,2,20)),1000000000)+ROW()/100000,"")</f>
        <v/>
      </c>
    </row>
    <row r="497">
      <c r="G497" s="11" t="n"/>
      <c r="Q497" s="7">
        <f>IF($E497="","",P497*Y497/100)</f>
        <v/>
      </c>
      <c r="R497" s="7" t="n"/>
      <c r="X497" s="7" t="n"/>
      <c r="Y497" s="7" t="n"/>
      <c r="AB497">
        <f>IF($E497="","",IF($AQ497=1,0,IF($AP497=1,Settings!$C$6,Settings!$C$7))*100)</f>
        <v/>
      </c>
      <c r="AC497" s="7">
        <f>IF($E497="","",Y497*AB497/100)</f>
        <v/>
      </c>
      <c r="AD497" s="7">
        <f>IF($E497="","",Y497-AC497)</f>
        <v/>
      </c>
      <c r="AE497" s="7">
        <f>IF($E497="","",AD497-Q497)</f>
        <v/>
      </c>
      <c r="AI497" s="7" t="n"/>
      <c r="AL497" s="11" t="n"/>
      <c r="AN497">
        <f>IF($E497="","",IF(COUNTIF($E$2:$E497,$E497)=1,1,0))</f>
        <v/>
      </c>
      <c r="AO497">
        <f>IF($AN497=1,SUMPRODUCT(--($AR$2:$AR$4001&lt;$AR497))+1,"")</f>
        <v/>
      </c>
      <c r="AP497">
        <f>IF($E497="","",IF(OR($U497=TRUE(),$U497="TRUE"),1,0))</f>
        <v/>
      </c>
      <c r="AQ497">
        <f>IF($E497="","",IF($AA497="Yes",1,0))</f>
        <v/>
      </c>
      <c r="AR497">
        <f>IF($AN497=1,IFERROR(VALUE(MID($E497,2,20)),1000000000)+ROW()/100000,"")</f>
        <v/>
      </c>
    </row>
    <row r="498">
      <c r="G498" s="11" t="n"/>
      <c r="Q498" s="7">
        <f>IF($E498="","",P498*Y498/100)</f>
        <v/>
      </c>
      <c r="R498" s="7" t="n"/>
      <c r="X498" s="7" t="n"/>
      <c r="Y498" s="7" t="n"/>
      <c r="AB498">
        <f>IF($E498="","",IF($AQ498=1,0,IF($AP498=1,Settings!$C$6,Settings!$C$7))*100)</f>
        <v/>
      </c>
      <c r="AC498" s="7">
        <f>IF($E498="","",Y498*AB498/100)</f>
        <v/>
      </c>
      <c r="AD498" s="7">
        <f>IF($E498="","",Y498-AC498)</f>
        <v/>
      </c>
      <c r="AE498" s="7">
        <f>IF($E498="","",AD498-Q498)</f>
        <v/>
      </c>
      <c r="AI498" s="7" t="n"/>
      <c r="AL498" s="11" t="n"/>
      <c r="AN498">
        <f>IF($E498="","",IF(COUNTIF($E$2:$E498,$E498)=1,1,0))</f>
        <v/>
      </c>
      <c r="AO498">
        <f>IF($AN498=1,SUMPRODUCT(--($AR$2:$AR$4001&lt;$AR498))+1,"")</f>
        <v/>
      </c>
      <c r="AP498">
        <f>IF($E498="","",IF(OR($U498=TRUE(),$U498="TRUE"),1,0))</f>
        <v/>
      </c>
      <c r="AQ498">
        <f>IF($E498="","",IF($AA498="Yes",1,0))</f>
        <v/>
      </c>
      <c r="AR498">
        <f>IF($AN498=1,IFERROR(VALUE(MID($E498,2,20)),1000000000)+ROW()/100000,"")</f>
        <v/>
      </c>
    </row>
    <row r="499">
      <c r="G499" s="11" t="n"/>
      <c r="Q499" s="7">
        <f>IF($E499="","",P499*Y499/100)</f>
        <v/>
      </c>
      <c r="R499" s="7" t="n"/>
      <c r="X499" s="7" t="n"/>
      <c r="Y499" s="7" t="n"/>
      <c r="AB499">
        <f>IF($E499="","",IF($AQ499=1,0,IF($AP499=1,Settings!$C$6,Settings!$C$7))*100)</f>
        <v/>
      </c>
      <c r="AC499" s="7">
        <f>IF($E499="","",Y499*AB499/100)</f>
        <v/>
      </c>
      <c r="AD499" s="7">
        <f>IF($E499="","",Y499-AC499)</f>
        <v/>
      </c>
      <c r="AE499" s="7">
        <f>IF($E499="","",AD499-Q499)</f>
        <v/>
      </c>
      <c r="AI499" s="7" t="n"/>
      <c r="AL499" s="11" t="n"/>
      <c r="AN499">
        <f>IF($E499="","",IF(COUNTIF($E$2:$E499,$E499)=1,1,0))</f>
        <v/>
      </c>
      <c r="AO499">
        <f>IF($AN499=1,SUMPRODUCT(--($AR$2:$AR$4001&lt;$AR499))+1,"")</f>
        <v/>
      </c>
      <c r="AP499">
        <f>IF($E499="","",IF(OR($U499=TRUE(),$U499="TRUE"),1,0))</f>
        <v/>
      </c>
      <c r="AQ499">
        <f>IF($E499="","",IF($AA499="Yes",1,0))</f>
        <v/>
      </c>
      <c r="AR499">
        <f>IF($AN499=1,IFERROR(VALUE(MID($E499,2,20)),1000000000)+ROW()/100000,"")</f>
        <v/>
      </c>
    </row>
    <row r="500">
      <c r="G500" s="11" t="n"/>
      <c r="Q500" s="7">
        <f>IF($E500="","",P500*Y500/100)</f>
        <v/>
      </c>
      <c r="R500" s="7" t="n"/>
      <c r="X500" s="7" t="n"/>
      <c r="Y500" s="7" t="n"/>
      <c r="AB500">
        <f>IF($E500="","",IF($AQ500=1,0,IF($AP500=1,Settings!$C$6,Settings!$C$7))*100)</f>
        <v/>
      </c>
      <c r="AC500" s="7">
        <f>IF($E500="","",Y500*AB500/100)</f>
        <v/>
      </c>
      <c r="AD500" s="7">
        <f>IF($E500="","",Y500-AC500)</f>
        <v/>
      </c>
      <c r="AE500" s="7">
        <f>IF($E500="","",AD500-Q500)</f>
        <v/>
      </c>
      <c r="AI500" s="7" t="n"/>
      <c r="AL500" s="11" t="n"/>
      <c r="AN500">
        <f>IF($E500="","",IF(COUNTIF($E$2:$E500,$E500)=1,1,0))</f>
        <v/>
      </c>
      <c r="AO500">
        <f>IF($AN500=1,SUMPRODUCT(--($AR$2:$AR$4001&lt;$AR500))+1,"")</f>
        <v/>
      </c>
      <c r="AP500">
        <f>IF($E500="","",IF(OR($U500=TRUE(),$U500="TRUE"),1,0))</f>
        <v/>
      </c>
      <c r="AQ500">
        <f>IF($E500="","",IF($AA500="Yes",1,0))</f>
        <v/>
      </c>
      <c r="AR500">
        <f>IF($AN500=1,IFERROR(VALUE(MID($E500,2,20)),1000000000)+ROW()/100000,"")</f>
        <v/>
      </c>
    </row>
    <row r="501">
      <c r="G501" s="11" t="n"/>
      <c r="Q501" s="7">
        <f>IF($E501="","",P501*Y501/100)</f>
        <v/>
      </c>
      <c r="R501" s="7" t="n"/>
      <c r="X501" s="7" t="n"/>
      <c r="Y501" s="7" t="n"/>
      <c r="AB501">
        <f>IF($E501="","",IF($AQ501=1,0,IF($AP501=1,Settings!$C$6,Settings!$C$7))*100)</f>
        <v/>
      </c>
      <c r="AC501" s="7">
        <f>IF($E501="","",Y501*AB501/100)</f>
        <v/>
      </c>
      <c r="AD501" s="7">
        <f>IF($E501="","",Y501-AC501)</f>
        <v/>
      </c>
      <c r="AE501" s="7">
        <f>IF($E501="","",AD501-Q501)</f>
        <v/>
      </c>
      <c r="AI501" s="7" t="n"/>
      <c r="AL501" s="11" t="n"/>
      <c r="AN501">
        <f>IF($E501="","",IF(COUNTIF($E$2:$E501,$E501)=1,1,0))</f>
        <v/>
      </c>
      <c r="AO501">
        <f>IF($AN501=1,SUMPRODUCT(--($AR$2:$AR$4001&lt;$AR501))+1,"")</f>
        <v/>
      </c>
      <c r="AP501">
        <f>IF($E501="","",IF(OR($U501=TRUE(),$U501="TRUE"),1,0))</f>
        <v/>
      </c>
      <c r="AQ501">
        <f>IF($E501="","",IF($AA501="Yes",1,0))</f>
        <v/>
      </c>
      <c r="AR501">
        <f>IF($AN501=1,IFERROR(VALUE(MID($E501,2,20)),1000000000)+ROW()/100000,"")</f>
        <v/>
      </c>
    </row>
    <row r="502">
      <c r="G502" s="11" t="n"/>
      <c r="Q502" s="7">
        <f>IF($E502="","",P502*Y502/100)</f>
        <v/>
      </c>
      <c r="R502" s="7" t="n"/>
      <c r="X502" s="7" t="n"/>
      <c r="Y502" s="7" t="n"/>
      <c r="AB502">
        <f>IF($E502="","",IF($AQ502=1,0,IF($AP502=1,Settings!$C$6,Settings!$C$7))*100)</f>
        <v/>
      </c>
      <c r="AC502" s="7">
        <f>IF($E502="","",Y502*AB502/100)</f>
        <v/>
      </c>
      <c r="AD502" s="7">
        <f>IF($E502="","",Y502-AC502)</f>
        <v/>
      </c>
      <c r="AE502" s="7">
        <f>IF($E502="","",AD502-Q502)</f>
        <v/>
      </c>
      <c r="AI502" s="7" t="n"/>
      <c r="AL502" s="11" t="n"/>
      <c r="AN502">
        <f>IF($E502="","",IF(COUNTIF($E$2:$E502,$E502)=1,1,0))</f>
        <v/>
      </c>
      <c r="AO502">
        <f>IF($AN502=1,SUMPRODUCT(--($AR$2:$AR$4001&lt;$AR502))+1,"")</f>
        <v/>
      </c>
      <c r="AP502">
        <f>IF($E502="","",IF(OR($U502=TRUE(),$U502="TRUE"),1,0))</f>
        <v/>
      </c>
      <c r="AQ502">
        <f>IF($E502="","",IF($AA502="Yes",1,0))</f>
        <v/>
      </c>
      <c r="AR502">
        <f>IF($AN502=1,IFERROR(VALUE(MID($E502,2,20)),1000000000)+ROW()/100000,"")</f>
        <v/>
      </c>
    </row>
    <row r="503">
      <c r="G503" s="11" t="n"/>
      <c r="Q503" s="7">
        <f>IF($E503="","",P503*Y503/100)</f>
        <v/>
      </c>
      <c r="R503" s="7" t="n"/>
      <c r="X503" s="7" t="n"/>
      <c r="Y503" s="7" t="n"/>
      <c r="AB503">
        <f>IF($E503="","",IF($AQ503=1,0,IF($AP503=1,Settings!$C$6,Settings!$C$7))*100)</f>
        <v/>
      </c>
      <c r="AC503" s="7">
        <f>IF($E503="","",Y503*AB503/100)</f>
        <v/>
      </c>
      <c r="AD503" s="7">
        <f>IF($E503="","",Y503-AC503)</f>
        <v/>
      </c>
      <c r="AE503" s="7">
        <f>IF($E503="","",AD503-Q503)</f>
        <v/>
      </c>
      <c r="AI503" s="7" t="n"/>
      <c r="AL503" s="11" t="n"/>
      <c r="AN503">
        <f>IF($E503="","",IF(COUNTIF($E$2:$E503,$E503)=1,1,0))</f>
        <v/>
      </c>
      <c r="AO503">
        <f>IF($AN503=1,SUMPRODUCT(--($AR$2:$AR$4001&lt;$AR503))+1,"")</f>
        <v/>
      </c>
      <c r="AP503">
        <f>IF($E503="","",IF(OR($U503=TRUE(),$U503="TRUE"),1,0))</f>
        <v/>
      </c>
      <c r="AQ503">
        <f>IF($E503="","",IF($AA503="Yes",1,0))</f>
        <v/>
      </c>
      <c r="AR503">
        <f>IF($AN503=1,IFERROR(VALUE(MID($E503,2,20)),1000000000)+ROW()/100000,"")</f>
        <v/>
      </c>
    </row>
    <row r="504">
      <c r="G504" s="11" t="n"/>
      <c r="Q504" s="7">
        <f>IF($E504="","",P504*Y504/100)</f>
        <v/>
      </c>
      <c r="R504" s="7" t="n"/>
      <c r="X504" s="7" t="n"/>
      <c r="Y504" s="7" t="n"/>
      <c r="AB504">
        <f>IF($E504="","",IF($AQ504=1,0,IF($AP504=1,Settings!$C$6,Settings!$C$7))*100)</f>
        <v/>
      </c>
      <c r="AC504" s="7">
        <f>IF($E504="","",Y504*AB504/100)</f>
        <v/>
      </c>
      <c r="AD504" s="7">
        <f>IF($E504="","",Y504-AC504)</f>
        <v/>
      </c>
      <c r="AE504" s="7">
        <f>IF($E504="","",AD504-Q504)</f>
        <v/>
      </c>
      <c r="AI504" s="7" t="n"/>
      <c r="AL504" s="11" t="n"/>
      <c r="AN504">
        <f>IF($E504="","",IF(COUNTIF($E$2:$E504,$E504)=1,1,0))</f>
        <v/>
      </c>
      <c r="AO504">
        <f>IF($AN504=1,SUMPRODUCT(--($AR$2:$AR$4001&lt;$AR504))+1,"")</f>
        <v/>
      </c>
      <c r="AP504">
        <f>IF($E504="","",IF(OR($U504=TRUE(),$U504="TRUE"),1,0))</f>
        <v/>
      </c>
      <c r="AQ504">
        <f>IF($E504="","",IF($AA504="Yes",1,0))</f>
        <v/>
      </c>
      <c r="AR504">
        <f>IF($AN504=1,IFERROR(VALUE(MID($E504,2,20)),1000000000)+ROW()/100000,"")</f>
        <v/>
      </c>
    </row>
    <row r="505">
      <c r="G505" s="11" t="n"/>
      <c r="Q505" s="7">
        <f>IF($E505="","",P505*Y505/100)</f>
        <v/>
      </c>
      <c r="R505" s="7" t="n"/>
      <c r="X505" s="7" t="n"/>
      <c r="Y505" s="7" t="n"/>
      <c r="AB505">
        <f>IF($E505="","",IF($AQ505=1,0,IF($AP505=1,Settings!$C$6,Settings!$C$7))*100)</f>
        <v/>
      </c>
      <c r="AC505" s="7">
        <f>IF($E505="","",Y505*AB505/100)</f>
        <v/>
      </c>
      <c r="AD505" s="7">
        <f>IF($E505="","",Y505-AC505)</f>
        <v/>
      </c>
      <c r="AE505" s="7">
        <f>IF($E505="","",AD505-Q505)</f>
        <v/>
      </c>
      <c r="AI505" s="7" t="n"/>
      <c r="AL505" s="11" t="n"/>
      <c r="AN505">
        <f>IF($E505="","",IF(COUNTIF($E$2:$E505,$E505)=1,1,0))</f>
        <v/>
      </c>
      <c r="AO505">
        <f>IF($AN505=1,SUMPRODUCT(--($AR$2:$AR$4001&lt;$AR505))+1,"")</f>
        <v/>
      </c>
      <c r="AP505">
        <f>IF($E505="","",IF(OR($U505=TRUE(),$U505="TRUE"),1,0))</f>
        <v/>
      </c>
      <c r="AQ505">
        <f>IF($E505="","",IF($AA505="Yes",1,0))</f>
        <v/>
      </c>
      <c r="AR505">
        <f>IF($AN505=1,IFERROR(VALUE(MID($E505,2,20)),1000000000)+ROW()/100000,"")</f>
        <v/>
      </c>
    </row>
    <row r="506">
      <c r="G506" s="11" t="n"/>
      <c r="Q506" s="7">
        <f>IF($E506="","",P506*Y506/100)</f>
        <v/>
      </c>
      <c r="R506" s="7" t="n"/>
      <c r="X506" s="7" t="n"/>
      <c r="Y506" s="7" t="n"/>
      <c r="AB506">
        <f>IF($E506="","",IF($AQ506=1,0,IF($AP506=1,Settings!$C$6,Settings!$C$7))*100)</f>
        <v/>
      </c>
      <c r="AC506" s="7">
        <f>IF($E506="","",Y506*AB506/100)</f>
        <v/>
      </c>
      <c r="AD506" s="7">
        <f>IF($E506="","",Y506-AC506)</f>
        <v/>
      </c>
      <c r="AE506" s="7">
        <f>IF($E506="","",AD506-Q506)</f>
        <v/>
      </c>
      <c r="AI506" s="7" t="n"/>
      <c r="AL506" s="11" t="n"/>
      <c r="AN506">
        <f>IF($E506="","",IF(COUNTIF($E$2:$E506,$E506)=1,1,0))</f>
        <v/>
      </c>
      <c r="AO506">
        <f>IF($AN506=1,SUMPRODUCT(--($AR$2:$AR$4001&lt;$AR506))+1,"")</f>
        <v/>
      </c>
      <c r="AP506">
        <f>IF($E506="","",IF(OR($U506=TRUE(),$U506="TRUE"),1,0))</f>
        <v/>
      </c>
      <c r="AQ506">
        <f>IF($E506="","",IF($AA506="Yes",1,0))</f>
        <v/>
      </c>
      <c r="AR506">
        <f>IF($AN506=1,IFERROR(VALUE(MID($E506,2,20)),1000000000)+ROW()/100000,"")</f>
        <v/>
      </c>
    </row>
    <row r="507">
      <c r="G507" s="11" t="n"/>
      <c r="Q507" s="7">
        <f>IF($E507="","",P507*Y507/100)</f>
        <v/>
      </c>
      <c r="R507" s="7" t="n"/>
      <c r="X507" s="7" t="n"/>
      <c r="Y507" s="7" t="n"/>
      <c r="AB507">
        <f>IF($E507="","",IF($AQ507=1,0,IF($AP507=1,Settings!$C$6,Settings!$C$7))*100)</f>
        <v/>
      </c>
      <c r="AC507" s="7">
        <f>IF($E507="","",Y507*AB507/100)</f>
        <v/>
      </c>
      <c r="AD507" s="7">
        <f>IF($E507="","",Y507-AC507)</f>
        <v/>
      </c>
      <c r="AE507" s="7">
        <f>IF($E507="","",AD507-Q507)</f>
        <v/>
      </c>
      <c r="AI507" s="7" t="n"/>
      <c r="AL507" s="11" t="n"/>
      <c r="AN507">
        <f>IF($E507="","",IF(COUNTIF($E$2:$E507,$E507)=1,1,0))</f>
        <v/>
      </c>
      <c r="AO507">
        <f>IF($AN507=1,SUMPRODUCT(--($AR$2:$AR$4001&lt;$AR507))+1,"")</f>
        <v/>
      </c>
      <c r="AP507">
        <f>IF($E507="","",IF(OR($U507=TRUE(),$U507="TRUE"),1,0))</f>
        <v/>
      </c>
      <c r="AQ507">
        <f>IF($E507="","",IF($AA507="Yes",1,0))</f>
        <v/>
      </c>
      <c r="AR507">
        <f>IF($AN507=1,IFERROR(VALUE(MID($E507,2,20)),1000000000)+ROW()/100000,"")</f>
        <v/>
      </c>
    </row>
    <row r="508">
      <c r="G508" s="11" t="n"/>
      <c r="Q508" s="7">
        <f>IF($E508="","",P508*Y508/100)</f>
        <v/>
      </c>
      <c r="R508" s="7" t="n"/>
      <c r="X508" s="7" t="n"/>
      <c r="Y508" s="7" t="n"/>
      <c r="AB508">
        <f>IF($E508="","",IF($AQ508=1,0,IF($AP508=1,Settings!$C$6,Settings!$C$7))*100)</f>
        <v/>
      </c>
      <c r="AC508" s="7">
        <f>IF($E508="","",Y508*AB508/100)</f>
        <v/>
      </c>
      <c r="AD508" s="7">
        <f>IF($E508="","",Y508-AC508)</f>
        <v/>
      </c>
      <c r="AE508" s="7">
        <f>IF($E508="","",AD508-Q508)</f>
        <v/>
      </c>
      <c r="AI508" s="7" t="n"/>
      <c r="AL508" s="11" t="n"/>
      <c r="AN508">
        <f>IF($E508="","",IF(COUNTIF($E$2:$E508,$E508)=1,1,0))</f>
        <v/>
      </c>
      <c r="AO508">
        <f>IF($AN508=1,SUMPRODUCT(--($AR$2:$AR$4001&lt;$AR508))+1,"")</f>
        <v/>
      </c>
      <c r="AP508">
        <f>IF($E508="","",IF(OR($U508=TRUE(),$U508="TRUE"),1,0))</f>
        <v/>
      </c>
      <c r="AQ508">
        <f>IF($E508="","",IF($AA508="Yes",1,0))</f>
        <v/>
      </c>
      <c r="AR508">
        <f>IF($AN508=1,IFERROR(VALUE(MID($E508,2,20)),1000000000)+ROW()/100000,"")</f>
        <v/>
      </c>
    </row>
    <row r="509">
      <c r="G509" s="11" t="n"/>
      <c r="Q509" s="7">
        <f>IF($E509="","",P509*Y509/100)</f>
        <v/>
      </c>
      <c r="R509" s="7" t="n"/>
      <c r="X509" s="7" t="n"/>
      <c r="Y509" s="7" t="n"/>
      <c r="AB509">
        <f>IF($E509="","",IF($AQ509=1,0,IF($AP509=1,Settings!$C$6,Settings!$C$7))*100)</f>
        <v/>
      </c>
      <c r="AC509" s="7">
        <f>IF($E509="","",Y509*AB509/100)</f>
        <v/>
      </c>
      <c r="AD509" s="7">
        <f>IF($E509="","",Y509-AC509)</f>
        <v/>
      </c>
      <c r="AE509" s="7">
        <f>IF($E509="","",AD509-Q509)</f>
        <v/>
      </c>
      <c r="AI509" s="7" t="n"/>
      <c r="AL509" s="11" t="n"/>
      <c r="AN509">
        <f>IF($E509="","",IF(COUNTIF($E$2:$E509,$E509)=1,1,0))</f>
        <v/>
      </c>
      <c r="AO509">
        <f>IF($AN509=1,SUMPRODUCT(--($AR$2:$AR$4001&lt;$AR509))+1,"")</f>
        <v/>
      </c>
      <c r="AP509">
        <f>IF($E509="","",IF(OR($U509=TRUE(),$U509="TRUE"),1,0))</f>
        <v/>
      </c>
      <c r="AQ509">
        <f>IF($E509="","",IF($AA509="Yes",1,0))</f>
        <v/>
      </c>
      <c r="AR509">
        <f>IF($AN509=1,IFERROR(VALUE(MID($E509,2,20)),1000000000)+ROW()/100000,"")</f>
        <v/>
      </c>
    </row>
    <row r="510">
      <c r="G510" s="11" t="n"/>
      <c r="Q510" s="7">
        <f>IF($E510="","",P510*Y510/100)</f>
        <v/>
      </c>
      <c r="R510" s="7" t="n"/>
      <c r="X510" s="7" t="n"/>
      <c r="Y510" s="7" t="n"/>
      <c r="AB510">
        <f>IF($E510="","",IF($AQ510=1,0,IF($AP510=1,Settings!$C$6,Settings!$C$7))*100)</f>
        <v/>
      </c>
      <c r="AC510" s="7">
        <f>IF($E510="","",Y510*AB510/100)</f>
        <v/>
      </c>
      <c r="AD510" s="7">
        <f>IF($E510="","",Y510-AC510)</f>
        <v/>
      </c>
      <c r="AE510" s="7">
        <f>IF($E510="","",AD510-Q510)</f>
        <v/>
      </c>
      <c r="AI510" s="7" t="n"/>
      <c r="AL510" s="11" t="n"/>
      <c r="AN510">
        <f>IF($E510="","",IF(COUNTIF($E$2:$E510,$E510)=1,1,0))</f>
        <v/>
      </c>
      <c r="AO510">
        <f>IF($AN510=1,SUMPRODUCT(--($AR$2:$AR$4001&lt;$AR510))+1,"")</f>
        <v/>
      </c>
      <c r="AP510">
        <f>IF($E510="","",IF(OR($U510=TRUE(),$U510="TRUE"),1,0))</f>
        <v/>
      </c>
      <c r="AQ510">
        <f>IF($E510="","",IF($AA510="Yes",1,0))</f>
        <v/>
      </c>
      <c r="AR510">
        <f>IF($AN510=1,IFERROR(VALUE(MID($E510,2,20)),1000000000)+ROW()/100000,"")</f>
        <v/>
      </c>
    </row>
    <row r="511">
      <c r="G511" s="11" t="n"/>
      <c r="Q511" s="7">
        <f>IF($E511="","",P511*Y511/100)</f>
        <v/>
      </c>
      <c r="R511" s="7" t="n"/>
      <c r="X511" s="7" t="n"/>
      <c r="Y511" s="7" t="n"/>
      <c r="AB511">
        <f>IF($E511="","",IF($AQ511=1,0,IF($AP511=1,Settings!$C$6,Settings!$C$7))*100)</f>
        <v/>
      </c>
      <c r="AC511" s="7">
        <f>IF($E511="","",Y511*AB511/100)</f>
        <v/>
      </c>
      <c r="AD511" s="7">
        <f>IF($E511="","",Y511-AC511)</f>
        <v/>
      </c>
      <c r="AE511" s="7">
        <f>IF($E511="","",AD511-Q511)</f>
        <v/>
      </c>
      <c r="AI511" s="7" t="n"/>
      <c r="AL511" s="11" t="n"/>
      <c r="AN511">
        <f>IF($E511="","",IF(COUNTIF($E$2:$E511,$E511)=1,1,0))</f>
        <v/>
      </c>
      <c r="AO511">
        <f>IF($AN511=1,SUMPRODUCT(--($AR$2:$AR$4001&lt;$AR511))+1,"")</f>
        <v/>
      </c>
      <c r="AP511">
        <f>IF($E511="","",IF(OR($U511=TRUE(),$U511="TRUE"),1,0))</f>
        <v/>
      </c>
      <c r="AQ511">
        <f>IF($E511="","",IF($AA511="Yes",1,0))</f>
        <v/>
      </c>
      <c r="AR511">
        <f>IF($AN511=1,IFERROR(VALUE(MID($E511,2,20)),1000000000)+ROW()/100000,"")</f>
        <v/>
      </c>
    </row>
    <row r="512">
      <c r="G512" s="11" t="n"/>
      <c r="Q512" s="7">
        <f>IF($E512="","",P512*Y512/100)</f>
        <v/>
      </c>
      <c r="R512" s="7" t="n"/>
      <c r="X512" s="7" t="n"/>
      <c r="Y512" s="7" t="n"/>
      <c r="AB512">
        <f>IF($E512="","",IF($AQ512=1,0,IF($AP512=1,Settings!$C$6,Settings!$C$7))*100)</f>
        <v/>
      </c>
      <c r="AC512" s="7">
        <f>IF($E512="","",Y512*AB512/100)</f>
        <v/>
      </c>
      <c r="AD512" s="7">
        <f>IF($E512="","",Y512-AC512)</f>
        <v/>
      </c>
      <c r="AE512" s="7">
        <f>IF($E512="","",AD512-Q512)</f>
        <v/>
      </c>
      <c r="AI512" s="7" t="n"/>
      <c r="AL512" s="11" t="n"/>
      <c r="AN512">
        <f>IF($E512="","",IF(COUNTIF($E$2:$E512,$E512)=1,1,0))</f>
        <v/>
      </c>
      <c r="AO512">
        <f>IF($AN512=1,SUMPRODUCT(--($AR$2:$AR$4001&lt;$AR512))+1,"")</f>
        <v/>
      </c>
      <c r="AP512">
        <f>IF($E512="","",IF(OR($U512=TRUE(),$U512="TRUE"),1,0))</f>
        <v/>
      </c>
      <c r="AQ512">
        <f>IF($E512="","",IF($AA512="Yes",1,0))</f>
        <v/>
      </c>
      <c r="AR512">
        <f>IF($AN512=1,IFERROR(VALUE(MID($E512,2,20)),1000000000)+ROW()/100000,"")</f>
        <v/>
      </c>
    </row>
    <row r="513">
      <c r="G513" s="11" t="n"/>
      <c r="Q513" s="7">
        <f>IF($E513="","",P513*Y513/100)</f>
        <v/>
      </c>
      <c r="R513" s="7" t="n"/>
      <c r="X513" s="7" t="n"/>
      <c r="Y513" s="7" t="n"/>
      <c r="AB513">
        <f>IF($E513="","",IF($AQ513=1,0,IF($AP513=1,Settings!$C$6,Settings!$C$7))*100)</f>
        <v/>
      </c>
      <c r="AC513" s="7">
        <f>IF($E513="","",Y513*AB513/100)</f>
        <v/>
      </c>
      <c r="AD513" s="7">
        <f>IF($E513="","",Y513-AC513)</f>
        <v/>
      </c>
      <c r="AE513" s="7">
        <f>IF($E513="","",AD513-Q513)</f>
        <v/>
      </c>
      <c r="AI513" s="7" t="n"/>
      <c r="AL513" s="11" t="n"/>
      <c r="AN513">
        <f>IF($E513="","",IF(COUNTIF($E$2:$E513,$E513)=1,1,0))</f>
        <v/>
      </c>
      <c r="AO513">
        <f>IF($AN513=1,SUMPRODUCT(--($AR$2:$AR$4001&lt;$AR513))+1,"")</f>
        <v/>
      </c>
      <c r="AP513">
        <f>IF($E513="","",IF(OR($U513=TRUE(),$U513="TRUE"),1,0))</f>
        <v/>
      </c>
      <c r="AQ513">
        <f>IF($E513="","",IF($AA513="Yes",1,0))</f>
        <v/>
      </c>
      <c r="AR513">
        <f>IF($AN513=1,IFERROR(VALUE(MID($E513,2,20)),1000000000)+ROW()/100000,"")</f>
        <v/>
      </c>
    </row>
    <row r="514">
      <c r="G514" s="11" t="n"/>
      <c r="Q514" s="7">
        <f>IF($E514="","",P514*Y514/100)</f>
        <v/>
      </c>
      <c r="R514" s="7" t="n"/>
      <c r="X514" s="7" t="n"/>
      <c r="Y514" s="7" t="n"/>
      <c r="AB514">
        <f>IF($E514="","",IF($AQ514=1,0,IF($AP514=1,Settings!$C$6,Settings!$C$7))*100)</f>
        <v/>
      </c>
      <c r="AC514" s="7">
        <f>IF($E514="","",Y514*AB514/100)</f>
        <v/>
      </c>
      <c r="AD514" s="7">
        <f>IF($E514="","",Y514-AC514)</f>
        <v/>
      </c>
      <c r="AE514" s="7">
        <f>IF($E514="","",AD514-Q514)</f>
        <v/>
      </c>
      <c r="AI514" s="7" t="n"/>
      <c r="AL514" s="11" t="n"/>
      <c r="AN514">
        <f>IF($E514="","",IF(COUNTIF($E$2:$E514,$E514)=1,1,0))</f>
        <v/>
      </c>
      <c r="AO514">
        <f>IF($AN514=1,SUMPRODUCT(--($AR$2:$AR$4001&lt;$AR514))+1,"")</f>
        <v/>
      </c>
      <c r="AP514">
        <f>IF($E514="","",IF(OR($U514=TRUE(),$U514="TRUE"),1,0))</f>
        <v/>
      </c>
      <c r="AQ514">
        <f>IF($E514="","",IF($AA514="Yes",1,0))</f>
        <v/>
      </c>
      <c r="AR514">
        <f>IF($AN514=1,IFERROR(VALUE(MID($E514,2,20)),1000000000)+ROW()/100000,"")</f>
        <v/>
      </c>
    </row>
    <row r="515">
      <c r="G515" s="11" t="n"/>
      <c r="Q515" s="7">
        <f>IF($E515="","",P515*Y515/100)</f>
        <v/>
      </c>
      <c r="R515" s="7" t="n"/>
      <c r="X515" s="7" t="n"/>
      <c r="Y515" s="7" t="n"/>
      <c r="AB515">
        <f>IF($E515="","",IF($AQ515=1,0,IF($AP515=1,Settings!$C$6,Settings!$C$7))*100)</f>
        <v/>
      </c>
      <c r="AC515" s="7">
        <f>IF($E515="","",Y515*AB515/100)</f>
        <v/>
      </c>
      <c r="AD515" s="7">
        <f>IF($E515="","",Y515-AC515)</f>
        <v/>
      </c>
      <c r="AE515" s="7">
        <f>IF($E515="","",AD515-Q515)</f>
        <v/>
      </c>
      <c r="AI515" s="7" t="n"/>
      <c r="AL515" s="11" t="n"/>
      <c r="AN515">
        <f>IF($E515="","",IF(COUNTIF($E$2:$E515,$E515)=1,1,0))</f>
        <v/>
      </c>
      <c r="AO515">
        <f>IF($AN515=1,SUMPRODUCT(--($AR$2:$AR$4001&lt;$AR515))+1,"")</f>
        <v/>
      </c>
      <c r="AP515">
        <f>IF($E515="","",IF(OR($U515=TRUE(),$U515="TRUE"),1,0))</f>
        <v/>
      </c>
      <c r="AQ515">
        <f>IF($E515="","",IF($AA515="Yes",1,0))</f>
        <v/>
      </c>
      <c r="AR515">
        <f>IF($AN515=1,IFERROR(VALUE(MID($E515,2,20)),1000000000)+ROW()/100000,"")</f>
        <v/>
      </c>
    </row>
    <row r="516">
      <c r="G516" s="11" t="n"/>
      <c r="Q516" s="7">
        <f>IF($E516="","",P516*Y516/100)</f>
        <v/>
      </c>
      <c r="R516" s="7" t="n"/>
      <c r="X516" s="7" t="n"/>
      <c r="Y516" s="7" t="n"/>
      <c r="AB516">
        <f>IF($E516="","",IF($AQ516=1,0,IF($AP516=1,Settings!$C$6,Settings!$C$7))*100)</f>
        <v/>
      </c>
      <c r="AC516" s="7">
        <f>IF($E516="","",Y516*AB516/100)</f>
        <v/>
      </c>
      <c r="AD516" s="7">
        <f>IF($E516="","",Y516-AC516)</f>
        <v/>
      </c>
      <c r="AE516" s="7">
        <f>IF($E516="","",AD516-Q516)</f>
        <v/>
      </c>
      <c r="AI516" s="7" t="n"/>
      <c r="AL516" s="11" t="n"/>
      <c r="AN516">
        <f>IF($E516="","",IF(COUNTIF($E$2:$E516,$E516)=1,1,0))</f>
        <v/>
      </c>
      <c r="AO516">
        <f>IF($AN516=1,SUMPRODUCT(--($AR$2:$AR$4001&lt;$AR516))+1,"")</f>
        <v/>
      </c>
      <c r="AP516">
        <f>IF($E516="","",IF(OR($U516=TRUE(),$U516="TRUE"),1,0))</f>
        <v/>
      </c>
      <c r="AQ516">
        <f>IF($E516="","",IF($AA516="Yes",1,0))</f>
        <v/>
      </c>
      <c r="AR516">
        <f>IF($AN516=1,IFERROR(VALUE(MID($E516,2,20)),1000000000)+ROW()/100000,"")</f>
        <v/>
      </c>
    </row>
    <row r="517">
      <c r="G517" s="11" t="n"/>
      <c r="Q517" s="7">
        <f>IF($E517="","",P517*Y517/100)</f>
        <v/>
      </c>
      <c r="R517" s="7" t="n"/>
      <c r="X517" s="7" t="n"/>
      <c r="Y517" s="7" t="n"/>
      <c r="AB517">
        <f>IF($E517="","",IF($AQ517=1,0,IF($AP517=1,Settings!$C$6,Settings!$C$7))*100)</f>
        <v/>
      </c>
      <c r="AC517" s="7">
        <f>IF($E517="","",Y517*AB517/100)</f>
        <v/>
      </c>
      <c r="AD517" s="7">
        <f>IF($E517="","",Y517-AC517)</f>
        <v/>
      </c>
      <c r="AE517" s="7">
        <f>IF($E517="","",AD517-Q517)</f>
        <v/>
      </c>
      <c r="AI517" s="7" t="n"/>
      <c r="AL517" s="11" t="n"/>
      <c r="AN517">
        <f>IF($E517="","",IF(COUNTIF($E$2:$E517,$E517)=1,1,0))</f>
        <v/>
      </c>
      <c r="AO517">
        <f>IF($AN517=1,SUMPRODUCT(--($AR$2:$AR$4001&lt;$AR517))+1,"")</f>
        <v/>
      </c>
      <c r="AP517">
        <f>IF($E517="","",IF(OR($U517=TRUE(),$U517="TRUE"),1,0))</f>
        <v/>
      </c>
      <c r="AQ517">
        <f>IF($E517="","",IF($AA517="Yes",1,0))</f>
        <v/>
      </c>
      <c r="AR517">
        <f>IF($AN517=1,IFERROR(VALUE(MID($E517,2,20)),1000000000)+ROW()/100000,"")</f>
        <v/>
      </c>
    </row>
    <row r="518">
      <c r="G518" s="11" t="n"/>
      <c r="Q518" s="7">
        <f>IF($E518="","",P518*Y518/100)</f>
        <v/>
      </c>
      <c r="R518" s="7" t="n"/>
      <c r="X518" s="7" t="n"/>
      <c r="Y518" s="7" t="n"/>
      <c r="AB518">
        <f>IF($E518="","",IF($AQ518=1,0,IF($AP518=1,Settings!$C$6,Settings!$C$7))*100)</f>
        <v/>
      </c>
      <c r="AC518" s="7">
        <f>IF($E518="","",Y518*AB518/100)</f>
        <v/>
      </c>
      <c r="AD518" s="7">
        <f>IF($E518="","",Y518-AC518)</f>
        <v/>
      </c>
      <c r="AE518" s="7">
        <f>IF($E518="","",AD518-Q518)</f>
        <v/>
      </c>
      <c r="AI518" s="7" t="n"/>
      <c r="AL518" s="11" t="n"/>
      <c r="AN518">
        <f>IF($E518="","",IF(COUNTIF($E$2:$E518,$E518)=1,1,0))</f>
        <v/>
      </c>
      <c r="AO518">
        <f>IF($AN518=1,SUMPRODUCT(--($AR$2:$AR$4001&lt;$AR518))+1,"")</f>
        <v/>
      </c>
      <c r="AP518">
        <f>IF($E518="","",IF(OR($U518=TRUE(),$U518="TRUE"),1,0))</f>
        <v/>
      </c>
      <c r="AQ518">
        <f>IF($E518="","",IF($AA518="Yes",1,0))</f>
        <v/>
      </c>
      <c r="AR518">
        <f>IF($AN518=1,IFERROR(VALUE(MID($E518,2,20)),1000000000)+ROW()/100000,"")</f>
        <v/>
      </c>
    </row>
    <row r="519">
      <c r="G519" s="11" t="n"/>
      <c r="Q519" s="7">
        <f>IF($E519="","",P519*Y519/100)</f>
        <v/>
      </c>
      <c r="R519" s="7" t="n"/>
      <c r="X519" s="7" t="n"/>
      <c r="Y519" s="7" t="n"/>
      <c r="AB519">
        <f>IF($E519="","",IF($AQ519=1,0,IF($AP519=1,Settings!$C$6,Settings!$C$7))*100)</f>
        <v/>
      </c>
      <c r="AC519" s="7">
        <f>IF($E519="","",Y519*AB519/100)</f>
        <v/>
      </c>
      <c r="AD519" s="7">
        <f>IF($E519="","",Y519-AC519)</f>
        <v/>
      </c>
      <c r="AE519" s="7">
        <f>IF($E519="","",AD519-Q519)</f>
        <v/>
      </c>
      <c r="AI519" s="7" t="n"/>
      <c r="AL519" s="11" t="n"/>
      <c r="AN519">
        <f>IF($E519="","",IF(COUNTIF($E$2:$E519,$E519)=1,1,0))</f>
        <v/>
      </c>
      <c r="AO519">
        <f>IF($AN519=1,SUMPRODUCT(--($AR$2:$AR$4001&lt;$AR519))+1,"")</f>
        <v/>
      </c>
      <c r="AP519">
        <f>IF($E519="","",IF(OR($U519=TRUE(),$U519="TRUE"),1,0))</f>
        <v/>
      </c>
      <c r="AQ519">
        <f>IF($E519="","",IF($AA519="Yes",1,0))</f>
        <v/>
      </c>
      <c r="AR519">
        <f>IF($AN519=1,IFERROR(VALUE(MID($E519,2,20)),1000000000)+ROW()/100000,"")</f>
        <v/>
      </c>
    </row>
    <row r="520">
      <c r="G520" s="11" t="n"/>
      <c r="Q520" s="7">
        <f>IF($E520="","",P520*Y520/100)</f>
        <v/>
      </c>
      <c r="R520" s="7" t="n"/>
      <c r="X520" s="7" t="n"/>
      <c r="Y520" s="7" t="n"/>
      <c r="AB520">
        <f>IF($E520="","",IF($AQ520=1,0,IF($AP520=1,Settings!$C$6,Settings!$C$7))*100)</f>
        <v/>
      </c>
      <c r="AC520" s="7">
        <f>IF($E520="","",Y520*AB520/100)</f>
        <v/>
      </c>
      <c r="AD520" s="7">
        <f>IF($E520="","",Y520-AC520)</f>
        <v/>
      </c>
      <c r="AE520" s="7">
        <f>IF($E520="","",AD520-Q520)</f>
        <v/>
      </c>
      <c r="AI520" s="7" t="n"/>
      <c r="AL520" s="11" t="n"/>
      <c r="AN520">
        <f>IF($E520="","",IF(COUNTIF($E$2:$E520,$E520)=1,1,0))</f>
        <v/>
      </c>
      <c r="AO520">
        <f>IF($AN520=1,SUMPRODUCT(--($AR$2:$AR$4001&lt;$AR520))+1,"")</f>
        <v/>
      </c>
      <c r="AP520">
        <f>IF($E520="","",IF(OR($U520=TRUE(),$U520="TRUE"),1,0))</f>
        <v/>
      </c>
      <c r="AQ520">
        <f>IF($E520="","",IF($AA520="Yes",1,0))</f>
        <v/>
      </c>
      <c r="AR520">
        <f>IF($AN520=1,IFERROR(VALUE(MID($E520,2,20)),1000000000)+ROW()/100000,"")</f>
        <v/>
      </c>
    </row>
    <row r="521">
      <c r="G521" s="11" t="n"/>
      <c r="Q521" s="7">
        <f>IF($E521="","",P521*Y521/100)</f>
        <v/>
      </c>
      <c r="R521" s="7" t="n"/>
      <c r="X521" s="7" t="n"/>
      <c r="Y521" s="7" t="n"/>
      <c r="AB521">
        <f>IF($E521="","",IF($AQ521=1,0,IF($AP521=1,Settings!$C$6,Settings!$C$7))*100)</f>
        <v/>
      </c>
      <c r="AC521" s="7">
        <f>IF($E521="","",Y521*AB521/100)</f>
        <v/>
      </c>
      <c r="AD521" s="7">
        <f>IF($E521="","",Y521-AC521)</f>
        <v/>
      </c>
      <c r="AE521" s="7">
        <f>IF($E521="","",AD521-Q521)</f>
        <v/>
      </c>
      <c r="AI521" s="7" t="n"/>
      <c r="AL521" s="11" t="n"/>
      <c r="AN521">
        <f>IF($E521="","",IF(COUNTIF($E$2:$E521,$E521)=1,1,0))</f>
        <v/>
      </c>
      <c r="AO521">
        <f>IF($AN521=1,SUMPRODUCT(--($AR$2:$AR$4001&lt;$AR521))+1,"")</f>
        <v/>
      </c>
      <c r="AP521">
        <f>IF($E521="","",IF(OR($U521=TRUE(),$U521="TRUE"),1,0))</f>
        <v/>
      </c>
      <c r="AQ521">
        <f>IF($E521="","",IF($AA521="Yes",1,0))</f>
        <v/>
      </c>
      <c r="AR521">
        <f>IF($AN521=1,IFERROR(VALUE(MID($E521,2,20)),1000000000)+ROW()/100000,"")</f>
        <v/>
      </c>
    </row>
    <row r="522">
      <c r="G522" s="11" t="n"/>
      <c r="Q522" s="7">
        <f>IF($E522="","",P522*Y522/100)</f>
        <v/>
      </c>
      <c r="R522" s="7" t="n"/>
      <c r="X522" s="7" t="n"/>
      <c r="Y522" s="7" t="n"/>
      <c r="AB522">
        <f>IF($E522="","",IF($AQ522=1,0,IF($AP522=1,Settings!$C$6,Settings!$C$7))*100)</f>
        <v/>
      </c>
      <c r="AC522" s="7">
        <f>IF($E522="","",Y522*AB522/100)</f>
        <v/>
      </c>
      <c r="AD522" s="7">
        <f>IF($E522="","",Y522-AC522)</f>
        <v/>
      </c>
      <c r="AE522" s="7">
        <f>IF($E522="","",AD522-Q522)</f>
        <v/>
      </c>
      <c r="AI522" s="7" t="n"/>
      <c r="AL522" s="11" t="n"/>
      <c r="AN522">
        <f>IF($E522="","",IF(COUNTIF($E$2:$E522,$E522)=1,1,0))</f>
        <v/>
      </c>
      <c r="AO522">
        <f>IF($AN522=1,SUMPRODUCT(--($AR$2:$AR$4001&lt;$AR522))+1,"")</f>
        <v/>
      </c>
      <c r="AP522">
        <f>IF($E522="","",IF(OR($U522=TRUE(),$U522="TRUE"),1,0))</f>
        <v/>
      </c>
      <c r="AQ522">
        <f>IF($E522="","",IF($AA522="Yes",1,0))</f>
        <v/>
      </c>
      <c r="AR522">
        <f>IF($AN522=1,IFERROR(VALUE(MID($E522,2,20)),1000000000)+ROW()/100000,"")</f>
        <v/>
      </c>
    </row>
    <row r="523">
      <c r="G523" s="11" t="n"/>
      <c r="Q523" s="7">
        <f>IF($E523="","",P523*Y523/100)</f>
        <v/>
      </c>
      <c r="R523" s="7" t="n"/>
      <c r="X523" s="7" t="n"/>
      <c r="Y523" s="7" t="n"/>
      <c r="AB523">
        <f>IF($E523="","",IF($AQ523=1,0,IF($AP523=1,Settings!$C$6,Settings!$C$7))*100)</f>
        <v/>
      </c>
      <c r="AC523" s="7">
        <f>IF($E523="","",Y523*AB523/100)</f>
        <v/>
      </c>
      <c r="AD523" s="7">
        <f>IF($E523="","",Y523-AC523)</f>
        <v/>
      </c>
      <c r="AE523" s="7">
        <f>IF($E523="","",AD523-Q523)</f>
        <v/>
      </c>
      <c r="AI523" s="7" t="n"/>
      <c r="AL523" s="11" t="n"/>
      <c r="AN523">
        <f>IF($E523="","",IF(COUNTIF($E$2:$E523,$E523)=1,1,0))</f>
        <v/>
      </c>
      <c r="AO523">
        <f>IF($AN523=1,SUMPRODUCT(--($AR$2:$AR$4001&lt;$AR523))+1,"")</f>
        <v/>
      </c>
      <c r="AP523">
        <f>IF($E523="","",IF(OR($U523=TRUE(),$U523="TRUE"),1,0))</f>
        <v/>
      </c>
      <c r="AQ523">
        <f>IF($E523="","",IF($AA523="Yes",1,0))</f>
        <v/>
      </c>
      <c r="AR523">
        <f>IF($AN523=1,IFERROR(VALUE(MID($E523,2,20)),1000000000)+ROW()/100000,"")</f>
        <v/>
      </c>
    </row>
    <row r="524">
      <c r="G524" s="11" t="n"/>
      <c r="Q524" s="7">
        <f>IF($E524="","",P524*Y524/100)</f>
        <v/>
      </c>
      <c r="R524" s="7" t="n"/>
      <c r="X524" s="7" t="n"/>
      <c r="Y524" s="7" t="n"/>
      <c r="AB524">
        <f>IF($E524="","",IF($AQ524=1,0,IF($AP524=1,Settings!$C$6,Settings!$C$7))*100)</f>
        <v/>
      </c>
      <c r="AC524" s="7">
        <f>IF($E524="","",Y524*AB524/100)</f>
        <v/>
      </c>
      <c r="AD524" s="7">
        <f>IF($E524="","",Y524-AC524)</f>
        <v/>
      </c>
      <c r="AE524" s="7">
        <f>IF($E524="","",AD524-Q524)</f>
        <v/>
      </c>
      <c r="AI524" s="7" t="n"/>
      <c r="AL524" s="11" t="n"/>
      <c r="AN524">
        <f>IF($E524="","",IF(COUNTIF($E$2:$E524,$E524)=1,1,0))</f>
        <v/>
      </c>
      <c r="AO524">
        <f>IF($AN524=1,SUMPRODUCT(--($AR$2:$AR$4001&lt;$AR524))+1,"")</f>
        <v/>
      </c>
      <c r="AP524">
        <f>IF($E524="","",IF(OR($U524=TRUE(),$U524="TRUE"),1,0))</f>
        <v/>
      </c>
      <c r="AQ524">
        <f>IF($E524="","",IF($AA524="Yes",1,0))</f>
        <v/>
      </c>
      <c r="AR524">
        <f>IF($AN524=1,IFERROR(VALUE(MID($E524,2,20)),1000000000)+ROW()/100000,"")</f>
        <v/>
      </c>
    </row>
    <row r="525">
      <c r="G525" s="11" t="n"/>
      <c r="Q525" s="7">
        <f>IF($E525="","",P525*Y525/100)</f>
        <v/>
      </c>
      <c r="R525" s="7" t="n"/>
      <c r="X525" s="7" t="n"/>
      <c r="Y525" s="7" t="n"/>
      <c r="AB525">
        <f>IF($E525="","",IF($AQ525=1,0,IF($AP525=1,Settings!$C$6,Settings!$C$7))*100)</f>
        <v/>
      </c>
      <c r="AC525" s="7">
        <f>IF($E525="","",Y525*AB525/100)</f>
        <v/>
      </c>
      <c r="AD525" s="7">
        <f>IF($E525="","",Y525-AC525)</f>
        <v/>
      </c>
      <c r="AE525" s="7">
        <f>IF($E525="","",AD525-Q525)</f>
        <v/>
      </c>
      <c r="AI525" s="7" t="n"/>
      <c r="AL525" s="11" t="n"/>
      <c r="AN525">
        <f>IF($E525="","",IF(COUNTIF($E$2:$E525,$E525)=1,1,0))</f>
        <v/>
      </c>
      <c r="AO525">
        <f>IF($AN525=1,SUMPRODUCT(--($AR$2:$AR$4001&lt;$AR525))+1,"")</f>
        <v/>
      </c>
      <c r="AP525">
        <f>IF($E525="","",IF(OR($U525=TRUE(),$U525="TRUE"),1,0))</f>
        <v/>
      </c>
      <c r="AQ525">
        <f>IF($E525="","",IF($AA525="Yes",1,0))</f>
        <v/>
      </c>
      <c r="AR525">
        <f>IF($AN525=1,IFERROR(VALUE(MID($E525,2,20)),1000000000)+ROW()/100000,"")</f>
        <v/>
      </c>
    </row>
    <row r="526">
      <c r="G526" s="11" t="n"/>
      <c r="Q526" s="7">
        <f>IF($E526="","",P526*Y526/100)</f>
        <v/>
      </c>
      <c r="R526" s="7" t="n"/>
      <c r="X526" s="7" t="n"/>
      <c r="Y526" s="7" t="n"/>
      <c r="AB526">
        <f>IF($E526="","",IF($AQ526=1,0,IF($AP526=1,Settings!$C$6,Settings!$C$7))*100)</f>
        <v/>
      </c>
      <c r="AC526" s="7">
        <f>IF($E526="","",Y526*AB526/100)</f>
        <v/>
      </c>
      <c r="AD526" s="7">
        <f>IF($E526="","",Y526-AC526)</f>
        <v/>
      </c>
      <c r="AE526" s="7">
        <f>IF($E526="","",AD526-Q526)</f>
        <v/>
      </c>
      <c r="AI526" s="7" t="n"/>
      <c r="AL526" s="11" t="n"/>
      <c r="AN526">
        <f>IF($E526="","",IF(COUNTIF($E$2:$E526,$E526)=1,1,0))</f>
        <v/>
      </c>
      <c r="AO526">
        <f>IF($AN526=1,SUMPRODUCT(--($AR$2:$AR$4001&lt;$AR526))+1,"")</f>
        <v/>
      </c>
      <c r="AP526">
        <f>IF($E526="","",IF(OR($U526=TRUE(),$U526="TRUE"),1,0))</f>
        <v/>
      </c>
      <c r="AQ526">
        <f>IF($E526="","",IF($AA526="Yes",1,0))</f>
        <v/>
      </c>
      <c r="AR526">
        <f>IF($AN526=1,IFERROR(VALUE(MID($E526,2,20)),1000000000)+ROW()/100000,"")</f>
        <v/>
      </c>
    </row>
    <row r="527">
      <c r="G527" s="11" t="n"/>
      <c r="Q527" s="7">
        <f>IF($E527="","",P527*Y527/100)</f>
        <v/>
      </c>
      <c r="R527" s="7" t="n"/>
      <c r="X527" s="7" t="n"/>
      <c r="Y527" s="7" t="n"/>
      <c r="AB527">
        <f>IF($E527="","",IF($AQ527=1,0,IF($AP527=1,Settings!$C$6,Settings!$C$7))*100)</f>
        <v/>
      </c>
      <c r="AC527" s="7">
        <f>IF($E527="","",Y527*AB527/100)</f>
        <v/>
      </c>
      <c r="AD527" s="7">
        <f>IF($E527="","",Y527-AC527)</f>
        <v/>
      </c>
      <c r="AE527" s="7">
        <f>IF($E527="","",AD527-Q527)</f>
        <v/>
      </c>
      <c r="AI527" s="7" t="n"/>
      <c r="AL527" s="11" t="n"/>
      <c r="AN527">
        <f>IF($E527="","",IF(COUNTIF($E$2:$E527,$E527)=1,1,0))</f>
        <v/>
      </c>
      <c r="AO527">
        <f>IF($AN527=1,SUMPRODUCT(--($AR$2:$AR$4001&lt;$AR527))+1,"")</f>
        <v/>
      </c>
      <c r="AP527">
        <f>IF($E527="","",IF(OR($U527=TRUE(),$U527="TRUE"),1,0))</f>
        <v/>
      </c>
      <c r="AQ527">
        <f>IF($E527="","",IF($AA527="Yes",1,0))</f>
        <v/>
      </c>
      <c r="AR527">
        <f>IF($AN527=1,IFERROR(VALUE(MID($E527,2,20)),1000000000)+ROW()/100000,"")</f>
        <v/>
      </c>
    </row>
    <row r="528">
      <c r="G528" s="11" t="n"/>
      <c r="Q528" s="7">
        <f>IF($E528="","",P528*Y528/100)</f>
        <v/>
      </c>
      <c r="R528" s="7" t="n"/>
      <c r="X528" s="7" t="n"/>
      <c r="Y528" s="7" t="n"/>
      <c r="AB528">
        <f>IF($E528="","",IF($AQ528=1,0,IF($AP528=1,Settings!$C$6,Settings!$C$7))*100)</f>
        <v/>
      </c>
      <c r="AC528" s="7">
        <f>IF($E528="","",Y528*AB528/100)</f>
        <v/>
      </c>
      <c r="AD528" s="7">
        <f>IF($E528="","",Y528-AC528)</f>
        <v/>
      </c>
      <c r="AE528" s="7">
        <f>IF($E528="","",AD528-Q528)</f>
        <v/>
      </c>
      <c r="AI528" s="7" t="n"/>
      <c r="AL528" s="11" t="n"/>
      <c r="AN528">
        <f>IF($E528="","",IF(COUNTIF($E$2:$E528,$E528)=1,1,0))</f>
        <v/>
      </c>
      <c r="AO528">
        <f>IF($AN528=1,SUMPRODUCT(--($AR$2:$AR$4001&lt;$AR528))+1,"")</f>
        <v/>
      </c>
      <c r="AP528">
        <f>IF($E528="","",IF(OR($U528=TRUE(),$U528="TRUE"),1,0))</f>
        <v/>
      </c>
      <c r="AQ528">
        <f>IF($E528="","",IF($AA528="Yes",1,0))</f>
        <v/>
      </c>
      <c r="AR528">
        <f>IF($AN528=1,IFERROR(VALUE(MID($E528,2,20)),1000000000)+ROW()/100000,"")</f>
        <v/>
      </c>
    </row>
    <row r="529">
      <c r="G529" s="11" t="n"/>
      <c r="Q529" s="7">
        <f>IF($E529="","",P529*Y529/100)</f>
        <v/>
      </c>
      <c r="R529" s="7" t="n"/>
      <c r="X529" s="7" t="n"/>
      <c r="Y529" s="7" t="n"/>
      <c r="AB529">
        <f>IF($E529="","",IF($AQ529=1,0,IF($AP529=1,Settings!$C$6,Settings!$C$7))*100)</f>
        <v/>
      </c>
      <c r="AC529" s="7">
        <f>IF($E529="","",Y529*AB529/100)</f>
        <v/>
      </c>
      <c r="AD529" s="7">
        <f>IF($E529="","",Y529-AC529)</f>
        <v/>
      </c>
      <c r="AE529" s="7">
        <f>IF($E529="","",AD529-Q529)</f>
        <v/>
      </c>
      <c r="AI529" s="7" t="n"/>
      <c r="AL529" s="11" t="n"/>
      <c r="AN529">
        <f>IF($E529="","",IF(COUNTIF($E$2:$E529,$E529)=1,1,0))</f>
        <v/>
      </c>
      <c r="AO529">
        <f>IF($AN529=1,SUMPRODUCT(--($AR$2:$AR$4001&lt;$AR529))+1,"")</f>
        <v/>
      </c>
      <c r="AP529">
        <f>IF($E529="","",IF(OR($U529=TRUE(),$U529="TRUE"),1,0))</f>
        <v/>
      </c>
      <c r="AQ529">
        <f>IF($E529="","",IF($AA529="Yes",1,0))</f>
        <v/>
      </c>
      <c r="AR529">
        <f>IF($AN529=1,IFERROR(VALUE(MID($E529,2,20)),1000000000)+ROW()/100000,"")</f>
        <v/>
      </c>
    </row>
    <row r="530">
      <c r="G530" s="11" t="n"/>
      <c r="Q530" s="7">
        <f>IF($E530="","",P530*Y530/100)</f>
        <v/>
      </c>
      <c r="R530" s="7" t="n"/>
      <c r="X530" s="7" t="n"/>
      <c r="Y530" s="7" t="n"/>
      <c r="AB530">
        <f>IF($E530="","",IF($AQ530=1,0,IF($AP530=1,Settings!$C$6,Settings!$C$7))*100)</f>
        <v/>
      </c>
      <c r="AC530" s="7">
        <f>IF($E530="","",Y530*AB530/100)</f>
        <v/>
      </c>
      <c r="AD530" s="7">
        <f>IF($E530="","",Y530-AC530)</f>
        <v/>
      </c>
      <c r="AE530" s="7">
        <f>IF($E530="","",AD530-Q530)</f>
        <v/>
      </c>
      <c r="AI530" s="7" t="n"/>
      <c r="AL530" s="11" t="n"/>
      <c r="AN530">
        <f>IF($E530="","",IF(COUNTIF($E$2:$E530,$E530)=1,1,0))</f>
        <v/>
      </c>
      <c r="AO530">
        <f>IF($AN530=1,SUMPRODUCT(--($AR$2:$AR$4001&lt;$AR530))+1,"")</f>
        <v/>
      </c>
      <c r="AP530">
        <f>IF($E530="","",IF(OR($U530=TRUE(),$U530="TRUE"),1,0))</f>
        <v/>
      </c>
      <c r="AQ530">
        <f>IF($E530="","",IF($AA530="Yes",1,0))</f>
        <v/>
      </c>
      <c r="AR530">
        <f>IF($AN530=1,IFERROR(VALUE(MID($E530,2,20)),1000000000)+ROW()/100000,"")</f>
        <v/>
      </c>
    </row>
    <row r="531">
      <c r="G531" s="11" t="n"/>
      <c r="Q531" s="7">
        <f>IF($E531="","",P531*Y531/100)</f>
        <v/>
      </c>
      <c r="R531" s="7" t="n"/>
      <c r="X531" s="7" t="n"/>
      <c r="Y531" s="7" t="n"/>
      <c r="AB531">
        <f>IF($E531="","",IF($AQ531=1,0,IF($AP531=1,Settings!$C$6,Settings!$C$7))*100)</f>
        <v/>
      </c>
      <c r="AC531" s="7">
        <f>IF($E531="","",Y531*AB531/100)</f>
        <v/>
      </c>
      <c r="AD531" s="7">
        <f>IF($E531="","",Y531-AC531)</f>
        <v/>
      </c>
      <c r="AE531" s="7">
        <f>IF($E531="","",AD531-Q531)</f>
        <v/>
      </c>
      <c r="AI531" s="7" t="n"/>
      <c r="AL531" s="11" t="n"/>
      <c r="AN531">
        <f>IF($E531="","",IF(COUNTIF($E$2:$E531,$E531)=1,1,0))</f>
        <v/>
      </c>
      <c r="AO531">
        <f>IF($AN531=1,SUMPRODUCT(--($AR$2:$AR$4001&lt;$AR531))+1,"")</f>
        <v/>
      </c>
      <c r="AP531">
        <f>IF($E531="","",IF(OR($U531=TRUE(),$U531="TRUE"),1,0))</f>
        <v/>
      </c>
      <c r="AQ531">
        <f>IF($E531="","",IF($AA531="Yes",1,0))</f>
        <v/>
      </c>
      <c r="AR531">
        <f>IF($AN531=1,IFERROR(VALUE(MID($E531,2,20)),1000000000)+ROW()/100000,"")</f>
        <v/>
      </c>
    </row>
    <row r="532">
      <c r="G532" s="11" t="n"/>
      <c r="Q532" s="7">
        <f>IF($E532="","",P532*Y532/100)</f>
        <v/>
      </c>
      <c r="R532" s="7" t="n"/>
      <c r="X532" s="7" t="n"/>
      <c r="Y532" s="7" t="n"/>
      <c r="AB532">
        <f>IF($E532="","",IF($AQ532=1,0,IF($AP532=1,Settings!$C$6,Settings!$C$7))*100)</f>
        <v/>
      </c>
      <c r="AC532" s="7">
        <f>IF($E532="","",Y532*AB532/100)</f>
        <v/>
      </c>
      <c r="AD532" s="7">
        <f>IF($E532="","",Y532-AC532)</f>
        <v/>
      </c>
      <c r="AE532" s="7">
        <f>IF($E532="","",AD532-Q532)</f>
        <v/>
      </c>
      <c r="AI532" s="7" t="n"/>
      <c r="AL532" s="11" t="n"/>
      <c r="AN532">
        <f>IF($E532="","",IF(COUNTIF($E$2:$E532,$E532)=1,1,0))</f>
        <v/>
      </c>
      <c r="AO532">
        <f>IF($AN532=1,SUMPRODUCT(--($AR$2:$AR$4001&lt;$AR532))+1,"")</f>
        <v/>
      </c>
      <c r="AP532">
        <f>IF($E532="","",IF(OR($U532=TRUE(),$U532="TRUE"),1,0))</f>
        <v/>
      </c>
      <c r="AQ532">
        <f>IF($E532="","",IF($AA532="Yes",1,0))</f>
        <v/>
      </c>
      <c r="AR532">
        <f>IF($AN532=1,IFERROR(VALUE(MID($E532,2,20)),1000000000)+ROW()/100000,"")</f>
        <v/>
      </c>
    </row>
    <row r="533">
      <c r="G533" s="11" t="n"/>
      <c r="Q533" s="7">
        <f>IF($E533="","",P533*Y533/100)</f>
        <v/>
      </c>
      <c r="R533" s="7" t="n"/>
      <c r="X533" s="7" t="n"/>
      <c r="Y533" s="7" t="n"/>
      <c r="AB533">
        <f>IF($E533="","",IF($AQ533=1,0,IF($AP533=1,Settings!$C$6,Settings!$C$7))*100)</f>
        <v/>
      </c>
      <c r="AC533" s="7">
        <f>IF($E533="","",Y533*AB533/100)</f>
        <v/>
      </c>
      <c r="AD533" s="7">
        <f>IF($E533="","",Y533-AC533)</f>
        <v/>
      </c>
      <c r="AE533" s="7">
        <f>IF($E533="","",AD533-Q533)</f>
        <v/>
      </c>
      <c r="AI533" s="7" t="n"/>
      <c r="AL533" s="11" t="n"/>
      <c r="AN533">
        <f>IF($E533="","",IF(COUNTIF($E$2:$E533,$E533)=1,1,0))</f>
        <v/>
      </c>
      <c r="AO533">
        <f>IF($AN533=1,SUMPRODUCT(--($AR$2:$AR$4001&lt;$AR533))+1,"")</f>
        <v/>
      </c>
      <c r="AP533">
        <f>IF($E533="","",IF(OR($U533=TRUE(),$U533="TRUE"),1,0))</f>
        <v/>
      </c>
      <c r="AQ533">
        <f>IF($E533="","",IF($AA533="Yes",1,0))</f>
        <v/>
      </c>
      <c r="AR533">
        <f>IF($AN533=1,IFERROR(VALUE(MID($E533,2,20)),1000000000)+ROW()/100000,"")</f>
        <v/>
      </c>
    </row>
    <row r="534">
      <c r="G534" s="11" t="n"/>
      <c r="Q534" s="7">
        <f>IF($E534="","",P534*Y534/100)</f>
        <v/>
      </c>
      <c r="R534" s="7" t="n"/>
      <c r="X534" s="7" t="n"/>
      <c r="Y534" s="7" t="n"/>
      <c r="AB534">
        <f>IF($E534="","",IF($AQ534=1,0,IF($AP534=1,Settings!$C$6,Settings!$C$7))*100)</f>
        <v/>
      </c>
      <c r="AC534" s="7">
        <f>IF($E534="","",Y534*AB534/100)</f>
        <v/>
      </c>
      <c r="AD534" s="7">
        <f>IF($E534="","",Y534-AC534)</f>
        <v/>
      </c>
      <c r="AE534" s="7">
        <f>IF($E534="","",AD534-Q534)</f>
        <v/>
      </c>
      <c r="AI534" s="7" t="n"/>
      <c r="AL534" s="11" t="n"/>
      <c r="AN534">
        <f>IF($E534="","",IF(COUNTIF($E$2:$E534,$E534)=1,1,0))</f>
        <v/>
      </c>
      <c r="AO534">
        <f>IF($AN534=1,SUMPRODUCT(--($AR$2:$AR$4001&lt;$AR534))+1,"")</f>
        <v/>
      </c>
      <c r="AP534">
        <f>IF($E534="","",IF(OR($U534=TRUE(),$U534="TRUE"),1,0))</f>
        <v/>
      </c>
      <c r="AQ534">
        <f>IF($E534="","",IF($AA534="Yes",1,0))</f>
        <v/>
      </c>
      <c r="AR534">
        <f>IF($AN534=1,IFERROR(VALUE(MID($E534,2,20)),1000000000)+ROW()/100000,"")</f>
        <v/>
      </c>
    </row>
    <row r="535">
      <c r="G535" s="11" t="n"/>
      <c r="Q535" s="7">
        <f>IF($E535="","",P535*Y535/100)</f>
        <v/>
      </c>
      <c r="R535" s="7" t="n"/>
      <c r="X535" s="7" t="n"/>
      <c r="Y535" s="7" t="n"/>
      <c r="AB535">
        <f>IF($E535="","",IF($AQ535=1,0,IF($AP535=1,Settings!$C$6,Settings!$C$7))*100)</f>
        <v/>
      </c>
      <c r="AC535" s="7">
        <f>IF($E535="","",Y535*AB535/100)</f>
        <v/>
      </c>
      <c r="AD535" s="7">
        <f>IF($E535="","",Y535-AC535)</f>
        <v/>
      </c>
      <c r="AE535" s="7">
        <f>IF($E535="","",AD535-Q535)</f>
        <v/>
      </c>
      <c r="AI535" s="7" t="n"/>
      <c r="AL535" s="11" t="n"/>
      <c r="AN535">
        <f>IF($E535="","",IF(COUNTIF($E$2:$E535,$E535)=1,1,0))</f>
        <v/>
      </c>
      <c r="AO535">
        <f>IF($AN535=1,SUMPRODUCT(--($AR$2:$AR$4001&lt;$AR535))+1,"")</f>
        <v/>
      </c>
      <c r="AP535">
        <f>IF($E535="","",IF(OR($U535=TRUE(),$U535="TRUE"),1,0))</f>
        <v/>
      </c>
      <c r="AQ535">
        <f>IF($E535="","",IF($AA535="Yes",1,0))</f>
        <v/>
      </c>
      <c r="AR535">
        <f>IF($AN535=1,IFERROR(VALUE(MID($E535,2,20)),1000000000)+ROW()/100000,"")</f>
        <v/>
      </c>
    </row>
    <row r="536">
      <c r="G536" s="11" t="n"/>
      <c r="Q536" s="7">
        <f>IF($E536="","",P536*Y536/100)</f>
        <v/>
      </c>
      <c r="R536" s="7" t="n"/>
      <c r="X536" s="7" t="n"/>
      <c r="Y536" s="7" t="n"/>
      <c r="AB536">
        <f>IF($E536="","",IF($AQ536=1,0,IF($AP536=1,Settings!$C$6,Settings!$C$7))*100)</f>
        <v/>
      </c>
      <c r="AC536" s="7">
        <f>IF($E536="","",Y536*AB536/100)</f>
        <v/>
      </c>
      <c r="AD536" s="7">
        <f>IF($E536="","",Y536-AC536)</f>
        <v/>
      </c>
      <c r="AE536" s="7">
        <f>IF($E536="","",AD536-Q536)</f>
        <v/>
      </c>
      <c r="AI536" s="7" t="n"/>
      <c r="AL536" s="11" t="n"/>
      <c r="AN536">
        <f>IF($E536="","",IF(COUNTIF($E$2:$E536,$E536)=1,1,0))</f>
        <v/>
      </c>
      <c r="AO536">
        <f>IF($AN536=1,SUMPRODUCT(--($AR$2:$AR$4001&lt;$AR536))+1,"")</f>
        <v/>
      </c>
      <c r="AP536">
        <f>IF($E536="","",IF(OR($U536=TRUE(),$U536="TRUE"),1,0))</f>
        <v/>
      </c>
      <c r="AQ536">
        <f>IF($E536="","",IF($AA536="Yes",1,0))</f>
        <v/>
      </c>
      <c r="AR536">
        <f>IF($AN536=1,IFERROR(VALUE(MID($E536,2,20)),1000000000)+ROW()/100000,"")</f>
        <v/>
      </c>
    </row>
    <row r="537">
      <c r="G537" s="11" t="n"/>
      <c r="Q537" s="7">
        <f>IF($E537="","",P537*Y537/100)</f>
        <v/>
      </c>
      <c r="R537" s="7" t="n"/>
      <c r="X537" s="7" t="n"/>
      <c r="Y537" s="7" t="n"/>
      <c r="AB537">
        <f>IF($E537="","",IF($AQ537=1,0,IF($AP537=1,Settings!$C$6,Settings!$C$7))*100)</f>
        <v/>
      </c>
      <c r="AC537" s="7">
        <f>IF($E537="","",Y537*AB537/100)</f>
        <v/>
      </c>
      <c r="AD537" s="7">
        <f>IF($E537="","",Y537-AC537)</f>
        <v/>
      </c>
      <c r="AE537" s="7">
        <f>IF($E537="","",AD537-Q537)</f>
        <v/>
      </c>
      <c r="AI537" s="7" t="n"/>
      <c r="AL537" s="11" t="n"/>
      <c r="AN537">
        <f>IF($E537="","",IF(COUNTIF($E$2:$E537,$E537)=1,1,0))</f>
        <v/>
      </c>
      <c r="AO537">
        <f>IF($AN537=1,SUMPRODUCT(--($AR$2:$AR$4001&lt;$AR537))+1,"")</f>
        <v/>
      </c>
      <c r="AP537">
        <f>IF($E537="","",IF(OR($U537=TRUE(),$U537="TRUE"),1,0))</f>
        <v/>
      </c>
      <c r="AQ537">
        <f>IF($E537="","",IF($AA537="Yes",1,0))</f>
        <v/>
      </c>
      <c r="AR537">
        <f>IF($AN537=1,IFERROR(VALUE(MID($E537,2,20)),1000000000)+ROW()/100000,"")</f>
        <v/>
      </c>
    </row>
    <row r="538">
      <c r="G538" s="11" t="n"/>
      <c r="Q538" s="7">
        <f>IF($E538="","",P538*Y538/100)</f>
        <v/>
      </c>
      <c r="R538" s="7" t="n"/>
      <c r="X538" s="7" t="n"/>
      <c r="Y538" s="7" t="n"/>
      <c r="AB538">
        <f>IF($E538="","",IF($AQ538=1,0,IF($AP538=1,Settings!$C$6,Settings!$C$7))*100)</f>
        <v/>
      </c>
      <c r="AC538" s="7">
        <f>IF($E538="","",Y538*AB538/100)</f>
        <v/>
      </c>
      <c r="AD538" s="7">
        <f>IF($E538="","",Y538-AC538)</f>
        <v/>
      </c>
      <c r="AE538" s="7">
        <f>IF($E538="","",AD538-Q538)</f>
        <v/>
      </c>
      <c r="AI538" s="7" t="n"/>
      <c r="AL538" s="11" t="n"/>
      <c r="AN538">
        <f>IF($E538="","",IF(COUNTIF($E$2:$E538,$E538)=1,1,0))</f>
        <v/>
      </c>
      <c r="AO538">
        <f>IF($AN538=1,SUMPRODUCT(--($AR$2:$AR$4001&lt;$AR538))+1,"")</f>
        <v/>
      </c>
      <c r="AP538">
        <f>IF($E538="","",IF(OR($U538=TRUE(),$U538="TRUE"),1,0))</f>
        <v/>
      </c>
      <c r="AQ538">
        <f>IF($E538="","",IF($AA538="Yes",1,0))</f>
        <v/>
      </c>
      <c r="AR538">
        <f>IF($AN538=1,IFERROR(VALUE(MID($E538,2,20)),1000000000)+ROW()/100000,"")</f>
        <v/>
      </c>
    </row>
    <row r="539">
      <c r="G539" s="11" t="n"/>
      <c r="Q539" s="7">
        <f>IF($E539="","",P539*Y539/100)</f>
        <v/>
      </c>
      <c r="R539" s="7" t="n"/>
      <c r="X539" s="7" t="n"/>
      <c r="Y539" s="7" t="n"/>
      <c r="AB539">
        <f>IF($E539="","",IF($AQ539=1,0,IF($AP539=1,Settings!$C$6,Settings!$C$7))*100)</f>
        <v/>
      </c>
      <c r="AC539" s="7">
        <f>IF($E539="","",Y539*AB539/100)</f>
        <v/>
      </c>
      <c r="AD539" s="7">
        <f>IF($E539="","",Y539-AC539)</f>
        <v/>
      </c>
      <c r="AE539" s="7">
        <f>IF($E539="","",AD539-Q539)</f>
        <v/>
      </c>
      <c r="AI539" s="7" t="n"/>
      <c r="AL539" s="11" t="n"/>
      <c r="AN539">
        <f>IF($E539="","",IF(COUNTIF($E$2:$E539,$E539)=1,1,0))</f>
        <v/>
      </c>
      <c r="AO539">
        <f>IF($AN539=1,SUMPRODUCT(--($AR$2:$AR$4001&lt;$AR539))+1,"")</f>
        <v/>
      </c>
      <c r="AP539">
        <f>IF($E539="","",IF(OR($U539=TRUE(),$U539="TRUE"),1,0))</f>
        <v/>
      </c>
      <c r="AQ539">
        <f>IF($E539="","",IF($AA539="Yes",1,0))</f>
        <v/>
      </c>
      <c r="AR539">
        <f>IF($AN539=1,IFERROR(VALUE(MID($E539,2,20)),1000000000)+ROW()/100000,"")</f>
        <v/>
      </c>
    </row>
    <row r="540">
      <c r="G540" s="11" t="n"/>
      <c r="Q540" s="7">
        <f>IF($E540="","",P540*Y540/100)</f>
        <v/>
      </c>
      <c r="R540" s="7" t="n"/>
      <c r="X540" s="7" t="n"/>
      <c r="Y540" s="7" t="n"/>
      <c r="AB540">
        <f>IF($E540="","",IF($AQ540=1,0,IF($AP540=1,Settings!$C$6,Settings!$C$7))*100)</f>
        <v/>
      </c>
      <c r="AC540" s="7">
        <f>IF($E540="","",Y540*AB540/100)</f>
        <v/>
      </c>
      <c r="AD540" s="7">
        <f>IF($E540="","",Y540-AC540)</f>
        <v/>
      </c>
      <c r="AE540" s="7">
        <f>IF($E540="","",AD540-Q540)</f>
        <v/>
      </c>
      <c r="AI540" s="7" t="n"/>
      <c r="AL540" s="11" t="n"/>
      <c r="AN540">
        <f>IF($E540="","",IF(COUNTIF($E$2:$E540,$E540)=1,1,0))</f>
        <v/>
      </c>
      <c r="AO540">
        <f>IF($AN540=1,SUMPRODUCT(--($AR$2:$AR$4001&lt;$AR540))+1,"")</f>
        <v/>
      </c>
      <c r="AP540">
        <f>IF($E540="","",IF(OR($U540=TRUE(),$U540="TRUE"),1,0))</f>
        <v/>
      </c>
      <c r="AQ540">
        <f>IF($E540="","",IF($AA540="Yes",1,0))</f>
        <v/>
      </c>
      <c r="AR540">
        <f>IF($AN540=1,IFERROR(VALUE(MID($E540,2,20)),1000000000)+ROW()/100000,"")</f>
        <v/>
      </c>
    </row>
    <row r="541">
      <c r="G541" s="11" t="n"/>
      <c r="Q541" s="7">
        <f>IF($E541="","",P541*Y541/100)</f>
        <v/>
      </c>
      <c r="R541" s="7" t="n"/>
      <c r="X541" s="7" t="n"/>
      <c r="Y541" s="7" t="n"/>
      <c r="AB541">
        <f>IF($E541="","",IF($AQ541=1,0,IF($AP541=1,Settings!$C$6,Settings!$C$7))*100)</f>
        <v/>
      </c>
      <c r="AC541" s="7">
        <f>IF($E541="","",Y541*AB541/100)</f>
        <v/>
      </c>
      <c r="AD541" s="7">
        <f>IF($E541="","",Y541-AC541)</f>
        <v/>
      </c>
      <c r="AE541" s="7">
        <f>IF($E541="","",AD541-Q541)</f>
        <v/>
      </c>
      <c r="AI541" s="7" t="n"/>
      <c r="AL541" s="11" t="n"/>
      <c r="AN541">
        <f>IF($E541="","",IF(COUNTIF($E$2:$E541,$E541)=1,1,0))</f>
        <v/>
      </c>
      <c r="AO541">
        <f>IF($AN541=1,SUMPRODUCT(--($AR$2:$AR$4001&lt;$AR541))+1,"")</f>
        <v/>
      </c>
      <c r="AP541">
        <f>IF($E541="","",IF(OR($U541=TRUE(),$U541="TRUE"),1,0))</f>
        <v/>
      </c>
      <c r="AQ541">
        <f>IF($E541="","",IF($AA541="Yes",1,0))</f>
        <v/>
      </c>
      <c r="AR541">
        <f>IF($AN541=1,IFERROR(VALUE(MID($E541,2,20)),1000000000)+ROW()/100000,"")</f>
        <v/>
      </c>
    </row>
    <row r="542">
      <c r="G542" s="11" t="n"/>
      <c r="Q542" s="7">
        <f>IF($E542="","",P542*Y542/100)</f>
        <v/>
      </c>
      <c r="R542" s="7" t="n"/>
      <c r="X542" s="7" t="n"/>
      <c r="Y542" s="7" t="n"/>
      <c r="AB542">
        <f>IF($E542="","",IF($AQ542=1,0,IF($AP542=1,Settings!$C$6,Settings!$C$7))*100)</f>
        <v/>
      </c>
      <c r="AC542" s="7">
        <f>IF($E542="","",Y542*AB542/100)</f>
        <v/>
      </c>
      <c r="AD542" s="7">
        <f>IF($E542="","",Y542-AC542)</f>
        <v/>
      </c>
      <c r="AE542" s="7">
        <f>IF($E542="","",AD542-Q542)</f>
        <v/>
      </c>
      <c r="AI542" s="7" t="n"/>
      <c r="AL542" s="11" t="n"/>
      <c r="AN542">
        <f>IF($E542="","",IF(COUNTIF($E$2:$E542,$E542)=1,1,0))</f>
        <v/>
      </c>
      <c r="AO542">
        <f>IF($AN542=1,SUMPRODUCT(--($AR$2:$AR$4001&lt;$AR542))+1,"")</f>
        <v/>
      </c>
      <c r="AP542">
        <f>IF($E542="","",IF(OR($U542=TRUE(),$U542="TRUE"),1,0))</f>
        <v/>
      </c>
      <c r="AQ542">
        <f>IF($E542="","",IF($AA542="Yes",1,0))</f>
        <v/>
      </c>
      <c r="AR542">
        <f>IF($AN542=1,IFERROR(VALUE(MID($E542,2,20)),1000000000)+ROW()/100000,"")</f>
        <v/>
      </c>
    </row>
    <row r="543">
      <c r="G543" s="11" t="n"/>
      <c r="Q543" s="7">
        <f>IF($E543="","",P543*Y543/100)</f>
        <v/>
      </c>
      <c r="R543" s="7" t="n"/>
      <c r="X543" s="7" t="n"/>
      <c r="Y543" s="7" t="n"/>
      <c r="AB543">
        <f>IF($E543="","",IF($AQ543=1,0,IF($AP543=1,Settings!$C$6,Settings!$C$7))*100)</f>
        <v/>
      </c>
      <c r="AC543" s="7">
        <f>IF($E543="","",Y543*AB543/100)</f>
        <v/>
      </c>
      <c r="AD543" s="7">
        <f>IF($E543="","",Y543-AC543)</f>
        <v/>
      </c>
      <c r="AE543" s="7">
        <f>IF($E543="","",AD543-Q543)</f>
        <v/>
      </c>
      <c r="AI543" s="7" t="n"/>
      <c r="AL543" s="11" t="n"/>
      <c r="AN543">
        <f>IF($E543="","",IF(COUNTIF($E$2:$E543,$E543)=1,1,0))</f>
        <v/>
      </c>
      <c r="AO543">
        <f>IF($AN543=1,SUMPRODUCT(--($AR$2:$AR$4001&lt;$AR543))+1,"")</f>
        <v/>
      </c>
      <c r="AP543">
        <f>IF($E543="","",IF(OR($U543=TRUE(),$U543="TRUE"),1,0))</f>
        <v/>
      </c>
      <c r="AQ543">
        <f>IF($E543="","",IF($AA543="Yes",1,0))</f>
        <v/>
      </c>
      <c r="AR543">
        <f>IF($AN543=1,IFERROR(VALUE(MID($E543,2,20)),1000000000)+ROW()/100000,"")</f>
        <v/>
      </c>
    </row>
    <row r="544">
      <c r="G544" s="11" t="n"/>
      <c r="Q544" s="7">
        <f>IF($E544="","",P544*Y544/100)</f>
        <v/>
      </c>
      <c r="R544" s="7" t="n"/>
      <c r="X544" s="7" t="n"/>
      <c r="Y544" s="7" t="n"/>
      <c r="AB544">
        <f>IF($E544="","",IF($AQ544=1,0,IF($AP544=1,Settings!$C$6,Settings!$C$7))*100)</f>
        <v/>
      </c>
      <c r="AC544" s="7">
        <f>IF($E544="","",Y544*AB544/100)</f>
        <v/>
      </c>
      <c r="AD544" s="7">
        <f>IF($E544="","",Y544-AC544)</f>
        <v/>
      </c>
      <c r="AE544" s="7">
        <f>IF($E544="","",AD544-Q544)</f>
        <v/>
      </c>
      <c r="AI544" s="7" t="n"/>
      <c r="AL544" s="11" t="n"/>
      <c r="AN544">
        <f>IF($E544="","",IF(COUNTIF($E$2:$E544,$E544)=1,1,0))</f>
        <v/>
      </c>
      <c r="AO544">
        <f>IF($AN544=1,SUMPRODUCT(--($AR$2:$AR$4001&lt;$AR544))+1,"")</f>
        <v/>
      </c>
      <c r="AP544">
        <f>IF($E544="","",IF(OR($U544=TRUE(),$U544="TRUE"),1,0))</f>
        <v/>
      </c>
      <c r="AQ544">
        <f>IF($E544="","",IF($AA544="Yes",1,0))</f>
        <v/>
      </c>
      <c r="AR544">
        <f>IF($AN544=1,IFERROR(VALUE(MID($E544,2,20)),1000000000)+ROW()/100000,"")</f>
        <v/>
      </c>
    </row>
    <row r="545">
      <c r="G545" s="11" t="n"/>
      <c r="Q545" s="7">
        <f>IF($E545="","",P545*Y545/100)</f>
        <v/>
      </c>
      <c r="R545" s="7" t="n"/>
      <c r="X545" s="7" t="n"/>
      <c r="Y545" s="7" t="n"/>
      <c r="AB545">
        <f>IF($E545="","",IF($AQ545=1,0,IF($AP545=1,Settings!$C$6,Settings!$C$7))*100)</f>
        <v/>
      </c>
      <c r="AC545" s="7">
        <f>IF($E545="","",Y545*AB545/100)</f>
        <v/>
      </c>
      <c r="AD545" s="7">
        <f>IF($E545="","",Y545-AC545)</f>
        <v/>
      </c>
      <c r="AE545" s="7">
        <f>IF($E545="","",AD545-Q545)</f>
        <v/>
      </c>
      <c r="AI545" s="7" t="n"/>
      <c r="AL545" s="11" t="n"/>
      <c r="AN545">
        <f>IF($E545="","",IF(COUNTIF($E$2:$E545,$E545)=1,1,0))</f>
        <v/>
      </c>
      <c r="AO545">
        <f>IF($AN545=1,SUMPRODUCT(--($AR$2:$AR$4001&lt;$AR545))+1,"")</f>
        <v/>
      </c>
      <c r="AP545">
        <f>IF($E545="","",IF(OR($U545=TRUE(),$U545="TRUE"),1,0))</f>
        <v/>
      </c>
      <c r="AQ545">
        <f>IF($E545="","",IF($AA545="Yes",1,0))</f>
        <v/>
      </c>
      <c r="AR545">
        <f>IF($AN545=1,IFERROR(VALUE(MID($E545,2,20)),1000000000)+ROW()/100000,"")</f>
        <v/>
      </c>
    </row>
    <row r="546">
      <c r="G546" s="11" t="n"/>
      <c r="Q546" s="7">
        <f>IF($E546="","",P546*Y546/100)</f>
        <v/>
      </c>
      <c r="R546" s="7" t="n"/>
      <c r="X546" s="7" t="n"/>
      <c r="Y546" s="7" t="n"/>
      <c r="AB546">
        <f>IF($E546="","",IF($AQ546=1,0,IF($AP546=1,Settings!$C$6,Settings!$C$7))*100)</f>
        <v/>
      </c>
      <c r="AC546" s="7">
        <f>IF($E546="","",Y546*AB546/100)</f>
        <v/>
      </c>
      <c r="AD546" s="7">
        <f>IF($E546="","",Y546-AC546)</f>
        <v/>
      </c>
      <c r="AE546" s="7">
        <f>IF($E546="","",AD546-Q546)</f>
        <v/>
      </c>
      <c r="AI546" s="7" t="n"/>
      <c r="AL546" s="11" t="n"/>
      <c r="AN546">
        <f>IF($E546="","",IF(COUNTIF($E$2:$E546,$E546)=1,1,0))</f>
        <v/>
      </c>
      <c r="AO546">
        <f>IF($AN546=1,SUMPRODUCT(--($AR$2:$AR$4001&lt;$AR546))+1,"")</f>
        <v/>
      </c>
      <c r="AP546">
        <f>IF($E546="","",IF(OR($U546=TRUE(),$U546="TRUE"),1,0))</f>
        <v/>
      </c>
      <c r="AQ546">
        <f>IF($E546="","",IF($AA546="Yes",1,0))</f>
        <v/>
      </c>
      <c r="AR546">
        <f>IF($AN546=1,IFERROR(VALUE(MID($E546,2,20)),1000000000)+ROW()/100000,"")</f>
        <v/>
      </c>
    </row>
    <row r="547">
      <c r="G547" s="11" t="n"/>
      <c r="Q547" s="7">
        <f>IF($E547="","",P547*Y547/100)</f>
        <v/>
      </c>
      <c r="R547" s="7" t="n"/>
      <c r="X547" s="7" t="n"/>
      <c r="Y547" s="7" t="n"/>
      <c r="AB547">
        <f>IF($E547="","",IF($AQ547=1,0,IF($AP547=1,Settings!$C$6,Settings!$C$7))*100)</f>
        <v/>
      </c>
      <c r="AC547" s="7">
        <f>IF($E547="","",Y547*AB547/100)</f>
        <v/>
      </c>
      <c r="AD547" s="7">
        <f>IF($E547="","",Y547-AC547)</f>
        <v/>
      </c>
      <c r="AE547" s="7">
        <f>IF($E547="","",AD547-Q547)</f>
        <v/>
      </c>
      <c r="AI547" s="7" t="n"/>
      <c r="AL547" s="11" t="n"/>
      <c r="AN547">
        <f>IF($E547="","",IF(COUNTIF($E$2:$E547,$E547)=1,1,0))</f>
        <v/>
      </c>
      <c r="AO547">
        <f>IF($AN547=1,SUMPRODUCT(--($AR$2:$AR$4001&lt;$AR547))+1,"")</f>
        <v/>
      </c>
      <c r="AP547">
        <f>IF($E547="","",IF(OR($U547=TRUE(),$U547="TRUE"),1,0))</f>
        <v/>
      </c>
      <c r="AQ547">
        <f>IF($E547="","",IF($AA547="Yes",1,0))</f>
        <v/>
      </c>
      <c r="AR547">
        <f>IF($AN547=1,IFERROR(VALUE(MID($E547,2,20)),1000000000)+ROW()/100000,"")</f>
        <v/>
      </c>
    </row>
    <row r="548">
      <c r="G548" s="11" t="n"/>
      <c r="Q548" s="7">
        <f>IF($E548="","",P548*Y548/100)</f>
        <v/>
      </c>
      <c r="R548" s="7" t="n"/>
      <c r="X548" s="7" t="n"/>
      <c r="Y548" s="7" t="n"/>
      <c r="AB548">
        <f>IF($E548="","",IF($AQ548=1,0,IF($AP548=1,Settings!$C$6,Settings!$C$7))*100)</f>
        <v/>
      </c>
      <c r="AC548" s="7">
        <f>IF($E548="","",Y548*AB548/100)</f>
        <v/>
      </c>
      <c r="AD548" s="7">
        <f>IF($E548="","",Y548-AC548)</f>
        <v/>
      </c>
      <c r="AE548" s="7">
        <f>IF($E548="","",AD548-Q548)</f>
        <v/>
      </c>
      <c r="AI548" s="7" t="n"/>
      <c r="AL548" s="11" t="n"/>
      <c r="AN548">
        <f>IF($E548="","",IF(COUNTIF($E$2:$E548,$E548)=1,1,0))</f>
        <v/>
      </c>
      <c r="AO548">
        <f>IF($AN548=1,SUMPRODUCT(--($AR$2:$AR$4001&lt;$AR548))+1,"")</f>
        <v/>
      </c>
      <c r="AP548">
        <f>IF($E548="","",IF(OR($U548=TRUE(),$U548="TRUE"),1,0))</f>
        <v/>
      </c>
      <c r="AQ548">
        <f>IF($E548="","",IF($AA548="Yes",1,0))</f>
        <v/>
      </c>
      <c r="AR548">
        <f>IF($AN548=1,IFERROR(VALUE(MID($E548,2,20)),1000000000)+ROW()/100000,"")</f>
        <v/>
      </c>
    </row>
    <row r="549">
      <c r="G549" s="11" t="n"/>
      <c r="Q549" s="7">
        <f>IF($E549="","",P549*Y549/100)</f>
        <v/>
      </c>
      <c r="R549" s="7" t="n"/>
      <c r="X549" s="7" t="n"/>
      <c r="Y549" s="7" t="n"/>
      <c r="AB549">
        <f>IF($E549="","",IF($AQ549=1,0,IF($AP549=1,Settings!$C$6,Settings!$C$7))*100)</f>
        <v/>
      </c>
      <c r="AC549" s="7">
        <f>IF($E549="","",Y549*AB549/100)</f>
        <v/>
      </c>
      <c r="AD549" s="7">
        <f>IF($E549="","",Y549-AC549)</f>
        <v/>
      </c>
      <c r="AE549" s="7">
        <f>IF($E549="","",AD549-Q549)</f>
        <v/>
      </c>
      <c r="AI549" s="7" t="n"/>
      <c r="AL549" s="11" t="n"/>
      <c r="AN549">
        <f>IF($E549="","",IF(COUNTIF($E$2:$E549,$E549)=1,1,0))</f>
        <v/>
      </c>
      <c r="AO549">
        <f>IF($AN549=1,SUMPRODUCT(--($AR$2:$AR$4001&lt;$AR549))+1,"")</f>
        <v/>
      </c>
      <c r="AP549">
        <f>IF($E549="","",IF(OR($U549=TRUE(),$U549="TRUE"),1,0))</f>
        <v/>
      </c>
      <c r="AQ549">
        <f>IF($E549="","",IF($AA549="Yes",1,0))</f>
        <v/>
      </c>
      <c r="AR549">
        <f>IF($AN549=1,IFERROR(VALUE(MID($E549,2,20)),1000000000)+ROW()/100000,"")</f>
        <v/>
      </c>
    </row>
    <row r="550">
      <c r="G550" s="11" t="n"/>
      <c r="Q550" s="7">
        <f>IF($E550="","",P550*Y550/100)</f>
        <v/>
      </c>
      <c r="R550" s="7" t="n"/>
      <c r="X550" s="7" t="n"/>
      <c r="Y550" s="7" t="n"/>
      <c r="AB550">
        <f>IF($E550="","",IF($AQ550=1,0,IF($AP550=1,Settings!$C$6,Settings!$C$7))*100)</f>
        <v/>
      </c>
      <c r="AC550" s="7">
        <f>IF($E550="","",Y550*AB550/100)</f>
        <v/>
      </c>
      <c r="AD550" s="7">
        <f>IF($E550="","",Y550-AC550)</f>
        <v/>
      </c>
      <c r="AE550" s="7">
        <f>IF($E550="","",AD550-Q550)</f>
        <v/>
      </c>
      <c r="AI550" s="7" t="n"/>
      <c r="AL550" s="11" t="n"/>
      <c r="AN550">
        <f>IF($E550="","",IF(COUNTIF($E$2:$E550,$E550)=1,1,0))</f>
        <v/>
      </c>
      <c r="AO550">
        <f>IF($AN550=1,SUMPRODUCT(--($AR$2:$AR$4001&lt;$AR550))+1,"")</f>
        <v/>
      </c>
      <c r="AP550">
        <f>IF($E550="","",IF(OR($U550=TRUE(),$U550="TRUE"),1,0))</f>
        <v/>
      </c>
      <c r="AQ550">
        <f>IF($E550="","",IF($AA550="Yes",1,0))</f>
        <v/>
      </c>
      <c r="AR550">
        <f>IF($AN550=1,IFERROR(VALUE(MID($E550,2,20)),1000000000)+ROW()/100000,"")</f>
        <v/>
      </c>
    </row>
    <row r="551">
      <c r="G551" s="11" t="n"/>
      <c r="Q551" s="7">
        <f>IF($E551="","",P551*Y551/100)</f>
        <v/>
      </c>
      <c r="R551" s="7" t="n"/>
      <c r="X551" s="7" t="n"/>
      <c r="Y551" s="7" t="n"/>
      <c r="AB551">
        <f>IF($E551="","",IF($AQ551=1,0,IF($AP551=1,Settings!$C$6,Settings!$C$7))*100)</f>
        <v/>
      </c>
      <c r="AC551" s="7">
        <f>IF($E551="","",Y551*AB551/100)</f>
        <v/>
      </c>
      <c r="AD551" s="7">
        <f>IF($E551="","",Y551-AC551)</f>
        <v/>
      </c>
      <c r="AE551" s="7">
        <f>IF($E551="","",AD551-Q551)</f>
        <v/>
      </c>
      <c r="AI551" s="7" t="n"/>
      <c r="AL551" s="11" t="n"/>
      <c r="AN551">
        <f>IF($E551="","",IF(COUNTIF($E$2:$E551,$E551)=1,1,0))</f>
        <v/>
      </c>
      <c r="AO551">
        <f>IF($AN551=1,SUMPRODUCT(--($AR$2:$AR$4001&lt;$AR551))+1,"")</f>
        <v/>
      </c>
      <c r="AP551">
        <f>IF($E551="","",IF(OR($U551=TRUE(),$U551="TRUE"),1,0))</f>
        <v/>
      </c>
      <c r="AQ551">
        <f>IF($E551="","",IF($AA551="Yes",1,0))</f>
        <v/>
      </c>
      <c r="AR551">
        <f>IF($AN551=1,IFERROR(VALUE(MID($E551,2,20)),1000000000)+ROW()/100000,"")</f>
        <v/>
      </c>
    </row>
    <row r="552">
      <c r="G552" s="11" t="n"/>
      <c r="Q552" s="7">
        <f>IF($E552="","",P552*Y552/100)</f>
        <v/>
      </c>
      <c r="R552" s="7" t="n"/>
      <c r="X552" s="7" t="n"/>
      <c r="Y552" s="7" t="n"/>
      <c r="AB552">
        <f>IF($E552="","",IF($AQ552=1,0,IF($AP552=1,Settings!$C$6,Settings!$C$7))*100)</f>
        <v/>
      </c>
      <c r="AC552" s="7">
        <f>IF($E552="","",Y552*AB552/100)</f>
        <v/>
      </c>
      <c r="AD552" s="7">
        <f>IF($E552="","",Y552-AC552)</f>
        <v/>
      </c>
      <c r="AE552" s="7">
        <f>IF($E552="","",AD552-Q552)</f>
        <v/>
      </c>
      <c r="AI552" s="7" t="n"/>
      <c r="AL552" s="11" t="n"/>
      <c r="AN552">
        <f>IF($E552="","",IF(COUNTIF($E$2:$E552,$E552)=1,1,0))</f>
        <v/>
      </c>
      <c r="AO552">
        <f>IF($AN552=1,SUMPRODUCT(--($AR$2:$AR$4001&lt;$AR552))+1,"")</f>
        <v/>
      </c>
      <c r="AP552">
        <f>IF($E552="","",IF(OR($U552=TRUE(),$U552="TRUE"),1,0))</f>
        <v/>
      </c>
      <c r="AQ552">
        <f>IF($E552="","",IF($AA552="Yes",1,0))</f>
        <v/>
      </c>
      <c r="AR552">
        <f>IF($AN552=1,IFERROR(VALUE(MID($E552,2,20)),1000000000)+ROW()/100000,"")</f>
        <v/>
      </c>
    </row>
    <row r="553">
      <c r="G553" s="11" t="n"/>
      <c r="Q553" s="7">
        <f>IF($E553="","",P553*Y553/100)</f>
        <v/>
      </c>
      <c r="R553" s="7" t="n"/>
      <c r="X553" s="7" t="n"/>
      <c r="Y553" s="7" t="n"/>
      <c r="AB553">
        <f>IF($E553="","",IF($AQ553=1,0,IF($AP553=1,Settings!$C$6,Settings!$C$7))*100)</f>
        <v/>
      </c>
      <c r="AC553" s="7">
        <f>IF($E553="","",Y553*AB553/100)</f>
        <v/>
      </c>
      <c r="AD553" s="7">
        <f>IF($E553="","",Y553-AC553)</f>
        <v/>
      </c>
      <c r="AE553" s="7">
        <f>IF($E553="","",AD553-Q553)</f>
        <v/>
      </c>
      <c r="AI553" s="7" t="n"/>
      <c r="AL553" s="11" t="n"/>
      <c r="AN553">
        <f>IF($E553="","",IF(COUNTIF($E$2:$E553,$E553)=1,1,0))</f>
        <v/>
      </c>
      <c r="AO553">
        <f>IF($AN553=1,SUMPRODUCT(--($AR$2:$AR$4001&lt;$AR553))+1,"")</f>
        <v/>
      </c>
      <c r="AP553">
        <f>IF($E553="","",IF(OR($U553=TRUE(),$U553="TRUE"),1,0))</f>
        <v/>
      </c>
      <c r="AQ553">
        <f>IF($E553="","",IF($AA553="Yes",1,0))</f>
        <v/>
      </c>
      <c r="AR553">
        <f>IF($AN553=1,IFERROR(VALUE(MID($E553,2,20)),1000000000)+ROW()/100000,"")</f>
        <v/>
      </c>
    </row>
    <row r="554">
      <c r="G554" s="11" t="n"/>
      <c r="Q554" s="7">
        <f>IF($E554="","",P554*Y554/100)</f>
        <v/>
      </c>
      <c r="R554" s="7" t="n"/>
      <c r="X554" s="7" t="n"/>
      <c r="Y554" s="7" t="n"/>
      <c r="AB554">
        <f>IF($E554="","",IF($AQ554=1,0,IF($AP554=1,Settings!$C$6,Settings!$C$7))*100)</f>
        <v/>
      </c>
      <c r="AC554" s="7">
        <f>IF($E554="","",Y554*AB554/100)</f>
        <v/>
      </c>
      <c r="AD554" s="7">
        <f>IF($E554="","",Y554-AC554)</f>
        <v/>
      </c>
      <c r="AE554" s="7">
        <f>IF($E554="","",AD554-Q554)</f>
        <v/>
      </c>
      <c r="AI554" s="7" t="n"/>
      <c r="AL554" s="11" t="n"/>
      <c r="AN554">
        <f>IF($E554="","",IF(COUNTIF($E$2:$E554,$E554)=1,1,0))</f>
        <v/>
      </c>
      <c r="AO554">
        <f>IF($AN554=1,SUMPRODUCT(--($AR$2:$AR$4001&lt;$AR554))+1,"")</f>
        <v/>
      </c>
      <c r="AP554">
        <f>IF($E554="","",IF(OR($U554=TRUE(),$U554="TRUE"),1,0))</f>
        <v/>
      </c>
      <c r="AQ554">
        <f>IF($E554="","",IF($AA554="Yes",1,0))</f>
        <v/>
      </c>
      <c r="AR554">
        <f>IF($AN554=1,IFERROR(VALUE(MID($E554,2,20)),1000000000)+ROW()/100000,"")</f>
        <v/>
      </c>
    </row>
    <row r="555">
      <c r="G555" s="11" t="n"/>
      <c r="Q555" s="7">
        <f>IF($E555="","",P555*Y555/100)</f>
        <v/>
      </c>
      <c r="R555" s="7" t="n"/>
      <c r="X555" s="7" t="n"/>
      <c r="Y555" s="7" t="n"/>
      <c r="AB555">
        <f>IF($E555="","",IF($AQ555=1,0,IF($AP555=1,Settings!$C$6,Settings!$C$7))*100)</f>
        <v/>
      </c>
      <c r="AC555" s="7">
        <f>IF($E555="","",Y555*AB555/100)</f>
        <v/>
      </c>
      <c r="AD555" s="7">
        <f>IF($E555="","",Y555-AC555)</f>
        <v/>
      </c>
      <c r="AE555" s="7">
        <f>IF($E555="","",AD555-Q555)</f>
        <v/>
      </c>
      <c r="AI555" s="7" t="n"/>
      <c r="AL555" s="11" t="n"/>
      <c r="AN555">
        <f>IF($E555="","",IF(COUNTIF($E$2:$E555,$E555)=1,1,0))</f>
        <v/>
      </c>
      <c r="AO555">
        <f>IF($AN555=1,SUMPRODUCT(--($AR$2:$AR$4001&lt;$AR555))+1,"")</f>
        <v/>
      </c>
      <c r="AP555">
        <f>IF($E555="","",IF(OR($U555=TRUE(),$U555="TRUE"),1,0))</f>
        <v/>
      </c>
      <c r="AQ555">
        <f>IF($E555="","",IF($AA555="Yes",1,0))</f>
        <v/>
      </c>
      <c r="AR555">
        <f>IF($AN555=1,IFERROR(VALUE(MID($E555,2,20)),1000000000)+ROW()/100000,"")</f>
        <v/>
      </c>
    </row>
    <row r="556">
      <c r="G556" s="11" t="n"/>
      <c r="Q556" s="7">
        <f>IF($E556="","",P556*Y556/100)</f>
        <v/>
      </c>
      <c r="R556" s="7" t="n"/>
      <c r="X556" s="7" t="n"/>
      <c r="Y556" s="7" t="n"/>
      <c r="AB556">
        <f>IF($E556="","",IF($AQ556=1,0,IF($AP556=1,Settings!$C$6,Settings!$C$7))*100)</f>
        <v/>
      </c>
      <c r="AC556" s="7">
        <f>IF($E556="","",Y556*AB556/100)</f>
        <v/>
      </c>
      <c r="AD556" s="7">
        <f>IF($E556="","",Y556-AC556)</f>
        <v/>
      </c>
      <c r="AE556" s="7">
        <f>IF($E556="","",AD556-Q556)</f>
        <v/>
      </c>
      <c r="AI556" s="7" t="n"/>
      <c r="AL556" s="11" t="n"/>
      <c r="AN556">
        <f>IF($E556="","",IF(COUNTIF($E$2:$E556,$E556)=1,1,0))</f>
        <v/>
      </c>
      <c r="AO556">
        <f>IF($AN556=1,SUMPRODUCT(--($AR$2:$AR$4001&lt;$AR556))+1,"")</f>
        <v/>
      </c>
      <c r="AP556">
        <f>IF($E556="","",IF(OR($U556=TRUE(),$U556="TRUE"),1,0))</f>
        <v/>
      </c>
      <c r="AQ556">
        <f>IF($E556="","",IF($AA556="Yes",1,0))</f>
        <v/>
      </c>
      <c r="AR556">
        <f>IF($AN556=1,IFERROR(VALUE(MID($E556,2,20)),1000000000)+ROW()/100000,"")</f>
        <v/>
      </c>
    </row>
    <row r="557">
      <c r="G557" s="11" t="n"/>
      <c r="Q557" s="7">
        <f>IF($E557="","",P557*Y557/100)</f>
        <v/>
      </c>
      <c r="R557" s="7" t="n"/>
      <c r="X557" s="7" t="n"/>
      <c r="Y557" s="7" t="n"/>
      <c r="AB557">
        <f>IF($E557="","",IF($AQ557=1,0,IF($AP557=1,Settings!$C$6,Settings!$C$7))*100)</f>
        <v/>
      </c>
      <c r="AC557" s="7">
        <f>IF($E557="","",Y557*AB557/100)</f>
        <v/>
      </c>
      <c r="AD557" s="7">
        <f>IF($E557="","",Y557-AC557)</f>
        <v/>
      </c>
      <c r="AE557" s="7">
        <f>IF($E557="","",AD557-Q557)</f>
        <v/>
      </c>
      <c r="AI557" s="7" t="n"/>
      <c r="AL557" s="11" t="n"/>
      <c r="AN557">
        <f>IF($E557="","",IF(COUNTIF($E$2:$E557,$E557)=1,1,0))</f>
        <v/>
      </c>
      <c r="AO557">
        <f>IF($AN557=1,SUMPRODUCT(--($AR$2:$AR$4001&lt;$AR557))+1,"")</f>
        <v/>
      </c>
      <c r="AP557">
        <f>IF($E557="","",IF(OR($U557=TRUE(),$U557="TRUE"),1,0))</f>
        <v/>
      </c>
      <c r="AQ557">
        <f>IF($E557="","",IF($AA557="Yes",1,0))</f>
        <v/>
      </c>
      <c r="AR557">
        <f>IF($AN557=1,IFERROR(VALUE(MID($E557,2,20)),1000000000)+ROW()/100000,"")</f>
        <v/>
      </c>
    </row>
    <row r="558">
      <c r="G558" s="11" t="n"/>
      <c r="Q558" s="7">
        <f>IF($E558="","",P558*Y558/100)</f>
        <v/>
      </c>
      <c r="R558" s="7" t="n"/>
      <c r="X558" s="7" t="n"/>
      <c r="Y558" s="7" t="n"/>
      <c r="AB558">
        <f>IF($E558="","",IF($AQ558=1,0,IF($AP558=1,Settings!$C$6,Settings!$C$7))*100)</f>
        <v/>
      </c>
      <c r="AC558" s="7">
        <f>IF($E558="","",Y558*AB558/100)</f>
        <v/>
      </c>
      <c r="AD558" s="7">
        <f>IF($E558="","",Y558-AC558)</f>
        <v/>
      </c>
      <c r="AE558" s="7">
        <f>IF($E558="","",AD558-Q558)</f>
        <v/>
      </c>
      <c r="AI558" s="7" t="n"/>
      <c r="AL558" s="11" t="n"/>
      <c r="AN558">
        <f>IF($E558="","",IF(COUNTIF($E$2:$E558,$E558)=1,1,0))</f>
        <v/>
      </c>
      <c r="AO558">
        <f>IF($AN558=1,SUMPRODUCT(--($AR$2:$AR$4001&lt;$AR558))+1,"")</f>
        <v/>
      </c>
      <c r="AP558">
        <f>IF($E558="","",IF(OR($U558=TRUE(),$U558="TRUE"),1,0))</f>
        <v/>
      </c>
      <c r="AQ558">
        <f>IF($E558="","",IF($AA558="Yes",1,0))</f>
        <v/>
      </c>
      <c r="AR558">
        <f>IF($AN558=1,IFERROR(VALUE(MID($E558,2,20)),1000000000)+ROW()/100000,"")</f>
        <v/>
      </c>
    </row>
    <row r="559">
      <c r="G559" s="11" t="n"/>
      <c r="Q559" s="7">
        <f>IF($E559="","",P559*Y559/100)</f>
        <v/>
      </c>
      <c r="R559" s="7" t="n"/>
      <c r="X559" s="7" t="n"/>
      <c r="Y559" s="7" t="n"/>
      <c r="AB559">
        <f>IF($E559="","",IF($AQ559=1,0,IF($AP559=1,Settings!$C$6,Settings!$C$7))*100)</f>
        <v/>
      </c>
      <c r="AC559" s="7">
        <f>IF($E559="","",Y559*AB559/100)</f>
        <v/>
      </c>
      <c r="AD559" s="7">
        <f>IF($E559="","",Y559-AC559)</f>
        <v/>
      </c>
      <c r="AE559" s="7">
        <f>IF($E559="","",AD559-Q559)</f>
        <v/>
      </c>
      <c r="AI559" s="7" t="n"/>
      <c r="AL559" s="11" t="n"/>
      <c r="AN559">
        <f>IF($E559="","",IF(COUNTIF($E$2:$E559,$E559)=1,1,0))</f>
        <v/>
      </c>
      <c r="AO559">
        <f>IF($AN559=1,SUMPRODUCT(--($AR$2:$AR$4001&lt;$AR559))+1,"")</f>
        <v/>
      </c>
      <c r="AP559">
        <f>IF($E559="","",IF(OR($U559=TRUE(),$U559="TRUE"),1,0))</f>
        <v/>
      </c>
      <c r="AQ559">
        <f>IF($E559="","",IF($AA559="Yes",1,0))</f>
        <v/>
      </c>
      <c r="AR559">
        <f>IF($AN559=1,IFERROR(VALUE(MID($E559,2,20)),1000000000)+ROW()/100000,"")</f>
        <v/>
      </c>
    </row>
    <row r="560">
      <c r="G560" s="11" t="n"/>
      <c r="Q560" s="7">
        <f>IF($E560="","",P560*Y560/100)</f>
        <v/>
      </c>
      <c r="R560" s="7" t="n"/>
      <c r="X560" s="7" t="n"/>
      <c r="Y560" s="7" t="n"/>
      <c r="AB560">
        <f>IF($E560="","",IF($AQ560=1,0,IF($AP560=1,Settings!$C$6,Settings!$C$7))*100)</f>
        <v/>
      </c>
      <c r="AC560" s="7">
        <f>IF($E560="","",Y560*AB560/100)</f>
        <v/>
      </c>
      <c r="AD560" s="7">
        <f>IF($E560="","",Y560-AC560)</f>
        <v/>
      </c>
      <c r="AE560" s="7">
        <f>IF($E560="","",AD560-Q560)</f>
        <v/>
      </c>
      <c r="AI560" s="7" t="n"/>
      <c r="AL560" s="11" t="n"/>
      <c r="AN560">
        <f>IF($E560="","",IF(COUNTIF($E$2:$E560,$E560)=1,1,0))</f>
        <v/>
      </c>
      <c r="AO560">
        <f>IF($AN560=1,SUMPRODUCT(--($AR$2:$AR$4001&lt;$AR560))+1,"")</f>
        <v/>
      </c>
      <c r="AP560">
        <f>IF($E560="","",IF(OR($U560=TRUE(),$U560="TRUE"),1,0))</f>
        <v/>
      </c>
      <c r="AQ560">
        <f>IF($E560="","",IF($AA560="Yes",1,0))</f>
        <v/>
      </c>
      <c r="AR560">
        <f>IF($AN560=1,IFERROR(VALUE(MID($E560,2,20)),1000000000)+ROW()/100000,"")</f>
        <v/>
      </c>
    </row>
    <row r="561">
      <c r="G561" s="11" t="n"/>
      <c r="Q561" s="7">
        <f>IF($E561="","",P561*Y561/100)</f>
        <v/>
      </c>
      <c r="R561" s="7" t="n"/>
      <c r="X561" s="7" t="n"/>
      <c r="Y561" s="7" t="n"/>
      <c r="AB561">
        <f>IF($E561="","",IF($AQ561=1,0,IF($AP561=1,Settings!$C$6,Settings!$C$7))*100)</f>
        <v/>
      </c>
      <c r="AC561" s="7">
        <f>IF($E561="","",Y561*AB561/100)</f>
        <v/>
      </c>
      <c r="AD561" s="7">
        <f>IF($E561="","",Y561-AC561)</f>
        <v/>
      </c>
      <c r="AE561" s="7">
        <f>IF($E561="","",AD561-Q561)</f>
        <v/>
      </c>
      <c r="AI561" s="7" t="n"/>
      <c r="AL561" s="11" t="n"/>
      <c r="AN561">
        <f>IF($E561="","",IF(COUNTIF($E$2:$E561,$E561)=1,1,0))</f>
        <v/>
      </c>
      <c r="AO561">
        <f>IF($AN561=1,SUMPRODUCT(--($AR$2:$AR$4001&lt;$AR561))+1,"")</f>
        <v/>
      </c>
      <c r="AP561">
        <f>IF($E561="","",IF(OR($U561=TRUE(),$U561="TRUE"),1,0))</f>
        <v/>
      </c>
      <c r="AQ561">
        <f>IF($E561="","",IF($AA561="Yes",1,0))</f>
        <v/>
      </c>
      <c r="AR561">
        <f>IF($AN561=1,IFERROR(VALUE(MID($E561,2,20)),1000000000)+ROW()/100000,"")</f>
        <v/>
      </c>
    </row>
    <row r="562">
      <c r="G562" s="11" t="n"/>
      <c r="Q562" s="7">
        <f>IF($E562="","",P562*Y562/100)</f>
        <v/>
      </c>
      <c r="R562" s="7" t="n"/>
      <c r="X562" s="7" t="n"/>
      <c r="Y562" s="7" t="n"/>
      <c r="AB562">
        <f>IF($E562="","",IF($AQ562=1,0,IF($AP562=1,Settings!$C$6,Settings!$C$7))*100)</f>
        <v/>
      </c>
      <c r="AC562" s="7">
        <f>IF($E562="","",Y562*AB562/100)</f>
        <v/>
      </c>
      <c r="AD562" s="7">
        <f>IF($E562="","",Y562-AC562)</f>
        <v/>
      </c>
      <c r="AE562" s="7">
        <f>IF($E562="","",AD562-Q562)</f>
        <v/>
      </c>
      <c r="AI562" s="7" t="n"/>
      <c r="AL562" s="11" t="n"/>
      <c r="AN562">
        <f>IF($E562="","",IF(COUNTIF($E$2:$E562,$E562)=1,1,0))</f>
        <v/>
      </c>
      <c r="AO562">
        <f>IF($AN562=1,SUMPRODUCT(--($AR$2:$AR$4001&lt;$AR562))+1,"")</f>
        <v/>
      </c>
      <c r="AP562">
        <f>IF($E562="","",IF(OR($U562=TRUE(),$U562="TRUE"),1,0))</f>
        <v/>
      </c>
      <c r="AQ562">
        <f>IF($E562="","",IF($AA562="Yes",1,0))</f>
        <v/>
      </c>
      <c r="AR562">
        <f>IF($AN562=1,IFERROR(VALUE(MID($E562,2,20)),1000000000)+ROW()/100000,"")</f>
        <v/>
      </c>
    </row>
    <row r="563">
      <c r="G563" s="11" t="n"/>
      <c r="Q563" s="7">
        <f>IF($E563="","",P563*Y563/100)</f>
        <v/>
      </c>
      <c r="R563" s="7" t="n"/>
      <c r="X563" s="7" t="n"/>
      <c r="Y563" s="7" t="n"/>
      <c r="AB563">
        <f>IF($E563="","",IF($AQ563=1,0,IF($AP563=1,Settings!$C$6,Settings!$C$7))*100)</f>
        <v/>
      </c>
      <c r="AC563" s="7">
        <f>IF($E563="","",Y563*AB563/100)</f>
        <v/>
      </c>
      <c r="AD563" s="7">
        <f>IF($E563="","",Y563-AC563)</f>
        <v/>
      </c>
      <c r="AE563" s="7">
        <f>IF($E563="","",AD563-Q563)</f>
        <v/>
      </c>
      <c r="AI563" s="7" t="n"/>
      <c r="AL563" s="11" t="n"/>
      <c r="AN563">
        <f>IF($E563="","",IF(COUNTIF($E$2:$E563,$E563)=1,1,0))</f>
        <v/>
      </c>
      <c r="AO563">
        <f>IF($AN563=1,SUMPRODUCT(--($AR$2:$AR$4001&lt;$AR563))+1,"")</f>
        <v/>
      </c>
      <c r="AP563">
        <f>IF($E563="","",IF(OR($U563=TRUE(),$U563="TRUE"),1,0))</f>
        <v/>
      </c>
      <c r="AQ563">
        <f>IF($E563="","",IF($AA563="Yes",1,0))</f>
        <v/>
      </c>
      <c r="AR563">
        <f>IF($AN563=1,IFERROR(VALUE(MID($E563,2,20)),1000000000)+ROW()/100000,"")</f>
        <v/>
      </c>
    </row>
    <row r="564">
      <c r="G564" s="11" t="n"/>
      <c r="Q564" s="7">
        <f>IF($E564="","",P564*Y564/100)</f>
        <v/>
      </c>
      <c r="R564" s="7" t="n"/>
      <c r="X564" s="7" t="n"/>
      <c r="Y564" s="7" t="n"/>
      <c r="AB564">
        <f>IF($E564="","",IF($AQ564=1,0,IF($AP564=1,Settings!$C$6,Settings!$C$7))*100)</f>
        <v/>
      </c>
      <c r="AC564" s="7">
        <f>IF($E564="","",Y564*AB564/100)</f>
        <v/>
      </c>
      <c r="AD564" s="7">
        <f>IF($E564="","",Y564-AC564)</f>
        <v/>
      </c>
      <c r="AE564" s="7">
        <f>IF($E564="","",AD564-Q564)</f>
        <v/>
      </c>
      <c r="AI564" s="7" t="n"/>
      <c r="AL564" s="11" t="n"/>
      <c r="AN564">
        <f>IF($E564="","",IF(COUNTIF($E$2:$E564,$E564)=1,1,0))</f>
        <v/>
      </c>
      <c r="AO564">
        <f>IF($AN564=1,SUMPRODUCT(--($AR$2:$AR$4001&lt;$AR564))+1,"")</f>
        <v/>
      </c>
      <c r="AP564">
        <f>IF($E564="","",IF(OR($U564=TRUE(),$U564="TRUE"),1,0))</f>
        <v/>
      </c>
      <c r="AQ564">
        <f>IF($E564="","",IF($AA564="Yes",1,0))</f>
        <v/>
      </c>
      <c r="AR564">
        <f>IF($AN564=1,IFERROR(VALUE(MID($E564,2,20)),1000000000)+ROW()/100000,"")</f>
        <v/>
      </c>
    </row>
    <row r="565">
      <c r="G565" s="11" t="n"/>
      <c r="Q565" s="7">
        <f>IF($E565="","",P565*Y565/100)</f>
        <v/>
      </c>
      <c r="R565" s="7" t="n"/>
      <c r="X565" s="7" t="n"/>
      <c r="Y565" s="7" t="n"/>
      <c r="AB565">
        <f>IF($E565="","",IF($AQ565=1,0,IF($AP565=1,Settings!$C$6,Settings!$C$7))*100)</f>
        <v/>
      </c>
      <c r="AC565" s="7">
        <f>IF($E565="","",Y565*AB565/100)</f>
        <v/>
      </c>
      <c r="AD565" s="7">
        <f>IF($E565="","",Y565-AC565)</f>
        <v/>
      </c>
      <c r="AE565" s="7">
        <f>IF($E565="","",AD565-Q565)</f>
        <v/>
      </c>
      <c r="AI565" s="7" t="n"/>
      <c r="AL565" s="11" t="n"/>
      <c r="AN565">
        <f>IF($E565="","",IF(COUNTIF($E$2:$E565,$E565)=1,1,0))</f>
        <v/>
      </c>
      <c r="AO565">
        <f>IF($AN565=1,SUMPRODUCT(--($AR$2:$AR$4001&lt;$AR565))+1,"")</f>
        <v/>
      </c>
      <c r="AP565">
        <f>IF($E565="","",IF(OR($U565=TRUE(),$U565="TRUE"),1,0))</f>
        <v/>
      </c>
      <c r="AQ565">
        <f>IF($E565="","",IF($AA565="Yes",1,0))</f>
        <v/>
      </c>
      <c r="AR565">
        <f>IF($AN565=1,IFERROR(VALUE(MID($E565,2,20)),1000000000)+ROW()/100000,"")</f>
        <v/>
      </c>
    </row>
    <row r="566">
      <c r="G566" s="11" t="n"/>
      <c r="Q566" s="7">
        <f>IF($E566="","",P566*Y566/100)</f>
        <v/>
      </c>
      <c r="R566" s="7" t="n"/>
      <c r="X566" s="7" t="n"/>
      <c r="Y566" s="7" t="n"/>
      <c r="AB566">
        <f>IF($E566="","",IF($AQ566=1,0,IF($AP566=1,Settings!$C$6,Settings!$C$7))*100)</f>
        <v/>
      </c>
      <c r="AC566" s="7">
        <f>IF($E566="","",Y566*AB566/100)</f>
        <v/>
      </c>
      <c r="AD566" s="7">
        <f>IF($E566="","",Y566-AC566)</f>
        <v/>
      </c>
      <c r="AE566" s="7">
        <f>IF($E566="","",AD566-Q566)</f>
        <v/>
      </c>
      <c r="AI566" s="7" t="n"/>
      <c r="AL566" s="11" t="n"/>
      <c r="AN566">
        <f>IF($E566="","",IF(COUNTIF($E$2:$E566,$E566)=1,1,0))</f>
        <v/>
      </c>
      <c r="AO566">
        <f>IF($AN566=1,SUMPRODUCT(--($AR$2:$AR$4001&lt;$AR566))+1,"")</f>
        <v/>
      </c>
      <c r="AP566">
        <f>IF($E566="","",IF(OR($U566=TRUE(),$U566="TRUE"),1,0))</f>
        <v/>
      </c>
      <c r="AQ566">
        <f>IF($E566="","",IF($AA566="Yes",1,0))</f>
        <v/>
      </c>
      <c r="AR566">
        <f>IF($AN566=1,IFERROR(VALUE(MID($E566,2,20)),1000000000)+ROW()/100000,"")</f>
        <v/>
      </c>
    </row>
    <row r="567">
      <c r="G567" s="11" t="n"/>
      <c r="Q567" s="7">
        <f>IF($E567="","",P567*Y567/100)</f>
        <v/>
      </c>
      <c r="R567" s="7" t="n"/>
      <c r="X567" s="7" t="n"/>
      <c r="Y567" s="7" t="n"/>
      <c r="AB567">
        <f>IF($E567="","",IF($AQ567=1,0,IF($AP567=1,Settings!$C$6,Settings!$C$7))*100)</f>
        <v/>
      </c>
      <c r="AC567" s="7">
        <f>IF($E567="","",Y567*AB567/100)</f>
        <v/>
      </c>
      <c r="AD567" s="7">
        <f>IF($E567="","",Y567-AC567)</f>
        <v/>
      </c>
      <c r="AE567" s="7">
        <f>IF($E567="","",AD567-Q567)</f>
        <v/>
      </c>
      <c r="AI567" s="7" t="n"/>
      <c r="AL567" s="11" t="n"/>
      <c r="AN567">
        <f>IF($E567="","",IF(COUNTIF($E$2:$E567,$E567)=1,1,0))</f>
        <v/>
      </c>
      <c r="AO567">
        <f>IF($AN567=1,SUMPRODUCT(--($AR$2:$AR$4001&lt;$AR567))+1,"")</f>
        <v/>
      </c>
      <c r="AP567">
        <f>IF($E567="","",IF(OR($U567=TRUE(),$U567="TRUE"),1,0))</f>
        <v/>
      </c>
      <c r="AQ567">
        <f>IF($E567="","",IF($AA567="Yes",1,0))</f>
        <v/>
      </c>
      <c r="AR567">
        <f>IF($AN567=1,IFERROR(VALUE(MID($E567,2,20)),1000000000)+ROW()/100000,"")</f>
        <v/>
      </c>
    </row>
    <row r="568">
      <c r="G568" s="11" t="n"/>
      <c r="Q568" s="7">
        <f>IF($E568="","",P568*Y568/100)</f>
        <v/>
      </c>
      <c r="R568" s="7" t="n"/>
      <c r="X568" s="7" t="n"/>
      <c r="Y568" s="7" t="n"/>
      <c r="AB568">
        <f>IF($E568="","",IF($AQ568=1,0,IF($AP568=1,Settings!$C$6,Settings!$C$7))*100)</f>
        <v/>
      </c>
      <c r="AC568" s="7">
        <f>IF($E568="","",Y568*AB568/100)</f>
        <v/>
      </c>
      <c r="AD568" s="7">
        <f>IF($E568="","",Y568-AC568)</f>
        <v/>
      </c>
      <c r="AE568" s="7">
        <f>IF($E568="","",AD568-Q568)</f>
        <v/>
      </c>
      <c r="AI568" s="7" t="n"/>
      <c r="AL568" s="11" t="n"/>
      <c r="AN568">
        <f>IF($E568="","",IF(COUNTIF($E$2:$E568,$E568)=1,1,0))</f>
        <v/>
      </c>
      <c r="AO568">
        <f>IF($AN568=1,SUMPRODUCT(--($AR$2:$AR$4001&lt;$AR568))+1,"")</f>
        <v/>
      </c>
      <c r="AP568">
        <f>IF($E568="","",IF(OR($U568=TRUE(),$U568="TRUE"),1,0))</f>
        <v/>
      </c>
      <c r="AQ568">
        <f>IF($E568="","",IF($AA568="Yes",1,0))</f>
        <v/>
      </c>
      <c r="AR568">
        <f>IF($AN568=1,IFERROR(VALUE(MID($E568,2,20)),1000000000)+ROW()/100000,"")</f>
        <v/>
      </c>
    </row>
    <row r="569">
      <c r="G569" s="11" t="n"/>
      <c r="Q569" s="7">
        <f>IF($E569="","",P569*Y569/100)</f>
        <v/>
      </c>
      <c r="R569" s="7" t="n"/>
      <c r="X569" s="7" t="n"/>
      <c r="Y569" s="7" t="n"/>
      <c r="AB569">
        <f>IF($E569="","",IF($AQ569=1,0,IF($AP569=1,Settings!$C$6,Settings!$C$7))*100)</f>
        <v/>
      </c>
      <c r="AC569" s="7">
        <f>IF($E569="","",Y569*AB569/100)</f>
        <v/>
      </c>
      <c r="AD569" s="7">
        <f>IF($E569="","",Y569-AC569)</f>
        <v/>
      </c>
      <c r="AE569" s="7">
        <f>IF($E569="","",AD569-Q569)</f>
        <v/>
      </c>
      <c r="AI569" s="7" t="n"/>
      <c r="AL569" s="11" t="n"/>
      <c r="AN569">
        <f>IF($E569="","",IF(COUNTIF($E$2:$E569,$E569)=1,1,0))</f>
        <v/>
      </c>
      <c r="AO569">
        <f>IF($AN569=1,SUMPRODUCT(--($AR$2:$AR$4001&lt;$AR569))+1,"")</f>
        <v/>
      </c>
      <c r="AP569">
        <f>IF($E569="","",IF(OR($U569=TRUE(),$U569="TRUE"),1,0))</f>
        <v/>
      </c>
      <c r="AQ569">
        <f>IF($E569="","",IF($AA569="Yes",1,0))</f>
        <v/>
      </c>
      <c r="AR569">
        <f>IF($AN569=1,IFERROR(VALUE(MID($E569,2,20)),1000000000)+ROW()/100000,"")</f>
        <v/>
      </c>
    </row>
    <row r="570">
      <c r="G570" s="11" t="n"/>
      <c r="Q570" s="7">
        <f>IF($E570="","",P570*Y570/100)</f>
        <v/>
      </c>
      <c r="R570" s="7" t="n"/>
      <c r="X570" s="7" t="n"/>
      <c r="Y570" s="7" t="n"/>
      <c r="AB570">
        <f>IF($E570="","",IF($AQ570=1,0,IF($AP570=1,Settings!$C$6,Settings!$C$7))*100)</f>
        <v/>
      </c>
      <c r="AC570" s="7">
        <f>IF($E570="","",Y570*AB570/100)</f>
        <v/>
      </c>
      <c r="AD570" s="7">
        <f>IF($E570="","",Y570-AC570)</f>
        <v/>
      </c>
      <c r="AE570" s="7">
        <f>IF($E570="","",AD570-Q570)</f>
        <v/>
      </c>
      <c r="AI570" s="7" t="n"/>
      <c r="AL570" s="11" t="n"/>
      <c r="AN570">
        <f>IF($E570="","",IF(COUNTIF($E$2:$E570,$E570)=1,1,0))</f>
        <v/>
      </c>
      <c r="AO570">
        <f>IF($AN570=1,SUMPRODUCT(--($AR$2:$AR$4001&lt;$AR570))+1,"")</f>
        <v/>
      </c>
      <c r="AP570">
        <f>IF($E570="","",IF(OR($U570=TRUE(),$U570="TRUE"),1,0))</f>
        <v/>
      </c>
      <c r="AQ570">
        <f>IF($E570="","",IF($AA570="Yes",1,0))</f>
        <v/>
      </c>
      <c r="AR570">
        <f>IF($AN570=1,IFERROR(VALUE(MID($E570,2,20)),1000000000)+ROW()/100000,"")</f>
        <v/>
      </c>
    </row>
    <row r="571">
      <c r="G571" s="11" t="n"/>
      <c r="Q571" s="7">
        <f>IF($E571="","",P571*Y571/100)</f>
        <v/>
      </c>
      <c r="R571" s="7" t="n"/>
      <c r="X571" s="7" t="n"/>
      <c r="Y571" s="7" t="n"/>
      <c r="AB571">
        <f>IF($E571="","",IF($AQ571=1,0,IF($AP571=1,Settings!$C$6,Settings!$C$7))*100)</f>
        <v/>
      </c>
      <c r="AC571" s="7">
        <f>IF($E571="","",Y571*AB571/100)</f>
        <v/>
      </c>
      <c r="AD571" s="7">
        <f>IF($E571="","",Y571-AC571)</f>
        <v/>
      </c>
      <c r="AE571" s="7">
        <f>IF($E571="","",AD571-Q571)</f>
        <v/>
      </c>
      <c r="AI571" s="7" t="n"/>
      <c r="AL571" s="11" t="n"/>
      <c r="AN571">
        <f>IF($E571="","",IF(COUNTIF($E$2:$E571,$E571)=1,1,0))</f>
        <v/>
      </c>
      <c r="AO571">
        <f>IF($AN571=1,SUMPRODUCT(--($AR$2:$AR$4001&lt;$AR571))+1,"")</f>
        <v/>
      </c>
      <c r="AP571">
        <f>IF($E571="","",IF(OR($U571=TRUE(),$U571="TRUE"),1,0))</f>
        <v/>
      </c>
      <c r="AQ571">
        <f>IF($E571="","",IF($AA571="Yes",1,0))</f>
        <v/>
      </c>
      <c r="AR571">
        <f>IF($AN571=1,IFERROR(VALUE(MID($E571,2,20)),1000000000)+ROW()/100000,"")</f>
        <v/>
      </c>
    </row>
    <row r="572">
      <c r="G572" s="11" t="n"/>
      <c r="Q572" s="7">
        <f>IF($E572="","",P572*Y572/100)</f>
        <v/>
      </c>
      <c r="R572" s="7" t="n"/>
      <c r="X572" s="7" t="n"/>
      <c r="Y572" s="7" t="n"/>
      <c r="AB572">
        <f>IF($E572="","",IF($AQ572=1,0,IF($AP572=1,Settings!$C$6,Settings!$C$7))*100)</f>
        <v/>
      </c>
      <c r="AC572" s="7">
        <f>IF($E572="","",Y572*AB572/100)</f>
        <v/>
      </c>
      <c r="AD572" s="7">
        <f>IF($E572="","",Y572-AC572)</f>
        <v/>
      </c>
      <c r="AE572" s="7">
        <f>IF($E572="","",AD572-Q572)</f>
        <v/>
      </c>
      <c r="AI572" s="7" t="n"/>
      <c r="AL572" s="11" t="n"/>
      <c r="AN572">
        <f>IF($E572="","",IF(COUNTIF($E$2:$E572,$E572)=1,1,0))</f>
        <v/>
      </c>
      <c r="AO572">
        <f>IF($AN572=1,SUMPRODUCT(--($AR$2:$AR$4001&lt;$AR572))+1,"")</f>
        <v/>
      </c>
      <c r="AP572">
        <f>IF($E572="","",IF(OR($U572=TRUE(),$U572="TRUE"),1,0))</f>
        <v/>
      </c>
      <c r="AQ572">
        <f>IF($E572="","",IF($AA572="Yes",1,0))</f>
        <v/>
      </c>
      <c r="AR572">
        <f>IF($AN572=1,IFERROR(VALUE(MID($E572,2,20)),1000000000)+ROW()/100000,"")</f>
        <v/>
      </c>
    </row>
    <row r="573">
      <c r="G573" s="11" t="n"/>
      <c r="Q573" s="7">
        <f>IF($E573="","",P573*Y573/100)</f>
        <v/>
      </c>
      <c r="R573" s="7" t="n"/>
      <c r="X573" s="7" t="n"/>
      <c r="Y573" s="7" t="n"/>
      <c r="AB573">
        <f>IF($E573="","",IF($AQ573=1,0,IF($AP573=1,Settings!$C$6,Settings!$C$7))*100)</f>
        <v/>
      </c>
      <c r="AC573" s="7">
        <f>IF($E573="","",Y573*AB573/100)</f>
        <v/>
      </c>
      <c r="AD573" s="7">
        <f>IF($E573="","",Y573-AC573)</f>
        <v/>
      </c>
      <c r="AE573" s="7">
        <f>IF($E573="","",AD573-Q573)</f>
        <v/>
      </c>
      <c r="AI573" s="7" t="n"/>
      <c r="AL573" s="11" t="n"/>
      <c r="AN573">
        <f>IF($E573="","",IF(COUNTIF($E$2:$E573,$E573)=1,1,0))</f>
        <v/>
      </c>
      <c r="AO573">
        <f>IF($AN573=1,SUMPRODUCT(--($AR$2:$AR$4001&lt;$AR573))+1,"")</f>
        <v/>
      </c>
      <c r="AP573">
        <f>IF($E573="","",IF(OR($U573=TRUE(),$U573="TRUE"),1,0))</f>
        <v/>
      </c>
      <c r="AQ573">
        <f>IF($E573="","",IF($AA573="Yes",1,0))</f>
        <v/>
      </c>
      <c r="AR573">
        <f>IF($AN573=1,IFERROR(VALUE(MID($E573,2,20)),1000000000)+ROW()/100000,"")</f>
        <v/>
      </c>
    </row>
    <row r="574">
      <c r="G574" s="11" t="n"/>
      <c r="Q574" s="7">
        <f>IF($E574="","",P574*Y574/100)</f>
        <v/>
      </c>
      <c r="R574" s="7" t="n"/>
      <c r="X574" s="7" t="n"/>
      <c r="Y574" s="7" t="n"/>
      <c r="AB574">
        <f>IF($E574="","",IF($AQ574=1,0,IF($AP574=1,Settings!$C$6,Settings!$C$7))*100)</f>
        <v/>
      </c>
      <c r="AC574" s="7">
        <f>IF($E574="","",Y574*AB574/100)</f>
        <v/>
      </c>
      <c r="AD574" s="7">
        <f>IF($E574="","",Y574-AC574)</f>
        <v/>
      </c>
      <c r="AE574" s="7">
        <f>IF($E574="","",AD574-Q574)</f>
        <v/>
      </c>
      <c r="AI574" s="7" t="n"/>
      <c r="AL574" s="11" t="n"/>
      <c r="AN574">
        <f>IF($E574="","",IF(COUNTIF($E$2:$E574,$E574)=1,1,0))</f>
        <v/>
      </c>
      <c r="AO574">
        <f>IF($AN574=1,SUMPRODUCT(--($AR$2:$AR$4001&lt;$AR574))+1,"")</f>
        <v/>
      </c>
      <c r="AP574">
        <f>IF($E574="","",IF(OR($U574=TRUE(),$U574="TRUE"),1,0))</f>
        <v/>
      </c>
      <c r="AQ574">
        <f>IF($E574="","",IF($AA574="Yes",1,0))</f>
        <v/>
      </c>
      <c r="AR574">
        <f>IF($AN574=1,IFERROR(VALUE(MID($E574,2,20)),1000000000)+ROW()/100000,"")</f>
        <v/>
      </c>
    </row>
    <row r="575">
      <c r="G575" s="11" t="n"/>
      <c r="Q575" s="7">
        <f>IF($E575="","",P575*Y575/100)</f>
        <v/>
      </c>
      <c r="R575" s="7" t="n"/>
      <c r="X575" s="7" t="n"/>
      <c r="Y575" s="7" t="n"/>
      <c r="AB575">
        <f>IF($E575="","",IF($AQ575=1,0,IF($AP575=1,Settings!$C$6,Settings!$C$7))*100)</f>
        <v/>
      </c>
      <c r="AC575" s="7">
        <f>IF($E575="","",Y575*AB575/100)</f>
        <v/>
      </c>
      <c r="AD575" s="7">
        <f>IF($E575="","",Y575-AC575)</f>
        <v/>
      </c>
      <c r="AE575" s="7">
        <f>IF($E575="","",AD575-Q575)</f>
        <v/>
      </c>
      <c r="AI575" s="7" t="n"/>
      <c r="AL575" s="11" t="n"/>
      <c r="AN575">
        <f>IF($E575="","",IF(COUNTIF($E$2:$E575,$E575)=1,1,0))</f>
        <v/>
      </c>
      <c r="AO575">
        <f>IF($AN575=1,SUMPRODUCT(--($AR$2:$AR$4001&lt;$AR575))+1,"")</f>
        <v/>
      </c>
      <c r="AP575">
        <f>IF($E575="","",IF(OR($U575=TRUE(),$U575="TRUE"),1,0))</f>
        <v/>
      </c>
      <c r="AQ575">
        <f>IF($E575="","",IF($AA575="Yes",1,0))</f>
        <v/>
      </c>
      <c r="AR575">
        <f>IF($AN575=1,IFERROR(VALUE(MID($E575,2,20)),1000000000)+ROW()/100000,"")</f>
        <v/>
      </c>
    </row>
    <row r="576">
      <c r="G576" s="11" t="n"/>
      <c r="Q576" s="7">
        <f>IF($E576="","",P576*Y576/100)</f>
        <v/>
      </c>
      <c r="R576" s="7" t="n"/>
      <c r="X576" s="7" t="n"/>
      <c r="Y576" s="7" t="n"/>
      <c r="AB576">
        <f>IF($E576="","",IF($AQ576=1,0,IF($AP576=1,Settings!$C$6,Settings!$C$7))*100)</f>
        <v/>
      </c>
      <c r="AC576" s="7">
        <f>IF($E576="","",Y576*AB576/100)</f>
        <v/>
      </c>
      <c r="AD576" s="7">
        <f>IF($E576="","",Y576-AC576)</f>
        <v/>
      </c>
      <c r="AE576" s="7">
        <f>IF($E576="","",AD576-Q576)</f>
        <v/>
      </c>
      <c r="AI576" s="7" t="n"/>
      <c r="AL576" s="11" t="n"/>
      <c r="AN576">
        <f>IF($E576="","",IF(COUNTIF($E$2:$E576,$E576)=1,1,0))</f>
        <v/>
      </c>
      <c r="AO576">
        <f>IF($AN576=1,SUMPRODUCT(--($AR$2:$AR$4001&lt;$AR576))+1,"")</f>
        <v/>
      </c>
      <c r="AP576">
        <f>IF($E576="","",IF(OR($U576=TRUE(),$U576="TRUE"),1,0))</f>
        <v/>
      </c>
      <c r="AQ576">
        <f>IF($E576="","",IF($AA576="Yes",1,0))</f>
        <v/>
      </c>
      <c r="AR576">
        <f>IF($AN576=1,IFERROR(VALUE(MID($E576,2,20)),1000000000)+ROW()/100000,"")</f>
        <v/>
      </c>
    </row>
    <row r="577">
      <c r="G577" s="11" t="n"/>
      <c r="Q577" s="7">
        <f>IF($E577="","",P577*Y577/100)</f>
        <v/>
      </c>
      <c r="R577" s="7" t="n"/>
      <c r="X577" s="7" t="n"/>
      <c r="Y577" s="7" t="n"/>
      <c r="AB577">
        <f>IF($E577="","",IF($AQ577=1,0,IF($AP577=1,Settings!$C$6,Settings!$C$7))*100)</f>
        <v/>
      </c>
      <c r="AC577" s="7">
        <f>IF($E577="","",Y577*AB577/100)</f>
        <v/>
      </c>
      <c r="AD577" s="7">
        <f>IF($E577="","",Y577-AC577)</f>
        <v/>
      </c>
      <c r="AE577" s="7">
        <f>IF($E577="","",AD577-Q577)</f>
        <v/>
      </c>
      <c r="AI577" s="7" t="n"/>
      <c r="AL577" s="11" t="n"/>
      <c r="AN577">
        <f>IF($E577="","",IF(COUNTIF($E$2:$E577,$E577)=1,1,0))</f>
        <v/>
      </c>
      <c r="AO577">
        <f>IF($AN577=1,SUMPRODUCT(--($AR$2:$AR$4001&lt;$AR577))+1,"")</f>
        <v/>
      </c>
      <c r="AP577">
        <f>IF($E577="","",IF(OR($U577=TRUE(),$U577="TRUE"),1,0))</f>
        <v/>
      </c>
      <c r="AQ577">
        <f>IF($E577="","",IF($AA577="Yes",1,0))</f>
        <v/>
      </c>
      <c r="AR577">
        <f>IF($AN577=1,IFERROR(VALUE(MID($E577,2,20)),1000000000)+ROW()/100000,"")</f>
        <v/>
      </c>
    </row>
    <row r="578">
      <c r="G578" s="11" t="n"/>
      <c r="Q578" s="7">
        <f>IF($E578="","",P578*Y578/100)</f>
        <v/>
      </c>
      <c r="R578" s="7" t="n"/>
      <c r="X578" s="7" t="n"/>
      <c r="Y578" s="7" t="n"/>
      <c r="AB578">
        <f>IF($E578="","",IF($AQ578=1,0,IF($AP578=1,Settings!$C$6,Settings!$C$7))*100)</f>
        <v/>
      </c>
      <c r="AC578" s="7">
        <f>IF($E578="","",Y578*AB578/100)</f>
        <v/>
      </c>
      <c r="AD578" s="7">
        <f>IF($E578="","",Y578-AC578)</f>
        <v/>
      </c>
      <c r="AE578" s="7">
        <f>IF($E578="","",AD578-Q578)</f>
        <v/>
      </c>
      <c r="AI578" s="7" t="n"/>
      <c r="AL578" s="11" t="n"/>
      <c r="AN578">
        <f>IF($E578="","",IF(COUNTIF($E$2:$E578,$E578)=1,1,0))</f>
        <v/>
      </c>
      <c r="AO578">
        <f>IF($AN578=1,SUMPRODUCT(--($AR$2:$AR$4001&lt;$AR578))+1,"")</f>
        <v/>
      </c>
      <c r="AP578">
        <f>IF($E578="","",IF(OR($U578=TRUE(),$U578="TRUE"),1,0))</f>
        <v/>
      </c>
      <c r="AQ578">
        <f>IF($E578="","",IF($AA578="Yes",1,0))</f>
        <v/>
      </c>
      <c r="AR578">
        <f>IF($AN578=1,IFERROR(VALUE(MID($E578,2,20)),1000000000)+ROW()/100000,"")</f>
        <v/>
      </c>
    </row>
    <row r="579">
      <c r="G579" s="11" t="n"/>
      <c r="Q579" s="7">
        <f>IF($E579="","",P579*Y579/100)</f>
        <v/>
      </c>
      <c r="R579" s="7" t="n"/>
      <c r="X579" s="7" t="n"/>
      <c r="Y579" s="7" t="n"/>
      <c r="AB579">
        <f>IF($E579="","",IF($AQ579=1,0,IF($AP579=1,Settings!$C$6,Settings!$C$7))*100)</f>
        <v/>
      </c>
      <c r="AC579" s="7">
        <f>IF($E579="","",Y579*AB579/100)</f>
        <v/>
      </c>
      <c r="AD579" s="7">
        <f>IF($E579="","",Y579-AC579)</f>
        <v/>
      </c>
      <c r="AE579" s="7">
        <f>IF($E579="","",AD579-Q579)</f>
        <v/>
      </c>
      <c r="AI579" s="7" t="n"/>
      <c r="AL579" s="11" t="n"/>
      <c r="AN579">
        <f>IF($E579="","",IF(COUNTIF($E$2:$E579,$E579)=1,1,0))</f>
        <v/>
      </c>
      <c r="AO579">
        <f>IF($AN579=1,SUMPRODUCT(--($AR$2:$AR$4001&lt;$AR579))+1,"")</f>
        <v/>
      </c>
      <c r="AP579">
        <f>IF($E579="","",IF(OR($U579=TRUE(),$U579="TRUE"),1,0))</f>
        <v/>
      </c>
      <c r="AQ579">
        <f>IF($E579="","",IF($AA579="Yes",1,0))</f>
        <v/>
      </c>
      <c r="AR579">
        <f>IF($AN579=1,IFERROR(VALUE(MID($E579,2,20)),1000000000)+ROW()/100000,"")</f>
        <v/>
      </c>
    </row>
    <row r="580">
      <c r="G580" s="11" t="n"/>
      <c r="Q580" s="7">
        <f>IF($E580="","",P580*Y580/100)</f>
        <v/>
      </c>
      <c r="R580" s="7" t="n"/>
      <c r="X580" s="7" t="n"/>
      <c r="Y580" s="7" t="n"/>
      <c r="AB580">
        <f>IF($E580="","",IF($AQ580=1,0,IF($AP580=1,Settings!$C$6,Settings!$C$7))*100)</f>
        <v/>
      </c>
      <c r="AC580" s="7">
        <f>IF($E580="","",Y580*AB580/100)</f>
        <v/>
      </c>
      <c r="AD580" s="7">
        <f>IF($E580="","",Y580-AC580)</f>
        <v/>
      </c>
      <c r="AE580" s="7">
        <f>IF($E580="","",AD580-Q580)</f>
        <v/>
      </c>
      <c r="AI580" s="7" t="n"/>
      <c r="AL580" s="11" t="n"/>
      <c r="AN580">
        <f>IF($E580="","",IF(COUNTIF($E$2:$E580,$E580)=1,1,0))</f>
        <v/>
      </c>
      <c r="AO580">
        <f>IF($AN580=1,SUMPRODUCT(--($AR$2:$AR$4001&lt;$AR580))+1,"")</f>
        <v/>
      </c>
      <c r="AP580">
        <f>IF($E580="","",IF(OR($U580=TRUE(),$U580="TRUE"),1,0))</f>
        <v/>
      </c>
      <c r="AQ580">
        <f>IF($E580="","",IF($AA580="Yes",1,0))</f>
        <v/>
      </c>
      <c r="AR580">
        <f>IF($AN580=1,IFERROR(VALUE(MID($E580,2,20)),1000000000)+ROW()/100000,"")</f>
        <v/>
      </c>
    </row>
    <row r="581">
      <c r="G581" s="11" t="n"/>
      <c r="Q581" s="7">
        <f>IF($E581="","",P581*Y581/100)</f>
        <v/>
      </c>
      <c r="R581" s="7" t="n"/>
      <c r="X581" s="7" t="n"/>
      <c r="Y581" s="7" t="n"/>
      <c r="AB581">
        <f>IF($E581="","",IF($AQ581=1,0,IF($AP581=1,Settings!$C$6,Settings!$C$7))*100)</f>
        <v/>
      </c>
      <c r="AC581" s="7">
        <f>IF($E581="","",Y581*AB581/100)</f>
        <v/>
      </c>
      <c r="AD581" s="7">
        <f>IF($E581="","",Y581-AC581)</f>
        <v/>
      </c>
      <c r="AE581" s="7">
        <f>IF($E581="","",AD581-Q581)</f>
        <v/>
      </c>
      <c r="AI581" s="7" t="n"/>
      <c r="AL581" s="11" t="n"/>
      <c r="AN581">
        <f>IF($E581="","",IF(COUNTIF($E$2:$E581,$E581)=1,1,0))</f>
        <v/>
      </c>
      <c r="AO581">
        <f>IF($AN581=1,SUMPRODUCT(--($AR$2:$AR$4001&lt;$AR581))+1,"")</f>
        <v/>
      </c>
      <c r="AP581">
        <f>IF($E581="","",IF(OR($U581=TRUE(),$U581="TRUE"),1,0))</f>
        <v/>
      </c>
      <c r="AQ581">
        <f>IF($E581="","",IF($AA581="Yes",1,0))</f>
        <v/>
      </c>
      <c r="AR581">
        <f>IF($AN581=1,IFERROR(VALUE(MID($E581,2,20)),1000000000)+ROW()/100000,"")</f>
        <v/>
      </c>
    </row>
    <row r="582">
      <c r="G582" s="11" t="n"/>
      <c r="Q582" s="7">
        <f>IF($E582="","",P582*Y582/100)</f>
        <v/>
      </c>
      <c r="R582" s="7" t="n"/>
      <c r="X582" s="7" t="n"/>
      <c r="Y582" s="7" t="n"/>
      <c r="AB582">
        <f>IF($E582="","",IF($AQ582=1,0,IF($AP582=1,Settings!$C$6,Settings!$C$7))*100)</f>
        <v/>
      </c>
      <c r="AC582" s="7">
        <f>IF($E582="","",Y582*AB582/100)</f>
        <v/>
      </c>
      <c r="AD582" s="7">
        <f>IF($E582="","",Y582-AC582)</f>
        <v/>
      </c>
      <c r="AE582" s="7">
        <f>IF($E582="","",AD582-Q582)</f>
        <v/>
      </c>
      <c r="AI582" s="7" t="n"/>
      <c r="AL582" s="11" t="n"/>
      <c r="AN582">
        <f>IF($E582="","",IF(COUNTIF($E$2:$E582,$E582)=1,1,0))</f>
        <v/>
      </c>
      <c r="AO582">
        <f>IF($AN582=1,SUMPRODUCT(--($AR$2:$AR$4001&lt;$AR582))+1,"")</f>
        <v/>
      </c>
      <c r="AP582">
        <f>IF($E582="","",IF(OR($U582=TRUE(),$U582="TRUE"),1,0))</f>
        <v/>
      </c>
      <c r="AQ582">
        <f>IF($E582="","",IF($AA582="Yes",1,0))</f>
        <v/>
      </c>
      <c r="AR582">
        <f>IF($AN582=1,IFERROR(VALUE(MID($E582,2,20)),1000000000)+ROW()/100000,"")</f>
        <v/>
      </c>
    </row>
    <row r="583">
      <c r="G583" s="11" t="n"/>
      <c r="Q583" s="7">
        <f>IF($E583="","",P583*Y583/100)</f>
        <v/>
      </c>
      <c r="R583" s="7" t="n"/>
      <c r="X583" s="7" t="n"/>
      <c r="Y583" s="7" t="n"/>
      <c r="AB583">
        <f>IF($E583="","",IF($AQ583=1,0,IF($AP583=1,Settings!$C$6,Settings!$C$7))*100)</f>
        <v/>
      </c>
      <c r="AC583" s="7">
        <f>IF($E583="","",Y583*AB583/100)</f>
        <v/>
      </c>
      <c r="AD583" s="7">
        <f>IF($E583="","",Y583-AC583)</f>
        <v/>
      </c>
      <c r="AE583" s="7">
        <f>IF($E583="","",AD583-Q583)</f>
        <v/>
      </c>
      <c r="AI583" s="7" t="n"/>
      <c r="AL583" s="11" t="n"/>
      <c r="AN583">
        <f>IF($E583="","",IF(COUNTIF($E$2:$E583,$E583)=1,1,0))</f>
        <v/>
      </c>
      <c r="AO583">
        <f>IF($AN583=1,SUMPRODUCT(--($AR$2:$AR$4001&lt;$AR583))+1,"")</f>
        <v/>
      </c>
      <c r="AP583">
        <f>IF($E583="","",IF(OR($U583=TRUE(),$U583="TRUE"),1,0))</f>
        <v/>
      </c>
      <c r="AQ583">
        <f>IF($E583="","",IF($AA583="Yes",1,0))</f>
        <v/>
      </c>
      <c r="AR583">
        <f>IF($AN583=1,IFERROR(VALUE(MID($E583,2,20)),1000000000)+ROW()/100000,"")</f>
        <v/>
      </c>
    </row>
    <row r="584">
      <c r="G584" s="11" t="n"/>
      <c r="Q584" s="7">
        <f>IF($E584="","",P584*Y584/100)</f>
        <v/>
      </c>
      <c r="R584" s="7" t="n"/>
      <c r="X584" s="7" t="n"/>
      <c r="Y584" s="7" t="n"/>
      <c r="AB584">
        <f>IF($E584="","",IF($AQ584=1,0,IF($AP584=1,Settings!$C$6,Settings!$C$7))*100)</f>
        <v/>
      </c>
      <c r="AC584" s="7">
        <f>IF($E584="","",Y584*AB584/100)</f>
        <v/>
      </c>
      <c r="AD584" s="7">
        <f>IF($E584="","",Y584-AC584)</f>
        <v/>
      </c>
      <c r="AE584" s="7">
        <f>IF($E584="","",AD584-Q584)</f>
        <v/>
      </c>
      <c r="AI584" s="7" t="n"/>
      <c r="AL584" s="11" t="n"/>
      <c r="AN584">
        <f>IF($E584="","",IF(COUNTIF($E$2:$E584,$E584)=1,1,0))</f>
        <v/>
      </c>
      <c r="AO584">
        <f>IF($AN584=1,SUMPRODUCT(--($AR$2:$AR$4001&lt;$AR584))+1,"")</f>
        <v/>
      </c>
      <c r="AP584">
        <f>IF($E584="","",IF(OR($U584=TRUE(),$U584="TRUE"),1,0))</f>
        <v/>
      </c>
      <c r="AQ584">
        <f>IF($E584="","",IF($AA584="Yes",1,0))</f>
        <v/>
      </c>
      <c r="AR584">
        <f>IF($AN584=1,IFERROR(VALUE(MID($E584,2,20)),1000000000)+ROW()/100000,"")</f>
        <v/>
      </c>
    </row>
    <row r="585">
      <c r="G585" s="11" t="n"/>
      <c r="Q585" s="7">
        <f>IF($E585="","",P585*Y585/100)</f>
        <v/>
      </c>
      <c r="R585" s="7" t="n"/>
      <c r="X585" s="7" t="n"/>
      <c r="Y585" s="7" t="n"/>
      <c r="AB585">
        <f>IF($E585="","",IF($AQ585=1,0,IF($AP585=1,Settings!$C$6,Settings!$C$7))*100)</f>
        <v/>
      </c>
      <c r="AC585" s="7">
        <f>IF($E585="","",Y585*AB585/100)</f>
        <v/>
      </c>
      <c r="AD585" s="7">
        <f>IF($E585="","",Y585-AC585)</f>
        <v/>
      </c>
      <c r="AE585" s="7">
        <f>IF($E585="","",AD585-Q585)</f>
        <v/>
      </c>
      <c r="AI585" s="7" t="n"/>
      <c r="AL585" s="11" t="n"/>
      <c r="AN585">
        <f>IF($E585="","",IF(COUNTIF($E$2:$E585,$E585)=1,1,0))</f>
        <v/>
      </c>
      <c r="AO585">
        <f>IF($AN585=1,SUMPRODUCT(--($AR$2:$AR$4001&lt;$AR585))+1,"")</f>
        <v/>
      </c>
      <c r="AP585">
        <f>IF($E585="","",IF(OR($U585=TRUE(),$U585="TRUE"),1,0))</f>
        <v/>
      </c>
      <c r="AQ585">
        <f>IF($E585="","",IF($AA585="Yes",1,0))</f>
        <v/>
      </c>
      <c r="AR585">
        <f>IF($AN585=1,IFERROR(VALUE(MID($E585,2,20)),1000000000)+ROW()/100000,"")</f>
        <v/>
      </c>
    </row>
    <row r="586">
      <c r="G586" s="11" t="n"/>
      <c r="Q586" s="7">
        <f>IF($E586="","",P586*Y586/100)</f>
        <v/>
      </c>
      <c r="R586" s="7" t="n"/>
      <c r="X586" s="7" t="n"/>
      <c r="Y586" s="7" t="n"/>
      <c r="AB586">
        <f>IF($E586="","",IF($AQ586=1,0,IF($AP586=1,Settings!$C$6,Settings!$C$7))*100)</f>
        <v/>
      </c>
      <c r="AC586" s="7">
        <f>IF($E586="","",Y586*AB586/100)</f>
        <v/>
      </c>
      <c r="AD586" s="7">
        <f>IF($E586="","",Y586-AC586)</f>
        <v/>
      </c>
      <c r="AE586" s="7">
        <f>IF($E586="","",AD586-Q586)</f>
        <v/>
      </c>
      <c r="AI586" s="7" t="n"/>
      <c r="AL586" s="11" t="n"/>
      <c r="AN586">
        <f>IF($E586="","",IF(COUNTIF($E$2:$E586,$E586)=1,1,0))</f>
        <v/>
      </c>
      <c r="AO586">
        <f>IF($AN586=1,SUMPRODUCT(--($AR$2:$AR$4001&lt;$AR586))+1,"")</f>
        <v/>
      </c>
      <c r="AP586">
        <f>IF($E586="","",IF(OR($U586=TRUE(),$U586="TRUE"),1,0))</f>
        <v/>
      </c>
      <c r="AQ586">
        <f>IF($E586="","",IF($AA586="Yes",1,0))</f>
        <v/>
      </c>
      <c r="AR586">
        <f>IF($AN586=1,IFERROR(VALUE(MID($E586,2,20)),1000000000)+ROW()/100000,"")</f>
        <v/>
      </c>
    </row>
    <row r="587">
      <c r="G587" s="11" t="n"/>
      <c r="Q587" s="7">
        <f>IF($E587="","",P587*Y587/100)</f>
        <v/>
      </c>
      <c r="R587" s="7" t="n"/>
      <c r="X587" s="7" t="n"/>
      <c r="Y587" s="7" t="n"/>
      <c r="AB587">
        <f>IF($E587="","",IF($AQ587=1,0,IF($AP587=1,Settings!$C$6,Settings!$C$7))*100)</f>
        <v/>
      </c>
      <c r="AC587" s="7">
        <f>IF($E587="","",Y587*AB587/100)</f>
        <v/>
      </c>
      <c r="AD587" s="7">
        <f>IF($E587="","",Y587-AC587)</f>
        <v/>
      </c>
      <c r="AE587" s="7">
        <f>IF($E587="","",AD587-Q587)</f>
        <v/>
      </c>
      <c r="AI587" s="7" t="n"/>
      <c r="AL587" s="11" t="n"/>
      <c r="AN587">
        <f>IF($E587="","",IF(COUNTIF($E$2:$E587,$E587)=1,1,0))</f>
        <v/>
      </c>
      <c r="AO587">
        <f>IF($AN587=1,SUMPRODUCT(--($AR$2:$AR$4001&lt;$AR587))+1,"")</f>
        <v/>
      </c>
      <c r="AP587">
        <f>IF($E587="","",IF(OR($U587=TRUE(),$U587="TRUE"),1,0))</f>
        <v/>
      </c>
      <c r="AQ587">
        <f>IF($E587="","",IF($AA587="Yes",1,0))</f>
        <v/>
      </c>
      <c r="AR587">
        <f>IF($AN587=1,IFERROR(VALUE(MID($E587,2,20)),1000000000)+ROW()/100000,"")</f>
        <v/>
      </c>
    </row>
    <row r="588">
      <c r="G588" s="11" t="n"/>
      <c r="Q588" s="7">
        <f>IF($E588="","",P588*Y588/100)</f>
        <v/>
      </c>
      <c r="R588" s="7" t="n"/>
      <c r="X588" s="7" t="n"/>
      <c r="Y588" s="7" t="n"/>
      <c r="AB588">
        <f>IF($E588="","",IF($AQ588=1,0,IF($AP588=1,Settings!$C$6,Settings!$C$7))*100)</f>
        <v/>
      </c>
      <c r="AC588" s="7">
        <f>IF($E588="","",Y588*AB588/100)</f>
        <v/>
      </c>
      <c r="AD588" s="7">
        <f>IF($E588="","",Y588-AC588)</f>
        <v/>
      </c>
      <c r="AE588" s="7">
        <f>IF($E588="","",AD588-Q588)</f>
        <v/>
      </c>
      <c r="AI588" s="7" t="n"/>
      <c r="AL588" s="11" t="n"/>
      <c r="AN588">
        <f>IF($E588="","",IF(COUNTIF($E$2:$E588,$E588)=1,1,0))</f>
        <v/>
      </c>
      <c r="AO588">
        <f>IF($AN588=1,SUMPRODUCT(--($AR$2:$AR$4001&lt;$AR588))+1,"")</f>
        <v/>
      </c>
      <c r="AP588">
        <f>IF($E588="","",IF(OR($U588=TRUE(),$U588="TRUE"),1,0))</f>
        <v/>
      </c>
      <c r="AQ588">
        <f>IF($E588="","",IF($AA588="Yes",1,0))</f>
        <v/>
      </c>
      <c r="AR588">
        <f>IF($AN588=1,IFERROR(VALUE(MID($E588,2,20)),1000000000)+ROW()/100000,"")</f>
        <v/>
      </c>
    </row>
    <row r="589">
      <c r="G589" s="11" t="n"/>
      <c r="Q589" s="7">
        <f>IF($E589="","",P589*Y589/100)</f>
        <v/>
      </c>
      <c r="R589" s="7" t="n"/>
      <c r="X589" s="7" t="n"/>
      <c r="Y589" s="7" t="n"/>
      <c r="AB589">
        <f>IF($E589="","",IF($AQ589=1,0,IF($AP589=1,Settings!$C$6,Settings!$C$7))*100)</f>
        <v/>
      </c>
      <c r="AC589" s="7">
        <f>IF($E589="","",Y589*AB589/100)</f>
        <v/>
      </c>
      <c r="AD589" s="7">
        <f>IF($E589="","",Y589-AC589)</f>
        <v/>
      </c>
      <c r="AE589" s="7">
        <f>IF($E589="","",AD589-Q589)</f>
        <v/>
      </c>
      <c r="AI589" s="7" t="n"/>
      <c r="AL589" s="11" t="n"/>
      <c r="AN589">
        <f>IF($E589="","",IF(COUNTIF($E$2:$E589,$E589)=1,1,0))</f>
        <v/>
      </c>
      <c r="AO589">
        <f>IF($AN589=1,SUMPRODUCT(--($AR$2:$AR$4001&lt;$AR589))+1,"")</f>
        <v/>
      </c>
      <c r="AP589">
        <f>IF($E589="","",IF(OR($U589=TRUE(),$U589="TRUE"),1,0))</f>
        <v/>
      </c>
      <c r="AQ589">
        <f>IF($E589="","",IF($AA589="Yes",1,0))</f>
        <v/>
      </c>
      <c r="AR589">
        <f>IF($AN589=1,IFERROR(VALUE(MID($E589,2,20)),1000000000)+ROW()/100000,"")</f>
        <v/>
      </c>
    </row>
    <row r="590">
      <c r="G590" s="11" t="n"/>
      <c r="Q590" s="7">
        <f>IF($E590="","",P590*Y590/100)</f>
        <v/>
      </c>
      <c r="R590" s="7" t="n"/>
      <c r="X590" s="7" t="n"/>
      <c r="Y590" s="7" t="n"/>
      <c r="AB590">
        <f>IF($E590="","",IF($AQ590=1,0,IF($AP590=1,Settings!$C$6,Settings!$C$7))*100)</f>
        <v/>
      </c>
      <c r="AC590" s="7">
        <f>IF($E590="","",Y590*AB590/100)</f>
        <v/>
      </c>
      <c r="AD590" s="7">
        <f>IF($E590="","",Y590-AC590)</f>
        <v/>
      </c>
      <c r="AE590" s="7">
        <f>IF($E590="","",AD590-Q590)</f>
        <v/>
      </c>
      <c r="AI590" s="7" t="n"/>
      <c r="AL590" s="11" t="n"/>
      <c r="AN590">
        <f>IF($E590="","",IF(COUNTIF($E$2:$E590,$E590)=1,1,0))</f>
        <v/>
      </c>
      <c r="AO590">
        <f>IF($AN590=1,SUMPRODUCT(--($AR$2:$AR$4001&lt;$AR590))+1,"")</f>
        <v/>
      </c>
      <c r="AP590">
        <f>IF($E590="","",IF(OR($U590=TRUE(),$U590="TRUE"),1,0))</f>
        <v/>
      </c>
      <c r="AQ590">
        <f>IF($E590="","",IF($AA590="Yes",1,0))</f>
        <v/>
      </c>
      <c r="AR590">
        <f>IF($AN590=1,IFERROR(VALUE(MID($E590,2,20)),1000000000)+ROW()/100000,"")</f>
        <v/>
      </c>
    </row>
    <row r="591">
      <c r="G591" s="11" t="n"/>
      <c r="Q591" s="7">
        <f>IF($E591="","",P591*Y591/100)</f>
        <v/>
      </c>
      <c r="R591" s="7" t="n"/>
      <c r="X591" s="7" t="n"/>
      <c r="Y591" s="7" t="n"/>
      <c r="AB591">
        <f>IF($E591="","",IF($AQ591=1,0,IF($AP591=1,Settings!$C$6,Settings!$C$7))*100)</f>
        <v/>
      </c>
      <c r="AC591" s="7">
        <f>IF($E591="","",Y591*AB591/100)</f>
        <v/>
      </c>
      <c r="AD591" s="7">
        <f>IF($E591="","",Y591-AC591)</f>
        <v/>
      </c>
      <c r="AE591" s="7">
        <f>IF($E591="","",AD591-Q591)</f>
        <v/>
      </c>
      <c r="AI591" s="7" t="n"/>
      <c r="AL591" s="11" t="n"/>
      <c r="AN591">
        <f>IF($E591="","",IF(COUNTIF($E$2:$E591,$E591)=1,1,0))</f>
        <v/>
      </c>
      <c r="AO591">
        <f>IF($AN591=1,SUMPRODUCT(--($AR$2:$AR$4001&lt;$AR591))+1,"")</f>
        <v/>
      </c>
      <c r="AP591">
        <f>IF($E591="","",IF(OR($U591=TRUE(),$U591="TRUE"),1,0))</f>
        <v/>
      </c>
      <c r="AQ591">
        <f>IF($E591="","",IF($AA591="Yes",1,0))</f>
        <v/>
      </c>
      <c r="AR591">
        <f>IF($AN591=1,IFERROR(VALUE(MID($E591,2,20)),1000000000)+ROW()/100000,"")</f>
        <v/>
      </c>
    </row>
    <row r="592">
      <c r="G592" s="11" t="n"/>
      <c r="Q592" s="7">
        <f>IF($E592="","",P592*Y592/100)</f>
        <v/>
      </c>
      <c r="R592" s="7" t="n"/>
      <c r="X592" s="7" t="n"/>
      <c r="Y592" s="7" t="n"/>
      <c r="AB592">
        <f>IF($E592="","",IF($AQ592=1,0,IF($AP592=1,Settings!$C$6,Settings!$C$7))*100)</f>
        <v/>
      </c>
      <c r="AC592" s="7">
        <f>IF($E592="","",Y592*AB592/100)</f>
        <v/>
      </c>
      <c r="AD592" s="7">
        <f>IF($E592="","",Y592-AC592)</f>
        <v/>
      </c>
      <c r="AE592" s="7">
        <f>IF($E592="","",AD592-Q592)</f>
        <v/>
      </c>
      <c r="AI592" s="7" t="n"/>
      <c r="AL592" s="11" t="n"/>
      <c r="AN592">
        <f>IF($E592="","",IF(COUNTIF($E$2:$E592,$E592)=1,1,0))</f>
        <v/>
      </c>
      <c r="AO592">
        <f>IF($AN592=1,SUMPRODUCT(--($AR$2:$AR$4001&lt;$AR592))+1,"")</f>
        <v/>
      </c>
      <c r="AP592">
        <f>IF($E592="","",IF(OR($U592=TRUE(),$U592="TRUE"),1,0))</f>
        <v/>
      </c>
      <c r="AQ592">
        <f>IF($E592="","",IF($AA592="Yes",1,0))</f>
        <v/>
      </c>
      <c r="AR592">
        <f>IF($AN592=1,IFERROR(VALUE(MID($E592,2,20)),1000000000)+ROW()/100000,"")</f>
        <v/>
      </c>
    </row>
    <row r="593">
      <c r="G593" s="11" t="n"/>
      <c r="Q593" s="7">
        <f>IF($E593="","",P593*Y593/100)</f>
        <v/>
      </c>
      <c r="R593" s="7" t="n"/>
      <c r="X593" s="7" t="n"/>
      <c r="Y593" s="7" t="n"/>
      <c r="AB593">
        <f>IF($E593="","",IF($AQ593=1,0,IF($AP593=1,Settings!$C$6,Settings!$C$7))*100)</f>
        <v/>
      </c>
      <c r="AC593" s="7">
        <f>IF($E593="","",Y593*AB593/100)</f>
        <v/>
      </c>
      <c r="AD593" s="7">
        <f>IF($E593="","",Y593-AC593)</f>
        <v/>
      </c>
      <c r="AE593" s="7">
        <f>IF($E593="","",AD593-Q593)</f>
        <v/>
      </c>
      <c r="AI593" s="7" t="n"/>
      <c r="AL593" s="11" t="n"/>
      <c r="AN593">
        <f>IF($E593="","",IF(COUNTIF($E$2:$E593,$E593)=1,1,0))</f>
        <v/>
      </c>
      <c r="AO593">
        <f>IF($AN593=1,SUMPRODUCT(--($AR$2:$AR$4001&lt;$AR593))+1,"")</f>
        <v/>
      </c>
      <c r="AP593">
        <f>IF($E593="","",IF(OR($U593=TRUE(),$U593="TRUE"),1,0))</f>
        <v/>
      </c>
      <c r="AQ593">
        <f>IF($E593="","",IF($AA593="Yes",1,0))</f>
        <v/>
      </c>
      <c r="AR593">
        <f>IF($AN593=1,IFERROR(VALUE(MID($E593,2,20)),1000000000)+ROW()/100000,"")</f>
        <v/>
      </c>
    </row>
    <row r="594">
      <c r="G594" s="11" t="n"/>
      <c r="Q594" s="7">
        <f>IF($E594="","",P594*Y594/100)</f>
        <v/>
      </c>
      <c r="R594" s="7" t="n"/>
      <c r="X594" s="7" t="n"/>
      <c r="Y594" s="7" t="n"/>
      <c r="AB594">
        <f>IF($E594="","",IF($AQ594=1,0,IF($AP594=1,Settings!$C$6,Settings!$C$7))*100)</f>
        <v/>
      </c>
      <c r="AC594" s="7">
        <f>IF($E594="","",Y594*AB594/100)</f>
        <v/>
      </c>
      <c r="AD594" s="7">
        <f>IF($E594="","",Y594-AC594)</f>
        <v/>
      </c>
      <c r="AE594" s="7">
        <f>IF($E594="","",AD594-Q594)</f>
        <v/>
      </c>
      <c r="AI594" s="7" t="n"/>
      <c r="AL594" s="11" t="n"/>
      <c r="AN594">
        <f>IF($E594="","",IF(COUNTIF($E$2:$E594,$E594)=1,1,0))</f>
        <v/>
      </c>
      <c r="AO594">
        <f>IF($AN594=1,SUMPRODUCT(--($AR$2:$AR$4001&lt;$AR594))+1,"")</f>
        <v/>
      </c>
      <c r="AP594">
        <f>IF($E594="","",IF(OR($U594=TRUE(),$U594="TRUE"),1,0))</f>
        <v/>
      </c>
      <c r="AQ594">
        <f>IF($E594="","",IF($AA594="Yes",1,0))</f>
        <v/>
      </c>
      <c r="AR594">
        <f>IF($AN594=1,IFERROR(VALUE(MID($E594,2,20)),1000000000)+ROW()/100000,"")</f>
        <v/>
      </c>
    </row>
    <row r="595">
      <c r="G595" s="11" t="n"/>
      <c r="Q595" s="7">
        <f>IF($E595="","",P595*Y595/100)</f>
        <v/>
      </c>
      <c r="R595" s="7" t="n"/>
      <c r="X595" s="7" t="n"/>
      <c r="Y595" s="7" t="n"/>
      <c r="AB595">
        <f>IF($E595="","",IF($AQ595=1,0,IF($AP595=1,Settings!$C$6,Settings!$C$7))*100)</f>
        <v/>
      </c>
      <c r="AC595" s="7">
        <f>IF($E595="","",Y595*AB595/100)</f>
        <v/>
      </c>
      <c r="AD595" s="7">
        <f>IF($E595="","",Y595-AC595)</f>
        <v/>
      </c>
      <c r="AE595" s="7">
        <f>IF($E595="","",AD595-Q595)</f>
        <v/>
      </c>
      <c r="AI595" s="7" t="n"/>
      <c r="AL595" s="11" t="n"/>
      <c r="AN595">
        <f>IF($E595="","",IF(COUNTIF($E$2:$E595,$E595)=1,1,0))</f>
        <v/>
      </c>
      <c r="AO595">
        <f>IF($AN595=1,SUMPRODUCT(--($AR$2:$AR$4001&lt;$AR595))+1,"")</f>
        <v/>
      </c>
      <c r="AP595">
        <f>IF($E595="","",IF(OR($U595=TRUE(),$U595="TRUE"),1,0))</f>
        <v/>
      </c>
      <c r="AQ595">
        <f>IF($E595="","",IF($AA595="Yes",1,0))</f>
        <v/>
      </c>
      <c r="AR595">
        <f>IF($AN595=1,IFERROR(VALUE(MID($E595,2,20)),1000000000)+ROW()/100000,"")</f>
        <v/>
      </c>
    </row>
    <row r="596">
      <c r="G596" s="11" t="n"/>
      <c r="Q596" s="7">
        <f>IF($E596="","",P596*Y596/100)</f>
        <v/>
      </c>
      <c r="R596" s="7" t="n"/>
      <c r="X596" s="7" t="n"/>
      <c r="Y596" s="7" t="n"/>
      <c r="AB596">
        <f>IF($E596="","",IF($AQ596=1,0,IF($AP596=1,Settings!$C$6,Settings!$C$7))*100)</f>
        <v/>
      </c>
      <c r="AC596" s="7">
        <f>IF($E596="","",Y596*AB596/100)</f>
        <v/>
      </c>
      <c r="AD596" s="7">
        <f>IF($E596="","",Y596-AC596)</f>
        <v/>
      </c>
      <c r="AE596" s="7">
        <f>IF($E596="","",AD596-Q596)</f>
        <v/>
      </c>
      <c r="AI596" s="7" t="n"/>
      <c r="AL596" s="11" t="n"/>
      <c r="AN596">
        <f>IF($E596="","",IF(COUNTIF($E$2:$E596,$E596)=1,1,0))</f>
        <v/>
      </c>
      <c r="AO596">
        <f>IF($AN596=1,SUMPRODUCT(--($AR$2:$AR$4001&lt;$AR596))+1,"")</f>
        <v/>
      </c>
      <c r="AP596">
        <f>IF($E596="","",IF(OR($U596=TRUE(),$U596="TRUE"),1,0))</f>
        <v/>
      </c>
      <c r="AQ596">
        <f>IF($E596="","",IF($AA596="Yes",1,0))</f>
        <v/>
      </c>
      <c r="AR596">
        <f>IF($AN596=1,IFERROR(VALUE(MID($E596,2,20)),1000000000)+ROW()/100000,"")</f>
        <v/>
      </c>
    </row>
    <row r="597">
      <c r="G597" s="11" t="n"/>
      <c r="Q597" s="7">
        <f>IF($E597="","",P597*Y597/100)</f>
        <v/>
      </c>
      <c r="R597" s="7" t="n"/>
      <c r="X597" s="7" t="n"/>
      <c r="Y597" s="7" t="n"/>
      <c r="AB597">
        <f>IF($E597="","",IF($AQ597=1,0,IF($AP597=1,Settings!$C$6,Settings!$C$7))*100)</f>
        <v/>
      </c>
      <c r="AC597" s="7">
        <f>IF($E597="","",Y597*AB597/100)</f>
        <v/>
      </c>
      <c r="AD597" s="7">
        <f>IF($E597="","",Y597-AC597)</f>
        <v/>
      </c>
      <c r="AE597" s="7">
        <f>IF($E597="","",AD597-Q597)</f>
        <v/>
      </c>
      <c r="AI597" s="7" t="n"/>
      <c r="AL597" s="11" t="n"/>
      <c r="AN597">
        <f>IF($E597="","",IF(COUNTIF($E$2:$E597,$E597)=1,1,0))</f>
        <v/>
      </c>
      <c r="AO597">
        <f>IF($AN597=1,SUMPRODUCT(--($AR$2:$AR$4001&lt;$AR597))+1,"")</f>
        <v/>
      </c>
      <c r="AP597">
        <f>IF($E597="","",IF(OR($U597=TRUE(),$U597="TRUE"),1,0))</f>
        <v/>
      </c>
      <c r="AQ597">
        <f>IF($E597="","",IF($AA597="Yes",1,0))</f>
        <v/>
      </c>
      <c r="AR597">
        <f>IF($AN597=1,IFERROR(VALUE(MID($E597,2,20)),1000000000)+ROW()/100000,"")</f>
        <v/>
      </c>
    </row>
    <row r="598">
      <c r="G598" s="11" t="n"/>
      <c r="Q598" s="7">
        <f>IF($E598="","",P598*Y598/100)</f>
        <v/>
      </c>
      <c r="R598" s="7" t="n"/>
      <c r="X598" s="7" t="n"/>
      <c r="Y598" s="7" t="n"/>
      <c r="AB598">
        <f>IF($E598="","",IF($AQ598=1,0,IF($AP598=1,Settings!$C$6,Settings!$C$7))*100)</f>
        <v/>
      </c>
      <c r="AC598" s="7">
        <f>IF($E598="","",Y598*AB598/100)</f>
        <v/>
      </c>
      <c r="AD598" s="7">
        <f>IF($E598="","",Y598-AC598)</f>
        <v/>
      </c>
      <c r="AE598" s="7">
        <f>IF($E598="","",AD598-Q598)</f>
        <v/>
      </c>
      <c r="AI598" s="7" t="n"/>
      <c r="AL598" s="11" t="n"/>
      <c r="AN598">
        <f>IF($E598="","",IF(COUNTIF($E$2:$E598,$E598)=1,1,0))</f>
        <v/>
      </c>
      <c r="AO598">
        <f>IF($AN598=1,SUMPRODUCT(--($AR$2:$AR$4001&lt;$AR598))+1,"")</f>
        <v/>
      </c>
      <c r="AP598">
        <f>IF($E598="","",IF(OR($U598=TRUE(),$U598="TRUE"),1,0))</f>
        <v/>
      </c>
      <c r="AQ598">
        <f>IF($E598="","",IF($AA598="Yes",1,0))</f>
        <v/>
      </c>
      <c r="AR598">
        <f>IF($AN598=1,IFERROR(VALUE(MID($E598,2,20)),1000000000)+ROW()/100000,"")</f>
        <v/>
      </c>
    </row>
    <row r="599">
      <c r="G599" s="11" t="n"/>
      <c r="Q599" s="7">
        <f>IF($E599="","",P599*Y599/100)</f>
        <v/>
      </c>
      <c r="R599" s="7" t="n"/>
      <c r="X599" s="7" t="n"/>
      <c r="Y599" s="7" t="n"/>
      <c r="AB599">
        <f>IF($E599="","",IF($AQ599=1,0,IF($AP599=1,Settings!$C$6,Settings!$C$7))*100)</f>
        <v/>
      </c>
      <c r="AC599" s="7">
        <f>IF($E599="","",Y599*AB599/100)</f>
        <v/>
      </c>
      <c r="AD599" s="7">
        <f>IF($E599="","",Y599-AC599)</f>
        <v/>
      </c>
      <c r="AE599" s="7">
        <f>IF($E599="","",AD599-Q599)</f>
        <v/>
      </c>
      <c r="AI599" s="7" t="n"/>
      <c r="AL599" s="11" t="n"/>
      <c r="AN599">
        <f>IF($E599="","",IF(COUNTIF($E$2:$E599,$E599)=1,1,0))</f>
        <v/>
      </c>
      <c r="AO599">
        <f>IF($AN599=1,SUMPRODUCT(--($AR$2:$AR$4001&lt;$AR599))+1,"")</f>
        <v/>
      </c>
      <c r="AP599">
        <f>IF($E599="","",IF(OR($U599=TRUE(),$U599="TRUE"),1,0))</f>
        <v/>
      </c>
      <c r="AQ599">
        <f>IF($E599="","",IF($AA599="Yes",1,0))</f>
        <v/>
      </c>
      <c r="AR599">
        <f>IF($AN599=1,IFERROR(VALUE(MID($E599,2,20)),1000000000)+ROW()/100000,"")</f>
        <v/>
      </c>
    </row>
    <row r="600">
      <c r="G600" s="11" t="n"/>
      <c r="Q600" s="7">
        <f>IF($E600="","",P600*Y600/100)</f>
        <v/>
      </c>
      <c r="R600" s="7" t="n"/>
      <c r="X600" s="7" t="n"/>
      <c r="Y600" s="7" t="n"/>
      <c r="AB600">
        <f>IF($E600="","",IF($AQ600=1,0,IF($AP600=1,Settings!$C$6,Settings!$C$7))*100)</f>
        <v/>
      </c>
      <c r="AC600" s="7">
        <f>IF($E600="","",Y600*AB600/100)</f>
        <v/>
      </c>
      <c r="AD600" s="7">
        <f>IF($E600="","",Y600-AC600)</f>
        <v/>
      </c>
      <c r="AE600" s="7">
        <f>IF($E600="","",AD600-Q600)</f>
        <v/>
      </c>
      <c r="AI600" s="7" t="n"/>
      <c r="AL600" s="11" t="n"/>
      <c r="AN600">
        <f>IF($E600="","",IF(COUNTIF($E$2:$E600,$E600)=1,1,0))</f>
        <v/>
      </c>
      <c r="AO600">
        <f>IF($AN600=1,SUMPRODUCT(--($AR$2:$AR$4001&lt;$AR600))+1,"")</f>
        <v/>
      </c>
      <c r="AP600">
        <f>IF($E600="","",IF(OR($U600=TRUE(),$U600="TRUE"),1,0))</f>
        <v/>
      </c>
      <c r="AQ600">
        <f>IF($E600="","",IF($AA600="Yes",1,0))</f>
        <v/>
      </c>
      <c r="AR600">
        <f>IF($AN600=1,IFERROR(VALUE(MID($E600,2,20)),1000000000)+ROW()/100000,"")</f>
        <v/>
      </c>
    </row>
    <row r="601">
      <c r="G601" s="11" t="n"/>
      <c r="Q601" s="7">
        <f>IF($E601="","",P601*Y601/100)</f>
        <v/>
      </c>
      <c r="R601" s="7" t="n"/>
      <c r="X601" s="7" t="n"/>
      <c r="Y601" s="7" t="n"/>
      <c r="AB601">
        <f>IF($E601="","",IF($AQ601=1,0,IF($AP601=1,Settings!$C$6,Settings!$C$7))*100)</f>
        <v/>
      </c>
      <c r="AC601" s="7">
        <f>IF($E601="","",Y601*AB601/100)</f>
        <v/>
      </c>
      <c r="AD601" s="7">
        <f>IF($E601="","",Y601-AC601)</f>
        <v/>
      </c>
      <c r="AE601" s="7">
        <f>IF($E601="","",AD601-Q601)</f>
        <v/>
      </c>
      <c r="AI601" s="7" t="n"/>
      <c r="AL601" s="11" t="n"/>
      <c r="AN601">
        <f>IF($E601="","",IF(COUNTIF($E$2:$E601,$E601)=1,1,0))</f>
        <v/>
      </c>
      <c r="AO601">
        <f>IF($AN601=1,SUMPRODUCT(--($AR$2:$AR$4001&lt;$AR601))+1,"")</f>
        <v/>
      </c>
      <c r="AP601">
        <f>IF($E601="","",IF(OR($U601=TRUE(),$U601="TRUE"),1,0))</f>
        <v/>
      </c>
      <c r="AQ601">
        <f>IF($E601="","",IF($AA601="Yes",1,0))</f>
        <v/>
      </c>
      <c r="AR601">
        <f>IF($AN601=1,IFERROR(VALUE(MID($E601,2,20)),1000000000)+ROW()/100000,"")</f>
        <v/>
      </c>
    </row>
    <row r="602">
      <c r="G602" s="11" t="n"/>
      <c r="Q602" s="7">
        <f>IF($E602="","",P602*Y602/100)</f>
        <v/>
      </c>
      <c r="R602" s="7" t="n"/>
      <c r="X602" s="7" t="n"/>
      <c r="Y602" s="7" t="n"/>
      <c r="AB602">
        <f>IF($E602="","",IF($AQ602=1,0,IF($AP602=1,Settings!$C$6,Settings!$C$7))*100)</f>
        <v/>
      </c>
      <c r="AC602" s="7">
        <f>IF($E602="","",Y602*AB602/100)</f>
        <v/>
      </c>
      <c r="AD602" s="7">
        <f>IF($E602="","",Y602-AC602)</f>
        <v/>
      </c>
      <c r="AE602" s="7">
        <f>IF($E602="","",AD602-Q602)</f>
        <v/>
      </c>
      <c r="AI602" s="7" t="n"/>
      <c r="AL602" s="11" t="n"/>
      <c r="AN602">
        <f>IF($E602="","",IF(COUNTIF($E$2:$E602,$E602)=1,1,0))</f>
        <v/>
      </c>
      <c r="AO602">
        <f>IF($AN602=1,SUMPRODUCT(--($AR$2:$AR$4001&lt;$AR602))+1,"")</f>
        <v/>
      </c>
      <c r="AP602">
        <f>IF($E602="","",IF(OR($U602=TRUE(),$U602="TRUE"),1,0))</f>
        <v/>
      </c>
      <c r="AQ602">
        <f>IF($E602="","",IF($AA602="Yes",1,0))</f>
        <v/>
      </c>
      <c r="AR602">
        <f>IF($AN602=1,IFERROR(VALUE(MID($E602,2,20)),1000000000)+ROW()/100000,"")</f>
        <v/>
      </c>
    </row>
    <row r="603">
      <c r="G603" s="11" t="n"/>
      <c r="Q603" s="7">
        <f>IF($E603="","",P603*Y603/100)</f>
        <v/>
      </c>
      <c r="R603" s="7" t="n"/>
      <c r="X603" s="7" t="n"/>
      <c r="Y603" s="7" t="n"/>
      <c r="AB603">
        <f>IF($E603="","",IF($AQ603=1,0,IF($AP603=1,Settings!$C$6,Settings!$C$7))*100)</f>
        <v/>
      </c>
      <c r="AC603" s="7">
        <f>IF($E603="","",Y603*AB603/100)</f>
        <v/>
      </c>
      <c r="AD603" s="7">
        <f>IF($E603="","",Y603-AC603)</f>
        <v/>
      </c>
      <c r="AE603" s="7">
        <f>IF($E603="","",AD603-Q603)</f>
        <v/>
      </c>
      <c r="AI603" s="7" t="n"/>
      <c r="AL603" s="11" t="n"/>
      <c r="AN603">
        <f>IF($E603="","",IF(COUNTIF($E$2:$E603,$E603)=1,1,0))</f>
        <v/>
      </c>
      <c r="AO603">
        <f>IF($AN603=1,SUMPRODUCT(--($AR$2:$AR$4001&lt;$AR603))+1,"")</f>
        <v/>
      </c>
      <c r="AP603">
        <f>IF($E603="","",IF(OR($U603=TRUE(),$U603="TRUE"),1,0))</f>
        <v/>
      </c>
      <c r="AQ603">
        <f>IF($E603="","",IF($AA603="Yes",1,0))</f>
        <v/>
      </c>
      <c r="AR603">
        <f>IF($AN603=1,IFERROR(VALUE(MID($E603,2,20)),1000000000)+ROW()/100000,"")</f>
        <v/>
      </c>
    </row>
    <row r="604">
      <c r="G604" s="11" t="n"/>
      <c r="Q604" s="7">
        <f>IF($E604="","",P604*Y604/100)</f>
        <v/>
      </c>
      <c r="R604" s="7" t="n"/>
      <c r="X604" s="7" t="n"/>
      <c r="Y604" s="7" t="n"/>
      <c r="AB604">
        <f>IF($E604="","",IF($AQ604=1,0,IF($AP604=1,Settings!$C$6,Settings!$C$7))*100)</f>
        <v/>
      </c>
      <c r="AC604" s="7">
        <f>IF($E604="","",Y604*AB604/100)</f>
        <v/>
      </c>
      <c r="AD604" s="7">
        <f>IF($E604="","",Y604-AC604)</f>
        <v/>
      </c>
      <c r="AE604" s="7">
        <f>IF($E604="","",AD604-Q604)</f>
        <v/>
      </c>
      <c r="AI604" s="7" t="n"/>
      <c r="AL604" s="11" t="n"/>
      <c r="AN604">
        <f>IF($E604="","",IF(COUNTIF($E$2:$E604,$E604)=1,1,0))</f>
        <v/>
      </c>
      <c r="AO604">
        <f>IF($AN604=1,SUMPRODUCT(--($AR$2:$AR$4001&lt;$AR604))+1,"")</f>
        <v/>
      </c>
      <c r="AP604">
        <f>IF($E604="","",IF(OR($U604=TRUE(),$U604="TRUE"),1,0))</f>
        <v/>
      </c>
      <c r="AQ604">
        <f>IF($E604="","",IF($AA604="Yes",1,0))</f>
        <v/>
      </c>
      <c r="AR604">
        <f>IF($AN604=1,IFERROR(VALUE(MID($E604,2,20)),1000000000)+ROW()/100000,"")</f>
        <v/>
      </c>
    </row>
    <row r="605">
      <c r="G605" s="11" t="n"/>
      <c r="Q605" s="7">
        <f>IF($E605="","",P605*Y605/100)</f>
        <v/>
      </c>
      <c r="R605" s="7" t="n"/>
      <c r="X605" s="7" t="n"/>
      <c r="Y605" s="7" t="n"/>
      <c r="AB605">
        <f>IF($E605="","",IF($AQ605=1,0,IF($AP605=1,Settings!$C$6,Settings!$C$7))*100)</f>
        <v/>
      </c>
      <c r="AC605" s="7">
        <f>IF($E605="","",Y605*AB605/100)</f>
        <v/>
      </c>
      <c r="AD605" s="7">
        <f>IF($E605="","",Y605-AC605)</f>
        <v/>
      </c>
      <c r="AE605" s="7">
        <f>IF($E605="","",AD605-Q605)</f>
        <v/>
      </c>
      <c r="AI605" s="7" t="n"/>
      <c r="AL605" s="11" t="n"/>
      <c r="AN605">
        <f>IF($E605="","",IF(COUNTIF($E$2:$E605,$E605)=1,1,0))</f>
        <v/>
      </c>
      <c r="AO605">
        <f>IF($AN605=1,SUMPRODUCT(--($AR$2:$AR$4001&lt;$AR605))+1,"")</f>
        <v/>
      </c>
      <c r="AP605">
        <f>IF($E605="","",IF(OR($U605=TRUE(),$U605="TRUE"),1,0))</f>
        <v/>
      </c>
      <c r="AQ605">
        <f>IF($E605="","",IF($AA605="Yes",1,0))</f>
        <v/>
      </c>
      <c r="AR605">
        <f>IF($AN605=1,IFERROR(VALUE(MID($E605,2,20)),1000000000)+ROW()/100000,"")</f>
        <v/>
      </c>
    </row>
    <row r="606">
      <c r="G606" s="11" t="n"/>
      <c r="Q606" s="7">
        <f>IF($E606="","",P606*Y606/100)</f>
        <v/>
      </c>
      <c r="R606" s="7" t="n"/>
      <c r="X606" s="7" t="n"/>
      <c r="Y606" s="7" t="n"/>
      <c r="AB606">
        <f>IF($E606="","",IF($AQ606=1,0,IF($AP606=1,Settings!$C$6,Settings!$C$7))*100)</f>
        <v/>
      </c>
      <c r="AC606" s="7">
        <f>IF($E606="","",Y606*AB606/100)</f>
        <v/>
      </c>
      <c r="AD606" s="7">
        <f>IF($E606="","",Y606-AC606)</f>
        <v/>
      </c>
      <c r="AE606" s="7">
        <f>IF($E606="","",AD606-Q606)</f>
        <v/>
      </c>
      <c r="AI606" s="7" t="n"/>
      <c r="AL606" s="11" t="n"/>
      <c r="AN606">
        <f>IF($E606="","",IF(COUNTIF($E$2:$E606,$E606)=1,1,0))</f>
        <v/>
      </c>
      <c r="AO606">
        <f>IF($AN606=1,SUMPRODUCT(--($AR$2:$AR$4001&lt;$AR606))+1,"")</f>
        <v/>
      </c>
      <c r="AP606">
        <f>IF($E606="","",IF(OR($U606=TRUE(),$U606="TRUE"),1,0))</f>
        <v/>
      </c>
      <c r="AQ606">
        <f>IF($E606="","",IF($AA606="Yes",1,0))</f>
        <v/>
      </c>
      <c r="AR606">
        <f>IF($AN606=1,IFERROR(VALUE(MID($E606,2,20)),1000000000)+ROW()/100000,"")</f>
        <v/>
      </c>
    </row>
    <row r="607">
      <c r="G607" s="11" t="n"/>
      <c r="Q607" s="7">
        <f>IF($E607="","",P607*Y607/100)</f>
        <v/>
      </c>
      <c r="R607" s="7" t="n"/>
      <c r="X607" s="7" t="n"/>
      <c r="Y607" s="7" t="n"/>
      <c r="AB607">
        <f>IF($E607="","",IF($AQ607=1,0,IF($AP607=1,Settings!$C$6,Settings!$C$7))*100)</f>
        <v/>
      </c>
      <c r="AC607" s="7">
        <f>IF($E607="","",Y607*AB607/100)</f>
        <v/>
      </c>
      <c r="AD607" s="7">
        <f>IF($E607="","",Y607-AC607)</f>
        <v/>
      </c>
      <c r="AE607" s="7">
        <f>IF($E607="","",AD607-Q607)</f>
        <v/>
      </c>
      <c r="AI607" s="7" t="n"/>
      <c r="AL607" s="11" t="n"/>
      <c r="AN607">
        <f>IF($E607="","",IF(COUNTIF($E$2:$E607,$E607)=1,1,0))</f>
        <v/>
      </c>
      <c r="AO607">
        <f>IF($AN607=1,SUMPRODUCT(--($AR$2:$AR$4001&lt;$AR607))+1,"")</f>
        <v/>
      </c>
      <c r="AP607">
        <f>IF($E607="","",IF(OR($U607=TRUE(),$U607="TRUE"),1,0))</f>
        <v/>
      </c>
      <c r="AQ607">
        <f>IF($E607="","",IF($AA607="Yes",1,0))</f>
        <v/>
      </c>
      <c r="AR607">
        <f>IF($AN607=1,IFERROR(VALUE(MID($E607,2,20)),1000000000)+ROW()/100000,"")</f>
        <v/>
      </c>
    </row>
    <row r="608">
      <c r="G608" s="11" t="n"/>
      <c r="Q608" s="7">
        <f>IF($E608="","",P608*Y608/100)</f>
        <v/>
      </c>
      <c r="R608" s="7" t="n"/>
      <c r="X608" s="7" t="n"/>
      <c r="Y608" s="7" t="n"/>
      <c r="AB608">
        <f>IF($E608="","",IF($AQ608=1,0,IF($AP608=1,Settings!$C$6,Settings!$C$7))*100)</f>
        <v/>
      </c>
      <c r="AC608" s="7">
        <f>IF($E608="","",Y608*AB608/100)</f>
        <v/>
      </c>
      <c r="AD608" s="7">
        <f>IF($E608="","",Y608-AC608)</f>
        <v/>
      </c>
      <c r="AE608" s="7">
        <f>IF($E608="","",AD608-Q608)</f>
        <v/>
      </c>
      <c r="AI608" s="7" t="n"/>
      <c r="AL608" s="11" t="n"/>
      <c r="AN608">
        <f>IF($E608="","",IF(COUNTIF($E$2:$E608,$E608)=1,1,0))</f>
        <v/>
      </c>
      <c r="AO608">
        <f>IF($AN608=1,SUMPRODUCT(--($AR$2:$AR$4001&lt;$AR608))+1,"")</f>
        <v/>
      </c>
      <c r="AP608">
        <f>IF($E608="","",IF(OR($U608=TRUE(),$U608="TRUE"),1,0))</f>
        <v/>
      </c>
      <c r="AQ608">
        <f>IF($E608="","",IF($AA608="Yes",1,0))</f>
        <v/>
      </c>
      <c r="AR608">
        <f>IF($AN608=1,IFERROR(VALUE(MID($E608,2,20)),1000000000)+ROW()/100000,"")</f>
        <v/>
      </c>
    </row>
    <row r="609">
      <c r="G609" s="11" t="n"/>
      <c r="Q609" s="7">
        <f>IF($E609="","",P609*Y609/100)</f>
        <v/>
      </c>
      <c r="R609" s="7" t="n"/>
      <c r="X609" s="7" t="n"/>
      <c r="Y609" s="7" t="n"/>
      <c r="AB609">
        <f>IF($E609="","",IF($AQ609=1,0,IF($AP609=1,Settings!$C$6,Settings!$C$7))*100)</f>
        <v/>
      </c>
      <c r="AC609" s="7">
        <f>IF($E609="","",Y609*AB609/100)</f>
        <v/>
      </c>
      <c r="AD609" s="7">
        <f>IF($E609="","",Y609-AC609)</f>
        <v/>
      </c>
      <c r="AE609" s="7">
        <f>IF($E609="","",AD609-Q609)</f>
        <v/>
      </c>
      <c r="AI609" s="7" t="n"/>
      <c r="AL609" s="11" t="n"/>
      <c r="AN609">
        <f>IF($E609="","",IF(COUNTIF($E$2:$E609,$E609)=1,1,0))</f>
        <v/>
      </c>
      <c r="AO609">
        <f>IF($AN609=1,SUMPRODUCT(--($AR$2:$AR$4001&lt;$AR609))+1,"")</f>
        <v/>
      </c>
      <c r="AP609">
        <f>IF($E609="","",IF(OR($U609=TRUE(),$U609="TRUE"),1,0))</f>
        <v/>
      </c>
      <c r="AQ609">
        <f>IF($E609="","",IF($AA609="Yes",1,0))</f>
        <v/>
      </c>
      <c r="AR609">
        <f>IF($AN609=1,IFERROR(VALUE(MID($E609,2,20)),1000000000)+ROW()/100000,"")</f>
        <v/>
      </c>
    </row>
    <row r="610">
      <c r="G610" s="11" t="n"/>
      <c r="Q610" s="7">
        <f>IF($E610="","",P610*Y610/100)</f>
        <v/>
      </c>
      <c r="R610" s="7" t="n"/>
      <c r="X610" s="7" t="n"/>
      <c r="Y610" s="7" t="n"/>
      <c r="AB610">
        <f>IF($E610="","",IF($AQ610=1,0,IF($AP610=1,Settings!$C$6,Settings!$C$7))*100)</f>
        <v/>
      </c>
      <c r="AC610" s="7">
        <f>IF($E610="","",Y610*AB610/100)</f>
        <v/>
      </c>
      <c r="AD610" s="7">
        <f>IF($E610="","",Y610-AC610)</f>
        <v/>
      </c>
      <c r="AE610" s="7">
        <f>IF($E610="","",AD610-Q610)</f>
        <v/>
      </c>
      <c r="AI610" s="7" t="n"/>
      <c r="AL610" s="11" t="n"/>
      <c r="AN610">
        <f>IF($E610="","",IF(COUNTIF($E$2:$E610,$E610)=1,1,0))</f>
        <v/>
      </c>
      <c r="AO610">
        <f>IF($AN610=1,SUMPRODUCT(--($AR$2:$AR$4001&lt;$AR610))+1,"")</f>
        <v/>
      </c>
      <c r="AP610">
        <f>IF($E610="","",IF(OR($U610=TRUE(),$U610="TRUE"),1,0))</f>
        <v/>
      </c>
      <c r="AQ610">
        <f>IF($E610="","",IF($AA610="Yes",1,0))</f>
        <v/>
      </c>
      <c r="AR610">
        <f>IF($AN610=1,IFERROR(VALUE(MID($E610,2,20)),1000000000)+ROW()/100000,"")</f>
        <v/>
      </c>
    </row>
    <row r="611">
      <c r="G611" s="11" t="n"/>
      <c r="Q611" s="7">
        <f>IF($E611="","",P611*Y611/100)</f>
        <v/>
      </c>
      <c r="R611" s="7" t="n"/>
      <c r="X611" s="7" t="n"/>
      <c r="Y611" s="7" t="n"/>
      <c r="AB611">
        <f>IF($E611="","",IF($AQ611=1,0,IF($AP611=1,Settings!$C$6,Settings!$C$7))*100)</f>
        <v/>
      </c>
      <c r="AC611" s="7">
        <f>IF($E611="","",Y611*AB611/100)</f>
        <v/>
      </c>
      <c r="AD611" s="7">
        <f>IF($E611="","",Y611-AC611)</f>
        <v/>
      </c>
      <c r="AE611" s="7">
        <f>IF($E611="","",AD611-Q611)</f>
        <v/>
      </c>
      <c r="AI611" s="7" t="n"/>
      <c r="AL611" s="11" t="n"/>
      <c r="AN611">
        <f>IF($E611="","",IF(COUNTIF($E$2:$E611,$E611)=1,1,0))</f>
        <v/>
      </c>
      <c r="AO611">
        <f>IF($AN611=1,SUMPRODUCT(--($AR$2:$AR$4001&lt;$AR611))+1,"")</f>
        <v/>
      </c>
      <c r="AP611">
        <f>IF($E611="","",IF(OR($U611=TRUE(),$U611="TRUE"),1,0))</f>
        <v/>
      </c>
      <c r="AQ611">
        <f>IF($E611="","",IF($AA611="Yes",1,0))</f>
        <v/>
      </c>
      <c r="AR611">
        <f>IF($AN611=1,IFERROR(VALUE(MID($E611,2,20)),1000000000)+ROW()/100000,"")</f>
        <v/>
      </c>
    </row>
    <row r="612">
      <c r="G612" s="11" t="n"/>
      <c r="Q612" s="7">
        <f>IF($E612="","",P612*Y612/100)</f>
        <v/>
      </c>
      <c r="R612" s="7" t="n"/>
      <c r="X612" s="7" t="n"/>
      <c r="Y612" s="7" t="n"/>
      <c r="AB612">
        <f>IF($E612="","",IF($AQ612=1,0,IF($AP612=1,Settings!$C$6,Settings!$C$7))*100)</f>
        <v/>
      </c>
      <c r="AC612" s="7">
        <f>IF($E612="","",Y612*AB612/100)</f>
        <v/>
      </c>
      <c r="AD612" s="7">
        <f>IF($E612="","",Y612-AC612)</f>
        <v/>
      </c>
      <c r="AE612" s="7">
        <f>IF($E612="","",AD612-Q612)</f>
        <v/>
      </c>
      <c r="AI612" s="7" t="n"/>
      <c r="AL612" s="11" t="n"/>
      <c r="AN612">
        <f>IF($E612="","",IF(COUNTIF($E$2:$E612,$E612)=1,1,0))</f>
        <v/>
      </c>
      <c r="AO612">
        <f>IF($AN612=1,SUMPRODUCT(--($AR$2:$AR$4001&lt;$AR612))+1,"")</f>
        <v/>
      </c>
      <c r="AP612">
        <f>IF($E612="","",IF(OR($U612=TRUE(),$U612="TRUE"),1,0))</f>
        <v/>
      </c>
      <c r="AQ612">
        <f>IF($E612="","",IF($AA612="Yes",1,0))</f>
        <v/>
      </c>
      <c r="AR612">
        <f>IF($AN612=1,IFERROR(VALUE(MID($E612,2,20)),1000000000)+ROW()/100000,"")</f>
        <v/>
      </c>
    </row>
    <row r="613">
      <c r="G613" s="11" t="n"/>
      <c r="Q613" s="7">
        <f>IF($E613="","",P613*Y613/100)</f>
        <v/>
      </c>
      <c r="R613" s="7" t="n"/>
      <c r="X613" s="7" t="n"/>
      <c r="Y613" s="7" t="n"/>
      <c r="AB613">
        <f>IF($E613="","",IF($AQ613=1,0,IF($AP613=1,Settings!$C$6,Settings!$C$7))*100)</f>
        <v/>
      </c>
      <c r="AC613" s="7">
        <f>IF($E613="","",Y613*AB613/100)</f>
        <v/>
      </c>
      <c r="AD613" s="7">
        <f>IF($E613="","",Y613-AC613)</f>
        <v/>
      </c>
      <c r="AE613" s="7">
        <f>IF($E613="","",AD613-Q613)</f>
        <v/>
      </c>
      <c r="AI613" s="7" t="n"/>
      <c r="AL613" s="11" t="n"/>
      <c r="AN613">
        <f>IF($E613="","",IF(COUNTIF($E$2:$E613,$E613)=1,1,0))</f>
        <v/>
      </c>
      <c r="AO613">
        <f>IF($AN613=1,SUMPRODUCT(--($AR$2:$AR$4001&lt;$AR613))+1,"")</f>
        <v/>
      </c>
      <c r="AP613">
        <f>IF($E613="","",IF(OR($U613=TRUE(),$U613="TRUE"),1,0))</f>
        <v/>
      </c>
      <c r="AQ613">
        <f>IF($E613="","",IF($AA613="Yes",1,0))</f>
        <v/>
      </c>
      <c r="AR613">
        <f>IF($AN613=1,IFERROR(VALUE(MID($E613,2,20)),1000000000)+ROW()/100000,"")</f>
        <v/>
      </c>
    </row>
    <row r="614">
      <c r="G614" s="11" t="n"/>
      <c r="Q614" s="7">
        <f>IF($E614="","",P614*Y614/100)</f>
        <v/>
      </c>
      <c r="R614" s="7" t="n"/>
      <c r="X614" s="7" t="n"/>
      <c r="Y614" s="7" t="n"/>
      <c r="AB614">
        <f>IF($E614="","",IF($AQ614=1,0,IF($AP614=1,Settings!$C$6,Settings!$C$7))*100)</f>
        <v/>
      </c>
      <c r="AC614" s="7">
        <f>IF($E614="","",Y614*AB614/100)</f>
        <v/>
      </c>
      <c r="AD614" s="7">
        <f>IF($E614="","",Y614-AC614)</f>
        <v/>
      </c>
      <c r="AE614" s="7">
        <f>IF($E614="","",AD614-Q614)</f>
        <v/>
      </c>
      <c r="AI614" s="7" t="n"/>
      <c r="AL614" s="11" t="n"/>
      <c r="AN614">
        <f>IF($E614="","",IF(COUNTIF($E$2:$E614,$E614)=1,1,0))</f>
        <v/>
      </c>
      <c r="AO614">
        <f>IF($AN614=1,SUMPRODUCT(--($AR$2:$AR$4001&lt;$AR614))+1,"")</f>
        <v/>
      </c>
      <c r="AP614">
        <f>IF($E614="","",IF(OR($U614=TRUE(),$U614="TRUE"),1,0))</f>
        <v/>
      </c>
      <c r="AQ614">
        <f>IF($E614="","",IF($AA614="Yes",1,0))</f>
        <v/>
      </c>
      <c r="AR614">
        <f>IF($AN614=1,IFERROR(VALUE(MID($E614,2,20)),1000000000)+ROW()/100000,"")</f>
        <v/>
      </c>
    </row>
    <row r="615">
      <c r="G615" s="11" t="n"/>
      <c r="Q615" s="7">
        <f>IF($E615="","",P615*Y615/100)</f>
        <v/>
      </c>
      <c r="R615" s="7" t="n"/>
      <c r="X615" s="7" t="n"/>
      <c r="Y615" s="7" t="n"/>
      <c r="AB615">
        <f>IF($E615="","",IF($AQ615=1,0,IF($AP615=1,Settings!$C$6,Settings!$C$7))*100)</f>
        <v/>
      </c>
      <c r="AC615" s="7">
        <f>IF($E615="","",Y615*AB615/100)</f>
        <v/>
      </c>
      <c r="AD615" s="7">
        <f>IF($E615="","",Y615-AC615)</f>
        <v/>
      </c>
      <c r="AE615" s="7">
        <f>IF($E615="","",AD615-Q615)</f>
        <v/>
      </c>
      <c r="AI615" s="7" t="n"/>
      <c r="AL615" s="11" t="n"/>
      <c r="AN615">
        <f>IF($E615="","",IF(COUNTIF($E$2:$E615,$E615)=1,1,0))</f>
        <v/>
      </c>
      <c r="AO615">
        <f>IF($AN615=1,SUMPRODUCT(--($AR$2:$AR$4001&lt;$AR615))+1,"")</f>
        <v/>
      </c>
      <c r="AP615">
        <f>IF($E615="","",IF(OR($U615=TRUE(),$U615="TRUE"),1,0))</f>
        <v/>
      </c>
      <c r="AQ615">
        <f>IF($E615="","",IF($AA615="Yes",1,0))</f>
        <v/>
      </c>
      <c r="AR615">
        <f>IF($AN615=1,IFERROR(VALUE(MID($E615,2,20)),1000000000)+ROW()/100000,"")</f>
        <v/>
      </c>
    </row>
    <row r="616">
      <c r="G616" s="11" t="n"/>
      <c r="Q616" s="7">
        <f>IF($E616="","",P616*Y616/100)</f>
        <v/>
      </c>
      <c r="R616" s="7" t="n"/>
      <c r="X616" s="7" t="n"/>
      <c r="Y616" s="7" t="n"/>
      <c r="AB616">
        <f>IF($E616="","",IF($AQ616=1,0,IF($AP616=1,Settings!$C$6,Settings!$C$7))*100)</f>
        <v/>
      </c>
      <c r="AC616" s="7">
        <f>IF($E616="","",Y616*AB616/100)</f>
        <v/>
      </c>
      <c r="AD616" s="7">
        <f>IF($E616="","",Y616-AC616)</f>
        <v/>
      </c>
      <c r="AE616" s="7">
        <f>IF($E616="","",AD616-Q616)</f>
        <v/>
      </c>
      <c r="AI616" s="7" t="n"/>
      <c r="AL616" s="11" t="n"/>
      <c r="AN616">
        <f>IF($E616="","",IF(COUNTIF($E$2:$E616,$E616)=1,1,0))</f>
        <v/>
      </c>
      <c r="AO616">
        <f>IF($AN616=1,SUMPRODUCT(--($AR$2:$AR$4001&lt;$AR616))+1,"")</f>
        <v/>
      </c>
      <c r="AP616">
        <f>IF($E616="","",IF(OR($U616=TRUE(),$U616="TRUE"),1,0))</f>
        <v/>
      </c>
      <c r="AQ616">
        <f>IF($E616="","",IF($AA616="Yes",1,0))</f>
        <v/>
      </c>
      <c r="AR616">
        <f>IF($AN616=1,IFERROR(VALUE(MID($E616,2,20)),1000000000)+ROW()/100000,"")</f>
        <v/>
      </c>
    </row>
    <row r="617">
      <c r="G617" s="11" t="n"/>
      <c r="Q617" s="7">
        <f>IF($E617="","",P617*Y617/100)</f>
        <v/>
      </c>
      <c r="R617" s="7" t="n"/>
      <c r="X617" s="7" t="n"/>
      <c r="Y617" s="7" t="n"/>
      <c r="AB617">
        <f>IF($E617="","",IF($AQ617=1,0,IF($AP617=1,Settings!$C$6,Settings!$C$7))*100)</f>
        <v/>
      </c>
      <c r="AC617" s="7">
        <f>IF($E617="","",Y617*AB617/100)</f>
        <v/>
      </c>
      <c r="AD617" s="7">
        <f>IF($E617="","",Y617-AC617)</f>
        <v/>
      </c>
      <c r="AE617" s="7">
        <f>IF($E617="","",AD617-Q617)</f>
        <v/>
      </c>
      <c r="AI617" s="7" t="n"/>
      <c r="AL617" s="11" t="n"/>
      <c r="AN617">
        <f>IF($E617="","",IF(COUNTIF($E$2:$E617,$E617)=1,1,0))</f>
        <v/>
      </c>
      <c r="AO617">
        <f>IF($AN617=1,SUMPRODUCT(--($AR$2:$AR$4001&lt;$AR617))+1,"")</f>
        <v/>
      </c>
      <c r="AP617">
        <f>IF($E617="","",IF(OR($U617=TRUE(),$U617="TRUE"),1,0))</f>
        <v/>
      </c>
      <c r="AQ617">
        <f>IF($E617="","",IF($AA617="Yes",1,0))</f>
        <v/>
      </c>
      <c r="AR617">
        <f>IF($AN617=1,IFERROR(VALUE(MID($E617,2,20)),1000000000)+ROW()/100000,"")</f>
        <v/>
      </c>
    </row>
    <row r="618">
      <c r="G618" s="11" t="n"/>
      <c r="Q618" s="7">
        <f>IF($E618="","",P618*Y618/100)</f>
        <v/>
      </c>
      <c r="R618" s="7" t="n"/>
      <c r="X618" s="7" t="n"/>
      <c r="Y618" s="7" t="n"/>
      <c r="AB618">
        <f>IF($E618="","",IF($AQ618=1,0,IF($AP618=1,Settings!$C$6,Settings!$C$7))*100)</f>
        <v/>
      </c>
      <c r="AC618" s="7">
        <f>IF($E618="","",Y618*AB618/100)</f>
        <v/>
      </c>
      <c r="AD618" s="7">
        <f>IF($E618="","",Y618-AC618)</f>
        <v/>
      </c>
      <c r="AE618" s="7">
        <f>IF($E618="","",AD618-Q618)</f>
        <v/>
      </c>
      <c r="AI618" s="7" t="n"/>
      <c r="AL618" s="11" t="n"/>
      <c r="AN618">
        <f>IF($E618="","",IF(COUNTIF($E$2:$E618,$E618)=1,1,0))</f>
        <v/>
      </c>
      <c r="AO618">
        <f>IF($AN618=1,SUMPRODUCT(--($AR$2:$AR$4001&lt;$AR618))+1,"")</f>
        <v/>
      </c>
      <c r="AP618">
        <f>IF($E618="","",IF(OR($U618=TRUE(),$U618="TRUE"),1,0))</f>
        <v/>
      </c>
      <c r="AQ618">
        <f>IF($E618="","",IF($AA618="Yes",1,0))</f>
        <v/>
      </c>
      <c r="AR618">
        <f>IF($AN618=1,IFERROR(VALUE(MID($E618,2,20)),1000000000)+ROW()/100000,"")</f>
        <v/>
      </c>
    </row>
    <row r="619">
      <c r="G619" s="11" t="n"/>
      <c r="Q619" s="7">
        <f>IF($E619="","",P619*Y619/100)</f>
        <v/>
      </c>
      <c r="R619" s="7" t="n"/>
      <c r="X619" s="7" t="n"/>
      <c r="Y619" s="7" t="n"/>
      <c r="AB619">
        <f>IF($E619="","",IF($AQ619=1,0,IF($AP619=1,Settings!$C$6,Settings!$C$7))*100)</f>
        <v/>
      </c>
      <c r="AC619" s="7">
        <f>IF($E619="","",Y619*AB619/100)</f>
        <v/>
      </c>
      <c r="AD619" s="7">
        <f>IF($E619="","",Y619-AC619)</f>
        <v/>
      </c>
      <c r="AE619" s="7">
        <f>IF($E619="","",AD619-Q619)</f>
        <v/>
      </c>
      <c r="AI619" s="7" t="n"/>
      <c r="AL619" s="11" t="n"/>
      <c r="AN619">
        <f>IF($E619="","",IF(COUNTIF($E$2:$E619,$E619)=1,1,0))</f>
        <v/>
      </c>
      <c r="AO619">
        <f>IF($AN619=1,SUMPRODUCT(--($AR$2:$AR$4001&lt;$AR619))+1,"")</f>
        <v/>
      </c>
      <c r="AP619">
        <f>IF($E619="","",IF(OR($U619=TRUE(),$U619="TRUE"),1,0))</f>
        <v/>
      </c>
      <c r="AQ619">
        <f>IF($E619="","",IF($AA619="Yes",1,0))</f>
        <v/>
      </c>
      <c r="AR619">
        <f>IF($AN619=1,IFERROR(VALUE(MID($E619,2,20)),1000000000)+ROW()/100000,"")</f>
        <v/>
      </c>
    </row>
    <row r="620">
      <c r="G620" s="11" t="n"/>
      <c r="Q620" s="7">
        <f>IF($E620="","",P620*Y620/100)</f>
        <v/>
      </c>
      <c r="R620" s="7" t="n"/>
      <c r="X620" s="7" t="n"/>
      <c r="Y620" s="7" t="n"/>
      <c r="AB620">
        <f>IF($E620="","",IF($AQ620=1,0,IF($AP620=1,Settings!$C$6,Settings!$C$7))*100)</f>
        <v/>
      </c>
      <c r="AC620" s="7">
        <f>IF($E620="","",Y620*AB620/100)</f>
        <v/>
      </c>
      <c r="AD620" s="7">
        <f>IF($E620="","",Y620-AC620)</f>
        <v/>
      </c>
      <c r="AE620" s="7">
        <f>IF($E620="","",AD620-Q620)</f>
        <v/>
      </c>
      <c r="AI620" s="7" t="n"/>
      <c r="AL620" s="11" t="n"/>
      <c r="AN620">
        <f>IF($E620="","",IF(COUNTIF($E$2:$E620,$E620)=1,1,0))</f>
        <v/>
      </c>
      <c r="AO620">
        <f>IF($AN620=1,SUMPRODUCT(--($AR$2:$AR$4001&lt;$AR620))+1,"")</f>
        <v/>
      </c>
      <c r="AP620">
        <f>IF($E620="","",IF(OR($U620=TRUE(),$U620="TRUE"),1,0))</f>
        <v/>
      </c>
      <c r="AQ620">
        <f>IF($E620="","",IF($AA620="Yes",1,0))</f>
        <v/>
      </c>
      <c r="AR620">
        <f>IF($AN620=1,IFERROR(VALUE(MID($E620,2,20)),1000000000)+ROW()/100000,"")</f>
        <v/>
      </c>
    </row>
    <row r="621">
      <c r="G621" s="11" t="n"/>
      <c r="Q621" s="7">
        <f>IF($E621="","",P621*Y621/100)</f>
        <v/>
      </c>
      <c r="R621" s="7" t="n"/>
      <c r="X621" s="7" t="n"/>
      <c r="Y621" s="7" t="n"/>
      <c r="AB621">
        <f>IF($E621="","",IF($AQ621=1,0,IF($AP621=1,Settings!$C$6,Settings!$C$7))*100)</f>
        <v/>
      </c>
      <c r="AC621" s="7">
        <f>IF($E621="","",Y621*AB621/100)</f>
        <v/>
      </c>
      <c r="AD621" s="7">
        <f>IF($E621="","",Y621-AC621)</f>
        <v/>
      </c>
      <c r="AE621" s="7">
        <f>IF($E621="","",AD621-Q621)</f>
        <v/>
      </c>
      <c r="AI621" s="7" t="n"/>
      <c r="AL621" s="11" t="n"/>
      <c r="AN621">
        <f>IF($E621="","",IF(COUNTIF($E$2:$E621,$E621)=1,1,0))</f>
        <v/>
      </c>
      <c r="AO621">
        <f>IF($AN621=1,SUMPRODUCT(--($AR$2:$AR$4001&lt;$AR621))+1,"")</f>
        <v/>
      </c>
      <c r="AP621">
        <f>IF($E621="","",IF(OR($U621=TRUE(),$U621="TRUE"),1,0))</f>
        <v/>
      </c>
      <c r="AQ621">
        <f>IF($E621="","",IF($AA621="Yes",1,0))</f>
        <v/>
      </c>
      <c r="AR621">
        <f>IF($AN621=1,IFERROR(VALUE(MID($E621,2,20)),1000000000)+ROW()/100000,"")</f>
        <v/>
      </c>
    </row>
    <row r="622">
      <c r="G622" s="11" t="n"/>
      <c r="Q622" s="7">
        <f>IF($E622="","",P622*Y622/100)</f>
        <v/>
      </c>
      <c r="R622" s="7" t="n"/>
      <c r="X622" s="7" t="n"/>
      <c r="Y622" s="7" t="n"/>
      <c r="AB622">
        <f>IF($E622="","",IF($AQ622=1,0,IF($AP622=1,Settings!$C$6,Settings!$C$7))*100)</f>
        <v/>
      </c>
      <c r="AC622" s="7">
        <f>IF($E622="","",Y622*AB622/100)</f>
        <v/>
      </c>
      <c r="AD622" s="7">
        <f>IF($E622="","",Y622-AC622)</f>
        <v/>
      </c>
      <c r="AE622" s="7">
        <f>IF($E622="","",AD622-Q622)</f>
        <v/>
      </c>
      <c r="AI622" s="7" t="n"/>
      <c r="AL622" s="11" t="n"/>
      <c r="AN622">
        <f>IF($E622="","",IF(COUNTIF($E$2:$E622,$E622)=1,1,0))</f>
        <v/>
      </c>
      <c r="AO622">
        <f>IF($AN622=1,SUMPRODUCT(--($AR$2:$AR$4001&lt;$AR622))+1,"")</f>
        <v/>
      </c>
      <c r="AP622">
        <f>IF($E622="","",IF(OR($U622=TRUE(),$U622="TRUE"),1,0))</f>
        <v/>
      </c>
      <c r="AQ622">
        <f>IF($E622="","",IF($AA622="Yes",1,0))</f>
        <v/>
      </c>
      <c r="AR622">
        <f>IF($AN622=1,IFERROR(VALUE(MID($E622,2,20)),1000000000)+ROW()/100000,"")</f>
        <v/>
      </c>
    </row>
    <row r="623">
      <c r="G623" s="11" t="n"/>
      <c r="Q623" s="7">
        <f>IF($E623="","",P623*Y623/100)</f>
        <v/>
      </c>
      <c r="R623" s="7" t="n"/>
      <c r="X623" s="7" t="n"/>
      <c r="Y623" s="7" t="n"/>
      <c r="AB623">
        <f>IF($E623="","",IF($AQ623=1,0,IF($AP623=1,Settings!$C$6,Settings!$C$7))*100)</f>
        <v/>
      </c>
      <c r="AC623" s="7">
        <f>IF($E623="","",Y623*AB623/100)</f>
        <v/>
      </c>
      <c r="AD623" s="7">
        <f>IF($E623="","",Y623-AC623)</f>
        <v/>
      </c>
      <c r="AE623" s="7">
        <f>IF($E623="","",AD623-Q623)</f>
        <v/>
      </c>
      <c r="AI623" s="7" t="n"/>
      <c r="AL623" s="11" t="n"/>
      <c r="AN623">
        <f>IF($E623="","",IF(COUNTIF($E$2:$E623,$E623)=1,1,0))</f>
        <v/>
      </c>
      <c r="AO623">
        <f>IF($AN623=1,SUMPRODUCT(--($AR$2:$AR$4001&lt;$AR623))+1,"")</f>
        <v/>
      </c>
      <c r="AP623">
        <f>IF($E623="","",IF(OR($U623=TRUE(),$U623="TRUE"),1,0))</f>
        <v/>
      </c>
      <c r="AQ623">
        <f>IF($E623="","",IF($AA623="Yes",1,0))</f>
        <v/>
      </c>
      <c r="AR623">
        <f>IF($AN623=1,IFERROR(VALUE(MID($E623,2,20)),1000000000)+ROW()/100000,"")</f>
        <v/>
      </c>
    </row>
    <row r="624">
      <c r="G624" s="11" t="n"/>
      <c r="Q624" s="7">
        <f>IF($E624="","",P624*Y624/100)</f>
        <v/>
      </c>
      <c r="R624" s="7" t="n"/>
      <c r="X624" s="7" t="n"/>
      <c r="Y624" s="7" t="n"/>
      <c r="AB624">
        <f>IF($E624="","",IF($AQ624=1,0,IF($AP624=1,Settings!$C$6,Settings!$C$7))*100)</f>
        <v/>
      </c>
      <c r="AC624" s="7">
        <f>IF($E624="","",Y624*AB624/100)</f>
        <v/>
      </c>
      <c r="AD624" s="7">
        <f>IF($E624="","",Y624-AC624)</f>
        <v/>
      </c>
      <c r="AE624" s="7">
        <f>IF($E624="","",AD624-Q624)</f>
        <v/>
      </c>
      <c r="AI624" s="7" t="n"/>
      <c r="AL624" s="11" t="n"/>
      <c r="AN624">
        <f>IF($E624="","",IF(COUNTIF($E$2:$E624,$E624)=1,1,0))</f>
        <v/>
      </c>
      <c r="AO624">
        <f>IF($AN624=1,SUMPRODUCT(--($AR$2:$AR$4001&lt;$AR624))+1,"")</f>
        <v/>
      </c>
      <c r="AP624">
        <f>IF($E624="","",IF(OR($U624=TRUE(),$U624="TRUE"),1,0))</f>
        <v/>
      </c>
      <c r="AQ624">
        <f>IF($E624="","",IF($AA624="Yes",1,0))</f>
        <v/>
      </c>
      <c r="AR624">
        <f>IF($AN624=1,IFERROR(VALUE(MID($E624,2,20)),1000000000)+ROW()/100000,"")</f>
        <v/>
      </c>
    </row>
    <row r="625">
      <c r="G625" s="11" t="n"/>
      <c r="Q625" s="7">
        <f>IF($E625="","",P625*Y625/100)</f>
        <v/>
      </c>
      <c r="R625" s="7" t="n"/>
      <c r="X625" s="7" t="n"/>
      <c r="Y625" s="7" t="n"/>
      <c r="AB625">
        <f>IF($E625="","",IF($AQ625=1,0,IF($AP625=1,Settings!$C$6,Settings!$C$7))*100)</f>
        <v/>
      </c>
      <c r="AC625" s="7">
        <f>IF($E625="","",Y625*AB625/100)</f>
        <v/>
      </c>
      <c r="AD625" s="7">
        <f>IF($E625="","",Y625-AC625)</f>
        <v/>
      </c>
      <c r="AE625" s="7">
        <f>IF($E625="","",AD625-Q625)</f>
        <v/>
      </c>
      <c r="AI625" s="7" t="n"/>
      <c r="AL625" s="11" t="n"/>
      <c r="AN625">
        <f>IF($E625="","",IF(COUNTIF($E$2:$E625,$E625)=1,1,0))</f>
        <v/>
      </c>
      <c r="AO625">
        <f>IF($AN625=1,SUMPRODUCT(--($AR$2:$AR$4001&lt;$AR625))+1,"")</f>
        <v/>
      </c>
      <c r="AP625">
        <f>IF($E625="","",IF(OR($U625=TRUE(),$U625="TRUE"),1,0))</f>
        <v/>
      </c>
      <c r="AQ625">
        <f>IF($E625="","",IF($AA625="Yes",1,0))</f>
        <v/>
      </c>
      <c r="AR625">
        <f>IF($AN625=1,IFERROR(VALUE(MID($E625,2,20)),1000000000)+ROW()/100000,"")</f>
        <v/>
      </c>
    </row>
    <row r="626">
      <c r="G626" s="11" t="n"/>
      <c r="Q626" s="7">
        <f>IF($E626="","",P626*Y626/100)</f>
        <v/>
      </c>
      <c r="R626" s="7" t="n"/>
      <c r="X626" s="7" t="n"/>
      <c r="Y626" s="7" t="n"/>
      <c r="AB626">
        <f>IF($E626="","",IF($AQ626=1,0,IF($AP626=1,Settings!$C$6,Settings!$C$7))*100)</f>
        <v/>
      </c>
      <c r="AC626" s="7">
        <f>IF($E626="","",Y626*AB626/100)</f>
        <v/>
      </c>
      <c r="AD626" s="7">
        <f>IF($E626="","",Y626-AC626)</f>
        <v/>
      </c>
      <c r="AE626" s="7">
        <f>IF($E626="","",AD626-Q626)</f>
        <v/>
      </c>
      <c r="AI626" s="7" t="n"/>
      <c r="AL626" s="11" t="n"/>
      <c r="AN626">
        <f>IF($E626="","",IF(COUNTIF($E$2:$E626,$E626)=1,1,0))</f>
        <v/>
      </c>
      <c r="AO626">
        <f>IF($AN626=1,SUMPRODUCT(--($AR$2:$AR$4001&lt;$AR626))+1,"")</f>
        <v/>
      </c>
      <c r="AP626">
        <f>IF($E626="","",IF(OR($U626=TRUE(),$U626="TRUE"),1,0))</f>
        <v/>
      </c>
      <c r="AQ626">
        <f>IF($E626="","",IF($AA626="Yes",1,0))</f>
        <v/>
      </c>
      <c r="AR626">
        <f>IF($AN626=1,IFERROR(VALUE(MID($E626,2,20)),1000000000)+ROW()/100000,"")</f>
        <v/>
      </c>
    </row>
    <row r="627">
      <c r="G627" s="11" t="n"/>
      <c r="Q627" s="7">
        <f>IF($E627="","",P627*Y627/100)</f>
        <v/>
      </c>
      <c r="R627" s="7" t="n"/>
      <c r="X627" s="7" t="n"/>
      <c r="Y627" s="7" t="n"/>
      <c r="AB627">
        <f>IF($E627="","",IF($AQ627=1,0,IF($AP627=1,Settings!$C$6,Settings!$C$7))*100)</f>
        <v/>
      </c>
      <c r="AC627" s="7">
        <f>IF($E627="","",Y627*AB627/100)</f>
        <v/>
      </c>
      <c r="AD627" s="7">
        <f>IF($E627="","",Y627-AC627)</f>
        <v/>
      </c>
      <c r="AE627" s="7">
        <f>IF($E627="","",AD627-Q627)</f>
        <v/>
      </c>
      <c r="AI627" s="7" t="n"/>
      <c r="AL627" s="11" t="n"/>
      <c r="AN627">
        <f>IF($E627="","",IF(COUNTIF($E$2:$E627,$E627)=1,1,0))</f>
        <v/>
      </c>
      <c r="AO627">
        <f>IF($AN627=1,SUMPRODUCT(--($AR$2:$AR$4001&lt;$AR627))+1,"")</f>
        <v/>
      </c>
      <c r="AP627">
        <f>IF($E627="","",IF(OR($U627=TRUE(),$U627="TRUE"),1,0))</f>
        <v/>
      </c>
      <c r="AQ627">
        <f>IF($E627="","",IF($AA627="Yes",1,0))</f>
        <v/>
      </c>
      <c r="AR627">
        <f>IF($AN627=1,IFERROR(VALUE(MID($E627,2,20)),1000000000)+ROW()/100000,"")</f>
        <v/>
      </c>
    </row>
    <row r="628">
      <c r="G628" s="11" t="n"/>
      <c r="Q628" s="7">
        <f>IF($E628="","",P628*Y628/100)</f>
        <v/>
      </c>
      <c r="R628" s="7" t="n"/>
      <c r="X628" s="7" t="n"/>
      <c r="Y628" s="7" t="n"/>
      <c r="AB628">
        <f>IF($E628="","",IF($AQ628=1,0,IF($AP628=1,Settings!$C$6,Settings!$C$7))*100)</f>
        <v/>
      </c>
      <c r="AC628" s="7">
        <f>IF($E628="","",Y628*AB628/100)</f>
        <v/>
      </c>
      <c r="AD628" s="7">
        <f>IF($E628="","",Y628-AC628)</f>
        <v/>
      </c>
      <c r="AE628" s="7">
        <f>IF($E628="","",AD628-Q628)</f>
        <v/>
      </c>
      <c r="AI628" s="7" t="n"/>
      <c r="AL628" s="11" t="n"/>
      <c r="AN628">
        <f>IF($E628="","",IF(COUNTIF($E$2:$E628,$E628)=1,1,0))</f>
        <v/>
      </c>
      <c r="AO628">
        <f>IF($AN628=1,SUMPRODUCT(--($AR$2:$AR$4001&lt;$AR628))+1,"")</f>
        <v/>
      </c>
      <c r="AP628">
        <f>IF($E628="","",IF(OR($U628=TRUE(),$U628="TRUE"),1,0))</f>
        <v/>
      </c>
      <c r="AQ628">
        <f>IF($E628="","",IF($AA628="Yes",1,0))</f>
        <v/>
      </c>
      <c r="AR628">
        <f>IF($AN628=1,IFERROR(VALUE(MID($E628,2,20)),1000000000)+ROW()/100000,"")</f>
        <v/>
      </c>
    </row>
    <row r="629">
      <c r="G629" s="11" t="n"/>
      <c r="Q629" s="7">
        <f>IF($E629="","",P629*Y629/100)</f>
        <v/>
      </c>
      <c r="R629" s="7" t="n"/>
      <c r="X629" s="7" t="n"/>
      <c r="Y629" s="7" t="n"/>
      <c r="AB629">
        <f>IF($E629="","",IF($AQ629=1,0,IF($AP629=1,Settings!$C$6,Settings!$C$7))*100)</f>
        <v/>
      </c>
      <c r="AC629" s="7">
        <f>IF($E629="","",Y629*AB629/100)</f>
        <v/>
      </c>
      <c r="AD629" s="7">
        <f>IF($E629="","",Y629-AC629)</f>
        <v/>
      </c>
      <c r="AE629" s="7">
        <f>IF($E629="","",AD629-Q629)</f>
        <v/>
      </c>
      <c r="AI629" s="7" t="n"/>
      <c r="AL629" s="11" t="n"/>
      <c r="AN629">
        <f>IF($E629="","",IF(COUNTIF($E$2:$E629,$E629)=1,1,0))</f>
        <v/>
      </c>
      <c r="AO629">
        <f>IF($AN629=1,SUMPRODUCT(--($AR$2:$AR$4001&lt;$AR629))+1,"")</f>
        <v/>
      </c>
      <c r="AP629">
        <f>IF($E629="","",IF(OR($U629=TRUE(),$U629="TRUE"),1,0))</f>
        <v/>
      </c>
      <c r="AQ629">
        <f>IF($E629="","",IF($AA629="Yes",1,0))</f>
        <v/>
      </c>
      <c r="AR629">
        <f>IF($AN629=1,IFERROR(VALUE(MID($E629,2,20)),1000000000)+ROW()/100000,"")</f>
        <v/>
      </c>
    </row>
    <row r="630">
      <c r="G630" s="11" t="n"/>
      <c r="Q630" s="7">
        <f>IF($E630="","",P630*Y630/100)</f>
        <v/>
      </c>
      <c r="R630" s="7" t="n"/>
      <c r="X630" s="7" t="n"/>
      <c r="Y630" s="7" t="n"/>
      <c r="AB630">
        <f>IF($E630="","",IF($AQ630=1,0,IF($AP630=1,Settings!$C$6,Settings!$C$7))*100)</f>
        <v/>
      </c>
      <c r="AC630" s="7">
        <f>IF($E630="","",Y630*AB630/100)</f>
        <v/>
      </c>
      <c r="AD630" s="7">
        <f>IF($E630="","",Y630-AC630)</f>
        <v/>
      </c>
      <c r="AE630" s="7">
        <f>IF($E630="","",AD630-Q630)</f>
        <v/>
      </c>
      <c r="AI630" s="7" t="n"/>
      <c r="AL630" s="11" t="n"/>
      <c r="AN630">
        <f>IF($E630="","",IF(COUNTIF($E$2:$E630,$E630)=1,1,0))</f>
        <v/>
      </c>
      <c r="AO630">
        <f>IF($AN630=1,SUMPRODUCT(--($AR$2:$AR$4001&lt;$AR630))+1,"")</f>
        <v/>
      </c>
      <c r="AP630">
        <f>IF($E630="","",IF(OR($U630=TRUE(),$U630="TRUE"),1,0))</f>
        <v/>
      </c>
      <c r="AQ630">
        <f>IF($E630="","",IF($AA630="Yes",1,0))</f>
        <v/>
      </c>
      <c r="AR630">
        <f>IF($AN630=1,IFERROR(VALUE(MID($E630,2,20)),1000000000)+ROW()/100000,"")</f>
        <v/>
      </c>
    </row>
    <row r="631">
      <c r="G631" s="11" t="n"/>
      <c r="Q631" s="7">
        <f>IF($E631="","",P631*Y631/100)</f>
        <v/>
      </c>
      <c r="R631" s="7" t="n"/>
      <c r="X631" s="7" t="n"/>
      <c r="Y631" s="7" t="n"/>
      <c r="AB631">
        <f>IF($E631="","",IF($AQ631=1,0,IF($AP631=1,Settings!$C$6,Settings!$C$7))*100)</f>
        <v/>
      </c>
      <c r="AC631" s="7">
        <f>IF($E631="","",Y631*AB631/100)</f>
        <v/>
      </c>
      <c r="AD631" s="7">
        <f>IF($E631="","",Y631-AC631)</f>
        <v/>
      </c>
      <c r="AE631" s="7">
        <f>IF($E631="","",AD631-Q631)</f>
        <v/>
      </c>
      <c r="AI631" s="7" t="n"/>
      <c r="AL631" s="11" t="n"/>
      <c r="AN631">
        <f>IF($E631="","",IF(COUNTIF($E$2:$E631,$E631)=1,1,0))</f>
        <v/>
      </c>
      <c r="AO631">
        <f>IF($AN631=1,SUMPRODUCT(--($AR$2:$AR$4001&lt;$AR631))+1,"")</f>
        <v/>
      </c>
      <c r="AP631">
        <f>IF($E631="","",IF(OR($U631=TRUE(),$U631="TRUE"),1,0))</f>
        <v/>
      </c>
      <c r="AQ631">
        <f>IF($E631="","",IF($AA631="Yes",1,0))</f>
        <v/>
      </c>
      <c r="AR631">
        <f>IF($AN631=1,IFERROR(VALUE(MID($E631,2,20)),1000000000)+ROW()/100000,"")</f>
        <v/>
      </c>
    </row>
    <row r="632">
      <c r="G632" s="11" t="n"/>
      <c r="Q632" s="7">
        <f>IF($E632="","",P632*Y632/100)</f>
        <v/>
      </c>
      <c r="R632" s="7" t="n"/>
      <c r="X632" s="7" t="n"/>
      <c r="Y632" s="7" t="n"/>
      <c r="AB632">
        <f>IF($E632="","",IF($AQ632=1,0,IF($AP632=1,Settings!$C$6,Settings!$C$7))*100)</f>
        <v/>
      </c>
      <c r="AC632" s="7">
        <f>IF($E632="","",Y632*AB632/100)</f>
        <v/>
      </c>
      <c r="AD632" s="7">
        <f>IF($E632="","",Y632-AC632)</f>
        <v/>
      </c>
      <c r="AE632" s="7">
        <f>IF($E632="","",AD632-Q632)</f>
        <v/>
      </c>
      <c r="AI632" s="7" t="n"/>
      <c r="AL632" s="11" t="n"/>
      <c r="AN632">
        <f>IF($E632="","",IF(COUNTIF($E$2:$E632,$E632)=1,1,0))</f>
        <v/>
      </c>
      <c r="AO632">
        <f>IF($AN632=1,SUMPRODUCT(--($AR$2:$AR$4001&lt;$AR632))+1,"")</f>
        <v/>
      </c>
      <c r="AP632">
        <f>IF($E632="","",IF(OR($U632=TRUE(),$U632="TRUE"),1,0))</f>
        <v/>
      </c>
      <c r="AQ632">
        <f>IF($E632="","",IF($AA632="Yes",1,0))</f>
        <v/>
      </c>
      <c r="AR632">
        <f>IF($AN632=1,IFERROR(VALUE(MID($E632,2,20)),1000000000)+ROW()/100000,"")</f>
        <v/>
      </c>
    </row>
    <row r="633">
      <c r="G633" s="11" t="n"/>
      <c r="Q633" s="7">
        <f>IF($E633="","",P633*Y633/100)</f>
        <v/>
      </c>
      <c r="R633" s="7" t="n"/>
      <c r="X633" s="7" t="n"/>
      <c r="Y633" s="7" t="n"/>
      <c r="AB633">
        <f>IF($E633="","",IF($AQ633=1,0,IF($AP633=1,Settings!$C$6,Settings!$C$7))*100)</f>
        <v/>
      </c>
      <c r="AC633" s="7">
        <f>IF($E633="","",Y633*AB633/100)</f>
        <v/>
      </c>
      <c r="AD633" s="7">
        <f>IF($E633="","",Y633-AC633)</f>
        <v/>
      </c>
      <c r="AE633" s="7">
        <f>IF($E633="","",AD633-Q633)</f>
        <v/>
      </c>
      <c r="AI633" s="7" t="n"/>
      <c r="AL633" s="11" t="n"/>
      <c r="AN633">
        <f>IF($E633="","",IF(COUNTIF($E$2:$E633,$E633)=1,1,0))</f>
        <v/>
      </c>
      <c r="AO633">
        <f>IF($AN633=1,SUMPRODUCT(--($AR$2:$AR$4001&lt;$AR633))+1,"")</f>
        <v/>
      </c>
      <c r="AP633">
        <f>IF($E633="","",IF(OR($U633=TRUE(),$U633="TRUE"),1,0))</f>
        <v/>
      </c>
      <c r="AQ633">
        <f>IF($E633="","",IF($AA633="Yes",1,0))</f>
        <v/>
      </c>
      <c r="AR633">
        <f>IF($AN633=1,IFERROR(VALUE(MID($E633,2,20)),1000000000)+ROW()/100000,"")</f>
        <v/>
      </c>
    </row>
    <row r="634">
      <c r="G634" s="11" t="n"/>
      <c r="Q634" s="7">
        <f>IF($E634="","",P634*Y634/100)</f>
        <v/>
      </c>
      <c r="R634" s="7" t="n"/>
      <c r="X634" s="7" t="n"/>
      <c r="Y634" s="7" t="n"/>
      <c r="AB634">
        <f>IF($E634="","",IF($AQ634=1,0,IF($AP634=1,Settings!$C$6,Settings!$C$7))*100)</f>
        <v/>
      </c>
      <c r="AC634" s="7">
        <f>IF($E634="","",Y634*AB634/100)</f>
        <v/>
      </c>
      <c r="AD634" s="7">
        <f>IF($E634="","",Y634-AC634)</f>
        <v/>
      </c>
      <c r="AE634" s="7">
        <f>IF($E634="","",AD634-Q634)</f>
        <v/>
      </c>
      <c r="AI634" s="7" t="n"/>
      <c r="AL634" s="11" t="n"/>
      <c r="AN634">
        <f>IF($E634="","",IF(COUNTIF($E$2:$E634,$E634)=1,1,0))</f>
        <v/>
      </c>
      <c r="AO634">
        <f>IF($AN634=1,SUMPRODUCT(--($AR$2:$AR$4001&lt;$AR634))+1,"")</f>
        <v/>
      </c>
      <c r="AP634">
        <f>IF($E634="","",IF(OR($U634=TRUE(),$U634="TRUE"),1,0))</f>
        <v/>
      </c>
      <c r="AQ634">
        <f>IF($E634="","",IF($AA634="Yes",1,0))</f>
        <v/>
      </c>
      <c r="AR634">
        <f>IF($AN634=1,IFERROR(VALUE(MID($E634,2,20)),1000000000)+ROW()/100000,"")</f>
        <v/>
      </c>
    </row>
    <row r="635">
      <c r="G635" s="11" t="n"/>
      <c r="Q635" s="7">
        <f>IF($E635="","",P635*Y635/100)</f>
        <v/>
      </c>
      <c r="R635" s="7" t="n"/>
      <c r="X635" s="7" t="n"/>
      <c r="Y635" s="7" t="n"/>
      <c r="AB635">
        <f>IF($E635="","",IF($AQ635=1,0,IF($AP635=1,Settings!$C$6,Settings!$C$7))*100)</f>
        <v/>
      </c>
      <c r="AC635" s="7">
        <f>IF($E635="","",Y635*AB635/100)</f>
        <v/>
      </c>
      <c r="AD635" s="7">
        <f>IF($E635="","",Y635-AC635)</f>
        <v/>
      </c>
      <c r="AE635" s="7">
        <f>IF($E635="","",AD635-Q635)</f>
        <v/>
      </c>
      <c r="AI635" s="7" t="n"/>
      <c r="AL635" s="11" t="n"/>
      <c r="AN635">
        <f>IF($E635="","",IF(COUNTIF($E$2:$E635,$E635)=1,1,0))</f>
        <v/>
      </c>
      <c r="AO635">
        <f>IF($AN635=1,SUMPRODUCT(--($AR$2:$AR$4001&lt;$AR635))+1,"")</f>
        <v/>
      </c>
      <c r="AP635">
        <f>IF($E635="","",IF(OR($U635=TRUE(),$U635="TRUE"),1,0))</f>
        <v/>
      </c>
      <c r="AQ635">
        <f>IF($E635="","",IF($AA635="Yes",1,0))</f>
        <v/>
      </c>
      <c r="AR635">
        <f>IF($AN635=1,IFERROR(VALUE(MID($E635,2,20)),1000000000)+ROW()/100000,"")</f>
        <v/>
      </c>
    </row>
    <row r="636">
      <c r="G636" s="11" t="n"/>
      <c r="Q636" s="7">
        <f>IF($E636="","",P636*Y636/100)</f>
        <v/>
      </c>
      <c r="R636" s="7" t="n"/>
      <c r="X636" s="7" t="n"/>
      <c r="Y636" s="7" t="n"/>
      <c r="AB636">
        <f>IF($E636="","",IF($AQ636=1,0,IF($AP636=1,Settings!$C$6,Settings!$C$7))*100)</f>
        <v/>
      </c>
      <c r="AC636" s="7">
        <f>IF($E636="","",Y636*AB636/100)</f>
        <v/>
      </c>
      <c r="AD636" s="7">
        <f>IF($E636="","",Y636-AC636)</f>
        <v/>
      </c>
      <c r="AE636" s="7">
        <f>IF($E636="","",AD636-Q636)</f>
        <v/>
      </c>
      <c r="AI636" s="7" t="n"/>
      <c r="AL636" s="11" t="n"/>
      <c r="AN636">
        <f>IF($E636="","",IF(COUNTIF($E$2:$E636,$E636)=1,1,0))</f>
        <v/>
      </c>
      <c r="AO636">
        <f>IF($AN636=1,SUMPRODUCT(--($AR$2:$AR$4001&lt;$AR636))+1,"")</f>
        <v/>
      </c>
      <c r="AP636">
        <f>IF($E636="","",IF(OR($U636=TRUE(),$U636="TRUE"),1,0))</f>
        <v/>
      </c>
      <c r="AQ636">
        <f>IF($E636="","",IF($AA636="Yes",1,0))</f>
        <v/>
      </c>
      <c r="AR636">
        <f>IF($AN636=1,IFERROR(VALUE(MID($E636,2,20)),1000000000)+ROW()/100000,"")</f>
        <v/>
      </c>
    </row>
    <row r="637">
      <c r="G637" s="11" t="n"/>
      <c r="Q637" s="7">
        <f>IF($E637="","",P637*Y637/100)</f>
        <v/>
      </c>
      <c r="R637" s="7" t="n"/>
      <c r="X637" s="7" t="n"/>
      <c r="Y637" s="7" t="n"/>
      <c r="AB637">
        <f>IF($E637="","",IF($AQ637=1,0,IF($AP637=1,Settings!$C$6,Settings!$C$7))*100)</f>
        <v/>
      </c>
      <c r="AC637" s="7">
        <f>IF($E637="","",Y637*AB637/100)</f>
        <v/>
      </c>
      <c r="AD637" s="7">
        <f>IF($E637="","",Y637-AC637)</f>
        <v/>
      </c>
      <c r="AE637" s="7">
        <f>IF($E637="","",AD637-Q637)</f>
        <v/>
      </c>
      <c r="AI637" s="7" t="n"/>
      <c r="AL637" s="11" t="n"/>
      <c r="AN637">
        <f>IF($E637="","",IF(COUNTIF($E$2:$E637,$E637)=1,1,0))</f>
        <v/>
      </c>
      <c r="AO637">
        <f>IF($AN637=1,SUMPRODUCT(--($AR$2:$AR$4001&lt;$AR637))+1,"")</f>
        <v/>
      </c>
      <c r="AP637">
        <f>IF($E637="","",IF(OR($U637=TRUE(),$U637="TRUE"),1,0))</f>
        <v/>
      </c>
      <c r="AQ637">
        <f>IF($E637="","",IF($AA637="Yes",1,0))</f>
        <v/>
      </c>
      <c r="AR637">
        <f>IF($AN637=1,IFERROR(VALUE(MID($E637,2,20)),1000000000)+ROW()/100000,"")</f>
        <v/>
      </c>
    </row>
    <row r="638">
      <c r="G638" s="11" t="n"/>
      <c r="Q638" s="7">
        <f>IF($E638="","",P638*Y638/100)</f>
        <v/>
      </c>
      <c r="R638" s="7" t="n"/>
      <c r="X638" s="7" t="n"/>
      <c r="Y638" s="7" t="n"/>
      <c r="AB638">
        <f>IF($E638="","",IF($AQ638=1,0,IF($AP638=1,Settings!$C$6,Settings!$C$7))*100)</f>
        <v/>
      </c>
      <c r="AC638" s="7">
        <f>IF($E638="","",Y638*AB638/100)</f>
        <v/>
      </c>
      <c r="AD638" s="7">
        <f>IF($E638="","",Y638-AC638)</f>
        <v/>
      </c>
      <c r="AE638" s="7">
        <f>IF($E638="","",AD638-Q638)</f>
        <v/>
      </c>
      <c r="AI638" s="7" t="n"/>
      <c r="AL638" s="11" t="n"/>
      <c r="AN638">
        <f>IF($E638="","",IF(COUNTIF($E$2:$E638,$E638)=1,1,0))</f>
        <v/>
      </c>
      <c r="AO638">
        <f>IF($AN638=1,SUMPRODUCT(--($AR$2:$AR$4001&lt;$AR638))+1,"")</f>
        <v/>
      </c>
      <c r="AP638">
        <f>IF($E638="","",IF(OR($U638=TRUE(),$U638="TRUE"),1,0))</f>
        <v/>
      </c>
      <c r="AQ638">
        <f>IF($E638="","",IF($AA638="Yes",1,0))</f>
        <v/>
      </c>
      <c r="AR638">
        <f>IF($AN638=1,IFERROR(VALUE(MID($E638,2,20)),1000000000)+ROW()/100000,"")</f>
        <v/>
      </c>
    </row>
    <row r="639">
      <c r="G639" s="11" t="n"/>
      <c r="Q639" s="7">
        <f>IF($E639="","",P639*Y639/100)</f>
        <v/>
      </c>
      <c r="R639" s="7" t="n"/>
      <c r="X639" s="7" t="n"/>
      <c r="Y639" s="7" t="n"/>
      <c r="AB639">
        <f>IF($E639="","",IF($AQ639=1,0,IF($AP639=1,Settings!$C$6,Settings!$C$7))*100)</f>
        <v/>
      </c>
      <c r="AC639" s="7">
        <f>IF($E639="","",Y639*AB639/100)</f>
        <v/>
      </c>
      <c r="AD639" s="7">
        <f>IF($E639="","",Y639-AC639)</f>
        <v/>
      </c>
      <c r="AE639" s="7">
        <f>IF($E639="","",AD639-Q639)</f>
        <v/>
      </c>
      <c r="AI639" s="7" t="n"/>
      <c r="AL639" s="11" t="n"/>
      <c r="AN639">
        <f>IF($E639="","",IF(COUNTIF($E$2:$E639,$E639)=1,1,0))</f>
        <v/>
      </c>
      <c r="AO639">
        <f>IF($AN639=1,SUMPRODUCT(--($AR$2:$AR$4001&lt;$AR639))+1,"")</f>
        <v/>
      </c>
      <c r="AP639">
        <f>IF($E639="","",IF(OR($U639=TRUE(),$U639="TRUE"),1,0))</f>
        <v/>
      </c>
      <c r="AQ639">
        <f>IF($E639="","",IF($AA639="Yes",1,0))</f>
        <v/>
      </c>
      <c r="AR639">
        <f>IF($AN639=1,IFERROR(VALUE(MID($E639,2,20)),1000000000)+ROW()/100000,"")</f>
        <v/>
      </c>
    </row>
    <row r="640">
      <c r="G640" s="11" t="n"/>
      <c r="Q640" s="7">
        <f>IF($E640="","",P640*Y640/100)</f>
        <v/>
      </c>
      <c r="R640" s="7" t="n"/>
      <c r="X640" s="7" t="n"/>
      <c r="Y640" s="7" t="n"/>
      <c r="AB640">
        <f>IF($E640="","",IF($AQ640=1,0,IF($AP640=1,Settings!$C$6,Settings!$C$7))*100)</f>
        <v/>
      </c>
      <c r="AC640" s="7">
        <f>IF($E640="","",Y640*AB640/100)</f>
        <v/>
      </c>
      <c r="AD640" s="7">
        <f>IF($E640="","",Y640-AC640)</f>
        <v/>
      </c>
      <c r="AE640" s="7">
        <f>IF($E640="","",AD640-Q640)</f>
        <v/>
      </c>
      <c r="AI640" s="7" t="n"/>
      <c r="AL640" s="11" t="n"/>
      <c r="AN640">
        <f>IF($E640="","",IF(COUNTIF($E$2:$E640,$E640)=1,1,0))</f>
        <v/>
      </c>
      <c r="AO640">
        <f>IF($AN640=1,SUMPRODUCT(--($AR$2:$AR$4001&lt;$AR640))+1,"")</f>
        <v/>
      </c>
      <c r="AP640">
        <f>IF($E640="","",IF(OR($U640=TRUE(),$U640="TRUE"),1,0))</f>
        <v/>
      </c>
      <c r="AQ640">
        <f>IF($E640="","",IF($AA640="Yes",1,0))</f>
        <v/>
      </c>
      <c r="AR640">
        <f>IF($AN640=1,IFERROR(VALUE(MID($E640,2,20)),1000000000)+ROW()/100000,"")</f>
        <v/>
      </c>
    </row>
    <row r="641">
      <c r="G641" s="11" t="n"/>
      <c r="Q641" s="7">
        <f>IF($E641="","",P641*Y641/100)</f>
        <v/>
      </c>
      <c r="R641" s="7" t="n"/>
      <c r="X641" s="7" t="n"/>
      <c r="Y641" s="7" t="n"/>
      <c r="AB641">
        <f>IF($E641="","",IF($AQ641=1,0,IF($AP641=1,Settings!$C$6,Settings!$C$7))*100)</f>
        <v/>
      </c>
      <c r="AC641" s="7">
        <f>IF($E641="","",Y641*AB641/100)</f>
        <v/>
      </c>
      <c r="AD641" s="7">
        <f>IF($E641="","",Y641-AC641)</f>
        <v/>
      </c>
      <c r="AE641" s="7">
        <f>IF($E641="","",AD641-Q641)</f>
        <v/>
      </c>
      <c r="AI641" s="7" t="n"/>
      <c r="AL641" s="11" t="n"/>
      <c r="AN641">
        <f>IF($E641="","",IF(COUNTIF($E$2:$E641,$E641)=1,1,0))</f>
        <v/>
      </c>
      <c r="AO641">
        <f>IF($AN641=1,SUMPRODUCT(--($AR$2:$AR$4001&lt;$AR641))+1,"")</f>
        <v/>
      </c>
      <c r="AP641">
        <f>IF($E641="","",IF(OR($U641=TRUE(),$U641="TRUE"),1,0))</f>
        <v/>
      </c>
      <c r="AQ641">
        <f>IF($E641="","",IF($AA641="Yes",1,0))</f>
        <v/>
      </c>
      <c r="AR641">
        <f>IF($AN641=1,IFERROR(VALUE(MID($E641,2,20)),1000000000)+ROW()/100000,"")</f>
        <v/>
      </c>
    </row>
    <row r="642">
      <c r="G642" s="11" t="n"/>
      <c r="Q642" s="7">
        <f>IF($E642="","",P642*Y642/100)</f>
        <v/>
      </c>
      <c r="R642" s="7" t="n"/>
      <c r="X642" s="7" t="n"/>
      <c r="Y642" s="7" t="n"/>
      <c r="AB642">
        <f>IF($E642="","",IF($AQ642=1,0,IF($AP642=1,Settings!$C$6,Settings!$C$7))*100)</f>
        <v/>
      </c>
      <c r="AC642" s="7">
        <f>IF($E642="","",Y642*AB642/100)</f>
        <v/>
      </c>
      <c r="AD642" s="7">
        <f>IF($E642="","",Y642-AC642)</f>
        <v/>
      </c>
      <c r="AE642" s="7">
        <f>IF($E642="","",AD642-Q642)</f>
        <v/>
      </c>
      <c r="AI642" s="7" t="n"/>
      <c r="AL642" s="11" t="n"/>
      <c r="AN642">
        <f>IF($E642="","",IF(COUNTIF($E$2:$E642,$E642)=1,1,0))</f>
        <v/>
      </c>
      <c r="AO642">
        <f>IF($AN642=1,SUMPRODUCT(--($AR$2:$AR$4001&lt;$AR642))+1,"")</f>
        <v/>
      </c>
      <c r="AP642">
        <f>IF($E642="","",IF(OR($U642=TRUE(),$U642="TRUE"),1,0))</f>
        <v/>
      </c>
      <c r="AQ642">
        <f>IF($E642="","",IF($AA642="Yes",1,0))</f>
        <v/>
      </c>
      <c r="AR642">
        <f>IF($AN642=1,IFERROR(VALUE(MID($E642,2,20)),1000000000)+ROW()/100000,"")</f>
        <v/>
      </c>
    </row>
    <row r="643">
      <c r="G643" s="11" t="n"/>
      <c r="Q643" s="7">
        <f>IF($E643="","",P643*Y643/100)</f>
        <v/>
      </c>
      <c r="R643" s="7" t="n"/>
      <c r="X643" s="7" t="n"/>
      <c r="Y643" s="7" t="n"/>
      <c r="AB643">
        <f>IF($E643="","",IF($AQ643=1,0,IF($AP643=1,Settings!$C$6,Settings!$C$7))*100)</f>
        <v/>
      </c>
      <c r="AC643" s="7">
        <f>IF($E643="","",Y643*AB643/100)</f>
        <v/>
      </c>
      <c r="AD643" s="7">
        <f>IF($E643="","",Y643-AC643)</f>
        <v/>
      </c>
      <c r="AE643" s="7">
        <f>IF($E643="","",AD643-Q643)</f>
        <v/>
      </c>
      <c r="AI643" s="7" t="n"/>
      <c r="AL643" s="11" t="n"/>
      <c r="AN643">
        <f>IF($E643="","",IF(COUNTIF($E$2:$E643,$E643)=1,1,0))</f>
        <v/>
      </c>
      <c r="AO643">
        <f>IF($AN643=1,SUMPRODUCT(--($AR$2:$AR$4001&lt;$AR643))+1,"")</f>
        <v/>
      </c>
      <c r="AP643">
        <f>IF($E643="","",IF(OR($U643=TRUE(),$U643="TRUE"),1,0))</f>
        <v/>
      </c>
      <c r="AQ643">
        <f>IF($E643="","",IF($AA643="Yes",1,0))</f>
        <v/>
      </c>
      <c r="AR643">
        <f>IF($AN643=1,IFERROR(VALUE(MID($E643,2,20)),1000000000)+ROW()/100000,"")</f>
        <v/>
      </c>
    </row>
    <row r="644">
      <c r="G644" s="11" t="n"/>
      <c r="Q644" s="7">
        <f>IF($E644="","",P644*Y644/100)</f>
        <v/>
      </c>
      <c r="R644" s="7" t="n"/>
      <c r="X644" s="7" t="n"/>
      <c r="Y644" s="7" t="n"/>
      <c r="AB644">
        <f>IF($E644="","",IF($AQ644=1,0,IF($AP644=1,Settings!$C$6,Settings!$C$7))*100)</f>
        <v/>
      </c>
      <c r="AC644" s="7">
        <f>IF($E644="","",Y644*AB644/100)</f>
        <v/>
      </c>
      <c r="AD644" s="7">
        <f>IF($E644="","",Y644-AC644)</f>
        <v/>
      </c>
      <c r="AE644" s="7">
        <f>IF($E644="","",AD644-Q644)</f>
        <v/>
      </c>
      <c r="AI644" s="7" t="n"/>
      <c r="AL644" s="11" t="n"/>
      <c r="AN644">
        <f>IF($E644="","",IF(COUNTIF($E$2:$E644,$E644)=1,1,0))</f>
        <v/>
      </c>
      <c r="AO644">
        <f>IF($AN644=1,SUMPRODUCT(--($AR$2:$AR$4001&lt;$AR644))+1,"")</f>
        <v/>
      </c>
      <c r="AP644">
        <f>IF($E644="","",IF(OR($U644=TRUE(),$U644="TRUE"),1,0))</f>
        <v/>
      </c>
      <c r="AQ644">
        <f>IF($E644="","",IF($AA644="Yes",1,0))</f>
        <v/>
      </c>
      <c r="AR644">
        <f>IF($AN644=1,IFERROR(VALUE(MID($E644,2,20)),1000000000)+ROW()/100000,"")</f>
        <v/>
      </c>
    </row>
    <row r="645">
      <c r="G645" s="11" t="n"/>
      <c r="Q645" s="7">
        <f>IF($E645="","",P645*Y645/100)</f>
        <v/>
      </c>
      <c r="R645" s="7" t="n"/>
      <c r="X645" s="7" t="n"/>
      <c r="Y645" s="7" t="n"/>
      <c r="AB645">
        <f>IF($E645="","",IF($AQ645=1,0,IF($AP645=1,Settings!$C$6,Settings!$C$7))*100)</f>
        <v/>
      </c>
      <c r="AC645" s="7">
        <f>IF($E645="","",Y645*AB645/100)</f>
        <v/>
      </c>
      <c r="AD645" s="7">
        <f>IF($E645="","",Y645-AC645)</f>
        <v/>
      </c>
      <c r="AE645" s="7">
        <f>IF($E645="","",AD645-Q645)</f>
        <v/>
      </c>
      <c r="AI645" s="7" t="n"/>
      <c r="AL645" s="11" t="n"/>
      <c r="AN645">
        <f>IF($E645="","",IF(COUNTIF($E$2:$E645,$E645)=1,1,0))</f>
        <v/>
      </c>
      <c r="AO645">
        <f>IF($AN645=1,SUMPRODUCT(--($AR$2:$AR$4001&lt;$AR645))+1,"")</f>
        <v/>
      </c>
      <c r="AP645">
        <f>IF($E645="","",IF(OR($U645=TRUE(),$U645="TRUE"),1,0))</f>
        <v/>
      </c>
      <c r="AQ645">
        <f>IF($E645="","",IF($AA645="Yes",1,0))</f>
        <v/>
      </c>
      <c r="AR645">
        <f>IF($AN645=1,IFERROR(VALUE(MID($E645,2,20)),1000000000)+ROW()/100000,"")</f>
        <v/>
      </c>
    </row>
    <row r="646">
      <c r="G646" s="11" t="n"/>
      <c r="Q646" s="7">
        <f>IF($E646="","",P646*Y646/100)</f>
        <v/>
      </c>
      <c r="R646" s="7" t="n"/>
      <c r="X646" s="7" t="n"/>
      <c r="Y646" s="7" t="n"/>
      <c r="AB646">
        <f>IF($E646="","",IF($AQ646=1,0,IF($AP646=1,Settings!$C$6,Settings!$C$7))*100)</f>
        <v/>
      </c>
      <c r="AC646" s="7">
        <f>IF($E646="","",Y646*AB646/100)</f>
        <v/>
      </c>
      <c r="AD646" s="7">
        <f>IF($E646="","",Y646-AC646)</f>
        <v/>
      </c>
      <c r="AE646" s="7">
        <f>IF($E646="","",AD646-Q646)</f>
        <v/>
      </c>
      <c r="AI646" s="7" t="n"/>
      <c r="AL646" s="11" t="n"/>
      <c r="AN646">
        <f>IF($E646="","",IF(COUNTIF($E$2:$E646,$E646)=1,1,0))</f>
        <v/>
      </c>
      <c r="AO646">
        <f>IF($AN646=1,SUMPRODUCT(--($AR$2:$AR$4001&lt;$AR646))+1,"")</f>
        <v/>
      </c>
      <c r="AP646">
        <f>IF($E646="","",IF(OR($U646=TRUE(),$U646="TRUE"),1,0))</f>
        <v/>
      </c>
      <c r="AQ646">
        <f>IF($E646="","",IF($AA646="Yes",1,0))</f>
        <v/>
      </c>
      <c r="AR646">
        <f>IF($AN646=1,IFERROR(VALUE(MID($E646,2,20)),1000000000)+ROW()/100000,"")</f>
        <v/>
      </c>
    </row>
    <row r="647">
      <c r="G647" s="11" t="n"/>
      <c r="Q647" s="7">
        <f>IF($E647="","",P647*Y647/100)</f>
        <v/>
      </c>
      <c r="R647" s="7" t="n"/>
      <c r="X647" s="7" t="n"/>
      <c r="Y647" s="7" t="n"/>
      <c r="AB647">
        <f>IF($E647="","",IF($AQ647=1,0,IF($AP647=1,Settings!$C$6,Settings!$C$7))*100)</f>
        <v/>
      </c>
      <c r="AC647" s="7">
        <f>IF($E647="","",Y647*AB647/100)</f>
        <v/>
      </c>
      <c r="AD647" s="7">
        <f>IF($E647="","",Y647-AC647)</f>
        <v/>
      </c>
      <c r="AE647" s="7">
        <f>IF($E647="","",AD647-Q647)</f>
        <v/>
      </c>
      <c r="AI647" s="7" t="n"/>
      <c r="AL647" s="11" t="n"/>
      <c r="AN647">
        <f>IF($E647="","",IF(COUNTIF($E$2:$E647,$E647)=1,1,0))</f>
        <v/>
      </c>
      <c r="AO647">
        <f>IF($AN647=1,SUMPRODUCT(--($AR$2:$AR$4001&lt;$AR647))+1,"")</f>
        <v/>
      </c>
      <c r="AP647">
        <f>IF($E647="","",IF(OR($U647=TRUE(),$U647="TRUE"),1,0))</f>
        <v/>
      </c>
      <c r="AQ647">
        <f>IF($E647="","",IF($AA647="Yes",1,0))</f>
        <v/>
      </c>
      <c r="AR647">
        <f>IF($AN647=1,IFERROR(VALUE(MID($E647,2,20)),1000000000)+ROW()/100000,"")</f>
        <v/>
      </c>
    </row>
    <row r="648">
      <c r="G648" s="11" t="n"/>
      <c r="Q648" s="7">
        <f>IF($E648="","",P648*Y648/100)</f>
        <v/>
      </c>
      <c r="R648" s="7" t="n"/>
      <c r="X648" s="7" t="n"/>
      <c r="Y648" s="7" t="n"/>
      <c r="AB648">
        <f>IF($E648="","",IF($AQ648=1,0,IF($AP648=1,Settings!$C$6,Settings!$C$7))*100)</f>
        <v/>
      </c>
      <c r="AC648" s="7">
        <f>IF($E648="","",Y648*AB648/100)</f>
        <v/>
      </c>
      <c r="AD648" s="7">
        <f>IF($E648="","",Y648-AC648)</f>
        <v/>
      </c>
      <c r="AE648" s="7">
        <f>IF($E648="","",AD648-Q648)</f>
        <v/>
      </c>
      <c r="AI648" s="7" t="n"/>
      <c r="AL648" s="11" t="n"/>
      <c r="AN648">
        <f>IF($E648="","",IF(COUNTIF($E$2:$E648,$E648)=1,1,0))</f>
        <v/>
      </c>
      <c r="AO648">
        <f>IF($AN648=1,SUMPRODUCT(--($AR$2:$AR$4001&lt;$AR648))+1,"")</f>
        <v/>
      </c>
      <c r="AP648">
        <f>IF($E648="","",IF(OR($U648=TRUE(),$U648="TRUE"),1,0))</f>
        <v/>
      </c>
      <c r="AQ648">
        <f>IF($E648="","",IF($AA648="Yes",1,0))</f>
        <v/>
      </c>
      <c r="AR648">
        <f>IF($AN648=1,IFERROR(VALUE(MID($E648,2,20)),1000000000)+ROW()/100000,"")</f>
        <v/>
      </c>
    </row>
    <row r="649">
      <c r="G649" s="11" t="n"/>
      <c r="Q649" s="7">
        <f>IF($E649="","",P649*Y649/100)</f>
        <v/>
      </c>
      <c r="R649" s="7" t="n"/>
      <c r="X649" s="7" t="n"/>
      <c r="Y649" s="7" t="n"/>
      <c r="AB649">
        <f>IF($E649="","",IF($AQ649=1,0,IF($AP649=1,Settings!$C$6,Settings!$C$7))*100)</f>
        <v/>
      </c>
      <c r="AC649" s="7">
        <f>IF($E649="","",Y649*AB649/100)</f>
        <v/>
      </c>
      <c r="AD649" s="7">
        <f>IF($E649="","",Y649-AC649)</f>
        <v/>
      </c>
      <c r="AE649" s="7">
        <f>IF($E649="","",AD649-Q649)</f>
        <v/>
      </c>
      <c r="AI649" s="7" t="n"/>
      <c r="AL649" s="11" t="n"/>
      <c r="AN649">
        <f>IF($E649="","",IF(COUNTIF($E$2:$E649,$E649)=1,1,0))</f>
        <v/>
      </c>
      <c r="AO649">
        <f>IF($AN649=1,SUMPRODUCT(--($AR$2:$AR$4001&lt;$AR649))+1,"")</f>
        <v/>
      </c>
      <c r="AP649">
        <f>IF($E649="","",IF(OR($U649=TRUE(),$U649="TRUE"),1,0))</f>
        <v/>
      </c>
      <c r="AQ649">
        <f>IF($E649="","",IF($AA649="Yes",1,0))</f>
        <v/>
      </c>
      <c r="AR649">
        <f>IF($AN649=1,IFERROR(VALUE(MID($E649,2,20)),1000000000)+ROW()/100000,"")</f>
        <v/>
      </c>
    </row>
    <row r="650">
      <c r="G650" s="11" t="n"/>
      <c r="Q650" s="7">
        <f>IF($E650="","",P650*Y650/100)</f>
        <v/>
      </c>
      <c r="R650" s="7" t="n"/>
      <c r="X650" s="7" t="n"/>
      <c r="Y650" s="7" t="n"/>
      <c r="AB650">
        <f>IF($E650="","",IF($AQ650=1,0,IF($AP650=1,Settings!$C$6,Settings!$C$7))*100)</f>
        <v/>
      </c>
      <c r="AC650" s="7">
        <f>IF($E650="","",Y650*AB650/100)</f>
        <v/>
      </c>
      <c r="AD650" s="7">
        <f>IF($E650="","",Y650-AC650)</f>
        <v/>
      </c>
      <c r="AE650" s="7">
        <f>IF($E650="","",AD650-Q650)</f>
        <v/>
      </c>
      <c r="AI650" s="7" t="n"/>
      <c r="AL650" s="11" t="n"/>
      <c r="AN650">
        <f>IF($E650="","",IF(COUNTIF($E$2:$E650,$E650)=1,1,0))</f>
        <v/>
      </c>
      <c r="AO650">
        <f>IF($AN650=1,SUMPRODUCT(--($AR$2:$AR$4001&lt;$AR650))+1,"")</f>
        <v/>
      </c>
      <c r="AP650">
        <f>IF($E650="","",IF(OR($U650=TRUE(),$U650="TRUE"),1,0))</f>
        <v/>
      </c>
      <c r="AQ650">
        <f>IF($E650="","",IF($AA650="Yes",1,0))</f>
        <v/>
      </c>
      <c r="AR650">
        <f>IF($AN650=1,IFERROR(VALUE(MID($E650,2,20)),1000000000)+ROW()/100000,"")</f>
        <v/>
      </c>
    </row>
    <row r="651">
      <c r="G651" s="11" t="n"/>
      <c r="Q651" s="7">
        <f>IF($E651="","",P651*Y651/100)</f>
        <v/>
      </c>
      <c r="R651" s="7" t="n"/>
      <c r="X651" s="7" t="n"/>
      <c r="Y651" s="7" t="n"/>
      <c r="AB651">
        <f>IF($E651="","",IF($AQ651=1,0,IF($AP651=1,Settings!$C$6,Settings!$C$7))*100)</f>
        <v/>
      </c>
      <c r="AC651" s="7">
        <f>IF($E651="","",Y651*AB651/100)</f>
        <v/>
      </c>
      <c r="AD651" s="7">
        <f>IF($E651="","",Y651-AC651)</f>
        <v/>
      </c>
      <c r="AE651" s="7">
        <f>IF($E651="","",AD651-Q651)</f>
        <v/>
      </c>
      <c r="AI651" s="7" t="n"/>
      <c r="AL651" s="11" t="n"/>
      <c r="AN651">
        <f>IF($E651="","",IF(COUNTIF($E$2:$E651,$E651)=1,1,0))</f>
        <v/>
      </c>
      <c r="AO651">
        <f>IF($AN651=1,SUMPRODUCT(--($AR$2:$AR$4001&lt;$AR651))+1,"")</f>
        <v/>
      </c>
      <c r="AP651">
        <f>IF($E651="","",IF(OR($U651=TRUE(),$U651="TRUE"),1,0))</f>
        <v/>
      </c>
      <c r="AQ651">
        <f>IF($E651="","",IF($AA651="Yes",1,0))</f>
        <v/>
      </c>
      <c r="AR651">
        <f>IF($AN651=1,IFERROR(VALUE(MID($E651,2,20)),1000000000)+ROW()/100000,"")</f>
        <v/>
      </c>
    </row>
    <row r="652">
      <c r="G652" s="11" t="n"/>
      <c r="Q652" s="7">
        <f>IF($E652="","",P652*Y652/100)</f>
        <v/>
      </c>
      <c r="R652" s="7" t="n"/>
      <c r="X652" s="7" t="n"/>
      <c r="Y652" s="7" t="n"/>
      <c r="AB652">
        <f>IF($E652="","",IF($AQ652=1,0,IF($AP652=1,Settings!$C$6,Settings!$C$7))*100)</f>
        <v/>
      </c>
      <c r="AC652" s="7">
        <f>IF($E652="","",Y652*AB652/100)</f>
        <v/>
      </c>
      <c r="AD652" s="7">
        <f>IF($E652="","",Y652-AC652)</f>
        <v/>
      </c>
      <c r="AE652" s="7">
        <f>IF($E652="","",AD652-Q652)</f>
        <v/>
      </c>
      <c r="AI652" s="7" t="n"/>
      <c r="AL652" s="11" t="n"/>
      <c r="AN652">
        <f>IF($E652="","",IF(COUNTIF($E$2:$E652,$E652)=1,1,0))</f>
        <v/>
      </c>
      <c r="AO652">
        <f>IF($AN652=1,SUMPRODUCT(--($AR$2:$AR$4001&lt;$AR652))+1,"")</f>
        <v/>
      </c>
      <c r="AP652">
        <f>IF($E652="","",IF(OR($U652=TRUE(),$U652="TRUE"),1,0))</f>
        <v/>
      </c>
      <c r="AQ652">
        <f>IF($E652="","",IF($AA652="Yes",1,0))</f>
        <v/>
      </c>
      <c r="AR652">
        <f>IF($AN652=1,IFERROR(VALUE(MID($E652,2,20)),1000000000)+ROW()/100000,"")</f>
        <v/>
      </c>
    </row>
    <row r="653">
      <c r="G653" s="11" t="n"/>
      <c r="Q653" s="7">
        <f>IF($E653="","",P653*Y653/100)</f>
        <v/>
      </c>
      <c r="R653" s="7" t="n"/>
      <c r="X653" s="7" t="n"/>
      <c r="Y653" s="7" t="n"/>
      <c r="AB653">
        <f>IF($E653="","",IF($AQ653=1,0,IF($AP653=1,Settings!$C$6,Settings!$C$7))*100)</f>
        <v/>
      </c>
      <c r="AC653" s="7">
        <f>IF($E653="","",Y653*AB653/100)</f>
        <v/>
      </c>
      <c r="AD653" s="7">
        <f>IF($E653="","",Y653-AC653)</f>
        <v/>
      </c>
      <c r="AE653" s="7">
        <f>IF($E653="","",AD653-Q653)</f>
        <v/>
      </c>
      <c r="AI653" s="7" t="n"/>
      <c r="AL653" s="11" t="n"/>
      <c r="AN653">
        <f>IF($E653="","",IF(COUNTIF($E$2:$E653,$E653)=1,1,0))</f>
        <v/>
      </c>
      <c r="AO653">
        <f>IF($AN653=1,SUMPRODUCT(--($AR$2:$AR$4001&lt;$AR653))+1,"")</f>
        <v/>
      </c>
      <c r="AP653">
        <f>IF($E653="","",IF(OR($U653=TRUE(),$U653="TRUE"),1,0))</f>
        <v/>
      </c>
      <c r="AQ653">
        <f>IF($E653="","",IF($AA653="Yes",1,0))</f>
        <v/>
      </c>
      <c r="AR653">
        <f>IF($AN653=1,IFERROR(VALUE(MID($E653,2,20)),1000000000)+ROW()/100000,"")</f>
        <v/>
      </c>
    </row>
    <row r="654">
      <c r="G654" s="11" t="n"/>
      <c r="Q654" s="7">
        <f>IF($E654="","",P654*Y654/100)</f>
        <v/>
      </c>
      <c r="R654" s="7" t="n"/>
      <c r="X654" s="7" t="n"/>
      <c r="Y654" s="7" t="n"/>
      <c r="AB654">
        <f>IF($E654="","",IF($AQ654=1,0,IF($AP654=1,Settings!$C$6,Settings!$C$7))*100)</f>
        <v/>
      </c>
      <c r="AC654" s="7">
        <f>IF($E654="","",Y654*AB654/100)</f>
        <v/>
      </c>
      <c r="AD654" s="7">
        <f>IF($E654="","",Y654-AC654)</f>
        <v/>
      </c>
      <c r="AE654" s="7">
        <f>IF($E654="","",AD654-Q654)</f>
        <v/>
      </c>
      <c r="AI654" s="7" t="n"/>
      <c r="AL654" s="11" t="n"/>
      <c r="AN654">
        <f>IF($E654="","",IF(COUNTIF($E$2:$E654,$E654)=1,1,0))</f>
        <v/>
      </c>
      <c r="AO654">
        <f>IF($AN654=1,SUMPRODUCT(--($AR$2:$AR$4001&lt;$AR654))+1,"")</f>
        <v/>
      </c>
      <c r="AP654">
        <f>IF($E654="","",IF(OR($U654=TRUE(),$U654="TRUE"),1,0))</f>
        <v/>
      </c>
      <c r="AQ654">
        <f>IF($E654="","",IF($AA654="Yes",1,0))</f>
        <v/>
      </c>
      <c r="AR654">
        <f>IF($AN654=1,IFERROR(VALUE(MID($E654,2,20)),1000000000)+ROW()/100000,"")</f>
        <v/>
      </c>
    </row>
    <row r="655">
      <c r="G655" s="11" t="n"/>
      <c r="Q655" s="7">
        <f>IF($E655="","",P655*Y655/100)</f>
        <v/>
      </c>
      <c r="R655" s="7" t="n"/>
      <c r="X655" s="7" t="n"/>
      <c r="Y655" s="7" t="n"/>
      <c r="AB655">
        <f>IF($E655="","",IF($AQ655=1,0,IF($AP655=1,Settings!$C$6,Settings!$C$7))*100)</f>
        <v/>
      </c>
      <c r="AC655" s="7">
        <f>IF($E655="","",Y655*AB655/100)</f>
        <v/>
      </c>
      <c r="AD655" s="7">
        <f>IF($E655="","",Y655-AC655)</f>
        <v/>
      </c>
      <c r="AE655" s="7">
        <f>IF($E655="","",AD655-Q655)</f>
        <v/>
      </c>
      <c r="AI655" s="7" t="n"/>
      <c r="AL655" s="11" t="n"/>
      <c r="AN655">
        <f>IF($E655="","",IF(COUNTIF($E$2:$E655,$E655)=1,1,0))</f>
        <v/>
      </c>
      <c r="AO655">
        <f>IF($AN655=1,SUMPRODUCT(--($AR$2:$AR$4001&lt;$AR655))+1,"")</f>
        <v/>
      </c>
      <c r="AP655">
        <f>IF($E655="","",IF(OR($U655=TRUE(),$U655="TRUE"),1,0))</f>
        <v/>
      </c>
      <c r="AQ655">
        <f>IF($E655="","",IF($AA655="Yes",1,0))</f>
        <v/>
      </c>
      <c r="AR655">
        <f>IF($AN655=1,IFERROR(VALUE(MID($E655,2,20)),1000000000)+ROW()/100000,"")</f>
        <v/>
      </c>
    </row>
    <row r="656">
      <c r="G656" s="11" t="n"/>
      <c r="Q656" s="7">
        <f>IF($E656="","",P656*Y656/100)</f>
        <v/>
      </c>
      <c r="R656" s="7" t="n"/>
      <c r="X656" s="7" t="n"/>
      <c r="Y656" s="7" t="n"/>
      <c r="AB656">
        <f>IF($E656="","",IF($AQ656=1,0,IF($AP656=1,Settings!$C$6,Settings!$C$7))*100)</f>
        <v/>
      </c>
      <c r="AC656" s="7">
        <f>IF($E656="","",Y656*AB656/100)</f>
        <v/>
      </c>
      <c r="AD656" s="7">
        <f>IF($E656="","",Y656-AC656)</f>
        <v/>
      </c>
      <c r="AE656" s="7">
        <f>IF($E656="","",AD656-Q656)</f>
        <v/>
      </c>
      <c r="AI656" s="7" t="n"/>
      <c r="AL656" s="11" t="n"/>
      <c r="AN656">
        <f>IF($E656="","",IF(COUNTIF($E$2:$E656,$E656)=1,1,0))</f>
        <v/>
      </c>
      <c r="AO656">
        <f>IF($AN656=1,SUMPRODUCT(--($AR$2:$AR$4001&lt;$AR656))+1,"")</f>
        <v/>
      </c>
      <c r="AP656">
        <f>IF($E656="","",IF(OR($U656=TRUE(),$U656="TRUE"),1,0))</f>
        <v/>
      </c>
      <c r="AQ656">
        <f>IF($E656="","",IF($AA656="Yes",1,0))</f>
        <v/>
      </c>
      <c r="AR656">
        <f>IF($AN656=1,IFERROR(VALUE(MID($E656,2,20)),1000000000)+ROW()/100000,"")</f>
        <v/>
      </c>
    </row>
    <row r="657">
      <c r="G657" s="11" t="n"/>
      <c r="Q657" s="7">
        <f>IF($E657="","",P657*Y657/100)</f>
        <v/>
      </c>
      <c r="R657" s="7" t="n"/>
      <c r="X657" s="7" t="n"/>
      <c r="Y657" s="7" t="n"/>
      <c r="AB657">
        <f>IF($E657="","",IF($AQ657=1,0,IF($AP657=1,Settings!$C$6,Settings!$C$7))*100)</f>
        <v/>
      </c>
      <c r="AC657" s="7">
        <f>IF($E657="","",Y657*AB657/100)</f>
        <v/>
      </c>
      <c r="AD657" s="7">
        <f>IF($E657="","",Y657-AC657)</f>
        <v/>
      </c>
      <c r="AE657" s="7">
        <f>IF($E657="","",AD657-Q657)</f>
        <v/>
      </c>
      <c r="AI657" s="7" t="n"/>
      <c r="AL657" s="11" t="n"/>
      <c r="AN657">
        <f>IF($E657="","",IF(COUNTIF($E$2:$E657,$E657)=1,1,0))</f>
        <v/>
      </c>
      <c r="AO657">
        <f>IF($AN657=1,SUMPRODUCT(--($AR$2:$AR$4001&lt;$AR657))+1,"")</f>
        <v/>
      </c>
      <c r="AP657">
        <f>IF($E657="","",IF(OR($U657=TRUE(),$U657="TRUE"),1,0))</f>
        <v/>
      </c>
      <c r="AQ657">
        <f>IF($E657="","",IF($AA657="Yes",1,0))</f>
        <v/>
      </c>
      <c r="AR657">
        <f>IF($AN657=1,IFERROR(VALUE(MID($E657,2,20)),1000000000)+ROW()/100000,"")</f>
        <v/>
      </c>
    </row>
    <row r="658">
      <c r="G658" s="11" t="n"/>
      <c r="Q658" s="7">
        <f>IF($E658="","",P658*Y658/100)</f>
        <v/>
      </c>
      <c r="R658" s="7" t="n"/>
      <c r="X658" s="7" t="n"/>
      <c r="Y658" s="7" t="n"/>
      <c r="AB658">
        <f>IF($E658="","",IF($AQ658=1,0,IF($AP658=1,Settings!$C$6,Settings!$C$7))*100)</f>
        <v/>
      </c>
      <c r="AC658" s="7">
        <f>IF($E658="","",Y658*AB658/100)</f>
        <v/>
      </c>
      <c r="AD658" s="7">
        <f>IF($E658="","",Y658-AC658)</f>
        <v/>
      </c>
      <c r="AE658" s="7">
        <f>IF($E658="","",AD658-Q658)</f>
        <v/>
      </c>
      <c r="AI658" s="7" t="n"/>
      <c r="AL658" s="11" t="n"/>
      <c r="AN658">
        <f>IF($E658="","",IF(COUNTIF($E$2:$E658,$E658)=1,1,0))</f>
        <v/>
      </c>
      <c r="AO658">
        <f>IF($AN658=1,SUMPRODUCT(--($AR$2:$AR$4001&lt;$AR658))+1,"")</f>
        <v/>
      </c>
      <c r="AP658">
        <f>IF($E658="","",IF(OR($U658=TRUE(),$U658="TRUE"),1,0))</f>
        <v/>
      </c>
      <c r="AQ658">
        <f>IF($E658="","",IF($AA658="Yes",1,0))</f>
        <v/>
      </c>
      <c r="AR658">
        <f>IF($AN658=1,IFERROR(VALUE(MID($E658,2,20)),1000000000)+ROW()/100000,"")</f>
        <v/>
      </c>
    </row>
    <row r="659">
      <c r="G659" s="11" t="n"/>
      <c r="Q659" s="7">
        <f>IF($E659="","",P659*Y659/100)</f>
        <v/>
      </c>
      <c r="R659" s="7" t="n"/>
      <c r="X659" s="7" t="n"/>
      <c r="Y659" s="7" t="n"/>
      <c r="AB659">
        <f>IF($E659="","",IF($AQ659=1,0,IF($AP659=1,Settings!$C$6,Settings!$C$7))*100)</f>
        <v/>
      </c>
      <c r="AC659" s="7">
        <f>IF($E659="","",Y659*AB659/100)</f>
        <v/>
      </c>
      <c r="AD659" s="7">
        <f>IF($E659="","",Y659-AC659)</f>
        <v/>
      </c>
      <c r="AE659" s="7">
        <f>IF($E659="","",AD659-Q659)</f>
        <v/>
      </c>
      <c r="AI659" s="7" t="n"/>
      <c r="AL659" s="11" t="n"/>
      <c r="AN659">
        <f>IF($E659="","",IF(COUNTIF($E$2:$E659,$E659)=1,1,0))</f>
        <v/>
      </c>
      <c r="AO659">
        <f>IF($AN659=1,SUMPRODUCT(--($AR$2:$AR$4001&lt;$AR659))+1,"")</f>
        <v/>
      </c>
      <c r="AP659">
        <f>IF($E659="","",IF(OR($U659=TRUE(),$U659="TRUE"),1,0))</f>
        <v/>
      </c>
      <c r="AQ659">
        <f>IF($E659="","",IF($AA659="Yes",1,0))</f>
        <v/>
      </c>
      <c r="AR659">
        <f>IF($AN659=1,IFERROR(VALUE(MID($E659,2,20)),1000000000)+ROW()/100000,"")</f>
        <v/>
      </c>
    </row>
    <row r="660">
      <c r="G660" s="11" t="n"/>
      <c r="Q660" s="7">
        <f>IF($E660="","",P660*Y660/100)</f>
        <v/>
      </c>
      <c r="R660" s="7" t="n"/>
      <c r="X660" s="7" t="n"/>
      <c r="Y660" s="7" t="n"/>
      <c r="AB660">
        <f>IF($E660="","",IF($AQ660=1,0,IF($AP660=1,Settings!$C$6,Settings!$C$7))*100)</f>
        <v/>
      </c>
      <c r="AC660" s="7">
        <f>IF($E660="","",Y660*AB660/100)</f>
        <v/>
      </c>
      <c r="AD660" s="7">
        <f>IF($E660="","",Y660-AC660)</f>
        <v/>
      </c>
      <c r="AE660" s="7">
        <f>IF($E660="","",AD660-Q660)</f>
        <v/>
      </c>
      <c r="AI660" s="7" t="n"/>
      <c r="AL660" s="11" t="n"/>
      <c r="AN660">
        <f>IF($E660="","",IF(COUNTIF($E$2:$E660,$E660)=1,1,0))</f>
        <v/>
      </c>
      <c r="AO660">
        <f>IF($AN660=1,SUMPRODUCT(--($AR$2:$AR$4001&lt;$AR660))+1,"")</f>
        <v/>
      </c>
      <c r="AP660">
        <f>IF($E660="","",IF(OR($U660=TRUE(),$U660="TRUE"),1,0))</f>
        <v/>
      </c>
      <c r="AQ660">
        <f>IF($E660="","",IF($AA660="Yes",1,0))</f>
        <v/>
      </c>
      <c r="AR660">
        <f>IF($AN660=1,IFERROR(VALUE(MID($E660,2,20)),1000000000)+ROW()/100000,"")</f>
        <v/>
      </c>
    </row>
    <row r="661">
      <c r="G661" s="11" t="n"/>
      <c r="Q661" s="7">
        <f>IF($E661="","",P661*Y661/100)</f>
        <v/>
      </c>
      <c r="R661" s="7" t="n"/>
      <c r="X661" s="7" t="n"/>
      <c r="Y661" s="7" t="n"/>
      <c r="AB661">
        <f>IF($E661="","",IF($AQ661=1,0,IF($AP661=1,Settings!$C$6,Settings!$C$7))*100)</f>
        <v/>
      </c>
      <c r="AC661" s="7">
        <f>IF($E661="","",Y661*AB661/100)</f>
        <v/>
      </c>
      <c r="AD661" s="7">
        <f>IF($E661="","",Y661-AC661)</f>
        <v/>
      </c>
      <c r="AE661" s="7">
        <f>IF($E661="","",AD661-Q661)</f>
        <v/>
      </c>
      <c r="AI661" s="7" t="n"/>
      <c r="AL661" s="11" t="n"/>
      <c r="AN661">
        <f>IF($E661="","",IF(COUNTIF($E$2:$E661,$E661)=1,1,0))</f>
        <v/>
      </c>
      <c r="AO661">
        <f>IF($AN661=1,SUMPRODUCT(--($AR$2:$AR$4001&lt;$AR661))+1,"")</f>
        <v/>
      </c>
      <c r="AP661">
        <f>IF($E661="","",IF(OR($U661=TRUE(),$U661="TRUE"),1,0))</f>
        <v/>
      </c>
      <c r="AQ661">
        <f>IF($E661="","",IF($AA661="Yes",1,0))</f>
        <v/>
      </c>
      <c r="AR661">
        <f>IF($AN661=1,IFERROR(VALUE(MID($E661,2,20)),1000000000)+ROW()/100000,"")</f>
        <v/>
      </c>
    </row>
    <row r="662">
      <c r="G662" s="11" t="n"/>
      <c r="Q662" s="7">
        <f>IF($E662="","",P662*Y662/100)</f>
        <v/>
      </c>
      <c r="R662" s="7" t="n"/>
      <c r="X662" s="7" t="n"/>
      <c r="Y662" s="7" t="n"/>
      <c r="AB662">
        <f>IF($E662="","",IF($AQ662=1,0,IF($AP662=1,Settings!$C$6,Settings!$C$7))*100)</f>
        <v/>
      </c>
      <c r="AC662" s="7">
        <f>IF($E662="","",Y662*AB662/100)</f>
        <v/>
      </c>
      <c r="AD662" s="7">
        <f>IF($E662="","",Y662-AC662)</f>
        <v/>
      </c>
      <c r="AE662" s="7">
        <f>IF($E662="","",AD662-Q662)</f>
        <v/>
      </c>
      <c r="AI662" s="7" t="n"/>
      <c r="AL662" s="11" t="n"/>
      <c r="AN662">
        <f>IF($E662="","",IF(COUNTIF($E$2:$E662,$E662)=1,1,0))</f>
        <v/>
      </c>
      <c r="AO662">
        <f>IF($AN662=1,SUMPRODUCT(--($AR$2:$AR$4001&lt;$AR662))+1,"")</f>
        <v/>
      </c>
      <c r="AP662">
        <f>IF($E662="","",IF(OR($U662=TRUE(),$U662="TRUE"),1,0))</f>
        <v/>
      </c>
      <c r="AQ662">
        <f>IF($E662="","",IF($AA662="Yes",1,0))</f>
        <v/>
      </c>
      <c r="AR662">
        <f>IF($AN662=1,IFERROR(VALUE(MID($E662,2,20)),1000000000)+ROW()/100000,"")</f>
        <v/>
      </c>
    </row>
    <row r="663">
      <c r="G663" s="11" t="n"/>
      <c r="Q663" s="7">
        <f>IF($E663="","",P663*Y663/100)</f>
        <v/>
      </c>
      <c r="R663" s="7" t="n"/>
      <c r="X663" s="7" t="n"/>
      <c r="Y663" s="7" t="n"/>
      <c r="AB663">
        <f>IF($E663="","",IF($AQ663=1,0,IF($AP663=1,Settings!$C$6,Settings!$C$7))*100)</f>
        <v/>
      </c>
      <c r="AC663" s="7">
        <f>IF($E663="","",Y663*AB663/100)</f>
        <v/>
      </c>
      <c r="AD663" s="7">
        <f>IF($E663="","",Y663-AC663)</f>
        <v/>
      </c>
      <c r="AE663" s="7">
        <f>IF($E663="","",AD663-Q663)</f>
        <v/>
      </c>
      <c r="AI663" s="7" t="n"/>
      <c r="AL663" s="11" t="n"/>
      <c r="AN663">
        <f>IF($E663="","",IF(COUNTIF($E$2:$E663,$E663)=1,1,0))</f>
        <v/>
      </c>
      <c r="AO663">
        <f>IF($AN663=1,SUMPRODUCT(--($AR$2:$AR$4001&lt;$AR663))+1,"")</f>
        <v/>
      </c>
      <c r="AP663">
        <f>IF($E663="","",IF(OR($U663=TRUE(),$U663="TRUE"),1,0))</f>
        <v/>
      </c>
      <c r="AQ663">
        <f>IF($E663="","",IF($AA663="Yes",1,0))</f>
        <v/>
      </c>
      <c r="AR663">
        <f>IF($AN663=1,IFERROR(VALUE(MID($E663,2,20)),1000000000)+ROW()/100000,"")</f>
        <v/>
      </c>
    </row>
    <row r="664">
      <c r="G664" s="11" t="n"/>
      <c r="Q664" s="7">
        <f>IF($E664="","",P664*Y664/100)</f>
        <v/>
      </c>
      <c r="R664" s="7" t="n"/>
      <c r="X664" s="7" t="n"/>
      <c r="Y664" s="7" t="n"/>
      <c r="AB664">
        <f>IF($E664="","",IF($AQ664=1,0,IF($AP664=1,Settings!$C$6,Settings!$C$7))*100)</f>
        <v/>
      </c>
      <c r="AC664" s="7">
        <f>IF($E664="","",Y664*AB664/100)</f>
        <v/>
      </c>
      <c r="AD664" s="7">
        <f>IF($E664="","",Y664-AC664)</f>
        <v/>
      </c>
      <c r="AE664" s="7">
        <f>IF($E664="","",AD664-Q664)</f>
        <v/>
      </c>
      <c r="AI664" s="7" t="n"/>
      <c r="AL664" s="11" t="n"/>
      <c r="AN664">
        <f>IF($E664="","",IF(COUNTIF($E$2:$E664,$E664)=1,1,0))</f>
        <v/>
      </c>
      <c r="AO664">
        <f>IF($AN664=1,SUMPRODUCT(--($AR$2:$AR$4001&lt;$AR664))+1,"")</f>
        <v/>
      </c>
      <c r="AP664">
        <f>IF($E664="","",IF(OR($U664=TRUE(),$U664="TRUE"),1,0))</f>
        <v/>
      </c>
      <c r="AQ664">
        <f>IF($E664="","",IF($AA664="Yes",1,0))</f>
        <v/>
      </c>
      <c r="AR664">
        <f>IF($AN664=1,IFERROR(VALUE(MID($E664,2,20)),1000000000)+ROW()/100000,"")</f>
        <v/>
      </c>
    </row>
    <row r="665">
      <c r="G665" s="11" t="n"/>
      <c r="Q665" s="7">
        <f>IF($E665="","",P665*Y665/100)</f>
        <v/>
      </c>
      <c r="R665" s="7" t="n"/>
      <c r="X665" s="7" t="n"/>
      <c r="Y665" s="7" t="n"/>
      <c r="AB665">
        <f>IF($E665="","",IF($AQ665=1,0,IF($AP665=1,Settings!$C$6,Settings!$C$7))*100)</f>
        <v/>
      </c>
      <c r="AC665" s="7">
        <f>IF($E665="","",Y665*AB665/100)</f>
        <v/>
      </c>
      <c r="AD665" s="7">
        <f>IF($E665="","",Y665-AC665)</f>
        <v/>
      </c>
      <c r="AE665" s="7">
        <f>IF($E665="","",AD665-Q665)</f>
        <v/>
      </c>
      <c r="AI665" s="7" t="n"/>
      <c r="AL665" s="11" t="n"/>
      <c r="AN665">
        <f>IF($E665="","",IF(COUNTIF($E$2:$E665,$E665)=1,1,0))</f>
        <v/>
      </c>
      <c r="AO665">
        <f>IF($AN665=1,SUMPRODUCT(--($AR$2:$AR$4001&lt;$AR665))+1,"")</f>
        <v/>
      </c>
      <c r="AP665">
        <f>IF($E665="","",IF(OR($U665=TRUE(),$U665="TRUE"),1,0))</f>
        <v/>
      </c>
      <c r="AQ665">
        <f>IF($E665="","",IF($AA665="Yes",1,0))</f>
        <v/>
      </c>
      <c r="AR665">
        <f>IF($AN665=1,IFERROR(VALUE(MID($E665,2,20)),1000000000)+ROW()/100000,"")</f>
        <v/>
      </c>
    </row>
    <row r="666">
      <c r="G666" s="11" t="n"/>
      <c r="Q666" s="7">
        <f>IF($E666="","",P666*Y666/100)</f>
        <v/>
      </c>
      <c r="R666" s="7" t="n"/>
      <c r="X666" s="7" t="n"/>
      <c r="Y666" s="7" t="n"/>
      <c r="AB666">
        <f>IF($E666="","",IF($AQ666=1,0,IF($AP666=1,Settings!$C$6,Settings!$C$7))*100)</f>
        <v/>
      </c>
      <c r="AC666" s="7">
        <f>IF($E666="","",Y666*AB666/100)</f>
        <v/>
      </c>
      <c r="AD666" s="7">
        <f>IF($E666="","",Y666-AC666)</f>
        <v/>
      </c>
      <c r="AE666" s="7">
        <f>IF($E666="","",AD666-Q666)</f>
        <v/>
      </c>
      <c r="AI666" s="7" t="n"/>
      <c r="AL666" s="11" t="n"/>
      <c r="AN666">
        <f>IF($E666="","",IF(COUNTIF($E$2:$E666,$E666)=1,1,0))</f>
        <v/>
      </c>
      <c r="AO666">
        <f>IF($AN666=1,SUMPRODUCT(--($AR$2:$AR$4001&lt;$AR666))+1,"")</f>
        <v/>
      </c>
      <c r="AP666">
        <f>IF($E666="","",IF(OR($U666=TRUE(),$U666="TRUE"),1,0))</f>
        <v/>
      </c>
      <c r="AQ666">
        <f>IF($E666="","",IF($AA666="Yes",1,0))</f>
        <v/>
      </c>
      <c r="AR666">
        <f>IF($AN666=1,IFERROR(VALUE(MID($E666,2,20)),1000000000)+ROW()/100000,"")</f>
        <v/>
      </c>
    </row>
    <row r="667">
      <c r="G667" s="11" t="n"/>
      <c r="Q667" s="7">
        <f>IF($E667="","",P667*Y667/100)</f>
        <v/>
      </c>
      <c r="R667" s="7" t="n"/>
      <c r="X667" s="7" t="n"/>
      <c r="Y667" s="7" t="n"/>
      <c r="AB667">
        <f>IF($E667="","",IF($AQ667=1,0,IF($AP667=1,Settings!$C$6,Settings!$C$7))*100)</f>
        <v/>
      </c>
      <c r="AC667" s="7">
        <f>IF($E667="","",Y667*AB667/100)</f>
        <v/>
      </c>
      <c r="AD667" s="7">
        <f>IF($E667="","",Y667-AC667)</f>
        <v/>
      </c>
      <c r="AE667" s="7">
        <f>IF($E667="","",AD667-Q667)</f>
        <v/>
      </c>
      <c r="AI667" s="7" t="n"/>
      <c r="AL667" s="11" t="n"/>
      <c r="AN667">
        <f>IF($E667="","",IF(COUNTIF($E$2:$E667,$E667)=1,1,0))</f>
        <v/>
      </c>
      <c r="AO667">
        <f>IF($AN667=1,SUMPRODUCT(--($AR$2:$AR$4001&lt;$AR667))+1,"")</f>
        <v/>
      </c>
      <c r="AP667">
        <f>IF($E667="","",IF(OR($U667=TRUE(),$U667="TRUE"),1,0))</f>
        <v/>
      </c>
      <c r="AQ667">
        <f>IF($E667="","",IF($AA667="Yes",1,0))</f>
        <v/>
      </c>
      <c r="AR667">
        <f>IF($AN667=1,IFERROR(VALUE(MID($E667,2,20)),1000000000)+ROW()/100000,"")</f>
        <v/>
      </c>
    </row>
    <row r="668">
      <c r="G668" s="11" t="n"/>
      <c r="Q668" s="7">
        <f>IF($E668="","",P668*Y668/100)</f>
        <v/>
      </c>
      <c r="R668" s="7" t="n"/>
      <c r="X668" s="7" t="n"/>
      <c r="Y668" s="7" t="n"/>
      <c r="AB668">
        <f>IF($E668="","",IF($AQ668=1,0,IF($AP668=1,Settings!$C$6,Settings!$C$7))*100)</f>
        <v/>
      </c>
      <c r="AC668" s="7">
        <f>IF($E668="","",Y668*AB668/100)</f>
        <v/>
      </c>
      <c r="AD668" s="7">
        <f>IF($E668="","",Y668-AC668)</f>
        <v/>
      </c>
      <c r="AE668" s="7">
        <f>IF($E668="","",AD668-Q668)</f>
        <v/>
      </c>
      <c r="AI668" s="7" t="n"/>
      <c r="AL668" s="11" t="n"/>
      <c r="AN668">
        <f>IF($E668="","",IF(COUNTIF($E$2:$E668,$E668)=1,1,0))</f>
        <v/>
      </c>
      <c r="AO668">
        <f>IF($AN668=1,SUMPRODUCT(--($AR$2:$AR$4001&lt;$AR668))+1,"")</f>
        <v/>
      </c>
      <c r="AP668">
        <f>IF($E668="","",IF(OR($U668=TRUE(),$U668="TRUE"),1,0))</f>
        <v/>
      </c>
      <c r="AQ668">
        <f>IF($E668="","",IF($AA668="Yes",1,0))</f>
        <v/>
      </c>
      <c r="AR668">
        <f>IF($AN668=1,IFERROR(VALUE(MID($E668,2,20)),1000000000)+ROW()/100000,"")</f>
        <v/>
      </c>
    </row>
    <row r="669">
      <c r="G669" s="11" t="n"/>
      <c r="Q669" s="7">
        <f>IF($E669="","",P669*Y669/100)</f>
        <v/>
      </c>
      <c r="R669" s="7" t="n"/>
      <c r="X669" s="7" t="n"/>
      <c r="Y669" s="7" t="n"/>
      <c r="AB669">
        <f>IF($E669="","",IF($AQ669=1,0,IF($AP669=1,Settings!$C$6,Settings!$C$7))*100)</f>
        <v/>
      </c>
      <c r="AC669" s="7">
        <f>IF($E669="","",Y669*AB669/100)</f>
        <v/>
      </c>
      <c r="AD669" s="7">
        <f>IF($E669="","",Y669-AC669)</f>
        <v/>
      </c>
      <c r="AE669" s="7">
        <f>IF($E669="","",AD669-Q669)</f>
        <v/>
      </c>
      <c r="AI669" s="7" t="n"/>
      <c r="AL669" s="11" t="n"/>
      <c r="AN669">
        <f>IF($E669="","",IF(COUNTIF($E$2:$E669,$E669)=1,1,0))</f>
        <v/>
      </c>
      <c r="AO669">
        <f>IF($AN669=1,SUMPRODUCT(--($AR$2:$AR$4001&lt;$AR669))+1,"")</f>
        <v/>
      </c>
      <c r="AP669">
        <f>IF($E669="","",IF(OR($U669=TRUE(),$U669="TRUE"),1,0))</f>
        <v/>
      </c>
      <c r="AQ669">
        <f>IF($E669="","",IF($AA669="Yes",1,0))</f>
        <v/>
      </c>
      <c r="AR669">
        <f>IF($AN669=1,IFERROR(VALUE(MID($E669,2,20)),1000000000)+ROW()/100000,"")</f>
        <v/>
      </c>
    </row>
    <row r="670">
      <c r="G670" s="11" t="n"/>
      <c r="Q670" s="7">
        <f>IF($E670="","",P670*Y670/100)</f>
        <v/>
      </c>
      <c r="R670" s="7" t="n"/>
      <c r="X670" s="7" t="n"/>
      <c r="Y670" s="7" t="n"/>
      <c r="AB670">
        <f>IF($E670="","",IF($AQ670=1,0,IF($AP670=1,Settings!$C$6,Settings!$C$7))*100)</f>
        <v/>
      </c>
      <c r="AC670" s="7">
        <f>IF($E670="","",Y670*AB670/100)</f>
        <v/>
      </c>
      <c r="AD670" s="7">
        <f>IF($E670="","",Y670-AC670)</f>
        <v/>
      </c>
      <c r="AE670" s="7">
        <f>IF($E670="","",AD670-Q670)</f>
        <v/>
      </c>
      <c r="AI670" s="7" t="n"/>
      <c r="AL670" s="11" t="n"/>
      <c r="AN670">
        <f>IF($E670="","",IF(COUNTIF($E$2:$E670,$E670)=1,1,0))</f>
        <v/>
      </c>
      <c r="AO670">
        <f>IF($AN670=1,SUMPRODUCT(--($AR$2:$AR$4001&lt;$AR670))+1,"")</f>
        <v/>
      </c>
      <c r="AP670">
        <f>IF($E670="","",IF(OR($U670=TRUE(),$U670="TRUE"),1,0))</f>
        <v/>
      </c>
      <c r="AQ670">
        <f>IF($E670="","",IF($AA670="Yes",1,0))</f>
        <v/>
      </c>
      <c r="AR670">
        <f>IF($AN670=1,IFERROR(VALUE(MID($E670,2,20)),1000000000)+ROW()/100000,"")</f>
        <v/>
      </c>
    </row>
    <row r="671">
      <c r="G671" s="11" t="n"/>
      <c r="Q671" s="7">
        <f>IF($E671="","",P671*Y671/100)</f>
        <v/>
      </c>
      <c r="R671" s="7" t="n"/>
      <c r="X671" s="7" t="n"/>
      <c r="Y671" s="7" t="n"/>
      <c r="AB671">
        <f>IF($E671="","",IF($AQ671=1,0,IF($AP671=1,Settings!$C$6,Settings!$C$7))*100)</f>
        <v/>
      </c>
      <c r="AC671" s="7">
        <f>IF($E671="","",Y671*AB671/100)</f>
        <v/>
      </c>
      <c r="AD671" s="7">
        <f>IF($E671="","",Y671-AC671)</f>
        <v/>
      </c>
      <c r="AE671" s="7">
        <f>IF($E671="","",AD671-Q671)</f>
        <v/>
      </c>
      <c r="AI671" s="7" t="n"/>
      <c r="AL671" s="11" t="n"/>
      <c r="AN671">
        <f>IF($E671="","",IF(COUNTIF($E$2:$E671,$E671)=1,1,0))</f>
        <v/>
      </c>
      <c r="AO671">
        <f>IF($AN671=1,SUMPRODUCT(--($AR$2:$AR$4001&lt;$AR671))+1,"")</f>
        <v/>
      </c>
      <c r="AP671">
        <f>IF($E671="","",IF(OR($U671=TRUE(),$U671="TRUE"),1,0))</f>
        <v/>
      </c>
      <c r="AQ671">
        <f>IF($E671="","",IF($AA671="Yes",1,0))</f>
        <v/>
      </c>
      <c r="AR671">
        <f>IF($AN671=1,IFERROR(VALUE(MID($E671,2,20)),1000000000)+ROW()/100000,"")</f>
        <v/>
      </c>
    </row>
    <row r="672">
      <c r="G672" s="11" t="n"/>
      <c r="Q672" s="7">
        <f>IF($E672="","",P672*Y672/100)</f>
        <v/>
      </c>
      <c r="R672" s="7" t="n"/>
      <c r="X672" s="7" t="n"/>
      <c r="Y672" s="7" t="n"/>
      <c r="AB672">
        <f>IF($E672="","",IF($AQ672=1,0,IF($AP672=1,Settings!$C$6,Settings!$C$7))*100)</f>
        <v/>
      </c>
      <c r="AC672" s="7">
        <f>IF($E672="","",Y672*AB672/100)</f>
        <v/>
      </c>
      <c r="AD672" s="7">
        <f>IF($E672="","",Y672-AC672)</f>
        <v/>
      </c>
      <c r="AE672" s="7">
        <f>IF($E672="","",AD672-Q672)</f>
        <v/>
      </c>
      <c r="AI672" s="7" t="n"/>
      <c r="AL672" s="11" t="n"/>
      <c r="AN672">
        <f>IF($E672="","",IF(COUNTIF($E$2:$E672,$E672)=1,1,0))</f>
        <v/>
      </c>
      <c r="AO672">
        <f>IF($AN672=1,SUMPRODUCT(--($AR$2:$AR$4001&lt;$AR672))+1,"")</f>
        <v/>
      </c>
      <c r="AP672">
        <f>IF($E672="","",IF(OR($U672=TRUE(),$U672="TRUE"),1,0))</f>
        <v/>
      </c>
      <c r="AQ672">
        <f>IF($E672="","",IF($AA672="Yes",1,0))</f>
        <v/>
      </c>
      <c r="AR672">
        <f>IF($AN672=1,IFERROR(VALUE(MID($E672,2,20)),1000000000)+ROW()/100000,"")</f>
        <v/>
      </c>
    </row>
    <row r="673">
      <c r="G673" s="11" t="n"/>
      <c r="Q673" s="7">
        <f>IF($E673="","",P673*Y673/100)</f>
        <v/>
      </c>
      <c r="R673" s="7" t="n"/>
      <c r="X673" s="7" t="n"/>
      <c r="Y673" s="7" t="n"/>
      <c r="AB673">
        <f>IF($E673="","",IF($AQ673=1,0,IF($AP673=1,Settings!$C$6,Settings!$C$7))*100)</f>
        <v/>
      </c>
      <c r="AC673" s="7">
        <f>IF($E673="","",Y673*AB673/100)</f>
        <v/>
      </c>
      <c r="AD673" s="7">
        <f>IF($E673="","",Y673-AC673)</f>
        <v/>
      </c>
      <c r="AE673" s="7">
        <f>IF($E673="","",AD673-Q673)</f>
        <v/>
      </c>
      <c r="AI673" s="7" t="n"/>
      <c r="AL673" s="11" t="n"/>
      <c r="AN673">
        <f>IF($E673="","",IF(COUNTIF($E$2:$E673,$E673)=1,1,0))</f>
        <v/>
      </c>
      <c r="AO673">
        <f>IF($AN673=1,SUMPRODUCT(--($AR$2:$AR$4001&lt;$AR673))+1,"")</f>
        <v/>
      </c>
      <c r="AP673">
        <f>IF($E673="","",IF(OR($U673=TRUE(),$U673="TRUE"),1,0))</f>
        <v/>
      </c>
      <c r="AQ673">
        <f>IF($E673="","",IF($AA673="Yes",1,0))</f>
        <v/>
      </c>
      <c r="AR673">
        <f>IF($AN673=1,IFERROR(VALUE(MID($E673,2,20)),1000000000)+ROW()/100000,"")</f>
        <v/>
      </c>
    </row>
    <row r="674">
      <c r="G674" s="11" t="n"/>
      <c r="Q674" s="7">
        <f>IF($E674="","",P674*Y674/100)</f>
        <v/>
      </c>
      <c r="R674" s="7" t="n"/>
      <c r="X674" s="7" t="n"/>
      <c r="Y674" s="7" t="n"/>
      <c r="AB674">
        <f>IF($E674="","",IF($AQ674=1,0,IF($AP674=1,Settings!$C$6,Settings!$C$7))*100)</f>
        <v/>
      </c>
      <c r="AC674" s="7">
        <f>IF($E674="","",Y674*AB674/100)</f>
        <v/>
      </c>
      <c r="AD674" s="7">
        <f>IF($E674="","",Y674-AC674)</f>
        <v/>
      </c>
      <c r="AE674" s="7">
        <f>IF($E674="","",AD674-Q674)</f>
        <v/>
      </c>
      <c r="AI674" s="7" t="n"/>
      <c r="AL674" s="11" t="n"/>
      <c r="AN674">
        <f>IF($E674="","",IF(COUNTIF($E$2:$E674,$E674)=1,1,0))</f>
        <v/>
      </c>
      <c r="AO674">
        <f>IF($AN674=1,SUMPRODUCT(--($AR$2:$AR$4001&lt;$AR674))+1,"")</f>
        <v/>
      </c>
      <c r="AP674">
        <f>IF($E674="","",IF(OR($U674=TRUE(),$U674="TRUE"),1,0))</f>
        <v/>
      </c>
      <c r="AQ674">
        <f>IF($E674="","",IF($AA674="Yes",1,0))</f>
        <v/>
      </c>
      <c r="AR674">
        <f>IF($AN674=1,IFERROR(VALUE(MID($E674,2,20)),1000000000)+ROW()/100000,"")</f>
        <v/>
      </c>
    </row>
    <row r="675">
      <c r="G675" s="11" t="n"/>
      <c r="Q675" s="7">
        <f>IF($E675="","",P675*Y675/100)</f>
        <v/>
      </c>
      <c r="R675" s="7" t="n"/>
      <c r="X675" s="7" t="n"/>
      <c r="Y675" s="7" t="n"/>
      <c r="AB675">
        <f>IF($E675="","",IF($AQ675=1,0,IF($AP675=1,Settings!$C$6,Settings!$C$7))*100)</f>
        <v/>
      </c>
      <c r="AC675" s="7">
        <f>IF($E675="","",Y675*AB675/100)</f>
        <v/>
      </c>
      <c r="AD675" s="7">
        <f>IF($E675="","",Y675-AC675)</f>
        <v/>
      </c>
      <c r="AE675" s="7">
        <f>IF($E675="","",AD675-Q675)</f>
        <v/>
      </c>
      <c r="AI675" s="7" t="n"/>
      <c r="AL675" s="11" t="n"/>
      <c r="AN675">
        <f>IF($E675="","",IF(COUNTIF($E$2:$E675,$E675)=1,1,0))</f>
        <v/>
      </c>
      <c r="AO675">
        <f>IF($AN675=1,SUMPRODUCT(--($AR$2:$AR$4001&lt;$AR675))+1,"")</f>
        <v/>
      </c>
      <c r="AP675">
        <f>IF($E675="","",IF(OR($U675=TRUE(),$U675="TRUE"),1,0))</f>
        <v/>
      </c>
      <c r="AQ675">
        <f>IF($E675="","",IF($AA675="Yes",1,0))</f>
        <v/>
      </c>
      <c r="AR675">
        <f>IF($AN675=1,IFERROR(VALUE(MID($E675,2,20)),1000000000)+ROW()/100000,"")</f>
        <v/>
      </c>
    </row>
    <row r="676">
      <c r="G676" s="11" t="n"/>
      <c r="Q676" s="7">
        <f>IF($E676="","",P676*Y676/100)</f>
        <v/>
      </c>
      <c r="R676" s="7" t="n"/>
      <c r="X676" s="7" t="n"/>
      <c r="Y676" s="7" t="n"/>
      <c r="AB676">
        <f>IF($E676="","",IF($AQ676=1,0,IF($AP676=1,Settings!$C$6,Settings!$C$7))*100)</f>
        <v/>
      </c>
      <c r="AC676" s="7">
        <f>IF($E676="","",Y676*AB676/100)</f>
        <v/>
      </c>
      <c r="AD676" s="7">
        <f>IF($E676="","",Y676-AC676)</f>
        <v/>
      </c>
      <c r="AE676" s="7">
        <f>IF($E676="","",AD676-Q676)</f>
        <v/>
      </c>
      <c r="AI676" s="7" t="n"/>
      <c r="AL676" s="11" t="n"/>
      <c r="AN676">
        <f>IF($E676="","",IF(COUNTIF($E$2:$E676,$E676)=1,1,0))</f>
        <v/>
      </c>
      <c r="AO676">
        <f>IF($AN676=1,SUMPRODUCT(--($AR$2:$AR$4001&lt;$AR676))+1,"")</f>
        <v/>
      </c>
      <c r="AP676">
        <f>IF($E676="","",IF(OR($U676=TRUE(),$U676="TRUE"),1,0))</f>
        <v/>
      </c>
      <c r="AQ676">
        <f>IF($E676="","",IF($AA676="Yes",1,0))</f>
        <v/>
      </c>
      <c r="AR676">
        <f>IF($AN676=1,IFERROR(VALUE(MID($E676,2,20)),1000000000)+ROW()/100000,"")</f>
        <v/>
      </c>
    </row>
    <row r="677">
      <c r="G677" s="11" t="n"/>
      <c r="Q677" s="7">
        <f>IF($E677="","",P677*Y677/100)</f>
        <v/>
      </c>
      <c r="R677" s="7" t="n"/>
      <c r="X677" s="7" t="n"/>
      <c r="Y677" s="7" t="n"/>
      <c r="AB677">
        <f>IF($E677="","",IF($AQ677=1,0,IF($AP677=1,Settings!$C$6,Settings!$C$7))*100)</f>
        <v/>
      </c>
      <c r="AC677" s="7">
        <f>IF($E677="","",Y677*AB677/100)</f>
        <v/>
      </c>
      <c r="AD677" s="7">
        <f>IF($E677="","",Y677-AC677)</f>
        <v/>
      </c>
      <c r="AE677" s="7">
        <f>IF($E677="","",AD677-Q677)</f>
        <v/>
      </c>
      <c r="AI677" s="7" t="n"/>
      <c r="AL677" s="11" t="n"/>
      <c r="AN677">
        <f>IF($E677="","",IF(COUNTIF($E$2:$E677,$E677)=1,1,0))</f>
        <v/>
      </c>
      <c r="AO677">
        <f>IF($AN677=1,SUMPRODUCT(--($AR$2:$AR$4001&lt;$AR677))+1,"")</f>
        <v/>
      </c>
      <c r="AP677">
        <f>IF($E677="","",IF(OR($U677=TRUE(),$U677="TRUE"),1,0))</f>
        <v/>
      </c>
      <c r="AQ677">
        <f>IF($E677="","",IF($AA677="Yes",1,0))</f>
        <v/>
      </c>
      <c r="AR677">
        <f>IF($AN677=1,IFERROR(VALUE(MID($E677,2,20)),1000000000)+ROW()/100000,"")</f>
        <v/>
      </c>
    </row>
    <row r="678">
      <c r="G678" s="11" t="n"/>
      <c r="Q678" s="7">
        <f>IF($E678="","",P678*Y678/100)</f>
        <v/>
      </c>
      <c r="R678" s="7" t="n"/>
      <c r="X678" s="7" t="n"/>
      <c r="Y678" s="7" t="n"/>
      <c r="AB678">
        <f>IF($E678="","",IF($AQ678=1,0,IF($AP678=1,Settings!$C$6,Settings!$C$7))*100)</f>
        <v/>
      </c>
      <c r="AC678" s="7">
        <f>IF($E678="","",Y678*AB678/100)</f>
        <v/>
      </c>
      <c r="AD678" s="7">
        <f>IF($E678="","",Y678-AC678)</f>
        <v/>
      </c>
      <c r="AE678" s="7">
        <f>IF($E678="","",AD678-Q678)</f>
        <v/>
      </c>
      <c r="AI678" s="7" t="n"/>
      <c r="AL678" s="11" t="n"/>
      <c r="AN678">
        <f>IF($E678="","",IF(COUNTIF($E$2:$E678,$E678)=1,1,0))</f>
        <v/>
      </c>
      <c r="AO678">
        <f>IF($AN678=1,SUMPRODUCT(--($AR$2:$AR$4001&lt;$AR678))+1,"")</f>
        <v/>
      </c>
      <c r="AP678">
        <f>IF($E678="","",IF(OR($U678=TRUE(),$U678="TRUE"),1,0))</f>
        <v/>
      </c>
      <c r="AQ678">
        <f>IF($E678="","",IF($AA678="Yes",1,0))</f>
        <v/>
      </c>
      <c r="AR678">
        <f>IF($AN678=1,IFERROR(VALUE(MID($E678,2,20)),1000000000)+ROW()/100000,"")</f>
        <v/>
      </c>
    </row>
    <row r="679">
      <c r="G679" s="11" t="n"/>
      <c r="Q679" s="7">
        <f>IF($E679="","",P679*Y679/100)</f>
        <v/>
      </c>
      <c r="R679" s="7" t="n"/>
      <c r="X679" s="7" t="n"/>
      <c r="Y679" s="7" t="n"/>
      <c r="AB679">
        <f>IF($E679="","",IF($AQ679=1,0,IF($AP679=1,Settings!$C$6,Settings!$C$7))*100)</f>
        <v/>
      </c>
      <c r="AC679" s="7">
        <f>IF($E679="","",Y679*AB679/100)</f>
        <v/>
      </c>
      <c r="AD679" s="7">
        <f>IF($E679="","",Y679-AC679)</f>
        <v/>
      </c>
      <c r="AE679" s="7">
        <f>IF($E679="","",AD679-Q679)</f>
        <v/>
      </c>
      <c r="AI679" s="7" t="n"/>
      <c r="AL679" s="11" t="n"/>
      <c r="AN679">
        <f>IF($E679="","",IF(COUNTIF($E$2:$E679,$E679)=1,1,0))</f>
        <v/>
      </c>
      <c r="AO679">
        <f>IF($AN679=1,SUMPRODUCT(--($AR$2:$AR$4001&lt;$AR679))+1,"")</f>
        <v/>
      </c>
      <c r="AP679">
        <f>IF($E679="","",IF(OR($U679=TRUE(),$U679="TRUE"),1,0))</f>
        <v/>
      </c>
      <c r="AQ679">
        <f>IF($E679="","",IF($AA679="Yes",1,0))</f>
        <v/>
      </c>
      <c r="AR679">
        <f>IF($AN679=1,IFERROR(VALUE(MID($E679,2,20)),1000000000)+ROW()/100000,"")</f>
        <v/>
      </c>
    </row>
    <row r="680">
      <c r="G680" s="11" t="n"/>
      <c r="Q680" s="7">
        <f>IF($E680="","",P680*Y680/100)</f>
        <v/>
      </c>
      <c r="R680" s="7" t="n"/>
      <c r="X680" s="7" t="n"/>
      <c r="Y680" s="7" t="n"/>
      <c r="AB680">
        <f>IF($E680="","",IF($AQ680=1,0,IF($AP680=1,Settings!$C$6,Settings!$C$7))*100)</f>
        <v/>
      </c>
      <c r="AC680" s="7">
        <f>IF($E680="","",Y680*AB680/100)</f>
        <v/>
      </c>
      <c r="AD680" s="7">
        <f>IF($E680="","",Y680-AC680)</f>
        <v/>
      </c>
      <c r="AE680" s="7">
        <f>IF($E680="","",AD680-Q680)</f>
        <v/>
      </c>
      <c r="AI680" s="7" t="n"/>
      <c r="AL680" s="11" t="n"/>
      <c r="AN680">
        <f>IF($E680="","",IF(COUNTIF($E$2:$E680,$E680)=1,1,0))</f>
        <v/>
      </c>
      <c r="AO680">
        <f>IF($AN680=1,SUMPRODUCT(--($AR$2:$AR$4001&lt;$AR680))+1,"")</f>
        <v/>
      </c>
      <c r="AP680">
        <f>IF($E680="","",IF(OR($U680=TRUE(),$U680="TRUE"),1,0))</f>
        <v/>
      </c>
      <c r="AQ680">
        <f>IF($E680="","",IF($AA680="Yes",1,0))</f>
        <v/>
      </c>
      <c r="AR680">
        <f>IF($AN680=1,IFERROR(VALUE(MID($E680,2,20)),1000000000)+ROW()/100000,"")</f>
        <v/>
      </c>
    </row>
    <row r="681">
      <c r="G681" s="11" t="n"/>
      <c r="Q681" s="7">
        <f>IF($E681="","",P681*Y681/100)</f>
        <v/>
      </c>
      <c r="R681" s="7" t="n"/>
      <c r="X681" s="7" t="n"/>
      <c r="Y681" s="7" t="n"/>
      <c r="AB681">
        <f>IF($E681="","",IF($AQ681=1,0,IF($AP681=1,Settings!$C$6,Settings!$C$7))*100)</f>
        <v/>
      </c>
      <c r="AC681" s="7">
        <f>IF($E681="","",Y681*AB681/100)</f>
        <v/>
      </c>
      <c r="AD681" s="7">
        <f>IF($E681="","",Y681-AC681)</f>
        <v/>
      </c>
      <c r="AE681" s="7">
        <f>IF($E681="","",AD681-Q681)</f>
        <v/>
      </c>
      <c r="AI681" s="7" t="n"/>
      <c r="AL681" s="11" t="n"/>
      <c r="AN681">
        <f>IF($E681="","",IF(COUNTIF($E$2:$E681,$E681)=1,1,0))</f>
        <v/>
      </c>
      <c r="AO681">
        <f>IF($AN681=1,SUMPRODUCT(--($AR$2:$AR$4001&lt;$AR681))+1,"")</f>
        <v/>
      </c>
      <c r="AP681">
        <f>IF($E681="","",IF(OR($U681=TRUE(),$U681="TRUE"),1,0))</f>
        <v/>
      </c>
      <c r="AQ681">
        <f>IF($E681="","",IF($AA681="Yes",1,0))</f>
        <v/>
      </c>
      <c r="AR681">
        <f>IF($AN681=1,IFERROR(VALUE(MID($E681,2,20)),1000000000)+ROW()/100000,"")</f>
        <v/>
      </c>
    </row>
    <row r="682">
      <c r="G682" s="11" t="n"/>
      <c r="Q682" s="7">
        <f>IF($E682="","",P682*Y682/100)</f>
        <v/>
      </c>
      <c r="R682" s="7" t="n"/>
      <c r="X682" s="7" t="n"/>
      <c r="Y682" s="7" t="n"/>
      <c r="AB682">
        <f>IF($E682="","",IF($AQ682=1,0,IF($AP682=1,Settings!$C$6,Settings!$C$7))*100)</f>
        <v/>
      </c>
      <c r="AC682" s="7">
        <f>IF($E682="","",Y682*AB682/100)</f>
        <v/>
      </c>
      <c r="AD682" s="7">
        <f>IF($E682="","",Y682-AC682)</f>
        <v/>
      </c>
      <c r="AE682" s="7">
        <f>IF($E682="","",AD682-Q682)</f>
        <v/>
      </c>
      <c r="AI682" s="7" t="n"/>
      <c r="AL682" s="11" t="n"/>
      <c r="AN682">
        <f>IF($E682="","",IF(COUNTIF($E$2:$E682,$E682)=1,1,0))</f>
        <v/>
      </c>
      <c r="AO682">
        <f>IF($AN682=1,SUMPRODUCT(--($AR$2:$AR$4001&lt;$AR682))+1,"")</f>
        <v/>
      </c>
      <c r="AP682">
        <f>IF($E682="","",IF(OR($U682=TRUE(),$U682="TRUE"),1,0))</f>
        <v/>
      </c>
      <c r="AQ682">
        <f>IF($E682="","",IF($AA682="Yes",1,0))</f>
        <v/>
      </c>
      <c r="AR682">
        <f>IF($AN682=1,IFERROR(VALUE(MID($E682,2,20)),1000000000)+ROW()/100000,"")</f>
        <v/>
      </c>
    </row>
    <row r="683">
      <c r="G683" s="11" t="n"/>
      <c r="Q683" s="7">
        <f>IF($E683="","",P683*Y683/100)</f>
        <v/>
      </c>
      <c r="R683" s="7" t="n"/>
      <c r="X683" s="7" t="n"/>
      <c r="Y683" s="7" t="n"/>
      <c r="AB683">
        <f>IF($E683="","",IF($AQ683=1,0,IF($AP683=1,Settings!$C$6,Settings!$C$7))*100)</f>
        <v/>
      </c>
      <c r="AC683" s="7">
        <f>IF($E683="","",Y683*AB683/100)</f>
        <v/>
      </c>
      <c r="AD683" s="7">
        <f>IF($E683="","",Y683-AC683)</f>
        <v/>
      </c>
      <c r="AE683" s="7">
        <f>IF($E683="","",AD683-Q683)</f>
        <v/>
      </c>
      <c r="AI683" s="7" t="n"/>
      <c r="AL683" s="11" t="n"/>
      <c r="AN683">
        <f>IF($E683="","",IF(COUNTIF($E$2:$E683,$E683)=1,1,0))</f>
        <v/>
      </c>
      <c r="AO683">
        <f>IF($AN683=1,SUMPRODUCT(--($AR$2:$AR$4001&lt;$AR683))+1,"")</f>
        <v/>
      </c>
      <c r="AP683">
        <f>IF($E683="","",IF(OR($U683=TRUE(),$U683="TRUE"),1,0))</f>
        <v/>
      </c>
      <c r="AQ683">
        <f>IF($E683="","",IF($AA683="Yes",1,0))</f>
        <v/>
      </c>
      <c r="AR683">
        <f>IF($AN683=1,IFERROR(VALUE(MID($E683,2,20)),1000000000)+ROW()/100000,"")</f>
        <v/>
      </c>
    </row>
    <row r="684">
      <c r="G684" s="11" t="n"/>
      <c r="Q684" s="7">
        <f>IF($E684="","",P684*Y684/100)</f>
        <v/>
      </c>
      <c r="R684" s="7" t="n"/>
      <c r="X684" s="7" t="n"/>
      <c r="Y684" s="7" t="n"/>
      <c r="AB684">
        <f>IF($E684="","",IF($AQ684=1,0,IF($AP684=1,Settings!$C$6,Settings!$C$7))*100)</f>
        <v/>
      </c>
      <c r="AC684" s="7">
        <f>IF($E684="","",Y684*AB684/100)</f>
        <v/>
      </c>
      <c r="AD684" s="7">
        <f>IF($E684="","",Y684-AC684)</f>
        <v/>
      </c>
      <c r="AE684" s="7">
        <f>IF($E684="","",AD684-Q684)</f>
        <v/>
      </c>
      <c r="AI684" s="7" t="n"/>
      <c r="AL684" s="11" t="n"/>
      <c r="AN684">
        <f>IF($E684="","",IF(COUNTIF($E$2:$E684,$E684)=1,1,0))</f>
        <v/>
      </c>
      <c r="AO684">
        <f>IF($AN684=1,SUMPRODUCT(--($AR$2:$AR$4001&lt;$AR684))+1,"")</f>
        <v/>
      </c>
      <c r="AP684">
        <f>IF($E684="","",IF(OR($U684=TRUE(),$U684="TRUE"),1,0))</f>
        <v/>
      </c>
      <c r="AQ684">
        <f>IF($E684="","",IF($AA684="Yes",1,0))</f>
        <v/>
      </c>
      <c r="AR684">
        <f>IF($AN684=1,IFERROR(VALUE(MID($E684,2,20)),1000000000)+ROW()/100000,"")</f>
        <v/>
      </c>
    </row>
    <row r="685">
      <c r="G685" s="11" t="n"/>
      <c r="Q685" s="7">
        <f>IF($E685="","",P685*Y685/100)</f>
        <v/>
      </c>
      <c r="R685" s="7" t="n"/>
      <c r="X685" s="7" t="n"/>
      <c r="Y685" s="7" t="n"/>
      <c r="AB685">
        <f>IF($E685="","",IF($AQ685=1,0,IF($AP685=1,Settings!$C$6,Settings!$C$7))*100)</f>
        <v/>
      </c>
      <c r="AC685" s="7">
        <f>IF($E685="","",Y685*AB685/100)</f>
        <v/>
      </c>
      <c r="AD685" s="7">
        <f>IF($E685="","",Y685-AC685)</f>
        <v/>
      </c>
      <c r="AE685" s="7">
        <f>IF($E685="","",AD685-Q685)</f>
        <v/>
      </c>
      <c r="AI685" s="7" t="n"/>
      <c r="AL685" s="11" t="n"/>
      <c r="AN685">
        <f>IF($E685="","",IF(COUNTIF($E$2:$E685,$E685)=1,1,0))</f>
        <v/>
      </c>
      <c r="AO685">
        <f>IF($AN685=1,SUMPRODUCT(--($AR$2:$AR$4001&lt;$AR685))+1,"")</f>
        <v/>
      </c>
      <c r="AP685">
        <f>IF($E685="","",IF(OR($U685=TRUE(),$U685="TRUE"),1,0))</f>
        <v/>
      </c>
      <c r="AQ685">
        <f>IF($E685="","",IF($AA685="Yes",1,0))</f>
        <v/>
      </c>
      <c r="AR685">
        <f>IF($AN685=1,IFERROR(VALUE(MID($E685,2,20)),1000000000)+ROW()/100000,"")</f>
        <v/>
      </c>
    </row>
    <row r="686">
      <c r="G686" s="11" t="n"/>
      <c r="Q686" s="7">
        <f>IF($E686="","",P686*Y686/100)</f>
        <v/>
      </c>
      <c r="R686" s="7" t="n"/>
      <c r="X686" s="7" t="n"/>
      <c r="Y686" s="7" t="n"/>
      <c r="AB686">
        <f>IF($E686="","",IF($AQ686=1,0,IF($AP686=1,Settings!$C$6,Settings!$C$7))*100)</f>
        <v/>
      </c>
      <c r="AC686" s="7">
        <f>IF($E686="","",Y686*AB686/100)</f>
        <v/>
      </c>
      <c r="AD686" s="7">
        <f>IF($E686="","",Y686-AC686)</f>
        <v/>
      </c>
      <c r="AE686" s="7">
        <f>IF($E686="","",AD686-Q686)</f>
        <v/>
      </c>
      <c r="AI686" s="7" t="n"/>
      <c r="AL686" s="11" t="n"/>
      <c r="AN686">
        <f>IF($E686="","",IF(COUNTIF($E$2:$E686,$E686)=1,1,0))</f>
        <v/>
      </c>
      <c r="AO686">
        <f>IF($AN686=1,SUMPRODUCT(--($AR$2:$AR$4001&lt;$AR686))+1,"")</f>
        <v/>
      </c>
      <c r="AP686">
        <f>IF($E686="","",IF(OR($U686=TRUE(),$U686="TRUE"),1,0))</f>
        <v/>
      </c>
      <c r="AQ686">
        <f>IF($E686="","",IF($AA686="Yes",1,0))</f>
        <v/>
      </c>
      <c r="AR686">
        <f>IF($AN686=1,IFERROR(VALUE(MID($E686,2,20)),1000000000)+ROW()/100000,"")</f>
        <v/>
      </c>
    </row>
    <row r="687">
      <c r="G687" s="11" t="n"/>
      <c r="Q687" s="7">
        <f>IF($E687="","",P687*Y687/100)</f>
        <v/>
      </c>
      <c r="R687" s="7" t="n"/>
      <c r="X687" s="7" t="n"/>
      <c r="Y687" s="7" t="n"/>
      <c r="AB687">
        <f>IF($E687="","",IF($AQ687=1,0,IF($AP687=1,Settings!$C$6,Settings!$C$7))*100)</f>
        <v/>
      </c>
      <c r="AC687" s="7">
        <f>IF($E687="","",Y687*AB687/100)</f>
        <v/>
      </c>
      <c r="AD687" s="7">
        <f>IF($E687="","",Y687-AC687)</f>
        <v/>
      </c>
      <c r="AE687" s="7">
        <f>IF($E687="","",AD687-Q687)</f>
        <v/>
      </c>
      <c r="AI687" s="7" t="n"/>
      <c r="AL687" s="11" t="n"/>
      <c r="AN687">
        <f>IF($E687="","",IF(COUNTIF($E$2:$E687,$E687)=1,1,0))</f>
        <v/>
      </c>
      <c r="AO687">
        <f>IF($AN687=1,SUMPRODUCT(--($AR$2:$AR$4001&lt;$AR687))+1,"")</f>
        <v/>
      </c>
      <c r="AP687">
        <f>IF($E687="","",IF(OR($U687=TRUE(),$U687="TRUE"),1,0))</f>
        <v/>
      </c>
      <c r="AQ687">
        <f>IF($E687="","",IF($AA687="Yes",1,0))</f>
        <v/>
      </c>
      <c r="AR687">
        <f>IF($AN687=1,IFERROR(VALUE(MID($E687,2,20)),1000000000)+ROW()/100000,"")</f>
        <v/>
      </c>
    </row>
    <row r="688">
      <c r="G688" s="11" t="n"/>
      <c r="Q688" s="7">
        <f>IF($E688="","",P688*Y688/100)</f>
        <v/>
      </c>
      <c r="R688" s="7" t="n"/>
      <c r="X688" s="7" t="n"/>
      <c r="Y688" s="7" t="n"/>
      <c r="AB688">
        <f>IF($E688="","",IF($AQ688=1,0,IF($AP688=1,Settings!$C$6,Settings!$C$7))*100)</f>
        <v/>
      </c>
      <c r="AC688" s="7">
        <f>IF($E688="","",Y688*AB688/100)</f>
        <v/>
      </c>
      <c r="AD688" s="7">
        <f>IF($E688="","",Y688-AC688)</f>
        <v/>
      </c>
      <c r="AE688" s="7">
        <f>IF($E688="","",AD688-Q688)</f>
        <v/>
      </c>
      <c r="AI688" s="7" t="n"/>
      <c r="AL688" s="11" t="n"/>
      <c r="AN688">
        <f>IF($E688="","",IF(COUNTIF($E$2:$E688,$E688)=1,1,0))</f>
        <v/>
      </c>
      <c r="AO688">
        <f>IF($AN688=1,SUMPRODUCT(--($AR$2:$AR$4001&lt;$AR688))+1,"")</f>
        <v/>
      </c>
      <c r="AP688">
        <f>IF($E688="","",IF(OR($U688=TRUE(),$U688="TRUE"),1,0))</f>
        <v/>
      </c>
      <c r="AQ688">
        <f>IF($E688="","",IF($AA688="Yes",1,0))</f>
        <v/>
      </c>
      <c r="AR688">
        <f>IF($AN688=1,IFERROR(VALUE(MID($E688,2,20)),1000000000)+ROW()/100000,"")</f>
        <v/>
      </c>
    </row>
    <row r="689">
      <c r="G689" s="11" t="n"/>
      <c r="Q689" s="7">
        <f>IF($E689="","",P689*Y689/100)</f>
        <v/>
      </c>
      <c r="R689" s="7" t="n"/>
      <c r="X689" s="7" t="n"/>
      <c r="Y689" s="7" t="n"/>
      <c r="AB689">
        <f>IF($E689="","",IF($AQ689=1,0,IF($AP689=1,Settings!$C$6,Settings!$C$7))*100)</f>
        <v/>
      </c>
      <c r="AC689" s="7">
        <f>IF($E689="","",Y689*AB689/100)</f>
        <v/>
      </c>
      <c r="AD689" s="7">
        <f>IF($E689="","",Y689-AC689)</f>
        <v/>
      </c>
      <c r="AE689" s="7">
        <f>IF($E689="","",AD689-Q689)</f>
        <v/>
      </c>
      <c r="AI689" s="7" t="n"/>
      <c r="AL689" s="11" t="n"/>
      <c r="AN689">
        <f>IF($E689="","",IF(COUNTIF($E$2:$E689,$E689)=1,1,0))</f>
        <v/>
      </c>
      <c r="AO689">
        <f>IF($AN689=1,SUMPRODUCT(--($AR$2:$AR$4001&lt;$AR689))+1,"")</f>
        <v/>
      </c>
      <c r="AP689">
        <f>IF($E689="","",IF(OR($U689=TRUE(),$U689="TRUE"),1,0))</f>
        <v/>
      </c>
      <c r="AQ689">
        <f>IF($E689="","",IF($AA689="Yes",1,0))</f>
        <v/>
      </c>
      <c r="AR689">
        <f>IF($AN689=1,IFERROR(VALUE(MID($E689,2,20)),1000000000)+ROW()/100000,"")</f>
        <v/>
      </c>
    </row>
    <row r="690">
      <c r="G690" s="11" t="n"/>
      <c r="Q690" s="7">
        <f>IF($E690="","",P690*Y690/100)</f>
        <v/>
      </c>
      <c r="R690" s="7" t="n"/>
      <c r="X690" s="7" t="n"/>
      <c r="Y690" s="7" t="n"/>
      <c r="AB690">
        <f>IF($E690="","",IF($AQ690=1,0,IF($AP690=1,Settings!$C$6,Settings!$C$7))*100)</f>
        <v/>
      </c>
      <c r="AC690" s="7">
        <f>IF($E690="","",Y690*AB690/100)</f>
        <v/>
      </c>
      <c r="AD690" s="7">
        <f>IF($E690="","",Y690-AC690)</f>
        <v/>
      </c>
      <c r="AE690" s="7">
        <f>IF($E690="","",AD690-Q690)</f>
        <v/>
      </c>
      <c r="AI690" s="7" t="n"/>
      <c r="AL690" s="11" t="n"/>
      <c r="AN690">
        <f>IF($E690="","",IF(COUNTIF($E$2:$E690,$E690)=1,1,0))</f>
        <v/>
      </c>
      <c r="AO690">
        <f>IF($AN690=1,SUMPRODUCT(--($AR$2:$AR$4001&lt;$AR690))+1,"")</f>
        <v/>
      </c>
      <c r="AP690">
        <f>IF($E690="","",IF(OR($U690=TRUE(),$U690="TRUE"),1,0))</f>
        <v/>
      </c>
      <c r="AQ690">
        <f>IF($E690="","",IF($AA690="Yes",1,0))</f>
        <v/>
      </c>
      <c r="AR690">
        <f>IF($AN690=1,IFERROR(VALUE(MID($E690,2,20)),1000000000)+ROW()/100000,"")</f>
        <v/>
      </c>
    </row>
    <row r="691">
      <c r="G691" s="11" t="n"/>
      <c r="Q691" s="7">
        <f>IF($E691="","",P691*Y691/100)</f>
        <v/>
      </c>
      <c r="R691" s="7" t="n"/>
      <c r="X691" s="7" t="n"/>
      <c r="Y691" s="7" t="n"/>
      <c r="AB691">
        <f>IF($E691="","",IF($AQ691=1,0,IF($AP691=1,Settings!$C$6,Settings!$C$7))*100)</f>
        <v/>
      </c>
      <c r="AC691" s="7">
        <f>IF($E691="","",Y691*AB691/100)</f>
        <v/>
      </c>
      <c r="AD691" s="7">
        <f>IF($E691="","",Y691-AC691)</f>
        <v/>
      </c>
      <c r="AE691" s="7">
        <f>IF($E691="","",AD691-Q691)</f>
        <v/>
      </c>
      <c r="AI691" s="7" t="n"/>
      <c r="AL691" s="11" t="n"/>
      <c r="AN691">
        <f>IF($E691="","",IF(COUNTIF($E$2:$E691,$E691)=1,1,0))</f>
        <v/>
      </c>
      <c r="AO691">
        <f>IF($AN691=1,SUMPRODUCT(--($AR$2:$AR$4001&lt;$AR691))+1,"")</f>
        <v/>
      </c>
      <c r="AP691">
        <f>IF($E691="","",IF(OR($U691=TRUE(),$U691="TRUE"),1,0))</f>
        <v/>
      </c>
      <c r="AQ691">
        <f>IF($E691="","",IF($AA691="Yes",1,0))</f>
        <v/>
      </c>
      <c r="AR691">
        <f>IF($AN691=1,IFERROR(VALUE(MID($E691,2,20)),1000000000)+ROW()/100000,"")</f>
        <v/>
      </c>
    </row>
    <row r="692">
      <c r="G692" s="11" t="n"/>
      <c r="Q692" s="7">
        <f>IF($E692="","",P692*Y692/100)</f>
        <v/>
      </c>
      <c r="R692" s="7" t="n"/>
      <c r="X692" s="7" t="n"/>
      <c r="Y692" s="7" t="n"/>
      <c r="AB692">
        <f>IF($E692="","",IF($AQ692=1,0,IF($AP692=1,Settings!$C$6,Settings!$C$7))*100)</f>
        <v/>
      </c>
      <c r="AC692" s="7">
        <f>IF($E692="","",Y692*AB692/100)</f>
        <v/>
      </c>
      <c r="AD692" s="7">
        <f>IF($E692="","",Y692-AC692)</f>
        <v/>
      </c>
      <c r="AE692" s="7">
        <f>IF($E692="","",AD692-Q692)</f>
        <v/>
      </c>
      <c r="AI692" s="7" t="n"/>
      <c r="AL692" s="11" t="n"/>
      <c r="AN692">
        <f>IF($E692="","",IF(COUNTIF($E$2:$E692,$E692)=1,1,0))</f>
        <v/>
      </c>
      <c r="AO692">
        <f>IF($AN692=1,SUMPRODUCT(--($AR$2:$AR$4001&lt;$AR692))+1,"")</f>
        <v/>
      </c>
      <c r="AP692">
        <f>IF($E692="","",IF(OR($U692=TRUE(),$U692="TRUE"),1,0))</f>
        <v/>
      </c>
      <c r="AQ692">
        <f>IF($E692="","",IF($AA692="Yes",1,0))</f>
        <v/>
      </c>
      <c r="AR692">
        <f>IF($AN692=1,IFERROR(VALUE(MID($E692,2,20)),1000000000)+ROW()/100000,"")</f>
        <v/>
      </c>
    </row>
    <row r="693">
      <c r="G693" s="11" t="n"/>
      <c r="Q693" s="7">
        <f>IF($E693="","",P693*Y693/100)</f>
        <v/>
      </c>
      <c r="R693" s="7" t="n"/>
      <c r="X693" s="7" t="n"/>
      <c r="Y693" s="7" t="n"/>
      <c r="AB693">
        <f>IF($E693="","",IF($AQ693=1,0,IF($AP693=1,Settings!$C$6,Settings!$C$7))*100)</f>
        <v/>
      </c>
      <c r="AC693" s="7">
        <f>IF($E693="","",Y693*AB693/100)</f>
        <v/>
      </c>
      <c r="AD693" s="7">
        <f>IF($E693="","",Y693-AC693)</f>
        <v/>
      </c>
      <c r="AE693" s="7">
        <f>IF($E693="","",AD693-Q693)</f>
        <v/>
      </c>
      <c r="AI693" s="7" t="n"/>
      <c r="AL693" s="11" t="n"/>
      <c r="AN693">
        <f>IF($E693="","",IF(COUNTIF($E$2:$E693,$E693)=1,1,0))</f>
        <v/>
      </c>
      <c r="AO693">
        <f>IF($AN693=1,SUMPRODUCT(--($AR$2:$AR$4001&lt;$AR693))+1,"")</f>
        <v/>
      </c>
      <c r="AP693">
        <f>IF($E693="","",IF(OR($U693=TRUE(),$U693="TRUE"),1,0))</f>
        <v/>
      </c>
      <c r="AQ693">
        <f>IF($E693="","",IF($AA693="Yes",1,0))</f>
        <v/>
      </c>
      <c r="AR693">
        <f>IF($AN693=1,IFERROR(VALUE(MID($E693,2,20)),1000000000)+ROW()/100000,"")</f>
        <v/>
      </c>
    </row>
    <row r="694">
      <c r="G694" s="11" t="n"/>
      <c r="Q694" s="7">
        <f>IF($E694="","",P694*Y694/100)</f>
        <v/>
      </c>
      <c r="R694" s="7" t="n"/>
      <c r="X694" s="7" t="n"/>
      <c r="Y694" s="7" t="n"/>
      <c r="AB694">
        <f>IF($E694="","",IF($AQ694=1,0,IF($AP694=1,Settings!$C$6,Settings!$C$7))*100)</f>
        <v/>
      </c>
      <c r="AC694" s="7">
        <f>IF($E694="","",Y694*AB694/100)</f>
        <v/>
      </c>
      <c r="AD694" s="7">
        <f>IF($E694="","",Y694-AC694)</f>
        <v/>
      </c>
      <c r="AE694" s="7">
        <f>IF($E694="","",AD694-Q694)</f>
        <v/>
      </c>
      <c r="AI694" s="7" t="n"/>
      <c r="AL694" s="11" t="n"/>
      <c r="AN694">
        <f>IF($E694="","",IF(COUNTIF($E$2:$E694,$E694)=1,1,0))</f>
        <v/>
      </c>
      <c r="AO694">
        <f>IF($AN694=1,SUMPRODUCT(--($AR$2:$AR$4001&lt;$AR694))+1,"")</f>
        <v/>
      </c>
      <c r="AP694">
        <f>IF($E694="","",IF(OR($U694=TRUE(),$U694="TRUE"),1,0))</f>
        <v/>
      </c>
      <c r="AQ694">
        <f>IF($E694="","",IF($AA694="Yes",1,0))</f>
        <v/>
      </c>
      <c r="AR694">
        <f>IF($AN694=1,IFERROR(VALUE(MID($E694,2,20)),1000000000)+ROW()/100000,"")</f>
        <v/>
      </c>
    </row>
    <row r="695">
      <c r="G695" s="11" t="n"/>
      <c r="Q695" s="7">
        <f>IF($E695="","",P695*Y695/100)</f>
        <v/>
      </c>
      <c r="R695" s="7" t="n"/>
      <c r="X695" s="7" t="n"/>
      <c r="Y695" s="7" t="n"/>
      <c r="AB695">
        <f>IF($E695="","",IF($AQ695=1,0,IF($AP695=1,Settings!$C$6,Settings!$C$7))*100)</f>
        <v/>
      </c>
      <c r="AC695" s="7">
        <f>IF($E695="","",Y695*AB695/100)</f>
        <v/>
      </c>
      <c r="AD695" s="7">
        <f>IF($E695="","",Y695-AC695)</f>
        <v/>
      </c>
      <c r="AE695" s="7">
        <f>IF($E695="","",AD695-Q695)</f>
        <v/>
      </c>
      <c r="AI695" s="7" t="n"/>
      <c r="AL695" s="11" t="n"/>
      <c r="AN695">
        <f>IF($E695="","",IF(COUNTIF($E$2:$E695,$E695)=1,1,0))</f>
        <v/>
      </c>
      <c r="AO695">
        <f>IF($AN695=1,SUMPRODUCT(--($AR$2:$AR$4001&lt;$AR695))+1,"")</f>
        <v/>
      </c>
      <c r="AP695">
        <f>IF($E695="","",IF(OR($U695=TRUE(),$U695="TRUE"),1,0))</f>
        <v/>
      </c>
      <c r="AQ695">
        <f>IF($E695="","",IF($AA695="Yes",1,0))</f>
        <v/>
      </c>
      <c r="AR695">
        <f>IF($AN695=1,IFERROR(VALUE(MID($E695,2,20)),1000000000)+ROW()/100000,"")</f>
        <v/>
      </c>
    </row>
    <row r="696">
      <c r="G696" s="11" t="n"/>
      <c r="Q696" s="7">
        <f>IF($E696="","",P696*Y696/100)</f>
        <v/>
      </c>
      <c r="R696" s="7" t="n"/>
      <c r="X696" s="7" t="n"/>
      <c r="Y696" s="7" t="n"/>
      <c r="AB696">
        <f>IF($E696="","",IF($AQ696=1,0,IF($AP696=1,Settings!$C$6,Settings!$C$7))*100)</f>
        <v/>
      </c>
      <c r="AC696" s="7">
        <f>IF($E696="","",Y696*AB696/100)</f>
        <v/>
      </c>
      <c r="AD696" s="7">
        <f>IF($E696="","",Y696-AC696)</f>
        <v/>
      </c>
      <c r="AE696" s="7">
        <f>IF($E696="","",AD696-Q696)</f>
        <v/>
      </c>
      <c r="AI696" s="7" t="n"/>
      <c r="AL696" s="11" t="n"/>
      <c r="AN696">
        <f>IF($E696="","",IF(COUNTIF($E$2:$E696,$E696)=1,1,0))</f>
        <v/>
      </c>
      <c r="AO696">
        <f>IF($AN696=1,SUMPRODUCT(--($AR$2:$AR$4001&lt;$AR696))+1,"")</f>
        <v/>
      </c>
      <c r="AP696">
        <f>IF($E696="","",IF(OR($U696=TRUE(),$U696="TRUE"),1,0))</f>
        <v/>
      </c>
      <c r="AQ696">
        <f>IF($E696="","",IF($AA696="Yes",1,0))</f>
        <v/>
      </c>
      <c r="AR696">
        <f>IF($AN696=1,IFERROR(VALUE(MID($E696,2,20)),1000000000)+ROW()/100000,"")</f>
        <v/>
      </c>
    </row>
    <row r="697">
      <c r="G697" s="11" t="n"/>
      <c r="Q697" s="7">
        <f>IF($E697="","",P697*Y697/100)</f>
        <v/>
      </c>
      <c r="R697" s="7" t="n"/>
      <c r="X697" s="7" t="n"/>
      <c r="Y697" s="7" t="n"/>
      <c r="AB697">
        <f>IF($E697="","",IF($AQ697=1,0,IF($AP697=1,Settings!$C$6,Settings!$C$7))*100)</f>
        <v/>
      </c>
      <c r="AC697" s="7">
        <f>IF($E697="","",Y697*AB697/100)</f>
        <v/>
      </c>
      <c r="AD697" s="7">
        <f>IF($E697="","",Y697-AC697)</f>
        <v/>
      </c>
      <c r="AE697" s="7">
        <f>IF($E697="","",AD697-Q697)</f>
        <v/>
      </c>
      <c r="AI697" s="7" t="n"/>
      <c r="AL697" s="11" t="n"/>
      <c r="AN697">
        <f>IF($E697="","",IF(COUNTIF($E$2:$E697,$E697)=1,1,0))</f>
        <v/>
      </c>
      <c r="AO697">
        <f>IF($AN697=1,SUMPRODUCT(--($AR$2:$AR$4001&lt;$AR697))+1,"")</f>
        <v/>
      </c>
      <c r="AP697">
        <f>IF($E697="","",IF(OR($U697=TRUE(),$U697="TRUE"),1,0))</f>
        <v/>
      </c>
      <c r="AQ697">
        <f>IF($E697="","",IF($AA697="Yes",1,0))</f>
        <v/>
      </c>
      <c r="AR697">
        <f>IF($AN697=1,IFERROR(VALUE(MID($E697,2,20)),1000000000)+ROW()/100000,"")</f>
        <v/>
      </c>
    </row>
    <row r="698">
      <c r="G698" s="11" t="n"/>
      <c r="Q698" s="7">
        <f>IF($E698="","",P698*Y698/100)</f>
        <v/>
      </c>
      <c r="R698" s="7" t="n"/>
      <c r="X698" s="7" t="n"/>
      <c r="Y698" s="7" t="n"/>
      <c r="AB698">
        <f>IF($E698="","",IF($AQ698=1,0,IF($AP698=1,Settings!$C$6,Settings!$C$7))*100)</f>
        <v/>
      </c>
      <c r="AC698" s="7">
        <f>IF($E698="","",Y698*AB698/100)</f>
        <v/>
      </c>
      <c r="AD698" s="7">
        <f>IF($E698="","",Y698-AC698)</f>
        <v/>
      </c>
      <c r="AE698" s="7">
        <f>IF($E698="","",AD698-Q698)</f>
        <v/>
      </c>
      <c r="AI698" s="7" t="n"/>
      <c r="AL698" s="11" t="n"/>
      <c r="AN698">
        <f>IF($E698="","",IF(COUNTIF($E$2:$E698,$E698)=1,1,0))</f>
        <v/>
      </c>
      <c r="AO698">
        <f>IF($AN698=1,SUMPRODUCT(--($AR$2:$AR$4001&lt;$AR698))+1,"")</f>
        <v/>
      </c>
      <c r="AP698">
        <f>IF($E698="","",IF(OR($U698=TRUE(),$U698="TRUE"),1,0))</f>
        <v/>
      </c>
      <c r="AQ698">
        <f>IF($E698="","",IF($AA698="Yes",1,0))</f>
        <v/>
      </c>
      <c r="AR698">
        <f>IF($AN698=1,IFERROR(VALUE(MID($E698,2,20)),1000000000)+ROW()/100000,"")</f>
        <v/>
      </c>
    </row>
    <row r="699">
      <c r="G699" s="11" t="n"/>
      <c r="Q699" s="7">
        <f>IF($E699="","",P699*Y699/100)</f>
        <v/>
      </c>
      <c r="R699" s="7" t="n"/>
      <c r="X699" s="7" t="n"/>
      <c r="Y699" s="7" t="n"/>
      <c r="AB699">
        <f>IF($E699="","",IF($AQ699=1,0,IF($AP699=1,Settings!$C$6,Settings!$C$7))*100)</f>
        <v/>
      </c>
      <c r="AC699" s="7">
        <f>IF($E699="","",Y699*AB699/100)</f>
        <v/>
      </c>
      <c r="AD699" s="7">
        <f>IF($E699="","",Y699-AC699)</f>
        <v/>
      </c>
      <c r="AE699" s="7">
        <f>IF($E699="","",AD699-Q699)</f>
        <v/>
      </c>
      <c r="AI699" s="7" t="n"/>
      <c r="AL699" s="11" t="n"/>
      <c r="AN699">
        <f>IF($E699="","",IF(COUNTIF($E$2:$E699,$E699)=1,1,0))</f>
        <v/>
      </c>
      <c r="AO699">
        <f>IF($AN699=1,SUMPRODUCT(--($AR$2:$AR$4001&lt;$AR699))+1,"")</f>
        <v/>
      </c>
      <c r="AP699">
        <f>IF($E699="","",IF(OR($U699=TRUE(),$U699="TRUE"),1,0))</f>
        <v/>
      </c>
      <c r="AQ699">
        <f>IF($E699="","",IF($AA699="Yes",1,0))</f>
        <v/>
      </c>
      <c r="AR699">
        <f>IF($AN699=1,IFERROR(VALUE(MID($E699,2,20)),1000000000)+ROW()/100000,"")</f>
        <v/>
      </c>
    </row>
    <row r="700">
      <c r="G700" s="11" t="n"/>
      <c r="Q700" s="7">
        <f>IF($E700="","",P700*Y700/100)</f>
        <v/>
      </c>
      <c r="R700" s="7" t="n"/>
      <c r="X700" s="7" t="n"/>
      <c r="Y700" s="7" t="n"/>
      <c r="AB700">
        <f>IF($E700="","",IF($AQ700=1,0,IF($AP700=1,Settings!$C$6,Settings!$C$7))*100)</f>
        <v/>
      </c>
      <c r="AC700" s="7">
        <f>IF($E700="","",Y700*AB700/100)</f>
        <v/>
      </c>
      <c r="AD700" s="7">
        <f>IF($E700="","",Y700-AC700)</f>
        <v/>
      </c>
      <c r="AE700" s="7">
        <f>IF($E700="","",AD700-Q700)</f>
        <v/>
      </c>
      <c r="AI700" s="7" t="n"/>
      <c r="AL700" s="11" t="n"/>
      <c r="AN700">
        <f>IF($E700="","",IF(COUNTIF($E$2:$E700,$E700)=1,1,0))</f>
        <v/>
      </c>
      <c r="AO700">
        <f>IF($AN700=1,SUMPRODUCT(--($AR$2:$AR$4001&lt;$AR700))+1,"")</f>
        <v/>
      </c>
      <c r="AP700">
        <f>IF($E700="","",IF(OR($U700=TRUE(),$U700="TRUE"),1,0))</f>
        <v/>
      </c>
      <c r="AQ700">
        <f>IF($E700="","",IF($AA700="Yes",1,0))</f>
        <v/>
      </c>
      <c r="AR700">
        <f>IF($AN700=1,IFERROR(VALUE(MID($E700,2,20)),1000000000)+ROW()/100000,"")</f>
        <v/>
      </c>
    </row>
    <row r="701">
      <c r="G701" s="11" t="n"/>
      <c r="Q701" s="7">
        <f>IF($E701="","",P701*Y701/100)</f>
        <v/>
      </c>
      <c r="R701" s="7" t="n"/>
      <c r="X701" s="7" t="n"/>
      <c r="Y701" s="7" t="n"/>
      <c r="AB701">
        <f>IF($E701="","",IF($AQ701=1,0,IF($AP701=1,Settings!$C$6,Settings!$C$7))*100)</f>
        <v/>
      </c>
      <c r="AC701" s="7">
        <f>IF($E701="","",Y701*AB701/100)</f>
        <v/>
      </c>
      <c r="AD701" s="7">
        <f>IF($E701="","",Y701-AC701)</f>
        <v/>
      </c>
      <c r="AE701" s="7">
        <f>IF($E701="","",AD701-Q701)</f>
        <v/>
      </c>
      <c r="AI701" s="7" t="n"/>
      <c r="AL701" s="11" t="n"/>
      <c r="AN701">
        <f>IF($E701="","",IF(COUNTIF($E$2:$E701,$E701)=1,1,0))</f>
        <v/>
      </c>
      <c r="AO701">
        <f>IF($AN701=1,SUMPRODUCT(--($AR$2:$AR$4001&lt;$AR701))+1,"")</f>
        <v/>
      </c>
      <c r="AP701">
        <f>IF($E701="","",IF(OR($U701=TRUE(),$U701="TRUE"),1,0))</f>
        <v/>
      </c>
      <c r="AQ701">
        <f>IF($E701="","",IF($AA701="Yes",1,0))</f>
        <v/>
      </c>
      <c r="AR701">
        <f>IF($AN701=1,IFERROR(VALUE(MID($E701,2,20)),1000000000)+ROW()/100000,"")</f>
        <v/>
      </c>
    </row>
    <row r="702">
      <c r="G702" s="11" t="n"/>
      <c r="Q702" s="7">
        <f>IF($E702="","",P702*Y702/100)</f>
        <v/>
      </c>
      <c r="R702" s="7" t="n"/>
      <c r="X702" s="7" t="n"/>
      <c r="Y702" s="7" t="n"/>
      <c r="AB702">
        <f>IF($E702="","",IF($AQ702=1,0,IF($AP702=1,Settings!$C$6,Settings!$C$7))*100)</f>
        <v/>
      </c>
      <c r="AC702" s="7">
        <f>IF($E702="","",Y702*AB702/100)</f>
        <v/>
      </c>
      <c r="AD702" s="7">
        <f>IF($E702="","",Y702-AC702)</f>
        <v/>
      </c>
      <c r="AE702" s="7">
        <f>IF($E702="","",AD702-Q702)</f>
        <v/>
      </c>
      <c r="AI702" s="7" t="n"/>
      <c r="AL702" s="11" t="n"/>
      <c r="AN702">
        <f>IF($E702="","",IF(COUNTIF($E$2:$E702,$E702)=1,1,0))</f>
        <v/>
      </c>
      <c r="AO702">
        <f>IF($AN702=1,SUMPRODUCT(--($AR$2:$AR$4001&lt;$AR702))+1,"")</f>
        <v/>
      </c>
      <c r="AP702">
        <f>IF($E702="","",IF(OR($U702=TRUE(),$U702="TRUE"),1,0))</f>
        <v/>
      </c>
      <c r="AQ702">
        <f>IF($E702="","",IF($AA702="Yes",1,0))</f>
        <v/>
      </c>
      <c r="AR702">
        <f>IF($AN702=1,IFERROR(VALUE(MID($E702,2,20)),1000000000)+ROW()/100000,"")</f>
        <v/>
      </c>
    </row>
    <row r="703">
      <c r="G703" s="11" t="n"/>
      <c r="Q703" s="7">
        <f>IF($E703="","",P703*Y703/100)</f>
        <v/>
      </c>
      <c r="R703" s="7" t="n"/>
      <c r="X703" s="7" t="n"/>
      <c r="Y703" s="7" t="n"/>
      <c r="AB703">
        <f>IF($E703="","",IF($AQ703=1,0,IF($AP703=1,Settings!$C$6,Settings!$C$7))*100)</f>
        <v/>
      </c>
      <c r="AC703" s="7">
        <f>IF($E703="","",Y703*AB703/100)</f>
        <v/>
      </c>
      <c r="AD703" s="7">
        <f>IF($E703="","",Y703-AC703)</f>
        <v/>
      </c>
      <c r="AE703" s="7">
        <f>IF($E703="","",AD703-Q703)</f>
        <v/>
      </c>
      <c r="AI703" s="7" t="n"/>
      <c r="AL703" s="11" t="n"/>
      <c r="AN703">
        <f>IF($E703="","",IF(COUNTIF($E$2:$E703,$E703)=1,1,0))</f>
        <v/>
      </c>
      <c r="AO703">
        <f>IF($AN703=1,SUMPRODUCT(--($AR$2:$AR$4001&lt;$AR703))+1,"")</f>
        <v/>
      </c>
      <c r="AP703">
        <f>IF($E703="","",IF(OR($U703=TRUE(),$U703="TRUE"),1,0))</f>
        <v/>
      </c>
      <c r="AQ703">
        <f>IF($E703="","",IF($AA703="Yes",1,0))</f>
        <v/>
      </c>
      <c r="AR703">
        <f>IF($AN703=1,IFERROR(VALUE(MID($E703,2,20)),1000000000)+ROW()/100000,"")</f>
        <v/>
      </c>
    </row>
    <row r="704">
      <c r="G704" s="11" t="n"/>
      <c r="Q704" s="7">
        <f>IF($E704="","",P704*Y704/100)</f>
        <v/>
      </c>
      <c r="R704" s="7" t="n"/>
      <c r="X704" s="7" t="n"/>
      <c r="Y704" s="7" t="n"/>
      <c r="AB704">
        <f>IF($E704="","",IF($AQ704=1,0,IF($AP704=1,Settings!$C$6,Settings!$C$7))*100)</f>
        <v/>
      </c>
      <c r="AC704" s="7">
        <f>IF($E704="","",Y704*AB704/100)</f>
        <v/>
      </c>
      <c r="AD704" s="7">
        <f>IF($E704="","",Y704-AC704)</f>
        <v/>
      </c>
      <c r="AE704" s="7">
        <f>IF($E704="","",AD704-Q704)</f>
        <v/>
      </c>
      <c r="AI704" s="7" t="n"/>
      <c r="AL704" s="11" t="n"/>
      <c r="AN704">
        <f>IF($E704="","",IF(COUNTIF($E$2:$E704,$E704)=1,1,0))</f>
        <v/>
      </c>
      <c r="AO704">
        <f>IF($AN704=1,SUMPRODUCT(--($AR$2:$AR$4001&lt;$AR704))+1,"")</f>
        <v/>
      </c>
      <c r="AP704">
        <f>IF($E704="","",IF(OR($U704=TRUE(),$U704="TRUE"),1,0))</f>
        <v/>
      </c>
      <c r="AQ704">
        <f>IF($E704="","",IF($AA704="Yes",1,0))</f>
        <v/>
      </c>
      <c r="AR704">
        <f>IF($AN704=1,IFERROR(VALUE(MID($E704,2,20)),1000000000)+ROW()/100000,"")</f>
        <v/>
      </c>
    </row>
    <row r="705">
      <c r="G705" s="11" t="n"/>
      <c r="Q705" s="7">
        <f>IF($E705="","",P705*Y705/100)</f>
        <v/>
      </c>
      <c r="R705" s="7" t="n"/>
      <c r="X705" s="7" t="n"/>
      <c r="Y705" s="7" t="n"/>
      <c r="AB705">
        <f>IF($E705="","",IF($AQ705=1,0,IF($AP705=1,Settings!$C$6,Settings!$C$7))*100)</f>
        <v/>
      </c>
      <c r="AC705" s="7">
        <f>IF($E705="","",Y705*AB705/100)</f>
        <v/>
      </c>
      <c r="AD705" s="7">
        <f>IF($E705="","",Y705-AC705)</f>
        <v/>
      </c>
      <c r="AE705" s="7">
        <f>IF($E705="","",AD705-Q705)</f>
        <v/>
      </c>
      <c r="AI705" s="7" t="n"/>
      <c r="AL705" s="11" t="n"/>
      <c r="AN705">
        <f>IF($E705="","",IF(COUNTIF($E$2:$E705,$E705)=1,1,0))</f>
        <v/>
      </c>
      <c r="AO705">
        <f>IF($AN705=1,SUMPRODUCT(--($AR$2:$AR$4001&lt;$AR705))+1,"")</f>
        <v/>
      </c>
      <c r="AP705">
        <f>IF($E705="","",IF(OR($U705=TRUE(),$U705="TRUE"),1,0))</f>
        <v/>
      </c>
      <c r="AQ705">
        <f>IF($E705="","",IF($AA705="Yes",1,0))</f>
        <v/>
      </c>
      <c r="AR705">
        <f>IF($AN705=1,IFERROR(VALUE(MID($E705,2,20)),1000000000)+ROW()/100000,"")</f>
        <v/>
      </c>
    </row>
    <row r="706">
      <c r="G706" s="11" t="n"/>
      <c r="Q706" s="7">
        <f>IF($E706="","",P706*Y706/100)</f>
        <v/>
      </c>
      <c r="R706" s="7" t="n"/>
      <c r="X706" s="7" t="n"/>
      <c r="Y706" s="7" t="n"/>
      <c r="AB706">
        <f>IF($E706="","",IF($AQ706=1,0,IF($AP706=1,Settings!$C$6,Settings!$C$7))*100)</f>
        <v/>
      </c>
      <c r="AC706" s="7">
        <f>IF($E706="","",Y706*AB706/100)</f>
        <v/>
      </c>
      <c r="AD706" s="7">
        <f>IF($E706="","",Y706-AC706)</f>
        <v/>
      </c>
      <c r="AE706" s="7">
        <f>IF($E706="","",AD706-Q706)</f>
        <v/>
      </c>
      <c r="AI706" s="7" t="n"/>
      <c r="AL706" s="11" t="n"/>
      <c r="AN706">
        <f>IF($E706="","",IF(COUNTIF($E$2:$E706,$E706)=1,1,0))</f>
        <v/>
      </c>
      <c r="AO706">
        <f>IF($AN706=1,SUMPRODUCT(--($AR$2:$AR$4001&lt;$AR706))+1,"")</f>
        <v/>
      </c>
      <c r="AP706">
        <f>IF($E706="","",IF(OR($U706=TRUE(),$U706="TRUE"),1,0))</f>
        <v/>
      </c>
      <c r="AQ706">
        <f>IF($E706="","",IF($AA706="Yes",1,0))</f>
        <v/>
      </c>
      <c r="AR706">
        <f>IF($AN706=1,IFERROR(VALUE(MID($E706,2,20)),1000000000)+ROW()/100000,"")</f>
        <v/>
      </c>
    </row>
    <row r="707">
      <c r="G707" s="11" t="n"/>
      <c r="Q707" s="7">
        <f>IF($E707="","",P707*Y707/100)</f>
        <v/>
      </c>
      <c r="R707" s="7" t="n"/>
      <c r="X707" s="7" t="n"/>
      <c r="Y707" s="7" t="n"/>
      <c r="AB707">
        <f>IF($E707="","",IF($AQ707=1,0,IF($AP707=1,Settings!$C$6,Settings!$C$7))*100)</f>
        <v/>
      </c>
      <c r="AC707" s="7">
        <f>IF($E707="","",Y707*AB707/100)</f>
        <v/>
      </c>
      <c r="AD707" s="7">
        <f>IF($E707="","",Y707-AC707)</f>
        <v/>
      </c>
      <c r="AE707" s="7">
        <f>IF($E707="","",AD707-Q707)</f>
        <v/>
      </c>
      <c r="AI707" s="7" t="n"/>
      <c r="AL707" s="11" t="n"/>
      <c r="AN707">
        <f>IF($E707="","",IF(COUNTIF($E$2:$E707,$E707)=1,1,0))</f>
        <v/>
      </c>
      <c r="AO707">
        <f>IF($AN707=1,SUMPRODUCT(--($AR$2:$AR$4001&lt;$AR707))+1,"")</f>
        <v/>
      </c>
      <c r="AP707">
        <f>IF($E707="","",IF(OR($U707=TRUE(),$U707="TRUE"),1,0))</f>
        <v/>
      </c>
      <c r="AQ707">
        <f>IF($E707="","",IF($AA707="Yes",1,0))</f>
        <v/>
      </c>
      <c r="AR707">
        <f>IF($AN707=1,IFERROR(VALUE(MID($E707,2,20)),1000000000)+ROW()/100000,"")</f>
        <v/>
      </c>
    </row>
    <row r="708">
      <c r="G708" s="11" t="n"/>
      <c r="Q708" s="7">
        <f>IF($E708="","",P708*Y708/100)</f>
        <v/>
      </c>
      <c r="R708" s="7" t="n"/>
      <c r="X708" s="7" t="n"/>
      <c r="Y708" s="7" t="n"/>
      <c r="AB708">
        <f>IF($E708="","",IF($AQ708=1,0,IF($AP708=1,Settings!$C$6,Settings!$C$7))*100)</f>
        <v/>
      </c>
      <c r="AC708" s="7">
        <f>IF($E708="","",Y708*AB708/100)</f>
        <v/>
      </c>
      <c r="AD708" s="7">
        <f>IF($E708="","",Y708-AC708)</f>
        <v/>
      </c>
      <c r="AE708" s="7">
        <f>IF($E708="","",AD708-Q708)</f>
        <v/>
      </c>
      <c r="AI708" s="7" t="n"/>
      <c r="AL708" s="11" t="n"/>
      <c r="AN708">
        <f>IF($E708="","",IF(COUNTIF($E$2:$E708,$E708)=1,1,0))</f>
        <v/>
      </c>
      <c r="AO708">
        <f>IF($AN708=1,SUMPRODUCT(--($AR$2:$AR$4001&lt;$AR708))+1,"")</f>
        <v/>
      </c>
      <c r="AP708">
        <f>IF($E708="","",IF(OR($U708=TRUE(),$U708="TRUE"),1,0))</f>
        <v/>
      </c>
      <c r="AQ708">
        <f>IF($E708="","",IF($AA708="Yes",1,0))</f>
        <v/>
      </c>
      <c r="AR708">
        <f>IF($AN708=1,IFERROR(VALUE(MID($E708,2,20)),1000000000)+ROW()/100000,"")</f>
        <v/>
      </c>
    </row>
    <row r="709">
      <c r="G709" s="11" t="n"/>
      <c r="Q709" s="7">
        <f>IF($E709="","",P709*Y709/100)</f>
        <v/>
      </c>
      <c r="R709" s="7" t="n"/>
      <c r="X709" s="7" t="n"/>
      <c r="Y709" s="7" t="n"/>
      <c r="AB709">
        <f>IF($E709="","",IF($AQ709=1,0,IF($AP709=1,Settings!$C$6,Settings!$C$7))*100)</f>
        <v/>
      </c>
      <c r="AC709" s="7">
        <f>IF($E709="","",Y709*AB709/100)</f>
        <v/>
      </c>
      <c r="AD709" s="7">
        <f>IF($E709="","",Y709-AC709)</f>
        <v/>
      </c>
      <c r="AE709" s="7">
        <f>IF($E709="","",AD709-Q709)</f>
        <v/>
      </c>
      <c r="AI709" s="7" t="n"/>
      <c r="AL709" s="11" t="n"/>
      <c r="AN709">
        <f>IF($E709="","",IF(COUNTIF($E$2:$E709,$E709)=1,1,0))</f>
        <v/>
      </c>
      <c r="AO709">
        <f>IF($AN709=1,SUMPRODUCT(--($AR$2:$AR$4001&lt;$AR709))+1,"")</f>
        <v/>
      </c>
      <c r="AP709">
        <f>IF($E709="","",IF(OR($U709=TRUE(),$U709="TRUE"),1,0))</f>
        <v/>
      </c>
      <c r="AQ709">
        <f>IF($E709="","",IF($AA709="Yes",1,0))</f>
        <v/>
      </c>
      <c r="AR709">
        <f>IF($AN709=1,IFERROR(VALUE(MID($E709,2,20)),1000000000)+ROW()/100000,"")</f>
        <v/>
      </c>
    </row>
    <row r="710">
      <c r="G710" s="11" t="n"/>
      <c r="Q710" s="7">
        <f>IF($E710="","",P710*Y710/100)</f>
        <v/>
      </c>
      <c r="R710" s="7" t="n"/>
      <c r="X710" s="7" t="n"/>
      <c r="Y710" s="7" t="n"/>
      <c r="AB710">
        <f>IF($E710="","",IF($AQ710=1,0,IF($AP710=1,Settings!$C$6,Settings!$C$7))*100)</f>
        <v/>
      </c>
      <c r="AC710" s="7">
        <f>IF($E710="","",Y710*AB710/100)</f>
        <v/>
      </c>
      <c r="AD710" s="7">
        <f>IF($E710="","",Y710-AC710)</f>
        <v/>
      </c>
      <c r="AE710" s="7">
        <f>IF($E710="","",AD710-Q710)</f>
        <v/>
      </c>
      <c r="AI710" s="7" t="n"/>
      <c r="AL710" s="11" t="n"/>
      <c r="AN710">
        <f>IF($E710="","",IF(COUNTIF($E$2:$E710,$E710)=1,1,0))</f>
        <v/>
      </c>
      <c r="AO710">
        <f>IF($AN710=1,SUMPRODUCT(--($AR$2:$AR$4001&lt;$AR710))+1,"")</f>
        <v/>
      </c>
      <c r="AP710">
        <f>IF($E710="","",IF(OR($U710=TRUE(),$U710="TRUE"),1,0))</f>
        <v/>
      </c>
      <c r="AQ710">
        <f>IF($E710="","",IF($AA710="Yes",1,0))</f>
        <v/>
      </c>
      <c r="AR710">
        <f>IF($AN710=1,IFERROR(VALUE(MID($E710,2,20)),1000000000)+ROW()/100000,"")</f>
        <v/>
      </c>
    </row>
    <row r="711">
      <c r="G711" s="11" t="n"/>
      <c r="Q711" s="7">
        <f>IF($E711="","",P711*Y711/100)</f>
        <v/>
      </c>
      <c r="R711" s="7" t="n"/>
      <c r="X711" s="7" t="n"/>
      <c r="Y711" s="7" t="n"/>
      <c r="AB711">
        <f>IF($E711="","",IF($AQ711=1,0,IF($AP711=1,Settings!$C$6,Settings!$C$7))*100)</f>
        <v/>
      </c>
      <c r="AC711" s="7">
        <f>IF($E711="","",Y711*AB711/100)</f>
        <v/>
      </c>
      <c r="AD711" s="7">
        <f>IF($E711="","",Y711-AC711)</f>
        <v/>
      </c>
      <c r="AE711" s="7">
        <f>IF($E711="","",AD711-Q711)</f>
        <v/>
      </c>
      <c r="AI711" s="7" t="n"/>
      <c r="AL711" s="11" t="n"/>
      <c r="AN711">
        <f>IF($E711="","",IF(COUNTIF($E$2:$E711,$E711)=1,1,0))</f>
        <v/>
      </c>
      <c r="AO711">
        <f>IF($AN711=1,SUMPRODUCT(--($AR$2:$AR$4001&lt;$AR711))+1,"")</f>
        <v/>
      </c>
      <c r="AP711">
        <f>IF($E711="","",IF(OR($U711=TRUE(),$U711="TRUE"),1,0))</f>
        <v/>
      </c>
      <c r="AQ711">
        <f>IF($E711="","",IF($AA711="Yes",1,0))</f>
        <v/>
      </c>
      <c r="AR711">
        <f>IF($AN711=1,IFERROR(VALUE(MID($E711,2,20)),1000000000)+ROW()/100000,"")</f>
        <v/>
      </c>
    </row>
    <row r="712">
      <c r="G712" s="11" t="n"/>
      <c r="Q712" s="7">
        <f>IF($E712="","",P712*Y712/100)</f>
        <v/>
      </c>
      <c r="R712" s="7" t="n"/>
      <c r="X712" s="7" t="n"/>
      <c r="Y712" s="7" t="n"/>
      <c r="AB712">
        <f>IF($E712="","",IF($AQ712=1,0,IF($AP712=1,Settings!$C$6,Settings!$C$7))*100)</f>
        <v/>
      </c>
      <c r="AC712" s="7">
        <f>IF($E712="","",Y712*AB712/100)</f>
        <v/>
      </c>
      <c r="AD712" s="7">
        <f>IF($E712="","",Y712-AC712)</f>
        <v/>
      </c>
      <c r="AE712" s="7">
        <f>IF($E712="","",AD712-Q712)</f>
        <v/>
      </c>
      <c r="AI712" s="7" t="n"/>
      <c r="AL712" s="11" t="n"/>
      <c r="AN712">
        <f>IF($E712="","",IF(COUNTIF($E$2:$E712,$E712)=1,1,0))</f>
        <v/>
      </c>
      <c r="AO712">
        <f>IF($AN712=1,SUMPRODUCT(--($AR$2:$AR$4001&lt;$AR712))+1,"")</f>
        <v/>
      </c>
      <c r="AP712">
        <f>IF($E712="","",IF(OR($U712=TRUE(),$U712="TRUE"),1,0))</f>
        <v/>
      </c>
      <c r="AQ712">
        <f>IF($E712="","",IF($AA712="Yes",1,0))</f>
        <v/>
      </c>
      <c r="AR712">
        <f>IF($AN712=1,IFERROR(VALUE(MID($E712,2,20)),1000000000)+ROW()/100000,"")</f>
        <v/>
      </c>
    </row>
    <row r="713">
      <c r="G713" s="11" t="n"/>
      <c r="Q713" s="7">
        <f>IF($E713="","",P713*Y713/100)</f>
        <v/>
      </c>
      <c r="R713" s="7" t="n"/>
      <c r="X713" s="7" t="n"/>
      <c r="Y713" s="7" t="n"/>
      <c r="AB713">
        <f>IF($E713="","",IF($AQ713=1,0,IF($AP713=1,Settings!$C$6,Settings!$C$7))*100)</f>
        <v/>
      </c>
      <c r="AC713" s="7">
        <f>IF($E713="","",Y713*AB713/100)</f>
        <v/>
      </c>
      <c r="AD713" s="7">
        <f>IF($E713="","",Y713-AC713)</f>
        <v/>
      </c>
      <c r="AE713" s="7">
        <f>IF($E713="","",AD713-Q713)</f>
        <v/>
      </c>
      <c r="AI713" s="7" t="n"/>
      <c r="AL713" s="11" t="n"/>
      <c r="AN713">
        <f>IF($E713="","",IF(COUNTIF($E$2:$E713,$E713)=1,1,0))</f>
        <v/>
      </c>
      <c r="AO713">
        <f>IF($AN713=1,SUMPRODUCT(--($AR$2:$AR$4001&lt;$AR713))+1,"")</f>
        <v/>
      </c>
      <c r="AP713">
        <f>IF($E713="","",IF(OR($U713=TRUE(),$U713="TRUE"),1,0))</f>
        <v/>
      </c>
      <c r="AQ713">
        <f>IF($E713="","",IF($AA713="Yes",1,0))</f>
        <v/>
      </c>
      <c r="AR713">
        <f>IF($AN713=1,IFERROR(VALUE(MID($E713,2,20)),1000000000)+ROW()/100000,"")</f>
        <v/>
      </c>
    </row>
    <row r="714">
      <c r="G714" s="11" t="n"/>
      <c r="Q714" s="7">
        <f>IF($E714="","",P714*Y714/100)</f>
        <v/>
      </c>
      <c r="R714" s="7" t="n"/>
      <c r="X714" s="7" t="n"/>
      <c r="Y714" s="7" t="n"/>
      <c r="AB714">
        <f>IF($E714="","",IF($AQ714=1,0,IF($AP714=1,Settings!$C$6,Settings!$C$7))*100)</f>
        <v/>
      </c>
      <c r="AC714" s="7">
        <f>IF($E714="","",Y714*AB714/100)</f>
        <v/>
      </c>
      <c r="AD714" s="7">
        <f>IF($E714="","",Y714-AC714)</f>
        <v/>
      </c>
      <c r="AE714" s="7">
        <f>IF($E714="","",AD714-Q714)</f>
        <v/>
      </c>
      <c r="AI714" s="7" t="n"/>
      <c r="AL714" s="11" t="n"/>
      <c r="AN714">
        <f>IF($E714="","",IF(COUNTIF($E$2:$E714,$E714)=1,1,0))</f>
        <v/>
      </c>
      <c r="AO714">
        <f>IF($AN714=1,SUMPRODUCT(--($AR$2:$AR$4001&lt;$AR714))+1,"")</f>
        <v/>
      </c>
      <c r="AP714">
        <f>IF($E714="","",IF(OR($U714=TRUE(),$U714="TRUE"),1,0))</f>
        <v/>
      </c>
      <c r="AQ714">
        <f>IF($E714="","",IF($AA714="Yes",1,0))</f>
        <v/>
      </c>
      <c r="AR714">
        <f>IF($AN714=1,IFERROR(VALUE(MID($E714,2,20)),1000000000)+ROW()/100000,"")</f>
        <v/>
      </c>
    </row>
    <row r="715">
      <c r="G715" s="11" t="n"/>
      <c r="Q715" s="7">
        <f>IF($E715="","",P715*Y715/100)</f>
        <v/>
      </c>
      <c r="R715" s="7" t="n"/>
      <c r="X715" s="7" t="n"/>
      <c r="Y715" s="7" t="n"/>
      <c r="AB715">
        <f>IF($E715="","",IF($AQ715=1,0,IF($AP715=1,Settings!$C$6,Settings!$C$7))*100)</f>
        <v/>
      </c>
      <c r="AC715" s="7">
        <f>IF($E715="","",Y715*AB715/100)</f>
        <v/>
      </c>
      <c r="AD715" s="7">
        <f>IF($E715="","",Y715-AC715)</f>
        <v/>
      </c>
      <c r="AE715" s="7">
        <f>IF($E715="","",AD715-Q715)</f>
        <v/>
      </c>
      <c r="AI715" s="7" t="n"/>
      <c r="AL715" s="11" t="n"/>
      <c r="AN715">
        <f>IF($E715="","",IF(COUNTIF($E$2:$E715,$E715)=1,1,0))</f>
        <v/>
      </c>
      <c r="AO715">
        <f>IF($AN715=1,SUMPRODUCT(--($AR$2:$AR$4001&lt;$AR715))+1,"")</f>
        <v/>
      </c>
      <c r="AP715">
        <f>IF($E715="","",IF(OR($U715=TRUE(),$U715="TRUE"),1,0))</f>
        <v/>
      </c>
      <c r="AQ715">
        <f>IF($E715="","",IF($AA715="Yes",1,0))</f>
        <v/>
      </c>
      <c r="AR715">
        <f>IF($AN715=1,IFERROR(VALUE(MID($E715,2,20)),1000000000)+ROW()/100000,"")</f>
        <v/>
      </c>
    </row>
    <row r="716">
      <c r="G716" s="11" t="n"/>
      <c r="Q716" s="7">
        <f>IF($E716="","",P716*Y716/100)</f>
        <v/>
      </c>
      <c r="R716" s="7" t="n"/>
      <c r="X716" s="7" t="n"/>
      <c r="Y716" s="7" t="n"/>
      <c r="AB716">
        <f>IF($E716="","",IF($AQ716=1,0,IF($AP716=1,Settings!$C$6,Settings!$C$7))*100)</f>
        <v/>
      </c>
      <c r="AC716" s="7">
        <f>IF($E716="","",Y716*AB716/100)</f>
        <v/>
      </c>
      <c r="AD716" s="7">
        <f>IF($E716="","",Y716-AC716)</f>
        <v/>
      </c>
      <c r="AE716" s="7">
        <f>IF($E716="","",AD716-Q716)</f>
        <v/>
      </c>
      <c r="AI716" s="7" t="n"/>
      <c r="AL716" s="11" t="n"/>
      <c r="AN716">
        <f>IF($E716="","",IF(COUNTIF($E$2:$E716,$E716)=1,1,0))</f>
        <v/>
      </c>
      <c r="AO716">
        <f>IF($AN716=1,SUMPRODUCT(--($AR$2:$AR$4001&lt;$AR716))+1,"")</f>
        <v/>
      </c>
      <c r="AP716">
        <f>IF($E716="","",IF(OR($U716=TRUE(),$U716="TRUE"),1,0))</f>
        <v/>
      </c>
      <c r="AQ716">
        <f>IF($E716="","",IF($AA716="Yes",1,0))</f>
        <v/>
      </c>
      <c r="AR716">
        <f>IF($AN716=1,IFERROR(VALUE(MID($E716,2,20)),1000000000)+ROW()/100000,"")</f>
        <v/>
      </c>
    </row>
    <row r="717">
      <c r="G717" s="11" t="n"/>
      <c r="Q717" s="7">
        <f>IF($E717="","",P717*Y717/100)</f>
        <v/>
      </c>
      <c r="R717" s="7" t="n"/>
      <c r="X717" s="7" t="n"/>
      <c r="Y717" s="7" t="n"/>
      <c r="AB717">
        <f>IF($E717="","",IF($AQ717=1,0,IF($AP717=1,Settings!$C$6,Settings!$C$7))*100)</f>
        <v/>
      </c>
      <c r="AC717" s="7">
        <f>IF($E717="","",Y717*AB717/100)</f>
        <v/>
      </c>
      <c r="AD717" s="7">
        <f>IF($E717="","",Y717-AC717)</f>
        <v/>
      </c>
      <c r="AE717" s="7">
        <f>IF($E717="","",AD717-Q717)</f>
        <v/>
      </c>
      <c r="AI717" s="7" t="n"/>
      <c r="AL717" s="11" t="n"/>
      <c r="AN717">
        <f>IF($E717="","",IF(COUNTIF($E$2:$E717,$E717)=1,1,0))</f>
        <v/>
      </c>
      <c r="AO717">
        <f>IF($AN717=1,SUMPRODUCT(--($AR$2:$AR$4001&lt;$AR717))+1,"")</f>
        <v/>
      </c>
      <c r="AP717">
        <f>IF($E717="","",IF(OR($U717=TRUE(),$U717="TRUE"),1,0))</f>
        <v/>
      </c>
      <c r="AQ717">
        <f>IF($E717="","",IF($AA717="Yes",1,0))</f>
        <v/>
      </c>
      <c r="AR717">
        <f>IF($AN717=1,IFERROR(VALUE(MID($E717,2,20)),1000000000)+ROW()/100000,"")</f>
        <v/>
      </c>
    </row>
    <row r="718">
      <c r="G718" s="11" t="n"/>
      <c r="Q718" s="7">
        <f>IF($E718="","",P718*Y718/100)</f>
        <v/>
      </c>
      <c r="R718" s="7" t="n"/>
      <c r="X718" s="7" t="n"/>
      <c r="Y718" s="7" t="n"/>
      <c r="AB718">
        <f>IF($E718="","",IF($AQ718=1,0,IF($AP718=1,Settings!$C$6,Settings!$C$7))*100)</f>
        <v/>
      </c>
      <c r="AC718" s="7">
        <f>IF($E718="","",Y718*AB718/100)</f>
        <v/>
      </c>
      <c r="AD718" s="7">
        <f>IF($E718="","",Y718-AC718)</f>
        <v/>
      </c>
      <c r="AE718" s="7">
        <f>IF($E718="","",AD718-Q718)</f>
        <v/>
      </c>
      <c r="AI718" s="7" t="n"/>
      <c r="AL718" s="11" t="n"/>
      <c r="AN718">
        <f>IF($E718="","",IF(COUNTIF($E$2:$E718,$E718)=1,1,0))</f>
        <v/>
      </c>
      <c r="AO718">
        <f>IF($AN718=1,SUMPRODUCT(--($AR$2:$AR$4001&lt;$AR718))+1,"")</f>
        <v/>
      </c>
      <c r="AP718">
        <f>IF($E718="","",IF(OR($U718=TRUE(),$U718="TRUE"),1,0))</f>
        <v/>
      </c>
      <c r="AQ718">
        <f>IF($E718="","",IF($AA718="Yes",1,0))</f>
        <v/>
      </c>
      <c r="AR718">
        <f>IF($AN718=1,IFERROR(VALUE(MID($E718,2,20)),1000000000)+ROW()/100000,"")</f>
        <v/>
      </c>
    </row>
    <row r="719">
      <c r="G719" s="11" t="n"/>
      <c r="Q719" s="7">
        <f>IF($E719="","",P719*Y719/100)</f>
        <v/>
      </c>
      <c r="R719" s="7" t="n"/>
      <c r="X719" s="7" t="n"/>
      <c r="Y719" s="7" t="n"/>
      <c r="AB719">
        <f>IF($E719="","",IF($AQ719=1,0,IF($AP719=1,Settings!$C$6,Settings!$C$7))*100)</f>
        <v/>
      </c>
      <c r="AC719" s="7">
        <f>IF($E719="","",Y719*AB719/100)</f>
        <v/>
      </c>
      <c r="AD719" s="7">
        <f>IF($E719="","",Y719-AC719)</f>
        <v/>
      </c>
      <c r="AE719" s="7">
        <f>IF($E719="","",AD719-Q719)</f>
        <v/>
      </c>
      <c r="AI719" s="7" t="n"/>
      <c r="AL719" s="11" t="n"/>
      <c r="AN719">
        <f>IF($E719="","",IF(COUNTIF($E$2:$E719,$E719)=1,1,0))</f>
        <v/>
      </c>
      <c r="AO719">
        <f>IF($AN719=1,SUMPRODUCT(--($AR$2:$AR$4001&lt;$AR719))+1,"")</f>
        <v/>
      </c>
      <c r="AP719">
        <f>IF($E719="","",IF(OR($U719=TRUE(),$U719="TRUE"),1,0))</f>
        <v/>
      </c>
      <c r="AQ719">
        <f>IF($E719="","",IF($AA719="Yes",1,0))</f>
        <v/>
      </c>
      <c r="AR719">
        <f>IF($AN719=1,IFERROR(VALUE(MID($E719,2,20)),1000000000)+ROW()/100000,"")</f>
        <v/>
      </c>
    </row>
    <row r="720">
      <c r="G720" s="11" t="n"/>
      <c r="Q720" s="7">
        <f>IF($E720="","",P720*Y720/100)</f>
        <v/>
      </c>
      <c r="R720" s="7" t="n"/>
      <c r="X720" s="7" t="n"/>
      <c r="Y720" s="7" t="n"/>
      <c r="AB720">
        <f>IF($E720="","",IF($AQ720=1,0,IF($AP720=1,Settings!$C$6,Settings!$C$7))*100)</f>
        <v/>
      </c>
      <c r="AC720" s="7">
        <f>IF($E720="","",Y720*AB720/100)</f>
        <v/>
      </c>
      <c r="AD720" s="7">
        <f>IF($E720="","",Y720-AC720)</f>
        <v/>
      </c>
      <c r="AE720" s="7">
        <f>IF($E720="","",AD720-Q720)</f>
        <v/>
      </c>
      <c r="AI720" s="7" t="n"/>
      <c r="AL720" s="11" t="n"/>
      <c r="AN720">
        <f>IF($E720="","",IF(COUNTIF($E$2:$E720,$E720)=1,1,0))</f>
        <v/>
      </c>
      <c r="AO720">
        <f>IF($AN720=1,SUMPRODUCT(--($AR$2:$AR$4001&lt;$AR720))+1,"")</f>
        <v/>
      </c>
      <c r="AP720">
        <f>IF($E720="","",IF(OR($U720=TRUE(),$U720="TRUE"),1,0))</f>
        <v/>
      </c>
      <c r="AQ720">
        <f>IF($E720="","",IF($AA720="Yes",1,0))</f>
        <v/>
      </c>
      <c r="AR720">
        <f>IF($AN720=1,IFERROR(VALUE(MID($E720,2,20)),1000000000)+ROW()/100000,"")</f>
        <v/>
      </c>
    </row>
    <row r="721">
      <c r="G721" s="11" t="n"/>
      <c r="Q721" s="7">
        <f>IF($E721="","",P721*Y721/100)</f>
        <v/>
      </c>
      <c r="R721" s="7" t="n"/>
      <c r="X721" s="7" t="n"/>
      <c r="Y721" s="7" t="n"/>
      <c r="AB721">
        <f>IF($E721="","",IF($AQ721=1,0,IF($AP721=1,Settings!$C$6,Settings!$C$7))*100)</f>
        <v/>
      </c>
      <c r="AC721" s="7">
        <f>IF($E721="","",Y721*AB721/100)</f>
        <v/>
      </c>
      <c r="AD721" s="7">
        <f>IF($E721="","",Y721-AC721)</f>
        <v/>
      </c>
      <c r="AE721" s="7">
        <f>IF($E721="","",AD721-Q721)</f>
        <v/>
      </c>
      <c r="AI721" s="7" t="n"/>
      <c r="AL721" s="11" t="n"/>
      <c r="AN721">
        <f>IF($E721="","",IF(COUNTIF($E$2:$E721,$E721)=1,1,0))</f>
        <v/>
      </c>
      <c r="AO721">
        <f>IF($AN721=1,SUMPRODUCT(--($AR$2:$AR$4001&lt;$AR721))+1,"")</f>
        <v/>
      </c>
      <c r="AP721">
        <f>IF($E721="","",IF(OR($U721=TRUE(),$U721="TRUE"),1,0))</f>
        <v/>
      </c>
      <c r="AQ721">
        <f>IF($E721="","",IF($AA721="Yes",1,0))</f>
        <v/>
      </c>
      <c r="AR721">
        <f>IF($AN721=1,IFERROR(VALUE(MID($E721,2,20)),1000000000)+ROW()/100000,"")</f>
        <v/>
      </c>
    </row>
    <row r="722">
      <c r="G722" s="11" t="n"/>
      <c r="Q722" s="7">
        <f>IF($E722="","",P722*Y722/100)</f>
        <v/>
      </c>
      <c r="R722" s="7" t="n"/>
      <c r="X722" s="7" t="n"/>
      <c r="Y722" s="7" t="n"/>
      <c r="AB722">
        <f>IF($E722="","",IF($AQ722=1,0,IF($AP722=1,Settings!$C$6,Settings!$C$7))*100)</f>
        <v/>
      </c>
      <c r="AC722" s="7">
        <f>IF($E722="","",Y722*AB722/100)</f>
        <v/>
      </c>
      <c r="AD722" s="7">
        <f>IF($E722="","",Y722-AC722)</f>
        <v/>
      </c>
      <c r="AE722" s="7">
        <f>IF($E722="","",AD722-Q722)</f>
        <v/>
      </c>
      <c r="AI722" s="7" t="n"/>
      <c r="AL722" s="11" t="n"/>
      <c r="AN722">
        <f>IF($E722="","",IF(COUNTIF($E$2:$E722,$E722)=1,1,0))</f>
        <v/>
      </c>
      <c r="AO722">
        <f>IF($AN722=1,SUMPRODUCT(--($AR$2:$AR$4001&lt;$AR722))+1,"")</f>
        <v/>
      </c>
      <c r="AP722">
        <f>IF($E722="","",IF(OR($U722=TRUE(),$U722="TRUE"),1,0))</f>
        <v/>
      </c>
      <c r="AQ722">
        <f>IF($E722="","",IF($AA722="Yes",1,0))</f>
        <v/>
      </c>
      <c r="AR722">
        <f>IF($AN722=1,IFERROR(VALUE(MID($E722,2,20)),1000000000)+ROW()/100000,"")</f>
        <v/>
      </c>
    </row>
    <row r="723">
      <c r="G723" s="11" t="n"/>
      <c r="Q723" s="7">
        <f>IF($E723="","",P723*Y723/100)</f>
        <v/>
      </c>
      <c r="R723" s="7" t="n"/>
      <c r="X723" s="7" t="n"/>
      <c r="Y723" s="7" t="n"/>
      <c r="AB723">
        <f>IF($E723="","",IF($AQ723=1,0,IF($AP723=1,Settings!$C$6,Settings!$C$7))*100)</f>
        <v/>
      </c>
      <c r="AC723" s="7">
        <f>IF($E723="","",Y723*AB723/100)</f>
        <v/>
      </c>
      <c r="AD723" s="7">
        <f>IF($E723="","",Y723-AC723)</f>
        <v/>
      </c>
      <c r="AE723" s="7">
        <f>IF($E723="","",AD723-Q723)</f>
        <v/>
      </c>
      <c r="AI723" s="7" t="n"/>
      <c r="AL723" s="11" t="n"/>
      <c r="AN723">
        <f>IF($E723="","",IF(COUNTIF($E$2:$E723,$E723)=1,1,0))</f>
        <v/>
      </c>
      <c r="AO723">
        <f>IF($AN723=1,SUMPRODUCT(--($AR$2:$AR$4001&lt;$AR723))+1,"")</f>
        <v/>
      </c>
      <c r="AP723">
        <f>IF($E723="","",IF(OR($U723=TRUE(),$U723="TRUE"),1,0))</f>
        <v/>
      </c>
      <c r="AQ723">
        <f>IF($E723="","",IF($AA723="Yes",1,0))</f>
        <v/>
      </c>
      <c r="AR723">
        <f>IF($AN723=1,IFERROR(VALUE(MID($E723,2,20)),1000000000)+ROW()/100000,"")</f>
        <v/>
      </c>
    </row>
    <row r="724">
      <c r="G724" s="11" t="n"/>
      <c r="Q724" s="7">
        <f>IF($E724="","",P724*Y724/100)</f>
        <v/>
      </c>
      <c r="R724" s="7" t="n"/>
      <c r="X724" s="7" t="n"/>
      <c r="Y724" s="7" t="n"/>
      <c r="AB724">
        <f>IF($E724="","",IF($AQ724=1,0,IF($AP724=1,Settings!$C$6,Settings!$C$7))*100)</f>
        <v/>
      </c>
      <c r="AC724" s="7">
        <f>IF($E724="","",Y724*AB724/100)</f>
        <v/>
      </c>
      <c r="AD724" s="7">
        <f>IF($E724="","",Y724-AC724)</f>
        <v/>
      </c>
      <c r="AE724" s="7">
        <f>IF($E724="","",AD724-Q724)</f>
        <v/>
      </c>
      <c r="AI724" s="7" t="n"/>
      <c r="AL724" s="11" t="n"/>
      <c r="AN724">
        <f>IF($E724="","",IF(COUNTIF($E$2:$E724,$E724)=1,1,0))</f>
        <v/>
      </c>
      <c r="AO724">
        <f>IF($AN724=1,SUMPRODUCT(--($AR$2:$AR$4001&lt;$AR724))+1,"")</f>
        <v/>
      </c>
      <c r="AP724">
        <f>IF($E724="","",IF(OR($U724=TRUE(),$U724="TRUE"),1,0))</f>
        <v/>
      </c>
      <c r="AQ724">
        <f>IF($E724="","",IF($AA724="Yes",1,0))</f>
        <v/>
      </c>
      <c r="AR724">
        <f>IF($AN724=1,IFERROR(VALUE(MID($E724,2,20)),1000000000)+ROW()/100000,"")</f>
        <v/>
      </c>
    </row>
    <row r="725">
      <c r="G725" s="11" t="n"/>
      <c r="Q725" s="7">
        <f>IF($E725="","",P725*Y725/100)</f>
        <v/>
      </c>
      <c r="R725" s="7" t="n"/>
      <c r="X725" s="7" t="n"/>
      <c r="Y725" s="7" t="n"/>
      <c r="AB725">
        <f>IF($E725="","",IF($AQ725=1,0,IF($AP725=1,Settings!$C$6,Settings!$C$7))*100)</f>
        <v/>
      </c>
      <c r="AC725" s="7">
        <f>IF($E725="","",Y725*AB725/100)</f>
        <v/>
      </c>
      <c r="AD725" s="7">
        <f>IF($E725="","",Y725-AC725)</f>
        <v/>
      </c>
      <c r="AE725" s="7">
        <f>IF($E725="","",AD725-Q725)</f>
        <v/>
      </c>
      <c r="AI725" s="7" t="n"/>
      <c r="AL725" s="11" t="n"/>
      <c r="AN725">
        <f>IF($E725="","",IF(COUNTIF($E$2:$E725,$E725)=1,1,0))</f>
        <v/>
      </c>
      <c r="AO725">
        <f>IF($AN725=1,SUMPRODUCT(--($AR$2:$AR$4001&lt;$AR725))+1,"")</f>
        <v/>
      </c>
      <c r="AP725">
        <f>IF($E725="","",IF(OR($U725=TRUE(),$U725="TRUE"),1,0))</f>
        <v/>
      </c>
      <c r="AQ725">
        <f>IF($E725="","",IF($AA725="Yes",1,0))</f>
        <v/>
      </c>
      <c r="AR725">
        <f>IF($AN725=1,IFERROR(VALUE(MID($E725,2,20)),1000000000)+ROW()/100000,"")</f>
        <v/>
      </c>
    </row>
    <row r="726">
      <c r="G726" s="11" t="n"/>
      <c r="Q726" s="7">
        <f>IF($E726="","",P726*Y726/100)</f>
        <v/>
      </c>
      <c r="R726" s="7" t="n"/>
      <c r="X726" s="7" t="n"/>
      <c r="Y726" s="7" t="n"/>
      <c r="AB726">
        <f>IF($E726="","",IF($AQ726=1,0,IF($AP726=1,Settings!$C$6,Settings!$C$7))*100)</f>
        <v/>
      </c>
      <c r="AC726" s="7">
        <f>IF($E726="","",Y726*AB726/100)</f>
        <v/>
      </c>
      <c r="AD726" s="7">
        <f>IF($E726="","",Y726-AC726)</f>
        <v/>
      </c>
      <c r="AE726" s="7">
        <f>IF($E726="","",AD726-Q726)</f>
        <v/>
      </c>
      <c r="AI726" s="7" t="n"/>
      <c r="AL726" s="11" t="n"/>
      <c r="AN726">
        <f>IF($E726="","",IF(COUNTIF($E$2:$E726,$E726)=1,1,0))</f>
        <v/>
      </c>
      <c r="AO726">
        <f>IF($AN726=1,SUMPRODUCT(--($AR$2:$AR$4001&lt;$AR726))+1,"")</f>
        <v/>
      </c>
      <c r="AP726">
        <f>IF($E726="","",IF(OR($U726=TRUE(),$U726="TRUE"),1,0))</f>
        <v/>
      </c>
      <c r="AQ726">
        <f>IF($E726="","",IF($AA726="Yes",1,0))</f>
        <v/>
      </c>
      <c r="AR726">
        <f>IF($AN726=1,IFERROR(VALUE(MID($E726,2,20)),1000000000)+ROW()/100000,"")</f>
        <v/>
      </c>
    </row>
    <row r="727">
      <c r="G727" s="11" t="n"/>
      <c r="Q727" s="7">
        <f>IF($E727="","",P727*Y727/100)</f>
        <v/>
      </c>
      <c r="R727" s="7" t="n"/>
      <c r="X727" s="7" t="n"/>
      <c r="Y727" s="7" t="n"/>
      <c r="AB727">
        <f>IF($E727="","",IF($AQ727=1,0,IF($AP727=1,Settings!$C$6,Settings!$C$7))*100)</f>
        <v/>
      </c>
      <c r="AC727" s="7">
        <f>IF($E727="","",Y727*AB727/100)</f>
        <v/>
      </c>
      <c r="AD727" s="7">
        <f>IF($E727="","",Y727-AC727)</f>
        <v/>
      </c>
      <c r="AE727" s="7">
        <f>IF($E727="","",AD727-Q727)</f>
        <v/>
      </c>
      <c r="AI727" s="7" t="n"/>
      <c r="AL727" s="11" t="n"/>
      <c r="AN727">
        <f>IF($E727="","",IF(COUNTIF($E$2:$E727,$E727)=1,1,0))</f>
        <v/>
      </c>
      <c r="AO727">
        <f>IF($AN727=1,SUMPRODUCT(--($AR$2:$AR$4001&lt;$AR727))+1,"")</f>
        <v/>
      </c>
      <c r="AP727">
        <f>IF($E727="","",IF(OR($U727=TRUE(),$U727="TRUE"),1,0))</f>
        <v/>
      </c>
      <c r="AQ727">
        <f>IF($E727="","",IF($AA727="Yes",1,0))</f>
        <v/>
      </c>
      <c r="AR727">
        <f>IF($AN727=1,IFERROR(VALUE(MID($E727,2,20)),1000000000)+ROW()/100000,"")</f>
        <v/>
      </c>
    </row>
    <row r="728">
      <c r="G728" s="11" t="n"/>
      <c r="Q728" s="7">
        <f>IF($E728="","",P728*Y728/100)</f>
        <v/>
      </c>
      <c r="R728" s="7" t="n"/>
      <c r="X728" s="7" t="n"/>
      <c r="Y728" s="7" t="n"/>
      <c r="AB728">
        <f>IF($E728="","",IF($AQ728=1,0,IF($AP728=1,Settings!$C$6,Settings!$C$7))*100)</f>
        <v/>
      </c>
      <c r="AC728" s="7">
        <f>IF($E728="","",Y728*AB728/100)</f>
        <v/>
      </c>
      <c r="AD728" s="7">
        <f>IF($E728="","",Y728-AC728)</f>
        <v/>
      </c>
      <c r="AE728" s="7">
        <f>IF($E728="","",AD728-Q728)</f>
        <v/>
      </c>
      <c r="AI728" s="7" t="n"/>
      <c r="AL728" s="11" t="n"/>
      <c r="AN728">
        <f>IF($E728="","",IF(COUNTIF($E$2:$E728,$E728)=1,1,0))</f>
        <v/>
      </c>
      <c r="AO728">
        <f>IF($AN728=1,SUMPRODUCT(--($AR$2:$AR$4001&lt;$AR728))+1,"")</f>
        <v/>
      </c>
      <c r="AP728">
        <f>IF($E728="","",IF(OR($U728=TRUE(),$U728="TRUE"),1,0))</f>
        <v/>
      </c>
      <c r="AQ728">
        <f>IF($E728="","",IF($AA728="Yes",1,0))</f>
        <v/>
      </c>
      <c r="AR728">
        <f>IF($AN728=1,IFERROR(VALUE(MID($E728,2,20)),1000000000)+ROW()/100000,"")</f>
        <v/>
      </c>
    </row>
    <row r="729">
      <c r="G729" s="11" t="n"/>
      <c r="Q729" s="7">
        <f>IF($E729="","",P729*Y729/100)</f>
        <v/>
      </c>
      <c r="R729" s="7" t="n"/>
      <c r="X729" s="7" t="n"/>
      <c r="Y729" s="7" t="n"/>
      <c r="AB729">
        <f>IF($E729="","",IF($AQ729=1,0,IF($AP729=1,Settings!$C$6,Settings!$C$7))*100)</f>
        <v/>
      </c>
      <c r="AC729" s="7">
        <f>IF($E729="","",Y729*AB729/100)</f>
        <v/>
      </c>
      <c r="AD729" s="7">
        <f>IF($E729="","",Y729-AC729)</f>
        <v/>
      </c>
      <c r="AE729" s="7">
        <f>IF($E729="","",AD729-Q729)</f>
        <v/>
      </c>
      <c r="AI729" s="7" t="n"/>
      <c r="AL729" s="11" t="n"/>
      <c r="AN729">
        <f>IF($E729="","",IF(COUNTIF($E$2:$E729,$E729)=1,1,0))</f>
        <v/>
      </c>
      <c r="AO729">
        <f>IF($AN729=1,SUMPRODUCT(--($AR$2:$AR$4001&lt;$AR729))+1,"")</f>
        <v/>
      </c>
      <c r="AP729">
        <f>IF($E729="","",IF(OR($U729=TRUE(),$U729="TRUE"),1,0))</f>
        <v/>
      </c>
      <c r="AQ729">
        <f>IF($E729="","",IF($AA729="Yes",1,0))</f>
        <v/>
      </c>
      <c r="AR729">
        <f>IF($AN729=1,IFERROR(VALUE(MID($E729,2,20)),1000000000)+ROW()/100000,"")</f>
        <v/>
      </c>
    </row>
    <row r="730">
      <c r="G730" s="11" t="n"/>
      <c r="Q730" s="7">
        <f>IF($E730="","",P730*Y730/100)</f>
        <v/>
      </c>
      <c r="R730" s="7" t="n"/>
      <c r="X730" s="7" t="n"/>
      <c r="Y730" s="7" t="n"/>
      <c r="AB730">
        <f>IF($E730="","",IF($AQ730=1,0,IF($AP730=1,Settings!$C$6,Settings!$C$7))*100)</f>
        <v/>
      </c>
      <c r="AC730" s="7">
        <f>IF($E730="","",Y730*AB730/100)</f>
        <v/>
      </c>
      <c r="AD730" s="7">
        <f>IF($E730="","",Y730-AC730)</f>
        <v/>
      </c>
      <c r="AE730" s="7">
        <f>IF($E730="","",AD730-Q730)</f>
        <v/>
      </c>
      <c r="AI730" s="7" t="n"/>
      <c r="AL730" s="11" t="n"/>
      <c r="AN730">
        <f>IF($E730="","",IF(COUNTIF($E$2:$E730,$E730)=1,1,0))</f>
        <v/>
      </c>
      <c r="AO730">
        <f>IF($AN730=1,SUMPRODUCT(--($AR$2:$AR$4001&lt;$AR730))+1,"")</f>
        <v/>
      </c>
      <c r="AP730">
        <f>IF($E730="","",IF(OR($U730=TRUE(),$U730="TRUE"),1,0))</f>
        <v/>
      </c>
      <c r="AQ730">
        <f>IF($E730="","",IF($AA730="Yes",1,0))</f>
        <v/>
      </c>
      <c r="AR730">
        <f>IF($AN730=1,IFERROR(VALUE(MID($E730,2,20)),1000000000)+ROW()/100000,"")</f>
        <v/>
      </c>
    </row>
    <row r="731">
      <c r="G731" s="11" t="n"/>
      <c r="Q731" s="7">
        <f>IF($E731="","",P731*Y731/100)</f>
        <v/>
      </c>
      <c r="R731" s="7" t="n"/>
      <c r="X731" s="7" t="n"/>
      <c r="Y731" s="7" t="n"/>
      <c r="AB731">
        <f>IF($E731="","",IF($AQ731=1,0,IF($AP731=1,Settings!$C$6,Settings!$C$7))*100)</f>
        <v/>
      </c>
      <c r="AC731" s="7">
        <f>IF($E731="","",Y731*AB731/100)</f>
        <v/>
      </c>
      <c r="AD731" s="7">
        <f>IF($E731="","",Y731-AC731)</f>
        <v/>
      </c>
      <c r="AE731" s="7">
        <f>IF($E731="","",AD731-Q731)</f>
        <v/>
      </c>
      <c r="AI731" s="7" t="n"/>
      <c r="AL731" s="11" t="n"/>
      <c r="AN731">
        <f>IF($E731="","",IF(COUNTIF($E$2:$E731,$E731)=1,1,0))</f>
        <v/>
      </c>
      <c r="AO731">
        <f>IF($AN731=1,SUMPRODUCT(--($AR$2:$AR$4001&lt;$AR731))+1,"")</f>
        <v/>
      </c>
      <c r="AP731">
        <f>IF($E731="","",IF(OR($U731=TRUE(),$U731="TRUE"),1,0))</f>
        <v/>
      </c>
      <c r="AQ731">
        <f>IF($E731="","",IF($AA731="Yes",1,0))</f>
        <v/>
      </c>
      <c r="AR731">
        <f>IF($AN731=1,IFERROR(VALUE(MID($E731,2,20)),1000000000)+ROW()/100000,"")</f>
        <v/>
      </c>
    </row>
    <row r="732">
      <c r="G732" s="11" t="n"/>
      <c r="Q732" s="7">
        <f>IF($E732="","",P732*Y732/100)</f>
        <v/>
      </c>
      <c r="R732" s="7" t="n"/>
      <c r="X732" s="7" t="n"/>
      <c r="Y732" s="7" t="n"/>
      <c r="AB732">
        <f>IF($E732="","",IF($AQ732=1,0,IF($AP732=1,Settings!$C$6,Settings!$C$7))*100)</f>
        <v/>
      </c>
      <c r="AC732" s="7">
        <f>IF($E732="","",Y732*AB732/100)</f>
        <v/>
      </c>
      <c r="AD732" s="7">
        <f>IF($E732="","",Y732-AC732)</f>
        <v/>
      </c>
      <c r="AE732" s="7">
        <f>IF($E732="","",AD732-Q732)</f>
        <v/>
      </c>
      <c r="AI732" s="7" t="n"/>
      <c r="AL732" s="11" t="n"/>
      <c r="AN732">
        <f>IF($E732="","",IF(COUNTIF($E$2:$E732,$E732)=1,1,0))</f>
        <v/>
      </c>
      <c r="AO732">
        <f>IF($AN732=1,SUMPRODUCT(--($AR$2:$AR$4001&lt;$AR732))+1,"")</f>
        <v/>
      </c>
      <c r="AP732">
        <f>IF($E732="","",IF(OR($U732=TRUE(),$U732="TRUE"),1,0))</f>
        <v/>
      </c>
      <c r="AQ732">
        <f>IF($E732="","",IF($AA732="Yes",1,0))</f>
        <v/>
      </c>
      <c r="AR732">
        <f>IF($AN732=1,IFERROR(VALUE(MID($E732,2,20)),1000000000)+ROW()/100000,"")</f>
        <v/>
      </c>
    </row>
    <row r="733">
      <c r="G733" s="11" t="n"/>
      <c r="Q733" s="7">
        <f>IF($E733="","",P733*Y733/100)</f>
        <v/>
      </c>
      <c r="R733" s="7" t="n"/>
      <c r="X733" s="7" t="n"/>
      <c r="Y733" s="7" t="n"/>
      <c r="AB733">
        <f>IF($E733="","",IF($AQ733=1,0,IF($AP733=1,Settings!$C$6,Settings!$C$7))*100)</f>
        <v/>
      </c>
      <c r="AC733" s="7">
        <f>IF($E733="","",Y733*AB733/100)</f>
        <v/>
      </c>
      <c r="AD733" s="7">
        <f>IF($E733="","",Y733-AC733)</f>
        <v/>
      </c>
      <c r="AE733" s="7">
        <f>IF($E733="","",AD733-Q733)</f>
        <v/>
      </c>
      <c r="AI733" s="7" t="n"/>
      <c r="AL733" s="11" t="n"/>
      <c r="AN733">
        <f>IF($E733="","",IF(COUNTIF($E$2:$E733,$E733)=1,1,0))</f>
        <v/>
      </c>
      <c r="AO733">
        <f>IF($AN733=1,SUMPRODUCT(--($AR$2:$AR$4001&lt;$AR733))+1,"")</f>
        <v/>
      </c>
      <c r="AP733">
        <f>IF($E733="","",IF(OR($U733=TRUE(),$U733="TRUE"),1,0))</f>
        <v/>
      </c>
      <c r="AQ733">
        <f>IF($E733="","",IF($AA733="Yes",1,0))</f>
        <v/>
      </c>
      <c r="AR733">
        <f>IF($AN733=1,IFERROR(VALUE(MID($E733,2,20)),1000000000)+ROW()/100000,"")</f>
        <v/>
      </c>
    </row>
    <row r="734">
      <c r="G734" s="11" t="n"/>
      <c r="Q734" s="7">
        <f>IF($E734="","",P734*Y734/100)</f>
        <v/>
      </c>
      <c r="R734" s="7" t="n"/>
      <c r="X734" s="7" t="n"/>
      <c r="Y734" s="7" t="n"/>
      <c r="AB734">
        <f>IF($E734="","",IF($AQ734=1,0,IF($AP734=1,Settings!$C$6,Settings!$C$7))*100)</f>
        <v/>
      </c>
      <c r="AC734" s="7">
        <f>IF($E734="","",Y734*AB734/100)</f>
        <v/>
      </c>
      <c r="AD734" s="7">
        <f>IF($E734="","",Y734-AC734)</f>
        <v/>
      </c>
      <c r="AE734" s="7">
        <f>IF($E734="","",AD734-Q734)</f>
        <v/>
      </c>
      <c r="AI734" s="7" t="n"/>
      <c r="AL734" s="11" t="n"/>
      <c r="AN734">
        <f>IF($E734="","",IF(COUNTIF($E$2:$E734,$E734)=1,1,0))</f>
        <v/>
      </c>
      <c r="AO734">
        <f>IF($AN734=1,SUMPRODUCT(--($AR$2:$AR$4001&lt;$AR734))+1,"")</f>
        <v/>
      </c>
      <c r="AP734">
        <f>IF($E734="","",IF(OR($U734=TRUE(),$U734="TRUE"),1,0))</f>
        <v/>
      </c>
      <c r="AQ734">
        <f>IF($E734="","",IF($AA734="Yes",1,0))</f>
        <v/>
      </c>
      <c r="AR734">
        <f>IF($AN734=1,IFERROR(VALUE(MID($E734,2,20)),1000000000)+ROW()/100000,"")</f>
        <v/>
      </c>
    </row>
    <row r="735">
      <c r="G735" s="11" t="n"/>
      <c r="Q735" s="7">
        <f>IF($E735="","",P735*Y735/100)</f>
        <v/>
      </c>
      <c r="R735" s="7" t="n"/>
      <c r="X735" s="7" t="n"/>
      <c r="Y735" s="7" t="n"/>
      <c r="AB735">
        <f>IF($E735="","",IF($AQ735=1,0,IF($AP735=1,Settings!$C$6,Settings!$C$7))*100)</f>
        <v/>
      </c>
      <c r="AC735" s="7">
        <f>IF($E735="","",Y735*AB735/100)</f>
        <v/>
      </c>
      <c r="AD735" s="7">
        <f>IF($E735="","",Y735-AC735)</f>
        <v/>
      </c>
      <c r="AE735" s="7">
        <f>IF($E735="","",AD735-Q735)</f>
        <v/>
      </c>
      <c r="AI735" s="7" t="n"/>
      <c r="AL735" s="11" t="n"/>
      <c r="AN735">
        <f>IF($E735="","",IF(COUNTIF($E$2:$E735,$E735)=1,1,0))</f>
        <v/>
      </c>
      <c r="AO735">
        <f>IF($AN735=1,SUMPRODUCT(--($AR$2:$AR$4001&lt;$AR735))+1,"")</f>
        <v/>
      </c>
      <c r="AP735">
        <f>IF($E735="","",IF(OR($U735=TRUE(),$U735="TRUE"),1,0))</f>
        <v/>
      </c>
      <c r="AQ735">
        <f>IF($E735="","",IF($AA735="Yes",1,0))</f>
        <v/>
      </c>
      <c r="AR735">
        <f>IF($AN735=1,IFERROR(VALUE(MID($E735,2,20)),1000000000)+ROW()/100000,"")</f>
        <v/>
      </c>
    </row>
    <row r="736">
      <c r="G736" s="11" t="n"/>
      <c r="Q736" s="7">
        <f>IF($E736="","",P736*Y736/100)</f>
        <v/>
      </c>
      <c r="R736" s="7" t="n"/>
      <c r="X736" s="7" t="n"/>
      <c r="Y736" s="7" t="n"/>
      <c r="AB736">
        <f>IF($E736="","",IF($AQ736=1,0,IF($AP736=1,Settings!$C$6,Settings!$C$7))*100)</f>
        <v/>
      </c>
      <c r="AC736" s="7">
        <f>IF($E736="","",Y736*AB736/100)</f>
        <v/>
      </c>
      <c r="AD736" s="7">
        <f>IF($E736="","",Y736-AC736)</f>
        <v/>
      </c>
      <c r="AE736" s="7">
        <f>IF($E736="","",AD736-Q736)</f>
        <v/>
      </c>
      <c r="AI736" s="7" t="n"/>
      <c r="AL736" s="11" t="n"/>
      <c r="AN736">
        <f>IF($E736="","",IF(COUNTIF($E$2:$E736,$E736)=1,1,0))</f>
        <v/>
      </c>
      <c r="AO736">
        <f>IF($AN736=1,SUMPRODUCT(--($AR$2:$AR$4001&lt;$AR736))+1,"")</f>
        <v/>
      </c>
      <c r="AP736">
        <f>IF($E736="","",IF(OR($U736=TRUE(),$U736="TRUE"),1,0))</f>
        <v/>
      </c>
      <c r="AQ736">
        <f>IF($E736="","",IF($AA736="Yes",1,0))</f>
        <v/>
      </c>
      <c r="AR736">
        <f>IF($AN736=1,IFERROR(VALUE(MID($E736,2,20)),1000000000)+ROW()/100000,"")</f>
        <v/>
      </c>
    </row>
    <row r="737">
      <c r="G737" s="11" t="n"/>
      <c r="Q737" s="7">
        <f>IF($E737="","",P737*Y737/100)</f>
        <v/>
      </c>
      <c r="R737" s="7" t="n"/>
      <c r="X737" s="7" t="n"/>
      <c r="Y737" s="7" t="n"/>
      <c r="AB737">
        <f>IF($E737="","",IF($AQ737=1,0,IF($AP737=1,Settings!$C$6,Settings!$C$7))*100)</f>
        <v/>
      </c>
      <c r="AC737" s="7">
        <f>IF($E737="","",Y737*AB737/100)</f>
        <v/>
      </c>
      <c r="AD737" s="7">
        <f>IF($E737="","",Y737-AC737)</f>
        <v/>
      </c>
      <c r="AE737" s="7">
        <f>IF($E737="","",AD737-Q737)</f>
        <v/>
      </c>
      <c r="AI737" s="7" t="n"/>
      <c r="AL737" s="11" t="n"/>
      <c r="AN737">
        <f>IF($E737="","",IF(COUNTIF($E$2:$E737,$E737)=1,1,0))</f>
        <v/>
      </c>
      <c r="AO737">
        <f>IF($AN737=1,SUMPRODUCT(--($AR$2:$AR$4001&lt;$AR737))+1,"")</f>
        <v/>
      </c>
      <c r="AP737">
        <f>IF($E737="","",IF(OR($U737=TRUE(),$U737="TRUE"),1,0))</f>
        <v/>
      </c>
      <c r="AQ737">
        <f>IF($E737="","",IF($AA737="Yes",1,0))</f>
        <v/>
      </c>
      <c r="AR737">
        <f>IF($AN737=1,IFERROR(VALUE(MID($E737,2,20)),1000000000)+ROW()/100000,"")</f>
        <v/>
      </c>
    </row>
    <row r="738">
      <c r="G738" s="11" t="n"/>
      <c r="Q738" s="7">
        <f>IF($E738="","",P738*Y738/100)</f>
        <v/>
      </c>
      <c r="R738" s="7" t="n"/>
      <c r="X738" s="7" t="n"/>
      <c r="Y738" s="7" t="n"/>
      <c r="AB738">
        <f>IF($E738="","",IF($AQ738=1,0,IF($AP738=1,Settings!$C$6,Settings!$C$7))*100)</f>
        <v/>
      </c>
      <c r="AC738" s="7">
        <f>IF($E738="","",Y738*AB738/100)</f>
        <v/>
      </c>
      <c r="AD738" s="7">
        <f>IF($E738="","",Y738-AC738)</f>
        <v/>
      </c>
      <c r="AE738" s="7">
        <f>IF($E738="","",AD738-Q738)</f>
        <v/>
      </c>
      <c r="AI738" s="7" t="n"/>
      <c r="AL738" s="11" t="n"/>
      <c r="AN738">
        <f>IF($E738="","",IF(COUNTIF($E$2:$E738,$E738)=1,1,0))</f>
        <v/>
      </c>
      <c r="AO738">
        <f>IF($AN738=1,SUMPRODUCT(--($AR$2:$AR$4001&lt;$AR738))+1,"")</f>
        <v/>
      </c>
      <c r="AP738">
        <f>IF($E738="","",IF(OR($U738=TRUE(),$U738="TRUE"),1,0))</f>
        <v/>
      </c>
      <c r="AQ738">
        <f>IF($E738="","",IF($AA738="Yes",1,0))</f>
        <v/>
      </c>
      <c r="AR738">
        <f>IF($AN738=1,IFERROR(VALUE(MID($E738,2,20)),1000000000)+ROW()/100000,"")</f>
        <v/>
      </c>
    </row>
    <row r="739">
      <c r="G739" s="11" t="n"/>
      <c r="Q739" s="7">
        <f>IF($E739="","",P739*Y739/100)</f>
        <v/>
      </c>
      <c r="R739" s="7" t="n"/>
      <c r="X739" s="7" t="n"/>
      <c r="Y739" s="7" t="n"/>
      <c r="AB739">
        <f>IF($E739="","",IF($AQ739=1,0,IF($AP739=1,Settings!$C$6,Settings!$C$7))*100)</f>
        <v/>
      </c>
      <c r="AC739" s="7">
        <f>IF($E739="","",Y739*AB739/100)</f>
        <v/>
      </c>
      <c r="AD739" s="7">
        <f>IF($E739="","",Y739-AC739)</f>
        <v/>
      </c>
      <c r="AE739" s="7">
        <f>IF($E739="","",AD739-Q739)</f>
        <v/>
      </c>
      <c r="AI739" s="7" t="n"/>
      <c r="AL739" s="11" t="n"/>
      <c r="AN739">
        <f>IF($E739="","",IF(COUNTIF($E$2:$E739,$E739)=1,1,0))</f>
        <v/>
      </c>
      <c r="AO739">
        <f>IF($AN739=1,SUMPRODUCT(--($AR$2:$AR$4001&lt;$AR739))+1,"")</f>
        <v/>
      </c>
      <c r="AP739">
        <f>IF($E739="","",IF(OR($U739=TRUE(),$U739="TRUE"),1,0))</f>
        <v/>
      </c>
      <c r="AQ739">
        <f>IF($E739="","",IF($AA739="Yes",1,0))</f>
        <v/>
      </c>
      <c r="AR739">
        <f>IF($AN739=1,IFERROR(VALUE(MID($E739,2,20)),1000000000)+ROW()/100000,"")</f>
        <v/>
      </c>
    </row>
    <row r="740">
      <c r="G740" s="11" t="n"/>
      <c r="Q740" s="7">
        <f>IF($E740="","",P740*Y740/100)</f>
        <v/>
      </c>
      <c r="R740" s="7" t="n"/>
      <c r="X740" s="7" t="n"/>
      <c r="Y740" s="7" t="n"/>
      <c r="AB740">
        <f>IF($E740="","",IF($AQ740=1,0,IF($AP740=1,Settings!$C$6,Settings!$C$7))*100)</f>
        <v/>
      </c>
      <c r="AC740" s="7">
        <f>IF($E740="","",Y740*AB740/100)</f>
        <v/>
      </c>
      <c r="AD740" s="7">
        <f>IF($E740="","",Y740-AC740)</f>
        <v/>
      </c>
      <c r="AE740" s="7">
        <f>IF($E740="","",AD740-Q740)</f>
        <v/>
      </c>
      <c r="AI740" s="7" t="n"/>
      <c r="AL740" s="11" t="n"/>
      <c r="AN740">
        <f>IF($E740="","",IF(COUNTIF($E$2:$E740,$E740)=1,1,0))</f>
        <v/>
      </c>
      <c r="AO740">
        <f>IF($AN740=1,SUMPRODUCT(--($AR$2:$AR$4001&lt;$AR740))+1,"")</f>
        <v/>
      </c>
      <c r="AP740">
        <f>IF($E740="","",IF(OR($U740=TRUE(),$U740="TRUE"),1,0))</f>
        <v/>
      </c>
      <c r="AQ740">
        <f>IF($E740="","",IF($AA740="Yes",1,0))</f>
        <v/>
      </c>
      <c r="AR740">
        <f>IF($AN740=1,IFERROR(VALUE(MID($E740,2,20)),1000000000)+ROW()/100000,"")</f>
        <v/>
      </c>
    </row>
    <row r="741">
      <c r="G741" s="11" t="n"/>
      <c r="Q741" s="7">
        <f>IF($E741="","",P741*Y741/100)</f>
        <v/>
      </c>
      <c r="R741" s="7" t="n"/>
      <c r="X741" s="7" t="n"/>
      <c r="Y741" s="7" t="n"/>
      <c r="AB741">
        <f>IF($E741="","",IF($AQ741=1,0,IF($AP741=1,Settings!$C$6,Settings!$C$7))*100)</f>
        <v/>
      </c>
      <c r="AC741" s="7">
        <f>IF($E741="","",Y741*AB741/100)</f>
        <v/>
      </c>
      <c r="AD741" s="7">
        <f>IF($E741="","",Y741-AC741)</f>
        <v/>
      </c>
      <c r="AE741" s="7">
        <f>IF($E741="","",AD741-Q741)</f>
        <v/>
      </c>
      <c r="AI741" s="7" t="n"/>
      <c r="AL741" s="11" t="n"/>
      <c r="AN741">
        <f>IF($E741="","",IF(COUNTIF($E$2:$E741,$E741)=1,1,0))</f>
        <v/>
      </c>
      <c r="AO741">
        <f>IF($AN741=1,SUMPRODUCT(--($AR$2:$AR$4001&lt;$AR741))+1,"")</f>
        <v/>
      </c>
      <c r="AP741">
        <f>IF($E741="","",IF(OR($U741=TRUE(),$U741="TRUE"),1,0))</f>
        <v/>
      </c>
      <c r="AQ741">
        <f>IF($E741="","",IF($AA741="Yes",1,0))</f>
        <v/>
      </c>
      <c r="AR741">
        <f>IF($AN741=1,IFERROR(VALUE(MID($E741,2,20)),1000000000)+ROW()/100000,"")</f>
        <v/>
      </c>
    </row>
    <row r="742">
      <c r="G742" s="11" t="n"/>
      <c r="Q742" s="7">
        <f>IF($E742="","",P742*Y742/100)</f>
        <v/>
      </c>
      <c r="R742" s="7" t="n"/>
      <c r="X742" s="7" t="n"/>
      <c r="Y742" s="7" t="n"/>
      <c r="AB742">
        <f>IF($E742="","",IF($AQ742=1,0,IF($AP742=1,Settings!$C$6,Settings!$C$7))*100)</f>
        <v/>
      </c>
      <c r="AC742" s="7">
        <f>IF($E742="","",Y742*AB742/100)</f>
        <v/>
      </c>
      <c r="AD742" s="7">
        <f>IF($E742="","",Y742-AC742)</f>
        <v/>
      </c>
      <c r="AE742" s="7">
        <f>IF($E742="","",AD742-Q742)</f>
        <v/>
      </c>
      <c r="AI742" s="7" t="n"/>
      <c r="AL742" s="11" t="n"/>
      <c r="AN742">
        <f>IF($E742="","",IF(COUNTIF($E$2:$E742,$E742)=1,1,0))</f>
        <v/>
      </c>
      <c r="AO742">
        <f>IF($AN742=1,SUMPRODUCT(--($AR$2:$AR$4001&lt;$AR742))+1,"")</f>
        <v/>
      </c>
      <c r="AP742">
        <f>IF($E742="","",IF(OR($U742=TRUE(),$U742="TRUE"),1,0))</f>
        <v/>
      </c>
      <c r="AQ742">
        <f>IF($E742="","",IF($AA742="Yes",1,0))</f>
        <v/>
      </c>
      <c r="AR742">
        <f>IF($AN742=1,IFERROR(VALUE(MID($E742,2,20)),1000000000)+ROW()/100000,"")</f>
        <v/>
      </c>
    </row>
    <row r="743">
      <c r="G743" s="11" t="n"/>
      <c r="Q743" s="7">
        <f>IF($E743="","",P743*Y743/100)</f>
        <v/>
      </c>
      <c r="R743" s="7" t="n"/>
      <c r="X743" s="7" t="n"/>
      <c r="Y743" s="7" t="n"/>
      <c r="AB743">
        <f>IF($E743="","",IF($AQ743=1,0,IF($AP743=1,Settings!$C$6,Settings!$C$7))*100)</f>
        <v/>
      </c>
      <c r="AC743" s="7">
        <f>IF($E743="","",Y743*AB743/100)</f>
        <v/>
      </c>
      <c r="AD743" s="7">
        <f>IF($E743="","",Y743-AC743)</f>
        <v/>
      </c>
      <c r="AE743" s="7">
        <f>IF($E743="","",AD743-Q743)</f>
        <v/>
      </c>
      <c r="AI743" s="7" t="n"/>
      <c r="AL743" s="11" t="n"/>
      <c r="AN743">
        <f>IF($E743="","",IF(COUNTIF($E$2:$E743,$E743)=1,1,0))</f>
        <v/>
      </c>
      <c r="AO743">
        <f>IF($AN743=1,SUMPRODUCT(--($AR$2:$AR$4001&lt;$AR743))+1,"")</f>
        <v/>
      </c>
      <c r="AP743">
        <f>IF($E743="","",IF(OR($U743=TRUE(),$U743="TRUE"),1,0))</f>
        <v/>
      </c>
      <c r="AQ743">
        <f>IF($E743="","",IF($AA743="Yes",1,0))</f>
        <v/>
      </c>
      <c r="AR743">
        <f>IF($AN743=1,IFERROR(VALUE(MID($E743,2,20)),1000000000)+ROW()/100000,"")</f>
        <v/>
      </c>
    </row>
    <row r="744">
      <c r="G744" s="11" t="n"/>
      <c r="Q744" s="7">
        <f>IF($E744="","",P744*Y744/100)</f>
        <v/>
      </c>
      <c r="R744" s="7" t="n"/>
      <c r="X744" s="7" t="n"/>
      <c r="Y744" s="7" t="n"/>
      <c r="AB744">
        <f>IF($E744="","",IF($AQ744=1,0,IF($AP744=1,Settings!$C$6,Settings!$C$7))*100)</f>
        <v/>
      </c>
      <c r="AC744" s="7">
        <f>IF($E744="","",Y744*AB744/100)</f>
        <v/>
      </c>
      <c r="AD744" s="7">
        <f>IF($E744="","",Y744-AC744)</f>
        <v/>
      </c>
      <c r="AE744" s="7">
        <f>IF($E744="","",AD744-Q744)</f>
        <v/>
      </c>
      <c r="AI744" s="7" t="n"/>
      <c r="AL744" s="11" t="n"/>
      <c r="AN744">
        <f>IF($E744="","",IF(COUNTIF($E$2:$E744,$E744)=1,1,0))</f>
        <v/>
      </c>
      <c r="AO744">
        <f>IF($AN744=1,SUMPRODUCT(--($AR$2:$AR$4001&lt;$AR744))+1,"")</f>
        <v/>
      </c>
      <c r="AP744">
        <f>IF($E744="","",IF(OR($U744=TRUE(),$U744="TRUE"),1,0))</f>
        <v/>
      </c>
      <c r="AQ744">
        <f>IF($E744="","",IF($AA744="Yes",1,0))</f>
        <v/>
      </c>
      <c r="AR744">
        <f>IF($AN744=1,IFERROR(VALUE(MID($E744,2,20)),1000000000)+ROW()/100000,"")</f>
        <v/>
      </c>
    </row>
    <row r="745">
      <c r="G745" s="11" t="n"/>
      <c r="Q745" s="7">
        <f>IF($E745="","",P745*Y745/100)</f>
        <v/>
      </c>
      <c r="R745" s="7" t="n"/>
      <c r="X745" s="7" t="n"/>
      <c r="Y745" s="7" t="n"/>
      <c r="AB745">
        <f>IF($E745="","",IF($AQ745=1,0,IF($AP745=1,Settings!$C$6,Settings!$C$7))*100)</f>
        <v/>
      </c>
      <c r="AC745" s="7">
        <f>IF($E745="","",Y745*AB745/100)</f>
        <v/>
      </c>
      <c r="AD745" s="7">
        <f>IF($E745="","",Y745-AC745)</f>
        <v/>
      </c>
      <c r="AE745" s="7">
        <f>IF($E745="","",AD745-Q745)</f>
        <v/>
      </c>
      <c r="AI745" s="7" t="n"/>
      <c r="AL745" s="11" t="n"/>
      <c r="AN745">
        <f>IF($E745="","",IF(COUNTIF($E$2:$E745,$E745)=1,1,0))</f>
        <v/>
      </c>
      <c r="AO745">
        <f>IF($AN745=1,SUMPRODUCT(--($AR$2:$AR$4001&lt;$AR745))+1,"")</f>
        <v/>
      </c>
      <c r="AP745">
        <f>IF($E745="","",IF(OR($U745=TRUE(),$U745="TRUE"),1,0))</f>
        <v/>
      </c>
      <c r="AQ745">
        <f>IF($E745="","",IF($AA745="Yes",1,0))</f>
        <v/>
      </c>
      <c r="AR745">
        <f>IF($AN745=1,IFERROR(VALUE(MID($E745,2,20)),1000000000)+ROW()/100000,"")</f>
        <v/>
      </c>
    </row>
    <row r="746">
      <c r="G746" s="11" t="n"/>
      <c r="Q746" s="7">
        <f>IF($E746="","",P746*Y746/100)</f>
        <v/>
      </c>
      <c r="R746" s="7" t="n"/>
      <c r="X746" s="7" t="n"/>
      <c r="Y746" s="7" t="n"/>
      <c r="AB746">
        <f>IF($E746="","",IF($AQ746=1,0,IF($AP746=1,Settings!$C$6,Settings!$C$7))*100)</f>
        <v/>
      </c>
      <c r="AC746" s="7">
        <f>IF($E746="","",Y746*AB746/100)</f>
        <v/>
      </c>
      <c r="AD746" s="7">
        <f>IF($E746="","",Y746-AC746)</f>
        <v/>
      </c>
      <c r="AE746" s="7">
        <f>IF($E746="","",AD746-Q746)</f>
        <v/>
      </c>
      <c r="AI746" s="7" t="n"/>
      <c r="AL746" s="11" t="n"/>
      <c r="AN746">
        <f>IF($E746="","",IF(COUNTIF($E$2:$E746,$E746)=1,1,0))</f>
        <v/>
      </c>
      <c r="AO746">
        <f>IF($AN746=1,SUMPRODUCT(--($AR$2:$AR$4001&lt;$AR746))+1,"")</f>
        <v/>
      </c>
      <c r="AP746">
        <f>IF($E746="","",IF(OR($U746=TRUE(),$U746="TRUE"),1,0))</f>
        <v/>
      </c>
      <c r="AQ746">
        <f>IF($E746="","",IF($AA746="Yes",1,0))</f>
        <v/>
      </c>
      <c r="AR746">
        <f>IF($AN746=1,IFERROR(VALUE(MID($E746,2,20)),1000000000)+ROW()/100000,"")</f>
        <v/>
      </c>
    </row>
    <row r="747">
      <c r="G747" s="11" t="n"/>
      <c r="Q747" s="7">
        <f>IF($E747="","",P747*Y747/100)</f>
        <v/>
      </c>
      <c r="R747" s="7" t="n"/>
      <c r="X747" s="7" t="n"/>
      <c r="Y747" s="7" t="n"/>
      <c r="AB747">
        <f>IF($E747="","",IF($AQ747=1,0,IF($AP747=1,Settings!$C$6,Settings!$C$7))*100)</f>
        <v/>
      </c>
      <c r="AC747" s="7">
        <f>IF($E747="","",Y747*AB747/100)</f>
        <v/>
      </c>
      <c r="AD747" s="7">
        <f>IF($E747="","",Y747-AC747)</f>
        <v/>
      </c>
      <c r="AE747" s="7">
        <f>IF($E747="","",AD747-Q747)</f>
        <v/>
      </c>
      <c r="AI747" s="7" t="n"/>
      <c r="AL747" s="11" t="n"/>
      <c r="AN747">
        <f>IF($E747="","",IF(COUNTIF($E$2:$E747,$E747)=1,1,0))</f>
        <v/>
      </c>
      <c r="AO747">
        <f>IF($AN747=1,SUMPRODUCT(--($AR$2:$AR$4001&lt;$AR747))+1,"")</f>
        <v/>
      </c>
      <c r="AP747">
        <f>IF($E747="","",IF(OR($U747=TRUE(),$U747="TRUE"),1,0))</f>
        <v/>
      </c>
      <c r="AQ747">
        <f>IF($E747="","",IF($AA747="Yes",1,0))</f>
        <v/>
      </c>
      <c r="AR747">
        <f>IF($AN747=1,IFERROR(VALUE(MID($E747,2,20)),1000000000)+ROW()/100000,"")</f>
        <v/>
      </c>
    </row>
    <row r="748">
      <c r="G748" s="11" t="n"/>
      <c r="Q748" s="7">
        <f>IF($E748="","",P748*Y748/100)</f>
        <v/>
      </c>
      <c r="R748" s="7" t="n"/>
      <c r="X748" s="7" t="n"/>
      <c r="Y748" s="7" t="n"/>
      <c r="AB748">
        <f>IF($E748="","",IF($AQ748=1,0,IF($AP748=1,Settings!$C$6,Settings!$C$7))*100)</f>
        <v/>
      </c>
      <c r="AC748" s="7">
        <f>IF($E748="","",Y748*AB748/100)</f>
        <v/>
      </c>
      <c r="AD748" s="7">
        <f>IF($E748="","",Y748-AC748)</f>
        <v/>
      </c>
      <c r="AE748" s="7">
        <f>IF($E748="","",AD748-Q748)</f>
        <v/>
      </c>
      <c r="AI748" s="7" t="n"/>
      <c r="AL748" s="11" t="n"/>
      <c r="AN748">
        <f>IF($E748="","",IF(COUNTIF($E$2:$E748,$E748)=1,1,0))</f>
        <v/>
      </c>
      <c r="AO748">
        <f>IF($AN748=1,SUMPRODUCT(--($AR$2:$AR$4001&lt;$AR748))+1,"")</f>
        <v/>
      </c>
      <c r="AP748">
        <f>IF($E748="","",IF(OR($U748=TRUE(),$U748="TRUE"),1,0))</f>
        <v/>
      </c>
      <c r="AQ748">
        <f>IF($E748="","",IF($AA748="Yes",1,0))</f>
        <v/>
      </c>
      <c r="AR748">
        <f>IF($AN748=1,IFERROR(VALUE(MID($E748,2,20)),1000000000)+ROW()/100000,"")</f>
        <v/>
      </c>
    </row>
    <row r="749">
      <c r="G749" s="11" t="n"/>
      <c r="Q749" s="7">
        <f>IF($E749="","",P749*Y749/100)</f>
        <v/>
      </c>
      <c r="R749" s="7" t="n"/>
      <c r="X749" s="7" t="n"/>
      <c r="Y749" s="7" t="n"/>
      <c r="AB749">
        <f>IF($E749="","",IF($AQ749=1,0,IF($AP749=1,Settings!$C$6,Settings!$C$7))*100)</f>
        <v/>
      </c>
      <c r="AC749" s="7">
        <f>IF($E749="","",Y749*AB749/100)</f>
        <v/>
      </c>
      <c r="AD749" s="7">
        <f>IF($E749="","",Y749-AC749)</f>
        <v/>
      </c>
      <c r="AE749" s="7">
        <f>IF($E749="","",AD749-Q749)</f>
        <v/>
      </c>
      <c r="AI749" s="7" t="n"/>
      <c r="AL749" s="11" t="n"/>
      <c r="AN749">
        <f>IF($E749="","",IF(COUNTIF($E$2:$E749,$E749)=1,1,0))</f>
        <v/>
      </c>
      <c r="AO749">
        <f>IF($AN749=1,SUMPRODUCT(--($AR$2:$AR$4001&lt;$AR749))+1,"")</f>
        <v/>
      </c>
      <c r="AP749">
        <f>IF($E749="","",IF(OR($U749=TRUE(),$U749="TRUE"),1,0))</f>
        <v/>
      </c>
      <c r="AQ749">
        <f>IF($E749="","",IF($AA749="Yes",1,0))</f>
        <v/>
      </c>
      <c r="AR749">
        <f>IF($AN749=1,IFERROR(VALUE(MID($E749,2,20)),1000000000)+ROW()/100000,"")</f>
        <v/>
      </c>
    </row>
    <row r="750">
      <c r="G750" s="11" t="n"/>
      <c r="Q750" s="7">
        <f>IF($E750="","",P750*Y750/100)</f>
        <v/>
      </c>
      <c r="R750" s="7" t="n"/>
      <c r="X750" s="7" t="n"/>
      <c r="Y750" s="7" t="n"/>
      <c r="AB750">
        <f>IF($E750="","",IF($AQ750=1,0,IF($AP750=1,Settings!$C$6,Settings!$C$7))*100)</f>
        <v/>
      </c>
      <c r="AC750" s="7">
        <f>IF($E750="","",Y750*AB750/100)</f>
        <v/>
      </c>
      <c r="AD750" s="7">
        <f>IF($E750="","",Y750-AC750)</f>
        <v/>
      </c>
      <c r="AE750" s="7">
        <f>IF($E750="","",AD750-Q750)</f>
        <v/>
      </c>
      <c r="AI750" s="7" t="n"/>
      <c r="AL750" s="11" t="n"/>
      <c r="AN750">
        <f>IF($E750="","",IF(COUNTIF($E$2:$E750,$E750)=1,1,0))</f>
        <v/>
      </c>
      <c r="AO750">
        <f>IF($AN750=1,SUMPRODUCT(--($AR$2:$AR$4001&lt;$AR750))+1,"")</f>
        <v/>
      </c>
      <c r="AP750">
        <f>IF($E750="","",IF(OR($U750=TRUE(),$U750="TRUE"),1,0))</f>
        <v/>
      </c>
      <c r="AQ750">
        <f>IF($E750="","",IF($AA750="Yes",1,0))</f>
        <v/>
      </c>
      <c r="AR750">
        <f>IF($AN750=1,IFERROR(VALUE(MID($E750,2,20)),1000000000)+ROW()/100000,"")</f>
        <v/>
      </c>
    </row>
    <row r="751">
      <c r="G751" s="11" t="n"/>
      <c r="Q751" s="7">
        <f>IF($E751="","",P751*Y751/100)</f>
        <v/>
      </c>
      <c r="R751" s="7" t="n"/>
      <c r="X751" s="7" t="n"/>
      <c r="Y751" s="7" t="n"/>
      <c r="AB751">
        <f>IF($E751="","",IF($AQ751=1,0,IF($AP751=1,Settings!$C$6,Settings!$C$7))*100)</f>
        <v/>
      </c>
      <c r="AC751" s="7">
        <f>IF($E751="","",Y751*AB751/100)</f>
        <v/>
      </c>
      <c r="AD751" s="7">
        <f>IF($E751="","",Y751-AC751)</f>
        <v/>
      </c>
      <c r="AE751" s="7">
        <f>IF($E751="","",AD751-Q751)</f>
        <v/>
      </c>
      <c r="AI751" s="7" t="n"/>
      <c r="AL751" s="11" t="n"/>
      <c r="AN751">
        <f>IF($E751="","",IF(COUNTIF($E$2:$E751,$E751)=1,1,0))</f>
        <v/>
      </c>
      <c r="AO751">
        <f>IF($AN751=1,SUMPRODUCT(--($AR$2:$AR$4001&lt;$AR751))+1,"")</f>
        <v/>
      </c>
      <c r="AP751">
        <f>IF($E751="","",IF(OR($U751=TRUE(),$U751="TRUE"),1,0))</f>
        <v/>
      </c>
      <c r="AQ751">
        <f>IF($E751="","",IF($AA751="Yes",1,0))</f>
        <v/>
      </c>
      <c r="AR751">
        <f>IF($AN751=1,IFERROR(VALUE(MID($E751,2,20)),1000000000)+ROW()/100000,"")</f>
        <v/>
      </c>
    </row>
    <row r="752">
      <c r="G752" s="11" t="n"/>
      <c r="Q752" s="7">
        <f>IF($E752="","",P752*Y752/100)</f>
        <v/>
      </c>
      <c r="R752" s="7" t="n"/>
      <c r="X752" s="7" t="n"/>
      <c r="Y752" s="7" t="n"/>
      <c r="AB752">
        <f>IF($E752="","",IF($AQ752=1,0,IF($AP752=1,Settings!$C$6,Settings!$C$7))*100)</f>
        <v/>
      </c>
      <c r="AC752" s="7">
        <f>IF($E752="","",Y752*AB752/100)</f>
        <v/>
      </c>
      <c r="AD752" s="7">
        <f>IF($E752="","",Y752-AC752)</f>
        <v/>
      </c>
      <c r="AE752" s="7">
        <f>IF($E752="","",AD752-Q752)</f>
        <v/>
      </c>
      <c r="AI752" s="7" t="n"/>
      <c r="AL752" s="11" t="n"/>
      <c r="AN752">
        <f>IF($E752="","",IF(COUNTIF($E$2:$E752,$E752)=1,1,0))</f>
        <v/>
      </c>
      <c r="AO752">
        <f>IF($AN752=1,SUMPRODUCT(--($AR$2:$AR$4001&lt;$AR752))+1,"")</f>
        <v/>
      </c>
      <c r="AP752">
        <f>IF($E752="","",IF(OR($U752=TRUE(),$U752="TRUE"),1,0))</f>
        <v/>
      </c>
      <c r="AQ752">
        <f>IF($E752="","",IF($AA752="Yes",1,0))</f>
        <v/>
      </c>
      <c r="AR752">
        <f>IF($AN752=1,IFERROR(VALUE(MID($E752,2,20)),1000000000)+ROW()/100000,"")</f>
        <v/>
      </c>
    </row>
    <row r="753">
      <c r="G753" s="11" t="n"/>
      <c r="Q753" s="7">
        <f>IF($E753="","",P753*Y753/100)</f>
        <v/>
      </c>
      <c r="R753" s="7" t="n"/>
      <c r="X753" s="7" t="n"/>
      <c r="Y753" s="7" t="n"/>
      <c r="AB753">
        <f>IF($E753="","",IF($AQ753=1,0,IF($AP753=1,Settings!$C$6,Settings!$C$7))*100)</f>
        <v/>
      </c>
      <c r="AC753" s="7">
        <f>IF($E753="","",Y753*AB753/100)</f>
        <v/>
      </c>
      <c r="AD753" s="7">
        <f>IF($E753="","",Y753-AC753)</f>
        <v/>
      </c>
      <c r="AE753" s="7">
        <f>IF($E753="","",AD753-Q753)</f>
        <v/>
      </c>
      <c r="AI753" s="7" t="n"/>
      <c r="AL753" s="11" t="n"/>
      <c r="AN753">
        <f>IF($E753="","",IF(COUNTIF($E$2:$E753,$E753)=1,1,0))</f>
        <v/>
      </c>
      <c r="AO753">
        <f>IF($AN753=1,SUMPRODUCT(--($AR$2:$AR$4001&lt;$AR753))+1,"")</f>
        <v/>
      </c>
      <c r="AP753">
        <f>IF($E753="","",IF(OR($U753=TRUE(),$U753="TRUE"),1,0))</f>
        <v/>
      </c>
      <c r="AQ753">
        <f>IF($E753="","",IF($AA753="Yes",1,0))</f>
        <v/>
      </c>
      <c r="AR753">
        <f>IF($AN753=1,IFERROR(VALUE(MID($E753,2,20)),1000000000)+ROW()/100000,"")</f>
        <v/>
      </c>
    </row>
    <row r="754">
      <c r="G754" s="11" t="n"/>
      <c r="Q754" s="7">
        <f>IF($E754="","",P754*Y754/100)</f>
        <v/>
      </c>
      <c r="R754" s="7" t="n"/>
      <c r="X754" s="7" t="n"/>
      <c r="Y754" s="7" t="n"/>
      <c r="AB754">
        <f>IF($E754="","",IF($AQ754=1,0,IF($AP754=1,Settings!$C$6,Settings!$C$7))*100)</f>
        <v/>
      </c>
      <c r="AC754" s="7">
        <f>IF($E754="","",Y754*AB754/100)</f>
        <v/>
      </c>
      <c r="AD754" s="7">
        <f>IF($E754="","",Y754-AC754)</f>
        <v/>
      </c>
      <c r="AE754" s="7">
        <f>IF($E754="","",AD754-Q754)</f>
        <v/>
      </c>
      <c r="AI754" s="7" t="n"/>
      <c r="AL754" s="11" t="n"/>
      <c r="AN754">
        <f>IF($E754="","",IF(COUNTIF($E$2:$E754,$E754)=1,1,0))</f>
        <v/>
      </c>
      <c r="AO754">
        <f>IF($AN754=1,SUMPRODUCT(--($AR$2:$AR$4001&lt;$AR754))+1,"")</f>
        <v/>
      </c>
      <c r="AP754">
        <f>IF($E754="","",IF(OR($U754=TRUE(),$U754="TRUE"),1,0))</f>
        <v/>
      </c>
      <c r="AQ754">
        <f>IF($E754="","",IF($AA754="Yes",1,0))</f>
        <v/>
      </c>
      <c r="AR754">
        <f>IF($AN754=1,IFERROR(VALUE(MID($E754,2,20)),1000000000)+ROW()/100000,"")</f>
        <v/>
      </c>
    </row>
    <row r="755">
      <c r="G755" s="11" t="n"/>
      <c r="Q755" s="7">
        <f>IF($E755="","",P755*Y755/100)</f>
        <v/>
      </c>
      <c r="R755" s="7" t="n"/>
      <c r="X755" s="7" t="n"/>
      <c r="Y755" s="7" t="n"/>
      <c r="AB755">
        <f>IF($E755="","",IF($AQ755=1,0,IF($AP755=1,Settings!$C$6,Settings!$C$7))*100)</f>
        <v/>
      </c>
      <c r="AC755" s="7">
        <f>IF($E755="","",Y755*AB755/100)</f>
        <v/>
      </c>
      <c r="AD755" s="7">
        <f>IF($E755="","",Y755-AC755)</f>
        <v/>
      </c>
      <c r="AE755" s="7">
        <f>IF($E755="","",AD755-Q755)</f>
        <v/>
      </c>
      <c r="AI755" s="7" t="n"/>
      <c r="AL755" s="11" t="n"/>
      <c r="AN755">
        <f>IF($E755="","",IF(COUNTIF($E$2:$E755,$E755)=1,1,0))</f>
        <v/>
      </c>
      <c r="AO755">
        <f>IF($AN755=1,SUMPRODUCT(--($AR$2:$AR$4001&lt;$AR755))+1,"")</f>
        <v/>
      </c>
      <c r="AP755">
        <f>IF($E755="","",IF(OR($U755=TRUE(),$U755="TRUE"),1,0))</f>
        <v/>
      </c>
      <c r="AQ755">
        <f>IF($E755="","",IF($AA755="Yes",1,0))</f>
        <v/>
      </c>
      <c r="AR755">
        <f>IF($AN755=1,IFERROR(VALUE(MID($E755,2,20)),1000000000)+ROW()/100000,"")</f>
        <v/>
      </c>
    </row>
    <row r="756">
      <c r="G756" s="11" t="n"/>
      <c r="Q756" s="7">
        <f>IF($E756="","",P756*Y756/100)</f>
        <v/>
      </c>
      <c r="R756" s="7" t="n"/>
      <c r="X756" s="7" t="n"/>
      <c r="Y756" s="7" t="n"/>
      <c r="AB756">
        <f>IF($E756="","",IF($AQ756=1,0,IF($AP756=1,Settings!$C$6,Settings!$C$7))*100)</f>
        <v/>
      </c>
      <c r="AC756" s="7">
        <f>IF($E756="","",Y756*AB756/100)</f>
        <v/>
      </c>
      <c r="AD756" s="7">
        <f>IF($E756="","",Y756-AC756)</f>
        <v/>
      </c>
      <c r="AE756" s="7">
        <f>IF($E756="","",AD756-Q756)</f>
        <v/>
      </c>
      <c r="AI756" s="7" t="n"/>
      <c r="AL756" s="11" t="n"/>
      <c r="AN756">
        <f>IF($E756="","",IF(COUNTIF($E$2:$E756,$E756)=1,1,0))</f>
        <v/>
      </c>
      <c r="AO756">
        <f>IF($AN756=1,SUMPRODUCT(--($AR$2:$AR$4001&lt;$AR756))+1,"")</f>
        <v/>
      </c>
      <c r="AP756">
        <f>IF($E756="","",IF(OR($U756=TRUE(),$U756="TRUE"),1,0))</f>
        <v/>
      </c>
      <c r="AQ756">
        <f>IF($E756="","",IF($AA756="Yes",1,0))</f>
        <v/>
      </c>
      <c r="AR756">
        <f>IF($AN756=1,IFERROR(VALUE(MID($E756,2,20)),1000000000)+ROW()/100000,"")</f>
        <v/>
      </c>
    </row>
    <row r="757">
      <c r="G757" s="11" t="n"/>
      <c r="Q757" s="7">
        <f>IF($E757="","",P757*Y757/100)</f>
        <v/>
      </c>
      <c r="R757" s="7" t="n"/>
      <c r="X757" s="7" t="n"/>
      <c r="Y757" s="7" t="n"/>
      <c r="AB757">
        <f>IF($E757="","",IF($AQ757=1,0,IF($AP757=1,Settings!$C$6,Settings!$C$7))*100)</f>
        <v/>
      </c>
      <c r="AC757" s="7">
        <f>IF($E757="","",Y757*AB757/100)</f>
        <v/>
      </c>
      <c r="AD757" s="7">
        <f>IF($E757="","",Y757-AC757)</f>
        <v/>
      </c>
      <c r="AE757" s="7">
        <f>IF($E757="","",AD757-Q757)</f>
        <v/>
      </c>
      <c r="AI757" s="7" t="n"/>
      <c r="AL757" s="11" t="n"/>
      <c r="AN757">
        <f>IF($E757="","",IF(COUNTIF($E$2:$E757,$E757)=1,1,0))</f>
        <v/>
      </c>
      <c r="AO757">
        <f>IF($AN757=1,SUMPRODUCT(--($AR$2:$AR$4001&lt;$AR757))+1,"")</f>
        <v/>
      </c>
      <c r="AP757">
        <f>IF($E757="","",IF(OR($U757=TRUE(),$U757="TRUE"),1,0))</f>
        <v/>
      </c>
      <c r="AQ757">
        <f>IF($E757="","",IF($AA757="Yes",1,0))</f>
        <v/>
      </c>
      <c r="AR757">
        <f>IF($AN757=1,IFERROR(VALUE(MID($E757,2,20)),1000000000)+ROW()/100000,"")</f>
        <v/>
      </c>
    </row>
    <row r="758">
      <c r="G758" s="11" t="n"/>
      <c r="Q758" s="7">
        <f>IF($E758="","",P758*Y758/100)</f>
        <v/>
      </c>
      <c r="R758" s="7" t="n"/>
      <c r="X758" s="7" t="n"/>
      <c r="Y758" s="7" t="n"/>
      <c r="AB758">
        <f>IF($E758="","",IF($AQ758=1,0,IF($AP758=1,Settings!$C$6,Settings!$C$7))*100)</f>
        <v/>
      </c>
      <c r="AC758" s="7">
        <f>IF($E758="","",Y758*AB758/100)</f>
        <v/>
      </c>
      <c r="AD758" s="7">
        <f>IF($E758="","",Y758-AC758)</f>
        <v/>
      </c>
      <c r="AE758" s="7">
        <f>IF($E758="","",AD758-Q758)</f>
        <v/>
      </c>
      <c r="AI758" s="7" t="n"/>
      <c r="AL758" s="11" t="n"/>
      <c r="AN758">
        <f>IF($E758="","",IF(COUNTIF($E$2:$E758,$E758)=1,1,0))</f>
        <v/>
      </c>
      <c r="AO758">
        <f>IF($AN758=1,SUMPRODUCT(--($AR$2:$AR$4001&lt;$AR758))+1,"")</f>
        <v/>
      </c>
      <c r="AP758">
        <f>IF($E758="","",IF(OR($U758=TRUE(),$U758="TRUE"),1,0))</f>
        <v/>
      </c>
      <c r="AQ758">
        <f>IF($E758="","",IF($AA758="Yes",1,0))</f>
        <v/>
      </c>
      <c r="AR758">
        <f>IF($AN758=1,IFERROR(VALUE(MID($E758,2,20)),1000000000)+ROW()/100000,"")</f>
        <v/>
      </c>
    </row>
    <row r="759">
      <c r="G759" s="11" t="n"/>
      <c r="Q759" s="7">
        <f>IF($E759="","",P759*Y759/100)</f>
        <v/>
      </c>
      <c r="R759" s="7" t="n"/>
      <c r="X759" s="7" t="n"/>
      <c r="Y759" s="7" t="n"/>
      <c r="AB759">
        <f>IF($E759="","",IF($AQ759=1,0,IF($AP759=1,Settings!$C$6,Settings!$C$7))*100)</f>
        <v/>
      </c>
      <c r="AC759" s="7">
        <f>IF($E759="","",Y759*AB759/100)</f>
        <v/>
      </c>
      <c r="AD759" s="7">
        <f>IF($E759="","",Y759-AC759)</f>
        <v/>
      </c>
      <c r="AE759" s="7">
        <f>IF($E759="","",AD759-Q759)</f>
        <v/>
      </c>
      <c r="AI759" s="7" t="n"/>
      <c r="AL759" s="11" t="n"/>
      <c r="AN759">
        <f>IF($E759="","",IF(COUNTIF($E$2:$E759,$E759)=1,1,0))</f>
        <v/>
      </c>
      <c r="AO759">
        <f>IF($AN759=1,SUMPRODUCT(--($AR$2:$AR$4001&lt;$AR759))+1,"")</f>
        <v/>
      </c>
      <c r="AP759">
        <f>IF($E759="","",IF(OR($U759=TRUE(),$U759="TRUE"),1,0))</f>
        <v/>
      </c>
      <c r="AQ759">
        <f>IF($E759="","",IF($AA759="Yes",1,0))</f>
        <v/>
      </c>
      <c r="AR759">
        <f>IF($AN759=1,IFERROR(VALUE(MID($E759,2,20)),1000000000)+ROW()/100000,"")</f>
        <v/>
      </c>
    </row>
    <row r="760">
      <c r="G760" s="11" t="n"/>
      <c r="Q760" s="7">
        <f>IF($E760="","",P760*Y760/100)</f>
        <v/>
      </c>
      <c r="R760" s="7" t="n"/>
      <c r="X760" s="7" t="n"/>
      <c r="Y760" s="7" t="n"/>
      <c r="AB760">
        <f>IF($E760="","",IF($AQ760=1,0,IF($AP760=1,Settings!$C$6,Settings!$C$7))*100)</f>
        <v/>
      </c>
      <c r="AC760" s="7">
        <f>IF($E760="","",Y760*AB760/100)</f>
        <v/>
      </c>
      <c r="AD760" s="7">
        <f>IF($E760="","",Y760-AC760)</f>
        <v/>
      </c>
      <c r="AE760" s="7">
        <f>IF($E760="","",AD760-Q760)</f>
        <v/>
      </c>
      <c r="AI760" s="7" t="n"/>
      <c r="AL760" s="11" t="n"/>
      <c r="AN760">
        <f>IF($E760="","",IF(COUNTIF($E$2:$E760,$E760)=1,1,0))</f>
        <v/>
      </c>
      <c r="AO760">
        <f>IF($AN760=1,SUMPRODUCT(--($AR$2:$AR$4001&lt;$AR760))+1,"")</f>
        <v/>
      </c>
      <c r="AP760">
        <f>IF($E760="","",IF(OR($U760=TRUE(),$U760="TRUE"),1,0))</f>
        <v/>
      </c>
      <c r="AQ760">
        <f>IF($E760="","",IF($AA760="Yes",1,0))</f>
        <v/>
      </c>
      <c r="AR760">
        <f>IF($AN760=1,IFERROR(VALUE(MID($E760,2,20)),1000000000)+ROW()/100000,"")</f>
        <v/>
      </c>
    </row>
    <row r="761">
      <c r="G761" s="11" t="n"/>
      <c r="Q761" s="7">
        <f>IF($E761="","",P761*Y761/100)</f>
        <v/>
      </c>
      <c r="R761" s="7" t="n"/>
      <c r="X761" s="7" t="n"/>
      <c r="Y761" s="7" t="n"/>
      <c r="AB761">
        <f>IF($E761="","",IF($AQ761=1,0,IF($AP761=1,Settings!$C$6,Settings!$C$7))*100)</f>
        <v/>
      </c>
      <c r="AC761" s="7">
        <f>IF($E761="","",Y761*AB761/100)</f>
        <v/>
      </c>
      <c r="AD761" s="7">
        <f>IF($E761="","",Y761-AC761)</f>
        <v/>
      </c>
      <c r="AE761" s="7">
        <f>IF($E761="","",AD761-Q761)</f>
        <v/>
      </c>
      <c r="AI761" s="7" t="n"/>
      <c r="AL761" s="11" t="n"/>
      <c r="AN761">
        <f>IF($E761="","",IF(COUNTIF($E$2:$E761,$E761)=1,1,0))</f>
        <v/>
      </c>
      <c r="AO761">
        <f>IF($AN761=1,SUMPRODUCT(--($AR$2:$AR$4001&lt;$AR761))+1,"")</f>
        <v/>
      </c>
      <c r="AP761">
        <f>IF($E761="","",IF(OR($U761=TRUE(),$U761="TRUE"),1,0))</f>
        <v/>
      </c>
      <c r="AQ761">
        <f>IF($E761="","",IF($AA761="Yes",1,0))</f>
        <v/>
      </c>
      <c r="AR761">
        <f>IF($AN761=1,IFERROR(VALUE(MID($E761,2,20)),1000000000)+ROW()/100000,"")</f>
        <v/>
      </c>
    </row>
    <row r="762">
      <c r="G762" s="11" t="n"/>
      <c r="Q762" s="7">
        <f>IF($E762="","",P762*Y762/100)</f>
        <v/>
      </c>
      <c r="R762" s="7" t="n"/>
      <c r="X762" s="7" t="n"/>
      <c r="Y762" s="7" t="n"/>
      <c r="AB762">
        <f>IF($E762="","",IF($AQ762=1,0,IF($AP762=1,Settings!$C$6,Settings!$C$7))*100)</f>
        <v/>
      </c>
      <c r="AC762" s="7">
        <f>IF($E762="","",Y762*AB762/100)</f>
        <v/>
      </c>
      <c r="AD762" s="7">
        <f>IF($E762="","",Y762-AC762)</f>
        <v/>
      </c>
      <c r="AE762" s="7">
        <f>IF($E762="","",AD762-Q762)</f>
        <v/>
      </c>
      <c r="AI762" s="7" t="n"/>
      <c r="AL762" s="11" t="n"/>
      <c r="AN762">
        <f>IF($E762="","",IF(COUNTIF($E$2:$E762,$E762)=1,1,0))</f>
        <v/>
      </c>
      <c r="AO762">
        <f>IF($AN762=1,SUMPRODUCT(--($AR$2:$AR$4001&lt;$AR762))+1,"")</f>
        <v/>
      </c>
      <c r="AP762">
        <f>IF($E762="","",IF(OR($U762=TRUE(),$U762="TRUE"),1,0))</f>
        <v/>
      </c>
      <c r="AQ762">
        <f>IF($E762="","",IF($AA762="Yes",1,0))</f>
        <v/>
      </c>
      <c r="AR762">
        <f>IF($AN762=1,IFERROR(VALUE(MID($E762,2,20)),1000000000)+ROW()/100000,"")</f>
        <v/>
      </c>
    </row>
    <row r="763">
      <c r="G763" s="11" t="n"/>
      <c r="Q763" s="7">
        <f>IF($E763="","",P763*Y763/100)</f>
        <v/>
      </c>
      <c r="R763" s="7" t="n"/>
      <c r="X763" s="7" t="n"/>
      <c r="Y763" s="7" t="n"/>
      <c r="AB763">
        <f>IF($E763="","",IF($AQ763=1,0,IF($AP763=1,Settings!$C$6,Settings!$C$7))*100)</f>
        <v/>
      </c>
      <c r="AC763" s="7">
        <f>IF($E763="","",Y763*AB763/100)</f>
        <v/>
      </c>
      <c r="AD763" s="7">
        <f>IF($E763="","",Y763-AC763)</f>
        <v/>
      </c>
      <c r="AE763" s="7">
        <f>IF($E763="","",AD763-Q763)</f>
        <v/>
      </c>
      <c r="AI763" s="7" t="n"/>
      <c r="AL763" s="11" t="n"/>
      <c r="AN763">
        <f>IF($E763="","",IF(COUNTIF($E$2:$E763,$E763)=1,1,0))</f>
        <v/>
      </c>
      <c r="AO763">
        <f>IF($AN763=1,SUMPRODUCT(--($AR$2:$AR$4001&lt;$AR763))+1,"")</f>
        <v/>
      </c>
      <c r="AP763">
        <f>IF($E763="","",IF(OR($U763=TRUE(),$U763="TRUE"),1,0))</f>
        <v/>
      </c>
      <c r="AQ763">
        <f>IF($E763="","",IF($AA763="Yes",1,0))</f>
        <v/>
      </c>
      <c r="AR763">
        <f>IF($AN763=1,IFERROR(VALUE(MID($E763,2,20)),1000000000)+ROW()/100000,"")</f>
        <v/>
      </c>
    </row>
    <row r="764">
      <c r="G764" s="11" t="n"/>
      <c r="Q764" s="7">
        <f>IF($E764="","",P764*Y764/100)</f>
        <v/>
      </c>
      <c r="R764" s="7" t="n"/>
      <c r="X764" s="7" t="n"/>
      <c r="Y764" s="7" t="n"/>
      <c r="AB764">
        <f>IF($E764="","",IF($AQ764=1,0,IF($AP764=1,Settings!$C$6,Settings!$C$7))*100)</f>
        <v/>
      </c>
      <c r="AC764" s="7">
        <f>IF($E764="","",Y764*AB764/100)</f>
        <v/>
      </c>
      <c r="AD764" s="7">
        <f>IF($E764="","",Y764-AC764)</f>
        <v/>
      </c>
      <c r="AE764" s="7">
        <f>IF($E764="","",AD764-Q764)</f>
        <v/>
      </c>
      <c r="AI764" s="7" t="n"/>
      <c r="AL764" s="11" t="n"/>
      <c r="AN764">
        <f>IF($E764="","",IF(COUNTIF($E$2:$E764,$E764)=1,1,0))</f>
        <v/>
      </c>
      <c r="AO764">
        <f>IF($AN764=1,SUMPRODUCT(--($AR$2:$AR$4001&lt;$AR764))+1,"")</f>
        <v/>
      </c>
      <c r="AP764">
        <f>IF($E764="","",IF(OR($U764=TRUE(),$U764="TRUE"),1,0))</f>
        <v/>
      </c>
      <c r="AQ764">
        <f>IF($E764="","",IF($AA764="Yes",1,0))</f>
        <v/>
      </c>
      <c r="AR764">
        <f>IF($AN764=1,IFERROR(VALUE(MID($E764,2,20)),1000000000)+ROW()/100000,"")</f>
        <v/>
      </c>
    </row>
    <row r="765">
      <c r="G765" s="11" t="n"/>
      <c r="Q765" s="7">
        <f>IF($E765="","",P765*Y765/100)</f>
        <v/>
      </c>
      <c r="R765" s="7" t="n"/>
      <c r="X765" s="7" t="n"/>
      <c r="Y765" s="7" t="n"/>
      <c r="AB765">
        <f>IF($E765="","",IF($AQ765=1,0,IF($AP765=1,Settings!$C$6,Settings!$C$7))*100)</f>
        <v/>
      </c>
      <c r="AC765" s="7">
        <f>IF($E765="","",Y765*AB765/100)</f>
        <v/>
      </c>
      <c r="AD765" s="7">
        <f>IF($E765="","",Y765-AC765)</f>
        <v/>
      </c>
      <c r="AE765" s="7">
        <f>IF($E765="","",AD765-Q765)</f>
        <v/>
      </c>
      <c r="AI765" s="7" t="n"/>
      <c r="AL765" s="11" t="n"/>
      <c r="AN765">
        <f>IF($E765="","",IF(COUNTIF($E$2:$E765,$E765)=1,1,0))</f>
        <v/>
      </c>
      <c r="AO765">
        <f>IF($AN765=1,SUMPRODUCT(--($AR$2:$AR$4001&lt;$AR765))+1,"")</f>
        <v/>
      </c>
      <c r="AP765">
        <f>IF($E765="","",IF(OR($U765=TRUE(),$U765="TRUE"),1,0))</f>
        <v/>
      </c>
      <c r="AQ765">
        <f>IF($E765="","",IF($AA765="Yes",1,0))</f>
        <v/>
      </c>
      <c r="AR765">
        <f>IF($AN765=1,IFERROR(VALUE(MID($E765,2,20)),1000000000)+ROW()/100000,"")</f>
        <v/>
      </c>
    </row>
    <row r="766">
      <c r="G766" s="11" t="n"/>
      <c r="Q766" s="7">
        <f>IF($E766="","",P766*Y766/100)</f>
        <v/>
      </c>
      <c r="R766" s="7" t="n"/>
      <c r="X766" s="7" t="n"/>
      <c r="Y766" s="7" t="n"/>
      <c r="AB766">
        <f>IF($E766="","",IF($AQ766=1,0,IF($AP766=1,Settings!$C$6,Settings!$C$7))*100)</f>
        <v/>
      </c>
      <c r="AC766" s="7">
        <f>IF($E766="","",Y766*AB766/100)</f>
        <v/>
      </c>
      <c r="AD766" s="7">
        <f>IF($E766="","",Y766-AC766)</f>
        <v/>
      </c>
      <c r="AE766" s="7">
        <f>IF($E766="","",AD766-Q766)</f>
        <v/>
      </c>
      <c r="AI766" s="7" t="n"/>
      <c r="AL766" s="11" t="n"/>
      <c r="AN766">
        <f>IF($E766="","",IF(COUNTIF($E$2:$E766,$E766)=1,1,0))</f>
        <v/>
      </c>
      <c r="AO766">
        <f>IF($AN766=1,SUMPRODUCT(--($AR$2:$AR$4001&lt;$AR766))+1,"")</f>
        <v/>
      </c>
      <c r="AP766">
        <f>IF($E766="","",IF(OR($U766=TRUE(),$U766="TRUE"),1,0))</f>
        <v/>
      </c>
      <c r="AQ766">
        <f>IF($E766="","",IF($AA766="Yes",1,0))</f>
        <v/>
      </c>
      <c r="AR766">
        <f>IF($AN766=1,IFERROR(VALUE(MID($E766,2,20)),1000000000)+ROW()/100000,"")</f>
        <v/>
      </c>
    </row>
    <row r="767">
      <c r="G767" s="11" t="n"/>
      <c r="Q767" s="7">
        <f>IF($E767="","",P767*Y767/100)</f>
        <v/>
      </c>
      <c r="R767" s="7" t="n"/>
      <c r="X767" s="7" t="n"/>
      <c r="Y767" s="7" t="n"/>
      <c r="AB767">
        <f>IF($E767="","",IF($AQ767=1,0,IF($AP767=1,Settings!$C$6,Settings!$C$7))*100)</f>
        <v/>
      </c>
      <c r="AC767" s="7">
        <f>IF($E767="","",Y767*AB767/100)</f>
        <v/>
      </c>
      <c r="AD767" s="7">
        <f>IF($E767="","",Y767-AC767)</f>
        <v/>
      </c>
      <c r="AE767" s="7">
        <f>IF($E767="","",AD767-Q767)</f>
        <v/>
      </c>
      <c r="AI767" s="7" t="n"/>
      <c r="AL767" s="11" t="n"/>
      <c r="AN767">
        <f>IF($E767="","",IF(COUNTIF($E$2:$E767,$E767)=1,1,0))</f>
        <v/>
      </c>
      <c r="AO767">
        <f>IF($AN767=1,SUMPRODUCT(--($AR$2:$AR$4001&lt;$AR767))+1,"")</f>
        <v/>
      </c>
      <c r="AP767">
        <f>IF($E767="","",IF(OR($U767=TRUE(),$U767="TRUE"),1,0))</f>
        <v/>
      </c>
      <c r="AQ767">
        <f>IF($E767="","",IF($AA767="Yes",1,0))</f>
        <v/>
      </c>
      <c r="AR767">
        <f>IF($AN767=1,IFERROR(VALUE(MID($E767,2,20)),1000000000)+ROW()/100000,"")</f>
        <v/>
      </c>
    </row>
    <row r="768">
      <c r="G768" s="11" t="n"/>
      <c r="Q768" s="7">
        <f>IF($E768="","",P768*Y768/100)</f>
        <v/>
      </c>
      <c r="R768" s="7" t="n"/>
      <c r="X768" s="7" t="n"/>
      <c r="Y768" s="7" t="n"/>
      <c r="AB768">
        <f>IF($E768="","",IF($AQ768=1,0,IF($AP768=1,Settings!$C$6,Settings!$C$7))*100)</f>
        <v/>
      </c>
      <c r="AC768" s="7">
        <f>IF($E768="","",Y768*AB768/100)</f>
        <v/>
      </c>
      <c r="AD768" s="7">
        <f>IF($E768="","",Y768-AC768)</f>
        <v/>
      </c>
      <c r="AE768" s="7">
        <f>IF($E768="","",AD768-Q768)</f>
        <v/>
      </c>
      <c r="AI768" s="7" t="n"/>
      <c r="AL768" s="11" t="n"/>
      <c r="AN768">
        <f>IF($E768="","",IF(COUNTIF($E$2:$E768,$E768)=1,1,0))</f>
        <v/>
      </c>
      <c r="AO768">
        <f>IF($AN768=1,SUMPRODUCT(--($AR$2:$AR$4001&lt;$AR768))+1,"")</f>
        <v/>
      </c>
      <c r="AP768">
        <f>IF($E768="","",IF(OR($U768=TRUE(),$U768="TRUE"),1,0))</f>
        <v/>
      </c>
      <c r="AQ768">
        <f>IF($E768="","",IF($AA768="Yes",1,0))</f>
        <v/>
      </c>
      <c r="AR768">
        <f>IF($AN768=1,IFERROR(VALUE(MID($E768,2,20)),1000000000)+ROW()/100000,"")</f>
        <v/>
      </c>
    </row>
    <row r="769">
      <c r="G769" s="11" t="n"/>
      <c r="Q769" s="7">
        <f>IF($E769="","",P769*Y769/100)</f>
        <v/>
      </c>
      <c r="R769" s="7" t="n"/>
      <c r="X769" s="7" t="n"/>
      <c r="Y769" s="7" t="n"/>
      <c r="AB769">
        <f>IF($E769="","",IF($AQ769=1,0,IF($AP769=1,Settings!$C$6,Settings!$C$7))*100)</f>
        <v/>
      </c>
      <c r="AC769" s="7">
        <f>IF($E769="","",Y769*AB769/100)</f>
        <v/>
      </c>
      <c r="AD769" s="7">
        <f>IF($E769="","",Y769-AC769)</f>
        <v/>
      </c>
      <c r="AE769" s="7">
        <f>IF($E769="","",AD769-Q769)</f>
        <v/>
      </c>
      <c r="AI769" s="7" t="n"/>
      <c r="AL769" s="11" t="n"/>
      <c r="AN769">
        <f>IF($E769="","",IF(COUNTIF($E$2:$E769,$E769)=1,1,0))</f>
        <v/>
      </c>
      <c r="AO769">
        <f>IF($AN769=1,SUMPRODUCT(--($AR$2:$AR$4001&lt;$AR769))+1,"")</f>
        <v/>
      </c>
      <c r="AP769">
        <f>IF($E769="","",IF(OR($U769=TRUE(),$U769="TRUE"),1,0))</f>
        <v/>
      </c>
      <c r="AQ769">
        <f>IF($E769="","",IF($AA769="Yes",1,0))</f>
        <v/>
      </c>
      <c r="AR769">
        <f>IF($AN769=1,IFERROR(VALUE(MID($E769,2,20)),1000000000)+ROW()/100000,"")</f>
        <v/>
      </c>
    </row>
    <row r="770">
      <c r="G770" s="11" t="n"/>
      <c r="Q770" s="7">
        <f>IF($E770="","",P770*Y770/100)</f>
        <v/>
      </c>
      <c r="R770" s="7" t="n"/>
      <c r="X770" s="7" t="n"/>
      <c r="Y770" s="7" t="n"/>
      <c r="AB770">
        <f>IF($E770="","",IF($AQ770=1,0,IF($AP770=1,Settings!$C$6,Settings!$C$7))*100)</f>
        <v/>
      </c>
      <c r="AC770" s="7">
        <f>IF($E770="","",Y770*AB770/100)</f>
        <v/>
      </c>
      <c r="AD770" s="7">
        <f>IF($E770="","",Y770-AC770)</f>
        <v/>
      </c>
      <c r="AE770" s="7">
        <f>IF($E770="","",AD770-Q770)</f>
        <v/>
      </c>
      <c r="AI770" s="7" t="n"/>
      <c r="AL770" s="11" t="n"/>
      <c r="AN770">
        <f>IF($E770="","",IF(COUNTIF($E$2:$E770,$E770)=1,1,0))</f>
        <v/>
      </c>
      <c r="AO770">
        <f>IF($AN770=1,SUMPRODUCT(--($AR$2:$AR$4001&lt;$AR770))+1,"")</f>
        <v/>
      </c>
      <c r="AP770">
        <f>IF($E770="","",IF(OR($U770=TRUE(),$U770="TRUE"),1,0))</f>
        <v/>
      </c>
      <c r="AQ770">
        <f>IF($E770="","",IF($AA770="Yes",1,0))</f>
        <v/>
      </c>
      <c r="AR770">
        <f>IF($AN770=1,IFERROR(VALUE(MID($E770,2,20)),1000000000)+ROW()/100000,"")</f>
        <v/>
      </c>
    </row>
    <row r="771">
      <c r="G771" s="11" t="n"/>
      <c r="Q771" s="7">
        <f>IF($E771="","",P771*Y771/100)</f>
        <v/>
      </c>
      <c r="R771" s="7" t="n"/>
      <c r="X771" s="7" t="n"/>
      <c r="Y771" s="7" t="n"/>
      <c r="AB771">
        <f>IF($E771="","",IF($AQ771=1,0,IF($AP771=1,Settings!$C$6,Settings!$C$7))*100)</f>
        <v/>
      </c>
      <c r="AC771" s="7">
        <f>IF($E771="","",Y771*AB771/100)</f>
        <v/>
      </c>
      <c r="AD771" s="7">
        <f>IF($E771="","",Y771-AC771)</f>
        <v/>
      </c>
      <c r="AE771" s="7">
        <f>IF($E771="","",AD771-Q771)</f>
        <v/>
      </c>
      <c r="AI771" s="7" t="n"/>
      <c r="AL771" s="11" t="n"/>
      <c r="AN771">
        <f>IF($E771="","",IF(COUNTIF($E$2:$E771,$E771)=1,1,0))</f>
        <v/>
      </c>
      <c r="AO771">
        <f>IF($AN771=1,SUMPRODUCT(--($AR$2:$AR$4001&lt;$AR771))+1,"")</f>
        <v/>
      </c>
      <c r="AP771">
        <f>IF($E771="","",IF(OR($U771=TRUE(),$U771="TRUE"),1,0))</f>
        <v/>
      </c>
      <c r="AQ771">
        <f>IF($E771="","",IF($AA771="Yes",1,0))</f>
        <v/>
      </c>
      <c r="AR771">
        <f>IF($AN771=1,IFERROR(VALUE(MID($E771,2,20)),1000000000)+ROW()/100000,"")</f>
        <v/>
      </c>
    </row>
    <row r="772">
      <c r="G772" s="11" t="n"/>
      <c r="Q772" s="7">
        <f>IF($E772="","",P772*Y772/100)</f>
        <v/>
      </c>
      <c r="R772" s="7" t="n"/>
      <c r="X772" s="7" t="n"/>
      <c r="Y772" s="7" t="n"/>
      <c r="AB772">
        <f>IF($E772="","",IF($AQ772=1,0,IF($AP772=1,Settings!$C$6,Settings!$C$7))*100)</f>
        <v/>
      </c>
      <c r="AC772" s="7">
        <f>IF($E772="","",Y772*AB772/100)</f>
        <v/>
      </c>
      <c r="AD772" s="7">
        <f>IF($E772="","",Y772-AC772)</f>
        <v/>
      </c>
      <c r="AE772" s="7">
        <f>IF($E772="","",AD772-Q772)</f>
        <v/>
      </c>
      <c r="AI772" s="7" t="n"/>
      <c r="AL772" s="11" t="n"/>
      <c r="AN772">
        <f>IF($E772="","",IF(COUNTIF($E$2:$E772,$E772)=1,1,0))</f>
        <v/>
      </c>
      <c r="AO772">
        <f>IF($AN772=1,SUMPRODUCT(--($AR$2:$AR$4001&lt;$AR772))+1,"")</f>
        <v/>
      </c>
      <c r="AP772">
        <f>IF($E772="","",IF(OR($U772=TRUE(),$U772="TRUE"),1,0))</f>
        <v/>
      </c>
      <c r="AQ772">
        <f>IF($E772="","",IF($AA772="Yes",1,0))</f>
        <v/>
      </c>
      <c r="AR772">
        <f>IF($AN772=1,IFERROR(VALUE(MID($E772,2,20)),1000000000)+ROW()/100000,"")</f>
        <v/>
      </c>
    </row>
    <row r="773">
      <c r="G773" s="11" t="n"/>
      <c r="Q773" s="7">
        <f>IF($E773="","",P773*Y773/100)</f>
        <v/>
      </c>
      <c r="R773" s="7" t="n"/>
      <c r="X773" s="7" t="n"/>
      <c r="Y773" s="7" t="n"/>
      <c r="AB773">
        <f>IF($E773="","",IF($AQ773=1,0,IF($AP773=1,Settings!$C$6,Settings!$C$7))*100)</f>
        <v/>
      </c>
      <c r="AC773" s="7">
        <f>IF($E773="","",Y773*AB773/100)</f>
        <v/>
      </c>
      <c r="AD773" s="7">
        <f>IF($E773="","",Y773-AC773)</f>
        <v/>
      </c>
      <c r="AE773" s="7">
        <f>IF($E773="","",AD773-Q773)</f>
        <v/>
      </c>
      <c r="AI773" s="7" t="n"/>
      <c r="AL773" s="11" t="n"/>
      <c r="AN773">
        <f>IF($E773="","",IF(COUNTIF($E$2:$E773,$E773)=1,1,0))</f>
        <v/>
      </c>
      <c r="AO773">
        <f>IF($AN773=1,SUMPRODUCT(--($AR$2:$AR$4001&lt;$AR773))+1,"")</f>
        <v/>
      </c>
      <c r="AP773">
        <f>IF($E773="","",IF(OR($U773=TRUE(),$U773="TRUE"),1,0))</f>
        <v/>
      </c>
      <c r="AQ773">
        <f>IF($E773="","",IF($AA773="Yes",1,0))</f>
        <v/>
      </c>
      <c r="AR773">
        <f>IF($AN773=1,IFERROR(VALUE(MID($E773,2,20)),1000000000)+ROW()/100000,"")</f>
        <v/>
      </c>
    </row>
    <row r="774">
      <c r="G774" s="11" t="n"/>
      <c r="Q774" s="7">
        <f>IF($E774="","",P774*Y774/100)</f>
        <v/>
      </c>
      <c r="R774" s="7" t="n"/>
      <c r="X774" s="7" t="n"/>
      <c r="Y774" s="7" t="n"/>
      <c r="AB774">
        <f>IF($E774="","",IF($AQ774=1,0,IF($AP774=1,Settings!$C$6,Settings!$C$7))*100)</f>
        <v/>
      </c>
      <c r="AC774" s="7">
        <f>IF($E774="","",Y774*AB774/100)</f>
        <v/>
      </c>
      <c r="AD774" s="7">
        <f>IF($E774="","",Y774-AC774)</f>
        <v/>
      </c>
      <c r="AE774" s="7">
        <f>IF($E774="","",AD774-Q774)</f>
        <v/>
      </c>
      <c r="AI774" s="7" t="n"/>
      <c r="AL774" s="11" t="n"/>
      <c r="AN774">
        <f>IF($E774="","",IF(COUNTIF($E$2:$E774,$E774)=1,1,0))</f>
        <v/>
      </c>
      <c r="AO774">
        <f>IF($AN774=1,SUMPRODUCT(--($AR$2:$AR$4001&lt;$AR774))+1,"")</f>
        <v/>
      </c>
      <c r="AP774">
        <f>IF($E774="","",IF(OR($U774=TRUE(),$U774="TRUE"),1,0))</f>
        <v/>
      </c>
      <c r="AQ774">
        <f>IF($E774="","",IF($AA774="Yes",1,0))</f>
        <v/>
      </c>
      <c r="AR774">
        <f>IF($AN774=1,IFERROR(VALUE(MID($E774,2,20)),1000000000)+ROW()/100000,"")</f>
        <v/>
      </c>
    </row>
    <row r="775">
      <c r="G775" s="11" t="n"/>
      <c r="Q775" s="7">
        <f>IF($E775="","",P775*Y775/100)</f>
        <v/>
      </c>
      <c r="R775" s="7" t="n"/>
      <c r="X775" s="7" t="n"/>
      <c r="Y775" s="7" t="n"/>
      <c r="AB775">
        <f>IF($E775="","",IF($AQ775=1,0,IF($AP775=1,Settings!$C$6,Settings!$C$7))*100)</f>
        <v/>
      </c>
      <c r="AC775" s="7">
        <f>IF($E775="","",Y775*AB775/100)</f>
        <v/>
      </c>
      <c r="AD775" s="7">
        <f>IF($E775="","",Y775-AC775)</f>
        <v/>
      </c>
      <c r="AE775" s="7">
        <f>IF($E775="","",AD775-Q775)</f>
        <v/>
      </c>
      <c r="AI775" s="7" t="n"/>
      <c r="AL775" s="11" t="n"/>
      <c r="AN775">
        <f>IF($E775="","",IF(COUNTIF($E$2:$E775,$E775)=1,1,0))</f>
        <v/>
      </c>
      <c r="AO775">
        <f>IF($AN775=1,SUMPRODUCT(--($AR$2:$AR$4001&lt;$AR775))+1,"")</f>
        <v/>
      </c>
      <c r="AP775">
        <f>IF($E775="","",IF(OR($U775=TRUE(),$U775="TRUE"),1,0))</f>
        <v/>
      </c>
      <c r="AQ775">
        <f>IF($E775="","",IF($AA775="Yes",1,0))</f>
        <v/>
      </c>
      <c r="AR775">
        <f>IF($AN775=1,IFERROR(VALUE(MID($E775,2,20)),1000000000)+ROW()/100000,"")</f>
        <v/>
      </c>
    </row>
    <row r="776">
      <c r="G776" s="11" t="n"/>
      <c r="Q776" s="7">
        <f>IF($E776="","",P776*Y776/100)</f>
        <v/>
      </c>
      <c r="R776" s="7" t="n"/>
      <c r="X776" s="7" t="n"/>
      <c r="Y776" s="7" t="n"/>
      <c r="AB776">
        <f>IF($E776="","",IF($AQ776=1,0,IF($AP776=1,Settings!$C$6,Settings!$C$7))*100)</f>
        <v/>
      </c>
      <c r="AC776" s="7">
        <f>IF($E776="","",Y776*AB776/100)</f>
        <v/>
      </c>
      <c r="AD776" s="7">
        <f>IF($E776="","",Y776-AC776)</f>
        <v/>
      </c>
      <c r="AE776" s="7">
        <f>IF($E776="","",AD776-Q776)</f>
        <v/>
      </c>
      <c r="AI776" s="7" t="n"/>
      <c r="AL776" s="11" t="n"/>
      <c r="AN776">
        <f>IF($E776="","",IF(COUNTIF($E$2:$E776,$E776)=1,1,0))</f>
        <v/>
      </c>
      <c r="AO776">
        <f>IF($AN776=1,SUMPRODUCT(--($AR$2:$AR$4001&lt;$AR776))+1,"")</f>
        <v/>
      </c>
      <c r="AP776">
        <f>IF($E776="","",IF(OR($U776=TRUE(),$U776="TRUE"),1,0))</f>
        <v/>
      </c>
      <c r="AQ776">
        <f>IF($E776="","",IF($AA776="Yes",1,0))</f>
        <v/>
      </c>
      <c r="AR776">
        <f>IF($AN776=1,IFERROR(VALUE(MID($E776,2,20)),1000000000)+ROW()/100000,"")</f>
        <v/>
      </c>
    </row>
    <row r="777">
      <c r="G777" s="11" t="n"/>
      <c r="Q777" s="7">
        <f>IF($E777="","",P777*Y777/100)</f>
        <v/>
      </c>
      <c r="R777" s="7" t="n"/>
      <c r="X777" s="7" t="n"/>
      <c r="Y777" s="7" t="n"/>
      <c r="AB777">
        <f>IF($E777="","",IF($AQ777=1,0,IF($AP777=1,Settings!$C$6,Settings!$C$7))*100)</f>
        <v/>
      </c>
      <c r="AC777" s="7">
        <f>IF($E777="","",Y777*AB777/100)</f>
        <v/>
      </c>
      <c r="AD777" s="7">
        <f>IF($E777="","",Y777-AC777)</f>
        <v/>
      </c>
      <c r="AE777" s="7">
        <f>IF($E777="","",AD777-Q777)</f>
        <v/>
      </c>
      <c r="AI777" s="7" t="n"/>
      <c r="AL777" s="11" t="n"/>
      <c r="AN777">
        <f>IF($E777="","",IF(COUNTIF($E$2:$E777,$E777)=1,1,0))</f>
        <v/>
      </c>
      <c r="AO777">
        <f>IF($AN777=1,SUMPRODUCT(--($AR$2:$AR$4001&lt;$AR777))+1,"")</f>
        <v/>
      </c>
      <c r="AP777">
        <f>IF($E777="","",IF(OR($U777=TRUE(),$U777="TRUE"),1,0))</f>
        <v/>
      </c>
      <c r="AQ777">
        <f>IF($E777="","",IF($AA777="Yes",1,0))</f>
        <v/>
      </c>
      <c r="AR777">
        <f>IF($AN777=1,IFERROR(VALUE(MID($E777,2,20)),1000000000)+ROW()/100000,"")</f>
        <v/>
      </c>
    </row>
    <row r="778">
      <c r="G778" s="11" t="n"/>
      <c r="Q778" s="7">
        <f>IF($E778="","",P778*Y778/100)</f>
        <v/>
      </c>
      <c r="R778" s="7" t="n"/>
      <c r="X778" s="7" t="n"/>
      <c r="Y778" s="7" t="n"/>
      <c r="AB778">
        <f>IF($E778="","",IF($AQ778=1,0,IF($AP778=1,Settings!$C$6,Settings!$C$7))*100)</f>
        <v/>
      </c>
      <c r="AC778" s="7">
        <f>IF($E778="","",Y778*AB778/100)</f>
        <v/>
      </c>
      <c r="AD778" s="7">
        <f>IF($E778="","",Y778-AC778)</f>
        <v/>
      </c>
      <c r="AE778" s="7">
        <f>IF($E778="","",AD778-Q778)</f>
        <v/>
      </c>
      <c r="AI778" s="7" t="n"/>
      <c r="AL778" s="11" t="n"/>
      <c r="AN778">
        <f>IF($E778="","",IF(COUNTIF($E$2:$E778,$E778)=1,1,0))</f>
        <v/>
      </c>
      <c r="AO778">
        <f>IF($AN778=1,SUMPRODUCT(--($AR$2:$AR$4001&lt;$AR778))+1,"")</f>
        <v/>
      </c>
      <c r="AP778">
        <f>IF($E778="","",IF(OR($U778=TRUE(),$U778="TRUE"),1,0))</f>
        <v/>
      </c>
      <c r="AQ778">
        <f>IF($E778="","",IF($AA778="Yes",1,0))</f>
        <v/>
      </c>
      <c r="AR778">
        <f>IF($AN778=1,IFERROR(VALUE(MID($E778,2,20)),1000000000)+ROW()/100000,"")</f>
        <v/>
      </c>
    </row>
    <row r="779">
      <c r="G779" s="11" t="n"/>
      <c r="Q779" s="7">
        <f>IF($E779="","",P779*Y779/100)</f>
        <v/>
      </c>
      <c r="R779" s="7" t="n"/>
      <c r="X779" s="7" t="n"/>
      <c r="Y779" s="7" t="n"/>
      <c r="AB779">
        <f>IF($E779="","",IF($AQ779=1,0,IF($AP779=1,Settings!$C$6,Settings!$C$7))*100)</f>
        <v/>
      </c>
      <c r="AC779" s="7">
        <f>IF($E779="","",Y779*AB779/100)</f>
        <v/>
      </c>
      <c r="AD779" s="7">
        <f>IF($E779="","",Y779-AC779)</f>
        <v/>
      </c>
      <c r="AE779" s="7">
        <f>IF($E779="","",AD779-Q779)</f>
        <v/>
      </c>
      <c r="AI779" s="7" t="n"/>
      <c r="AL779" s="11" t="n"/>
      <c r="AN779">
        <f>IF($E779="","",IF(COUNTIF($E$2:$E779,$E779)=1,1,0))</f>
        <v/>
      </c>
      <c r="AO779">
        <f>IF($AN779=1,SUMPRODUCT(--($AR$2:$AR$4001&lt;$AR779))+1,"")</f>
        <v/>
      </c>
      <c r="AP779">
        <f>IF($E779="","",IF(OR($U779=TRUE(),$U779="TRUE"),1,0))</f>
        <v/>
      </c>
      <c r="AQ779">
        <f>IF($E779="","",IF($AA779="Yes",1,0))</f>
        <v/>
      </c>
      <c r="AR779">
        <f>IF($AN779=1,IFERROR(VALUE(MID($E779,2,20)),1000000000)+ROW()/100000,"")</f>
        <v/>
      </c>
    </row>
    <row r="780">
      <c r="G780" s="11" t="n"/>
      <c r="Q780" s="7">
        <f>IF($E780="","",P780*Y780/100)</f>
        <v/>
      </c>
      <c r="R780" s="7" t="n"/>
      <c r="X780" s="7" t="n"/>
      <c r="Y780" s="7" t="n"/>
      <c r="AB780">
        <f>IF($E780="","",IF($AQ780=1,0,IF($AP780=1,Settings!$C$6,Settings!$C$7))*100)</f>
        <v/>
      </c>
      <c r="AC780" s="7">
        <f>IF($E780="","",Y780*AB780/100)</f>
        <v/>
      </c>
      <c r="AD780" s="7">
        <f>IF($E780="","",Y780-AC780)</f>
        <v/>
      </c>
      <c r="AE780" s="7">
        <f>IF($E780="","",AD780-Q780)</f>
        <v/>
      </c>
      <c r="AI780" s="7" t="n"/>
      <c r="AL780" s="11" t="n"/>
      <c r="AN780">
        <f>IF($E780="","",IF(COUNTIF($E$2:$E780,$E780)=1,1,0))</f>
        <v/>
      </c>
      <c r="AO780">
        <f>IF($AN780=1,SUMPRODUCT(--($AR$2:$AR$4001&lt;$AR780))+1,"")</f>
        <v/>
      </c>
      <c r="AP780">
        <f>IF($E780="","",IF(OR($U780=TRUE(),$U780="TRUE"),1,0))</f>
        <v/>
      </c>
      <c r="AQ780">
        <f>IF($E780="","",IF($AA780="Yes",1,0))</f>
        <v/>
      </c>
      <c r="AR780">
        <f>IF($AN780=1,IFERROR(VALUE(MID($E780,2,20)),1000000000)+ROW()/100000,"")</f>
        <v/>
      </c>
    </row>
    <row r="781">
      <c r="G781" s="11" t="n"/>
      <c r="Q781" s="7">
        <f>IF($E781="","",P781*Y781/100)</f>
        <v/>
      </c>
      <c r="R781" s="7" t="n"/>
      <c r="X781" s="7" t="n"/>
      <c r="Y781" s="7" t="n"/>
      <c r="AB781">
        <f>IF($E781="","",IF($AQ781=1,0,IF($AP781=1,Settings!$C$6,Settings!$C$7))*100)</f>
        <v/>
      </c>
      <c r="AC781" s="7">
        <f>IF($E781="","",Y781*AB781/100)</f>
        <v/>
      </c>
      <c r="AD781" s="7">
        <f>IF($E781="","",Y781-AC781)</f>
        <v/>
      </c>
      <c r="AE781" s="7">
        <f>IF($E781="","",AD781-Q781)</f>
        <v/>
      </c>
      <c r="AI781" s="7" t="n"/>
      <c r="AL781" s="11" t="n"/>
      <c r="AN781">
        <f>IF($E781="","",IF(COUNTIF($E$2:$E781,$E781)=1,1,0))</f>
        <v/>
      </c>
      <c r="AO781">
        <f>IF($AN781=1,SUMPRODUCT(--($AR$2:$AR$4001&lt;$AR781))+1,"")</f>
        <v/>
      </c>
      <c r="AP781">
        <f>IF($E781="","",IF(OR($U781=TRUE(),$U781="TRUE"),1,0))</f>
        <v/>
      </c>
      <c r="AQ781">
        <f>IF($E781="","",IF($AA781="Yes",1,0))</f>
        <v/>
      </c>
      <c r="AR781">
        <f>IF($AN781=1,IFERROR(VALUE(MID($E781,2,20)),1000000000)+ROW()/100000,"")</f>
        <v/>
      </c>
    </row>
    <row r="782">
      <c r="G782" s="11" t="n"/>
      <c r="Q782" s="7">
        <f>IF($E782="","",P782*Y782/100)</f>
        <v/>
      </c>
      <c r="R782" s="7" t="n"/>
      <c r="X782" s="7" t="n"/>
      <c r="Y782" s="7" t="n"/>
      <c r="AB782">
        <f>IF($E782="","",IF($AQ782=1,0,IF($AP782=1,Settings!$C$6,Settings!$C$7))*100)</f>
        <v/>
      </c>
      <c r="AC782" s="7">
        <f>IF($E782="","",Y782*AB782/100)</f>
        <v/>
      </c>
      <c r="AD782" s="7">
        <f>IF($E782="","",Y782-AC782)</f>
        <v/>
      </c>
      <c r="AE782" s="7">
        <f>IF($E782="","",AD782-Q782)</f>
        <v/>
      </c>
      <c r="AI782" s="7" t="n"/>
      <c r="AL782" s="11" t="n"/>
      <c r="AN782">
        <f>IF($E782="","",IF(COUNTIF($E$2:$E782,$E782)=1,1,0))</f>
        <v/>
      </c>
      <c r="AO782">
        <f>IF($AN782=1,SUMPRODUCT(--($AR$2:$AR$4001&lt;$AR782))+1,"")</f>
        <v/>
      </c>
      <c r="AP782">
        <f>IF($E782="","",IF(OR($U782=TRUE(),$U782="TRUE"),1,0))</f>
        <v/>
      </c>
      <c r="AQ782">
        <f>IF($E782="","",IF($AA782="Yes",1,0))</f>
        <v/>
      </c>
      <c r="AR782">
        <f>IF($AN782=1,IFERROR(VALUE(MID($E782,2,20)),1000000000)+ROW()/100000,"")</f>
        <v/>
      </c>
    </row>
    <row r="783">
      <c r="G783" s="11" t="n"/>
      <c r="Q783" s="7">
        <f>IF($E783="","",P783*Y783/100)</f>
        <v/>
      </c>
      <c r="R783" s="7" t="n"/>
      <c r="X783" s="7" t="n"/>
      <c r="Y783" s="7" t="n"/>
      <c r="AB783">
        <f>IF($E783="","",IF($AQ783=1,0,IF($AP783=1,Settings!$C$6,Settings!$C$7))*100)</f>
        <v/>
      </c>
      <c r="AC783" s="7">
        <f>IF($E783="","",Y783*AB783/100)</f>
        <v/>
      </c>
      <c r="AD783" s="7">
        <f>IF($E783="","",Y783-AC783)</f>
        <v/>
      </c>
      <c r="AE783" s="7">
        <f>IF($E783="","",AD783-Q783)</f>
        <v/>
      </c>
      <c r="AI783" s="7" t="n"/>
      <c r="AL783" s="11" t="n"/>
      <c r="AN783">
        <f>IF($E783="","",IF(COUNTIF($E$2:$E783,$E783)=1,1,0))</f>
        <v/>
      </c>
      <c r="AO783">
        <f>IF($AN783=1,SUMPRODUCT(--($AR$2:$AR$4001&lt;$AR783))+1,"")</f>
        <v/>
      </c>
      <c r="AP783">
        <f>IF($E783="","",IF(OR($U783=TRUE(),$U783="TRUE"),1,0))</f>
        <v/>
      </c>
      <c r="AQ783">
        <f>IF($E783="","",IF($AA783="Yes",1,0))</f>
        <v/>
      </c>
      <c r="AR783">
        <f>IF($AN783=1,IFERROR(VALUE(MID($E783,2,20)),1000000000)+ROW()/100000,"")</f>
        <v/>
      </c>
    </row>
    <row r="784">
      <c r="G784" s="11" t="n"/>
      <c r="Q784" s="7">
        <f>IF($E784="","",P784*Y784/100)</f>
        <v/>
      </c>
      <c r="R784" s="7" t="n"/>
      <c r="X784" s="7" t="n"/>
      <c r="Y784" s="7" t="n"/>
      <c r="AB784">
        <f>IF($E784="","",IF($AQ784=1,0,IF($AP784=1,Settings!$C$6,Settings!$C$7))*100)</f>
        <v/>
      </c>
      <c r="AC784" s="7">
        <f>IF($E784="","",Y784*AB784/100)</f>
        <v/>
      </c>
      <c r="AD784" s="7">
        <f>IF($E784="","",Y784-AC784)</f>
        <v/>
      </c>
      <c r="AE784" s="7">
        <f>IF($E784="","",AD784-Q784)</f>
        <v/>
      </c>
      <c r="AI784" s="7" t="n"/>
      <c r="AL784" s="11" t="n"/>
      <c r="AN784">
        <f>IF($E784="","",IF(COUNTIF($E$2:$E784,$E784)=1,1,0))</f>
        <v/>
      </c>
      <c r="AO784">
        <f>IF($AN784=1,SUMPRODUCT(--($AR$2:$AR$4001&lt;$AR784))+1,"")</f>
        <v/>
      </c>
      <c r="AP784">
        <f>IF($E784="","",IF(OR($U784=TRUE(),$U784="TRUE"),1,0))</f>
        <v/>
      </c>
      <c r="AQ784">
        <f>IF($E784="","",IF($AA784="Yes",1,0))</f>
        <v/>
      </c>
      <c r="AR784">
        <f>IF($AN784=1,IFERROR(VALUE(MID($E784,2,20)),1000000000)+ROW()/100000,"")</f>
        <v/>
      </c>
    </row>
    <row r="785">
      <c r="G785" s="11" t="n"/>
      <c r="Q785" s="7">
        <f>IF($E785="","",P785*Y785/100)</f>
        <v/>
      </c>
      <c r="R785" s="7" t="n"/>
      <c r="X785" s="7" t="n"/>
      <c r="Y785" s="7" t="n"/>
      <c r="AB785">
        <f>IF($E785="","",IF($AQ785=1,0,IF($AP785=1,Settings!$C$6,Settings!$C$7))*100)</f>
        <v/>
      </c>
      <c r="AC785" s="7">
        <f>IF($E785="","",Y785*AB785/100)</f>
        <v/>
      </c>
      <c r="AD785" s="7">
        <f>IF($E785="","",Y785-AC785)</f>
        <v/>
      </c>
      <c r="AE785" s="7">
        <f>IF($E785="","",AD785-Q785)</f>
        <v/>
      </c>
      <c r="AI785" s="7" t="n"/>
      <c r="AL785" s="11" t="n"/>
      <c r="AN785">
        <f>IF($E785="","",IF(COUNTIF($E$2:$E785,$E785)=1,1,0))</f>
        <v/>
      </c>
      <c r="AO785">
        <f>IF($AN785=1,SUMPRODUCT(--($AR$2:$AR$4001&lt;$AR785))+1,"")</f>
        <v/>
      </c>
      <c r="AP785">
        <f>IF($E785="","",IF(OR($U785=TRUE(),$U785="TRUE"),1,0))</f>
        <v/>
      </c>
      <c r="AQ785">
        <f>IF($E785="","",IF($AA785="Yes",1,0))</f>
        <v/>
      </c>
      <c r="AR785">
        <f>IF($AN785=1,IFERROR(VALUE(MID($E785,2,20)),1000000000)+ROW()/100000,"")</f>
        <v/>
      </c>
    </row>
    <row r="786">
      <c r="G786" s="11" t="n"/>
      <c r="Q786" s="7">
        <f>IF($E786="","",P786*Y786/100)</f>
        <v/>
      </c>
      <c r="R786" s="7" t="n"/>
      <c r="X786" s="7" t="n"/>
      <c r="Y786" s="7" t="n"/>
      <c r="AB786">
        <f>IF($E786="","",IF($AQ786=1,0,IF($AP786=1,Settings!$C$6,Settings!$C$7))*100)</f>
        <v/>
      </c>
      <c r="AC786" s="7">
        <f>IF($E786="","",Y786*AB786/100)</f>
        <v/>
      </c>
      <c r="AD786" s="7">
        <f>IF($E786="","",Y786-AC786)</f>
        <v/>
      </c>
      <c r="AE786" s="7">
        <f>IF($E786="","",AD786-Q786)</f>
        <v/>
      </c>
      <c r="AI786" s="7" t="n"/>
      <c r="AL786" s="11" t="n"/>
      <c r="AN786">
        <f>IF($E786="","",IF(COUNTIF($E$2:$E786,$E786)=1,1,0))</f>
        <v/>
      </c>
      <c r="AO786">
        <f>IF($AN786=1,SUMPRODUCT(--($AR$2:$AR$4001&lt;$AR786))+1,"")</f>
        <v/>
      </c>
      <c r="AP786">
        <f>IF($E786="","",IF(OR($U786=TRUE(),$U786="TRUE"),1,0))</f>
        <v/>
      </c>
      <c r="AQ786">
        <f>IF($E786="","",IF($AA786="Yes",1,0))</f>
        <v/>
      </c>
      <c r="AR786">
        <f>IF($AN786=1,IFERROR(VALUE(MID($E786,2,20)),1000000000)+ROW()/100000,"")</f>
        <v/>
      </c>
    </row>
    <row r="787">
      <c r="G787" s="11" t="n"/>
      <c r="Q787" s="7">
        <f>IF($E787="","",P787*Y787/100)</f>
        <v/>
      </c>
      <c r="R787" s="7" t="n"/>
      <c r="X787" s="7" t="n"/>
      <c r="Y787" s="7" t="n"/>
      <c r="AB787">
        <f>IF($E787="","",IF($AQ787=1,0,IF($AP787=1,Settings!$C$6,Settings!$C$7))*100)</f>
        <v/>
      </c>
      <c r="AC787" s="7">
        <f>IF($E787="","",Y787*AB787/100)</f>
        <v/>
      </c>
      <c r="AD787" s="7">
        <f>IF($E787="","",Y787-AC787)</f>
        <v/>
      </c>
      <c r="AE787" s="7">
        <f>IF($E787="","",AD787-Q787)</f>
        <v/>
      </c>
      <c r="AI787" s="7" t="n"/>
      <c r="AL787" s="11" t="n"/>
      <c r="AN787">
        <f>IF($E787="","",IF(COUNTIF($E$2:$E787,$E787)=1,1,0))</f>
        <v/>
      </c>
      <c r="AO787">
        <f>IF($AN787=1,SUMPRODUCT(--($AR$2:$AR$4001&lt;$AR787))+1,"")</f>
        <v/>
      </c>
      <c r="AP787">
        <f>IF($E787="","",IF(OR($U787=TRUE(),$U787="TRUE"),1,0))</f>
        <v/>
      </c>
      <c r="AQ787">
        <f>IF($E787="","",IF($AA787="Yes",1,0))</f>
        <v/>
      </c>
      <c r="AR787">
        <f>IF($AN787=1,IFERROR(VALUE(MID($E787,2,20)),1000000000)+ROW()/100000,"")</f>
        <v/>
      </c>
    </row>
    <row r="788">
      <c r="G788" s="11" t="n"/>
      <c r="Q788" s="7">
        <f>IF($E788="","",P788*Y788/100)</f>
        <v/>
      </c>
      <c r="R788" s="7" t="n"/>
      <c r="X788" s="7" t="n"/>
      <c r="Y788" s="7" t="n"/>
      <c r="AB788">
        <f>IF($E788="","",IF($AQ788=1,0,IF($AP788=1,Settings!$C$6,Settings!$C$7))*100)</f>
        <v/>
      </c>
      <c r="AC788" s="7">
        <f>IF($E788="","",Y788*AB788/100)</f>
        <v/>
      </c>
      <c r="AD788" s="7">
        <f>IF($E788="","",Y788-AC788)</f>
        <v/>
      </c>
      <c r="AE788" s="7">
        <f>IF($E788="","",AD788-Q788)</f>
        <v/>
      </c>
      <c r="AI788" s="7" t="n"/>
      <c r="AL788" s="11" t="n"/>
      <c r="AN788">
        <f>IF($E788="","",IF(COUNTIF($E$2:$E788,$E788)=1,1,0))</f>
        <v/>
      </c>
      <c r="AO788">
        <f>IF($AN788=1,SUMPRODUCT(--($AR$2:$AR$4001&lt;$AR788))+1,"")</f>
        <v/>
      </c>
      <c r="AP788">
        <f>IF($E788="","",IF(OR($U788=TRUE(),$U788="TRUE"),1,0))</f>
        <v/>
      </c>
      <c r="AQ788">
        <f>IF($E788="","",IF($AA788="Yes",1,0))</f>
        <v/>
      </c>
      <c r="AR788">
        <f>IF($AN788=1,IFERROR(VALUE(MID($E788,2,20)),1000000000)+ROW()/100000,"")</f>
        <v/>
      </c>
    </row>
    <row r="789">
      <c r="G789" s="11" t="n"/>
      <c r="Q789" s="7">
        <f>IF($E789="","",P789*Y789/100)</f>
        <v/>
      </c>
      <c r="R789" s="7" t="n"/>
      <c r="X789" s="7" t="n"/>
      <c r="Y789" s="7" t="n"/>
      <c r="AB789">
        <f>IF($E789="","",IF($AQ789=1,0,IF($AP789=1,Settings!$C$6,Settings!$C$7))*100)</f>
        <v/>
      </c>
      <c r="AC789" s="7">
        <f>IF($E789="","",Y789*AB789/100)</f>
        <v/>
      </c>
      <c r="AD789" s="7">
        <f>IF($E789="","",Y789-AC789)</f>
        <v/>
      </c>
      <c r="AE789" s="7">
        <f>IF($E789="","",AD789-Q789)</f>
        <v/>
      </c>
      <c r="AI789" s="7" t="n"/>
      <c r="AL789" s="11" t="n"/>
      <c r="AN789">
        <f>IF($E789="","",IF(COUNTIF($E$2:$E789,$E789)=1,1,0))</f>
        <v/>
      </c>
      <c r="AO789">
        <f>IF($AN789=1,SUMPRODUCT(--($AR$2:$AR$4001&lt;$AR789))+1,"")</f>
        <v/>
      </c>
      <c r="AP789">
        <f>IF($E789="","",IF(OR($U789=TRUE(),$U789="TRUE"),1,0))</f>
        <v/>
      </c>
      <c r="AQ789">
        <f>IF($E789="","",IF($AA789="Yes",1,0))</f>
        <v/>
      </c>
      <c r="AR789">
        <f>IF($AN789=1,IFERROR(VALUE(MID($E789,2,20)),1000000000)+ROW()/100000,"")</f>
        <v/>
      </c>
    </row>
    <row r="790">
      <c r="G790" s="11" t="n"/>
      <c r="Q790" s="7">
        <f>IF($E790="","",P790*Y790/100)</f>
        <v/>
      </c>
      <c r="R790" s="7" t="n"/>
      <c r="X790" s="7" t="n"/>
      <c r="Y790" s="7" t="n"/>
      <c r="AB790">
        <f>IF($E790="","",IF($AQ790=1,0,IF($AP790=1,Settings!$C$6,Settings!$C$7))*100)</f>
        <v/>
      </c>
      <c r="AC790" s="7">
        <f>IF($E790="","",Y790*AB790/100)</f>
        <v/>
      </c>
      <c r="AD790" s="7">
        <f>IF($E790="","",Y790-AC790)</f>
        <v/>
      </c>
      <c r="AE790" s="7">
        <f>IF($E790="","",AD790-Q790)</f>
        <v/>
      </c>
      <c r="AI790" s="7" t="n"/>
      <c r="AL790" s="11" t="n"/>
      <c r="AN790">
        <f>IF($E790="","",IF(COUNTIF($E$2:$E790,$E790)=1,1,0))</f>
        <v/>
      </c>
      <c r="AO790">
        <f>IF($AN790=1,SUMPRODUCT(--($AR$2:$AR$4001&lt;$AR790))+1,"")</f>
        <v/>
      </c>
      <c r="AP790">
        <f>IF($E790="","",IF(OR($U790=TRUE(),$U790="TRUE"),1,0))</f>
        <v/>
      </c>
      <c r="AQ790">
        <f>IF($E790="","",IF($AA790="Yes",1,0))</f>
        <v/>
      </c>
      <c r="AR790">
        <f>IF($AN790=1,IFERROR(VALUE(MID($E790,2,20)),1000000000)+ROW()/100000,"")</f>
        <v/>
      </c>
    </row>
    <row r="791">
      <c r="G791" s="11" t="n"/>
      <c r="Q791" s="7">
        <f>IF($E791="","",P791*Y791/100)</f>
        <v/>
      </c>
      <c r="R791" s="7" t="n"/>
      <c r="X791" s="7" t="n"/>
      <c r="Y791" s="7" t="n"/>
      <c r="AB791">
        <f>IF($E791="","",IF($AQ791=1,0,IF($AP791=1,Settings!$C$6,Settings!$C$7))*100)</f>
        <v/>
      </c>
      <c r="AC791" s="7">
        <f>IF($E791="","",Y791*AB791/100)</f>
        <v/>
      </c>
      <c r="AD791" s="7">
        <f>IF($E791="","",Y791-AC791)</f>
        <v/>
      </c>
      <c r="AE791" s="7">
        <f>IF($E791="","",AD791-Q791)</f>
        <v/>
      </c>
      <c r="AI791" s="7" t="n"/>
      <c r="AL791" s="11" t="n"/>
      <c r="AN791">
        <f>IF($E791="","",IF(COUNTIF($E$2:$E791,$E791)=1,1,0))</f>
        <v/>
      </c>
      <c r="AO791">
        <f>IF($AN791=1,SUMPRODUCT(--($AR$2:$AR$4001&lt;$AR791))+1,"")</f>
        <v/>
      </c>
      <c r="AP791">
        <f>IF($E791="","",IF(OR($U791=TRUE(),$U791="TRUE"),1,0))</f>
        <v/>
      </c>
      <c r="AQ791">
        <f>IF($E791="","",IF($AA791="Yes",1,0))</f>
        <v/>
      </c>
      <c r="AR791">
        <f>IF($AN791=1,IFERROR(VALUE(MID($E791,2,20)),1000000000)+ROW()/100000,"")</f>
        <v/>
      </c>
    </row>
    <row r="792">
      <c r="G792" s="11" t="n"/>
      <c r="Q792" s="7">
        <f>IF($E792="","",P792*Y792/100)</f>
        <v/>
      </c>
      <c r="R792" s="7" t="n"/>
      <c r="X792" s="7" t="n"/>
      <c r="Y792" s="7" t="n"/>
      <c r="AB792">
        <f>IF($E792="","",IF($AQ792=1,0,IF($AP792=1,Settings!$C$6,Settings!$C$7))*100)</f>
        <v/>
      </c>
      <c r="AC792" s="7">
        <f>IF($E792="","",Y792*AB792/100)</f>
        <v/>
      </c>
      <c r="AD792" s="7">
        <f>IF($E792="","",Y792-AC792)</f>
        <v/>
      </c>
      <c r="AE792" s="7">
        <f>IF($E792="","",AD792-Q792)</f>
        <v/>
      </c>
      <c r="AI792" s="7" t="n"/>
      <c r="AL792" s="11" t="n"/>
      <c r="AN792">
        <f>IF($E792="","",IF(COUNTIF($E$2:$E792,$E792)=1,1,0))</f>
        <v/>
      </c>
      <c r="AO792">
        <f>IF($AN792=1,SUMPRODUCT(--($AR$2:$AR$4001&lt;$AR792))+1,"")</f>
        <v/>
      </c>
      <c r="AP792">
        <f>IF($E792="","",IF(OR($U792=TRUE(),$U792="TRUE"),1,0))</f>
        <v/>
      </c>
      <c r="AQ792">
        <f>IF($E792="","",IF($AA792="Yes",1,0))</f>
        <v/>
      </c>
      <c r="AR792">
        <f>IF($AN792=1,IFERROR(VALUE(MID($E792,2,20)),1000000000)+ROW()/100000,"")</f>
        <v/>
      </c>
    </row>
    <row r="793">
      <c r="G793" s="11" t="n"/>
      <c r="Q793" s="7">
        <f>IF($E793="","",P793*Y793/100)</f>
        <v/>
      </c>
      <c r="R793" s="7" t="n"/>
      <c r="X793" s="7" t="n"/>
      <c r="Y793" s="7" t="n"/>
      <c r="AB793">
        <f>IF($E793="","",IF($AQ793=1,0,IF($AP793=1,Settings!$C$6,Settings!$C$7))*100)</f>
        <v/>
      </c>
      <c r="AC793" s="7">
        <f>IF($E793="","",Y793*AB793/100)</f>
        <v/>
      </c>
      <c r="AD793" s="7">
        <f>IF($E793="","",Y793-AC793)</f>
        <v/>
      </c>
      <c r="AE793" s="7">
        <f>IF($E793="","",AD793-Q793)</f>
        <v/>
      </c>
      <c r="AI793" s="7" t="n"/>
      <c r="AL793" s="11" t="n"/>
      <c r="AN793">
        <f>IF($E793="","",IF(COUNTIF($E$2:$E793,$E793)=1,1,0))</f>
        <v/>
      </c>
      <c r="AO793">
        <f>IF($AN793=1,SUMPRODUCT(--($AR$2:$AR$4001&lt;$AR793))+1,"")</f>
        <v/>
      </c>
      <c r="AP793">
        <f>IF($E793="","",IF(OR($U793=TRUE(),$U793="TRUE"),1,0))</f>
        <v/>
      </c>
      <c r="AQ793">
        <f>IF($E793="","",IF($AA793="Yes",1,0))</f>
        <v/>
      </c>
      <c r="AR793">
        <f>IF($AN793=1,IFERROR(VALUE(MID($E793,2,20)),1000000000)+ROW()/100000,"")</f>
        <v/>
      </c>
    </row>
    <row r="794">
      <c r="G794" s="11" t="n"/>
      <c r="Q794" s="7">
        <f>IF($E794="","",P794*Y794/100)</f>
        <v/>
      </c>
      <c r="R794" s="7" t="n"/>
      <c r="X794" s="7" t="n"/>
      <c r="Y794" s="7" t="n"/>
      <c r="AB794">
        <f>IF($E794="","",IF($AQ794=1,0,IF($AP794=1,Settings!$C$6,Settings!$C$7))*100)</f>
        <v/>
      </c>
      <c r="AC794" s="7">
        <f>IF($E794="","",Y794*AB794/100)</f>
        <v/>
      </c>
      <c r="AD794" s="7">
        <f>IF($E794="","",Y794-AC794)</f>
        <v/>
      </c>
      <c r="AE794" s="7">
        <f>IF($E794="","",AD794-Q794)</f>
        <v/>
      </c>
      <c r="AI794" s="7" t="n"/>
      <c r="AL794" s="11" t="n"/>
      <c r="AN794">
        <f>IF($E794="","",IF(COUNTIF($E$2:$E794,$E794)=1,1,0))</f>
        <v/>
      </c>
      <c r="AO794">
        <f>IF($AN794=1,SUMPRODUCT(--($AR$2:$AR$4001&lt;$AR794))+1,"")</f>
        <v/>
      </c>
      <c r="AP794">
        <f>IF($E794="","",IF(OR($U794=TRUE(),$U794="TRUE"),1,0))</f>
        <v/>
      </c>
      <c r="AQ794">
        <f>IF($E794="","",IF($AA794="Yes",1,0))</f>
        <v/>
      </c>
      <c r="AR794">
        <f>IF($AN794=1,IFERROR(VALUE(MID($E794,2,20)),1000000000)+ROW()/100000,"")</f>
        <v/>
      </c>
    </row>
    <row r="795">
      <c r="G795" s="11" t="n"/>
      <c r="Q795" s="7">
        <f>IF($E795="","",P795*Y795/100)</f>
        <v/>
      </c>
      <c r="R795" s="7" t="n"/>
      <c r="X795" s="7" t="n"/>
      <c r="Y795" s="7" t="n"/>
      <c r="AB795">
        <f>IF($E795="","",IF($AQ795=1,0,IF($AP795=1,Settings!$C$6,Settings!$C$7))*100)</f>
        <v/>
      </c>
      <c r="AC795" s="7">
        <f>IF($E795="","",Y795*AB795/100)</f>
        <v/>
      </c>
      <c r="AD795" s="7">
        <f>IF($E795="","",Y795-AC795)</f>
        <v/>
      </c>
      <c r="AE795" s="7">
        <f>IF($E795="","",AD795-Q795)</f>
        <v/>
      </c>
      <c r="AI795" s="7" t="n"/>
      <c r="AL795" s="11" t="n"/>
      <c r="AN795">
        <f>IF($E795="","",IF(COUNTIF($E$2:$E795,$E795)=1,1,0))</f>
        <v/>
      </c>
      <c r="AO795">
        <f>IF($AN795=1,SUMPRODUCT(--($AR$2:$AR$4001&lt;$AR795))+1,"")</f>
        <v/>
      </c>
      <c r="AP795">
        <f>IF($E795="","",IF(OR($U795=TRUE(),$U795="TRUE"),1,0))</f>
        <v/>
      </c>
      <c r="AQ795">
        <f>IF($E795="","",IF($AA795="Yes",1,0))</f>
        <v/>
      </c>
      <c r="AR795">
        <f>IF($AN795=1,IFERROR(VALUE(MID($E795,2,20)),1000000000)+ROW()/100000,"")</f>
        <v/>
      </c>
    </row>
    <row r="796">
      <c r="G796" s="11" t="n"/>
      <c r="Q796" s="7">
        <f>IF($E796="","",P796*Y796/100)</f>
        <v/>
      </c>
      <c r="R796" s="7" t="n"/>
      <c r="X796" s="7" t="n"/>
      <c r="Y796" s="7" t="n"/>
      <c r="AB796">
        <f>IF($E796="","",IF($AQ796=1,0,IF($AP796=1,Settings!$C$6,Settings!$C$7))*100)</f>
        <v/>
      </c>
      <c r="AC796" s="7">
        <f>IF($E796="","",Y796*AB796/100)</f>
        <v/>
      </c>
      <c r="AD796" s="7">
        <f>IF($E796="","",Y796-AC796)</f>
        <v/>
      </c>
      <c r="AE796" s="7">
        <f>IF($E796="","",AD796-Q796)</f>
        <v/>
      </c>
      <c r="AI796" s="7" t="n"/>
      <c r="AL796" s="11" t="n"/>
      <c r="AN796">
        <f>IF($E796="","",IF(COUNTIF($E$2:$E796,$E796)=1,1,0))</f>
        <v/>
      </c>
      <c r="AO796">
        <f>IF($AN796=1,SUMPRODUCT(--($AR$2:$AR$4001&lt;$AR796))+1,"")</f>
        <v/>
      </c>
      <c r="AP796">
        <f>IF($E796="","",IF(OR($U796=TRUE(),$U796="TRUE"),1,0))</f>
        <v/>
      </c>
      <c r="AQ796">
        <f>IF($E796="","",IF($AA796="Yes",1,0))</f>
        <v/>
      </c>
      <c r="AR796">
        <f>IF($AN796=1,IFERROR(VALUE(MID($E796,2,20)),1000000000)+ROW()/100000,"")</f>
        <v/>
      </c>
    </row>
    <row r="797">
      <c r="G797" s="11" t="n"/>
      <c r="Q797" s="7">
        <f>IF($E797="","",P797*Y797/100)</f>
        <v/>
      </c>
      <c r="R797" s="7" t="n"/>
      <c r="X797" s="7" t="n"/>
      <c r="Y797" s="7" t="n"/>
      <c r="AB797">
        <f>IF($E797="","",IF($AQ797=1,0,IF($AP797=1,Settings!$C$6,Settings!$C$7))*100)</f>
        <v/>
      </c>
      <c r="AC797" s="7">
        <f>IF($E797="","",Y797*AB797/100)</f>
        <v/>
      </c>
      <c r="AD797" s="7">
        <f>IF($E797="","",Y797-AC797)</f>
        <v/>
      </c>
      <c r="AE797" s="7">
        <f>IF($E797="","",AD797-Q797)</f>
        <v/>
      </c>
      <c r="AI797" s="7" t="n"/>
      <c r="AL797" s="11" t="n"/>
      <c r="AN797">
        <f>IF($E797="","",IF(COUNTIF($E$2:$E797,$E797)=1,1,0))</f>
        <v/>
      </c>
      <c r="AO797">
        <f>IF($AN797=1,SUMPRODUCT(--($AR$2:$AR$4001&lt;$AR797))+1,"")</f>
        <v/>
      </c>
      <c r="AP797">
        <f>IF($E797="","",IF(OR($U797=TRUE(),$U797="TRUE"),1,0))</f>
        <v/>
      </c>
      <c r="AQ797">
        <f>IF($E797="","",IF($AA797="Yes",1,0))</f>
        <v/>
      </c>
      <c r="AR797">
        <f>IF($AN797=1,IFERROR(VALUE(MID($E797,2,20)),1000000000)+ROW()/100000,"")</f>
        <v/>
      </c>
    </row>
    <row r="798">
      <c r="G798" s="11" t="n"/>
      <c r="Q798" s="7">
        <f>IF($E798="","",P798*Y798/100)</f>
        <v/>
      </c>
      <c r="R798" s="7" t="n"/>
      <c r="X798" s="7" t="n"/>
      <c r="Y798" s="7" t="n"/>
      <c r="AB798">
        <f>IF($E798="","",IF($AQ798=1,0,IF($AP798=1,Settings!$C$6,Settings!$C$7))*100)</f>
        <v/>
      </c>
      <c r="AC798" s="7">
        <f>IF($E798="","",Y798*AB798/100)</f>
        <v/>
      </c>
      <c r="AD798" s="7">
        <f>IF($E798="","",Y798-AC798)</f>
        <v/>
      </c>
      <c r="AE798" s="7">
        <f>IF($E798="","",AD798-Q798)</f>
        <v/>
      </c>
      <c r="AI798" s="7" t="n"/>
      <c r="AL798" s="11" t="n"/>
      <c r="AN798">
        <f>IF($E798="","",IF(COUNTIF($E$2:$E798,$E798)=1,1,0))</f>
        <v/>
      </c>
      <c r="AO798">
        <f>IF($AN798=1,SUMPRODUCT(--($AR$2:$AR$4001&lt;$AR798))+1,"")</f>
        <v/>
      </c>
      <c r="AP798">
        <f>IF($E798="","",IF(OR($U798=TRUE(),$U798="TRUE"),1,0))</f>
        <v/>
      </c>
      <c r="AQ798">
        <f>IF($E798="","",IF($AA798="Yes",1,0))</f>
        <v/>
      </c>
      <c r="AR798">
        <f>IF($AN798=1,IFERROR(VALUE(MID($E798,2,20)),1000000000)+ROW()/100000,"")</f>
        <v/>
      </c>
    </row>
    <row r="799">
      <c r="G799" s="11" t="n"/>
      <c r="Q799" s="7">
        <f>IF($E799="","",P799*Y799/100)</f>
        <v/>
      </c>
      <c r="R799" s="7" t="n"/>
      <c r="X799" s="7" t="n"/>
      <c r="Y799" s="7" t="n"/>
      <c r="AB799">
        <f>IF($E799="","",IF($AQ799=1,0,IF($AP799=1,Settings!$C$6,Settings!$C$7))*100)</f>
        <v/>
      </c>
      <c r="AC799" s="7">
        <f>IF($E799="","",Y799*AB799/100)</f>
        <v/>
      </c>
      <c r="AD799" s="7">
        <f>IF($E799="","",Y799-AC799)</f>
        <v/>
      </c>
      <c r="AE799" s="7">
        <f>IF($E799="","",AD799-Q799)</f>
        <v/>
      </c>
      <c r="AI799" s="7" t="n"/>
      <c r="AL799" s="11" t="n"/>
      <c r="AN799">
        <f>IF($E799="","",IF(COUNTIF($E$2:$E799,$E799)=1,1,0))</f>
        <v/>
      </c>
      <c r="AO799">
        <f>IF($AN799=1,SUMPRODUCT(--($AR$2:$AR$4001&lt;$AR799))+1,"")</f>
        <v/>
      </c>
      <c r="AP799">
        <f>IF($E799="","",IF(OR($U799=TRUE(),$U799="TRUE"),1,0))</f>
        <v/>
      </c>
      <c r="AQ799">
        <f>IF($E799="","",IF($AA799="Yes",1,0))</f>
        <v/>
      </c>
      <c r="AR799">
        <f>IF($AN799=1,IFERROR(VALUE(MID($E799,2,20)),1000000000)+ROW()/100000,"")</f>
        <v/>
      </c>
    </row>
    <row r="800">
      <c r="G800" s="11" t="n"/>
      <c r="Q800" s="7">
        <f>IF($E800="","",P800*Y800/100)</f>
        <v/>
      </c>
      <c r="R800" s="7" t="n"/>
      <c r="X800" s="7" t="n"/>
      <c r="Y800" s="7" t="n"/>
      <c r="AB800">
        <f>IF($E800="","",IF($AQ800=1,0,IF($AP800=1,Settings!$C$6,Settings!$C$7))*100)</f>
        <v/>
      </c>
      <c r="AC800" s="7">
        <f>IF($E800="","",Y800*AB800/100)</f>
        <v/>
      </c>
      <c r="AD800" s="7">
        <f>IF($E800="","",Y800-AC800)</f>
        <v/>
      </c>
      <c r="AE800" s="7">
        <f>IF($E800="","",AD800-Q800)</f>
        <v/>
      </c>
      <c r="AI800" s="7" t="n"/>
      <c r="AL800" s="11" t="n"/>
      <c r="AN800">
        <f>IF($E800="","",IF(COUNTIF($E$2:$E800,$E800)=1,1,0))</f>
        <v/>
      </c>
      <c r="AO800">
        <f>IF($AN800=1,SUMPRODUCT(--($AR$2:$AR$4001&lt;$AR800))+1,"")</f>
        <v/>
      </c>
      <c r="AP800">
        <f>IF($E800="","",IF(OR($U800=TRUE(),$U800="TRUE"),1,0))</f>
        <v/>
      </c>
      <c r="AQ800">
        <f>IF($E800="","",IF($AA800="Yes",1,0))</f>
        <v/>
      </c>
      <c r="AR800">
        <f>IF($AN800=1,IFERROR(VALUE(MID($E800,2,20)),1000000000)+ROW()/100000,"")</f>
        <v/>
      </c>
    </row>
    <row r="801">
      <c r="G801" s="11" t="n"/>
      <c r="Q801" s="7">
        <f>IF($E801="","",P801*Y801/100)</f>
        <v/>
      </c>
      <c r="R801" s="7" t="n"/>
      <c r="X801" s="7" t="n"/>
      <c r="Y801" s="7" t="n"/>
      <c r="AB801">
        <f>IF($E801="","",IF($AQ801=1,0,IF($AP801=1,Settings!$C$6,Settings!$C$7))*100)</f>
        <v/>
      </c>
      <c r="AC801" s="7">
        <f>IF($E801="","",Y801*AB801/100)</f>
        <v/>
      </c>
      <c r="AD801" s="7">
        <f>IF($E801="","",Y801-AC801)</f>
        <v/>
      </c>
      <c r="AE801" s="7">
        <f>IF($E801="","",AD801-Q801)</f>
        <v/>
      </c>
      <c r="AI801" s="7" t="n"/>
      <c r="AL801" s="11" t="n"/>
      <c r="AN801">
        <f>IF($E801="","",IF(COUNTIF($E$2:$E801,$E801)=1,1,0))</f>
        <v/>
      </c>
      <c r="AO801">
        <f>IF($AN801=1,SUMPRODUCT(--($AR$2:$AR$4001&lt;$AR801))+1,"")</f>
        <v/>
      </c>
      <c r="AP801">
        <f>IF($E801="","",IF(OR($U801=TRUE(),$U801="TRUE"),1,0))</f>
        <v/>
      </c>
      <c r="AQ801">
        <f>IF($E801="","",IF($AA801="Yes",1,0))</f>
        <v/>
      </c>
      <c r="AR801">
        <f>IF($AN801=1,IFERROR(VALUE(MID($E801,2,20)),1000000000)+ROW()/100000,"")</f>
        <v/>
      </c>
    </row>
    <row r="802">
      <c r="G802" s="11" t="n"/>
      <c r="Q802" s="7">
        <f>IF($E802="","",P802*Y802/100)</f>
        <v/>
      </c>
      <c r="R802" s="7" t="n"/>
      <c r="X802" s="7" t="n"/>
      <c r="Y802" s="7" t="n"/>
      <c r="AB802">
        <f>IF($E802="","",IF($AQ802=1,0,IF($AP802=1,Settings!$C$6,Settings!$C$7))*100)</f>
        <v/>
      </c>
      <c r="AC802" s="7">
        <f>IF($E802="","",Y802*AB802/100)</f>
        <v/>
      </c>
      <c r="AD802" s="7">
        <f>IF($E802="","",Y802-AC802)</f>
        <v/>
      </c>
      <c r="AE802" s="7">
        <f>IF($E802="","",AD802-Q802)</f>
        <v/>
      </c>
      <c r="AI802" s="7" t="n"/>
      <c r="AL802" s="11" t="n"/>
      <c r="AN802">
        <f>IF($E802="","",IF(COUNTIF($E$2:$E802,$E802)=1,1,0))</f>
        <v/>
      </c>
      <c r="AO802">
        <f>IF($AN802=1,SUMPRODUCT(--($AR$2:$AR$4001&lt;$AR802))+1,"")</f>
        <v/>
      </c>
      <c r="AP802">
        <f>IF($E802="","",IF(OR($U802=TRUE(),$U802="TRUE"),1,0))</f>
        <v/>
      </c>
      <c r="AQ802">
        <f>IF($E802="","",IF($AA802="Yes",1,0))</f>
        <v/>
      </c>
      <c r="AR802">
        <f>IF($AN802=1,IFERROR(VALUE(MID($E802,2,20)),1000000000)+ROW()/100000,"")</f>
        <v/>
      </c>
    </row>
    <row r="803">
      <c r="G803" s="11" t="n"/>
      <c r="Q803" s="7">
        <f>IF($E803="","",P803*Y803/100)</f>
        <v/>
      </c>
      <c r="R803" s="7" t="n"/>
      <c r="X803" s="7" t="n"/>
      <c r="Y803" s="7" t="n"/>
      <c r="AB803">
        <f>IF($E803="","",IF($AQ803=1,0,IF($AP803=1,Settings!$C$6,Settings!$C$7))*100)</f>
        <v/>
      </c>
      <c r="AC803" s="7">
        <f>IF($E803="","",Y803*AB803/100)</f>
        <v/>
      </c>
      <c r="AD803" s="7">
        <f>IF($E803="","",Y803-AC803)</f>
        <v/>
      </c>
      <c r="AE803" s="7">
        <f>IF($E803="","",AD803-Q803)</f>
        <v/>
      </c>
      <c r="AI803" s="7" t="n"/>
      <c r="AL803" s="11" t="n"/>
      <c r="AN803">
        <f>IF($E803="","",IF(COUNTIF($E$2:$E803,$E803)=1,1,0))</f>
        <v/>
      </c>
      <c r="AO803">
        <f>IF($AN803=1,SUMPRODUCT(--($AR$2:$AR$4001&lt;$AR803))+1,"")</f>
        <v/>
      </c>
      <c r="AP803">
        <f>IF($E803="","",IF(OR($U803=TRUE(),$U803="TRUE"),1,0))</f>
        <v/>
      </c>
      <c r="AQ803">
        <f>IF($E803="","",IF($AA803="Yes",1,0))</f>
        <v/>
      </c>
      <c r="AR803">
        <f>IF($AN803=1,IFERROR(VALUE(MID($E803,2,20)),1000000000)+ROW()/100000,"")</f>
        <v/>
      </c>
    </row>
    <row r="804">
      <c r="G804" s="11" t="n"/>
      <c r="Q804" s="7">
        <f>IF($E804="","",P804*Y804/100)</f>
        <v/>
      </c>
      <c r="R804" s="7" t="n"/>
      <c r="X804" s="7" t="n"/>
      <c r="Y804" s="7" t="n"/>
      <c r="AB804">
        <f>IF($E804="","",IF($AQ804=1,0,IF($AP804=1,Settings!$C$6,Settings!$C$7))*100)</f>
        <v/>
      </c>
      <c r="AC804" s="7">
        <f>IF($E804="","",Y804*AB804/100)</f>
        <v/>
      </c>
      <c r="AD804" s="7">
        <f>IF($E804="","",Y804-AC804)</f>
        <v/>
      </c>
      <c r="AE804" s="7">
        <f>IF($E804="","",AD804-Q804)</f>
        <v/>
      </c>
      <c r="AI804" s="7" t="n"/>
      <c r="AL804" s="11" t="n"/>
      <c r="AN804">
        <f>IF($E804="","",IF(COUNTIF($E$2:$E804,$E804)=1,1,0))</f>
        <v/>
      </c>
      <c r="AO804">
        <f>IF($AN804=1,SUMPRODUCT(--($AR$2:$AR$4001&lt;$AR804))+1,"")</f>
        <v/>
      </c>
      <c r="AP804">
        <f>IF($E804="","",IF(OR($U804=TRUE(),$U804="TRUE"),1,0))</f>
        <v/>
      </c>
      <c r="AQ804">
        <f>IF($E804="","",IF($AA804="Yes",1,0))</f>
        <v/>
      </c>
      <c r="AR804">
        <f>IF($AN804=1,IFERROR(VALUE(MID($E804,2,20)),1000000000)+ROW()/100000,"")</f>
        <v/>
      </c>
    </row>
    <row r="805">
      <c r="G805" s="11" t="n"/>
      <c r="Q805" s="7">
        <f>IF($E805="","",P805*Y805/100)</f>
        <v/>
      </c>
      <c r="R805" s="7" t="n"/>
      <c r="X805" s="7" t="n"/>
      <c r="Y805" s="7" t="n"/>
      <c r="AB805">
        <f>IF($E805="","",IF($AQ805=1,0,IF($AP805=1,Settings!$C$6,Settings!$C$7))*100)</f>
        <v/>
      </c>
      <c r="AC805" s="7">
        <f>IF($E805="","",Y805*AB805/100)</f>
        <v/>
      </c>
      <c r="AD805" s="7">
        <f>IF($E805="","",Y805-AC805)</f>
        <v/>
      </c>
      <c r="AE805" s="7">
        <f>IF($E805="","",AD805-Q805)</f>
        <v/>
      </c>
      <c r="AI805" s="7" t="n"/>
      <c r="AL805" s="11" t="n"/>
      <c r="AN805">
        <f>IF($E805="","",IF(COUNTIF($E$2:$E805,$E805)=1,1,0))</f>
        <v/>
      </c>
      <c r="AO805">
        <f>IF($AN805=1,SUMPRODUCT(--($AR$2:$AR$4001&lt;$AR805))+1,"")</f>
        <v/>
      </c>
      <c r="AP805">
        <f>IF($E805="","",IF(OR($U805=TRUE(),$U805="TRUE"),1,0))</f>
        <v/>
      </c>
      <c r="AQ805">
        <f>IF($E805="","",IF($AA805="Yes",1,0))</f>
        <v/>
      </c>
      <c r="AR805">
        <f>IF($AN805=1,IFERROR(VALUE(MID($E805,2,20)),1000000000)+ROW()/100000,"")</f>
        <v/>
      </c>
    </row>
    <row r="806">
      <c r="G806" s="11" t="n"/>
      <c r="Q806" s="7">
        <f>IF($E806="","",P806*Y806/100)</f>
        <v/>
      </c>
      <c r="R806" s="7" t="n"/>
      <c r="X806" s="7" t="n"/>
      <c r="Y806" s="7" t="n"/>
      <c r="AB806">
        <f>IF($E806="","",IF($AQ806=1,0,IF($AP806=1,Settings!$C$6,Settings!$C$7))*100)</f>
        <v/>
      </c>
      <c r="AC806" s="7">
        <f>IF($E806="","",Y806*AB806/100)</f>
        <v/>
      </c>
      <c r="AD806" s="7">
        <f>IF($E806="","",Y806-AC806)</f>
        <v/>
      </c>
      <c r="AE806" s="7">
        <f>IF($E806="","",AD806-Q806)</f>
        <v/>
      </c>
      <c r="AI806" s="7" t="n"/>
      <c r="AL806" s="11" t="n"/>
      <c r="AN806">
        <f>IF($E806="","",IF(COUNTIF($E$2:$E806,$E806)=1,1,0))</f>
        <v/>
      </c>
      <c r="AO806">
        <f>IF($AN806=1,SUMPRODUCT(--($AR$2:$AR$4001&lt;$AR806))+1,"")</f>
        <v/>
      </c>
      <c r="AP806">
        <f>IF($E806="","",IF(OR($U806=TRUE(),$U806="TRUE"),1,0))</f>
        <v/>
      </c>
      <c r="AQ806">
        <f>IF($E806="","",IF($AA806="Yes",1,0))</f>
        <v/>
      </c>
      <c r="AR806">
        <f>IF($AN806=1,IFERROR(VALUE(MID($E806,2,20)),1000000000)+ROW()/100000,"")</f>
        <v/>
      </c>
    </row>
    <row r="807">
      <c r="G807" s="11" t="n"/>
      <c r="Q807" s="7">
        <f>IF($E807="","",P807*Y807/100)</f>
        <v/>
      </c>
      <c r="R807" s="7" t="n"/>
      <c r="X807" s="7" t="n"/>
      <c r="Y807" s="7" t="n"/>
      <c r="AB807">
        <f>IF($E807="","",IF($AQ807=1,0,IF($AP807=1,Settings!$C$6,Settings!$C$7))*100)</f>
        <v/>
      </c>
      <c r="AC807" s="7">
        <f>IF($E807="","",Y807*AB807/100)</f>
        <v/>
      </c>
      <c r="AD807" s="7">
        <f>IF($E807="","",Y807-AC807)</f>
        <v/>
      </c>
      <c r="AE807" s="7">
        <f>IF($E807="","",AD807-Q807)</f>
        <v/>
      </c>
      <c r="AI807" s="7" t="n"/>
      <c r="AL807" s="11" t="n"/>
      <c r="AN807">
        <f>IF($E807="","",IF(COUNTIF($E$2:$E807,$E807)=1,1,0))</f>
        <v/>
      </c>
      <c r="AO807">
        <f>IF($AN807=1,SUMPRODUCT(--($AR$2:$AR$4001&lt;$AR807))+1,"")</f>
        <v/>
      </c>
      <c r="AP807">
        <f>IF($E807="","",IF(OR($U807=TRUE(),$U807="TRUE"),1,0))</f>
        <v/>
      </c>
      <c r="AQ807">
        <f>IF($E807="","",IF($AA807="Yes",1,0))</f>
        <v/>
      </c>
      <c r="AR807">
        <f>IF($AN807=1,IFERROR(VALUE(MID($E807,2,20)),1000000000)+ROW()/100000,"")</f>
        <v/>
      </c>
    </row>
    <row r="808">
      <c r="G808" s="11" t="n"/>
      <c r="Q808" s="7">
        <f>IF($E808="","",P808*Y808/100)</f>
        <v/>
      </c>
      <c r="R808" s="7" t="n"/>
      <c r="X808" s="7" t="n"/>
      <c r="Y808" s="7" t="n"/>
      <c r="AB808">
        <f>IF($E808="","",IF($AQ808=1,0,IF($AP808=1,Settings!$C$6,Settings!$C$7))*100)</f>
        <v/>
      </c>
      <c r="AC808" s="7">
        <f>IF($E808="","",Y808*AB808/100)</f>
        <v/>
      </c>
      <c r="AD808" s="7">
        <f>IF($E808="","",Y808-AC808)</f>
        <v/>
      </c>
      <c r="AE808" s="7">
        <f>IF($E808="","",AD808-Q808)</f>
        <v/>
      </c>
      <c r="AI808" s="7" t="n"/>
      <c r="AL808" s="11" t="n"/>
      <c r="AN808">
        <f>IF($E808="","",IF(COUNTIF($E$2:$E808,$E808)=1,1,0))</f>
        <v/>
      </c>
      <c r="AO808">
        <f>IF($AN808=1,SUMPRODUCT(--($AR$2:$AR$4001&lt;$AR808))+1,"")</f>
        <v/>
      </c>
      <c r="AP808">
        <f>IF($E808="","",IF(OR($U808=TRUE(),$U808="TRUE"),1,0))</f>
        <v/>
      </c>
      <c r="AQ808">
        <f>IF($E808="","",IF($AA808="Yes",1,0))</f>
        <v/>
      </c>
      <c r="AR808">
        <f>IF($AN808=1,IFERROR(VALUE(MID($E808,2,20)),1000000000)+ROW()/100000,"")</f>
        <v/>
      </c>
    </row>
    <row r="809">
      <c r="G809" s="11" t="n"/>
      <c r="Q809" s="7">
        <f>IF($E809="","",P809*Y809/100)</f>
        <v/>
      </c>
      <c r="R809" s="7" t="n"/>
      <c r="X809" s="7" t="n"/>
      <c r="Y809" s="7" t="n"/>
      <c r="AB809">
        <f>IF($E809="","",IF($AQ809=1,0,IF($AP809=1,Settings!$C$6,Settings!$C$7))*100)</f>
        <v/>
      </c>
      <c r="AC809" s="7">
        <f>IF($E809="","",Y809*AB809/100)</f>
        <v/>
      </c>
      <c r="AD809" s="7">
        <f>IF($E809="","",Y809-AC809)</f>
        <v/>
      </c>
      <c r="AE809" s="7">
        <f>IF($E809="","",AD809-Q809)</f>
        <v/>
      </c>
      <c r="AI809" s="7" t="n"/>
      <c r="AL809" s="11" t="n"/>
      <c r="AN809">
        <f>IF($E809="","",IF(COUNTIF($E$2:$E809,$E809)=1,1,0))</f>
        <v/>
      </c>
      <c r="AO809">
        <f>IF($AN809=1,SUMPRODUCT(--($AR$2:$AR$4001&lt;$AR809))+1,"")</f>
        <v/>
      </c>
      <c r="AP809">
        <f>IF($E809="","",IF(OR($U809=TRUE(),$U809="TRUE"),1,0))</f>
        <v/>
      </c>
      <c r="AQ809">
        <f>IF($E809="","",IF($AA809="Yes",1,0))</f>
        <v/>
      </c>
      <c r="AR809">
        <f>IF($AN809=1,IFERROR(VALUE(MID($E809,2,20)),1000000000)+ROW()/100000,"")</f>
        <v/>
      </c>
    </row>
    <row r="810">
      <c r="G810" s="11" t="n"/>
      <c r="Q810" s="7">
        <f>IF($E810="","",P810*Y810/100)</f>
        <v/>
      </c>
      <c r="R810" s="7" t="n"/>
      <c r="X810" s="7" t="n"/>
      <c r="Y810" s="7" t="n"/>
      <c r="AB810">
        <f>IF($E810="","",IF($AQ810=1,0,IF($AP810=1,Settings!$C$6,Settings!$C$7))*100)</f>
        <v/>
      </c>
      <c r="AC810" s="7">
        <f>IF($E810="","",Y810*AB810/100)</f>
        <v/>
      </c>
      <c r="AD810" s="7">
        <f>IF($E810="","",Y810-AC810)</f>
        <v/>
      </c>
      <c r="AE810" s="7">
        <f>IF($E810="","",AD810-Q810)</f>
        <v/>
      </c>
      <c r="AI810" s="7" t="n"/>
      <c r="AL810" s="11" t="n"/>
      <c r="AN810">
        <f>IF($E810="","",IF(COUNTIF($E$2:$E810,$E810)=1,1,0))</f>
        <v/>
      </c>
      <c r="AO810">
        <f>IF($AN810=1,SUMPRODUCT(--($AR$2:$AR$4001&lt;$AR810))+1,"")</f>
        <v/>
      </c>
      <c r="AP810">
        <f>IF($E810="","",IF(OR($U810=TRUE(),$U810="TRUE"),1,0))</f>
        <v/>
      </c>
      <c r="AQ810">
        <f>IF($E810="","",IF($AA810="Yes",1,0))</f>
        <v/>
      </c>
      <c r="AR810">
        <f>IF($AN810=1,IFERROR(VALUE(MID($E810,2,20)),1000000000)+ROW()/100000,"")</f>
        <v/>
      </c>
    </row>
    <row r="811">
      <c r="G811" s="11" t="n"/>
      <c r="Q811" s="7">
        <f>IF($E811="","",P811*Y811/100)</f>
        <v/>
      </c>
      <c r="R811" s="7" t="n"/>
      <c r="X811" s="7" t="n"/>
      <c r="Y811" s="7" t="n"/>
      <c r="AB811">
        <f>IF($E811="","",IF($AQ811=1,0,IF($AP811=1,Settings!$C$6,Settings!$C$7))*100)</f>
        <v/>
      </c>
      <c r="AC811" s="7">
        <f>IF($E811="","",Y811*AB811/100)</f>
        <v/>
      </c>
      <c r="AD811" s="7">
        <f>IF($E811="","",Y811-AC811)</f>
        <v/>
      </c>
      <c r="AE811" s="7">
        <f>IF($E811="","",AD811-Q811)</f>
        <v/>
      </c>
      <c r="AI811" s="7" t="n"/>
      <c r="AL811" s="11" t="n"/>
      <c r="AN811">
        <f>IF($E811="","",IF(COUNTIF($E$2:$E811,$E811)=1,1,0))</f>
        <v/>
      </c>
      <c r="AO811">
        <f>IF($AN811=1,SUMPRODUCT(--($AR$2:$AR$4001&lt;$AR811))+1,"")</f>
        <v/>
      </c>
      <c r="AP811">
        <f>IF($E811="","",IF(OR($U811=TRUE(),$U811="TRUE"),1,0))</f>
        <v/>
      </c>
      <c r="AQ811">
        <f>IF($E811="","",IF($AA811="Yes",1,0))</f>
        <v/>
      </c>
      <c r="AR811">
        <f>IF($AN811=1,IFERROR(VALUE(MID($E811,2,20)),1000000000)+ROW()/100000,"")</f>
        <v/>
      </c>
    </row>
    <row r="812">
      <c r="G812" s="11" t="n"/>
      <c r="Q812" s="7">
        <f>IF($E812="","",P812*Y812/100)</f>
        <v/>
      </c>
      <c r="R812" s="7" t="n"/>
      <c r="X812" s="7" t="n"/>
      <c r="Y812" s="7" t="n"/>
      <c r="AB812">
        <f>IF($E812="","",IF($AQ812=1,0,IF($AP812=1,Settings!$C$6,Settings!$C$7))*100)</f>
        <v/>
      </c>
      <c r="AC812" s="7">
        <f>IF($E812="","",Y812*AB812/100)</f>
        <v/>
      </c>
      <c r="AD812" s="7">
        <f>IF($E812="","",Y812-AC812)</f>
        <v/>
      </c>
      <c r="AE812" s="7">
        <f>IF($E812="","",AD812-Q812)</f>
        <v/>
      </c>
      <c r="AI812" s="7" t="n"/>
      <c r="AL812" s="11" t="n"/>
      <c r="AN812">
        <f>IF($E812="","",IF(COUNTIF($E$2:$E812,$E812)=1,1,0))</f>
        <v/>
      </c>
      <c r="AO812">
        <f>IF($AN812=1,SUMPRODUCT(--($AR$2:$AR$4001&lt;$AR812))+1,"")</f>
        <v/>
      </c>
      <c r="AP812">
        <f>IF($E812="","",IF(OR($U812=TRUE(),$U812="TRUE"),1,0))</f>
        <v/>
      </c>
      <c r="AQ812">
        <f>IF($E812="","",IF($AA812="Yes",1,0))</f>
        <v/>
      </c>
      <c r="AR812">
        <f>IF($AN812=1,IFERROR(VALUE(MID($E812,2,20)),1000000000)+ROW()/100000,"")</f>
        <v/>
      </c>
    </row>
    <row r="813">
      <c r="G813" s="11" t="n"/>
      <c r="Q813" s="7">
        <f>IF($E813="","",P813*Y813/100)</f>
        <v/>
      </c>
      <c r="R813" s="7" t="n"/>
      <c r="X813" s="7" t="n"/>
      <c r="Y813" s="7" t="n"/>
      <c r="AB813">
        <f>IF($E813="","",IF($AQ813=1,0,IF($AP813=1,Settings!$C$6,Settings!$C$7))*100)</f>
        <v/>
      </c>
      <c r="AC813" s="7">
        <f>IF($E813="","",Y813*AB813/100)</f>
        <v/>
      </c>
      <c r="AD813" s="7">
        <f>IF($E813="","",Y813-AC813)</f>
        <v/>
      </c>
      <c r="AE813" s="7">
        <f>IF($E813="","",AD813-Q813)</f>
        <v/>
      </c>
      <c r="AI813" s="7" t="n"/>
      <c r="AL813" s="11" t="n"/>
      <c r="AN813">
        <f>IF($E813="","",IF(COUNTIF($E$2:$E813,$E813)=1,1,0))</f>
        <v/>
      </c>
      <c r="AO813">
        <f>IF($AN813=1,SUMPRODUCT(--($AR$2:$AR$4001&lt;$AR813))+1,"")</f>
        <v/>
      </c>
      <c r="AP813">
        <f>IF($E813="","",IF(OR($U813=TRUE(),$U813="TRUE"),1,0))</f>
        <v/>
      </c>
      <c r="AQ813">
        <f>IF($E813="","",IF($AA813="Yes",1,0))</f>
        <v/>
      </c>
      <c r="AR813">
        <f>IF($AN813=1,IFERROR(VALUE(MID($E813,2,20)),1000000000)+ROW()/100000,"")</f>
        <v/>
      </c>
    </row>
    <row r="814">
      <c r="G814" s="11" t="n"/>
      <c r="Q814" s="7">
        <f>IF($E814="","",P814*Y814/100)</f>
        <v/>
      </c>
      <c r="R814" s="7" t="n"/>
      <c r="X814" s="7" t="n"/>
      <c r="Y814" s="7" t="n"/>
      <c r="AB814">
        <f>IF($E814="","",IF($AQ814=1,0,IF($AP814=1,Settings!$C$6,Settings!$C$7))*100)</f>
        <v/>
      </c>
      <c r="AC814" s="7">
        <f>IF($E814="","",Y814*AB814/100)</f>
        <v/>
      </c>
      <c r="AD814" s="7">
        <f>IF($E814="","",Y814-AC814)</f>
        <v/>
      </c>
      <c r="AE814" s="7">
        <f>IF($E814="","",AD814-Q814)</f>
        <v/>
      </c>
      <c r="AI814" s="7" t="n"/>
      <c r="AL814" s="11" t="n"/>
      <c r="AN814">
        <f>IF($E814="","",IF(COUNTIF($E$2:$E814,$E814)=1,1,0))</f>
        <v/>
      </c>
      <c r="AO814">
        <f>IF($AN814=1,SUMPRODUCT(--($AR$2:$AR$4001&lt;$AR814))+1,"")</f>
        <v/>
      </c>
      <c r="AP814">
        <f>IF($E814="","",IF(OR($U814=TRUE(),$U814="TRUE"),1,0))</f>
        <v/>
      </c>
      <c r="AQ814">
        <f>IF($E814="","",IF($AA814="Yes",1,0))</f>
        <v/>
      </c>
      <c r="AR814">
        <f>IF($AN814=1,IFERROR(VALUE(MID($E814,2,20)),1000000000)+ROW()/100000,"")</f>
        <v/>
      </c>
    </row>
    <row r="815">
      <c r="G815" s="11" t="n"/>
      <c r="Q815" s="7">
        <f>IF($E815="","",P815*Y815/100)</f>
        <v/>
      </c>
      <c r="R815" s="7" t="n"/>
      <c r="X815" s="7" t="n"/>
      <c r="Y815" s="7" t="n"/>
      <c r="AB815">
        <f>IF($E815="","",IF($AQ815=1,0,IF($AP815=1,Settings!$C$6,Settings!$C$7))*100)</f>
        <v/>
      </c>
      <c r="AC815" s="7">
        <f>IF($E815="","",Y815*AB815/100)</f>
        <v/>
      </c>
      <c r="AD815" s="7">
        <f>IF($E815="","",Y815-AC815)</f>
        <v/>
      </c>
      <c r="AE815" s="7">
        <f>IF($E815="","",AD815-Q815)</f>
        <v/>
      </c>
      <c r="AI815" s="7" t="n"/>
      <c r="AL815" s="11" t="n"/>
      <c r="AN815">
        <f>IF($E815="","",IF(COUNTIF($E$2:$E815,$E815)=1,1,0))</f>
        <v/>
      </c>
      <c r="AO815">
        <f>IF($AN815=1,SUMPRODUCT(--($AR$2:$AR$4001&lt;$AR815))+1,"")</f>
        <v/>
      </c>
      <c r="AP815">
        <f>IF($E815="","",IF(OR($U815=TRUE(),$U815="TRUE"),1,0))</f>
        <v/>
      </c>
      <c r="AQ815">
        <f>IF($E815="","",IF($AA815="Yes",1,0))</f>
        <v/>
      </c>
      <c r="AR815">
        <f>IF($AN815=1,IFERROR(VALUE(MID($E815,2,20)),1000000000)+ROW()/100000,"")</f>
        <v/>
      </c>
    </row>
    <row r="816">
      <c r="G816" s="11" t="n"/>
      <c r="Q816" s="7">
        <f>IF($E816="","",P816*Y816/100)</f>
        <v/>
      </c>
      <c r="R816" s="7" t="n"/>
      <c r="X816" s="7" t="n"/>
      <c r="Y816" s="7" t="n"/>
      <c r="AB816">
        <f>IF($E816="","",IF($AQ816=1,0,IF($AP816=1,Settings!$C$6,Settings!$C$7))*100)</f>
        <v/>
      </c>
      <c r="AC816" s="7">
        <f>IF($E816="","",Y816*AB816/100)</f>
        <v/>
      </c>
      <c r="AD816" s="7">
        <f>IF($E816="","",Y816-AC816)</f>
        <v/>
      </c>
      <c r="AE816" s="7">
        <f>IF($E816="","",AD816-Q816)</f>
        <v/>
      </c>
      <c r="AI816" s="7" t="n"/>
      <c r="AL816" s="11" t="n"/>
      <c r="AN816">
        <f>IF($E816="","",IF(COUNTIF($E$2:$E816,$E816)=1,1,0))</f>
        <v/>
      </c>
      <c r="AO816">
        <f>IF($AN816=1,SUMPRODUCT(--($AR$2:$AR$4001&lt;$AR816))+1,"")</f>
        <v/>
      </c>
      <c r="AP816">
        <f>IF($E816="","",IF(OR($U816=TRUE(),$U816="TRUE"),1,0))</f>
        <v/>
      </c>
      <c r="AQ816">
        <f>IF($E816="","",IF($AA816="Yes",1,0))</f>
        <v/>
      </c>
      <c r="AR816">
        <f>IF($AN816=1,IFERROR(VALUE(MID($E816,2,20)),1000000000)+ROW()/100000,"")</f>
        <v/>
      </c>
    </row>
    <row r="817">
      <c r="G817" s="11" t="n"/>
      <c r="Q817" s="7">
        <f>IF($E817="","",P817*Y817/100)</f>
        <v/>
      </c>
      <c r="R817" s="7" t="n"/>
      <c r="X817" s="7" t="n"/>
      <c r="Y817" s="7" t="n"/>
      <c r="AB817">
        <f>IF($E817="","",IF($AQ817=1,0,IF($AP817=1,Settings!$C$6,Settings!$C$7))*100)</f>
        <v/>
      </c>
      <c r="AC817" s="7">
        <f>IF($E817="","",Y817*AB817/100)</f>
        <v/>
      </c>
      <c r="AD817" s="7">
        <f>IF($E817="","",Y817-AC817)</f>
        <v/>
      </c>
      <c r="AE817" s="7">
        <f>IF($E817="","",AD817-Q817)</f>
        <v/>
      </c>
      <c r="AI817" s="7" t="n"/>
      <c r="AL817" s="11" t="n"/>
      <c r="AN817">
        <f>IF($E817="","",IF(COUNTIF($E$2:$E817,$E817)=1,1,0))</f>
        <v/>
      </c>
      <c r="AO817">
        <f>IF($AN817=1,SUMPRODUCT(--($AR$2:$AR$4001&lt;$AR817))+1,"")</f>
        <v/>
      </c>
      <c r="AP817">
        <f>IF($E817="","",IF(OR($U817=TRUE(),$U817="TRUE"),1,0))</f>
        <v/>
      </c>
      <c r="AQ817">
        <f>IF($E817="","",IF($AA817="Yes",1,0))</f>
        <v/>
      </c>
      <c r="AR817">
        <f>IF($AN817=1,IFERROR(VALUE(MID($E817,2,20)),1000000000)+ROW()/100000,"")</f>
        <v/>
      </c>
    </row>
    <row r="818">
      <c r="G818" s="11" t="n"/>
      <c r="Q818" s="7">
        <f>IF($E818="","",P818*Y818/100)</f>
        <v/>
      </c>
      <c r="R818" s="7" t="n"/>
      <c r="X818" s="7" t="n"/>
      <c r="Y818" s="7" t="n"/>
      <c r="AB818">
        <f>IF($E818="","",IF($AQ818=1,0,IF($AP818=1,Settings!$C$6,Settings!$C$7))*100)</f>
        <v/>
      </c>
      <c r="AC818" s="7">
        <f>IF($E818="","",Y818*AB818/100)</f>
        <v/>
      </c>
      <c r="AD818" s="7">
        <f>IF($E818="","",Y818-AC818)</f>
        <v/>
      </c>
      <c r="AE818" s="7">
        <f>IF($E818="","",AD818-Q818)</f>
        <v/>
      </c>
      <c r="AI818" s="7" t="n"/>
      <c r="AL818" s="11" t="n"/>
      <c r="AN818">
        <f>IF($E818="","",IF(COUNTIF($E$2:$E818,$E818)=1,1,0))</f>
        <v/>
      </c>
      <c r="AO818">
        <f>IF($AN818=1,SUMPRODUCT(--($AR$2:$AR$4001&lt;$AR818))+1,"")</f>
        <v/>
      </c>
      <c r="AP818">
        <f>IF($E818="","",IF(OR($U818=TRUE(),$U818="TRUE"),1,0))</f>
        <v/>
      </c>
      <c r="AQ818">
        <f>IF($E818="","",IF($AA818="Yes",1,0))</f>
        <v/>
      </c>
      <c r="AR818">
        <f>IF($AN818=1,IFERROR(VALUE(MID($E818,2,20)),1000000000)+ROW()/100000,"")</f>
        <v/>
      </c>
    </row>
    <row r="819">
      <c r="G819" s="11" t="n"/>
      <c r="Q819" s="7">
        <f>IF($E819="","",P819*Y819/100)</f>
        <v/>
      </c>
      <c r="R819" s="7" t="n"/>
      <c r="X819" s="7" t="n"/>
      <c r="Y819" s="7" t="n"/>
      <c r="AB819">
        <f>IF($E819="","",IF($AQ819=1,0,IF($AP819=1,Settings!$C$6,Settings!$C$7))*100)</f>
        <v/>
      </c>
      <c r="AC819" s="7">
        <f>IF($E819="","",Y819*AB819/100)</f>
        <v/>
      </c>
      <c r="AD819" s="7">
        <f>IF($E819="","",Y819-AC819)</f>
        <v/>
      </c>
      <c r="AE819" s="7">
        <f>IF($E819="","",AD819-Q819)</f>
        <v/>
      </c>
      <c r="AI819" s="7" t="n"/>
      <c r="AL819" s="11" t="n"/>
      <c r="AN819">
        <f>IF($E819="","",IF(COUNTIF($E$2:$E819,$E819)=1,1,0))</f>
        <v/>
      </c>
      <c r="AO819">
        <f>IF($AN819=1,SUMPRODUCT(--($AR$2:$AR$4001&lt;$AR819))+1,"")</f>
        <v/>
      </c>
      <c r="AP819">
        <f>IF($E819="","",IF(OR($U819=TRUE(),$U819="TRUE"),1,0))</f>
        <v/>
      </c>
      <c r="AQ819">
        <f>IF($E819="","",IF($AA819="Yes",1,0))</f>
        <v/>
      </c>
      <c r="AR819">
        <f>IF($AN819=1,IFERROR(VALUE(MID($E819,2,20)),1000000000)+ROW()/100000,"")</f>
        <v/>
      </c>
    </row>
    <row r="820">
      <c r="G820" s="11" t="n"/>
      <c r="Q820" s="7">
        <f>IF($E820="","",P820*Y820/100)</f>
        <v/>
      </c>
      <c r="R820" s="7" t="n"/>
      <c r="X820" s="7" t="n"/>
      <c r="Y820" s="7" t="n"/>
      <c r="AB820">
        <f>IF($E820="","",IF($AQ820=1,0,IF($AP820=1,Settings!$C$6,Settings!$C$7))*100)</f>
        <v/>
      </c>
      <c r="AC820" s="7">
        <f>IF($E820="","",Y820*AB820/100)</f>
        <v/>
      </c>
      <c r="AD820" s="7">
        <f>IF($E820="","",Y820-AC820)</f>
        <v/>
      </c>
      <c r="AE820" s="7">
        <f>IF($E820="","",AD820-Q820)</f>
        <v/>
      </c>
      <c r="AI820" s="7" t="n"/>
      <c r="AL820" s="11" t="n"/>
      <c r="AN820">
        <f>IF($E820="","",IF(COUNTIF($E$2:$E820,$E820)=1,1,0))</f>
        <v/>
      </c>
      <c r="AO820">
        <f>IF($AN820=1,SUMPRODUCT(--($AR$2:$AR$4001&lt;$AR820))+1,"")</f>
        <v/>
      </c>
      <c r="AP820">
        <f>IF($E820="","",IF(OR($U820=TRUE(),$U820="TRUE"),1,0))</f>
        <v/>
      </c>
      <c r="AQ820">
        <f>IF($E820="","",IF($AA820="Yes",1,0))</f>
        <v/>
      </c>
      <c r="AR820">
        <f>IF($AN820=1,IFERROR(VALUE(MID($E820,2,20)),1000000000)+ROW()/100000,"")</f>
        <v/>
      </c>
    </row>
    <row r="821">
      <c r="G821" s="11" t="n"/>
      <c r="Q821" s="7">
        <f>IF($E821="","",P821*Y821/100)</f>
        <v/>
      </c>
      <c r="R821" s="7" t="n"/>
      <c r="X821" s="7" t="n"/>
      <c r="Y821" s="7" t="n"/>
      <c r="AB821">
        <f>IF($E821="","",IF($AQ821=1,0,IF($AP821=1,Settings!$C$6,Settings!$C$7))*100)</f>
        <v/>
      </c>
      <c r="AC821" s="7">
        <f>IF($E821="","",Y821*AB821/100)</f>
        <v/>
      </c>
      <c r="AD821" s="7">
        <f>IF($E821="","",Y821-AC821)</f>
        <v/>
      </c>
      <c r="AE821" s="7">
        <f>IF($E821="","",AD821-Q821)</f>
        <v/>
      </c>
      <c r="AI821" s="7" t="n"/>
      <c r="AL821" s="11" t="n"/>
      <c r="AN821">
        <f>IF($E821="","",IF(COUNTIF($E$2:$E821,$E821)=1,1,0))</f>
        <v/>
      </c>
      <c r="AO821">
        <f>IF($AN821=1,SUMPRODUCT(--($AR$2:$AR$4001&lt;$AR821))+1,"")</f>
        <v/>
      </c>
      <c r="AP821">
        <f>IF($E821="","",IF(OR($U821=TRUE(),$U821="TRUE"),1,0))</f>
        <v/>
      </c>
      <c r="AQ821">
        <f>IF($E821="","",IF($AA821="Yes",1,0))</f>
        <v/>
      </c>
      <c r="AR821">
        <f>IF($AN821=1,IFERROR(VALUE(MID($E821,2,20)),1000000000)+ROW()/100000,"")</f>
        <v/>
      </c>
    </row>
    <row r="822">
      <c r="G822" s="11" t="n"/>
      <c r="Q822" s="7">
        <f>IF($E822="","",P822*Y822/100)</f>
        <v/>
      </c>
      <c r="R822" s="7" t="n"/>
      <c r="X822" s="7" t="n"/>
      <c r="Y822" s="7" t="n"/>
      <c r="AB822">
        <f>IF($E822="","",IF($AQ822=1,0,IF($AP822=1,Settings!$C$6,Settings!$C$7))*100)</f>
        <v/>
      </c>
      <c r="AC822" s="7">
        <f>IF($E822="","",Y822*AB822/100)</f>
        <v/>
      </c>
      <c r="AD822" s="7">
        <f>IF($E822="","",Y822-AC822)</f>
        <v/>
      </c>
      <c r="AE822" s="7">
        <f>IF($E822="","",AD822-Q822)</f>
        <v/>
      </c>
      <c r="AI822" s="7" t="n"/>
      <c r="AL822" s="11" t="n"/>
      <c r="AN822">
        <f>IF($E822="","",IF(COUNTIF($E$2:$E822,$E822)=1,1,0))</f>
        <v/>
      </c>
      <c r="AO822">
        <f>IF($AN822=1,SUMPRODUCT(--($AR$2:$AR$4001&lt;$AR822))+1,"")</f>
        <v/>
      </c>
      <c r="AP822">
        <f>IF($E822="","",IF(OR($U822=TRUE(),$U822="TRUE"),1,0))</f>
        <v/>
      </c>
      <c r="AQ822">
        <f>IF($E822="","",IF($AA822="Yes",1,0))</f>
        <v/>
      </c>
      <c r="AR822">
        <f>IF($AN822=1,IFERROR(VALUE(MID($E822,2,20)),1000000000)+ROW()/100000,"")</f>
        <v/>
      </c>
    </row>
    <row r="823">
      <c r="G823" s="11" t="n"/>
      <c r="Q823" s="7">
        <f>IF($E823="","",P823*Y823/100)</f>
        <v/>
      </c>
      <c r="R823" s="7" t="n"/>
      <c r="X823" s="7" t="n"/>
      <c r="Y823" s="7" t="n"/>
      <c r="AB823">
        <f>IF($E823="","",IF($AQ823=1,0,IF($AP823=1,Settings!$C$6,Settings!$C$7))*100)</f>
        <v/>
      </c>
      <c r="AC823" s="7">
        <f>IF($E823="","",Y823*AB823/100)</f>
        <v/>
      </c>
      <c r="AD823" s="7">
        <f>IF($E823="","",Y823-AC823)</f>
        <v/>
      </c>
      <c r="AE823" s="7">
        <f>IF($E823="","",AD823-Q823)</f>
        <v/>
      </c>
      <c r="AI823" s="7" t="n"/>
      <c r="AL823" s="11" t="n"/>
      <c r="AN823">
        <f>IF($E823="","",IF(COUNTIF($E$2:$E823,$E823)=1,1,0))</f>
        <v/>
      </c>
      <c r="AO823">
        <f>IF($AN823=1,SUMPRODUCT(--($AR$2:$AR$4001&lt;$AR823))+1,"")</f>
        <v/>
      </c>
      <c r="AP823">
        <f>IF($E823="","",IF(OR($U823=TRUE(),$U823="TRUE"),1,0))</f>
        <v/>
      </c>
      <c r="AQ823">
        <f>IF($E823="","",IF($AA823="Yes",1,0))</f>
        <v/>
      </c>
      <c r="AR823">
        <f>IF($AN823=1,IFERROR(VALUE(MID($E823,2,20)),1000000000)+ROW()/100000,"")</f>
        <v/>
      </c>
    </row>
    <row r="824">
      <c r="G824" s="11" t="n"/>
      <c r="Q824" s="7">
        <f>IF($E824="","",P824*Y824/100)</f>
        <v/>
      </c>
      <c r="R824" s="7" t="n"/>
      <c r="X824" s="7" t="n"/>
      <c r="Y824" s="7" t="n"/>
      <c r="AB824">
        <f>IF($E824="","",IF($AQ824=1,0,IF($AP824=1,Settings!$C$6,Settings!$C$7))*100)</f>
        <v/>
      </c>
      <c r="AC824" s="7">
        <f>IF($E824="","",Y824*AB824/100)</f>
        <v/>
      </c>
      <c r="AD824" s="7">
        <f>IF($E824="","",Y824-AC824)</f>
        <v/>
      </c>
      <c r="AE824" s="7">
        <f>IF($E824="","",AD824-Q824)</f>
        <v/>
      </c>
      <c r="AI824" s="7" t="n"/>
      <c r="AL824" s="11" t="n"/>
      <c r="AN824">
        <f>IF($E824="","",IF(COUNTIF($E$2:$E824,$E824)=1,1,0))</f>
        <v/>
      </c>
      <c r="AO824">
        <f>IF($AN824=1,SUMPRODUCT(--($AR$2:$AR$4001&lt;$AR824))+1,"")</f>
        <v/>
      </c>
      <c r="AP824">
        <f>IF($E824="","",IF(OR($U824=TRUE(),$U824="TRUE"),1,0))</f>
        <v/>
      </c>
      <c r="AQ824">
        <f>IF($E824="","",IF($AA824="Yes",1,0))</f>
        <v/>
      </c>
      <c r="AR824">
        <f>IF($AN824=1,IFERROR(VALUE(MID($E824,2,20)),1000000000)+ROW()/100000,"")</f>
        <v/>
      </c>
    </row>
    <row r="825">
      <c r="G825" s="11" t="n"/>
      <c r="Q825" s="7">
        <f>IF($E825="","",P825*Y825/100)</f>
        <v/>
      </c>
      <c r="R825" s="7" t="n"/>
      <c r="X825" s="7" t="n"/>
      <c r="Y825" s="7" t="n"/>
      <c r="AB825">
        <f>IF($E825="","",IF($AQ825=1,0,IF($AP825=1,Settings!$C$6,Settings!$C$7))*100)</f>
        <v/>
      </c>
      <c r="AC825" s="7">
        <f>IF($E825="","",Y825*AB825/100)</f>
        <v/>
      </c>
      <c r="AD825" s="7">
        <f>IF($E825="","",Y825-AC825)</f>
        <v/>
      </c>
      <c r="AE825" s="7">
        <f>IF($E825="","",AD825-Q825)</f>
        <v/>
      </c>
      <c r="AI825" s="7" t="n"/>
      <c r="AL825" s="11" t="n"/>
      <c r="AN825">
        <f>IF($E825="","",IF(COUNTIF($E$2:$E825,$E825)=1,1,0))</f>
        <v/>
      </c>
      <c r="AO825">
        <f>IF($AN825=1,SUMPRODUCT(--($AR$2:$AR$4001&lt;$AR825))+1,"")</f>
        <v/>
      </c>
      <c r="AP825">
        <f>IF($E825="","",IF(OR($U825=TRUE(),$U825="TRUE"),1,0))</f>
        <v/>
      </c>
      <c r="AQ825">
        <f>IF($E825="","",IF($AA825="Yes",1,0))</f>
        <v/>
      </c>
      <c r="AR825">
        <f>IF($AN825=1,IFERROR(VALUE(MID($E825,2,20)),1000000000)+ROW()/100000,"")</f>
        <v/>
      </c>
    </row>
    <row r="826">
      <c r="G826" s="11" t="n"/>
      <c r="Q826" s="7">
        <f>IF($E826="","",P826*Y826/100)</f>
        <v/>
      </c>
      <c r="R826" s="7" t="n"/>
      <c r="X826" s="7" t="n"/>
      <c r="Y826" s="7" t="n"/>
      <c r="AB826">
        <f>IF($E826="","",IF($AQ826=1,0,IF($AP826=1,Settings!$C$6,Settings!$C$7))*100)</f>
        <v/>
      </c>
      <c r="AC826" s="7">
        <f>IF($E826="","",Y826*AB826/100)</f>
        <v/>
      </c>
      <c r="AD826" s="7">
        <f>IF($E826="","",Y826-AC826)</f>
        <v/>
      </c>
      <c r="AE826" s="7">
        <f>IF($E826="","",AD826-Q826)</f>
        <v/>
      </c>
      <c r="AI826" s="7" t="n"/>
      <c r="AL826" s="11" t="n"/>
      <c r="AN826">
        <f>IF($E826="","",IF(COUNTIF($E$2:$E826,$E826)=1,1,0))</f>
        <v/>
      </c>
      <c r="AO826">
        <f>IF($AN826=1,SUMPRODUCT(--($AR$2:$AR$4001&lt;$AR826))+1,"")</f>
        <v/>
      </c>
      <c r="AP826">
        <f>IF($E826="","",IF(OR($U826=TRUE(),$U826="TRUE"),1,0))</f>
        <v/>
      </c>
      <c r="AQ826">
        <f>IF($E826="","",IF($AA826="Yes",1,0))</f>
        <v/>
      </c>
      <c r="AR826">
        <f>IF($AN826=1,IFERROR(VALUE(MID($E826,2,20)),1000000000)+ROW()/100000,"")</f>
        <v/>
      </c>
    </row>
    <row r="827">
      <c r="G827" s="11" t="n"/>
      <c r="Q827" s="7">
        <f>IF($E827="","",P827*Y827/100)</f>
        <v/>
      </c>
      <c r="R827" s="7" t="n"/>
      <c r="X827" s="7" t="n"/>
      <c r="Y827" s="7" t="n"/>
      <c r="AB827">
        <f>IF($E827="","",IF($AQ827=1,0,IF($AP827=1,Settings!$C$6,Settings!$C$7))*100)</f>
        <v/>
      </c>
      <c r="AC827" s="7">
        <f>IF($E827="","",Y827*AB827/100)</f>
        <v/>
      </c>
      <c r="AD827" s="7">
        <f>IF($E827="","",Y827-AC827)</f>
        <v/>
      </c>
      <c r="AE827" s="7">
        <f>IF($E827="","",AD827-Q827)</f>
        <v/>
      </c>
      <c r="AI827" s="7" t="n"/>
      <c r="AL827" s="11" t="n"/>
      <c r="AN827">
        <f>IF($E827="","",IF(COUNTIF($E$2:$E827,$E827)=1,1,0))</f>
        <v/>
      </c>
      <c r="AO827">
        <f>IF($AN827=1,SUMPRODUCT(--($AR$2:$AR$4001&lt;$AR827))+1,"")</f>
        <v/>
      </c>
      <c r="AP827">
        <f>IF($E827="","",IF(OR($U827=TRUE(),$U827="TRUE"),1,0))</f>
        <v/>
      </c>
      <c r="AQ827">
        <f>IF($E827="","",IF($AA827="Yes",1,0))</f>
        <v/>
      </c>
      <c r="AR827">
        <f>IF($AN827=1,IFERROR(VALUE(MID($E827,2,20)),1000000000)+ROW()/100000,"")</f>
        <v/>
      </c>
    </row>
    <row r="828">
      <c r="G828" s="11" t="n"/>
      <c r="Q828" s="7">
        <f>IF($E828="","",P828*Y828/100)</f>
        <v/>
      </c>
      <c r="R828" s="7" t="n"/>
      <c r="X828" s="7" t="n"/>
      <c r="Y828" s="7" t="n"/>
      <c r="AB828">
        <f>IF($E828="","",IF($AQ828=1,0,IF($AP828=1,Settings!$C$6,Settings!$C$7))*100)</f>
        <v/>
      </c>
      <c r="AC828" s="7">
        <f>IF($E828="","",Y828*AB828/100)</f>
        <v/>
      </c>
      <c r="AD828" s="7">
        <f>IF($E828="","",Y828-AC828)</f>
        <v/>
      </c>
      <c r="AE828" s="7">
        <f>IF($E828="","",AD828-Q828)</f>
        <v/>
      </c>
      <c r="AI828" s="7" t="n"/>
      <c r="AL828" s="11" t="n"/>
      <c r="AN828">
        <f>IF($E828="","",IF(COUNTIF($E$2:$E828,$E828)=1,1,0))</f>
        <v/>
      </c>
      <c r="AO828">
        <f>IF($AN828=1,SUMPRODUCT(--($AR$2:$AR$4001&lt;$AR828))+1,"")</f>
        <v/>
      </c>
      <c r="AP828">
        <f>IF($E828="","",IF(OR($U828=TRUE(),$U828="TRUE"),1,0))</f>
        <v/>
      </c>
      <c r="AQ828">
        <f>IF($E828="","",IF($AA828="Yes",1,0))</f>
        <v/>
      </c>
      <c r="AR828">
        <f>IF($AN828=1,IFERROR(VALUE(MID($E828,2,20)),1000000000)+ROW()/100000,"")</f>
        <v/>
      </c>
    </row>
    <row r="829">
      <c r="G829" s="11" t="n"/>
      <c r="Q829" s="7">
        <f>IF($E829="","",P829*Y829/100)</f>
        <v/>
      </c>
      <c r="R829" s="7" t="n"/>
      <c r="X829" s="7" t="n"/>
      <c r="Y829" s="7" t="n"/>
      <c r="AB829">
        <f>IF($E829="","",IF($AQ829=1,0,IF($AP829=1,Settings!$C$6,Settings!$C$7))*100)</f>
        <v/>
      </c>
      <c r="AC829" s="7">
        <f>IF($E829="","",Y829*AB829/100)</f>
        <v/>
      </c>
      <c r="AD829" s="7">
        <f>IF($E829="","",Y829-AC829)</f>
        <v/>
      </c>
      <c r="AE829" s="7">
        <f>IF($E829="","",AD829-Q829)</f>
        <v/>
      </c>
      <c r="AI829" s="7" t="n"/>
      <c r="AL829" s="11" t="n"/>
      <c r="AN829">
        <f>IF($E829="","",IF(COUNTIF($E$2:$E829,$E829)=1,1,0))</f>
        <v/>
      </c>
      <c r="AO829">
        <f>IF($AN829=1,SUMPRODUCT(--($AR$2:$AR$4001&lt;$AR829))+1,"")</f>
        <v/>
      </c>
      <c r="AP829">
        <f>IF($E829="","",IF(OR($U829=TRUE(),$U829="TRUE"),1,0))</f>
        <v/>
      </c>
      <c r="AQ829">
        <f>IF($E829="","",IF($AA829="Yes",1,0))</f>
        <v/>
      </c>
      <c r="AR829">
        <f>IF($AN829=1,IFERROR(VALUE(MID($E829,2,20)),1000000000)+ROW()/100000,"")</f>
        <v/>
      </c>
    </row>
    <row r="830">
      <c r="G830" s="11" t="n"/>
      <c r="Q830" s="7">
        <f>IF($E830="","",P830*Y830/100)</f>
        <v/>
      </c>
      <c r="R830" s="7" t="n"/>
      <c r="X830" s="7" t="n"/>
      <c r="Y830" s="7" t="n"/>
      <c r="AB830">
        <f>IF($E830="","",IF($AQ830=1,0,IF($AP830=1,Settings!$C$6,Settings!$C$7))*100)</f>
        <v/>
      </c>
      <c r="AC830" s="7">
        <f>IF($E830="","",Y830*AB830/100)</f>
        <v/>
      </c>
      <c r="AD830" s="7">
        <f>IF($E830="","",Y830-AC830)</f>
        <v/>
      </c>
      <c r="AE830" s="7">
        <f>IF($E830="","",AD830-Q830)</f>
        <v/>
      </c>
      <c r="AI830" s="7" t="n"/>
      <c r="AL830" s="11" t="n"/>
      <c r="AN830">
        <f>IF($E830="","",IF(COUNTIF($E$2:$E830,$E830)=1,1,0))</f>
        <v/>
      </c>
      <c r="AO830">
        <f>IF($AN830=1,SUMPRODUCT(--($AR$2:$AR$4001&lt;$AR830))+1,"")</f>
        <v/>
      </c>
      <c r="AP830">
        <f>IF($E830="","",IF(OR($U830=TRUE(),$U830="TRUE"),1,0))</f>
        <v/>
      </c>
      <c r="AQ830">
        <f>IF($E830="","",IF($AA830="Yes",1,0))</f>
        <v/>
      </c>
      <c r="AR830">
        <f>IF($AN830=1,IFERROR(VALUE(MID($E830,2,20)),1000000000)+ROW()/100000,"")</f>
        <v/>
      </c>
    </row>
    <row r="831">
      <c r="G831" s="11" t="n"/>
      <c r="Q831" s="7">
        <f>IF($E831="","",P831*Y831/100)</f>
        <v/>
      </c>
      <c r="R831" s="7" t="n"/>
      <c r="X831" s="7" t="n"/>
      <c r="Y831" s="7" t="n"/>
      <c r="AB831">
        <f>IF($E831="","",IF($AQ831=1,0,IF($AP831=1,Settings!$C$6,Settings!$C$7))*100)</f>
        <v/>
      </c>
      <c r="AC831" s="7">
        <f>IF($E831="","",Y831*AB831/100)</f>
        <v/>
      </c>
      <c r="AD831" s="7">
        <f>IF($E831="","",Y831-AC831)</f>
        <v/>
      </c>
      <c r="AE831" s="7">
        <f>IF($E831="","",AD831-Q831)</f>
        <v/>
      </c>
      <c r="AI831" s="7" t="n"/>
      <c r="AL831" s="11" t="n"/>
      <c r="AN831">
        <f>IF($E831="","",IF(COUNTIF($E$2:$E831,$E831)=1,1,0))</f>
        <v/>
      </c>
      <c r="AO831">
        <f>IF($AN831=1,SUMPRODUCT(--($AR$2:$AR$4001&lt;$AR831))+1,"")</f>
        <v/>
      </c>
      <c r="AP831">
        <f>IF($E831="","",IF(OR($U831=TRUE(),$U831="TRUE"),1,0))</f>
        <v/>
      </c>
      <c r="AQ831">
        <f>IF($E831="","",IF($AA831="Yes",1,0))</f>
        <v/>
      </c>
      <c r="AR831">
        <f>IF($AN831=1,IFERROR(VALUE(MID($E831,2,20)),1000000000)+ROW()/100000,"")</f>
        <v/>
      </c>
    </row>
    <row r="832">
      <c r="G832" s="11" t="n"/>
      <c r="Q832" s="7">
        <f>IF($E832="","",P832*Y832/100)</f>
        <v/>
      </c>
      <c r="R832" s="7" t="n"/>
      <c r="X832" s="7" t="n"/>
      <c r="Y832" s="7" t="n"/>
      <c r="AB832">
        <f>IF($E832="","",IF($AQ832=1,0,IF($AP832=1,Settings!$C$6,Settings!$C$7))*100)</f>
        <v/>
      </c>
      <c r="AC832" s="7">
        <f>IF($E832="","",Y832*AB832/100)</f>
        <v/>
      </c>
      <c r="AD832" s="7">
        <f>IF($E832="","",Y832-AC832)</f>
        <v/>
      </c>
      <c r="AE832" s="7">
        <f>IF($E832="","",AD832-Q832)</f>
        <v/>
      </c>
      <c r="AI832" s="7" t="n"/>
      <c r="AL832" s="11" t="n"/>
      <c r="AN832">
        <f>IF($E832="","",IF(COUNTIF($E$2:$E832,$E832)=1,1,0))</f>
        <v/>
      </c>
      <c r="AO832">
        <f>IF($AN832=1,SUMPRODUCT(--($AR$2:$AR$4001&lt;$AR832))+1,"")</f>
        <v/>
      </c>
      <c r="AP832">
        <f>IF($E832="","",IF(OR($U832=TRUE(),$U832="TRUE"),1,0))</f>
        <v/>
      </c>
      <c r="AQ832">
        <f>IF($E832="","",IF($AA832="Yes",1,0))</f>
        <v/>
      </c>
      <c r="AR832">
        <f>IF($AN832=1,IFERROR(VALUE(MID($E832,2,20)),1000000000)+ROW()/100000,"")</f>
        <v/>
      </c>
    </row>
    <row r="833">
      <c r="G833" s="11" t="n"/>
      <c r="Q833" s="7">
        <f>IF($E833="","",P833*Y833/100)</f>
        <v/>
      </c>
      <c r="R833" s="7" t="n"/>
      <c r="X833" s="7" t="n"/>
      <c r="Y833" s="7" t="n"/>
      <c r="AB833">
        <f>IF($E833="","",IF($AQ833=1,0,IF($AP833=1,Settings!$C$6,Settings!$C$7))*100)</f>
        <v/>
      </c>
      <c r="AC833" s="7">
        <f>IF($E833="","",Y833*AB833/100)</f>
        <v/>
      </c>
      <c r="AD833" s="7">
        <f>IF($E833="","",Y833-AC833)</f>
        <v/>
      </c>
      <c r="AE833" s="7">
        <f>IF($E833="","",AD833-Q833)</f>
        <v/>
      </c>
      <c r="AI833" s="7" t="n"/>
      <c r="AL833" s="11" t="n"/>
      <c r="AN833">
        <f>IF($E833="","",IF(COUNTIF($E$2:$E833,$E833)=1,1,0))</f>
        <v/>
      </c>
      <c r="AO833">
        <f>IF($AN833=1,SUMPRODUCT(--($AR$2:$AR$4001&lt;$AR833))+1,"")</f>
        <v/>
      </c>
      <c r="AP833">
        <f>IF($E833="","",IF(OR($U833=TRUE(),$U833="TRUE"),1,0))</f>
        <v/>
      </c>
      <c r="AQ833">
        <f>IF($E833="","",IF($AA833="Yes",1,0))</f>
        <v/>
      </c>
      <c r="AR833">
        <f>IF($AN833=1,IFERROR(VALUE(MID($E833,2,20)),1000000000)+ROW()/100000,"")</f>
        <v/>
      </c>
    </row>
    <row r="834">
      <c r="G834" s="11" t="n"/>
      <c r="Q834" s="7">
        <f>IF($E834="","",P834*Y834/100)</f>
        <v/>
      </c>
      <c r="R834" s="7" t="n"/>
      <c r="X834" s="7" t="n"/>
      <c r="Y834" s="7" t="n"/>
      <c r="AB834">
        <f>IF($E834="","",IF($AQ834=1,0,IF($AP834=1,Settings!$C$6,Settings!$C$7))*100)</f>
        <v/>
      </c>
      <c r="AC834" s="7">
        <f>IF($E834="","",Y834*AB834/100)</f>
        <v/>
      </c>
      <c r="AD834" s="7">
        <f>IF($E834="","",Y834-AC834)</f>
        <v/>
      </c>
      <c r="AE834" s="7">
        <f>IF($E834="","",AD834-Q834)</f>
        <v/>
      </c>
      <c r="AI834" s="7" t="n"/>
      <c r="AL834" s="11" t="n"/>
      <c r="AN834">
        <f>IF($E834="","",IF(COUNTIF($E$2:$E834,$E834)=1,1,0))</f>
        <v/>
      </c>
      <c r="AO834">
        <f>IF($AN834=1,SUMPRODUCT(--($AR$2:$AR$4001&lt;$AR834))+1,"")</f>
        <v/>
      </c>
      <c r="AP834">
        <f>IF($E834="","",IF(OR($U834=TRUE(),$U834="TRUE"),1,0))</f>
        <v/>
      </c>
      <c r="AQ834">
        <f>IF($E834="","",IF($AA834="Yes",1,0))</f>
        <v/>
      </c>
      <c r="AR834">
        <f>IF($AN834=1,IFERROR(VALUE(MID($E834,2,20)),1000000000)+ROW()/100000,"")</f>
        <v/>
      </c>
    </row>
    <row r="835">
      <c r="G835" s="11" t="n"/>
      <c r="Q835" s="7">
        <f>IF($E835="","",P835*Y835/100)</f>
        <v/>
      </c>
      <c r="R835" s="7" t="n"/>
      <c r="X835" s="7" t="n"/>
      <c r="Y835" s="7" t="n"/>
      <c r="AB835">
        <f>IF($E835="","",IF($AQ835=1,0,IF($AP835=1,Settings!$C$6,Settings!$C$7))*100)</f>
        <v/>
      </c>
      <c r="AC835" s="7">
        <f>IF($E835="","",Y835*AB835/100)</f>
        <v/>
      </c>
      <c r="AD835" s="7">
        <f>IF($E835="","",Y835-AC835)</f>
        <v/>
      </c>
      <c r="AE835" s="7">
        <f>IF($E835="","",AD835-Q835)</f>
        <v/>
      </c>
      <c r="AI835" s="7" t="n"/>
      <c r="AL835" s="11" t="n"/>
      <c r="AN835">
        <f>IF($E835="","",IF(COUNTIF($E$2:$E835,$E835)=1,1,0))</f>
        <v/>
      </c>
      <c r="AO835">
        <f>IF($AN835=1,SUMPRODUCT(--($AR$2:$AR$4001&lt;$AR835))+1,"")</f>
        <v/>
      </c>
      <c r="AP835">
        <f>IF($E835="","",IF(OR($U835=TRUE(),$U835="TRUE"),1,0))</f>
        <v/>
      </c>
      <c r="AQ835">
        <f>IF($E835="","",IF($AA835="Yes",1,0))</f>
        <v/>
      </c>
      <c r="AR835">
        <f>IF($AN835=1,IFERROR(VALUE(MID($E835,2,20)),1000000000)+ROW()/100000,"")</f>
        <v/>
      </c>
    </row>
    <row r="836">
      <c r="G836" s="11" t="n"/>
      <c r="Q836" s="7">
        <f>IF($E836="","",P836*Y836/100)</f>
        <v/>
      </c>
      <c r="R836" s="7" t="n"/>
      <c r="X836" s="7" t="n"/>
      <c r="Y836" s="7" t="n"/>
      <c r="AB836">
        <f>IF($E836="","",IF($AQ836=1,0,IF($AP836=1,Settings!$C$6,Settings!$C$7))*100)</f>
        <v/>
      </c>
      <c r="AC836" s="7">
        <f>IF($E836="","",Y836*AB836/100)</f>
        <v/>
      </c>
      <c r="AD836" s="7">
        <f>IF($E836="","",Y836-AC836)</f>
        <v/>
      </c>
      <c r="AE836" s="7">
        <f>IF($E836="","",AD836-Q836)</f>
        <v/>
      </c>
      <c r="AI836" s="7" t="n"/>
      <c r="AL836" s="11" t="n"/>
      <c r="AN836">
        <f>IF($E836="","",IF(COUNTIF($E$2:$E836,$E836)=1,1,0))</f>
        <v/>
      </c>
      <c r="AO836">
        <f>IF($AN836=1,SUMPRODUCT(--($AR$2:$AR$4001&lt;$AR836))+1,"")</f>
        <v/>
      </c>
      <c r="AP836">
        <f>IF($E836="","",IF(OR($U836=TRUE(),$U836="TRUE"),1,0))</f>
        <v/>
      </c>
      <c r="AQ836">
        <f>IF($E836="","",IF($AA836="Yes",1,0))</f>
        <v/>
      </c>
      <c r="AR836">
        <f>IF($AN836=1,IFERROR(VALUE(MID($E836,2,20)),1000000000)+ROW()/100000,"")</f>
        <v/>
      </c>
    </row>
    <row r="837">
      <c r="G837" s="11" t="n"/>
      <c r="Q837" s="7">
        <f>IF($E837="","",P837*Y837/100)</f>
        <v/>
      </c>
      <c r="R837" s="7" t="n"/>
      <c r="X837" s="7" t="n"/>
      <c r="Y837" s="7" t="n"/>
      <c r="AB837">
        <f>IF($E837="","",IF($AQ837=1,0,IF($AP837=1,Settings!$C$6,Settings!$C$7))*100)</f>
        <v/>
      </c>
      <c r="AC837" s="7">
        <f>IF($E837="","",Y837*AB837/100)</f>
        <v/>
      </c>
      <c r="AD837" s="7">
        <f>IF($E837="","",Y837-AC837)</f>
        <v/>
      </c>
      <c r="AE837" s="7">
        <f>IF($E837="","",AD837-Q837)</f>
        <v/>
      </c>
      <c r="AI837" s="7" t="n"/>
      <c r="AL837" s="11" t="n"/>
      <c r="AN837">
        <f>IF($E837="","",IF(COUNTIF($E$2:$E837,$E837)=1,1,0))</f>
        <v/>
      </c>
      <c r="AO837">
        <f>IF($AN837=1,SUMPRODUCT(--($AR$2:$AR$4001&lt;$AR837))+1,"")</f>
        <v/>
      </c>
      <c r="AP837">
        <f>IF($E837="","",IF(OR($U837=TRUE(),$U837="TRUE"),1,0))</f>
        <v/>
      </c>
      <c r="AQ837">
        <f>IF($E837="","",IF($AA837="Yes",1,0))</f>
        <v/>
      </c>
      <c r="AR837">
        <f>IF($AN837=1,IFERROR(VALUE(MID($E837,2,20)),1000000000)+ROW()/100000,"")</f>
        <v/>
      </c>
    </row>
    <row r="838">
      <c r="G838" s="11" t="n"/>
      <c r="Q838" s="7">
        <f>IF($E838="","",P838*Y838/100)</f>
        <v/>
      </c>
      <c r="R838" s="7" t="n"/>
      <c r="X838" s="7" t="n"/>
      <c r="Y838" s="7" t="n"/>
      <c r="AB838">
        <f>IF($E838="","",IF($AQ838=1,0,IF($AP838=1,Settings!$C$6,Settings!$C$7))*100)</f>
        <v/>
      </c>
      <c r="AC838" s="7">
        <f>IF($E838="","",Y838*AB838/100)</f>
        <v/>
      </c>
      <c r="AD838" s="7">
        <f>IF($E838="","",Y838-AC838)</f>
        <v/>
      </c>
      <c r="AE838" s="7">
        <f>IF($E838="","",AD838-Q838)</f>
        <v/>
      </c>
      <c r="AI838" s="7" t="n"/>
      <c r="AL838" s="11" t="n"/>
      <c r="AN838">
        <f>IF($E838="","",IF(COUNTIF($E$2:$E838,$E838)=1,1,0))</f>
        <v/>
      </c>
      <c r="AO838">
        <f>IF($AN838=1,SUMPRODUCT(--($AR$2:$AR$4001&lt;$AR838))+1,"")</f>
        <v/>
      </c>
      <c r="AP838">
        <f>IF($E838="","",IF(OR($U838=TRUE(),$U838="TRUE"),1,0))</f>
        <v/>
      </c>
      <c r="AQ838">
        <f>IF($E838="","",IF($AA838="Yes",1,0))</f>
        <v/>
      </c>
      <c r="AR838">
        <f>IF($AN838=1,IFERROR(VALUE(MID($E838,2,20)),1000000000)+ROW()/100000,"")</f>
        <v/>
      </c>
    </row>
    <row r="839">
      <c r="G839" s="11" t="n"/>
      <c r="Q839" s="7">
        <f>IF($E839="","",P839*Y839/100)</f>
        <v/>
      </c>
      <c r="R839" s="7" t="n"/>
      <c r="X839" s="7" t="n"/>
      <c r="Y839" s="7" t="n"/>
      <c r="AB839">
        <f>IF($E839="","",IF($AQ839=1,0,IF($AP839=1,Settings!$C$6,Settings!$C$7))*100)</f>
        <v/>
      </c>
      <c r="AC839" s="7">
        <f>IF($E839="","",Y839*AB839/100)</f>
        <v/>
      </c>
      <c r="AD839" s="7">
        <f>IF($E839="","",Y839-AC839)</f>
        <v/>
      </c>
      <c r="AE839" s="7">
        <f>IF($E839="","",AD839-Q839)</f>
        <v/>
      </c>
      <c r="AI839" s="7" t="n"/>
      <c r="AL839" s="11" t="n"/>
      <c r="AN839">
        <f>IF($E839="","",IF(COUNTIF($E$2:$E839,$E839)=1,1,0))</f>
        <v/>
      </c>
      <c r="AO839">
        <f>IF($AN839=1,SUMPRODUCT(--($AR$2:$AR$4001&lt;$AR839))+1,"")</f>
        <v/>
      </c>
      <c r="AP839">
        <f>IF($E839="","",IF(OR($U839=TRUE(),$U839="TRUE"),1,0))</f>
        <v/>
      </c>
      <c r="AQ839">
        <f>IF($E839="","",IF($AA839="Yes",1,0))</f>
        <v/>
      </c>
      <c r="AR839">
        <f>IF($AN839=1,IFERROR(VALUE(MID($E839,2,20)),1000000000)+ROW()/100000,"")</f>
        <v/>
      </c>
    </row>
    <row r="840">
      <c r="G840" s="11" t="n"/>
      <c r="Q840" s="7">
        <f>IF($E840="","",P840*Y840/100)</f>
        <v/>
      </c>
      <c r="R840" s="7" t="n"/>
      <c r="X840" s="7" t="n"/>
      <c r="Y840" s="7" t="n"/>
      <c r="AB840">
        <f>IF($E840="","",IF($AQ840=1,0,IF($AP840=1,Settings!$C$6,Settings!$C$7))*100)</f>
        <v/>
      </c>
      <c r="AC840" s="7">
        <f>IF($E840="","",Y840*AB840/100)</f>
        <v/>
      </c>
      <c r="AD840" s="7">
        <f>IF($E840="","",Y840-AC840)</f>
        <v/>
      </c>
      <c r="AE840" s="7">
        <f>IF($E840="","",AD840-Q840)</f>
        <v/>
      </c>
      <c r="AI840" s="7" t="n"/>
      <c r="AL840" s="11" t="n"/>
      <c r="AN840">
        <f>IF($E840="","",IF(COUNTIF($E$2:$E840,$E840)=1,1,0))</f>
        <v/>
      </c>
      <c r="AO840">
        <f>IF($AN840=1,SUMPRODUCT(--($AR$2:$AR$4001&lt;$AR840))+1,"")</f>
        <v/>
      </c>
      <c r="AP840">
        <f>IF($E840="","",IF(OR($U840=TRUE(),$U840="TRUE"),1,0))</f>
        <v/>
      </c>
      <c r="AQ840">
        <f>IF($E840="","",IF($AA840="Yes",1,0))</f>
        <v/>
      </c>
      <c r="AR840">
        <f>IF($AN840=1,IFERROR(VALUE(MID($E840,2,20)),1000000000)+ROW()/100000,"")</f>
        <v/>
      </c>
    </row>
    <row r="841">
      <c r="G841" s="11" t="n"/>
      <c r="Q841" s="7">
        <f>IF($E841="","",P841*Y841/100)</f>
        <v/>
      </c>
      <c r="R841" s="7" t="n"/>
      <c r="X841" s="7" t="n"/>
      <c r="Y841" s="7" t="n"/>
      <c r="AB841">
        <f>IF($E841="","",IF($AQ841=1,0,IF($AP841=1,Settings!$C$6,Settings!$C$7))*100)</f>
        <v/>
      </c>
      <c r="AC841" s="7">
        <f>IF($E841="","",Y841*AB841/100)</f>
        <v/>
      </c>
      <c r="AD841" s="7">
        <f>IF($E841="","",Y841-AC841)</f>
        <v/>
      </c>
      <c r="AE841" s="7">
        <f>IF($E841="","",AD841-Q841)</f>
        <v/>
      </c>
      <c r="AI841" s="7" t="n"/>
      <c r="AL841" s="11" t="n"/>
      <c r="AN841">
        <f>IF($E841="","",IF(COUNTIF($E$2:$E841,$E841)=1,1,0))</f>
        <v/>
      </c>
      <c r="AO841">
        <f>IF($AN841=1,SUMPRODUCT(--($AR$2:$AR$4001&lt;$AR841))+1,"")</f>
        <v/>
      </c>
      <c r="AP841">
        <f>IF($E841="","",IF(OR($U841=TRUE(),$U841="TRUE"),1,0))</f>
        <v/>
      </c>
      <c r="AQ841">
        <f>IF($E841="","",IF($AA841="Yes",1,0))</f>
        <v/>
      </c>
      <c r="AR841">
        <f>IF($AN841=1,IFERROR(VALUE(MID($E841,2,20)),1000000000)+ROW()/100000,"")</f>
        <v/>
      </c>
    </row>
    <row r="842">
      <c r="G842" s="11" t="n"/>
      <c r="Q842" s="7">
        <f>IF($E842="","",P842*Y842/100)</f>
        <v/>
      </c>
      <c r="R842" s="7" t="n"/>
      <c r="X842" s="7" t="n"/>
      <c r="Y842" s="7" t="n"/>
      <c r="AB842">
        <f>IF($E842="","",IF($AQ842=1,0,IF($AP842=1,Settings!$C$6,Settings!$C$7))*100)</f>
        <v/>
      </c>
      <c r="AC842" s="7">
        <f>IF($E842="","",Y842*AB842/100)</f>
        <v/>
      </c>
      <c r="AD842" s="7">
        <f>IF($E842="","",Y842-AC842)</f>
        <v/>
      </c>
      <c r="AE842" s="7">
        <f>IF($E842="","",AD842-Q842)</f>
        <v/>
      </c>
      <c r="AI842" s="7" t="n"/>
      <c r="AL842" s="11" t="n"/>
      <c r="AN842">
        <f>IF($E842="","",IF(COUNTIF($E$2:$E842,$E842)=1,1,0))</f>
        <v/>
      </c>
      <c r="AO842">
        <f>IF($AN842=1,SUMPRODUCT(--($AR$2:$AR$4001&lt;$AR842))+1,"")</f>
        <v/>
      </c>
      <c r="AP842">
        <f>IF($E842="","",IF(OR($U842=TRUE(),$U842="TRUE"),1,0))</f>
        <v/>
      </c>
      <c r="AQ842">
        <f>IF($E842="","",IF($AA842="Yes",1,0))</f>
        <v/>
      </c>
      <c r="AR842">
        <f>IF($AN842=1,IFERROR(VALUE(MID($E842,2,20)),1000000000)+ROW()/100000,"")</f>
        <v/>
      </c>
    </row>
    <row r="843">
      <c r="G843" s="11" t="n"/>
      <c r="Q843" s="7">
        <f>IF($E843="","",P843*Y843/100)</f>
        <v/>
      </c>
      <c r="R843" s="7" t="n"/>
      <c r="X843" s="7" t="n"/>
      <c r="Y843" s="7" t="n"/>
      <c r="AB843">
        <f>IF($E843="","",IF($AQ843=1,0,IF($AP843=1,Settings!$C$6,Settings!$C$7))*100)</f>
        <v/>
      </c>
      <c r="AC843" s="7">
        <f>IF($E843="","",Y843*AB843/100)</f>
        <v/>
      </c>
      <c r="AD843" s="7">
        <f>IF($E843="","",Y843-AC843)</f>
        <v/>
      </c>
      <c r="AE843" s="7">
        <f>IF($E843="","",AD843-Q843)</f>
        <v/>
      </c>
      <c r="AI843" s="7" t="n"/>
      <c r="AL843" s="11" t="n"/>
      <c r="AN843">
        <f>IF($E843="","",IF(COUNTIF($E$2:$E843,$E843)=1,1,0))</f>
        <v/>
      </c>
      <c r="AO843">
        <f>IF($AN843=1,SUMPRODUCT(--($AR$2:$AR$4001&lt;$AR843))+1,"")</f>
        <v/>
      </c>
      <c r="AP843">
        <f>IF($E843="","",IF(OR($U843=TRUE(),$U843="TRUE"),1,0))</f>
        <v/>
      </c>
      <c r="AQ843">
        <f>IF($E843="","",IF($AA843="Yes",1,0))</f>
        <v/>
      </c>
      <c r="AR843">
        <f>IF($AN843=1,IFERROR(VALUE(MID($E843,2,20)),1000000000)+ROW()/100000,"")</f>
        <v/>
      </c>
    </row>
    <row r="844">
      <c r="G844" s="11" t="n"/>
      <c r="Q844" s="7">
        <f>IF($E844="","",P844*Y844/100)</f>
        <v/>
      </c>
      <c r="R844" s="7" t="n"/>
      <c r="X844" s="7" t="n"/>
      <c r="Y844" s="7" t="n"/>
      <c r="AB844">
        <f>IF($E844="","",IF($AQ844=1,0,IF($AP844=1,Settings!$C$6,Settings!$C$7))*100)</f>
        <v/>
      </c>
      <c r="AC844" s="7">
        <f>IF($E844="","",Y844*AB844/100)</f>
        <v/>
      </c>
      <c r="AD844" s="7">
        <f>IF($E844="","",Y844-AC844)</f>
        <v/>
      </c>
      <c r="AE844" s="7">
        <f>IF($E844="","",AD844-Q844)</f>
        <v/>
      </c>
      <c r="AI844" s="7" t="n"/>
      <c r="AL844" s="11" t="n"/>
      <c r="AN844">
        <f>IF($E844="","",IF(COUNTIF($E$2:$E844,$E844)=1,1,0))</f>
        <v/>
      </c>
      <c r="AO844">
        <f>IF($AN844=1,SUMPRODUCT(--($AR$2:$AR$4001&lt;$AR844))+1,"")</f>
        <v/>
      </c>
      <c r="AP844">
        <f>IF($E844="","",IF(OR($U844=TRUE(),$U844="TRUE"),1,0))</f>
        <v/>
      </c>
      <c r="AQ844">
        <f>IF($E844="","",IF($AA844="Yes",1,0))</f>
        <v/>
      </c>
      <c r="AR844">
        <f>IF($AN844=1,IFERROR(VALUE(MID($E844,2,20)),1000000000)+ROW()/100000,"")</f>
        <v/>
      </c>
    </row>
    <row r="845">
      <c r="G845" s="11" t="n"/>
      <c r="Q845" s="7">
        <f>IF($E845="","",P845*Y845/100)</f>
        <v/>
      </c>
      <c r="R845" s="7" t="n"/>
      <c r="X845" s="7" t="n"/>
      <c r="Y845" s="7" t="n"/>
      <c r="AB845">
        <f>IF($E845="","",IF($AQ845=1,0,IF($AP845=1,Settings!$C$6,Settings!$C$7))*100)</f>
        <v/>
      </c>
      <c r="AC845" s="7">
        <f>IF($E845="","",Y845*AB845/100)</f>
        <v/>
      </c>
      <c r="AD845" s="7">
        <f>IF($E845="","",Y845-AC845)</f>
        <v/>
      </c>
      <c r="AE845" s="7">
        <f>IF($E845="","",AD845-Q845)</f>
        <v/>
      </c>
      <c r="AI845" s="7" t="n"/>
      <c r="AL845" s="11" t="n"/>
      <c r="AN845">
        <f>IF($E845="","",IF(COUNTIF($E$2:$E845,$E845)=1,1,0))</f>
        <v/>
      </c>
      <c r="AO845">
        <f>IF($AN845=1,SUMPRODUCT(--($AR$2:$AR$4001&lt;$AR845))+1,"")</f>
        <v/>
      </c>
      <c r="AP845">
        <f>IF($E845="","",IF(OR($U845=TRUE(),$U845="TRUE"),1,0))</f>
        <v/>
      </c>
      <c r="AQ845">
        <f>IF($E845="","",IF($AA845="Yes",1,0))</f>
        <v/>
      </c>
      <c r="AR845">
        <f>IF($AN845=1,IFERROR(VALUE(MID($E845,2,20)),1000000000)+ROW()/100000,"")</f>
        <v/>
      </c>
    </row>
    <row r="846">
      <c r="G846" s="11" t="n"/>
      <c r="Q846" s="7">
        <f>IF($E846="","",P846*Y846/100)</f>
        <v/>
      </c>
      <c r="R846" s="7" t="n"/>
      <c r="X846" s="7" t="n"/>
      <c r="Y846" s="7" t="n"/>
      <c r="AB846">
        <f>IF($E846="","",IF($AQ846=1,0,IF($AP846=1,Settings!$C$6,Settings!$C$7))*100)</f>
        <v/>
      </c>
      <c r="AC846" s="7">
        <f>IF($E846="","",Y846*AB846/100)</f>
        <v/>
      </c>
      <c r="AD846" s="7">
        <f>IF($E846="","",Y846-AC846)</f>
        <v/>
      </c>
      <c r="AE846" s="7">
        <f>IF($E846="","",AD846-Q846)</f>
        <v/>
      </c>
      <c r="AI846" s="7" t="n"/>
      <c r="AL846" s="11" t="n"/>
      <c r="AN846">
        <f>IF($E846="","",IF(COUNTIF($E$2:$E846,$E846)=1,1,0))</f>
        <v/>
      </c>
      <c r="AO846">
        <f>IF($AN846=1,SUMPRODUCT(--($AR$2:$AR$4001&lt;$AR846))+1,"")</f>
        <v/>
      </c>
      <c r="AP846">
        <f>IF($E846="","",IF(OR($U846=TRUE(),$U846="TRUE"),1,0))</f>
        <v/>
      </c>
      <c r="AQ846">
        <f>IF($E846="","",IF($AA846="Yes",1,0))</f>
        <v/>
      </c>
      <c r="AR846">
        <f>IF($AN846=1,IFERROR(VALUE(MID($E846,2,20)),1000000000)+ROW()/100000,"")</f>
        <v/>
      </c>
    </row>
    <row r="847">
      <c r="G847" s="11" t="n"/>
      <c r="Q847" s="7">
        <f>IF($E847="","",P847*Y847/100)</f>
        <v/>
      </c>
      <c r="R847" s="7" t="n"/>
      <c r="X847" s="7" t="n"/>
      <c r="Y847" s="7" t="n"/>
      <c r="AB847">
        <f>IF($E847="","",IF($AQ847=1,0,IF($AP847=1,Settings!$C$6,Settings!$C$7))*100)</f>
        <v/>
      </c>
      <c r="AC847" s="7">
        <f>IF($E847="","",Y847*AB847/100)</f>
        <v/>
      </c>
      <c r="AD847" s="7">
        <f>IF($E847="","",Y847-AC847)</f>
        <v/>
      </c>
      <c r="AE847" s="7">
        <f>IF($E847="","",AD847-Q847)</f>
        <v/>
      </c>
      <c r="AI847" s="7" t="n"/>
      <c r="AL847" s="11" t="n"/>
      <c r="AN847">
        <f>IF($E847="","",IF(COUNTIF($E$2:$E847,$E847)=1,1,0))</f>
        <v/>
      </c>
      <c r="AO847">
        <f>IF($AN847=1,SUMPRODUCT(--($AR$2:$AR$4001&lt;$AR847))+1,"")</f>
        <v/>
      </c>
      <c r="AP847">
        <f>IF($E847="","",IF(OR($U847=TRUE(),$U847="TRUE"),1,0))</f>
        <v/>
      </c>
      <c r="AQ847">
        <f>IF($E847="","",IF($AA847="Yes",1,0))</f>
        <v/>
      </c>
      <c r="AR847">
        <f>IF($AN847=1,IFERROR(VALUE(MID($E847,2,20)),1000000000)+ROW()/100000,"")</f>
        <v/>
      </c>
    </row>
    <row r="848">
      <c r="G848" s="11" t="n"/>
      <c r="Q848" s="7">
        <f>IF($E848="","",P848*Y848/100)</f>
        <v/>
      </c>
      <c r="R848" s="7" t="n"/>
      <c r="X848" s="7" t="n"/>
      <c r="Y848" s="7" t="n"/>
      <c r="AB848">
        <f>IF($E848="","",IF($AQ848=1,0,IF($AP848=1,Settings!$C$6,Settings!$C$7))*100)</f>
        <v/>
      </c>
      <c r="AC848" s="7">
        <f>IF($E848="","",Y848*AB848/100)</f>
        <v/>
      </c>
      <c r="AD848" s="7">
        <f>IF($E848="","",Y848-AC848)</f>
        <v/>
      </c>
      <c r="AE848" s="7">
        <f>IF($E848="","",AD848-Q848)</f>
        <v/>
      </c>
      <c r="AI848" s="7" t="n"/>
      <c r="AL848" s="11" t="n"/>
      <c r="AN848">
        <f>IF($E848="","",IF(COUNTIF($E$2:$E848,$E848)=1,1,0))</f>
        <v/>
      </c>
      <c r="AO848">
        <f>IF($AN848=1,SUMPRODUCT(--($AR$2:$AR$4001&lt;$AR848))+1,"")</f>
        <v/>
      </c>
      <c r="AP848">
        <f>IF($E848="","",IF(OR($U848=TRUE(),$U848="TRUE"),1,0))</f>
        <v/>
      </c>
      <c r="AQ848">
        <f>IF($E848="","",IF($AA848="Yes",1,0))</f>
        <v/>
      </c>
      <c r="AR848">
        <f>IF($AN848=1,IFERROR(VALUE(MID($E848,2,20)),1000000000)+ROW()/100000,"")</f>
        <v/>
      </c>
    </row>
    <row r="849">
      <c r="G849" s="11" t="n"/>
      <c r="Q849" s="7">
        <f>IF($E849="","",P849*Y849/100)</f>
        <v/>
      </c>
      <c r="R849" s="7" t="n"/>
      <c r="X849" s="7" t="n"/>
      <c r="Y849" s="7" t="n"/>
      <c r="AB849">
        <f>IF($E849="","",IF($AQ849=1,0,IF($AP849=1,Settings!$C$6,Settings!$C$7))*100)</f>
        <v/>
      </c>
      <c r="AC849" s="7">
        <f>IF($E849="","",Y849*AB849/100)</f>
        <v/>
      </c>
      <c r="AD849" s="7">
        <f>IF($E849="","",Y849-AC849)</f>
        <v/>
      </c>
      <c r="AE849" s="7">
        <f>IF($E849="","",AD849-Q849)</f>
        <v/>
      </c>
      <c r="AI849" s="7" t="n"/>
      <c r="AL849" s="11" t="n"/>
      <c r="AN849">
        <f>IF($E849="","",IF(COUNTIF($E$2:$E849,$E849)=1,1,0))</f>
        <v/>
      </c>
      <c r="AO849">
        <f>IF($AN849=1,SUMPRODUCT(--($AR$2:$AR$4001&lt;$AR849))+1,"")</f>
        <v/>
      </c>
      <c r="AP849">
        <f>IF($E849="","",IF(OR($U849=TRUE(),$U849="TRUE"),1,0))</f>
        <v/>
      </c>
      <c r="AQ849">
        <f>IF($E849="","",IF($AA849="Yes",1,0))</f>
        <v/>
      </c>
      <c r="AR849">
        <f>IF($AN849=1,IFERROR(VALUE(MID($E849,2,20)),1000000000)+ROW()/100000,"")</f>
        <v/>
      </c>
    </row>
    <row r="850">
      <c r="G850" s="11" t="n"/>
      <c r="Q850" s="7">
        <f>IF($E850="","",P850*Y850/100)</f>
        <v/>
      </c>
      <c r="R850" s="7" t="n"/>
      <c r="X850" s="7" t="n"/>
      <c r="Y850" s="7" t="n"/>
      <c r="AB850">
        <f>IF($E850="","",IF($AQ850=1,0,IF($AP850=1,Settings!$C$6,Settings!$C$7))*100)</f>
        <v/>
      </c>
      <c r="AC850" s="7">
        <f>IF($E850="","",Y850*AB850/100)</f>
        <v/>
      </c>
      <c r="AD850" s="7">
        <f>IF($E850="","",Y850-AC850)</f>
        <v/>
      </c>
      <c r="AE850" s="7">
        <f>IF($E850="","",AD850-Q850)</f>
        <v/>
      </c>
      <c r="AI850" s="7" t="n"/>
      <c r="AL850" s="11" t="n"/>
      <c r="AN850">
        <f>IF($E850="","",IF(COUNTIF($E$2:$E850,$E850)=1,1,0))</f>
        <v/>
      </c>
      <c r="AO850">
        <f>IF($AN850=1,SUMPRODUCT(--($AR$2:$AR$4001&lt;$AR850))+1,"")</f>
        <v/>
      </c>
      <c r="AP850">
        <f>IF($E850="","",IF(OR($U850=TRUE(),$U850="TRUE"),1,0))</f>
        <v/>
      </c>
      <c r="AQ850">
        <f>IF($E850="","",IF($AA850="Yes",1,0))</f>
        <v/>
      </c>
      <c r="AR850">
        <f>IF($AN850=1,IFERROR(VALUE(MID($E850,2,20)),1000000000)+ROW()/100000,"")</f>
        <v/>
      </c>
    </row>
    <row r="851">
      <c r="G851" s="11" t="n"/>
      <c r="Q851" s="7">
        <f>IF($E851="","",P851*Y851/100)</f>
        <v/>
      </c>
      <c r="R851" s="7" t="n"/>
      <c r="X851" s="7" t="n"/>
      <c r="Y851" s="7" t="n"/>
      <c r="AB851">
        <f>IF($E851="","",IF($AQ851=1,0,IF($AP851=1,Settings!$C$6,Settings!$C$7))*100)</f>
        <v/>
      </c>
      <c r="AC851" s="7">
        <f>IF($E851="","",Y851*AB851/100)</f>
        <v/>
      </c>
      <c r="AD851" s="7">
        <f>IF($E851="","",Y851-AC851)</f>
        <v/>
      </c>
      <c r="AE851" s="7">
        <f>IF($E851="","",AD851-Q851)</f>
        <v/>
      </c>
      <c r="AI851" s="7" t="n"/>
      <c r="AL851" s="11" t="n"/>
      <c r="AN851">
        <f>IF($E851="","",IF(COUNTIF($E$2:$E851,$E851)=1,1,0))</f>
        <v/>
      </c>
      <c r="AO851">
        <f>IF($AN851=1,SUMPRODUCT(--($AR$2:$AR$4001&lt;$AR851))+1,"")</f>
        <v/>
      </c>
      <c r="AP851">
        <f>IF($E851="","",IF(OR($U851=TRUE(),$U851="TRUE"),1,0))</f>
        <v/>
      </c>
      <c r="AQ851">
        <f>IF($E851="","",IF($AA851="Yes",1,0))</f>
        <v/>
      </c>
      <c r="AR851">
        <f>IF($AN851=1,IFERROR(VALUE(MID($E851,2,20)),1000000000)+ROW()/100000,"")</f>
        <v/>
      </c>
    </row>
    <row r="852">
      <c r="G852" s="11" t="n"/>
      <c r="Q852" s="7">
        <f>IF($E852="","",P852*Y852/100)</f>
        <v/>
      </c>
      <c r="R852" s="7" t="n"/>
      <c r="X852" s="7" t="n"/>
      <c r="Y852" s="7" t="n"/>
      <c r="AB852">
        <f>IF($E852="","",IF($AQ852=1,0,IF($AP852=1,Settings!$C$6,Settings!$C$7))*100)</f>
        <v/>
      </c>
      <c r="AC852" s="7">
        <f>IF($E852="","",Y852*AB852/100)</f>
        <v/>
      </c>
      <c r="AD852" s="7">
        <f>IF($E852="","",Y852-AC852)</f>
        <v/>
      </c>
      <c r="AE852" s="7">
        <f>IF($E852="","",AD852-Q852)</f>
        <v/>
      </c>
      <c r="AI852" s="7" t="n"/>
      <c r="AL852" s="11" t="n"/>
      <c r="AN852">
        <f>IF($E852="","",IF(COUNTIF($E$2:$E852,$E852)=1,1,0))</f>
        <v/>
      </c>
      <c r="AO852">
        <f>IF($AN852=1,SUMPRODUCT(--($AR$2:$AR$4001&lt;$AR852))+1,"")</f>
        <v/>
      </c>
      <c r="AP852">
        <f>IF($E852="","",IF(OR($U852=TRUE(),$U852="TRUE"),1,0))</f>
        <v/>
      </c>
      <c r="AQ852">
        <f>IF($E852="","",IF($AA852="Yes",1,0))</f>
        <v/>
      </c>
      <c r="AR852">
        <f>IF($AN852=1,IFERROR(VALUE(MID($E852,2,20)),1000000000)+ROW()/100000,"")</f>
        <v/>
      </c>
    </row>
    <row r="853">
      <c r="G853" s="11" t="n"/>
      <c r="Q853" s="7">
        <f>IF($E853="","",P853*Y853/100)</f>
        <v/>
      </c>
      <c r="R853" s="7" t="n"/>
      <c r="X853" s="7" t="n"/>
      <c r="Y853" s="7" t="n"/>
      <c r="AB853">
        <f>IF($E853="","",IF($AQ853=1,0,IF($AP853=1,Settings!$C$6,Settings!$C$7))*100)</f>
        <v/>
      </c>
      <c r="AC853" s="7">
        <f>IF($E853="","",Y853*AB853/100)</f>
        <v/>
      </c>
      <c r="AD853" s="7">
        <f>IF($E853="","",Y853-AC853)</f>
        <v/>
      </c>
      <c r="AE853" s="7">
        <f>IF($E853="","",AD853-Q853)</f>
        <v/>
      </c>
      <c r="AI853" s="7" t="n"/>
      <c r="AL853" s="11" t="n"/>
      <c r="AN853">
        <f>IF($E853="","",IF(COUNTIF($E$2:$E853,$E853)=1,1,0))</f>
        <v/>
      </c>
      <c r="AO853">
        <f>IF($AN853=1,SUMPRODUCT(--($AR$2:$AR$4001&lt;$AR853))+1,"")</f>
        <v/>
      </c>
      <c r="AP853">
        <f>IF($E853="","",IF(OR($U853=TRUE(),$U853="TRUE"),1,0))</f>
        <v/>
      </c>
      <c r="AQ853">
        <f>IF($E853="","",IF($AA853="Yes",1,0))</f>
        <v/>
      </c>
      <c r="AR853">
        <f>IF($AN853=1,IFERROR(VALUE(MID($E853,2,20)),1000000000)+ROW()/100000,"")</f>
        <v/>
      </c>
    </row>
    <row r="854">
      <c r="G854" s="11" t="n"/>
      <c r="Q854" s="7">
        <f>IF($E854="","",P854*Y854/100)</f>
        <v/>
      </c>
      <c r="R854" s="7" t="n"/>
      <c r="X854" s="7" t="n"/>
      <c r="Y854" s="7" t="n"/>
      <c r="AB854">
        <f>IF($E854="","",IF($AQ854=1,0,IF($AP854=1,Settings!$C$6,Settings!$C$7))*100)</f>
        <v/>
      </c>
      <c r="AC854" s="7">
        <f>IF($E854="","",Y854*AB854/100)</f>
        <v/>
      </c>
      <c r="AD854" s="7">
        <f>IF($E854="","",Y854-AC854)</f>
        <v/>
      </c>
      <c r="AE854" s="7">
        <f>IF($E854="","",AD854-Q854)</f>
        <v/>
      </c>
      <c r="AI854" s="7" t="n"/>
      <c r="AL854" s="11" t="n"/>
      <c r="AN854">
        <f>IF($E854="","",IF(COUNTIF($E$2:$E854,$E854)=1,1,0))</f>
        <v/>
      </c>
      <c r="AO854">
        <f>IF($AN854=1,SUMPRODUCT(--($AR$2:$AR$4001&lt;$AR854))+1,"")</f>
        <v/>
      </c>
      <c r="AP854">
        <f>IF($E854="","",IF(OR($U854=TRUE(),$U854="TRUE"),1,0))</f>
        <v/>
      </c>
      <c r="AQ854">
        <f>IF($E854="","",IF($AA854="Yes",1,0))</f>
        <v/>
      </c>
      <c r="AR854">
        <f>IF($AN854=1,IFERROR(VALUE(MID($E854,2,20)),1000000000)+ROW()/100000,"")</f>
        <v/>
      </c>
    </row>
    <row r="855">
      <c r="G855" s="11" t="n"/>
      <c r="Q855" s="7">
        <f>IF($E855="","",P855*Y855/100)</f>
        <v/>
      </c>
      <c r="R855" s="7" t="n"/>
      <c r="X855" s="7" t="n"/>
      <c r="Y855" s="7" t="n"/>
      <c r="AB855">
        <f>IF($E855="","",IF($AQ855=1,0,IF($AP855=1,Settings!$C$6,Settings!$C$7))*100)</f>
        <v/>
      </c>
      <c r="AC855" s="7">
        <f>IF($E855="","",Y855*AB855/100)</f>
        <v/>
      </c>
      <c r="AD855" s="7">
        <f>IF($E855="","",Y855-AC855)</f>
        <v/>
      </c>
      <c r="AE855" s="7">
        <f>IF($E855="","",AD855-Q855)</f>
        <v/>
      </c>
      <c r="AI855" s="7" t="n"/>
      <c r="AL855" s="11" t="n"/>
      <c r="AN855">
        <f>IF($E855="","",IF(COUNTIF($E$2:$E855,$E855)=1,1,0))</f>
        <v/>
      </c>
      <c r="AO855">
        <f>IF($AN855=1,SUMPRODUCT(--($AR$2:$AR$4001&lt;$AR855))+1,"")</f>
        <v/>
      </c>
      <c r="AP855">
        <f>IF($E855="","",IF(OR($U855=TRUE(),$U855="TRUE"),1,0))</f>
        <v/>
      </c>
      <c r="AQ855">
        <f>IF($E855="","",IF($AA855="Yes",1,0))</f>
        <v/>
      </c>
      <c r="AR855">
        <f>IF($AN855=1,IFERROR(VALUE(MID($E855,2,20)),1000000000)+ROW()/100000,"")</f>
        <v/>
      </c>
    </row>
    <row r="856">
      <c r="G856" s="11" t="n"/>
      <c r="Q856" s="7">
        <f>IF($E856="","",P856*Y856/100)</f>
        <v/>
      </c>
      <c r="R856" s="7" t="n"/>
      <c r="X856" s="7" t="n"/>
      <c r="Y856" s="7" t="n"/>
      <c r="AB856">
        <f>IF($E856="","",IF($AQ856=1,0,IF($AP856=1,Settings!$C$6,Settings!$C$7))*100)</f>
        <v/>
      </c>
      <c r="AC856" s="7">
        <f>IF($E856="","",Y856*AB856/100)</f>
        <v/>
      </c>
      <c r="AD856" s="7">
        <f>IF($E856="","",Y856-AC856)</f>
        <v/>
      </c>
      <c r="AE856" s="7">
        <f>IF($E856="","",AD856-Q856)</f>
        <v/>
      </c>
      <c r="AI856" s="7" t="n"/>
      <c r="AL856" s="11" t="n"/>
      <c r="AN856">
        <f>IF($E856="","",IF(COUNTIF($E$2:$E856,$E856)=1,1,0))</f>
        <v/>
      </c>
      <c r="AO856">
        <f>IF($AN856=1,SUMPRODUCT(--($AR$2:$AR$4001&lt;$AR856))+1,"")</f>
        <v/>
      </c>
      <c r="AP856">
        <f>IF($E856="","",IF(OR($U856=TRUE(),$U856="TRUE"),1,0))</f>
        <v/>
      </c>
      <c r="AQ856">
        <f>IF($E856="","",IF($AA856="Yes",1,0))</f>
        <v/>
      </c>
      <c r="AR856">
        <f>IF($AN856=1,IFERROR(VALUE(MID($E856,2,20)),1000000000)+ROW()/100000,"")</f>
        <v/>
      </c>
    </row>
    <row r="857">
      <c r="G857" s="11" t="n"/>
      <c r="Q857" s="7">
        <f>IF($E857="","",P857*Y857/100)</f>
        <v/>
      </c>
      <c r="R857" s="7" t="n"/>
      <c r="X857" s="7" t="n"/>
      <c r="Y857" s="7" t="n"/>
      <c r="AB857">
        <f>IF($E857="","",IF($AQ857=1,0,IF($AP857=1,Settings!$C$6,Settings!$C$7))*100)</f>
        <v/>
      </c>
      <c r="AC857" s="7">
        <f>IF($E857="","",Y857*AB857/100)</f>
        <v/>
      </c>
      <c r="AD857" s="7">
        <f>IF($E857="","",Y857-AC857)</f>
        <v/>
      </c>
      <c r="AE857" s="7">
        <f>IF($E857="","",AD857-Q857)</f>
        <v/>
      </c>
      <c r="AI857" s="7" t="n"/>
      <c r="AL857" s="11" t="n"/>
      <c r="AN857">
        <f>IF($E857="","",IF(COUNTIF($E$2:$E857,$E857)=1,1,0))</f>
        <v/>
      </c>
      <c r="AO857">
        <f>IF($AN857=1,SUMPRODUCT(--($AR$2:$AR$4001&lt;$AR857))+1,"")</f>
        <v/>
      </c>
      <c r="AP857">
        <f>IF($E857="","",IF(OR($U857=TRUE(),$U857="TRUE"),1,0))</f>
        <v/>
      </c>
      <c r="AQ857">
        <f>IF($E857="","",IF($AA857="Yes",1,0))</f>
        <v/>
      </c>
      <c r="AR857">
        <f>IF($AN857=1,IFERROR(VALUE(MID($E857,2,20)),1000000000)+ROW()/100000,"")</f>
        <v/>
      </c>
    </row>
    <row r="858">
      <c r="G858" s="11" t="n"/>
      <c r="Q858" s="7">
        <f>IF($E858="","",P858*Y858/100)</f>
        <v/>
      </c>
      <c r="R858" s="7" t="n"/>
      <c r="X858" s="7" t="n"/>
      <c r="Y858" s="7" t="n"/>
      <c r="AB858">
        <f>IF($E858="","",IF($AQ858=1,0,IF($AP858=1,Settings!$C$6,Settings!$C$7))*100)</f>
        <v/>
      </c>
      <c r="AC858" s="7">
        <f>IF($E858="","",Y858*AB858/100)</f>
        <v/>
      </c>
      <c r="AD858" s="7">
        <f>IF($E858="","",Y858-AC858)</f>
        <v/>
      </c>
      <c r="AE858" s="7">
        <f>IF($E858="","",AD858-Q858)</f>
        <v/>
      </c>
      <c r="AI858" s="7" t="n"/>
      <c r="AL858" s="11" t="n"/>
      <c r="AN858">
        <f>IF($E858="","",IF(COUNTIF($E$2:$E858,$E858)=1,1,0))</f>
        <v/>
      </c>
      <c r="AO858">
        <f>IF($AN858=1,SUMPRODUCT(--($AR$2:$AR$4001&lt;$AR858))+1,"")</f>
        <v/>
      </c>
      <c r="AP858">
        <f>IF($E858="","",IF(OR($U858=TRUE(),$U858="TRUE"),1,0))</f>
        <v/>
      </c>
      <c r="AQ858">
        <f>IF($E858="","",IF($AA858="Yes",1,0))</f>
        <v/>
      </c>
      <c r="AR858">
        <f>IF($AN858=1,IFERROR(VALUE(MID($E858,2,20)),1000000000)+ROW()/100000,"")</f>
        <v/>
      </c>
    </row>
    <row r="859">
      <c r="G859" s="11" t="n"/>
      <c r="Q859" s="7">
        <f>IF($E859="","",P859*Y859/100)</f>
        <v/>
      </c>
      <c r="R859" s="7" t="n"/>
      <c r="X859" s="7" t="n"/>
      <c r="Y859" s="7" t="n"/>
      <c r="AB859">
        <f>IF($E859="","",IF($AQ859=1,0,IF($AP859=1,Settings!$C$6,Settings!$C$7))*100)</f>
        <v/>
      </c>
      <c r="AC859" s="7">
        <f>IF($E859="","",Y859*AB859/100)</f>
        <v/>
      </c>
      <c r="AD859" s="7">
        <f>IF($E859="","",Y859-AC859)</f>
        <v/>
      </c>
      <c r="AE859" s="7">
        <f>IF($E859="","",AD859-Q859)</f>
        <v/>
      </c>
      <c r="AI859" s="7" t="n"/>
      <c r="AL859" s="11" t="n"/>
      <c r="AN859">
        <f>IF($E859="","",IF(COUNTIF($E$2:$E859,$E859)=1,1,0))</f>
        <v/>
      </c>
      <c r="AO859">
        <f>IF($AN859=1,SUMPRODUCT(--($AR$2:$AR$4001&lt;$AR859))+1,"")</f>
        <v/>
      </c>
      <c r="AP859">
        <f>IF($E859="","",IF(OR($U859=TRUE(),$U859="TRUE"),1,0))</f>
        <v/>
      </c>
      <c r="AQ859">
        <f>IF($E859="","",IF($AA859="Yes",1,0))</f>
        <v/>
      </c>
      <c r="AR859">
        <f>IF($AN859=1,IFERROR(VALUE(MID($E859,2,20)),1000000000)+ROW()/100000,"")</f>
        <v/>
      </c>
    </row>
    <row r="860">
      <c r="G860" s="11" t="n"/>
      <c r="Q860" s="7">
        <f>IF($E860="","",P860*Y860/100)</f>
        <v/>
      </c>
      <c r="R860" s="7" t="n"/>
      <c r="X860" s="7" t="n"/>
      <c r="Y860" s="7" t="n"/>
      <c r="AB860">
        <f>IF($E860="","",IF($AQ860=1,0,IF($AP860=1,Settings!$C$6,Settings!$C$7))*100)</f>
        <v/>
      </c>
      <c r="AC860" s="7">
        <f>IF($E860="","",Y860*AB860/100)</f>
        <v/>
      </c>
      <c r="AD860" s="7">
        <f>IF($E860="","",Y860-AC860)</f>
        <v/>
      </c>
      <c r="AE860" s="7">
        <f>IF($E860="","",AD860-Q860)</f>
        <v/>
      </c>
      <c r="AI860" s="7" t="n"/>
      <c r="AL860" s="11" t="n"/>
      <c r="AN860">
        <f>IF($E860="","",IF(COUNTIF($E$2:$E860,$E860)=1,1,0))</f>
        <v/>
      </c>
      <c r="AO860">
        <f>IF($AN860=1,SUMPRODUCT(--($AR$2:$AR$4001&lt;$AR860))+1,"")</f>
        <v/>
      </c>
      <c r="AP860">
        <f>IF($E860="","",IF(OR($U860=TRUE(),$U860="TRUE"),1,0))</f>
        <v/>
      </c>
      <c r="AQ860">
        <f>IF($E860="","",IF($AA860="Yes",1,0))</f>
        <v/>
      </c>
      <c r="AR860">
        <f>IF($AN860=1,IFERROR(VALUE(MID($E860,2,20)),1000000000)+ROW()/100000,"")</f>
        <v/>
      </c>
    </row>
    <row r="861">
      <c r="G861" s="11" t="n"/>
      <c r="Q861" s="7">
        <f>IF($E861="","",P861*Y861/100)</f>
        <v/>
      </c>
      <c r="R861" s="7" t="n"/>
      <c r="X861" s="7" t="n"/>
      <c r="Y861" s="7" t="n"/>
      <c r="AB861">
        <f>IF($E861="","",IF($AQ861=1,0,IF($AP861=1,Settings!$C$6,Settings!$C$7))*100)</f>
        <v/>
      </c>
      <c r="AC861" s="7">
        <f>IF($E861="","",Y861*AB861/100)</f>
        <v/>
      </c>
      <c r="AD861" s="7">
        <f>IF($E861="","",Y861-AC861)</f>
        <v/>
      </c>
      <c r="AE861" s="7">
        <f>IF($E861="","",AD861-Q861)</f>
        <v/>
      </c>
      <c r="AI861" s="7" t="n"/>
      <c r="AL861" s="11" t="n"/>
      <c r="AN861">
        <f>IF($E861="","",IF(COUNTIF($E$2:$E861,$E861)=1,1,0))</f>
        <v/>
      </c>
      <c r="AO861">
        <f>IF($AN861=1,SUMPRODUCT(--($AR$2:$AR$4001&lt;$AR861))+1,"")</f>
        <v/>
      </c>
      <c r="AP861">
        <f>IF($E861="","",IF(OR($U861=TRUE(),$U861="TRUE"),1,0))</f>
        <v/>
      </c>
      <c r="AQ861">
        <f>IF($E861="","",IF($AA861="Yes",1,0))</f>
        <v/>
      </c>
      <c r="AR861">
        <f>IF($AN861=1,IFERROR(VALUE(MID($E861,2,20)),1000000000)+ROW()/100000,"")</f>
        <v/>
      </c>
    </row>
    <row r="862">
      <c r="G862" s="11" t="n"/>
      <c r="Q862" s="7">
        <f>IF($E862="","",P862*Y862/100)</f>
        <v/>
      </c>
      <c r="R862" s="7" t="n"/>
      <c r="X862" s="7" t="n"/>
      <c r="Y862" s="7" t="n"/>
      <c r="AB862">
        <f>IF($E862="","",IF($AQ862=1,0,IF($AP862=1,Settings!$C$6,Settings!$C$7))*100)</f>
        <v/>
      </c>
      <c r="AC862" s="7">
        <f>IF($E862="","",Y862*AB862/100)</f>
        <v/>
      </c>
      <c r="AD862" s="7">
        <f>IF($E862="","",Y862-AC862)</f>
        <v/>
      </c>
      <c r="AE862" s="7">
        <f>IF($E862="","",AD862-Q862)</f>
        <v/>
      </c>
      <c r="AI862" s="7" t="n"/>
      <c r="AL862" s="11" t="n"/>
      <c r="AN862">
        <f>IF($E862="","",IF(COUNTIF($E$2:$E862,$E862)=1,1,0))</f>
        <v/>
      </c>
      <c r="AO862">
        <f>IF($AN862=1,SUMPRODUCT(--($AR$2:$AR$4001&lt;$AR862))+1,"")</f>
        <v/>
      </c>
      <c r="AP862">
        <f>IF($E862="","",IF(OR($U862=TRUE(),$U862="TRUE"),1,0))</f>
        <v/>
      </c>
      <c r="AQ862">
        <f>IF($E862="","",IF($AA862="Yes",1,0))</f>
        <v/>
      </c>
      <c r="AR862">
        <f>IF($AN862=1,IFERROR(VALUE(MID($E862,2,20)),1000000000)+ROW()/100000,"")</f>
        <v/>
      </c>
    </row>
    <row r="863">
      <c r="G863" s="11" t="n"/>
      <c r="Q863" s="7">
        <f>IF($E863="","",P863*Y863/100)</f>
        <v/>
      </c>
      <c r="R863" s="7" t="n"/>
      <c r="X863" s="7" t="n"/>
      <c r="Y863" s="7" t="n"/>
      <c r="AB863">
        <f>IF($E863="","",IF($AQ863=1,0,IF($AP863=1,Settings!$C$6,Settings!$C$7))*100)</f>
        <v/>
      </c>
      <c r="AC863" s="7">
        <f>IF($E863="","",Y863*AB863/100)</f>
        <v/>
      </c>
      <c r="AD863" s="7">
        <f>IF($E863="","",Y863-AC863)</f>
        <v/>
      </c>
      <c r="AE863" s="7">
        <f>IF($E863="","",AD863-Q863)</f>
        <v/>
      </c>
      <c r="AI863" s="7" t="n"/>
      <c r="AL863" s="11" t="n"/>
      <c r="AN863">
        <f>IF($E863="","",IF(COUNTIF($E$2:$E863,$E863)=1,1,0))</f>
        <v/>
      </c>
      <c r="AO863">
        <f>IF($AN863=1,SUMPRODUCT(--($AR$2:$AR$4001&lt;$AR863))+1,"")</f>
        <v/>
      </c>
      <c r="AP863">
        <f>IF($E863="","",IF(OR($U863=TRUE(),$U863="TRUE"),1,0))</f>
        <v/>
      </c>
      <c r="AQ863">
        <f>IF($E863="","",IF($AA863="Yes",1,0))</f>
        <v/>
      </c>
      <c r="AR863">
        <f>IF($AN863=1,IFERROR(VALUE(MID($E863,2,20)),1000000000)+ROW()/100000,"")</f>
        <v/>
      </c>
    </row>
    <row r="864">
      <c r="G864" s="11" t="n"/>
      <c r="Q864" s="7">
        <f>IF($E864="","",P864*Y864/100)</f>
        <v/>
      </c>
      <c r="R864" s="7" t="n"/>
      <c r="X864" s="7" t="n"/>
      <c r="Y864" s="7" t="n"/>
      <c r="AB864">
        <f>IF($E864="","",IF($AQ864=1,0,IF($AP864=1,Settings!$C$6,Settings!$C$7))*100)</f>
        <v/>
      </c>
      <c r="AC864" s="7">
        <f>IF($E864="","",Y864*AB864/100)</f>
        <v/>
      </c>
      <c r="AD864" s="7">
        <f>IF($E864="","",Y864-AC864)</f>
        <v/>
      </c>
      <c r="AE864" s="7">
        <f>IF($E864="","",AD864-Q864)</f>
        <v/>
      </c>
      <c r="AI864" s="7" t="n"/>
      <c r="AL864" s="11" t="n"/>
      <c r="AN864">
        <f>IF($E864="","",IF(COUNTIF($E$2:$E864,$E864)=1,1,0))</f>
        <v/>
      </c>
      <c r="AO864">
        <f>IF($AN864=1,SUMPRODUCT(--($AR$2:$AR$4001&lt;$AR864))+1,"")</f>
        <v/>
      </c>
      <c r="AP864">
        <f>IF($E864="","",IF(OR($U864=TRUE(),$U864="TRUE"),1,0))</f>
        <v/>
      </c>
      <c r="AQ864">
        <f>IF($E864="","",IF($AA864="Yes",1,0))</f>
        <v/>
      </c>
      <c r="AR864">
        <f>IF($AN864=1,IFERROR(VALUE(MID($E864,2,20)),1000000000)+ROW()/100000,"")</f>
        <v/>
      </c>
    </row>
    <row r="865">
      <c r="G865" s="11" t="n"/>
      <c r="Q865" s="7">
        <f>IF($E865="","",P865*Y865/100)</f>
        <v/>
      </c>
      <c r="R865" s="7" t="n"/>
      <c r="X865" s="7" t="n"/>
      <c r="Y865" s="7" t="n"/>
      <c r="AB865">
        <f>IF($E865="","",IF($AQ865=1,0,IF($AP865=1,Settings!$C$6,Settings!$C$7))*100)</f>
        <v/>
      </c>
      <c r="AC865" s="7">
        <f>IF($E865="","",Y865*AB865/100)</f>
        <v/>
      </c>
      <c r="AD865" s="7">
        <f>IF($E865="","",Y865-AC865)</f>
        <v/>
      </c>
      <c r="AE865" s="7">
        <f>IF($E865="","",AD865-Q865)</f>
        <v/>
      </c>
      <c r="AI865" s="7" t="n"/>
      <c r="AL865" s="11" t="n"/>
      <c r="AN865">
        <f>IF($E865="","",IF(COUNTIF($E$2:$E865,$E865)=1,1,0))</f>
        <v/>
      </c>
      <c r="AO865">
        <f>IF($AN865=1,SUMPRODUCT(--($AR$2:$AR$4001&lt;$AR865))+1,"")</f>
        <v/>
      </c>
      <c r="AP865">
        <f>IF($E865="","",IF(OR($U865=TRUE(),$U865="TRUE"),1,0))</f>
        <v/>
      </c>
      <c r="AQ865">
        <f>IF($E865="","",IF($AA865="Yes",1,0))</f>
        <v/>
      </c>
      <c r="AR865">
        <f>IF($AN865=1,IFERROR(VALUE(MID($E865,2,20)),1000000000)+ROW()/100000,"")</f>
        <v/>
      </c>
    </row>
    <row r="866">
      <c r="G866" s="11" t="n"/>
      <c r="Q866" s="7">
        <f>IF($E866="","",P866*Y866/100)</f>
        <v/>
      </c>
      <c r="R866" s="7" t="n"/>
      <c r="X866" s="7" t="n"/>
      <c r="Y866" s="7" t="n"/>
      <c r="AB866">
        <f>IF($E866="","",IF($AQ866=1,0,IF($AP866=1,Settings!$C$6,Settings!$C$7))*100)</f>
        <v/>
      </c>
      <c r="AC866" s="7">
        <f>IF($E866="","",Y866*AB866/100)</f>
        <v/>
      </c>
      <c r="AD866" s="7">
        <f>IF($E866="","",Y866-AC866)</f>
        <v/>
      </c>
      <c r="AE866" s="7">
        <f>IF($E866="","",AD866-Q866)</f>
        <v/>
      </c>
      <c r="AI866" s="7" t="n"/>
      <c r="AL866" s="11" t="n"/>
      <c r="AN866">
        <f>IF($E866="","",IF(COUNTIF($E$2:$E866,$E866)=1,1,0))</f>
        <v/>
      </c>
      <c r="AO866">
        <f>IF($AN866=1,SUMPRODUCT(--($AR$2:$AR$4001&lt;$AR866))+1,"")</f>
        <v/>
      </c>
      <c r="AP866">
        <f>IF($E866="","",IF(OR($U866=TRUE(),$U866="TRUE"),1,0))</f>
        <v/>
      </c>
      <c r="AQ866">
        <f>IF($E866="","",IF($AA866="Yes",1,0))</f>
        <v/>
      </c>
      <c r="AR866">
        <f>IF($AN866=1,IFERROR(VALUE(MID($E866,2,20)),1000000000)+ROW()/100000,"")</f>
        <v/>
      </c>
    </row>
    <row r="867">
      <c r="G867" s="11" t="n"/>
      <c r="Q867" s="7">
        <f>IF($E867="","",P867*Y867/100)</f>
        <v/>
      </c>
      <c r="R867" s="7" t="n"/>
      <c r="X867" s="7" t="n"/>
      <c r="Y867" s="7" t="n"/>
      <c r="AB867">
        <f>IF($E867="","",IF($AQ867=1,0,IF($AP867=1,Settings!$C$6,Settings!$C$7))*100)</f>
        <v/>
      </c>
      <c r="AC867" s="7">
        <f>IF($E867="","",Y867*AB867/100)</f>
        <v/>
      </c>
      <c r="AD867" s="7">
        <f>IF($E867="","",Y867-AC867)</f>
        <v/>
      </c>
      <c r="AE867" s="7">
        <f>IF($E867="","",AD867-Q867)</f>
        <v/>
      </c>
      <c r="AI867" s="7" t="n"/>
      <c r="AL867" s="11" t="n"/>
      <c r="AN867">
        <f>IF($E867="","",IF(COUNTIF($E$2:$E867,$E867)=1,1,0))</f>
        <v/>
      </c>
      <c r="AO867">
        <f>IF($AN867=1,SUMPRODUCT(--($AR$2:$AR$4001&lt;$AR867))+1,"")</f>
        <v/>
      </c>
      <c r="AP867">
        <f>IF($E867="","",IF(OR($U867=TRUE(),$U867="TRUE"),1,0))</f>
        <v/>
      </c>
      <c r="AQ867">
        <f>IF($E867="","",IF($AA867="Yes",1,0))</f>
        <v/>
      </c>
      <c r="AR867">
        <f>IF($AN867=1,IFERROR(VALUE(MID($E867,2,20)),1000000000)+ROW()/100000,"")</f>
        <v/>
      </c>
    </row>
    <row r="868">
      <c r="G868" s="11" t="n"/>
      <c r="Q868" s="7">
        <f>IF($E868="","",P868*Y868/100)</f>
        <v/>
      </c>
      <c r="R868" s="7" t="n"/>
      <c r="X868" s="7" t="n"/>
      <c r="Y868" s="7" t="n"/>
      <c r="AB868">
        <f>IF($E868="","",IF($AQ868=1,0,IF($AP868=1,Settings!$C$6,Settings!$C$7))*100)</f>
        <v/>
      </c>
      <c r="AC868" s="7">
        <f>IF($E868="","",Y868*AB868/100)</f>
        <v/>
      </c>
      <c r="AD868" s="7">
        <f>IF($E868="","",Y868-AC868)</f>
        <v/>
      </c>
      <c r="AE868" s="7">
        <f>IF($E868="","",AD868-Q868)</f>
        <v/>
      </c>
      <c r="AI868" s="7" t="n"/>
      <c r="AL868" s="11" t="n"/>
      <c r="AN868">
        <f>IF($E868="","",IF(COUNTIF($E$2:$E868,$E868)=1,1,0))</f>
        <v/>
      </c>
      <c r="AO868">
        <f>IF($AN868=1,SUMPRODUCT(--($AR$2:$AR$4001&lt;$AR868))+1,"")</f>
        <v/>
      </c>
      <c r="AP868">
        <f>IF($E868="","",IF(OR($U868=TRUE(),$U868="TRUE"),1,0))</f>
        <v/>
      </c>
      <c r="AQ868">
        <f>IF($E868="","",IF($AA868="Yes",1,0))</f>
        <v/>
      </c>
      <c r="AR868">
        <f>IF($AN868=1,IFERROR(VALUE(MID($E868,2,20)),1000000000)+ROW()/100000,"")</f>
        <v/>
      </c>
    </row>
    <row r="869">
      <c r="G869" s="11" t="n"/>
      <c r="Q869" s="7">
        <f>IF($E869="","",P869*Y869/100)</f>
        <v/>
      </c>
      <c r="R869" s="7" t="n"/>
      <c r="X869" s="7" t="n"/>
      <c r="Y869" s="7" t="n"/>
      <c r="AB869">
        <f>IF($E869="","",IF($AQ869=1,0,IF($AP869=1,Settings!$C$6,Settings!$C$7))*100)</f>
        <v/>
      </c>
      <c r="AC869" s="7">
        <f>IF($E869="","",Y869*AB869/100)</f>
        <v/>
      </c>
      <c r="AD869" s="7">
        <f>IF($E869="","",Y869-AC869)</f>
        <v/>
      </c>
      <c r="AE869" s="7">
        <f>IF($E869="","",AD869-Q869)</f>
        <v/>
      </c>
      <c r="AI869" s="7" t="n"/>
      <c r="AL869" s="11" t="n"/>
      <c r="AN869">
        <f>IF($E869="","",IF(COUNTIF($E$2:$E869,$E869)=1,1,0))</f>
        <v/>
      </c>
      <c r="AO869">
        <f>IF($AN869=1,SUMPRODUCT(--($AR$2:$AR$4001&lt;$AR869))+1,"")</f>
        <v/>
      </c>
      <c r="AP869">
        <f>IF($E869="","",IF(OR($U869=TRUE(),$U869="TRUE"),1,0))</f>
        <v/>
      </c>
      <c r="AQ869">
        <f>IF($E869="","",IF($AA869="Yes",1,0))</f>
        <v/>
      </c>
      <c r="AR869">
        <f>IF($AN869=1,IFERROR(VALUE(MID($E869,2,20)),1000000000)+ROW()/100000,"")</f>
        <v/>
      </c>
    </row>
    <row r="870">
      <c r="G870" s="11" t="n"/>
      <c r="Q870" s="7">
        <f>IF($E870="","",P870*Y870/100)</f>
        <v/>
      </c>
      <c r="R870" s="7" t="n"/>
      <c r="X870" s="7" t="n"/>
      <c r="Y870" s="7" t="n"/>
      <c r="AB870">
        <f>IF($E870="","",IF($AQ870=1,0,IF($AP870=1,Settings!$C$6,Settings!$C$7))*100)</f>
        <v/>
      </c>
      <c r="AC870" s="7">
        <f>IF($E870="","",Y870*AB870/100)</f>
        <v/>
      </c>
      <c r="AD870" s="7">
        <f>IF($E870="","",Y870-AC870)</f>
        <v/>
      </c>
      <c r="AE870" s="7">
        <f>IF($E870="","",AD870-Q870)</f>
        <v/>
      </c>
      <c r="AI870" s="7" t="n"/>
      <c r="AL870" s="11" t="n"/>
      <c r="AN870">
        <f>IF($E870="","",IF(COUNTIF($E$2:$E870,$E870)=1,1,0))</f>
        <v/>
      </c>
      <c r="AO870">
        <f>IF($AN870=1,SUMPRODUCT(--($AR$2:$AR$4001&lt;$AR870))+1,"")</f>
        <v/>
      </c>
      <c r="AP870">
        <f>IF($E870="","",IF(OR($U870=TRUE(),$U870="TRUE"),1,0))</f>
        <v/>
      </c>
      <c r="AQ870">
        <f>IF($E870="","",IF($AA870="Yes",1,0))</f>
        <v/>
      </c>
      <c r="AR870">
        <f>IF($AN870=1,IFERROR(VALUE(MID($E870,2,20)),1000000000)+ROW()/100000,"")</f>
        <v/>
      </c>
    </row>
    <row r="871">
      <c r="G871" s="11" t="n"/>
      <c r="Q871" s="7">
        <f>IF($E871="","",P871*Y871/100)</f>
        <v/>
      </c>
      <c r="R871" s="7" t="n"/>
      <c r="X871" s="7" t="n"/>
      <c r="Y871" s="7" t="n"/>
      <c r="AB871">
        <f>IF($E871="","",IF($AQ871=1,0,IF($AP871=1,Settings!$C$6,Settings!$C$7))*100)</f>
        <v/>
      </c>
      <c r="AC871" s="7">
        <f>IF($E871="","",Y871*AB871/100)</f>
        <v/>
      </c>
      <c r="AD871" s="7">
        <f>IF($E871="","",Y871-AC871)</f>
        <v/>
      </c>
      <c r="AE871" s="7">
        <f>IF($E871="","",AD871-Q871)</f>
        <v/>
      </c>
      <c r="AI871" s="7" t="n"/>
      <c r="AL871" s="11" t="n"/>
      <c r="AN871">
        <f>IF($E871="","",IF(COUNTIF($E$2:$E871,$E871)=1,1,0))</f>
        <v/>
      </c>
      <c r="AO871">
        <f>IF($AN871=1,SUMPRODUCT(--($AR$2:$AR$4001&lt;$AR871))+1,"")</f>
        <v/>
      </c>
      <c r="AP871">
        <f>IF($E871="","",IF(OR($U871=TRUE(),$U871="TRUE"),1,0))</f>
        <v/>
      </c>
      <c r="AQ871">
        <f>IF($E871="","",IF($AA871="Yes",1,0))</f>
        <v/>
      </c>
      <c r="AR871">
        <f>IF($AN871=1,IFERROR(VALUE(MID($E871,2,20)),1000000000)+ROW()/100000,"")</f>
        <v/>
      </c>
    </row>
    <row r="872">
      <c r="G872" s="11" t="n"/>
      <c r="Q872" s="7">
        <f>IF($E872="","",P872*Y872/100)</f>
        <v/>
      </c>
      <c r="R872" s="7" t="n"/>
      <c r="X872" s="7" t="n"/>
      <c r="Y872" s="7" t="n"/>
      <c r="AB872">
        <f>IF($E872="","",IF($AQ872=1,0,IF($AP872=1,Settings!$C$6,Settings!$C$7))*100)</f>
        <v/>
      </c>
      <c r="AC872" s="7">
        <f>IF($E872="","",Y872*AB872/100)</f>
        <v/>
      </c>
      <c r="AD872" s="7">
        <f>IF($E872="","",Y872-AC872)</f>
        <v/>
      </c>
      <c r="AE872" s="7">
        <f>IF($E872="","",AD872-Q872)</f>
        <v/>
      </c>
      <c r="AI872" s="7" t="n"/>
      <c r="AL872" s="11" t="n"/>
      <c r="AN872">
        <f>IF($E872="","",IF(COUNTIF($E$2:$E872,$E872)=1,1,0))</f>
        <v/>
      </c>
      <c r="AO872">
        <f>IF($AN872=1,SUMPRODUCT(--($AR$2:$AR$4001&lt;$AR872))+1,"")</f>
        <v/>
      </c>
      <c r="AP872">
        <f>IF($E872="","",IF(OR($U872=TRUE(),$U872="TRUE"),1,0))</f>
        <v/>
      </c>
      <c r="AQ872">
        <f>IF($E872="","",IF($AA872="Yes",1,0))</f>
        <v/>
      </c>
      <c r="AR872">
        <f>IF($AN872=1,IFERROR(VALUE(MID($E872,2,20)),1000000000)+ROW()/100000,"")</f>
        <v/>
      </c>
    </row>
    <row r="873">
      <c r="G873" s="11" t="n"/>
      <c r="Q873" s="7">
        <f>IF($E873="","",P873*Y873/100)</f>
        <v/>
      </c>
      <c r="R873" s="7" t="n"/>
      <c r="X873" s="7" t="n"/>
      <c r="Y873" s="7" t="n"/>
      <c r="AB873">
        <f>IF($E873="","",IF($AQ873=1,0,IF($AP873=1,Settings!$C$6,Settings!$C$7))*100)</f>
        <v/>
      </c>
      <c r="AC873" s="7">
        <f>IF($E873="","",Y873*AB873/100)</f>
        <v/>
      </c>
      <c r="AD873" s="7">
        <f>IF($E873="","",Y873-AC873)</f>
        <v/>
      </c>
      <c r="AE873" s="7">
        <f>IF($E873="","",AD873-Q873)</f>
        <v/>
      </c>
      <c r="AI873" s="7" t="n"/>
      <c r="AL873" s="11" t="n"/>
      <c r="AN873">
        <f>IF($E873="","",IF(COUNTIF($E$2:$E873,$E873)=1,1,0))</f>
        <v/>
      </c>
      <c r="AO873">
        <f>IF($AN873=1,SUMPRODUCT(--($AR$2:$AR$4001&lt;$AR873))+1,"")</f>
        <v/>
      </c>
      <c r="AP873">
        <f>IF($E873="","",IF(OR($U873=TRUE(),$U873="TRUE"),1,0))</f>
        <v/>
      </c>
      <c r="AQ873">
        <f>IF($E873="","",IF($AA873="Yes",1,0))</f>
        <v/>
      </c>
      <c r="AR873">
        <f>IF($AN873=1,IFERROR(VALUE(MID($E873,2,20)),1000000000)+ROW()/100000,"")</f>
        <v/>
      </c>
    </row>
    <row r="874">
      <c r="G874" s="11" t="n"/>
      <c r="Q874" s="7">
        <f>IF($E874="","",P874*Y874/100)</f>
        <v/>
      </c>
      <c r="R874" s="7" t="n"/>
      <c r="X874" s="7" t="n"/>
      <c r="Y874" s="7" t="n"/>
      <c r="AB874">
        <f>IF($E874="","",IF($AQ874=1,0,IF($AP874=1,Settings!$C$6,Settings!$C$7))*100)</f>
        <v/>
      </c>
      <c r="AC874" s="7">
        <f>IF($E874="","",Y874*AB874/100)</f>
        <v/>
      </c>
      <c r="AD874" s="7">
        <f>IF($E874="","",Y874-AC874)</f>
        <v/>
      </c>
      <c r="AE874" s="7">
        <f>IF($E874="","",AD874-Q874)</f>
        <v/>
      </c>
      <c r="AI874" s="7" t="n"/>
      <c r="AL874" s="11" t="n"/>
      <c r="AN874">
        <f>IF($E874="","",IF(COUNTIF($E$2:$E874,$E874)=1,1,0))</f>
        <v/>
      </c>
      <c r="AO874">
        <f>IF($AN874=1,SUMPRODUCT(--($AR$2:$AR$4001&lt;$AR874))+1,"")</f>
        <v/>
      </c>
      <c r="AP874">
        <f>IF($E874="","",IF(OR($U874=TRUE(),$U874="TRUE"),1,0))</f>
        <v/>
      </c>
      <c r="AQ874">
        <f>IF($E874="","",IF($AA874="Yes",1,0))</f>
        <v/>
      </c>
      <c r="AR874">
        <f>IF($AN874=1,IFERROR(VALUE(MID($E874,2,20)),1000000000)+ROW()/100000,"")</f>
        <v/>
      </c>
    </row>
    <row r="875">
      <c r="G875" s="11" t="n"/>
      <c r="Q875" s="7">
        <f>IF($E875="","",P875*Y875/100)</f>
        <v/>
      </c>
      <c r="R875" s="7" t="n"/>
      <c r="X875" s="7" t="n"/>
      <c r="Y875" s="7" t="n"/>
      <c r="AB875">
        <f>IF($E875="","",IF($AQ875=1,0,IF($AP875=1,Settings!$C$6,Settings!$C$7))*100)</f>
        <v/>
      </c>
      <c r="AC875" s="7">
        <f>IF($E875="","",Y875*AB875/100)</f>
        <v/>
      </c>
      <c r="AD875" s="7">
        <f>IF($E875="","",Y875-AC875)</f>
        <v/>
      </c>
      <c r="AE875" s="7">
        <f>IF($E875="","",AD875-Q875)</f>
        <v/>
      </c>
      <c r="AI875" s="7" t="n"/>
      <c r="AL875" s="11" t="n"/>
      <c r="AN875">
        <f>IF($E875="","",IF(COUNTIF($E$2:$E875,$E875)=1,1,0))</f>
        <v/>
      </c>
      <c r="AO875">
        <f>IF($AN875=1,SUMPRODUCT(--($AR$2:$AR$4001&lt;$AR875))+1,"")</f>
        <v/>
      </c>
      <c r="AP875">
        <f>IF($E875="","",IF(OR($U875=TRUE(),$U875="TRUE"),1,0))</f>
        <v/>
      </c>
      <c r="AQ875">
        <f>IF($E875="","",IF($AA875="Yes",1,0))</f>
        <v/>
      </c>
      <c r="AR875">
        <f>IF($AN875=1,IFERROR(VALUE(MID($E875,2,20)),1000000000)+ROW()/100000,"")</f>
        <v/>
      </c>
    </row>
    <row r="876">
      <c r="G876" s="11" t="n"/>
      <c r="Q876" s="7">
        <f>IF($E876="","",P876*Y876/100)</f>
        <v/>
      </c>
      <c r="R876" s="7" t="n"/>
      <c r="X876" s="7" t="n"/>
      <c r="Y876" s="7" t="n"/>
      <c r="AB876">
        <f>IF($E876="","",IF($AQ876=1,0,IF($AP876=1,Settings!$C$6,Settings!$C$7))*100)</f>
        <v/>
      </c>
      <c r="AC876" s="7">
        <f>IF($E876="","",Y876*AB876/100)</f>
        <v/>
      </c>
      <c r="AD876" s="7">
        <f>IF($E876="","",Y876-AC876)</f>
        <v/>
      </c>
      <c r="AE876" s="7">
        <f>IF($E876="","",AD876-Q876)</f>
        <v/>
      </c>
      <c r="AI876" s="7" t="n"/>
      <c r="AL876" s="11" t="n"/>
      <c r="AN876">
        <f>IF($E876="","",IF(COUNTIF($E$2:$E876,$E876)=1,1,0))</f>
        <v/>
      </c>
      <c r="AO876">
        <f>IF($AN876=1,SUMPRODUCT(--($AR$2:$AR$4001&lt;$AR876))+1,"")</f>
        <v/>
      </c>
      <c r="AP876">
        <f>IF($E876="","",IF(OR($U876=TRUE(),$U876="TRUE"),1,0))</f>
        <v/>
      </c>
      <c r="AQ876">
        <f>IF($E876="","",IF($AA876="Yes",1,0))</f>
        <v/>
      </c>
      <c r="AR876">
        <f>IF($AN876=1,IFERROR(VALUE(MID($E876,2,20)),1000000000)+ROW()/100000,"")</f>
        <v/>
      </c>
    </row>
    <row r="877">
      <c r="G877" s="11" t="n"/>
      <c r="Q877" s="7">
        <f>IF($E877="","",P877*Y877/100)</f>
        <v/>
      </c>
      <c r="R877" s="7" t="n"/>
      <c r="X877" s="7" t="n"/>
      <c r="Y877" s="7" t="n"/>
      <c r="AB877">
        <f>IF($E877="","",IF($AQ877=1,0,IF($AP877=1,Settings!$C$6,Settings!$C$7))*100)</f>
        <v/>
      </c>
      <c r="AC877" s="7">
        <f>IF($E877="","",Y877*AB877/100)</f>
        <v/>
      </c>
      <c r="AD877" s="7">
        <f>IF($E877="","",Y877-AC877)</f>
        <v/>
      </c>
      <c r="AE877" s="7">
        <f>IF($E877="","",AD877-Q877)</f>
        <v/>
      </c>
      <c r="AI877" s="7" t="n"/>
      <c r="AL877" s="11" t="n"/>
      <c r="AN877">
        <f>IF($E877="","",IF(COUNTIF($E$2:$E877,$E877)=1,1,0))</f>
        <v/>
      </c>
      <c r="AO877">
        <f>IF($AN877=1,SUMPRODUCT(--($AR$2:$AR$4001&lt;$AR877))+1,"")</f>
        <v/>
      </c>
      <c r="AP877">
        <f>IF($E877="","",IF(OR($U877=TRUE(),$U877="TRUE"),1,0))</f>
        <v/>
      </c>
      <c r="AQ877">
        <f>IF($E877="","",IF($AA877="Yes",1,0))</f>
        <v/>
      </c>
      <c r="AR877">
        <f>IF($AN877=1,IFERROR(VALUE(MID($E877,2,20)),1000000000)+ROW()/100000,"")</f>
        <v/>
      </c>
    </row>
    <row r="878">
      <c r="G878" s="11" t="n"/>
      <c r="Q878" s="7">
        <f>IF($E878="","",P878*Y878/100)</f>
        <v/>
      </c>
      <c r="R878" s="7" t="n"/>
      <c r="X878" s="7" t="n"/>
      <c r="Y878" s="7" t="n"/>
      <c r="AB878">
        <f>IF($E878="","",IF($AQ878=1,0,IF($AP878=1,Settings!$C$6,Settings!$C$7))*100)</f>
        <v/>
      </c>
      <c r="AC878" s="7">
        <f>IF($E878="","",Y878*AB878/100)</f>
        <v/>
      </c>
      <c r="AD878" s="7">
        <f>IF($E878="","",Y878-AC878)</f>
        <v/>
      </c>
      <c r="AE878" s="7">
        <f>IF($E878="","",AD878-Q878)</f>
        <v/>
      </c>
      <c r="AI878" s="7" t="n"/>
      <c r="AL878" s="11" t="n"/>
      <c r="AN878">
        <f>IF($E878="","",IF(COUNTIF($E$2:$E878,$E878)=1,1,0))</f>
        <v/>
      </c>
      <c r="AO878">
        <f>IF($AN878=1,SUMPRODUCT(--($AR$2:$AR$4001&lt;$AR878))+1,"")</f>
        <v/>
      </c>
      <c r="AP878">
        <f>IF($E878="","",IF(OR($U878=TRUE(),$U878="TRUE"),1,0))</f>
        <v/>
      </c>
      <c r="AQ878">
        <f>IF($E878="","",IF($AA878="Yes",1,0))</f>
        <v/>
      </c>
      <c r="AR878">
        <f>IF($AN878=1,IFERROR(VALUE(MID($E878,2,20)),1000000000)+ROW()/100000,"")</f>
        <v/>
      </c>
    </row>
    <row r="879">
      <c r="G879" s="11" t="n"/>
      <c r="Q879" s="7">
        <f>IF($E879="","",P879*Y879/100)</f>
        <v/>
      </c>
      <c r="R879" s="7" t="n"/>
      <c r="X879" s="7" t="n"/>
      <c r="Y879" s="7" t="n"/>
      <c r="AB879">
        <f>IF($E879="","",IF($AQ879=1,0,IF($AP879=1,Settings!$C$6,Settings!$C$7))*100)</f>
        <v/>
      </c>
      <c r="AC879" s="7">
        <f>IF($E879="","",Y879*AB879/100)</f>
        <v/>
      </c>
      <c r="AD879" s="7">
        <f>IF($E879="","",Y879-AC879)</f>
        <v/>
      </c>
      <c r="AE879" s="7">
        <f>IF($E879="","",AD879-Q879)</f>
        <v/>
      </c>
      <c r="AI879" s="7" t="n"/>
      <c r="AL879" s="11" t="n"/>
      <c r="AN879">
        <f>IF($E879="","",IF(COUNTIF($E$2:$E879,$E879)=1,1,0))</f>
        <v/>
      </c>
      <c r="AO879">
        <f>IF($AN879=1,SUMPRODUCT(--($AR$2:$AR$4001&lt;$AR879))+1,"")</f>
        <v/>
      </c>
      <c r="AP879">
        <f>IF($E879="","",IF(OR($U879=TRUE(),$U879="TRUE"),1,0))</f>
        <v/>
      </c>
      <c r="AQ879">
        <f>IF($E879="","",IF($AA879="Yes",1,0))</f>
        <v/>
      </c>
      <c r="AR879">
        <f>IF($AN879=1,IFERROR(VALUE(MID($E879,2,20)),1000000000)+ROW()/100000,"")</f>
        <v/>
      </c>
    </row>
    <row r="880">
      <c r="G880" s="11" t="n"/>
      <c r="Q880" s="7">
        <f>IF($E880="","",P880*Y880/100)</f>
        <v/>
      </c>
      <c r="R880" s="7" t="n"/>
      <c r="X880" s="7" t="n"/>
      <c r="Y880" s="7" t="n"/>
      <c r="AB880">
        <f>IF($E880="","",IF($AQ880=1,0,IF($AP880=1,Settings!$C$6,Settings!$C$7))*100)</f>
        <v/>
      </c>
      <c r="AC880" s="7">
        <f>IF($E880="","",Y880*AB880/100)</f>
        <v/>
      </c>
      <c r="AD880" s="7">
        <f>IF($E880="","",Y880-AC880)</f>
        <v/>
      </c>
      <c r="AE880" s="7">
        <f>IF($E880="","",AD880-Q880)</f>
        <v/>
      </c>
      <c r="AI880" s="7" t="n"/>
      <c r="AL880" s="11" t="n"/>
      <c r="AN880">
        <f>IF($E880="","",IF(COUNTIF($E$2:$E880,$E880)=1,1,0))</f>
        <v/>
      </c>
      <c r="AO880">
        <f>IF($AN880=1,SUMPRODUCT(--($AR$2:$AR$4001&lt;$AR880))+1,"")</f>
        <v/>
      </c>
      <c r="AP880">
        <f>IF($E880="","",IF(OR($U880=TRUE(),$U880="TRUE"),1,0))</f>
        <v/>
      </c>
      <c r="AQ880">
        <f>IF($E880="","",IF($AA880="Yes",1,0))</f>
        <v/>
      </c>
      <c r="AR880">
        <f>IF($AN880=1,IFERROR(VALUE(MID($E880,2,20)),1000000000)+ROW()/100000,"")</f>
        <v/>
      </c>
    </row>
    <row r="881">
      <c r="G881" s="11" t="n"/>
      <c r="Q881" s="7">
        <f>IF($E881="","",P881*Y881/100)</f>
        <v/>
      </c>
      <c r="R881" s="7" t="n"/>
      <c r="X881" s="7" t="n"/>
      <c r="Y881" s="7" t="n"/>
      <c r="AB881">
        <f>IF($E881="","",IF($AQ881=1,0,IF($AP881=1,Settings!$C$6,Settings!$C$7))*100)</f>
        <v/>
      </c>
      <c r="AC881" s="7">
        <f>IF($E881="","",Y881*AB881/100)</f>
        <v/>
      </c>
      <c r="AD881" s="7">
        <f>IF($E881="","",Y881-AC881)</f>
        <v/>
      </c>
      <c r="AE881" s="7">
        <f>IF($E881="","",AD881-Q881)</f>
        <v/>
      </c>
      <c r="AI881" s="7" t="n"/>
      <c r="AL881" s="11" t="n"/>
      <c r="AN881">
        <f>IF($E881="","",IF(COUNTIF($E$2:$E881,$E881)=1,1,0))</f>
        <v/>
      </c>
      <c r="AO881">
        <f>IF($AN881=1,SUMPRODUCT(--($AR$2:$AR$4001&lt;$AR881))+1,"")</f>
        <v/>
      </c>
      <c r="AP881">
        <f>IF($E881="","",IF(OR($U881=TRUE(),$U881="TRUE"),1,0))</f>
        <v/>
      </c>
      <c r="AQ881">
        <f>IF($E881="","",IF($AA881="Yes",1,0))</f>
        <v/>
      </c>
      <c r="AR881">
        <f>IF($AN881=1,IFERROR(VALUE(MID($E881,2,20)),1000000000)+ROW()/100000,"")</f>
        <v/>
      </c>
    </row>
    <row r="882">
      <c r="G882" s="11" t="n"/>
      <c r="Q882" s="7">
        <f>IF($E882="","",P882*Y882/100)</f>
        <v/>
      </c>
      <c r="R882" s="7" t="n"/>
      <c r="X882" s="7" t="n"/>
      <c r="Y882" s="7" t="n"/>
      <c r="AB882">
        <f>IF($E882="","",IF($AQ882=1,0,IF($AP882=1,Settings!$C$6,Settings!$C$7))*100)</f>
        <v/>
      </c>
      <c r="AC882" s="7">
        <f>IF($E882="","",Y882*AB882/100)</f>
        <v/>
      </c>
      <c r="AD882" s="7">
        <f>IF($E882="","",Y882-AC882)</f>
        <v/>
      </c>
      <c r="AE882" s="7">
        <f>IF($E882="","",AD882-Q882)</f>
        <v/>
      </c>
      <c r="AI882" s="7" t="n"/>
      <c r="AL882" s="11" t="n"/>
      <c r="AN882">
        <f>IF($E882="","",IF(COUNTIF($E$2:$E882,$E882)=1,1,0))</f>
        <v/>
      </c>
      <c r="AO882">
        <f>IF($AN882=1,SUMPRODUCT(--($AR$2:$AR$4001&lt;$AR882))+1,"")</f>
        <v/>
      </c>
      <c r="AP882">
        <f>IF($E882="","",IF(OR($U882=TRUE(),$U882="TRUE"),1,0))</f>
        <v/>
      </c>
      <c r="AQ882">
        <f>IF($E882="","",IF($AA882="Yes",1,0))</f>
        <v/>
      </c>
      <c r="AR882">
        <f>IF($AN882=1,IFERROR(VALUE(MID($E882,2,20)),1000000000)+ROW()/100000,"")</f>
        <v/>
      </c>
    </row>
    <row r="883">
      <c r="G883" s="11" t="n"/>
      <c r="Q883" s="7">
        <f>IF($E883="","",P883*Y883/100)</f>
        <v/>
      </c>
      <c r="R883" s="7" t="n"/>
      <c r="X883" s="7" t="n"/>
      <c r="Y883" s="7" t="n"/>
      <c r="AB883">
        <f>IF($E883="","",IF($AQ883=1,0,IF($AP883=1,Settings!$C$6,Settings!$C$7))*100)</f>
        <v/>
      </c>
      <c r="AC883" s="7">
        <f>IF($E883="","",Y883*AB883/100)</f>
        <v/>
      </c>
      <c r="AD883" s="7">
        <f>IF($E883="","",Y883-AC883)</f>
        <v/>
      </c>
      <c r="AE883" s="7">
        <f>IF($E883="","",AD883-Q883)</f>
        <v/>
      </c>
      <c r="AI883" s="7" t="n"/>
      <c r="AL883" s="11" t="n"/>
      <c r="AN883">
        <f>IF($E883="","",IF(COUNTIF($E$2:$E883,$E883)=1,1,0))</f>
        <v/>
      </c>
      <c r="AO883">
        <f>IF($AN883=1,SUMPRODUCT(--($AR$2:$AR$4001&lt;$AR883))+1,"")</f>
        <v/>
      </c>
      <c r="AP883">
        <f>IF($E883="","",IF(OR($U883=TRUE(),$U883="TRUE"),1,0))</f>
        <v/>
      </c>
      <c r="AQ883">
        <f>IF($E883="","",IF($AA883="Yes",1,0))</f>
        <v/>
      </c>
      <c r="AR883">
        <f>IF($AN883=1,IFERROR(VALUE(MID($E883,2,20)),1000000000)+ROW()/100000,"")</f>
        <v/>
      </c>
    </row>
    <row r="884">
      <c r="G884" s="11" t="n"/>
      <c r="Q884" s="7">
        <f>IF($E884="","",P884*Y884/100)</f>
        <v/>
      </c>
      <c r="R884" s="7" t="n"/>
      <c r="X884" s="7" t="n"/>
      <c r="Y884" s="7" t="n"/>
      <c r="AB884">
        <f>IF($E884="","",IF($AQ884=1,0,IF($AP884=1,Settings!$C$6,Settings!$C$7))*100)</f>
        <v/>
      </c>
      <c r="AC884" s="7">
        <f>IF($E884="","",Y884*AB884/100)</f>
        <v/>
      </c>
      <c r="AD884" s="7">
        <f>IF($E884="","",Y884-AC884)</f>
        <v/>
      </c>
      <c r="AE884" s="7">
        <f>IF($E884="","",AD884-Q884)</f>
        <v/>
      </c>
      <c r="AI884" s="7" t="n"/>
      <c r="AL884" s="11" t="n"/>
      <c r="AN884">
        <f>IF($E884="","",IF(COUNTIF($E$2:$E884,$E884)=1,1,0))</f>
        <v/>
      </c>
      <c r="AO884">
        <f>IF($AN884=1,SUMPRODUCT(--($AR$2:$AR$4001&lt;$AR884))+1,"")</f>
        <v/>
      </c>
      <c r="AP884">
        <f>IF($E884="","",IF(OR($U884=TRUE(),$U884="TRUE"),1,0))</f>
        <v/>
      </c>
      <c r="AQ884">
        <f>IF($E884="","",IF($AA884="Yes",1,0))</f>
        <v/>
      </c>
      <c r="AR884">
        <f>IF($AN884=1,IFERROR(VALUE(MID($E884,2,20)),1000000000)+ROW()/100000,"")</f>
        <v/>
      </c>
    </row>
    <row r="885">
      <c r="G885" s="11" t="n"/>
      <c r="Q885" s="7">
        <f>IF($E885="","",P885*Y885/100)</f>
        <v/>
      </c>
      <c r="R885" s="7" t="n"/>
      <c r="X885" s="7" t="n"/>
      <c r="Y885" s="7" t="n"/>
      <c r="AB885">
        <f>IF($E885="","",IF($AQ885=1,0,IF($AP885=1,Settings!$C$6,Settings!$C$7))*100)</f>
        <v/>
      </c>
      <c r="AC885" s="7">
        <f>IF($E885="","",Y885*AB885/100)</f>
        <v/>
      </c>
      <c r="AD885" s="7">
        <f>IF($E885="","",Y885-AC885)</f>
        <v/>
      </c>
      <c r="AE885" s="7">
        <f>IF($E885="","",AD885-Q885)</f>
        <v/>
      </c>
      <c r="AI885" s="7" t="n"/>
      <c r="AL885" s="11" t="n"/>
      <c r="AN885">
        <f>IF($E885="","",IF(COUNTIF($E$2:$E885,$E885)=1,1,0))</f>
        <v/>
      </c>
      <c r="AO885">
        <f>IF($AN885=1,SUMPRODUCT(--($AR$2:$AR$4001&lt;$AR885))+1,"")</f>
        <v/>
      </c>
      <c r="AP885">
        <f>IF($E885="","",IF(OR($U885=TRUE(),$U885="TRUE"),1,0))</f>
        <v/>
      </c>
      <c r="AQ885">
        <f>IF($E885="","",IF($AA885="Yes",1,0))</f>
        <v/>
      </c>
      <c r="AR885">
        <f>IF($AN885=1,IFERROR(VALUE(MID($E885,2,20)),1000000000)+ROW()/100000,"")</f>
        <v/>
      </c>
    </row>
    <row r="886">
      <c r="G886" s="11" t="n"/>
      <c r="Q886" s="7">
        <f>IF($E886="","",P886*Y886/100)</f>
        <v/>
      </c>
      <c r="R886" s="7" t="n"/>
      <c r="X886" s="7" t="n"/>
      <c r="Y886" s="7" t="n"/>
      <c r="AB886">
        <f>IF($E886="","",IF($AQ886=1,0,IF($AP886=1,Settings!$C$6,Settings!$C$7))*100)</f>
        <v/>
      </c>
      <c r="AC886" s="7">
        <f>IF($E886="","",Y886*AB886/100)</f>
        <v/>
      </c>
      <c r="AD886" s="7">
        <f>IF($E886="","",Y886-AC886)</f>
        <v/>
      </c>
      <c r="AE886" s="7">
        <f>IF($E886="","",AD886-Q886)</f>
        <v/>
      </c>
      <c r="AI886" s="7" t="n"/>
      <c r="AL886" s="11" t="n"/>
      <c r="AN886">
        <f>IF($E886="","",IF(COUNTIF($E$2:$E886,$E886)=1,1,0))</f>
        <v/>
      </c>
      <c r="AO886">
        <f>IF($AN886=1,SUMPRODUCT(--($AR$2:$AR$4001&lt;$AR886))+1,"")</f>
        <v/>
      </c>
      <c r="AP886">
        <f>IF($E886="","",IF(OR($U886=TRUE(),$U886="TRUE"),1,0))</f>
        <v/>
      </c>
      <c r="AQ886">
        <f>IF($E886="","",IF($AA886="Yes",1,0))</f>
        <v/>
      </c>
      <c r="AR886">
        <f>IF($AN886=1,IFERROR(VALUE(MID($E886,2,20)),1000000000)+ROW()/100000,"")</f>
        <v/>
      </c>
    </row>
    <row r="887">
      <c r="G887" s="11" t="n"/>
      <c r="Q887" s="7">
        <f>IF($E887="","",P887*Y887/100)</f>
        <v/>
      </c>
      <c r="R887" s="7" t="n"/>
      <c r="X887" s="7" t="n"/>
      <c r="Y887" s="7" t="n"/>
      <c r="AB887">
        <f>IF($E887="","",IF($AQ887=1,0,IF($AP887=1,Settings!$C$6,Settings!$C$7))*100)</f>
        <v/>
      </c>
      <c r="AC887" s="7">
        <f>IF($E887="","",Y887*AB887/100)</f>
        <v/>
      </c>
      <c r="AD887" s="7">
        <f>IF($E887="","",Y887-AC887)</f>
        <v/>
      </c>
      <c r="AE887" s="7">
        <f>IF($E887="","",AD887-Q887)</f>
        <v/>
      </c>
      <c r="AI887" s="7" t="n"/>
      <c r="AL887" s="11" t="n"/>
      <c r="AN887">
        <f>IF($E887="","",IF(COUNTIF($E$2:$E887,$E887)=1,1,0))</f>
        <v/>
      </c>
      <c r="AO887">
        <f>IF($AN887=1,SUMPRODUCT(--($AR$2:$AR$4001&lt;$AR887))+1,"")</f>
        <v/>
      </c>
      <c r="AP887">
        <f>IF($E887="","",IF(OR($U887=TRUE(),$U887="TRUE"),1,0))</f>
        <v/>
      </c>
      <c r="AQ887">
        <f>IF($E887="","",IF($AA887="Yes",1,0))</f>
        <v/>
      </c>
      <c r="AR887">
        <f>IF($AN887=1,IFERROR(VALUE(MID($E887,2,20)),1000000000)+ROW()/100000,"")</f>
        <v/>
      </c>
    </row>
    <row r="888">
      <c r="G888" s="11" t="n"/>
      <c r="Q888" s="7">
        <f>IF($E888="","",P888*Y888/100)</f>
        <v/>
      </c>
      <c r="R888" s="7" t="n"/>
      <c r="X888" s="7" t="n"/>
      <c r="Y888" s="7" t="n"/>
      <c r="AB888">
        <f>IF($E888="","",IF($AQ888=1,0,IF($AP888=1,Settings!$C$6,Settings!$C$7))*100)</f>
        <v/>
      </c>
      <c r="AC888" s="7">
        <f>IF($E888="","",Y888*AB888/100)</f>
        <v/>
      </c>
      <c r="AD888" s="7">
        <f>IF($E888="","",Y888-AC888)</f>
        <v/>
      </c>
      <c r="AE888" s="7">
        <f>IF($E888="","",AD888-Q888)</f>
        <v/>
      </c>
      <c r="AI888" s="7" t="n"/>
      <c r="AL888" s="11" t="n"/>
      <c r="AN888">
        <f>IF($E888="","",IF(COUNTIF($E$2:$E888,$E888)=1,1,0))</f>
        <v/>
      </c>
      <c r="AO888">
        <f>IF($AN888=1,SUMPRODUCT(--($AR$2:$AR$4001&lt;$AR888))+1,"")</f>
        <v/>
      </c>
      <c r="AP888">
        <f>IF($E888="","",IF(OR($U888=TRUE(),$U888="TRUE"),1,0))</f>
        <v/>
      </c>
      <c r="AQ888">
        <f>IF($E888="","",IF($AA888="Yes",1,0))</f>
        <v/>
      </c>
      <c r="AR888">
        <f>IF($AN888=1,IFERROR(VALUE(MID($E888,2,20)),1000000000)+ROW()/100000,"")</f>
        <v/>
      </c>
    </row>
    <row r="889">
      <c r="G889" s="11" t="n"/>
      <c r="Q889" s="7">
        <f>IF($E889="","",P889*Y889/100)</f>
        <v/>
      </c>
      <c r="R889" s="7" t="n"/>
      <c r="X889" s="7" t="n"/>
      <c r="Y889" s="7" t="n"/>
      <c r="AB889">
        <f>IF($E889="","",IF($AQ889=1,0,IF($AP889=1,Settings!$C$6,Settings!$C$7))*100)</f>
        <v/>
      </c>
      <c r="AC889" s="7">
        <f>IF($E889="","",Y889*AB889/100)</f>
        <v/>
      </c>
      <c r="AD889" s="7">
        <f>IF($E889="","",Y889-AC889)</f>
        <v/>
      </c>
      <c r="AE889" s="7">
        <f>IF($E889="","",AD889-Q889)</f>
        <v/>
      </c>
      <c r="AI889" s="7" t="n"/>
      <c r="AL889" s="11" t="n"/>
      <c r="AN889">
        <f>IF($E889="","",IF(COUNTIF($E$2:$E889,$E889)=1,1,0))</f>
        <v/>
      </c>
      <c r="AO889">
        <f>IF($AN889=1,SUMPRODUCT(--($AR$2:$AR$4001&lt;$AR889))+1,"")</f>
        <v/>
      </c>
      <c r="AP889">
        <f>IF($E889="","",IF(OR($U889=TRUE(),$U889="TRUE"),1,0))</f>
        <v/>
      </c>
      <c r="AQ889">
        <f>IF($E889="","",IF($AA889="Yes",1,0))</f>
        <v/>
      </c>
      <c r="AR889">
        <f>IF($AN889=1,IFERROR(VALUE(MID($E889,2,20)),1000000000)+ROW()/100000,"")</f>
        <v/>
      </c>
    </row>
    <row r="890">
      <c r="G890" s="11" t="n"/>
      <c r="Q890" s="7">
        <f>IF($E890="","",P890*Y890/100)</f>
        <v/>
      </c>
      <c r="R890" s="7" t="n"/>
      <c r="X890" s="7" t="n"/>
      <c r="Y890" s="7" t="n"/>
      <c r="AB890">
        <f>IF($E890="","",IF($AQ890=1,0,IF($AP890=1,Settings!$C$6,Settings!$C$7))*100)</f>
        <v/>
      </c>
      <c r="AC890" s="7">
        <f>IF($E890="","",Y890*AB890/100)</f>
        <v/>
      </c>
      <c r="AD890" s="7">
        <f>IF($E890="","",Y890-AC890)</f>
        <v/>
      </c>
      <c r="AE890" s="7">
        <f>IF($E890="","",AD890-Q890)</f>
        <v/>
      </c>
      <c r="AI890" s="7" t="n"/>
      <c r="AL890" s="11" t="n"/>
      <c r="AN890">
        <f>IF($E890="","",IF(COUNTIF($E$2:$E890,$E890)=1,1,0))</f>
        <v/>
      </c>
      <c r="AO890">
        <f>IF($AN890=1,SUMPRODUCT(--($AR$2:$AR$4001&lt;$AR890))+1,"")</f>
        <v/>
      </c>
      <c r="AP890">
        <f>IF($E890="","",IF(OR($U890=TRUE(),$U890="TRUE"),1,0))</f>
        <v/>
      </c>
      <c r="AQ890">
        <f>IF($E890="","",IF($AA890="Yes",1,0))</f>
        <v/>
      </c>
      <c r="AR890">
        <f>IF($AN890=1,IFERROR(VALUE(MID($E890,2,20)),1000000000)+ROW()/100000,"")</f>
        <v/>
      </c>
    </row>
    <row r="891">
      <c r="G891" s="11" t="n"/>
      <c r="Q891" s="7">
        <f>IF($E891="","",P891*Y891/100)</f>
        <v/>
      </c>
      <c r="R891" s="7" t="n"/>
      <c r="X891" s="7" t="n"/>
      <c r="Y891" s="7" t="n"/>
      <c r="AB891">
        <f>IF($E891="","",IF($AQ891=1,0,IF($AP891=1,Settings!$C$6,Settings!$C$7))*100)</f>
        <v/>
      </c>
      <c r="AC891" s="7">
        <f>IF($E891="","",Y891*AB891/100)</f>
        <v/>
      </c>
      <c r="AD891" s="7">
        <f>IF($E891="","",Y891-AC891)</f>
        <v/>
      </c>
      <c r="AE891" s="7">
        <f>IF($E891="","",AD891-Q891)</f>
        <v/>
      </c>
      <c r="AI891" s="7" t="n"/>
      <c r="AL891" s="11" t="n"/>
      <c r="AN891">
        <f>IF($E891="","",IF(COUNTIF($E$2:$E891,$E891)=1,1,0))</f>
        <v/>
      </c>
      <c r="AO891">
        <f>IF($AN891=1,SUMPRODUCT(--($AR$2:$AR$4001&lt;$AR891))+1,"")</f>
        <v/>
      </c>
      <c r="AP891">
        <f>IF($E891="","",IF(OR($U891=TRUE(),$U891="TRUE"),1,0))</f>
        <v/>
      </c>
      <c r="AQ891">
        <f>IF($E891="","",IF($AA891="Yes",1,0))</f>
        <v/>
      </c>
      <c r="AR891">
        <f>IF($AN891=1,IFERROR(VALUE(MID($E891,2,20)),1000000000)+ROW()/100000,"")</f>
        <v/>
      </c>
    </row>
    <row r="892">
      <c r="G892" s="11" t="n"/>
      <c r="Q892" s="7">
        <f>IF($E892="","",P892*Y892/100)</f>
        <v/>
      </c>
      <c r="R892" s="7" t="n"/>
      <c r="X892" s="7" t="n"/>
      <c r="Y892" s="7" t="n"/>
      <c r="AB892">
        <f>IF($E892="","",IF($AQ892=1,0,IF($AP892=1,Settings!$C$6,Settings!$C$7))*100)</f>
        <v/>
      </c>
      <c r="AC892" s="7">
        <f>IF($E892="","",Y892*AB892/100)</f>
        <v/>
      </c>
      <c r="AD892" s="7">
        <f>IF($E892="","",Y892-AC892)</f>
        <v/>
      </c>
      <c r="AE892" s="7">
        <f>IF($E892="","",AD892-Q892)</f>
        <v/>
      </c>
      <c r="AI892" s="7" t="n"/>
      <c r="AL892" s="11" t="n"/>
      <c r="AN892">
        <f>IF($E892="","",IF(COUNTIF($E$2:$E892,$E892)=1,1,0))</f>
        <v/>
      </c>
      <c r="AO892">
        <f>IF($AN892=1,SUMPRODUCT(--($AR$2:$AR$4001&lt;$AR892))+1,"")</f>
        <v/>
      </c>
      <c r="AP892">
        <f>IF($E892="","",IF(OR($U892=TRUE(),$U892="TRUE"),1,0))</f>
        <v/>
      </c>
      <c r="AQ892">
        <f>IF($E892="","",IF($AA892="Yes",1,0))</f>
        <v/>
      </c>
      <c r="AR892">
        <f>IF($AN892=1,IFERROR(VALUE(MID($E892,2,20)),1000000000)+ROW()/100000,"")</f>
        <v/>
      </c>
    </row>
    <row r="893">
      <c r="G893" s="11" t="n"/>
      <c r="Q893" s="7">
        <f>IF($E893="","",P893*Y893/100)</f>
        <v/>
      </c>
      <c r="R893" s="7" t="n"/>
      <c r="X893" s="7" t="n"/>
      <c r="Y893" s="7" t="n"/>
      <c r="AB893">
        <f>IF($E893="","",IF($AQ893=1,0,IF($AP893=1,Settings!$C$6,Settings!$C$7))*100)</f>
        <v/>
      </c>
      <c r="AC893" s="7">
        <f>IF($E893="","",Y893*AB893/100)</f>
        <v/>
      </c>
      <c r="AD893" s="7">
        <f>IF($E893="","",Y893-AC893)</f>
        <v/>
      </c>
      <c r="AE893" s="7">
        <f>IF($E893="","",AD893-Q893)</f>
        <v/>
      </c>
      <c r="AI893" s="7" t="n"/>
      <c r="AL893" s="11" t="n"/>
      <c r="AN893">
        <f>IF($E893="","",IF(COUNTIF($E$2:$E893,$E893)=1,1,0))</f>
        <v/>
      </c>
      <c r="AO893">
        <f>IF($AN893=1,SUMPRODUCT(--($AR$2:$AR$4001&lt;$AR893))+1,"")</f>
        <v/>
      </c>
      <c r="AP893">
        <f>IF($E893="","",IF(OR($U893=TRUE(),$U893="TRUE"),1,0))</f>
        <v/>
      </c>
      <c r="AQ893">
        <f>IF($E893="","",IF($AA893="Yes",1,0))</f>
        <v/>
      </c>
      <c r="AR893">
        <f>IF($AN893=1,IFERROR(VALUE(MID($E893,2,20)),1000000000)+ROW()/100000,"")</f>
        <v/>
      </c>
    </row>
    <row r="894">
      <c r="G894" s="11" t="n"/>
      <c r="Q894" s="7">
        <f>IF($E894="","",P894*Y894/100)</f>
        <v/>
      </c>
      <c r="R894" s="7" t="n"/>
      <c r="X894" s="7" t="n"/>
      <c r="Y894" s="7" t="n"/>
      <c r="AB894">
        <f>IF($E894="","",IF($AQ894=1,0,IF($AP894=1,Settings!$C$6,Settings!$C$7))*100)</f>
        <v/>
      </c>
      <c r="AC894" s="7">
        <f>IF($E894="","",Y894*AB894/100)</f>
        <v/>
      </c>
      <c r="AD894" s="7">
        <f>IF($E894="","",Y894-AC894)</f>
        <v/>
      </c>
      <c r="AE894" s="7">
        <f>IF($E894="","",AD894-Q894)</f>
        <v/>
      </c>
      <c r="AI894" s="7" t="n"/>
      <c r="AL894" s="11" t="n"/>
      <c r="AN894">
        <f>IF($E894="","",IF(COUNTIF($E$2:$E894,$E894)=1,1,0))</f>
        <v/>
      </c>
      <c r="AO894">
        <f>IF($AN894=1,SUMPRODUCT(--($AR$2:$AR$4001&lt;$AR894))+1,"")</f>
        <v/>
      </c>
      <c r="AP894">
        <f>IF($E894="","",IF(OR($U894=TRUE(),$U894="TRUE"),1,0))</f>
        <v/>
      </c>
      <c r="AQ894">
        <f>IF($E894="","",IF($AA894="Yes",1,0))</f>
        <v/>
      </c>
      <c r="AR894">
        <f>IF($AN894=1,IFERROR(VALUE(MID($E894,2,20)),1000000000)+ROW()/100000,"")</f>
        <v/>
      </c>
    </row>
    <row r="895">
      <c r="G895" s="11" t="n"/>
      <c r="Q895" s="7">
        <f>IF($E895="","",P895*Y895/100)</f>
        <v/>
      </c>
      <c r="R895" s="7" t="n"/>
      <c r="X895" s="7" t="n"/>
      <c r="Y895" s="7" t="n"/>
      <c r="AB895">
        <f>IF($E895="","",IF($AQ895=1,0,IF($AP895=1,Settings!$C$6,Settings!$C$7))*100)</f>
        <v/>
      </c>
      <c r="AC895" s="7">
        <f>IF($E895="","",Y895*AB895/100)</f>
        <v/>
      </c>
      <c r="AD895" s="7">
        <f>IF($E895="","",Y895-AC895)</f>
        <v/>
      </c>
      <c r="AE895" s="7">
        <f>IF($E895="","",AD895-Q895)</f>
        <v/>
      </c>
      <c r="AI895" s="7" t="n"/>
      <c r="AL895" s="11" t="n"/>
      <c r="AN895">
        <f>IF($E895="","",IF(COUNTIF($E$2:$E895,$E895)=1,1,0))</f>
        <v/>
      </c>
      <c r="AO895">
        <f>IF($AN895=1,SUMPRODUCT(--($AR$2:$AR$4001&lt;$AR895))+1,"")</f>
        <v/>
      </c>
      <c r="AP895">
        <f>IF($E895="","",IF(OR($U895=TRUE(),$U895="TRUE"),1,0))</f>
        <v/>
      </c>
      <c r="AQ895">
        <f>IF($E895="","",IF($AA895="Yes",1,0))</f>
        <v/>
      </c>
      <c r="AR895">
        <f>IF($AN895=1,IFERROR(VALUE(MID($E895,2,20)),1000000000)+ROW()/100000,"")</f>
        <v/>
      </c>
    </row>
    <row r="896">
      <c r="G896" s="11" t="n"/>
      <c r="Q896" s="7">
        <f>IF($E896="","",P896*Y896/100)</f>
        <v/>
      </c>
      <c r="R896" s="7" t="n"/>
      <c r="X896" s="7" t="n"/>
      <c r="Y896" s="7" t="n"/>
      <c r="AB896">
        <f>IF($E896="","",IF($AQ896=1,0,IF($AP896=1,Settings!$C$6,Settings!$C$7))*100)</f>
        <v/>
      </c>
      <c r="AC896" s="7">
        <f>IF($E896="","",Y896*AB896/100)</f>
        <v/>
      </c>
      <c r="AD896" s="7">
        <f>IF($E896="","",Y896-AC896)</f>
        <v/>
      </c>
      <c r="AE896" s="7">
        <f>IF($E896="","",AD896-Q896)</f>
        <v/>
      </c>
      <c r="AI896" s="7" t="n"/>
      <c r="AL896" s="11" t="n"/>
      <c r="AN896">
        <f>IF($E896="","",IF(COUNTIF($E$2:$E896,$E896)=1,1,0))</f>
        <v/>
      </c>
      <c r="AO896">
        <f>IF($AN896=1,SUMPRODUCT(--($AR$2:$AR$4001&lt;$AR896))+1,"")</f>
        <v/>
      </c>
      <c r="AP896">
        <f>IF($E896="","",IF(OR($U896=TRUE(),$U896="TRUE"),1,0))</f>
        <v/>
      </c>
      <c r="AQ896">
        <f>IF($E896="","",IF($AA896="Yes",1,0))</f>
        <v/>
      </c>
      <c r="AR896">
        <f>IF($AN896=1,IFERROR(VALUE(MID($E896,2,20)),1000000000)+ROW()/100000,"")</f>
        <v/>
      </c>
    </row>
    <row r="897">
      <c r="G897" s="11" t="n"/>
      <c r="Q897" s="7">
        <f>IF($E897="","",P897*Y897/100)</f>
        <v/>
      </c>
      <c r="R897" s="7" t="n"/>
      <c r="X897" s="7" t="n"/>
      <c r="Y897" s="7" t="n"/>
      <c r="AB897">
        <f>IF($E897="","",IF($AQ897=1,0,IF($AP897=1,Settings!$C$6,Settings!$C$7))*100)</f>
        <v/>
      </c>
      <c r="AC897" s="7">
        <f>IF($E897="","",Y897*AB897/100)</f>
        <v/>
      </c>
      <c r="AD897" s="7">
        <f>IF($E897="","",Y897-AC897)</f>
        <v/>
      </c>
      <c r="AE897" s="7">
        <f>IF($E897="","",AD897-Q897)</f>
        <v/>
      </c>
      <c r="AI897" s="7" t="n"/>
      <c r="AL897" s="11" t="n"/>
      <c r="AN897">
        <f>IF($E897="","",IF(COUNTIF($E$2:$E897,$E897)=1,1,0))</f>
        <v/>
      </c>
      <c r="AO897">
        <f>IF($AN897=1,SUMPRODUCT(--($AR$2:$AR$4001&lt;$AR897))+1,"")</f>
        <v/>
      </c>
      <c r="AP897">
        <f>IF($E897="","",IF(OR($U897=TRUE(),$U897="TRUE"),1,0))</f>
        <v/>
      </c>
      <c r="AQ897">
        <f>IF($E897="","",IF($AA897="Yes",1,0))</f>
        <v/>
      </c>
      <c r="AR897">
        <f>IF($AN897=1,IFERROR(VALUE(MID($E897,2,20)),1000000000)+ROW()/100000,"")</f>
        <v/>
      </c>
    </row>
    <row r="898">
      <c r="G898" s="11" t="n"/>
      <c r="Q898" s="7">
        <f>IF($E898="","",P898*Y898/100)</f>
        <v/>
      </c>
      <c r="R898" s="7" t="n"/>
      <c r="X898" s="7" t="n"/>
      <c r="Y898" s="7" t="n"/>
      <c r="AB898">
        <f>IF($E898="","",IF($AQ898=1,0,IF($AP898=1,Settings!$C$6,Settings!$C$7))*100)</f>
        <v/>
      </c>
      <c r="AC898" s="7">
        <f>IF($E898="","",Y898*AB898/100)</f>
        <v/>
      </c>
      <c r="AD898" s="7">
        <f>IF($E898="","",Y898-AC898)</f>
        <v/>
      </c>
      <c r="AE898" s="7">
        <f>IF($E898="","",AD898-Q898)</f>
        <v/>
      </c>
      <c r="AI898" s="7" t="n"/>
      <c r="AL898" s="11" t="n"/>
      <c r="AN898">
        <f>IF($E898="","",IF(COUNTIF($E$2:$E898,$E898)=1,1,0))</f>
        <v/>
      </c>
      <c r="AO898">
        <f>IF($AN898=1,SUMPRODUCT(--($AR$2:$AR$4001&lt;$AR898))+1,"")</f>
        <v/>
      </c>
      <c r="AP898">
        <f>IF($E898="","",IF(OR($U898=TRUE(),$U898="TRUE"),1,0))</f>
        <v/>
      </c>
      <c r="AQ898">
        <f>IF($E898="","",IF($AA898="Yes",1,0))</f>
        <v/>
      </c>
      <c r="AR898">
        <f>IF($AN898=1,IFERROR(VALUE(MID($E898,2,20)),1000000000)+ROW()/100000,"")</f>
        <v/>
      </c>
    </row>
    <row r="899">
      <c r="G899" s="11" t="n"/>
      <c r="Q899" s="7">
        <f>IF($E899="","",P899*Y899/100)</f>
        <v/>
      </c>
      <c r="R899" s="7" t="n"/>
      <c r="X899" s="7" t="n"/>
      <c r="Y899" s="7" t="n"/>
      <c r="AB899">
        <f>IF($E899="","",IF($AQ899=1,0,IF($AP899=1,Settings!$C$6,Settings!$C$7))*100)</f>
        <v/>
      </c>
      <c r="AC899" s="7">
        <f>IF($E899="","",Y899*AB899/100)</f>
        <v/>
      </c>
      <c r="AD899" s="7">
        <f>IF($E899="","",Y899-AC899)</f>
        <v/>
      </c>
      <c r="AE899" s="7">
        <f>IF($E899="","",AD899-Q899)</f>
        <v/>
      </c>
      <c r="AI899" s="7" t="n"/>
      <c r="AL899" s="11" t="n"/>
      <c r="AN899">
        <f>IF($E899="","",IF(COUNTIF($E$2:$E899,$E899)=1,1,0))</f>
        <v/>
      </c>
      <c r="AO899">
        <f>IF($AN899=1,SUMPRODUCT(--($AR$2:$AR$4001&lt;$AR899))+1,"")</f>
        <v/>
      </c>
      <c r="AP899">
        <f>IF($E899="","",IF(OR($U899=TRUE(),$U899="TRUE"),1,0))</f>
        <v/>
      </c>
      <c r="AQ899">
        <f>IF($E899="","",IF($AA899="Yes",1,0))</f>
        <v/>
      </c>
      <c r="AR899">
        <f>IF($AN899=1,IFERROR(VALUE(MID($E899,2,20)),1000000000)+ROW()/100000,"")</f>
        <v/>
      </c>
    </row>
    <row r="900">
      <c r="G900" s="11" t="n"/>
      <c r="Q900" s="7">
        <f>IF($E900="","",P900*Y900/100)</f>
        <v/>
      </c>
      <c r="R900" s="7" t="n"/>
      <c r="X900" s="7" t="n"/>
      <c r="Y900" s="7" t="n"/>
      <c r="AB900">
        <f>IF($E900="","",IF($AQ900=1,0,IF($AP900=1,Settings!$C$6,Settings!$C$7))*100)</f>
        <v/>
      </c>
      <c r="AC900" s="7">
        <f>IF($E900="","",Y900*AB900/100)</f>
        <v/>
      </c>
      <c r="AD900" s="7">
        <f>IF($E900="","",Y900-AC900)</f>
        <v/>
      </c>
      <c r="AE900" s="7">
        <f>IF($E900="","",AD900-Q900)</f>
        <v/>
      </c>
      <c r="AI900" s="7" t="n"/>
      <c r="AL900" s="11" t="n"/>
      <c r="AN900">
        <f>IF($E900="","",IF(COUNTIF($E$2:$E900,$E900)=1,1,0))</f>
        <v/>
      </c>
      <c r="AO900">
        <f>IF($AN900=1,SUMPRODUCT(--($AR$2:$AR$4001&lt;$AR900))+1,"")</f>
        <v/>
      </c>
      <c r="AP900">
        <f>IF($E900="","",IF(OR($U900=TRUE(),$U900="TRUE"),1,0))</f>
        <v/>
      </c>
      <c r="AQ900">
        <f>IF($E900="","",IF($AA900="Yes",1,0))</f>
        <v/>
      </c>
      <c r="AR900">
        <f>IF($AN900=1,IFERROR(VALUE(MID($E900,2,20)),1000000000)+ROW()/100000,"")</f>
        <v/>
      </c>
    </row>
    <row r="901">
      <c r="G901" s="11" t="n"/>
      <c r="Q901" s="7">
        <f>IF($E901="","",P901*Y901/100)</f>
        <v/>
      </c>
      <c r="R901" s="7" t="n"/>
      <c r="X901" s="7" t="n"/>
      <c r="Y901" s="7" t="n"/>
      <c r="AB901">
        <f>IF($E901="","",IF($AQ901=1,0,IF($AP901=1,Settings!$C$6,Settings!$C$7))*100)</f>
        <v/>
      </c>
      <c r="AC901" s="7">
        <f>IF($E901="","",Y901*AB901/100)</f>
        <v/>
      </c>
      <c r="AD901" s="7">
        <f>IF($E901="","",Y901-AC901)</f>
        <v/>
      </c>
      <c r="AE901" s="7">
        <f>IF($E901="","",AD901-Q901)</f>
        <v/>
      </c>
      <c r="AI901" s="7" t="n"/>
      <c r="AL901" s="11" t="n"/>
      <c r="AN901">
        <f>IF($E901="","",IF(COUNTIF($E$2:$E901,$E901)=1,1,0))</f>
        <v/>
      </c>
      <c r="AO901">
        <f>IF($AN901=1,SUMPRODUCT(--($AR$2:$AR$4001&lt;$AR901))+1,"")</f>
        <v/>
      </c>
      <c r="AP901">
        <f>IF($E901="","",IF(OR($U901=TRUE(),$U901="TRUE"),1,0))</f>
        <v/>
      </c>
      <c r="AQ901">
        <f>IF($E901="","",IF($AA901="Yes",1,0))</f>
        <v/>
      </c>
      <c r="AR901">
        <f>IF($AN901=1,IFERROR(VALUE(MID($E901,2,20)),1000000000)+ROW()/100000,"")</f>
        <v/>
      </c>
    </row>
    <row r="902">
      <c r="G902" s="11" t="n"/>
      <c r="Q902" s="7">
        <f>IF($E902="","",P902*Y902/100)</f>
        <v/>
      </c>
      <c r="R902" s="7" t="n"/>
      <c r="X902" s="7" t="n"/>
      <c r="Y902" s="7" t="n"/>
      <c r="AB902">
        <f>IF($E902="","",IF($AQ902=1,0,IF($AP902=1,Settings!$C$6,Settings!$C$7))*100)</f>
        <v/>
      </c>
      <c r="AC902" s="7">
        <f>IF($E902="","",Y902*AB902/100)</f>
        <v/>
      </c>
      <c r="AD902" s="7">
        <f>IF($E902="","",Y902-AC902)</f>
        <v/>
      </c>
      <c r="AE902" s="7">
        <f>IF($E902="","",AD902-Q902)</f>
        <v/>
      </c>
      <c r="AI902" s="7" t="n"/>
      <c r="AL902" s="11" t="n"/>
      <c r="AN902">
        <f>IF($E902="","",IF(COUNTIF($E$2:$E902,$E902)=1,1,0))</f>
        <v/>
      </c>
      <c r="AO902">
        <f>IF($AN902=1,SUMPRODUCT(--($AR$2:$AR$4001&lt;$AR902))+1,"")</f>
        <v/>
      </c>
      <c r="AP902">
        <f>IF($E902="","",IF(OR($U902=TRUE(),$U902="TRUE"),1,0))</f>
        <v/>
      </c>
      <c r="AQ902">
        <f>IF($E902="","",IF($AA902="Yes",1,0))</f>
        <v/>
      </c>
      <c r="AR902">
        <f>IF($AN902=1,IFERROR(VALUE(MID($E902,2,20)),1000000000)+ROW()/100000,"")</f>
        <v/>
      </c>
    </row>
    <row r="903">
      <c r="G903" s="11" t="n"/>
      <c r="Q903" s="7">
        <f>IF($E903="","",P903*Y903/100)</f>
        <v/>
      </c>
      <c r="R903" s="7" t="n"/>
      <c r="X903" s="7" t="n"/>
      <c r="Y903" s="7" t="n"/>
      <c r="AB903">
        <f>IF($E903="","",IF($AQ903=1,0,IF($AP903=1,Settings!$C$6,Settings!$C$7))*100)</f>
        <v/>
      </c>
      <c r="AC903" s="7">
        <f>IF($E903="","",Y903*AB903/100)</f>
        <v/>
      </c>
      <c r="AD903" s="7">
        <f>IF($E903="","",Y903-AC903)</f>
        <v/>
      </c>
      <c r="AE903" s="7">
        <f>IF($E903="","",AD903-Q903)</f>
        <v/>
      </c>
      <c r="AI903" s="7" t="n"/>
      <c r="AL903" s="11" t="n"/>
      <c r="AN903">
        <f>IF($E903="","",IF(COUNTIF($E$2:$E903,$E903)=1,1,0))</f>
        <v/>
      </c>
      <c r="AO903">
        <f>IF($AN903=1,SUMPRODUCT(--($AR$2:$AR$4001&lt;$AR903))+1,"")</f>
        <v/>
      </c>
      <c r="AP903">
        <f>IF($E903="","",IF(OR($U903=TRUE(),$U903="TRUE"),1,0))</f>
        <v/>
      </c>
      <c r="AQ903">
        <f>IF($E903="","",IF($AA903="Yes",1,0))</f>
        <v/>
      </c>
      <c r="AR903">
        <f>IF($AN903=1,IFERROR(VALUE(MID($E903,2,20)),1000000000)+ROW()/100000,"")</f>
        <v/>
      </c>
    </row>
    <row r="904">
      <c r="G904" s="11" t="n"/>
      <c r="Q904" s="7">
        <f>IF($E904="","",P904*Y904/100)</f>
        <v/>
      </c>
      <c r="R904" s="7" t="n"/>
      <c r="X904" s="7" t="n"/>
      <c r="Y904" s="7" t="n"/>
      <c r="AB904">
        <f>IF($E904="","",IF($AQ904=1,0,IF($AP904=1,Settings!$C$6,Settings!$C$7))*100)</f>
        <v/>
      </c>
      <c r="AC904" s="7">
        <f>IF($E904="","",Y904*AB904/100)</f>
        <v/>
      </c>
      <c r="AD904" s="7">
        <f>IF($E904="","",Y904-AC904)</f>
        <v/>
      </c>
      <c r="AE904" s="7">
        <f>IF($E904="","",AD904-Q904)</f>
        <v/>
      </c>
      <c r="AI904" s="7" t="n"/>
      <c r="AL904" s="11" t="n"/>
      <c r="AN904">
        <f>IF($E904="","",IF(COUNTIF($E$2:$E904,$E904)=1,1,0))</f>
        <v/>
      </c>
      <c r="AO904">
        <f>IF($AN904=1,SUMPRODUCT(--($AR$2:$AR$4001&lt;$AR904))+1,"")</f>
        <v/>
      </c>
      <c r="AP904">
        <f>IF($E904="","",IF(OR($U904=TRUE(),$U904="TRUE"),1,0))</f>
        <v/>
      </c>
      <c r="AQ904">
        <f>IF($E904="","",IF($AA904="Yes",1,0))</f>
        <v/>
      </c>
      <c r="AR904">
        <f>IF($AN904=1,IFERROR(VALUE(MID($E904,2,20)),1000000000)+ROW()/100000,"")</f>
        <v/>
      </c>
    </row>
    <row r="905">
      <c r="G905" s="11" t="n"/>
      <c r="Q905" s="7">
        <f>IF($E905="","",P905*Y905/100)</f>
        <v/>
      </c>
      <c r="R905" s="7" t="n"/>
      <c r="X905" s="7" t="n"/>
      <c r="Y905" s="7" t="n"/>
      <c r="AB905">
        <f>IF($E905="","",IF($AQ905=1,0,IF($AP905=1,Settings!$C$6,Settings!$C$7))*100)</f>
        <v/>
      </c>
      <c r="AC905" s="7">
        <f>IF($E905="","",Y905*AB905/100)</f>
        <v/>
      </c>
      <c r="AD905" s="7">
        <f>IF($E905="","",Y905-AC905)</f>
        <v/>
      </c>
      <c r="AE905" s="7">
        <f>IF($E905="","",AD905-Q905)</f>
        <v/>
      </c>
      <c r="AI905" s="7" t="n"/>
      <c r="AL905" s="11" t="n"/>
      <c r="AN905">
        <f>IF($E905="","",IF(COUNTIF($E$2:$E905,$E905)=1,1,0))</f>
        <v/>
      </c>
      <c r="AO905">
        <f>IF($AN905=1,SUMPRODUCT(--($AR$2:$AR$4001&lt;$AR905))+1,"")</f>
        <v/>
      </c>
      <c r="AP905">
        <f>IF($E905="","",IF(OR($U905=TRUE(),$U905="TRUE"),1,0))</f>
        <v/>
      </c>
      <c r="AQ905">
        <f>IF($E905="","",IF($AA905="Yes",1,0))</f>
        <v/>
      </c>
      <c r="AR905">
        <f>IF($AN905=1,IFERROR(VALUE(MID($E905,2,20)),1000000000)+ROW()/100000,"")</f>
        <v/>
      </c>
    </row>
    <row r="906">
      <c r="G906" s="11" t="n"/>
      <c r="Q906" s="7">
        <f>IF($E906="","",P906*Y906/100)</f>
        <v/>
      </c>
      <c r="R906" s="7" t="n"/>
      <c r="X906" s="7" t="n"/>
      <c r="Y906" s="7" t="n"/>
      <c r="AB906">
        <f>IF($E906="","",IF($AQ906=1,0,IF($AP906=1,Settings!$C$6,Settings!$C$7))*100)</f>
        <v/>
      </c>
      <c r="AC906" s="7">
        <f>IF($E906="","",Y906*AB906/100)</f>
        <v/>
      </c>
      <c r="AD906" s="7">
        <f>IF($E906="","",Y906-AC906)</f>
        <v/>
      </c>
      <c r="AE906" s="7">
        <f>IF($E906="","",AD906-Q906)</f>
        <v/>
      </c>
      <c r="AI906" s="7" t="n"/>
      <c r="AL906" s="11" t="n"/>
      <c r="AN906">
        <f>IF($E906="","",IF(COUNTIF($E$2:$E906,$E906)=1,1,0))</f>
        <v/>
      </c>
      <c r="AO906">
        <f>IF($AN906=1,SUMPRODUCT(--($AR$2:$AR$4001&lt;$AR906))+1,"")</f>
        <v/>
      </c>
      <c r="AP906">
        <f>IF($E906="","",IF(OR($U906=TRUE(),$U906="TRUE"),1,0))</f>
        <v/>
      </c>
      <c r="AQ906">
        <f>IF($E906="","",IF($AA906="Yes",1,0))</f>
        <v/>
      </c>
      <c r="AR906">
        <f>IF($AN906=1,IFERROR(VALUE(MID($E906,2,20)),1000000000)+ROW()/100000,"")</f>
        <v/>
      </c>
    </row>
    <row r="907">
      <c r="G907" s="11" t="n"/>
      <c r="Q907" s="7">
        <f>IF($E907="","",P907*Y907/100)</f>
        <v/>
      </c>
      <c r="R907" s="7" t="n"/>
      <c r="X907" s="7" t="n"/>
      <c r="Y907" s="7" t="n"/>
      <c r="AB907">
        <f>IF($E907="","",IF($AQ907=1,0,IF($AP907=1,Settings!$C$6,Settings!$C$7))*100)</f>
        <v/>
      </c>
      <c r="AC907" s="7">
        <f>IF($E907="","",Y907*AB907/100)</f>
        <v/>
      </c>
      <c r="AD907" s="7">
        <f>IF($E907="","",Y907-AC907)</f>
        <v/>
      </c>
      <c r="AE907" s="7">
        <f>IF($E907="","",AD907-Q907)</f>
        <v/>
      </c>
      <c r="AI907" s="7" t="n"/>
      <c r="AL907" s="11" t="n"/>
      <c r="AN907">
        <f>IF($E907="","",IF(COUNTIF($E$2:$E907,$E907)=1,1,0))</f>
        <v/>
      </c>
      <c r="AO907">
        <f>IF($AN907=1,SUMPRODUCT(--($AR$2:$AR$4001&lt;$AR907))+1,"")</f>
        <v/>
      </c>
      <c r="AP907">
        <f>IF($E907="","",IF(OR($U907=TRUE(),$U907="TRUE"),1,0))</f>
        <v/>
      </c>
      <c r="AQ907">
        <f>IF($E907="","",IF($AA907="Yes",1,0))</f>
        <v/>
      </c>
      <c r="AR907">
        <f>IF($AN907=1,IFERROR(VALUE(MID($E907,2,20)),1000000000)+ROW()/100000,"")</f>
        <v/>
      </c>
    </row>
    <row r="908">
      <c r="G908" s="11" t="n"/>
      <c r="Q908" s="7">
        <f>IF($E908="","",P908*Y908/100)</f>
        <v/>
      </c>
      <c r="R908" s="7" t="n"/>
      <c r="X908" s="7" t="n"/>
      <c r="Y908" s="7" t="n"/>
      <c r="AB908">
        <f>IF($E908="","",IF($AQ908=1,0,IF($AP908=1,Settings!$C$6,Settings!$C$7))*100)</f>
        <v/>
      </c>
      <c r="AC908" s="7">
        <f>IF($E908="","",Y908*AB908/100)</f>
        <v/>
      </c>
      <c r="AD908" s="7">
        <f>IF($E908="","",Y908-AC908)</f>
        <v/>
      </c>
      <c r="AE908" s="7">
        <f>IF($E908="","",AD908-Q908)</f>
        <v/>
      </c>
      <c r="AI908" s="7" t="n"/>
      <c r="AL908" s="11" t="n"/>
      <c r="AN908">
        <f>IF($E908="","",IF(COUNTIF($E$2:$E908,$E908)=1,1,0))</f>
        <v/>
      </c>
      <c r="AO908">
        <f>IF($AN908=1,SUMPRODUCT(--($AR$2:$AR$4001&lt;$AR908))+1,"")</f>
        <v/>
      </c>
      <c r="AP908">
        <f>IF($E908="","",IF(OR($U908=TRUE(),$U908="TRUE"),1,0))</f>
        <v/>
      </c>
      <c r="AQ908">
        <f>IF($E908="","",IF($AA908="Yes",1,0))</f>
        <v/>
      </c>
      <c r="AR908">
        <f>IF($AN908=1,IFERROR(VALUE(MID($E908,2,20)),1000000000)+ROW()/100000,"")</f>
        <v/>
      </c>
    </row>
    <row r="909">
      <c r="G909" s="11" t="n"/>
      <c r="Q909" s="7">
        <f>IF($E909="","",P909*Y909/100)</f>
        <v/>
      </c>
      <c r="R909" s="7" t="n"/>
      <c r="X909" s="7" t="n"/>
      <c r="Y909" s="7" t="n"/>
      <c r="AB909">
        <f>IF($E909="","",IF($AQ909=1,0,IF($AP909=1,Settings!$C$6,Settings!$C$7))*100)</f>
        <v/>
      </c>
      <c r="AC909" s="7">
        <f>IF($E909="","",Y909*AB909/100)</f>
        <v/>
      </c>
      <c r="AD909" s="7">
        <f>IF($E909="","",Y909-AC909)</f>
        <v/>
      </c>
      <c r="AE909" s="7">
        <f>IF($E909="","",AD909-Q909)</f>
        <v/>
      </c>
      <c r="AI909" s="7" t="n"/>
      <c r="AL909" s="11" t="n"/>
      <c r="AN909">
        <f>IF($E909="","",IF(COUNTIF($E$2:$E909,$E909)=1,1,0))</f>
        <v/>
      </c>
      <c r="AO909">
        <f>IF($AN909=1,SUMPRODUCT(--($AR$2:$AR$4001&lt;$AR909))+1,"")</f>
        <v/>
      </c>
      <c r="AP909">
        <f>IF($E909="","",IF(OR($U909=TRUE(),$U909="TRUE"),1,0))</f>
        <v/>
      </c>
      <c r="AQ909">
        <f>IF($E909="","",IF($AA909="Yes",1,0))</f>
        <v/>
      </c>
      <c r="AR909">
        <f>IF($AN909=1,IFERROR(VALUE(MID($E909,2,20)),1000000000)+ROW()/100000,"")</f>
        <v/>
      </c>
    </row>
    <row r="910">
      <c r="G910" s="11" t="n"/>
      <c r="Q910" s="7">
        <f>IF($E910="","",P910*Y910/100)</f>
        <v/>
      </c>
      <c r="R910" s="7" t="n"/>
      <c r="X910" s="7" t="n"/>
      <c r="Y910" s="7" t="n"/>
      <c r="AB910">
        <f>IF($E910="","",IF($AQ910=1,0,IF($AP910=1,Settings!$C$6,Settings!$C$7))*100)</f>
        <v/>
      </c>
      <c r="AC910" s="7">
        <f>IF($E910="","",Y910*AB910/100)</f>
        <v/>
      </c>
      <c r="AD910" s="7">
        <f>IF($E910="","",Y910-AC910)</f>
        <v/>
      </c>
      <c r="AE910" s="7">
        <f>IF($E910="","",AD910-Q910)</f>
        <v/>
      </c>
      <c r="AI910" s="7" t="n"/>
      <c r="AL910" s="11" t="n"/>
      <c r="AN910">
        <f>IF($E910="","",IF(COUNTIF($E$2:$E910,$E910)=1,1,0))</f>
        <v/>
      </c>
      <c r="AO910">
        <f>IF($AN910=1,SUMPRODUCT(--($AR$2:$AR$4001&lt;$AR910))+1,"")</f>
        <v/>
      </c>
      <c r="AP910">
        <f>IF($E910="","",IF(OR($U910=TRUE(),$U910="TRUE"),1,0))</f>
        <v/>
      </c>
      <c r="AQ910">
        <f>IF($E910="","",IF($AA910="Yes",1,0))</f>
        <v/>
      </c>
      <c r="AR910">
        <f>IF($AN910=1,IFERROR(VALUE(MID($E910,2,20)),1000000000)+ROW()/100000,"")</f>
        <v/>
      </c>
    </row>
    <row r="911">
      <c r="G911" s="11" t="n"/>
      <c r="Q911" s="7">
        <f>IF($E911="","",P911*Y911/100)</f>
        <v/>
      </c>
      <c r="R911" s="7" t="n"/>
      <c r="X911" s="7" t="n"/>
      <c r="Y911" s="7" t="n"/>
      <c r="AB911">
        <f>IF($E911="","",IF($AQ911=1,0,IF($AP911=1,Settings!$C$6,Settings!$C$7))*100)</f>
        <v/>
      </c>
      <c r="AC911" s="7">
        <f>IF($E911="","",Y911*AB911/100)</f>
        <v/>
      </c>
      <c r="AD911" s="7">
        <f>IF($E911="","",Y911-AC911)</f>
        <v/>
      </c>
      <c r="AE911" s="7">
        <f>IF($E911="","",AD911-Q911)</f>
        <v/>
      </c>
      <c r="AI911" s="7" t="n"/>
      <c r="AL911" s="11" t="n"/>
      <c r="AN911">
        <f>IF($E911="","",IF(COUNTIF($E$2:$E911,$E911)=1,1,0))</f>
        <v/>
      </c>
      <c r="AO911">
        <f>IF($AN911=1,SUMPRODUCT(--($AR$2:$AR$4001&lt;$AR911))+1,"")</f>
        <v/>
      </c>
      <c r="AP911">
        <f>IF($E911="","",IF(OR($U911=TRUE(),$U911="TRUE"),1,0))</f>
        <v/>
      </c>
      <c r="AQ911">
        <f>IF($E911="","",IF($AA911="Yes",1,0))</f>
        <v/>
      </c>
      <c r="AR911">
        <f>IF($AN911=1,IFERROR(VALUE(MID($E911,2,20)),1000000000)+ROW()/100000,"")</f>
        <v/>
      </c>
    </row>
    <row r="912">
      <c r="G912" s="11" t="n"/>
      <c r="Q912" s="7">
        <f>IF($E912="","",P912*Y912/100)</f>
        <v/>
      </c>
      <c r="R912" s="7" t="n"/>
      <c r="X912" s="7" t="n"/>
      <c r="Y912" s="7" t="n"/>
      <c r="AB912">
        <f>IF($E912="","",IF($AQ912=1,0,IF($AP912=1,Settings!$C$6,Settings!$C$7))*100)</f>
        <v/>
      </c>
      <c r="AC912" s="7">
        <f>IF($E912="","",Y912*AB912/100)</f>
        <v/>
      </c>
      <c r="AD912" s="7">
        <f>IF($E912="","",Y912-AC912)</f>
        <v/>
      </c>
      <c r="AE912" s="7">
        <f>IF($E912="","",AD912-Q912)</f>
        <v/>
      </c>
      <c r="AI912" s="7" t="n"/>
      <c r="AL912" s="11" t="n"/>
      <c r="AN912">
        <f>IF($E912="","",IF(COUNTIF($E$2:$E912,$E912)=1,1,0))</f>
        <v/>
      </c>
      <c r="AO912">
        <f>IF($AN912=1,SUMPRODUCT(--($AR$2:$AR$4001&lt;$AR912))+1,"")</f>
        <v/>
      </c>
      <c r="AP912">
        <f>IF($E912="","",IF(OR($U912=TRUE(),$U912="TRUE"),1,0))</f>
        <v/>
      </c>
      <c r="AQ912">
        <f>IF($E912="","",IF($AA912="Yes",1,0))</f>
        <v/>
      </c>
      <c r="AR912">
        <f>IF($AN912=1,IFERROR(VALUE(MID($E912,2,20)),1000000000)+ROW()/100000,"")</f>
        <v/>
      </c>
    </row>
    <row r="913">
      <c r="G913" s="11" t="n"/>
      <c r="Q913" s="7">
        <f>IF($E913="","",P913*Y913/100)</f>
        <v/>
      </c>
      <c r="R913" s="7" t="n"/>
      <c r="X913" s="7" t="n"/>
      <c r="Y913" s="7" t="n"/>
      <c r="AB913">
        <f>IF($E913="","",IF($AQ913=1,0,IF($AP913=1,Settings!$C$6,Settings!$C$7))*100)</f>
        <v/>
      </c>
      <c r="AC913" s="7">
        <f>IF($E913="","",Y913*AB913/100)</f>
        <v/>
      </c>
      <c r="AD913" s="7">
        <f>IF($E913="","",Y913-AC913)</f>
        <v/>
      </c>
      <c r="AE913" s="7">
        <f>IF($E913="","",AD913-Q913)</f>
        <v/>
      </c>
      <c r="AI913" s="7" t="n"/>
      <c r="AL913" s="11" t="n"/>
      <c r="AN913">
        <f>IF($E913="","",IF(COUNTIF($E$2:$E913,$E913)=1,1,0))</f>
        <v/>
      </c>
      <c r="AO913">
        <f>IF($AN913=1,SUMPRODUCT(--($AR$2:$AR$4001&lt;$AR913))+1,"")</f>
        <v/>
      </c>
      <c r="AP913">
        <f>IF($E913="","",IF(OR($U913=TRUE(),$U913="TRUE"),1,0))</f>
        <v/>
      </c>
      <c r="AQ913">
        <f>IF($E913="","",IF($AA913="Yes",1,0))</f>
        <v/>
      </c>
      <c r="AR913">
        <f>IF($AN913=1,IFERROR(VALUE(MID($E913,2,20)),1000000000)+ROW()/100000,"")</f>
        <v/>
      </c>
    </row>
    <row r="914">
      <c r="G914" s="11" t="n"/>
      <c r="Q914" s="7">
        <f>IF($E914="","",P914*Y914/100)</f>
        <v/>
      </c>
      <c r="R914" s="7" t="n"/>
      <c r="X914" s="7" t="n"/>
      <c r="Y914" s="7" t="n"/>
      <c r="AB914">
        <f>IF($E914="","",IF($AQ914=1,0,IF($AP914=1,Settings!$C$6,Settings!$C$7))*100)</f>
        <v/>
      </c>
      <c r="AC914" s="7">
        <f>IF($E914="","",Y914*AB914/100)</f>
        <v/>
      </c>
      <c r="AD914" s="7">
        <f>IF($E914="","",Y914-AC914)</f>
        <v/>
      </c>
      <c r="AE914" s="7">
        <f>IF($E914="","",AD914-Q914)</f>
        <v/>
      </c>
      <c r="AI914" s="7" t="n"/>
      <c r="AL914" s="11" t="n"/>
      <c r="AN914">
        <f>IF($E914="","",IF(COUNTIF($E$2:$E914,$E914)=1,1,0))</f>
        <v/>
      </c>
      <c r="AO914">
        <f>IF($AN914=1,SUMPRODUCT(--($AR$2:$AR$4001&lt;$AR914))+1,"")</f>
        <v/>
      </c>
      <c r="AP914">
        <f>IF($E914="","",IF(OR($U914=TRUE(),$U914="TRUE"),1,0))</f>
        <v/>
      </c>
      <c r="AQ914">
        <f>IF($E914="","",IF($AA914="Yes",1,0))</f>
        <v/>
      </c>
      <c r="AR914">
        <f>IF($AN914=1,IFERROR(VALUE(MID($E914,2,20)),1000000000)+ROW()/100000,"")</f>
        <v/>
      </c>
    </row>
    <row r="915">
      <c r="G915" s="11" t="n"/>
      <c r="Q915" s="7">
        <f>IF($E915="","",P915*Y915/100)</f>
        <v/>
      </c>
      <c r="R915" s="7" t="n"/>
      <c r="X915" s="7" t="n"/>
      <c r="Y915" s="7" t="n"/>
      <c r="AB915">
        <f>IF($E915="","",IF($AQ915=1,0,IF($AP915=1,Settings!$C$6,Settings!$C$7))*100)</f>
        <v/>
      </c>
      <c r="AC915" s="7">
        <f>IF($E915="","",Y915*AB915/100)</f>
        <v/>
      </c>
      <c r="AD915" s="7">
        <f>IF($E915="","",Y915-AC915)</f>
        <v/>
      </c>
      <c r="AE915" s="7">
        <f>IF($E915="","",AD915-Q915)</f>
        <v/>
      </c>
      <c r="AI915" s="7" t="n"/>
      <c r="AL915" s="11" t="n"/>
      <c r="AN915">
        <f>IF($E915="","",IF(COUNTIF($E$2:$E915,$E915)=1,1,0))</f>
        <v/>
      </c>
      <c r="AO915">
        <f>IF($AN915=1,SUMPRODUCT(--($AR$2:$AR$4001&lt;$AR915))+1,"")</f>
        <v/>
      </c>
      <c r="AP915">
        <f>IF($E915="","",IF(OR($U915=TRUE(),$U915="TRUE"),1,0))</f>
        <v/>
      </c>
      <c r="AQ915">
        <f>IF($E915="","",IF($AA915="Yes",1,0))</f>
        <v/>
      </c>
      <c r="AR915">
        <f>IF($AN915=1,IFERROR(VALUE(MID($E915,2,20)),1000000000)+ROW()/100000,"")</f>
        <v/>
      </c>
    </row>
    <row r="916">
      <c r="G916" s="11" t="n"/>
      <c r="Q916" s="7">
        <f>IF($E916="","",P916*Y916/100)</f>
        <v/>
      </c>
      <c r="R916" s="7" t="n"/>
      <c r="X916" s="7" t="n"/>
      <c r="Y916" s="7" t="n"/>
      <c r="AB916">
        <f>IF($E916="","",IF($AQ916=1,0,IF($AP916=1,Settings!$C$6,Settings!$C$7))*100)</f>
        <v/>
      </c>
      <c r="AC916" s="7">
        <f>IF($E916="","",Y916*AB916/100)</f>
        <v/>
      </c>
      <c r="AD916" s="7">
        <f>IF($E916="","",Y916-AC916)</f>
        <v/>
      </c>
      <c r="AE916" s="7">
        <f>IF($E916="","",AD916-Q916)</f>
        <v/>
      </c>
      <c r="AI916" s="7" t="n"/>
      <c r="AL916" s="11" t="n"/>
      <c r="AN916">
        <f>IF($E916="","",IF(COUNTIF($E$2:$E916,$E916)=1,1,0))</f>
        <v/>
      </c>
      <c r="AO916">
        <f>IF($AN916=1,SUMPRODUCT(--($AR$2:$AR$4001&lt;$AR916))+1,"")</f>
        <v/>
      </c>
      <c r="AP916">
        <f>IF($E916="","",IF(OR($U916=TRUE(),$U916="TRUE"),1,0))</f>
        <v/>
      </c>
      <c r="AQ916">
        <f>IF($E916="","",IF($AA916="Yes",1,0))</f>
        <v/>
      </c>
      <c r="AR916">
        <f>IF($AN916=1,IFERROR(VALUE(MID($E916,2,20)),1000000000)+ROW()/100000,"")</f>
        <v/>
      </c>
    </row>
    <row r="917">
      <c r="G917" s="11" t="n"/>
      <c r="Q917" s="7">
        <f>IF($E917="","",P917*Y917/100)</f>
        <v/>
      </c>
      <c r="R917" s="7" t="n"/>
      <c r="X917" s="7" t="n"/>
      <c r="Y917" s="7" t="n"/>
      <c r="AB917">
        <f>IF($E917="","",IF($AQ917=1,0,IF($AP917=1,Settings!$C$6,Settings!$C$7))*100)</f>
        <v/>
      </c>
      <c r="AC917" s="7">
        <f>IF($E917="","",Y917*AB917/100)</f>
        <v/>
      </c>
      <c r="AD917" s="7">
        <f>IF($E917="","",Y917-AC917)</f>
        <v/>
      </c>
      <c r="AE917" s="7">
        <f>IF($E917="","",AD917-Q917)</f>
        <v/>
      </c>
      <c r="AI917" s="7" t="n"/>
      <c r="AL917" s="11" t="n"/>
      <c r="AN917">
        <f>IF($E917="","",IF(COUNTIF($E$2:$E917,$E917)=1,1,0))</f>
        <v/>
      </c>
      <c r="AO917">
        <f>IF($AN917=1,SUMPRODUCT(--($AR$2:$AR$4001&lt;$AR917))+1,"")</f>
        <v/>
      </c>
      <c r="AP917">
        <f>IF($E917="","",IF(OR($U917=TRUE(),$U917="TRUE"),1,0))</f>
        <v/>
      </c>
      <c r="AQ917">
        <f>IF($E917="","",IF($AA917="Yes",1,0))</f>
        <v/>
      </c>
      <c r="AR917">
        <f>IF($AN917=1,IFERROR(VALUE(MID($E917,2,20)),1000000000)+ROW()/100000,"")</f>
        <v/>
      </c>
    </row>
    <row r="918">
      <c r="G918" s="11" t="n"/>
      <c r="Q918" s="7">
        <f>IF($E918="","",P918*Y918/100)</f>
        <v/>
      </c>
      <c r="R918" s="7" t="n"/>
      <c r="X918" s="7" t="n"/>
      <c r="Y918" s="7" t="n"/>
      <c r="AB918">
        <f>IF($E918="","",IF($AQ918=1,0,IF($AP918=1,Settings!$C$6,Settings!$C$7))*100)</f>
        <v/>
      </c>
      <c r="AC918" s="7">
        <f>IF($E918="","",Y918*AB918/100)</f>
        <v/>
      </c>
      <c r="AD918" s="7">
        <f>IF($E918="","",Y918-AC918)</f>
        <v/>
      </c>
      <c r="AE918" s="7">
        <f>IF($E918="","",AD918-Q918)</f>
        <v/>
      </c>
      <c r="AI918" s="7" t="n"/>
      <c r="AL918" s="11" t="n"/>
      <c r="AN918">
        <f>IF($E918="","",IF(COUNTIF($E$2:$E918,$E918)=1,1,0))</f>
        <v/>
      </c>
      <c r="AO918">
        <f>IF($AN918=1,SUMPRODUCT(--($AR$2:$AR$4001&lt;$AR918))+1,"")</f>
        <v/>
      </c>
      <c r="AP918">
        <f>IF($E918="","",IF(OR($U918=TRUE(),$U918="TRUE"),1,0))</f>
        <v/>
      </c>
      <c r="AQ918">
        <f>IF($E918="","",IF($AA918="Yes",1,0))</f>
        <v/>
      </c>
      <c r="AR918">
        <f>IF($AN918=1,IFERROR(VALUE(MID($E918,2,20)),1000000000)+ROW()/100000,"")</f>
        <v/>
      </c>
    </row>
    <row r="919">
      <c r="G919" s="11" t="n"/>
      <c r="Q919" s="7">
        <f>IF($E919="","",P919*Y919/100)</f>
        <v/>
      </c>
      <c r="R919" s="7" t="n"/>
      <c r="X919" s="7" t="n"/>
      <c r="Y919" s="7" t="n"/>
      <c r="AB919">
        <f>IF($E919="","",IF($AQ919=1,0,IF($AP919=1,Settings!$C$6,Settings!$C$7))*100)</f>
        <v/>
      </c>
      <c r="AC919" s="7">
        <f>IF($E919="","",Y919*AB919/100)</f>
        <v/>
      </c>
      <c r="AD919" s="7">
        <f>IF($E919="","",Y919-AC919)</f>
        <v/>
      </c>
      <c r="AE919" s="7">
        <f>IF($E919="","",AD919-Q919)</f>
        <v/>
      </c>
      <c r="AI919" s="7" t="n"/>
      <c r="AL919" s="11" t="n"/>
      <c r="AN919">
        <f>IF($E919="","",IF(COUNTIF($E$2:$E919,$E919)=1,1,0))</f>
        <v/>
      </c>
      <c r="AO919">
        <f>IF($AN919=1,SUMPRODUCT(--($AR$2:$AR$4001&lt;$AR919))+1,"")</f>
        <v/>
      </c>
      <c r="AP919">
        <f>IF($E919="","",IF(OR($U919=TRUE(),$U919="TRUE"),1,0))</f>
        <v/>
      </c>
      <c r="AQ919">
        <f>IF($E919="","",IF($AA919="Yes",1,0))</f>
        <v/>
      </c>
      <c r="AR919">
        <f>IF($AN919=1,IFERROR(VALUE(MID($E919,2,20)),1000000000)+ROW()/100000,"")</f>
        <v/>
      </c>
    </row>
    <row r="920">
      <c r="G920" s="11" t="n"/>
      <c r="Q920" s="7">
        <f>IF($E920="","",P920*Y920/100)</f>
        <v/>
      </c>
      <c r="R920" s="7" t="n"/>
      <c r="X920" s="7" t="n"/>
      <c r="Y920" s="7" t="n"/>
      <c r="AB920">
        <f>IF($E920="","",IF($AQ920=1,0,IF($AP920=1,Settings!$C$6,Settings!$C$7))*100)</f>
        <v/>
      </c>
      <c r="AC920" s="7">
        <f>IF($E920="","",Y920*AB920/100)</f>
        <v/>
      </c>
      <c r="AD920" s="7">
        <f>IF($E920="","",Y920-AC920)</f>
        <v/>
      </c>
      <c r="AE920" s="7">
        <f>IF($E920="","",AD920-Q920)</f>
        <v/>
      </c>
      <c r="AI920" s="7" t="n"/>
      <c r="AL920" s="11" t="n"/>
      <c r="AN920">
        <f>IF($E920="","",IF(COUNTIF($E$2:$E920,$E920)=1,1,0))</f>
        <v/>
      </c>
      <c r="AO920">
        <f>IF($AN920=1,SUMPRODUCT(--($AR$2:$AR$4001&lt;$AR920))+1,"")</f>
        <v/>
      </c>
      <c r="AP920">
        <f>IF($E920="","",IF(OR($U920=TRUE(),$U920="TRUE"),1,0))</f>
        <v/>
      </c>
      <c r="AQ920">
        <f>IF($E920="","",IF($AA920="Yes",1,0))</f>
        <v/>
      </c>
      <c r="AR920">
        <f>IF($AN920=1,IFERROR(VALUE(MID($E920,2,20)),1000000000)+ROW()/100000,"")</f>
        <v/>
      </c>
    </row>
    <row r="921">
      <c r="G921" s="11" t="n"/>
      <c r="Q921" s="7">
        <f>IF($E921="","",P921*Y921/100)</f>
        <v/>
      </c>
      <c r="R921" s="7" t="n"/>
      <c r="X921" s="7" t="n"/>
      <c r="Y921" s="7" t="n"/>
      <c r="AB921">
        <f>IF($E921="","",IF($AQ921=1,0,IF($AP921=1,Settings!$C$6,Settings!$C$7))*100)</f>
        <v/>
      </c>
      <c r="AC921" s="7">
        <f>IF($E921="","",Y921*AB921/100)</f>
        <v/>
      </c>
      <c r="AD921" s="7">
        <f>IF($E921="","",Y921-AC921)</f>
        <v/>
      </c>
      <c r="AE921" s="7">
        <f>IF($E921="","",AD921-Q921)</f>
        <v/>
      </c>
      <c r="AI921" s="7" t="n"/>
      <c r="AL921" s="11" t="n"/>
      <c r="AN921">
        <f>IF($E921="","",IF(COUNTIF($E$2:$E921,$E921)=1,1,0))</f>
        <v/>
      </c>
      <c r="AO921">
        <f>IF($AN921=1,SUMPRODUCT(--($AR$2:$AR$4001&lt;$AR921))+1,"")</f>
        <v/>
      </c>
      <c r="AP921">
        <f>IF($E921="","",IF(OR($U921=TRUE(),$U921="TRUE"),1,0))</f>
        <v/>
      </c>
      <c r="AQ921">
        <f>IF($E921="","",IF($AA921="Yes",1,0))</f>
        <v/>
      </c>
      <c r="AR921">
        <f>IF($AN921=1,IFERROR(VALUE(MID($E921,2,20)),1000000000)+ROW()/100000,"")</f>
        <v/>
      </c>
    </row>
    <row r="922">
      <c r="G922" s="11" t="n"/>
      <c r="Q922" s="7">
        <f>IF($E922="","",P922*Y922/100)</f>
        <v/>
      </c>
      <c r="R922" s="7" t="n"/>
      <c r="X922" s="7" t="n"/>
      <c r="Y922" s="7" t="n"/>
      <c r="AB922">
        <f>IF($E922="","",IF($AQ922=1,0,IF($AP922=1,Settings!$C$6,Settings!$C$7))*100)</f>
        <v/>
      </c>
      <c r="AC922" s="7">
        <f>IF($E922="","",Y922*AB922/100)</f>
        <v/>
      </c>
      <c r="AD922" s="7">
        <f>IF($E922="","",Y922-AC922)</f>
        <v/>
      </c>
      <c r="AE922" s="7">
        <f>IF($E922="","",AD922-Q922)</f>
        <v/>
      </c>
      <c r="AI922" s="7" t="n"/>
      <c r="AL922" s="11" t="n"/>
      <c r="AN922">
        <f>IF($E922="","",IF(COUNTIF($E$2:$E922,$E922)=1,1,0))</f>
        <v/>
      </c>
      <c r="AO922">
        <f>IF($AN922=1,SUMPRODUCT(--($AR$2:$AR$4001&lt;$AR922))+1,"")</f>
        <v/>
      </c>
      <c r="AP922">
        <f>IF($E922="","",IF(OR($U922=TRUE(),$U922="TRUE"),1,0))</f>
        <v/>
      </c>
      <c r="AQ922">
        <f>IF($E922="","",IF($AA922="Yes",1,0))</f>
        <v/>
      </c>
      <c r="AR922">
        <f>IF($AN922=1,IFERROR(VALUE(MID($E922,2,20)),1000000000)+ROW()/100000,"")</f>
        <v/>
      </c>
    </row>
    <row r="923">
      <c r="G923" s="11" t="n"/>
      <c r="Q923" s="7">
        <f>IF($E923="","",P923*Y923/100)</f>
        <v/>
      </c>
      <c r="R923" s="7" t="n"/>
      <c r="X923" s="7" t="n"/>
      <c r="Y923" s="7" t="n"/>
      <c r="AB923">
        <f>IF($E923="","",IF($AQ923=1,0,IF($AP923=1,Settings!$C$6,Settings!$C$7))*100)</f>
        <v/>
      </c>
      <c r="AC923" s="7">
        <f>IF($E923="","",Y923*AB923/100)</f>
        <v/>
      </c>
      <c r="AD923" s="7">
        <f>IF($E923="","",Y923-AC923)</f>
        <v/>
      </c>
      <c r="AE923" s="7">
        <f>IF($E923="","",AD923-Q923)</f>
        <v/>
      </c>
      <c r="AI923" s="7" t="n"/>
      <c r="AL923" s="11" t="n"/>
      <c r="AN923">
        <f>IF($E923="","",IF(COUNTIF($E$2:$E923,$E923)=1,1,0))</f>
        <v/>
      </c>
      <c r="AO923">
        <f>IF($AN923=1,SUMPRODUCT(--($AR$2:$AR$4001&lt;$AR923))+1,"")</f>
        <v/>
      </c>
      <c r="AP923">
        <f>IF($E923="","",IF(OR($U923=TRUE(),$U923="TRUE"),1,0))</f>
        <v/>
      </c>
      <c r="AQ923">
        <f>IF($E923="","",IF($AA923="Yes",1,0))</f>
        <v/>
      </c>
      <c r="AR923">
        <f>IF($AN923=1,IFERROR(VALUE(MID($E923,2,20)),1000000000)+ROW()/100000,"")</f>
        <v/>
      </c>
    </row>
    <row r="924">
      <c r="G924" s="11" t="n"/>
      <c r="Q924" s="7">
        <f>IF($E924="","",P924*Y924/100)</f>
        <v/>
      </c>
      <c r="R924" s="7" t="n"/>
      <c r="X924" s="7" t="n"/>
      <c r="Y924" s="7" t="n"/>
      <c r="AB924">
        <f>IF($E924="","",IF($AQ924=1,0,IF($AP924=1,Settings!$C$6,Settings!$C$7))*100)</f>
        <v/>
      </c>
      <c r="AC924" s="7">
        <f>IF($E924="","",Y924*AB924/100)</f>
        <v/>
      </c>
      <c r="AD924" s="7">
        <f>IF($E924="","",Y924-AC924)</f>
        <v/>
      </c>
      <c r="AE924" s="7">
        <f>IF($E924="","",AD924-Q924)</f>
        <v/>
      </c>
      <c r="AI924" s="7" t="n"/>
      <c r="AL924" s="11" t="n"/>
      <c r="AN924">
        <f>IF($E924="","",IF(COUNTIF($E$2:$E924,$E924)=1,1,0))</f>
        <v/>
      </c>
      <c r="AO924">
        <f>IF($AN924=1,SUMPRODUCT(--($AR$2:$AR$4001&lt;$AR924))+1,"")</f>
        <v/>
      </c>
      <c r="AP924">
        <f>IF($E924="","",IF(OR($U924=TRUE(),$U924="TRUE"),1,0))</f>
        <v/>
      </c>
      <c r="AQ924">
        <f>IF($E924="","",IF($AA924="Yes",1,0))</f>
        <v/>
      </c>
      <c r="AR924">
        <f>IF($AN924=1,IFERROR(VALUE(MID($E924,2,20)),1000000000)+ROW()/100000,"")</f>
        <v/>
      </c>
    </row>
    <row r="925">
      <c r="G925" s="11" t="n"/>
      <c r="Q925" s="7">
        <f>IF($E925="","",P925*Y925/100)</f>
        <v/>
      </c>
      <c r="R925" s="7" t="n"/>
      <c r="X925" s="7" t="n"/>
      <c r="Y925" s="7" t="n"/>
      <c r="AB925">
        <f>IF($E925="","",IF($AQ925=1,0,IF($AP925=1,Settings!$C$6,Settings!$C$7))*100)</f>
        <v/>
      </c>
      <c r="AC925" s="7">
        <f>IF($E925="","",Y925*AB925/100)</f>
        <v/>
      </c>
      <c r="AD925" s="7">
        <f>IF($E925="","",Y925-AC925)</f>
        <v/>
      </c>
      <c r="AE925" s="7">
        <f>IF($E925="","",AD925-Q925)</f>
        <v/>
      </c>
      <c r="AI925" s="7" t="n"/>
      <c r="AL925" s="11" t="n"/>
      <c r="AN925">
        <f>IF($E925="","",IF(COUNTIF($E$2:$E925,$E925)=1,1,0))</f>
        <v/>
      </c>
      <c r="AO925">
        <f>IF($AN925=1,SUMPRODUCT(--($AR$2:$AR$4001&lt;$AR925))+1,"")</f>
        <v/>
      </c>
      <c r="AP925">
        <f>IF($E925="","",IF(OR($U925=TRUE(),$U925="TRUE"),1,0))</f>
        <v/>
      </c>
      <c r="AQ925">
        <f>IF($E925="","",IF($AA925="Yes",1,0))</f>
        <v/>
      </c>
      <c r="AR925">
        <f>IF($AN925=1,IFERROR(VALUE(MID($E925,2,20)),1000000000)+ROW()/100000,"")</f>
        <v/>
      </c>
    </row>
    <row r="926">
      <c r="G926" s="11" t="n"/>
      <c r="Q926" s="7">
        <f>IF($E926="","",P926*Y926/100)</f>
        <v/>
      </c>
      <c r="R926" s="7" t="n"/>
      <c r="X926" s="7" t="n"/>
      <c r="Y926" s="7" t="n"/>
      <c r="AB926">
        <f>IF($E926="","",IF($AQ926=1,0,IF($AP926=1,Settings!$C$6,Settings!$C$7))*100)</f>
        <v/>
      </c>
      <c r="AC926" s="7">
        <f>IF($E926="","",Y926*AB926/100)</f>
        <v/>
      </c>
      <c r="AD926" s="7">
        <f>IF($E926="","",Y926-AC926)</f>
        <v/>
      </c>
      <c r="AE926" s="7">
        <f>IF($E926="","",AD926-Q926)</f>
        <v/>
      </c>
      <c r="AI926" s="7" t="n"/>
      <c r="AL926" s="11" t="n"/>
      <c r="AN926">
        <f>IF($E926="","",IF(COUNTIF($E$2:$E926,$E926)=1,1,0))</f>
        <v/>
      </c>
      <c r="AO926">
        <f>IF($AN926=1,SUMPRODUCT(--($AR$2:$AR$4001&lt;$AR926))+1,"")</f>
        <v/>
      </c>
      <c r="AP926">
        <f>IF($E926="","",IF(OR($U926=TRUE(),$U926="TRUE"),1,0))</f>
        <v/>
      </c>
      <c r="AQ926">
        <f>IF($E926="","",IF($AA926="Yes",1,0))</f>
        <v/>
      </c>
      <c r="AR926">
        <f>IF($AN926=1,IFERROR(VALUE(MID($E926,2,20)),1000000000)+ROW()/100000,"")</f>
        <v/>
      </c>
    </row>
    <row r="927">
      <c r="G927" s="11" t="n"/>
      <c r="Q927" s="7">
        <f>IF($E927="","",P927*Y927/100)</f>
        <v/>
      </c>
      <c r="R927" s="7" t="n"/>
      <c r="X927" s="7" t="n"/>
      <c r="Y927" s="7" t="n"/>
      <c r="AB927">
        <f>IF($E927="","",IF($AQ927=1,0,IF($AP927=1,Settings!$C$6,Settings!$C$7))*100)</f>
        <v/>
      </c>
      <c r="AC927" s="7">
        <f>IF($E927="","",Y927*AB927/100)</f>
        <v/>
      </c>
      <c r="AD927" s="7">
        <f>IF($E927="","",Y927-AC927)</f>
        <v/>
      </c>
      <c r="AE927" s="7">
        <f>IF($E927="","",AD927-Q927)</f>
        <v/>
      </c>
      <c r="AI927" s="7" t="n"/>
      <c r="AL927" s="11" t="n"/>
      <c r="AN927">
        <f>IF($E927="","",IF(COUNTIF($E$2:$E927,$E927)=1,1,0))</f>
        <v/>
      </c>
      <c r="AO927">
        <f>IF($AN927=1,SUMPRODUCT(--($AR$2:$AR$4001&lt;$AR927))+1,"")</f>
        <v/>
      </c>
      <c r="AP927">
        <f>IF($E927="","",IF(OR($U927=TRUE(),$U927="TRUE"),1,0))</f>
        <v/>
      </c>
      <c r="AQ927">
        <f>IF($E927="","",IF($AA927="Yes",1,0))</f>
        <v/>
      </c>
      <c r="AR927">
        <f>IF($AN927=1,IFERROR(VALUE(MID($E927,2,20)),1000000000)+ROW()/100000,"")</f>
        <v/>
      </c>
    </row>
    <row r="928">
      <c r="G928" s="11" t="n"/>
      <c r="Q928" s="7">
        <f>IF($E928="","",P928*Y928/100)</f>
        <v/>
      </c>
      <c r="R928" s="7" t="n"/>
      <c r="X928" s="7" t="n"/>
      <c r="Y928" s="7" t="n"/>
      <c r="AB928">
        <f>IF($E928="","",IF($AQ928=1,0,IF($AP928=1,Settings!$C$6,Settings!$C$7))*100)</f>
        <v/>
      </c>
      <c r="AC928" s="7">
        <f>IF($E928="","",Y928*AB928/100)</f>
        <v/>
      </c>
      <c r="AD928" s="7">
        <f>IF($E928="","",Y928-AC928)</f>
        <v/>
      </c>
      <c r="AE928" s="7">
        <f>IF($E928="","",AD928-Q928)</f>
        <v/>
      </c>
      <c r="AI928" s="7" t="n"/>
      <c r="AL928" s="11" t="n"/>
      <c r="AN928">
        <f>IF($E928="","",IF(COUNTIF($E$2:$E928,$E928)=1,1,0))</f>
        <v/>
      </c>
      <c r="AO928">
        <f>IF($AN928=1,SUMPRODUCT(--($AR$2:$AR$4001&lt;$AR928))+1,"")</f>
        <v/>
      </c>
      <c r="AP928">
        <f>IF($E928="","",IF(OR($U928=TRUE(),$U928="TRUE"),1,0))</f>
        <v/>
      </c>
      <c r="AQ928">
        <f>IF($E928="","",IF($AA928="Yes",1,0))</f>
        <v/>
      </c>
      <c r="AR928">
        <f>IF($AN928=1,IFERROR(VALUE(MID($E928,2,20)),1000000000)+ROW()/100000,"")</f>
        <v/>
      </c>
    </row>
    <row r="929">
      <c r="G929" s="11" t="n"/>
      <c r="Q929" s="7">
        <f>IF($E929="","",P929*Y929/100)</f>
        <v/>
      </c>
      <c r="R929" s="7" t="n"/>
      <c r="X929" s="7" t="n"/>
      <c r="Y929" s="7" t="n"/>
      <c r="AB929">
        <f>IF($E929="","",IF($AQ929=1,0,IF($AP929=1,Settings!$C$6,Settings!$C$7))*100)</f>
        <v/>
      </c>
      <c r="AC929" s="7">
        <f>IF($E929="","",Y929*AB929/100)</f>
        <v/>
      </c>
      <c r="AD929" s="7">
        <f>IF($E929="","",Y929-AC929)</f>
        <v/>
      </c>
      <c r="AE929" s="7">
        <f>IF($E929="","",AD929-Q929)</f>
        <v/>
      </c>
      <c r="AI929" s="7" t="n"/>
      <c r="AL929" s="11" t="n"/>
      <c r="AN929">
        <f>IF($E929="","",IF(COUNTIF($E$2:$E929,$E929)=1,1,0))</f>
        <v/>
      </c>
      <c r="AO929">
        <f>IF($AN929=1,SUMPRODUCT(--($AR$2:$AR$4001&lt;$AR929))+1,"")</f>
        <v/>
      </c>
      <c r="AP929">
        <f>IF($E929="","",IF(OR($U929=TRUE(),$U929="TRUE"),1,0))</f>
        <v/>
      </c>
      <c r="AQ929">
        <f>IF($E929="","",IF($AA929="Yes",1,0))</f>
        <v/>
      </c>
      <c r="AR929">
        <f>IF($AN929=1,IFERROR(VALUE(MID($E929,2,20)),1000000000)+ROW()/100000,"")</f>
        <v/>
      </c>
    </row>
    <row r="930">
      <c r="G930" s="11" t="n"/>
      <c r="Q930" s="7">
        <f>IF($E930="","",P930*Y930/100)</f>
        <v/>
      </c>
      <c r="R930" s="7" t="n"/>
      <c r="X930" s="7" t="n"/>
      <c r="Y930" s="7" t="n"/>
      <c r="AB930">
        <f>IF($E930="","",IF($AQ930=1,0,IF($AP930=1,Settings!$C$6,Settings!$C$7))*100)</f>
        <v/>
      </c>
      <c r="AC930" s="7">
        <f>IF($E930="","",Y930*AB930/100)</f>
        <v/>
      </c>
      <c r="AD930" s="7">
        <f>IF($E930="","",Y930-AC930)</f>
        <v/>
      </c>
      <c r="AE930" s="7">
        <f>IF($E930="","",AD930-Q930)</f>
        <v/>
      </c>
      <c r="AI930" s="7" t="n"/>
      <c r="AL930" s="11" t="n"/>
      <c r="AN930">
        <f>IF($E930="","",IF(COUNTIF($E$2:$E930,$E930)=1,1,0))</f>
        <v/>
      </c>
      <c r="AO930">
        <f>IF($AN930=1,SUMPRODUCT(--($AR$2:$AR$4001&lt;$AR930))+1,"")</f>
        <v/>
      </c>
      <c r="AP930">
        <f>IF($E930="","",IF(OR($U930=TRUE(),$U930="TRUE"),1,0))</f>
        <v/>
      </c>
      <c r="AQ930">
        <f>IF($E930="","",IF($AA930="Yes",1,0))</f>
        <v/>
      </c>
      <c r="AR930">
        <f>IF($AN930=1,IFERROR(VALUE(MID($E930,2,20)),1000000000)+ROW()/100000,"")</f>
        <v/>
      </c>
    </row>
    <row r="931">
      <c r="G931" s="11" t="n"/>
      <c r="Q931" s="7">
        <f>IF($E931="","",P931*Y931/100)</f>
        <v/>
      </c>
      <c r="R931" s="7" t="n"/>
      <c r="X931" s="7" t="n"/>
      <c r="Y931" s="7" t="n"/>
      <c r="AB931">
        <f>IF($E931="","",IF($AQ931=1,0,IF($AP931=1,Settings!$C$6,Settings!$C$7))*100)</f>
        <v/>
      </c>
      <c r="AC931" s="7">
        <f>IF($E931="","",Y931*AB931/100)</f>
        <v/>
      </c>
      <c r="AD931" s="7">
        <f>IF($E931="","",Y931-AC931)</f>
        <v/>
      </c>
      <c r="AE931" s="7">
        <f>IF($E931="","",AD931-Q931)</f>
        <v/>
      </c>
      <c r="AI931" s="7" t="n"/>
      <c r="AL931" s="11" t="n"/>
      <c r="AN931">
        <f>IF($E931="","",IF(COUNTIF($E$2:$E931,$E931)=1,1,0))</f>
        <v/>
      </c>
      <c r="AO931">
        <f>IF($AN931=1,SUMPRODUCT(--($AR$2:$AR$4001&lt;$AR931))+1,"")</f>
        <v/>
      </c>
      <c r="AP931">
        <f>IF($E931="","",IF(OR($U931=TRUE(),$U931="TRUE"),1,0))</f>
        <v/>
      </c>
      <c r="AQ931">
        <f>IF($E931="","",IF($AA931="Yes",1,0))</f>
        <v/>
      </c>
      <c r="AR931">
        <f>IF($AN931=1,IFERROR(VALUE(MID($E931,2,20)),1000000000)+ROW()/100000,"")</f>
        <v/>
      </c>
    </row>
    <row r="932">
      <c r="G932" s="11" t="n"/>
      <c r="Q932" s="7">
        <f>IF($E932="","",P932*Y932/100)</f>
        <v/>
      </c>
      <c r="R932" s="7" t="n"/>
      <c r="X932" s="7" t="n"/>
      <c r="Y932" s="7" t="n"/>
      <c r="AB932">
        <f>IF($E932="","",IF($AQ932=1,0,IF($AP932=1,Settings!$C$6,Settings!$C$7))*100)</f>
        <v/>
      </c>
      <c r="AC932" s="7">
        <f>IF($E932="","",Y932*AB932/100)</f>
        <v/>
      </c>
      <c r="AD932" s="7">
        <f>IF($E932="","",Y932-AC932)</f>
        <v/>
      </c>
      <c r="AE932" s="7">
        <f>IF($E932="","",AD932-Q932)</f>
        <v/>
      </c>
      <c r="AI932" s="7" t="n"/>
      <c r="AL932" s="11" t="n"/>
      <c r="AN932">
        <f>IF($E932="","",IF(COUNTIF($E$2:$E932,$E932)=1,1,0))</f>
        <v/>
      </c>
      <c r="AO932">
        <f>IF($AN932=1,SUMPRODUCT(--($AR$2:$AR$4001&lt;$AR932))+1,"")</f>
        <v/>
      </c>
      <c r="AP932">
        <f>IF($E932="","",IF(OR($U932=TRUE(),$U932="TRUE"),1,0))</f>
        <v/>
      </c>
      <c r="AQ932">
        <f>IF($E932="","",IF($AA932="Yes",1,0))</f>
        <v/>
      </c>
      <c r="AR932">
        <f>IF($AN932=1,IFERROR(VALUE(MID($E932,2,20)),1000000000)+ROW()/100000,"")</f>
        <v/>
      </c>
    </row>
    <row r="933">
      <c r="G933" s="11" t="n"/>
      <c r="Q933" s="7">
        <f>IF($E933="","",P933*Y933/100)</f>
        <v/>
      </c>
      <c r="R933" s="7" t="n"/>
      <c r="X933" s="7" t="n"/>
      <c r="Y933" s="7" t="n"/>
      <c r="AB933">
        <f>IF($E933="","",IF($AQ933=1,0,IF($AP933=1,Settings!$C$6,Settings!$C$7))*100)</f>
        <v/>
      </c>
      <c r="AC933" s="7">
        <f>IF($E933="","",Y933*AB933/100)</f>
        <v/>
      </c>
      <c r="AD933" s="7">
        <f>IF($E933="","",Y933-AC933)</f>
        <v/>
      </c>
      <c r="AE933" s="7">
        <f>IF($E933="","",AD933-Q933)</f>
        <v/>
      </c>
      <c r="AI933" s="7" t="n"/>
      <c r="AL933" s="11" t="n"/>
      <c r="AN933">
        <f>IF($E933="","",IF(COUNTIF($E$2:$E933,$E933)=1,1,0))</f>
        <v/>
      </c>
      <c r="AO933">
        <f>IF($AN933=1,SUMPRODUCT(--($AR$2:$AR$4001&lt;$AR933))+1,"")</f>
        <v/>
      </c>
      <c r="AP933">
        <f>IF($E933="","",IF(OR($U933=TRUE(),$U933="TRUE"),1,0))</f>
        <v/>
      </c>
      <c r="AQ933">
        <f>IF($E933="","",IF($AA933="Yes",1,0))</f>
        <v/>
      </c>
      <c r="AR933">
        <f>IF($AN933=1,IFERROR(VALUE(MID($E933,2,20)),1000000000)+ROW()/100000,"")</f>
        <v/>
      </c>
    </row>
    <row r="934">
      <c r="G934" s="11" t="n"/>
      <c r="Q934" s="7">
        <f>IF($E934="","",P934*Y934/100)</f>
        <v/>
      </c>
      <c r="R934" s="7" t="n"/>
      <c r="X934" s="7" t="n"/>
      <c r="Y934" s="7" t="n"/>
      <c r="AB934">
        <f>IF($E934="","",IF($AQ934=1,0,IF($AP934=1,Settings!$C$6,Settings!$C$7))*100)</f>
        <v/>
      </c>
      <c r="AC934" s="7">
        <f>IF($E934="","",Y934*AB934/100)</f>
        <v/>
      </c>
      <c r="AD934" s="7">
        <f>IF($E934="","",Y934-AC934)</f>
        <v/>
      </c>
      <c r="AE934" s="7">
        <f>IF($E934="","",AD934-Q934)</f>
        <v/>
      </c>
      <c r="AI934" s="7" t="n"/>
      <c r="AL934" s="11" t="n"/>
      <c r="AN934">
        <f>IF($E934="","",IF(COUNTIF($E$2:$E934,$E934)=1,1,0))</f>
        <v/>
      </c>
      <c r="AO934">
        <f>IF($AN934=1,SUMPRODUCT(--($AR$2:$AR$4001&lt;$AR934))+1,"")</f>
        <v/>
      </c>
      <c r="AP934">
        <f>IF($E934="","",IF(OR($U934=TRUE(),$U934="TRUE"),1,0))</f>
        <v/>
      </c>
      <c r="AQ934">
        <f>IF($E934="","",IF($AA934="Yes",1,0))</f>
        <v/>
      </c>
      <c r="AR934">
        <f>IF($AN934=1,IFERROR(VALUE(MID($E934,2,20)),1000000000)+ROW()/100000,"")</f>
        <v/>
      </c>
    </row>
    <row r="935">
      <c r="G935" s="11" t="n"/>
      <c r="Q935" s="7">
        <f>IF($E935="","",P935*Y935/100)</f>
        <v/>
      </c>
      <c r="R935" s="7" t="n"/>
      <c r="X935" s="7" t="n"/>
      <c r="Y935" s="7" t="n"/>
      <c r="AB935">
        <f>IF($E935="","",IF($AQ935=1,0,IF($AP935=1,Settings!$C$6,Settings!$C$7))*100)</f>
        <v/>
      </c>
      <c r="AC935" s="7">
        <f>IF($E935="","",Y935*AB935/100)</f>
        <v/>
      </c>
      <c r="AD935" s="7">
        <f>IF($E935="","",Y935-AC935)</f>
        <v/>
      </c>
      <c r="AE935" s="7">
        <f>IF($E935="","",AD935-Q935)</f>
        <v/>
      </c>
      <c r="AI935" s="7" t="n"/>
      <c r="AL935" s="11" t="n"/>
      <c r="AN935">
        <f>IF($E935="","",IF(COUNTIF($E$2:$E935,$E935)=1,1,0))</f>
        <v/>
      </c>
      <c r="AO935">
        <f>IF($AN935=1,SUMPRODUCT(--($AR$2:$AR$4001&lt;$AR935))+1,"")</f>
        <v/>
      </c>
      <c r="AP935">
        <f>IF($E935="","",IF(OR($U935=TRUE(),$U935="TRUE"),1,0))</f>
        <v/>
      </c>
      <c r="AQ935">
        <f>IF($E935="","",IF($AA935="Yes",1,0))</f>
        <v/>
      </c>
      <c r="AR935">
        <f>IF($AN935=1,IFERROR(VALUE(MID($E935,2,20)),1000000000)+ROW()/100000,"")</f>
        <v/>
      </c>
    </row>
    <row r="936">
      <c r="G936" s="11" t="n"/>
      <c r="Q936" s="7">
        <f>IF($E936="","",P936*Y936/100)</f>
        <v/>
      </c>
      <c r="R936" s="7" t="n"/>
      <c r="X936" s="7" t="n"/>
      <c r="Y936" s="7" t="n"/>
      <c r="AB936">
        <f>IF($E936="","",IF($AQ936=1,0,IF($AP936=1,Settings!$C$6,Settings!$C$7))*100)</f>
        <v/>
      </c>
      <c r="AC936" s="7">
        <f>IF($E936="","",Y936*AB936/100)</f>
        <v/>
      </c>
      <c r="AD936" s="7">
        <f>IF($E936="","",Y936-AC936)</f>
        <v/>
      </c>
      <c r="AE936" s="7">
        <f>IF($E936="","",AD936-Q936)</f>
        <v/>
      </c>
      <c r="AI936" s="7" t="n"/>
      <c r="AL936" s="11" t="n"/>
      <c r="AN936">
        <f>IF($E936="","",IF(COUNTIF($E$2:$E936,$E936)=1,1,0))</f>
        <v/>
      </c>
      <c r="AO936">
        <f>IF($AN936=1,SUMPRODUCT(--($AR$2:$AR$4001&lt;$AR936))+1,"")</f>
        <v/>
      </c>
      <c r="AP936">
        <f>IF($E936="","",IF(OR($U936=TRUE(),$U936="TRUE"),1,0))</f>
        <v/>
      </c>
      <c r="AQ936">
        <f>IF($E936="","",IF($AA936="Yes",1,0))</f>
        <v/>
      </c>
      <c r="AR936">
        <f>IF($AN936=1,IFERROR(VALUE(MID($E936,2,20)),1000000000)+ROW()/100000,"")</f>
        <v/>
      </c>
    </row>
    <row r="937">
      <c r="G937" s="11" t="n"/>
      <c r="Q937" s="7">
        <f>IF($E937="","",P937*Y937/100)</f>
        <v/>
      </c>
      <c r="R937" s="7" t="n"/>
      <c r="X937" s="7" t="n"/>
      <c r="Y937" s="7" t="n"/>
      <c r="AB937">
        <f>IF($E937="","",IF($AQ937=1,0,IF($AP937=1,Settings!$C$6,Settings!$C$7))*100)</f>
        <v/>
      </c>
      <c r="AC937" s="7">
        <f>IF($E937="","",Y937*AB937/100)</f>
        <v/>
      </c>
      <c r="AD937" s="7">
        <f>IF($E937="","",Y937-AC937)</f>
        <v/>
      </c>
      <c r="AE937" s="7">
        <f>IF($E937="","",AD937-Q937)</f>
        <v/>
      </c>
      <c r="AI937" s="7" t="n"/>
      <c r="AL937" s="11" t="n"/>
      <c r="AN937">
        <f>IF($E937="","",IF(COUNTIF($E$2:$E937,$E937)=1,1,0))</f>
        <v/>
      </c>
      <c r="AO937">
        <f>IF($AN937=1,SUMPRODUCT(--($AR$2:$AR$4001&lt;$AR937))+1,"")</f>
        <v/>
      </c>
      <c r="AP937">
        <f>IF($E937="","",IF(OR($U937=TRUE(),$U937="TRUE"),1,0))</f>
        <v/>
      </c>
      <c r="AQ937">
        <f>IF($E937="","",IF($AA937="Yes",1,0))</f>
        <v/>
      </c>
      <c r="AR937">
        <f>IF($AN937=1,IFERROR(VALUE(MID($E937,2,20)),1000000000)+ROW()/100000,"")</f>
        <v/>
      </c>
    </row>
    <row r="938">
      <c r="G938" s="11" t="n"/>
      <c r="Q938" s="7">
        <f>IF($E938="","",P938*Y938/100)</f>
        <v/>
      </c>
      <c r="R938" s="7" t="n"/>
      <c r="X938" s="7" t="n"/>
      <c r="Y938" s="7" t="n"/>
      <c r="AB938">
        <f>IF($E938="","",IF($AQ938=1,0,IF($AP938=1,Settings!$C$6,Settings!$C$7))*100)</f>
        <v/>
      </c>
      <c r="AC938" s="7">
        <f>IF($E938="","",Y938*AB938/100)</f>
        <v/>
      </c>
      <c r="AD938" s="7">
        <f>IF($E938="","",Y938-AC938)</f>
        <v/>
      </c>
      <c r="AE938" s="7">
        <f>IF($E938="","",AD938-Q938)</f>
        <v/>
      </c>
      <c r="AI938" s="7" t="n"/>
      <c r="AL938" s="11" t="n"/>
      <c r="AN938">
        <f>IF($E938="","",IF(COUNTIF($E$2:$E938,$E938)=1,1,0))</f>
        <v/>
      </c>
      <c r="AO938">
        <f>IF($AN938=1,SUMPRODUCT(--($AR$2:$AR$4001&lt;$AR938))+1,"")</f>
        <v/>
      </c>
      <c r="AP938">
        <f>IF($E938="","",IF(OR($U938=TRUE(),$U938="TRUE"),1,0))</f>
        <v/>
      </c>
      <c r="AQ938">
        <f>IF($E938="","",IF($AA938="Yes",1,0))</f>
        <v/>
      </c>
      <c r="AR938">
        <f>IF($AN938=1,IFERROR(VALUE(MID($E938,2,20)),1000000000)+ROW()/100000,"")</f>
        <v/>
      </c>
    </row>
    <row r="939">
      <c r="G939" s="11" t="n"/>
      <c r="Q939" s="7">
        <f>IF($E939="","",P939*Y939/100)</f>
        <v/>
      </c>
      <c r="R939" s="7" t="n"/>
      <c r="X939" s="7" t="n"/>
      <c r="Y939" s="7" t="n"/>
      <c r="AB939">
        <f>IF($E939="","",IF($AQ939=1,0,IF($AP939=1,Settings!$C$6,Settings!$C$7))*100)</f>
        <v/>
      </c>
      <c r="AC939" s="7">
        <f>IF($E939="","",Y939*AB939/100)</f>
        <v/>
      </c>
      <c r="AD939" s="7">
        <f>IF($E939="","",Y939-AC939)</f>
        <v/>
      </c>
      <c r="AE939" s="7">
        <f>IF($E939="","",AD939-Q939)</f>
        <v/>
      </c>
      <c r="AI939" s="7" t="n"/>
      <c r="AL939" s="11" t="n"/>
      <c r="AN939">
        <f>IF($E939="","",IF(COUNTIF($E$2:$E939,$E939)=1,1,0))</f>
        <v/>
      </c>
      <c r="AO939">
        <f>IF($AN939=1,SUMPRODUCT(--($AR$2:$AR$4001&lt;$AR939))+1,"")</f>
        <v/>
      </c>
      <c r="AP939">
        <f>IF($E939="","",IF(OR($U939=TRUE(),$U939="TRUE"),1,0))</f>
        <v/>
      </c>
      <c r="AQ939">
        <f>IF($E939="","",IF($AA939="Yes",1,0))</f>
        <v/>
      </c>
      <c r="AR939">
        <f>IF($AN939=1,IFERROR(VALUE(MID($E939,2,20)),1000000000)+ROW()/100000,"")</f>
        <v/>
      </c>
    </row>
    <row r="940">
      <c r="G940" s="11" t="n"/>
      <c r="Q940" s="7">
        <f>IF($E940="","",P940*Y940/100)</f>
        <v/>
      </c>
      <c r="R940" s="7" t="n"/>
      <c r="X940" s="7" t="n"/>
      <c r="Y940" s="7" t="n"/>
      <c r="AB940">
        <f>IF($E940="","",IF($AQ940=1,0,IF($AP940=1,Settings!$C$6,Settings!$C$7))*100)</f>
        <v/>
      </c>
      <c r="AC940" s="7">
        <f>IF($E940="","",Y940*AB940/100)</f>
        <v/>
      </c>
      <c r="AD940" s="7">
        <f>IF($E940="","",Y940-AC940)</f>
        <v/>
      </c>
      <c r="AE940" s="7">
        <f>IF($E940="","",AD940-Q940)</f>
        <v/>
      </c>
      <c r="AI940" s="7" t="n"/>
      <c r="AL940" s="11" t="n"/>
      <c r="AN940">
        <f>IF($E940="","",IF(COUNTIF($E$2:$E940,$E940)=1,1,0))</f>
        <v/>
      </c>
      <c r="AO940">
        <f>IF($AN940=1,SUMPRODUCT(--($AR$2:$AR$4001&lt;$AR940))+1,"")</f>
        <v/>
      </c>
      <c r="AP940">
        <f>IF($E940="","",IF(OR($U940=TRUE(),$U940="TRUE"),1,0))</f>
        <v/>
      </c>
      <c r="AQ940">
        <f>IF($E940="","",IF($AA940="Yes",1,0))</f>
        <v/>
      </c>
      <c r="AR940">
        <f>IF($AN940=1,IFERROR(VALUE(MID($E940,2,20)),1000000000)+ROW()/100000,"")</f>
        <v/>
      </c>
    </row>
    <row r="941">
      <c r="G941" s="11" t="n"/>
      <c r="Q941" s="7">
        <f>IF($E941="","",P941*Y941/100)</f>
        <v/>
      </c>
      <c r="R941" s="7" t="n"/>
      <c r="X941" s="7" t="n"/>
      <c r="Y941" s="7" t="n"/>
      <c r="AB941">
        <f>IF($E941="","",IF($AQ941=1,0,IF($AP941=1,Settings!$C$6,Settings!$C$7))*100)</f>
        <v/>
      </c>
      <c r="AC941" s="7">
        <f>IF($E941="","",Y941*AB941/100)</f>
        <v/>
      </c>
      <c r="AD941" s="7">
        <f>IF($E941="","",Y941-AC941)</f>
        <v/>
      </c>
      <c r="AE941" s="7">
        <f>IF($E941="","",AD941-Q941)</f>
        <v/>
      </c>
      <c r="AI941" s="7" t="n"/>
      <c r="AL941" s="11" t="n"/>
      <c r="AN941">
        <f>IF($E941="","",IF(COUNTIF($E$2:$E941,$E941)=1,1,0))</f>
        <v/>
      </c>
      <c r="AO941">
        <f>IF($AN941=1,SUMPRODUCT(--($AR$2:$AR$4001&lt;$AR941))+1,"")</f>
        <v/>
      </c>
      <c r="AP941">
        <f>IF($E941="","",IF(OR($U941=TRUE(),$U941="TRUE"),1,0))</f>
        <v/>
      </c>
      <c r="AQ941">
        <f>IF($E941="","",IF($AA941="Yes",1,0))</f>
        <v/>
      </c>
      <c r="AR941">
        <f>IF($AN941=1,IFERROR(VALUE(MID($E941,2,20)),1000000000)+ROW()/100000,"")</f>
        <v/>
      </c>
    </row>
    <row r="942">
      <c r="G942" s="11" t="n"/>
      <c r="Q942" s="7">
        <f>IF($E942="","",P942*Y942/100)</f>
        <v/>
      </c>
      <c r="R942" s="7" t="n"/>
      <c r="X942" s="7" t="n"/>
      <c r="Y942" s="7" t="n"/>
      <c r="AB942">
        <f>IF($E942="","",IF($AQ942=1,0,IF($AP942=1,Settings!$C$6,Settings!$C$7))*100)</f>
        <v/>
      </c>
      <c r="AC942" s="7">
        <f>IF($E942="","",Y942*AB942/100)</f>
        <v/>
      </c>
      <c r="AD942" s="7">
        <f>IF($E942="","",Y942-AC942)</f>
        <v/>
      </c>
      <c r="AE942" s="7">
        <f>IF($E942="","",AD942-Q942)</f>
        <v/>
      </c>
      <c r="AI942" s="7" t="n"/>
      <c r="AL942" s="11" t="n"/>
      <c r="AN942">
        <f>IF($E942="","",IF(COUNTIF($E$2:$E942,$E942)=1,1,0))</f>
        <v/>
      </c>
      <c r="AO942">
        <f>IF($AN942=1,SUMPRODUCT(--($AR$2:$AR$4001&lt;$AR942))+1,"")</f>
        <v/>
      </c>
      <c r="AP942">
        <f>IF($E942="","",IF(OR($U942=TRUE(),$U942="TRUE"),1,0))</f>
        <v/>
      </c>
      <c r="AQ942">
        <f>IF($E942="","",IF($AA942="Yes",1,0))</f>
        <v/>
      </c>
      <c r="AR942">
        <f>IF($AN942=1,IFERROR(VALUE(MID($E942,2,20)),1000000000)+ROW()/100000,"")</f>
        <v/>
      </c>
    </row>
    <row r="943">
      <c r="G943" s="11" t="n"/>
      <c r="Q943" s="7">
        <f>IF($E943="","",P943*Y943/100)</f>
        <v/>
      </c>
      <c r="R943" s="7" t="n"/>
      <c r="X943" s="7" t="n"/>
      <c r="Y943" s="7" t="n"/>
      <c r="AB943">
        <f>IF($E943="","",IF($AQ943=1,0,IF($AP943=1,Settings!$C$6,Settings!$C$7))*100)</f>
        <v/>
      </c>
      <c r="AC943" s="7">
        <f>IF($E943="","",Y943*AB943/100)</f>
        <v/>
      </c>
      <c r="AD943" s="7">
        <f>IF($E943="","",Y943-AC943)</f>
        <v/>
      </c>
      <c r="AE943" s="7">
        <f>IF($E943="","",AD943-Q943)</f>
        <v/>
      </c>
      <c r="AI943" s="7" t="n"/>
      <c r="AL943" s="11" t="n"/>
      <c r="AN943">
        <f>IF($E943="","",IF(COUNTIF($E$2:$E943,$E943)=1,1,0))</f>
        <v/>
      </c>
      <c r="AO943">
        <f>IF($AN943=1,SUMPRODUCT(--($AR$2:$AR$4001&lt;$AR943))+1,"")</f>
        <v/>
      </c>
      <c r="AP943">
        <f>IF($E943="","",IF(OR($U943=TRUE(),$U943="TRUE"),1,0))</f>
        <v/>
      </c>
      <c r="AQ943">
        <f>IF($E943="","",IF($AA943="Yes",1,0))</f>
        <v/>
      </c>
      <c r="AR943">
        <f>IF($AN943=1,IFERROR(VALUE(MID($E943,2,20)),1000000000)+ROW()/100000,"")</f>
        <v/>
      </c>
    </row>
    <row r="944">
      <c r="G944" s="11" t="n"/>
      <c r="Q944" s="7">
        <f>IF($E944="","",P944*Y944/100)</f>
        <v/>
      </c>
      <c r="R944" s="7" t="n"/>
      <c r="X944" s="7" t="n"/>
      <c r="Y944" s="7" t="n"/>
      <c r="AB944">
        <f>IF($E944="","",IF($AQ944=1,0,IF($AP944=1,Settings!$C$6,Settings!$C$7))*100)</f>
        <v/>
      </c>
      <c r="AC944" s="7">
        <f>IF($E944="","",Y944*AB944/100)</f>
        <v/>
      </c>
      <c r="AD944" s="7">
        <f>IF($E944="","",Y944-AC944)</f>
        <v/>
      </c>
      <c r="AE944" s="7">
        <f>IF($E944="","",AD944-Q944)</f>
        <v/>
      </c>
      <c r="AI944" s="7" t="n"/>
      <c r="AL944" s="11" t="n"/>
      <c r="AN944">
        <f>IF($E944="","",IF(COUNTIF($E$2:$E944,$E944)=1,1,0))</f>
        <v/>
      </c>
      <c r="AO944">
        <f>IF($AN944=1,SUMPRODUCT(--($AR$2:$AR$4001&lt;$AR944))+1,"")</f>
        <v/>
      </c>
      <c r="AP944">
        <f>IF($E944="","",IF(OR($U944=TRUE(),$U944="TRUE"),1,0))</f>
        <v/>
      </c>
      <c r="AQ944">
        <f>IF($E944="","",IF($AA944="Yes",1,0))</f>
        <v/>
      </c>
      <c r="AR944">
        <f>IF($AN944=1,IFERROR(VALUE(MID($E944,2,20)),1000000000)+ROW()/100000,"")</f>
        <v/>
      </c>
    </row>
    <row r="945">
      <c r="G945" s="11" t="n"/>
      <c r="Q945" s="7">
        <f>IF($E945="","",P945*Y945/100)</f>
        <v/>
      </c>
      <c r="R945" s="7" t="n"/>
      <c r="X945" s="7" t="n"/>
      <c r="Y945" s="7" t="n"/>
      <c r="AB945">
        <f>IF($E945="","",IF($AQ945=1,0,IF($AP945=1,Settings!$C$6,Settings!$C$7))*100)</f>
        <v/>
      </c>
      <c r="AC945" s="7">
        <f>IF($E945="","",Y945*AB945/100)</f>
        <v/>
      </c>
      <c r="AD945" s="7">
        <f>IF($E945="","",Y945-AC945)</f>
        <v/>
      </c>
      <c r="AE945" s="7">
        <f>IF($E945="","",AD945-Q945)</f>
        <v/>
      </c>
      <c r="AI945" s="7" t="n"/>
      <c r="AL945" s="11" t="n"/>
      <c r="AN945">
        <f>IF($E945="","",IF(COUNTIF($E$2:$E945,$E945)=1,1,0))</f>
        <v/>
      </c>
      <c r="AO945">
        <f>IF($AN945=1,SUMPRODUCT(--($AR$2:$AR$4001&lt;$AR945))+1,"")</f>
        <v/>
      </c>
      <c r="AP945">
        <f>IF($E945="","",IF(OR($U945=TRUE(),$U945="TRUE"),1,0))</f>
        <v/>
      </c>
      <c r="AQ945">
        <f>IF($E945="","",IF($AA945="Yes",1,0))</f>
        <v/>
      </c>
      <c r="AR945">
        <f>IF($AN945=1,IFERROR(VALUE(MID($E945,2,20)),1000000000)+ROW()/100000,"")</f>
        <v/>
      </c>
    </row>
    <row r="946">
      <c r="G946" s="11" t="n"/>
      <c r="Q946" s="7">
        <f>IF($E946="","",P946*Y946/100)</f>
        <v/>
      </c>
      <c r="R946" s="7" t="n"/>
      <c r="X946" s="7" t="n"/>
      <c r="Y946" s="7" t="n"/>
      <c r="AB946">
        <f>IF($E946="","",IF($AQ946=1,0,IF($AP946=1,Settings!$C$6,Settings!$C$7))*100)</f>
        <v/>
      </c>
      <c r="AC946" s="7">
        <f>IF($E946="","",Y946*AB946/100)</f>
        <v/>
      </c>
      <c r="AD946" s="7">
        <f>IF($E946="","",Y946-AC946)</f>
        <v/>
      </c>
      <c r="AE946" s="7">
        <f>IF($E946="","",AD946-Q946)</f>
        <v/>
      </c>
      <c r="AI946" s="7" t="n"/>
      <c r="AL946" s="11" t="n"/>
      <c r="AN946">
        <f>IF($E946="","",IF(COUNTIF($E$2:$E946,$E946)=1,1,0))</f>
        <v/>
      </c>
      <c r="AO946">
        <f>IF($AN946=1,SUMPRODUCT(--($AR$2:$AR$4001&lt;$AR946))+1,"")</f>
        <v/>
      </c>
      <c r="AP946">
        <f>IF($E946="","",IF(OR($U946=TRUE(),$U946="TRUE"),1,0))</f>
        <v/>
      </c>
      <c r="AQ946">
        <f>IF($E946="","",IF($AA946="Yes",1,0))</f>
        <v/>
      </c>
      <c r="AR946">
        <f>IF($AN946=1,IFERROR(VALUE(MID($E946,2,20)),1000000000)+ROW()/100000,"")</f>
        <v/>
      </c>
    </row>
    <row r="947">
      <c r="G947" s="11" t="n"/>
      <c r="Q947" s="7">
        <f>IF($E947="","",P947*Y947/100)</f>
        <v/>
      </c>
      <c r="R947" s="7" t="n"/>
      <c r="X947" s="7" t="n"/>
      <c r="Y947" s="7" t="n"/>
      <c r="AB947">
        <f>IF($E947="","",IF($AQ947=1,0,IF($AP947=1,Settings!$C$6,Settings!$C$7))*100)</f>
        <v/>
      </c>
      <c r="AC947" s="7">
        <f>IF($E947="","",Y947*AB947/100)</f>
        <v/>
      </c>
      <c r="AD947" s="7">
        <f>IF($E947="","",Y947-AC947)</f>
        <v/>
      </c>
      <c r="AE947" s="7">
        <f>IF($E947="","",AD947-Q947)</f>
        <v/>
      </c>
      <c r="AI947" s="7" t="n"/>
      <c r="AL947" s="11" t="n"/>
      <c r="AN947">
        <f>IF($E947="","",IF(COUNTIF($E$2:$E947,$E947)=1,1,0))</f>
        <v/>
      </c>
      <c r="AO947">
        <f>IF($AN947=1,SUMPRODUCT(--($AR$2:$AR$4001&lt;$AR947))+1,"")</f>
        <v/>
      </c>
      <c r="AP947">
        <f>IF($E947="","",IF(OR($U947=TRUE(),$U947="TRUE"),1,0))</f>
        <v/>
      </c>
      <c r="AQ947">
        <f>IF($E947="","",IF($AA947="Yes",1,0))</f>
        <v/>
      </c>
      <c r="AR947">
        <f>IF($AN947=1,IFERROR(VALUE(MID($E947,2,20)),1000000000)+ROW()/100000,"")</f>
        <v/>
      </c>
    </row>
    <row r="948">
      <c r="G948" s="11" t="n"/>
      <c r="Q948" s="7">
        <f>IF($E948="","",P948*Y948/100)</f>
        <v/>
      </c>
      <c r="R948" s="7" t="n"/>
      <c r="X948" s="7" t="n"/>
      <c r="Y948" s="7" t="n"/>
      <c r="AB948">
        <f>IF($E948="","",IF($AQ948=1,0,IF($AP948=1,Settings!$C$6,Settings!$C$7))*100)</f>
        <v/>
      </c>
      <c r="AC948" s="7">
        <f>IF($E948="","",Y948*AB948/100)</f>
        <v/>
      </c>
      <c r="AD948" s="7">
        <f>IF($E948="","",Y948-AC948)</f>
        <v/>
      </c>
      <c r="AE948" s="7">
        <f>IF($E948="","",AD948-Q948)</f>
        <v/>
      </c>
      <c r="AI948" s="7" t="n"/>
      <c r="AL948" s="11" t="n"/>
      <c r="AN948">
        <f>IF($E948="","",IF(COUNTIF($E$2:$E948,$E948)=1,1,0))</f>
        <v/>
      </c>
      <c r="AO948">
        <f>IF($AN948=1,SUMPRODUCT(--($AR$2:$AR$4001&lt;$AR948))+1,"")</f>
        <v/>
      </c>
      <c r="AP948">
        <f>IF($E948="","",IF(OR($U948=TRUE(),$U948="TRUE"),1,0))</f>
        <v/>
      </c>
      <c r="AQ948">
        <f>IF($E948="","",IF($AA948="Yes",1,0))</f>
        <v/>
      </c>
      <c r="AR948">
        <f>IF($AN948=1,IFERROR(VALUE(MID($E948,2,20)),1000000000)+ROW()/100000,"")</f>
        <v/>
      </c>
    </row>
    <row r="949">
      <c r="G949" s="11" t="n"/>
      <c r="Q949" s="7">
        <f>IF($E949="","",P949*Y949/100)</f>
        <v/>
      </c>
      <c r="R949" s="7" t="n"/>
      <c r="X949" s="7" t="n"/>
      <c r="Y949" s="7" t="n"/>
      <c r="AB949">
        <f>IF($E949="","",IF($AQ949=1,0,IF($AP949=1,Settings!$C$6,Settings!$C$7))*100)</f>
        <v/>
      </c>
      <c r="AC949" s="7">
        <f>IF($E949="","",Y949*AB949/100)</f>
        <v/>
      </c>
      <c r="AD949" s="7">
        <f>IF($E949="","",Y949-AC949)</f>
        <v/>
      </c>
      <c r="AE949" s="7">
        <f>IF($E949="","",AD949-Q949)</f>
        <v/>
      </c>
      <c r="AI949" s="7" t="n"/>
      <c r="AL949" s="11" t="n"/>
      <c r="AN949">
        <f>IF($E949="","",IF(COUNTIF($E$2:$E949,$E949)=1,1,0))</f>
        <v/>
      </c>
      <c r="AO949">
        <f>IF($AN949=1,SUMPRODUCT(--($AR$2:$AR$4001&lt;$AR949))+1,"")</f>
        <v/>
      </c>
      <c r="AP949">
        <f>IF($E949="","",IF(OR($U949=TRUE(),$U949="TRUE"),1,0))</f>
        <v/>
      </c>
      <c r="AQ949">
        <f>IF($E949="","",IF($AA949="Yes",1,0))</f>
        <v/>
      </c>
      <c r="AR949">
        <f>IF($AN949=1,IFERROR(VALUE(MID($E949,2,20)),1000000000)+ROW()/100000,"")</f>
        <v/>
      </c>
    </row>
    <row r="950">
      <c r="G950" s="11" t="n"/>
      <c r="Q950" s="7">
        <f>IF($E950="","",P950*Y950/100)</f>
        <v/>
      </c>
      <c r="R950" s="7" t="n"/>
      <c r="X950" s="7" t="n"/>
      <c r="Y950" s="7" t="n"/>
      <c r="AB950">
        <f>IF($E950="","",IF($AQ950=1,0,IF($AP950=1,Settings!$C$6,Settings!$C$7))*100)</f>
        <v/>
      </c>
      <c r="AC950" s="7">
        <f>IF($E950="","",Y950*AB950/100)</f>
        <v/>
      </c>
      <c r="AD950" s="7">
        <f>IF($E950="","",Y950-AC950)</f>
        <v/>
      </c>
      <c r="AE950" s="7">
        <f>IF($E950="","",AD950-Q950)</f>
        <v/>
      </c>
      <c r="AI950" s="7" t="n"/>
      <c r="AL950" s="11" t="n"/>
      <c r="AN950">
        <f>IF($E950="","",IF(COUNTIF($E$2:$E950,$E950)=1,1,0))</f>
        <v/>
      </c>
      <c r="AO950">
        <f>IF($AN950=1,SUMPRODUCT(--($AR$2:$AR$4001&lt;$AR950))+1,"")</f>
        <v/>
      </c>
      <c r="AP950">
        <f>IF($E950="","",IF(OR($U950=TRUE(),$U950="TRUE"),1,0))</f>
        <v/>
      </c>
      <c r="AQ950">
        <f>IF($E950="","",IF($AA950="Yes",1,0))</f>
        <v/>
      </c>
      <c r="AR950">
        <f>IF($AN950=1,IFERROR(VALUE(MID($E950,2,20)),1000000000)+ROW()/100000,"")</f>
        <v/>
      </c>
    </row>
    <row r="951">
      <c r="G951" s="11" t="n"/>
      <c r="Q951" s="7">
        <f>IF($E951="","",P951*Y951/100)</f>
        <v/>
      </c>
      <c r="R951" s="7" t="n"/>
      <c r="X951" s="7" t="n"/>
      <c r="Y951" s="7" t="n"/>
      <c r="AB951">
        <f>IF($E951="","",IF($AQ951=1,0,IF($AP951=1,Settings!$C$6,Settings!$C$7))*100)</f>
        <v/>
      </c>
      <c r="AC951" s="7">
        <f>IF($E951="","",Y951*AB951/100)</f>
        <v/>
      </c>
      <c r="AD951" s="7">
        <f>IF($E951="","",Y951-AC951)</f>
        <v/>
      </c>
      <c r="AE951" s="7">
        <f>IF($E951="","",AD951-Q951)</f>
        <v/>
      </c>
      <c r="AI951" s="7" t="n"/>
      <c r="AL951" s="11" t="n"/>
      <c r="AN951">
        <f>IF($E951="","",IF(COUNTIF($E$2:$E951,$E951)=1,1,0))</f>
        <v/>
      </c>
      <c r="AO951">
        <f>IF($AN951=1,SUMPRODUCT(--($AR$2:$AR$4001&lt;$AR951))+1,"")</f>
        <v/>
      </c>
      <c r="AP951">
        <f>IF($E951="","",IF(OR($U951=TRUE(),$U951="TRUE"),1,0))</f>
        <v/>
      </c>
      <c r="AQ951">
        <f>IF($E951="","",IF($AA951="Yes",1,0))</f>
        <v/>
      </c>
      <c r="AR951">
        <f>IF($AN951=1,IFERROR(VALUE(MID($E951,2,20)),1000000000)+ROW()/100000,"")</f>
        <v/>
      </c>
    </row>
    <row r="952">
      <c r="G952" s="11" t="n"/>
      <c r="Q952" s="7">
        <f>IF($E952="","",P952*Y952/100)</f>
        <v/>
      </c>
      <c r="R952" s="7" t="n"/>
      <c r="X952" s="7" t="n"/>
      <c r="Y952" s="7" t="n"/>
      <c r="AB952">
        <f>IF($E952="","",IF($AQ952=1,0,IF($AP952=1,Settings!$C$6,Settings!$C$7))*100)</f>
        <v/>
      </c>
      <c r="AC952" s="7">
        <f>IF($E952="","",Y952*AB952/100)</f>
        <v/>
      </c>
      <c r="AD952" s="7">
        <f>IF($E952="","",Y952-AC952)</f>
        <v/>
      </c>
      <c r="AE952" s="7">
        <f>IF($E952="","",AD952-Q952)</f>
        <v/>
      </c>
      <c r="AI952" s="7" t="n"/>
      <c r="AL952" s="11" t="n"/>
      <c r="AN952">
        <f>IF($E952="","",IF(COUNTIF($E$2:$E952,$E952)=1,1,0))</f>
        <v/>
      </c>
      <c r="AO952">
        <f>IF($AN952=1,SUMPRODUCT(--($AR$2:$AR$4001&lt;$AR952))+1,"")</f>
        <v/>
      </c>
      <c r="AP952">
        <f>IF($E952="","",IF(OR($U952=TRUE(),$U952="TRUE"),1,0))</f>
        <v/>
      </c>
      <c r="AQ952">
        <f>IF($E952="","",IF($AA952="Yes",1,0))</f>
        <v/>
      </c>
      <c r="AR952">
        <f>IF($AN952=1,IFERROR(VALUE(MID($E952,2,20)),1000000000)+ROW()/100000,"")</f>
        <v/>
      </c>
    </row>
    <row r="953">
      <c r="G953" s="11" t="n"/>
      <c r="Q953" s="7">
        <f>IF($E953="","",P953*Y953/100)</f>
        <v/>
      </c>
      <c r="R953" s="7" t="n"/>
      <c r="X953" s="7" t="n"/>
      <c r="Y953" s="7" t="n"/>
      <c r="AB953">
        <f>IF($E953="","",IF($AQ953=1,0,IF($AP953=1,Settings!$C$6,Settings!$C$7))*100)</f>
        <v/>
      </c>
      <c r="AC953" s="7">
        <f>IF($E953="","",Y953*AB953/100)</f>
        <v/>
      </c>
      <c r="AD953" s="7">
        <f>IF($E953="","",Y953-AC953)</f>
        <v/>
      </c>
      <c r="AE953" s="7">
        <f>IF($E953="","",AD953-Q953)</f>
        <v/>
      </c>
      <c r="AI953" s="7" t="n"/>
      <c r="AL953" s="11" t="n"/>
      <c r="AN953">
        <f>IF($E953="","",IF(COUNTIF($E$2:$E953,$E953)=1,1,0))</f>
        <v/>
      </c>
      <c r="AO953">
        <f>IF($AN953=1,SUMPRODUCT(--($AR$2:$AR$4001&lt;$AR953))+1,"")</f>
        <v/>
      </c>
      <c r="AP953">
        <f>IF($E953="","",IF(OR($U953=TRUE(),$U953="TRUE"),1,0))</f>
        <v/>
      </c>
      <c r="AQ953">
        <f>IF($E953="","",IF($AA953="Yes",1,0))</f>
        <v/>
      </c>
      <c r="AR953">
        <f>IF($AN953=1,IFERROR(VALUE(MID($E953,2,20)),1000000000)+ROW()/100000,"")</f>
        <v/>
      </c>
    </row>
    <row r="954">
      <c r="G954" s="11" t="n"/>
      <c r="Q954" s="7">
        <f>IF($E954="","",P954*Y954/100)</f>
        <v/>
      </c>
      <c r="R954" s="7" t="n"/>
      <c r="X954" s="7" t="n"/>
      <c r="Y954" s="7" t="n"/>
      <c r="AB954">
        <f>IF($E954="","",IF($AQ954=1,0,IF($AP954=1,Settings!$C$6,Settings!$C$7))*100)</f>
        <v/>
      </c>
      <c r="AC954" s="7">
        <f>IF($E954="","",Y954*AB954/100)</f>
        <v/>
      </c>
      <c r="AD954" s="7">
        <f>IF($E954="","",Y954-AC954)</f>
        <v/>
      </c>
      <c r="AE954" s="7">
        <f>IF($E954="","",AD954-Q954)</f>
        <v/>
      </c>
      <c r="AI954" s="7" t="n"/>
      <c r="AL954" s="11" t="n"/>
      <c r="AN954">
        <f>IF($E954="","",IF(COUNTIF($E$2:$E954,$E954)=1,1,0))</f>
        <v/>
      </c>
      <c r="AO954">
        <f>IF($AN954=1,SUMPRODUCT(--($AR$2:$AR$4001&lt;$AR954))+1,"")</f>
        <v/>
      </c>
      <c r="AP954">
        <f>IF($E954="","",IF(OR($U954=TRUE(),$U954="TRUE"),1,0))</f>
        <v/>
      </c>
      <c r="AQ954">
        <f>IF($E954="","",IF($AA954="Yes",1,0))</f>
        <v/>
      </c>
      <c r="AR954">
        <f>IF($AN954=1,IFERROR(VALUE(MID($E954,2,20)),1000000000)+ROW()/100000,"")</f>
        <v/>
      </c>
    </row>
    <row r="955">
      <c r="G955" s="11" t="n"/>
      <c r="Q955" s="7">
        <f>IF($E955="","",P955*Y955/100)</f>
        <v/>
      </c>
      <c r="R955" s="7" t="n"/>
      <c r="X955" s="7" t="n"/>
      <c r="Y955" s="7" t="n"/>
      <c r="AB955">
        <f>IF($E955="","",IF($AQ955=1,0,IF($AP955=1,Settings!$C$6,Settings!$C$7))*100)</f>
        <v/>
      </c>
      <c r="AC955" s="7">
        <f>IF($E955="","",Y955*AB955/100)</f>
        <v/>
      </c>
      <c r="AD955" s="7">
        <f>IF($E955="","",Y955-AC955)</f>
        <v/>
      </c>
      <c r="AE955" s="7">
        <f>IF($E955="","",AD955-Q955)</f>
        <v/>
      </c>
      <c r="AI955" s="7" t="n"/>
      <c r="AL955" s="11" t="n"/>
      <c r="AN955">
        <f>IF($E955="","",IF(COUNTIF($E$2:$E955,$E955)=1,1,0))</f>
        <v/>
      </c>
      <c r="AO955">
        <f>IF($AN955=1,SUMPRODUCT(--($AR$2:$AR$4001&lt;$AR955))+1,"")</f>
        <v/>
      </c>
      <c r="AP955">
        <f>IF($E955="","",IF(OR($U955=TRUE(),$U955="TRUE"),1,0))</f>
        <v/>
      </c>
      <c r="AQ955">
        <f>IF($E955="","",IF($AA955="Yes",1,0))</f>
        <v/>
      </c>
      <c r="AR955">
        <f>IF($AN955=1,IFERROR(VALUE(MID($E955,2,20)),1000000000)+ROW()/100000,"")</f>
        <v/>
      </c>
    </row>
    <row r="956">
      <c r="G956" s="11" t="n"/>
      <c r="Q956" s="7">
        <f>IF($E956="","",P956*Y956/100)</f>
        <v/>
      </c>
      <c r="R956" s="7" t="n"/>
      <c r="X956" s="7" t="n"/>
      <c r="Y956" s="7" t="n"/>
      <c r="AB956">
        <f>IF($E956="","",IF($AQ956=1,0,IF($AP956=1,Settings!$C$6,Settings!$C$7))*100)</f>
        <v/>
      </c>
      <c r="AC956" s="7">
        <f>IF($E956="","",Y956*AB956/100)</f>
        <v/>
      </c>
      <c r="AD956" s="7">
        <f>IF($E956="","",Y956-AC956)</f>
        <v/>
      </c>
      <c r="AE956" s="7">
        <f>IF($E956="","",AD956-Q956)</f>
        <v/>
      </c>
      <c r="AI956" s="7" t="n"/>
      <c r="AL956" s="11" t="n"/>
      <c r="AN956">
        <f>IF($E956="","",IF(COUNTIF($E$2:$E956,$E956)=1,1,0))</f>
        <v/>
      </c>
      <c r="AO956">
        <f>IF($AN956=1,SUMPRODUCT(--($AR$2:$AR$4001&lt;$AR956))+1,"")</f>
        <v/>
      </c>
      <c r="AP956">
        <f>IF($E956="","",IF(OR($U956=TRUE(),$U956="TRUE"),1,0))</f>
        <v/>
      </c>
      <c r="AQ956">
        <f>IF($E956="","",IF($AA956="Yes",1,0))</f>
        <v/>
      </c>
      <c r="AR956">
        <f>IF($AN956=1,IFERROR(VALUE(MID($E956,2,20)),1000000000)+ROW()/100000,"")</f>
        <v/>
      </c>
    </row>
    <row r="957">
      <c r="G957" s="11" t="n"/>
      <c r="Q957" s="7">
        <f>IF($E957="","",P957*Y957/100)</f>
        <v/>
      </c>
      <c r="R957" s="7" t="n"/>
      <c r="X957" s="7" t="n"/>
      <c r="Y957" s="7" t="n"/>
      <c r="AB957">
        <f>IF($E957="","",IF($AQ957=1,0,IF($AP957=1,Settings!$C$6,Settings!$C$7))*100)</f>
        <v/>
      </c>
      <c r="AC957" s="7">
        <f>IF($E957="","",Y957*AB957/100)</f>
        <v/>
      </c>
      <c r="AD957" s="7">
        <f>IF($E957="","",Y957-AC957)</f>
        <v/>
      </c>
      <c r="AE957" s="7">
        <f>IF($E957="","",AD957-Q957)</f>
        <v/>
      </c>
      <c r="AI957" s="7" t="n"/>
      <c r="AL957" s="11" t="n"/>
      <c r="AN957">
        <f>IF($E957="","",IF(COUNTIF($E$2:$E957,$E957)=1,1,0))</f>
        <v/>
      </c>
      <c r="AO957">
        <f>IF($AN957=1,SUMPRODUCT(--($AR$2:$AR$4001&lt;$AR957))+1,"")</f>
        <v/>
      </c>
      <c r="AP957">
        <f>IF($E957="","",IF(OR($U957=TRUE(),$U957="TRUE"),1,0))</f>
        <v/>
      </c>
      <c r="AQ957">
        <f>IF($E957="","",IF($AA957="Yes",1,0))</f>
        <v/>
      </c>
      <c r="AR957">
        <f>IF($AN957=1,IFERROR(VALUE(MID($E957,2,20)),1000000000)+ROW()/100000,"")</f>
        <v/>
      </c>
    </row>
    <row r="958">
      <c r="G958" s="11" t="n"/>
      <c r="Q958" s="7">
        <f>IF($E958="","",P958*Y958/100)</f>
        <v/>
      </c>
      <c r="R958" s="7" t="n"/>
      <c r="X958" s="7" t="n"/>
      <c r="Y958" s="7" t="n"/>
      <c r="AB958">
        <f>IF($E958="","",IF($AQ958=1,0,IF($AP958=1,Settings!$C$6,Settings!$C$7))*100)</f>
        <v/>
      </c>
      <c r="AC958" s="7">
        <f>IF($E958="","",Y958*AB958/100)</f>
        <v/>
      </c>
      <c r="AD958" s="7">
        <f>IF($E958="","",Y958-AC958)</f>
        <v/>
      </c>
      <c r="AE958" s="7">
        <f>IF($E958="","",AD958-Q958)</f>
        <v/>
      </c>
      <c r="AI958" s="7" t="n"/>
      <c r="AL958" s="11" t="n"/>
      <c r="AN958">
        <f>IF($E958="","",IF(COUNTIF($E$2:$E958,$E958)=1,1,0))</f>
        <v/>
      </c>
      <c r="AO958">
        <f>IF($AN958=1,SUMPRODUCT(--($AR$2:$AR$4001&lt;$AR958))+1,"")</f>
        <v/>
      </c>
      <c r="AP958">
        <f>IF($E958="","",IF(OR($U958=TRUE(),$U958="TRUE"),1,0))</f>
        <v/>
      </c>
      <c r="AQ958">
        <f>IF($E958="","",IF($AA958="Yes",1,0))</f>
        <v/>
      </c>
      <c r="AR958">
        <f>IF($AN958=1,IFERROR(VALUE(MID($E958,2,20)),1000000000)+ROW()/100000,"")</f>
        <v/>
      </c>
    </row>
    <row r="959">
      <c r="G959" s="11" t="n"/>
      <c r="Q959" s="7">
        <f>IF($E959="","",P959*Y959/100)</f>
        <v/>
      </c>
      <c r="R959" s="7" t="n"/>
      <c r="X959" s="7" t="n"/>
      <c r="Y959" s="7" t="n"/>
      <c r="AB959">
        <f>IF($E959="","",IF($AQ959=1,0,IF($AP959=1,Settings!$C$6,Settings!$C$7))*100)</f>
        <v/>
      </c>
      <c r="AC959" s="7">
        <f>IF($E959="","",Y959*AB959/100)</f>
        <v/>
      </c>
      <c r="AD959" s="7">
        <f>IF($E959="","",Y959-AC959)</f>
        <v/>
      </c>
      <c r="AE959" s="7">
        <f>IF($E959="","",AD959-Q959)</f>
        <v/>
      </c>
      <c r="AI959" s="7" t="n"/>
      <c r="AL959" s="11" t="n"/>
      <c r="AN959">
        <f>IF($E959="","",IF(COUNTIF($E$2:$E959,$E959)=1,1,0))</f>
        <v/>
      </c>
      <c r="AO959">
        <f>IF($AN959=1,SUMPRODUCT(--($AR$2:$AR$4001&lt;$AR959))+1,"")</f>
        <v/>
      </c>
      <c r="AP959">
        <f>IF($E959="","",IF(OR($U959=TRUE(),$U959="TRUE"),1,0))</f>
        <v/>
      </c>
      <c r="AQ959">
        <f>IF($E959="","",IF($AA959="Yes",1,0))</f>
        <v/>
      </c>
      <c r="AR959">
        <f>IF($AN959=1,IFERROR(VALUE(MID($E959,2,20)),1000000000)+ROW()/100000,"")</f>
        <v/>
      </c>
    </row>
    <row r="960">
      <c r="G960" s="11" t="n"/>
      <c r="Q960" s="7">
        <f>IF($E960="","",P960*Y960/100)</f>
        <v/>
      </c>
      <c r="R960" s="7" t="n"/>
      <c r="X960" s="7" t="n"/>
      <c r="Y960" s="7" t="n"/>
      <c r="AB960">
        <f>IF($E960="","",IF($AQ960=1,0,IF($AP960=1,Settings!$C$6,Settings!$C$7))*100)</f>
        <v/>
      </c>
      <c r="AC960" s="7">
        <f>IF($E960="","",Y960*AB960/100)</f>
        <v/>
      </c>
      <c r="AD960" s="7">
        <f>IF($E960="","",Y960-AC960)</f>
        <v/>
      </c>
      <c r="AE960" s="7">
        <f>IF($E960="","",AD960-Q960)</f>
        <v/>
      </c>
      <c r="AI960" s="7" t="n"/>
      <c r="AL960" s="11" t="n"/>
      <c r="AN960">
        <f>IF($E960="","",IF(COUNTIF($E$2:$E960,$E960)=1,1,0))</f>
        <v/>
      </c>
      <c r="AO960">
        <f>IF($AN960=1,SUMPRODUCT(--($AR$2:$AR$4001&lt;$AR960))+1,"")</f>
        <v/>
      </c>
      <c r="AP960">
        <f>IF($E960="","",IF(OR($U960=TRUE(),$U960="TRUE"),1,0))</f>
        <v/>
      </c>
      <c r="AQ960">
        <f>IF($E960="","",IF($AA960="Yes",1,0))</f>
        <v/>
      </c>
      <c r="AR960">
        <f>IF($AN960=1,IFERROR(VALUE(MID($E960,2,20)),1000000000)+ROW()/100000,"")</f>
        <v/>
      </c>
    </row>
    <row r="961">
      <c r="G961" s="11" t="n"/>
      <c r="Q961" s="7">
        <f>IF($E961="","",P961*Y961/100)</f>
        <v/>
      </c>
      <c r="R961" s="7" t="n"/>
      <c r="X961" s="7" t="n"/>
      <c r="Y961" s="7" t="n"/>
      <c r="AB961">
        <f>IF($E961="","",IF($AQ961=1,0,IF($AP961=1,Settings!$C$6,Settings!$C$7))*100)</f>
        <v/>
      </c>
      <c r="AC961" s="7">
        <f>IF($E961="","",Y961*AB961/100)</f>
        <v/>
      </c>
      <c r="AD961" s="7">
        <f>IF($E961="","",Y961-AC961)</f>
        <v/>
      </c>
      <c r="AE961" s="7">
        <f>IF($E961="","",AD961-Q961)</f>
        <v/>
      </c>
      <c r="AI961" s="7" t="n"/>
      <c r="AL961" s="11" t="n"/>
      <c r="AN961">
        <f>IF($E961="","",IF(COUNTIF($E$2:$E961,$E961)=1,1,0))</f>
        <v/>
      </c>
      <c r="AO961">
        <f>IF($AN961=1,SUMPRODUCT(--($AR$2:$AR$4001&lt;$AR961))+1,"")</f>
        <v/>
      </c>
      <c r="AP961">
        <f>IF($E961="","",IF(OR($U961=TRUE(),$U961="TRUE"),1,0))</f>
        <v/>
      </c>
      <c r="AQ961">
        <f>IF($E961="","",IF($AA961="Yes",1,0))</f>
        <v/>
      </c>
      <c r="AR961">
        <f>IF($AN961=1,IFERROR(VALUE(MID($E961,2,20)),1000000000)+ROW()/100000,"")</f>
        <v/>
      </c>
    </row>
    <row r="962">
      <c r="G962" s="11" t="n"/>
      <c r="Q962" s="7">
        <f>IF($E962="","",P962*Y962/100)</f>
        <v/>
      </c>
      <c r="R962" s="7" t="n"/>
      <c r="X962" s="7" t="n"/>
      <c r="Y962" s="7" t="n"/>
      <c r="AB962">
        <f>IF($E962="","",IF($AQ962=1,0,IF($AP962=1,Settings!$C$6,Settings!$C$7))*100)</f>
        <v/>
      </c>
      <c r="AC962" s="7">
        <f>IF($E962="","",Y962*AB962/100)</f>
        <v/>
      </c>
      <c r="AD962" s="7">
        <f>IF($E962="","",Y962-AC962)</f>
        <v/>
      </c>
      <c r="AE962" s="7">
        <f>IF($E962="","",AD962-Q962)</f>
        <v/>
      </c>
      <c r="AI962" s="7" t="n"/>
      <c r="AL962" s="11" t="n"/>
      <c r="AN962">
        <f>IF($E962="","",IF(COUNTIF($E$2:$E962,$E962)=1,1,0))</f>
        <v/>
      </c>
      <c r="AO962">
        <f>IF($AN962=1,SUMPRODUCT(--($AR$2:$AR$4001&lt;$AR962))+1,"")</f>
        <v/>
      </c>
      <c r="AP962">
        <f>IF($E962="","",IF(OR($U962=TRUE(),$U962="TRUE"),1,0))</f>
        <v/>
      </c>
      <c r="AQ962">
        <f>IF($E962="","",IF($AA962="Yes",1,0))</f>
        <v/>
      </c>
      <c r="AR962">
        <f>IF($AN962=1,IFERROR(VALUE(MID($E962,2,20)),1000000000)+ROW()/100000,"")</f>
        <v/>
      </c>
    </row>
    <row r="963">
      <c r="G963" s="11" t="n"/>
      <c r="Q963" s="7">
        <f>IF($E963="","",P963*Y963/100)</f>
        <v/>
      </c>
      <c r="R963" s="7" t="n"/>
      <c r="X963" s="7" t="n"/>
      <c r="Y963" s="7" t="n"/>
      <c r="AB963">
        <f>IF($E963="","",IF($AQ963=1,0,IF($AP963=1,Settings!$C$6,Settings!$C$7))*100)</f>
        <v/>
      </c>
      <c r="AC963" s="7">
        <f>IF($E963="","",Y963*AB963/100)</f>
        <v/>
      </c>
      <c r="AD963" s="7">
        <f>IF($E963="","",Y963-AC963)</f>
        <v/>
      </c>
      <c r="AE963" s="7">
        <f>IF($E963="","",AD963-Q963)</f>
        <v/>
      </c>
      <c r="AI963" s="7" t="n"/>
      <c r="AL963" s="11" t="n"/>
      <c r="AN963">
        <f>IF($E963="","",IF(COUNTIF($E$2:$E963,$E963)=1,1,0))</f>
        <v/>
      </c>
      <c r="AO963">
        <f>IF($AN963=1,SUMPRODUCT(--($AR$2:$AR$4001&lt;$AR963))+1,"")</f>
        <v/>
      </c>
      <c r="AP963">
        <f>IF($E963="","",IF(OR($U963=TRUE(),$U963="TRUE"),1,0))</f>
        <v/>
      </c>
      <c r="AQ963">
        <f>IF($E963="","",IF($AA963="Yes",1,0))</f>
        <v/>
      </c>
      <c r="AR963">
        <f>IF($AN963=1,IFERROR(VALUE(MID($E963,2,20)),1000000000)+ROW()/100000,"")</f>
        <v/>
      </c>
    </row>
    <row r="964">
      <c r="G964" s="11" t="n"/>
      <c r="Q964" s="7">
        <f>IF($E964="","",P964*Y964/100)</f>
        <v/>
      </c>
      <c r="R964" s="7" t="n"/>
      <c r="X964" s="7" t="n"/>
      <c r="Y964" s="7" t="n"/>
      <c r="AB964">
        <f>IF($E964="","",IF($AQ964=1,0,IF($AP964=1,Settings!$C$6,Settings!$C$7))*100)</f>
        <v/>
      </c>
      <c r="AC964" s="7">
        <f>IF($E964="","",Y964*AB964/100)</f>
        <v/>
      </c>
      <c r="AD964" s="7">
        <f>IF($E964="","",Y964-AC964)</f>
        <v/>
      </c>
      <c r="AE964" s="7">
        <f>IF($E964="","",AD964-Q964)</f>
        <v/>
      </c>
      <c r="AI964" s="7" t="n"/>
      <c r="AL964" s="11" t="n"/>
      <c r="AN964">
        <f>IF($E964="","",IF(COUNTIF($E$2:$E964,$E964)=1,1,0))</f>
        <v/>
      </c>
      <c r="AO964">
        <f>IF($AN964=1,SUMPRODUCT(--($AR$2:$AR$4001&lt;$AR964))+1,"")</f>
        <v/>
      </c>
      <c r="AP964">
        <f>IF($E964="","",IF(OR($U964=TRUE(),$U964="TRUE"),1,0))</f>
        <v/>
      </c>
      <c r="AQ964">
        <f>IF($E964="","",IF($AA964="Yes",1,0))</f>
        <v/>
      </c>
      <c r="AR964">
        <f>IF($AN964=1,IFERROR(VALUE(MID($E964,2,20)),1000000000)+ROW()/100000,"")</f>
        <v/>
      </c>
    </row>
    <row r="965">
      <c r="G965" s="11" t="n"/>
      <c r="Q965" s="7">
        <f>IF($E965="","",P965*Y965/100)</f>
        <v/>
      </c>
      <c r="R965" s="7" t="n"/>
      <c r="X965" s="7" t="n"/>
      <c r="Y965" s="7" t="n"/>
      <c r="AB965">
        <f>IF($E965="","",IF($AQ965=1,0,IF($AP965=1,Settings!$C$6,Settings!$C$7))*100)</f>
        <v/>
      </c>
      <c r="AC965" s="7">
        <f>IF($E965="","",Y965*AB965/100)</f>
        <v/>
      </c>
      <c r="AD965" s="7">
        <f>IF($E965="","",Y965-AC965)</f>
        <v/>
      </c>
      <c r="AE965" s="7">
        <f>IF($E965="","",AD965-Q965)</f>
        <v/>
      </c>
      <c r="AI965" s="7" t="n"/>
      <c r="AL965" s="11" t="n"/>
      <c r="AN965">
        <f>IF($E965="","",IF(COUNTIF($E$2:$E965,$E965)=1,1,0))</f>
        <v/>
      </c>
      <c r="AO965">
        <f>IF($AN965=1,SUMPRODUCT(--($AR$2:$AR$4001&lt;$AR965))+1,"")</f>
        <v/>
      </c>
      <c r="AP965">
        <f>IF($E965="","",IF(OR($U965=TRUE(),$U965="TRUE"),1,0))</f>
        <v/>
      </c>
      <c r="AQ965">
        <f>IF($E965="","",IF($AA965="Yes",1,0))</f>
        <v/>
      </c>
      <c r="AR965">
        <f>IF($AN965=1,IFERROR(VALUE(MID($E965,2,20)),1000000000)+ROW()/100000,"")</f>
        <v/>
      </c>
    </row>
    <row r="966">
      <c r="G966" s="11" t="n"/>
      <c r="Q966" s="7">
        <f>IF($E966="","",P966*Y966/100)</f>
        <v/>
      </c>
      <c r="R966" s="7" t="n"/>
      <c r="X966" s="7" t="n"/>
      <c r="Y966" s="7" t="n"/>
      <c r="AB966">
        <f>IF($E966="","",IF($AQ966=1,0,IF($AP966=1,Settings!$C$6,Settings!$C$7))*100)</f>
        <v/>
      </c>
      <c r="AC966" s="7">
        <f>IF($E966="","",Y966*AB966/100)</f>
        <v/>
      </c>
      <c r="AD966" s="7">
        <f>IF($E966="","",Y966-AC966)</f>
        <v/>
      </c>
      <c r="AE966" s="7">
        <f>IF($E966="","",AD966-Q966)</f>
        <v/>
      </c>
      <c r="AI966" s="7" t="n"/>
      <c r="AL966" s="11" t="n"/>
      <c r="AN966">
        <f>IF($E966="","",IF(COUNTIF($E$2:$E966,$E966)=1,1,0))</f>
        <v/>
      </c>
      <c r="AO966">
        <f>IF($AN966=1,SUMPRODUCT(--($AR$2:$AR$4001&lt;$AR966))+1,"")</f>
        <v/>
      </c>
      <c r="AP966">
        <f>IF($E966="","",IF(OR($U966=TRUE(),$U966="TRUE"),1,0))</f>
        <v/>
      </c>
      <c r="AQ966">
        <f>IF($E966="","",IF($AA966="Yes",1,0))</f>
        <v/>
      </c>
      <c r="AR966">
        <f>IF($AN966=1,IFERROR(VALUE(MID($E966,2,20)),1000000000)+ROW()/100000,"")</f>
        <v/>
      </c>
    </row>
    <row r="967">
      <c r="G967" s="11" t="n"/>
      <c r="Q967" s="7">
        <f>IF($E967="","",P967*Y967/100)</f>
        <v/>
      </c>
      <c r="R967" s="7" t="n"/>
      <c r="X967" s="7" t="n"/>
      <c r="Y967" s="7" t="n"/>
      <c r="AB967">
        <f>IF($E967="","",IF($AQ967=1,0,IF($AP967=1,Settings!$C$6,Settings!$C$7))*100)</f>
        <v/>
      </c>
      <c r="AC967" s="7">
        <f>IF($E967="","",Y967*AB967/100)</f>
        <v/>
      </c>
      <c r="AD967" s="7">
        <f>IF($E967="","",Y967-AC967)</f>
        <v/>
      </c>
      <c r="AE967" s="7">
        <f>IF($E967="","",AD967-Q967)</f>
        <v/>
      </c>
      <c r="AI967" s="7" t="n"/>
      <c r="AL967" s="11" t="n"/>
      <c r="AN967">
        <f>IF($E967="","",IF(COUNTIF($E$2:$E967,$E967)=1,1,0))</f>
        <v/>
      </c>
      <c r="AO967">
        <f>IF($AN967=1,SUMPRODUCT(--($AR$2:$AR$4001&lt;$AR967))+1,"")</f>
        <v/>
      </c>
      <c r="AP967">
        <f>IF($E967="","",IF(OR($U967=TRUE(),$U967="TRUE"),1,0))</f>
        <v/>
      </c>
      <c r="AQ967">
        <f>IF($E967="","",IF($AA967="Yes",1,0))</f>
        <v/>
      </c>
      <c r="AR967">
        <f>IF($AN967=1,IFERROR(VALUE(MID($E967,2,20)),1000000000)+ROW()/100000,"")</f>
        <v/>
      </c>
    </row>
    <row r="968">
      <c r="G968" s="11" t="n"/>
      <c r="Q968" s="7">
        <f>IF($E968="","",P968*Y968/100)</f>
        <v/>
      </c>
      <c r="R968" s="7" t="n"/>
      <c r="X968" s="7" t="n"/>
      <c r="Y968" s="7" t="n"/>
      <c r="AB968">
        <f>IF($E968="","",IF($AQ968=1,0,IF($AP968=1,Settings!$C$6,Settings!$C$7))*100)</f>
        <v/>
      </c>
      <c r="AC968" s="7">
        <f>IF($E968="","",Y968*AB968/100)</f>
        <v/>
      </c>
      <c r="AD968" s="7">
        <f>IF($E968="","",Y968-AC968)</f>
        <v/>
      </c>
      <c r="AE968" s="7">
        <f>IF($E968="","",AD968-Q968)</f>
        <v/>
      </c>
      <c r="AI968" s="7" t="n"/>
      <c r="AL968" s="11" t="n"/>
      <c r="AN968">
        <f>IF($E968="","",IF(COUNTIF($E$2:$E968,$E968)=1,1,0))</f>
        <v/>
      </c>
      <c r="AO968">
        <f>IF($AN968=1,SUMPRODUCT(--($AR$2:$AR$4001&lt;$AR968))+1,"")</f>
        <v/>
      </c>
      <c r="AP968">
        <f>IF($E968="","",IF(OR($U968=TRUE(),$U968="TRUE"),1,0))</f>
        <v/>
      </c>
      <c r="AQ968">
        <f>IF($E968="","",IF($AA968="Yes",1,0))</f>
        <v/>
      </c>
      <c r="AR968">
        <f>IF($AN968=1,IFERROR(VALUE(MID($E968,2,20)),1000000000)+ROW()/100000,"")</f>
        <v/>
      </c>
    </row>
    <row r="969">
      <c r="G969" s="11" t="n"/>
      <c r="Q969" s="7">
        <f>IF($E969="","",P969*Y969/100)</f>
        <v/>
      </c>
      <c r="R969" s="7" t="n"/>
      <c r="X969" s="7" t="n"/>
      <c r="Y969" s="7" t="n"/>
      <c r="AB969">
        <f>IF($E969="","",IF($AQ969=1,0,IF($AP969=1,Settings!$C$6,Settings!$C$7))*100)</f>
        <v/>
      </c>
      <c r="AC969" s="7">
        <f>IF($E969="","",Y969*AB969/100)</f>
        <v/>
      </c>
      <c r="AD969" s="7">
        <f>IF($E969="","",Y969-AC969)</f>
        <v/>
      </c>
      <c r="AE969" s="7">
        <f>IF($E969="","",AD969-Q969)</f>
        <v/>
      </c>
      <c r="AI969" s="7" t="n"/>
      <c r="AL969" s="11" t="n"/>
      <c r="AN969">
        <f>IF($E969="","",IF(COUNTIF($E$2:$E969,$E969)=1,1,0))</f>
        <v/>
      </c>
      <c r="AO969">
        <f>IF($AN969=1,SUMPRODUCT(--($AR$2:$AR$4001&lt;$AR969))+1,"")</f>
        <v/>
      </c>
      <c r="AP969">
        <f>IF($E969="","",IF(OR($U969=TRUE(),$U969="TRUE"),1,0))</f>
        <v/>
      </c>
      <c r="AQ969">
        <f>IF($E969="","",IF($AA969="Yes",1,0))</f>
        <v/>
      </c>
      <c r="AR969">
        <f>IF($AN969=1,IFERROR(VALUE(MID($E969,2,20)),1000000000)+ROW()/100000,"")</f>
        <v/>
      </c>
    </row>
    <row r="970">
      <c r="G970" s="11" t="n"/>
      <c r="Q970" s="7">
        <f>IF($E970="","",P970*Y970/100)</f>
        <v/>
      </c>
      <c r="R970" s="7" t="n"/>
      <c r="X970" s="7" t="n"/>
      <c r="Y970" s="7" t="n"/>
      <c r="AB970">
        <f>IF($E970="","",IF($AQ970=1,0,IF($AP970=1,Settings!$C$6,Settings!$C$7))*100)</f>
        <v/>
      </c>
      <c r="AC970" s="7">
        <f>IF($E970="","",Y970*AB970/100)</f>
        <v/>
      </c>
      <c r="AD970" s="7">
        <f>IF($E970="","",Y970-AC970)</f>
        <v/>
      </c>
      <c r="AE970" s="7">
        <f>IF($E970="","",AD970-Q970)</f>
        <v/>
      </c>
      <c r="AI970" s="7" t="n"/>
      <c r="AL970" s="11" t="n"/>
      <c r="AN970">
        <f>IF($E970="","",IF(COUNTIF($E$2:$E970,$E970)=1,1,0))</f>
        <v/>
      </c>
      <c r="AO970">
        <f>IF($AN970=1,SUMPRODUCT(--($AR$2:$AR$4001&lt;$AR970))+1,"")</f>
        <v/>
      </c>
      <c r="AP970">
        <f>IF($E970="","",IF(OR($U970=TRUE(),$U970="TRUE"),1,0))</f>
        <v/>
      </c>
      <c r="AQ970">
        <f>IF($E970="","",IF($AA970="Yes",1,0))</f>
        <v/>
      </c>
      <c r="AR970">
        <f>IF($AN970=1,IFERROR(VALUE(MID($E970,2,20)),1000000000)+ROW()/100000,"")</f>
        <v/>
      </c>
    </row>
    <row r="971">
      <c r="G971" s="11" t="n"/>
      <c r="Q971" s="7">
        <f>IF($E971="","",P971*Y971/100)</f>
        <v/>
      </c>
      <c r="R971" s="7" t="n"/>
      <c r="X971" s="7" t="n"/>
      <c r="Y971" s="7" t="n"/>
      <c r="AB971">
        <f>IF($E971="","",IF($AQ971=1,0,IF($AP971=1,Settings!$C$6,Settings!$C$7))*100)</f>
        <v/>
      </c>
      <c r="AC971" s="7">
        <f>IF($E971="","",Y971*AB971/100)</f>
        <v/>
      </c>
      <c r="AD971" s="7">
        <f>IF($E971="","",Y971-AC971)</f>
        <v/>
      </c>
      <c r="AE971" s="7">
        <f>IF($E971="","",AD971-Q971)</f>
        <v/>
      </c>
      <c r="AI971" s="7" t="n"/>
      <c r="AL971" s="11" t="n"/>
      <c r="AN971">
        <f>IF($E971="","",IF(COUNTIF($E$2:$E971,$E971)=1,1,0))</f>
        <v/>
      </c>
      <c r="AO971">
        <f>IF($AN971=1,SUMPRODUCT(--($AR$2:$AR$4001&lt;$AR971))+1,"")</f>
        <v/>
      </c>
      <c r="AP971">
        <f>IF($E971="","",IF(OR($U971=TRUE(),$U971="TRUE"),1,0))</f>
        <v/>
      </c>
      <c r="AQ971">
        <f>IF($E971="","",IF($AA971="Yes",1,0))</f>
        <v/>
      </c>
      <c r="AR971">
        <f>IF($AN971=1,IFERROR(VALUE(MID($E971,2,20)),1000000000)+ROW()/100000,"")</f>
        <v/>
      </c>
    </row>
    <row r="972">
      <c r="G972" s="11" t="n"/>
      <c r="Q972" s="7">
        <f>IF($E972="","",P972*Y972/100)</f>
        <v/>
      </c>
      <c r="R972" s="7" t="n"/>
      <c r="X972" s="7" t="n"/>
      <c r="Y972" s="7" t="n"/>
      <c r="AB972">
        <f>IF($E972="","",IF($AQ972=1,0,IF($AP972=1,Settings!$C$6,Settings!$C$7))*100)</f>
        <v/>
      </c>
      <c r="AC972" s="7">
        <f>IF($E972="","",Y972*AB972/100)</f>
        <v/>
      </c>
      <c r="AD972" s="7">
        <f>IF($E972="","",Y972-AC972)</f>
        <v/>
      </c>
      <c r="AE972" s="7">
        <f>IF($E972="","",AD972-Q972)</f>
        <v/>
      </c>
      <c r="AI972" s="7" t="n"/>
      <c r="AL972" s="11" t="n"/>
      <c r="AN972">
        <f>IF($E972="","",IF(COUNTIF($E$2:$E972,$E972)=1,1,0))</f>
        <v/>
      </c>
      <c r="AO972">
        <f>IF($AN972=1,SUMPRODUCT(--($AR$2:$AR$4001&lt;$AR972))+1,"")</f>
        <v/>
      </c>
      <c r="AP972">
        <f>IF($E972="","",IF(OR($U972=TRUE(),$U972="TRUE"),1,0))</f>
        <v/>
      </c>
      <c r="AQ972">
        <f>IF($E972="","",IF($AA972="Yes",1,0))</f>
        <v/>
      </c>
      <c r="AR972">
        <f>IF($AN972=1,IFERROR(VALUE(MID($E972,2,20)),1000000000)+ROW()/100000,"")</f>
        <v/>
      </c>
    </row>
    <row r="973">
      <c r="G973" s="11" t="n"/>
      <c r="Q973" s="7">
        <f>IF($E973="","",P973*Y973/100)</f>
        <v/>
      </c>
      <c r="R973" s="7" t="n"/>
      <c r="X973" s="7" t="n"/>
      <c r="Y973" s="7" t="n"/>
      <c r="AB973">
        <f>IF($E973="","",IF($AQ973=1,0,IF($AP973=1,Settings!$C$6,Settings!$C$7))*100)</f>
        <v/>
      </c>
      <c r="AC973" s="7">
        <f>IF($E973="","",Y973*AB973/100)</f>
        <v/>
      </c>
      <c r="AD973" s="7">
        <f>IF($E973="","",Y973-AC973)</f>
        <v/>
      </c>
      <c r="AE973" s="7">
        <f>IF($E973="","",AD973-Q973)</f>
        <v/>
      </c>
      <c r="AI973" s="7" t="n"/>
      <c r="AL973" s="11" t="n"/>
      <c r="AN973">
        <f>IF($E973="","",IF(COUNTIF($E$2:$E973,$E973)=1,1,0))</f>
        <v/>
      </c>
      <c r="AO973">
        <f>IF($AN973=1,SUMPRODUCT(--($AR$2:$AR$4001&lt;$AR973))+1,"")</f>
        <v/>
      </c>
      <c r="AP973">
        <f>IF($E973="","",IF(OR($U973=TRUE(),$U973="TRUE"),1,0))</f>
        <v/>
      </c>
      <c r="AQ973">
        <f>IF($E973="","",IF($AA973="Yes",1,0))</f>
        <v/>
      </c>
      <c r="AR973">
        <f>IF($AN973=1,IFERROR(VALUE(MID($E973,2,20)),1000000000)+ROW()/100000,"")</f>
        <v/>
      </c>
    </row>
    <row r="974">
      <c r="G974" s="11" t="n"/>
      <c r="Q974" s="7">
        <f>IF($E974="","",P974*Y974/100)</f>
        <v/>
      </c>
      <c r="R974" s="7" t="n"/>
      <c r="X974" s="7" t="n"/>
      <c r="Y974" s="7" t="n"/>
      <c r="AB974">
        <f>IF($E974="","",IF($AQ974=1,0,IF($AP974=1,Settings!$C$6,Settings!$C$7))*100)</f>
        <v/>
      </c>
      <c r="AC974" s="7">
        <f>IF($E974="","",Y974*AB974/100)</f>
        <v/>
      </c>
      <c r="AD974" s="7">
        <f>IF($E974="","",Y974-AC974)</f>
        <v/>
      </c>
      <c r="AE974" s="7">
        <f>IF($E974="","",AD974-Q974)</f>
        <v/>
      </c>
      <c r="AI974" s="7" t="n"/>
      <c r="AL974" s="11" t="n"/>
      <c r="AN974">
        <f>IF($E974="","",IF(COUNTIF($E$2:$E974,$E974)=1,1,0))</f>
        <v/>
      </c>
      <c r="AO974">
        <f>IF($AN974=1,SUMPRODUCT(--($AR$2:$AR$4001&lt;$AR974))+1,"")</f>
        <v/>
      </c>
      <c r="AP974">
        <f>IF($E974="","",IF(OR($U974=TRUE(),$U974="TRUE"),1,0))</f>
        <v/>
      </c>
      <c r="AQ974">
        <f>IF($E974="","",IF($AA974="Yes",1,0))</f>
        <v/>
      </c>
      <c r="AR974">
        <f>IF($AN974=1,IFERROR(VALUE(MID($E974,2,20)),1000000000)+ROW()/100000,"")</f>
        <v/>
      </c>
    </row>
    <row r="975">
      <c r="G975" s="11" t="n"/>
      <c r="Q975" s="7">
        <f>IF($E975="","",P975*Y975/100)</f>
        <v/>
      </c>
      <c r="R975" s="7" t="n"/>
      <c r="X975" s="7" t="n"/>
      <c r="Y975" s="7" t="n"/>
      <c r="AB975">
        <f>IF($E975="","",IF($AQ975=1,0,IF($AP975=1,Settings!$C$6,Settings!$C$7))*100)</f>
        <v/>
      </c>
      <c r="AC975" s="7">
        <f>IF($E975="","",Y975*AB975/100)</f>
        <v/>
      </c>
      <c r="AD975" s="7">
        <f>IF($E975="","",Y975-AC975)</f>
        <v/>
      </c>
      <c r="AE975" s="7">
        <f>IF($E975="","",AD975-Q975)</f>
        <v/>
      </c>
      <c r="AI975" s="7" t="n"/>
      <c r="AL975" s="11" t="n"/>
      <c r="AN975">
        <f>IF($E975="","",IF(COUNTIF($E$2:$E975,$E975)=1,1,0))</f>
        <v/>
      </c>
      <c r="AO975">
        <f>IF($AN975=1,SUMPRODUCT(--($AR$2:$AR$4001&lt;$AR975))+1,"")</f>
        <v/>
      </c>
      <c r="AP975">
        <f>IF($E975="","",IF(OR($U975=TRUE(),$U975="TRUE"),1,0))</f>
        <v/>
      </c>
      <c r="AQ975">
        <f>IF($E975="","",IF($AA975="Yes",1,0))</f>
        <v/>
      </c>
      <c r="AR975">
        <f>IF($AN975=1,IFERROR(VALUE(MID($E975,2,20)),1000000000)+ROW()/100000,"")</f>
        <v/>
      </c>
    </row>
    <row r="976">
      <c r="G976" s="11" t="n"/>
      <c r="Q976" s="7">
        <f>IF($E976="","",P976*Y976/100)</f>
        <v/>
      </c>
      <c r="R976" s="7" t="n"/>
      <c r="X976" s="7" t="n"/>
      <c r="Y976" s="7" t="n"/>
      <c r="AB976">
        <f>IF($E976="","",IF($AQ976=1,0,IF($AP976=1,Settings!$C$6,Settings!$C$7))*100)</f>
        <v/>
      </c>
      <c r="AC976" s="7">
        <f>IF($E976="","",Y976*AB976/100)</f>
        <v/>
      </c>
      <c r="AD976" s="7">
        <f>IF($E976="","",Y976-AC976)</f>
        <v/>
      </c>
      <c r="AE976" s="7">
        <f>IF($E976="","",AD976-Q976)</f>
        <v/>
      </c>
      <c r="AI976" s="7" t="n"/>
      <c r="AL976" s="11" t="n"/>
      <c r="AN976">
        <f>IF($E976="","",IF(COUNTIF($E$2:$E976,$E976)=1,1,0))</f>
        <v/>
      </c>
      <c r="AO976">
        <f>IF($AN976=1,SUMPRODUCT(--($AR$2:$AR$4001&lt;$AR976))+1,"")</f>
        <v/>
      </c>
      <c r="AP976">
        <f>IF($E976="","",IF(OR($U976=TRUE(),$U976="TRUE"),1,0))</f>
        <v/>
      </c>
      <c r="AQ976">
        <f>IF($E976="","",IF($AA976="Yes",1,0))</f>
        <v/>
      </c>
      <c r="AR976">
        <f>IF($AN976=1,IFERROR(VALUE(MID($E976,2,20)),1000000000)+ROW()/100000,"")</f>
        <v/>
      </c>
    </row>
    <row r="977">
      <c r="G977" s="11" t="n"/>
      <c r="Q977" s="7">
        <f>IF($E977="","",P977*Y977/100)</f>
        <v/>
      </c>
      <c r="R977" s="7" t="n"/>
      <c r="X977" s="7" t="n"/>
      <c r="Y977" s="7" t="n"/>
      <c r="AB977">
        <f>IF($E977="","",IF($AQ977=1,0,IF($AP977=1,Settings!$C$6,Settings!$C$7))*100)</f>
        <v/>
      </c>
      <c r="AC977" s="7">
        <f>IF($E977="","",Y977*AB977/100)</f>
        <v/>
      </c>
      <c r="AD977" s="7">
        <f>IF($E977="","",Y977-AC977)</f>
        <v/>
      </c>
      <c r="AE977" s="7">
        <f>IF($E977="","",AD977-Q977)</f>
        <v/>
      </c>
      <c r="AI977" s="7" t="n"/>
      <c r="AL977" s="11" t="n"/>
      <c r="AN977">
        <f>IF($E977="","",IF(COUNTIF($E$2:$E977,$E977)=1,1,0))</f>
        <v/>
      </c>
      <c r="AO977">
        <f>IF($AN977=1,SUMPRODUCT(--($AR$2:$AR$4001&lt;$AR977))+1,"")</f>
        <v/>
      </c>
      <c r="AP977">
        <f>IF($E977="","",IF(OR($U977=TRUE(),$U977="TRUE"),1,0))</f>
        <v/>
      </c>
      <c r="AQ977">
        <f>IF($E977="","",IF($AA977="Yes",1,0))</f>
        <v/>
      </c>
      <c r="AR977">
        <f>IF($AN977=1,IFERROR(VALUE(MID($E977,2,20)),1000000000)+ROW()/100000,"")</f>
        <v/>
      </c>
    </row>
    <row r="978">
      <c r="G978" s="11" t="n"/>
      <c r="Q978" s="7">
        <f>IF($E978="","",P978*Y978/100)</f>
        <v/>
      </c>
      <c r="R978" s="7" t="n"/>
      <c r="X978" s="7" t="n"/>
      <c r="Y978" s="7" t="n"/>
      <c r="AB978">
        <f>IF($E978="","",IF($AQ978=1,0,IF($AP978=1,Settings!$C$6,Settings!$C$7))*100)</f>
        <v/>
      </c>
      <c r="AC978" s="7">
        <f>IF($E978="","",Y978*AB978/100)</f>
        <v/>
      </c>
      <c r="AD978" s="7">
        <f>IF($E978="","",Y978-AC978)</f>
        <v/>
      </c>
      <c r="AE978" s="7">
        <f>IF($E978="","",AD978-Q978)</f>
        <v/>
      </c>
      <c r="AI978" s="7" t="n"/>
      <c r="AL978" s="11" t="n"/>
      <c r="AN978">
        <f>IF($E978="","",IF(COUNTIF($E$2:$E978,$E978)=1,1,0))</f>
        <v/>
      </c>
      <c r="AO978">
        <f>IF($AN978=1,SUMPRODUCT(--($AR$2:$AR$4001&lt;$AR978))+1,"")</f>
        <v/>
      </c>
      <c r="AP978">
        <f>IF($E978="","",IF(OR($U978=TRUE(),$U978="TRUE"),1,0))</f>
        <v/>
      </c>
      <c r="AQ978">
        <f>IF($E978="","",IF($AA978="Yes",1,0))</f>
        <v/>
      </c>
      <c r="AR978">
        <f>IF($AN978=1,IFERROR(VALUE(MID($E978,2,20)),1000000000)+ROW()/100000,"")</f>
        <v/>
      </c>
    </row>
    <row r="979">
      <c r="G979" s="11" t="n"/>
      <c r="Q979" s="7">
        <f>IF($E979="","",P979*Y979/100)</f>
        <v/>
      </c>
      <c r="R979" s="7" t="n"/>
      <c r="X979" s="7" t="n"/>
      <c r="Y979" s="7" t="n"/>
      <c r="AB979">
        <f>IF($E979="","",IF($AQ979=1,0,IF($AP979=1,Settings!$C$6,Settings!$C$7))*100)</f>
        <v/>
      </c>
      <c r="AC979" s="7">
        <f>IF($E979="","",Y979*AB979/100)</f>
        <v/>
      </c>
      <c r="AD979" s="7">
        <f>IF($E979="","",Y979-AC979)</f>
        <v/>
      </c>
      <c r="AE979" s="7">
        <f>IF($E979="","",AD979-Q979)</f>
        <v/>
      </c>
      <c r="AI979" s="7" t="n"/>
      <c r="AL979" s="11" t="n"/>
      <c r="AN979">
        <f>IF($E979="","",IF(COUNTIF($E$2:$E979,$E979)=1,1,0))</f>
        <v/>
      </c>
      <c r="AO979">
        <f>IF($AN979=1,SUMPRODUCT(--($AR$2:$AR$4001&lt;$AR979))+1,"")</f>
        <v/>
      </c>
      <c r="AP979">
        <f>IF($E979="","",IF(OR($U979=TRUE(),$U979="TRUE"),1,0))</f>
        <v/>
      </c>
      <c r="AQ979">
        <f>IF($E979="","",IF($AA979="Yes",1,0))</f>
        <v/>
      </c>
      <c r="AR979">
        <f>IF($AN979=1,IFERROR(VALUE(MID($E979,2,20)),1000000000)+ROW()/100000,"")</f>
        <v/>
      </c>
    </row>
    <row r="980">
      <c r="G980" s="11" t="n"/>
      <c r="Q980" s="7">
        <f>IF($E980="","",P980*Y980/100)</f>
        <v/>
      </c>
      <c r="R980" s="7" t="n"/>
      <c r="X980" s="7" t="n"/>
      <c r="Y980" s="7" t="n"/>
      <c r="AB980">
        <f>IF($E980="","",IF($AQ980=1,0,IF($AP980=1,Settings!$C$6,Settings!$C$7))*100)</f>
        <v/>
      </c>
      <c r="AC980" s="7">
        <f>IF($E980="","",Y980*AB980/100)</f>
        <v/>
      </c>
      <c r="AD980" s="7">
        <f>IF($E980="","",Y980-AC980)</f>
        <v/>
      </c>
      <c r="AE980" s="7">
        <f>IF($E980="","",AD980-Q980)</f>
        <v/>
      </c>
      <c r="AI980" s="7" t="n"/>
      <c r="AL980" s="11" t="n"/>
      <c r="AN980">
        <f>IF($E980="","",IF(COUNTIF($E$2:$E980,$E980)=1,1,0))</f>
        <v/>
      </c>
      <c r="AO980">
        <f>IF($AN980=1,SUMPRODUCT(--($AR$2:$AR$4001&lt;$AR980))+1,"")</f>
        <v/>
      </c>
      <c r="AP980">
        <f>IF($E980="","",IF(OR($U980=TRUE(),$U980="TRUE"),1,0))</f>
        <v/>
      </c>
      <c r="AQ980">
        <f>IF($E980="","",IF($AA980="Yes",1,0))</f>
        <v/>
      </c>
      <c r="AR980">
        <f>IF($AN980=1,IFERROR(VALUE(MID($E980,2,20)),1000000000)+ROW()/100000,"")</f>
        <v/>
      </c>
    </row>
    <row r="981">
      <c r="G981" s="11" t="n"/>
      <c r="Q981" s="7">
        <f>IF($E981="","",P981*Y981/100)</f>
        <v/>
      </c>
      <c r="R981" s="7" t="n"/>
      <c r="X981" s="7" t="n"/>
      <c r="Y981" s="7" t="n"/>
      <c r="AB981">
        <f>IF($E981="","",IF($AQ981=1,0,IF($AP981=1,Settings!$C$6,Settings!$C$7))*100)</f>
        <v/>
      </c>
      <c r="AC981" s="7">
        <f>IF($E981="","",Y981*AB981/100)</f>
        <v/>
      </c>
      <c r="AD981" s="7">
        <f>IF($E981="","",Y981-AC981)</f>
        <v/>
      </c>
      <c r="AE981" s="7">
        <f>IF($E981="","",AD981-Q981)</f>
        <v/>
      </c>
      <c r="AI981" s="7" t="n"/>
      <c r="AL981" s="11" t="n"/>
      <c r="AN981">
        <f>IF($E981="","",IF(COUNTIF($E$2:$E981,$E981)=1,1,0))</f>
        <v/>
      </c>
      <c r="AO981">
        <f>IF($AN981=1,SUMPRODUCT(--($AR$2:$AR$4001&lt;$AR981))+1,"")</f>
        <v/>
      </c>
      <c r="AP981">
        <f>IF($E981="","",IF(OR($U981=TRUE(),$U981="TRUE"),1,0))</f>
        <v/>
      </c>
      <c r="AQ981">
        <f>IF($E981="","",IF($AA981="Yes",1,0))</f>
        <v/>
      </c>
      <c r="AR981">
        <f>IF($AN981=1,IFERROR(VALUE(MID($E981,2,20)),1000000000)+ROW()/100000,"")</f>
        <v/>
      </c>
    </row>
    <row r="982">
      <c r="G982" s="11" t="n"/>
      <c r="Q982" s="7">
        <f>IF($E982="","",P982*Y982/100)</f>
        <v/>
      </c>
      <c r="R982" s="7" t="n"/>
      <c r="X982" s="7" t="n"/>
      <c r="Y982" s="7" t="n"/>
      <c r="AB982">
        <f>IF($E982="","",IF($AQ982=1,0,IF($AP982=1,Settings!$C$6,Settings!$C$7))*100)</f>
        <v/>
      </c>
      <c r="AC982" s="7">
        <f>IF($E982="","",Y982*AB982/100)</f>
        <v/>
      </c>
      <c r="AD982" s="7">
        <f>IF($E982="","",Y982-AC982)</f>
        <v/>
      </c>
      <c r="AE982" s="7">
        <f>IF($E982="","",AD982-Q982)</f>
        <v/>
      </c>
      <c r="AI982" s="7" t="n"/>
      <c r="AL982" s="11" t="n"/>
      <c r="AN982">
        <f>IF($E982="","",IF(COUNTIF($E$2:$E982,$E982)=1,1,0))</f>
        <v/>
      </c>
      <c r="AO982">
        <f>IF($AN982=1,SUMPRODUCT(--($AR$2:$AR$4001&lt;$AR982))+1,"")</f>
        <v/>
      </c>
      <c r="AP982">
        <f>IF($E982="","",IF(OR($U982=TRUE(),$U982="TRUE"),1,0))</f>
        <v/>
      </c>
      <c r="AQ982">
        <f>IF($E982="","",IF($AA982="Yes",1,0))</f>
        <v/>
      </c>
      <c r="AR982">
        <f>IF($AN982=1,IFERROR(VALUE(MID($E982,2,20)),1000000000)+ROW()/100000,"")</f>
        <v/>
      </c>
    </row>
    <row r="983">
      <c r="G983" s="11" t="n"/>
      <c r="Q983" s="7">
        <f>IF($E983="","",P983*Y983/100)</f>
        <v/>
      </c>
      <c r="R983" s="7" t="n"/>
      <c r="X983" s="7" t="n"/>
      <c r="Y983" s="7" t="n"/>
      <c r="AB983">
        <f>IF($E983="","",IF($AQ983=1,0,IF($AP983=1,Settings!$C$6,Settings!$C$7))*100)</f>
        <v/>
      </c>
      <c r="AC983" s="7">
        <f>IF($E983="","",Y983*AB983/100)</f>
        <v/>
      </c>
      <c r="AD983" s="7">
        <f>IF($E983="","",Y983-AC983)</f>
        <v/>
      </c>
      <c r="AE983" s="7">
        <f>IF($E983="","",AD983-Q983)</f>
        <v/>
      </c>
      <c r="AI983" s="7" t="n"/>
      <c r="AL983" s="11" t="n"/>
      <c r="AN983">
        <f>IF($E983="","",IF(COUNTIF($E$2:$E983,$E983)=1,1,0))</f>
        <v/>
      </c>
      <c r="AO983">
        <f>IF($AN983=1,SUMPRODUCT(--($AR$2:$AR$4001&lt;$AR983))+1,"")</f>
        <v/>
      </c>
      <c r="AP983">
        <f>IF($E983="","",IF(OR($U983=TRUE(),$U983="TRUE"),1,0))</f>
        <v/>
      </c>
      <c r="AQ983">
        <f>IF($E983="","",IF($AA983="Yes",1,0))</f>
        <v/>
      </c>
      <c r="AR983">
        <f>IF($AN983=1,IFERROR(VALUE(MID($E983,2,20)),1000000000)+ROW()/100000,"")</f>
        <v/>
      </c>
    </row>
    <row r="984">
      <c r="G984" s="11" t="n"/>
      <c r="Q984" s="7">
        <f>IF($E984="","",P984*Y984/100)</f>
        <v/>
      </c>
      <c r="R984" s="7" t="n"/>
      <c r="X984" s="7" t="n"/>
      <c r="Y984" s="7" t="n"/>
      <c r="AB984">
        <f>IF($E984="","",IF($AQ984=1,0,IF($AP984=1,Settings!$C$6,Settings!$C$7))*100)</f>
        <v/>
      </c>
      <c r="AC984" s="7">
        <f>IF($E984="","",Y984*AB984/100)</f>
        <v/>
      </c>
      <c r="AD984" s="7">
        <f>IF($E984="","",Y984-AC984)</f>
        <v/>
      </c>
      <c r="AE984" s="7">
        <f>IF($E984="","",AD984-Q984)</f>
        <v/>
      </c>
      <c r="AI984" s="7" t="n"/>
      <c r="AL984" s="11" t="n"/>
      <c r="AN984">
        <f>IF($E984="","",IF(COUNTIF($E$2:$E984,$E984)=1,1,0))</f>
        <v/>
      </c>
      <c r="AO984">
        <f>IF($AN984=1,SUMPRODUCT(--($AR$2:$AR$4001&lt;$AR984))+1,"")</f>
        <v/>
      </c>
      <c r="AP984">
        <f>IF($E984="","",IF(OR($U984=TRUE(),$U984="TRUE"),1,0))</f>
        <v/>
      </c>
      <c r="AQ984">
        <f>IF($E984="","",IF($AA984="Yes",1,0))</f>
        <v/>
      </c>
      <c r="AR984">
        <f>IF($AN984=1,IFERROR(VALUE(MID($E984,2,20)),1000000000)+ROW()/100000,"")</f>
        <v/>
      </c>
    </row>
    <row r="985">
      <c r="G985" s="11" t="n"/>
      <c r="Q985" s="7">
        <f>IF($E985="","",P985*Y985/100)</f>
        <v/>
      </c>
      <c r="R985" s="7" t="n"/>
      <c r="X985" s="7" t="n"/>
      <c r="Y985" s="7" t="n"/>
      <c r="AB985">
        <f>IF($E985="","",IF($AQ985=1,0,IF($AP985=1,Settings!$C$6,Settings!$C$7))*100)</f>
        <v/>
      </c>
      <c r="AC985" s="7">
        <f>IF($E985="","",Y985*AB985/100)</f>
        <v/>
      </c>
      <c r="AD985" s="7">
        <f>IF($E985="","",Y985-AC985)</f>
        <v/>
      </c>
      <c r="AE985" s="7">
        <f>IF($E985="","",AD985-Q985)</f>
        <v/>
      </c>
      <c r="AI985" s="7" t="n"/>
      <c r="AL985" s="11" t="n"/>
      <c r="AN985">
        <f>IF($E985="","",IF(COUNTIF($E$2:$E985,$E985)=1,1,0))</f>
        <v/>
      </c>
      <c r="AO985">
        <f>IF($AN985=1,SUMPRODUCT(--($AR$2:$AR$4001&lt;$AR985))+1,"")</f>
        <v/>
      </c>
      <c r="AP985">
        <f>IF($E985="","",IF(OR($U985=TRUE(),$U985="TRUE"),1,0))</f>
        <v/>
      </c>
      <c r="AQ985">
        <f>IF($E985="","",IF($AA985="Yes",1,0))</f>
        <v/>
      </c>
      <c r="AR985">
        <f>IF($AN985=1,IFERROR(VALUE(MID($E985,2,20)),1000000000)+ROW()/100000,"")</f>
        <v/>
      </c>
    </row>
    <row r="986">
      <c r="G986" s="11" t="n"/>
      <c r="Q986" s="7">
        <f>IF($E986="","",P986*Y986/100)</f>
        <v/>
      </c>
      <c r="R986" s="7" t="n"/>
      <c r="X986" s="7" t="n"/>
      <c r="Y986" s="7" t="n"/>
      <c r="AB986">
        <f>IF($E986="","",IF($AQ986=1,0,IF($AP986=1,Settings!$C$6,Settings!$C$7))*100)</f>
        <v/>
      </c>
      <c r="AC986" s="7">
        <f>IF($E986="","",Y986*AB986/100)</f>
        <v/>
      </c>
      <c r="AD986" s="7">
        <f>IF($E986="","",Y986-AC986)</f>
        <v/>
      </c>
      <c r="AE986" s="7">
        <f>IF($E986="","",AD986-Q986)</f>
        <v/>
      </c>
      <c r="AI986" s="7" t="n"/>
      <c r="AL986" s="11" t="n"/>
      <c r="AN986">
        <f>IF($E986="","",IF(COUNTIF($E$2:$E986,$E986)=1,1,0))</f>
        <v/>
      </c>
      <c r="AO986">
        <f>IF($AN986=1,SUMPRODUCT(--($AR$2:$AR$4001&lt;$AR986))+1,"")</f>
        <v/>
      </c>
      <c r="AP986">
        <f>IF($E986="","",IF(OR($U986=TRUE(),$U986="TRUE"),1,0))</f>
        <v/>
      </c>
      <c r="AQ986">
        <f>IF($E986="","",IF($AA986="Yes",1,0))</f>
        <v/>
      </c>
      <c r="AR986">
        <f>IF($AN986=1,IFERROR(VALUE(MID($E986,2,20)),1000000000)+ROW()/100000,"")</f>
        <v/>
      </c>
    </row>
    <row r="987">
      <c r="G987" s="11" t="n"/>
      <c r="Q987" s="7">
        <f>IF($E987="","",P987*Y987/100)</f>
        <v/>
      </c>
      <c r="R987" s="7" t="n"/>
      <c r="X987" s="7" t="n"/>
      <c r="Y987" s="7" t="n"/>
      <c r="AB987">
        <f>IF($E987="","",IF($AQ987=1,0,IF($AP987=1,Settings!$C$6,Settings!$C$7))*100)</f>
        <v/>
      </c>
      <c r="AC987" s="7">
        <f>IF($E987="","",Y987*AB987/100)</f>
        <v/>
      </c>
      <c r="AD987" s="7">
        <f>IF($E987="","",Y987-AC987)</f>
        <v/>
      </c>
      <c r="AE987" s="7">
        <f>IF($E987="","",AD987-Q987)</f>
        <v/>
      </c>
      <c r="AI987" s="7" t="n"/>
      <c r="AL987" s="11" t="n"/>
      <c r="AN987">
        <f>IF($E987="","",IF(COUNTIF($E$2:$E987,$E987)=1,1,0))</f>
        <v/>
      </c>
      <c r="AO987">
        <f>IF($AN987=1,SUMPRODUCT(--($AR$2:$AR$4001&lt;$AR987))+1,"")</f>
        <v/>
      </c>
      <c r="AP987">
        <f>IF($E987="","",IF(OR($U987=TRUE(),$U987="TRUE"),1,0))</f>
        <v/>
      </c>
      <c r="AQ987">
        <f>IF($E987="","",IF($AA987="Yes",1,0))</f>
        <v/>
      </c>
      <c r="AR987">
        <f>IF($AN987=1,IFERROR(VALUE(MID($E987,2,20)),1000000000)+ROW()/100000,"")</f>
        <v/>
      </c>
    </row>
    <row r="988">
      <c r="G988" s="11" t="n"/>
      <c r="Q988" s="7">
        <f>IF($E988="","",P988*Y988/100)</f>
        <v/>
      </c>
      <c r="R988" s="7" t="n"/>
      <c r="X988" s="7" t="n"/>
      <c r="Y988" s="7" t="n"/>
      <c r="AB988">
        <f>IF($E988="","",IF($AQ988=1,0,IF($AP988=1,Settings!$C$6,Settings!$C$7))*100)</f>
        <v/>
      </c>
      <c r="AC988" s="7">
        <f>IF($E988="","",Y988*AB988/100)</f>
        <v/>
      </c>
      <c r="AD988" s="7">
        <f>IF($E988="","",Y988-AC988)</f>
        <v/>
      </c>
      <c r="AE988" s="7">
        <f>IF($E988="","",AD988-Q988)</f>
        <v/>
      </c>
      <c r="AI988" s="7" t="n"/>
      <c r="AL988" s="11" t="n"/>
      <c r="AN988">
        <f>IF($E988="","",IF(COUNTIF($E$2:$E988,$E988)=1,1,0))</f>
        <v/>
      </c>
      <c r="AO988">
        <f>IF($AN988=1,SUMPRODUCT(--($AR$2:$AR$4001&lt;$AR988))+1,"")</f>
        <v/>
      </c>
      <c r="AP988">
        <f>IF($E988="","",IF(OR($U988=TRUE(),$U988="TRUE"),1,0))</f>
        <v/>
      </c>
      <c r="AQ988">
        <f>IF($E988="","",IF($AA988="Yes",1,0))</f>
        <v/>
      </c>
      <c r="AR988">
        <f>IF($AN988=1,IFERROR(VALUE(MID($E988,2,20)),1000000000)+ROW()/100000,"")</f>
        <v/>
      </c>
    </row>
    <row r="989">
      <c r="G989" s="11" t="n"/>
      <c r="Q989" s="7">
        <f>IF($E989="","",P989*Y989/100)</f>
        <v/>
      </c>
      <c r="R989" s="7" t="n"/>
      <c r="X989" s="7" t="n"/>
      <c r="Y989" s="7" t="n"/>
      <c r="AB989">
        <f>IF($E989="","",IF($AQ989=1,0,IF($AP989=1,Settings!$C$6,Settings!$C$7))*100)</f>
        <v/>
      </c>
      <c r="AC989" s="7">
        <f>IF($E989="","",Y989*AB989/100)</f>
        <v/>
      </c>
      <c r="AD989" s="7">
        <f>IF($E989="","",Y989-AC989)</f>
        <v/>
      </c>
      <c r="AE989" s="7">
        <f>IF($E989="","",AD989-Q989)</f>
        <v/>
      </c>
      <c r="AI989" s="7" t="n"/>
      <c r="AL989" s="11" t="n"/>
      <c r="AN989">
        <f>IF($E989="","",IF(COUNTIF($E$2:$E989,$E989)=1,1,0))</f>
        <v/>
      </c>
      <c r="AO989">
        <f>IF($AN989=1,SUMPRODUCT(--($AR$2:$AR$4001&lt;$AR989))+1,"")</f>
        <v/>
      </c>
      <c r="AP989">
        <f>IF($E989="","",IF(OR($U989=TRUE(),$U989="TRUE"),1,0))</f>
        <v/>
      </c>
      <c r="AQ989">
        <f>IF($E989="","",IF($AA989="Yes",1,0))</f>
        <v/>
      </c>
      <c r="AR989">
        <f>IF($AN989=1,IFERROR(VALUE(MID($E989,2,20)),1000000000)+ROW()/100000,"")</f>
        <v/>
      </c>
    </row>
    <row r="990">
      <c r="G990" s="11" t="n"/>
      <c r="Q990" s="7">
        <f>IF($E990="","",P990*Y990/100)</f>
        <v/>
      </c>
      <c r="R990" s="7" t="n"/>
      <c r="X990" s="7" t="n"/>
      <c r="Y990" s="7" t="n"/>
      <c r="AB990">
        <f>IF($E990="","",IF($AQ990=1,0,IF($AP990=1,Settings!$C$6,Settings!$C$7))*100)</f>
        <v/>
      </c>
      <c r="AC990" s="7">
        <f>IF($E990="","",Y990*AB990/100)</f>
        <v/>
      </c>
      <c r="AD990" s="7">
        <f>IF($E990="","",Y990-AC990)</f>
        <v/>
      </c>
      <c r="AE990" s="7">
        <f>IF($E990="","",AD990-Q990)</f>
        <v/>
      </c>
      <c r="AI990" s="7" t="n"/>
      <c r="AL990" s="11" t="n"/>
      <c r="AN990">
        <f>IF($E990="","",IF(COUNTIF($E$2:$E990,$E990)=1,1,0))</f>
        <v/>
      </c>
      <c r="AO990">
        <f>IF($AN990=1,SUMPRODUCT(--($AR$2:$AR$4001&lt;$AR990))+1,"")</f>
        <v/>
      </c>
      <c r="AP990">
        <f>IF($E990="","",IF(OR($U990=TRUE(),$U990="TRUE"),1,0))</f>
        <v/>
      </c>
      <c r="AQ990">
        <f>IF($E990="","",IF($AA990="Yes",1,0))</f>
        <v/>
      </c>
      <c r="AR990">
        <f>IF($AN990=1,IFERROR(VALUE(MID($E990,2,20)),1000000000)+ROW()/100000,"")</f>
        <v/>
      </c>
    </row>
    <row r="991">
      <c r="G991" s="11" t="n"/>
      <c r="Q991" s="7">
        <f>IF($E991="","",P991*Y991/100)</f>
        <v/>
      </c>
      <c r="R991" s="7" t="n"/>
      <c r="X991" s="7" t="n"/>
      <c r="Y991" s="7" t="n"/>
      <c r="AB991">
        <f>IF($E991="","",IF($AQ991=1,0,IF($AP991=1,Settings!$C$6,Settings!$C$7))*100)</f>
        <v/>
      </c>
      <c r="AC991" s="7">
        <f>IF($E991="","",Y991*AB991/100)</f>
        <v/>
      </c>
      <c r="AD991" s="7">
        <f>IF($E991="","",Y991-AC991)</f>
        <v/>
      </c>
      <c r="AE991" s="7">
        <f>IF($E991="","",AD991-Q991)</f>
        <v/>
      </c>
      <c r="AI991" s="7" t="n"/>
      <c r="AL991" s="11" t="n"/>
      <c r="AN991">
        <f>IF($E991="","",IF(COUNTIF($E$2:$E991,$E991)=1,1,0))</f>
        <v/>
      </c>
      <c r="AO991">
        <f>IF($AN991=1,SUMPRODUCT(--($AR$2:$AR$4001&lt;$AR991))+1,"")</f>
        <v/>
      </c>
      <c r="AP991">
        <f>IF($E991="","",IF(OR($U991=TRUE(),$U991="TRUE"),1,0))</f>
        <v/>
      </c>
      <c r="AQ991">
        <f>IF($E991="","",IF($AA991="Yes",1,0))</f>
        <v/>
      </c>
      <c r="AR991">
        <f>IF($AN991=1,IFERROR(VALUE(MID($E991,2,20)),1000000000)+ROW()/100000,"")</f>
        <v/>
      </c>
    </row>
    <row r="992">
      <c r="G992" s="11" t="n"/>
      <c r="Q992" s="7">
        <f>IF($E992="","",P992*Y992/100)</f>
        <v/>
      </c>
      <c r="R992" s="7" t="n"/>
      <c r="X992" s="7" t="n"/>
      <c r="Y992" s="7" t="n"/>
      <c r="AB992">
        <f>IF($E992="","",IF($AQ992=1,0,IF($AP992=1,Settings!$C$6,Settings!$C$7))*100)</f>
        <v/>
      </c>
      <c r="AC992" s="7">
        <f>IF($E992="","",Y992*AB992/100)</f>
        <v/>
      </c>
      <c r="AD992" s="7">
        <f>IF($E992="","",Y992-AC992)</f>
        <v/>
      </c>
      <c r="AE992" s="7">
        <f>IF($E992="","",AD992-Q992)</f>
        <v/>
      </c>
      <c r="AI992" s="7" t="n"/>
      <c r="AL992" s="11" t="n"/>
      <c r="AN992">
        <f>IF($E992="","",IF(COUNTIF($E$2:$E992,$E992)=1,1,0))</f>
        <v/>
      </c>
      <c r="AO992">
        <f>IF($AN992=1,SUMPRODUCT(--($AR$2:$AR$4001&lt;$AR992))+1,"")</f>
        <v/>
      </c>
      <c r="AP992">
        <f>IF($E992="","",IF(OR($U992=TRUE(),$U992="TRUE"),1,0))</f>
        <v/>
      </c>
      <c r="AQ992">
        <f>IF($E992="","",IF($AA992="Yes",1,0))</f>
        <v/>
      </c>
      <c r="AR992">
        <f>IF($AN992=1,IFERROR(VALUE(MID($E992,2,20)),1000000000)+ROW()/100000,"")</f>
        <v/>
      </c>
    </row>
    <row r="993">
      <c r="G993" s="11" t="n"/>
      <c r="Q993" s="7">
        <f>IF($E993="","",P993*Y993/100)</f>
        <v/>
      </c>
      <c r="R993" s="7" t="n"/>
      <c r="X993" s="7" t="n"/>
      <c r="Y993" s="7" t="n"/>
      <c r="AB993">
        <f>IF($E993="","",IF($AQ993=1,0,IF($AP993=1,Settings!$C$6,Settings!$C$7))*100)</f>
        <v/>
      </c>
      <c r="AC993" s="7">
        <f>IF($E993="","",Y993*AB993/100)</f>
        <v/>
      </c>
      <c r="AD993" s="7">
        <f>IF($E993="","",Y993-AC993)</f>
        <v/>
      </c>
      <c r="AE993" s="7">
        <f>IF($E993="","",AD993-Q993)</f>
        <v/>
      </c>
      <c r="AI993" s="7" t="n"/>
      <c r="AL993" s="11" t="n"/>
      <c r="AN993">
        <f>IF($E993="","",IF(COUNTIF($E$2:$E993,$E993)=1,1,0))</f>
        <v/>
      </c>
      <c r="AO993">
        <f>IF($AN993=1,SUMPRODUCT(--($AR$2:$AR$4001&lt;$AR993))+1,"")</f>
        <v/>
      </c>
      <c r="AP993">
        <f>IF($E993="","",IF(OR($U993=TRUE(),$U993="TRUE"),1,0))</f>
        <v/>
      </c>
      <c r="AQ993">
        <f>IF($E993="","",IF($AA993="Yes",1,0))</f>
        <v/>
      </c>
      <c r="AR993">
        <f>IF($AN993=1,IFERROR(VALUE(MID($E993,2,20)),1000000000)+ROW()/100000,"")</f>
        <v/>
      </c>
    </row>
    <row r="994">
      <c r="G994" s="11" t="n"/>
      <c r="Q994" s="7">
        <f>IF($E994="","",P994*Y994/100)</f>
        <v/>
      </c>
      <c r="R994" s="7" t="n"/>
      <c r="X994" s="7" t="n"/>
      <c r="Y994" s="7" t="n"/>
      <c r="AB994">
        <f>IF($E994="","",IF($AQ994=1,0,IF($AP994=1,Settings!$C$6,Settings!$C$7))*100)</f>
        <v/>
      </c>
      <c r="AC994" s="7">
        <f>IF($E994="","",Y994*AB994/100)</f>
        <v/>
      </c>
      <c r="AD994" s="7">
        <f>IF($E994="","",Y994-AC994)</f>
        <v/>
      </c>
      <c r="AE994" s="7">
        <f>IF($E994="","",AD994-Q994)</f>
        <v/>
      </c>
      <c r="AI994" s="7" t="n"/>
      <c r="AL994" s="11" t="n"/>
      <c r="AN994">
        <f>IF($E994="","",IF(COUNTIF($E$2:$E994,$E994)=1,1,0))</f>
        <v/>
      </c>
      <c r="AO994">
        <f>IF($AN994=1,SUMPRODUCT(--($AR$2:$AR$4001&lt;$AR994))+1,"")</f>
        <v/>
      </c>
      <c r="AP994">
        <f>IF($E994="","",IF(OR($U994=TRUE(),$U994="TRUE"),1,0))</f>
        <v/>
      </c>
      <c r="AQ994">
        <f>IF($E994="","",IF($AA994="Yes",1,0))</f>
        <v/>
      </c>
      <c r="AR994">
        <f>IF($AN994=1,IFERROR(VALUE(MID($E994,2,20)),1000000000)+ROW()/100000,"")</f>
        <v/>
      </c>
    </row>
    <row r="995">
      <c r="G995" s="11" t="n"/>
      <c r="Q995" s="7">
        <f>IF($E995="","",P995*Y995/100)</f>
        <v/>
      </c>
      <c r="R995" s="7" t="n"/>
      <c r="X995" s="7" t="n"/>
      <c r="Y995" s="7" t="n"/>
      <c r="AB995">
        <f>IF($E995="","",IF($AQ995=1,0,IF($AP995=1,Settings!$C$6,Settings!$C$7))*100)</f>
        <v/>
      </c>
      <c r="AC995" s="7">
        <f>IF($E995="","",Y995*AB995/100)</f>
        <v/>
      </c>
      <c r="AD995" s="7">
        <f>IF($E995="","",Y995-AC995)</f>
        <v/>
      </c>
      <c r="AE995" s="7">
        <f>IF($E995="","",AD995-Q995)</f>
        <v/>
      </c>
      <c r="AI995" s="7" t="n"/>
      <c r="AL995" s="11" t="n"/>
      <c r="AN995">
        <f>IF($E995="","",IF(COUNTIF($E$2:$E995,$E995)=1,1,0))</f>
        <v/>
      </c>
      <c r="AO995">
        <f>IF($AN995=1,SUMPRODUCT(--($AR$2:$AR$4001&lt;$AR995))+1,"")</f>
        <v/>
      </c>
      <c r="AP995">
        <f>IF($E995="","",IF(OR($U995=TRUE(),$U995="TRUE"),1,0))</f>
        <v/>
      </c>
      <c r="AQ995">
        <f>IF($E995="","",IF($AA995="Yes",1,0))</f>
        <v/>
      </c>
      <c r="AR995">
        <f>IF($AN995=1,IFERROR(VALUE(MID($E995,2,20)),1000000000)+ROW()/100000,"")</f>
        <v/>
      </c>
    </row>
    <row r="996">
      <c r="G996" s="11" t="n"/>
      <c r="Q996" s="7">
        <f>IF($E996="","",P996*Y996/100)</f>
        <v/>
      </c>
      <c r="R996" s="7" t="n"/>
      <c r="X996" s="7" t="n"/>
      <c r="Y996" s="7" t="n"/>
      <c r="AB996">
        <f>IF($E996="","",IF($AQ996=1,0,IF($AP996=1,Settings!$C$6,Settings!$C$7))*100)</f>
        <v/>
      </c>
      <c r="AC996" s="7">
        <f>IF($E996="","",Y996*AB996/100)</f>
        <v/>
      </c>
      <c r="AD996" s="7">
        <f>IF($E996="","",Y996-AC996)</f>
        <v/>
      </c>
      <c r="AE996" s="7">
        <f>IF($E996="","",AD996-Q996)</f>
        <v/>
      </c>
      <c r="AI996" s="7" t="n"/>
      <c r="AL996" s="11" t="n"/>
      <c r="AN996">
        <f>IF($E996="","",IF(COUNTIF($E$2:$E996,$E996)=1,1,0))</f>
        <v/>
      </c>
      <c r="AO996">
        <f>IF($AN996=1,SUMPRODUCT(--($AR$2:$AR$4001&lt;$AR996))+1,"")</f>
        <v/>
      </c>
      <c r="AP996">
        <f>IF($E996="","",IF(OR($U996=TRUE(),$U996="TRUE"),1,0))</f>
        <v/>
      </c>
      <c r="AQ996">
        <f>IF($E996="","",IF($AA996="Yes",1,0))</f>
        <v/>
      </c>
      <c r="AR996">
        <f>IF($AN996=1,IFERROR(VALUE(MID($E996,2,20)),1000000000)+ROW()/100000,"")</f>
        <v/>
      </c>
    </row>
    <row r="997">
      <c r="G997" s="11" t="n"/>
      <c r="Q997" s="7">
        <f>IF($E997="","",P997*Y997/100)</f>
        <v/>
      </c>
      <c r="R997" s="7" t="n"/>
      <c r="X997" s="7" t="n"/>
      <c r="Y997" s="7" t="n"/>
      <c r="AB997">
        <f>IF($E997="","",IF($AQ997=1,0,IF($AP997=1,Settings!$C$6,Settings!$C$7))*100)</f>
        <v/>
      </c>
      <c r="AC997" s="7">
        <f>IF($E997="","",Y997*AB997/100)</f>
        <v/>
      </c>
      <c r="AD997" s="7">
        <f>IF($E997="","",Y997-AC997)</f>
        <v/>
      </c>
      <c r="AE997" s="7">
        <f>IF($E997="","",AD997-Q997)</f>
        <v/>
      </c>
      <c r="AI997" s="7" t="n"/>
      <c r="AL997" s="11" t="n"/>
      <c r="AN997">
        <f>IF($E997="","",IF(COUNTIF($E$2:$E997,$E997)=1,1,0))</f>
        <v/>
      </c>
      <c r="AO997">
        <f>IF($AN997=1,SUMPRODUCT(--($AR$2:$AR$4001&lt;$AR997))+1,"")</f>
        <v/>
      </c>
      <c r="AP997">
        <f>IF($E997="","",IF(OR($U997=TRUE(),$U997="TRUE"),1,0))</f>
        <v/>
      </c>
      <c r="AQ997">
        <f>IF($E997="","",IF($AA997="Yes",1,0))</f>
        <v/>
      </c>
      <c r="AR997">
        <f>IF($AN997=1,IFERROR(VALUE(MID($E997,2,20)),1000000000)+ROW()/100000,"")</f>
        <v/>
      </c>
    </row>
    <row r="998">
      <c r="G998" s="11" t="n"/>
      <c r="Q998" s="7">
        <f>IF($E998="","",P998*Y998/100)</f>
        <v/>
      </c>
      <c r="R998" s="7" t="n"/>
      <c r="X998" s="7" t="n"/>
      <c r="Y998" s="7" t="n"/>
      <c r="AB998">
        <f>IF($E998="","",IF($AQ998=1,0,IF($AP998=1,Settings!$C$6,Settings!$C$7))*100)</f>
        <v/>
      </c>
      <c r="AC998" s="7">
        <f>IF($E998="","",Y998*AB998/100)</f>
        <v/>
      </c>
      <c r="AD998" s="7">
        <f>IF($E998="","",Y998-AC998)</f>
        <v/>
      </c>
      <c r="AE998" s="7">
        <f>IF($E998="","",AD998-Q998)</f>
        <v/>
      </c>
      <c r="AI998" s="7" t="n"/>
      <c r="AL998" s="11" t="n"/>
      <c r="AN998">
        <f>IF($E998="","",IF(COUNTIF($E$2:$E998,$E998)=1,1,0))</f>
        <v/>
      </c>
      <c r="AO998">
        <f>IF($AN998=1,SUMPRODUCT(--($AR$2:$AR$4001&lt;$AR998))+1,"")</f>
        <v/>
      </c>
      <c r="AP998">
        <f>IF($E998="","",IF(OR($U998=TRUE(),$U998="TRUE"),1,0))</f>
        <v/>
      </c>
      <c r="AQ998">
        <f>IF($E998="","",IF($AA998="Yes",1,0))</f>
        <v/>
      </c>
      <c r="AR998">
        <f>IF($AN998=1,IFERROR(VALUE(MID($E998,2,20)),1000000000)+ROW()/100000,"")</f>
        <v/>
      </c>
    </row>
    <row r="999">
      <c r="G999" s="11" t="n"/>
      <c r="Q999" s="7">
        <f>IF($E999="","",P999*Y999/100)</f>
        <v/>
      </c>
      <c r="R999" s="7" t="n"/>
      <c r="X999" s="7" t="n"/>
      <c r="Y999" s="7" t="n"/>
      <c r="AB999">
        <f>IF($E999="","",IF($AQ999=1,0,IF($AP999=1,Settings!$C$6,Settings!$C$7))*100)</f>
        <v/>
      </c>
      <c r="AC999" s="7">
        <f>IF($E999="","",Y999*AB999/100)</f>
        <v/>
      </c>
      <c r="AD999" s="7">
        <f>IF($E999="","",Y999-AC999)</f>
        <v/>
      </c>
      <c r="AE999" s="7">
        <f>IF($E999="","",AD999-Q999)</f>
        <v/>
      </c>
      <c r="AI999" s="7" t="n"/>
      <c r="AL999" s="11" t="n"/>
      <c r="AN999">
        <f>IF($E999="","",IF(COUNTIF($E$2:$E999,$E999)=1,1,0))</f>
        <v/>
      </c>
      <c r="AO999">
        <f>IF($AN999=1,SUMPRODUCT(--($AR$2:$AR$4001&lt;$AR999))+1,"")</f>
        <v/>
      </c>
      <c r="AP999">
        <f>IF($E999="","",IF(OR($U999=TRUE(),$U999="TRUE"),1,0))</f>
        <v/>
      </c>
      <c r="AQ999">
        <f>IF($E999="","",IF($AA999="Yes",1,0))</f>
        <v/>
      </c>
      <c r="AR999">
        <f>IF($AN999=1,IFERROR(VALUE(MID($E999,2,20)),1000000000)+ROW()/100000,"")</f>
        <v/>
      </c>
    </row>
    <row r="1000">
      <c r="G1000" s="11" t="n"/>
      <c r="Q1000" s="7">
        <f>IF($E1000="","",P1000*Y1000/100)</f>
        <v/>
      </c>
      <c r="R1000" s="7" t="n"/>
      <c r="X1000" s="7" t="n"/>
      <c r="Y1000" s="7" t="n"/>
      <c r="AB1000">
        <f>IF($E1000="","",IF($AQ1000=1,0,IF($AP1000=1,Settings!$C$6,Settings!$C$7))*100)</f>
        <v/>
      </c>
      <c r="AC1000" s="7">
        <f>IF($E1000="","",Y1000*AB1000/100)</f>
        <v/>
      </c>
      <c r="AD1000" s="7">
        <f>IF($E1000="","",Y1000-AC1000)</f>
        <v/>
      </c>
      <c r="AE1000" s="7">
        <f>IF($E1000="","",AD1000-Q1000)</f>
        <v/>
      </c>
      <c r="AI1000" s="7" t="n"/>
      <c r="AL1000" s="11" t="n"/>
      <c r="AN1000">
        <f>IF($E1000="","",IF(COUNTIF($E$2:$E1000,$E1000)=1,1,0))</f>
        <v/>
      </c>
      <c r="AO1000">
        <f>IF($AN1000=1,SUMPRODUCT(--($AR$2:$AR$4001&lt;$AR1000))+1,"")</f>
        <v/>
      </c>
      <c r="AP1000">
        <f>IF($E1000="","",IF(OR($U1000=TRUE(),$U1000="TRUE"),1,0))</f>
        <v/>
      </c>
      <c r="AQ1000">
        <f>IF($E1000="","",IF($AA1000="Yes",1,0))</f>
        <v/>
      </c>
      <c r="AR1000">
        <f>IF($AN1000=1,IFERROR(VALUE(MID($E1000,2,20)),1000000000)+ROW()/100000,"")</f>
        <v/>
      </c>
    </row>
    <row r="1001">
      <c r="G1001" s="11" t="n"/>
      <c r="Q1001" s="7">
        <f>IF($E1001="","",P1001*Y1001/100)</f>
        <v/>
      </c>
      <c r="R1001" s="7" t="n"/>
      <c r="X1001" s="7" t="n"/>
      <c r="Y1001" s="7" t="n"/>
      <c r="AB1001">
        <f>IF($E1001="","",IF($AQ1001=1,0,IF($AP1001=1,Settings!$C$6,Settings!$C$7))*100)</f>
        <v/>
      </c>
      <c r="AC1001" s="7">
        <f>IF($E1001="","",Y1001*AB1001/100)</f>
        <v/>
      </c>
      <c r="AD1001" s="7">
        <f>IF($E1001="","",Y1001-AC1001)</f>
        <v/>
      </c>
      <c r="AE1001" s="7">
        <f>IF($E1001="","",AD1001-Q1001)</f>
        <v/>
      </c>
      <c r="AI1001" s="7" t="n"/>
      <c r="AL1001" s="11" t="n"/>
      <c r="AN1001">
        <f>IF($E1001="","",IF(COUNTIF($E$2:$E1001,$E1001)=1,1,0))</f>
        <v/>
      </c>
      <c r="AO1001">
        <f>IF($AN1001=1,SUMPRODUCT(--($AR$2:$AR$4001&lt;$AR1001))+1,"")</f>
        <v/>
      </c>
      <c r="AP1001">
        <f>IF($E1001="","",IF(OR($U1001=TRUE(),$U1001="TRUE"),1,0))</f>
        <v/>
      </c>
      <c r="AQ1001">
        <f>IF($E1001="","",IF($AA1001="Yes",1,0))</f>
        <v/>
      </c>
      <c r="AR1001">
        <f>IF($AN1001=1,IFERROR(VALUE(MID($E1001,2,20)),1000000000)+ROW()/100000,"")</f>
        <v/>
      </c>
    </row>
    <row r="1002">
      <c r="G1002" s="11" t="n"/>
      <c r="Q1002" s="7">
        <f>IF($E1002="","",P1002*Y1002/100)</f>
        <v/>
      </c>
      <c r="R1002" s="7" t="n"/>
      <c r="X1002" s="7" t="n"/>
      <c r="Y1002" s="7" t="n"/>
      <c r="AB1002">
        <f>IF($E1002="","",IF($AQ1002=1,0,IF($AP1002=1,Settings!$C$6,Settings!$C$7))*100)</f>
        <v/>
      </c>
      <c r="AC1002" s="7">
        <f>IF($E1002="","",Y1002*AB1002/100)</f>
        <v/>
      </c>
      <c r="AD1002" s="7">
        <f>IF($E1002="","",Y1002-AC1002)</f>
        <v/>
      </c>
      <c r="AE1002" s="7">
        <f>IF($E1002="","",AD1002-Q1002)</f>
        <v/>
      </c>
      <c r="AI1002" s="7" t="n"/>
      <c r="AL1002" s="11" t="n"/>
      <c r="AN1002">
        <f>IF($E1002="","",IF(COUNTIF($E$2:$E1002,$E1002)=1,1,0))</f>
        <v/>
      </c>
      <c r="AO1002">
        <f>IF($AN1002=1,SUMPRODUCT(--($AR$2:$AR$4001&lt;$AR1002))+1,"")</f>
        <v/>
      </c>
      <c r="AP1002">
        <f>IF($E1002="","",IF(OR($U1002=TRUE(),$U1002="TRUE"),1,0))</f>
        <v/>
      </c>
      <c r="AQ1002">
        <f>IF($E1002="","",IF($AA1002="Yes",1,0))</f>
        <v/>
      </c>
      <c r="AR1002">
        <f>IF($AN1002=1,IFERROR(VALUE(MID($E1002,2,20)),1000000000)+ROW()/100000,"")</f>
        <v/>
      </c>
    </row>
    <row r="1003">
      <c r="G1003" s="11" t="n"/>
      <c r="Q1003" s="7">
        <f>IF($E1003="","",P1003*Y1003/100)</f>
        <v/>
      </c>
      <c r="R1003" s="7" t="n"/>
      <c r="X1003" s="7" t="n"/>
      <c r="Y1003" s="7" t="n"/>
      <c r="AB1003">
        <f>IF($E1003="","",IF($AQ1003=1,0,IF($AP1003=1,Settings!$C$6,Settings!$C$7))*100)</f>
        <v/>
      </c>
      <c r="AC1003" s="7">
        <f>IF($E1003="","",Y1003*AB1003/100)</f>
        <v/>
      </c>
      <c r="AD1003" s="7">
        <f>IF($E1003="","",Y1003-AC1003)</f>
        <v/>
      </c>
      <c r="AE1003" s="7">
        <f>IF($E1003="","",AD1003-Q1003)</f>
        <v/>
      </c>
      <c r="AI1003" s="7" t="n"/>
      <c r="AL1003" s="11" t="n"/>
      <c r="AN1003">
        <f>IF($E1003="","",IF(COUNTIF($E$2:$E1003,$E1003)=1,1,0))</f>
        <v/>
      </c>
      <c r="AO1003">
        <f>IF($AN1003=1,SUMPRODUCT(--($AR$2:$AR$4001&lt;$AR1003))+1,"")</f>
        <v/>
      </c>
      <c r="AP1003">
        <f>IF($E1003="","",IF(OR($U1003=TRUE(),$U1003="TRUE"),1,0))</f>
        <v/>
      </c>
      <c r="AQ1003">
        <f>IF($E1003="","",IF($AA1003="Yes",1,0))</f>
        <v/>
      </c>
      <c r="AR1003">
        <f>IF($AN1003=1,IFERROR(VALUE(MID($E1003,2,20)),1000000000)+ROW()/100000,"")</f>
        <v/>
      </c>
    </row>
    <row r="1004">
      <c r="G1004" s="11" t="n"/>
      <c r="Q1004" s="7">
        <f>IF($E1004="","",P1004*Y1004/100)</f>
        <v/>
      </c>
      <c r="R1004" s="7" t="n"/>
      <c r="X1004" s="7" t="n"/>
      <c r="Y1004" s="7" t="n"/>
      <c r="AB1004">
        <f>IF($E1004="","",IF($AQ1004=1,0,IF($AP1004=1,Settings!$C$6,Settings!$C$7))*100)</f>
        <v/>
      </c>
      <c r="AC1004" s="7">
        <f>IF($E1004="","",Y1004*AB1004/100)</f>
        <v/>
      </c>
      <c r="AD1004" s="7">
        <f>IF($E1004="","",Y1004-AC1004)</f>
        <v/>
      </c>
      <c r="AE1004" s="7">
        <f>IF($E1004="","",AD1004-Q1004)</f>
        <v/>
      </c>
      <c r="AI1004" s="7" t="n"/>
      <c r="AL1004" s="11" t="n"/>
      <c r="AN1004">
        <f>IF($E1004="","",IF(COUNTIF($E$2:$E1004,$E1004)=1,1,0))</f>
        <v/>
      </c>
      <c r="AO1004">
        <f>IF($AN1004=1,SUMPRODUCT(--($AR$2:$AR$4001&lt;$AR1004))+1,"")</f>
        <v/>
      </c>
      <c r="AP1004">
        <f>IF($E1004="","",IF(OR($U1004=TRUE(),$U1004="TRUE"),1,0))</f>
        <v/>
      </c>
      <c r="AQ1004">
        <f>IF($E1004="","",IF($AA1004="Yes",1,0))</f>
        <v/>
      </c>
      <c r="AR1004">
        <f>IF($AN1004=1,IFERROR(VALUE(MID($E1004,2,20)),1000000000)+ROW()/100000,"")</f>
        <v/>
      </c>
    </row>
    <row r="1005">
      <c r="G1005" s="11" t="n"/>
      <c r="Q1005" s="7">
        <f>IF($E1005="","",P1005*Y1005/100)</f>
        <v/>
      </c>
      <c r="R1005" s="7" t="n"/>
      <c r="X1005" s="7" t="n"/>
      <c r="Y1005" s="7" t="n"/>
      <c r="AB1005">
        <f>IF($E1005="","",IF($AQ1005=1,0,IF($AP1005=1,Settings!$C$6,Settings!$C$7))*100)</f>
        <v/>
      </c>
      <c r="AC1005" s="7">
        <f>IF($E1005="","",Y1005*AB1005/100)</f>
        <v/>
      </c>
      <c r="AD1005" s="7">
        <f>IF($E1005="","",Y1005-AC1005)</f>
        <v/>
      </c>
      <c r="AE1005" s="7">
        <f>IF($E1005="","",AD1005-Q1005)</f>
        <v/>
      </c>
      <c r="AI1005" s="7" t="n"/>
      <c r="AL1005" s="11" t="n"/>
      <c r="AN1005">
        <f>IF($E1005="","",IF(COUNTIF($E$2:$E1005,$E1005)=1,1,0))</f>
        <v/>
      </c>
      <c r="AO1005">
        <f>IF($AN1005=1,SUMPRODUCT(--($AR$2:$AR$4001&lt;$AR1005))+1,"")</f>
        <v/>
      </c>
      <c r="AP1005">
        <f>IF($E1005="","",IF(OR($U1005=TRUE(),$U1005="TRUE"),1,0))</f>
        <v/>
      </c>
      <c r="AQ1005">
        <f>IF($E1005="","",IF($AA1005="Yes",1,0))</f>
        <v/>
      </c>
      <c r="AR1005">
        <f>IF($AN1005=1,IFERROR(VALUE(MID($E1005,2,20)),1000000000)+ROW()/100000,"")</f>
        <v/>
      </c>
    </row>
    <row r="1006">
      <c r="G1006" s="11" t="n"/>
      <c r="Q1006" s="7">
        <f>IF($E1006="","",P1006*Y1006/100)</f>
        <v/>
      </c>
      <c r="R1006" s="7" t="n"/>
      <c r="X1006" s="7" t="n"/>
      <c r="Y1006" s="7" t="n"/>
      <c r="AB1006">
        <f>IF($E1006="","",IF($AQ1006=1,0,IF($AP1006=1,Settings!$C$6,Settings!$C$7))*100)</f>
        <v/>
      </c>
      <c r="AC1006" s="7">
        <f>IF($E1006="","",Y1006*AB1006/100)</f>
        <v/>
      </c>
      <c r="AD1006" s="7">
        <f>IF($E1006="","",Y1006-AC1006)</f>
        <v/>
      </c>
      <c r="AE1006" s="7">
        <f>IF($E1006="","",AD1006-Q1006)</f>
        <v/>
      </c>
      <c r="AI1006" s="7" t="n"/>
      <c r="AL1006" s="11" t="n"/>
      <c r="AN1006">
        <f>IF($E1006="","",IF(COUNTIF($E$2:$E1006,$E1006)=1,1,0))</f>
        <v/>
      </c>
      <c r="AO1006">
        <f>IF($AN1006=1,SUMPRODUCT(--($AR$2:$AR$4001&lt;$AR1006))+1,"")</f>
        <v/>
      </c>
      <c r="AP1006">
        <f>IF($E1006="","",IF(OR($U1006=TRUE(),$U1006="TRUE"),1,0))</f>
        <v/>
      </c>
      <c r="AQ1006">
        <f>IF($E1006="","",IF($AA1006="Yes",1,0))</f>
        <v/>
      </c>
      <c r="AR1006">
        <f>IF($AN1006=1,IFERROR(VALUE(MID($E1006,2,20)),1000000000)+ROW()/100000,"")</f>
        <v/>
      </c>
    </row>
    <row r="1007">
      <c r="G1007" s="11" t="n"/>
      <c r="Q1007" s="7">
        <f>IF($E1007="","",P1007*Y1007/100)</f>
        <v/>
      </c>
      <c r="R1007" s="7" t="n"/>
      <c r="X1007" s="7" t="n"/>
      <c r="Y1007" s="7" t="n"/>
      <c r="AB1007">
        <f>IF($E1007="","",IF($AQ1007=1,0,IF($AP1007=1,Settings!$C$6,Settings!$C$7))*100)</f>
        <v/>
      </c>
      <c r="AC1007" s="7">
        <f>IF($E1007="","",Y1007*AB1007/100)</f>
        <v/>
      </c>
      <c r="AD1007" s="7">
        <f>IF($E1007="","",Y1007-AC1007)</f>
        <v/>
      </c>
      <c r="AE1007" s="7">
        <f>IF($E1007="","",AD1007-Q1007)</f>
        <v/>
      </c>
      <c r="AI1007" s="7" t="n"/>
      <c r="AL1007" s="11" t="n"/>
      <c r="AN1007">
        <f>IF($E1007="","",IF(COUNTIF($E$2:$E1007,$E1007)=1,1,0))</f>
        <v/>
      </c>
      <c r="AO1007">
        <f>IF($AN1007=1,SUMPRODUCT(--($AR$2:$AR$4001&lt;$AR1007))+1,"")</f>
        <v/>
      </c>
      <c r="AP1007">
        <f>IF($E1007="","",IF(OR($U1007=TRUE(),$U1007="TRUE"),1,0))</f>
        <v/>
      </c>
      <c r="AQ1007">
        <f>IF($E1007="","",IF($AA1007="Yes",1,0))</f>
        <v/>
      </c>
      <c r="AR1007">
        <f>IF($AN1007=1,IFERROR(VALUE(MID($E1007,2,20)),1000000000)+ROW()/100000,"")</f>
        <v/>
      </c>
    </row>
    <row r="1008">
      <c r="G1008" s="11" t="n"/>
      <c r="Q1008" s="7">
        <f>IF($E1008="","",P1008*Y1008/100)</f>
        <v/>
      </c>
      <c r="R1008" s="7" t="n"/>
      <c r="X1008" s="7" t="n"/>
      <c r="Y1008" s="7" t="n"/>
      <c r="AB1008">
        <f>IF($E1008="","",IF($AQ1008=1,0,IF($AP1008=1,Settings!$C$6,Settings!$C$7))*100)</f>
        <v/>
      </c>
      <c r="AC1008" s="7">
        <f>IF($E1008="","",Y1008*AB1008/100)</f>
        <v/>
      </c>
      <c r="AD1008" s="7">
        <f>IF($E1008="","",Y1008-AC1008)</f>
        <v/>
      </c>
      <c r="AE1008" s="7">
        <f>IF($E1008="","",AD1008-Q1008)</f>
        <v/>
      </c>
      <c r="AI1008" s="7" t="n"/>
      <c r="AL1008" s="11" t="n"/>
      <c r="AN1008">
        <f>IF($E1008="","",IF(COUNTIF($E$2:$E1008,$E1008)=1,1,0))</f>
        <v/>
      </c>
      <c r="AO1008">
        <f>IF($AN1008=1,SUMPRODUCT(--($AR$2:$AR$4001&lt;$AR1008))+1,"")</f>
        <v/>
      </c>
      <c r="AP1008">
        <f>IF($E1008="","",IF(OR($U1008=TRUE(),$U1008="TRUE"),1,0))</f>
        <v/>
      </c>
      <c r="AQ1008">
        <f>IF($E1008="","",IF($AA1008="Yes",1,0))</f>
        <v/>
      </c>
      <c r="AR1008">
        <f>IF($AN1008=1,IFERROR(VALUE(MID($E1008,2,20)),1000000000)+ROW()/100000,"")</f>
        <v/>
      </c>
    </row>
    <row r="1009">
      <c r="G1009" s="11" t="n"/>
      <c r="Q1009" s="7">
        <f>IF($E1009="","",P1009*Y1009/100)</f>
        <v/>
      </c>
      <c r="R1009" s="7" t="n"/>
      <c r="X1009" s="7" t="n"/>
      <c r="Y1009" s="7" t="n"/>
      <c r="AB1009">
        <f>IF($E1009="","",IF($AQ1009=1,0,IF($AP1009=1,Settings!$C$6,Settings!$C$7))*100)</f>
        <v/>
      </c>
      <c r="AC1009" s="7">
        <f>IF($E1009="","",Y1009*AB1009/100)</f>
        <v/>
      </c>
      <c r="AD1009" s="7">
        <f>IF($E1009="","",Y1009-AC1009)</f>
        <v/>
      </c>
      <c r="AE1009" s="7">
        <f>IF($E1009="","",AD1009-Q1009)</f>
        <v/>
      </c>
      <c r="AI1009" s="7" t="n"/>
      <c r="AL1009" s="11" t="n"/>
      <c r="AN1009">
        <f>IF($E1009="","",IF(COUNTIF($E$2:$E1009,$E1009)=1,1,0))</f>
        <v/>
      </c>
      <c r="AO1009">
        <f>IF($AN1009=1,SUMPRODUCT(--($AR$2:$AR$4001&lt;$AR1009))+1,"")</f>
        <v/>
      </c>
      <c r="AP1009">
        <f>IF($E1009="","",IF(OR($U1009=TRUE(),$U1009="TRUE"),1,0))</f>
        <v/>
      </c>
      <c r="AQ1009">
        <f>IF($E1009="","",IF($AA1009="Yes",1,0))</f>
        <v/>
      </c>
      <c r="AR1009">
        <f>IF($AN1009=1,IFERROR(VALUE(MID($E1009,2,20)),1000000000)+ROW()/100000,"")</f>
        <v/>
      </c>
    </row>
    <row r="1010">
      <c r="G1010" s="11" t="n"/>
      <c r="Q1010" s="7">
        <f>IF($E1010="","",P1010*Y1010/100)</f>
        <v/>
      </c>
      <c r="R1010" s="7" t="n"/>
      <c r="X1010" s="7" t="n"/>
      <c r="Y1010" s="7" t="n"/>
      <c r="AB1010">
        <f>IF($E1010="","",IF($AQ1010=1,0,IF($AP1010=1,Settings!$C$6,Settings!$C$7))*100)</f>
        <v/>
      </c>
      <c r="AC1010" s="7">
        <f>IF($E1010="","",Y1010*AB1010/100)</f>
        <v/>
      </c>
      <c r="AD1010" s="7">
        <f>IF($E1010="","",Y1010-AC1010)</f>
        <v/>
      </c>
      <c r="AE1010" s="7">
        <f>IF($E1010="","",AD1010-Q1010)</f>
        <v/>
      </c>
      <c r="AI1010" s="7" t="n"/>
      <c r="AL1010" s="11" t="n"/>
      <c r="AN1010">
        <f>IF($E1010="","",IF(COUNTIF($E$2:$E1010,$E1010)=1,1,0))</f>
        <v/>
      </c>
      <c r="AO1010">
        <f>IF($AN1010=1,SUMPRODUCT(--($AR$2:$AR$4001&lt;$AR1010))+1,"")</f>
        <v/>
      </c>
      <c r="AP1010">
        <f>IF($E1010="","",IF(OR($U1010=TRUE(),$U1010="TRUE"),1,0))</f>
        <v/>
      </c>
      <c r="AQ1010">
        <f>IF($E1010="","",IF($AA1010="Yes",1,0))</f>
        <v/>
      </c>
      <c r="AR1010">
        <f>IF($AN1010=1,IFERROR(VALUE(MID($E1010,2,20)),1000000000)+ROW()/100000,"")</f>
        <v/>
      </c>
    </row>
    <row r="1011">
      <c r="G1011" s="11" t="n"/>
      <c r="Q1011" s="7">
        <f>IF($E1011="","",P1011*Y1011/100)</f>
        <v/>
      </c>
      <c r="R1011" s="7" t="n"/>
      <c r="X1011" s="7" t="n"/>
      <c r="Y1011" s="7" t="n"/>
      <c r="AB1011">
        <f>IF($E1011="","",IF($AQ1011=1,0,IF($AP1011=1,Settings!$C$6,Settings!$C$7))*100)</f>
        <v/>
      </c>
      <c r="AC1011" s="7">
        <f>IF($E1011="","",Y1011*AB1011/100)</f>
        <v/>
      </c>
      <c r="AD1011" s="7">
        <f>IF($E1011="","",Y1011-AC1011)</f>
        <v/>
      </c>
      <c r="AE1011" s="7">
        <f>IF($E1011="","",AD1011-Q1011)</f>
        <v/>
      </c>
      <c r="AI1011" s="7" t="n"/>
      <c r="AL1011" s="11" t="n"/>
      <c r="AN1011">
        <f>IF($E1011="","",IF(COUNTIF($E$2:$E1011,$E1011)=1,1,0))</f>
        <v/>
      </c>
      <c r="AO1011">
        <f>IF($AN1011=1,SUMPRODUCT(--($AR$2:$AR$4001&lt;$AR1011))+1,"")</f>
        <v/>
      </c>
      <c r="AP1011">
        <f>IF($E1011="","",IF(OR($U1011=TRUE(),$U1011="TRUE"),1,0))</f>
        <v/>
      </c>
      <c r="AQ1011">
        <f>IF($E1011="","",IF($AA1011="Yes",1,0))</f>
        <v/>
      </c>
      <c r="AR1011">
        <f>IF($AN1011=1,IFERROR(VALUE(MID($E1011,2,20)),1000000000)+ROW()/100000,"")</f>
        <v/>
      </c>
    </row>
    <row r="1012">
      <c r="G1012" s="11" t="n"/>
      <c r="Q1012" s="7">
        <f>IF($E1012="","",P1012*Y1012/100)</f>
        <v/>
      </c>
      <c r="R1012" s="7" t="n"/>
      <c r="X1012" s="7" t="n"/>
      <c r="Y1012" s="7" t="n"/>
      <c r="AB1012">
        <f>IF($E1012="","",IF($AQ1012=1,0,IF($AP1012=1,Settings!$C$6,Settings!$C$7))*100)</f>
        <v/>
      </c>
      <c r="AC1012" s="7">
        <f>IF($E1012="","",Y1012*AB1012/100)</f>
        <v/>
      </c>
      <c r="AD1012" s="7">
        <f>IF($E1012="","",Y1012-AC1012)</f>
        <v/>
      </c>
      <c r="AE1012" s="7">
        <f>IF($E1012="","",AD1012-Q1012)</f>
        <v/>
      </c>
      <c r="AI1012" s="7" t="n"/>
      <c r="AL1012" s="11" t="n"/>
      <c r="AN1012">
        <f>IF($E1012="","",IF(COUNTIF($E$2:$E1012,$E1012)=1,1,0))</f>
        <v/>
      </c>
      <c r="AO1012">
        <f>IF($AN1012=1,SUMPRODUCT(--($AR$2:$AR$4001&lt;$AR1012))+1,"")</f>
        <v/>
      </c>
      <c r="AP1012">
        <f>IF($E1012="","",IF(OR($U1012=TRUE(),$U1012="TRUE"),1,0))</f>
        <v/>
      </c>
      <c r="AQ1012">
        <f>IF($E1012="","",IF($AA1012="Yes",1,0))</f>
        <v/>
      </c>
      <c r="AR1012">
        <f>IF($AN1012=1,IFERROR(VALUE(MID($E1012,2,20)),1000000000)+ROW()/100000,"")</f>
        <v/>
      </c>
    </row>
    <row r="1013">
      <c r="G1013" s="11" t="n"/>
      <c r="Q1013" s="7">
        <f>IF($E1013="","",P1013*Y1013/100)</f>
        <v/>
      </c>
      <c r="R1013" s="7" t="n"/>
      <c r="X1013" s="7" t="n"/>
      <c r="Y1013" s="7" t="n"/>
      <c r="AB1013">
        <f>IF($E1013="","",IF($AQ1013=1,0,IF($AP1013=1,Settings!$C$6,Settings!$C$7))*100)</f>
        <v/>
      </c>
      <c r="AC1013" s="7">
        <f>IF($E1013="","",Y1013*AB1013/100)</f>
        <v/>
      </c>
      <c r="AD1013" s="7">
        <f>IF($E1013="","",Y1013-AC1013)</f>
        <v/>
      </c>
      <c r="AE1013" s="7">
        <f>IF($E1013="","",AD1013-Q1013)</f>
        <v/>
      </c>
      <c r="AI1013" s="7" t="n"/>
      <c r="AL1013" s="11" t="n"/>
      <c r="AN1013">
        <f>IF($E1013="","",IF(COUNTIF($E$2:$E1013,$E1013)=1,1,0))</f>
        <v/>
      </c>
      <c r="AO1013">
        <f>IF($AN1013=1,SUMPRODUCT(--($AR$2:$AR$4001&lt;$AR1013))+1,"")</f>
        <v/>
      </c>
      <c r="AP1013">
        <f>IF($E1013="","",IF(OR($U1013=TRUE(),$U1013="TRUE"),1,0))</f>
        <v/>
      </c>
      <c r="AQ1013">
        <f>IF($E1013="","",IF($AA1013="Yes",1,0))</f>
        <v/>
      </c>
      <c r="AR1013">
        <f>IF($AN1013=1,IFERROR(VALUE(MID($E1013,2,20)),1000000000)+ROW()/100000,"")</f>
        <v/>
      </c>
    </row>
    <row r="1014">
      <c r="G1014" s="11" t="n"/>
      <c r="Q1014" s="7">
        <f>IF($E1014="","",P1014*Y1014/100)</f>
        <v/>
      </c>
      <c r="R1014" s="7" t="n"/>
      <c r="X1014" s="7" t="n"/>
      <c r="Y1014" s="7" t="n"/>
      <c r="AB1014">
        <f>IF($E1014="","",IF($AQ1014=1,0,IF($AP1014=1,Settings!$C$6,Settings!$C$7))*100)</f>
        <v/>
      </c>
      <c r="AC1014" s="7">
        <f>IF($E1014="","",Y1014*AB1014/100)</f>
        <v/>
      </c>
      <c r="AD1014" s="7">
        <f>IF($E1014="","",Y1014-AC1014)</f>
        <v/>
      </c>
      <c r="AE1014" s="7">
        <f>IF($E1014="","",AD1014-Q1014)</f>
        <v/>
      </c>
      <c r="AI1014" s="7" t="n"/>
      <c r="AL1014" s="11" t="n"/>
      <c r="AN1014">
        <f>IF($E1014="","",IF(COUNTIF($E$2:$E1014,$E1014)=1,1,0))</f>
        <v/>
      </c>
      <c r="AO1014">
        <f>IF($AN1014=1,SUMPRODUCT(--($AR$2:$AR$4001&lt;$AR1014))+1,"")</f>
        <v/>
      </c>
      <c r="AP1014">
        <f>IF($E1014="","",IF(OR($U1014=TRUE(),$U1014="TRUE"),1,0))</f>
        <v/>
      </c>
      <c r="AQ1014">
        <f>IF($E1014="","",IF($AA1014="Yes",1,0))</f>
        <v/>
      </c>
      <c r="AR1014">
        <f>IF($AN1014=1,IFERROR(VALUE(MID($E1014,2,20)),1000000000)+ROW()/100000,"")</f>
        <v/>
      </c>
    </row>
    <row r="1015">
      <c r="G1015" s="11" t="n"/>
      <c r="Q1015" s="7">
        <f>IF($E1015="","",P1015*Y1015/100)</f>
        <v/>
      </c>
      <c r="R1015" s="7" t="n"/>
      <c r="X1015" s="7" t="n"/>
      <c r="Y1015" s="7" t="n"/>
      <c r="AB1015">
        <f>IF($E1015="","",IF($AQ1015=1,0,IF($AP1015=1,Settings!$C$6,Settings!$C$7))*100)</f>
        <v/>
      </c>
      <c r="AC1015" s="7">
        <f>IF($E1015="","",Y1015*AB1015/100)</f>
        <v/>
      </c>
      <c r="AD1015" s="7">
        <f>IF($E1015="","",Y1015-AC1015)</f>
        <v/>
      </c>
      <c r="AE1015" s="7">
        <f>IF($E1015="","",AD1015-Q1015)</f>
        <v/>
      </c>
      <c r="AI1015" s="7" t="n"/>
      <c r="AL1015" s="11" t="n"/>
      <c r="AN1015">
        <f>IF($E1015="","",IF(COUNTIF($E$2:$E1015,$E1015)=1,1,0))</f>
        <v/>
      </c>
      <c r="AO1015">
        <f>IF($AN1015=1,SUMPRODUCT(--($AR$2:$AR$4001&lt;$AR1015))+1,"")</f>
        <v/>
      </c>
      <c r="AP1015">
        <f>IF($E1015="","",IF(OR($U1015=TRUE(),$U1015="TRUE"),1,0))</f>
        <v/>
      </c>
      <c r="AQ1015">
        <f>IF($E1015="","",IF($AA1015="Yes",1,0))</f>
        <v/>
      </c>
      <c r="AR1015">
        <f>IF($AN1015=1,IFERROR(VALUE(MID($E1015,2,20)),1000000000)+ROW()/100000,"")</f>
        <v/>
      </c>
    </row>
    <row r="1016">
      <c r="G1016" s="11" t="n"/>
      <c r="Q1016" s="7">
        <f>IF($E1016="","",P1016*Y1016/100)</f>
        <v/>
      </c>
      <c r="R1016" s="7" t="n"/>
      <c r="X1016" s="7" t="n"/>
      <c r="Y1016" s="7" t="n"/>
      <c r="AB1016">
        <f>IF($E1016="","",IF($AQ1016=1,0,IF($AP1016=1,Settings!$C$6,Settings!$C$7))*100)</f>
        <v/>
      </c>
      <c r="AC1016" s="7">
        <f>IF($E1016="","",Y1016*AB1016/100)</f>
        <v/>
      </c>
      <c r="AD1016" s="7">
        <f>IF($E1016="","",Y1016-AC1016)</f>
        <v/>
      </c>
      <c r="AE1016" s="7">
        <f>IF($E1016="","",AD1016-Q1016)</f>
        <v/>
      </c>
      <c r="AI1016" s="7" t="n"/>
      <c r="AL1016" s="11" t="n"/>
      <c r="AN1016">
        <f>IF($E1016="","",IF(COUNTIF($E$2:$E1016,$E1016)=1,1,0))</f>
        <v/>
      </c>
      <c r="AO1016">
        <f>IF($AN1016=1,SUMPRODUCT(--($AR$2:$AR$4001&lt;$AR1016))+1,"")</f>
        <v/>
      </c>
      <c r="AP1016">
        <f>IF($E1016="","",IF(OR($U1016=TRUE(),$U1016="TRUE"),1,0))</f>
        <v/>
      </c>
      <c r="AQ1016">
        <f>IF($E1016="","",IF($AA1016="Yes",1,0))</f>
        <v/>
      </c>
      <c r="AR1016">
        <f>IF($AN1016=1,IFERROR(VALUE(MID($E1016,2,20)),1000000000)+ROW()/100000,"")</f>
        <v/>
      </c>
    </row>
    <row r="1017">
      <c r="G1017" s="11" t="n"/>
      <c r="Q1017" s="7">
        <f>IF($E1017="","",P1017*Y1017/100)</f>
        <v/>
      </c>
      <c r="R1017" s="7" t="n"/>
      <c r="X1017" s="7" t="n"/>
      <c r="Y1017" s="7" t="n"/>
      <c r="AB1017">
        <f>IF($E1017="","",IF($AQ1017=1,0,IF($AP1017=1,Settings!$C$6,Settings!$C$7))*100)</f>
        <v/>
      </c>
      <c r="AC1017" s="7">
        <f>IF($E1017="","",Y1017*AB1017/100)</f>
        <v/>
      </c>
      <c r="AD1017" s="7">
        <f>IF($E1017="","",Y1017-AC1017)</f>
        <v/>
      </c>
      <c r="AE1017" s="7">
        <f>IF($E1017="","",AD1017-Q1017)</f>
        <v/>
      </c>
      <c r="AI1017" s="7" t="n"/>
      <c r="AL1017" s="11" t="n"/>
      <c r="AN1017">
        <f>IF($E1017="","",IF(COUNTIF($E$2:$E1017,$E1017)=1,1,0))</f>
        <v/>
      </c>
      <c r="AO1017">
        <f>IF($AN1017=1,SUMPRODUCT(--($AR$2:$AR$4001&lt;$AR1017))+1,"")</f>
        <v/>
      </c>
      <c r="AP1017">
        <f>IF($E1017="","",IF(OR($U1017=TRUE(),$U1017="TRUE"),1,0))</f>
        <v/>
      </c>
      <c r="AQ1017">
        <f>IF($E1017="","",IF($AA1017="Yes",1,0))</f>
        <v/>
      </c>
      <c r="AR1017">
        <f>IF($AN1017=1,IFERROR(VALUE(MID($E1017,2,20)),1000000000)+ROW()/100000,"")</f>
        <v/>
      </c>
    </row>
    <row r="1018">
      <c r="G1018" s="11" t="n"/>
      <c r="Q1018" s="7">
        <f>IF($E1018="","",P1018*Y1018/100)</f>
        <v/>
      </c>
      <c r="R1018" s="7" t="n"/>
      <c r="X1018" s="7" t="n"/>
      <c r="Y1018" s="7" t="n"/>
      <c r="AB1018">
        <f>IF($E1018="","",IF($AQ1018=1,0,IF($AP1018=1,Settings!$C$6,Settings!$C$7))*100)</f>
        <v/>
      </c>
      <c r="AC1018" s="7">
        <f>IF($E1018="","",Y1018*AB1018/100)</f>
        <v/>
      </c>
      <c r="AD1018" s="7">
        <f>IF($E1018="","",Y1018-AC1018)</f>
        <v/>
      </c>
      <c r="AE1018" s="7">
        <f>IF($E1018="","",AD1018-Q1018)</f>
        <v/>
      </c>
      <c r="AI1018" s="7" t="n"/>
      <c r="AL1018" s="11" t="n"/>
      <c r="AN1018">
        <f>IF($E1018="","",IF(COUNTIF($E$2:$E1018,$E1018)=1,1,0))</f>
        <v/>
      </c>
      <c r="AO1018">
        <f>IF($AN1018=1,SUMPRODUCT(--($AR$2:$AR$4001&lt;$AR1018))+1,"")</f>
        <v/>
      </c>
      <c r="AP1018">
        <f>IF($E1018="","",IF(OR($U1018=TRUE(),$U1018="TRUE"),1,0))</f>
        <v/>
      </c>
      <c r="AQ1018">
        <f>IF($E1018="","",IF($AA1018="Yes",1,0))</f>
        <v/>
      </c>
      <c r="AR1018">
        <f>IF($AN1018=1,IFERROR(VALUE(MID($E1018,2,20)),1000000000)+ROW()/100000,"")</f>
        <v/>
      </c>
    </row>
    <row r="1019">
      <c r="G1019" s="11" t="n"/>
      <c r="Q1019" s="7">
        <f>IF($E1019="","",P1019*Y1019/100)</f>
        <v/>
      </c>
      <c r="R1019" s="7" t="n"/>
      <c r="X1019" s="7" t="n"/>
      <c r="Y1019" s="7" t="n"/>
      <c r="AB1019">
        <f>IF($E1019="","",IF($AQ1019=1,0,IF($AP1019=1,Settings!$C$6,Settings!$C$7))*100)</f>
        <v/>
      </c>
      <c r="AC1019" s="7">
        <f>IF($E1019="","",Y1019*AB1019/100)</f>
        <v/>
      </c>
      <c r="AD1019" s="7">
        <f>IF($E1019="","",Y1019-AC1019)</f>
        <v/>
      </c>
      <c r="AE1019" s="7">
        <f>IF($E1019="","",AD1019-Q1019)</f>
        <v/>
      </c>
      <c r="AI1019" s="7" t="n"/>
      <c r="AL1019" s="11" t="n"/>
      <c r="AN1019">
        <f>IF($E1019="","",IF(COUNTIF($E$2:$E1019,$E1019)=1,1,0))</f>
        <v/>
      </c>
      <c r="AO1019">
        <f>IF($AN1019=1,SUMPRODUCT(--($AR$2:$AR$4001&lt;$AR1019))+1,"")</f>
        <v/>
      </c>
      <c r="AP1019">
        <f>IF($E1019="","",IF(OR($U1019=TRUE(),$U1019="TRUE"),1,0))</f>
        <v/>
      </c>
      <c r="AQ1019">
        <f>IF($E1019="","",IF($AA1019="Yes",1,0))</f>
        <v/>
      </c>
      <c r="AR1019">
        <f>IF($AN1019=1,IFERROR(VALUE(MID($E1019,2,20)),1000000000)+ROW()/100000,"")</f>
        <v/>
      </c>
    </row>
    <row r="1020">
      <c r="G1020" s="11" t="n"/>
      <c r="Q1020" s="7">
        <f>IF($E1020="","",P1020*Y1020/100)</f>
        <v/>
      </c>
      <c r="R1020" s="7" t="n"/>
      <c r="X1020" s="7" t="n"/>
      <c r="Y1020" s="7" t="n"/>
      <c r="AB1020">
        <f>IF($E1020="","",IF($AQ1020=1,0,IF($AP1020=1,Settings!$C$6,Settings!$C$7))*100)</f>
        <v/>
      </c>
      <c r="AC1020" s="7">
        <f>IF($E1020="","",Y1020*AB1020/100)</f>
        <v/>
      </c>
      <c r="AD1020" s="7">
        <f>IF($E1020="","",Y1020-AC1020)</f>
        <v/>
      </c>
      <c r="AE1020" s="7">
        <f>IF($E1020="","",AD1020-Q1020)</f>
        <v/>
      </c>
      <c r="AI1020" s="7" t="n"/>
      <c r="AL1020" s="11" t="n"/>
      <c r="AN1020">
        <f>IF($E1020="","",IF(COUNTIF($E$2:$E1020,$E1020)=1,1,0))</f>
        <v/>
      </c>
      <c r="AO1020">
        <f>IF($AN1020=1,SUMPRODUCT(--($AR$2:$AR$4001&lt;$AR1020))+1,"")</f>
        <v/>
      </c>
      <c r="AP1020">
        <f>IF($E1020="","",IF(OR($U1020=TRUE(),$U1020="TRUE"),1,0))</f>
        <v/>
      </c>
      <c r="AQ1020">
        <f>IF($E1020="","",IF($AA1020="Yes",1,0))</f>
        <v/>
      </c>
      <c r="AR1020">
        <f>IF($AN1020=1,IFERROR(VALUE(MID($E1020,2,20)),1000000000)+ROW()/100000,"")</f>
        <v/>
      </c>
    </row>
    <row r="1021">
      <c r="G1021" s="11" t="n"/>
      <c r="Q1021" s="7">
        <f>IF($E1021="","",P1021*Y1021/100)</f>
        <v/>
      </c>
      <c r="R1021" s="7" t="n"/>
      <c r="X1021" s="7" t="n"/>
      <c r="Y1021" s="7" t="n"/>
      <c r="AB1021">
        <f>IF($E1021="","",IF($AQ1021=1,0,IF($AP1021=1,Settings!$C$6,Settings!$C$7))*100)</f>
        <v/>
      </c>
      <c r="AC1021" s="7">
        <f>IF($E1021="","",Y1021*AB1021/100)</f>
        <v/>
      </c>
      <c r="AD1021" s="7">
        <f>IF($E1021="","",Y1021-AC1021)</f>
        <v/>
      </c>
      <c r="AE1021" s="7">
        <f>IF($E1021="","",AD1021-Q1021)</f>
        <v/>
      </c>
      <c r="AI1021" s="7" t="n"/>
      <c r="AL1021" s="11" t="n"/>
      <c r="AN1021">
        <f>IF($E1021="","",IF(COUNTIF($E$2:$E1021,$E1021)=1,1,0))</f>
        <v/>
      </c>
      <c r="AO1021">
        <f>IF($AN1021=1,SUMPRODUCT(--($AR$2:$AR$4001&lt;$AR1021))+1,"")</f>
        <v/>
      </c>
      <c r="AP1021">
        <f>IF($E1021="","",IF(OR($U1021=TRUE(),$U1021="TRUE"),1,0))</f>
        <v/>
      </c>
      <c r="AQ1021">
        <f>IF($E1021="","",IF($AA1021="Yes",1,0))</f>
        <v/>
      </c>
      <c r="AR1021">
        <f>IF($AN1021=1,IFERROR(VALUE(MID($E1021,2,20)),1000000000)+ROW()/100000,"")</f>
        <v/>
      </c>
    </row>
    <row r="1022">
      <c r="G1022" s="11" t="n"/>
      <c r="Q1022" s="7">
        <f>IF($E1022="","",P1022*Y1022/100)</f>
        <v/>
      </c>
      <c r="R1022" s="7" t="n"/>
      <c r="X1022" s="7" t="n"/>
      <c r="Y1022" s="7" t="n"/>
      <c r="AB1022">
        <f>IF($E1022="","",IF($AQ1022=1,0,IF($AP1022=1,Settings!$C$6,Settings!$C$7))*100)</f>
        <v/>
      </c>
      <c r="AC1022" s="7">
        <f>IF($E1022="","",Y1022*AB1022/100)</f>
        <v/>
      </c>
      <c r="AD1022" s="7">
        <f>IF($E1022="","",Y1022-AC1022)</f>
        <v/>
      </c>
      <c r="AE1022" s="7">
        <f>IF($E1022="","",AD1022-Q1022)</f>
        <v/>
      </c>
      <c r="AI1022" s="7" t="n"/>
      <c r="AL1022" s="11" t="n"/>
      <c r="AN1022">
        <f>IF($E1022="","",IF(COUNTIF($E$2:$E1022,$E1022)=1,1,0))</f>
        <v/>
      </c>
      <c r="AO1022">
        <f>IF($AN1022=1,SUMPRODUCT(--($AR$2:$AR$4001&lt;$AR1022))+1,"")</f>
        <v/>
      </c>
      <c r="AP1022">
        <f>IF($E1022="","",IF(OR($U1022=TRUE(),$U1022="TRUE"),1,0))</f>
        <v/>
      </c>
      <c r="AQ1022">
        <f>IF($E1022="","",IF($AA1022="Yes",1,0))</f>
        <v/>
      </c>
      <c r="AR1022">
        <f>IF($AN1022=1,IFERROR(VALUE(MID($E1022,2,20)),1000000000)+ROW()/100000,"")</f>
        <v/>
      </c>
    </row>
    <row r="1023">
      <c r="G1023" s="11" t="n"/>
      <c r="Q1023" s="7">
        <f>IF($E1023="","",P1023*Y1023/100)</f>
        <v/>
      </c>
      <c r="R1023" s="7" t="n"/>
      <c r="X1023" s="7" t="n"/>
      <c r="Y1023" s="7" t="n"/>
      <c r="AB1023">
        <f>IF($E1023="","",IF($AQ1023=1,0,IF($AP1023=1,Settings!$C$6,Settings!$C$7))*100)</f>
        <v/>
      </c>
      <c r="AC1023" s="7">
        <f>IF($E1023="","",Y1023*AB1023/100)</f>
        <v/>
      </c>
      <c r="AD1023" s="7">
        <f>IF($E1023="","",Y1023-AC1023)</f>
        <v/>
      </c>
      <c r="AE1023" s="7">
        <f>IF($E1023="","",AD1023-Q1023)</f>
        <v/>
      </c>
      <c r="AI1023" s="7" t="n"/>
      <c r="AL1023" s="11" t="n"/>
      <c r="AN1023">
        <f>IF($E1023="","",IF(COUNTIF($E$2:$E1023,$E1023)=1,1,0))</f>
        <v/>
      </c>
      <c r="AO1023">
        <f>IF($AN1023=1,SUMPRODUCT(--($AR$2:$AR$4001&lt;$AR1023))+1,"")</f>
        <v/>
      </c>
      <c r="AP1023">
        <f>IF($E1023="","",IF(OR($U1023=TRUE(),$U1023="TRUE"),1,0))</f>
        <v/>
      </c>
      <c r="AQ1023">
        <f>IF($E1023="","",IF($AA1023="Yes",1,0))</f>
        <v/>
      </c>
      <c r="AR1023">
        <f>IF($AN1023=1,IFERROR(VALUE(MID($E1023,2,20)),1000000000)+ROW()/100000,"")</f>
        <v/>
      </c>
    </row>
    <row r="1024">
      <c r="G1024" s="11" t="n"/>
      <c r="Q1024" s="7">
        <f>IF($E1024="","",P1024*Y1024/100)</f>
        <v/>
      </c>
      <c r="R1024" s="7" t="n"/>
      <c r="X1024" s="7" t="n"/>
      <c r="Y1024" s="7" t="n"/>
      <c r="AB1024">
        <f>IF($E1024="","",IF($AQ1024=1,0,IF($AP1024=1,Settings!$C$6,Settings!$C$7))*100)</f>
        <v/>
      </c>
      <c r="AC1024" s="7">
        <f>IF($E1024="","",Y1024*AB1024/100)</f>
        <v/>
      </c>
      <c r="AD1024" s="7">
        <f>IF($E1024="","",Y1024-AC1024)</f>
        <v/>
      </c>
      <c r="AE1024" s="7">
        <f>IF($E1024="","",AD1024-Q1024)</f>
        <v/>
      </c>
      <c r="AI1024" s="7" t="n"/>
      <c r="AL1024" s="11" t="n"/>
      <c r="AN1024">
        <f>IF($E1024="","",IF(COUNTIF($E$2:$E1024,$E1024)=1,1,0))</f>
        <v/>
      </c>
      <c r="AO1024">
        <f>IF($AN1024=1,SUMPRODUCT(--($AR$2:$AR$4001&lt;$AR1024))+1,"")</f>
        <v/>
      </c>
      <c r="AP1024">
        <f>IF($E1024="","",IF(OR($U1024=TRUE(),$U1024="TRUE"),1,0))</f>
        <v/>
      </c>
      <c r="AQ1024">
        <f>IF($E1024="","",IF($AA1024="Yes",1,0))</f>
        <v/>
      </c>
      <c r="AR1024">
        <f>IF($AN1024=1,IFERROR(VALUE(MID($E1024,2,20)),1000000000)+ROW()/100000,"")</f>
        <v/>
      </c>
    </row>
    <row r="1025">
      <c r="G1025" s="11" t="n"/>
      <c r="Q1025" s="7">
        <f>IF($E1025="","",P1025*Y1025/100)</f>
        <v/>
      </c>
      <c r="R1025" s="7" t="n"/>
      <c r="X1025" s="7" t="n"/>
      <c r="Y1025" s="7" t="n"/>
      <c r="AB1025">
        <f>IF($E1025="","",IF($AQ1025=1,0,IF($AP1025=1,Settings!$C$6,Settings!$C$7))*100)</f>
        <v/>
      </c>
      <c r="AC1025" s="7">
        <f>IF($E1025="","",Y1025*AB1025/100)</f>
        <v/>
      </c>
      <c r="AD1025" s="7">
        <f>IF($E1025="","",Y1025-AC1025)</f>
        <v/>
      </c>
      <c r="AE1025" s="7">
        <f>IF($E1025="","",AD1025-Q1025)</f>
        <v/>
      </c>
      <c r="AI1025" s="7" t="n"/>
      <c r="AL1025" s="11" t="n"/>
      <c r="AN1025">
        <f>IF($E1025="","",IF(COUNTIF($E$2:$E1025,$E1025)=1,1,0))</f>
        <v/>
      </c>
      <c r="AO1025">
        <f>IF($AN1025=1,SUMPRODUCT(--($AR$2:$AR$4001&lt;$AR1025))+1,"")</f>
        <v/>
      </c>
      <c r="AP1025">
        <f>IF($E1025="","",IF(OR($U1025=TRUE(),$U1025="TRUE"),1,0))</f>
        <v/>
      </c>
      <c r="AQ1025">
        <f>IF($E1025="","",IF($AA1025="Yes",1,0))</f>
        <v/>
      </c>
      <c r="AR1025">
        <f>IF($AN1025=1,IFERROR(VALUE(MID($E1025,2,20)),1000000000)+ROW()/100000,"")</f>
        <v/>
      </c>
    </row>
    <row r="1026">
      <c r="G1026" s="11" t="n"/>
      <c r="Q1026" s="7">
        <f>IF($E1026="","",P1026*Y1026/100)</f>
        <v/>
      </c>
      <c r="R1026" s="7" t="n"/>
      <c r="X1026" s="7" t="n"/>
      <c r="Y1026" s="7" t="n"/>
      <c r="AB1026">
        <f>IF($E1026="","",IF($AQ1026=1,0,IF($AP1026=1,Settings!$C$6,Settings!$C$7))*100)</f>
        <v/>
      </c>
      <c r="AC1026" s="7">
        <f>IF($E1026="","",Y1026*AB1026/100)</f>
        <v/>
      </c>
      <c r="AD1026" s="7">
        <f>IF($E1026="","",Y1026-AC1026)</f>
        <v/>
      </c>
      <c r="AE1026" s="7">
        <f>IF($E1026="","",AD1026-Q1026)</f>
        <v/>
      </c>
      <c r="AI1026" s="7" t="n"/>
      <c r="AL1026" s="11" t="n"/>
      <c r="AN1026">
        <f>IF($E1026="","",IF(COUNTIF($E$2:$E1026,$E1026)=1,1,0))</f>
        <v/>
      </c>
      <c r="AO1026">
        <f>IF($AN1026=1,SUMPRODUCT(--($AR$2:$AR$4001&lt;$AR1026))+1,"")</f>
        <v/>
      </c>
      <c r="AP1026">
        <f>IF($E1026="","",IF(OR($U1026=TRUE(),$U1026="TRUE"),1,0))</f>
        <v/>
      </c>
      <c r="AQ1026">
        <f>IF($E1026="","",IF($AA1026="Yes",1,0))</f>
        <v/>
      </c>
      <c r="AR1026">
        <f>IF($AN1026=1,IFERROR(VALUE(MID($E1026,2,20)),1000000000)+ROW()/100000,"")</f>
        <v/>
      </c>
    </row>
    <row r="1027">
      <c r="G1027" s="11" t="n"/>
      <c r="Q1027" s="7">
        <f>IF($E1027="","",P1027*Y1027/100)</f>
        <v/>
      </c>
      <c r="R1027" s="7" t="n"/>
      <c r="X1027" s="7" t="n"/>
      <c r="Y1027" s="7" t="n"/>
      <c r="AB1027">
        <f>IF($E1027="","",IF($AQ1027=1,0,IF($AP1027=1,Settings!$C$6,Settings!$C$7))*100)</f>
        <v/>
      </c>
      <c r="AC1027" s="7">
        <f>IF($E1027="","",Y1027*AB1027/100)</f>
        <v/>
      </c>
      <c r="AD1027" s="7">
        <f>IF($E1027="","",Y1027-AC1027)</f>
        <v/>
      </c>
      <c r="AE1027" s="7">
        <f>IF($E1027="","",AD1027-Q1027)</f>
        <v/>
      </c>
      <c r="AI1027" s="7" t="n"/>
      <c r="AL1027" s="11" t="n"/>
      <c r="AN1027">
        <f>IF($E1027="","",IF(COUNTIF($E$2:$E1027,$E1027)=1,1,0))</f>
        <v/>
      </c>
      <c r="AO1027">
        <f>IF($AN1027=1,SUMPRODUCT(--($AR$2:$AR$4001&lt;$AR1027))+1,"")</f>
        <v/>
      </c>
      <c r="AP1027">
        <f>IF($E1027="","",IF(OR($U1027=TRUE(),$U1027="TRUE"),1,0))</f>
        <v/>
      </c>
      <c r="AQ1027">
        <f>IF($E1027="","",IF($AA1027="Yes",1,0))</f>
        <v/>
      </c>
      <c r="AR1027">
        <f>IF($AN1027=1,IFERROR(VALUE(MID($E1027,2,20)),1000000000)+ROW()/100000,"")</f>
        <v/>
      </c>
    </row>
    <row r="1028">
      <c r="G1028" s="11" t="n"/>
      <c r="Q1028" s="7">
        <f>IF($E1028="","",P1028*Y1028/100)</f>
        <v/>
      </c>
      <c r="R1028" s="7" t="n"/>
      <c r="X1028" s="7" t="n"/>
      <c r="Y1028" s="7" t="n"/>
      <c r="AB1028">
        <f>IF($E1028="","",IF($AQ1028=1,0,IF($AP1028=1,Settings!$C$6,Settings!$C$7))*100)</f>
        <v/>
      </c>
      <c r="AC1028" s="7">
        <f>IF($E1028="","",Y1028*AB1028/100)</f>
        <v/>
      </c>
      <c r="AD1028" s="7">
        <f>IF($E1028="","",Y1028-AC1028)</f>
        <v/>
      </c>
      <c r="AE1028" s="7">
        <f>IF($E1028="","",AD1028-Q1028)</f>
        <v/>
      </c>
      <c r="AI1028" s="7" t="n"/>
      <c r="AL1028" s="11" t="n"/>
      <c r="AN1028">
        <f>IF($E1028="","",IF(COUNTIF($E$2:$E1028,$E1028)=1,1,0))</f>
        <v/>
      </c>
      <c r="AO1028">
        <f>IF($AN1028=1,SUMPRODUCT(--($AR$2:$AR$4001&lt;$AR1028))+1,"")</f>
        <v/>
      </c>
      <c r="AP1028">
        <f>IF($E1028="","",IF(OR($U1028=TRUE(),$U1028="TRUE"),1,0))</f>
        <v/>
      </c>
      <c r="AQ1028">
        <f>IF($E1028="","",IF($AA1028="Yes",1,0))</f>
        <v/>
      </c>
      <c r="AR1028">
        <f>IF($AN1028=1,IFERROR(VALUE(MID($E1028,2,20)),1000000000)+ROW()/100000,"")</f>
        <v/>
      </c>
    </row>
    <row r="1029">
      <c r="G1029" s="11" t="n"/>
      <c r="Q1029" s="7">
        <f>IF($E1029="","",P1029*Y1029/100)</f>
        <v/>
      </c>
      <c r="R1029" s="7" t="n"/>
      <c r="X1029" s="7" t="n"/>
      <c r="Y1029" s="7" t="n"/>
      <c r="AB1029">
        <f>IF($E1029="","",IF($AQ1029=1,0,IF($AP1029=1,Settings!$C$6,Settings!$C$7))*100)</f>
        <v/>
      </c>
      <c r="AC1029" s="7">
        <f>IF($E1029="","",Y1029*AB1029/100)</f>
        <v/>
      </c>
      <c r="AD1029" s="7">
        <f>IF($E1029="","",Y1029-AC1029)</f>
        <v/>
      </c>
      <c r="AE1029" s="7">
        <f>IF($E1029="","",AD1029-Q1029)</f>
        <v/>
      </c>
      <c r="AI1029" s="7" t="n"/>
      <c r="AL1029" s="11" t="n"/>
      <c r="AN1029">
        <f>IF($E1029="","",IF(COUNTIF($E$2:$E1029,$E1029)=1,1,0))</f>
        <v/>
      </c>
      <c r="AO1029">
        <f>IF($AN1029=1,SUMPRODUCT(--($AR$2:$AR$4001&lt;$AR1029))+1,"")</f>
        <v/>
      </c>
      <c r="AP1029">
        <f>IF($E1029="","",IF(OR($U1029=TRUE(),$U1029="TRUE"),1,0))</f>
        <v/>
      </c>
      <c r="AQ1029">
        <f>IF($E1029="","",IF($AA1029="Yes",1,0))</f>
        <v/>
      </c>
      <c r="AR1029">
        <f>IF($AN1029=1,IFERROR(VALUE(MID($E1029,2,20)),1000000000)+ROW()/100000,"")</f>
        <v/>
      </c>
    </row>
    <row r="1030">
      <c r="G1030" s="11" t="n"/>
      <c r="Q1030" s="7">
        <f>IF($E1030="","",P1030*Y1030/100)</f>
        <v/>
      </c>
      <c r="R1030" s="7" t="n"/>
      <c r="X1030" s="7" t="n"/>
      <c r="Y1030" s="7" t="n"/>
      <c r="AB1030">
        <f>IF($E1030="","",IF($AQ1030=1,0,IF($AP1030=1,Settings!$C$6,Settings!$C$7))*100)</f>
        <v/>
      </c>
      <c r="AC1030" s="7">
        <f>IF($E1030="","",Y1030*AB1030/100)</f>
        <v/>
      </c>
      <c r="AD1030" s="7">
        <f>IF($E1030="","",Y1030-AC1030)</f>
        <v/>
      </c>
      <c r="AE1030" s="7">
        <f>IF($E1030="","",AD1030-Q1030)</f>
        <v/>
      </c>
      <c r="AI1030" s="7" t="n"/>
      <c r="AL1030" s="11" t="n"/>
      <c r="AN1030">
        <f>IF($E1030="","",IF(COUNTIF($E$2:$E1030,$E1030)=1,1,0))</f>
        <v/>
      </c>
      <c r="AO1030">
        <f>IF($AN1030=1,SUMPRODUCT(--($AR$2:$AR$4001&lt;$AR1030))+1,"")</f>
        <v/>
      </c>
      <c r="AP1030">
        <f>IF($E1030="","",IF(OR($U1030=TRUE(),$U1030="TRUE"),1,0))</f>
        <v/>
      </c>
      <c r="AQ1030">
        <f>IF($E1030="","",IF($AA1030="Yes",1,0))</f>
        <v/>
      </c>
      <c r="AR1030">
        <f>IF($AN1030=1,IFERROR(VALUE(MID($E1030,2,20)),1000000000)+ROW()/100000,"")</f>
        <v/>
      </c>
    </row>
    <row r="1031">
      <c r="G1031" s="11" t="n"/>
      <c r="Q1031" s="7">
        <f>IF($E1031="","",P1031*Y1031/100)</f>
        <v/>
      </c>
      <c r="R1031" s="7" t="n"/>
      <c r="X1031" s="7" t="n"/>
      <c r="Y1031" s="7" t="n"/>
      <c r="AB1031">
        <f>IF($E1031="","",IF($AQ1031=1,0,IF($AP1031=1,Settings!$C$6,Settings!$C$7))*100)</f>
        <v/>
      </c>
      <c r="AC1031" s="7">
        <f>IF($E1031="","",Y1031*AB1031/100)</f>
        <v/>
      </c>
      <c r="AD1031" s="7">
        <f>IF($E1031="","",Y1031-AC1031)</f>
        <v/>
      </c>
      <c r="AE1031" s="7">
        <f>IF($E1031="","",AD1031-Q1031)</f>
        <v/>
      </c>
      <c r="AI1031" s="7" t="n"/>
      <c r="AL1031" s="11" t="n"/>
      <c r="AN1031">
        <f>IF($E1031="","",IF(COUNTIF($E$2:$E1031,$E1031)=1,1,0))</f>
        <v/>
      </c>
      <c r="AO1031">
        <f>IF($AN1031=1,SUMPRODUCT(--($AR$2:$AR$4001&lt;$AR1031))+1,"")</f>
        <v/>
      </c>
      <c r="AP1031">
        <f>IF($E1031="","",IF(OR($U1031=TRUE(),$U1031="TRUE"),1,0))</f>
        <v/>
      </c>
      <c r="AQ1031">
        <f>IF($E1031="","",IF($AA1031="Yes",1,0))</f>
        <v/>
      </c>
      <c r="AR1031">
        <f>IF($AN1031=1,IFERROR(VALUE(MID($E1031,2,20)),1000000000)+ROW()/100000,"")</f>
        <v/>
      </c>
    </row>
    <row r="1032">
      <c r="G1032" s="11" t="n"/>
      <c r="Q1032" s="7">
        <f>IF($E1032="","",P1032*Y1032/100)</f>
        <v/>
      </c>
      <c r="R1032" s="7" t="n"/>
      <c r="X1032" s="7" t="n"/>
      <c r="Y1032" s="7" t="n"/>
      <c r="AB1032">
        <f>IF($E1032="","",IF($AQ1032=1,0,IF($AP1032=1,Settings!$C$6,Settings!$C$7))*100)</f>
        <v/>
      </c>
      <c r="AC1032" s="7">
        <f>IF($E1032="","",Y1032*AB1032/100)</f>
        <v/>
      </c>
      <c r="AD1032" s="7">
        <f>IF($E1032="","",Y1032-AC1032)</f>
        <v/>
      </c>
      <c r="AE1032" s="7">
        <f>IF($E1032="","",AD1032-Q1032)</f>
        <v/>
      </c>
      <c r="AI1032" s="7" t="n"/>
      <c r="AL1032" s="11" t="n"/>
      <c r="AN1032">
        <f>IF($E1032="","",IF(COUNTIF($E$2:$E1032,$E1032)=1,1,0))</f>
        <v/>
      </c>
      <c r="AO1032">
        <f>IF($AN1032=1,SUMPRODUCT(--($AR$2:$AR$4001&lt;$AR1032))+1,"")</f>
        <v/>
      </c>
      <c r="AP1032">
        <f>IF($E1032="","",IF(OR($U1032=TRUE(),$U1032="TRUE"),1,0))</f>
        <v/>
      </c>
      <c r="AQ1032">
        <f>IF($E1032="","",IF($AA1032="Yes",1,0))</f>
        <v/>
      </c>
      <c r="AR1032">
        <f>IF($AN1032=1,IFERROR(VALUE(MID($E1032,2,20)),1000000000)+ROW()/100000,"")</f>
        <v/>
      </c>
    </row>
    <row r="1033">
      <c r="G1033" s="11" t="n"/>
      <c r="Q1033" s="7">
        <f>IF($E1033="","",P1033*Y1033/100)</f>
        <v/>
      </c>
      <c r="R1033" s="7" t="n"/>
      <c r="X1033" s="7" t="n"/>
      <c r="Y1033" s="7" t="n"/>
      <c r="AB1033">
        <f>IF($E1033="","",IF($AQ1033=1,0,IF($AP1033=1,Settings!$C$6,Settings!$C$7))*100)</f>
        <v/>
      </c>
      <c r="AC1033" s="7">
        <f>IF($E1033="","",Y1033*AB1033/100)</f>
        <v/>
      </c>
      <c r="AD1033" s="7">
        <f>IF($E1033="","",Y1033-AC1033)</f>
        <v/>
      </c>
      <c r="AE1033" s="7">
        <f>IF($E1033="","",AD1033-Q1033)</f>
        <v/>
      </c>
      <c r="AI1033" s="7" t="n"/>
      <c r="AL1033" s="11" t="n"/>
      <c r="AN1033">
        <f>IF($E1033="","",IF(COUNTIF($E$2:$E1033,$E1033)=1,1,0))</f>
        <v/>
      </c>
      <c r="AO1033">
        <f>IF($AN1033=1,SUMPRODUCT(--($AR$2:$AR$4001&lt;$AR1033))+1,"")</f>
        <v/>
      </c>
      <c r="AP1033">
        <f>IF($E1033="","",IF(OR($U1033=TRUE(),$U1033="TRUE"),1,0))</f>
        <v/>
      </c>
      <c r="AQ1033">
        <f>IF($E1033="","",IF($AA1033="Yes",1,0))</f>
        <v/>
      </c>
      <c r="AR1033">
        <f>IF($AN1033=1,IFERROR(VALUE(MID($E1033,2,20)),1000000000)+ROW()/100000,"")</f>
        <v/>
      </c>
    </row>
    <row r="1034">
      <c r="G1034" s="11" t="n"/>
      <c r="Q1034" s="7">
        <f>IF($E1034="","",P1034*Y1034/100)</f>
        <v/>
      </c>
      <c r="R1034" s="7" t="n"/>
      <c r="X1034" s="7" t="n"/>
      <c r="Y1034" s="7" t="n"/>
      <c r="AB1034">
        <f>IF($E1034="","",IF($AQ1034=1,0,IF($AP1034=1,Settings!$C$6,Settings!$C$7))*100)</f>
        <v/>
      </c>
      <c r="AC1034" s="7">
        <f>IF($E1034="","",Y1034*AB1034/100)</f>
        <v/>
      </c>
      <c r="AD1034" s="7">
        <f>IF($E1034="","",Y1034-AC1034)</f>
        <v/>
      </c>
      <c r="AE1034" s="7">
        <f>IF($E1034="","",AD1034-Q1034)</f>
        <v/>
      </c>
      <c r="AI1034" s="7" t="n"/>
      <c r="AL1034" s="11" t="n"/>
      <c r="AN1034">
        <f>IF($E1034="","",IF(COUNTIF($E$2:$E1034,$E1034)=1,1,0))</f>
        <v/>
      </c>
      <c r="AO1034">
        <f>IF($AN1034=1,SUMPRODUCT(--($AR$2:$AR$4001&lt;$AR1034))+1,"")</f>
        <v/>
      </c>
      <c r="AP1034">
        <f>IF($E1034="","",IF(OR($U1034=TRUE(),$U1034="TRUE"),1,0))</f>
        <v/>
      </c>
      <c r="AQ1034">
        <f>IF($E1034="","",IF($AA1034="Yes",1,0))</f>
        <v/>
      </c>
      <c r="AR1034">
        <f>IF($AN1034=1,IFERROR(VALUE(MID($E1034,2,20)),1000000000)+ROW()/100000,"")</f>
        <v/>
      </c>
    </row>
    <row r="1035">
      <c r="G1035" s="11" t="n"/>
      <c r="Q1035" s="7">
        <f>IF($E1035="","",P1035*Y1035/100)</f>
        <v/>
      </c>
      <c r="R1035" s="7" t="n"/>
      <c r="X1035" s="7" t="n"/>
      <c r="Y1035" s="7" t="n"/>
      <c r="AB1035">
        <f>IF($E1035="","",IF($AQ1035=1,0,IF($AP1035=1,Settings!$C$6,Settings!$C$7))*100)</f>
        <v/>
      </c>
      <c r="AC1035" s="7">
        <f>IF($E1035="","",Y1035*AB1035/100)</f>
        <v/>
      </c>
      <c r="AD1035" s="7">
        <f>IF($E1035="","",Y1035-AC1035)</f>
        <v/>
      </c>
      <c r="AE1035" s="7">
        <f>IF($E1035="","",AD1035-Q1035)</f>
        <v/>
      </c>
      <c r="AI1035" s="7" t="n"/>
      <c r="AL1035" s="11" t="n"/>
      <c r="AN1035">
        <f>IF($E1035="","",IF(COUNTIF($E$2:$E1035,$E1035)=1,1,0))</f>
        <v/>
      </c>
      <c r="AO1035">
        <f>IF($AN1035=1,SUMPRODUCT(--($AR$2:$AR$4001&lt;$AR1035))+1,"")</f>
        <v/>
      </c>
      <c r="AP1035">
        <f>IF($E1035="","",IF(OR($U1035=TRUE(),$U1035="TRUE"),1,0))</f>
        <v/>
      </c>
      <c r="AQ1035">
        <f>IF($E1035="","",IF($AA1035="Yes",1,0))</f>
        <v/>
      </c>
      <c r="AR1035">
        <f>IF($AN1035=1,IFERROR(VALUE(MID($E1035,2,20)),1000000000)+ROW()/100000,"")</f>
        <v/>
      </c>
    </row>
    <row r="1036">
      <c r="G1036" s="11" t="n"/>
      <c r="Q1036" s="7">
        <f>IF($E1036="","",P1036*Y1036/100)</f>
        <v/>
      </c>
      <c r="R1036" s="7" t="n"/>
      <c r="X1036" s="7" t="n"/>
      <c r="Y1036" s="7" t="n"/>
      <c r="AB1036">
        <f>IF($E1036="","",IF($AQ1036=1,0,IF($AP1036=1,Settings!$C$6,Settings!$C$7))*100)</f>
        <v/>
      </c>
      <c r="AC1036" s="7">
        <f>IF($E1036="","",Y1036*AB1036/100)</f>
        <v/>
      </c>
      <c r="AD1036" s="7">
        <f>IF($E1036="","",Y1036-AC1036)</f>
        <v/>
      </c>
      <c r="AE1036" s="7">
        <f>IF($E1036="","",AD1036-Q1036)</f>
        <v/>
      </c>
      <c r="AI1036" s="7" t="n"/>
      <c r="AL1036" s="11" t="n"/>
      <c r="AN1036">
        <f>IF($E1036="","",IF(COUNTIF($E$2:$E1036,$E1036)=1,1,0))</f>
        <v/>
      </c>
      <c r="AO1036">
        <f>IF($AN1036=1,SUMPRODUCT(--($AR$2:$AR$4001&lt;$AR1036))+1,"")</f>
        <v/>
      </c>
      <c r="AP1036">
        <f>IF($E1036="","",IF(OR($U1036=TRUE(),$U1036="TRUE"),1,0))</f>
        <v/>
      </c>
      <c r="AQ1036">
        <f>IF($E1036="","",IF($AA1036="Yes",1,0))</f>
        <v/>
      </c>
      <c r="AR1036">
        <f>IF($AN1036=1,IFERROR(VALUE(MID($E1036,2,20)),1000000000)+ROW()/100000,"")</f>
        <v/>
      </c>
    </row>
    <row r="1037">
      <c r="G1037" s="11" t="n"/>
      <c r="Q1037" s="7">
        <f>IF($E1037="","",P1037*Y1037/100)</f>
        <v/>
      </c>
      <c r="R1037" s="7" t="n"/>
      <c r="X1037" s="7" t="n"/>
      <c r="Y1037" s="7" t="n"/>
      <c r="AB1037">
        <f>IF($E1037="","",IF($AQ1037=1,0,IF($AP1037=1,Settings!$C$6,Settings!$C$7))*100)</f>
        <v/>
      </c>
      <c r="AC1037" s="7">
        <f>IF($E1037="","",Y1037*AB1037/100)</f>
        <v/>
      </c>
      <c r="AD1037" s="7">
        <f>IF($E1037="","",Y1037-AC1037)</f>
        <v/>
      </c>
      <c r="AE1037" s="7">
        <f>IF($E1037="","",AD1037-Q1037)</f>
        <v/>
      </c>
      <c r="AI1037" s="7" t="n"/>
      <c r="AL1037" s="11" t="n"/>
      <c r="AN1037">
        <f>IF($E1037="","",IF(COUNTIF($E$2:$E1037,$E1037)=1,1,0))</f>
        <v/>
      </c>
      <c r="AO1037">
        <f>IF($AN1037=1,SUMPRODUCT(--($AR$2:$AR$4001&lt;$AR1037))+1,"")</f>
        <v/>
      </c>
      <c r="AP1037">
        <f>IF($E1037="","",IF(OR($U1037=TRUE(),$U1037="TRUE"),1,0))</f>
        <v/>
      </c>
      <c r="AQ1037">
        <f>IF($E1037="","",IF($AA1037="Yes",1,0))</f>
        <v/>
      </c>
      <c r="AR1037">
        <f>IF($AN1037=1,IFERROR(VALUE(MID($E1037,2,20)),1000000000)+ROW()/100000,"")</f>
        <v/>
      </c>
    </row>
    <row r="1038">
      <c r="G1038" s="11" t="n"/>
      <c r="Q1038" s="7">
        <f>IF($E1038="","",P1038*Y1038/100)</f>
        <v/>
      </c>
      <c r="R1038" s="7" t="n"/>
      <c r="X1038" s="7" t="n"/>
      <c r="Y1038" s="7" t="n"/>
      <c r="AB1038">
        <f>IF($E1038="","",IF($AQ1038=1,0,IF($AP1038=1,Settings!$C$6,Settings!$C$7))*100)</f>
        <v/>
      </c>
      <c r="AC1038" s="7">
        <f>IF($E1038="","",Y1038*AB1038/100)</f>
        <v/>
      </c>
      <c r="AD1038" s="7">
        <f>IF($E1038="","",Y1038-AC1038)</f>
        <v/>
      </c>
      <c r="AE1038" s="7">
        <f>IF($E1038="","",AD1038-Q1038)</f>
        <v/>
      </c>
      <c r="AI1038" s="7" t="n"/>
      <c r="AL1038" s="11" t="n"/>
      <c r="AN1038">
        <f>IF($E1038="","",IF(COUNTIF($E$2:$E1038,$E1038)=1,1,0))</f>
        <v/>
      </c>
      <c r="AO1038">
        <f>IF($AN1038=1,SUMPRODUCT(--($AR$2:$AR$4001&lt;$AR1038))+1,"")</f>
        <v/>
      </c>
      <c r="AP1038">
        <f>IF($E1038="","",IF(OR($U1038=TRUE(),$U1038="TRUE"),1,0))</f>
        <v/>
      </c>
      <c r="AQ1038">
        <f>IF($E1038="","",IF($AA1038="Yes",1,0))</f>
        <v/>
      </c>
      <c r="AR1038">
        <f>IF($AN1038=1,IFERROR(VALUE(MID($E1038,2,20)),1000000000)+ROW()/100000,"")</f>
        <v/>
      </c>
    </row>
    <row r="1039">
      <c r="G1039" s="11" t="n"/>
      <c r="Q1039" s="7">
        <f>IF($E1039="","",P1039*Y1039/100)</f>
        <v/>
      </c>
      <c r="R1039" s="7" t="n"/>
      <c r="X1039" s="7" t="n"/>
      <c r="Y1039" s="7" t="n"/>
      <c r="AB1039">
        <f>IF($E1039="","",IF($AQ1039=1,0,IF($AP1039=1,Settings!$C$6,Settings!$C$7))*100)</f>
        <v/>
      </c>
      <c r="AC1039" s="7">
        <f>IF($E1039="","",Y1039*AB1039/100)</f>
        <v/>
      </c>
      <c r="AD1039" s="7">
        <f>IF($E1039="","",Y1039-AC1039)</f>
        <v/>
      </c>
      <c r="AE1039" s="7">
        <f>IF($E1039="","",AD1039-Q1039)</f>
        <v/>
      </c>
      <c r="AI1039" s="7" t="n"/>
      <c r="AL1039" s="11" t="n"/>
      <c r="AN1039">
        <f>IF($E1039="","",IF(COUNTIF($E$2:$E1039,$E1039)=1,1,0))</f>
        <v/>
      </c>
      <c r="AO1039">
        <f>IF($AN1039=1,SUMPRODUCT(--($AR$2:$AR$4001&lt;$AR1039))+1,"")</f>
        <v/>
      </c>
      <c r="AP1039">
        <f>IF($E1039="","",IF(OR($U1039=TRUE(),$U1039="TRUE"),1,0))</f>
        <v/>
      </c>
      <c r="AQ1039">
        <f>IF($E1039="","",IF($AA1039="Yes",1,0))</f>
        <v/>
      </c>
      <c r="AR1039">
        <f>IF($AN1039=1,IFERROR(VALUE(MID($E1039,2,20)),1000000000)+ROW()/100000,"")</f>
        <v/>
      </c>
    </row>
    <row r="1040">
      <c r="G1040" s="11" t="n"/>
      <c r="Q1040" s="7">
        <f>IF($E1040="","",P1040*Y1040/100)</f>
        <v/>
      </c>
      <c r="R1040" s="7" t="n"/>
      <c r="X1040" s="7" t="n"/>
      <c r="Y1040" s="7" t="n"/>
      <c r="AB1040">
        <f>IF($E1040="","",IF($AQ1040=1,0,IF($AP1040=1,Settings!$C$6,Settings!$C$7))*100)</f>
        <v/>
      </c>
      <c r="AC1040" s="7">
        <f>IF($E1040="","",Y1040*AB1040/100)</f>
        <v/>
      </c>
      <c r="AD1040" s="7">
        <f>IF($E1040="","",Y1040-AC1040)</f>
        <v/>
      </c>
      <c r="AE1040" s="7">
        <f>IF($E1040="","",AD1040-Q1040)</f>
        <v/>
      </c>
      <c r="AI1040" s="7" t="n"/>
      <c r="AL1040" s="11" t="n"/>
      <c r="AN1040">
        <f>IF($E1040="","",IF(COUNTIF($E$2:$E1040,$E1040)=1,1,0))</f>
        <v/>
      </c>
      <c r="AO1040">
        <f>IF($AN1040=1,SUMPRODUCT(--($AR$2:$AR$4001&lt;$AR1040))+1,"")</f>
        <v/>
      </c>
      <c r="AP1040">
        <f>IF($E1040="","",IF(OR($U1040=TRUE(),$U1040="TRUE"),1,0))</f>
        <v/>
      </c>
      <c r="AQ1040">
        <f>IF($E1040="","",IF($AA1040="Yes",1,0))</f>
        <v/>
      </c>
      <c r="AR1040">
        <f>IF($AN1040=1,IFERROR(VALUE(MID($E1040,2,20)),1000000000)+ROW()/100000,"")</f>
        <v/>
      </c>
    </row>
    <row r="1041">
      <c r="G1041" s="11" t="n"/>
      <c r="Q1041" s="7">
        <f>IF($E1041="","",P1041*Y1041/100)</f>
        <v/>
      </c>
      <c r="R1041" s="7" t="n"/>
      <c r="X1041" s="7" t="n"/>
      <c r="Y1041" s="7" t="n"/>
      <c r="AB1041">
        <f>IF($E1041="","",IF($AQ1041=1,0,IF($AP1041=1,Settings!$C$6,Settings!$C$7))*100)</f>
        <v/>
      </c>
      <c r="AC1041" s="7">
        <f>IF($E1041="","",Y1041*AB1041/100)</f>
        <v/>
      </c>
      <c r="AD1041" s="7">
        <f>IF($E1041="","",Y1041-AC1041)</f>
        <v/>
      </c>
      <c r="AE1041" s="7">
        <f>IF($E1041="","",AD1041-Q1041)</f>
        <v/>
      </c>
      <c r="AI1041" s="7" t="n"/>
      <c r="AL1041" s="11" t="n"/>
      <c r="AN1041">
        <f>IF($E1041="","",IF(COUNTIF($E$2:$E1041,$E1041)=1,1,0))</f>
        <v/>
      </c>
      <c r="AO1041">
        <f>IF($AN1041=1,SUMPRODUCT(--($AR$2:$AR$4001&lt;$AR1041))+1,"")</f>
        <v/>
      </c>
      <c r="AP1041">
        <f>IF($E1041="","",IF(OR($U1041=TRUE(),$U1041="TRUE"),1,0))</f>
        <v/>
      </c>
      <c r="AQ1041">
        <f>IF($E1041="","",IF($AA1041="Yes",1,0))</f>
        <v/>
      </c>
      <c r="AR1041">
        <f>IF($AN1041=1,IFERROR(VALUE(MID($E1041,2,20)),1000000000)+ROW()/100000,"")</f>
        <v/>
      </c>
    </row>
    <row r="1042">
      <c r="G1042" s="11" t="n"/>
      <c r="Q1042" s="7">
        <f>IF($E1042="","",P1042*Y1042/100)</f>
        <v/>
      </c>
      <c r="R1042" s="7" t="n"/>
      <c r="X1042" s="7" t="n"/>
      <c r="Y1042" s="7" t="n"/>
      <c r="AB1042">
        <f>IF($E1042="","",IF($AQ1042=1,0,IF($AP1042=1,Settings!$C$6,Settings!$C$7))*100)</f>
        <v/>
      </c>
      <c r="AC1042" s="7">
        <f>IF($E1042="","",Y1042*AB1042/100)</f>
        <v/>
      </c>
      <c r="AD1042" s="7">
        <f>IF($E1042="","",Y1042-AC1042)</f>
        <v/>
      </c>
      <c r="AE1042" s="7">
        <f>IF($E1042="","",AD1042-Q1042)</f>
        <v/>
      </c>
      <c r="AI1042" s="7" t="n"/>
      <c r="AL1042" s="11" t="n"/>
      <c r="AN1042">
        <f>IF($E1042="","",IF(COUNTIF($E$2:$E1042,$E1042)=1,1,0))</f>
        <v/>
      </c>
      <c r="AO1042">
        <f>IF($AN1042=1,SUMPRODUCT(--($AR$2:$AR$4001&lt;$AR1042))+1,"")</f>
        <v/>
      </c>
      <c r="AP1042">
        <f>IF($E1042="","",IF(OR($U1042=TRUE(),$U1042="TRUE"),1,0))</f>
        <v/>
      </c>
      <c r="AQ1042">
        <f>IF($E1042="","",IF($AA1042="Yes",1,0))</f>
        <v/>
      </c>
      <c r="AR1042">
        <f>IF($AN1042=1,IFERROR(VALUE(MID($E1042,2,20)),1000000000)+ROW()/100000,"")</f>
        <v/>
      </c>
    </row>
    <row r="1043">
      <c r="G1043" s="11" t="n"/>
      <c r="Q1043" s="7">
        <f>IF($E1043="","",P1043*Y1043/100)</f>
        <v/>
      </c>
      <c r="R1043" s="7" t="n"/>
      <c r="X1043" s="7" t="n"/>
      <c r="Y1043" s="7" t="n"/>
      <c r="AB1043">
        <f>IF($E1043="","",IF($AQ1043=1,0,IF($AP1043=1,Settings!$C$6,Settings!$C$7))*100)</f>
        <v/>
      </c>
      <c r="AC1043" s="7">
        <f>IF($E1043="","",Y1043*AB1043/100)</f>
        <v/>
      </c>
      <c r="AD1043" s="7">
        <f>IF($E1043="","",Y1043-AC1043)</f>
        <v/>
      </c>
      <c r="AE1043" s="7">
        <f>IF($E1043="","",AD1043-Q1043)</f>
        <v/>
      </c>
      <c r="AI1043" s="7" t="n"/>
      <c r="AL1043" s="11" t="n"/>
      <c r="AN1043">
        <f>IF($E1043="","",IF(COUNTIF($E$2:$E1043,$E1043)=1,1,0))</f>
        <v/>
      </c>
      <c r="AO1043">
        <f>IF($AN1043=1,SUMPRODUCT(--($AR$2:$AR$4001&lt;$AR1043))+1,"")</f>
        <v/>
      </c>
      <c r="AP1043">
        <f>IF($E1043="","",IF(OR($U1043=TRUE(),$U1043="TRUE"),1,0))</f>
        <v/>
      </c>
      <c r="AQ1043">
        <f>IF($E1043="","",IF($AA1043="Yes",1,0))</f>
        <v/>
      </c>
      <c r="AR1043">
        <f>IF($AN1043=1,IFERROR(VALUE(MID($E1043,2,20)),1000000000)+ROW()/100000,"")</f>
        <v/>
      </c>
    </row>
    <row r="1044">
      <c r="G1044" s="11" t="n"/>
      <c r="Q1044" s="7">
        <f>IF($E1044="","",P1044*Y1044/100)</f>
        <v/>
      </c>
      <c r="R1044" s="7" t="n"/>
      <c r="X1044" s="7" t="n"/>
      <c r="Y1044" s="7" t="n"/>
      <c r="AB1044">
        <f>IF($E1044="","",IF($AQ1044=1,0,IF($AP1044=1,Settings!$C$6,Settings!$C$7))*100)</f>
        <v/>
      </c>
      <c r="AC1044" s="7">
        <f>IF($E1044="","",Y1044*AB1044/100)</f>
        <v/>
      </c>
      <c r="AD1044" s="7">
        <f>IF($E1044="","",Y1044-AC1044)</f>
        <v/>
      </c>
      <c r="AE1044" s="7">
        <f>IF($E1044="","",AD1044-Q1044)</f>
        <v/>
      </c>
      <c r="AI1044" s="7" t="n"/>
      <c r="AL1044" s="11" t="n"/>
      <c r="AN1044">
        <f>IF($E1044="","",IF(COUNTIF($E$2:$E1044,$E1044)=1,1,0))</f>
        <v/>
      </c>
      <c r="AO1044">
        <f>IF($AN1044=1,SUMPRODUCT(--($AR$2:$AR$4001&lt;$AR1044))+1,"")</f>
        <v/>
      </c>
      <c r="AP1044">
        <f>IF($E1044="","",IF(OR($U1044=TRUE(),$U1044="TRUE"),1,0))</f>
        <v/>
      </c>
      <c r="AQ1044">
        <f>IF($E1044="","",IF($AA1044="Yes",1,0))</f>
        <v/>
      </c>
      <c r="AR1044">
        <f>IF($AN1044=1,IFERROR(VALUE(MID($E1044,2,20)),1000000000)+ROW()/100000,"")</f>
        <v/>
      </c>
    </row>
    <row r="1045">
      <c r="G1045" s="11" t="n"/>
      <c r="Q1045" s="7">
        <f>IF($E1045="","",P1045*Y1045/100)</f>
        <v/>
      </c>
      <c r="R1045" s="7" t="n"/>
      <c r="X1045" s="7" t="n"/>
      <c r="Y1045" s="7" t="n"/>
      <c r="AB1045">
        <f>IF($E1045="","",IF($AQ1045=1,0,IF($AP1045=1,Settings!$C$6,Settings!$C$7))*100)</f>
        <v/>
      </c>
      <c r="AC1045" s="7">
        <f>IF($E1045="","",Y1045*AB1045/100)</f>
        <v/>
      </c>
      <c r="AD1045" s="7">
        <f>IF($E1045="","",Y1045-AC1045)</f>
        <v/>
      </c>
      <c r="AE1045" s="7">
        <f>IF($E1045="","",AD1045-Q1045)</f>
        <v/>
      </c>
      <c r="AI1045" s="7" t="n"/>
      <c r="AL1045" s="11" t="n"/>
      <c r="AN1045">
        <f>IF($E1045="","",IF(COUNTIF($E$2:$E1045,$E1045)=1,1,0))</f>
        <v/>
      </c>
      <c r="AO1045">
        <f>IF($AN1045=1,SUMPRODUCT(--($AR$2:$AR$4001&lt;$AR1045))+1,"")</f>
        <v/>
      </c>
      <c r="AP1045">
        <f>IF($E1045="","",IF(OR($U1045=TRUE(),$U1045="TRUE"),1,0))</f>
        <v/>
      </c>
      <c r="AQ1045">
        <f>IF($E1045="","",IF($AA1045="Yes",1,0))</f>
        <v/>
      </c>
      <c r="AR1045">
        <f>IF($AN1045=1,IFERROR(VALUE(MID($E1045,2,20)),1000000000)+ROW()/100000,"")</f>
        <v/>
      </c>
    </row>
    <row r="1046">
      <c r="G1046" s="11" t="n"/>
      <c r="Q1046" s="7">
        <f>IF($E1046="","",P1046*Y1046/100)</f>
        <v/>
      </c>
      <c r="R1046" s="7" t="n"/>
      <c r="X1046" s="7" t="n"/>
      <c r="Y1046" s="7" t="n"/>
      <c r="AB1046">
        <f>IF($E1046="","",IF($AQ1046=1,0,IF($AP1046=1,Settings!$C$6,Settings!$C$7))*100)</f>
        <v/>
      </c>
      <c r="AC1046" s="7">
        <f>IF($E1046="","",Y1046*AB1046/100)</f>
        <v/>
      </c>
      <c r="AD1046" s="7">
        <f>IF($E1046="","",Y1046-AC1046)</f>
        <v/>
      </c>
      <c r="AE1046" s="7">
        <f>IF($E1046="","",AD1046-Q1046)</f>
        <v/>
      </c>
      <c r="AI1046" s="7" t="n"/>
      <c r="AL1046" s="11" t="n"/>
      <c r="AN1046">
        <f>IF($E1046="","",IF(COUNTIF($E$2:$E1046,$E1046)=1,1,0))</f>
        <v/>
      </c>
      <c r="AO1046">
        <f>IF($AN1046=1,SUMPRODUCT(--($AR$2:$AR$4001&lt;$AR1046))+1,"")</f>
        <v/>
      </c>
      <c r="AP1046">
        <f>IF($E1046="","",IF(OR($U1046=TRUE(),$U1046="TRUE"),1,0))</f>
        <v/>
      </c>
      <c r="AQ1046">
        <f>IF($E1046="","",IF($AA1046="Yes",1,0))</f>
        <v/>
      </c>
      <c r="AR1046">
        <f>IF($AN1046=1,IFERROR(VALUE(MID($E1046,2,20)),1000000000)+ROW()/100000,"")</f>
        <v/>
      </c>
    </row>
    <row r="1047">
      <c r="G1047" s="11" t="n"/>
      <c r="Q1047" s="7">
        <f>IF($E1047="","",P1047*Y1047/100)</f>
        <v/>
      </c>
      <c r="R1047" s="7" t="n"/>
      <c r="X1047" s="7" t="n"/>
      <c r="Y1047" s="7" t="n"/>
      <c r="AB1047">
        <f>IF($E1047="","",IF($AQ1047=1,0,IF($AP1047=1,Settings!$C$6,Settings!$C$7))*100)</f>
        <v/>
      </c>
      <c r="AC1047" s="7">
        <f>IF($E1047="","",Y1047*AB1047/100)</f>
        <v/>
      </c>
      <c r="AD1047" s="7">
        <f>IF($E1047="","",Y1047-AC1047)</f>
        <v/>
      </c>
      <c r="AE1047" s="7">
        <f>IF($E1047="","",AD1047-Q1047)</f>
        <v/>
      </c>
      <c r="AI1047" s="7" t="n"/>
      <c r="AL1047" s="11" t="n"/>
      <c r="AN1047">
        <f>IF($E1047="","",IF(COUNTIF($E$2:$E1047,$E1047)=1,1,0))</f>
        <v/>
      </c>
      <c r="AO1047">
        <f>IF($AN1047=1,SUMPRODUCT(--($AR$2:$AR$4001&lt;$AR1047))+1,"")</f>
        <v/>
      </c>
      <c r="AP1047">
        <f>IF($E1047="","",IF(OR($U1047=TRUE(),$U1047="TRUE"),1,0))</f>
        <v/>
      </c>
      <c r="AQ1047">
        <f>IF($E1047="","",IF($AA1047="Yes",1,0))</f>
        <v/>
      </c>
      <c r="AR1047">
        <f>IF($AN1047=1,IFERROR(VALUE(MID($E1047,2,20)),1000000000)+ROW()/100000,"")</f>
        <v/>
      </c>
    </row>
    <row r="1048">
      <c r="G1048" s="11" t="n"/>
      <c r="Q1048" s="7">
        <f>IF($E1048="","",P1048*Y1048/100)</f>
        <v/>
      </c>
      <c r="R1048" s="7" t="n"/>
      <c r="X1048" s="7" t="n"/>
      <c r="Y1048" s="7" t="n"/>
      <c r="AB1048">
        <f>IF($E1048="","",IF($AQ1048=1,0,IF($AP1048=1,Settings!$C$6,Settings!$C$7))*100)</f>
        <v/>
      </c>
      <c r="AC1048" s="7">
        <f>IF($E1048="","",Y1048*AB1048/100)</f>
        <v/>
      </c>
      <c r="AD1048" s="7">
        <f>IF($E1048="","",Y1048-AC1048)</f>
        <v/>
      </c>
      <c r="AE1048" s="7">
        <f>IF($E1048="","",AD1048-Q1048)</f>
        <v/>
      </c>
      <c r="AI1048" s="7" t="n"/>
      <c r="AL1048" s="11" t="n"/>
      <c r="AN1048">
        <f>IF($E1048="","",IF(COUNTIF($E$2:$E1048,$E1048)=1,1,0))</f>
        <v/>
      </c>
      <c r="AO1048">
        <f>IF($AN1048=1,SUMPRODUCT(--($AR$2:$AR$4001&lt;$AR1048))+1,"")</f>
        <v/>
      </c>
      <c r="AP1048">
        <f>IF($E1048="","",IF(OR($U1048=TRUE(),$U1048="TRUE"),1,0))</f>
        <v/>
      </c>
      <c r="AQ1048">
        <f>IF($E1048="","",IF($AA1048="Yes",1,0))</f>
        <v/>
      </c>
      <c r="AR1048">
        <f>IF($AN1048=1,IFERROR(VALUE(MID($E1048,2,20)),1000000000)+ROW()/100000,"")</f>
        <v/>
      </c>
    </row>
    <row r="1049">
      <c r="G1049" s="11" t="n"/>
      <c r="Q1049" s="7">
        <f>IF($E1049="","",P1049*Y1049/100)</f>
        <v/>
      </c>
      <c r="R1049" s="7" t="n"/>
      <c r="X1049" s="7" t="n"/>
      <c r="Y1049" s="7" t="n"/>
      <c r="AB1049">
        <f>IF($E1049="","",IF($AQ1049=1,0,IF($AP1049=1,Settings!$C$6,Settings!$C$7))*100)</f>
        <v/>
      </c>
      <c r="AC1049" s="7">
        <f>IF($E1049="","",Y1049*AB1049/100)</f>
        <v/>
      </c>
      <c r="AD1049" s="7">
        <f>IF($E1049="","",Y1049-AC1049)</f>
        <v/>
      </c>
      <c r="AE1049" s="7">
        <f>IF($E1049="","",AD1049-Q1049)</f>
        <v/>
      </c>
      <c r="AI1049" s="7" t="n"/>
      <c r="AL1049" s="11" t="n"/>
      <c r="AN1049">
        <f>IF($E1049="","",IF(COUNTIF($E$2:$E1049,$E1049)=1,1,0))</f>
        <v/>
      </c>
      <c r="AO1049">
        <f>IF($AN1049=1,SUMPRODUCT(--($AR$2:$AR$4001&lt;$AR1049))+1,"")</f>
        <v/>
      </c>
      <c r="AP1049">
        <f>IF($E1049="","",IF(OR($U1049=TRUE(),$U1049="TRUE"),1,0))</f>
        <v/>
      </c>
      <c r="AQ1049">
        <f>IF($E1049="","",IF($AA1049="Yes",1,0))</f>
        <v/>
      </c>
      <c r="AR1049">
        <f>IF($AN1049=1,IFERROR(VALUE(MID($E1049,2,20)),1000000000)+ROW()/100000,"")</f>
        <v/>
      </c>
    </row>
    <row r="1050">
      <c r="G1050" s="11" t="n"/>
      <c r="Q1050" s="7">
        <f>IF($E1050="","",P1050*Y1050/100)</f>
        <v/>
      </c>
      <c r="R1050" s="7" t="n"/>
      <c r="X1050" s="7" t="n"/>
      <c r="Y1050" s="7" t="n"/>
      <c r="AB1050">
        <f>IF($E1050="","",IF($AQ1050=1,0,IF($AP1050=1,Settings!$C$6,Settings!$C$7))*100)</f>
        <v/>
      </c>
      <c r="AC1050" s="7">
        <f>IF($E1050="","",Y1050*AB1050/100)</f>
        <v/>
      </c>
      <c r="AD1050" s="7">
        <f>IF($E1050="","",Y1050-AC1050)</f>
        <v/>
      </c>
      <c r="AE1050" s="7">
        <f>IF($E1050="","",AD1050-Q1050)</f>
        <v/>
      </c>
      <c r="AI1050" s="7" t="n"/>
      <c r="AL1050" s="11" t="n"/>
      <c r="AN1050">
        <f>IF($E1050="","",IF(COUNTIF($E$2:$E1050,$E1050)=1,1,0))</f>
        <v/>
      </c>
      <c r="AO1050">
        <f>IF($AN1050=1,SUMPRODUCT(--($AR$2:$AR$4001&lt;$AR1050))+1,"")</f>
        <v/>
      </c>
      <c r="AP1050">
        <f>IF($E1050="","",IF(OR($U1050=TRUE(),$U1050="TRUE"),1,0))</f>
        <v/>
      </c>
      <c r="AQ1050">
        <f>IF($E1050="","",IF($AA1050="Yes",1,0))</f>
        <v/>
      </c>
      <c r="AR1050">
        <f>IF($AN1050=1,IFERROR(VALUE(MID($E1050,2,20)),1000000000)+ROW()/100000,"")</f>
        <v/>
      </c>
    </row>
    <row r="1051">
      <c r="G1051" s="11" t="n"/>
      <c r="Q1051" s="7">
        <f>IF($E1051="","",P1051*Y1051/100)</f>
        <v/>
      </c>
      <c r="R1051" s="7" t="n"/>
      <c r="X1051" s="7" t="n"/>
      <c r="Y1051" s="7" t="n"/>
      <c r="AB1051">
        <f>IF($E1051="","",IF($AQ1051=1,0,IF($AP1051=1,Settings!$C$6,Settings!$C$7))*100)</f>
        <v/>
      </c>
      <c r="AC1051" s="7">
        <f>IF($E1051="","",Y1051*AB1051/100)</f>
        <v/>
      </c>
      <c r="AD1051" s="7">
        <f>IF($E1051="","",Y1051-AC1051)</f>
        <v/>
      </c>
      <c r="AE1051" s="7">
        <f>IF($E1051="","",AD1051-Q1051)</f>
        <v/>
      </c>
      <c r="AI1051" s="7" t="n"/>
      <c r="AL1051" s="11" t="n"/>
      <c r="AN1051">
        <f>IF($E1051="","",IF(COUNTIF($E$2:$E1051,$E1051)=1,1,0))</f>
        <v/>
      </c>
      <c r="AO1051">
        <f>IF($AN1051=1,SUMPRODUCT(--($AR$2:$AR$4001&lt;$AR1051))+1,"")</f>
        <v/>
      </c>
      <c r="AP1051">
        <f>IF($E1051="","",IF(OR($U1051=TRUE(),$U1051="TRUE"),1,0))</f>
        <v/>
      </c>
      <c r="AQ1051">
        <f>IF($E1051="","",IF($AA1051="Yes",1,0))</f>
        <v/>
      </c>
      <c r="AR1051">
        <f>IF($AN1051=1,IFERROR(VALUE(MID($E1051,2,20)),1000000000)+ROW()/100000,"")</f>
        <v/>
      </c>
    </row>
    <row r="1052">
      <c r="G1052" s="11" t="n"/>
      <c r="Q1052" s="7">
        <f>IF($E1052="","",P1052*Y1052/100)</f>
        <v/>
      </c>
      <c r="R1052" s="7" t="n"/>
      <c r="X1052" s="7" t="n"/>
      <c r="Y1052" s="7" t="n"/>
      <c r="AB1052">
        <f>IF($E1052="","",IF($AQ1052=1,0,IF($AP1052=1,Settings!$C$6,Settings!$C$7))*100)</f>
        <v/>
      </c>
      <c r="AC1052" s="7">
        <f>IF($E1052="","",Y1052*AB1052/100)</f>
        <v/>
      </c>
      <c r="AD1052" s="7">
        <f>IF($E1052="","",Y1052-AC1052)</f>
        <v/>
      </c>
      <c r="AE1052" s="7">
        <f>IF($E1052="","",AD1052-Q1052)</f>
        <v/>
      </c>
      <c r="AI1052" s="7" t="n"/>
      <c r="AL1052" s="11" t="n"/>
      <c r="AN1052">
        <f>IF($E1052="","",IF(COUNTIF($E$2:$E1052,$E1052)=1,1,0))</f>
        <v/>
      </c>
      <c r="AO1052">
        <f>IF($AN1052=1,SUMPRODUCT(--($AR$2:$AR$4001&lt;$AR1052))+1,"")</f>
        <v/>
      </c>
      <c r="AP1052">
        <f>IF($E1052="","",IF(OR($U1052=TRUE(),$U1052="TRUE"),1,0))</f>
        <v/>
      </c>
      <c r="AQ1052">
        <f>IF($E1052="","",IF($AA1052="Yes",1,0))</f>
        <v/>
      </c>
      <c r="AR1052">
        <f>IF($AN1052=1,IFERROR(VALUE(MID($E1052,2,20)),1000000000)+ROW()/100000,"")</f>
        <v/>
      </c>
    </row>
    <row r="1053">
      <c r="G1053" s="11" t="n"/>
      <c r="Q1053" s="7">
        <f>IF($E1053="","",P1053*Y1053/100)</f>
        <v/>
      </c>
      <c r="R1053" s="7" t="n"/>
      <c r="X1053" s="7" t="n"/>
      <c r="Y1053" s="7" t="n"/>
      <c r="AB1053">
        <f>IF($E1053="","",IF($AQ1053=1,0,IF($AP1053=1,Settings!$C$6,Settings!$C$7))*100)</f>
        <v/>
      </c>
      <c r="AC1053" s="7">
        <f>IF($E1053="","",Y1053*AB1053/100)</f>
        <v/>
      </c>
      <c r="AD1053" s="7">
        <f>IF($E1053="","",Y1053-AC1053)</f>
        <v/>
      </c>
      <c r="AE1053" s="7">
        <f>IF($E1053="","",AD1053-Q1053)</f>
        <v/>
      </c>
      <c r="AI1053" s="7" t="n"/>
      <c r="AL1053" s="11" t="n"/>
      <c r="AN1053">
        <f>IF($E1053="","",IF(COUNTIF($E$2:$E1053,$E1053)=1,1,0))</f>
        <v/>
      </c>
      <c r="AO1053">
        <f>IF($AN1053=1,SUMPRODUCT(--($AR$2:$AR$4001&lt;$AR1053))+1,"")</f>
        <v/>
      </c>
      <c r="AP1053">
        <f>IF($E1053="","",IF(OR($U1053=TRUE(),$U1053="TRUE"),1,0))</f>
        <v/>
      </c>
      <c r="AQ1053">
        <f>IF($E1053="","",IF($AA1053="Yes",1,0))</f>
        <v/>
      </c>
      <c r="AR1053">
        <f>IF($AN1053=1,IFERROR(VALUE(MID($E1053,2,20)),1000000000)+ROW()/100000,"")</f>
        <v/>
      </c>
    </row>
    <row r="1054">
      <c r="G1054" s="11" t="n"/>
      <c r="Q1054" s="7">
        <f>IF($E1054="","",P1054*Y1054/100)</f>
        <v/>
      </c>
      <c r="R1054" s="7" t="n"/>
      <c r="X1054" s="7" t="n"/>
      <c r="Y1054" s="7" t="n"/>
      <c r="AB1054">
        <f>IF($E1054="","",IF($AQ1054=1,0,IF($AP1054=1,Settings!$C$6,Settings!$C$7))*100)</f>
        <v/>
      </c>
      <c r="AC1054" s="7">
        <f>IF($E1054="","",Y1054*AB1054/100)</f>
        <v/>
      </c>
      <c r="AD1054" s="7">
        <f>IF($E1054="","",Y1054-AC1054)</f>
        <v/>
      </c>
      <c r="AE1054" s="7">
        <f>IF($E1054="","",AD1054-Q1054)</f>
        <v/>
      </c>
      <c r="AI1054" s="7" t="n"/>
      <c r="AL1054" s="11" t="n"/>
      <c r="AN1054">
        <f>IF($E1054="","",IF(COUNTIF($E$2:$E1054,$E1054)=1,1,0))</f>
        <v/>
      </c>
      <c r="AO1054">
        <f>IF($AN1054=1,SUMPRODUCT(--($AR$2:$AR$4001&lt;$AR1054))+1,"")</f>
        <v/>
      </c>
      <c r="AP1054">
        <f>IF($E1054="","",IF(OR($U1054=TRUE(),$U1054="TRUE"),1,0))</f>
        <v/>
      </c>
      <c r="AQ1054">
        <f>IF($E1054="","",IF($AA1054="Yes",1,0))</f>
        <v/>
      </c>
      <c r="AR1054">
        <f>IF($AN1054=1,IFERROR(VALUE(MID($E1054,2,20)),1000000000)+ROW()/100000,"")</f>
        <v/>
      </c>
    </row>
    <row r="1055">
      <c r="G1055" s="11" t="n"/>
      <c r="Q1055" s="7">
        <f>IF($E1055="","",P1055*Y1055/100)</f>
        <v/>
      </c>
      <c r="R1055" s="7" t="n"/>
      <c r="X1055" s="7" t="n"/>
      <c r="Y1055" s="7" t="n"/>
      <c r="AB1055">
        <f>IF($E1055="","",IF($AQ1055=1,0,IF($AP1055=1,Settings!$C$6,Settings!$C$7))*100)</f>
        <v/>
      </c>
      <c r="AC1055" s="7">
        <f>IF($E1055="","",Y1055*AB1055/100)</f>
        <v/>
      </c>
      <c r="AD1055" s="7">
        <f>IF($E1055="","",Y1055-AC1055)</f>
        <v/>
      </c>
      <c r="AE1055" s="7">
        <f>IF($E1055="","",AD1055-Q1055)</f>
        <v/>
      </c>
      <c r="AI1055" s="7" t="n"/>
      <c r="AL1055" s="11" t="n"/>
      <c r="AN1055">
        <f>IF($E1055="","",IF(COUNTIF($E$2:$E1055,$E1055)=1,1,0))</f>
        <v/>
      </c>
      <c r="AO1055">
        <f>IF($AN1055=1,SUMPRODUCT(--($AR$2:$AR$4001&lt;$AR1055))+1,"")</f>
        <v/>
      </c>
      <c r="AP1055">
        <f>IF($E1055="","",IF(OR($U1055=TRUE(),$U1055="TRUE"),1,0))</f>
        <v/>
      </c>
      <c r="AQ1055">
        <f>IF($E1055="","",IF($AA1055="Yes",1,0))</f>
        <v/>
      </c>
      <c r="AR1055">
        <f>IF($AN1055=1,IFERROR(VALUE(MID($E1055,2,20)),1000000000)+ROW()/100000,"")</f>
        <v/>
      </c>
    </row>
    <row r="1056">
      <c r="G1056" s="11" t="n"/>
      <c r="Q1056" s="7">
        <f>IF($E1056="","",P1056*Y1056/100)</f>
        <v/>
      </c>
      <c r="R1056" s="7" t="n"/>
      <c r="X1056" s="7" t="n"/>
      <c r="Y1056" s="7" t="n"/>
      <c r="AB1056">
        <f>IF($E1056="","",IF($AQ1056=1,0,IF($AP1056=1,Settings!$C$6,Settings!$C$7))*100)</f>
        <v/>
      </c>
      <c r="AC1056" s="7">
        <f>IF($E1056="","",Y1056*AB1056/100)</f>
        <v/>
      </c>
      <c r="AD1056" s="7">
        <f>IF($E1056="","",Y1056-AC1056)</f>
        <v/>
      </c>
      <c r="AE1056" s="7">
        <f>IF($E1056="","",AD1056-Q1056)</f>
        <v/>
      </c>
      <c r="AI1056" s="7" t="n"/>
      <c r="AL1056" s="11" t="n"/>
      <c r="AN1056">
        <f>IF($E1056="","",IF(COUNTIF($E$2:$E1056,$E1056)=1,1,0))</f>
        <v/>
      </c>
      <c r="AO1056">
        <f>IF($AN1056=1,SUMPRODUCT(--($AR$2:$AR$4001&lt;$AR1056))+1,"")</f>
        <v/>
      </c>
      <c r="AP1056">
        <f>IF($E1056="","",IF(OR($U1056=TRUE(),$U1056="TRUE"),1,0))</f>
        <v/>
      </c>
      <c r="AQ1056">
        <f>IF($E1056="","",IF($AA1056="Yes",1,0))</f>
        <v/>
      </c>
      <c r="AR1056">
        <f>IF($AN1056=1,IFERROR(VALUE(MID($E1056,2,20)),1000000000)+ROW()/100000,"")</f>
        <v/>
      </c>
    </row>
    <row r="1057">
      <c r="G1057" s="11" t="n"/>
      <c r="Q1057" s="7">
        <f>IF($E1057="","",P1057*Y1057/100)</f>
        <v/>
      </c>
      <c r="R1057" s="7" t="n"/>
      <c r="X1057" s="7" t="n"/>
      <c r="Y1057" s="7" t="n"/>
      <c r="AB1057">
        <f>IF($E1057="","",IF($AQ1057=1,0,IF($AP1057=1,Settings!$C$6,Settings!$C$7))*100)</f>
        <v/>
      </c>
      <c r="AC1057" s="7">
        <f>IF($E1057="","",Y1057*AB1057/100)</f>
        <v/>
      </c>
      <c r="AD1057" s="7">
        <f>IF($E1057="","",Y1057-AC1057)</f>
        <v/>
      </c>
      <c r="AE1057" s="7">
        <f>IF($E1057="","",AD1057-Q1057)</f>
        <v/>
      </c>
      <c r="AI1057" s="7" t="n"/>
      <c r="AL1057" s="11" t="n"/>
      <c r="AN1057">
        <f>IF($E1057="","",IF(COUNTIF($E$2:$E1057,$E1057)=1,1,0))</f>
        <v/>
      </c>
      <c r="AO1057">
        <f>IF($AN1057=1,SUMPRODUCT(--($AR$2:$AR$4001&lt;$AR1057))+1,"")</f>
        <v/>
      </c>
      <c r="AP1057">
        <f>IF($E1057="","",IF(OR($U1057=TRUE(),$U1057="TRUE"),1,0))</f>
        <v/>
      </c>
      <c r="AQ1057">
        <f>IF($E1057="","",IF($AA1057="Yes",1,0))</f>
        <v/>
      </c>
      <c r="AR1057">
        <f>IF($AN1057=1,IFERROR(VALUE(MID($E1057,2,20)),1000000000)+ROW()/100000,"")</f>
        <v/>
      </c>
    </row>
    <row r="1058">
      <c r="G1058" s="11" t="n"/>
      <c r="Q1058" s="7">
        <f>IF($E1058="","",P1058*Y1058/100)</f>
        <v/>
      </c>
      <c r="R1058" s="7" t="n"/>
      <c r="X1058" s="7" t="n"/>
      <c r="Y1058" s="7" t="n"/>
      <c r="AB1058">
        <f>IF($E1058="","",IF($AQ1058=1,0,IF($AP1058=1,Settings!$C$6,Settings!$C$7))*100)</f>
        <v/>
      </c>
      <c r="AC1058" s="7">
        <f>IF($E1058="","",Y1058*AB1058/100)</f>
        <v/>
      </c>
      <c r="AD1058" s="7">
        <f>IF($E1058="","",Y1058-AC1058)</f>
        <v/>
      </c>
      <c r="AE1058" s="7">
        <f>IF($E1058="","",AD1058-Q1058)</f>
        <v/>
      </c>
      <c r="AI1058" s="7" t="n"/>
      <c r="AL1058" s="11" t="n"/>
      <c r="AN1058">
        <f>IF($E1058="","",IF(COUNTIF($E$2:$E1058,$E1058)=1,1,0))</f>
        <v/>
      </c>
      <c r="AO1058">
        <f>IF($AN1058=1,SUMPRODUCT(--($AR$2:$AR$4001&lt;$AR1058))+1,"")</f>
        <v/>
      </c>
      <c r="AP1058">
        <f>IF($E1058="","",IF(OR($U1058=TRUE(),$U1058="TRUE"),1,0))</f>
        <v/>
      </c>
      <c r="AQ1058">
        <f>IF($E1058="","",IF($AA1058="Yes",1,0))</f>
        <v/>
      </c>
      <c r="AR1058">
        <f>IF($AN1058=1,IFERROR(VALUE(MID($E1058,2,20)),1000000000)+ROW()/100000,"")</f>
        <v/>
      </c>
    </row>
    <row r="1059">
      <c r="G1059" s="11" t="n"/>
      <c r="Q1059" s="7">
        <f>IF($E1059="","",P1059*Y1059/100)</f>
        <v/>
      </c>
      <c r="R1059" s="7" t="n"/>
      <c r="X1059" s="7" t="n"/>
      <c r="Y1059" s="7" t="n"/>
      <c r="AB1059">
        <f>IF($E1059="","",IF($AQ1059=1,0,IF($AP1059=1,Settings!$C$6,Settings!$C$7))*100)</f>
        <v/>
      </c>
      <c r="AC1059" s="7">
        <f>IF($E1059="","",Y1059*AB1059/100)</f>
        <v/>
      </c>
      <c r="AD1059" s="7">
        <f>IF($E1059="","",Y1059-AC1059)</f>
        <v/>
      </c>
      <c r="AE1059" s="7">
        <f>IF($E1059="","",AD1059-Q1059)</f>
        <v/>
      </c>
      <c r="AI1059" s="7" t="n"/>
      <c r="AL1059" s="11" t="n"/>
      <c r="AN1059">
        <f>IF($E1059="","",IF(COUNTIF($E$2:$E1059,$E1059)=1,1,0))</f>
        <v/>
      </c>
      <c r="AO1059">
        <f>IF($AN1059=1,SUMPRODUCT(--($AR$2:$AR$4001&lt;$AR1059))+1,"")</f>
        <v/>
      </c>
      <c r="AP1059">
        <f>IF($E1059="","",IF(OR($U1059=TRUE(),$U1059="TRUE"),1,0))</f>
        <v/>
      </c>
      <c r="AQ1059">
        <f>IF($E1059="","",IF($AA1059="Yes",1,0))</f>
        <v/>
      </c>
      <c r="AR1059">
        <f>IF($AN1059=1,IFERROR(VALUE(MID($E1059,2,20)),1000000000)+ROW()/100000,"")</f>
        <v/>
      </c>
    </row>
    <row r="1060">
      <c r="G1060" s="11" t="n"/>
      <c r="Q1060" s="7">
        <f>IF($E1060="","",P1060*Y1060/100)</f>
        <v/>
      </c>
      <c r="R1060" s="7" t="n"/>
      <c r="X1060" s="7" t="n"/>
      <c r="Y1060" s="7" t="n"/>
      <c r="AB1060">
        <f>IF($E1060="","",IF($AQ1060=1,0,IF($AP1060=1,Settings!$C$6,Settings!$C$7))*100)</f>
        <v/>
      </c>
      <c r="AC1060" s="7">
        <f>IF($E1060="","",Y1060*AB1060/100)</f>
        <v/>
      </c>
      <c r="AD1060" s="7">
        <f>IF($E1060="","",Y1060-AC1060)</f>
        <v/>
      </c>
      <c r="AE1060" s="7">
        <f>IF($E1060="","",AD1060-Q1060)</f>
        <v/>
      </c>
      <c r="AI1060" s="7" t="n"/>
      <c r="AL1060" s="11" t="n"/>
      <c r="AN1060">
        <f>IF($E1060="","",IF(COUNTIF($E$2:$E1060,$E1060)=1,1,0))</f>
        <v/>
      </c>
      <c r="AO1060">
        <f>IF($AN1060=1,SUMPRODUCT(--($AR$2:$AR$4001&lt;$AR1060))+1,"")</f>
        <v/>
      </c>
      <c r="AP1060">
        <f>IF($E1060="","",IF(OR($U1060=TRUE(),$U1060="TRUE"),1,0))</f>
        <v/>
      </c>
      <c r="AQ1060">
        <f>IF($E1060="","",IF($AA1060="Yes",1,0))</f>
        <v/>
      </c>
      <c r="AR1060">
        <f>IF($AN1060=1,IFERROR(VALUE(MID($E1060,2,20)),1000000000)+ROW()/100000,"")</f>
        <v/>
      </c>
    </row>
    <row r="1061">
      <c r="G1061" s="11" t="n"/>
      <c r="Q1061" s="7">
        <f>IF($E1061="","",P1061*Y1061/100)</f>
        <v/>
      </c>
      <c r="R1061" s="7" t="n"/>
      <c r="X1061" s="7" t="n"/>
      <c r="Y1061" s="7" t="n"/>
      <c r="AB1061">
        <f>IF($E1061="","",IF($AQ1061=1,0,IF($AP1061=1,Settings!$C$6,Settings!$C$7))*100)</f>
        <v/>
      </c>
      <c r="AC1061" s="7">
        <f>IF($E1061="","",Y1061*AB1061/100)</f>
        <v/>
      </c>
      <c r="AD1061" s="7">
        <f>IF($E1061="","",Y1061-AC1061)</f>
        <v/>
      </c>
      <c r="AE1061" s="7">
        <f>IF($E1061="","",AD1061-Q1061)</f>
        <v/>
      </c>
      <c r="AI1061" s="7" t="n"/>
      <c r="AL1061" s="11" t="n"/>
      <c r="AN1061">
        <f>IF($E1061="","",IF(COUNTIF($E$2:$E1061,$E1061)=1,1,0))</f>
        <v/>
      </c>
      <c r="AO1061">
        <f>IF($AN1061=1,SUMPRODUCT(--($AR$2:$AR$4001&lt;$AR1061))+1,"")</f>
        <v/>
      </c>
      <c r="AP1061">
        <f>IF($E1061="","",IF(OR($U1061=TRUE(),$U1061="TRUE"),1,0))</f>
        <v/>
      </c>
      <c r="AQ1061">
        <f>IF($E1061="","",IF($AA1061="Yes",1,0))</f>
        <v/>
      </c>
      <c r="AR1061">
        <f>IF($AN1061=1,IFERROR(VALUE(MID($E1061,2,20)),1000000000)+ROW()/100000,"")</f>
        <v/>
      </c>
    </row>
    <row r="1062">
      <c r="G1062" s="11" t="n"/>
      <c r="Q1062" s="7">
        <f>IF($E1062="","",P1062*Y1062/100)</f>
        <v/>
      </c>
      <c r="R1062" s="7" t="n"/>
      <c r="X1062" s="7" t="n"/>
      <c r="Y1062" s="7" t="n"/>
      <c r="AB1062">
        <f>IF($E1062="","",IF($AQ1062=1,0,IF($AP1062=1,Settings!$C$6,Settings!$C$7))*100)</f>
        <v/>
      </c>
      <c r="AC1062" s="7">
        <f>IF($E1062="","",Y1062*AB1062/100)</f>
        <v/>
      </c>
      <c r="AD1062" s="7">
        <f>IF($E1062="","",Y1062-AC1062)</f>
        <v/>
      </c>
      <c r="AE1062" s="7">
        <f>IF($E1062="","",AD1062-Q1062)</f>
        <v/>
      </c>
      <c r="AI1062" s="7" t="n"/>
      <c r="AL1062" s="11" t="n"/>
      <c r="AN1062">
        <f>IF($E1062="","",IF(COUNTIF($E$2:$E1062,$E1062)=1,1,0))</f>
        <v/>
      </c>
      <c r="AO1062">
        <f>IF($AN1062=1,SUMPRODUCT(--($AR$2:$AR$4001&lt;$AR1062))+1,"")</f>
        <v/>
      </c>
      <c r="AP1062">
        <f>IF($E1062="","",IF(OR($U1062=TRUE(),$U1062="TRUE"),1,0))</f>
        <v/>
      </c>
      <c r="AQ1062">
        <f>IF($E1062="","",IF($AA1062="Yes",1,0))</f>
        <v/>
      </c>
      <c r="AR1062">
        <f>IF($AN1062=1,IFERROR(VALUE(MID($E1062,2,20)),1000000000)+ROW()/100000,"")</f>
        <v/>
      </c>
    </row>
    <row r="1063">
      <c r="G1063" s="11" t="n"/>
      <c r="Q1063" s="7">
        <f>IF($E1063="","",P1063*Y1063/100)</f>
        <v/>
      </c>
      <c r="R1063" s="7" t="n"/>
      <c r="X1063" s="7" t="n"/>
      <c r="Y1063" s="7" t="n"/>
      <c r="AB1063">
        <f>IF($E1063="","",IF($AQ1063=1,0,IF($AP1063=1,Settings!$C$6,Settings!$C$7))*100)</f>
        <v/>
      </c>
      <c r="AC1063" s="7">
        <f>IF($E1063="","",Y1063*AB1063/100)</f>
        <v/>
      </c>
      <c r="AD1063" s="7">
        <f>IF($E1063="","",Y1063-AC1063)</f>
        <v/>
      </c>
      <c r="AE1063" s="7">
        <f>IF($E1063="","",AD1063-Q1063)</f>
        <v/>
      </c>
      <c r="AI1063" s="7" t="n"/>
      <c r="AL1063" s="11" t="n"/>
      <c r="AN1063">
        <f>IF($E1063="","",IF(COUNTIF($E$2:$E1063,$E1063)=1,1,0))</f>
        <v/>
      </c>
      <c r="AO1063">
        <f>IF($AN1063=1,SUMPRODUCT(--($AR$2:$AR$4001&lt;$AR1063))+1,"")</f>
        <v/>
      </c>
      <c r="AP1063">
        <f>IF($E1063="","",IF(OR($U1063=TRUE(),$U1063="TRUE"),1,0))</f>
        <v/>
      </c>
      <c r="AQ1063">
        <f>IF($E1063="","",IF($AA1063="Yes",1,0))</f>
        <v/>
      </c>
      <c r="AR1063">
        <f>IF($AN1063=1,IFERROR(VALUE(MID($E1063,2,20)),1000000000)+ROW()/100000,"")</f>
        <v/>
      </c>
    </row>
    <row r="1064">
      <c r="G1064" s="11" t="n"/>
      <c r="Q1064" s="7">
        <f>IF($E1064="","",P1064*Y1064/100)</f>
        <v/>
      </c>
      <c r="R1064" s="7" t="n"/>
      <c r="X1064" s="7" t="n"/>
      <c r="Y1064" s="7" t="n"/>
      <c r="AB1064">
        <f>IF($E1064="","",IF($AQ1064=1,0,IF($AP1064=1,Settings!$C$6,Settings!$C$7))*100)</f>
        <v/>
      </c>
      <c r="AC1064" s="7">
        <f>IF($E1064="","",Y1064*AB1064/100)</f>
        <v/>
      </c>
      <c r="AD1064" s="7">
        <f>IF($E1064="","",Y1064-AC1064)</f>
        <v/>
      </c>
      <c r="AE1064" s="7">
        <f>IF($E1064="","",AD1064-Q1064)</f>
        <v/>
      </c>
      <c r="AI1064" s="7" t="n"/>
      <c r="AL1064" s="11" t="n"/>
      <c r="AN1064">
        <f>IF($E1064="","",IF(COUNTIF($E$2:$E1064,$E1064)=1,1,0))</f>
        <v/>
      </c>
      <c r="AO1064">
        <f>IF($AN1064=1,SUMPRODUCT(--($AR$2:$AR$4001&lt;$AR1064))+1,"")</f>
        <v/>
      </c>
      <c r="AP1064">
        <f>IF($E1064="","",IF(OR($U1064=TRUE(),$U1064="TRUE"),1,0))</f>
        <v/>
      </c>
      <c r="AQ1064">
        <f>IF($E1064="","",IF($AA1064="Yes",1,0))</f>
        <v/>
      </c>
      <c r="AR1064">
        <f>IF($AN1064=1,IFERROR(VALUE(MID($E1064,2,20)),1000000000)+ROW()/100000,"")</f>
        <v/>
      </c>
    </row>
    <row r="1065">
      <c r="G1065" s="11" t="n"/>
      <c r="Q1065" s="7">
        <f>IF($E1065="","",P1065*Y1065/100)</f>
        <v/>
      </c>
      <c r="R1065" s="7" t="n"/>
      <c r="X1065" s="7" t="n"/>
      <c r="Y1065" s="7" t="n"/>
      <c r="AB1065">
        <f>IF($E1065="","",IF($AQ1065=1,0,IF($AP1065=1,Settings!$C$6,Settings!$C$7))*100)</f>
        <v/>
      </c>
      <c r="AC1065" s="7">
        <f>IF($E1065="","",Y1065*AB1065/100)</f>
        <v/>
      </c>
      <c r="AD1065" s="7">
        <f>IF($E1065="","",Y1065-AC1065)</f>
        <v/>
      </c>
      <c r="AE1065" s="7">
        <f>IF($E1065="","",AD1065-Q1065)</f>
        <v/>
      </c>
      <c r="AI1065" s="7" t="n"/>
      <c r="AL1065" s="11" t="n"/>
      <c r="AN1065">
        <f>IF($E1065="","",IF(COUNTIF($E$2:$E1065,$E1065)=1,1,0))</f>
        <v/>
      </c>
      <c r="AO1065">
        <f>IF($AN1065=1,SUMPRODUCT(--($AR$2:$AR$4001&lt;$AR1065))+1,"")</f>
        <v/>
      </c>
      <c r="AP1065">
        <f>IF($E1065="","",IF(OR($U1065=TRUE(),$U1065="TRUE"),1,0))</f>
        <v/>
      </c>
      <c r="AQ1065">
        <f>IF($E1065="","",IF($AA1065="Yes",1,0))</f>
        <v/>
      </c>
      <c r="AR1065">
        <f>IF($AN1065=1,IFERROR(VALUE(MID($E1065,2,20)),1000000000)+ROW()/100000,"")</f>
        <v/>
      </c>
    </row>
    <row r="1066">
      <c r="G1066" s="11" t="n"/>
      <c r="Q1066" s="7">
        <f>IF($E1066="","",P1066*Y1066/100)</f>
        <v/>
      </c>
      <c r="R1066" s="7" t="n"/>
      <c r="X1066" s="7" t="n"/>
      <c r="Y1066" s="7" t="n"/>
      <c r="AB1066">
        <f>IF($E1066="","",IF($AQ1066=1,0,IF($AP1066=1,Settings!$C$6,Settings!$C$7))*100)</f>
        <v/>
      </c>
      <c r="AC1066" s="7">
        <f>IF($E1066="","",Y1066*AB1066/100)</f>
        <v/>
      </c>
      <c r="AD1066" s="7">
        <f>IF($E1066="","",Y1066-AC1066)</f>
        <v/>
      </c>
      <c r="AE1066" s="7">
        <f>IF($E1066="","",AD1066-Q1066)</f>
        <v/>
      </c>
      <c r="AI1066" s="7" t="n"/>
      <c r="AL1066" s="11" t="n"/>
      <c r="AN1066">
        <f>IF($E1066="","",IF(COUNTIF($E$2:$E1066,$E1066)=1,1,0))</f>
        <v/>
      </c>
      <c r="AO1066">
        <f>IF($AN1066=1,SUMPRODUCT(--($AR$2:$AR$4001&lt;$AR1066))+1,"")</f>
        <v/>
      </c>
      <c r="AP1066">
        <f>IF($E1066="","",IF(OR($U1066=TRUE(),$U1066="TRUE"),1,0))</f>
        <v/>
      </c>
      <c r="AQ1066">
        <f>IF($E1066="","",IF($AA1066="Yes",1,0))</f>
        <v/>
      </c>
      <c r="AR1066">
        <f>IF($AN1066=1,IFERROR(VALUE(MID($E1066,2,20)),1000000000)+ROW()/100000,"")</f>
        <v/>
      </c>
    </row>
    <row r="1067">
      <c r="G1067" s="11" t="n"/>
      <c r="Q1067" s="7">
        <f>IF($E1067="","",P1067*Y1067/100)</f>
        <v/>
      </c>
      <c r="R1067" s="7" t="n"/>
      <c r="X1067" s="7" t="n"/>
      <c r="Y1067" s="7" t="n"/>
      <c r="AB1067">
        <f>IF($E1067="","",IF($AQ1067=1,0,IF($AP1067=1,Settings!$C$6,Settings!$C$7))*100)</f>
        <v/>
      </c>
      <c r="AC1067" s="7">
        <f>IF($E1067="","",Y1067*AB1067/100)</f>
        <v/>
      </c>
      <c r="AD1067" s="7">
        <f>IF($E1067="","",Y1067-AC1067)</f>
        <v/>
      </c>
      <c r="AE1067" s="7">
        <f>IF($E1067="","",AD1067-Q1067)</f>
        <v/>
      </c>
      <c r="AI1067" s="7" t="n"/>
      <c r="AL1067" s="11" t="n"/>
      <c r="AN1067">
        <f>IF($E1067="","",IF(COUNTIF($E$2:$E1067,$E1067)=1,1,0))</f>
        <v/>
      </c>
      <c r="AO1067">
        <f>IF($AN1067=1,SUMPRODUCT(--($AR$2:$AR$4001&lt;$AR1067))+1,"")</f>
        <v/>
      </c>
      <c r="AP1067">
        <f>IF($E1067="","",IF(OR($U1067=TRUE(),$U1067="TRUE"),1,0))</f>
        <v/>
      </c>
      <c r="AQ1067">
        <f>IF($E1067="","",IF($AA1067="Yes",1,0))</f>
        <v/>
      </c>
      <c r="AR1067">
        <f>IF($AN1067=1,IFERROR(VALUE(MID($E1067,2,20)),1000000000)+ROW()/100000,"")</f>
        <v/>
      </c>
    </row>
    <row r="1068">
      <c r="G1068" s="11" t="n"/>
      <c r="Q1068" s="7">
        <f>IF($E1068="","",P1068*Y1068/100)</f>
        <v/>
      </c>
      <c r="R1068" s="7" t="n"/>
      <c r="X1068" s="7" t="n"/>
      <c r="Y1068" s="7" t="n"/>
      <c r="AB1068">
        <f>IF($E1068="","",IF($AQ1068=1,0,IF($AP1068=1,Settings!$C$6,Settings!$C$7))*100)</f>
        <v/>
      </c>
      <c r="AC1068" s="7">
        <f>IF($E1068="","",Y1068*AB1068/100)</f>
        <v/>
      </c>
      <c r="AD1068" s="7">
        <f>IF($E1068="","",Y1068-AC1068)</f>
        <v/>
      </c>
      <c r="AE1068" s="7">
        <f>IF($E1068="","",AD1068-Q1068)</f>
        <v/>
      </c>
      <c r="AI1068" s="7" t="n"/>
      <c r="AL1068" s="11" t="n"/>
      <c r="AN1068">
        <f>IF($E1068="","",IF(COUNTIF($E$2:$E1068,$E1068)=1,1,0))</f>
        <v/>
      </c>
      <c r="AO1068">
        <f>IF($AN1068=1,SUMPRODUCT(--($AR$2:$AR$4001&lt;$AR1068))+1,"")</f>
        <v/>
      </c>
      <c r="AP1068">
        <f>IF($E1068="","",IF(OR($U1068=TRUE(),$U1068="TRUE"),1,0))</f>
        <v/>
      </c>
      <c r="AQ1068">
        <f>IF($E1068="","",IF($AA1068="Yes",1,0))</f>
        <v/>
      </c>
      <c r="AR1068">
        <f>IF($AN1068=1,IFERROR(VALUE(MID($E1068,2,20)),1000000000)+ROW()/100000,"")</f>
        <v/>
      </c>
    </row>
    <row r="1069">
      <c r="G1069" s="11" t="n"/>
      <c r="Q1069" s="7">
        <f>IF($E1069="","",P1069*Y1069/100)</f>
        <v/>
      </c>
      <c r="R1069" s="7" t="n"/>
      <c r="X1069" s="7" t="n"/>
      <c r="Y1069" s="7" t="n"/>
      <c r="AB1069">
        <f>IF($E1069="","",IF($AQ1069=1,0,IF($AP1069=1,Settings!$C$6,Settings!$C$7))*100)</f>
        <v/>
      </c>
      <c r="AC1069" s="7">
        <f>IF($E1069="","",Y1069*AB1069/100)</f>
        <v/>
      </c>
      <c r="AD1069" s="7">
        <f>IF($E1069="","",Y1069-AC1069)</f>
        <v/>
      </c>
      <c r="AE1069" s="7">
        <f>IF($E1069="","",AD1069-Q1069)</f>
        <v/>
      </c>
      <c r="AI1069" s="7" t="n"/>
      <c r="AL1069" s="11" t="n"/>
      <c r="AN1069">
        <f>IF($E1069="","",IF(COUNTIF($E$2:$E1069,$E1069)=1,1,0))</f>
        <v/>
      </c>
      <c r="AO1069">
        <f>IF($AN1069=1,SUMPRODUCT(--($AR$2:$AR$4001&lt;$AR1069))+1,"")</f>
        <v/>
      </c>
      <c r="AP1069">
        <f>IF($E1069="","",IF(OR($U1069=TRUE(),$U1069="TRUE"),1,0))</f>
        <v/>
      </c>
      <c r="AQ1069">
        <f>IF($E1069="","",IF($AA1069="Yes",1,0))</f>
        <v/>
      </c>
      <c r="AR1069">
        <f>IF($AN1069=1,IFERROR(VALUE(MID($E1069,2,20)),1000000000)+ROW()/100000,"")</f>
        <v/>
      </c>
    </row>
    <row r="1070">
      <c r="G1070" s="11" t="n"/>
      <c r="Q1070" s="7">
        <f>IF($E1070="","",P1070*Y1070/100)</f>
        <v/>
      </c>
      <c r="R1070" s="7" t="n"/>
      <c r="X1070" s="7" t="n"/>
      <c r="Y1070" s="7" t="n"/>
      <c r="AB1070">
        <f>IF($E1070="","",IF($AQ1070=1,0,IF($AP1070=1,Settings!$C$6,Settings!$C$7))*100)</f>
        <v/>
      </c>
      <c r="AC1070" s="7">
        <f>IF($E1070="","",Y1070*AB1070/100)</f>
        <v/>
      </c>
      <c r="AD1070" s="7">
        <f>IF($E1070="","",Y1070-AC1070)</f>
        <v/>
      </c>
      <c r="AE1070" s="7">
        <f>IF($E1070="","",AD1070-Q1070)</f>
        <v/>
      </c>
      <c r="AI1070" s="7" t="n"/>
      <c r="AL1070" s="11" t="n"/>
      <c r="AN1070">
        <f>IF($E1070="","",IF(COUNTIF($E$2:$E1070,$E1070)=1,1,0))</f>
        <v/>
      </c>
      <c r="AO1070">
        <f>IF($AN1070=1,SUMPRODUCT(--($AR$2:$AR$4001&lt;$AR1070))+1,"")</f>
        <v/>
      </c>
      <c r="AP1070">
        <f>IF($E1070="","",IF(OR($U1070=TRUE(),$U1070="TRUE"),1,0))</f>
        <v/>
      </c>
      <c r="AQ1070">
        <f>IF($E1070="","",IF($AA1070="Yes",1,0))</f>
        <v/>
      </c>
      <c r="AR1070">
        <f>IF($AN1070=1,IFERROR(VALUE(MID($E1070,2,20)),1000000000)+ROW()/100000,"")</f>
        <v/>
      </c>
    </row>
    <row r="1071">
      <c r="G1071" s="11" t="n"/>
      <c r="Q1071" s="7">
        <f>IF($E1071="","",P1071*Y1071/100)</f>
        <v/>
      </c>
      <c r="R1071" s="7" t="n"/>
      <c r="X1071" s="7" t="n"/>
      <c r="Y1071" s="7" t="n"/>
      <c r="AB1071">
        <f>IF($E1071="","",IF($AQ1071=1,0,IF($AP1071=1,Settings!$C$6,Settings!$C$7))*100)</f>
        <v/>
      </c>
      <c r="AC1071" s="7">
        <f>IF($E1071="","",Y1071*AB1071/100)</f>
        <v/>
      </c>
      <c r="AD1071" s="7">
        <f>IF($E1071="","",Y1071-AC1071)</f>
        <v/>
      </c>
      <c r="AE1071" s="7">
        <f>IF($E1071="","",AD1071-Q1071)</f>
        <v/>
      </c>
      <c r="AI1071" s="7" t="n"/>
      <c r="AL1071" s="11" t="n"/>
      <c r="AN1071">
        <f>IF($E1071="","",IF(COUNTIF($E$2:$E1071,$E1071)=1,1,0))</f>
        <v/>
      </c>
      <c r="AO1071">
        <f>IF($AN1071=1,SUMPRODUCT(--($AR$2:$AR$4001&lt;$AR1071))+1,"")</f>
        <v/>
      </c>
      <c r="AP1071">
        <f>IF($E1071="","",IF(OR($U1071=TRUE(),$U1071="TRUE"),1,0))</f>
        <v/>
      </c>
      <c r="AQ1071">
        <f>IF($E1071="","",IF($AA1071="Yes",1,0))</f>
        <v/>
      </c>
      <c r="AR1071">
        <f>IF($AN1071=1,IFERROR(VALUE(MID($E1071,2,20)),1000000000)+ROW()/100000,"")</f>
        <v/>
      </c>
    </row>
    <row r="1072">
      <c r="G1072" s="11" t="n"/>
      <c r="Q1072" s="7">
        <f>IF($E1072="","",P1072*Y1072/100)</f>
        <v/>
      </c>
      <c r="R1072" s="7" t="n"/>
      <c r="X1072" s="7" t="n"/>
      <c r="Y1072" s="7" t="n"/>
      <c r="AB1072">
        <f>IF($E1072="","",IF($AQ1072=1,0,IF($AP1072=1,Settings!$C$6,Settings!$C$7))*100)</f>
        <v/>
      </c>
      <c r="AC1072" s="7">
        <f>IF($E1072="","",Y1072*AB1072/100)</f>
        <v/>
      </c>
      <c r="AD1072" s="7">
        <f>IF($E1072="","",Y1072-AC1072)</f>
        <v/>
      </c>
      <c r="AE1072" s="7">
        <f>IF($E1072="","",AD1072-Q1072)</f>
        <v/>
      </c>
      <c r="AI1072" s="7" t="n"/>
      <c r="AL1072" s="11" t="n"/>
      <c r="AN1072">
        <f>IF($E1072="","",IF(COUNTIF($E$2:$E1072,$E1072)=1,1,0))</f>
        <v/>
      </c>
      <c r="AO1072">
        <f>IF($AN1072=1,SUMPRODUCT(--($AR$2:$AR$4001&lt;$AR1072))+1,"")</f>
        <v/>
      </c>
      <c r="AP1072">
        <f>IF($E1072="","",IF(OR($U1072=TRUE(),$U1072="TRUE"),1,0))</f>
        <v/>
      </c>
      <c r="AQ1072">
        <f>IF($E1072="","",IF($AA1072="Yes",1,0))</f>
        <v/>
      </c>
      <c r="AR1072">
        <f>IF($AN1072=1,IFERROR(VALUE(MID($E1072,2,20)),1000000000)+ROW()/100000,"")</f>
        <v/>
      </c>
    </row>
    <row r="1073">
      <c r="G1073" s="11" t="n"/>
      <c r="Q1073" s="7">
        <f>IF($E1073="","",P1073*Y1073/100)</f>
        <v/>
      </c>
      <c r="R1073" s="7" t="n"/>
      <c r="X1073" s="7" t="n"/>
      <c r="Y1073" s="7" t="n"/>
      <c r="AB1073">
        <f>IF($E1073="","",IF($AQ1073=1,0,IF($AP1073=1,Settings!$C$6,Settings!$C$7))*100)</f>
        <v/>
      </c>
      <c r="AC1073" s="7">
        <f>IF($E1073="","",Y1073*AB1073/100)</f>
        <v/>
      </c>
      <c r="AD1073" s="7">
        <f>IF($E1073="","",Y1073-AC1073)</f>
        <v/>
      </c>
      <c r="AE1073" s="7">
        <f>IF($E1073="","",AD1073-Q1073)</f>
        <v/>
      </c>
      <c r="AI1073" s="7" t="n"/>
      <c r="AL1073" s="11" t="n"/>
      <c r="AN1073">
        <f>IF($E1073="","",IF(COUNTIF($E$2:$E1073,$E1073)=1,1,0))</f>
        <v/>
      </c>
      <c r="AO1073">
        <f>IF($AN1073=1,SUMPRODUCT(--($AR$2:$AR$4001&lt;$AR1073))+1,"")</f>
        <v/>
      </c>
      <c r="AP1073">
        <f>IF($E1073="","",IF(OR($U1073=TRUE(),$U1073="TRUE"),1,0))</f>
        <v/>
      </c>
      <c r="AQ1073">
        <f>IF($E1073="","",IF($AA1073="Yes",1,0))</f>
        <v/>
      </c>
      <c r="AR1073">
        <f>IF($AN1073=1,IFERROR(VALUE(MID($E1073,2,20)),1000000000)+ROW()/100000,"")</f>
        <v/>
      </c>
    </row>
    <row r="1074">
      <c r="G1074" s="11" t="n"/>
      <c r="Q1074" s="7">
        <f>IF($E1074="","",P1074*Y1074/100)</f>
        <v/>
      </c>
      <c r="R1074" s="7" t="n"/>
      <c r="X1074" s="7" t="n"/>
      <c r="Y1074" s="7" t="n"/>
      <c r="AB1074">
        <f>IF($E1074="","",IF($AQ1074=1,0,IF($AP1074=1,Settings!$C$6,Settings!$C$7))*100)</f>
        <v/>
      </c>
      <c r="AC1074" s="7">
        <f>IF($E1074="","",Y1074*AB1074/100)</f>
        <v/>
      </c>
      <c r="AD1074" s="7">
        <f>IF($E1074="","",Y1074-AC1074)</f>
        <v/>
      </c>
      <c r="AE1074" s="7">
        <f>IF($E1074="","",AD1074-Q1074)</f>
        <v/>
      </c>
      <c r="AI1074" s="7" t="n"/>
      <c r="AL1074" s="11" t="n"/>
      <c r="AN1074">
        <f>IF($E1074="","",IF(COUNTIF($E$2:$E1074,$E1074)=1,1,0))</f>
        <v/>
      </c>
      <c r="AO1074">
        <f>IF($AN1074=1,SUMPRODUCT(--($AR$2:$AR$4001&lt;$AR1074))+1,"")</f>
        <v/>
      </c>
      <c r="AP1074">
        <f>IF($E1074="","",IF(OR($U1074=TRUE(),$U1074="TRUE"),1,0))</f>
        <v/>
      </c>
      <c r="AQ1074">
        <f>IF($E1074="","",IF($AA1074="Yes",1,0))</f>
        <v/>
      </c>
      <c r="AR1074">
        <f>IF($AN1074=1,IFERROR(VALUE(MID($E1074,2,20)),1000000000)+ROW()/100000,"")</f>
        <v/>
      </c>
    </row>
    <row r="1075">
      <c r="G1075" s="11" t="n"/>
      <c r="Q1075" s="7">
        <f>IF($E1075="","",P1075*Y1075/100)</f>
        <v/>
      </c>
      <c r="R1075" s="7" t="n"/>
      <c r="X1075" s="7" t="n"/>
      <c r="Y1075" s="7" t="n"/>
      <c r="AB1075">
        <f>IF($E1075="","",IF($AQ1075=1,0,IF($AP1075=1,Settings!$C$6,Settings!$C$7))*100)</f>
        <v/>
      </c>
      <c r="AC1075" s="7">
        <f>IF($E1075="","",Y1075*AB1075/100)</f>
        <v/>
      </c>
      <c r="AD1075" s="7">
        <f>IF($E1075="","",Y1075-AC1075)</f>
        <v/>
      </c>
      <c r="AE1075" s="7">
        <f>IF($E1075="","",AD1075-Q1075)</f>
        <v/>
      </c>
      <c r="AI1075" s="7" t="n"/>
      <c r="AL1075" s="11" t="n"/>
      <c r="AN1075">
        <f>IF($E1075="","",IF(COUNTIF($E$2:$E1075,$E1075)=1,1,0))</f>
        <v/>
      </c>
      <c r="AO1075">
        <f>IF($AN1075=1,SUMPRODUCT(--($AR$2:$AR$4001&lt;$AR1075))+1,"")</f>
        <v/>
      </c>
      <c r="AP1075">
        <f>IF($E1075="","",IF(OR($U1075=TRUE(),$U1075="TRUE"),1,0))</f>
        <v/>
      </c>
      <c r="AQ1075">
        <f>IF($E1075="","",IF($AA1075="Yes",1,0))</f>
        <v/>
      </c>
      <c r="AR1075">
        <f>IF($AN1075=1,IFERROR(VALUE(MID($E1075,2,20)),1000000000)+ROW()/100000,"")</f>
        <v/>
      </c>
    </row>
    <row r="1076">
      <c r="G1076" s="11" t="n"/>
      <c r="Q1076" s="7">
        <f>IF($E1076="","",P1076*Y1076/100)</f>
        <v/>
      </c>
      <c r="R1076" s="7" t="n"/>
      <c r="X1076" s="7" t="n"/>
      <c r="Y1076" s="7" t="n"/>
      <c r="AB1076">
        <f>IF($E1076="","",IF($AQ1076=1,0,IF($AP1076=1,Settings!$C$6,Settings!$C$7))*100)</f>
        <v/>
      </c>
      <c r="AC1076" s="7">
        <f>IF($E1076="","",Y1076*AB1076/100)</f>
        <v/>
      </c>
      <c r="AD1076" s="7">
        <f>IF($E1076="","",Y1076-AC1076)</f>
        <v/>
      </c>
      <c r="AE1076" s="7">
        <f>IF($E1076="","",AD1076-Q1076)</f>
        <v/>
      </c>
      <c r="AI1076" s="7" t="n"/>
      <c r="AL1076" s="11" t="n"/>
      <c r="AN1076">
        <f>IF($E1076="","",IF(COUNTIF($E$2:$E1076,$E1076)=1,1,0))</f>
        <v/>
      </c>
      <c r="AO1076">
        <f>IF($AN1076=1,SUMPRODUCT(--($AR$2:$AR$4001&lt;$AR1076))+1,"")</f>
        <v/>
      </c>
      <c r="AP1076">
        <f>IF($E1076="","",IF(OR($U1076=TRUE(),$U1076="TRUE"),1,0))</f>
        <v/>
      </c>
      <c r="AQ1076">
        <f>IF($E1076="","",IF($AA1076="Yes",1,0))</f>
        <v/>
      </c>
      <c r="AR1076">
        <f>IF($AN1076=1,IFERROR(VALUE(MID($E1076,2,20)),1000000000)+ROW()/100000,"")</f>
        <v/>
      </c>
    </row>
    <row r="1077">
      <c r="G1077" s="11" t="n"/>
      <c r="Q1077" s="7">
        <f>IF($E1077="","",P1077*Y1077/100)</f>
        <v/>
      </c>
      <c r="R1077" s="7" t="n"/>
      <c r="X1077" s="7" t="n"/>
      <c r="Y1077" s="7" t="n"/>
      <c r="AB1077">
        <f>IF($E1077="","",IF($AQ1077=1,0,IF($AP1077=1,Settings!$C$6,Settings!$C$7))*100)</f>
        <v/>
      </c>
      <c r="AC1077" s="7">
        <f>IF($E1077="","",Y1077*AB1077/100)</f>
        <v/>
      </c>
      <c r="AD1077" s="7">
        <f>IF($E1077="","",Y1077-AC1077)</f>
        <v/>
      </c>
      <c r="AE1077" s="7">
        <f>IF($E1077="","",AD1077-Q1077)</f>
        <v/>
      </c>
      <c r="AI1077" s="7" t="n"/>
      <c r="AL1077" s="11" t="n"/>
      <c r="AN1077">
        <f>IF($E1077="","",IF(COUNTIF($E$2:$E1077,$E1077)=1,1,0))</f>
        <v/>
      </c>
      <c r="AO1077">
        <f>IF($AN1077=1,SUMPRODUCT(--($AR$2:$AR$4001&lt;$AR1077))+1,"")</f>
        <v/>
      </c>
      <c r="AP1077">
        <f>IF($E1077="","",IF(OR($U1077=TRUE(),$U1077="TRUE"),1,0))</f>
        <v/>
      </c>
      <c r="AQ1077">
        <f>IF($E1077="","",IF($AA1077="Yes",1,0))</f>
        <v/>
      </c>
      <c r="AR1077">
        <f>IF($AN1077=1,IFERROR(VALUE(MID($E1077,2,20)),1000000000)+ROW()/100000,"")</f>
        <v/>
      </c>
    </row>
    <row r="1078">
      <c r="G1078" s="11" t="n"/>
      <c r="Q1078" s="7">
        <f>IF($E1078="","",P1078*Y1078/100)</f>
        <v/>
      </c>
      <c r="R1078" s="7" t="n"/>
      <c r="X1078" s="7" t="n"/>
      <c r="Y1078" s="7" t="n"/>
      <c r="AB1078">
        <f>IF($E1078="","",IF($AQ1078=1,0,IF($AP1078=1,Settings!$C$6,Settings!$C$7))*100)</f>
        <v/>
      </c>
      <c r="AC1078" s="7">
        <f>IF($E1078="","",Y1078*AB1078/100)</f>
        <v/>
      </c>
      <c r="AD1078" s="7">
        <f>IF($E1078="","",Y1078-AC1078)</f>
        <v/>
      </c>
      <c r="AE1078" s="7">
        <f>IF($E1078="","",AD1078-Q1078)</f>
        <v/>
      </c>
      <c r="AI1078" s="7" t="n"/>
      <c r="AL1078" s="11" t="n"/>
      <c r="AN1078">
        <f>IF($E1078="","",IF(COUNTIF($E$2:$E1078,$E1078)=1,1,0))</f>
        <v/>
      </c>
      <c r="AO1078">
        <f>IF($AN1078=1,SUMPRODUCT(--($AR$2:$AR$4001&lt;$AR1078))+1,"")</f>
        <v/>
      </c>
      <c r="AP1078">
        <f>IF($E1078="","",IF(OR($U1078=TRUE(),$U1078="TRUE"),1,0))</f>
        <v/>
      </c>
      <c r="AQ1078">
        <f>IF($E1078="","",IF($AA1078="Yes",1,0))</f>
        <v/>
      </c>
      <c r="AR1078">
        <f>IF($AN1078=1,IFERROR(VALUE(MID($E1078,2,20)),1000000000)+ROW()/100000,"")</f>
        <v/>
      </c>
    </row>
    <row r="1079">
      <c r="G1079" s="11" t="n"/>
      <c r="Q1079" s="7">
        <f>IF($E1079="","",P1079*Y1079/100)</f>
        <v/>
      </c>
      <c r="R1079" s="7" t="n"/>
      <c r="X1079" s="7" t="n"/>
      <c r="Y1079" s="7" t="n"/>
      <c r="AB1079">
        <f>IF($E1079="","",IF($AQ1079=1,0,IF($AP1079=1,Settings!$C$6,Settings!$C$7))*100)</f>
        <v/>
      </c>
      <c r="AC1079" s="7">
        <f>IF($E1079="","",Y1079*AB1079/100)</f>
        <v/>
      </c>
      <c r="AD1079" s="7">
        <f>IF($E1079="","",Y1079-AC1079)</f>
        <v/>
      </c>
      <c r="AE1079" s="7">
        <f>IF($E1079="","",AD1079-Q1079)</f>
        <v/>
      </c>
      <c r="AI1079" s="7" t="n"/>
      <c r="AL1079" s="11" t="n"/>
      <c r="AN1079">
        <f>IF($E1079="","",IF(COUNTIF($E$2:$E1079,$E1079)=1,1,0))</f>
        <v/>
      </c>
      <c r="AO1079">
        <f>IF($AN1079=1,SUMPRODUCT(--($AR$2:$AR$4001&lt;$AR1079))+1,"")</f>
        <v/>
      </c>
      <c r="AP1079">
        <f>IF($E1079="","",IF(OR($U1079=TRUE(),$U1079="TRUE"),1,0))</f>
        <v/>
      </c>
      <c r="AQ1079">
        <f>IF($E1079="","",IF($AA1079="Yes",1,0))</f>
        <v/>
      </c>
      <c r="AR1079">
        <f>IF($AN1079=1,IFERROR(VALUE(MID($E1079,2,20)),1000000000)+ROW()/100000,"")</f>
        <v/>
      </c>
    </row>
    <row r="1080">
      <c r="G1080" s="11" t="n"/>
      <c r="Q1080" s="7">
        <f>IF($E1080="","",P1080*Y1080/100)</f>
        <v/>
      </c>
      <c r="R1080" s="7" t="n"/>
      <c r="X1080" s="7" t="n"/>
      <c r="Y1080" s="7" t="n"/>
      <c r="AB1080">
        <f>IF($E1080="","",IF($AQ1080=1,0,IF($AP1080=1,Settings!$C$6,Settings!$C$7))*100)</f>
        <v/>
      </c>
      <c r="AC1080" s="7">
        <f>IF($E1080="","",Y1080*AB1080/100)</f>
        <v/>
      </c>
      <c r="AD1080" s="7">
        <f>IF($E1080="","",Y1080-AC1080)</f>
        <v/>
      </c>
      <c r="AE1080" s="7">
        <f>IF($E1080="","",AD1080-Q1080)</f>
        <v/>
      </c>
      <c r="AI1080" s="7" t="n"/>
      <c r="AL1080" s="11" t="n"/>
      <c r="AN1080">
        <f>IF($E1080="","",IF(COUNTIF($E$2:$E1080,$E1080)=1,1,0))</f>
        <v/>
      </c>
      <c r="AO1080">
        <f>IF($AN1080=1,SUMPRODUCT(--($AR$2:$AR$4001&lt;$AR1080))+1,"")</f>
        <v/>
      </c>
      <c r="AP1080">
        <f>IF($E1080="","",IF(OR($U1080=TRUE(),$U1080="TRUE"),1,0))</f>
        <v/>
      </c>
      <c r="AQ1080">
        <f>IF($E1080="","",IF($AA1080="Yes",1,0))</f>
        <v/>
      </c>
      <c r="AR1080">
        <f>IF($AN1080=1,IFERROR(VALUE(MID($E1080,2,20)),1000000000)+ROW()/100000,"")</f>
        <v/>
      </c>
    </row>
    <row r="1081">
      <c r="G1081" s="11" t="n"/>
      <c r="Q1081" s="7">
        <f>IF($E1081="","",P1081*Y1081/100)</f>
        <v/>
      </c>
      <c r="R1081" s="7" t="n"/>
      <c r="X1081" s="7" t="n"/>
      <c r="Y1081" s="7" t="n"/>
      <c r="AB1081">
        <f>IF($E1081="","",IF($AQ1081=1,0,IF($AP1081=1,Settings!$C$6,Settings!$C$7))*100)</f>
        <v/>
      </c>
      <c r="AC1081" s="7">
        <f>IF($E1081="","",Y1081*AB1081/100)</f>
        <v/>
      </c>
      <c r="AD1081" s="7">
        <f>IF($E1081="","",Y1081-AC1081)</f>
        <v/>
      </c>
      <c r="AE1081" s="7">
        <f>IF($E1081="","",AD1081-Q1081)</f>
        <v/>
      </c>
      <c r="AI1081" s="7" t="n"/>
      <c r="AL1081" s="11" t="n"/>
      <c r="AN1081">
        <f>IF($E1081="","",IF(COUNTIF($E$2:$E1081,$E1081)=1,1,0))</f>
        <v/>
      </c>
      <c r="AO1081">
        <f>IF($AN1081=1,SUMPRODUCT(--($AR$2:$AR$4001&lt;$AR1081))+1,"")</f>
        <v/>
      </c>
      <c r="AP1081">
        <f>IF($E1081="","",IF(OR($U1081=TRUE(),$U1081="TRUE"),1,0))</f>
        <v/>
      </c>
      <c r="AQ1081">
        <f>IF($E1081="","",IF($AA1081="Yes",1,0))</f>
        <v/>
      </c>
      <c r="AR1081">
        <f>IF($AN1081=1,IFERROR(VALUE(MID($E1081,2,20)),1000000000)+ROW()/100000,"")</f>
        <v/>
      </c>
    </row>
    <row r="1082">
      <c r="G1082" s="11" t="n"/>
      <c r="Q1082" s="7">
        <f>IF($E1082="","",P1082*Y1082/100)</f>
        <v/>
      </c>
      <c r="R1082" s="7" t="n"/>
      <c r="X1082" s="7" t="n"/>
      <c r="Y1082" s="7" t="n"/>
      <c r="AB1082">
        <f>IF($E1082="","",IF($AQ1082=1,0,IF($AP1082=1,Settings!$C$6,Settings!$C$7))*100)</f>
        <v/>
      </c>
      <c r="AC1082" s="7">
        <f>IF($E1082="","",Y1082*AB1082/100)</f>
        <v/>
      </c>
      <c r="AD1082" s="7">
        <f>IF($E1082="","",Y1082-AC1082)</f>
        <v/>
      </c>
      <c r="AE1082" s="7">
        <f>IF($E1082="","",AD1082-Q1082)</f>
        <v/>
      </c>
      <c r="AI1082" s="7" t="n"/>
      <c r="AL1082" s="11" t="n"/>
      <c r="AN1082">
        <f>IF($E1082="","",IF(COUNTIF($E$2:$E1082,$E1082)=1,1,0))</f>
        <v/>
      </c>
      <c r="AO1082">
        <f>IF($AN1082=1,SUMPRODUCT(--($AR$2:$AR$4001&lt;$AR1082))+1,"")</f>
        <v/>
      </c>
      <c r="AP1082">
        <f>IF($E1082="","",IF(OR($U1082=TRUE(),$U1082="TRUE"),1,0))</f>
        <v/>
      </c>
      <c r="AQ1082">
        <f>IF($E1082="","",IF($AA1082="Yes",1,0))</f>
        <v/>
      </c>
      <c r="AR1082">
        <f>IF($AN1082=1,IFERROR(VALUE(MID($E1082,2,20)),1000000000)+ROW()/100000,"")</f>
        <v/>
      </c>
    </row>
    <row r="1083">
      <c r="G1083" s="11" t="n"/>
      <c r="Q1083" s="7">
        <f>IF($E1083="","",P1083*Y1083/100)</f>
        <v/>
      </c>
      <c r="R1083" s="7" t="n"/>
      <c r="X1083" s="7" t="n"/>
      <c r="Y1083" s="7" t="n"/>
      <c r="AB1083">
        <f>IF($E1083="","",IF($AQ1083=1,0,IF($AP1083=1,Settings!$C$6,Settings!$C$7))*100)</f>
        <v/>
      </c>
      <c r="AC1083" s="7">
        <f>IF($E1083="","",Y1083*AB1083/100)</f>
        <v/>
      </c>
      <c r="AD1083" s="7">
        <f>IF($E1083="","",Y1083-AC1083)</f>
        <v/>
      </c>
      <c r="AE1083" s="7">
        <f>IF($E1083="","",AD1083-Q1083)</f>
        <v/>
      </c>
      <c r="AI1083" s="7" t="n"/>
      <c r="AL1083" s="11" t="n"/>
      <c r="AN1083">
        <f>IF($E1083="","",IF(COUNTIF($E$2:$E1083,$E1083)=1,1,0))</f>
        <v/>
      </c>
      <c r="AO1083">
        <f>IF($AN1083=1,SUMPRODUCT(--($AR$2:$AR$4001&lt;$AR1083))+1,"")</f>
        <v/>
      </c>
      <c r="AP1083">
        <f>IF($E1083="","",IF(OR($U1083=TRUE(),$U1083="TRUE"),1,0))</f>
        <v/>
      </c>
      <c r="AQ1083">
        <f>IF($E1083="","",IF($AA1083="Yes",1,0))</f>
        <v/>
      </c>
      <c r="AR1083">
        <f>IF($AN1083=1,IFERROR(VALUE(MID($E1083,2,20)),1000000000)+ROW()/100000,"")</f>
        <v/>
      </c>
    </row>
    <row r="1084">
      <c r="G1084" s="11" t="n"/>
      <c r="Q1084" s="7">
        <f>IF($E1084="","",P1084*Y1084/100)</f>
        <v/>
      </c>
      <c r="R1084" s="7" t="n"/>
      <c r="X1084" s="7" t="n"/>
      <c r="Y1084" s="7" t="n"/>
      <c r="AB1084">
        <f>IF($E1084="","",IF($AQ1084=1,0,IF($AP1084=1,Settings!$C$6,Settings!$C$7))*100)</f>
        <v/>
      </c>
      <c r="AC1084" s="7">
        <f>IF($E1084="","",Y1084*AB1084/100)</f>
        <v/>
      </c>
      <c r="AD1084" s="7">
        <f>IF($E1084="","",Y1084-AC1084)</f>
        <v/>
      </c>
      <c r="AE1084" s="7">
        <f>IF($E1084="","",AD1084-Q1084)</f>
        <v/>
      </c>
      <c r="AI1084" s="7" t="n"/>
      <c r="AL1084" s="11" t="n"/>
      <c r="AN1084">
        <f>IF($E1084="","",IF(COUNTIF($E$2:$E1084,$E1084)=1,1,0))</f>
        <v/>
      </c>
      <c r="AO1084">
        <f>IF($AN1084=1,SUMPRODUCT(--($AR$2:$AR$4001&lt;$AR1084))+1,"")</f>
        <v/>
      </c>
      <c r="AP1084">
        <f>IF($E1084="","",IF(OR($U1084=TRUE(),$U1084="TRUE"),1,0))</f>
        <v/>
      </c>
      <c r="AQ1084">
        <f>IF($E1084="","",IF($AA1084="Yes",1,0))</f>
        <v/>
      </c>
      <c r="AR1084">
        <f>IF($AN1084=1,IFERROR(VALUE(MID($E1084,2,20)),1000000000)+ROW()/100000,"")</f>
        <v/>
      </c>
    </row>
    <row r="1085">
      <c r="G1085" s="11" t="n"/>
      <c r="Q1085" s="7">
        <f>IF($E1085="","",P1085*Y1085/100)</f>
        <v/>
      </c>
      <c r="R1085" s="7" t="n"/>
      <c r="X1085" s="7" t="n"/>
      <c r="Y1085" s="7" t="n"/>
      <c r="AB1085">
        <f>IF($E1085="","",IF($AQ1085=1,0,IF($AP1085=1,Settings!$C$6,Settings!$C$7))*100)</f>
        <v/>
      </c>
      <c r="AC1085" s="7">
        <f>IF($E1085="","",Y1085*AB1085/100)</f>
        <v/>
      </c>
      <c r="AD1085" s="7">
        <f>IF($E1085="","",Y1085-AC1085)</f>
        <v/>
      </c>
      <c r="AE1085" s="7">
        <f>IF($E1085="","",AD1085-Q1085)</f>
        <v/>
      </c>
      <c r="AI1085" s="7" t="n"/>
      <c r="AL1085" s="11" t="n"/>
      <c r="AN1085">
        <f>IF($E1085="","",IF(COUNTIF($E$2:$E1085,$E1085)=1,1,0))</f>
        <v/>
      </c>
      <c r="AO1085">
        <f>IF($AN1085=1,SUMPRODUCT(--($AR$2:$AR$4001&lt;$AR1085))+1,"")</f>
        <v/>
      </c>
      <c r="AP1085">
        <f>IF($E1085="","",IF(OR($U1085=TRUE(),$U1085="TRUE"),1,0))</f>
        <v/>
      </c>
      <c r="AQ1085">
        <f>IF($E1085="","",IF($AA1085="Yes",1,0))</f>
        <v/>
      </c>
      <c r="AR1085">
        <f>IF($AN1085=1,IFERROR(VALUE(MID($E1085,2,20)),1000000000)+ROW()/100000,"")</f>
        <v/>
      </c>
    </row>
    <row r="1086">
      <c r="G1086" s="11" t="n"/>
      <c r="Q1086" s="7">
        <f>IF($E1086="","",P1086*Y1086/100)</f>
        <v/>
      </c>
      <c r="R1086" s="7" t="n"/>
      <c r="X1086" s="7" t="n"/>
      <c r="Y1086" s="7" t="n"/>
      <c r="AB1086">
        <f>IF($E1086="","",IF($AQ1086=1,0,IF($AP1086=1,Settings!$C$6,Settings!$C$7))*100)</f>
        <v/>
      </c>
      <c r="AC1086" s="7">
        <f>IF($E1086="","",Y1086*AB1086/100)</f>
        <v/>
      </c>
      <c r="AD1086" s="7">
        <f>IF($E1086="","",Y1086-AC1086)</f>
        <v/>
      </c>
      <c r="AE1086" s="7">
        <f>IF($E1086="","",AD1086-Q1086)</f>
        <v/>
      </c>
      <c r="AI1086" s="7" t="n"/>
      <c r="AL1086" s="11" t="n"/>
      <c r="AN1086">
        <f>IF($E1086="","",IF(COUNTIF($E$2:$E1086,$E1086)=1,1,0))</f>
        <v/>
      </c>
      <c r="AO1086">
        <f>IF($AN1086=1,SUMPRODUCT(--($AR$2:$AR$4001&lt;$AR1086))+1,"")</f>
        <v/>
      </c>
      <c r="AP1086">
        <f>IF($E1086="","",IF(OR($U1086=TRUE(),$U1086="TRUE"),1,0))</f>
        <v/>
      </c>
      <c r="AQ1086">
        <f>IF($E1086="","",IF($AA1086="Yes",1,0))</f>
        <v/>
      </c>
      <c r="AR1086">
        <f>IF($AN1086=1,IFERROR(VALUE(MID($E1086,2,20)),1000000000)+ROW()/100000,"")</f>
        <v/>
      </c>
    </row>
    <row r="1087">
      <c r="G1087" s="11" t="n"/>
      <c r="Q1087" s="7">
        <f>IF($E1087="","",P1087*Y1087/100)</f>
        <v/>
      </c>
      <c r="R1087" s="7" t="n"/>
      <c r="X1087" s="7" t="n"/>
      <c r="Y1087" s="7" t="n"/>
      <c r="AB1087">
        <f>IF($E1087="","",IF($AQ1087=1,0,IF($AP1087=1,Settings!$C$6,Settings!$C$7))*100)</f>
        <v/>
      </c>
      <c r="AC1087" s="7">
        <f>IF($E1087="","",Y1087*AB1087/100)</f>
        <v/>
      </c>
      <c r="AD1087" s="7">
        <f>IF($E1087="","",Y1087-AC1087)</f>
        <v/>
      </c>
      <c r="AE1087" s="7">
        <f>IF($E1087="","",AD1087-Q1087)</f>
        <v/>
      </c>
      <c r="AI1087" s="7" t="n"/>
      <c r="AL1087" s="11" t="n"/>
      <c r="AN1087">
        <f>IF($E1087="","",IF(COUNTIF($E$2:$E1087,$E1087)=1,1,0))</f>
        <v/>
      </c>
      <c r="AO1087">
        <f>IF($AN1087=1,SUMPRODUCT(--($AR$2:$AR$4001&lt;$AR1087))+1,"")</f>
        <v/>
      </c>
      <c r="AP1087">
        <f>IF($E1087="","",IF(OR($U1087=TRUE(),$U1087="TRUE"),1,0))</f>
        <v/>
      </c>
      <c r="AQ1087">
        <f>IF($E1087="","",IF($AA1087="Yes",1,0))</f>
        <v/>
      </c>
      <c r="AR1087">
        <f>IF($AN1087=1,IFERROR(VALUE(MID($E1087,2,20)),1000000000)+ROW()/100000,"")</f>
        <v/>
      </c>
    </row>
    <row r="1088">
      <c r="G1088" s="11" t="n"/>
      <c r="Q1088" s="7">
        <f>IF($E1088="","",P1088*Y1088/100)</f>
        <v/>
      </c>
      <c r="R1088" s="7" t="n"/>
      <c r="X1088" s="7" t="n"/>
      <c r="Y1088" s="7" t="n"/>
      <c r="AB1088">
        <f>IF($E1088="","",IF($AQ1088=1,0,IF($AP1088=1,Settings!$C$6,Settings!$C$7))*100)</f>
        <v/>
      </c>
      <c r="AC1088" s="7">
        <f>IF($E1088="","",Y1088*AB1088/100)</f>
        <v/>
      </c>
      <c r="AD1088" s="7">
        <f>IF($E1088="","",Y1088-AC1088)</f>
        <v/>
      </c>
      <c r="AE1088" s="7">
        <f>IF($E1088="","",AD1088-Q1088)</f>
        <v/>
      </c>
      <c r="AI1088" s="7" t="n"/>
      <c r="AL1088" s="11" t="n"/>
      <c r="AN1088">
        <f>IF($E1088="","",IF(COUNTIF($E$2:$E1088,$E1088)=1,1,0))</f>
        <v/>
      </c>
      <c r="AO1088">
        <f>IF($AN1088=1,SUMPRODUCT(--($AR$2:$AR$4001&lt;$AR1088))+1,"")</f>
        <v/>
      </c>
      <c r="AP1088">
        <f>IF($E1088="","",IF(OR($U1088=TRUE(),$U1088="TRUE"),1,0))</f>
        <v/>
      </c>
      <c r="AQ1088">
        <f>IF($E1088="","",IF($AA1088="Yes",1,0))</f>
        <v/>
      </c>
      <c r="AR1088">
        <f>IF($AN1088=1,IFERROR(VALUE(MID($E1088,2,20)),1000000000)+ROW()/100000,"")</f>
        <v/>
      </c>
    </row>
    <row r="1089">
      <c r="G1089" s="11" t="n"/>
      <c r="Q1089" s="7">
        <f>IF($E1089="","",P1089*Y1089/100)</f>
        <v/>
      </c>
      <c r="R1089" s="7" t="n"/>
      <c r="X1089" s="7" t="n"/>
      <c r="Y1089" s="7" t="n"/>
      <c r="AB1089">
        <f>IF($E1089="","",IF($AQ1089=1,0,IF($AP1089=1,Settings!$C$6,Settings!$C$7))*100)</f>
        <v/>
      </c>
      <c r="AC1089" s="7">
        <f>IF($E1089="","",Y1089*AB1089/100)</f>
        <v/>
      </c>
      <c r="AD1089" s="7">
        <f>IF($E1089="","",Y1089-AC1089)</f>
        <v/>
      </c>
      <c r="AE1089" s="7">
        <f>IF($E1089="","",AD1089-Q1089)</f>
        <v/>
      </c>
      <c r="AI1089" s="7" t="n"/>
      <c r="AL1089" s="11" t="n"/>
      <c r="AN1089">
        <f>IF($E1089="","",IF(COUNTIF($E$2:$E1089,$E1089)=1,1,0))</f>
        <v/>
      </c>
      <c r="AO1089">
        <f>IF($AN1089=1,SUMPRODUCT(--($AR$2:$AR$4001&lt;$AR1089))+1,"")</f>
        <v/>
      </c>
      <c r="AP1089">
        <f>IF($E1089="","",IF(OR($U1089=TRUE(),$U1089="TRUE"),1,0))</f>
        <v/>
      </c>
      <c r="AQ1089">
        <f>IF($E1089="","",IF($AA1089="Yes",1,0))</f>
        <v/>
      </c>
      <c r="AR1089">
        <f>IF($AN1089=1,IFERROR(VALUE(MID($E1089,2,20)),1000000000)+ROW()/100000,"")</f>
        <v/>
      </c>
    </row>
    <row r="1090">
      <c r="G1090" s="11" t="n"/>
      <c r="Q1090" s="7">
        <f>IF($E1090="","",P1090*Y1090/100)</f>
        <v/>
      </c>
      <c r="R1090" s="7" t="n"/>
      <c r="X1090" s="7" t="n"/>
      <c r="Y1090" s="7" t="n"/>
      <c r="AB1090">
        <f>IF($E1090="","",IF($AQ1090=1,0,IF($AP1090=1,Settings!$C$6,Settings!$C$7))*100)</f>
        <v/>
      </c>
      <c r="AC1090" s="7">
        <f>IF($E1090="","",Y1090*AB1090/100)</f>
        <v/>
      </c>
      <c r="AD1090" s="7">
        <f>IF($E1090="","",Y1090-AC1090)</f>
        <v/>
      </c>
      <c r="AE1090" s="7">
        <f>IF($E1090="","",AD1090-Q1090)</f>
        <v/>
      </c>
      <c r="AI1090" s="7" t="n"/>
      <c r="AL1090" s="11" t="n"/>
      <c r="AN1090">
        <f>IF($E1090="","",IF(COUNTIF($E$2:$E1090,$E1090)=1,1,0))</f>
        <v/>
      </c>
      <c r="AO1090">
        <f>IF($AN1090=1,SUMPRODUCT(--($AR$2:$AR$4001&lt;$AR1090))+1,"")</f>
        <v/>
      </c>
      <c r="AP1090">
        <f>IF($E1090="","",IF(OR($U1090=TRUE(),$U1090="TRUE"),1,0))</f>
        <v/>
      </c>
      <c r="AQ1090">
        <f>IF($E1090="","",IF($AA1090="Yes",1,0))</f>
        <v/>
      </c>
      <c r="AR1090">
        <f>IF($AN1090=1,IFERROR(VALUE(MID($E1090,2,20)),1000000000)+ROW()/100000,"")</f>
        <v/>
      </c>
    </row>
    <row r="1091">
      <c r="G1091" s="11" t="n"/>
      <c r="Q1091" s="7">
        <f>IF($E1091="","",P1091*Y1091/100)</f>
        <v/>
      </c>
      <c r="R1091" s="7" t="n"/>
      <c r="X1091" s="7" t="n"/>
      <c r="Y1091" s="7" t="n"/>
      <c r="AB1091">
        <f>IF($E1091="","",IF($AQ1091=1,0,IF($AP1091=1,Settings!$C$6,Settings!$C$7))*100)</f>
        <v/>
      </c>
      <c r="AC1091" s="7">
        <f>IF($E1091="","",Y1091*AB1091/100)</f>
        <v/>
      </c>
      <c r="AD1091" s="7">
        <f>IF($E1091="","",Y1091-AC1091)</f>
        <v/>
      </c>
      <c r="AE1091" s="7">
        <f>IF($E1091="","",AD1091-Q1091)</f>
        <v/>
      </c>
      <c r="AI1091" s="7" t="n"/>
      <c r="AL1091" s="11" t="n"/>
      <c r="AN1091">
        <f>IF($E1091="","",IF(COUNTIF($E$2:$E1091,$E1091)=1,1,0))</f>
        <v/>
      </c>
      <c r="AO1091">
        <f>IF($AN1091=1,SUMPRODUCT(--($AR$2:$AR$4001&lt;$AR1091))+1,"")</f>
        <v/>
      </c>
      <c r="AP1091">
        <f>IF($E1091="","",IF(OR($U1091=TRUE(),$U1091="TRUE"),1,0))</f>
        <v/>
      </c>
      <c r="AQ1091">
        <f>IF($E1091="","",IF($AA1091="Yes",1,0))</f>
        <v/>
      </c>
      <c r="AR1091">
        <f>IF($AN1091=1,IFERROR(VALUE(MID($E1091,2,20)),1000000000)+ROW()/100000,"")</f>
        <v/>
      </c>
    </row>
    <row r="1092">
      <c r="G1092" s="11" t="n"/>
      <c r="Q1092" s="7">
        <f>IF($E1092="","",P1092*Y1092/100)</f>
        <v/>
      </c>
      <c r="R1092" s="7" t="n"/>
      <c r="X1092" s="7" t="n"/>
      <c r="Y1092" s="7" t="n"/>
      <c r="AB1092">
        <f>IF($E1092="","",IF($AQ1092=1,0,IF($AP1092=1,Settings!$C$6,Settings!$C$7))*100)</f>
        <v/>
      </c>
      <c r="AC1092" s="7">
        <f>IF($E1092="","",Y1092*AB1092/100)</f>
        <v/>
      </c>
      <c r="AD1092" s="7">
        <f>IF($E1092="","",Y1092-AC1092)</f>
        <v/>
      </c>
      <c r="AE1092" s="7">
        <f>IF($E1092="","",AD1092-Q1092)</f>
        <v/>
      </c>
      <c r="AI1092" s="7" t="n"/>
      <c r="AL1092" s="11" t="n"/>
      <c r="AN1092">
        <f>IF($E1092="","",IF(COUNTIF($E$2:$E1092,$E1092)=1,1,0))</f>
        <v/>
      </c>
      <c r="AO1092">
        <f>IF($AN1092=1,SUMPRODUCT(--($AR$2:$AR$4001&lt;$AR1092))+1,"")</f>
        <v/>
      </c>
      <c r="AP1092">
        <f>IF($E1092="","",IF(OR($U1092=TRUE(),$U1092="TRUE"),1,0))</f>
        <v/>
      </c>
      <c r="AQ1092">
        <f>IF($E1092="","",IF($AA1092="Yes",1,0))</f>
        <v/>
      </c>
      <c r="AR1092">
        <f>IF($AN1092=1,IFERROR(VALUE(MID($E1092,2,20)),1000000000)+ROW()/100000,"")</f>
        <v/>
      </c>
    </row>
    <row r="1093">
      <c r="G1093" s="11" t="n"/>
      <c r="Q1093" s="7">
        <f>IF($E1093="","",P1093*Y1093/100)</f>
        <v/>
      </c>
      <c r="R1093" s="7" t="n"/>
      <c r="X1093" s="7" t="n"/>
      <c r="Y1093" s="7" t="n"/>
      <c r="AB1093">
        <f>IF($E1093="","",IF($AQ1093=1,0,IF($AP1093=1,Settings!$C$6,Settings!$C$7))*100)</f>
        <v/>
      </c>
      <c r="AC1093" s="7">
        <f>IF($E1093="","",Y1093*AB1093/100)</f>
        <v/>
      </c>
      <c r="AD1093" s="7">
        <f>IF($E1093="","",Y1093-AC1093)</f>
        <v/>
      </c>
      <c r="AE1093" s="7">
        <f>IF($E1093="","",AD1093-Q1093)</f>
        <v/>
      </c>
      <c r="AI1093" s="7" t="n"/>
      <c r="AL1093" s="11" t="n"/>
      <c r="AN1093">
        <f>IF($E1093="","",IF(COUNTIF($E$2:$E1093,$E1093)=1,1,0))</f>
        <v/>
      </c>
      <c r="AO1093">
        <f>IF($AN1093=1,SUMPRODUCT(--($AR$2:$AR$4001&lt;$AR1093))+1,"")</f>
        <v/>
      </c>
      <c r="AP1093">
        <f>IF($E1093="","",IF(OR($U1093=TRUE(),$U1093="TRUE"),1,0))</f>
        <v/>
      </c>
      <c r="AQ1093">
        <f>IF($E1093="","",IF($AA1093="Yes",1,0))</f>
        <v/>
      </c>
      <c r="AR1093">
        <f>IF($AN1093=1,IFERROR(VALUE(MID($E1093,2,20)),1000000000)+ROW()/100000,"")</f>
        <v/>
      </c>
    </row>
    <row r="1094">
      <c r="G1094" s="11" t="n"/>
      <c r="Q1094" s="7">
        <f>IF($E1094="","",P1094*Y1094/100)</f>
        <v/>
      </c>
      <c r="R1094" s="7" t="n"/>
      <c r="X1094" s="7" t="n"/>
      <c r="Y1094" s="7" t="n"/>
      <c r="AB1094">
        <f>IF($E1094="","",IF($AQ1094=1,0,IF($AP1094=1,Settings!$C$6,Settings!$C$7))*100)</f>
        <v/>
      </c>
      <c r="AC1094" s="7">
        <f>IF($E1094="","",Y1094*AB1094/100)</f>
        <v/>
      </c>
      <c r="AD1094" s="7">
        <f>IF($E1094="","",Y1094-AC1094)</f>
        <v/>
      </c>
      <c r="AE1094" s="7">
        <f>IF($E1094="","",AD1094-Q1094)</f>
        <v/>
      </c>
      <c r="AI1094" s="7" t="n"/>
      <c r="AL1094" s="11" t="n"/>
      <c r="AN1094">
        <f>IF($E1094="","",IF(COUNTIF($E$2:$E1094,$E1094)=1,1,0))</f>
        <v/>
      </c>
      <c r="AO1094">
        <f>IF($AN1094=1,SUMPRODUCT(--($AR$2:$AR$4001&lt;$AR1094))+1,"")</f>
        <v/>
      </c>
      <c r="AP1094">
        <f>IF($E1094="","",IF(OR($U1094=TRUE(),$U1094="TRUE"),1,0))</f>
        <v/>
      </c>
      <c r="AQ1094">
        <f>IF($E1094="","",IF($AA1094="Yes",1,0))</f>
        <v/>
      </c>
      <c r="AR1094">
        <f>IF($AN1094=1,IFERROR(VALUE(MID($E1094,2,20)),1000000000)+ROW()/100000,"")</f>
        <v/>
      </c>
    </row>
    <row r="1095">
      <c r="G1095" s="11" t="n"/>
      <c r="Q1095" s="7">
        <f>IF($E1095="","",P1095*Y1095/100)</f>
        <v/>
      </c>
      <c r="R1095" s="7" t="n"/>
      <c r="X1095" s="7" t="n"/>
      <c r="Y1095" s="7" t="n"/>
      <c r="AB1095">
        <f>IF($E1095="","",IF($AQ1095=1,0,IF($AP1095=1,Settings!$C$6,Settings!$C$7))*100)</f>
        <v/>
      </c>
      <c r="AC1095" s="7">
        <f>IF($E1095="","",Y1095*AB1095/100)</f>
        <v/>
      </c>
      <c r="AD1095" s="7">
        <f>IF($E1095="","",Y1095-AC1095)</f>
        <v/>
      </c>
      <c r="AE1095" s="7">
        <f>IF($E1095="","",AD1095-Q1095)</f>
        <v/>
      </c>
      <c r="AI1095" s="7" t="n"/>
      <c r="AL1095" s="11" t="n"/>
      <c r="AN1095">
        <f>IF($E1095="","",IF(COUNTIF($E$2:$E1095,$E1095)=1,1,0))</f>
        <v/>
      </c>
      <c r="AO1095">
        <f>IF($AN1095=1,SUMPRODUCT(--($AR$2:$AR$4001&lt;$AR1095))+1,"")</f>
        <v/>
      </c>
      <c r="AP1095">
        <f>IF($E1095="","",IF(OR($U1095=TRUE(),$U1095="TRUE"),1,0))</f>
        <v/>
      </c>
      <c r="AQ1095">
        <f>IF($E1095="","",IF($AA1095="Yes",1,0))</f>
        <v/>
      </c>
      <c r="AR1095">
        <f>IF($AN1095=1,IFERROR(VALUE(MID($E1095,2,20)),1000000000)+ROW()/100000,"")</f>
        <v/>
      </c>
    </row>
    <row r="1096">
      <c r="G1096" s="11" t="n"/>
      <c r="Q1096" s="7">
        <f>IF($E1096="","",P1096*Y1096/100)</f>
        <v/>
      </c>
      <c r="R1096" s="7" t="n"/>
      <c r="X1096" s="7" t="n"/>
      <c r="Y1096" s="7" t="n"/>
      <c r="AB1096">
        <f>IF($E1096="","",IF($AQ1096=1,0,IF($AP1096=1,Settings!$C$6,Settings!$C$7))*100)</f>
        <v/>
      </c>
      <c r="AC1096" s="7">
        <f>IF($E1096="","",Y1096*AB1096/100)</f>
        <v/>
      </c>
      <c r="AD1096" s="7">
        <f>IF($E1096="","",Y1096-AC1096)</f>
        <v/>
      </c>
      <c r="AE1096" s="7">
        <f>IF($E1096="","",AD1096-Q1096)</f>
        <v/>
      </c>
      <c r="AI1096" s="7" t="n"/>
      <c r="AL1096" s="11" t="n"/>
      <c r="AN1096">
        <f>IF($E1096="","",IF(COUNTIF($E$2:$E1096,$E1096)=1,1,0))</f>
        <v/>
      </c>
      <c r="AO1096">
        <f>IF($AN1096=1,SUMPRODUCT(--($AR$2:$AR$4001&lt;$AR1096))+1,"")</f>
        <v/>
      </c>
      <c r="AP1096">
        <f>IF($E1096="","",IF(OR($U1096=TRUE(),$U1096="TRUE"),1,0))</f>
        <v/>
      </c>
      <c r="AQ1096">
        <f>IF($E1096="","",IF($AA1096="Yes",1,0))</f>
        <v/>
      </c>
      <c r="AR1096">
        <f>IF($AN1096=1,IFERROR(VALUE(MID($E1096,2,20)),1000000000)+ROW()/100000,"")</f>
        <v/>
      </c>
    </row>
    <row r="1097">
      <c r="G1097" s="11" t="n"/>
      <c r="Q1097" s="7">
        <f>IF($E1097="","",P1097*Y1097/100)</f>
        <v/>
      </c>
      <c r="R1097" s="7" t="n"/>
      <c r="X1097" s="7" t="n"/>
      <c r="Y1097" s="7" t="n"/>
      <c r="AB1097">
        <f>IF($E1097="","",IF($AQ1097=1,0,IF($AP1097=1,Settings!$C$6,Settings!$C$7))*100)</f>
        <v/>
      </c>
      <c r="AC1097" s="7">
        <f>IF($E1097="","",Y1097*AB1097/100)</f>
        <v/>
      </c>
      <c r="AD1097" s="7">
        <f>IF($E1097="","",Y1097-AC1097)</f>
        <v/>
      </c>
      <c r="AE1097" s="7">
        <f>IF($E1097="","",AD1097-Q1097)</f>
        <v/>
      </c>
      <c r="AI1097" s="7" t="n"/>
      <c r="AL1097" s="11" t="n"/>
      <c r="AN1097">
        <f>IF($E1097="","",IF(COUNTIF($E$2:$E1097,$E1097)=1,1,0))</f>
        <v/>
      </c>
      <c r="AO1097">
        <f>IF($AN1097=1,SUMPRODUCT(--($AR$2:$AR$4001&lt;$AR1097))+1,"")</f>
        <v/>
      </c>
      <c r="AP1097">
        <f>IF($E1097="","",IF(OR($U1097=TRUE(),$U1097="TRUE"),1,0))</f>
        <v/>
      </c>
      <c r="AQ1097">
        <f>IF($E1097="","",IF($AA1097="Yes",1,0))</f>
        <v/>
      </c>
      <c r="AR1097">
        <f>IF($AN1097=1,IFERROR(VALUE(MID($E1097,2,20)),1000000000)+ROW()/100000,"")</f>
        <v/>
      </c>
    </row>
    <row r="1098">
      <c r="G1098" s="11" t="n"/>
      <c r="Q1098" s="7">
        <f>IF($E1098="","",P1098*Y1098/100)</f>
        <v/>
      </c>
      <c r="R1098" s="7" t="n"/>
      <c r="X1098" s="7" t="n"/>
      <c r="Y1098" s="7" t="n"/>
      <c r="AB1098">
        <f>IF($E1098="","",IF($AQ1098=1,0,IF($AP1098=1,Settings!$C$6,Settings!$C$7))*100)</f>
        <v/>
      </c>
      <c r="AC1098" s="7">
        <f>IF($E1098="","",Y1098*AB1098/100)</f>
        <v/>
      </c>
      <c r="AD1098" s="7">
        <f>IF($E1098="","",Y1098-AC1098)</f>
        <v/>
      </c>
      <c r="AE1098" s="7">
        <f>IF($E1098="","",AD1098-Q1098)</f>
        <v/>
      </c>
      <c r="AI1098" s="7" t="n"/>
      <c r="AL1098" s="11" t="n"/>
      <c r="AN1098">
        <f>IF($E1098="","",IF(COUNTIF($E$2:$E1098,$E1098)=1,1,0))</f>
        <v/>
      </c>
      <c r="AO1098">
        <f>IF($AN1098=1,SUMPRODUCT(--($AR$2:$AR$4001&lt;$AR1098))+1,"")</f>
        <v/>
      </c>
      <c r="AP1098">
        <f>IF($E1098="","",IF(OR($U1098=TRUE(),$U1098="TRUE"),1,0))</f>
        <v/>
      </c>
      <c r="AQ1098">
        <f>IF($E1098="","",IF($AA1098="Yes",1,0))</f>
        <v/>
      </c>
      <c r="AR1098">
        <f>IF($AN1098=1,IFERROR(VALUE(MID($E1098,2,20)),1000000000)+ROW()/100000,"")</f>
        <v/>
      </c>
    </row>
    <row r="1099">
      <c r="G1099" s="11" t="n"/>
      <c r="Q1099" s="7">
        <f>IF($E1099="","",P1099*Y1099/100)</f>
        <v/>
      </c>
      <c r="R1099" s="7" t="n"/>
      <c r="X1099" s="7" t="n"/>
      <c r="Y1099" s="7" t="n"/>
      <c r="AB1099">
        <f>IF($E1099="","",IF($AQ1099=1,0,IF($AP1099=1,Settings!$C$6,Settings!$C$7))*100)</f>
        <v/>
      </c>
      <c r="AC1099" s="7">
        <f>IF($E1099="","",Y1099*AB1099/100)</f>
        <v/>
      </c>
      <c r="AD1099" s="7">
        <f>IF($E1099="","",Y1099-AC1099)</f>
        <v/>
      </c>
      <c r="AE1099" s="7">
        <f>IF($E1099="","",AD1099-Q1099)</f>
        <v/>
      </c>
      <c r="AI1099" s="7" t="n"/>
      <c r="AL1099" s="11" t="n"/>
      <c r="AN1099">
        <f>IF($E1099="","",IF(COUNTIF($E$2:$E1099,$E1099)=1,1,0))</f>
        <v/>
      </c>
      <c r="AO1099">
        <f>IF($AN1099=1,SUMPRODUCT(--($AR$2:$AR$4001&lt;$AR1099))+1,"")</f>
        <v/>
      </c>
      <c r="AP1099">
        <f>IF($E1099="","",IF(OR($U1099=TRUE(),$U1099="TRUE"),1,0))</f>
        <v/>
      </c>
      <c r="AQ1099">
        <f>IF($E1099="","",IF($AA1099="Yes",1,0))</f>
        <v/>
      </c>
      <c r="AR1099">
        <f>IF($AN1099=1,IFERROR(VALUE(MID($E1099,2,20)),1000000000)+ROW()/100000,"")</f>
        <v/>
      </c>
    </row>
    <row r="1100">
      <c r="G1100" s="11" t="n"/>
      <c r="Q1100" s="7">
        <f>IF($E1100="","",P1100*Y1100/100)</f>
        <v/>
      </c>
      <c r="R1100" s="7" t="n"/>
      <c r="X1100" s="7" t="n"/>
      <c r="Y1100" s="7" t="n"/>
      <c r="AB1100">
        <f>IF($E1100="","",IF($AQ1100=1,0,IF($AP1100=1,Settings!$C$6,Settings!$C$7))*100)</f>
        <v/>
      </c>
      <c r="AC1100" s="7">
        <f>IF($E1100="","",Y1100*AB1100/100)</f>
        <v/>
      </c>
      <c r="AD1100" s="7">
        <f>IF($E1100="","",Y1100-AC1100)</f>
        <v/>
      </c>
      <c r="AE1100" s="7">
        <f>IF($E1100="","",AD1100-Q1100)</f>
        <v/>
      </c>
      <c r="AI1100" s="7" t="n"/>
      <c r="AL1100" s="11" t="n"/>
      <c r="AN1100">
        <f>IF($E1100="","",IF(COUNTIF($E$2:$E1100,$E1100)=1,1,0))</f>
        <v/>
      </c>
      <c r="AO1100">
        <f>IF($AN1100=1,SUMPRODUCT(--($AR$2:$AR$4001&lt;$AR1100))+1,"")</f>
        <v/>
      </c>
      <c r="AP1100">
        <f>IF($E1100="","",IF(OR($U1100=TRUE(),$U1100="TRUE"),1,0))</f>
        <v/>
      </c>
      <c r="AQ1100">
        <f>IF($E1100="","",IF($AA1100="Yes",1,0))</f>
        <v/>
      </c>
      <c r="AR1100">
        <f>IF($AN1100=1,IFERROR(VALUE(MID($E1100,2,20)),1000000000)+ROW()/100000,"")</f>
        <v/>
      </c>
    </row>
    <row r="1101">
      <c r="G1101" s="11" t="n"/>
      <c r="Q1101" s="7">
        <f>IF($E1101="","",P1101*Y1101/100)</f>
        <v/>
      </c>
      <c r="R1101" s="7" t="n"/>
      <c r="X1101" s="7" t="n"/>
      <c r="Y1101" s="7" t="n"/>
      <c r="AB1101">
        <f>IF($E1101="","",IF($AQ1101=1,0,IF($AP1101=1,Settings!$C$6,Settings!$C$7))*100)</f>
        <v/>
      </c>
      <c r="AC1101" s="7">
        <f>IF($E1101="","",Y1101*AB1101/100)</f>
        <v/>
      </c>
      <c r="AD1101" s="7">
        <f>IF($E1101="","",Y1101-AC1101)</f>
        <v/>
      </c>
      <c r="AE1101" s="7">
        <f>IF($E1101="","",AD1101-Q1101)</f>
        <v/>
      </c>
      <c r="AI1101" s="7" t="n"/>
      <c r="AL1101" s="11" t="n"/>
      <c r="AN1101">
        <f>IF($E1101="","",IF(COUNTIF($E$2:$E1101,$E1101)=1,1,0))</f>
        <v/>
      </c>
      <c r="AO1101">
        <f>IF($AN1101=1,SUMPRODUCT(--($AR$2:$AR$4001&lt;$AR1101))+1,"")</f>
        <v/>
      </c>
      <c r="AP1101">
        <f>IF($E1101="","",IF(OR($U1101=TRUE(),$U1101="TRUE"),1,0))</f>
        <v/>
      </c>
      <c r="AQ1101">
        <f>IF($E1101="","",IF($AA1101="Yes",1,0))</f>
        <v/>
      </c>
      <c r="AR1101">
        <f>IF($AN1101=1,IFERROR(VALUE(MID($E1101,2,20)),1000000000)+ROW()/100000,"")</f>
        <v/>
      </c>
    </row>
    <row r="1102">
      <c r="G1102" s="11" t="n"/>
      <c r="Q1102" s="7">
        <f>IF($E1102="","",P1102*Y1102/100)</f>
        <v/>
      </c>
      <c r="R1102" s="7" t="n"/>
      <c r="X1102" s="7" t="n"/>
      <c r="Y1102" s="7" t="n"/>
      <c r="AB1102">
        <f>IF($E1102="","",IF($AQ1102=1,0,IF($AP1102=1,Settings!$C$6,Settings!$C$7))*100)</f>
        <v/>
      </c>
      <c r="AC1102" s="7">
        <f>IF($E1102="","",Y1102*AB1102/100)</f>
        <v/>
      </c>
      <c r="AD1102" s="7">
        <f>IF($E1102="","",Y1102-AC1102)</f>
        <v/>
      </c>
      <c r="AE1102" s="7">
        <f>IF($E1102="","",AD1102-Q1102)</f>
        <v/>
      </c>
      <c r="AI1102" s="7" t="n"/>
      <c r="AL1102" s="11" t="n"/>
      <c r="AN1102">
        <f>IF($E1102="","",IF(COUNTIF($E$2:$E1102,$E1102)=1,1,0))</f>
        <v/>
      </c>
      <c r="AO1102">
        <f>IF($AN1102=1,SUMPRODUCT(--($AR$2:$AR$4001&lt;$AR1102))+1,"")</f>
        <v/>
      </c>
      <c r="AP1102">
        <f>IF($E1102="","",IF(OR($U1102=TRUE(),$U1102="TRUE"),1,0))</f>
        <v/>
      </c>
      <c r="AQ1102">
        <f>IF($E1102="","",IF($AA1102="Yes",1,0))</f>
        <v/>
      </c>
      <c r="AR1102">
        <f>IF($AN1102=1,IFERROR(VALUE(MID($E1102,2,20)),1000000000)+ROW()/100000,"")</f>
        <v/>
      </c>
    </row>
    <row r="1103">
      <c r="G1103" s="11" t="n"/>
      <c r="Q1103" s="7">
        <f>IF($E1103="","",P1103*Y1103/100)</f>
        <v/>
      </c>
      <c r="R1103" s="7" t="n"/>
      <c r="X1103" s="7" t="n"/>
      <c r="Y1103" s="7" t="n"/>
      <c r="AB1103">
        <f>IF($E1103="","",IF($AQ1103=1,0,IF($AP1103=1,Settings!$C$6,Settings!$C$7))*100)</f>
        <v/>
      </c>
      <c r="AC1103" s="7">
        <f>IF($E1103="","",Y1103*AB1103/100)</f>
        <v/>
      </c>
      <c r="AD1103" s="7">
        <f>IF($E1103="","",Y1103-AC1103)</f>
        <v/>
      </c>
      <c r="AE1103" s="7">
        <f>IF($E1103="","",AD1103-Q1103)</f>
        <v/>
      </c>
      <c r="AI1103" s="7" t="n"/>
      <c r="AL1103" s="11" t="n"/>
      <c r="AN1103">
        <f>IF($E1103="","",IF(COUNTIF($E$2:$E1103,$E1103)=1,1,0))</f>
        <v/>
      </c>
      <c r="AO1103">
        <f>IF($AN1103=1,SUMPRODUCT(--($AR$2:$AR$4001&lt;$AR1103))+1,"")</f>
        <v/>
      </c>
      <c r="AP1103">
        <f>IF($E1103="","",IF(OR($U1103=TRUE(),$U1103="TRUE"),1,0))</f>
        <v/>
      </c>
      <c r="AQ1103">
        <f>IF($E1103="","",IF($AA1103="Yes",1,0))</f>
        <v/>
      </c>
      <c r="AR1103">
        <f>IF($AN1103=1,IFERROR(VALUE(MID($E1103,2,20)),1000000000)+ROW()/100000,"")</f>
        <v/>
      </c>
    </row>
    <row r="1104">
      <c r="G1104" s="11" t="n"/>
      <c r="Q1104" s="7">
        <f>IF($E1104="","",P1104*Y1104/100)</f>
        <v/>
      </c>
      <c r="R1104" s="7" t="n"/>
      <c r="X1104" s="7" t="n"/>
      <c r="Y1104" s="7" t="n"/>
      <c r="AB1104">
        <f>IF($E1104="","",IF($AQ1104=1,0,IF($AP1104=1,Settings!$C$6,Settings!$C$7))*100)</f>
        <v/>
      </c>
      <c r="AC1104" s="7">
        <f>IF($E1104="","",Y1104*AB1104/100)</f>
        <v/>
      </c>
      <c r="AD1104" s="7">
        <f>IF($E1104="","",Y1104-AC1104)</f>
        <v/>
      </c>
      <c r="AE1104" s="7">
        <f>IF($E1104="","",AD1104-Q1104)</f>
        <v/>
      </c>
      <c r="AI1104" s="7" t="n"/>
      <c r="AL1104" s="11" t="n"/>
      <c r="AN1104">
        <f>IF($E1104="","",IF(COUNTIF($E$2:$E1104,$E1104)=1,1,0))</f>
        <v/>
      </c>
      <c r="AO1104">
        <f>IF($AN1104=1,SUMPRODUCT(--($AR$2:$AR$4001&lt;$AR1104))+1,"")</f>
        <v/>
      </c>
      <c r="AP1104">
        <f>IF($E1104="","",IF(OR($U1104=TRUE(),$U1104="TRUE"),1,0))</f>
        <v/>
      </c>
      <c r="AQ1104">
        <f>IF($E1104="","",IF($AA1104="Yes",1,0))</f>
        <v/>
      </c>
      <c r="AR1104">
        <f>IF($AN1104=1,IFERROR(VALUE(MID($E1104,2,20)),1000000000)+ROW()/100000,"")</f>
        <v/>
      </c>
    </row>
    <row r="1105">
      <c r="G1105" s="11" t="n"/>
      <c r="Q1105" s="7">
        <f>IF($E1105="","",P1105*Y1105/100)</f>
        <v/>
      </c>
      <c r="R1105" s="7" t="n"/>
      <c r="X1105" s="7" t="n"/>
      <c r="Y1105" s="7" t="n"/>
      <c r="AB1105">
        <f>IF($E1105="","",IF($AQ1105=1,0,IF($AP1105=1,Settings!$C$6,Settings!$C$7))*100)</f>
        <v/>
      </c>
      <c r="AC1105" s="7">
        <f>IF($E1105="","",Y1105*AB1105/100)</f>
        <v/>
      </c>
      <c r="AD1105" s="7">
        <f>IF($E1105="","",Y1105-AC1105)</f>
        <v/>
      </c>
      <c r="AE1105" s="7">
        <f>IF($E1105="","",AD1105-Q1105)</f>
        <v/>
      </c>
      <c r="AI1105" s="7" t="n"/>
      <c r="AL1105" s="11" t="n"/>
      <c r="AN1105">
        <f>IF($E1105="","",IF(COUNTIF($E$2:$E1105,$E1105)=1,1,0))</f>
        <v/>
      </c>
      <c r="AO1105">
        <f>IF($AN1105=1,SUMPRODUCT(--($AR$2:$AR$4001&lt;$AR1105))+1,"")</f>
        <v/>
      </c>
      <c r="AP1105">
        <f>IF($E1105="","",IF(OR($U1105=TRUE(),$U1105="TRUE"),1,0))</f>
        <v/>
      </c>
      <c r="AQ1105">
        <f>IF($E1105="","",IF($AA1105="Yes",1,0))</f>
        <v/>
      </c>
      <c r="AR1105">
        <f>IF($AN1105=1,IFERROR(VALUE(MID($E1105,2,20)),1000000000)+ROW()/100000,"")</f>
        <v/>
      </c>
    </row>
    <row r="1106">
      <c r="G1106" s="11" t="n"/>
      <c r="Q1106" s="7">
        <f>IF($E1106="","",P1106*Y1106/100)</f>
        <v/>
      </c>
      <c r="R1106" s="7" t="n"/>
      <c r="X1106" s="7" t="n"/>
      <c r="Y1106" s="7" t="n"/>
      <c r="AB1106">
        <f>IF($E1106="","",IF($AQ1106=1,0,IF($AP1106=1,Settings!$C$6,Settings!$C$7))*100)</f>
        <v/>
      </c>
      <c r="AC1106" s="7">
        <f>IF($E1106="","",Y1106*AB1106/100)</f>
        <v/>
      </c>
      <c r="AD1106" s="7">
        <f>IF($E1106="","",Y1106-AC1106)</f>
        <v/>
      </c>
      <c r="AE1106" s="7">
        <f>IF($E1106="","",AD1106-Q1106)</f>
        <v/>
      </c>
      <c r="AI1106" s="7" t="n"/>
      <c r="AL1106" s="11" t="n"/>
      <c r="AN1106">
        <f>IF($E1106="","",IF(COUNTIF($E$2:$E1106,$E1106)=1,1,0))</f>
        <v/>
      </c>
      <c r="AO1106">
        <f>IF($AN1106=1,SUMPRODUCT(--($AR$2:$AR$4001&lt;$AR1106))+1,"")</f>
        <v/>
      </c>
      <c r="AP1106">
        <f>IF($E1106="","",IF(OR($U1106=TRUE(),$U1106="TRUE"),1,0))</f>
        <v/>
      </c>
      <c r="AQ1106">
        <f>IF($E1106="","",IF($AA1106="Yes",1,0))</f>
        <v/>
      </c>
      <c r="AR1106">
        <f>IF($AN1106=1,IFERROR(VALUE(MID($E1106,2,20)),1000000000)+ROW()/100000,"")</f>
        <v/>
      </c>
    </row>
    <row r="1107">
      <c r="G1107" s="11" t="n"/>
      <c r="Q1107" s="7">
        <f>IF($E1107="","",P1107*Y1107/100)</f>
        <v/>
      </c>
      <c r="R1107" s="7" t="n"/>
      <c r="X1107" s="7" t="n"/>
      <c r="Y1107" s="7" t="n"/>
      <c r="AB1107">
        <f>IF($E1107="","",IF($AQ1107=1,0,IF($AP1107=1,Settings!$C$6,Settings!$C$7))*100)</f>
        <v/>
      </c>
      <c r="AC1107" s="7">
        <f>IF($E1107="","",Y1107*AB1107/100)</f>
        <v/>
      </c>
      <c r="AD1107" s="7">
        <f>IF($E1107="","",Y1107-AC1107)</f>
        <v/>
      </c>
      <c r="AE1107" s="7">
        <f>IF($E1107="","",AD1107-Q1107)</f>
        <v/>
      </c>
      <c r="AI1107" s="7" t="n"/>
      <c r="AL1107" s="11" t="n"/>
      <c r="AN1107">
        <f>IF($E1107="","",IF(COUNTIF($E$2:$E1107,$E1107)=1,1,0))</f>
        <v/>
      </c>
      <c r="AO1107">
        <f>IF($AN1107=1,SUMPRODUCT(--($AR$2:$AR$4001&lt;$AR1107))+1,"")</f>
        <v/>
      </c>
      <c r="AP1107">
        <f>IF($E1107="","",IF(OR($U1107=TRUE(),$U1107="TRUE"),1,0))</f>
        <v/>
      </c>
      <c r="AQ1107">
        <f>IF($E1107="","",IF($AA1107="Yes",1,0))</f>
        <v/>
      </c>
      <c r="AR1107">
        <f>IF($AN1107=1,IFERROR(VALUE(MID($E1107,2,20)),1000000000)+ROW()/100000,"")</f>
        <v/>
      </c>
    </row>
    <row r="1108">
      <c r="G1108" s="11" t="n"/>
      <c r="Q1108" s="7">
        <f>IF($E1108="","",P1108*Y1108/100)</f>
        <v/>
      </c>
      <c r="R1108" s="7" t="n"/>
      <c r="X1108" s="7" t="n"/>
      <c r="Y1108" s="7" t="n"/>
      <c r="AB1108">
        <f>IF($E1108="","",IF($AQ1108=1,0,IF($AP1108=1,Settings!$C$6,Settings!$C$7))*100)</f>
        <v/>
      </c>
      <c r="AC1108" s="7">
        <f>IF($E1108="","",Y1108*AB1108/100)</f>
        <v/>
      </c>
      <c r="AD1108" s="7">
        <f>IF($E1108="","",Y1108-AC1108)</f>
        <v/>
      </c>
      <c r="AE1108" s="7">
        <f>IF($E1108="","",AD1108-Q1108)</f>
        <v/>
      </c>
      <c r="AI1108" s="7" t="n"/>
      <c r="AL1108" s="11" t="n"/>
      <c r="AN1108">
        <f>IF($E1108="","",IF(COUNTIF($E$2:$E1108,$E1108)=1,1,0))</f>
        <v/>
      </c>
      <c r="AO1108">
        <f>IF($AN1108=1,SUMPRODUCT(--($AR$2:$AR$4001&lt;$AR1108))+1,"")</f>
        <v/>
      </c>
      <c r="AP1108">
        <f>IF($E1108="","",IF(OR($U1108=TRUE(),$U1108="TRUE"),1,0))</f>
        <v/>
      </c>
      <c r="AQ1108">
        <f>IF($E1108="","",IF($AA1108="Yes",1,0))</f>
        <v/>
      </c>
      <c r="AR1108">
        <f>IF($AN1108=1,IFERROR(VALUE(MID($E1108,2,20)),1000000000)+ROW()/100000,"")</f>
        <v/>
      </c>
    </row>
    <row r="1109">
      <c r="G1109" s="11" t="n"/>
      <c r="Q1109" s="7">
        <f>IF($E1109="","",P1109*Y1109/100)</f>
        <v/>
      </c>
      <c r="R1109" s="7" t="n"/>
      <c r="X1109" s="7" t="n"/>
      <c r="Y1109" s="7" t="n"/>
      <c r="AB1109">
        <f>IF($E1109="","",IF($AQ1109=1,0,IF($AP1109=1,Settings!$C$6,Settings!$C$7))*100)</f>
        <v/>
      </c>
      <c r="AC1109" s="7">
        <f>IF($E1109="","",Y1109*AB1109/100)</f>
        <v/>
      </c>
      <c r="AD1109" s="7">
        <f>IF($E1109="","",Y1109-AC1109)</f>
        <v/>
      </c>
      <c r="AE1109" s="7">
        <f>IF($E1109="","",AD1109-Q1109)</f>
        <v/>
      </c>
      <c r="AI1109" s="7" t="n"/>
      <c r="AL1109" s="11" t="n"/>
      <c r="AN1109">
        <f>IF($E1109="","",IF(COUNTIF($E$2:$E1109,$E1109)=1,1,0))</f>
        <v/>
      </c>
      <c r="AO1109">
        <f>IF($AN1109=1,SUMPRODUCT(--($AR$2:$AR$4001&lt;$AR1109))+1,"")</f>
        <v/>
      </c>
      <c r="AP1109">
        <f>IF($E1109="","",IF(OR($U1109=TRUE(),$U1109="TRUE"),1,0))</f>
        <v/>
      </c>
      <c r="AQ1109">
        <f>IF($E1109="","",IF($AA1109="Yes",1,0))</f>
        <v/>
      </c>
      <c r="AR1109">
        <f>IF($AN1109=1,IFERROR(VALUE(MID($E1109,2,20)),1000000000)+ROW()/100000,"")</f>
        <v/>
      </c>
    </row>
    <row r="1110">
      <c r="G1110" s="11" t="n"/>
      <c r="Q1110" s="7">
        <f>IF($E1110="","",P1110*Y1110/100)</f>
        <v/>
      </c>
      <c r="R1110" s="7" t="n"/>
      <c r="X1110" s="7" t="n"/>
      <c r="Y1110" s="7" t="n"/>
      <c r="AB1110">
        <f>IF($E1110="","",IF($AQ1110=1,0,IF($AP1110=1,Settings!$C$6,Settings!$C$7))*100)</f>
        <v/>
      </c>
      <c r="AC1110" s="7">
        <f>IF($E1110="","",Y1110*AB1110/100)</f>
        <v/>
      </c>
      <c r="AD1110" s="7">
        <f>IF($E1110="","",Y1110-AC1110)</f>
        <v/>
      </c>
      <c r="AE1110" s="7">
        <f>IF($E1110="","",AD1110-Q1110)</f>
        <v/>
      </c>
      <c r="AI1110" s="7" t="n"/>
      <c r="AL1110" s="11" t="n"/>
      <c r="AN1110">
        <f>IF($E1110="","",IF(COUNTIF($E$2:$E1110,$E1110)=1,1,0))</f>
        <v/>
      </c>
      <c r="AO1110">
        <f>IF($AN1110=1,SUMPRODUCT(--($AR$2:$AR$4001&lt;$AR1110))+1,"")</f>
        <v/>
      </c>
      <c r="AP1110">
        <f>IF($E1110="","",IF(OR($U1110=TRUE(),$U1110="TRUE"),1,0))</f>
        <v/>
      </c>
      <c r="AQ1110">
        <f>IF($E1110="","",IF($AA1110="Yes",1,0))</f>
        <v/>
      </c>
      <c r="AR1110">
        <f>IF($AN1110=1,IFERROR(VALUE(MID($E1110,2,20)),1000000000)+ROW()/100000,"")</f>
        <v/>
      </c>
    </row>
    <row r="1111">
      <c r="G1111" s="11" t="n"/>
      <c r="Q1111" s="7">
        <f>IF($E1111="","",P1111*Y1111/100)</f>
        <v/>
      </c>
      <c r="R1111" s="7" t="n"/>
      <c r="X1111" s="7" t="n"/>
      <c r="Y1111" s="7" t="n"/>
      <c r="AB1111">
        <f>IF($E1111="","",IF($AQ1111=1,0,IF($AP1111=1,Settings!$C$6,Settings!$C$7))*100)</f>
        <v/>
      </c>
      <c r="AC1111" s="7">
        <f>IF($E1111="","",Y1111*AB1111/100)</f>
        <v/>
      </c>
      <c r="AD1111" s="7">
        <f>IF($E1111="","",Y1111-AC1111)</f>
        <v/>
      </c>
      <c r="AE1111" s="7">
        <f>IF($E1111="","",AD1111-Q1111)</f>
        <v/>
      </c>
      <c r="AI1111" s="7" t="n"/>
      <c r="AL1111" s="11" t="n"/>
      <c r="AN1111">
        <f>IF($E1111="","",IF(COUNTIF($E$2:$E1111,$E1111)=1,1,0))</f>
        <v/>
      </c>
      <c r="AO1111">
        <f>IF($AN1111=1,SUMPRODUCT(--($AR$2:$AR$4001&lt;$AR1111))+1,"")</f>
        <v/>
      </c>
      <c r="AP1111">
        <f>IF($E1111="","",IF(OR($U1111=TRUE(),$U1111="TRUE"),1,0))</f>
        <v/>
      </c>
      <c r="AQ1111">
        <f>IF($E1111="","",IF($AA1111="Yes",1,0))</f>
        <v/>
      </c>
      <c r="AR1111">
        <f>IF($AN1111=1,IFERROR(VALUE(MID($E1111,2,20)),1000000000)+ROW()/100000,"")</f>
        <v/>
      </c>
    </row>
    <row r="1112">
      <c r="G1112" s="11" t="n"/>
      <c r="Q1112" s="7">
        <f>IF($E1112="","",P1112*Y1112/100)</f>
        <v/>
      </c>
      <c r="R1112" s="7" t="n"/>
      <c r="X1112" s="7" t="n"/>
      <c r="Y1112" s="7" t="n"/>
      <c r="AB1112">
        <f>IF($E1112="","",IF($AQ1112=1,0,IF($AP1112=1,Settings!$C$6,Settings!$C$7))*100)</f>
        <v/>
      </c>
      <c r="AC1112" s="7">
        <f>IF($E1112="","",Y1112*AB1112/100)</f>
        <v/>
      </c>
      <c r="AD1112" s="7">
        <f>IF($E1112="","",Y1112-AC1112)</f>
        <v/>
      </c>
      <c r="AE1112" s="7">
        <f>IF($E1112="","",AD1112-Q1112)</f>
        <v/>
      </c>
      <c r="AI1112" s="7" t="n"/>
      <c r="AL1112" s="11" t="n"/>
      <c r="AN1112">
        <f>IF($E1112="","",IF(COUNTIF($E$2:$E1112,$E1112)=1,1,0))</f>
        <v/>
      </c>
      <c r="AO1112">
        <f>IF($AN1112=1,SUMPRODUCT(--($AR$2:$AR$4001&lt;$AR1112))+1,"")</f>
        <v/>
      </c>
      <c r="AP1112">
        <f>IF($E1112="","",IF(OR($U1112=TRUE(),$U1112="TRUE"),1,0))</f>
        <v/>
      </c>
      <c r="AQ1112">
        <f>IF($E1112="","",IF($AA1112="Yes",1,0))</f>
        <v/>
      </c>
      <c r="AR1112">
        <f>IF($AN1112=1,IFERROR(VALUE(MID($E1112,2,20)),1000000000)+ROW()/100000,"")</f>
        <v/>
      </c>
    </row>
    <row r="1113">
      <c r="G1113" s="11" t="n"/>
      <c r="Q1113" s="7">
        <f>IF($E1113="","",P1113*Y1113/100)</f>
        <v/>
      </c>
      <c r="R1113" s="7" t="n"/>
      <c r="X1113" s="7" t="n"/>
      <c r="Y1113" s="7" t="n"/>
      <c r="AB1113">
        <f>IF($E1113="","",IF($AQ1113=1,0,IF($AP1113=1,Settings!$C$6,Settings!$C$7))*100)</f>
        <v/>
      </c>
      <c r="AC1113" s="7">
        <f>IF($E1113="","",Y1113*AB1113/100)</f>
        <v/>
      </c>
      <c r="AD1113" s="7">
        <f>IF($E1113="","",Y1113-AC1113)</f>
        <v/>
      </c>
      <c r="AE1113" s="7">
        <f>IF($E1113="","",AD1113-Q1113)</f>
        <v/>
      </c>
      <c r="AI1113" s="7" t="n"/>
      <c r="AL1113" s="11" t="n"/>
      <c r="AN1113">
        <f>IF($E1113="","",IF(COUNTIF($E$2:$E1113,$E1113)=1,1,0))</f>
        <v/>
      </c>
      <c r="AO1113">
        <f>IF($AN1113=1,SUMPRODUCT(--($AR$2:$AR$4001&lt;$AR1113))+1,"")</f>
        <v/>
      </c>
      <c r="AP1113">
        <f>IF($E1113="","",IF(OR($U1113=TRUE(),$U1113="TRUE"),1,0))</f>
        <v/>
      </c>
      <c r="AQ1113">
        <f>IF($E1113="","",IF($AA1113="Yes",1,0))</f>
        <v/>
      </c>
      <c r="AR1113">
        <f>IF($AN1113=1,IFERROR(VALUE(MID($E1113,2,20)),1000000000)+ROW()/100000,"")</f>
        <v/>
      </c>
    </row>
    <row r="1114">
      <c r="G1114" s="11" t="n"/>
      <c r="Q1114" s="7">
        <f>IF($E1114="","",P1114*Y1114/100)</f>
        <v/>
      </c>
      <c r="R1114" s="7" t="n"/>
      <c r="X1114" s="7" t="n"/>
      <c r="Y1114" s="7" t="n"/>
      <c r="AB1114">
        <f>IF($E1114="","",IF($AQ1114=1,0,IF($AP1114=1,Settings!$C$6,Settings!$C$7))*100)</f>
        <v/>
      </c>
      <c r="AC1114" s="7">
        <f>IF($E1114="","",Y1114*AB1114/100)</f>
        <v/>
      </c>
      <c r="AD1114" s="7">
        <f>IF($E1114="","",Y1114-AC1114)</f>
        <v/>
      </c>
      <c r="AE1114" s="7">
        <f>IF($E1114="","",AD1114-Q1114)</f>
        <v/>
      </c>
      <c r="AI1114" s="7" t="n"/>
      <c r="AL1114" s="11" t="n"/>
      <c r="AN1114">
        <f>IF($E1114="","",IF(COUNTIF($E$2:$E1114,$E1114)=1,1,0))</f>
        <v/>
      </c>
      <c r="AO1114">
        <f>IF($AN1114=1,SUMPRODUCT(--($AR$2:$AR$4001&lt;$AR1114))+1,"")</f>
        <v/>
      </c>
      <c r="AP1114">
        <f>IF($E1114="","",IF(OR($U1114=TRUE(),$U1114="TRUE"),1,0))</f>
        <v/>
      </c>
      <c r="AQ1114">
        <f>IF($E1114="","",IF($AA1114="Yes",1,0))</f>
        <v/>
      </c>
      <c r="AR1114">
        <f>IF($AN1114=1,IFERROR(VALUE(MID($E1114,2,20)),1000000000)+ROW()/100000,"")</f>
        <v/>
      </c>
    </row>
    <row r="1115">
      <c r="G1115" s="11" t="n"/>
      <c r="Q1115" s="7">
        <f>IF($E1115="","",P1115*Y1115/100)</f>
        <v/>
      </c>
      <c r="R1115" s="7" t="n"/>
      <c r="X1115" s="7" t="n"/>
      <c r="Y1115" s="7" t="n"/>
      <c r="AB1115">
        <f>IF($E1115="","",IF($AQ1115=1,0,IF($AP1115=1,Settings!$C$6,Settings!$C$7))*100)</f>
        <v/>
      </c>
      <c r="AC1115" s="7">
        <f>IF($E1115="","",Y1115*AB1115/100)</f>
        <v/>
      </c>
      <c r="AD1115" s="7">
        <f>IF($E1115="","",Y1115-AC1115)</f>
        <v/>
      </c>
      <c r="AE1115" s="7">
        <f>IF($E1115="","",AD1115-Q1115)</f>
        <v/>
      </c>
      <c r="AI1115" s="7" t="n"/>
      <c r="AL1115" s="11" t="n"/>
      <c r="AN1115">
        <f>IF($E1115="","",IF(COUNTIF($E$2:$E1115,$E1115)=1,1,0))</f>
        <v/>
      </c>
      <c r="AO1115">
        <f>IF($AN1115=1,SUMPRODUCT(--($AR$2:$AR$4001&lt;$AR1115))+1,"")</f>
        <v/>
      </c>
      <c r="AP1115">
        <f>IF($E1115="","",IF(OR($U1115=TRUE(),$U1115="TRUE"),1,0))</f>
        <v/>
      </c>
      <c r="AQ1115">
        <f>IF($E1115="","",IF($AA1115="Yes",1,0))</f>
        <v/>
      </c>
      <c r="AR1115">
        <f>IF($AN1115=1,IFERROR(VALUE(MID($E1115,2,20)),1000000000)+ROW()/100000,"")</f>
        <v/>
      </c>
    </row>
    <row r="1116">
      <c r="G1116" s="11" t="n"/>
      <c r="Q1116" s="7">
        <f>IF($E1116="","",P1116*Y1116/100)</f>
        <v/>
      </c>
      <c r="R1116" s="7" t="n"/>
      <c r="X1116" s="7" t="n"/>
      <c r="Y1116" s="7" t="n"/>
      <c r="AB1116">
        <f>IF($E1116="","",IF($AQ1116=1,0,IF($AP1116=1,Settings!$C$6,Settings!$C$7))*100)</f>
        <v/>
      </c>
      <c r="AC1116" s="7">
        <f>IF($E1116="","",Y1116*AB1116/100)</f>
        <v/>
      </c>
      <c r="AD1116" s="7">
        <f>IF($E1116="","",Y1116-AC1116)</f>
        <v/>
      </c>
      <c r="AE1116" s="7">
        <f>IF($E1116="","",AD1116-Q1116)</f>
        <v/>
      </c>
      <c r="AI1116" s="7" t="n"/>
      <c r="AL1116" s="11" t="n"/>
      <c r="AN1116">
        <f>IF($E1116="","",IF(COUNTIF($E$2:$E1116,$E1116)=1,1,0))</f>
        <v/>
      </c>
      <c r="AO1116">
        <f>IF($AN1116=1,SUMPRODUCT(--($AR$2:$AR$4001&lt;$AR1116))+1,"")</f>
        <v/>
      </c>
      <c r="AP1116">
        <f>IF($E1116="","",IF(OR($U1116=TRUE(),$U1116="TRUE"),1,0))</f>
        <v/>
      </c>
      <c r="AQ1116">
        <f>IF($E1116="","",IF($AA1116="Yes",1,0))</f>
        <v/>
      </c>
      <c r="AR1116">
        <f>IF($AN1116=1,IFERROR(VALUE(MID($E1116,2,20)),1000000000)+ROW()/100000,"")</f>
        <v/>
      </c>
    </row>
    <row r="1117">
      <c r="G1117" s="11" t="n"/>
      <c r="Q1117" s="7">
        <f>IF($E1117="","",P1117*Y1117/100)</f>
        <v/>
      </c>
      <c r="R1117" s="7" t="n"/>
      <c r="X1117" s="7" t="n"/>
      <c r="Y1117" s="7" t="n"/>
      <c r="AB1117">
        <f>IF($E1117="","",IF($AQ1117=1,0,IF($AP1117=1,Settings!$C$6,Settings!$C$7))*100)</f>
        <v/>
      </c>
      <c r="AC1117" s="7">
        <f>IF($E1117="","",Y1117*AB1117/100)</f>
        <v/>
      </c>
      <c r="AD1117" s="7">
        <f>IF($E1117="","",Y1117-AC1117)</f>
        <v/>
      </c>
      <c r="AE1117" s="7">
        <f>IF($E1117="","",AD1117-Q1117)</f>
        <v/>
      </c>
      <c r="AI1117" s="7" t="n"/>
      <c r="AL1117" s="11" t="n"/>
      <c r="AN1117">
        <f>IF($E1117="","",IF(COUNTIF($E$2:$E1117,$E1117)=1,1,0))</f>
        <v/>
      </c>
      <c r="AO1117">
        <f>IF($AN1117=1,SUMPRODUCT(--($AR$2:$AR$4001&lt;$AR1117))+1,"")</f>
        <v/>
      </c>
      <c r="AP1117">
        <f>IF($E1117="","",IF(OR($U1117=TRUE(),$U1117="TRUE"),1,0))</f>
        <v/>
      </c>
      <c r="AQ1117">
        <f>IF($E1117="","",IF($AA1117="Yes",1,0))</f>
        <v/>
      </c>
      <c r="AR1117">
        <f>IF($AN1117=1,IFERROR(VALUE(MID($E1117,2,20)),1000000000)+ROW()/100000,"")</f>
        <v/>
      </c>
    </row>
    <row r="1118">
      <c r="G1118" s="11" t="n"/>
      <c r="Q1118" s="7">
        <f>IF($E1118="","",P1118*Y1118/100)</f>
        <v/>
      </c>
      <c r="R1118" s="7" t="n"/>
      <c r="X1118" s="7" t="n"/>
      <c r="Y1118" s="7" t="n"/>
      <c r="AB1118">
        <f>IF($E1118="","",IF($AQ1118=1,0,IF($AP1118=1,Settings!$C$6,Settings!$C$7))*100)</f>
        <v/>
      </c>
      <c r="AC1118" s="7">
        <f>IF($E1118="","",Y1118*AB1118/100)</f>
        <v/>
      </c>
      <c r="AD1118" s="7">
        <f>IF($E1118="","",Y1118-AC1118)</f>
        <v/>
      </c>
      <c r="AE1118" s="7">
        <f>IF($E1118="","",AD1118-Q1118)</f>
        <v/>
      </c>
      <c r="AI1118" s="7" t="n"/>
      <c r="AL1118" s="11" t="n"/>
      <c r="AN1118">
        <f>IF($E1118="","",IF(COUNTIF($E$2:$E1118,$E1118)=1,1,0))</f>
        <v/>
      </c>
      <c r="AO1118">
        <f>IF($AN1118=1,SUMPRODUCT(--($AR$2:$AR$4001&lt;$AR1118))+1,"")</f>
        <v/>
      </c>
      <c r="AP1118">
        <f>IF($E1118="","",IF(OR($U1118=TRUE(),$U1118="TRUE"),1,0))</f>
        <v/>
      </c>
      <c r="AQ1118">
        <f>IF($E1118="","",IF($AA1118="Yes",1,0))</f>
        <v/>
      </c>
      <c r="AR1118">
        <f>IF($AN1118=1,IFERROR(VALUE(MID($E1118,2,20)),1000000000)+ROW()/100000,"")</f>
        <v/>
      </c>
    </row>
    <row r="1119">
      <c r="G1119" s="11" t="n"/>
      <c r="Q1119" s="7">
        <f>IF($E1119="","",P1119*Y1119/100)</f>
        <v/>
      </c>
      <c r="R1119" s="7" t="n"/>
      <c r="X1119" s="7" t="n"/>
      <c r="Y1119" s="7" t="n"/>
      <c r="AB1119">
        <f>IF($E1119="","",IF($AQ1119=1,0,IF($AP1119=1,Settings!$C$6,Settings!$C$7))*100)</f>
        <v/>
      </c>
      <c r="AC1119" s="7">
        <f>IF($E1119="","",Y1119*AB1119/100)</f>
        <v/>
      </c>
      <c r="AD1119" s="7">
        <f>IF($E1119="","",Y1119-AC1119)</f>
        <v/>
      </c>
      <c r="AE1119" s="7">
        <f>IF($E1119="","",AD1119-Q1119)</f>
        <v/>
      </c>
      <c r="AI1119" s="7" t="n"/>
      <c r="AL1119" s="11" t="n"/>
      <c r="AN1119">
        <f>IF($E1119="","",IF(COUNTIF($E$2:$E1119,$E1119)=1,1,0))</f>
        <v/>
      </c>
      <c r="AO1119">
        <f>IF($AN1119=1,SUMPRODUCT(--($AR$2:$AR$4001&lt;$AR1119))+1,"")</f>
        <v/>
      </c>
      <c r="AP1119">
        <f>IF($E1119="","",IF(OR($U1119=TRUE(),$U1119="TRUE"),1,0))</f>
        <v/>
      </c>
      <c r="AQ1119">
        <f>IF($E1119="","",IF($AA1119="Yes",1,0))</f>
        <v/>
      </c>
      <c r="AR1119">
        <f>IF($AN1119=1,IFERROR(VALUE(MID($E1119,2,20)),1000000000)+ROW()/100000,"")</f>
        <v/>
      </c>
    </row>
    <row r="1120">
      <c r="G1120" s="11" t="n"/>
      <c r="Q1120" s="7">
        <f>IF($E1120="","",P1120*Y1120/100)</f>
        <v/>
      </c>
      <c r="R1120" s="7" t="n"/>
      <c r="X1120" s="7" t="n"/>
      <c r="Y1120" s="7" t="n"/>
      <c r="AB1120">
        <f>IF($E1120="","",IF($AQ1120=1,0,IF($AP1120=1,Settings!$C$6,Settings!$C$7))*100)</f>
        <v/>
      </c>
      <c r="AC1120" s="7">
        <f>IF($E1120="","",Y1120*AB1120/100)</f>
        <v/>
      </c>
      <c r="AD1120" s="7">
        <f>IF($E1120="","",Y1120-AC1120)</f>
        <v/>
      </c>
      <c r="AE1120" s="7">
        <f>IF($E1120="","",AD1120-Q1120)</f>
        <v/>
      </c>
      <c r="AI1120" s="7" t="n"/>
      <c r="AL1120" s="11" t="n"/>
      <c r="AN1120">
        <f>IF($E1120="","",IF(COUNTIF($E$2:$E1120,$E1120)=1,1,0))</f>
        <v/>
      </c>
      <c r="AO1120">
        <f>IF($AN1120=1,SUMPRODUCT(--($AR$2:$AR$4001&lt;$AR1120))+1,"")</f>
        <v/>
      </c>
      <c r="AP1120">
        <f>IF($E1120="","",IF(OR($U1120=TRUE(),$U1120="TRUE"),1,0))</f>
        <v/>
      </c>
      <c r="AQ1120">
        <f>IF($E1120="","",IF($AA1120="Yes",1,0))</f>
        <v/>
      </c>
      <c r="AR1120">
        <f>IF($AN1120=1,IFERROR(VALUE(MID($E1120,2,20)),1000000000)+ROW()/100000,"")</f>
        <v/>
      </c>
    </row>
    <row r="1121">
      <c r="G1121" s="11" t="n"/>
      <c r="Q1121" s="7">
        <f>IF($E1121="","",P1121*Y1121/100)</f>
        <v/>
      </c>
      <c r="R1121" s="7" t="n"/>
      <c r="X1121" s="7" t="n"/>
      <c r="Y1121" s="7" t="n"/>
      <c r="AB1121">
        <f>IF($E1121="","",IF($AQ1121=1,0,IF($AP1121=1,Settings!$C$6,Settings!$C$7))*100)</f>
        <v/>
      </c>
      <c r="AC1121" s="7">
        <f>IF($E1121="","",Y1121*AB1121/100)</f>
        <v/>
      </c>
      <c r="AD1121" s="7">
        <f>IF($E1121="","",Y1121-AC1121)</f>
        <v/>
      </c>
      <c r="AE1121" s="7">
        <f>IF($E1121="","",AD1121-Q1121)</f>
        <v/>
      </c>
      <c r="AI1121" s="7" t="n"/>
      <c r="AL1121" s="11" t="n"/>
      <c r="AN1121">
        <f>IF($E1121="","",IF(COUNTIF($E$2:$E1121,$E1121)=1,1,0))</f>
        <v/>
      </c>
      <c r="AO1121">
        <f>IF($AN1121=1,SUMPRODUCT(--($AR$2:$AR$4001&lt;$AR1121))+1,"")</f>
        <v/>
      </c>
      <c r="AP1121">
        <f>IF($E1121="","",IF(OR($U1121=TRUE(),$U1121="TRUE"),1,0))</f>
        <v/>
      </c>
      <c r="AQ1121">
        <f>IF($E1121="","",IF($AA1121="Yes",1,0))</f>
        <v/>
      </c>
      <c r="AR1121">
        <f>IF($AN1121=1,IFERROR(VALUE(MID($E1121,2,20)),1000000000)+ROW()/100000,"")</f>
        <v/>
      </c>
    </row>
    <row r="1122">
      <c r="G1122" s="11" t="n"/>
      <c r="Q1122" s="7">
        <f>IF($E1122="","",P1122*Y1122/100)</f>
        <v/>
      </c>
      <c r="R1122" s="7" t="n"/>
      <c r="X1122" s="7" t="n"/>
      <c r="Y1122" s="7" t="n"/>
      <c r="AB1122">
        <f>IF($E1122="","",IF($AQ1122=1,0,IF($AP1122=1,Settings!$C$6,Settings!$C$7))*100)</f>
        <v/>
      </c>
      <c r="AC1122" s="7">
        <f>IF($E1122="","",Y1122*AB1122/100)</f>
        <v/>
      </c>
      <c r="AD1122" s="7">
        <f>IF($E1122="","",Y1122-AC1122)</f>
        <v/>
      </c>
      <c r="AE1122" s="7">
        <f>IF($E1122="","",AD1122-Q1122)</f>
        <v/>
      </c>
      <c r="AI1122" s="7" t="n"/>
      <c r="AL1122" s="11" t="n"/>
      <c r="AN1122">
        <f>IF($E1122="","",IF(COUNTIF($E$2:$E1122,$E1122)=1,1,0))</f>
        <v/>
      </c>
      <c r="AO1122">
        <f>IF($AN1122=1,SUMPRODUCT(--($AR$2:$AR$4001&lt;$AR1122))+1,"")</f>
        <v/>
      </c>
      <c r="AP1122">
        <f>IF($E1122="","",IF(OR($U1122=TRUE(),$U1122="TRUE"),1,0))</f>
        <v/>
      </c>
      <c r="AQ1122">
        <f>IF($E1122="","",IF($AA1122="Yes",1,0))</f>
        <v/>
      </c>
      <c r="AR1122">
        <f>IF($AN1122=1,IFERROR(VALUE(MID($E1122,2,20)),1000000000)+ROW()/100000,"")</f>
        <v/>
      </c>
    </row>
    <row r="1123">
      <c r="G1123" s="11" t="n"/>
      <c r="Q1123" s="7">
        <f>IF($E1123="","",P1123*Y1123/100)</f>
        <v/>
      </c>
      <c r="R1123" s="7" t="n"/>
      <c r="X1123" s="7" t="n"/>
      <c r="Y1123" s="7" t="n"/>
      <c r="AB1123">
        <f>IF($E1123="","",IF($AQ1123=1,0,IF($AP1123=1,Settings!$C$6,Settings!$C$7))*100)</f>
        <v/>
      </c>
      <c r="AC1123" s="7">
        <f>IF($E1123="","",Y1123*AB1123/100)</f>
        <v/>
      </c>
      <c r="AD1123" s="7">
        <f>IF($E1123="","",Y1123-AC1123)</f>
        <v/>
      </c>
      <c r="AE1123" s="7">
        <f>IF($E1123="","",AD1123-Q1123)</f>
        <v/>
      </c>
      <c r="AI1123" s="7" t="n"/>
      <c r="AL1123" s="11" t="n"/>
      <c r="AN1123">
        <f>IF($E1123="","",IF(COUNTIF($E$2:$E1123,$E1123)=1,1,0))</f>
        <v/>
      </c>
      <c r="AO1123">
        <f>IF($AN1123=1,SUMPRODUCT(--($AR$2:$AR$4001&lt;$AR1123))+1,"")</f>
        <v/>
      </c>
      <c r="AP1123">
        <f>IF($E1123="","",IF(OR($U1123=TRUE(),$U1123="TRUE"),1,0))</f>
        <v/>
      </c>
      <c r="AQ1123">
        <f>IF($E1123="","",IF($AA1123="Yes",1,0))</f>
        <v/>
      </c>
      <c r="AR1123">
        <f>IF($AN1123=1,IFERROR(VALUE(MID($E1123,2,20)),1000000000)+ROW()/100000,"")</f>
        <v/>
      </c>
    </row>
    <row r="1124">
      <c r="G1124" s="11" t="n"/>
      <c r="Q1124" s="7">
        <f>IF($E1124="","",P1124*Y1124/100)</f>
        <v/>
      </c>
      <c r="R1124" s="7" t="n"/>
      <c r="X1124" s="7" t="n"/>
      <c r="Y1124" s="7" t="n"/>
      <c r="AB1124">
        <f>IF($E1124="","",IF($AQ1124=1,0,IF($AP1124=1,Settings!$C$6,Settings!$C$7))*100)</f>
        <v/>
      </c>
      <c r="AC1124" s="7">
        <f>IF($E1124="","",Y1124*AB1124/100)</f>
        <v/>
      </c>
      <c r="AD1124" s="7">
        <f>IF($E1124="","",Y1124-AC1124)</f>
        <v/>
      </c>
      <c r="AE1124" s="7">
        <f>IF($E1124="","",AD1124-Q1124)</f>
        <v/>
      </c>
      <c r="AI1124" s="7" t="n"/>
      <c r="AL1124" s="11" t="n"/>
      <c r="AN1124">
        <f>IF($E1124="","",IF(COUNTIF($E$2:$E1124,$E1124)=1,1,0))</f>
        <v/>
      </c>
      <c r="AO1124">
        <f>IF($AN1124=1,SUMPRODUCT(--($AR$2:$AR$4001&lt;$AR1124))+1,"")</f>
        <v/>
      </c>
      <c r="AP1124">
        <f>IF($E1124="","",IF(OR($U1124=TRUE(),$U1124="TRUE"),1,0))</f>
        <v/>
      </c>
      <c r="AQ1124">
        <f>IF($E1124="","",IF($AA1124="Yes",1,0))</f>
        <v/>
      </c>
      <c r="AR1124">
        <f>IF($AN1124=1,IFERROR(VALUE(MID($E1124,2,20)),1000000000)+ROW()/100000,"")</f>
        <v/>
      </c>
    </row>
    <row r="1125">
      <c r="G1125" s="11" t="n"/>
      <c r="Q1125" s="7">
        <f>IF($E1125="","",P1125*Y1125/100)</f>
        <v/>
      </c>
      <c r="R1125" s="7" t="n"/>
      <c r="X1125" s="7" t="n"/>
      <c r="Y1125" s="7" t="n"/>
      <c r="AB1125">
        <f>IF($E1125="","",IF($AQ1125=1,0,IF($AP1125=1,Settings!$C$6,Settings!$C$7))*100)</f>
        <v/>
      </c>
      <c r="AC1125" s="7">
        <f>IF($E1125="","",Y1125*AB1125/100)</f>
        <v/>
      </c>
      <c r="AD1125" s="7">
        <f>IF($E1125="","",Y1125-AC1125)</f>
        <v/>
      </c>
      <c r="AE1125" s="7">
        <f>IF($E1125="","",AD1125-Q1125)</f>
        <v/>
      </c>
      <c r="AI1125" s="7" t="n"/>
      <c r="AL1125" s="11" t="n"/>
      <c r="AN1125">
        <f>IF($E1125="","",IF(COUNTIF($E$2:$E1125,$E1125)=1,1,0))</f>
        <v/>
      </c>
      <c r="AO1125">
        <f>IF($AN1125=1,SUMPRODUCT(--($AR$2:$AR$4001&lt;$AR1125))+1,"")</f>
        <v/>
      </c>
      <c r="AP1125">
        <f>IF($E1125="","",IF(OR($U1125=TRUE(),$U1125="TRUE"),1,0))</f>
        <v/>
      </c>
      <c r="AQ1125">
        <f>IF($E1125="","",IF($AA1125="Yes",1,0))</f>
        <v/>
      </c>
      <c r="AR1125">
        <f>IF($AN1125=1,IFERROR(VALUE(MID($E1125,2,20)),1000000000)+ROW()/100000,"")</f>
        <v/>
      </c>
    </row>
    <row r="1126">
      <c r="G1126" s="11" t="n"/>
      <c r="Q1126" s="7">
        <f>IF($E1126="","",P1126*Y1126/100)</f>
        <v/>
      </c>
      <c r="R1126" s="7" t="n"/>
      <c r="X1126" s="7" t="n"/>
      <c r="Y1126" s="7" t="n"/>
      <c r="AB1126">
        <f>IF($E1126="","",IF($AQ1126=1,0,IF($AP1126=1,Settings!$C$6,Settings!$C$7))*100)</f>
        <v/>
      </c>
      <c r="AC1126" s="7">
        <f>IF($E1126="","",Y1126*AB1126/100)</f>
        <v/>
      </c>
      <c r="AD1126" s="7">
        <f>IF($E1126="","",Y1126-AC1126)</f>
        <v/>
      </c>
      <c r="AE1126" s="7">
        <f>IF($E1126="","",AD1126-Q1126)</f>
        <v/>
      </c>
      <c r="AI1126" s="7" t="n"/>
      <c r="AL1126" s="11" t="n"/>
      <c r="AN1126">
        <f>IF($E1126="","",IF(COUNTIF($E$2:$E1126,$E1126)=1,1,0))</f>
        <v/>
      </c>
      <c r="AO1126">
        <f>IF($AN1126=1,SUMPRODUCT(--($AR$2:$AR$4001&lt;$AR1126))+1,"")</f>
        <v/>
      </c>
      <c r="AP1126">
        <f>IF($E1126="","",IF(OR($U1126=TRUE(),$U1126="TRUE"),1,0))</f>
        <v/>
      </c>
      <c r="AQ1126">
        <f>IF($E1126="","",IF($AA1126="Yes",1,0))</f>
        <v/>
      </c>
      <c r="AR1126">
        <f>IF($AN1126=1,IFERROR(VALUE(MID($E1126,2,20)),1000000000)+ROW()/100000,"")</f>
        <v/>
      </c>
    </row>
    <row r="1127">
      <c r="G1127" s="11" t="n"/>
      <c r="Q1127" s="7">
        <f>IF($E1127="","",P1127*Y1127/100)</f>
        <v/>
      </c>
      <c r="R1127" s="7" t="n"/>
      <c r="X1127" s="7" t="n"/>
      <c r="Y1127" s="7" t="n"/>
      <c r="AB1127">
        <f>IF($E1127="","",IF($AQ1127=1,0,IF($AP1127=1,Settings!$C$6,Settings!$C$7))*100)</f>
        <v/>
      </c>
      <c r="AC1127" s="7">
        <f>IF($E1127="","",Y1127*AB1127/100)</f>
        <v/>
      </c>
      <c r="AD1127" s="7">
        <f>IF($E1127="","",Y1127-AC1127)</f>
        <v/>
      </c>
      <c r="AE1127" s="7">
        <f>IF($E1127="","",AD1127-Q1127)</f>
        <v/>
      </c>
      <c r="AI1127" s="7" t="n"/>
      <c r="AL1127" s="11" t="n"/>
      <c r="AN1127">
        <f>IF($E1127="","",IF(COUNTIF($E$2:$E1127,$E1127)=1,1,0))</f>
        <v/>
      </c>
      <c r="AO1127">
        <f>IF($AN1127=1,SUMPRODUCT(--($AR$2:$AR$4001&lt;$AR1127))+1,"")</f>
        <v/>
      </c>
      <c r="AP1127">
        <f>IF($E1127="","",IF(OR($U1127=TRUE(),$U1127="TRUE"),1,0))</f>
        <v/>
      </c>
      <c r="AQ1127">
        <f>IF($E1127="","",IF($AA1127="Yes",1,0))</f>
        <v/>
      </c>
      <c r="AR1127">
        <f>IF($AN1127=1,IFERROR(VALUE(MID($E1127,2,20)),1000000000)+ROW()/100000,"")</f>
        <v/>
      </c>
    </row>
    <row r="1128">
      <c r="G1128" s="11" t="n"/>
      <c r="Q1128" s="7">
        <f>IF($E1128="","",P1128*Y1128/100)</f>
        <v/>
      </c>
      <c r="R1128" s="7" t="n"/>
      <c r="X1128" s="7" t="n"/>
      <c r="Y1128" s="7" t="n"/>
      <c r="AB1128">
        <f>IF($E1128="","",IF($AQ1128=1,0,IF($AP1128=1,Settings!$C$6,Settings!$C$7))*100)</f>
        <v/>
      </c>
      <c r="AC1128" s="7">
        <f>IF($E1128="","",Y1128*AB1128/100)</f>
        <v/>
      </c>
      <c r="AD1128" s="7">
        <f>IF($E1128="","",Y1128-AC1128)</f>
        <v/>
      </c>
      <c r="AE1128" s="7">
        <f>IF($E1128="","",AD1128-Q1128)</f>
        <v/>
      </c>
      <c r="AI1128" s="7" t="n"/>
      <c r="AL1128" s="11" t="n"/>
      <c r="AN1128">
        <f>IF($E1128="","",IF(COUNTIF($E$2:$E1128,$E1128)=1,1,0))</f>
        <v/>
      </c>
      <c r="AO1128">
        <f>IF($AN1128=1,SUMPRODUCT(--($AR$2:$AR$4001&lt;$AR1128))+1,"")</f>
        <v/>
      </c>
      <c r="AP1128">
        <f>IF($E1128="","",IF(OR($U1128=TRUE(),$U1128="TRUE"),1,0))</f>
        <v/>
      </c>
      <c r="AQ1128">
        <f>IF($E1128="","",IF($AA1128="Yes",1,0))</f>
        <v/>
      </c>
      <c r="AR1128">
        <f>IF($AN1128=1,IFERROR(VALUE(MID($E1128,2,20)),1000000000)+ROW()/100000,"")</f>
        <v/>
      </c>
    </row>
    <row r="1129">
      <c r="G1129" s="11" t="n"/>
      <c r="Q1129" s="7">
        <f>IF($E1129="","",P1129*Y1129/100)</f>
        <v/>
      </c>
      <c r="R1129" s="7" t="n"/>
      <c r="X1129" s="7" t="n"/>
      <c r="Y1129" s="7" t="n"/>
      <c r="AB1129">
        <f>IF($E1129="","",IF($AQ1129=1,0,IF($AP1129=1,Settings!$C$6,Settings!$C$7))*100)</f>
        <v/>
      </c>
      <c r="AC1129" s="7">
        <f>IF($E1129="","",Y1129*AB1129/100)</f>
        <v/>
      </c>
      <c r="AD1129" s="7">
        <f>IF($E1129="","",Y1129-AC1129)</f>
        <v/>
      </c>
      <c r="AE1129" s="7">
        <f>IF($E1129="","",AD1129-Q1129)</f>
        <v/>
      </c>
      <c r="AI1129" s="7" t="n"/>
      <c r="AL1129" s="11" t="n"/>
      <c r="AN1129">
        <f>IF($E1129="","",IF(COUNTIF($E$2:$E1129,$E1129)=1,1,0))</f>
        <v/>
      </c>
      <c r="AO1129">
        <f>IF($AN1129=1,SUMPRODUCT(--($AR$2:$AR$4001&lt;$AR1129))+1,"")</f>
        <v/>
      </c>
      <c r="AP1129">
        <f>IF($E1129="","",IF(OR($U1129=TRUE(),$U1129="TRUE"),1,0))</f>
        <v/>
      </c>
      <c r="AQ1129">
        <f>IF($E1129="","",IF($AA1129="Yes",1,0))</f>
        <v/>
      </c>
      <c r="AR1129">
        <f>IF($AN1129=1,IFERROR(VALUE(MID($E1129,2,20)),1000000000)+ROW()/100000,"")</f>
        <v/>
      </c>
    </row>
    <row r="1130">
      <c r="G1130" s="11" t="n"/>
      <c r="Q1130" s="7">
        <f>IF($E1130="","",P1130*Y1130/100)</f>
        <v/>
      </c>
      <c r="R1130" s="7" t="n"/>
      <c r="X1130" s="7" t="n"/>
      <c r="Y1130" s="7" t="n"/>
      <c r="AB1130">
        <f>IF($E1130="","",IF($AQ1130=1,0,IF($AP1130=1,Settings!$C$6,Settings!$C$7))*100)</f>
        <v/>
      </c>
      <c r="AC1130" s="7">
        <f>IF($E1130="","",Y1130*AB1130/100)</f>
        <v/>
      </c>
      <c r="AD1130" s="7">
        <f>IF($E1130="","",Y1130-AC1130)</f>
        <v/>
      </c>
      <c r="AE1130" s="7">
        <f>IF($E1130="","",AD1130-Q1130)</f>
        <v/>
      </c>
      <c r="AI1130" s="7" t="n"/>
      <c r="AL1130" s="11" t="n"/>
      <c r="AN1130">
        <f>IF($E1130="","",IF(COUNTIF($E$2:$E1130,$E1130)=1,1,0))</f>
        <v/>
      </c>
      <c r="AO1130">
        <f>IF($AN1130=1,SUMPRODUCT(--($AR$2:$AR$4001&lt;$AR1130))+1,"")</f>
        <v/>
      </c>
      <c r="AP1130">
        <f>IF($E1130="","",IF(OR($U1130=TRUE(),$U1130="TRUE"),1,0))</f>
        <v/>
      </c>
      <c r="AQ1130">
        <f>IF($E1130="","",IF($AA1130="Yes",1,0))</f>
        <v/>
      </c>
      <c r="AR1130">
        <f>IF($AN1130=1,IFERROR(VALUE(MID($E1130,2,20)),1000000000)+ROW()/100000,"")</f>
        <v/>
      </c>
    </row>
    <row r="1131">
      <c r="G1131" s="11" t="n"/>
      <c r="Q1131" s="7">
        <f>IF($E1131="","",P1131*Y1131/100)</f>
        <v/>
      </c>
      <c r="R1131" s="7" t="n"/>
      <c r="X1131" s="7" t="n"/>
      <c r="Y1131" s="7" t="n"/>
      <c r="AB1131">
        <f>IF($E1131="","",IF($AQ1131=1,0,IF($AP1131=1,Settings!$C$6,Settings!$C$7))*100)</f>
        <v/>
      </c>
      <c r="AC1131" s="7">
        <f>IF($E1131="","",Y1131*AB1131/100)</f>
        <v/>
      </c>
      <c r="AD1131" s="7">
        <f>IF($E1131="","",Y1131-AC1131)</f>
        <v/>
      </c>
      <c r="AE1131" s="7">
        <f>IF($E1131="","",AD1131-Q1131)</f>
        <v/>
      </c>
      <c r="AI1131" s="7" t="n"/>
      <c r="AL1131" s="11" t="n"/>
      <c r="AN1131">
        <f>IF($E1131="","",IF(COUNTIF($E$2:$E1131,$E1131)=1,1,0))</f>
        <v/>
      </c>
      <c r="AO1131">
        <f>IF($AN1131=1,SUMPRODUCT(--($AR$2:$AR$4001&lt;$AR1131))+1,"")</f>
        <v/>
      </c>
      <c r="AP1131">
        <f>IF($E1131="","",IF(OR($U1131=TRUE(),$U1131="TRUE"),1,0))</f>
        <v/>
      </c>
      <c r="AQ1131">
        <f>IF($E1131="","",IF($AA1131="Yes",1,0))</f>
        <v/>
      </c>
      <c r="AR1131">
        <f>IF($AN1131=1,IFERROR(VALUE(MID($E1131,2,20)),1000000000)+ROW()/100000,"")</f>
        <v/>
      </c>
    </row>
    <row r="1132">
      <c r="G1132" s="11" t="n"/>
      <c r="Q1132" s="7">
        <f>IF($E1132="","",P1132*Y1132/100)</f>
        <v/>
      </c>
      <c r="R1132" s="7" t="n"/>
      <c r="X1132" s="7" t="n"/>
      <c r="Y1132" s="7" t="n"/>
      <c r="AB1132">
        <f>IF($E1132="","",IF($AQ1132=1,0,IF($AP1132=1,Settings!$C$6,Settings!$C$7))*100)</f>
        <v/>
      </c>
      <c r="AC1132" s="7">
        <f>IF($E1132="","",Y1132*AB1132/100)</f>
        <v/>
      </c>
      <c r="AD1132" s="7">
        <f>IF($E1132="","",Y1132-AC1132)</f>
        <v/>
      </c>
      <c r="AE1132" s="7">
        <f>IF($E1132="","",AD1132-Q1132)</f>
        <v/>
      </c>
      <c r="AI1132" s="7" t="n"/>
      <c r="AL1132" s="11" t="n"/>
      <c r="AN1132">
        <f>IF($E1132="","",IF(COUNTIF($E$2:$E1132,$E1132)=1,1,0))</f>
        <v/>
      </c>
      <c r="AO1132">
        <f>IF($AN1132=1,SUMPRODUCT(--($AR$2:$AR$4001&lt;$AR1132))+1,"")</f>
        <v/>
      </c>
      <c r="AP1132">
        <f>IF($E1132="","",IF(OR($U1132=TRUE(),$U1132="TRUE"),1,0))</f>
        <v/>
      </c>
      <c r="AQ1132">
        <f>IF($E1132="","",IF($AA1132="Yes",1,0))</f>
        <v/>
      </c>
      <c r="AR1132">
        <f>IF($AN1132=1,IFERROR(VALUE(MID($E1132,2,20)),1000000000)+ROW()/100000,"")</f>
        <v/>
      </c>
    </row>
    <row r="1133">
      <c r="G1133" s="11" t="n"/>
      <c r="Q1133" s="7">
        <f>IF($E1133="","",P1133*Y1133/100)</f>
        <v/>
      </c>
      <c r="R1133" s="7" t="n"/>
      <c r="X1133" s="7" t="n"/>
      <c r="Y1133" s="7" t="n"/>
      <c r="AB1133">
        <f>IF($E1133="","",IF($AQ1133=1,0,IF($AP1133=1,Settings!$C$6,Settings!$C$7))*100)</f>
        <v/>
      </c>
      <c r="AC1133" s="7">
        <f>IF($E1133="","",Y1133*AB1133/100)</f>
        <v/>
      </c>
      <c r="AD1133" s="7">
        <f>IF($E1133="","",Y1133-AC1133)</f>
        <v/>
      </c>
      <c r="AE1133" s="7">
        <f>IF($E1133="","",AD1133-Q1133)</f>
        <v/>
      </c>
      <c r="AI1133" s="7" t="n"/>
      <c r="AL1133" s="11" t="n"/>
      <c r="AN1133">
        <f>IF($E1133="","",IF(COUNTIF($E$2:$E1133,$E1133)=1,1,0))</f>
        <v/>
      </c>
      <c r="AO1133">
        <f>IF($AN1133=1,SUMPRODUCT(--($AR$2:$AR$4001&lt;$AR1133))+1,"")</f>
        <v/>
      </c>
      <c r="AP1133">
        <f>IF($E1133="","",IF(OR($U1133=TRUE(),$U1133="TRUE"),1,0))</f>
        <v/>
      </c>
      <c r="AQ1133">
        <f>IF($E1133="","",IF($AA1133="Yes",1,0))</f>
        <v/>
      </c>
      <c r="AR1133">
        <f>IF($AN1133=1,IFERROR(VALUE(MID($E1133,2,20)),1000000000)+ROW()/100000,"")</f>
        <v/>
      </c>
    </row>
    <row r="1134">
      <c r="G1134" s="11" t="n"/>
      <c r="Q1134" s="7">
        <f>IF($E1134="","",P1134*Y1134/100)</f>
        <v/>
      </c>
      <c r="R1134" s="7" t="n"/>
      <c r="X1134" s="7" t="n"/>
      <c r="Y1134" s="7" t="n"/>
      <c r="AB1134">
        <f>IF($E1134="","",IF($AQ1134=1,0,IF($AP1134=1,Settings!$C$6,Settings!$C$7))*100)</f>
        <v/>
      </c>
      <c r="AC1134" s="7">
        <f>IF($E1134="","",Y1134*AB1134/100)</f>
        <v/>
      </c>
      <c r="AD1134" s="7">
        <f>IF($E1134="","",Y1134-AC1134)</f>
        <v/>
      </c>
      <c r="AE1134" s="7">
        <f>IF($E1134="","",AD1134-Q1134)</f>
        <v/>
      </c>
      <c r="AI1134" s="7" t="n"/>
      <c r="AL1134" s="11" t="n"/>
      <c r="AN1134">
        <f>IF($E1134="","",IF(COUNTIF($E$2:$E1134,$E1134)=1,1,0))</f>
        <v/>
      </c>
      <c r="AO1134">
        <f>IF($AN1134=1,SUMPRODUCT(--($AR$2:$AR$4001&lt;$AR1134))+1,"")</f>
        <v/>
      </c>
      <c r="AP1134">
        <f>IF($E1134="","",IF(OR($U1134=TRUE(),$U1134="TRUE"),1,0))</f>
        <v/>
      </c>
      <c r="AQ1134">
        <f>IF($E1134="","",IF($AA1134="Yes",1,0))</f>
        <v/>
      </c>
      <c r="AR1134">
        <f>IF($AN1134=1,IFERROR(VALUE(MID($E1134,2,20)),1000000000)+ROW()/100000,"")</f>
        <v/>
      </c>
    </row>
    <row r="1135">
      <c r="G1135" s="11" t="n"/>
      <c r="Q1135" s="7">
        <f>IF($E1135="","",P1135*Y1135/100)</f>
        <v/>
      </c>
      <c r="R1135" s="7" t="n"/>
      <c r="X1135" s="7" t="n"/>
      <c r="Y1135" s="7" t="n"/>
      <c r="AB1135">
        <f>IF($E1135="","",IF($AQ1135=1,0,IF($AP1135=1,Settings!$C$6,Settings!$C$7))*100)</f>
        <v/>
      </c>
      <c r="AC1135" s="7">
        <f>IF($E1135="","",Y1135*AB1135/100)</f>
        <v/>
      </c>
      <c r="AD1135" s="7">
        <f>IF($E1135="","",Y1135-AC1135)</f>
        <v/>
      </c>
      <c r="AE1135" s="7">
        <f>IF($E1135="","",AD1135-Q1135)</f>
        <v/>
      </c>
      <c r="AI1135" s="7" t="n"/>
      <c r="AL1135" s="11" t="n"/>
      <c r="AN1135">
        <f>IF($E1135="","",IF(COUNTIF($E$2:$E1135,$E1135)=1,1,0))</f>
        <v/>
      </c>
      <c r="AO1135">
        <f>IF($AN1135=1,SUMPRODUCT(--($AR$2:$AR$4001&lt;$AR1135))+1,"")</f>
        <v/>
      </c>
      <c r="AP1135">
        <f>IF($E1135="","",IF(OR($U1135=TRUE(),$U1135="TRUE"),1,0))</f>
        <v/>
      </c>
      <c r="AQ1135">
        <f>IF($E1135="","",IF($AA1135="Yes",1,0))</f>
        <v/>
      </c>
      <c r="AR1135">
        <f>IF($AN1135=1,IFERROR(VALUE(MID($E1135,2,20)),1000000000)+ROW()/100000,"")</f>
        <v/>
      </c>
    </row>
    <row r="1136">
      <c r="G1136" s="11" t="n"/>
      <c r="Q1136" s="7">
        <f>IF($E1136="","",P1136*Y1136/100)</f>
        <v/>
      </c>
      <c r="R1136" s="7" t="n"/>
      <c r="X1136" s="7" t="n"/>
      <c r="Y1136" s="7" t="n"/>
      <c r="AB1136">
        <f>IF($E1136="","",IF($AQ1136=1,0,IF($AP1136=1,Settings!$C$6,Settings!$C$7))*100)</f>
        <v/>
      </c>
      <c r="AC1136" s="7">
        <f>IF($E1136="","",Y1136*AB1136/100)</f>
        <v/>
      </c>
      <c r="AD1136" s="7">
        <f>IF($E1136="","",Y1136-AC1136)</f>
        <v/>
      </c>
      <c r="AE1136" s="7">
        <f>IF($E1136="","",AD1136-Q1136)</f>
        <v/>
      </c>
      <c r="AI1136" s="7" t="n"/>
      <c r="AL1136" s="11" t="n"/>
      <c r="AN1136">
        <f>IF($E1136="","",IF(COUNTIF($E$2:$E1136,$E1136)=1,1,0))</f>
        <v/>
      </c>
      <c r="AO1136">
        <f>IF($AN1136=1,SUMPRODUCT(--($AR$2:$AR$4001&lt;$AR1136))+1,"")</f>
        <v/>
      </c>
      <c r="AP1136">
        <f>IF($E1136="","",IF(OR($U1136=TRUE(),$U1136="TRUE"),1,0))</f>
        <v/>
      </c>
      <c r="AQ1136">
        <f>IF($E1136="","",IF($AA1136="Yes",1,0))</f>
        <v/>
      </c>
      <c r="AR1136">
        <f>IF($AN1136=1,IFERROR(VALUE(MID($E1136,2,20)),1000000000)+ROW()/100000,"")</f>
        <v/>
      </c>
    </row>
    <row r="1137">
      <c r="G1137" s="11" t="n"/>
      <c r="Q1137" s="7">
        <f>IF($E1137="","",P1137*Y1137/100)</f>
        <v/>
      </c>
      <c r="R1137" s="7" t="n"/>
      <c r="X1137" s="7" t="n"/>
      <c r="Y1137" s="7" t="n"/>
      <c r="AB1137">
        <f>IF($E1137="","",IF($AQ1137=1,0,IF($AP1137=1,Settings!$C$6,Settings!$C$7))*100)</f>
        <v/>
      </c>
      <c r="AC1137" s="7">
        <f>IF($E1137="","",Y1137*AB1137/100)</f>
        <v/>
      </c>
      <c r="AD1137" s="7">
        <f>IF($E1137="","",Y1137-AC1137)</f>
        <v/>
      </c>
      <c r="AE1137" s="7">
        <f>IF($E1137="","",AD1137-Q1137)</f>
        <v/>
      </c>
      <c r="AI1137" s="7" t="n"/>
      <c r="AL1137" s="11" t="n"/>
      <c r="AN1137">
        <f>IF($E1137="","",IF(COUNTIF($E$2:$E1137,$E1137)=1,1,0))</f>
        <v/>
      </c>
      <c r="AO1137">
        <f>IF($AN1137=1,SUMPRODUCT(--($AR$2:$AR$4001&lt;$AR1137))+1,"")</f>
        <v/>
      </c>
      <c r="AP1137">
        <f>IF($E1137="","",IF(OR($U1137=TRUE(),$U1137="TRUE"),1,0))</f>
        <v/>
      </c>
      <c r="AQ1137">
        <f>IF($E1137="","",IF($AA1137="Yes",1,0))</f>
        <v/>
      </c>
      <c r="AR1137">
        <f>IF($AN1137=1,IFERROR(VALUE(MID($E1137,2,20)),1000000000)+ROW()/100000,"")</f>
        <v/>
      </c>
    </row>
    <row r="1138">
      <c r="G1138" s="11" t="n"/>
      <c r="Q1138" s="7">
        <f>IF($E1138="","",P1138*Y1138/100)</f>
        <v/>
      </c>
      <c r="R1138" s="7" t="n"/>
      <c r="X1138" s="7" t="n"/>
      <c r="Y1138" s="7" t="n"/>
      <c r="AB1138">
        <f>IF($E1138="","",IF($AQ1138=1,0,IF($AP1138=1,Settings!$C$6,Settings!$C$7))*100)</f>
        <v/>
      </c>
      <c r="AC1138" s="7">
        <f>IF($E1138="","",Y1138*AB1138/100)</f>
        <v/>
      </c>
      <c r="AD1138" s="7">
        <f>IF($E1138="","",Y1138-AC1138)</f>
        <v/>
      </c>
      <c r="AE1138" s="7">
        <f>IF($E1138="","",AD1138-Q1138)</f>
        <v/>
      </c>
      <c r="AI1138" s="7" t="n"/>
      <c r="AL1138" s="11" t="n"/>
      <c r="AN1138">
        <f>IF($E1138="","",IF(COUNTIF($E$2:$E1138,$E1138)=1,1,0))</f>
        <v/>
      </c>
      <c r="AO1138">
        <f>IF($AN1138=1,SUMPRODUCT(--($AR$2:$AR$4001&lt;$AR1138))+1,"")</f>
        <v/>
      </c>
      <c r="AP1138">
        <f>IF($E1138="","",IF(OR($U1138=TRUE(),$U1138="TRUE"),1,0))</f>
        <v/>
      </c>
      <c r="AQ1138">
        <f>IF($E1138="","",IF($AA1138="Yes",1,0))</f>
        <v/>
      </c>
      <c r="AR1138">
        <f>IF($AN1138=1,IFERROR(VALUE(MID($E1138,2,20)),1000000000)+ROW()/100000,"")</f>
        <v/>
      </c>
    </row>
    <row r="1139">
      <c r="G1139" s="11" t="n"/>
      <c r="Q1139" s="7">
        <f>IF($E1139="","",P1139*Y1139/100)</f>
        <v/>
      </c>
      <c r="R1139" s="7" t="n"/>
      <c r="X1139" s="7" t="n"/>
      <c r="Y1139" s="7" t="n"/>
      <c r="AB1139">
        <f>IF($E1139="","",IF($AQ1139=1,0,IF($AP1139=1,Settings!$C$6,Settings!$C$7))*100)</f>
        <v/>
      </c>
      <c r="AC1139" s="7">
        <f>IF($E1139="","",Y1139*AB1139/100)</f>
        <v/>
      </c>
      <c r="AD1139" s="7">
        <f>IF($E1139="","",Y1139-AC1139)</f>
        <v/>
      </c>
      <c r="AE1139" s="7">
        <f>IF($E1139="","",AD1139-Q1139)</f>
        <v/>
      </c>
      <c r="AI1139" s="7" t="n"/>
      <c r="AL1139" s="11" t="n"/>
      <c r="AN1139">
        <f>IF($E1139="","",IF(COUNTIF($E$2:$E1139,$E1139)=1,1,0))</f>
        <v/>
      </c>
      <c r="AO1139">
        <f>IF($AN1139=1,SUMPRODUCT(--($AR$2:$AR$4001&lt;$AR1139))+1,"")</f>
        <v/>
      </c>
      <c r="AP1139">
        <f>IF($E1139="","",IF(OR($U1139=TRUE(),$U1139="TRUE"),1,0))</f>
        <v/>
      </c>
      <c r="AQ1139">
        <f>IF($E1139="","",IF($AA1139="Yes",1,0))</f>
        <v/>
      </c>
      <c r="AR1139">
        <f>IF($AN1139=1,IFERROR(VALUE(MID($E1139,2,20)),1000000000)+ROW()/100000,"")</f>
        <v/>
      </c>
    </row>
    <row r="1140">
      <c r="G1140" s="11" t="n"/>
      <c r="Q1140" s="7">
        <f>IF($E1140="","",P1140*Y1140/100)</f>
        <v/>
      </c>
      <c r="R1140" s="7" t="n"/>
      <c r="X1140" s="7" t="n"/>
      <c r="Y1140" s="7" t="n"/>
      <c r="AB1140">
        <f>IF($E1140="","",IF($AQ1140=1,0,IF($AP1140=1,Settings!$C$6,Settings!$C$7))*100)</f>
        <v/>
      </c>
      <c r="AC1140" s="7">
        <f>IF($E1140="","",Y1140*AB1140/100)</f>
        <v/>
      </c>
      <c r="AD1140" s="7">
        <f>IF($E1140="","",Y1140-AC1140)</f>
        <v/>
      </c>
      <c r="AE1140" s="7">
        <f>IF($E1140="","",AD1140-Q1140)</f>
        <v/>
      </c>
      <c r="AI1140" s="7" t="n"/>
      <c r="AL1140" s="11" t="n"/>
      <c r="AN1140">
        <f>IF($E1140="","",IF(COUNTIF($E$2:$E1140,$E1140)=1,1,0))</f>
        <v/>
      </c>
      <c r="AO1140">
        <f>IF($AN1140=1,SUMPRODUCT(--($AR$2:$AR$4001&lt;$AR1140))+1,"")</f>
        <v/>
      </c>
      <c r="AP1140">
        <f>IF($E1140="","",IF(OR($U1140=TRUE(),$U1140="TRUE"),1,0))</f>
        <v/>
      </c>
      <c r="AQ1140">
        <f>IF($E1140="","",IF($AA1140="Yes",1,0))</f>
        <v/>
      </c>
      <c r="AR1140">
        <f>IF($AN1140=1,IFERROR(VALUE(MID($E1140,2,20)),1000000000)+ROW()/100000,"")</f>
        <v/>
      </c>
    </row>
    <row r="1141">
      <c r="G1141" s="11" t="n"/>
      <c r="Q1141" s="7">
        <f>IF($E1141="","",P1141*Y1141/100)</f>
        <v/>
      </c>
      <c r="R1141" s="7" t="n"/>
      <c r="X1141" s="7" t="n"/>
      <c r="Y1141" s="7" t="n"/>
      <c r="AB1141">
        <f>IF($E1141="","",IF($AQ1141=1,0,IF($AP1141=1,Settings!$C$6,Settings!$C$7))*100)</f>
        <v/>
      </c>
      <c r="AC1141" s="7">
        <f>IF($E1141="","",Y1141*AB1141/100)</f>
        <v/>
      </c>
      <c r="AD1141" s="7">
        <f>IF($E1141="","",Y1141-AC1141)</f>
        <v/>
      </c>
      <c r="AE1141" s="7">
        <f>IF($E1141="","",AD1141-Q1141)</f>
        <v/>
      </c>
      <c r="AI1141" s="7" t="n"/>
      <c r="AL1141" s="11" t="n"/>
      <c r="AN1141">
        <f>IF($E1141="","",IF(COUNTIF($E$2:$E1141,$E1141)=1,1,0))</f>
        <v/>
      </c>
      <c r="AO1141">
        <f>IF($AN1141=1,SUMPRODUCT(--($AR$2:$AR$4001&lt;$AR1141))+1,"")</f>
        <v/>
      </c>
      <c r="AP1141">
        <f>IF($E1141="","",IF(OR($U1141=TRUE(),$U1141="TRUE"),1,0))</f>
        <v/>
      </c>
      <c r="AQ1141">
        <f>IF($E1141="","",IF($AA1141="Yes",1,0))</f>
        <v/>
      </c>
      <c r="AR1141">
        <f>IF($AN1141=1,IFERROR(VALUE(MID($E1141,2,20)),1000000000)+ROW()/100000,"")</f>
        <v/>
      </c>
    </row>
    <row r="1142">
      <c r="G1142" s="11" t="n"/>
      <c r="Q1142" s="7">
        <f>IF($E1142="","",P1142*Y1142/100)</f>
        <v/>
      </c>
      <c r="R1142" s="7" t="n"/>
      <c r="X1142" s="7" t="n"/>
      <c r="Y1142" s="7" t="n"/>
      <c r="AB1142">
        <f>IF($E1142="","",IF($AQ1142=1,0,IF($AP1142=1,Settings!$C$6,Settings!$C$7))*100)</f>
        <v/>
      </c>
      <c r="AC1142" s="7">
        <f>IF($E1142="","",Y1142*AB1142/100)</f>
        <v/>
      </c>
      <c r="AD1142" s="7">
        <f>IF($E1142="","",Y1142-AC1142)</f>
        <v/>
      </c>
      <c r="AE1142" s="7">
        <f>IF($E1142="","",AD1142-Q1142)</f>
        <v/>
      </c>
      <c r="AI1142" s="7" t="n"/>
      <c r="AL1142" s="11" t="n"/>
      <c r="AN1142">
        <f>IF($E1142="","",IF(COUNTIF($E$2:$E1142,$E1142)=1,1,0))</f>
        <v/>
      </c>
      <c r="AO1142">
        <f>IF($AN1142=1,SUMPRODUCT(--($AR$2:$AR$4001&lt;$AR1142))+1,"")</f>
        <v/>
      </c>
      <c r="AP1142">
        <f>IF($E1142="","",IF(OR($U1142=TRUE(),$U1142="TRUE"),1,0))</f>
        <v/>
      </c>
      <c r="AQ1142">
        <f>IF($E1142="","",IF($AA1142="Yes",1,0))</f>
        <v/>
      </c>
      <c r="AR1142">
        <f>IF($AN1142=1,IFERROR(VALUE(MID($E1142,2,20)),1000000000)+ROW()/100000,"")</f>
        <v/>
      </c>
    </row>
    <row r="1143">
      <c r="G1143" s="11" t="n"/>
      <c r="Q1143" s="7">
        <f>IF($E1143="","",P1143*Y1143/100)</f>
        <v/>
      </c>
      <c r="R1143" s="7" t="n"/>
      <c r="X1143" s="7" t="n"/>
      <c r="Y1143" s="7" t="n"/>
      <c r="AB1143">
        <f>IF($E1143="","",IF($AQ1143=1,0,IF($AP1143=1,Settings!$C$6,Settings!$C$7))*100)</f>
        <v/>
      </c>
      <c r="AC1143" s="7">
        <f>IF($E1143="","",Y1143*AB1143/100)</f>
        <v/>
      </c>
      <c r="AD1143" s="7">
        <f>IF($E1143="","",Y1143-AC1143)</f>
        <v/>
      </c>
      <c r="AE1143" s="7">
        <f>IF($E1143="","",AD1143-Q1143)</f>
        <v/>
      </c>
      <c r="AI1143" s="7" t="n"/>
      <c r="AL1143" s="11" t="n"/>
      <c r="AN1143">
        <f>IF($E1143="","",IF(COUNTIF($E$2:$E1143,$E1143)=1,1,0))</f>
        <v/>
      </c>
      <c r="AO1143">
        <f>IF($AN1143=1,SUMPRODUCT(--($AR$2:$AR$4001&lt;$AR1143))+1,"")</f>
        <v/>
      </c>
      <c r="AP1143">
        <f>IF($E1143="","",IF(OR($U1143=TRUE(),$U1143="TRUE"),1,0))</f>
        <v/>
      </c>
      <c r="AQ1143">
        <f>IF($E1143="","",IF($AA1143="Yes",1,0))</f>
        <v/>
      </c>
      <c r="AR1143">
        <f>IF($AN1143=1,IFERROR(VALUE(MID($E1143,2,20)),1000000000)+ROW()/100000,"")</f>
        <v/>
      </c>
    </row>
    <row r="1144">
      <c r="G1144" s="11" t="n"/>
      <c r="Q1144" s="7">
        <f>IF($E1144="","",P1144*Y1144/100)</f>
        <v/>
      </c>
      <c r="R1144" s="7" t="n"/>
      <c r="X1144" s="7" t="n"/>
      <c r="Y1144" s="7" t="n"/>
      <c r="AB1144">
        <f>IF($E1144="","",IF($AQ1144=1,0,IF($AP1144=1,Settings!$C$6,Settings!$C$7))*100)</f>
        <v/>
      </c>
      <c r="AC1144" s="7">
        <f>IF($E1144="","",Y1144*AB1144/100)</f>
        <v/>
      </c>
      <c r="AD1144" s="7">
        <f>IF($E1144="","",Y1144-AC1144)</f>
        <v/>
      </c>
      <c r="AE1144" s="7">
        <f>IF($E1144="","",AD1144-Q1144)</f>
        <v/>
      </c>
      <c r="AI1144" s="7" t="n"/>
      <c r="AL1144" s="11" t="n"/>
      <c r="AN1144">
        <f>IF($E1144="","",IF(COUNTIF($E$2:$E1144,$E1144)=1,1,0))</f>
        <v/>
      </c>
      <c r="AO1144">
        <f>IF($AN1144=1,SUMPRODUCT(--($AR$2:$AR$4001&lt;$AR1144))+1,"")</f>
        <v/>
      </c>
      <c r="AP1144">
        <f>IF($E1144="","",IF(OR($U1144=TRUE(),$U1144="TRUE"),1,0))</f>
        <v/>
      </c>
      <c r="AQ1144">
        <f>IF($E1144="","",IF($AA1144="Yes",1,0))</f>
        <v/>
      </c>
      <c r="AR1144">
        <f>IF($AN1144=1,IFERROR(VALUE(MID($E1144,2,20)),1000000000)+ROW()/100000,"")</f>
        <v/>
      </c>
    </row>
    <row r="1145">
      <c r="G1145" s="11" t="n"/>
      <c r="Q1145" s="7">
        <f>IF($E1145="","",P1145*Y1145/100)</f>
        <v/>
      </c>
      <c r="R1145" s="7" t="n"/>
      <c r="X1145" s="7" t="n"/>
      <c r="Y1145" s="7" t="n"/>
      <c r="AB1145">
        <f>IF($E1145="","",IF($AQ1145=1,0,IF($AP1145=1,Settings!$C$6,Settings!$C$7))*100)</f>
        <v/>
      </c>
      <c r="AC1145" s="7">
        <f>IF($E1145="","",Y1145*AB1145/100)</f>
        <v/>
      </c>
      <c r="AD1145" s="7">
        <f>IF($E1145="","",Y1145-AC1145)</f>
        <v/>
      </c>
      <c r="AE1145" s="7">
        <f>IF($E1145="","",AD1145-Q1145)</f>
        <v/>
      </c>
      <c r="AI1145" s="7" t="n"/>
      <c r="AL1145" s="11" t="n"/>
      <c r="AN1145">
        <f>IF($E1145="","",IF(COUNTIF($E$2:$E1145,$E1145)=1,1,0))</f>
        <v/>
      </c>
      <c r="AO1145">
        <f>IF($AN1145=1,SUMPRODUCT(--($AR$2:$AR$4001&lt;$AR1145))+1,"")</f>
        <v/>
      </c>
      <c r="AP1145">
        <f>IF($E1145="","",IF(OR($U1145=TRUE(),$U1145="TRUE"),1,0))</f>
        <v/>
      </c>
      <c r="AQ1145">
        <f>IF($E1145="","",IF($AA1145="Yes",1,0))</f>
        <v/>
      </c>
      <c r="AR1145">
        <f>IF($AN1145=1,IFERROR(VALUE(MID($E1145,2,20)),1000000000)+ROW()/100000,"")</f>
        <v/>
      </c>
    </row>
    <row r="1146">
      <c r="G1146" s="11" t="n"/>
      <c r="Q1146" s="7">
        <f>IF($E1146="","",P1146*Y1146/100)</f>
        <v/>
      </c>
      <c r="R1146" s="7" t="n"/>
      <c r="X1146" s="7" t="n"/>
      <c r="Y1146" s="7" t="n"/>
      <c r="AB1146">
        <f>IF($E1146="","",IF($AQ1146=1,0,IF($AP1146=1,Settings!$C$6,Settings!$C$7))*100)</f>
        <v/>
      </c>
      <c r="AC1146" s="7">
        <f>IF($E1146="","",Y1146*AB1146/100)</f>
        <v/>
      </c>
      <c r="AD1146" s="7">
        <f>IF($E1146="","",Y1146-AC1146)</f>
        <v/>
      </c>
      <c r="AE1146" s="7">
        <f>IF($E1146="","",AD1146-Q1146)</f>
        <v/>
      </c>
      <c r="AI1146" s="7" t="n"/>
      <c r="AL1146" s="11" t="n"/>
      <c r="AN1146">
        <f>IF($E1146="","",IF(COUNTIF($E$2:$E1146,$E1146)=1,1,0))</f>
        <v/>
      </c>
      <c r="AO1146">
        <f>IF($AN1146=1,SUMPRODUCT(--($AR$2:$AR$4001&lt;$AR1146))+1,"")</f>
        <v/>
      </c>
      <c r="AP1146">
        <f>IF($E1146="","",IF(OR($U1146=TRUE(),$U1146="TRUE"),1,0))</f>
        <v/>
      </c>
      <c r="AQ1146">
        <f>IF($E1146="","",IF($AA1146="Yes",1,0))</f>
        <v/>
      </c>
      <c r="AR1146">
        <f>IF($AN1146=1,IFERROR(VALUE(MID($E1146,2,20)),1000000000)+ROW()/100000,"")</f>
        <v/>
      </c>
    </row>
    <row r="1147">
      <c r="G1147" s="11" t="n"/>
      <c r="Q1147" s="7">
        <f>IF($E1147="","",P1147*Y1147/100)</f>
        <v/>
      </c>
      <c r="R1147" s="7" t="n"/>
      <c r="X1147" s="7" t="n"/>
      <c r="Y1147" s="7" t="n"/>
      <c r="AB1147">
        <f>IF($E1147="","",IF($AQ1147=1,0,IF($AP1147=1,Settings!$C$6,Settings!$C$7))*100)</f>
        <v/>
      </c>
      <c r="AC1147" s="7">
        <f>IF($E1147="","",Y1147*AB1147/100)</f>
        <v/>
      </c>
      <c r="AD1147" s="7">
        <f>IF($E1147="","",Y1147-AC1147)</f>
        <v/>
      </c>
      <c r="AE1147" s="7">
        <f>IF($E1147="","",AD1147-Q1147)</f>
        <v/>
      </c>
      <c r="AI1147" s="7" t="n"/>
      <c r="AL1147" s="11" t="n"/>
      <c r="AN1147">
        <f>IF($E1147="","",IF(COUNTIF($E$2:$E1147,$E1147)=1,1,0))</f>
        <v/>
      </c>
      <c r="AO1147">
        <f>IF($AN1147=1,SUMPRODUCT(--($AR$2:$AR$4001&lt;$AR1147))+1,"")</f>
        <v/>
      </c>
      <c r="AP1147">
        <f>IF($E1147="","",IF(OR($U1147=TRUE(),$U1147="TRUE"),1,0))</f>
        <v/>
      </c>
      <c r="AQ1147">
        <f>IF($E1147="","",IF($AA1147="Yes",1,0))</f>
        <v/>
      </c>
      <c r="AR1147">
        <f>IF($AN1147=1,IFERROR(VALUE(MID($E1147,2,20)),1000000000)+ROW()/100000,"")</f>
        <v/>
      </c>
    </row>
    <row r="1148">
      <c r="G1148" s="11" t="n"/>
      <c r="Q1148" s="7">
        <f>IF($E1148="","",P1148*Y1148/100)</f>
        <v/>
      </c>
      <c r="R1148" s="7" t="n"/>
      <c r="X1148" s="7" t="n"/>
      <c r="Y1148" s="7" t="n"/>
      <c r="AB1148">
        <f>IF($E1148="","",IF($AQ1148=1,0,IF($AP1148=1,Settings!$C$6,Settings!$C$7))*100)</f>
        <v/>
      </c>
      <c r="AC1148" s="7">
        <f>IF($E1148="","",Y1148*AB1148/100)</f>
        <v/>
      </c>
      <c r="AD1148" s="7">
        <f>IF($E1148="","",Y1148-AC1148)</f>
        <v/>
      </c>
      <c r="AE1148" s="7">
        <f>IF($E1148="","",AD1148-Q1148)</f>
        <v/>
      </c>
      <c r="AI1148" s="7" t="n"/>
      <c r="AL1148" s="11" t="n"/>
      <c r="AN1148">
        <f>IF($E1148="","",IF(COUNTIF($E$2:$E1148,$E1148)=1,1,0))</f>
        <v/>
      </c>
      <c r="AO1148">
        <f>IF($AN1148=1,SUMPRODUCT(--($AR$2:$AR$4001&lt;$AR1148))+1,"")</f>
        <v/>
      </c>
      <c r="AP1148">
        <f>IF($E1148="","",IF(OR($U1148=TRUE(),$U1148="TRUE"),1,0))</f>
        <v/>
      </c>
      <c r="AQ1148">
        <f>IF($E1148="","",IF($AA1148="Yes",1,0))</f>
        <v/>
      </c>
      <c r="AR1148">
        <f>IF($AN1148=1,IFERROR(VALUE(MID($E1148,2,20)),1000000000)+ROW()/100000,"")</f>
        <v/>
      </c>
    </row>
    <row r="1149">
      <c r="G1149" s="11" t="n"/>
      <c r="Q1149" s="7">
        <f>IF($E1149="","",P1149*Y1149/100)</f>
        <v/>
      </c>
      <c r="R1149" s="7" t="n"/>
      <c r="X1149" s="7" t="n"/>
      <c r="Y1149" s="7" t="n"/>
      <c r="AB1149">
        <f>IF($E1149="","",IF($AQ1149=1,0,IF($AP1149=1,Settings!$C$6,Settings!$C$7))*100)</f>
        <v/>
      </c>
      <c r="AC1149" s="7">
        <f>IF($E1149="","",Y1149*AB1149/100)</f>
        <v/>
      </c>
      <c r="AD1149" s="7">
        <f>IF($E1149="","",Y1149-AC1149)</f>
        <v/>
      </c>
      <c r="AE1149" s="7">
        <f>IF($E1149="","",AD1149-Q1149)</f>
        <v/>
      </c>
      <c r="AI1149" s="7" t="n"/>
      <c r="AL1149" s="11" t="n"/>
      <c r="AN1149">
        <f>IF($E1149="","",IF(COUNTIF($E$2:$E1149,$E1149)=1,1,0))</f>
        <v/>
      </c>
      <c r="AO1149">
        <f>IF($AN1149=1,SUMPRODUCT(--($AR$2:$AR$4001&lt;$AR1149))+1,"")</f>
        <v/>
      </c>
      <c r="AP1149">
        <f>IF($E1149="","",IF(OR($U1149=TRUE(),$U1149="TRUE"),1,0))</f>
        <v/>
      </c>
      <c r="AQ1149">
        <f>IF($E1149="","",IF($AA1149="Yes",1,0))</f>
        <v/>
      </c>
      <c r="AR1149">
        <f>IF($AN1149=1,IFERROR(VALUE(MID($E1149,2,20)),1000000000)+ROW()/100000,"")</f>
        <v/>
      </c>
    </row>
    <row r="1150">
      <c r="G1150" s="11" t="n"/>
      <c r="Q1150" s="7">
        <f>IF($E1150="","",P1150*Y1150/100)</f>
        <v/>
      </c>
      <c r="R1150" s="7" t="n"/>
      <c r="X1150" s="7" t="n"/>
      <c r="Y1150" s="7" t="n"/>
      <c r="AB1150">
        <f>IF($E1150="","",IF($AQ1150=1,0,IF($AP1150=1,Settings!$C$6,Settings!$C$7))*100)</f>
        <v/>
      </c>
      <c r="AC1150" s="7">
        <f>IF($E1150="","",Y1150*AB1150/100)</f>
        <v/>
      </c>
      <c r="AD1150" s="7">
        <f>IF($E1150="","",Y1150-AC1150)</f>
        <v/>
      </c>
      <c r="AE1150" s="7">
        <f>IF($E1150="","",AD1150-Q1150)</f>
        <v/>
      </c>
      <c r="AI1150" s="7" t="n"/>
      <c r="AL1150" s="11" t="n"/>
      <c r="AN1150">
        <f>IF($E1150="","",IF(COUNTIF($E$2:$E1150,$E1150)=1,1,0))</f>
        <v/>
      </c>
      <c r="AO1150">
        <f>IF($AN1150=1,SUMPRODUCT(--($AR$2:$AR$4001&lt;$AR1150))+1,"")</f>
        <v/>
      </c>
      <c r="AP1150">
        <f>IF($E1150="","",IF(OR($U1150=TRUE(),$U1150="TRUE"),1,0))</f>
        <v/>
      </c>
      <c r="AQ1150">
        <f>IF($E1150="","",IF($AA1150="Yes",1,0))</f>
        <v/>
      </c>
      <c r="AR1150">
        <f>IF($AN1150=1,IFERROR(VALUE(MID($E1150,2,20)),1000000000)+ROW()/100000,"")</f>
        <v/>
      </c>
    </row>
    <row r="1151">
      <c r="G1151" s="11" t="n"/>
      <c r="Q1151" s="7">
        <f>IF($E1151="","",P1151*Y1151/100)</f>
        <v/>
      </c>
      <c r="R1151" s="7" t="n"/>
      <c r="X1151" s="7" t="n"/>
      <c r="Y1151" s="7" t="n"/>
      <c r="AB1151">
        <f>IF($E1151="","",IF($AQ1151=1,0,IF($AP1151=1,Settings!$C$6,Settings!$C$7))*100)</f>
        <v/>
      </c>
      <c r="AC1151" s="7">
        <f>IF($E1151="","",Y1151*AB1151/100)</f>
        <v/>
      </c>
      <c r="AD1151" s="7">
        <f>IF($E1151="","",Y1151-AC1151)</f>
        <v/>
      </c>
      <c r="AE1151" s="7">
        <f>IF($E1151="","",AD1151-Q1151)</f>
        <v/>
      </c>
      <c r="AI1151" s="7" t="n"/>
      <c r="AL1151" s="11" t="n"/>
      <c r="AN1151">
        <f>IF($E1151="","",IF(COUNTIF($E$2:$E1151,$E1151)=1,1,0))</f>
        <v/>
      </c>
      <c r="AO1151">
        <f>IF($AN1151=1,SUMPRODUCT(--($AR$2:$AR$4001&lt;$AR1151))+1,"")</f>
        <v/>
      </c>
      <c r="AP1151">
        <f>IF($E1151="","",IF(OR($U1151=TRUE(),$U1151="TRUE"),1,0))</f>
        <v/>
      </c>
      <c r="AQ1151">
        <f>IF($E1151="","",IF($AA1151="Yes",1,0))</f>
        <v/>
      </c>
      <c r="AR1151">
        <f>IF($AN1151=1,IFERROR(VALUE(MID($E1151,2,20)),1000000000)+ROW()/100000,"")</f>
        <v/>
      </c>
    </row>
    <row r="1152">
      <c r="G1152" s="11" t="n"/>
      <c r="Q1152" s="7">
        <f>IF($E1152="","",P1152*Y1152/100)</f>
        <v/>
      </c>
      <c r="R1152" s="7" t="n"/>
      <c r="X1152" s="7" t="n"/>
      <c r="Y1152" s="7" t="n"/>
      <c r="AB1152">
        <f>IF($E1152="","",IF($AQ1152=1,0,IF($AP1152=1,Settings!$C$6,Settings!$C$7))*100)</f>
        <v/>
      </c>
      <c r="AC1152" s="7">
        <f>IF($E1152="","",Y1152*AB1152/100)</f>
        <v/>
      </c>
      <c r="AD1152" s="7">
        <f>IF($E1152="","",Y1152-AC1152)</f>
        <v/>
      </c>
      <c r="AE1152" s="7">
        <f>IF($E1152="","",AD1152-Q1152)</f>
        <v/>
      </c>
      <c r="AI1152" s="7" t="n"/>
      <c r="AL1152" s="11" t="n"/>
      <c r="AN1152">
        <f>IF($E1152="","",IF(COUNTIF($E$2:$E1152,$E1152)=1,1,0))</f>
        <v/>
      </c>
      <c r="AO1152">
        <f>IF($AN1152=1,SUMPRODUCT(--($AR$2:$AR$4001&lt;$AR1152))+1,"")</f>
        <v/>
      </c>
      <c r="AP1152">
        <f>IF($E1152="","",IF(OR($U1152=TRUE(),$U1152="TRUE"),1,0))</f>
        <v/>
      </c>
      <c r="AQ1152">
        <f>IF($E1152="","",IF($AA1152="Yes",1,0))</f>
        <v/>
      </c>
      <c r="AR1152">
        <f>IF($AN1152=1,IFERROR(VALUE(MID($E1152,2,20)),1000000000)+ROW()/100000,"")</f>
        <v/>
      </c>
    </row>
    <row r="1153">
      <c r="G1153" s="11" t="n"/>
      <c r="Q1153" s="7">
        <f>IF($E1153="","",P1153*Y1153/100)</f>
        <v/>
      </c>
      <c r="R1153" s="7" t="n"/>
      <c r="X1153" s="7" t="n"/>
      <c r="Y1153" s="7" t="n"/>
      <c r="AB1153">
        <f>IF($E1153="","",IF($AQ1153=1,0,IF($AP1153=1,Settings!$C$6,Settings!$C$7))*100)</f>
        <v/>
      </c>
      <c r="AC1153" s="7">
        <f>IF($E1153="","",Y1153*AB1153/100)</f>
        <v/>
      </c>
      <c r="AD1153" s="7">
        <f>IF($E1153="","",Y1153-AC1153)</f>
        <v/>
      </c>
      <c r="AE1153" s="7">
        <f>IF($E1153="","",AD1153-Q1153)</f>
        <v/>
      </c>
      <c r="AI1153" s="7" t="n"/>
      <c r="AL1153" s="11" t="n"/>
      <c r="AN1153">
        <f>IF($E1153="","",IF(COUNTIF($E$2:$E1153,$E1153)=1,1,0))</f>
        <v/>
      </c>
      <c r="AO1153">
        <f>IF($AN1153=1,SUMPRODUCT(--($AR$2:$AR$4001&lt;$AR1153))+1,"")</f>
        <v/>
      </c>
      <c r="AP1153">
        <f>IF($E1153="","",IF(OR($U1153=TRUE(),$U1153="TRUE"),1,0))</f>
        <v/>
      </c>
      <c r="AQ1153">
        <f>IF($E1153="","",IF($AA1153="Yes",1,0))</f>
        <v/>
      </c>
      <c r="AR1153">
        <f>IF($AN1153=1,IFERROR(VALUE(MID($E1153,2,20)),1000000000)+ROW()/100000,"")</f>
        <v/>
      </c>
    </row>
    <row r="1154">
      <c r="G1154" s="11" t="n"/>
      <c r="Q1154" s="7">
        <f>IF($E1154="","",P1154*Y1154/100)</f>
        <v/>
      </c>
      <c r="R1154" s="7" t="n"/>
      <c r="X1154" s="7" t="n"/>
      <c r="Y1154" s="7" t="n"/>
      <c r="AB1154">
        <f>IF($E1154="","",IF($AQ1154=1,0,IF($AP1154=1,Settings!$C$6,Settings!$C$7))*100)</f>
        <v/>
      </c>
      <c r="AC1154" s="7">
        <f>IF($E1154="","",Y1154*AB1154/100)</f>
        <v/>
      </c>
      <c r="AD1154" s="7">
        <f>IF($E1154="","",Y1154-AC1154)</f>
        <v/>
      </c>
      <c r="AE1154" s="7">
        <f>IF($E1154="","",AD1154-Q1154)</f>
        <v/>
      </c>
      <c r="AI1154" s="7" t="n"/>
      <c r="AL1154" s="11" t="n"/>
      <c r="AN1154">
        <f>IF($E1154="","",IF(COUNTIF($E$2:$E1154,$E1154)=1,1,0))</f>
        <v/>
      </c>
      <c r="AO1154">
        <f>IF($AN1154=1,SUMPRODUCT(--($AR$2:$AR$4001&lt;$AR1154))+1,"")</f>
        <v/>
      </c>
      <c r="AP1154">
        <f>IF($E1154="","",IF(OR($U1154=TRUE(),$U1154="TRUE"),1,0))</f>
        <v/>
      </c>
      <c r="AQ1154">
        <f>IF($E1154="","",IF($AA1154="Yes",1,0))</f>
        <v/>
      </c>
      <c r="AR1154">
        <f>IF($AN1154=1,IFERROR(VALUE(MID($E1154,2,20)),1000000000)+ROW()/100000,"")</f>
        <v/>
      </c>
    </row>
    <row r="1155">
      <c r="G1155" s="11" t="n"/>
      <c r="Q1155" s="7">
        <f>IF($E1155="","",P1155*Y1155/100)</f>
        <v/>
      </c>
      <c r="R1155" s="7" t="n"/>
      <c r="X1155" s="7" t="n"/>
      <c r="Y1155" s="7" t="n"/>
      <c r="AB1155">
        <f>IF($E1155="","",IF($AQ1155=1,0,IF($AP1155=1,Settings!$C$6,Settings!$C$7))*100)</f>
        <v/>
      </c>
      <c r="AC1155" s="7">
        <f>IF($E1155="","",Y1155*AB1155/100)</f>
        <v/>
      </c>
      <c r="AD1155" s="7">
        <f>IF($E1155="","",Y1155-AC1155)</f>
        <v/>
      </c>
      <c r="AE1155" s="7">
        <f>IF($E1155="","",AD1155-Q1155)</f>
        <v/>
      </c>
      <c r="AI1155" s="7" t="n"/>
      <c r="AL1155" s="11" t="n"/>
      <c r="AN1155">
        <f>IF($E1155="","",IF(COUNTIF($E$2:$E1155,$E1155)=1,1,0))</f>
        <v/>
      </c>
      <c r="AO1155">
        <f>IF($AN1155=1,SUMPRODUCT(--($AR$2:$AR$4001&lt;$AR1155))+1,"")</f>
        <v/>
      </c>
      <c r="AP1155">
        <f>IF($E1155="","",IF(OR($U1155=TRUE(),$U1155="TRUE"),1,0))</f>
        <v/>
      </c>
      <c r="AQ1155">
        <f>IF($E1155="","",IF($AA1155="Yes",1,0))</f>
        <v/>
      </c>
      <c r="AR1155">
        <f>IF($AN1155=1,IFERROR(VALUE(MID($E1155,2,20)),1000000000)+ROW()/100000,"")</f>
        <v/>
      </c>
    </row>
    <row r="1156">
      <c r="G1156" s="11" t="n"/>
      <c r="Q1156" s="7">
        <f>IF($E1156="","",P1156*Y1156/100)</f>
        <v/>
      </c>
      <c r="R1156" s="7" t="n"/>
      <c r="X1156" s="7" t="n"/>
      <c r="Y1156" s="7" t="n"/>
      <c r="AB1156">
        <f>IF($E1156="","",IF($AQ1156=1,0,IF($AP1156=1,Settings!$C$6,Settings!$C$7))*100)</f>
        <v/>
      </c>
      <c r="AC1156" s="7">
        <f>IF($E1156="","",Y1156*AB1156/100)</f>
        <v/>
      </c>
      <c r="AD1156" s="7">
        <f>IF($E1156="","",Y1156-AC1156)</f>
        <v/>
      </c>
      <c r="AE1156" s="7">
        <f>IF($E1156="","",AD1156-Q1156)</f>
        <v/>
      </c>
      <c r="AI1156" s="7" t="n"/>
      <c r="AL1156" s="11" t="n"/>
      <c r="AN1156">
        <f>IF($E1156="","",IF(COUNTIF($E$2:$E1156,$E1156)=1,1,0))</f>
        <v/>
      </c>
      <c r="AO1156">
        <f>IF($AN1156=1,SUMPRODUCT(--($AR$2:$AR$4001&lt;$AR1156))+1,"")</f>
        <v/>
      </c>
      <c r="AP1156">
        <f>IF($E1156="","",IF(OR($U1156=TRUE(),$U1156="TRUE"),1,0))</f>
        <v/>
      </c>
      <c r="AQ1156">
        <f>IF($E1156="","",IF($AA1156="Yes",1,0))</f>
        <v/>
      </c>
      <c r="AR1156">
        <f>IF($AN1156=1,IFERROR(VALUE(MID($E1156,2,20)),1000000000)+ROW()/100000,"")</f>
        <v/>
      </c>
    </row>
    <row r="1157">
      <c r="G1157" s="11" t="n"/>
      <c r="Q1157" s="7">
        <f>IF($E1157="","",P1157*Y1157/100)</f>
        <v/>
      </c>
      <c r="R1157" s="7" t="n"/>
      <c r="X1157" s="7" t="n"/>
      <c r="Y1157" s="7" t="n"/>
      <c r="AB1157">
        <f>IF($E1157="","",IF($AQ1157=1,0,IF($AP1157=1,Settings!$C$6,Settings!$C$7))*100)</f>
        <v/>
      </c>
      <c r="AC1157" s="7">
        <f>IF($E1157="","",Y1157*AB1157/100)</f>
        <v/>
      </c>
      <c r="AD1157" s="7">
        <f>IF($E1157="","",Y1157-AC1157)</f>
        <v/>
      </c>
      <c r="AE1157" s="7">
        <f>IF($E1157="","",AD1157-Q1157)</f>
        <v/>
      </c>
      <c r="AI1157" s="7" t="n"/>
      <c r="AL1157" s="11" t="n"/>
      <c r="AN1157">
        <f>IF($E1157="","",IF(COUNTIF($E$2:$E1157,$E1157)=1,1,0))</f>
        <v/>
      </c>
      <c r="AO1157">
        <f>IF($AN1157=1,SUMPRODUCT(--($AR$2:$AR$4001&lt;$AR1157))+1,"")</f>
        <v/>
      </c>
      <c r="AP1157">
        <f>IF($E1157="","",IF(OR($U1157=TRUE(),$U1157="TRUE"),1,0))</f>
        <v/>
      </c>
      <c r="AQ1157">
        <f>IF($E1157="","",IF($AA1157="Yes",1,0))</f>
        <v/>
      </c>
      <c r="AR1157">
        <f>IF($AN1157=1,IFERROR(VALUE(MID($E1157,2,20)),1000000000)+ROW()/100000,"")</f>
        <v/>
      </c>
    </row>
    <row r="1158">
      <c r="G1158" s="11" t="n"/>
      <c r="Q1158" s="7">
        <f>IF($E1158="","",P1158*Y1158/100)</f>
        <v/>
      </c>
      <c r="R1158" s="7" t="n"/>
      <c r="X1158" s="7" t="n"/>
      <c r="Y1158" s="7" t="n"/>
      <c r="AB1158">
        <f>IF($E1158="","",IF($AQ1158=1,0,IF($AP1158=1,Settings!$C$6,Settings!$C$7))*100)</f>
        <v/>
      </c>
      <c r="AC1158" s="7">
        <f>IF($E1158="","",Y1158*AB1158/100)</f>
        <v/>
      </c>
      <c r="AD1158" s="7">
        <f>IF($E1158="","",Y1158-AC1158)</f>
        <v/>
      </c>
      <c r="AE1158" s="7">
        <f>IF($E1158="","",AD1158-Q1158)</f>
        <v/>
      </c>
      <c r="AI1158" s="7" t="n"/>
      <c r="AL1158" s="11" t="n"/>
      <c r="AN1158">
        <f>IF($E1158="","",IF(COUNTIF($E$2:$E1158,$E1158)=1,1,0))</f>
        <v/>
      </c>
      <c r="AO1158">
        <f>IF($AN1158=1,SUMPRODUCT(--($AR$2:$AR$4001&lt;$AR1158))+1,"")</f>
        <v/>
      </c>
      <c r="AP1158">
        <f>IF($E1158="","",IF(OR($U1158=TRUE(),$U1158="TRUE"),1,0))</f>
        <v/>
      </c>
      <c r="AQ1158">
        <f>IF($E1158="","",IF($AA1158="Yes",1,0))</f>
        <v/>
      </c>
      <c r="AR1158">
        <f>IF($AN1158=1,IFERROR(VALUE(MID($E1158,2,20)),1000000000)+ROW()/100000,"")</f>
        <v/>
      </c>
    </row>
    <row r="1159">
      <c r="G1159" s="11" t="n"/>
      <c r="Q1159" s="7">
        <f>IF($E1159="","",P1159*Y1159/100)</f>
        <v/>
      </c>
      <c r="R1159" s="7" t="n"/>
      <c r="X1159" s="7" t="n"/>
      <c r="Y1159" s="7" t="n"/>
      <c r="AB1159">
        <f>IF($E1159="","",IF($AQ1159=1,0,IF($AP1159=1,Settings!$C$6,Settings!$C$7))*100)</f>
        <v/>
      </c>
      <c r="AC1159" s="7">
        <f>IF($E1159="","",Y1159*AB1159/100)</f>
        <v/>
      </c>
      <c r="AD1159" s="7">
        <f>IF($E1159="","",Y1159-AC1159)</f>
        <v/>
      </c>
      <c r="AE1159" s="7">
        <f>IF($E1159="","",AD1159-Q1159)</f>
        <v/>
      </c>
      <c r="AI1159" s="7" t="n"/>
      <c r="AL1159" s="11" t="n"/>
      <c r="AN1159">
        <f>IF($E1159="","",IF(COUNTIF($E$2:$E1159,$E1159)=1,1,0))</f>
        <v/>
      </c>
      <c r="AO1159">
        <f>IF($AN1159=1,SUMPRODUCT(--($AR$2:$AR$4001&lt;$AR1159))+1,"")</f>
        <v/>
      </c>
      <c r="AP1159">
        <f>IF($E1159="","",IF(OR($U1159=TRUE(),$U1159="TRUE"),1,0))</f>
        <v/>
      </c>
      <c r="AQ1159">
        <f>IF($E1159="","",IF($AA1159="Yes",1,0))</f>
        <v/>
      </c>
      <c r="AR1159">
        <f>IF($AN1159=1,IFERROR(VALUE(MID($E1159,2,20)),1000000000)+ROW()/100000,"")</f>
        <v/>
      </c>
    </row>
    <row r="1160">
      <c r="G1160" s="11" t="n"/>
      <c r="Q1160" s="7">
        <f>IF($E1160="","",P1160*Y1160/100)</f>
        <v/>
      </c>
      <c r="R1160" s="7" t="n"/>
      <c r="X1160" s="7" t="n"/>
      <c r="Y1160" s="7" t="n"/>
      <c r="AB1160">
        <f>IF($E1160="","",IF($AQ1160=1,0,IF($AP1160=1,Settings!$C$6,Settings!$C$7))*100)</f>
        <v/>
      </c>
      <c r="AC1160" s="7">
        <f>IF($E1160="","",Y1160*AB1160/100)</f>
        <v/>
      </c>
      <c r="AD1160" s="7">
        <f>IF($E1160="","",Y1160-AC1160)</f>
        <v/>
      </c>
      <c r="AE1160" s="7">
        <f>IF($E1160="","",AD1160-Q1160)</f>
        <v/>
      </c>
      <c r="AI1160" s="7" t="n"/>
      <c r="AL1160" s="11" t="n"/>
      <c r="AN1160">
        <f>IF($E1160="","",IF(COUNTIF($E$2:$E1160,$E1160)=1,1,0))</f>
        <v/>
      </c>
      <c r="AO1160">
        <f>IF($AN1160=1,SUMPRODUCT(--($AR$2:$AR$4001&lt;$AR1160))+1,"")</f>
        <v/>
      </c>
      <c r="AP1160">
        <f>IF($E1160="","",IF(OR($U1160=TRUE(),$U1160="TRUE"),1,0))</f>
        <v/>
      </c>
      <c r="AQ1160">
        <f>IF($E1160="","",IF($AA1160="Yes",1,0))</f>
        <v/>
      </c>
      <c r="AR1160">
        <f>IF($AN1160=1,IFERROR(VALUE(MID($E1160,2,20)),1000000000)+ROW()/100000,"")</f>
        <v/>
      </c>
    </row>
    <row r="1161">
      <c r="G1161" s="11" t="n"/>
      <c r="Q1161" s="7">
        <f>IF($E1161="","",P1161*Y1161/100)</f>
        <v/>
      </c>
      <c r="R1161" s="7" t="n"/>
      <c r="X1161" s="7" t="n"/>
      <c r="Y1161" s="7" t="n"/>
      <c r="AB1161">
        <f>IF($E1161="","",IF($AQ1161=1,0,IF($AP1161=1,Settings!$C$6,Settings!$C$7))*100)</f>
        <v/>
      </c>
      <c r="AC1161" s="7">
        <f>IF($E1161="","",Y1161*AB1161/100)</f>
        <v/>
      </c>
      <c r="AD1161" s="7">
        <f>IF($E1161="","",Y1161-AC1161)</f>
        <v/>
      </c>
      <c r="AE1161" s="7">
        <f>IF($E1161="","",AD1161-Q1161)</f>
        <v/>
      </c>
      <c r="AI1161" s="7" t="n"/>
      <c r="AL1161" s="11" t="n"/>
      <c r="AN1161">
        <f>IF($E1161="","",IF(COUNTIF($E$2:$E1161,$E1161)=1,1,0))</f>
        <v/>
      </c>
      <c r="AO1161">
        <f>IF($AN1161=1,SUMPRODUCT(--($AR$2:$AR$4001&lt;$AR1161))+1,"")</f>
        <v/>
      </c>
      <c r="AP1161">
        <f>IF($E1161="","",IF(OR($U1161=TRUE(),$U1161="TRUE"),1,0))</f>
        <v/>
      </c>
      <c r="AQ1161">
        <f>IF($E1161="","",IF($AA1161="Yes",1,0))</f>
        <v/>
      </c>
      <c r="AR1161">
        <f>IF($AN1161=1,IFERROR(VALUE(MID($E1161,2,20)),1000000000)+ROW()/100000,"")</f>
        <v/>
      </c>
    </row>
    <row r="1162">
      <c r="G1162" s="11" t="n"/>
      <c r="Q1162" s="7">
        <f>IF($E1162="","",P1162*Y1162/100)</f>
        <v/>
      </c>
      <c r="R1162" s="7" t="n"/>
      <c r="X1162" s="7" t="n"/>
      <c r="Y1162" s="7" t="n"/>
      <c r="AB1162">
        <f>IF($E1162="","",IF($AQ1162=1,0,IF($AP1162=1,Settings!$C$6,Settings!$C$7))*100)</f>
        <v/>
      </c>
      <c r="AC1162" s="7">
        <f>IF($E1162="","",Y1162*AB1162/100)</f>
        <v/>
      </c>
      <c r="AD1162" s="7">
        <f>IF($E1162="","",Y1162-AC1162)</f>
        <v/>
      </c>
      <c r="AE1162" s="7">
        <f>IF($E1162="","",AD1162-Q1162)</f>
        <v/>
      </c>
      <c r="AI1162" s="7" t="n"/>
      <c r="AL1162" s="11" t="n"/>
      <c r="AN1162">
        <f>IF($E1162="","",IF(COUNTIF($E$2:$E1162,$E1162)=1,1,0))</f>
        <v/>
      </c>
      <c r="AO1162">
        <f>IF($AN1162=1,SUMPRODUCT(--($AR$2:$AR$4001&lt;$AR1162))+1,"")</f>
        <v/>
      </c>
      <c r="AP1162">
        <f>IF($E1162="","",IF(OR($U1162=TRUE(),$U1162="TRUE"),1,0))</f>
        <v/>
      </c>
      <c r="AQ1162">
        <f>IF($E1162="","",IF($AA1162="Yes",1,0))</f>
        <v/>
      </c>
      <c r="AR1162">
        <f>IF($AN1162=1,IFERROR(VALUE(MID($E1162,2,20)),1000000000)+ROW()/100000,"")</f>
        <v/>
      </c>
    </row>
    <row r="1163">
      <c r="G1163" s="11" t="n"/>
      <c r="Q1163" s="7">
        <f>IF($E1163="","",P1163*Y1163/100)</f>
        <v/>
      </c>
      <c r="R1163" s="7" t="n"/>
      <c r="X1163" s="7" t="n"/>
      <c r="Y1163" s="7" t="n"/>
      <c r="AB1163">
        <f>IF($E1163="","",IF($AQ1163=1,0,IF($AP1163=1,Settings!$C$6,Settings!$C$7))*100)</f>
        <v/>
      </c>
      <c r="AC1163" s="7">
        <f>IF($E1163="","",Y1163*AB1163/100)</f>
        <v/>
      </c>
      <c r="AD1163" s="7">
        <f>IF($E1163="","",Y1163-AC1163)</f>
        <v/>
      </c>
      <c r="AE1163" s="7">
        <f>IF($E1163="","",AD1163-Q1163)</f>
        <v/>
      </c>
      <c r="AI1163" s="7" t="n"/>
      <c r="AL1163" s="11" t="n"/>
      <c r="AN1163">
        <f>IF($E1163="","",IF(COUNTIF($E$2:$E1163,$E1163)=1,1,0))</f>
        <v/>
      </c>
      <c r="AO1163">
        <f>IF($AN1163=1,SUMPRODUCT(--($AR$2:$AR$4001&lt;$AR1163))+1,"")</f>
        <v/>
      </c>
      <c r="AP1163">
        <f>IF($E1163="","",IF(OR($U1163=TRUE(),$U1163="TRUE"),1,0))</f>
        <v/>
      </c>
      <c r="AQ1163">
        <f>IF($E1163="","",IF($AA1163="Yes",1,0))</f>
        <v/>
      </c>
      <c r="AR1163">
        <f>IF($AN1163=1,IFERROR(VALUE(MID($E1163,2,20)),1000000000)+ROW()/100000,"")</f>
        <v/>
      </c>
    </row>
    <row r="1164">
      <c r="G1164" s="11" t="n"/>
      <c r="Q1164" s="7">
        <f>IF($E1164="","",P1164*Y1164/100)</f>
        <v/>
      </c>
      <c r="R1164" s="7" t="n"/>
      <c r="X1164" s="7" t="n"/>
      <c r="Y1164" s="7" t="n"/>
      <c r="AB1164">
        <f>IF($E1164="","",IF($AQ1164=1,0,IF($AP1164=1,Settings!$C$6,Settings!$C$7))*100)</f>
        <v/>
      </c>
      <c r="AC1164" s="7">
        <f>IF($E1164="","",Y1164*AB1164/100)</f>
        <v/>
      </c>
      <c r="AD1164" s="7">
        <f>IF($E1164="","",Y1164-AC1164)</f>
        <v/>
      </c>
      <c r="AE1164" s="7">
        <f>IF($E1164="","",AD1164-Q1164)</f>
        <v/>
      </c>
      <c r="AI1164" s="7" t="n"/>
      <c r="AL1164" s="11" t="n"/>
      <c r="AN1164">
        <f>IF($E1164="","",IF(COUNTIF($E$2:$E1164,$E1164)=1,1,0))</f>
        <v/>
      </c>
      <c r="AO1164">
        <f>IF($AN1164=1,SUMPRODUCT(--($AR$2:$AR$4001&lt;$AR1164))+1,"")</f>
        <v/>
      </c>
      <c r="AP1164">
        <f>IF($E1164="","",IF(OR($U1164=TRUE(),$U1164="TRUE"),1,0))</f>
        <v/>
      </c>
      <c r="AQ1164">
        <f>IF($E1164="","",IF($AA1164="Yes",1,0))</f>
        <v/>
      </c>
      <c r="AR1164">
        <f>IF($AN1164=1,IFERROR(VALUE(MID($E1164,2,20)),1000000000)+ROW()/100000,"")</f>
        <v/>
      </c>
    </row>
    <row r="1165">
      <c r="G1165" s="11" t="n"/>
      <c r="Q1165" s="7">
        <f>IF($E1165="","",P1165*Y1165/100)</f>
        <v/>
      </c>
      <c r="R1165" s="7" t="n"/>
      <c r="X1165" s="7" t="n"/>
      <c r="Y1165" s="7" t="n"/>
      <c r="AB1165">
        <f>IF($E1165="","",IF($AQ1165=1,0,IF($AP1165=1,Settings!$C$6,Settings!$C$7))*100)</f>
        <v/>
      </c>
      <c r="AC1165" s="7">
        <f>IF($E1165="","",Y1165*AB1165/100)</f>
        <v/>
      </c>
      <c r="AD1165" s="7">
        <f>IF($E1165="","",Y1165-AC1165)</f>
        <v/>
      </c>
      <c r="AE1165" s="7">
        <f>IF($E1165="","",AD1165-Q1165)</f>
        <v/>
      </c>
      <c r="AI1165" s="7" t="n"/>
      <c r="AL1165" s="11" t="n"/>
      <c r="AN1165">
        <f>IF($E1165="","",IF(COUNTIF($E$2:$E1165,$E1165)=1,1,0))</f>
        <v/>
      </c>
      <c r="AO1165">
        <f>IF($AN1165=1,SUMPRODUCT(--($AR$2:$AR$4001&lt;$AR1165))+1,"")</f>
        <v/>
      </c>
      <c r="AP1165">
        <f>IF($E1165="","",IF(OR($U1165=TRUE(),$U1165="TRUE"),1,0))</f>
        <v/>
      </c>
      <c r="AQ1165">
        <f>IF($E1165="","",IF($AA1165="Yes",1,0))</f>
        <v/>
      </c>
      <c r="AR1165">
        <f>IF($AN1165=1,IFERROR(VALUE(MID($E1165,2,20)),1000000000)+ROW()/100000,"")</f>
        <v/>
      </c>
    </row>
    <row r="1166">
      <c r="G1166" s="11" t="n"/>
      <c r="Q1166" s="7">
        <f>IF($E1166="","",P1166*Y1166/100)</f>
        <v/>
      </c>
      <c r="R1166" s="7" t="n"/>
      <c r="X1166" s="7" t="n"/>
      <c r="Y1166" s="7" t="n"/>
      <c r="AB1166">
        <f>IF($E1166="","",IF($AQ1166=1,0,IF($AP1166=1,Settings!$C$6,Settings!$C$7))*100)</f>
        <v/>
      </c>
      <c r="AC1166" s="7">
        <f>IF($E1166="","",Y1166*AB1166/100)</f>
        <v/>
      </c>
      <c r="AD1166" s="7">
        <f>IF($E1166="","",Y1166-AC1166)</f>
        <v/>
      </c>
      <c r="AE1166" s="7">
        <f>IF($E1166="","",AD1166-Q1166)</f>
        <v/>
      </c>
      <c r="AI1166" s="7" t="n"/>
      <c r="AL1166" s="11" t="n"/>
      <c r="AN1166">
        <f>IF($E1166="","",IF(COUNTIF($E$2:$E1166,$E1166)=1,1,0))</f>
        <v/>
      </c>
      <c r="AO1166">
        <f>IF($AN1166=1,SUMPRODUCT(--($AR$2:$AR$4001&lt;$AR1166))+1,"")</f>
        <v/>
      </c>
      <c r="AP1166">
        <f>IF($E1166="","",IF(OR($U1166=TRUE(),$U1166="TRUE"),1,0))</f>
        <v/>
      </c>
      <c r="AQ1166">
        <f>IF($E1166="","",IF($AA1166="Yes",1,0))</f>
        <v/>
      </c>
      <c r="AR1166">
        <f>IF($AN1166=1,IFERROR(VALUE(MID($E1166,2,20)),1000000000)+ROW()/100000,"")</f>
        <v/>
      </c>
    </row>
    <row r="1167">
      <c r="G1167" s="11" t="n"/>
      <c r="Q1167" s="7">
        <f>IF($E1167="","",P1167*Y1167/100)</f>
        <v/>
      </c>
      <c r="R1167" s="7" t="n"/>
      <c r="X1167" s="7" t="n"/>
      <c r="Y1167" s="7" t="n"/>
      <c r="AB1167">
        <f>IF($E1167="","",IF($AQ1167=1,0,IF($AP1167=1,Settings!$C$6,Settings!$C$7))*100)</f>
        <v/>
      </c>
      <c r="AC1167" s="7">
        <f>IF($E1167="","",Y1167*AB1167/100)</f>
        <v/>
      </c>
      <c r="AD1167" s="7">
        <f>IF($E1167="","",Y1167-AC1167)</f>
        <v/>
      </c>
      <c r="AE1167" s="7">
        <f>IF($E1167="","",AD1167-Q1167)</f>
        <v/>
      </c>
      <c r="AI1167" s="7" t="n"/>
      <c r="AL1167" s="11" t="n"/>
      <c r="AN1167">
        <f>IF($E1167="","",IF(COUNTIF($E$2:$E1167,$E1167)=1,1,0))</f>
        <v/>
      </c>
      <c r="AO1167">
        <f>IF($AN1167=1,SUMPRODUCT(--($AR$2:$AR$4001&lt;$AR1167))+1,"")</f>
        <v/>
      </c>
      <c r="AP1167">
        <f>IF($E1167="","",IF(OR($U1167=TRUE(),$U1167="TRUE"),1,0))</f>
        <v/>
      </c>
      <c r="AQ1167">
        <f>IF($E1167="","",IF($AA1167="Yes",1,0))</f>
        <v/>
      </c>
      <c r="AR1167">
        <f>IF($AN1167=1,IFERROR(VALUE(MID($E1167,2,20)),1000000000)+ROW()/100000,"")</f>
        <v/>
      </c>
    </row>
    <row r="1168">
      <c r="G1168" s="11" t="n"/>
      <c r="Q1168" s="7">
        <f>IF($E1168="","",P1168*Y1168/100)</f>
        <v/>
      </c>
      <c r="R1168" s="7" t="n"/>
      <c r="X1168" s="7" t="n"/>
      <c r="Y1168" s="7" t="n"/>
      <c r="AB1168">
        <f>IF($E1168="","",IF($AQ1168=1,0,IF($AP1168=1,Settings!$C$6,Settings!$C$7))*100)</f>
        <v/>
      </c>
      <c r="AC1168" s="7">
        <f>IF($E1168="","",Y1168*AB1168/100)</f>
        <v/>
      </c>
      <c r="AD1168" s="7">
        <f>IF($E1168="","",Y1168-AC1168)</f>
        <v/>
      </c>
      <c r="AE1168" s="7">
        <f>IF($E1168="","",AD1168-Q1168)</f>
        <v/>
      </c>
      <c r="AI1168" s="7" t="n"/>
      <c r="AL1168" s="11" t="n"/>
      <c r="AN1168">
        <f>IF($E1168="","",IF(COUNTIF($E$2:$E1168,$E1168)=1,1,0))</f>
        <v/>
      </c>
      <c r="AO1168">
        <f>IF($AN1168=1,SUMPRODUCT(--($AR$2:$AR$4001&lt;$AR1168))+1,"")</f>
        <v/>
      </c>
      <c r="AP1168">
        <f>IF($E1168="","",IF(OR($U1168=TRUE(),$U1168="TRUE"),1,0))</f>
        <v/>
      </c>
      <c r="AQ1168">
        <f>IF($E1168="","",IF($AA1168="Yes",1,0))</f>
        <v/>
      </c>
      <c r="AR1168">
        <f>IF($AN1168=1,IFERROR(VALUE(MID($E1168,2,20)),1000000000)+ROW()/100000,"")</f>
        <v/>
      </c>
    </row>
    <row r="1169">
      <c r="G1169" s="11" t="n"/>
      <c r="Q1169" s="7">
        <f>IF($E1169="","",P1169*Y1169/100)</f>
        <v/>
      </c>
      <c r="R1169" s="7" t="n"/>
      <c r="X1169" s="7" t="n"/>
      <c r="Y1169" s="7" t="n"/>
      <c r="AB1169">
        <f>IF($E1169="","",IF($AQ1169=1,0,IF($AP1169=1,Settings!$C$6,Settings!$C$7))*100)</f>
        <v/>
      </c>
      <c r="AC1169" s="7">
        <f>IF($E1169="","",Y1169*AB1169/100)</f>
        <v/>
      </c>
      <c r="AD1169" s="7">
        <f>IF($E1169="","",Y1169-AC1169)</f>
        <v/>
      </c>
      <c r="AE1169" s="7">
        <f>IF($E1169="","",AD1169-Q1169)</f>
        <v/>
      </c>
      <c r="AI1169" s="7" t="n"/>
      <c r="AL1169" s="11" t="n"/>
      <c r="AN1169">
        <f>IF($E1169="","",IF(COUNTIF($E$2:$E1169,$E1169)=1,1,0))</f>
        <v/>
      </c>
      <c r="AO1169">
        <f>IF($AN1169=1,SUMPRODUCT(--($AR$2:$AR$4001&lt;$AR1169))+1,"")</f>
        <v/>
      </c>
      <c r="AP1169">
        <f>IF($E1169="","",IF(OR($U1169=TRUE(),$U1169="TRUE"),1,0))</f>
        <v/>
      </c>
      <c r="AQ1169">
        <f>IF($E1169="","",IF($AA1169="Yes",1,0))</f>
        <v/>
      </c>
      <c r="AR1169">
        <f>IF($AN1169=1,IFERROR(VALUE(MID($E1169,2,20)),1000000000)+ROW()/100000,"")</f>
        <v/>
      </c>
    </row>
    <row r="1170">
      <c r="G1170" s="11" t="n"/>
      <c r="Q1170" s="7">
        <f>IF($E1170="","",P1170*Y1170/100)</f>
        <v/>
      </c>
      <c r="R1170" s="7" t="n"/>
      <c r="X1170" s="7" t="n"/>
      <c r="Y1170" s="7" t="n"/>
      <c r="AB1170">
        <f>IF($E1170="","",IF($AQ1170=1,0,IF($AP1170=1,Settings!$C$6,Settings!$C$7))*100)</f>
        <v/>
      </c>
      <c r="AC1170" s="7">
        <f>IF($E1170="","",Y1170*AB1170/100)</f>
        <v/>
      </c>
      <c r="AD1170" s="7">
        <f>IF($E1170="","",Y1170-AC1170)</f>
        <v/>
      </c>
      <c r="AE1170" s="7">
        <f>IF($E1170="","",AD1170-Q1170)</f>
        <v/>
      </c>
      <c r="AI1170" s="7" t="n"/>
      <c r="AL1170" s="11" t="n"/>
      <c r="AN1170">
        <f>IF($E1170="","",IF(COUNTIF($E$2:$E1170,$E1170)=1,1,0))</f>
        <v/>
      </c>
      <c r="AO1170">
        <f>IF($AN1170=1,SUMPRODUCT(--($AR$2:$AR$4001&lt;$AR1170))+1,"")</f>
        <v/>
      </c>
      <c r="AP1170">
        <f>IF($E1170="","",IF(OR($U1170=TRUE(),$U1170="TRUE"),1,0))</f>
        <v/>
      </c>
      <c r="AQ1170">
        <f>IF($E1170="","",IF($AA1170="Yes",1,0))</f>
        <v/>
      </c>
      <c r="AR1170">
        <f>IF($AN1170=1,IFERROR(VALUE(MID($E1170,2,20)),1000000000)+ROW()/100000,"")</f>
        <v/>
      </c>
    </row>
    <row r="1171">
      <c r="G1171" s="11" t="n"/>
      <c r="Q1171" s="7">
        <f>IF($E1171="","",P1171*Y1171/100)</f>
        <v/>
      </c>
      <c r="R1171" s="7" t="n"/>
      <c r="X1171" s="7" t="n"/>
      <c r="Y1171" s="7" t="n"/>
      <c r="AB1171">
        <f>IF($E1171="","",IF($AQ1171=1,0,IF($AP1171=1,Settings!$C$6,Settings!$C$7))*100)</f>
        <v/>
      </c>
      <c r="AC1171" s="7">
        <f>IF($E1171="","",Y1171*AB1171/100)</f>
        <v/>
      </c>
      <c r="AD1171" s="7">
        <f>IF($E1171="","",Y1171-AC1171)</f>
        <v/>
      </c>
      <c r="AE1171" s="7">
        <f>IF($E1171="","",AD1171-Q1171)</f>
        <v/>
      </c>
      <c r="AI1171" s="7" t="n"/>
      <c r="AL1171" s="11" t="n"/>
      <c r="AN1171">
        <f>IF($E1171="","",IF(COUNTIF($E$2:$E1171,$E1171)=1,1,0))</f>
        <v/>
      </c>
      <c r="AO1171">
        <f>IF($AN1171=1,SUMPRODUCT(--($AR$2:$AR$4001&lt;$AR1171))+1,"")</f>
        <v/>
      </c>
      <c r="AP1171">
        <f>IF($E1171="","",IF(OR($U1171=TRUE(),$U1171="TRUE"),1,0))</f>
        <v/>
      </c>
      <c r="AQ1171">
        <f>IF($E1171="","",IF($AA1171="Yes",1,0))</f>
        <v/>
      </c>
      <c r="AR1171">
        <f>IF($AN1171=1,IFERROR(VALUE(MID($E1171,2,20)),1000000000)+ROW()/100000,"")</f>
        <v/>
      </c>
    </row>
    <row r="1172">
      <c r="G1172" s="11" t="n"/>
      <c r="Q1172" s="7">
        <f>IF($E1172="","",P1172*Y1172/100)</f>
        <v/>
      </c>
      <c r="R1172" s="7" t="n"/>
      <c r="X1172" s="7" t="n"/>
      <c r="Y1172" s="7" t="n"/>
      <c r="AB1172">
        <f>IF($E1172="","",IF($AQ1172=1,0,IF($AP1172=1,Settings!$C$6,Settings!$C$7))*100)</f>
        <v/>
      </c>
      <c r="AC1172" s="7">
        <f>IF($E1172="","",Y1172*AB1172/100)</f>
        <v/>
      </c>
      <c r="AD1172" s="7">
        <f>IF($E1172="","",Y1172-AC1172)</f>
        <v/>
      </c>
      <c r="AE1172" s="7">
        <f>IF($E1172="","",AD1172-Q1172)</f>
        <v/>
      </c>
      <c r="AI1172" s="7" t="n"/>
      <c r="AL1172" s="11" t="n"/>
      <c r="AN1172">
        <f>IF($E1172="","",IF(COUNTIF($E$2:$E1172,$E1172)=1,1,0))</f>
        <v/>
      </c>
      <c r="AO1172">
        <f>IF($AN1172=1,SUMPRODUCT(--($AR$2:$AR$4001&lt;$AR1172))+1,"")</f>
        <v/>
      </c>
      <c r="AP1172">
        <f>IF($E1172="","",IF(OR($U1172=TRUE(),$U1172="TRUE"),1,0))</f>
        <v/>
      </c>
      <c r="AQ1172">
        <f>IF($E1172="","",IF($AA1172="Yes",1,0))</f>
        <v/>
      </c>
      <c r="AR1172">
        <f>IF($AN1172=1,IFERROR(VALUE(MID($E1172,2,20)),1000000000)+ROW()/100000,"")</f>
        <v/>
      </c>
    </row>
    <row r="1173">
      <c r="G1173" s="11" t="n"/>
      <c r="Q1173" s="7">
        <f>IF($E1173="","",P1173*Y1173/100)</f>
        <v/>
      </c>
      <c r="R1173" s="7" t="n"/>
      <c r="X1173" s="7" t="n"/>
      <c r="Y1173" s="7" t="n"/>
      <c r="AB1173">
        <f>IF($E1173="","",IF($AQ1173=1,0,IF($AP1173=1,Settings!$C$6,Settings!$C$7))*100)</f>
        <v/>
      </c>
      <c r="AC1173" s="7">
        <f>IF($E1173="","",Y1173*AB1173/100)</f>
        <v/>
      </c>
      <c r="AD1173" s="7">
        <f>IF($E1173="","",Y1173-AC1173)</f>
        <v/>
      </c>
      <c r="AE1173" s="7">
        <f>IF($E1173="","",AD1173-Q1173)</f>
        <v/>
      </c>
      <c r="AI1173" s="7" t="n"/>
      <c r="AL1173" s="11" t="n"/>
      <c r="AN1173">
        <f>IF($E1173="","",IF(COUNTIF($E$2:$E1173,$E1173)=1,1,0))</f>
        <v/>
      </c>
      <c r="AO1173">
        <f>IF($AN1173=1,SUMPRODUCT(--($AR$2:$AR$4001&lt;$AR1173))+1,"")</f>
        <v/>
      </c>
      <c r="AP1173">
        <f>IF($E1173="","",IF(OR($U1173=TRUE(),$U1173="TRUE"),1,0))</f>
        <v/>
      </c>
      <c r="AQ1173">
        <f>IF($E1173="","",IF($AA1173="Yes",1,0))</f>
        <v/>
      </c>
      <c r="AR1173">
        <f>IF($AN1173=1,IFERROR(VALUE(MID($E1173,2,20)),1000000000)+ROW()/100000,"")</f>
        <v/>
      </c>
    </row>
    <row r="1174">
      <c r="G1174" s="11" t="n"/>
      <c r="Q1174" s="7">
        <f>IF($E1174="","",P1174*Y1174/100)</f>
        <v/>
      </c>
      <c r="R1174" s="7" t="n"/>
      <c r="X1174" s="7" t="n"/>
      <c r="Y1174" s="7" t="n"/>
      <c r="AB1174">
        <f>IF($E1174="","",IF($AQ1174=1,0,IF($AP1174=1,Settings!$C$6,Settings!$C$7))*100)</f>
        <v/>
      </c>
      <c r="AC1174" s="7">
        <f>IF($E1174="","",Y1174*AB1174/100)</f>
        <v/>
      </c>
      <c r="AD1174" s="7">
        <f>IF($E1174="","",Y1174-AC1174)</f>
        <v/>
      </c>
      <c r="AE1174" s="7">
        <f>IF($E1174="","",AD1174-Q1174)</f>
        <v/>
      </c>
      <c r="AI1174" s="7" t="n"/>
      <c r="AL1174" s="11" t="n"/>
      <c r="AN1174">
        <f>IF($E1174="","",IF(COUNTIF($E$2:$E1174,$E1174)=1,1,0))</f>
        <v/>
      </c>
      <c r="AO1174">
        <f>IF($AN1174=1,SUMPRODUCT(--($AR$2:$AR$4001&lt;$AR1174))+1,"")</f>
        <v/>
      </c>
      <c r="AP1174">
        <f>IF($E1174="","",IF(OR($U1174=TRUE(),$U1174="TRUE"),1,0))</f>
        <v/>
      </c>
      <c r="AQ1174">
        <f>IF($E1174="","",IF($AA1174="Yes",1,0))</f>
        <v/>
      </c>
      <c r="AR1174">
        <f>IF($AN1174=1,IFERROR(VALUE(MID($E1174,2,20)),1000000000)+ROW()/100000,"")</f>
        <v/>
      </c>
    </row>
    <row r="1175">
      <c r="G1175" s="11" t="n"/>
      <c r="Q1175" s="7">
        <f>IF($E1175="","",P1175*Y1175/100)</f>
        <v/>
      </c>
      <c r="R1175" s="7" t="n"/>
      <c r="X1175" s="7" t="n"/>
      <c r="Y1175" s="7" t="n"/>
      <c r="AB1175">
        <f>IF($E1175="","",IF($AQ1175=1,0,IF($AP1175=1,Settings!$C$6,Settings!$C$7))*100)</f>
        <v/>
      </c>
      <c r="AC1175" s="7">
        <f>IF($E1175="","",Y1175*AB1175/100)</f>
        <v/>
      </c>
      <c r="AD1175" s="7">
        <f>IF($E1175="","",Y1175-AC1175)</f>
        <v/>
      </c>
      <c r="AE1175" s="7">
        <f>IF($E1175="","",AD1175-Q1175)</f>
        <v/>
      </c>
      <c r="AI1175" s="7" t="n"/>
      <c r="AL1175" s="11" t="n"/>
      <c r="AN1175">
        <f>IF($E1175="","",IF(COUNTIF($E$2:$E1175,$E1175)=1,1,0))</f>
        <v/>
      </c>
      <c r="AO1175">
        <f>IF($AN1175=1,SUMPRODUCT(--($AR$2:$AR$4001&lt;$AR1175))+1,"")</f>
        <v/>
      </c>
      <c r="AP1175">
        <f>IF($E1175="","",IF(OR($U1175=TRUE(),$U1175="TRUE"),1,0))</f>
        <v/>
      </c>
      <c r="AQ1175">
        <f>IF($E1175="","",IF($AA1175="Yes",1,0))</f>
        <v/>
      </c>
      <c r="AR1175">
        <f>IF($AN1175=1,IFERROR(VALUE(MID($E1175,2,20)),1000000000)+ROW()/100000,"")</f>
        <v/>
      </c>
    </row>
    <row r="1176">
      <c r="G1176" s="11" t="n"/>
      <c r="Q1176" s="7">
        <f>IF($E1176="","",P1176*Y1176/100)</f>
        <v/>
      </c>
      <c r="R1176" s="7" t="n"/>
      <c r="X1176" s="7" t="n"/>
      <c r="Y1176" s="7" t="n"/>
      <c r="AB1176">
        <f>IF($E1176="","",IF($AQ1176=1,0,IF($AP1176=1,Settings!$C$6,Settings!$C$7))*100)</f>
        <v/>
      </c>
      <c r="AC1176" s="7">
        <f>IF($E1176="","",Y1176*AB1176/100)</f>
        <v/>
      </c>
      <c r="AD1176" s="7">
        <f>IF($E1176="","",Y1176-AC1176)</f>
        <v/>
      </c>
      <c r="AE1176" s="7">
        <f>IF($E1176="","",AD1176-Q1176)</f>
        <v/>
      </c>
      <c r="AI1176" s="7" t="n"/>
      <c r="AL1176" s="11" t="n"/>
      <c r="AN1176">
        <f>IF($E1176="","",IF(COUNTIF($E$2:$E1176,$E1176)=1,1,0))</f>
        <v/>
      </c>
      <c r="AO1176">
        <f>IF($AN1176=1,SUMPRODUCT(--($AR$2:$AR$4001&lt;$AR1176))+1,"")</f>
        <v/>
      </c>
      <c r="AP1176">
        <f>IF($E1176="","",IF(OR($U1176=TRUE(),$U1176="TRUE"),1,0))</f>
        <v/>
      </c>
      <c r="AQ1176">
        <f>IF($E1176="","",IF($AA1176="Yes",1,0))</f>
        <v/>
      </c>
      <c r="AR1176">
        <f>IF($AN1176=1,IFERROR(VALUE(MID($E1176,2,20)),1000000000)+ROW()/100000,"")</f>
        <v/>
      </c>
    </row>
    <row r="1177">
      <c r="G1177" s="11" t="n"/>
      <c r="Q1177" s="7">
        <f>IF($E1177="","",P1177*Y1177/100)</f>
        <v/>
      </c>
      <c r="R1177" s="7" t="n"/>
      <c r="X1177" s="7" t="n"/>
      <c r="Y1177" s="7" t="n"/>
      <c r="AB1177">
        <f>IF($E1177="","",IF($AQ1177=1,0,IF($AP1177=1,Settings!$C$6,Settings!$C$7))*100)</f>
        <v/>
      </c>
      <c r="AC1177" s="7">
        <f>IF($E1177="","",Y1177*AB1177/100)</f>
        <v/>
      </c>
      <c r="AD1177" s="7">
        <f>IF($E1177="","",Y1177-AC1177)</f>
        <v/>
      </c>
      <c r="AE1177" s="7">
        <f>IF($E1177="","",AD1177-Q1177)</f>
        <v/>
      </c>
      <c r="AI1177" s="7" t="n"/>
      <c r="AL1177" s="11" t="n"/>
      <c r="AN1177">
        <f>IF($E1177="","",IF(COUNTIF($E$2:$E1177,$E1177)=1,1,0))</f>
        <v/>
      </c>
      <c r="AO1177">
        <f>IF($AN1177=1,SUMPRODUCT(--($AR$2:$AR$4001&lt;$AR1177))+1,"")</f>
        <v/>
      </c>
      <c r="AP1177">
        <f>IF($E1177="","",IF(OR($U1177=TRUE(),$U1177="TRUE"),1,0))</f>
        <v/>
      </c>
      <c r="AQ1177">
        <f>IF($E1177="","",IF($AA1177="Yes",1,0))</f>
        <v/>
      </c>
      <c r="AR1177">
        <f>IF($AN1177=1,IFERROR(VALUE(MID($E1177,2,20)),1000000000)+ROW()/100000,"")</f>
        <v/>
      </c>
    </row>
    <row r="1178">
      <c r="G1178" s="11" t="n"/>
      <c r="Q1178" s="7">
        <f>IF($E1178="","",P1178*Y1178/100)</f>
        <v/>
      </c>
      <c r="R1178" s="7" t="n"/>
      <c r="X1178" s="7" t="n"/>
      <c r="Y1178" s="7" t="n"/>
      <c r="AB1178">
        <f>IF($E1178="","",IF($AQ1178=1,0,IF($AP1178=1,Settings!$C$6,Settings!$C$7))*100)</f>
        <v/>
      </c>
      <c r="AC1178" s="7">
        <f>IF($E1178="","",Y1178*AB1178/100)</f>
        <v/>
      </c>
      <c r="AD1178" s="7">
        <f>IF($E1178="","",Y1178-AC1178)</f>
        <v/>
      </c>
      <c r="AE1178" s="7">
        <f>IF($E1178="","",AD1178-Q1178)</f>
        <v/>
      </c>
      <c r="AI1178" s="7" t="n"/>
      <c r="AL1178" s="11" t="n"/>
      <c r="AN1178">
        <f>IF($E1178="","",IF(COUNTIF($E$2:$E1178,$E1178)=1,1,0))</f>
        <v/>
      </c>
      <c r="AO1178">
        <f>IF($AN1178=1,SUMPRODUCT(--($AR$2:$AR$4001&lt;$AR1178))+1,"")</f>
        <v/>
      </c>
      <c r="AP1178">
        <f>IF($E1178="","",IF(OR($U1178=TRUE(),$U1178="TRUE"),1,0))</f>
        <v/>
      </c>
      <c r="AQ1178">
        <f>IF($E1178="","",IF($AA1178="Yes",1,0))</f>
        <v/>
      </c>
      <c r="AR1178">
        <f>IF($AN1178=1,IFERROR(VALUE(MID($E1178,2,20)),1000000000)+ROW()/100000,"")</f>
        <v/>
      </c>
    </row>
    <row r="1179">
      <c r="G1179" s="11" t="n"/>
      <c r="Q1179" s="7">
        <f>IF($E1179="","",P1179*Y1179/100)</f>
        <v/>
      </c>
      <c r="R1179" s="7" t="n"/>
      <c r="X1179" s="7" t="n"/>
      <c r="Y1179" s="7" t="n"/>
      <c r="AB1179">
        <f>IF($E1179="","",IF($AQ1179=1,0,IF($AP1179=1,Settings!$C$6,Settings!$C$7))*100)</f>
        <v/>
      </c>
      <c r="AC1179" s="7">
        <f>IF($E1179="","",Y1179*AB1179/100)</f>
        <v/>
      </c>
      <c r="AD1179" s="7">
        <f>IF($E1179="","",Y1179-AC1179)</f>
        <v/>
      </c>
      <c r="AE1179" s="7">
        <f>IF($E1179="","",AD1179-Q1179)</f>
        <v/>
      </c>
      <c r="AI1179" s="7" t="n"/>
      <c r="AL1179" s="11" t="n"/>
      <c r="AN1179">
        <f>IF($E1179="","",IF(COUNTIF($E$2:$E1179,$E1179)=1,1,0))</f>
        <v/>
      </c>
      <c r="AO1179">
        <f>IF($AN1179=1,SUMPRODUCT(--($AR$2:$AR$4001&lt;$AR1179))+1,"")</f>
        <v/>
      </c>
      <c r="AP1179">
        <f>IF($E1179="","",IF(OR($U1179=TRUE(),$U1179="TRUE"),1,0))</f>
        <v/>
      </c>
      <c r="AQ1179">
        <f>IF($E1179="","",IF($AA1179="Yes",1,0))</f>
        <v/>
      </c>
      <c r="AR1179">
        <f>IF($AN1179=1,IFERROR(VALUE(MID($E1179,2,20)),1000000000)+ROW()/100000,"")</f>
        <v/>
      </c>
    </row>
    <row r="1180">
      <c r="G1180" s="11" t="n"/>
      <c r="Q1180" s="7">
        <f>IF($E1180="","",P1180*Y1180/100)</f>
        <v/>
      </c>
      <c r="R1180" s="7" t="n"/>
      <c r="X1180" s="7" t="n"/>
      <c r="Y1180" s="7" t="n"/>
      <c r="AB1180">
        <f>IF($E1180="","",IF($AQ1180=1,0,IF($AP1180=1,Settings!$C$6,Settings!$C$7))*100)</f>
        <v/>
      </c>
      <c r="AC1180" s="7">
        <f>IF($E1180="","",Y1180*AB1180/100)</f>
        <v/>
      </c>
      <c r="AD1180" s="7">
        <f>IF($E1180="","",Y1180-AC1180)</f>
        <v/>
      </c>
      <c r="AE1180" s="7">
        <f>IF($E1180="","",AD1180-Q1180)</f>
        <v/>
      </c>
      <c r="AI1180" s="7" t="n"/>
      <c r="AL1180" s="11" t="n"/>
      <c r="AN1180">
        <f>IF($E1180="","",IF(COUNTIF($E$2:$E1180,$E1180)=1,1,0))</f>
        <v/>
      </c>
      <c r="AO1180">
        <f>IF($AN1180=1,SUMPRODUCT(--($AR$2:$AR$4001&lt;$AR1180))+1,"")</f>
        <v/>
      </c>
      <c r="AP1180">
        <f>IF($E1180="","",IF(OR($U1180=TRUE(),$U1180="TRUE"),1,0))</f>
        <v/>
      </c>
      <c r="AQ1180">
        <f>IF($E1180="","",IF($AA1180="Yes",1,0))</f>
        <v/>
      </c>
      <c r="AR1180">
        <f>IF($AN1180=1,IFERROR(VALUE(MID($E1180,2,20)),1000000000)+ROW()/100000,"")</f>
        <v/>
      </c>
    </row>
    <row r="1181">
      <c r="G1181" s="11" t="n"/>
      <c r="Q1181" s="7">
        <f>IF($E1181="","",P1181*Y1181/100)</f>
        <v/>
      </c>
      <c r="R1181" s="7" t="n"/>
      <c r="X1181" s="7" t="n"/>
      <c r="Y1181" s="7" t="n"/>
      <c r="AB1181">
        <f>IF($E1181="","",IF($AQ1181=1,0,IF($AP1181=1,Settings!$C$6,Settings!$C$7))*100)</f>
        <v/>
      </c>
      <c r="AC1181" s="7">
        <f>IF($E1181="","",Y1181*AB1181/100)</f>
        <v/>
      </c>
      <c r="AD1181" s="7">
        <f>IF($E1181="","",Y1181-AC1181)</f>
        <v/>
      </c>
      <c r="AE1181" s="7">
        <f>IF($E1181="","",AD1181-Q1181)</f>
        <v/>
      </c>
      <c r="AI1181" s="7" t="n"/>
      <c r="AL1181" s="11" t="n"/>
      <c r="AN1181">
        <f>IF($E1181="","",IF(COUNTIF($E$2:$E1181,$E1181)=1,1,0))</f>
        <v/>
      </c>
      <c r="AO1181">
        <f>IF($AN1181=1,SUMPRODUCT(--($AR$2:$AR$4001&lt;$AR1181))+1,"")</f>
        <v/>
      </c>
      <c r="AP1181">
        <f>IF($E1181="","",IF(OR($U1181=TRUE(),$U1181="TRUE"),1,0))</f>
        <v/>
      </c>
      <c r="AQ1181">
        <f>IF($E1181="","",IF($AA1181="Yes",1,0))</f>
        <v/>
      </c>
      <c r="AR1181">
        <f>IF($AN1181=1,IFERROR(VALUE(MID($E1181,2,20)),1000000000)+ROW()/100000,"")</f>
        <v/>
      </c>
    </row>
    <row r="1182">
      <c r="G1182" s="11" t="n"/>
      <c r="Q1182" s="7">
        <f>IF($E1182="","",P1182*Y1182/100)</f>
        <v/>
      </c>
      <c r="R1182" s="7" t="n"/>
      <c r="X1182" s="7" t="n"/>
      <c r="Y1182" s="7" t="n"/>
      <c r="AB1182">
        <f>IF($E1182="","",IF($AQ1182=1,0,IF($AP1182=1,Settings!$C$6,Settings!$C$7))*100)</f>
        <v/>
      </c>
      <c r="AC1182" s="7">
        <f>IF($E1182="","",Y1182*AB1182/100)</f>
        <v/>
      </c>
      <c r="AD1182" s="7">
        <f>IF($E1182="","",Y1182-AC1182)</f>
        <v/>
      </c>
      <c r="AE1182" s="7">
        <f>IF($E1182="","",AD1182-Q1182)</f>
        <v/>
      </c>
      <c r="AI1182" s="7" t="n"/>
      <c r="AL1182" s="11" t="n"/>
      <c r="AN1182">
        <f>IF($E1182="","",IF(COUNTIF($E$2:$E1182,$E1182)=1,1,0))</f>
        <v/>
      </c>
      <c r="AO1182">
        <f>IF($AN1182=1,SUMPRODUCT(--($AR$2:$AR$4001&lt;$AR1182))+1,"")</f>
        <v/>
      </c>
      <c r="AP1182">
        <f>IF($E1182="","",IF(OR($U1182=TRUE(),$U1182="TRUE"),1,0))</f>
        <v/>
      </c>
      <c r="AQ1182">
        <f>IF($E1182="","",IF($AA1182="Yes",1,0))</f>
        <v/>
      </c>
      <c r="AR1182">
        <f>IF($AN1182=1,IFERROR(VALUE(MID($E1182,2,20)),1000000000)+ROW()/100000,"")</f>
        <v/>
      </c>
    </row>
    <row r="1183">
      <c r="G1183" s="11" t="n"/>
      <c r="Q1183" s="7">
        <f>IF($E1183="","",P1183*Y1183/100)</f>
        <v/>
      </c>
      <c r="R1183" s="7" t="n"/>
      <c r="X1183" s="7" t="n"/>
      <c r="Y1183" s="7" t="n"/>
      <c r="AB1183">
        <f>IF($E1183="","",IF($AQ1183=1,0,IF($AP1183=1,Settings!$C$6,Settings!$C$7))*100)</f>
        <v/>
      </c>
      <c r="AC1183" s="7">
        <f>IF($E1183="","",Y1183*AB1183/100)</f>
        <v/>
      </c>
      <c r="AD1183" s="7">
        <f>IF($E1183="","",Y1183-AC1183)</f>
        <v/>
      </c>
      <c r="AE1183" s="7">
        <f>IF($E1183="","",AD1183-Q1183)</f>
        <v/>
      </c>
      <c r="AI1183" s="7" t="n"/>
      <c r="AL1183" s="11" t="n"/>
      <c r="AN1183">
        <f>IF($E1183="","",IF(COUNTIF($E$2:$E1183,$E1183)=1,1,0))</f>
        <v/>
      </c>
      <c r="AO1183">
        <f>IF($AN1183=1,SUMPRODUCT(--($AR$2:$AR$4001&lt;$AR1183))+1,"")</f>
        <v/>
      </c>
      <c r="AP1183">
        <f>IF($E1183="","",IF(OR($U1183=TRUE(),$U1183="TRUE"),1,0))</f>
        <v/>
      </c>
      <c r="AQ1183">
        <f>IF($E1183="","",IF($AA1183="Yes",1,0))</f>
        <v/>
      </c>
      <c r="AR1183">
        <f>IF($AN1183=1,IFERROR(VALUE(MID($E1183,2,20)),1000000000)+ROW()/100000,"")</f>
        <v/>
      </c>
    </row>
    <row r="1184">
      <c r="G1184" s="11" t="n"/>
      <c r="Q1184" s="7">
        <f>IF($E1184="","",P1184*Y1184/100)</f>
        <v/>
      </c>
      <c r="R1184" s="7" t="n"/>
      <c r="X1184" s="7" t="n"/>
      <c r="Y1184" s="7" t="n"/>
      <c r="AB1184">
        <f>IF($E1184="","",IF($AQ1184=1,0,IF($AP1184=1,Settings!$C$6,Settings!$C$7))*100)</f>
        <v/>
      </c>
      <c r="AC1184" s="7">
        <f>IF($E1184="","",Y1184*AB1184/100)</f>
        <v/>
      </c>
      <c r="AD1184" s="7">
        <f>IF($E1184="","",Y1184-AC1184)</f>
        <v/>
      </c>
      <c r="AE1184" s="7">
        <f>IF($E1184="","",AD1184-Q1184)</f>
        <v/>
      </c>
      <c r="AI1184" s="7" t="n"/>
      <c r="AL1184" s="11" t="n"/>
      <c r="AN1184">
        <f>IF($E1184="","",IF(COUNTIF($E$2:$E1184,$E1184)=1,1,0))</f>
        <v/>
      </c>
      <c r="AO1184">
        <f>IF($AN1184=1,SUMPRODUCT(--($AR$2:$AR$4001&lt;$AR1184))+1,"")</f>
        <v/>
      </c>
      <c r="AP1184">
        <f>IF($E1184="","",IF(OR($U1184=TRUE(),$U1184="TRUE"),1,0))</f>
        <v/>
      </c>
      <c r="AQ1184">
        <f>IF($E1184="","",IF($AA1184="Yes",1,0))</f>
        <v/>
      </c>
      <c r="AR1184">
        <f>IF($AN1184=1,IFERROR(VALUE(MID($E1184,2,20)),1000000000)+ROW()/100000,"")</f>
        <v/>
      </c>
    </row>
    <row r="1185">
      <c r="G1185" s="11" t="n"/>
      <c r="Q1185" s="7">
        <f>IF($E1185="","",P1185*Y1185/100)</f>
        <v/>
      </c>
      <c r="R1185" s="7" t="n"/>
      <c r="X1185" s="7" t="n"/>
      <c r="Y1185" s="7" t="n"/>
      <c r="AB1185">
        <f>IF($E1185="","",IF($AQ1185=1,0,IF($AP1185=1,Settings!$C$6,Settings!$C$7))*100)</f>
        <v/>
      </c>
      <c r="AC1185" s="7">
        <f>IF($E1185="","",Y1185*AB1185/100)</f>
        <v/>
      </c>
      <c r="AD1185" s="7">
        <f>IF($E1185="","",Y1185-AC1185)</f>
        <v/>
      </c>
      <c r="AE1185" s="7">
        <f>IF($E1185="","",AD1185-Q1185)</f>
        <v/>
      </c>
      <c r="AI1185" s="7" t="n"/>
      <c r="AL1185" s="11" t="n"/>
      <c r="AN1185">
        <f>IF($E1185="","",IF(COUNTIF($E$2:$E1185,$E1185)=1,1,0))</f>
        <v/>
      </c>
      <c r="AO1185">
        <f>IF($AN1185=1,SUMPRODUCT(--($AR$2:$AR$4001&lt;$AR1185))+1,"")</f>
        <v/>
      </c>
      <c r="AP1185">
        <f>IF($E1185="","",IF(OR($U1185=TRUE(),$U1185="TRUE"),1,0))</f>
        <v/>
      </c>
      <c r="AQ1185">
        <f>IF($E1185="","",IF($AA1185="Yes",1,0))</f>
        <v/>
      </c>
      <c r="AR1185">
        <f>IF($AN1185=1,IFERROR(VALUE(MID($E1185,2,20)),1000000000)+ROW()/100000,"")</f>
        <v/>
      </c>
    </row>
    <row r="1186">
      <c r="G1186" s="11" t="n"/>
      <c r="Q1186" s="7">
        <f>IF($E1186="","",P1186*Y1186/100)</f>
        <v/>
      </c>
      <c r="R1186" s="7" t="n"/>
      <c r="X1186" s="7" t="n"/>
      <c r="Y1186" s="7" t="n"/>
      <c r="AB1186">
        <f>IF($E1186="","",IF($AQ1186=1,0,IF($AP1186=1,Settings!$C$6,Settings!$C$7))*100)</f>
        <v/>
      </c>
      <c r="AC1186" s="7">
        <f>IF($E1186="","",Y1186*AB1186/100)</f>
        <v/>
      </c>
      <c r="AD1186" s="7">
        <f>IF($E1186="","",Y1186-AC1186)</f>
        <v/>
      </c>
      <c r="AE1186" s="7">
        <f>IF($E1186="","",AD1186-Q1186)</f>
        <v/>
      </c>
      <c r="AI1186" s="7" t="n"/>
      <c r="AL1186" s="11" t="n"/>
      <c r="AN1186">
        <f>IF($E1186="","",IF(COUNTIF($E$2:$E1186,$E1186)=1,1,0))</f>
        <v/>
      </c>
      <c r="AO1186">
        <f>IF($AN1186=1,SUMPRODUCT(--($AR$2:$AR$4001&lt;$AR1186))+1,"")</f>
        <v/>
      </c>
      <c r="AP1186">
        <f>IF($E1186="","",IF(OR($U1186=TRUE(),$U1186="TRUE"),1,0))</f>
        <v/>
      </c>
      <c r="AQ1186">
        <f>IF($E1186="","",IF($AA1186="Yes",1,0))</f>
        <v/>
      </c>
      <c r="AR1186">
        <f>IF($AN1186=1,IFERROR(VALUE(MID($E1186,2,20)),1000000000)+ROW()/100000,"")</f>
        <v/>
      </c>
    </row>
    <row r="1187">
      <c r="G1187" s="11" t="n"/>
      <c r="Q1187" s="7">
        <f>IF($E1187="","",P1187*Y1187/100)</f>
        <v/>
      </c>
      <c r="R1187" s="7" t="n"/>
      <c r="X1187" s="7" t="n"/>
      <c r="Y1187" s="7" t="n"/>
      <c r="AB1187">
        <f>IF($E1187="","",IF($AQ1187=1,0,IF($AP1187=1,Settings!$C$6,Settings!$C$7))*100)</f>
        <v/>
      </c>
      <c r="AC1187" s="7">
        <f>IF($E1187="","",Y1187*AB1187/100)</f>
        <v/>
      </c>
      <c r="AD1187" s="7">
        <f>IF($E1187="","",Y1187-AC1187)</f>
        <v/>
      </c>
      <c r="AE1187" s="7">
        <f>IF($E1187="","",AD1187-Q1187)</f>
        <v/>
      </c>
      <c r="AI1187" s="7" t="n"/>
      <c r="AL1187" s="11" t="n"/>
      <c r="AN1187">
        <f>IF($E1187="","",IF(COUNTIF($E$2:$E1187,$E1187)=1,1,0))</f>
        <v/>
      </c>
      <c r="AO1187">
        <f>IF($AN1187=1,SUMPRODUCT(--($AR$2:$AR$4001&lt;$AR1187))+1,"")</f>
        <v/>
      </c>
      <c r="AP1187">
        <f>IF($E1187="","",IF(OR($U1187=TRUE(),$U1187="TRUE"),1,0))</f>
        <v/>
      </c>
      <c r="AQ1187">
        <f>IF($E1187="","",IF($AA1187="Yes",1,0))</f>
        <v/>
      </c>
      <c r="AR1187">
        <f>IF($AN1187=1,IFERROR(VALUE(MID($E1187,2,20)),1000000000)+ROW()/100000,"")</f>
        <v/>
      </c>
    </row>
    <row r="1188">
      <c r="G1188" s="11" t="n"/>
      <c r="Q1188" s="7">
        <f>IF($E1188="","",P1188*Y1188/100)</f>
        <v/>
      </c>
      <c r="R1188" s="7" t="n"/>
      <c r="X1188" s="7" t="n"/>
      <c r="Y1188" s="7" t="n"/>
      <c r="AB1188">
        <f>IF($E1188="","",IF($AQ1188=1,0,IF($AP1188=1,Settings!$C$6,Settings!$C$7))*100)</f>
        <v/>
      </c>
      <c r="AC1188" s="7">
        <f>IF($E1188="","",Y1188*AB1188/100)</f>
        <v/>
      </c>
      <c r="AD1188" s="7">
        <f>IF($E1188="","",Y1188-AC1188)</f>
        <v/>
      </c>
      <c r="AE1188" s="7">
        <f>IF($E1188="","",AD1188-Q1188)</f>
        <v/>
      </c>
      <c r="AI1188" s="7" t="n"/>
      <c r="AL1188" s="11" t="n"/>
      <c r="AN1188">
        <f>IF($E1188="","",IF(COUNTIF($E$2:$E1188,$E1188)=1,1,0))</f>
        <v/>
      </c>
      <c r="AO1188">
        <f>IF($AN1188=1,SUMPRODUCT(--($AR$2:$AR$4001&lt;$AR1188))+1,"")</f>
        <v/>
      </c>
      <c r="AP1188">
        <f>IF($E1188="","",IF(OR($U1188=TRUE(),$U1188="TRUE"),1,0))</f>
        <v/>
      </c>
      <c r="AQ1188">
        <f>IF($E1188="","",IF($AA1188="Yes",1,0))</f>
        <v/>
      </c>
      <c r="AR1188">
        <f>IF($AN1188=1,IFERROR(VALUE(MID($E1188,2,20)),1000000000)+ROW()/100000,"")</f>
        <v/>
      </c>
    </row>
    <row r="1189">
      <c r="G1189" s="11" t="n"/>
      <c r="Q1189" s="7">
        <f>IF($E1189="","",P1189*Y1189/100)</f>
        <v/>
      </c>
      <c r="R1189" s="7" t="n"/>
      <c r="X1189" s="7" t="n"/>
      <c r="Y1189" s="7" t="n"/>
      <c r="AB1189">
        <f>IF($E1189="","",IF($AQ1189=1,0,IF($AP1189=1,Settings!$C$6,Settings!$C$7))*100)</f>
        <v/>
      </c>
      <c r="AC1189" s="7">
        <f>IF($E1189="","",Y1189*AB1189/100)</f>
        <v/>
      </c>
      <c r="AD1189" s="7">
        <f>IF($E1189="","",Y1189-AC1189)</f>
        <v/>
      </c>
      <c r="AE1189" s="7">
        <f>IF($E1189="","",AD1189-Q1189)</f>
        <v/>
      </c>
      <c r="AI1189" s="7" t="n"/>
      <c r="AL1189" s="11" t="n"/>
      <c r="AN1189">
        <f>IF($E1189="","",IF(COUNTIF($E$2:$E1189,$E1189)=1,1,0))</f>
        <v/>
      </c>
      <c r="AO1189">
        <f>IF($AN1189=1,SUMPRODUCT(--($AR$2:$AR$4001&lt;$AR1189))+1,"")</f>
        <v/>
      </c>
      <c r="AP1189">
        <f>IF($E1189="","",IF(OR($U1189=TRUE(),$U1189="TRUE"),1,0))</f>
        <v/>
      </c>
      <c r="AQ1189">
        <f>IF($E1189="","",IF($AA1189="Yes",1,0))</f>
        <v/>
      </c>
      <c r="AR1189">
        <f>IF($AN1189=1,IFERROR(VALUE(MID($E1189,2,20)),1000000000)+ROW()/100000,"")</f>
        <v/>
      </c>
    </row>
    <row r="1190">
      <c r="G1190" s="11" t="n"/>
      <c r="Q1190" s="7">
        <f>IF($E1190="","",P1190*Y1190/100)</f>
        <v/>
      </c>
      <c r="R1190" s="7" t="n"/>
      <c r="X1190" s="7" t="n"/>
      <c r="Y1190" s="7" t="n"/>
      <c r="AB1190">
        <f>IF($E1190="","",IF($AQ1190=1,0,IF($AP1190=1,Settings!$C$6,Settings!$C$7))*100)</f>
        <v/>
      </c>
      <c r="AC1190" s="7">
        <f>IF($E1190="","",Y1190*AB1190/100)</f>
        <v/>
      </c>
      <c r="AD1190" s="7">
        <f>IF($E1190="","",Y1190-AC1190)</f>
        <v/>
      </c>
      <c r="AE1190" s="7">
        <f>IF($E1190="","",AD1190-Q1190)</f>
        <v/>
      </c>
      <c r="AI1190" s="7" t="n"/>
      <c r="AL1190" s="11" t="n"/>
      <c r="AN1190">
        <f>IF($E1190="","",IF(COUNTIF($E$2:$E1190,$E1190)=1,1,0))</f>
        <v/>
      </c>
      <c r="AO1190">
        <f>IF($AN1190=1,SUMPRODUCT(--($AR$2:$AR$4001&lt;$AR1190))+1,"")</f>
        <v/>
      </c>
      <c r="AP1190">
        <f>IF($E1190="","",IF(OR($U1190=TRUE(),$U1190="TRUE"),1,0))</f>
        <v/>
      </c>
      <c r="AQ1190">
        <f>IF($E1190="","",IF($AA1190="Yes",1,0))</f>
        <v/>
      </c>
      <c r="AR1190">
        <f>IF($AN1190=1,IFERROR(VALUE(MID($E1190,2,20)),1000000000)+ROW()/100000,"")</f>
        <v/>
      </c>
    </row>
    <row r="1191">
      <c r="G1191" s="11" t="n"/>
      <c r="Q1191" s="7">
        <f>IF($E1191="","",P1191*Y1191/100)</f>
        <v/>
      </c>
      <c r="R1191" s="7" t="n"/>
      <c r="X1191" s="7" t="n"/>
      <c r="Y1191" s="7" t="n"/>
      <c r="AB1191">
        <f>IF($E1191="","",IF($AQ1191=1,0,IF($AP1191=1,Settings!$C$6,Settings!$C$7))*100)</f>
        <v/>
      </c>
      <c r="AC1191" s="7">
        <f>IF($E1191="","",Y1191*AB1191/100)</f>
        <v/>
      </c>
      <c r="AD1191" s="7">
        <f>IF($E1191="","",Y1191-AC1191)</f>
        <v/>
      </c>
      <c r="AE1191" s="7">
        <f>IF($E1191="","",AD1191-Q1191)</f>
        <v/>
      </c>
      <c r="AI1191" s="7" t="n"/>
      <c r="AL1191" s="11" t="n"/>
      <c r="AN1191">
        <f>IF($E1191="","",IF(COUNTIF($E$2:$E1191,$E1191)=1,1,0))</f>
        <v/>
      </c>
      <c r="AO1191">
        <f>IF($AN1191=1,SUMPRODUCT(--($AR$2:$AR$4001&lt;$AR1191))+1,"")</f>
        <v/>
      </c>
      <c r="AP1191">
        <f>IF($E1191="","",IF(OR($U1191=TRUE(),$U1191="TRUE"),1,0))</f>
        <v/>
      </c>
      <c r="AQ1191">
        <f>IF($E1191="","",IF($AA1191="Yes",1,0))</f>
        <v/>
      </c>
      <c r="AR1191">
        <f>IF($AN1191=1,IFERROR(VALUE(MID($E1191,2,20)),1000000000)+ROW()/100000,"")</f>
        <v/>
      </c>
    </row>
    <row r="1192">
      <c r="G1192" s="11" t="n"/>
      <c r="Q1192" s="7">
        <f>IF($E1192="","",P1192*Y1192/100)</f>
        <v/>
      </c>
      <c r="R1192" s="7" t="n"/>
      <c r="X1192" s="7" t="n"/>
      <c r="Y1192" s="7" t="n"/>
      <c r="AB1192">
        <f>IF($E1192="","",IF($AQ1192=1,0,IF($AP1192=1,Settings!$C$6,Settings!$C$7))*100)</f>
        <v/>
      </c>
      <c r="AC1192" s="7">
        <f>IF($E1192="","",Y1192*AB1192/100)</f>
        <v/>
      </c>
      <c r="AD1192" s="7">
        <f>IF($E1192="","",Y1192-AC1192)</f>
        <v/>
      </c>
      <c r="AE1192" s="7">
        <f>IF($E1192="","",AD1192-Q1192)</f>
        <v/>
      </c>
      <c r="AI1192" s="7" t="n"/>
      <c r="AL1192" s="11" t="n"/>
      <c r="AN1192">
        <f>IF($E1192="","",IF(COUNTIF($E$2:$E1192,$E1192)=1,1,0))</f>
        <v/>
      </c>
      <c r="AO1192">
        <f>IF($AN1192=1,SUMPRODUCT(--($AR$2:$AR$4001&lt;$AR1192))+1,"")</f>
        <v/>
      </c>
      <c r="AP1192">
        <f>IF($E1192="","",IF(OR($U1192=TRUE(),$U1192="TRUE"),1,0))</f>
        <v/>
      </c>
      <c r="AQ1192">
        <f>IF($E1192="","",IF($AA1192="Yes",1,0))</f>
        <v/>
      </c>
      <c r="AR1192">
        <f>IF($AN1192=1,IFERROR(VALUE(MID($E1192,2,20)),1000000000)+ROW()/100000,"")</f>
        <v/>
      </c>
    </row>
    <row r="1193">
      <c r="G1193" s="11" t="n"/>
      <c r="Q1193" s="7">
        <f>IF($E1193="","",P1193*Y1193/100)</f>
        <v/>
      </c>
      <c r="R1193" s="7" t="n"/>
      <c r="X1193" s="7" t="n"/>
      <c r="Y1193" s="7" t="n"/>
      <c r="AB1193">
        <f>IF($E1193="","",IF($AQ1193=1,0,IF($AP1193=1,Settings!$C$6,Settings!$C$7))*100)</f>
        <v/>
      </c>
      <c r="AC1193" s="7">
        <f>IF($E1193="","",Y1193*AB1193/100)</f>
        <v/>
      </c>
      <c r="AD1193" s="7">
        <f>IF($E1193="","",Y1193-AC1193)</f>
        <v/>
      </c>
      <c r="AE1193" s="7">
        <f>IF($E1193="","",AD1193-Q1193)</f>
        <v/>
      </c>
      <c r="AI1193" s="7" t="n"/>
      <c r="AL1193" s="11" t="n"/>
      <c r="AN1193">
        <f>IF($E1193="","",IF(COUNTIF($E$2:$E1193,$E1193)=1,1,0))</f>
        <v/>
      </c>
      <c r="AO1193">
        <f>IF($AN1193=1,SUMPRODUCT(--($AR$2:$AR$4001&lt;$AR1193))+1,"")</f>
        <v/>
      </c>
      <c r="AP1193">
        <f>IF($E1193="","",IF(OR($U1193=TRUE(),$U1193="TRUE"),1,0))</f>
        <v/>
      </c>
      <c r="AQ1193">
        <f>IF($E1193="","",IF($AA1193="Yes",1,0))</f>
        <v/>
      </c>
      <c r="AR1193">
        <f>IF($AN1193=1,IFERROR(VALUE(MID($E1193,2,20)),1000000000)+ROW()/100000,"")</f>
        <v/>
      </c>
    </row>
    <row r="1194">
      <c r="G1194" s="11" t="n"/>
      <c r="Q1194" s="7">
        <f>IF($E1194="","",P1194*Y1194/100)</f>
        <v/>
      </c>
      <c r="R1194" s="7" t="n"/>
      <c r="X1194" s="7" t="n"/>
      <c r="Y1194" s="7" t="n"/>
      <c r="AB1194">
        <f>IF($E1194="","",IF($AQ1194=1,0,IF($AP1194=1,Settings!$C$6,Settings!$C$7))*100)</f>
        <v/>
      </c>
      <c r="AC1194" s="7">
        <f>IF($E1194="","",Y1194*AB1194/100)</f>
        <v/>
      </c>
      <c r="AD1194" s="7">
        <f>IF($E1194="","",Y1194-AC1194)</f>
        <v/>
      </c>
      <c r="AE1194" s="7">
        <f>IF($E1194="","",AD1194-Q1194)</f>
        <v/>
      </c>
      <c r="AI1194" s="7" t="n"/>
      <c r="AL1194" s="11" t="n"/>
      <c r="AN1194">
        <f>IF($E1194="","",IF(COUNTIF($E$2:$E1194,$E1194)=1,1,0))</f>
        <v/>
      </c>
      <c r="AO1194">
        <f>IF($AN1194=1,SUMPRODUCT(--($AR$2:$AR$4001&lt;$AR1194))+1,"")</f>
        <v/>
      </c>
      <c r="AP1194">
        <f>IF($E1194="","",IF(OR($U1194=TRUE(),$U1194="TRUE"),1,0))</f>
        <v/>
      </c>
      <c r="AQ1194">
        <f>IF($E1194="","",IF($AA1194="Yes",1,0))</f>
        <v/>
      </c>
      <c r="AR1194">
        <f>IF($AN1194=1,IFERROR(VALUE(MID($E1194,2,20)),1000000000)+ROW()/100000,"")</f>
        <v/>
      </c>
    </row>
    <row r="1195">
      <c r="G1195" s="11" t="n"/>
      <c r="Q1195" s="7">
        <f>IF($E1195="","",P1195*Y1195/100)</f>
        <v/>
      </c>
      <c r="R1195" s="7" t="n"/>
      <c r="X1195" s="7" t="n"/>
      <c r="Y1195" s="7" t="n"/>
      <c r="AB1195">
        <f>IF($E1195="","",IF($AQ1195=1,0,IF($AP1195=1,Settings!$C$6,Settings!$C$7))*100)</f>
        <v/>
      </c>
      <c r="AC1195" s="7">
        <f>IF($E1195="","",Y1195*AB1195/100)</f>
        <v/>
      </c>
      <c r="AD1195" s="7">
        <f>IF($E1195="","",Y1195-AC1195)</f>
        <v/>
      </c>
      <c r="AE1195" s="7">
        <f>IF($E1195="","",AD1195-Q1195)</f>
        <v/>
      </c>
      <c r="AI1195" s="7" t="n"/>
      <c r="AL1195" s="11" t="n"/>
      <c r="AN1195">
        <f>IF($E1195="","",IF(COUNTIF($E$2:$E1195,$E1195)=1,1,0))</f>
        <v/>
      </c>
      <c r="AO1195">
        <f>IF($AN1195=1,SUMPRODUCT(--($AR$2:$AR$4001&lt;$AR1195))+1,"")</f>
        <v/>
      </c>
      <c r="AP1195">
        <f>IF($E1195="","",IF(OR($U1195=TRUE(),$U1195="TRUE"),1,0))</f>
        <v/>
      </c>
      <c r="AQ1195">
        <f>IF($E1195="","",IF($AA1195="Yes",1,0))</f>
        <v/>
      </c>
      <c r="AR1195">
        <f>IF($AN1195=1,IFERROR(VALUE(MID($E1195,2,20)),1000000000)+ROW()/100000,"")</f>
        <v/>
      </c>
    </row>
    <row r="1196">
      <c r="G1196" s="11" t="n"/>
      <c r="Q1196" s="7">
        <f>IF($E1196="","",P1196*Y1196/100)</f>
        <v/>
      </c>
      <c r="R1196" s="7" t="n"/>
      <c r="X1196" s="7" t="n"/>
      <c r="Y1196" s="7" t="n"/>
      <c r="AB1196">
        <f>IF($E1196="","",IF($AQ1196=1,0,IF($AP1196=1,Settings!$C$6,Settings!$C$7))*100)</f>
        <v/>
      </c>
      <c r="AC1196" s="7">
        <f>IF($E1196="","",Y1196*AB1196/100)</f>
        <v/>
      </c>
      <c r="AD1196" s="7">
        <f>IF($E1196="","",Y1196-AC1196)</f>
        <v/>
      </c>
      <c r="AE1196" s="7">
        <f>IF($E1196="","",AD1196-Q1196)</f>
        <v/>
      </c>
      <c r="AI1196" s="7" t="n"/>
      <c r="AL1196" s="11" t="n"/>
      <c r="AN1196">
        <f>IF($E1196="","",IF(COUNTIF($E$2:$E1196,$E1196)=1,1,0))</f>
        <v/>
      </c>
      <c r="AO1196">
        <f>IF($AN1196=1,SUMPRODUCT(--($AR$2:$AR$4001&lt;$AR1196))+1,"")</f>
        <v/>
      </c>
      <c r="AP1196">
        <f>IF($E1196="","",IF(OR($U1196=TRUE(),$U1196="TRUE"),1,0))</f>
        <v/>
      </c>
      <c r="AQ1196">
        <f>IF($E1196="","",IF($AA1196="Yes",1,0))</f>
        <v/>
      </c>
      <c r="AR1196">
        <f>IF($AN1196=1,IFERROR(VALUE(MID($E1196,2,20)),1000000000)+ROW()/100000,"")</f>
        <v/>
      </c>
    </row>
    <row r="1197">
      <c r="G1197" s="11" t="n"/>
      <c r="Q1197" s="7">
        <f>IF($E1197="","",P1197*Y1197/100)</f>
        <v/>
      </c>
      <c r="R1197" s="7" t="n"/>
      <c r="X1197" s="7" t="n"/>
      <c r="Y1197" s="7" t="n"/>
      <c r="AB1197">
        <f>IF($E1197="","",IF($AQ1197=1,0,IF($AP1197=1,Settings!$C$6,Settings!$C$7))*100)</f>
        <v/>
      </c>
      <c r="AC1197" s="7">
        <f>IF($E1197="","",Y1197*AB1197/100)</f>
        <v/>
      </c>
      <c r="AD1197" s="7">
        <f>IF($E1197="","",Y1197-AC1197)</f>
        <v/>
      </c>
      <c r="AE1197" s="7">
        <f>IF($E1197="","",AD1197-Q1197)</f>
        <v/>
      </c>
      <c r="AI1197" s="7" t="n"/>
      <c r="AL1197" s="11" t="n"/>
      <c r="AN1197">
        <f>IF($E1197="","",IF(COUNTIF($E$2:$E1197,$E1197)=1,1,0))</f>
        <v/>
      </c>
      <c r="AO1197">
        <f>IF($AN1197=1,SUMPRODUCT(--($AR$2:$AR$4001&lt;$AR1197))+1,"")</f>
        <v/>
      </c>
      <c r="AP1197">
        <f>IF($E1197="","",IF(OR($U1197=TRUE(),$U1197="TRUE"),1,0))</f>
        <v/>
      </c>
      <c r="AQ1197">
        <f>IF($E1197="","",IF($AA1197="Yes",1,0))</f>
        <v/>
      </c>
      <c r="AR1197">
        <f>IF($AN1197=1,IFERROR(VALUE(MID($E1197,2,20)),1000000000)+ROW()/100000,"")</f>
        <v/>
      </c>
    </row>
    <row r="1198">
      <c r="G1198" s="11" t="n"/>
      <c r="Q1198" s="7">
        <f>IF($E1198="","",P1198*Y1198/100)</f>
        <v/>
      </c>
      <c r="R1198" s="7" t="n"/>
      <c r="X1198" s="7" t="n"/>
      <c r="Y1198" s="7" t="n"/>
      <c r="AB1198">
        <f>IF($E1198="","",IF($AQ1198=1,0,IF($AP1198=1,Settings!$C$6,Settings!$C$7))*100)</f>
        <v/>
      </c>
      <c r="AC1198" s="7">
        <f>IF($E1198="","",Y1198*AB1198/100)</f>
        <v/>
      </c>
      <c r="AD1198" s="7">
        <f>IF($E1198="","",Y1198-AC1198)</f>
        <v/>
      </c>
      <c r="AE1198" s="7">
        <f>IF($E1198="","",AD1198-Q1198)</f>
        <v/>
      </c>
      <c r="AI1198" s="7" t="n"/>
      <c r="AL1198" s="11" t="n"/>
      <c r="AN1198">
        <f>IF($E1198="","",IF(COUNTIF($E$2:$E1198,$E1198)=1,1,0))</f>
        <v/>
      </c>
      <c r="AO1198">
        <f>IF($AN1198=1,SUMPRODUCT(--($AR$2:$AR$4001&lt;$AR1198))+1,"")</f>
        <v/>
      </c>
      <c r="AP1198">
        <f>IF($E1198="","",IF(OR($U1198=TRUE(),$U1198="TRUE"),1,0))</f>
        <v/>
      </c>
      <c r="AQ1198">
        <f>IF($E1198="","",IF($AA1198="Yes",1,0))</f>
        <v/>
      </c>
      <c r="AR1198">
        <f>IF($AN1198=1,IFERROR(VALUE(MID($E1198,2,20)),1000000000)+ROW()/100000,"")</f>
        <v/>
      </c>
    </row>
    <row r="1199">
      <c r="G1199" s="11" t="n"/>
      <c r="Q1199" s="7">
        <f>IF($E1199="","",P1199*Y1199/100)</f>
        <v/>
      </c>
      <c r="R1199" s="7" t="n"/>
      <c r="X1199" s="7" t="n"/>
      <c r="Y1199" s="7" t="n"/>
      <c r="AB1199">
        <f>IF($E1199="","",IF($AQ1199=1,0,IF($AP1199=1,Settings!$C$6,Settings!$C$7))*100)</f>
        <v/>
      </c>
      <c r="AC1199" s="7">
        <f>IF($E1199="","",Y1199*AB1199/100)</f>
        <v/>
      </c>
      <c r="AD1199" s="7">
        <f>IF($E1199="","",Y1199-AC1199)</f>
        <v/>
      </c>
      <c r="AE1199" s="7">
        <f>IF($E1199="","",AD1199-Q1199)</f>
        <v/>
      </c>
      <c r="AI1199" s="7" t="n"/>
      <c r="AL1199" s="11" t="n"/>
      <c r="AN1199">
        <f>IF($E1199="","",IF(COUNTIF($E$2:$E1199,$E1199)=1,1,0))</f>
        <v/>
      </c>
      <c r="AO1199">
        <f>IF($AN1199=1,SUMPRODUCT(--($AR$2:$AR$4001&lt;$AR1199))+1,"")</f>
        <v/>
      </c>
      <c r="AP1199">
        <f>IF($E1199="","",IF(OR($U1199=TRUE(),$U1199="TRUE"),1,0))</f>
        <v/>
      </c>
      <c r="AQ1199">
        <f>IF($E1199="","",IF($AA1199="Yes",1,0))</f>
        <v/>
      </c>
      <c r="AR1199">
        <f>IF($AN1199=1,IFERROR(VALUE(MID($E1199,2,20)),1000000000)+ROW()/100000,"")</f>
        <v/>
      </c>
    </row>
    <row r="1200">
      <c r="G1200" s="11" t="n"/>
      <c r="Q1200" s="7">
        <f>IF($E1200="","",P1200*Y1200/100)</f>
        <v/>
      </c>
      <c r="R1200" s="7" t="n"/>
      <c r="X1200" s="7" t="n"/>
      <c r="Y1200" s="7" t="n"/>
      <c r="AB1200">
        <f>IF($E1200="","",IF($AQ1200=1,0,IF($AP1200=1,Settings!$C$6,Settings!$C$7))*100)</f>
        <v/>
      </c>
      <c r="AC1200" s="7">
        <f>IF($E1200="","",Y1200*AB1200/100)</f>
        <v/>
      </c>
      <c r="AD1200" s="7">
        <f>IF($E1200="","",Y1200-AC1200)</f>
        <v/>
      </c>
      <c r="AE1200" s="7">
        <f>IF($E1200="","",AD1200-Q1200)</f>
        <v/>
      </c>
      <c r="AI1200" s="7" t="n"/>
      <c r="AL1200" s="11" t="n"/>
      <c r="AN1200">
        <f>IF($E1200="","",IF(COUNTIF($E$2:$E1200,$E1200)=1,1,0))</f>
        <v/>
      </c>
      <c r="AO1200">
        <f>IF($AN1200=1,SUMPRODUCT(--($AR$2:$AR$4001&lt;$AR1200))+1,"")</f>
        <v/>
      </c>
      <c r="AP1200">
        <f>IF($E1200="","",IF(OR($U1200=TRUE(),$U1200="TRUE"),1,0))</f>
        <v/>
      </c>
      <c r="AQ1200">
        <f>IF($E1200="","",IF($AA1200="Yes",1,0))</f>
        <v/>
      </c>
      <c r="AR1200">
        <f>IF($AN1200=1,IFERROR(VALUE(MID($E1200,2,20)),1000000000)+ROW()/100000,"")</f>
        <v/>
      </c>
    </row>
    <row r="1201">
      <c r="G1201" s="11" t="n"/>
      <c r="Q1201" s="7">
        <f>IF($E1201="","",P1201*Y1201/100)</f>
        <v/>
      </c>
      <c r="R1201" s="7" t="n"/>
      <c r="X1201" s="7" t="n"/>
      <c r="Y1201" s="7" t="n"/>
      <c r="AB1201">
        <f>IF($E1201="","",IF($AQ1201=1,0,IF($AP1201=1,Settings!$C$6,Settings!$C$7))*100)</f>
        <v/>
      </c>
      <c r="AC1201" s="7">
        <f>IF($E1201="","",Y1201*AB1201/100)</f>
        <v/>
      </c>
      <c r="AD1201" s="7">
        <f>IF($E1201="","",Y1201-AC1201)</f>
        <v/>
      </c>
      <c r="AE1201" s="7">
        <f>IF($E1201="","",AD1201-Q1201)</f>
        <v/>
      </c>
      <c r="AI1201" s="7" t="n"/>
      <c r="AL1201" s="11" t="n"/>
      <c r="AN1201">
        <f>IF($E1201="","",IF(COUNTIF($E$2:$E1201,$E1201)=1,1,0))</f>
        <v/>
      </c>
      <c r="AO1201">
        <f>IF($AN1201=1,SUMPRODUCT(--($AR$2:$AR$4001&lt;$AR1201))+1,"")</f>
        <v/>
      </c>
      <c r="AP1201">
        <f>IF($E1201="","",IF(OR($U1201=TRUE(),$U1201="TRUE"),1,0))</f>
        <v/>
      </c>
      <c r="AQ1201">
        <f>IF($E1201="","",IF($AA1201="Yes",1,0))</f>
        <v/>
      </c>
      <c r="AR1201">
        <f>IF($AN1201=1,IFERROR(VALUE(MID($E1201,2,20)),1000000000)+ROW()/100000,"")</f>
        <v/>
      </c>
    </row>
    <row r="1202">
      <c r="G1202" s="11" t="n"/>
      <c r="Q1202" s="7">
        <f>IF($E1202="","",P1202*Y1202/100)</f>
        <v/>
      </c>
      <c r="R1202" s="7" t="n"/>
      <c r="X1202" s="7" t="n"/>
      <c r="Y1202" s="7" t="n"/>
      <c r="AB1202">
        <f>IF($E1202="","",IF($AQ1202=1,0,IF($AP1202=1,Settings!$C$6,Settings!$C$7))*100)</f>
        <v/>
      </c>
      <c r="AC1202" s="7">
        <f>IF($E1202="","",Y1202*AB1202/100)</f>
        <v/>
      </c>
      <c r="AD1202" s="7">
        <f>IF($E1202="","",Y1202-AC1202)</f>
        <v/>
      </c>
      <c r="AE1202" s="7">
        <f>IF($E1202="","",AD1202-Q1202)</f>
        <v/>
      </c>
      <c r="AI1202" s="7" t="n"/>
      <c r="AL1202" s="11" t="n"/>
      <c r="AN1202">
        <f>IF($E1202="","",IF(COUNTIF($E$2:$E1202,$E1202)=1,1,0))</f>
        <v/>
      </c>
      <c r="AO1202">
        <f>IF($AN1202=1,SUMPRODUCT(--($AR$2:$AR$4001&lt;$AR1202))+1,"")</f>
        <v/>
      </c>
      <c r="AP1202">
        <f>IF($E1202="","",IF(OR($U1202=TRUE(),$U1202="TRUE"),1,0))</f>
        <v/>
      </c>
      <c r="AQ1202">
        <f>IF($E1202="","",IF($AA1202="Yes",1,0))</f>
        <v/>
      </c>
      <c r="AR1202">
        <f>IF($AN1202=1,IFERROR(VALUE(MID($E1202,2,20)),1000000000)+ROW()/100000,"")</f>
        <v/>
      </c>
    </row>
    <row r="1203">
      <c r="G1203" s="11" t="n"/>
      <c r="Q1203" s="7">
        <f>IF($E1203="","",P1203*Y1203/100)</f>
        <v/>
      </c>
      <c r="R1203" s="7" t="n"/>
      <c r="X1203" s="7" t="n"/>
      <c r="Y1203" s="7" t="n"/>
      <c r="AB1203">
        <f>IF($E1203="","",IF($AQ1203=1,0,IF($AP1203=1,Settings!$C$6,Settings!$C$7))*100)</f>
        <v/>
      </c>
      <c r="AC1203" s="7">
        <f>IF($E1203="","",Y1203*AB1203/100)</f>
        <v/>
      </c>
      <c r="AD1203" s="7">
        <f>IF($E1203="","",Y1203-AC1203)</f>
        <v/>
      </c>
      <c r="AE1203" s="7">
        <f>IF($E1203="","",AD1203-Q1203)</f>
        <v/>
      </c>
      <c r="AI1203" s="7" t="n"/>
      <c r="AL1203" s="11" t="n"/>
      <c r="AN1203">
        <f>IF($E1203="","",IF(COUNTIF($E$2:$E1203,$E1203)=1,1,0))</f>
        <v/>
      </c>
      <c r="AO1203">
        <f>IF($AN1203=1,SUMPRODUCT(--($AR$2:$AR$4001&lt;$AR1203))+1,"")</f>
        <v/>
      </c>
      <c r="AP1203">
        <f>IF($E1203="","",IF(OR($U1203=TRUE(),$U1203="TRUE"),1,0))</f>
        <v/>
      </c>
      <c r="AQ1203">
        <f>IF($E1203="","",IF($AA1203="Yes",1,0))</f>
        <v/>
      </c>
      <c r="AR1203">
        <f>IF($AN1203=1,IFERROR(VALUE(MID($E1203,2,20)),1000000000)+ROW()/100000,"")</f>
        <v/>
      </c>
    </row>
    <row r="1204">
      <c r="G1204" s="11" t="n"/>
      <c r="Q1204" s="7">
        <f>IF($E1204="","",P1204*Y1204/100)</f>
        <v/>
      </c>
      <c r="R1204" s="7" t="n"/>
      <c r="X1204" s="7" t="n"/>
      <c r="Y1204" s="7" t="n"/>
      <c r="AB1204">
        <f>IF($E1204="","",IF($AQ1204=1,0,IF($AP1204=1,Settings!$C$6,Settings!$C$7))*100)</f>
        <v/>
      </c>
      <c r="AC1204" s="7">
        <f>IF($E1204="","",Y1204*AB1204/100)</f>
        <v/>
      </c>
      <c r="AD1204" s="7">
        <f>IF($E1204="","",Y1204-AC1204)</f>
        <v/>
      </c>
      <c r="AE1204" s="7">
        <f>IF($E1204="","",AD1204-Q1204)</f>
        <v/>
      </c>
      <c r="AI1204" s="7" t="n"/>
      <c r="AL1204" s="11" t="n"/>
      <c r="AN1204">
        <f>IF($E1204="","",IF(COUNTIF($E$2:$E1204,$E1204)=1,1,0))</f>
        <v/>
      </c>
      <c r="AO1204">
        <f>IF($AN1204=1,SUMPRODUCT(--($AR$2:$AR$4001&lt;$AR1204))+1,"")</f>
        <v/>
      </c>
      <c r="AP1204">
        <f>IF($E1204="","",IF(OR($U1204=TRUE(),$U1204="TRUE"),1,0))</f>
        <v/>
      </c>
      <c r="AQ1204">
        <f>IF($E1204="","",IF($AA1204="Yes",1,0))</f>
        <v/>
      </c>
      <c r="AR1204">
        <f>IF($AN1204=1,IFERROR(VALUE(MID($E1204,2,20)),1000000000)+ROW()/100000,"")</f>
        <v/>
      </c>
    </row>
    <row r="1205">
      <c r="G1205" s="11" t="n"/>
      <c r="Q1205" s="7">
        <f>IF($E1205="","",P1205*Y1205/100)</f>
        <v/>
      </c>
      <c r="R1205" s="7" t="n"/>
      <c r="X1205" s="7" t="n"/>
      <c r="Y1205" s="7" t="n"/>
      <c r="AB1205">
        <f>IF($E1205="","",IF($AQ1205=1,0,IF($AP1205=1,Settings!$C$6,Settings!$C$7))*100)</f>
        <v/>
      </c>
      <c r="AC1205" s="7">
        <f>IF($E1205="","",Y1205*AB1205/100)</f>
        <v/>
      </c>
      <c r="AD1205" s="7">
        <f>IF($E1205="","",Y1205-AC1205)</f>
        <v/>
      </c>
      <c r="AE1205" s="7">
        <f>IF($E1205="","",AD1205-Q1205)</f>
        <v/>
      </c>
      <c r="AI1205" s="7" t="n"/>
      <c r="AL1205" s="11" t="n"/>
      <c r="AN1205">
        <f>IF($E1205="","",IF(COUNTIF($E$2:$E1205,$E1205)=1,1,0))</f>
        <v/>
      </c>
      <c r="AO1205">
        <f>IF($AN1205=1,SUMPRODUCT(--($AR$2:$AR$4001&lt;$AR1205))+1,"")</f>
        <v/>
      </c>
      <c r="AP1205">
        <f>IF($E1205="","",IF(OR($U1205=TRUE(),$U1205="TRUE"),1,0))</f>
        <v/>
      </c>
      <c r="AQ1205">
        <f>IF($E1205="","",IF($AA1205="Yes",1,0))</f>
        <v/>
      </c>
      <c r="AR1205">
        <f>IF($AN1205=1,IFERROR(VALUE(MID($E1205,2,20)),1000000000)+ROW()/100000,"")</f>
        <v/>
      </c>
    </row>
    <row r="1206">
      <c r="G1206" s="11" t="n"/>
      <c r="Q1206" s="7">
        <f>IF($E1206="","",P1206*Y1206/100)</f>
        <v/>
      </c>
      <c r="R1206" s="7" t="n"/>
      <c r="X1206" s="7" t="n"/>
      <c r="Y1206" s="7" t="n"/>
      <c r="AB1206">
        <f>IF($E1206="","",IF($AQ1206=1,0,IF($AP1206=1,Settings!$C$6,Settings!$C$7))*100)</f>
        <v/>
      </c>
      <c r="AC1206" s="7">
        <f>IF($E1206="","",Y1206*AB1206/100)</f>
        <v/>
      </c>
      <c r="AD1206" s="7">
        <f>IF($E1206="","",Y1206-AC1206)</f>
        <v/>
      </c>
      <c r="AE1206" s="7">
        <f>IF($E1206="","",AD1206-Q1206)</f>
        <v/>
      </c>
      <c r="AI1206" s="7" t="n"/>
      <c r="AL1206" s="11" t="n"/>
      <c r="AN1206">
        <f>IF($E1206="","",IF(COUNTIF($E$2:$E1206,$E1206)=1,1,0))</f>
        <v/>
      </c>
      <c r="AO1206">
        <f>IF($AN1206=1,SUMPRODUCT(--($AR$2:$AR$4001&lt;$AR1206))+1,"")</f>
        <v/>
      </c>
      <c r="AP1206">
        <f>IF($E1206="","",IF(OR($U1206=TRUE(),$U1206="TRUE"),1,0))</f>
        <v/>
      </c>
      <c r="AQ1206">
        <f>IF($E1206="","",IF($AA1206="Yes",1,0))</f>
        <v/>
      </c>
      <c r="AR1206">
        <f>IF($AN1206=1,IFERROR(VALUE(MID($E1206,2,20)),1000000000)+ROW()/100000,"")</f>
        <v/>
      </c>
    </row>
    <row r="1207">
      <c r="G1207" s="11" t="n"/>
      <c r="Q1207" s="7">
        <f>IF($E1207="","",P1207*Y1207/100)</f>
        <v/>
      </c>
      <c r="R1207" s="7" t="n"/>
      <c r="X1207" s="7" t="n"/>
      <c r="Y1207" s="7" t="n"/>
      <c r="AB1207">
        <f>IF($E1207="","",IF($AQ1207=1,0,IF($AP1207=1,Settings!$C$6,Settings!$C$7))*100)</f>
        <v/>
      </c>
      <c r="AC1207" s="7">
        <f>IF($E1207="","",Y1207*AB1207/100)</f>
        <v/>
      </c>
      <c r="AD1207" s="7">
        <f>IF($E1207="","",Y1207-AC1207)</f>
        <v/>
      </c>
      <c r="AE1207" s="7">
        <f>IF($E1207="","",AD1207-Q1207)</f>
        <v/>
      </c>
      <c r="AI1207" s="7" t="n"/>
      <c r="AL1207" s="11" t="n"/>
      <c r="AN1207">
        <f>IF($E1207="","",IF(COUNTIF($E$2:$E1207,$E1207)=1,1,0))</f>
        <v/>
      </c>
      <c r="AO1207">
        <f>IF($AN1207=1,SUMPRODUCT(--($AR$2:$AR$4001&lt;$AR1207))+1,"")</f>
        <v/>
      </c>
      <c r="AP1207">
        <f>IF($E1207="","",IF(OR($U1207=TRUE(),$U1207="TRUE"),1,0))</f>
        <v/>
      </c>
      <c r="AQ1207">
        <f>IF($E1207="","",IF($AA1207="Yes",1,0))</f>
        <v/>
      </c>
      <c r="AR1207">
        <f>IF($AN1207=1,IFERROR(VALUE(MID($E1207,2,20)),1000000000)+ROW()/100000,"")</f>
        <v/>
      </c>
    </row>
    <row r="1208">
      <c r="G1208" s="11" t="n"/>
      <c r="Q1208" s="7">
        <f>IF($E1208="","",P1208*Y1208/100)</f>
        <v/>
      </c>
      <c r="R1208" s="7" t="n"/>
      <c r="X1208" s="7" t="n"/>
      <c r="Y1208" s="7" t="n"/>
      <c r="AB1208">
        <f>IF($E1208="","",IF($AQ1208=1,0,IF($AP1208=1,Settings!$C$6,Settings!$C$7))*100)</f>
        <v/>
      </c>
      <c r="AC1208" s="7">
        <f>IF($E1208="","",Y1208*AB1208/100)</f>
        <v/>
      </c>
      <c r="AD1208" s="7">
        <f>IF($E1208="","",Y1208-AC1208)</f>
        <v/>
      </c>
      <c r="AE1208" s="7">
        <f>IF($E1208="","",AD1208-Q1208)</f>
        <v/>
      </c>
      <c r="AI1208" s="7" t="n"/>
      <c r="AL1208" s="11" t="n"/>
      <c r="AN1208">
        <f>IF($E1208="","",IF(COUNTIF($E$2:$E1208,$E1208)=1,1,0))</f>
        <v/>
      </c>
      <c r="AO1208">
        <f>IF($AN1208=1,SUMPRODUCT(--($AR$2:$AR$4001&lt;$AR1208))+1,"")</f>
        <v/>
      </c>
      <c r="AP1208">
        <f>IF($E1208="","",IF(OR($U1208=TRUE(),$U1208="TRUE"),1,0))</f>
        <v/>
      </c>
      <c r="AQ1208">
        <f>IF($E1208="","",IF($AA1208="Yes",1,0))</f>
        <v/>
      </c>
      <c r="AR1208">
        <f>IF($AN1208=1,IFERROR(VALUE(MID($E1208,2,20)),1000000000)+ROW()/100000,"")</f>
        <v/>
      </c>
    </row>
    <row r="1209">
      <c r="G1209" s="11" t="n"/>
      <c r="Q1209" s="7">
        <f>IF($E1209="","",P1209*Y1209/100)</f>
        <v/>
      </c>
      <c r="R1209" s="7" t="n"/>
      <c r="X1209" s="7" t="n"/>
      <c r="Y1209" s="7" t="n"/>
      <c r="AB1209">
        <f>IF($E1209="","",IF($AQ1209=1,0,IF($AP1209=1,Settings!$C$6,Settings!$C$7))*100)</f>
        <v/>
      </c>
      <c r="AC1209" s="7">
        <f>IF($E1209="","",Y1209*AB1209/100)</f>
        <v/>
      </c>
      <c r="AD1209" s="7">
        <f>IF($E1209="","",Y1209-AC1209)</f>
        <v/>
      </c>
      <c r="AE1209" s="7">
        <f>IF($E1209="","",AD1209-Q1209)</f>
        <v/>
      </c>
      <c r="AI1209" s="7" t="n"/>
      <c r="AL1209" s="11" t="n"/>
      <c r="AN1209">
        <f>IF($E1209="","",IF(COUNTIF($E$2:$E1209,$E1209)=1,1,0))</f>
        <v/>
      </c>
      <c r="AO1209">
        <f>IF($AN1209=1,SUMPRODUCT(--($AR$2:$AR$4001&lt;$AR1209))+1,"")</f>
        <v/>
      </c>
      <c r="AP1209">
        <f>IF($E1209="","",IF(OR($U1209=TRUE(),$U1209="TRUE"),1,0))</f>
        <v/>
      </c>
      <c r="AQ1209">
        <f>IF($E1209="","",IF($AA1209="Yes",1,0))</f>
        <v/>
      </c>
      <c r="AR1209">
        <f>IF($AN1209=1,IFERROR(VALUE(MID($E1209,2,20)),1000000000)+ROW()/100000,"")</f>
        <v/>
      </c>
    </row>
    <row r="1210">
      <c r="G1210" s="11" t="n"/>
      <c r="Q1210" s="7">
        <f>IF($E1210="","",P1210*Y1210/100)</f>
        <v/>
      </c>
      <c r="R1210" s="7" t="n"/>
      <c r="X1210" s="7" t="n"/>
      <c r="Y1210" s="7" t="n"/>
      <c r="AB1210">
        <f>IF($E1210="","",IF($AQ1210=1,0,IF($AP1210=1,Settings!$C$6,Settings!$C$7))*100)</f>
        <v/>
      </c>
      <c r="AC1210" s="7">
        <f>IF($E1210="","",Y1210*AB1210/100)</f>
        <v/>
      </c>
      <c r="AD1210" s="7">
        <f>IF($E1210="","",Y1210-AC1210)</f>
        <v/>
      </c>
      <c r="AE1210" s="7">
        <f>IF($E1210="","",AD1210-Q1210)</f>
        <v/>
      </c>
      <c r="AI1210" s="7" t="n"/>
      <c r="AL1210" s="11" t="n"/>
      <c r="AN1210">
        <f>IF($E1210="","",IF(COUNTIF($E$2:$E1210,$E1210)=1,1,0))</f>
        <v/>
      </c>
      <c r="AO1210">
        <f>IF($AN1210=1,SUMPRODUCT(--($AR$2:$AR$4001&lt;$AR1210))+1,"")</f>
        <v/>
      </c>
      <c r="AP1210">
        <f>IF($E1210="","",IF(OR($U1210=TRUE(),$U1210="TRUE"),1,0))</f>
        <v/>
      </c>
      <c r="AQ1210">
        <f>IF($E1210="","",IF($AA1210="Yes",1,0))</f>
        <v/>
      </c>
      <c r="AR1210">
        <f>IF($AN1210=1,IFERROR(VALUE(MID($E1210,2,20)),1000000000)+ROW()/100000,"")</f>
        <v/>
      </c>
    </row>
    <row r="1211">
      <c r="G1211" s="11" t="n"/>
      <c r="Q1211" s="7">
        <f>IF($E1211="","",P1211*Y1211/100)</f>
        <v/>
      </c>
      <c r="R1211" s="7" t="n"/>
      <c r="X1211" s="7" t="n"/>
      <c r="Y1211" s="7" t="n"/>
      <c r="AB1211">
        <f>IF($E1211="","",IF($AQ1211=1,0,IF($AP1211=1,Settings!$C$6,Settings!$C$7))*100)</f>
        <v/>
      </c>
      <c r="AC1211" s="7">
        <f>IF($E1211="","",Y1211*AB1211/100)</f>
        <v/>
      </c>
      <c r="AD1211" s="7">
        <f>IF($E1211="","",Y1211-AC1211)</f>
        <v/>
      </c>
      <c r="AE1211" s="7">
        <f>IF($E1211="","",AD1211-Q1211)</f>
        <v/>
      </c>
      <c r="AI1211" s="7" t="n"/>
      <c r="AL1211" s="11" t="n"/>
      <c r="AN1211">
        <f>IF($E1211="","",IF(COUNTIF($E$2:$E1211,$E1211)=1,1,0))</f>
        <v/>
      </c>
      <c r="AO1211">
        <f>IF($AN1211=1,SUMPRODUCT(--($AR$2:$AR$4001&lt;$AR1211))+1,"")</f>
        <v/>
      </c>
      <c r="AP1211">
        <f>IF($E1211="","",IF(OR($U1211=TRUE(),$U1211="TRUE"),1,0))</f>
        <v/>
      </c>
      <c r="AQ1211">
        <f>IF($E1211="","",IF($AA1211="Yes",1,0))</f>
        <v/>
      </c>
      <c r="AR1211">
        <f>IF($AN1211=1,IFERROR(VALUE(MID($E1211,2,20)),1000000000)+ROW()/100000,"")</f>
        <v/>
      </c>
    </row>
    <row r="1212">
      <c r="G1212" s="11" t="n"/>
      <c r="Q1212" s="7">
        <f>IF($E1212="","",P1212*Y1212/100)</f>
        <v/>
      </c>
      <c r="R1212" s="7" t="n"/>
      <c r="X1212" s="7" t="n"/>
      <c r="Y1212" s="7" t="n"/>
      <c r="AB1212">
        <f>IF($E1212="","",IF($AQ1212=1,0,IF($AP1212=1,Settings!$C$6,Settings!$C$7))*100)</f>
        <v/>
      </c>
      <c r="AC1212" s="7">
        <f>IF($E1212="","",Y1212*AB1212/100)</f>
        <v/>
      </c>
      <c r="AD1212" s="7">
        <f>IF($E1212="","",Y1212-AC1212)</f>
        <v/>
      </c>
      <c r="AE1212" s="7">
        <f>IF($E1212="","",AD1212-Q1212)</f>
        <v/>
      </c>
      <c r="AI1212" s="7" t="n"/>
      <c r="AL1212" s="11" t="n"/>
      <c r="AN1212">
        <f>IF($E1212="","",IF(COUNTIF($E$2:$E1212,$E1212)=1,1,0))</f>
        <v/>
      </c>
      <c r="AO1212">
        <f>IF($AN1212=1,SUMPRODUCT(--($AR$2:$AR$4001&lt;$AR1212))+1,"")</f>
        <v/>
      </c>
      <c r="AP1212">
        <f>IF($E1212="","",IF(OR($U1212=TRUE(),$U1212="TRUE"),1,0))</f>
        <v/>
      </c>
      <c r="AQ1212">
        <f>IF($E1212="","",IF($AA1212="Yes",1,0))</f>
        <v/>
      </c>
      <c r="AR1212">
        <f>IF($AN1212=1,IFERROR(VALUE(MID($E1212,2,20)),1000000000)+ROW()/100000,"")</f>
        <v/>
      </c>
    </row>
    <row r="1213">
      <c r="G1213" s="11" t="n"/>
      <c r="Q1213" s="7">
        <f>IF($E1213="","",P1213*Y1213/100)</f>
        <v/>
      </c>
      <c r="R1213" s="7" t="n"/>
      <c r="X1213" s="7" t="n"/>
      <c r="Y1213" s="7" t="n"/>
      <c r="AB1213">
        <f>IF($E1213="","",IF($AQ1213=1,0,IF($AP1213=1,Settings!$C$6,Settings!$C$7))*100)</f>
        <v/>
      </c>
      <c r="AC1213" s="7">
        <f>IF($E1213="","",Y1213*AB1213/100)</f>
        <v/>
      </c>
      <c r="AD1213" s="7">
        <f>IF($E1213="","",Y1213-AC1213)</f>
        <v/>
      </c>
      <c r="AE1213" s="7">
        <f>IF($E1213="","",AD1213-Q1213)</f>
        <v/>
      </c>
      <c r="AI1213" s="7" t="n"/>
      <c r="AL1213" s="11" t="n"/>
      <c r="AN1213">
        <f>IF($E1213="","",IF(COUNTIF($E$2:$E1213,$E1213)=1,1,0))</f>
        <v/>
      </c>
      <c r="AO1213">
        <f>IF($AN1213=1,SUMPRODUCT(--($AR$2:$AR$4001&lt;$AR1213))+1,"")</f>
        <v/>
      </c>
      <c r="AP1213">
        <f>IF($E1213="","",IF(OR($U1213=TRUE(),$U1213="TRUE"),1,0))</f>
        <v/>
      </c>
      <c r="AQ1213">
        <f>IF($E1213="","",IF($AA1213="Yes",1,0))</f>
        <v/>
      </c>
      <c r="AR1213">
        <f>IF($AN1213=1,IFERROR(VALUE(MID($E1213,2,20)),1000000000)+ROW()/100000,"")</f>
        <v/>
      </c>
    </row>
    <row r="1214">
      <c r="G1214" s="11" t="n"/>
      <c r="Q1214" s="7">
        <f>IF($E1214="","",P1214*Y1214/100)</f>
        <v/>
      </c>
      <c r="R1214" s="7" t="n"/>
      <c r="X1214" s="7" t="n"/>
      <c r="Y1214" s="7" t="n"/>
      <c r="AB1214">
        <f>IF($E1214="","",IF($AQ1214=1,0,IF($AP1214=1,Settings!$C$6,Settings!$C$7))*100)</f>
        <v/>
      </c>
      <c r="AC1214" s="7">
        <f>IF($E1214="","",Y1214*AB1214/100)</f>
        <v/>
      </c>
      <c r="AD1214" s="7">
        <f>IF($E1214="","",Y1214-AC1214)</f>
        <v/>
      </c>
      <c r="AE1214" s="7">
        <f>IF($E1214="","",AD1214-Q1214)</f>
        <v/>
      </c>
      <c r="AI1214" s="7" t="n"/>
      <c r="AL1214" s="11" t="n"/>
      <c r="AN1214">
        <f>IF($E1214="","",IF(COUNTIF($E$2:$E1214,$E1214)=1,1,0))</f>
        <v/>
      </c>
      <c r="AO1214">
        <f>IF($AN1214=1,SUMPRODUCT(--($AR$2:$AR$4001&lt;$AR1214))+1,"")</f>
        <v/>
      </c>
      <c r="AP1214">
        <f>IF($E1214="","",IF(OR($U1214=TRUE(),$U1214="TRUE"),1,0))</f>
        <v/>
      </c>
      <c r="AQ1214">
        <f>IF($E1214="","",IF($AA1214="Yes",1,0))</f>
        <v/>
      </c>
      <c r="AR1214">
        <f>IF($AN1214=1,IFERROR(VALUE(MID($E1214,2,20)),1000000000)+ROW()/100000,"")</f>
        <v/>
      </c>
    </row>
    <row r="1215">
      <c r="G1215" s="11" t="n"/>
      <c r="Q1215" s="7">
        <f>IF($E1215="","",P1215*Y1215/100)</f>
        <v/>
      </c>
      <c r="R1215" s="7" t="n"/>
      <c r="X1215" s="7" t="n"/>
      <c r="Y1215" s="7" t="n"/>
      <c r="AB1215">
        <f>IF($E1215="","",IF($AQ1215=1,0,IF($AP1215=1,Settings!$C$6,Settings!$C$7))*100)</f>
        <v/>
      </c>
      <c r="AC1215" s="7">
        <f>IF($E1215="","",Y1215*AB1215/100)</f>
        <v/>
      </c>
      <c r="AD1215" s="7">
        <f>IF($E1215="","",Y1215-AC1215)</f>
        <v/>
      </c>
      <c r="AE1215" s="7">
        <f>IF($E1215="","",AD1215-Q1215)</f>
        <v/>
      </c>
      <c r="AI1215" s="7" t="n"/>
      <c r="AL1215" s="11" t="n"/>
      <c r="AN1215">
        <f>IF($E1215="","",IF(COUNTIF($E$2:$E1215,$E1215)=1,1,0))</f>
        <v/>
      </c>
      <c r="AO1215">
        <f>IF($AN1215=1,SUMPRODUCT(--($AR$2:$AR$4001&lt;$AR1215))+1,"")</f>
        <v/>
      </c>
      <c r="AP1215">
        <f>IF($E1215="","",IF(OR($U1215=TRUE(),$U1215="TRUE"),1,0))</f>
        <v/>
      </c>
      <c r="AQ1215">
        <f>IF($E1215="","",IF($AA1215="Yes",1,0))</f>
        <v/>
      </c>
      <c r="AR1215">
        <f>IF($AN1215=1,IFERROR(VALUE(MID($E1215,2,20)),1000000000)+ROW()/100000,"")</f>
        <v/>
      </c>
    </row>
    <row r="1216">
      <c r="G1216" s="11" t="n"/>
      <c r="Q1216" s="7">
        <f>IF($E1216="","",P1216*Y1216/100)</f>
        <v/>
      </c>
      <c r="R1216" s="7" t="n"/>
      <c r="X1216" s="7" t="n"/>
      <c r="Y1216" s="7" t="n"/>
      <c r="AB1216">
        <f>IF($E1216="","",IF($AQ1216=1,0,IF($AP1216=1,Settings!$C$6,Settings!$C$7))*100)</f>
        <v/>
      </c>
      <c r="AC1216" s="7">
        <f>IF($E1216="","",Y1216*AB1216/100)</f>
        <v/>
      </c>
      <c r="AD1216" s="7">
        <f>IF($E1216="","",Y1216-AC1216)</f>
        <v/>
      </c>
      <c r="AE1216" s="7">
        <f>IF($E1216="","",AD1216-Q1216)</f>
        <v/>
      </c>
      <c r="AI1216" s="7" t="n"/>
      <c r="AL1216" s="11" t="n"/>
      <c r="AN1216">
        <f>IF($E1216="","",IF(COUNTIF($E$2:$E1216,$E1216)=1,1,0))</f>
        <v/>
      </c>
      <c r="AO1216">
        <f>IF($AN1216=1,SUMPRODUCT(--($AR$2:$AR$4001&lt;$AR1216))+1,"")</f>
        <v/>
      </c>
      <c r="AP1216">
        <f>IF($E1216="","",IF(OR($U1216=TRUE(),$U1216="TRUE"),1,0))</f>
        <v/>
      </c>
      <c r="AQ1216">
        <f>IF($E1216="","",IF($AA1216="Yes",1,0))</f>
        <v/>
      </c>
      <c r="AR1216">
        <f>IF($AN1216=1,IFERROR(VALUE(MID($E1216,2,20)),1000000000)+ROW()/100000,"")</f>
        <v/>
      </c>
    </row>
    <row r="1217">
      <c r="G1217" s="11" t="n"/>
      <c r="Q1217" s="7">
        <f>IF($E1217="","",P1217*Y1217/100)</f>
        <v/>
      </c>
      <c r="R1217" s="7" t="n"/>
      <c r="X1217" s="7" t="n"/>
      <c r="Y1217" s="7" t="n"/>
      <c r="AB1217">
        <f>IF($E1217="","",IF($AQ1217=1,0,IF($AP1217=1,Settings!$C$6,Settings!$C$7))*100)</f>
        <v/>
      </c>
      <c r="AC1217" s="7">
        <f>IF($E1217="","",Y1217*AB1217/100)</f>
        <v/>
      </c>
      <c r="AD1217" s="7">
        <f>IF($E1217="","",Y1217-AC1217)</f>
        <v/>
      </c>
      <c r="AE1217" s="7">
        <f>IF($E1217="","",AD1217-Q1217)</f>
        <v/>
      </c>
      <c r="AI1217" s="7" t="n"/>
      <c r="AL1217" s="11" t="n"/>
      <c r="AN1217">
        <f>IF($E1217="","",IF(COUNTIF($E$2:$E1217,$E1217)=1,1,0))</f>
        <v/>
      </c>
      <c r="AO1217">
        <f>IF($AN1217=1,SUMPRODUCT(--($AR$2:$AR$4001&lt;$AR1217))+1,"")</f>
        <v/>
      </c>
      <c r="AP1217">
        <f>IF($E1217="","",IF(OR($U1217=TRUE(),$U1217="TRUE"),1,0))</f>
        <v/>
      </c>
      <c r="AQ1217">
        <f>IF($E1217="","",IF($AA1217="Yes",1,0))</f>
        <v/>
      </c>
      <c r="AR1217">
        <f>IF($AN1217=1,IFERROR(VALUE(MID($E1217,2,20)),1000000000)+ROW()/100000,"")</f>
        <v/>
      </c>
    </row>
    <row r="1218">
      <c r="G1218" s="11" t="n"/>
      <c r="Q1218" s="7">
        <f>IF($E1218="","",P1218*Y1218/100)</f>
        <v/>
      </c>
      <c r="R1218" s="7" t="n"/>
      <c r="X1218" s="7" t="n"/>
      <c r="Y1218" s="7" t="n"/>
      <c r="AB1218">
        <f>IF($E1218="","",IF($AQ1218=1,0,IF($AP1218=1,Settings!$C$6,Settings!$C$7))*100)</f>
        <v/>
      </c>
      <c r="AC1218" s="7">
        <f>IF($E1218="","",Y1218*AB1218/100)</f>
        <v/>
      </c>
      <c r="AD1218" s="7">
        <f>IF($E1218="","",Y1218-AC1218)</f>
        <v/>
      </c>
      <c r="AE1218" s="7">
        <f>IF($E1218="","",AD1218-Q1218)</f>
        <v/>
      </c>
      <c r="AI1218" s="7" t="n"/>
      <c r="AL1218" s="11" t="n"/>
      <c r="AN1218">
        <f>IF($E1218="","",IF(COUNTIF($E$2:$E1218,$E1218)=1,1,0))</f>
        <v/>
      </c>
      <c r="AO1218">
        <f>IF($AN1218=1,SUMPRODUCT(--($AR$2:$AR$4001&lt;$AR1218))+1,"")</f>
        <v/>
      </c>
      <c r="AP1218">
        <f>IF($E1218="","",IF(OR($U1218=TRUE(),$U1218="TRUE"),1,0))</f>
        <v/>
      </c>
      <c r="AQ1218">
        <f>IF($E1218="","",IF($AA1218="Yes",1,0))</f>
        <v/>
      </c>
      <c r="AR1218">
        <f>IF($AN1218=1,IFERROR(VALUE(MID($E1218,2,20)),1000000000)+ROW()/100000,"")</f>
        <v/>
      </c>
    </row>
    <row r="1219">
      <c r="G1219" s="11" t="n"/>
      <c r="Q1219" s="7">
        <f>IF($E1219="","",P1219*Y1219/100)</f>
        <v/>
      </c>
      <c r="R1219" s="7" t="n"/>
      <c r="X1219" s="7" t="n"/>
      <c r="Y1219" s="7" t="n"/>
      <c r="AB1219">
        <f>IF($E1219="","",IF($AQ1219=1,0,IF($AP1219=1,Settings!$C$6,Settings!$C$7))*100)</f>
        <v/>
      </c>
      <c r="AC1219" s="7">
        <f>IF($E1219="","",Y1219*AB1219/100)</f>
        <v/>
      </c>
      <c r="AD1219" s="7">
        <f>IF($E1219="","",Y1219-AC1219)</f>
        <v/>
      </c>
      <c r="AE1219" s="7">
        <f>IF($E1219="","",AD1219-Q1219)</f>
        <v/>
      </c>
      <c r="AI1219" s="7" t="n"/>
      <c r="AL1219" s="11" t="n"/>
      <c r="AN1219">
        <f>IF($E1219="","",IF(COUNTIF($E$2:$E1219,$E1219)=1,1,0))</f>
        <v/>
      </c>
      <c r="AO1219">
        <f>IF($AN1219=1,SUMPRODUCT(--($AR$2:$AR$4001&lt;$AR1219))+1,"")</f>
        <v/>
      </c>
      <c r="AP1219">
        <f>IF($E1219="","",IF(OR($U1219=TRUE(),$U1219="TRUE"),1,0))</f>
        <v/>
      </c>
      <c r="AQ1219">
        <f>IF($E1219="","",IF($AA1219="Yes",1,0))</f>
        <v/>
      </c>
      <c r="AR1219">
        <f>IF($AN1219=1,IFERROR(VALUE(MID($E1219,2,20)),1000000000)+ROW()/100000,"")</f>
        <v/>
      </c>
    </row>
    <row r="1220">
      <c r="G1220" s="11" t="n"/>
      <c r="Q1220" s="7">
        <f>IF($E1220="","",P1220*Y1220/100)</f>
        <v/>
      </c>
      <c r="R1220" s="7" t="n"/>
      <c r="X1220" s="7" t="n"/>
      <c r="Y1220" s="7" t="n"/>
      <c r="AB1220">
        <f>IF($E1220="","",IF($AQ1220=1,0,IF($AP1220=1,Settings!$C$6,Settings!$C$7))*100)</f>
        <v/>
      </c>
      <c r="AC1220" s="7">
        <f>IF($E1220="","",Y1220*AB1220/100)</f>
        <v/>
      </c>
      <c r="AD1220" s="7">
        <f>IF($E1220="","",Y1220-AC1220)</f>
        <v/>
      </c>
      <c r="AE1220" s="7">
        <f>IF($E1220="","",AD1220-Q1220)</f>
        <v/>
      </c>
      <c r="AI1220" s="7" t="n"/>
      <c r="AL1220" s="11" t="n"/>
      <c r="AN1220">
        <f>IF($E1220="","",IF(COUNTIF($E$2:$E1220,$E1220)=1,1,0))</f>
        <v/>
      </c>
      <c r="AO1220">
        <f>IF($AN1220=1,SUMPRODUCT(--($AR$2:$AR$4001&lt;$AR1220))+1,"")</f>
        <v/>
      </c>
      <c r="AP1220">
        <f>IF($E1220="","",IF(OR($U1220=TRUE(),$U1220="TRUE"),1,0))</f>
        <v/>
      </c>
      <c r="AQ1220">
        <f>IF($E1220="","",IF($AA1220="Yes",1,0))</f>
        <v/>
      </c>
      <c r="AR1220">
        <f>IF($AN1220=1,IFERROR(VALUE(MID($E1220,2,20)),1000000000)+ROW()/100000,"")</f>
        <v/>
      </c>
    </row>
    <row r="1221">
      <c r="G1221" s="11" t="n"/>
      <c r="Q1221" s="7">
        <f>IF($E1221="","",P1221*Y1221/100)</f>
        <v/>
      </c>
      <c r="R1221" s="7" t="n"/>
      <c r="X1221" s="7" t="n"/>
      <c r="Y1221" s="7" t="n"/>
      <c r="AB1221">
        <f>IF($E1221="","",IF($AQ1221=1,0,IF($AP1221=1,Settings!$C$6,Settings!$C$7))*100)</f>
        <v/>
      </c>
      <c r="AC1221" s="7">
        <f>IF($E1221="","",Y1221*AB1221/100)</f>
        <v/>
      </c>
      <c r="AD1221" s="7">
        <f>IF($E1221="","",Y1221-AC1221)</f>
        <v/>
      </c>
      <c r="AE1221" s="7">
        <f>IF($E1221="","",AD1221-Q1221)</f>
        <v/>
      </c>
      <c r="AI1221" s="7" t="n"/>
      <c r="AL1221" s="11" t="n"/>
      <c r="AN1221">
        <f>IF($E1221="","",IF(COUNTIF($E$2:$E1221,$E1221)=1,1,0))</f>
        <v/>
      </c>
      <c r="AO1221">
        <f>IF($AN1221=1,SUMPRODUCT(--($AR$2:$AR$4001&lt;$AR1221))+1,"")</f>
        <v/>
      </c>
      <c r="AP1221">
        <f>IF($E1221="","",IF(OR($U1221=TRUE(),$U1221="TRUE"),1,0))</f>
        <v/>
      </c>
      <c r="AQ1221">
        <f>IF($E1221="","",IF($AA1221="Yes",1,0))</f>
        <v/>
      </c>
      <c r="AR1221">
        <f>IF($AN1221=1,IFERROR(VALUE(MID($E1221,2,20)),1000000000)+ROW()/100000,"")</f>
        <v/>
      </c>
    </row>
    <row r="1222">
      <c r="G1222" s="11" t="n"/>
      <c r="Q1222" s="7">
        <f>IF($E1222="","",P1222*Y1222/100)</f>
        <v/>
      </c>
      <c r="R1222" s="7" t="n"/>
      <c r="X1222" s="7" t="n"/>
      <c r="Y1222" s="7" t="n"/>
      <c r="AB1222">
        <f>IF($E1222="","",IF($AQ1222=1,0,IF($AP1222=1,Settings!$C$6,Settings!$C$7))*100)</f>
        <v/>
      </c>
      <c r="AC1222" s="7">
        <f>IF($E1222="","",Y1222*AB1222/100)</f>
        <v/>
      </c>
      <c r="AD1222" s="7">
        <f>IF($E1222="","",Y1222-AC1222)</f>
        <v/>
      </c>
      <c r="AE1222" s="7">
        <f>IF($E1222="","",AD1222-Q1222)</f>
        <v/>
      </c>
      <c r="AI1222" s="7" t="n"/>
      <c r="AL1222" s="11" t="n"/>
      <c r="AN1222">
        <f>IF($E1222="","",IF(COUNTIF($E$2:$E1222,$E1222)=1,1,0))</f>
        <v/>
      </c>
      <c r="AO1222">
        <f>IF($AN1222=1,SUMPRODUCT(--($AR$2:$AR$4001&lt;$AR1222))+1,"")</f>
        <v/>
      </c>
      <c r="AP1222">
        <f>IF($E1222="","",IF(OR($U1222=TRUE(),$U1222="TRUE"),1,0))</f>
        <v/>
      </c>
      <c r="AQ1222">
        <f>IF($E1222="","",IF($AA1222="Yes",1,0))</f>
        <v/>
      </c>
      <c r="AR1222">
        <f>IF($AN1222=1,IFERROR(VALUE(MID($E1222,2,20)),1000000000)+ROW()/100000,"")</f>
        <v/>
      </c>
    </row>
    <row r="1223">
      <c r="G1223" s="11" t="n"/>
      <c r="Q1223" s="7">
        <f>IF($E1223="","",P1223*Y1223/100)</f>
        <v/>
      </c>
      <c r="R1223" s="7" t="n"/>
      <c r="X1223" s="7" t="n"/>
      <c r="Y1223" s="7" t="n"/>
      <c r="AB1223">
        <f>IF($E1223="","",IF($AQ1223=1,0,IF($AP1223=1,Settings!$C$6,Settings!$C$7))*100)</f>
        <v/>
      </c>
      <c r="AC1223" s="7">
        <f>IF($E1223="","",Y1223*AB1223/100)</f>
        <v/>
      </c>
      <c r="AD1223" s="7">
        <f>IF($E1223="","",Y1223-AC1223)</f>
        <v/>
      </c>
      <c r="AE1223" s="7">
        <f>IF($E1223="","",AD1223-Q1223)</f>
        <v/>
      </c>
      <c r="AI1223" s="7" t="n"/>
      <c r="AL1223" s="11" t="n"/>
      <c r="AN1223">
        <f>IF($E1223="","",IF(COUNTIF($E$2:$E1223,$E1223)=1,1,0))</f>
        <v/>
      </c>
      <c r="AO1223">
        <f>IF($AN1223=1,SUMPRODUCT(--($AR$2:$AR$4001&lt;$AR1223))+1,"")</f>
        <v/>
      </c>
      <c r="AP1223">
        <f>IF($E1223="","",IF(OR($U1223=TRUE(),$U1223="TRUE"),1,0))</f>
        <v/>
      </c>
      <c r="AQ1223">
        <f>IF($E1223="","",IF($AA1223="Yes",1,0))</f>
        <v/>
      </c>
      <c r="AR1223">
        <f>IF($AN1223=1,IFERROR(VALUE(MID($E1223,2,20)),1000000000)+ROW()/100000,"")</f>
        <v/>
      </c>
    </row>
    <row r="1224">
      <c r="G1224" s="11" t="n"/>
      <c r="Q1224" s="7">
        <f>IF($E1224="","",P1224*Y1224/100)</f>
        <v/>
      </c>
      <c r="R1224" s="7" t="n"/>
      <c r="X1224" s="7" t="n"/>
      <c r="Y1224" s="7" t="n"/>
      <c r="AB1224">
        <f>IF($E1224="","",IF($AQ1224=1,0,IF($AP1224=1,Settings!$C$6,Settings!$C$7))*100)</f>
        <v/>
      </c>
      <c r="AC1224" s="7">
        <f>IF($E1224="","",Y1224*AB1224/100)</f>
        <v/>
      </c>
      <c r="AD1224" s="7">
        <f>IF($E1224="","",Y1224-AC1224)</f>
        <v/>
      </c>
      <c r="AE1224" s="7">
        <f>IF($E1224="","",AD1224-Q1224)</f>
        <v/>
      </c>
      <c r="AI1224" s="7" t="n"/>
      <c r="AL1224" s="11" t="n"/>
      <c r="AN1224">
        <f>IF($E1224="","",IF(COUNTIF($E$2:$E1224,$E1224)=1,1,0))</f>
        <v/>
      </c>
      <c r="AO1224">
        <f>IF($AN1224=1,SUMPRODUCT(--($AR$2:$AR$4001&lt;$AR1224))+1,"")</f>
        <v/>
      </c>
      <c r="AP1224">
        <f>IF($E1224="","",IF(OR($U1224=TRUE(),$U1224="TRUE"),1,0))</f>
        <v/>
      </c>
      <c r="AQ1224">
        <f>IF($E1224="","",IF($AA1224="Yes",1,0))</f>
        <v/>
      </c>
      <c r="AR1224">
        <f>IF($AN1224=1,IFERROR(VALUE(MID($E1224,2,20)),1000000000)+ROW()/100000,"")</f>
        <v/>
      </c>
    </row>
    <row r="1225">
      <c r="G1225" s="11" t="n"/>
      <c r="Q1225" s="7">
        <f>IF($E1225="","",P1225*Y1225/100)</f>
        <v/>
      </c>
      <c r="R1225" s="7" t="n"/>
      <c r="X1225" s="7" t="n"/>
      <c r="Y1225" s="7" t="n"/>
      <c r="AB1225">
        <f>IF($E1225="","",IF($AQ1225=1,0,IF($AP1225=1,Settings!$C$6,Settings!$C$7))*100)</f>
        <v/>
      </c>
      <c r="AC1225" s="7">
        <f>IF($E1225="","",Y1225*AB1225/100)</f>
        <v/>
      </c>
      <c r="AD1225" s="7">
        <f>IF($E1225="","",Y1225-AC1225)</f>
        <v/>
      </c>
      <c r="AE1225" s="7">
        <f>IF($E1225="","",AD1225-Q1225)</f>
        <v/>
      </c>
      <c r="AI1225" s="7" t="n"/>
      <c r="AL1225" s="11" t="n"/>
      <c r="AN1225">
        <f>IF($E1225="","",IF(COUNTIF($E$2:$E1225,$E1225)=1,1,0))</f>
        <v/>
      </c>
      <c r="AO1225">
        <f>IF($AN1225=1,SUMPRODUCT(--($AR$2:$AR$4001&lt;$AR1225))+1,"")</f>
        <v/>
      </c>
      <c r="AP1225">
        <f>IF($E1225="","",IF(OR($U1225=TRUE(),$U1225="TRUE"),1,0))</f>
        <v/>
      </c>
      <c r="AQ1225">
        <f>IF($E1225="","",IF($AA1225="Yes",1,0))</f>
        <v/>
      </c>
      <c r="AR1225">
        <f>IF($AN1225=1,IFERROR(VALUE(MID($E1225,2,20)),1000000000)+ROW()/100000,"")</f>
        <v/>
      </c>
    </row>
    <row r="1226">
      <c r="G1226" s="11" t="n"/>
      <c r="Q1226" s="7">
        <f>IF($E1226="","",P1226*Y1226/100)</f>
        <v/>
      </c>
      <c r="R1226" s="7" t="n"/>
      <c r="X1226" s="7" t="n"/>
      <c r="Y1226" s="7" t="n"/>
      <c r="AB1226">
        <f>IF($E1226="","",IF($AQ1226=1,0,IF($AP1226=1,Settings!$C$6,Settings!$C$7))*100)</f>
        <v/>
      </c>
      <c r="AC1226" s="7">
        <f>IF($E1226="","",Y1226*AB1226/100)</f>
        <v/>
      </c>
      <c r="AD1226" s="7">
        <f>IF($E1226="","",Y1226-AC1226)</f>
        <v/>
      </c>
      <c r="AE1226" s="7">
        <f>IF($E1226="","",AD1226-Q1226)</f>
        <v/>
      </c>
      <c r="AI1226" s="7" t="n"/>
      <c r="AL1226" s="11" t="n"/>
      <c r="AN1226">
        <f>IF($E1226="","",IF(COUNTIF($E$2:$E1226,$E1226)=1,1,0))</f>
        <v/>
      </c>
      <c r="AO1226">
        <f>IF($AN1226=1,SUMPRODUCT(--($AR$2:$AR$4001&lt;$AR1226))+1,"")</f>
        <v/>
      </c>
      <c r="AP1226">
        <f>IF($E1226="","",IF(OR($U1226=TRUE(),$U1226="TRUE"),1,0))</f>
        <v/>
      </c>
      <c r="AQ1226">
        <f>IF($E1226="","",IF($AA1226="Yes",1,0))</f>
        <v/>
      </c>
      <c r="AR1226">
        <f>IF($AN1226=1,IFERROR(VALUE(MID($E1226,2,20)),1000000000)+ROW()/100000,"")</f>
        <v/>
      </c>
    </row>
    <row r="1227">
      <c r="G1227" s="11" t="n"/>
      <c r="Q1227" s="7">
        <f>IF($E1227="","",P1227*Y1227/100)</f>
        <v/>
      </c>
      <c r="R1227" s="7" t="n"/>
      <c r="X1227" s="7" t="n"/>
      <c r="Y1227" s="7" t="n"/>
      <c r="AB1227">
        <f>IF($E1227="","",IF($AQ1227=1,0,IF($AP1227=1,Settings!$C$6,Settings!$C$7))*100)</f>
        <v/>
      </c>
      <c r="AC1227" s="7">
        <f>IF($E1227="","",Y1227*AB1227/100)</f>
        <v/>
      </c>
      <c r="AD1227" s="7">
        <f>IF($E1227="","",Y1227-AC1227)</f>
        <v/>
      </c>
      <c r="AE1227" s="7">
        <f>IF($E1227="","",AD1227-Q1227)</f>
        <v/>
      </c>
      <c r="AI1227" s="7" t="n"/>
      <c r="AL1227" s="11" t="n"/>
      <c r="AN1227">
        <f>IF($E1227="","",IF(COUNTIF($E$2:$E1227,$E1227)=1,1,0))</f>
        <v/>
      </c>
      <c r="AO1227">
        <f>IF($AN1227=1,SUMPRODUCT(--($AR$2:$AR$4001&lt;$AR1227))+1,"")</f>
        <v/>
      </c>
      <c r="AP1227">
        <f>IF($E1227="","",IF(OR($U1227=TRUE(),$U1227="TRUE"),1,0))</f>
        <v/>
      </c>
      <c r="AQ1227">
        <f>IF($E1227="","",IF($AA1227="Yes",1,0))</f>
        <v/>
      </c>
      <c r="AR1227">
        <f>IF($AN1227=1,IFERROR(VALUE(MID($E1227,2,20)),1000000000)+ROW()/100000,"")</f>
        <v/>
      </c>
    </row>
    <row r="1228">
      <c r="G1228" s="11" t="n"/>
      <c r="Q1228" s="7">
        <f>IF($E1228="","",P1228*Y1228/100)</f>
        <v/>
      </c>
      <c r="R1228" s="7" t="n"/>
      <c r="X1228" s="7" t="n"/>
      <c r="Y1228" s="7" t="n"/>
      <c r="AB1228">
        <f>IF($E1228="","",IF($AQ1228=1,0,IF($AP1228=1,Settings!$C$6,Settings!$C$7))*100)</f>
        <v/>
      </c>
      <c r="AC1228" s="7">
        <f>IF($E1228="","",Y1228*AB1228/100)</f>
        <v/>
      </c>
      <c r="AD1228" s="7">
        <f>IF($E1228="","",Y1228-AC1228)</f>
        <v/>
      </c>
      <c r="AE1228" s="7">
        <f>IF($E1228="","",AD1228-Q1228)</f>
        <v/>
      </c>
      <c r="AI1228" s="7" t="n"/>
      <c r="AL1228" s="11" t="n"/>
      <c r="AN1228">
        <f>IF($E1228="","",IF(COUNTIF($E$2:$E1228,$E1228)=1,1,0))</f>
        <v/>
      </c>
      <c r="AO1228">
        <f>IF($AN1228=1,SUMPRODUCT(--($AR$2:$AR$4001&lt;$AR1228))+1,"")</f>
        <v/>
      </c>
      <c r="AP1228">
        <f>IF($E1228="","",IF(OR($U1228=TRUE(),$U1228="TRUE"),1,0))</f>
        <v/>
      </c>
      <c r="AQ1228">
        <f>IF($E1228="","",IF($AA1228="Yes",1,0))</f>
        <v/>
      </c>
      <c r="AR1228">
        <f>IF($AN1228=1,IFERROR(VALUE(MID($E1228,2,20)),1000000000)+ROW()/100000,"")</f>
        <v/>
      </c>
    </row>
    <row r="1229">
      <c r="G1229" s="11" t="n"/>
      <c r="Q1229" s="7">
        <f>IF($E1229="","",P1229*Y1229/100)</f>
        <v/>
      </c>
      <c r="R1229" s="7" t="n"/>
      <c r="X1229" s="7" t="n"/>
      <c r="Y1229" s="7" t="n"/>
      <c r="AB1229">
        <f>IF($E1229="","",IF($AQ1229=1,0,IF($AP1229=1,Settings!$C$6,Settings!$C$7))*100)</f>
        <v/>
      </c>
      <c r="AC1229" s="7">
        <f>IF($E1229="","",Y1229*AB1229/100)</f>
        <v/>
      </c>
      <c r="AD1229" s="7">
        <f>IF($E1229="","",Y1229-AC1229)</f>
        <v/>
      </c>
      <c r="AE1229" s="7">
        <f>IF($E1229="","",AD1229-Q1229)</f>
        <v/>
      </c>
      <c r="AI1229" s="7" t="n"/>
      <c r="AL1229" s="11" t="n"/>
      <c r="AN1229">
        <f>IF($E1229="","",IF(COUNTIF($E$2:$E1229,$E1229)=1,1,0))</f>
        <v/>
      </c>
      <c r="AO1229">
        <f>IF($AN1229=1,SUMPRODUCT(--($AR$2:$AR$4001&lt;$AR1229))+1,"")</f>
        <v/>
      </c>
      <c r="AP1229">
        <f>IF($E1229="","",IF(OR($U1229=TRUE(),$U1229="TRUE"),1,0))</f>
        <v/>
      </c>
      <c r="AQ1229">
        <f>IF($E1229="","",IF($AA1229="Yes",1,0))</f>
        <v/>
      </c>
      <c r="AR1229">
        <f>IF($AN1229=1,IFERROR(VALUE(MID($E1229,2,20)),1000000000)+ROW()/100000,"")</f>
        <v/>
      </c>
    </row>
    <row r="1230">
      <c r="G1230" s="11" t="n"/>
      <c r="Q1230" s="7">
        <f>IF($E1230="","",P1230*Y1230/100)</f>
        <v/>
      </c>
      <c r="R1230" s="7" t="n"/>
      <c r="X1230" s="7" t="n"/>
      <c r="Y1230" s="7" t="n"/>
      <c r="AB1230">
        <f>IF($E1230="","",IF($AQ1230=1,0,IF($AP1230=1,Settings!$C$6,Settings!$C$7))*100)</f>
        <v/>
      </c>
      <c r="AC1230" s="7">
        <f>IF($E1230="","",Y1230*AB1230/100)</f>
        <v/>
      </c>
      <c r="AD1230" s="7">
        <f>IF($E1230="","",Y1230-AC1230)</f>
        <v/>
      </c>
      <c r="AE1230" s="7">
        <f>IF($E1230="","",AD1230-Q1230)</f>
        <v/>
      </c>
      <c r="AI1230" s="7" t="n"/>
      <c r="AL1230" s="11" t="n"/>
      <c r="AN1230">
        <f>IF($E1230="","",IF(COUNTIF($E$2:$E1230,$E1230)=1,1,0))</f>
        <v/>
      </c>
      <c r="AO1230">
        <f>IF($AN1230=1,SUMPRODUCT(--($AR$2:$AR$4001&lt;$AR1230))+1,"")</f>
        <v/>
      </c>
      <c r="AP1230">
        <f>IF($E1230="","",IF(OR($U1230=TRUE(),$U1230="TRUE"),1,0))</f>
        <v/>
      </c>
      <c r="AQ1230">
        <f>IF($E1230="","",IF($AA1230="Yes",1,0))</f>
        <v/>
      </c>
      <c r="AR1230">
        <f>IF($AN1230=1,IFERROR(VALUE(MID($E1230,2,20)),1000000000)+ROW()/100000,"")</f>
        <v/>
      </c>
    </row>
    <row r="1231">
      <c r="G1231" s="11" t="n"/>
      <c r="Q1231" s="7">
        <f>IF($E1231="","",P1231*Y1231/100)</f>
        <v/>
      </c>
      <c r="R1231" s="7" t="n"/>
      <c r="X1231" s="7" t="n"/>
      <c r="Y1231" s="7" t="n"/>
      <c r="AB1231">
        <f>IF($E1231="","",IF($AQ1231=1,0,IF($AP1231=1,Settings!$C$6,Settings!$C$7))*100)</f>
        <v/>
      </c>
      <c r="AC1231" s="7">
        <f>IF($E1231="","",Y1231*AB1231/100)</f>
        <v/>
      </c>
      <c r="AD1231" s="7">
        <f>IF($E1231="","",Y1231-AC1231)</f>
        <v/>
      </c>
      <c r="AE1231" s="7">
        <f>IF($E1231="","",AD1231-Q1231)</f>
        <v/>
      </c>
      <c r="AI1231" s="7" t="n"/>
      <c r="AL1231" s="11" t="n"/>
      <c r="AN1231">
        <f>IF($E1231="","",IF(COUNTIF($E$2:$E1231,$E1231)=1,1,0))</f>
        <v/>
      </c>
      <c r="AO1231">
        <f>IF($AN1231=1,SUMPRODUCT(--($AR$2:$AR$4001&lt;$AR1231))+1,"")</f>
        <v/>
      </c>
      <c r="AP1231">
        <f>IF($E1231="","",IF(OR($U1231=TRUE(),$U1231="TRUE"),1,0))</f>
        <v/>
      </c>
      <c r="AQ1231">
        <f>IF($E1231="","",IF($AA1231="Yes",1,0))</f>
        <v/>
      </c>
      <c r="AR1231">
        <f>IF($AN1231=1,IFERROR(VALUE(MID($E1231,2,20)),1000000000)+ROW()/100000,"")</f>
        <v/>
      </c>
    </row>
    <row r="1232">
      <c r="G1232" s="11" t="n"/>
      <c r="Q1232" s="7">
        <f>IF($E1232="","",P1232*Y1232/100)</f>
        <v/>
      </c>
      <c r="R1232" s="7" t="n"/>
      <c r="X1232" s="7" t="n"/>
      <c r="Y1232" s="7" t="n"/>
      <c r="AB1232">
        <f>IF($E1232="","",IF($AQ1232=1,0,IF($AP1232=1,Settings!$C$6,Settings!$C$7))*100)</f>
        <v/>
      </c>
      <c r="AC1232" s="7">
        <f>IF($E1232="","",Y1232*AB1232/100)</f>
        <v/>
      </c>
      <c r="AD1232" s="7">
        <f>IF($E1232="","",Y1232-AC1232)</f>
        <v/>
      </c>
      <c r="AE1232" s="7">
        <f>IF($E1232="","",AD1232-Q1232)</f>
        <v/>
      </c>
      <c r="AI1232" s="7" t="n"/>
      <c r="AL1232" s="11" t="n"/>
      <c r="AN1232">
        <f>IF($E1232="","",IF(COUNTIF($E$2:$E1232,$E1232)=1,1,0))</f>
        <v/>
      </c>
      <c r="AO1232">
        <f>IF($AN1232=1,SUMPRODUCT(--($AR$2:$AR$4001&lt;$AR1232))+1,"")</f>
        <v/>
      </c>
      <c r="AP1232">
        <f>IF($E1232="","",IF(OR($U1232=TRUE(),$U1232="TRUE"),1,0))</f>
        <v/>
      </c>
      <c r="AQ1232">
        <f>IF($E1232="","",IF($AA1232="Yes",1,0))</f>
        <v/>
      </c>
      <c r="AR1232">
        <f>IF($AN1232=1,IFERROR(VALUE(MID($E1232,2,20)),1000000000)+ROW()/100000,"")</f>
        <v/>
      </c>
    </row>
    <row r="1233">
      <c r="G1233" s="11" t="n"/>
      <c r="Q1233" s="7">
        <f>IF($E1233="","",P1233*Y1233/100)</f>
        <v/>
      </c>
      <c r="R1233" s="7" t="n"/>
      <c r="X1233" s="7" t="n"/>
      <c r="Y1233" s="7" t="n"/>
      <c r="AB1233">
        <f>IF($E1233="","",IF($AQ1233=1,0,IF($AP1233=1,Settings!$C$6,Settings!$C$7))*100)</f>
        <v/>
      </c>
      <c r="AC1233" s="7">
        <f>IF($E1233="","",Y1233*AB1233/100)</f>
        <v/>
      </c>
      <c r="AD1233" s="7">
        <f>IF($E1233="","",Y1233-AC1233)</f>
        <v/>
      </c>
      <c r="AE1233" s="7">
        <f>IF($E1233="","",AD1233-Q1233)</f>
        <v/>
      </c>
      <c r="AI1233" s="7" t="n"/>
      <c r="AL1233" s="11" t="n"/>
      <c r="AN1233">
        <f>IF($E1233="","",IF(COUNTIF($E$2:$E1233,$E1233)=1,1,0))</f>
        <v/>
      </c>
      <c r="AO1233">
        <f>IF($AN1233=1,SUMPRODUCT(--($AR$2:$AR$4001&lt;$AR1233))+1,"")</f>
        <v/>
      </c>
      <c r="AP1233">
        <f>IF($E1233="","",IF(OR($U1233=TRUE(),$U1233="TRUE"),1,0))</f>
        <v/>
      </c>
      <c r="AQ1233">
        <f>IF($E1233="","",IF($AA1233="Yes",1,0))</f>
        <v/>
      </c>
      <c r="AR1233">
        <f>IF($AN1233=1,IFERROR(VALUE(MID($E1233,2,20)),1000000000)+ROW()/100000,"")</f>
        <v/>
      </c>
    </row>
    <row r="1234">
      <c r="G1234" s="11" t="n"/>
      <c r="Q1234" s="7">
        <f>IF($E1234="","",P1234*Y1234/100)</f>
        <v/>
      </c>
      <c r="R1234" s="7" t="n"/>
      <c r="X1234" s="7" t="n"/>
      <c r="Y1234" s="7" t="n"/>
      <c r="AB1234">
        <f>IF($E1234="","",IF($AQ1234=1,0,IF($AP1234=1,Settings!$C$6,Settings!$C$7))*100)</f>
        <v/>
      </c>
      <c r="AC1234" s="7">
        <f>IF($E1234="","",Y1234*AB1234/100)</f>
        <v/>
      </c>
      <c r="AD1234" s="7">
        <f>IF($E1234="","",Y1234-AC1234)</f>
        <v/>
      </c>
      <c r="AE1234" s="7">
        <f>IF($E1234="","",AD1234-Q1234)</f>
        <v/>
      </c>
      <c r="AI1234" s="7" t="n"/>
      <c r="AL1234" s="11" t="n"/>
      <c r="AN1234">
        <f>IF($E1234="","",IF(COUNTIF($E$2:$E1234,$E1234)=1,1,0))</f>
        <v/>
      </c>
      <c r="AO1234">
        <f>IF($AN1234=1,SUMPRODUCT(--($AR$2:$AR$4001&lt;$AR1234))+1,"")</f>
        <v/>
      </c>
      <c r="AP1234">
        <f>IF($E1234="","",IF(OR($U1234=TRUE(),$U1234="TRUE"),1,0))</f>
        <v/>
      </c>
      <c r="AQ1234">
        <f>IF($E1234="","",IF($AA1234="Yes",1,0))</f>
        <v/>
      </c>
      <c r="AR1234">
        <f>IF($AN1234=1,IFERROR(VALUE(MID($E1234,2,20)),1000000000)+ROW()/100000,"")</f>
        <v/>
      </c>
    </row>
    <row r="1235">
      <c r="G1235" s="11" t="n"/>
      <c r="Q1235" s="7">
        <f>IF($E1235="","",P1235*Y1235/100)</f>
        <v/>
      </c>
      <c r="R1235" s="7" t="n"/>
      <c r="X1235" s="7" t="n"/>
      <c r="Y1235" s="7" t="n"/>
      <c r="AB1235">
        <f>IF($E1235="","",IF($AQ1235=1,0,IF($AP1235=1,Settings!$C$6,Settings!$C$7))*100)</f>
        <v/>
      </c>
      <c r="AC1235" s="7">
        <f>IF($E1235="","",Y1235*AB1235/100)</f>
        <v/>
      </c>
      <c r="AD1235" s="7">
        <f>IF($E1235="","",Y1235-AC1235)</f>
        <v/>
      </c>
      <c r="AE1235" s="7">
        <f>IF($E1235="","",AD1235-Q1235)</f>
        <v/>
      </c>
      <c r="AI1235" s="7" t="n"/>
      <c r="AL1235" s="11" t="n"/>
      <c r="AN1235">
        <f>IF($E1235="","",IF(COUNTIF($E$2:$E1235,$E1235)=1,1,0))</f>
        <v/>
      </c>
      <c r="AO1235">
        <f>IF($AN1235=1,SUMPRODUCT(--($AR$2:$AR$4001&lt;$AR1235))+1,"")</f>
        <v/>
      </c>
      <c r="AP1235">
        <f>IF($E1235="","",IF(OR($U1235=TRUE(),$U1235="TRUE"),1,0))</f>
        <v/>
      </c>
      <c r="AQ1235">
        <f>IF($E1235="","",IF($AA1235="Yes",1,0))</f>
        <v/>
      </c>
      <c r="AR1235">
        <f>IF($AN1235=1,IFERROR(VALUE(MID($E1235,2,20)),1000000000)+ROW()/100000,"")</f>
        <v/>
      </c>
    </row>
    <row r="1236">
      <c r="G1236" s="11" t="n"/>
      <c r="Q1236" s="7">
        <f>IF($E1236="","",P1236*Y1236/100)</f>
        <v/>
      </c>
      <c r="R1236" s="7" t="n"/>
      <c r="X1236" s="7" t="n"/>
      <c r="Y1236" s="7" t="n"/>
      <c r="AB1236">
        <f>IF($E1236="","",IF($AQ1236=1,0,IF($AP1236=1,Settings!$C$6,Settings!$C$7))*100)</f>
        <v/>
      </c>
      <c r="AC1236" s="7">
        <f>IF($E1236="","",Y1236*AB1236/100)</f>
        <v/>
      </c>
      <c r="AD1236" s="7">
        <f>IF($E1236="","",Y1236-AC1236)</f>
        <v/>
      </c>
      <c r="AE1236" s="7">
        <f>IF($E1236="","",AD1236-Q1236)</f>
        <v/>
      </c>
      <c r="AI1236" s="7" t="n"/>
      <c r="AL1236" s="11" t="n"/>
      <c r="AN1236">
        <f>IF($E1236="","",IF(COUNTIF($E$2:$E1236,$E1236)=1,1,0))</f>
        <v/>
      </c>
      <c r="AO1236">
        <f>IF($AN1236=1,SUMPRODUCT(--($AR$2:$AR$4001&lt;$AR1236))+1,"")</f>
        <v/>
      </c>
      <c r="AP1236">
        <f>IF($E1236="","",IF(OR($U1236=TRUE(),$U1236="TRUE"),1,0))</f>
        <v/>
      </c>
      <c r="AQ1236">
        <f>IF($E1236="","",IF($AA1236="Yes",1,0))</f>
        <v/>
      </c>
      <c r="AR1236">
        <f>IF($AN1236=1,IFERROR(VALUE(MID($E1236,2,20)),1000000000)+ROW()/100000,"")</f>
        <v/>
      </c>
    </row>
    <row r="1237">
      <c r="G1237" s="11" t="n"/>
      <c r="Q1237" s="7">
        <f>IF($E1237="","",P1237*Y1237/100)</f>
        <v/>
      </c>
      <c r="R1237" s="7" t="n"/>
      <c r="X1237" s="7" t="n"/>
      <c r="Y1237" s="7" t="n"/>
      <c r="AB1237">
        <f>IF($E1237="","",IF($AQ1237=1,0,IF($AP1237=1,Settings!$C$6,Settings!$C$7))*100)</f>
        <v/>
      </c>
      <c r="AC1237" s="7">
        <f>IF($E1237="","",Y1237*AB1237/100)</f>
        <v/>
      </c>
      <c r="AD1237" s="7">
        <f>IF($E1237="","",Y1237-AC1237)</f>
        <v/>
      </c>
      <c r="AE1237" s="7">
        <f>IF($E1237="","",AD1237-Q1237)</f>
        <v/>
      </c>
      <c r="AI1237" s="7" t="n"/>
      <c r="AL1237" s="11" t="n"/>
      <c r="AN1237">
        <f>IF($E1237="","",IF(COUNTIF($E$2:$E1237,$E1237)=1,1,0))</f>
        <v/>
      </c>
      <c r="AO1237">
        <f>IF($AN1237=1,SUMPRODUCT(--($AR$2:$AR$4001&lt;$AR1237))+1,"")</f>
        <v/>
      </c>
      <c r="AP1237">
        <f>IF($E1237="","",IF(OR($U1237=TRUE(),$U1237="TRUE"),1,0))</f>
        <v/>
      </c>
      <c r="AQ1237">
        <f>IF($E1237="","",IF($AA1237="Yes",1,0))</f>
        <v/>
      </c>
      <c r="AR1237">
        <f>IF($AN1237=1,IFERROR(VALUE(MID($E1237,2,20)),1000000000)+ROW()/100000,"")</f>
        <v/>
      </c>
    </row>
    <row r="1238">
      <c r="G1238" s="11" t="n"/>
      <c r="Q1238" s="7">
        <f>IF($E1238="","",P1238*Y1238/100)</f>
        <v/>
      </c>
      <c r="R1238" s="7" t="n"/>
      <c r="X1238" s="7" t="n"/>
      <c r="Y1238" s="7" t="n"/>
      <c r="AB1238">
        <f>IF($E1238="","",IF($AQ1238=1,0,IF($AP1238=1,Settings!$C$6,Settings!$C$7))*100)</f>
        <v/>
      </c>
      <c r="AC1238" s="7">
        <f>IF($E1238="","",Y1238*AB1238/100)</f>
        <v/>
      </c>
      <c r="AD1238" s="7">
        <f>IF($E1238="","",Y1238-AC1238)</f>
        <v/>
      </c>
      <c r="AE1238" s="7">
        <f>IF($E1238="","",AD1238-Q1238)</f>
        <v/>
      </c>
      <c r="AI1238" s="7" t="n"/>
      <c r="AL1238" s="11" t="n"/>
      <c r="AN1238">
        <f>IF($E1238="","",IF(COUNTIF($E$2:$E1238,$E1238)=1,1,0))</f>
        <v/>
      </c>
      <c r="AO1238">
        <f>IF($AN1238=1,SUMPRODUCT(--($AR$2:$AR$4001&lt;$AR1238))+1,"")</f>
        <v/>
      </c>
      <c r="AP1238">
        <f>IF($E1238="","",IF(OR($U1238=TRUE(),$U1238="TRUE"),1,0))</f>
        <v/>
      </c>
      <c r="AQ1238">
        <f>IF($E1238="","",IF($AA1238="Yes",1,0))</f>
        <v/>
      </c>
      <c r="AR1238">
        <f>IF($AN1238=1,IFERROR(VALUE(MID($E1238,2,20)),1000000000)+ROW()/100000,"")</f>
        <v/>
      </c>
    </row>
    <row r="1239">
      <c r="G1239" s="11" t="n"/>
      <c r="Q1239" s="7">
        <f>IF($E1239="","",P1239*Y1239/100)</f>
        <v/>
      </c>
      <c r="R1239" s="7" t="n"/>
      <c r="X1239" s="7" t="n"/>
      <c r="Y1239" s="7" t="n"/>
      <c r="AB1239">
        <f>IF($E1239="","",IF($AQ1239=1,0,IF($AP1239=1,Settings!$C$6,Settings!$C$7))*100)</f>
        <v/>
      </c>
      <c r="AC1239" s="7">
        <f>IF($E1239="","",Y1239*AB1239/100)</f>
        <v/>
      </c>
      <c r="AD1239" s="7">
        <f>IF($E1239="","",Y1239-AC1239)</f>
        <v/>
      </c>
      <c r="AE1239" s="7">
        <f>IF($E1239="","",AD1239-Q1239)</f>
        <v/>
      </c>
      <c r="AI1239" s="7" t="n"/>
      <c r="AL1239" s="11" t="n"/>
      <c r="AN1239">
        <f>IF($E1239="","",IF(COUNTIF($E$2:$E1239,$E1239)=1,1,0))</f>
        <v/>
      </c>
      <c r="AO1239">
        <f>IF($AN1239=1,SUMPRODUCT(--($AR$2:$AR$4001&lt;$AR1239))+1,"")</f>
        <v/>
      </c>
      <c r="AP1239">
        <f>IF($E1239="","",IF(OR($U1239=TRUE(),$U1239="TRUE"),1,0))</f>
        <v/>
      </c>
      <c r="AQ1239">
        <f>IF($E1239="","",IF($AA1239="Yes",1,0))</f>
        <v/>
      </c>
      <c r="AR1239">
        <f>IF($AN1239=1,IFERROR(VALUE(MID($E1239,2,20)),1000000000)+ROW()/100000,"")</f>
        <v/>
      </c>
    </row>
    <row r="1240">
      <c r="G1240" s="11" t="n"/>
      <c r="Q1240" s="7">
        <f>IF($E1240="","",P1240*Y1240/100)</f>
        <v/>
      </c>
      <c r="R1240" s="7" t="n"/>
      <c r="X1240" s="7" t="n"/>
      <c r="Y1240" s="7" t="n"/>
      <c r="AB1240">
        <f>IF($E1240="","",IF($AQ1240=1,0,IF($AP1240=1,Settings!$C$6,Settings!$C$7))*100)</f>
        <v/>
      </c>
      <c r="AC1240" s="7">
        <f>IF($E1240="","",Y1240*AB1240/100)</f>
        <v/>
      </c>
      <c r="AD1240" s="7">
        <f>IF($E1240="","",Y1240-AC1240)</f>
        <v/>
      </c>
      <c r="AE1240" s="7">
        <f>IF($E1240="","",AD1240-Q1240)</f>
        <v/>
      </c>
      <c r="AI1240" s="7" t="n"/>
      <c r="AL1240" s="11" t="n"/>
      <c r="AN1240">
        <f>IF($E1240="","",IF(COUNTIF($E$2:$E1240,$E1240)=1,1,0))</f>
        <v/>
      </c>
      <c r="AO1240">
        <f>IF($AN1240=1,SUMPRODUCT(--($AR$2:$AR$4001&lt;$AR1240))+1,"")</f>
        <v/>
      </c>
      <c r="AP1240">
        <f>IF($E1240="","",IF(OR($U1240=TRUE(),$U1240="TRUE"),1,0))</f>
        <v/>
      </c>
      <c r="AQ1240">
        <f>IF($E1240="","",IF($AA1240="Yes",1,0))</f>
        <v/>
      </c>
      <c r="AR1240">
        <f>IF($AN1240=1,IFERROR(VALUE(MID($E1240,2,20)),1000000000)+ROW()/100000,"")</f>
        <v/>
      </c>
    </row>
    <row r="1241">
      <c r="G1241" s="11" t="n"/>
      <c r="Q1241" s="7">
        <f>IF($E1241="","",P1241*Y1241/100)</f>
        <v/>
      </c>
      <c r="R1241" s="7" t="n"/>
      <c r="X1241" s="7" t="n"/>
      <c r="Y1241" s="7" t="n"/>
      <c r="AB1241">
        <f>IF($E1241="","",IF($AQ1241=1,0,IF($AP1241=1,Settings!$C$6,Settings!$C$7))*100)</f>
        <v/>
      </c>
      <c r="AC1241" s="7">
        <f>IF($E1241="","",Y1241*AB1241/100)</f>
        <v/>
      </c>
      <c r="AD1241" s="7">
        <f>IF($E1241="","",Y1241-AC1241)</f>
        <v/>
      </c>
      <c r="AE1241" s="7">
        <f>IF($E1241="","",AD1241-Q1241)</f>
        <v/>
      </c>
      <c r="AI1241" s="7" t="n"/>
      <c r="AL1241" s="11" t="n"/>
      <c r="AN1241">
        <f>IF($E1241="","",IF(COUNTIF($E$2:$E1241,$E1241)=1,1,0))</f>
        <v/>
      </c>
      <c r="AO1241">
        <f>IF($AN1241=1,SUMPRODUCT(--($AR$2:$AR$4001&lt;$AR1241))+1,"")</f>
        <v/>
      </c>
      <c r="AP1241">
        <f>IF($E1241="","",IF(OR($U1241=TRUE(),$U1241="TRUE"),1,0))</f>
        <v/>
      </c>
      <c r="AQ1241">
        <f>IF($E1241="","",IF($AA1241="Yes",1,0))</f>
        <v/>
      </c>
      <c r="AR1241">
        <f>IF($AN1241=1,IFERROR(VALUE(MID($E1241,2,20)),1000000000)+ROW()/100000,"")</f>
        <v/>
      </c>
    </row>
    <row r="1242">
      <c r="G1242" s="11" t="n"/>
      <c r="Q1242" s="7">
        <f>IF($E1242="","",P1242*Y1242/100)</f>
        <v/>
      </c>
      <c r="R1242" s="7" t="n"/>
      <c r="X1242" s="7" t="n"/>
      <c r="Y1242" s="7" t="n"/>
      <c r="AB1242">
        <f>IF($E1242="","",IF($AQ1242=1,0,IF($AP1242=1,Settings!$C$6,Settings!$C$7))*100)</f>
        <v/>
      </c>
      <c r="AC1242" s="7">
        <f>IF($E1242="","",Y1242*AB1242/100)</f>
        <v/>
      </c>
      <c r="AD1242" s="7">
        <f>IF($E1242="","",Y1242-AC1242)</f>
        <v/>
      </c>
      <c r="AE1242" s="7">
        <f>IF($E1242="","",AD1242-Q1242)</f>
        <v/>
      </c>
      <c r="AI1242" s="7" t="n"/>
      <c r="AL1242" s="11" t="n"/>
      <c r="AN1242">
        <f>IF($E1242="","",IF(COUNTIF($E$2:$E1242,$E1242)=1,1,0))</f>
        <v/>
      </c>
      <c r="AO1242">
        <f>IF($AN1242=1,SUMPRODUCT(--($AR$2:$AR$4001&lt;$AR1242))+1,"")</f>
        <v/>
      </c>
      <c r="AP1242">
        <f>IF($E1242="","",IF(OR($U1242=TRUE(),$U1242="TRUE"),1,0))</f>
        <v/>
      </c>
      <c r="AQ1242">
        <f>IF($E1242="","",IF($AA1242="Yes",1,0))</f>
        <v/>
      </c>
      <c r="AR1242">
        <f>IF($AN1242=1,IFERROR(VALUE(MID($E1242,2,20)),1000000000)+ROW()/100000,"")</f>
        <v/>
      </c>
    </row>
    <row r="1243">
      <c r="G1243" s="11" t="n"/>
      <c r="Q1243" s="7">
        <f>IF($E1243="","",P1243*Y1243/100)</f>
        <v/>
      </c>
      <c r="R1243" s="7" t="n"/>
      <c r="X1243" s="7" t="n"/>
      <c r="Y1243" s="7" t="n"/>
      <c r="AB1243">
        <f>IF($E1243="","",IF($AQ1243=1,0,IF($AP1243=1,Settings!$C$6,Settings!$C$7))*100)</f>
        <v/>
      </c>
      <c r="AC1243" s="7">
        <f>IF($E1243="","",Y1243*AB1243/100)</f>
        <v/>
      </c>
      <c r="AD1243" s="7">
        <f>IF($E1243="","",Y1243-AC1243)</f>
        <v/>
      </c>
      <c r="AE1243" s="7">
        <f>IF($E1243="","",AD1243-Q1243)</f>
        <v/>
      </c>
      <c r="AI1243" s="7" t="n"/>
      <c r="AL1243" s="11" t="n"/>
      <c r="AN1243">
        <f>IF($E1243="","",IF(COUNTIF($E$2:$E1243,$E1243)=1,1,0))</f>
        <v/>
      </c>
      <c r="AO1243">
        <f>IF($AN1243=1,SUMPRODUCT(--($AR$2:$AR$4001&lt;$AR1243))+1,"")</f>
        <v/>
      </c>
      <c r="AP1243">
        <f>IF($E1243="","",IF(OR($U1243=TRUE(),$U1243="TRUE"),1,0))</f>
        <v/>
      </c>
      <c r="AQ1243">
        <f>IF($E1243="","",IF($AA1243="Yes",1,0))</f>
        <v/>
      </c>
      <c r="AR1243">
        <f>IF($AN1243=1,IFERROR(VALUE(MID($E1243,2,20)),1000000000)+ROW()/100000,"")</f>
        <v/>
      </c>
    </row>
    <row r="1244">
      <c r="G1244" s="11" t="n"/>
      <c r="Q1244" s="7">
        <f>IF($E1244="","",P1244*Y1244/100)</f>
        <v/>
      </c>
      <c r="R1244" s="7" t="n"/>
      <c r="X1244" s="7" t="n"/>
      <c r="Y1244" s="7" t="n"/>
      <c r="AB1244">
        <f>IF($E1244="","",IF($AQ1244=1,0,IF($AP1244=1,Settings!$C$6,Settings!$C$7))*100)</f>
        <v/>
      </c>
      <c r="AC1244" s="7">
        <f>IF($E1244="","",Y1244*AB1244/100)</f>
        <v/>
      </c>
      <c r="AD1244" s="7">
        <f>IF($E1244="","",Y1244-AC1244)</f>
        <v/>
      </c>
      <c r="AE1244" s="7">
        <f>IF($E1244="","",AD1244-Q1244)</f>
        <v/>
      </c>
      <c r="AI1244" s="7" t="n"/>
      <c r="AL1244" s="11" t="n"/>
      <c r="AN1244">
        <f>IF($E1244="","",IF(COUNTIF($E$2:$E1244,$E1244)=1,1,0))</f>
        <v/>
      </c>
      <c r="AO1244">
        <f>IF($AN1244=1,SUMPRODUCT(--($AR$2:$AR$4001&lt;$AR1244))+1,"")</f>
        <v/>
      </c>
      <c r="AP1244">
        <f>IF($E1244="","",IF(OR($U1244=TRUE(),$U1244="TRUE"),1,0))</f>
        <v/>
      </c>
      <c r="AQ1244">
        <f>IF($E1244="","",IF($AA1244="Yes",1,0))</f>
        <v/>
      </c>
      <c r="AR1244">
        <f>IF($AN1244=1,IFERROR(VALUE(MID($E1244,2,20)),1000000000)+ROW()/100000,"")</f>
        <v/>
      </c>
    </row>
    <row r="1245">
      <c r="G1245" s="11" t="n"/>
      <c r="Q1245" s="7">
        <f>IF($E1245="","",P1245*Y1245/100)</f>
        <v/>
      </c>
      <c r="R1245" s="7" t="n"/>
      <c r="X1245" s="7" t="n"/>
      <c r="Y1245" s="7" t="n"/>
      <c r="AB1245">
        <f>IF($E1245="","",IF($AQ1245=1,0,IF($AP1245=1,Settings!$C$6,Settings!$C$7))*100)</f>
        <v/>
      </c>
      <c r="AC1245" s="7">
        <f>IF($E1245="","",Y1245*AB1245/100)</f>
        <v/>
      </c>
      <c r="AD1245" s="7">
        <f>IF($E1245="","",Y1245-AC1245)</f>
        <v/>
      </c>
      <c r="AE1245" s="7">
        <f>IF($E1245="","",AD1245-Q1245)</f>
        <v/>
      </c>
      <c r="AI1245" s="7" t="n"/>
      <c r="AL1245" s="11" t="n"/>
      <c r="AN1245">
        <f>IF($E1245="","",IF(COUNTIF($E$2:$E1245,$E1245)=1,1,0))</f>
        <v/>
      </c>
      <c r="AO1245">
        <f>IF($AN1245=1,SUMPRODUCT(--($AR$2:$AR$4001&lt;$AR1245))+1,"")</f>
        <v/>
      </c>
      <c r="AP1245">
        <f>IF($E1245="","",IF(OR($U1245=TRUE(),$U1245="TRUE"),1,0))</f>
        <v/>
      </c>
      <c r="AQ1245">
        <f>IF($E1245="","",IF($AA1245="Yes",1,0))</f>
        <v/>
      </c>
      <c r="AR1245">
        <f>IF($AN1245=1,IFERROR(VALUE(MID($E1245,2,20)),1000000000)+ROW()/100000,"")</f>
        <v/>
      </c>
    </row>
    <row r="1246">
      <c r="G1246" s="11" t="n"/>
      <c r="Q1246" s="7">
        <f>IF($E1246="","",P1246*Y1246/100)</f>
        <v/>
      </c>
      <c r="R1246" s="7" t="n"/>
      <c r="X1246" s="7" t="n"/>
      <c r="Y1246" s="7" t="n"/>
      <c r="AB1246">
        <f>IF($E1246="","",IF($AQ1246=1,0,IF($AP1246=1,Settings!$C$6,Settings!$C$7))*100)</f>
        <v/>
      </c>
      <c r="AC1246" s="7">
        <f>IF($E1246="","",Y1246*AB1246/100)</f>
        <v/>
      </c>
      <c r="AD1246" s="7">
        <f>IF($E1246="","",Y1246-AC1246)</f>
        <v/>
      </c>
      <c r="AE1246" s="7">
        <f>IF($E1246="","",AD1246-Q1246)</f>
        <v/>
      </c>
      <c r="AI1246" s="7" t="n"/>
      <c r="AL1246" s="11" t="n"/>
      <c r="AN1246">
        <f>IF($E1246="","",IF(COUNTIF($E$2:$E1246,$E1246)=1,1,0))</f>
        <v/>
      </c>
      <c r="AO1246">
        <f>IF($AN1246=1,SUMPRODUCT(--($AR$2:$AR$4001&lt;$AR1246))+1,"")</f>
        <v/>
      </c>
      <c r="AP1246">
        <f>IF($E1246="","",IF(OR($U1246=TRUE(),$U1246="TRUE"),1,0))</f>
        <v/>
      </c>
      <c r="AQ1246">
        <f>IF($E1246="","",IF($AA1246="Yes",1,0))</f>
        <v/>
      </c>
      <c r="AR1246">
        <f>IF($AN1246=1,IFERROR(VALUE(MID($E1246,2,20)),1000000000)+ROW()/100000,"")</f>
        <v/>
      </c>
    </row>
    <row r="1247">
      <c r="G1247" s="11" t="n"/>
      <c r="Q1247" s="7">
        <f>IF($E1247="","",P1247*Y1247/100)</f>
        <v/>
      </c>
      <c r="R1247" s="7" t="n"/>
      <c r="X1247" s="7" t="n"/>
      <c r="Y1247" s="7" t="n"/>
      <c r="AB1247">
        <f>IF($E1247="","",IF($AQ1247=1,0,IF($AP1247=1,Settings!$C$6,Settings!$C$7))*100)</f>
        <v/>
      </c>
      <c r="AC1247" s="7">
        <f>IF($E1247="","",Y1247*AB1247/100)</f>
        <v/>
      </c>
      <c r="AD1247" s="7">
        <f>IF($E1247="","",Y1247-AC1247)</f>
        <v/>
      </c>
      <c r="AE1247" s="7">
        <f>IF($E1247="","",AD1247-Q1247)</f>
        <v/>
      </c>
      <c r="AI1247" s="7" t="n"/>
      <c r="AL1247" s="11" t="n"/>
      <c r="AN1247">
        <f>IF($E1247="","",IF(COUNTIF($E$2:$E1247,$E1247)=1,1,0))</f>
        <v/>
      </c>
      <c r="AO1247">
        <f>IF($AN1247=1,SUMPRODUCT(--($AR$2:$AR$4001&lt;$AR1247))+1,"")</f>
        <v/>
      </c>
      <c r="AP1247">
        <f>IF($E1247="","",IF(OR($U1247=TRUE(),$U1247="TRUE"),1,0))</f>
        <v/>
      </c>
      <c r="AQ1247">
        <f>IF($E1247="","",IF($AA1247="Yes",1,0))</f>
        <v/>
      </c>
      <c r="AR1247">
        <f>IF($AN1247=1,IFERROR(VALUE(MID($E1247,2,20)),1000000000)+ROW()/100000,"")</f>
        <v/>
      </c>
    </row>
    <row r="1248">
      <c r="G1248" s="11" t="n"/>
      <c r="Q1248" s="7">
        <f>IF($E1248="","",P1248*Y1248/100)</f>
        <v/>
      </c>
      <c r="R1248" s="7" t="n"/>
      <c r="X1248" s="7" t="n"/>
      <c r="Y1248" s="7" t="n"/>
      <c r="AB1248">
        <f>IF($E1248="","",IF($AQ1248=1,0,IF($AP1248=1,Settings!$C$6,Settings!$C$7))*100)</f>
        <v/>
      </c>
      <c r="AC1248" s="7">
        <f>IF($E1248="","",Y1248*AB1248/100)</f>
        <v/>
      </c>
      <c r="AD1248" s="7">
        <f>IF($E1248="","",Y1248-AC1248)</f>
        <v/>
      </c>
      <c r="AE1248" s="7">
        <f>IF($E1248="","",AD1248-Q1248)</f>
        <v/>
      </c>
      <c r="AI1248" s="7" t="n"/>
      <c r="AL1248" s="11" t="n"/>
      <c r="AN1248">
        <f>IF($E1248="","",IF(COUNTIF($E$2:$E1248,$E1248)=1,1,0))</f>
        <v/>
      </c>
      <c r="AO1248">
        <f>IF($AN1248=1,SUMPRODUCT(--($AR$2:$AR$4001&lt;$AR1248))+1,"")</f>
        <v/>
      </c>
      <c r="AP1248">
        <f>IF($E1248="","",IF(OR($U1248=TRUE(),$U1248="TRUE"),1,0))</f>
        <v/>
      </c>
      <c r="AQ1248">
        <f>IF($E1248="","",IF($AA1248="Yes",1,0))</f>
        <v/>
      </c>
      <c r="AR1248">
        <f>IF($AN1248=1,IFERROR(VALUE(MID($E1248,2,20)),1000000000)+ROW()/100000,"")</f>
        <v/>
      </c>
    </row>
    <row r="1249">
      <c r="G1249" s="11" t="n"/>
      <c r="Q1249" s="7">
        <f>IF($E1249="","",P1249*Y1249/100)</f>
        <v/>
      </c>
      <c r="R1249" s="7" t="n"/>
      <c r="X1249" s="7" t="n"/>
      <c r="Y1249" s="7" t="n"/>
      <c r="AB1249">
        <f>IF($E1249="","",IF($AQ1249=1,0,IF($AP1249=1,Settings!$C$6,Settings!$C$7))*100)</f>
        <v/>
      </c>
      <c r="AC1249" s="7">
        <f>IF($E1249="","",Y1249*AB1249/100)</f>
        <v/>
      </c>
      <c r="AD1249" s="7">
        <f>IF($E1249="","",Y1249-AC1249)</f>
        <v/>
      </c>
      <c r="AE1249" s="7">
        <f>IF($E1249="","",AD1249-Q1249)</f>
        <v/>
      </c>
      <c r="AI1249" s="7" t="n"/>
      <c r="AL1249" s="11" t="n"/>
      <c r="AN1249">
        <f>IF($E1249="","",IF(COUNTIF($E$2:$E1249,$E1249)=1,1,0))</f>
        <v/>
      </c>
      <c r="AO1249">
        <f>IF($AN1249=1,SUMPRODUCT(--($AR$2:$AR$4001&lt;$AR1249))+1,"")</f>
        <v/>
      </c>
      <c r="AP1249">
        <f>IF($E1249="","",IF(OR($U1249=TRUE(),$U1249="TRUE"),1,0))</f>
        <v/>
      </c>
      <c r="AQ1249">
        <f>IF($E1249="","",IF($AA1249="Yes",1,0))</f>
        <v/>
      </c>
      <c r="AR1249">
        <f>IF($AN1249=1,IFERROR(VALUE(MID($E1249,2,20)),1000000000)+ROW()/100000,"")</f>
        <v/>
      </c>
    </row>
    <row r="1250">
      <c r="G1250" s="11" t="n"/>
      <c r="Q1250" s="7">
        <f>IF($E1250="","",P1250*Y1250/100)</f>
        <v/>
      </c>
      <c r="R1250" s="7" t="n"/>
      <c r="X1250" s="7" t="n"/>
      <c r="Y1250" s="7" t="n"/>
      <c r="AB1250">
        <f>IF($E1250="","",IF($AQ1250=1,0,IF($AP1250=1,Settings!$C$6,Settings!$C$7))*100)</f>
        <v/>
      </c>
      <c r="AC1250" s="7">
        <f>IF($E1250="","",Y1250*AB1250/100)</f>
        <v/>
      </c>
      <c r="AD1250" s="7">
        <f>IF($E1250="","",Y1250-AC1250)</f>
        <v/>
      </c>
      <c r="AE1250" s="7">
        <f>IF($E1250="","",AD1250-Q1250)</f>
        <v/>
      </c>
      <c r="AI1250" s="7" t="n"/>
      <c r="AL1250" s="11" t="n"/>
      <c r="AN1250">
        <f>IF($E1250="","",IF(COUNTIF($E$2:$E1250,$E1250)=1,1,0))</f>
        <v/>
      </c>
      <c r="AO1250">
        <f>IF($AN1250=1,SUMPRODUCT(--($AR$2:$AR$4001&lt;$AR1250))+1,"")</f>
        <v/>
      </c>
      <c r="AP1250">
        <f>IF($E1250="","",IF(OR($U1250=TRUE(),$U1250="TRUE"),1,0))</f>
        <v/>
      </c>
      <c r="AQ1250">
        <f>IF($E1250="","",IF($AA1250="Yes",1,0))</f>
        <v/>
      </c>
      <c r="AR1250">
        <f>IF($AN1250=1,IFERROR(VALUE(MID($E1250,2,20)),1000000000)+ROW()/100000,"")</f>
        <v/>
      </c>
    </row>
    <row r="1251">
      <c r="G1251" s="11" t="n"/>
      <c r="Q1251" s="7">
        <f>IF($E1251="","",P1251*Y1251/100)</f>
        <v/>
      </c>
      <c r="R1251" s="7" t="n"/>
      <c r="X1251" s="7" t="n"/>
      <c r="Y1251" s="7" t="n"/>
      <c r="AB1251">
        <f>IF($E1251="","",IF($AQ1251=1,0,IF($AP1251=1,Settings!$C$6,Settings!$C$7))*100)</f>
        <v/>
      </c>
      <c r="AC1251" s="7">
        <f>IF($E1251="","",Y1251*AB1251/100)</f>
        <v/>
      </c>
      <c r="AD1251" s="7">
        <f>IF($E1251="","",Y1251-AC1251)</f>
        <v/>
      </c>
      <c r="AE1251" s="7">
        <f>IF($E1251="","",AD1251-Q1251)</f>
        <v/>
      </c>
      <c r="AI1251" s="7" t="n"/>
      <c r="AL1251" s="11" t="n"/>
      <c r="AN1251">
        <f>IF($E1251="","",IF(COUNTIF($E$2:$E1251,$E1251)=1,1,0))</f>
        <v/>
      </c>
      <c r="AO1251">
        <f>IF($AN1251=1,SUMPRODUCT(--($AR$2:$AR$4001&lt;$AR1251))+1,"")</f>
        <v/>
      </c>
      <c r="AP1251">
        <f>IF($E1251="","",IF(OR($U1251=TRUE(),$U1251="TRUE"),1,0))</f>
        <v/>
      </c>
      <c r="AQ1251">
        <f>IF($E1251="","",IF($AA1251="Yes",1,0))</f>
        <v/>
      </c>
      <c r="AR1251">
        <f>IF($AN1251=1,IFERROR(VALUE(MID($E1251,2,20)),1000000000)+ROW()/100000,"")</f>
        <v/>
      </c>
    </row>
    <row r="1252">
      <c r="G1252" s="11" t="n"/>
      <c r="Q1252" s="7">
        <f>IF($E1252="","",P1252*Y1252/100)</f>
        <v/>
      </c>
      <c r="R1252" s="7" t="n"/>
      <c r="X1252" s="7" t="n"/>
      <c r="Y1252" s="7" t="n"/>
      <c r="AB1252">
        <f>IF($E1252="","",IF($AQ1252=1,0,IF($AP1252=1,Settings!$C$6,Settings!$C$7))*100)</f>
        <v/>
      </c>
      <c r="AC1252" s="7">
        <f>IF($E1252="","",Y1252*AB1252/100)</f>
        <v/>
      </c>
      <c r="AD1252" s="7">
        <f>IF($E1252="","",Y1252-AC1252)</f>
        <v/>
      </c>
      <c r="AE1252" s="7">
        <f>IF($E1252="","",AD1252-Q1252)</f>
        <v/>
      </c>
      <c r="AI1252" s="7" t="n"/>
      <c r="AL1252" s="11" t="n"/>
      <c r="AN1252">
        <f>IF($E1252="","",IF(COUNTIF($E$2:$E1252,$E1252)=1,1,0))</f>
        <v/>
      </c>
      <c r="AO1252">
        <f>IF($AN1252=1,SUMPRODUCT(--($AR$2:$AR$4001&lt;$AR1252))+1,"")</f>
        <v/>
      </c>
      <c r="AP1252">
        <f>IF($E1252="","",IF(OR($U1252=TRUE(),$U1252="TRUE"),1,0))</f>
        <v/>
      </c>
      <c r="AQ1252">
        <f>IF($E1252="","",IF($AA1252="Yes",1,0))</f>
        <v/>
      </c>
      <c r="AR1252">
        <f>IF($AN1252=1,IFERROR(VALUE(MID($E1252,2,20)),1000000000)+ROW()/100000,"")</f>
        <v/>
      </c>
    </row>
    <row r="1253">
      <c r="G1253" s="11" t="n"/>
      <c r="Q1253" s="7">
        <f>IF($E1253="","",P1253*Y1253/100)</f>
        <v/>
      </c>
      <c r="R1253" s="7" t="n"/>
      <c r="X1253" s="7" t="n"/>
      <c r="Y1253" s="7" t="n"/>
      <c r="AB1253">
        <f>IF($E1253="","",IF($AQ1253=1,0,IF($AP1253=1,Settings!$C$6,Settings!$C$7))*100)</f>
        <v/>
      </c>
      <c r="AC1253" s="7">
        <f>IF($E1253="","",Y1253*AB1253/100)</f>
        <v/>
      </c>
      <c r="AD1253" s="7">
        <f>IF($E1253="","",Y1253-AC1253)</f>
        <v/>
      </c>
      <c r="AE1253" s="7">
        <f>IF($E1253="","",AD1253-Q1253)</f>
        <v/>
      </c>
      <c r="AI1253" s="7" t="n"/>
      <c r="AL1253" s="11" t="n"/>
      <c r="AN1253">
        <f>IF($E1253="","",IF(COUNTIF($E$2:$E1253,$E1253)=1,1,0))</f>
        <v/>
      </c>
      <c r="AO1253">
        <f>IF($AN1253=1,SUMPRODUCT(--($AR$2:$AR$4001&lt;$AR1253))+1,"")</f>
        <v/>
      </c>
      <c r="AP1253">
        <f>IF($E1253="","",IF(OR($U1253=TRUE(),$U1253="TRUE"),1,0))</f>
        <v/>
      </c>
      <c r="AQ1253">
        <f>IF($E1253="","",IF($AA1253="Yes",1,0))</f>
        <v/>
      </c>
      <c r="AR1253">
        <f>IF($AN1253=1,IFERROR(VALUE(MID($E1253,2,20)),1000000000)+ROW()/100000,"")</f>
        <v/>
      </c>
    </row>
    <row r="1254">
      <c r="G1254" s="11" t="n"/>
      <c r="Q1254" s="7">
        <f>IF($E1254="","",P1254*Y1254/100)</f>
        <v/>
      </c>
      <c r="R1254" s="7" t="n"/>
      <c r="X1254" s="7" t="n"/>
      <c r="Y1254" s="7" t="n"/>
      <c r="AB1254">
        <f>IF($E1254="","",IF($AQ1254=1,0,IF($AP1254=1,Settings!$C$6,Settings!$C$7))*100)</f>
        <v/>
      </c>
      <c r="AC1254" s="7">
        <f>IF($E1254="","",Y1254*AB1254/100)</f>
        <v/>
      </c>
      <c r="AD1254" s="7">
        <f>IF($E1254="","",Y1254-AC1254)</f>
        <v/>
      </c>
      <c r="AE1254" s="7">
        <f>IF($E1254="","",AD1254-Q1254)</f>
        <v/>
      </c>
      <c r="AI1254" s="7" t="n"/>
      <c r="AL1254" s="11" t="n"/>
      <c r="AN1254">
        <f>IF($E1254="","",IF(COUNTIF($E$2:$E1254,$E1254)=1,1,0))</f>
        <v/>
      </c>
      <c r="AO1254">
        <f>IF($AN1254=1,SUMPRODUCT(--($AR$2:$AR$4001&lt;$AR1254))+1,"")</f>
        <v/>
      </c>
      <c r="AP1254">
        <f>IF($E1254="","",IF(OR($U1254=TRUE(),$U1254="TRUE"),1,0))</f>
        <v/>
      </c>
      <c r="AQ1254">
        <f>IF($E1254="","",IF($AA1254="Yes",1,0))</f>
        <v/>
      </c>
      <c r="AR1254">
        <f>IF($AN1254=1,IFERROR(VALUE(MID($E1254,2,20)),1000000000)+ROW()/100000,"")</f>
        <v/>
      </c>
    </row>
    <row r="1255">
      <c r="G1255" s="11" t="n"/>
      <c r="Q1255" s="7">
        <f>IF($E1255="","",P1255*Y1255/100)</f>
        <v/>
      </c>
      <c r="R1255" s="7" t="n"/>
      <c r="X1255" s="7" t="n"/>
      <c r="Y1255" s="7" t="n"/>
      <c r="AB1255">
        <f>IF($E1255="","",IF($AQ1255=1,0,IF($AP1255=1,Settings!$C$6,Settings!$C$7))*100)</f>
        <v/>
      </c>
      <c r="AC1255" s="7">
        <f>IF($E1255="","",Y1255*AB1255/100)</f>
        <v/>
      </c>
      <c r="AD1255" s="7">
        <f>IF($E1255="","",Y1255-AC1255)</f>
        <v/>
      </c>
      <c r="AE1255" s="7">
        <f>IF($E1255="","",AD1255-Q1255)</f>
        <v/>
      </c>
      <c r="AI1255" s="7" t="n"/>
      <c r="AL1255" s="11" t="n"/>
      <c r="AN1255">
        <f>IF($E1255="","",IF(COUNTIF($E$2:$E1255,$E1255)=1,1,0))</f>
        <v/>
      </c>
      <c r="AO1255">
        <f>IF($AN1255=1,SUMPRODUCT(--($AR$2:$AR$4001&lt;$AR1255))+1,"")</f>
        <v/>
      </c>
      <c r="AP1255">
        <f>IF($E1255="","",IF(OR($U1255=TRUE(),$U1255="TRUE"),1,0))</f>
        <v/>
      </c>
      <c r="AQ1255">
        <f>IF($E1255="","",IF($AA1255="Yes",1,0))</f>
        <v/>
      </c>
      <c r="AR1255">
        <f>IF($AN1255=1,IFERROR(VALUE(MID($E1255,2,20)),1000000000)+ROW()/100000,"")</f>
        <v/>
      </c>
    </row>
    <row r="1256">
      <c r="G1256" s="11" t="n"/>
      <c r="Q1256" s="7">
        <f>IF($E1256="","",P1256*Y1256/100)</f>
        <v/>
      </c>
      <c r="R1256" s="7" t="n"/>
      <c r="X1256" s="7" t="n"/>
      <c r="Y1256" s="7" t="n"/>
      <c r="AB1256">
        <f>IF($E1256="","",IF($AQ1256=1,0,IF($AP1256=1,Settings!$C$6,Settings!$C$7))*100)</f>
        <v/>
      </c>
      <c r="AC1256" s="7">
        <f>IF($E1256="","",Y1256*AB1256/100)</f>
        <v/>
      </c>
      <c r="AD1256" s="7">
        <f>IF($E1256="","",Y1256-AC1256)</f>
        <v/>
      </c>
      <c r="AE1256" s="7">
        <f>IF($E1256="","",AD1256-Q1256)</f>
        <v/>
      </c>
      <c r="AI1256" s="7" t="n"/>
      <c r="AL1256" s="11" t="n"/>
      <c r="AN1256">
        <f>IF($E1256="","",IF(COUNTIF($E$2:$E1256,$E1256)=1,1,0))</f>
        <v/>
      </c>
      <c r="AO1256">
        <f>IF($AN1256=1,SUMPRODUCT(--($AR$2:$AR$4001&lt;$AR1256))+1,"")</f>
        <v/>
      </c>
      <c r="AP1256">
        <f>IF($E1256="","",IF(OR($U1256=TRUE(),$U1256="TRUE"),1,0))</f>
        <v/>
      </c>
      <c r="AQ1256">
        <f>IF($E1256="","",IF($AA1256="Yes",1,0))</f>
        <v/>
      </c>
      <c r="AR1256">
        <f>IF($AN1256=1,IFERROR(VALUE(MID($E1256,2,20)),1000000000)+ROW()/100000,"")</f>
        <v/>
      </c>
    </row>
    <row r="1257">
      <c r="G1257" s="11" t="n"/>
      <c r="Q1257" s="7">
        <f>IF($E1257="","",P1257*Y1257/100)</f>
        <v/>
      </c>
      <c r="R1257" s="7" t="n"/>
      <c r="X1257" s="7" t="n"/>
      <c r="Y1257" s="7" t="n"/>
      <c r="AB1257">
        <f>IF($E1257="","",IF($AQ1257=1,0,IF($AP1257=1,Settings!$C$6,Settings!$C$7))*100)</f>
        <v/>
      </c>
      <c r="AC1257" s="7">
        <f>IF($E1257="","",Y1257*AB1257/100)</f>
        <v/>
      </c>
      <c r="AD1257" s="7">
        <f>IF($E1257="","",Y1257-AC1257)</f>
        <v/>
      </c>
      <c r="AE1257" s="7">
        <f>IF($E1257="","",AD1257-Q1257)</f>
        <v/>
      </c>
      <c r="AI1257" s="7" t="n"/>
      <c r="AL1257" s="11" t="n"/>
      <c r="AN1257">
        <f>IF($E1257="","",IF(COUNTIF($E$2:$E1257,$E1257)=1,1,0))</f>
        <v/>
      </c>
      <c r="AO1257">
        <f>IF($AN1257=1,SUMPRODUCT(--($AR$2:$AR$4001&lt;$AR1257))+1,"")</f>
        <v/>
      </c>
      <c r="AP1257">
        <f>IF($E1257="","",IF(OR($U1257=TRUE(),$U1257="TRUE"),1,0))</f>
        <v/>
      </c>
      <c r="AQ1257">
        <f>IF($E1257="","",IF($AA1257="Yes",1,0))</f>
        <v/>
      </c>
      <c r="AR1257">
        <f>IF($AN1257=1,IFERROR(VALUE(MID($E1257,2,20)),1000000000)+ROW()/100000,"")</f>
        <v/>
      </c>
    </row>
    <row r="1258">
      <c r="G1258" s="11" t="n"/>
      <c r="Q1258" s="7">
        <f>IF($E1258="","",P1258*Y1258/100)</f>
        <v/>
      </c>
      <c r="R1258" s="7" t="n"/>
      <c r="X1258" s="7" t="n"/>
      <c r="Y1258" s="7" t="n"/>
      <c r="AB1258">
        <f>IF($E1258="","",IF($AQ1258=1,0,IF($AP1258=1,Settings!$C$6,Settings!$C$7))*100)</f>
        <v/>
      </c>
      <c r="AC1258" s="7">
        <f>IF($E1258="","",Y1258*AB1258/100)</f>
        <v/>
      </c>
      <c r="AD1258" s="7">
        <f>IF($E1258="","",Y1258-AC1258)</f>
        <v/>
      </c>
      <c r="AE1258" s="7">
        <f>IF($E1258="","",AD1258-Q1258)</f>
        <v/>
      </c>
      <c r="AI1258" s="7" t="n"/>
      <c r="AL1258" s="11" t="n"/>
      <c r="AN1258">
        <f>IF($E1258="","",IF(COUNTIF($E$2:$E1258,$E1258)=1,1,0))</f>
        <v/>
      </c>
      <c r="AO1258">
        <f>IF($AN1258=1,SUMPRODUCT(--($AR$2:$AR$4001&lt;$AR1258))+1,"")</f>
        <v/>
      </c>
      <c r="AP1258">
        <f>IF($E1258="","",IF(OR($U1258=TRUE(),$U1258="TRUE"),1,0))</f>
        <v/>
      </c>
      <c r="AQ1258">
        <f>IF($E1258="","",IF($AA1258="Yes",1,0))</f>
        <v/>
      </c>
      <c r="AR1258">
        <f>IF($AN1258=1,IFERROR(VALUE(MID($E1258,2,20)),1000000000)+ROW()/100000,"")</f>
        <v/>
      </c>
    </row>
    <row r="1259">
      <c r="G1259" s="11" t="n"/>
      <c r="Q1259" s="7">
        <f>IF($E1259="","",P1259*Y1259/100)</f>
        <v/>
      </c>
      <c r="R1259" s="7" t="n"/>
      <c r="X1259" s="7" t="n"/>
      <c r="Y1259" s="7" t="n"/>
      <c r="AB1259">
        <f>IF($E1259="","",IF($AQ1259=1,0,IF($AP1259=1,Settings!$C$6,Settings!$C$7))*100)</f>
        <v/>
      </c>
      <c r="AC1259" s="7">
        <f>IF($E1259="","",Y1259*AB1259/100)</f>
        <v/>
      </c>
      <c r="AD1259" s="7">
        <f>IF($E1259="","",Y1259-AC1259)</f>
        <v/>
      </c>
      <c r="AE1259" s="7">
        <f>IF($E1259="","",AD1259-Q1259)</f>
        <v/>
      </c>
      <c r="AI1259" s="7" t="n"/>
      <c r="AL1259" s="11" t="n"/>
      <c r="AN1259">
        <f>IF($E1259="","",IF(COUNTIF($E$2:$E1259,$E1259)=1,1,0))</f>
        <v/>
      </c>
      <c r="AO1259">
        <f>IF($AN1259=1,SUMPRODUCT(--($AR$2:$AR$4001&lt;$AR1259))+1,"")</f>
        <v/>
      </c>
      <c r="AP1259">
        <f>IF($E1259="","",IF(OR($U1259=TRUE(),$U1259="TRUE"),1,0))</f>
        <v/>
      </c>
      <c r="AQ1259">
        <f>IF($E1259="","",IF($AA1259="Yes",1,0))</f>
        <v/>
      </c>
      <c r="AR1259">
        <f>IF($AN1259=1,IFERROR(VALUE(MID($E1259,2,20)),1000000000)+ROW()/100000,"")</f>
        <v/>
      </c>
    </row>
    <row r="1260">
      <c r="G1260" s="11" t="n"/>
      <c r="Q1260" s="7">
        <f>IF($E1260="","",P1260*Y1260/100)</f>
        <v/>
      </c>
      <c r="R1260" s="7" t="n"/>
      <c r="X1260" s="7" t="n"/>
      <c r="Y1260" s="7" t="n"/>
      <c r="AB1260">
        <f>IF($E1260="","",IF($AQ1260=1,0,IF($AP1260=1,Settings!$C$6,Settings!$C$7))*100)</f>
        <v/>
      </c>
      <c r="AC1260" s="7">
        <f>IF($E1260="","",Y1260*AB1260/100)</f>
        <v/>
      </c>
      <c r="AD1260" s="7">
        <f>IF($E1260="","",Y1260-AC1260)</f>
        <v/>
      </c>
      <c r="AE1260" s="7">
        <f>IF($E1260="","",AD1260-Q1260)</f>
        <v/>
      </c>
      <c r="AI1260" s="7" t="n"/>
      <c r="AL1260" s="11" t="n"/>
      <c r="AN1260">
        <f>IF($E1260="","",IF(COUNTIF($E$2:$E1260,$E1260)=1,1,0))</f>
        <v/>
      </c>
      <c r="AO1260">
        <f>IF($AN1260=1,SUMPRODUCT(--($AR$2:$AR$4001&lt;$AR1260))+1,"")</f>
        <v/>
      </c>
      <c r="AP1260">
        <f>IF($E1260="","",IF(OR($U1260=TRUE(),$U1260="TRUE"),1,0))</f>
        <v/>
      </c>
      <c r="AQ1260">
        <f>IF($E1260="","",IF($AA1260="Yes",1,0))</f>
        <v/>
      </c>
      <c r="AR1260">
        <f>IF($AN1260=1,IFERROR(VALUE(MID($E1260,2,20)),1000000000)+ROW()/100000,"")</f>
        <v/>
      </c>
    </row>
    <row r="1261">
      <c r="G1261" s="11" t="n"/>
      <c r="Q1261" s="7">
        <f>IF($E1261="","",P1261*Y1261/100)</f>
        <v/>
      </c>
      <c r="R1261" s="7" t="n"/>
      <c r="X1261" s="7" t="n"/>
      <c r="Y1261" s="7" t="n"/>
      <c r="AB1261">
        <f>IF($E1261="","",IF($AQ1261=1,0,IF($AP1261=1,Settings!$C$6,Settings!$C$7))*100)</f>
        <v/>
      </c>
      <c r="AC1261" s="7">
        <f>IF($E1261="","",Y1261*AB1261/100)</f>
        <v/>
      </c>
      <c r="AD1261" s="7">
        <f>IF($E1261="","",Y1261-AC1261)</f>
        <v/>
      </c>
      <c r="AE1261" s="7">
        <f>IF($E1261="","",AD1261-Q1261)</f>
        <v/>
      </c>
      <c r="AI1261" s="7" t="n"/>
      <c r="AL1261" s="11" t="n"/>
      <c r="AN1261">
        <f>IF($E1261="","",IF(COUNTIF($E$2:$E1261,$E1261)=1,1,0))</f>
        <v/>
      </c>
      <c r="AO1261">
        <f>IF($AN1261=1,SUMPRODUCT(--($AR$2:$AR$4001&lt;$AR1261))+1,"")</f>
        <v/>
      </c>
      <c r="AP1261">
        <f>IF($E1261="","",IF(OR($U1261=TRUE(),$U1261="TRUE"),1,0))</f>
        <v/>
      </c>
      <c r="AQ1261">
        <f>IF($E1261="","",IF($AA1261="Yes",1,0))</f>
        <v/>
      </c>
      <c r="AR1261">
        <f>IF($AN1261=1,IFERROR(VALUE(MID($E1261,2,20)),1000000000)+ROW()/100000,"")</f>
        <v/>
      </c>
    </row>
    <row r="1262">
      <c r="G1262" s="11" t="n"/>
      <c r="Q1262" s="7">
        <f>IF($E1262="","",P1262*Y1262/100)</f>
        <v/>
      </c>
      <c r="R1262" s="7" t="n"/>
      <c r="X1262" s="7" t="n"/>
      <c r="Y1262" s="7" t="n"/>
      <c r="AB1262">
        <f>IF($E1262="","",IF($AQ1262=1,0,IF($AP1262=1,Settings!$C$6,Settings!$C$7))*100)</f>
        <v/>
      </c>
      <c r="AC1262" s="7">
        <f>IF($E1262="","",Y1262*AB1262/100)</f>
        <v/>
      </c>
      <c r="AD1262" s="7">
        <f>IF($E1262="","",Y1262-AC1262)</f>
        <v/>
      </c>
      <c r="AE1262" s="7">
        <f>IF($E1262="","",AD1262-Q1262)</f>
        <v/>
      </c>
      <c r="AI1262" s="7" t="n"/>
      <c r="AL1262" s="11" t="n"/>
      <c r="AN1262">
        <f>IF($E1262="","",IF(COUNTIF($E$2:$E1262,$E1262)=1,1,0))</f>
        <v/>
      </c>
      <c r="AO1262">
        <f>IF($AN1262=1,SUMPRODUCT(--($AR$2:$AR$4001&lt;$AR1262))+1,"")</f>
        <v/>
      </c>
      <c r="AP1262">
        <f>IF($E1262="","",IF(OR($U1262=TRUE(),$U1262="TRUE"),1,0))</f>
        <v/>
      </c>
      <c r="AQ1262">
        <f>IF($E1262="","",IF($AA1262="Yes",1,0))</f>
        <v/>
      </c>
      <c r="AR1262">
        <f>IF($AN1262=1,IFERROR(VALUE(MID($E1262,2,20)),1000000000)+ROW()/100000,"")</f>
        <v/>
      </c>
    </row>
    <row r="1263">
      <c r="G1263" s="11" t="n"/>
      <c r="Q1263" s="7">
        <f>IF($E1263="","",P1263*Y1263/100)</f>
        <v/>
      </c>
      <c r="R1263" s="7" t="n"/>
      <c r="X1263" s="7" t="n"/>
      <c r="Y1263" s="7" t="n"/>
      <c r="AB1263">
        <f>IF($E1263="","",IF($AQ1263=1,0,IF($AP1263=1,Settings!$C$6,Settings!$C$7))*100)</f>
        <v/>
      </c>
      <c r="AC1263" s="7">
        <f>IF($E1263="","",Y1263*AB1263/100)</f>
        <v/>
      </c>
      <c r="AD1263" s="7">
        <f>IF($E1263="","",Y1263-AC1263)</f>
        <v/>
      </c>
      <c r="AE1263" s="7">
        <f>IF($E1263="","",AD1263-Q1263)</f>
        <v/>
      </c>
      <c r="AI1263" s="7" t="n"/>
      <c r="AL1263" s="11" t="n"/>
      <c r="AN1263">
        <f>IF($E1263="","",IF(COUNTIF($E$2:$E1263,$E1263)=1,1,0))</f>
        <v/>
      </c>
      <c r="AO1263">
        <f>IF($AN1263=1,SUMPRODUCT(--($AR$2:$AR$4001&lt;$AR1263))+1,"")</f>
        <v/>
      </c>
      <c r="AP1263">
        <f>IF($E1263="","",IF(OR($U1263=TRUE(),$U1263="TRUE"),1,0))</f>
        <v/>
      </c>
      <c r="AQ1263">
        <f>IF($E1263="","",IF($AA1263="Yes",1,0))</f>
        <v/>
      </c>
      <c r="AR1263">
        <f>IF($AN1263=1,IFERROR(VALUE(MID($E1263,2,20)),1000000000)+ROW()/100000,"")</f>
        <v/>
      </c>
    </row>
    <row r="1264">
      <c r="G1264" s="11" t="n"/>
      <c r="Q1264" s="7">
        <f>IF($E1264="","",P1264*Y1264/100)</f>
        <v/>
      </c>
      <c r="R1264" s="7" t="n"/>
      <c r="X1264" s="7" t="n"/>
      <c r="Y1264" s="7" t="n"/>
      <c r="AB1264">
        <f>IF($E1264="","",IF($AQ1264=1,0,IF($AP1264=1,Settings!$C$6,Settings!$C$7))*100)</f>
        <v/>
      </c>
      <c r="AC1264" s="7">
        <f>IF($E1264="","",Y1264*AB1264/100)</f>
        <v/>
      </c>
      <c r="AD1264" s="7">
        <f>IF($E1264="","",Y1264-AC1264)</f>
        <v/>
      </c>
      <c r="AE1264" s="7">
        <f>IF($E1264="","",AD1264-Q1264)</f>
        <v/>
      </c>
      <c r="AI1264" s="7" t="n"/>
      <c r="AL1264" s="11" t="n"/>
      <c r="AN1264">
        <f>IF($E1264="","",IF(COUNTIF($E$2:$E1264,$E1264)=1,1,0))</f>
        <v/>
      </c>
      <c r="AO1264">
        <f>IF($AN1264=1,SUMPRODUCT(--($AR$2:$AR$4001&lt;$AR1264))+1,"")</f>
        <v/>
      </c>
      <c r="AP1264">
        <f>IF($E1264="","",IF(OR($U1264=TRUE(),$U1264="TRUE"),1,0))</f>
        <v/>
      </c>
      <c r="AQ1264">
        <f>IF($E1264="","",IF($AA1264="Yes",1,0))</f>
        <v/>
      </c>
      <c r="AR1264">
        <f>IF($AN1264=1,IFERROR(VALUE(MID($E1264,2,20)),1000000000)+ROW()/100000,"")</f>
        <v/>
      </c>
    </row>
    <row r="1265">
      <c r="G1265" s="11" t="n"/>
      <c r="Q1265" s="7">
        <f>IF($E1265="","",P1265*Y1265/100)</f>
        <v/>
      </c>
      <c r="R1265" s="7" t="n"/>
      <c r="X1265" s="7" t="n"/>
      <c r="Y1265" s="7" t="n"/>
      <c r="AB1265">
        <f>IF($E1265="","",IF($AQ1265=1,0,IF($AP1265=1,Settings!$C$6,Settings!$C$7))*100)</f>
        <v/>
      </c>
      <c r="AC1265" s="7">
        <f>IF($E1265="","",Y1265*AB1265/100)</f>
        <v/>
      </c>
      <c r="AD1265" s="7">
        <f>IF($E1265="","",Y1265-AC1265)</f>
        <v/>
      </c>
      <c r="AE1265" s="7">
        <f>IF($E1265="","",AD1265-Q1265)</f>
        <v/>
      </c>
      <c r="AI1265" s="7" t="n"/>
      <c r="AL1265" s="11" t="n"/>
      <c r="AN1265">
        <f>IF($E1265="","",IF(COUNTIF($E$2:$E1265,$E1265)=1,1,0))</f>
        <v/>
      </c>
      <c r="AO1265">
        <f>IF($AN1265=1,SUMPRODUCT(--($AR$2:$AR$4001&lt;$AR1265))+1,"")</f>
        <v/>
      </c>
      <c r="AP1265">
        <f>IF($E1265="","",IF(OR($U1265=TRUE(),$U1265="TRUE"),1,0))</f>
        <v/>
      </c>
      <c r="AQ1265">
        <f>IF($E1265="","",IF($AA1265="Yes",1,0))</f>
        <v/>
      </c>
      <c r="AR1265">
        <f>IF($AN1265=1,IFERROR(VALUE(MID($E1265,2,20)),1000000000)+ROW()/100000,"")</f>
        <v/>
      </c>
    </row>
    <row r="1266">
      <c r="G1266" s="11" t="n"/>
      <c r="Q1266" s="7">
        <f>IF($E1266="","",P1266*Y1266/100)</f>
        <v/>
      </c>
      <c r="R1266" s="7" t="n"/>
      <c r="X1266" s="7" t="n"/>
      <c r="Y1266" s="7" t="n"/>
      <c r="AB1266">
        <f>IF($E1266="","",IF($AQ1266=1,0,IF($AP1266=1,Settings!$C$6,Settings!$C$7))*100)</f>
        <v/>
      </c>
      <c r="AC1266" s="7">
        <f>IF($E1266="","",Y1266*AB1266/100)</f>
        <v/>
      </c>
      <c r="AD1266" s="7">
        <f>IF($E1266="","",Y1266-AC1266)</f>
        <v/>
      </c>
      <c r="AE1266" s="7">
        <f>IF($E1266="","",AD1266-Q1266)</f>
        <v/>
      </c>
      <c r="AI1266" s="7" t="n"/>
      <c r="AL1266" s="11" t="n"/>
      <c r="AN1266">
        <f>IF($E1266="","",IF(COUNTIF($E$2:$E1266,$E1266)=1,1,0))</f>
        <v/>
      </c>
      <c r="AO1266">
        <f>IF($AN1266=1,SUMPRODUCT(--($AR$2:$AR$4001&lt;$AR1266))+1,"")</f>
        <v/>
      </c>
      <c r="AP1266">
        <f>IF($E1266="","",IF(OR($U1266=TRUE(),$U1266="TRUE"),1,0))</f>
        <v/>
      </c>
      <c r="AQ1266">
        <f>IF($E1266="","",IF($AA1266="Yes",1,0))</f>
        <v/>
      </c>
      <c r="AR1266">
        <f>IF($AN1266=1,IFERROR(VALUE(MID($E1266,2,20)),1000000000)+ROW()/100000,"")</f>
        <v/>
      </c>
    </row>
    <row r="1267">
      <c r="G1267" s="11" t="n"/>
      <c r="Q1267" s="7">
        <f>IF($E1267="","",P1267*Y1267/100)</f>
        <v/>
      </c>
      <c r="R1267" s="7" t="n"/>
      <c r="X1267" s="7" t="n"/>
      <c r="Y1267" s="7" t="n"/>
      <c r="AB1267">
        <f>IF($E1267="","",IF($AQ1267=1,0,IF($AP1267=1,Settings!$C$6,Settings!$C$7))*100)</f>
        <v/>
      </c>
      <c r="AC1267" s="7">
        <f>IF($E1267="","",Y1267*AB1267/100)</f>
        <v/>
      </c>
      <c r="AD1267" s="7">
        <f>IF($E1267="","",Y1267-AC1267)</f>
        <v/>
      </c>
      <c r="AE1267" s="7">
        <f>IF($E1267="","",AD1267-Q1267)</f>
        <v/>
      </c>
      <c r="AI1267" s="7" t="n"/>
      <c r="AL1267" s="11" t="n"/>
      <c r="AN1267">
        <f>IF($E1267="","",IF(COUNTIF($E$2:$E1267,$E1267)=1,1,0))</f>
        <v/>
      </c>
      <c r="AO1267">
        <f>IF($AN1267=1,SUMPRODUCT(--($AR$2:$AR$4001&lt;$AR1267))+1,"")</f>
        <v/>
      </c>
      <c r="AP1267">
        <f>IF($E1267="","",IF(OR($U1267=TRUE(),$U1267="TRUE"),1,0))</f>
        <v/>
      </c>
      <c r="AQ1267">
        <f>IF($E1267="","",IF($AA1267="Yes",1,0))</f>
        <v/>
      </c>
      <c r="AR1267">
        <f>IF($AN1267=1,IFERROR(VALUE(MID($E1267,2,20)),1000000000)+ROW()/100000,"")</f>
        <v/>
      </c>
    </row>
    <row r="1268">
      <c r="G1268" s="11" t="n"/>
      <c r="Q1268" s="7">
        <f>IF($E1268="","",P1268*Y1268/100)</f>
        <v/>
      </c>
      <c r="R1268" s="7" t="n"/>
      <c r="X1268" s="7" t="n"/>
      <c r="Y1268" s="7" t="n"/>
      <c r="AB1268">
        <f>IF($E1268="","",IF($AQ1268=1,0,IF($AP1268=1,Settings!$C$6,Settings!$C$7))*100)</f>
        <v/>
      </c>
      <c r="AC1268" s="7">
        <f>IF($E1268="","",Y1268*AB1268/100)</f>
        <v/>
      </c>
      <c r="AD1268" s="7">
        <f>IF($E1268="","",Y1268-AC1268)</f>
        <v/>
      </c>
      <c r="AE1268" s="7">
        <f>IF($E1268="","",AD1268-Q1268)</f>
        <v/>
      </c>
      <c r="AI1268" s="7" t="n"/>
      <c r="AL1268" s="11" t="n"/>
      <c r="AN1268">
        <f>IF($E1268="","",IF(COUNTIF($E$2:$E1268,$E1268)=1,1,0))</f>
        <v/>
      </c>
      <c r="AO1268">
        <f>IF($AN1268=1,SUMPRODUCT(--($AR$2:$AR$4001&lt;$AR1268))+1,"")</f>
        <v/>
      </c>
      <c r="AP1268">
        <f>IF($E1268="","",IF(OR($U1268=TRUE(),$U1268="TRUE"),1,0))</f>
        <v/>
      </c>
      <c r="AQ1268">
        <f>IF($E1268="","",IF($AA1268="Yes",1,0))</f>
        <v/>
      </c>
      <c r="AR1268">
        <f>IF($AN1268=1,IFERROR(VALUE(MID($E1268,2,20)),1000000000)+ROW()/100000,"")</f>
        <v/>
      </c>
    </row>
    <row r="1269">
      <c r="G1269" s="11" t="n"/>
      <c r="Q1269" s="7">
        <f>IF($E1269="","",P1269*Y1269/100)</f>
        <v/>
      </c>
      <c r="R1269" s="7" t="n"/>
      <c r="X1269" s="7" t="n"/>
      <c r="Y1269" s="7" t="n"/>
      <c r="AB1269">
        <f>IF($E1269="","",IF($AQ1269=1,0,IF($AP1269=1,Settings!$C$6,Settings!$C$7))*100)</f>
        <v/>
      </c>
      <c r="AC1269" s="7">
        <f>IF($E1269="","",Y1269*AB1269/100)</f>
        <v/>
      </c>
      <c r="AD1269" s="7">
        <f>IF($E1269="","",Y1269-AC1269)</f>
        <v/>
      </c>
      <c r="AE1269" s="7">
        <f>IF($E1269="","",AD1269-Q1269)</f>
        <v/>
      </c>
      <c r="AI1269" s="7" t="n"/>
      <c r="AL1269" s="11" t="n"/>
      <c r="AN1269">
        <f>IF($E1269="","",IF(COUNTIF($E$2:$E1269,$E1269)=1,1,0))</f>
        <v/>
      </c>
      <c r="AO1269">
        <f>IF($AN1269=1,SUMPRODUCT(--($AR$2:$AR$4001&lt;$AR1269))+1,"")</f>
        <v/>
      </c>
      <c r="AP1269">
        <f>IF($E1269="","",IF(OR($U1269=TRUE(),$U1269="TRUE"),1,0))</f>
        <v/>
      </c>
      <c r="AQ1269">
        <f>IF($E1269="","",IF($AA1269="Yes",1,0))</f>
        <v/>
      </c>
      <c r="AR1269">
        <f>IF($AN1269=1,IFERROR(VALUE(MID($E1269,2,20)),1000000000)+ROW()/100000,"")</f>
        <v/>
      </c>
    </row>
    <row r="1270">
      <c r="G1270" s="11" t="n"/>
      <c r="Q1270" s="7">
        <f>IF($E1270="","",P1270*Y1270/100)</f>
        <v/>
      </c>
      <c r="R1270" s="7" t="n"/>
      <c r="X1270" s="7" t="n"/>
      <c r="Y1270" s="7" t="n"/>
      <c r="AB1270">
        <f>IF($E1270="","",IF($AQ1270=1,0,IF($AP1270=1,Settings!$C$6,Settings!$C$7))*100)</f>
        <v/>
      </c>
      <c r="AC1270" s="7">
        <f>IF($E1270="","",Y1270*AB1270/100)</f>
        <v/>
      </c>
      <c r="AD1270" s="7">
        <f>IF($E1270="","",Y1270-AC1270)</f>
        <v/>
      </c>
      <c r="AE1270" s="7">
        <f>IF($E1270="","",AD1270-Q1270)</f>
        <v/>
      </c>
      <c r="AI1270" s="7" t="n"/>
      <c r="AL1270" s="11" t="n"/>
      <c r="AN1270">
        <f>IF($E1270="","",IF(COUNTIF($E$2:$E1270,$E1270)=1,1,0))</f>
        <v/>
      </c>
      <c r="AO1270">
        <f>IF($AN1270=1,SUMPRODUCT(--($AR$2:$AR$4001&lt;$AR1270))+1,"")</f>
        <v/>
      </c>
      <c r="AP1270">
        <f>IF($E1270="","",IF(OR($U1270=TRUE(),$U1270="TRUE"),1,0))</f>
        <v/>
      </c>
      <c r="AQ1270">
        <f>IF($E1270="","",IF($AA1270="Yes",1,0))</f>
        <v/>
      </c>
      <c r="AR1270">
        <f>IF($AN1270=1,IFERROR(VALUE(MID($E1270,2,20)),1000000000)+ROW()/100000,"")</f>
        <v/>
      </c>
    </row>
    <row r="1271">
      <c r="G1271" s="11" t="n"/>
      <c r="Q1271" s="7">
        <f>IF($E1271="","",P1271*Y1271/100)</f>
        <v/>
      </c>
      <c r="R1271" s="7" t="n"/>
      <c r="X1271" s="7" t="n"/>
      <c r="Y1271" s="7" t="n"/>
      <c r="AB1271">
        <f>IF($E1271="","",IF($AQ1271=1,0,IF($AP1271=1,Settings!$C$6,Settings!$C$7))*100)</f>
        <v/>
      </c>
      <c r="AC1271" s="7">
        <f>IF($E1271="","",Y1271*AB1271/100)</f>
        <v/>
      </c>
      <c r="AD1271" s="7">
        <f>IF($E1271="","",Y1271-AC1271)</f>
        <v/>
      </c>
      <c r="AE1271" s="7">
        <f>IF($E1271="","",AD1271-Q1271)</f>
        <v/>
      </c>
      <c r="AI1271" s="7" t="n"/>
      <c r="AL1271" s="11" t="n"/>
      <c r="AN1271">
        <f>IF($E1271="","",IF(COUNTIF($E$2:$E1271,$E1271)=1,1,0))</f>
        <v/>
      </c>
      <c r="AO1271">
        <f>IF($AN1271=1,SUMPRODUCT(--($AR$2:$AR$4001&lt;$AR1271))+1,"")</f>
        <v/>
      </c>
      <c r="AP1271">
        <f>IF($E1271="","",IF(OR($U1271=TRUE(),$U1271="TRUE"),1,0))</f>
        <v/>
      </c>
      <c r="AQ1271">
        <f>IF($E1271="","",IF($AA1271="Yes",1,0))</f>
        <v/>
      </c>
      <c r="AR1271">
        <f>IF($AN1271=1,IFERROR(VALUE(MID($E1271,2,20)),1000000000)+ROW()/100000,"")</f>
        <v/>
      </c>
    </row>
    <row r="1272">
      <c r="G1272" s="11" t="n"/>
      <c r="Q1272" s="7">
        <f>IF($E1272="","",P1272*Y1272/100)</f>
        <v/>
      </c>
      <c r="R1272" s="7" t="n"/>
      <c r="X1272" s="7" t="n"/>
      <c r="Y1272" s="7" t="n"/>
      <c r="AB1272">
        <f>IF($E1272="","",IF($AQ1272=1,0,IF($AP1272=1,Settings!$C$6,Settings!$C$7))*100)</f>
        <v/>
      </c>
      <c r="AC1272" s="7">
        <f>IF($E1272="","",Y1272*AB1272/100)</f>
        <v/>
      </c>
      <c r="AD1272" s="7">
        <f>IF($E1272="","",Y1272-AC1272)</f>
        <v/>
      </c>
      <c r="AE1272" s="7">
        <f>IF($E1272="","",AD1272-Q1272)</f>
        <v/>
      </c>
      <c r="AI1272" s="7" t="n"/>
      <c r="AL1272" s="11" t="n"/>
      <c r="AN1272">
        <f>IF($E1272="","",IF(COUNTIF($E$2:$E1272,$E1272)=1,1,0))</f>
        <v/>
      </c>
      <c r="AO1272">
        <f>IF($AN1272=1,SUMPRODUCT(--($AR$2:$AR$4001&lt;$AR1272))+1,"")</f>
        <v/>
      </c>
      <c r="AP1272">
        <f>IF($E1272="","",IF(OR($U1272=TRUE(),$U1272="TRUE"),1,0))</f>
        <v/>
      </c>
      <c r="AQ1272">
        <f>IF($E1272="","",IF($AA1272="Yes",1,0))</f>
        <v/>
      </c>
      <c r="AR1272">
        <f>IF($AN1272=1,IFERROR(VALUE(MID($E1272,2,20)),1000000000)+ROW()/100000,"")</f>
        <v/>
      </c>
    </row>
    <row r="1273">
      <c r="G1273" s="11" t="n"/>
      <c r="Q1273" s="7">
        <f>IF($E1273="","",P1273*Y1273/100)</f>
        <v/>
      </c>
      <c r="R1273" s="7" t="n"/>
      <c r="X1273" s="7" t="n"/>
      <c r="Y1273" s="7" t="n"/>
      <c r="AB1273">
        <f>IF($E1273="","",IF($AQ1273=1,0,IF($AP1273=1,Settings!$C$6,Settings!$C$7))*100)</f>
        <v/>
      </c>
      <c r="AC1273" s="7">
        <f>IF($E1273="","",Y1273*AB1273/100)</f>
        <v/>
      </c>
      <c r="AD1273" s="7">
        <f>IF($E1273="","",Y1273-AC1273)</f>
        <v/>
      </c>
      <c r="AE1273" s="7">
        <f>IF($E1273="","",AD1273-Q1273)</f>
        <v/>
      </c>
      <c r="AI1273" s="7" t="n"/>
      <c r="AL1273" s="11" t="n"/>
      <c r="AN1273">
        <f>IF($E1273="","",IF(COUNTIF($E$2:$E1273,$E1273)=1,1,0))</f>
        <v/>
      </c>
      <c r="AO1273">
        <f>IF($AN1273=1,SUMPRODUCT(--($AR$2:$AR$4001&lt;$AR1273))+1,"")</f>
        <v/>
      </c>
      <c r="AP1273">
        <f>IF($E1273="","",IF(OR($U1273=TRUE(),$U1273="TRUE"),1,0))</f>
        <v/>
      </c>
      <c r="AQ1273">
        <f>IF($E1273="","",IF($AA1273="Yes",1,0))</f>
        <v/>
      </c>
      <c r="AR1273">
        <f>IF($AN1273=1,IFERROR(VALUE(MID($E1273,2,20)),1000000000)+ROW()/100000,"")</f>
        <v/>
      </c>
    </row>
    <row r="1274">
      <c r="G1274" s="11" t="n"/>
      <c r="Q1274" s="7">
        <f>IF($E1274="","",P1274*Y1274/100)</f>
        <v/>
      </c>
      <c r="R1274" s="7" t="n"/>
      <c r="X1274" s="7" t="n"/>
      <c r="Y1274" s="7" t="n"/>
      <c r="AB1274">
        <f>IF($E1274="","",IF($AQ1274=1,0,IF($AP1274=1,Settings!$C$6,Settings!$C$7))*100)</f>
        <v/>
      </c>
      <c r="AC1274" s="7">
        <f>IF($E1274="","",Y1274*AB1274/100)</f>
        <v/>
      </c>
      <c r="AD1274" s="7">
        <f>IF($E1274="","",Y1274-AC1274)</f>
        <v/>
      </c>
      <c r="AE1274" s="7">
        <f>IF($E1274="","",AD1274-Q1274)</f>
        <v/>
      </c>
      <c r="AI1274" s="7" t="n"/>
      <c r="AL1274" s="11" t="n"/>
      <c r="AN1274">
        <f>IF($E1274="","",IF(COUNTIF($E$2:$E1274,$E1274)=1,1,0))</f>
        <v/>
      </c>
      <c r="AO1274">
        <f>IF($AN1274=1,SUMPRODUCT(--($AR$2:$AR$4001&lt;$AR1274))+1,"")</f>
        <v/>
      </c>
      <c r="AP1274">
        <f>IF($E1274="","",IF(OR($U1274=TRUE(),$U1274="TRUE"),1,0))</f>
        <v/>
      </c>
      <c r="AQ1274">
        <f>IF($E1274="","",IF($AA1274="Yes",1,0))</f>
        <v/>
      </c>
      <c r="AR1274">
        <f>IF($AN1274=1,IFERROR(VALUE(MID($E1274,2,20)),1000000000)+ROW()/100000,"")</f>
        <v/>
      </c>
    </row>
    <row r="1275">
      <c r="G1275" s="11" t="n"/>
      <c r="Q1275" s="7">
        <f>IF($E1275="","",P1275*Y1275/100)</f>
        <v/>
      </c>
      <c r="R1275" s="7" t="n"/>
      <c r="X1275" s="7" t="n"/>
      <c r="Y1275" s="7" t="n"/>
      <c r="AB1275">
        <f>IF($E1275="","",IF($AQ1275=1,0,IF($AP1275=1,Settings!$C$6,Settings!$C$7))*100)</f>
        <v/>
      </c>
      <c r="AC1275" s="7">
        <f>IF($E1275="","",Y1275*AB1275/100)</f>
        <v/>
      </c>
      <c r="AD1275" s="7">
        <f>IF($E1275="","",Y1275-AC1275)</f>
        <v/>
      </c>
      <c r="AE1275" s="7">
        <f>IF($E1275="","",AD1275-Q1275)</f>
        <v/>
      </c>
      <c r="AI1275" s="7" t="n"/>
      <c r="AL1275" s="11" t="n"/>
      <c r="AN1275">
        <f>IF($E1275="","",IF(COUNTIF($E$2:$E1275,$E1275)=1,1,0))</f>
        <v/>
      </c>
      <c r="AO1275">
        <f>IF($AN1275=1,SUMPRODUCT(--($AR$2:$AR$4001&lt;$AR1275))+1,"")</f>
        <v/>
      </c>
      <c r="AP1275">
        <f>IF($E1275="","",IF(OR($U1275=TRUE(),$U1275="TRUE"),1,0))</f>
        <v/>
      </c>
      <c r="AQ1275">
        <f>IF($E1275="","",IF($AA1275="Yes",1,0))</f>
        <v/>
      </c>
      <c r="AR1275">
        <f>IF($AN1275=1,IFERROR(VALUE(MID($E1275,2,20)),1000000000)+ROW()/100000,"")</f>
        <v/>
      </c>
    </row>
    <row r="1276">
      <c r="G1276" s="11" t="n"/>
      <c r="Q1276" s="7">
        <f>IF($E1276="","",P1276*Y1276/100)</f>
        <v/>
      </c>
      <c r="R1276" s="7" t="n"/>
      <c r="X1276" s="7" t="n"/>
      <c r="Y1276" s="7" t="n"/>
      <c r="AB1276">
        <f>IF($E1276="","",IF($AQ1276=1,0,IF($AP1276=1,Settings!$C$6,Settings!$C$7))*100)</f>
        <v/>
      </c>
      <c r="AC1276" s="7">
        <f>IF($E1276="","",Y1276*AB1276/100)</f>
        <v/>
      </c>
      <c r="AD1276" s="7">
        <f>IF($E1276="","",Y1276-AC1276)</f>
        <v/>
      </c>
      <c r="AE1276" s="7">
        <f>IF($E1276="","",AD1276-Q1276)</f>
        <v/>
      </c>
      <c r="AI1276" s="7" t="n"/>
      <c r="AL1276" s="11" t="n"/>
      <c r="AN1276">
        <f>IF($E1276="","",IF(COUNTIF($E$2:$E1276,$E1276)=1,1,0))</f>
        <v/>
      </c>
      <c r="AO1276">
        <f>IF($AN1276=1,SUMPRODUCT(--($AR$2:$AR$4001&lt;$AR1276))+1,"")</f>
        <v/>
      </c>
      <c r="AP1276">
        <f>IF($E1276="","",IF(OR($U1276=TRUE(),$U1276="TRUE"),1,0))</f>
        <v/>
      </c>
      <c r="AQ1276">
        <f>IF($E1276="","",IF($AA1276="Yes",1,0))</f>
        <v/>
      </c>
      <c r="AR1276">
        <f>IF($AN1276=1,IFERROR(VALUE(MID($E1276,2,20)),1000000000)+ROW()/100000,"")</f>
        <v/>
      </c>
    </row>
    <row r="1277">
      <c r="G1277" s="11" t="n"/>
      <c r="Q1277" s="7">
        <f>IF($E1277="","",P1277*Y1277/100)</f>
        <v/>
      </c>
      <c r="R1277" s="7" t="n"/>
      <c r="X1277" s="7" t="n"/>
      <c r="Y1277" s="7" t="n"/>
      <c r="AB1277">
        <f>IF($E1277="","",IF($AQ1277=1,0,IF($AP1277=1,Settings!$C$6,Settings!$C$7))*100)</f>
        <v/>
      </c>
      <c r="AC1277" s="7">
        <f>IF($E1277="","",Y1277*AB1277/100)</f>
        <v/>
      </c>
      <c r="AD1277" s="7">
        <f>IF($E1277="","",Y1277-AC1277)</f>
        <v/>
      </c>
      <c r="AE1277" s="7">
        <f>IF($E1277="","",AD1277-Q1277)</f>
        <v/>
      </c>
      <c r="AI1277" s="7" t="n"/>
      <c r="AL1277" s="11" t="n"/>
      <c r="AN1277">
        <f>IF($E1277="","",IF(COUNTIF($E$2:$E1277,$E1277)=1,1,0))</f>
        <v/>
      </c>
      <c r="AO1277">
        <f>IF($AN1277=1,SUMPRODUCT(--($AR$2:$AR$4001&lt;$AR1277))+1,"")</f>
        <v/>
      </c>
      <c r="AP1277">
        <f>IF($E1277="","",IF(OR($U1277=TRUE(),$U1277="TRUE"),1,0))</f>
        <v/>
      </c>
      <c r="AQ1277">
        <f>IF($E1277="","",IF($AA1277="Yes",1,0))</f>
        <v/>
      </c>
      <c r="AR1277">
        <f>IF($AN1277=1,IFERROR(VALUE(MID($E1277,2,20)),1000000000)+ROW()/100000,"")</f>
        <v/>
      </c>
    </row>
    <row r="1278">
      <c r="G1278" s="11" t="n"/>
      <c r="Q1278" s="7">
        <f>IF($E1278="","",P1278*Y1278/100)</f>
        <v/>
      </c>
      <c r="R1278" s="7" t="n"/>
      <c r="X1278" s="7" t="n"/>
      <c r="Y1278" s="7" t="n"/>
      <c r="AB1278">
        <f>IF($E1278="","",IF($AQ1278=1,0,IF($AP1278=1,Settings!$C$6,Settings!$C$7))*100)</f>
        <v/>
      </c>
      <c r="AC1278" s="7">
        <f>IF($E1278="","",Y1278*AB1278/100)</f>
        <v/>
      </c>
      <c r="AD1278" s="7">
        <f>IF($E1278="","",Y1278-AC1278)</f>
        <v/>
      </c>
      <c r="AE1278" s="7">
        <f>IF($E1278="","",AD1278-Q1278)</f>
        <v/>
      </c>
      <c r="AI1278" s="7" t="n"/>
      <c r="AL1278" s="11" t="n"/>
      <c r="AN1278">
        <f>IF($E1278="","",IF(COUNTIF($E$2:$E1278,$E1278)=1,1,0))</f>
        <v/>
      </c>
      <c r="AO1278">
        <f>IF($AN1278=1,SUMPRODUCT(--($AR$2:$AR$4001&lt;$AR1278))+1,"")</f>
        <v/>
      </c>
      <c r="AP1278">
        <f>IF($E1278="","",IF(OR($U1278=TRUE(),$U1278="TRUE"),1,0))</f>
        <v/>
      </c>
      <c r="AQ1278">
        <f>IF($E1278="","",IF($AA1278="Yes",1,0))</f>
        <v/>
      </c>
      <c r="AR1278">
        <f>IF($AN1278=1,IFERROR(VALUE(MID($E1278,2,20)),1000000000)+ROW()/100000,"")</f>
        <v/>
      </c>
    </row>
    <row r="1279">
      <c r="G1279" s="11" t="n"/>
      <c r="Q1279" s="7">
        <f>IF($E1279="","",P1279*Y1279/100)</f>
        <v/>
      </c>
      <c r="R1279" s="7" t="n"/>
      <c r="X1279" s="7" t="n"/>
      <c r="Y1279" s="7" t="n"/>
      <c r="AB1279">
        <f>IF($E1279="","",IF($AQ1279=1,0,IF($AP1279=1,Settings!$C$6,Settings!$C$7))*100)</f>
        <v/>
      </c>
      <c r="AC1279" s="7">
        <f>IF($E1279="","",Y1279*AB1279/100)</f>
        <v/>
      </c>
      <c r="AD1279" s="7">
        <f>IF($E1279="","",Y1279-AC1279)</f>
        <v/>
      </c>
      <c r="AE1279" s="7">
        <f>IF($E1279="","",AD1279-Q1279)</f>
        <v/>
      </c>
      <c r="AI1279" s="7" t="n"/>
      <c r="AL1279" s="11" t="n"/>
      <c r="AN1279">
        <f>IF($E1279="","",IF(COUNTIF($E$2:$E1279,$E1279)=1,1,0))</f>
        <v/>
      </c>
      <c r="AO1279">
        <f>IF($AN1279=1,SUMPRODUCT(--($AR$2:$AR$4001&lt;$AR1279))+1,"")</f>
        <v/>
      </c>
      <c r="AP1279">
        <f>IF($E1279="","",IF(OR($U1279=TRUE(),$U1279="TRUE"),1,0))</f>
        <v/>
      </c>
      <c r="AQ1279">
        <f>IF($E1279="","",IF($AA1279="Yes",1,0))</f>
        <v/>
      </c>
      <c r="AR1279">
        <f>IF($AN1279=1,IFERROR(VALUE(MID($E1279,2,20)),1000000000)+ROW()/100000,"")</f>
        <v/>
      </c>
    </row>
    <row r="1280">
      <c r="G1280" s="11" t="n"/>
      <c r="Q1280" s="7">
        <f>IF($E1280="","",P1280*Y1280/100)</f>
        <v/>
      </c>
      <c r="R1280" s="7" t="n"/>
      <c r="X1280" s="7" t="n"/>
      <c r="Y1280" s="7" t="n"/>
      <c r="AB1280">
        <f>IF($E1280="","",IF($AQ1280=1,0,IF($AP1280=1,Settings!$C$6,Settings!$C$7))*100)</f>
        <v/>
      </c>
      <c r="AC1280" s="7">
        <f>IF($E1280="","",Y1280*AB1280/100)</f>
        <v/>
      </c>
      <c r="AD1280" s="7">
        <f>IF($E1280="","",Y1280-AC1280)</f>
        <v/>
      </c>
      <c r="AE1280" s="7">
        <f>IF($E1280="","",AD1280-Q1280)</f>
        <v/>
      </c>
      <c r="AI1280" s="7" t="n"/>
      <c r="AL1280" s="11" t="n"/>
      <c r="AN1280">
        <f>IF($E1280="","",IF(COUNTIF($E$2:$E1280,$E1280)=1,1,0))</f>
        <v/>
      </c>
      <c r="AO1280">
        <f>IF($AN1280=1,SUMPRODUCT(--($AR$2:$AR$4001&lt;$AR1280))+1,"")</f>
        <v/>
      </c>
      <c r="AP1280">
        <f>IF($E1280="","",IF(OR($U1280=TRUE(),$U1280="TRUE"),1,0))</f>
        <v/>
      </c>
      <c r="AQ1280">
        <f>IF($E1280="","",IF($AA1280="Yes",1,0))</f>
        <v/>
      </c>
      <c r="AR1280">
        <f>IF($AN1280=1,IFERROR(VALUE(MID($E1280,2,20)),1000000000)+ROW()/100000,"")</f>
        <v/>
      </c>
    </row>
    <row r="1281">
      <c r="G1281" s="11" t="n"/>
      <c r="Q1281" s="7">
        <f>IF($E1281="","",P1281*Y1281/100)</f>
        <v/>
      </c>
      <c r="R1281" s="7" t="n"/>
      <c r="X1281" s="7" t="n"/>
      <c r="Y1281" s="7" t="n"/>
      <c r="AB1281">
        <f>IF($E1281="","",IF($AQ1281=1,0,IF($AP1281=1,Settings!$C$6,Settings!$C$7))*100)</f>
        <v/>
      </c>
      <c r="AC1281" s="7">
        <f>IF($E1281="","",Y1281*AB1281/100)</f>
        <v/>
      </c>
      <c r="AD1281" s="7">
        <f>IF($E1281="","",Y1281-AC1281)</f>
        <v/>
      </c>
      <c r="AE1281" s="7">
        <f>IF($E1281="","",AD1281-Q1281)</f>
        <v/>
      </c>
      <c r="AI1281" s="7" t="n"/>
      <c r="AL1281" s="11" t="n"/>
      <c r="AN1281">
        <f>IF($E1281="","",IF(COUNTIF($E$2:$E1281,$E1281)=1,1,0))</f>
        <v/>
      </c>
      <c r="AO1281">
        <f>IF($AN1281=1,SUMPRODUCT(--($AR$2:$AR$4001&lt;$AR1281))+1,"")</f>
        <v/>
      </c>
      <c r="AP1281">
        <f>IF($E1281="","",IF(OR($U1281=TRUE(),$U1281="TRUE"),1,0))</f>
        <v/>
      </c>
      <c r="AQ1281">
        <f>IF($E1281="","",IF($AA1281="Yes",1,0))</f>
        <v/>
      </c>
      <c r="AR1281">
        <f>IF($AN1281=1,IFERROR(VALUE(MID($E1281,2,20)),1000000000)+ROW()/100000,"")</f>
        <v/>
      </c>
    </row>
    <row r="1282">
      <c r="G1282" s="11" t="n"/>
      <c r="Q1282" s="7">
        <f>IF($E1282="","",P1282*Y1282/100)</f>
        <v/>
      </c>
      <c r="R1282" s="7" t="n"/>
      <c r="X1282" s="7" t="n"/>
      <c r="Y1282" s="7" t="n"/>
      <c r="AB1282">
        <f>IF($E1282="","",IF($AQ1282=1,0,IF($AP1282=1,Settings!$C$6,Settings!$C$7))*100)</f>
        <v/>
      </c>
      <c r="AC1282" s="7">
        <f>IF($E1282="","",Y1282*AB1282/100)</f>
        <v/>
      </c>
      <c r="AD1282" s="7">
        <f>IF($E1282="","",Y1282-AC1282)</f>
        <v/>
      </c>
      <c r="AE1282" s="7">
        <f>IF($E1282="","",AD1282-Q1282)</f>
        <v/>
      </c>
      <c r="AI1282" s="7" t="n"/>
      <c r="AL1282" s="11" t="n"/>
      <c r="AN1282">
        <f>IF($E1282="","",IF(COUNTIF($E$2:$E1282,$E1282)=1,1,0))</f>
        <v/>
      </c>
      <c r="AO1282">
        <f>IF($AN1282=1,SUMPRODUCT(--($AR$2:$AR$4001&lt;$AR1282))+1,"")</f>
        <v/>
      </c>
      <c r="AP1282">
        <f>IF($E1282="","",IF(OR($U1282=TRUE(),$U1282="TRUE"),1,0))</f>
        <v/>
      </c>
      <c r="AQ1282">
        <f>IF($E1282="","",IF($AA1282="Yes",1,0))</f>
        <v/>
      </c>
      <c r="AR1282">
        <f>IF($AN1282=1,IFERROR(VALUE(MID($E1282,2,20)),1000000000)+ROW()/100000,"")</f>
        <v/>
      </c>
    </row>
    <row r="1283">
      <c r="G1283" s="11" t="n"/>
      <c r="Q1283" s="7">
        <f>IF($E1283="","",P1283*Y1283/100)</f>
        <v/>
      </c>
      <c r="R1283" s="7" t="n"/>
      <c r="X1283" s="7" t="n"/>
      <c r="Y1283" s="7" t="n"/>
      <c r="AB1283">
        <f>IF($E1283="","",IF($AQ1283=1,0,IF($AP1283=1,Settings!$C$6,Settings!$C$7))*100)</f>
        <v/>
      </c>
      <c r="AC1283" s="7">
        <f>IF($E1283="","",Y1283*AB1283/100)</f>
        <v/>
      </c>
      <c r="AD1283" s="7">
        <f>IF($E1283="","",Y1283-AC1283)</f>
        <v/>
      </c>
      <c r="AE1283" s="7">
        <f>IF($E1283="","",AD1283-Q1283)</f>
        <v/>
      </c>
      <c r="AI1283" s="7" t="n"/>
      <c r="AL1283" s="11" t="n"/>
      <c r="AN1283">
        <f>IF($E1283="","",IF(COUNTIF($E$2:$E1283,$E1283)=1,1,0))</f>
        <v/>
      </c>
      <c r="AO1283">
        <f>IF($AN1283=1,SUMPRODUCT(--($AR$2:$AR$4001&lt;$AR1283))+1,"")</f>
        <v/>
      </c>
      <c r="AP1283">
        <f>IF($E1283="","",IF(OR($U1283=TRUE(),$U1283="TRUE"),1,0))</f>
        <v/>
      </c>
      <c r="AQ1283">
        <f>IF($E1283="","",IF($AA1283="Yes",1,0))</f>
        <v/>
      </c>
      <c r="AR1283">
        <f>IF($AN1283=1,IFERROR(VALUE(MID($E1283,2,20)),1000000000)+ROW()/100000,"")</f>
        <v/>
      </c>
    </row>
    <row r="1284">
      <c r="G1284" s="11" t="n"/>
      <c r="Q1284" s="7">
        <f>IF($E1284="","",P1284*Y1284/100)</f>
        <v/>
      </c>
      <c r="R1284" s="7" t="n"/>
      <c r="X1284" s="7" t="n"/>
      <c r="Y1284" s="7" t="n"/>
      <c r="AB1284">
        <f>IF($E1284="","",IF($AQ1284=1,0,IF($AP1284=1,Settings!$C$6,Settings!$C$7))*100)</f>
        <v/>
      </c>
      <c r="AC1284" s="7">
        <f>IF($E1284="","",Y1284*AB1284/100)</f>
        <v/>
      </c>
      <c r="AD1284" s="7">
        <f>IF($E1284="","",Y1284-AC1284)</f>
        <v/>
      </c>
      <c r="AE1284" s="7">
        <f>IF($E1284="","",AD1284-Q1284)</f>
        <v/>
      </c>
      <c r="AI1284" s="7" t="n"/>
      <c r="AL1284" s="11" t="n"/>
      <c r="AN1284">
        <f>IF($E1284="","",IF(COUNTIF($E$2:$E1284,$E1284)=1,1,0))</f>
        <v/>
      </c>
      <c r="AO1284">
        <f>IF($AN1284=1,SUMPRODUCT(--($AR$2:$AR$4001&lt;$AR1284))+1,"")</f>
        <v/>
      </c>
      <c r="AP1284">
        <f>IF($E1284="","",IF(OR($U1284=TRUE(),$U1284="TRUE"),1,0))</f>
        <v/>
      </c>
      <c r="AQ1284">
        <f>IF($E1284="","",IF($AA1284="Yes",1,0))</f>
        <v/>
      </c>
      <c r="AR1284">
        <f>IF($AN1284=1,IFERROR(VALUE(MID($E1284,2,20)),1000000000)+ROW()/100000,"")</f>
        <v/>
      </c>
    </row>
    <row r="1285">
      <c r="G1285" s="11" t="n"/>
      <c r="Q1285" s="7">
        <f>IF($E1285="","",P1285*Y1285/100)</f>
        <v/>
      </c>
      <c r="R1285" s="7" t="n"/>
      <c r="X1285" s="7" t="n"/>
      <c r="Y1285" s="7" t="n"/>
      <c r="AB1285">
        <f>IF($E1285="","",IF($AQ1285=1,0,IF($AP1285=1,Settings!$C$6,Settings!$C$7))*100)</f>
        <v/>
      </c>
      <c r="AC1285" s="7">
        <f>IF($E1285="","",Y1285*AB1285/100)</f>
        <v/>
      </c>
      <c r="AD1285" s="7">
        <f>IF($E1285="","",Y1285-AC1285)</f>
        <v/>
      </c>
      <c r="AE1285" s="7">
        <f>IF($E1285="","",AD1285-Q1285)</f>
        <v/>
      </c>
      <c r="AI1285" s="7" t="n"/>
      <c r="AL1285" s="11" t="n"/>
      <c r="AN1285">
        <f>IF($E1285="","",IF(COUNTIF($E$2:$E1285,$E1285)=1,1,0))</f>
        <v/>
      </c>
      <c r="AO1285">
        <f>IF($AN1285=1,SUMPRODUCT(--($AR$2:$AR$4001&lt;$AR1285))+1,"")</f>
        <v/>
      </c>
      <c r="AP1285">
        <f>IF($E1285="","",IF(OR($U1285=TRUE(),$U1285="TRUE"),1,0))</f>
        <v/>
      </c>
      <c r="AQ1285">
        <f>IF($E1285="","",IF($AA1285="Yes",1,0))</f>
        <v/>
      </c>
      <c r="AR1285">
        <f>IF($AN1285=1,IFERROR(VALUE(MID($E1285,2,20)),1000000000)+ROW()/100000,"")</f>
        <v/>
      </c>
    </row>
    <row r="1286">
      <c r="G1286" s="11" t="n"/>
      <c r="Q1286" s="7">
        <f>IF($E1286="","",P1286*Y1286/100)</f>
        <v/>
      </c>
      <c r="R1286" s="7" t="n"/>
      <c r="X1286" s="7" t="n"/>
      <c r="Y1286" s="7" t="n"/>
      <c r="AB1286">
        <f>IF($E1286="","",IF($AQ1286=1,0,IF($AP1286=1,Settings!$C$6,Settings!$C$7))*100)</f>
        <v/>
      </c>
      <c r="AC1286" s="7">
        <f>IF($E1286="","",Y1286*AB1286/100)</f>
        <v/>
      </c>
      <c r="AD1286" s="7">
        <f>IF($E1286="","",Y1286-AC1286)</f>
        <v/>
      </c>
      <c r="AE1286" s="7">
        <f>IF($E1286="","",AD1286-Q1286)</f>
        <v/>
      </c>
      <c r="AI1286" s="7" t="n"/>
      <c r="AL1286" s="11" t="n"/>
      <c r="AN1286">
        <f>IF($E1286="","",IF(COUNTIF($E$2:$E1286,$E1286)=1,1,0))</f>
        <v/>
      </c>
      <c r="AO1286">
        <f>IF($AN1286=1,SUMPRODUCT(--($AR$2:$AR$4001&lt;$AR1286))+1,"")</f>
        <v/>
      </c>
      <c r="AP1286">
        <f>IF($E1286="","",IF(OR($U1286=TRUE(),$U1286="TRUE"),1,0))</f>
        <v/>
      </c>
      <c r="AQ1286">
        <f>IF($E1286="","",IF($AA1286="Yes",1,0))</f>
        <v/>
      </c>
      <c r="AR1286">
        <f>IF($AN1286=1,IFERROR(VALUE(MID($E1286,2,20)),1000000000)+ROW()/100000,"")</f>
        <v/>
      </c>
    </row>
    <row r="1287">
      <c r="G1287" s="11" t="n"/>
      <c r="Q1287" s="7">
        <f>IF($E1287="","",P1287*Y1287/100)</f>
        <v/>
      </c>
      <c r="R1287" s="7" t="n"/>
      <c r="X1287" s="7" t="n"/>
      <c r="Y1287" s="7" t="n"/>
      <c r="AB1287">
        <f>IF($E1287="","",IF($AQ1287=1,0,IF($AP1287=1,Settings!$C$6,Settings!$C$7))*100)</f>
        <v/>
      </c>
      <c r="AC1287" s="7">
        <f>IF($E1287="","",Y1287*AB1287/100)</f>
        <v/>
      </c>
      <c r="AD1287" s="7">
        <f>IF($E1287="","",Y1287-AC1287)</f>
        <v/>
      </c>
      <c r="AE1287" s="7">
        <f>IF($E1287="","",AD1287-Q1287)</f>
        <v/>
      </c>
      <c r="AI1287" s="7" t="n"/>
      <c r="AL1287" s="11" t="n"/>
      <c r="AN1287">
        <f>IF($E1287="","",IF(COUNTIF($E$2:$E1287,$E1287)=1,1,0))</f>
        <v/>
      </c>
      <c r="AO1287">
        <f>IF($AN1287=1,SUMPRODUCT(--($AR$2:$AR$4001&lt;$AR1287))+1,"")</f>
        <v/>
      </c>
      <c r="AP1287">
        <f>IF($E1287="","",IF(OR($U1287=TRUE(),$U1287="TRUE"),1,0))</f>
        <v/>
      </c>
      <c r="AQ1287">
        <f>IF($E1287="","",IF($AA1287="Yes",1,0))</f>
        <v/>
      </c>
      <c r="AR1287">
        <f>IF($AN1287=1,IFERROR(VALUE(MID($E1287,2,20)),1000000000)+ROW()/100000,"")</f>
        <v/>
      </c>
    </row>
    <row r="1288">
      <c r="G1288" s="11" t="n"/>
      <c r="Q1288" s="7">
        <f>IF($E1288="","",P1288*Y1288/100)</f>
        <v/>
      </c>
      <c r="R1288" s="7" t="n"/>
      <c r="X1288" s="7" t="n"/>
      <c r="Y1288" s="7" t="n"/>
      <c r="AB1288">
        <f>IF($E1288="","",IF($AQ1288=1,0,IF($AP1288=1,Settings!$C$6,Settings!$C$7))*100)</f>
        <v/>
      </c>
      <c r="AC1288" s="7">
        <f>IF($E1288="","",Y1288*AB1288/100)</f>
        <v/>
      </c>
      <c r="AD1288" s="7">
        <f>IF($E1288="","",Y1288-AC1288)</f>
        <v/>
      </c>
      <c r="AE1288" s="7">
        <f>IF($E1288="","",AD1288-Q1288)</f>
        <v/>
      </c>
      <c r="AI1288" s="7" t="n"/>
      <c r="AL1288" s="11" t="n"/>
      <c r="AN1288">
        <f>IF($E1288="","",IF(COUNTIF($E$2:$E1288,$E1288)=1,1,0))</f>
        <v/>
      </c>
      <c r="AO1288">
        <f>IF($AN1288=1,SUMPRODUCT(--($AR$2:$AR$4001&lt;$AR1288))+1,"")</f>
        <v/>
      </c>
      <c r="AP1288">
        <f>IF($E1288="","",IF(OR($U1288=TRUE(),$U1288="TRUE"),1,0))</f>
        <v/>
      </c>
      <c r="AQ1288">
        <f>IF($E1288="","",IF($AA1288="Yes",1,0))</f>
        <v/>
      </c>
      <c r="AR1288">
        <f>IF($AN1288=1,IFERROR(VALUE(MID($E1288,2,20)),1000000000)+ROW()/100000,"")</f>
        <v/>
      </c>
    </row>
    <row r="1289">
      <c r="G1289" s="11" t="n"/>
      <c r="Q1289" s="7">
        <f>IF($E1289="","",P1289*Y1289/100)</f>
        <v/>
      </c>
      <c r="R1289" s="7" t="n"/>
      <c r="X1289" s="7" t="n"/>
      <c r="Y1289" s="7" t="n"/>
      <c r="AB1289">
        <f>IF($E1289="","",IF($AQ1289=1,0,IF($AP1289=1,Settings!$C$6,Settings!$C$7))*100)</f>
        <v/>
      </c>
      <c r="AC1289" s="7">
        <f>IF($E1289="","",Y1289*AB1289/100)</f>
        <v/>
      </c>
      <c r="AD1289" s="7">
        <f>IF($E1289="","",Y1289-AC1289)</f>
        <v/>
      </c>
      <c r="AE1289" s="7">
        <f>IF($E1289="","",AD1289-Q1289)</f>
        <v/>
      </c>
      <c r="AI1289" s="7" t="n"/>
      <c r="AL1289" s="11" t="n"/>
      <c r="AN1289">
        <f>IF($E1289="","",IF(COUNTIF($E$2:$E1289,$E1289)=1,1,0))</f>
        <v/>
      </c>
      <c r="AO1289">
        <f>IF($AN1289=1,SUMPRODUCT(--($AR$2:$AR$4001&lt;$AR1289))+1,"")</f>
        <v/>
      </c>
      <c r="AP1289">
        <f>IF($E1289="","",IF(OR($U1289=TRUE(),$U1289="TRUE"),1,0))</f>
        <v/>
      </c>
      <c r="AQ1289">
        <f>IF($E1289="","",IF($AA1289="Yes",1,0))</f>
        <v/>
      </c>
      <c r="AR1289">
        <f>IF($AN1289=1,IFERROR(VALUE(MID($E1289,2,20)),1000000000)+ROW()/100000,"")</f>
        <v/>
      </c>
    </row>
    <row r="1290">
      <c r="G1290" s="11" t="n"/>
      <c r="Q1290" s="7">
        <f>IF($E1290="","",P1290*Y1290/100)</f>
        <v/>
      </c>
      <c r="R1290" s="7" t="n"/>
      <c r="X1290" s="7" t="n"/>
      <c r="Y1290" s="7" t="n"/>
      <c r="AB1290">
        <f>IF($E1290="","",IF($AQ1290=1,0,IF($AP1290=1,Settings!$C$6,Settings!$C$7))*100)</f>
        <v/>
      </c>
      <c r="AC1290" s="7">
        <f>IF($E1290="","",Y1290*AB1290/100)</f>
        <v/>
      </c>
      <c r="AD1290" s="7">
        <f>IF($E1290="","",Y1290-AC1290)</f>
        <v/>
      </c>
      <c r="AE1290" s="7">
        <f>IF($E1290="","",AD1290-Q1290)</f>
        <v/>
      </c>
      <c r="AI1290" s="7" t="n"/>
      <c r="AL1290" s="11" t="n"/>
      <c r="AN1290">
        <f>IF($E1290="","",IF(COUNTIF($E$2:$E1290,$E1290)=1,1,0))</f>
        <v/>
      </c>
      <c r="AO1290">
        <f>IF($AN1290=1,SUMPRODUCT(--($AR$2:$AR$4001&lt;$AR1290))+1,"")</f>
        <v/>
      </c>
      <c r="AP1290">
        <f>IF($E1290="","",IF(OR($U1290=TRUE(),$U1290="TRUE"),1,0))</f>
        <v/>
      </c>
      <c r="AQ1290">
        <f>IF($E1290="","",IF($AA1290="Yes",1,0))</f>
        <v/>
      </c>
      <c r="AR1290">
        <f>IF($AN1290=1,IFERROR(VALUE(MID($E1290,2,20)),1000000000)+ROW()/100000,"")</f>
        <v/>
      </c>
    </row>
    <row r="1291">
      <c r="G1291" s="11" t="n"/>
      <c r="Q1291" s="7">
        <f>IF($E1291="","",P1291*Y1291/100)</f>
        <v/>
      </c>
      <c r="R1291" s="7" t="n"/>
      <c r="X1291" s="7" t="n"/>
      <c r="Y1291" s="7" t="n"/>
      <c r="AB1291">
        <f>IF($E1291="","",IF($AQ1291=1,0,IF($AP1291=1,Settings!$C$6,Settings!$C$7))*100)</f>
        <v/>
      </c>
      <c r="AC1291" s="7">
        <f>IF($E1291="","",Y1291*AB1291/100)</f>
        <v/>
      </c>
      <c r="AD1291" s="7">
        <f>IF($E1291="","",Y1291-AC1291)</f>
        <v/>
      </c>
      <c r="AE1291" s="7">
        <f>IF($E1291="","",AD1291-Q1291)</f>
        <v/>
      </c>
      <c r="AI1291" s="7" t="n"/>
      <c r="AL1291" s="11" t="n"/>
      <c r="AN1291">
        <f>IF($E1291="","",IF(COUNTIF($E$2:$E1291,$E1291)=1,1,0))</f>
        <v/>
      </c>
      <c r="AO1291">
        <f>IF($AN1291=1,SUMPRODUCT(--($AR$2:$AR$4001&lt;$AR1291))+1,"")</f>
        <v/>
      </c>
      <c r="AP1291">
        <f>IF($E1291="","",IF(OR($U1291=TRUE(),$U1291="TRUE"),1,0))</f>
        <v/>
      </c>
      <c r="AQ1291">
        <f>IF($E1291="","",IF($AA1291="Yes",1,0))</f>
        <v/>
      </c>
      <c r="AR1291">
        <f>IF($AN1291=1,IFERROR(VALUE(MID($E1291,2,20)),1000000000)+ROW()/100000,"")</f>
        <v/>
      </c>
    </row>
    <row r="1292">
      <c r="G1292" s="11" t="n"/>
      <c r="Q1292" s="7">
        <f>IF($E1292="","",P1292*Y1292/100)</f>
        <v/>
      </c>
      <c r="R1292" s="7" t="n"/>
      <c r="X1292" s="7" t="n"/>
      <c r="Y1292" s="7" t="n"/>
      <c r="AB1292">
        <f>IF($E1292="","",IF($AQ1292=1,0,IF($AP1292=1,Settings!$C$6,Settings!$C$7))*100)</f>
        <v/>
      </c>
      <c r="AC1292" s="7">
        <f>IF($E1292="","",Y1292*AB1292/100)</f>
        <v/>
      </c>
      <c r="AD1292" s="7">
        <f>IF($E1292="","",Y1292-AC1292)</f>
        <v/>
      </c>
      <c r="AE1292" s="7">
        <f>IF($E1292="","",AD1292-Q1292)</f>
        <v/>
      </c>
      <c r="AI1292" s="7" t="n"/>
      <c r="AL1292" s="11" t="n"/>
      <c r="AN1292">
        <f>IF($E1292="","",IF(COUNTIF($E$2:$E1292,$E1292)=1,1,0))</f>
        <v/>
      </c>
      <c r="AO1292">
        <f>IF($AN1292=1,SUMPRODUCT(--($AR$2:$AR$4001&lt;$AR1292))+1,"")</f>
        <v/>
      </c>
      <c r="AP1292">
        <f>IF($E1292="","",IF(OR($U1292=TRUE(),$U1292="TRUE"),1,0))</f>
        <v/>
      </c>
      <c r="AQ1292">
        <f>IF($E1292="","",IF($AA1292="Yes",1,0))</f>
        <v/>
      </c>
      <c r="AR1292">
        <f>IF($AN1292=1,IFERROR(VALUE(MID($E1292,2,20)),1000000000)+ROW()/100000,"")</f>
        <v/>
      </c>
    </row>
    <row r="1293">
      <c r="G1293" s="11" t="n"/>
      <c r="Q1293" s="7">
        <f>IF($E1293="","",P1293*Y1293/100)</f>
        <v/>
      </c>
      <c r="R1293" s="7" t="n"/>
      <c r="X1293" s="7" t="n"/>
      <c r="Y1293" s="7" t="n"/>
      <c r="AB1293">
        <f>IF($E1293="","",IF($AQ1293=1,0,IF($AP1293=1,Settings!$C$6,Settings!$C$7))*100)</f>
        <v/>
      </c>
      <c r="AC1293" s="7">
        <f>IF($E1293="","",Y1293*AB1293/100)</f>
        <v/>
      </c>
      <c r="AD1293" s="7">
        <f>IF($E1293="","",Y1293-AC1293)</f>
        <v/>
      </c>
      <c r="AE1293" s="7">
        <f>IF($E1293="","",AD1293-Q1293)</f>
        <v/>
      </c>
      <c r="AI1293" s="7" t="n"/>
      <c r="AL1293" s="11" t="n"/>
      <c r="AN1293">
        <f>IF($E1293="","",IF(COUNTIF($E$2:$E1293,$E1293)=1,1,0))</f>
        <v/>
      </c>
      <c r="AO1293">
        <f>IF($AN1293=1,SUMPRODUCT(--($AR$2:$AR$4001&lt;$AR1293))+1,"")</f>
        <v/>
      </c>
      <c r="AP1293">
        <f>IF($E1293="","",IF(OR($U1293=TRUE(),$U1293="TRUE"),1,0))</f>
        <v/>
      </c>
      <c r="AQ1293">
        <f>IF($E1293="","",IF($AA1293="Yes",1,0))</f>
        <v/>
      </c>
      <c r="AR1293">
        <f>IF($AN1293=1,IFERROR(VALUE(MID($E1293,2,20)),1000000000)+ROW()/100000,"")</f>
        <v/>
      </c>
    </row>
    <row r="1294">
      <c r="G1294" s="11" t="n"/>
      <c r="Q1294" s="7">
        <f>IF($E1294="","",P1294*Y1294/100)</f>
        <v/>
      </c>
      <c r="R1294" s="7" t="n"/>
      <c r="X1294" s="7" t="n"/>
      <c r="Y1294" s="7" t="n"/>
      <c r="AB1294">
        <f>IF($E1294="","",IF($AQ1294=1,0,IF($AP1294=1,Settings!$C$6,Settings!$C$7))*100)</f>
        <v/>
      </c>
      <c r="AC1294" s="7">
        <f>IF($E1294="","",Y1294*AB1294/100)</f>
        <v/>
      </c>
      <c r="AD1294" s="7">
        <f>IF($E1294="","",Y1294-AC1294)</f>
        <v/>
      </c>
      <c r="AE1294" s="7">
        <f>IF($E1294="","",AD1294-Q1294)</f>
        <v/>
      </c>
      <c r="AI1294" s="7" t="n"/>
      <c r="AL1294" s="11" t="n"/>
      <c r="AN1294">
        <f>IF($E1294="","",IF(COUNTIF($E$2:$E1294,$E1294)=1,1,0))</f>
        <v/>
      </c>
      <c r="AO1294">
        <f>IF($AN1294=1,SUMPRODUCT(--($AR$2:$AR$4001&lt;$AR1294))+1,"")</f>
        <v/>
      </c>
      <c r="AP1294">
        <f>IF($E1294="","",IF(OR($U1294=TRUE(),$U1294="TRUE"),1,0))</f>
        <v/>
      </c>
      <c r="AQ1294">
        <f>IF($E1294="","",IF($AA1294="Yes",1,0))</f>
        <v/>
      </c>
      <c r="AR1294">
        <f>IF($AN1294=1,IFERROR(VALUE(MID($E1294,2,20)),1000000000)+ROW()/100000,"")</f>
        <v/>
      </c>
    </row>
    <row r="1295">
      <c r="G1295" s="11" t="n"/>
      <c r="Q1295" s="7">
        <f>IF($E1295="","",P1295*Y1295/100)</f>
        <v/>
      </c>
      <c r="R1295" s="7" t="n"/>
      <c r="X1295" s="7" t="n"/>
      <c r="Y1295" s="7" t="n"/>
      <c r="AB1295">
        <f>IF($E1295="","",IF($AQ1295=1,0,IF($AP1295=1,Settings!$C$6,Settings!$C$7))*100)</f>
        <v/>
      </c>
      <c r="AC1295" s="7">
        <f>IF($E1295="","",Y1295*AB1295/100)</f>
        <v/>
      </c>
      <c r="AD1295" s="7">
        <f>IF($E1295="","",Y1295-AC1295)</f>
        <v/>
      </c>
      <c r="AE1295" s="7">
        <f>IF($E1295="","",AD1295-Q1295)</f>
        <v/>
      </c>
      <c r="AI1295" s="7" t="n"/>
      <c r="AL1295" s="11" t="n"/>
      <c r="AN1295">
        <f>IF($E1295="","",IF(COUNTIF($E$2:$E1295,$E1295)=1,1,0))</f>
        <v/>
      </c>
      <c r="AO1295">
        <f>IF($AN1295=1,SUMPRODUCT(--($AR$2:$AR$4001&lt;$AR1295))+1,"")</f>
        <v/>
      </c>
      <c r="AP1295">
        <f>IF($E1295="","",IF(OR($U1295=TRUE(),$U1295="TRUE"),1,0))</f>
        <v/>
      </c>
      <c r="AQ1295">
        <f>IF($E1295="","",IF($AA1295="Yes",1,0))</f>
        <v/>
      </c>
      <c r="AR1295">
        <f>IF($AN1295=1,IFERROR(VALUE(MID($E1295,2,20)),1000000000)+ROW()/100000,"")</f>
        <v/>
      </c>
    </row>
    <row r="1296">
      <c r="G1296" s="11" t="n"/>
      <c r="Q1296" s="7">
        <f>IF($E1296="","",P1296*Y1296/100)</f>
        <v/>
      </c>
      <c r="R1296" s="7" t="n"/>
      <c r="X1296" s="7" t="n"/>
      <c r="Y1296" s="7" t="n"/>
      <c r="AB1296">
        <f>IF($E1296="","",IF($AQ1296=1,0,IF($AP1296=1,Settings!$C$6,Settings!$C$7))*100)</f>
        <v/>
      </c>
      <c r="AC1296" s="7">
        <f>IF($E1296="","",Y1296*AB1296/100)</f>
        <v/>
      </c>
      <c r="AD1296" s="7">
        <f>IF($E1296="","",Y1296-AC1296)</f>
        <v/>
      </c>
      <c r="AE1296" s="7">
        <f>IF($E1296="","",AD1296-Q1296)</f>
        <v/>
      </c>
      <c r="AI1296" s="7" t="n"/>
      <c r="AL1296" s="11" t="n"/>
      <c r="AN1296">
        <f>IF($E1296="","",IF(COUNTIF($E$2:$E1296,$E1296)=1,1,0))</f>
        <v/>
      </c>
      <c r="AO1296">
        <f>IF($AN1296=1,SUMPRODUCT(--($AR$2:$AR$4001&lt;$AR1296))+1,"")</f>
        <v/>
      </c>
      <c r="AP1296">
        <f>IF($E1296="","",IF(OR($U1296=TRUE(),$U1296="TRUE"),1,0))</f>
        <v/>
      </c>
      <c r="AQ1296">
        <f>IF($E1296="","",IF($AA1296="Yes",1,0))</f>
        <v/>
      </c>
      <c r="AR1296">
        <f>IF($AN1296=1,IFERROR(VALUE(MID($E1296,2,20)),1000000000)+ROW()/100000,"")</f>
        <v/>
      </c>
    </row>
    <row r="1297">
      <c r="G1297" s="11" t="n"/>
      <c r="Q1297" s="7">
        <f>IF($E1297="","",P1297*Y1297/100)</f>
        <v/>
      </c>
      <c r="R1297" s="7" t="n"/>
      <c r="X1297" s="7" t="n"/>
      <c r="Y1297" s="7" t="n"/>
      <c r="AB1297">
        <f>IF($E1297="","",IF($AQ1297=1,0,IF($AP1297=1,Settings!$C$6,Settings!$C$7))*100)</f>
        <v/>
      </c>
      <c r="AC1297" s="7">
        <f>IF($E1297="","",Y1297*AB1297/100)</f>
        <v/>
      </c>
      <c r="AD1297" s="7">
        <f>IF($E1297="","",Y1297-AC1297)</f>
        <v/>
      </c>
      <c r="AE1297" s="7">
        <f>IF($E1297="","",AD1297-Q1297)</f>
        <v/>
      </c>
      <c r="AI1297" s="7" t="n"/>
      <c r="AL1297" s="11" t="n"/>
      <c r="AN1297">
        <f>IF($E1297="","",IF(COUNTIF($E$2:$E1297,$E1297)=1,1,0))</f>
        <v/>
      </c>
      <c r="AO1297">
        <f>IF($AN1297=1,SUMPRODUCT(--($AR$2:$AR$4001&lt;$AR1297))+1,"")</f>
        <v/>
      </c>
      <c r="AP1297">
        <f>IF($E1297="","",IF(OR($U1297=TRUE(),$U1297="TRUE"),1,0))</f>
        <v/>
      </c>
      <c r="AQ1297">
        <f>IF($E1297="","",IF($AA1297="Yes",1,0))</f>
        <v/>
      </c>
      <c r="AR1297">
        <f>IF($AN1297=1,IFERROR(VALUE(MID($E1297,2,20)),1000000000)+ROW()/100000,"")</f>
        <v/>
      </c>
    </row>
    <row r="1298">
      <c r="G1298" s="11" t="n"/>
      <c r="Q1298" s="7">
        <f>IF($E1298="","",P1298*Y1298/100)</f>
        <v/>
      </c>
      <c r="R1298" s="7" t="n"/>
      <c r="X1298" s="7" t="n"/>
      <c r="Y1298" s="7" t="n"/>
      <c r="AB1298">
        <f>IF($E1298="","",IF($AQ1298=1,0,IF($AP1298=1,Settings!$C$6,Settings!$C$7))*100)</f>
        <v/>
      </c>
      <c r="AC1298" s="7">
        <f>IF($E1298="","",Y1298*AB1298/100)</f>
        <v/>
      </c>
      <c r="AD1298" s="7">
        <f>IF($E1298="","",Y1298-AC1298)</f>
        <v/>
      </c>
      <c r="AE1298" s="7">
        <f>IF($E1298="","",AD1298-Q1298)</f>
        <v/>
      </c>
      <c r="AI1298" s="7" t="n"/>
      <c r="AL1298" s="11" t="n"/>
      <c r="AN1298">
        <f>IF($E1298="","",IF(COUNTIF($E$2:$E1298,$E1298)=1,1,0))</f>
        <v/>
      </c>
      <c r="AO1298">
        <f>IF($AN1298=1,SUMPRODUCT(--($AR$2:$AR$4001&lt;$AR1298))+1,"")</f>
        <v/>
      </c>
      <c r="AP1298">
        <f>IF($E1298="","",IF(OR($U1298=TRUE(),$U1298="TRUE"),1,0))</f>
        <v/>
      </c>
      <c r="AQ1298">
        <f>IF($E1298="","",IF($AA1298="Yes",1,0))</f>
        <v/>
      </c>
      <c r="AR1298">
        <f>IF($AN1298=1,IFERROR(VALUE(MID($E1298,2,20)),1000000000)+ROW()/100000,"")</f>
        <v/>
      </c>
    </row>
    <row r="1299">
      <c r="G1299" s="11" t="n"/>
      <c r="Q1299" s="7">
        <f>IF($E1299="","",P1299*Y1299/100)</f>
        <v/>
      </c>
      <c r="R1299" s="7" t="n"/>
      <c r="X1299" s="7" t="n"/>
      <c r="Y1299" s="7" t="n"/>
      <c r="AB1299">
        <f>IF($E1299="","",IF($AQ1299=1,0,IF($AP1299=1,Settings!$C$6,Settings!$C$7))*100)</f>
        <v/>
      </c>
      <c r="AC1299" s="7">
        <f>IF($E1299="","",Y1299*AB1299/100)</f>
        <v/>
      </c>
      <c r="AD1299" s="7">
        <f>IF($E1299="","",Y1299-AC1299)</f>
        <v/>
      </c>
      <c r="AE1299" s="7">
        <f>IF($E1299="","",AD1299-Q1299)</f>
        <v/>
      </c>
      <c r="AI1299" s="7" t="n"/>
      <c r="AL1299" s="11" t="n"/>
      <c r="AN1299">
        <f>IF($E1299="","",IF(COUNTIF($E$2:$E1299,$E1299)=1,1,0))</f>
        <v/>
      </c>
      <c r="AO1299">
        <f>IF($AN1299=1,SUMPRODUCT(--($AR$2:$AR$4001&lt;$AR1299))+1,"")</f>
        <v/>
      </c>
      <c r="AP1299">
        <f>IF($E1299="","",IF(OR($U1299=TRUE(),$U1299="TRUE"),1,0))</f>
        <v/>
      </c>
      <c r="AQ1299">
        <f>IF($E1299="","",IF($AA1299="Yes",1,0))</f>
        <v/>
      </c>
      <c r="AR1299">
        <f>IF($AN1299=1,IFERROR(VALUE(MID($E1299,2,20)),1000000000)+ROW()/100000,"")</f>
        <v/>
      </c>
    </row>
    <row r="1300">
      <c r="G1300" s="11" t="n"/>
      <c r="Q1300" s="7">
        <f>IF($E1300="","",P1300*Y1300/100)</f>
        <v/>
      </c>
      <c r="R1300" s="7" t="n"/>
      <c r="X1300" s="7" t="n"/>
      <c r="Y1300" s="7" t="n"/>
      <c r="AB1300">
        <f>IF($E1300="","",IF($AQ1300=1,0,IF($AP1300=1,Settings!$C$6,Settings!$C$7))*100)</f>
        <v/>
      </c>
      <c r="AC1300" s="7">
        <f>IF($E1300="","",Y1300*AB1300/100)</f>
        <v/>
      </c>
      <c r="AD1300" s="7">
        <f>IF($E1300="","",Y1300-AC1300)</f>
        <v/>
      </c>
      <c r="AE1300" s="7">
        <f>IF($E1300="","",AD1300-Q1300)</f>
        <v/>
      </c>
      <c r="AI1300" s="7" t="n"/>
      <c r="AL1300" s="11" t="n"/>
      <c r="AN1300">
        <f>IF($E1300="","",IF(COUNTIF($E$2:$E1300,$E1300)=1,1,0))</f>
        <v/>
      </c>
      <c r="AO1300">
        <f>IF($AN1300=1,SUMPRODUCT(--($AR$2:$AR$4001&lt;$AR1300))+1,"")</f>
        <v/>
      </c>
      <c r="AP1300">
        <f>IF($E1300="","",IF(OR($U1300=TRUE(),$U1300="TRUE"),1,0))</f>
        <v/>
      </c>
      <c r="AQ1300">
        <f>IF($E1300="","",IF($AA1300="Yes",1,0))</f>
        <v/>
      </c>
      <c r="AR1300">
        <f>IF($AN1300=1,IFERROR(VALUE(MID($E1300,2,20)),1000000000)+ROW()/100000,"")</f>
        <v/>
      </c>
    </row>
    <row r="1301">
      <c r="G1301" s="11" t="n"/>
      <c r="Q1301" s="7">
        <f>IF($E1301="","",P1301*Y1301/100)</f>
        <v/>
      </c>
      <c r="R1301" s="7" t="n"/>
      <c r="X1301" s="7" t="n"/>
      <c r="Y1301" s="7" t="n"/>
      <c r="AB1301">
        <f>IF($E1301="","",IF($AQ1301=1,0,IF($AP1301=1,Settings!$C$6,Settings!$C$7))*100)</f>
        <v/>
      </c>
      <c r="AC1301" s="7">
        <f>IF($E1301="","",Y1301*AB1301/100)</f>
        <v/>
      </c>
      <c r="AD1301" s="7">
        <f>IF($E1301="","",Y1301-AC1301)</f>
        <v/>
      </c>
      <c r="AE1301" s="7">
        <f>IF($E1301="","",AD1301-Q1301)</f>
        <v/>
      </c>
      <c r="AI1301" s="7" t="n"/>
      <c r="AL1301" s="11" t="n"/>
      <c r="AN1301">
        <f>IF($E1301="","",IF(COUNTIF($E$2:$E1301,$E1301)=1,1,0))</f>
        <v/>
      </c>
      <c r="AO1301">
        <f>IF($AN1301=1,SUMPRODUCT(--($AR$2:$AR$4001&lt;$AR1301))+1,"")</f>
        <v/>
      </c>
      <c r="AP1301">
        <f>IF($E1301="","",IF(OR($U1301=TRUE(),$U1301="TRUE"),1,0))</f>
        <v/>
      </c>
      <c r="AQ1301">
        <f>IF($E1301="","",IF($AA1301="Yes",1,0))</f>
        <v/>
      </c>
      <c r="AR1301">
        <f>IF($AN1301=1,IFERROR(VALUE(MID($E1301,2,20)),1000000000)+ROW()/100000,"")</f>
        <v/>
      </c>
    </row>
    <row r="1302">
      <c r="G1302" s="11" t="n"/>
      <c r="Q1302" s="7">
        <f>IF($E1302="","",P1302*Y1302/100)</f>
        <v/>
      </c>
      <c r="R1302" s="7" t="n"/>
      <c r="X1302" s="7" t="n"/>
      <c r="Y1302" s="7" t="n"/>
      <c r="AB1302">
        <f>IF($E1302="","",IF($AQ1302=1,0,IF($AP1302=1,Settings!$C$6,Settings!$C$7))*100)</f>
        <v/>
      </c>
      <c r="AC1302" s="7">
        <f>IF($E1302="","",Y1302*AB1302/100)</f>
        <v/>
      </c>
      <c r="AD1302" s="7">
        <f>IF($E1302="","",Y1302-AC1302)</f>
        <v/>
      </c>
      <c r="AE1302" s="7">
        <f>IF($E1302="","",AD1302-Q1302)</f>
        <v/>
      </c>
      <c r="AI1302" s="7" t="n"/>
      <c r="AL1302" s="11" t="n"/>
      <c r="AN1302">
        <f>IF($E1302="","",IF(COUNTIF($E$2:$E1302,$E1302)=1,1,0))</f>
        <v/>
      </c>
      <c r="AO1302">
        <f>IF($AN1302=1,SUMPRODUCT(--($AR$2:$AR$4001&lt;$AR1302))+1,"")</f>
        <v/>
      </c>
      <c r="AP1302">
        <f>IF($E1302="","",IF(OR($U1302=TRUE(),$U1302="TRUE"),1,0))</f>
        <v/>
      </c>
      <c r="AQ1302">
        <f>IF($E1302="","",IF($AA1302="Yes",1,0))</f>
        <v/>
      </c>
      <c r="AR1302">
        <f>IF($AN1302=1,IFERROR(VALUE(MID($E1302,2,20)),1000000000)+ROW()/100000,"")</f>
        <v/>
      </c>
    </row>
    <row r="1303">
      <c r="G1303" s="11" t="n"/>
      <c r="Q1303" s="7">
        <f>IF($E1303="","",P1303*Y1303/100)</f>
        <v/>
      </c>
      <c r="R1303" s="7" t="n"/>
      <c r="X1303" s="7" t="n"/>
      <c r="Y1303" s="7" t="n"/>
      <c r="AB1303">
        <f>IF($E1303="","",IF($AQ1303=1,0,IF($AP1303=1,Settings!$C$6,Settings!$C$7))*100)</f>
        <v/>
      </c>
      <c r="AC1303" s="7">
        <f>IF($E1303="","",Y1303*AB1303/100)</f>
        <v/>
      </c>
      <c r="AD1303" s="7">
        <f>IF($E1303="","",Y1303-AC1303)</f>
        <v/>
      </c>
      <c r="AE1303" s="7">
        <f>IF($E1303="","",AD1303-Q1303)</f>
        <v/>
      </c>
      <c r="AI1303" s="7" t="n"/>
      <c r="AL1303" s="11" t="n"/>
      <c r="AN1303">
        <f>IF($E1303="","",IF(COUNTIF($E$2:$E1303,$E1303)=1,1,0))</f>
        <v/>
      </c>
      <c r="AO1303">
        <f>IF($AN1303=1,SUMPRODUCT(--($AR$2:$AR$4001&lt;$AR1303))+1,"")</f>
        <v/>
      </c>
      <c r="AP1303">
        <f>IF($E1303="","",IF(OR($U1303=TRUE(),$U1303="TRUE"),1,0))</f>
        <v/>
      </c>
      <c r="AQ1303">
        <f>IF($E1303="","",IF($AA1303="Yes",1,0))</f>
        <v/>
      </c>
      <c r="AR1303">
        <f>IF($AN1303=1,IFERROR(VALUE(MID($E1303,2,20)),1000000000)+ROW()/100000,"")</f>
        <v/>
      </c>
    </row>
    <row r="1304">
      <c r="G1304" s="11" t="n"/>
      <c r="Q1304" s="7">
        <f>IF($E1304="","",P1304*Y1304/100)</f>
        <v/>
      </c>
      <c r="R1304" s="7" t="n"/>
      <c r="X1304" s="7" t="n"/>
      <c r="Y1304" s="7" t="n"/>
      <c r="AB1304">
        <f>IF($E1304="","",IF($AQ1304=1,0,IF($AP1304=1,Settings!$C$6,Settings!$C$7))*100)</f>
        <v/>
      </c>
      <c r="AC1304" s="7">
        <f>IF($E1304="","",Y1304*AB1304/100)</f>
        <v/>
      </c>
      <c r="AD1304" s="7">
        <f>IF($E1304="","",Y1304-AC1304)</f>
        <v/>
      </c>
      <c r="AE1304" s="7">
        <f>IF($E1304="","",AD1304-Q1304)</f>
        <v/>
      </c>
      <c r="AI1304" s="7" t="n"/>
      <c r="AL1304" s="11" t="n"/>
      <c r="AN1304">
        <f>IF($E1304="","",IF(COUNTIF($E$2:$E1304,$E1304)=1,1,0))</f>
        <v/>
      </c>
      <c r="AO1304">
        <f>IF($AN1304=1,SUMPRODUCT(--($AR$2:$AR$4001&lt;$AR1304))+1,"")</f>
        <v/>
      </c>
      <c r="AP1304">
        <f>IF($E1304="","",IF(OR($U1304=TRUE(),$U1304="TRUE"),1,0))</f>
        <v/>
      </c>
      <c r="AQ1304">
        <f>IF($E1304="","",IF($AA1304="Yes",1,0))</f>
        <v/>
      </c>
      <c r="AR1304">
        <f>IF($AN1304=1,IFERROR(VALUE(MID($E1304,2,20)),1000000000)+ROW()/100000,"")</f>
        <v/>
      </c>
    </row>
    <row r="1305">
      <c r="G1305" s="11" t="n"/>
      <c r="Q1305" s="7">
        <f>IF($E1305="","",P1305*Y1305/100)</f>
        <v/>
      </c>
      <c r="R1305" s="7" t="n"/>
      <c r="X1305" s="7" t="n"/>
      <c r="Y1305" s="7" t="n"/>
      <c r="AB1305">
        <f>IF($E1305="","",IF($AQ1305=1,0,IF($AP1305=1,Settings!$C$6,Settings!$C$7))*100)</f>
        <v/>
      </c>
      <c r="AC1305" s="7">
        <f>IF($E1305="","",Y1305*AB1305/100)</f>
        <v/>
      </c>
      <c r="AD1305" s="7">
        <f>IF($E1305="","",Y1305-AC1305)</f>
        <v/>
      </c>
      <c r="AE1305" s="7">
        <f>IF($E1305="","",AD1305-Q1305)</f>
        <v/>
      </c>
      <c r="AI1305" s="7" t="n"/>
      <c r="AL1305" s="11" t="n"/>
      <c r="AN1305">
        <f>IF($E1305="","",IF(COUNTIF($E$2:$E1305,$E1305)=1,1,0))</f>
        <v/>
      </c>
      <c r="AO1305">
        <f>IF($AN1305=1,SUMPRODUCT(--($AR$2:$AR$4001&lt;$AR1305))+1,"")</f>
        <v/>
      </c>
      <c r="AP1305">
        <f>IF($E1305="","",IF(OR($U1305=TRUE(),$U1305="TRUE"),1,0))</f>
        <v/>
      </c>
      <c r="AQ1305">
        <f>IF($E1305="","",IF($AA1305="Yes",1,0))</f>
        <v/>
      </c>
      <c r="AR1305">
        <f>IF($AN1305=1,IFERROR(VALUE(MID($E1305,2,20)),1000000000)+ROW()/100000,"")</f>
        <v/>
      </c>
    </row>
    <row r="1306">
      <c r="G1306" s="11" t="n"/>
      <c r="Q1306" s="7">
        <f>IF($E1306="","",P1306*Y1306/100)</f>
        <v/>
      </c>
      <c r="R1306" s="7" t="n"/>
      <c r="X1306" s="7" t="n"/>
      <c r="Y1306" s="7" t="n"/>
      <c r="AB1306">
        <f>IF($E1306="","",IF($AQ1306=1,0,IF($AP1306=1,Settings!$C$6,Settings!$C$7))*100)</f>
        <v/>
      </c>
      <c r="AC1306" s="7">
        <f>IF($E1306="","",Y1306*AB1306/100)</f>
        <v/>
      </c>
      <c r="AD1306" s="7">
        <f>IF($E1306="","",Y1306-AC1306)</f>
        <v/>
      </c>
      <c r="AE1306" s="7">
        <f>IF($E1306="","",AD1306-Q1306)</f>
        <v/>
      </c>
      <c r="AI1306" s="7" t="n"/>
      <c r="AL1306" s="11" t="n"/>
      <c r="AN1306">
        <f>IF($E1306="","",IF(COUNTIF($E$2:$E1306,$E1306)=1,1,0))</f>
        <v/>
      </c>
      <c r="AO1306">
        <f>IF($AN1306=1,SUMPRODUCT(--($AR$2:$AR$4001&lt;$AR1306))+1,"")</f>
        <v/>
      </c>
      <c r="AP1306">
        <f>IF($E1306="","",IF(OR($U1306=TRUE(),$U1306="TRUE"),1,0))</f>
        <v/>
      </c>
      <c r="AQ1306">
        <f>IF($E1306="","",IF($AA1306="Yes",1,0))</f>
        <v/>
      </c>
      <c r="AR1306">
        <f>IF($AN1306=1,IFERROR(VALUE(MID($E1306,2,20)),1000000000)+ROW()/100000,"")</f>
        <v/>
      </c>
    </row>
    <row r="1307">
      <c r="G1307" s="11" t="n"/>
      <c r="Q1307" s="7">
        <f>IF($E1307="","",P1307*Y1307/100)</f>
        <v/>
      </c>
      <c r="R1307" s="7" t="n"/>
      <c r="X1307" s="7" t="n"/>
      <c r="Y1307" s="7" t="n"/>
      <c r="AB1307">
        <f>IF($E1307="","",IF($AQ1307=1,0,IF($AP1307=1,Settings!$C$6,Settings!$C$7))*100)</f>
        <v/>
      </c>
      <c r="AC1307" s="7">
        <f>IF($E1307="","",Y1307*AB1307/100)</f>
        <v/>
      </c>
      <c r="AD1307" s="7">
        <f>IF($E1307="","",Y1307-AC1307)</f>
        <v/>
      </c>
      <c r="AE1307" s="7">
        <f>IF($E1307="","",AD1307-Q1307)</f>
        <v/>
      </c>
      <c r="AI1307" s="7" t="n"/>
      <c r="AL1307" s="11" t="n"/>
      <c r="AN1307">
        <f>IF($E1307="","",IF(COUNTIF($E$2:$E1307,$E1307)=1,1,0))</f>
        <v/>
      </c>
      <c r="AO1307">
        <f>IF($AN1307=1,SUMPRODUCT(--($AR$2:$AR$4001&lt;$AR1307))+1,"")</f>
        <v/>
      </c>
      <c r="AP1307">
        <f>IF($E1307="","",IF(OR($U1307=TRUE(),$U1307="TRUE"),1,0))</f>
        <v/>
      </c>
      <c r="AQ1307">
        <f>IF($E1307="","",IF($AA1307="Yes",1,0))</f>
        <v/>
      </c>
      <c r="AR1307">
        <f>IF($AN1307=1,IFERROR(VALUE(MID($E1307,2,20)),1000000000)+ROW()/100000,"")</f>
        <v/>
      </c>
    </row>
    <row r="1308">
      <c r="G1308" s="11" t="n"/>
      <c r="Q1308" s="7">
        <f>IF($E1308="","",P1308*Y1308/100)</f>
        <v/>
      </c>
      <c r="R1308" s="7" t="n"/>
      <c r="X1308" s="7" t="n"/>
      <c r="Y1308" s="7" t="n"/>
      <c r="AB1308">
        <f>IF($E1308="","",IF($AQ1308=1,0,IF($AP1308=1,Settings!$C$6,Settings!$C$7))*100)</f>
        <v/>
      </c>
      <c r="AC1308" s="7">
        <f>IF($E1308="","",Y1308*AB1308/100)</f>
        <v/>
      </c>
      <c r="AD1308" s="7">
        <f>IF($E1308="","",Y1308-AC1308)</f>
        <v/>
      </c>
      <c r="AE1308" s="7">
        <f>IF($E1308="","",AD1308-Q1308)</f>
        <v/>
      </c>
      <c r="AI1308" s="7" t="n"/>
      <c r="AL1308" s="11" t="n"/>
      <c r="AN1308">
        <f>IF($E1308="","",IF(COUNTIF($E$2:$E1308,$E1308)=1,1,0))</f>
        <v/>
      </c>
      <c r="AO1308">
        <f>IF($AN1308=1,SUMPRODUCT(--($AR$2:$AR$4001&lt;$AR1308))+1,"")</f>
        <v/>
      </c>
      <c r="AP1308">
        <f>IF($E1308="","",IF(OR($U1308=TRUE(),$U1308="TRUE"),1,0))</f>
        <v/>
      </c>
      <c r="AQ1308">
        <f>IF($E1308="","",IF($AA1308="Yes",1,0))</f>
        <v/>
      </c>
      <c r="AR1308">
        <f>IF($AN1308=1,IFERROR(VALUE(MID($E1308,2,20)),1000000000)+ROW()/100000,"")</f>
        <v/>
      </c>
    </row>
    <row r="1309">
      <c r="G1309" s="11" t="n"/>
      <c r="Q1309" s="7">
        <f>IF($E1309="","",P1309*Y1309/100)</f>
        <v/>
      </c>
      <c r="R1309" s="7" t="n"/>
      <c r="X1309" s="7" t="n"/>
      <c r="Y1309" s="7" t="n"/>
      <c r="AB1309">
        <f>IF($E1309="","",IF($AQ1309=1,0,IF($AP1309=1,Settings!$C$6,Settings!$C$7))*100)</f>
        <v/>
      </c>
      <c r="AC1309" s="7">
        <f>IF($E1309="","",Y1309*AB1309/100)</f>
        <v/>
      </c>
      <c r="AD1309" s="7">
        <f>IF($E1309="","",Y1309-AC1309)</f>
        <v/>
      </c>
      <c r="AE1309" s="7">
        <f>IF($E1309="","",AD1309-Q1309)</f>
        <v/>
      </c>
      <c r="AI1309" s="7" t="n"/>
      <c r="AL1309" s="11" t="n"/>
      <c r="AN1309">
        <f>IF($E1309="","",IF(COUNTIF($E$2:$E1309,$E1309)=1,1,0))</f>
        <v/>
      </c>
      <c r="AO1309">
        <f>IF($AN1309=1,SUMPRODUCT(--($AR$2:$AR$4001&lt;$AR1309))+1,"")</f>
        <v/>
      </c>
      <c r="AP1309">
        <f>IF($E1309="","",IF(OR($U1309=TRUE(),$U1309="TRUE"),1,0))</f>
        <v/>
      </c>
      <c r="AQ1309">
        <f>IF($E1309="","",IF($AA1309="Yes",1,0))</f>
        <v/>
      </c>
      <c r="AR1309">
        <f>IF($AN1309=1,IFERROR(VALUE(MID($E1309,2,20)),1000000000)+ROW()/100000,"")</f>
        <v/>
      </c>
    </row>
    <row r="1310">
      <c r="G1310" s="11" t="n"/>
      <c r="Q1310" s="7">
        <f>IF($E1310="","",P1310*Y1310/100)</f>
        <v/>
      </c>
      <c r="R1310" s="7" t="n"/>
      <c r="X1310" s="7" t="n"/>
      <c r="Y1310" s="7" t="n"/>
      <c r="AB1310">
        <f>IF($E1310="","",IF($AQ1310=1,0,IF($AP1310=1,Settings!$C$6,Settings!$C$7))*100)</f>
        <v/>
      </c>
      <c r="AC1310" s="7">
        <f>IF($E1310="","",Y1310*AB1310/100)</f>
        <v/>
      </c>
      <c r="AD1310" s="7">
        <f>IF($E1310="","",Y1310-AC1310)</f>
        <v/>
      </c>
      <c r="AE1310" s="7">
        <f>IF($E1310="","",AD1310-Q1310)</f>
        <v/>
      </c>
      <c r="AI1310" s="7" t="n"/>
      <c r="AL1310" s="11" t="n"/>
      <c r="AN1310">
        <f>IF($E1310="","",IF(COUNTIF($E$2:$E1310,$E1310)=1,1,0))</f>
        <v/>
      </c>
      <c r="AO1310">
        <f>IF($AN1310=1,SUMPRODUCT(--($AR$2:$AR$4001&lt;$AR1310))+1,"")</f>
        <v/>
      </c>
      <c r="AP1310">
        <f>IF($E1310="","",IF(OR($U1310=TRUE(),$U1310="TRUE"),1,0))</f>
        <v/>
      </c>
      <c r="AQ1310">
        <f>IF($E1310="","",IF($AA1310="Yes",1,0))</f>
        <v/>
      </c>
      <c r="AR1310">
        <f>IF($AN1310=1,IFERROR(VALUE(MID($E1310,2,20)),1000000000)+ROW()/100000,"")</f>
        <v/>
      </c>
    </row>
    <row r="1311">
      <c r="G1311" s="11" t="n"/>
      <c r="Q1311" s="7">
        <f>IF($E1311="","",P1311*Y1311/100)</f>
        <v/>
      </c>
      <c r="R1311" s="7" t="n"/>
      <c r="X1311" s="7" t="n"/>
      <c r="Y1311" s="7" t="n"/>
      <c r="AB1311">
        <f>IF($E1311="","",IF($AQ1311=1,0,IF($AP1311=1,Settings!$C$6,Settings!$C$7))*100)</f>
        <v/>
      </c>
      <c r="AC1311" s="7">
        <f>IF($E1311="","",Y1311*AB1311/100)</f>
        <v/>
      </c>
      <c r="AD1311" s="7">
        <f>IF($E1311="","",Y1311-AC1311)</f>
        <v/>
      </c>
      <c r="AE1311" s="7">
        <f>IF($E1311="","",AD1311-Q1311)</f>
        <v/>
      </c>
      <c r="AI1311" s="7" t="n"/>
      <c r="AL1311" s="11" t="n"/>
      <c r="AN1311">
        <f>IF($E1311="","",IF(COUNTIF($E$2:$E1311,$E1311)=1,1,0))</f>
        <v/>
      </c>
      <c r="AO1311">
        <f>IF($AN1311=1,SUMPRODUCT(--($AR$2:$AR$4001&lt;$AR1311))+1,"")</f>
        <v/>
      </c>
      <c r="AP1311">
        <f>IF($E1311="","",IF(OR($U1311=TRUE(),$U1311="TRUE"),1,0))</f>
        <v/>
      </c>
      <c r="AQ1311">
        <f>IF($E1311="","",IF($AA1311="Yes",1,0))</f>
        <v/>
      </c>
      <c r="AR1311">
        <f>IF($AN1311=1,IFERROR(VALUE(MID($E1311,2,20)),1000000000)+ROW()/100000,"")</f>
        <v/>
      </c>
    </row>
    <row r="1312">
      <c r="G1312" s="11" t="n"/>
      <c r="Q1312" s="7">
        <f>IF($E1312="","",P1312*Y1312/100)</f>
        <v/>
      </c>
      <c r="R1312" s="7" t="n"/>
      <c r="X1312" s="7" t="n"/>
      <c r="Y1312" s="7" t="n"/>
      <c r="AB1312">
        <f>IF($E1312="","",IF($AQ1312=1,0,IF($AP1312=1,Settings!$C$6,Settings!$C$7))*100)</f>
        <v/>
      </c>
      <c r="AC1312" s="7">
        <f>IF($E1312="","",Y1312*AB1312/100)</f>
        <v/>
      </c>
      <c r="AD1312" s="7">
        <f>IF($E1312="","",Y1312-AC1312)</f>
        <v/>
      </c>
      <c r="AE1312" s="7">
        <f>IF($E1312="","",AD1312-Q1312)</f>
        <v/>
      </c>
      <c r="AI1312" s="7" t="n"/>
      <c r="AL1312" s="11" t="n"/>
      <c r="AN1312">
        <f>IF($E1312="","",IF(COUNTIF($E$2:$E1312,$E1312)=1,1,0))</f>
        <v/>
      </c>
      <c r="AO1312">
        <f>IF($AN1312=1,SUMPRODUCT(--($AR$2:$AR$4001&lt;$AR1312))+1,"")</f>
        <v/>
      </c>
      <c r="AP1312">
        <f>IF($E1312="","",IF(OR($U1312=TRUE(),$U1312="TRUE"),1,0))</f>
        <v/>
      </c>
      <c r="AQ1312">
        <f>IF($E1312="","",IF($AA1312="Yes",1,0))</f>
        <v/>
      </c>
      <c r="AR1312">
        <f>IF($AN1312=1,IFERROR(VALUE(MID($E1312,2,20)),1000000000)+ROW()/100000,"")</f>
        <v/>
      </c>
    </row>
    <row r="1313">
      <c r="G1313" s="11" t="n"/>
      <c r="Q1313" s="7">
        <f>IF($E1313="","",P1313*Y1313/100)</f>
        <v/>
      </c>
      <c r="R1313" s="7" t="n"/>
      <c r="X1313" s="7" t="n"/>
      <c r="Y1313" s="7" t="n"/>
      <c r="AB1313">
        <f>IF($E1313="","",IF($AQ1313=1,0,IF($AP1313=1,Settings!$C$6,Settings!$C$7))*100)</f>
        <v/>
      </c>
      <c r="AC1313" s="7">
        <f>IF($E1313="","",Y1313*AB1313/100)</f>
        <v/>
      </c>
      <c r="AD1313" s="7">
        <f>IF($E1313="","",Y1313-AC1313)</f>
        <v/>
      </c>
      <c r="AE1313" s="7">
        <f>IF($E1313="","",AD1313-Q1313)</f>
        <v/>
      </c>
      <c r="AI1313" s="7" t="n"/>
      <c r="AL1313" s="11" t="n"/>
      <c r="AN1313">
        <f>IF($E1313="","",IF(COUNTIF($E$2:$E1313,$E1313)=1,1,0))</f>
        <v/>
      </c>
      <c r="AO1313">
        <f>IF($AN1313=1,SUMPRODUCT(--($AR$2:$AR$4001&lt;$AR1313))+1,"")</f>
        <v/>
      </c>
      <c r="AP1313">
        <f>IF($E1313="","",IF(OR($U1313=TRUE(),$U1313="TRUE"),1,0))</f>
        <v/>
      </c>
      <c r="AQ1313">
        <f>IF($E1313="","",IF($AA1313="Yes",1,0))</f>
        <v/>
      </c>
      <c r="AR1313">
        <f>IF($AN1313=1,IFERROR(VALUE(MID($E1313,2,20)),1000000000)+ROW()/100000,"")</f>
        <v/>
      </c>
    </row>
    <row r="1314">
      <c r="G1314" s="11" t="n"/>
      <c r="Q1314" s="7">
        <f>IF($E1314="","",P1314*Y1314/100)</f>
        <v/>
      </c>
      <c r="R1314" s="7" t="n"/>
      <c r="X1314" s="7" t="n"/>
      <c r="Y1314" s="7" t="n"/>
      <c r="AB1314">
        <f>IF($E1314="","",IF($AQ1314=1,0,IF($AP1314=1,Settings!$C$6,Settings!$C$7))*100)</f>
        <v/>
      </c>
      <c r="AC1314" s="7">
        <f>IF($E1314="","",Y1314*AB1314/100)</f>
        <v/>
      </c>
      <c r="AD1314" s="7">
        <f>IF($E1314="","",Y1314-AC1314)</f>
        <v/>
      </c>
      <c r="AE1314" s="7">
        <f>IF($E1314="","",AD1314-Q1314)</f>
        <v/>
      </c>
      <c r="AI1314" s="7" t="n"/>
      <c r="AL1314" s="11" t="n"/>
      <c r="AN1314">
        <f>IF($E1314="","",IF(COUNTIF($E$2:$E1314,$E1314)=1,1,0))</f>
        <v/>
      </c>
      <c r="AO1314">
        <f>IF($AN1314=1,SUMPRODUCT(--($AR$2:$AR$4001&lt;$AR1314))+1,"")</f>
        <v/>
      </c>
      <c r="AP1314">
        <f>IF($E1314="","",IF(OR($U1314=TRUE(),$U1314="TRUE"),1,0))</f>
        <v/>
      </c>
      <c r="AQ1314">
        <f>IF($E1314="","",IF($AA1314="Yes",1,0))</f>
        <v/>
      </c>
      <c r="AR1314">
        <f>IF($AN1314=1,IFERROR(VALUE(MID($E1314,2,20)),1000000000)+ROW()/100000,"")</f>
        <v/>
      </c>
    </row>
    <row r="1315">
      <c r="G1315" s="11" t="n"/>
      <c r="Q1315" s="7">
        <f>IF($E1315="","",P1315*Y1315/100)</f>
        <v/>
      </c>
      <c r="R1315" s="7" t="n"/>
      <c r="X1315" s="7" t="n"/>
      <c r="Y1315" s="7" t="n"/>
      <c r="AB1315">
        <f>IF($E1315="","",IF($AQ1315=1,0,IF($AP1315=1,Settings!$C$6,Settings!$C$7))*100)</f>
        <v/>
      </c>
      <c r="AC1315" s="7">
        <f>IF($E1315="","",Y1315*AB1315/100)</f>
        <v/>
      </c>
      <c r="AD1315" s="7">
        <f>IF($E1315="","",Y1315-AC1315)</f>
        <v/>
      </c>
      <c r="AE1315" s="7">
        <f>IF($E1315="","",AD1315-Q1315)</f>
        <v/>
      </c>
      <c r="AI1315" s="7" t="n"/>
      <c r="AL1315" s="11" t="n"/>
      <c r="AN1315">
        <f>IF($E1315="","",IF(COUNTIF($E$2:$E1315,$E1315)=1,1,0))</f>
        <v/>
      </c>
      <c r="AO1315">
        <f>IF($AN1315=1,SUMPRODUCT(--($AR$2:$AR$4001&lt;$AR1315))+1,"")</f>
        <v/>
      </c>
      <c r="AP1315">
        <f>IF($E1315="","",IF(OR($U1315=TRUE(),$U1315="TRUE"),1,0))</f>
        <v/>
      </c>
      <c r="AQ1315">
        <f>IF($E1315="","",IF($AA1315="Yes",1,0))</f>
        <v/>
      </c>
      <c r="AR1315">
        <f>IF($AN1315=1,IFERROR(VALUE(MID($E1315,2,20)),1000000000)+ROW()/100000,"")</f>
        <v/>
      </c>
    </row>
    <row r="1316">
      <c r="G1316" s="11" t="n"/>
      <c r="Q1316" s="7">
        <f>IF($E1316="","",P1316*Y1316/100)</f>
        <v/>
      </c>
      <c r="R1316" s="7" t="n"/>
      <c r="X1316" s="7" t="n"/>
      <c r="Y1316" s="7" t="n"/>
      <c r="AB1316">
        <f>IF($E1316="","",IF($AQ1316=1,0,IF($AP1316=1,Settings!$C$6,Settings!$C$7))*100)</f>
        <v/>
      </c>
      <c r="AC1316" s="7">
        <f>IF($E1316="","",Y1316*AB1316/100)</f>
        <v/>
      </c>
      <c r="AD1316" s="7">
        <f>IF($E1316="","",Y1316-AC1316)</f>
        <v/>
      </c>
      <c r="AE1316" s="7">
        <f>IF($E1316="","",AD1316-Q1316)</f>
        <v/>
      </c>
      <c r="AI1316" s="7" t="n"/>
      <c r="AL1316" s="11" t="n"/>
      <c r="AN1316">
        <f>IF($E1316="","",IF(COUNTIF($E$2:$E1316,$E1316)=1,1,0))</f>
        <v/>
      </c>
      <c r="AO1316">
        <f>IF($AN1316=1,SUMPRODUCT(--($AR$2:$AR$4001&lt;$AR1316))+1,"")</f>
        <v/>
      </c>
      <c r="AP1316">
        <f>IF($E1316="","",IF(OR($U1316=TRUE(),$U1316="TRUE"),1,0))</f>
        <v/>
      </c>
      <c r="AQ1316">
        <f>IF($E1316="","",IF($AA1316="Yes",1,0))</f>
        <v/>
      </c>
      <c r="AR1316">
        <f>IF($AN1316=1,IFERROR(VALUE(MID($E1316,2,20)),1000000000)+ROW()/100000,"")</f>
        <v/>
      </c>
    </row>
    <row r="1317">
      <c r="G1317" s="11" t="n"/>
      <c r="Q1317" s="7">
        <f>IF($E1317="","",P1317*Y1317/100)</f>
        <v/>
      </c>
      <c r="R1317" s="7" t="n"/>
      <c r="X1317" s="7" t="n"/>
      <c r="Y1317" s="7" t="n"/>
      <c r="AB1317">
        <f>IF($E1317="","",IF($AQ1317=1,0,IF($AP1317=1,Settings!$C$6,Settings!$C$7))*100)</f>
        <v/>
      </c>
      <c r="AC1317" s="7">
        <f>IF($E1317="","",Y1317*AB1317/100)</f>
        <v/>
      </c>
      <c r="AD1317" s="7">
        <f>IF($E1317="","",Y1317-AC1317)</f>
        <v/>
      </c>
      <c r="AE1317" s="7">
        <f>IF($E1317="","",AD1317-Q1317)</f>
        <v/>
      </c>
      <c r="AI1317" s="7" t="n"/>
      <c r="AL1317" s="11" t="n"/>
      <c r="AN1317">
        <f>IF($E1317="","",IF(COUNTIF($E$2:$E1317,$E1317)=1,1,0))</f>
        <v/>
      </c>
      <c r="AO1317">
        <f>IF($AN1317=1,SUMPRODUCT(--($AR$2:$AR$4001&lt;$AR1317))+1,"")</f>
        <v/>
      </c>
      <c r="AP1317">
        <f>IF($E1317="","",IF(OR($U1317=TRUE(),$U1317="TRUE"),1,0))</f>
        <v/>
      </c>
      <c r="AQ1317">
        <f>IF($E1317="","",IF($AA1317="Yes",1,0))</f>
        <v/>
      </c>
      <c r="AR1317">
        <f>IF($AN1317=1,IFERROR(VALUE(MID($E1317,2,20)),1000000000)+ROW()/100000,"")</f>
        <v/>
      </c>
    </row>
    <row r="1318">
      <c r="G1318" s="11" t="n"/>
      <c r="Q1318" s="7">
        <f>IF($E1318="","",P1318*Y1318/100)</f>
        <v/>
      </c>
      <c r="R1318" s="7" t="n"/>
      <c r="X1318" s="7" t="n"/>
      <c r="Y1318" s="7" t="n"/>
      <c r="AB1318">
        <f>IF($E1318="","",IF($AQ1318=1,0,IF($AP1318=1,Settings!$C$6,Settings!$C$7))*100)</f>
        <v/>
      </c>
      <c r="AC1318" s="7">
        <f>IF($E1318="","",Y1318*AB1318/100)</f>
        <v/>
      </c>
      <c r="AD1318" s="7">
        <f>IF($E1318="","",Y1318-AC1318)</f>
        <v/>
      </c>
      <c r="AE1318" s="7">
        <f>IF($E1318="","",AD1318-Q1318)</f>
        <v/>
      </c>
      <c r="AI1318" s="7" t="n"/>
      <c r="AL1318" s="11" t="n"/>
      <c r="AN1318">
        <f>IF($E1318="","",IF(COUNTIF($E$2:$E1318,$E1318)=1,1,0))</f>
        <v/>
      </c>
      <c r="AO1318">
        <f>IF($AN1318=1,SUMPRODUCT(--($AR$2:$AR$4001&lt;$AR1318))+1,"")</f>
        <v/>
      </c>
      <c r="AP1318">
        <f>IF($E1318="","",IF(OR($U1318=TRUE(),$U1318="TRUE"),1,0))</f>
        <v/>
      </c>
      <c r="AQ1318">
        <f>IF($E1318="","",IF($AA1318="Yes",1,0))</f>
        <v/>
      </c>
      <c r="AR1318">
        <f>IF($AN1318=1,IFERROR(VALUE(MID($E1318,2,20)),1000000000)+ROW()/100000,"")</f>
        <v/>
      </c>
    </row>
    <row r="1319">
      <c r="G1319" s="11" t="n"/>
      <c r="Q1319" s="7">
        <f>IF($E1319="","",P1319*Y1319/100)</f>
        <v/>
      </c>
      <c r="R1319" s="7" t="n"/>
      <c r="X1319" s="7" t="n"/>
      <c r="Y1319" s="7" t="n"/>
      <c r="AB1319">
        <f>IF($E1319="","",IF($AQ1319=1,0,IF($AP1319=1,Settings!$C$6,Settings!$C$7))*100)</f>
        <v/>
      </c>
      <c r="AC1319" s="7">
        <f>IF($E1319="","",Y1319*AB1319/100)</f>
        <v/>
      </c>
      <c r="AD1319" s="7">
        <f>IF($E1319="","",Y1319-AC1319)</f>
        <v/>
      </c>
      <c r="AE1319" s="7">
        <f>IF($E1319="","",AD1319-Q1319)</f>
        <v/>
      </c>
      <c r="AI1319" s="7" t="n"/>
      <c r="AL1319" s="11" t="n"/>
      <c r="AN1319">
        <f>IF($E1319="","",IF(COUNTIF($E$2:$E1319,$E1319)=1,1,0))</f>
        <v/>
      </c>
      <c r="AO1319">
        <f>IF($AN1319=1,SUMPRODUCT(--($AR$2:$AR$4001&lt;$AR1319))+1,"")</f>
        <v/>
      </c>
      <c r="AP1319">
        <f>IF($E1319="","",IF(OR($U1319=TRUE(),$U1319="TRUE"),1,0))</f>
        <v/>
      </c>
      <c r="AQ1319">
        <f>IF($E1319="","",IF($AA1319="Yes",1,0))</f>
        <v/>
      </c>
      <c r="AR1319">
        <f>IF($AN1319=1,IFERROR(VALUE(MID($E1319,2,20)),1000000000)+ROW()/100000,"")</f>
        <v/>
      </c>
    </row>
    <row r="1320">
      <c r="G1320" s="11" t="n"/>
      <c r="Q1320" s="7">
        <f>IF($E1320="","",P1320*Y1320/100)</f>
        <v/>
      </c>
      <c r="R1320" s="7" t="n"/>
      <c r="X1320" s="7" t="n"/>
      <c r="Y1320" s="7" t="n"/>
      <c r="AB1320">
        <f>IF($E1320="","",IF($AQ1320=1,0,IF($AP1320=1,Settings!$C$6,Settings!$C$7))*100)</f>
        <v/>
      </c>
      <c r="AC1320" s="7">
        <f>IF($E1320="","",Y1320*AB1320/100)</f>
        <v/>
      </c>
      <c r="AD1320" s="7">
        <f>IF($E1320="","",Y1320-AC1320)</f>
        <v/>
      </c>
      <c r="AE1320" s="7">
        <f>IF($E1320="","",AD1320-Q1320)</f>
        <v/>
      </c>
      <c r="AI1320" s="7" t="n"/>
      <c r="AL1320" s="11" t="n"/>
      <c r="AN1320">
        <f>IF($E1320="","",IF(COUNTIF($E$2:$E1320,$E1320)=1,1,0))</f>
        <v/>
      </c>
      <c r="AO1320">
        <f>IF($AN1320=1,SUMPRODUCT(--($AR$2:$AR$4001&lt;$AR1320))+1,"")</f>
        <v/>
      </c>
      <c r="AP1320">
        <f>IF($E1320="","",IF(OR($U1320=TRUE(),$U1320="TRUE"),1,0))</f>
        <v/>
      </c>
      <c r="AQ1320">
        <f>IF($E1320="","",IF($AA1320="Yes",1,0))</f>
        <v/>
      </c>
      <c r="AR1320">
        <f>IF($AN1320=1,IFERROR(VALUE(MID($E1320,2,20)),1000000000)+ROW()/100000,"")</f>
        <v/>
      </c>
    </row>
    <row r="1321">
      <c r="G1321" s="11" t="n"/>
      <c r="Q1321" s="7">
        <f>IF($E1321="","",P1321*Y1321/100)</f>
        <v/>
      </c>
      <c r="R1321" s="7" t="n"/>
      <c r="X1321" s="7" t="n"/>
      <c r="Y1321" s="7" t="n"/>
      <c r="AB1321">
        <f>IF($E1321="","",IF($AQ1321=1,0,IF($AP1321=1,Settings!$C$6,Settings!$C$7))*100)</f>
        <v/>
      </c>
      <c r="AC1321" s="7">
        <f>IF($E1321="","",Y1321*AB1321/100)</f>
        <v/>
      </c>
      <c r="AD1321" s="7">
        <f>IF($E1321="","",Y1321-AC1321)</f>
        <v/>
      </c>
      <c r="AE1321" s="7">
        <f>IF($E1321="","",AD1321-Q1321)</f>
        <v/>
      </c>
      <c r="AI1321" s="7" t="n"/>
      <c r="AL1321" s="11" t="n"/>
      <c r="AN1321">
        <f>IF($E1321="","",IF(COUNTIF($E$2:$E1321,$E1321)=1,1,0))</f>
        <v/>
      </c>
      <c r="AO1321">
        <f>IF($AN1321=1,SUMPRODUCT(--($AR$2:$AR$4001&lt;$AR1321))+1,"")</f>
        <v/>
      </c>
      <c r="AP1321">
        <f>IF($E1321="","",IF(OR($U1321=TRUE(),$U1321="TRUE"),1,0))</f>
        <v/>
      </c>
      <c r="AQ1321">
        <f>IF($E1321="","",IF($AA1321="Yes",1,0))</f>
        <v/>
      </c>
      <c r="AR1321">
        <f>IF($AN1321=1,IFERROR(VALUE(MID($E1321,2,20)),1000000000)+ROW()/100000,"")</f>
        <v/>
      </c>
    </row>
    <row r="1322">
      <c r="G1322" s="11" t="n"/>
      <c r="Q1322" s="7">
        <f>IF($E1322="","",P1322*Y1322/100)</f>
        <v/>
      </c>
      <c r="R1322" s="7" t="n"/>
      <c r="X1322" s="7" t="n"/>
      <c r="Y1322" s="7" t="n"/>
      <c r="AB1322">
        <f>IF($E1322="","",IF($AQ1322=1,0,IF($AP1322=1,Settings!$C$6,Settings!$C$7))*100)</f>
        <v/>
      </c>
      <c r="AC1322" s="7">
        <f>IF($E1322="","",Y1322*AB1322/100)</f>
        <v/>
      </c>
      <c r="AD1322" s="7">
        <f>IF($E1322="","",Y1322-AC1322)</f>
        <v/>
      </c>
      <c r="AE1322" s="7">
        <f>IF($E1322="","",AD1322-Q1322)</f>
        <v/>
      </c>
      <c r="AI1322" s="7" t="n"/>
      <c r="AL1322" s="11" t="n"/>
      <c r="AN1322">
        <f>IF($E1322="","",IF(COUNTIF($E$2:$E1322,$E1322)=1,1,0))</f>
        <v/>
      </c>
      <c r="AO1322">
        <f>IF($AN1322=1,SUMPRODUCT(--($AR$2:$AR$4001&lt;$AR1322))+1,"")</f>
        <v/>
      </c>
      <c r="AP1322">
        <f>IF($E1322="","",IF(OR($U1322=TRUE(),$U1322="TRUE"),1,0))</f>
        <v/>
      </c>
      <c r="AQ1322">
        <f>IF($E1322="","",IF($AA1322="Yes",1,0))</f>
        <v/>
      </c>
      <c r="AR1322">
        <f>IF($AN1322=1,IFERROR(VALUE(MID($E1322,2,20)),1000000000)+ROW()/100000,"")</f>
        <v/>
      </c>
    </row>
    <row r="1323">
      <c r="G1323" s="11" t="n"/>
      <c r="Q1323" s="7">
        <f>IF($E1323="","",P1323*Y1323/100)</f>
        <v/>
      </c>
      <c r="R1323" s="7" t="n"/>
      <c r="X1323" s="7" t="n"/>
      <c r="Y1323" s="7" t="n"/>
      <c r="AB1323">
        <f>IF($E1323="","",IF($AQ1323=1,0,IF($AP1323=1,Settings!$C$6,Settings!$C$7))*100)</f>
        <v/>
      </c>
      <c r="AC1323" s="7">
        <f>IF($E1323="","",Y1323*AB1323/100)</f>
        <v/>
      </c>
      <c r="AD1323" s="7">
        <f>IF($E1323="","",Y1323-AC1323)</f>
        <v/>
      </c>
      <c r="AE1323" s="7">
        <f>IF($E1323="","",AD1323-Q1323)</f>
        <v/>
      </c>
      <c r="AI1323" s="7" t="n"/>
      <c r="AL1323" s="11" t="n"/>
      <c r="AN1323">
        <f>IF($E1323="","",IF(COUNTIF($E$2:$E1323,$E1323)=1,1,0))</f>
        <v/>
      </c>
      <c r="AO1323">
        <f>IF($AN1323=1,SUMPRODUCT(--($AR$2:$AR$4001&lt;$AR1323))+1,"")</f>
        <v/>
      </c>
      <c r="AP1323">
        <f>IF($E1323="","",IF(OR($U1323=TRUE(),$U1323="TRUE"),1,0))</f>
        <v/>
      </c>
      <c r="AQ1323">
        <f>IF($E1323="","",IF($AA1323="Yes",1,0))</f>
        <v/>
      </c>
      <c r="AR1323">
        <f>IF($AN1323=1,IFERROR(VALUE(MID($E1323,2,20)),1000000000)+ROW()/100000,"")</f>
        <v/>
      </c>
    </row>
    <row r="1324">
      <c r="G1324" s="11" t="n"/>
      <c r="Q1324" s="7">
        <f>IF($E1324="","",P1324*Y1324/100)</f>
        <v/>
      </c>
      <c r="R1324" s="7" t="n"/>
      <c r="X1324" s="7" t="n"/>
      <c r="Y1324" s="7" t="n"/>
      <c r="AB1324">
        <f>IF($E1324="","",IF($AQ1324=1,0,IF($AP1324=1,Settings!$C$6,Settings!$C$7))*100)</f>
        <v/>
      </c>
      <c r="AC1324" s="7">
        <f>IF($E1324="","",Y1324*AB1324/100)</f>
        <v/>
      </c>
      <c r="AD1324" s="7">
        <f>IF($E1324="","",Y1324-AC1324)</f>
        <v/>
      </c>
      <c r="AE1324" s="7">
        <f>IF($E1324="","",AD1324-Q1324)</f>
        <v/>
      </c>
      <c r="AI1324" s="7" t="n"/>
      <c r="AL1324" s="11" t="n"/>
      <c r="AN1324">
        <f>IF($E1324="","",IF(COUNTIF($E$2:$E1324,$E1324)=1,1,0))</f>
        <v/>
      </c>
      <c r="AO1324">
        <f>IF($AN1324=1,SUMPRODUCT(--($AR$2:$AR$4001&lt;$AR1324))+1,"")</f>
        <v/>
      </c>
      <c r="AP1324">
        <f>IF($E1324="","",IF(OR($U1324=TRUE(),$U1324="TRUE"),1,0))</f>
        <v/>
      </c>
      <c r="AQ1324">
        <f>IF($E1324="","",IF($AA1324="Yes",1,0))</f>
        <v/>
      </c>
      <c r="AR1324">
        <f>IF($AN1324=1,IFERROR(VALUE(MID($E1324,2,20)),1000000000)+ROW()/100000,"")</f>
        <v/>
      </c>
    </row>
    <row r="1325">
      <c r="G1325" s="11" t="n"/>
      <c r="Q1325" s="7">
        <f>IF($E1325="","",P1325*Y1325/100)</f>
        <v/>
      </c>
      <c r="R1325" s="7" t="n"/>
      <c r="X1325" s="7" t="n"/>
      <c r="Y1325" s="7" t="n"/>
      <c r="AB1325">
        <f>IF($E1325="","",IF($AQ1325=1,0,IF($AP1325=1,Settings!$C$6,Settings!$C$7))*100)</f>
        <v/>
      </c>
      <c r="AC1325" s="7">
        <f>IF($E1325="","",Y1325*AB1325/100)</f>
        <v/>
      </c>
      <c r="AD1325" s="7">
        <f>IF($E1325="","",Y1325-AC1325)</f>
        <v/>
      </c>
      <c r="AE1325" s="7">
        <f>IF($E1325="","",AD1325-Q1325)</f>
        <v/>
      </c>
      <c r="AI1325" s="7" t="n"/>
      <c r="AL1325" s="11" t="n"/>
      <c r="AN1325">
        <f>IF($E1325="","",IF(COUNTIF($E$2:$E1325,$E1325)=1,1,0))</f>
        <v/>
      </c>
      <c r="AO1325">
        <f>IF($AN1325=1,SUMPRODUCT(--($AR$2:$AR$4001&lt;$AR1325))+1,"")</f>
        <v/>
      </c>
      <c r="AP1325">
        <f>IF($E1325="","",IF(OR($U1325=TRUE(),$U1325="TRUE"),1,0))</f>
        <v/>
      </c>
      <c r="AQ1325">
        <f>IF($E1325="","",IF($AA1325="Yes",1,0))</f>
        <v/>
      </c>
      <c r="AR1325">
        <f>IF($AN1325=1,IFERROR(VALUE(MID($E1325,2,20)),1000000000)+ROW()/100000,"")</f>
        <v/>
      </c>
    </row>
    <row r="1326">
      <c r="G1326" s="11" t="n"/>
      <c r="Q1326" s="7">
        <f>IF($E1326="","",P1326*Y1326/100)</f>
        <v/>
      </c>
      <c r="R1326" s="7" t="n"/>
      <c r="X1326" s="7" t="n"/>
      <c r="Y1326" s="7" t="n"/>
      <c r="AB1326">
        <f>IF($E1326="","",IF($AQ1326=1,0,IF($AP1326=1,Settings!$C$6,Settings!$C$7))*100)</f>
        <v/>
      </c>
      <c r="AC1326" s="7">
        <f>IF($E1326="","",Y1326*AB1326/100)</f>
        <v/>
      </c>
      <c r="AD1326" s="7">
        <f>IF($E1326="","",Y1326-AC1326)</f>
        <v/>
      </c>
      <c r="AE1326" s="7">
        <f>IF($E1326="","",AD1326-Q1326)</f>
        <v/>
      </c>
      <c r="AI1326" s="7" t="n"/>
      <c r="AL1326" s="11" t="n"/>
      <c r="AN1326">
        <f>IF($E1326="","",IF(COUNTIF($E$2:$E1326,$E1326)=1,1,0))</f>
        <v/>
      </c>
      <c r="AO1326">
        <f>IF($AN1326=1,SUMPRODUCT(--($AR$2:$AR$4001&lt;$AR1326))+1,"")</f>
        <v/>
      </c>
      <c r="AP1326">
        <f>IF($E1326="","",IF(OR($U1326=TRUE(),$U1326="TRUE"),1,0))</f>
        <v/>
      </c>
      <c r="AQ1326">
        <f>IF($E1326="","",IF($AA1326="Yes",1,0))</f>
        <v/>
      </c>
      <c r="AR1326">
        <f>IF($AN1326=1,IFERROR(VALUE(MID($E1326,2,20)),1000000000)+ROW()/100000,"")</f>
        <v/>
      </c>
    </row>
    <row r="1327">
      <c r="G1327" s="11" t="n"/>
      <c r="Q1327" s="7">
        <f>IF($E1327="","",P1327*Y1327/100)</f>
        <v/>
      </c>
      <c r="R1327" s="7" t="n"/>
      <c r="X1327" s="7" t="n"/>
      <c r="Y1327" s="7" t="n"/>
      <c r="AB1327">
        <f>IF($E1327="","",IF($AQ1327=1,0,IF($AP1327=1,Settings!$C$6,Settings!$C$7))*100)</f>
        <v/>
      </c>
      <c r="AC1327" s="7">
        <f>IF($E1327="","",Y1327*AB1327/100)</f>
        <v/>
      </c>
      <c r="AD1327" s="7">
        <f>IF($E1327="","",Y1327-AC1327)</f>
        <v/>
      </c>
      <c r="AE1327" s="7">
        <f>IF($E1327="","",AD1327-Q1327)</f>
        <v/>
      </c>
      <c r="AI1327" s="7" t="n"/>
      <c r="AL1327" s="11" t="n"/>
      <c r="AN1327">
        <f>IF($E1327="","",IF(COUNTIF($E$2:$E1327,$E1327)=1,1,0))</f>
        <v/>
      </c>
      <c r="AO1327">
        <f>IF($AN1327=1,SUMPRODUCT(--($AR$2:$AR$4001&lt;$AR1327))+1,"")</f>
        <v/>
      </c>
      <c r="AP1327">
        <f>IF($E1327="","",IF(OR($U1327=TRUE(),$U1327="TRUE"),1,0))</f>
        <v/>
      </c>
      <c r="AQ1327">
        <f>IF($E1327="","",IF($AA1327="Yes",1,0))</f>
        <v/>
      </c>
      <c r="AR1327">
        <f>IF($AN1327=1,IFERROR(VALUE(MID($E1327,2,20)),1000000000)+ROW()/100000,"")</f>
        <v/>
      </c>
    </row>
    <row r="1328">
      <c r="G1328" s="11" t="n"/>
      <c r="Q1328" s="7">
        <f>IF($E1328="","",P1328*Y1328/100)</f>
        <v/>
      </c>
      <c r="R1328" s="7" t="n"/>
      <c r="X1328" s="7" t="n"/>
      <c r="Y1328" s="7" t="n"/>
      <c r="AB1328">
        <f>IF($E1328="","",IF($AQ1328=1,0,IF($AP1328=1,Settings!$C$6,Settings!$C$7))*100)</f>
        <v/>
      </c>
      <c r="AC1328" s="7">
        <f>IF($E1328="","",Y1328*AB1328/100)</f>
        <v/>
      </c>
      <c r="AD1328" s="7">
        <f>IF($E1328="","",Y1328-AC1328)</f>
        <v/>
      </c>
      <c r="AE1328" s="7">
        <f>IF($E1328="","",AD1328-Q1328)</f>
        <v/>
      </c>
      <c r="AI1328" s="7" t="n"/>
      <c r="AL1328" s="11" t="n"/>
      <c r="AN1328">
        <f>IF($E1328="","",IF(COUNTIF($E$2:$E1328,$E1328)=1,1,0))</f>
        <v/>
      </c>
      <c r="AO1328">
        <f>IF($AN1328=1,SUMPRODUCT(--($AR$2:$AR$4001&lt;$AR1328))+1,"")</f>
        <v/>
      </c>
      <c r="AP1328">
        <f>IF($E1328="","",IF(OR($U1328=TRUE(),$U1328="TRUE"),1,0))</f>
        <v/>
      </c>
      <c r="AQ1328">
        <f>IF($E1328="","",IF($AA1328="Yes",1,0))</f>
        <v/>
      </c>
      <c r="AR1328">
        <f>IF($AN1328=1,IFERROR(VALUE(MID($E1328,2,20)),1000000000)+ROW()/100000,"")</f>
        <v/>
      </c>
    </row>
    <row r="1329">
      <c r="G1329" s="11" t="n"/>
      <c r="Q1329" s="7">
        <f>IF($E1329="","",P1329*Y1329/100)</f>
        <v/>
      </c>
      <c r="R1329" s="7" t="n"/>
      <c r="X1329" s="7" t="n"/>
      <c r="Y1329" s="7" t="n"/>
      <c r="AB1329">
        <f>IF($E1329="","",IF($AQ1329=1,0,IF($AP1329=1,Settings!$C$6,Settings!$C$7))*100)</f>
        <v/>
      </c>
      <c r="AC1329" s="7">
        <f>IF($E1329="","",Y1329*AB1329/100)</f>
        <v/>
      </c>
      <c r="AD1329" s="7">
        <f>IF($E1329="","",Y1329-AC1329)</f>
        <v/>
      </c>
      <c r="AE1329" s="7">
        <f>IF($E1329="","",AD1329-Q1329)</f>
        <v/>
      </c>
      <c r="AI1329" s="7" t="n"/>
      <c r="AL1329" s="11" t="n"/>
      <c r="AN1329">
        <f>IF($E1329="","",IF(COUNTIF($E$2:$E1329,$E1329)=1,1,0))</f>
        <v/>
      </c>
      <c r="AO1329">
        <f>IF($AN1329=1,SUMPRODUCT(--($AR$2:$AR$4001&lt;$AR1329))+1,"")</f>
        <v/>
      </c>
      <c r="AP1329">
        <f>IF($E1329="","",IF(OR($U1329=TRUE(),$U1329="TRUE"),1,0))</f>
        <v/>
      </c>
      <c r="AQ1329">
        <f>IF($E1329="","",IF($AA1329="Yes",1,0))</f>
        <v/>
      </c>
      <c r="AR1329">
        <f>IF($AN1329=1,IFERROR(VALUE(MID($E1329,2,20)),1000000000)+ROW()/100000,"")</f>
        <v/>
      </c>
    </row>
    <row r="1330">
      <c r="G1330" s="11" t="n"/>
      <c r="Q1330" s="7">
        <f>IF($E1330="","",P1330*Y1330/100)</f>
        <v/>
      </c>
      <c r="R1330" s="7" t="n"/>
      <c r="X1330" s="7" t="n"/>
      <c r="Y1330" s="7" t="n"/>
      <c r="AB1330">
        <f>IF($E1330="","",IF($AQ1330=1,0,IF($AP1330=1,Settings!$C$6,Settings!$C$7))*100)</f>
        <v/>
      </c>
      <c r="AC1330" s="7">
        <f>IF($E1330="","",Y1330*AB1330/100)</f>
        <v/>
      </c>
      <c r="AD1330" s="7">
        <f>IF($E1330="","",Y1330-AC1330)</f>
        <v/>
      </c>
      <c r="AE1330" s="7">
        <f>IF($E1330="","",AD1330-Q1330)</f>
        <v/>
      </c>
      <c r="AI1330" s="7" t="n"/>
      <c r="AL1330" s="11" t="n"/>
      <c r="AN1330">
        <f>IF($E1330="","",IF(COUNTIF($E$2:$E1330,$E1330)=1,1,0))</f>
        <v/>
      </c>
      <c r="AO1330">
        <f>IF($AN1330=1,SUMPRODUCT(--($AR$2:$AR$4001&lt;$AR1330))+1,"")</f>
        <v/>
      </c>
      <c r="AP1330">
        <f>IF($E1330="","",IF(OR($U1330=TRUE(),$U1330="TRUE"),1,0))</f>
        <v/>
      </c>
      <c r="AQ1330">
        <f>IF($E1330="","",IF($AA1330="Yes",1,0))</f>
        <v/>
      </c>
      <c r="AR1330">
        <f>IF($AN1330=1,IFERROR(VALUE(MID($E1330,2,20)),1000000000)+ROW()/100000,"")</f>
        <v/>
      </c>
    </row>
    <row r="1331">
      <c r="G1331" s="11" t="n"/>
      <c r="Q1331" s="7">
        <f>IF($E1331="","",P1331*Y1331/100)</f>
        <v/>
      </c>
      <c r="R1331" s="7" t="n"/>
      <c r="X1331" s="7" t="n"/>
      <c r="Y1331" s="7" t="n"/>
      <c r="AB1331">
        <f>IF($E1331="","",IF($AQ1331=1,0,IF($AP1331=1,Settings!$C$6,Settings!$C$7))*100)</f>
        <v/>
      </c>
      <c r="AC1331" s="7">
        <f>IF($E1331="","",Y1331*AB1331/100)</f>
        <v/>
      </c>
      <c r="AD1331" s="7">
        <f>IF($E1331="","",Y1331-AC1331)</f>
        <v/>
      </c>
      <c r="AE1331" s="7">
        <f>IF($E1331="","",AD1331-Q1331)</f>
        <v/>
      </c>
      <c r="AI1331" s="7" t="n"/>
      <c r="AL1331" s="11" t="n"/>
      <c r="AN1331">
        <f>IF($E1331="","",IF(COUNTIF($E$2:$E1331,$E1331)=1,1,0))</f>
        <v/>
      </c>
      <c r="AO1331">
        <f>IF($AN1331=1,SUMPRODUCT(--($AR$2:$AR$4001&lt;$AR1331))+1,"")</f>
        <v/>
      </c>
      <c r="AP1331">
        <f>IF($E1331="","",IF(OR($U1331=TRUE(),$U1331="TRUE"),1,0))</f>
        <v/>
      </c>
      <c r="AQ1331">
        <f>IF($E1331="","",IF($AA1331="Yes",1,0))</f>
        <v/>
      </c>
      <c r="AR1331">
        <f>IF($AN1331=1,IFERROR(VALUE(MID($E1331,2,20)),1000000000)+ROW()/100000,"")</f>
        <v/>
      </c>
    </row>
    <row r="1332">
      <c r="G1332" s="11" t="n"/>
      <c r="Q1332" s="7">
        <f>IF($E1332="","",P1332*Y1332/100)</f>
        <v/>
      </c>
      <c r="R1332" s="7" t="n"/>
      <c r="X1332" s="7" t="n"/>
      <c r="Y1332" s="7" t="n"/>
      <c r="AB1332">
        <f>IF($E1332="","",IF($AQ1332=1,0,IF($AP1332=1,Settings!$C$6,Settings!$C$7))*100)</f>
        <v/>
      </c>
      <c r="AC1332" s="7">
        <f>IF($E1332="","",Y1332*AB1332/100)</f>
        <v/>
      </c>
      <c r="AD1332" s="7">
        <f>IF($E1332="","",Y1332-AC1332)</f>
        <v/>
      </c>
      <c r="AE1332" s="7">
        <f>IF($E1332="","",AD1332-Q1332)</f>
        <v/>
      </c>
      <c r="AI1332" s="7" t="n"/>
      <c r="AL1332" s="11" t="n"/>
      <c r="AN1332">
        <f>IF($E1332="","",IF(COUNTIF($E$2:$E1332,$E1332)=1,1,0))</f>
        <v/>
      </c>
      <c r="AO1332">
        <f>IF($AN1332=1,SUMPRODUCT(--($AR$2:$AR$4001&lt;$AR1332))+1,"")</f>
        <v/>
      </c>
      <c r="AP1332">
        <f>IF($E1332="","",IF(OR($U1332=TRUE(),$U1332="TRUE"),1,0))</f>
        <v/>
      </c>
      <c r="AQ1332">
        <f>IF($E1332="","",IF($AA1332="Yes",1,0))</f>
        <v/>
      </c>
      <c r="AR1332">
        <f>IF($AN1332=1,IFERROR(VALUE(MID($E1332,2,20)),1000000000)+ROW()/100000,"")</f>
        <v/>
      </c>
    </row>
    <row r="1333">
      <c r="G1333" s="11" t="n"/>
      <c r="Q1333" s="7">
        <f>IF($E1333="","",P1333*Y1333/100)</f>
        <v/>
      </c>
      <c r="R1333" s="7" t="n"/>
      <c r="X1333" s="7" t="n"/>
      <c r="Y1333" s="7" t="n"/>
      <c r="AB1333">
        <f>IF($E1333="","",IF($AQ1333=1,0,IF($AP1333=1,Settings!$C$6,Settings!$C$7))*100)</f>
        <v/>
      </c>
      <c r="AC1333" s="7">
        <f>IF($E1333="","",Y1333*AB1333/100)</f>
        <v/>
      </c>
      <c r="AD1333" s="7">
        <f>IF($E1333="","",Y1333-AC1333)</f>
        <v/>
      </c>
      <c r="AE1333" s="7">
        <f>IF($E1333="","",AD1333-Q1333)</f>
        <v/>
      </c>
      <c r="AI1333" s="7" t="n"/>
      <c r="AL1333" s="11" t="n"/>
      <c r="AN1333">
        <f>IF($E1333="","",IF(COUNTIF($E$2:$E1333,$E1333)=1,1,0))</f>
        <v/>
      </c>
      <c r="AO1333">
        <f>IF($AN1333=1,SUMPRODUCT(--($AR$2:$AR$4001&lt;$AR1333))+1,"")</f>
        <v/>
      </c>
      <c r="AP1333">
        <f>IF($E1333="","",IF(OR($U1333=TRUE(),$U1333="TRUE"),1,0))</f>
        <v/>
      </c>
      <c r="AQ1333">
        <f>IF($E1333="","",IF($AA1333="Yes",1,0))</f>
        <v/>
      </c>
      <c r="AR1333">
        <f>IF($AN1333=1,IFERROR(VALUE(MID($E1333,2,20)),1000000000)+ROW()/100000,"")</f>
        <v/>
      </c>
    </row>
    <row r="1334">
      <c r="G1334" s="11" t="n"/>
      <c r="Q1334" s="7">
        <f>IF($E1334="","",P1334*Y1334/100)</f>
        <v/>
      </c>
      <c r="R1334" s="7" t="n"/>
      <c r="X1334" s="7" t="n"/>
      <c r="Y1334" s="7" t="n"/>
      <c r="AB1334">
        <f>IF($E1334="","",IF($AQ1334=1,0,IF($AP1334=1,Settings!$C$6,Settings!$C$7))*100)</f>
        <v/>
      </c>
      <c r="AC1334" s="7">
        <f>IF($E1334="","",Y1334*AB1334/100)</f>
        <v/>
      </c>
      <c r="AD1334" s="7">
        <f>IF($E1334="","",Y1334-AC1334)</f>
        <v/>
      </c>
      <c r="AE1334" s="7">
        <f>IF($E1334="","",AD1334-Q1334)</f>
        <v/>
      </c>
      <c r="AI1334" s="7" t="n"/>
      <c r="AL1334" s="11" t="n"/>
      <c r="AN1334">
        <f>IF($E1334="","",IF(COUNTIF($E$2:$E1334,$E1334)=1,1,0))</f>
        <v/>
      </c>
      <c r="AO1334">
        <f>IF($AN1334=1,SUMPRODUCT(--($AR$2:$AR$4001&lt;$AR1334))+1,"")</f>
        <v/>
      </c>
      <c r="AP1334">
        <f>IF($E1334="","",IF(OR($U1334=TRUE(),$U1334="TRUE"),1,0))</f>
        <v/>
      </c>
      <c r="AQ1334">
        <f>IF($E1334="","",IF($AA1334="Yes",1,0))</f>
        <v/>
      </c>
      <c r="AR1334">
        <f>IF($AN1334=1,IFERROR(VALUE(MID($E1334,2,20)),1000000000)+ROW()/100000,"")</f>
        <v/>
      </c>
    </row>
    <row r="1335">
      <c r="G1335" s="11" t="n"/>
      <c r="Q1335" s="7">
        <f>IF($E1335="","",P1335*Y1335/100)</f>
        <v/>
      </c>
      <c r="R1335" s="7" t="n"/>
      <c r="X1335" s="7" t="n"/>
      <c r="Y1335" s="7" t="n"/>
      <c r="AB1335">
        <f>IF($E1335="","",IF($AQ1335=1,0,IF($AP1335=1,Settings!$C$6,Settings!$C$7))*100)</f>
        <v/>
      </c>
      <c r="AC1335" s="7">
        <f>IF($E1335="","",Y1335*AB1335/100)</f>
        <v/>
      </c>
      <c r="AD1335" s="7">
        <f>IF($E1335="","",Y1335-AC1335)</f>
        <v/>
      </c>
      <c r="AE1335" s="7">
        <f>IF($E1335="","",AD1335-Q1335)</f>
        <v/>
      </c>
      <c r="AI1335" s="7" t="n"/>
      <c r="AL1335" s="11" t="n"/>
      <c r="AN1335">
        <f>IF($E1335="","",IF(COUNTIF($E$2:$E1335,$E1335)=1,1,0))</f>
        <v/>
      </c>
      <c r="AO1335">
        <f>IF($AN1335=1,SUMPRODUCT(--($AR$2:$AR$4001&lt;$AR1335))+1,"")</f>
        <v/>
      </c>
      <c r="AP1335">
        <f>IF($E1335="","",IF(OR($U1335=TRUE(),$U1335="TRUE"),1,0))</f>
        <v/>
      </c>
      <c r="AQ1335">
        <f>IF($E1335="","",IF($AA1335="Yes",1,0))</f>
        <v/>
      </c>
      <c r="AR1335">
        <f>IF($AN1335=1,IFERROR(VALUE(MID($E1335,2,20)),1000000000)+ROW()/100000,"")</f>
        <v/>
      </c>
    </row>
    <row r="1336">
      <c r="G1336" s="11" t="n"/>
      <c r="Q1336" s="7">
        <f>IF($E1336="","",P1336*Y1336/100)</f>
        <v/>
      </c>
      <c r="R1336" s="7" t="n"/>
      <c r="X1336" s="7" t="n"/>
      <c r="Y1336" s="7" t="n"/>
      <c r="AB1336">
        <f>IF($E1336="","",IF($AQ1336=1,0,IF($AP1336=1,Settings!$C$6,Settings!$C$7))*100)</f>
        <v/>
      </c>
      <c r="AC1336" s="7">
        <f>IF($E1336="","",Y1336*AB1336/100)</f>
        <v/>
      </c>
      <c r="AD1336" s="7">
        <f>IF($E1336="","",Y1336-AC1336)</f>
        <v/>
      </c>
      <c r="AE1336" s="7">
        <f>IF($E1336="","",AD1336-Q1336)</f>
        <v/>
      </c>
      <c r="AI1336" s="7" t="n"/>
      <c r="AL1336" s="11" t="n"/>
      <c r="AN1336">
        <f>IF($E1336="","",IF(COUNTIF($E$2:$E1336,$E1336)=1,1,0))</f>
        <v/>
      </c>
      <c r="AO1336">
        <f>IF($AN1336=1,SUMPRODUCT(--($AR$2:$AR$4001&lt;$AR1336))+1,"")</f>
        <v/>
      </c>
      <c r="AP1336">
        <f>IF($E1336="","",IF(OR($U1336=TRUE(),$U1336="TRUE"),1,0))</f>
        <v/>
      </c>
      <c r="AQ1336">
        <f>IF($E1336="","",IF($AA1336="Yes",1,0))</f>
        <v/>
      </c>
      <c r="AR1336">
        <f>IF($AN1336=1,IFERROR(VALUE(MID($E1336,2,20)),1000000000)+ROW()/100000,"")</f>
        <v/>
      </c>
    </row>
    <row r="1337">
      <c r="G1337" s="11" t="n"/>
      <c r="Q1337" s="7">
        <f>IF($E1337="","",P1337*Y1337/100)</f>
        <v/>
      </c>
      <c r="R1337" s="7" t="n"/>
      <c r="X1337" s="7" t="n"/>
      <c r="Y1337" s="7" t="n"/>
      <c r="AB1337">
        <f>IF($E1337="","",IF($AQ1337=1,0,IF($AP1337=1,Settings!$C$6,Settings!$C$7))*100)</f>
        <v/>
      </c>
      <c r="AC1337" s="7">
        <f>IF($E1337="","",Y1337*AB1337/100)</f>
        <v/>
      </c>
      <c r="AD1337" s="7">
        <f>IF($E1337="","",Y1337-AC1337)</f>
        <v/>
      </c>
      <c r="AE1337" s="7">
        <f>IF($E1337="","",AD1337-Q1337)</f>
        <v/>
      </c>
      <c r="AI1337" s="7" t="n"/>
      <c r="AL1337" s="11" t="n"/>
      <c r="AN1337">
        <f>IF($E1337="","",IF(COUNTIF($E$2:$E1337,$E1337)=1,1,0))</f>
        <v/>
      </c>
      <c r="AO1337">
        <f>IF($AN1337=1,SUMPRODUCT(--($AR$2:$AR$4001&lt;$AR1337))+1,"")</f>
        <v/>
      </c>
      <c r="AP1337">
        <f>IF($E1337="","",IF(OR($U1337=TRUE(),$U1337="TRUE"),1,0))</f>
        <v/>
      </c>
      <c r="AQ1337">
        <f>IF($E1337="","",IF($AA1337="Yes",1,0))</f>
        <v/>
      </c>
      <c r="AR1337">
        <f>IF($AN1337=1,IFERROR(VALUE(MID($E1337,2,20)),1000000000)+ROW()/100000,"")</f>
        <v/>
      </c>
    </row>
    <row r="1338">
      <c r="G1338" s="11" t="n"/>
      <c r="Q1338" s="7">
        <f>IF($E1338="","",P1338*Y1338/100)</f>
        <v/>
      </c>
      <c r="R1338" s="7" t="n"/>
      <c r="X1338" s="7" t="n"/>
      <c r="Y1338" s="7" t="n"/>
      <c r="AB1338">
        <f>IF($E1338="","",IF($AQ1338=1,0,IF($AP1338=1,Settings!$C$6,Settings!$C$7))*100)</f>
        <v/>
      </c>
      <c r="AC1338" s="7">
        <f>IF($E1338="","",Y1338*AB1338/100)</f>
        <v/>
      </c>
      <c r="AD1338" s="7">
        <f>IF($E1338="","",Y1338-AC1338)</f>
        <v/>
      </c>
      <c r="AE1338" s="7">
        <f>IF($E1338="","",AD1338-Q1338)</f>
        <v/>
      </c>
      <c r="AI1338" s="7" t="n"/>
      <c r="AL1338" s="11" t="n"/>
      <c r="AN1338">
        <f>IF($E1338="","",IF(COUNTIF($E$2:$E1338,$E1338)=1,1,0))</f>
        <v/>
      </c>
      <c r="AO1338">
        <f>IF($AN1338=1,SUMPRODUCT(--($AR$2:$AR$4001&lt;$AR1338))+1,"")</f>
        <v/>
      </c>
      <c r="AP1338">
        <f>IF($E1338="","",IF(OR($U1338=TRUE(),$U1338="TRUE"),1,0))</f>
        <v/>
      </c>
      <c r="AQ1338">
        <f>IF($E1338="","",IF($AA1338="Yes",1,0))</f>
        <v/>
      </c>
      <c r="AR1338">
        <f>IF($AN1338=1,IFERROR(VALUE(MID($E1338,2,20)),1000000000)+ROW()/100000,"")</f>
        <v/>
      </c>
    </row>
    <row r="1339">
      <c r="G1339" s="11" t="n"/>
      <c r="Q1339" s="7">
        <f>IF($E1339="","",P1339*Y1339/100)</f>
        <v/>
      </c>
      <c r="R1339" s="7" t="n"/>
      <c r="X1339" s="7" t="n"/>
      <c r="Y1339" s="7" t="n"/>
      <c r="AB1339">
        <f>IF($E1339="","",IF($AQ1339=1,0,IF($AP1339=1,Settings!$C$6,Settings!$C$7))*100)</f>
        <v/>
      </c>
      <c r="AC1339" s="7">
        <f>IF($E1339="","",Y1339*AB1339/100)</f>
        <v/>
      </c>
      <c r="AD1339" s="7">
        <f>IF($E1339="","",Y1339-AC1339)</f>
        <v/>
      </c>
      <c r="AE1339" s="7">
        <f>IF($E1339="","",AD1339-Q1339)</f>
        <v/>
      </c>
      <c r="AI1339" s="7" t="n"/>
      <c r="AL1339" s="11" t="n"/>
      <c r="AN1339">
        <f>IF($E1339="","",IF(COUNTIF($E$2:$E1339,$E1339)=1,1,0))</f>
        <v/>
      </c>
      <c r="AO1339">
        <f>IF($AN1339=1,SUMPRODUCT(--($AR$2:$AR$4001&lt;$AR1339))+1,"")</f>
        <v/>
      </c>
      <c r="AP1339">
        <f>IF($E1339="","",IF(OR($U1339=TRUE(),$U1339="TRUE"),1,0))</f>
        <v/>
      </c>
      <c r="AQ1339">
        <f>IF($E1339="","",IF($AA1339="Yes",1,0))</f>
        <v/>
      </c>
      <c r="AR1339">
        <f>IF($AN1339=1,IFERROR(VALUE(MID($E1339,2,20)),1000000000)+ROW()/100000,"")</f>
        <v/>
      </c>
    </row>
    <row r="1340">
      <c r="G1340" s="11" t="n"/>
      <c r="Q1340" s="7">
        <f>IF($E1340="","",P1340*Y1340/100)</f>
        <v/>
      </c>
      <c r="R1340" s="7" t="n"/>
      <c r="X1340" s="7" t="n"/>
      <c r="Y1340" s="7" t="n"/>
      <c r="AB1340">
        <f>IF($E1340="","",IF($AQ1340=1,0,IF($AP1340=1,Settings!$C$6,Settings!$C$7))*100)</f>
        <v/>
      </c>
      <c r="AC1340" s="7">
        <f>IF($E1340="","",Y1340*AB1340/100)</f>
        <v/>
      </c>
      <c r="AD1340" s="7">
        <f>IF($E1340="","",Y1340-AC1340)</f>
        <v/>
      </c>
      <c r="AE1340" s="7">
        <f>IF($E1340="","",AD1340-Q1340)</f>
        <v/>
      </c>
      <c r="AI1340" s="7" t="n"/>
      <c r="AL1340" s="11" t="n"/>
      <c r="AN1340">
        <f>IF($E1340="","",IF(COUNTIF($E$2:$E1340,$E1340)=1,1,0))</f>
        <v/>
      </c>
      <c r="AO1340">
        <f>IF($AN1340=1,SUMPRODUCT(--($AR$2:$AR$4001&lt;$AR1340))+1,"")</f>
        <v/>
      </c>
      <c r="AP1340">
        <f>IF($E1340="","",IF(OR($U1340=TRUE(),$U1340="TRUE"),1,0))</f>
        <v/>
      </c>
      <c r="AQ1340">
        <f>IF($E1340="","",IF($AA1340="Yes",1,0))</f>
        <v/>
      </c>
      <c r="AR1340">
        <f>IF($AN1340=1,IFERROR(VALUE(MID($E1340,2,20)),1000000000)+ROW()/100000,"")</f>
        <v/>
      </c>
    </row>
    <row r="1341">
      <c r="G1341" s="11" t="n"/>
      <c r="Q1341" s="7">
        <f>IF($E1341="","",P1341*Y1341/100)</f>
        <v/>
      </c>
      <c r="R1341" s="7" t="n"/>
      <c r="X1341" s="7" t="n"/>
      <c r="Y1341" s="7" t="n"/>
      <c r="AB1341">
        <f>IF($E1341="","",IF($AQ1341=1,0,IF($AP1341=1,Settings!$C$6,Settings!$C$7))*100)</f>
        <v/>
      </c>
      <c r="AC1341" s="7">
        <f>IF($E1341="","",Y1341*AB1341/100)</f>
        <v/>
      </c>
      <c r="AD1341" s="7">
        <f>IF($E1341="","",Y1341-AC1341)</f>
        <v/>
      </c>
      <c r="AE1341" s="7">
        <f>IF($E1341="","",AD1341-Q1341)</f>
        <v/>
      </c>
      <c r="AI1341" s="7" t="n"/>
      <c r="AL1341" s="11" t="n"/>
      <c r="AN1341">
        <f>IF($E1341="","",IF(COUNTIF($E$2:$E1341,$E1341)=1,1,0))</f>
        <v/>
      </c>
      <c r="AO1341">
        <f>IF($AN1341=1,SUMPRODUCT(--($AR$2:$AR$4001&lt;$AR1341))+1,"")</f>
        <v/>
      </c>
      <c r="AP1341">
        <f>IF($E1341="","",IF(OR($U1341=TRUE(),$U1341="TRUE"),1,0))</f>
        <v/>
      </c>
      <c r="AQ1341">
        <f>IF($E1341="","",IF($AA1341="Yes",1,0))</f>
        <v/>
      </c>
      <c r="AR1341">
        <f>IF($AN1341=1,IFERROR(VALUE(MID($E1341,2,20)),1000000000)+ROW()/100000,"")</f>
        <v/>
      </c>
    </row>
    <row r="1342">
      <c r="G1342" s="11" t="n"/>
      <c r="Q1342" s="7">
        <f>IF($E1342="","",P1342*Y1342/100)</f>
        <v/>
      </c>
      <c r="R1342" s="7" t="n"/>
      <c r="X1342" s="7" t="n"/>
      <c r="Y1342" s="7" t="n"/>
      <c r="AB1342">
        <f>IF($E1342="","",IF($AQ1342=1,0,IF($AP1342=1,Settings!$C$6,Settings!$C$7))*100)</f>
        <v/>
      </c>
      <c r="AC1342" s="7">
        <f>IF($E1342="","",Y1342*AB1342/100)</f>
        <v/>
      </c>
      <c r="AD1342" s="7">
        <f>IF($E1342="","",Y1342-AC1342)</f>
        <v/>
      </c>
      <c r="AE1342" s="7">
        <f>IF($E1342="","",AD1342-Q1342)</f>
        <v/>
      </c>
      <c r="AI1342" s="7" t="n"/>
      <c r="AL1342" s="11" t="n"/>
      <c r="AN1342">
        <f>IF($E1342="","",IF(COUNTIF($E$2:$E1342,$E1342)=1,1,0))</f>
        <v/>
      </c>
      <c r="AO1342">
        <f>IF($AN1342=1,SUMPRODUCT(--($AR$2:$AR$4001&lt;$AR1342))+1,"")</f>
        <v/>
      </c>
      <c r="AP1342">
        <f>IF($E1342="","",IF(OR($U1342=TRUE(),$U1342="TRUE"),1,0))</f>
        <v/>
      </c>
      <c r="AQ1342">
        <f>IF($E1342="","",IF($AA1342="Yes",1,0))</f>
        <v/>
      </c>
      <c r="AR1342">
        <f>IF($AN1342=1,IFERROR(VALUE(MID($E1342,2,20)),1000000000)+ROW()/100000,"")</f>
        <v/>
      </c>
    </row>
    <row r="1343">
      <c r="G1343" s="11" t="n"/>
      <c r="Q1343" s="7">
        <f>IF($E1343="","",P1343*Y1343/100)</f>
        <v/>
      </c>
      <c r="R1343" s="7" t="n"/>
      <c r="X1343" s="7" t="n"/>
      <c r="Y1343" s="7" t="n"/>
      <c r="AB1343">
        <f>IF($E1343="","",IF($AQ1343=1,0,IF($AP1343=1,Settings!$C$6,Settings!$C$7))*100)</f>
        <v/>
      </c>
      <c r="AC1343" s="7">
        <f>IF($E1343="","",Y1343*AB1343/100)</f>
        <v/>
      </c>
      <c r="AD1343" s="7">
        <f>IF($E1343="","",Y1343-AC1343)</f>
        <v/>
      </c>
      <c r="AE1343" s="7">
        <f>IF($E1343="","",AD1343-Q1343)</f>
        <v/>
      </c>
      <c r="AI1343" s="7" t="n"/>
      <c r="AL1343" s="11" t="n"/>
      <c r="AN1343">
        <f>IF($E1343="","",IF(COUNTIF($E$2:$E1343,$E1343)=1,1,0))</f>
        <v/>
      </c>
      <c r="AO1343">
        <f>IF($AN1343=1,SUMPRODUCT(--($AR$2:$AR$4001&lt;$AR1343))+1,"")</f>
        <v/>
      </c>
      <c r="AP1343">
        <f>IF($E1343="","",IF(OR($U1343=TRUE(),$U1343="TRUE"),1,0))</f>
        <v/>
      </c>
      <c r="AQ1343">
        <f>IF($E1343="","",IF($AA1343="Yes",1,0))</f>
        <v/>
      </c>
      <c r="AR1343">
        <f>IF($AN1343=1,IFERROR(VALUE(MID($E1343,2,20)),1000000000)+ROW()/100000,"")</f>
        <v/>
      </c>
    </row>
    <row r="1344">
      <c r="G1344" s="11" t="n"/>
      <c r="Q1344" s="7">
        <f>IF($E1344="","",P1344*Y1344/100)</f>
        <v/>
      </c>
      <c r="R1344" s="7" t="n"/>
      <c r="X1344" s="7" t="n"/>
      <c r="Y1344" s="7" t="n"/>
      <c r="AB1344">
        <f>IF($E1344="","",IF($AQ1344=1,0,IF($AP1344=1,Settings!$C$6,Settings!$C$7))*100)</f>
        <v/>
      </c>
      <c r="AC1344" s="7">
        <f>IF($E1344="","",Y1344*AB1344/100)</f>
        <v/>
      </c>
      <c r="AD1344" s="7">
        <f>IF($E1344="","",Y1344-AC1344)</f>
        <v/>
      </c>
      <c r="AE1344" s="7">
        <f>IF($E1344="","",AD1344-Q1344)</f>
        <v/>
      </c>
      <c r="AI1344" s="7" t="n"/>
      <c r="AL1344" s="11" t="n"/>
      <c r="AN1344">
        <f>IF($E1344="","",IF(COUNTIF($E$2:$E1344,$E1344)=1,1,0))</f>
        <v/>
      </c>
      <c r="AO1344">
        <f>IF($AN1344=1,SUMPRODUCT(--($AR$2:$AR$4001&lt;$AR1344))+1,"")</f>
        <v/>
      </c>
      <c r="AP1344">
        <f>IF($E1344="","",IF(OR($U1344=TRUE(),$U1344="TRUE"),1,0))</f>
        <v/>
      </c>
      <c r="AQ1344">
        <f>IF($E1344="","",IF($AA1344="Yes",1,0))</f>
        <v/>
      </c>
      <c r="AR1344">
        <f>IF($AN1344=1,IFERROR(VALUE(MID($E1344,2,20)),1000000000)+ROW()/100000,"")</f>
        <v/>
      </c>
    </row>
    <row r="1345">
      <c r="G1345" s="11" t="n"/>
      <c r="Q1345" s="7">
        <f>IF($E1345="","",P1345*Y1345/100)</f>
        <v/>
      </c>
      <c r="R1345" s="7" t="n"/>
      <c r="X1345" s="7" t="n"/>
      <c r="Y1345" s="7" t="n"/>
      <c r="AB1345">
        <f>IF($E1345="","",IF($AQ1345=1,0,IF($AP1345=1,Settings!$C$6,Settings!$C$7))*100)</f>
        <v/>
      </c>
      <c r="AC1345" s="7">
        <f>IF($E1345="","",Y1345*AB1345/100)</f>
        <v/>
      </c>
      <c r="AD1345" s="7">
        <f>IF($E1345="","",Y1345-AC1345)</f>
        <v/>
      </c>
      <c r="AE1345" s="7">
        <f>IF($E1345="","",AD1345-Q1345)</f>
        <v/>
      </c>
      <c r="AI1345" s="7" t="n"/>
      <c r="AL1345" s="11" t="n"/>
      <c r="AN1345">
        <f>IF($E1345="","",IF(COUNTIF($E$2:$E1345,$E1345)=1,1,0))</f>
        <v/>
      </c>
      <c r="AO1345">
        <f>IF($AN1345=1,SUMPRODUCT(--($AR$2:$AR$4001&lt;$AR1345))+1,"")</f>
        <v/>
      </c>
      <c r="AP1345">
        <f>IF($E1345="","",IF(OR($U1345=TRUE(),$U1345="TRUE"),1,0))</f>
        <v/>
      </c>
      <c r="AQ1345">
        <f>IF($E1345="","",IF($AA1345="Yes",1,0))</f>
        <v/>
      </c>
      <c r="AR1345">
        <f>IF($AN1345=1,IFERROR(VALUE(MID($E1345,2,20)),1000000000)+ROW()/100000,"")</f>
        <v/>
      </c>
    </row>
    <row r="1346">
      <c r="G1346" s="11" t="n"/>
      <c r="Q1346" s="7">
        <f>IF($E1346="","",P1346*Y1346/100)</f>
        <v/>
      </c>
      <c r="R1346" s="7" t="n"/>
      <c r="X1346" s="7" t="n"/>
      <c r="Y1346" s="7" t="n"/>
      <c r="AB1346">
        <f>IF($E1346="","",IF($AQ1346=1,0,IF($AP1346=1,Settings!$C$6,Settings!$C$7))*100)</f>
        <v/>
      </c>
      <c r="AC1346" s="7">
        <f>IF($E1346="","",Y1346*AB1346/100)</f>
        <v/>
      </c>
      <c r="AD1346" s="7">
        <f>IF($E1346="","",Y1346-AC1346)</f>
        <v/>
      </c>
      <c r="AE1346" s="7">
        <f>IF($E1346="","",AD1346-Q1346)</f>
        <v/>
      </c>
      <c r="AI1346" s="7" t="n"/>
      <c r="AL1346" s="11" t="n"/>
      <c r="AN1346">
        <f>IF($E1346="","",IF(COUNTIF($E$2:$E1346,$E1346)=1,1,0))</f>
        <v/>
      </c>
      <c r="AO1346">
        <f>IF($AN1346=1,SUMPRODUCT(--($AR$2:$AR$4001&lt;$AR1346))+1,"")</f>
        <v/>
      </c>
      <c r="AP1346">
        <f>IF($E1346="","",IF(OR($U1346=TRUE(),$U1346="TRUE"),1,0))</f>
        <v/>
      </c>
      <c r="AQ1346">
        <f>IF($E1346="","",IF($AA1346="Yes",1,0))</f>
        <v/>
      </c>
      <c r="AR1346">
        <f>IF($AN1346=1,IFERROR(VALUE(MID($E1346,2,20)),1000000000)+ROW()/100000,"")</f>
        <v/>
      </c>
    </row>
    <row r="1347">
      <c r="G1347" s="11" t="n"/>
      <c r="Q1347" s="7">
        <f>IF($E1347="","",P1347*Y1347/100)</f>
        <v/>
      </c>
      <c r="R1347" s="7" t="n"/>
      <c r="X1347" s="7" t="n"/>
      <c r="Y1347" s="7" t="n"/>
      <c r="AB1347">
        <f>IF($E1347="","",IF($AQ1347=1,0,IF($AP1347=1,Settings!$C$6,Settings!$C$7))*100)</f>
        <v/>
      </c>
      <c r="AC1347" s="7">
        <f>IF($E1347="","",Y1347*AB1347/100)</f>
        <v/>
      </c>
      <c r="AD1347" s="7">
        <f>IF($E1347="","",Y1347-AC1347)</f>
        <v/>
      </c>
      <c r="AE1347" s="7">
        <f>IF($E1347="","",AD1347-Q1347)</f>
        <v/>
      </c>
      <c r="AI1347" s="7" t="n"/>
      <c r="AL1347" s="11" t="n"/>
      <c r="AN1347">
        <f>IF($E1347="","",IF(COUNTIF($E$2:$E1347,$E1347)=1,1,0))</f>
        <v/>
      </c>
      <c r="AO1347">
        <f>IF($AN1347=1,SUMPRODUCT(--($AR$2:$AR$4001&lt;$AR1347))+1,"")</f>
        <v/>
      </c>
      <c r="AP1347">
        <f>IF($E1347="","",IF(OR($U1347=TRUE(),$U1347="TRUE"),1,0))</f>
        <v/>
      </c>
      <c r="AQ1347">
        <f>IF($E1347="","",IF($AA1347="Yes",1,0))</f>
        <v/>
      </c>
      <c r="AR1347">
        <f>IF($AN1347=1,IFERROR(VALUE(MID($E1347,2,20)),1000000000)+ROW()/100000,"")</f>
        <v/>
      </c>
    </row>
    <row r="1348">
      <c r="G1348" s="11" t="n"/>
      <c r="Q1348" s="7">
        <f>IF($E1348="","",P1348*Y1348/100)</f>
        <v/>
      </c>
      <c r="R1348" s="7" t="n"/>
      <c r="X1348" s="7" t="n"/>
      <c r="Y1348" s="7" t="n"/>
      <c r="AB1348">
        <f>IF($E1348="","",IF($AQ1348=1,0,IF($AP1348=1,Settings!$C$6,Settings!$C$7))*100)</f>
        <v/>
      </c>
      <c r="AC1348" s="7">
        <f>IF($E1348="","",Y1348*AB1348/100)</f>
        <v/>
      </c>
      <c r="AD1348" s="7">
        <f>IF($E1348="","",Y1348-AC1348)</f>
        <v/>
      </c>
      <c r="AE1348" s="7">
        <f>IF($E1348="","",AD1348-Q1348)</f>
        <v/>
      </c>
      <c r="AI1348" s="7" t="n"/>
      <c r="AL1348" s="11" t="n"/>
      <c r="AN1348">
        <f>IF($E1348="","",IF(COUNTIF($E$2:$E1348,$E1348)=1,1,0))</f>
        <v/>
      </c>
      <c r="AO1348">
        <f>IF($AN1348=1,SUMPRODUCT(--($AR$2:$AR$4001&lt;$AR1348))+1,"")</f>
        <v/>
      </c>
      <c r="AP1348">
        <f>IF($E1348="","",IF(OR($U1348=TRUE(),$U1348="TRUE"),1,0))</f>
        <v/>
      </c>
      <c r="AQ1348">
        <f>IF($E1348="","",IF($AA1348="Yes",1,0))</f>
        <v/>
      </c>
      <c r="AR1348">
        <f>IF($AN1348=1,IFERROR(VALUE(MID($E1348,2,20)),1000000000)+ROW()/100000,"")</f>
        <v/>
      </c>
    </row>
    <row r="1349">
      <c r="G1349" s="11" t="n"/>
      <c r="Q1349" s="7">
        <f>IF($E1349="","",P1349*Y1349/100)</f>
        <v/>
      </c>
      <c r="R1349" s="7" t="n"/>
      <c r="X1349" s="7" t="n"/>
      <c r="Y1349" s="7" t="n"/>
      <c r="AB1349">
        <f>IF($E1349="","",IF($AQ1349=1,0,IF($AP1349=1,Settings!$C$6,Settings!$C$7))*100)</f>
        <v/>
      </c>
      <c r="AC1349" s="7">
        <f>IF($E1349="","",Y1349*AB1349/100)</f>
        <v/>
      </c>
      <c r="AD1349" s="7">
        <f>IF($E1349="","",Y1349-AC1349)</f>
        <v/>
      </c>
      <c r="AE1349" s="7">
        <f>IF($E1349="","",AD1349-Q1349)</f>
        <v/>
      </c>
      <c r="AI1349" s="7" t="n"/>
      <c r="AL1349" s="11" t="n"/>
      <c r="AN1349">
        <f>IF($E1349="","",IF(COUNTIF($E$2:$E1349,$E1349)=1,1,0))</f>
        <v/>
      </c>
      <c r="AO1349">
        <f>IF($AN1349=1,SUMPRODUCT(--($AR$2:$AR$4001&lt;$AR1349))+1,"")</f>
        <v/>
      </c>
      <c r="AP1349">
        <f>IF($E1349="","",IF(OR($U1349=TRUE(),$U1349="TRUE"),1,0))</f>
        <v/>
      </c>
      <c r="AQ1349">
        <f>IF($E1349="","",IF($AA1349="Yes",1,0))</f>
        <v/>
      </c>
      <c r="AR1349">
        <f>IF($AN1349=1,IFERROR(VALUE(MID($E1349,2,20)),1000000000)+ROW()/100000,"")</f>
        <v/>
      </c>
    </row>
    <row r="1350">
      <c r="G1350" s="11" t="n"/>
      <c r="Q1350" s="7">
        <f>IF($E1350="","",P1350*Y1350/100)</f>
        <v/>
      </c>
      <c r="R1350" s="7" t="n"/>
      <c r="X1350" s="7" t="n"/>
      <c r="Y1350" s="7" t="n"/>
      <c r="AB1350">
        <f>IF($E1350="","",IF($AQ1350=1,0,IF($AP1350=1,Settings!$C$6,Settings!$C$7))*100)</f>
        <v/>
      </c>
      <c r="AC1350" s="7">
        <f>IF($E1350="","",Y1350*AB1350/100)</f>
        <v/>
      </c>
      <c r="AD1350" s="7">
        <f>IF($E1350="","",Y1350-AC1350)</f>
        <v/>
      </c>
      <c r="AE1350" s="7">
        <f>IF($E1350="","",AD1350-Q1350)</f>
        <v/>
      </c>
      <c r="AI1350" s="7" t="n"/>
      <c r="AL1350" s="11" t="n"/>
      <c r="AN1350">
        <f>IF($E1350="","",IF(COUNTIF($E$2:$E1350,$E1350)=1,1,0))</f>
        <v/>
      </c>
      <c r="AO1350">
        <f>IF($AN1350=1,SUMPRODUCT(--($AR$2:$AR$4001&lt;$AR1350))+1,"")</f>
        <v/>
      </c>
      <c r="AP1350">
        <f>IF($E1350="","",IF(OR($U1350=TRUE(),$U1350="TRUE"),1,0))</f>
        <v/>
      </c>
      <c r="AQ1350">
        <f>IF($E1350="","",IF($AA1350="Yes",1,0))</f>
        <v/>
      </c>
      <c r="AR1350">
        <f>IF($AN1350=1,IFERROR(VALUE(MID($E1350,2,20)),1000000000)+ROW()/100000,"")</f>
        <v/>
      </c>
    </row>
    <row r="1351">
      <c r="G1351" s="11" t="n"/>
      <c r="Q1351" s="7">
        <f>IF($E1351="","",P1351*Y1351/100)</f>
        <v/>
      </c>
      <c r="R1351" s="7" t="n"/>
      <c r="X1351" s="7" t="n"/>
      <c r="Y1351" s="7" t="n"/>
      <c r="AB1351">
        <f>IF($E1351="","",IF($AQ1351=1,0,IF($AP1351=1,Settings!$C$6,Settings!$C$7))*100)</f>
        <v/>
      </c>
      <c r="AC1351" s="7">
        <f>IF($E1351="","",Y1351*AB1351/100)</f>
        <v/>
      </c>
      <c r="AD1351" s="7">
        <f>IF($E1351="","",Y1351-AC1351)</f>
        <v/>
      </c>
      <c r="AE1351" s="7">
        <f>IF($E1351="","",AD1351-Q1351)</f>
        <v/>
      </c>
      <c r="AI1351" s="7" t="n"/>
      <c r="AL1351" s="11" t="n"/>
      <c r="AN1351">
        <f>IF($E1351="","",IF(COUNTIF($E$2:$E1351,$E1351)=1,1,0))</f>
        <v/>
      </c>
      <c r="AO1351">
        <f>IF($AN1351=1,SUMPRODUCT(--($AR$2:$AR$4001&lt;$AR1351))+1,"")</f>
        <v/>
      </c>
      <c r="AP1351">
        <f>IF($E1351="","",IF(OR($U1351=TRUE(),$U1351="TRUE"),1,0))</f>
        <v/>
      </c>
      <c r="AQ1351">
        <f>IF($E1351="","",IF($AA1351="Yes",1,0))</f>
        <v/>
      </c>
      <c r="AR1351">
        <f>IF($AN1351=1,IFERROR(VALUE(MID($E1351,2,20)),1000000000)+ROW()/100000,"")</f>
        <v/>
      </c>
    </row>
    <row r="1352">
      <c r="G1352" s="11" t="n"/>
      <c r="Q1352" s="7">
        <f>IF($E1352="","",P1352*Y1352/100)</f>
        <v/>
      </c>
      <c r="R1352" s="7" t="n"/>
      <c r="X1352" s="7" t="n"/>
      <c r="Y1352" s="7" t="n"/>
      <c r="AB1352">
        <f>IF($E1352="","",IF($AQ1352=1,0,IF($AP1352=1,Settings!$C$6,Settings!$C$7))*100)</f>
        <v/>
      </c>
      <c r="AC1352" s="7">
        <f>IF($E1352="","",Y1352*AB1352/100)</f>
        <v/>
      </c>
      <c r="AD1352" s="7">
        <f>IF($E1352="","",Y1352-AC1352)</f>
        <v/>
      </c>
      <c r="AE1352" s="7">
        <f>IF($E1352="","",AD1352-Q1352)</f>
        <v/>
      </c>
      <c r="AI1352" s="7" t="n"/>
      <c r="AL1352" s="11" t="n"/>
      <c r="AN1352">
        <f>IF($E1352="","",IF(COUNTIF($E$2:$E1352,$E1352)=1,1,0))</f>
        <v/>
      </c>
      <c r="AO1352">
        <f>IF($AN1352=1,SUMPRODUCT(--($AR$2:$AR$4001&lt;$AR1352))+1,"")</f>
        <v/>
      </c>
      <c r="AP1352">
        <f>IF($E1352="","",IF(OR($U1352=TRUE(),$U1352="TRUE"),1,0))</f>
        <v/>
      </c>
      <c r="AQ1352">
        <f>IF($E1352="","",IF($AA1352="Yes",1,0))</f>
        <v/>
      </c>
      <c r="AR1352">
        <f>IF($AN1352=1,IFERROR(VALUE(MID($E1352,2,20)),1000000000)+ROW()/100000,"")</f>
        <v/>
      </c>
    </row>
    <row r="1353">
      <c r="G1353" s="11" t="n"/>
      <c r="Q1353" s="7">
        <f>IF($E1353="","",P1353*Y1353/100)</f>
        <v/>
      </c>
      <c r="R1353" s="7" t="n"/>
      <c r="X1353" s="7" t="n"/>
      <c r="Y1353" s="7" t="n"/>
      <c r="AB1353">
        <f>IF($E1353="","",IF($AQ1353=1,0,IF($AP1353=1,Settings!$C$6,Settings!$C$7))*100)</f>
        <v/>
      </c>
      <c r="AC1353" s="7">
        <f>IF($E1353="","",Y1353*AB1353/100)</f>
        <v/>
      </c>
      <c r="AD1353" s="7">
        <f>IF($E1353="","",Y1353-AC1353)</f>
        <v/>
      </c>
      <c r="AE1353" s="7">
        <f>IF($E1353="","",AD1353-Q1353)</f>
        <v/>
      </c>
      <c r="AI1353" s="7" t="n"/>
      <c r="AL1353" s="11" t="n"/>
      <c r="AN1353">
        <f>IF($E1353="","",IF(COUNTIF($E$2:$E1353,$E1353)=1,1,0))</f>
        <v/>
      </c>
      <c r="AO1353">
        <f>IF($AN1353=1,SUMPRODUCT(--($AR$2:$AR$4001&lt;$AR1353))+1,"")</f>
        <v/>
      </c>
      <c r="AP1353">
        <f>IF($E1353="","",IF(OR($U1353=TRUE(),$U1353="TRUE"),1,0))</f>
        <v/>
      </c>
      <c r="AQ1353">
        <f>IF($E1353="","",IF($AA1353="Yes",1,0))</f>
        <v/>
      </c>
      <c r="AR1353">
        <f>IF($AN1353=1,IFERROR(VALUE(MID($E1353,2,20)),1000000000)+ROW()/100000,"")</f>
        <v/>
      </c>
    </row>
    <row r="1354">
      <c r="G1354" s="11" t="n"/>
      <c r="Q1354" s="7">
        <f>IF($E1354="","",P1354*Y1354/100)</f>
        <v/>
      </c>
      <c r="R1354" s="7" t="n"/>
      <c r="X1354" s="7" t="n"/>
      <c r="Y1354" s="7" t="n"/>
      <c r="AB1354">
        <f>IF($E1354="","",IF($AQ1354=1,0,IF($AP1354=1,Settings!$C$6,Settings!$C$7))*100)</f>
        <v/>
      </c>
      <c r="AC1354" s="7">
        <f>IF($E1354="","",Y1354*AB1354/100)</f>
        <v/>
      </c>
      <c r="AD1354" s="7">
        <f>IF($E1354="","",Y1354-AC1354)</f>
        <v/>
      </c>
      <c r="AE1354" s="7">
        <f>IF($E1354="","",AD1354-Q1354)</f>
        <v/>
      </c>
      <c r="AI1354" s="7" t="n"/>
      <c r="AL1354" s="11" t="n"/>
      <c r="AN1354">
        <f>IF($E1354="","",IF(COUNTIF($E$2:$E1354,$E1354)=1,1,0))</f>
        <v/>
      </c>
      <c r="AO1354">
        <f>IF($AN1354=1,SUMPRODUCT(--($AR$2:$AR$4001&lt;$AR1354))+1,"")</f>
        <v/>
      </c>
      <c r="AP1354">
        <f>IF($E1354="","",IF(OR($U1354=TRUE(),$U1354="TRUE"),1,0))</f>
        <v/>
      </c>
      <c r="AQ1354">
        <f>IF($E1354="","",IF($AA1354="Yes",1,0))</f>
        <v/>
      </c>
      <c r="AR1354">
        <f>IF($AN1354=1,IFERROR(VALUE(MID($E1354,2,20)),1000000000)+ROW()/100000,"")</f>
        <v/>
      </c>
    </row>
    <row r="1355">
      <c r="G1355" s="11" t="n"/>
      <c r="Q1355" s="7">
        <f>IF($E1355="","",P1355*Y1355/100)</f>
        <v/>
      </c>
      <c r="R1355" s="7" t="n"/>
      <c r="X1355" s="7" t="n"/>
      <c r="Y1355" s="7" t="n"/>
      <c r="AB1355">
        <f>IF($E1355="","",IF($AQ1355=1,0,IF($AP1355=1,Settings!$C$6,Settings!$C$7))*100)</f>
        <v/>
      </c>
      <c r="AC1355" s="7">
        <f>IF($E1355="","",Y1355*AB1355/100)</f>
        <v/>
      </c>
      <c r="AD1355" s="7">
        <f>IF($E1355="","",Y1355-AC1355)</f>
        <v/>
      </c>
      <c r="AE1355" s="7">
        <f>IF($E1355="","",AD1355-Q1355)</f>
        <v/>
      </c>
      <c r="AI1355" s="7" t="n"/>
      <c r="AL1355" s="11" t="n"/>
      <c r="AN1355">
        <f>IF($E1355="","",IF(COUNTIF($E$2:$E1355,$E1355)=1,1,0))</f>
        <v/>
      </c>
      <c r="AO1355">
        <f>IF($AN1355=1,SUMPRODUCT(--($AR$2:$AR$4001&lt;$AR1355))+1,"")</f>
        <v/>
      </c>
      <c r="AP1355">
        <f>IF($E1355="","",IF(OR($U1355=TRUE(),$U1355="TRUE"),1,0))</f>
        <v/>
      </c>
      <c r="AQ1355">
        <f>IF($E1355="","",IF($AA1355="Yes",1,0))</f>
        <v/>
      </c>
      <c r="AR1355">
        <f>IF($AN1355=1,IFERROR(VALUE(MID($E1355,2,20)),1000000000)+ROW()/100000,"")</f>
        <v/>
      </c>
    </row>
    <row r="1356">
      <c r="G1356" s="11" t="n"/>
      <c r="Q1356" s="7">
        <f>IF($E1356="","",P1356*Y1356/100)</f>
        <v/>
      </c>
      <c r="R1356" s="7" t="n"/>
      <c r="X1356" s="7" t="n"/>
      <c r="Y1356" s="7" t="n"/>
      <c r="AB1356">
        <f>IF($E1356="","",IF($AQ1356=1,0,IF($AP1356=1,Settings!$C$6,Settings!$C$7))*100)</f>
        <v/>
      </c>
      <c r="AC1356" s="7">
        <f>IF($E1356="","",Y1356*AB1356/100)</f>
        <v/>
      </c>
      <c r="AD1356" s="7">
        <f>IF($E1356="","",Y1356-AC1356)</f>
        <v/>
      </c>
      <c r="AE1356" s="7">
        <f>IF($E1356="","",AD1356-Q1356)</f>
        <v/>
      </c>
      <c r="AI1356" s="7" t="n"/>
      <c r="AL1356" s="11" t="n"/>
      <c r="AN1356">
        <f>IF($E1356="","",IF(COUNTIF($E$2:$E1356,$E1356)=1,1,0))</f>
        <v/>
      </c>
      <c r="AO1356">
        <f>IF($AN1356=1,SUMPRODUCT(--($AR$2:$AR$4001&lt;$AR1356))+1,"")</f>
        <v/>
      </c>
      <c r="AP1356">
        <f>IF($E1356="","",IF(OR($U1356=TRUE(),$U1356="TRUE"),1,0))</f>
        <v/>
      </c>
      <c r="AQ1356">
        <f>IF($E1356="","",IF($AA1356="Yes",1,0))</f>
        <v/>
      </c>
      <c r="AR1356">
        <f>IF($AN1356=1,IFERROR(VALUE(MID($E1356,2,20)),1000000000)+ROW()/100000,"")</f>
        <v/>
      </c>
    </row>
    <row r="1357">
      <c r="G1357" s="11" t="n"/>
      <c r="Q1357" s="7">
        <f>IF($E1357="","",P1357*Y1357/100)</f>
        <v/>
      </c>
      <c r="R1357" s="7" t="n"/>
      <c r="X1357" s="7" t="n"/>
      <c r="Y1357" s="7" t="n"/>
      <c r="AB1357">
        <f>IF($E1357="","",IF($AQ1357=1,0,IF($AP1357=1,Settings!$C$6,Settings!$C$7))*100)</f>
        <v/>
      </c>
      <c r="AC1357" s="7">
        <f>IF($E1357="","",Y1357*AB1357/100)</f>
        <v/>
      </c>
      <c r="AD1357" s="7">
        <f>IF($E1357="","",Y1357-AC1357)</f>
        <v/>
      </c>
      <c r="AE1357" s="7">
        <f>IF($E1357="","",AD1357-Q1357)</f>
        <v/>
      </c>
      <c r="AI1357" s="7" t="n"/>
      <c r="AL1357" s="11" t="n"/>
      <c r="AN1357">
        <f>IF($E1357="","",IF(COUNTIF($E$2:$E1357,$E1357)=1,1,0))</f>
        <v/>
      </c>
      <c r="AO1357">
        <f>IF($AN1357=1,SUMPRODUCT(--($AR$2:$AR$4001&lt;$AR1357))+1,"")</f>
        <v/>
      </c>
      <c r="AP1357">
        <f>IF($E1357="","",IF(OR($U1357=TRUE(),$U1357="TRUE"),1,0))</f>
        <v/>
      </c>
      <c r="AQ1357">
        <f>IF($E1357="","",IF($AA1357="Yes",1,0))</f>
        <v/>
      </c>
      <c r="AR1357">
        <f>IF($AN1357=1,IFERROR(VALUE(MID($E1357,2,20)),1000000000)+ROW()/100000,"")</f>
        <v/>
      </c>
    </row>
    <row r="1358">
      <c r="G1358" s="11" t="n"/>
      <c r="Q1358" s="7">
        <f>IF($E1358="","",P1358*Y1358/100)</f>
        <v/>
      </c>
      <c r="R1358" s="7" t="n"/>
      <c r="X1358" s="7" t="n"/>
      <c r="Y1358" s="7" t="n"/>
      <c r="AB1358">
        <f>IF($E1358="","",IF($AQ1358=1,0,IF($AP1358=1,Settings!$C$6,Settings!$C$7))*100)</f>
        <v/>
      </c>
      <c r="AC1358" s="7">
        <f>IF($E1358="","",Y1358*AB1358/100)</f>
        <v/>
      </c>
      <c r="AD1358" s="7">
        <f>IF($E1358="","",Y1358-AC1358)</f>
        <v/>
      </c>
      <c r="AE1358" s="7">
        <f>IF($E1358="","",AD1358-Q1358)</f>
        <v/>
      </c>
      <c r="AI1358" s="7" t="n"/>
      <c r="AL1358" s="11" t="n"/>
      <c r="AN1358">
        <f>IF($E1358="","",IF(COUNTIF($E$2:$E1358,$E1358)=1,1,0))</f>
        <v/>
      </c>
      <c r="AO1358">
        <f>IF($AN1358=1,SUMPRODUCT(--($AR$2:$AR$4001&lt;$AR1358))+1,"")</f>
        <v/>
      </c>
      <c r="AP1358">
        <f>IF($E1358="","",IF(OR($U1358=TRUE(),$U1358="TRUE"),1,0))</f>
        <v/>
      </c>
      <c r="AQ1358">
        <f>IF($E1358="","",IF($AA1358="Yes",1,0))</f>
        <v/>
      </c>
      <c r="AR1358">
        <f>IF($AN1358=1,IFERROR(VALUE(MID($E1358,2,20)),1000000000)+ROW()/100000,"")</f>
        <v/>
      </c>
    </row>
    <row r="1359">
      <c r="G1359" s="11" t="n"/>
      <c r="Q1359" s="7">
        <f>IF($E1359="","",P1359*Y1359/100)</f>
        <v/>
      </c>
      <c r="R1359" s="7" t="n"/>
      <c r="X1359" s="7" t="n"/>
      <c r="Y1359" s="7" t="n"/>
      <c r="AB1359">
        <f>IF($E1359="","",IF($AQ1359=1,0,IF($AP1359=1,Settings!$C$6,Settings!$C$7))*100)</f>
        <v/>
      </c>
      <c r="AC1359" s="7">
        <f>IF($E1359="","",Y1359*AB1359/100)</f>
        <v/>
      </c>
      <c r="AD1359" s="7">
        <f>IF($E1359="","",Y1359-AC1359)</f>
        <v/>
      </c>
      <c r="AE1359" s="7">
        <f>IF($E1359="","",AD1359-Q1359)</f>
        <v/>
      </c>
      <c r="AI1359" s="7" t="n"/>
      <c r="AL1359" s="11" t="n"/>
      <c r="AN1359">
        <f>IF($E1359="","",IF(COUNTIF($E$2:$E1359,$E1359)=1,1,0))</f>
        <v/>
      </c>
      <c r="AO1359">
        <f>IF($AN1359=1,SUMPRODUCT(--($AR$2:$AR$4001&lt;$AR1359))+1,"")</f>
        <v/>
      </c>
      <c r="AP1359">
        <f>IF($E1359="","",IF(OR($U1359=TRUE(),$U1359="TRUE"),1,0))</f>
        <v/>
      </c>
      <c r="AQ1359">
        <f>IF($E1359="","",IF($AA1359="Yes",1,0))</f>
        <v/>
      </c>
      <c r="AR1359">
        <f>IF($AN1359=1,IFERROR(VALUE(MID($E1359,2,20)),1000000000)+ROW()/100000,"")</f>
        <v/>
      </c>
    </row>
    <row r="1360">
      <c r="G1360" s="11" t="n"/>
      <c r="Q1360" s="7">
        <f>IF($E1360="","",P1360*Y1360/100)</f>
        <v/>
      </c>
      <c r="R1360" s="7" t="n"/>
      <c r="X1360" s="7" t="n"/>
      <c r="Y1360" s="7" t="n"/>
      <c r="AB1360">
        <f>IF($E1360="","",IF($AQ1360=1,0,IF($AP1360=1,Settings!$C$6,Settings!$C$7))*100)</f>
        <v/>
      </c>
      <c r="AC1360" s="7">
        <f>IF($E1360="","",Y1360*AB1360/100)</f>
        <v/>
      </c>
      <c r="AD1360" s="7">
        <f>IF($E1360="","",Y1360-AC1360)</f>
        <v/>
      </c>
      <c r="AE1360" s="7">
        <f>IF($E1360="","",AD1360-Q1360)</f>
        <v/>
      </c>
      <c r="AI1360" s="7" t="n"/>
      <c r="AL1360" s="11" t="n"/>
      <c r="AN1360">
        <f>IF($E1360="","",IF(COUNTIF($E$2:$E1360,$E1360)=1,1,0))</f>
        <v/>
      </c>
      <c r="AO1360">
        <f>IF($AN1360=1,SUMPRODUCT(--($AR$2:$AR$4001&lt;$AR1360))+1,"")</f>
        <v/>
      </c>
      <c r="AP1360">
        <f>IF($E1360="","",IF(OR($U1360=TRUE(),$U1360="TRUE"),1,0))</f>
        <v/>
      </c>
      <c r="AQ1360">
        <f>IF($E1360="","",IF($AA1360="Yes",1,0))</f>
        <v/>
      </c>
      <c r="AR1360">
        <f>IF($AN1360=1,IFERROR(VALUE(MID($E1360,2,20)),1000000000)+ROW()/100000,"")</f>
        <v/>
      </c>
    </row>
    <row r="1361">
      <c r="G1361" s="11" t="n"/>
      <c r="Q1361" s="7">
        <f>IF($E1361="","",P1361*Y1361/100)</f>
        <v/>
      </c>
      <c r="R1361" s="7" t="n"/>
      <c r="X1361" s="7" t="n"/>
      <c r="Y1361" s="7" t="n"/>
      <c r="AB1361">
        <f>IF($E1361="","",IF($AQ1361=1,0,IF($AP1361=1,Settings!$C$6,Settings!$C$7))*100)</f>
        <v/>
      </c>
      <c r="AC1361" s="7">
        <f>IF($E1361="","",Y1361*AB1361/100)</f>
        <v/>
      </c>
      <c r="AD1361" s="7">
        <f>IF($E1361="","",Y1361-AC1361)</f>
        <v/>
      </c>
      <c r="AE1361" s="7">
        <f>IF($E1361="","",AD1361-Q1361)</f>
        <v/>
      </c>
      <c r="AI1361" s="7" t="n"/>
      <c r="AL1361" s="11" t="n"/>
      <c r="AN1361">
        <f>IF($E1361="","",IF(COUNTIF($E$2:$E1361,$E1361)=1,1,0))</f>
        <v/>
      </c>
      <c r="AO1361">
        <f>IF($AN1361=1,SUMPRODUCT(--($AR$2:$AR$4001&lt;$AR1361))+1,"")</f>
        <v/>
      </c>
      <c r="AP1361">
        <f>IF($E1361="","",IF(OR($U1361=TRUE(),$U1361="TRUE"),1,0))</f>
        <v/>
      </c>
      <c r="AQ1361">
        <f>IF($E1361="","",IF($AA1361="Yes",1,0))</f>
        <v/>
      </c>
      <c r="AR1361">
        <f>IF($AN1361=1,IFERROR(VALUE(MID($E1361,2,20)),1000000000)+ROW()/100000,"")</f>
        <v/>
      </c>
    </row>
    <row r="1362">
      <c r="G1362" s="11" t="n"/>
      <c r="Q1362" s="7">
        <f>IF($E1362="","",P1362*Y1362/100)</f>
        <v/>
      </c>
      <c r="R1362" s="7" t="n"/>
      <c r="X1362" s="7" t="n"/>
      <c r="Y1362" s="7" t="n"/>
      <c r="AB1362">
        <f>IF($E1362="","",IF($AQ1362=1,0,IF($AP1362=1,Settings!$C$6,Settings!$C$7))*100)</f>
        <v/>
      </c>
      <c r="AC1362" s="7">
        <f>IF($E1362="","",Y1362*AB1362/100)</f>
        <v/>
      </c>
      <c r="AD1362" s="7">
        <f>IF($E1362="","",Y1362-AC1362)</f>
        <v/>
      </c>
      <c r="AE1362" s="7">
        <f>IF($E1362="","",AD1362-Q1362)</f>
        <v/>
      </c>
      <c r="AI1362" s="7" t="n"/>
      <c r="AL1362" s="11" t="n"/>
      <c r="AN1362">
        <f>IF($E1362="","",IF(COUNTIF($E$2:$E1362,$E1362)=1,1,0))</f>
        <v/>
      </c>
      <c r="AO1362">
        <f>IF($AN1362=1,SUMPRODUCT(--($AR$2:$AR$4001&lt;$AR1362))+1,"")</f>
        <v/>
      </c>
      <c r="AP1362">
        <f>IF($E1362="","",IF(OR($U1362=TRUE(),$U1362="TRUE"),1,0))</f>
        <v/>
      </c>
      <c r="AQ1362">
        <f>IF($E1362="","",IF($AA1362="Yes",1,0))</f>
        <v/>
      </c>
      <c r="AR1362">
        <f>IF($AN1362=1,IFERROR(VALUE(MID($E1362,2,20)),1000000000)+ROW()/100000,"")</f>
        <v/>
      </c>
    </row>
    <row r="1363">
      <c r="G1363" s="11" t="n"/>
      <c r="Q1363" s="7">
        <f>IF($E1363="","",P1363*Y1363/100)</f>
        <v/>
      </c>
      <c r="R1363" s="7" t="n"/>
      <c r="X1363" s="7" t="n"/>
      <c r="Y1363" s="7" t="n"/>
      <c r="AB1363">
        <f>IF($E1363="","",IF($AQ1363=1,0,IF($AP1363=1,Settings!$C$6,Settings!$C$7))*100)</f>
        <v/>
      </c>
      <c r="AC1363" s="7">
        <f>IF($E1363="","",Y1363*AB1363/100)</f>
        <v/>
      </c>
      <c r="AD1363" s="7">
        <f>IF($E1363="","",Y1363-AC1363)</f>
        <v/>
      </c>
      <c r="AE1363" s="7">
        <f>IF($E1363="","",AD1363-Q1363)</f>
        <v/>
      </c>
      <c r="AI1363" s="7" t="n"/>
      <c r="AL1363" s="11" t="n"/>
      <c r="AN1363">
        <f>IF($E1363="","",IF(COUNTIF($E$2:$E1363,$E1363)=1,1,0))</f>
        <v/>
      </c>
      <c r="AO1363">
        <f>IF($AN1363=1,SUMPRODUCT(--($AR$2:$AR$4001&lt;$AR1363))+1,"")</f>
        <v/>
      </c>
      <c r="AP1363">
        <f>IF($E1363="","",IF(OR($U1363=TRUE(),$U1363="TRUE"),1,0))</f>
        <v/>
      </c>
      <c r="AQ1363">
        <f>IF($E1363="","",IF($AA1363="Yes",1,0))</f>
        <v/>
      </c>
      <c r="AR1363">
        <f>IF($AN1363=1,IFERROR(VALUE(MID($E1363,2,20)),1000000000)+ROW()/100000,"")</f>
        <v/>
      </c>
    </row>
    <row r="1364">
      <c r="G1364" s="11" t="n"/>
      <c r="Q1364" s="7">
        <f>IF($E1364="","",P1364*Y1364/100)</f>
        <v/>
      </c>
      <c r="R1364" s="7" t="n"/>
      <c r="X1364" s="7" t="n"/>
      <c r="Y1364" s="7" t="n"/>
      <c r="AB1364">
        <f>IF($E1364="","",IF($AQ1364=1,0,IF($AP1364=1,Settings!$C$6,Settings!$C$7))*100)</f>
        <v/>
      </c>
      <c r="AC1364" s="7">
        <f>IF($E1364="","",Y1364*AB1364/100)</f>
        <v/>
      </c>
      <c r="AD1364" s="7">
        <f>IF($E1364="","",Y1364-AC1364)</f>
        <v/>
      </c>
      <c r="AE1364" s="7">
        <f>IF($E1364="","",AD1364-Q1364)</f>
        <v/>
      </c>
      <c r="AI1364" s="7" t="n"/>
      <c r="AL1364" s="11" t="n"/>
      <c r="AN1364">
        <f>IF($E1364="","",IF(COUNTIF($E$2:$E1364,$E1364)=1,1,0))</f>
        <v/>
      </c>
      <c r="AO1364">
        <f>IF($AN1364=1,SUMPRODUCT(--($AR$2:$AR$4001&lt;$AR1364))+1,"")</f>
        <v/>
      </c>
      <c r="AP1364">
        <f>IF($E1364="","",IF(OR($U1364=TRUE(),$U1364="TRUE"),1,0))</f>
        <v/>
      </c>
      <c r="AQ1364">
        <f>IF($E1364="","",IF($AA1364="Yes",1,0))</f>
        <v/>
      </c>
      <c r="AR1364">
        <f>IF($AN1364=1,IFERROR(VALUE(MID($E1364,2,20)),1000000000)+ROW()/100000,"")</f>
        <v/>
      </c>
    </row>
    <row r="1365">
      <c r="G1365" s="11" t="n"/>
      <c r="Q1365" s="7">
        <f>IF($E1365="","",P1365*Y1365/100)</f>
        <v/>
      </c>
      <c r="R1365" s="7" t="n"/>
      <c r="X1365" s="7" t="n"/>
      <c r="Y1365" s="7" t="n"/>
      <c r="AB1365">
        <f>IF($E1365="","",IF($AQ1365=1,0,IF($AP1365=1,Settings!$C$6,Settings!$C$7))*100)</f>
        <v/>
      </c>
      <c r="AC1365" s="7">
        <f>IF($E1365="","",Y1365*AB1365/100)</f>
        <v/>
      </c>
      <c r="AD1365" s="7">
        <f>IF($E1365="","",Y1365-AC1365)</f>
        <v/>
      </c>
      <c r="AE1365" s="7">
        <f>IF($E1365="","",AD1365-Q1365)</f>
        <v/>
      </c>
      <c r="AI1365" s="7" t="n"/>
      <c r="AL1365" s="11" t="n"/>
      <c r="AN1365">
        <f>IF($E1365="","",IF(COUNTIF($E$2:$E1365,$E1365)=1,1,0))</f>
        <v/>
      </c>
      <c r="AO1365">
        <f>IF($AN1365=1,SUMPRODUCT(--($AR$2:$AR$4001&lt;$AR1365))+1,"")</f>
        <v/>
      </c>
      <c r="AP1365">
        <f>IF($E1365="","",IF(OR($U1365=TRUE(),$U1365="TRUE"),1,0))</f>
        <v/>
      </c>
      <c r="AQ1365">
        <f>IF($E1365="","",IF($AA1365="Yes",1,0))</f>
        <v/>
      </c>
      <c r="AR1365">
        <f>IF($AN1365=1,IFERROR(VALUE(MID($E1365,2,20)),1000000000)+ROW()/100000,"")</f>
        <v/>
      </c>
    </row>
    <row r="1366">
      <c r="G1366" s="11" t="n"/>
      <c r="Q1366" s="7">
        <f>IF($E1366="","",P1366*Y1366/100)</f>
        <v/>
      </c>
      <c r="R1366" s="7" t="n"/>
      <c r="X1366" s="7" t="n"/>
      <c r="Y1366" s="7" t="n"/>
      <c r="AB1366">
        <f>IF($E1366="","",IF($AQ1366=1,0,IF($AP1366=1,Settings!$C$6,Settings!$C$7))*100)</f>
        <v/>
      </c>
      <c r="AC1366" s="7">
        <f>IF($E1366="","",Y1366*AB1366/100)</f>
        <v/>
      </c>
      <c r="AD1366" s="7">
        <f>IF($E1366="","",Y1366-AC1366)</f>
        <v/>
      </c>
      <c r="AE1366" s="7">
        <f>IF($E1366="","",AD1366-Q1366)</f>
        <v/>
      </c>
      <c r="AI1366" s="7" t="n"/>
      <c r="AL1366" s="11" t="n"/>
      <c r="AN1366">
        <f>IF($E1366="","",IF(COUNTIF($E$2:$E1366,$E1366)=1,1,0))</f>
        <v/>
      </c>
      <c r="AO1366">
        <f>IF($AN1366=1,SUMPRODUCT(--($AR$2:$AR$4001&lt;$AR1366))+1,"")</f>
        <v/>
      </c>
      <c r="AP1366">
        <f>IF($E1366="","",IF(OR($U1366=TRUE(),$U1366="TRUE"),1,0))</f>
        <v/>
      </c>
      <c r="AQ1366">
        <f>IF($E1366="","",IF($AA1366="Yes",1,0))</f>
        <v/>
      </c>
      <c r="AR1366">
        <f>IF($AN1366=1,IFERROR(VALUE(MID($E1366,2,20)),1000000000)+ROW()/100000,"")</f>
        <v/>
      </c>
    </row>
    <row r="1367">
      <c r="G1367" s="11" t="n"/>
      <c r="Q1367" s="7">
        <f>IF($E1367="","",P1367*Y1367/100)</f>
        <v/>
      </c>
      <c r="R1367" s="7" t="n"/>
      <c r="X1367" s="7" t="n"/>
      <c r="Y1367" s="7" t="n"/>
      <c r="AB1367">
        <f>IF($E1367="","",IF($AQ1367=1,0,IF($AP1367=1,Settings!$C$6,Settings!$C$7))*100)</f>
        <v/>
      </c>
      <c r="AC1367" s="7">
        <f>IF($E1367="","",Y1367*AB1367/100)</f>
        <v/>
      </c>
      <c r="AD1367" s="7">
        <f>IF($E1367="","",Y1367-AC1367)</f>
        <v/>
      </c>
      <c r="AE1367" s="7">
        <f>IF($E1367="","",AD1367-Q1367)</f>
        <v/>
      </c>
      <c r="AI1367" s="7" t="n"/>
      <c r="AL1367" s="11" t="n"/>
      <c r="AN1367">
        <f>IF($E1367="","",IF(COUNTIF($E$2:$E1367,$E1367)=1,1,0))</f>
        <v/>
      </c>
      <c r="AO1367">
        <f>IF($AN1367=1,SUMPRODUCT(--($AR$2:$AR$4001&lt;$AR1367))+1,"")</f>
        <v/>
      </c>
      <c r="AP1367">
        <f>IF($E1367="","",IF(OR($U1367=TRUE(),$U1367="TRUE"),1,0))</f>
        <v/>
      </c>
      <c r="AQ1367">
        <f>IF($E1367="","",IF($AA1367="Yes",1,0))</f>
        <v/>
      </c>
      <c r="AR1367">
        <f>IF($AN1367=1,IFERROR(VALUE(MID($E1367,2,20)),1000000000)+ROW()/100000,"")</f>
        <v/>
      </c>
    </row>
    <row r="1368">
      <c r="G1368" s="11" t="n"/>
      <c r="Q1368" s="7">
        <f>IF($E1368="","",P1368*Y1368/100)</f>
        <v/>
      </c>
      <c r="R1368" s="7" t="n"/>
      <c r="X1368" s="7" t="n"/>
      <c r="Y1368" s="7" t="n"/>
      <c r="AB1368">
        <f>IF($E1368="","",IF($AQ1368=1,0,IF($AP1368=1,Settings!$C$6,Settings!$C$7))*100)</f>
        <v/>
      </c>
      <c r="AC1368" s="7">
        <f>IF($E1368="","",Y1368*AB1368/100)</f>
        <v/>
      </c>
      <c r="AD1368" s="7">
        <f>IF($E1368="","",Y1368-AC1368)</f>
        <v/>
      </c>
      <c r="AE1368" s="7">
        <f>IF($E1368="","",AD1368-Q1368)</f>
        <v/>
      </c>
      <c r="AI1368" s="7" t="n"/>
      <c r="AL1368" s="11" t="n"/>
      <c r="AN1368">
        <f>IF($E1368="","",IF(COUNTIF($E$2:$E1368,$E1368)=1,1,0))</f>
        <v/>
      </c>
      <c r="AO1368">
        <f>IF($AN1368=1,SUMPRODUCT(--($AR$2:$AR$4001&lt;$AR1368))+1,"")</f>
        <v/>
      </c>
      <c r="AP1368">
        <f>IF($E1368="","",IF(OR($U1368=TRUE(),$U1368="TRUE"),1,0))</f>
        <v/>
      </c>
      <c r="AQ1368">
        <f>IF($E1368="","",IF($AA1368="Yes",1,0))</f>
        <v/>
      </c>
      <c r="AR1368">
        <f>IF($AN1368=1,IFERROR(VALUE(MID($E1368,2,20)),1000000000)+ROW()/100000,"")</f>
        <v/>
      </c>
    </row>
    <row r="1369">
      <c r="G1369" s="11" t="n"/>
      <c r="Q1369" s="7">
        <f>IF($E1369="","",P1369*Y1369/100)</f>
        <v/>
      </c>
      <c r="R1369" s="7" t="n"/>
      <c r="X1369" s="7" t="n"/>
      <c r="Y1369" s="7" t="n"/>
      <c r="AB1369">
        <f>IF($E1369="","",IF($AQ1369=1,0,IF($AP1369=1,Settings!$C$6,Settings!$C$7))*100)</f>
        <v/>
      </c>
      <c r="AC1369" s="7">
        <f>IF($E1369="","",Y1369*AB1369/100)</f>
        <v/>
      </c>
      <c r="AD1369" s="7">
        <f>IF($E1369="","",Y1369-AC1369)</f>
        <v/>
      </c>
      <c r="AE1369" s="7">
        <f>IF($E1369="","",AD1369-Q1369)</f>
        <v/>
      </c>
      <c r="AI1369" s="7" t="n"/>
      <c r="AL1369" s="11" t="n"/>
      <c r="AN1369">
        <f>IF($E1369="","",IF(COUNTIF($E$2:$E1369,$E1369)=1,1,0))</f>
        <v/>
      </c>
      <c r="AO1369">
        <f>IF($AN1369=1,SUMPRODUCT(--($AR$2:$AR$4001&lt;$AR1369))+1,"")</f>
        <v/>
      </c>
      <c r="AP1369">
        <f>IF($E1369="","",IF(OR($U1369=TRUE(),$U1369="TRUE"),1,0))</f>
        <v/>
      </c>
      <c r="AQ1369">
        <f>IF($E1369="","",IF($AA1369="Yes",1,0))</f>
        <v/>
      </c>
      <c r="AR1369">
        <f>IF($AN1369=1,IFERROR(VALUE(MID($E1369,2,20)),1000000000)+ROW()/100000,"")</f>
        <v/>
      </c>
    </row>
    <row r="1370">
      <c r="G1370" s="11" t="n"/>
      <c r="Q1370" s="7">
        <f>IF($E1370="","",P1370*Y1370/100)</f>
        <v/>
      </c>
      <c r="R1370" s="7" t="n"/>
      <c r="X1370" s="7" t="n"/>
      <c r="Y1370" s="7" t="n"/>
      <c r="AB1370">
        <f>IF($E1370="","",IF($AQ1370=1,0,IF($AP1370=1,Settings!$C$6,Settings!$C$7))*100)</f>
        <v/>
      </c>
      <c r="AC1370" s="7">
        <f>IF($E1370="","",Y1370*AB1370/100)</f>
        <v/>
      </c>
      <c r="AD1370" s="7">
        <f>IF($E1370="","",Y1370-AC1370)</f>
        <v/>
      </c>
      <c r="AE1370" s="7">
        <f>IF($E1370="","",AD1370-Q1370)</f>
        <v/>
      </c>
      <c r="AI1370" s="7" t="n"/>
      <c r="AL1370" s="11" t="n"/>
      <c r="AN1370">
        <f>IF($E1370="","",IF(COUNTIF($E$2:$E1370,$E1370)=1,1,0))</f>
        <v/>
      </c>
      <c r="AO1370">
        <f>IF($AN1370=1,SUMPRODUCT(--($AR$2:$AR$4001&lt;$AR1370))+1,"")</f>
        <v/>
      </c>
      <c r="AP1370">
        <f>IF($E1370="","",IF(OR($U1370=TRUE(),$U1370="TRUE"),1,0))</f>
        <v/>
      </c>
      <c r="AQ1370">
        <f>IF($E1370="","",IF($AA1370="Yes",1,0))</f>
        <v/>
      </c>
      <c r="AR1370">
        <f>IF($AN1370=1,IFERROR(VALUE(MID($E1370,2,20)),1000000000)+ROW()/100000,"")</f>
        <v/>
      </c>
    </row>
    <row r="1371">
      <c r="G1371" s="11" t="n"/>
      <c r="Q1371" s="7">
        <f>IF($E1371="","",P1371*Y1371/100)</f>
        <v/>
      </c>
      <c r="R1371" s="7" t="n"/>
      <c r="X1371" s="7" t="n"/>
      <c r="Y1371" s="7" t="n"/>
      <c r="AB1371">
        <f>IF($E1371="","",IF($AQ1371=1,0,IF($AP1371=1,Settings!$C$6,Settings!$C$7))*100)</f>
        <v/>
      </c>
      <c r="AC1371" s="7">
        <f>IF($E1371="","",Y1371*AB1371/100)</f>
        <v/>
      </c>
      <c r="AD1371" s="7">
        <f>IF($E1371="","",Y1371-AC1371)</f>
        <v/>
      </c>
      <c r="AE1371" s="7">
        <f>IF($E1371="","",AD1371-Q1371)</f>
        <v/>
      </c>
      <c r="AI1371" s="7" t="n"/>
      <c r="AL1371" s="11" t="n"/>
      <c r="AN1371">
        <f>IF($E1371="","",IF(COUNTIF($E$2:$E1371,$E1371)=1,1,0))</f>
        <v/>
      </c>
      <c r="AO1371">
        <f>IF($AN1371=1,SUMPRODUCT(--($AR$2:$AR$4001&lt;$AR1371))+1,"")</f>
        <v/>
      </c>
      <c r="AP1371">
        <f>IF($E1371="","",IF(OR($U1371=TRUE(),$U1371="TRUE"),1,0))</f>
        <v/>
      </c>
      <c r="AQ1371">
        <f>IF($E1371="","",IF($AA1371="Yes",1,0))</f>
        <v/>
      </c>
      <c r="AR1371">
        <f>IF($AN1371=1,IFERROR(VALUE(MID($E1371,2,20)),1000000000)+ROW()/100000,"")</f>
        <v/>
      </c>
    </row>
    <row r="1372">
      <c r="G1372" s="11" t="n"/>
      <c r="Q1372" s="7">
        <f>IF($E1372="","",P1372*Y1372/100)</f>
        <v/>
      </c>
      <c r="R1372" s="7" t="n"/>
      <c r="X1372" s="7" t="n"/>
      <c r="Y1372" s="7" t="n"/>
      <c r="AB1372">
        <f>IF($E1372="","",IF($AQ1372=1,0,IF($AP1372=1,Settings!$C$6,Settings!$C$7))*100)</f>
        <v/>
      </c>
      <c r="AC1372" s="7">
        <f>IF($E1372="","",Y1372*AB1372/100)</f>
        <v/>
      </c>
      <c r="AD1372" s="7">
        <f>IF($E1372="","",Y1372-AC1372)</f>
        <v/>
      </c>
      <c r="AE1372" s="7">
        <f>IF($E1372="","",AD1372-Q1372)</f>
        <v/>
      </c>
      <c r="AI1372" s="7" t="n"/>
      <c r="AL1372" s="11" t="n"/>
      <c r="AN1372">
        <f>IF($E1372="","",IF(COUNTIF($E$2:$E1372,$E1372)=1,1,0))</f>
        <v/>
      </c>
      <c r="AO1372">
        <f>IF($AN1372=1,SUMPRODUCT(--($AR$2:$AR$4001&lt;$AR1372))+1,"")</f>
        <v/>
      </c>
      <c r="AP1372">
        <f>IF($E1372="","",IF(OR($U1372=TRUE(),$U1372="TRUE"),1,0))</f>
        <v/>
      </c>
      <c r="AQ1372">
        <f>IF($E1372="","",IF($AA1372="Yes",1,0))</f>
        <v/>
      </c>
      <c r="AR1372">
        <f>IF($AN1372=1,IFERROR(VALUE(MID($E1372,2,20)),1000000000)+ROW()/100000,"")</f>
        <v/>
      </c>
    </row>
    <row r="1373">
      <c r="G1373" s="11" t="n"/>
      <c r="Q1373" s="7">
        <f>IF($E1373="","",P1373*Y1373/100)</f>
        <v/>
      </c>
      <c r="R1373" s="7" t="n"/>
      <c r="X1373" s="7" t="n"/>
      <c r="Y1373" s="7" t="n"/>
      <c r="AB1373">
        <f>IF($E1373="","",IF($AQ1373=1,0,IF($AP1373=1,Settings!$C$6,Settings!$C$7))*100)</f>
        <v/>
      </c>
      <c r="AC1373" s="7">
        <f>IF($E1373="","",Y1373*AB1373/100)</f>
        <v/>
      </c>
      <c r="AD1373" s="7">
        <f>IF($E1373="","",Y1373-AC1373)</f>
        <v/>
      </c>
      <c r="AE1373" s="7">
        <f>IF($E1373="","",AD1373-Q1373)</f>
        <v/>
      </c>
      <c r="AI1373" s="7" t="n"/>
      <c r="AL1373" s="11" t="n"/>
      <c r="AN1373">
        <f>IF($E1373="","",IF(COUNTIF($E$2:$E1373,$E1373)=1,1,0))</f>
        <v/>
      </c>
      <c r="AO1373">
        <f>IF($AN1373=1,SUMPRODUCT(--($AR$2:$AR$4001&lt;$AR1373))+1,"")</f>
        <v/>
      </c>
      <c r="AP1373">
        <f>IF($E1373="","",IF(OR($U1373=TRUE(),$U1373="TRUE"),1,0))</f>
        <v/>
      </c>
      <c r="AQ1373">
        <f>IF($E1373="","",IF($AA1373="Yes",1,0))</f>
        <v/>
      </c>
      <c r="AR1373">
        <f>IF($AN1373=1,IFERROR(VALUE(MID($E1373,2,20)),1000000000)+ROW()/100000,"")</f>
        <v/>
      </c>
    </row>
    <row r="1374">
      <c r="G1374" s="11" t="n"/>
      <c r="Q1374" s="7">
        <f>IF($E1374="","",P1374*Y1374/100)</f>
        <v/>
      </c>
      <c r="R1374" s="7" t="n"/>
      <c r="X1374" s="7" t="n"/>
      <c r="Y1374" s="7" t="n"/>
      <c r="AB1374">
        <f>IF($E1374="","",IF($AQ1374=1,0,IF($AP1374=1,Settings!$C$6,Settings!$C$7))*100)</f>
        <v/>
      </c>
      <c r="AC1374" s="7">
        <f>IF($E1374="","",Y1374*AB1374/100)</f>
        <v/>
      </c>
      <c r="AD1374" s="7">
        <f>IF($E1374="","",Y1374-AC1374)</f>
        <v/>
      </c>
      <c r="AE1374" s="7">
        <f>IF($E1374="","",AD1374-Q1374)</f>
        <v/>
      </c>
      <c r="AI1374" s="7" t="n"/>
      <c r="AL1374" s="11" t="n"/>
      <c r="AN1374">
        <f>IF($E1374="","",IF(COUNTIF($E$2:$E1374,$E1374)=1,1,0))</f>
        <v/>
      </c>
      <c r="AO1374">
        <f>IF($AN1374=1,SUMPRODUCT(--($AR$2:$AR$4001&lt;$AR1374))+1,"")</f>
        <v/>
      </c>
      <c r="AP1374">
        <f>IF($E1374="","",IF(OR($U1374=TRUE(),$U1374="TRUE"),1,0))</f>
        <v/>
      </c>
      <c r="AQ1374">
        <f>IF($E1374="","",IF($AA1374="Yes",1,0))</f>
        <v/>
      </c>
      <c r="AR1374">
        <f>IF($AN1374=1,IFERROR(VALUE(MID($E1374,2,20)),1000000000)+ROW()/100000,"")</f>
        <v/>
      </c>
    </row>
    <row r="1375">
      <c r="G1375" s="11" t="n"/>
      <c r="Q1375" s="7">
        <f>IF($E1375="","",P1375*Y1375/100)</f>
        <v/>
      </c>
      <c r="R1375" s="7" t="n"/>
      <c r="X1375" s="7" t="n"/>
      <c r="Y1375" s="7" t="n"/>
      <c r="AB1375">
        <f>IF($E1375="","",IF($AQ1375=1,0,IF($AP1375=1,Settings!$C$6,Settings!$C$7))*100)</f>
        <v/>
      </c>
      <c r="AC1375" s="7">
        <f>IF($E1375="","",Y1375*AB1375/100)</f>
        <v/>
      </c>
      <c r="AD1375" s="7">
        <f>IF($E1375="","",Y1375-AC1375)</f>
        <v/>
      </c>
      <c r="AE1375" s="7">
        <f>IF($E1375="","",AD1375-Q1375)</f>
        <v/>
      </c>
      <c r="AI1375" s="7" t="n"/>
      <c r="AL1375" s="11" t="n"/>
      <c r="AN1375">
        <f>IF($E1375="","",IF(COUNTIF($E$2:$E1375,$E1375)=1,1,0))</f>
        <v/>
      </c>
      <c r="AO1375">
        <f>IF($AN1375=1,SUMPRODUCT(--($AR$2:$AR$4001&lt;$AR1375))+1,"")</f>
        <v/>
      </c>
      <c r="AP1375">
        <f>IF($E1375="","",IF(OR($U1375=TRUE(),$U1375="TRUE"),1,0))</f>
        <v/>
      </c>
      <c r="AQ1375">
        <f>IF($E1375="","",IF($AA1375="Yes",1,0))</f>
        <v/>
      </c>
      <c r="AR1375">
        <f>IF($AN1375=1,IFERROR(VALUE(MID($E1375,2,20)),1000000000)+ROW()/100000,"")</f>
        <v/>
      </c>
    </row>
    <row r="1376">
      <c r="G1376" s="11" t="n"/>
      <c r="Q1376" s="7">
        <f>IF($E1376="","",P1376*Y1376/100)</f>
        <v/>
      </c>
      <c r="R1376" s="7" t="n"/>
      <c r="X1376" s="7" t="n"/>
      <c r="Y1376" s="7" t="n"/>
      <c r="AB1376">
        <f>IF($E1376="","",IF($AQ1376=1,0,IF($AP1376=1,Settings!$C$6,Settings!$C$7))*100)</f>
        <v/>
      </c>
      <c r="AC1376" s="7">
        <f>IF($E1376="","",Y1376*AB1376/100)</f>
        <v/>
      </c>
      <c r="AD1376" s="7">
        <f>IF($E1376="","",Y1376-AC1376)</f>
        <v/>
      </c>
      <c r="AE1376" s="7">
        <f>IF($E1376="","",AD1376-Q1376)</f>
        <v/>
      </c>
      <c r="AI1376" s="7" t="n"/>
      <c r="AL1376" s="11" t="n"/>
      <c r="AN1376">
        <f>IF($E1376="","",IF(COUNTIF($E$2:$E1376,$E1376)=1,1,0))</f>
        <v/>
      </c>
      <c r="AO1376">
        <f>IF($AN1376=1,SUMPRODUCT(--($AR$2:$AR$4001&lt;$AR1376))+1,"")</f>
        <v/>
      </c>
      <c r="AP1376">
        <f>IF($E1376="","",IF(OR($U1376=TRUE(),$U1376="TRUE"),1,0))</f>
        <v/>
      </c>
      <c r="AQ1376">
        <f>IF($E1376="","",IF($AA1376="Yes",1,0))</f>
        <v/>
      </c>
      <c r="AR1376">
        <f>IF($AN1376=1,IFERROR(VALUE(MID($E1376,2,20)),1000000000)+ROW()/100000,"")</f>
        <v/>
      </c>
    </row>
    <row r="1377">
      <c r="G1377" s="11" t="n"/>
      <c r="Q1377" s="7">
        <f>IF($E1377="","",P1377*Y1377/100)</f>
        <v/>
      </c>
      <c r="R1377" s="7" t="n"/>
      <c r="X1377" s="7" t="n"/>
      <c r="Y1377" s="7" t="n"/>
      <c r="AB1377">
        <f>IF($E1377="","",IF($AQ1377=1,0,IF($AP1377=1,Settings!$C$6,Settings!$C$7))*100)</f>
        <v/>
      </c>
      <c r="AC1377" s="7">
        <f>IF($E1377="","",Y1377*AB1377/100)</f>
        <v/>
      </c>
      <c r="AD1377" s="7">
        <f>IF($E1377="","",Y1377-AC1377)</f>
        <v/>
      </c>
      <c r="AE1377" s="7">
        <f>IF($E1377="","",AD1377-Q1377)</f>
        <v/>
      </c>
      <c r="AI1377" s="7" t="n"/>
      <c r="AL1377" s="11" t="n"/>
      <c r="AN1377">
        <f>IF($E1377="","",IF(COUNTIF($E$2:$E1377,$E1377)=1,1,0))</f>
        <v/>
      </c>
      <c r="AO1377">
        <f>IF($AN1377=1,SUMPRODUCT(--($AR$2:$AR$4001&lt;$AR1377))+1,"")</f>
        <v/>
      </c>
      <c r="AP1377">
        <f>IF($E1377="","",IF(OR($U1377=TRUE(),$U1377="TRUE"),1,0))</f>
        <v/>
      </c>
      <c r="AQ1377">
        <f>IF($E1377="","",IF($AA1377="Yes",1,0))</f>
        <v/>
      </c>
      <c r="AR1377">
        <f>IF($AN1377=1,IFERROR(VALUE(MID($E1377,2,20)),1000000000)+ROW()/100000,"")</f>
        <v/>
      </c>
    </row>
    <row r="1378">
      <c r="G1378" s="11" t="n"/>
      <c r="Q1378" s="7">
        <f>IF($E1378="","",P1378*Y1378/100)</f>
        <v/>
      </c>
      <c r="R1378" s="7" t="n"/>
      <c r="X1378" s="7" t="n"/>
      <c r="Y1378" s="7" t="n"/>
      <c r="AB1378">
        <f>IF($E1378="","",IF($AQ1378=1,0,IF($AP1378=1,Settings!$C$6,Settings!$C$7))*100)</f>
        <v/>
      </c>
      <c r="AC1378" s="7">
        <f>IF($E1378="","",Y1378*AB1378/100)</f>
        <v/>
      </c>
      <c r="AD1378" s="7">
        <f>IF($E1378="","",Y1378-AC1378)</f>
        <v/>
      </c>
      <c r="AE1378" s="7">
        <f>IF($E1378="","",AD1378-Q1378)</f>
        <v/>
      </c>
      <c r="AI1378" s="7" t="n"/>
      <c r="AL1378" s="11" t="n"/>
      <c r="AN1378">
        <f>IF($E1378="","",IF(COUNTIF($E$2:$E1378,$E1378)=1,1,0))</f>
        <v/>
      </c>
      <c r="AO1378">
        <f>IF($AN1378=1,SUMPRODUCT(--($AR$2:$AR$4001&lt;$AR1378))+1,"")</f>
        <v/>
      </c>
      <c r="AP1378">
        <f>IF($E1378="","",IF(OR($U1378=TRUE(),$U1378="TRUE"),1,0))</f>
        <v/>
      </c>
      <c r="AQ1378">
        <f>IF($E1378="","",IF($AA1378="Yes",1,0))</f>
        <v/>
      </c>
      <c r="AR1378">
        <f>IF($AN1378=1,IFERROR(VALUE(MID($E1378,2,20)),1000000000)+ROW()/100000,"")</f>
        <v/>
      </c>
    </row>
    <row r="1379">
      <c r="G1379" s="11" t="n"/>
      <c r="Q1379" s="7">
        <f>IF($E1379="","",P1379*Y1379/100)</f>
        <v/>
      </c>
      <c r="R1379" s="7" t="n"/>
      <c r="X1379" s="7" t="n"/>
      <c r="Y1379" s="7" t="n"/>
      <c r="AB1379">
        <f>IF($E1379="","",IF($AQ1379=1,0,IF($AP1379=1,Settings!$C$6,Settings!$C$7))*100)</f>
        <v/>
      </c>
      <c r="AC1379" s="7">
        <f>IF($E1379="","",Y1379*AB1379/100)</f>
        <v/>
      </c>
      <c r="AD1379" s="7">
        <f>IF($E1379="","",Y1379-AC1379)</f>
        <v/>
      </c>
      <c r="AE1379" s="7">
        <f>IF($E1379="","",AD1379-Q1379)</f>
        <v/>
      </c>
      <c r="AI1379" s="7" t="n"/>
      <c r="AL1379" s="11" t="n"/>
      <c r="AN1379">
        <f>IF($E1379="","",IF(COUNTIF($E$2:$E1379,$E1379)=1,1,0))</f>
        <v/>
      </c>
      <c r="AO1379">
        <f>IF($AN1379=1,SUMPRODUCT(--($AR$2:$AR$4001&lt;$AR1379))+1,"")</f>
        <v/>
      </c>
      <c r="AP1379">
        <f>IF($E1379="","",IF(OR($U1379=TRUE(),$U1379="TRUE"),1,0))</f>
        <v/>
      </c>
      <c r="AQ1379">
        <f>IF($E1379="","",IF($AA1379="Yes",1,0))</f>
        <v/>
      </c>
      <c r="AR1379">
        <f>IF($AN1379=1,IFERROR(VALUE(MID($E1379,2,20)),1000000000)+ROW()/100000,"")</f>
        <v/>
      </c>
    </row>
    <row r="1380">
      <c r="G1380" s="11" t="n"/>
      <c r="Q1380" s="7">
        <f>IF($E1380="","",P1380*Y1380/100)</f>
        <v/>
      </c>
      <c r="R1380" s="7" t="n"/>
      <c r="X1380" s="7" t="n"/>
      <c r="Y1380" s="7" t="n"/>
      <c r="AB1380">
        <f>IF($E1380="","",IF($AQ1380=1,0,IF($AP1380=1,Settings!$C$6,Settings!$C$7))*100)</f>
        <v/>
      </c>
      <c r="AC1380" s="7">
        <f>IF($E1380="","",Y1380*AB1380/100)</f>
        <v/>
      </c>
      <c r="AD1380" s="7">
        <f>IF($E1380="","",Y1380-AC1380)</f>
        <v/>
      </c>
      <c r="AE1380" s="7">
        <f>IF($E1380="","",AD1380-Q1380)</f>
        <v/>
      </c>
      <c r="AI1380" s="7" t="n"/>
      <c r="AL1380" s="11" t="n"/>
      <c r="AN1380">
        <f>IF($E1380="","",IF(COUNTIF($E$2:$E1380,$E1380)=1,1,0))</f>
        <v/>
      </c>
      <c r="AO1380">
        <f>IF($AN1380=1,SUMPRODUCT(--($AR$2:$AR$4001&lt;$AR1380))+1,"")</f>
        <v/>
      </c>
      <c r="AP1380">
        <f>IF($E1380="","",IF(OR($U1380=TRUE(),$U1380="TRUE"),1,0))</f>
        <v/>
      </c>
      <c r="AQ1380">
        <f>IF($E1380="","",IF($AA1380="Yes",1,0))</f>
        <v/>
      </c>
      <c r="AR1380">
        <f>IF($AN1380=1,IFERROR(VALUE(MID($E1380,2,20)),1000000000)+ROW()/100000,"")</f>
        <v/>
      </c>
    </row>
    <row r="1381">
      <c r="G1381" s="11" t="n"/>
      <c r="Q1381" s="7">
        <f>IF($E1381="","",P1381*Y1381/100)</f>
        <v/>
      </c>
      <c r="R1381" s="7" t="n"/>
      <c r="X1381" s="7" t="n"/>
      <c r="Y1381" s="7" t="n"/>
      <c r="AB1381">
        <f>IF($E1381="","",IF($AQ1381=1,0,IF($AP1381=1,Settings!$C$6,Settings!$C$7))*100)</f>
        <v/>
      </c>
      <c r="AC1381" s="7">
        <f>IF($E1381="","",Y1381*AB1381/100)</f>
        <v/>
      </c>
      <c r="AD1381" s="7">
        <f>IF($E1381="","",Y1381-AC1381)</f>
        <v/>
      </c>
      <c r="AE1381" s="7">
        <f>IF($E1381="","",AD1381-Q1381)</f>
        <v/>
      </c>
      <c r="AI1381" s="7" t="n"/>
      <c r="AL1381" s="11" t="n"/>
      <c r="AN1381">
        <f>IF($E1381="","",IF(COUNTIF($E$2:$E1381,$E1381)=1,1,0))</f>
        <v/>
      </c>
      <c r="AO1381">
        <f>IF($AN1381=1,SUMPRODUCT(--($AR$2:$AR$4001&lt;$AR1381))+1,"")</f>
        <v/>
      </c>
      <c r="AP1381">
        <f>IF($E1381="","",IF(OR($U1381=TRUE(),$U1381="TRUE"),1,0))</f>
        <v/>
      </c>
      <c r="AQ1381">
        <f>IF($E1381="","",IF($AA1381="Yes",1,0))</f>
        <v/>
      </c>
      <c r="AR1381">
        <f>IF($AN1381=1,IFERROR(VALUE(MID($E1381,2,20)),1000000000)+ROW()/100000,"")</f>
        <v/>
      </c>
    </row>
    <row r="1382">
      <c r="G1382" s="11" t="n"/>
      <c r="Q1382" s="7">
        <f>IF($E1382="","",P1382*Y1382/100)</f>
        <v/>
      </c>
      <c r="R1382" s="7" t="n"/>
      <c r="X1382" s="7" t="n"/>
      <c r="Y1382" s="7" t="n"/>
      <c r="AB1382">
        <f>IF($E1382="","",IF($AQ1382=1,0,IF($AP1382=1,Settings!$C$6,Settings!$C$7))*100)</f>
        <v/>
      </c>
      <c r="AC1382" s="7">
        <f>IF($E1382="","",Y1382*AB1382/100)</f>
        <v/>
      </c>
      <c r="AD1382" s="7">
        <f>IF($E1382="","",Y1382-AC1382)</f>
        <v/>
      </c>
      <c r="AE1382" s="7">
        <f>IF($E1382="","",AD1382-Q1382)</f>
        <v/>
      </c>
      <c r="AI1382" s="7" t="n"/>
      <c r="AL1382" s="11" t="n"/>
      <c r="AN1382">
        <f>IF($E1382="","",IF(COUNTIF($E$2:$E1382,$E1382)=1,1,0))</f>
        <v/>
      </c>
      <c r="AO1382">
        <f>IF($AN1382=1,SUMPRODUCT(--($AR$2:$AR$4001&lt;$AR1382))+1,"")</f>
        <v/>
      </c>
      <c r="AP1382">
        <f>IF($E1382="","",IF(OR($U1382=TRUE(),$U1382="TRUE"),1,0))</f>
        <v/>
      </c>
      <c r="AQ1382">
        <f>IF($E1382="","",IF($AA1382="Yes",1,0))</f>
        <v/>
      </c>
      <c r="AR1382">
        <f>IF($AN1382=1,IFERROR(VALUE(MID($E1382,2,20)),1000000000)+ROW()/100000,"")</f>
        <v/>
      </c>
    </row>
    <row r="1383">
      <c r="G1383" s="11" t="n"/>
      <c r="Q1383" s="7">
        <f>IF($E1383="","",P1383*Y1383/100)</f>
        <v/>
      </c>
      <c r="R1383" s="7" t="n"/>
      <c r="X1383" s="7" t="n"/>
      <c r="Y1383" s="7" t="n"/>
      <c r="AB1383">
        <f>IF($E1383="","",IF($AQ1383=1,0,IF($AP1383=1,Settings!$C$6,Settings!$C$7))*100)</f>
        <v/>
      </c>
      <c r="AC1383" s="7">
        <f>IF($E1383="","",Y1383*AB1383/100)</f>
        <v/>
      </c>
      <c r="AD1383" s="7">
        <f>IF($E1383="","",Y1383-AC1383)</f>
        <v/>
      </c>
      <c r="AE1383" s="7">
        <f>IF($E1383="","",AD1383-Q1383)</f>
        <v/>
      </c>
      <c r="AI1383" s="7" t="n"/>
      <c r="AL1383" s="11" t="n"/>
      <c r="AN1383">
        <f>IF($E1383="","",IF(COUNTIF($E$2:$E1383,$E1383)=1,1,0))</f>
        <v/>
      </c>
      <c r="AO1383">
        <f>IF($AN1383=1,SUMPRODUCT(--($AR$2:$AR$4001&lt;$AR1383))+1,"")</f>
        <v/>
      </c>
      <c r="AP1383">
        <f>IF($E1383="","",IF(OR($U1383=TRUE(),$U1383="TRUE"),1,0))</f>
        <v/>
      </c>
      <c r="AQ1383">
        <f>IF($E1383="","",IF($AA1383="Yes",1,0))</f>
        <v/>
      </c>
      <c r="AR1383">
        <f>IF($AN1383=1,IFERROR(VALUE(MID($E1383,2,20)),1000000000)+ROW()/100000,"")</f>
        <v/>
      </c>
    </row>
    <row r="1384">
      <c r="G1384" s="11" t="n"/>
      <c r="Q1384" s="7">
        <f>IF($E1384="","",P1384*Y1384/100)</f>
        <v/>
      </c>
      <c r="R1384" s="7" t="n"/>
      <c r="X1384" s="7" t="n"/>
      <c r="Y1384" s="7" t="n"/>
      <c r="AB1384">
        <f>IF($E1384="","",IF($AQ1384=1,0,IF($AP1384=1,Settings!$C$6,Settings!$C$7))*100)</f>
        <v/>
      </c>
      <c r="AC1384" s="7">
        <f>IF($E1384="","",Y1384*AB1384/100)</f>
        <v/>
      </c>
      <c r="AD1384" s="7">
        <f>IF($E1384="","",Y1384-AC1384)</f>
        <v/>
      </c>
      <c r="AE1384" s="7">
        <f>IF($E1384="","",AD1384-Q1384)</f>
        <v/>
      </c>
      <c r="AI1384" s="7" t="n"/>
      <c r="AL1384" s="11" t="n"/>
      <c r="AN1384">
        <f>IF($E1384="","",IF(COUNTIF($E$2:$E1384,$E1384)=1,1,0))</f>
        <v/>
      </c>
      <c r="AO1384">
        <f>IF($AN1384=1,SUMPRODUCT(--($AR$2:$AR$4001&lt;$AR1384))+1,"")</f>
        <v/>
      </c>
      <c r="AP1384">
        <f>IF($E1384="","",IF(OR($U1384=TRUE(),$U1384="TRUE"),1,0))</f>
        <v/>
      </c>
      <c r="AQ1384">
        <f>IF($E1384="","",IF($AA1384="Yes",1,0))</f>
        <v/>
      </c>
      <c r="AR1384">
        <f>IF($AN1384=1,IFERROR(VALUE(MID($E1384,2,20)),1000000000)+ROW()/100000,"")</f>
        <v/>
      </c>
    </row>
    <row r="1385">
      <c r="G1385" s="11" t="n"/>
      <c r="Q1385" s="7">
        <f>IF($E1385="","",P1385*Y1385/100)</f>
        <v/>
      </c>
      <c r="R1385" s="7" t="n"/>
      <c r="X1385" s="7" t="n"/>
      <c r="Y1385" s="7" t="n"/>
      <c r="AB1385">
        <f>IF($E1385="","",IF($AQ1385=1,0,IF($AP1385=1,Settings!$C$6,Settings!$C$7))*100)</f>
        <v/>
      </c>
      <c r="AC1385" s="7">
        <f>IF($E1385="","",Y1385*AB1385/100)</f>
        <v/>
      </c>
      <c r="AD1385" s="7">
        <f>IF($E1385="","",Y1385-AC1385)</f>
        <v/>
      </c>
      <c r="AE1385" s="7">
        <f>IF($E1385="","",AD1385-Q1385)</f>
        <v/>
      </c>
      <c r="AI1385" s="7" t="n"/>
      <c r="AL1385" s="11" t="n"/>
      <c r="AN1385">
        <f>IF($E1385="","",IF(COUNTIF($E$2:$E1385,$E1385)=1,1,0))</f>
        <v/>
      </c>
      <c r="AO1385">
        <f>IF($AN1385=1,SUMPRODUCT(--($AR$2:$AR$4001&lt;$AR1385))+1,"")</f>
        <v/>
      </c>
      <c r="AP1385">
        <f>IF($E1385="","",IF(OR($U1385=TRUE(),$U1385="TRUE"),1,0))</f>
        <v/>
      </c>
      <c r="AQ1385">
        <f>IF($E1385="","",IF($AA1385="Yes",1,0))</f>
        <v/>
      </c>
      <c r="AR1385">
        <f>IF($AN1385=1,IFERROR(VALUE(MID($E1385,2,20)),1000000000)+ROW()/100000,"")</f>
        <v/>
      </c>
    </row>
    <row r="1386">
      <c r="G1386" s="11" t="n"/>
      <c r="Q1386" s="7">
        <f>IF($E1386="","",P1386*Y1386/100)</f>
        <v/>
      </c>
      <c r="R1386" s="7" t="n"/>
      <c r="X1386" s="7" t="n"/>
      <c r="Y1386" s="7" t="n"/>
      <c r="AB1386">
        <f>IF($E1386="","",IF($AQ1386=1,0,IF($AP1386=1,Settings!$C$6,Settings!$C$7))*100)</f>
        <v/>
      </c>
      <c r="AC1386" s="7">
        <f>IF($E1386="","",Y1386*AB1386/100)</f>
        <v/>
      </c>
      <c r="AD1386" s="7">
        <f>IF($E1386="","",Y1386-AC1386)</f>
        <v/>
      </c>
      <c r="AE1386" s="7">
        <f>IF($E1386="","",AD1386-Q1386)</f>
        <v/>
      </c>
      <c r="AI1386" s="7" t="n"/>
      <c r="AL1386" s="11" t="n"/>
      <c r="AN1386">
        <f>IF($E1386="","",IF(COUNTIF($E$2:$E1386,$E1386)=1,1,0))</f>
        <v/>
      </c>
      <c r="AO1386">
        <f>IF($AN1386=1,SUMPRODUCT(--($AR$2:$AR$4001&lt;$AR1386))+1,"")</f>
        <v/>
      </c>
      <c r="AP1386">
        <f>IF($E1386="","",IF(OR($U1386=TRUE(),$U1386="TRUE"),1,0))</f>
        <v/>
      </c>
      <c r="AQ1386">
        <f>IF($E1386="","",IF($AA1386="Yes",1,0))</f>
        <v/>
      </c>
      <c r="AR1386">
        <f>IF($AN1386=1,IFERROR(VALUE(MID($E1386,2,20)),1000000000)+ROW()/100000,"")</f>
        <v/>
      </c>
    </row>
    <row r="1387">
      <c r="G1387" s="11" t="n"/>
      <c r="Q1387" s="7">
        <f>IF($E1387="","",P1387*Y1387/100)</f>
        <v/>
      </c>
      <c r="R1387" s="7" t="n"/>
      <c r="X1387" s="7" t="n"/>
      <c r="Y1387" s="7" t="n"/>
      <c r="AB1387">
        <f>IF($E1387="","",IF($AQ1387=1,0,IF($AP1387=1,Settings!$C$6,Settings!$C$7))*100)</f>
        <v/>
      </c>
      <c r="AC1387" s="7">
        <f>IF($E1387="","",Y1387*AB1387/100)</f>
        <v/>
      </c>
      <c r="AD1387" s="7">
        <f>IF($E1387="","",Y1387-AC1387)</f>
        <v/>
      </c>
      <c r="AE1387" s="7">
        <f>IF($E1387="","",AD1387-Q1387)</f>
        <v/>
      </c>
      <c r="AI1387" s="7" t="n"/>
      <c r="AL1387" s="11" t="n"/>
      <c r="AN1387">
        <f>IF($E1387="","",IF(COUNTIF($E$2:$E1387,$E1387)=1,1,0))</f>
        <v/>
      </c>
      <c r="AO1387">
        <f>IF($AN1387=1,SUMPRODUCT(--($AR$2:$AR$4001&lt;$AR1387))+1,"")</f>
        <v/>
      </c>
      <c r="AP1387">
        <f>IF($E1387="","",IF(OR($U1387=TRUE(),$U1387="TRUE"),1,0))</f>
        <v/>
      </c>
      <c r="AQ1387">
        <f>IF($E1387="","",IF($AA1387="Yes",1,0))</f>
        <v/>
      </c>
      <c r="AR1387">
        <f>IF($AN1387=1,IFERROR(VALUE(MID($E1387,2,20)),1000000000)+ROW()/100000,"")</f>
        <v/>
      </c>
    </row>
    <row r="1388">
      <c r="G1388" s="11" t="n"/>
      <c r="Q1388" s="7">
        <f>IF($E1388="","",P1388*Y1388/100)</f>
        <v/>
      </c>
      <c r="R1388" s="7" t="n"/>
      <c r="X1388" s="7" t="n"/>
      <c r="Y1388" s="7" t="n"/>
      <c r="AB1388">
        <f>IF($E1388="","",IF($AQ1388=1,0,IF($AP1388=1,Settings!$C$6,Settings!$C$7))*100)</f>
        <v/>
      </c>
      <c r="AC1388" s="7">
        <f>IF($E1388="","",Y1388*AB1388/100)</f>
        <v/>
      </c>
      <c r="AD1388" s="7">
        <f>IF($E1388="","",Y1388-AC1388)</f>
        <v/>
      </c>
      <c r="AE1388" s="7">
        <f>IF($E1388="","",AD1388-Q1388)</f>
        <v/>
      </c>
      <c r="AI1388" s="7" t="n"/>
      <c r="AL1388" s="11" t="n"/>
      <c r="AN1388">
        <f>IF($E1388="","",IF(COUNTIF($E$2:$E1388,$E1388)=1,1,0))</f>
        <v/>
      </c>
      <c r="AO1388">
        <f>IF($AN1388=1,SUMPRODUCT(--($AR$2:$AR$4001&lt;$AR1388))+1,"")</f>
        <v/>
      </c>
      <c r="AP1388">
        <f>IF($E1388="","",IF(OR($U1388=TRUE(),$U1388="TRUE"),1,0))</f>
        <v/>
      </c>
      <c r="AQ1388">
        <f>IF($E1388="","",IF($AA1388="Yes",1,0))</f>
        <v/>
      </c>
      <c r="AR1388">
        <f>IF($AN1388=1,IFERROR(VALUE(MID($E1388,2,20)),1000000000)+ROW()/100000,"")</f>
        <v/>
      </c>
    </row>
    <row r="1389">
      <c r="G1389" s="11" t="n"/>
      <c r="Q1389" s="7">
        <f>IF($E1389="","",P1389*Y1389/100)</f>
        <v/>
      </c>
      <c r="R1389" s="7" t="n"/>
      <c r="X1389" s="7" t="n"/>
      <c r="Y1389" s="7" t="n"/>
      <c r="AB1389">
        <f>IF($E1389="","",IF($AQ1389=1,0,IF($AP1389=1,Settings!$C$6,Settings!$C$7))*100)</f>
        <v/>
      </c>
      <c r="AC1389" s="7">
        <f>IF($E1389="","",Y1389*AB1389/100)</f>
        <v/>
      </c>
      <c r="AD1389" s="7">
        <f>IF($E1389="","",Y1389-AC1389)</f>
        <v/>
      </c>
      <c r="AE1389" s="7">
        <f>IF($E1389="","",AD1389-Q1389)</f>
        <v/>
      </c>
      <c r="AI1389" s="7" t="n"/>
      <c r="AL1389" s="11" t="n"/>
      <c r="AN1389">
        <f>IF($E1389="","",IF(COUNTIF($E$2:$E1389,$E1389)=1,1,0))</f>
        <v/>
      </c>
      <c r="AO1389">
        <f>IF($AN1389=1,SUMPRODUCT(--($AR$2:$AR$4001&lt;$AR1389))+1,"")</f>
        <v/>
      </c>
      <c r="AP1389">
        <f>IF($E1389="","",IF(OR($U1389=TRUE(),$U1389="TRUE"),1,0))</f>
        <v/>
      </c>
      <c r="AQ1389">
        <f>IF($E1389="","",IF($AA1389="Yes",1,0))</f>
        <v/>
      </c>
      <c r="AR1389">
        <f>IF($AN1389=1,IFERROR(VALUE(MID($E1389,2,20)),1000000000)+ROW()/100000,"")</f>
        <v/>
      </c>
    </row>
    <row r="1390">
      <c r="G1390" s="11" t="n"/>
      <c r="Q1390" s="7">
        <f>IF($E1390="","",P1390*Y1390/100)</f>
        <v/>
      </c>
      <c r="R1390" s="7" t="n"/>
      <c r="X1390" s="7" t="n"/>
      <c r="Y1390" s="7" t="n"/>
      <c r="AB1390">
        <f>IF($E1390="","",IF($AQ1390=1,0,IF($AP1390=1,Settings!$C$6,Settings!$C$7))*100)</f>
        <v/>
      </c>
      <c r="AC1390" s="7">
        <f>IF($E1390="","",Y1390*AB1390/100)</f>
        <v/>
      </c>
      <c r="AD1390" s="7">
        <f>IF($E1390="","",Y1390-AC1390)</f>
        <v/>
      </c>
      <c r="AE1390" s="7">
        <f>IF($E1390="","",AD1390-Q1390)</f>
        <v/>
      </c>
      <c r="AI1390" s="7" t="n"/>
      <c r="AL1390" s="11" t="n"/>
      <c r="AN1390">
        <f>IF($E1390="","",IF(COUNTIF($E$2:$E1390,$E1390)=1,1,0))</f>
        <v/>
      </c>
      <c r="AO1390">
        <f>IF($AN1390=1,SUMPRODUCT(--($AR$2:$AR$4001&lt;$AR1390))+1,"")</f>
        <v/>
      </c>
      <c r="AP1390">
        <f>IF($E1390="","",IF(OR($U1390=TRUE(),$U1390="TRUE"),1,0))</f>
        <v/>
      </c>
      <c r="AQ1390">
        <f>IF($E1390="","",IF($AA1390="Yes",1,0))</f>
        <v/>
      </c>
      <c r="AR1390">
        <f>IF($AN1390=1,IFERROR(VALUE(MID($E1390,2,20)),1000000000)+ROW()/100000,"")</f>
        <v/>
      </c>
    </row>
    <row r="1391">
      <c r="G1391" s="11" t="n"/>
      <c r="Q1391" s="7">
        <f>IF($E1391="","",P1391*Y1391/100)</f>
        <v/>
      </c>
      <c r="R1391" s="7" t="n"/>
      <c r="X1391" s="7" t="n"/>
      <c r="Y1391" s="7" t="n"/>
      <c r="AB1391">
        <f>IF($E1391="","",IF($AQ1391=1,0,IF($AP1391=1,Settings!$C$6,Settings!$C$7))*100)</f>
        <v/>
      </c>
      <c r="AC1391" s="7">
        <f>IF($E1391="","",Y1391*AB1391/100)</f>
        <v/>
      </c>
      <c r="AD1391" s="7">
        <f>IF($E1391="","",Y1391-AC1391)</f>
        <v/>
      </c>
      <c r="AE1391" s="7">
        <f>IF($E1391="","",AD1391-Q1391)</f>
        <v/>
      </c>
      <c r="AI1391" s="7" t="n"/>
      <c r="AL1391" s="11" t="n"/>
      <c r="AN1391">
        <f>IF($E1391="","",IF(COUNTIF($E$2:$E1391,$E1391)=1,1,0))</f>
        <v/>
      </c>
      <c r="AO1391">
        <f>IF($AN1391=1,SUMPRODUCT(--($AR$2:$AR$4001&lt;$AR1391))+1,"")</f>
        <v/>
      </c>
      <c r="AP1391">
        <f>IF($E1391="","",IF(OR($U1391=TRUE(),$U1391="TRUE"),1,0))</f>
        <v/>
      </c>
      <c r="AQ1391">
        <f>IF($E1391="","",IF($AA1391="Yes",1,0))</f>
        <v/>
      </c>
      <c r="AR1391">
        <f>IF($AN1391=1,IFERROR(VALUE(MID($E1391,2,20)),1000000000)+ROW()/100000,"")</f>
        <v/>
      </c>
    </row>
    <row r="1392">
      <c r="G1392" s="11" t="n"/>
      <c r="Q1392" s="7">
        <f>IF($E1392="","",P1392*Y1392/100)</f>
        <v/>
      </c>
      <c r="R1392" s="7" t="n"/>
      <c r="X1392" s="7" t="n"/>
      <c r="Y1392" s="7" t="n"/>
      <c r="AB1392">
        <f>IF($E1392="","",IF($AQ1392=1,0,IF($AP1392=1,Settings!$C$6,Settings!$C$7))*100)</f>
        <v/>
      </c>
      <c r="AC1392" s="7">
        <f>IF($E1392="","",Y1392*AB1392/100)</f>
        <v/>
      </c>
      <c r="AD1392" s="7">
        <f>IF($E1392="","",Y1392-AC1392)</f>
        <v/>
      </c>
      <c r="AE1392" s="7">
        <f>IF($E1392="","",AD1392-Q1392)</f>
        <v/>
      </c>
      <c r="AI1392" s="7" t="n"/>
      <c r="AL1392" s="11" t="n"/>
      <c r="AN1392">
        <f>IF($E1392="","",IF(COUNTIF($E$2:$E1392,$E1392)=1,1,0))</f>
        <v/>
      </c>
      <c r="AO1392">
        <f>IF($AN1392=1,SUMPRODUCT(--($AR$2:$AR$4001&lt;$AR1392))+1,"")</f>
        <v/>
      </c>
      <c r="AP1392">
        <f>IF($E1392="","",IF(OR($U1392=TRUE(),$U1392="TRUE"),1,0))</f>
        <v/>
      </c>
      <c r="AQ1392">
        <f>IF($E1392="","",IF($AA1392="Yes",1,0))</f>
        <v/>
      </c>
      <c r="AR1392">
        <f>IF($AN1392=1,IFERROR(VALUE(MID($E1392,2,20)),1000000000)+ROW()/100000,"")</f>
        <v/>
      </c>
    </row>
    <row r="1393">
      <c r="G1393" s="11" t="n"/>
      <c r="Q1393" s="7">
        <f>IF($E1393="","",P1393*Y1393/100)</f>
        <v/>
      </c>
      <c r="R1393" s="7" t="n"/>
      <c r="X1393" s="7" t="n"/>
      <c r="Y1393" s="7" t="n"/>
      <c r="AB1393">
        <f>IF($E1393="","",IF($AQ1393=1,0,IF($AP1393=1,Settings!$C$6,Settings!$C$7))*100)</f>
        <v/>
      </c>
      <c r="AC1393" s="7">
        <f>IF($E1393="","",Y1393*AB1393/100)</f>
        <v/>
      </c>
      <c r="AD1393" s="7">
        <f>IF($E1393="","",Y1393-AC1393)</f>
        <v/>
      </c>
      <c r="AE1393" s="7">
        <f>IF($E1393="","",AD1393-Q1393)</f>
        <v/>
      </c>
      <c r="AI1393" s="7" t="n"/>
      <c r="AL1393" s="11" t="n"/>
      <c r="AN1393">
        <f>IF($E1393="","",IF(COUNTIF($E$2:$E1393,$E1393)=1,1,0))</f>
        <v/>
      </c>
      <c r="AO1393">
        <f>IF($AN1393=1,SUMPRODUCT(--($AR$2:$AR$4001&lt;$AR1393))+1,"")</f>
        <v/>
      </c>
      <c r="AP1393">
        <f>IF($E1393="","",IF(OR($U1393=TRUE(),$U1393="TRUE"),1,0))</f>
        <v/>
      </c>
      <c r="AQ1393">
        <f>IF($E1393="","",IF($AA1393="Yes",1,0))</f>
        <v/>
      </c>
      <c r="AR1393">
        <f>IF($AN1393=1,IFERROR(VALUE(MID($E1393,2,20)),1000000000)+ROW()/100000,"")</f>
        <v/>
      </c>
    </row>
    <row r="1394">
      <c r="G1394" s="11" t="n"/>
      <c r="Q1394" s="7">
        <f>IF($E1394="","",P1394*Y1394/100)</f>
        <v/>
      </c>
      <c r="R1394" s="7" t="n"/>
      <c r="X1394" s="7" t="n"/>
      <c r="Y1394" s="7" t="n"/>
      <c r="AB1394">
        <f>IF($E1394="","",IF($AQ1394=1,0,IF($AP1394=1,Settings!$C$6,Settings!$C$7))*100)</f>
        <v/>
      </c>
      <c r="AC1394" s="7">
        <f>IF($E1394="","",Y1394*AB1394/100)</f>
        <v/>
      </c>
      <c r="AD1394" s="7">
        <f>IF($E1394="","",Y1394-AC1394)</f>
        <v/>
      </c>
      <c r="AE1394" s="7">
        <f>IF($E1394="","",AD1394-Q1394)</f>
        <v/>
      </c>
      <c r="AI1394" s="7" t="n"/>
      <c r="AL1394" s="11" t="n"/>
      <c r="AN1394">
        <f>IF($E1394="","",IF(COUNTIF($E$2:$E1394,$E1394)=1,1,0))</f>
        <v/>
      </c>
      <c r="AO1394">
        <f>IF($AN1394=1,SUMPRODUCT(--($AR$2:$AR$4001&lt;$AR1394))+1,"")</f>
        <v/>
      </c>
      <c r="AP1394">
        <f>IF($E1394="","",IF(OR($U1394=TRUE(),$U1394="TRUE"),1,0))</f>
        <v/>
      </c>
      <c r="AQ1394">
        <f>IF($E1394="","",IF($AA1394="Yes",1,0))</f>
        <v/>
      </c>
      <c r="AR1394">
        <f>IF($AN1394=1,IFERROR(VALUE(MID($E1394,2,20)),1000000000)+ROW()/100000,"")</f>
        <v/>
      </c>
    </row>
    <row r="1395">
      <c r="G1395" s="11" t="n"/>
      <c r="Q1395" s="7">
        <f>IF($E1395="","",P1395*Y1395/100)</f>
        <v/>
      </c>
      <c r="R1395" s="7" t="n"/>
      <c r="X1395" s="7" t="n"/>
      <c r="Y1395" s="7" t="n"/>
      <c r="AB1395">
        <f>IF($E1395="","",IF($AQ1395=1,0,IF($AP1395=1,Settings!$C$6,Settings!$C$7))*100)</f>
        <v/>
      </c>
      <c r="AC1395" s="7">
        <f>IF($E1395="","",Y1395*AB1395/100)</f>
        <v/>
      </c>
      <c r="AD1395" s="7">
        <f>IF($E1395="","",Y1395-AC1395)</f>
        <v/>
      </c>
      <c r="AE1395" s="7">
        <f>IF($E1395="","",AD1395-Q1395)</f>
        <v/>
      </c>
      <c r="AI1395" s="7" t="n"/>
      <c r="AL1395" s="11" t="n"/>
      <c r="AN1395">
        <f>IF($E1395="","",IF(COUNTIF($E$2:$E1395,$E1395)=1,1,0))</f>
        <v/>
      </c>
      <c r="AO1395">
        <f>IF($AN1395=1,SUMPRODUCT(--($AR$2:$AR$4001&lt;$AR1395))+1,"")</f>
        <v/>
      </c>
      <c r="AP1395">
        <f>IF($E1395="","",IF(OR($U1395=TRUE(),$U1395="TRUE"),1,0))</f>
        <v/>
      </c>
      <c r="AQ1395">
        <f>IF($E1395="","",IF($AA1395="Yes",1,0))</f>
        <v/>
      </c>
      <c r="AR1395">
        <f>IF($AN1395=1,IFERROR(VALUE(MID($E1395,2,20)),1000000000)+ROW()/100000,"")</f>
        <v/>
      </c>
    </row>
    <row r="1396">
      <c r="G1396" s="11" t="n"/>
      <c r="Q1396" s="7">
        <f>IF($E1396="","",P1396*Y1396/100)</f>
        <v/>
      </c>
      <c r="R1396" s="7" t="n"/>
      <c r="X1396" s="7" t="n"/>
      <c r="Y1396" s="7" t="n"/>
      <c r="AB1396">
        <f>IF($E1396="","",IF($AQ1396=1,0,IF($AP1396=1,Settings!$C$6,Settings!$C$7))*100)</f>
        <v/>
      </c>
      <c r="AC1396" s="7">
        <f>IF($E1396="","",Y1396*AB1396/100)</f>
        <v/>
      </c>
      <c r="AD1396" s="7">
        <f>IF($E1396="","",Y1396-AC1396)</f>
        <v/>
      </c>
      <c r="AE1396" s="7">
        <f>IF($E1396="","",AD1396-Q1396)</f>
        <v/>
      </c>
      <c r="AI1396" s="7" t="n"/>
      <c r="AL1396" s="11" t="n"/>
      <c r="AN1396">
        <f>IF($E1396="","",IF(COUNTIF($E$2:$E1396,$E1396)=1,1,0))</f>
        <v/>
      </c>
      <c r="AO1396">
        <f>IF($AN1396=1,SUMPRODUCT(--($AR$2:$AR$4001&lt;$AR1396))+1,"")</f>
        <v/>
      </c>
      <c r="AP1396">
        <f>IF($E1396="","",IF(OR($U1396=TRUE(),$U1396="TRUE"),1,0))</f>
        <v/>
      </c>
      <c r="AQ1396">
        <f>IF($E1396="","",IF($AA1396="Yes",1,0))</f>
        <v/>
      </c>
      <c r="AR1396">
        <f>IF($AN1396=1,IFERROR(VALUE(MID($E1396,2,20)),1000000000)+ROW()/100000,"")</f>
        <v/>
      </c>
    </row>
    <row r="1397">
      <c r="G1397" s="11" t="n"/>
      <c r="Q1397" s="7">
        <f>IF($E1397="","",P1397*Y1397/100)</f>
        <v/>
      </c>
      <c r="R1397" s="7" t="n"/>
      <c r="X1397" s="7" t="n"/>
      <c r="Y1397" s="7" t="n"/>
      <c r="AB1397">
        <f>IF($E1397="","",IF($AQ1397=1,0,IF($AP1397=1,Settings!$C$6,Settings!$C$7))*100)</f>
        <v/>
      </c>
      <c r="AC1397" s="7">
        <f>IF($E1397="","",Y1397*AB1397/100)</f>
        <v/>
      </c>
      <c r="AD1397" s="7">
        <f>IF($E1397="","",Y1397-AC1397)</f>
        <v/>
      </c>
      <c r="AE1397" s="7">
        <f>IF($E1397="","",AD1397-Q1397)</f>
        <v/>
      </c>
      <c r="AI1397" s="7" t="n"/>
      <c r="AL1397" s="11" t="n"/>
      <c r="AN1397">
        <f>IF($E1397="","",IF(COUNTIF($E$2:$E1397,$E1397)=1,1,0))</f>
        <v/>
      </c>
      <c r="AO1397">
        <f>IF($AN1397=1,SUMPRODUCT(--($AR$2:$AR$4001&lt;$AR1397))+1,"")</f>
        <v/>
      </c>
      <c r="AP1397">
        <f>IF($E1397="","",IF(OR($U1397=TRUE(),$U1397="TRUE"),1,0))</f>
        <v/>
      </c>
      <c r="AQ1397">
        <f>IF($E1397="","",IF($AA1397="Yes",1,0))</f>
        <v/>
      </c>
      <c r="AR1397">
        <f>IF($AN1397=1,IFERROR(VALUE(MID($E1397,2,20)),1000000000)+ROW()/100000,"")</f>
        <v/>
      </c>
    </row>
    <row r="1398">
      <c r="G1398" s="11" t="n"/>
      <c r="Q1398" s="7">
        <f>IF($E1398="","",P1398*Y1398/100)</f>
        <v/>
      </c>
      <c r="R1398" s="7" t="n"/>
      <c r="X1398" s="7" t="n"/>
      <c r="Y1398" s="7" t="n"/>
      <c r="AB1398">
        <f>IF($E1398="","",IF($AQ1398=1,0,IF($AP1398=1,Settings!$C$6,Settings!$C$7))*100)</f>
        <v/>
      </c>
      <c r="AC1398" s="7">
        <f>IF($E1398="","",Y1398*AB1398/100)</f>
        <v/>
      </c>
      <c r="AD1398" s="7">
        <f>IF($E1398="","",Y1398-AC1398)</f>
        <v/>
      </c>
      <c r="AE1398" s="7">
        <f>IF($E1398="","",AD1398-Q1398)</f>
        <v/>
      </c>
      <c r="AI1398" s="7" t="n"/>
      <c r="AL1398" s="11" t="n"/>
      <c r="AN1398">
        <f>IF($E1398="","",IF(COUNTIF($E$2:$E1398,$E1398)=1,1,0))</f>
        <v/>
      </c>
      <c r="AO1398">
        <f>IF($AN1398=1,SUMPRODUCT(--($AR$2:$AR$4001&lt;$AR1398))+1,"")</f>
        <v/>
      </c>
      <c r="AP1398">
        <f>IF($E1398="","",IF(OR($U1398=TRUE(),$U1398="TRUE"),1,0))</f>
        <v/>
      </c>
      <c r="AQ1398">
        <f>IF($E1398="","",IF($AA1398="Yes",1,0))</f>
        <v/>
      </c>
      <c r="AR1398">
        <f>IF($AN1398=1,IFERROR(VALUE(MID($E1398,2,20)),1000000000)+ROW()/100000,"")</f>
        <v/>
      </c>
    </row>
    <row r="1399">
      <c r="G1399" s="11" t="n"/>
      <c r="Q1399" s="7">
        <f>IF($E1399="","",P1399*Y1399/100)</f>
        <v/>
      </c>
      <c r="R1399" s="7" t="n"/>
      <c r="X1399" s="7" t="n"/>
      <c r="Y1399" s="7" t="n"/>
      <c r="AB1399">
        <f>IF($E1399="","",IF($AQ1399=1,0,IF($AP1399=1,Settings!$C$6,Settings!$C$7))*100)</f>
        <v/>
      </c>
      <c r="AC1399" s="7">
        <f>IF($E1399="","",Y1399*AB1399/100)</f>
        <v/>
      </c>
      <c r="AD1399" s="7">
        <f>IF($E1399="","",Y1399-AC1399)</f>
        <v/>
      </c>
      <c r="AE1399" s="7">
        <f>IF($E1399="","",AD1399-Q1399)</f>
        <v/>
      </c>
      <c r="AI1399" s="7" t="n"/>
      <c r="AL1399" s="11" t="n"/>
      <c r="AN1399">
        <f>IF($E1399="","",IF(COUNTIF($E$2:$E1399,$E1399)=1,1,0))</f>
        <v/>
      </c>
      <c r="AO1399">
        <f>IF($AN1399=1,SUMPRODUCT(--($AR$2:$AR$4001&lt;$AR1399))+1,"")</f>
        <v/>
      </c>
      <c r="AP1399">
        <f>IF($E1399="","",IF(OR($U1399=TRUE(),$U1399="TRUE"),1,0))</f>
        <v/>
      </c>
      <c r="AQ1399">
        <f>IF($E1399="","",IF($AA1399="Yes",1,0))</f>
        <v/>
      </c>
      <c r="AR1399">
        <f>IF($AN1399=1,IFERROR(VALUE(MID($E1399,2,20)),1000000000)+ROW()/100000,"")</f>
        <v/>
      </c>
    </row>
    <row r="1400">
      <c r="G1400" s="11" t="n"/>
      <c r="Q1400" s="7">
        <f>IF($E1400="","",P1400*Y1400/100)</f>
        <v/>
      </c>
      <c r="R1400" s="7" t="n"/>
      <c r="X1400" s="7" t="n"/>
      <c r="Y1400" s="7" t="n"/>
      <c r="AB1400">
        <f>IF($E1400="","",IF($AQ1400=1,0,IF($AP1400=1,Settings!$C$6,Settings!$C$7))*100)</f>
        <v/>
      </c>
      <c r="AC1400" s="7">
        <f>IF($E1400="","",Y1400*AB1400/100)</f>
        <v/>
      </c>
      <c r="AD1400" s="7">
        <f>IF($E1400="","",Y1400-AC1400)</f>
        <v/>
      </c>
      <c r="AE1400" s="7">
        <f>IF($E1400="","",AD1400-Q1400)</f>
        <v/>
      </c>
      <c r="AI1400" s="7" t="n"/>
      <c r="AL1400" s="11" t="n"/>
      <c r="AN1400">
        <f>IF($E1400="","",IF(COUNTIF($E$2:$E1400,$E1400)=1,1,0))</f>
        <v/>
      </c>
      <c r="AO1400">
        <f>IF($AN1400=1,SUMPRODUCT(--($AR$2:$AR$4001&lt;$AR1400))+1,"")</f>
        <v/>
      </c>
      <c r="AP1400">
        <f>IF($E1400="","",IF(OR($U1400=TRUE(),$U1400="TRUE"),1,0))</f>
        <v/>
      </c>
      <c r="AQ1400">
        <f>IF($E1400="","",IF($AA1400="Yes",1,0))</f>
        <v/>
      </c>
      <c r="AR1400">
        <f>IF($AN1400=1,IFERROR(VALUE(MID($E1400,2,20)),1000000000)+ROW()/100000,"")</f>
        <v/>
      </c>
    </row>
    <row r="1401">
      <c r="G1401" s="11" t="n"/>
      <c r="Q1401" s="7">
        <f>IF($E1401="","",P1401*Y1401/100)</f>
        <v/>
      </c>
      <c r="R1401" s="7" t="n"/>
      <c r="X1401" s="7" t="n"/>
      <c r="Y1401" s="7" t="n"/>
      <c r="AB1401">
        <f>IF($E1401="","",IF($AQ1401=1,0,IF($AP1401=1,Settings!$C$6,Settings!$C$7))*100)</f>
        <v/>
      </c>
      <c r="AC1401" s="7">
        <f>IF($E1401="","",Y1401*AB1401/100)</f>
        <v/>
      </c>
      <c r="AD1401" s="7">
        <f>IF($E1401="","",Y1401-AC1401)</f>
        <v/>
      </c>
      <c r="AE1401" s="7">
        <f>IF($E1401="","",AD1401-Q1401)</f>
        <v/>
      </c>
      <c r="AI1401" s="7" t="n"/>
      <c r="AL1401" s="11" t="n"/>
      <c r="AN1401">
        <f>IF($E1401="","",IF(COUNTIF($E$2:$E1401,$E1401)=1,1,0))</f>
        <v/>
      </c>
      <c r="AO1401">
        <f>IF($AN1401=1,SUMPRODUCT(--($AR$2:$AR$4001&lt;$AR1401))+1,"")</f>
        <v/>
      </c>
      <c r="AP1401">
        <f>IF($E1401="","",IF(OR($U1401=TRUE(),$U1401="TRUE"),1,0))</f>
        <v/>
      </c>
      <c r="AQ1401">
        <f>IF($E1401="","",IF($AA1401="Yes",1,0))</f>
        <v/>
      </c>
      <c r="AR1401">
        <f>IF($AN1401=1,IFERROR(VALUE(MID($E1401,2,20)),1000000000)+ROW()/100000,"")</f>
        <v/>
      </c>
    </row>
    <row r="1402">
      <c r="G1402" s="11" t="n"/>
      <c r="Q1402" s="7">
        <f>IF($E1402="","",P1402*Y1402/100)</f>
        <v/>
      </c>
      <c r="R1402" s="7" t="n"/>
      <c r="X1402" s="7" t="n"/>
      <c r="Y1402" s="7" t="n"/>
      <c r="AB1402">
        <f>IF($E1402="","",IF($AQ1402=1,0,IF($AP1402=1,Settings!$C$6,Settings!$C$7))*100)</f>
        <v/>
      </c>
      <c r="AC1402" s="7">
        <f>IF($E1402="","",Y1402*AB1402/100)</f>
        <v/>
      </c>
      <c r="AD1402" s="7">
        <f>IF($E1402="","",Y1402-AC1402)</f>
        <v/>
      </c>
      <c r="AE1402" s="7">
        <f>IF($E1402="","",AD1402-Q1402)</f>
        <v/>
      </c>
      <c r="AI1402" s="7" t="n"/>
      <c r="AL1402" s="11" t="n"/>
      <c r="AN1402">
        <f>IF($E1402="","",IF(COUNTIF($E$2:$E1402,$E1402)=1,1,0))</f>
        <v/>
      </c>
      <c r="AO1402">
        <f>IF($AN1402=1,SUMPRODUCT(--($AR$2:$AR$4001&lt;$AR1402))+1,"")</f>
        <v/>
      </c>
      <c r="AP1402">
        <f>IF($E1402="","",IF(OR($U1402=TRUE(),$U1402="TRUE"),1,0))</f>
        <v/>
      </c>
      <c r="AQ1402">
        <f>IF($E1402="","",IF($AA1402="Yes",1,0))</f>
        <v/>
      </c>
      <c r="AR1402">
        <f>IF($AN1402=1,IFERROR(VALUE(MID($E1402,2,20)),1000000000)+ROW()/100000,"")</f>
        <v/>
      </c>
    </row>
    <row r="1403">
      <c r="G1403" s="11" t="n"/>
      <c r="Q1403" s="7">
        <f>IF($E1403="","",P1403*Y1403/100)</f>
        <v/>
      </c>
      <c r="R1403" s="7" t="n"/>
      <c r="X1403" s="7" t="n"/>
      <c r="Y1403" s="7" t="n"/>
      <c r="AB1403">
        <f>IF($E1403="","",IF($AQ1403=1,0,IF($AP1403=1,Settings!$C$6,Settings!$C$7))*100)</f>
        <v/>
      </c>
      <c r="AC1403" s="7">
        <f>IF($E1403="","",Y1403*AB1403/100)</f>
        <v/>
      </c>
      <c r="AD1403" s="7">
        <f>IF($E1403="","",Y1403-AC1403)</f>
        <v/>
      </c>
      <c r="AE1403" s="7">
        <f>IF($E1403="","",AD1403-Q1403)</f>
        <v/>
      </c>
      <c r="AI1403" s="7" t="n"/>
      <c r="AL1403" s="11" t="n"/>
      <c r="AN1403">
        <f>IF($E1403="","",IF(COUNTIF($E$2:$E1403,$E1403)=1,1,0))</f>
        <v/>
      </c>
      <c r="AO1403">
        <f>IF($AN1403=1,SUMPRODUCT(--($AR$2:$AR$4001&lt;$AR1403))+1,"")</f>
        <v/>
      </c>
      <c r="AP1403">
        <f>IF($E1403="","",IF(OR($U1403=TRUE(),$U1403="TRUE"),1,0))</f>
        <v/>
      </c>
      <c r="AQ1403">
        <f>IF($E1403="","",IF($AA1403="Yes",1,0))</f>
        <v/>
      </c>
      <c r="AR1403">
        <f>IF($AN1403=1,IFERROR(VALUE(MID($E1403,2,20)),1000000000)+ROW()/100000,"")</f>
        <v/>
      </c>
    </row>
    <row r="1404">
      <c r="G1404" s="11" t="n"/>
      <c r="Q1404" s="7">
        <f>IF($E1404="","",P1404*Y1404/100)</f>
        <v/>
      </c>
      <c r="R1404" s="7" t="n"/>
      <c r="X1404" s="7" t="n"/>
      <c r="Y1404" s="7" t="n"/>
      <c r="AB1404">
        <f>IF($E1404="","",IF($AQ1404=1,0,IF($AP1404=1,Settings!$C$6,Settings!$C$7))*100)</f>
        <v/>
      </c>
      <c r="AC1404" s="7">
        <f>IF($E1404="","",Y1404*AB1404/100)</f>
        <v/>
      </c>
      <c r="AD1404" s="7">
        <f>IF($E1404="","",Y1404-AC1404)</f>
        <v/>
      </c>
      <c r="AE1404" s="7">
        <f>IF($E1404="","",AD1404-Q1404)</f>
        <v/>
      </c>
      <c r="AI1404" s="7" t="n"/>
      <c r="AL1404" s="11" t="n"/>
      <c r="AN1404">
        <f>IF($E1404="","",IF(COUNTIF($E$2:$E1404,$E1404)=1,1,0))</f>
        <v/>
      </c>
      <c r="AO1404">
        <f>IF($AN1404=1,SUMPRODUCT(--($AR$2:$AR$4001&lt;$AR1404))+1,"")</f>
        <v/>
      </c>
      <c r="AP1404">
        <f>IF($E1404="","",IF(OR($U1404=TRUE(),$U1404="TRUE"),1,0))</f>
        <v/>
      </c>
      <c r="AQ1404">
        <f>IF($E1404="","",IF($AA1404="Yes",1,0))</f>
        <v/>
      </c>
      <c r="AR1404">
        <f>IF($AN1404=1,IFERROR(VALUE(MID($E1404,2,20)),1000000000)+ROW()/100000,"")</f>
        <v/>
      </c>
    </row>
    <row r="1405">
      <c r="G1405" s="11" t="n"/>
      <c r="Q1405" s="7">
        <f>IF($E1405="","",P1405*Y1405/100)</f>
        <v/>
      </c>
      <c r="R1405" s="7" t="n"/>
      <c r="X1405" s="7" t="n"/>
      <c r="Y1405" s="7" t="n"/>
      <c r="AB1405">
        <f>IF($E1405="","",IF($AQ1405=1,0,IF($AP1405=1,Settings!$C$6,Settings!$C$7))*100)</f>
        <v/>
      </c>
      <c r="AC1405" s="7">
        <f>IF($E1405="","",Y1405*AB1405/100)</f>
        <v/>
      </c>
      <c r="AD1405" s="7">
        <f>IF($E1405="","",Y1405-AC1405)</f>
        <v/>
      </c>
      <c r="AE1405" s="7">
        <f>IF($E1405="","",AD1405-Q1405)</f>
        <v/>
      </c>
      <c r="AI1405" s="7" t="n"/>
      <c r="AL1405" s="11" t="n"/>
      <c r="AN1405">
        <f>IF($E1405="","",IF(COUNTIF($E$2:$E1405,$E1405)=1,1,0))</f>
        <v/>
      </c>
      <c r="AO1405">
        <f>IF($AN1405=1,SUMPRODUCT(--($AR$2:$AR$4001&lt;$AR1405))+1,"")</f>
        <v/>
      </c>
      <c r="AP1405">
        <f>IF($E1405="","",IF(OR($U1405=TRUE(),$U1405="TRUE"),1,0))</f>
        <v/>
      </c>
      <c r="AQ1405">
        <f>IF($E1405="","",IF($AA1405="Yes",1,0))</f>
        <v/>
      </c>
      <c r="AR1405">
        <f>IF($AN1405=1,IFERROR(VALUE(MID($E1405,2,20)),1000000000)+ROW()/100000,"")</f>
        <v/>
      </c>
    </row>
    <row r="1406">
      <c r="G1406" s="11" t="n"/>
      <c r="Q1406" s="7">
        <f>IF($E1406="","",P1406*Y1406/100)</f>
        <v/>
      </c>
      <c r="R1406" s="7" t="n"/>
      <c r="X1406" s="7" t="n"/>
      <c r="Y1406" s="7" t="n"/>
      <c r="AB1406">
        <f>IF($E1406="","",IF($AQ1406=1,0,IF($AP1406=1,Settings!$C$6,Settings!$C$7))*100)</f>
        <v/>
      </c>
      <c r="AC1406" s="7">
        <f>IF($E1406="","",Y1406*AB1406/100)</f>
        <v/>
      </c>
      <c r="AD1406" s="7">
        <f>IF($E1406="","",Y1406-AC1406)</f>
        <v/>
      </c>
      <c r="AE1406" s="7">
        <f>IF($E1406="","",AD1406-Q1406)</f>
        <v/>
      </c>
      <c r="AI1406" s="7" t="n"/>
      <c r="AL1406" s="11" t="n"/>
      <c r="AN1406">
        <f>IF($E1406="","",IF(COUNTIF($E$2:$E1406,$E1406)=1,1,0))</f>
        <v/>
      </c>
      <c r="AO1406">
        <f>IF($AN1406=1,SUMPRODUCT(--($AR$2:$AR$4001&lt;$AR1406))+1,"")</f>
        <v/>
      </c>
      <c r="AP1406">
        <f>IF($E1406="","",IF(OR($U1406=TRUE(),$U1406="TRUE"),1,0))</f>
        <v/>
      </c>
      <c r="AQ1406">
        <f>IF($E1406="","",IF($AA1406="Yes",1,0))</f>
        <v/>
      </c>
      <c r="AR1406">
        <f>IF($AN1406=1,IFERROR(VALUE(MID($E1406,2,20)),1000000000)+ROW()/100000,"")</f>
        <v/>
      </c>
    </row>
    <row r="1407">
      <c r="G1407" s="11" t="n"/>
      <c r="Q1407" s="7">
        <f>IF($E1407="","",P1407*Y1407/100)</f>
        <v/>
      </c>
      <c r="R1407" s="7" t="n"/>
      <c r="X1407" s="7" t="n"/>
      <c r="Y1407" s="7" t="n"/>
      <c r="AB1407">
        <f>IF($E1407="","",IF($AQ1407=1,0,IF($AP1407=1,Settings!$C$6,Settings!$C$7))*100)</f>
        <v/>
      </c>
      <c r="AC1407" s="7">
        <f>IF($E1407="","",Y1407*AB1407/100)</f>
        <v/>
      </c>
      <c r="AD1407" s="7">
        <f>IF($E1407="","",Y1407-AC1407)</f>
        <v/>
      </c>
      <c r="AE1407" s="7">
        <f>IF($E1407="","",AD1407-Q1407)</f>
        <v/>
      </c>
      <c r="AI1407" s="7" t="n"/>
      <c r="AL1407" s="11" t="n"/>
      <c r="AN1407">
        <f>IF($E1407="","",IF(COUNTIF($E$2:$E1407,$E1407)=1,1,0))</f>
        <v/>
      </c>
      <c r="AO1407">
        <f>IF($AN1407=1,SUMPRODUCT(--($AR$2:$AR$4001&lt;$AR1407))+1,"")</f>
        <v/>
      </c>
      <c r="AP1407">
        <f>IF($E1407="","",IF(OR($U1407=TRUE(),$U1407="TRUE"),1,0))</f>
        <v/>
      </c>
      <c r="AQ1407">
        <f>IF($E1407="","",IF($AA1407="Yes",1,0))</f>
        <v/>
      </c>
      <c r="AR1407">
        <f>IF($AN1407=1,IFERROR(VALUE(MID($E1407,2,20)),1000000000)+ROW()/100000,"")</f>
        <v/>
      </c>
    </row>
    <row r="1408">
      <c r="G1408" s="11" t="n"/>
      <c r="Q1408" s="7">
        <f>IF($E1408="","",P1408*Y1408/100)</f>
        <v/>
      </c>
      <c r="R1408" s="7" t="n"/>
      <c r="X1408" s="7" t="n"/>
      <c r="Y1408" s="7" t="n"/>
      <c r="AB1408">
        <f>IF($E1408="","",IF($AQ1408=1,0,IF($AP1408=1,Settings!$C$6,Settings!$C$7))*100)</f>
        <v/>
      </c>
      <c r="AC1408" s="7">
        <f>IF($E1408="","",Y1408*AB1408/100)</f>
        <v/>
      </c>
      <c r="AD1408" s="7">
        <f>IF($E1408="","",Y1408-AC1408)</f>
        <v/>
      </c>
      <c r="AE1408" s="7">
        <f>IF($E1408="","",AD1408-Q1408)</f>
        <v/>
      </c>
      <c r="AI1408" s="7" t="n"/>
      <c r="AL1408" s="11" t="n"/>
      <c r="AN1408">
        <f>IF($E1408="","",IF(COUNTIF($E$2:$E1408,$E1408)=1,1,0))</f>
        <v/>
      </c>
      <c r="AO1408">
        <f>IF($AN1408=1,SUMPRODUCT(--($AR$2:$AR$4001&lt;$AR1408))+1,"")</f>
        <v/>
      </c>
      <c r="AP1408">
        <f>IF($E1408="","",IF(OR($U1408=TRUE(),$U1408="TRUE"),1,0))</f>
        <v/>
      </c>
      <c r="AQ1408">
        <f>IF($E1408="","",IF($AA1408="Yes",1,0))</f>
        <v/>
      </c>
      <c r="AR1408">
        <f>IF($AN1408=1,IFERROR(VALUE(MID($E1408,2,20)),1000000000)+ROW()/100000,"")</f>
        <v/>
      </c>
    </row>
    <row r="1409">
      <c r="G1409" s="11" t="n"/>
      <c r="Q1409" s="7">
        <f>IF($E1409="","",P1409*Y1409/100)</f>
        <v/>
      </c>
      <c r="R1409" s="7" t="n"/>
      <c r="X1409" s="7" t="n"/>
      <c r="Y1409" s="7" t="n"/>
      <c r="AB1409">
        <f>IF($E1409="","",IF($AQ1409=1,0,IF($AP1409=1,Settings!$C$6,Settings!$C$7))*100)</f>
        <v/>
      </c>
      <c r="AC1409" s="7">
        <f>IF($E1409="","",Y1409*AB1409/100)</f>
        <v/>
      </c>
      <c r="AD1409" s="7">
        <f>IF($E1409="","",Y1409-AC1409)</f>
        <v/>
      </c>
      <c r="AE1409" s="7">
        <f>IF($E1409="","",AD1409-Q1409)</f>
        <v/>
      </c>
      <c r="AI1409" s="7" t="n"/>
      <c r="AL1409" s="11" t="n"/>
      <c r="AN1409">
        <f>IF($E1409="","",IF(COUNTIF($E$2:$E1409,$E1409)=1,1,0))</f>
        <v/>
      </c>
      <c r="AO1409">
        <f>IF($AN1409=1,SUMPRODUCT(--($AR$2:$AR$4001&lt;$AR1409))+1,"")</f>
        <v/>
      </c>
      <c r="AP1409">
        <f>IF($E1409="","",IF(OR($U1409=TRUE(),$U1409="TRUE"),1,0))</f>
        <v/>
      </c>
      <c r="AQ1409">
        <f>IF($E1409="","",IF($AA1409="Yes",1,0))</f>
        <v/>
      </c>
      <c r="AR1409">
        <f>IF($AN1409=1,IFERROR(VALUE(MID($E1409,2,20)),1000000000)+ROW()/100000,"")</f>
        <v/>
      </c>
    </row>
    <row r="1410">
      <c r="G1410" s="11" t="n"/>
      <c r="Q1410" s="7">
        <f>IF($E1410="","",P1410*Y1410/100)</f>
        <v/>
      </c>
      <c r="R1410" s="7" t="n"/>
      <c r="X1410" s="7" t="n"/>
      <c r="Y1410" s="7" t="n"/>
      <c r="AB1410">
        <f>IF($E1410="","",IF($AQ1410=1,0,IF($AP1410=1,Settings!$C$6,Settings!$C$7))*100)</f>
        <v/>
      </c>
      <c r="AC1410" s="7">
        <f>IF($E1410="","",Y1410*AB1410/100)</f>
        <v/>
      </c>
      <c r="AD1410" s="7">
        <f>IF($E1410="","",Y1410-AC1410)</f>
        <v/>
      </c>
      <c r="AE1410" s="7">
        <f>IF($E1410="","",AD1410-Q1410)</f>
        <v/>
      </c>
      <c r="AI1410" s="7" t="n"/>
      <c r="AL1410" s="11" t="n"/>
      <c r="AN1410">
        <f>IF($E1410="","",IF(COUNTIF($E$2:$E1410,$E1410)=1,1,0))</f>
        <v/>
      </c>
      <c r="AO1410">
        <f>IF($AN1410=1,SUMPRODUCT(--($AR$2:$AR$4001&lt;$AR1410))+1,"")</f>
        <v/>
      </c>
      <c r="AP1410">
        <f>IF($E1410="","",IF(OR($U1410=TRUE(),$U1410="TRUE"),1,0))</f>
        <v/>
      </c>
      <c r="AQ1410">
        <f>IF($E1410="","",IF($AA1410="Yes",1,0))</f>
        <v/>
      </c>
      <c r="AR1410">
        <f>IF($AN1410=1,IFERROR(VALUE(MID($E1410,2,20)),1000000000)+ROW()/100000,"")</f>
        <v/>
      </c>
    </row>
    <row r="1411">
      <c r="G1411" s="11" t="n"/>
      <c r="Q1411" s="7">
        <f>IF($E1411="","",P1411*Y1411/100)</f>
        <v/>
      </c>
      <c r="R1411" s="7" t="n"/>
      <c r="X1411" s="7" t="n"/>
      <c r="Y1411" s="7" t="n"/>
      <c r="AB1411">
        <f>IF($E1411="","",IF($AQ1411=1,0,IF($AP1411=1,Settings!$C$6,Settings!$C$7))*100)</f>
        <v/>
      </c>
      <c r="AC1411" s="7">
        <f>IF($E1411="","",Y1411*AB1411/100)</f>
        <v/>
      </c>
      <c r="AD1411" s="7">
        <f>IF($E1411="","",Y1411-AC1411)</f>
        <v/>
      </c>
      <c r="AE1411" s="7">
        <f>IF($E1411="","",AD1411-Q1411)</f>
        <v/>
      </c>
      <c r="AI1411" s="7" t="n"/>
      <c r="AL1411" s="11" t="n"/>
      <c r="AN1411">
        <f>IF($E1411="","",IF(COUNTIF($E$2:$E1411,$E1411)=1,1,0))</f>
        <v/>
      </c>
      <c r="AO1411">
        <f>IF($AN1411=1,SUMPRODUCT(--($AR$2:$AR$4001&lt;$AR1411))+1,"")</f>
        <v/>
      </c>
      <c r="AP1411">
        <f>IF($E1411="","",IF(OR($U1411=TRUE(),$U1411="TRUE"),1,0))</f>
        <v/>
      </c>
      <c r="AQ1411">
        <f>IF($E1411="","",IF($AA1411="Yes",1,0))</f>
        <v/>
      </c>
      <c r="AR1411">
        <f>IF($AN1411=1,IFERROR(VALUE(MID($E1411,2,20)),1000000000)+ROW()/100000,"")</f>
        <v/>
      </c>
    </row>
    <row r="1412">
      <c r="G1412" s="11" t="n"/>
      <c r="Q1412" s="7">
        <f>IF($E1412="","",P1412*Y1412/100)</f>
        <v/>
      </c>
      <c r="R1412" s="7" t="n"/>
      <c r="X1412" s="7" t="n"/>
      <c r="Y1412" s="7" t="n"/>
      <c r="AB1412">
        <f>IF($E1412="","",IF($AQ1412=1,0,IF($AP1412=1,Settings!$C$6,Settings!$C$7))*100)</f>
        <v/>
      </c>
      <c r="AC1412" s="7">
        <f>IF($E1412="","",Y1412*AB1412/100)</f>
        <v/>
      </c>
      <c r="AD1412" s="7">
        <f>IF($E1412="","",Y1412-AC1412)</f>
        <v/>
      </c>
      <c r="AE1412" s="7">
        <f>IF($E1412="","",AD1412-Q1412)</f>
        <v/>
      </c>
      <c r="AI1412" s="7" t="n"/>
      <c r="AL1412" s="11" t="n"/>
      <c r="AN1412">
        <f>IF($E1412="","",IF(COUNTIF($E$2:$E1412,$E1412)=1,1,0))</f>
        <v/>
      </c>
      <c r="AO1412">
        <f>IF($AN1412=1,SUMPRODUCT(--($AR$2:$AR$4001&lt;$AR1412))+1,"")</f>
        <v/>
      </c>
      <c r="AP1412">
        <f>IF($E1412="","",IF(OR($U1412=TRUE(),$U1412="TRUE"),1,0))</f>
        <v/>
      </c>
      <c r="AQ1412">
        <f>IF($E1412="","",IF($AA1412="Yes",1,0))</f>
        <v/>
      </c>
      <c r="AR1412">
        <f>IF($AN1412=1,IFERROR(VALUE(MID($E1412,2,20)),1000000000)+ROW()/100000,"")</f>
        <v/>
      </c>
    </row>
    <row r="1413">
      <c r="G1413" s="11" t="n"/>
      <c r="Q1413" s="7">
        <f>IF($E1413="","",P1413*Y1413/100)</f>
        <v/>
      </c>
      <c r="R1413" s="7" t="n"/>
      <c r="X1413" s="7" t="n"/>
      <c r="Y1413" s="7" t="n"/>
      <c r="AB1413">
        <f>IF($E1413="","",IF($AQ1413=1,0,IF($AP1413=1,Settings!$C$6,Settings!$C$7))*100)</f>
        <v/>
      </c>
      <c r="AC1413" s="7">
        <f>IF($E1413="","",Y1413*AB1413/100)</f>
        <v/>
      </c>
      <c r="AD1413" s="7">
        <f>IF($E1413="","",Y1413-AC1413)</f>
        <v/>
      </c>
      <c r="AE1413" s="7">
        <f>IF($E1413="","",AD1413-Q1413)</f>
        <v/>
      </c>
      <c r="AI1413" s="7" t="n"/>
      <c r="AL1413" s="11" t="n"/>
      <c r="AN1413">
        <f>IF($E1413="","",IF(COUNTIF($E$2:$E1413,$E1413)=1,1,0))</f>
        <v/>
      </c>
      <c r="AO1413">
        <f>IF($AN1413=1,SUMPRODUCT(--($AR$2:$AR$4001&lt;$AR1413))+1,"")</f>
        <v/>
      </c>
      <c r="AP1413">
        <f>IF($E1413="","",IF(OR($U1413=TRUE(),$U1413="TRUE"),1,0))</f>
        <v/>
      </c>
      <c r="AQ1413">
        <f>IF($E1413="","",IF($AA1413="Yes",1,0))</f>
        <v/>
      </c>
      <c r="AR1413">
        <f>IF($AN1413=1,IFERROR(VALUE(MID($E1413,2,20)),1000000000)+ROW()/100000,"")</f>
        <v/>
      </c>
    </row>
    <row r="1414">
      <c r="G1414" s="11" t="n"/>
      <c r="Q1414" s="7">
        <f>IF($E1414="","",P1414*Y1414/100)</f>
        <v/>
      </c>
      <c r="R1414" s="7" t="n"/>
      <c r="X1414" s="7" t="n"/>
      <c r="Y1414" s="7" t="n"/>
      <c r="AB1414">
        <f>IF($E1414="","",IF($AQ1414=1,0,IF($AP1414=1,Settings!$C$6,Settings!$C$7))*100)</f>
        <v/>
      </c>
      <c r="AC1414" s="7">
        <f>IF($E1414="","",Y1414*AB1414/100)</f>
        <v/>
      </c>
      <c r="AD1414" s="7">
        <f>IF($E1414="","",Y1414-AC1414)</f>
        <v/>
      </c>
      <c r="AE1414" s="7">
        <f>IF($E1414="","",AD1414-Q1414)</f>
        <v/>
      </c>
      <c r="AI1414" s="7" t="n"/>
      <c r="AL1414" s="11" t="n"/>
      <c r="AN1414">
        <f>IF($E1414="","",IF(COUNTIF($E$2:$E1414,$E1414)=1,1,0))</f>
        <v/>
      </c>
      <c r="AO1414">
        <f>IF($AN1414=1,SUMPRODUCT(--($AR$2:$AR$4001&lt;$AR1414))+1,"")</f>
        <v/>
      </c>
      <c r="AP1414">
        <f>IF($E1414="","",IF(OR($U1414=TRUE(),$U1414="TRUE"),1,0))</f>
        <v/>
      </c>
      <c r="AQ1414">
        <f>IF($E1414="","",IF($AA1414="Yes",1,0))</f>
        <v/>
      </c>
      <c r="AR1414">
        <f>IF($AN1414=1,IFERROR(VALUE(MID($E1414,2,20)),1000000000)+ROW()/100000,"")</f>
        <v/>
      </c>
    </row>
    <row r="1415">
      <c r="G1415" s="11" t="n"/>
      <c r="Q1415" s="7">
        <f>IF($E1415="","",P1415*Y1415/100)</f>
        <v/>
      </c>
      <c r="R1415" s="7" t="n"/>
      <c r="X1415" s="7" t="n"/>
      <c r="Y1415" s="7" t="n"/>
      <c r="AB1415">
        <f>IF($E1415="","",IF($AQ1415=1,0,IF($AP1415=1,Settings!$C$6,Settings!$C$7))*100)</f>
        <v/>
      </c>
      <c r="AC1415" s="7">
        <f>IF($E1415="","",Y1415*AB1415/100)</f>
        <v/>
      </c>
      <c r="AD1415" s="7">
        <f>IF($E1415="","",Y1415-AC1415)</f>
        <v/>
      </c>
      <c r="AE1415" s="7">
        <f>IF($E1415="","",AD1415-Q1415)</f>
        <v/>
      </c>
      <c r="AI1415" s="7" t="n"/>
      <c r="AL1415" s="11" t="n"/>
      <c r="AN1415">
        <f>IF($E1415="","",IF(COUNTIF($E$2:$E1415,$E1415)=1,1,0))</f>
        <v/>
      </c>
      <c r="AO1415">
        <f>IF($AN1415=1,SUMPRODUCT(--($AR$2:$AR$4001&lt;$AR1415))+1,"")</f>
        <v/>
      </c>
      <c r="AP1415">
        <f>IF($E1415="","",IF(OR($U1415=TRUE(),$U1415="TRUE"),1,0))</f>
        <v/>
      </c>
      <c r="AQ1415">
        <f>IF($E1415="","",IF($AA1415="Yes",1,0))</f>
        <v/>
      </c>
      <c r="AR1415">
        <f>IF($AN1415=1,IFERROR(VALUE(MID($E1415,2,20)),1000000000)+ROW()/100000,"")</f>
        <v/>
      </c>
    </row>
    <row r="1416">
      <c r="G1416" s="11" t="n"/>
      <c r="Q1416" s="7">
        <f>IF($E1416="","",P1416*Y1416/100)</f>
        <v/>
      </c>
      <c r="R1416" s="7" t="n"/>
      <c r="X1416" s="7" t="n"/>
      <c r="Y1416" s="7" t="n"/>
      <c r="AB1416">
        <f>IF($E1416="","",IF($AQ1416=1,0,IF($AP1416=1,Settings!$C$6,Settings!$C$7))*100)</f>
        <v/>
      </c>
      <c r="AC1416" s="7">
        <f>IF($E1416="","",Y1416*AB1416/100)</f>
        <v/>
      </c>
      <c r="AD1416" s="7">
        <f>IF($E1416="","",Y1416-AC1416)</f>
        <v/>
      </c>
      <c r="AE1416" s="7">
        <f>IF($E1416="","",AD1416-Q1416)</f>
        <v/>
      </c>
      <c r="AI1416" s="7" t="n"/>
      <c r="AL1416" s="11" t="n"/>
      <c r="AN1416">
        <f>IF($E1416="","",IF(COUNTIF($E$2:$E1416,$E1416)=1,1,0))</f>
        <v/>
      </c>
      <c r="AO1416">
        <f>IF($AN1416=1,SUMPRODUCT(--($AR$2:$AR$4001&lt;$AR1416))+1,"")</f>
        <v/>
      </c>
      <c r="AP1416">
        <f>IF($E1416="","",IF(OR($U1416=TRUE(),$U1416="TRUE"),1,0))</f>
        <v/>
      </c>
      <c r="AQ1416">
        <f>IF($E1416="","",IF($AA1416="Yes",1,0))</f>
        <v/>
      </c>
      <c r="AR1416">
        <f>IF($AN1416=1,IFERROR(VALUE(MID($E1416,2,20)),1000000000)+ROW()/100000,"")</f>
        <v/>
      </c>
    </row>
    <row r="1417">
      <c r="G1417" s="11" t="n"/>
      <c r="Q1417" s="7">
        <f>IF($E1417="","",P1417*Y1417/100)</f>
        <v/>
      </c>
      <c r="R1417" s="7" t="n"/>
      <c r="X1417" s="7" t="n"/>
      <c r="Y1417" s="7" t="n"/>
      <c r="AB1417">
        <f>IF($E1417="","",IF($AQ1417=1,0,IF($AP1417=1,Settings!$C$6,Settings!$C$7))*100)</f>
        <v/>
      </c>
      <c r="AC1417" s="7">
        <f>IF($E1417="","",Y1417*AB1417/100)</f>
        <v/>
      </c>
      <c r="AD1417" s="7">
        <f>IF($E1417="","",Y1417-AC1417)</f>
        <v/>
      </c>
      <c r="AE1417" s="7">
        <f>IF($E1417="","",AD1417-Q1417)</f>
        <v/>
      </c>
      <c r="AI1417" s="7" t="n"/>
      <c r="AL1417" s="11" t="n"/>
      <c r="AN1417">
        <f>IF($E1417="","",IF(COUNTIF($E$2:$E1417,$E1417)=1,1,0))</f>
        <v/>
      </c>
      <c r="AO1417">
        <f>IF($AN1417=1,SUMPRODUCT(--($AR$2:$AR$4001&lt;$AR1417))+1,"")</f>
        <v/>
      </c>
      <c r="AP1417">
        <f>IF($E1417="","",IF(OR($U1417=TRUE(),$U1417="TRUE"),1,0))</f>
        <v/>
      </c>
      <c r="AQ1417">
        <f>IF($E1417="","",IF($AA1417="Yes",1,0))</f>
        <v/>
      </c>
      <c r="AR1417">
        <f>IF($AN1417=1,IFERROR(VALUE(MID($E1417,2,20)),1000000000)+ROW()/100000,"")</f>
        <v/>
      </c>
    </row>
    <row r="1418">
      <c r="G1418" s="11" t="n"/>
      <c r="Q1418" s="7">
        <f>IF($E1418="","",P1418*Y1418/100)</f>
        <v/>
      </c>
      <c r="R1418" s="7" t="n"/>
      <c r="X1418" s="7" t="n"/>
      <c r="Y1418" s="7" t="n"/>
      <c r="AB1418">
        <f>IF($E1418="","",IF($AQ1418=1,0,IF($AP1418=1,Settings!$C$6,Settings!$C$7))*100)</f>
        <v/>
      </c>
      <c r="AC1418" s="7">
        <f>IF($E1418="","",Y1418*AB1418/100)</f>
        <v/>
      </c>
      <c r="AD1418" s="7">
        <f>IF($E1418="","",Y1418-AC1418)</f>
        <v/>
      </c>
      <c r="AE1418" s="7">
        <f>IF($E1418="","",AD1418-Q1418)</f>
        <v/>
      </c>
      <c r="AI1418" s="7" t="n"/>
      <c r="AL1418" s="11" t="n"/>
      <c r="AN1418">
        <f>IF($E1418="","",IF(COUNTIF($E$2:$E1418,$E1418)=1,1,0))</f>
        <v/>
      </c>
      <c r="AO1418">
        <f>IF($AN1418=1,SUMPRODUCT(--($AR$2:$AR$4001&lt;$AR1418))+1,"")</f>
        <v/>
      </c>
      <c r="AP1418">
        <f>IF($E1418="","",IF(OR($U1418=TRUE(),$U1418="TRUE"),1,0))</f>
        <v/>
      </c>
      <c r="AQ1418">
        <f>IF($E1418="","",IF($AA1418="Yes",1,0))</f>
        <v/>
      </c>
      <c r="AR1418">
        <f>IF($AN1418=1,IFERROR(VALUE(MID($E1418,2,20)),1000000000)+ROW()/100000,"")</f>
        <v/>
      </c>
    </row>
    <row r="1419">
      <c r="G1419" s="11" t="n"/>
      <c r="Q1419" s="7">
        <f>IF($E1419="","",P1419*Y1419/100)</f>
        <v/>
      </c>
      <c r="R1419" s="7" t="n"/>
      <c r="X1419" s="7" t="n"/>
      <c r="Y1419" s="7" t="n"/>
      <c r="AB1419">
        <f>IF($E1419="","",IF($AQ1419=1,0,IF($AP1419=1,Settings!$C$6,Settings!$C$7))*100)</f>
        <v/>
      </c>
      <c r="AC1419" s="7">
        <f>IF($E1419="","",Y1419*AB1419/100)</f>
        <v/>
      </c>
      <c r="AD1419" s="7">
        <f>IF($E1419="","",Y1419-AC1419)</f>
        <v/>
      </c>
      <c r="AE1419" s="7">
        <f>IF($E1419="","",AD1419-Q1419)</f>
        <v/>
      </c>
      <c r="AI1419" s="7" t="n"/>
      <c r="AL1419" s="11" t="n"/>
      <c r="AN1419">
        <f>IF($E1419="","",IF(COUNTIF($E$2:$E1419,$E1419)=1,1,0))</f>
        <v/>
      </c>
      <c r="AO1419">
        <f>IF($AN1419=1,SUMPRODUCT(--($AR$2:$AR$4001&lt;$AR1419))+1,"")</f>
        <v/>
      </c>
      <c r="AP1419">
        <f>IF($E1419="","",IF(OR($U1419=TRUE(),$U1419="TRUE"),1,0))</f>
        <v/>
      </c>
      <c r="AQ1419">
        <f>IF($E1419="","",IF($AA1419="Yes",1,0))</f>
        <v/>
      </c>
      <c r="AR1419">
        <f>IF($AN1419=1,IFERROR(VALUE(MID($E1419,2,20)),1000000000)+ROW()/100000,"")</f>
        <v/>
      </c>
    </row>
    <row r="1420">
      <c r="G1420" s="11" t="n"/>
      <c r="Q1420" s="7">
        <f>IF($E1420="","",P1420*Y1420/100)</f>
        <v/>
      </c>
      <c r="R1420" s="7" t="n"/>
      <c r="X1420" s="7" t="n"/>
      <c r="Y1420" s="7" t="n"/>
      <c r="AB1420">
        <f>IF($E1420="","",IF($AQ1420=1,0,IF($AP1420=1,Settings!$C$6,Settings!$C$7))*100)</f>
        <v/>
      </c>
      <c r="AC1420" s="7">
        <f>IF($E1420="","",Y1420*AB1420/100)</f>
        <v/>
      </c>
      <c r="AD1420" s="7">
        <f>IF($E1420="","",Y1420-AC1420)</f>
        <v/>
      </c>
      <c r="AE1420" s="7">
        <f>IF($E1420="","",AD1420-Q1420)</f>
        <v/>
      </c>
      <c r="AI1420" s="7" t="n"/>
      <c r="AL1420" s="11" t="n"/>
      <c r="AN1420">
        <f>IF($E1420="","",IF(COUNTIF($E$2:$E1420,$E1420)=1,1,0))</f>
        <v/>
      </c>
      <c r="AO1420">
        <f>IF($AN1420=1,SUMPRODUCT(--($AR$2:$AR$4001&lt;$AR1420))+1,"")</f>
        <v/>
      </c>
      <c r="AP1420">
        <f>IF($E1420="","",IF(OR($U1420=TRUE(),$U1420="TRUE"),1,0))</f>
        <v/>
      </c>
      <c r="AQ1420">
        <f>IF($E1420="","",IF($AA1420="Yes",1,0))</f>
        <v/>
      </c>
      <c r="AR1420">
        <f>IF($AN1420=1,IFERROR(VALUE(MID($E1420,2,20)),1000000000)+ROW()/100000,"")</f>
        <v/>
      </c>
    </row>
    <row r="1421">
      <c r="G1421" s="11" t="n"/>
      <c r="Q1421" s="7">
        <f>IF($E1421="","",P1421*Y1421/100)</f>
        <v/>
      </c>
      <c r="R1421" s="7" t="n"/>
      <c r="X1421" s="7" t="n"/>
      <c r="Y1421" s="7" t="n"/>
      <c r="AB1421">
        <f>IF($E1421="","",IF($AQ1421=1,0,IF($AP1421=1,Settings!$C$6,Settings!$C$7))*100)</f>
        <v/>
      </c>
      <c r="AC1421" s="7">
        <f>IF($E1421="","",Y1421*AB1421/100)</f>
        <v/>
      </c>
      <c r="AD1421" s="7">
        <f>IF($E1421="","",Y1421-AC1421)</f>
        <v/>
      </c>
      <c r="AE1421" s="7">
        <f>IF($E1421="","",AD1421-Q1421)</f>
        <v/>
      </c>
      <c r="AI1421" s="7" t="n"/>
      <c r="AL1421" s="11" t="n"/>
      <c r="AN1421">
        <f>IF($E1421="","",IF(COUNTIF($E$2:$E1421,$E1421)=1,1,0))</f>
        <v/>
      </c>
      <c r="AO1421">
        <f>IF($AN1421=1,SUMPRODUCT(--($AR$2:$AR$4001&lt;$AR1421))+1,"")</f>
        <v/>
      </c>
      <c r="AP1421">
        <f>IF($E1421="","",IF(OR($U1421=TRUE(),$U1421="TRUE"),1,0))</f>
        <v/>
      </c>
      <c r="AQ1421">
        <f>IF($E1421="","",IF($AA1421="Yes",1,0))</f>
        <v/>
      </c>
      <c r="AR1421">
        <f>IF($AN1421=1,IFERROR(VALUE(MID($E1421,2,20)),1000000000)+ROW()/100000,"")</f>
        <v/>
      </c>
    </row>
    <row r="1422">
      <c r="G1422" s="11" t="n"/>
      <c r="Q1422" s="7">
        <f>IF($E1422="","",P1422*Y1422/100)</f>
        <v/>
      </c>
      <c r="R1422" s="7" t="n"/>
      <c r="X1422" s="7" t="n"/>
      <c r="Y1422" s="7" t="n"/>
      <c r="AB1422">
        <f>IF($E1422="","",IF($AQ1422=1,0,IF($AP1422=1,Settings!$C$6,Settings!$C$7))*100)</f>
        <v/>
      </c>
      <c r="AC1422" s="7">
        <f>IF($E1422="","",Y1422*AB1422/100)</f>
        <v/>
      </c>
      <c r="AD1422" s="7">
        <f>IF($E1422="","",Y1422-AC1422)</f>
        <v/>
      </c>
      <c r="AE1422" s="7">
        <f>IF($E1422="","",AD1422-Q1422)</f>
        <v/>
      </c>
      <c r="AI1422" s="7" t="n"/>
      <c r="AL1422" s="11" t="n"/>
      <c r="AN1422">
        <f>IF($E1422="","",IF(COUNTIF($E$2:$E1422,$E1422)=1,1,0))</f>
        <v/>
      </c>
      <c r="AO1422">
        <f>IF($AN1422=1,SUMPRODUCT(--($AR$2:$AR$4001&lt;$AR1422))+1,"")</f>
        <v/>
      </c>
      <c r="AP1422">
        <f>IF($E1422="","",IF(OR($U1422=TRUE(),$U1422="TRUE"),1,0))</f>
        <v/>
      </c>
      <c r="AQ1422">
        <f>IF($E1422="","",IF($AA1422="Yes",1,0))</f>
        <v/>
      </c>
      <c r="AR1422">
        <f>IF($AN1422=1,IFERROR(VALUE(MID($E1422,2,20)),1000000000)+ROW()/100000,"")</f>
        <v/>
      </c>
    </row>
    <row r="1423">
      <c r="G1423" s="11" t="n"/>
      <c r="Q1423" s="7">
        <f>IF($E1423="","",P1423*Y1423/100)</f>
        <v/>
      </c>
      <c r="R1423" s="7" t="n"/>
      <c r="X1423" s="7" t="n"/>
      <c r="Y1423" s="7" t="n"/>
      <c r="AB1423">
        <f>IF($E1423="","",IF($AQ1423=1,0,IF($AP1423=1,Settings!$C$6,Settings!$C$7))*100)</f>
        <v/>
      </c>
      <c r="AC1423" s="7">
        <f>IF($E1423="","",Y1423*AB1423/100)</f>
        <v/>
      </c>
      <c r="AD1423" s="7">
        <f>IF($E1423="","",Y1423-AC1423)</f>
        <v/>
      </c>
      <c r="AE1423" s="7">
        <f>IF($E1423="","",AD1423-Q1423)</f>
        <v/>
      </c>
      <c r="AI1423" s="7" t="n"/>
      <c r="AL1423" s="11" t="n"/>
      <c r="AN1423">
        <f>IF($E1423="","",IF(COUNTIF($E$2:$E1423,$E1423)=1,1,0))</f>
        <v/>
      </c>
      <c r="AO1423">
        <f>IF($AN1423=1,SUMPRODUCT(--($AR$2:$AR$4001&lt;$AR1423))+1,"")</f>
        <v/>
      </c>
      <c r="AP1423">
        <f>IF($E1423="","",IF(OR($U1423=TRUE(),$U1423="TRUE"),1,0))</f>
        <v/>
      </c>
      <c r="AQ1423">
        <f>IF($E1423="","",IF($AA1423="Yes",1,0))</f>
        <v/>
      </c>
      <c r="AR1423">
        <f>IF($AN1423=1,IFERROR(VALUE(MID($E1423,2,20)),1000000000)+ROW()/100000,"")</f>
        <v/>
      </c>
    </row>
    <row r="1424">
      <c r="G1424" s="11" t="n"/>
      <c r="Q1424" s="7">
        <f>IF($E1424="","",P1424*Y1424/100)</f>
        <v/>
      </c>
      <c r="R1424" s="7" t="n"/>
      <c r="X1424" s="7" t="n"/>
      <c r="Y1424" s="7" t="n"/>
      <c r="AB1424">
        <f>IF($E1424="","",IF($AQ1424=1,0,IF($AP1424=1,Settings!$C$6,Settings!$C$7))*100)</f>
        <v/>
      </c>
      <c r="AC1424" s="7">
        <f>IF($E1424="","",Y1424*AB1424/100)</f>
        <v/>
      </c>
      <c r="AD1424" s="7">
        <f>IF($E1424="","",Y1424-AC1424)</f>
        <v/>
      </c>
      <c r="AE1424" s="7">
        <f>IF($E1424="","",AD1424-Q1424)</f>
        <v/>
      </c>
      <c r="AI1424" s="7" t="n"/>
      <c r="AL1424" s="11" t="n"/>
      <c r="AN1424">
        <f>IF($E1424="","",IF(COUNTIF($E$2:$E1424,$E1424)=1,1,0))</f>
        <v/>
      </c>
      <c r="AO1424">
        <f>IF($AN1424=1,SUMPRODUCT(--($AR$2:$AR$4001&lt;$AR1424))+1,"")</f>
        <v/>
      </c>
      <c r="AP1424">
        <f>IF($E1424="","",IF(OR($U1424=TRUE(),$U1424="TRUE"),1,0))</f>
        <v/>
      </c>
      <c r="AQ1424">
        <f>IF($E1424="","",IF($AA1424="Yes",1,0))</f>
        <v/>
      </c>
      <c r="AR1424">
        <f>IF($AN1424=1,IFERROR(VALUE(MID($E1424,2,20)),1000000000)+ROW()/100000,"")</f>
        <v/>
      </c>
    </row>
    <row r="1425">
      <c r="G1425" s="11" t="n"/>
      <c r="Q1425" s="7">
        <f>IF($E1425="","",P1425*Y1425/100)</f>
        <v/>
      </c>
      <c r="R1425" s="7" t="n"/>
      <c r="X1425" s="7" t="n"/>
      <c r="Y1425" s="7" t="n"/>
      <c r="AB1425">
        <f>IF($E1425="","",IF($AQ1425=1,0,IF($AP1425=1,Settings!$C$6,Settings!$C$7))*100)</f>
        <v/>
      </c>
      <c r="AC1425" s="7">
        <f>IF($E1425="","",Y1425*AB1425/100)</f>
        <v/>
      </c>
      <c r="AD1425" s="7">
        <f>IF($E1425="","",Y1425-AC1425)</f>
        <v/>
      </c>
      <c r="AE1425" s="7">
        <f>IF($E1425="","",AD1425-Q1425)</f>
        <v/>
      </c>
      <c r="AI1425" s="7" t="n"/>
      <c r="AL1425" s="11" t="n"/>
      <c r="AN1425">
        <f>IF($E1425="","",IF(COUNTIF($E$2:$E1425,$E1425)=1,1,0))</f>
        <v/>
      </c>
      <c r="AO1425">
        <f>IF($AN1425=1,SUMPRODUCT(--($AR$2:$AR$4001&lt;$AR1425))+1,"")</f>
        <v/>
      </c>
      <c r="AP1425">
        <f>IF($E1425="","",IF(OR($U1425=TRUE(),$U1425="TRUE"),1,0))</f>
        <v/>
      </c>
      <c r="AQ1425">
        <f>IF($E1425="","",IF($AA1425="Yes",1,0))</f>
        <v/>
      </c>
      <c r="AR1425">
        <f>IF($AN1425=1,IFERROR(VALUE(MID($E1425,2,20)),1000000000)+ROW()/100000,"")</f>
        <v/>
      </c>
    </row>
    <row r="1426">
      <c r="G1426" s="11" t="n"/>
      <c r="Q1426" s="7">
        <f>IF($E1426="","",P1426*Y1426/100)</f>
        <v/>
      </c>
      <c r="R1426" s="7" t="n"/>
      <c r="X1426" s="7" t="n"/>
      <c r="Y1426" s="7" t="n"/>
      <c r="AB1426">
        <f>IF($E1426="","",IF($AQ1426=1,0,IF($AP1426=1,Settings!$C$6,Settings!$C$7))*100)</f>
        <v/>
      </c>
      <c r="AC1426" s="7">
        <f>IF($E1426="","",Y1426*AB1426/100)</f>
        <v/>
      </c>
      <c r="AD1426" s="7">
        <f>IF($E1426="","",Y1426-AC1426)</f>
        <v/>
      </c>
      <c r="AE1426" s="7">
        <f>IF($E1426="","",AD1426-Q1426)</f>
        <v/>
      </c>
      <c r="AI1426" s="7" t="n"/>
      <c r="AL1426" s="11" t="n"/>
      <c r="AN1426">
        <f>IF($E1426="","",IF(COUNTIF($E$2:$E1426,$E1426)=1,1,0))</f>
        <v/>
      </c>
      <c r="AO1426">
        <f>IF($AN1426=1,SUMPRODUCT(--($AR$2:$AR$4001&lt;$AR1426))+1,"")</f>
        <v/>
      </c>
      <c r="AP1426">
        <f>IF($E1426="","",IF(OR($U1426=TRUE(),$U1426="TRUE"),1,0))</f>
        <v/>
      </c>
      <c r="AQ1426">
        <f>IF($E1426="","",IF($AA1426="Yes",1,0))</f>
        <v/>
      </c>
      <c r="AR1426">
        <f>IF($AN1426=1,IFERROR(VALUE(MID($E1426,2,20)),1000000000)+ROW()/100000,"")</f>
        <v/>
      </c>
    </row>
    <row r="1427">
      <c r="G1427" s="11" t="n"/>
      <c r="Q1427" s="7">
        <f>IF($E1427="","",P1427*Y1427/100)</f>
        <v/>
      </c>
      <c r="R1427" s="7" t="n"/>
      <c r="X1427" s="7" t="n"/>
      <c r="Y1427" s="7" t="n"/>
      <c r="AB1427">
        <f>IF($E1427="","",IF($AQ1427=1,0,IF($AP1427=1,Settings!$C$6,Settings!$C$7))*100)</f>
        <v/>
      </c>
      <c r="AC1427" s="7">
        <f>IF($E1427="","",Y1427*AB1427/100)</f>
        <v/>
      </c>
      <c r="AD1427" s="7">
        <f>IF($E1427="","",Y1427-AC1427)</f>
        <v/>
      </c>
      <c r="AE1427" s="7">
        <f>IF($E1427="","",AD1427-Q1427)</f>
        <v/>
      </c>
      <c r="AI1427" s="7" t="n"/>
      <c r="AL1427" s="11" t="n"/>
      <c r="AN1427">
        <f>IF($E1427="","",IF(COUNTIF($E$2:$E1427,$E1427)=1,1,0))</f>
        <v/>
      </c>
      <c r="AO1427">
        <f>IF($AN1427=1,SUMPRODUCT(--($AR$2:$AR$4001&lt;$AR1427))+1,"")</f>
        <v/>
      </c>
      <c r="AP1427">
        <f>IF($E1427="","",IF(OR($U1427=TRUE(),$U1427="TRUE"),1,0))</f>
        <v/>
      </c>
      <c r="AQ1427">
        <f>IF($E1427="","",IF($AA1427="Yes",1,0))</f>
        <v/>
      </c>
      <c r="AR1427">
        <f>IF($AN1427=1,IFERROR(VALUE(MID($E1427,2,20)),1000000000)+ROW()/100000,"")</f>
        <v/>
      </c>
    </row>
    <row r="1428">
      <c r="G1428" s="11" t="n"/>
      <c r="Q1428" s="7">
        <f>IF($E1428="","",P1428*Y1428/100)</f>
        <v/>
      </c>
      <c r="R1428" s="7" t="n"/>
      <c r="X1428" s="7" t="n"/>
      <c r="Y1428" s="7" t="n"/>
      <c r="AB1428">
        <f>IF($E1428="","",IF($AQ1428=1,0,IF($AP1428=1,Settings!$C$6,Settings!$C$7))*100)</f>
        <v/>
      </c>
      <c r="AC1428" s="7">
        <f>IF($E1428="","",Y1428*AB1428/100)</f>
        <v/>
      </c>
      <c r="AD1428" s="7">
        <f>IF($E1428="","",Y1428-AC1428)</f>
        <v/>
      </c>
      <c r="AE1428" s="7">
        <f>IF($E1428="","",AD1428-Q1428)</f>
        <v/>
      </c>
      <c r="AI1428" s="7" t="n"/>
      <c r="AL1428" s="11" t="n"/>
      <c r="AN1428">
        <f>IF($E1428="","",IF(COUNTIF($E$2:$E1428,$E1428)=1,1,0))</f>
        <v/>
      </c>
      <c r="AO1428">
        <f>IF($AN1428=1,SUMPRODUCT(--($AR$2:$AR$4001&lt;$AR1428))+1,"")</f>
        <v/>
      </c>
      <c r="AP1428">
        <f>IF($E1428="","",IF(OR($U1428=TRUE(),$U1428="TRUE"),1,0))</f>
        <v/>
      </c>
      <c r="AQ1428">
        <f>IF($E1428="","",IF($AA1428="Yes",1,0))</f>
        <v/>
      </c>
      <c r="AR1428">
        <f>IF($AN1428=1,IFERROR(VALUE(MID($E1428,2,20)),1000000000)+ROW()/100000,"")</f>
        <v/>
      </c>
    </row>
    <row r="1429">
      <c r="G1429" s="11" t="n"/>
      <c r="Q1429" s="7">
        <f>IF($E1429="","",P1429*Y1429/100)</f>
        <v/>
      </c>
      <c r="R1429" s="7" t="n"/>
      <c r="X1429" s="7" t="n"/>
      <c r="Y1429" s="7" t="n"/>
      <c r="AB1429">
        <f>IF($E1429="","",IF($AQ1429=1,0,IF($AP1429=1,Settings!$C$6,Settings!$C$7))*100)</f>
        <v/>
      </c>
      <c r="AC1429" s="7">
        <f>IF($E1429="","",Y1429*AB1429/100)</f>
        <v/>
      </c>
      <c r="AD1429" s="7">
        <f>IF($E1429="","",Y1429-AC1429)</f>
        <v/>
      </c>
      <c r="AE1429" s="7">
        <f>IF($E1429="","",AD1429-Q1429)</f>
        <v/>
      </c>
      <c r="AI1429" s="7" t="n"/>
      <c r="AL1429" s="11" t="n"/>
      <c r="AN1429">
        <f>IF($E1429="","",IF(COUNTIF($E$2:$E1429,$E1429)=1,1,0))</f>
        <v/>
      </c>
      <c r="AO1429">
        <f>IF($AN1429=1,SUMPRODUCT(--($AR$2:$AR$4001&lt;$AR1429))+1,"")</f>
        <v/>
      </c>
      <c r="AP1429">
        <f>IF($E1429="","",IF(OR($U1429=TRUE(),$U1429="TRUE"),1,0))</f>
        <v/>
      </c>
      <c r="AQ1429">
        <f>IF($E1429="","",IF($AA1429="Yes",1,0))</f>
        <v/>
      </c>
      <c r="AR1429">
        <f>IF($AN1429=1,IFERROR(VALUE(MID($E1429,2,20)),1000000000)+ROW()/100000,"")</f>
        <v/>
      </c>
    </row>
    <row r="1430">
      <c r="G1430" s="11" t="n"/>
      <c r="Q1430" s="7">
        <f>IF($E1430="","",P1430*Y1430/100)</f>
        <v/>
      </c>
      <c r="R1430" s="7" t="n"/>
      <c r="X1430" s="7" t="n"/>
      <c r="Y1430" s="7" t="n"/>
      <c r="AB1430">
        <f>IF($E1430="","",IF($AQ1430=1,0,IF($AP1430=1,Settings!$C$6,Settings!$C$7))*100)</f>
        <v/>
      </c>
      <c r="AC1430" s="7">
        <f>IF($E1430="","",Y1430*AB1430/100)</f>
        <v/>
      </c>
      <c r="AD1430" s="7">
        <f>IF($E1430="","",Y1430-AC1430)</f>
        <v/>
      </c>
      <c r="AE1430" s="7">
        <f>IF($E1430="","",AD1430-Q1430)</f>
        <v/>
      </c>
      <c r="AI1430" s="7" t="n"/>
      <c r="AL1430" s="11" t="n"/>
      <c r="AN1430">
        <f>IF($E1430="","",IF(COUNTIF($E$2:$E1430,$E1430)=1,1,0))</f>
        <v/>
      </c>
      <c r="AO1430">
        <f>IF($AN1430=1,SUMPRODUCT(--($AR$2:$AR$4001&lt;$AR1430))+1,"")</f>
        <v/>
      </c>
      <c r="AP1430">
        <f>IF($E1430="","",IF(OR($U1430=TRUE(),$U1430="TRUE"),1,0))</f>
        <v/>
      </c>
      <c r="AQ1430">
        <f>IF($E1430="","",IF($AA1430="Yes",1,0))</f>
        <v/>
      </c>
      <c r="AR1430">
        <f>IF($AN1430=1,IFERROR(VALUE(MID($E1430,2,20)),1000000000)+ROW()/100000,"")</f>
        <v/>
      </c>
    </row>
    <row r="1431">
      <c r="G1431" s="11" t="n"/>
      <c r="Q1431" s="7">
        <f>IF($E1431="","",P1431*Y1431/100)</f>
        <v/>
      </c>
      <c r="R1431" s="7" t="n"/>
      <c r="X1431" s="7" t="n"/>
      <c r="Y1431" s="7" t="n"/>
      <c r="AB1431">
        <f>IF($E1431="","",IF($AQ1431=1,0,IF($AP1431=1,Settings!$C$6,Settings!$C$7))*100)</f>
        <v/>
      </c>
      <c r="AC1431" s="7">
        <f>IF($E1431="","",Y1431*AB1431/100)</f>
        <v/>
      </c>
      <c r="AD1431" s="7">
        <f>IF($E1431="","",Y1431-AC1431)</f>
        <v/>
      </c>
      <c r="AE1431" s="7">
        <f>IF($E1431="","",AD1431-Q1431)</f>
        <v/>
      </c>
      <c r="AI1431" s="7" t="n"/>
      <c r="AL1431" s="11" t="n"/>
      <c r="AN1431">
        <f>IF($E1431="","",IF(COUNTIF($E$2:$E1431,$E1431)=1,1,0))</f>
        <v/>
      </c>
      <c r="AO1431">
        <f>IF($AN1431=1,SUMPRODUCT(--($AR$2:$AR$4001&lt;$AR1431))+1,"")</f>
        <v/>
      </c>
      <c r="AP1431">
        <f>IF($E1431="","",IF(OR($U1431=TRUE(),$U1431="TRUE"),1,0))</f>
        <v/>
      </c>
      <c r="AQ1431">
        <f>IF($E1431="","",IF($AA1431="Yes",1,0))</f>
        <v/>
      </c>
      <c r="AR1431">
        <f>IF($AN1431=1,IFERROR(VALUE(MID($E1431,2,20)),1000000000)+ROW()/100000,"")</f>
        <v/>
      </c>
    </row>
    <row r="1432">
      <c r="G1432" s="11" t="n"/>
      <c r="Q1432" s="7">
        <f>IF($E1432="","",P1432*Y1432/100)</f>
        <v/>
      </c>
      <c r="R1432" s="7" t="n"/>
      <c r="X1432" s="7" t="n"/>
      <c r="Y1432" s="7" t="n"/>
      <c r="AB1432">
        <f>IF($E1432="","",IF($AQ1432=1,0,IF($AP1432=1,Settings!$C$6,Settings!$C$7))*100)</f>
        <v/>
      </c>
      <c r="AC1432" s="7">
        <f>IF($E1432="","",Y1432*AB1432/100)</f>
        <v/>
      </c>
      <c r="AD1432" s="7">
        <f>IF($E1432="","",Y1432-AC1432)</f>
        <v/>
      </c>
      <c r="AE1432" s="7">
        <f>IF($E1432="","",AD1432-Q1432)</f>
        <v/>
      </c>
      <c r="AI1432" s="7" t="n"/>
      <c r="AL1432" s="11" t="n"/>
      <c r="AN1432">
        <f>IF($E1432="","",IF(COUNTIF($E$2:$E1432,$E1432)=1,1,0))</f>
        <v/>
      </c>
      <c r="AO1432">
        <f>IF($AN1432=1,SUMPRODUCT(--($AR$2:$AR$4001&lt;$AR1432))+1,"")</f>
        <v/>
      </c>
      <c r="AP1432">
        <f>IF($E1432="","",IF(OR($U1432=TRUE(),$U1432="TRUE"),1,0))</f>
        <v/>
      </c>
      <c r="AQ1432">
        <f>IF($E1432="","",IF($AA1432="Yes",1,0))</f>
        <v/>
      </c>
      <c r="AR1432">
        <f>IF($AN1432=1,IFERROR(VALUE(MID($E1432,2,20)),1000000000)+ROW()/100000,"")</f>
        <v/>
      </c>
    </row>
    <row r="1433">
      <c r="G1433" s="11" t="n"/>
      <c r="Q1433" s="7">
        <f>IF($E1433="","",P1433*Y1433/100)</f>
        <v/>
      </c>
      <c r="R1433" s="7" t="n"/>
      <c r="X1433" s="7" t="n"/>
      <c r="Y1433" s="7" t="n"/>
      <c r="AB1433">
        <f>IF($E1433="","",IF($AQ1433=1,0,IF($AP1433=1,Settings!$C$6,Settings!$C$7))*100)</f>
        <v/>
      </c>
      <c r="AC1433" s="7">
        <f>IF($E1433="","",Y1433*AB1433/100)</f>
        <v/>
      </c>
      <c r="AD1433" s="7">
        <f>IF($E1433="","",Y1433-AC1433)</f>
        <v/>
      </c>
      <c r="AE1433" s="7">
        <f>IF($E1433="","",AD1433-Q1433)</f>
        <v/>
      </c>
      <c r="AI1433" s="7" t="n"/>
      <c r="AL1433" s="11" t="n"/>
      <c r="AN1433">
        <f>IF($E1433="","",IF(COUNTIF($E$2:$E1433,$E1433)=1,1,0))</f>
        <v/>
      </c>
      <c r="AO1433">
        <f>IF($AN1433=1,SUMPRODUCT(--($AR$2:$AR$4001&lt;$AR1433))+1,"")</f>
        <v/>
      </c>
      <c r="AP1433">
        <f>IF($E1433="","",IF(OR($U1433=TRUE(),$U1433="TRUE"),1,0))</f>
        <v/>
      </c>
      <c r="AQ1433">
        <f>IF($E1433="","",IF($AA1433="Yes",1,0))</f>
        <v/>
      </c>
      <c r="AR1433">
        <f>IF($AN1433=1,IFERROR(VALUE(MID($E1433,2,20)),1000000000)+ROW()/100000,"")</f>
        <v/>
      </c>
    </row>
    <row r="1434">
      <c r="G1434" s="11" t="n"/>
      <c r="Q1434" s="7">
        <f>IF($E1434="","",P1434*Y1434/100)</f>
        <v/>
      </c>
      <c r="R1434" s="7" t="n"/>
      <c r="X1434" s="7" t="n"/>
      <c r="Y1434" s="7" t="n"/>
      <c r="AB1434">
        <f>IF($E1434="","",IF($AQ1434=1,0,IF($AP1434=1,Settings!$C$6,Settings!$C$7))*100)</f>
        <v/>
      </c>
      <c r="AC1434" s="7">
        <f>IF($E1434="","",Y1434*AB1434/100)</f>
        <v/>
      </c>
      <c r="AD1434" s="7">
        <f>IF($E1434="","",Y1434-AC1434)</f>
        <v/>
      </c>
      <c r="AE1434" s="7">
        <f>IF($E1434="","",AD1434-Q1434)</f>
        <v/>
      </c>
      <c r="AI1434" s="7" t="n"/>
      <c r="AL1434" s="11" t="n"/>
      <c r="AN1434">
        <f>IF($E1434="","",IF(COUNTIF($E$2:$E1434,$E1434)=1,1,0))</f>
        <v/>
      </c>
      <c r="AO1434">
        <f>IF($AN1434=1,SUMPRODUCT(--($AR$2:$AR$4001&lt;$AR1434))+1,"")</f>
        <v/>
      </c>
      <c r="AP1434">
        <f>IF($E1434="","",IF(OR($U1434=TRUE(),$U1434="TRUE"),1,0))</f>
        <v/>
      </c>
      <c r="AQ1434">
        <f>IF($E1434="","",IF($AA1434="Yes",1,0))</f>
        <v/>
      </c>
      <c r="AR1434">
        <f>IF($AN1434=1,IFERROR(VALUE(MID($E1434,2,20)),1000000000)+ROW()/100000,"")</f>
        <v/>
      </c>
    </row>
    <row r="1435">
      <c r="G1435" s="11" t="n"/>
      <c r="Q1435" s="7">
        <f>IF($E1435="","",P1435*Y1435/100)</f>
        <v/>
      </c>
      <c r="R1435" s="7" t="n"/>
      <c r="X1435" s="7" t="n"/>
      <c r="Y1435" s="7" t="n"/>
      <c r="AB1435">
        <f>IF($E1435="","",IF($AQ1435=1,0,IF($AP1435=1,Settings!$C$6,Settings!$C$7))*100)</f>
        <v/>
      </c>
      <c r="AC1435" s="7">
        <f>IF($E1435="","",Y1435*AB1435/100)</f>
        <v/>
      </c>
      <c r="AD1435" s="7">
        <f>IF($E1435="","",Y1435-AC1435)</f>
        <v/>
      </c>
      <c r="AE1435" s="7">
        <f>IF($E1435="","",AD1435-Q1435)</f>
        <v/>
      </c>
      <c r="AI1435" s="7" t="n"/>
      <c r="AL1435" s="11" t="n"/>
      <c r="AN1435">
        <f>IF($E1435="","",IF(COUNTIF($E$2:$E1435,$E1435)=1,1,0))</f>
        <v/>
      </c>
      <c r="AO1435">
        <f>IF($AN1435=1,SUMPRODUCT(--($AR$2:$AR$4001&lt;$AR1435))+1,"")</f>
        <v/>
      </c>
      <c r="AP1435">
        <f>IF($E1435="","",IF(OR($U1435=TRUE(),$U1435="TRUE"),1,0))</f>
        <v/>
      </c>
      <c r="AQ1435">
        <f>IF($E1435="","",IF($AA1435="Yes",1,0))</f>
        <v/>
      </c>
      <c r="AR1435">
        <f>IF($AN1435=1,IFERROR(VALUE(MID($E1435,2,20)),1000000000)+ROW()/100000,"")</f>
        <v/>
      </c>
    </row>
    <row r="1436">
      <c r="G1436" s="11" t="n"/>
      <c r="Q1436" s="7">
        <f>IF($E1436="","",P1436*Y1436/100)</f>
        <v/>
      </c>
      <c r="R1436" s="7" t="n"/>
      <c r="X1436" s="7" t="n"/>
      <c r="Y1436" s="7" t="n"/>
      <c r="AB1436">
        <f>IF($E1436="","",IF($AQ1436=1,0,IF($AP1436=1,Settings!$C$6,Settings!$C$7))*100)</f>
        <v/>
      </c>
      <c r="AC1436" s="7">
        <f>IF($E1436="","",Y1436*AB1436/100)</f>
        <v/>
      </c>
      <c r="AD1436" s="7">
        <f>IF($E1436="","",Y1436-AC1436)</f>
        <v/>
      </c>
      <c r="AE1436" s="7">
        <f>IF($E1436="","",AD1436-Q1436)</f>
        <v/>
      </c>
      <c r="AI1436" s="7" t="n"/>
      <c r="AL1436" s="11" t="n"/>
      <c r="AN1436">
        <f>IF($E1436="","",IF(COUNTIF($E$2:$E1436,$E1436)=1,1,0))</f>
        <v/>
      </c>
      <c r="AO1436">
        <f>IF($AN1436=1,SUMPRODUCT(--($AR$2:$AR$4001&lt;$AR1436))+1,"")</f>
        <v/>
      </c>
      <c r="AP1436">
        <f>IF($E1436="","",IF(OR($U1436=TRUE(),$U1436="TRUE"),1,0))</f>
        <v/>
      </c>
      <c r="AQ1436">
        <f>IF($E1436="","",IF($AA1436="Yes",1,0))</f>
        <v/>
      </c>
      <c r="AR1436">
        <f>IF($AN1436=1,IFERROR(VALUE(MID($E1436,2,20)),1000000000)+ROW()/100000,"")</f>
        <v/>
      </c>
    </row>
    <row r="1437">
      <c r="G1437" s="11" t="n"/>
      <c r="Q1437" s="7">
        <f>IF($E1437="","",P1437*Y1437/100)</f>
        <v/>
      </c>
      <c r="R1437" s="7" t="n"/>
      <c r="X1437" s="7" t="n"/>
      <c r="Y1437" s="7" t="n"/>
      <c r="AB1437">
        <f>IF($E1437="","",IF($AQ1437=1,0,IF($AP1437=1,Settings!$C$6,Settings!$C$7))*100)</f>
        <v/>
      </c>
      <c r="AC1437" s="7">
        <f>IF($E1437="","",Y1437*AB1437/100)</f>
        <v/>
      </c>
      <c r="AD1437" s="7">
        <f>IF($E1437="","",Y1437-AC1437)</f>
        <v/>
      </c>
      <c r="AE1437" s="7">
        <f>IF($E1437="","",AD1437-Q1437)</f>
        <v/>
      </c>
      <c r="AI1437" s="7" t="n"/>
      <c r="AL1437" s="11" t="n"/>
      <c r="AN1437">
        <f>IF($E1437="","",IF(COUNTIF($E$2:$E1437,$E1437)=1,1,0))</f>
        <v/>
      </c>
      <c r="AO1437">
        <f>IF($AN1437=1,SUMPRODUCT(--($AR$2:$AR$4001&lt;$AR1437))+1,"")</f>
        <v/>
      </c>
      <c r="AP1437">
        <f>IF($E1437="","",IF(OR($U1437=TRUE(),$U1437="TRUE"),1,0))</f>
        <v/>
      </c>
      <c r="AQ1437">
        <f>IF($E1437="","",IF($AA1437="Yes",1,0))</f>
        <v/>
      </c>
      <c r="AR1437">
        <f>IF($AN1437=1,IFERROR(VALUE(MID($E1437,2,20)),1000000000)+ROW()/100000,"")</f>
        <v/>
      </c>
    </row>
    <row r="1438">
      <c r="G1438" s="11" t="n"/>
      <c r="Q1438" s="7">
        <f>IF($E1438="","",P1438*Y1438/100)</f>
        <v/>
      </c>
      <c r="R1438" s="7" t="n"/>
      <c r="X1438" s="7" t="n"/>
      <c r="Y1438" s="7" t="n"/>
      <c r="AB1438">
        <f>IF($E1438="","",IF($AQ1438=1,0,IF($AP1438=1,Settings!$C$6,Settings!$C$7))*100)</f>
        <v/>
      </c>
      <c r="AC1438" s="7">
        <f>IF($E1438="","",Y1438*AB1438/100)</f>
        <v/>
      </c>
      <c r="AD1438" s="7">
        <f>IF($E1438="","",Y1438-AC1438)</f>
        <v/>
      </c>
      <c r="AE1438" s="7">
        <f>IF($E1438="","",AD1438-Q1438)</f>
        <v/>
      </c>
      <c r="AI1438" s="7" t="n"/>
      <c r="AL1438" s="11" t="n"/>
      <c r="AN1438">
        <f>IF($E1438="","",IF(COUNTIF($E$2:$E1438,$E1438)=1,1,0))</f>
        <v/>
      </c>
      <c r="AO1438">
        <f>IF($AN1438=1,SUMPRODUCT(--($AR$2:$AR$4001&lt;$AR1438))+1,"")</f>
        <v/>
      </c>
      <c r="AP1438">
        <f>IF($E1438="","",IF(OR($U1438=TRUE(),$U1438="TRUE"),1,0))</f>
        <v/>
      </c>
      <c r="AQ1438">
        <f>IF($E1438="","",IF($AA1438="Yes",1,0))</f>
        <v/>
      </c>
      <c r="AR1438">
        <f>IF($AN1438=1,IFERROR(VALUE(MID($E1438,2,20)),1000000000)+ROW()/100000,"")</f>
        <v/>
      </c>
    </row>
    <row r="1439">
      <c r="G1439" s="11" t="n"/>
      <c r="Q1439" s="7">
        <f>IF($E1439="","",P1439*Y1439/100)</f>
        <v/>
      </c>
      <c r="R1439" s="7" t="n"/>
      <c r="X1439" s="7" t="n"/>
      <c r="Y1439" s="7" t="n"/>
      <c r="AB1439">
        <f>IF($E1439="","",IF($AQ1439=1,0,IF($AP1439=1,Settings!$C$6,Settings!$C$7))*100)</f>
        <v/>
      </c>
      <c r="AC1439" s="7">
        <f>IF($E1439="","",Y1439*AB1439/100)</f>
        <v/>
      </c>
      <c r="AD1439" s="7">
        <f>IF($E1439="","",Y1439-AC1439)</f>
        <v/>
      </c>
      <c r="AE1439" s="7">
        <f>IF($E1439="","",AD1439-Q1439)</f>
        <v/>
      </c>
      <c r="AI1439" s="7" t="n"/>
      <c r="AL1439" s="11" t="n"/>
      <c r="AN1439">
        <f>IF($E1439="","",IF(COUNTIF($E$2:$E1439,$E1439)=1,1,0))</f>
        <v/>
      </c>
      <c r="AO1439">
        <f>IF($AN1439=1,SUMPRODUCT(--($AR$2:$AR$4001&lt;$AR1439))+1,"")</f>
        <v/>
      </c>
      <c r="AP1439">
        <f>IF($E1439="","",IF(OR($U1439=TRUE(),$U1439="TRUE"),1,0))</f>
        <v/>
      </c>
      <c r="AQ1439">
        <f>IF($E1439="","",IF($AA1439="Yes",1,0))</f>
        <v/>
      </c>
      <c r="AR1439">
        <f>IF($AN1439=1,IFERROR(VALUE(MID($E1439,2,20)),1000000000)+ROW()/100000,"")</f>
        <v/>
      </c>
    </row>
    <row r="1440">
      <c r="G1440" s="11" t="n"/>
      <c r="Q1440" s="7">
        <f>IF($E1440="","",P1440*Y1440/100)</f>
        <v/>
      </c>
      <c r="R1440" s="7" t="n"/>
      <c r="X1440" s="7" t="n"/>
      <c r="Y1440" s="7" t="n"/>
      <c r="AB1440">
        <f>IF($E1440="","",IF($AQ1440=1,0,IF($AP1440=1,Settings!$C$6,Settings!$C$7))*100)</f>
        <v/>
      </c>
      <c r="AC1440" s="7">
        <f>IF($E1440="","",Y1440*AB1440/100)</f>
        <v/>
      </c>
      <c r="AD1440" s="7">
        <f>IF($E1440="","",Y1440-AC1440)</f>
        <v/>
      </c>
      <c r="AE1440" s="7">
        <f>IF($E1440="","",AD1440-Q1440)</f>
        <v/>
      </c>
      <c r="AI1440" s="7" t="n"/>
      <c r="AL1440" s="11" t="n"/>
      <c r="AN1440">
        <f>IF($E1440="","",IF(COUNTIF($E$2:$E1440,$E1440)=1,1,0))</f>
        <v/>
      </c>
      <c r="AO1440">
        <f>IF($AN1440=1,SUMPRODUCT(--($AR$2:$AR$4001&lt;$AR1440))+1,"")</f>
        <v/>
      </c>
      <c r="AP1440">
        <f>IF($E1440="","",IF(OR($U1440=TRUE(),$U1440="TRUE"),1,0))</f>
        <v/>
      </c>
      <c r="AQ1440">
        <f>IF($E1440="","",IF($AA1440="Yes",1,0))</f>
        <v/>
      </c>
      <c r="AR1440">
        <f>IF($AN1440=1,IFERROR(VALUE(MID($E1440,2,20)),1000000000)+ROW()/100000,"")</f>
        <v/>
      </c>
    </row>
    <row r="1441">
      <c r="G1441" s="11" t="n"/>
      <c r="Q1441" s="7">
        <f>IF($E1441="","",P1441*Y1441/100)</f>
        <v/>
      </c>
      <c r="R1441" s="7" t="n"/>
      <c r="X1441" s="7" t="n"/>
      <c r="Y1441" s="7" t="n"/>
      <c r="AB1441">
        <f>IF($E1441="","",IF($AQ1441=1,0,IF($AP1441=1,Settings!$C$6,Settings!$C$7))*100)</f>
        <v/>
      </c>
      <c r="AC1441" s="7">
        <f>IF($E1441="","",Y1441*AB1441/100)</f>
        <v/>
      </c>
      <c r="AD1441" s="7">
        <f>IF($E1441="","",Y1441-AC1441)</f>
        <v/>
      </c>
      <c r="AE1441" s="7">
        <f>IF($E1441="","",AD1441-Q1441)</f>
        <v/>
      </c>
      <c r="AI1441" s="7" t="n"/>
      <c r="AL1441" s="11" t="n"/>
      <c r="AN1441">
        <f>IF($E1441="","",IF(COUNTIF($E$2:$E1441,$E1441)=1,1,0))</f>
        <v/>
      </c>
      <c r="AO1441">
        <f>IF($AN1441=1,SUMPRODUCT(--($AR$2:$AR$4001&lt;$AR1441))+1,"")</f>
        <v/>
      </c>
      <c r="AP1441">
        <f>IF($E1441="","",IF(OR($U1441=TRUE(),$U1441="TRUE"),1,0))</f>
        <v/>
      </c>
      <c r="AQ1441">
        <f>IF($E1441="","",IF($AA1441="Yes",1,0))</f>
        <v/>
      </c>
      <c r="AR1441">
        <f>IF($AN1441=1,IFERROR(VALUE(MID($E1441,2,20)),1000000000)+ROW()/100000,"")</f>
        <v/>
      </c>
    </row>
    <row r="1442">
      <c r="G1442" s="11" t="n"/>
      <c r="Q1442" s="7">
        <f>IF($E1442="","",P1442*Y1442/100)</f>
        <v/>
      </c>
      <c r="R1442" s="7" t="n"/>
      <c r="X1442" s="7" t="n"/>
      <c r="Y1442" s="7" t="n"/>
      <c r="AB1442">
        <f>IF($E1442="","",IF($AQ1442=1,0,IF($AP1442=1,Settings!$C$6,Settings!$C$7))*100)</f>
        <v/>
      </c>
      <c r="AC1442" s="7">
        <f>IF($E1442="","",Y1442*AB1442/100)</f>
        <v/>
      </c>
      <c r="AD1442" s="7">
        <f>IF($E1442="","",Y1442-AC1442)</f>
        <v/>
      </c>
      <c r="AE1442" s="7">
        <f>IF($E1442="","",AD1442-Q1442)</f>
        <v/>
      </c>
      <c r="AI1442" s="7" t="n"/>
      <c r="AL1442" s="11" t="n"/>
      <c r="AN1442">
        <f>IF($E1442="","",IF(COUNTIF($E$2:$E1442,$E1442)=1,1,0))</f>
        <v/>
      </c>
      <c r="AO1442">
        <f>IF($AN1442=1,SUMPRODUCT(--($AR$2:$AR$4001&lt;$AR1442))+1,"")</f>
        <v/>
      </c>
      <c r="AP1442">
        <f>IF($E1442="","",IF(OR($U1442=TRUE(),$U1442="TRUE"),1,0))</f>
        <v/>
      </c>
      <c r="AQ1442">
        <f>IF($E1442="","",IF($AA1442="Yes",1,0))</f>
        <v/>
      </c>
      <c r="AR1442">
        <f>IF($AN1442=1,IFERROR(VALUE(MID($E1442,2,20)),1000000000)+ROW()/100000,"")</f>
        <v/>
      </c>
    </row>
    <row r="1443">
      <c r="G1443" s="11" t="n"/>
      <c r="Q1443" s="7">
        <f>IF($E1443="","",P1443*Y1443/100)</f>
        <v/>
      </c>
      <c r="R1443" s="7" t="n"/>
      <c r="X1443" s="7" t="n"/>
      <c r="Y1443" s="7" t="n"/>
      <c r="AB1443">
        <f>IF($E1443="","",IF($AQ1443=1,0,IF($AP1443=1,Settings!$C$6,Settings!$C$7))*100)</f>
        <v/>
      </c>
      <c r="AC1443" s="7">
        <f>IF($E1443="","",Y1443*AB1443/100)</f>
        <v/>
      </c>
      <c r="AD1443" s="7">
        <f>IF($E1443="","",Y1443-AC1443)</f>
        <v/>
      </c>
      <c r="AE1443" s="7">
        <f>IF($E1443="","",AD1443-Q1443)</f>
        <v/>
      </c>
      <c r="AI1443" s="7" t="n"/>
      <c r="AL1443" s="11" t="n"/>
      <c r="AN1443">
        <f>IF($E1443="","",IF(COUNTIF($E$2:$E1443,$E1443)=1,1,0))</f>
        <v/>
      </c>
      <c r="AO1443">
        <f>IF($AN1443=1,SUMPRODUCT(--($AR$2:$AR$4001&lt;$AR1443))+1,"")</f>
        <v/>
      </c>
      <c r="AP1443">
        <f>IF($E1443="","",IF(OR($U1443=TRUE(),$U1443="TRUE"),1,0))</f>
        <v/>
      </c>
      <c r="AQ1443">
        <f>IF($E1443="","",IF($AA1443="Yes",1,0))</f>
        <v/>
      </c>
      <c r="AR1443">
        <f>IF($AN1443=1,IFERROR(VALUE(MID($E1443,2,20)),1000000000)+ROW()/100000,"")</f>
        <v/>
      </c>
    </row>
    <row r="1444">
      <c r="G1444" s="11" t="n"/>
      <c r="Q1444" s="7">
        <f>IF($E1444="","",P1444*Y1444/100)</f>
        <v/>
      </c>
      <c r="R1444" s="7" t="n"/>
      <c r="X1444" s="7" t="n"/>
      <c r="Y1444" s="7" t="n"/>
      <c r="AB1444">
        <f>IF($E1444="","",IF($AQ1444=1,0,IF($AP1444=1,Settings!$C$6,Settings!$C$7))*100)</f>
        <v/>
      </c>
      <c r="AC1444" s="7">
        <f>IF($E1444="","",Y1444*AB1444/100)</f>
        <v/>
      </c>
      <c r="AD1444" s="7">
        <f>IF($E1444="","",Y1444-AC1444)</f>
        <v/>
      </c>
      <c r="AE1444" s="7">
        <f>IF($E1444="","",AD1444-Q1444)</f>
        <v/>
      </c>
      <c r="AI1444" s="7" t="n"/>
      <c r="AL1444" s="11" t="n"/>
      <c r="AN1444">
        <f>IF($E1444="","",IF(COUNTIF($E$2:$E1444,$E1444)=1,1,0))</f>
        <v/>
      </c>
      <c r="AO1444">
        <f>IF($AN1444=1,SUMPRODUCT(--($AR$2:$AR$4001&lt;$AR1444))+1,"")</f>
        <v/>
      </c>
      <c r="AP1444">
        <f>IF($E1444="","",IF(OR($U1444=TRUE(),$U1444="TRUE"),1,0))</f>
        <v/>
      </c>
      <c r="AQ1444">
        <f>IF($E1444="","",IF($AA1444="Yes",1,0))</f>
        <v/>
      </c>
      <c r="AR1444">
        <f>IF($AN1444=1,IFERROR(VALUE(MID($E1444,2,20)),1000000000)+ROW()/100000,"")</f>
        <v/>
      </c>
    </row>
    <row r="1445">
      <c r="G1445" s="11" t="n"/>
      <c r="Q1445" s="7">
        <f>IF($E1445="","",P1445*Y1445/100)</f>
        <v/>
      </c>
      <c r="R1445" s="7" t="n"/>
      <c r="X1445" s="7" t="n"/>
      <c r="Y1445" s="7" t="n"/>
      <c r="AB1445">
        <f>IF($E1445="","",IF($AQ1445=1,0,IF($AP1445=1,Settings!$C$6,Settings!$C$7))*100)</f>
        <v/>
      </c>
      <c r="AC1445" s="7">
        <f>IF($E1445="","",Y1445*AB1445/100)</f>
        <v/>
      </c>
      <c r="AD1445" s="7">
        <f>IF($E1445="","",Y1445-AC1445)</f>
        <v/>
      </c>
      <c r="AE1445" s="7">
        <f>IF($E1445="","",AD1445-Q1445)</f>
        <v/>
      </c>
      <c r="AI1445" s="7" t="n"/>
      <c r="AL1445" s="11" t="n"/>
      <c r="AN1445">
        <f>IF($E1445="","",IF(COUNTIF($E$2:$E1445,$E1445)=1,1,0))</f>
        <v/>
      </c>
      <c r="AO1445">
        <f>IF($AN1445=1,SUMPRODUCT(--($AR$2:$AR$4001&lt;$AR1445))+1,"")</f>
        <v/>
      </c>
      <c r="AP1445">
        <f>IF($E1445="","",IF(OR($U1445=TRUE(),$U1445="TRUE"),1,0))</f>
        <v/>
      </c>
      <c r="AQ1445">
        <f>IF($E1445="","",IF($AA1445="Yes",1,0))</f>
        <v/>
      </c>
      <c r="AR1445">
        <f>IF($AN1445=1,IFERROR(VALUE(MID($E1445,2,20)),1000000000)+ROW()/100000,"")</f>
        <v/>
      </c>
    </row>
    <row r="1446">
      <c r="G1446" s="11" t="n"/>
      <c r="Q1446" s="7">
        <f>IF($E1446="","",P1446*Y1446/100)</f>
        <v/>
      </c>
      <c r="R1446" s="7" t="n"/>
      <c r="X1446" s="7" t="n"/>
      <c r="Y1446" s="7" t="n"/>
      <c r="AB1446">
        <f>IF($E1446="","",IF($AQ1446=1,0,IF($AP1446=1,Settings!$C$6,Settings!$C$7))*100)</f>
        <v/>
      </c>
      <c r="AC1446" s="7">
        <f>IF($E1446="","",Y1446*AB1446/100)</f>
        <v/>
      </c>
      <c r="AD1446" s="7">
        <f>IF($E1446="","",Y1446-AC1446)</f>
        <v/>
      </c>
      <c r="AE1446" s="7">
        <f>IF($E1446="","",AD1446-Q1446)</f>
        <v/>
      </c>
      <c r="AI1446" s="7" t="n"/>
      <c r="AL1446" s="11" t="n"/>
      <c r="AN1446">
        <f>IF($E1446="","",IF(COUNTIF($E$2:$E1446,$E1446)=1,1,0))</f>
        <v/>
      </c>
      <c r="AO1446">
        <f>IF($AN1446=1,SUMPRODUCT(--($AR$2:$AR$4001&lt;$AR1446))+1,"")</f>
        <v/>
      </c>
      <c r="AP1446">
        <f>IF($E1446="","",IF(OR($U1446=TRUE(),$U1446="TRUE"),1,0))</f>
        <v/>
      </c>
      <c r="AQ1446">
        <f>IF($E1446="","",IF($AA1446="Yes",1,0))</f>
        <v/>
      </c>
      <c r="AR1446">
        <f>IF($AN1446=1,IFERROR(VALUE(MID($E1446,2,20)),1000000000)+ROW()/100000,"")</f>
        <v/>
      </c>
    </row>
    <row r="1447">
      <c r="G1447" s="11" t="n"/>
      <c r="Q1447" s="7">
        <f>IF($E1447="","",P1447*Y1447/100)</f>
        <v/>
      </c>
      <c r="R1447" s="7" t="n"/>
      <c r="X1447" s="7" t="n"/>
      <c r="Y1447" s="7" t="n"/>
      <c r="AB1447">
        <f>IF($E1447="","",IF($AQ1447=1,0,IF($AP1447=1,Settings!$C$6,Settings!$C$7))*100)</f>
        <v/>
      </c>
      <c r="AC1447" s="7">
        <f>IF($E1447="","",Y1447*AB1447/100)</f>
        <v/>
      </c>
      <c r="AD1447" s="7">
        <f>IF($E1447="","",Y1447-AC1447)</f>
        <v/>
      </c>
      <c r="AE1447" s="7">
        <f>IF($E1447="","",AD1447-Q1447)</f>
        <v/>
      </c>
      <c r="AI1447" s="7" t="n"/>
      <c r="AL1447" s="11" t="n"/>
      <c r="AN1447">
        <f>IF($E1447="","",IF(COUNTIF($E$2:$E1447,$E1447)=1,1,0))</f>
        <v/>
      </c>
      <c r="AO1447">
        <f>IF($AN1447=1,SUMPRODUCT(--($AR$2:$AR$4001&lt;$AR1447))+1,"")</f>
        <v/>
      </c>
      <c r="AP1447">
        <f>IF($E1447="","",IF(OR($U1447=TRUE(),$U1447="TRUE"),1,0))</f>
        <v/>
      </c>
      <c r="AQ1447">
        <f>IF($E1447="","",IF($AA1447="Yes",1,0))</f>
        <v/>
      </c>
      <c r="AR1447">
        <f>IF($AN1447=1,IFERROR(VALUE(MID($E1447,2,20)),1000000000)+ROW()/100000,"")</f>
        <v/>
      </c>
    </row>
    <row r="1448">
      <c r="G1448" s="11" t="n"/>
      <c r="Q1448" s="7">
        <f>IF($E1448="","",P1448*Y1448/100)</f>
        <v/>
      </c>
      <c r="R1448" s="7" t="n"/>
      <c r="X1448" s="7" t="n"/>
      <c r="Y1448" s="7" t="n"/>
      <c r="AB1448">
        <f>IF($E1448="","",IF($AQ1448=1,0,IF($AP1448=1,Settings!$C$6,Settings!$C$7))*100)</f>
        <v/>
      </c>
      <c r="AC1448" s="7">
        <f>IF($E1448="","",Y1448*AB1448/100)</f>
        <v/>
      </c>
      <c r="AD1448" s="7">
        <f>IF($E1448="","",Y1448-AC1448)</f>
        <v/>
      </c>
      <c r="AE1448" s="7">
        <f>IF($E1448="","",AD1448-Q1448)</f>
        <v/>
      </c>
      <c r="AI1448" s="7" t="n"/>
      <c r="AL1448" s="11" t="n"/>
      <c r="AN1448">
        <f>IF($E1448="","",IF(COUNTIF($E$2:$E1448,$E1448)=1,1,0))</f>
        <v/>
      </c>
      <c r="AO1448">
        <f>IF($AN1448=1,SUMPRODUCT(--($AR$2:$AR$4001&lt;$AR1448))+1,"")</f>
        <v/>
      </c>
      <c r="AP1448">
        <f>IF($E1448="","",IF(OR($U1448=TRUE(),$U1448="TRUE"),1,0))</f>
        <v/>
      </c>
      <c r="AQ1448">
        <f>IF($E1448="","",IF($AA1448="Yes",1,0))</f>
        <v/>
      </c>
      <c r="AR1448">
        <f>IF($AN1448=1,IFERROR(VALUE(MID($E1448,2,20)),1000000000)+ROW()/100000,"")</f>
        <v/>
      </c>
    </row>
    <row r="1449">
      <c r="G1449" s="11" t="n"/>
      <c r="Q1449" s="7">
        <f>IF($E1449="","",P1449*Y1449/100)</f>
        <v/>
      </c>
      <c r="R1449" s="7" t="n"/>
      <c r="X1449" s="7" t="n"/>
      <c r="Y1449" s="7" t="n"/>
      <c r="AB1449">
        <f>IF($E1449="","",IF($AQ1449=1,0,IF($AP1449=1,Settings!$C$6,Settings!$C$7))*100)</f>
        <v/>
      </c>
      <c r="AC1449" s="7">
        <f>IF($E1449="","",Y1449*AB1449/100)</f>
        <v/>
      </c>
      <c r="AD1449" s="7">
        <f>IF($E1449="","",Y1449-AC1449)</f>
        <v/>
      </c>
      <c r="AE1449" s="7">
        <f>IF($E1449="","",AD1449-Q1449)</f>
        <v/>
      </c>
      <c r="AI1449" s="7" t="n"/>
      <c r="AL1449" s="11" t="n"/>
      <c r="AN1449">
        <f>IF($E1449="","",IF(COUNTIF($E$2:$E1449,$E1449)=1,1,0))</f>
        <v/>
      </c>
      <c r="AO1449">
        <f>IF($AN1449=1,SUMPRODUCT(--($AR$2:$AR$4001&lt;$AR1449))+1,"")</f>
        <v/>
      </c>
      <c r="AP1449">
        <f>IF($E1449="","",IF(OR($U1449=TRUE(),$U1449="TRUE"),1,0))</f>
        <v/>
      </c>
      <c r="AQ1449">
        <f>IF($E1449="","",IF($AA1449="Yes",1,0))</f>
        <v/>
      </c>
      <c r="AR1449">
        <f>IF($AN1449=1,IFERROR(VALUE(MID($E1449,2,20)),1000000000)+ROW()/100000,"")</f>
        <v/>
      </c>
    </row>
    <row r="1450">
      <c r="G1450" s="11" t="n"/>
      <c r="Q1450" s="7">
        <f>IF($E1450="","",P1450*Y1450/100)</f>
        <v/>
      </c>
      <c r="R1450" s="7" t="n"/>
      <c r="X1450" s="7" t="n"/>
      <c r="Y1450" s="7" t="n"/>
      <c r="AB1450">
        <f>IF($E1450="","",IF($AQ1450=1,0,IF($AP1450=1,Settings!$C$6,Settings!$C$7))*100)</f>
        <v/>
      </c>
      <c r="AC1450" s="7">
        <f>IF($E1450="","",Y1450*AB1450/100)</f>
        <v/>
      </c>
      <c r="AD1450" s="7">
        <f>IF($E1450="","",Y1450-AC1450)</f>
        <v/>
      </c>
      <c r="AE1450" s="7">
        <f>IF($E1450="","",AD1450-Q1450)</f>
        <v/>
      </c>
      <c r="AI1450" s="7" t="n"/>
      <c r="AL1450" s="11" t="n"/>
      <c r="AN1450">
        <f>IF($E1450="","",IF(COUNTIF($E$2:$E1450,$E1450)=1,1,0))</f>
        <v/>
      </c>
      <c r="AO1450">
        <f>IF($AN1450=1,SUMPRODUCT(--($AR$2:$AR$4001&lt;$AR1450))+1,"")</f>
        <v/>
      </c>
      <c r="AP1450">
        <f>IF($E1450="","",IF(OR($U1450=TRUE(),$U1450="TRUE"),1,0))</f>
        <v/>
      </c>
      <c r="AQ1450">
        <f>IF($E1450="","",IF($AA1450="Yes",1,0))</f>
        <v/>
      </c>
      <c r="AR1450">
        <f>IF($AN1450=1,IFERROR(VALUE(MID($E1450,2,20)),1000000000)+ROW()/100000,"")</f>
        <v/>
      </c>
    </row>
    <row r="1451">
      <c r="G1451" s="11" t="n"/>
      <c r="Q1451" s="7">
        <f>IF($E1451="","",P1451*Y1451/100)</f>
        <v/>
      </c>
      <c r="R1451" s="7" t="n"/>
      <c r="X1451" s="7" t="n"/>
      <c r="Y1451" s="7" t="n"/>
      <c r="AB1451">
        <f>IF($E1451="","",IF($AQ1451=1,0,IF($AP1451=1,Settings!$C$6,Settings!$C$7))*100)</f>
        <v/>
      </c>
      <c r="AC1451" s="7">
        <f>IF($E1451="","",Y1451*AB1451/100)</f>
        <v/>
      </c>
      <c r="AD1451" s="7">
        <f>IF($E1451="","",Y1451-AC1451)</f>
        <v/>
      </c>
      <c r="AE1451" s="7">
        <f>IF($E1451="","",AD1451-Q1451)</f>
        <v/>
      </c>
      <c r="AI1451" s="7" t="n"/>
      <c r="AL1451" s="11" t="n"/>
      <c r="AN1451">
        <f>IF($E1451="","",IF(COUNTIF($E$2:$E1451,$E1451)=1,1,0))</f>
        <v/>
      </c>
      <c r="AO1451">
        <f>IF($AN1451=1,SUMPRODUCT(--($AR$2:$AR$4001&lt;$AR1451))+1,"")</f>
        <v/>
      </c>
      <c r="AP1451">
        <f>IF($E1451="","",IF(OR($U1451=TRUE(),$U1451="TRUE"),1,0))</f>
        <v/>
      </c>
      <c r="AQ1451">
        <f>IF($E1451="","",IF($AA1451="Yes",1,0))</f>
        <v/>
      </c>
      <c r="AR1451">
        <f>IF($AN1451=1,IFERROR(VALUE(MID($E1451,2,20)),1000000000)+ROW()/100000,"")</f>
        <v/>
      </c>
    </row>
    <row r="1452">
      <c r="G1452" s="11" t="n"/>
      <c r="Q1452" s="7">
        <f>IF($E1452="","",P1452*Y1452/100)</f>
        <v/>
      </c>
      <c r="R1452" s="7" t="n"/>
      <c r="X1452" s="7" t="n"/>
      <c r="Y1452" s="7" t="n"/>
      <c r="AB1452">
        <f>IF($E1452="","",IF($AQ1452=1,0,IF($AP1452=1,Settings!$C$6,Settings!$C$7))*100)</f>
        <v/>
      </c>
      <c r="AC1452" s="7">
        <f>IF($E1452="","",Y1452*AB1452/100)</f>
        <v/>
      </c>
      <c r="AD1452" s="7">
        <f>IF($E1452="","",Y1452-AC1452)</f>
        <v/>
      </c>
      <c r="AE1452" s="7">
        <f>IF($E1452="","",AD1452-Q1452)</f>
        <v/>
      </c>
      <c r="AI1452" s="7" t="n"/>
      <c r="AL1452" s="11" t="n"/>
      <c r="AN1452">
        <f>IF($E1452="","",IF(COUNTIF($E$2:$E1452,$E1452)=1,1,0))</f>
        <v/>
      </c>
      <c r="AO1452">
        <f>IF($AN1452=1,SUMPRODUCT(--($AR$2:$AR$4001&lt;$AR1452))+1,"")</f>
        <v/>
      </c>
      <c r="AP1452">
        <f>IF($E1452="","",IF(OR($U1452=TRUE(),$U1452="TRUE"),1,0))</f>
        <v/>
      </c>
      <c r="AQ1452">
        <f>IF($E1452="","",IF($AA1452="Yes",1,0))</f>
        <v/>
      </c>
      <c r="AR1452">
        <f>IF($AN1452=1,IFERROR(VALUE(MID($E1452,2,20)),1000000000)+ROW()/100000,"")</f>
        <v/>
      </c>
    </row>
    <row r="1453">
      <c r="G1453" s="11" t="n"/>
      <c r="Q1453" s="7">
        <f>IF($E1453="","",P1453*Y1453/100)</f>
        <v/>
      </c>
      <c r="R1453" s="7" t="n"/>
      <c r="X1453" s="7" t="n"/>
      <c r="Y1453" s="7" t="n"/>
      <c r="AB1453">
        <f>IF($E1453="","",IF($AQ1453=1,0,IF($AP1453=1,Settings!$C$6,Settings!$C$7))*100)</f>
        <v/>
      </c>
      <c r="AC1453" s="7">
        <f>IF($E1453="","",Y1453*AB1453/100)</f>
        <v/>
      </c>
      <c r="AD1453" s="7">
        <f>IF($E1453="","",Y1453-AC1453)</f>
        <v/>
      </c>
      <c r="AE1453" s="7">
        <f>IF($E1453="","",AD1453-Q1453)</f>
        <v/>
      </c>
      <c r="AI1453" s="7" t="n"/>
      <c r="AL1453" s="11" t="n"/>
      <c r="AN1453">
        <f>IF($E1453="","",IF(COUNTIF($E$2:$E1453,$E1453)=1,1,0))</f>
        <v/>
      </c>
      <c r="AO1453">
        <f>IF($AN1453=1,SUMPRODUCT(--($AR$2:$AR$4001&lt;$AR1453))+1,"")</f>
        <v/>
      </c>
      <c r="AP1453">
        <f>IF($E1453="","",IF(OR($U1453=TRUE(),$U1453="TRUE"),1,0))</f>
        <v/>
      </c>
      <c r="AQ1453">
        <f>IF($E1453="","",IF($AA1453="Yes",1,0))</f>
        <v/>
      </c>
      <c r="AR1453">
        <f>IF($AN1453=1,IFERROR(VALUE(MID($E1453,2,20)),1000000000)+ROW()/100000,"")</f>
        <v/>
      </c>
    </row>
    <row r="1454">
      <c r="G1454" s="11" t="n"/>
      <c r="Q1454" s="7">
        <f>IF($E1454="","",P1454*Y1454/100)</f>
        <v/>
      </c>
      <c r="R1454" s="7" t="n"/>
      <c r="X1454" s="7" t="n"/>
      <c r="Y1454" s="7" t="n"/>
      <c r="AB1454">
        <f>IF($E1454="","",IF($AQ1454=1,0,IF($AP1454=1,Settings!$C$6,Settings!$C$7))*100)</f>
        <v/>
      </c>
      <c r="AC1454" s="7">
        <f>IF($E1454="","",Y1454*AB1454/100)</f>
        <v/>
      </c>
      <c r="AD1454" s="7">
        <f>IF($E1454="","",Y1454-AC1454)</f>
        <v/>
      </c>
      <c r="AE1454" s="7">
        <f>IF($E1454="","",AD1454-Q1454)</f>
        <v/>
      </c>
      <c r="AI1454" s="7" t="n"/>
      <c r="AL1454" s="11" t="n"/>
      <c r="AN1454">
        <f>IF($E1454="","",IF(COUNTIF($E$2:$E1454,$E1454)=1,1,0))</f>
        <v/>
      </c>
      <c r="AO1454">
        <f>IF($AN1454=1,SUMPRODUCT(--($AR$2:$AR$4001&lt;$AR1454))+1,"")</f>
        <v/>
      </c>
      <c r="AP1454">
        <f>IF($E1454="","",IF(OR($U1454=TRUE(),$U1454="TRUE"),1,0))</f>
        <v/>
      </c>
      <c r="AQ1454">
        <f>IF($E1454="","",IF($AA1454="Yes",1,0))</f>
        <v/>
      </c>
      <c r="AR1454">
        <f>IF($AN1454=1,IFERROR(VALUE(MID($E1454,2,20)),1000000000)+ROW()/100000,"")</f>
        <v/>
      </c>
    </row>
    <row r="1455">
      <c r="G1455" s="11" t="n"/>
      <c r="Q1455" s="7">
        <f>IF($E1455="","",P1455*Y1455/100)</f>
        <v/>
      </c>
      <c r="R1455" s="7" t="n"/>
      <c r="X1455" s="7" t="n"/>
      <c r="Y1455" s="7" t="n"/>
      <c r="AB1455">
        <f>IF($E1455="","",IF($AQ1455=1,0,IF($AP1455=1,Settings!$C$6,Settings!$C$7))*100)</f>
        <v/>
      </c>
      <c r="AC1455" s="7">
        <f>IF($E1455="","",Y1455*AB1455/100)</f>
        <v/>
      </c>
      <c r="AD1455" s="7">
        <f>IF($E1455="","",Y1455-AC1455)</f>
        <v/>
      </c>
      <c r="AE1455" s="7">
        <f>IF($E1455="","",AD1455-Q1455)</f>
        <v/>
      </c>
      <c r="AI1455" s="7" t="n"/>
      <c r="AL1455" s="11" t="n"/>
      <c r="AN1455">
        <f>IF($E1455="","",IF(COUNTIF($E$2:$E1455,$E1455)=1,1,0))</f>
        <v/>
      </c>
      <c r="AO1455">
        <f>IF($AN1455=1,SUMPRODUCT(--($AR$2:$AR$4001&lt;$AR1455))+1,"")</f>
        <v/>
      </c>
      <c r="AP1455">
        <f>IF($E1455="","",IF(OR($U1455=TRUE(),$U1455="TRUE"),1,0))</f>
        <v/>
      </c>
      <c r="AQ1455">
        <f>IF($E1455="","",IF($AA1455="Yes",1,0))</f>
        <v/>
      </c>
      <c r="AR1455">
        <f>IF($AN1455=1,IFERROR(VALUE(MID($E1455,2,20)),1000000000)+ROW()/100000,"")</f>
        <v/>
      </c>
    </row>
    <row r="1456">
      <c r="G1456" s="11" t="n"/>
      <c r="Q1456" s="7">
        <f>IF($E1456="","",P1456*Y1456/100)</f>
        <v/>
      </c>
      <c r="R1456" s="7" t="n"/>
      <c r="X1456" s="7" t="n"/>
      <c r="Y1456" s="7" t="n"/>
      <c r="AB1456">
        <f>IF($E1456="","",IF($AQ1456=1,0,IF($AP1456=1,Settings!$C$6,Settings!$C$7))*100)</f>
        <v/>
      </c>
      <c r="AC1456" s="7">
        <f>IF($E1456="","",Y1456*AB1456/100)</f>
        <v/>
      </c>
      <c r="AD1456" s="7">
        <f>IF($E1456="","",Y1456-AC1456)</f>
        <v/>
      </c>
      <c r="AE1456" s="7">
        <f>IF($E1456="","",AD1456-Q1456)</f>
        <v/>
      </c>
      <c r="AI1456" s="7" t="n"/>
      <c r="AL1456" s="11" t="n"/>
      <c r="AN1456">
        <f>IF($E1456="","",IF(COUNTIF($E$2:$E1456,$E1456)=1,1,0))</f>
        <v/>
      </c>
      <c r="AO1456">
        <f>IF($AN1456=1,SUMPRODUCT(--($AR$2:$AR$4001&lt;$AR1456))+1,"")</f>
        <v/>
      </c>
      <c r="AP1456">
        <f>IF($E1456="","",IF(OR($U1456=TRUE(),$U1456="TRUE"),1,0))</f>
        <v/>
      </c>
      <c r="AQ1456">
        <f>IF($E1456="","",IF($AA1456="Yes",1,0))</f>
        <v/>
      </c>
      <c r="AR1456">
        <f>IF($AN1456=1,IFERROR(VALUE(MID($E1456,2,20)),1000000000)+ROW()/100000,"")</f>
        <v/>
      </c>
    </row>
    <row r="1457">
      <c r="G1457" s="11" t="n"/>
      <c r="Q1457" s="7">
        <f>IF($E1457="","",P1457*Y1457/100)</f>
        <v/>
      </c>
      <c r="R1457" s="7" t="n"/>
      <c r="X1457" s="7" t="n"/>
      <c r="Y1457" s="7" t="n"/>
      <c r="AB1457">
        <f>IF($E1457="","",IF($AQ1457=1,0,IF($AP1457=1,Settings!$C$6,Settings!$C$7))*100)</f>
        <v/>
      </c>
      <c r="AC1457" s="7">
        <f>IF($E1457="","",Y1457*AB1457/100)</f>
        <v/>
      </c>
      <c r="AD1457" s="7">
        <f>IF($E1457="","",Y1457-AC1457)</f>
        <v/>
      </c>
      <c r="AE1457" s="7">
        <f>IF($E1457="","",AD1457-Q1457)</f>
        <v/>
      </c>
      <c r="AI1457" s="7" t="n"/>
      <c r="AL1457" s="11" t="n"/>
      <c r="AN1457">
        <f>IF($E1457="","",IF(COUNTIF($E$2:$E1457,$E1457)=1,1,0))</f>
        <v/>
      </c>
      <c r="AO1457">
        <f>IF($AN1457=1,SUMPRODUCT(--($AR$2:$AR$4001&lt;$AR1457))+1,"")</f>
        <v/>
      </c>
      <c r="AP1457">
        <f>IF($E1457="","",IF(OR($U1457=TRUE(),$U1457="TRUE"),1,0))</f>
        <v/>
      </c>
      <c r="AQ1457">
        <f>IF($E1457="","",IF($AA1457="Yes",1,0))</f>
        <v/>
      </c>
      <c r="AR1457">
        <f>IF($AN1457=1,IFERROR(VALUE(MID($E1457,2,20)),1000000000)+ROW()/100000,"")</f>
        <v/>
      </c>
    </row>
    <row r="1458">
      <c r="G1458" s="11" t="n"/>
      <c r="Q1458" s="7">
        <f>IF($E1458="","",P1458*Y1458/100)</f>
        <v/>
      </c>
      <c r="R1458" s="7" t="n"/>
      <c r="X1458" s="7" t="n"/>
      <c r="Y1458" s="7" t="n"/>
      <c r="AB1458">
        <f>IF($E1458="","",IF($AQ1458=1,0,IF($AP1458=1,Settings!$C$6,Settings!$C$7))*100)</f>
        <v/>
      </c>
      <c r="AC1458" s="7">
        <f>IF($E1458="","",Y1458*AB1458/100)</f>
        <v/>
      </c>
      <c r="AD1458" s="7">
        <f>IF($E1458="","",Y1458-AC1458)</f>
        <v/>
      </c>
      <c r="AE1458" s="7">
        <f>IF($E1458="","",AD1458-Q1458)</f>
        <v/>
      </c>
      <c r="AI1458" s="7" t="n"/>
      <c r="AL1458" s="11" t="n"/>
      <c r="AN1458">
        <f>IF($E1458="","",IF(COUNTIF($E$2:$E1458,$E1458)=1,1,0))</f>
        <v/>
      </c>
      <c r="AO1458">
        <f>IF($AN1458=1,SUMPRODUCT(--($AR$2:$AR$4001&lt;$AR1458))+1,"")</f>
        <v/>
      </c>
      <c r="AP1458">
        <f>IF($E1458="","",IF(OR($U1458=TRUE(),$U1458="TRUE"),1,0))</f>
        <v/>
      </c>
      <c r="AQ1458">
        <f>IF($E1458="","",IF($AA1458="Yes",1,0))</f>
        <v/>
      </c>
      <c r="AR1458">
        <f>IF($AN1458=1,IFERROR(VALUE(MID($E1458,2,20)),1000000000)+ROW()/100000,"")</f>
        <v/>
      </c>
    </row>
    <row r="1459">
      <c r="G1459" s="11" t="n"/>
      <c r="Q1459" s="7">
        <f>IF($E1459="","",P1459*Y1459/100)</f>
        <v/>
      </c>
      <c r="R1459" s="7" t="n"/>
      <c r="X1459" s="7" t="n"/>
      <c r="Y1459" s="7" t="n"/>
      <c r="AB1459">
        <f>IF($E1459="","",IF($AQ1459=1,0,IF($AP1459=1,Settings!$C$6,Settings!$C$7))*100)</f>
        <v/>
      </c>
      <c r="AC1459" s="7">
        <f>IF($E1459="","",Y1459*AB1459/100)</f>
        <v/>
      </c>
      <c r="AD1459" s="7">
        <f>IF($E1459="","",Y1459-AC1459)</f>
        <v/>
      </c>
      <c r="AE1459" s="7">
        <f>IF($E1459="","",AD1459-Q1459)</f>
        <v/>
      </c>
      <c r="AI1459" s="7" t="n"/>
      <c r="AL1459" s="11" t="n"/>
      <c r="AN1459">
        <f>IF($E1459="","",IF(COUNTIF($E$2:$E1459,$E1459)=1,1,0))</f>
        <v/>
      </c>
      <c r="AO1459">
        <f>IF($AN1459=1,SUMPRODUCT(--($AR$2:$AR$4001&lt;$AR1459))+1,"")</f>
        <v/>
      </c>
      <c r="AP1459">
        <f>IF($E1459="","",IF(OR($U1459=TRUE(),$U1459="TRUE"),1,0))</f>
        <v/>
      </c>
      <c r="AQ1459">
        <f>IF($E1459="","",IF($AA1459="Yes",1,0))</f>
        <v/>
      </c>
      <c r="AR1459">
        <f>IF($AN1459=1,IFERROR(VALUE(MID($E1459,2,20)),1000000000)+ROW()/100000,"")</f>
        <v/>
      </c>
    </row>
    <row r="1460">
      <c r="G1460" s="11" t="n"/>
      <c r="Q1460" s="7">
        <f>IF($E1460="","",P1460*Y1460/100)</f>
        <v/>
      </c>
      <c r="R1460" s="7" t="n"/>
      <c r="X1460" s="7" t="n"/>
      <c r="Y1460" s="7" t="n"/>
      <c r="AB1460">
        <f>IF($E1460="","",IF($AQ1460=1,0,IF($AP1460=1,Settings!$C$6,Settings!$C$7))*100)</f>
        <v/>
      </c>
      <c r="AC1460" s="7">
        <f>IF($E1460="","",Y1460*AB1460/100)</f>
        <v/>
      </c>
      <c r="AD1460" s="7">
        <f>IF($E1460="","",Y1460-AC1460)</f>
        <v/>
      </c>
      <c r="AE1460" s="7">
        <f>IF($E1460="","",AD1460-Q1460)</f>
        <v/>
      </c>
      <c r="AI1460" s="7" t="n"/>
      <c r="AL1460" s="11" t="n"/>
      <c r="AN1460">
        <f>IF($E1460="","",IF(COUNTIF($E$2:$E1460,$E1460)=1,1,0))</f>
        <v/>
      </c>
      <c r="AO1460">
        <f>IF($AN1460=1,SUMPRODUCT(--($AR$2:$AR$4001&lt;$AR1460))+1,"")</f>
        <v/>
      </c>
      <c r="AP1460">
        <f>IF($E1460="","",IF(OR($U1460=TRUE(),$U1460="TRUE"),1,0))</f>
        <v/>
      </c>
      <c r="AQ1460">
        <f>IF($E1460="","",IF($AA1460="Yes",1,0))</f>
        <v/>
      </c>
      <c r="AR1460">
        <f>IF($AN1460=1,IFERROR(VALUE(MID($E1460,2,20)),1000000000)+ROW()/100000,"")</f>
        <v/>
      </c>
    </row>
    <row r="1461">
      <c r="G1461" s="11" t="n"/>
      <c r="Q1461" s="7">
        <f>IF($E1461="","",P1461*Y1461/100)</f>
        <v/>
      </c>
      <c r="R1461" s="7" t="n"/>
      <c r="X1461" s="7" t="n"/>
      <c r="Y1461" s="7" t="n"/>
      <c r="AB1461">
        <f>IF($E1461="","",IF($AQ1461=1,0,IF($AP1461=1,Settings!$C$6,Settings!$C$7))*100)</f>
        <v/>
      </c>
      <c r="AC1461" s="7">
        <f>IF($E1461="","",Y1461*AB1461/100)</f>
        <v/>
      </c>
      <c r="AD1461" s="7">
        <f>IF($E1461="","",Y1461-AC1461)</f>
        <v/>
      </c>
      <c r="AE1461" s="7">
        <f>IF($E1461="","",AD1461-Q1461)</f>
        <v/>
      </c>
      <c r="AI1461" s="7" t="n"/>
      <c r="AL1461" s="11" t="n"/>
      <c r="AN1461">
        <f>IF($E1461="","",IF(COUNTIF($E$2:$E1461,$E1461)=1,1,0))</f>
        <v/>
      </c>
      <c r="AO1461">
        <f>IF($AN1461=1,SUMPRODUCT(--($AR$2:$AR$4001&lt;$AR1461))+1,"")</f>
        <v/>
      </c>
      <c r="AP1461">
        <f>IF($E1461="","",IF(OR($U1461=TRUE(),$U1461="TRUE"),1,0))</f>
        <v/>
      </c>
      <c r="AQ1461">
        <f>IF($E1461="","",IF($AA1461="Yes",1,0))</f>
        <v/>
      </c>
      <c r="AR1461">
        <f>IF($AN1461=1,IFERROR(VALUE(MID($E1461,2,20)),1000000000)+ROW()/100000,"")</f>
        <v/>
      </c>
    </row>
    <row r="1462">
      <c r="G1462" s="11" t="n"/>
      <c r="Q1462" s="7">
        <f>IF($E1462="","",P1462*Y1462/100)</f>
        <v/>
      </c>
      <c r="R1462" s="7" t="n"/>
      <c r="X1462" s="7" t="n"/>
      <c r="Y1462" s="7" t="n"/>
      <c r="AB1462">
        <f>IF($E1462="","",IF($AQ1462=1,0,IF($AP1462=1,Settings!$C$6,Settings!$C$7))*100)</f>
        <v/>
      </c>
      <c r="AC1462" s="7">
        <f>IF($E1462="","",Y1462*AB1462/100)</f>
        <v/>
      </c>
      <c r="AD1462" s="7">
        <f>IF($E1462="","",Y1462-AC1462)</f>
        <v/>
      </c>
      <c r="AE1462" s="7">
        <f>IF($E1462="","",AD1462-Q1462)</f>
        <v/>
      </c>
      <c r="AI1462" s="7" t="n"/>
      <c r="AL1462" s="11" t="n"/>
      <c r="AN1462">
        <f>IF($E1462="","",IF(COUNTIF($E$2:$E1462,$E1462)=1,1,0))</f>
        <v/>
      </c>
      <c r="AO1462">
        <f>IF($AN1462=1,SUMPRODUCT(--($AR$2:$AR$4001&lt;$AR1462))+1,"")</f>
        <v/>
      </c>
      <c r="AP1462">
        <f>IF($E1462="","",IF(OR($U1462=TRUE(),$U1462="TRUE"),1,0))</f>
        <v/>
      </c>
      <c r="AQ1462">
        <f>IF($E1462="","",IF($AA1462="Yes",1,0))</f>
        <v/>
      </c>
      <c r="AR1462">
        <f>IF($AN1462=1,IFERROR(VALUE(MID($E1462,2,20)),1000000000)+ROW()/100000,"")</f>
        <v/>
      </c>
    </row>
    <row r="1463">
      <c r="G1463" s="11" t="n"/>
      <c r="Q1463" s="7">
        <f>IF($E1463="","",P1463*Y1463/100)</f>
        <v/>
      </c>
      <c r="R1463" s="7" t="n"/>
      <c r="X1463" s="7" t="n"/>
      <c r="Y1463" s="7" t="n"/>
      <c r="AB1463">
        <f>IF($E1463="","",IF($AQ1463=1,0,IF($AP1463=1,Settings!$C$6,Settings!$C$7))*100)</f>
        <v/>
      </c>
      <c r="AC1463" s="7">
        <f>IF($E1463="","",Y1463*AB1463/100)</f>
        <v/>
      </c>
      <c r="AD1463" s="7">
        <f>IF($E1463="","",Y1463-AC1463)</f>
        <v/>
      </c>
      <c r="AE1463" s="7">
        <f>IF($E1463="","",AD1463-Q1463)</f>
        <v/>
      </c>
      <c r="AI1463" s="7" t="n"/>
      <c r="AL1463" s="11" t="n"/>
      <c r="AN1463">
        <f>IF($E1463="","",IF(COUNTIF($E$2:$E1463,$E1463)=1,1,0))</f>
        <v/>
      </c>
      <c r="AO1463">
        <f>IF($AN1463=1,SUMPRODUCT(--($AR$2:$AR$4001&lt;$AR1463))+1,"")</f>
        <v/>
      </c>
      <c r="AP1463">
        <f>IF($E1463="","",IF(OR($U1463=TRUE(),$U1463="TRUE"),1,0))</f>
        <v/>
      </c>
      <c r="AQ1463">
        <f>IF($E1463="","",IF($AA1463="Yes",1,0))</f>
        <v/>
      </c>
      <c r="AR1463">
        <f>IF($AN1463=1,IFERROR(VALUE(MID($E1463,2,20)),1000000000)+ROW()/100000,"")</f>
        <v/>
      </c>
    </row>
    <row r="1464">
      <c r="G1464" s="11" t="n"/>
      <c r="Q1464" s="7">
        <f>IF($E1464="","",P1464*Y1464/100)</f>
        <v/>
      </c>
      <c r="R1464" s="7" t="n"/>
      <c r="X1464" s="7" t="n"/>
      <c r="Y1464" s="7" t="n"/>
      <c r="AB1464">
        <f>IF($E1464="","",IF($AQ1464=1,0,IF($AP1464=1,Settings!$C$6,Settings!$C$7))*100)</f>
        <v/>
      </c>
      <c r="AC1464" s="7">
        <f>IF($E1464="","",Y1464*AB1464/100)</f>
        <v/>
      </c>
      <c r="AD1464" s="7">
        <f>IF($E1464="","",Y1464-AC1464)</f>
        <v/>
      </c>
      <c r="AE1464" s="7">
        <f>IF($E1464="","",AD1464-Q1464)</f>
        <v/>
      </c>
      <c r="AI1464" s="7" t="n"/>
      <c r="AL1464" s="11" t="n"/>
      <c r="AN1464">
        <f>IF($E1464="","",IF(COUNTIF($E$2:$E1464,$E1464)=1,1,0))</f>
        <v/>
      </c>
      <c r="AO1464">
        <f>IF($AN1464=1,SUMPRODUCT(--($AR$2:$AR$4001&lt;$AR1464))+1,"")</f>
        <v/>
      </c>
      <c r="AP1464">
        <f>IF($E1464="","",IF(OR($U1464=TRUE(),$U1464="TRUE"),1,0))</f>
        <v/>
      </c>
      <c r="AQ1464">
        <f>IF($E1464="","",IF($AA1464="Yes",1,0))</f>
        <v/>
      </c>
      <c r="AR1464">
        <f>IF($AN1464=1,IFERROR(VALUE(MID($E1464,2,20)),1000000000)+ROW()/100000,"")</f>
        <v/>
      </c>
    </row>
    <row r="1465">
      <c r="G1465" s="11" t="n"/>
      <c r="Q1465" s="7">
        <f>IF($E1465="","",P1465*Y1465/100)</f>
        <v/>
      </c>
      <c r="R1465" s="7" t="n"/>
      <c r="X1465" s="7" t="n"/>
      <c r="Y1465" s="7" t="n"/>
      <c r="AB1465">
        <f>IF($E1465="","",IF($AQ1465=1,0,IF($AP1465=1,Settings!$C$6,Settings!$C$7))*100)</f>
        <v/>
      </c>
      <c r="AC1465" s="7">
        <f>IF($E1465="","",Y1465*AB1465/100)</f>
        <v/>
      </c>
      <c r="AD1465" s="7">
        <f>IF($E1465="","",Y1465-AC1465)</f>
        <v/>
      </c>
      <c r="AE1465" s="7">
        <f>IF($E1465="","",AD1465-Q1465)</f>
        <v/>
      </c>
      <c r="AI1465" s="7" t="n"/>
      <c r="AL1465" s="11" t="n"/>
      <c r="AN1465">
        <f>IF($E1465="","",IF(COUNTIF($E$2:$E1465,$E1465)=1,1,0))</f>
        <v/>
      </c>
      <c r="AO1465">
        <f>IF($AN1465=1,SUMPRODUCT(--($AR$2:$AR$4001&lt;$AR1465))+1,"")</f>
        <v/>
      </c>
      <c r="AP1465">
        <f>IF($E1465="","",IF(OR($U1465=TRUE(),$U1465="TRUE"),1,0))</f>
        <v/>
      </c>
      <c r="AQ1465">
        <f>IF($E1465="","",IF($AA1465="Yes",1,0))</f>
        <v/>
      </c>
      <c r="AR1465">
        <f>IF($AN1465=1,IFERROR(VALUE(MID($E1465,2,20)),1000000000)+ROW()/100000,"")</f>
        <v/>
      </c>
    </row>
    <row r="1466">
      <c r="G1466" s="11" t="n"/>
      <c r="Q1466" s="7">
        <f>IF($E1466="","",P1466*Y1466/100)</f>
        <v/>
      </c>
      <c r="R1466" s="7" t="n"/>
      <c r="X1466" s="7" t="n"/>
      <c r="Y1466" s="7" t="n"/>
      <c r="AB1466">
        <f>IF($E1466="","",IF($AQ1466=1,0,IF($AP1466=1,Settings!$C$6,Settings!$C$7))*100)</f>
        <v/>
      </c>
      <c r="AC1466" s="7">
        <f>IF($E1466="","",Y1466*AB1466/100)</f>
        <v/>
      </c>
      <c r="AD1466" s="7">
        <f>IF($E1466="","",Y1466-AC1466)</f>
        <v/>
      </c>
      <c r="AE1466" s="7">
        <f>IF($E1466="","",AD1466-Q1466)</f>
        <v/>
      </c>
      <c r="AI1466" s="7" t="n"/>
      <c r="AL1466" s="11" t="n"/>
      <c r="AN1466">
        <f>IF($E1466="","",IF(COUNTIF($E$2:$E1466,$E1466)=1,1,0))</f>
        <v/>
      </c>
      <c r="AO1466">
        <f>IF($AN1466=1,SUMPRODUCT(--($AR$2:$AR$4001&lt;$AR1466))+1,"")</f>
        <v/>
      </c>
      <c r="AP1466">
        <f>IF($E1466="","",IF(OR($U1466=TRUE(),$U1466="TRUE"),1,0))</f>
        <v/>
      </c>
      <c r="AQ1466">
        <f>IF($E1466="","",IF($AA1466="Yes",1,0))</f>
        <v/>
      </c>
      <c r="AR1466">
        <f>IF($AN1466=1,IFERROR(VALUE(MID($E1466,2,20)),1000000000)+ROW()/100000,"")</f>
        <v/>
      </c>
    </row>
    <row r="1467">
      <c r="G1467" s="11" t="n"/>
      <c r="Q1467" s="7">
        <f>IF($E1467="","",P1467*Y1467/100)</f>
        <v/>
      </c>
      <c r="R1467" s="7" t="n"/>
      <c r="X1467" s="7" t="n"/>
      <c r="Y1467" s="7" t="n"/>
      <c r="AB1467">
        <f>IF($E1467="","",IF($AQ1467=1,0,IF($AP1467=1,Settings!$C$6,Settings!$C$7))*100)</f>
        <v/>
      </c>
      <c r="AC1467" s="7">
        <f>IF($E1467="","",Y1467*AB1467/100)</f>
        <v/>
      </c>
      <c r="AD1467" s="7">
        <f>IF($E1467="","",Y1467-AC1467)</f>
        <v/>
      </c>
      <c r="AE1467" s="7">
        <f>IF($E1467="","",AD1467-Q1467)</f>
        <v/>
      </c>
      <c r="AI1467" s="7" t="n"/>
      <c r="AL1467" s="11" t="n"/>
      <c r="AN1467">
        <f>IF($E1467="","",IF(COUNTIF($E$2:$E1467,$E1467)=1,1,0))</f>
        <v/>
      </c>
      <c r="AO1467">
        <f>IF($AN1467=1,SUMPRODUCT(--($AR$2:$AR$4001&lt;$AR1467))+1,"")</f>
        <v/>
      </c>
      <c r="AP1467">
        <f>IF($E1467="","",IF(OR($U1467=TRUE(),$U1467="TRUE"),1,0))</f>
        <v/>
      </c>
      <c r="AQ1467">
        <f>IF($E1467="","",IF($AA1467="Yes",1,0))</f>
        <v/>
      </c>
      <c r="AR1467">
        <f>IF($AN1467=1,IFERROR(VALUE(MID($E1467,2,20)),1000000000)+ROW()/100000,"")</f>
        <v/>
      </c>
    </row>
    <row r="1468">
      <c r="G1468" s="11" t="n"/>
      <c r="Q1468" s="7">
        <f>IF($E1468="","",P1468*Y1468/100)</f>
        <v/>
      </c>
      <c r="R1468" s="7" t="n"/>
      <c r="X1468" s="7" t="n"/>
      <c r="Y1468" s="7" t="n"/>
      <c r="AB1468">
        <f>IF($E1468="","",IF($AQ1468=1,0,IF($AP1468=1,Settings!$C$6,Settings!$C$7))*100)</f>
        <v/>
      </c>
      <c r="AC1468" s="7">
        <f>IF($E1468="","",Y1468*AB1468/100)</f>
        <v/>
      </c>
      <c r="AD1468" s="7">
        <f>IF($E1468="","",Y1468-AC1468)</f>
        <v/>
      </c>
      <c r="AE1468" s="7">
        <f>IF($E1468="","",AD1468-Q1468)</f>
        <v/>
      </c>
      <c r="AI1468" s="7" t="n"/>
      <c r="AL1468" s="11" t="n"/>
      <c r="AN1468">
        <f>IF($E1468="","",IF(COUNTIF($E$2:$E1468,$E1468)=1,1,0))</f>
        <v/>
      </c>
      <c r="AO1468">
        <f>IF($AN1468=1,SUMPRODUCT(--($AR$2:$AR$4001&lt;$AR1468))+1,"")</f>
        <v/>
      </c>
      <c r="AP1468">
        <f>IF($E1468="","",IF(OR($U1468=TRUE(),$U1468="TRUE"),1,0))</f>
        <v/>
      </c>
      <c r="AQ1468">
        <f>IF($E1468="","",IF($AA1468="Yes",1,0))</f>
        <v/>
      </c>
      <c r="AR1468">
        <f>IF($AN1468=1,IFERROR(VALUE(MID($E1468,2,20)),1000000000)+ROW()/100000,"")</f>
        <v/>
      </c>
    </row>
    <row r="1469">
      <c r="G1469" s="11" t="n"/>
      <c r="Q1469" s="7">
        <f>IF($E1469="","",P1469*Y1469/100)</f>
        <v/>
      </c>
      <c r="R1469" s="7" t="n"/>
      <c r="X1469" s="7" t="n"/>
      <c r="Y1469" s="7" t="n"/>
      <c r="AB1469">
        <f>IF($E1469="","",IF($AQ1469=1,0,IF($AP1469=1,Settings!$C$6,Settings!$C$7))*100)</f>
        <v/>
      </c>
      <c r="AC1469" s="7">
        <f>IF($E1469="","",Y1469*AB1469/100)</f>
        <v/>
      </c>
      <c r="AD1469" s="7">
        <f>IF($E1469="","",Y1469-AC1469)</f>
        <v/>
      </c>
      <c r="AE1469" s="7">
        <f>IF($E1469="","",AD1469-Q1469)</f>
        <v/>
      </c>
      <c r="AI1469" s="7" t="n"/>
      <c r="AL1469" s="11" t="n"/>
      <c r="AN1469">
        <f>IF($E1469="","",IF(COUNTIF($E$2:$E1469,$E1469)=1,1,0))</f>
        <v/>
      </c>
      <c r="AO1469">
        <f>IF($AN1469=1,SUMPRODUCT(--($AR$2:$AR$4001&lt;$AR1469))+1,"")</f>
        <v/>
      </c>
      <c r="AP1469">
        <f>IF($E1469="","",IF(OR($U1469=TRUE(),$U1469="TRUE"),1,0))</f>
        <v/>
      </c>
      <c r="AQ1469">
        <f>IF($E1469="","",IF($AA1469="Yes",1,0))</f>
        <v/>
      </c>
      <c r="AR1469">
        <f>IF($AN1469=1,IFERROR(VALUE(MID($E1469,2,20)),1000000000)+ROW()/100000,"")</f>
        <v/>
      </c>
    </row>
    <row r="1470">
      <c r="G1470" s="11" t="n"/>
      <c r="Q1470" s="7">
        <f>IF($E1470="","",P1470*Y1470/100)</f>
        <v/>
      </c>
      <c r="R1470" s="7" t="n"/>
      <c r="X1470" s="7" t="n"/>
      <c r="Y1470" s="7" t="n"/>
      <c r="AB1470">
        <f>IF($E1470="","",IF($AQ1470=1,0,IF($AP1470=1,Settings!$C$6,Settings!$C$7))*100)</f>
        <v/>
      </c>
      <c r="AC1470" s="7">
        <f>IF($E1470="","",Y1470*AB1470/100)</f>
        <v/>
      </c>
      <c r="AD1470" s="7">
        <f>IF($E1470="","",Y1470-AC1470)</f>
        <v/>
      </c>
      <c r="AE1470" s="7">
        <f>IF($E1470="","",AD1470-Q1470)</f>
        <v/>
      </c>
      <c r="AI1470" s="7" t="n"/>
      <c r="AL1470" s="11" t="n"/>
      <c r="AN1470">
        <f>IF($E1470="","",IF(COUNTIF($E$2:$E1470,$E1470)=1,1,0))</f>
        <v/>
      </c>
      <c r="AO1470">
        <f>IF($AN1470=1,SUMPRODUCT(--($AR$2:$AR$4001&lt;$AR1470))+1,"")</f>
        <v/>
      </c>
      <c r="AP1470">
        <f>IF($E1470="","",IF(OR($U1470=TRUE(),$U1470="TRUE"),1,0))</f>
        <v/>
      </c>
      <c r="AQ1470">
        <f>IF($E1470="","",IF($AA1470="Yes",1,0))</f>
        <v/>
      </c>
      <c r="AR1470">
        <f>IF($AN1470=1,IFERROR(VALUE(MID($E1470,2,20)),1000000000)+ROW()/100000,"")</f>
        <v/>
      </c>
    </row>
    <row r="1471">
      <c r="G1471" s="11" t="n"/>
      <c r="Q1471" s="7">
        <f>IF($E1471="","",P1471*Y1471/100)</f>
        <v/>
      </c>
      <c r="R1471" s="7" t="n"/>
      <c r="X1471" s="7" t="n"/>
      <c r="Y1471" s="7" t="n"/>
      <c r="AB1471">
        <f>IF($E1471="","",IF($AQ1471=1,0,IF($AP1471=1,Settings!$C$6,Settings!$C$7))*100)</f>
        <v/>
      </c>
      <c r="AC1471" s="7">
        <f>IF($E1471="","",Y1471*AB1471/100)</f>
        <v/>
      </c>
      <c r="AD1471" s="7">
        <f>IF($E1471="","",Y1471-AC1471)</f>
        <v/>
      </c>
      <c r="AE1471" s="7">
        <f>IF($E1471="","",AD1471-Q1471)</f>
        <v/>
      </c>
      <c r="AI1471" s="7" t="n"/>
      <c r="AL1471" s="11" t="n"/>
      <c r="AN1471">
        <f>IF($E1471="","",IF(COUNTIF($E$2:$E1471,$E1471)=1,1,0))</f>
        <v/>
      </c>
      <c r="AO1471">
        <f>IF($AN1471=1,SUMPRODUCT(--($AR$2:$AR$4001&lt;$AR1471))+1,"")</f>
        <v/>
      </c>
      <c r="AP1471">
        <f>IF($E1471="","",IF(OR($U1471=TRUE(),$U1471="TRUE"),1,0))</f>
        <v/>
      </c>
      <c r="AQ1471">
        <f>IF($E1471="","",IF($AA1471="Yes",1,0))</f>
        <v/>
      </c>
      <c r="AR1471">
        <f>IF($AN1471=1,IFERROR(VALUE(MID($E1471,2,20)),1000000000)+ROW()/100000,"")</f>
        <v/>
      </c>
    </row>
    <row r="1472">
      <c r="G1472" s="11" t="n"/>
      <c r="Q1472" s="7">
        <f>IF($E1472="","",P1472*Y1472/100)</f>
        <v/>
      </c>
      <c r="R1472" s="7" t="n"/>
      <c r="X1472" s="7" t="n"/>
      <c r="Y1472" s="7" t="n"/>
      <c r="AB1472">
        <f>IF($E1472="","",IF($AQ1472=1,0,IF($AP1472=1,Settings!$C$6,Settings!$C$7))*100)</f>
        <v/>
      </c>
      <c r="AC1472" s="7">
        <f>IF($E1472="","",Y1472*AB1472/100)</f>
        <v/>
      </c>
      <c r="AD1472" s="7">
        <f>IF($E1472="","",Y1472-AC1472)</f>
        <v/>
      </c>
      <c r="AE1472" s="7">
        <f>IF($E1472="","",AD1472-Q1472)</f>
        <v/>
      </c>
      <c r="AI1472" s="7" t="n"/>
      <c r="AL1472" s="11" t="n"/>
      <c r="AN1472">
        <f>IF($E1472="","",IF(COUNTIF($E$2:$E1472,$E1472)=1,1,0))</f>
        <v/>
      </c>
      <c r="AO1472">
        <f>IF($AN1472=1,SUMPRODUCT(--($AR$2:$AR$4001&lt;$AR1472))+1,"")</f>
        <v/>
      </c>
      <c r="AP1472">
        <f>IF($E1472="","",IF(OR($U1472=TRUE(),$U1472="TRUE"),1,0))</f>
        <v/>
      </c>
      <c r="AQ1472">
        <f>IF($E1472="","",IF($AA1472="Yes",1,0))</f>
        <v/>
      </c>
      <c r="AR1472">
        <f>IF($AN1472=1,IFERROR(VALUE(MID($E1472,2,20)),1000000000)+ROW()/100000,"")</f>
        <v/>
      </c>
    </row>
    <row r="1473">
      <c r="G1473" s="11" t="n"/>
      <c r="Q1473" s="7">
        <f>IF($E1473="","",P1473*Y1473/100)</f>
        <v/>
      </c>
      <c r="R1473" s="7" t="n"/>
      <c r="X1473" s="7" t="n"/>
      <c r="Y1473" s="7" t="n"/>
      <c r="AB1473">
        <f>IF($E1473="","",IF($AQ1473=1,0,IF($AP1473=1,Settings!$C$6,Settings!$C$7))*100)</f>
        <v/>
      </c>
      <c r="AC1473" s="7">
        <f>IF($E1473="","",Y1473*AB1473/100)</f>
        <v/>
      </c>
      <c r="AD1473" s="7">
        <f>IF($E1473="","",Y1473-AC1473)</f>
        <v/>
      </c>
      <c r="AE1473" s="7">
        <f>IF($E1473="","",AD1473-Q1473)</f>
        <v/>
      </c>
      <c r="AI1473" s="7" t="n"/>
      <c r="AL1473" s="11" t="n"/>
      <c r="AN1473">
        <f>IF($E1473="","",IF(COUNTIF($E$2:$E1473,$E1473)=1,1,0))</f>
        <v/>
      </c>
      <c r="AO1473">
        <f>IF($AN1473=1,SUMPRODUCT(--($AR$2:$AR$4001&lt;$AR1473))+1,"")</f>
        <v/>
      </c>
      <c r="AP1473">
        <f>IF($E1473="","",IF(OR($U1473=TRUE(),$U1473="TRUE"),1,0))</f>
        <v/>
      </c>
      <c r="AQ1473">
        <f>IF($E1473="","",IF($AA1473="Yes",1,0))</f>
        <v/>
      </c>
      <c r="AR1473">
        <f>IF($AN1473=1,IFERROR(VALUE(MID($E1473,2,20)),1000000000)+ROW()/100000,"")</f>
        <v/>
      </c>
    </row>
    <row r="1474">
      <c r="G1474" s="11" t="n"/>
      <c r="Q1474" s="7">
        <f>IF($E1474="","",P1474*Y1474/100)</f>
        <v/>
      </c>
      <c r="R1474" s="7" t="n"/>
      <c r="X1474" s="7" t="n"/>
      <c r="Y1474" s="7" t="n"/>
      <c r="AB1474">
        <f>IF($E1474="","",IF($AQ1474=1,0,IF($AP1474=1,Settings!$C$6,Settings!$C$7))*100)</f>
        <v/>
      </c>
      <c r="AC1474" s="7">
        <f>IF($E1474="","",Y1474*AB1474/100)</f>
        <v/>
      </c>
      <c r="AD1474" s="7">
        <f>IF($E1474="","",Y1474-AC1474)</f>
        <v/>
      </c>
      <c r="AE1474" s="7">
        <f>IF($E1474="","",AD1474-Q1474)</f>
        <v/>
      </c>
      <c r="AI1474" s="7" t="n"/>
      <c r="AL1474" s="11" t="n"/>
      <c r="AN1474">
        <f>IF($E1474="","",IF(COUNTIF($E$2:$E1474,$E1474)=1,1,0))</f>
        <v/>
      </c>
      <c r="AO1474">
        <f>IF($AN1474=1,SUMPRODUCT(--($AR$2:$AR$4001&lt;$AR1474))+1,"")</f>
        <v/>
      </c>
      <c r="AP1474">
        <f>IF($E1474="","",IF(OR($U1474=TRUE(),$U1474="TRUE"),1,0))</f>
        <v/>
      </c>
      <c r="AQ1474">
        <f>IF($E1474="","",IF($AA1474="Yes",1,0))</f>
        <v/>
      </c>
      <c r="AR1474">
        <f>IF($AN1474=1,IFERROR(VALUE(MID($E1474,2,20)),1000000000)+ROW()/100000,"")</f>
        <v/>
      </c>
    </row>
    <row r="1475">
      <c r="G1475" s="11" t="n"/>
      <c r="Q1475" s="7">
        <f>IF($E1475="","",P1475*Y1475/100)</f>
        <v/>
      </c>
      <c r="R1475" s="7" t="n"/>
      <c r="X1475" s="7" t="n"/>
      <c r="Y1475" s="7" t="n"/>
      <c r="AB1475">
        <f>IF($E1475="","",IF($AQ1475=1,0,IF($AP1475=1,Settings!$C$6,Settings!$C$7))*100)</f>
        <v/>
      </c>
      <c r="AC1475" s="7">
        <f>IF($E1475="","",Y1475*AB1475/100)</f>
        <v/>
      </c>
      <c r="AD1475" s="7">
        <f>IF($E1475="","",Y1475-AC1475)</f>
        <v/>
      </c>
      <c r="AE1475" s="7">
        <f>IF($E1475="","",AD1475-Q1475)</f>
        <v/>
      </c>
      <c r="AI1475" s="7" t="n"/>
      <c r="AL1475" s="11" t="n"/>
      <c r="AN1475">
        <f>IF($E1475="","",IF(COUNTIF($E$2:$E1475,$E1475)=1,1,0))</f>
        <v/>
      </c>
      <c r="AO1475">
        <f>IF($AN1475=1,SUMPRODUCT(--($AR$2:$AR$4001&lt;$AR1475))+1,"")</f>
        <v/>
      </c>
      <c r="AP1475">
        <f>IF($E1475="","",IF(OR($U1475=TRUE(),$U1475="TRUE"),1,0))</f>
        <v/>
      </c>
      <c r="AQ1475">
        <f>IF($E1475="","",IF($AA1475="Yes",1,0))</f>
        <v/>
      </c>
      <c r="AR1475">
        <f>IF($AN1475=1,IFERROR(VALUE(MID($E1475,2,20)),1000000000)+ROW()/100000,"")</f>
        <v/>
      </c>
    </row>
    <row r="1476">
      <c r="G1476" s="11" t="n"/>
      <c r="Q1476" s="7">
        <f>IF($E1476="","",P1476*Y1476/100)</f>
        <v/>
      </c>
      <c r="R1476" s="7" t="n"/>
      <c r="X1476" s="7" t="n"/>
      <c r="Y1476" s="7" t="n"/>
      <c r="AB1476">
        <f>IF($E1476="","",IF($AQ1476=1,0,IF($AP1476=1,Settings!$C$6,Settings!$C$7))*100)</f>
        <v/>
      </c>
      <c r="AC1476" s="7">
        <f>IF($E1476="","",Y1476*AB1476/100)</f>
        <v/>
      </c>
      <c r="AD1476" s="7">
        <f>IF($E1476="","",Y1476-AC1476)</f>
        <v/>
      </c>
      <c r="AE1476" s="7">
        <f>IF($E1476="","",AD1476-Q1476)</f>
        <v/>
      </c>
      <c r="AI1476" s="7" t="n"/>
      <c r="AL1476" s="11" t="n"/>
      <c r="AN1476">
        <f>IF($E1476="","",IF(COUNTIF($E$2:$E1476,$E1476)=1,1,0))</f>
        <v/>
      </c>
      <c r="AO1476">
        <f>IF($AN1476=1,SUMPRODUCT(--($AR$2:$AR$4001&lt;$AR1476))+1,"")</f>
        <v/>
      </c>
      <c r="AP1476">
        <f>IF($E1476="","",IF(OR($U1476=TRUE(),$U1476="TRUE"),1,0))</f>
        <v/>
      </c>
      <c r="AQ1476">
        <f>IF($E1476="","",IF($AA1476="Yes",1,0))</f>
        <v/>
      </c>
      <c r="AR1476">
        <f>IF($AN1476=1,IFERROR(VALUE(MID($E1476,2,20)),1000000000)+ROW()/100000,"")</f>
        <v/>
      </c>
    </row>
    <row r="1477">
      <c r="G1477" s="11" t="n"/>
      <c r="Q1477" s="7">
        <f>IF($E1477="","",P1477*Y1477/100)</f>
        <v/>
      </c>
      <c r="R1477" s="7" t="n"/>
      <c r="X1477" s="7" t="n"/>
      <c r="Y1477" s="7" t="n"/>
      <c r="AB1477">
        <f>IF($E1477="","",IF($AQ1477=1,0,IF($AP1477=1,Settings!$C$6,Settings!$C$7))*100)</f>
        <v/>
      </c>
      <c r="AC1477" s="7">
        <f>IF($E1477="","",Y1477*AB1477/100)</f>
        <v/>
      </c>
      <c r="AD1477" s="7">
        <f>IF($E1477="","",Y1477-AC1477)</f>
        <v/>
      </c>
      <c r="AE1477" s="7">
        <f>IF($E1477="","",AD1477-Q1477)</f>
        <v/>
      </c>
      <c r="AI1477" s="7" t="n"/>
      <c r="AL1477" s="11" t="n"/>
      <c r="AN1477">
        <f>IF($E1477="","",IF(COUNTIF($E$2:$E1477,$E1477)=1,1,0))</f>
        <v/>
      </c>
      <c r="AO1477">
        <f>IF($AN1477=1,SUMPRODUCT(--($AR$2:$AR$4001&lt;$AR1477))+1,"")</f>
        <v/>
      </c>
      <c r="AP1477">
        <f>IF($E1477="","",IF(OR($U1477=TRUE(),$U1477="TRUE"),1,0))</f>
        <v/>
      </c>
      <c r="AQ1477">
        <f>IF($E1477="","",IF($AA1477="Yes",1,0))</f>
        <v/>
      </c>
      <c r="AR1477">
        <f>IF($AN1477=1,IFERROR(VALUE(MID($E1477,2,20)),1000000000)+ROW()/100000,"")</f>
        <v/>
      </c>
    </row>
    <row r="1478">
      <c r="G1478" s="11" t="n"/>
      <c r="Q1478" s="7">
        <f>IF($E1478="","",P1478*Y1478/100)</f>
        <v/>
      </c>
      <c r="R1478" s="7" t="n"/>
      <c r="X1478" s="7" t="n"/>
      <c r="Y1478" s="7" t="n"/>
      <c r="AB1478">
        <f>IF($E1478="","",IF($AQ1478=1,0,IF($AP1478=1,Settings!$C$6,Settings!$C$7))*100)</f>
        <v/>
      </c>
      <c r="AC1478" s="7">
        <f>IF($E1478="","",Y1478*AB1478/100)</f>
        <v/>
      </c>
      <c r="AD1478" s="7">
        <f>IF($E1478="","",Y1478-AC1478)</f>
        <v/>
      </c>
      <c r="AE1478" s="7">
        <f>IF($E1478="","",AD1478-Q1478)</f>
        <v/>
      </c>
      <c r="AI1478" s="7" t="n"/>
      <c r="AL1478" s="11" t="n"/>
      <c r="AN1478">
        <f>IF($E1478="","",IF(COUNTIF($E$2:$E1478,$E1478)=1,1,0))</f>
        <v/>
      </c>
      <c r="AO1478">
        <f>IF($AN1478=1,SUMPRODUCT(--($AR$2:$AR$4001&lt;$AR1478))+1,"")</f>
        <v/>
      </c>
      <c r="AP1478">
        <f>IF($E1478="","",IF(OR($U1478=TRUE(),$U1478="TRUE"),1,0))</f>
        <v/>
      </c>
      <c r="AQ1478">
        <f>IF($E1478="","",IF($AA1478="Yes",1,0))</f>
        <v/>
      </c>
      <c r="AR1478">
        <f>IF($AN1478=1,IFERROR(VALUE(MID($E1478,2,20)),1000000000)+ROW()/100000,"")</f>
        <v/>
      </c>
    </row>
    <row r="1479">
      <c r="G1479" s="11" t="n"/>
      <c r="Q1479" s="7">
        <f>IF($E1479="","",P1479*Y1479/100)</f>
        <v/>
      </c>
      <c r="R1479" s="7" t="n"/>
      <c r="X1479" s="7" t="n"/>
      <c r="Y1479" s="7" t="n"/>
      <c r="AB1479">
        <f>IF($E1479="","",IF($AQ1479=1,0,IF($AP1479=1,Settings!$C$6,Settings!$C$7))*100)</f>
        <v/>
      </c>
      <c r="AC1479" s="7">
        <f>IF($E1479="","",Y1479*AB1479/100)</f>
        <v/>
      </c>
      <c r="AD1479" s="7">
        <f>IF($E1479="","",Y1479-AC1479)</f>
        <v/>
      </c>
      <c r="AE1479" s="7">
        <f>IF($E1479="","",AD1479-Q1479)</f>
        <v/>
      </c>
      <c r="AI1479" s="7" t="n"/>
      <c r="AL1479" s="11" t="n"/>
      <c r="AN1479">
        <f>IF($E1479="","",IF(COUNTIF($E$2:$E1479,$E1479)=1,1,0))</f>
        <v/>
      </c>
      <c r="AO1479">
        <f>IF($AN1479=1,SUMPRODUCT(--($AR$2:$AR$4001&lt;$AR1479))+1,"")</f>
        <v/>
      </c>
      <c r="AP1479">
        <f>IF($E1479="","",IF(OR($U1479=TRUE(),$U1479="TRUE"),1,0))</f>
        <v/>
      </c>
      <c r="AQ1479">
        <f>IF($E1479="","",IF($AA1479="Yes",1,0))</f>
        <v/>
      </c>
      <c r="AR1479">
        <f>IF($AN1479=1,IFERROR(VALUE(MID($E1479,2,20)),1000000000)+ROW()/100000,"")</f>
        <v/>
      </c>
    </row>
    <row r="1480">
      <c r="G1480" s="11" t="n"/>
      <c r="Q1480" s="7">
        <f>IF($E1480="","",P1480*Y1480/100)</f>
        <v/>
      </c>
      <c r="R1480" s="7" t="n"/>
      <c r="X1480" s="7" t="n"/>
      <c r="Y1480" s="7" t="n"/>
      <c r="AB1480">
        <f>IF($E1480="","",IF($AQ1480=1,0,IF($AP1480=1,Settings!$C$6,Settings!$C$7))*100)</f>
        <v/>
      </c>
      <c r="AC1480" s="7">
        <f>IF($E1480="","",Y1480*AB1480/100)</f>
        <v/>
      </c>
      <c r="AD1480" s="7">
        <f>IF($E1480="","",Y1480-AC1480)</f>
        <v/>
      </c>
      <c r="AE1480" s="7">
        <f>IF($E1480="","",AD1480-Q1480)</f>
        <v/>
      </c>
      <c r="AI1480" s="7" t="n"/>
      <c r="AL1480" s="11" t="n"/>
      <c r="AN1480">
        <f>IF($E1480="","",IF(COUNTIF($E$2:$E1480,$E1480)=1,1,0))</f>
        <v/>
      </c>
      <c r="AO1480">
        <f>IF($AN1480=1,SUMPRODUCT(--($AR$2:$AR$4001&lt;$AR1480))+1,"")</f>
        <v/>
      </c>
      <c r="AP1480">
        <f>IF($E1480="","",IF(OR($U1480=TRUE(),$U1480="TRUE"),1,0))</f>
        <v/>
      </c>
      <c r="AQ1480">
        <f>IF($E1480="","",IF($AA1480="Yes",1,0))</f>
        <v/>
      </c>
      <c r="AR1480">
        <f>IF($AN1480=1,IFERROR(VALUE(MID($E1480,2,20)),1000000000)+ROW()/100000,"")</f>
        <v/>
      </c>
    </row>
    <row r="1481">
      <c r="G1481" s="11" t="n"/>
      <c r="Q1481" s="7">
        <f>IF($E1481="","",P1481*Y1481/100)</f>
        <v/>
      </c>
      <c r="R1481" s="7" t="n"/>
      <c r="X1481" s="7" t="n"/>
      <c r="Y1481" s="7" t="n"/>
      <c r="AB1481">
        <f>IF($E1481="","",IF($AQ1481=1,0,IF($AP1481=1,Settings!$C$6,Settings!$C$7))*100)</f>
        <v/>
      </c>
      <c r="AC1481" s="7">
        <f>IF($E1481="","",Y1481*AB1481/100)</f>
        <v/>
      </c>
      <c r="AD1481" s="7">
        <f>IF($E1481="","",Y1481-AC1481)</f>
        <v/>
      </c>
      <c r="AE1481" s="7">
        <f>IF($E1481="","",AD1481-Q1481)</f>
        <v/>
      </c>
      <c r="AI1481" s="7" t="n"/>
      <c r="AL1481" s="11" t="n"/>
      <c r="AN1481">
        <f>IF($E1481="","",IF(COUNTIF($E$2:$E1481,$E1481)=1,1,0))</f>
        <v/>
      </c>
      <c r="AO1481">
        <f>IF($AN1481=1,SUMPRODUCT(--($AR$2:$AR$4001&lt;$AR1481))+1,"")</f>
        <v/>
      </c>
      <c r="AP1481">
        <f>IF($E1481="","",IF(OR($U1481=TRUE(),$U1481="TRUE"),1,0))</f>
        <v/>
      </c>
      <c r="AQ1481">
        <f>IF($E1481="","",IF($AA1481="Yes",1,0))</f>
        <v/>
      </c>
      <c r="AR1481">
        <f>IF($AN1481=1,IFERROR(VALUE(MID($E1481,2,20)),1000000000)+ROW()/100000,"")</f>
        <v/>
      </c>
    </row>
    <row r="1482">
      <c r="G1482" s="11" t="n"/>
      <c r="Q1482" s="7">
        <f>IF($E1482="","",P1482*Y1482/100)</f>
        <v/>
      </c>
      <c r="R1482" s="7" t="n"/>
      <c r="X1482" s="7" t="n"/>
      <c r="Y1482" s="7" t="n"/>
      <c r="AB1482">
        <f>IF($E1482="","",IF($AQ1482=1,0,IF($AP1482=1,Settings!$C$6,Settings!$C$7))*100)</f>
        <v/>
      </c>
      <c r="AC1482" s="7">
        <f>IF($E1482="","",Y1482*AB1482/100)</f>
        <v/>
      </c>
      <c r="AD1482" s="7">
        <f>IF($E1482="","",Y1482-AC1482)</f>
        <v/>
      </c>
      <c r="AE1482" s="7">
        <f>IF($E1482="","",AD1482-Q1482)</f>
        <v/>
      </c>
      <c r="AI1482" s="7" t="n"/>
      <c r="AL1482" s="11" t="n"/>
      <c r="AN1482">
        <f>IF($E1482="","",IF(COUNTIF($E$2:$E1482,$E1482)=1,1,0))</f>
        <v/>
      </c>
      <c r="AO1482">
        <f>IF($AN1482=1,SUMPRODUCT(--($AR$2:$AR$4001&lt;$AR1482))+1,"")</f>
        <v/>
      </c>
      <c r="AP1482">
        <f>IF($E1482="","",IF(OR($U1482=TRUE(),$U1482="TRUE"),1,0))</f>
        <v/>
      </c>
      <c r="AQ1482">
        <f>IF($E1482="","",IF($AA1482="Yes",1,0))</f>
        <v/>
      </c>
      <c r="AR1482">
        <f>IF($AN1482=1,IFERROR(VALUE(MID($E1482,2,20)),1000000000)+ROW()/100000,"")</f>
        <v/>
      </c>
    </row>
    <row r="1483">
      <c r="G1483" s="11" t="n"/>
      <c r="Q1483" s="7">
        <f>IF($E1483="","",P1483*Y1483/100)</f>
        <v/>
      </c>
      <c r="R1483" s="7" t="n"/>
      <c r="X1483" s="7" t="n"/>
      <c r="Y1483" s="7" t="n"/>
      <c r="AB1483">
        <f>IF($E1483="","",IF($AQ1483=1,0,IF($AP1483=1,Settings!$C$6,Settings!$C$7))*100)</f>
        <v/>
      </c>
      <c r="AC1483" s="7">
        <f>IF($E1483="","",Y1483*AB1483/100)</f>
        <v/>
      </c>
      <c r="AD1483" s="7">
        <f>IF($E1483="","",Y1483-AC1483)</f>
        <v/>
      </c>
      <c r="AE1483" s="7">
        <f>IF($E1483="","",AD1483-Q1483)</f>
        <v/>
      </c>
      <c r="AI1483" s="7" t="n"/>
      <c r="AL1483" s="11" t="n"/>
      <c r="AN1483">
        <f>IF($E1483="","",IF(COUNTIF($E$2:$E1483,$E1483)=1,1,0))</f>
        <v/>
      </c>
      <c r="AO1483">
        <f>IF($AN1483=1,SUMPRODUCT(--($AR$2:$AR$4001&lt;$AR1483))+1,"")</f>
        <v/>
      </c>
      <c r="AP1483">
        <f>IF($E1483="","",IF(OR($U1483=TRUE(),$U1483="TRUE"),1,0))</f>
        <v/>
      </c>
      <c r="AQ1483">
        <f>IF($E1483="","",IF($AA1483="Yes",1,0))</f>
        <v/>
      </c>
      <c r="AR1483">
        <f>IF($AN1483=1,IFERROR(VALUE(MID($E1483,2,20)),1000000000)+ROW()/100000,"")</f>
        <v/>
      </c>
    </row>
    <row r="1484">
      <c r="G1484" s="11" t="n"/>
      <c r="Q1484" s="7">
        <f>IF($E1484="","",P1484*Y1484/100)</f>
        <v/>
      </c>
      <c r="R1484" s="7" t="n"/>
      <c r="X1484" s="7" t="n"/>
      <c r="Y1484" s="7" t="n"/>
      <c r="AB1484">
        <f>IF($E1484="","",IF($AQ1484=1,0,IF($AP1484=1,Settings!$C$6,Settings!$C$7))*100)</f>
        <v/>
      </c>
      <c r="AC1484" s="7">
        <f>IF($E1484="","",Y1484*AB1484/100)</f>
        <v/>
      </c>
      <c r="AD1484" s="7">
        <f>IF($E1484="","",Y1484-AC1484)</f>
        <v/>
      </c>
      <c r="AE1484" s="7">
        <f>IF($E1484="","",AD1484-Q1484)</f>
        <v/>
      </c>
      <c r="AI1484" s="7" t="n"/>
      <c r="AL1484" s="11" t="n"/>
      <c r="AN1484">
        <f>IF($E1484="","",IF(COUNTIF($E$2:$E1484,$E1484)=1,1,0))</f>
        <v/>
      </c>
      <c r="AO1484">
        <f>IF($AN1484=1,SUMPRODUCT(--($AR$2:$AR$4001&lt;$AR1484))+1,"")</f>
        <v/>
      </c>
      <c r="AP1484">
        <f>IF($E1484="","",IF(OR($U1484=TRUE(),$U1484="TRUE"),1,0))</f>
        <v/>
      </c>
      <c r="AQ1484">
        <f>IF($E1484="","",IF($AA1484="Yes",1,0))</f>
        <v/>
      </c>
      <c r="AR1484">
        <f>IF($AN1484=1,IFERROR(VALUE(MID($E1484,2,20)),1000000000)+ROW()/100000,"")</f>
        <v/>
      </c>
    </row>
    <row r="1485">
      <c r="G1485" s="11" t="n"/>
      <c r="Q1485" s="7">
        <f>IF($E1485="","",P1485*Y1485/100)</f>
        <v/>
      </c>
      <c r="R1485" s="7" t="n"/>
      <c r="X1485" s="7" t="n"/>
      <c r="Y1485" s="7" t="n"/>
      <c r="AB1485">
        <f>IF($E1485="","",IF($AQ1485=1,0,IF($AP1485=1,Settings!$C$6,Settings!$C$7))*100)</f>
        <v/>
      </c>
      <c r="AC1485" s="7">
        <f>IF($E1485="","",Y1485*AB1485/100)</f>
        <v/>
      </c>
      <c r="AD1485" s="7">
        <f>IF($E1485="","",Y1485-AC1485)</f>
        <v/>
      </c>
      <c r="AE1485" s="7">
        <f>IF($E1485="","",AD1485-Q1485)</f>
        <v/>
      </c>
      <c r="AI1485" s="7" t="n"/>
      <c r="AL1485" s="11" t="n"/>
      <c r="AN1485">
        <f>IF($E1485="","",IF(COUNTIF($E$2:$E1485,$E1485)=1,1,0))</f>
        <v/>
      </c>
      <c r="AO1485">
        <f>IF($AN1485=1,SUMPRODUCT(--($AR$2:$AR$4001&lt;$AR1485))+1,"")</f>
        <v/>
      </c>
      <c r="AP1485">
        <f>IF($E1485="","",IF(OR($U1485=TRUE(),$U1485="TRUE"),1,0))</f>
        <v/>
      </c>
      <c r="AQ1485">
        <f>IF($E1485="","",IF($AA1485="Yes",1,0))</f>
        <v/>
      </c>
      <c r="AR1485">
        <f>IF($AN1485=1,IFERROR(VALUE(MID($E1485,2,20)),1000000000)+ROW()/100000,"")</f>
        <v/>
      </c>
    </row>
    <row r="1486">
      <c r="G1486" s="11" t="n"/>
      <c r="Q1486" s="7">
        <f>IF($E1486="","",P1486*Y1486/100)</f>
        <v/>
      </c>
      <c r="R1486" s="7" t="n"/>
      <c r="X1486" s="7" t="n"/>
      <c r="Y1486" s="7" t="n"/>
      <c r="AB1486">
        <f>IF($E1486="","",IF($AQ1486=1,0,IF($AP1486=1,Settings!$C$6,Settings!$C$7))*100)</f>
        <v/>
      </c>
      <c r="AC1486" s="7">
        <f>IF($E1486="","",Y1486*AB1486/100)</f>
        <v/>
      </c>
      <c r="AD1486" s="7">
        <f>IF($E1486="","",Y1486-AC1486)</f>
        <v/>
      </c>
      <c r="AE1486" s="7">
        <f>IF($E1486="","",AD1486-Q1486)</f>
        <v/>
      </c>
      <c r="AI1486" s="7" t="n"/>
      <c r="AL1486" s="11" t="n"/>
      <c r="AN1486">
        <f>IF($E1486="","",IF(COUNTIF($E$2:$E1486,$E1486)=1,1,0))</f>
        <v/>
      </c>
      <c r="AO1486">
        <f>IF($AN1486=1,SUMPRODUCT(--($AR$2:$AR$4001&lt;$AR1486))+1,"")</f>
        <v/>
      </c>
      <c r="AP1486">
        <f>IF($E1486="","",IF(OR($U1486=TRUE(),$U1486="TRUE"),1,0))</f>
        <v/>
      </c>
      <c r="AQ1486">
        <f>IF($E1486="","",IF($AA1486="Yes",1,0))</f>
        <v/>
      </c>
      <c r="AR1486">
        <f>IF($AN1486=1,IFERROR(VALUE(MID($E1486,2,20)),1000000000)+ROW()/100000,"")</f>
        <v/>
      </c>
    </row>
    <row r="1487">
      <c r="G1487" s="11" t="n"/>
      <c r="Q1487" s="7">
        <f>IF($E1487="","",P1487*Y1487/100)</f>
        <v/>
      </c>
      <c r="R1487" s="7" t="n"/>
      <c r="X1487" s="7" t="n"/>
      <c r="Y1487" s="7" t="n"/>
      <c r="AB1487">
        <f>IF($E1487="","",IF($AQ1487=1,0,IF($AP1487=1,Settings!$C$6,Settings!$C$7))*100)</f>
        <v/>
      </c>
      <c r="AC1487" s="7">
        <f>IF($E1487="","",Y1487*AB1487/100)</f>
        <v/>
      </c>
      <c r="AD1487" s="7">
        <f>IF($E1487="","",Y1487-AC1487)</f>
        <v/>
      </c>
      <c r="AE1487" s="7">
        <f>IF($E1487="","",AD1487-Q1487)</f>
        <v/>
      </c>
      <c r="AI1487" s="7" t="n"/>
      <c r="AL1487" s="11" t="n"/>
      <c r="AN1487">
        <f>IF($E1487="","",IF(COUNTIF($E$2:$E1487,$E1487)=1,1,0))</f>
        <v/>
      </c>
      <c r="AO1487">
        <f>IF($AN1487=1,SUMPRODUCT(--($AR$2:$AR$4001&lt;$AR1487))+1,"")</f>
        <v/>
      </c>
      <c r="AP1487">
        <f>IF($E1487="","",IF(OR($U1487=TRUE(),$U1487="TRUE"),1,0))</f>
        <v/>
      </c>
      <c r="AQ1487">
        <f>IF($E1487="","",IF($AA1487="Yes",1,0))</f>
        <v/>
      </c>
      <c r="AR1487">
        <f>IF($AN1487=1,IFERROR(VALUE(MID($E1487,2,20)),1000000000)+ROW()/100000,"")</f>
        <v/>
      </c>
    </row>
    <row r="1488">
      <c r="G1488" s="11" t="n"/>
      <c r="Q1488" s="7">
        <f>IF($E1488="","",P1488*Y1488/100)</f>
        <v/>
      </c>
      <c r="R1488" s="7" t="n"/>
      <c r="X1488" s="7" t="n"/>
      <c r="Y1488" s="7" t="n"/>
      <c r="AB1488">
        <f>IF($E1488="","",IF($AQ1488=1,0,IF($AP1488=1,Settings!$C$6,Settings!$C$7))*100)</f>
        <v/>
      </c>
      <c r="AC1488" s="7">
        <f>IF($E1488="","",Y1488*AB1488/100)</f>
        <v/>
      </c>
      <c r="AD1488" s="7">
        <f>IF($E1488="","",Y1488-AC1488)</f>
        <v/>
      </c>
      <c r="AE1488" s="7">
        <f>IF($E1488="","",AD1488-Q1488)</f>
        <v/>
      </c>
      <c r="AI1488" s="7" t="n"/>
      <c r="AL1488" s="11" t="n"/>
      <c r="AN1488">
        <f>IF($E1488="","",IF(COUNTIF($E$2:$E1488,$E1488)=1,1,0))</f>
        <v/>
      </c>
      <c r="AO1488">
        <f>IF($AN1488=1,SUMPRODUCT(--($AR$2:$AR$4001&lt;$AR1488))+1,"")</f>
        <v/>
      </c>
      <c r="AP1488">
        <f>IF($E1488="","",IF(OR($U1488=TRUE(),$U1488="TRUE"),1,0))</f>
        <v/>
      </c>
      <c r="AQ1488">
        <f>IF($E1488="","",IF($AA1488="Yes",1,0))</f>
        <v/>
      </c>
      <c r="AR1488">
        <f>IF($AN1488=1,IFERROR(VALUE(MID($E1488,2,20)),1000000000)+ROW()/100000,"")</f>
        <v/>
      </c>
    </row>
    <row r="1489">
      <c r="G1489" s="11" t="n"/>
      <c r="Q1489" s="7">
        <f>IF($E1489="","",P1489*Y1489/100)</f>
        <v/>
      </c>
      <c r="R1489" s="7" t="n"/>
      <c r="X1489" s="7" t="n"/>
      <c r="Y1489" s="7" t="n"/>
      <c r="AB1489">
        <f>IF($E1489="","",IF($AQ1489=1,0,IF($AP1489=1,Settings!$C$6,Settings!$C$7))*100)</f>
        <v/>
      </c>
      <c r="AC1489" s="7">
        <f>IF($E1489="","",Y1489*AB1489/100)</f>
        <v/>
      </c>
      <c r="AD1489" s="7">
        <f>IF($E1489="","",Y1489-AC1489)</f>
        <v/>
      </c>
      <c r="AE1489" s="7">
        <f>IF($E1489="","",AD1489-Q1489)</f>
        <v/>
      </c>
      <c r="AI1489" s="7" t="n"/>
      <c r="AL1489" s="11" t="n"/>
      <c r="AN1489">
        <f>IF($E1489="","",IF(COUNTIF($E$2:$E1489,$E1489)=1,1,0))</f>
        <v/>
      </c>
      <c r="AO1489">
        <f>IF($AN1489=1,SUMPRODUCT(--($AR$2:$AR$4001&lt;$AR1489))+1,"")</f>
        <v/>
      </c>
      <c r="AP1489">
        <f>IF($E1489="","",IF(OR($U1489=TRUE(),$U1489="TRUE"),1,0))</f>
        <v/>
      </c>
      <c r="AQ1489">
        <f>IF($E1489="","",IF($AA1489="Yes",1,0))</f>
        <v/>
      </c>
      <c r="AR1489">
        <f>IF($AN1489=1,IFERROR(VALUE(MID($E1489,2,20)),1000000000)+ROW()/100000,"")</f>
        <v/>
      </c>
    </row>
    <row r="1490">
      <c r="G1490" s="11" t="n"/>
      <c r="Q1490" s="7">
        <f>IF($E1490="","",P1490*Y1490/100)</f>
        <v/>
      </c>
      <c r="R1490" s="7" t="n"/>
      <c r="X1490" s="7" t="n"/>
      <c r="Y1490" s="7" t="n"/>
      <c r="AB1490">
        <f>IF($E1490="","",IF($AQ1490=1,0,IF($AP1490=1,Settings!$C$6,Settings!$C$7))*100)</f>
        <v/>
      </c>
      <c r="AC1490" s="7">
        <f>IF($E1490="","",Y1490*AB1490/100)</f>
        <v/>
      </c>
      <c r="AD1490" s="7">
        <f>IF($E1490="","",Y1490-AC1490)</f>
        <v/>
      </c>
      <c r="AE1490" s="7">
        <f>IF($E1490="","",AD1490-Q1490)</f>
        <v/>
      </c>
      <c r="AI1490" s="7" t="n"/>
      <c r="AL1490" s="11" t="n"/>
      <c r="AN1490">
        <f>IF($E1490="","",IF(COUNTIF($E$2:$E1490,$E1490)=1,1,0))</f>
        <v/>
      </c>
      <c r="AO1490">
        <f>IF($AN1490=1,SUMPRODUCT(--($AR$2:$AR$4001&lt;$AR1490))+1,"")</f>
        <v/>
      </c>
      <c r="AP1490">
        <f>IF($E1490="","",IF(OR($U1490=TRUE(),$U1490="TRUE"),1,0))</f>
        <v/>
      </c>
      <c r="AQ1490">
        <f>IF($E1490="","",IF($AA1490="Yes",1,0))</f>
        <v/>
      </c>
      <c r="AR1490">
        <f>IF($AN1490=1,IFERROR(VALUE(MID($E1490,2,20)),1000000000)+ROW()/100000,"")</f>
        <v/>
      </c>
    </row>
    <row r="1491">
      <c r="G1491" s="11" t="n"/>
      <c r="Q1491" s="7">
        <f>IF($E1491="","",P1491*Y1491/100)</f>
        <v/>
      </c>
      <c r="R1491" s="7" t="n"/>
      <c r="X1491" s="7" t="n"/>
      <c r="Y1491" s="7" t="n"/>
      <c r="AB1491">
        <f>IF($E1491="","",IF($AQ1491=1,0,IF($AP1491=1,Settings!$C$6,Settings!$C$7))*100)</f>
        <v/>
      </c>
      <c r="AC1491" s="7">
        <f>IF($E1491="","",Y1491*AB1491/100)</f>
        <v/>
      </c>
      <c r="AD1491" s="7">
        <f>IF($E1491="","",Y1491-AC1491)</f>
        <v/>
      </c>
      <c r="AE1491" s="7">
        <f>IF($E1491="","",AD1491-Q1491)</f>
        <v/>
      </c>
      <c r="AI1491" s="7" t="n"/>
      <c r="AL1491" s="11" t="n"/>
      <c r="AN1491">
        <f>IF($E1491="","",IF(COUNTIF($E$2:$E1491,$E1491)=1,1,0))</f>
        <v/>
      </c>
      <c r="AO1491">
        <f>IF($AN1491=1,SUMPRODUCT(--($AR$2:$AR$4001&lt;$AR1491))+1,"")</f>
        <v/>
      </c>
      <c r="AP1491">
        <f>IF($E1491="","",IF(OR($U1491=TRUE(),$U1491="TRUE"),1,0))</f>
        <v/>
      </c>
      <c r="AQ1491">
        <f>IF($E1491="","",IF($AA1491="Yes",1,0))</f>
        <v/>
      </c>
      <c r="AR1491">
        <f>IF($AN1491=1,IFERROR(VALUE(MID($E1491,2,20)),1000000000)+ROW()/100000,"")</f>
        <v/>
      </c>
    </row>
    <row r="1492">
      <c r="G1492" s="11" t="n"/>
      <c r="Q1492" s="7">
        <f>IF($E1492="","",P1492*Y1492/100)</f>
        <v/>
      </c>
      <c r="R1492" s="7" t="n"/>
      <c r="X1492" s="7" t="n"/>
      <c r="Y1492" s="7" t="n"/>
      <c r="AB1492">
        <f>IF($E1492="","",IF($AQ1492=1,0,IF($AP1492=1,Settings!$C$6,Settings!$C$7))*100)</f>
        <v/>
      </c>
      <c r="AC1492" s="7">
        <f>IF($E1492="","",Y1492*AB1492/100)</f>
        <v/>
      </c>
      <c r="AD1492" s="7">
        <f>IF($E1492="","",Y1492-AC1492)</f>
        <v/>
      </c>
      <c r="AE1492" s="7">
        <f>IF($E1492="","",AD1492-Q1492)</f>
        <v/>
      </c>
      <c r="AI1492" s="7" t="n"/>
      <c r="AL1492" s="11" t="n"/>
      <c r="AN1492">
        <f>IF($E1492="","",IF(COUNTIF($E$2:$E1492,$E1492)=1,1,0))</f>
        <v/>
      </c>
      <c r="AO1492">
        <f>IF($AN1492=1,SUMPRODUCT(--($AR$2:$AR$4001&lt;$AR1492))+1,"")</f>
        <v/>
      </c>
      <c r="AP1492">
        <f>IF($E1492="","",IF(OR($U1492=TRUE(),$U1492="TRUE"),1,0))</f>
        <v/>
      </c>
      <c r="AQ1492">
        <f>IF($E1492="","",IF($AA1492="Yes",1,0))</f>
        <v/>
      </c>
      <c r="AR1492">
        <f>IF($AN1492=1,IFERROR(VALUE(MID($E1492,2,20)),1000000000)+ROW()/100000,"")</f>
        <v/>
      </c>
    </row>
    <row r="1493">
      <c r="G1493" s="11" t="n"/>
      <c r="Q1493" s="7">
        <f>IF($E1493="","",P1493*Y1493/100)</f>
        <v/>
      </c>
      <c r="R1493" s="7" t="n"/>
      <c r="X1493" s="7" t="n"/>
      <c r="Y1493" s="7" t="n"/>
      <c r="AB1493">
        <f>IF($E1493="","",IF($AQ1493=1,0,IF($AP1493=1,Settings!$C$6,Settings!$C$7))*100)</f>
        <v/>
      </c>
      <c r="AC1493" s="7">
        <f>IF($E1493="","",Y1493*AB1493/100)</f>
        <v/>
      </c>
      <c r="AD1493" s="7">
        <f>IF($E1493="","",Y1493-AC1493)</f>
        <v/>
      </c>
      <c r="AE1493" s="7">
        <f>IF($E1493="","",AD1493-Q1493)</f>
        <v/>
      </c>
      <c r="AI1493" s="7" t="n"/>
      <c r="AL1493" s="11" t="n"/>
      <c r="AN1493">
        <f>IF($E1493="","",IF(COUNTIF($E$2:$E1493,$E1493)=1,1,0))</f>
        <v/>
      </c>
      <c r="AO1493">
        <f>IF($AN1493=1,SUMPRODUCT(--($AR$2:$AR$4001&lt;$AR1493))+1,"")</f>
        <v/>
      </c>
      <c r="AP1493">
        <f>IF($E1493="","",IF(OR($U1493=TRUE(),$U1493="TRUE"),1,0))</f>
        <v/>
      </c>
      <c r="AQ1493">
        <f>IF($E1493="","",IF($AA1493="Yes",1,0))</f>
        <v/>
      </c>
      <c r="AR1493">
        <f>IF($AN1493=1,IFERROR(VALUE(MID($E1493,2,20)),1000000000)+ROW()/100000,"")</f>
        <v/>
      </c>
    </row>
    <row r="1494">
      <c r="G1494" s="11" t="n"/>
      <c r="Q1494" s="7">
        <f>IF($E1494="","",P1494*Y1494/100)</f>
        <v/>
      </c>
      <c r="R1494" s="7" t="n"/>
      <c r="X1494" s="7" t="n"/>
      <c r="Y1494" s="7" t="n"/>
      <c r="AB1494">
        <f>IF($E1494="","",IF($AQ1494=1,0,IF($AP1494=1,Settings!$C$6,Settings!$C$7))*100)</f>
        <v/>
      </c>
      <c r="AC1494" s="7">
        <f>IF($E1494="","",Y1494*AB1494/100)</f>
        <v/>
      </c>
      <c r="AD1494" s="7">
        <f>IF($E1494="","",Y1494-AC1494)</f>
        <v/>
      </c>
      <c r="AE1494" s="7">
        <f>IF($E1494="","",AD1494-Q1494)</f>
        <v/>
      </c>
      <c r="AI1494" s="7" t="n"/>
      <c r="AL1494" s="11" t="n"/>
      <c r="AN1494">
        <f>IF($E1494="","",IF(COUNTIF($E$2:$E1494,$E1494)=1,1,0))</f>
        <v/>
      </c>
      <c r="AO1494">
        <f>IF($AN1494=1,SUMPRODUCT(--($AR$2:$AR$4001&lt;$AR1494))+1,"")</f>
        <v/>
      </c>
      <c r="AP1494">
        <f>IF($E1494="","",IF(OR($U1494=TRUE(),$U1494="TRUE"),1,0))</f>
        <v/>
      </c>
      <c r="AQ1494">
        <f>IF($E1494="","",IF($AA1494="Yes",1,0))</f>
        <v/>
      </c>
      <c r="AR1494">
        <f>IF($AN1494=1,IFERROR(VALUE(MID($E1494,2,20)),1000000000)+ROW()/100000,"")</f>
        <v/>
      </c>
    </row>
    <row r="1495">
      <c r="G1495" s="11" t="n"/>
      <c r="Q1495" s="7">
        <f>IF($E1495="","",P1495*Y1495/100)</f>
        <v/>
      </c>
      <c r="R1495" s="7" t="n"/>
      <c r="X1495" s="7" t="n"/>
      <c r="Y1495" s="7" t="n"/>
      <c r="AB1495">
        <f>IF($E1495="","",IF($AQ1495=1,0,IF($AP1495=1,Settings!$C$6,Settings!$C$7))*100)</f>
        <v/>
      </c>
      <c r="AC1495" s="7">
        <f>IF($E1495="","",Y1495*AB1495/100)</f>
        <v/>
      </c>
      <c r="AD1495" s="7">
        <f>IF($E1495="","",Y1495-AC1495)</f>
        <v/>
      </c>
      <c r="AE1495" s="7">
        <f>IF($E1495="","",AD1495-Q1495)</f>
        <v/>
      </c>
      <c r="AI1495" s="7" t="n"/>
      <c r="AL1495" s="11" t="n"/>
      <c r="AN1495">
        <f>IF($E1495="","",IF(COUNTIF($E$2:$E1495,$E1495)=1,1,0))</f>
        <v/>
      </c>
      <c r="AO1495">
        <f>IF($AN1495=1,SUMPRODUCT(--($AR$2:$AR$4001&lt;$AR1495))+1,"")</f>
        <v/>
      </c>
      <c r="AP1495">
        <f>IF($E1495="","",IF(OR($U1495=TRUE(),$U1495="TRUE"),1,0))</f>
        <v/>
      </c>
      <c r="AQ1495">
        <f>IF($E1495="","",IF($AA1495="Yes",1,0))</f>
        <v/>
      </c>
      <c r="AR1495">
        <f>IF($AN1495=1,IFERROR(VALUE(MID($E1495,2,20)),1000000000)+ROW()/100000,"")</f>
        <v/>
      </c>
    </row>
    <row r="1496">
      <c r="G1496" s="11" t="n"/>
      <c r="Q1496" s="7">
        <f>IF($E1496="","",P1496*Y1496/100)</f>
        <v/>
      </c>
      <c r="R1496" s="7" t="n"/>
      <c r="X1496" s="7" t="n"/>
      <c r="Y1496" s="7" t="n"/>
      <c r="AB1496">
        <f>IF($E1496="","",IF($AQ1496=1,0,IF($AP1496=1,Settings!$C$6,Settings!$C$7))*100)</f>
        <v/>
      </c>
      <c r="AC1496" s="7">
        <f>IF($E1496="","",Y1496*AB1496/100)</f>
        <v/>
      </c>
      <c r="AD1496" s="7">
        <f>IF($E1496="","",Y1496-AC1496)</f>
        <v/>
      </c>
      <c r="AE1496" s="7">
        <f>IF($E1496="","",AD1496-Q1496)</f>
        <v/>
      </c>
      <c r="AI1496" s="7" t="n"/>
      <c r="AL1496" s="11" t="n"/>
      <c r="AN1496">
        <f>IF($E1496="","",IF(COUNTIF($E$2:$E1496,$E1496)=1,1,0))</f>
        <v/>
      </c>
      <c r="AO1496">
        <f>IF($AN1496=1,SUMPRODUCT(--($AR$2:$AR$4001&lt;$AR1496))+1,"")</f>
        <v/>
      </c>
      <c r="AP1496">
        <f>IF($E1496="","",IF(OR($U1496=TRUE(),$U1496="TRUE"),1,0))</f>
        <v/>
      </c>
      <c r="AQ1496">
        <f>IF($E1496="","",IF($AA1496="Yes",1,0))</f>
        <v/>
      </c>
      <c r="AR1496">
        <f>IF($AN1496=1,IFERROR(VALUE(MID($E1496,2,20)),1000000000)+ROW()/100000,"")</f>
        <v/>
      </c>
    </row>
    <row r="1497">
      <c r="G1497" s="11" t="n"/>
      <c r="Q1497" s="7">
        <f>IF($E1497="","",P1497*Y1497/100)</f>
        <v/>
      </c>
      <c r="R1497" s="7" t="n"/>
      <c r="X1497" s="7" t="n"/>
      <c r="Y1497" s="7" t="n"/>
      <c r="AB1497">
        <f>IF($E1497="","",IF($AQ1497=1,0,IF($AP1497=1,Settings!$C$6,Settings!$C$7))*100)</f>
        <v/>
      </c>
      <c r="AC1497" s="7">
        <f>IF($E1497="","",Y1497*AB1497/100)</f>
        <v/>
      </c>
      <c r="AD1497" s="7">
        <f>IF($E1497="","",Y1497-AC1497)</f>
        <v/>
      </c>
      <c r="AE1497" s="7">
        <f>IF($E1497="","",AD1497-Q1497)</f>
        <v/>
      </c>
      <c r="AI1497" s="7" t="n"/>
      <c r="AL1497" s="11" t="n"/>
      <c r="AN1497">
        <f>IF($E1497="","",IF(COUNTIF($E$2:$E1497,$E1497)=1,1,0))</f>
        <v/>
      </c>
      <c r="AO1497">
        <f>IF($AN1497=1,SUMPRODUCT(--($AR$2:$AR$4001&lt;$AR1497))+1,"")</f>
        <v/>
      </c>
      <c r="AP1497">
        <f>IF($E1497="","",IF(OR($U1497=TRUE(),$U1497="TRUE"),1,0))</f>
        <v/>
      </c>
      <c r="AQ1497">
        <f>IF($E1497="","",IF($AA1497="Yes",1,0))</f>
        <v/>
      </c>
      <c r="AR1497">
        <f>IF($AN1497=1,IFERROR(VALUE(MID($E1497,2,20)),1000000000)+ROW()/100000,"")</f>
        <v/>
      </c>
    </row>
    <row r="1498">
      <c r="G1498" s="11" t="n"/>
      <c r="Q1498" s="7">
        <f>IF($E1498="","",P1498*Y1498/100)</f>
        <v/>
      </c>
      <c r="R1498" s="7" t="n"/>
      <c r="X1498" s="7" t="n"/>
      <c r="Y1498" s="7" t="n"/>
      <c r="AB1498">
        <f>IF($E1498="","",IF($AQ1498=1,0,IF($AP1498=1,Settings!$C$6,Settings!$C$7))*100)</f>
        <v/>
      </c>
      <c r="AC1498" s="7">
        <f>IF($E1498="","",Y1498*AB1498/100)</f>
        <v/>
      </c>
      <c r="AD1498" s="7">
        <f>IF($E1498="","",Y1498-AC1498)</f>
        <v/>
      </c>
      <c r="AE1498" s="7">
        <f>IF($E1498="","",AD1498-Q1498)</f>
        <v/>
      </c>
      <c r="AI1498" s="7" t="n"/>
      <c r="AL1498" s="11" t="n"/>
      <c r="AN1498">
        <f>IF($E1498="","",IF(COUNTIF($E$2:$E1498,$E1498)=1,1,0))</f>
        <v/>
      </c>
      <c r="AO1498">
        <f>IF($AN1498=1,SUMPRODUCT(--($AR$2:$AR$4001&lt;$AR1498))+1,"")</f>
        <v/>
      </c>
      <c r="AP1498">
        <f>IF($E1498="","",IF(OR($U1498=TRUE(),$U1498="TRUE"),1,0))</f>
        <v/>
      </c>
      <c r="AQ1498">
        <f>IF($E1498="","",IF($AA1498="Yes",1,0))</f>
        <v/>
      </c>
      <c r="AR1498">
        <f>IF($AN1498=1,IFERROR(VALUE(MID($E1498,2,20)),1000000000)+ROW()/100000,"")</f>
        <v/>
      </c>
    </row>
    <row r="1499">
      <c r="G1499" s="11" t="n"/>
      <c r="Q1499" s="7">
        <f>IF($E1499="","",P1499*Y1499/100)</f>
        <v/>
      </c>
      <c r="R1499" s="7" t="n"/>
      <c r="X1499" s="7" t="n"/>
      <c r="Y1499" s="7" t="n"/>
      <c r="AB1499">
        <f>IF($E1499="","",IF($AQ1499=1,0,IF($AP1499=1,Settings!$C$6,Settings!$C$7))*100)</f>
        <v/>
      </c>
      <c r="AC1499" s="7">
        <f>IF($E1499="","",Y1499*AB1499/100)</f>
        <v/>
      </c>
      <c r="AD1499" s="7">
        <f>IF($E1499="","",Y1499-AC1499)</f>
        <v/>
      </c>
      <c r="AE1499" s="7">
        <f>IF($E1499="","",AD1499-Q1499)</f>
        <v/>
      </c>
      <c r="AI1499" s="7" t="n"/>
      <c r="AL1499" s="11" t="n"/>
      <c r="AN1499">
        <f>IF($E1499="","",IF(COUNTIF($E$2:$E1499,$E1499)=1,1,0))</f>
        <v/>
      </c>
      <c r="AO1499">
        <f>IF($AN1499=1,SUMPRODUCT(--($AR$2:$AR$4001&lt;$AR1499))+1,"")</f>
        <v/>
      </c>
      <c r="AP1499">
        <f>IF($E1499="","",IF(OR($U1499=TRUE(),$U1499="TRUE"),1,0))</f>
        <v/>
      </c>
      <c r="AQ1499">
        <f>IF($E1499="","",IF($AA1499="Yes",1,0))</f>
        <v/>
      </c>
      <c r="AR1499">
        <f>IF($AN1499=1,IFERROR(VALUE(MID($E1499,2,20)),1000000000)+ROW()/100000,"")</f>
        <v/>
      </c>
    </row>
    <row r="1500">
      <c r="G1500" s="11" t="n"/>
      <c r="Q1500" s="7">
        <f>IF($E1500="","",P1500*Y1500/100)</f>
        <v/>
      </c>
      <c r="R1500" s="7" t="n"/>
      <c r="X1500" s="7" t="n"/>
      <c r="Y1500" s="7" t="n"/>
      <c r="AB1500">
        <f>IF($E1500="","",IF($AQ1500=1,0,IF($AP1500=1,Settings!$C$6,Settings!$C$7))*100)</f>
        <v/>
      </c>
      <c r="AC1500" s="7">
        <f>IF($E1500="","",Y1500*AB1500/100)</f>
        <v/>
      </c>
      <c r="AD1500" s="7">
        <f>IF($E1500="","",Y1500-AC1500)</f>
        <v/>
      </c>
      <c r="AE1500" s="7">
        <f>IF($E1500="","",AD1500-Q1500)</f>
        <v/>
      </c>
      <c r="AI1500" s="7" t="n"/>
      <c r="AL1500" s="11" t="n"/>
      <c r="AN1500">
        <f>IF($E1500="","",IF(COUNTIF($E$2:$E1500,$E1500)=1,1,0))</f>
        <v/>
      </c>
      <c r="AO1500">
        <f>IF($AN1500=1,SUMPRODUCT(--($AR$2:$AR$4001&lt;$AR1500))+1,"")</f>
        <v/>
      </c>
      <c r="AP1500">
        <f>IF($E1500="","",IF(OR($U1500=TRUE(),$U1500="TRUE"),1,0))</f>
        <v/>
      </c>
      <c r="AQ1500">
        <f>IF($E1500="","",IF($AA1500="Yes",1,0))</f>
        <v/>
      </c>
      <c r="AR1500">
        <f>IF($AN1500=1,IFERROR(VALUE(MID($E1500,2,20)),1000000000)+ROW()/100000,"")</f>
        <v/>
      </c>
    </row>
    <row r="1501">
      <c r="G1501" s="11" t="n"/>
      <c r="Q1501" s="7">
        <f>IF($E1501="","",P1501*Y1501/100)</f>
        <v/>
      </c>
      <c r="R1501" s="7" t="n"/>
      <c r="X1501" s="7" t="n"/>
      <c r="Y1501" s="7" t="n"/>
      <c r="AB1501">
        <f>IF($E1501="","",IF($AQ1501=1,0,IF($AP1501=1,Settings!$C$6,Settings!$C$7))*100)</f>
        <v/>
      </c>
      <c r="AC1501" s="7">
        <f>IF($E1501="","",Y1501*AB1501/100)</f>
        <v/>
      </c>
      <c r="AD1501" s="7">
        <f>IF($E1501="","",Y1501-AC1501)</f>
        <v/>
      </c>
      <c r="AE1501" s="7">
        <f>IF($E1501="","",AD1501-Q1501)</f>
        <v/>
      </c>
      <c r="AI1501" s="7" t="n"/>
      <c r="AL1501" s="11" t="n"/>
      <c r="AN1501">
        <f>IF($E1501="","",IF(COUNTIF($E$2:$E1501,$E1501)=1,1,0))</f>
        <v/>
      </c>
      <c r="AO1501">
        <f>IF($AN1501=1,SUMPRODUCT(--($AR$2:$AR$4001&lt;$AR1501))+1,"")</f>
        <v/>
      </c>
      <c r="AP1501">
        <f>IF($E1501="","",IF(OR($U1501=TRUE(),$U1501="TRUE"),1,0))</f>
        <v/>
      </c>
      <c r="AQ1501">
        <f>IF($E1501="","",IF($AA1501="Yes",1,0))</f>
        <v/>
      </c>
      <c r="AR1501">
        <f>IF($AN1501=1,IFERROR(VALUE(MID($E1501,2,20)),1000000000)+ROW()/100000,"")</f>
        <v/>
      </c>
    </row>
    <row r="1502">
      <c r="G1502" s="11" t="n"/>
      <c r="Q1502" s="7">
        <f>IF($E1502="","",P1502*Y1502/100)</f>
        <v/>
      </c>
      <c r="R1502" s="7" t="n"/>
      <c r="X1502" s="7" t="n"/>
      <c r="Y1502" s="7" t="n"/>
      <c r="AB1502">
        <f>IF($E1502="","",IF($AQ1502=1,0,IF($AP1502=1,Settings!$C$6,Settings!$C$7))*100)</f>
        <v/>
      </c>
      <c r="AC1502" s="7">
        <f>IF($E1502="","",Y1502*AB1502/100)</f>
        <v/>
      </c>
      <c r="AD1502" s="7">
        <f>IF($E1502="","",Y1502-AC1502)</f>
        <v/>
      </c>
      <c r="AE1502" s="7">
        <f>IF($E1502="","",AD1502-Q1502)</f>
        <v/>
      </c>
      <c r="AI1502" s="7" t="n"/>
      <c r="AL1502" s="11" t="n"/>
      <c r="AN1502">
        <f>IF($E1502="","",IF(COUNTIF($E$2:$E1502,$E1502)=1,1,0))</f>
        <v/>
      </c>
      <c r="AO1502">
        <f>IF($AN1502=1,SUMPRODUCT(--($AR$2:$AR$4001&lt;$AR1502))+1,"")</f>
        <v/>
      </c>
      <c r="AP1502">
        <f>IF($E1502="","",IF(OR($U1502=TRUE(),$U1502="TRUE"),1,0))</f>
        <v/>
      </c>
      <c r="AQ1502">
        <f>IF($E1502="","",IF($AA1502="Yes",1,0))</f>
        <v/>
      </c>
      <c r="AR1502">
        <f>IF($AN1502=1,IFERROR(VALUE(MID($E1502,2,20)),1000000000)+ROW()/100000,"")</f>
        <v/>
      </c>
    </row>
    <row r="1503">
      <c r="G1503" s="11" t="n"/>
      <c r="Q1503" s="7">
        <f>IF($E1503="","",P1503*Y1503/100)</f>
        <v/>
      </c>
      <c r="R1503" s="7" t="n"/>
      <c r="X1503" s="7" t="n"/>
      <c r="Y1503" s="7" t="n"/>
      <c r="AB1503">
        <f>IF($E1503="","",IF($AQ1503=1,0,IF($AP1503=1,Settings!$C$6,Settings!$C$7))*100)</f>
        <v/>
      </c>
      <c r="AC1503" s="7">
        <f>IF($E1503="","",Y1503*AB1503/100)</f>
        <v/>
      </c>
      <c r="AD1503" s="7">
        <f>IF($E1503="","",Y1503-AC1503)</f>
        <v/>
      </c>
      <c r="AE1503" s="7">
        <f>IF($E1503="","",AD1503-Q1503)</f>
        <v/>
      </c>
      <c r="AI1503" s="7" t="n"/>
      <c r="AL1503" s="11" t="n"/>
      <c r="AN1503">
        <f>IF($E1503="","",IF(COUNTIF($E$2:$E1503,$E1503)=1,1,0))</f>
        <v/>
      </c>
      <c r="AO1503">
        <f>IF($AN1503=1,SUMPRODUCT(--($AR$2:$AR$4001&lt;$AR1503))+1,"")</f>
        <v/>
      </c>
      <c r="AP1503">
        <f>IF($E1503="","",IF(OR($U1503=TRUE(),$U1503="TRUE"),1,0))</f>
        <v/>
      </c>
      <c r="AQ1503">
        <f>IF($E1503="","",IF($AA1503="Yes",1,0))</f>
        <v/>
      </c>
      <c r="AR1503">
        <f>IF($AN1503=1,IFERROR(VALUE(MID($E1503,2,20)),1000000000)+ROW()/100000,"")</f>
        <v/>
      </c>
    </row>
    <row r="1504">
      <c r="G1504" s="11" t="n"/>
      <c r="Q1504" s="7">
        <f>IF($E1504="","",P1504*Y1504/100)</f>
        <v/>
      </c>
      <c r="R1504" s="7" t="n"/>
      <c r="X1504" s="7" t="n"/>
      <c r="Y1504" s="7" t="n"/>
      <c r="AB1504">
        <f>IF($E1504="","",IF($AQ1504=1,0,IF($AP1504=1,Settings!$C$6,Settings!$C$7))*100)</f>
        <v/>
      </c>
      <c r="AC1504" s="7">
        <f>IF($E1504="","",Y1504*AB1504/100)</f>
        <v/>
      </c>
      <c r="AD1504" s="7">
        <f>IF($E1504="","",Y1504-AC1504)</f>
        <v/>
      </c>
      <c r="AE1504" s="7">
        <f>IF($E1504="","",AD1504-Q1504)</f>
        <v/>
      </c>
      <c r="AI1504" s="7" t="n"/>
      <c r="AL1504" s="11" t="n"/>
      <c r="AN1504">
        <f>IF($E1504="","",IF(COUNTIF($E$2:$E1504,$E1504)=1,1,0))</f>
        <v/>
      </c>
      <c r="AO1504">
        <f>IF($AN1504=1,SUMPRODUCT(--($AR$2:$AR$4001&lt;$AR1504))+1,"")</f>
        <v/>
      </c>
      <c r="AP1504">
        <f>IF($E1504="","",IF(OR($U1504=TRUE(),$U1504="TRUE"),1,0))</f>
        <v/>
      </c>
      <c r="AQ1504">
        <f>IF($E1504="","",IF($AA1504="Yes",1,0))</f>
        <v/>
      </c>
      <c r="AR1504">
        <f>IF($AN1504=1,IFERROR(VALUE(MID($E1504,2,20)),1000000000)+ROW()/100000,"")</f>
        <v/>
      </c>
    </row>
    <row r="1505">
      <c r="G1505" s="11" t="n"/>
      <c r="Q1505" s="7">
        <f>IF($E1505="","",P1505*Y1505/100)</f>
        <v/>
      </c>
      <c r="R1505" s="7" t="n"/>
      <c r="X1505" s="7" t="n"/>
      <c r="Y1505" s="7" t="n"/>
      <c r="AB1505">
        <f>IF($E1505="","",IF($AQ1505=1,0,IF($AP1505=1,Settings!$C$6,Settings!$C$7))*100)</f>
        <v/>
      </c>
      <c r="AC1505" s="7">
        <f>IF($E1505="","",Y1505*AB1505/100)</f>
        <v/>
      </c>
      <c r="AD1505" s="7">
        <f>IF($E1505="","",Y1505-AC1505)</f>
        <v/>
      </c>
      <c r="AE1505" s="7">
        <f>IF($E1505="","",AD1505-Q1505)</f>
        <v/>
      </c>
      <c r="AI1505" s="7" t="n"/>
      <c r="AL1505" s="11" t="n"/>
      <c r="AN1505">
        <f>IF($E1505="","",IF(COUNTIF($E$2:$E1505,$E1505)=1,1,0))</f>
        <v/>
      </c>
      <c r="AO1505">
        <f>IF($AN1505=1,SUMPRODUCT(--($AR$2:$AR$4001&lt;$AR1505))+1,"")</f>
        <v/>
      </c>
      <c r="AP1505">
        <f>IF($E1505="","",IF(OR($U1505=TRUE(),$U1505="TRUE"),1,0))</f>
        <v/>
      </c>
      <c r="AQ1505">
        <f>IF($E1505="","",IF($AA1505="Yes",1,0))</f>
        <v/>
      </c>
      <c r="AR1505">
        <f>IF($AN1505=1,IFERROR(VALUE(MID($E1505,2,20)),1000000000)+ROW()/100000,"")</f>
        <v/>
      </c>
    </row>
    <row r="1506">
      <c r="G1506" s="11" t="n"/>
      <c r="Q1506" s="7">
        <f>IF($E1506="","",P1506*Y1506/100)</f>
        <v/>
      </c>
      <c r="R1506" s="7" t="n"/>
      <c r="X1506" s="7" t="n"/>
      <c r="Y1506" s="7" t="n"/>
      <c r="AB1506">
        <f>IF($E1506="","",IF($AQ1506=1,0,IF($AP1506=1,Settings!$C$6,Settings!$C$7))*100)</f>
        <v/>
      </c>
      <c r="AC1506" s="7">
        <f>IF($E1506="","",Y1506*AB1506/100)</f>
        <v/>
      </c>
      <c r="AD1506" s="7">
        <f>IF($E1506="","",Y1506-AC1506)</f>
        <v/>
      </c>
      <c r="AE1506" s="7">
        <f>IF($E1506="","",AD1506-Q1506)</f>
        <v/>
      </c>
      <c r="AI1506" s="7" t="n"/>
      <c r="AL1506" s="11" t="n"/>
      <c r="AN1506">
        <f>IF($E1506="","",IF(COUNTIF($E$2:$E1506,$E1506)=1,1,0))</f>
        <v/>
      </c>
      <c r="AO1506">
        <f>IF($AN1506=1,SUMPRODUCT(--($AR$2:$AR$4001&lt;$AR1506))+1,"")</f>
        <v/>
      </c>
      <c r="AP1506">
        <f>IF($E1506="","",IF(OR($U1506=TRUE(),$U1506="TRUE"),1,0))</f>
        <v/>
      </c>
      <c r="AQ1506">
        <f>IF($E1506="","",IF($AA1506="Yes",1,0))</f>
        <v/>
      </c>
      <c r="AR1506">
        <f>IF($AN1506=1,IFERROR(VALUE(MID($E1506,2,20)),1000000000)+ROW()/100000,"")</f>
        <v/>
      </c>
    </row>
    <row r="1507">
      <c r="G1507" s="11" t="n"/>
      <c r="Q1507" s="7">
        <f>IF($E1507="","",P1507*Y1507/100)</f>
        <v/>
      </c>
      <c r="R1507" s="7" t="n"/>
      <c r="X1507" s="7" t="n"/>
      <c r="Y1507" s="7" t="n"/>
      <c r="AB1507">
        <f>IF($E1507="","",IF($AQ1507=1,0,IF($AP1507=1,Settings!$C$6,Settings!$C$7))*100)</f>
        <v/>
      </c>
      <c r="AC1507" s="7">
        <f>IF($E1507="","",Y1507*AB1507/100)</f>
        <v/>
      </c>
      <c r="AD1507" s="7">
        <f>IF($E1507="","",Y1507-AC1507)</f>
        <v/>
      </c>
      <c r="AE1507" s="7">
        <f>IF($E1507="","",AD1507-Q1507)</f>
        <v/>
      </c>
      <c r="AI1507" s="7" t="n"/>
      <c r="AL1507" s="11" t="n"/>
      <c r="AN1507">
        <f>IF($E1507="","",IF(COUNTIF($E$2:$E1507,$E1507)=1,1,0))</f>
        <v/>
      </c>
      <c r="AO1507">
        <f>IF($AN1507=1,SUMPRODUCT(--($AR$2:$AR$4001&lt;$AR1507))+1,"")</f>
        <v/>
      </c>
      <c r="AP1507">
        <f>IF($E1507="","",IF(OR($U1507=TRUE(),$U1507="TRUE"),1,0))</f>
        <v/>
      </c>
      <c r="AQ1507">
        <f>IF($E1507="","",IF($AA1507="Yes",1,0))</f>
        <v/>
      </c>
      <c r="AR1507">
        <f>IF($AN1507=1,IFERROR(VALUE(MID($E1507,2,20)),1000000000)+ROW()/100000,"")</f>
        <v/>
      </c>
    </row>
    <row r="1508">
      <c r="G1508" s="11" t="n"/>
      <c r="Q1508" s="7">
        <f>IF($E1508="","",P1508*Y1508/100)</f>
        <v/>
      </c>
      <c r="R1508" s="7" t="n"/>
      <c r="X1508" s="7" t="n"/>
      <c r="Y1508" s="7" t="n"/>
      <c r="AB1508">
        <f>IF($E1508="","",IF($AQ1508=1,0,IF($AP1508=1,Settings!$C$6,Settings!$C$7))*100)</f>
        <v/>
      </c>
      <c r="AC1508" s="7">
        <f>IF($E1508="","",Y1508*AB1508/100)</f>
        <v/>
      </c>
      <c r="AD1508" s="7">
        <f>IF($E1508="","",Y1508-AC1508)</f>
        <v/>
      </c>
      <c r="AE1508" s="7">
        <f>IF($E1508="","",AD1508-Q1508)</f>
        <v/>
      </c>
      <c r="AI1508" s="7" t="n"/>
      <c r="AL1508" s="11" t="n"/>
      <c r="AN1508">
        <f>IF($E1508="","",IF(COUNTIF($E$2:$E1508,$E1508)=1,1,0))</f>
        <v/>
      </c>
      <c r="AO1508">
        <f>IF($AN1508=1,SUMPRODUCT(--($AR$2:$AR$4001&lt;$AR1508))+1,"")</f>
        <v/>
      </c>
      <c r="AP1508">
        <f>IF($E1508="","",IF(OR($U1508=TRUE(),$U1508="TRUE"),1,0))</f>
        <v/>
      </c>
      <c r="AQ1508">
        <f>IF($E1508="","",IF($AA1508="Yes",1,0))</f>
        <v/>
      </c>
      <c r="AR1508">
        <f>IF($AN1508=1,IFERROR(VALUE(MID($E1508,2,20)),1000000000)+ROW()/100000,"")</f>
        <v/>
      </c>
    </row>
    <row r="1509">
      <c r="G1509" s="11" t="n"/>
      <c r="Q1509" s="7">
        <f>IF($E1509="","",P1509*Y1509/100)</f>
        <v/>
      </c>
      <c r="R1509" s="7" t="n"/>
      <c r="X1509" s="7" t="n"/>
      <c r="Y1509" s="7" t="n"/>
      <c r="AB1509">
        <f>IF($E1509="","",IF($AQ1509=1,0,IF($AP1509=1,Settings!$C$6,Settings!$C$7))*100)</f>
        <v/>
      </c>
      <c r="AC1509" s="7">
        <f>IF($E1509="","",Y1509*AB1509/100)</f>
        <v/>
      </c>
      <c r="AD1509" s="7">
        <f>IF($E1509="","",Y1509-AC1509)</f>
        <v/>
      </c>
      <c r="AE1509" s="7">
        <f>IF($E1509="","",AD1509-Q1509)</f>
        <v/>
      </c>
      <c r="AI1509" s="7" t="n"/>
      <c r="AL1509" s="11" t="n"/>
      <c r="AN1509">
        <f>IF($E1509="","",IF(COUNTIF($E$2:$E1509,$E1509)=1,1,0))</f>
        <v/>
      </c>
      <c r="AO1509">
        <f>IF($AN1509=1,SUMPRODUCT(--($AR$2:$AR$4001&lt;$AR1509))+1,"")</f>
        <v/>
      </c>
      <c r="AP1509">
        <f>IF($E1509="","",IF(OR($U1509=TRUE(),$U1509="TRUE"),1,0))</f>
        <v/>
      </c>
      <c r="AQ1509">
        <f>IF($E1509="","",IF($AA1509="Yes",1,0))</f>
        <v/>
      </c>
      <c r="AR1509">
        <f>IF($AN1509=1,IFERROR(VALUE(MID($E1509,2,20)),1000000000)+ROW()/100000,"")</f>
        <v/>
      </c>
    </row>
    <row r="1510">
      <c r="G1510" s="11" t="n"/>
      <c r="Q1510" s="7">
        <f>IF($E1510="","",P1510*Y1510/100)</f>
        <v/>
      </c>
      <c r="R1510" s="7" t="n"/>
      <c r="X1510" s="7" t="n"/>
      <c r="Y1510" s="7" t="n"/>
      <c r="AB1510">
        <f>IF($E1510="","",IF($AQ1510=1,0,IF($AP1510=1,Settings!$C$6,Settings!$C$7))*100)</f>
        <v/>
      </c>
      <c r="AC1510" s="7">
        <f>IF($E1510="","",Y1510*AB1510/100)</f>
        <v/>
      </c>
      <c r="AD1510" s="7">
        <f>IF($E1510="","",Y1510-AC1510)</f>
        <v/>
      </c>
      <c r="AE1510" s="7">
        <f>IF($E1510="","",AD1510-Q1510)</f>
        <v/>
      </c>
      <c r="AI1510" s="7" t="n"/>
      <c r="AL1510" s="11" t="n"/>
      <c r="AN1510">
        <f>IF($E1510="","",IF(COUNTIF($E$2:$E1510,$E1510)=1,1,0))</f>
        <v/>
      </c>
      <c r="AO1510">
        <f>IF($AN1510=1,SUMPRODUCT(--($AR$2:$AR$4001&lt;$AR1510))+1,"")</f>
        <v/>
      </c>
      <c r="AP1510">
        <f>IF($E1510="","",IF(OR($U1510=TRUE(),$U1510="TRUE"),1,0))</f>
        <v/>
      </c>
      <c r="AQ1510">
        <f>IF($E1510="","",IF($AA1510="Yes",1,0))</f>
        <v/>
      </c>
      <c r="AR1510">
        <f>IF($AN1510=1,IFERROR(VALUE(MID($E1510,2,20)),1000000000)+ROW()/100000,"")</f>
        <v/>
      </c>
    </row>
    <row r="1511">
      <c r="G1511" s="11" t="n"/>
      <c r="Q1511" s="7">
        <f>IF($E1511="","",P1511*Y1511/100)</f>
        <v/>
      </c>
      <c r="R1511" s="7" t="n"/>
      <c r="X1511" s="7" t="n"/>
      <c r="Y1511" s="7" t="n"/>
      <c r="AB1511">
        <f>IF($E1511="","",IF($AQ1511=1,0,IF($AP1511=1,Settings!$C$6,Settings!$C$7))*100)</f>
        <v/>
      </c>
      <c r="AC1511" s="7">
        <f>IF($E1511="","",Y1511*AB1511/100)</f>
        <v/>
      </c>
      <c r="AD1511" s="7">
        <f>IF($E1511="","",Y1511-AC1511)</f>
        <v/>
      </c>
      <c r="AE1511" s="7">
        <f>IF($E1511="","",AD1511-Q1511)</f>
        <v/>
      </c>
      <c r="AI1511" s="7" t="n"/>
      <c r="AL1511" s="11" t="n"/>
      <c r="AN1511">
        <f>IF($E1511="","",IF(COUNTIF($E$2:$E1511,$E1511)=1,1,0))</f>
        <v/>
      </c>
      <c r="AO1511">
        <f>IF($AN1511=1,SUMPRODUCT(--($AR$2:$AR$4001&lt;$AR1511))+1,"")</f>
        <v/>
      </c>
      <c r="AP1511">
        <f>IF($E1511="","",IF(OR($U1511=TRUE(),$U1511="TRUE"),1,0))</f>
        <v/>
      </c>
      <c r="AQ1511">
        <f>IF($E1511="","",IF($AA1511="Yes",1,0))</f>
        <v/>
      </c>
      <c r="AR1511">
        <f>IF($AN1511=1,IFERROR(VALUE(MID($E1511,2,20)),1000000000)+ROW()/100000,"")</f>
        <v/>
      </c>
    </row>
    <row r="1512">
      <c r="G1512" s="11" t="n"/>
      <c r="Q1512" s="7">
        <f>IF($E1512="","",P1512*Y1512/100)</f>
        <v/>
      </c>
      <c r="R1512" s="7" t="n"/>
      <c r="X1512" s="7" t="n"/>
      <c r="Y1512" s="7" t="n"/>
      <c r="AB1512">
        <f>IF($E1512="","",IF($AQ1512=1,0,IF($AP1512=1,Settings!$C$6,Settings!$C$7))*100)</f>
        <v/>
      </c>
      <c r="AC1512" s="7">
        <f>IF($E1512="","",Y1512*AB1512/100)</f>
        <v/>
      </c>
      <c r="AD1512" s="7">
        <f>IF($E1512="","",Y1512-AC1512)</f>
        <v/>
      </c>
      <c r="AE1512" s="7">
        <f>IF($E1512="","",AD1512-Q1512)</f>
        <v/>
      </c>
      <c r="AI1512" s="7" t="n"/>
      <c r="AL1512" s="11" t="n"/>
      <c r="AN1512">
        <f>IF($E1512="","",IF(COUNTIF($E$2:$E1512,$E1512)=1,1,0))</f>
        <v/>
      </c>
      <c r="AO1512">
        <f>IF($AN1512=1,SUMPRODUCT(--($AR$2:$AR$4001&lt;$AR1512))+1,"")</f>
        <v/>
      </c>
      <c r="AP1512">
        <f>IF($E1512="","",IF(OR($U1512=TRUE(),$U1512="TRUE"),1,0))</f>
        <v/>
      </c>
      <c r="AQ1512">
        <f>IF($E1512="","",IF($AA1512="Yes",1,0))</f>
        <v/>
      </c>
      <c r="AR1512">
        <f>IF($AN1512=1,IFERROR(VALUE(MID($E1512,2,20)),1000000000)+ROW()/100000,"")</f>
        <v/>
      </c>
    </row>
    <row r="1513">
      <c r="G1513" s="11" t="n"/>
      <c r="Q1513" s="7">
        <f>IF($E1513="","",P1513*Y1513/100)</f>
        <v/>
      </c>
      <c r="R1513" s="7" t="n"/>
      <c r="X1513" s="7" t="n"/>
      <c r="Y1513" s="7" t="n"/>
      <c r="AB1513">
        <f>IF($E1513="","",IF($AQ1513=1,0,IF($AP1513=1,Settings!$C$6,Settings!$C$7))*100)</f>
        <v/>
      </c>
      <c r="AC1513" s="7">
        <f>IF($E1513="","",Y1513*AB1513/100)</f>
        <v/>
      </c>
      <c r="AD1513" s="7">
        <f>IF($E1513="","",Y1513-AC1513)</f>
        <v/>
      </c>
      <c r="AE1513" s="7">
        <f>IF($E1513="","",AD1513-Q1513)</f>
        <v/>
      </c>
      <c r="AI1513" s="7" t="n"/>
      <c r="AL1513" s="11" t="n"/>
      <c r="AN1513">
        <f>IF($E1513="","",IF(COUNTIF($E$2:$E1513,$E1513)=1,1,0))</f>
        <v/>
      </c>
      <c r="AO1513">
        <f>IF($AN1513=1,SUMPRODUCT(--($AR$2:$AR$4001&lt;$AR1513))+1,"")</f>
        <v/>
      </c>
      <c r="AP1513">
        <f>IF($E1513="","",IF(OR($U1513=TRUE(),$U1513="TRUE"),1,0))</f>
        <v/>
      </c>
      <c r="AQ1513">
        <f>IF($E1513="","",IF($AA1513="Yes",1,0))</f>
        <v/>
      </c>
      <c r="AR1513">
        <f>IF($AN1513=1,IFERROR(VALUE(MID($E1513,2,20)),1000000000)+ROW()/100000,"")</f>
        <v/>
      </c>
    </row>
    <row r="1514">
      <c r="G1514" s="11" t="n"/>
      <c r="Q1514" s="7">
        <f>IF($E1514="","",P1514*Y1514/100)</f>
        <v/>
      </c>
      <c r="R1514" s="7" t="n"/>
      <c r="X1514" s="7" t="n"/>
      <c r="Y1514" s="7" t="n"/>
      <c r="AB1514">
        <f>IF($E1514="","",IF($AQ1514=1,0,IF($AP1514=1,Settings!$C$6,Settings!$C$7))*100)</f>
        <v/>
      </c>
      <c r="AC1514" s="7">
        <f>IF($E1514="","",Y1514*AB1514/100)</f>
        <v/>
      </c>
      <c r="AD1514" s="7">
        <f>IF($E1514="","",Y1514-AC1514)</f>
        <v/>
      </c>
      <c r="AE1514" s="7">
        <f>IF($E1514="","",AD1514-Q1514)</f>
        <v/>
      </c>
      <c r="AI1514" s="7" t="n"/>
      <c r="AL1514" s="11" t="n"/>
      <c r="AN1514">
        <f>IF($E1514="","",IF(COUNTIF($E$2:$E1514,$E1514)=1,1,0))</f>
        <v/>
      </c>
      <c r="AO1514">
        <f>IF($AN1514=1,SUMPRODUCT(--($AR$2:$AR$4001&lt;$AR1514))+1,"")</f>
        <v/>
      </c>
      <c r="AP1514">
        <f>IF($E1514="","",IF(OR($U1514=TRUE(),$U1514="TRUE"),1,0))</f>
        <v/>
      </c>
      <c r="AQ1514">
        <f>IF($E1514="","",IF($AA1514="Yes",1,0))</f>
        <v/>
      </c>
      <c r="AR1514">
        <f>IF($AN1514=1,IFERROR(VALUE(MID($E1514,2,20)),1000000000)+ROW()/100000,"")</f>
        <v/>
      </c>
    </row>
    <row r="1515">
      <c r="G1515" s="11" t="n"/>
      <c r="Q1515" s="7">
        <f>IF($E1515="","",P1515*Y1515/100)</f>
        <v/>
      </c>
      <c r="R1515" s="7" t="n"/>
      <c r="X1515" s="7" t="n"/>
      <c r="Y1515" s="7" t="n"/>
      <c r="AB1515">
        <f>IF($E1515="","",IF($AQ1515=1,0,IF($AP1515=1,Settings!$C$6,Settings!$C$7))*100)</f>
        <v/>
      </c>
      <c r="AC1515" s="7">
        <f>IF($E1515="","",Y1515*AB1515/100)</f>
        <v/>
      </c>
      <c r="AD1515" s="7">
        <f>IF($E1515="","",Y1515-AC1515)</f>
        <v/>
      </c>
      <c r="AE1515" s="7">
        <f>IF($E1515="","",AD1515-Q1515)</f>
        <v/>
      </c>
      <c r="AI1515" s="7" t="n"/>
      <c r="AL1515" s="11" t="n"/>
      <c r="AN1515">
        <f>IF($E1515="","",IF(COUNTIF($E$2:$E1515,$E1515)=1,1,0))</f>
        <v/>
      </c>
      <c r="AO1515">
        <f>IF($AN1515=1,SUMPRODUCT(--($AR$2:$AR$4001&lt;$AR1515))+1,"")</f>
        <v/>
      </c>
      <c r="AP1515">
        <f>IF($E1515="","",IF(OR($U1515=TRUE(),$U1515="TRUE"),1,0))</f>
        <v/>
      </c>
      <c r="AQ1515">
        <f>IF($E1515="","",IF($AA1515="Yes",1,0))</f>
        <v/>
      </c>
      <c r="AR1515">
        <f>IF($AN1515=1,IFERROR(VALUE(MID($E1515,2,20)),1000000000)+ROW()/100000,"")</f>
        <v/>
      </c>
    </row>
    <row r="1516">
      <c r="G1516" s="11" t="n"/>
      <c r="Q1516" s="7">
        <f>IF($E1516="","",P1516*Y1516/100)</f>
        <v/>
      </c>
      <c r="R1516" s="7" t="n"/>
      <c r="X1516" s="7" t="n"/>
      <c r="Y1516" s="7" t="n"/>
      <c r="AB1516">
        <f>IF($E1516="","",IF($AQ1516=1,0,IF($AP1516=1,Settings!$C$6,Settings!$C$7))*100)</f>
        <v/>
      </c>
      <c r="AC1516" s="7">
        <f>IF($E1516="","",Y1516*AB1516/100)</f>
        <v/>
      </c>
      <c r="AD1516" s="7">
        <f>IF($E1516="","",Y1516-AC1516)</f>
        <v/>
      </c>
      <c r="AE1516" s="7">
        <f>IF($E1516="","",AD1516-Q1516)</f>
        <v/>
      </c>
      <c r="AI1516" s="7" t="n"/>
      <c r="AL1516" s="11" t="n"/>
      <c r="AN1516">
        <f>IF($E1516="","",IF(COUNTIF($E$2:$E1516,$E1516)=1,1,0))</f>
        <v/>
      </c>
      <c r="AO1516">
        <f>IF($AN1516=1,SUMPRODUCT(--($AR$2:$AR$4001&lt;$AR1516))+1,"")</f>
        <v/>
      </c>
      <c r="AP1516">
        <f>IF($E1516="","",IF(OR($U1516=TRUE(),$U1516="TRUE"),1,0))</f>
        <v/>
      </c>
      <c r="AQ1516">
        <f>IF($E1516="","",IF($AA1516="Yes",1,0))</f>
        <v/>
      </c>
      <c r="AR1516">
        <f>IF($AN1516=1,IFERROR(VALUE(MID($E1516,2,20)),1000000000)+ROW()/100000,"")</f>
        <v/>
      </c>
    </row>
    <row r="1517">
      <c r="G1517" s="11" t="n"/>
      <c r="Q1517" s="7">
        <f>IF($E1517="","",P1517*Y1517/100)</f>
        <v/>
      </c>
      <c r="R1517" s="7" t="n"/>
      <c r="X1517" s="7" t="n"/>
      <c r="Y1517" s="7" t="n"/>
      <c r="AB1517">
        <f>IF($E1517="","",IF($AQ1517=1,0,IF($AP1517=1,Settings!$C$6,Settings!$C$7))*100)</f>
        <v/>
      </c>
      <c r="AC1517" s="7">
        <f>IF($E1517="","",Y1517*AB1517/100)</f>
        <v/>
      </c>
      <c r="AD1517" s="7">
        <f>IF($E1517="","",Y1517-AC1517)</f>
        <v/>
      </c>
      <c r="AE1517" s="7">
        <f>IF($E1517="","",AD1517-Q1517)</f>
        <v/>
      </c>
      <c r="AI1517" s="7" t="n"/>
      <c r="AL1517" s="11" t="n"/>
      <c r="AN1517">
        <f>IF($E1517="","",IF(COUNTIF($E$2:$E1517,$E1517)=1,1,0))</f>
        <v/>
      </c>
      <c r="AO1517">
        <f>IF($AN1517=1,SUMPRODUCT(--($AR$2:$AR$4001&lt;$AR1517))+1,"")</f>
        <v/>
      </c>
      <c r="AP1517">
        <f>IF($E1517="","",IF(OR($U1517=TRUE(),$U1517="TRUE"),1,0))</f>
        <v/>
      </c>
      <c r="AQ1517">
        <f>IF($E1517="","",IF($AA1517="Yes",1,0))</f>
        <v/>
      </c>
      <c r="AR1517">
        <f>IF($AN1517=1,IFERROR(VALUE(MID($E1517,2,20)),1000000000)+ROW()/100000,"")</f>
        <v/>
      </c>
    </row>
    <row r="1518">
      <c r="G1518" s="11" t="n"/>
      <c r="Q1518" s="7">
        <f>IF($E1518="","",P1518*Y1518/100)</f>
        <v/>
      </c>
      <c r="R1518" s="7" t="n"/>
      <c r="X1518" s="7" t="n"/>
      <c r="Y1518" s="7" t="n"/>
      <c r="AB1518">
        <f>IF($E1518="","",IF($AQ1518=1,0,IF($AP1518=1,Settings!$C$6,Settings!$C$7))*100)</f>
        <v/>
      </c>
      <c r="AC1518" s="7">
        <f>IF($E1518="","",Y1518*AB1518/100)</f>
        <v/>
      </c>
      <c r="AD1518" s="7">
        <f>IF($E1518="","",Y1518-AC1518)</f>
        <v/>
      </c>
      <c r="AE1518" s="7">
        <f>IF($E1518="","",AD1518-Q1518)</f>
        <v/>
      </c>
      <c r="AI1518" s="7" t="n"/>
      <c r="AL1518" s="11" t="n"/>
      <c r="AN1518">
        <f>IF($E1518="","",IF(COUNTIF($E$2:$E1518,$E1518)=1,1,0))</f>
        <v/>
      </c>
      <c r="AO1518">
        <f>IF($AN1518=1,SUMPRODUCT(--($AR$2:$AR$4001&lt;$AR1518))+1,"")</f>
        <v/>
      </c>
      <c r="AP1518">
        <f>IF($E1518="","",IF(OR($U1518=TRUE(),$U1518="TRUE"),1,0))</f>
        <v/>
      </c>
      <c r="AQ1518">
        <f>IF($E1518="","",IF($AA1518="Yes",1,0))</f>
        <v/>
      </c>
      <c r="AR1518">
        <f>IF($AN1518=1,IFERROR(VALUE(MID($E1518,2,20)),1000000000)+ROW()/100000,"")</f>
        <v/>
      </c>
    </row>
    <row r="1519">
      <c r="G1519" s="11" t="n"/>
      <c r="Q1519" s="7">
        <f>IF($E1519="","",P1519*Y1519/100)</f>
        <v/>
      </c>
      <c r="R1519" s="7" t="n"/>
      <c r="X1519" s="7" t="n"/>
      <c r="Y1519" s="7" t="n"/>
      <c r="AB1519">
        <f>IF($E1519="","",IF($AQ1519=1,0,IF($AP1519=1,Settings!$C$6,Settings!$C$7))*100)</f>
        <v/>
      </c>
      <c r="AC1519" s="7">
        <f>IF($E1519="","",Y1519*AB1519/100)</f>
        <v/>
      </c>
      <c r="AD1519" s="7">
        <f>IF($E1519="","",Y1519-AC1519)</f>
        <v/>
      </c>
      <c r="AE1519" s="7">
        <f>IF($E1519="","",AD1519-Q1519)</f>
        <v/>
      </c>
      <c r="AI1519" s="7" t="n"/>
      <c r="AL1519" s="11" t="n"/>
      <c r="AN1519">
        <f>IF($E1519="","",IF(COUNTIF($E$2:$E1519,$E1519)=1,1,0))</f>
        <v/>
      </c>
      <c r="AO1519">
        <f>IF($AN1519=1,SUMPRODUCT(--($AR$2:$AR$4001&lt;$AR1519))+1,"")</f>
        <v/>
      </c>
      <c r="AP1519">
        <f>IF($E1519="","",IF(OR($U1519=TRUE(),$U1519="TRUE"),1,0))</f>
        <v/>
      </c>
      <c r="AQ1519">
        <f>IF($E1519="","",IF($AA1519="Yes",1,0))</f>
        <v/>
      </c>
      <c r="AR1519">
        <f>IF($AN1519=1,IFERROR(VALUE(MID($E1519,2,20)),1000000000)+ROW()/100000,"")</f>
        <v/>
      </c>
    </row>
    <row r="1520">
      <c r="G1520" s="11" t="n"/>
      <c r="Q1520" s="7">
        <f>IF($E1520="","",P1520*Y1520/100)</f>
        <v/>
      </c>
      <c r="R1520" s="7" t="n"/>
      <c r="X1520" s="7" t="n"/>
      <c r="Y1520" s="7" t="n"/>
      <c r="AB1520">
        <f>IF($E1520="","",IF($AQ1520=1,0,IF($AP1520=1,Settings!$C$6,Settings!$C$7))*100)</f>
        <v/>
      </c>
      <c r="AC1520" s="7">
        <f>IF($E1520="","",Y1520*AB1520/100)</f>
        <v/>
      </c>
      <c r="AD1520" s="7">
        <f>IF($E1520="","",Y1520-AC1520)</f>
        <v/>
      </c>
      <c r="AE1520" s="7">
        <f>IF($E1520="","",AD1520-Q1520)</f>
        <v/>
      </c>
      <c r="AI1520" s="7" t="n"/>
      <c r="AL1520" s="11" t="n"/>
      <c r="AN1520">
        <f>IF($E1520="","",IF(COUNTIF($E$2:$E1520,$E1520)=1,1,0))</f>
        <v/>
      </c>
      <c r="AO1520">
        <f>IF($AN1520=1,SUMPRODUCT(--($AR$2:$AR$4001&lt;$AR1520))+1,"")</f>
        <v/>
      </c>
      <c r="AP1520">
        <f>IF($E1520="","",IF(OR($U1520=TRUE(),$U1520="TRUE"),1,0))</f>
        <v/>
      </c>
      <c r="AQ1520">
        <f>IF($E1520="","",IF($AA1520="Yes",1,0))</f>
        <v/>
      </c>
      <c r="AR1520">
        <f>IF($AN1520=1,IFERROR(VALUE(MID($E1520,2,20)),1000000000)+ROW()/100000,"")</f>
        <v/>
      </c>
    </row>
    <row r="1521">
      <c r="G1521" s="11" t="n"/>
      <c r="Q1521" s="7">
        <f>IF($E1521="","",P1521*Y1521/100)</f>
        <v/>
      </c>
      <c r="R1521" s="7" t="n"/>
      <c r="X1521" s="7" t="n"/>
      <c r="Y1521" s="7" t="n"/>
      <c r="AB1521">
        <f>IF($E1521="","",IF($AQ1521=1,0,IF($AP1521=1,Settings!$C$6,Settings!$C$7))*100)</f>
        <v/>
      </c>
      <c r="AC1521" s="7">
        <f>IF($E1521="","",Y1521*AB1521/100)</f>
        <v/>
      </c>
      <c r="AD1521" s="7">
        <f>IF($E1521="","",Y1521-AC1521)</f>
        <v/>
      </c>
      <c r="AE1521" s="7">
        <f>IF($E1521="","",AD1521-Q1521)</f>
        <v/>
      </c>
      <c r="AI1521" s="7" t="n"/>
      <c r="AL1521" s="11" t="n"/>
      <c r="AN1521">
        <f>IF($E1521="","",IF(COUNTIF($E$2:$E1521,$E1521)=1,1,0))</f>
        <v/>
      </c>
      <c r="AO1521">
        <f>IF($AN1521=1,SUMPRODUCT(--($AR$2:$AR$4001&lt;$AR1521))+1,"")</f>
        <v/>
      </c>
      <c r="AP1521">
        <f>IF($E1521="","",IF(OR($U1521=TRUE(),$U1521="TRUE"),1,0))</f>
        <v/>
      </c>
      <c r="AQ1521">
        <f>IF($E1521="","",IF($AA1521="Yes",1,0))</f>
        <v/>
      </c>
      <c r="AR1521">
        <f>IF($AN1521=1,IFERROR(VALUE(MID($E1521,2,20)),1000000000)+ROW()/100000,"")</f>
        <v/>
      </c>
    </row>
    <row r="1522">
      <c r="G1522" s="11" t="n"/>
      <c r="Q1522" s="7">
        <f>IF($E1522="","",P1522*Y1522/100)</f>
        <v/>
      </c>
      <c r="R1522" s="7" t="n"/>
      <c r="X1522" s="7" t="n"/>
      <c r="Y1522" s="7" t="n"/>
      <c r="AB1522">
        <f>IF($E1522="","",IF($AQ1522=1,0,IF($AP1522=1,Settings!$C$6,Settings!$C$7))*100)</f>
        <v/>
      </c>
      <c r="AC1522" s="7">
        <f>IF($E1522="","",Y1522*AB1522/100)</f>
        <v/>
      </c>
      <c r="AD1522" s="7">
        <f>IF($E1522="","",Y1522-AC1522)</f>
        <v/>
      </c>
      <c r="AE1522" s="7">
        <f>IF($E1522="","",AD1522-Q1522)</f>
        <v/>
      </c>
      <c r="AI1522" s="7" t="n"/>
      <c r="AL1522" s="11" t="n"/>
      <c r="AN1522">
        <f>IF($E1522="","",IF(COUNTIF($E$2:$E1522,$E1522)=1,1,0))</f>
        <v/>
      </c>
      <c r="AO1522">
        <f>IF($AN1522=1,SUMPRODUCT(--($AR$2:$AR$4001&lt;$AR1522))+1,"")</f>
        <v/>
      </c>
      <c r="AP1522">
        <f>IF($E1522="","",IF(OR($U1522=TRUE(),$U1522="TRUE"),1,0))</f>
        <v/>
      </c>
      <c r="AQ1522">
        <f>IF($E1522="","",IF($AA1522="Yes",1,0))</f>
        <v/>
      </c>
      <c r="AR1522">
        <f>IF($AN1522=1,IFERROR(VALUE(MID($E1522,2,20)),1000000000)+ROW()/100000,"")</f>
        <v/>
      </c>
    </row>
    <row r="1523">
      <c r="G1523" s="11" t="n"/>
      <c r="Q1523" s="7">
        <f>IF($E1523="","",P1523*Y1523/100)</f>
        <v/>
      </c>
      <c r="R1523" s="7" t="n"/>
      <c r="X1523" s="7" t="n"/>
      <c r="Y1523" s="7" t="n"/>
      <c r="AB1523">
        <f>IF($E1523="","",IF($AQ1523=1,0,IF($AP1523=1,Settings!$C$6,Settings!$C$7))*100)</f>
        <v/>
      </c>
      <c r="AC1523" s="7">
        <f>IF($E1523="","",Y1523*AB1523/100)</f>
        <v/>
      </c>
      <c r="AD1523" s="7">
        <f>IF($E1523="","",Y1523-AC1523)</f>
        <v/>
      </c>
      <c r="AE1523" s="7">
        <f>IF($E1523="","",AD1523-Q1523)</f>
        <v/>
      </c>
      <c r="AI1523" s="7" t="n"/>
      <c r="AL1523" s="11" t="n"/>
      <c r="AN1523">
        <f>IF($E1523="","",IF(COUNTIF($E$2:$E1523,$E1523)=1,1,0))</f>
        <v/>
      </c>
      <c r="AO1523">
        <f>IF($AN1523=1,SUMPRODUCT(--($AR$2:$AR$4001&lt;$AR1523))+1,"")</f>
        <v/>
      </c>
      <c r="AP1523">
        <f>IF($E1523="","",IF(OR($U1523=TRUE(),$U1523="TRUE"),1,0))</f>
        <v/>
      </c>
      <c r="AQ1523">
        <f>IF($E1523="","",IF($AA1523="Yes",1,0))</f>
        <v/>
      </c>
      <c r="AR1523">
        <f>IF($AN1523=1,IFERROR(VALUE(MID($E1523,2,20)),1000000000)+ROW()/100000,"")</f>
        <v/>
      </c>
    </row>
    <row r="1524">
      <c r="G1524" s="11" t="n"/>
      <c r="Q1524" s="7">
        <f>IF($E1524="","",P1524*Y1524/100)</f>
        <v/>
      </c>
      <c r="R1524" s="7" t="n"/>
      <c r="X1524" s="7" t="n"/>
      <c r="Y1524" s="7" t="n"/>
      <c r="AB1524">
        <f>IF($E1524="","",IF($AQ1524=1,0,IF($AP1524=1,Settings!$C$6,Settings!$C$7))*100)</f>
        <v/>
      </c>
      <c r="AC1524" s="7">
        <f>IF($E1524="","",Y1524*AB1524/100)</f>
        <v/>
      </c>
      <c r="AD1524" s="7">
        <f>IF($E1524="","",Y1524-AC1524)</f>
        <v/>
      </c>
      <c r="AE1524" s="7">
        <f>IF($E1524="","",AD1524-Q1524)</f>
        <v/>
      </c>
      <c r="AI1524" s="7" t="n"/>
      <c r="AL1524" s="11" t="n"/>
      <c r="AN1524">
        <f>IF($E1524="","",IF(COUNTIF($E$2:$E1524,$E1524)=1,1,0))</f>
        <v/>
      </c>
      <c r="AO1524">
        <f>IF($AN1524=1,SUMPRODUCT(--($AR$2:$AR$4001&lt;$AR1524))+1,"")</f>
        <v/>
      </c>
      <c r="AP1524">
        <f>IF($E1524="","",IF(OR($U1524=TRUE(),$U1524="TRUE"),1,0))</f>
        <v/>
      </c>
      <c r="AQ1524">
        <f>IF($E1524="","",IF($AA1524="Yes",1,0))</f>
        <v/>
      </c>
      <c r="AR1524">
        <f>IF($AN1524=1,IFERROR(VALUE(MID($E1524,2,20)),1000000000)+ROW()/100000,"")</f>
        <v/>
      </c>
    </row>
    <row r="1525">
      <c r="G1525" s="11" t="n"/>
      <c r="Q1525" s="7">
        <f>IF($E1525="","",P1525*Y1525/100)</f>
        <v/>
      </c>
      <c r="R1525" s="7" t="n"/>
      <c r="X1525" s="7" t="n"/>
      <c r="Y1525" s="7" t="n"/>
      <c r="AB1525">
        <f>IF($E1525="","",IF($AQ1525=1,0,IF($AP1525=1,Settings!$C$6,Settings!$C$7))*100)</f>
        <v/>
      </c>
      <c r="AC1525" s="7">
        <f>IF($E1525="","",Y1525*AB1525/100)</f>
        <v/>
      </c>
      <c r="AD1525" s="7">
        <f>IF($E1525="","",Y1525-AC1525)</f>
        <v/>
      </c>
      <c r="AE1525" s="7">
        <f>IF($E1525="","",AD1525-Q1525)</f>
        <v/>
      </c>
      <c r="AI1525" s="7" t="n"/>
      <c r="AL1525" s="11" t="n"/>
      <c r="AN1525">
        <f>IF($E1525="","",IF(COUNTIF($E$2:$E1525,$E1525)=1,1,0))</f>
        <v/>
      </c>
      <c r="AO1525">
        <f>IF($AN1525=1,SUMPRODUCT(--($AR$2:$AR$4001&lt;$AR1525))+1,"")</f>
        <v/>
      </c>
      <c r="AP1525">
        <f>IF($E1525="","",IF(OR($U1525=TRUE(),$U1525="TRUE"),1,0))</f>
        <v/>
      </c>
      <c r="AQ1525">
        <f>IF($E1525="","",IF($AA1525="Yes",1,0))</f>
        <v/>
      </c>
      <c r="AR1525">
        <f>IF($AN1525=1,IFERROR(VALUE(MID($E1525,2,20)),1000000000)+ROW()/100000,"")</f>
        <v/>
      </c>
    </row>
    <row r="1526">
      <c r="G1526" s="11" t="n"/>
      <c r="Q1526" s="7">
        <f>IF($E1526="","",P1526*Y1526/100)</f>
        <v/>
      </c>
      <c r="R1526" s="7" t="n"/>
      <c r="X1526" s="7" t="n"/>
      <c r="Y1526" s="7" t="n"/>
      <c r="AB1526">
        <f>IF($E1526="","",IF($AQ1526=1,0,IF($AP1526=1,Settings!$C$6,Settings!$C$7))*100)</f>
        <v/>
      </c>
      <c r="AC1526" s="7">
        <f>IF($E1526="","",Y1526*AB1526/100)</f>
        <v/>
      </c>
      <c r="AD1526" s="7">
        <f>IF($E1526="","",Y1526-AC1526)</f>
        <v/>
      </c>
      <c r="AE1526" s="7">
        <f>IF($E1526="","",AD1526-Q1526)</f>
        <v/>
      </c>
      <c r="AI1526" s="7" t="n"/>
      <c r="AL1526" s="11" t="n"/>
      <c r="AN1526">
        <f>IF($E1526="","",IF(COUNTIF($E$2:$E1526,$E1526)=1,1,0))</f>
        <v/>
      </c>
      <c r="AO1526">
        <f>IF($AN1526=1,SUMPRODUCT(--($AR$2:$AR$4001&lt;$AR1526))+1,"")</f>
        <v/>
      </c>
      <c r="AP1526">
        <f>IF($E1526="","",IF(OR($U1526=TRUE(),$U1526="TRUE"),1,0))</f>
        <v/>
      </c>
      <c r="AQ1526">
        <f>IF($E1526="","",IF($AA1526="Yes",1,0))</f>
        <v/>
      </c>
      <c r="AR1526">
        <f>IF($AN1526=1,IFERROR(VALUE(MID($E1526,2,20)),1000000000)+ROW()/100000,"")</f>
        <v/>
      </c>
    </row>
    <row r="1527">
      <c r="G1527" s="11" t="n"/>
      <c r="Q1527" s="7">
        <f>IF($E1527="","",P1527*Y1527/100)</f>
        <v/>
      </c>
      <c r="R1527" s="7" t="n"/>
      <c r="X1527" s="7" t="n"/>
      <c r="Y1527" s="7" t="n"/>
      <c r="AB1527">
        <f>IF($E1527="","",IF($AQ1527=1,0,IF($AP1527=1,Settings!$C$6,Settings!$C$7))*100)</f>
        <v/>
      </c>
      <c r="AC1527" s="7">
        <f>IF($E1527="","",Y1527*AB1527/100)</f>
        <v/>
      </c>
      <c r="AD1527" s="7">
        <f>IF($E1527="","",Y1527-AC1527)</f>
        <v/>
      </c>
      <c r="AE1527" s="7">
        <f>IF($E1527="","",AD1527-Q1527)</f>
        <v/>
      </c>
      <c r="AI1527" s="7" t="n"/>
      <c r="AL1527" s="11" t="n"/>
      <c r="AN1527">
        <f>IF($E1527="","",IF(COUNTIF($E$2:$E1527,$E1527)=1,1,0))</f>
        <v/>
      </c>
      <c r="AO1527">
        <f>IF($AN1527=1,SUMPRODUCT(--($AR$2:$AR$4001&lt;$AR1527))+1,"")</f>
        <v/>
      </c>
      <c r="AP1527">
        <f>IF($E1527="","",IF(OR($U1527=TRUE(),$U1527="TRUE"),1,0))</f>
        <v/>
      </c>
      <c r="AQ1527">
        <f>IF($E1527="","",IF($AA1527="Yes",1,0))</f>
        <v/>
      </c>
      <c r="AR1527">
        <f>IF($AN1527=1,IFERROR(VALUE(MID($E1527,2,20)),1000000000)+ROW()/100000,"")</f>
        <v/>
      </c>
    </row>
    <row r="1528">
      <c r="G1528" s="11" t="n"/>
      <c r="Q1528" s="7">
        <f>IF($E1528="","",P1528*Y1528/100)</f>
        <v/>
      </c>
      <c r="R1528" s="7" t="n"/>
      <c r="X1528" s="7" t="n"/>
      <c r="Y1528" s="7" t="n"/>
      <c r="AB1528">
        <f>IF($E1528="","",IF($AQ1528=1,0,IF($AP1528=1,Settings!$C$6,Settings!$C$7))*100)</f>
        <v/>
      </c>
      <c r="AC1528" s="7">
        <f>IF($E1528="","",Y1528*AB1528/100)</f>
        <v/>
      </c>
      <c r="AD1528" s="7">
        <f>IF($E1528="","",Y1528-AC1528)</f>
        <v/>
      </c>
      <c r="AE1528" s="7">
        <f>IF($E1528="","",AD1528-Q1528)</f>
        <v/>
      </c>
      <c r="AI1528" s="7" t="n"/>
      <c r="AL1528" s="11" t="n"/>
      <c r="AN1528">
        <f>IF($E1528="","",IF(COUNTIF($E$2:$E1528,$E1528)=1,1,0))</f>
        <v/>
      </c>
      <c r="AO1528">
        <f>IF($AN1528=1,SUMPRODUCT(--($AR$2:$AR$4001&lt;$AR1528))+1,"")</f>
        <v/>
      </c>
      <c r="AP1528">
        <f>IF($E1528="","",IF(OR($U1528=TRUE(),$U1528="TRUE"),1,0))</f>
        <v/>
      </c>
      <c r="AQ1528">
        <f>IF($E1528="","",IF($AA1528="Yes",1,0))</f>
        <v/>
      </c>
      <c r="AR1528">
        <f>IF($AN1528=1,IFERROR(VALUE(MID($E1528,2,20)),1000000000)+ROW()/100000,"")</f>
        <v/>
      </c>
    </row>
    <row r="1529">
      <c r="G1529" s="11" t="n"/>
      <c r="Q1529" s="7">
        <f>IF($E1529="","",P1529*Y1529/100)</f>
        <v/>
      </c>
      <c r="R1529" s="7" t="n"/>
      <c r="X1529" s="7" t="n"/>
      <c r="Y1529" s="7" t="n"/>
      <c r="AB1529">
        <f>IF($E1529="","",IF($AQ1529=1,0,IF($AP1529=1,Settings!$C$6,Settings!$C$7))*100)</f>
        <v/>
      </c>
      <c r="AC1529" s="7">
        <f>IF($E1529="","",Y1529*AB1529/100)</f>
        <v/>
      </c>
      <c r="AD1529" s="7">
        <f>IF($E1529="","",Y1529-AC1529)</f>
        <v/>
      </c>
      <c r="AE1529" s="7">
        <f>IF($E1529="","",AD1529-Q1529)</f>
        <v/>
      </c>
      <c r="AI1529" s="7" t="n"/>
      <c r="AL1529" s="11" t="n"/>
      <c r="AN1529">
        <f>IF($E1529="","",IF(COUNTIF($E$2:$E1529,$E1529)=1,1,0))</f>
        <v/>
      </c>
      <c r="AO1529">
        <f>IF($AN1529=1,SUMPRODUCT(--($AR$2:$AR$4001&lt;$AR1529))+1,"")</f>
        <v/>
      </c>
      <c r="AP1529">
        <f>IF($E1529="","",IF(OR($U1529=TRUE(),$U1529="TRUE"),1,0))</f>
        <v/>
      </c>
      <c r="AQ1529">
        <f>IF($E1529="","",IF($AA1529="Yes",1,0))</f>
        <v/>
      </c>
      <c r="AR1529">
        <f>IF($AN1529=1,IFERROR(VALUE(MID($E1529,2,20)),1000000000)+ROW()/100000,"")</f>
        <v/>
      </c>
    </row>
    <row r="1530">
      <c r="G1530" s="11" t="n"/>
      <c r="Q1530" s="7">
        <f>IF($E1530="","",P1530*Y1530/100)</f>
        <v/>
      </c>
      <c r="R1530" s="7" t="n"/>
      <c r="X1530" s="7" t="n"/>
      <c r="Y1530" s="7" t="n"/>
      <c r="AB1530">
        <f>IF($E1530="","",IF($AQ1530=1,0,IF($AP1530=1,Settings!$C$6,Settings!$C$7))*100)</f>
        <v/>
      </c>
      <c r="AC1530" s="7">
        <f>IF($E1530="","",Y1530*AB1530/100)</f>
        <v/>
      </c>
      <c r="AD1530" s="7">
        <f>IF($E1530="","",Y1530-AC1530)</f>
        <v/>
      </c>
      <c r="AE1530" s="7">
        <f>IF($E1530="","",AD1530-Q1530)</f>
        <v/>
      </c>
      <c r="AI1530" s="7" t="n"/>
      <c r="AL1530" s="11" t="n"/>
      <c r="AN1530">
        <f>IF($E1530="","",IF(COUNTIF($E$2:$E1530,$E1530)=1,1,0))</f>
        <v/>
      </c>
      <c r="AO1530">
        <f>IF($AN1530=1,SUMPRODUCT(--($AR$2:$AR$4001&lt;$AR1530))+1,"")</f>
        <v/>
      </c>
      <c r="AP1530">
        <f>IF($E1530="","",IF(OR($U1530=TRUE(),$U1530="TRUE"),1,0))</f>
        <v/>
      </c>
      <c r="AQ1530">
        <f>IF($E1530="","",IF($AA1530="Yes",1,0))</f>
        <v/>
      </c>
      <c r="AR1530">
        <f>IF($AN1530=1,IFERROR(VALUE(MID($E1530,2,20)),1000000000)+ROW()/100000,"")</f>
        <v/>
      </c>
    </row>
    <row r="1531">
      <c r="G1531" s="11" t="n"/>
      <c r="Q1531" s="7">
        <f>IF($E1531="","",P1531*Y1531/100)</f>
        <v/>
      </c>
      <c r="R1531" s="7" t="n"/>
      <c r="X1531" s="7" t="n"/>
      <c r="Y1531" s="7" t="n"/>
      <c r="AB1531">
        <f>IF($E1531="","",IF($AQ1531=1,0,IF($AP1531=1,Settings!$C$6,Settings!$C$7))*100)</f>
        <v/>
      </c>
      <c r="AC1531" s="7">
        <f>IF($E1531="","",Y1531*AB1531/100)</f>
        <v/>
      </c>
      <c r="AD1531" s="7">
        <f>IF($E1531="","",Y1531-AC1531)</f>
        <v/>
      </c>
      <c r="AE1531" s="7">
        <f>IF($E1531="","",AD1531-Q1531)</f>
        <v/>
      </c>
      <c r="AI1531" s="7" t="n"/>
      <c r="AL1531" s="11" t="n"/>
      <c r="AN1531">
        <f>IF($E1531="","",IF(COUNTIF($E$2:$E1531,$E1531)=1,1,0))</f>
        <v/>
      </c>
      <c r="AO1531">
        <f>IF($AN1531=1,SUMPRODUCT(--($AR$2:$AR$4001&lt;$AR1531))+1,"")</f>
        <v/>
      </c>
      <c r="AP1531">
        <f>IF($E1531="","",IF(OR($U1531=TRUE(),$U1531="TRUE"),1,0))</f>
        <v/>
      </c>
      <c r="AQ1531">
        <f>IF($E1531="","",IF($AA1531="Yes",1,0))</f>
        <v/>
      </c>
      <c r="AR1531">
        <f>IF($AN1531=1,IFERROR(VALUE(MID($E1531,2,20)),1000000000)+ROW()/100000,"")</f>
        <v/>
      </c>
    </row>
    <row r="1532">
      <c r="G1532" s="11" t="n"/>
      <c r="Q1532" s="7">
        <f>IF($E1532="","",P1532*Y1532/100)</f>
        <v/>
      </c>
      <c r="R1532" s="7" t="n"/>
      <c r="X1532" s="7" t="n"/>
      <c r="Y1532" s="7" t="n"/>
      <c r="AB1532">
        <f>IF($E1532="","",IF($AQ1532=1,0,IF($AP1532=1,Settings!$C$6,Settings!$C$7))*100)</f>
        <v/>
      </c>
      <c r="AC1532" s="7">
        <f>IF($E1532="","",Y1532*AB1532/100)</f>
        <v/>
      </c>
      <c r="AD1532" s="7">
        <f>IF($E1532="","",Y1532-AC1532)</f>
        <v/>
      </c>
      <c r="AE1532" s="7">
        <f>IF($E1532="","",AD1532-Q1532)</f>
        <v/>
      </c>
      <c r="AI1532" s="7" t="n"/>
      <c r="AL1532" s="11" t="n"/>
      <c r="AN1532">
        <f>IF($E1532="","",IF(COUNTIF($E$2:$E1532,$E1532)=1,1,0))</f>
        <v/>
      </c>
      <c r="AO1532">
        <f>IF($AN1532=1,SUMPRODUCT(--($AR$2:$AR$4001&lt;$AR1532))+1,"")</f>
        <v/>
      </c>
      <c r="AP1532">
        <f>IF($E1532="","",IF(OR($U1532=TRUE(),$U1532="TRUE"),1,0))</f>
        <v/>
      </c>
      <c r="AQ1532">
        <f>IF($E1532="","",IF($AA1532="Yes",1,0))</f>
        <v/>
      </c>
      <c r="AR1532">
        <f>IF($AN1532=1,IFERROR(VALUE(MID($E1532,2,20)),1000000000)+ROW()/100000,"")</f>
        <v/>
      </c>
    </row>
    <row r="1533">
      <c r="G1533" s="11" t="n"/>
      <c r="Q1533" s="7">
        <f>IF($E1533="","",P1533*Y1533/100)</f>
        <v/>
      </c>
      <c r="R1533" s="7" t="n"/>
      <c r="X1533" s="7" t="n"/>
      <c r="Y1533" s="7" t="n"/>
      <c r="AB1533">
        <f>IF($E1533="","",IF($AQ1533=1,0,IF($AP1533=1,Settings!$C$6,Settings!$C$7))*100)</f>
        <v/>
      </c>
      <c r="AC1533" s="7">
        <f>IF($E1533="","",Y1533*AB1533/100)</f>
        <v/>
      </c>
      <c r="AD1533" s="7">
        <f>IF($E1533="","",Y1533-AC1533)</f>
        <v/>
      </c>
      <c r="AE1533" s="7">
        <f>IF($E1533="","",AD1533-Q1533)</f>
        <v/>
      </c>
      <c r="AI1533" s="7" t="n"/>
      <c r="AL1533" s="11" t="n"/>
      <c r="AN1533">
        <f>IF($E1533="","",IF(COUNTIF($E$2:$E1533,$E1533)=1,1,0))</f>
        <v/>
      </c>
      <c r="AO1533">
        <f>IF($AN1533=1,SUMPRODUCT(--($AR$2:$AR$4001&lt;$AR1533))+1,"")</f>
        <v/>
      </c>
      <c r="AP1533">
        <f>IF($E1533="","",IF(OR($U1533=TRUE(),$U1533="TRUE"),1,0))</f>
        <v/>
      </c>
      <c r="AQ1533">
        <f>IF($E1533="","",IF($AA1533="Yes",1,0))</f>
        <v/>
      </c>
      <c r="AR1533">
        <f>IF($AN1533=1,IFERROR(VALUE(MID($E1533,2,20)),1000000000)+ROW()/100000,"")</f>
        <v/>
      </c>
    </row>
    <row r="1534">
      <c r="G1534" s="11" t="n"/>
      <c r="Q1534" s="7">
        <f>IF($E1534="","",P1534*Y1534/100)</f>
        <v/>
      </c>
      <c r="R1534" s="7" t="n"/>
      <c r="X1534" s="7" t="n"/>
      <c r="Y1534" s="7" t="n"/>
      <c r="AB1534">
        <f>IF($E1534="","",IF($AQ1534=1,0,IF($AP1534=1,Settings!$C$6,Settings!$C$7))*100)</f>
        <v/>
      </c>
      <c r="AC1534" s="7">
        <f>IF($E1534="","",Y1534*AB1534/100)</f>
        <v/>
      </c>
      <c r="AD1534" s="7">
        <f>IF($E1534="","",Y1534-AC1534)</f>
        <v/>
      </c>
      <c r="AE1534" s="7">
        <f>IF($E1534="","",AD1534-Q1534)</f>
        <v/>
      </c>
      <c r="AI1534" s="7" t="n"/>
      <c r="AL1534" s="11" t="n"/>
      <c r="AN1534">
        <f>IF($E1534="","",IF(COUNTIF($E$2:$E1534,$E1534)=1,1,0))</f>
        <v/>
      </c>
      <c r="AO1534">
        <f>IF($AN1534=1,SUMPRODUCT(--($AR$2:$AR$4001&lt;$AR1534))+1,"")</f>
        <v/>
      </c>
      <c r="AP1534">
        <f>IF($E1534="","",IF(OR($U1534=TRUE(),$U1534="TRUE"),1,0))</f>
        <v/>
      </c>
      <c r="AQ1534">
        <f>IF($E1534="","",IF($AA1534="Yes",1,0))</f>
        <v/>
      </c>
      <c r="AR1534">
        <f>IF($AN1534=1,IFERROR(VALUE(MID($E1534,2,20)),1000000000)+ROW()/100000,"")</f>
        <v/>
      </c>
    </row>
    <row r="1535">
      <c r="G1535" s="11" t="n"/>
      <c r="Q1535" s="7">
        <f>IF($E1535="","",P1535*Y1535/100)</f>
        <v/>
      </c>
      <c r="R1535" s="7" t="n"/>
      <c r="X1535" s="7" t="n"/>
      <c r="Y1535" s="7" t="n"/>
      <c r="AB1535">
        <f>IF($E1535="","",IF($AQ1535=1,0,IF($AP1535=1,Settings!$C$6,Settings!$C$7))*100)</f>
        <v/>
      </c>
      <c r="AC1535" s="7">
        <f>IF($E1535="","",Y1535*AB1535/100)</f>
        <v/>
      </c>
      <c r="AD1535" s="7">
        <f>IF($E1535="","",Y1535-AC1535)</f>
        <v/>
      </c>
      <c r="AE1535" s="7">
        <f>IF($E1535="","",AD1535-Q1535)</f>
        <v/>
      </c>
      <c r="AI1535" s="7" t="n"/>
      <c r="AL1535" s="11" t="n"/>
      <c r="AN1535">
        <f>IF($E1535="","",IF(COUNTIF($E$2:$E1535,$E1535)=1,1,0))</f>
        <v/>
      </c>
      <c r="AO1535">
        <f>IF($AN1535=1,SUMPRODUCT(--($AR$2:$AR$4001&lt;$AR1535))+1,"")</f>
        <v/>
      </c>
      <c r="AP1535">
        <f>IF($E1535="","",IF(OR($U1535=TRUE(),$U1535="TRUE"),1,0))</f>
        <v/>
      </c>
      <c r="AQ1535">
        <f>IF($E1535="","",IF($AA1535="Yes",1,0))</f>
        <v/>
      </c>
      <c r="AR1535">
        <f>IF($AN1535=1,IFERROR(VALUE(MID($E1535,2,20)),1000000000)+ROW()/100000,"")</f>
        <v/>
      </c>
    </row>
    <row r="1536">
      <c r="G1536" s="11" t="n"/>
      <c r="Q1536" s="7">
        <f>IF($E1536="","",P1536*Y1536/100)</f>
        <v/>
      </c>
      <c r="R1536" s="7" t="n"/>
      <c r="X1536" s="7" t="n"/>
      <c r="Y1536" s="7" t="n"/>
      <c r="AB1536">
        <f>IF($E1536="","",IF($AQ1536=1,0,IF($AP1536=1,Settings!$C$6,Settings!$C$7))*100)</f>
        <v/>
      </c>
      <c r="AC1536" s="7">
        <f>IF($E1536="","",Y1536*AB1536/100)</f>
        <v/>
      </c>
      <c r="AD1536" s="7">
        <f>IF($E1536="","",Y1536-AC1536)</f>
        <v/>
      </c>
      <c r="AE1536" s="7">
        <f>IF($E1536="","",AD1536-Q1536)</f>
        <v/>
      </c>
      <c r="AI1536" s="7" t="n"/>
      <c r="AL1536" s="11" t="n"/>
      <c r="AN1536">
        <f>IF($E1536="","",IF(COUNTIF($E$2:$E1536,$E1536)=1,1,0))</f>
        <v/>
      </c>
      <c r="AO1536">
        <f>IF($AN1536=1,SUMPRODUCT(--($AR$2:$AR$4001&lt;$AR1536))+1,"")</f>
        <v/>
      </c>
      <c r="AP1536">
        <f>IF($E1536="","",IF(OR($U1536=TRUE(),$U1536="TRUE"),1,0))</f>
        <v/>
      </c>
      <c r="AQ1536">
        <f>IF($E1536="","",IF($AA1536="Yes",1,0))</f>
        <v/>
      </c>
      <c r="AR1536">
        <f>IF($AN1536=1,IFERROR(VALUE(MID($E1536,2,20)),1000000000)+ROW()/100000,"")</f>
        <v/>
      </c>
    </row>
    <row r="1537">
      <c r="G1537" s="11" t="n"/>
      <c r="Q1537" s="7">
        <f>IF($E1537="","",P1537*Y1537/100)</f>
        <v/>
      </c>
      <c r="R1537" s="7" t="n"/>
      <c r="X1537" s="7" t="n"/>
      <c r="Y1537" s="7" t="n"/>
      <c r="AB1537">
        <f>IF($E1537="","",IF($AQ1537=1,0,IF($AP1537=1,Settings!$C$6,Settings!$C$7))*100)</f>
        <v/>
      </c>
      <c r="AC1537" s="7">
        <f>IF($E1537="","",Y1537*AB1537/100)</f>
        <v/>
      </c>
      <c r="AD1537" s="7">
        <f>IF($E1537="","",Y1537-AC1537)</f>
        <v/>
      </c>
      <c r="AE1537" s="7">
        <f>IF($E1537="","",AD1537-Q1537)</f>
        <v/>
      </c>
      <c r="AI1537" s="7" t="n"/>
      <c r="AL1537" s="11" t="n"/>
      <c r="AN1537">
        <f>IF($E1537="","",IF(COUNTIF($E$2:$E1537,$E1537)=1,1,0))</f>
        <v/>
      </c>
      <c r="AO1537">
        <f>IF($AN1537=1,SUMPRODUCT(--($AR$2:$AR$4001&lt;$AR1537))+1,"")</f>
        <v/>
      </c>
      <c r="AP1537">
        <f>IF($E1537="","",IF(OR($U1537=TRUE(),$U1537="TRUE"),1,0))</f>
        <v/>
      </c>
      <c r="AQ1537">
        <f>IF($E1537="","",IF($AA1537="Yes",1,0))</f>
        <v/>
      </c>
      <c r="AR1537">
        <f>IF($AN1537=1,IFERROR(VALUE(MID($E1537,2,20)),1000000000)+ROW()/100000,"")</f>
        <v/>
      </c>
    </row>
    <row r="1538">
      <c r="G1538" s="11" t="n"/>
      <c r="Q1538" s="7">
        <f>IF($E1538="","",P1538*Y1538/100)</f>
        <v/>
      </c>
      <c r="R1538" s="7" t="n"/>
      <c r="X1538" s="7" t="n"/>
      <c r="Y1538" s="7" t="n"/>
      <c r="AB1538">
        <f>IF($E1538="","",IF($AQ1538=1,0,IF($AP1538=1,Settings!$C$6,Settings!$C$7))*100)</f>
        <v/>
      </c>
      <c r="AC1538" s="7">
        <f>IF($E1538="","",Y1538*AB1538/100)</f>
        <v/>
      </c>
      <c r="AD1538" s="7">
        <f>IF($E1538="","",Y1538-AC1538)</f>
        <v/>
      </c>
      <c r="AE1538" s="7">
        <f>IF($E1538="","",AD1538-Q1538)</f>
        <v/>
      </c>
      <c r="AI1538" s="7" t="n"/>
      <c r="AL1538" s="11" t="n"/>
      <c r="AN1538">
        <f>IF($E1538="","",IF(COUNTIF($E$2:$E1538,$E1538)=1,1,0))</f>
        <v/>
      </c>
      <c r="AO1538">
        <f>IF($AN1538=1,SUMPRODUCT(--($AR$2:$AR$4001&lt;$AR1538))+1,"")</f>
        <v/>
      </c>
      <c r="AP1538">
        <f>IF($E1538="","",IF(OR($U1538=TRUE(),$U1538="TRUE"),1,0))</f>
        <v/>
      </c>
      <c r="AQ1538">
        <f>IF($E1538="","",IF($AA1538="Yes",1,0))</f>
        <v/>
      </c>
      <c r="AR1538">
        <f>IF($AN1538=1,IFERROR(VALUE(MID($E1538,2,20)),1000000000)+ROW()/100000,"")</f>
        <v/>
      </c>
    </row>
    <row r="1539">
      <c r="G1539" s="11" t="n"/>
      <c r="Q1539" s="7">
        <f>IF($E1539="","",P1539*Y1539/100)</f>
        <v/>
      </c>
      <c r="R1539" s="7" t="n"/>
      <c r="X1539" s="7" t="n"/>
      <c r="Y1539" s="7" t="n"/>
      <c r="AB1539">
        <f>IF($E1539="","",IF($AQ1539=1,0,IF($AP1539=1,Settings!$C$6,Settings!$C$7))*100)</f>
        <v/>
      </c>
      <c r="AC1539" s="7">
        <f>IF($E1539="","",Y1539*AB1539/100)</f>
        <v/>
      </c>
      <c r="AD1539" s="7">
        <f>IF($E1539="","",Y1539-AC1539)</f>
        <v/>
      </c>
      <c r="AE1539" s="7">
        <f>IF($E1539="","",AD1539-Q1539)</f>
        <v/>
      </c>
      <c r="AI1539" s="7" t="n"/>
      <c r="AL1539" s="11" t="n"/>
      <c r="AN1539">
        <f>IF($E1539="","",IF(COUNTIF($E$2:$E1539,$E1539)=1,1,0))</f>
        <v/>
      </c>
      <c r="AO1539">
        <f>IF($AN1539=1,SUMPRODUCT(--($AR$2:$AR$4001&lt;$AR1539))+1,"")</f>
        <v/>
      </c>
      <c r="AP1539">
        <f>IF($E1539="","",IF(OR($U1539=TRUE(),$U1539="TRUE"),1,0))</f>
        <v/>
      </c>
      <c r="AQ1539">
        <f>IF($E1539="","",IF($AA1539="Yes",1,0))</f>
        <v/>
      </c>
      <c r="AR1539">
        <f>IF($AN1539=1,IFERROR(VALUE(MID($E1539,2,20)),1000000000)+ROW()/100000,"")</f>
        <v/>
      </c>
    </row>
    <row r="1540">
      <c r="G1540" s="11" t="n"/>
      <c r="Q1540" s="7">
        <f>IF($E1540="","",P1540*Y1540/100)</f>
        <v/>
      </c>
      <c r="R1540" s="7" t="n"/>
      <c r="X1540" s="7" t="n"/>
      <c r="Y1540" s="7" t="n"/>
      <c r="AB1540">
        <f>IF($E1540="","",IF($AQ1540=1,0,IF($AP1540=1,Settings!$C$6,Settings!$C$7))*100)</f>
        <v/>
      </c>
      <c r="AC1540" s="7">
        <f>IF($E1540="","",Y1540*AB1540/100)</f>
        <v/>
      </c>
      <c r="AD1540" s="7">
        <f>IF($E1540="","",Y1540-AC1540)</f>
        <v/>
      </c>
      <c r="AE1540" s="7">
        <f>IF($E1540="","",AD1540-Q1540)</f>
        <v/>
      </c>
      <c r="AI1540" s="7" t="n"/>
      <c r="AL1540" s="11" t="n"/>
      <c r="AN1540">
        <f>IF($E1540="","",IF(COUNTIF($E$2:$E1540,$E1540)=1,1,0))</f>
        <v/>
      </c>
      <c r="AO1540">
        <f>IF($AN1540=1,SUMPRODUCT(--($AR$2:$AR$4001&lt;$AR1540))+1,"")</f>
        <v/>
      </c>
      <c r="AP1540">
        <f>IF($E1540="","",IF(OR($U1540=TRUE(),$U1540="TRUE"),1,0))</f>
        <v/>
      </c>
      <c r="AQ1540">
        <f>IF($E1540="","",IF($AA1540="Yes",1,0))</f>
        <v/>
      </c>
      <c r="AR1540">
        <f>IF($AN1540=1,IFERROR(VALUE(MID($E1540,2,20)),1000000000)+ROW()/100000,"")</f>
        <v/>
      </c>
    </row>
    <row r="1541">
      <c r="G1541" s="11" t="n"/>
      <c r="Q1541" s="7">
        <f>IF($E1541="","",P1541*Y1541/100)</f>
        <v/>
      </c>
      <c r="R1541" s="7" t="n"/>
      <c r="X1541" s="7" t="n"/>
      <c r="Y1541" s="7" t="n"/>
      <c r="AB1541">
        <f>IF($E1541="","",IF($AQ1541=1,0,IF($AP1541=1,Settings!$C$6,Settings!$C$7))*100)</f>
        <v/>
      </c>
      <c r="AC1541" s="7">
        <f>IF($E1541="","",Y1541*AB1541/100)</f>
        <v/>
      </c>
      <c r="AD1541" s="7">
        <f>IF($E1541="","",Y1541-AC1541)</f>
        <v/>
      </c>
      <c r="AE1541" s="7">
        <f>IF($E1541="","",AD1541-Q1541)</f>
        <v/>
      </c>
      <c r="AI1541" s="7" t="n"/>
      <c r="AL1541" s="11" t="n"/>
      <c r="AN1541">
        <f>IF($E1541="","",IF(COUNTIF($E$2:$E1541,$E1541)=1,1,0))</f>
        <v/>
      </c>
      <c r="AO1541">
        <f>IF($AN1541=1,SUMPRODUCT(--($AR$2:$AR$4001&lt;$AR1541))+1,"")</f>
        <v/>
      </c>
      <c r="AP1541">
        <f>IF($E1541="","",IF(OR($U1541=TRUE(),$U1541="TRUE"),1,0))</f>
        <v/>
      </c>
      <c r="AQ1541">
        <f>IF($E1541="","",IF($AA1541="Yes",1,0))</f>
        <v/>
      </c>
      <c r="AR1541">
        <f>IF($AN1541=1,IFERROR(VALUE(MID($E1541,2,20)),1000000000)+ROW()/100000,"")</f>
        <v/>
      </c>
    </row>
    <row r="1542">
      <c r="G1542" s="11" t="n"/>
      <c r="Q1542" s="7">
        <f>IF($E1542="","",P1542*Y1542/100)</f>
        <v/>
      </c>
      <c r="R1542" s="7" t="n"/>
      <c r="X1542" s="7" t="n"/>
      <c r="Y1542" s="7" t="n"/>
      <c r="AB1542">
        <f>IF($E1542="","",IF($AQ1542=1,0,IF($AP1542=1,Settings!$C$6,Settings!$C$7))*100)</f>
        <v/>
      </c>
      <c r="AC1542" s="7">
        <f>IF($E1542="","",Y1542*AB1542/100)</f>
        <v/>
      </c>
      <c r="AD1542" s="7">
        <f>IF($E1542="","",Y1542-AC1542)</f>
        <v/>
      </c>
      <c r="AE1542" s="7">
        <f>IF($E1542="","",AD1542-Q1542)</f>
        <v/>
      </c>
      <c r="AI1542" s="7" t="n"/>
      <c r="AL1542" s="11" t="n"/>
      <c r="AN1542">
        <f>IF($E1542="","",IF(COUNTIF($E$2:$E1542,$E1542)=1,1,0))</f>
        <v/>
      </c>
      <c r="AO1542">
        <f>IF($AN1542=1,SUMPRODUCT(--($AR$2:$AR$4001&lt;$AR1542))+1,"")</f>
        <v/>
      </c>
      <c r="AP1542">
        <f>IF($E1542="","",IF(OR($U1542=TRUE(),$U1542="TRUE"),1,0))</f>
        <v/>
      </c>
      <c r="AQ1542">
        <f>IF($E1542="","",IF($AA1542="Yes",1,0))</f>
        <v/>
      </c>
      <c r="AR1542">
        <f>IF($AN1542=1,IFERROR(VALUE(MID($E1542,2,20)),1000000000)+ROW()/100000,"")</f>
        <v/>
      </c>
    </row>
    <row r="1543">
      <c r="G1543" s="11" t="n"/>
      <c r="Q1543" s="7">
        <f>IF($E1543="","",P1543*Y1543/100)</f>
        <v/>
      </c>
      <c r="R1543" s="7" t="n"/>
      <c r="X1543" s="7" t="n"/>
      <c r="Y1543" s="7" t="n"/>
      <c r="AB1543">
        <f>IF($E1543="","",IF($AQ1543=1,0,IF($AP1543=1,Settings!$C$6,Settings!$C$7))*100)</f>
        <v/>
      </c>
      <c r="AC1543" s="7">
        <f>IF($E1543="","",Y1543*AB1543/100)</f>
        <v/>
      </c>
      <c r="AD1543" s="7">
        <f>IF($E1543="","",Y1543-AC1543)</f>
        <v/>
      </c>
      <c r="AE1543" s="7">
        <f>IF($E1543="","",AD1543-Q1543)</f>
        <v/>
      </c>
      <c r="AI1543" s="7" t="n"/>
      <c r="AL1543" s="11" t="n"/>
      <c r="AN1543">
        <f>IF($E1543="","",IF(COUNTIF($E$2:$E1543,$E1543)=1,1,0))</f>
        <v/>
      </c>
      <c r="AO1543">
        <f>IF($AN1543=1,SUMPRODUCT(--($AR$2:$AR$4001&lt;$AR1543))+1,"")</f>
        <v/>
      </c>
      <c r="AP1543">
        <f>IF($E1543="","",IF(OR($U1543=TRUE(),$U1543="TRUE"),1,0))</f>
        <v/>
      </c>
      <c r="AQ1543">
        <f>IF($E1543="","",IF($AA1543="Yes",1,0))</f>
        <v/>
      </c>
      <c r="AR1543">
        <f>IF($AN1543=1,IFERROR(VALUE(MID($E1543,2,20)),1000000000)+ROW()/100000,"")</f>
        <v/>
      </c>
    </row>
    <row r="1544">
      <c r="G1544" s="11" t="n"/>
      <c r="Q1544" s="7">
        <f>IF($E1544="","",P1544*Y1544/100)</f>
        <v/>
      </c>
      <c r="R1544" s="7" t="n"/>
      <c r="X1544" s="7" t="n"/>
      <c r="Y1544" s="7" t="n"/>
      <c r="AB1544">
        <f>IF($E1544="","",IF($AQ1544=1,0,IF($AP1544=1,Settings!$C$6,Settings!$C$7))*100)</f>
        <v/>
      </c>
      <c r="AC1544" s="7">
        <f>IF($E1544="","",Y1544*AB1544/100)</f>
        <v/>
      </c>
      <c r="AD1544" s="7">
        <f>IF($E1544="","",Y1544-AC1544)</f>
        <v/>
      </c>
      <c r="AE1544" s="7">
        <f>IF($E1544="","",AD1544-Q1544)</f>
        <v/>
      </c>
      <c r="AI1544" s="7" t="n"/>
      <c r="AL1544" s="11" t="n"/>
      <c r="AN1544">
        <f>IF($E1544="","",IF(COUNTIF($E$2:$E1544,$E1544)=1,1,0))</f>
        <v/>
      </c>
      <c r="AO1544">
        <f>IF($AN1544=1,SUMPRODUCT(--($AR$2:$AR$4001&lt;$AR1544))+1,"")</f>
        <v/>
      </c>
      <c r="AP1544">
        <f>IF($E1544="","",IF(OR($U1544=TRUE(),$U1544="TRUE"),1,0))</f>
        <v/>
      </c>
      <c r="AQ1544">
        <f>IF($E1544="","",IF($AA1544="Yes",1,0))</f>
        <v/>
      </c>
      <c r="AR1544">
        <f>IF($AN1544=1,IFERROR(VALUE(MID($E1544,2,20)),1000000000)+ROW()/100000,"")</f>
        <v/>
      </c>
    </row>
    <row r="1545">
      <c r="G1545" s="11" t="n"/>
      <c r="Q1545" s="7">
        <f>IF($E1545="","",P1545*Y1545/100)</f>
        <v/>
      </c>
      <c r="R1545" s="7" t="n"/>
      <c r="X1545" s="7" t="n"/>
      <c r="Y1545" s="7" t="n"/>
      <c r="AB1545">
        <f>IF($E1545="","",IF($AQ1545=1,0,IF($AP1545=1,Settings!$C$6,Settings!$C$7))*100)</f>
        <v/>
      </c>
      <c r="AC1545" s="7">
        <f>IF($E1545="","",Y1545*AB1545/100)</f>
        <v/>
      </c>
      <c r="AD1545" s="7">
        <f>IF($E1545="","",Y1545-AC1545)</f>
        <v/>
      </c>
      <c r="AE1545" s="7">
        <f>IF($E1545="","",AD1545-Q1545)</f>
        <v/>
      </c>
      <c r="AI1545" s="7" t="n"/>
      <c r="AL1545" s="11" t="n"/>
      <c r="AN1545">
        <f>IF($E1545="","",IF(COUNTIF($E$2:$E1545,$E1545)=1,1,0))</f>
        <v/>
      </c>
      <c r="AO1545">
        <f>IF($AN1545=1,SUMPRODUCT(--($AR$2:$AR$4001&lt;$AR1545))+1,"")</f>
        <v/>
      </c>
      <c r="AP1545">
        <f>IF($E1545="","",IF(OR($U1545=TRUE(),$U1545="TRUE"),1,0))</f>
        <v/>
      </c>
      <c r="AQ1545">
        <f>IF($E1545="","",IF($AA1545="Yes",1,0))</f>
        <v/>
      </c>
      <c r="AR1545">
        <f>IF($AN1545=1,IFERROR(VALUE(MID($E1545,2,20)),1000000000)+ROW()/100000,"")</f>
        <v/>
      </c>
    </row>
    <row r="1546">
      <c r="G1546" s="11" t="n"/>
      <c r="Q1546" s="7">
        <f>IF($E1546="","",P1546*Y1546/100)</f>
        <v/>
      </c>
      <c r="R1546" s="7" t="n"/>
      <c r="X1546" s="7" t="n"/>
      <c r="Y1546" s="7" t="n"/>
      <c r="AB1546">
        <f>IF($E1546="","",IF($AQ1546=1,0,IF($AP1546=1,Settings!$C$6,Settings!$C$7))*100)</f>
        <v/>
      </c>
      <c r="AC1546" s="7">
        <f>IF($E1546="","",Y1546*AB1546/100)</f>
        <v/>
      </c>
      <c r="AD1546" s="7">
        <f>IF($E1546="","",Y1546-AC1546)</f>
        <v/>
      </c>
      <c r="AE1546" s="7">
        <f>IF($E1546="","",AD1546-Q1546)</f>
        <v/>
      </c>
      <c r="AI1546" s="7" t="n"/>
      <c r="AL1546" s="11" t="n"/>
      <c r="AN1546">
        <f>IF($E1546="","",IF(COUNTIF($E$2:$E1546,$E1546)=1,1,0))</f>
        <v/>
      </c>
      <c r="AO1546">
        <f>IF($AN1546=1,SUMPRODUCT(--($AR$2:$AR$4001&lt;$AR1546))+1,"")</f>
        <v/>
      </c>
      <c r="AP1546">
        <f>IF($E1546="","",IF(OR($U1546=TRUE(),$U1546="TRUE"),1,0))</f>
        <v/>
      </c>
      <c r="AQ1546">
        <f>IF($E1546="","",IF($AA1546="Yes",1,0))</f>
        <v/>
      </c>
      <c r="AR1546">
        <f>IF($AN1546=1,IFERROR(VALUE(MID($E1546,2,20)),1000000000)+ROW()/100000,"")</f>
        <v/>
      </c>
    </row>
    <row r="1547">
      <c r="G1547" s="11" t="n"/>
      <c r="Q1547" s="7">
        <f>IF($E1547="","",P1547*Y1547/100)</f>
        <v/>
      </c>
      <c r="R1547" s="7" t="n"/>
      <c r="X1547" s="7" t="n"/>
      <c r="Y1547" s="7" t="n"/>
      <c r="AB1547">
        <f>IF($E1547="","",IF($AQ1547=1,0,IF($AP1547=1,Settings!$C$6,Settings!$C$7))*100)</f>
        <v/>
      </c>
      <c r="AC1547" s="7">
        <f>IF($E1547="","",Y1547*AB1547/100)</f>
        <v/>
      </c>
      <c r="AD1547" s="7">
        <f>IF($E1547="","",Y1547-AC1547)</f>
        <v/>
      </c>
      <c r="AE1547" s="7">
        <f>IF($E1547="","",AD1547-Q1547)</f>
        <v/>
      </c>
      <c r="AI1547" s="7" t="n"/>
      <c r="AL1547" s="11" t="n"/>
      <c r="AN1547">
        <f>IF($E1547="","",IF(COUNTIF($E$2:$E1547,$E1547)=1,1,0))</f>
        <v/>
      </c>
      <c r="AO1547">
        <f>IF($AN1547=1,SUMPRODUCT(--($AR$2:$AR$4001&lt;$AR1547))+1,"")</f>
        <v/>
      </c>
      <c r="AP1547">
        <f>IF($E1547="","",IF(OR($U1547=TRUE(),$U1547="TRUE"),1,0))</f>
        <v/>
      </c>
      <c r="AQ1547">
        <f>IF($E1547="","",IF($AA1547="Yes",1,0))</f>
        <v/>
      </c>
      <c r="AR1547">
        <f>IF($AN1547=1,IFERROR(VALUE(MID($E1547,2,20)),1000000000)+ROW()/100000,"")</f>
        <v/>
      </c>
    </row>
    <row r="1548">
      <c r="G1548" s="11" t="n"/>
      <c r="Q1548" s="7">
        <f>IF($E1548="","",P1548*Y1548/100)</f>
        <v/>
      </c>
      <c r="R1548" s="7" t="n"/>
      <c r="X1548" s="7" t="n"/>
      <c r="Y1548" s="7" t="n"/>
      <c r="AB1548">
        <f>IF($E1548="","",IF($AQ1548=1,0,IF($AP1548=1,Settings!$C$6,Settings!$C$7))*100)</f>
        <v/>
      </c>
      <c r="AC1548" s="7">
        <f>IF($E1548="","",Y1548*AB1548/100)</f>
        <v/>
      </c>
      <c r="AD1548" s="7">
        <f>IF($E1548="","",Y1548-AC1548)</f>
        <v/>
      </c>
      <c r="AE1548" s="7">
        <f>IF($E1548="","",AD1548-Q1548)</f>
        <v/>
      </c>
      <c r="AI1548" s="7" t="n"/>
      <c r="AL1548" s="11" t="n"/>
      <c r="AN1548">
        <f>IF($E1548="","",IF(COUNTIF($E$2:$E1548,$E1548)=1,1,0))</f>
        <v/>
      </c>
      <c r="AO1548">
        <f>IF($AN1548=1,SUMPRODUCT(--($AR$2:$AR$4001&lt;$AR1548))+1,"")</f>
        <v/>
      </c>
      <c r="AP1548">
        <f>IF($E1548="","",IF(OR($U1548=TRUE(),$U1548="TRUE"),1,0))</f>
        <v/>
      </c>
      <c r="AQ1548">
        <f>IF($E1548="","",IF($AA1548="Yes",1,0))</f>
        <v/>
      </c>
      <c r="AR1548">
        <f>IF($AN1548=1,IFERROR(VALUE(MID($E1548,2,20)),1000000000)+ROW()/100000,"")</f>
        <v/>
      </c>
    </row>
    <row r="1549">
      <c r="G1549" s="11" t="n"/>
      <c r="Q1549" s="7">
        <f>IF($E1549="","",P1549*Y1549/100)</f>
        <v/>
      </c>
      <c r="R1549" s="7" t="n"/>
      <c r="X1549" s="7" t="n"/>
      <c r="Y1549" s="7" t="n"/>
      <c r="AB1549">
        <f>IF($E1549="","",IF($AQ1549=1,0,IF($AP1549=1,Settings!$C$6,Settings!$C$7))*100)</f>
        <v/>
      </c>
      <c r="AC1549" s="7">
        <f>IF($E1549="","",Y1549*AB1549/100)</f>
        <v/>
      </c>
      <c r="AD1549" s="7">
        <f>IF($E1549="","",Y1549-AC1549)</f>
        <v/>
      </c>
      <c r="AE1549" s="7">
        <f>IF($E1549="","",AD1549-Q1549)</f>
        <v/>
      </c>
      <c r="AI1549" s="7" t="n"/>
      <c r="AL1549" s="11" t="n"/>
      <c r="AN1549">
        <f>IF($E1549="","",IF(COUNTIF($E$2:$E1549,$E1549)=1,1,0))</f>
        <v/>
      </c>
      <c r="AO1549">
        <f>IF($AN1549=1,SUMPRODUCT(--($AR$2:$AR$4001&lt;$AR1549))+1,"")</f>
        <v/>
      </c>
      <c r="AP1549">
        <f>IF($E1549="","",IF(OR($U1549=TRUE(),$U1549="TRUE"),1,0))</f>
        <v/>
      </c>
      <c r="AQ1549">
        <f>IF($E1549="","",IF($AA1549="Yes",1,0))</f>
        <v/>
      </c>
      <c r="AR1549">
        <f>IF($AN1549=1,IFERROR(VALUE(MID($E1549,2,20)),1000000000)+ROW()/100000,"")</f>
        <v/>
      </c>
    </row>
    <row r="1550">
      <c r="G1550" s="11" t="n"/>
      <c r="Q1550" s="7">
        <f>IF($E1550="","",P1550*Y1550/100)</f>
        <v/>
      </c>
      <c r="R1550" s="7" t="n"/>
      <c r="X1550" s="7" t="n"/>
      <c r="Y1550" s="7" t="n"/>
      <c r="AB1550">
        <f>IF($E1550="","",IF($AQ1550=1,0,IF($AP1550=1,Settings!$C$6,Settings!$C$7))*100)</f>
        <v/>
      </c>
      <c r="AC1550" s="7">
        <f>IF($E1550="","",Y1550*AB1550/100)</f>
        <v/>
      </c>
      <c r="AD1550" s="7">
        <f>IF($E1550="","",Y1550-AC1550)</f>
        <v/>
      </c>
      <c r="AE1550" s="7">
        <f>IF($E1550="","",AD1550-Q1550)</f>
        <v/>
      </c>
      <c r="AI1550" s="7" t="n"/>
      <c r="AL1550" s="11" t="n"/>
      <c r="AN1550">
        <f>IF($E1550="","",IF(COUNTIF($E$2:$E1550,$E1550)=1,1,0))</f>
        <v/>
      </c>
      <c r="AO1550">
        <f>IF($AN1550=1,SUMPRODUCT(--($AR$2:$AR$4001&lt;$AR1550))+1,"")</f>
        <v/>
      </c>
      <c r="AP1550">
        <f>IF($E1550="","",IF(OR($U1550=TRUE(),$U1550="TRUE"),1,0))</f>
        <v/>
      </c>
      <c r="AQ1550">
        <f>IF($E1550="","",IF($AA1550="Yes",1,0))</f>
        <v/>
      </c>
      <c r="AR1550">
        <f>IF($AN1550=1,IFERROR(VALUE(MID($E1550,2,20)),1000000000)+ROW()/100000,"")</f>
        <v/>
      </c>
    </row>
    <row r="1551">
      <c r="G1551" s="11" t="n"/>
      <c r="Q1551" s="7">
        <f>IF($E1551="","",P1551*Y1551/100)</f>
        <v/>
      </c>
      <c r="R1551" s="7" t="n"/>
      <c r="X1551" s="7" t="n"/>
      <c r="Y1551" s="7" t="n"/>
      <c r="AB1551">
        <f>IF($E1551="","",IF($AQ1551=1,0,IF($AP1551=1,Settings!$C$6,Settings!$C$7))*100)</f>
        <v/>
      </c>
      <c r="AC1551" s="7">
        <f>IF($E1551="","",Y1551*AB1551/100)</f>
        <v/>
      </c>
      <c r="AD1551" s="7">
        <f>IF($E1551="","",Y1551-AC1551)</f>
        <v/>
      </c>
      <c r="AE1551" s="7">
        <f>IF($E1551="","",AD1551-Q1551)</f>
        <v/>
      </c>
      <c r="AI1551" s="7" t="n"/>
      <c r="AL1551" s="11" t="n"/>
      <c r="AN1551">
        <f>IF($E1551="","",IF(COUNTIF($E$2:$E1551,$E1551)=1,1,0))</f>
        <v/>
      </c>
      <c r="AO1551">
        <f>IF($AN1551=1,SUMPRODUCT(--($AR$2:$AR$4001&lt;$AR1551))+1,"")</f>
        <v/>
      </c>
      <c r="AP1551">
        <f>IF($E1551="","",IF(OR($U1551=TRUE(),$U1551="TRUE"),1,0))</f>
        <v/>
      </c>
      <c r="AQ1551">
        <f>IF($E1551="","",IF($AA1551="Yes",1,0))</f>
        <v/>
      </c>
      <c r="AR1551">
        <f>IF($AN1551=1,IFERROR(VALUE(MID($E1551,2,20)),1000000000)+ROW()/100000,"")</f>
        <v/>
      </c>
    </row>
    <row r="1552">
      <c r="G1552" s="11" t="n"/>
      <c r="Q1552" s="7">
        <f>IF($E1552="","",P1552*Y1552/100)</f>
        <v/>
      </c>
      <c r="R1552" s="7" t="n"/>
      <c r="X1552" s="7" t="n"/>
      <c r="Y1552" s="7" t="n"/>
      <c r="AB1552">
        <f>IF($E1552="","",IF($AQ1552=1,0,IF($AP1552=1,Settings!$C$6,Settings!$C$7))*100)</f>
        <v/>
      </c>
      <c r="AC1552" s="7">
        <f>IF($E1552="","",Y1552*AB1552/100)</f>
        <v/>
      </c>
      <c r="AD1552" s="7">
        <f>IF($E1552="","",Y1552-AC1552)</f>
        <v/>
      </c>
      <c r="AE1552" s="7">
        <f>IF($E1552="","",AD1552-Q1552)</f>
        <v/>
      </c>
      <c r="AI1552" s="7" t="n"/>
      <c r="AL1552" s="11" t="n"/>
      <c r="AN1552">
        <f>IF($E1552="","",IF(COUNTIF($E$2:$E1552,$E1552)=1,1,0))</f>
        <v/>
      </c>
      <c r="AO1552">
        <f>IF($AN1552=1,SUMPRODUCT(--($AR$2:$AR$4001&lt;$AR1552))+1,"")</f>
        <v/>
      </c>
      <c r="AP1552">
        <f>IF($E1552="","",IF(OR($U1552=TRUE(),$U1552="TRUE"),1,0))</f>
        <v/>
      </c>
      <c r="AQ1552">
        <f>IF($E1552="","",IF($AA1552="Yes",1,0))</f>
        <v/>
      </c>
      <c r="AR1552">
        <f>IF($AN1552=1,IFERROR(VALUE(MID($E1552,2,20)),1000000000)+ROW()/100000,"")</f>
        <v/>
      </c>
    </row>
    <row r="1553">
      <c r="G1553" s="11" t="n"/>
      <c r="Q1553" s="7">
        <f>IF($E1553="","",P1553*Y1553/100)</f>
        <v/>
      </c>
      <c r="R1553" s="7" t="n"/>
      <c r="X1553" s="7" t="n"/>
      <c r="Y1553" s="7" t="n"/>
      <c r="AB1553">
        <f>IF($E1553="","",IF($AQ1553=1,0,IF($AP1553=1,Settings!$C$6,Settings!$C$7))*100)</f>
        <v/>
      </c>
      <c r="AC1553" s="7">
        <f>IF($E1553="","",Y1553*AB1553/100)</f>
        <v/>
      </c>
      <c r="AD1553" s="7">
        <f>IF($E1553="","",Y1553-AC1553)</f>
        <v/>
      </c>
      <c r="AE1553" s="7">
        <f>IF($E1553="","",AD1553-Q1553)</f>
        <v/>
      </c>
      <c r="AI1553" s="7" t="n"/>
      <c r="AL1553" s="11" t="n"/>
      <c r="AN1553">
        <f>IF($E1553="","",IF(COUNTIF($E$2:$E1553,$E1553)=1,1,0))</f>
        <v/>
      </c>
      <c r="AO1553">
        <f>IF($AN1553=1,SUMPRODUCT(--($AR$2:$AR$4001&lt;$AR1553))+1,"")</f>
        <v/>
      </c>
      <c r="AP1553">
        <f>IF($E1553="","",IF(OR($U1553=TRUE(),$U1553="TRUE"),1,0))</f>
        <v/>
      </c>
      <c r="AQ1553">
        <f>IF($E1553="","",IF($AA1553="Yes",1,0))</f>
        <v/>
      </c>
      <c r="AR1553">
        <f>IF($AN1553=1,IFERROR(VALUE(MID($E1553,2,20)),1000000000)+ROW()/100000,"")</f>
        <v/>
      </c>
    </row>
    <row r="1554">
      <c r="G1554" s="11" t="n"/>
      <c r="Q1554" s="7">
        <f>IF($E1554="","",P1554*Y1554/100)</f>
        <v/>
      </c>
      <c r="R1554" s="7" t="n"/>
      <c r="X1554" s="7" t="n"/>
      <c r="Y1554" s="7" t="n"/>
      <c r="AB1554">
        <f>IF($E1554="","",IF($AQ1554=1,0,IF($AP1554=1,Settings!$C$6,Settings!$C$7))*100)</f>
        <v/>
      </c>
      <c r="AC1554" s="7">
        <f>IF($E1554="","",Y1554*AB1554/100)</f>
        <v/>
      </c>
      <c r="AD1554" s="7">
        <f>IF($E1554="","",Y1554-AC1554)</f>
        <v/>
      </c>
      <c r="AE1554" s="7">
        <f>IF($E1554="","",AD1554-Q1554)</f>
        <v/>
      </c>
      <c r="AI1554" s="7" t="n"/>
      <c r="AL1554" s="11" t="n"/>
      <c r="AN1554">
        <f>IF($E1554="","",IF(COUNTIF($E$2:$E1554,$E1554)=1,1,0))</f>
        <v/>
      </c>
      <c r="AO1554">
        <f>IF($AN1554=1,SUMPRODUCT(--($AR$2:$AR$4001&lt;$AR1554))+1,"")</f>
        <v/>
      </c>
      <c r="AP1554">
        <f>IF($E1554="","",IF(OR($U1554=TRUE(),$U1554="TRUE"),1,0))</f>
        <v/>
      </c>
      <c r="AQ1554">
        <f>IF($E1554="","",IF($AA1554="Yes",1,0))</f>
        <v/>
      </c>
      <c r="AR1554">
        <f>IF($AN1554=1,IFERROR(VALUE(MID($E1554,2,20)),1000000000)+ROW()/100000,"")</f>
        <v/>
      </c>
    </row>
    <row r="1555">
      <c r="G1555" s="11" t="n"/>
      <c r="Q1555" s="7">
        <f>IF($E1555="","",P1555*Y1555/100)</f>
        <v/>
      </c>
      <c r="R1555" s="7" t="n"/>
      <c r="X1555" s="7" t="n"/>
      <c r="Y1555" s="7" t="n"/>
      <c r="AB1555">
        <f>IF($E1555="","",IF($AQ1555=1,0,IF($AP1555=1,Settings!$C$6,Settings!$C$7))*100)</f>
        <v/>
      </c>
      <c r="AC1555" s="7">
        <f>IF($E1555="","",Y1555*AB1555/100)</f>
        <v/>
      </c>
      <c r="AD1555" s="7">
        <f>IF($E1555="","",Y1555-AC1555)</f>
        <v/>
      </c>
      <c r="AE1555" s="7">
        <f>IF($E1555="","",AD1555-Q1555)</f>
        <v/>
      </c>
      <c r="AI1555" s="7" t="n"/>
      <c r="AL1555" s="11" t="n"/>
      <c r="AN1555">
        <f>IF($E1555="","",IF(COUNTIF($E$2:$E1555,$E1555)=1,1,0))</f>
        <v/>
      </c>
      <c r="AO1555">
        <f>IF($AN1555=1,SUMPRODUCT(--($AR$2:$AR$4001&lt;$AR1555))+1,"")</f>
        <v/>
      </c>
      <c r="AP1555">
        <f>IF($E1555="","",IF(OR($U1555=TRUE(),$U1555="TRUE"),1,0))</f>
        <v/>
      </c>
      <c r="AQ1555">
        <f>IF($E1555="","",IF($AA1555="Yes",1,0))</f>
        <v/>
      </c>
      <c r="AR1555">
        <f>IF($AN1555=1,IFERROR(VALUE(MID($E1555,2,20)),1000000000)+ROW()/100000,"")</f>
        <v/>
      </c>
    </row>
    <row r="1556">
      <c r="G1556" s="11" t="n"/>
      <c r="Q1556" s="7">
        <f>IF($E1556="","",P1556*Y1556/100)</f>
        <v/>
      </c>
      <c r="R1556" s="7" t="n"/>
      <c r="X1556" s="7" t="n"/>
      <c r="Y1556" s="7" t="n"/>
      <c r="AB1556">
        <f>IF($E1556="","",IF($AQ1556=1,0,IF($AP1556=1,Settings!$C$6,Settings!$C$7))*100)</f>
        <v/>
      </c>
      <c r="AC1556" s="7">
        <f>IF($E1556="","",Y1556*AB1556/100)</f>
        <v/>
      </c>
      <c r="AD1556" s="7">
        <f>IF($E1556="","",Y1556-AC1556)</f>
        <v/>
      </c>
      <c r="AE1556" s="7">
        <f>IF($E1556="","",AD1556-Q1556)</f>
        <v/>
      </c>
      <c r="AI1556" s="7" t="n"/>
      <c r="AL1556" s="11" t="n"/>
      <c r="AN1556">
        <f>IF($E1556="","",IF(COUNTIF($E$2:$E1556,$E1556)=1,1,0))</f>
        <v/>
      </c>
      <c r="AO1556">
        <f>IF($AN1556=1,SUMPRODUCT(--($AR$2:$AR$4001&lt;$AR1556))+1,"")</f>
        <v/>
      </c>
      <c r="AP1556">
        <f>IF($E1556="","",IF(OR($U1556=TRUE(),$U1556="TRUE"),1,0))</f>
        <v/>
      </c>
      <c r="AQ1556">
        <f>IF($E1556="","",IF($AA1556="Yes",1,0))</f>
        <v/>
      </c>
      <c r="AR1556">
        <f>IF($AN1556=1,IFERROR(VALUE(MID($E1556,2,20)),1000000000)+ROW()/100000,"")</f>
        <v/>
      </c>
    </row>
    <row r="1557">
      <c r="G1557" s="11" t="n"/>
      <c r="Q1557" s="7">
        <f>IF($E1557="","",P1557*Y1557/100)</f>
        <v/>
      </c>
      <c r="R1557" s="7" t="n"/>
      <c r="X1557" s="7" t="n"/>
      <c r="Y1557" s="7" t="n"/>
      <c r="AB1557">
        <f>IF($E1557="","",IF($AQ1557=1,0,IF($AP1557=1,Settings!$C$6,Settings!$C$7))*100)</f>
        <v/>
      </c>
      <c r="AC1557" s="7">
        <f>IF($E1557="","",Y1557*AB1557/100)</f>
        <v/>
      </c>
      <c r="AD1557" s="7">
        <f>IF($E1557="","",Y1557-AC1557)</f>
        <v/>
      </c>
      <c r="AE1557" s="7">
        <f>IF($E1557="","",AD1557-Q1557)</f>
        <v/>
      </c>
      <c r="AI1557" s="7" t="n"/>
      <c r="AL1557" s="11" t="n"/>
      <c r="AN1557">
        <f>IF($E1557="","",IF(COUNTIF($E$2:$E1557,$E1557)=1,1,0))</f>
        <v/>
      </c>
      <c r="AO1557">
        <f>IF($AN1557=1,SUMPRODUCT(--($AR$2:$AR$4001&lt;$AR1557))+1,"")</f>
        <v/>
      </c>
      <c r="AP1557">
        <f>IF($E1557="","",IF(OR($U1557=TRUE(),$U1557="TRUE"),1,0))</f>
        <v/>
      </c>
      <c r="AQ1557">
        <f>IF($E1557="","",IF($AA1557="Yes",1,0))</f>
        <v/>
      </c>
      <c r="AR1557">
        <f>IF($AN1557=1,IFERROR(VALUE(MID($E1557,2,20)),1000000000)+ROW()/100000,"")</f>
        <v/>
      </c>
    </row>
    <row r="1558">
      <c r="G1558" s="11" t="n"/>
      <c r="Q1558" s="7">
        <f>IF($E1558="","",P1558*Y1558/100)</f>
        <v/>
      </c>
      <c r="R1558" s="7" t="n"/>
      <c r="X1558" s="7" t="n"/>
      <c r="Y1558" s="7" t="n"/>
      <c r="AB1558">
        <f>IF($E1558="","",IF($AQ1558=1,0,IF($AP1558=1,Settings!$C$6,Settings!$C$7))*100)</f>
        <v/>
      </c>
      <c r="AC1558" s="7">
        <f>IF($E1558="","",Y1558*AB1558/100)</f>
        <v/>
      </c>
      <c r="AD1558" s="7">
        <f>IF($E1558="","",Y1558-AC1558)</f>
        <v/>
      </c>
      <c r="AE1558" s="7">
        <f>IF($E1558="","",AD1558-Q1558)</f>
        <v/>
      </c>
      <c r="AI1558" s="7" t="n"/>
      <c r="AL1558" s="11" t="n"/>
      <c r="AN1558">
        <f>IF($E1558="","",IF(COUNTIF($E$2:$E1558,$E1558)=1,1,0))</f>
        <v/>
      </c>
      <c r="AO1558">
        <f>IF($AN1558=1,SUMPRODUCT(--($AR$2:$AR$4001&lt;$AR1558))+1,"")</f>
        <v/>
      </c>
      <c r="AP1558">
        <f>IF($E1558="","",IF(OR($U1558=TRUE(),$U1558="TRUE"),1,0))</f>
        <v/>
      </c>
      <c r="AQ1558">
        <f>IF($E1558="","",IF($AA1558="Yes",1,0))</f>
        <v/>
      </c>
      <c r="AR1558">
        <f>IF($AN1558=1,IFERROR(VALUE(MID($E1558,2,20)),1000000000)+ROW()/100000,"")</f>
        <v/>
      </c>
    </row>
    <row r="1559">
      <c r="G1559" s="11" t="n"/>
      <c r="Q1559" s="7">
        <f>IF($E1559="","",P1559*Y1559/100)</f>
        <v/>
      </c>
      <c r="R1559" s="7" t="n"/>
      <c r="X1559" s="7" t="n"/>
      <c r="Y1559" s="7" t="n"/>
      <c r="AB1559">
        <f>IF($E1559="","",IF($AQ1559=1,0,IF($AP1559=1,Settings!$C$6,Settings!$C$7))*100)</f>
        <v/>
      </c>
      <c r="AC1559" s="7">
        <f>IF($E1559="","",Y1559*AB1559/100)</f>
        <v/>
      </c>
      <c r="AD1559" s="7">
        <f>IF($E1559="","",Y1559-AC1559)</f>
        <v/>
      </c>
      <c r="AE1559" s="7">
        <f>IF($E1559="","",AD1559-Q1559)</f>
        <v/>
      </c>
      <c r="AI1559" s="7" t="n"/>
      <c r="AL1559" s="11" t="n"/>
      <c r="AN1559">
        <f>IF($E1559="","",IF(COUNTIF($E$2:$E1559,$E1559)=1,1,0))</f>
        <v/>
      </c>
      <c r="AO1559">
        <f>IF($AN1559=1,SUMPRODUCT(--($AR$2:$AR$4001&lt;$AR1559))+1,"")</f>
        <v/>
      </c>
      <c r="AP1559">
        <f>IF($E1559="","",IF(OR($U1559=TRUE(),$U1559="TRUE"),1,0))</f>
        <v/>
      </c>
      <c r="AQ1559">
        <f>IF($E1559="","",IF($AA1559="Yes",1,0))</f>
        <v/>
      </c>
      <c r="AR1559">
        <f>IF($AN1559=1,IFERROR(VALUE(MID($E1559,2,20)),1000000000)+ROW()/100000,"")</f>
        <v/>
      </c>
    </row>
    <row r="1560">
      <c r="G1560" s="11" t="n"/>
      <c r="Q1560" s="7">
        <f>IF($E1560="","",P1560*Y1560/100)</f>
        <v/>
      </c>
      <c r="R1560" s="7" t="n"/>
      <c r="X1560" s="7" t="n"/>
      <c r="Y1560" s="7" t="n"/>
      <c r="AB1560">
        <f>IF($E1560="","",IF($AQ1560=1,0,IF($AP1560=1,Settings!$C$6,Settings!$C$7))*100)</f>
        <v/>
      </c>
      <c r="AC1560" s="7">
        <f>IF($E1560="","",Y1560*AB1560/100)</f>
        <v/>
      </c>
      <c r="AD1560" s="7">
        <f>IF($E1560="","",Y1560-AC1560)</f>
        <v/>
      </c>
      <c r="AE1560" s="7">
        <f>IF($E1560="","",AD1560-Q1560)</f>
        <v/>
      </c>
      <c r="AI1560" s="7" t="n"/>
      <c r="AL1560" s="11" t="n"/>
      <c r="AN1560">
        <f>IF($E1560="","",IF(COUNTIF($E$2:$E1560,$E1560)=1,1,0))</f>
        <v/>
      </c>
      <c r="AO1560">
        <f>IF($AN1560=1,SUMPRODUCT(--($AR$2:$AR$4001&lt;$AR1560))+1,"")</f>
        <v/>
      </c>
      <c r="AP1560">
        <f>IF($E1560="","",IF(OR($U1560=TRUE(),$U1560="TRUE"),1,0))</f>
        <v/>
      </c>
      <c r="AQ1560">
        <f>IF($E1560="","",IF($AA1560="Yes",1,0))</f>
        <v/>
      </c>
      <c r="AR1560">
        <f>IF($AN1560=1,IFERROR(VALUE(MID($E1560,2,20)),1000000000)+ROW()/100000,"")</f>
        <v/>
      </c>
    </row>
    <row r="1561">
      <c r="G1561" s="11" t="n"/>
      <c r="Q1561" s="7">
        <f>IF($E1561="","",P1561*Y1561/100)</f>
        <v/>
      </c>
      <c r="R1561" s="7" t="n"/>
      <c r="X1561" s="7" t="n"/>
      <c r="Y1561" s="7" t="n"/>
      <c r="AB1561">
        <f>IF($E1561="","",IF($AQ1561=1,0,IF($AP1561=1,Settings!$C$6,Settings!$C$7))*100)</f>
        <v/>
      </c>
      <c r="AC1561" s="7">
        <f>IF($E1561="","",Y1561*AB1561/100)</f>
        <v/>
      </c>
      <c r="AD1561" s="7">
        <f>IF($E1561="","",Y1561-AC1561)</f>
        <v/>
      </c>
      <c r="AE1561" s="7">
        <f>IF($E1561="","",AD1561-Q1561)</f>
        <v/>
      </c>
      <c r="AI1561" s="7" t="n"/>
      <c r="AL1561" s="11" t="n"/>
      <c r="AN1561">
        <f>IF($E1561="","",IF(COUNTIF($E$2:$E1561,$E1561)=1,1,0))</f>
        <v/>
      </c>
      <c r="AO1561">
        <f>IF($AN1561=1,SUMPRODUCT(--($AR$2:$AR$4001&lt;$AR1561))+1,"")</f>
        <v/>
      </c>
      <c r="AP1561">
        <f>IF($E1561="","",IF(OR($U1561=TRUE(),$U1561="TRUE"),1,0))</f>
        <v/>
      </c>
      <c r="AQ1561">
        <f>IF($E1561="","",IF($AA1561="Yes",1,0))</f>
        <v/>
      </c>
      <c r="AR1561">
        <f>IF($AN1561=1,IFERROR(VALUE(MID($E1561,2,20)),1000000000)+ROW()/100000,"")</f>
        <v/>
      </c>
    </row>
    <row r="1562">
      <c r="G1562" s="11" t="n"/>
      <c r="Q1562" s="7">
        <f>IF($E1562="","",P1562*Y1562/100)</f>
        <v/>
      </c>
      <c r="R1562" s="7" t="n"/>
      <c r="X1562" s="7" t="n"/>
      <c r="Y1562" s="7" t="n"/>
      <c r="AB1562">
        <f>IF($E1562="","",IF($AQ1562=1,0,IF($AP1562=1,Settings!$C$6,Settings!$C$7))*100)</f>
        <v/>
      </c>
      <c r="AC1562" s="7">
        <f>IF($E1562="","",Y1562*AB1562/100)</f>
        <v/>
      </c>
      <c r="AD1562" s="7">
        <f>IF($E1562="","",Y1562-AC1562)</f>
        <v/>
      </c>
      <c r="AE1562" s="7">
        <f>IF($E1562="","",AD1562-Q1562)</f>
        <v/>
      </c>
      <c r="AI1562" s="7" t="n"/>
      <c r="AL1562" s="11" t="n"/>
      <c r="AN1562">
        <f>IF($E1562="","",IF(COUNTIF($E$2:$E1562,$E1562)=1,1,0))</f>
        <v/>
      </c>
      <c r="AO1562">
        <f>IF($AN1562=1,SUMPRODUCT(--($AR$2:$AR$4001&lt;$AR1562))+1,"")</f>
        <v/>
      </c>
      <c r="AP1562">
        <f>IF($E1562="","",IF(OR($U1562=TRUE(),$U1562="TRUE"),1,0))</f>
        <v/>
      </c>
      <c r="AQ1562">
        <f>IF($E1562="","",IF($AA1562="Yes",1,0))</f>
        <v/>
      </c>
      <c r="AR1562">
        <f>IF($AN1562=1,IFERROR(VALUE(MID($E1562,2,20)),1000000000)+ROW()/100000,"")</f>
        <v/>
      </c>
    </row>
    <row r="1563">
      <c r="G1563" s="11" t="n"/>
      <c r="Q1563" s="7">
        <f>IF($E1563="","",P1563*Y1563/100)</f>
        <v/>
      </c>
      <c r="R1563" s="7" t="n"/>
      <c r="X1563" s="7" t="n"/>
      <c r="Y1563" s="7" t="n"/>
      <c r="AB1563">
        <f>IF($E1563="","",IF($AQ1563=1,0,IF($AP1563=1,Settings!$C$6,Settings!$C$7))*100)</f>
        <v/>
      </c>
      <c r="AC1563" s="7">
        <f>IF($E1563="","",Y1563*AB1563/100)</f>
        <v/>
      </c>
      <c r="AD1563" s="7">
        <f>IF($E1563="","",Y1563-AC1563)</f>
        <v/>
      </c>
      <c r="AE1563" s="7">
        <f>IF($E1563="","",AD1563-Q1563)</f>
        <v/>
      </c>
      <c r="AI1563" s="7" t="n"/>
      <c r="AL1563" s="11" t="n"/>
      <c r="AN1563">
        <f>IF($E1563="","",IF(COUNTIF($E$2:$E1563,$E1563)=1,1,0))</f>
        <v/>
      </c>
      <c r="AO1563">
        <f>IF($AN1563=1,SUMPRODUCT(--($AR$2:$AR$4001&lt;$AR1563))+1,"")</f>
        <v/>
      </c>
      <c r="AP1563">
        <f>IF($E1563="","",IF(OR($U1563=TRUE(),$U1563="TRUE"),1,0))</f>
        <v/>
      </c>
      <c r="AQ1563">
        <f>IF($E1563="","",IF($AA1563="Yes",1,0))</f>
        <v/>
      </c>
      <c r="AR1563">
        <f>IF($AN1563=1,IFERROR(VALUE(MID($E1563,2,20)),1000000000)+ROW()/100000,"")</f>
        <v/>
      </c>
    </row>
    <row r="1564">
      <c r="G1564" s="11" t="n"/>
      <c r="Q1564" s="7">
        <f>IF($E1564="","",P1564*Y1564/100)</f>
        <v/>
      </c>
      <c r="R1564" s="7" t="n"/>
      <c r="X1564" s="7" t="n"/>
      <c r="Y1564" s="7" t="n"/>
      <c r="AB1564">
        <f>IF($E1564="","",IF($AQ1564=1,0,IF($AP1564=1,Settings!$C$6,Settings!$C$7))*100)</f>
        <v/>
      </c>
      <c r="AC1564" s="7">
        <f>IF($E1564="","",Y1564*AB1564/100)</f>
        <v/>
      </c>
      <c r="AD1564" s="7">
        <f>IF($E1564="","",Y1564-AC1564)</f>
        <v/>
      </c>
      <c r="AE1564" s="7">
        <f>IF($E1564="","",AD1564-Q1564)</f>
        <v/>
      </c>
      <c r="AI1564" s="7" t="n"/>
      <c r="AL1564" s="11" t="n"/>
      <c r="AN1564">
        <f>IF($E1564="","",IF(COUNTIF($E$2:$E1564,$E1564)=1,1,0))</f>
        <v/>
      </c>
      <c r="AO1564">
        <f>IF($AN1564=1,SUMPRODUCT(--($AR$2:$AR$4001&lt;$AR1564))+1,"")</f>
        <v/>
      </c>
      <c r="AP1564">
        <f>IF($E1564="","",IF(OR($U1564=TRUE(),$U1564="TRUE"),1,0))</f>
        <v/>
      </c>
      <c r="AQ1564">
        <f>IF($E1564="","",IF($AA1564="Yes",1,0))</f>
        <v/>
      </c>
      <c r="AR1564">
        <f>IF($AN1564=1,IFERROR(VALUE(MID($E1564,2,20)),1000000000)+ROW()/100000,"")</f>
        <v/>
      </c>
    </row>
    <row r="1565">
      <c r="G1565" s="11" t="n"/>
      <c r="Q1565" s="7">
        <f>IF($E1565="","",P1565*Y1565/100)</f>
        <v/>
      </c>
      <c r="R1565" s="7" t="n"/>
      <c r="X1565" s="7" t="n"/>
      <c r="Y1565" s="7" t="n"/>
      <c r="AB1565">
        <f>IF($E1565="","",IF($AQ1565=1,0,IF($AP1565=1,Settings!$C$6,Settings!$C$7))*100)</f>
        <v/>
      </c>
      <c r="AC1565" s="7">
        <f>IF($E1565="","",Y1565*AB1565/100)</f>
        <v/>
      </c>
      <c r="AD1565" s="7">
        <f>IF($E1565="","",Y1565-AC1565)</f>
        <v/>
      </c>
      <c r="AE1565" s="7">
        <f>IF($E1565="","",AD1565-Q1565)</f>
        <v/>
      </c>
      <c r="AI1565" s="7" t="n"/>
      <c r="AL1565" s="11" t="n"/>
      <c r="AN1565">
        <f>IF($E1565="","",IF(COUNTIF($E$2:$E1565,$E1565)=1,1,0))</f>
        <v/>
      </c>
      <c r="AO1565">
        <f>IF($AN1565=1,SUMPRODUCT(--($AR$2:$AR$4001&lt;$AR1565))+1,"")</f>
        <v/>
      </c>
      <c r="AP1565">
        <f>IF($E1565="","",IF(OR($U1565=TRUE(),$U1565="TRUE"),1,0))</f>
        <v/>
      </c>
      <c r="AQ1565">
        <f>IF($E1565="","",IF($AA1565="Yes",1,0))</f>
        <v/>
      </c>
      <c r="AR1565">
        <f>IF($AN1565=1,IFERROR(VALUE(MID($E1565,2,20)),1000000000)+ROW()/100000,"")</f>
        <v/>
      </c>
    </row>
    <row r="1566">
      <c r="G1566" s="11" t="n"/>
      <c r="Q1566" s="7">
        <f>IF($E1566="","",P1566*Y1566/100)</f>
        <v/>
      </c>
      <c r="R1566" s="7" t="n"/>
      <c r="X1566" s="7" t="n"/>
      <c r="Y1566" s="7" t="n"/>
      <c r="AB1566">
        <f>IF($E1566="","",IF($AQ1566=1,0,IF($AP1566=1,Settings!$C$6,Settings!$C$7))*100)</f>
        <v/>
      </c>
      <c r="AC1566" s="7">
        <f>IF($E1566="","",Y1566*AB1566/100)</f>
        <v/>
      </c>
      <c r="AD1566" s="7">
        <f>IF($E1566="","",Y1566-AC1566)</f>
        <v/>
      </c>
      <c r="AE1566" s="7">
        <f>IF($E1566="","",AD1566-Q1566)</f>
        <v/>
      </c>
      <c r="AI1566" s="7" t="n"/>
      <c r="AL1566" s="11" t="n"/>
      <c r="AN1566">
        <f>IF($E1566="","",IF(COUNTIF($E$2:$E1566,$E1566)=1,1,0))</f>
        <v/>
      </c>
      <c r="AO1566">
        <f>IF($AN1566=1,SUMPRODUCT(--($AR$2:$AR$4001&lt;$AR1566))+1,"")</f>
        <v/>
      </c>
      <c r="AP1566">
        <f>IF($E1566="","",IF(OR($U1566=TRUE(),$U1566="TRUE"),1,0))</f>
        <v/>
      </c>
      <c r="AQ1566">
        <f>IF($E1566="","",IF($AA1566="Yes",1,0))</f>
        <v/>
      </c>
      <c r="AR1566">
        <f>IF($AN1566=1,IFERROR(VALUE(MID($E1566,2,20)),1000000000)+ROW()/100000,"")</f>
        <v/>
      </c>
    </row>
    <row r="1567">
      <c r="G1567" s="11" t="n"/>
      <c r="Q1567" s="7">
        <f>IF($E1567="","",P1567*Y1567/100)</f>
        <v/>
      </c>
      <c r="R1567" s="7" t="n"/>
      <c r="X1567" s="7" t="n"/>
      <c r="Y1567" s="7" t="n"/>
      <c r="AB1567">
        <f>IF($E1567="","",IF($AQ1567=1,0,IF($AP1567=1,Settings!$C$6,Settings!$C$7))*100)</f>
        <v/>
      </c>
      <c r="AC1567" s="7">
        <f>IF($E1567="","",Y1567*AB1567/100)</f>
        <v/>
      </c>
      <c r="AD1567" s="7">
        <f>IF($E1567="","",Y1567-AC1567)</f>
        <v/>
      </c>
      <c r="AE1567" s="7">
        <f>IF($E1567="","",AD1567-Q1567)</f>
        <v/>
      </c>
      <c r="AI1567" s="7" t="n"/>
      <c r="AL1567" s="11" t="n"/>
      <c r="AN1567">
        <f>IF($E1567="","",IF(COUNTIF($E$2:$E1567,$E1567)=1,1,0))</f>
        <v/>
      </c>
      <c r="AO1567">
        <f>IF($AN1567=1,SUMPRODUCT(--($AR$2:$AR$4001&lt;$AR1567))+1,"")</f>
        <v/>
      </c>
      <c r="AP1567">
        <f>IF($E1567="","",IF(OR($U1567=TRUE(),$U1567="TRUE"),1,0))</f>
        <v/>
      </c>
      <c r="AQ1567">
        <f>IF($E1567="","",IF($AA1567="Yes",1,0))</f>
        <v/>
      </c>
      <c r="AR1567">
        <f>IF($AN1567=1,IFERROR(VALUE(MID($E1567,2,20)),1000000000)+ROW()/100000,"")</f>
        <v/>
      </c>
    </row>
    <row r="1568">
      <c r="G1568" s="11" t="n"/>
      <c r="Q1568" s="7">
        <f>IF($E1568="","",P1568*Y1568/100)</f>
        <v/>
      </c>
      <c r="R1568" s="7" t="n"/>
      <c r="X1568" s="7" t="n"/>
      <c r="Y1568" s="7" t="n"/>
      <c r="AB1568">
        <f>IF($E1568="","",IF($AQ1568=1,0,IF($AP1568=1,Settings!$C$6,Settings!$C$7))*100)</f>
        <v/>
      </c>
      <c r="AC1568" s="7">
        <f>IF($E1568="","",Y1568*AB1568/100)</f>
        <v/>
      </c>
      <c r="AD1568" s="7">
        <f>IF($E1568="","",Y1568-AC1568)</f>
        <v/>
      </c>
      <c r="AE1568" s="7">
        <f>IF($E1568="","",AD1568-Q1568)</f>
        <v/>
      </c>
      <c r="AI1568" s="7" t="n"/>
      <c r="AL1568" s="11" t="n"/>
      <c r="AN1568">
        <f>IF($E1568="","",IF(COUNTIF($E$2:$E1568,$E1568)=1,1,0))</f>
        <v/>
      </c>
      <c r="AO1568">
        <f>IF($AN1568=1,SUMPRODUCT(--($AR$2:$AR$4001&lt;$AR1568))+1,"")</f>
        <v/>
      </c>
      <c r="AP1568">
        <f>IF($E1568="","",IF(OR($U1568=TRUE(),$U1568="TRUE"),1,0))</f>
        <v/>
      </c>
      <c r="AQ1568">
        <f>IF($E1568="","",IF($AA1568="Yes",1,0))</f>
        <v/>
      </c>
      <c r="AR1568">
        <f>IF($AN1568=1,IFERROR(VALUE(MID($E1568,2,20)),1000000000)+ROW()/100000,"")</f>
        <v/>
      </c>
    </row>
    <row r="1569">
      <c r="G1569" s="11" t="n"/>
      <c r="Q1569" s="7">
        <f>IF($E1569="","",P1569*Y1569/100)</f>
        <v/>
      </c>
      <c r="R1569" s="7" t="n"/>
      <c r="X1569" s="7" t="n"/>
      <c r="Y1569" s="7" t="n"/>
      <c r="AB1569">
        <f>IF($E1569="","",IF($AQ1569=1,0,IF($AP1569=1,Settings!$C$6,Settings!$C$7))*100)</f>
        <v/>
      </c>
      <c r="AC1569" s="7">
        <f>IF($E1569="","",Y1569*AB1569/100)</f>
        <v/>
      </c>
      <c r="AD1569" s="7">
        <f>IF($E1569="","",Y1569-AC1569)</f>
        <v/>
      </c>
      <c r="AE1569" s="7">
        <f>IF($E1569="","",AD1569-Q1569)</f>
        <v/>
      </c>
      <c r="AI1569" s="7" t="n"/>
      <c r="AL1569" s="11" t="n"/>
      <c r="AN1569">
        <f>IF($E1569="","",IF(COUNTIF($E$2:$E1569,$E1569)=1,1,0))</f>
        <v/>
      </c>
      <c r="AO1569">
        <f>IF($AN1569=1,SUMPRODUCT(--($AR$2:$AR$4001&lt;$AR1569))+1,"")</f>
        <v/>
      </c>
      <c r="AP1569">
        <f>IF($E1569="","",IF(OR($U1569=TRUE(),$U1569="TRUE"),1,0))</f>
        <v/>
      </c>
      <c r="AQ1569">
        <f>IF($E1569="","",IF($AA1569="Yes",1,0))</f>
        <v/>
      </c>
      <c r="AR1569">
        <f>IF($AN1569=1,IFERROR(VALUE(MID($E1569,2,20)),1000000000)+ROW()/100000,"")</f>
        <v/>
      </c>
    </row>
    <row r="1570">
      <c r="G1570" s="11" t="n"/>
      <c r="Q1570" s="7">
        <f>IF($E1570="","",P1570*Y1570/100)</f>
        <v/>
      </c>
      <c r="R1570" s="7" t="n"/>
      <c r="X1570" s="7" t="n"/>
      <c r="Y1570" s="7" t="n"/>
      <c r="AB1570">
        <f>IF($E1570="","",IF($AQ1570=1,0,IF($AP1570=1,Settings!$C$6,Settings!$C$7))*100)</f>
        <v/>
      </c>
      <c r="AC1570" s="7">
        <f>IF($E1570="","",Y1570*AB1570/100)</f>
        <v/>
      </c>
      <c r="AD1570" s="7">
        <f>IF($E1570="","",Y1570-AC1570)</f>
        <v/>
      </c>
      <c r="AE1570" s="7">
        <f>IF($E1570="","",AD1570-Q1570)</f>
        <v/>
      </c>
      <c r="AI1570" s="7" t="n"/>
      <c r="AL1570" s="11" t="n"/>
      <c r="AN1570">
        <f>IF($E1570="","",IF(COUNTIF($E$2:$E1570,$E1570)=1,1,0))</f>
        <v/>
      </c>
      <c r="AO1570">
        <f>IF($AN1570=1,SUMPRODUCT(--($AR$2:$AR$4001&lt;$AR1570))+1,"")</f>
        <v/>
      </c>
      <c r="AP1570">
        <f>IF($E1570="","",IF(OR($U1570=TRUE(),$U1570="TRUE"),1,0))</f>
        <v/>
      </c>
      <c r="AQ1570">
        <f>IF($E1570="","",IF($AA1570="Yes",1,0))</f>
        <v/>
      </c>
      <c r="AR1570">
        <f>IF($AN1570=1,IFERROR(VALUE(MID($E1570,2,20)),1000000000)+ROW()/100000,"")</f>
        <v/>
      </c>
    </row>
    <row r="1571">
      <c r="G1571" s="11" t="n"/>
      <c r="Q1571" s="7">
        <f>IF($E1571="","",P1571*Y1571/100)</f>
        <v/>
      </c>
      <c r="R1571" s="7" t="n"/>
      <c r="X1571" s="7" t="n"/>
      <c r="Y1571" s="7" t="n"/>
      <c r="AB1571">
        <f>IF($E1571="","",IF($AQ1571=1,0,IF($AP1571=1,Settings!$C$6,Settings!$C$7))*100)</f>
        <v/>
      </c>
      <c r="AC1571" s="7">
        <f>IF($E1571="","",Y1571*AB1571/100)</f>
        <v/>
      </c>
      <c r="AD1571" s="7">
        <f>IF($E1571="","",Y1571-AC1571)</f>
        <v/>
      </c>
      <c r="AE1571" s="7">
        <f>IF($E1571="","",AD1571-Q1571)</f>
        <v/>
      </c>
      <c r="AI1571" s="7" t="n"/>
      <c r="AL1571" s="11" t="n"/>
      <c r="AN1571">
        <f>IF($E1571="","",IF(COUNTIF($E$2:$E1571,$E1571)=1,1,0))</f>
        <v/>
      </c>
      <c r="AO1571">
        <f>IF($AN1571=1,SUMPRODUCT(--($AR$2:$AR$4001&lt;$AR1571))+1,"")</f>
        <v/>
      </c>
      <c r="AP1571">
        <f>IF($E1571="","",IF(OR($U1571=TRUE(),$U1571="TRUE"),1,0))</f>
        <v/>
      </c>
      <c r="AQ1571">
        <f>IF($E1571="","",IF($AA1571="Yes",1,0))</f>
        <v/>
      </c>
      <c r="AR1571">
        <f>IF($AN1571=1,IFERROR(VALUE(MID($E1571,2,20)),1000000000)+ROW()/100000,"")</f>
        <v/>
      </c>
    </row>
    <row r="1572">
      <c r="G1572" s="11" t="n"/>
      <c r="Q1572" s="7">
        <f>IF($E1572="","",P1572*Y1572/100)</f>
        <v/>
      </c>
      <c r="R1572" s="7" t="n"/>
      <c r="X1572" s="7" t="n"/>
      <c r="Y1572" s="7" t="n"/>
      <c r="AB1572">
        <f>IF($E1572="","",IF($AQ1572=1,0,IF($AP1572=1,Settings!$C$6,Settings!$C$7))*100)</f>
        <v/>
      </c>
      <c r="AC1572" s="7">
        <f>IF($E1572="","",Y1572*AB1572/100)</f>
        <v/>
      </c>
      <c r="AD1572" s="7">
        <f>IF($E1572="","",Y1572-AC1572)</f>
        <v/>
      </c>
      <c r="AE1572" s="7">
        <f>IF($E1572="","",AD1572-Q1572)</f>
        <v/>
      </c>
      <c r="AI1572" s="7" t="n"/>
      <c r="AL1572" s="11" t="n"/>
      <c r="AN1572">
        <f>IF($E1572="","",IF(COUNTIF($E$2:$E1572,$E1572)=1,1,0))</f>
        <v/>
      </c>
      <c r="AO1572">
        <f>IF($AN1572=1,SUMPRODUCT(--($AR$2:$AR$4001&lt;$AR1572))+1,"")</f>
        <v/>
      </c>
      <c r="AP1572">
        <f>IF($E1572="","",IF(OR($U1572=TRUE(),$U1572="TRUE"),1,0))</f>
        <v/>
      </c>
      <c r="AQ1572">
        <f>IF($E1572="","",IF($AA1572="Yes",1,0))</f>
        <v/>
      </c>
      <c r="AR1572">
        <f>IF($AN1572=1,IFERROR(VALUE(MID($E1572,2,20)),1000000000)+ROW()/100000,"")</f>
        <v/>
      </c>
    </row>
    <row r="1573">
      <c r="G1573" s="11" t="n"/>
      <c r="Q1573" s="7">
        <f>IF($E1573="","",P1573*Y1573/100)</f>
        <v/>
      </c>
      <c r="R1573" s="7" t="n"/>
      <c r="X1573" s="7" t="n"/>
      <c r="Y1573" s="7" t="n"/>
      <c r="AB1573">
        <f>IF($E1573="","",IF($AQ1573=1,0,IF($AP1573=1,Settings!$C$6,Settings!$C$7))*100)</f>
        <v/>
      </c>
      <c r="AC1573" s="7">
        <f>IF($E1573="","",Y1573*AB1573/100)</f>
        <v/>
      </c>
      <c r="AD1573" s="7">
        <f>IF($E1573="","",Y1573-AC1573)</f>
        <v/>
      </c>
      <c r="AE1573" s="7">
        <f>IF($E1573="","",AD1573-Q1573)</f>
        <v/>
      </c>
      <c r="AI1573" s="7" t="n"/>
      <c r="AL1573" s="11" t="n"/>
      <c r="AN1573">
        <f>IF($E1573="","",IF(COUNTIF($E$2:$E1573,$E1573)=1,1,0))</f>
        <v/>
      </c>
      <c r="AO1573">
        <f>IF($AN1573=1,SUMPRODUCT(--($AR$2:$AR$4001&lt;$AR1573))+1,"")</f>
        <v/>
      </c>
      <c r="AP1573">
        <f>IF($E1573="","",IF(OR($U1573=TRUE(),$U1573="TRUE"),1,0))</f>
        <v/>
      </c>
      <c r="AQ1573">
        <f>IF($E1573="","",IF($AA1573="Yes",1,0))</f>
        <v/>
      </c>
      <c r="AR1573">
        <f>IF($AN1573=1,IFERROR(VALUE(MID($E1573,2,20)),1000000000)+ROW()/100000,"")</f>
        <v/>
      </c>
    </row>
    <row r="1574">
      <c r="G1574" s="11" t="n"/>
      <c r="Q1574" s="7">
        <f>IF($E1574="","",P1574*Y1574/100)</f>
        <v/>
      </c>
      <c r="R1574" s="7" t="n"/>
      <c r="X1574" s="7" t="n"/>
      <c r="Y1574" s="7" t="n"/>
      <c r="AB1574">
        <f>IF($E1574="","",IF($AQ1574=1,0,IF($AP1574=1,Settings!$C$6,Settings!$C$7))*100)</f>
        <v/>
      </c>
      <c r="AC1574" s="7">
        <f>IF($E1574="","",Y1574*AB1574/100)</f>
        <v/>
      </c>
      <c r="AD1574" s="7">
        <f>IF($E1574="","",Y1574-AC1574)</f>
        <v/>
      </c>
      <c r="AE1574" s="7">
        <f>IF($E1574="","",AD1574-Q1574)</f>
        <v/>
      </c>
      <c r="AI1574" s="7" t="n"/>
      <c r="AL1574" s="11" t="n"/>
      <c r="AN1574">
        <f>IF($E1574="","",IF(COUNTIF($E$2:$E1574,$E1574)=1,1,0))</f>
        <v/>
      </c>
      <c r="AO1574">
        <f>IF($AN1574=1,SUMPRODUCT(--($AR$2:$AR$4001&lt;$AR1574))+1,"")</f>
        <v/>
      </c>
      <c r="AP1574">
        <f>IF($E1574="","",IF(OR($U1574=TRUE(),$U1574="TRUE"),1,0))</f>
        <v/>
      </c>
      <c r="AQ1574">
        <f>IF($E1574="","",IF($AA1574="Yes",1,0))</f>
        <v/>
      </c>
      <c r="AR1574">
        <f>IF($AN1574=1,IFERROR(VALUE(MID($E1574,2,20)),1000000000)+ROW()/100000,"")</f>
        <v/>
      </c>
    </row>
    <row r="1575">
      <c r="G1575" s="11" t="n"/>
      <c r="Q1575" s="7">
        <f>IF($E1575="","",P1575*Y1575/100)</f>
        <v/>
      </c>
      <c r="R1575" s="7" t="n"/>
      <c r="X1575" s="7" t="n"/>
      <c r="Y1575" s="7" t="n"/>
      <c r="AB1575">
        <f>IF($E1575="","",IF($AQ1575=1,0,IF($AP1575=1,Settings!$C$6,Settings!$C$7))*100)</f>
        <v/>
      </c>
      <c r="AC1575" s="7">
        <f>IF($E1575="","",Y1575*AB1575/100)</f>
        <v/>
      </c>
      <c r="AD1575" s="7">
        <f>IF($E1575="","",Y1575-AC1575)</f>
        <v/>
      </c>
      <c r="AE1575" s="7">
        <f>IF($E1575="","",AD1575-Q1575)</f>
        <v/>
      </c>
      <c r="AI1575" s="7" t="n"/>
      <c r="AL1575" s="11" t="n"/>
      <c r="AN1575">
        <f>IF($E1575="","",IF(COUNTIF($E$2:$E1575,$E1575)=1,1,0))</f>
        <v/>
      </c>
      <c r="AO1575">
        <f>IF($AN1575=1,SUMPRODUCT(--($AR$2:$AR$4001&lt;$AR1575))+1,"")</f>
        <v/>
      </c>
      <c r="AP1575">
        <f>IF($E1575="","",IF(OR($U1575=TRUE(),$U1575="TRUE"),1,0))</f>
        <v/>
      </c>
      <c r="AQ1575">
        <f>IF($E1575="","",IF($AA1575="Yes",1,0))</f>
        <v/>
      </c>
      <c r="AR1575">
        <f>IF($AN1575=1,IFERROR(VALUE(MID($E1575,2,20)),1000000000)+ROW()/100000,"")</f>
        <v/>
      </c>
    </row>
    <row r="1576">
      <c r="G1576" s="11" t="n"/>
      <c r="Q1576" s="7">
        <f>IF($E1576="","",P1576*Y1576/100)</f>
        <v/>
      </c>
      <c r="R1576" s="7" t="n"/>
      <c r="X1576" s="7" t="n"/>
      <c r="Y1576" s="7" t="n"/>
      <c r="AB1576">
        <f>IF($E1576="","",IF($AQ1576=1,0,IF($AP1576=1,Settings!$C$6,Settings!$C$7))*100)</f>
        <v/>
      </c>
      <c r="AC1576" s="7">
        <f>IF($E1576="","",Y1576*AB1576/100)</f>
        <v/>
      </c>
      <c r="AD1576" s="7">
        <f>IF($E1576="","",Y1576-AC1576)</f>
        <v/>
      </c>
      <c r="AE1576" s="7">
        <f>IF($E1576="","",AD1576-Q1576)</f>
        <v/>
      </c>
      <c r="AI1576" s="7" t="n"/>
      <c r="AL1576" s="11" t="n"/>
      <c r="AN1576">
        <f>IF($E1576="","",IF(COUNTIF($E$2:$E1576,$E1576)=1,1,0))</f>
        <v/>
      </c>
      <c r="AO1576">
        <f>IF($AN1576=1,SUMPRODUCT(--($AR$2:$AR$4001&lt;$AR1576))+1,"")</f>
        <v/>
      </c>
      <c r="AP1576">
        <f>IF($E1576="","",IF(OR($U1576=TRUE(),$U1576="TRUE"),1,0))</f>
        <v/>
      </c>
      <c r="AQ1576">
        <f>IF($E1576="","",IF($AA1576="Yes",1,0))</f>
        <v/>
      </c>
      <c r="AR1576">
        <f>IF($AN1576=1,IFERROR(VALUE(MID($E1576,2,20)),1000000000)+ROW()/100000,"")</f>
        <v/>
      </c>
    </row>
    <row r="1577">
      <c r="G1577" s="11" t="n"/>
      <c r="Q1577" s="7">
        <f>IF($E1577="","",P1577*Y1577/100)</f>
        <v/>
      </c>
      <c r="R1577" s="7" t="n"/>
      <c r="X1577" s="7" t="n"/>
      <c r="Y1577" s="7" t="n"/>
      <c r="AB1577">
        <f>IF($E1577="","",IF($AQ1577=1,0,IF($AP1577=1,Settings!$C$6,Settings!$C$7))*100)</f>
        <v/>
      </c>
      <c r="AC1577" s="7">
        <f>IF($E1577="","",Y1577*AB1577/100)</f>
        <v/>
      </c>
      <c r="AD1577" s="7">
        <f>IF($E1577="","",Y1577-AC1577)</f>
        <v/>
      </c>
      <c r="AE1577" s="7">
        <f>IF($E1577="","",AD1577-Q1577)</f>
        <v/>
      </c>
      <c r="AI1577" s="7" t="n"/>
      <c r="AL1577" s="11" t="n"/>
      <c r="AN1577">
        <f>IF($E1577="","",IF(COUNTIF($E$2:$E1577,$E1577)=1,1,0))</f>
        <v/>
      </c>
      <c r="AO1577">
        <f>IF($AN1577=1,SUMPRODUCT(--($AR$2:$AR$4001&lt;$AR1577))+1,"")</f>
        <v/>
      </c>
      <c r="AP1577">
        <f>IF($E1577="","",IF(OR($U1577=TRUE(),$U1577="TRUE"),1,0))</f>
        <v/>
      </c>
      <c r="AQ1577">
        <f>IF($E1577="","",IF($AA1577="Yes",1,0))</f>
        <v/>
      </c>
      <c r="AR1577">
        <f>IF($AN1577=1,IFERROR(VALUE(MID($E1577,2,20)),1000000000)+ROW()/100000,"")</f>
        <v/>
      </c>
    </row>
    <row r="1578">
      <c r="G1578" s="11" t="n"/>
      <c r="Q1578" s="7">
        <f>IF($E1578="","",P1578*Y1578/100)</f>
        <v/>
      </c>
      <c r="R1578" s="7" t="n"/>
      <c r="X1578" s="7" t="n"/>
      <c r="Y1578" s="7" t="n"/>
      <c r="AB1578">
        <f>IF($E1578="","",IF($AQ1578=1,0,IF($AP1578=1,Settings!$C$6,Settings!$C$7))*100)</f>
        <v/>
      </c>
      <c r="AC1578" s="7">
        <f>IF($E1578="","",Y1578*AB1578/100)</f>
        <v/>
      </c>
      <c r="AD1578" s="7">
        <f>IF($E1578="","",Y1578-AC1578)</f>
        <v/>
      </c>
      <c r="AE1578" s="7">
        <f>IF($E1578="","",AD1578-Q1578)</f>
        <v/>
      </c>
      <c r="AI1578" s="7" t="n"/>
      <c r="AL1578" s="11" t="n"/>
      <c r="AN1578">
        <f>IF($E1578="","",IF(COUNTIF($E$2:$E1578,$E1578)=1,1,0))</f>
        <v/>
      </c>
      <c r="AO1578">
        <f>IF($AN1578=1,SUMPRODUCT(--($AR$2:$AR$4001&lt;$AR1578))+1,"")</f>
        <v/>
      </c>
      <c r="AP1578">
        <f>IF($E1578="","",IF(OR($U1578=TRUE(),$U1578="TRUE"),1,0))</f>
        <v/>
      </c>
      <c r="AQ1578">
        <f>IF($E1578="","",IF($AA1578="Yes",1,0))</f>
        <v/>
      </c>
      <c r="AR1578">
        <f>IF($AN1578=1,IFERROR(VALUE(MID($E1578,2,20)),1000000000)+ROW()/100000,"")</f>
        <v/>
      </c>
    </row>
    <row r="1579">
      <c r="G1579" s="11" t="n"/>
      <c r="Q1579" s="7">
        <f>IF($E1579="","",P1579*Y1579/100)</f>
        <v/>
      </c>
      <c r="R1579" s="7" t="n"/>
      <c r="X1579" s="7" t="n"/>
      <c r="Y1579" s="7" t="n"/>
      <c r="AB1579">
        <f>IF($E1579="","",IF($AQ1579=1,0,IF($AP1579=1,Settings!$C$6,Settings!$C$7))*100)</f>
        <v/>
      </c>
      <c r="AC1579" s="7">
        <f>IF($E1579="","",Y1579*AB1579/100)</f>
        <v/>
      </c>
      <c r="AD1579" s="7">
        <f>IF($E1579="","",Y1579-AC1579)</f>
        <v/>
      </c>
      <c r="AE1579" s="7">
        <f>IF($E1579="","",AD1579-Q1579)</f>
        <v/>
      </c>
      <c r="AI1579" s="7" t="n"/>
      <c r="AL1579" s="11" t="n"/>
      <c r="AN1579">
        <f>IF($E1579="","",IF(COUNTIF($E$2:$E1579,$E1579)=1,1,0))</f>
        <v/>
      </c>
      <c r="AO1579">
        <f>IF($AN1579=1,SUMPRODUCT(--($AR$2:$AR$4001&lt;$AR1579))+1,"")</f>
        <v/>
      </c>
      <c r="AP1579">
        <f>IF($E1579="","",IF(OR($U1579=TRUE(),$U1579="TRUE"),1,0))</f>
        <v/>
      </c>
      <c r="AQ1579">
        <f>IF($E1579="","",IF($AA1579="Yes",1,0))</f>
        <v/>
      </c>
      <c r="AR1579">
        <f>IF($AN1579=1,IFERROR(VALUE(MID($E1579,2,20)),1000000000)+ROW()/100000,"")</f>
        <v/>
      </c>
    </row>
    <row r="1580">
      <c r="G1580" s="11" t="n"/>
      <c r="Q1580" s="7">
        <f>IF($E1580="","",P1580*Y1580/100)</f>
        <v/>
      </c>
      <c r="R1580" s="7" t="n"/>
      <c r="X1580" s="7" t="n"/>
      <c r="Y1580" s="7" t="n"/>
      <c r="AB1580">
        <f>IF($E1580="","",IF($AQ1580=1,0,IF($AP1580=1,Settings!$C$6,Settings!$C$7))*100)</f>
        <v/>
      </c>
      <c r="AC1580" s="7">
        <f>IF($E1580="","",Y1580*AB1580/100)</f>
        <v/>
      </c>
      <c r="AD1580" s="7">
        <f>IF($E1580="","",Y1580-AC1580)</f>
        <v/>
      </c>
      <c r="AE1580" s="7">
        <f>IF($E1580="","",AD1580-Q1580)</f>
        <v/>
      </c>
      <c r="AI1580" s="7" t="n"/>
      <c r="AL1580" s="11" t="n"/>
      <c r="AN1580">
        <f>IF($E1580="","",IF(COUNTIF($E$2:$E1580,$E1580)=1,1,0))</f>
        <v/>
      </c>
      <c r="AO1580">
        <f>IF($AN1580=1,SUMPRODUCT(--($AR$2:$AR$4001&lt;$AR1580))+1,"")</f>
        <v/>
      </c>
      <c r="AP1580">
        <f>IF($E1580="","",IF(OR($U1580=TRUE(),$U1580="TRUE"),1,0))</f>
        <v/>
      </c>
      <c r="AQ1580">
        <f>IF($E1580="","",IF($AA1580="Yes",1,0))</f>
        <v/>
      </c>
      <c r="AR1580">
        <f>IF($AN1580=1,IFERROR(VALUE(MID($E1580,2,20)),1000000000)+ROW()/100000,"")</f>
        <v/>
      </c>
    </row>
    <row r="1581">
      <c r="G1581" s="11" t="n"/>
      <c r="Q1581" s="7">
        <f>IF($E1581="","",P1581*Y1581/100)</f>
        <v/>
      </c>
      <c r="R1581" s="7" t="n"/>
      <c r="X1581" s="7" t="n"/>
      <c r="Y1581" s="7" t="n"/>
      <c r="AB1581">
        <f>IF($E1581="","",IF($AQ1581=1,0,IF($AP1581=1,Settings!$C$6,Settings!$C$7))*100)</f>
        <v/>
      </c>
      <c r="AC1581" s="7">
        <f>IF($E1581="","",Y1581*AB1581/100)</f>
        <v/>
      </c>
      <c r="AD1581" s="7">
        <f>IF($E1581="","",Y1581-AC1581)</f>
        <v/>
      </c>
      <c r="AE1581" s="7">
        <f>IF($E1581="","",AD1581-Q1581)</f>
        <v/>
      </c>
      <c r="AI1581" s="7" t="n"/>
      <c r="AL1581" s="11" t="n"/>
      <c r="AN1581">
        <f>IF($E1581="","",IF(COUNTIF($E$2:$E1581,$E1581)=1,1,0))</f>
        <v/>
      </c>
      <c r="AO1581">
        <f>IF($AN1581=1,SUMPRODUCT(--($AR$2:$AR$4001&lt;$AR1581))+1,"")</f>
        <v/>
      </c>
      <c r="AP1581">
        <f>IF($E1581="","",IF(OR($U1581=TRUE(),$U1581="TRUE"),1,0))</f>
        <v/>
      </c>
      <c r="AQ1581">
        <f>IF($E1581="","",IF($AA1581="Yes",1,0))</f>
        <v/>
      </c>
      <c r="AR1581">
        <f>IF($AN1581=1,IFERROR(VALUE(MID($E1581,2,20)),1000000000)+ROW()/100000,"")</f>
        <v/>
      </c>
    </row>
    <row r="1582">
      <c r="G1582" s="11" t="n"/>
      <c r="Q1582" s="7">
        <f>IF($E1582="","",P1582*Y1582/100)</f>
        <v/>
      </c>
      <c r="R1582" s="7" t="n"/>
      <c r="X1582" s="7" t="n"/>
      <c r="Y1582" s="7" t="n"/>
      <c r="AB1582">
        <f>IF($E1582="","",IF($AQ1582=1,0,IF($AP1582=1,Settings!$C$6,Settings!$C$7))*100)</f>
        <v/>
      </c>
      <c r="AC1582" s="7">
        <f>IF($E1582="","",Y1582*AB1582/100)</f>
        <v/>
      </c>
      <c r="AD1582" s="7">
        <f>IF($E1582="","",Y1582-AC1582)</f>
        <v/>
      </c>
      <c r="AE1582" s="7">
        <f>IF($E1582="","",AD1582-Q1582)</f>
        <v/>
      </c>
      <c r="AI1582" s="7" t="n"/>
      <c r="AL1582" s="11" t="n"/>
      <c r="AN1582">
        <f>IF($E1582="","",IF(COUNTIF($E$2:$E1582,$E1582)=1,1,0))</f>
        <v/>
      </c>
      <c r="AO1582">
        <f>IF($AN1582=1,SUMPRODUCT(--($AR$2:$AR$4001&lt;$AR1582))+1,"")</f>
        <v/>
      </c>
      <c r="AP1582">
        <f>IF($E1582="","",IF(OR($U1582=TRUE(),$U1582="TRUE"),1,0))</f>
        <v/>
      </c>
      <c r="AQ1582">
        <f>IF($E1582="","",IF($AA1582="Yes",1,0))</f>
        <v/>
      </c>
      <c r="AR1582">
        <f>IF($AN1582=1,IFERROR(VALUE(MID($E1582,2,20)),1000000000)+ROW()/100000,"")</f>
        <v/>
      </c>
    </row>
    <row r="1583">
      <c r="G1583" s="11" t="n"/>
      <c r="Q1583" s="7">
        <f>IF($E1583="","",P1583*Y1583/100)</f>
        <v/>
      </c>
      <c r="R1583" s="7" t="n"/>
      <c r="X1583" s="7" t="n"/>
      <c r="Y1583" s="7" t="n"/>
      <c r="AB1583">
        <f>IF($E1583="","",IF($AQ1583=1,0,IF($AP1583=1,Settings!$C$6,Settings!$C$7))*100)</f>
        <v/>
      </c>
      <c r="AC1583" s="7">
        <f>IF($E1583="","",Y1583*AB1583/100)</f>
        <v/>
      </c>
      <c r="AD1583" s="7">
        <f>IF($E1583="","",Y1583-AC1583)</f>
        <v/>
      </c>
      <c r="AE1583" s="7">
        <f>IF($E1583="","",AD1583-Q1583)</f>
        <v/>
      </c>
      <c r="AI1583" s="7" t="n"/>
      <c r="AL1583" s="11" t="n"/>
      <c r="AN1583">
        <f>IF($E1583="","",IF(COUNTIF($E$2:$E1583,$E1583)=1,1,0))</f>
        <v/>
      </c>
      <c r="AO1583">
        <f>IF($AN1583=1,SUMPRODUCT(--($AR$2:$AR$4001&lt;$AR1583))+1,"")</f>
        <v/>
      </c>
      <c r="AP1583">
        <f>IF($E1583="","",IF(OR($U1583=TRUE(),$U1583="TRUE"),1,0))</f>
        <v/>
      </c>
      <c r="AQ1583">
        <f>IF($E1583="","",IF($AA1583="Yes",1,0))</f>
        <v/>
      </c>
      <c r="AR1583">
        <f>IF($AN1583=1,IFERROR(VALUE(MID($E1583,2,20)),1000000000)+ROW()/100000,"")</f>
        <v/>
      </c>
    </row>
    <row r="1584">
      <c r="G1584" s="11" t="n"/>
      <c r="Q1584" s="7">
        <f>IF($E1584="","",P1584*Y1584/100)</f>
        <v/>
      </c>
      <c r="R1584" s="7" t="n"/>
      <c r="X1584" s="7" t="n"/>
      <c r="Y1584" s="7" t="n"/>
      <c r="AB1584">
        <f>IF($E1584="","",IF($AQ1584=1,0,IF($AP1584=1,Settings!$C$6,Settings!$C$7))*100)</f>
        <v/>
      </c>
      <c r="AC1584" s="7">
        <f>IF($E1584="","",Y1584*AB1584/100)</f>
        <v/>
      </c>
      <c r="AD1584" s="7">
        <f>IF($E1584="","",Y1584-AC1584)</f>
        <v/>
      </c>
      <c r="AE1584" s="7">
        <f>IF($E1584="","",AD1584-Q1584)</f>
        <v/>
      </c>
      <c r="AI1584" s="7" t="n"/>
      <c r="AL1584" s="11" t="n"/>
      <c r="AN1584">
        <f>IF($E1584="","",IF(COUNTIF($E$2:$E1584,$E1584)=1,1,0))</f>
        <v/>
      </c>
      <c r="AO1584">
        <f>IF($AN1584=1,SUMPRODUCT(--($AR$2:$AR$4001&lt;$AR1584))+1,"")</f>
        <v/>
      </c>
      <c r="AP1584">
        <f>IF($E1584="","",IF(OR($U1584=TRUE(),$U1584="TRUE"),1,0))</f>
        <v/>
      </c>
      <c r="AQ1584">
        <f>IF($E1584="","",IF($AA1584="Yes",1,0))</f>
        <v/>
      </c>
      <c r="AR1584">
        <f>IF($AN1584=1,IFERROR(VALUE(MID($E1584,2,20)),1000000000)+ROW()/100000,"")</f>
        <v/>
      </c>
    </row>
    <row r="1585">
      <c r="G1585" s="11" t="n"/>
      <c r="Q1585" s="7">
        <f>IF($E1585="","",P1585*Y1585/100)</f>
        <v/>
      </c>
      <c r="R1585" s="7" t="n"/>
      <c r="X1585" s="7" t="n"/>
      <c r="Y1585" s="7" t="n"/>
      <c r="AB1585">
        <f>IF($E1585="","",IF($AQ1585=1,0,IF($AP1585=1,Settings!$C$6,Settings!$C$7))*100)</f>
        <v/>
      </c>
      <c r="AC1585" s="7">
        <f>IF($E1585="","",Y1585*AB1585/100)</f>
        <v/>
      </c>
      <c r="AD1585" s="7">
        <f>IF($E1585="","",Y1585-AC1585)</f>
        <v/>
      </c>
      <c r="AE1585" s="7">
        <f>IF($E1585="","",AD1585-Q1585)</f>
        <v/>
      </c>
      <c r="AI1585" s="7" t="n"/>
      <c r="AL1585" s="11" t="n"/>
      <c r="AN1585">
        <f>IF($E1585="","",IF(COUNTIF($E$2:$E1585,$E1585)=1,1,0))</f>
        <v/>
      </c>
      <c r="AO1585">
        <f>IF($AN1585=1,SUMPRODUCT(--($AR$2:$AR$4001&lt;$AR1585))+1,"")</f>
        <v/>
      </c>
      <c r="AP1585">
        <f>IF($E1585="","",IF(OR($U1585=TRUE(),$U1585="TRUE"),1,0))</f>
        <v/>
      </c>
      <c r="AQ1585">
        <f>IF($E1585="","",IF($AA1585="Yes",1,0))</f>
        <v/>
      </c>
      <c r="AR1585">
        <f>IF($AN1585=1,IFERROR(VALUE(MID($E1585,2,20)),1000000000)+ROW()/100000,"")</f>
        <v/>
      </c>
    </row>
    <row r="1586">
      <c r="G1586" s="11" t="n"/>
      <c r="Q1586" s="7">
        <f>IF($E1586="","",P1586*Y1586/100)</f>
        <v/>
      </c>
      <c r="R1586" s="7" t="n"/>
      <c r="X1586" s="7" t="n"/>
      <c r="Y1586" s="7" t="n"/>
      <c r="AB1586">
        <f>IF($E1586="","",IF($AQ1586=1,0,IF($AP1586=1,Settings!$C$6,Settings!$C$7))*100)</f>
        <v/>
      </c>
      <c r="AC1586" s="7">
        <f>IF($E1586="","",Y1586*AB1586/100)</f>
        <v/>
      </c>
      <c r="AD1586" s="7">
        <f>IF($E1586="","",Y1586-AC1586)</f>
        <v/>
      </c>
      <c r="AE1586" s="7">
        <f>IF($E1586="","",AD1586-Q1586)</f>
        <v/>
      </c>
      <c r="AI1586" s="7" t="n"/>
      <c r="AL1586" s="11" t="n"/>
      <c r="AN1586">
        <f>IF($E1586="","",IF(COUNTIF($E$2:$E1586,$E1586)=1,1,0))</f>
        <v/>
      </c>
      <c r="AO1586">
        <f>IF($AN1586=1,SUMPRODUCT(--($AR$2:$AR$4001&lt;$AR1586))+1,"")</f>
        <v/>
      </c>
      <c r="AP1586">
        <f>IF($E1586="","",IF(OR($U1586=TRUE(),$U1586="TRUE"),1,0))</f>
        <v/>
      </c>
      <c r="AQ1586">
        <f>IF($E1586="","",IF($AA1586="Yes",1,0))</f>
        <v/>
      </c>
      <c r="AR1586">
        <f>IF($AN1586=1,IFERROR(VALUE(MID($E1586,2,20)),1000000000)+ROW()/100000,"")</f>
        <v/>
      </c>
    </row>
    <row r="1587">
      <c r="G1587" s="11" t="n"/>
      <c r="Q1587" s="7">
        <f>IF($E1587="","",P1587*Y1587/100)</f>
        <v/>
      </c>
      <c r="R1587" s="7" t="n"/>
      <c r="X1587" s="7" t="n"/>
      <c r="Y1587" s="7" t="n"/>
      <c r="AB1587">
        <f>IF($E1587="","",IF($AQ1587=1,0,IF($AP1587=1,Settings!$C$6,Settings!$C$7))*100)</f>
        <v/>
      </c>
      <c r="AC1587" s="7">
        <f>IF($E1587="","",Y1587*AB1587/100)</f>
        <v/>
      </c>
      <c r="AD1587" s="7">
        <f>IF($E1587="","",Y1587-AC1587)</f>
        <v/>
      </c>
      <c r="AE1587" s="7">
        <f>IF($E1587="","",AD1587-Q1587)</f>
        <v/>
      </c>
      <c r="AI1587" s="7" t="n"/>
      <c r="AL1587" s="11" t="n"/>
      <c r="AN1587">
        <f>IF($E1587="","",IF(COUNTIF($E$2:$E1587,$E1587)=1,1,0))</f>
        <v/>
      </c>
      <c r="AO1587">
        <f>IF($AN1587=1,SUMPRODUCT(--($AR$2:$AR$4001&lt;$AR1587))+1,"")</f>
        <v/>
      </c>
      <c r="AP1587">
        <f>IF($E1587="","",IF(OR($U1587=TRUE(),$U1587="TRUE"),1,0))</f>
        <v/>
      </c>
      <c r="AQ1587">
        <f>IF($E1587="","",IF($AA1587="Yes",1,0))</f>
        <v/>
      </c>
      <c r="AR1587">
        <f>IF($AN1587=1,IFERROR(VALUE(MID($E1587,2,20)),1000000000)+ROW()/100000,"")</f>
        <v/>
      </c>
    </row>
    <row r="1588">
      <c r="G1588" s="11" t="n"/>
      <c r="Q1588" s="7">
        <f>IF($E1588="","",P1588*Y1588/100)</f>
        <v/>
      </c>
      <c r="R1588" s="7" t="n"/>
      <c r="X1588" s="7" t="n"/>
      <c r="Y1588" s="7" t="n"/>
      <c r="AB1588">
        <f>IF($E1588="","",IF($AQ1588=1,0,IF($AP1588=1,Settings!$C$6,Settings!$C$7))*100)</f>
        <v/>
      </c>
      <c r="AC1588" s="7">
        <f>IF($E1588="","",Y1588*AB1588/100)</f>
        <v/>
      </c>
      <c r="AD1588" s="7">
        <f>IF($E1588="","",Y1588-AC1588)</f>
        <v/>
      </c>
      <c r="AE1588" s="7">
        <f>IF($E1588="","",AD1588-Q1588)</f>
        <v/>
      </c>
      <c r="AI1588" s="7" t="n"/>
      <c r="AL1588" s="11" t="n"/>
      <c r="AN1588">
        <f>IF($E1588="","",IF(COUNTIF($E$2:$E1588,$E1588)=1,1,0))</f>
        <v/>
      </c>
      <c r="AO1588">
        <f>IF($AN1588=1,SUMPRODUCT(--($AR$2:$AR$4001&lt;$AR1588))+1,"")</f>
        <v/>
      </c>
      <c r="AP1588">
        <f>IF($E1588="","",IF(OR($U1588=TRUE(),$U1588="TRUE"),1,0))</f>
        <v/>
      </c>
      <c r="AQ1588">
        <f>IF($E1588="","",IF($AA1588="Yes",1,0))</f>
        <v/>
      </c>
      <c r="AR1588">
        <f>IF($AN1588=1,IFERROR(VALUE(MID($E1588,2,20)),1000000000)+ROW()/100000,"")</f>
        <v/>
      </c>
    </row>
    <row r="1589">
      <c r="G1589" s="11" t="n"/>
      <c r="Q1589" s="7">
        <f>IF($E1589="","",P1589*Y1589/100)</f>
        <v/>
      </c>
      <c r="R1589" s="7" t="n"/>
      <c r="X1589" s="7" t="n"/>
      <c r="Y1589" s="7" t="n"/>
      <c r="AB1589">
        <f>IF($E1589="","",IF($AQ1589=1,0,IF($AP1589=1,Settings!$C$6,Settings!$C$7))*100)</f>
        <v/>
      </c>
      <c r="AC1589" s="7">
        <f>IF($E1589="","",Y1589*AB1589/100)</f>
        <v/>
      </c>
      <c r="AD1589" s="7">
        <f>IF($E1589="","",Y1589-AC1589)</f>
        <v/>
      </c>
      <c r="AE1589" s="7">
        <f>IF($E1589="","",AD1589-Q1589)</f>
        <v/>
      </c>
      <c r="AI1589" s="7" t="n"/>
      <c r="AL1589" s="11" t="n"/>
      <c r="AN1589">
        <f>IF($E1589="","",IF(COUNTIF($E$2:$E1589,$E1589)=1,1,0))</f>
        <v/>
      </c>
      <c r="AO1589">
        <f>IF($AN1589=1,SUMPRODUCT(--($AR$2:$AR$4001&lt;$AR1589))+1,"")</f>
        <v/>
      </c>
      <c r="AP1589">
        <f>IF($E1589="","",IF(OR($U1589=TRUE(),$U1589="TRUE"),1,0))</f>
        <v/>
      </c>
      <c r="AQ1589">
        <f>IF($E1589="","",IF($AA1589="Yes",1,0))</f>
        <v/>
      </c>
      <c r="AR1589">
        <f>IF($AN1589=1,IFERROR(VALUE(MID($E1589,2,20)),1000000000)+ROW()/100000,"")</f>
        <v/>
      </c>
    </row>
    <row r="1590">
      <c r="G1590" s="11" t="n"/>
      <c r="Q1590" s="7">
        <f>IF($E1590="","",P1590*Y1590/100)</f>
        <v/>
      </c>
      <c r="R1590" s="7" t="n"/>
      <c r="X1590" s="7" t="n"/>
      <c r="Y1590" s="7" t="n"/>
      <c r="AB1590">
        <f>IF($E1590="","",IF($AQ1590=1,0,IF($AP1590=1,Settings!$C$6,Settings!$C$7))*100)</f>
        <v/>
      </c>
      <c r="AC1590" s="7">
        <f>IF($E1590="","",Y1590*AB1590/100)</f>
        <v/>
      </c>
      <c r="AD1590" s="7">
        <f>IF($E1590="","",Y1590-AC1590)</f>
        <v/>
      </c>
      <c r="AE1590" s="7">
        <f>IF($E1590="","",AD1590-Q1590)</f>
        <v/>
      </c>
      <c r="AI1590" s="7" t="n"/>
      <c r="AL1590" s="11" t="n"/>
      <c r="AN1590">
        <f>IF($E1590="","",IF(COUNTIF($E$2:$E1590,$E1590)=1,1,0))</f>
        <v/>
      </c>
      <c r="AO1590">
        <f>IF($AN1590=1,SUMPRODUCT(--($AR$2:$AR$4001&lt;$AR1590))+1,"")</f>
        <v/>
      </c>
      <c r="AP1590">
        <f>IF($E1590="","",IF(OR($U1590=TRUE(),$U1590="TRUE"),1,0))</f>
        <v/>
      </c>
      <c r="AQ1590">
        <f>IF($E1590="","",IF($AA1590="Yes",1,0))</f>
        <v/>
      </c>
      <c r="AR1590">
        <f>IF($AN1590=1,IFERROR(VALUE(MID($E1590,2,20)),1000000000)+ROW()/100000,"")</f>
        <v/>
      </c>
    </row>
    <row r="1591">
      <c r="G1591" s="11" t="n"/>
      <c r="Q1591" s="7">
        <f>IF($E1591="","",P1591*Y1591/100)</f>
        <v/>
      </c>
      <c r="R1591" s="7" t="n"/>
      <c r="X1591" s="7" t="n"/>
      <c r="Y1591" s="7" t="n"/>
      <c r="AB1591">
        <f>IF($E1591="","",IF($AQ1591=1,0,IF($AP1591=1,Settings!$C$6,Settings!$C$7))*100)</f>
        <v/>
      </c>
      <c r="AC1591" s="7">
        <f>IF($E1591="","",Y1591*AB1591/100)</f>
        <v/>
      </c>
      <c r="AD1591" s="7">
        <f>IF($E1591="","",Y1591-AC1591)</f>
        <v/>
      </c>
      <c r="AE1591" s="7">
        <f>IF($E1591="","",AD1591-Q1591)</f>
        <v/>
      </c>
      <c r="AI1591" s="7" t="n"/>
      <c r="AL1591" s="11" t="n"/>
      <c r="AN1591">
        <f>IF($E1591="","",IF(COUNTIF($E$2:$E1591,$E1591)=1,1,0))</f>
        <v/>
      </c>
      <c r="AO1591">
        <f>IF($AN1591=1,SUMPRODUCT(--($AR$2:$AR$4001&lt;$AR1591))+1,"")</f>
        <v/>
      </c>
      <c r="AP1591">
        <f>IF($E1591="","",IF(OR($U1591=TRUE(),$U1591="TRUE"),1,0))</f>
        <v/>
      </c>
      <c r="AQ1591">
        <f>IF($E1591="","",IF($AA1591="Yes",1,0))</f>
        <v/>
      </c>
      <c r="AR1591">
        <f>IF($AN1591=1,IFERROR(VALUE(MID($E1591,2,20)),1000000000)+ROW()/100000,"")</f>
        <v/>
      </c>
    </row>
    <row r="1592">
      <c r="G1592" s="11" t="n"/>
      <c r="Q1592" s="7">
        <f>IF($E1592="","",P1592*Y1592/100)</f>
        <v/>
      </c>
      <c r="R1592" s="7" t="n"/>
      <c r="X1592" s="7" t="n"/>
      <c r="Y1592" s="7" t="n"/>
      <c r="AB1592">
        <f>IF($E1592="","",IF($AQ1592=1,0,IF($AP1592=1,Settings!$C$6,Settings!$C$7))*100)</f>
        <v/>
      </c>
      <c r="AC1592" s="7">
        <f>IF($E1592="","",Y1592*AB1592/100)</f>
        <v/>
      </c>
      <c r="AD1592" s="7">
        <f>IF($E1592="","",Y1592-AC1592)</f>
        <v/>
      </c>
      <c r="AE1592" s="7">
        <f>IF($E1592="","",AD1592-Q1592)</f>
        <v/>
      </c>
      <c r="AI1592" s="7" t="n"/>
      <c r="AL1592" s="11" t="n"/>
      <c r="AN1592">
        <f>IF($E1592="","",IF(COUNTIF($E$2:$E1592,$E1592)=1,1,0))</f>
        <v/>
      </c>
      <c r="AO1592">
        <f>IF($AN1592=1,SUMPRODUCT(--($AR$2:$AR$4001&lt;$AR1592))+1,"")</f>
        <v/>
      </c>
      <c r="AP1592">
        <f>IF($E1592="","",IF(OR($U1592=TRUE(),$U1592="TRUE"),1,0))</f>
        <v/>
      </c>
      <c r="AQ1592">
        <f>IF($E1592="","",IF($AA1592="Yes",1,0))</f>
        <v/>
      </c>
      <c r="AR1592">
        <f>IF($AN1592=1,IFERROR(VALUE(MID($E1592,2,20)),1000000000)+ROW()/100000,"")</f>
        <v/>
      </c>
    </row>
    <row r="1593">
      <c r="G1593" s="11" t="n"/>
      <c r="Q1593" s="7">
        <f>IF($E1593="","",P1593*Y1593/100)</f>
        <v/>
      </c>
      <c r="R1593" s="7" t="n"/>
      <c r="X1593" s="7" t="n"/>
      <c r="Y1593" s="7" t="n"/>
      <c r="AB1593">
        <f>IF($E1593="","",IF($AQ1593=1,0,IF($AP1593=1,Settings!$C$6,Settings!$C$7))*100)</f>
        <v/>
      </c>
      <c r="AC1593" s="7">
        <f>IF($E1593="","",Y1593*AB1593/100)</f>
        <v/>
      </c>
      <c r="AD1593" s="7">
        <f>IF($E1593="","",Y1593-AC1593)</f>
        <v/>
      </c>
      <c r="AE1593" s="7">
        <f>IF($E1593="","",AD1593-Q1593)</f>
        <v/>
      </c>
      <c r="AI1593" s="7" t="n"/>
      <c r="AL1593" s="11" t="n"/>
      <c r="AN1593">
        <f>IF($E1593="","",IF(COUNTIF($E$2:$E1593,$E1593)=1,1,0))</f>
        <v/>
      </c>
      <c r="AO1593">
        <f>IF($AN1593=1,SUMPRODUCT(--($AR$2:$AR$4001&lt;$AR1593))+1,"")</f>
        <v/>
      </c>
      <c r="AP1593">
        <f>IF($E1593="","",IF(OR($U1593=TRUE(),$U1593="TRUE"),1,0))</f>
        <v/>
      </c>
      <c r="AQ1593">
        <f>IF($E1593="","",IF($AA1593="Yes",1,0))</f>
        <v/>
      </c>
      <c r="AR1593">
        <f>IF($AN1593=1,IFERROR(VALUE(MID($E1593,2,20)),1000000000)+ROW()/100000,"")</f>
        <v/>
      </c>
    </row>
    <row r="1594">
      <c r="G1594" s="11" t="n"/>
      <c r="Q1594" s="7">
        <f>IF($E1594="","",P1594*Y1594/100)</f>
        <v/>
      </c>
      <c r="R1594" s="7" t="n"/>
      <c r="X1594" s="7" t="n"/>
      <c r="Y1594" s="7" t="n"/>
      <c r="AB1594">
        <f>IF($E1594="","",IF($AQ1594=1,0,IF($AP1594=1,Settings!$C$6,Settings!$C$7))*100)</f>
        <v/>
      </c>
      <c r="AC1594" s="7">
        <f>IF($E1594="","",Y1594*AB1594/100)</f>
        <v/>
      </c>
      <c r="AD1594" s="7">
        <f>IF($E1594="","",Y1594-AC1594)</f>
        <v/>
      </c>
      <c r="AE1594" s="7">
        <f>IF($E1594="","",AD1594-Q1594)</f>
        <v/>
      </c>
      <c r="AI1594" s="7" t="n"/>
      <c r="AL1594" s="11" t="n"/>
      <c r="AN1594">
        <f>IF($E1594="","",IF(COUNTIF($E$2:$E1594,$E1594)=1,1,0))</f>
        <v/>
      </c>
      <c r="AO1594">
        <f>IF($AN1594=1,SUMPRODUCT(--($AR$2:$AR$4001&lt;$AR1594))+1,"")</f>
        <v/>
      </c>
      <c r="AP1594">
        <f>IF($E1594="","",IF(OR($U1594=TRUE(),$U1594="TRUE"),1,0))</f>
        <v/>
      </c>
      <c r="AQ1594">
        <f>IF($E1594="","",IF($AA1594="Yes",1,0))</f>
        <v/>
      </c>
      <c r="AR1594">
        <f>IF($AN1594=1,IFERROR(VALUE(MID($E1594,2,20)),1000000000)+ROW()/100000,"")</f>
        <v/>
      </c>
    </row>
    <row r="1595">
      <c r="G1595" s="11" t="n"/>
      <c r="Q1595" s="7">
        <f>IF($E1595="","",P1595*Y1595/100)</f>
        <v/>
      </c>
      <c r="R1595" s="7" t="n"/>
      <c r="X1595" s="7" t="n"/>
      <c r="Y1595" s="7" t="n"/>
      <c r="AB1595">
        <f>IF($E1595="","",IF($AQ1595=1,0,IF($AP1595=1,Settings!$C$6,Settings!$C$7))*100)</f>
        <v/>
      </c>
      <c r="AC1595" s="7">
        <f>IF($E1595="","",Y1595*AB1595/100)</f>
        <v/>
      </c>
      <c r="AD1595" s="7">
        <f>IF($E1595="","",Y1595-AC1595)</f>
        <v/>
      </c>
      <c r="AE1595" s="7">
        <f>IF($E1595="","",AD1595-Q1595)</f>
        <v/>
      </c>
      <c r="AI1595" s="7" t="n"/>
      <c r="AL1595" s="11" t="n"/>
      <c r="AN1595">
        <f>IF($E1595="","",IF(COUNTIF($E$2:$E1595,$E1595)=1,1,0))</f>
        <v/>
      </c>
      <c r="AO1595">
        <f>IF($AN1595=1,SUMPRODUCT(--($AR$2:$AR$4001&lt;$AR1595))+1,"")</f>
        <v/>
      </c>
      <c r="AP1595">
        <f>IF($E1595="","",IF(OR($U1595=TRUE(),$U1595="TRUE"),1,0))</f>
        <v/>
      </c>
      <c r="AQ1595">
        <f>IF($E1595="","",IF($AA1595="Yes",1,0))</f>
        <v/>
      </c>
      <c r="AR1595">
        <f>IF($AN1595=1,IFERROR(VALUE(MID($E1595,2,20)),1000000000)+ROW()/100000,"")</f>
        <v/>
      </c>
    </row>
    <row r="1596">
      <c r="G1596" s="11" t="n"/>
      <c r="Q1596" s="7">
        <f>IF($E1596="","",P1596*Y1596/100)</f>
        <v/>
      </c>
      <c r="R1596" s="7" t="n"/>
      <c r="X1596" s="7" t="n"/>
      <c r="Y1596" s="7" t="n"/>
      <c r="AB1596">
        <f>IF($E1596="","",IF($AQ1596=1,0,IF($AP1596=1,Settings!$C$6,Settings!$C$7))*100)</f>
        <v/>
      </c>
      <c r="AC1596" s="7">
        <f>IF($E1596="","",Y1596*AB1596/100)</f>
        <v/>
      </c>
      <c r="AD1596" s="7">
        <f>IF($E1596="","",Y1596-AC1596)</f>
        <v/>
      </c>
      <c r="AE1596" s="7">
        <f>IF($E1596="","",AD1596-Q1596)</f>
        <v/>
      </c>
      <c r="AI1596" s="7" t="n"/>
      <c r="AL1596" s="11" t="n"/>
      <c r="AN1596">
        <f>IF($E1596="","",IF(COUNTIF($E$2:$E1596,$E1596)=1,1,0))</f>
        <v/>
      </c>
      <c r="AO1596">
        <f>IF($AN1596=1,SUMPRODUCT(--($AR$2:$AR$4001&lt;$AR1596))+1,"")</f>
        <v/>
      </c>
      <c r="AP1596">
        <f>IF($E1596="","",IF(OR($U1596=TRUE(),$U1596="TRUE"),1,0))</f>
        <v/>
      </c>
      <c r="AQ1596">
        <f>IF($E1596="","",IF($AA1596="Yes",1,0))</f>
        <v/>
      </c>
      <c r="AR1596">
        <f>IF($AN1596=1,IFERROR(VALUE(MID($E1596,2,20)),1000000000)+ROW()/100000,"")</f>
        <v/>
      </c>
    </row>
    <row r="1597">
      <c r="G1597" s="11" t="n"/>
      <c r="Q1597" s="7">
        <f>IF($E1597="","",P1597*Y1597/100)</f>
        <v/>
      </c>
      <c r="R1597" s="7" t="n"/>
      <c r="X1597" s="7" t="n"/>
      <c r="Y1597" s="7" t="n"/>
      <c r="AB1597">
        <f>IF($E1597="","",IF($AQ1597=1,0,IF($AP1597=1,Settings!$C$6,Settings!$C$7))*100)</f>
        <v/>
      </c>
      <c r="AC1597" s="7">
        <f>IF($E1597="","",Y1597*AB1597/100)</f>
        <v/>
      </c>
      <c r="AD1597" s="7">
        <f>IF($E1597="","",Y1597-AC1597)</f>
        <v/>
      </c>
      <c r="AE1597" s="7">
        <f>IF($E1597="","",AD1597-Q1597)</f>
        <v/>
      </c>
      <c r="AI1597" s="7" t="n"/>
      <c r="AL1597" s="11" t="n"/>
      <c r="AN1597">
        <f>IF($E1597="","",IF(COUNTIF($E$2:$E1597,$E1597)=1,1,0))</f>
        <v/>
      </c>
      <c r="AO1597">
        <f>IF($AN1597=1,SUMPRODUCT(--($AR$2:$AR$4001&lt;$AR1597))+1,"")</f>
        <v/>
      </c>
      <c r="AP1597">
        <f>IF($E1597="","",IF(OR($U1597=TRUE(),$U1597="TRUE"),1,0))</f>
        <v/>
      </c>
      <c r="AQ1597">
        <f>IF($E1597="","",IF($AA1597="Yes",1,0))</f>
        <v/>
      </c>
      <c r="AR1597">
        <f>IF($AN1597=1,IFERROR(VALUE(MID($E1597,2,20)),1000000000)+ROW()/100000,"")</f>
        <v/>
      </c>
    </row>
    <row r="1598">
      <c r="G1598" s="11" t="n"/>
      <c r="Q1598" s="7">
        <f>IF($E1598="","",P1598*Y1598/100)</f>
        <v/>
      </c>
      <c r="R1598" s="7" t="n"/>
      <c r="X1598" s="7" t="n"/>
      <c r="Y1598" s="7" t="n"/>
      <c r="AB1598">
        <f>IF($E1598="","",IF($AQ1598=1,0,IF($AP1598=1,Settings!$C$6,Settings!$C$7))*100)</f>
        <v/>
      </c>
      <c r="AC1598" s="7">
        <f>IF($E1598="","",Y1598*AB1598/100)</f>
        <v/>
      </c>
      <c r="AD1598" s="7">
        <f>IF($E1598="","",Y1598-AC1598)</f>
        <v/>
      </c>
      <c r="AE1598" s="7">
        <f>IF($E1598="","",AD1598-Q1598)</f>
        <v/>
      </c>
      <c r="AI1598" s="7" t="n"/>
      <c r="AL1598" s="11" t="n"/>
      <c r="AN1598">
        <f>IF($E1598="","",IF(COUNTIF($E$2:$E1598,$E1598)=1,1,0))</f>
        <v/>
      </c>
      <c r="AO1598">
        <f>IF($AN1598=1,SUMPRODUCT(--($AR$2:$AR$4001&lt;$AR1598))+1,"")</f>
        <v/>
      </c>
      <c r="AP1598">
        <f>IF($E1598="","",IF(OR($U1598=TRUE(),$U1598="TRUE"),1,0))</f>
        <v/>
      </c>
      <c r="AQ1598">
        <f>IF($E1598="","",IF($AA1598="Yes",1,0))</f>
        <v/>
      </c>
      <c r="AR1598">
        <f>IF($AN1598=1,IFERROR(VALUE(MID($E1598,2,20)),1000000000)+ROW()/100000,"")</f>
        <v/>
      </c>
    </row>
    <row r="1599">
      <c r="G1599" s="11" t="n"/>
      <c r="Q1599" s="7">
        <f>IF($E1599="","",P1599*Y1599/100)</f>
        <v/>
      </c>
      <c r="R1599" s="7" t="n"/>
      <c r="X1599" s="7" t="n"/>
      <c r="Y1599" s="7" t="n"/>
      <c r="AB1599">
        <f>IF($E1599="","",IF($AQ1599=1,0,IF($AP1599=1,Settings!$C$6,Settings!$C$7))*100)</f>
        <v/>
      </c>
      <c r="AC1599" s="7">
        <f>IF($E1599="","",Y1599*AB1599/100)</f>
        <v/>
      </c>
      <c r="AD1599" s="7">
        <f>IF($E1599="","",Y1599-AC1599)</f>
        <v/>
      </c>
      <c r="AE1599" s="7">
        <f>IF($E1599="","",AD1599-Q1599)</f>
        <v/>
      </c>
      <c r="AI1599" s="7" t="n"/>
      <c r="AL1599" s="11" t="n"/>
      <c r="AN1599">
        <f>IF($E1599="","",IF(COUNTIF($E$2:$E1599,$E1599)=1,1,0))</f>
        <v/>
      </c>
      <c r="AO1599">
        <f>IF($AN1599=1,SUMPRODUCT(--($AR$2:$AR$4001&lt;$AR1599))+1,"")</f>
        <v/>
      </c>
      <c r="AP1599">
        <f>IF($E1599="","",IF(OR($U1599=TRUE(),$U1599="TRUE"),1,0))</f>
        <v/>
      </c>
      <c r="AQ1599">
        <f>IF($E1599="","",IF($AA1599="Yes",1,0))</f>
        <v/>
      </c>
      <c r="AR1599">
        <f>IF($AN1599=1,IFERROR(VALUE(MID($E1599,2,20)),1000000000)+ROW()/100000,"")</f>
        <v/>
      </c>
    </row>
    <row r="1600">
      <c r="G1600" s="11" t="n"/>
      <c r="Q1600" s="7">
        <f>IF($E1600="","",P1600*Y1600/100)</f>
        <v/>
      </c>
      <c r="R1600" s="7" t="n"/>
      <c r="X1600" s="7" t="n"/>
      <c r="Y1600" s="7" t="n"/>
      <c r="AB1600">
        <f>IF($E1600="","",IF($AQ1600=1,0,IF($AP1600=1,Settings!$C$6,Settings!$C$7))*100)</f>
        <v/>
      </c>
      <c r="AC1600" s="7">
        <f>IF($E1600="","",Y1600*AB1600/100)</f>
        <v/>
      </c>
      <c r="AD1600" s="7">
        <f>IF($E1600="","",Y1600-AC1600)</f>
        <v/>
      </c>
      <c r="AE1600" s="7">
        <f>IF($E1600="","",AD1600-Q1600)</f>
        <v/>
      </c>
      <c r="AI1600" s="7" t="n"/>
      <c r="AL1600" s="11" t="n"/>
      <c r="AN1600">
        <f>IF($E1600="","",IF(COUNTIF($E$2:$E1600,$E1600)=1,1,0))</f>
        <v/>
      </c>
      <c r="AO1600">
        <f>IF($AN1600=1,SUMPRODUCT(--($AR$2:$AR$4001&lt;$AR1600))+1,"")</f>
        <v/>
      </c>
      <c r="AP1600">
        <f>IF($E1600="","",IF(OR($U1600=TRUE(),$U1600="TRUE"),1,0))</f>
        <v/>
      </c>
      <c r="AQ1600">
        <f>IF($E1600="","",IF($AA1600="Yes",1,0))</f>
        <v/>
      </c>
      <c r="AR1600">
        <f>IF($AN1600=1,IFERROR(VALUE(MID($E1600,2,20)),1000000000)+ROW()/100000,"")</f>
        <v/>
      </c>
    </row>
    <row r="1601">
      <c r="G1601" s="11" t="n"/>
      <c r="Q1601" s="7">
        <f>IF($E1601="","",P1601*Y1601/100)</f>
        <v/>
      </c>
      <c r="R1601" s="7" t="n"/>
      <c r="X1601" s="7" t="n"/>
      <c r="Y1601" s="7" t="n"/>
      <c r="AB1601">
        <f>IF($E1601="","",IF($AQ1601=1,0,IF($AP1601=1,Settings!$C$6,Settings!$C$7))*100)</f>
        <v/>
      </c>
      <c r="AC1601" s="7">
        <f>IF($E1601="","",Y1601*AB1601/100)</f>
        <v/>
      </c>
      <c r="AD1601" s="7">
        <f>IF($E1601="","",Y1601-AC1601)</f>
        <v/>
      </c>
      <c r="AE1601" s="7">
        <f>IF($E1601="","",AD1601-Q1601)</f>
        <v/>
      </c>
      <c r="AI1601" s="7" t="n"/>
      <c r="AL1601" s="11" t="n"/>
      <c r="AN1601">
        <f>IF($E1601="","",IF(COUNTIF($E$2:$E1601,$E1601)=1,1,0))</f>
        <v/>
      </c>
      <c r="AO1601">
        <f>IF($AN1601=1,SUMPRODUCT(--($AR$2:$AR$4001&lt;$AR1601))+1,"")</f>
        <v/>
      </c>
      <c r="AP1601">
        <f>IF($E1601="","",IF(OR($U1601=TRUE(),$U1601="TRUE"),1,0))</f>
        <v/>
      </c>
      <c r="AQ1601">
        <f>IF($E1601="","",IF($AA1601="Yes",1,0))</f>
        <v/>
      </c>
      <c r="AR1601">
        <f>IF($AN1601=1,IFERROR(VALUE(MID($E1601,2,20)),1000000000)+ROW()/100000,"")</f>
        <v/>
      </c>
    </row>
    <row r="1602">
      <c r="G1602" s="11" t="n"/>
      <c r="Q1602" s="7">
        <f>IF($E1602="","",P1602*Y1602/100)</f>
        <v/>
      </c>
      <c r="R1602" s="7" t="n"/>
      <c r="X1602" s="7" t="n"/>
      <c r="Y1602" s="7" t="n"/>
      <c r="AB1602">
        <f>IF($E1602="","",IF($AQ1602=1,0,IF($AP1602=1,Settings!$C$6,Settings!$C$7))*100)</f>
        <v/>
      </c>
      <c r="AC1602" s="7">
        <f>IF($E1602="","",Y1602*AB1602/100)</f>
        <v/>
      </c>
      <c r="AD1602" s="7">
        <f>IF($E1602="","",Y1602-AC1602)</f>
        <v/>
      </c>
      <c r="AE1602" s="7">
        <f>IF($E1602="","",AD1602-Q1602)</f>
        <v/>
      </c>
      <c r="AI1602" s="7" t="n"/>
      <c r="AL1602" s="11" t="n"/>
      <c r="AN1602">
        <f>IF($E1602="","",IF(COUNTIF($E$2:$E1602,$E1602)=1,1,0))</f>
        <v/>
      </c>
      <c r="AO1602">
        <f>IF($AN1602=1,SUMPRODUCT(--($AR$2:$AR$4001&lt;$AR1602))+1,"")</f>
        <v/>
      </c>
      <c r="AP1602">
        <f>IF($E1602="","",IF(OR($U1602=TRUE(),$U1602="TRUE"),1,0))</f>
        <v/>
      </c>
      <c r="AQ1602">
        <f>IF($E1602="","",IF($AA1602="Yes",1,0))</f>
        <v/>
      </c>
      <c r="AR1602">
        <f>IF($AN1602=1,IFERROR(VALUE(MID($E1602,2,20)),1000000000)+ROW()/100000,"")</f>
        <v/>
      </c>
    </row>
    <row r="1603">
      <c r="G1603" s="11" t="n"/>
      <c r="Q1603" s="7">
        <f>IF($E1603="","",P1603*Y1603/100)</f>
        <v/>
      </c>
      <c r="R1603" s="7" t="n"/>
      <c r="X1603" s="7" t="n"/>
      <c r="Y1603" s="7" t="n"/>
      <c r="AB1603">
        <f>IF($E1603="","",IF($AQ1603=1,0,IF($AP1603=1,Settings!$C$6,Settings!$C$7))*100)</f>
        <v/>
      </c>
      <c r="AC1603" s="7">
        <f>IF($E1603="","",Y1603*AB1603/100)</f>
        <v/>
      </c>
      <c r="AD1603" s="7">
        <f>IF($E1603="","",Y1603-AC1603)</f>
        <v/>
      </c>
      <c r="AE1603" s="7">
        <f>IF($E1603="","",AD1603-Q1603)</f>
        <v/>
      </c>
      <c r="AI1603" s="7" t="n"/>
      <c r="AL1603" s="11" t="n"/>
      <c r="AN1603">
        <f>IF($E1603="","",IF(COUNTIF($E$2:$E1603,$E1603)=1,1,0))</f>
        <v/>
      </c>
      <c r="AO1603">
        <f>IF($AN1603=1,SUMPRODUCT(--($AR$2:$AR$4001&lt;$AR1603))+1,"")</f>
        <v/>
      </c>
      <c r="AP1603">
        <f>IF($E1603="","",IF(OR($U1603=TRUE(),$U1603="TRUE"),1,0))</f>
        <v/>
      </c>
      <c r="AQ1603">
        <f>IF($E1603="","",IF($AA1603="Yes",1,0))</f>
        <v/>
      </c>
      <c r="AR1603">
        <f>IF($AN1603=1,IFERROR(VALUE(MID($E1603,2,20)),1000000000)+ROW()/100000,"")</f>
        <v/>
      </c>
    </row>
    <row r="1604">
      <c r="G1604" s="11" t="n"/>
      <c r="Q1604" s="7">
        <f>IF($E1604="","",P1604*Y1604/100)</f>
        <v/>
      </c>
      <c r="R1604" s="7" t="n"/>
      <c r="X1604" s="7" t="n"/>
      <c r="Y1604" s="7" t="n"/>
      <c r="AB1604">
        <f>IF($E1604="","",IF($AQ1604=1,0,IF($AP1604=1,Settings!$C$6,Settings!$C$7))*100)</f>
        <v/>
      </c>
      <c r="AC1604" s="7">
        <f>IF($E1604="","",Y1604*AB1604/100)</f>
        <v/>
      </c>
      <c r="AD1604" s="7">
        <f>IF($E1604="","",Y1604-AC1604)</f>
        <v/>
      </c>
      <c r="AE1604" s="7">
        <f>IF($E1604="","",AD1604-Q1604)</f>
        <v/>
      </c>
      <c r="AI1604" s="7" t="n"/>
      <c r="AL1604" s="11" t="n"/>
      <c r="AN1604">
        <f>IF($E1604="","",IF(COUNTIF($E$2:$E1604,$E1604)=1,1,0))</f>
        <v/>
      </c>
      <c r="AO1604">
        <f>IF($AN1604=1,SUMPRODUCT(--($AR$2:$AR$4001&lt;$AR1604))+1,"")</f>
        <v/>
      </c>
      <c r="AP1604">
        <f>IF($E1604="","",IF(OR($U1604=TRUE(),$U1604="TRUE"),1,0))</f>
        <v/>
      </c>
      <c r="AQ1604">
        <f>IF($E1604="","",IF($AA1604="Yes",1,0))</f>
        <v/>
      </c>
      <c r="AR1604">
        <f>IF($AN1604=1,IFERROR(VALUE(MID($E1604,2,20)),1000000000)+ROW()/100000,"")</f>
        <v/>
      </c>
    </row>
    <row r="1605">
      <c r="G1605" s="11" t="n"/>
      <c r="Q1605" s="7">
        <f>IF($E1605="","",P1605*Y1605/100)</f>
        <v/>
      </c>
      <c r="R1605" s="7" t="n"/>
      <c r="X1605" s="7" t="n"/>
      <c r="Y1605" s="7" t="n"/>
      <c r="AB1605">
        <f>IF($E1605="","",IF($AQ1605=1,0,IF($AP1605=1,Settings!$C$6,Settings!$C$7))*100)</f>
        <v/>
      </c>
      <c r="AC1605" s="7">
        <f>IF($E1605="","",Y1605*AB1605/100)</f>
        <v/>
      </c>
      <c r="AD1605" s="7">
        <f>IF($E1605="","",Y1605-AC1605)</f>
        <v/>
      </c>
      <c r="AE1605" s="7">
        <f>IF($E1605="","",AD1605-Q1605)</f>
        <v/>
      </c>
      <c r="AI1605" s="7" t="n"/>
      <c r="AL1605" s="11" t="n"/>
      <c r="AN1605">
        <f>IF($E1605="","",IF(COUNTIF($E$2:$E1605,$E1605)=1,1,0))</f>
        <v/>
      </c>
      <c r="AO1605">
        <f>IF($AN1605=1,SUMPRODUCT(--($AR$2:$AR$4001&lt;$AR1605))+1,"")</f>
        <v/>
      </c>
      <c r="AP1605">
        <f>IF($E1605="","",IF(OR($U1605=TRUE(),$U1605="TRUE"),1,0))</f>
        <v/>
      </c>
      <c r="AQ1605">
        <f>IF($E1605="","",IF($AA1605="Yes",1,0))</f>
        <v/>
      </c>
      <c r="AR1605">
        <f>IF($AN1605=1,IFERROR(VALUE(MID($E1605,2,20)),1000000000)+ROW()/100000,"")</f>
        <v/>
      </c>
    </row>
    <row r="1606">
      <c r="G1606" s="11" t="n"/>
      <c r="Q1606" s="7">
        <f>IF($E1606="","",P1606*Y1606/100)</f>
        <v/>
      </c>
      <c r="R1606" s="7" t="n"/>
      <c r="X1606" s="7" t="n"/>
      <c r="Y1606" s="7" t="n"/>
      <c r="AB1606">
        <f>IF($E1606="","",IF($AQ1606=1,0,IF($AP1606=1,Settings!$C$6,Settings!$C$7))*100)</f>
        <v/>
      </c>
      <c r="AC1606" s="7">
        <f>IF($E1606="","",Y1606*AB1606/100)</f>
        <v/>
      </c>
      <c r="AD1606" s="7">
        <f>IF($E1606="","",Y1606-AC1606)</f>
        <v/>
      </c>
      <c r="AE1606" s="7">
        <f>IF($E1606="","",AD1606-Q1606)</f>
        <v/>
      </c>
      <c r="AI1606" s="7" t="n"/>
      <c r="AL1606" s="11" t="n"/>
      <c r="AN1606">
        <f>IF($E1606="","",IF(COUNTIF($E$2:$E1606,$E1606)=1,1,0))</f>
        <v/>
      </c>
      <c r="AO1606">
        <f>IF($AN1606=1,SUMPRODUCT(--($AR$2:$AR$4001&lt;$AR1606))+1,"")</f>
        <v/>
      </c>
      <c r="AP1606">
        <f>IF($E1606="","",IF(OR($U1606=TRUE(),$U1606="TRUE"),1,0))</f>
        <v/>
      </c>
      <c r="AQ1606">
        <f>IF($E1606="","",IF($AA1606="Yes",1,0))</f>
        <v/>
      </c>
      <c r="AR1606">
        <f>IF($AN1606=1,IFERROR(VALUE(MID($E1606,2,20)),1000000000)+ROW()/100000,"")</f>
        <v/>
      </c>
    </row>
    <row r="1607">
      <c r="G1607" s="11" t="n"/>
      <c r="Q1607" s="7">
        <f>IF($E1607="","",P1607*Y1607/100)</f>
        <v/>
      </c>
      <c r="R1607" s="7" t="n"/>
      <c r="X1607" s="7" t="n"/>
      <c r="Y1607" s="7" t="n"/>
      <c r="AB1607">
        <f>IF($E1607="","",IF($AQ1607=1,0,IF($AP1607=1,Settings!$C$6,Settings!$C$7))*100)</f>
        <v/>
      </c>
      <c r="AC1607" s="7">
        <f>IF($E1607="","",Y1607*AB1607/100)</f>
        <v/>
      </c>
      <c r="AD1607" s="7">
        <f>IF($E1607="","",Y1607-AC1607)</f>
        <v/>
      </c>
      <c r="AE1607" s="7">
        <f>IF($E1607="","",AD1607-Q1607)</f>
        <v/>
      </c>
      <c r="AI1607" s="7" t="n"/>
      <c r="AL1607" s="11" t="n"/>
      <c r="AN1607">
        <f>IF($E1607="","",IF(COUNTIF($E$2:$E1607,$E1607)=1,1,0))</f>
        <v/>
      </c>
      <c r="AO1607">
        <f>IF($AN1607=1,SUMPRODUCT(--($AR$2:$AR$4001&lt;$AR1607))+1,"")</f>
        <v/>
      </c>
      <c r="AP1607">
        <f>IF($E1607="","",IF(OR($U1607=TRUE(),$U1607="TRUE"),1,0))</f>
        <v/>
      </c>
      <c r="AQ1607">
        <f>IF($E1607="","",IF($AA1607="Yes",1,0))</f>
        <v/>
      </c>
      <c r="AR1607">
        <f>IF($AN1607=1,IFERROR(VALUE(MID($E1607,2,20)),1000000000)+ROW()/100000,"")</f>
        <v/>
      </c>
    </row>
    <row r="1608">
      <c r="G1608" s="11" t="n"/>
      <c r="Q1608" s="7">
        <f>IF($E1608="","",P1608*Y1608/100)</f>
        <v/>
      </c>
      <c r="R1608" s="7" t="n"/>
      <c r="X1608" s="7" t="n"/>
      <c r="Y1608" s="7" t="n"/>
      <c r="AB1608">
        <f>IF($E1608="","",IF($AQ1608=1,0,IF($AP1608=1,Settings!$C$6,Settings!$C$7))*100)</f>
        <v/>
      </c>
      <c r="AC1608" s="7">
        <f>IF($E1608="","",Y1608*AB1608/100)</f>
        <v/>
      </c>
      <c r="AD1608" s="7">
        <f>IF($E1608="","",Y1608-AC1608)</f>
        <v/>
      </c>
      <c r="AE1608" s="7">
        <f>IF($E1608="","",AD1608-Q1608)</f>
        <v/>
      </c>
      <c r="AI1608" s="7" t="n"/>
      <c r="AL1608" s="11" t="n"/>
      <c r="AN1608">
        <f>IF($E1608="","",IF(COUNTIF($E$2:$E1608,$E1608)=1,1,0))</f>
        <v/>
      </c>
      <c r="AO1608">
        <f>IF($AN1608=1,SUMPRODUCT(--($AR$2:$AR$4001&lt;$AR1608))+1,"")</f>
        <v/>
      </c>
      <c r="AP1608">
        <f>IF($E1608="","",IF(OR($U1608=TRUE(),$U1608="TRUE"),1,0))</f>
        <v/>
      </c>
      <c r="AQ1608">
        <f>IF($E1608="","",IF($AA1608="Yes",1,0))</f>
        <v/>
      </c>
      <c r="AR1608">
        <f>IF($AN1608=1,IFERROR(VALUE(MID($E1608,2,20)),1000000000)+ROW()/100000,"")</f>
        <v/>
      </c>
    </row>
    <row r="1609">
      <c r="G1609" s="11" t="n"/>
      <c r="Q1609" s="7">
        <f>IF($E1609="","",P1609*Y1609/100)</f>
        <v/>
      </c>
      <c r="R1609" s="7" t="n"/>
      <c r="X1609" s="7" t="n"/>
      <c r="Y1609" s="7" t="n"/>
      <c r="AB1609">
        <f>IF($E1609="","",IF($AQ1609=1,0,IF($AP1609=1,Settings!$C$6,Settings!$C$7))*100)</f>
        <v/>
      </c>
      <c r="AC1609" s="7">
        <f>IF($E1609="","",Y1609*AB1609/100)</f>
        <v/>
      </c>
      <c r="AD1609" s="7">
        <f>IF($E1609="","",Y1609-AC1609)</f>
        <v/>
      </c>
      <c r="AE1609" s="7">
        <f>IF($E1609="","",AD1609-Q1609)</f>
        <v/>
      </c>
      <c r="AI1609" s="7" t="n"/>
      <c r="AL1609" s="11" t="n"/>
      <c r="AN1609">
        <f>IF($E1609="","",IF(COUNTIF($E$2:$E1609,$E1609)=1,1,0))</f>
        <v/>
      </c>
      <c r="AO1609">
        <f>IF($AN1609=1,SUMPRODUCT(--($AR$2:$AR$4001&lt;$AR1609))+1,"")</f>
        <v/>
      </c>
      <c r="AP1609">
        <f>IF($E1609="","",IF(OR($U1609=TRUE(),$U1609="TRUE"),1,0))</f>
        <v/>
      </c>
      <c r="AQ1609">
        <f>IF($E1609="","",IF($AA1609="Yes",1,0))</f>
        <v/>
      </c>
      <c r="AR1609">
        <f>IF($AN1609=1,IFERROR(VALUE(MID($E1609,2,20)),1000000000)+ROW()/100000,"")</f>
        <v/>
      </c>
    </row>
    <row r="1610">
      <c r="G1610" s="11" t="n"/>
      <c r="Q1610" s="7">
        <f>IF($E1610="","",P1610*Y1610/100)</f>
        <v/>
      </c>
      <c r="R1610" s="7" t="n"/>
      <c r="X1610" s="7" t="n"/>
      <c r="Y1610" s="7" t="n"/>
      <c r="AB1610">
        <f>IF($E1610="","",IF($AQ1610=1,0,IF($AP1610=1,Settings!$C$6,Settings!$C$7))*100)</f>
        <v/>
      </c>
      <c r="AC1610" s="7">
        <f>IF($E1610="","",Y1610*AB1610/100)</f>
        <v/>
      </c>
      <c r="AD1610" s="7">
        <f>IF($E1610="","",Y1610-AC1610)</f>
        <v/>
      </c>
      <c r="AE1610" s="7">
        <f>IF($E1610="","",AD1610-Q1610)</f>
        <v/>
      </c>
      <c r="AI1610" s="7" t="n"/>
      <c r="AL1610" s="11" t="n"/>
      <c r="AN1610">
        <f>IF($E1610="","",IF(COUNTIF($E$2:$E1610,$E1610)=1,1,0))</f>
        <v/>
      </c>
      <c r="AO1610">
        <f>IF($AN1610=1,SUMPRODUCT(--($AR$2:$AR$4001&lt;$AR1610))+1,"")</f>
        <v/>
      </c>
      <c r="AP1610">
        <f>IF($E1610="","",IF(OR($U1610=TRUE(),$U1610="TRUE"),1,0))</f>
        <v/>
      </c>
      <c r="AQ1610">
        <f>IF($E1610="","",IF($AA1610="Yes",1,0))</f>
        <v/>
      </c>
      <c r="AR1610">
        <f>IF($AN1610=1,IFERROR(VALUE(MID($E1610,2,20)),1000000000)+ROW()/100000,"")</f>
        <v/>
      </c>
    </row>
    <row r="1611">
      <c r="G1611" s="11" t="n"/>
      <c r="Q1611" s="7">
        <f>IF($E1611="","",P1611*Y1611/100)</f>
        <v/>
      </c>
      <c r="R1611" s="7" t="n"/>
      <c r="X1611" s="7" t="n"/>
      <c r="Y1611" s="7" t="n"/>
      <c r="AB1611">
        <f>IF($E1611="","",IF($AQ1611=1,0,IF($AP1611=1,Settings!$C$6,Settings!$C$7))*100)</f>
        <v/>
      </c>
      <c r="AC1611" s="7">
        <f>IF($E1611="","",Y1611*AB1611/100)</f>
        <v/>
      </c>
      <c r="AD1611" s="7">
        <f>IF($E1611="","",Y1611-AC1611)</f>
        <v/>
      </c>
      <c r="AE1611" s="7">
        <f>IF($E1611="","",AD1611-Q1611)</f>
        <v/>
      </c>
      <c r="AI1611" s="7" t="n"/>
      <c r="AL1611" s="11" t="n"/>
      <c r="AN1611">
        <f>IF($E1611="","",IF(COUNTIF($E$2:$E1611,$E1611)=1,1,0))</f>
        <v/>
      </c>
      <c r="AO1611">
        <f>IF($AN1611=1,SUMPRODUCT(--($AR$2:$AR$4001&lt;$AR1611))+1,"")</f>
        <v/>
      </c>
      <c r="AP1611">
        <f>IF($E1611="","",IF(OR($U1611=TRUE(),$U1611="TRUE"),1,0))</f>
        <v/>
      </c>
      <c r="AQ1611">
        <f>IF($E1611="","",IF($AA1611="Yes",1,0))</f>
        <v/>
      </c>
      <c r="AR1611">
        <f>IF($AN1611=1,IFERROR(VALUE(MID($E1611,2,20)),1000000000)+ROW()/100000,"")</f>
        <v/>
      </c>
    </row>
    <row r="1612">
      <c r="G1612" s="11" t="n"/>
      <c r="Q1612" s="7">
        <f>IF($E1612="","",P1612*Y1612/100)</f>
        <v/>
      </c>
      <c r="R1612" s="7" t="n"/>
      <c r="X1612" s="7" t="n"/>
      <c r="Y1612" s="7" t="n"/>
      <c r="AB1612">
        <f>IF($E1612="","",IF($AQ1612=1,0,IF($AP1612=1,Settings!$C$6,Settings!$C$7))*100)</f>
        <v/>
      </c>
      <c r="AC1612" s="7">
        <f>IF($E1612="","",Y1612*AB1612/100)</f>
        <v/>
      </c>
      <c r="AD1612" s="7">
        <f>IF($E1612="","",Y1612-AC1612)</f>
        <v/>
      </c>
      <c r="AE1612" s="7">
        <f>IF($E1612="","",AD1612-Q1612)</f>
        <v/>
      </c>
      <c r="AI1612" s="7" t="n"/>
      <c r="AL1612" s="11" t="n"/>
      <c r="AN1612">
        <f>IF($E1612="","",IF(COUNTIF($E$2:$E1612,$E1612)=1,1,0))</f>
        <v/>
      </c>
      <c r="AO1612">
        <f>IF($AN1612=1,SUMPRODUCT(--($AR$2:$AR$4001&lt;$AR1612))+1,"")</f>
        <v/>
      </c>
      <c r="AP1612">
        <f>IF($E1612="","",IF(OR($U1612=TRUE(),$U1612="TRUE"),1,0))</f>
        <v/>
      </c>
      <c r="AQ1612">
        <f>IF($E1612="","",IF($AA1612="Yes",1,0))</f>
        <v/>
      </c>
      <c r="AR1612">
        <f>IF($AN1612=1,IFERROR(VALUE(MID($E1612,2,20)),1000000000)+ROW()/100000,"")</f>
        <v/>
      </c>
    </row>
    <row r="1613">
      <c r="G1613" s="11" t="n"/>
      <c r="Q1613" s="7">
        <f>IF($E1613="","",P1613*Y1613/100)</f>
        <v/>
      </c>
      <c r="R1613" s="7" t="n"/>
      <c r="X1613" s="7" t="n"/>
      <c r="Y1613" s="7" t="n"/>
      <c r="AB1613">
        <f>IF($E1613="","",IF($AQ1613=1,0,IF($AP1613=1,Settings!$C$6,Settings!$C$7))*100)</f>
        <v/>
      </c>
      <c r="AC1613" s="7">
        <f>IF($E1613="","",Y1613*AB1613/100)</f>
        <v/>
      </c>
      <c r="AD1613" s="7">
        <f>IF($E1613="","",Y1613-AC1613)</f>
        <v/>
      </c>
      <c r="AE1613" s="7">
        <f>IF($E1613="","",AD1613-Q1613)</f>
        <v/>
      </c>
      <c r="AI1613" s="7" t="n"/>
      <c r="AL1613" s="11" t="n"/>
      <c r="AN1613">
        <f>IF($E1613="","",IF(COUNTIF($E$2:$E1613,$E1613)=1,1,0))</f>
        <v/>
      </c>
      <c r="AO1613">
        <f>IF($AN1613=1,SUMPRODUCT(--($AR$2:$AR$4001&lt;$AR1613))+1,"")</f>
        <v/>
      </c>
      <c r="AP1613">
        <f>IF($E1613="","",IF(OR($U1613=TRUE(),$U1613="TRUE"),1,0))</f>
        <v/>
      </c>
      <c r="AQ1613">
        <f>IF($E1613="","",IF($AA1613="Yes",1,0))</f>
        <v/>
      </c>
      <c r="AR1613">
        <f>IF($AN1613=1,IFERROR(VALUE(MID($E1613,2,20)),1000000000)+ROW()/100000,"")</f>
        <v/>
      </c>
    </row>
    <row r="1614">
      <c r="G1614" s="11" t="n"/>
      <c r="Q1614" s="7">
        <f>IF($E1614="","",P1614*Y1614/100)</f>
        <v/>
      </c>
      <c r="R1614" s="7" t="n"/>
      <c r="X1614" s="7" t="n"/>
      <c r="Y1614" s="7" t="n"/>
      <c r="AB1614">
        <f>IF($E1614="","",IF($AQ1614=1,0,IF($AP1614=1,Settings!$C$6,Settings!$C$7))*100)</f>
        <v/>
      </c>
      <c r="AC1614" s="7">
        <f>IF($E1614="","",Y1614*AB1614/100)</f>
        <v/>
      </c>
      <c r="AD1614" s="7">
        <f>IF($E1614="","",Y1614-AC1614)</f>
        <v/>
      </c>
      <c r="AE1614" s="7">
        <f>IF($E1614="","",AD1614-Q1614)</f>
        <v/>
      </c>
      <c r="AI1614" s="7" t="n"/>
      <c r="AL1614" s="11" t="n"/>
      <c r="AN1614">
        <f>IF($E1614="","",IF(COUNTIF($E$2:$E1614,$E1614)=1,1,0))</f>
        <v/>
      </c>
      <c r="AO1614">
        <f>IF($AN1614=1,SUMPRODUCT(--($AR$2:$AR$4001&lt;$AR1614))+1,"")</f>
        <v/>
      </c>
      <c r="AP1614">
        <f>IF($E1614="","",IF(OR($U1614=TRUE(),$U1614="TRUE"),1,0))</f>
        <v/>
      </c>
      <c r="AQ1614">
        <f>IF($E1614="","",IF($AA1614="Yes",1,0))</f>
        <v/>
      </c>
      <c r="AR1614">
        <f>IF($AN1614=1,IFERROR(VALUE(MID($E1614,2,20)),1000000000)+ROW()/100000,"")</f>
        <v/>
      </c>
    </row>
    <row r="1615">
      <c r="G1615" s="11" t="n"/>
      <c r="Q1615" s="7">
        <f>IF($E1615="","",P1615*Y1615/100)</f>
        <v/>
      </c>
      <c r="R1615" s="7" t="n"/>
      <c r="X1615" s="7" t="n"/>
      <c r="Y1615" s="7" t="n"/>
      <c r="AB1615">
        <f>IF($E1615="","",IF($AQ1615=1,0,IF($AP1615=1,Settings!$C$6,Settings!$C$7))*100)</f>
        <v/>
      </c>
      <c r="AC1615" s="7">
        <f>IF($E1615="","",Y1615*AB1615/100)</f>
        <v/>
      </c>
      <c r="AD1615" s="7">
        <f>IF($E1615="","",Y1615-AC1615)</f>
        <v/>
      </c>
      <c r="AE1615" s="7">
        <f>IF($E1615="","",AD1615-Q1615)</f>
        <v/>
      </c>
      <c r="AI1615" s="7" t="n"/>
      <c r="AL1615" s="11" t="n"/>
      <c r="AN1615">
        <f>IF($E1615="","",IF(COUNTIF($E$2:$E1615,$E1615)=1,1,0))</f>
        <v/>
      </c>
      <c r="AO1615">
        <f>IF($AN1615=1,SUMPRODUCT(--($AR$2:$AR$4001&lt;$AR1615))+1,"")</f>
        <v/>
      </c>
      <c r="AP1615">
        <f>IF($E1615="","",IF(OR($U1615=TRUE(),$U1615="TRUE"),1,0))</f>
        <v/>
      </c>
      <c r="AQ1615">
        <f>IF($E1615="","",IF($AA1615="Yes",1,0))</f>
        <v/>
      </c>
      <c r="AR1615">
        <f>IF($AN1615=1,IFERROR(VALUE(MID($E1615,2,20)),1000000000)+ROW()/100000,"")</f>
        <v/>
      </c>
    </row>
    <row r="1616">
      <c r="G1616" s="11" t="n"/>
      <c r="Q1616" s="7">
        <f>IF($E1616="","",P1616*Y1616/100)</f>
        <v/>
      </c>
      <c r="R1616" s="7" t="n"/>
      <c r="X1616" s="7" t="n"/>
      <c r="Y1616" s="7" t="n"/>
      <c r="AB1616">
        <f>IF($E1616="","",IF($AQ1616=1,0,IF($AP1616=1,Settings!$C$6,Settings!$C$7))*100)</f>
        <v/>
      </c>
      <c r="AC1616" s="7">
        <f>IF($E1616="","",Y1616*AB1616/100)</f>
        <v/>
      </c>
      <c r="AD1616" s="7">
        <f>IF($E1616="","",Y1616-AC1616)</f>
        <v/>
      </c>
      <c r="AE1616" s="7">
        <f>IF($E1616="","",AD1616-Q1616)</f>
        <v/>
      </c>
      <c r="AI1616" s="7" t="n"/>
      <c r="AL1616" s="11" t="n"/>
      <c r="AN1616">
        <f>IF($E1616="","",IF(COUNTIF($E$2:$E1616,$E1616)=1,1,0))</f>
        <v/>
      </c>
      <c r="AO1616">
        <f>IF($AN1616=1,SUMPRODUCT(--($AR$2:$AR$4001&lt;$AR1616))+1,"")</f>
        <v/>
      </c>
      <c r="AP1616">
        <f>IF($E1616="","",IF(OR($U1616=TRUE(),$U1616="TRUE"),1,0))</f>
        <v/>
      </c>
      <c r="AQ1616">
        <f>IF($E1616="","",IF($AA1616="Yes",1,0))</f>
        <v/>
      </c>
      <c r="AR1616">
        <f>IF($AN1616=1,IFERROR(VALUE(MID($E1616,2,20)),1000000000)+ROW()/100000,"")</f>
        <v/>
      </c>
    </row>
    <row r="1617">
      <c r="G1617" s="11" t="n"/>
      <c r="Q1617" s="7">
        <f>IF($E1617="","",P1617*Y1617/100)</f>
        <v/>
      </c>
      <c r="R1617" s="7" t="n"/>
      <c r="X1617" s="7" t="n"/>
      <c r="Y1617" s="7" t="n"/>
      <c r="AB1617">
        <f>IF($E1617="","",IF($AQ1617=1,0,IF($AP1617=1,Settings!$C$6,Settings!$C$7))*100)</f>
        <v/>
      </c>
      <c r="AC1617" s="7">
        <f>IF($E1617="","",Y1617*AB1617/100)</f>
        <v/>
      </c>
      <c r="AD1617" s="7">
        <f>IF($E1617="","",Y1617-AC1617)</f>
        <v/>
      </c>
      <c r="AE1617" s="7">
        <f>IF($E1617="","",AD1617-Q1617)</f>
        <v/>
      </c>
      <c r="AI1617" s="7" t="n"/>
      <c r="AL1617" s="11" t="n"/>
      <c r="AN1617">
        <f>IF($E1617="","",IF(COUNTIF($E$2:$E1617,$E1617)=1,1,0))</f>
        <v/>
      </c>
      <c r="AO1617">
        <f>IF($AN1617=1,SUMPRODUCT(--($AR$2:$AR$4001&lt;$AR1617))+1,"")</f>
        <v/>
      </c>
      <c r="AP1617">
        <f>IF($E1617="","",IF(OR($U1617=TRUE(),$U1617="TRUE"),1,0))</f>
        <v/>
      </c>
      <c r="AQ1617">
        <f>IF($E1617="","",IF($AA1617="Yes",1,0))</f>
        <v/>
      </c>
      <c r="AR1617">
        <f>IF($AN1617=1,IFERROR(VALUE(MID($E1617,2,20)),1000000000)+ROW()/100000,"")</f>
        <v/>
      </c>
    </row>
    <row r="1618">
      <c r="G1618" s="11" t="n"/>
      <c r="Q1618" s="7">
        <f>IF($E1618="","",P1618*Y1618/100)</f>
        <v/>
      </c>
      <c r="R1618" s="7" t="n"/>
      <c r="X1618" s="7" t="n"/>
      <c r="Y1618" s="7" t="n"/>
      <c r="AB1618">
        <f>IF($E1618="","",IF($AQ1618=1,0,IF($AP1618=1,Settings!$C$6,Settings!$C$7))*100)</f>
        <v/>
      </c>
      <c r="AC1618" s="7">
        <f>IF($E1618="","",Y1618*AB1618/100)</f>
        <v/>
      </c>
      <c r="AD1618" s="7">
        <f>IF($E1618="","",Y1618-AC1618)</f>
        <v/>
      </c>
      <c r="AE1618" s="7">
        <f>IF($E1618="","",AD1618-Q1618)</f>
        <v/>
      </c>
      <c r="AI1618" s="7" t="n"/>
      <c r="AL1618" s="11" t="n"/>
      <c r="AN1618">
        <f>IF($E1618="","",IF(COUNTIF($E$2:$E1618,$E1618)=1,1,0))</f>
        <v/>
      </c>
      <c r="AO1618">
        <f>IF($AN1618=1,SUMPRODUCT(--($AR$2:$AR$4001&lt;$AR1618))+1,"")</f>
        <v/>
      </c>
      <c r="AP1618">
        <f>IF($E1618="","",IF(OR($U1618=TRUE(),$U1618="TRUE"),1,0))</f>
        <v/>
      </c>
      <c r="AQ1618">
        <f>IF($E1618="","",IF($AA1618="Yes",1,0))</f>
        <v/>
      </c>
      <c r="AR1618">
        <f>IF($AN1618=1,IFERROR(VALUE(MID($E1618,2,20)),1000000000)+ROW()/100000,"")</f>
        <v/>
      </c>
    </row>
    <row r="1619">
      <c r="G1619" s="11" t="n"/>
      <c r="Q1619" s="7">
        <f>IF($E1619="","",P1619*Y1619/100)</f>
        <v/>
      </c>
      <c r="R1619" s="7" t="n"/>
      <c r="X1619" s="7" t="n"/>
      <c r="Y1619" s="7" t="n"/>
      <c r="AB1619">
        <f>IF($E1619="","",IF($AQ1619=1,0,IF($AP1619=1,Settings!$C$6,Settings!$C$7))*100)</f>
        <v/>
      </c>
      <c r="AC1619" s="7">
        <f>IF($E1619="","",Y1619*AB1619/100)</f>
        <v/>
      </c>
      <c r="AD1619" s="7">
        <f>IF($E1619="","",Y1619-AC1619)</f>
        <v/>
      </c>
      <c r="AE1619" s="7">
        <f>IF($E1619="","",AD1619-Q1619)</f>
        <v/>
      </c>
      <c r="AI1619" s="7" t="n"/>
      <c r="AL1619" s="11" t="n"/>
      <c r="AN1619">
        <f>IF($E1619="","",IF(COUNTIF($E$2:$E1619,$E1619)=1,1,0))</f>
        <v/>
      </c>
      <c r="AO1619">
        <f>IF($AN1619=1,SUMPRODUCT(--($AR$2:$AR$4001&lt;$AR1619))+1,"")</f>
        <v/>
      </c>
      <c r="AP1619">
        <f>IF($E1619="","",IF(OR($U1619=TRUE(),$U1619="TRUE"),1,0))</f>
        <v/>
      </c>
      <c r="AQ1619">
        <f>IF($E1619="","",IF($AA1619="Yes",1,0))</f>
        <v/>
      </c>
      <c r="AR1619">
        <f>IF($AN1619=1,IFERROR(VALUE(MID($E1619,2,20)),1000000000)+ROW()/100000,"")</f>
        <v/>
      </c>
    </row>
    <row r="1620">
      <c r="G1620" s="11" t="n"/>
      <c r="Q1620" s="7">
        <f>IF($E1620="","",P1620*Y1620/100)</f>
        <v/>
      </c>
      <c r="R1620" s="7" t="n"/>
      <c r="X1620" s="7" t="n"/>
      <c r="Y1620" s="7" t="n"/>
      <c r="AB1620">
        <f>IF($E1620="","",IF($AQ1620=1,0,IF($AP1620=1,Settings!$C$6,Settings!$C$7))*100)</f>
        <v/>
      </c>
      <c r="AC1620" s="7">
        <f>IF($E1620="","",Y1620*AB1620/100)</f>
        <v/>
      </c>
      <c r="AD1620" s="7">
        <f>IF($E1620="","",Y1620-AC1620)</f>
        <v/>
      </c>
      <c r="AE1620" s="7">
        <f>IF($E1620="","",AD1620-Q1620)</f>
        <v/>
      </c>
      <c r="AI1620" s="7" t="n"/>
      <c r="AL1620" s="11" t="n"/>
      <c r="AN1620">
        <f>IF($E1620="","",IF(COUNTIF($E$2:$E1620,$E1620)=1,1,0))</f>
        <v/>
      </c>
      <c r="AO1620">
        <f>IF($AN1620=1,SUMPRODUCT(--($AR$2:$AR$4001&lt;$AR1620))+1,"")</f>
        <v/>
      </c>
      <c r="AP1620">
        <f>IF($E1620="","",IF(OR($U1620=TRUE(),$U1620="TRUE"),1,0))</f>
        <v/>
      </c>
      <c r="AQ1620">
        <f>IF($E1620="","",IF($AA1620="Yes",1,0))</f>
        <v/>
      </c>
      <c r="AR1620">
        <f>IF($AN1620=1,IFERROR(VALUE(MID($E1620,2,20)),1000000000)+ROW()/100000,"")</f>
        <v/>
      </c>
    </row>
    <row r="1621">
      <c r="G1621" s="11" t="n"/>
      <c r="Q1621" s="7">
        <f>IF($E1621="","",P1621*Y1621/100)</f>
        <v/>
      </c>
      <c r="R1621" s="7" t="n"/>
      <c r="X1621" s="7" t="n"/>
      <c r="Y1621" s="7" t="n"/>
      <c r="AB1621">
        <f>IF($E1621="","",IF($AQ1621=1,0,IF($AP1621=1,Settings!$C$6,Settings!$C$7))*100)</f>
        <v/>
      </c>
      <c r="AC1621" s="7">
        <f>IF($E1621="","",Y1621*AB1621/100)</f>
        <v/>
      </c>
      <c r="AD1621" s="7">
        <f>IF($E1621="","",Y1621-AC1621)</f>
        <v/>
      </c>
      <c r="AE1621" s="7">
        <f>IF($E1621="","",AD1621-Q1621)</f>
        <v/>
      </c>
      <c r="AI1621" s="7" t="n"/>
      <c r="AL1621" s="11" t="n"/>
      <c r="AN1621">
        <f>IF($E1621="","",IF(COUNTIF($E$2:$E1621,$E1621)=1,1,0))</f>
        <v/>
      </c>
      <c r="AO1621">
        <f>IF($AN1621=1,SUMPRODUCT(--($AR$2:$AR$4001&lt;$AR1621))+1,"")</f>
        <v/>
      </c>
      <c r="AP1621">
        <f>IF($E1621="","",IF(OR($U1621=TRUE(),$U1621="TRUE"),1,0))</f>
        <v/>
      </c>
      <c r="AQ1621">
        <f>IF($E1621="","",IF($AA1621="Yes",1,0))</f>
        <v/>
      </c>
      <c r="AR1621">
        <f>IF($AN1621=1,IFERROR(VALUE(MID($E1621,2,20)),1000000000)+ROW()/100000,"")</f>
        <v/>
      </c>
    </row>
    <row r="1622">
      <c r="G1622" s="11" t="n"/>
      <c r="Q1622" s="7">
        <f>IF($E1622="","",P1622*Y1622/100)</f>
        <v/>
      </c>
      <c r="R1622" s="7" t="n"/>
      <c r="X1622" s="7" t="n"/>
      <c r="Y1622" s="7" t="n"/>
      <c r="AB1622">
        <f>IF($E1622="","",IF($AQ1622=1,0,IF($AP1622=1,Settings!$C$6,Settings!$C$7))*100)</f>
        <v/>
      </c>
      <c r="AC1622" s="7">
        <f>IF($E1622="","",Y1622*AB1622/100)</f>
        <v/>
      </c>
      <c r="AD1622" s="7">
        <f>IF($E1622="","",Y1622-AC1622)</f>
        <v/>
      </c>
      <c r="AE1622" s="7">
        <f>IF($E1622="","",AD1622-Q1622)</f>
        <v/>
      </c>
      <c r="AI1622" s="7" t="n"/>
      <c r="AL1622" s="11" t="n"/>
      <c r="AN1622">
        <f>IF($E1622="","",IF(COUNTIF($E$2:$E1622,$E1622)=1,1,0))</f>
        <v/>
      </c>
      <c r="AO1622">
        <f>IF($AN1622=1,SUMPRODUCT(--($AR$2:$AR$4001&lt;$AR1622))+1,"")</f>
        <v/>
      </c>
      <c r="AP1622">
        <f>IF($E1622="","",IF(OR($U1622=TRUE(),$U1622="TRUE"),1,0))</f>
        <v/>
      </c>
      <c r="AQ1622">
        <f>IF($E1622="","",IF($AA1622="Yes",1,0))</f>
        <v/>
      </c>
      <c r="AR1622">
        <f>IF($AN1622=1,IFERROR(VALUE(MID($E1622,2,20)),1000000000)+ROW()/100000,"")</f>
        <v/>
      </c>
    </row>
    <row r="1623">
      <c r="G1623" s="11" t="n"/>
      <c r="Q1623" s="7">
        <f>IF($E1623="","",P1623*Y1623/100)</f>
        <v/>
      </c>
      <c r="R1623" s="7" t="n"/>
      <c r="X1623" s="7" t="n"/>
      <c r="Y1623" s="7" t="n"/>
      <c r="AB1623">
        <f>IF($E1623="","",IF($AQ1623=1,0,IF($AP1623=1,Settings!$C$6,Settings!$C$7))*100)</f>
        <v/>
      </c>
      <c r="AC1623" s="7">
        <f>IF($E1623="","",Y1623*AB1623/100)</f>
        <v/>
      </c>
      <c r="AD1623" s="7">
        <f>IF($E1623="","",Y1623-AC1623)</f>
        <v/>
      </c>
      <c r="AE1623" s="7">
        <f>IF($E1623="","",AD1623-Q1623)</f>
        <v/>
      </c>
      <c r="AI1623" s="7" t="n"/>
      <c r="AL1623" s="11" t="n"/>
      <c r="AN1623">
        <f>IF($E1623="","",IF(COUNTIF($E$2:$E1623,$E1623)=1,1,0))</f>
        <v/>
      </c>
      <c r="AO1623">
        <f>IF($AN1623=1,SUMPRODUCT(--($AR$2:$AR$4001&lt;$AR1623))+1,"")</f>
        <v/>
      </c>
      <c r="AP1623">
        <f>IF($E1623="","",IF(OR($U1623=TRUE(),$U1623="TRUE"),1,0))</f>
        <v/>
      </c>
      <c r="AQ1623">
        <f>IF($E1623="","",IF($AA1623="Yes",1,0))</f>
        <v/>
      </c>
      <c r="AR1623">
        <f>IF($AN1623=1,IFERROR(VALUE(MID($E1623,2,20)),1000000000)+ROW()/100000,"")</f>
        <v/>
      </c>
    </row>
    <row r="1624">
      <c r="G1624" s="11" t="n"/>
      <c r="Q1624" s="7">
        <f>IF($E1624="","",P1624*Y1624/100)</f>
        <v/>
      </c>
      <c r="R1624" s="7" t="n"/>
      <c r="X1624" s="7" t="n"/>
      <c r="Y1624" s="7" t="n"/>
      <c r="AB1624">
        <f>IF($E1624="","",IF($AQ1624=1,0,IF($AP1624=1,Settings!$C$6,Settings!$C$7))*100)</f>
        <v/>
      </c>
      <c r="AC1624" s="7">
        <f>IF($E1624="","",Y1624*AB1624/100)</f>
        <v/>
      </c>
      <c r="AD1624" s="7">
        <f>IF($E1624="","",Y1624-AC1624)</f>
        <v/>
      </c>
      <c r="AE1624" s="7">
        <f>IF($E1624="","",AD1624-Q1624)</f>
        <v/>
      </c>
      <c r="AI1624" s="7" t="n"/>
      <c r="AL1624" s="11" t="n"/>
      <c r="AN1624">
        <f>IF($E1624="","",IF(COUNTIF($E$2:$E1624,$E1624)=1,1,0))</f>
        <v/>
      </c>
      <c r="AO1624">
        <f>IF($AN1624=1,SUMPRODUCT(--($AR$2:$AR$4001&lt;$AR1624))+1,"")</f>
        <v/>
      </c>
      <c r="AP1624">
        <f>IF($E1624="","",IF(OR($U1624=TRUE(),$U1624="TRUE"),1,0))</f>
        <v/>
      </c>
      <c r="AQ1624">
        <f>IF($E1624="","",IF($AA1624="Yes",1,0))</f>
        <v/>
      </c>
      <c r="AR1624">
        <f>IF($AN1624=1,IFERROR(VALUE(MID($E1624,2,20)),1000000000)+ROW()/100000,"")</f>
        <v/>
      </c>
    </row>
    <row r="1625">
      <c r="G1625" s="11" t="n"/>
      <c r="Q1625" s="7">
        <f>IF($E1625="","",P1625*Y1625/100)</f>
        <v/>
      </c>
      <c r="R1625" s="7" t="n"/>
      <c r="X1625" s="7" t="n"/>
      <c r="Y1625" s="7" t="n"/>
      <c r="AB1625">
        <f>IF($E1625="","",IF($AQ1625=1,0,IF($AP1625=1,Settings!$C$6,Settings!$C$7))*100)</f>
        <v/>
      </c>
      <c r="AC1625" s="7">
        <f>IF($E1625="","",Y1625*AB1625/100)</f>
        <v/>
      </c>
      <c r="AD1625" s="7">
        <f>IF($E1625="","",Y1625-AC1625)</f>
        <v/>
      </c>
      <c r="AE1625" s="7">
        <f>IF($E1625="","",AD1625-Q1625)</f>
        <v/>
      </c>
      <c r="AI1625" s="7" t="n"/>
      <c r="AL1625" s="11" t="n"/>
      <c r="AN1625">
        <f>IF($E1625="","",IF(COUNTIF($E$2:$E1625,$E1625)=1,1,0))</f>
        <v/>
      </c>
      <c r="AO1625">
        <f>IF($AN1625=1,SUMPRODUCT(--($AR$2:$AR$4001&lt;$AR1625))+1,"")</f>
        <v/>
      </c>
      <c r="AP1625">
        <f>IF($E1625="","",IF(OR($U1625=TRUE(),$U1625="TRUE"),1,0))</f>
        <v/>
      </c>
      <c r="AQ1625">
        <f>IF($E1625="","",IF($AA1625="Yes",1,0))</f>
        <v/>
      </c>
      <c r="AR1625">
        <f>IF($AN1625=1,IFERROR(VALUE(MID($E1625,2,20)),1000000000)+ROW()/100000,"")</f>
        <v/>
      </c>
    </row>
    <row r="1626">
      <c r="G1626" s="11" t="n"/>
      <c r="Q1626" s="7">
        <f>IF($E1626="","",P1626*Y1626/100)</f>
        <v/>
      </c>
      <c r="R1626" s="7" t="n"/>
      <c r="X1626" s="7" t="n"/>
      <c r="Y1626" s="7" t="n"/>
      <c r="AB1626">
        <f>IF($E1626="","",IF($AQ1626=1,0,IF($AP1626=1,Settings!$C$6,Settings!$C$7))*100)</f>
        <v/>
      </c>
      <c r="AC1626" s="7">
        <f>IF($E1626="","",Y1626*AB1626/100)</f>
        <v/>
      </c>
      <c r="AD1626" s="7">
        <f>IF($E1626="","",Y1626-AC1626)</f>
        <v/>
      </c>
      <c r="AE1626" s="7">
        <f>IF($E1626="","",AD1626-Q1626)</f>
        <v/>
      </c>
      <c r="AI1626" s="7" t="n"/>
      <c r="AL1626" s="11" t="n"/>
      <c r="AN1626">
        <f>IF($E1626="","",IF(COUNTIF($E$2:$E1626,$E1626)=1,1,0))</f>
        <v/>
      </c>
      <c r="AO1626">
        <f>IF($AN1626=1,SUMPRODUCT(--($AR$2:$AR$4001&lt;$AR1626))+1,"")</f>
        <v/>
      </c>
      <c r="AP1626">
        <f>IF($E1626="","",IF(OR($U1626=TRUE(),$U1626="TRUE"),1,0))</f>
        <v/>
      </c>
      <c r="AQ1626">
        <f>IF($E1626="","",IF($AA1626="Yes",1,0))</f>
        <v/>
      </c>
      <c r="AR1626">
        <f>IF($AN1626=1,IFERROR(VALUE(MID($E1626,2,20)),1000000000)+ROW()/100000,"")</f>
        <v/>
      </c>
    </row>
    <row r="1627">
      <c r="G1627" s="11" t="n"/>
      <c r="Q1627" s="7">
        <f>IF($E1627="","",P1627*Y1627/100)</f>
        <v/>
      </c>
      <c r="R1627" s="7" t="n"/>
      <c r="X1627" s="7" t="n"/>
      <c r="Y1627" s="7" t="n"/>
      <c r="AB1627">
        <f>IF($E1627="","",IF($AQ1627=1,0,IF($AP1627=1,Settings!$C$6,Settings!$C$7))*100)</f>
        <v/>
      </c>
      <c r="AC1627" s="7">
        <f>IF($E1627="","",Y1627*AB1627/100)</f>
        <v/>
      </c>
      <c r="AD1627" s="7">
        <f>IF($E1627="","",Y1627-AC1627)</f>
        <v/>
      </c>
      <c r="AE1627" s="7">
        <f>IF($E1627="","",AD1627-Q1627)</f>
        <v/>
      </c>
      <c r="AI1627" s="7" t="n"/>
      <c r="AL1627" s="11" t="n"/>
      <c r="AN1627">
        <f>IF($E1627="","",IF(COUNTIF($E$2:$E1627,$E1627)=1,1,0))</f>
        <v/>
      </c>
      <c r="AO1627">
        <f>IF($AN1627=1,SUMPRODUCT(--($AR$2:$AR$4001&lt;$AR1627))+1,"")</f>
        <v/>
      </c>
      <c r="AP1627">
        <f>IF($E1627="","",IF(OR($U1627=TRUE(),$U1627="TRUE"),1,0))</f>
        <v/>
      </c>
      <c r="AQ1627">
        <f>IF($E1627="","",IF($AA1627="Yes",1,0))</f>
        <v/>
      </c>
      <c r="AR1627">
        <f>IF($AN1627=1,IFERROR(VALUE(MID($E1627,2,20)),1000000000)+ROW()/100000,"")</f>
        <v/>
      </c>
    </row>
    <row r="1628">
      <c r="G1628" s="11" t="n"/>
      <c r="Q1628" s="7">
        <f>IF($E1628="","",P1628*Y1628/100)</f>
        <v/>
      </c>
      <c r="R1628" s="7" t="n"/>
      <c r="X1628" s="7" t="n"/>
      <c r="Y1628" s="7" t="n"/>
      <c r="AB1628">
        <f>IF($E1628="","",IF($AQ1628=1,0,IF($AP1628=1,Settings!$C$6,Settings!$C$7))*100)</f>
        <v/>
      </c>
      <c r="AC1628" s="7">
        <f>IF($E1628="","",Y1628*AB1628/100)</f>
        <v/>
      </c>
      <c r="AD1628" s="7">
        <f>IF($E1628="","",Y1628-AC1628)</f>
        <v/>
      </c>
      <c r="AE1628" s="7">
        <f>IF($E1628="","",AD1628-Q1628)</f>
        <v/>
      </c>
      <c r="AI1628" s="7" t="n"/>
      <c r="AL1628" s="11" t="n"/>
      <c r="AN1628">
        <f>IF($E1628="","",IF(COUNTIF($E$2:$E1628,$E1628)=1,1,0))</f>
        <v/>
      </c>
      <c r="AO1628">
        <f>IF($AN1628=1,SUMPRODUCT(--($AR$2:$AR$4001&lt;$AR1628))+1,"")</f>
        <v/>
      </c>
      <c r="AP1628">
        <f>IF($E1628="","",IF(OR($U1628=TRUE(),$U1628="TRUE"),1,0))</f>
        <v/>
      </c>
      <c r="AQ1628">
        <f>IF($E1628="","",IF($AA1628="Yes",1,0))</f>
        <v/>
      </c>
      <c r="AR1628">
        <f>IF($AN1628=1,IFERROR(VALUE(MID($E1628,2,20)),1000000000)+ROW()/100000,"")</f>
        <v/>
      </c>
    </row>
    <row r="1629">
      <c r="G1629" s="11" t="n"/>
      <c r="Q1629" s="7">
        <f>IF($E1629="","",P1629*Y1629/100)</f>
        <v/>
      </c>
      <c r="R1629" s="7" t="n"/>
      <c r="X1629" s="7" t="n"/>
      <c r="Y1629" s="7" t="n"/>
      <c r="AB1629">
        <f>IF($E1629="","",IF($AQ1629=1,0,IF($AP1629=1,Settings!$C$6,Settings!$C$7))*100)</f>
        <v/>
      </c>
      <c r="AC1629" s="7">
        <f>IF($E1629="","",Y1629*AB1629/100)</f>
        <v/>
      </c>
      <c r="AD1629" s="7">
        <f>IF($E1629="","",Y1629-AC1629)</f>
        <v/>
      </c>
      <c r="AE1629" s="7">
        <f>IF($E1629="","",AD1629-Q1629)</f>
        <v/>
      </c>
      <c r="AI1629" s="7" t="n"/>
      <c r="AL1629" s="11" t="n"/>
      <c r="AN1629">
        <f>IF($E1629="","",IF(COUNTIF($E$2:$E1629,$E1629)=1,1,0))</f>
        <v/>
      </c>
      <c r="AO1629">
        <f>IF($AN1629=1,SUMPRODUCT(--($AR$2:$AR$4001&lt;$AR1629))+1,"")</f>
        <v/>
      </c>
      <c r="AP1629">
        <f>IF($E1629="","",IF(OR($U1629=TRUE(),$U1629="TRUE"),1,0))</f>
        <v/>
      </c>
      <c r="AQ1629">
        <f>IF($E1629="","",IF($AA1629="Yes",1,0))</f>
        <v/>
      </c>
      <c r="AR1629">
        <f>IF($AN1629=1,IFERROR(VALUE(MID($E1629,2,20)),1000000000)+ROW()/100000,"")</f>
        <v/>
      </c>
    </row>
    <row r="1630">
      <c r="G1630" s="11" t="n"/>
      <c r="Q1630" s="7">
        <f>IF($E1630="","",P1630*Y1630/100)</f>
        <v/>
      </c>
      <c r="R1630" s="7" t="n"/>
      <c r="X1630" s="7" t="n"/>
      <c r="Y1630" s="7" t="n"/>
      <c r="AB1630">
        <f>IF($E1630="","",IF($AQ1630=1,0,IF($AP1630=1,Settings!$C$6,Settings!$C$7))*100)</f>
        <v/>
      </c>
      <c r="AC1630" s="7">
        <f>IF($E1630="","",Y1630*AB1630/100)</f>
        <v/>
      </c>
      <c r="AD1630" s="7">
        <f>IF($E1630="","",Y1630-AC1630)</f>
        <v/>
      </c>
      <c r="AE1630" s="7">
        <f>IF($E1630="","",AD1630-Q1630)</f>
        <v/>
      </c>
      <c r="AI1630" s="7" t="n"/>
      <c r="AL1630" s="11" t="n"/>
      <c r="AN1630">
        <f>IF($E1630="","",IF(COUNTIF($E$2:$E1630,$E1630)=1,1,0))</f>
        <v/>
      </c>
      <c r="AO1630">
        <f>IF($AN1630=1,SUMPRODUCT(--($AR$2:$AR$4001&lt;$AR1630))+1,"")</f>
        <v/>
      </c>
      <c r="AP1630">
        <f>IF($E1630="","",IF(OR($U1630=TRUE(),$U1630="TRUE"),1,0))</f>
        <v/>
      </c>
      <c r="AQ1630">
        <f>IF($E1630="","",IF($AA1630="Yes",1,0))</f>
        <v/>
      </c>
      <c r="AR1630">
        <f>IF($AN1630=1,IFERROR(VALUE(MID($E1630,2,20)),1000000000)+ROW()/100000,"")</f>
        <v/>
      </c>
    </row>
    <row r="1631">
      <c r="G1631" s="11" t="n"/>
      <c r="Q1631" s="7">
        <f>IF($E1631="","",P1631*Y1631/100)</f>
        <v/>
      </c>
      <c r="R1631" s="7" t="n"/>
      <c r="X1631" s="7" t="n"/>
      <c r="Y1631" s="7" t="n"/>
      <c r="AB1631">
        <f>IF($E1631="","",IF($AQ1631=1,0,IF($AP1631=1,Settings!$C$6,Settings!$C$7))*100)</f>
        <v/>
      </c>
      <c r="AC1631" s="7">
        <f>IF($E1631="","",Y1631*AB1631/100)</f>
        <v/>
      </c>
      <c r="AD1631" s="7">
        <f>IF($E1631="","",Y1631-AC1631)</f>
        <v/>
      </c>
      <c r="AE1631" s="7">
        <f>IF($E1631="","",AD1631-Q1631)</f>
        <v/>
      </c>
      <c r="AI1631" s="7" t="n"/>
      <c r="AL1631" s="11" t="n"/>
      <c r="AN1631">
        <f>IF($E1631="","",IF(COUNTIF($E$2:$E1631,$E1631)=1,1,0))</f>
        <v/>
      </c>
      <c r="AO1631">
        <f>IF($AN1631=1,SUMPRODUCT(--($AR$2:$AR$4001&lt;$AR1631))+1,"")</f>
        <v/>
      </c>
      <c r="AP1631">
        <f>IF($E1631="","",IF(OR($U1631=TRUE(),$U1631="TRUE"),1,0))</f>
        <v/>
      </c>
      <c r="AQ1631">
        <f>IF($E1631="","",IF($AA1631="Yes",1,0))</f>
        <v/>
      </c>
      <c r="AR1631">
        <f>IF($AN1631=1,IFERROR(VALUE(MID($E1631,2,20)),1000000000)+ROW()/100000,"")</f>
        <v/>
      </c>
    </row>
    <row r="1632">
      <c r="G1632" s="11" t="n"/>
      <c r="Q1632" s="7">
        <f>IF($E1632="","",P1632*Y1632/100)</f>
        <v/>
      </c>
      <c r="R1632" s="7" t="n"/>
      <c r="X1632" s="7" t="n"/>
      <c r="Y1632" s="7" t="n"/>
      <c r="AB1632">
        <f>IF($E1632="","",IF($AQ1632=1,0,IF($AP1632=1,Settings!$C$6,Settings!$C$7))*100)</f>
        <v/>
      </c>
      <c r="AC1632" s="7">
        <f>IF($E1632="","",Y1632*AB1632/100)</f>
        <v/>
      </c>
      <c r="AD1632" s="7">
        <f>IF($E1632="","",Y1632-AC1632)</f>
        <v/>
      </c>
      <c r="AE1632" s="7">
        <f>IF($E1632="","",AD1632-Q1632)</f>
        <v/>
      </c>
      <c r="AI1632" s="7" t="n"/>
      <c r="AL1632" s="11" t="n"/>
      <c r="AN1632">
        <f>IF($E1632="","",IF(COUNTIF($E$2:$E1632,$E1632)=1,1,0))</f>
        <v/>
      </c>
      <c r="AO1632">
        <f>IF($AN1632=1,SUMPRODUCT(--($AR$2:$AR$4001&lt;$AR1632))+1,"")</f>
        <v/>
      </c>
      <c r="AP1632">
        <f>IF($E1632="","",IF(OR($U1632=TRUE(),$U1632="TRUE"),1,0))</f>
        <v/>
      </c>
      <c r="AQ1632">
        <f>IF($E1632="","",IF($AA1632="Yes",1,0))</f>
        <v/>
      </c>
      <c r="AR1632">
        <f>IF($AN1632=1,IFERROR(VALUE(MID($E1632,2,20)),1000000000)+ROW()/100000,"")</f>
        <v/>
      </c>
    </row>
    <row r="1633">
      <c r="G1633" s="11" t="n"/>
      <c r="Q1633" s="7">
        <f>IF($E1633="","",P1633*Y1633/100)</f>
        <v/>
      </c>
      <c r="R1633" s="7" t="n"/>
      <c r="X1633" s="7" t="n"/>
      <c r="Y1633" s="7" t="n"/>
      <c r="AB1633">
        <f>IF($E1633="","",IF($AQ1633=1,0,IF($AP1633=1,Settings!$C$6,Settings!$C$7))*100)</f>
        <v/>
      </c>
      <c r="AC1633" s="7">
        <f>IF($E1633="","",Y1633*AB1633/100)</f>
        <v/>
      </c>
      <c r="AD1633" s="7">
        <f>IF($E1633="","",Y1633-AC1633)</f>
        <v/>
      </c>
      <c r="AE1633" s="7">
        <f>IF($E1633="","",AD1633-Q1633)</f>
        <v/>
      </c>
      <c r="AI1633" s="7" t="n"/>
      <c r="AL1633" s="11" t="n"/>
      <c r="AN1633">
        <f>IF($E1633="","",IF(COUNTIF($E$2:$E1633,$E1633)=1,1,0))</f>
        <v/>
      </c>
      <c r="AO1633">
        <f>IF($AN1633=1,SUMPRODUCT(--($AR$2:$AR$4001&lt;$AR1633))+1,"")</f>
        <v/>
      </c>
      <c r="AP1633">
        <f>IF($E1633="","",IF(OR($U1633=TRUE(),$U1633="TRUE"),1,0))</f>
        <v/>
      </c>
      <c r="AQ1633">
        <f>IF($E1633="","",IF($AA1633="Yes",1,0))</f>
        <v/>
      </c>
      <c r="AR1633">
        <f>IF($AN1633=1,IFERROR(VALUE(MID($E1633,2,20)),1000000000)+ROW()/100000,"")</f>
        <v/>
      </c>
    </row>
    <row r="1634">
      <c r="G1634" s="11" t="n"/>
      <c r="Q1634" s="7">
        <f>IF($E1634="","",P1634*Y1634/100)</f>
        <v/>
      </c>
      <c r="R1634" s="7" t="n"/>
      <c r="X1634" s="7" t="n"/>
      <c r="Y1634" s="7" t="n"/>
      <c r="AB1634">
        <f>IF($E1634="","",IF($AQ1634=1,0,IF($AP1634=1,Settings!$C$6,Settings!$C$7))*100)</f>
        <v/>
      </c>
      <c r="AC1634" s="7">
        <f>IF($E1634="","",Y1634*AB1634/100)</f>
        <v/>
      </c>
      <c r="AD1634" s="7">
        <f>IF($E1634="","",Y1634-AC1634)</f>
        <v/>
      </c>
      <c r="AE1634" s="7">
        <f>IF($E1634="","",AD1634-Q1634)</f>
        <v/>
      </c>
      <c r="AI1634" s="7" t="n"/>
      <c r="AL1634" s="11" t="n"/>
      <c r="AN1634">
        <f>IF($E1634="","",IF(COUNTIF($E$2:$E1634,$E1634)=1,1,0))</f>
        <v/>
      </c>
      <c r="AO1634">
        <f>IF($AN1634=1,SUMPRODUCT(--($AR$2:$AR$4001&lt;$AR1634))+1,"")</f>
        <v/>
      </c>
      <c r="AP1634">
        <f>IF($E1634="","",IF(OR($U1634=TRUE(),$U1634="TRUE"),1,0))</f>
        <v/>
      </c>
      <c r="AQ1634">
        <f>IF($E1634="","",IF($AA1634="Yes",1,0))</f>
        <v/>
      </c>
      <c r="AR1634">
        <f>IF($AN1634=1,IFERROR(VALUE(MID($E1634,2,20)),1000000000)+ROW()/100000,"")</f>
        <v/>
      </c>
    </row>
    <row r="1635">
      <c r="G1635" s="11" t="n"/>
      <c r="Q1635" s="7">
        <f>IF($E1635="","",P1635*Y1635/100)</f>
        <v/>
      </c>
      <c r="R1635" s="7" t="n"/>
      <c r="X1635" s="7" t="n"/>
      <c r="Y1635" s="7" t="n"/>
      <c r="AB1635">
        <f>IF($E1635="","",IF($AQ1635=1,0,IF($AP1635=1,Settings!$C$6,Settings!$C$7))*100)</f>
        <v/>
      </c>
      <c r="AC1635" s="7">
        <f>IF($E1635="","",Y1635*AB1635/100)</f>
        <v/>
      </c>
      <c r="AD1635" s="7">
        <f>IF($E1635="","",Y1635-AC1635)</f>
        <v/>
      </c>
      <c r="AE1635" s="7">
        <f>IF($E1635="","",AD1635-Q1635)</f>
        <v/>
      </c>
      <c r="AI1635" s="7" t="n"/>
      <c r="AL1635" s="11" t="n"/>
      <c r="AN1635">
        <f>IF($E1635="","",IF(COUNTIF($E$2:$E1635,$E1635)=1,1,0))</f>
        <v/>
      </c>
      <c r="AO1635">
        <f>IF($AN1635=1,SUMPRODUCT(--($AR$2:$AR$4001&lt;$AR1635))+1,"")</f>
        <v/>
      </c>
      <c r="AP1635">
        <f>IF($E1635="","",IF(OR($U1635=TRUE(),$U1635="TRUE"),1,0))</f>
        <v/>
      </c>
      <c r="AQ1635">
        <f>IF($E1635="","",IF($AA1635="Yes",1,0))</f>
        <v/>
      </c>
      <c r="AR1635">
        <f>IF($AN1635=1,IFERROR(VALUE(MID($E1635,2,20)),1000000000)+ROW()/100000,"")</f>
        <v/>
      </c>
    </row>
    <row r="1636">
      <c r="G1636" s="11" t="n"/>
      <c r="Q1636" s="7">
        <f>IF($E1636="","",P1636*Y1636/100)</f>
        <v/>
      </c>
      <c r="R1636" s="7" t="n"/>
      <c r="X1636" s="7" t="n"/>
      <c r="Y1636" s="7" t="n"/>
      <c r="AB1636">
        <f>IF($E1636="","",IF($AQ1636=1,0,IF($AP1636=1,Settings!$C$6,Settings!$C$7))*100)</f>
        <v/>
      </c>
      <c r="AC1636" s="7">
        <f>IF($E1636="","",Y1636*AB1636/100)</f>
        <v/>
      </c>
      <c r="AD1636" s="7">
        <f>IF($E1636="","",Y1636-AC1636)</f>
        <v/>
      </c>
      <c r="AE1636" s="7">
        <f>IF($E1636="","",AD1636-Q1636)</f>
        <v/>
      </c>
      <c r="AI1636" s="7" t="n"/>
      <c r="AL1636" s="11" t="n"/>
      <c r="AN1636">
        <f>IF($E1636="","",IF(COUNTIF($E$2:$E1636,$E1636)=1,1,0))</f>
        <v/>
      </c>
      <c r="AO1636">
        <f>IF($AN1636=1,SUMPRODUCT(--($AR$2:$AR$4001&lt;$AR1636))+1,"")</f>
        <v/>
      </c>
      <c r="AP1636">
        <f>IF($E1636="","",IF(OR($U1636=TRUE(),$U1636="TRUE"),1,0))</f>
        <v/>
      </c>
      <c r="AQ1636">
        <f>IF($E1636="","",IF($AA1636="Yes",1,0))</f>
        <v/>
      </c>
      <c r="AR1636">
        <f>IF($AN1636=1,IFERROR(VALUE(MID($E1636,2,20)),1000000000)+ROW()/100000,"")</f>
        <v/>
      </c>
    </row>
    <row r="1637">
      <c r="G1637" s="11" t="n"/>
      <c r="Q1637" s="7">
        <f>IF($E1637="","",P1637*Y1637/100)</f>
        <v/>
      </c>
      <c r="R1637" s="7" t="n"/>
      <c r="X1637" s="7" t="n"/>
      <c r="Y1637" s="7" t="n"/>
      <c r="AB1637">
        <f>IF($E1637="","",IF($AQ1637=1,0,IF($AP1637=1,Settings!$C$6,Settings!$C$7))*100)</f>
        <v/>
      </c>
      <c r="AC1637" s="7">
        <f>IF($E1637="","",Y1637*AB1637/100)</f>
        <v/>
      </c>
      <c r="AD1637" s="7">
        <f>IF($E1637="","",Y1637-AC1637)</f>
        <v/>
      </c>
      <c r="AE1637" s="7">
        <f>IF($E1637="","",AD1637-Q1637)</f>
        <v/>
      </c>
      <c r="AI1637" s="7" t="n"/>
      <c r="AL1637" s="11" t="n"/>
      <c r="AN1637">
        <f>IF($E1637="","",IF(COUNTIF($E$2:$E1637,$E1637)=1,1,0))</f>
        <v/>
      </c>
      <c r="AO1637">
        <f>IF($AN1637=1,SUMPRODUCT(--($AR$2:$AR$4001&lt;$AR1637))+1,"")</f>
        <v/>
      </c>
      <c r="AP1637">
        <f>IF($E1637="","",IF(OR($U1637=TRUE(),$U1637="TRUE"),1,0))</f>
        <v/>
      </c>
      <c r="AQ1637">
        <f>IF($E1637="","",IF($AA1637="Yes",1,0))</f>
        <v/>
      </c>
      <c r="AR1637">
        <f>IF($AN1637=1,IFERROR(VALUE(MID($E1637,2,20)),1000000000)+ROW()/100000,"")</f>
        <v/>
      </c>
    </row>
    <row r="1638">
      <c r="G1638" s="11" t="n"/>
      <c r="Q1638" s="7">
        <f>IF($E1638="","",P1638*Y1638/100)</f>
        <v/>
      </c>
      <c r="R1638" s="7" t="n"/>
      <c r="X1638" s="7" t="n"/>
      <c r="Y1638" s="7" t="n"/>
      <c r="AB1638">
        <f>IF($E1638="","",IF($AQ1638=1,0,IF($AP1638=1,Settings!$C$6,Settings!$C$7))*100)</f>
        <v/>
      </c>
      <c r="AC1638" s="7">
        <f>IF($E1638="","",Y1638*AB1638/100)</f>
        <v/>
      </c>
      <c r="AD1638" s="7">
        <f>IF($E1638="","",Y1638-AC1638)</f>
        <v/>
      </c>
      <c r="AE1638" s="7">
        <f>IF($E1638="","",AD1638-Q1638)</f>
        <v/>
      </c>
      <c r="AI1638" s="7" t="n"/>
      <c r="AL1638" s="11" t="n"/>
      <c r="AN1638">
        <f>IF($E1638="","",IF(COUNTIF($E$2:$E1638,$E1638)=1,1,0))</f>
        <v/>
      </c>
      <c r="AO1638">
        <f>IF($AN1638=1,SUMPRODUCT(--($AR$2:$AR$4001&lt;$AR1638))+1,"")</f>
        <v/>
      </c>
      <c r="AP1638">
        <f>IF($E1638="","",IF(OR($U1638=TRUE(),$U1638="TRUE"),1,0))</f>
        <v/>
      </c>
      <c r="AQ1638">
        <f>IF($E1638="","",IF($AA1638="Yes",1,0))</f>
        <v/>
      </c>
      <c r="AR1638">
        <f>IF($AN1638=1,IFERROR(VALUE(MID($E1638,2,20)),1000000000)+ROW()/100000,"")</f>
        <v/>
      </c>
    </row>
    <row r="1639">
      <c r="G1639" s="11" t="n"/>
      <c r="Q1639" s="7">
        <f>IF($E1639="","",P1639*Y1639/100)</f>
        <v/>
      </c>
      <c r="R1639" s="7" t="n"/>
      <c r="X1639" s="7" t="n"/>
      <c r="Y1639" s="7" t="n"/>
      <c r="AB1639">
        <f>IF($E1639="","",IF($AQ1639=1,0,IF($AP1639=1,Settings!$C$6,Settings!$C$7))*100)</f>
        <v/>
      </c>
      <c r="AC1639" s="7">
        <f>IF($E1639="","",Y1639*AB1639/100)</f>
        <v/>
      </c>
      <c r="AD1639" s="7">
        <f>IF($E1639="","",Y1639-AC1639)</f>
        <v/>
      </c>
      <c r="AE1639" s="7">
        <f>IF($E1639="","",AD1639-Q1639)</f>
        <v/>
      </c>
      <c r="AI1639" s="7" t="n"/>
      <c r="AL1639" s="11" t="n"/>
      <c r="AN1639">
        <f>IF($E1639="","",IF(COUNTIF($E$2:$E1639,$E1639)=1,1,0))</f>
        <v/>
      </c>
      <c r="AO1639">
        <f>IF($AN1639=1,SUMPRODUCT(--($AR$2:$AR$4001&lt;$AR1639))+1,"")</f>
        <v/>
      </c>
      <c r="AP1639">
        <f>IF($E1639="","",IF(OR($U1639=TRUE(),$U1639="TRUE"),1,0))</f>
        <v/>
      </c>
      <c r="AQ1639">
        <f>IF($E1639="","",IF($AA1639="Yes",1,0))</f>
        <v/>
      </c>
      <c r="AR1639">
        <f>IF($AN1639=1,IFERROR(VALUE(MID($E1639,2,20)),1000000000)+ROW()/100000,"")</f>
        <v/>
      </c>
    </row>
    <row r="1640">
      <c r="G1640" s="11" t="n"/>
      <c r="Q1640" s="7">
        <f>IF($E1640="","",P1640*Y1640/100)</f>
        <v/>
      </c>
      <c r="R1640" s="7" t="n"/>
      <c r="X1640" s="7" t="n"/>
      <c r="Y1640" s="7" t="n"/>
      <c r="AB1640">
        <f>IF($E1640="","",IF($AQ1640=1,0,IF($AP1640=1,Settings!$C$6,Settings!$C$7))*100)</f>
        <v/>
      </c>
      <c r="AC1640" s="7">
        <f>IF($E1640="","",Y1640*AB1640/100)</f>
        <v/>
      </c>
      <c r="AD1640" s="7">
        <f>IF($E1640="","",Y1640-AC1640)</f>
        <v/>
      </c>
      <c r="AE1640" s="7">
        <f>IF($E1640="","",AD1640-Q1640)</f>
        <v/>
      </c>
      <c r="AI1640" s="7" t="n"/>
      <c r="AL1640" s="11" t="n"/>
      <c r="AN1640">
        <f>IF($E1640="","",IF(COUNTIF($E$2:$E1640,$E1640)=1,1,0))</f>
        <v/>
      </c>
      <c r="AO1640">
        <f>IF($AN1640=1,SUMPRODUCT(--($AR$2:$AR$4001&lt;$AR1640))+1,"")</f>
        <v/>
      </c>
      <c r="AP1640">
        <f>IF($E1640="","",IF(OR($U1640=TRUE(),$U1640="TRUE"),1,0))</f>
        <v/>
      </c>
      <c r="AQ1640">
        <f>IF($E1640="","",IF($AA1640="Yes",1,0))</f>
        <v/>
      </c>
      <c r="AR1640">
        <f>IF($AN1640=1,IFERROR(VALUE(MID($E1640,2,20)),1000000000)+ROW()/100000,"")</f>
        <v/>
      </c>
    </row>
    <row r="1641">
      <c r="G1641" s="11" t="n"/>
      <c r="Q1641" s="7">
        <f>IF($E1641="","",P1641*Y1641/100)</f>
        <v/>
      </c>
      <c r="R1641" s="7" t="n"/>
      <c r="X1641" s="7" t="n"/>
      <c r="Y1641" s="7" t="n"/>
      <c r="AB1641">
        <f>IF($E1641="","",IF($AQ1641=1,0,IF($AP1641=1,Settings!$C$6,Settings!$C$7))*100)</f>
        <v/>
      </c>
      <c r="AC1641" s="7">
        <f>IF($E1641="","",Y1641*AB1641/100)</f>
        <v/>
      </c>
      <c r="AD1641" s="7">
        <f>IF($E1641="","",Y1641-AC1641)</f>
        <v/>
      </c>
      <c r="AE1641" s="7">
        <f>IF($E1641="","",AD1641-Q1641)</f>
        <v/>
      </c>
      <c r="AI1641" s="7" t="n"/>
      <c r="AL1641" s="11" t="n"/>
      <c r="AN1641">
        <f>IF($E1641="","",IF(COUNTIF($E$2:$E1641,$E1641)=1,1,0))</f>
        <v/>
      </c>
      <c r="AO1641">
        <f>IF($AN1641=1,SUMPRODUCT(--($AR$2:$AR$4001&lt;$AR1641))+1,"")</f>
        <v/>
      </c>
      <c r="AP1641">
        <f>IF($E1641="","",IF(OR($U1641=TRUE(),$U1641="TRUE"),1,0))</f>
        <v/>
      </c>
      <c r="AQ1641">
        <f>IF($E1641="","",IF($AA1641="Yes",1,0))</f>
        <v/>
      </c>
      <c r="AR1641">
        <f>IF($AN1641=1,IFERROR(VALUE(MID($E1641,2,20)),1000000000)+ROW()/100000,"")</f>
        <v/>
      </c>
    </row>
    <row r="1642">
      <c r="G1642" s="11" t="n"/>
      <c r="Q1642" s="7">
        <f>IF($E1642="","",P1642*Y1642/100)</f>
        <v/>
      </c>
      <c r="R1642" s="7" t="n"/>
      <c r="X1642" s="7" t="n"/>
      <c r="Y1642" s="7" t="n"/>
      <c r="AB1642">
        <f>IF($E1642="","",IF($AQ1642=1,0,IF($AP1642=1,Settings!$C$6,Settings!$C$7))*100)</f>
        <v/>
      </c>
      <c r="AC1642" s="7">
        <f>IF($E1642="","",Y1642*AB1642/100)</f>
        <v/>
      </c>
      <c r="AD1642" s="7">
        <f>IF($E1642="","",Y1642-AC1642)</f>
        <v/>
      </c>
      <c r="AE1642" s="7">
        <f>IF($E1642="","",AD1642-Q1642)</f>
        <v/>
      </c>
      <c r="AI1642" s="7" t="n"/>
      <c r="AL1642" s="11" t="n"/>
      <c r="AN1642">
        <f>IF($E1642="","",IF(COUNTIF($E$2:$E1642,$E1642)=1,1,0))</f>
        <v/>
      </c>
      <c r="AO1642">
        <f>IF($AN1642=1,SUMPRODUCT(--($AR$2:$AR$4001&lt;$AR1642))+1,"")</f>
        <v/>
      </c>
      <c r="AP1642">
        <f>IF($E1642="","",IF(OR($U1642=TRUE(),$U1642="TRUE"),1,0))</f>
        <v/>
      </c>
      <c r="AQ1642">
        <f>IF($E1642="","",IF($AA1642="Yes",1,0))</f>
        <v/>
      </c>
      <c r="AR1642">
        <f>IF($AN1642=1,IFERROR(VALUE(MID($E1642,2,20)),1000000000)+ROW()/100000,"")</f>
        <v/>
      </c>
    </row>
    <row r="1643">
      <c r="G1643" s="11" t="n"/>
      <c r="Q1643" s="7">
        <f>IF($E1643="","",P1643*Y1643/100)</f>
        <v/>
      </c>
      <c r="R1643" s="7" t="n"/>
      <c r="X1643" s="7" t="n"/>
      <c r="Y1643" s="7" t="n"/>
      <c r="AB1643">
        <f>IF($E1643="","",IF($AQ1643=1,0,IF($AP1643=1,Settings!$C$6,Settings!$C$7))*100)</f>
        <v/>
      </c>
      <c r="AC1643" s="7">
        <f>IF($E1643="","",Y1643*AB1643/100)</f>
        <v/>
      </c>
      <c r="AD1643" s="7">
        <f>IF($E1643="","",Y1643-AC1643)</f>
        <v/>
      </c>
      <c r="AE1643" s="7">
        <f>IF($E1643="","",AD1643-Q1643)</f>
        <v/>
      </c>
      <c r="AI1643" s="7" t="n"/>
      <c r="AL1643" s="11" t="n"/>
      <c r="AN1643">
        <f>IF($E1643="","",IF(COUNTIF($E$2:$E1643,$E1643)=1,1,0))</f>
        <v/>
      </c>
      <c r="AO1643">
        <f>IF($AN1643=1,SUMPRODUCT(--($AR$2:$AR$4001&lt;$AR1643))+1,"")</f>
        <v/>
      </c>
      <c r="AP1643">
        <f>IF($E1643="","",IF(OR($U1643=TRUE(),$U1643="TRUE"),1,0))</f>
        <v/>
      </c>
      <c r="AQ1643">
        <f>IF($E1643="","",IF($AA1643="Yes",1,0))</f>
        <v/>
      </c>
      <c r="AR1643">
        <f>IF($AN1643=1,IFERROR(VALUE(MID($E1643,2,20)),1000000000)+ROW()/100000,"")</f>
        <v/>
      </c>
    </row>
    <row r="1644">
      <c r="G1644" s="11" t="n"/>
      <c r="Q1644" s="7">
        <f>IF($E1644="","",P1644*Y1644/100)</f>
        <v/>
      </c>
      <c r="R1644" s="7" t="n"/>
      <c r="X1644" s="7" t="n"/>
      <c r="Y1644" s="7" t="n"/>
      <c r="AB1644">
        <f>IF($E1644="","",IF($AQ1644=1,0,IF($AP1644=1,Settings!$C$6,Settings!$C$7))*100)</f>
        <v/>
      </c>
      <c r="AC1644" s="7">
        <f>IF($E1644="","",Y1644*AB1644/100)</f>
        <v/>
      </c>
      <c r="AD1644" s="7">
        <f>IF($E1644="","",Y1644-AC1644)</f>
        <v/>
      </c>
      <c r="AE1644" s="7">
        <f>IF($E1644="","",AD1644-Q1644)</f>
        <v/>
      </c>
      <c r="AI1644" s="7" t="n"/>
      <c r="AL1644" s="11" t="n"/>
      <c r="AN1644">
        <f>IF($E1644="","",IF(COUNTIF($E$2:$E1644,$E1644)=1,1,0))</f>
        <v/>
      </c>
      <c r="AO1644">
        <f>IF($AN1644=1,SUMPRODUCT(--($AR$2:$AR$4001&lt;$AR1644))+1,"")</f>
        <v/>
      </c>
      <c r="AP1644">
        <f>IF($E1644="","",IF(OR($U1644=TRUE(),$U1644="TRUE"),1,0))</f>
        <v/>
      </c>
      <c r="AQ1644">
        <f>IF($E1644="","",IF($AA1644="Yes",1,0))</f>
        <v/>
      </c>
      <c r="AR1644">
        <f>IF($AN1644=1,IFERROR(VALUE(MID($E1644,2,20)),1000000000)+ROW()/100000,"")</f>
        <v/>
      </c>
    </row>
    <row r="1645">
      <c r="G1645" s="11" t="n"/>
      <c r="Q1645" s="7">
        <f>IF($E1645="","",P1645*Y1645/100)</f>
        <v/>
      </c>
      <c r="R1645" s="7" t="n"/>
      <c r="X1645" s="7" t="n"/>
      <c r="Y1645" s="7" t="n"/>
      <c r="AB1645">
        <f>IF($E1645="","",IF($AQ1645=1,0,IF($AP1645=1,Settings!$C$6,Settings!$C$7))*100)</f>
        <v/>
      </c>
      <c r="AC1645" s="7">
        <f>IF($E1645="","",Y1645*AB1645/100)</f>
        <v/>
      </c>
      <c r="AD1645" s="7">
        <f>IF($E1645="","",Y1645-AC1645)</f>
        <v/>
      </c>
      <c r="AE1645" s="7">
        <f>IF($E1645="","",AD1645-Q1645)</f>
        <v/>
      </c>
      <c r="AI1645" s="7" t="n"/>
      <c r="AL1645" s="11" t="n"/>
      <c r="AN1645">
        <f>IF($E1645="","",IF(COUNTIF($E$2:$E1645,$E1645)=1,1,0))</f>
        <v/>
      </c>
      <c r="AO1645">
        <f>IF($AN1645=1,SUMPRODUCT(--($AR$2:$AR$4001&lt;$AR1645))+1,"")</f>
        <v/>
      </c>
      <c r="AP1645">
        <f>IF($E1645="","",IF(OR($U1645=TRUE(),$U1645="TRUE"),1,0))</f>
        <v/>
      </c>
      <c r="AQ1645">
        <f>IF($E1645="","",IF($AA1645="Yes",1,0))</f>
        <v/>
      </c>
      <c r="AR1645">
        <f>IF($AN1645=1,IFERROR(VALUE(MID($E1645,2,20)),1000000000)+ROW()/100000,"")</f>
        <v/>
      </c>
    </row>
    <row r="1646">
      <c r="G1646" s="11" t="n"/>
      <c r="Q1646" s="7">
        <f>IF($E1646="","",P1646*Y1646/100)</f>
        <v/>
      </c>
      <c r="R1646" s="7" t="n"/>
      <c r="X1646" s="7" t="n"/>
      <c r="Y1646" s="7" t="n"/>
      <c r="AB1646">
        <f>IF($E1646="","",IF($AQ1646=1,0,IF($AP1646=1,Settings!$C$6,Settings!$C$7))*100)</f>
        <v/>
      </c>
      <c r="AC1646" s="7">
        <f>IF($E1646="","",Y1646*AB1646/100)</f>
        <v/>
      </c>
      <c r="AD1646" s="7">
        <f>IF($E1646="","",Y1646-AC1646)</f>
        <v/>
      </c>
      <c r="AE1646" s="7">
        <f>IF($E1646="","",AD1646-Q1646)</f>
        <v/>
      </c>
      <c r="AI1646" s="7" t="n"/>
      <c r="AL1646" s="11" t="n"/>
      <c r="AN1646">
        <f>IF($E1646="","",IF(COUNTIF($E$2:$E1646,$E1646)=1,1,0))</f>
        <v/>
      </c>
      <c r="AO1646">
        <f>IF($AN1646=1,SUMPRODUCT(--($AR$2:$AR$4001&lt;$AR1646))+1,"")</f>
        <v/>
      </c>
      <c r="AP1646">
        <f>IF($E1646="","",IF(OR($U1646=TRUE(),$U1646="TRUE"),1,0))</f>
        <v/>
      </c>
      <c r="AQ1646">
        <f>IF($E1646="","",IF($AA1646="Yes",1,0))</f>
        <v/>
      </c>
      <c r="AR1646">
        <f>IF($AN1646=1,IFERROR(VALUE(MID($E1646,2,20)),1000000000)+ROW()/100000,"")</f>
        <v/>
      </c>
    </row>
    <row r="1647">
      <c r="G1647" s="11" t="n"/>
      <c r="Q1647" s="7">
        <f>IF($E1647="","",P1647*Y1647/100)</f>
        <v/>
      </c>
      <c r="R1647" s="7" t="n"/>
      <c r="X1647" s="7" t="n"/>
      <c r="Y1647" s="7" t="n"/>
      <c r="AB1647">
        <f>IF($E1647="","",IF($AQ1647=1,0,IF($AP1647=1,Settings!$C$6,Settings!$C$7))*100)</f>
        <v/>
      </c>
      <c r="AC1647" s="7">
        <f>IF($E1647="","",Y1647*AB1647/100)</f>
        <v/>
      </c>
      <c r="AD1647" s="7">
        <f>IF($E1647="","",Y1647-AC1647)</f>
        <v/>
      </c>
      <c r="AE1647" s="7">
        <f>IF($E1647="","",AD1647-Q1647)</f>
        <v/>
      </c>
      <c r="AI1647" s="7" t="n"/>
      <c r="AL1647" s="11" t="n"/>
      <c r="AN1647">
        <f>IF($E1647="","",IF(COUNTIF($E$2:$E1647,$E1647)=1,1,0))</f>
        <v/>
      </c>
      <c r="AO1647">
        <f>IF($AN1647=1,SUMPRODUCT(--($AR$2:$AR$4001&lt;$AR1647))+1,"")</f>
        <v/>
      </c>
      <c r="AP1647">
        <f>IF($E1647="","",IF(OR($U1647=TRUE(),$U1647="TRUE"),1,0))</f>
        <v/>
      </c>
      <c r="AQ1647">
        <f>IF($E1647="","",IF($AA1647="Yes",1,0))</f>
        <v/>
      </c>
      <c r="AR1647">
        <f>IF($AN1647=1,IFERROR(VALUE(MID($E1647,2,20)),1000000000)+ROW()/100000,"")</f>
        <v/>
      </c>
    </row>
    <row r="1648">
      <c r="G1648" s="11" t="n"/>
      <c r="Q1648" s="7">
        <f>IF($E1648="","",P1648*Y1648/100)</f>
        <v/>
      </c>
      <c r="R1648" s="7" t="n"/>
      <c r="X1648" s="7" t="n"/>
      <c r="Y1648" s="7" t="n"/>
      <c r="AB1648">
        <f>IF($E1648="","",IF($AQ1648=1,0,IF($AP1648=1,Settings!$C$6,Settings!$C$7))*100)</f>
        <v/>
      </c>
      <c r="AC1648" s="7">
        <f>IF($E1648="","",Y1648*AB1648/100)</f>
        <v/>
      </c>
      <c r="AD1648" s="7">
        <f>IF($E1648="","",Y1648-AC1648)</f>
        <v/>
      </c>
      <c r="AE1648" s="7">
        <f>IF($E1648="","",AD1648-Q1648)</f>
        <v/>
      </c>
      <c r="AI1648" s="7" t="n"/>
      <c r="AL1648" s="11" t="n"/>
      <c r="AN1648">
        <f>IF($E1648="","",IF(COUNTIF($E$2:$E1648,$E1648)=1,1,0))</f>
        <v/>
      </c>
      <c r="AO1648">
        <f>IF($AN1648=1,SUMPRODUCT(--($AR$2:$AR$4001&lt;$AR1648))+1,"")</f>
        <v/>
      </c>
      <c r="AP1648">
        <f>IF($E1648="","",IF(OR($U1648=TRUE(),$U1648="TRUE"),1,0))</f>
        <v/>
      </c>
      <c r="AQ1648">
        <f>IF($E1648="","",IF($AA1648="Yes",1,0))</f>
        <v/>
      </c>
      <c r="AR1648">
        <f>IF($AN1648=1,IFERROR(VALUE(MID($E1648,2,20)),1000000000)+ROW()/100000,"")</f>
        <v/>
      </c>
    </row>
    <row r="1649">
      <c r="G1649" s="11" t="n"/>
      <c r="Q1649" s="7">
        <f>IF($E1649="","",P1649*Y1649/100)</f>
        <v/>
      </c>
      <c r="R1649" s="7" t="n"/>
      <c r="X1649" s="7" t="n"/>
      <c r="Y1649" s="7" t="n"/>
      <c r="AB1649">
        <f>IF($E1649="","",IF($AQ1649=1,0,IF($AP1649=1,Settings!$C$6,Settings!$C$7))*100)</f>
        <v/>
      </c>
      <c r="AC1649" s="7">
        <f>IF($E1649="","",Y1649*AB1649/100)</f>
        <v/>
      </c>
      <c r="AD1649" s="7">
        <f>IF($E1649="","",Y1649-AC1649)</f>
        <v/>
      </c>
      <c r="AE1649" s="7">
        <f>IF($E1649="","",AD1649-Q1649)</f>
        <v/>
      </c>
      <c r="AI1649" s="7" t="n"/>
      <c r="AL1649" s="11" t="n"/>
      <c r="AN1649">
        <f>IF($E1649="","",IF(COUNTIF($E$2:$E1649,$E1649)=1,1,0))</f>
        <v/>
      </c>
      <c r="AO1649">
        <f>IF($AN1649=1,SUMPRODUCT(--($AR$2:$AR$4001&lt;$AR1649))+1,"")</f>
        <v/>
      </c>
      <c r="AP1649">
        <f>IF($E1649="","",IF(OR($U1649=TRUE(),$U1649="TRUE"),1,0))</f>
        <v/>
      </c>
      <c r="AQ1649">
        <f>IF($E1649="","",IF($AA1649="Yes",1,0))</f>
        <v/>
      </c>
      <c r="AR1649">
        <f>IF($AN1649=1,IFERROR(VALUE(MID($E1649,2,20)),1000000000)+ROW()/100000,"")</f>
        <v/>
      </c>
    </row>
    <row r="1650">
      <c r="G1650" s="11" t="n"/>
      <c r="Q1650" s="7">
        <f>IF($E1650="","",P1650*Y1650/100)</f>
        <v/>
      </c>
      <c r="R1650" s="7" t="n"/>
      <c r="X1650" s="7" t="n"/>
      <c r="Y1650" s="7" t="n"/>
      <c r="AB1650">
        <f>IF($E1650="","",IF($AQ1650=1,0,IF($AP1650=1,Settings!$C$6,Settings!$C$7))*100)</f>
        <v/>
      </c>
      <c r="AC1650" s="7">
        <f>IF($E1650="","",Y1650*AB1650/100)</f>
        <v/>
      </c>
      <c r="AD1650" s="7">
        <f>IF($E1650="","",Y1650-AC1650)</f>
        <v/>
      </c>
      <c r="AE1650" s="7">
        <f>IF($E1650="","",AD1650-Q1650)</f>
        <v/>
      </c>
      <c r="AI1650" s="7" t="n"/>
      <c r="AL1650" s="11" t="n"/>
      <c r="AN1650">
        <f>IF($E1650="","",IF(COUNTIF($E$2:$E1650,$E1650)=1,1,0))</f>
        <v/>
      </c>
      <c r="AO1650">
        <f>IF($AN1650=1,SUMPRODUCT(--($AR$2:$AR$4001&lt;$AR1650))+1,"")</f>
        <v/>
      </c>
      <c r="AP1650">
        <f>IF($E1650="","",IF(OR($U1650=TRUE(),$U1650="TRUE"),1,0))</f>
        <v/>
      </c>
      <c r="AQ1650">
        <f>IF($E1650="","",IF($AA1650="Yes",1,0))</f>
        <v/>
      </c>
      <c r="AR1650">
        <f>IF($AN1650=1,IFERROR(VALUE(MID($E1650,2,20)),1000000000)+ROW()/100000,"")</f>
        <v/>
      </c>
    </row>
    <row r="1651">
      <c r="G1651" s="11" t="n"/>
      <c r="Q1651" s="7">
        <f>IF($E1651="","",P1651*Y1651/100)</f>
        <v/>
      </c>
      <c r="R1651" s="7" t="n"/>
      <c r="X1651" s="7" t="n"/>
      <c r="Y1651" s="7" t="n"/>
      <c r="AB1651">
        <f>IF($E1651="","",IF($AQ1651=1,0,IF($AP1651=1,Settings!$C$6,Settings!$C$7))*100)</f>
        <v/>
      </c>
      <c r="AC1651" s="7">
        <f>IF($E1651="","",Y1651*AB1651/100)</f>
        <v/>
      </c>
      <c r="AD1651" s="7">
        <f>IF($E1651="","",Y1651-AC1651)</f>
        <v/>
      </c>
      <c r="AE1651" s="7">
        <f>IF($E1651="","",AD1651-Q1651)</f>
        <v/>
      </c>
      <c r="AI1651" s="7" t="n"/>
      <c r="AL1651" s="11" t="n"/>
      <c r="AN1651">
        <f>IF($E1651="","",IF(COUNTIF($E$2:$E1651,$E1651)=1,1,0))</f>
        <v/>
      </c>
      <c r="AO1651">
        <f>IF($AN1651=1,SUMPRODUCT(--($AR$2:$AR$4001&lt;$AR1651))+1,"")</f>
        <v/>
      </c>
      <c r="AP1651">
        <f>IF($E1651="","",IF(OR($U1651=TRUE(),$U1651="TRUE"),1,0))</f>
        <v/>
      </c>
      <c r="AQ1651">
        <f>IF($E1651="","",IF($AA1651="Yes",1,0))</f>
        <v/>
      </c>
      <c r="AR1651">
        <f>IF($AN1651=1,IFERROR(VALUE(MID($E1651,2,20)),1000000000)+ROW()/100000,"")</f>
        <v/>
      </c>
    </row>
    <row r="1652">
      <c r="G1652" s="11" t="n"/>
      <c r="Q1652" s="7">
        <f>IF($E1652="","",P1652*Y1652/100)</f>
        <v/>
      </c>
      <c r="R1652" s="7" t="n"/>
      <c r="X1652" s="7" t="n"/>
      <c r="Y1652" s="7" t="n"/>
      <c r="AB1652">
        <f>IF($E1652="","",IF($AQ1652=1,0,IF($AP1652=1,Settings!$C$6,Settings!$C$7))*100)</f>
        <v/>
      </c>
      <c r="AC1652" s="7">
        <f>IF($E1652="","",Y1652*AB1652/100)</f>
        <v/>
      </c>
      <c r="AD1652" s="7">
        <f>IF($E1652="","",Y1652-AC1652)</f>
        <v/>
      </c>
      <c r="AE1652" s="7">
        <f>IF($E1652="","",AD1652-Q1652)</f>
        <v/>
      </c>
      <c r="AI1652" s="7" t="n"/>
      <c r="AL1652" s="11" t="n"/>
      <c r="AN1652">
        <f>IF($E1652="","",IF(COUNTIF($E$2:$E1652,$E1652)=1,1,0))</f>
        <v/>
      </c>
      <c r="AO1652">
        <f>IF($AN1652=1,SUMPRODUCT(--($AR$2:$AR$4001&lt;$AR1652))+1,"")</f>
        <v/>
      </c>
      <c r="AP1652">
        <f>IF($E1652="","",IF(OR($U1652=TRUE(),$U1652="TRUE"),1,0))</f>
        <v/>
      </c>
      <c r="AQ1652">
        <f>IF($E1652="","",IF($AA1652="Yes",1,0))</f>
        <v/>
      </c>
      <c r="AR1652">
        <f>IF($AN1652=1,IFERROR(VALUE(MID($E1652,2,20)),1000000000)+ROW()/100000,"")</f>
        <v/>
      </c>
    </row>
    <row r="1653">
      <c r="G1653" s="11" t="n"/>
      <c r="Q1653" s="7">
        <f>IF($E1653="","",P1653*Y1653/100)</f>
        <v/>
      </c>
      <c r="R1653" s="7" t="n"/>
      <c r="X1653" s="7" t="n"/>
      <c r="Y1653" s="7" t="n"/>
      <c r="AB1653">
        <f>IF($E1653="","",IF($AQ1653=1,0,IF($AP1653=1,Settings!$C$6,Settings!$C$7))*100)</f>
        <v/>
      </c>
      <c r="AC1653" s="7">
        <f>IF($E1653="","",Y1653*AB1653/100)</f>
        <v/>
      </c>
      <c r="AD1653" s="7">
        <f>IF($E1653="","",Y1653-AC1653)</f>
        <v/>
      </c>
      <c r="AE1653" s="7">
        <f>IF($E1653="","",AD1653-Q1653)</f>
        <v/>
      </c>
      <c r="AI1653" s="7" t="n"/>
      <c r="AL1653" s="11" t="n"/>
      <c r="AN1653">
        <f>IF($E1653="","",IF(COUNTIF($E$2:$E1653,$E1653)=1,1,0))</f>
        <v/>
      </c>
      <c r="AO1653">
        <f>IF($AN1653=1,SUMPRODUCT(--($AR$2:$AR$4001&lt;$AR1653))+1,"")</f>
        <v/>
      </c>
      <c r="AP1653">
        <f>IF($E1653="","",IF(OR($U1653=TRUE(),$U1653="TRUE"),1,0))</f>
        <v/>
      </c>
      <c r="AQ1653">
        <f>IF($E1653="","",IF($AA1653="Yes",1,0))</f>
        <v/>
      </c>
      <c r="AR1653">
        <f>IF($AN1653=1,IFERROR(VALUE(MID($E1653,2,20)),1000000000)+ROW()/100000,"")</f>
        <v/>
      </c>
    </row>
    <row r="1654">
      <c r="G1654" s="11" t="n"/>
      <c r="Q1654" s="7">
        <f>IF($E1654="","",P1654*Y1654/100)</f>
        <v/>
      </c>
      <c r="R1654" s="7" t="n"/>
      <c r="X1654" s="7" t="n"/>
      <c r="Y1654" s="7" t="n"/>
      <c r="AB1654">
        <f>IF($E1654="","",IF($AQ1654=1,0,IF($AP1654=1,Settings!$C$6,Settings!$C$7))*100)</f>
        <v/>
      </c>
      <c r="AC1654" s="7">
        <f>IF($E1654="","",Y1654*AB1654/100)</f>
        <v/>
      </c>
      <c r="AD1654" s="7">
        <f>IF($E1654="","",Y1654-AC1654)</f>
        <v/>
      </c>
      <c r="AE1654" s="7">
        <f>IF($E1654="","",AD1654-Q1654)</f>
        <v/>
      </c>
      <c r="AI1654" s="7" t="n"/>
      <c r="AL1654" s="11" t="n"/>
      <c r="AN1654">
        <f>IF($E1654="","",IF(COUNTIF($E$2:$E1654,$E1654)=1,1,0))</f>
        <v/>
      </c>
      <c r="AO1654">
        <f>IF($AN1654=1,SUMPRODUCT(--($AR$2:$AR$4001&lt;$AR1654))+1,"")</f>
        <v/>
      </c>
      <c r="AP1654">
        <f>IF($E1654="","",IF(OR($U1654=TRUE(),$U1654="TRUE"),1,0))</f>
        <v/>
      </c>
      <c r="AQ1654">
        <f>IF($E1654="","",IF($AA1654="Yes",1,0))</f>
        <v/>
      </c>
      <c r="AR1654">
        <f>IF($AN1654=1,IFERROR(VALUE(MID($E1654,2,20)),1000000000)+ROW()/100000,"")</f>
        <v/>
      </c>
    </row>
    <row r="1655">
      <c r="G1655" s="11" t="n"/>
      <c r="Q1655" s="7">
        <f>IF($E1655="","",P1655*Y1655/100)</f>
        <v/>
      </c>
      <c r="R1655" s="7" t="n"/>
      <c r="X1655" s="7" t="n"/>
      <c r="Y1655" s="7" t="n"/>
      <c r="AB1655">
        <f>IF($E1655="","",IF($AQ1655=1,0,IF($AP1655=1,Settings!$C$6,Settings!$C$7))*100)</f>
        <v/>
      </c>
      <c r="AC1655" s="7">
        <f>IF($E1655="","",Y1655*AB1655/100)</f>
        <v/>
      </c>
      <c r="AD1655" s="7">
        <f>IF($E1655="","",Y1655-AC1655)</f>
        <v/>
      </c>
      <c r="AE1655" s="7">
        <f>IF($E1655="","",AD1655-Q1655)</f>
        <v/>
      </c>
      <c r="AI1655" s="7" t="n"/>
      <c r="AL1655" s="11" t="n"/>
      <c r="AN1655">
        <f>IF($E1655="","",IF(COUNTIF($E$2:$E1655,$E1655)=1,1,0))</f>
        <v/>
      </c>
      <c r="AO1655">
        <f>IF($AN1655=1,SUMPRODUCT(--($AR$2:$AR$4001&lt;$AR1655))+1,"")</f>
        <v/>
      </c>
      <c r="AP1655">
        <f>IF($E1655="","",IF(OR($U1655=TRUE(),$U1655="TRUE"),1,0))</f>
        <v/>
      </c>
      <c r="AQ1655">
        <f>IF($E1655="","",IF($AA1655="Yes",1,0))</f>
        <v/>
      </c>
      <c r="AR1655">
        <f>IF($AN1655=1,IFERROR(VALUE(MID($E1655,2,20)),1000000000)+ROW()/100000,"")</f>
        <v/>
      </c>
    </row>
    <row r="1656">
      <c r="G1656" s="11" t="n"/>
      <c r="Q1656" s="7">
        <f>IF($E1656="","",P1656*Y1656/100)</f>
        <v/>
      </c>
      <c r="R1656" s="7" t="n"/>
      <c r="X1656" s="7" t="n"/>
      <c r="Y1656" s="7" t="n"/>
      <c r="AB1656">
        <f>IF($E1656="","",IF($AQ1656=1,0,IF($AP1656=1,Settings!$C$6,Settings!$C$7))*100)</f>
        <v/>
      </c>
      <c r="AC1656" s="7">
        <f>IF($E1656="","",Y1656*AB1656/100)</f>
        <v/>
      </c>
      <c r="AD1656" s="7">
        <f>IF($E1656="","",Y1656-AC1656)</f>
        <v/>
      </c>
      <c r="AE1656" s="7">
        <f>IF($E1656="","",AD1656-Q1656)</f>
        <v/>
      </c>
      <c r="AI1656" s="7" t="n"/>
      <c r="AL1656" s="11" t="n"/>
      <c r="AN1656">
        <f>IF($E1656="","",IF(COUNTIF($E$2:$E1656,$E1656)=1,1,0))</f>
        <v/>
      </c>
      <c r="AO1656">
        <f>IF($AN1656=1,SUMPRODUCT(--($AR$2:$AR$4001&lt;$AR1656))+1,"")</f>
        <v/>
      </c>
      <c r="AP1656">
        <f>IF($E1656="","",IF(OR($U1656=TRUE(),$U1656="TRUE"),1,0))</f>
        <v/>
      </c>
      <c r="AQ1656">
        <f>IF($E1656="","",IF($AA1656="Yes",1,0))</f>
        <v/>
      </c>
      <c r="AR1656">
        <f>IF($AN1656=1,IFERROR(VALUE(MID($E1656,2,20)),1000000000)+ROW()/100000,"")</f>
        <v/>
      </c>
    </row>
    <row r="1657">
      <c r="G1657" s="11" t="n"/>
      <c r="Q1657" s="7">
        <f>IF($E1657="","",P1657*Y1657/100)</f>
        <v/>
      </c>
      <c r="R1657" s="7" t="n"/>
      <c r="X1657" s="7" t="n"/>
      <c r="Y1657" s="7" t="n"/>
      <c r="AB1657">
        <f>IF($E1657="","",IF($AQ1657=1,0,IF($AP1657=1,Settings!$C$6,Settings!$C$7))*100)</f>
        <v/>
      </c>
      <c r="AC1657" s="7">
        <f>IF($E1657="","",Y1657*AB1657/100)</f>
        <v/>
      </c>
      <c r="AD1657" s="7">
        <f>IF($E1657="","",Y1657-AC1657)</f>
        <v/>
      </c>
      <c r="AE1657" s="7">
        <f>IF($E1657="","",AD1657-Q1657)</f>
        <v/>
      </c>
      <c r="AI1657" s="7" t="n"/>
      <c r="AL1657" s="11" t="n"/>
      <c r="AN1657">
        <f>IF($E1657="","",IF(COUNTIF($E$2:$E1657,$E1657)=1,1,0))</f>
        <v/>
      </c>
      <c r="AO1657">
        <f>IF($AN1657=1,SUMPRODUCT(--($AR$2:$AR$4001&lt;$AR1657))+1,"")</f>
        <v/>
      </c>
      <c r="AP1657">
        <f>IF($E1657="","",IF(OR($U1657=TRUE(),$U1657="TRUE"),1,0))</f>
        <v/>
      </c>
      <c r="AQ1657">
        <f>IF($E1657="","",IF($AA1657="Yes",1,0))</f>
        <v/>
      </c>
      <c r="AR1657">
        <f>IF($AN1657=1,IFERROR(VALUE(MID($E1657,2,20)),1000000000)+ROW()/100000,"")</f>
        <v/>
      </c>
    </row>
    <row r="1658">
      <c r="G1658" s="11" t="n"/>
      <c r="Q1658" s="7">
        <f>IF($E1658="","",P1658*Y1658/100)</f>
        <v/>
      </c>
      <c r="R1658" s="7" t="n"/>
      <c r="X1658" s="7" t="n"/>
      <c r="Y1658" s="7" t="n"/>
      <c r="AB1658">
        <f>IF($E1658="","",IF($AQ1658=1,0,IF($AP1658=1,Settings!$C$6,Settings!$C$7))*100)</f>
        <v/>
      </c>
      <c r="AC1658" s="7">
        <f>IF($E1658="","",Y1658*AB1658/100)</f>
        <v/>
      </c>
      <c r="AD1658" s="7">
        <f>IF($E1658="","",Y1658-AC1658)</f>
        <v/>
      </c>
      <c r="AE1658" s="7">
        <f>IF($E1658="","",AD1658-Q1658)</f>
        <v/>
      </c>
      <c r="AI1658" s="7" t="n"/>
      <c r="AL1658" s="11" t="n"/>
      <c r="AN1658">
        <f>IF($E1658="","",IF(COUNTIF($E$2:$E1658,$E1658)=1,1,0))</f>
        <v/>
      </c>
      <c r="AO1658">
        <f>IF($AN1658=1,SUMPRODUCT(--($AR$2:$AR$4001&lt;$AR1658))+1,"")</f>
        <v/>
      </c>
      <c r="AP1658">
        <f>IF($E1658="","",IF(OR($U1658=TRUE(),$U1658="TRUE"),1,0))</f>
        <v/>
      </c>
      <c r="AQ1658">
        <f>IF($E1658="","",IF($AA1658="Yes",1,0))</f>
        <v/>
      </c>
      <c r="AR1658">
        <f>IF($AN1658=1,IFERROR(VALUE(MID($E1658,2,20)),1000000000)+ROW()/100000,"")</f>
        <v/>
      </c>
    </row>
    <row r="1659">
      <c r="G1659" s="11" t="n"/>
      <c r="Q1659" s="7">
        <f>IF($E1659="","",P1659*Y1659/100)</f>
        <v/>
      </c>
      <c r="R1659" s="7" t="n"/>
      <c r="X1659" s="7" t="n"/>
      <c r="Y1659" s="7" t="n"/>
      <c r="AB1659">
        <f>IF($E1659="","",IF($AQ1659=1,0,IF($AP1659=1,Settings!$C$6,Settings!$C$7))*100)</f>
        <v/>
      </c>
      <c r="AC1659" s="7">
        <f>IF($E1659="","",Y1659*AB1659/100)</f>
        <v/>
      </c>
      <c r="AD1659" s="7">
        <f>IF($E1659="","",Y1659-AC1659)</f>
        <v/>
      </c>
      <c r="AE1659" s="7">
        <f>IF($E1659="","",AD1659-Q1659)</f>
        <v/>
      </c>
      <c r="AI1659" s="7" t="n"/>
      <c r="AL1659" s="11" t="n"/>
      <c r="AN1659">
        <f>IF($E1659="","",IF(COUNTIF($E$2:$E1659,$E1659)=1,1,0))</f>
        <v/>
      </c>
      <c r="AO1659">
        <f>IF($AN1659=1,SUMPRODUCT(--($AR$2:$AR$4001&lt;$AR1659))+1,"")</f>
        <v/>
      </c>
      <c r="AP1659">
        <f>IF($E1659="","",IF(OR($U1659=TRUE(),$U1659="TRUE"),1,0))</f>
        <v/>
      </c>
      <c r="AQ1659">
        <f>IF($E1659="","",IF($AA1659="Yes",1,0))</f>
        <v/>
      </c>
      <c r="AR1659">
        <f>IF($AN1659=1,IFERROR(VALUE(MID($E1659,2,20)),1000000000)+ROW()/100000,"")</f>
        <v/>
      </c>
    </row>
    <row r="1660">
      <c r="G1660" s="11" t="n"/>
      <c r="Q1660" s="7">
        <f>IF($E1660="","",P1660*Y1660/100)</f>
        <v/>
      </c>
      <c r="R1660" s="7" t="n"/>
      <c r="X1660" s="7" t="n"/>
      <c r="Y1660" s="7" t="n"/>
      <c r="AB1660">
        <f>IF($E1660="","",IF($AQ1660=1,0,IF($AP1660=1,Settings!$C$6,Settings!$C$7))*100)</f>
        <v/>
      </c>
      <c r="AC1660" s="7">
        <f>IF($E1660="","",Y1660*AB1660/100)</f>
        <v/>
      </c>
      <c r="AD1660" s="7">
        <f>IF($E1660="","",Y1660-AC1660)</f>
        <v/>
      </c>
      <c r="AE1660" s="7">
        <f>IF($E1660="","",AD1660-Q1660)</f>
        <v/>
      </c>
      <c r="AI1660" s="7" t="n"/>
      <c r="AL1660" s="11" t="n"/>
      <c r="AN1660">
        <f>IF($E1660="","",IF(COUNTIF($E$2:$E1660,$E1660)=1,1,0))</f>
        <v/>
      </c>
      <c r="AO1660">
        <f>IF($AN1660=1,SUMPRODUCT(--($AR$2:$AR$4001&lt;$AR1660))+1,"")</f>
        <v/>
      </c>
      <c r="AP1660">
        <f>IF($E1660="","",IF(OR($U1660=TRUE(),$U1660="TRUE"),1,0))</f>
        <v/>
      </c>
      <c r="AQ1660">
        <f>IF($E1660="","",IF($AA1660="Yes",1,0))</f>
        <v/>
      </c>
      <c r="AR1660">
        <f>IF($AN1660=1,IFERROR(VALUE(MID($E1660,2,20)),1000000000)+ROW()/100000,"")</f>
        <v/>
      </c>
    </row>
    <row r="1661">
      <c r="G1661" s="11" t="n"/>
      <c r="Q1661" s="7">
        <f>IF($E1661="","",P1661*Y1661/100)</f>
        <v/>
      </c>
      <c r="R1661" s="7" t="n"/>
      <c r="X1661" s="7" t="n"/>
      <c r="Y1661" s="7" t="n"/>
      <c r="AB1661">
        <f>IF($E1661="","",IF($AQ1661=1,0,IF($AP1661=1,Settings!$C$6,Settings!$C$7))*100)</f>
        <v/>
      </c>
      <c r="AC1661" s="7">
        <f>IF($E1661="","",Y1661*AB1661/100)</f>
        <v/>
      </c>
      <c r="AD1661" s="7">
        <f>IF($E1661="","",Y1661-AC1661)</f>
        <v/>
      </c>
      <c r="AE1661" s="7">
        <f>IF($E1661="","",AD1661-Q1661)</f>
        <v/>
      </c>
      <c r="AI1661" s="7" t="n"/>
      <c r="AL1661" s="11" t="n"/>
      <c r="AN1661">
        <f>IF($E1661="","",IF(COUNTIF($E$2:$E1661,$E1661)=1,1,0))</f>
        <v/>
      </c>
      <c r="AO1661">
        <f>IF($AN1661=1,SUMPRODUCT(--($AR$2:$AR$4001&lt;$AR1661))+1,"")</f>
        <v/>
      </c>
      <c r="AP1661">
        <f>IF($E1661="","",IF(OR($U1661=TRUE(),$U1661="TRUE"),1,0))</f>
        <v/>
      </c>
      <c r="AQ1661">
        <f>IF($E1661="","",IF($AA1661="Yes",1,0))</f>
        <v/>
      </c>
      <c r="AR1661">
        <f>IF($AN1661=1,IFERROR(VALUE(MID($E1661,2,20)),1000000000)+ROW()/100000,"")</f>
        <v/>
      </c>
    </row>
    <row r="1662">
      <c r="G1662" s="11" t="n"/>
      <c r="Q1662" s="7">
        <f>IF($E1662="","",P1662*Y1662/100)</f>
        <v/>
      </c>
      <c r="R1662" s="7" t="n"/>
      <c r="X1662" s="7" t="n"/>
      <c r="Y1662" s="7" t="n"/>
      <c r="AB1662">
        <f>IF($E1662="","",IF($AQ1662=1,0,IF($AP1662=1,Settings!$C$6,Settings!$C$7))*100)</f>
        <v/>
      </c>
      <c r="AC1662" s="7">
        <f>IF($E1662="","",Y1662*AB1662/100)</f>
        <v/>
      </c>
      <c r="AD1662" s="7">
        <f>IF($E1662="","",Y1662-AC1662)</f>
        <v/>
      </c>
      <c r="AE1662" s="7">
        <f>IF($E1662="","",AD1662-Q1662)</f>
        <v/>
      </c>
      <c r="AI1662" s="7" t="n"/>
      <c r="AL1662" s="11" t="n"/>
      <c r="AN1662">
        <f>IF($E1662="","",IF(COUNTIF($E$2:$E1662,$E1662)=1,1,0))</f>
        <v/>
      </c>
      <c r="AO1662">
        <f>IF($AN1662=1,SUMPRODUCT(--($AR$2:$AR$4001&lt;$AR1662))+1,"")</f>
        <v/>
      </c>
      <c r="AP1662">
        <f>IF($E1662="","",IF(OR($U1662=TRUE(),$U1662="TRUE"),1,0))</f>
        <v/>
      </c>
      <c r="AQ1662">
        <f>IF($E1662="","",IF($AA1662="Yes",1,0))</f>
        <v/>
      </c>
      <c r="AR1662">
        <f>IF($AN1662=1,IFERROR(VALUE(MID($E1662,2,20)),1000000000)+ROW()/100000,"")</f>
        <v/>
      </c>
    </row>
    <row r="1663">
      <c r="G1663" s="11" t="n"/>
      <c r="Q1663" s="7">
        <f>IF($E1663="","",P1663*Y1663/100)</f>
        <v/>
      </c>
      <c r="R1663" s="7" t="n"/>
      <c r="X1663" s="7" t="n"/>
      <c r="Y1663" s="7" t="n"/>
      <c r="AB1663">
        <f>IF($E1663="","",IF($AQ1663=1,0,IF($AP1663=1,Settings!$C$6,Settings!$C$7))*100)</f>
        <v/>
      </c>
      <c r="AC1663" s="7">
        <f>IF($E1663="","",Y1663*AB1663/100)</f>
        <v/>
      </c>
      <c r="AD1663" s="7">
        <f>IF($E1663="","",Y1663-AC1663)</f>
        <v/>
      </c>
      <c r="AE1663" s="7">
        <f>IF($E1663="","",AD1663-Q1663)</f>
        <v/>
      </c>
      <c r="AI1663" s="7" t="n"/>
      <c r="AL1663" s="11" t="n"/>
      <c r="AN1663">
        <f>IF($E1663="","",IF(COUNTIF($E$2:$E1663,$E1663)=1,1,0))</f>
        <v/>
      </c>
      <c r="AO1663">
        <f>IF($AN1663=1,SUMPRODUCT(--($AR$2:$AR$4001&lt;$AR1663))+1,"")</f>
        <v/>
      </c>
      <c r="AP1663">
        <f>IF($E1663="","",IF(OR($U1663=TRUE(),$U1663="TRUE"),1,0))</f>
        <v/>
      </c>
      <c r="AQ1663">
        <f>IF($E1663="","",IF($AA1663="Yes",1,0))</f>
        <v/>
      </c>
      <c r="AR1663">
        <f>IF($AN1663=1,IFERROR(VALUE(MID($E1663,2,20)),1000000000)+ROW()/100000,"")</f>
        <v/>
      </c>
    </row>
    <row r="1664">
      <c r="G1664" s="11" t="n"/>
      <c r="Q1664" s="7">
        <f>IF($E1664="","",P1664*Y1664/100)</f>
        <v/>
      </c>
      <c r="R1664" s="7" t="n"/>
      <c r="X1664" s="7" t="n"/>
      <c r="Y1664" s="7" t="n"/>
      <c r="AB1664">
        <f>IF($E1664="","",IF($AQ1664=1,0,IF($AP1664=1,Settings!$C$6,Settings!$C$7))*100)</f>
        <v/>
      </c>
      <c r="AC1664" s="7">
        <f>IF($E1664="","",Y1664*AB1664/100)</f>
        <v/>
      </c>
      <c r="AD1664" s="7">
        <f>IF($E1664="","",Y1664-AC1664)</f>
        <v/>
      </c>
      <c r="AE1664" s="7">
        <f>IF($E1664="","",AD1664-Q1664)</f>
        <v/>
      </c>
      <c r="AI1664" s="7" t="n"/>
      <c r="AL1664" s="11" t="n"/>
      <c r="AN1664">
        <f>IF($E1664="","",IF(COUNTIF($E$2:$E1664,$E1664)=1,1,0))</f>
        <v/>
      </c>
      <c r="AO1664">
        <f>IF($AN1664=1,SUMPRODUCT(--($AR$2:$AR$4001&lt;$AR1664))+1,"")</f>
        <v/>
      </c>
      <c r="AP1664">
        <f>IF($E1664="","",IF(OR($U1664=TRUE(),$U1664="TRUE"),1,0))</f>
        <v/>
      </c>
      <c r="AQ1664">
        <f>IF($E1664="","",IF($AA1664="Yes",1,0))</f>
        <v/>
      </c>
      <c r="AR1664">
        <f>IF($AN1664=1,IFERROR(VALUE(MID($E1664,2,20)),1000000000)+ROW()/100000,"")</f>
        <v/>
      </c>
    </row>
    <row r="1665">
      <c r="G1665" s="11" t="n"/>
      <c r="Q1665" s="7">
        <f>IF($E1665="","",P1665*Y1665/100)</f>
        <v/>
      </c>
      <c r="R1665" s="7" t="n"/>
      <c r="X1665" s="7" t="n"/>
      <c r="Y1665" s="7" t="n"/>
      <c r="AB1665">
        <f>IF($E1665="","",IF($AQ1665=1,0,IF($AP1665=1,Settings!$C$6,Settings!$C$7))*100)</f>
        <v/>
      </c>
      <c r="AC1665" s="7">
        <f>IF($E1665="","",Y1665*AB1665/100)</f>
        <v/>
      </c>
      <c r="AD1665" s="7">
        <f>IF($E1665="","",Y1665-AC1665)</f>
        <v/>
      </c>
      <c r="AE1665" s="7">
        <f>IF($E1665="","",AD1665-Q1665)</f>
        <v/>
      </c>
      <c r="AI1665" s="7" t="n"/>
      <c r="AL1665" s="11" t="n"/>
      <c r="AN1665">
        <f>IF($E1665="","",IF(COUNTIF($E$2:$E1665,$E1665)=1,1,0))</f>
        <v/>
      </c>
      <c r="AO1665">
        <f>IF($AN1665=1,SUMPRODUCT(--($AR$2:$AR$4001&lt;$AR1665))+1,"")</f>
        <v/>
      </c>
      <c r="AP1665">
        <f>IF($E1665="","",IF(OR($U1665=TRUE(),$U1665="TRUE"),1,0))</f>
        <v/>
      </c>
      <c r="AQ1665">
        <f>IF($E1665="","",IF($AA1665="Yes",1,0))</f>
        <v/>
      </c>
      <c r="AR1665">
        <f>IF($AN1665=1,IFERROR(VALUE(MID($E1665,2,20)),1000000000)+ROW()/100000,"")</f>
        <v/>
      </c>
    </row>
    <row r="1666">
      <c r="G1666" s="11" t="n"/>
      <c r="Q1666" s="7">
        <f>IF($E1666="","",P1666*Y1666/100)</f>
        <v/>
      </c>
      <c r="R1666" s="7" t="n"/>
      <c r="X1666" s="7" t="n"/>
      <c r="Y1666" s="7" t="n"/>
      <c r="AB1666">
        <f>IF($E1666="","",IF($AQ1666=1,0,IF($AP1666=1,Settings!$C$6,Settings!$C$7))*100)</f>
        <v/>
      </c>
      <c r="AC1666" s="7">
        <f>IF($E1666="","",Y1666*AB1666/100)</f>
        <v/>
      </c>
      <c r="AD1666" s="7">
        <f>IF($E1666="","",Y1666-AC1666)</f>
        <v/>
      </c>
      <c r="AE1666" s="7">
        <f>IF($E1666="","",AD1666-Q1666)</f>
        <v/>
      </c>
      <c r="AI1666" s="7" t="n"/>
      <c r="AL1666" s="11" t="n"/>
      <c r="AN1666">
        <f>IF($E1666="","",IF(COUNTIF($E$2:$E1666,$E1666)=1,1,0))</f>
        <v/>
      </c>
      <c r="AO1666">
        <f>IF($AN1666=1,SUMPRODUCT(--($AR$2:$AR$4001&lt;$AR1666))+1,"")</f>
        <v/>
      </c>
      <c r="AP1666">
        <f>IF($E1666="","",IF(OR($U1666=TRUE(),$U1666="TRUE"),1,0))</f>
        <v/>
      </c>
      <c r="AQ1666">
        <f>IF($E1666="","",IF($AA1666="Yes",1,0))</f>
        <v/>
      </c>
      <c r="AR1666">
        <f>IF($AN1666=1,IFERROR(VALUE(MID($E1666,2,20)),1000000000)+ROW()/100000,"")</f>
        <v/>
      </c>
    </row>
    <row r="1667">
      <c r="G1667" s="11" t="n"/>
      <c r="Q1667" s="7">
        <f>IF($E1667="","",P1667*Y1667/100)</f>
        <v/>
      </c>
      <c r="R1667" s="7" t="n"/>
      <c r="X1667" s="7" t="n"/>
      <c r="Y1667" s="7" t="n"/>
      <c r="AB1667">
        <f>IF($E1667="","",IF($AQ1667=1,0,IF($AP1667=1,Settings!$C$6,Settings!$C$7))*100)</f>
        <v/>
      </c>
      <c r="AC1667" s="7">
        <f>IF($E1667="","",Y1667*AB1667/100)</f>
        <v/>
      </c>
      <c r="AD1667" s="7">
        <f>IF($E1667="","",Y1667-AC1667)</f>
        <v/>
      </c>
      <c r="AE1667" s="7">
        <f>IF($E1667="","",AD1667-Q1667)</f>
        <v/>
      </c>
      <c r="AI1667" s="7" t="n"/>
      <c r="AL1667" s="11" t="n"/>
      <c r="AN1667">
        <f>IF($E1667="","",IF(COUNTIF($E$2:$E1667,$E1667)=1,1,0))</f>
        <v/>
      </c>
      <c r="AO1667">
        <f>IF($AN1667=1,SUMPRODUCT(--($AR$2:$AR$4001&lt;$AR1667))+1,"")</f>
        <v/>
      </c>
      <c r="AP1667">
        <f>IF($E1667="","",IF(OR($U1667=TRUE(),$U1667="TRUE"),1,0))</f>
        <v/>
      </c>
      <c r="AQ1667">
        <f>IF($E1667="","",IF($AA1667="Yes",1,0))</f>
        <v/>
      </c>
      <c r="AR1667">
        <f>IF($AN1667=1,IFERROR(VALUE(MID($E1667,2,20)),1000000000)+ROW()/100000,"")</f>
        <v/>
      </c>
    </row>
    <row r="1668">
      <c r="G1668" s="11" t="n"/>
      <c r="Q1668" s="7">
        <f>IF($E1668="","",P1668*Y1668/100)</f>
        <v/>
      </c>
      <c r="R1668" s="7" t="n"/>
      <c r="X1668" s="7" t="n"/>
      <c r="Y1668" s="7" t="n"/>
      <c r="AB1668">
        <f>IF($E1668="","",IF($AQ1668=1,0,IF($AP1668=1,Settings!$C$6,Settings!$C$7))*100)</f>
        <v/>
      </c>
      <c r="AC1668" s="7">
        <f>IF($E1668="","",Y1668*AB1668/100)</f>
        <v/>
      </c>
      <c r="AD1668" s="7">
        <f>IF($E1668="","",Y1668-AC1668)</f>
        <v/>
      </c>
      <c r="AE1668" s="7">
        <f>IF($E1668="","",AD1668-Q1668)</f>
        <v/>
      </c>
      <c r="AI1668" s="7" t="n"/>
      <c r="AL1668" s="11" t="n"/>
      <c r="AN1668">
        <f>IF($E1668="","",IF(COUNTIF($E$2:$E1668,$E1668)=1,1,0))</f>
        <v/>
      </c>
      <c r="AO1668">
        <f>IF($AN1668=1,SUMPRODUCT(--($AR$2:$AR$4001&lt;$AR1668))+1,"")</f>
        <v/>
      </c>
      <c r="AP1668">
        <f>IF($E1668="","",IF(OR($U1668=TRUE(),$U1668="TRUE"),1,0))</f>
        <v/>
      </c>
      <c r="AQ1668">
        <f>IF($E1668="","",IF($AA1668="Yes",1,0))</f>
        <v/>
      </c>
      <c r="AR1668">
        <f>IF($AN1668=1,IFERROR(VALUE(MID($E1668,2,20)),1000000000)+ROW()/100000,"")</f>
        <v/>
      </c>
    </row>
    <row r="1669">
      <c r="G1669" s="11" t="n"/>
      <c r="Q1669" s="7">
        <f>IF($E1669="","",P1669*Y1669/100)</f>
        <v/>
      </c>
      <c r="R1669" s="7" t="n"/>
      <c r="X1669" s="7" t="n"/>
      <c r="Y1669" s="7" t="n"/>
      <c r="AB1669">
        <f>IF($E1669="","",IF($AQ1669=1,0,IF($AP1669=1,Settings!$C$6,Settings!$C$7))*100)</f>
        <v/>
      </c>
      <c r="AC1669" s="7">
        <f>IF($E1669="","",Y1669*AB1669/100)</f>
        <v/>
      </c>
      <c r="AD1669" s="7">
        <f>IF($E1669="","",Y1669-AC1669)</f>
        <v/>
      </c>
      <c r="AE1669" s="7">
        <f>IF($E1669="","",AD1669-Q1669)</f>
        <v/>
      </c>
      <c r="AI1669" s="7" t="n"/>
      <c r="AL1669" s="11" t="n"/>
      <c r="AN1669">
        <f>IF($E1669="","",IF(COUNTIF($E$2:$E1669,$E1669)=1,1,0))</f>
        <v/>
      </c>
      <c r="AO1669">
        <f>IF($AN1669=1,SUMPRODUCT(--($AR$2:$AR$4001&lt;$AR1669))+1,"")</f>
        <v/>
      </c>
      <c r="AP1669">
        <f>IF($E1669="","",IF(OR($U1669=TRUE(),$U1669="TRUE"),1,0))</f>
        <v/>
      </c>
      <c r="AQ1669">
        <f>IF($E1669="","",IF($AA1669="Yes",1,0))</f>
        <v/>
      </c>
      <c r="AR1669">
        <f>IF($AN1669=1,IFERROR(VALUE(MID($E1669,2,20)),1000000000)+ROW()/100000,"")</f>
        <v/>
      </c>
    </row>
    <row r="1670">
      <c r="G1670" s="11" t="n"/>
      <c r="Q1670" s="7">
        <f>IF($E1670="","",P1670*Y1670/100)</f>
        <v/>
      </c>
      <c r="R1670" s="7" t="n"/>
      <c r="X1670" s="7" t="n"/>
      <c r="Y1670" s="7" t="n"/>
      <c r="AB1670">
        <f>IF($E1670="","",IF($AQ1670=1,0,IF($AP1670=1,Settings!$C$6,Settings!$C$7))*100)</f>
        <v/>
      </c>
      <c r="AC1670" s="7">
        <f>IF($E1670="","",Y1670*AB1670/100)</f>
        <v/>
      </c>
      <c r="AD1670" s="7">
        <f>IF($E1670="","",Y1670-AC1670)</f>
        <v/>
      </c>
      <c r="AE1670" s="7">
        <f>IF($E1670="","",AD1670-Q1670)</f>
        <v/>
      </c>
      <c r="AI1670" s="7" t="n"/>
      <c r="AL1670" s="11" t="n"/>
      <c r="AN1670">
        <f>IF($E1670="","",IF(COUNTIF($E$2:$E1670,$E1670)=1,1,0))</f>
        <v/>
      </c>
      <c r="AO1670">
        <f>IF($AN1670=1,SUMPRODUCT(--($AR$2:$AR$4001&lt;$AR1670))+1,"")</f>
        <v/>
      </c>
      <c r="AP1670">
        <f>IF($E1670="","",IF(OR($U1670=TRUE(),$U1670="TRUE"),1,0))</f>
        <v/>
      </c>
      <c r="AQ1670">
        <f>IF($E1670="","",IF($AA1670="Yes",1,0))</f>
        <v/>
      </c>
      <c r="AR1670">
        <f>IF($AN1670=1,IFERROR(VALUE(MID($E1670,2,20)),1000000000)+ROW()/100000,"")</f>
        <v/>
      </c>
    </row>
    <row r="1671">
      <c r="G1671" s="11" t="n"/>
      <c r="Q1671" s="7">
        <f>IF($E1671="","",P1671*Y1671/100)</f>
        <v/>
      </c>
      <c r="R1671" s="7" t="n"/>
      <c r="X1671" s="7" t="n"/>
      <c r="Y1671" s="7" t="n"/>
      <c r="AB1671">
        <f>IF($E1671="","",IF($AQ1671=1,0,IF($AP1671=1,Settings!$C$6,Settings!$C$7))*100)</f>
        <v/>
      </c>
      <c r="AC1671" s="7">
        <f>IF($E1671="","",Y1671*AB1671/100)</f>
        <v/>
      </c>
      <c r="AD1671" s="7">
        <f>IF($E1671="","",Y1671-AC1671)</f>
        <v/>
      </c>
      <c r="AE1671" s="7">
        <f>IF($E1671="","",AD1671-Q1671)</f>
        <v/>
      </c>
      <c r="AI1671" s="7" t="n"/>
      <c r="AL1671" s="11" t="n"/>
      <c r="AN1671">
        <f>IF($E1671="","",IF(COUNTIF($E$2:$E1671,$E1671)=1,1,0))</f>
        <v/>
      </c>
      <c r="AO1671">
        <f>IF($AN1671=1,SUMPRODUCT(--($AR$2:$AR$4001&lt;$AR1671))+1,"")</f>
        <v/>
      </c>
      <c r="AP1671">
        <f>IF($E1671="","",IF(OR($U1671=TRUE(),$U1671="TRUE"),1,0))</f>
        <v/>
      </c>
      <c r="AQ1671">
        <f>IF($E1671="","",IF($AA1671="Yes",1,0))</f>
        <v/>
      </c>
      <c r="AR1671">
        <f>IF($AN1671=1,IFERROR(VALUE(MID($E1671,2,20)),1000000000)+ROW()/100000,"")</f>
        <v/>
      </c>
    </row>
    <row r="1672">
      <c r="G1672" s="11" t="n"/>
      <c r="Q1672" s="7">
        <f>IF($E1672="","",P1672*Y1672/100)</f>
        <v/>
      </c>
      <c r="R1672" s="7" t="n"/>
      <c r="X1672" s="7" t="n"/>
      <c r="Y1672" s="7" t="n"/>
      <c r="AB1672">
        <f>IF($E1672="","",IF($AQ1672=1,0,IF($AP1672=1,Settings!$C$6,Settings!$C$7))*100)</f>
        <v/>
      </c>
      <c r="AC1672" s="7">
        <f>IF($E1672="","",Y1672*AB1672/100)</f>
        <v/>
      </c>
      <c r="AD1672" s="7">
        <f>IF($E1672="","",Y1672-AC1672)</f>
        <v/>
      </c>
      <c r="AE1672" s="7">
        <f>IF($E1672="","",AD1672-Q1672)</f>
        <v/>
      </c>
      <c r="AI1672" s="7" t="n"/>
      <c r="AL1672" s="11" t="n"/>
      <c r="AN1672">
        <f>IF($E1672="","",IF(COUNTIF($E$2:$E1672,$E1672)=1,1,0))</f>
        <v/>
      </c>
      <c r="AO1672">
        <f>IF($AN1672=1,SUMPRODUCT(--($AR$2:$AR$4001&lt;$AR1672))+1,"")</f>
        <v/>
      </c>
      <c r="AP1672">
        <f>IF($E1672="","",IF(OR($U1672=TRUE(),$U1672="TRUE"),1,0))</f>
        <v/>
      </c>
      <c r="AQ1672">
        <f>IF($E1672="","",IF($AA1672="Yes",1,0))</f>
        <v/>
      </c>
      <c r="AR1672">
        <f>IF($AN1672=1,IFERROR(VALUE(MID($E1672,2,20)),1000000000)+ROW()/100000,"")</f>
        <v/>
      </c>
    </row>
    <row r="1673">
      <c r="G1673" s="11" t="n"/>
      <c r="Q1673" s="7">
        <f>IF($E1673="","",P1673*Y1673/100)</f>
        <v/>
      </c>
      <c r="R1673" s="7" t="n"/>
      <c r="X1673" s="7" t="n"/>
      <c r="Y1673" s="7" t="n"/>
      <c r="AB1673">
        <f>IF($E1673="","",IF($AQ1673=1,0,IF($AP1673=1,Settings!$C$6,Settings!$C$7))*100)</f>
        <v/>
      </c>
      <c r="AC1673" s="7">
        <f>IF($E1673="","",Y1673*AB1673/100)</f>
        <v/>
      </c>
      <c r="AD1673" s="7">
        <f>IF($E1673="","",Y1673-AC1673)</f>
        <v/>
      </c>
      <c r="AE1673" s="7">
        <f>IF($E1673="","",AD1673-Q1673)</f>
        <v/>
      </c>
      <c r="AI1673" s="7" t="n"/>
      <c r="AL1673" s="11" t="n"/>
      <c r="AN1673">
        <f>IF($E1673="","",IF(COUNTIF($E$2:$E1673,$E1673)=1,1,0))</f>
        <v/>
      </c>
      <c r="AO1673">
        <f>IF($AN1673=1,SUMPRODUCT(--($AR$2:$AR$4001&lt;$AR1673))+1,"")</f>
        <v/>
      </c>
      <c r="AP1673">
        <f>IF($E1673="","",IF(OR($U1673=TRUE(),$U1673="TRUE"),1,0))</f>
        <v/>
      </c>
      <c r="AQ1673">
        <f>IF($E1673="","",IF($AA1673="Yes",1,0))</f>
        <v/>
      </c>
      <c r="AR1673">
        <f>IF($AN1673=1,IFERROR(VALUE(MID($E1673,2,20)),1000000000)+ROW()/100000,"")</f>
        <v/>
      </c>
    </row>
    <row r="1674">
      <c r="G1674" s="11" t="n"/>
      <c r="Q1674" s="7">
        <f>IF($E1674="","",P1674*Y1674/100)</f>
        <v/>
      </c>
      <c r="R1674" s="7" t="n"/>
      <c r="X1674" s="7" t="n"/>
      <c r="Y1674" s="7" t="n"/>
      <c r="AB1674">
        <f>IF($E1674="","",IF($AQ1674=1,0,IF($AP1674=1,Settings!$C$6,Settings!$C$7))*100)</f>
        <v/>
      </c>
      <c r="AC1674" s="7">
        <f>IF($E1674="","",Y1674*AB1674/100)</f>
        <v/>
      </c>
      <c r="AD1674" s="7">
        <f>IF($E1674="","",Y1674-AC1674)</f>
        <v/>
      </c>
      <c r="AE1674" s="7">
        <f>IF($E1674="","",AD1674-Q1674)</f>
        <v/>
      </c>
      <c r="AI1674" s="7" t="n"/>
      <c r="AL1674" s="11" t="n"/>
      <c r="AN1674">
        <f>IF($E1674="","",IF(COUNTIF($E$2:$E1674,$E1674)=1,1,0))</f>
        <v/>
      </c>
      <c r="AO1674">
        <f>IF($AN1674=1,SUMPRODUCT(--($AR$2:$AR$4001&lt;$AR1674))+1,"")</f>
        <v/>
      </c>
      <c r="AP1674">
        <f>IF($E1674="","",IF(OR($U1674=TRUE(),$U1674="TRUE"),1,0))</f>
        <v/>
      </c>
      <c r="AQ1674">
        <f>IF($E1674="","",IF($AA1674="Yes",1,0))</f>
        <v/>
      </c>
      <c r="AR1674">
        <f>IF($AN1674=1,IFERROR(VALUE(MID($E1674,2,20)),1000000000)+ROW()/100000,"")</f>
        <v/>
      </c>
    </row>
    <row r="1675">
      <c r="G1675" s="11" t="n"/>
      <c r="Q1675" s="7">
        <f>IF($E1675="","",P1675*Y1675/100)</f>
        <v/>
      </c>
      <c r="R1675" s="7" t="n"/>
      <c r="X1675" s="7" t="n"/>
      <c r="Y1675" s="7" t="n"/>
      <c r="AB1675">
        <f>IF($E1675="","",IF($AQ1675=1,0,IF($AP1675=1,Settings!$C$6,Settings!$C$7))*100)</f>
        <v/>
      </c>
      <c r="AC1675" s="7">
        <f>IF($E1675="","",Y1675*AB1675/100)</f>
        <v/>
      </c>
      <c r="AD1675" s="7">
        <f>IF($E1675="","",Y1675-AC1675)</f>
        <v/>
      </c>
      <c r="AE1675" s="7">
        <f>IF($E1675="","",AD1675-Q1675)</f>
        <v/>
      </c>
      <c r="AI1675" s="7" t="n"/>
      <c r="AL1675" s="11" t="n"/>
      <c r="AN1675">
        <f>IF($E1675="","",IF(COUNTIF($E$2:$E1675,$E1675)=1,1,0))</f>
        <v/>
      </c>
      <c r="AO1675">
        <f>IF($AN1675=1,SUMPRODUCT(--($AR$2:$AR$4001&lt;$AR1675))+1,"")</f>
        <v/>
      </c>
      <c r="AP1675">
        <f>IF($E1675="","",IF(OR($U1675=TRUE(),$U1675="TRUE"),1,0))</f>
        <v/>
      </c>
      <c r="AQ1675">
        <f>IF($E1675="","",IF($AA1675="Yes",1,0))</f>
        <v/>
      </c>
      <c r="AR1675">
        <f>IF($AN1675=1,IFERROR(VALUE(MID($E1675,2,20)),1000000000)+ROW()/100000,"")</f>
        <v/>
      </c>
    </row>
    <row r="1676">
      <c r="G1676" s="11" t="n"/>
      <c r="Q1676" s="7">
        <f>IF($E1676="","",P1676*Y1676/100)</f>
        <v/>
      </c>
      <c r="R1676" s="7" t="n"/>
      <c r="X1676" s="7" t="n"/>
      <c r="Y1676" s="7" t="n"/>
      <c r="AB1676">
        <f>IF($E1676="","",IF($AQ1676=1,0,IF($AP1676=1,Settings!$C$6,Settings!$C$7))*100)</f>
        <v/>
      </c>
      <c r="AC1676" s="7">
        <f>IF($E1676="","",Y1676*AB1676/100)</f>
        <v/>
      </c>
      <c r="AD1676" s="7">
        <f>IF($E1676="","",Y1676-AC1676)</f>
        <v/>
      </c>
      <c r="AE1676" s="7">
        <f>IF($E1676="","",AD1676-Q1676)</f>
        <v/>
      </c>
      <c r="AI1676" s="7" t="n"/>
      <c r="AL1676" s="11" t="n"/>
      <c r="AN1676">
        <f>IF($E1676="","",IF(COUNTIF($E$2:$E1676,$E1676)=1,1,0))</f>
        <v/>
      </c>
      <c r="AO1676">
        <f>IF($AN1676=1,SUMPRODUCT(--($AR$2:$AR$4001&lt;$AR1676))+1,"")</f>
        <v/>
      </c>
      <c r="AP1676">
        <f>IF($E1676="","",IF(OR($U1676=TRUE(),$U1676="TRUE"),1,0))</f>
        <v/>
      </c>
      <c r="AQ1676">
        <f>IF($E1676="","",IF($AA1676="Yes",1,0))</f>
        <v/>
      </c>
      <c r="AR1676">
        <f>IF($AN1676=1,IFERROR(VALUE(MID($E1676,2,20)),1000000000)+ROW()/100000,"")</f>
        <v/>
      </c>
    </row>
    <row r="1677">
      <c r="G1677" s="11" t="n"/>
      <c r="Q1677" s="7">
        <f>IF($E1677="","",P1677*Y1677/100)</f>
        <v/>
      </c>
      <c r="R1677" s="7" t="n"/>
      <c r="X1677" s="7" t="n"/>
      <c r="Y1677" s="7" t="n"/>
      <c r="AB1677">
        <f>IF($E1677="","",IF($AQ1677=1,0,IF($AP1677=1,Settings!$C$6,Settings!$C$7))*100)</f>
        <v/>
      </c>
      <c r="AC1677" s="7">
        <f>IF($E1677="","",Y1677*AB1677/100)</f>
        <v/>
      </c>
      <c r="AD1677" s="7">
        <f>IF($E1677="","",Y1677-AC1677)</f>
        <v/>
      </c>
      <c r="AE1677" s="7">
        <f>IF($E1677="","",AD1677-Q1677)</f>
        <v/>
      </c>
      <c r="AI1677" s="7" t="n"/>
      <c r="AL1677" s="11" t="n"/>
      <c r="AN1677">
        <f>IF($E1677="","",IF(COUNTIF($E$2:$E1677,$E1677)=1,1,0))</f>
        <v/>
      </c>
      <c r="AO1677">
        <f>IF($AN1677=1,SUMPRODUCT(--($AR$2:$AR$4001&lt;$AR1677))+1,"")</f>
        <v/>
      </c>
      <c r="AP1677">
        <f>IF($E1677="","",IF(OR($U1677=TRUE(),$U1677="TRUE"),1,0))</f>
        <v/>
      </c>
      <c r="AQ1677">
        <f>IF($E1677="","",IF($AA1677="Yes",1,0))</f>
        <v/>
      </c>
      <c r="AR1677">
        <f>IF($AN1677=1,IFERROR(VALUE(MID($E1677,2,20)),1000000000)+ROW()/100000,"")</f>
        <v/>
      </c>
    </row>
    <row r="1678">
      <c r="G1678" s="11" t="n"/>
      <c r="Q1678" s="7">
        <f>IF($E1678="","",P1678*Y1678/100)</f>
        <v/>
      </c>
      <c r="R1678" s="7" t="n"/>
      <c r="X1678" s="7" t="n"/>
      <c r="Y1678" s="7" t="n"/>
      <c r="AB1678">
        <f>IF($E1678="","",IF($AQ1678=1,0,IF($AP1678=1,Settings!$C$6,Settings!$C$7))*100)</f>
        <v/>
      </c>
      <c r="AC1678" s="7">
        <f>IF($E1678="","",Y1678*AB1678/100)</f>
        <v/>
      </c>
      <c r="AD1678" s="7">
        <f>IF($E1678="","",Y1678-AC1678)</f>
        <v/>
      </c>
      <c r="AE1678" s="7">
        <f>IF($E1678="","",AD1678-Q1678)</f>
        <v/>
      </c>
      <c r="AI1678" s="7" t="n"/>
      <c r="AL1678" s="11" t="n"/>
      <c r="AN1678">
        <f>IF($E1678="","",IF(COUNTIF($E$2:$E1678,$E1678)=1,1,0))</f>
        <v/>
      </c>
      <c r="AO1678">
        <f>IF($AN1678=1,SUMPRODUCT(--($AR$2:$AR$4001&lt;$AR1678))+1,"")</f>
        <v/>
      </c>
      <c r="AP1678">
        <f>IF($E1678="","",IF(OR($U1678=TRUE(),$U1678="TRUE"),1,0))</f>
        <v/>
      </c>
      <c r="AQ1678">
        <f>IF($E1678="","",IF($AA1678="Yes",1,0))</f>
        <v/>
      </c>
      <c r="AR1678">
        <f>IF($AN1678=1,IFERROR(VALUE(MID($E1678,2,20)),1000000000)+ROW()/100000,"")</f>
        <v/>
      </c>
    </row>
    <row r="1679">
      <c r="G1679" s="11" t="n"/>
      <c r="Q1679" s="7">
        <f>IF($E1679="","",P1679*Y1679/100)</f>
        <v/>
      </c>
      <c r="R1679" s="7" t="n"/>
      <c r="X1679" s="7" t="n"/>
      <c r="Y1679" s="7" t="n"/>
      <c r="AB1679">
        <f>IF($E1679="","",IF($AQ1679=1,0,IF($AP1679=1,Settings!$C$6,Settings!$C$7))*100)</f>
        <v/>
      </c>
      <c r="AC1679" s="7">
        <f>IF($E1679="","",Y1679*AB1679/100)</f>
        <v/>
      </c>
      <c r="AD1679" s="7">
        <f>IF($E1679="","",Y1679-AC1679)</f>
        <v/>
      </c>
      <c r="AE1679" s="7">
        <f>IF($E1679="","",AD1679-Q1679)</f>
        <v/>
      </c>
      <c r="AI1679" s="7" t="n"/>
      <c r="AL1679" s="11" t="n"/>
      <c r="AN1679">
        <f>IF($E1679="","",IF(COUNTIF($E$2:$E1679,$E1679)=1,1,0))</f>
        <v/>
      </c>
      <c r="AO1679">
        <f>IF($AN1679=1,SUMPRODUCT(--($AR$2:$AR$4001&lt;$AR1679))+1,"")</f>
        <v/>
      </c>
      <c r="AP1679">
        <f>IF($E1679="","",IF(OR($U1679=TRUE(),$U1679="TRUE"),1,0))</f>
        <v/>
      </c>
      <c r="AQ1679">
        <f>IF($E1679="","",IF($AA1679="Yes",1,0))</f>
        <v/>
      </c>
      <c r="AR1679">
        <f>IF($AN1679=1,IFERROR(VALUE(MID($E1679,2,20)),1000000000)+ROW()/100000,"")</f>
        <v/>
      </c>
    </row>
    <row r="1680">
      <c r="G1680" s="11" t="n"/>
      <c r="Q1680" s="7">
        <f>IF($E1680="","",P1680*Y1680/100)</f>
        <v/>
      </c>
      <c r="R1680" s="7" t="n"/>
      <c r="X1680" s="7" t="n"/>
      <c r="Y1680" s="7" t="n"/>
      <c r="AB1680">
        <f>IF($E1680="","",IF($AQ1680=1,0,IF($AP1680=1,Settings!$C$6,Settings!$C$7))*100)</f>
        <v/>
      </c>
      <c r="AC1680" s="7">
        <f>IF($E1680="","",Y1680*AB1680/100)</f>
        <v/>
      </c>
      <c r="AD1680" s="7">
        <f>IF($E1680="","",Y1680-AC1680)</f>
        <v/>
      </c>
      <c r="AE1680" s="7">
        <f>IF($E1680="","",AD1680-Q1680)</f>
        <v/>
      </c>
      <c r="AI1680" s="7" t="n"/>
      <c r="AL1680" s="11" t="n"/>
      <c r="AN1680">
        <f>IF($E1680="","",IF(COUNTIF($E$2:$E1680,$E1680)=1,1,0))</f>
        <v/>
      </c>
      <c r="AO1680">
        <f>IF($AN1680=1,SUMPRODUCT(--($AR$2:$AR$4001&lt;$AR1680))+1,"")</f>
        <v/>
      </c>
      <c r="AP1680">
        <f>IF($E1680="","",IF(OR($U1680=TRUE(),$U1680="TRUE"),1,0))</f>
        <v/>
      </c>
      <c r="AQ1680">
        <f>IF($E1680="","",IF($AA1680="Yes",1,0))</f>
        <v/>
      </c>
      <c r="AR1680">
        <f>IF($AN1680=1,IFERROR(VALUE(MID($E1680,2,20)),1000000000)+ROW()/100000,"")</f>
        <v/>
      </c>
    </row>
    <row r="1681">
      <c r="G1681" s="11" t="n"/>
      <c r="Q1681" s="7">
        <f>IF($E1681="","",P1681*Y1681/100)</f>
        <v/>
      </c>
      <c r="R1681" s="7" t="n"/>
      <c r="X1681" s="7" t="n"/>
      <c r="Y1681" s="7" t="n"/>
      <c r="AB1681">
        <f>IF($E1681="","",IF($AQ1681=1,0,IF($AP1681=1,Settings!$C$6,Settings!$C$7))*100)</f>
        <v/>
      </c>
      <c r="AC1681" s="7">
        <f>IF($E1681="","",Y1681*AB1681/100)</f>
        <v/>
      </c>
      <c r="AD1681" s="7">
        <f>IF($E1681="","",Y1681-AC1681)</f>
        <v/>
      </c>
      <c r="AE1681" s="7">
        <f>IF($E1681="","",AD1681-Q1681)</f>
        <v/>
      </c>
      <c r="AI1681" s="7" t="n"/>
      <c r="AL1681" s="11" t="n"/>
      <c r="AN1681">
        <f>IF($E1681="","",IF(COUNTIF($E$2:$E1681,$E1681)=1,1,0))</f>
        <v/>
      </c>
      <c r="AO1681">
        <f>IF($AN1681=1,SUMPRODUCT(--($AR$2:$AR$4001&lt;$AR1681))+1,"")</f>
        <v/>
      </c>
      <c r="AP1681">
        <f>IF($E1681="","",IF(OR($U1681=TRUE(),$U1681="TRUE"),1,0))</f>
        <v/>
      </c>
      <c r="AQ1681">
        <f>IF($E1681="","",IF($AA1681="Yes",1,0))</f>
        <v/>
      </c>
      <c r="AR1681">
        <f>IF($AN1681=1,IFERROR(VALUE(MID($E1681,2,20)),1000000000)+ROW()/100000,"")</f>
        <v/>
      </c>
    </row>
    <row r="1682">
      <c r="G1682" s="11" t="n"/>
      <c r="Q1682" s="7">
        <f>IF($E1682="","",P1682*Y1682/100)</f>
        <v/>
      </c>
      <c r="R1682" s="7" t="n"/>
      <c r="X1682" s="7" t="n"/>
      <c r="Y1682" s="7" t="n"/>
      <c r="AB1682">
        <f>IF($E1682="","",IF($AQ1682=1,0,IF($AP1682=1,Settings!$C$6,Settings!$C$7))*100)</f>
        <v/>
      </c>
      <c r="AC1682" s="7">
        <f>IF($E1682="","",Y1682*AB1682/100)</f>
        <v/>
      </c>
      <c r="AD1682" s="7">
        <f>IF($E1682="","",Y1682-AC1682)</f>
        <v/>
      </c>
      <c r="AE1682" s="7">
        <f>IF($E1682="","",AD1682-Q1682)</f>
        <v/>
      </c>
      <c r="AI1682" s="7" t="n"/>
      <c r="AL1682" s="11" t="n"/>
      <c r="AN1682">
        <f>IF($E1682="","",IF(COUNTIF($E$2:$E1682,$E1682)=1,1,0))</f>
        <v/>
      </c>
      <c r="AO1682">
        <f>IF($AN1682=1,SUMPRODUCT(--($AR$2:$AR$4001&lt;$AR1682))+1,"")</f>
        <v/>
      </c>
      <c r="AP1682">
        <f>IF($E1682="","",IF(OR($U1682=TRUE(),$U1682="TRUE"),1,0))</f>
        <v/>
      </c>
      <c r="AQ1682">
        <f>IF($E1682="","",IF($AA1682="Yes",1,0))</f>
        <v/>
      </c>
      <c r="AR1682">
        <f>IF($AN1682=1,IFERROR(VALUE(MID($E1682,2,20)),1000000000)+ROW()/100000,"")</f>
        <v/>
      </c>
    </row>
    <row r="1683">
      <c r="G1683" s="11" t="n"/>
      <c r="Q1683" s="7">
        <f>IF($E1683="","",P1683*Y1683/100)</f>
        <v/>
      </c>
      <c r="R1683" s="7" t="n"/>
      <c r="X1683" s="7" t="n"/>
      <c r="Y1683" s="7" t="n"/>
      <c r="AB1683">
        <f>IF($E1683="","",IF($AQ1683=1,0,IF($AP1683=1,Settings!$C$6,Settings!$C$7))*100)</f>
        <v/>
      </c>
      <c r="AC1683" s="7">
        <f>IF($E1683="","",Y1683*AB1683/100)</f>
        <v/>
      </c>
      <c r="AD1683" s="7">
        <f>IF($E1683="","",Y1683-AC1683)</f>
        <v/>
      </c>
      <c r="AE1683" s="7">
        <f>IF($E1683="","",AD1683-Q1683)</f>
        <v/>
      </c>
      <c r="AI1683" s="7" t="n"/>
      <c r="AL1683" s="11" t="n"/>
      <c r="AN1683">
        <f>IF($E1683="","",IF(COUNTIF($E$2:$E1683,$E1683)=1,1,0))</f>
        <v/>
      </c>
      <c r="AO1683">
        <f>IF($AN1683=1,SUMPRODUCT(--($AR$2:$AR$4001&lt;$AR1683))+1,"")</f>
        <v/>
      </c>
      <c r="AP1683">
        <f>IF($E1683="","",IF(OR($U1683=TRUE(),$U1683="TRUE"),1,0))</f>
        <v/>
      </c>
      <c r="AQ1683">
        <f>IF($E1683="","",IF($AA1683="Yes",1,0))</f>
        <v/>
      </c>
      <c r="AR1683">
        <f>IF($AN1683=1,IFERROR(VALUE(MID($E1683,2,20)),1000000000)+ROW()/100000,"")</f>
        <v/>
      </c>
    </row>
    <row r="1684">
      <c r="G1684" s="11" t="n"/>
      <c r="Q1684" s="7">
        <f>IF($E1684="","",P1684*Y1684/100)</f>
        <v/>
      </c>
      <c r="R1684" s="7" t="n"/>
      <c r="X1684" s="7" t="n"/>
      <c r="Y1684" s="7" t="n"/>
      <c r="AB1684">
        <f>IF($E1684="","",IF($AQ1684=1,0,IF($AP1684=1,Settings!$C$6,Settings!$C$7))*100)</f>
        <v/>
      </c>
      <c r="AC1684" s="7">
        <f>IF($E1684="","",Y1684*AB1684/100)</f>
        <v/>
      </c>
      <c r="AD1684" s="7">
        <f>IF($E1684="","",Y1684-AC1684)</f>
        <v/>
      </c>
      <c r="AE1684" s="7">
        <f>IF($E1684="","",AD1684-Q1684)</f>
        <v/>
      </c>
      <c r="AI1684" s="7" t="n"/>
      <c r="AL1684" s="11" t="n"/>
      <c r="AN1684">
        <f>IF($E1684="","",IF(COUNTIF($E$2:$E1684,$E1684)=1,1,0))</f>
        <v/>
      </c>
      <c r="AO1684">
        <f>IF($AN1684=1,SUMPRODUCT(--($AR$2:$AR$4001&lt;$AR1684))+1,"")</f>
        <v/>
      </c>
      <c r="AP1684">
        <f>IF($E1684="","",IF(OR($U1684=TRUE(),$U1684="TRUE"),1,0))</f>
        <v/>
      </c>
      <c r="AQ1684">
        <f>IF($E1684="","",IF($AA1684="Yes",1,0))</f>
        <v/>
      </c>
      <c r="AR1684">
        <f>IF($AN1684=1,IFERROR(VALUE(MID($E1684,2,20)),1000000000)+ROW()/100000,"")</f>
        <v/>
      </c>
    </row>
    <row r="1685">
      <c r="G1685" s="11" t="n"/>
      <c r="Q1685" s="7">
        <f>IF($E1685="","",P1685*Y1685/100)</f>
        <v/>
      </c>
      <c r="R1685" s="7" t="n"/>
      <c r="X1685" s="7" t="n"/>
      <c r="Y1685" s="7" t="n"/>
      <c r="AB1685">
        <f>IF($E1685="","",IF($AQ1685=1,0,IF($AP1685=1,Settings!$C$6,Settings!$C$7))*100)</f>
        <v/>
      </c>
      <c r="AC1685" s="7">
        <f>IF($E1685="","",Y1685*AB1685/100)</f>
        <v/>
      </c>
      <c r="AD1685" s="7">
        <f>IF($E1685="","",Y1685-AC1685)</f>
        <v/>
      </c>
      <c r="AE1685" s="7">
        <f>IF($E1685="","",AD1685-Q1685)</f>
        <v/>
      </c>
      <c r="AI1685" s="7" t="n"/>
      <c r="AL1685" s="11" t="n"/>
      <c r="AN1685">
        <f>IF($E1685="","",IF(COUNTIF($E$2:$E1685,$E1685)=1,1,0))</f>
        <v/>
      </c>
      <c r="AO1685">
        <f>IF($AN1685=1,SUMPRODUCT(--($AR$2:$AR$4001&lt;$AR1685))+1,"")</f>
        <v/>
      </c>
      <c r="AP1685">
        <f>IF($E1685="","",IF(OR($U1685=TRUE(),$U1685="TRUE"),1,0))</f>
        <v/>
      </c>
      <c r="AQ1685">
        <f>IF($E1685="","",IF($AA1685="Yes",1,0))</f>
        <v/>
      </c>
      <c r="AR1685">
        <f>IF($AN1685=1,IFERROR(VALUE(MID($E1685,2,20)),1000000000)+ROW()/100000,"")</f>
        <v/>
      </c>
    </row>
    <row r="1686">
      <c r="G1686" s="11" t="n"/>
      <c r="Q1686" s="7">
        <f>IF($E1686="","",P1686*Y1686/100)</f>
        <v/>
      </c>
      <c r="R1686" s="7" t="n"/>
      <c r="X1686" s="7" t="n"/>
      <c r="Y1686" s="7" t="n"/>
      <c r="AB1686">
        <f>IF($E1686="","",IF($AQ1686=1,0,IF($AP1686=1,Settings!$C$6,Settings!$C$7))*100)</f>
        <v/>
      </c>
      <c r="AC1686" s="7">
        <f>IF($E1686="","",Y1686*AB1686/100)</f>
        <v/>
      </c>
      <c r="AD1686" s="7">
        <f>IF($E1686="","",Y1686-AC1686)</f>
        <v/>
      </c>
      <c r="AE1686" s="7">
        <f>IF($E1686="","",AD1686-Q1686)</f>
        <v/>
      </c>
      <c r="AI1686" s="7" t="n"/>
      <c r="AL1686" s="11" t="n"/>
      <c r="AN1686">
        <f>IF($E1686="","",IF(COUNTIF($E$2:$E1686,$E1686)=1,1,0))</f>
        <v/>
      </c>
      <c r="AO1686">
        <f>IF($AN1686=1,SUMPRODUCT(--($AR$2:$AR$4001&lt;$AR1686))+1,"")</f>
        <v/>
      </c>
      <c r="AP1686">
        <f>IF($E1686="","",IF(OR($U1686=TRUE(),$U1686="TRUE"),1,0))</f>
        <v/>
      </c>
      <c r="AQ1686">
        <f>IF($E1686="","",IF($AA1686="Yes",1,0))</f>
        <v/>
      </c>
      <c r="AR1686">
        <f>IF($AN1686=1,IFERROR(VALUE(MID($E1686,2,20)),1000000000)+ROW()/100000,"")</f>
        <v/>
      </c>
    </row>
    <row r="1687">
      <c r="G1687" s="11" t="n"/>
      <c r="Q1687" s="7">
        <f>IF($E1687="","",P1687*Y1687/100)</f>
        <v/>
      </c>
      <c r="R1687" s="7" t="n"/>
      <c r="X1687" s="7" t="n"/>
      <c r="Y1687" s="7" t="n"/>
      <c r="AB1687">
        <f>IF($E1687="","",IF($AQ1687=1,0,IF($AP1687=1,Settings!$C$6,Settings!$C$7))*100)</f>
        <v/>
      </c>
      <c r="AC1687" s="7">
        <f>IF($E1687="","",Y1687*AB1687/100)</f>
        <v/>
      </c>
      <c r="AD1687" s="7">
        <f>IF($E1687="","",Y1687-AC1687)</f>
        <v/>
      </c>
      <c r="AE1687" s="7">
        <f>IF($E1687="","",AD1687-Q1687)</f>
        <v/>
      </c>
      <c r="AI1687" s="7" t="n"/>
      <c r="AL1687" s="11" t="n"/>
      <c r="AN1687">
        <f>IF($E1687="","",IF(COUNTIF($E$2:$E1687,$E1687)=1,1,0))</f>
        <v/>
      </c>
      <c r="AO1687">
        <f>IF($AN1687=1,SUMPRODUCT(--($AR$2:$AR$4001&lt;$AR1687))+1,"")</f>
        <v/>
      </c>
      <c r="AP1687">
        <f>IF($E1687="","",IF(OR($U1687=TRUE(),$U1687="TRUE"),1,0))</f>
        <v/>
      </c>
      <c r="AQ1687">
        <f>IF($E1687="","",IF($AA1687="Yes",1,0))</f>
        <v/>
      </c>
      <c r="AR1687">
        <f>IF($AN1687=1,IFERROR(VALUE(MID($E1687,2,20)),1000000000)+ROW()/100000,"")</f>
        <v/>
      </c>
    </row>
    <row r="1688">
      <c r="G1688" s="11" t="n"/>
      <c r="Q1688" s="7">
        <f>IF($E1688="","",P1688*Y1688/100)</f>
        <v/>
      </c>
      <c r="R1688" s="7" t="n"/>
      <c r="X1688" s="7" t="n"/>
      <c r="Y1688" s="7" t="n"/>
      <c r="AB1688">
        <f>IF($E1688="","",IF($AQ1688=1,0,IF($AP1688=1,Settings!$C$6,Settings!$C$7))*100)</f>
        <v/>
      </c>
      <c r="AC1688" s="7">
        <f>IF($E1688="","",Y1688*AB1688/100)</f>
        <v/>
      </c>
      <c r="AD1688" s="7">
        <f>IF($E1688="","",Y1688-AC1688)</f>
        <v/>
      </c>
      <c r="AE1688" s="7">
        <f>IF($E1688="","",AD1688-Q1688)</f>
        <v/>
      </c>
      <c r="AI1688" s="7" t="n"/>
      <c r="AL1688" s="11" t="n"/>
      <c r="AN1688">
        <f>IF($E1688="","",IF(COUNTIF($E$2:$E1688,$E1688)=1,1,0))</f>
        <v/>
      </c>
      <c r="AO1688">
        <f>IF($AN1688=1,SUMPRODUCT(--($AR$2:$AR$4001&lt;$AR1688))+1,"")</f>
        <v/>
      </c>
      <c r="AP1688">
        <f>IF($E1688="","",IF(OR($U1688=TRUE(),$U1688="TRUE"),1,0))</f>
        <v/>
      </c>
      <c r="AQ1688">
        <f>IF($E1688="","",IF($AA1688="Yes",1,0))</f>
        <v/>
      </c>
      <c r="AR1688">
        <f>IF($AN1688=1,IFERROR(VALUE(MID($E1688,2,20)),1000000000)+ROW()/100000,"")</f>
        <v/>
      </c>
    </row>
    <row r="1689">
      <c r="G1689" s="11" t="n"/>
      <c r="Q1689" s="7">
        <f>IF($E1689="","",P1689*Y1689/100)</f>
        <v/>
      </c>
      <c r="R1689" s="7" t="n"/>
      <c r="X1689" s="7" t="n"/>
      <c r="Y1689" s="7" t="n"/>
      <c r="AB1689">
        <f>IF($E1689="","",IF($AQ1689=1,0,IF($AP1689=1,Settings!$C$6,Settings!$C$7))*100)</f>
        <v/>
      </c>
      <c r="AC1689" s="7">
        <f>IF($E1689="","",Y1689*AB1689/100)</f>
        <v/>
      </c>
      <c r="AD1689" s="7">
        <f>IF($E1689="","",Y1689-AC1689)</f>
        <v/>
      </c>
      <c r="AE1689" s="7">
        <f>IF($E1689="","",AD1689-Q1689)</f>
        <v/>
      </c>
      <c r="AI1689" s="7" t="n"/>
      <c r="AL1689" s="11" t="n"/>
      <c r="AN1689">
        <f>IF($E1689="","",IF(COUNTIF($E$2:$E1689,$E1689)=1,1,0))</f>
        <v/>
      </c>
      <c r="AO1689">
        <f>IF($AN1689=1,SUMPRODUCT(--($AR$2:$AR$4001&lt;$AR1689))+1,"")</f>
        <v/>
      </c>
      <c r="AP1689">
        <f>IF($E1689="","",IF(OR($U1689=TRUE(),$U1689="TRUE"),1,0))</f>
        <v/>
      </c>
      <c r="AQ1689">
        <f>IF($E1689="","",IF($AA1689="Yes",1,0))</f>
        <v/>
      </c>
      <c r="AR1689">
        <f>IF($AN1689=1,IFERROR(VALUE(MID($E1689,2,20)),1000000000)+ROW()/100000,"")</f>
        <v/>
      </c>
    </row>
    <row r="1690">
      <c r="G1690" s="11" t="n"/>
      <c r="Q1690" s="7">
        <f>IF($E1690="","",P1690*Y1690/100)</f>
        <v/>
      </c>
      <c r="R1690" s="7" t="n"/>
      <c r="X1690" s="7" t="n"/>
      <c r="Y1690" s="7" t="n"/>
      <c r="AB1690">
        <f>IF($E1690="","",IF($AQ1690=1,0,IF($AP1690=1,Settings!$C$6,Settings!$C$7))*100)</f>
        <v/>
      </c>
      <c r="AC1690" s="7">
        <f>IF($E1690="","",Y1690*AB1690/100)</f>
        <v/>
      </c>
      <c r="AD1690" s="7">
        <f>IF($E1690="","",Y1690-AC1690)</f>
        <v/>
      </c>
      <c r="AE1690" s="7">
        <f>IF($E1690="","",AD1690-Q1690)</f>
        <v/>
      </c>
      <c r="AI1690" s="7" t="n"/>
      <c r="AL1690" s="11" t="n"/>
      <c r="AN1690">
        <f>IF($E1690="","",IF(COUNTIF($E$2:$E1690,$E1690)=1,1,0))</f>
        <v/>
      </c>
      <c r="AO1690">
        <f>IF($AN1690=1,SUMPRODUCT(--($AR$2:$AR$4001&lt;$AR1690))+1,"")</f>
        <v/>
      </c>
      <c r="AP1690">
        <f>IF($E1690="","",IF(OR($U1690=TRUE(),$U1690="TRUE"),1,0))</f>
        <v/>
      </c>
      <c r="AQ1690">
        <f>IF($E1690="","",IF($AA1690="Yes",1,0))</f>
        <v/>
      </c>
      <c r="AR1690">
        <f>IF($AN1690=1,IFERROR(VALUE(MID($E1690,2,20)),1000000000)+ROW()/100000,"")</f>
        <v/>
      </c>
    </row>
    <row r="1691">
      <c r="G1691" s="11" t="n"/>
      <c r="Q1691" s="7">
        <f>IF($E1691="","",P1691*Y1691/100)</f>
        <v/>
      </c>
      <c r="R1691" s="7" t="n"/>
      <c r="X1691" s="7" t="n"/>
      <c r="Y1691" s="7" t="n"/>
      <c r="AB1691">
        <f>IF($E1691="","",IF($AQ1691=1,0,IF($AP1691=1,Settings!$C$6,Settings!$C$7))*100)</f>
        <v/>
      </c>
      <c r="AC1691" s="7">
        <f>IF($E1691="","",Y1691*AB1691/100)</f>
        <v/>
      </c>
      <c r="AD1691" s="7">
        <f>IF($E1691="","",Y1691-AC1691)</f>
        <v/>
      </c>
      <c r="AE1691" s="7">
        <f>IF($E1691="","",AD1691-Q1691)</f>
        <v/>
      </c>
      <c r="AI1691" s="7" t="n"/>
      <c r="AL1691" s="11" t="n"/>
      <c r="AN1691">
        <f>IF($E1691="","",IF(COUNTIF($E$2:$E1691,$E1691)=1,1,0))</f>
        <v/>
      </c>
      <c r="AO1691">
        <f>IF($AN1691=1,SUMPRODUCT(--($AR$2:$AR$4001&lt;$AR1691))+1,"")</f>
        <v/>
      </c>
      <c r="AP1691">
        <f>IF($E1691="","",IF(OR($U1691=TRUE(),$U1691="TRUE"),1,0))</f>
        <v/>
      </c>
      <c r="AQ1691">
        <f>IF($E1691="","",IF($AA1691="Yes",1,0))</f>
        <v/>
      </c>
      <c r="AR1691">
        <f>IF($AN1691=1,IFERROR(VALUE(MID($E1691,2,20)),1000000000)+ROW()/100000,"")</f>
        <v/>
      </c>
    </row>
    <row r="1692">
      <c r="G1692" s="11" t="n"/>
      <c r="Q1692" s="7">
        <f>IF($E1692="","",P1692*Y1692/100)</f>
        <v/>
      </c>
      <c r="R1692" s="7" t="n"/>
      <c r="X1692" s="7" t="n"/>
      <c r="Y1692" s="7" t="n"/>
      <c r="AB1692">
        <f>IF($E1692="","",IF($AQ1692=1,0,IF($AP1692=1,Settings!$C$6,Settings!$C$7))*100)</f>
        <v/>
      </c>
      <c r="AC1692" s="7">
        <f>IF($E1692="","",Y1692*AB1692/100)</f>
        <v/>
      </c>
      <c r="AD1692" s="7">
        <f>IF($E1692="","",Y1692-AC1692)</f>
        <v/>
      </c>
      <c r="AE1692" s="7">
        <f>IF($E1692="","",AD1692-Q1692)</f>
        <v/>
      </c>
      <c r="AI1692" s="7" t="n"/>
      <c r="AL1692" s="11" t="n"/>
      <c r="AN1692">
        <f>IF($E1692="","",IF(COUNTIF($E$2:$E1692,$E1692)=1,1,0))</f>
        <v/>
      </c>
      <c r="AO1692">
        <f>IF($AN1692=1,SUMPRODUCT(--($AR$2:$AR$4001&lt;$AR1692))+1,"")</f>
        <v/>
      </c>
      <c r="AP1692">
        <f>IF($E1692="","",IF(OR($U1692=TRUE(),$U1692="TRUE"),1,0))</f>
        <v/>
      </c>
      <c r="AQ1692">
        <f>IF($E1692="","",IF($AA1692="Yes",1,0))</f>
        <v/>
      </c>
      <c r="AR1692">
        <f>IF($AN1692=1,IFERROR(VALUE(MID($E1692,2,20)),1000000000)+ROW()/100000,"")</f>
        <v/>
      </c>
    </row>
    <row r="1693">
      <c r="G1693" s="11" t="n"/>
      <c r="Q1693" s="7">
        <f>IF($E1693="","",P1693*Y1693/100)</f>
        <v/>
      </c>
      <c r="R1693" s="7" t="n"/>
      <c r="X1693" s="7" t="n"/>
      <c r="Y1693" s="7" t="n"/>
      <c r="AB1693">
        <f>IF($E1693="","",IF($AQ1693=1,0,IF($AP1693=1,Settings!$C$6,Settings!$C$7))*100)</f>
        <v/>
      </c>
      <c r="AC1693" s="7">
        <f>IF($E1693="","",Y1693*AB1693/100)</f>
        <v/>
      </c>
      <c r="AD1693" s="7">
        <f>IF($E1693="","",Y1693-AC1693)</f>
        <v/>
      </c>
      <c r="AE1693" s="7">
        <f>IF($E1693="","",AD1693-Q1693)</f>
        <v/>
      </c>
      <c r="AI1693" s="7" t="n"/>
      <c r="AL1693" s="11" t="n"/>
      <c r="AN1693">
        <f>IF($E1693="","",IF(COUNTIF($E$2:$E1693,$E1693)=1,1,0))</f>
        <v/>
      </c>
      <c r="AO1693">
        <f>IF($AN1693=1,SUMPRODUCT(--($AR$2:$AR$4001&lt;$AR1693))+1,"")</f>
        <v/>
      </c>
      <c r="AP1693">
        <f>IF($E1693="","",IF(OR($U1693=TRUE(),$U1693="TRUE"),1,0))</f>
        <v/>
      </c>
      <c r="AQ1693">
        <f>IF($E1693="","",IF($AA1693="Yes",1,0))</f>
        <v/>
      </c>
      <c r="AR1693">
        <f>IF($AN1693=1,IFERROR(VALUE(MID($E1693,2,20)),1000000000)+ROW()/100000,"")</f>
        <v/>
      </c>
    </row>
    <row r="1694">
      <c r="G1694" s="11" t="n"/>
      <c r="Q1694" s="7">
        <f>IF($E1694="","",P1694*Y1694/100)</f>
        <v/>
      </c>
      <c r="R1694" s="7" t="n"/>
      <c r="X1694" s="7" t="n"/>
      <c r="Y1694" s="7" t="n"/>
      <c r="AB1694">
        <f>IF($E1694="","",IF($AQ1694=1,0,IF($AP1694=1,Settings!$C$6,Settings!$C$7))*100)</f>
        <v/>
      </c>
      <c r="AC1694" s="7">
        <f>IF($E1694="","",Y1694*AB1694/100)</f>
        <v/>
      </c>
      <c r="AD1694" s="7">
        <f>IF($E1694="","",Y1694-AC1694)</f>
        <v/>
      </c>
      <c r="AE1694" s="7">
        <f>IF($E1694="","",AD1694-Q1694)</f>
        <v/>
      </c>
      <c r="AI1694" s="7" t="n"/>
      <c r="AL1694" s="11" t="n"/>
      <c r="AN1694">
        <f>IF($E1694="","",IF(COUNTIF($E$2:$E1694,$E1694)=1,1,0))</f>
        <v/>
      </c>
      <c r="AO1694">
        <f>IF($AN1694=1,SUMPRODUCT(--($AR$2:$AR$4001&lt;$AR1694))+1,"")</f>
        <v/>
      </c>
      <c r="AP1694">
        <f>IF($E1694="","",IF(OR($U1694=TRUE(),$U1694="TRUE"),1,0))</f>
        <v/>
      </c>
      <c r="AQ1694">
        <f>IF($E1694="","",IF($AA1694="Yes",1,0))</f>
        <v/>
      </c>
      <c r="AR1694">
        <f>IF($AN1694=1,IFERROR(VALUE(MID($E1694,2,20)),1000000000)+ROW()/100000,"")</f>
        <v/>
      </c>
    </row>
    <row r="1695">
      <c r="G1695" s="11" t="n"/>
      <c r="Q1695" s="7">
        <f>IF($E1695="","",P1695*Y1695/100)</f>
        <v/>
      </c>
      <c r="R1695" s="7" t="n"/>
      <c r="X1695" s="7" t="n"/>
      <c r="Y1695" s="7" t="n"/>
      <c r="AB1695">
        <f>IF($E1695="","",IF($AQ1695=1,0,IF($AP1695=1,Settings!$C$6,Settings!$C$7))*100)</f>
        <v/>
      </c>
      <c r="AC1695" s="7">
        <f>IF($E1695="","",Y1695*AB1695/100)</f>
        <v/>
      </c>
      <c r="AD1695" s="7">
        <f>IF($E1695="","",Y1695-AC1695)</f>
        <v/>
      </c>
      <c r="AE1695" s="7">
        <f>IF($E1695="","",AD1695-Q1695)</f>
        <v/>
      </c>
      <c r="AI1695" s="7" t="n"/>
      <c r="AL1695" s="11" t="n"/>
      <c r="AN1695">
        <f>IF($E1695="","",IF(COUNTIF($E$2:$E1695,$E1695)=1,1,0))</f>
        <v/>
      </c>
      <c r="AO1695">
        <f>IF($AN1695=1,SUMPRODUCT(--($AR$2:$AR$4001&lt;$AR1695))+1,"")</f>
        <v/>
      </c>
      <c r="AP1695">
        <f>IF($E1695="","",IF(OR($U1695=TRUE(),$U1695="TRUE"),1,0))</f>
        <v/>
      </c>
      <c r="AQ1695">
        <f>IF($E1695="","",IF($AA1695="Yes",1,0))</f>
        <v/>
      </c>
      <c r="AR1695">
        <f>IF($AN1695=1,IFERROR(VALUE(MID($E1695,2,20)),1000000000)+ROW()/100000,"")</f>
        <v/>
      </c>
    </row>
    <row r="1696">
      <c r="G1696" s="11" t="n"/>
      <c r="Q1696" s="7">
        <f>IF($E1696="","",P1696*Y1696/100)</f>
        <v/>
      </c>
      <c r="R1696" s="7" t="n"/>
      <c r="X1696" s="7" t="n"/>
      <c r="Y1696" s="7" t="n"/>
      <c r="AB1696">
        <f>IF($E1696="","",IF($AQ1696=1,0,IF($AP1696=1,Settings!$C$6,Settings!$C$7))*100)</f>
        <v/>
      </c>
      <c r="AC1696" s="7">
        <f>IF($E1696="","",Y1696*AB1696/100)</f>
        <v/>
      </c>
      <c r="AD1696" s="7">
        <f>IF($E1696="","",Y1696-AC1696)</f>
        <v/>
      </c>
      <c r="AE1696" s="7">
        <f>IF($E1696="","",AD1696-Q1696)</f>
        <v/>
      </c>
      <c r="AI1696" s="7" t="n"/>
      <c r="AL1696" s="11" t="n"/>
      <c r="AN1696">
        <f>IF($E1696="","",IF(COUNTIF($E$2:$E1696,$E1696)=1,1,0))</f>
        <v/>
      </c>
      <c r="AO1696">
        <f>IF($AN1696=1,SUMPRODUCT(--($AR$2:$AR$4001&lt;$AR1696))+1,"")</f>
        <v/>
      </c>
      <c r="AP1696">
        <f>IF($E1696="","",IF(OR($U1696=TRUE(),$U1696="TRUE"),1,0))</f>
        <v/>
      </c>
      <c r="AQ1696">
        <f>IF($E1696="","",IF($AA1696="Yes",1,0))</f>
        <v/>
      </c>
      <c r="AR1696">
        <f>IF($AN1696=1,IFERROR(VALUE(MID($E1696,2,20)),1000000000)+ROW()/100000,"")</f>
        <v/>
      </c>
    </row>
    <row r="1697">
      <c r="G1697" s="11" t="n"/>
      <c r="Q1697" s="7">
        <f>IF($E1697="","",P1697*Y1697/100)</f>
        <v/>
      </c>
      <c r="R1697" s="7" t="n"/>
      <c r="X1697" s="7" t="n"/>
      <c r="Y1697" s="7" t="n"/>
      <c r="AB1697">
        <f>IF($E1697="","",IF($AQ1697=1,0,IF($AP1697=1,Settings!$C$6,Settings!$C$7))*100)</f>
        <v/>
      </c>
      <c r="AC1697" s="7">
        <f>IF($E1697="","",Y1697*AB1697/100)</f>
        <v/>
      </c>
      <c r="AD1697" s="7">
        <f>IF($E1697="","",Y1697-AC1697)</f>
        <v/>
      </c>
      <c r="AE1697" s="7">
        <f>IF($E1697="","",AD1697-Q1697)</f>
        <v/>
      </c>
      <c r="AI1697" s="7" t="n"/>
      <c r="AL1697" s="11" t="n"/>
      <c r="AN1697">
        <f>IF($E1697="","",IF(COUNTIF($E$2:$E1697,$E1697)=1,1,0))</f>
        <v/>
      </c>
      <c r="AO1697">
        <f>IF($AN1697=1,SUMPRODUCT(--($AR$2:$AR$4001&lt;$AR1697))+1,"")</f>
        <v/>
      </c>
      <c r="AP1697">
        <f>IF($E1697="","",IF(OR($U1697=TRUE(),$U1697="TRUE"),1,0))</f>
        <v/>
      </c>
      <c r="AQ1697">
        <f>IF($E1697="","",IF($AA1697="Yes",1,0))</f>
        <v/>
      </c>
      <c r="AR1697">
        <f>IF($AN1697=1,IFERROR(VALUE(MID($E1697,2,20)),1000000000)+ROW()/100000,"")</f>
        <v/>
      </c>
    </row>
    <row r="1698">
      <c r="G1698" s="11" t="n"/>
      <c r="Q1698" s="7">
        <f>IF($E1698="","",P1698*Y1698/100)</f>
        <v/>
      </c>
      <c r="R1698" s="7" t="n"/>
      <c r="X1698" s="7" t="n"/>
      <c r="Y1698" s="7" t="n"/>
      <c r="AB1698">
        <f>IF($E1698="","",IF($AQ1698=1,0,IF($AP1698=1,Settings!$C$6,Settings!$C$7))*100)</f>
        <v/>
      </c>
      <c r="AC1698" s="7">
        <f>IF($E1698="","",Y1698*AB1698/100)</f>
        <v/>
      </c>
      <c r="AD1698" s="7">
        <f>IF($E1698="","",Y1698-AC1698)</f>
        <v/>
      </c>
      <c r="AE1698" s="7">
        <f>IF($E1698="","",AD1698-Q1698)</f>
        <v/>
      </c>
      <c r="AI1698" s="7" t="n"/>
      <c r="AL1698" s="11" t="n"/>
      <c r="AN1698">
        <f>IF($E1698="","",IF(COUNTIF($E$2:$E1698,$E1698)=1,1,0))</f>
        <v/>
      </c>
      <c r="AO1698">
        <f>IF($AN1698=1,SUMPRODUCT(--($AR$2:$AR$4001&lt;$AR1698))+1,"")</f>
        <v/>
      </c>
      <c r="AP1698">
        <f>IF($E1698="","",IF(OR($U1698=TRUE(),$U1698="TRUE"),1,0))</f>
        <v/>
      </c>
      <c r="AQ1698">
        <f>IF($E1698="","",IF($AA1698="Yes",1,0))</f>
        <v/>
      </c>
      <c r="AR1698">
        <f>IF($AN1698=1,IFERROR(VALUE(MID($E1698,2,20)),1000000000)+ROW()/100000,"")</f>
        <v/>
      </c>
    </row>
    <row r="1699">
      <c r="G1699" s="11" t="n"/>
      <c r="Q1699" s="7">
        <f>IF($E1699="","",P1699*Y1699/100)</f>
        <v/>
      </c>
      <c r="R1699" s="7" t="n"/>
      <c r="X1699" s="7" t="n"/>
      <c r="Y1699" s="7" t="n"/>
      <c r="AB1699">
        <f>IF($E1699="","",IF($AQ1699=1,0,IF($AP1699=1,Settings!$C$6,Settings!$C$7))*100)</f>
        <v/>
      </c>
      <c r="AC1699" s="7">
        <f>IF($E1699="","",Y1699*AB1699/100)</f>
        <v/>
      </c>
      <c r="AD1699" s="7">
        <f>IF($E1699="","",Y1699-AC1699)</f>
        <v/>
      </c>
      <c r="AE1699" s="7">
        <f>IF($E1699="","",AD1699-Q1699)</f>
        <v/>
      </c>
      <c r="AI1699" s="7" t="n"/>
      <c r="AL1699" s="11" t="n"/>
      <c r="AN1699">
        <f>IF($E1699="","",IF(COUNTIF($E$2:$E1699,$E1699)=1,1,0))</f>
        <v/>
      </c>
      <c r="AO1699">
        <f>IF($AN1699=1,SUMPRODUCT(--($AR$2:$AR$4001&lt;$AR1699))+1,"")</f>
        <v/>
      </c>
      <c r="AP1699">
        <f>IF($E1699="","",IF(OR($U1699=TRUE(),$U1699="TRUE"),1,0))</f>
        <v/>
      </c>
      <c r="AQ1699">
        <f>IF($E1699="","",IF($AA1699="Yes",1,0))</f>
        <v/>
      </c>
      <c r="AR1699">
        <f>IF($AN1699=1,IFERROR(VALUE(MID($E1699,2,20)),1000000000)+ROW()/100000,"")</f>
        <v/>
      </c>
    </row>
    <row r="1700">
      <c r="G1700" s="11" t="n"/>
      <c r="Q1700" s="7">
        <f>IF($E1700="","",P1700*Y1700/100)</f>
        <v/>
      </c>
      <c r="R1700" s="7" t="n"/>
      <c r="X1700" s="7" t="n"/>
      <c r="Y1700" s="7" t="n"/>
      <c r="AB1700">
        <f>IF($E1700="","",IF($AQ1700=1,0,IF($AP1700=1,Settings!$C$6,Settings!$C$7))*100)</f>
        <v/>
      </c>
      <c r="AC1700" s="7">
        <f>IF($E1700="","",Y1700*AB1700/100)</f>
        <v/>
      </c>
      <c r="AD1700" s="7">
        <f>IF($E1700="","",Y1700-AC1700)</f>
        <v/>
      </c>
      <c r="AE1700" s="7">
        <f>IF($E1700="","",AD1700-Q1700)</f>
        <v/>
      </c>
      <c r="AI1700" s="7" t="n"/>
      <c r="AL1700" s="11" t="n"/>
      <c r="AN1700">
        <f>IF($E1700="","",IF(COUNTIF($E$2:$E1700,$E1700)=1,1,0))</f>
        <v/>
      </c>
      <c r="AO1700">
        <f>IF($AN1700=1,SUMPRODUCT(--($AR$2:$AR$4001&lt;$AR1700))+1,"")</f>
        <v/>
      </c>
      <c r="AP1700">
        <f>IF($E1700="","",IF(OR($U1700=TRUE(),$U1700="TRUE"),1,0))</f>
        <v/>
      </c>
      <c r="AQ1700">
        <f>IF($E1700="","",IF($AA1700="Yes",1,0))</f>
        <v/>
      </c>
      <c r="AR1700">
        <f>IF($AN1700=1,IFERROR(VALUE(MID($E1700,2,20)),1000000000)+ROW()/100000,"")</f>
        <v/>
      </c>
    </row>
    <row r="1701">
      <c r="G1701" s="11" t="n"/>
      <c r="Q1701" s="7">
        <f>IF($E1701="","",P1701*Y1701/100)</f>
        <v/>
      </c>
      <c r="R1701" s="7" t="n"/>
      <c r="X1701" s="7" t="n"/>
      <c r="Y1701" s="7" t="n"/>
      <c r="AB1701">
        <f>IF($E1701="","",IF($AQ1701=1,0,IF($AP1701=1,Settings!$C$6,Settings!$C$7))*100)</f>
        <v/>
      </c>
      <c r="AC1701" s="7">
        <f>IF($E1701="","",Y1701*AB1701/100)</f>
        <v/>
      </c>
      <c r="AD1701" s="7">
        <f>IF($E1701="","",Y1701-AC1701)</f>
        <v/>
      </c>
      <c r="AE1701" s="7">
        <f>IF($E1701="","",AD1701-Q1701)</f>
        <v/>
      </c>
      <c r="AI1701" s="7" t="n"/>
      <c r="AL1701" s="11" t="n"/>
      <c r="AN1701">
        <f>IF($E1701="","",IF(COUNTIF($E$2:$E1701,$E1701)=1,1,0))</f>
        <v/>
      </c>
      <c r="AO1701">
        <f>IF($AN1701=1,SUMPRODUCT(--($AR$2:$AR$4001&lt;$AR1701))+1,"")</f>
        <v/>
      </c>
      <c r="AP1701">
        <f>IF($E1701="","",IF(OR($U1701=TRUE(),$U1701="TRUE"),1,0))</f>
        <v/>
      </c>
      <c r="AQ1701">
        <f>IF($E1701="","",IF($AA1701="Yes",1,0))</f>
        <v/>
      </c>
      <c r="AR1701">
        <f>IF($AN1701=1,IFERROR(VALUE(MID($E1701,2,20)),1000000000)+ROW()/100000,"")</f>
        <v/>
      </c>
    </row>
    <row r="1702">
      <c r="G1702" s="11" t="n"/>
      <c r="Q1702" s="7">
        <f>IF($E1702="","",P1702*Y1702/100)</f>
        <v/>
      </c>
      <c r="R1702" s="7" t="n"/>
      <c r="X1702" s="7" t="n"/>
      <c r="Y1702" s="7" t="n"/>
      <c r="AB1702">
        <f>IF($E1702="","",IF($AQ1702=1,0,IF($AP1702=1,Settings!$C$6,Settings!$C$7))*100)</f>
        <v/>
      </c>
      <c r="AC1702" s="7">
        <f>IF($E1702="","",Y1702*AB1702/100)</f>
        <v/>
      </c>
      <c r="AD1702" s="7">
        <f>IF($E1702="","",Y1702-AC1702)</f>
        <v/>
      </c>
      <c r="AE1702" s="7">
        <f>IF($E1702="","",AD1702-Q1702)</f>
        <v/>
      </c>
      <c r="AI1702" s="7" t="n"/>
      <c r="AL1702" s="11" t="n"/>
      <c r="AN1702">
        <f>IF($E1702="","",IF(COUNTIF($E$2:$E1702,$E1702)=1,1,0))</f>
        <v/>
      </c>
      <c r="AO1702">
        <f>IF($AN1702=1,SUMPRODUCT(--($AR$2:$AR$4001&lt;$AR1702))+1,"")</f>
        <v/>
      </c>
      <c r="AP1702">
        <f>IF($E1702="","",IF(OR($U1702=TRUE(),$U1702="TRUE"),1,0))</f>
        <v/>
      </c>
      <c r="AQ1702">
        <f>IF($E1702="","",IF($AA1702="Yes",1,0))</f>
        <v/>
      </c>
      <c r="AR1702">
        <f>IF($AN1702=1,IFERROR(VALUE(MID($E1702,2,20)),1000000000)+ROW()/100000,"")</f>
        <v/>
      </c>
    </row>
    <row r="1703">
      <c r="G1703" s="11" t="n"/>
      <c r="Q1703" s="7">
        <f>IF($E1703="","",P1703*Y1703/100)</f>
        <v/>
      </c>
      <c r="R1703" s="7" t="n"/>
      <c r="X1703" s="7" t="n"/>
      <c r="Y1703" s="7" t="n"/>
      <c r="AB1703">
        <f>IF($E1703="","",IF($AQ1703=1,0,IF($AP1703=1,Settings!$C$6,Settings!$C$7))*100)</f>
        <v/>
      </c>
      <c r="AC1703" s="7">
        <f>IF($E1703="","",Y1703*AB1703/100)</f>
        <v/>
      </c>
      <c r="AD1703" s="7">
        <f>IF($E1703="","",Y1703-AC1703)</f>
        <v/>
      </c>
      <c r="AE1703" s="7">
        <f>IF($E1703="","",AD1703-Q1703)</f>
        <v/>
      </c>
      <c r="AI1703" s="7" t="n"/>
      <c r="AL1703" s="11" t="n"/>
      <c r="AN1703">
        <f>IF($E1703="","",IF(COUNTIF($E$2:$E1703,$E1703)=1,1,0))</f>
        <v/>
      </c>
      <c r="AO1703">
        <f>IF($AN1703=1,SUMPRODUCT(--($AR$2:$AR$4001&lt;$AR1703))+1,"")</f>
        <v/>
      </c>
      <c r="AP1703">
        <f>IF($E1703="","",IF(OR($U1703=TRUE(),$U1703="TRUE"),1,0))</f>
        <v/>
      </c>
      <c r="AQ1703">
        <f>IF($E1703="","",IF($AA1703="Yes",1,0))</f>
        <v/>
      </c>
      <c r="AR1703">
        <f>IF($AN1703=1,IFERROR(VALUE(MID($E1703,2,20)),1000000000)+ROW()/100000,"")</f>
        <v/>
      </c>
    </row>
    <row r="1704">
      <c r="G1704" s="11" t="n"/>
      <c r="Q1704" s="7">
        <f>IF($E1704="","",P1704*Y1704/100)</f>
        <v/>
      </c>
      <c r="R1704" s="7" t="n"/>
      <c r="X1704" s="7" t="n"/>
      <c r="Y1704" s="7" t="n"/>
      <c r="AB1704">
        <f>IF($E1704="","",IF($AQ1704=1,0,IF($AP1704=1,Settings!$C$6,Settings!$C$7))*100)</f>
        <v/>
      </c>
      <c r="AC1704" s="7">
        <f>IF($E1704="","",Y1704*AB1704/100)</f>
        <v/>
      </c>
      <c r="AD1704" s="7">
        <f>IF($E1704="","",Y1704-AC1704)</f>
        <v/>
      </c>
      <c r="AE1704" s="7">
        <f>IF($E1704="","",AD1704-Q1704)</f>
        <v/>
      </c>
      <c r="AI1704" s="7" t="n"/>
      <c r="AL1704" s="11" t="n"/>
      <c r="AN1704">
        <f>IF($E1704="","",IF(COUNTIF($E$2:$E1704,$E1704)=1,1,0))</f>
        <v/>
      </c>
      <c r="AO1704">
        <f>IF($AN1704=1,SUMPRODUCT(--($AR$2:$AR$4001&lt;$AR1704))+1,"")</f>
        <v/>
      </c>
      <c r="AP1704">
        <f>IF($E1704="","",IF(OR($U1704=TRUE(),$U1704="TRUE"),1,0))</f>
        <v/>
      </c>
      <c r="AQ1704">
        <f>IF($E1704="","",IF($AA1704="Yes",1,0))</f>
        <v/>
      </c>
      <c r="AR1704">
        <f>IF($AN1704=1,IFERROR(VALUE(MID($E1704,2,20)),1000000000)+ROW()/100000,"")</f>
        <v/>
      </c>
    </row>
    <row r="1705">
      <c r="G1705" s="11" t="n"/>
      <c r="Q1705" s="7">
        <f>IF($E1705="","",P1705*Y1705/100)</f>
        <v/>
      </c>
      <c r="R1705" s="7" t="n"/>
      <c r="X1705" s="7" t="n"/>
      <c r="Y1705" s="7" t="n"/>
      <c r="AB1705">
        <f>IF($E1705="","",IF($AQ1705=1,0,IF($AP1705=1,Settings!$C$6,Settings!$C$7))*100)</f>
        <v/>
      </c>
      <c r="AC1705" s="7">
        <f>IF($E1705="","",Y1705*AB1705/100)</f>
        <v/>
      </c>
      <c r="AD1705" s="7">
        <f>IF($E1705="","",Y1705-AC1705)</f>
        <v/>
      </c>
      <c r="AE1705" s="7">
        <f>IF($E1705="","",AD1705-Q1705)</f>
        <v/>
      </c>
      <c r="AI1705" s="7" t="n"/>
      <c r="AL1705" s="11" t="n"/>
      <c r="AN1705">
        <f>IF($E1705="","",IF(COUNTIF($E$2:$E1705,$E1705)=1,1,0))</f>
        <v/>
      </c>
      <c r="AO1705">
        <f>IF($AN1705=1,SUMPRODUCT(--($AR$2:$AR$4001&lt;$AR1705))+1,"")</f>
        <v/>
      </c>
      <c r="AP1705">
        <f>IF($E1705="","",IF(OR($U1705=TRUE(),$U1705="TRUE"),1,0))</f>
        <v/>
      </c>
      <c r="AQ1705">
        <f>IF($E1705="","",IF($AA1705="Yes",1,0))</f>
        <v/>
      </c>
      <c r="AR1705">
        <f>IF($AN1705=1,IFERROR(VALUE(MID($E1705,2,20)),1000000000)+ROW()/100000,"")</f>
        <v/>
      </c>
    </row>
    <row r="1706">
      <c r="G1706" s="11" t="n"/>
      <c r="Q1706" s="7">
        <f>IF($E1706="","",P1706*Y1706/100)</f>
        <v/>
      </c>
      <c r="R1706" s="7" t="n"/>
      <c r="X1706" s="7" t="n"/>
      <c r="Y1706" s="7" t="n"/>
      <c r="AB1706">
        <f>IF($E1706="","",IF($AQ1706=1,0,IF($AP1706=1,Settings!$C$6,Settings!$C$7))*100)</f>
        <v/>
      </c>
      <c r="AC1706" s="7">
        <f>IF($E1706="","",Y1706*AB1706/100)</f>
        <v/>
      </c>
      <c r="AD1706" s="7">
        <f>IF($E1706="","",Y1706-AC1706)</f>
        <v/>
      </c>
      <c r="AE1706" s="7">
        <f>IF($E1706="","",AD1706-Q1706)</f>
        <v/>
      </c>
      <c r="AI1706" s="7" t="n"/>
      <c r="AL1706" s="11" t="n"/>
      <c r="AN1706">
        <f>IF($E1706="","",IF(COUNTIF($E$2:$E1706,$E1706)=1,1,0))</f>
        <v/>
      </c>
      <c r="AO1706">
        <f>IF($AN1706=1,SUMPRODUCT(--($AR$2:$AR$4001&lt;$AR1706))+1,"")</f>
        <v/>
      </c>
      <c r="AP1706">
        <f>IF($E1706="","",IF(OR($U1706=TRUE(),$U1706="TRUE"),1,0))</f>
        <v/>
      </c>
      <c r="AQ1706">
        <f>IF($E1706="","",IF($AA1706="Yes",1,0))</f>
        <v/>
      </c>
      <c r="AR1706">
        <f>IF($AN1706=1,IFERROR(VALUE(MID($E1706,2,20)),1000000000)+ROW()/100000,"")</f>
        <v/>
      </c>
    </row>
    <row r="1707">
      <c r="G1707" s="11" t="n"/>
      <c r="Q1707" s="7">
        <f>IF($E1707="","",P1707*Y1707/100)</f>
        <v/>
      </c>
      <c r="R1707" s="7" t="n"/>
      <c r="X1707" s="7" t="n"/>
      <c r="Y1707" s="7" t="n"/>
      <c r="AB1707">
        <f>IF($E1707="","",IF($AQ1707=1,0,IF($AP1707=1,Settings!$C$6,Settings!$C$7))*100)</f>
        <v/>
      </c>
      <c r="AC1707" s="7">
        <f>IF($E1707="","",Y1707*AB1707/100)</f>
        <v/>
      </c>
      <c r="AD1707" s="7">
        <f>IF($E1707="","",Y1707-AC1707)</f>
        <v/>
      </c>
      <c r="AE1707" s="7">
        <f>IF($E1707="","",AD1707-Q1707)</f>
        <v/>
      </c>
      <c r="AI1707" s="7" t="n"/>
      <c r="AL1707" s="11" t="n"/>
      <c r="AN1707">
        <f>IF($E1707="","",IF(COUNTIF($E$2:$E1707,$E1707)=1,1,0))</f>
        <v/>
      </c>
      <c r="AO1707">
        <f>IF($AN1707=1,SUMPRODUCT(--($AR$2:$AR$4001&lt;$AR1707))+1,"")</f>
        <v/>
      </c>
      <c r="AP1707">
        <f>IF($E1707="","",IF(OR($U1707=TRUE(),$U1707="TRUE"),1,0))</f>
        <v/>
      </c>
      <c r="AQ1707">
        <f>IF($E1707="","",IF($AA1707="Yes",1,0))</f>
        <v/>
      </c>
      <c r="AR1707">
        <f>IF($AN1707=1,IFERROR(VALUE(MID($E1707,2,20)),1000000000)+ROW()/100000,"")</f>
        <v/>
      </c>
    </row>
    <row r="1708">
      <c r="G1708" s="11" t="n"/>
      <c r="Q1708" s="7">
        <f>IF($E1708="","",P1708*Y1708/100)</f>
        <v/>
      </c>
      <c r="R1708" s="7" t="n"/>
      <c r="X1708" s="7" t="n"/>
      <c r="Y1708" s="7" t="n"/>
      <c r="AB1708">
        <f>IF($E1708="","",IF($AQ1708=1,0,IF($AP1708=1,Settings!$C$6,Settings!$C$7))*100)</f>
        <v/>
      </c>
      <c r="AC1708" s="7">
        <f>IF($E1708="","",Y1708*AB1708/100)</f>
        <v/>
      </c>
      <c r="AD1708" s="7">
        <f>IF($E1708="","",Y1708-AC1708)</f>
        <v/>
      </c>
      <c r="AE1708" s="7">
        <f>IF($E1708="","",AD1708-Q1708)</f>
        <v/>
      </c>
      <c r="AI1708" s="7" t="n"/>
      <c r="AL1708" s="11" t="n"/>
      <c r="AN1708">
        <f>IF($E1708="","",IF(COUNTIF($E$2:$E1708,$E1708)=1,1,0))</f>
        <v/>
      </c>
      <c r="AO1708">
        <f>IF($AN1708=1,SUMPRODUCT(--($AR$2:$AR$4001&lt;$AR1708))+1,"")</f>
        <v/>
      </c>
      <c r="AP1708">
        <f>IF($E1708="","",IF(OR($U1708=TRUE(),$U1708="TRUE"),1,0))</f>
        <v/>
      </c>
      <c r="AQ1708">
        <f>IF($E1708="","",IF($AA1708="Yes",1,0))</f>
        <v/>
      </c>
      <c r="AR1708">
        <f>IF($AN1708=1,IFERROR(VALUE(MID($E1708,2,20)),1000000000)+ROW()/100000,"")</f>
        <v/>
      </c>
    </row>
    <row r="1709">
      <c r="G1709" s="11" t="n"/>
      <c r="Q1709" s="7">
        <f>IF($E1709="","",P1709*Y1709/100)</f>
        <v/>
      </c>
      <c r="R1709" s="7" t="n"/>
      <c r="X1709" s="7" t="n"/>
      <c r="Y1709" s="7" t="n"/>
      <c r="AB1709">
        <f>IF($E1709="","",IF($AQ1709=1,0,IF($AP1709=1,Settings!$C$6,Settings!$C$7))*100)</f>
        <v/>
      </c>
      <c r="AC1709" s="7">
        <f>IF($E1709="","",Y1709*AB1709/100)</f>
        <v/>
      </c>
      <c r="AD1709" s="7">
        <f>IF($E1709="","",Y1709-AC1709)</f>
        <v/>
      </c>
      <c r="AE1709" s="7">
        <f>IF($E1709="","",AD1709-Q1709)</f>
        <v/>
      </c>
      <c r="AI1709" s="7" t="n"/>
      <c r="AL1709" s="11" t="n"/>
      <c r="AN1709">
        <f>IF($E1709="","",IF(COUNTIF($E$2:$E1709,$E1709)=1,1,0))</f>
        <v/>
      </c>
      <c r="AO1709">
        <f>IF($AN1709=1,SUMPRODUCT(--($AR$2:$AR$4001&lt;$AR1709))+1,"")</f>
        <v/>
      </c>
      <c r="AP1709">
        <f>IF($E1709="","",IF(OR($U1709=TRUE(),$U1709="TRUE"),1,0))</f>
        <v/>
      </c>
      <c r="AQ1709">
        <f>IF($E1709="","",IF($AA1709="Yes",1,0))</f>
        <v/>
      </c>
      <c r="AR1709">
        <f>IF($AN1709=1,IFERROR(VALUE(MID($E1709,2,20)),1000000000)+ROW()/100000,"")</f>
        <v/>
      </c>
    </row>
    <row r="1710">
      <c r="G1710" s="11" t="n"/>
      <c r="Q1710" s="7">
        <f>IF($E1710="","",P1710*Y1710/100)</f>
        <v/>
      </c>
      <c r="R1710" s="7" t="n"/>
      <c r="X1710" s="7" t="n"/>
      <c r="Y1710" s="7" t="n"/>
      <c r="AB1710">
        <f>IF($E1710="","",IF($AQ1710=1,0,IF($AP1710=1,Settings!$C$6,Settings!$C$7))*100)</f>
        <v/>
      </c>
      <c r="AC1710" s="7">
        <f>IF($E1710="","",Y1710*AB1710/100)</f>
        <v/>
      </c>
      <c r="AD1710" s="7">
        <f>IF($E1710="","",Y1710-AC1710)</f>
        <v/>
      </c>
      <c r="AE1710" s="7">
        <f>IF($E1710="","",AD1710-Q1710)</f>
        <v/>
      </c>
      <c r="AI1710" s="7" t="n"/>
      <c r="AL1710" s="11" t="n"/>
      <c r="AN1710">
        <f>IF($E1710="","",IF(COUNTIF($E$2:$E1710,$E1710)=1,1,0))</f>
        <v/>
      </c>
      <c r="AO1710">
        <f>IF($AN1710=1,SUMPRODUCT(--($AR$2:$AR$4001&lt;$AR1710))+1,"")</f>
        <v/>
      </c>
      <c r="AP1710">
        <f>IF($E1710="","",IF(OR($U1710=TRUE(),$U1710="TRUE"),1,0))</f>
        <v/>
      </c>
      <c r="AQ1710">
        <f>IF($E1710="","",IF($AA1710="Yes",1,0))</f>
        <v/>
      </c>
      <c r="AR1710">
        <f>IF($AN1710=1,IFERROR(VALUE(MID($E1710,2,20)),1000000000)+ROW()/100000,"")</f>
        <v/>
      </c>
    </row>
    <row r="1711">
      <c r="G1711" s="11" t="n"/>
      <c r="Q1711" s="7">
        <f>IF($E1711="","",P1711*Y1711/100)</f>
        <v/>
      </c>
      <c r="R1711" s="7" t="n"/>
      <c r="X1711" s="7" t="n"/>
      <c r="Y1711" s="7" t="n"/>
      <c r="AB1711">
        <f>IF($E1711="","",IF($AQ1711=1,0,IF($AP1711=1,Settings!$C$6,Settings!$C$7))*100)</f>
        <v/>
      </c>
      <c r="AC1711" s="7">
        <f>IF($E1711="","",Y1711*AB1711/100)</f>
        <v/>
      </c>
      <c r="AD1711" s="7">
        <f>IF($E1711="","",Y1711-AC1711)</f>
        <v/>
      </c>
      <c r="AE1711" s="7">
        <f>IF($E1711="","",AD1711-Q1711)</f>
        <v/>
      </c>
      <c r="AI1711" s="7" t="n"/>
      <c r="AL1711" s="11" t="n"/>
      <c r="AN1711">
        <f>IF($E1711="","",IF(COUNTIF($E$2:$E1711,$E1711)=1,1,0))</f>
        <v/>
      </c>
      <c r="AO1711">
        <f>IF($AN1711=1,SUMPRODUCT(--($AR$2:$AR$4001&lt;$AR1711))+1,"")</f>
        <v/>
      </c>
      <c r="AP1711">
        <f>IF($E1711="","",IF(OR($U1711=TRUE(),$U1711="TRUE"),1,0))</f>
        <v/>
      </c>
      <c r="AQ1711">
        <f>IF($E1711="","",IF($AA1711="Yes",1,0))</f>
        <v/>
      </c>
      <c r="AR1711">
        <f>IF($AN1711=1,IFERROR(VALUE(MID($E1711,2,20)),1000000000)+ROW()/100000,"")</f>
        <v/>
      </c>
    </row>
    <row r="1712">
      <c r="G1712" s="11" t="n"/>
      <c r="Q1712" s="7">
        <f>IF($E1712="","",P1712*Y1712/100)</f>
        <v/>
      </c>
      <c r="R1712" s="7" t="n"/>
      <c r="X1712" s="7" t="n"/>
      <c r="Y1712" s="7" t="n"/>
      <c r="AB1712">
        <f>IF($E1712="","",IF($AQ1712=1,0,IF($AP1712=1,Settings!$C$6,Settings!$C$7))*100)</f>
        <v/>
      </c>
      <c r="AC1712" s="7">
        <f>IF($E1712="","",Y1712*AB1712/100)</f>
        <v/>
      </c>
      <c r="AD1712" s="7">
        <f>IF($E1712="","",Y1712-AC1712)</f>
        <v/>
      </c>
      <c r="AE1712" s="7">
        <f>IF($E1712="","",AD1712-Q1712)</f>
        <v/>
      </c>
      <c r="AI1712" s="7" t="n"/>
      <c r="AL1712" s="11" t="n"/>
      <c r="AN1712">
        <f>IF($E1712="","",IF(COUNTIF($E$2:$E1712,$E1712)=1,1,0))</f>
        <v/>
      </c>
      <c r="AO1712">
        <f>IF($AN1712=1,SUMPRODUCT(--($AR$2:$AR$4001&lt;$AR1712))+1,"")</f>
        <v/>
      </c>
      <c r="AP1712">
        <f>IF($E1712="","",IF(OR($U1712=TRUE(),$U1712="TRUE"),1,0))</f>
        <v/>
      </c>
      <c r="AQ1712">
        <f>IF($E1712="","",IF($AA1712="Yes",1,0))</f>
        <v/>
      </c>
      <c r="AR1712">
        <f>IF($AN1712=1,IFERROR(VALUE(MID($E1712,2,20)),1000000000)+ROW()/100000,"")</f>
        <v/>
      </c>
    </row>
    <row r="1713">
      <c r="G1713" s="11" t="n"/>
      <c r="Q1713" s="7">
        <f>IF($E1713="","",P1713*Y1713/100)</f>
        <v/>
      </c>
      <c r="R1713" s="7" t="n"/>
      <c r="X1713" s="7" t="n"/>
      <c r="Y1713" s="7" t="n"/>
      <c r="AB1713">
        <f>IF($E1713="","",IF($AQ1713=1,0,IF($AP1713=1,Settings!$C$6,Settings!$C$7))*100)</f>
        <v/>
      </c>
      <c r="AC1713" s="7">
        <f>IF($E1713="","",Y1713*AB1713/100)</f>
        <v/>
      </c>
      <c r="AD1713" s="7">
        <f>IF($E1713="","",Y1713-AC1713)</f>
        <v/>
      </c>
      <c r="AE1713" s="7">
        <f>IF($E1713="","",AD1713-Q1713)</f>
        <v/>
      </c>
      <c r="AI1713" s="7" t="n"/>
      <c r="AL1713" s="11" t="n"/>
      <c r="AN1713">
        <f>IF($E1713="","",IF(COUNTIF($E$2:$E1713,$E1713)=1,1,0))</f>
        <v/>
      </c>
      <c r="AO1713">
        <f>IF($AN1713=1,SUMPRODUCT(--($AR$2:$AR$4001&lt;$AR1713))+1,"")</f>
        <v/>
      </c>
      <c r="AP1713">
        <f>IF($E1713="","",IF(OR($U1713=TRUE(),$U1713="TRUE"),1,0))</f>
        <v/>
      </c>
      <c r="AQ1713">
        <f>IF($E1713="","",IF($AA1713="Yes",1,0))</f>
        <v/>
      </c>
      <c r="AR1713">
        <f>IF($AN1713=1,IFERROR(VALUE(MID($E1713,2,20)),1000000000)+ROW()/100000,"")</f>
        <v/>
      </c>
    </row>
    <row r="1714">
      <c r="G1714" s="11" t="n"/>
      <c r="Q1714" s="7">
        <f>IF($E1714="","",P1714*Y1714/100)</f>
        <v/>
      </c>
      <c r="R1714" s="7" t="n"/>
      <c r="X1714" s="7" t="n"/>
      <c r="Y1714" s="7" t="n"/>
      <c r="AB1714">
        <f>IF($E1714="","",IF($AQ1714=1,0,IF($AP1714=1,Settings!$C$6,Settings!$C$7))*100)</f>
        <v/>
      </c>
      <c r="AC1714" s="7">
        <f>IF($E1714="","",Y1714*AB1714/100)</f>
        <v/>
      </c>
      <c r="AD1714" s="7">
        <f>IF($E1714="","",Y1714-AC1714)</f>
        <v/>
      </c>
      <c r="AE1714" s="7">
        <f>IF($E1714="","",AD1714-Q1714)</f>
        <v/>
      </c>
      <c r="AI1714" s="7" t="n"/>
      <c r="AL1714" s="11" t="n"/>
      <c r="AN1714">
        <f>IF($E1714="","",IF(COUNTIF($E$2:$E1714,$E1714)=1,1,0))</f>
        <v/>
      </c>
      <c r="AO1714">
        <f>IF($AN1714=1,SUMPRODUCT(--($AR$2:$AR$4001&lt;$AR1714))+1,"")</f>
        <v/>
      </c>
      <c r="AP1714">
        <f>IF($E1714="","",IF(OR($U1714=TRUE(),$U1714="TRUE"),1,0))</f>
        <v/>
      </c>
      <c r="AQ1714">
        <f>IF($E1714="","",IF($AA1714="Yes",1,0))</f>
        <v/>
      </c>
      <c r="AR1714">
        <f>IF($AN1714=1,IFERROR(VALUE(MID($E1714,2,20)),1000000000)+ROW()/100000,"")</f>
        <v/>
      </c>
    </row>
    <row r="1715">
      <c r="G1715" s="11" t="n"/>
      <c r="Q1715" s="7">
        <f>IF($E1715="","",P1715*Y1715/100)</f>
        <v/>
      </c>
      <c r="R1715" s="7" t="n"/>
      <c r="X1715" s="7" t="n"/>
      <c r="Y1715" s="7" t="n"/>
      <c r="AB1715">
        <f>IF($E1715="","",IF($AQ1715=1,0,IF($AP1715=1,Settings!$C$6,Settings!$C$7))*100)</f>
        <v/>
      </c>
      <c r="AC1715" s="7">
        <f>IF($E1715="","",Y1715*AB1715/100)</f>
        <v/>
      </c>
      <c r="AD1715" s="7">
        <f>IF($E1715="","",Y1715-AC1715)</f>
        <v/>
      </c>
      <c r="AE1715" s="7">
        <f>IF($E1715="","",AD1715-Q1715)</f>
        <v/>
      </c>
      <c r="AI1715" s="7" t="n"/>
      <c r="AL1715" s="11" t="n"/>
      <c r="AN1715">
        <f>IF($E1715="","",IF(COUNTIF($E$2:$E1715,$E1715)=1,1,0))</f>
        <v/>
      </c>
      <c r="AO1715">
        <f>IF($AN1715=1,SUMPRODUCT(--($AR$2:$AR$4001&lt;$AR1715))+1,"")</f>
        <v/>
      </c>
      <c r="AP1715">
        <f>IF($E1715="","",IF(OR($U1715=TRUE(),$U1715="TRUE"),1,0))</f>
        <v/>
      </c>
      <c r="AQ1715">
        <f>IF($E1715="","",IF($AA1715="Yes",1,0))</f>
        <v/>
      </c>
      <c r="AR1715">
        <f>IF($AN1715=1,IFERROR(VALUE(MID($E1715,2,20)),1000000000)+ROW()/100000,"")</f>
        <v/>
      </c>
    </row>
    <row r="1716">
      <c r="G1716" s="11" t="n"/>
      <c r="Q1716" s="7">
        <f>IF($E1716="","",P1716*Y1716/100)</f>
        <v/>
      </c>
      <c r="R1716" s="7" t="n"/>
      <c r="X1716" s="7" t="n"/>
      <c r="Y1716" s="7" t="n"/>
      <c r="AB1716">
        <f>IF($E1716="","",IF($AQ1716=1,0,IF($AP1716=1,Settings!$C$6,Settings!$C$7))*100)</f>
        <v/>
      </c>
      <c r="AC1716" s="7">
        <f>IF($E1716="","",Y1716*AB1716/100)</f>
        <v/>
      </c>
      <c r="AD1716" s="7">
        <f>IF($E1716="","",Y1716-AC1716)</f>
        <v/>
      </c>
      <c r="AE1716" s="7">
        <f>IF($E1716="","",AD1716-Q1716)</f>
        <v/>
      </c>
      <c r="AI1716" s="7" t="n"/>
      <c r="AL1716" s="11" t="n"/>
      <c r="AN1716">
        <f>IF($E1716="","",IF(COUNTIF($E$2:$E1716,$E1716)=1,1,0))</f>
        <v/>
      </c>
      <c r="AO1716">
        <f>IF($AN1716=1,SUMPRODUCT(--($AR$2:$AR$4001&lt;$AR1716))+1,"")</f>
        <v/>
      </c>
      <c r="AP1716">
        <f>IF($E1716="","",IF(OR($U1716=TRUE(),$U1716="TRUE"),1,0))</f>
        <v/>
      </c>
      <c r="AQ1716">
        <f>IF($E1716="","",IF($AA1716="Yes",1,0))</f>
        <v/>
      </c>
      <c r="AR1716">
        <f>IF($AN1716=1,IFERROR(VALUE(MID($E1716,2,20)),1000000000)+ROW()/100000,"")</f>
        <v/>
      </c>
    </row>
    <row r="1717">
      <c r="G1717" s="11" t="n"/>
      <c r="Q1717" s="7">
        <f>IF($E1717="","",P1717*Y1717/100)</f>
        <v/>
      </c>
      <c r="R1717" s="7" t="n"/>
      <c r="X1717" s="7" t="n"/>
      <c r="Y1717" s="7" t="n"/>
      <c r="AB1717">
        <f>IF($E1717="","",IF($AQ1717=1,0,IF($AP1717=1,Settings!$C$6,Settings!$C$7))*100)</f>
        <v/>
      </c>
      <c r="AC1717" s="7">
        <f>IF($E1717="","",Y1717*AB1717/100)</f>
        <v/>
      </c>
      <c r="AD1717" s="7">
        <f>IF($E1717="","",Y1717-AC1717)</f>
        <v/>
      </c>
      <c r="AE1717" s="7">
        <f>IF($E1717="","",AD1717-Q1717)</f>
        <v/>
      </c>
      <c r="AI1717" s="7" t="n"/>
      <c r="AL1717" s="11" t="n"/>
      <c r="AN1717">
        <f>IF($E1717="","",IF(COUNTIF($E$2:$E1717,$E1717)=1,1,0))</f>
        <v/>
      </c>
      <c r="AO1717">
        <f>IF($AN1717=1,SUMPRODUCT(--($AR$2:$AR$4001&lt;$AR1717))+1,"")</f>
        <v/>
      </c>
      <c r="AP1717">
        <f>IF($E1717="","",IF(OR($U1717=TRUE(),$U1717="TRUE"),1,0))</f>
        <v/>
      </c>
      <c r="AQ1717">
        <f>IF($E1717="","",IF($AA1717="Yes",1,0))</f>
        <v/>
      </c>
      <c r="AR1717">
        <f>IF($AN1717=1,IFERROR(VALUE(MID($E1717,2,20)),1000000000)+ROW()/100000,"")</f>
        <v/>
      </c>
    </row>
    <row r="1718">
      <c r="G1718" s="11" t="n"/>
      <c r="Q1718" s="7">
        <f>IF($E1718="","",P1718*Y1718/100)</f>
        <v/>
      </c>
      <c r="R1718" s="7" t="n"/>
      <c r="X1718" s="7" t="n"/>
      <c r="Y1718" s="7" t="n"/>
      <c r="AB1718">
        <f>IF($E1718="","",IF($AQ1718=1,0,IF($AP1718=1,Settings!$C$6,Settings!$C$7))*100)</f>
        <v/>
      </c>
      <c r="AC1718" s="7">
        <f>IF($E1718="","",Y1718*AB1718/100)</f>
        <v/>
      </c>
      <c r="AD1718" s="7">
        <f>IF($E1718="","",Y1718-AC1718)</f>
        <v/>
      </c>
      <c r="AE1718" s="7">
        <f>IF($E1718="","",AD1718-Q1718)</f>
        <v/>
      </c>
      <c r="AI1718" s="7" t="n"/>
      <c r="AL1718" s="11" t="n"/>
      <c r="AN1718">
        <f>IF($E1718="","",IF(COUNTIF($E$2:$E1718,$E1718)=1,1,0))</f>
        <v/>
      </c>
      <c r="AO1718">
        <f>IF($AN1718=1,SUMPRODUCT(--($AR$2:$AR$4001&lt;$AR1718))+1,"")</f>
        <v/>
      </c>
      <c r="AP1718">
        <f>IF($E1718="","",IF(OR($U1718=TRUE(),$U1718="TRUE"),1,0))</f>
        <v/>
      </c>
      <c r="AQ1718">
        <f>IF($E1718="","",IF($AA1718="Yes",1,0))</f>
        <v/>
      </c>
      <c r="AR1718">
        <f>IF($AN1718=1,IFERROR(VALUE(MID($E1718,2,20)),1000000000)+ROW()/100000,"")</f>
        <v/>
      </c>
    </row>
    <row r="1719">
      <c r="G1719" s="11" t="n"/>
      <c r="Q1719" s="7">
        <f>IF($E1719="","",P1719*Y1719/100)</f>
        <v/>
      </c>
      <c r="R1719" s="7" t="n"/>
      <c r="X1719" s="7" t="n"/>
      <c r="Y1719" s="7" t="n"/>
      <c r="AB1719">
        <f>IF($E1719="","",IF($AQ1719=1,0,IF($AP1719=1,Settings!$C$6,Settings!$C$7))*100)</f>
        <v/>
      </c>
      <c r="AC1719" s="7">
        <f>IF($E1719="","",Y1719*AB1719/100)</f>
        <v/>
      </c>
      <c r="AD1719" s="7">
        <f>IF($E1719="","",Y1719-AC1719)</f>
        <v/>
      </c>
      <c r="AE1719" s="7">
        <f>IF($E1719="","",AD1719-Q1719)</f>
        <v/>
      </c>
      <c r="AI1719" s="7" t="n"/>
      <c r="AL1719" s="11" t="n"/>
      <c r="AN1719">
        <f>IF($E1719="","",IF(COUNTIF($E$2:$E1719,$E1719)=1,1,0))</f>
        <v/>
      </c>
      <c r="AO1719">
        <f>IF($AN1719=1,SUMPRODUCT(--($AR$2:$AR$4001&lt;$AR1719))+1,"")</f>
        <v/>
      </c>
      <c r="AP1719">
        <f>IF($E1719="","",IF(OR($U1719=TRUE(),$U1719="TRUE"),1,0))</f>
        <v/>
      </c>
      <c r="AQ1719">
        <f>IF($E1719="","",IF($AA1719="Yes",1,0))</f>
        <v/>
      </c>
      <c r="AR1719">
        <f>IF($AN1719=1,IFERROR(VALUE(MID($E1719,2,20)),1000000000)+ROW()/100000,"")</f>
        <v/>
      </c>
    </row>
    <row r="1720">
      <c r="G1720" s="11" t="n"/>
      <c r="Q1720" s="7">
        <f>IF($E1720="","",P1720*Y1720/100)</f>
        <v/>
      </c>
      <c r="R1720" s="7" t="n"/>
      <c r="X1720" s="7" t="n"/>
      <c r="Y1720" s="7" t="n"/>
      <c r="AB1720">
        <f>IF($E1720="","",IF($AQ1720=1,0,IF($AP1720=1,Settings!$C$6,Settings!$C$7))*100)</f>
        <v/>
      </c>
      <c r="AC1720" s="7">
        <f>IF($E1720="","",Y1720*AB1720/100)</f>
        <v/>
      </c>
      <c r="AD1720" s="7">
        <f>IF($E1720="","",Y1720-AC1720)</f>
        <v/>
      </c>
      <c r="AE1720" s="7">
        <f>IF($E1720="","",AD1720-Q1720)</f>
        <v/>
      </c>
      <c r="AI1720" s="7" t="n"/>
      <c r="AL1720" s="11" t="n"/>
      <c r="AN1720">
        <f>IF($E1720="","",IF(COUNTIF($E$2:$E1720,$E1720)=1,1,0))</f>
        <v/>
      </c>
      <c r="AO1720">
        <f>IF($AN1720=1,SUMPRODUCT(--($AR$2:$AR$4001&lt;$AR1720))+1,"")</f>
        <v/>
      </c>
      <c r="AP1720">
        <f>IF($E1720="","",IF(OR($U1720=TRUE(),$U1720="TRUE"),1,0))</f>
        <v/>
      </c>
      <c r="AQ1720">
        <f>IF($E1720="","",IF($AA1720="Yes",1,0))</f>
        <v/>
      </c>
      <c r="AR1720">
        <f>IF($AN1720=1,IFERROR(VALUE(MID($E1720,2,20)),1000000000)+ROW()/100000,"")</f>
        <v/>
      </c>
    </row>
    <row r="1721">
      <c r="G1721" s="11" t="n"/>
      <c r="Q1721" s="7">
        <f>IF($E1721="","",P1721*Y1721/100)</f>
        <v/>
      </c>
      <c r="R1721" s="7" t="n"/>
      <c r="X1721" s="7" t="n"/>
      <c r="Y1721" s="7" t="n"/>
      <c r="AB1721">
        <f>IF($E1721="","",IF($AQ1721=1,0,IF($AP1721=1,Settings!$C$6,Settings!$C$7))*100)</f>
        <v/>
      </c>
      <c r="AC1721" s="7">
        <f>IF($E1721="","",Y1721*AB1721/100)</f>
        <v/>
      </c>
      <c r="AD1721" s="7">
        <f>IF($E1721="","",Y1721-AC1721)</f>
        <v/>
      </c>
      <c r="AE1721" s="7">
        <f>IF($E1721="","",AD1721-Q1721)</f>
        <v/>
      </c>
      <c r="AI1721" s="7" t="n"/>
      <c r="AL1721" s="11" t="n"/>
      <c r="AN1721">
        <f>IF($E1721="","",IF(COUNTIF($E$2:$E1721,$E1721)=1,1,0))</f>
        <v/>
      </c>
      <c r="AO1721">
        <f>IF($AN1721=1,SUMPRODUCT(--($AR$2:$AR$4001&lt;$AR1721))+1,"")</f>
        <v/>
      </c>
      <c r="AP1721">
        <f>IF($E1721="","",IF(OR($U1721=TRUE(),$U1721="TRUE"),1,0))</f>
        <v/>
      </c>
      <c r="AQ1721">
        <f>IF($E1721="","",IF($AA1721="Yes",1,0))</f>
        <v/>
      </c>
      <c r="AR1721">
        <f>IF($AN1721=1,IFERROR(VALUE(MID($E1721,2,20)),1000000000)+ROW()/100000,"")</f>
        <v/>
      </c>
    </row>
    <row r="1722">
      <c r="G1722" s="11" t="n"/>
      <c r="Q1722" s="7">
        <f>IF($E1722="","",P1722*Y1722/100)</f>
        <v/>
      </c>
      <c r="R1722" s="7" t="n"/>
      <c r="X1722" s="7" t="n"/>
      <c r="Y1722" s="7" t="n"/>
      <c r="AB1722">
        <f>IF($E1722="","",IF($AQ1722=1,0,IF($AP1722=1,Settings!$C$6,Settings!$C$7))*100)</f>
        <v/>
      </c>
      <c r="AC1722" s="7">
        <f>IF($E1722="","",Y1722*AB1722/100)</f>
        <v/>
      </c>
      <c r="AD1722" s="7">
        <f>IF($E1722="","",Y1722-AC1722)</f>
        <v/>
      </c>
      <c r="AE1722" s="7">
        <f>IF($E1722="","",AD1722-Q1722)</f>
        <v/>
      </c>
      <c r="AI1722" s="7" t="n"/>
      <c r="AL1722" s="11" t="n"/>
      <c r="AN1722">
        <f>IF($E1722="","",IF(COUNTIF($E$2:$E1722,$E1722)=1,1,0))</f>
        <v/>
      </c>
      <c r="AO1722">
        <f>IF($AN1722=1,SUMPRODUCT(--($AR$2:$AR$4001&lt;$AR1722))+1,"")</f>
        <v/>
      </c>
      <c r="AP1722">
        <f>IF($E1722="","",IF(OR($U1722=TRUE(),$U1722="TRUE"),1,0))</f>
        <v/>
      </c>
      <c r="AQ1722">
        <f>IF($E1722="","",IF($AA1722="Yes",1,0))</f>
        <v/>
      </c>
      <c r="AR1722">
        <f>IF($AN1722=1,IFERROR(VALUE(MID($E1722,2,20)),1000000000)+ROW()/100000,"")</f>
        <v/>
      </c>
    </row>
    <row r="1723">
      <c r="G1723" s="11" t="n"/>
      <c r="Q1723" s="7">
        <f>IF($E1723="","",P1723*Y1723/100)</f>
        <v/>
      </c>
      <c r="R1723" s="7" t="n"/>
      <c r="X1723" s="7" t="n"/>
      <c r="Y1723" s="7" t="n"/>
      <c r="AB1723">
        <f>IF($E1723="","",IF($AQ1723=1,0,IF($AP1723=1,Settings!$C$6,Settings!$C$7))*100)</f>
        <v/>
      </c>
      <c r="AC1723" s="7">
        <f>IF($E1723="","",Y1723*AB1723/100)</f>
        <v/>
      </c>
      <c r="AD1723" s="7">
        <f>IF($E1723="","",Y1723-AC1723)</f>
        <v/>
      </c>
      <c r="AE1723" s="7">
        <f>IF($E1723="","",AD1723-Q1723)</f>
        <v/>
      </c>
      <c r="AI1723" s="7" t="n"/>
      <c r="AL1723" s="11" t="n"/>
      <c r="AN1723">
        <f>IF($E1723="","",IF(COUNTIF($E$2:$E1723,$E1723)=1,1,0))</f>
        <v/>
      </c>
      <c r="AO1723">
        <f>IF($AN1723=1,SUMPRODUCT(--($AR$2:$AR$4001&lt;$AR1723))+1,"")</f>
        <v/>
      </c>
      <c r="AP1723">
        <f>IF($E1723="","",IF(OR($U1723=TRUE(),$U1723="TRUE"),1,0))</f>
        <v/>
      </c>
      <c r="AQ1723">
        <f>IF($E1723="","",IF($AA1723="Yes",1,0))</f>
        <v/>
      </c>
      <c r="AR1723">
        <f>IF($AN1723=1,IFERROR(VALUE(MID($E1723,2,20)),1000000000)+ROW()/100000,"")</f>
        <v/>
      </c>
    </row>
    <row r="1724">
      <c r="G1724" s="11" t="n"/>
      <c r="Q1724" s="7">
        <f>IF($E1724="","",P1724*Y1724/100)</f>
        <v/>
      </c>
      <c r="R1724" s="7" t="n"/>
      <c r="X1724" s="7" t="n"/>
      <c r="Y1724" s="7" t="n"/>
      <c r="AB1724">
        <f>IF($E1724="","",IF($AQ1724=1,0,IF($AP1724=1,Settings!$C$6,Settings!$C$7))*100)</f>
        <v/>
      </c>
      <c r="AC1724" s="7">
        <f>IF($E1724="","",Y1724*AB1724/100)</f>
        <v/>
      </c>
      <c r="AD1724" s="7">
        <f>IF($E1724="","",Y1724-AC1724)</f>
        <v/>
      </c>
      <c r="AE1724" s="7">
        <f>IF($E1724="","",AD1724-Q1724)</f>
        <v/>
      </c>
      <c r="AI1724" s="7" t="n"/>
      <c r="AL1724" s="11" t="n"/>
      <c r="AN1724">
        <f>IF($E1724="","",IF(COUNTIF($E$2:$E1724,$E1724)=1,1,0))</f>
        <v/>
      </c>
      <c r="AO1724">
        <f>IF($AN1724=1,SUMPRODUCT(--($AR$2:$AR$4001&lt;$AR1724))+1,"")</f>
        <v/>
      </c>
      <c r="AP1724">
        <f>IF($E1724="","",IF(OR($U1724=TRUE(),$U1724="TRUE"),1,0))</f>
        <v/>
      </c>
      <c r="AQ1724">
        <f>IF($E1724="","",IF($AA1724="Yes",1,0))</f>
        <v/>
      </c>
      <c r="AR1724">
        <f>IF($AN1724=1,IFERROR(VALUE(MID($E1724,2,20)),1000000000)+ROW()/100000,"")</f>
        <v/>
      </c>
    </row>
    <row r="1725">
      <c r="G1725" s="11" t="n"/>
      <c r="Q1725" s="7">
        <f>IF($E1725="","",P1725*Y1725/100)</f>
        <v/>
      </c>
      <c r="R1725" s="7" t="n"/>
      <c r="X1725" s="7" t="n"/>
      <c r="Y1725" s="7" t="n"/>
      <c r="AB1725">
        <f>IF($E1725="","",IF($AQ1725=1,0,IF($AP1725=1,Settings!$C$6,Settings!$C$7))*100)</f>
        <v/>
      </c>
      <c r="AC1725" s="7">
        <f>IF($E1725="","",Y1725*AB1725/100)</f>
        <v/>
      </c>
      <c r="AD1725" s="7">
        <f>IF($E1725="","",Y1725-AC1725)</f>
        <v/>
      </c>
      <c r="AE1725" s="7">
        <f>IF($E1725="","",AD1725-Q1725)</f>
        <v/>
      </c>
      <c r="AI1725" s="7" t="n"/>
      <c r="AL1725" s="11" t="n"/>
      <c r="AN1725">
        <f>IF($E1725="","",IF(COUNTIF($E$2:$E1725,$E1725)=1,1,0))</f>
        <v/>
      </c>
      <c r="AO1725">
        <f>IF($AN1725=1,SUMPRODUCT(--($AR$2:$AR$4001&lt;$AR1725))+1,"")</f>
        <v/>
      </c>
      <c r="AP1725">
        <f>IF($E1725="","",IF(OR($U1725=TRUE(),$U1725="TRUE"),1,0))</f>
        <v/>
      </c>
      <c r="AQ1725">
        <f>IF($E1725="","",IF($AA1725="Yes",1,0))</f>
        <v/>
      </c>
      <c r="AR1725">
        <f>IF($AN1725=1,IFERROR(VALUE(MID($E1725,2,20)),1000000000)+ROW()/100000,"")</f>
        <v/>
      </c>
    </row>
    <row r="1726">
      <c r="G1726" s="11" t="n"/>
      <c r="Q1726" s="7">
        <f>IF($E1726="","",P1726*Y1726/100)</f>
        <v/>
      </c>
      <c r="R1726" s="7" t="n"/>
      <c r="X1726" s="7" t="n"/>
      <c r="Y1726" s="7" t="n"/>
      <c r="AB1726">
        <f>IF($E1726="","",IF($AQ1726=1,0,IF($AP1726=1,Settings!$C$6,Settings!$C$7))*100)</f>
        <v/>
      </c>
      <c r="AC1726" s="7">
        <f>IF($E1726="","",Y1726*AB1726/100)</f>
        <v/>
      </c>
      <c r="AD1726" s="7">
        <f>IF($E1726="","",Y1726-AC1726)</f>
        <v/>
      </c>
      <c r="AE1726" s="7">
        <f>IF($E1726="","",AD1726-Q1726)</f>
        <v/>
      </c>
      <c r="AI1726" s="7" t="n"/>
      <c r="AL1726" s="11" t="n"/>
      <c r="AN1726">
        <f>IF($E1726="","",IF(COUNTIF($E$2:$E1726,$E1726)=1,1,0))</f>
        <v/>
      </c>
      <c r="AO1726">
        <f>IF($AN1726=1,SUMPRODUCT(--($AR$2:$AR$4001&lt;$AR1726))+1,"")</f>
        <v/>
      </c>
      <c r="AP1726">
        <f>IF($E1726="","",IF(OR($U1726=TRUE(),$U1726="TRUE"),1,0))</f>
        <v/>
      </c>
      <c r="AQ1726">
        <f>IF($E1726="","",IF($AA1726="Yes",1,0))</f>
        <v/>
      </c>
      <c r="AR1726">
        <f>IF($AN1726=1,IFERROR(VALUE(MID($E1726,2,20)),1000000000)+ROW()/100000,"")</f>
        <v/>
      </c>
    </row>
    <row r="1727">
      <c r="G1727" s="11" t="n"/>
      <c r="Q1727" s="7">
        <f>IF($E1727="","",P1727*Y1727/100)</f>
        <v/>
      </c>
      <c r="R1727" s="7" t="n"/>
      <c r="X1727" s="7" t="n"/>
      <c r="Y1727" s="7" t="n"/>
      <c r="AB1727">
        <f>IF($E1727="","",IF($AQ1727=1,0,IF($AP1727=1,Settings!$C$6,Settings!$C$7))*100)</f>
        <v/>
      </c>
      <c r="AC1727" s="7">
        <f>IF($E1727="","",Y1727*AB1727/100)</f>
        <v/>
      </c>
      <c r="AD1727" s="7">
        <f>IF($E1727="","",Y1727-AC1727)</f>
        <v/>
      </c>
      <c r="AE1727" s="7">
        <f>IF($E1727="","",AD1727-Q1727)</f>
        <v/>
      </c>
      <c r="AI1727" s="7" t="n"/>
      <c r="AL1727" s="11" t="n"/>
      <c r="AN1727">
        <f>IF($E1727="","",IF(COUNTIF($E$2:$E1727,$E1727)=1,1,0))</f>
        <v/>
      </c>
      <c r="AO1727">
        <f>IF($AN1727=1,SUMPRODUCT(--($AR$2:$AR$4001&lt;$AR1727))+1,"")</f>
        <v/>
      </c>
      <c r="AP1727">
        <f>IF($E1727="","",IF(OR($U1727=TRUE(),$U1727="TRUE"),1,0))</f>
        <v/>
      </c>
      <c r="AQ1727">
        <f>IF($E1727="","",IF($AA1727="Yes",1,0))</f>
        <v/>
      </c>
      <c r="AR1727">
        <f>IF($AN1727=1,IFERROR(VALUE(MID($E1727,2,20)),1000000000)+ROW()/100000,"")</f>
        <v/>
      </c>
    </row>
    <row r="1728">
      <c r="G1728" s="11" t="n"/>
      <c r="Q1728" s="7">
        <f>IF($E1728="","",P1728*Y1728/100)</f>
        <v/>
      </c>
      <c r="R1728" s="7" t="n"/>
      <c r="X1728" s="7" t="n"/>
      <c r="Y1728" s="7" t="n"/>
      <c r="AB1728">
        <f>IF($E1728="","",IF($AQ1728=1,0,IF($AP1728=1,Settings!$C$6,Settings!$C$7))*100)</f>
        <v/>
      </c>
      <c r="AC1728" s="7">
        <f>IF($E1728="","",Y1728*AB1728/100)</f>
        <v/>
      </c>
      <c r="AD1728" s="7">
        <f>IF($E1728="","",Y1728-AC1728)</f>
        <v/>
      </c>
      <c r="AE1728" s="7">
        <f>IF($E1728="","",AD1728-Q1728)</f>
        <v/>
      </c>
      <c r="AI1728" s="7" t="n"/>
      <c r="AL1728" s="11" t="n"/>
      <c r="AN1728">
        <f>IF($E1728="","",IF(COUNTIF($E$2:$E1728,$E1728)=1,1,0))</f>
        <v/>
      </c>
      <c r="AO1728">
        <f>IF($AN1728=1,SUMPRODUCT(--($AR$2:$AR$4001&lt;$AR1728))+1,"")</f>
        <v/>
      </c>
      <c r="AP1728">
        <f>IF($E1728="","",IF(OR($U1728=TRUE(),$U1728="TRUE"),1,0))</f>
        <v/>
      </c>
      <c r="AQ1728">
        <f>IF($E1728="","",IF($AA1728="Yes",1,0))</f>
        <v/>
      </c>
      <c r="AR1728">
        <f>IF($AN1728=1,IFERROR(VALUE(MID($E1728,2,20)),1000000000)+ROW()/100000,"")</f>
        <v/>
      </c>
    </row>
    <row r="1729">
      <c r="G1729" s="11" t="n"/>
      <c r="Q1729" s="7">
        <f>IF($E1729="","",P1729*Y1729/100)</f>
        <v/>
      </c>
      <c r="R1729" s="7" t="n"/>
      <c r="X1729" s="7" t="n"/>
      <c r="Y1729" s="7" t="n"/>
      <c r="AB1729">
        <f>IF($E1729="","",IF($AQ1729=1,0,IF($AP1729=1,Settings!$C$6,Settings!$C$7))*100)</f>
        <v/>
      </c>
      <c r="AC1729" s="7">
        <f>IF($E1729="","",Y1729*AB1729/100)</f>
        <v/>
      </c>
      <c r="AD1729" s="7">
        <f>IF($E1729="","",Y1729-AC1729)</f>
        <v/>
      </c>
      <c r="AE1729" s="7">
        <f>IF($E1729="","",AD1729-Q1729)</f>
        <v/>
      </c>
      <c r="AI1729" s="7" t="n"/>
      <c r="AL1729" s="11" t="n"/>
      <c r="AN1729">
        <f>IF($E1729="","",IF(COUNTIF($E$2:$E1729,$E1729)=1,1,0))</f>
        <v/>
      </c>
      <c r="AO1729">
        <f>IF($AN1729=1,SUMPRODUCT(--($AR$2:$AR$4001&lt;$AR1729))+1,"")</f>
        <v/>
      </c>
      <c r="AP1729">
        <f>IF($E1729="","",IF(OR($U1729=TRUE(),$U1729="TRUE"),1,0))</f>
        <v/>
      </c>
      <c r="AQ1729">
        <f>IF($E1729="","",IF($AA1729="Yes",1,0))</f>
        <v/>
      </c>
      <c r="AR1729">
        <f>IF($AN1729=1,IFERROR(VALUE(MID($E1729,2,20)),1000000000)+ROW()/100000,"")</f>
        <v/>
      </c>
    </row>
    <row r="1730">
      <c r="G1730" s="11" t="n"/>
      <c r="Q1730" s="7">
        <f>IF($E1730="","",P1730*Y1730/100)</f>
        <v/>
      </c>
      <c r="R1730" s="7" t="n"/>
      <c r="X1730" s="7" t="n"/>
      <c r="Y1730" s="7" t="n"/>
      <c r="AB1730">
        <f>IF($E1730="","",IF($AQ1730=1,0,IF($AP1730=1,Settings!$C$6,Settings!$C$7))*100)</f>
        <v/>
      </c>
      <c r="AC1730" s="7">
        <f>IF($E1730="","",Y1730*AB1730/100)</f>
        <v/>
      </c>
      <c r="AD1730" s="7">
        <f>IF($E1730="","",Y1730-AC1730)</f>
        <v/>
      </c>
      <c r="AE1730" s="7">
        <f>IF($E1730="","",AD1730-Q1730)</f>
        <v/>
      </c>
      <c r="AI1730" s="7" t="n"/>
      <c r="AL1730" s="11" t="n"/>
      <c r="AN1730">
        <f>IF($E1730="","",IF(COUNTIF($E$2:$E1730,$E1730)=1,1,0))</f>
        <v/>
      </c>
      <c r="AO1730">
        <f>IF($AN1730=1,SUMPRODUCT(--($AR$2:$AR$4001&lt;$AR1730))+1,"")</f>
        <v/>
      </c>
      <c r="AP1730">
        <f>IF($E1730="","",IF(OR($U1730=TRUE(),$U1730="TRUE"),1,0))</f>
        <v/>
      </c>
      <c r="AQ1730">
        <f>IF($E1730="","",IF($AA1730="Yes",1,0))</f>
        <v/>
      </c>
      <c r="AR1730">
        <f>IF($AN1730=1,IFERROR(VALUE(MID($E1730,2,20)),1000000000)+ROW()/100000,"")</f>
        <v/>
      </c>
    </row>
    <row r="1731">
      <c r="G1731" s="11" t="n"/>
      <c r="Q1731" s="7">
        <f>IF($E1731="","",P1731*Y1731/100)</f>
        <v/>
      </c>
      <c r="R1731" s="7" t="n"/>
      <c r="X1731" s="7" t="n"/>
      <c r="Y1731" s="7" t="n"/>
      <c r="AB1731">
        <f>IF($E1731="","",IF($AQ1731=1,0,IF($AP1731=1,Settings!$C$6,Settings!$C$7))*100)</f>
        <v/>
      </c>
      <c r="AC1731" s="7">
        <f>IF($E1731="","",Y1731*AB1731/100)</f>
        <v/>
      </c>
      <c r="AD1731" s="7">
        <f>IF($E1731="","",Y1731-AC1731)</f>
        <v/>
      </c>
      <c r="AE1731" s="7">
        <f>IF($E1731="","",AD1731-Q1731)</f>
        <v/>
      </c>
      <c r="AI1731" s="7" t="n"/>
      <c r="AL1731" s="11" t="n"/>
      <c r="AN1731">
        <f>IF($E1731="","",IF(COUNTIF($E$2:$E1731,$E1731)=1,1,0))</f>
        <v/>
      </c>
      <c r="AO1731">
        <f>IF($AN1731=1,SUMPRODUCT(--($AR$2:$AR$4001&lt;$AR1731))+1,"")</f>
        <v/>
      </c>
      <c r="AP1731">
        <f>IF($E1731="","",IF(OR($U1731=TRUE(),$U1731="TRUE"),1,0))</f>
        <v/>
      </c>
      <c r="AQ1731">
        <f>IF($E1731="","",IF($AA1731="Yes",1,0))</f>
        <v/>
      </c>
      <c r="AR1731">
        <f>IF($AN1731=1,IFERROR(VALUE(MID($E1731,2,20)),1000000000)+ROW()/100000,"")</f>
        <v/>
      </c>
    </row>
    <row r="1732">
      <c r="G1732" s="11" t="n"/>
      <c r="Q1732" s="7">
        <f>IF($E1732="","",P1732*Y1732/100)</f>
        <v/>
      </c>
      <c r="R1732" s="7" t="n"/>
      <c r="X1732" s="7" t="n"/>
      <c r="Y1732" s="7" t="n"/>
      <c r="AB1732">
        <f>IF($E1732="","",IF($AQ1732=1,0,IF($AP1732=1,Settings!$C$6,Settings!$C$7))*100)</f>
        <v/>
      </c>
      <c r="AC1732" s="7">
        <f>IF($E1732="","",Y1732*AB1732/100)</f>
        <v/>
      </c>
      <c r="AD1732" s="7">
        <f>IF($E1732="","",Y1732-AC1732)</f>
        <v/>
      </c>
      <c r="AE1732" s="7">
        <f>IF($E1732="","",AD1732-Q1732)</f>
        <v/>
      </c>
      <c r="AI1732" s="7" t="n"/>
      <c r="AL1732" s="11" t="n"/>
      <c r="AN1732">
        <f>IF($E1732="","",IF(COUNTIF($E$2:$E1732,$E1732)=1,1,0))</f>
        <v/>
      </c>
      <c r="AO1732">
        <f>IF($AN1732=1,SUMPRODUCT(--($AR$2:$AR$4001&lt;$AR1732))+1,"")</f>
        <v/>
      </c>
      <c r="AP1732">
        <f>IF($E1732="","",IF(OR($U1732=TRUE(),$U1732="TRUE"),1,0))</f>
        <v/>
      </c>
      <c r="AQ1732">
        <f>IF($E1732="","",IF($AA1732="Yes",1,0))</f>
        <v/>
      </c>
      <c r="AR1732">
        <f>IF($AN1732=1,IFERROR(VALUE(MID($E1732,2,20)),1000000000)+ROW()/100000,"")</f>
        <v/>
      </c>
    </row>
    <row r="1733">
      <c r="G1733" s="11" t="n"/>
      <c r="Q1733" s="7">
        <f>IF($E1733="","",P1733*Y1733/100)</f>
        <v/>
      </c>
      <c r="R1733" s="7" t="n"/>
      <c r="X1733" s="7" t="n"/>
      <c r="Y1733" s="7" t="n"/>
      <c r="AB1733">
        <f>IF($E1733="","",IF($AQ1733=1,0,IF($AP1733=1,Settings!$C$6,Settings!$C$7))*100)</f>
        <v/>
      </c>
      <c r="AC1733" s="7">
        <f>IF($E1733="","",Y1733*AB1733/100)</f>
        <v/>
      </c>
      <c r="AD1733" s="7">
        <f>IF($E1733="","",Y1733-AC1733)</f>
        <v/>
      </c>
      <c r="AE1733" s="7">
        <f>IF($E1733="","",AD1733-Q1733)</f>
        <v/>
      </c>
      <c r="AI1733" s="7" t="n"/>
      <c r="AL1733" s="11" t="n"/>
      <c r="AN1733">
        <f>IF($E1733="","",IF(COUNTIF($E$2:$E1733,$E1733)=1,1,0))</f>
        <v/>
      </c>
      <c r="AO1733">
        <f>IF($AN1733=1,SUMPRODUCT(--($AR$2:$AR$4001&lt;$AR1733))+1,"")</f>
        <v/>
      </c>
      <c r="AP1733">
        <f>IF($E1733="","",IF(OR($U1733=TRUE(),$U1733="TRUE"),1,0))</f>
        <v/>
      </c>
      <c r="AQ1733">
        <f>IF($E1733="","",IF($AA1733="Yes",1,0))</f>
        <v/>
      </c>
      <c r="AR1733">
        <f>IF($AN1733=1,IFERROR(VALUE(MID($E1733,2,20)),1000000000)+ROW()/100000,"")</f>
        <v/>
      </c>
    </row>
    <row r="1734">
      <c r="G1734" s="11" t="n"/>
      <c r="Q1734" s="7">
        <f>IF($E1734="","",P1734*Y1734/100)</f>
        <v/>
      </c>
      <c r="R1734" s="7" t="n"/>
      <c r="X1734" s="7" t="n"/>
      <c r="Y1734" s="7" t="n"/>
      <c r="AB1734">
        <f>IF($E1734="","",IF($AQ1734=1,0,IF($AP1734=1,Settings!$C$6,Settings!$C$7))*100)</f>
        <v/>
      </c>
      <c r="AC1734" s="7">
        <f>IF($E1734="","",Y1734*AB1734/100)</f>
        <v/>
      </c>
      <c r="AD1734" s="7">
        <f>IF($E1734="","",Y1734-AC1734)</f>
        <v/>
      </c>
      <c r="AE1734" s="7">
        <f>IF($E1734="","",AD1734-Q1734)</f>
        <v/>
      </c>
      <c r="AI1734" s="7" t="n"/>
      <c r="AL1734" s="11" t="n"/>
      <c r="AN1734">
        <f>IF($E1734="","",IF(COUNTIF($E$2:$E1734,$E1734)=1,1,0))</f>
        <v/>
      </c>
      <c r="AO1734">
        <f>IF($AN1734=1,SUMPRODUCT(--($AR$2:$AR$4001&lt;$AR1734))+1,"")</f>
        <v/>
      </c>
      <c r="AP1734">
        <f>IF($E1734="","",IF(OR($U1734=TRUE(),$U1734="TRUE"),1,0))</f>
        <v/>
      </c>
      <c r="AQ1734">
        <f>IF($E1734="","",IF($AA1734="Yes",1,0))</f>
        <v/>
      </c>
      <c r="AR1734">
        <f>IF($AN1734=1,IFERROR(VALUE(MID($E1734,2,20)),1000000000)+ROW()/100000,"")</f>
        <v/>
      </c>
    </row>
    <row r="1735">
      <c r="G1735" s="11" t="n"/>
      <c r="Q1735" s="7">
        <f>IF($E1735="","",P1735*Y1735/100)</f>
        <v/>
      </c>
      <c r="R1735" s="7" t="n"/>
      <c r="X1735" s="7" t="n"/>
      <c r="Y1735" s="7" t="n"/>
      <c r="AB1735">
        <f>IF($E1735="","",IF($AQ1735=1,0,IF($AP1735=1,Settings!$C$6,Settings!$C$7))*100)</f>
        <v/>
      </c>
      <c r="AC1735" s="7">
        <f>IF($E1735="","",Y1735*AB1735/100)</f>
        <v/>
      </c>
      <c r="AD1735" s="7">
        <f>IF($E1735="","",Y1735-AC1735)</f>
        <v/>
      </c>
      <c r="AE1735" s="7">
        <f>IF($E1735="","",AD1735-Q1735)</f>
        <v/>
      </c>
      <c r="AI1735" s="7" t="n"/>
      <c r="AL1735" s="11" t="n"/>
      <c r="AN1735">
        <f>IF($E1735="","",IF(COUNTIF($E$2:$E1735,$E1735)=1,1,0))</f>
        <v/>
      </c>
      <c r="AO1735">
        <f>IF($AN1735=1,SUMPRODUCT(--($AR$2:$AR$4001&lt;$AR1735))+1,"")</f>
        <v/>
      </c>
      <c r="AP1735">
        <f>IF($E1735="","",IF(OR($U1735=TRUE(),$U1735="TRUE"),1,0))</f>
        <v/>
      </c>
      <c r="AQ1735">
        <f>IF($E1735="","",IF($AA1735="Yes",1,0))</f>
        <v/>
      </c>
      <c r="AR1735">
        <f>IF($AN1735=1,IFERROR(VALUE(MID($E1735,2,20)),1000000000)+ROW()/100000,"")</f>
        <v/>
      </c>
    </row>
    <row r="1736">
      <c r="G1736" s="11" t="n"/>
      <c r="Q1736" s="7">
        <f>IF($E1736="","",P1736*Y1736/100)</f>
        <v/>
      </c>
      <c r="R1736" s="7" t="n"/>
      <c r="X1736" s="7" t="n"/>
      <c r="Y1736" s="7" t="n"/>
      <c r="AB1736">
        <f>IF($E1736="","",IF($AQ1736=1,0,IF($AP1736=1,Settings!$C$6,Settings!$C$7))*100)</f>
        <v/>
      </c>
      <c r="AC1736" s="7">
        <f>IF($E1736="","",Y1736*AB1736/100)</f>
        <v/>
      </c>
      <c r="AD1736" s="7">
        <f>IF($E1736="","",Y1736-AC1736)</f>
        <v/>
      </c>
      <c r="AE1736" s="7">
        <f>IF($E1736="","",AD1736-Q1736)</f>
        <v/>
      </c>
      <c r="AI1736" s="7" t="n"/>
      <c r="AL1736" s="11" t="n"/>
      <c r="AN1736">
        <f>IF($E1736="","",IF(COUNTIF($E$2:$E1736,$E1736)=1,1,0))</f>
        <v/>
      </c>
      <c r="AO1736">
        <f>IF($AN1736=1,SUMPRODUCT(--($AR$2:$AR$4001&lt;$AR1736))+1,"")</f>
        <v/>
      </c>
      <c r="AP1736">
        <f>IF($E1736="","",IF(OR($U1736=TRUE(),$U1736="TRUE"),1,0))</f>
        <v/>
      </c>
      <c r="AQ1736">
        <f>IF($E1736="","",IF($AA1736="Yes",1,0))</f>
        <v/>
      </c>
      <c r="AR1736">
        <f>IF($AN1736=1,IFERROR(VALUE(MID($E1736,2,20)),1000000000)+ROW()/100000,"")</f>
        <v/>
      </c>
    </row>
    <row r="1737">
      <c r="G1737" s="11" t="n"/>
      <c r="Q1737" s="7">
        <f>IF($E1737="","",P1737*Y1737/100)</f>
        <v/>
      </c>
      <c r="R1737" s="7" t="n"/>
      <c r="X1737" s="7" t="n"/>
      <c r="Y1737" s="7" t="n"/>
      <c r="AB1737">
        <f>IF($E1737="","",IF($AQ1737=1,0,IF($AP1737=1,Settings!$C$6,Settings!$C$7))*100)</f>
        <v/>
      </c>
      <c r="AC1737" s="7">
        <f>IF($E1737="","",Y1737*AB1737/100)</f>
        <v/>
      </c>
      <c r="AD1737" s="7">
        <f>IF($E1737="","",Y1737-AC1737)</f>
        <v/>
      </c>
      <c r="AE1737" s="7">
        <f>IF($E1737="","",AD1737-Q1737)</f>
        <v/>
      </c>
      <c r="AI1737" s="7" t="n"/>
      <c r="AL1737" s="11" t="n"/>
      <c r="AN1737">
        <f>IF($E1737="","",IF(COUNTIF($E$2:$E1737,$E1737)=1,1,0))</f>
        <v/>
      </c>
      <c r="AO1737">
        <f>IF($AN1737=1,SUMPRODUCT(--($AR$2:$AR$4001&lt;$AR1737))+1,"")</f>
        <v/>
      </c>
      <c r="AP1737">
        <f>IF($E1737="","",IF(OR($U1737=TRUE(),$U1737="TRUE"),1,0))</f>
        <v/>
      </c>
      <c r="AQ1737">
        <f>IF($E1737="","",IF($AA1737="Yes",1,0))</f>
        <v/>
      </c>
      <c r="AR1737">
        <f>IF($AN1737=1,IFERROR(VALUE(MID($E1737,2,20)),1000000000)+ROW()/100000,"")</f>
        <v/>
      </c>
    </row>
    <row r="1738">
      <c r="G1738" s="11" t="n"/>
      <c r="Q1738" s="7">
        <f>IF($E1738="","",P1738*Y1738/100)</f>
        <v/>
      </c>
      <c r="R1738" s="7" t="n"/>
      <c r="X1738" s="7" t="n"/>
      <c r="Y1738" s="7" t="n"/>
      <c r="AB1738">
        <f>IF($E1738="","",IF($AQ1738=1,0,IF($AP1738=1,Settings!$C$6,Settings!$C$7))*100)</f>
        <v/>
      </c>
      <c r="AC1738" s="7">
        <f>IF($E1738="","",Y1738*AB1738/100)</f>
        <v/>
      </c>
      <c r="AD1738" s="7">
        <f>IF($E1738="","",Y1738-AC1738)</f>
        <v/>
      </c>
      <c r="AE1738" s="7">
        <f>IF($E1738="","",AD1738-Q1738)</f>
        <v/>
      </c>
      <c r="AI1738" s="7" t="n"/>
      <c r="AL1738" s="11" t="n"/>
      <c r="AN1738">
        <f>IF($E1738="","",IF(COUNTIF($E$2:$E1738,$E1738)=1,1,0))</f>
        <v/>
      </c>
      <c r="AO1738">
        <f>IF($AN1738=1,SUMPRODUCT(--($AR$2:$AR$4001&lt;$AR1738))+1,"")</f>
        <v/>
      </c>
      <c r="AP1738">
        <f>IF($E1738="","",IF(OR($U1738=TRUE(),$U1738="TRUE"),1,0))</f>
        <v/>
      </c>
      <c r="AQ1738">
        <f>IF($E1738="","",IF($AA1738="Yes",1,0))</f>
        <v/>
      </c>
      <c r="AR1738">
        <f>IF($AN1738=1,IFERROR(VALUE(MID($E1738,2,20)),1000000000)+ROW()/100000,"")</f>
        <v/>
      </c>
    </row>
    <row r="1739">
      <c r="G1739" s="11" t="n"/>
      <c r="Q1739" s="7">
        <f>IF($E1739="","",P1739*Y1739/100)</f>
        <v/>
      </c>
      <c r="R1739" s="7" t="n"/>
      <c r="X1739" s="7" t="n"/>
      <c r="Y1739" s="7" t="n"/>
      <c r="AB1739">
        <f>IF($E1739="","",IF($AQ1739=1,0,IF($AP1739=1,Settings!$C$6,Settings!$C$7))*100)</f>
        <v/>
      </c>
      <c r="AC1739" s="7">
        <f>IF($E1739="","",Y1739*AB1739/100)</f>
        <v/>
      </c>
      <c r="AD1739" s="7">
        <f>IF($E1739="","",Y1739-AC1739)</f>
        <v/>
      </c>
      <c r="AE1739" s="7">
        <f>IF($E1739="","",AD1739-Q1739)</f>
        <v/>
      </c>
      <c r="AI1739" s="7" t="n"/>
      <c r="AL1739" s="11" t="n"/>
      <c r="AN1739">
        <f>IF($E1739="","",IF(COUNTIF($E$2:$E1739,$E1739)=1,1,0))</f>
        <v/>
      </c>
      <c r="AO1739">
        <f>IF($AN1739=1,SUMPRODUCT(--($AR$2:$AR$4001&lt;$AR1739))+1,"")</f>
        <v/>
      </c>
      <c r="AP1739">
        <f>IF($E1739="","",IF(OR($U1739=TRUE(),$U1739="TRUE"),1,0))</f>
        <v/>
      </c>
      <c r="AQ1739">
        <f>IF($E1739="","",IF($AA1739="Yes",1,0))</f>
        <v/>
      </c>
      <c r="AR1739">
        <f>IF($AN1739=1,IFERROR(VALUE(MID($E1739,2,20)),1000000000)+ROW()/100000,"")</f>
        <v/>
      </c>
    </row>
    <row r="1740">
      <c r="G1740" s="11" t="n"/>
      <c r="Q1740" s="7">
        <f>IF($E1740="","",P1740*Y1740/100)</f>
        <v/>
      </c>
      <c r="R1740" s="7" t="n"/>
      <c r="X1740" s="7" t="n"/>
      <c r="Y1740" s="7" t="n"/>
      <c r="AB1740">
        <f>IF($E1740="","",IF($AQ1740=1,0,IF($AP1740=1,Settings!$C$6,Settings!$C$7))*100)</f>
        <v/>
      </c>
      <c r="AC1740" s="7">
        <f>IF($E1740="","",Y1740*AB1740/100)</f>
        <v/>
      </c>
      <c r="AD1740" s="7">
        <f>IF($E1740="","",Y1740-AC1740)</f>
        <v/>
      </c>
      <c r="AE1740" s="7">
        <f>IF($E1740="","",AD1740-Q1740)</f>
        <v/>
      </c>
      <c r="AI1740" s="7" t="n"/>
      <c r="AL1740" s="11" t="n"/>
      <c r="AN1740">
        <f>IF($E1740="","",IF(COUNTIF($E$2:$E1740,$E1740)=1,1,0))</f>
        <v/>
      </c>
      <c r="AO1740">
        <f>IF($AN1740=1,SUMPRODUCT(--($AR$2:$AR$4001&lt;$AR1740))+1,"")</f>
        <v/>
      </c>
      <c r="AP1740">
        <f>IF($E1740="","",IF(OR($U1740=TRUE(),$U1740="TRUE"),1,0))</f>
        <v/>
      </c>
      <c r="AQ1740">
        <f>IF($E1740="","",IF($AA1740="Yes",1,0))</f>
        <v/>
      </c>
      <c r="AR1740">
        <f>IF($AN1740=1,IFERROR(VALUE(MID($E1740,2,20)),1000000000)+ROW()/100000,"")</f>
        <v/>
      </c>
    </row>
    <row r="1741">
      <c r="G1741" s="11" t="n"/>
      <c r="Q1741" s="7">
        <f>IF($E1741="","",P1741*Y1741/100)</f>
        <v/>
      </c>
      <c r="R1741" s="7" t="n"/>
      <c r="X1741" s="7" t="n"/>
      <c r="Y1741" s="7" t="n"/>
      <c r="AB1741">
        <f>IF($E1741="","",IF($AQ1741=1,0,IF($AP1741=1,Settings!$C$6,Settings!$C$7))*100)</f>
        <v/>
      </c>
      <c r="AC1741" s="7">
        <f>IF($E1741="","",Y1741*AB1741/100)</f>
        <v/>
      </c>
      <c r="AD1741" s="7">
        <f>IF($E1741="","",Y1741-AC1741)</f>
        <v/>
      </c>
      <c r="AE1741" s="7">
        <f>IF($E1741="","",AD1741-Q1741)</f>
        <v/>
      </c>
      <c r="AI1741" s="7" t="n"/>
      <c r="AL1741" s="11" t="n"/>
      <c r="AN1741">
        <f>IF($E1741="","",IF(COUNTIF($E$2:$E1741,$E1741)=1,1,0))</f>
        <v/>
      </c>
      <c r="AO1741">
        <f>IF($AN1741=1,SUMPRODUCT(--($AR$2:$AR$4001&lt;$AR1741))+1,"")</f>
        <v/>
      </c>
      <c r="AP1741">
        <f>IF($E1741="","",IF(OR($U1741=TRUE(),$U1741="TRUE"),1,0))</f>
        <v/>
      </c>
      <c r="AQ1741">
        <f>IF($E1741="","",IF($AA1741="Yes",1,0))</f>
        <v/>
      </c>
      <c r="AR1741">
        <f>IF($AN1741=1,IFERROR(VALUE(MID($E1741,2,20)),1000000000)+ROW()/100000,"")</f>
        <v/>
      </c>
    </row>
    <row r="1742">
      <c r="G1742" s="11" t="n"/>
      <c r="Q1742" s="7">
        <f>IF($E1742="","",P1742*Y1742/100)</f>
        <v/>
      </c>
      <c r="R1742" s="7" t="n"/>
      <c r="X1742" s="7" t="n"/>
      <c r="Y1742" s="7" t="n"/>
      <c r="AB1742">
        <f>IF($E1742="","",IF($AQ1742=1,0,IF($AP1742=1,Settings!$C$6,Settings!$C$7))*100)</f>
        <v/>
      </c>
      <c r="AC1742" s="7">
        <f>IF($E1742="","",Y1742*AB1742/100)</f>
        <v/>
      </c>
      <c r="AD1742" s="7">
        <f>IF($E1742="","",Y1742-AC1742)</f>
        <v/>
      </c>
      <c r="AE1742" s="7">
        <f>IF($E1742="","",AD1742-Q1742)</f>
        <v/>
      </c>
      <c r="AI1742" s="7" t="n"/>
      <c r="AL1742" s="11" t="n"/>
      <c r="AN1742">
        <f>IF($E1742="","",IF(COUNTIF($E$2:$E1742,$E1742)=1,1,0))</f>
        <v/>
      </c>
      <c r="AO1742">
        <f>IF($AN1742=1,SUMPRODUCT(--($AR$2:$AR$4001&lt;$AR1742))+1,"")</f>
        <v/>
      </c>
      <c r="AP1742">
        <f>IF($E1742="","",IF(OR($U1742=TRUE(),$U1742="TRUE"),1,0))</f>
        <v/>
      </c>
      <c r="AQ1742">
        <f>IF($E1742="","",IF($AA1742="Yes",1,0))</f>
        <v/>
      </c>
      <c r="AR1742">
        <f>IF($AN1742=1,IFERROR(VALUE(MID($E1742,2,20)),1000000000)+ROW()/100000,"")</f>
        <v/>
      </c>
    </row>
    <row r="1743">
      <c r="G1743" s="11" t="n"/>
      <c r="Q1743" s="7">
        <f>IF($E1743="","",P1743*Y1743/100)</f>
        <v/>
      </c>
      <c r="R1743" s="7" t="n"/>
      <c r="X1743" s="7" t="n"/>
      <c r="Y1743" s="7" t="n"/>
      <c r="AB1743">
        <f>IF($E1743="","",IF($AQ1743=1,0,IF($AP1743=1,Settings!$C$6,Settings!$C$7))*100)</f>
        <v/>
      </c>
      <c r="AC1743" s="7">
        <f>IF($E1743="","",Y1743*AB1743/100)</f>
        <v/>
      </c>
      <c r="AD1743" s="7">
        <f>IF($E1743="","",Y1743-AC1743)</f>
        <v/>
      </c>
      <c r="AE1743" s="7">
        <f>IF($E1743="","",AD1743-Q1743)</f>
        <v/>
      </c>
      <c r="AI1743" s="7" t="n"/>
      <c r="AL1743" s="11" t="n"/>
      <c r="AN1743">
        <f>IF($E1743="","",IF(COUNTIF($E$2:$E1743,$E1743)=1,1,0))</f>
        <v/>
      </c>
      <c r="AO1743">
        <f>IF($AN1743=1,SUMPRODUCT(--($AR$2:$AR$4001&lt;$AR1743))+1,"")</f>
        <v/>
      </c>
      <c r="AP1743">
        <f>IF($E1743="","",IF(OR($U1743=TRUE(),$U1743="TRUE"),1,0))</f>
        <v/>
      </c>
      <c r="AQ1743">
        <f>IF($E1743="","",IF($AA1743="Yes",1,0))</f>
        <v/>
      </c>
      <c r="AR1743">
        <f>IF($AN1743=1,IFERROR(VALUE(MID($E1743,2,20)),1000000000)+ROW()/100000,"")</f>
        <v/>
      </c>
    </row>
    <row r="1744">
      <c r="G1744" s="11" t="n"/>
      <c r="Q1744" s="7">
        <f>IF($E1744="","",P1744*Y1744/100)</f>
        <v/>
      </c>
      <c r="R1744" s="7" t="n"/>
      <c r="X1744" s="7" t="n"/>
      <c r="Y1744" s="7" t="n"/>
      <c r="AB1744">
        <f>IF($E1744="","",IF($AQ1744=1,0,IF($AP1744=1,Settings!$C$6,Settings!$C$7))*100)</f>
        <v/>
      </c>
      <c r="AC1744" s="7">
        <f>IF($E1744="","",Y1744*AB1744/100)</f>
        <v/>
      </c>
      <c r="AD1744" s="7">
        <f>IF($E1744="","",Y1744-AC1744)</f>
        <v/>
      </c>
      <c r="AE1744" s="7">
        <f>IF($E1744="","",AD1744-Q1744)</f>
        <v/>
      </c>
      <c r="AI1744" s="7" t="n"/>
      <c r="AL1744" s="11" t="n"/>
      <c r="AN1744">
        <f>IF($E1744="","",IF(COUNTIF($E$2:$E1744,$E1744)=1,1,0))</f>
        <v/>
      </c>
      <c r="AO1744">
        <f>IF($AN1744=1,SUMPRODUCT(--($AR$2:$AR$4001&lt;$AR1744))+1,"")</f>
        <v/>
      </c>
      <c r="AP1744">
        <f>IF($E1744="","",IF(OR($U1744=TRUE(),$U1744="TRUE"),1,0))</f>
        <v/>
      </c>
      <c r="AQ1744">
        <f>IF($E1744="","",IF($AA1744="Yes",1,0))</f>
        <v/>
      </c>
      <c r="AR1744">
        <f>IF($AN1744=1,IFERROR(VALUE(MID($E1744,2,20)),1000000000)+ROW()/100000,"")</f>
        <v/>
      </c>
    </row>
    <row r="1745">
      <c r="G1745" s="11" t="n"/>
      <c r="Q1745" s="7">
        <f>IF($E1745="","",P1745*Y1745/100)</f>
        <v/>
      </c>
      <c r="R1745" s="7" t="n"/>
      <c r="X1745" s="7" t="n"/>
      <c r="Y1745" s="7" t="n"/>
      <c r="AB1745">
        <f>IF($E1745="","",IF($AQ1745=1,0,IF($AP1745=1,Settings!$C$6,Settings!$C$7))*100)</f>
        <v/>
      </c>
      <c r="AC1745" s="7">
        <f>IF($E1745="","",Y1745*AB1745/100)</f>
        <v/>
      </c>
      <c r="AD1745" s="7">
        <f>IF($E1745="","",Y1745-AC1745)</f>
        <v/>
      </c>
      <c r="AE1745" s="7">
        <f>IF($E1745="","",AD1745-Q1745)</f>
        <v/>
      </c>
      <c r="AI1745" s="7" t="n"/>
      <c r="AL1745" s="11" t="n"/>
      <c r="AN1745">
        <f>IF($E1745="","",IF(COUNTIF($E$2:$E1745,$E1745)=1,1,0))</f>
        <v/>
      </c>
      <c r="AO1745">
        <f>IF($AN1745=1,SUMPRODUCT(--($AR$2:$AR$4001&lt;$AR1745))+1,"")</f>
        <v/>
      </c>
      <c r="AP1745">
        <f>IF($E1745="","",IF(OR($U1745=TRUE(),$U1745="TRUE"),1,0))</f>
        <v/>
      </c>
      <c r="AQ1745">
        <f>IF($E1745="","",IF($AA1745="Yes",1,0))</f>
        <v/>
      </c>
      <c r="AR1745">
        <f>IF($AN1745=1,IFERROR(VALUE(MID($E1745,2,20)),1000000000)+ROW()/100000,"")</f>
        <v/>
      </c>
    </row>
    <row r="1746">
      <c r="G1746" s="11" t="n"/>
      <c r="Q1746" s="7">
        <f>IF($E1746="","",P1746*Y1746/100)</f>
        <v/>
      </c>
      <c r="R1746" s="7" t="n"/>
      <c r="X1746" s="7" t="n"/>
      <c r="Y1746" s="7" t="n"/>
      <c r="AB1746">
        <f>IF($E1746="","",IF($AQ1746=1,0,IF($AP1746=1,Settings!$C$6,Settings!$C$7))*100)</f>
        <v/>
      </c>
      <c r="AC1746" s="7">
        <f>IF($E1746="","",Y1746*AB1746/100)</f>
        <v/>
      </c>
      <c r="AD1746" s="7">
        <f>IF($E1746="","",Y1746-AC1746)</f>
        <v/>
      </c>
      <c r="AE1746" s="7">
        <f>IF($E1746="","",AD1746-Q1746)</f>
        <v/>
      </c>
      <c r="AI1746" s="7" t="n"/>
      <c r="AL1746" s="11" t="n"/>
      <c r="AN1746">
        <f>IF($E1746="","",IF(COUNTIF($E$2:$E1746,$E1746)=1,1,0))</f>
        <v/>
      </c>
      <c r="AO1746">
        <f>IF($AN1746=1,SUMPRODUCT(--($AR$2:$AR$4001&lt;$AR1746))+1,"")</f>
        <v/>
      </c>
      <c r="AP1746">
        <f>IF($E1746="","",IF(OR($U1746=TRUE(),$U1746="TRUE"),1,0))</f>
        <v/>
      </c>
      <c r="AQ1746">
        <f>IF($E1746="","",IF($AA1746="Yes",1,0))</f>
        <v/>
      </c>
      <c r="AR1746">
        <f>IF($AN1746=1,IFERROR(VALUE(MID($E1746,2,20)),1000000000)+ROW()/100000,"")</f>
        <v/>
      </c>
    </row>
    <row r="1747">
      <c r="G1747" s="11" t="n"/>
      <c r="Q1747" s="7">
        <f>IF($E1747="","",P1747*Y1747/100)</f>
        <v/>
      </c>
      <c r="R1747" s="7" t="n"/>
      <c r="X1747" s="7" t="n"/>
      <c r="Y1747" s="7" t="n"/>
      <c r="AB1747">
        <f>IF($E1747="","",IF($AQ1747=1,0,IF($AP1747=1,Settings!$C$6,Settings!$C$7))*100)</f>
        <v/>
      </c>
      <c r="AC1747" s="7">
        <f>IF($E1747="","",Y1747*AB1747/100)</f>
        <v/>
      </c>
      <c r="AD1747" s="7">
        <f>IF($E1747="","",Y1747-AC1747)</f>
        <v/>
      </c>
      <c r="AE1747" s="7">
        <f>IF($E1747="","",AD1747-Q1747)</f>
        <v/>
      </c>
      <c r="AI1747" s="7" t="n"/>
      <c r="AL1747" s="11" t="n"/>
      <c r="AN1747">
        <f>IF($E1747="","",IF(COUNTIF($E$2:$E1747,$E1747)=1,1,0))</f>
        <v/>
      </c>
      <c r="AO1747">
        <f>IF($AN1747=1,SUMPRODUCT(--($AR$2:$AR$4001&lt;$AR1747))+1,"")</f>
        <v/>
      </c>
      <c r="AP1747">
        <f>IF($E1747="","",IF(OR($U1747=TRUE(),$U1747="TRUE"),1,0))</f>
        <v/>
      </c>
      <c r="AQ1747">
        <f>IF($E1747="","",IF($AA1747="Yes",1,0))</f>
        <v/>
      </c>
      <c r="AR1747">
        <f>IF($AN1747=1,IFERROR(VALUE(MID($E1747,2,20)),1000000000)+ROW()/100000,"")</f>
        <v/>
      </c>
    </row>
    <row r="1748">
      <c r="G1748" s="11" t="n"/>
      <c r="Q1748" s="7">
        <f>IF($E1748="","",P1748*Y1748/100)</f>
        <v/>
      </c>
      <c r="R1748" s="7" t="n"/>
      <c r="X1748" s="7" t="n"/>
      <c r="Y1748" s="7" t="n"/>
      <c r="AB1748">
        <f>IF($E1748="","",IF($AQ1748=1,0,IF($AP1748=1,Settings!$C$6,Settings!$C$7))*100)</f>
        <v/>
      </c>
      <c r="AC1748" s="7">
        <f>IF($E1748="","",Y1748*AB1748/100)</f>
        <v/>
      </c>
      <c r="AD1748" s="7">
        <f>IF($E1748="","",Y1748-AC1748)</f>
        <v/>
      </c>
      <c r="AE1748" s="7">
        <f>IF($E1748="","",AD1748-Q1748)</f>
        <v/>
      </c>
      <c r="AI1748" s="7" t="n"/>
      <c r="AL1748" s="11" t="n"/>
      <c r="AN1748">
        <f>IF($E1748="","",IF(COUNTIF($E$2:$E1748,$E1748)=1,1,0))</f>
        <v/>
      </c>
      <c r="AO1748">
        <f>IF($AN1748=1,SUMPRODUCT(--($AR$2:$AR$4001&lt;$AR1748))+1,"")</f>
        <v/>
      </c>
      <c r="AP1748">
        <f>IF($E1748="","",IF(OR($U1748=TRUE(),$U1748="TRUE"),1,0))</f>
        <v/>
      </c>
      <c r="AQ1748">
        <f>IF($E1748="","",IF($AA1748="Yes",1,0))</f>
        <v/>
      </c>
      <c r="AR1748">
        <f>IF($AN1748=1,IFERROR(VALUE(MID($E1748,2,20)),1000000000)+ROW()/100000,"")</f>
        <v/>
      </c>
    </row>
    <row r="1749">
      <c r="G1749" s="11" t="n"/>
      <c r="Q1749" s="7">
        <f>IF($E1749="","",P1749*Y1749/100)</f>
        <v/>
      </c>
      <c r="R1749" s="7" t="n"/>
      <c r="X1749" s="7" t="n"/>
      <c r="Y1749" s="7" t="n"/>
      <c r="AB1749">
        <f>IF($E1749="","",IF($AQ1749=1,0,IF($AP1749=1,Settings!$C$6,Settings!$C$7))*100)</f>
        <v/>
      </c>
      <c r="AC1749" s="7">
        <f>IF($E1749="","",Y1749*AB1749/100)</f>
        <v/>
      </c>
      <c r="AD1749" s="7">
        <f>IF($E1749="","",Y1749-AC1749)</f>
        <v/>
      </c>
      <c r="AE1749" s="7">
        <f>IF($E1749="","",AD1749-Q1749)</f>
        <v/>
      </c>
      <c r="AI1749" s="7" t="n"/>
      <c r="AL1749" s="11" t="n"/>
      <c r="AN1749">
        <f>IF($E1749="","",IF(COUNTIF($E$2:$E1749,$E1749)=1,1,0))</f>
        <v/>
      </c>
      <c r="AO1749">
        <f>IF($AN1749=1,SUMPRODUCT(--($AR$2:$AR$4001&lt;$AR1749))+1,"")</f>
        <v/>
      </c>
      <c r="AP1749">
        <f>IF($E1749="","",IF(OR($U1749=TRUE(),$U1749="TRUE"),1,0))</f>
        <v/>
      </c>
      <c r="AQ1749">
        <f>IF($E1749="","",IF($AA1749="Yes",1,0))</f>
        <v/>
      </c>
      <c r="AR1749">
        <f>IF($AN1749=1,IFERROR(VALUE(MID($E1749,2,20)),1000000000)+ROW()/100000,"")</f>
        <v/>
      </c>
    </row>
    <row r="1750">
      <c r="G1750" s="11" t="n"/>
      <c r="Q1750" s="7">
        <f>IF($E1750="","",P1750*Y1750/100)</f>
        <v/>
      </c>
      <c r="R1750" s="7" t="n"/>
      <c r="X1750" s="7" t="n"/>
      <c r="Y1750" s="7" t="n"/>
      <c r="AB1750">
        <f>IF($E1750="","",IF($AQ1750=1,0,IF($AP1750=1,Settings!$C$6,Settings!$C$7))*100)</f>
        <v/>
      </c>
      <c r="AC1750" s="7">
        <f>IF($E1750="","",Y1750*AB1750/100)</f>
        <v/>
      </c>
      <c r="AD1750" s="7">
        <f>IF($E1750="","",Y1750-AC1750)</f>
        <v/>
      </c>
      <c r="AE1750" s="7">
        <f>IF($E1750="","",AD1750-Q1750)</f>
        <v/>
      </c>
      <c r="AI1750" s="7" t="n"/>
      <c r="AL1750" s="11" t="n"/>
      <c r="AN1750">
        <f>IF($E1750="","",IF(COUNTIF($E$2:$E1750,$E1750)=1,1,0))</f>
        <v/>
      </c>
      <c r="AO1750">
        <f>IF($AN1750=1,SUMPRODUCT(--($AR$2:$AR$4001&lt;$AR1750))+1,"")</f>
        <v/>
      </c>
      <c r="AP1750">
        <f>IF($E1750="","",IF(OR($U1750=TRUE(),$U1750="TRUE"),1,0))</f>
        <v/>
      </c>
      <c r="AQ1750">
        <f>IF($E1750="","",IF($AA1750="Yes",1,0))</f>
        <v/>
      </c>
      <c r="AR1750">
        <f>IF($AN1750=1,IFERROR(VALUE(MID($E1750,2,20)),1000000000)+ROW()/100000,"")</f>
        <v/>
      </c>
    </row>
    <row r="1751">
      <c r="G1751" s="11" t="n"/>
      <c r="Q1751" s="7">
        <f>IF($E1751="","",P1751*Y1751/100)</f>
        <v/>
      </c>
      <c r="R1751" s="7" t="n"/>
      <c r="X1751" s="7" t="n"/>
      <c r="Y1751" s="7" t="n"/>
      <c r="AB1751">
        <f>IF($E1751="","",IF($AQ1751=1,0,IF($AP1751=1,Settings!$C$6,Settings!$C$7))*100)</f>
        <v/>
      </c>
      <c r="AC1751" s="7">
        <f>IF($E1751="","",Y1751*AB1751/100)</f>
        <v/>
      </c>
      <c r="AD1751" s="7">
        <f>IF($E1751="","",Y1751-AC1751)</f>
        <v/>
      </c>
      <c r="AE1751" s="7">
        <f>IF($E1751="","",AD1751-Q1751)</f>
        <v/>
      </c>
      <c r="AI1751" s="7" t="n"/>
      <c r="AL1751" s="11" t="n"/>
      <c r="AN1751">
        <f>IF($E1751="","",IF(COUNTIF($E$2:$E1751,$E1751)=1,1,0))</f>
        <v/>
      </c>
      <c r="AO1751">
        <f>IF($AN1751=1,SUMPRODUCT(--($AR$2:$AR$4001&lt;$AR1751))+1,"")</f>
        <v/>
      </c>
      <c r="AP1751">
        <f>IF($E1751="","",IF(OR($U1751=TRUE(),$U1751="TRUE"),1,0))</f>
        <v/>
      </c>
      <c r="AQ1751">
        <f>IF($E1751="","",IF($AA1751="Yes",1,0))</f>
        <v/>
      </c>
      <c r="AR1751">
        <f>IF($AN1751=1,IFERROR(VALUE(MID($E1751,2,20)),1000000000)+ROW()/100000,"")</f>
        <v/>
      </c>
    </row>
    <row r="1752">
      <c r="G1752" s="11" t="n"/>
      <c r="Q1752" s="7">
        <f>IF($E1752="","",P1752*Y1752/100)</f>
        <v/>
      </c>
      <c r="R1752" s="7" t="n"/>
      <c r="X1752" s="7" t="n"/>
      <c r="Y1752" s="7" t="n"/>
      <c r="AB1752">
        <f>IF($E1752="","",IF($AQ1752=1,0,IF($AP1752=1,Settings!$C$6,Settings!$C$7))*100)</f>
        <v/>
      </c>
      <c r="AC1752" s="7">
        <f>IF($E1752="","",Y1752*AB1752/100)</f>
        <v/>
      </c>
      <c r="AD1752" s="7">
        <f>IF($E1752="","",Y1752-AC1752)</f>
        <v/>
      </c>
      <c r="AE1752" s="7">
        <f>IF($E1752="","",AD1752-Q1752)</f>
        <v/>
      </c>
      <c r="AI1752" s="7" t="n"/>
      <c r="AL1752" s="11" t="n"/>
      <c r="AN1752">
        <f>IF($E1752="","",IF(COUNTIF($E$2:$E1752,$E1752)=1,1,0))</f>
        <v/>
      </c>
      <c r="AO1752">
        <f>IF($AN1752=1,SUMPRODUCT(--($AR$2:$AR$4001&lt;$AR1752))+1,"")</f>
        <v/>
      </c>
      <c r="AP1752">
        <f>IF($E1752="","",IF(OR($U1752=TRUE(),$U1752="TRUE"),1,0))</f>
        <v/>
      </c>
      <c r="AQ1752">
        <f>IF($E1752="","",IF($AA1752="Yes",1,0))</f>
        <v/>
      </c>
      <c r="AR1752">
        <f>IF($AN1752=1,IFERROR(VALUE(MID($E1752,2,20)),1000000000)+ROW()/100000,"")</f>
        <v/>
      </c>
    </row>
    <row r="1753">
      <c r="G1753" s="11" t="n"/>
      <c r="Q1753" s="7">
        <f>IF($E1753="","",P1753*Y1753/100)</f>
        <v/>
      </c>
      <c r="R1753" s="7" t="n"/>
      <c r="X1753" s="7" t="n"/>
      <c r="Y1753" s="7" t="n"/>
      <c r="AB1753">
        <f>IF($E1753="","",IF($AQ1753=1,0,IF($AP1753=1,Settings!$C$6,Settings!$C$7))*100)</f>
        <v/>
      </c>
      <c r="AC1753" s="7">
        <f>IF($E1753="","",Y1753*AB1753/100)</f>
        <v/>
      </c>
      <c r="AD1753" s="7">
        <f>IF($E1753="","",Y1753-AC1753)</f>
        <v/>
      </c>
      <c r="AE1753" s="7">
        <f>IF($E1753="","",AD1753-Q1753)</f>
        <v/>
      </c>
      <c r="AI1753" s="7" t="n"/>
      <c r="AL1753" s="11" t="n"/>
      <c r="AN1753">
        <f>IF($E1753="","",IF(COUNTIF($E$2:$E1753,$E1753)=1,1,0))</f>
        <v/>
      </c>
      <c r="AO1753">
        <f>IF($AN1753=1,SUMPRODUCT(--($AR$2:$AR$4001&lt;$AR1753))+1,"")</f>
        <v/>
      </c>
      <c r="AP1753">
        <f>IF($E1753="","",IF(OR($U1753=TRUE(),$U1753="TRUE"),1,0))</f>
        <v/>
      </c>
      <c r="AQ1753">
        <f>IF($E1753="","",IF($AA1753="Yes",1,0))</f>
        <v/>
      </c>
      <c r="AR1753">
        <f>IF($AN1753=1,IFERROR(VALUE(MID($E1753,2,20)),1000000000)+ROW()/100000,"")</f>
        <v/>
      </c>
    </row>
    <row r="1754">
      <c r="G1754" s="11" t="n"/>
      <c r="Q1754" s="7">
        <f>IF($E1754="","",P1754*Y1754/100)</f>
        <v/>
      </c>
      <c r="R1754" s="7" t="n"/>
      <c r="X1754" s="7" t="n"/>
      <c r="Y1754" s="7" t="n"/>
      <c r="AB1754">
        <f>IF($E1754="","",IF($AQ1754=1,0,IF($AP1754=1,Settings!$C$6,Settings!$C$7))*100)</f>
        <v/>
      </c>
      <c r="AC1754" s="7">
        <f>IF($E1754="","",Y1754*AB1754/100)</f>
        <v/>
      </c>
      <c r="AD1754" s="7">
        <f>IF($E1754="","",Y1754-AC1754)</f>
        <v/>
      </c>
      <c r="AE1754" s="7">
        <f>IF($E1754="","",AD1754-Q1754)</f>
        <v/>
      </c>
      <c r="AI1754" s="7" t="n"/>
      <c r="AL1754" s="11" t="n"/>
      <c r="AN1754">
        <f>IF($E1754="","",IF(COUNTIF($E$2:$E1754,$E1754)=1,1,0))</f>
        <v/>
      </c>
      <c r="AO1754">
        <f>IF($AN1754=1,SUMPRODUCT(--($AR$2:$AR$4001&lt;$AR1754))+1,"")</f>
        <v/>
      </c>
      <c r="AP1754">
        <f>IF($E1754="","",IF(OR($U1754=TRUE(),$U1754="TRUE"),1,0))</f>
        <v/>
      </c>
      <c r="AQ1754">
        <f>IF($E1754="","",IF($AA1754="Yes",1,0))</f>
        <v/>
      </c>
      <c r="AR1754">
        <f>IF($AN1754=1,IFERROR(VALUE(MID($E1754,2,20)),1000000000)+ROW()/100000,"")</f>
        <v/>
      </c>
    </row>
    <row r="1755">
      <c r="G1755" s="11" t="n"/>
      <c r="Q1755" s="7">
        <f>IF($E1755="","",P1755*Y1755/100)</f>
        <v/>
      </c>
      <c r="R1755" s="7" t="n"/>
      <c r="X1755" s="7" t="n"/>
      <c r="Y1755" s="7" t="n"/>
      <c r="AB1755">
        <f>IF($E1755="","",IF($AQ1755=1,0,IF($AP1755=1,Settings!$C$6,Settings!$C$7))*100)</f>
        <v/>
      </c>
      <c r="AC1755" s="7">
        <f>IF($E1755="","",Y1755*AB1755/100)</f>
        <v/>
      </c>
      <c r="AD1755" s="7">
        <f>IF($E1755="","",Y1755-AC1755)</f>
        <v/>
      </c>
      <c r="AE1755" s="7">
        <f>IF($E1755="","",AD1755-Q1755)</f>
        <v/>
      </c>
      <c r="AI1755" s="7" t="n"/>
      <c r="AL1755" s="11" t="n"/>
      <c r="AN1755">
        <f>IF($E1755="","",IF(COUNTIF($E$2:$E1755,$E1755)=1,1,0))</f>
        <v/>
      </c>
      <c r="AO1755">
        <f>IF($AN1755=1,SUMPRODUCT(--($AR$2:$AR$4001&lt;$AR1755))+1,"")</f>
        <v/>
      </c>
      <c r="AP1755">
        <f>IF($E1755="","",IF(OR($U1755=TRUE(),$U1755="TRUE"),1,0))</f>
        <v/>
      </c>
      <c r="AQ1755">
        <f>IF($E1755="","",IF($AA1755="Yes",1,0))</f>
        <v/>
      </c>
      <c r="AR1755">
        <f>IF($AN1755=1,IFERROR(VALUE(MID($E1755,2,20)),1000000000)+ROW()/100000,"")</f>
        <v/>
      </c>
    </row>
    <row r="1756">
      <c r="G1756" s="11" t="n"/>
      <c r="Q1756" s="7">
        <f>IF($E1756="","",P1756*Y1756/100)</f>
        <v/>
      </c>
      <c r="R1756" s="7" t="n"/>
      <c r="X1756" s="7" t="n"/>
      <c r="Y1756" s="7" t="n"/>
      <c r="AB1756">
        <f>IF($E1756="","",IF($AQ1756=1,0,IF($AP1756=1,Settings!$C$6,Settings!$C$7))*100)</f>
        <v/>
      </c>
      <c r="AC1756" s="7">
        <f>IF($E1756="","",Y1756*AB1756/100)</f>
        <v/>
      </c>
      <c r="AD1756" s="7">
        <f>IF($E1756="","",Y1756-AC1756)</f>
        <v/>
      </c>
      <c r="AE1756" s="7">
        <f>IF($E1756="","",AD1756-Q1756)</f>
        <v/>
      </c>
      <c r="AI1756" s="7" t="n"/>
      <c r="AL1756" s="11" t="n"/>
      <c r="AN1756">
        <f>IF($E1756="","",IF(COUNTIF($E$2:$E1756,$E1756)=1,1,0))</f>
        <v/>
      </c>
      <c r="AO1756">
        <f>IF($AN1756=1,SUMPRODUCT(--($AR$2:$AR$4001&lt;$AR1756))+1,"")</f>
        <v/>
      </c>
      <c r="AP1756">
        <f>IF($E1756="","",IF(OR($U1756=TRUE(),$U1756="TRUE"),1,0))</f>
        <v/>
      </c>
      <c r="AQ1756">
        <f>IF($E1756="","",IF($AA1756="Yes",1,0))</f>
        <v/>
      </c>
      <c r="AR1756">
        <f>IF($AN1756=1,IFERROR(VALUE(MID($E1756,2,20)),1000000000)+ROW()/100000,"")</f>
        <v/>
      </c>
    </row>
    <row r="1757">
      <c r="G1757" s="11" t="n"/>
      <c r="Q1757" s="7">
        <f>IF($E1757="","",P1757*Y1757/100)</f>
        <v/>
      </c>
      <c r="R1757" s="7" t="n"/>
      <c r="X1757" s="7" t="n"/>
      <c r="Y1757" s="7" t="n"/>
      <c r="AB1757">
        <f>IF($E1757="","",IF($AQ1757=1,0,IF($AP1757=1,Settings!$C$6,Settings!$C$7))*100)</f>
        <v/>
      </c>
      <c r="AC1757" s="7">
        <f>IF($E1757="","",Y1757*AB1757/100)</f>
        <v/>
      </c>
      <c r="AD1757" s="7">
        <f>IF($E1757="","",Y1757-AC1757)</f>
        <v/>
      </c>
      <c r="AE1757" s="7">
        <f>IF($E1757="","",AD1757-Q1757)</f>
        <v/>
      </c>
      <c r="AI1757" s="7" t="n"/>
      <c r="AL1757" s="11" t="n"/>
      <c r="AN1757">
        <f>IF($E1757="","",IF(COUNTIF($E$2:$E1757,$E1757)=1,1,0))</f>
        <v/>
      </c>
      <c r="AO1757">
        <f>IF($AN1757=1,SUMPRODUCT(--($AR$2:$AR$4001&lt;$AR1757))+1,"")</f>
        <v/>
      </c>
      <c r="AP1757">
        <f>IF($E1757="","",IF(OR($U1757=TRUE(),$U1757="TRUE"),1,0))</f>
        <v/>
      </c>
      <c r="AQ1757">
        <f>IF($E1757="","",IF($AA1757="Yes",1,0))</f>
        <v/>
      </c>
      <c r="AR1757">
        <f>IF($AN1757=1,IFERROR(VALUE(MID($E1757,2,20)),1000000000)+ROW()/100000,"")</f>
        <v/>
      </c>
    </row>
    <row r="1758">
      <c r="G1758" s="11" t="n"/>
      <c r="Q1758" s="7">
        <f>IF($E1758="","",P1758*Y1758/100)</f>
        <v/>
      </c>
      <c r="R1758" s="7" t="n"/>
      <c r="X1758" s="7" t="n"/>
      <c r="Y1758" s="7" t="n"/>
      <c r="AB1758">
        <f>IF($E1758="","",IF($AQ1758=1,0,IF($AP1758=1,Settings!$C$6,Settings!$C$7))*100)</f>
        <v/>
      </c>
      <c r="AC1758" s="7">
        <f>IF($E1758="","",Y1758*AB1758/100)</f>
        <v/>
      </c>
      <c r="AD1758" s="7">
        <f>IF($E1758="","",Y1758-AC1758)</f>
        <v/>
      </c>
      <c r="AE1758" s="7">
        <f>IF($E1758="","",AD1758-Q1758)</f>
        <v/>
      </c>
      <c r="AI1758" s="7" t="n"/>
      <c r="AL1758" s="11" t="n"/>
      <c r="AN1758">
        <f>IF($E1758="","",IF(COUNTIF($E$2:$E1758,$E1758)=1,1,0))</f>
        <v/>
      </c>
      <c r="AO1758">
        <f>IF($AN1758=1,SUMPRODUCT(--($AR$2:$AR$4001&lt;$AR1758))+1,"")</f>
        <v/>
      </c>
      <c r="AP1758">
        <f>IF($E1758="","",IF(OR($U1758=TRUE(),$U1758="TRUE"),1,0))</f>
        <v/>
      </c>
      <c r="AQ1758">
        <f>IF($E1758="","",IF($AA1758="Yes",1,0))</f>
        <v/>
      </c>
      <c r="AR1758">
        <f>IF($AN1758=1,IFERROR(VALUE(MID($E1758,2,20)),1000000000)+ROW()/100000,"")</f>
        <v/>
      </c>
    </row>
    <row r="1759">
      <c r="G1759" s="11" t="n"/>
      <c r="Q1759" s="7">
        <f>IF($E1759="","",P1759*Y1759/100)</f>
        <v/>
      </c>
      <c r="R1759" s="7" t="n"/>
      <c r="X1759" s="7" t="n"/>
      <c r="Y1759" s="7" t="n"/>
      <c r="AB1759">
        <f>IF($E1759="","",IF($AQ1759=1,0,IF($AP1759=1,Settings!$C$6,Settings!$C$7))*100)</f>
        <v/>
      </c>
      <c r="AC1759" s="7">
        <f>IF($E1759="","",Y1759*AB1759/100)</f>
        <v/>
      </c>
      <c r="AD1759" s="7">
        <f>IF($E1759="","",Y1759-AC1759)</f>
        <v/>
      </c>
      <c r="AE1759" s="7">
        <f>IF($E1759="","",AD1759-Q1759)</f>
        <v/>
      </c>
      <c r="AI1759" s="7" t="n"/>
      <c r="AL1759" s="11" t="n"/>
      <c r="AN1759">
        <f>IF($E1759="","",IF(COUNTIF($E$2:$E1759,$E1759)=1,1,0))</f>
        <v/>
      </c>
      <c r="AO1759">
        <f>IF($AN1759=1,SUMPRODUCT(--($AR$2:$AR$4001&lt;$AR1759))+1,"")</f>
        <v/>
      </c>
      <c r="AP1759">
        <f>IF($E1759="","",IF(OR($U1759=TRUE(),$U1759="TRUE"),1,0))</f>
        <v/>
      </c>
      <c r="AQ1759">
        <f>IF($E1759="","",IF($AA1759="Yes",1,0))</f>
        <v/>
      </c>
      <c r="AR1759">
        <f>IF($AN1759=1,IFERROR(VALUE(MID($E1759,2,20)),1000000000)+ROW()/100000,"")</f>
        <v/>
      </c>
    </row>
    <row r="1760">
      <c r="G1760" s="11" t="n"/>
      <c r="Q1760" s="7">
        <f>IF($E1760="","",P1760*Y1760/100)</f>
        <v/>
      </c>
      <c r="R1760" s="7" t="n"/>
      <c r="X1760" s="7" t="n"/>
      <c r="Y1760" s="7" t="n"/>
      <c r="AB1760">
        <f>IF($E1760="","",IF($AQ1760=1,0,IF($AP1760=1,Settings!$C$6,Settings!$C$7))*100)</f>
        <v/>
      </c>
      <c r="AC1760" s="7">
        <f>IF($E1760="","",Y1760*AB1760/100)</f>
        <v/>
      </c>
      <c r="AD1760" s="7">
        <f>IF($E1760="","",Y1760-AC1760)</f>
        <v/>
      </c>
      <c r="AE1760" s="7">
        <f>IF($E1760="","",AD1760-Q1760)</f>
        <v/>
      </c>
      <c r="AI1760" s="7" t="n"/>
      <c r="AL1760" s="11" t="n"/>
      <c r="AN1760">
        <f>IF($E1760="","",IF(COUNTIF($E$2:$E1760,$E1760)=1,1,0))</f>
        <v/>
      </c>
      <c r="AO1760">
        <f>IF($AN1760=1,SUMPRODUCT(--($AR$2:$AR$4001&lt;$AR1760))+1,"")</f>
        <v/>
      </c>
      <c r="AP1760">
        <f>IF($E1760="","",IF(OR($U1760=TRUE(),$U1760="TRUE"),1,0))</f>
        <v/>
      </c>
      <c r="AQ1760">
        <f>IF($E1760="","",IF($AA1760="Yes",1,0))</f>
        <v/>
      </c>
      <c r="AR1760">
        <f>IF($AN1760=1,IFERROR(VALUE(MID($E1760,2,20)),1000000000)+ROW()/100000,"")</f>
        <v/>
      </c>
    </row>
    <row r="1761">
      <c r="G1761" s="11" t="n"/>
      <c r="Q1761" s="7">
        <f>IF($E1761="","",P1761*Y1761/100)</f>
        <v/>
      </c>
      <c r="R1761" s="7" t="n"/>
      <c r="X1761" s="7" t="n"/>
      <c r="Y1761" s="7" t="n"/>
      <c r="AB1761">
        <f>IF($E1761="","",IF($AQ1761=1,0,IF($AP1761=1,Settings!$C$6,Settings!$C$7))*100)</f>
        <v/>
      </c>
      <c r="AC1761" s="7">
        <f>IF($E1761="","",Y1761*AB1761/100)</f>
        <v/>
      </c>
      <c r="AD1761" s="7">
        <f>IF($E1761="","",Y1761-AC1761)</f>
        <v/>
      </c>
      <c r="AE1761" s="7">
        <f>IF($E1761="","",AD1761-Q1761)</f>
        <v/>
      </c>
      <c r="AI1761" s="7" t="n"/>
      <c r="AL1761" s="11" t="n"/>
      <c r="AN1761">
        <f>IF($E1761="","",IF(COUNTIF($E$2:$E1761,$E1761)=1,1,0))</f>
        <v/>
      </c>
      <c r="AO1761">
        <f>IF($AN1761=1,SUMPRODUCT(--($AR$2:$AR$4001&lt;$AR1761))+1,"")</f>
        <v/>
      </c>
      <c r="AP1761">
        <f>IF($E1761="","",IF(OR($U1761=TRUE(),$U1761="TRUE"),1,0))</f>
        <v/>
      </c>
      <c r="AQ1761">
        <f>IF($E1761="","",IF($AA1761="Yes",1,0))</f>
        <v/>
      </c>
      <c r="AR1761">
        <f>IF($AN1761=1,IFERROR(VALUE(MID($E1761,2,20)),1000000000)+ROW()/100000,"")</f>
        <v/>
      </c>
    </row>
    <row r="1762">
      <c r="G1762" s="11" t="n"/>
      <c r="Q1762" s="7">
        <f>IF($E1762="","",P1762*Y1762/100)</f>
        <v/>
      </c>
      <c r="R1762" s="7" t="n"/>
      <c r="X1762" s="7" t="n"/>
      <c r="Y1762" s="7" t="n"/>
      <c r="AB1762">
        <f>IF($E1762="","",IF($AQ1762=1,0,IF($AP1762=1,Settings!$C$6,Settings!$C$7))*100)</f>
        <v/>
      </c>
      <c r="AC1762" s="7">
        <f>IF($E1762="","",Y1762*AB1762/100)</f>
        <v/>
      </c>
      <c r="AD1762" s="7">
        <f>IF($E1762="","",Y1762-AC1762)</f>
        <v/>
      </c>
      <c r="AE1762" s="7">
        <f>IF($E1762="","",AD1762-Q1762)</f>
        <v/>
      </c>
      <c r="AI1762" s="7" t="n"/>
      <c r="AL1762" s="11" t="n"/>
      <c r="AN1762">
        <f>IF($E1762="","",IF(COUNTIF($E$2:$E1762,$E1762)=1,1,0))</f>
        <v/>
      </c>
      <c r="AO1762">
        <f>IF($AN1762=1,SUMPRODUCT(--($AR$2:$AR$4001&lt;$AR1762))+1,"")</f>
        <v/>
      </c>
      <c r="AP1762">
        <f>IF($E1762="","",IF(OR($U1762=TRUE(),$U1762="TRUE"),1,0))</f>
        <v/>
      </c>
      <c r="AQ1762">
        <f>IF($E1762="","",IF($AA1762="Yes",1,0))</f>
        <v/>
      </c>
      <c r="AR1762">
        <f>IF($AN1762=1,IFERROR(VALUE(MID($E1762,2,20)),1000000000)+ROW()/100000,"")</f>
        <v/>
      </c>
    </row>
    <row r="1763">
      <c r="G1763" s="11" t="n"/>
      <c r="Q1763" s="7">
        <f>IF($E1763="","",P1763*Y1763/100)</f>
        <v/>
      </c>
      <c r="R1763" s="7" t="n"/>
      <c r="X1763" s="7" t="n"/>
      <c r="Y1763" s="7" t="n"/>
      <c r="AB1763">
        <f>IF($E1763="","",IF($AQ1763=1,0,IF($AP1763=1,Settings!$C$6,Settings!$C$7))*100)</f>
        <v/>
      </c>
      <c r="AC1763" s="7">
        <f>IF($E1763="","",Y1763*AB1763/100)</f>
        <v/>
      </c>
      <c r="AD1763" s="7">
        <f>IF($E1763="","",Y1763-AC1763)</f>
        <v/>
      </c>
      <c r="AE1763" s="7">
        <f>IF($E1763="","",AD1763-Q1763)</f>
        <v/>
      </c>
      <c r="AI1763" s="7" t="n"/>
      <c r="AL1763" s="11" t="n"/>
      <c r="AN1763">
        <f>IF($E1763="","",IF(COUNTIF($E$2:$E1763,$E1763)=1,1,0))</f>
        <v/>
      </c>
      <c r="AO1763">
        <f>IF($AN1763=1,SUMPRODUCT(--($AR$2:$AR$4001&lt;$AR1763))+1,"")</f>
        <v/>
      </c>
      <c r="AP1763">
        <f>IF($E1763="","",IF(OR($U1763=TRUE(),$U1763="TRUE"),1,0))</f>
        <v/>
      </c>
      <c r="AQ1763">
        <f>IF($E1763="","",IF($AA1763="Yes",1,0))</f>
        <v/>
      </c>
      <c r="AR1763">
        <f>IF($AN1763=1,IFERROR(VALUE(MID($E1763,2,20)),1000000000)+ROW()/100000,"")</f>
        <v/>
      </c>
    </row>
    <row r="1764">
      <c r="G1764" s="11" t="n"/>
      <c r="Q1764" s="7">
        <f>IF($E1764="","",P1764*Y1764/100)</f>
        <v/>
      </c>
      <c r="R1764" s="7" t="n"/>
      <c r="X1764" s="7" t="n"/>
      <c r="Y1764" s="7" t="n"/>
      <c r="AB1764">
        <f>IF($E1764="","",IF($AQ1764=1,0,IF($AP1764=1,Settings!$C$6,Settings!$C$7))*100)</f>
        <v/>
      </c>
      <c r="AC1764" s="7">
        <f>IF($E1764="","",Y1764*AB1764/100)</f>
        <v/>
      </c>
      <c r="AD1764" s="7">
        <f>IF($E1764="","",Y1764-AC1764)</f>
        <v/>
      </c>
      <c r="AE1764" s="7">
        <f>IF($E1764="","",AD1764-Q1764)</f>
        <v/>
      </c>
      <c r="AI1764" s="7" t="n"/>
      <c r="AL1764" s="11" t="n"/>
      <c r="AN1764">
        <f>IF($E1764="","",IF(COUNTIF($E$2:$E1764,$E1764)=1,1,0))</f>
        <v/>
      </c>
      <c r="AO1764">
        <f>IF($AN1764=1,SUMPRODUCT(--($AR$2:$AR$4001&lt;$AR1764))+1,"")</f>
        <v/>
      </c>
      <c r="AP1764">
        <f>IF($E1764="","",IF(OR($U1764=TRUE(),$U1764="TRUE"),1,0))</f>
        <v/>
      </c>
      <c r="AQ1764">
        <f>IF($E1764="","",IF($AA1764="Yes",1,0))</f>
        <v/>
      </c>
      <c r="AR1764">
        <f>IF($AN1764=1,IFERROR(VALUE(MID($E1764,2,20)),1000000000)+ROW()/100000,"")</f>
        <v/>
      </c>
    </row>
    <row r="1765">
      <c r="G1765" s="11" t="n"/>
      <c r="Q1765" s="7">
        <f>IF($E1765="","",P1765*Y1765/100)</f>
        <v/>
      </c>
      <c r="R1765" s="7" t="n"/>
      <c r="X1765" s="7" t="n"/>
      <c r="Y1765" s="7" t="n"/>
      <c r="AB1765">
        <f>IF($E1765="","",IF($AQ1765=1,0,IF($AP1765=1,Settings!$C$6,Settings!$C$7))*100)</f>
        <v/>
      </c>
      <c r="AC1765" s="7">
        <f>IF($E1765="","",Y1765*AB1765/100)</f>
        <v/>
      </c>
      <c r="AD1765" s="7">
        <f>IF($E1765="","",Y1765-AC1765)</f>
        <v/>
      </c>
      <c r="AE1765" s="7">
        <f>IF($E1765="","",AD1765-Q1765)</f>
        <v/>
      </c>
      <c r="AI1765" s="7" t="n"/>
      <c r="AL1765" s="11" t="n"/>
      <c r="AN1765">
        <f>IF($E1765="","",IF(COUNTIF($E$2:$E1765,$E1765)=1,1,0))</f>
        <v/>
      </c>
      <c r="AO1765">
        <f>IF($AN1765=1,SUMPRODUCT(--($AR$2:$AR$4001&lt;$AR1765))+1,"")</f>
        <v/>
      </c>
      <c r="AP1765">
        <f>IF($E1765="","",IF(OR($U1765=TRUE(),$U1765="TRUE"),1,0))</f>
        <v/>
      </c>
      <c r="AQ1765">
        <f>IF($E1765="","",IF($AA1765="Yes",1,0))</f>
        <v/>
      </c>
      <c r="AR1765">
        <f>IF($AN1765=1,IFERROR(VALUE(MID($E1765,2,20)),1000000000)+ROW()/100000,"")</f>
        <v/>
      </c>
    </row>
    <row r="1766">
      <c r="G1766" s="11" t="n"/>
      <c r="Q1766" s="7">
        <f>IF($E1766="","",P1766*Y1766/100)</f>
        <v/>
      </c>
      <c r="R1766" s="7" t="n"/>
      <c r="X1766" s="7" t="n"/>
      <c r="Y1766" s="7" t="n"/>
      <c r="AB1766">
        <f>IF($E1766="","",IF($AQ1766=1,0,IF($AP1766=1,Settings!$C$6,Settings!$C$7))*100)</f>
        <v/>
      </c>
      <c r="AC1766" s="7">
        <f>IF($E1766="","",Y1766*AB1766/100)</f>
        <v/>
      </c>
      <c r="AD1766" s="7">
        <f>IF($E1766="","",Y1766-AC1766)</f>
        <v/>
      </c>
      <c r="AE1766" s="7">
        <f>IF($E1766="","",AD1766-Q1766)</f>
        <v/>
      </c>
      <c r="AI1766" s="7" t="n"/>
      <c r="AL1766" s="11" t="n"/>
      <c r="AN1766">
        <f>IF($E1766="","",IF(COUNTIF($E$2:$E1766,$E1766)=1,1,0))</f>
        <v/>
      </c>
      <c r="AO1766">
        <f>IF($AN1766=1,SUMPRODUCT(--($AR$2:$AR$4001&lt;$AR1766))+1,"")</f>
        <v/>
      </c>
      <c r="AP1766">
        <f>IF($E1766="","",IF(OR($U1766=TRUE(),$U1766="TRUE"),1,0))</f>
        <v/>
      </c>
      <c r="AQ1766">
        <f>IF($E1766="","",IF($AA1766="Yes",1,0))</f>
        <v/>
      </c>
      <c r="AR1766">
        <f>IF($AN1766=1,IFERROR(VALUE(MID($E1766,2,20)),1000000000)+ROW()/100000,"")</f>
        <v/>
      </c>
    </row>
    <row r="1767">
      <c r="G1767" s="11" t="n"/>
      <c r="Q1767" s="7">
        <f>IF($E1767="","",P1767*Y1767/100)</f>
        <v/>
      </c>
      <c r="R1767" s="7" t="n"/>
      <c r="X1767" s="7" t="n"/>
      <c r="Y1767" s="7" t="n"/>
      <c r="AB1767">
        <f>IF($E1767="","",IF($AQ1767=1,0,IF($AP1767=1,Settings!$C$6,Settings!$C$7))*100)</f>
        <v/>
      </c>
      <c r="AC1767" s="7">
        <f>IF($E1767="","",Y1767*AB1767/100)</f>
        <v/>
      </c>
      <c r="AD1767" s="7">
        <f>IF($E1767="","",Y1767-AC1767)</f>
        <v/>
      </c>
      <c r="AE1767" s="7">
        <f>IF($E1767="","",AD1767-Q1767)</f>
        <v/>
      </c>
      <c r="AI1767" s="7" t="n"/>
      <c r="AL1767" s="11" t="n"/>
      <c r="AN1767">
        <f>IF($E1767="","",IF(COUNTIF($E$2:$E1767,$E1767)=1,1,0))</f>
        <v/>
      </c>
      <c r="AO1767">
        <f>IF($AN1767=1,SUMPRODUCT(--($AR$2:$AR$4001&lt;$AR1767))+1,"")</f>
        <v/>
      </c>
      <c r="AP1767">
        <f>IF($E1767="","",IF(OR($U1767=TRUE(),$U1767="TRUE"),1,0))</f>
        <v/>
      </c>
      <c r="AQ1767">
        <f>IF($E1767="","",IF($AA1767="Yes",1,0))</f>
        <v/>
      </c>
      <c r="AR1767">
        <f>IF($AN1767=1,IFERROR(VALUE(MID($E1767,2,20)),1000000000)+ROW()/100000,"")</f>
        <v/>
      </c>
    </row>
    <row r="1768">
      <c r="G1768" s="11" t="n"/>
      <c r="Q1768" s="7">
        <f>IF($E1768="","",P1768*Y1768/100)</f>
        <v/>
      </c>
      <c r="R1768" s="7" t="n"/>
      <c r="X1768" s="7" t="n"/>
      <c r="Y1768" s="7" t="n"/>
      <c r="AB1768">
        <f>IF($E1768="","",IF($AQ1768=1,0,IF($AP1768=1,Settings!$C$6,Settings!$C$7))*100)</f>
        <v/>
      </c>
      <c r="AC1768" s="7">
        <f>IF($E1768="","",Y1768*AB1768/100)</f>
        <v/>
      </c>
      <c r="AD1768" s="7">
        <f>IF($E1768="","",Y1768-AC1768)</f>
        <v/>
      </c>
      <c r="AE1768" s="7">
        <f>IF($E1768="","",AD1768-Q1768)</f>
        <v/>
      </c>
      <c r="AI1768" s="7" t="n"/>
      <c r="AL1768" s="11" t="n"/>
      <c r="AN1768">
        <f>IF($E1768="","",IF(COUNTIF($E$2:$E1768,$E1768)=1,1,0))</f>
        <v/>
      </c>
      <c r="AO1768">
        <f>IF($AN1768=1,SUMPRODUCT(--($AR$2:$AR$4001&lt;$AR1768))+1,"")</f>
        <v/>
      </c>
      <c r="AP1768">
        <f>IF($E1768="","",IF(OR($U1768=TRUE(),$U1768="TRUE"),1,0))</f>
        <v/>
      </c>
      <c r="AQ1768">
        <f>IF($E1768="","",IF($AA1768="Yes",1,0))</f>
        <v/>
      </c>
      <c r="AR1768">
        <f>IF($AN1768=1,IFERROR(VALUE(MID($E1768,2,20)),1000000000)+ROW()/100000,"")</f>
        <v/>
      </c>
    </row>
    <row r="1769">
      <c r="G1769" s="11" t="n"/>
      <c r="Q1769" s="7">
        <f>IF($E1769="","",P1769*Y1769/100)</f>
        <v/>
      </c>
      <c r="R1769" s="7" t="n"/>
      <c r="X1769" s="7" t="n"/>
      <c r="Y1769" s="7" t="n"/>
      <c r="AB1769">
        <f>IF($E1769="","",IF($AQ1769=1,0,IF($AP1769=1,Settings!$C$6,Settings!$C$7))*100)</f>
        <v/>
      </c>
      <c r="AC1769" s="7">
        <f>IF($E1769="","",Y1769*AB1769/100)</f>
        <v/>
      </c>
      <c r="AD1769" s="7">
        <f>IF($E1769="","",Y1769-AC1769)</f>
        <v/>
      </c>
      <c r="AE1769" s="7">
        <f>IF($E1769="","",AD1769-Q1769)</f>
        <v/>
      </c>
      <c r="AI1769" s="7" t="n"/>
      <c r="AL1769" s="11" t="n"/>
      <c r="AN1769">
        <f>IF($E1769="","",IF(COUNTIF($E$2:$E1769,$E1769)=1,1,0))</f>
        <v/>
      </c>
      <c r="AO1769">
        <f>IF($AN1769=1,SUMPRODUCT(--($AR$2:$AR$4001&lt;$AR1769))+1,"")</f>
        <v/>
      </c>
      <c r="AP1769">
        <f>IF($E1769="","",IF(OR($U1769=TRUE(),$U1769="TRUE"),1,0))</f>
        <v/>
      </c>
      <c r="AQ1769">
        <f>IF($E1769="","",IF($AA1769="Yes",1,0))</f>
        <v/>
      </c>
      <c r="AR1769">
        <f>IF($AN1769=1,IFERROR(VALUE(MID($E1769,2,20)),1000000000)+ROW()/100000,"")</f>
        <v/>
      </c>
    </row>
    <row r="1770">
      <c r="G1770" s="11" t="n"/>
      <c r="Q1770" s="7">
        <f>IF($E1770="","",P1770*Y1770/100)</f>
        <v/>
      </c>
      <c r="R1770" s="7" t="n"/>
      <c r="X1770" s="7" t="n"/>
      <c r="Y1770" s="7" t="n"/>
      <c r="AB1770">
        <f>IF($E1770="","",IF($AQ1770=1,0,IF($AP1770=1,Settings!$C$6,Settings!$C$7))*100)</f>
        <v/>
      </c>
      <c r="AC1770" s="7">
        <f>IF($E1770="","",Y1770*AB1770/100)</f>
        <v/>
      </c>
      <c r="AD1770" s="7">
        <f>IF($E1770="","",Y1770-AC1770)</f>
        <v/>
      </c>
      <c r="AE1770" s="7">
        <f>IF($E1770="","",AD1770-Q1770)</f>
        <v/>
      </c>
      <c r="AI1770" s="7" t="n"/>
      <c r="AL1770" s="11" t="n"/>
      <c r="AN1770">
        <f>IF($E1770="","",IF(COUNTIF($E$2:$E1770,$E1770)=1,1,0))</f>
        <v/>
      </c>
      <c r="AO1770">
        <f>IF($AN1770=1,SUMPRODUCT(--($AR$2:$AR$4001&lt;$AR1770))+1,"")</f>
        <v/>
      </c>
      <c r="AP1770">
        <f>IF($E1770="","",IF(OR($U1770=TRUE(),$U1770="TRUE"),1,0))</f>
        <v/>
      </c>
      <c r="AQ1770">
        <f>IF($E1770="","",IF($AA1770="Yes",1,0))</f>
        <v/>
      </c>
      <c r="AR1770">
        <f>IF($AN1770=1,IFERROR(VALUE(MID($E1770,2,20)),1000000000)+ROW()/100000,"")</f>
        <v/>
      </c>
    </row>
    <row r="1771">
      <c r="G1771" s="11" t="n"/>
      <c r="Q1771" s="7">
        <f>IF($E1771="","",P1771*Y1771/100)</f>
        <v/>
      </c>
      <c r="R1771" s="7" t="n"/>
      <c r="X1771" s="7" t="n"/>
      <c r="Y1771" s="7" t="n"/>
      <c r="AB1771">
        <f>IF($E1771="","",IF($AQ1771=1,0,IF($AP1771=1,Settings!$C$6,Settings!$C$7))*100)</f>
        <v/>
      </c>
      <c r="AC1771" s="7">
        <f>IF($E1771="","",Y1771*AB1771/100)</f>
        <v/>
      </c>
      <c r="AD1771" s="7">
        <f>IF($E1771="","",Y1771-AC1771)</f>
        <v/>
      </c>
      <c r="AE1771" s="7">
        <f>IF($E1771="","",AD1771-Q1771)</f>
        <v/>
      </c>
      <c r="AI1771" s="7" t="n"/>
      <c r="AL1771" s="11" t="n"/>
      <c r="AN1771">
        <f>IF($E1771="","",IF(COUNTIF($E$2:$E1771,$E1771)=1,1,0))</f>
        <v/>
      </c>
      <c r="AO1771">
        <f>IF($AN1771=1,SUMPRODUCT(--($AR$2:$AR$4001&lt;$AR1771))+1,"")</f>
        <v/>
      </c>
      <c r="AP1771">
        <f>IF($E1771="","",IF(OR($U1771=TRUE(),$U1771="TRUE"),1,0))</f>
        <v/>
      </c>
      <c r="AQ1771">
        <f>IF($E1771="","",IF($AA1771="Yes",1,0))</f>
        <v/>
      </c>
      <c r="AR1771">
        <f>IF($AN1771=1,IFERROR(VALUE(MID($E1771,2,20)),1000000000)+ROW()/100000,"")</f>
        <v/>
      </c>
    </row>
    <row r="1772">
      <c r="G1772" s="11" t="n"/>
      <c r="Q1772" s="7">
        <f>IF($E1772="","",P1772*Y1772/100)</f>
        <v/>
      </c>
      <c r="R1772" s="7" t="n"/>
      <c r="X1772" s="7" t="n"/>
      <c r="Y1772" s="7" t="n"/>
      <c r="AB1772">
        <f>IF($E1772="","",IF($AQ1772=1,0,IF($AP1772=1,Settings!$C$6,Settings!$C$7))*100)</f>
        <v/>
      </c>
      <c r="AC1772" s="7">
        <f>IF($E1772="","",Y1772*AB1772/100)</f>
        <v/>
      </c>
      <c r="AD1772" s="7">
        <f>IF($E1772="","",Y1772-AC1772)</f>
        <v/>
      </c>
      <c r="AE1772" s="7">
        <f>IF($E1772="","",AD1772-Q1772)</f>
        <v/>
      </c>
      <c r="AI1772" s="7" t="n"/>
      <c r="AL1772" s="11" t="n"/>
      <c r="AN1772">
        <f>IF($E1772="","",IF(COUNTIF($E$2:$E1772,$E1772)=1,1,0))</f>
        <v/>
      </c>
      <c r="AO1772">
        <f>IF($AN1772=1,SUMPRODUCT(--($AR$2:$AR$4001&lt;$AR1772))+1,"")</f>
        <v/>
      </c>
      <c r="AP1772">
        <f>IF($E1772="","",IF(OR($U1772=TRUE(),$U1772="TRUE"),1,0))</f>
        <v/>
      </c>
      <c r="AQ1772">
        <f>IF($E1772="","",IF($AA1772="Yes",1,0))</f>
        <v/>
      </c>
      <c r="AR1772">
        <f>IF($AN1772=1,IFERROR(VALUE(MID($E1772,2,20)),1000000000)+ROW()/100000,"")</f>
        <v/>
      </c>
    </row>
    <row r="1773">
      <c r="G1773" s="11" t="n"/>
      <c r="Q1773" s="7">
        <f>IF($E1773="","",P1773*Y1773/100)</f>
        <v/>
      </c>
      <c r="R1773" s="7" t="n"/>
      <c r="X1773" s="7" t="n"/>
      <c r="Y1773" s="7" t="n"/>
      <c r="AB1773">
        <f>IF($E1773="","",IF($AQ1773=1,0,IF($AP1773=1,Settings!$C$6,Settings!$C$7))*100)</f>
        <v/>
      </c>
      <c r="AC1773" s="7">
        <f>IF($E1773="","",Y1773*AB1773/100)</f>
        <v/>
      </c>
      <c r="AD1773" s="7">
        <f>IF($E1773="","",Y1773-AC1773)</f>
        <v/>
      </c>
      <c r="AE1773" s="7">
        <f>IF($E1773="","",AD1773-Q1773)</f>
        <v/>
      </c>
      <c r="AI1773" s="7" t="n"/>
      <c r="AL1773" s="11" t="n"/>
      <c r="AN1773">
        <f>IF($E1773="","",IF(COUNTIF($E$2:$E1773,$E1773)=1,1,0))</f>
        <v/>
      </c>
      <c r="AO1773">
        <f>IF($AN1773=1,SUMPRODUCT(--($AR$2:$AR$4001&lt;$AR1773))+1,"")</f>
        <v/>
      </c>
      <c r="AP1773">
        <f>IF($E1773="","",IF(OR($U1773=TRUE(),$U1773="TRUE"),1,0))</f>
        <v/>
      </c>
      <c r="AQ1773">
        <f>IF($E1773="","",IF($AA1773="Yes",1,0))</f>
        <v/>
      </c>
      <c r="AR1773">
        <f>IF($AN1773=1,IFERROR(VALUE(MID($E1773,2,20)),1000000000)+ROW()/100000,"")</f>
        <v/>
      </c>
    </row>
    <row r="1774">
      <c r="G1774" s="11" t="n"/>
      <c r="Q1774" s="7">
        <f>IF($E1774="","",P1774*Y1774/100)</f>
        <v/>
      </c>
      <c r="R1774" s="7" t="n"/>
      <c r="X1774" s="7" t="n"/>
      <c r="Y1774" s="7" t="n"/>
      <c r="AB1774">
        <f>IF($E1774="","",IF($AQ1774=1,0,IF($AP1774=1,Settings!$C$6,Settings!$C$7))*100)</f>
        <v/>
      </c>
      <c r="AC1774" s="7">
        <f>IF($E1774="","",Y1774*AB1774/100)</f>
        <v/>
      </c>
      <c r="AD1774" s="7">
        <f>IF($E1774="","",Y1774-AC1774)</f>
        <v/>
      </c>
      <c r="AE1774" s="7">
        <f>IF($E1774="","",AD1774-Q1774)</f>
        <v/>
      </c>
      <c r="AI1774" s="7" t="n"/>
      <c r="AL1774" s="11" t="n"/>
      <c r="AN1774">
        <f>IF($E1774="","",IF(COUNTIF($E$2:$E1774,$E1774)=1,1,0))</f>
        <v/>
      </c>
      <c r="AO1774">
        <f>IF($AN1774=1,SUMPRODUCT(--($AR$2:$AR$4001&lt;$AR1774))+1,"")</f>
        <v/>
      </c>
      <c r="AP1774">
        <f>IF($E1774="","",IF(OR($U1774=TRUE(),$U1774="TRUE"),1,0))</f>
        <v/>
      </c>
      <c r="AQ1774">
        <f>IF($E1774="","",IF($AA1774="Yes",1,0))</f>
        <v/>
      </c>
      <c r="AR1774">
        <f>IF($AN1774=1,IFERROR(VALUE(MID($E1774,2,20)),1000000000)+ROW()/100000,"")</f>
        <v/>
      </c>
    </row>
    <row r="1775">
      <c r="G1775" s="11" t="n"/>
      <c r="Q1775" s="7">
        <f>IF($E1775="","",P1775*Y1775/100)</f>
        <v/>
      </c>
      <c r="R1775" s="7" t="n"/>
      <c r="X1775" s="7" t="n"/>
      <c r="Y1775" s="7" t="n"/>
      <c r="AB1775">
        <f>IF($E1775="","",IF($AQ1775=1,0,IF($AP1775=1,Settings!$C$6,Settings!$C$7))*100)</f>
        <v/>
      </c>
      <c r="AC1775" s="7">
        <f>IF($E1775="","",Y1775*AB1775/100)</f>
        <v/>
      </c>
      <c r="AD1775" s="7">
        <f>IF($E1775="","",Y1775-AC1775)</f>
        <v/>
      </c>
      <c r="AE1775" s="7">
        <f>IF($E1775="","",AD1775-Q1775)</f>
        <v/>
      </c>
      <c r="AI1775" s="7" t="n"/>
      <c r="AL1775" s="11" t="n"/>
      <c r="AN1775">
        <f>IF($E1775="","",IF(COUNTIF($E$2:$E1775,$E1775)=1,1,0))</f>
        <v/>
      </c>
      <c r="AO1775">
        <f>IF($AN1775=1,SUMPRODUCT(--($AR$2:$AR$4001&lt;$AR1775))+1,"")</f>
        <v/>
      </c>
      <c r="AP1775">
        <f>IF($E1775="","",IF(OR($U1775=TRUE(),$U1775="TRUE"),1,0))</f>
        <v/>
      </c>
      <c r="AQ1775">
        <f>IF($E1775="","",IF($AA1775="Yes",1,0))</f>
        <v/>
      </c>
      <c r="AR1775">
        <f>IF($AN1775=1,IFERROR(VALUE(MID($E1775,2,20)),1000000000)+ROW()/100000,"")</f>
        <v/>
      </c>
    </row>
    <row r="1776">
      <c r="G1776" s="11" t="n"/>
      <c r="Q1776" s="7">
        <f>IF($E1776="","",P1776*Y1776/100)</f>
        <v/>
      </c>
      <c r="R1776" s="7" t="n"/>
      <c r="X1776" s="7" t="n"/>
      <c r="Y1776" s="7" t="n"/>
      <c r="AB1776">
        <f>IF($E1776="","",IF($AQ1776=1,0,IF($AP1776=1,Settings!$C$6,Settings!$C$7))*100)</f>
        <v/>
      </c>
      <c r="AC1776" s="7">
        <f>IF($E1776="","",Y1776*AB1776/100)</f>
        <v/>
      </c>
      <c r="AD1776" s="7">
        <f>IF($E1776="","",Y1776-AC1776)</f>
        <v/>
      </c>
      <c r="AE1776" s="7">
        <f>IF($E1776="","",AD1776-Q1776)</f>
        <v/>
      </c>
      <c r="AI1776" s="7" t="n"/>
      <c r="AL1776" s="11" t="n"/>
      <c r="AN1776">
        <f>IF($E1776="","",IF(COUNTIF($E$2:$E1776,$E1776)=1,1,0))</f>
        <v/>
      </c>
      <c r="AO1776">
        <f>IF($AN1776=1,SUMPRODUCT(--($AR$2:$AR$4001&lt;$AR1776))+1,"")</f>
        <v/>
      </c>
      <c r="AP1776">
        <f>IF($E1776="","",IF(OR($U1776=TRUE(),$U1776="TRUE"),1,0))</f>
        <v/>
      </c>
      <c r="AQ1776">
        <f>IF($E1776="","",IF($AA1776="Yes",1,0))</f>
        <v/>
      </c>
      <c r="AR1776">
        <f>IF($AN1776=1,IFERROR(VALUE(MID($E1776,2,20)),1000000000)+ROW()/100000,"")</f>
        <v/>
      </c>
    </row>
    <row r="1777">
      <c r="G1777" s="11" t="n"/>
      <c r="Q1777" s="7">
        <f>IF($E1777="","",P1777*Y1777/100)</f>
        <v/>
      </c>
      <c r="R1777" s="7" t="n"/>
      <c r="X1777" s="7" t="n"/>
      <c r="Y1777" s="7" t="n"/>
      <c r="AB1777">
        <f>IF($E1777="","",IF($AQ1777=1,0,IF($AP1777=1,Settings!$C$6,Settings!$C$7))*100)</f>
        <v/>
      </c>
      <c r="AC1777" s="7">
        <f>IF($E1777="","",Y1777*AB1777/100)</f>
        <v/>
      </c>
      <c r="AD1777" s="7">
        <f>IF($E1777="","",Y1777-AC1777)</f>
        <v/>
      </c>
      <c r="AE1777" s="7">
        <f>IF($E1777="","",AD1777-Q1777)</f>
        <v/>
      </c>
      <c r="AI1777" s="7" t="n"/>
      <c r="AL1777" s="11" t="n"/>
      <c r="AN1777">
        <f>IF($E1777="","",IF(COUNTIF($E$2:$E1777,$E1777)=1,1,0))</f>
        <v/>
      </c>
      <c r="AO1777">
        <f>IF($AN1777=1,SUMPRODUCT(--($AR$2:$AR$4001&lt;$AR1777))+1,"")</f>
        <v/>
      </c>
      <c r="AP1777">
        <f>IF($E1777="","",IF(OR($U1777=TRUE(),$U1777="TRUE"),1,0))</f>
        <v/>
      </c>
      <c r="AQ1777">
        <f>IF($E1777="","",IF($AA1777="Yes",1,0))</f>
        <v/>
      </c>
      <c r="AR1777">
        <f>IF($AN1777=1,IFERROR(VALUE(MID($E1777,2,20)),1000000000)+ROW()/100000,"")</f>
        <v/>
      </c>
    </row>
    <row r="1778">
      <c r="G1778" s="11" t="n"/>
      <c r="Q1778" s="7">
        <f>IF($E1778="","",P1778*Y1778/100)</f>
        <v/>
      </c>
      <c r="R1778" s="7" t="n"/>
      <c r="X1778" s="7" t="n"/>
      <c r="Y1778" s="7" t="n"/>
      <c r="AB1778">
        <f>IF($E1778="","",IF($AQ1778=1,0,IF($AP1778=1,Settings!$C$6,Settings!$C$7))*100)</f>
        <v/>
      </c>
      <c r="AC1778" s="7">
        <f>IF($E1778="","",Y1778*AB1778/100)</f>
        <v/>
      </c>
      <c r="AD1778" s="7">
        <f>IF($E1778="","",Y1778-AC1778)</f>
        <v/>
      </c>
      <c r="AE1778" s="7">
        <f>IF($E1778="","",AD1778-Q1778)</f>
        <v/>
      </c>
      <c r="AI1778" s="7" t="n"/>
      <c r="AL1778" s="11" t="n"/>
      <c r="AN1778">
        <f>IF($E1778="","",IF(COUNTIF($E$2:$E1778,$E1778)=1,1,0))</f>
        <v/>
      </c>
      <c r="AO1778">
        <f>IF($AN1778=1,SUMPRODUCT(--($AR$2:$AR$4001&lt;$AR1778))+1,"")</f>
        <v/>
      </c>
      <c r="AP1778">
        <f>IF($E1778="","",IF(OR($U1778=TRUE(),$U1778="TRUE"),1,0))</f>
        <v/>
      </c>
      <c r="AQ1778">
        <f>IF($E1778="","",IF($AA1778="Yes",1,0))</f>
        <v/>
      </c>
      <c r="AR1778">
        <f>IF($AN1778=1,IFERROR(VALUE(MID($E1778,2,20)),1000000000)+ROW()/100000,"")</f>
        <v/>
      </c>
    </row>
    <row r="1779">
      <c r="G1779" s="11" t="n"/>
      <c r="Q1779" s="7">
        <f>IF($E1779="","",P1779*Y1779/100)</f>
        <v/>
      </c>
      <c r="R1779" s="7" t="n"/>
      <c r="X1779" s="7" t="n"/>
      <c r="Y1779" s="7" t="n"/>
      <c r="AB1779">
        <f>IF($E1779="","",IF($AQ1779=1,0,IF($AP1779=1,Settings!$C$6,Settings!$C$7))*100)</f>
        <v/>
      </c>
      <c r="AC1779" s="7">
        <f>IF($E1779="","",Y1779*AB1779/100)</f>
        <v/>
      </c>
      <c r="AD1779" s="7">
        <f>IF($E1779="","",Y1779-AC1779)</f>
        <v/>
      </c>
      <c r="AE1779" s="7">
        <f>IF($E1779="","",AD1779-Q1779)</f>
        <v/>
      </c>
      <c r="AI1779" s="7" t="n"/>
      <c r="AL1779" s="11" t="n"/>
      <c r="AN1779">
        <f>IF($E1779="","",IF(COUNTIF($E$2:$E1779,$E1779)=1,1,0))</f>
        <v/>
      </c>
      <c r="AO1779">
        <f>IF($AN1779=1,SUMPRODUCT(--($AR$2:$AR$4001&lt;$AR1779))+1,"")</f>
        <v/>
      </c>
      <c r="AP1779">
        <f>IF($E1779="","",IF(OR($U1779=TRUE(),$U1779="TRUE"),1,0))</f>
        <v/>
      </c>
      <c r="AQ1779">
        <f>IF($E1779="","",IF($AA1779="Yes",1,0))</f>
        <v/>
      </c>
      <c r="AR1779">
        <f>IF($AN1779=1,IFERROR(VALUE(MID($E1779,2,20)),1000000000)+ROW()/100000,"")</f>
        <v/>
      </c>
    </row>
    <row r="1780">
      <c r="G1780" s="11" t="n"/>
      <c r="Q1780" s="7">
        <f>IF($E1780="","",P1780*Y1780/100)</f>
        <v/>
      </c>
      <c r="R1780" s="7" t="n"/>
      <c r="X1780" s="7" t="n"/>
      <c r="Y1780" s="7" t="n"/>
      <c r="AB1780">
        <f>IF($E1780="","",IF($AQ1780=1,0,IF($AP1780=1,Settings!$C$6,Settings!$C$7))*100)</f>
        <v/>
      </c>
      <c r="AC1780" s="7">
        <f>IF($E1780="","",Y1780*AB1780/100)</f>
        <v/>
      </c>
      <c r="AD1780" s="7">
        <f>IF($E1780="","",Y1780-AC1780)</f>
        <v/>
      </c>
      <c r="AE1780" s="7">
        <f>IF($E1780="","",AD1780-Q1780)</f>
        <v/>
      </c>
      <c r="AI1780" s="7" t="n"/>
      <c r="AL1780" s="11" t="n"/>
      <c r="AN1780">
        <f>IF($E1780="","",IF(COUNTIF($E$2:$E1780,$E1780)=1,1,0))</f>
        <v/>
      </c>
      <c r="AO1780">
        <f>IF($AN1780=1,SUMPRODUCT(--($AR$2:$AR$4001&lt;$AR1780))+1,"")</f>
        <v/>
      </c>
      <c r="AP1780">
        <f>IF($E1780="","",IF(OR($U1780=TRUE(),$U1780="TRUE"),1,0))</f>
        <v/>
      </c>
      <c r="AQ1780">
        <f>IF($E1780="","",IF($AA1780="Yes",1,0))</f>
        <v/>
      </c>
      <c r="AR1780">
        <f>IF($AN1780=1,IFERROR(VALUE(MID($E1780,2,20)),1000000000)+ROW()/100000,"")</f>
        <v/>
      </c>
    </row>
    <row r="1781">
      <c r="G1781" s="11" t="n"/>
      <c r="Q1781" s="7">
        <f>IF($E1781="","",P1781*Y1781/100)</f>
        <v/>
      </c>
      <c r="R1781" s="7" t="n"/>
      <c r="X1781" s="7" t="n"/>
      <c r="Y1781" s="7" t="n"/>
      <c r="AB1781">
        <f>IF($E1781="","",IF($AQ1781=1,0,IF($AP1781=1,Settings!$C$6,Settings!$C$7))*100)</f>
        <v/>
      </c>
      <c r="AC1781" s="7">
        <f>IF($E1781="","",Y1781*AB1781/100)</f>
        <v/>
      </c>
      <c r="AD1781" s="7">
        <f>IF($E1781="","",Y1781-AC1781)</f>
        <v/>
      </c>
      <c r="AE1781" s="7">
        <f>IF($E1781="","",AD1781-Q1781)</f>
        <v/>
      </c>
      <c r="AI1781" s="7" t="n"/>
      <c r="AL1781" s="11" t="n"/>
      <c r="AN1781">
        <f>IF($E1781="","",IF(COUNTIF($E$2:$E1781,$E1781)=1,1,0))</f>
        <v/>
      </c>
      <c r="AO1781">
        <f>IF($AN1781=1,SUMPRODUCT(--($AR$2:$AR$4001&lt;$AR1781))+1,"")</f>
        <v/>
      </c>
      <c r="AP1781">
        <f>IF($E1781="","",IF(OR($U1781=TRUE(),$U1781="TRUE"),1,0))</f>
        <v/>
      </c>
      <c r="AQ1781">
        <f>IF($E1781="","",IF($AA1781="Yes",1,0))</f>
        <v/>
      </c>
      <c r="AR1781">
        <f>IF($AN1781=1,IFERROR(VALUE(MID($E1781,2,20)),1000000000)+ROW()/100000,"")</f>
        <v/>
      </c>
    </row>
    <row r="1782">
      <c r="G1782" s="11" t="n"/>
      <c r="Q1782" s="7">
        <f>IF($E1782="","",P1782*Y1782/100)</f>
        <v/>
      </c>
      <c r="R1782" s="7" t="n"/>
      <c r="X1782" s="7" t="n"/>
      <c r="Y1782" s="7" t="n"/>
      <c r="AB1782">
        <f>IF($E1782="","",IF($AQ1782=1,0,IF($AP1782=1,Settings!$C$6,Settings!$C$7))*100)</f>
        <v/>
      </c>
      <c r="AC1782" s="7">
        <f>IF($E1782="","",Y1782*AB1782/100)</f>
        <v/>
      </c>
      <c r="AD1782" s="7">
        <f>IF($E1782="","",Y1782-AC1782)</f>
        <v/>
      </c>
      <c r="AE1782" s="7">
        <f>IF($E1782="","",AD1782-Q1782)</f>
        <v/>
      </c>
      <c r="AI1782" s="7" t="n"/>
      <c r="AL1782" s="11" t="n"/>
      <c r="AN1782">
        <f>IF($E1782="","",IF(COUNTIF($E$2:$E1782,$E1782)=1,1,0))</f>
        <v/>
      </c>
      <c r="AO1782">
        <f>IF($AN1782=1,SUMPRODUCT(--($AR$2:$AR$4001&lt;$AR1782))+1,"")</f>
        <v/>
      </c>
      <c r="AP1782">
        <f>IF($E1782="","",IF(OR($U1782=TRUE(),$U1782="TRUE"),1,0))</f>
        <v/>
      </c>
      <c r="AQ1782">
        <f>IF($E1782="","",IF($AA1782="Yes",1,0))</f>
        <v/>
      </c>
      <c r="AR1782">
        <f>IF($AN1782=1,IFERROR(VALUE(MID($E1782,2,20)),1000000000)+ROW()/100000,"")</f>
        <v/>
      </c>
    </row>
    <row r="1783">
      <c r="G1783" s="11" t="n"/>
      <c r="Q1783" s="7">
        <f>IF($E1783="","",P1783*Y1783/100)</f>
        <v/>
      </c>
      <c r="R1783" s="7" t="n"/>
      <c r="X1783" s="7" t="n"/>
      <c r="Y1783" s="7" t="n"/>
      <c r="AB1783">
        <f>IF($E1783="","",IF($AQ1783=1,0,IF($AP1783=1,Settings!$C$6,Settings!$C$7))*100)</f>
        <v/>
      </c>
      <c r="AC1783" s="7">
        <f>IF($E1783="","",Y1783*AB1783/100)</f>
        <v/>
      </c>
      <c r="AD1783" s="7">
        <f>IF($E1783="","",Y1783-AC1783)</f>
        <v/>
      </c>
      <c r="AE1783" s="7">
        <f>IF($E1783="","",AD1783-Q1783)</f>
        <v/>
      </c>
      <c r="AI1783" s="7" t="n"/>
      <c r="AL1783" s="11" t="n"/>
      <c r="AN1783">
        <f>IF($E1783="","",IF(COUNTIF($E$2:$E1783,$E1783)=1,1,0))</f>
        <v/>
      </c>
      <c r="AO1783">
        <f>IF($AN1783=1,SUMPRODUCT(--($AR$2:$AR$4001&lt;$AR1783))+1,"")</f>
        <v/>
      </c>
      <c r="AP1783">
        <f>IF($E1783="","",IF(OR($U1783=TRUE(),$U1783="TRUE"),1,0))</f>
        <v/>
      </c>
      <c r="AQ1783">
        <f>IF($E1783="","",IF($AA1783="Yes",1,0))</f>
        <v/>
      </c>
      <c r="AR1783">
        <f>IF($AN1783=1,IFERROR(VALUE(MID($E1783,2,20)),1000000000)+ROW()/100000,"")</f>
        <v/>
      </c>
    </row>
    <row r="1784">
      <c r="G1784" s="11" t="n"/>
      <c r="Q1784" s="7">
        <f>IF($E1784="","",P1784*Y1784/100)</f>
        <v/>
      </c>
      <c r="R1784" s="7" t="n"/>
      <c r="X1784" s="7" t="n"/>
      <c r="Y1784" s="7" t="n"/>
      <c r="AB1784">
        <f>IF($E1784="","",IF($AQ1784=1,0,IF($AP1784=1,Settings!$C$6,Settings!$C$7))*100)</f>
        <v/>
      </c>
      <c r="AC1784" s="7">
        <f>IF($E1784="","",Y1784*AB1784/100)</f>
        <v/>
      </c>
      <c r="AD1784" s="7">
        <f>IF($E1784="","",Y1784-AC1784)</f>
        <v/>
      </c>
      <c r="AE1784" s="7">
        <f>IF($E1784="","",AD1784-Q1784)</f>
        <v/>
      </c>
      <c r="AI1784" s="7" t="n"/>
      <c r="AL1784" s="11" t="n"/>
      <c r="AN1784">
        <f>IF($E1784="","",IF(COUNTIF($E$2:$E1784,$E1784)=1,1,0))</f>
        <v/>
      </c>
      <c r="AO1784">
        <f>IF($AN1784=1,SUMPRODUCT(--($AR$2:$AR$4001&lt;$AR1784))+1,"")</f>
        <v/>
      </c>
      <c r="AP1784">
        <f>IF($E1784="","",IF(OR($U1784=TRUE(),$U1784="TRUE"),1,0))</f>
        <v/>
      </c>
      <c r="AQ1784">
        <f>IF($E1784="","",IF($AA1784="Yes",1,0))</f>
        <v/>
      </c>
      <c r="AR1784">
        <f>IF($AN1784=1,IFERROR(VALUE(MID($E1784,2,20)),1000000000)+ROW()/100000,"")</f>
        <v/>
      </c>
    </row>
    <row r="1785">
      <c r="G1785" s="11" t="n"/>
      <c r="Q1785" s="7">
        <f>IF($E1785="","",P1785*Y1785/100)</f>
        <v/>
      </c>
      <c r="R1785" s="7" t="n"/>
      <c r="X1785" s="7" t="n"/>
      <c r="Y1785" s="7" t="n"/>
      <c r="AB1785">
        <f>IF($E1785="","",IF($AQ1785=1,0,IF($AP1785=1,Settings!$C$6,Settings!$C$7))*100)</f>
        <v/>
      </c>
      <c r="AC1785" s="7">
        <f>IF($E1785="","",Y1785*AB1785/100)</f>
        <v/>
      </c>
      <c r="AD1785" s="7">
        <f>IF($E1785="","",Y1785-AC1785)</f>
        <v/>
      </c>
      <c r="AE1785" s="7">
        <f>IF($E1785="","",AD1785-Q1785)</f>
        <v/>
      </c>
      <c r="AI1785" s="7" t="n"/>
      <c r="AL1785" s="11" t="n"/>
      <c r="AN1785">
        <f>IF($E1785="","",IF(COUNTIF($E$2:$E1785,$E1785)=1,1,0))</f>
        <v/>
      </c>
      <c r="AO1785">
        <f>IF($AN1785=1,SUMPRODUCT(--($AR$2:$AR$4001&lt;$AR1785))+1,"")</f>
        <v/>
      </c>
      <c r="AP1785">
        <f>IF($E1785="","",IF(OR($U1785=TRUE(),$U1785="TRUE"),1,0))</f>
        <v/>
      </c>
      <c r="AQ1785">
        <f>IF($E1785="","",IF($AA1785="Yes",1,0))</f>
        <v/>
      </c>
      <c r="AR1785">
        <f>IF($AN1785=1,IFERROR(VALUE(MID($E1785,2,20)),1000000000)+ROW()/100000,"")</f>
        <v/>
      </c>
    </row>
    <row r="1786">
      <c r="G1786" s="11" t="n"/>
      <c r="Q1786" s="7">
        <f>IF($E1786="","",P1786*Y1786/100)</f>
        <v/>
      </c>
      <c r="R1786" s="7" t="n"/>
      <c r="X1786" s="7" t="n"/>
      <c r="Y1786" s="7" t="n"/>
      <c r="AB1786">
        <f>IF($E1786="","",IF($AQ1786=1,0,IF($AP1786=1,Settings!$C$6,Settings!$C$7))*100)</f>
        <v/>
      </c>
      <c r="AC1786" s="7">
        <f>IF($E1786="","",Y1786*AB1786/100)</f>
        <v/>
      </c>
      <c r="AD1786" s="7">
        <f>IF($E1786="","",Y1786-AC1786)</f>
        <v/>
      </c>
      <c r="AE1786" s="7">
        <f>IF($E1786="","",AD1786-Q1786)</f>
        <v/>
      </c>
      <c r="AI1786" s="7" t="n"/>
      <c r="AL1786" s="11" t="n"/>
      <c r="AN1786">
        <f>IF($E1786="","",IF(COUNTIF($E$2:$E1786,$E1786)=1,1,0))</f>
        <v/>
      </c>
      <c r="AO1786">
        <f>IF($AN1786=1,SUMPRODUCT(--($AR$2:$AR$4001&lt;$AR1786))+1,"")</f>
        <v/>
      </c>
      <c r="AP1786">
        <f>IF($E1786="","",IF(OR($U1786=TRUE(),$U1786="TRUE"),1,0))</f>
        <v/>
      </c>
      <c r="AQ1786">
        <f>IF($E1786="","",IF($AA1786="Yes",1,0))</f>
        <v/>
      </c>
      <c r="AR1786">
        <f>IF($AN1786=1,IFERROR(VALUE(MID($E1786,2,20)),1000000000)+ROW()/100000,"")</f>
        <v/>
      </c>
    </row>
    <row r="1787">
      <c r="G1787" s="11" t="n"/>
      <c r="Q1787" s="7">
        <f>IF($E1787="","",P1787*Y1787/100)</f>
        <v/>
      </c>
      <c r="R1787" s="7" t="n"/>
      <c r="X1787" s="7" t="n"/>
      <c r="Y1787" s="7" t="n"/>
      <c r="AB1787">
        <f>IF($E1787="","",IF($AQ1787=1,0,IF($AP1787=1,Settings!$C$6,Settings!$C$7))*100)</f>
        <v/>
      </c>
      <c r="AC1787" s="7">
        <f>IF($E1787="","",Y1787*AB1787/100)</f>
        <v/>
      </c>
      <c r="AD1787" s="7">
        <f>IF($E1787="","",Y1787-AC1787)</f>
        <v/>
      </c>
      <c r="AE1787" s="7">
        <f>IF($E1787="","",AD1787-Q1787)</f>
        <v/>
      </c>
      <c r="AI1787" s="7" t="n"/>
      <c r="AL1787" s="11" t="n"/>
      <c r="AN1787">
        <f>IF($E1787="","",IF(COUNTIF($E$2:$E1787,$E1787)=1,1,0))</f>
        <v/>
      </c>
      <c r="AO1787">
        <f>IF($AN1787=1,SUMPRODUCT(--($AR$2:$AR$4001&lt;$AR1787))+1,"")</f>
        <v/>
      </c>
      <c r="AP1787">
        <f>IF($E1787="","",IF(OR($U1787=TRUE(),$U1787="TRUE"),1,0))</f>
        <v/>
      </c>
      <c r="AQ1787">
        <f>IF($E1787="","",IF($AA1787="Yes",1,0))</f>
        <v/>
      </c>
      <c r="AR1787">
        <f>IF($AN1787=1,IFERROR(VALUE(MID($E1787,2,20)),1000000000)+ROW()/100000,"")</f>
        <v/>
      </c>
    </row>
    <row r="1788">
      <c r="G1788" s="11" t="n"/>
      <c r="Q1788" s="7">
        <f>IF($E1788="","",P1788*Y1788/100)</f>
        <v/>
      </c>
      <c r="R1788" s="7" t="n"/>
      <c r="X1788" s="7" t="n"/>
      <c r="Y1788" s="7" t="n"/>
      <c r="AB1788">
        <f>IF($E1788="","",IF($AQ1788=1,0,IF($AP1788=1,Settings!$C$6,Settings!$C$7))*100)</f>
        <v/>
      </c>
      <c r="AC1788" s="7">
        <f>IF($E1788="","",Y1788*AB1788/100)</f>
        <v/>
      </c>
      <c r="AD1788" s="7">
        <f>IF($E1788="","",Y1788-AC1788)</f>
        <v/>
      </c>
      <c r="AE1788" s="7">
        <f>IF($E1788="","",AD1788-Q1788)</f>
        <v/>
      </c>
      <c r="AI1788" s="7" t="n"/>
      <c r="AL1788" s="11" t="n"/>
      <c r="AN1788">
        <f>IF($E1788="","",IF(COUNTIF($E$2:$E1788,$E1788)=1,1,0))</f>
        <v/>
      </c>
      <c r="AO1788">
        <f>IF($AN1788=1,SUMPRODUCT(--($AR$2:$AR$4001&lt;$AR1788))+1,"")</f>
        <v/>
      </c>
      <c r="AP1788">
        <f>IF($E1788="","",IF(OR($U1788=TRUE(),$U1788="TRUE"),1,0))</f>
        <v/>
      </c>
      <c r="AQ1788">
        <f>IF($E1788="","",IF($AA1788="Yes",1,0))</f>
        <v/>
      </c>
      <c r="AR1788">
        <f>IF($AN1788=1,IFERROR(VALUE(MID($E1788,2,20)),1000000000)+ROW()/100000,"")</f>
        <v/>
      </c>
    </row>
    <row r="1789">
      <c r="G1789" s="11" t="n"/>
      <c r="Q1789" s="7">
        <f>IF($E1789="","",P1789*Y1789/100)</f>
        <v/>
      </c>
      <c r="R1789" s="7" t="n"/>
      <c r="X1789" s="7" t="n"/>
      <c r="Y1789" s="7" t="n"/>
      <c r="AB1789">
        <f>IF($E1789="","",IF($AQ1789=1,0,IF($AP1789=1,Settings!$C$6,Settings!$C$7))*100)</f>
        <v/>
      </c>
      <c r="AC1789" s="7">
        <f>IF($E1789="","",Y1789*AB1789/100)</f>
        <v/>
      </c>
      <c r="AD1789" s="7">
        <f>IF($E1789="","",Y1789-AC1789)</f>
        <v/>
      </c>
      <c r="AE1789" s="7">
        <f>IF($E1789="","",AD1789-Q1789)</f>
        <v/>
      </c>
      <c r="AI1789" s="7" t="n"/>
      <c r="AL1789" s="11" t="n"/>
      <c r="AN1789">
        <f>IF($E1789="","",IF(COUNTIF($E$2:$E1789,$E1789)=1,1,0))</f>
        <v/>
      </c>
      <c r="AO1789">
        <f>IF($AN1789=1,SUMPRODUCT(--($AR$2:$AR$4001&lt;$AR1789))+1,"")</f>
        <v/>
      </c>
      <c r="AP1789">
        <f>IF($E1789="","",IF(OR($U1789=TRUE(),$U1789="TRUE"),1,0))</f>
        <v/>
      </c>
      <c r="AQ1789">
        <f>IF($E1789="","",IF($AA1789="Yes",1,0))</f>
        <v/>
      </c>
      <c r="AR1789">
        <f>IF($AN1789=1,IFERROR(VALUE(MID($E1789,2,20)),1000000000)+ROW()/100000,"")</f>
        <v/>
      </c>
    </row>
    <row r="1790">
      <c r="G1790" s="11" t="n"/>
      <c r="Q1790" s="7">
        <f>IF($E1790="","",P1790*Y1790/100)</f>
        <v/>
      </c>
      <c r="R1790" s="7" t="n"/>
      <c r="X1790" s="7" t="n"/>
      <c r="Y1790" s="7" t="n"/>
      <c r="AB1790">
        <f>IF($E1790="","",IF($AQ1790=1,0,IF($AP1790=1,Settings!$C$6,Settings!$C$7))*100)</f>
        <v/>
      </c>
      <c r="AC1790" s="7">
        <f>IF($E1790="","",Y1790*AB1790/100)</f>
        <v/>
      </c>
      <c r="AD1790" s="7">
        <f>IF($E1790="","",Y1790-AC1790)</f>
        <v/>
      </c>
      <c r="AE1790" s="7">
        <f>IF($E1790="","",AD1790-Q1790)</f>
        <v/>
      </c>
      <c r="AI1790" s="7" t="n"/>
      <c r="AL1790" s="11" t="n"/>
      <c r="AN1790">
        <f>IF($E1790="","",IF(COUNTIF($E$2:$E1790,$E1790)=1,1,0))</f>
        <v/>
      </c>
      <c r="AO1790">
        <f>IF($AN1790=1,SUMPRODUCT(--($AR$2:$AR$4001&lt;$AR1790))+1,"")</f>
        <v/>
      </c>
      <c r="AP1790">
        <f>IF($E1790="","",IF(OR($U1790=TRUE(),$U1790="TRUE"),1,0))</f>
        <v/>
      </c>
      <c r="AQ1790">
        <f>IF($E1790="","",IF($AA1790="Yes",1,0))</f>
        <v/>
      </c>
      <c r="AR1790">
        <f>IF($AN1790=1,IFERROR(VALUE(MID($E1790,2,20)),1000000000)+ROW()/100000,"")</f>
        <v/>
      </c>
    </row>
    <row r="1791">
      <c r="G1791" s="11" t="n"/>
      <c r="Q1791" s="7">
        <f>IF($E1791="","",P1791*Y1791/100)</f>
        <v/>
      </c>
      <c r="R1791" s="7" t="n"/>
      <c r="X1791" s="7" t="n"/>
      <c r="Y1791" s="7" t="n"/>
      <c r="AB1791">
        <f>IF($E1791="","",IF($AQ1791=1,0,IF($AP1791=1,Settings!$C$6,Settings!$C$7))*100)</f>
        <v/>
      </c>
      <c r="AC1791" s="7">
        <f>IF($E1791="","",Y1791*AB1791/100)</f>
        <v/>
      </c>
      <c r="AD1791" s="7">
        <f>IF($E1791="","",Y1791-AC1791)</f>
        <v/>
      </c>
      <c r="AE1791" s="7">
        <f>IF($E1791="","",AD1791-Q1791)</f>
        <v/>
      </c>
      <c r="AI1791" s="7" t="n"/>
      <c r="AL1791" s="11" t="n"/>
      <c r="AN1791">
        <f>IF($E1791="","",IF(COUNTIF($E$2:$E1791,$E1791)=1,1,0))</f>
        <v/>
      </c>
      <c r="AO1791">
        <f>IF($AN1791=1,SUMPRODUCT(--($AR$2:$AR$4001&lt;$AR1791))+1,"")</f>
        <v/>
      </c>
      <c r="AP1791">
        <f>IF($E1791="","",IF(OR($U1791=TRUE(),$U1791="TRUE"),1,0))</f>
        <v/>
      </c>
      <c r="AQ1791">
        <f>IF($E1791="","",IF($AA1791="Yes",1,0))</f>
        <v/>
      </c>
      <c r="AR1791">
        <f>IF($AN1791=1,IFERROR(VALUE(MID($E1791,2,20)),1000000000)+ROW()/100000,"")</f>
        <v/>
      </c>
    </row>
    <row r="1792">
      <c r="G1792" s="11" t="n"/>
      <c r="Q1792" s="7">
        <f>IF($E1792="","",P1792*Y1792/100)</f>
        <v/>
      </c>
      <c r="R1792" s="7" t="n"/>
      <c r="X1792" s="7" t="n"/>
      <c r="Y1792" s="7" t="n"/>
      <c r="AB1792">
        <f>IF($E1792="","",IF($AQ1792=1,0,IF($AP1792=1,Settings!$C$6,Settings!$C$7))*100)</f>
        <v/>
      </c>
      <c r="AC1792" s="7">
        <f>IF($E1792="","",Y1792*AB1792/100)</f>
        <v/>
      </c>
      <c r="AD1792" s="7">
        <f>IF($E1792="","",Y1792-AC1792)</f>
        <v/>
      </c>
      <c r="AE1792" s="7">
        <f>IF($E1792="","",AD1792-Q1792)</f>
        <v/>
      </c>
      <c r="AI1792" s="7" t="n"/>
      <c r="AL1792" s="11" t="n"/>
      <c r="AN1792">
        <f>IF($E1792="","",IF(COUNTIF($E$2:$E1792,$E1792)=1,1,0))</f>
        <v/>
      </c>
      <c r="AO1792">
        <f>IF($AN1792=1,SUMPRODUCT(--($AR$2:$AR$4001&lt;$AR1792))+1,"")</f>
        <v/>
      </c>
      <c r="AP1792">
        <f>IF($E1792="","",IF(OR($U1792=TRUE(),$U1792="TRUE"),1,0))</f>
        <v/>
      </c>
      <c r="AQ1792">
        <f>IF($E1792="","",IF($AA1792="Yes",1,0))</f>
        <v/>
      </c>
      <c r="AR1792">
        <f>IF($AN1792=1,IFERROR(VALUE(MID($E1792,2,20)),1000000000)+ROW()/100000,"")</f>
        <v/>
      </c>
    </row>
    <row r="1793">
      <c r="G1793" s="11" t="n"/>
      <c r="Q1793" s="7">
        <f>IF($E1793="","",P1793*Y1793/100)</f>
        <v/>
      </c>
      <c r="R1793" s="7" t="n"/>
      <c r="X1793" s="7" t="n"/>
      <c r="Y1793" s="7" t="n"/>
      <c r="AB1793">
        <f>IF($E1793="","",IF($AQ1793=1,0,IF($AP1793=1,Settings!$C$6,Settings!$C$7))*100)</f>
        <v/>
      </c>
      <c r="AC1793" s="7">
        <f>IF($E1793="","",Y1793*AB1793/100)</f>
        <v/>
      </c>
      <c r="AD1793" s="7">
        <f>IF($E1793="","",Y1793-AC1793)</f>
        <v/>
      </c>
      <c r="AE1793" s="7">
        <f>IF($E1793="","",AD1793-Q1793)</f>
        <v/>
      </c>
      <c r="AI1793" s="7" t="n"/>
      <c r="AL1793" s="11" t="n"/>
      <c r="AN1793">
        <f>IF($E1793="","",IF(COUNTIF($E$2:$E1793,$E1793)=1,1,0))</f>
        <v/>
      </c>
      <c r="AO1793">
        <f>IF($AN1793=1,SUMPRODUCT(--($AR$2:$AR$4001&lt;$AR1793))+1,"")</f>
        <v/>
      </c>
      <c r="AP1793">
        <f>IF($E1793="","",IF(OR($U1793=TRUE(),$U1793="TRUE"),1,0))</f>
        <v/>
      </c>
      <c r="AQ1793">
        <f>IF($E1793="","",IF($AA1793="Yes",1,0))</f>
        <v/>
      </c>
      <c r="AR1793">
        <f>IF($AN1793=1,IFERROR(VALUE(MID($E1793,2,20)),1000000000)+ROW()/100000,"")</f>
        <v/>
      </c>
    </row>
    <row r="1794">
      <c r="G1794" s="11" t="n"/>
      <c r="Q1794" s="7">
        <f>IF($E1794="","",P1794*Y1794/100)</f>
        <v/>
      </c>
      <c r="R1794" s="7" t="n"/>
      <c r="X1794" s="7" t="n"/>
      <c r="Y1794" s="7" t="n"/>
      <c r="AB1794">
        <f>IF($E1794="","",IF($AQ1794=1,0,IF($AP1794=1,Settings!$C$6,Settings!$C$7))*100)</f>
        <v/>
      </c>
      <c r="AC1794" s="7">
        <f>IF($E1794="","",Y1794*AB1794/100)</f>
        <v/>
      </c>
      <c r="AD1794" s="7">
        <f>IF($E1794="","",Y1794-AC1794)</f>
        <v/>
      </c>
      <c r="AE1794" s="7">
        <f>IF($E1794="","",AD1794-Q1794)</f>
        <v/>
      </c>
      <c r="AI1794" s="7" t="n"/>
      <c r="AL1794" s="11" t="n"/>
      <c r="AN1794">
        <f>IF($E1794="","",IF(COUNTIF($E$2:$E1794,$E1794)=1,1,0))</f>
        <v/>
      </c>
      <c r="AO1794">
        <f>IF($AN1794=1,SUMPRODUCT(--($AR$2:$AR$4001&lt;$AR1794))+1,"")</f>
        <v/>
      </c>
      <c r="AP1794">
        <f>IF($E1794="","",IF(OR($U1794=TRUE(),$U1794="TRUE"),1,0))</f>
        <v/>
      </c>
      <c r="AQ1794">
        <f>IF($E1794="","",IF($AA1794="Yes",1,0))</f>
        <v/>
      </c>
      <c r="AR1794">
        <f>IF($AN1794=1,IFERROR(VALUE(MID($E1794,2,20)),1000000000)+ROW()/100000,"")</f>
        <v/>
      </c>
    </row>
    <row r="1795">
      <c r="G1795" s="11" t="n"/>
      <c r="Q1795" s="7">
        <f>IF($E1795="","",P1795*Y1795/100)</f>
        <v/>
      </c>
      <c r="R1795" s="7" t="n"/>
      <c r="X1795" s="7" t="n"/>
      <c r="Y1795" s="7" t="n"/>
      <c r="AB1795">
        <f>IF($E1795="","",IF($AQ1795=1,0,IF($AP1795=1,Settings!$C$6,Settings!$C$7))*100)</f>
        <v/>
      </c>
      <c r="AC1795" s="7">
        <f>IF($E1795="","",Y1795*AB1795/100)</f>
        <v/>
      </c>
      <c r="AD1795" s="7">
        <f>IF($E1795="","",Y1795-AC1795)</f>
        <v/>
      </c>
      <c r="AE1795" s="7">
        <f>IF($E1795="","",AD1795-Q1795)</f>
        <v/>
      </c>
      <c r="AI1795" s="7" t="n"/>
      <c r="AL1795" s="11" t="n"/>
      <c r="AN1795">
        <f>IF($E1795="","",IF(COUNTIF($E$2:$E1795,$E1795)=1,1,0))</f>
        <v/>
      </c>
      <c r="AO1795">
        <f>IF($AN1795=1,SUMPRODUCT(--($AR$2:$AR$4001&lt;$AR1795))+1,"")</f>
        <v/>
      </c>
      <c r="AP1795">
        <f>IF($E1795="","",IF(OR($U1795=TRUE(),$U1795="TRUE"),1,0))</f>
        <v/>
      </c>
      <c r="AQ1795">
        <f>IF($E1795="","",IF($AA1795="Yes",1,0))</f>
        <v/>
      </c>
      <c r="AR1795">
        <f>IF($AN1795=1,IFERROR(VALUE(MID($E1795,2,20)),1000000000)+ROW()/100000,"")</f>
        <v/>
      </c>
    </row>
    <row r="1796">
      <c r="G1796" s="11" t="n"/>
      <c r="Q1796" s="7">
        <f>IF($E1796="","",P1796*Y1796/100)</f>
        <v/>
      </c>
      <c r="R1796" s="7" t="n"/>
      <c r="X1796" s="7" t="n"/>
      <c r="Y1796" s="7" t="n"/>
      <c r="AB1796">
        <f>IF($E1796="","",IF($AQ1796=1,0,IF($AP1796=1,Settings!$C$6,Settings!$C$7))*100)</f>
        <v/>
      </c>
      <c r="AC1796" s="7">
        <f>IF($E1796="","",Y1796*AB1796/100)</f>
        <v/>
      </c>
      <c r="AD1796" s="7">
        <f>IF($E1796="","",Y1796-AC1796)</f>
        <v/>
      </c>
      <c r="AE1796" s="7">
        <f>IF($E1796="","",AD1796-Q1796)</f>
        <v/>
      </c>
      <c r="AI1796" s="7" t="n"/>
      <c r="AL1796" s="11" t="n"/>
      <c r="AN1796">
        <f>IF($E1796="","",IF(COUNTIF($E$2:$E1796,$E1796)=1,1,0))</f>
        <v/>
      </c>
      <c r="AO1796">
        <f>IF($AN1796=1,SUMPRODUCT(--($AR$2:$AR$4001&lt;$AR1796))+1,"")</f>
        <v/>
      </c>
      <c r="AP1796">
        <f>IF($E1796="","",IF(OR($U1796=TRUE(),$U1796="TRUE"),1,0))</f>
        <v/>
      </c>
      <c r="AQ1796">
        <f>IF($E1796="","",IF($AA1796="Yes",1,0))</f>
        <v/>
      </c>
      <c r="AR1796">
        <f>IF($AN1796=1,IFERROR(VALUE(MID($E1796,2,20)),1000000000)+ROW()/100000,"")</f>
        <v/>
      </c>
    </row>
    <row r="1797">
      <c r="G1797" s="11" t="n"/>
      <c r="Q1797" s="7">
        <f>IF($E1797="","",P1797*Y1797/100)</f>
        <v/>
      </c>
      <c r="R1797" s="7" t="n"/>
      <c r="X1797" s="7" t="n"/>
      <c r="Y1797" s="7" t="n"/>
      <c r="AB1797">
        <f>IF($E1797="","",IF($AQ1797=1,0,IF($AP1797=1,Settings!$C$6,Settings!$C$7))*100)</f>
        <v/>
      </c>
      <c r="AC1797" s="7">
        <f>IF($E1797="","",Y1797*AB1797/100)</f>
        <v/>
      </c>
      <c r="AD1797" s="7">
        <f>IF($E1797="","",Y1797-AC1797)</f>
        <v/>
      </c>
      <c r="AE1797" s="7">
        <f>IF($E1797="","",AD1797-Q1797)</f>
        <v/>
      </c>
      <c r="AI1797" s="7" t="n"/>
      <c r="AL1797" s="11" t="n"/>
      <c r="AN1797">
        <f>IF($E1797="","",IF(COUNTIF($E$2:$E1797,$E1797)=1,1,0))</f>
        <v/>
      </c>
      <c r="AO1797">
        <f>IF($AN1797=1,SUMPRODUCT(--($AR$2:$AR$4001&lt;$AR1797))+1,"")</f>
        <v/>
      </c>
      <c r="AP1797">
        <f>IF($E1797="","",IF(OR($U1797=TRUE(),$U1797="TRUE"),1,0))</f>
        <v/>
      </c>
      <c r="AQ1797">
        <f>IF($E1797="","",IF($AA1797="Yes",1,0))</f>
        <v/>
      </c>
      <c r="AR1797">
        <f>IF($AN1797=1,IFERROR(VALUE(MID($E1797,2,20)),1000000000)+ROW()/100000,"")</f>
        <v/>
      </c>
    </row>
    <row r="1798">
      <c r="G1798" s="11" t="n"/>
      <c r="Q1798" s="7">
        <f>IF($E1798="","",P1798*Y1798/100)</f>
        <v/>
      </c>
      <c r="R1798" s="7" t="n"/>
      <c r="X1798" s="7" t="n"/>
      <c r="Y1798" s="7" t="n"/>
      <c r="AB1798">
        <f>IF($E1798="","",IF($AQ1798=1,0,IF($AP1798=1,Settings!$C$6,Settings!$C$7))*100)</f>
        <v/>
      </c>
      <c r="AC1798" s="7">
        <f>IF($E1798="","",Y1798*AB1798/100)</f>
        <v/>
      </c>
      <c r="AD1798" s="7">
        <f>IF($E1798="","",Y1798-AC1798)</f>
        <v/>
      </c>
      <c r="AE1798" s="7">
        <f>IF($E1798="","",AD1798-Q1798)</f>
        <v/>
      </c>
      <c r="AI1798" s="7" t="n"/>
      <c r="AL1798" s="11" t="n"/>
      <c r="AN1798">
        <f>IF($E1798="","",IF(COUNTIF($E$2:$E1798,$E1798)=1,1,0))</f>
        <v/>
      </c>
      <c r="AO1798">
        <f>IF($AN1798=1,SUMPRODUCT(--($AR$2:$AR$4001&lt;$AR1798))+1,"")</f>
        <v/>
      </c>
      <c r="AP1798">
        <f>IF($E1798="","",IF(OR($U1798=TRUE(),$U1798="TRUE"),1,0))</f>
        <v/>
      </c>
      <c r="AQ1798">
        <f>IF($E1798="","",IF($AA1798="Yes",1,0))</f>
        <v/>
      </c>
      <c r="AR1798">
        <f>IF($AN1798=1,IFERROR(VALUE(MID($E1798,2,20)),1000000000)+ROW()/100000,"")</f>
        <v/>
      </c>
    </row>
    <row r="1799">
      <c r="G1799" s="11" t="n"/>
      <c r="Q1799" s="7">
        <f>IF($E1799="","",P1799*Y1799/100)</f>
        <v/>
      </c>
      <c r="R1799" s="7" t="n"/>
      <c r="X1799" s="7" t="n"/>
      <c r="Y1799" s="7" t="n"/>
      <c r="AB1799">
        <f>IF($E1799="","",IF($AQ1799=1,0,IF($AP1799=1,Settings!$C$6,Settings!$C$7))*100)</f>
        <v/>
      </c>
      <c r="AC1799" s="7">
        <f>IF($E1799="","",Y1799*AB1799/100)</f>
        <v/>
      </c>
      <c r="AD1799" s="7">
        <f>IF($E1799="","",Y1799-AC1799)</f>
        <v/>
      </c>
      <c r="AE1799" s="7">
        <f>IF($E1799="","",AD1799-Q1799)</f>
        <v/>
      </c>
      <c r="AI1799" s="7" t="n"/>
      <c r="AL1799" s="11" t="n"/>
      <c r="AN1799">
        <f>IF($E1799="","",IF(COUNTIF($E$2:$E1799,$E1799)=1,1,0))</f>
        <v/>
      </c>
      <c r="AO1799">
        <f>IF($AN1799=1,SUMPRODUCT(--($AR$2:$AR$4001&lt;$AR1799))+1,"")</f>
        <v/>
      </c>
      <c r="AP1799">
        <f>IF($E1799="","",IF(OR($U1799=TRUE(),$U1799="TRUE"),1,0))</f>
        <v/>
      </c>
      <c r="AQ1799">
        <f>IF($E1799="","",IF($AA1799="Yes",1,0))</f>
        <v/>
      </c>
      <c r="AR1799">
        <f>IF($AN1799=1,IFERROR(VALUE(MID($E1799,2,20)),1000000000)+ROW()/100000,"")</f>
        <v/>
      </c>
    </row>
    <row r="1800">
      <c r="G1800" s="11" t="n"/>
      <c r="Q1800" s="7">
        <f>IF($E1800="","",P1800*Y1800/100)</f>
        <v/>
      </c>
      <c r="R1800" s="7" t="n"/>
      <c r="X1800" s="7" t="n"/>
      <c r="Y1800" s="7" t="n"/>
      <c r="AB1800">
        <f>IF($E1800="","",IF($AQ1800=1,0,IF($AP1800=1,Settings!$C$6,Settings!$C$7))*100)</f>
        <v/>
      </c>
      <c r="AC1800" s="7">
        <f>IF($E1800="","",Y1800*AB1800/100)</f>
        <v/>
      </c>
      <c r="AD1800" s="7">
        <f>IF($E1800="","",Y1800-AC1800)</f>
        <v/>
      </c>
      <c r="AE1800" s="7">
        <f>IF($E1800="","",AD1800-Q1800)</f>
        <v/>
      </c>
      <c r="AI1800" s="7" t="n"/>
      <c r="AL1800" s="11" t="n"/>
      <c r="AN1800">
        <f>IF($E1800="","",IF(COUNTIF($E$2:$E1800,$E1800)=1,1,0))</f>
        <v/>
      </c>
      <c r="AO1800">
        <f>IF($AN1800=1,SUMPRODUCT(--($AR$2:$AR$4001&lt;$AR1800))+1,"")</f>
        <v/>
      </c>
      <c r="AP1800">
        <f>IF($E1800="","",IF(OR($U1800=TRUE(),$U1800="TRUE"),1,0))</f>
        <v/>
      </c>
      <c r="AQ1800">
        <f>IF($E1800="","",IF($AA1800="Yes",1,0))</f>
        <v/>
      </c>
      <c r="AR1800">
        <f>IF($AN1800=1,IFERROR(VALUE(MID($E1800,2,20)),1000000000)+ROW()/100000,"")</f>
        <v/>
      </c>
    </row>
    <row r="1801">
      <c r="G1801" s="11" t="n"/>
      <c r="Q1801" s="7">
        <f>IF($E1801="","",P1801*Y1801/100)</f>
        <v/>
      </c>
      <c r="R1801" s="7" t="n"/>
      <c r="X1801" s="7" t="n"/>
      <c r="Y1801" s="7" t="n"/>
      <c r="AB1801">
        <f>IF($E1801="","",IF($AQ1801=1,0,IF($AP1801=1,Settings!$C$6,Settings!$C$7))*100)</f>
        <v/>
      </c>
      <c r="AC1801" s="7">
        <f>IF($E1801="","",Y1801*AB1801/100)</f>
        <v/>
      </c>
      <c r="AD1801" s="7">
        <f>IF($E1801="","",Y1801-AC1801)</f>
        <v/>
      </c>
      <c r="AE1801" s="7">
        <f>IF($E1801="","",AD1801-Q1801)</f>
        <v/>
      </c>
      <c r="AI1801" s="7" t="n"/>
      <c r="AL1801" s="11" t="n"/>
      <c r="AN1801">
        <f>IF($E1801="","",IF(COUNTIF($E$2:$E1801,$E1801)=1,1,0))</f>
        <v/>
      </c>
      <c r="AO1801">
        <f>IF($AN1801=1,SUMPRODUCT(--($AR$2:$AR$4001&lt;$AR1801))+1,"")</f>
        <v/>
      </c>
      <c r="AP1801">
        <f>IF($E1801="","",IF(OR($U1801=TRUE(),$U1801="TRUE"),1,0))</f>
        <v/>
      </c>
      <c r="AQ1801">
        <f>IF($E1801="","",IF($AA1801="Yes",1,0))</f>
        <v/>
      </c>
      <c r="AR1801">
        <f>IF($AN1801=1,IFERROR(VALUE(MID($E1801,2,20)),1000000000)+ROW()/100000,"")</f>
        <v/>
      </c>
    </row>
    <row r="1802">
      <c r="G1802" s="11" t="n"/>
      <c r="Q1802" s="7">
        <f>IF($E1802="","",P1802*Y1802/100)</f>
        <v/>
      </c>
      <c r="R1802" s="7" t="n"/>
      <c r="X1802" s="7" t="n"/>
      <c r="Y1802" s="7" t="n"/>
      <c r="AB1802">
        <f>IF($E1802="","",IF($AQ1802=1,0,IF($AP1802=1,Settings!$C$6,Settings!$C$7))*100)</f>
        <v/>
      </c>
      <c r="AC1802" s="7">
        <f>IF($E1802="","",Y1802*AB1802/100)</f>
        <v/>
      </c>
      <c r="AD1802" s="7">
        <f>IF($E1802="","",Y1802-AC1802)</f>
        <v/>
      </c>
      <c r="AE1802" s="7">
        <f>IF($E1802="","",AD1802-Q1802)</f>
        <v/>
      </c>
      <c r="AI1802" s="7" t="n"/>
      <c r="AL1802" s="11" t="n"/>
      <c r="AN1802">
        <f>IF($E1802="","",IF(COUNTIF($E$2:$E1802,$E1802)=1,1,0))</f>
        <v/>
      </c>
      <c r="AO1802">
        <f>IF($AN1802=1,SUMPRODUCT(--($AR$2:$AR$4001&lt;$AR1802))+1,"")</f>
        <v/>
      </c>
      <c r="AP1802">
        <f>IF($E1802="","",IF(OR($U1802=TRUE(),$U1802="TRUE"),1,0))</f>
        <v/>
      </c>
      <c r="AQ1802">
        <f>IF($E1802="","",IF($AA1802="Yes",1,0))</f>
        <v/>
      </c>
      <c r="AR1802">
        <f>IF($AN1802=1,IFERROR(VALUE(MID($E1802,2,20)),1000000000)+ROW()/100000,"")</f>
        <v/>
      </c>
    </row>
    <row r="1803">
      <c r="G1803" s="11" t="n"/>
      <c r="Q1803" s="7">
        <f>IF($E1803="","",P1803*Y1803/100)</f>
        <v/>
      </c>
      <c r="R1803" s="7" t="n"/>
      <c r="X1803" s="7" t="n"/>
      <c r="Y1803" s="7" t="n"/>
      <c r="AB1803">
        <f>IF($E1803="","",IF($AQ1803=1,0,IF($AP1803=1,Settings!$C$6,Settings!$C$7))*100)</f>
        <v/>
      </c>
      <c r="AC1803" s="7">
        <f>IF($E1803="","",Y1803*AB1803/100)</f>
        <v/>
      </c>
      <c r="AD1803" s="7">
        <f>IF($E1803="","",Y1803-AC1803)</f>
        <v/>
      </c>
      <c r="AE1803" s="7">
        <f>IF($E1803="","",AD1803-Q1803)</f>
        <v/>
      </c>
      <c r="AI1803" s="7" t="n"/>
      <c r="AL1803" s="11" t="n"/>
      <c r="AN1803">
        <f>IF($E1803="","",IF(COUNTIF($E$2:$E1803,$E1803)=1,1,0))</f>
        <v/>
      </c>
      <c r="AO1803">
        <f>IF($AN1803=1,SUMPRODUCT(--($AR$2:$AR$4001&lt;$AR1803))+1,"")</f>
        <v/>
      </c>
      <c r="AP1803">
        <f>IF($E1803="","",IF(OR($U1803=TRUE(),$U1803="TRUE"),1,0))</f>
        <v/>
      </c>
      <c r="AQ1803">
        <f>IF($E1803="","",IF($AA1803="Yes",1,0))</f>
        <v/>
      </c>
      <c r="AR1803">
        <f>IF($AN1803=1,IFERROR(VALUE(MID($E1803,2,20)),1000000000)+ROW()/100000,"")</f>
        <v/>
      </c>
    </row>
    <row r="1804">
      <c r="G1804" s="11" t="n"/>
      <c r="Q1804" s="7">
        <f>IF($E1804="","",P1804*Y1804/100)</f>
        <v/>
      </c>
      <c r="R1804" s="7" t="n"/>
      <c r="X1804" s="7" t="n"/>
      <c r="Y1804" s="7" t="n"/>
      <c r="AB1804">
        <f>IF($E1804="","",IF($AQ1804=1,0,IF($AP1804=1,Settings!$C$6,Settings!$C$7))*100)</f>
        <v/>
      </c>
      <c r="AC1804" s="7">
        <f>IF($E1804="","",Y1804*AB1804/100)</f>
        <v/>
      </c>
      <c r="AD1804" s="7">
        <f>IF($E1804="","",Y1804-AC1804)</f>
        <v/>
      </c>
      <c r="AE1804" s="7">
        <f>IF($E1804="","",AD1804-Q1804)</f>
        <v/>
      </c>
      <c r="AI1804" s="7" t="n"/>
      <c r="AL1804" s="11" t="n"/>
      <c r="AN1804">
        <f>IF($E1804="","",IF(COUNTIF($E$2:$E1804,$E1804)=1,1,0))</f>
        <v/>
      </c>
      <c r="AO1804">
        <f>IF($AN1804=1,SUMPRODUCT(--($AR$2:$AR$4001&lt;$AR1804))+1,"")</f>
        <v/>
      </c>
      <c r="AP1804">
        <f>IF($E1804="","",IF(OR($U1804=TRUE(),$U1804="TRUE"),1,0))</f>
        <v/>
      </c>
      <c r="AQ1804">
        <f>IF($E1804="","",IF($AA1804="Yes",1,0))</f>
        <v/>
      </c>
      <c r="AR1804">
        <f>IF($AN1804=1,IFERROR(VALUE(MID($E1804,2,20)),1000000000)+ROW()/100000,"")</f>
        <v/>
      </c>
    </row>
    <row r="1805">
      <c r="G1805" s="11" t="n"/>
      <c r="Q1805" s="7">
        <f>IF($E1805="","",P1805*Y1805/100)</f>
        <v/>
      </c>
      <c r="R1805" s="7" t="n"/>
      <c r="X1805" s="7" t="n"/>
      <c r="Y1805" s="7" t="n"/>
      <c r="AB1805">
        <f>IF($E1805="","",IF($AQ1805=1,0,IF($AP1805=1,Settings!$C$6,Settings!$C$7))*100)</f>
        <v/>
      </c>
      <c r="AC1805" s="7">
        <f>IF($E1805="","",Y1805*AB1805/100)</f>
        <v/>
      </c>
      <c r="AD1805" s="7">
        <f>IF($E1805="","",Y1805-AC1805)</f>
        <v/>
      </c>
      <c r="AE1805" s="7">
        <f>IF($E1805="","",AD1805-Q1805)</f>
        <v/>
      </c>
      <c r="AI1805" s="7" t="n"/>
      <c r="AL1805" s="11" t="n"/>
      <c r="AN1805">
        <f>IF($E1805="","",IF(COUNTIF($E$2:$E1805,$E1805)=1,1,0))</f>
        <v/>
      </c>
      <c r="AO1805">
        <f>IF($AN1805=1,SUMPRODUCT(--($AR$2:$AR$4001&lt;$AR1805))+1,"")</f>
        <v/>
      </c>
      <c r="AP1805">
        <f>IF($E1805="","",IF(OR($U1805=TRUE(),$U1805="TRUE"),1,0))</f>
        <v/>
      </c>
      <c r="AQ1805">
        <f>IF($E1805="","",IF($AA1805="Yes",1,0))</f>
        <v/>
      </c>
      <c r="AR1805">
        <f>IF($AN1805=1,IFERROR(VALUE(MID($E1805,2,20)),1000000000)+ROW()/100000,"")</f>
        <v/>
      </c>
    </row>
    <row r="1806">
      <c r="G1806" s="11" t="n"/>
      <c r="Q1806" s="7">
        <f>IF($E1806="","",P1806*Y1806/100)</f>
        <v/>
      </c>
      <c r="R1806" s="7" t="n"/>
      <c r="X1806" s="7" t="n"/>
      <c r="Y1806" s="7" t="n"/>
      <c r="AB1806">
        <f>IF($E1806="","",IF($AQ1806=1,0,IF($AP1806=1,Settings!$C$6,Settings!$C$7))*100)</f>
        <v/>
      </c>
      <c r="AC1806" s="7">
        <f>IF($E1806="","",Y1806*AB1806/100)</f>
        <v/>
      </c>
      <c r="AD1806" s="7">
        <f>IF($E1806="","",Y1806-AC1806)</f>
        <v/>
      </c>
      <c r="AE1806" s="7">
        <f>IF($E1806="","",AD1806-Q1806)</f>
        <v/>
      </c>
      <c r="AI1806" s="7" t="n"/>
      <c r="AL1806" s="11" t="n"/>
      <c r="AN1806">
        <f>IF($E1806="","",IF(COUNTIF($E$2:$E1806,$E1806)=1,1,0))</f>
        <v/>
      </c>
      <c r="AO1806">
        <f>IF($AN1806=1,SUMPRODUCT(--($AR$2:$AR$4001&lt;$AR1806))+1,"")</f>
        <v/>
      </c>
      <c r="AP1806">
        <f>IF($E1806="","",IF(OR($U1806=TRUE(),$U1806="TRUE"),1,0))</f>
        <v/>
      </c>
      <c r="AQ1806">
        <f>IF($E1806="","",IF($AA1806="Yes",1,0))</f>
        <v/>
      </c>
      <c r="AR1806">
        <f>IF($AN1806=1,IFERROR(VALUE(MID($E1806,2,20)),1000000000)+ROW()/100000,"")</f>
        <v/>
      </c>
    </row>
    <row r="1807">
      <c r="G1807" s="11" t="n"/>
      <c r="Q1807" s="7">
        <f>IF($E1807="","",P1807*Y1807/100)</f>
        <v/>
      </c>
      <c r="R1807" s="7" t="n"/>
      <c r="X1807" s="7" t="n"/>
      <c r="Y1807" s="7" t="n"/>
      <c r="AB1807">
        <f>IF($E1807="","",IF($AQ1807=1,0,IF($AP1807=1,Settings!$C$6,Settings!$C$7))*100)</f>
        <v/>
      </c>
      <c r="AC1807" s="7">
        <f>IF($E1807="","",Y1807*AB1807/100)</f>
        <v/>
      </c>
      <c r="AD1807" s="7">
        <f>IF($E1807="","",Y1807-AC1807)</f>
        <v/>
      </c>
      <c r="AE1807" s="7">
        <f>IF($E1807="","",AD1807-Q1807)</f>
        <v/>
      </c>
      <c r="AI1807" s="7" t="n"/>
      <c r="AL1807" s="11" t="n"/>
      <c r="AN1807">
        <f>IF($E1807="","",IF(COUNTIF($E$2:$E1807,$E1807)=1,1,0))</f>
        <v/>
      </c>
      <c r="AO1807">
        <f>IF($AN1807=1,SUMPRODUCT(--($AR$2:$AR$4001&lt;$AR1807))+1,"")</f>
        <v/>
      </c>
      <c r="AP1807">
        <f>IF($E1807="","",IF(OR($U1807=TRUE(),$U1807="TRUE"),1,0))</f>
        <v/>
      </c>
      <c r="AQ1807">
        <f>IF($E1807="","",IF($AA1807="Yes",1,0))</f>
        <v/>
      </c>
      <c r="AR1807">
        <f>IF($AN1807=1,IFERROR(VALUE(MID($E1807,2,20)),1000000000)+ROW()/100000,"")</f>
        <v/>
      </c>
    </row>
    <row r="1808">
      <c r="G1808" s="11" t="n"/>
      <c r="Q1808" s="7">
        <f>IF($E1808="","",P1808*Y1808/100)</f>
        <v/>
      </c>
      <c r="R1808" s="7" t="n"/>
      <c r="X1808" s="7" t="n"/>
      <c r="Y1808" s="7" t="n"/>
      <c r="AB1808">
        <f>IF($E1808="","",IF($AQ1808=1,0,IF($AP1808=1,Settings!$C$6,Settings!$C$7))*100)</f>
        <v/>
      </c>
      <c r="AC1808" s="7">
        <f>IF($E1808="","",Y1808*AB1808/100)</f>
        <v/>
      </c>
      <c r="AD1808" s="7">
        <f>IF($E1808="","",Y1808-AC1808)</f>
        <v/>
      </c>
      <c r="AE1808" s="7">
        <f>IF($E1808="","",AD1808-Q1808)</f>
        <v/>
      </c>
      <c r="AI1808" s="7" t="n"/>
      <c r="AL1808" s="11" t="n"/>
      <c r="AN1808">
        <f>IF($E1808="","",IF(COUNTIF($E$2:$E1808,$E1808)=1,1,0))</f>
        <v/>
      </c>
      <c r="AO1808">
        <f>IF($AN1808=1,SUMPRODUCT(--($AR$2:$AR$4001&lt;$AR1808))+1,"")</f>
        <v/>
      </c>
      <c r="AP1808">
        <f>IF($E1808="","",IF(OR($U1808=TRUE(),$U1808="TRUE"),1,0))</f>
        <v/>
      </c>
      <c r="AQ1808">
        <f>IF($E1808="","",IF($AA1808="Yes",1,0))</f>
        <v/>
      </c>
      <c r="AR1808">
        <f>IF($AN1808=1,IFERROR(VALUE(MID($E1808,2,20)),1000000000)+ROW()/100000,"")</f>
        <v/>
      </c>
    </row>
    <row r="1809">
      <c r="G1809" s="11" t="n"/>
      <c r="Q1809" s="7">
        <f>IF($E1809="","",P1809*Y1809/100)</f>
        <v/>
      </c>
      <c r="R1809" s="7" t="n"/>
      <c r="X1809" s="7" t="n"/>
      <c r="Y1809" s="7" t="n"/>
      <c r="AB1809">
        <f>IF($E1809="","",IF($AQ1809=1,0,IF($AP1809=1,Settings!$C$6,Settings!$C$7))*100)</f>
        <v/>
      </c>
      <c r="AC1809" s="7">
        <f>IF($E1809="","",Y1809*AB1809/100)</f>
        <v/>
      </c>
      <c r="AD1809" s="7">
        <f>IF($E1809="","",Y1809-AC1809)</f>
        <v/>
      </c>
      <c r="AE1809" s="7">
        <f>IF($E1809="","",AD1809-Q1809)</f>
        <v/>
      </c>
      <c r="AI1809" s="7" t="n"/>
      <c r="AL1809" s="11" t="n"/>
      <c r="AN1809">
        <f>IF($E1809="","",IF(COUNTIF($E$2:$E1809,$E1809)=1,1,0))</f>
        <v/>
      </c>
      <c r="AO1809">
        <f>IF($AN1809=1,SUMPRODUCT(--($AR$2:$AR$4001&lt;$AR1809))+1,"")</f>
        <v/>
      </c>
      <c r="AP1809">
        <f>IF($E1809="","",IF(OR($U1809=TRUE(),$U1809="TRUE"),1,0))</f>
        <v/>
      </c>
      <c r="AQ1809">
        <f>IF($E1809="","",IF($AA1809="Yes",1,0))</f>
        <v/>
      </c>
      <c r="AR1809">
        <f>IF($AN1809=1,IFERROR(VALUE(MID($E1809,2,20)),1000000000)+ROW()/100000,"")</f>
        <v/>
      </c>
    </row>
    <row r="1810">
      <c r="G1810" s="11" t="n"/>
      <c r="Q1810" s="7">
        <f>IF($E1810="","",P1810*Y1810/100)</f>
        <v/>
      </c>
      <c r="R1810" s="7" t="n"/>
      <c r="X1810" s="7" t="n"/>
      <c r="Y1810" s="7" t="n"/>
      <c r="AB1810">
        <f>IF($E1810="","",IF($AQ1810=1,0,IF($AP1810=1,Settings!$C$6,Settings!$C$7))*100)</f>
        <v/>
      </c>
      <c r="AC1810" s="7">
        <f>IF($E1810="","",Y1810*AB1810/100)</f>
        <v/>
      </c>
      <c r="AD1810" s="7">
        <f>IF($E1810="","",Y1810-AC1810)</f>
        <v/>
      </c>
      <c r="AE1810" s="7">
        <f>IF($E1810="","",AD1810-Q1810)</f>
        <v/>
      </c>
      <c r="AI1810" s="7" t="n"/>
      <c r="AL1810" s="11" t="n"/>
      <c r="AN1810">
        <f>IF($E1810="","",IF(COUNTIF($E$2:$E1810,$E1810)=1,1,0))</f>
        <v/>
      </c>
      <c r="AO1810">
        <f>IF($AN1810=1,SUMPRODUCT(--($AR$2:$AR$4001&lt;$AR1810))+1,"")</f>
        <v/>
      </c>
      <c r="AP1810">
        <f>IF($E1810="","",IF(OR($U1810=TRUE(),$U1810="TRUE"),1,0))</f>
        <v/>
      </c>
      <c r="AQ1810">
        <f>IF($E1810="","",IF($AA1810="Yes",1,0))</f>
        <v/>
      </c>
      <c r="AR1810">
        <f>IF($AN1810=1,IFERROR(VALUE(MID($E1810,2,20)),1000000000)+ROW()/100000,"")</f>
        <v/>
      </c>
    </row>
    <row r="1811">
      <c r="G1811" s="11" t="n"/>
      <c r="Q1811" s="7">
        <f>IF($E1811="","",P1811*Y1811/100)</f>
        <v/>
      </c>
      <c r="R1811" s="7" t="n"/>
      <c r="X1811" s="7" t="n"/>
      <c r="Y1811" s="7" t="n"/>
      <c r="AB1811">
        <f>IF($E1811="","",IF($AQ1811=1,0,IF($AP1811=1,Settings!$C$6,Settings!$C$7))*100)</f>
        <v/>
      </c>
      <c r="AC1811" s="7">
        <f>IF($E1811="","",Y1811*AB1811/100)</f>
        <v/>
      </c>
      <c r="AD1811" s="7">
        <f>IF($E1811="","",Y1811-AC1811)</f>
        <v/>
      </c>
      <c r="AE1811" s="7">
        <f>IF($E1811="","",AD1811-Q1811)</f>
        <v/>
      </c>
      <c r="AI1811" s="7" t="n"/>
      <c r="AL1811" s="11" t="n"/>
      <c r="AN1811">
        <f>IF($E1811="","",IF(COUNTIF($E$2:$E1811,$E1811)=1,1,0))</f>
        <v/>
      </c>
      <c r="AO1811">
        <f>IF($AN1811=1,SUMPRODUCT(--($AR$2:$AR$4001&lt;$AR1811))+1,"")</f>
        <v/>
      </c>
      <c r="AP1811">
        <f>IF($E1811="","",IF(OR($U1811=TRUE(),$U1811="TRUE"),1,0))</f>
        <v/>
      </c>
      <c r="AQ1811">
        <f>IF($E1811="","",IF($AA1811="Yes",1,0))</f>
        <v/>
      </c>
      <c r="AR1811">
        <f>IF($AN1811=1,IFERROR(VALUE(MID($E1811,2,20)),1000000000)+ROW()/100000,"")</f>
        <v/>
      </c>
    </row>
    <row r="1812">
      <c r="G1812" s="11" t="n"/>
      <c r="Q1812" s="7">
        <f>IF($E1812="","",P1812*Y1812/100)</f>
        <v/>
      </c>
      <c r="R1812" s="7" t="n"/>
      <c r="X1812" s="7" t="n"/>
      <c r="Y1812" s="7" t="n"/>
      <c r="AB1812">
        <f>IF($E1812="","",IF($AQ1812=1,0,IF($AP1812=1,Settings!$C$6,Settings!$C$7))*100)</f>
        <v/>
      </c>
      <c r="AC1812" s="7">
        <f>IF($E1812="","",Y1812*AB1812/100)</f>
        <v/>
      </c>
      <c r="AD1812" s="7">
        <f>IF($E1812="","",Y1812-AC1812)</f>
        <v/>
      </c>
      <c r="AE1812" s="7">
        <f>IF($E1812="","",AD1812-Q1812)</f>
        <v/>
      </c>
      <c r="AI1812" s="7" t="n"/>
      <c r="AL1812" s="11" t="n"/>
      <c r="AN1812">
        <f>IF($E1812="","",IF(COUNTIF($E$2:$E1812,$E1812)=1,1,0))</f>
        <v/>
      </c>
      <c r="AO1812">
        <f>IF($AN1812=1,SUMPRODUCT(--($AR$2:$AR$4001&lt;$AR1812))+1,"")</f>
        <v/>
      </c>
      <c r="AP1812">
        <f>IF($E1812="","",IF(OR($U1812=TRUE(),$U1812="TRUE"),1,0))</f>
        <v/>
      </c>
      <c r="AQ1812">
        <f>IF($E1812="","",IF($AA1812="Yes",1,0))</f>
        <v/>
      </c>
      <c r="AR1812">
        <f>IF($AN1812=1,IFERROR(VALUE(MID($E1812,2,20)),1000000000)+ROW()/100000,"")</f>
        <v/>
      </c>
    </row>
    <row r="1813">
      <c r="G1813" s="11" t="n"/>
      <c r="Q1813" s="7">
        <f>IF($E1813="","",P1813*Y1813/100)</f>
        <v/>
      </c>
      <c r="R1813" s="7" t="n"/>
      <c r="X1813" s="7" t="n"/>
      <c r="Y1813" s="7" t="n"/>
      <c r="AB1813">
        <f>IF($E1813="","",IF($AQ1813=1,0,IF($AP1813=1,Settings!$C$6,Settings!$C$7))*100)</f>
        <v/>
      </c>
      <c r="AC1813" s="7">
        <f>IF($E1813="","",Y1813*AB1813/100)</f>
        <v/>
      </c>
      <c r="AD1813" s="7">
        <f>IF($E1813="","",Y1813-AC1813)</f>
        <v/>
      </c>
      <c r="AE1813" s="7">
        <f>IF($E1813="","",AD1813-Q1813)</f>
        <v/>
      </c>
      <c r="AI1813" s="7" t="n"/>
      <c r="AL1813" s="11" t="n"/>
      <c r="AN1813">
        <f>IF($E1813="","",IF(COUNTIF($E$2:$E1813,$E1813)=1,1,0))</f>
        <v/>
      </c>
      <c r="AO1813">
        <f>IF($AN1813=1,SUMPRODUCT(--($AR$2:$AR$4001&lt;$AR1813))+1,"")</f>
        <v/>
      </c>
      <c r="AP1813">
        <f>IF($E1813="","",IF(OR($U1813=TRUE(),$U1813="TRUE"),1,0))</f>
        <v/>
      </c>
      <c r="AQ1813">
        <f>IF($E1813="","",IF($AA1813="Yes",1,0))</f>
        <v/>
      </c>
      <c r="AR1813">
        <f>IF($AN1813=1,IFERROR(VALUE(MID($E1813,2,20)),1000000000)+ROW()/100000,"")</f>
        <v/>
      </c>
    </row>
    <row r="1814">
      <c r="G1814" s="11" t="n"/>
      <c r="Q1814" s="7">
        <f>IF($E1814="","",P1814*Y1814/100)</f>
        <v/>
      </c>
      <c r="R1814" s="7" t="n"/>
      <c r="X1814" s="7" t="n"/>
      <c r="Y1814" s="7" t="n"/>
      <c r="AB1814">
        <f>IF($E1814="","",IF($AQ1814=1,0,IF($AP1814=1,Settings!$C$6,Settings!$C$7))*100)</f>
        <v/>
      </c>
      <c r="AC1814" s="7">
        <f>IF($E1814="","",Y1814*AB1814/100)</f>
        <v/>
      </c>
      <c r="AD1814" s="7">
        <f>IF($E1814="","",Y1814-AC1814)</f>
        <v/>
      </c>
      <c r="AE1814" s="7">
        <f>IF($E1814="","",AD1814-Q1814)</f>
        <v/>
      </c>
      <c r="AI1814" s="7" t="n"/>
      <c r="AL1814" s="11" t="n"/>
      <c r="AN1814">
        <f>IF($E1814="","",IF(COUNTIF($E$2:$E1814,$E1814)=1,1,0))</f>
        <v/>
      </c>
      <c r="AO1814">
        <f>IF($AN1814=1,SUMPRODUCT(--($AR$2:$AR$4001&lt;$AR1814))+1,"")</f>
        <v/>
      </c>
      <c r="AP1814">
        <f>IF($E1814="","",IF(OR($U1814=TRUE(),$U1814="TRUE"),1,0))</f>
        <v/>
      </c>
      <c r="AQ1814">
        <f>IF($E1814="","",IF($AA1814="Yes",1,0))</f>
        <v/>
      </c>
      <c r="AR1814">
        <f>IF($AN1814=1,IFERROR(VALUE(MID($E1814,2,20)),1000000000)+ROW()/100000,"")</f>
        <v/>
      </c>
    </row>
    <row r="1815">
      <c r="G1815" s="11" t="n"/>
      <c r="Q1815" s="7">
        <f>IF($E1815="","",P1815*Y1815/100)</f>
        <v/>
      </c>
      <c r="R1815" s="7" t="n"/>
      <c r="X1815" s="7" t="n"/>
      <c r="Y1815" s="7" t="n"/>
      <c r="AB1815">
        <f>IF($E1815="","",IF($AQ1815=1,0,IF($AP1815=1,Settings!$C$6,Settings!$C$7))*100)</f>
        <v/>
      </c>
      <c r="AC1815" s="7">
        <f>IF($E1815="","",Y1815*AB1815/100)</f>
        <v/>
      </c>
      <c r="AD1815" s="7">
        <f>IF($E1815="","",Y1815-AC1815)</f>
        <v/>
      </c>
      <c r="AE1815" s="7">
        <f>IF($E1815="","",AD1815-Q1815)</f>
        <v/>
      </c>
      <c r="AI1815" s="7" t="n"/>
      <c r="AL1815" s="11" t="n"/>
      <c r="AN1815">
        <f>IF($E1815="","",IF(COUNTIF($E$2:$E1815,$E1815)=1,1,0))</f>
        <v/>
      </c>
      <c r="AO1815">
        <f>IF($AN1815=1,SUMPRODUCT(--($AR$2:$AR$4001&lt;$AR1815))+1,"")</f>
        <v/>
      </c>
      <c r="AP1815">
        <f>IF($E1815="","",IF(OR($U1815=TRUE(),$U1815="TRUE"),1,0))</f>
        <v/>
      </c>
      <c r="AQ1815">
        <f>IF($E1815="","",IF($AA1815="Yes",1,0))</f>
        <v/>
      </c>
      <c r="AR1815">
        <f>IF($AN1815=1,IFERROR(VALUE(MID($E1815,2,20)),1000000000)+ROW()/100000,"")</f>
        <v/>
      </c>
    </row>
    <row r="1816">
      <c r="G1816" s="11" t="n"/>
      <c r="Q1816" s="7">
        <f>IF($E1816="","",P1816*Y1816/100)</f>
        <v/>
      </c>
      <c r="R1816" s="7" t="n"/>
      <c r="X1816" s="7" t="n"/>
      <c r="Y1816" s="7" t="n"/>
      <c r="AB1816">
        <f>IF($E1816="","",IF($AQ1816=1,0,IF($AP1816=1,Settings!$C$6,Settings!$C$7))*100)</f>
        <v/>
      </c>
      <c r="AC1816" s="7">
        <f>IF($E1816="","",Y1816*AB1816/100)</f>
        <v/>
      </c>
      <c r="AD1816" s="7">
        <f>IF($E1816="","",Y1816-AC1816)</f>
        <v/>
      </c>
      <c r="AE1816" s="7">
        <f>IF($E1816="","",AD1816-Q1816)</f>
        <v/>
      </c>
      <c r="AI1816" s="7" t="n"/>
      <c r="AL1816" s="11" t="n"/>
      <c r="AN1816">
        <f>IF($E1816="","",IF(COUNTIF($E$2:$E1816,$E1816)=1,1,0))</f>
        <v/>
      </c>
      <c r="AO1816">
        <f>IF($AN1816=1,SUMPRODUCT(--($AR$2:$AR$4001&lt;$AR1816))+1,"")</f>
        <v/>
      </c>
      <c r="AP1816">
        <f>IF($E1816="","",IF(OR($U1816=TRUE(),$U1816="TRUE"),1,0))</f>
        <v/>
      </c>
      <c r="AQ1816">
        <f>IF($E1816="","",IF($AA1816="Yes",1,0))</f>
        <v/>
      </c>
      <c r="AR1816">
        <f>IF($AN1816=1,IFERROR(VALUE(MID($E1816,2,20)),1000000000)+ROW()/100000,"")</f>
        <v/>
      </c>
    </row>
    <row r="1817">
      <c r="G1817" s="11" t="n"/>
      <c r="Q1817" s="7">
        <f>IF($E1817="","",P1817*Y1817/100)</f>
        <v/>
      </c>
      <c r="R1817" s="7" t="n"/>
      <c r="X1817" s="7" t="n"/>
      <c r="Y1817" s="7" t="n"/>
      <c r="AB1817">
        <f>IF($E1817="","",IF($AQ1817=1,0,IF($AP1817=1,Settings!$C$6,Settings!$C$7))*100)</f>
        <v/>
      </c>
      <c r="AC1817" s="7">
        <f>IF($E1817="","",Y1817*AB1817/100)</f>
        <v/>
      </c>
      <c r="AD1817" s="7">
        <f>IF($E1817="","",Y1817-AC1817)</f>
        <v/>
      </c>
      <c r="AE1817" s="7">
        <f>IF($E1817="","",AD1817-Q1817)</f>
        <v/>
      </c>
      <c r="AI1817" s="7" t="n"/>
      <c r="AL1817" s="11" t="n"/>
      <c r="AN1817">
        <f>IF($E1817="","",IF(COUNTIF($E$2:$E1817,$E1817)=1,1,0))</f>
        <v/>
      </c>
      <c r="AO1817">
        <f>IF($AN1817=1,SUMPRODUCT(--($AR$2:$AR$4001&lt;$AR1817))+1,"")</f>
        <v/>
      </c>
      <c r="AP1817">
        <f>IF($E1817="","",IF(OR($U1817=TRUE(),$U1817="TRUE"),1,0))</f>
        <v/>
      </c>
      <c r="AQ1817">
        <f>IF($E1817="","",IF($AA1817="Yes",1,0))</f>
        <v/>
      </c>
      <c r="AR1817">
        <f>IF($AN1817=1,IFERROR(VALUE(MID($E1817,2,20)),1000000000)+ROW()/100000,"")</f>
        <v/>
      </c>
    </row>
    <row r="1818">
      <c r="G1818" s="11" t="n"/>
      <c r="Q1818" s="7">
        <f>IF($E1818="","",P1818*Y1818/100)</f>
        <v/>
      </c>
      <c r="R1818" s="7" t="n"/>
      <c r="X1818" s="7" t="n"/>
      <c r="Y1818" s="7" t="n"/>
      <c r="AB1818">
        <f>IF($E1818="","",IF($AQ1818=1,0,IF($AP1818=1,Settings!$C$6,Settings!$C$7))*100)</f>
        <v/>
      </c>
      <c r="AC1818" s="7">
        <f>IF($E1818="","",Y1818*AB1818/100)</f>
        <v/>
      </c>
      <c r="AD1818" s="7">
        <f>IF($E1818="","",Y1818-AC1818)</f>
        <v/>
      </c>
      <c r="AE1818" s="7">
        <f>IF($E1818="","",AD1818-Q1818)</f>
        <v/>
      </c>
      <c r="AI1818" s="7" t="n"/>
      <c r="AL1818" s="11" t="n"/>
      <c r="AN1818">
        <f>IF($E1818="","",IF(COUNTIF($E$2:$E1818,$E1818)=1,1,0))</f>
        <v/>
      </c>
      <c r="AO1818">
        <f>IF($AN1818=1,SUMPRODUCT(--($AR$2:$AR$4001&lt;$AR1818))+1,"")</f>
        <v/>
      </c>
      <c r="AP1818">
        <f>IF($E1818="","",IF(OR($U1818=TRUE(),$U1818="TRUE"),1,0))</f>
        <v/>
      </c>
      <c r="AQ1818">
        <f>IF($E1818="","",IF($AA1818="Yes",1,0))</f>
        <v/>
      </c>
      <c r="AR1818">
        <f>IF($AN1818=1,IFERROR(VALUE(MID($E1818,2,20)),1000000000)+ROW()/100000,"")</f>
        <v/>
      </c>
    </row>
    <row r="1819">
      <c r="G1819" s="11" t="n"/>
      <c r="Q1819" s="7">
        <f>IF($E1819="","",P1819*Y1819/100)</f>
        <v/>
      </c>
      <c r="R1819" s="7" t="n"/>
      <c r="X1819" s="7" t="n"/>
      <c r="Y1819" s="7" t="n"/>
      <c r="AB1819">
        <f>IF($E1819="","",IF($AQ1819=1,0,IF($AP1819=1,Settings!$C$6,Settings!$C$7))*100)</f>
        <v/>
      </c>
      <c r="AC1819" s="7">
        <f>IF($E1819="","",Y1819*AB1819/100)</f>
        <v/>
      </c>
      <c r="AD1819" s="7">
        <f>IF($E1819="","",Y1819-AC1819)</f>
        <v/>
      </c>
      <c r="AE1819" s="7">
        <f>IF($E1819="","",AD1819-Q1819)</f>
        <v/>
      </c>
      <c r="AI1819" s="7" t="n"/>
      <c r="AL1819" s="11" t="n"/>
      <c r="AN1819">
        <f>IF($E1819="","",IF(COUNTIF($E$2:$E1819,$E1819)=1,1,0))</f>
        <v/>
      </c>
      <c r="AO1819">
        <f>IF($AN1819=1,SUMPRODUCT(--($AR$2:$AR$4001&lt;$AR1819))+1,"")</f>
        <v/>
      </c>
      <c r="AP1819">
        <f>IF($E1819="","",IF(OR($U1819=TRUE(),$U1819="TRUE"),1,0))</f>
        <v/>
      </c>
      <c r="AQ1819">
        <f>IF($E1819="","",IF($AA1819="Yes",1,0))</f>
        <v/>
      </c>
      <c r="AR1819">
        <f>IF($AN1819=1,IFERROR(VALUE(MID($E1819,2,20)),1000000000)+ROW()/100000,"")</f>
        <v/>
      </c>
    </row>
    <row r="1820">
      <c r="G1820" s="11" t="n"/>
      <c r="Q1820" s="7">
        <f>IF($E1820="","",P1820*Y1820/100)</f>
        <v/>
      </c>
      <c r="R1820" s="7" t="n"/>
      <c r="X1820" s="7" t="n"/>
      <c r="Y1820" s="7" t="n"/>
      <c r="AB1820">
        <f>IF($E1820="","",IF($AQ1820=1,0,IF($AP1820=1,Settings!$C$6,Settings!$C$7))*100)</f>
        <v/>
      </c>
      <c r="AC1820" s="7">
        <f>IF($E1820="","",Y1820*AB1820/100)</f>
        <v/>
      </c>
      <c r="AD1820" s="7">
        <f>IF($E1820="","",Y1820-AC1820)</f>
        <v/>
      </c>
      <c r="AE1820" s="7">
        <f>IF($E1820="","",AD1820-Q1820)</f>
        <v/>
      </c>
      <c r="AI1820" s="7" t="n"/>
      <c r="AL1820" s="11" t="n"/>
      <c r="AN1820">
        <f>IF($E1820="","",IF(COUNTIF($E$2:$E1820,$E1820)=1,1,0))</f>
        <v/>
      </c>
      <c r="AO1820">
        <f>IF($AN1820=1,SUMPRODUCT(--($AR$2:$AR$4001&lt;$AR1820))+1,"")</f>
        <v/>
      </c>
      <c r="AP1820">
        <f>IF($E1820="","",IF(OR($U1820=TRUE(),$U1820="TRUE"),1,0))</f>
        <v/>
      </c>
      <c r="AQ1820">
        <f>IF($E1820="","",IF($AA1820="Yes",1,0))</f>
        <v/>
      </c>
      <c r="AR1820">
        <f>IF($AN1820=1,IFERROR(VALUE(MID($E1820,2,20)),1000000000)+ROW()/100000,"")</f>
        <v/>
      </c>
    </row>
    <row r="1821">
      <c r="G1821" s="11" t="n"/>
      <c r="Q1821" s="7">
        <f>IF($E1821="","",P1821*Y1821/100)</f>
        <v/>
      </c>
      <c r="R1821" s="7" t="n"/>
      <c r="X1821" s="7" t="n"/>
      <c r="Y1821" s="7" t="n"/>
      <c r="AB1821">
        <f>IF($E1821="","",IF($AQ1821=1,0,IF($AP1821=1,Settings!$C$6,Settings!$C$7))*100)</f>
        <v/>
      </c>
      <c r="AC1821" s="7">
        <f>IF($E1821="","",Y1821*AB1821/100)</f>
        <v/>
      </c>
      <c r="AD1821" s="7">
        <f>IF($E1821="","",Y1821-AC1821)</f>
        <v/>
      </c>
      <c r="AE1821" s="7">
        <f>IF($E1821="","",AD1821-Q1821)</f>
        <v/>
      </c>
      <c r="AI1821" s="7" t="n"/>
      <c r="AL1821" s="11" t="n"/>
      <c r="AN1821">
        <f>IF($E1821="","",IF(COUNTIF($E$2:$E1821,$E1821)=1,1,0))</f>
        <v/>
      </c>
      <c r="AO1821">
        <f>IF($AN1821=1,SUMPRODUCT(--($AR$2:$AR$4001&lt;$AR1821))+1,"")</f>
        <v/>
      </c>
      <c r="AP1821">
        <f>IF($E1821="","",IF(OR($U1821=TRUE(),$U1821="TRUE"),1,0))</f>
        <v/>
      </c>
      <c r="AQ1821">
        <f>IF($E1821="","",IF($AA1821="Yes",1,0))</f>
        <v/>
      </c>
      <c r="AR1821">
        <f>IF($AN1821=1,IFERROR(VALUE(MID($E1821,2,20)),1000000000)+ROW()/100000,"")</f>
        <v/>
      </c>
    </row>
    <row r="1822">
      <c r="G1822" s="11" t="n"/>
      <c r="Q1822" s="7">
        <f>IF($E1822="","",P1822*Y1822/100)</f>
        <v/>
      </c>
      <c r="R1822" s="7" t="n"/>
      <c r="X1822" s="7" t="n"/>
      <c r="Y1822" s="7" t="n"/>
      <c r="AB1822">
        <f>IF($E1822="","",IF($AQ1822=1,0,IF($AP1822=1,Settings!$C$6,Settings!$C$7))*100)</f>
        <v/>
      </c>
      <c r="AC1822" s="7">
        <f>IF($E1822="","",Y1822*AB1822/100)</f>
        <v/>
      </c>
      <c r="AD1822" s="7">
        <f>IF($E1822="","",Y1822-AC1822)</f>
        <v/>
      </c>
      <c r="AE1822" s="7">
        <f>IF($E1822="","",AD1822-Q1822)</f>
        <v/>
      </c>
      <c r="AI1822" s="7" t="n"/>
      <c r="AL1822" s="11" t="n"/>
      <c r="AN1822">
        <f>IF($E1822="","",IF(COUNTIF($E$2:$E1822,$E1822)=1,1,0))</f>
        <v/>
      </c>
      <c r="AO1822">
        <f>IF($AN1822=1,SUMPRODUCT(--($AR$2:$AR$4001&lt;$AR1822))+1,"")</f>
        <v/>
      </c>
      <c r="AP1822">
        <f>IF($E1822="","",IF(OR($U1822=TRUE(),$U1822="TRUE"),1,0))</f>
        <v/>
      </c>
      <c r="AQ1822">
        <f>IF($E1822="","",IF($AA1822="Yes",1,0))</f>
        <v/>
      </c>
      <c r="AR1822">
        <f>IF($AN1822=1,IFERROR(VALUE(MID($E1822,2,20)),1000000000)+ROW()/100000,"")</f>
        <v/>
      </c>
    </row>
    <row r="1823">
      <c r="G1823" s="11" t="n"/>
      <c r="Q1823" s="7">
        <f>IF($E1823="","",P1823*Y1823/100)</f>
        <v/>
      </c>
      <c r="R1823" s="7" t="n"/>
      <c r="X1823" s="7" t="n"/>
      <c r="Y1823" s="7" t="n"/>
      <c r="AB1823">
        <f>IF($E1823="","",IF($AQ1823=1,0,IF($AP1823=1,Settings!$C$6,Settings!$C$7))*100)</f>
        <v/>
      </c>
      <c r="AC1823" s="7">
        <f>IF($E1823="","",Y1823*AB1823/100)</f>
        <v/>
      </c>
      <c r="AD1823" s="7">
        <f>IF($E1823="","",Y1823-AC1823)</f>
        <v/>
      </c>
      <c r="AE1823" s="7">
        <f>IF($E1823="","",AD1823-Q1823)</f>
        <v/>
      </c>
      <c r="AI1823" s="7" t="n"/>
      <c r="AL1823" s="11" t="n"/>
      <c r="AN1823">
        <f>IF($E1823="","",IF(COUNTIF($E$2:$E1823,$E1823)=1,1,0))</f>
        <v/>
      </c>
      <c r="AO1823">
        <f>IF($AN1823=1,SUMPRODUCT(--($AR$2:$AR$4001&lt;$AR1823))+1,"")</f>
        <v/>
      </c>
      <c r="AP1823">
        <f>IF($E1823="","",IF(OR($U1823=TRUE(),$U1823="TRUE"),1,0))</f>
        <v/>
      </c>
      <c r="AQ1823">
        <f>IF($E1823="","",IF($AA1823="Yes",1,0))</f>
        <v/>
      </c>
      <c r="AR1823">
        <f>IF($AN1823=1,IFERROR(VALUE(MID($E1823,2,20)),1000000000)+ROW()/100000,"")</f>
        <v/>
      </c>
    </row>
    <row r="1824">
      <c r="G1824" s="11" t="n"/>
      <c r="Q1824" s="7">
        <f>IF($E1824="","",P1824*Y1824/100)</f>
        <v/>
      </c>
      <c r="R1824" s="7" t="n"/>
      <c r="X1824" s="7" t="n"/>
      <c r="Y1824" s="7" t="n"/>
      <c r="AB1824">
        <f>IF($E1824="","",IF($AQ1824=1,0,IF($AP1824=1,Settings!$C$6,Settings!$C$7))*100)</f>
        <v/>
      </c>
      <c r="AC1824" s="7">
        <f>IF($E1824="","",Y1824*AB1824/100)</f>
        <v/>
      </c>
      <c r="AD1824" s="7">
        <f>IF($E1824="","",Y1824-AC1824)</f>
        <v/>
      </c>
      <c r="AE1824" s="7">
        <f>IF($E1824="","",AD1824-Q1824)</f>
        <v/>
      </c>
      <c r="AI1824" s="7" t="n"/>
      <c r="AL1824" s="11" t="n"/>
      <c r="AN1824">
        <f>IF($E1824="","",IF(COUNTIF($E$2:$E1824,$E1824)=1,1,0))</f>
        <v/>
      </c>
      <c r="AO1824">
        <f>IF($AN1824=1,SUMPRODUCT(--($AR$2:$AR$4001&lt;$AR1824))+1,"")</f>
        <v/>
      </c>
      <c r="AP1824">
        <f>IF($E1824="","",IF(OR($U1824=TRUE(),$U1824="TRUE"),1,0))</f>
        <v/>
      </c>
      <c r="AQ1824">
        <f>IF($E1824="","",IF($AA1824="Yes",1,0))</f>
        <v/>
      </c>
      <c r="AR1824">
        <f>IF($AN1824=1,IFERROR(VALUE(MID($E1824,2,20)),1000000000)+ROW()/100000,"")</f>
        <v/>
      </c>
    </row>
    <row r="1825">
      <c r="G1825" s="11" t="n"/>
      <c r="Q1825" s="7">
        <f>IF($E1825="","",P1825*Y1825/100)</f>
        <v/>
      </c>
      <c r="R1825" s="7" t="n"/>
      <c r="X1825" s="7" t="n"/>
      <c r="Y1825" s="7" t="n"/>
      <c r="AB1825">
        <f>IF($E1825="","",IF($AQ1825=1,0,IF($AP1825=1,Settings!$C$6,Settings!$C$7))*100)</f>
        <v/>
      </c>
      <c r="AC1825" s="7">
        <f>IF($E1825="","",Y1825*AB1825/100)</f>
        <v/>
      </c>
      <c r="AD1825" s="7">
        <f>IF($E1825="","",Y1825-AC1825)</f>
        <v/>
      </c>
      <c r="AE1825" s="7">
        <f>IF($E1825="","",AD1825-Q1825)</f>
        <v/>
      </c>
      <c r="AI1825" s="7" t="n"/>
      <c r="AL1825" s="11" t="n"/>
      <c r="AN1825">
        <f>IF($E1825="","",IF(COUNTIF($E$2:$E1825,$E1825)=1,1,0))</f>
        <v/>
      </c>
      <c r="AO1825">
        <f>IF($AN1825=1,SUMPRODUCT(--($AR$2:$AR$4001&lt;$AR1825))+1,"")</f>
        <v/>
      </c>
      <c r="AP1825">
        <f>IF($E1825="","",IF(OR($U1825=TRUE(),$U1825="TRUE"),1,0))</f>
        <v/>
      </c>
      <c r="AQ1825">
        <f>IF($E1825="","",IF($AA1825="Yes",1,0))</f>
        <v/>
      </c>
      <c r="AR1825">
        <f>IF($AN1825=1,IFERROR(VALUE(MID($E1825,2,20)),1000000000)+ROW()/100000,"")</f>
        <v/>
      </c>
    </row>
    <row r="1826">
      <c r="G1826" s="11" t="n"/>
      <c r="Q1826" s="7">
        <f>IF($E1826="","",P1826*Y1826/100)</f>
        <v/>
      </c>
      <c r="R1826" s="7" t="n"/>
      <c r="X1826" s="7" t="n"/>
      <c r="Y1826" s="7" t="n"/>
      <c r="AB1826">
        <f>IF($E1826="","",IF($AQ1826=1,0,IF($AP1826=1,Settings!$C$6,Settings!$C$7))*100)</f>
        <v/>
      </c>
      <c r="AC1826" s="7">
        <f>IF($E1826="","",Y1826*AB1826/100)</f>
        <v/>
      </c>
      <c r="AD1826" s="7">
        <f>IF($E1826="","",Y1826-AC1826)</f>
        <v/>
      </c>
      <c r="AE1826" s="7">
        <f>IF($E1826="","",AD1826-Q1826)</f>
        <v/>
      </c>
      <c r="AI1826" s="7" t="n"/>
      <c r="AL1826" s="11" t="n"/>
      <c r="AN1826">
        <f>IF($E1826="","",IF(COUNTIF($E$2:$E1826,$E1826)=1,1,0))</f>
        <v/>
      </c>
      <c r="AO1826">
        <f>IF($AN1826=1,SUMPRODUCT(--($AR$2:$AR$4001&lt;$AR1826))+1,"")</f>
        <v/>
      </c>
      <c r="AP1826">
        <f>IF($E1826="","",IF(OR($U1826=TRUE(),$U1826="TRUE"),1,0))</f>
        <v/>
      </c>
      <c r="AQ1826">
        <f>IF($E1826="","",IF($AA1826="Yes",1,0))</f>
        <v/>
      </c>
      <c r="AR1826">
        <f>IF($AN1826=1,IFERROR(VALUE(MID($E1826,2,20)),1000000000)+ROW()/100000,"")</f>
        <v/>
      </c>
    </row>
    <row r="1827">
      <c r="G1827" s="11" t="n"/>
      <c r="Q1827" s="7">
        <f>IF($E1827="","",P1827*Y1827/100)</f>
        <v/>
      </c>
      <c r="R1827" s="7" t="n"/>
      <c r="X1827" s="7" t="n"/>
      <c r="Y1827" s="7" t="n"/>
      <c r="AB1827">
        <f>IF($E1827="","",IF($AQ1827=1,0,IF($AP1827=1,Settings!$C$6,Settings!$C$7))*100)</f>
        <v/>
      </c>
      <c r="AC1827" s="7">
        <f>IF($E1827="","",Y1827*AB1827/100)</f>
        <v/>
      </c>
      <c r="AD1827" s="7">
        <f>IF($E1827="","",Y1827-AC1827)</f>
        <v/>
      </c>
      <c r="AE1827" s="7">
        <f>IF($E1827="","",AD1827-Q1827)</f>
        <v/>
      </c>
      <c r="AI1827" s="7" t="n"/>
      <c r="AL1827" s="11" t="n"/>
      <c r="AN1827">
        <f>IF($E1827="","",IF(COUNTIF($E$2:$E1827,$E1827)=1,1,0))</f>
        <v/>
      </c>
      <c r="AO1827">
        <f>IF($AN1827=1,SUMPRODUCT(--($AR$2:$AR$4001&lt;$AR1827))+1,"")</f>
        <v/>
      </c>
      <c r="AP1827">
        <f>IF($E1827="","",IF(OR($U1827=TRUE(),$U1827="TRUE"),1,0))</f>
        <v/>
      </c>
      <c r="AQ1827">
        <f>IF($E1827="","",IF($AA1827="Yes",1,0))</f>
        <v/>
      </c>
      <c r="AR1827">
        <f>IF($AN1827=1,IFERROR(VALUE(MID($E1827,2,20)),1000000000)+ROW()/100000,"")</f>
        <v/>
      </c>
    </row>
    <row r="1828">
      <c r="G1828" s="11" t="n"/>
      <c r="Q1828" s="7">
        <f>IF($E1828="","",P1828*Y1828/100)</f>
        <v/>
      </c>
      <c r="R1828" s="7" t="n"/>
      <c r="X1828" s="7" t="n"/>
      <c r="Y1828" s="7" t="n"/>
      <c r="AB1828">
        <f>IF($E1828="","",IF($AQ1828=1,0,IF($AP1828=1,Settings!$C$6,Settings!$C$7))*100)</f>
        <v/>
      </c>
      <c r="AC1828" s="7">
        <f>IF($E1828="","",Y1828*AB1828/100)</f>
        <v/>
      </c>
      <c r="AD1828" s="7">
        <f>IF($E1828="","",Y1828-AC1828)</f>
        <v/>
      </c>
      <c r="AE1828" s="7">
        <f>IF($E1828="","",AD1828-Q1828)</f>
        <v/>
      </c>
      <c r="AI1828" s="7" t="n"/>
      <c r="AL1828" s="11" t="n"/>
      <c r="AN1828">
        <f>IF($E1828="","",IF(COUNTIF($E$2:$E1828,$E1828)=1,1,0))</f>
        <v/>
      </c>
      <c r="AO1828">
        <f>IF($AN1828=1,SUMPRODUCT(--($AR$2:$AR$4001&lt;$AR1828))+1,"")</f>
        <v/>
      </c>
      <c r="AP1828">
        <f>IF($E1828="","",IF(OR($U1828=TRUE(),$U1828="TRUE"),1,0))</f>
        <v/>
      </c>
      <c r="AQ1828">
        <f>IF($E1828="","",IF($AA1828="Yes",1,0))</f>
        <v/>
      </c>
      <c r="AR1828">
        <f>IF($AN1828=1,IFERROR(VALUE(MID($E1828,2,20)),1000000000)+ROW()/100000,"")</f>
        <v/>
      </c>
    </row>
    <row r="1829">
      <c r="G1829" s="11" t="n"/>
      <c r="Q1829" s="7">
        <f>IF($E1829="","",P1829*Y1829/100)</f>
        <v/>
      </c>
      <c r="R1829" s="7" t="n"/>
      <c r="X1829" s="7" t="n"/>
      <c r="Y1829" s="7" t="n"/>
      <c r="AB1829">
        <f>IF($E1829="","",IF($AQ1829=1,0,IF($AP1829=1,Settings!$C$6,Settings!$C$7))*100)</f>
        <v/>
      </c>
      <c r="AC1829" s="7">
        <f>IF($E1829="","",Y1829*AB1829/100)</f>
        <v/>
      </c>
      <c r="AD1829" s="7">
        <f>IF($E1829="","",Y1829-AC1829)</f>
        <v/>
      </c>
      <c r="AE1829" s="7">
        <f>IF($E1829="","",AD1829-Q1829)</f>
        <v/>
      </c>
      <c r="AI1829" s="7" t="n"/>
      <c r="AL1829" s="11" t="n"/>
      <c r="AN1829">
        <f>IF($E1829="","",IF(COUNTIF($E$2:$E1829,$E1829)=1,1,0))</f>
        <v/>
      </c>
      <c r="AO1829">
        <f>IF($AN1829=1,SUMPRODUCT(--($AR$2:$AR$4001&lt;$AR1829))+1,"")</f>
        <v/>
      </c>
      <c r="AP1829">
        <f>IF($E1829="","",IF(OR($U1829=TRUE(),$U1829="TRUE"),1,0))</f>
        <v/>
      </c>
      <c r="AQ1829">
        <f>IF($E1829="","",IF($AA1829="Yes",1,0))</f>
        <v/>
      </c>
      <c r="AR1829">
        <f>IF($AN1829=1,IFERROR(VALUE(MID($E1829,2,20)),1000000000)+ROW()/100000,"")</f>
        <v/>
      </c>
    </row>
    <row r="1830">
      <c r="G1830" s="11" t="n"/>
      <c r="Q1830" s="7">
        <f>IF($E1830="","",P1830*Y1830/100)</f>
        <v/>
      </c>
      <c r="R1830" s="7" t="n"/>
      <c r="X1830" s="7" t="n"/>
      <c r="Y1830" s="7" t="n"/>
      <c r="AB1830">
        <f>IF($E1830="","",IF($AQ1830=1,0,IF($AP1830=1,Settings!$C$6,Settings!$C$7))*100)</f>
        <v/>
      </c>
      <c r="AC1830" s="7">
        <f>IF($E1830="","",Y1830*AB1830/100)</f>
        <v/>
      </c>
      <c r="AD1830" s="7">
        <f>IF($E1830="","",Y1830-AC1830)</f>
        <v/>
      </c>
      <c r="AE1830" s="7">
        <f>IF($E1830="","",AD1830-Q1830)</f>
        <v/>
      </c>
      <c r="AI1830" s="7" t="n"/>
      <c r="AL1830" s="11" t="n"/>
      <c r="AN1830">
        <f>IF($E1830="","",IF(COUNTIF($E$2:$E1830,$E1830)=1,1,0))</f>
        <v/>
      </c>
      <c r="AO1830">
        <f>IF($AN1830=1,SUMPRODUCT(--($AR$2:$AR$4001&lt;$AR1830))+1,"")</f>
        <v/>
      </c>
      <c r="AP1830">
        <f>IF($E1830="","",IF(OR($U1830=TRUE(),$U1830="TRUE"),1,0))</f>
        <v/>
      </c>
      <c r="AQ1830">
        <f>IF($E1830="","",IF($AA1830="Yes",1,0))</f>
        <v/>
      </c>
      <c r="AR1830">
        <f>IF($AN1830=1,IFERROR(VALUE(MID($E1830,2,20)),1000000000)+ROW()/100000,"")</f>
        <v/>
      </c>
    </row>
    <row r="1831">
      <c r="G1831" s="11" t="n"/>
      <c r="Q1831" s="7">
        <f>IF($E1831="","",P1831*Y1831/100)</f>
        <v/>
      </c>
      <c r="R1831" s="7" t="n"/>
      <c r="X1831" s="7" t="n"/>
      <c r="Y1831" s="7" t="n"/>
      <c r="AB1831">
        <f>IF($E1831="","",IF($AQ1831=1,0,IF($AP1831=1,Settings!$C$6,Settings!$C$7))*100)</f>
        <v/>
      </c>
      <c r="AC1831" s="7">
        <f>IF($E1831="","",Y1831*AB1831/100)</f>
        <v/>
      </c>
      <c r="AD1831" s="7">
        <f>IF($E1831="","",Y1831-AC1831)</f>
        <v/>
      </c>
      <c r="AE1831" s="7">
        <f>IF($E1831="","",AD1831-Q1831)</f>
        <v/>
      </c>
      <c r="AI1831" s="7" t="n"/>
      <c r="AL1831" s="11" t="n"/>
      <c r="AN1831">
        <f>IF($E1831="","",IF(COUNTIF($E$2:$E1831,$E1831)=1,1,0))</f>
        <v/>
      </c>
      <c r="AO1831">
        <f>IF($AN1831=1,SUMPRODUCT(--($AR$2:$AR$4001&lt;$AR1831))+1,"")</f>
        <v/>
      </c>
      <c r="AP1831">
        <f>IF($E1831="","",IF(OR($U1831=TRUE(),$U1831="TRUE"),1,0))</f>
        <v/>
      </c>
      <c r="AQ1831">
        <f>IF($E1831="","",IF($AA1831="Yes",1,0))</f>
        <v/>
      </c>
      <c r="AR1831">
        <f>IF($AN1831=1,IFERROR(VALUE(MID($E1831,2,20)),1000000000)+ROW()/100000,"")</f>
        <v/>
      </c>
    </row>
    <row r="1832">
      <c r="G1832" s="11" t="n"/>
      <c r="Q1832" s="7">
        <f>IF($E1832="","",P1832*Y1832/100)</f>
        <v/>
      </c>
      <c r="R1832" s="7" t="n"/>
      <c r="X1832" s="7" t="n"/>
      <c r="Y1832" s="7" t="n"/>
      <c r="AB1832">
        <f>IF($E1832="","",IF($AQ1832=1,0,IF($AP1832=1,Settings!$C$6,Settings!$C$7))*100)</f>
        <v/>
      </c>
      <c r="AC1832" s="7">
        <f>IF($E1832="","",Y1832*AB1832/100)</f>
        <v/>
      </c>
      <c r="AD1832" s="7">
        <f>IF($E1832="","",Y1832-AC1832)</f>
        <v/>
      </c>
      <c r="AE1832" s="7">
        <f>IF($E1832="","",AD1832-Q1832)</f>
        <v/>
      </c>
      <c r="AI1832" s="7" t="n"/>
      <c r="AL1832" s="11" t="n"/>
      <c r="AN1832">
        <f>IF($E1832="","",IF(COUNTIF($E$2:$E1832,$E1832)=1,1,0))</f>
        <v/>
      </c>
      <c r="AO1832">
        <f>IF($AN1832=1,SUMPRODUCT(--($AR$2:$AR$4001&lt;$AR1832))+1,"")</f>
        <v/>
      </c>
      <c r="AP1832">
        <f>IF($E1832="","",IF(OR($U1832=TRUE(),$U1832="TRUE"),1,0))</f>
        <v/>
      </c>
      <c r="AQ1832">
        <f>IF($E1832="","",IF($AA1832="Yes",1,0))</f>
        <v/>
      </c>
      <c r="AR1832">
        <f>IF($AN1832=1,IFERROR(VALUE(MID($E1832,2,20)),1000000000)+ROW()/100000,"")</f>
        <v/>
      </c>
    </row>
    <row r="1833">
      <c r="G1833" s="11" t="n"/>
      <c r="Q1833" s="7">
        <f>IF($E1833="","",P1833*Y1833/100)</f>
        <v/>
      </c>
      <c r="R1833" s="7" t="n"/>
      <c r="X1833" s="7" t="n"/>
      <c r="Y1833" s="7" t="n"/>
      <c r="AB1833">
        <f>IF($E1833="","",IF($AQ1833=1,0,IF($AP1833=1,Settings!$C$6,Settings!$C$7))*100)</f>
        <v/>
      </c>
      <c r="AC1833" s="7">
        <f>IF($E1833="","",Y1833*AB1833/100)</f>
        <v/>
      </c>
      <c r="AD1833" s="7">
        <f>IF($E1833="","",Y1833-AC1833)</f>
        <v/>
      </c>
      <c r="AE1833" s="7">
        <f>IF($E1833="","",AD1833-Q1833)</f>
        <v/>
      </c>
      <c r="AI1833" s="7" t="n"/>
      <c r="AL1833" s="11" t="n"/>
      <c r="AN1833">
        <f>IF($E1833="","",IF(COUNTIF($E$2:$E1833,$E1833)=1,1,0))</f>
        <v/>
      </c>
      <c r="AO1833">
        <f>IF($AN1833=1,SUMPRODUCT(--($AR$2:$AR$4001&lt;$AR1833))+1,"")</f>
        <v/>
      </c>
      <c r="AP1833">
        <f>IF($E1833="","",IF(OR($U1833=TRUE(),$U1833="TRUE"),1,0))</f>
        <v/>
      </c>
      <c r="AQ1833">
        <f>IF($E1833="","",IF($AA1833="Yes",1,0))</f>
        <v/>
      </c>
      <c r="AR1833">
        <f>IF($AN1833=1,IFERROR(VALUE(MID($E1833,2,20)),1000000000)+ROW()/100000,"")</f>
        <v/>
      </c>
    </row>
    <row r="1834">
      <c r="G1834" s="11" t="n"/>
      <c r="Q1834" s="7">
        <f>IF($E1834="","",P1834*Y1834/100)</f>
        <v/>
      </c>
      <c r="R1834" s="7" t="n"/>
      <c r="X1834" s="7" t="n"/>
      <c r="Y1834" s="7" t="n"/>
      <c r="AB1834">
        <f>IF($E1834="","",IF($AQ1834=1,0,IF($AP1834=1,Settings!$C$6,Settings!$C$7))*100)</f>
        <v/>
      </c>
      <c r="AC1834" s="7">
        <f>IF($E1834="","",Y1834*AB1834/100)</f>
        <v/>
      </c>
      <c r="AD1834" s="7">
        <f>IF($E1834="","",Y1834-AC1834)</f>
        <v/>
      </c>
      <c r="AE1834" s="7">
        <f>IF($E1834="","",AD1834-Q1834)</f>
        <v/>
      </c>
      <c r="AI1834" s="7" t="n"/>
      <c r="AL1834" s="11" t="n"/>
      <c r="AN1834">
        <f>IF($E1834="","",IF(COUNTIF($E$2:$E1834,$E1834)=1,1,0))</f>
        <v/>
      </c>
      <c r="AO1834">
        <f>IF($AN1834=1,SUMPRODUCT(--($AR$2:$AR$4001&lt;$AR1834))+1,"")</f>
        <v/>
      </c>
      <c r="AP1834">
        <f>IF($E1834="","",IF(OR($U1834=TRUE(),$U1834="TRUE"),1,0))</f>
        <v/>
      </c>
      <c r="AQ1834">
        <f>IF($E1834="","",IF($AA1834="Yes",1,0))</f>
        <v/>
      </c>
      <c r="AR1834">
        <f>IF($AN1834=1,IFERROR(VALUE(MID($E1834,2,20)),1000000000)+ROW()/100000,"")</f>
        <v/>
      </c>
    </row>
    <row r="1835">
      <c r="G1835" s="11" t="n"/>
      <c r="Q1835" s="7">
        <f>IF($E1835="","",P1835*Y1835/100)</f>
        <v/>
      </c>
      <c r="R1835" s="7" t="n"/>
      <c r="X1835" s="7" t="n"/>
      <c r="Y1835" s="7" t="n"/>
      <c r="AB1835">
        <f>IF($E1835="","",IF($AQ1835=1,0,IF($AP1835=1,Settings!$C$6,Settings!$C$7))*100)</f>
        <v/>
      </c>
      <c r="AC1835" s="7">
        <f>IF($E1835="","",Y1835*AB1835/100)</f>
        <v/>
      </c>
      <c r="AD1835" s="7">
        <f>IF($E1835="","",Y1835-AC1835)</f>
        <v/>
      </c>
      <c r="AE1835" s="7">
        <f>IF($E1835="","",AD1835-Q1835)</f>
        <v/>
      </c>
      <c r="AI1835" s="7" t="n"/>
      <c r="AL1835" s="11" t="n"/>
      <c r="AN1835">
        <f>IF($E1835="","",IF(COUNTIF($E$2:$E1835,$E1835)=1,1,0))</f>
        <v/>
      </c>
      <c r="AO1835">
        <f>IF($AN1835=1,SUMPRODUCT(--($AR$2:$AR$4001&lt;$AR1835))+1,"")</f>
        <v/>
      </c>
      <c r="AP1835">
        <f>IF($E1835="","",IF(OR($U1835=TRUE(),$U1835="TRUE"),1,0))</f>
        <v/>
      </c>
      <c r="AQ1835">
        <f>IF($E1835="","",IF($AA1835="Yes",1,0))</f>
        <v/>
      </c>
      <c r="AR1835">
        <f>IF($AN1835=1,IFERROR(VALUE(MID($E1835,2,20)),1000000000)+ROW()/100000,"")</f>
        <v/>
      </c>
    </row>
    <row r="1836">
      <c r="G1836" s="11" t="n"/>
      <c r="Q1836" s="7">
        <f>IF($E1836="","",P1836*Y1836/100)</f>
        <v/>
      </c>
      <c r="R1836" s="7" t="n"/>
      <c r="X1836" s="7" t="n"/>
      <c r="Y1836" s="7" t="n"/>
      <c r="AB1836">
        <f>IF($E1836="","",IF($AQ1836=1,0,IF($AP1836=1,Settings!$C$6,Settings!$C$7))*100)</f>
        <v/>
      </c>
      <c r="AC1836" s="7">
        <f>IF($E1836="","",Y1836*AB1836/100)</f>
        <v/>
      </c>
      <c r="AD1836" s="7">
        <f>IF($E1836="","",Y1836-AC1836)</f>
        <v/>
      </c>
      <c r="AE1836" s="7">
        <f>IF($E1836="","",AD1836-Q1836)</f>
        <v/>
      </c>
      <c r="AI1836" s="7" t="n"/>
      <c r="AL1836" s="11" t="n"/>
      <c r="AN1836">
        <f>IF($E1836="","",IF(COUNTIF($E$2:$E1836,$E1836)=1,1,0))</f>
        <v/>
      </c>
      <c r="AO1836">
        <f>IF($AN1836=1,SUMPRODUCT(--($AR$2:$AR$4001&lt;$AR1836))+1,"")</f>
        <v/>
      </c>
      <c r="AP1836">
        <f>IF($E1836="","",IF(OR($U1836=TRUE(),$U1836="TRUE"),1,0))</f>
        <v/>
      </c>
      <c r="AQ1836">
        <f>IF($E1836="","",IF($AA1836="Yes",1,0))</f>
        <v/>
      </c>
      <c r="AR1836">
        <f>IF($AN1836=1,IFERROR(VALUE(MID($E1836,2,20)),1000000000)+ROW()/100000,"")</f>
        <v/>
      </c>
    </row>
    <row r="1837">
      <c r="G1837" s="11" t="n"/>
      <c r="Q1837" s="7">
        <f>IF($E1837="","",P1837*Y1837/100)</f>
        <v/>
      </c>
      <c r="R1837" s="7" t="n"/>
      <c r="X1837" s="7" t="n"/>
      <c r="Y1837" s="7" t="n"/>
      <c r="AB1837">
        <f>IF($E1837="","",IF($AQ1837=1,0,IF($AP1837=1,Settings!$C$6,Settings!$C$7))*100)</f>
        <v/>
      </c>
      <c r="AC1837" s="7">
        <f>IF($E1837="","",Y1837*AB1837/100)</f>
        <v/>
      </c>
      <c r="AD1837" s="7">
        <f>IF($E1837="","",Y1837-AC1837)</f>
        <v/>
      </c>
      <c r="AE1837" s="7">
        <f>IF($E1837="","",AD1837-Q1837)</f>
        <v/>
      </c>
      <c r="AI1837" s="7" t="n"/>
      <c r="AL1837" s="11" t="n"/>
      <c r="AN1837">
        <f>IF($E1837="","",IF(COUNTIF($E$2:$E1837,$E1837)=1,1,0))</f>
        <v/>
      </c>
      <c r="AO1837">
        <f>IF($AN1837=1,SUMPRODUCT(--($AR$2:$AR$4001&lt;$AR1837))+1,"")</f>
        <v/>
      </c>
      <c r="AP1837">
        <f>IF($E1837="","",IF(OR($U1837=TRUE(),$U1837="TRUE"),1,0))</f>
        <v/>
      </c>
      <c r="AQ1837">
        <f>IF($E1837="","",IF($AA1837="Yes",1,0))</f>
        <v/>
      </c>
      <c r="AR1837">
        <f>IF($AN1837=1,IFERROR(VALUE(MID($E1837,2,20)),1000000000)+ROW()/100000,"")</f>
        <v/>
      </c>
    </row>
    <row r="1838">
      <c r="G1838" s="11" t="n"/>
      <c r="Q1838" s="7">
        <f>IF($E1838="","",P1838*Y1838/100)</f>
        <v/>
      </c>
      <c r="R1838" s="7" t="n"/>
      <c r="X1838" s="7" t="n"/>
      <c r="Y1838" s="7" t="n"/>
      <c r="AB1838">
        <f>IF($E1838="","",IF($AQ1838=1,0,IF($AP1838=1,Settings!$C$6,Settings!$C$7))*100)</f>
        <v/>
      </c>
      <c r="AC1838" s="7">
        <f>IF($E1838="","",Y1838*AB1838/100)</f>
        <v/>
      </c>
      <c r="AD1838" s="7">
        <f>IF($E1838="","",Y1838-AC1838)</f>
        <v/>
      </c>
      <c r="AE1838" s="7">
        <f>IF($E1838="","",AD1838-Q1838)</f>
        <v/>
      </c>
      <c r="AI1838" s="7" t="n"/>
      <c r="AL1838" s="11" t="n"/>
      <c r="AN1838">
        <f>IF($E1838="","",IF(COUNTIF($E$2:$E1838,$E1838)=1,1,0))</f>
        <v/>
      </c>
      <c r="AO1838">
        <f>IF($AN1838=1,SUMPRODUCT(--($AR$2:$AR$4001&lt;$AR1838))+1,"")</f>
        <v/>
      </c>
      <c r="AP1838">
        <f>IF($E1838="","",IF(OR($U1838=TRUE(),$U1838="TRUE"),1,0))</f>
        <v/>
      </c>
      <c r="AQ1838">
        <f>IF($E1838="","",IF($AA1838="Yes",1,0))</f>
        <v/>
      </c>
      <c r="AR1838">
        <f>IF($AN1838=1,IFERROR(VALUE(MID($E1838,2,20)),1000000000)+ROW()/100000,"")</f>
        <v/>
      </c>
    </row>
    <row r="1839">
      <c r="G1839" s="11" t="n"/>
      <c r="Q1839" s="7">
        <f>IF($E1839="","",P1839*Y1839/100)</f>
        <v/>
      </c>
      <c r="R1839" s="7" t="n"/>
      <c r="X1839" s="7" t="n"/>
      <c r="Y1839" s="7" t="n"/>
      <c r="AB1839">
        <f>IF($E1839="","",IF($AQ1839=1,0,IF($AP1839=1,Settings!$C$6,Settings!$C$7))*100)</f>
        <v/>
      </c>
      <c r="AC1839" s="7">
        <f>IF($E1839="","",Y1839*AB1839/100)</f>
        <v/>
      </c>
      <c r="AD1839" s="7">
        <f>IF($E1839="","",Y1839-AC1839)</f>
        <v/>
      </c>
      <c r="AE1839" s="7">
        <f>IF($E1839="","",AD1839-Q1839)</f>
        <v/>
      </c>
      <c r="AI1839" s="7" t="n"/>
      <c r="AL1839" s="11" t="n"/>
      <c r="AN1839">
        <f>IF($E1839="","",IF(COUNTIF($E$2:$E1839,$E1839)=1,1,0))</f>
        <v/>
      </c>
      <c r="AO1839">
        <f>IF($AN1839=1,SUMPRODUCT(--($AR$2:$AR$4001&lt;$AR1839))+1,"")</f>
        <v/>
      </c>
      <c r="AP1839">
        <f>IF($E1839="","",IF(OR($U1839=TRUE(),$U1839="TRUE"),1,0))</f>
        <v/>
      </c>
      <c r="AQ1839">
        <f>IF($E1839="","",IF($AA1839="Yes",1,0))</f>
        <v/>
      </c>
      <c r="AR1839">
        <f>IF($AN1839=1,IFERROR(VALUE(MID($E1839,2,20)),1000000000)+ROW()/100000,"")</f>
        <v/>
      </c>
    </row>
    <row r="1840">
      <c r="G1840" s="11" t="n"/>
      <c r="Q1840" s="7">
        <f>IF($E1840="","",P1840*Y1840/100)</f>
        <v/>
      </c>
      <c r="R1840" s="7" t="n"/>
      <c r="X1840" s="7" t="n"/>
      <c r="Y1840" s="7" t="n"/>
      <c r="AB1840">
        <f>IF($E1840="","",IF($AQ1840=1,0,IF($AP1840=1,Settings!$C$6,Settings!$C$7))*100)</f>
        <v/>
      </c>
      <c r="AC1840" s="7">
        <f>IF($E1840="","",Y1840*AB1840/100)</f>
        <v/>
      </c>
      <c r="AD1840" s="7">
        <f>IF($E1840="","",Y1840-AC1840)</f>
        <v/>
      </c>
      <c r="AE1840" s="7">
        <f>IF($E1840="","",AD1840-Q1840)</f>
        <v/>
      </c>
      <c r="AI1840" s="7" t="n"/>
      <c r="AL1840" s="11" t="n"/>
      <c r="AN1840">
        <f>IF($E1840="","",IF(COUNTIF($E$2:$E1840,$E1840)=1,1,0))</f>
        <v/>
      </c>
      <c r="AO1840">
        <f>IF($AN1840=1,SUMPRODUCT(--($AR$2:$AR$4001&lt;$AR1840))+1,"")</f>
        <v/>
      </c>
      <c r="AP1840">
        <f>IF($E1840="","",IF(OR($U1840=TRUE(),$U1840="TRUE"),1,0))</f>
        <v/>
      </c>
      <c r="AQ1840">
        <f>IF($E1840="","",IF($AA1840="Yes",1,0))</f>
        <v/>
      </c>
      <c r="AR1840">
        <f>IF($AN1840=1,IFERROR(VALUE(MID($E1840,2,20)),1000000000)+ROW()/100000,"")</f>
        <v/>
      </c>
    </row>
    <row r="1841">
      <c r="G1841" s="11" t="n"/>
      <c r="Q1841" s="7">
        <f>IF($E1841="","",P1841*Y1841/100)</f>
        <v/>
      </c>
      <c r="R1841" s="7" t="n"/>
      <c r="X1841" s="7" t="n"/>
      <c r="Y1841" s="7" t="n"/>
      <c r="AB1841">
        <f>IF($E1841="","",IF($AQ1841=1,0,IF($AP1841=1,Settings!$C$6,Settings!$C$7))*100)</f>
        <v/>
      </c>
      <c r="AC1841" s="7">
        <f>IF($E1841="","",Y1841*AB1841/100)</f>
        <v/>
      </c>
      <c r="AD1841" s="7">
        <f>IF($E1841="","",Y1841-AC1841)</f>
        <v/>
      </c>
      <c r="AE1841" s="7">
        <f>IF($E1841="","",AD1841-Q1841)</f>
        <v/>
      </c>
      <c r="AI1841" s="7" t="n"/>
      <c r="AL1841" s="11" t="n"/>
      <c r="AN1841">
        <f>IF($E1841="","",IF(COUNTIF($E$2:$E1841,$E1841)=1,1,0))</f>
        <v/>
      </c>
      <c r="AO1841">
        <f>IF($AN1841=1,SUMPRODUCT(--($AR$2:$AR$4001&lt;$AR1841))+1,"")</f>
        <v/>
      </c>
      <c r="AP1841">
        <f>IF($E1841="","",IF(OR($U1841=TRUE(),$U1841="TRUE"),1,0))</f>
        <v/>
      </c>
      <c r="AQ1841">
        <f>IF($E1841="","",IF($AA1841="Yes",1,0))</f>
        <v/>
      </c>
      <c r="AR1841">
        <f>IF($AN1841=1,IFERROR(VALUE(MID($E1841,2,20)),1000000000)+ROW()/100000,"")</f>
        <v/>
      </c>
    </row>
    <row r="1842">
      <c r="G1842" s="11" t="n"/>
      <c r="Q1842" s="7">
        <f>IF($E1842="","",P1842*Y1842/100)</f>
        <v/>
      </c>
      <c r="R1842" s="7" t="n"/>
      <c r="X1842" s="7" t="n"/>
      <c r="Y1842" s="7" t="n"/>
      <c r="AB1842">
        <f>IF($E1842="","",IF($AQ1842=1,0,IF($AP1842=1,Settings!$C$6,Settings!$C$7))*100)</f>
        <v/>
      </c>
      <c r="AC1842" s="7">
        <f>IF($E1842="","",Y1842*AB1842/100)</f>
        <v/>
      </c>
      <c r="AD1842" s="7">
        <f>IF($E1842="","",Y1842-AC1842)</f>
        <v/>
      </c>
      <c r="AE1842" s="7">
        <f>IF($E1842="","",AD1842-Q1842)</f>
        <v/>
      </c>
      <c r="AI1842" s="7" t="n"/>
      <c r="AL1842" s="11" t="n"/>
      <c r="AN1842">
        <f>IF($E1842="","",IF(COUNTIF($E$2:$E1842,$E1842)=1,1,0))</f>
        <v/>
      </c>
      <c r="AO1842">
        <f>IF($AN1842=1,SUMPRODUCT(--($AR$2:$AR$4001&lt;$AR1842))+1,"")</f>
        <v/>
      </c>
      <c r="AP1842">
        <f>IF($E1842="","",IF(OR($U1842=TRUE(),$U1842="TRUE"),1,0))</f>
        <v/>
      </c>
      <c r="AQ1842">
        <f>IF($E1842="","",IF($AA1842="Yes",1,0))</f>
        <v/>
      </c>
      <c r="AR1842">
        <f>IF($AN1842=1,IFERROR(VALUE(MID($E1842,2,20)),1000000000)+ROW()/100000,"")</f>
        <v/>
      </c>
    </row>
    <row r="1843">
      <c r="G1843" s="11" t="n"/>
      <c r="Q1843" s="7">
        <f>IF($E1843="","",P1843*Y1843/100)</f>
        <v/>
      </c>
      <c r="R1843" s="7" t="n"/>
      <c r="X1843" s="7" t="n"/>
      <c r="Y1843" s="7" t="n"/>
      <c r="AB1843">
        <f>IF($E1843="","",IF($AQ1843=1,0,IF($AP1843=1,Settings!$C$6,Settings!$C$7))*100)</f>
        <v/>
      </c>
      <c r="AC1843" s="7">
        <f>IF($E1843="","",Y1843*AB1843/100)</f>
        <v/>
      </c>
      <c r="AD1843" s="7">
        <f>IF($E1843="","",Y1843-AC1843)</f>
        <v/>
      </c>
      <c r="AE1843" s="7">
        <f>IF($E1843="","",AD1843-Q1843)</f>
        <v/>
      </c>
      <c r="AI1843" s="7" t="n"/>
      <c r="AL1843" s="11" t="n"/>
      <c r="AN1843">
        <f>IF($E1843="","",IF(COUNTIF($E$2:$E1843,$E1843)=1,1,0))</f>
        <v/>
      </c>
      <c r="AO1843">
        <f>IF($AN1843=1,SUMPRODUCT(--($AR$2:$AR$4001&lt;$AR1843))+1,"")</f>
        <v/>
      </c>
      <c r="AP1843">
        <f>IF($E1843="","",IF(OR($U1843=TRUE(),$U1843="TRUE"),1,0))</f>
        <v/>
      </c>
      <c r="AQ1843">
        <f>IF($E1843="","",IF($AA1843="Yes",1,0))</f>
        <v/>
      </c>
      <c r="AR1843">
        <f>IF($AN1843=1,IFERROR(VALUE(MID($E1843,2,20)),1000000000)+ROW()/100000,"")</f>
        <v/>
      </c>
    </row>
    <row r="1844">
      <c r="G1844" s="11" t="n"/>
      <c r="Q1844" s="7">
        <f>IF($E1844="","",P1844*Y1844/100)</f>
        <v/>
      </c>
      <c r="R1844" s="7" t="n"/>
      <c r="X1844" s="7" t="n"/>
      <c r="Y1844" s="7" t="n"/>
      <c r="AB1844">
        <f>IF($E1844="","",IF($AQ1844=1,0,IF($AP1844=1,Settings!$C$6,Settings!$C$7))*100)</f>
        <v/>
      </c>
      <c r="AC1844" s="7">
        <f>IF($E1844="","",Y1844*AB1844/100)</f>
        <v/>
      </c>
      <c r="AD1844" s="7">
        <f>IF($E1844="","",Y1844-AC1844)</f>
        <v/>
      </c>
      <c r="AE1844" s="7">
        <f>IF($E1844="","",AD1844-Q1844)</f>
        <v/>
      </c>
      <c r="AI1844" s="7" t="n"/>
      <c r="AL1844" s="11" t="n"/>
      <c r="AN1844">
        <f>IF($E1844="","",IF(COUNTIF($E$2:$E1844,$E1844)=1,1,0))</f>
        <v/>
      </c>
      <c r="AO1844">
        <f>IF($AN1844=1,SUMPRODUCT(--($AR$2:$AR$4001&lt;$AR1844))+1,"")</f>
        <v/>
      </c>
      <c r="AP1844">
        <f>IF($E1844="","",IF(OR($U1844=TRUE(),$U1844="TRUE"),1,0))</f>
        <v/>
      </c>
      <c r="AQ1844">
        <f>IF($E1844="","",IF($AA1844="Yes",1,0))</f>
        <v/>
      </c>
      <c r="AR1844">
        <f>IF($AN1844=1,IFERROR(VALUE(MID($E1844,2,20)),1000000000)+ROW()/100000,"")</f>
        <v/>
      </c>
    </row>
    <row r="1845">
      <c r="G1845" s="11" t="n"/>
      <c r="Q1845" s="7">
        <f>IF($E1845="","",P1845*Y1845/100)</f>
        <v/>
      </c>
      <c r="R1845" s="7" t="n"/>
      <c r="X1845" s="7" t="n"/>
      <c r="Y1845" s="7" t="n"/>
      <c r="AB1845">
        <f>IF($E1845="","",IF($AQ1845=1,0,IF($AP1845=1,Settings!$C$6,Settings!$C$7))*100)</f>
        <v/>
      </c>
      <c r="AC1845" s="7">
        <f>IF($E1845="","",Y1845*AB1845/100)</f>
        <v/>
      </c>
      <c r="AD1845" s="7">
        <f>IF($E1845="","",Y1845-AC1845)</f>
        <v/>
      </c>
      <c r="AE1845" s="7">
        <f>IF($E1845="","",AD1845-Q1845)</f>
        <v/>
      </c>
      <c r="AI1845" s="7" t="n"/>
      <c r="AL1845" s="11" t="n"/>
      <c r="AN1845">
        <f>IF($E1845="","",IF(COUNTIF($E$2:$E1845,$E1845)=1,1,0))</f>
        <v/>
      </c>
      <c r="AO1845">
        <f>IF($AN1845=1,SUMPRODUCT(--($AR$2:$AR$4001&lt;$AR1845))+1,"")</f>
        <v/>
      </c>
      <c r="AP1845">
        <f>IF($E1845="","",IF(OR($U1845=TRUE(),$U1845="TRUE"),1,0))</f>
        <v/>
      </c>
      <c r="AQ1845">
        <f>IF($E1845="","",IF($AA1845="Yes",1,0))</f>
        <v/>
      </c>
      <c r="AR1845">
        <f>IF($AN1845=1,IFERROR(VALUE(MID($E1845,2,20)),1000000000)+ROW()/100000,"")</f>
        <v/>
      </c>
    </row>
    <row r="1846">
      <c r="G1846" s="11" t="n"/>
      <c r="Q1846" s="7">
        <f>IF($E1846="","",P1846*Y1846/100)</f>
        <v/>
      </c>
      <c r="R1846" s="7" t="n"/>
      <c r="X1846" s="7" t="n"/>
      <c r="Y1846" s="7" t="n"/>
      <c r="AB1846">
        <f>IF($E1846="","",IF($AQ1846=1,0,IF($AP1846=1,Settings!$C$6,Settings!$C$7))*100)</f>
        <v/>
      </c>
      <c r="AC1846" s="7">
        <f>IF($E1846="","",Y1846*AB1846/100)</f>
        <v/>
      </c>
      <c r="AD1846" s="7">
        <f>IF($E1846="","",Y1846-AC1846)</f>
        <v/>
      </c>
      <c r="AE1846" s="7">
        <f>IF($E1846="","",AD1846-Q1846)</f>
        <v/>
      </c>
      <c r="AI1846" s="7" t="n"/>
      <c r="AL1846" s="11" t="n"/>
      <c r="AN1846">
        <f>IF($E1846="","",IF(COUNTIF($E$2:$E1846,$E1846)=1,1,0))</f>
        <v/>
      </c>
      <c r="AO1846">
        <f>IF($AN1846=1,SUMPRODUCT(--($AR$2:$AR$4001&lt;$AR1846))+1,"")</f>
        <v/>
      </c>
      <c r="AP1846">
        <f>IF($E1846="","",IF(OR($U1846=TRUE(),$U1846="TRUE"),1,0))</f>
        <v/>
      </c>
      <c r="AQ1846">
        <f>IF($E1846="","",IF($AA1846="Yes",1,0))</f>
        <v/>
      </c>
      <c r="AR1846">
        <f>IF($AN1846=1,IFERROR(VALUE(MID($E1846,2,20)),1000000000)+ROW()/100000,"")</f>
        <v/>
      </c>
    </row>
    <row r="1847">
      <c r="G1847" s="11" t="n"/>
      <c r="Q1847" s="7">
        <f>IF($E1847="","",P1847*Y1847/100)</f>
        <v/>
      </c>
      <c r="R1847" s="7" t="n"/>
      <c r="X1847" s="7" t="n"/>
      <c r="Y1847" s="7" t="n"/>
      <c r="AB1847">
        <f>IF($E1847="","",IF($AQ1847=1,0,IF($AP1847=1,Settings!$C$6,Settings!$C$7))*100)</f>
        <v/>
      </c>
      <c r="AC1847" s="7">
        <f>IF($E1847="","",Y1847*AB1847/100)</f>
        <v/>
      </c>
      <c r="AD1847" s="7">
        <f>IF($E1847="","",Y1847-AC1847)</f>
        <v/>
      </c>
      <c r="AE1847" s="7">
        <f>IF($E1847="","",AD1847-Q1847)</f>
        <v/>
      </c>
      <c r="AI1847" s="7" t="n"/>
      <c r="AL1847" s="11" t="n"/>
      <c r="AN1847">
        <f>IF($E1847="","",IF(COUNTIF($E$2:$E1847,$E1847)=1,1,0))</f>
        <v/>
      </c>
      <c r="AO1847">
        <f>IF($AN1847=1,SUMPRODUCT(--($AR$2:$AR$4001&lt;$AR1847))+1,"")</f>
        <v/>
      </c>
      <c r="AP1847">
        <f>IF($E1847="","",IF(OR($U1847=TRUE(),$U1847="TRUE"),1,0))</f>
        <v/>
      </c>
      <c r="AQ1847">
        <f>IF($E1847="","",IF($AA1847="Yes",1,0))</f>
        <v/>
      </c>
      <c r="AR1847">
        <f>IF($AN1847=1,IFERROR(VALUE(MID($E1847,2,20)),1000000000)+ROW()/100000,"")</f>
        <v/>
      </c>
    </row>
    <row r="1848">
      <c r="G1848" s="11" t="n"/>
      <c r="Q1848" s="7">
        <f>IF($E1848="","",P1848*Y1848/100)</f>
        <v/>
      </c>
      <c r="R1848" s="7" t="n"/>
      <c r="X1848" s="7" t="n"/>
      <c r="Y1848" s="7" t="n"/>
      <c r="AB1848">
        <f>IF($E1848="","",IF($AQ1848=1,0,IF($AP1848=1,Settings!$C$6,Settings!$C$7))*100)</f>
        <v/>
      </c>
      <c r="AC1848" s="7">
        <f>IF($E1848="","",Y1848*AB1848/100)</f>
        <v/>
      </c>
      <c r="AD1848" s="7">
        <f>IF($E1848="","",Y1848-AC1848)</f>
        <v/>
      </c>
      <c r="AE1848" s="7">
        <f>IF($E1848="","",AD1848-Q1848)</f>
        <v/>
      </c>
      <c r="AI1848" s="7" t="n"/>
      <c r="AL1848" s="11" t="n"/>
      <c r="AN1848">
        <f>IF($E1848="","",IF(COUNTIF($E$2:$E1848,$E1848)=1,1,0))</f>
        <v/>
      </c>
      <c r="AO1848">
        <f>IF($AN1848=1,SUMPRODUCT(--($AR$2:$AR$4001&lt;$AR1848))+1,"")</f>
        <v/>
      </c>
      <c r="AP1848">
        <f>IF($E1848="","",IF(OR($U1848=TRUE(),$U1848="TRUE"),1,0))</f>
        <v/>
      </c>
      <c r="AQ1848">
        <f>IF($E1848="","",IF($AA1848="Yes",1,0))</f>
        <v/>
      </c>
      <c r="AR1848">
        <f>IF($AN1848=1,IFERROR(VALUE(MID($E1848,2,20)),1000000000)+ROW()/100000,"")</f>
        <v/>
      </c>
    </row>
    <row r="1849">
      <c r="G1849" s="11" t="n"/>
      <c r="Q1849" s="7">
        <f>IF($E1849="","",P1849*Y1849/100)</f>
        <v/>
      </c>
      <c r="R1849" s="7" t="n"/>
      <c r="X1849" s="7" t="n"/>
      <c r="Y1849" s="7" t="n"/>
      <c r="AB1849">
        <f>IF($E1849="","",IF($AQ1849=1,0,IF($AP1849=1,Settings!$C$6,Settings!$C$7))*100)</f>
        <v/>
      </c>
      <c r="AC1849" s="7">
        <f>IF($E1849="","",Y1849*AB1849/100)</f>
        <v/>
      </c>
      <c r="AD1849" s="7">
        <f>IF($E1849="","",Y1849-AC1849)</f>
        <v/>
      </c>
      <c r="AE1849" s="7">
        <f>IF($E1849="","",AD1849-Q1849)</f>
        <v/>
      </c>
      <c r="AI1849" s="7" t="n"/>
      <c r="AL1849" s="11" t="n"/>
      <c r="AN1849">
        <f>IF($E1849="","",IF(COUNTIF($E$2:$E1849,$E1849)=1,1,0))</f>
        <v/>
      </c>
      <c r="AO1849">
        <f>IF($AN1849=1,SUMPRODUCT(--($AR$2:$AR$4001&lt;$AR1849))+1,"")</f>
        <v/>
      </c>
      <c r="AP1849">
        <f>IF($E1849="","",IF(OR($U1849=TRUE(),$U1849="TRUE"),1,0))</f>
        <v/>
      </c>
      <c r="AQ1849">
        <f>IF($E1849="","",IF($AA1849="Yes",1,0))</f>
        <v/>
      </c>
      <c r="AR1849">
        <f>IF($AN1849=1,IFERROR(VALUE(MID($E1849,2,20)),1000000000)+ROW()/100000,"")</f>
        <v/>
      </c>
    </row>
    <row r="1850">
      <c r="G1850" s="11" t="n"/>
      <c r="Q1850" s="7">
        <f>IF($E1850="","",P1850*Y1850/100)</f>
        <v/>
      </c>
      <c r="R1850" s="7" t="n"/>
      <c r="X1850" s="7" t="n"/>
      <c r="Y1850" s="7" t="n"/>
      <c r="AB1850">
        <f>IF($E1850="","",IF($AQ1850=1,0,IF($AP1850=1,Settings!$C$6,Settings!$C$7))*100)</f>
        <v/>
      </c>
      <c r="AC1850" s="7">
        <f>IF($E1850="","",Y1850*AB1850/100)</f>
        <v/>
      </c>
      <c r="AD1850" s="7">
        <f>IF($E1850="","",Y1850-AC1850)</f>
        <v/>
      </c>
      <c r="AE1850" s="7">
        <f>IF($E1850="","",AD1850-Q1850)</f>
        <v/>
      </c>
      <c r="AI1850" s="7" t="n"/>
      <c r="AL1850" s="11" t="n"/>
      <c r="AN1850">
        <f>IF($E1850="","",IF(COUNTIF($E$2:$E1850,$E1850)=1,1,0))</f>
        <v/>
      </c>
      <c r="AO1850">
        <f>IF($AN1850=1,SUMPRODUCT(--($AR$2:$AR$4001&lt;$AR1850))+1,"")</f>
        <v/>
      </c>
      <c r="AP1850">
        <f>IF($E1850="","",IF(OR($U1850=TRUE(),$U1850="TRUE"),1,0))</f>
        <v/>
      </c>
      <c r="AQ1850">
        <f>IF($E1850="","",IF($AA1850="Yes",1,0))</f>
        <v/>
      </c>
      <c r="AR1850">
        <f>IF($AN1850=1,IFERROR(VALUE(MID($E1850,2,20)),1000000000)+ROW()/100000,"")</f>
        <v/>
      </c>
    </row>
    <row r="1851">
      <c r="G1851" s="11" t="n"/>
      <c r="Q1851" s="7">
        <f>IF($E1851="","",P1851*Y1851/100)</f>
        <v/>
      </c>
      <c r="R1851" s="7" t="n"/>
      <c r="X1851" s="7" t="n"/>
      <c r="Y1851" s="7" t="n"/>
      <c r="AB1851">
        <f>IF($E1851="","",IF($AQ1851=1,0,IF($AP1851=1,Settings!$C$6,Settings!$C$7))*100)</f>
        <v/>
      </c>
      <c r="AC1851" s="7">
        <f>IF($E1851="","",Y1851*AB1851/100)</f>
        <v/>
      </c>
      <c r="AD1851" s="7">
        <f>IF($E1851="","",Y1851-AC1851)</f>
        <v/>
      </c>
      <c r="AE1851" s="7">
        <f>IF($E1851="","",AD1851-Q1851)</f>
        <v/>
      </c>
      <c r="AI1851" s="7" t="n"/>
      <c r="AL1851" s="11" t="n"/>
      <c r="AN1851">
        <f>IF($E1851="","",IF(COUNTIF($E$2:$E1851,$E1851)=1,1,0))</f>
        <v/>
      </c>
      <c r="AO1851">
        <f>IF($AN1851=1,SUMPRODUCT(--($AR$2:$AR$4001&lt;$AR1851))+1,"")</f>
        <v/>
      </c>
      <c r="AP1851">
        <f>IF($E1851="","",IF(OR($U1851=TRUE(),$U1851="TRUE"),1,0))</f>
        <v/>
      </c>
      <c r="AQ1851">
        <f>IF($E1851="","",IF($AA1851="Yes",1,0))</f>
        <v/>
      </c>
      <c r="AR1851">
        <f>IF($AN1851=1,IFERROR(VALUE(MID($E1851,2,20)),1000000000)+ROW()/100000,"")</f>
        <v/>
      </c>
    </row>
    <row r="1852">
      <c r="G1852" s="11" t="n"/>
      <c r="Q1852" s="7">
        <f>IF($E1852="","",P1852*Y1852/100)</f>
        <v/>
      </c>
      <c r="R1852" s="7" t="n"/>
      <c r="X1852" s="7" t="n"/>
      <c r="Y1852" s="7" t="n"/>
      <c r="AB1852">
        <f>IF($E1852="","",IF($AQ1852=1,0,IF($AP1852=1,Settings!$C$6,Settings!$C$7))*100)</f>
        <v/>
      </c>
      <c r="AC1852" s="7">
        <f>IF($E1852="","",Y1852*AB1852/100)</f>
        <v/>
      </c>
      <c r="AD1852" s="7">
        <f>IF($E1852="","",Y1852-AC1852)</f>
        <v/>
      </c>
      <c r="AE1852" s="7">
        <f>IF($E1852="","",AD1852-Q1852)</f>
        <v/>
      </c>
      <c r="AI1852" s="7" t="n"/>
      <c r="AL1852" s="11" t="n"/>
      <c r="AN1852">
        <f>IF($E1852="","",IF(COUNTIF($E$2:$E1852,$E1852)=1,1,0))</f>
        <v/>
      </c>
      <c r="AO1852">
        <f>IF($AN1852=1,SUMPRODUCT(--($AR$2:$AR$4001&lt;$AR1852))+1,"")</f>
        <v/>
      </c>
      <c r="AP1852">
        <f>IF($E1852="","",IF(OR($U1852=TRUE(),$U1852="TRUE"),1,0))</f>
        <v/>
      </c>
      <c r="AQ1852">
        <f>IF($E1852="","",IF($AA1852="Yes",1,0))</f>
        <v/>
      </c>
      <c r="AR1852">
        <f>IF($AN1852=1,IFERROR(VALUE(MID($E1852,2,20)),1000000000)+ROW()/100000,"")</f>
        <v/>
      </c>
    </row>
    <row r="1853">
      <c r="G1853" s="11" t="n"/>
      <c r="Q1853" s="7">
        <f>IF($E1853="","",P1853*Y1853/100)</f>
        <v/>
      </c>
      <c r="R1853" s="7" t="n"/>
      <c r="X1853" s="7" t="n"/>
      <c r="Y1853" s="7" t="n"/>
      <c r="AB1853">
        <f>IF($E1853="","",IF($AQ1853=1,0,IF($AP1853=1,Settings!$C$6,Settings!$C$7))*100)</f>
        <v/>
      </c>
      <c r="AC1853" s="7">
        <f>IF($E1853="","",Y1853*AB1853/100)</f>
        <v/>
      </c>
      <c r="AD1853" s="7">
        <f>IF($E1853="","",Y1853-AC1853)</f>
        <v/>
      </c>
      <c r="AE1853" s="7">
        <f>IF($E1853="","",AD1853-Q1853)</f>
        <v/>
      </c>
      <c r="AI1853" s="7" t="n"/>
      <c r="AL1853" s="11" t="n"/>
      <c r="AN1853">
        <f>IF($E1853="","",IF(COUNTIF($E$2:$E1853,$E1853)=1,1,0))</f>
        <v/>
      </c>
      <c r="AO1853">
        <f>IF($AN1853=1,SUMPRODUCT(--($AR$2:$AR$4001&lt;$AR1853))+1,"")</f>
        <v/>
      </c>
      <c r="AP1853">
        <f>IF($E1853="","",IF(OR($U1853=TRUE(),$U1853="TRUE"),1,0))</f>
        <v/>
      </c>
      <c r="AQ1853">
        <f>IF($E1853="","",IF($AA1853="Yes",1,0))</f>
        <v/>
      </c>
      <c r="AR1853">
        <f>IF($AN1853=1,IFERROR(VALUE(MID($E1853,2,20)),1000000000)+ROW()/100000,"")</f>
        <v/>
      </c>
    </row>
    <row r="1854">
      <c r="G1854" s="11" t="n"/>
      <c r="Q1854" s="7">
        <f>IF($E1854="","",P1854*Y1854/100)</f>
        <v/>
      </c>
      <c r="R1854" s="7" t="n"/>
      <c r="X1854" s="7" t="n"/>
      <c r="Y1854" s="7" t="n"/>
      <c r="AB1854">
        <f>IF($E1854="","",IF($AQ1854=1,0,IF($AP1854=1,Settings!$C$6,Settings!$C$7))*100)</f>
        <v/>
      </c>
      <c r="AC1854" s="7">
        <f>IF($E1854="","",Y1854*AB1854/100)</f>
        <v/>
      </c>
      <c r="AD1854" s="7">
        <f>IF($E1854="","",Y1854-AC1854)</f>
        <v/>
      </c>
      <c r="AE1854" s="7">
        <f>IF($E1854="","",AD1854-Q1854)</f>
        <v/>
      </c>
      <c r="AI1854" s="7" t="n"/>
      <c r="AL1854" s="11" t="n"/>
      <c r="AN1854">
        <f>IF($E1854="","",IF(COUNTIF($E$2:$E1854,$E1854)=1,1,0))</f>
        <v/>
      </c>
      <c r="AO1854">
        <f>IF($AN1854=1,SUMPRODUCT(--($AR$2:$AR$4001&lt;$AR1854))+1,"")</f>
        <v/>
      </c>
      <c r="AP1854">
        <f>IF($E1854="","",IF(OR($U1854=TRUE(),$U1854="TRUE"),1,0))</f>
        <v/>
      </c>
      <c r="AQ1854">
        <f>IF($E1854="","",IF($AA1854="Yes",1,0))</f>
        <v/>
      </c>
      <c r="AR1854">
        <f>IF($AN1854=1,IFERROR(VALUE(MID($E1854,2,20)),1000000000)+ROW()/100000,"")</f>
        <v/>
      </c>
    </row>
    <row r="1855">
      <c r="G1855" s="11" t="n"/>
      <c r="Q1855" s="7">
        <f>IF($E1855="","",P1855*Y1855/100)</f>
        <v/>
      </c>
      <c r="R1855" s="7" t="n"/>
      <c r="X1855" s="7" t="n"/>
      <c r="Y1855" s="7" t="n"/>
      <c r="AB1855">
        <f>IF($E1855="","",IF($AQ1855=1,0,IF($AP1855=1,Settings!$C$6,Settings!$C$7))*100)</f>
        <v/>
      </c>
      <c r="AC1855" s="7">
        <f>IF($E1855="","",Y1855*AB1855/100)</f>
        <v/>
      </c>
      <c r="AD1855" s="7">
        <f>IF($E1855="","",Y1855-AC1855)</f>
        <v/>
      </c>
      <c r="AE1855" s="7">
        <f>IF($E1855="","",AD1855-Q1855)</f>
        <v/>
      </c>
      <c r="AI1855" s="7" t="n"/>
      <c r="AL1855" s="11" t="n"/>
      <c r="AN1855">
        <f>IF($E1855="","",IF(COUNTIF($E$2:$E1855,$E1855)=1,1,0))</f>
        <v/>
      </c>
      <c r="AO1855">
        <f>IF($AN1855=1,SUMPRODUCT(--($AR$2:$AR$4001&lt;$AR1855))+1,"")</f>
        <v/>
      </c>
      <c r="AP1855">
        <f>IF($E1855="","",IF(OR($U1855=TRUE(),$U1855="TRUE"),1,0))</f>
        <v/>
      </c>
      <c r="AQ1855">
        <f>IF($E1855="","",IF($AA1855="Yes",1,0))</f>
        <v/>
      </c>
      <c r="AR1855">
        <f>IF($AN1855=1,IFERROR(VALUE(MID($E1855,2,20)),1000000000)+ROW()/100000,"")</f>
        <v/>
      </c>
    </row>
    <row r="1856">
      <c r="G1856" s="11" t="n"/>
      <c r="Q1856" s="7">
        <f>IF($E1856="","",P1856*Y1856/100)</f>
        <v/>
      </c>
      <c r="R1856" s="7" t="n"/>
      <c r="X1856" s="7" t="n"/>
      <c r="Y1856" s="7" t="n"/>
      <c r="AB1856">
        <f>IF($E1856="","",IF($AQ1856=1,0,IF($AP1856=1,Settings!$C$6,Settings!$C$7))*100)</f>
        <v/>
      </c>
      <c r="AC1856" s="7">
        <f>IF($E1856="","",Y1856*AB1856/100)</f>
        <v/>
      </c>
      <c r="AD1856" s="7">
        <f>IF($E1856="","",Y1856-AC1856)</f>
        <v/>
      </c>
      <c r="AE1856" s="7">
        <f>IF($E1856="","",AD1856-Q1856)</f>
        <v/>
      </c>
      <c r="AI1856" s="7" t="n"/>
      <c r="AL1856" s="11" t="n"/>
      <c r="AN1856">
        <f>IF($E1856="","",IF(COUNTIF($E$2:$E1856,$E1856)=1,1,0))</f>
        <v/>
      </c>
      <c r="AO1856">
        <f>IF($AN1856=1,SUMPRODUCT(--($AR$2:$AR$4001&lt;$AR1856))+1,"")</f>
        <v/>
      </c>
      <c r="AP1856">
        <f>IF($E1856="","",IF(OR($U1856=TRUE(),$U1856="TRUE"),1,0))</f>
        <v/>
      </c>
      <c r="AQ1856">
        <f>IF($E1856="","",IF($AA1856="Yes",1,0))</f>
        <v/>
      </c>
      <c r="AR1856">
        <f>IF($AN1856=1,IFERROR(VALUE(MID($E1856,2,20)),1000000000)+ROW()/100000,"")</f>
        <v/>
      </c>
    </row>
    <row r="1857">
      <c r="G1857" s="11" t="n"/>
      <c r="Q1857" s="7">
        <f>IF($E1857="","",P1857*Y1857/100)</f>
        <v/>
      </c>
      <c r="R1857" s="7" t="n"/>
      <c r="X1857" s="7" t="n"/>
      <c r="Y1857" s="7" t="n"/>
      <c r="AB1857">
        <f>IF($E1857="","",IF($AQ1857=1,0,IF($AP1857=1,Settings!$C$6,Settings!$C$7))*100)</f>
        <v/>
      </c>
      <c r="AC1857" s="7">
        <f>IF($E1857="","",Y1857*AB1857/100)</f>
        <v/>
      </c>
      <c r="AD1857" s="7">
        <f>IF($E1857="","",Y1857-AC1857)</f>
        <v/>
      </c>
      <c r="AE1857" s="7">
        <f>IF($E1857="","",AD1857-Q1857)</f>
        <v/>
      </c>
      <c r="AI1857" s="7" t="n"/>
      <c r="AL1857" s="11" t="n"/>
      <c r="AN1857">
        <f>IF($E1857="","",IF(COUNTIF($E$2:$E1857,$E1857)=1,1,0))</f>
        <v/>
      </c>
      <c r="AO1857">
        <f>IF($AN1857=1,SUMPRODUCT(--($AR$2:$AR$4001&lt;$AR1857))+1,"")</f>
        <v/>
      </c>
      <c r="AP1857">
        <f>IF($E1857="","",IF(OR($U1857=TRUE(),$U1857="TRUE"),1,0))</f>
        <v/>
      </c>
      <c r="AQ1857">
        <f>IF($E1857="","",IF($AA1857="Yes",1,0))</f>
        <v/>
      </c>
      <c r="AR1857">
        <f>IF($AN1857=1,IFERROR(VALUE(MID($E1857,2,20)),1000000000)+ROW()/100000,"")</f>
        <v/>
      </c>
    </row>
    <row r="1858">
      <c r="G1858" s="11" t="n"/>
      <c r="Q1858" s="7">
        <f>IF($E1858="","",P1858*Y1858/100)</f>
        <v/>
      </c>
      <c r="R1858" s="7" t="n"/>
      <c r="X1858" s="7" t="n"/>
      <c r="Y1858" s="7" t="n"/>
      <c r="AB1858">
        <f>IF($E1858="","",IF($AQ1858=1,0,IF($AP1858=1,Settings!$C$6,Settings!$C$7))*100)</f>
        <v/>
      </c>
      <c r="AC1858" s="7">
        <f>IF($E1858="","",Y1858*AB1858/100)</f>
        <v/>
      </c>
      <c r="AD1858" s="7">
        <f>IF($E1858="","",Y1858-AC1858)</f>
        <v/>
      </c>
      <c r="AE1858" s="7">
        <f>IF($E1858="","",AD1858-Q1858)</f>
        <v/>
      </c>
      <c r="AI1858" s="7" t="n"/>
      <c r="AL1858" s="11" t="n"/>
      <c r="AN1858">
        <f>IF($E1858="","",IF(COUNTIF($E$2:$E1858,$E1858)=1,1,0))</f>
        <v/>
      </c>
      <c r="AO1858">
        <f>IF($AN1858=1,SUMPRODUCT(--($AR$2:$AR$4001&lt;$AR1858))+1,"")</f>
        <v/>
      </c>
      <c r="AP1858">
        <f>IF($E1858="","",IF(OR($U1858=TRUE(),$U1858="TRUE"),1,0))</f>
        <v/>
      </c>
      <c r="AQ1858">
        <f>IF($E1858="","",IF($AA1858="Yes",1,0))</f>
        <v/>
      </c>
      <c r="AR1858">
        <f>IF($AN1858=1,IFERROR(VALUE(MID($E1858,2,20)),1000000000)+ROW()/100000,"")</f>
        <v/>
      </c>
    </row>
    <row r="1859">
      <c r="G1859" s="11" t="n"/>
      <c r="Q1859" s="7">
        <f>IF($E1859="","",P1859*Y1859/100)</f>
        <v/>
      </c>
      <c r="R1859" s="7" t="n"/>
      <c r="X1859" s="7" t="n"/>
      <c r="Y1859" s="7" t="n"/>
      <c r="AB1859">
        <f>IF($E1859="","",IF($AQ1859=1,0,IF($AP1859=1,Settings!$C$6,Settings!$C$7))*100)</f>
        <v/>
      </c>
      <c r="AC1859" s="7">
        <f>IF($E1859="","",Y1859*AB1859/100)</f>
        <v/>
      </c>
      <c r="AD1859" s="7">
        <f>IF($E1859="","",Y1859-AC1859)</f>
        <v/>
      </c>
      <c r="AE1859" s="7">
        <f>IF($E1859="","",AD1859-Q1859)</f>
        <v/>
      </c>
      <c r="AI1859" s="7" t="n"/>
      <c r="AL1859" s="11" t="n"/>
      <c r="AN1859">
        <f>IF($E1859="","",IF(COUNTIF($E$2:$E1859,$E1859)=1,1,0))</f>
        <v/>
      </c>
      <c r="AO1859">
        <f>IF($AN1859=1,SUMPRODUCT(--($AR$2:$AR$4001&lt;$AR1859))+1,"")</f>
        <v/>
      </c>
      <c r="AP1859">
        <f>IF($E1859="","",IF(OR($U1859=TRUE(),$U1859="TRUE"),1,0))</f>
        <v/>
      </c>
      <c r="AQ1859">
        <f>IF($E1859="","",IF($AA1859="Yes",1,0))</f>
        <v/>
      </c>
      <c r="AR1859">
        <f>IF($AN1859=1,IFERROR(VALUE(MID($E1859,2,20)),1000000000)+ROW()/100000,"")</f>
        <v/>
      </c>
    </row>
    <row r="1860">
      <c r="G1860" s="11" t="n"/>
      <c r="Q1860" s="7">
        <f>IF($E1860="","",P1860*Y1860/100)</f>
        <v/>
      </c>
      <c r="R1860" s="7" t="n"/>
      <c r="X1860" s="7" t="n"/>
      <c r="Y1860" s="7" t="n"/>
      <c r="AB1860">
        <f>IF($E1860="","",IF($AQ1860=1,0,IF($AP1860=1,Settings!$C$6,Settings!$C$7))*100)</f>
        <v/>
      </c>
      <c r="AC1860" s="7">
        <f>IF($E1860="","",Y1860*AB1860/100)</f>
        <v/>
      </c>
      <c r="AD1860" s="7">
        <f>IF($E1860="","",Y1860-AC1860)</f>
        <v/>
      </c>
      <c r="AE1860" s="7">
        <f>IF($E1860="","",AD1860-Q1860)</f>
        <v/>
      </c>
      <c r="AI1860" s="7" t="n"/>
      <c r="AL1860" s="11" t="n"/>
      <c r="AN1860">
        <f>IF($E1860="","",IF(COUNTIF($E$2:$E1860,$E1860)=1,1,0))</f>
        <v/>
      </c>
      <c r="AO1860">
        <f>IF($AN1860=1,SUMPRODUCT(--($AR$2:$AR$4001&lt;$AR1860))+1,"")</f>
        <v/>
      </c>
      <c r="AP1860">
        <f>IF($E1860="","",IF(OR($U1860=TRUE(),$U1860="TRUE"),1,0))</f>
        <v/>
      </c>
      <c r="AQ1860">
        <f>IF($E1860="","",IF($AA1860="Yes",1,0))</f>
        <v/>
      </c>
      <c r="AR1860">
        <f>IF($AN1860=1,IFERROR(VALUE(MID($E1860,2,20)),1000000000)+ROW()/100000,"")</f>
        <v/>
      </c>
    </row>
    <row r="1861">
      <c r="G1861" s="11" t="n"/>
      <c r="Q1861" s="7">
        <f>IF($E1861="","",P1861*Y1861/100)</f>
        <v/>
      </c>
      <c r="R1861" s="7" t="n"/>
      <c r="X1861" s="7" t="n"/>
      <c r="Y1861" s="7" t="n"/>
      <c r="AB1861">
        <f>IF($E1861="","",IF($AQ1861=1,0,IF($AP1861=1,Settings!$C$6,Settings!$C$7))*100)</f>
        <v/>
      </c>
      <c r="AC1861" s="7">
        <f>IF($E1861="","",Y1861*AB1861/100)</f>
        <v/>
      </c>
      <c r="AD1861" s="7">
        <f>IF($E1861="","",Y1861-AC1861)</f>
        <v/>
      </c>
      <c r="AE1861" s="7">
        <f>IF($E1861="","",AD1861-Q1861)</f>
        <v/>
      </c>
      <c r="AI1861" s="7" t="n"/>
      <c r="AL1861" s="11" t="n"/>
      <c r="AN1861">
        <f>IF($E1861="","",IF(COUNTIF($E$2:$E1861,$E1861)=1,1,0))</f>
        <v/>
      </c>
      <c r="AO1861">
        <f>IF($AN1861=1,SUMPRODUCT(--($AR$2:$AR$4001&lt;$AR1861))+1,"")</f>
        <v/>
      </c>
      <c r="AP1861">
        <f>IF($E1861="","",IF(OR($U1861=TRUE(),$U1861="TRUE"),1,0))</f>
        <v/>
      </c>
      <c r="AQ1861">
        <f>IF($E1861="","",IF($AA1861="Yes",1,0))</f>
        <v/>
      </c>
      <c r="AR1861">
        <f>IF($AN1861=1,IFERROR(VALUE(MID($E1861,2,20)),1000000000)+ROW()/100000,"")</f>
        <v/>
      </c>
    </row>
    <row r="1862">
      <c r="G1862" s="11" t="n"/>
      <c r="Q1862" s="7">
        <f>IF($E1862="","",P1862*Y1862/100)</f>
        <v/>
      </c>
      <c r="R1862" s="7" t="n"/>
      <c r="X1862" s="7" t="n"/>
      <c r="Y1862" s="7" t="n"/>
      <c r="AB1862">
        <f>IF($E1862="","",IF($AQ1862=1,0,IF($AP1862=1,Settings!$C$6,Settings!$C$7))*100)</f>
        <v/>
      </c>
      <c r="AC1862" s="7">
        <f>IF($E1862="","",Y1862*AB1862/100)</f>
        <v/>
      </c>
      <c r="AD1862" s="7">
        <f>IF($E1862="","",Y1862-AC1862)</f>
        <v/>
      </c>
      <c r="AE1862" s="7">
        <f>IF($E1862="","",AD1862-Q1862)</f>
        <v/>
      </c>
      <c r="AI1862" s="7" t="n"/>
      <c r="AL1862" s="11" t="n"/>
      <c r="AN1862">
        <f>IF($E1862="","",IF(COUNTIF($E$2:$E1862,$E1862)=1,1,0))</f>
        <v/>
      </c>
      <c r="AO1862">
        <f>IF($AN1862=1,SUMPRODUCT(--($AR$2:$AR$4001&lt;$AR1862))+1,"")</f>
        <v/>
      </c>
      <c r="AP1862">
        <f>IF($E1862="","",IF(OR($U1862=TRUE(),$U1862="TRUE"),1,0))</f>
        <v/>
      </c>
      <c r="AQ1862">
        <f>IF($E1862="","",IF($AA1862="Yes",1,0))</f>
        <v/>
      </c>
      <c r="AR1862">
        <f>IF($AN1862=1,IFERROR(VALUE(MID($E1862,2,20)),1000000000)+ROW()/100000,"")</f>
        <v/>
      </c>
    </row>
    <row r="1863">
      <c r="G1863" s="11" t="n"/>
      <c r="Q1863" s="7">
        <f>IF($E1863="","",P1863*Y1863/100)</f>
        <v/>
      </c>
      <c r="R1863" s="7" t="n"/>
      <c r="X1863" s="7" t="n"/>
      <c r="Y1863" s="7" t="n"/>
      <c r="AB1863">
        <f>IF($E1863="","",IF($AQ1863=1,0,IF($AP1863=1,Settings!$C$6,Settings!$C$7))*100)</f>
        <v/>
      </c>
      <c r="AC1863" s="7">
        <f>IF($E1863="","",Y1863*AB1863/100)</f>
        <v/>
      </c>
      <c r="AD1863" s="7">
        <f>IF($E1863="","",Y1863-AC1863)</f>
        <v/>
      </c>
      <c r="AE1863" s="7">
        <f>IF($E1863="","",AD1863-Q1863)</f>
        <v/>
      </c>
      <c r="AI1863" s="7" t="n"/>
      <c r="AL1863" s="11" t="n"/>
      <c r="AN1863">
        <f>IF($E1863="","",IF(COUNTIF($E$2:$E1863,$E1863)=1,1,0))</f>
        <v/>
      </c>
      <c r="AO1863">
        <f>IF($AN1863=1,SUMPRODUCT(--($AR$2:$AR$4001&lt;$AR1863))+1,"")</f>
        <v/>
      </c>
      <c r="AP1863">
        <f>IF($E1863="","",IF(OR($U1863=TRUE(),$U1863="TRUE"),1,0))</f>
        <v/>
      </c>
      <c r="AQ1863">
        <f>IF($E1863="","",IF($AA1863="Yes",1,0))</f>
        <v/>
      </c>
      <c r="AR1863">
        <f>IF($AN1863=1,IFERROR(VALUE(MID($E1863,2,20)),1000000000)+ROW()/100000,"")</f>
        <v/>
      </c>
    </row>
    <row r="1864">
      <c r="G1864" s="11" t="n"/>
      <c r="Q1864" s="7">
        <f>IF($E1864="","",P1864*Y1864/100)</f>
        <v/>
      </c>
      <c r="R1864" s="7" t="n"/>
      <c r="X1864" s="7" t="n"/>
      <c r="Y1864" s="7" t="n"/>
      <c r="AB1864">
        <f>IF($E1864="","",IF($AQ1864=1,0,IF($AP1864=1,Settings!$C$6,Settings!$C$7))*100)</f>
        <v/>
      </c>
      <c r="AC1864" s="7">
        <f>IF($E1864="","",Y1864*AB1864/100)</f>
        <v/>
      </c>
      <c r="AD1864" s="7">
        <f>IF($E1864="","",Y1864-AC1864)</f>
        <v/>
      </c>
      <c r="AE1864" s="7">
        <f>IF($E1864="","",AD1864-Q1864)</f>
        <v/>
      </c>
      <c r="AI1864" s="7" t="n"/>
      <c r="AL1864" s="11" t="n"/>
      <c r="AN1864">
        <f>IF($E1864="","",IF(COUNTIF($E$2:$E1864,$E1864)=1,1,0))</f>
        <v/>
      </c>
      <c r="AO1864">
        <f>IF($AN1864=1,SUMPRODUCT(--($AR$2:$AR$4001&lt;$AR1864))+1,"")</f>
        <v/>
      </c>
      <c r="AP1864">
        <f>IF($E1864="","",IF(OR($U1864=TRUE(),$U1864="TRUE"),1,0))</f>
        <v/>
      </c>
      <c r="AQ1864">
        <f>IF($E1864="","",IF($AA1864="Yes",1,0))</f>
        <v/>
      </c>
      <c r="AR1864">
        <f>IF($AN1864=1,IFERROR(VALUE(MID($E1864,2,20)),1000000000)+ROW()/100000,"")</f>
        <v/>
      </c>
    </row>
    <row r="1865">
      <c r="G1865" s="11" t="n"/>
      <c r="Q1865" s="7">
        <f>IF($E1865="","",P1865*Y1865/100)</f>
        <v/>
      </c>
      <c r="R1865" s="7" t="n"/>
      <c r="X1865" s="7" t="n"/>
      <c r="Y1865" s="7" t="n"/>
      <c r="AB1865">
        <f>IF($E1865="","",IF($AQ1865=1,0,IF($AP1865=1,Settings!$C$6,Settings!$C$7))*100)</f>
        <v/>
      </c>
      <c r="AC1865" s="7">
        <f>IF($E1865="","",Y1865*AB1865/100)</f>
        <v/>
      </c>
      <c r="AD1865" s="7">
        <f>IF($E1865="","",Y1865-AC1865)</f>
        <v/>
      </c>
      <c r="AE1865" s="7">
        <f>IF($E1865="","",AD1865-Q1865)</f>
        <v/>
      </c>
      <c r="AI1865" s="7" t="n"/>
      <c r="AL1865" s="11" t="n"/>
      <c r="AN1865">
        <f>IF($E1865="","",IF(COUNTIF($E$2:$E1865,$E1865)=1,1,0))</f>
        <v/>
      </c>
      <c r="AO1865">
        <f>IF($AN1865=1,SUMPRODUCT(--($AR$2:$AR$4001&lt;$AR1865))+1,"")</f>
        <v/>
      </c>
      <c r="AP1865">
        <f>IF($E1865="","",IF(OR($U1865=TRUE(),$U1865="TRUE"),1,0))</f>
        <v/>
      </c>
      <c r="AQ1865">
        <f>IF($E1865="","",IF($AA1865="Yes",1,0))</f>
        <v/>
      </c>
      <c r="AR1865">
        <f>IF($AN1865=1,IFERROR(VALUE(MID($E1865,2,20)),1000000000)+ROW()/100000,"")</f>
        <v/>
      </c>
    </row>
    <row r="1866">
      <c r="G1866" s="11" t="n"/>
      <c r="Q1866" s="7">
        <f>IF($E1866="","",P1866*Y1866/100)</f>
        <v/>
      </c>
      <c r="R1866" s="7" t="n"/>
      <c r="X1866" s="7" t="n"/>
      <c r="Y1866" s="7" t="n"/>
      <c r="AB1866">
        <f>IF($E1866="","",IF($AQ1866=1,0,IF($AP1866=1,Settings!$C$6,Settings!$C$7))*100)</f>
        <v/>
      </c>
      <c r="AC1866" s="7">
        <f>IF($E1866="","",Y1866*AB1866/100)</f>
        <v/>
      </c>
      <c r="AD1866" s="7">
        <f>IF($E1866="","",Y1866-AC1866)</f>
        <v/>
      </c>
      <c r="AE1866" s="7">
        <f>IF($E1866="","",AD1866-Q1866)</f>
        <v/>
      </c>
      <c r="AI1866" s="7" t="n"/>
      <c r="AL1866" s="11" t="n"/>
      <c r="AN1866">
        <f>IF($E1866="","",IF(COUNTIF($E$2:$E1866,$E1866)=1,1,0))</f>
        <v/>
      </c>
      <c r="AO1866">
        <f>IF($AN1866=1,SUMPRODUCT(--($AR$2:$AR$4001&lt;$AR1866))+1,"")</f>
        <v/>
      </c>
      <c r="AP1866">
        <f>IF($E1866="","",IF(OR($U1866=TRUE(),$U1866="TRUE"),1,0))</f>
        <v/>
      </c>
      <c r="AQ1866">
        <f>IF($E1866="","",IF($AA1866="Yes",1,0))</f>
        <v/>
      </c>
      <c r="AR1866">
        <f>IF($AN1866=1,IFERROR(VALUE(MID($E1866,2,20)),1000000000)+ROW()/100000,"")</f>
        <v/>
      </c>
    </row>
    <row r="1867">
      <c r="G1867" s="11" t="n"/>
      <c r="Q1867" s="7">
        <f>IF($E1867="","",P1867*Y1867/100)</f>
        <v/>
      </c>
      <c r="R1867" s="7" t="n"/>
      <c r="X1867" s="7" t="n"/>
      <c r="Y1867" s="7" t="n"/>
      <c r="AB1867">
        <f>IF($E1867="","",IF($AQ1867=1,0,IF($AP1867=1,Settings!$C$6,Settings!$C$7))*100)</f>
        <v/>
      </c>
      <c r="AC1867" s="7">
        <f>IF($E1867="","",Y1867*AB1867/100)</f>
        <v/>
      </c>
      <c r="AD1867" s="7">
        <f>IF($E1867="","",Y1867-AC1867)</f>
        <v/>
      </c>
      <c r="AE1867" s="7">
        <f>IF($E1867="","",AD1867-Q1867)</f>
        <v/>
      </c>
      <c r="AI1867" s="7" t="n"/>
      <c r="AL1867" s="11" t="n"/>
      <c r="AN1867">
        <f>IF($E1867="","",IF(COUNTIF($E$2:$E1867,$E1867)=1,1,0))</f>
        <v/>
      </c>
      <c r="AO1867">
        <f>IF($AN1867=1,SUMPRODUCT(--($AR$2:$AR$4001&lt;$AR1867))+1,"")</f>
        <v/>
      </c>
      <c r="AP1867">
        <f>IF($E1867="","",IF(OR($U1867=TRUE(),$U1867="TRUE"),1,0))</f>
        <v/>
      </c>
      <c r="AQ1867">
        <f>IF($E1867="","",IF($AA1867="Yes",1,0))</f>
        <v/>
      </c>
      <c r="AR1867">
        <f>IF($AN1867=1,IFERROR(VALUE(MID($E1867,2,20)),1000000000)+ROW()/100000,"")</f>
        <v/>
      </c>
    </row>
    <row r="1868">
      <c r="G1868" s="11" t="n"/>
      <c r="Q1868" s="7">
        <f>IF($E1868="","",P1868*Y1868/100)</f>
        <v/>
      </c>
      <c r="R1868" s="7" t="n"/>
      <c r="X1868" s="7" t="n"/>
      <c r="Y1868" s="7" t="n"/>
      <c r="AB1868">
        <f>IF($E1868="","",IF($AQ1868=1,0,IF($AP1868=1,Settings!$C$6,Settings!$C$7))*100)</f>
        <v/>
      </c>
      <c r="AC1868" s="7">
        <f>IF($E1868="","",Y1868*AB1868/100)</f>
        <v/>
      </c>
      <c r="AD1868" s="7">
        <f>IF($E1868="","",Y1868-AC1868)</f>
        <v/>
      </c>
      <c r="AE1868" s="7">
        <f>IF($E1868="","",AD1868-Q1868)</f>
        <v/>
      </c>
      <c r="AI1868" s="7" t="n"/>
      <c r="AL1868" s="11" t="n"/>
      <c r="AN1868">
        <f>IF($E1868="","",IF(COUNTIF($E$2:$E1868,$E1868)=1,1,0))</f>
        <v/>
      </c>
      <c r="AO1868">
        <f>IF($AN1868=1,SUMPRODUCT(--($AR$2:$AR$4001&lt;$AR1868))+1,"")</f>
        <v/>
      </c>
      <c r="AP1868">
        <f>IF($E1868="","",IF(OR($U1868=TRUE(),$U1868="TRUE"),1,0))</f>
        <v/>
      </c>
      <c r="AQ1868">
        <f>IF($E1868="","",IF($AA1868="Yes",1,0))</f>
        <v/>
      </c>
      <c r="AR1868">
        <f>IF($AN1868=1,IFERROR(VALUE(MID($E1868,2,20)),1000000000)+ROW()/100000,"")</f>
        <v/>
      </c>
    </row>
    <row r="1869">
      <c r="G1869" s="11" t="n"/>
      <c r="Q1869" s="7">
        <f>IF($E1869="","",P1869*Y1869/100)</f>
        <v/>
      </c>
      <c r="R1869" s="7" t="n"/>
      <c r="X1869" s="7" t="n"/>
      <c r="Y1869" s="7" t="n"/>
      <c r="AB1869">
        <f>IF($E1869="","",IF($AQ1869=1,0,IF($AP1869=1,Settings!$C$6,Settings!$C$7))*100)</f>
        <v/>
      </c>
      <c r="AC1869" s="7">
        <f>IF($E1869="","",Y1869*AB1869/100)</f>
        <v/>
      </c>
      <c r="AD1869" s="7">
        <f>IF($E1869="","",Y1869-AC1869)</f>
        <v/>
      </c>
      <c r="AE1869" s="7">
        <f>IF($E1869="","",AD1869-Q1869)</f>
        <v/>
      </c>
      <c r="AI1869" s="7" t="n"/>
      <c r="AL1869" s="11" t="n"/>
      <c r="AN1869">
        <f>IF($E1869="","",IF(COUNTIF($E$2:$E1869,$E1869)=1,1,0))</f>
        <v/>
      </c>
      <c r="AO1869">
        <f>IF($AN1869=1,SUMPRODUCT(--($AR$2:$AR$4001&lt;$AR1869))+1,"")</f>
        <v/>
      </c>
      <c r="AP1869">
        <f>IF($E1869="","",IF(OR($U1869=TRUE(),$U1869="TRUE"),1,0))</f>
        <v/>
      </c>
      <c r="AQ1869">
        <f>IF($E1869="","",IF($AA1869="Yes",1,0))</f>
        <v/>
      </c>
      <c r="AR1869">
        <f>IF($AN1869=1,IFERROR(VALUE(MID($E1869,2,20)),1000000000)+ROW()/100000,"")</f>
        <v/>
      </c>
    </row>
    <row r="1870">
      <c r="G1870" s="11" t="n"/>
      <c r="Q1870" s="7">
        <f>IF($E1870="","",P1870*Y1870/100)</f>
        <v/>
      </c>
      <c r="R1870" s="7" t="n"/>
      <c r="X1870" s="7" t="n"/>
      <c r="Y1870" s="7" t="n"/>
      <c r="AB1870">
        <f>IF($E1870="","",IF($AQ1870=1,0,IF($AP1870=1,Settings!$C$6,Settings!$C$7))*100)</f>
        <v/>
      </c>
      <c r="AC1870" s="7">
        <f>IF($E1870="","",Y1870*AB1870/100)</f>
        <v/>
      </c>
      <c r="AD1870" s="7">
        <f>IF($E1870="","",Y1870-AC1870)</f>
        <v/>
      </c>
      <c r="AE1870" s="7">
        <f>IF($E1870="","",AD1870-Q1870)</f>
        <v/>
      </c>
      <c r="AI1870" s="7" t="n"/>
      <c r="AL1870" s="11" t="n"/>
      <c r="AN1870">
        <f>IF($E1870="","",IF(COUNTIF($E$2:$E1870,$E1870)=1,1,0))</f>
        <v/>
      </c>
      <c r="AO1870">
        <f>IF($AN1870=1,SUMPRODUCT(--($AR$2:$AR$4001&lt;$AR1870))+1,"")</f>
        <v/>
      </c>
      <c r="AP1870">
        <f>IF($E1870="","",IF(OR($U1870=TRUE(),$U1870="TRUE"),1,0))</f>
        <v/>
      </c>
      <c r="AQ1870">
        <f>IF($E1870="","",IF($AA1870="Yes",1,0))</f>
        <v/>
      </c>
      <c r="AR1870">
        <f>IF($AN1870=1,IFERROR(VALUE(MID($E1870,2,20)),1000000000)+ROW()/100000,"")</f>
        <v/>
      </c>
    </row>
    <row r="1871">
      <c r="G1871" s="11" t="n"/>
      <c r="Q1871" s="7">
        <f>IF($E1871="","",P1871*Y1871/100)</f>
        <v/>
      </c>
      <c r="R1871" s="7" t="n"/>
      <c r="X1871" s="7" t="n"/>
      <c r="Y1871" s="7" t="n"/>
      <c r="AB1871">
        <f>IF($E1871="","",IF($AQ1871=1,0,IF($AP1871=1,Settings!$C$6,Settings!$C$7))*100)</f>
        <v/>
      </c>
      <c r="AC1871" s="7">
        <f>IF($E1871="","",Y1871*AB1871/100)</f>
        <v/>
      </c>
      <c r="AD1871" s="7">
        <f>IF($E1871="","",Y1871-AC1871)</f>
        <v/>
      </c>
      <c r="AE1871" s="7">
        <f>IF($E1871="","",AD1871-Q1871)</f>
        <v/>
      </c>
      <c r="AI1871" s="7" t="n"/>
      <c r="AL1871" s="11" t="n"/>
      <c r="AN1871">
        <f>IF($E1871="","",IF(COUNTIF($E$2:$E1871,$E1871)=1,1,0))</f>
        <v/>
      </c>
      <c r="AO1871">
        <f>IF($AN1871=1,SUMPRODUCT(--($AR$2:$AR$4001&lt;$AR1871))+1,"")</f>
        <v/>
      </c>
      <c r="AP1871">
        <f>IF($E1871="","",IF(OR($U1871=TRUE(),$U1871="TRUE"),1,0))</f>
        <v/>
      </c>
      <c r="AQ1871">
        <f>IF($E1871="","",IF($AA1871="Yes",1,0))</f>
        <v/>
      </c>
      <c r="AR1871">
        <f>IF($AN1871=1,IFERROR(VALUE(MID($E1871,2,20)),1000000000)+ROW()/100000,"")</f>
        <v/>
      </c>
    </row>
    <row r="1872">
      <c r="G1872" s="11" t="n"/>
      <c r="Q1872" s="7">
        <f>IF($E1872="","",P1872*Y1872/100)</f>
        <v/>
      </c>
      <c r="R1872" s="7" t="n"/>
      <c r="X1872" s="7" t="n"/>
      <c r="Y1872" s="7" t="n"/>
      <c r="AB1872">
        <f>IF($E1872="","",IF($AQ1872=1,0,IF($AP1872=1,Settings!$C$6,Settings!$C$7))*100)</f>
        <v/>
      </c>
      <c r="AC1872" s="7">
        <f>IF($E1872="","",Y1872*AB1872/100)</f>
        <v/>
      </c>
      <c r="AD1872" s="7">
        <f>IF($E1872="","",Y1872-AC1872)</f>
        <v/>
      </c>
      <c r="AE1872" s="7">
        <f>IF($E1872="","",AD1872-Q1872)</f>
        <v/>
      </c>
      <c r="AI1872" s="7" t="n"/>
      <c r="AL1872" s="11" t="n"/>
      <c r="AN1872">
        <f>IF($E1872="","",IF(COUNTIF($E$2:$E1872,$E1872)=1,1,0))</f>
        <v/>
      </c>
      <c r="AO1872">
        <f>IF($AN1872=1,SUMPRODUCT(--($AR$2:$AR$4001&lt;$AR1872))+1,"")</f>
        <v/>
      </c>
      <c r="AP1872">
        <f>IF($E1872="","",IF(OR($U1872=TRUE(),$U1872="TRUE"),1,0))</f>
        <v/>
      </c>
      <c r="AQ1872">
        <f>IF($E1872="","",IF($AA1872="Yes",1,0))</f>
        <v/>
      </c>
      <c r="AR1872">
        <f>IF($AN1872=1,IFERROR(VALUE(MID($E1872,2,20)),1000000000)+ROW()/100000,"")</f>
        <v/>
      </c>
    </row>
    <row r="1873">
      <c r="G1873" s="11" t="n"/>
      <c r="Q1873" s="7">
        <f>IF($E1873="","",P1873*Y1873/100)</f>
        <v/>
      </c>
      <c r="R1873" s="7" t="n"/>
      <c r="X1873" s="7" t="n"/>
      <c r="Y1873" s="7" t="n"/>
      <c r="AB1873">
        <f>IF($E1873="","",IF($AQ1873=1,0,IF($AP1873=1,Settings!$C$6,Settings!$C$7))*100)</f>
        <v/>
      </c>
      <c r="AC1873" s="7">
        <f>IF($E1873="","",Y1873*AB1873/100)</f>
        <v/>
      </c>
      <c r="AD1873" s="7">
        <f>IF($E1873="","",Y1873-AC1873)</f>
        <v/>
      </c>
      <c r="AE1873" s="7">
        <f>IF($E1873="","",AD1873-Q1873)</f>
        <v/>
      </c>
      <c r="AI1873" s="7" t="n"/>
      <c r="AL1873" s="11" t="n"/>
      <c r="AN1873">
        <f>IF($E1873="","",IF(COUNTIF($E$2:$E1873,$E1873)=1,1,0))</f>
        <v/>
      </c>
      <c r="AO1873">
        <f>IF($AN1873=1,SUMPRODUCT(--($AR$2:$AR$4001&lt;$AR1873))+1,"")</f>
        <v/>
      </c>
      <c r="AP1873">
        <f>IF($E1873="","",IF(OR($U1873=TRUE(),$U1873="TRUE"),1,0))</f>
        <v/>
      </c>
      <c r="AQ1873">
        <f>IF($E1873="","",IF($AA1873="Yes",1,0))</f>
        <v/>
      </c>
      <c r="AR1873">
        <f>IF($AN1873=1,IFERROR(VALUE(MID($E1873,2,20)),1000000000)+ROW()/100000,"")</f>
        <v/>
      </c>
    </row>
    <row r="1874">
      <c r="G1874" s="11" t="n"/>
      <c r="Q1874" s="7">
        <f>IF($E1874="","",P1874*Y1874/100)</f>
        <v/>
      </c>
      <c r="R1874" s="7" t="n"/>
      <c r="X1874" s="7" t="n"/>
      <c r="Y1874" s="7" t="n"/>
      <c r="AB1874">
        <f>IF($E1874="","",IF($AQ1874=1,0,IF($AP1874=1,Settings!$C$6,Settings!$C$7))*100)</f>
        <v/>
      </c>
      <c r="AC1874" s="7">
        <f>IF($E1874="","",Y1874*AB1874/100)</f>
        <v/>
      </c>
      <c r="AD1874" s="7">
        <f>IF($E1874="","",Y1874-AC1874)</f>
        <v/>
      </c>
      <c r="AE1874" s="7">
        <f>IF($E1874="","",AD1874-Q1874)</f>
        <v/>
      </c>
      <c r="AI1874" s="7" t="n"/>
      <c r="AL1874" s="11" t="n"/>
      <c r="AN1874">
        <f>IF($E1874="","",IF(COUNTIF($E$2:$E1874,$E1874)=1,1,0))</f>
        <v/>
      </c>
      <c r="AO1874">
        <f>IF($AN1874=1,SUMPRODUCT(--($AR$2:$AR$4001&lt;$AR1874))+1,"")</f>
        <v/>
      </c>
      <c r="AP1874">
        <f>IF($E1874="","",IF(OR($U1874=TRUE(),$U1874="TRUE"),1,0))</f>
        <v/>
      </c>
      <c r="AQ1874">
        <f>IF($E1874="","",IF($AA1874="Yes",1,0))</f>
        <v/>
      </c>
      <c r="AR1874">
        <f>IF($AN1874=1,IFERROR(VALUE(MID($E1874,2,20)),1000000000)+ROW()/100000,"")</f>
        <v/>
      </c>
    </row>
    <row r="1875">
      <c r="G1875" s="11" t="n"/>
      <c r="Q1875" s="7">
        <f>IF($E1875="","",P1875*Y1875/100)</f>
        <v/>
      </c>
      <c r="R1875" s="7" t="n"/>
      <c r="X1875" s="7" t="n"/>
      <c r="Y1875" s="7" t="n"/>
      <c r="AB1875">
        <f>IF($E1875="","",IF($AQ1875=1,0,IF($AP1875=1,Settings!$C$6,Settings!$C$7))*100)</f>
        <v/>
      </c>
      <c r="AC1875" s="7">
        <f>IF($E1875="","",Y1875*AB1875/100)</f>
        <v/>
      </c>
      <c r="AD1875" s="7">
        <f>IF($E1875="","",Y1875-AC1875)</f>
        <v/>
      </c>
      <c r="AE1875" s="7">
        <f>IF($E1875="","",AD1875-Q1875)</f>
        <v/>
      </c>
      <c r="AI1875" s="7" t="n"/>
      <c r="AL1875" s="11" t="n"/>
      <c r="AN1875">
        <f>IF($E1875="","",IF(COUNTIF($E$2:$E1875,$E1875)=1,1,0))</f>
        <v/>
      </c>
      <c r="AO1875">
        <f>IF($AN1875=1,SUMPRODUCT(--($AR$2:$AR$4001&lt;$AR1875))+1,"")</f>
        <v/>
      </c>
      <c r="AP1875">
        <f>IF($E1875="","",IF(OR($U1875=TRUE(),$U1875="TRUE"),1,0))</f>
        <v/>
      </c>
      <c r="AQ1875">
        <f>IF($E1875="","",IF($AA1875="Yes",1,0))</f>
        <v/>
      </c>
      <c r="AR1875">
        <f>IF($AN1875=1,IFERROR(VALUE(MID($E1875,2,20)),1000000000)+ROW()/100000,"")</f>
        <v/>
      </c>
    </row>
    <row r="1876">
      <c r="G1876" s="11" t="n"/>
      <c r="Q1876" s="7">
        <f>IF($E1876="","",P1876*Y1876/100)</f>
        <v/>
      </c>
      <c r="R1876" s="7" t="n"/>
      <c r="X1876" s="7" t="n"/>
      <c r="Y1876" s="7" t="n"/>
      <c r="AB1876">
        <f>IF($E1876="","",IF($AQ1876=1,0,IF($AP1876=1,Settings!$C$6,Settings!$C$7))*100)</f>
        <v/>
      </c>
      <c r="AC1876" s="7">
        <f>IF($E1876="","",Y1876*AB1876/100)</f>
        <v/>
      </c>
      <c r="AD1876" s="7">
        <f>IF($E1876="","",Y1876-AC1876)</f>
        <v/>
      </c>
      <c r="AE1876" s="7">
        <f>IF($E1876="","",AD1876-Q1876)</f>
        <v/>
      </c>
      <c r="AI1876" s="7" t="n"/>
      <c r="AL1876" s="11" t="n"/>
      <c r="AN1876">
        <f>IF($E1876="","",IF(COUNTIF($E$2:$E1876,$E1876)=1,1,0))</f>
        <v/>
      </c>
      <c r="AO1876">
        <f>IF($AN1876=1,SUMPRODUCT(--($AR$2:$AR$4001&lt;$AR1876))+1,"")</f>
        <v/>
      </c>
      <c r="AP1876">
        <f>IF($E1876="","",IF(OR($U1876=TRUE(),$U1876="TRUE"),1,0))</f>
        <v/>
      </c>
      <c r="AQ1876">
        <f>IF($E1876="","",IF($AA1876="Yes",1,0))</f>
        <v/>
      </c>
      <c r="AR1876">
        <f>IF($AN1876=1,IFERROR(VALUE(MID($E1876,2,20)),1000000000)+ROW()/100000,"")</f>
        <v/>
      </c>
    </row>
    <row r="1877">
      <c r="G1877" s="11" t="n"/>
      <c r="Q1877" s="7">
        <f>IF($E1877="","",P1877*Y1877/100)</f>
        <v/>
      </c>
      <c r="R1877" s="7" t="n"/>
      <c r="X1877" s="7" t="n"/>
      <c r="Y1877" s="7" t="n"/>
      <c r="AB1877">
        <f>IF($E1877="","",IF($AQ1877=1,0,IF($AP1877=1,Settings!$C$6,Settings!$C$7))*100)</f>
        <v/>
      </c>
      <c r="AC1877" s="7">
        <f>IF($E1877="","",Y1877*AB1877/100)</f>
        <v/>
      </c>
      <c r="AD1877" s="7">
        <f>IF($E1877="","",Y1877-AC1877)</f>
        <v/>
      </c>
      <c r="AE1877" s="7">
        <f>IF($E1877="","",AD1877-Q1877)</f>
        <v/>
      </c>
      <c r="AI1877" s="7" t="n"/>
      <c r="AL1877" s="11" t="n"/>
      <c r="AN1877">
        <f>IF($E1877="","",IF(COUNTIF($E$2:$E1877,$E1877)=1,1,0))</f>
        <v/>
      </c>
      <c r="AO1877">
        <f>IF($AN1877=1,SUMPRODUCT(--($AR$2:$AR$4001&lt;$AR1877))+1,"")</f>
        <v/>
      </c>
      <c r="AP1877">
        <f>IF($E1877="","",IF(OR($U1877=TRUE(),$U1877="TRUE"),1,0))</f>
        <v/>
      </c>
      <c r="AQ1877">
        <f>IF($E1877="","",IF($AA1877="Yes",1,0))</f>
        <v/>
      </c>
      <c r="AR1877">
        <f>IF($AN1877=1,IFERROR(VALUE(MID($E1877,2,20)),1000000000)+ROW()/100000,"")</f>
        <v/>
      </c>
    </row>
    <row r="1878">
      <c r="G1878" s="11" t="n"/>
      <c r="Q1878" s="7">
        <f>IF($E1878="","",P1878*Y1878/100)</f>
        <v/>
      </c>
      <c r="R1878" s="7" t="n"/>
      <c r="X1878" s="7" t="n"/>
      <c r="Y1878" s="7" t="n"/>
      <c r="AB1878">
        <f>IF($E1878="","",IF($AQ1878=1,0,IF($AP1878=1,Settings!$C$6,Settings!$C$7))*100)</f>
        <v/>
      </c>
      <c r="AC1878" s="7">
        <f>IF($E1878="","",Y1878*AB1878/100)</f>
        <v/>
      </c>
      <c r="AD1878" s="7">
        <f>IF($E1878="","",Y1878-AC1878)</f>
        <v/>
      </c>
      <c r="AE1878" s="7">
        <f>IF($E1878="","",AD1878-Q1878)</f>
        <v/>
      </c>
      <c r="AI1878" s="7" t="n"/>
      <c r="AL1878" s="11" t="n"/>
      <c r="AN1878">
        <f>IF($E1878="","",IF(COUNTIF($E$2:$E1878,$E1878)=1,1,0))</f>
        <v/>
      </c>
      <c r="AO1878">
        <f>IF($AN1878=1,SUMPRODUCT(--($AR$2:$AR$4001&lt;$AR1878))+1,"")</f>
        <v/>
      </c>
      <c r="AP1878">
        <f>IF($E1878="","",IF(OR($U1878=TRUE(),$U1878="TRUE"),1,0))</f>
        <v/>
      </c>
      <c r="AQ1878">
        <f>IF($E1878="","",IF($AA1878="Yes",1,0))</f>
        <v/>
      </c>
      <c r="AR1878">
        <f>IF($AN1878=1,IFERROR(VALUE(MID($E1878,2,20)),1000000000)+ROW()/100000,"")</f>
        <v/>
      </c>
    </row>
    <row r="1879">
      <c r="G1879" s="11" t="n"/>
      <c r="Q1879" s="7">
        <f>IF($E1879="","",P1879*Y1879/100)</f>
        <v/>
      </c>
      <c r="R1879" s="7" t="n"/>
      <c r="X1879" s="7" t="n"/>
      <c r="Y1879" s="7" t="n"/>
      <c r="AB1879">
        <f>IF($E1879="","",IF($AQ1879=1,0,IF($AP1879=1,Settings!$C$6,Settings!$C$7))*100)</f>
        <v/>
      </c>
      <c r="AC1879" s="7">
        <f>IF($E1879="","",Y1879*AB1879/100)</f>
        <v/>
      </c>
      <c r="AD1879" s="7">
        <f>IF($E1879="","",Y1879-AC1879)</f>
        <v/>
      </c>
      <c r="AE1879" s="7">
        <f>IF($E1879="","",AD1879-Q1879)</f>
        <v/>
      </c>
      <c r="AI1879" s="7" t="n"/>
      <c r="AL1879" s="11" t="n"/>
      <c r="AN1879">
        <f>IF($E1879="","",IF(COUNTIF($E$2:$E1879,$E1879)=1,1,0))</f>
        <v/>
      </c>
      <c r="AO1879">
        <f>IF($AN1879=1,SUMPRODUCT(--($AR$2:$AR$4001&lt;$AR1879))+1,"")</f>
        <v/>
      </c>
      <c r="AP1879">
        <f>IF($E1879="","",IF(OR($U1879=TRUE(),$U1879="TRUE"),1,0))</f>
        <v/>
      </c>
      <c r="AQ1879">
        <f>IF($E1879="","",IF($AA1879="Yes",1,0))</f>
        <v/>
      </c>
      <c r="AR1879">
        <f>IF($AN1879=1,IFERROR(VALUE(MID($E1879,2,20)),1000000000)+ROW()/100000,"")</f>
        <v/>
      </c>
    </row>
    <row r="1880">
      <c r="G1880" s="11" t="n"/>
      <c r="Q1880" s="7">
        <f>IF($E1880="","",P1880*Y1880/100)</f>
        <v/>
      </c>
      <c r="R1880" s="7" t="n"/>
      <c r="X1880" s="7" t="n"/>
      <c r="Y1880" s="7" t="n"/>
      <c r="AB1880">
        <f>IF($E1880="","",IF($AQ1880=1,0,IF($AP1880=1,Settings!$C$6,Settings!$C$7))*100)</f>
        <v/>
      </c>
      <c r="AC1880" s="7">
        <f>IF($E1880="","",Y1880*AB1880/100)</f>
        <v/>
      </c>
      <c r="AD1880" s="7">
        <f>IF($E1880="","",Y1880-AC1880)</f>
        <v/>
      </c>
      <c r="AE1880" s="7">
        <f>IF($E1880="","",AD1880-Q1880)</f>
        <v/>
      </c>
      <c r="AI1880" s="7" t="n"/>
      <c r="AL1880" s="11" t="n"/>
      <c r="AN1880">
        <f>IF($E1880="","",IF(COUNTIF($E$2:$E1880,$E1880)=1,1,0))</f>
        <v/>
      </c>
      <c r="AO1880">
        <f>IF($AN1880=1,SUMPRODUCT(--($AR$2:$AR$4001&lt;$AR1880))+1,"")</f>
        <v/>
      </c>
      <c r="AP1880">
        <f>IF($E1880="","",IF(OR($U1880=TRUE(),$U1880="TRUE"),1,0))</f>
        <v/>
      </c>
      <c r="AQ1880">
        <f>IF($E1880="","",IF($AA1880="Yes",1,0))</f>
        <v/>
      </c>
      <c r="AR1880">
        <f>IF($AN1880=1,IFERROR(VALUE(MID($E1880,2,20)),1000000000)+ROW()/100000,"")</f>
        <v/>
      </c>
    </row>
    <row r="1881">
      <c r="G1881" s="11" t="n"/>
      <c r="Q1881" s="7">
        <f>IF($E1881="","",P1881*Y1881/100)</f>
        <v/>
      </c>
      <c r="R1881" s="7" t="n"/>
      <c r="X1881" s="7" t="n"/>
      <c r="Y1881" s="7" t="n"/>
      <c r="AB1881">
        <f>IF($E1881="","",IF($AQ1881=1,0,IF($AP1881=1,Settings!$C$6,Settings!$C$7))*100)</f>
        <v/>
      </c>
      <c r="AC1881" s="7">
        <f>IF($E1881="","",Y1881*AB1881/100)</f>
        <v/>
      </c>
      <c r="AD1881" s="7">
        <f>IF($E1881="","",Y1881-AC1881)</f>
        <v/>
      </c>
      <c r="AE1881" s="7">
        <f>IF($E1881="","",AD1881-Q1881)</f>
        <v/>
      </c>
      <c r="AI1881" s="7" t="n"/>
      <c r="AL1881" s="11" t="n"/>
      <c r="AN1881">
        <f>IF($E1881="","",IF(COUNTIF($E$2:$E1881,$E1881)=1,1,0))</f>
        <v/>
      </c>
      <c r="AO1881">
        <f>IF($AN1881=1,SUMPRODUCT(--($AR$2:$AR$4001&lt;$AR1881))+1,"")</f>
        <v/>
      </c>
      <c r="AP1881">
        <f>IF($E1881="","",IF(OR($U1881=TRUE(),$U1881="TRUE"),1,0))</f>
        <v/>
      </c>
      <c r="AQ1881">
        <f>IF($E1881="","",IF($AA1881="Yes",1,0))</f>
        <v/>
      </c>
      <c r="AR1881">
        <f>IF($AN1881=1,IFERROR(VALUE(MID($E1881,2,20)),1000000000)+ROW()/100000,"")</f>
        <v/>
      </c>
    </row>
    <row r="1882">
      <c r="G1882" s="11" t="n"/>
      <c r="Q1882" s="7">
        <f>IF($E1882="","",P1882*Y1882/100)</f>
        <v/>
      </c>
      <c r="R1882" s="7" t="n"/>
      <c r="X1882" s="7" t="n"/>
      <c r="Y1882" s="7" t="n"/>
      <c r="AB1882">
        <f>IF($E1882="","",IF($AQ1882=1,0,IF($AP1882=1,Settings!$C$6,Settings!$C$7))*100)</f>
        <v/>
      </c>
      <c r="AC1882" s="7">
        <f>IF($E1882="","",Y1882*AB1882/100)</f>
        <v/>
      </c>
      <c r="AD1882" s="7">
        <f>IF($E1882="","",Y1882-AC1882)</f>
        <v/>
      </c>
      <c r="AE1882" s="7">
        <f>IF($E1882="","",AD1882-Q1882)</f>
        <v/>
      </c>
      <c r="AI1882" s="7" t="n"/>
      <c r="AL1882" s="11" t="n"/>
      <c r="AN1882">
        <f>IF($E1882="","",IF(COUNTIF($E$2:$E1882,$E1882)=1,1,0))</f>
        <v/>
      </c>
      <c r="AO1882">
        <f>IF($AN1882=1,SUMPRODUCT(--($AR$2:$AR$4001&lt;$AR1882))+1,"")</f>
        <v/>
      </c>
      <c r="AP1882">
        <f>IF($E1882="","",IF(OR($U1882=TRUE(),$U1882="TRUE"),1,0))</f>
        <v/>
      </c>
      <c r="AQ1882">
        <f>IF($E1882="","",IF($AA1882="Yes",1,0))</f>
        <v/>
      </c>
      <c r="AR1882">
        <f>IF($AN1882=1,IFERROR(VALUE(MID($E1882,2,20)),1000000000)+ROW()/100000,"")</f>
        <v/>
      </c>
    </row>
    <row r="1883">
      <c r="G1883" s="11" t="n"/>
      <c r="Q1883" s="7">
        <f>IF($E1883="","",P1883*Y1883/100)</f>
        <v/>
      </c>
      <c r="R1883" s="7" t="n"/>
      <c r="X1883" s="7" t="n"/>
      <c r="Y1883" s="7" t="n"/>
      <c r="AB1883">
        <f>IF($E1883="","",IF($AQ1883=1,0,IF($AP1883=1,Settings!$C$6,Settings!$C$7))*100)</f>
        <v/>
      </c>
      <c r="AC1883" s="7">
        <f>IF($E1883="","",Y1883*AB1883/100)</f>
        <v/>
      </c>
      <c r="AD1883" s="7">
        <f>IF($E1883="","",Y1883-AC1883)</f>
        <v/>
      </c>
      <c r="AE1883" s="7">
        <f>IF($E1883="","",AD1883-Q1883)</f>
        <v/>
      </c>
      <c r="AI1883" s="7" t="n"/>
      <c r="AL1883" s="11" t="n"/>
      <c r="AN1883">
        <f>IF($E1883="","",IF(COUNTIF($E$2:$E1883,$E1883)=1,1,0))</f>
        <v/>
      </c>
      <c r="AO1883">
        <f>IF($AN1883=1,SUMPRODUCT(--($AR$2:$AR$4001&lt;$AR1883))+1,"")</f>
        <v/>
      </c>
      <c r="AP1883">
        <f>IF($E1883="","",IF(OR($U1883=TRUE(),$U1883="TRUE"),1,0))</f>
        <v/>
      </c>
      <c r="AQ1883">
        <f>IF($E1883="","",IF($AA1883="Yes",1,0))</f>
        <v/>
      </c>
      <c r="AR1883">
        <f>IF($AN1883=1,IFERROR(VALUE(MID($E1883,2,20)),1000000000)+ROW()/100000,"")</f>
        <v/>
      </c>
    </row>
    <row r="1884">
      <c r="G1884" s="11" t="n"/>
      <c r="Q1884" s="7">
        <f>IF($E1884="","",P1884*Y1884/100)</f>
        <v/>
      </c>
      <c r="R1884" s="7" t="n"/>
      <c r="X1884" s="7" t="n"/>
      <c r="Y1884" s="7" t="n"/>
      <c r="AB1884">
        <f>IF($E1884="","",IF($AQ1884=1,0,IF($AP1884=1,Settings!$C$6,Settings!$C$7))*100)</f>
        <v/>
      </c>
      <c r="AC1884" s="7">
        <f>IF($E1884="","",Y1884*AB1884/100)</f>
        <v/>
      </c>
      <c r="AD1884" s="7">
        <f>IF($E1884="","",Y1884-AC1884)</f>
        <v/>
      </c>
      <c r="AE1884" s="7">
        <f>IF($E1884="","",AD1884-Q1884)</f>
        <v/>
      </c>
      <c r="AI1884" s="7" t="n"/>
      <c r="AL1884" s="11" t="n"/>
      <c r="AN1884">
        <f>IF($E1884="","",IF(COUNTIF($E$2:$E1884,$E1884)=1,1,0))</f>
        <v/>
      </c>
      <c r="AO1884">
        <f>IF($AN1884=1,SUMPRODUCT(--($AR$2:$AR$4001&lt;$AR1884))+1,"")</f>
        <v/>
      </c>
      <c r="AP1884">
        <f>IF($E1884="","",IF(OR($U1884=TRUE(),$U1884="TRUE"),1,0))</f>
        <v/>
      </c>
      <c r="AQ1884">
        <f>IF($E1884="","",IF($AA1884="Yes",1,0))</f>
        <v/>
      </c>
      <c r="AR1884">
        <f>IF($AN1884=1,IFERROR(VALUE(MID($E1884,2,20)),1000000000)+ROW()/100000,"")</f>
        <v/>
      </c>
    </row>
    <row r="1885">
      <c r="G1885" s="11" t="n"/>
      <c r="Q1885" s="7">
        <f>IF($E1885="","",P1885*Y1885/100)</f>
        <v/>
      </c>
      <c r="R1885" s="7" t="n"/>
      <c r="X1885" s="7" t="n"/>
      <c r="Y1885" s="7" t="n"/>
      <c r="AB1885">
        <f>IF($E1885="","",IF($AQ1885=1,0,IF($AP1885=1,Settings!$C$6,Settings!$C$7))*100)</f>
        <v/>
      </c>
      <c r="AC1885" s="7">
        <f>IF($E1885="","",Y1885*AB1885/100)</f>
        <v/>
      </c>
      <c r="AD1885" s="7">
        <f>IF($E1885="","",Y1885-AC1885)</f>
        <v/>
      </c>
      <c r="AE1885" s="7">
        <f>IF($E1885="","",AD1885-Q1885)</f>
        <v/>
      </c>
      <c r="AI1885" s="7" t="n"/>
      <c r="AL1885" s="11" t="n"/>
      <c r="AN1885">
        <f>IF($E1885="","",IF(COUNTIF($E$2:$E1885,$E1885)=1,1,0))</f>
        <v/>
      </c>
      <c r="AO1885">
        <f>IF($AN1885=1,SUMPRODUCT(--($AR$2:$AR$4001&lt;$AR1885))+1,"")</f>
        <v/>
      </c>
      <c r="AP1885">
        <f>IF($E1885="","",IF(OR($U1885=TRUE(),$U1885="TRUE"),1,0))</f>
        <v/>
      </c>
      <c r="AQ1885">
        <f>IF($E1885="","",IF($AA1885="Yes",1,0))</f>
        <v/>
      </c>
      <c r="AR1885">
        <f>IF($AN1885=1,IFERROR(VALUE(MID($E1885,2,20)),1000000000)+ROW()/100000,"")</f>
        <v/>
      </c>
    </row>
    <row r="1886">
      <c r="G1886" s="11" t="n"/>
      <c r="Q1886" s="7">
        <f>IF($E1886="","",P1886*Y1886/100)</f>
        <v/>
      </c>
      <c r="R1886" s="7" t="n"/>
      <c r="X1886" s="7" t="n"/>
      <c r="Y1886" s="7" t="n"/>
      <c r="AB1886">
        <f>IF($E1886="","",IF($AQ1886=1,0,IF($AP1886=1,Settings!$C$6,Settings!$C$7))*100)</f>
        <v/>
      </c>
      <c r="AC1886" s="7">
        <f>IF($E1886="","",Y1886*AB1886/100)</f>
        <v/>
      </c>
      <c r="AD1886" s="7">
        <f>IF($E1886="","",Y1886-AC1886)</f>
        <v/>
      </c>
      <c r="AE1886" s="7">
        <f>IF($E1886="","",AD1886-Q1886)</f>
        <v/>
      </c>
      <c r="AI1886" s="7" t="n"/>
      <c r="AL1886" s="11" t="n"/>
      <c r="AN1886">
        <f>IF($E1886="","",IF(COUNTIF($E$2:$E1886,$E1886)=1,1,0))</f>
        <v/>
      </c>
      <c r="AO1886">
        <f>IF($AN1886=1,SUMPRODUCT(--($AR$2:$AR$4001&lt;$AR1886))+1,"")</f>
        <v/>
      </c>
      <c r="AP1886">
        <f>IF($E1886="","",IF(OR($U1886=TRUE(),$U1886="TRUE"),1,0))</f>
        <v/>
      </c>
      <c r="AQ1886">
        <f>IF($E1886="","",IF($AA1886="Yes",1,0))</f>
        <v/>
      </c>
      <c r="AR1886">
        <f>IF($AN1886=1,IFERROR(VALUE(MID($E1886,2,20)),1000000000)+ROW()/100000,"")</f>
        <v/>
      </c>
    </row>
    <row r="1887">
      <c r="G1887" s="11" t="n"/>
      <c r="Q1887" s="7">
        <f>IF($E1887="","",P1887*Y1887/100)</f>
        <v/>
      </c>
      <c r="R1887" s="7" t="n"/>
      <c r="X1887" s="7" t="n"/>
      <c r="Y1887" s="7" t="n"/>
      <c r="AB1887">
        <f>IF($E1887="","",IF($AQ1887=1,0,IF($AP1887=1,Settings!$C$6,Settings!$C$7))*100)</f>
        <v/>
      </c>
      <c r="AC1887" s="7">
        <f>IF($E1887="","",Y1887*AB1887/100)</f>
        <v/>
      </c>
      <c r="AD1887" s="7">
        <f>IF($E1887="","",Y1887-AC1887)</f>
        <v/>
      </c>
      <c r="AE1887" s="7">
        <f>IF($E1887="","",AD1887-Q1887)</f>
        <v/>
      </c>
      <c r="AI1887" s="7" t="n"/>
      <c r="AL1887" s="11" t="n"/>
      <c r="AN1887">
        <f>IF($E1887="","",IF(COUNTIF($E$2:$E1887,$E1887)=1,1,0))</f>
        <v/>
      </c>
      <c r="AO1887">
        <f>IF($AN1887=1,SUMPRODUCT(--($AR$2:$AR$4001&lt;$AR1887))+1,"")</f>
        <v/>
      </c>
      <c r="AP1887">
        <f>IF($E1887="","",IF(OR($U1887=TRUE(),$U1887="TRUE"),1,0))</f>
        <v/>
      </c>
      <c r="AQ1887">
        <f>IF($E1887="","",IF($AA1887="Yes",1,0))</f>
        <v/>
      </c>
      <c r="AR1887">
        <f>IF($AN1887=1,IFERROR(VALUE(MID($E1887,2,20)),1000000000)+ROW()/100000,"")</f>
        <v/>
      </c>
    </row>
    <row r="1888">
      <c r="G1888" s="11" t="n"/>
      <c r="Q1888" s="7">
        <f>IF($E1888="","",P1888*Y1888/100)</f>
        <v/>
      </c>
      <c r="R1888" s="7" t="n"/>
      <c r="X1888" s="7" t="n"/>
      <c r="Y1888" s="7" t="n"/>
      <c r="AB1888">
        <f>IF($E1888="","",IF($AQ1888=1,0,IF($AP1888=1,Settings!$C$6,Settings!$C$7))*100)</f>
        <v/>
      </c>
      <c r="AC1888" s="7">
        <f>IF($E1888="","",Y1888*AB1888/100)</f>
        <v/>
      </c>
      <c r="AD1888" s="7">
        <f>IF($E1888="","",Y1888-AC1888)</f>
        <v/>
      </c>
      <c r="AE1888" s="7">
        <f>IF($E1888="","",AD1888-Q1888)</f>
        <v/>
      </c>
      <c r="AI1888" s="7" t="n"/>
      <c r="AL1888" s="11" t="n"/>
      <c r="AN1888">
        <f>IF($E1888="","",IF(COUNTIF($E$2:$E1888,$E1888)=1,1,0))</f>
        <v/>
      </c>
      <c r="AO1888">
        <f>IF($AN1888=1,SUMPRODUCT(--($AR$2:$AR$4001&lt;$AR1888))+1,"")</f>
        <v/>
      </c>
      <c r="AP1888">
        <f>IF($E1888="","",IF(OR($U1888=TRUE(),$U1888="TRUE"),1,0))</f>
        <v/>
      </c>
      <c r="AQ1888">
        <f>IF($E1888="","",IF($AA1888="Yes",1,0))</f>
        <v/>
      </c>
      <c r="AR1888">
        <f>IF($AN1888=1,IFERROR(VALUE(MID($E1888,2,20)),1000000000)+ROW()/100000,"")</f>
        <v/>
      </c>
    </row>
    <row r="1889">
      <c r="G1889" s="11" t="n"/>
      <c r="Q1889" s="7">
        <f>IF($E1889="","",P1889*Y1889/100)</f>
        <v/>
      </c>
      <c r="R1889" s="7" t="n"/>
      <c r="X1889" s="7" t="n"/>
      <c r="Y1889" s="7" t="n"/>
      <c r="AB1889">
        <f>IF($E1889="","",IF($AQ1889=1,0,IF($AP1889=1,Settings!$C$6,Settings!$C$7))*100)</f>
        <v/>
      </c>
      <c r="AC1889" s="7">
        <f>IF($E1889="","",Y1889*AB1889/100)</f>
        <v/>
      </c>
      <c r="AD1889" s="7">
        <f>IF($E1889="","",Y1889-AC1889)</f>
        <v/>
      </c>
      <c r="AE1889" s="7">
        <f>IF($E1889="","",AD1889-Q1889)</f>
        <v/>
      </c>
      <c r="AI1889" s="7" t="n"/>
      <c r="AL1889" s="11" t="n"/>
      <c r="AN1889">
        <f>IF($E1889="","",IF(COUNTIF($E$2:$E1889,$E1889)=1,1,0))</f>
        <v/>
      </c>
      <c r="AO1889">
        <f>IF($AN1889=1,SUMPRODUCT(--($AR$2:$AR$4001&lt;$AR1889))+1,"")</f>
        <v/>
      </c>
      <c r="AP1889">
        <f>IF($E1889="","",IF(OR($U1889=TRUE(),$U1889="TRUE"),1,0))</f>
        <v/>
      </c>
      <c r="AQ1889">
        <f>IF($E1889="","",IF($AA1889="Yes",1,0))</f>
        <v/>
      </c>
      <c r="AR1889">
        <f>IF($AN1889=1,IFERROR(VALUE(MID($E1889,2,20)),1000000000)+ROW()/100000,"")</f>
        <v/>
      </c>
    </row>
    <row r="1890">
      <c r="G1890" s="11" t="n"/>
      <c r="Q1890" s="7">
        <f>IF($E1890="","",P1890*Y1890/100)</f>
        <v/>
      </c>
      <c r="R1890" s="7" t="n"/>
      <c r="X1890" s="7" t="n"/>
      <c r="Y1890" s="7" t="n"/>
      <c r="AB1890">
        <f>IF($E1890="","",IF($AQ1890=1,0,IF($AP1890=1,Settings!$C$6,Settings!$C$7))*100)</f>
        <v/>
      </c>
      <c r="AC1890" s="7">
        <f>IF($E1890="","",Y1890*AB1890/100)</f>
        <v/>
      </c>
      <c r="AD1890" s="7">
        <f>IF($E1890="","",Y1890-AC1890)</f>
        <v/>
      </c>
      <c r="AE1890" s="7">
        <f>IF($E1890="","",AD1890-Q1890)</f>
        <v/>
      </c>
      <c r="AI1890" s="7" t="n"/>
      <c r="AL1890" s="11" t="n"/>
      <c r="AN1890">
        <f>IF($E1890="","",IF(COUNTIF($E$2:$E1890,$E1890)=1,1,0))</f>
        <v/>
      </c>
      <c r="AO1890">
        <f>IF($AN1890=1,SUMPRODUCT(--($AR$2:$AR$4001&lt;$AR1890))+1,"")</f>
        <v/>
      </c>
      <c r="AP1890">
        <f>IF($E1890="","",IF(OR($U1890=TRUE(),$U1890="TRUE"),1,0))</f>
        <v/>
      </c>
      <c r="AQ1890">
        <f>IF($E1890="","",IF($AA1890="Yes",1,0))</f>
        <v/>
      </c>
      <c r="AR1890">
        <f>IF($AN1890=1,IFERROR(VALUE(MID($E1890,2,20)),1000000000)+ROW()/100000,"")</f>
        <v/>
      </c>
    </row>
    <row r="1891">
      <c r="G1891" s="11" t="n"/>
      <c r="Q1891" s="7">
        <f>IF($E1891="","",P1891*Y1891/100)</f>
        <v/>
      </c>
      <c r="R1891" s="7" t="n"/>
      <c r="X1891" s="7" t="n"/>
      <c r="Y1891" s="7" t="n"/>
      <c r="AB1891">
        <f>IF($E1891="","",IF($AQ1891=1,0,IF($AP1891=1,Settings!$C$6,Settings!$C$7))*100)</f>
        <v/>
      </c>
      <c r="AC1891" s="7">
        <f>IF($E1891="","",Y1891*AB1891/100)</f>
        <v/>
      </c>
      <c r="AD1891" s="7">
        <f>IF($E1891="","",Y1891-AC1891)</f>
        <v/>
      </c>
      <c r="AE1891" s="7">
        <f>IF($E1891="","",AD1891-Q1891)</f>
        <v/>
      </c>
      <c r="AI1891" s="7" t="n"/>
      <c r="AL1891" s="11" t="n"/>
      <c r="AN1891">
        <f>IF($E1891="","",IF(COUNTIF($E$2:$E1891,$E1891)=1,1,0))</f>
        <v/>
      </c>
      <c r="AO1891">
        <f>IF($AN1891=1,SUMPRODUCT(--($AR$2:$AR$4001&lt;$AR1891))+1,"")</f>
        <v/>
      </c>
      <c r="AP1891">
        <f>IF($E1891="","",IF(OR($U1891=TRUE(),$U1891="TRUE"),1,0))</f>
        <v/>
      </c>
      <c r="AQ1891">
        <f>IF($E1891="","",IF($AA1891="Yes",1,0))</f>
        <v/>
      </c>
      <c r="AR1891">
        <f>IF($AN1891=1,IFERROR(VALUE(MID($E1891,2,20)),1000000000)+ROW()/100000,"")</f>
        <v/>
      </c>
    </row>
    <row r="1892">
      <c r="G1892" s="11" t="n"/>
      <c r="Q1892" s="7">
        <f>IF($E1892="","",P1892*Y1892/100)</f>
        <v/>
      </c>
      <c r="R1892" s="7" t="n"/>
      <c r="X1892" s="7" t="n"/>
      <c r="Y1892" s="7" t="n"/>
      <c r="AB1892">
        <f>IF($E1892="","",IF($AQ1892=1,0,IF($AP1892=1,Settings!$C$6,Settings!$C$7))*100)</f>
        <v/>
      </c>
      <c r="AC1892" s="7">
        <f>IF($E1892="","",Y1892*AB1892/100)</f>
        <v/>
      </c>
      <c r="AD1892" s="7">
        <f>IF($E1892="","",Y1892-AC1892)</f>
        <v/>
      </c>
      <c r="AE1892" s="7">
        <f>IF($E1892="","",AD1892-Q1892)</f>
        <v/>
      </c>
      <c r="AI1892" s="7" t="n"/>
      <c r="AL1892" s="11" t="n"/>
      <c r="AN1892">
        <f>IF($E1892="","",IF(COUNTIF($E$2:$E1892,$E1892)=1,1,0))</f>
        <v/>
      </c>
      <c r="AO1892">
        <f>IF($AN1892=1,SUMPRODUCT(--($AR$2:$AR$4001&lt;$AR1892))+1,"")</f>
        <v/>
      </c>
      <c r="AP1892">
        <f>IF($E1892="","",IF(OR($U1892=TRUE(),$U1892="TRUE"),1,0))</f>
        <v/>
      </c>
      <c r="AQ1892">
        <f>IF($E1892="","",IF($AA1892="Yes",1,0))</f>
        <v/>
      </c>
      <c r="AR1892">
        <f>IF($AN1892=1,IFERROR(VALUE(MID($E1892,2,20)),1000000000)+ROW()/100000,"")</f>
        <v/>
      </c>
    </row>
    <row r="1893">
      <c r="G1893" s="11" t="n"/>
      <c r="Q1893" s="7">
        <f>IF($E1893="","",P1893*Y1893/100)</f>
        <v/>
      </c>
      <c r="R1893" s="7" t="n"/>
      <c r="X1893" s="7" t="n"/>
      <c r="Y1893" s="7" t="n"/>
      <c r="AB1893">
        <f>IF($E1893="","",IF($AQ1893=1,0,IF($AP1893=1,Settings!$C$6,Settings!$C$7))*100)</f>
        <v/>
      </c>
      <c r="AC1893" s="7">
        <f>IF($E1893="","",Y1893*AB1893/100)</f>
        <v/>
      </c>
      <c r="AD1893" s="7">
        <f>IF($E1893="","",Y1893-AC1893)</f>
        <v/>
      </c>
      <c r="AE1893" s="7">
        <f>IF($E1893="","",AD1893-Q1893)</f>
        <v/>
      </c>
      <c r="AI1893" s="7" t="n"/>
      <c r="AL1893" s="11" t="n"/>
      <c r="AN1893">
        <f>IF($E1893="","",IF(COUNTIF($E$2:$E1893,$E1893)=1,1,0))</f>
        <v/>
      </c>
      <c r="AO1893">
        <f>IF($AN1893=1,SUMPRODUCT(--($AR$2:$AR$4001&lt;$AR1893))+1,"")</f>
        <v/>
      </c>
      <c r="AP1893">
        <f>IF($E1893="","",IF(OR($U1893=TRUE(),$U1893="TRUE"),1,0))</f>
        <v/>
      </c>
      <c r="AQ1893">
        <f>IF($E1893="","",IF($AA1893="Yes",1,0))</f>
        <v/>
      </c>
      <c r="AR1893">
        <f>IF($AN1893=1,IFERROR(VALUE(MID($E1893,2,20)),1000000000)+ROW()/100000,"")</f>
        <v/>
      </c>
    </row>
    <row r="1894">
      <c r="G1894" s="11" t="n"/>
      <c r="Q1894" s="7">
        <f>IF($E1894="","",P1894*Y1894/100)</f>
        <v/>
      </c>
      <c r="R1894" s="7" t="n"/>
      <c r="X1894" s="7" t="n"/>
      <c r="Y1894" s="7" t="n"/>
      <c r="AB1894">
        <f>IF($E1894="","",IF($AQ1894=1,0,IF($AP1894=1,Settings!$C$6,Settings!$C$7))*100)</f>
        <v/>
      </c>
      <c r="AC1894" s="7">
        <f>IF($E1894="","",Y1894*AB1894/100)</f>
        <v/>
      </c>
      <c r="AD1894" s="7">
        <f>IF($E1894="","",Y1894-AC1894)</f>
        <v/>
      </c>
      <c r="AE1894" s="7">
        <f>IF($E1894="","",AD1894-Q1894)</f>
        <v/>
      </c>
      <c r="AI1894" s="7" t="n"/>
      <c r="AL1894" s="11" t="n"/>
      <c r="AN1894">
        <f>IF($E1894="","",IF(COUNTIF($E$2:$E1894,$E1894)=1,1,0))</f>
        <v/>
      </c>
      <c r="AO1894">
        <f>IF($AN1894=1,SUMPRODUCT(--($AR$2:$AR$4001&lt;$AR1894))+1,"")</f>
        <v/>
      </c>
      <c r="AP1894">
        <f>IF($E1894="","",IF(OR($U1894=TRUE(),$U1894="TRUE"),1,0))</f>
        <v/>
      </c>
      <c r="AQ1894">
        <f>IF($E1894="","",IF($AA1894="Yes",1,0))</f>
        <v/>
      </c>
      <c r="AR1894">
        <f>IF($AN1894=1,IFERROR(VALUE(MID($E1894,2,20)),1000000000)+ROW()/100000,"")</f>
        <v/>
      </c>
    </row>
    <row r="1895">
      <c r="G1895" s="11" t="n"/>
      <c r="Q1895" s="7">
        <f>IF($E1895="","",P1895*Y1895/100)</f>
        <v/>
      </c>
      <c r="R1895" s="7" t="n"/>
      <c r="X1895" s="7" t="n"/>
      <c r="Y1895" s="7" t="n"/>
      <c r="AB1895">
        <f>IF($E1895="","",IF($AQ1895=1,0,IF($AP1895=1,Settings!$C$6,Settings!$C$7))*100)</f>
        <v/>
      </c>
      <c r="AC1895" s="7">
        <f>IF($E1895="","",Y1895*AB1895/100)</f>
        <v/>
      </c>
      <c r="AD1895" s="7">
        <f>IF($E1895="","",Y1895-AC1895)</f>
        <v/>
      </c>
      <c r="AE1895" s="7">
        <f>IF($E1895="","",AD1895-Q1895)</f>
        <v/>
      </c>
      <c r="AI1895" s="7" t="n"/>
      <c r="AL1895" s="11" t="n"/>
      <c r="AN1895">
        <f>IF($E1895="","",IF(COUNTIF($E$2:$E1895,$E1895)=1,1,0))</f>
        <v/>
      </c>
      <c r="AO1895">
        <f>IF($AN1895=1,SUMPRODUCT(--($AR$2:$AR$4001&lt;$AR1895))+1,"")</f>
        <v/>
      </c>
      <c r="AP1895">
        <f>IF($E1895="","",IF(OR($U1895=TRUE(),$U1895="TRUE"),1,0))</f>
        <v/>
      </c>
      <c r="AQ1895">
        <f>IF($E1895="","",IF($AA1895="Yes",1,0))</f>
        <v/>
      </c>
      <c r="AR1895">
        <f>IF($AN1895=1,IFERROR(VALUE(MID($E1895,2,20)),1000000000)+ROW()/100000,"")</f>
        <v/>
      </c>
    </row>
    <row r="1896">
      <c r="G1896" s="11" t="n"/>
      <c r="Q1896" s="7">
        <f>IF($E1896="","",P1896*Y1896/100)</f>
        <v/>
      </c>
      <c r="R1896" s="7" t="n"/>
      <c r="X1896" s="7" t="n"/>
      <c r="Y1896" s="7" t="n"/>
      <c r="AB1896">
        <f>IF($E1896="","",IF($AQ1896=1,0,IF($AP1896=1,Settings!$C$6,Settings!$C$7))*100)</f>
        <v/>
      </c>
      <c r="AC1896" s="7">
        <f>IF($E1896="","",Y1896*AB1896/100)</f>
        <v/>
      </c>
      <c r="AD1896" s="7">
        <f>IF($E1896="","",Y1896-AC1896)</f>
        <v/>
      </c>
      <c r="AE1896" s="7">
        <f>IF($E1896="","",AD1896-Q1896)</f>
        <v/>
      </c>
      <c r="AI1896" s="7" t="n"/>
      <c r="AL1896" s="11" t="n"/>
      <c r="AN1896">
        <f>IF($E1896="","",IF(COUNTIF($E$2:$E1896,$E1896)=1,1,0))</f>
        <v/>
      </c>
      <c r="AO1896">
        <f>IF($AN1896=1,SUMPRODUCT(--($AR$2:$AR$4001&lt;$AR1896))+1,"")</f>
        <v/>
      </c>
      <c r="AP1896">
        <f>IF($E1896="","",IF(OR($U1896=TRUE(),$U1896="TRUE"),1,0))</f>
        <v/>
      </c>
      <c r="AQ1896">
        <f>IF($E1896="","",IF($AA1896="Yes",1,0))</f>
        <v/>
      </c>
      <c r="AR1896">
        <f>IF($AN1896=1,IFERROR(VALUE(MID($E1896,2,20)),1000000000)+ROW()/100000,"")</f>
        <v/>
      </c>
    </row>
    <row r="1897">
      <c r="G1897" s="11" t="n"/>
      <c r="Q1897" s="7">
        <f>IF($E1897="","",P1897*Y1897/100)</f>
        <v/>
      </c>
      <c r="R1897" s="7" t="n"/>
      <c r="X1897" s="7" t="n"/>
      <c r="Y1897" s="7" t="n"/>
      <c r="AB1897">
        <f>IF($E1897="","",IF($AQ1897=1,0,IF($AP1897=1,Settings!$C$6,Settings!$C$7))*100)</f>
        <v/>
      </c>
      <c r="AC1897" s="7">
        <f>IF($E1897="","",Y1897*AB1897/100)</f>
        <v/>
      </c>
      <c r="AD1897" s="7">
        <f>IF($E1897="","",Y1897-AC1897)</f>
        <v/>
      </c>
      <c r="AE1897" s="7">
        <f>IF($E1897="","",AD1897-Q1897)</f>
        <v/>
      </c>
      <c r="AI1897" s="7" t="n"/>
      <c r="AL1897" s="11" t="n"/>
      <c r="AN1897">
        <f>IF($E1897="","",IF(COUNTIF($E$2:$E1897,$E1897)=1,1,0))</f>
        <v/>
      </c>
      <c r="AO1897">
        <f>IF($AN1897=1,SUMPRODUCT(--($AR$2:$AR$4001&lt;$AR1897))+1,"")</f>
        <v/>
      </c>
      <c r="AP1897">
        <f>IF($E1897="","",IF(OR($U1897=TRUE(),$U1897="TRUE"),1,0))</f>
        <v/>
      </c>
      <c r="AQ1897">
        <f>IF($E1897="","",IF($AA1897="Yes",1,0))</f>
        <v/>
      </c>
      <c r="AR1897">
        <f>IF($AN1897=1,IFERROR(VALUE(MID($E1897,2,20)),1000000000)+ROW()/100000,"")</f>
        <v/>
      </c>
    </row>
    <row r="1898">
      <c r="G1898" s="11" t="n"/>
      <c r="Q1898" s="7">
        <f>IF($E1898="","",P1898*Y1898/100)</f>
        <v/>
      </c>
      <c r="R1898" s="7" t="n"/>
      <c r="X1898" s="7" t="n"/>
      <c r="Y1898" s="7" t="n"/>
      <c r="AB1898">
        <f>IF($E1898="","",IF($AQ1898=1,0,IF($AP1898=1,Settings!$C$6,Settings!$C$7))*100)</f>
        <v/>
      </c>
      <c r="AC1898" s="7">
        <f>IF($E1898="","",Y1898*AB1898/100)</f>
        <v/>
      </c>
      <c r="AD1898" s="7">
        <f>IF($E1898="","",Y1898-AC1898)</f>
        <v/>
      </c>
      <c r="AE1898" s="7">
        <f>IF($E1898="","",AD1898-Q1898)</f>
        <v/>
      </c>
      <c r="AI1898" s="7" t="n"/>
      <c r="AL1898" s="11" t="n"/>
      <c r="AN1898">
        <f>IF($E1898="","",IF(COUNTIF($E$2:$E1898,$E1898)=1,1,0))</f>
        <v/>
      </c>
      <c r="AO1898">
        <f>IF($AN1898=1,SUMPRODUCT(--($AR$2:$AR$4001&lt;$AR1898))+1,"")</f>
        <v/>
      </c>
      <c r="AP1898">
        <f>IF($E1898="","",IF(OR($U1898=TRUE(),$U1898="TRUE"),1,0))</f>
        <v/>
      </c>
      <c r="AQ1898">
        <f>IF($E1898="","",IF($AA1898="Yes",1,0))</f>
        <v/>
      </c>
      <c r="AR1898">
        <f>IF($AN1898=1,IFERROR(VALUE(MID($E1898,2,20)),1000000000)+ROW()/100000,"")</f>
        <v/>
      </c>
    </row>
    <row r="1899">
      <c r="G1899" s="11" t="n"/>
      <c r="Q1899" s="7">
        <f>IF($E1899="","",P1899*Y1899/100)</f>
        <v/>
      </c>
      <c r="R1899" s="7" t="n"/>
      <c r="X1899" s="7" t="n"/>
      <c r="Y1899" s="7" t="n"/>
      <c r="AB1899">
        <f>IF($E1899="","",IF($AQ1899=1,0,IF($AP1899=1,Settings!$C$6,Settings!$C$7))*100)</f>
        <v/>
      </c>
      <c r="AC1899" s="7">
        <f>IF($E1899="","",Y1899*AB1899/100)</f>
        <v/>
      </c>
      <c r="AD1899" s="7">
        <f>IF($E1899="","",Y1899-AC1899)</f>
        <v/>
      </c>
      <c r="AE1899" s="7">
        <f>IF($E1899="","",AD1899-Q1899)</f>
        <v/>
      </c>
      <c r="AI1899" s="7" t="n"/>
      <c r="AL1899" s="11" t="n"/>
      <c r="AN1899">
        <f>IF($E1899="","",IF(COUNTIF($E$2:$E1899,$E1899)=1,1,0))</f>
        <v/>
      </c>
      <c r="AO1899">
        <f>IF($AN1899=1,SUMPRODUCT(--($AR$2:$AR$4001&lt;$AR1899))+1,"")</f>
        <v/>
      </c>
      <c r="AP1899">
        <f>IF($E1899="","",IF(OR($U1899=TRUE(),$U1899="TRUE"),1,0))</f>
        <v/>
      </c>
      <c r="AQ1899">
        <f>IF($E1899="","",IF($AA1899="Yes",1,0))</f>
        <v/>
      </c>
      <c r="AR1899">
        <f>IF($AN1899=1,IFERROR(VALUE(MID($E1899,2,20)),1000000000)+ROW()/100000,"")</f>
        <v/>
      </c>
    </row>
    <row r="1900">
      <c r="G1900" s="11" t="n"/>
      <c r="Q1900" s="7">
        <f>IF($E1900="","",P1900*Y1900/100)</f>
        <v/>
      </c>
      <c r="R1900" s="7" t="n"/>
      <c r="X1900" s="7" t="n"/>
      <c r="Y1900" s="7" t="n"/>
      <c r="AB1900">
        <f>IF($E1900="","",IF($AQ1900=1,0,IF($AP1900=1,Settings!$C$6,Settings!$C$7))*100)</f>
        <v/>
      </c>
      <c r="AC1900" s="7">
        <f>IF($E1900="","",Y1900*AB1900/100)</f>
        <v/>
      </c>
      <c r="AD1900" s="7">
        <f>IF($E1900="","",Y1900-AC1900)</f>
        <v/>
      </c>
      <c r="AE1900" s="7">
        <f>IF($E1900="","",AD1900-Q1900)</f>
        <v/>
      </c>
      <c r="AI1900" s="7" t="n"/>
      <c r="AL1900" s="11" t="n"/>
      <c r="AN1900">
        <f>IF($E1900="","",IF(COUNTIF($E$2:$E1900,$E1900)=1,1,0))</f>
        <v/>
      </c>
      <c r="AO1900">
        <f>IF($AN1900=1,SUMPRODUCT(--($AR$2:$AR$4001&lt;$AR1900))+1,"")</f>
        <v/>
      </c>
      <c r="AP1900">
        <f>IF($E1900="","",IF(OR($U1900=TRUE(),$U1900="TRUE"),1,0))</f>
        <v/>
      </c>
      <c r="AQ1900">
        <f>IF($E1900="","",IF($AA1900="Yes",1,0))</f>
        <v/>
      </c>
      <c r="AR1900">
        <f>IF($AN1900=1,IFERROR(VALUE(MID($E1900,2,20)),1000000000)+ROW()/100000,"")</f>
        <v/>
      </c>
    </row>
    <row r="1901">
      <c r="G1901" s="11" t="n"/>
      <c r="Q1901" s="7">
        <f>IF($E1901="","",P1901*Y1901/100)</f>
        <v/>
      </c>
      <c r="R1901" s="7" t="n"/>
      <c r="X1901" s="7" t="n"/>
      <c r="Y1901" s="7" t="n"/>
      <c r="AB1901">
        <f>IF($E1901="","",IF($AQ1901=1,0,IF($AP1901=1,Settings!$C$6,Settings!$C$7))*100)</f>
        <v/>
      </c>
      <c r="AC1901" s="7">
        <f>IF($E1901="","",Y1901*AB1901/100)</f>
        <v/>
      </c>
      <c r="AD1901" s="7">
        <f>IF($E1901="","",Y1901-AC1901)</f>
        <v/>
      </c>
      <c r="AE1901" s="7">
        <f>IF($E1901="","",AD1901-Q1901)</f>
        <v/>
      </c>
      <c r="AI1901" s="7" t="n"/>
      <c r="AL1901" s="11" t="n"/>
      <c r="AN1901">
        <f>IF($E1901="","",IF(COUNTIF($E$2:$E1901,$E1901)=1,1,0))</f>
        <v/>
      </c>
      <c r="AO1901">
        <f>IF($AN1901=1,SUMPRODUCT(--($AR$2:$AR$4001&lt;$AR1901))+1,"")</f>
        <v/>
      </c>
      <c r="AP1901">
        <f>IF($E1901="","",IF(OR($U1901=TRUE(),$U1901="TRUE"),1,0))</f>
        <v/>
      </c>
      <c r="AQ1901">
        <f>IF($E1901="","",IF($AA1901="Yes",1,0))</f>
        <v/>
      </c>
      <c r="AR1901">
        <f>IF($AN1901=1,IFERROR(VALUE(MID($E1901,2,20)),1000000000)+ROW()/100000,"")</f>
        <v/>
      </c>
    </row>
    <row r="1902">
      <c r="G1902" s="11" t="n"/>
      <c r="Q1902" s="7">
        <f>IF($E1902="","",P1902*Y1902/100)</f>
        <v/>
      </c>
      <c r="R1902" s="7" t="n"/>
      <c r="X1902" s="7" t="n"/>
      <c r="Y1902" s="7" t="n"/>
      <c r="AB1902">
        <f>IF($E1902="","",IF($AQ1902=1,0,IF($AP1902=1,Settings!$C$6,Settings!$C$7))*100)</f>
        <v/>
      </c>
      <c r="AC1902" s="7">
        <f>IF($E1902="","",Y1902*AB1902/100)</f>
        <v/>
      </c>
      <c r="AD1902" s="7">
        <f>IF($E1902="","",Y1902-AC1902)</f>
        <v/>
      </c>
      <c r="AE1902" s="7">
        <f>IF($E1902="","",AD1902-Q1902)</f>
        <v/>
      </c>
      <c r="AI1902" s="7" t="n"/>
      <c r="AL1902" s="11" t="n"/>
      <c r="AN1902">
        <f>IF($E1902="","",IF(COUNTIF($E$2:$E1902,$E1902)=1,1,0))</f>
        <v/>
      </c>
      <c r="AO1902">
        <f>IF($AN1902=1,SUMPRODUCT(--($AR$2:$AR$4001&lt;$AR1902))+1,"")</f>
        <v/>
      </c>
      <c r="AP1902">
        <f>IF($E1902="","",IF(OR($U1902=TRUE(),$U1902="TRUE"),1,0))</f>
        <v/>
      </c>
      <c r="AQ1902">
        <f>IF($E1902="","",IF($AA1902="Yes",1,0))</f>
        <v/>
      </c>
      <c r="AR1902">
        <f>IF($AN1902=1,IFERROR(VALUE(MID($E1902,2,20)),1000000000)+ROW()/100000,"")</f>
        <v/>
      </c>
    </row>
    <row r="1903">
      <c r="G1903" s="11" t="n"/>
      <c r="Q1903" s="7">
        <f>IF($E1903="","",P1903*Y1903/100)</f>
        <v/>
      </c>
      <c r="R1903" s="7" t="n"/>
      <c r="X1903" s="7" t="n"/>
      <c r="Y1903" s="7" t="n"/>
      <c r="AB1903">
        <f>IF($E1903="","",IF($AQ1903=1,0,IF($AP1903=1,Settings!$C$6,Settings!$C$7))*100)</f>
        <v/>
      </c>
      <c r="AC1903" s="7">
        <f>IF($E1903="","",Y1903*AB1903/100)</f>
        <v/>
      </c>
      <c r="AD1903" s="7">
        <f>IF($E1903="","",Y1903-AC1903)</f>
        <v/>
      </c>
      <c r="AE1903" s="7">
        <f>IF($E1903="","",AD1903-Q1903)</f>
        <v/>
      </c>
      <c r="AI1903" s="7" t="n"/>
      <c r="AL1903" s="11" t="n"/>
      <c r="AN1903">
        <f>IF($E1903="","",IF(COUNTIF($E$2:$E1903,$E1903)=1,1,0))</f>
        <v/>
      </c>
      <c r="AO1903">
        <f>IF($AN1903=1,SUMPRODUCT(--($AR$2:$AR$4001&lt;$AR1903))+1,"")</f>
        <v/>
      </c>
      <c r="AP1903">
        <f>IF($E1903="","",IF(OR($U1903=TRUE(),$U1903="TRUE"),1,0))</f>
        <v/>
      </c>
      <c r="AQ1903">
        <f>IF($E1903="","",IF($AA1903="Yes",1,0))</f>
        <v/>
      </c>
      <c r="AR1903">
        <f>IF($AN1903=1,IFERROR(VALUE(MID($E1903,2,20)),1000000000)+ROW()/100000,"")</f>
        <v/>
      </c>
    </row>
    <row r="1904">
      <c r="G1904" s="11" t="n"/>
      <c r="Q1904" s="7">
        <f>IF($E1904="","",P1904*Y1904/100)</f>
        <v/>
      </c>
      <c r="R1904" s="7" t="n"/>
      <c r="X1904" s="7" t="n"/>
      <c r="Y1904" s="7" t="n"/>
      <c r="AB1904">
        <f>IF($E1904="","",IF($AQ1904=1,0,IF($AP1904=1,Settings!$C$6,Settings!$C$7))*100)</f>
        <v/>
      </c>
      <c r="AC1904" s="7">
        <f>IF($E1904="","",Y1904*AB1904/100)</f>
        <v/>
      </c>
      <c r="AD1904" s="7">
        <f>IF($E1904="","",Y1904-AC1904)</f>
        <v/>
      </c>
      <c r="AE1904" s="7">
        <f>IF($E1904="","",AD1904-Q1904)</f>
        <v/>
      </c>
      <c r="AI1904" s="7" t="n"/>
      <c r="AL1904" s="11" t="n"/>
      <c r="AN1904">
        <f>IF($E1904="","",IF(COUNTIF($E$2:$E1904,$E1904)=1,1,0))</f>
        <v/>
      </c>
      <c r="AO1904">
        <f>IF($AN1904=1,SUMPRODUCT(--($AR$2:$AR$4001&lt;$AR1904))+1,"")</f>
        <v/>
      </c>
      <c r="AP1904">
        <f>IF($E1904="","",IF(OR($U1904=TRUE(),$U1904="TRUE"),1,0))</f>
        <v/>
      </c>
      <c r="AQ1904">
        <f>IF($E1904="","",IF($AA1904="Yes",1,0))</f>
        <v/>
      </c>
      <c r="AR1904">
        <f>IF($AN1904=1,IFERROR(VALUE(MID($E1904,2,20)),1000000000)+ROW()/100000,"")</f>
        <v/>
      </c>
    </row>
    <row r="1905">
      <c r="G1905" s="11" t="n"/>
      <c r="Q1905" s="7">
        <f>IF($E1905="","",P1905*Y1905/100)</f>
        <v/>
      </c>
      <c r="R1905" s="7" t="n"/>
      <c r="X1905" s="7" t="n"/>
      <c r="Y1905" s="7" t="n"/>
      <c r="AB1905">
        <f>IF($E1905="","",IF($AQ1905=1,0,IF($AP1905=1,Settings!$C$6,Settings!$C$7))*100)</f>
        <v/>
      </c>
      <c r="AC1905" s="7">
        <f>IF($E1905="","",Y1905*AB1905/100)</f>
        <v/>
      </c>
      <c r="AD1905" s="7">
        <f>IF($E1905="","",Y1905-AC1905)</f>
        <v/>
      </c>
      <c r="AE1905" s="7">
        <f>IF($E1905="","",AD1905-Q1905)</f>
        <v/>
      </c>
      <c r="AI1905" s="7" t="n"/>
      <c r="AL1905" s="11" t="n"/>
      <c r="AN1905">
        <f>IF($E1905="","",IF(COUNTIF($E$2:$E1905,$E1905)=1,1,0))</f>
        <v/>
      </c>
      <c r="AO1905">
        <f>IF($AN1905=1,SUMPRODUCT(--($AR$2:$AR$4001&lt;$AR1905))+1,"")</f>
        <v/>
      </c>
      <c r="AP1905">
        <f>IF($E1905="","",IF(OR($U1905=TRUE(),$U1905="TRUE"),1,0))</f>
        <v/>
      </c>
      <c r="AQ1905">
        <f>IF($E1905="","",IF($AA1905="Yes",1,0))</f>
        <v/>
      </c>
      <c r="AR1905">
        <f>IF($AN1905=1,IFERROR(VALUE(MID($E1905,2,20)),1000000000)+ROW()/100000,"")</f>
        <v/>
      </c>
    </row>
    <row r="1906">
      <c r="G1906" s="11" t="n"/>
      <c r="Q1906" s="7">
        <f>IF($E1906="","",P1906*Y1906/100)</f>
        <v/>
      </c>
      <c r="R1906" s="7" t="n"/>
      <c r="X1906" s="7" t="n"/>
      <c r="Y1906" s="7" t="n"/>
      <c r="AB1906">
        <f>IF($E1906="","",IF($AQ1906=1,0,IF($AP1906=1,Settings!$C$6,Settings!$C$7))*100)</f>
        <v/>
      </c>
      <c r="AC1906" s="7">
        <f>IF($E1906="","",Y1906*AB1906/100)</f>
        <v/>
      </c>
      <c r="AD1906" s="7">
        <f>IF($E1906="","",Y1906-AC1906)</f>
        <v/>
      </c>
      <c r="AE1906" s="7">
        <f>IF($E1906="","",AD1906-Q1906)</f>
        <v/>
      </c>
      <c r="AI1906" s="7" t="n"/>
      <c r="AL1906" s="11" t="n"/>
      <c r="AN1906">
        <f>IF($E1906="","",IF(COUNTIF($E$2:$E1906,$E1906)=1,1,0))</f>
        <v/>
      </c>
      <c r="AO1906">
        <f>IF($AN1906=1,SUMPRODUCT(--($AR$2:$AR$4001&lt;$AR1906))+1,"")</f>
        <v/>
      </c>
      <c r="AP1906">
        <f>IF($E1906="","",IF(OR($U1906=TRUE(),$U1906="TRUE"),1,0))</f>
        <v/>
      </c>
      <c r="AQ1906">
        <f>IF($E1906="","",IF($AA1906="Yes",1,0))</f>
        <v/>
      </c>
      <c r="AR1906">
        <f>IF($AN1906=1,IFERROR(VALUE(MID($E1906,2,20)),1000000000)+ROW()/100000,"")</f>
        <v/>
      </c>
    </row>
    <row r="1907">
      <c r="G1907" s="11" t="n"/>
      <c r="Q1907" s="7">
        <f>IF($E1907="","",P1907*Y1907/100)</f>
        <v/>
      </c>
      <c r="R1907" s="7" t="n"/>
      <c r="X1907" s="7" t="n"/>
      <c r="Y1907" s="7" t="n"/>
      <c r="AB1907">
        <f>IF($E1907="","",IF($AQ1907=1,0,IF($AP1907=1,Settings!$C$6,Settings!$C$7))*100)</f>
        <v/>
      </c>
      <c r="AC1907" s="7">
        <f>IF($E1907="","",Y1907*AB1907/100)</f>
        <v/>
      </c>
      <c r="AD1907" s="7">
        <f>IF($E1907="","",Y1907-AC1907)</f>
        <v/>
      </c>
      <c r="AE1907" s="7">
        <f>IF($E1907="","",AD1907-Q1907)</f>
        <v/>
      </c>
      <c r="AI1907" s="7" t="n"/>
      <c r="AL1907" s="11" t="n"/>
      <c r="AN1907">
        <f>IF($E1907="","",IF(COUNTIF($E$2:$E1907,$E1907)=1,1,0))</f>
        <v/>
      </c>
      <c r="AO1907">
        <f>IF($AN1907=1,SUMPRODUCT(--($AR$2:$AR$4001&lt;$AR1907))+1,"")</f>
        <v/>
      </c>
      <c r="AP1907">
        <f>IF($E1907="","",IF(OR($U1907=TRUE(),$U1907="TRUE"),1,0))</f>
        <v/>
      </c>
      <c r="AQ1907">
        <f>IF($E1907="","",IF($AA1907="Yes",1,0))</f>
        <v/>
      </c>
      <c r="AR1907">
        <f>IF($AN1907=1,IFERROR(VALUE(MID($E1907,2,20)),1000000000)+ROW()/100000,"")</f>
        <v/>
      </c>
    </row>
    <row r="1908">
      <c r="G1908" s="11" t="n"/>
      <c r="Q1908" s="7">
        <f>IF($E1908="","",P1908*Y1908/100)</f>
        <v/>
      </c>
      <c r="R1908" s="7" t="n"/>
      <c r="X1908" s="7" t="n"/>
      <c r="Y1908" s="7" t="n"/>
      <c r="AB1908">
        <f>IF($E1908="","",IF($AQ1908=1,0,IF($AP1908=1,Settings!$C$6,Settings!$C$7))*100)</f>
        <v/>
      </c>
      <c r="AC1908" s="7">
        <f>IF($E1908="","",Y1908*AB1908/100)</f>
        <v/>
      </c>
      <c r="AD1908" s="7">
        <f>IF($E1908="","",Y1908-AC1908)</f>
        <v/>
      </c>
      <c r="AE1908" s="7">
        <f>IF($E1908="","",AD1908-Q1908)</f>
        <v/>
      </c>
      <c r="AI1908" s="7" t="n"/>
      <c r="AL1908" s="11" t="n"/>
      <c r="AN1908">
        <f>IF($E1908="","",IF(COUNTIF($E$2:$E1908,$E1908)=1,1,0))</f>
        <v/>
      </c>
      <c r="AO1908">
        <f>IF($AN1908=1,SUMPRODUCT(--($AR$2:$AR$4001&lt;$AR1908))+1,"")</f>
        <v/>
      </c>
      <c r="AP1908">
        <f>IF($E1908="","",IF(OR($U1908=TRUE(),$U1908="TRUE"),1,0))</f>
        <v/>
      </c>
      <c r="AQ1908">
        <f>IF($E1908="","",IF($AA1908="Yes",1,0))</f>
        <v/>
      </c>
      <c r="AR1908">
        <f>IF($AN1908=1,IFERROR(VALUE(MID($E1908,2,20)),1000000000)+ROW()/100000,"")</f>
        <v/>
      </c>
    </row>
    <row r="1909">
      <c r="G1909" s="11" t="n"/>
      <c r="Q1909" s="7">
        <f>IF($E1909="","",P1909*Y1909/100)</f>
        <v/>
      </c>
      <c r="R1909" s="7" t="n"/>
      <c r="X1909" s="7" t="n"/>
      <c r="Y1909" s="7" t="n"/>
      <c r="AB1909">
        <f>IF($E1909="","",IF($AQ1909=1,0,IF($AP1909=1,Settings!$C$6,Settings!$C$7))*100)</f>
        <v/>
      </c>
      <c r="AC1909" s="7">
        <f>IF($E1909="","",Y1909*AB1909/100)</f>
        <v/>
      </c>
      <c r="AD1909" s="7">
        <f>IF($E1909="","",Y1909-AC1909)</f>
        <v/>
      </c>
      <c r="AE1909" s="7">
        <f>IF($E1909="","",AD1909-Q1909)</f>
        <v/>
      </c>
      <c r="AI1909" s="7" t="n"/>
      <c r="AL1909" s="11" t="n"/>
      <c r="AN1909">
        <f>IF($E1909="","",IF(COUNTIF($E$2:$E1909,$E1909)=1,1,0))</f>
        <v/>
      </c>
      <c r="AO1909">
        <f>IF($AN1909=1,SUMPRODUCT(--($AR$2:$AR$4001&lt;$AR1909))+1,"")</f>
        <v/>
      </c>
      <c r="AP1909">
        <f>IF($E1909="","",IF(OR($U1909=TRUE(),$U1909="TRUE"),1,0))</f>
        <v/>
      </c>
      <c r="AQ1909">
        <f>IF($E1909="","",IF($AA1909="Yes",1,0))</f>
        <v/>
      </c>
      <c r="AR1909">
        <f>IF($AN1909=1,IFERROR(VALUE(MID($E1909,2,20)),1000000000)+ROW()/100000,"")</f>
        <v/>
      </c>
    </row>
    <row r="1910">
      <c r="G1910" s="11" t="n"/>
      <c r="Q1910" s="7">
        <f>IF($E1910="","",P1910*Y1910/100)</f>
        <v/>
      </c>
      <c r="R1910" s="7" t="n"/>
      <c r="X1910" s="7" t="n"/>
      <c r="Y1910" s="7" t="n"/>
      <c r="AB1910">
        <f>IF($E1910="","",IF($AQ1910=1,0,IF($AP1910=1,Settings!$C$6,Settings!$C$7))*100)</f>
        <v/>
      </c>
      <c r="AC1910" s="7">
        <f>IF($E1910="","",Y1910*AB1910/100)</f>
        <v/>
      </c>
      <c r="AD1910" s="7">
        <f>IF($E1910="","",Y1910-AC1910)</f>
        <v/>
      </c>
      <c r="AE1910" s="7">
        <f>IF($E1910="","",AD1910-Q1910)</f>
        <v/>
      </c>
      <c r="AI1910" s="7" t="n"/>
      <c r="AL1910" s="11" t="n"/>
      <c r="AN1910">
        <f>IF($E1910="","",IF(COUNTIF($E$2:$E1910,$E1910)=1,1,0))</f>
        <v/>
      </c>
      <c r="AO1910">
        <f>IF($AN1910=1,SUMPRODUCT(--($AR$2:$AR$4001&lt;$AR1910))+1,"")</f>
        <v/>
      </c>
      <c r="AP1910">
        <f>IF($E1910="","",IF(OR($U1910=TRUE(),$U1910="TRUE"),1,0))</f>
        <v/>
      </c>
      <c r="AQ1910">
        <f>IF($E1910="","",IF($AA1910="Yes",1,0))</f>
        <v/>
      </c>
      <c r="AR1910">
        <f>IF($AN1910=1,IFERROR(VALUE(MID($E1910,2,20)),1000000000)+ROW()/100000,"")</f>
        <v/>
      </c>
    </row>
    <row r="1911">
      <c r="G1911" s="11" t="n"/>
      <c r="Q1911" s="7">
        <f>IF($E1911="","",P1911*Y1911/100)</f>
        <v/>
      </c>
      <c r="R1911" s="7" t="n"/>
      <c r="X1911" s="7" t="n"/>
      <c r="Y1911" s="7" t="n"/>
      <c r="AB1911">
        <f>IF($E1911="","",IF($AQ1911=1,0,IF($AP1911=1,Settings!$C$6,Settings!$C$7))*100)</f>
        <v/>
      </c>
      <c r="AC1911" s="7">
        <f>IF($E1911="","",Y1911*AB1911/100)</f>
        <v/>
      </c>
      <c r="AD1911" s="7">
        <f>IF($E1911="","",Y1911-AC1911)</f>
        <v/>
      </c>
      <c r="AE1911" s="7">
        <f>IF($E1911="","",AD1911-Q1911)</f>
        <v/>
      </c>
      <c r="AI1911" s="7" t="n"/>
      <c r="AL1911" s="11" t="n"/>
      <c r="AN1911">
        <f>IF($E1911="","",IF(COUNTIF($E$2:$E1911,$E1911)=1,1,0))</f>
        <v/>
      </c>
      <c r="AO1911">
        <f>IF($AN1911=1,SUMPRODUCT(--($AR$2:$AR$4001&lt;$AR1911))+1,"")</f>
        <v/>
      </c>
      <c r="AP1911">
        <f>IF($E1911="","",IF(OR($U1911=TRUE(),$U1911="TRUE"),1,0))</f>
        <v/>
      </c>
      <c r="AQ1911">
        <f>IF($E1911="","",IF($AA1911="Yes",1,0))</f>
        <v/>
      </c>
      <c r="AR1911">
        <f>IF($AN1911=1,IFERROR(VALUE(MID($E1911,2,20)),1000000000)+ROW()/100000,"")</f>
        <v/>
      </c>
    </row>
    <row r="1912">
      <c r="G1912" s="11" t="n"/>
      <c r="Q1912" s="7">
        <f>IF($E1912="","",P1912*Y1912/100)</f>
        <v/>
      </c>
      <c r="R1912" s="7" t="n"/>
      <c r="X1912" s="7" t="n"/>
      <c r="Y1912" s="7" t="n"/>
      <c r="AB1912">
        <f>IF($E1912="","",IF($AQ1912=1,0,IF($AP1912=1,Settings!$C$6,Settings!$C$7))*100)</f>
        <v/>
      </c>
      <c r="AC1912" s="7">
        <f>IF($E1912="","",Y1912*AB1912/100)</f>
        <v/>
      </c>
      <c r="AD1912" s="7">
        <f>IF($E1912="","",Y1912-AC1912)</f>
        <v/>
      </c>
      <c r="AE1912" s="7">
        <f>IF($E1912="","",AD1912-Q1912)</f>
        <v/>
      </c>
      <c r="AI1912" s="7" t="n"/>
      <c r="AL1912" s="11" t="n"/>
      <c r="AN1912">
        <f>IF($E1912="","",IF(COUNTIF($E$2:$E1912,$E1912)=1,1,0))</f>
        <v/>
      </c>
      <c r="AO1912">
        <f>IF($AN1912=1,SUMPRODUCT(--($AR$2:$AR$4001&lt;$AR1912))+1,"")</f>
        <v/>
      </c>
      <c r="AP1912">
        <f>IF($E1912="","",IF(OR($U1912=TRUE(),$U1912="TRUE"),1,0))</f>
        <v/>
      </c>
      <c r="AQ1912">
        <f>IF($E1912="","",IF($AA1912="Yes",1,0))</f>
        <v/>
      </c>
      <c r="AR1912">
        <f>IF($AN1912=1,IFERROR(VALUE(MID($E1912,2,20)),1000000000)+ROW()/100000,"")</f>
        <v/>
      </c>
    </row>
    <row r="1913">
      <c r="G1913" s="11" t="n"/>
      <c r="Q1913" s="7">
        <f>IF($E1913="","",P1913*Y1913/100)</f>
        <v/>
      </c>
      <c r="R1913" s="7" t="n"/>
      <c r="X1913" s="7" t="n"/>
      <c r="Y1913" s="7" t="n"/>
      <c r="AB1913">
        <f>IF($E1913="","",IF($AQ1913=1,0,IF($AP1913=1,Settings!$C$6,Settings!$C$7))*100)</f>
        <v/>
      </c>
      <c r="AC1913" s="7">
        <f>IF($E1913="","",Y1913*AB1913/100)</f>
        <v/>
      </c>
      <c r="AD1913" s="7">
        <f>IF($E1913="","",Y1913-AC1913)</f>
        <v/>
      </c>
      <c r="AE1913" s="7">
        <f>IF($E1913="","",AD1913-Q1913)</f>
        <v/>
      </c>
      <c r="AI1913" s="7" t="n"/>
      <c r="AL1913" s="11" t="n"/>
      <c r="AN1913">
        <f>IF($E1913="","",IF(COUNTIF($E$2:$E1913,$E1913)=1,1,0))</f>
        <v/>
      </c>
      <c r="AO1913">
        <f>IF($AN1913=1,SUMPRODUCT(--($AR$2:$AR$4001&lt;$AR1913))+1,"")</f>
        <v/>
      </c>
      <c r="AP1913">
        <f>IF($E1913="","",IF(OR($U1913=TRUE(),$U1913="TRUE"),1,0))</f>
        <v/>
      </c>
      <c r="AQ1913">
        <f>IF($E1913="","",IF($AA1913="Yes",1,0))</f>
        <v/>
      </c>
      <c r="AR1913">
        <f>IF($AN1913=1,IFERROR(VALUE(MID($E1913,2,20)),1000000000)+ROW()/100000,"")</f>
        <v/>
      </c>
    </row>
    <row r="1914">
      <c r="G1914" s="11" t="n"/>
      <c r="Q1914" s="7">
        <f>IF($E1914="","",P1914*Y1914/100)</f>
        <v/>
      </c>
      <c r="R1914" s="7" t="n"/>
      <c r="X1914" s="7" t="n"/>
      <c r="Y1914" s="7" t="n"/>
      <c r="AB1914">
        <f>IF($E1914="","",IF($AQ1914=1,0,IF($AP1914=1,Settings!$C$6,Settings!$C$7))*100)</f>
        <v/>
      </c>
      <c r="AC1914" s="7">
        <f>IF($E1914="","",Y1914*AB1914/100)</f>
        <v/>
      </c>
      <c r="AD1914" s="7">
        <f>IF($E1914="","",Y1914-AC1914)</f>
        <v/>
      </c>
      <c r="AE1914" s="7">
        <f>IF($E1914="","",AD1914-Q1914)</f>
        <v/>
      </c>
      <c r="AI1914" s="7" t="n"/>
      <c r="AL1914" s="11" t="n"/>
      <c r="AN1914">
        <f>IF($E1914="","",IF(COUNTIF($E$2:$E1914,$E1914)=1,1,0))</f>
        <v/>
      </c>
      <c r="AO1914">
        <f>IF($AN1914=1,SUMPRODUCT(--($AR$2:$AR$4001&lt;$AR1914))+1,"")</f>
        <v/>
      </c>
      <c r="AP1914">
        <f>IF($E1914="","",IF(OR($U1914=TRUE(),$U1914="TRUE"),1,0))</f>
        <v/>
      </c>
      <c r="AQ1914">
        <f>IF($E1914="","",IF($AA1914="Yes",1,0))</f>
        <v/>
      </c>
      <c r="AR1914">
        <f>IF($AN1914=1,IFERROR(VALUE(MID($E1914,2,20)),1000000000)+ROW()/100000,"")</f>
        <v/>
      </c>
    </row>
    <row r="1915">
      <c r="G1915" s="11" t="n"/>
      <c r="Q1915" s="7">
        <f>IF($E1915="","",P1915*Y1915/100)</f>
        <v/>
      </c>
      <c r="R1915" s="7" t="n"/>
      <c r="X1915" s="7" t="n"/>
      <c r="Y1915" s="7" t="n"/>
      <c r="AB1915">
        <f>IF($E1915="","",IF($AQ1915=1,0,IF($AP1915=1,Settings!$C$6,Settings!$C$7))*100)</f>
        <v/>
      </c>
      <c r="AC1915" s="7">
        <f>IF($E1915="","",Y1915*AB1915/100)</f>
        <v/>
      </c>
      <c r="AD1915" s="7">
        <f>IF($E1915="","",Y1915-AC1915)</f>
        <v/>
      </c>
      <c r="AE1915" s="7">
        <f>IF($E1915="","",AD1915-Q1915)</f>
        <v/>
      </c>
      <c r="AI1915" s="7" t="n"/>
      <c r="AL1915" s="11" t="n"/>
      <c r="AN1915">
        <f>IF($E1915="","",IF(COUNTIF($E$2:$E1915,$E1915)=1,1,0))</f>
        <v/>
      </c>
      <c r="AO1915">
        <f>IF($AN1915=1,SUMPRODUCT(--($AR$2:$AR$4001&lt;$AR1915))+1,"")</f>
        <v/>
      </c>
      <c r="AP1915">
        <f>IF($E1915="","",IF(OR($U1915=TRUE(),$U1915="TRUE"),1,0))</f>
        <v/>
      </c>
      <c r="AQ1915">
        <f>IF($E1915="","",IF($AA1915="Yes",1,0))</f>
        <v/>
      </c>
      <c r="AR1915">
        <f>IF($AN1915=1,IFERROR(VALUE(MID($E1915,2,20)),1000000000)+ROW()/100000,"")</f>
        <v/>
      </c>
    </row>
    <row r="1916">
      <c r="G1916" s="11" t="n"/>
      <c r="Q1916" s="7">
        <f>IF($E1916="","",P1916*Y1916/100)</f>
        <v/>
      </c>
      <c r="R1916" s="7" t="n"/>
      <c r="X1916" s="7" t="n"/>
      <c r="Y1916" s="7" t="n"/>
      <c r="AB1916">
        <f>IF($E1916="","",IF($AQ1916=1,0,IF($AP1916=1,Settings!$C$6,Settings!$C$7))*100)</f>
        <v/>
      </c>
      <c r="AC1916" s="7">
        <f>IF($E1916="","",Y1916*AB1916/100)</f>
        <v/>
      </c>
      <c r="AD1916" s="7">
        <f>IF($E1916="","",Y1916-AC1916)</f>
        <v/>
      </c>
      <c r="AE1916" s="7">
        <f>IF($E1916="","",AD1916-Q1916)</f>
        <v/>
      </c>
      <c r="AI1916" s="7" t="n"/>
      <c r="AL1916" s="11" t="n"/>
      <c r="AN1916">
        <f>IF($E1916="","",IF(COUNTIF($E$2:$E1916,$E1916)=1,1,0))</f>
        <v/>
      </c>
      <c r="AO1916">
        <f>IF($AN1916=1,SUMPRODUCT(--($AR$2:$AR$4001&lt;$AR1916))+1,"")</f>
        <v/>
      </c>
      <c r="AP1916">
        <f>IF($E1916="","",IF(OR($U1916=TRUE(),$U1916="TRUE"),1,0))</f>
        <v/>
      </c>
      <c r="AQ1916">
        <f>IF($E1916="","",IF($AA1916="Yes",1,0))</f>
        <v/>
      </c>
      <c r="AR1916">
        <f>IF($AN1916=1,IFERROR(VALUE(MID($E1916,2,20)),1000000000)+ROW()/100000,"")</f>
        <v/>
      </c>
    </row>
    <row r="1917">
      <c r="G1917" s="11" t="n"/>
      <c r="Q1917" s="7">
        <f>IF($E1917="","",P1917*Y1917/100)</f>
        <v/>
      </c>
      <c r="R1917" s="7" t="n"/>
      <c r="X1917" s="7" t="n"/>
      <c r="Y1917" s="7" t="n"/>
      <c r="AB1917">
        <f>IF($E1917="","",IF($AQ1917=1,0,IF($AP1917=1,Settings!$C$6,Settings!$C$7))*100)</f>
        <v/>
      </c>
      <c r="AC1917" s="7">
        <f>IF($E1917="","",Y1917*AB1917/100)</f>
        <v/>
      </c>
      <c r="AD1917" s="7">
        <f>IF($E1917="","",Y1917-AC1917)</f>
        <v/>
      </c>
      <c r="AE1917" s="7">
        <f>IF($E1917="","",AD1917-Q1917)</f>
        <v/>
      </c>
      <c r="AI1917" s="7" t="n"/>
      <c r="AL1917" s="11" t="n"/>
      <c r="AN1917">
        <f>IF($E1917="","",IF(COUNTIF($E$2:$E1917,$E1917)=1,1,0))</f>
        <v/>
      </c>
      <c r="AO1917">
        <f>IF($AN1917=1,SUMPRODUCT(--($AR$2:$AR$4001&lt;$AR1917))+1,"")</f>
        <v/>
      </c>
      <c r="AP1917">
        <f>IF($E1917="","",IF(OR($U1917=TRUE(),$U1917="TRUE"),1,0))</f>
        <v/>
      </c>
      <c r="AQ1917">
        <f>IF($E1917="","",IF($AA1917="Yes",1,0))</f>
        <v/>
      </c>
      <c r="AR1917">
        <f>IF($AN1917=1,IFERROR(VALUE(MID($E1917,2,20)),1000000000)+ROW()/100000,"")</f>
        <v/>
      </c>
    </row>
    <row r="1918">
      <c r="G1918" s="11" t="n"/>
      <c r="Q1918" s="7">
        <f>IF($E1918="","",P1918*Y1918/100)</f>
        <v/>
      </c>
      <c r="R1918" s="7" t="n"/>
      <c r="X1918" s="7" t="n"/>
      <c r="Y1918" s="7" t="n"/>
      <c r="AB1918">
        <f>IF($E1918="","",IF($AQ1918=1,0,IF($AP1918=1,Settings!$C$6,Settings!$C$7))*100)</f>
        <v/>
      </c>
      <c r="AC1918" s="7">
        <f>IF($E1918="","",Y1918*AB1918/100)</f>
        <v/>
      </c>
      <c r="AD1918" s="7">
        <f>IF($E1918="","",Y1918-AC1918)</f>
        <v/>
      </c>
      <c r="AE1918" s="7">
        <f>IF($E1918="","",AD1918-Q1918)</f>
        <v/>
      </c>
      <c r="AI1918" s="7" t="n"/>
      <c r="AL1918" s="11" t="n"/>
      <c r="AN1918">
        <f>IF($E1918="","",IF(COUNTIF($E$2:$E1918,$E1918)=1,1,0))</f>
        <v/>
      </c>
      <c r="AO1918">
        <f>IF($AN1918=1,SUMPRODUCT(--($AR$2:$AR$4001&lt;$AR1918))+1,"")</f>
        <v/>
      </c>
      <c r="AP1918">
        <f>IF($E1918="","",IF(OR($U1918=TRUE(),$U1918="TRUE"),1,0))</f>
        <v/>
      </c>
      <c r="AQ1918">
        <f>IF($E1918="","",IF($AA1918="Yes",1,0))</f>
        <v/>
      </c>
      <c r="AR1918">
        <f>IF($AN1918=1,IFERROR(VALUE(MID($E1918,2,20)),1000000000)+ROW()/100000,"")</f>
        <v/>
      </c>
    </row>
    <row r="1919">
      <c r="G1919" s="11" t="n"/>
      <c r="Q1919" s="7">
        <f>IF($E1919="","",P1919*Y1919/100)</f>
        <v/>
      </c>
      <c r="R1919" s="7" t="n"/>
      <c r="X1919" s="7" t="n"/>
      <c r="Y1919" s="7" t="n"/>
      <c r="AB1919">
        <f>IF($E1919="","",IF($AQ1919=1,0,IF($AP1919=1,Settings!$C$6,Settings!$C$7))*100)</f>
        <v/>
      </c>
      <c r="AC1919" s="7">
        <f>IF($E1919="","",Y1919*AB1919/100)</f>
        <v/>
      </c>
      <c r="AD1919" s="7">
        <f>IF($E1919="","",Y1919-AC1919)</f>
        <v/>
      </c>
      <c r="AE1919" s="7">
        <f>IF($E1919="","",AD1919-Q1919)</f>
        <v/>
      </c>
      <c r="AI1919" s="7" t="n"/>
      <c r="AL1919" s="11" t="n"/>
      <c r="AN1919">
        <f>IF($E1919="","",IF(COUNTIF($E$2:$E1919,$E1919)=1,1,0))</f>
        <v/>
      </c>
      <c r="AO1919">
        <f>IF($AN1919=1,SUMPRODUCT(--($AR$2:$AR$4001&lt;$AR1919))+1,"")</f>
        <v/>
      </c>
      <c r="AP1919">
        <f>IF($E1919="","",IF(OR($U1919=TRUE(),$U1919="TRUE"),1,0))</f>
        <v/>
      </c>
      <c r="AQ1919">
        <f>IF($E1919="","",IF($AA1919="Yes",1,0))</f>
        <v/>
      </c>
      <c r="AR1919">
        <f>IF($AN1919=1,IFERROR(VALUE(MID($E1919,2,20)),1000000000)+ROW()/100000,"")</f>
        <v/>
      </c>
    </row>
    <row r="1920">
      <c r="G1920" s="11" t="n"/>
      <c r="Q1920" s="7">
        <f>IF($E1920="","",P1920*Y1920/100)</f>
        <v/>
      </c>
      <c r="R1920" s="7" t="n"/>
      <c r="X1920" s="7" t="n"/>
      <c r="Y1920" s="7" t="n"/>
      <c r="AB1920">
        <f>IF($E1920="","",IF($AQ1920=1,0,IF($AP1920=1,Settings!$C$6,Settings!$C$7))*100)</f>
        <v/>
      </c>
      <c r="AC1920" s="7">
        <f>IF($E1920="","",Y1920*AB1920/100)</f>
        <v/>
      </c>
      <c r="AD1920" s="7">
        <f>IF($E1920="","",Y1920-AC1920)</f>
        <v/>
      </c>
      <c r="AE1920" s="7">
        <f>IF($E1920="","",AD1920-Q1920)</f>
        <v/>
      </c>
      <c r="AI1920" s="7" t="n"/>
      <c r="AL1920" s="11" t="n"/>
      <c r="AN1920">
        <f>IF($E1920="","",IF(COUNTIF($E$2:$E1920,$E1920)=1,1,0))</f>
        <v/>
      </c>
      <c r="AO1920">
        <f>IF($AN1920=1,SUMPRODUCT(--($AR$2:$AR$4001&lt;$AR1920))+1,"")</f>
        <v/>
      </c>
      <c r="AP1920">
        <f>IF($E1920="","",IF(OR($U1920=TRUE(),$U1920="TRUE"),1,0))</f>
        <v/>
      </c>
      <c r="AQ1920">
        <f>IF($E1920="","",IF($AA1920="Yes",1,0))</f>
        <v/>
      </c>
      <c r="AR1920">
        <f>IF($AN1920=1,IFERROR(VALUE(MID($E1920,2,20)),1000000000)+ROW()/100000,"")</f>
        <v/>
      </c>
    </row>
    <row r="1921">
      <c r="G1921" s="11" t="n"/>
      <c r="Q1921" s="7">
        <f>IF($E1921="","",P1921*Y1921/100)</f>
        <v/>
      </c>
      <c r="R1921" s="7" t="n"/>
      <c r="X1921" s="7" t="n"/>
      <c r="Y1921" s="7" t="n"/>
      <c r="AB1921">
        <f>IF($E1921="","",IF($AQ1921=1,0,IF($AP1921=1,Settings!$C$6,Settings!$C$7))*100)</f>
        <v/>
      </c>
      <c r="AC1921" s="7">
        <f>IF($E1921="","",Y1921*AB1921/100)</f>
        <v/>
      </c>
      <c r="AD1921" s="7">
        <f>IF($E1921="","",Y1921-AC1921)</f>
        <v/>
      </c>
      <c r="AE1921" s="7">
        <f>IF($E1921="","",AD1921-Q1921)</f>
        <v/>
      </c>
      <c r="AI1921" s="7" t="n"/>
      <c r="AL1921" s="11" t="n"/>
      <c r="AN1921">
        <f>IF($E1921="","",IF(COUNTIF($E$2:$E1921,$E1921)=1,1,0))</f>
        <v/>
      </c>
      <c r="AO1921">
        <f>IF($AN1921=1,SUMPRODUCT(--($AR$2:$AR$4001&lt;$AR1921))+1,"")</f>
        <v/>
      </c>
      <c r="AP1921">
        <f>IF($E1921="","",IF(OR($U1921=TRUE(),$U1921="TRUE"),1,0))</f>
        <v/>
      </c>
      <c r="AQ1921">
        <f>IF($E1921="","",IF($AA1921="Yes",1,0))</f>
        <v/>
      </c>
      <c r="AR1921">
        <f>IF($AN1921=1,IFERROR(VALUE(MID($E1921,2,20)),1000000000)+ROW()/100000,"")</f>
        <v/>
      </c>
    </row>
    <row r="1922">
      <c r="G1922" s="11" t="n"/>
      <c r="Q1922" s="7">
        <f>IF($E1922="","",P1922*Y1922/100)</f>
        <v/>
      </c>
      <c r="R1922" s="7" t="n"/>
      <c r="X1922" s="7" t="n"/>
      <c r="Y1922" s="7" t="n"/>
      <c r="AB1922">
        <f>IF($E1922="","",IF($AQ1922=1,0,IF($AP1922=1,Settings!$C$6,Settings!$C$7))*100)</f>
        <v/>
      </c>
      <c r="AC1922" s="7">
        <f>IF($E1922="","",Y1922*AB1922/100)</f>
        <v/>
      </c>
      <c r="AD1922" s="7">
        <f>IF($E1922="","",Y1922-AC1922)</f>
        <v/>
      </c>
      <c r="AE1922" s="7">
        <f>IF($E1922="","",AD1922-Q1922)</f>
        <v/>
      </c>
      <c r="AI1922" s="7" t="n"/>
      <c r="AL1922" s="11" t="n"/>
      <c r="AN1922">
        <f>IF($E1922="","",IF(COUNTIF($E$2:$E1922,$E1922)=1,1,0))</f>
        <v/>
      </c>
      <c r="AO1922">
        <f>IF($AN1922=1,SUMPRODUCT(--($AR$2:$AR$4001&lt;$AR1922))+1,"")</f>
        <v/>
      </c>
      <c r="AP1922">
        <f>IF($E1922="","",IF(OR($U1922=TRUE(),$U1922="TRUE"),1,0))</f>
        <v/>
      </c>
      <c r="AQ1922">
        <f>IF($E1922="","",IF($AA1922="Yes",1,0))</f>
        <v/>
      </c>
      <c r="AR1922">
        <f>IF($AN1922=1,IFERROR(VALUE(MID($E1922,2,20)),1000000000)+ROW()/100000,"")</f>
        <v/>
      </c>
    </row>
    <row r="1923">
      <c r="G1923" s="11" t="n"/>
      <c r="Q1923" s="7">
        <f>IF($E1923="","",P1923*Y1923/100)</f>
        <v/>
      </c>
      <c r="R1923" s="7" t="n"/>
      <c r="X1923" s="7" t="n"/>
      <c r="Y1923" s="7" t="n"/>
      <c r="AB1923">
        <f>IF($E1923="","",IF($AQ1923=1,0,IF($AP1923=1,Settings!$C$6,Settings!$C$7))*100)</f>
        <v/>
      </c>
      <c r="AC1923" s="7">
        <f>IF($E1923="","",Y1923*AB1923/100)</f>
        <v/>
      </c>
      <c r="AD1923" s="7">
        <f>IF($E1923="","",Y1923-AC1923)</f>
        <v/>
      </c>
      <c r="AE1923" s="7">
        <f>IF($E1923="","",AD1923-Q1923)</f>
        <v/>
      </c>
      <c r="AI1923" s="7" t="n"/>
      <c r="AL1923" s="11" t="n"/>
      <c r="AN1923">
        <f>IF($E1923="","",IF(COUNTIF($E$2:$E1923,$E1923)=1,1,0))</f>
        <v/>
      </c>
      <c r="AO1923">
        <f>IF($AN1923=1,SUMPRODUCT(--($AR$2:$AR$4001&lt;$AR1923))+1,"")</f>
        <v/>
      </c>
      <c r="AP1923">
        <f>IF($E1923="","",IF(OR($U1923=TRUE(),$U1923="TRUE"),1,0))</f>
        <v/>
      </c>
      <c r="AQ1923">
        <f>IF($E1923="","",IF($AA1923="Yes",1,0))</f>
        <v/>
      </c>
      <c r="AR1923">
        <f>IF($AN1923=1,IFERROR(VALUE(MID($E1923,2,20)),1000000000)+ROW()/100000,"")</f>
        <v/>
      </c>
    </row>
    <row r="1924">
      <c r="G1924" s="11" t="n"/>
      <c r="Q1924" s="7">
        <f>IF($E1924="","",P1924*Y1924/100)</f>
        <v/>
      </c>
      <c r="R1924" s="7" t="n"/>
      <c r="X1924" s="7" t="n"/>
      <c r="Y1924" s="7" t="n"/>
      <c r="AB1924">
        <f>IF($E1924="","",IF($AQ1924=1,0,IF($AP1924=1,Settings!$C$6,Settings!$C$7))*100)</f>
        <v/>
      </c>
      <c r="AC1924" s="7">
        <f>IF($E1924="","",Y1924*AB1924/100)</f>
        <v/>
      </c>
      <c r="AD1924" s="7">
        <f>IF($E1924="","",Y1924-AC1924)</f>
        <v/>
      </c>
      <c r="AE1924" s="7">
        <f>IF($E1924="","",AD1924-Q1924)</f>
        <v/>
      </c>
      <c r="AI1924" s="7" t="n"/>
      <c r="AL1924" s="11" t="n"/>
      <c r="AN1924">
        <f>IF($E1924="","",IF(COUNTIF($E$2:$E1924,$E1924)=1,1,0))</f>
        <v/>
      </c>
      <c r="AO1924">
        <f>IF($AN1924=1,SUMPRODUCT(--($AR$2:$AR$4001&lt;$AR1924))+1,"")</f>
        <v/>
      </c>
      <c r="AP1924">
        <f>IF($E1924="","",IF(OR($U1924=TRUE(),$U1924="TRUE"),1,0))</f>
        <v/>
      </c>
      <c r="AQ1924">
        <f>IF($E1924="","",IF($AA1924="Yes",1,0))</f>
        <v/>
      </c>
      <c r="AR1924">
        <f>IF($AN1924=1,IFERROR(VALUE(MID($E1924,2,20)),1000000000)+ROW()/100000,"")</f>
        <v/>
      </c>
    </row>
    <row r="1925">
      <c r="G1925" s="11" t="n"/>
      <c r="Q1925" s="7">
        <f>IF($E1925="","",P1925*Y1925/100)</f>
        <v/>
      </c>
      <c r="R1925" s="7" t="n"/>
      <c r="X1925" s="7" t="n"/>
      <c r="Y1925" s="7" t="n"/>
      <c r="AB1925">
        <f>IF($E1925="","",IF($AQ1925=1,0,IF($AP1925=1,Settings!$C$6,Settings!$C$7))*100)</f>
        <v/>
      </c>
      <c r="AC1925" s="7">
        <f>IF($E1925="","",Y1925*AB1925/100)</f>
        <v/>
      </c>
      <c r="AD1925" s="7">
        <f>IF($E1925="","",Y1925-AC1925)</f>
        <v/>
      </c>
      <c r="AE1925" s="7">
        <f>IF($E1925="","",AD1925-Q1925)</f>
        <v/>
      </c>
      <c r="AI1925" s="7" t="n"/>
      <c r="AL1925" s="11" t="n"/>
      <c r="AN1925">
        <f>IF($E1925="","",IF(COUNTIF($E$2:$E1925,$E1925)=1,1,0))</f>
        <v/>
      </c>
      <c r="AO1925">
        <f>IF($AN1925=1,SUMPRODUCT(--($AR$2:$AR$4001&lt;$AR1925))+1,"")</f>
        <v/>
      </c>
      <c r="AP1925">
        <f>IF($E1925="","",IF(OR($U1925=TRUE(),$U1925="TRUE"),1,0))</f>
        <v/>
      </c>
      <c r="AQ1925">
        <f>IF($E1925="","",IF($AA1925="Yes",1,0))</f>
        <v/>
      </c>
      <c r="AR1925">
        <f>IF($AN1925=1,IFERROR(VALUE(MID($E1925,2,20)),1000000000)+ROW()/100000,"")</f>
        <v/>
      </c>
    </row>
    <row r="1926">
      <c r="G1926" s="11" t="n"/>
      <c r="Q1926" s="7">
        <f>IF($E1926="","",P1926*Y1926/100)</f>
        <v/>
      </c>
      <c r="R1926" s="7" t="n"/>
      <c r="X1926" s="7" t="n"/>
      <c r="Y1926" s="7" t="n"/>
      <c r="AB1926">
        <f>IF($E1926="","",IF($AQ1926=1,0,IF($AP1926=1,Settings!$C$6,Settings!$C$7))*100)</f>
        <v/>
      </c>
      <c r="AC1926" s="7">
        <f>IF($E1926="","",Y1926*AB1926/100)</f>
        <v/>
      </c>
      <c r="AD1926" s="7">
        <f>IF($E1926="","",Y1926-AC1926)</f>
        <v/>
      </c>
      <c r="AE1926" s="7">
        <f>IF($E1926="","",AD1926-Q1926)</f>
        <v/>
      </c>
      <c r="AI1926" s="7" t="n"/>
      <c r="AL1926" s="11" t="n"/>
      <c r="AN1926">
        <f>IF($E1926="","",IF(COUNTIF($E$2:$E1926,$E1926)=1,1,0))</f>
        <v/>
      </c>
      <c r="AO1926">
        <f>IF($AN1926=1,SUMPRODUCT(--($AR$2:$AR$4001&lt;$AR1926))+1,"")</f>
        <v/>
      </c>
      <c r="AP1926">
        <f>IF($E1926="","",IF(OR($U1926=TRUE(),$U1926="TRUE"),1,0))</f>
        <v/>
      </c>
      <c r="AQ1926">
        <f>IF($E1926="","",IF($AA1926="Yes",1,0))</f>
        <v/>
      </c>
      <c r="AR1926">
        <f>IF($AN1926=1,IFERROR(VALUE(MID($E1926,2,20)),1000000000)+ROW()/100000,"")</f>
        <v/>
      </c>
    </row>
    <row r="1927">
      <c r="G1927" s="11" t="n"/>
      <c r="Q1927" s="7">
        <f>IF($E1927="","",P1927*Y1927/100)</f>
        <v/>
      </c>
      <c r="R1927" s="7" t="n"/>
      <c r="X1927" s="7" t="n"/>
      <c r="Y1927" s="7" t="n"/>
      <c r="AB1927">
        <f>IF($E1927="","",IF($AQ1927=1,0,IF($AP1927=1,Settings!$C$6,Settings!$C$7))*100)</f>
        <v/>
      </c>
      <c r="AC1927" s="7">
        <f>IF($E1927="","",Y1927*AB1927/100)</f>
        <v/>
      </c>
      <c r="AD1927" s="7">
        <f>IF($E1927="","",Y1927-AC1927)</f>
        <v/>
      </c>
      <c r="AE1927" s="7">
        <f>IF($E1927="","",AD1927-Q1927)</f>
        <v/>
      </c>
      <c r="AI1927" s="7" t="n"/>
      <c r="AL1927" s="11" t="n"/>
      <c r="AN1927">
        <f>IF($E1927="","",IF(COUNTIF($E$2:$E1927,$E1927)=1,1,0))</f>
        <v/>
      </c>
      <c r="AO1927">
        <f>IF($AN1927=1,SUMPRODUCT(--($AR$2:$AR$4001&lt;$AR1927))+1,"")</f>
        <v/>
      </c>
      <c r="AP1927">
        <f>IF($E1927="","",IF(OR($U1927=TRUE(),$U1927="TRUE"),1,0))</f>
        <v/>
      </c>
      <c r="AQ1927">
        <f>IF($E1927="","",IF($AA1927="Yes",1,0))</f>
        <v/>
      </c>
      <c r="AR1927">
        <f>IF($AN1927=1,IFERROR(VALUE(MID($E1927,2,20)),1000000000)+ROW()/100000,"")</f>
        <v/>
      </c>
    </row>
    <row r="1928">
      <c r="G1928" s="11" t="n"/>
      <c r="Q1928" s="7">
        <f>IF($E1928="","",P1928*Y1928/100)</f>
        <v/>
      </c>
      <c r="R1928" s="7" t="n"/>
      <c r="X1928" s="7" t="n"/>
      <c r="Y1928" s="7" t="n"/>
      <c r="AB1928">
        <f>IF($E1928="","",IF($AQ1928=1,0,IF($AP1928=1,Settings!$C$6,Settings!$C$7))*100)</f>
        <v/>
      </c>
      <c r="AC1928" s="7">
        <f>IF($E1928="","",Y1928*AB1928/100)</f>
        <v/>
      </c>
      <c r="AD1928" s="7">
        <f>IF($E1928="","",Y1928-AC1928)</f>
        <v/>
      </c>
      <c r="AE1928" s="7">
        <f>IF($E1928="","",AD1928-Q1928)</f>
        <v/>
      </c>
      <c r="AI1928" s="7" t="n"/>
      <c r="AL1928" s="11" t="n"/>
      <c r="AN1928">
        <f>IF($E1928="","",IF(COUNTIF($E$2:$E1928,$E1928)=1,1,0))</f>
        <v/>
      </c>
      <c r="AO1928">
        <f>IF($AN1928=1,SUMPRODUCT(--($AR$2:$AR$4001&lt;$AR1928))+1,"")</f>
        <v/>
      </c>
      <c r="AP1928">
        <f>IF($E1928="","",IF(OR($U1928=TRUE(),$U1928="TRUE"),1,0))</f>
        <v/>
      </c>
      <c r="AQ1928">
        <f>IF($E1928="","",IF($AA1928="Yes",1,0))</f>
        <v/>
      </c>
      <c r="AR1928">
        <f>IF($AN1928=1,IFERROR(VALUE(MID($E1928,2,20)),1000000000)+ROW()/100000,"")</f>
        <v/>
      </c>
    </row>
    <row r="1929">
      <c r="G1929" s="11" t="n"/>
      <c r="Q1929" s="7">
        <f>IF($E1929="","",P1929*Y1929/100)</f>
        <v/>
      </c>
      <c r="R1929" s="7" t="n"/>
      <c r="X1929" s="7" t="n"/>
      <c r="Y1929" s="7" t="n"/>
      <c r="AB1929">
        <f>IF($E1929="","",IF($AQ1929=1,0,IF($AP1929=1,Settings!$C$6,Settings!$C$7))*100)</f>
        <v/>
      </c>
      <c r="AC1929" s="7">
        <f>IF($E1929="","",Y1929*AB1929/100)</f>
        <v/>
      </c>
      <c r="AD1929" s="7">
        <f>IF($E1929="","",Y1929-AC1929)</f>
        <v/>
      </c>
      <c r="AE1929" s="7">
        <f>IF($E1929="","",AD1929-Q1929)</f>
        <v/>
      </c>
      <c r="AI1929" s="7" t="n"/>
      <c r="AL1929" s="11" t="n"/>
      <c r="AN1929">
        <f>IF($E1929="","",IF(COUNTIF($E$2:$E1929,$E1929)=1,1,0))</f>
        <v/>
      </c>
      <c r="AO1929">
        <f>IF($AN1929=1,SUMPRODUCT(--($AR$2:$AR$4001&lt;$AR1929))+1,"")</f>
        <v/>
      </c>
      <c r="AP1929">
        <f>IF($E1929="","",IF(OR($U1929=TRUE(),$U1929="TRUE"),1,0))</f>
        <v/>
      </c>
      <c r="AQ1929">
        <f>IF($E1929="","",IF($AA1929="Yes",1,0))</f>
        <v/>
      </c>
      <c r="AR1929">
        <f>IF($AN1929=1,IFERROR(VALUE(MID($E1929,2,20)),1000000000)+ROW()/100000,"")</f>
        <v/>
      </c>
    </row>
    <row r="1930">
      <c r="G1930" s="11" t="n"/>
      <c r="Q1930" s="7">
        <f>IF($E1930="","",P1930*Y1930/100)</f>
        <v/>
      </c>
      <c r="R1930" s="7" t="n"/>
      <c r="X1930" s="7" t="n"/>
      <c r="Y1930" s="7" t="n"/>
      <c r="AB1930">
        <f>IF($E1930="","",IF($AQ1930=1,0,IF($AP1930=1,Settings!$C$6,Settings!$C$7))*100)</f>
        <v/>
      </c>
      <c r="AC1930" s="7">
        <f>IF($E1930="","",Y1930*AB1930/100)</f>
        <v/>
      </c>
      <c r="AD1930" s="7">
        <f>IF($E1930="","",Y1930-AC1930)</f>
        <v/>
      </c>
      <c r="AE1930" s="7">
        <f>IF($E1930="","",AD1930-Q1930)</f>
        <v/>
      </c>
      <c r="AI1930" s="7" t="n"/>
      <c r="AL1930" s="11" t="n"/>
      <c r="AN1930">
        <f>IF($E1930="","",IF(COUNTIF($E$2:$E1930,$E1930)=1,1,0))</f>
        <v/>
      </c>
      <c r="AO1930">
        <f>IF($AN1930=1,SUMPRODUCT(--($AR$2:$AR$4001&lt;$AR1930))+1,"")</f>
        <v/>
      </c>
      <c r="AP1930">
        <f>IF($E1930="","",IF(OR($U1930=TRUE(),$U1930="TRUE"),1,0))</f>
        <v/>
      </c>
      <c r="AQ1930">
        <f>IF($E1930="","",IF($AA1930="Yes",1,0))</f>
        <v/>
      </c>
      <c r="AR1930">
        <f>IF($AN1930=1,IFERROR(VALUE(MID($E1930,2,20)),1000000000)+ROW()/100000,"")</f>
        <v/>
      </c>
    </row>
    <row r="1931">
      <c r="G1931" s="11" t="n"/>
      <c r="Q1931" s="7">
        <f>IF($E1931="","",P1931*Y1931/100)</f>
        <v/>
      </c>
      <c r="R1931" s="7" t="n"/>
      <c r="X1931" s="7" t="n"/>
      <c r="Y1931" s="7" t="n"/>
      <c r="AB1931">
        <f>IF($E1931="","",IF($AQ1931=1,0,IF($AP1931=1,Settings!$C$6,Settings!$C$7))*100)</f>
        <v/>
      </c>
      <c r="AC1931" s="7">
        <f>IF($E1931="","",Y1931*AB1931/100)</f>
        <v/>
      </c>
      <c r="AD1931" s="7">
        <f>IF($E1931="","",Y1931-AC1931)</f>
        <v/>
      </c>
      <c r="AE1931" s="7">
        <f>IF($E1931="","",AD1931-Q1931)</f>
        <v/>
      </c>
      <c r="AI1931" s="7" t="n"/>
      <c r="AL1931" s="11" t="n"/>
      <c r="AN1931">
        <f>IF($E1931="","",IF(COUNTIF($E$2:$E1931,$E1931)=1,1,0))</f>
        <v/>
      </c>
      <c r="AO1931">
        <f>IF($AN1931=1,SUMPRODUCT(--($AR$2:$AR$4001&lt;$AR1931))+1,"")</f>
        <v/>
      </c>
      <c r="AP1931">
        <f>IF($E1931="","",IF(OR($U1931=TRUE(),$U1931="TRUE"),1,0))</f>
        <v/>
      </c>
      <c r="AQ1931">
        <f>IF($E1931="","",IF($AA1931="Yes",1,0))</f>
        <v/>
      </c>
      <c r="AR1931">
        <f>IF($AN1931=1,IFERROR(VALUE(MID($E1931,2,20)),1000000000)+ROW()/100000,"")</f>
        <v/>
      </c>
    </row>
    <row r="1932">
      <c r="G1932" s="11" t="n"/>
      <c r="Q1932" s="7">
        <f>IF($E1932="","",P1932*Y1932/100)</f>
        <v/>
      </c>
      <c r="R1932" s="7" t="n"/>
      <c r="X1932" s="7" t="n"/>
      <c r="Y1932" s="7" t="n"/>
      <c r="AB1932">
        <f>IF($E1932="","",IF($AQ1932=1,0,IF($AP1932=1,Settings!$C$6,Settings!$C$7))*100)</f>
        <v/>
      </c>
      <c r="AC1932" s="7">
        <f>IF($E1932="","",Y1932*AB1932/100)</f>
        <v/>
      </c>
      <c r="AD1932" s="7">
        <f>IF($E1932="","",Y1932-AC1932)</f>
        <v/>
      </c>
      <c r="AE1932" s="7">
        <f>IF($E1932="","",AD1932-Q1932)</f>
        <v/>
      </c>
      <c r="AI1932" s="7" t="n"/>
      <c r="AL1932" s="11" t="n"/>
      <c r="AN1932">
        <f>IF($E1932="","",IF(COUNTIF($E$2:$E1932,$E1932)=1,1,0))</f>
        <v/>
      </c>
      <c r="AO1932">
        <f>IF($AN1932=1,SUMPRODUCT(--($AR$2:$AR$4001&lt;$AR1932))+1,"")</f>
        <v/>
      </c>
      <c r="AP1932">
        <f>IF($E1932="","",IF(OR($U1932=TRUE(),$U1932="TRUE"),1,0))</f>
        <v/>
      </c>
      <c r="AQ1932">
        <f>IF($E1932="","",IF($AA1932="Yes",1,0))</f>
        <v/>
      </c>
      <c r="AR1932">
        <f>IF($AN1932=1,IFERROR(VALUE(MID($E1932,2,20)),1000000000)+ROW()/100000,"")</f>
        <v/>
      </c>
    </row>
    <row r="1933">
      <c r="G1933" s="11" t="n"/>
      <c r="Q1933" s="7">
        <f>IF($E1933="","",P1933*Y1933/100)</f>
        <v/>
      </c>
      <c r="R1933" s="7" t="n"/>
      <c r="X1933" s="7" t="n"/>
      <c r="Y1933" s="7" t="n"/>
      <c r="AB1933">
        <f>IF($E1933="","",IF($AQ1933=1,0,IF($AP1933=1,Settings!$C$6,Settings!$C$7))*100)</f>
        <v/>
      </c>
      <c r="AC1933" s="7">
        <f>IF($E1933="","",Y1933*AB1933/100)</f>
        <v/>
      </c>
      <c r="AD1933" s="7">
        <f>IF($E1933="","",Y1933-AC1933)</f>
        <v/>
      </c>
      <c r="AE1933" s="7">
        <f>IF($E1933="","",AD1933-Q1933)</f>
        <v/>
      </c>
      <c r="AI1933" s="7" t="n"/>
      <c r="AL1933" s="11" t="n"/>
      <c r="AN1933">
        <f>IF($E1933="","",IF(COUNTIF($E$2:$E1933,$E1933)=1,1,0))</f>
        <v/>
      </c>
      <c r="AO1933">
        <f>IF($AN1933=1,SUMPRODUCT(--($AR$2:$AR$4001&lt;$AR1933))+1,"")</f>
        <v/>
      </c>
      <c r="AP1933">
        <f>IF($E1933="","",IF(OR($U1933=TRUE(),$U1933="TRUE"),1,0))</f>
        <v/>
      </c>
      <c r="AQ1933">
        <f>IF($E1933="","",IF($AA1933="Yes",1,0))</f>
        <v/>
      </c>
      <c r="AR1933">
        <f>IF($AN1933=1,IFERROR(VALUE(MID($E1933,2,20)),1000000000)+ROW()/100000,"")</f>
        <v/>
      </c>
    </row>
    <row r="1934">
      <c r="G1934" s="11" t="n"/>
      <c r="Q1934" s="7">
        <f>IF($E1934="","",P1934*Y1934/100)</f>
        <v/>
      </c>
      <c r="R1934" s="7" t="n"/>
      <c r="X1934" s="7" t="n"/>
      <c r="Y1934" s="7" t="n"/>
      <c r="AB1934">
        <f>IF($E1934="","",IF($AQ1934=1,0,IF($AP1934=1,Settings!$C$6,Settings!$C$7))*100)</f>
        <v/>
      </c>
      <c r="AC1934" s="7">
        <f>IF($E1934="","",Y1934*AB1934/100)</f>
        <v/>
      </c>
      <c r="AD1934" s="7">
        <f>IF($E1934="","",Y1934-AC1934)</f>
        <v/>
      </c>
      <c r="AE1934" s="7">
        <f>IF($E1934="","",AD1934-Q1934)</f>
        <v/>
      </c>
      <c r="AI1934" s="7" t="n"/>
      <c r="AL1934" s="11" t="n"/>
      <c r="AN1934">
        <f>IF($E1934="","",IF(COUNTIF($E$2:$E1934,$E1934)=1,1,0))</f>
        <v/>
      </c>
      <c r="AO1934">
        <f>IF($AN1934=1,SUMPRODUCT(--($AR$2:$AR$4001&lt;$AR1934))+1,"")</f>
        <v/>
      </c>
      <c r="AP1934">
        <f>IF($E1934="","",IF(OR($U1934=TRUE(),$U1934="TRUE"),1,0))</f>
        <v/>
      </c>
      <c r="AQ1934">
        <f>IF($E1934="","",IF($AA1934="Yes",1,0))</f>
        <v/>
      </c>
      <c r="AR1934">
        <f>IF($AN1934=1,IFERROR(VALUE(MID($E1934,2,20)),1000000000)+ROW()/100000,"")</f>
        <v/>
      </c>
    </row>
    <row r="1935">
      <c r="G1935" s="11" t="n"/>
      <c r="Q1935" s="7">
        <f>IF($E1935="","",P1935*Y1935/100)</f>
        <v/>
      </c>
      <c r="R1935" s="7" t="n"/>
      <c r="X1935" s="7" t="n"/>
      <c r="Y1935" s="7" t="n"/>
      <c r="AB1935">
        <f>IF($E1935="","",IF($AQ1935=1,0,IF($AP1935=1,Settings!$C$6,Settings!$C$7))*100)</f>
        <v/>
      </c>
      <c r="AC1935" s="7">
        <f>IF($E1935="","",Y1935*AB1935/100)</f>
        <v/>
      </c>
      <c r="AD1935" s="7">
        <f>IF($E1935="","",Y1935-AC1935)</f>
        <v/>
      </c>
      <c r="AE1935" s="7">
        <f>IF($E1935="","",AD1935-Q1935)</f>
        <v/>
      </c>
      <c r="AI1935" s="7" t="n"/>
      <c r="AL1935" s="11" t="n"/>
      <c r="AN1935">
        <f>IF($E1935="","",IF(COUNTIF($E$2:$E1935,$E1935)=1,1,0))</f>
        <v/>
      </c>
      <c r="AO1935">
        <f>IF($AN1935=1,SUMPRODUCT(--($AR$2:$AR$4001&lt;$AR1935))+1,"")</f>
        <v/>
      </c>
      <c r="AP1935">
        <f>IF($E1935="","",IF(OR($U1935=TRUE(),$U1935="TRUE"),1,0))</f>
        <v/>
      </c>
      <c r="AQ1935">
        <f>IF($E1935="","",IF($AA1935="Yes",1,0))</f>
        <v/>
      </c>
      <c r="AR1935">
        <f>IF($AN1935=1,IFERROR(VALUE(MID($E1935,2,20)),1000000000)+ROW()/100000,"")</f>
        <v/>
      </c>
    </row>
    <row r="1936">
      <c r="G1936" s="11" t="n"/>
      <c r="Q1936" s="7">
        <f>IF($E1936="","",P1936*Y1936/100)</f>
        <v/>
      </c>
      <c r="R1936" s="7" t="n"/>
      <c r="X1936" s="7" t="n"/>
      <c r="Y1936" s="7" t="n"/>
      <c r="AB1936">
        <f>IF($E1936="","",IF($AQ1936=1,0,IF($AP1936=1,Settings!$C$6,Settings!$C$7))*100)</f>
        <v/>
      </c>
      <c r="AC1936" s="7">
        <f>IF($E1936="","",Y1936*AB1936/100)</f>
        <v/>
      </c>
      <c r="AD1936" s="7">
        <f>IF($E1936="","",Y1936-AC1936)</f>
        <v/>
      </c>
      <c r="AE1936" s="7">
        <f>IF($E1936="","",AD1936-Q1936)</f>
        <v/>
      </c>
      <c r="AI1936" s="7" t="n"/>
      <c r="AL1936" s="11" t="n"/>
      <c r="AN1936">
        <f>IF($E1936="","",IF(COUNTIF($E$2:$E1936,$E1936)=1,1,0))</f>
        <v/>
      </c>
      <c r="AO1936">
        <f>IF($AN1936=1,SUMPRODUCT(--($AR$2:$AR$4001&lt;$AR1936))+1,"")</f>
        <v/>
      </c>
      <c r="AP1936">
        <f>IF($E1936="","",IF(OR($U1936=TRUE(),$U1936="TRUE"),1,0))</f>
        <v/>
      </c>
      <c r="AQ1936">
        <f>IF($E1936="","",IF($AA1936="Yes",1,0))</f>
        <v/>
      </c>
      <c r="AR1936">
        <f>IF($AN1936=1,IFERROR(VALUE(MID($E1936,2,20)),1000000000)+ROW()/100000,"")</f>
        <v/>
      </c>
    </row>
    <row r="1937">
      <c r="G1937" s="11" t="n"/>
      <c r="Q1937" s="7">
        <f>IF($E1937="","",P1937*Y1937/100)</f>
        <v/>
      </c>
      <c r="R1937" s="7" t="n"/>
      <c r="X1937" s="7" t="n"/>
      <c r="Y1937" s="7" t="n"/>
      <c r="AB1937">
        <f>IF($E1937="","",IF($AQ1937=1,0,IF($AP1937=1,Settings!$C$6,Settings!$C$7))*100)</f>
        <v/>
      </c>
      <c r="AC1937" s="7">
        <f>IF($E1937="","",Y1937*AB1937/100)</f>
        <v/>
      </c>
      <c r="AD1937" s="7">
        <f>IF($E1937="","",Y1937-AC1937)</f>
        <v/>
      </c>
      <c r="AE1937" s="7">
        <f>IF($E1937="","",AD1937-Q1937)</f>
        <v/>
      </c>
      <c r="AI1937" s="7" t="n"/>
      <c r="AL1937" s="11" t="n"/>
      <c r="AN1937">
        <f>IF($E1937="","",IF(COUNTIF($E$2:$E1937,$E1937)=1,1,0))</f>
        <v/>
      </c>
      <c r="AO1937">
        <f>IF($AN1937=1,SUMPRODUCT(--($AR$2:$AR$4001&lt;$AR1937))+1,"")</f>
        <v/>
      </c>
      <c r="AP1937">
        <f>IF($E1937="","",IF(OR($U1937=TRUE(),$U1937="TRUE"),1,0))</f>
        <v/>
      </c>
      <c r="AQ1937">
        <f>IF($E1937="","",IF($AA1937="Yes",1,0))</f>
        <v/>
      </c>
      <c r="AR1937">
        <f>IF($AN1937=1,IFERROR(VALUE(MID($E1937,2,20)),1000000000)+ROW()/100000,"")</f>
        <v/>
      </c>
    </row>
    <row r="1938">
      <c r="G1938" s="11" t="n"/>
      <c r="Q1938" s="7">
        <f>IF($E1938="","",P1938*Y1938/100)</f>
        <v/>
      </c>
      <c r="R1938" s="7" t="n"/>
      <c r="X1938" s="7" t="n"/>
      <c r="Y1938" s="7" t="n"/>
      <c r="AB1938">
        <f>IF($E1938="","",IF($AQ1938=1,0,IF($AP1938=1,Settings!$C$6,Settings!$C$7))*100)</f>
        <v/>
      </c>
      <c r="AC1938" s="7">
        <f>IF($E1938="","",Y1938*AB1938/100)</f>
        <v/>
      </c>
      <c r="AD1938" s="7">
        <f>IF($E1938="","",Y1938-AC1938)</f>
        <v/>
      </c>
      <c r="AE1938" s="7">
        <f>IF($E1938="","",AD1938-Q1938)</f>
        <v/>
      </c>
      <c r="AI1938" s="7" t="n"/>
      <c r="AL1938" s="11" t="n"/>
      <c r="AN1938">
        <f>IF($E1938="","",IF(COUNTIF($E$2:$E1938,$E1938)=1,1,0))</f>
        <v/>
      </c>
      <c r="AO1938">
        <f>IF($AN1938=1,SUMPRODUCT(--($AR$2:$AR$4001&lt;$AR1938))+1,"")</f>
        <v/>
      </c>
      <c r="AP1938">
        <f>IF($E1938="","",IF(OR($U1938=TRUE(),$U1938="TRUE"),1,0))</f>
        <v/>
      </c>
      <c r="AQ1938">
        <f>IF($E1938="","",IF($AA1938="Yes",1,0))</f>
        <v/>
      </c>
      <c r="AR1938">
        <f>IF($AN1938=1,IFERROR(VALUE(MID($E1938,2,20)),1000000000)+ROW()/100000,"")</f>
        <v/>
      </c>
    </row>
    <row r="1939">
      <c r="G1939" s="11" t="n"/>
      <c r="Q1939" s="7">
        <f>IF($E1939="","",P1939*Y1939/100)</f>
        <v/>
      </c>
      <c r="R1939" s="7" t="n"/>
      <c r="X1939" s="7" t="n"/>
      <c r="Y1939" s="7" t="n"/>
      <c r="AB1939">
        <f>IF($E1939="","",IF($AQ1939=1,0,IF($AP1939=1,Settings!$C$6,Settings!$C$7))*100)</f>
        <v/>
      </c>
      <c r="AC1939" s="7">
        <f>IF($E1939="","",Y1939*AB1939/100)</f>
        <v/>
      </c>
      <c r="AD1939" s="7">
        <f>IF($E1939="","",Y1939-AC1939)</f>
        <v/>
      </c>
      <c r="AE1939" s="7">
        <f>IF($E1939="","",AD1939-Q1939)</f>
        <v/>
      </c>
      <c r="AI1939" s="7" t="n"/>
      <c r="AL1939" s="11" t="n"/>
      <c r="AN1939">
        <f>IF($E1939="","",IF(COUNTIF($E$2:$E1939,$E1939)=1,1,0))</f>
        <v/>
      </c>
      <c r="AO1939">
        <f>IF($AN1939=1,SUMPRODUCT(--($AR$2:$AR$4001&lt;$AR1939))+1,"")</f>
        <v/>
      </c>
      <c r="AP1939">
        <f>IF($E1939="","",IF(OR($U1939=TRUE(),$U1939="TRUE"),1,0))</f>
        <v/>
      </c>
      <c r="AQ1939">
        <f>IF($E1939="","",IF($AA1939="Yes",1,0))</f>
        <v/>
      </c>
      <c r="AR1939">
        <f>IF($AN1939=1,IFERROR(VALUE(MID($E1939,2,20)),1000000000)+ROW()/100000,"")</f>
        <v/>
      </c>
    </row>
    <row r="1940">
      <c r="G1940" s="11" t="n"/>
      <c r="Q1940" s="7">
        <f>IF($E1940="","",P1940*Y1940/100)</f>
        <v/>
      </c>
      <c r="R1940" s="7" t="n"/>
      <c r="X1940" s="7" t="n"/>
      <c r="Y1940" s="7" t="n"/>
      <c r="AB1940">
        <f>IF($E1940="","",IF($AQ1940=1,0,IF($AP1940=1,Settings!$C$6,Settings!$C$7))*100)</f>
        <v/>
      </c>
      <c r="AC1940" s="7">
        <f>IF($E1940="","",Y1940*AB1940/100)</f>
        <v/>
      </c>
      <c r="AD1940" s="7">
        <f>IF($E1940="","",Y1940-AC1940)</f>
        <v/>
      </c>
      <c r="AE1940" s="7">
        <f>IF($E1940="","",AD1940-Q1940)</f>
        <v/>
      </c>
      <c r="AI1940" s="7" t="n"/>
      <c r="AL1940" s="11" t="n"/>
      <c r="AN1940">
        <f>IF($E1940="","",IF(COUNTIF($E$2:$E1940,$E1940)=1,1,0))</f>
        <v/>
      </c>
      <c r="AO1940">
        <f>IF($AN1940=1,SUMPRODUCT(--($AR$2:$AR$4001&lt;$AR1940))+1,"")</f>
        <v/>
      </c>
      <c r="AP1940">
        <f>IF($E1940="","",IF(OR($U1940=TRUE(),$U1940="TRUE"),1,0))</f>
        <v/>
      </c>
      <c r="AQ1940">
        <f>IF($E1940="","",IF($AA1940="Yes",1,0))</f>
        <v/>
      </c>
      <c r="AR1940">
        <f>IF($AN1940=1,IFERROR(VALUE(MID($E1940,2,20)),1000000000)+ROW()/100000,"")</f>
        <v/>
      </c>
    </row>
    <row r="1941">
      <c r="G1941" s="11" t="n"/>
      <c r="Q1941" s="7">
        <f>IF($E1941="","",P1941*Y1941/100)</f>
        <v/>
      </c>
      <c r="R1941" s="7" t="n"/>
      <c r="X1941" s="7" t="n"/>
      <c r="Y1941" s="7" t="n"/>
      <c r="AB1941">
        <f>IF($E1941="","",IF($AQ1941=1,0,IF($AP1941=1,Settings!$C$6,Settings!$C$7))*100)</f>
        <v/>
      </c>
      <c r="AC1941" s="7">
        <f>IF($E1941="","",Y1941*AB1941/100)</f>
        <v/>
      </c>
      <c r="AD1941" s="7">
        <f>IF($E1941="","",Y1941-AC1941)</f>
        <v/>
      </c>
      <c r="AE1941" s="7">
        <f>IF($E1941="","",AD1941-Q1941)</f>
        <v/>
      </c>
      <c r="AI1941" s="7" t="n"/>
      <c r="AL1941" s="11" t="n"/>
      <c r="AN1941">
        <f>IF($E1941="","",IF(COUNTIF($E$2:$E1941,$E1941)=1,1,0))</f>
        <v/>
      </c>
      <c r="AO1941">
        <f>IF($AN1941=1,SUMPRODUCT(--($AR$2:$AR$4001&lt;$AR1941))+1,"")</f>
        <v/>
      </c>
      <c r="AP1941">
        <f>IF($E1941="","",IF(OR($U1941=TRUE(),$U1941="TRUE"),1,0))</f>
        <v/>
      </c>
      <c r="AQ1941">
        <f>IF($E1941="","",IF($AA1941="Yes",1,0))</f>
        <v/>
      </c>
      <c r="AR1941">
        <f>IF($AN1941=1,IFERROR(VALUE(MID($E1941,2,20)),1000000000)+ROW()/100000,"")</f>
        <v/>
      </c>
    </row>
    <row r="1942">
      <c r="G1942" s="11" t="n"/>
      <c r="Q1942" s="7">
        <f>IF($E1942="","",P1942*Y1942/100)</f>
        <v/>
      </c>
      <c r="R1942" s="7" t="n"/>
      <c r="X1942" s="7" t="n"/>
      <c r="Y1942" s="7" t="n"/>
      <c r="AB1942">
        <f>IF($E1942="","",IF($AQ1942=1,0,IF($AP1942=1,Settings!$C$6,Settings!$C$7))*100)</f>
        <v/>
      </c>
      <c r="AC1942" s="7">
        <f>IF($E1942="","",Y1942*AB1942/100)</f>
        <v/>
      </c>
      <c r="AD1942" s="7">
        <f>IF($E1942="","",Y1942-AC1942)</f>
        <v/>
      </c>
      <c r="AE1942" s="7">
        <f>IF($E1942="","",AD1942-Q1942)</f>
        <v/>
      </c>
      <c r="AI1942" s="7" t="n"/>
      <c r="AL1942" s="11" t="n"/>
      <c r="AN1942">
        <f>IF($E1942="","",IF(COUNTIF($E$2:$E1942,$E1942)=1,1,0))</f>
        <v/>
      </c>
      <c r="AO1942">
        <f>IF($AN1942=1,SUMPRODUCT(--($AR$2:$AR$4001&lt;$AR1942))+1,"")</f>
        <v/>
      </c>
      <c r="AP1942">
        <f>IF($E1942="","",IF(OR($U1942=TRUE(),$U1942="TRUE"),1,0))</f>
        <v/>
      </c>
      <c r="AQ1942">
        <f>IF($E1942="","",IF($AA1942="Yes",1,0))</f>
        <v/>
      </c>
      <c r="AR1942">
        <f>IF($AN1942=1,IFERROR(VALUE(MID($E1942,2,20)),1000000000)+ROW()/100000,"")</f>
        <v/>
      </c>
    </row>
    <row r="1943">
      <c r="G1943" s="11" t="n"/>
      <c r="Q1943" s="7">
        <f>IF($E1943="","",P1943*Y1943/100)</f>
        <v/>
      </c>
      <c r="R1943" s="7" t="n"/>
      <c r="X1943" s="7" t="n"/>
      <c r="Y1943" s="7" t="n"/>
      <c r="AB1943">
        <f>IF($E1943="","",IF($AQ1943=1,0,IF($AP1943=1,Settings!$C$6,Settings!$C$7))*100)</f>
        <v/>
      </c>
      <c r="AC1943" s="7">
        <f>IF($E1943="","",Y1943*AB1943/100)</f>
        <v/>
      </c>
      <c r="AD1943" s="7">
        <f>IF($E1943="","",Y1943-AC1943)</f>
        <v/>
      </c>
      <c r="AE1943" s="7">
        <f>IF($E1943="","",AD1943-Q1943)</f>
        <v/>
      </c>
      <c r="AI1943" s="7" t="n"/>
      <c r="AL1943" s="11" t="n"/>
      <c r="AN1943">
        <f>IF($E1943="","",IF(COUNTIF($E$2:$E1943,$E1943)=1,1,0))</f>
        <v/>
      </c>
      <c r="AO1943">
        <f>IF($AN1943=1,SUMPRODUCT(--($AR$2:$AR$4001&lt;$AR1943))+1,"")</f>
        <v/>
      </c>
      <c r="AP1943">
        <f>IF($E1943="","",IF(OR($U1943=TRUE(),$U1943="TRUE"),1,0))</f>
        <v/>
      </c>
      <c r="AQ1943">
        <f>IF($E1943="","",IF($AA1943="Yes",1,0))</f>
        <v/>
      </c>
      <c r="AR1943">
        <f>IF($AN1943=1,IFERROR(VALUE(MID($E1943,2,20)),1000000000)+ROW()/100000,"")</f>
        <v/>
      </c>
    </row>
    <row r="1944">
      <c r="G1944" s="11" t="n"/>
      <c r="Q1944" s="7">
        <f>IF($E1944="","",P1944*Y1944/100)</f>
        <v/>
      </c>
      <c r="R1944" s="7" t="n"/>
      <c r="X1944" s="7" t="n"/>
      <c r="Y1944" s="7" t="n"/>
      <c r="AB1944">
        <f>IF($E1944="","",IF($AQ1944=1,0,IF($AP1944=1,Settings!$C$6,Settings!$C$7))*100)</f>
        <v/>
      </c>
      <c r="AC1944" s="7">
        <f>IF($E1944="","",Y1944*AB1944/100)</f>
        <v/>
      </c>
      <c r="AD1944" s="7">
        <f>IF($E1944="","",Y1944-AC1944)</f>
        <v/>
      </c>
      <c r="AE1944" s="7">
        <f>IF($E1944="","",AD1944-Q1944)</f>
        <v/>
      </c>
      <c r="AI1944" s="7" t="n"/>
      <c r="AL1944" s="11" t="n"/>
      <c r="AN1944">
        <f>IF($E1944="","",IF(COUNTIF($E$2:$E1944,$E1944)=1,1,0))</f>
        <v/>
      </c>
      <c r="AO1944">
        <f>IF($AN1944=1,SUMPRODUCT(--($AR$2:$AR$4001&lt;$AR1944))+1,"")</f>
        <v/>
      </c>
      <c r="AP1944">
        <f>IF($E1944="","",IF(OR($U1944=TRUE(),$U1944="TRUE"),1,0))</f>
        <v/>
      </c>
      <c r="AQ1944">
        <f>IF($E1944="","",IF($AA1944="Yes",1,0))</f>
        <v/>
      </c>
      <c r="AR1944">
        <f>IF($AN1944=1,IFERROR(VALUE(MID($E1944,2,20)),1000000000)+ROW()/100000,"")</f>
        <v/>
      </c>
    </row>
    <row r="1945">
      <c r="G1945" s="11" t="n"/>
      <c r="Q1945" s="7">
        <f>IF($E1945="","",P1945*Y1945/100)</f>
        <v/>
      </c>
      <c r="R1945" s="7" t="n"/>
      <c r="X1945" s="7" t="n"/>
      <c r="Y1945" s="7" t="n"/>
      <c r="AB1945">
        <f>IF($E1945="","",IF($AQ1945=1,0,IF($AP1945=1,Settings!$C$6,Settings!$C$7))*100)</f>
        <v/>
      </c>
      <c r="AC1945" s="7">
        <f>IF($E1945="","",Y1945*AB1945/100)</f>
        <v/>
      </c>
      <c r="AD1945" s="7">
        <f>IF($E1945="","",Y1945-AC1945)</f>
        <v/>
      </c>
      <c r="AE1945" s="7">
        <f>IF($E1945="","",AD1945-Q1945)</f>
        <v/>
      </c>
      <c r="AI1945" s="7" t="n"/>
      <c r="AL1945" s="11" t="n"/>
      <c r="AN1945">
        <f>IF($E1945="","",IF(COUNTIF($E$2:$E1945,$E1945)=1,1,0))</f>
        <v/>
      </c>
      <c r="AO1945">
        <f>IF($AN1945=1,SUMPRODUCT(--($AR$2:$AR$4001&lt;$AR1945))+1,"")</f>
        <v/>
      </c>
      <c r="AP1945">
        <f>IF($E1945="","",IF(OR($U1945=TRUE(),$U1945="TRUE"),1,0))</f>
        <v/>
      </c>
      <c r="AQ1945">
        <f>IF($E1945="","",IF($AA1945="Yes",1,0))</f>
        <v/>
      </c>
      <c r="AR1945">
        <f>IF($AN1945=1,IFERROR(VALUE(MID($E1945,2,20)),1000000000)+ROW()/100000,"")</f>
        <v/>
      </c>
    </row>
    <row r="1946">
      <c r="G1946" s="11" t="n"/>
      <c r="Q1946" s="7">
        <f>IF($E1946="","",P1946*Y1946/100)</f>
        <v/>
      </c>
      <c r="R1946" s="7" t="n"/>
      <c r="X1946" s="7" t="n"/>
      <c r="Y1946" s="7" t="n"/>
      <c r="AB1946">
        <f>IF($E1946="","",IF($AQ1946=1,0,IF($AP1946=1,Settings!$C$6,Settings!$C$7))*100)</f>
        <v/>
      </c>
      <c r="AC1946" s="7">
        <f>IF($E1946="","",Y1946*AB1946/100)</f>
        <v/>
      </c>
      <c r="AD1946" s="7">
        <f>IF($E1946="","",Y1946-AC1946)</f>
        <v/>
      </c>
      <c r="AE1946" s="7">
        <f>IF($E1946="","",AD1946-Q1946)</f>
        <v/>
      </c>
      <c r="AI1946" s="7" t="n"/>
      <c r="AL1946" s="11" t="n"/>
      <c r="AN1946">
        <f>IF($E1946="","",IF(COUNTIF($E$2:$E1946,$E1946)=1,1,0))</f>
        <v/>
      </c>
      <c r="AO1946">
        <f>IF($AN1946=1,SUMPRODUCT(--($AR$2:$AR$4001&lt;$AR1946))+1,"")</f>
        <v/>
      </c>
      <c r="AP1946">
        <f>IF($E1946="","",IF(OR($U1946=TRUE(),$U1946="TRUE"),1,0))</f>
        <v/>
      </c>
      <c r="AQ1946">
        <f>IF($E1946="","",IF($AA1946="Yes",1,0))</f>
        <v/>
      </c>
      <c r="AR1946">
        <f>IF($AN1946=1,IFERROR(VALUE(MID($E1946,2,20)),1000000000)+ROW()/100000,"")</f>
        <v/>
      </c>
    </row>
    <row r="1947">
      <c r="G1947" s="11" t="n"/>
      <c r="Q1947" s="7">
        <f>IF($E1947="","",P1947*Y1947/100)</f>
        <v/>
      </c>
      <c r="R1947" s="7" t="n"/>
      <c r="X1947" s="7" t="n"/>
      <c r="Y1947" s="7" t="n"/>
      <c r="AB1947">
        <f>IF($E1947="","",IF($AQ1947=1,0,IF($AP1947=1,Settings!$C$6,Settings!$C$7))*100)</f>
        <v/>
      </c>
      <c r="AC1947" s="7">
        <f>IF($E1947="","",Y1947*AB1947/100)</f>
        <v/>
      </c>
      <c r="AD1947" s="7">
        <f>IF($E1947="","",Y1947-AC1947)</f>
        <v/>
      </c>
      <c r="AE1947" s="7">
        <f>IF($E1947="","",AD1947-Q1947)</f>
        <v/>
      </c>
      <c r="AI1947" s="7" t="n"/>
      <c r="AL1947" s="11" t="n"/>
      <c r="AN1947">
        <f>IF($E1947="","",IF(COUNTIF($E$2:$E1947,$E1947)=1,1,0))</f>
        <v/>
      </c>
      <c r="AO1947">
        <f>IF($AN1947=1,SUMPRODUCT(--($AR$2:$AR$4001&lt;$AR1947))+1,"")</f>
        <v/>
      </c>
      <c r="AP1947">
        <f>IF($E1947="","",IF(OR($U1947=TRUE(),$U1947="TRUE"),1,0))</f>
        <v/>
      </c>
      <c r="AQ1947">
        <f>IF($E1947="","",IF($AA1947="Yes",1,0))</f>
        <v/>
      </c>
      <c r="AR1947">
        <f>IF($AN1947=1,IFERROR(VALUE(MID($E1947,2,20)),1000000000)+ROW()/100000,"")</f>
        <v/>
      </c>
    </row>
    <row r="1948">
      <c r="G1948" s="11" t="n"/>
      <c r="Q1948" s="7">
        <f>IF($E1948="","",P1948*Y1948/100)</f>
        <v/>
      </c>
      <c r="R1948" s="7" t="n"/>
      <c r="X1948" s="7" t="n"/>
      <c r="Y1948" s="7" t="n"/>
      <c r="AB1948">
        <f>IF($E1948="","",IF($AQ1948=1,0,IF($AP1948=1,Settings!$C$6,Settings!$C$7))*100)</f>
        <v/>
      </c>
      <c r="AC1948" s="7">
        <f>IF($E1948="","",Y1948*AB1948/100)</f>
        <v/>
      </c>
      <c r="AD1948" s="7">
        <f>IF($E1948="","",Y1948-AC1948)</f>
        <v/>
      </c>
      <c r="AE1948" s="7">
        <f>IF($E1948="","",AD1948-Q1948)</f>
        <v/>
      </c>
      <c r="AI1948" s="7" t="n"/>
      <c r="AL1948" s="11" t="n"/>
      <c r="AN1948">
        <f>IF($E1948="","",IF(COUNTIF($E$2:$E1948,$E1948)=1,1,0))</f>
        <v/>
      </c>
      <c r="AO1948">
        <f>IF($AN1948=1,SUMPRODUCT(--($AR$2:$AR$4001&lt;$AR1948))+1,"")</f>
        <v/>
      </c>
      <c r="AP1948">
        <f>IF($E1948="","",IF(OR($U1948=TRUE(),$U1948="TRUE"),1,0))</f>
        <v/>
      </c>
      <c r="AQ1948">
        <f>IF($E1948="","",IF($AA1948="Yes",1,0))</f>
        <v/>
      </c>
      <c r="AR1948">
        <f>IF($AN1948=1,IFERROR(VALUE(MID($E1948,2,20)),1000000000)+ROW()/100000,"")</f>
        <v/>
      </c>
    </row>
    <row r="1949">
      <c r="G1949" s="11" t="n"/>
      <c r="Q1949" s="7">
        <f>IF($E1949="","",P1949*Y1949/100)</f>
        <v/>
      </c>
      <c r="R1949" s="7" t="n"/>
      <c r="X1949" s="7" t="n"/>
      <c r="Y1949" s="7" t="n"/>
      <c r="AB1949">
        <f>IF($E1949="","",IF($AQ1949=1,0,IF($AP1949=1,Settings!$C$6,Settings!$C$7))*100)</f>
        <v/>
      </c>
      <c r="AC1949" s="7">
        <f>IF($E1949="","",Y1949*AB1949/100)</f>
        <v/>
      </c>
      <c r="AD1949" s="7">
        <f>IF($E1949="","",Y1949-AC1949)</f>
        <v/>
      </c>
      <c r="AE1949" s="7">
        <f>IF($E1949="","",AD1949-Q1949)</f>
        <v/>
      </c>
      <c r="AI1949" s="7" t="n"/>
      <c r="AL1949" s="11" t="n"/>
      <c r="AN1949">
        <f>IF($E1949="","",IF(COUNTIF($E$2:$E1949,$E1949)=1,1,0))</f>
        <v/>
      </c>
      <c r="AO1949">
        <f>IF($AN1949=1,SUMPRODUCT(--($AR$2:$AR$4001&lt;$AR1949))+1,"")</f>
        <v/>
      </c>
      <c r="AP1949">
        <f>IF($E1949="","",IF(OR($U1949=TRUE(),$U1949="TRUE"),1,0))</f>
        <v/>
      </c>
      <c r="AQ1949">
        <f>IF($E1949="","",IF($AA1949="Yes",1,0))</f>
        <v/>
      </c>
      <c r="AR1949">
        <f>IF($AN1949=1,IFERROR(VALUE(MID($E1949,2,20)),1000000000)+ROW()/100000,"")</f>
        <v/>
      </c>
    </row>
    <row r="1950">
      <c r="G1950" s="11" t="n"/>
      <c r="Q1950" s="7">
        <f>IF($E1950="","",P1950*Y1950/100)</f>
        <v/>
      </c>
      <c r="R1950" s="7" t="n"/>
      <c r="X1950" s="7" t="n"/>
      <c r="Y1950" s="7" t="n"/>
      <c r="AB1950">
        <f>IF($E1950="","",IF($AQ1950=1,0,IF($AP1950=1,Settings!$C$6,Settings!$C$7))*100)</f>
        <v/>
      </c>
      <c r="AC1950" s="7">
        <f>IF($E1950="","",Y1950*AB1950/100)</f>
        <v/>
      </c>
      <c r="AD1950" s="7">
        <f>IF($E1950="","",Y1950-AC1950)</f>
        <v/>
      </c>
      <c r="AE1950" s="7">
        <f>IF($E1950="","",AD1950-Q1950)</f>
        <v/>
      </c>
      <c r="AI1950" s="7" t="n"/>
      <c r="AL1950" s="11" t="n"/>
      <c r="AN1950">
        <f>IF($E1950="","",IF(COUNTIF($E$2:$E1950,$E1950)=1,1,0))</f>
        <v/>
      </c>
      <c r="AO1950">
        <f>IF($AN1950=1,SUMPRODUCT(--($AR$2:$AR$4001&lt;$AR1950))+1,"")</f>
        <v/>
      </c>
      <c r="AP1950">
        <f>IF($E1950="","",IF(OR($U1950=TRUE(),$U1950="TRUE"),1,0))</f>
        <v/>
      </c>
      <c r="AQ1950">
        <f>IF($E1950="","",IF($AA1950="Yes",1,0))</f>
        <v/>
      </c>
      <c r="AR1950">
        <f>IF($AN1950=1,IFERROR(VALUE(MID($E1950,2,20)),1000000000)+ROW()/100000,"")</f>
        <v/>
      </c>
    </row>
    <row r="1951">
      <c r="G1951" s="11" t="n"/>
      <c r="Q1951" s="7">
        <f>IF($E1951="","",P1951*Y1951/100)</f>
        <v/>
      </c>
      <c r="R1951" s="7" t="n"/>
      <c r="X1951" s="7" t="n"/>
      <c r="Y1951" s="7" t="n"/>
      <c r="AB1951">
        <f>IF($E1951="","",IF($AQ1951=1,0,IF($AP1951=1,Settings!$C$6,Settings!$C$7))*100)</f>
        <v/>
      </c>
      <c r="AC1951" s="7">
        <f>IF($E1951="","",Y1951*AB1951/100)</f>
        <v/>
      </c>
      <c r="AD1951" s="7">
        <f>IF($E1951="","",Y1951-AC1951)</f>
        <v/>
      </c>
      <c r="AE1951" s="7">
        <f>IF($E1951="","",AD1951-Q1951)</f>
        <v/>
      </c>
      <c r="AI1951" s="7" t="n"/>
      <c r="AL1951" s="11" t="n"/>
      <c r="AN1951">
        <f>IF($E1951="","",IF(COUNTIF($E$2:$E1951,$E1951)=1,1,0))</f>
        <v/>
      </c>
      <c r="AO1951">
        <f>IF($AN1951=1,SUMPRODUCT(--($AR$2:$AR$4001&lt;$AR1951))+1,"")</f>
        <v/>
      </c>
      <c r="AP1951">
        <f>IF($E1951="","",IF(OR($U1951=TRUE(),$U1951="TRUE"),1,0))</f>
        <v/>
      </c>
      <c r="AQ1951">
        <f>IF($E1951="","",IF($AA1951="Yes",1,0))</f>
        <v/>
      </c>
      <c r="AR1951">
        <f>IF($AN1951=1,IFERROR(VALUE(MID($E1951,2,20)),1000000000)+ROW()/100000,"")</f>
        <v/>
      </c>
    </row>
    <row r="1952">
      <c r="G1952" s="11" t="n"/>
      <c r="Q1952" s="7">
        <f>IF($E1952="","",P1952*Y1952/100)</f>
        <v/>
      </c>
      <c r="R1952" s="7" t="n"/>
      <c r="X1952" s="7" t="n"/>
      <c r="Y1952" s="7" t="n"/>
      <c r="AB1952">
        <f>IF($E1952="","",IF($AQ1952=1,0,IF($AP1952=1,Settings!$C$6,Settings!$C$7))*100)</f>
        <v/>
      </c>
      <c r="AC1952" s="7">
        <f>IF($E1952="","",Y1952*AB1952/100)</f>
        <v/>
      </c>
      <c r="AD1952" s="7">
        <f>IF($E1952="","",Y1952-AC1952)</f>
        <v/>
      </c>
      <c r="AE1952" s="7">
        <f>IF($E1952="","",AD1952-Q1952)</f>
        <v/>
      </c>
      <c r="AI1952" s="7" t="n"/>
      <c r="AL1952" s="11" t="n"/>
      <c r="AN1952">
        <f>IF($E1952="","",IF(COUNTIF($E$2:$E1952,$E1952)=1,1,0))</f>
        <v/>
      </c>
      <c r="AO1952">
        <f>IF($AN1952=1,SUMPRODUCT(--($AR$2:$AR$4001&lt;$AR1952))+1,"")</f>
        <v/>
      </c>
      <c r="AP1952">
        <f>IF($E1952="","",IF(OR($U1952=TRUE(),$U1952="TRUE"),1,0))</f>
        <v/>
      </c>
      <c r="AQ1952">
        <f>IF($E1952="","",IF($AA1952="Yes",1,0))</f>
        <v/>
      </c>
      <c r="AR1952">
        <f>IF($AN1952=1,IFERROR(VALUE(MID($E1952,2,20)),1000000000)+ROW()/100000,"")</f>
        <v/>
      </c>
    </row>
    <row r="1953">
      <c r="G1953" s="11" t="n"/>
      <c r="Q1953" s="7">
        <f>IF($E1953="","",P1953*Y1953/100)</f>
        <v/>
      </c>
      <c r="R1953" s="7" t="n"/>
      <c r="X1953" s="7" t="n"/>
      <c r="Y1953" s="7" t="n"/>
      <c r="AB1953">
        <f>IF($E1953="","",IF($AQ1953=1,0,IF($AP1953=1,Settings!$C$6,Settings!$C$7))*100)</f>
        <v/>
      </c>
      <c r="AC1953" s="7">
        <f>IF($E1953="","",Y1953*AB1953/100)</f>
        <v/>
      </c>
      <c r="AD1953" s="7">
        <f>IF($E1953="","",Y1953-AC1953)</f>
        <v/>
      </c>
      <c r="AE1953" s="7">
        <f>IF($E1953="","",AD1953-Q1953)</f>
        <v/>
      </c>
      <c r="AI1953" s="7" t="n"/>
      <c r="AL1953" s="11" t="n"/>
      <c r="AN1953">
        <f>IF($E1953="","",IF(COUNTIF($E$2:$E1953,$E1953)=1,1,0))</f>
        <v/>
      </c>
      <c r="AO1953">
        <f>IF($AN1953=1,SUMPRODUCT(--($AR$2:$AR$4001&lt;$AR1953))+1,"")</f>
        <v/>
      </c>
      <c r="AP1953">
        <f>IF($E1953="","",IF(OR($U1953=TRUE(),$U1953="TRUE"),1,0))</f>
        <v/>
      </c>
      <c r="AQ1953">
        <f>IF($E1953="","",IF($AA1953="Yes",1,0))</f>
        <v/>
      </c>
      <c r="AR1953">
        <f>IF($AN1953=1,IFERROR(VALUE(MID($E1953,2,20)),1000000000)+ROW()/100000,"")</f>
        <v/>
      </c>
    </row>
    <row r="1954">
      <c r="G1954" s="11" t="n"/>
      <c r="Q1954" s="7">
        <f>IF($E1954="","",P1954*Y1954/100)</f>
        <v/>
      </c>
      <c r="R1954" s="7" t="n"/>
      <c r="X1954" s="7" t="n"/>
      <c r="Y1954" s="7" t="n"/>
      <c r="AB1954">
        <f>IF($E1954="","",IF($AQ1954=1,0,IF($AP1954=1,Settings!$C$6,Settings!$C$7))*100)</f>
        <v/>
      </c>
      <c r="AC1954" s="7">
        <f>IF($E1954="","",Y1954*AB1954/100)</f>
        <v/>
      </c>
      <c r="AD1954" s="7">
        <f>IF($E1954="","",Y1954-AC1954)</f>
        <v/>
      </c>
      <c r="AE1954" s="7">
        <f>IF($E1954="","",AD1954-Q1954)</f>
        <v/>
      </c>
      <c r="AI1954" s="7" t="n"/>
      <c r="AL1954" s="11" t="n"/>
      <c r="AN1954">
        <f>IF($E1954="","",IF(COUNTIF($E$2:$E1954,$E1954)=1,1,0))</f>
        <v/>
      </c>
      <c r="AO1954">
        <f>IF($AN1954=1,SUMPRODUCT(--($AR$2:$AR$4001&lt;$AR1954))+1,"")</f>
        <v/>
      </c>
      <c r="AP1954">
        <f>IF($E1954="","",IF(OR($U1954=TRUE(),$U1954="TRUE"),1,0))</f>
        <v/>
      </c>
      <c r="AQ1954">
        <f>IF($E1954="","",IF($AA1954="Yes",1,0))</f>
        <v/>
      </c>
      <c r="AR1954">
        <f>IF($AN1954=1,IFERROR(VALUE(MID($E1954,2,20)),1000000000)+ROW()/100000,"")</f>
        <v/>
      </c>
    </row>
    <row r="1955">
      <c r="G1955" s="11" t="n"/>
      <c r="Q1955" s="7">
        <f>IF($E1955="","",P1955*Y1955/100)</f>
        <v/>
      </c>
      <c r="R1955" s="7" t="n"/>
      <c r="X1955" s="7" t="n"/>
      <c r="Y1955" s="7" t="n"/>
      <c r="AB1955">
        <f>IF($E1955="","",IF($AQ1955=1,0,IF($AP1955=1,Settings!$C$6,Settings!$C$7))*100)</f>
        <v/>
      </c>
      <c r="AC1955" s="7">
        <f>IF($E1955="","",Y1955*AB1955/100)</f>
        <v/>
      </c>
      <c r="AD1955" s="7">
        <f>IF($E1955="","",Y1955-AC1955)</f>
        <v/>
      </c>
      <c r="AE1955" s="7">
        <f>IF($E1955="","",AD1955-Q1955)</f>
        <v/>
      </c>
      <c r="AI1955" s="7" t="n"/>
      <c r="AL1955" s="11" t="n"/>
      <c r="AN1955">
        <f>IF($E1955="","",IF(COUNTIF($E$2:$E1955,$E1955)=1,1,0))</f>
        <v/>
      </c>
      <c r="AO1955">
        <f>IF($AN1955=1,SUMPRODUCT(--($AR$2:$AR$4001&lt;$AR1955))+1,"")</f>
        <v/>
      </c>
      <c r="AP1955">
        <f>IF($E1955="","",IF(OR($U1955=TRUE(),$U1955="TRUE"),1,0))</f>
        <v/>
      </c>
      <c r="AQ1955">
        <f>IF($E1955="","",IF($AA1955="Yes",1,0))</f>
        <v/>
      </c>
      <c r="AR1955">
        <f>IF($AN1955=1,IFERROR(VALUE(MID($E1955,2,20)),1000000000)+ROW()/100000,"")</f>
        <v/>
      </c>
    </row>
    <row r="1956">
      <c r="G1956" s="11" t="n"/>
      <c r="Q1956" s="7">
        <f>IF($E1956="","",P1956*Y1956/100)</f>
        <v/>
      </c>
      <c r="R1956" s="7" t="n"/>
      <c r="X1956" s="7" t="n"/>
      <c r="Y1956" s="7" t="n"/>
      <c r="AB1956">
        <f>IF($E1956="","",IF($AQ1956=1,0,IF($AP1956=1,Settings!$C$6,Settings!$C$7))*100)</f>
        <v/>
      </c>
      <c r="AC1956" s="7">
        <f>IF($E1956="","",Y1956*AB1956/100)</f>
        <v/>
      </c>
      <c r="AD1956" s="7">
        <f>IF($E1956="","",Y1956-AC1956)</f>
        <v/>
      </c>
      <c r="AE1956" s="7">
        <f>IF($E1956="","",AD1956-Q1956)</f>
        <v/>
      </c>
      <c r="AI1956" s="7" t="n"/>
      <c r="AL1956" s="11" t="n"/>
      <c r="AN1956">
        <f>IF($E1956="","",IF(COUNTIF($E$2:$E1956,$E1956)=1,1,0))</f>
        <v/>
      </c>
      <c r="AO1956">
        <f>IF($AN1956=1,SUMPRODUCT(--($AR$2:$AR$4001&lt;$AR1956))+1,"")</f>
        <v/>
      </c>
      <c r="AP1956">
        <f>IF($E1956="","",IF(OR($U1956=TRUE(),$U1956="TRUE"),1,0))</f>
        <v/>
      </c>
      <c r="AQ1956">
        <f>IF($E1956="","",IF($AA1956="Yes",1,0))</f>
        <v/>
      </c>
      <c r="AR1956">
        <f>IF($AN1956=1,IFERROR(VALUE(MID($E1956,2,20)),1000000000)+ROW()/100000,"")</f>
        <v/>
      </c>
    </row>
    <row r="1957">
      <c r="G1957" s="11" t="n"/>
      <c r="Q1957" s="7">
        <f>IF($E1957="","",P1957*Y1957/100)</f>
        <v/>
      </c>
      <c r="R1957" s="7" t="n"/>
      <c r="X1957" s="7" t="n"/>
      <c r="Y1957" s="7" t="n"/>
      <c r="AB1957">
        <f>IF($E1957="","",IF($AQ1957=1,0,IF($AP1957=1,Settings!$C$6,Settings!$C$7))*100)</f>
        <v/>
      </c>
      <c r="AC1957" s="7">
        <f>IF($E1957="","",Y1957*AB1957/100)</f>
        <v/>
      </c>
      <c r="AD1957" s="7">
        <f>IF($E1957="","",Y1957-AC1957)</f>
        <v/>
      </c>
      <c r="AE1957" s="7">
        <f>IF($E1957="","",AD1957-Q1957)</f>
        <v/>
      </c>
      <c r="AI1957" s="7" t="n"/>
      <c r="AL1957" s="11" t="n"/>
      <c r="AN1957">
        <f>IF($E1957="","",IF(COUNTIF($E$2:$E1957,$E1957)=1,1,0))</f>
        <v/>
      </c>
      <c r="AO1957">
        <f>IF($AN1957=1,SUMPRODUCT(--($AR$2:$AR$4001&lt;$AR1957))+1,"")</f>
        <v/>
      </c>
      <c r="AP1957">
        <f>IF($E1957="","",IF(OR($U1957=TRUE(),$U1957="TRUE"),1,0))</f>
        <v/>
      </c>
      <c r="AQ1957">
        <f>IF($E1957="","",IF($AA1957="Yes",1,0))</f>
        <v/>
      </c>
      <c r="AR1957">
        <f>IF($AN1957=1,IFERROR(VALUE(MID($E1957,2,20)),1000000000)+ROW()/100000,"")</f>
        <v/>
      </c>
    </row>
    <row r="1958">
      <c r="G1958" s="11" t="n"/>
      <c r="Q1958" s="7">
        <f>IF($E1958="","",P1958*Y1958/100)</f>
        <v/>
      </c>
      <c r="R1958" s="7" t="n"/>
      <c r="X1958" s="7" t="n"/>
      <c r="Y1958" s="7" t="n"/>
      <c r="AB1958">
        <f>IF($E1958="","",IF($AQ1958=1,0,IF($AP1958=1,Settings!$C$6,Settings!$C$7))*100)</f>
        <v/>
      </c>
      <c r="AC1958" s="7">
        <f>IF($E1958="","",Y1958*AB1958/100)</f>
        <v/>
      </c>
      <c r="AD1958" s="7">
        <f>IF($E1958="","",Y1958-AC1958)</f>
        <v/>
      </c>
      <c r="AE1958" s="7">
        <f>IF($E1958="","",AD1958-Q1958)</f>
        <v/>
      </c>
      <c r="AI1958" s="7" t="n"/>
      <c r="AL1958" s="11" t="n"/>
      <c r="AN1958">
        <f>IF($E1958="","",IF(COUNTIF($E$2:$E1958,$E1958)=1,1,0))</f>
        <v/>
      </c>
      <c r="AO1958">
        <f>IF($AN1958=1,SUMPRODUCT(--($AR$2:$AR$4001&lt;$AR1958))+1,"")</f>
        <v/>
      </c>
      <c r="AP1958">
        <f>IF($E1958="","",IF(OR($U1958=TRUE(),$U1958="TRUE"),1,0))</f>
        <v/>
      </c>
      <c r="AQ1958">
        <f>IF($E1958="","",IF($AA1958="Yes",1,0))</f>
        <v/>
      </c>
      <c r="AR1958">
        <f>IF($AN1958=1,IFERROR(VALUE(MID($E1958,2,20)),1000000000)+ROW()/100000,"")</f>
        <v/>
      </c>
    </row>
    <row r="1959">
      <c r="G1959" s="11" t="n"/>
      <c r="Q1959" s="7">
        <f>IF($E1959="","",P1959*Y1959/100)</f>
        <v/>
      </c>
      <c r="R1959" s="7" t="n"/>
      <c r="X1959" s="7" t="n"/>
      <c r="Y1959" s="7" t="n"/>
      <c r="AB1959">
        <f>IF($E1959="","",IF($AQ1959=1,0,IF($AP1959=1,Settings!$C$6,Settings!$C$7))*100)</f>
        <v/>
      </c>
      <c r="AC1959" s="7">
        <f>IF($E1959="","",Y1959*AB1959/100)</f>
        <v/>
      </c>
      <c r="AD1959" s="7">
        <f>IF($E1959="","",Y1959-AC1959)</f>
        <v/>
      </c>
      <c r="AE1959" s="7">
        <f>IF($E1959="","",AD1959-Q1959)</f>
        <v/>
      </c>
      <c r="AI1959" s="7" t="n"/>
      <c r="AL1959" s="11" t="n"/>
      <c r="AN1959">
        <f>IF($E1959="","",IF(COUNTIF($E$2:$E1959,$E1959)=1,1,0))</f>
        <v/>
      </c>
      <c r="AO1959">
        <f>IF($AN1959=1,SUMPRODUCT(--($AR$2:$AR$4001&lt;$AR1959))+1,"")</f>
        <v/>
      </c>
      <c r="AP1959">
        <f>IF($E1959="","",IF(OR($U1959=TRUE(),$U1959="TRUE"),1,0))</f>
        <v/>
      </c>
      <c r="AQ1959">
        <f>IF($E1959="","",IF($AA1959="Yes",1,0))</f>
        <v/>
      </c>
      <c r="AR1959">
        <f>IF($AN1959=1,IFERROR(VALUE(MID($E1959,2,20)),1000000000)+ROW()/100000,"")</f>
        <v/>
      </c>
    </row>
    <row r="1960">
      <c r="G1960" s="11" t="n"/>
      <c r="Q1960" s="7">
        <f>IF($E1960="","",P1960*Y1960/100)</f>
        <v/>
      </c>
      <c r="R1960" s="7" t="n"/>
      <c r="X1960" s="7" t="n"/>
      <c r="Y1960" s="7" t="n"/>
      <c r="AB1960">
        <f>IF($E1960="","",IF($AQ1960=1,0,IF($AP1960=1,Settings!$C$6,Settings!$C$7))*100)</f>
        <v/>
      </c>
      <c r="AC1960" s="7">
        <f>IF($E1960="","",Y1960*AB1960/100)</f>
        <v/>
      </c>
      <c r="AD1960" s="7">
        <f>IF($E1960="","",Y1960-AC1960)</f>
        <v/>
      </c>
      <c r="AE1960" s="7">
        <f>IF($E1960="","",AD1960-Q1960)</f>
        <v/>
      </c>
      <c r="AI1960" s="7" t="n"/>
      <c r="AL1960" s="11" t="n"/>
      <c r="AN1960">
        <f>IF($E1960="","",IF(COUNTIF($E$2:$E1960,$E1960)=1,1,0))</f>
        <v/>
      </c>
      <c r="AO1960">
        <f>IF($AN1960=1,SUMPRODUCT(--($AR$2:$AR$4001&lt;$AR1960))+1,"")</f>
        <v/>
      </c>
      <c r="AP1960">
        <f>IF($E1960="","",IF(OR($U1960=TRUE(),$U1960="TRUE"),1,0))</f>
        <v/>
      </c>
      <c r="AQ1960">
        <f>IF($E1960="","",IF($AA1960="Yes",1,0))</f>
        <v/>
      </c>
      <c r="AR1960">
        <f>IF($AN1960=1,IFERROR(VALUE(MID($E1960,2,20)),1000000000)+ROW()/100000,"")</f>
        <v/>
      </c>
    </row>
    <row r="1961">
      <c r="G1961" s="11" t="n"/>
      <c r="Q1961" s="7">
        <f>IF($E1961="","",P1961*Y1961/100)</f>
        <v/>
      </c>
      <c r="R1961" s="7" t="n"/>
      <c r="X1961" s="7" t="n"/>
      <c r="Y1961" s="7" t="n"/>
      <c r="AB1961">
        <f>IF($E1961="","",IF($AQ1961=1,0,IF($AP1961=1,Settings!$C$6,Settings!$C$7))*100)</f>
        <v/>
      </c>
      <c r="AC1961" s="7">
        <f>IF($E1961="","",Y1961*AB1961/100)</f>
        <v/>
      </c>
      <c r="AD1961" s="7">
        <f>IF($E1961="","",Y1961-AC1961)</f>
        <v/>
      </c>
      <c r="AE1961" s="7">
        <f>IF($E1961="","",AD1961-Q1961)</f>
        <v/>
      </c>
      <c r="AI1961" s="7" t="n"/>
      <c r="AL1961" s="11" t="n"/>
      <c r="AN1961">
        <f>IF($E1961="","",IF(COUNTIF($E$2:$E1961,$E1961)=1,1,0))</f>
        <v/>
      </c>
      <c r="AO1961">
        <f>IF($AN1961=1,SUMPRODUCT(--($AR$2:$AR$4001&lt;$AR1961))+1,"")</f>
        <v/>
      </c>
      <c r="AP1961">
        <f>IF($E1961="","",IF(OR($U1961=TRUE(),$U1961="TRUE"),1,0))</f>
        <v/>
      </c>
      <c r="AQ1961">
        <f>IF($E1961="","",IF($AA1961="Yes",1,0))</f>
        <v/>
      </c>
      <c r="AR1961">
        <f>IF($AN1961=1,IFERROR(VALUE(MID($E1961,2,20)),1000000000)+ROW()/100000,"")</f>
        <v/>
      </c>
    </row>
    <row r="1962">
      <c r="G1962" s="11" t="n"/>
      <c r="Q1962" s="7">
        <f>IF($E1962="","",P1962*Y1962/100)</f>
        <v/>
      </c>
      <c r="R1962" s="7" t="n"/>
      <c r="X1962" s="7" t="n"/>
      <c r="Y1962" s="7" t="n"/>
      <c r="AB1962">
        <f>IF($E1962="","",IF($AQ1962=1,0,IF($AP1962=1,Settings!$C$6,Settings!$C$7))*100)</f>
        <v/>
      </c>
      <c r="AC1962" s="7">
        <f>IF($E1962="","",Y1962*AB1962/100)</f>
        <v/>
      </c>
      <c r="AD1962" s="7">
        <f>IF($E1962="","",Y1962-AC1962)</f>
        <v/>
      </c>
      <c r="AE1962" s="7">
        <f>IF($E1962="","",AD1962-Q1962)</f>
        <v/>
      </c>
      <c r="AI1962" s="7" t="n"/>
      <c r="AL1962" s="11" t="n"/>
      <c r="AN1962">
        <f>IF($E1962="","",IF(COUNTIF($E$2:$E1962,$E1962)=1,1,0))</f>
        <v/>
      </c>
      <c r="AO1962">
        <f>IF($AN1962=1,SUMPRODUCT(--($AR$2:$AR$4001&lt;$AR1962))+1,"")</f>
        <v/>
      </c>
      <c r="AP1962">
        <f>IF($E1962="","",IF(OR($U1962=TRUE(),$U1962="TRUE"),1,0))</f>
        <v/>
      </c>
      <c r="AQ1962">
        <f>IF($E1962="","",IF($AA1962="Yes",1,0))</f>
        <v/>
      </c>
      <c r="AR1962">
        <f>IF($AN1962=1,IFERROR(VALUE(MID($E1962,2,20)),1000000000)+ROW()/100000,"")</f>
        <v/>
      </c>
    </row>
    <row r="1963">
      <c r="G1963" s="11" t="n"/>
      <c r="Q1963" s="7">
        <f>IF($E1963="","",P1963*Y1963/100)</f>
        <v/>
      </c>
      <c r="R1963" s="7" t="n"/>
      <c r="X1963" s="7" t="n"/>
      <c r="Y1963" s="7" t="n"/>
      <c r="AB1963">
        <f>IF($E1963="","",IF($AQ1963=1,0,IF($AP1963=1,Settings!$C$6,Settings!$C$7))*100)</f>
        <v/>
      </c>
      <c r="AC1963" s="7">
        <f>IF($E1963="","",Y1963*AB1963/100)</f>
        <v/>
      </c>
      <c r="AD1963" s="7">
        <f>IF($E1963="","",Y1963-AC1963)</f>
        <v/>
      </c>
      <c r="AE1963" s="7">
        <f>IF($E1963="","",AD1963-Q1963)</f>
        <v/>
      </c>
      <c r="AI1963" s="7" t="n"/>
      <c r="AL1963" s="11" t="n"/>
      <c r="AN1963">
        <f>IF($E1963="","",IF(COUNTIF($E$2:$E1963,$E1963)=1,1,0))</f>
        <v/>
      </c>
      <c r="AO1963">
        <f>IF($AN1963=1,SUMPRODUCT(--($AR$2:$AR$4001&lt;$AR1963))+1,"")</f>
        <v/>
      </c>
      <c r="AP1963">
        <f>IF($E1963="","",IF(OR($U1963=TRUE(),$U1963="TRUE"),1,0))</f>
        <v/>
      </c>
      <c r="AQ1963">
        <f>IF($E1963="","",IF($AA1963="Yes",1,0))</f>
        <v/>
      </c>
      <c r="AR1963">
        <f>IF($AN1963=1,IFERROR(VALUE(MID($E1963,2,20)),1000000000)+ROW()/100000,"")</f>
        <v/>
      </c>
    </row>
    <row r="1964">
      <c r="G1964" s="11" t="n"/>
      <c r="Q1964" s="7">
        <f>IF($E1964="","",P1964*Y1964/100)</f>
        <v/>
      </c>
      <c r="R1964" s="7" t="n"/>
      <c r="X1964" s="7" t="n"/>
      <c r="Y1964" s="7" t="n"/>
      <c r="AB1964">
        <f>IF($E1964="","",IF($AQ1964=1,0,IF($AP1964=1,Settings!$C$6,Settings!$C$7))*100)</f>
        <v/>
      </c>
      <c r="AC1964" s="7">
        <f>IF($E1964="","",Y1964*AB1964/100)</f>
        <v/>
      </c>
      <c r="AD1964" s="7">
        <f>IF($E1964="","",Y1964-AC1964)</f>
        <v/>
      </c>
      <c r="AE1964" s="7">
        <f>IF($E1964="","",AD1964-Q1964)</f>
        <v/>
      </c>
      <c r="AI1964" s="7" t="n"/>
      <c r="AL1964" s="11" t="n"/>
      <c r="AN1964">
        <f>IF($E1964="","",IF(COUNTIF($E$2:$E1964,$E1964)=1,1,0))</f>
        <v/>
      </c>
      <c r="AO1964">
        <f>IF($AN1964=1,SUMPRODUCT(--($AR$2:$AR$4001&lt;$AR1964))+1,"")</f>
        <v/>
      </c>
      <c r="AP1964">
        <f>IF($E1964="","",IF(OR($U1964=TRUE(),$U1964="TRUE"),1,0))</f>
        <v/>
      </c>
      <c r="AQ1964">
        <f>IF($E1964="","",IF($AA1964="Yes",1,0))</f>
        <v/>
      </c>
      <c r="AR1964">
        <f>IF($AN1964=1,IFERROR(VALUE(MID($E1964,2,20)),1000000000)+ROW()/100000,"")</f>
        <v/>
      </c>
    </row>
    <row r="1965">
      <c r="G1965" s="11" t="n"/>
      <c r="Q1965" s="7">
        <f>IF($E1965="","",P1965*Y1965/100)</f>
        <v/>
      </c>
      <c r="R1965" s="7" t="n"/>
      <c r="X1965" s="7" t="n"/>
      <c r="Y1965" s="7" t="n"/>
      <c r="AB1965">
        <f>IF($E1965="","",IF($AQ1965=1,0,IF($AP1965=1,Settings!$C$6,Settings!$C$7))*100)</f>
        <v/>
      </c>
      <c r="AC1965" s="7">
        <f>IF($E1965="","",Y1965*AB1965/100)</f>
        <v/>
      </c>
      <c r="AD1965" s="7">
        <f>IF($E1965="","",Y1965-AC1965)</f>
        <v/>
      </c>
      <c r="AE1965" s="7">
        <f>IF($E1965="","",AD1965-Q1965)</f>
        <v/>
      </c>
      <c r="AI1965" s="7" t="n"/>
      <c r="AL1965" s="11" t="n"/>
      <c r="AN1965">
        <f>IF($E1965="","",IF(COUNTIF($E$2:$E1965,$E1965)=1,1,0))</f>
        <v/>
      </c>
      <c r="AO1965">
        <f>IF($AN1965=1,SUMPRODUCT(--($AR$2:$AR$4001&lt;$AR1965))+1,"")</f>
        <v/>
      </c>
      <c r="AP1965">
        <f>IF($E1965="","",IF(OR($U1965=TRUE(),$U1965="TRUE"),1,0))</f>
        <v/>
      </c>
      <c r="AQ1965">
        <f>IF($E1965="","",IF($AA1965="Yes",1,0))</f>
        <v/>
      </c>
      <c r="AR1965">
        <f>IF($AN1965=1,IFERROR(VALUE(MID($E1965,2,20)),1000000000)+ROW()/100000,"")</f>
        <v/>
      </c>
    </row>
    <row r="1966">
      <c r="G1966" s="11" t="n"/>
      <c r="Q1966" s="7">
        <f>IF($E1966="","",P1966*Y1966/100)</f>
        <v/>
      </c>
      <c r="R1966" s="7" t="n"/>
      <c r="X1966" s="7" t="n"/>
      <c r="Y1966" s="7" t="n"/>
      <c r="AB1966">
        <f>IF($E1966="","",IF($AQ1966=1,0,IF($AP1966=1,Settings!$C$6,Settings!$C$7))*100)</f>
        <v/>
      </c>
      <c r="AC1966" s="7">
        <f>IF($E1966="","",Y1966*AB1966/100)</f>
        <v/>
      </c>
      <c r="AD1966" s="7">
        <f>IF($E1966="","",Y1966-AC1966)</f>
        <v/>
      </c>
      <c r="AE1966" s="7">
        <f>IF($E1966="","",AD1966-Q1966)</f>
        <v/>
      </c>
      <c r="AI1966" s="7" t="n"/>
      <c r="AL1966" s="11" t="n"/>
      <c r="AN1966">
        <f>IF($E1966="","",IF(COUNTIF($E$2:$E1966,$E1966)=1,1,0))</f>
        <v/>
      </c>
      <c r="AO1966">
        <f>IF($AN1966=1,SUMPRODUCT(--($AR$2:$AR$4001&lt;$AR1966))+1,"")</f>
        <v/>
      </c>
      <c r="AP1966">
        <f>IF($E1966="","",IF(OR($U1966=TRUE(),$U1966="TRUE"),1,0))</f>
        <v/>
      </c>
      <c r="AQ1966">
        <f>IF($E1966="","",IF($AA1966="Yes",1,0))</f>
        <v/>
      </c>
      <c r="AR1966">
        <f>IF($AN1966=1,IFERROR(VALUE(MID($E1966,2,20)),1000000000)+ROW()/100000,"")</f>
        <v/>
      </c>
    </row>
    <row r="1967">
      <c r="G1967" s="11" t="n"/>
      <c r="Q1967" s="7">
        <f>IF($E1967="","",P1967*Y1967/100)</f>
        <v/>
      </c>
      <c r="R1967" s="7" t="n"/>
      <c r="X1967" s="7" t="n"/>
      <c r="Y1967" s="7" t="n"/>
      <c r="AB1967">
        <f>IF($E1967="","",IF($AQ1967=1,0,IF($AP1967=1,Settings!$C$6,Settings!$C$7))*100)</f>
        <v/>
      </c>
      <c r="AC1967" s="7">
        <f>IF($E1967="","",Y1967*AB1967/100)</f>
        <v/>
      </c>
      <c r="AD1967" s="7">
        <f>IF($E1967="","",Y1967-AC1967)</f>
        <v/>
      </c>
      <c r="AE1967" s="7">
        <f>IF($E1967="","",AD1967-Q1967)</f>
        <v/>
      </c>
      <c r="AI1967" s="7" t="n"/>
      <c r="AL1967" s="11" t="n"/>
      <c r="AN1967">
        <f>IF($E1967="","",IF(COUNTIF($E$2:$E1967,$E1967)=1,1,0))</f>
        <v/>
      </c>
      <c r="AO1967">
        <f>IF($AN1967=1,SUMPRODUCT(--($AR$2:$AR$4001&lt;$AR1967))+1,"")</f>
        <v/>
      </c>
      <c r="AP1967">
        <f>IF($E1967="","",IF(OR($U1967=TRUE(),$U1967="TRUE"),1,0))</f>
        <v/>
      </c>
      <c r="AQ1967">
        <f>IF($E1967="","",IF($AA1967="Yes",1,0))</f>
        <v/>
      </c>
      <c r="AR1967">
        <f>IF($AN1967=1,IFERROR(VALUE(MID($E1967,2,20)),1000000000)+ROW()/100000,"")</f>
        <v/>
      </c>
    </row>
    <row r="1968">
      <c r="G1968" s="11" t="n"/>
      <c r="Q1968" s="7">
        <f>IF($E1968="","",P1968*Y1968/100)</f>
        <v/>
      </c>
      <c r="R1968" s="7" t="n"/>
      <c r="X1968" s="7" t="n"/>
      <c r="Y1968" s="7" t="n"/>
      <c r="AB1968">
        <f>IF($E1968="","",IF($AQ1968=1,0,IF($AP1968=1,Settings!$C$6,Settings!$C$7))*100)</f>
        <v/>
      </c>
      <c r="AC1968" s="7">
        <f>IF($E1968="","",Y1968*AB1968/100)</f>
        <v/>
      </c>
      <c r="AD1968" s="7">
        <f>IF($E1968="","",Y1968-AC1968)</f>
        <v/>
      </c>
      <c r="AE1968" s="7">
        <f>IF($E1968="","",AD1968-Q1968)</f>
        <v/>
      </c>
      <c r="AI1968" s="7" t="n"/>
      <c r="AL1968" s="11" t="n"/>
      <c r="AN1968">
        <f>IF($E1968="","",IF(COUNTIF($E$2:$E1968,$E1968)=1,1,0))</f>
        <v/>
      </c>
      <c r="AO1968">
        <f>IF($AN1968=1,SUMPRODUCT(--($AR$2:$AR$4001&lt;$AR1968))+1,"")</f>
        <v/>
      </c>
      <c r="AP1968">
        <f>IF($E1968="","",IF(OR($U1968=TRUE(),$U1968="TRUE"),1,0))</f>
        <v/>
      </c>
      <c r="AQ1968">
        <f>IF($E1968="","",IF($AA1968="Yes",1,0))</f>
        <v/>
      </c>
      <c r="AR1968">
        <f>IF($AN1968=1,IFERROR(VALUE(MID($E1968,2,20)),1000000000)+ROW()/100000,"")</f>
        <v/>
      </c>
    </row>
    <row r="1969">
      <c r="G1969" s="11" t="n"/>
      <c r="Q1969" s="7">
        <f>IF($E1969="","",P1969*Y1969/100)</f>
        <v/>
      </c>
      <c r="R1969" s="7" t="n"/>
      <c r="X1969" s="7" t="n"/>
      <c r="Y1969" s="7" t="n"/>
      <c r="AB1969">
        <f>IF($E1969="","",IF($AQ1969=1,0,IF($AP1969=1,Settings!$C$6,Settings!$C$7))*100)</f>
        <v/>
      </c>
      <c r="AC1969" s="7">
        <f>IF($E1969="","",Y1969*AB1969/100)</f>
        <v/>
      </c>
      <c r="AD1969" s="7">
        <f>IF($E1969="","",Y1969-AC1969)</f>
        <v/>
      </c>
      <c r="AE1969" s="7">
        <f>IF($E1969="","",AD1969-Q1969)</f>
        <v/>
      </c>
      <c r="AI1969" s="7" t="n"/>
      <c r="AL1969" s="11" t="n"/>
      <c r="AN1969">
        <f>IF($E1969="","",IF(COUNTIF($E$2:$E1969,$E1969)=1,1,0))</f>
        <v/>
      </c>
      <c r="AO1969">
        <f>IF($AN1969=1,SUMPRODUCT(--($AR$2:$AR$4001&lt;$AR1969))+1,"")</f>
        <v/>
      </c>
      <c r="AP1969">
        <f>IF($E1969="","",IF(OR($U1969=TRUE(),$U1969="TRUE"),1,0))</f>
        <v/>
      </c>
      <c r="AQ1969">
        <f>IF($E1969="","",IF($AA1969="Yes",1,0))</f>
        <v/>
      </c>
      <c r="AR1969">
        <f>IF($AN1969=1,IFERROR(VALUE(MID($E1969,2,20)),1000000000)+ROW()/100000,"")</f>
        <v/>
      </c>
    </row>
    <row r="1970">
      <c r="G1970" s="11" t="n"/>
      <c r="Q1970" s="7">
        <f>IF($E1970="","",P1970*Y1970/100)</f>
        <v/>
      </c>
      <c r="R1970" s="7" t="n"/>
      <c r="X1970" s="7" t="n"/>
      <c r="Y1970" s="7" t="n"/>
      <c r="AB1970">
        <f>IF($E1970="","",IF($AQ1970=1,0,IF($AP1970=1,Settings!$C$6,Settings!$C$7))*100)</f>
        <v/>
      </c>
      <c r="AC1970" s="7">
        <f>IF($E1970="","",Y1970*AB1970/100)</f>
        <v/>
      </c>
      <c r="AD1970" s="7">
        <f>IF($E1970="","",Y1970-AC1970)</f>
        <v/>
      </c>
      <c r="AE1970" s="7">
        <f>IF($E1970="","",AD1970-Q1970)</f>
        <v/>
      </c>
      <c r="AI1970" s="7" t="n"/>
      <c r="AL1970" s="11" t="n"/>
      <c r="AN1970">
        <f>IF($E1970="","",IF(COUNTIF($E$2:$E1970,$E1970)=1,1,0))</f>
        <v/>
      </c>
      <c r="AO1970">
        <f>IF($AN1970=1,SUMPRODUCT(--($AR$2:$AR$4001&lt;$AR1970))+1,"")</f>
        <v/>
      </c>
      <c r="AP1970">
        <f>IF($E1970="","",IF(OR($U1970=TRUE(),$U1970="TRUE"),1,0))</f>
        <v/>
      </c>
      <c r="AQ1970">
        <f>IF($E1970="","",IF($AA1970="Yes",1,0))</f>
        <v/>
      </c>
      <c r="AR1970">
        <f>IF($AN1970=1,IFERROR(VALUE(MID($E1970,2,20)),1000000000)+ROW()/100000,"")</f>
        <v/>
      </c>
    </row>
    <row r="1971">
      <c r="G1971" s="11" t="n"/>
      <c r="Q1971" s="7">
        <f>IF($E1971="","",P1971*Y1971/100)</f>
        <v/>
      </c>
      <c r="R1971" s="7" t="n"/>
      <c r="X1971" s="7" t="n"/>
      <c r="Y1971" s="7" t="n"/>
      <c r="AB1971">
        <f>IF($E1971="","",IF($AQ1971=1,0,IF($AP1971=1,Settings!$C$6,Settings!$C$7))*100)</f>
        <v/>
      </c>
      <c r="AC1971" s="7">
        <f>IF($E1971="","",Y1971*AB1971/100)</f>
        <v/>
      </c>
      <c r="AD1971" s="7">
        <f>IF($E1971="","",Y1971-AC1971)</f>
        <v/>
      </c>
      <c r="AE1971" s="7">
        <f>IF($E1971="","",AD1971-Q1971)</f>
        <v/>
      </c>
      <c r="AI1971" s="7" t="n"/>
      <c r="AL1971" s="11" t="n"/>
      <c r="AN1971">
        <f>IF($E1971="","",IF(COUNTIF($E$2:$E1971,$E1971)=1,1,0))</f>
        <v/>
      </c>
      <c r="AO1971">
        <f>IF($AN1971=1,SUMPRODUCT(--($AR$2:$AR$4001&lt;$AR1971))+1,"")</f>
        <v/>
      </c>
      <c r="AP1971">
        <f>IF($E1971="","",IF(OR($U1971=TRUE(),$U1971="TRUE"),1,0))</f>
        <v/>
      </c>
      <c r="AQ1971">
        <f>IF($E1971="","",IF($AA1971="Yes",1,0))</f>
        <v/>
      </c>
      <c r="AR1971">
        <f>IF($AN1971=1,IFERROR(VALUE(MID($E1971,2,20)),1000000000)+ROW()/100000,"")</f>
        <v/>
      </c>
    </row>
    <row r="1972">
      <c r="G1972" s="11" t="n"/>
      <c r="Q1972" s="7">
        <f>IF($E1972="","",P1972*Y1972/100)</f>
        <v/>
      </c>
      <c r="R1972" s="7" t="n"/>
      <c r="X1972" s="7" t="n"/>
      <c r="Y1972" s="7" t="n"/>
      <c r="AB1972">
        <f>IF($E1972="","",IF($AQ1972=1,0,IF($AP1972=1,Settings!$C$6,Settings!$C$7))*100)</f>
        <v/>
      </c>
      <c r="AC1972" s="7">
        <f>IF($E1972="","",Y1972*AB1972/100)</f>
        <v/>
      </c>
      <c r="AD1972" s="7">
        <f>IF($E1972="","",Y1972-AC1972)</f>
        <v/>
      </c>
      <c r="AE1972" s="7">
        <f>IF($E1972="","",AD1972-Q1972)</f>
        <v/>
      </c>
      <c r="AI1972" s="7" t="n"/>
      <c r="AL1972" s="11" t="n"/>
      <c r="AN1972">
        <f>IF($E1972="","",IF(COUNTIF($E$2:$E1972,$E1972)=1,1,0))</f>
        <v/>
      </c>
      <c r="AO1972">
        <f>IF($AN1972=1,SUMPRODUCT(--($AR$2:$AR$4001&lt;$AR1972))+1,"")</f>
        <v/>
      </c>
      <c r="AP1972">
        <f>IF($E1972="","",IF(OR($U1972=TRUE(),$U1972="TRUE"),1,0))</f>
        <v/>
      </c>
      <c r="AQ1972">
        <f>IF($E1972="","",IF($AA1972="Yes",1,0))</f>
        <v/>
      </c>
      <c r="AR1972">
        <f>IF($AN1972=1,IFERROR(VALUE(MID($E1972,2,20)),1000000000)+ROW()/100000,"")</f>
        <v/>
      </c>
    </row>
    <row r="1973">
      <c r="G1973" s="11" t="n"/>
      <c r="Q1973" s="7">
        <f>IF($E1973="","",P1973*Y1973/100)</f>
        <v/>
      </c>
      <c r="R1973" s="7" t="n"/>
      <c r="X1973" s="7" t="n"/>
      <c r="Y1973" s="7" t="n"/>
      <c r="AB1973">
        <f>IF($E1973="","",IF($AQ1973=1,0,IF($AP1973=1,Settings!$C$6,Settings!$C$7))*100)</f>
        <v/>
      </c>
      <c r="AC1973" s="7">
        <f>IF($E1973="","",Y1973*AB1973/100)</f>
        <v/>
      </c>
      <c r="AD1973" s="7">
        <f>IF($E1973="","",Y1973-AC1973)</f>
        <v/>
      </c>
      <c r="AE1973" s="7">
        <f>IF($E1973="","",AD1973-Q1973)</f>
        <v/>
      </c>
      <c r="AI1973" s="7" t="n"/>
      <c r="AL1973" s="11" t="n"/>
      <c r="AN1973">
        <f>IF($E1973="","",IF(COUNTIF($E$2:$E1973,$E1973)=1,1,0))</f>
        <v/>
      </c>
      <c r="AO1973">
        <f>IF($AN1973=1,SUMPRODUCT(--($AR$2:$AR$4001&lt;$AR1973))+1,"")</f>
        <v/>
      </c>
      <c r="AP1973">
        <f>IF($E1973="","",IF(OR($U1973=TRUE(),$U1973="TRUE"),1,0))</f>
        <v/>
      </c>
      <c r="AQ1973">
        <f>IF($E1973="","",IF($AA1973="Yes",1,0))</f>
        <v/>
      </c>
      <c r="AR1973">
        <f>IF($AN1973=1,IFERROR(VALUE(MID($E1973,2,20)),1000000000)+ROW()/100000,"")</f>
        <v/>
      </c>
    </row>
    <row r="1974">
      <c r="G1974" s="11" t="n"/>
      <c r="Q1974" s="7">
        <f>IF($E1974="","",P1974*Y1974/100)</f>
        <v/>
      </c>
      <c r="R1974" s="7" t="n"/>
      <c r="X1974" s="7" t="n"/>
      <c r="Y1974" s="7" t="n"/>
      <c r="AB1974">
        <f>IF($E1974="","",IF($AQ1974=1,0,IF($AP1974=1,Settings!$C$6,Settings!$C$7))*100)</f>
        <v/>
      </c>
      <c r="AC1974" s="7">
        <f>IF($E1974="","",Y1974*AB1974/100)</f>
        <v/>
      </c>
      <c r="AD1974" s="7">
        <f>IF($E1974="","",Y1974-AC1974)</f>
        <v/>
      </c>
      <c r="AE1974" s="7">
        <f>IF($E1974="","",AD1974-Q1974)</f>
        <v/>
      </c>
      <c r="AI1974" s="7" t="n"/>
      <c r="AL1974" s="11" t="n"/>
      <c r="AN1974">
        <f>IF($E1974="","",IF(COUNTIF($E$2:$E1974,$E1974)=1,1,0))</f>
        <v/>
      </c>
      <c r="AO1974">
        <f>IF($AN1974=1,SUMPRODUCT(--($AR$2:$AR$4001&lt;$AR1974))+1,"")</f>
        <v/>
      </c>
      <c r="AP1974">
        <f>IF($E1974="","",IF(OR($U1974=TRUE(),$U1974="TRUE"),1,0))</f>
        <v/>
      </c>
      <c r="AQ1974">
        <f>IF($E1974="","",IF($AA1974="Yes",1,0))</f>
        <v/>
      </c>
      <c r="AR1974">
        <f>IF($AN1974=1,IFERROR(VALUE(MID($E1974,2,20)),1000000000)+ROW()/100000,"")</f>
        <v/>
      </c>
    </row>
    <row r="1975">
      <c r="G1975" s="11" t="n"/>
      <c r="Q1975" s="7">
        <f>IF($E1975="","",P1975*Y1975/100)</f>
        <v/>
      </c>
      <c r="R1975" s="7" t="n"/>
      <c r="X1975" s="7" t="n"/>
      <c r="Y1975" s="7" t="n"/>
      <c r="AB1975">
        <f>IF($E1975="","",IF($AQ1975=1,0,IF($AP1975=1,Settings!$C$6,Settings!$C$7))*100)</f>
        <v/>
      </c>
      <c r="AC1975" s="7">
        <f>IF($E1975="","",Y1975*AB1975/100)</f>
        <v/>
      </c>
      <c r="AD1975" s="7">
        <f>IF($E1975="","",Y1975-AC1975)</f>
        <v/>
      </c>
      <c r="AE1975" s="7">
        <f>IF($E1975="","",AD1975-Q1975)</f>
        <v/>
      </c>
      <c r="AI1975" s="7" t="n"/>
      <c r="AL1975" s="11" t="n"/>
      <c r="AN1975">
        <f>IF($E1975="","",IF(COUNTIF($E$2:$E1975,$E1975)=1,1,0))</f>
        <v/>
      </c>
      <c r="AO1975">
        <f>IF($AN1975=1,SUMPRODUCT(--($AR$2:$AR$4001&lt;$AR1975))+1,"")</f>
        <v/>
      </c>
      <c r="AP1975">
        <f>IF($E1975="","",IF(OR($U1975=TRUE(),$U1975="TRUE"),1,0))</f>
        <v/>
      </c>
      <c r="AQ1975">
        <f>IF($E1975="","",IF($AA1975="Yes",1,0))</f>
        <v/>
      </c>
      <c r="AR1975">
        <f>IF($AN1975=1,IFERROR(VALUE(MID($E1975,2,20)),1000000000)+ROW()/100000,"")</f>
        <v/>
      </c>
    </row>
    <row r="1976">
      <c r="G1976" s="11" t="n"/>
      <c r="Q1976" s="7">
        <f>IF($E1976="","",P1976*Y1976/100)</f>
        <v/>
      </c>
      <c r="R1976" s="7" t="n"/>
      <c r="X1976" s="7" t="n"/>
      <c r="Y1976" s="7" t="n"/>
      <c r="AB1976">
        <f>IF($E1976="","",IF($AQ1976=1,0,IF($AP1976=1,Settings!$C$6,Settings!$C$7))*100)</f>
        <v/>
      </c>
      <c r="AC1976" s="7">
        <f>IF($E1976="","",Y1976*AB1976/100)</f>
        <v/>
      </c>
      <c r="AD1976" s="7">
        <f>IF($E1976="","",Y1976-AC1976)</f>
        <v/>
      </c>
      <c r="AE1976" s="7">
        <f>IF($E1976="","",AD1976-Q1976)</f>
        <v/>
      </c>
      <c r="AI1976" s="7" t="n"/>
      <c r="AL1976" s="11" t="n"/>
      <c r="AN1976">
        <f>IF($E1976="","",IF(COUNTIF($E$2:$E1976,$E1976)=1,1,0))</f>
        <v/>
      </c>
      <c r="AO1976">
        <f>IF($AN1976=1,SUMPRODUCT(--($AR$2:$AR$4001&lt;$AR1976))+1,"")</f>
        <v/>
      </c>
      <c r="AP1976">
        <f>IF($E1976="","",IF(OR($U1976=TRUE(),$U1976="TRUE"),1,0))</f>
        <v/>
      </c>
      <c r="AQ1976">
        <f>IF($E1976="","",IF($AA1976="Yes",1,0))</f>
        <v/>
      </c>
      <c r="AR1976">
        <f>IF($AN1976=1,IFERROR(VALUE(MID($E1976,2,20)),1000000000)+ROW()/100000,"")</f>
        <v/>
      </c>
    </row>
    <row r="1977">
      <c r="G1977" s="11" t="n"/>
      <c r="Q1977" s="7">
        <f>IF($E1977="","",P1977*Y1977/100)</f>
        <v/>
      </c>
      <c r="R1977" s="7" t="n"/>
      <c r="X1977" s="7" t="n"/>
      <c r="Y1977" s="7" t="n"/>
      <c r="AB1977">
        <f>IF($E1977="","",IF($AQ1977=1,0,IF($AP1977=1,Settings!$C$6,Settings!$C$7))*100)</f>
        <v/>
      </c>
      <c r="AC1977" s="7">
        <f>IF($E1977="","",Y1977*AB1977/100)</f>
        <v/>
      </c>
      <c r="AD1977" s="7">
        <f>IF($E1977="","",Y1977-AC1977)</f>
        <v/>
      </c>
      <c r="AE1977" s="7">
        <f>IF($E1977="","",AD1977-Q1977)</f>
        <v/>
      </c>
      <c r="AI1977" s="7" t="n"/>
      <c r="AL1977" s="11" t="n"/>
      <c r="AN1977">
        <f>IF($E1977="","",IF(COUNTIF($E$2:$E1977,$E1977)=1,1,0))</f>
        <v/>
      </c>
      <c r="AO1977">
        <f>IF($AN1977=1,SUMPRODUCT(--($AR$2:$AR$4001&lt;$AR1977))+1,"")</f>
        <v/>
      </c>
      <c r="AP1977">
        <f>IF($E1977="","",IF(OR($U1977=TRUE(),$U1977="TRUE"),1,0))</f>
        <v/>
      </c>
      <c r="AQ1977">
        <f>IF($E1977="","",IF($AA1977="Yes",1,0))</f>
        <v/>
      </c>
      <c r="AR1977">
        <f>IF($AN1977=1,IFERROR(VALUE(MID($E1977,2,20)),1000000000)+ROW()/100000,"")</f>
        <v/>
      </c>
    </row>
    <row r="1978">
      <c r="G1978" s="11" t="n"/>
      <c r="Q1978" s="7">
        <f>IF($E1978="","",P1978*Y1978/100)</f>
        <v/>
      </c>
      <c r="R1978" s="7" t="n"/>
      <c r="X1978" s="7" t="n"/>
      <c r="Y1978" s="7" t="n"/>
      <c r="AB1978">
        <f>IF($E1978="","",IF($AQ1978=1,0,IF($AP1978=1,Settings!$C$6,Settings!$C$7))*100)</f>
        <v/>
      </c>
      <c r="AC1978" s="7">
        <f>IF($E1978="","",Y1978*AB1978/100)</f>
        <v/>
      </c>
      <c r="AD1978" s="7">
        <f>IF($E1978="","",Y1978-AC1978)</f>
        <v/>
      </c>
      <c r="AE1978" s="7">
        <f>IF($E1978="","",AD1978-Q1978)</f>
        <v/>
      </c>
      <c r="AI1978" s="7" t="n"/>
      <c r="AL1978" s="11" t="n"/>
      <c r="AN1978">
        <f>IF($E1978="","",IF(COUNTIF($E$2:$E1978,$E1978)=1,1,0))</f>
        <v/>
      </c>
      <c r="AO1978">
        <f>IF($AN1978=1,SUMPRODUCT(--($AR$2:$AR$4001&lt;$AR1978))+1,"")</f>
        <v/>
      </c>
      <c r="AP1978">
        <f>IF($E1978="","",IF(OR($U1978=TRUE(),$U1978="TRUE"),1,0))</f>
        <v/>
      </c>
      <c r="AQ1978">
        <f>IF($E1978="","",IF($AA1978="Yes",1,0))</f>
        <v/>
      </c>
      <c r="AR1978">
        <f>IF($AN1978=1,IFERROR(VALUE(MID($E1978,2,20)),1000000000)+ROW()/100000,"")</f>
        <v/>
      </c>
    </row>
    <row r="1979">
      <c r="G1979" s="11" t="n"/>
      <c r="Q1979" s="7">
        <f>IF($E1979="","",P1979*Y1979/100)</f>
        <v/>
      </c>
      <c r="R1979" s="7" t="n"/>
      <c r="X1979" s="7" t="n"/>
      <c r="Y1979" s="7" t="n"/>
      <c r="AB1979">
        <f>IF($E1979="","",IF($AQ1979=1,0,IF($AP1979=1,Settings!$C$6,Settings!$C$7))*100)</f>
        <v/>
      </c>
      <c r="AC1979" s="7">
        <f>IF($E1979="","",Y1979*AB1979/100)</f>
        <v/>
      </c>
      <c r="AD1979" s="7">
        <f>IF($E1979="","",Y1979-AC1979)</f>
        <v/>
      </c>
      <c r="AE1979" s="7">
        <f>IF($E1979="","",AD1979-Q1979)</f>
        <v/>
      </c>
      <c r="AI1979" s="7" t="n"/>
      <c r="AL1979" s="11" t="n"/>
      <c r="AN1979">
        <f>IF($E1979="","",IF(COUNTIF($E$2:$E1979,$E1979)=1,1,0))</f>
        <v/>
      </c>
      <c r="AO1979">
        <f>IF($AN1979=1,SUMPRODUCT(--($AR$2:$AR$4001&lt;$AR1979))+1,"")</f>
        <v/>
      </c>
      <c r="AP1979">
        <f>IF($E1979="","",IF(OR($U1979=TRUE(),$U1979="TRUE"),1,0))</f>
        <v/>
      </c>
      <c r="AQ1979">
        <f>IF($E1979="","",IF($AA1979="Yes",1,0))</f>
        <v/>
      </c>
      <c r="AR1979">
        <f>IF($AN1979=1,IFERROR(VALUE(MID($E1979,2,20)),1000000000)+ROW()/100000,"")</f>
        <v/>
      </c>
    </row>
    <row r="1980">
      <c r="G1980" s="11" t="n"/>
      <c r="Q1980" s="7">
        <f>IF($E1980="","",P1980*Y1980/100)</f>
        <v/>
      </c>
      <c r="R1980" s="7" t="n"/>
      <c r="X1980" s="7" t="n"/>
      <c r="Y1980" s="7" t="n"/>
      <c r="AB1980">
        <f>IF($E1980="","",IF($AQ1980=1,0,IF($AP1980=1,Settings!$C$6,Settings!$C$7))*100)</f>
        <v/>
      </c>
      <c r="AC1980" s="7">
        <f>IF($E1980="","",Y1980*AB1980/100)</f>
        <v/>
      </c>
      <c r="AD1980" s="7">
        <f>IF($E1980="","",Y1980-AC1980)</f>
        <v/>
      </c>
      <c r="AE1980" s="7">
        <f>IF($E1980="","",AD1980-Q1980)</f>
        <v/>
      </c>
      <c r="AI1980" s="7" t="n"/>
      <c r="AL1980" s="11" t="n"/>
      <c r="AN1980">
        <f>IF($E1980="","",IF(COUNTIF($E$2:$E1980,$E1980)=1,1,0))</f>
        <v/>
      </c>
      <c r="AO1980">
        <f>IF($AN1980=1,SUMPRODUCT(--($AR$2:$AR$4001&lt;$AR1980))+1,"")</f>
        <v/>
      </c>
      <c r="AP1980">
        <f>IF($E1980="","",IF(OR($U1980=TRUE(),$U1980="TRUE"),1,0))</f>
        <v/>
      </c>
      <c r="AQ1980">
        <f>IF($E1980="","",IF($AA1980="Yes",1,0))</f>
        <v/>
      </c>
      <c r="AR1980">
        <f>IF($AN1980=1,IFERROR(VALUE(MID($E1980,2,20)),1000000000)+ROW()/100000,"")</f>
        <v/>
      </c>
    </row>
    <row r="1981">
      <c r="G1981" s="11" t="n"/>
      <c r="Q1981" s="7">
        <f>IF($E1981="","",P1981*Y1981/100)</f>
        <v/>
      </c>
      <c r="R1981" s="7" t="n"/>
      <c r="X1981" s="7" t="n"/>
      <c r="Y1981" s="7" t="n"/>
      <c r="AB1981">
        <f>IF($E1981="","",IF($AQ1981=1,0,IF($AP1981=1,Settings!$C$6,Settings!$C$7))*100)</f>
        <v/>
      </c>
      <c r="AC1981" s="7">
        <f>IF($E1981="","",Y1981*AB1981/100)</f>
        <v/>
      </c>
      <c r="AD1981" s="7">
        <f>IF($E1981="","",Y1981-AC1981)</f>
        <v/>
      </c>
      <c r="AE1981" s="7">
        <f>IF($E1981="","",AD1981-Q1981)</f>
        <v/>
      </c>
      <c r="AI1981" s="7" t="n"/>
      <c r="AL1981" s="11" t="n"/>
      <c r="AN1981">
        <f>IF($E1981="","",IF(COUNTIF($E$2:$E1981,$E1981)=1,1,0))</f>
        <v/>
      </c>
      <c r="AO1981">
        <f>IF($AN1981=1,SUMPRODUCT(--($AR$2:$AR$4001&lt;$AR1981))+1,"")</f>
        <v/>
      </c>
      <c r="AP1981">
        <f>IF($E1981="","",IF(OR($U1981=TRUE(),$U1981="TRUE"),1,0))</f>
        <v/>
      </c>
      <c r="AQ1981">
        <f>IF($E1981="","",IF($AA1981="Yes",1,0))</f>
        <v/>
      </c>
      <c r="AR1981">
        <f>IF($AN1981=1,IFERROR(VALUE(MID($E1981,2,20)),1000000000)+ROW()/100000,"")</f>
        <v/>
      </c>
    </row>
    <row r="1982">
      <c r="G1982" s="11" t="n"/>
      <c r="Q1982" s="7">
        <f>IF($E1982="","",P1982*Y1982/100)</f>
        <v/>
      </c>
      <c r="R1982" s="7" t="n"/>
      <c r="X1982" s="7" t="n"/>
      <c r="Y1982" s="7" t="n"/>
      <c r="AB1982">
        <f>IF($E1982="","",IF($AQ1982=1,0,IF($AP1982=1,Settings!$C$6,Settings!$C$7))*100)</f>
        <v/>
      </c>
      <c r="AC1982" s="7">
        <f>IF($E1982="","",Y1982*AB1982/100)</f>
        <v/>
      </c>
      <c r="AD1982" s="7">
        <f>IF($E1982="","",Y1982-AC1982)</f>
        <v/>
      </c>
      <c r="AE1982" s="7">
        <f>IF($E1982="","",AD1982-Q1982)</f>
        <v/>
      </c>
      <c r="AI1982" s="7" t="n"/>
      <c r="AL1982" s="11" t="n"/>
      <c r="AN1982">
        <f>IF($E1982="","",IF(COUNTIF($E$2:$E1982,$E1982)=1,1,0))</f>
        <v/>
      </c>
      <c r="AO1982">
        <f>IF($AN1982=1,SUMPRODUCT(--($AR$2:$AR$4001&lt;$AR1982))+1,"")</f>
        <v/>
      </c>
      <c r="AP1982">
        <f>IF($E1982="","",IF(OR($U1982=TRUE(),$U1982="TRUE"),1,0))</f>
        <v/>
      </c>
      <c r="AQ1982">
        <f>IF($E1982="","",IF($AA1982="Yes",1,0))</f>
        <v/>
      </c>
      <c r="AR1982">
        <f>IF($AN1982=1,IFERROR(VALUE(MID($E1982,2,20)),1000000000)+ROW()/100000,"")</f>
        <v/>
      </c>
    </row>
    <row r="1983">
      <c r="G1983" s="11" t="n"/>
      <c r="Q1983" s="7">
        <f>IF($E1983="","",P1983*Y1983/100)</f>
        <v/>
      </c>
      <c r="R1983" s="7" t="n"/>
      <c r="X1983" s="7" t="n"/>
      <c r="Y1983" s="7" t="n"/>
      <c r="AB1983">
        <f>IF($E1983="","",IF($AQ1983=1,0,IF($AP1983=1,Settings!$C$6,Settings!$C$7))*100)</f>
        <v/>
      </c>
      <c r="AC1983" s="7">
        <f>IF($E1983="","",Y1983*AB1983/100)</f>
        <v/>
      </c>
      <c r="AD1983" s="7">
        <f>IF($E1983="","",Y1983-AC1983)</f>
        <v/>
      </c>
      <c r="AE1983" s="7">
        <f>IF($E1983="","",AD1983-Q1983)</f>
        <v/>
      </c>
      <c r="AI1983" s="7" t="n"/>
      <c r="AL1983" s="11" t="n"/>
      <c r="AN1983">
        <f>IF($E1983="","",IF(COUNTIF($E$2:$E1983,$E1983)=1,1,0))</f>
        <v/>
      </c>
      <c r="AO1983">
        <f>IF($AN1983=1,SUMPRODUCT(--($AR$2:$AR$4001&lt;$AR1983))+1,"")</f>
        <v/>
      </c>
      <c r="AP1983">
        <f>IF($E1983="","",IF(OR($U1983=TRUE(),$U1983="TRUE"),1,0))</f>
        <v/>
      </c>
      <c r="AQ1983">
        <f>IF($E1983="","",IF($AA1983="Yes",1,0))</f>
        <v/>
      </c>
      <c r="AR1983">
        <f>IF($AN1983=1,IFERROR(VALUE(MID($E1983,2,20)),1000000000)+ROW()/100000,"")</f>
        <v/>
      </c>
    </row>
    <row r="1984">
      <c r="G1984" s="11" t="n"/>
      <c r="Q1984" s="7">
        <f>IF($E1984="","",P1984*Y1984/100)</f>
        <v/>
      </c>
      <c r="R1984" s="7" t="n"/>
      <c r="X1984" s="7" t="n"/>
      <c r="Y1984" s="7" t="n"/>
      <c r="AB1984">
        <f>IF($E1984="","",IF($AQ1984=1,0,IF($AP1984=1,Settings!$C$6,Settings!$C$7))*100)</f>
        <v/>
      </c>
      <c r="AC1984" s="7">
        <f>IF($E1984="","",Y1984*AB1984/100)</f>
        <v/>
      </c>
      <c r="AD1984" s="7">
        <f>IF($E1984="","",Y1984-AC1984)</f>
        <v/>
      </c>
      <c r="AE1984" s="7">
        <f>IF($E1984="","",AD1984-Q1984)</f>
        <v/>
      </c>
      <c r="AI1984" s="7" t="n"/>
      <c r="AL1984" s="11" t="n"/>
      <c r="AN1984">
        <f>IF($E1984="","",IF(COUNTIF($E$2:$E1984,$E1984)=1,1,0))</f>
        <v/>
      </c>
      <c r="AO1984">
        <f>IF($AN1984=1,SUMPRODUCT(--($AR$2:$AR$4001&lt;$AR1984))+1,"")</f>
        <v/>
      </c>
      <c r="AP1984">
        <f>IF($E1984="","",IF(OR($U1984=TRUE(),$U1984="TRUE"),1,0))</f>
        <v/>
      </c>
      <c r="AQ1984">
        <f>IF($E1984="","",IF($AA1984="Yes",1,0))</f>
        <v/>
      </c>
      <c r="AR1984">
        <f>IF($AN1984=1,IFERROR(VALUE(MID($E1984,2,20)),1000000000)+ROW()/100000,"")</f>
        <v/>
      </c>
    </row>
    <row r="1985">
      <c r="G1985" s="11" t="n"/>
      <c r="Q1985" s="7">
        <f>IF($E1985="","",P1985*Y1985/100)</f>
        <v/>
      </c>
      <c r="R1985" s="7" t="n"/>
      <c r="X1985" s="7" t="n"/>
      <c r="Y1985" s="7" t="n"/>
      <c r="AB1985">
        <f>IF($E1985="","",IF($AQ1985=1,0,IF($AP1985=1,Settings!$C$6,Settings!$C$7))*100)</f>
        <v/>
      </c>
      <c r="AC1985" s="7">
        <f>IF($E1985="","",Y1985*AB1985/100)</f>
        <v/>
      </c>
      <c r="AD1985" s="7">
        <f>IF($E1985="","",Y1985-AC1985)</f>
        <v/>
      </c>
      <c r="AE1985" s="7">
        <f>IF($E1985="","",AD1985-Q1985)</f>
        <v/>
      </c>
      <c r="AI1985" s="7" t="n"/>
      <c r="AL1985" s="11" t="n"/>
      <c r="AN1985">
        <f>IF($E1985="","",IF(COUNTIF($E$2:$E1985,$E1985)=1,1,0))</f>
        <v/>
      </c>
      <c r="AO1985">
        <f>IF($AN1985=1,SUMPRODUCT(--($AR$2:$AR$4001&lt;$AR1985))+1,"")</f>
        <v/>
      </c>
      <c r="AP1985">
        <f>IF($E1985="","",IF(OR($U1985=TRUE(),$U1985="TRUE"),1,0))</f>
        <v/>
      </c>
      <c r="AQ1985">
        <f>IF($E1985="","",IF($AA1985="Yes",1,0))</f>
        <v/>
      </c>
      <c r="AR1985">
        <f>IF($AN1985=1,IFERROR(VALUE(MID($E1985,2,20)),1000000000)+ROW()/100000,"")</f>
        <v/>
      </c>
    </row>
    <row r="1986">
      <c r="G1986" s="11" t="n"/>
      <c r="Q1986" s="7">
        <f>IF($E1986="","",P1986*Y1986/100)</f>
        <v/>
      </c>
      <c r="R1986" s="7" t="n"/>
      <c r="X1986" s="7" t="n"/>
      <c r="Y1986" s="7" t="n"/>
      <c r="AB1986">
        <f>IF($E1986="","",IF($AQ1986=1,0,IF($AP1986=1,Settings!$C$6,Settings!$C$7))*100)</f>
        <v/>
      </c>
      <c r="AC1986" s="7">
        <f>IF($E1986="","",Y1986*AB1986/100)</f>
        <v/>
      </c>
      <c r="AD1986" s="7">
        <f>IF($E1986="","",Y1986-AC1986)</f>
        <v/>
      </c>
      <c r="AE1986" s="7">
        <f>IF($E1986="","",AD1986-Q1986)</f>
        <v/>
      </c>
      <c r="AI1986" s="7" t="n"/>
      <c r="AL1986" s="11" t="n"/>
      <c r="AN1986">
        <f>IF($E1986="","",IF(COUNTIF($E$2:$E1986,$E1986)=1,1,0))</f>
        <v/>
      </c>
      <c r="AO1986">
        <f>IF($AN1986=1,SUMPRODUCT(--($AR$2:$AR$4001&lt;$AR1986))+1,"")</f>
        <v/>
      </c>
      <c r="AP1986">
        <f>IF($E1986="","",IF(OR($U1986=TRUE(),$U1986="TRUE"),1,0))</f>
        <v/>
      </c>
      <c r="AQ1986">
        <f>IF($E1986="","",IF($AA1986="Yes",1,0))</f>
        <v/>
      </c>
      <c r="AR1986">
        <f>IF($AN1986=1,IFERROR(VALUE(MID($E1986,2,20)),1000000000)+ROW()/100000,"")</f>
        <v/>
      </c>
    </row>
    <row r="1987">
      <c r="G1987" s="11" t="n"/>
      <c r="Q1987" s="7">
        <f>IF($E1987="","",P1987*Y1987/100)</f>
        <v/>
      </c>
      <c r="R1987" s="7" t="n"/>
      <c r="X1987" s="7" t="n"/>
      <c r="Y1987" s="7" t="n"/>
      <c r="AB1987">
        <f>IF($E1987="","",IF($AQ1987=1,0,IF($AP1987=1,Settings!$C$6,Settings!$C$7))*100)</f>
        <v/>
      </c>
      <c r="AC1987" s="7">
        <f>IF($E1987="","",Y1987*AB1987/100)</f>
        <v/>
      </c>
      <c r="AD1987" s="7">
        <f>IF($E1987="","",Y1987-AC1987)</f>
        <v/>
      </c>
      <c r="AE1987" s="7">
        <f>IF($E1987="","",AD1987-Q1987)</f>
        <v/>
      </c>
      <c r="AI1987" s="7" t="n"/>
      <c r="AL1987" s="11" t="n"/>
      <c r="AN1987">
        <f>IF($E1987="","",IF(COUNTIF($E$2:$E1987,$E1987)=1,1,0))</f>
        <v/>
      </c>
      <c r="AO1987">
        <f>IF($AN1987=1,SUMPRODUCT(--($AR$2:$AR$4001&lt;$AR1987))+1,"")</f>
        <v/>
      </c>
      <c r="AP1987">
        <f>IF($E1987="","",IF(OR($U1987=TRUE(),$U1987="TRUE"),1,0))</f>
        <v/>
      </c>
      <c r="AQ1987">
        <f>IF($E1987="","",IF($AA1987="Yes",1,0))</f>
        <v/>
      </c>
      <c r="AR1987">
        <f>IF($AN1987=1,IFERROR(VALUE(MID($E1987,2,20)),1000000000)+ROW()/100000,"")</f>
        <v/>
      </c>
    </row>
    <row r="1988">
      <c r="G1988" s="11" t="n"/>
      <c r="Q1988" s="7">
        <f>IF($E1988="","",P1988*Y1988/100)</f>
        <v/>
      </c>
      <c r="R1988" s="7" t="n"/>
      <c r="X1988" s="7" t="n"/>
      <c r="Y1988" s="7" t="n"/>
      <c r="AB1988">
        <f>IF($E1988="","",IF($AQ1988=1,0,IF($AP1988=1,Settings!$C$6,Settings!$C$7))*100)</f>
        <v/>
      </c>
      <c r="AC1988" s="7">
        <f>IF($E1988="","",Y1988*AB1988/100)</f>
        <v/>
      </c>
      <c r="AD1988" s="7">
        <f>IF($E1988="","",Y1988-AC1988)</f>
        <v/>
      </c>
      <c r="AE1988" s="7">
        <f>IF($E1988="","",AD1988-Q1988)</f>
        <v/>
      </c>
      <c r="AI1988" s="7" t="n"/>
      <c r="AL1988" s="11" t="n"/>
      <c r="AN1988">
        <f>IF($E1988="","",IF(COUNTIF($E$2:$E1988,$E1988)=1,1,0))</f>
        <v/>
      </c>
      <c r="AO1988">
        <f>IF($AN1988=1,SUMPRODUCT(--($AR$2:$AR$4001&lt;$AR1988))+1,"")</f>
        <v/>
      </c>
      <c r="AP1988">
        <f>IF($E1988="","",IF(OR($U1988=TRUE(),$U1988="TRUE"),1,0))</f>
        <v/>
      </c>
      <c r="AQ1988">
        <f>IF($E1988="","",IF($AA1988="Yes",1,0))</f>
        <v/>
      </c>
      <c r="AR1988">
        <f>IF($AN1988=1,IFERROR(VALUE(MID($E1988,2,20)),1000000000)+ROW()/100000,"")</f>
        <v/>
      </c>
    </row>
    <row r="1989">
      <c r="G1989" s="11" t="n"/>
      <c r="Q1989" s="7">
        <f>IF($E1989="","",P1989*Y1989/100)</f>
        <v/>
      </c>
      <c r="R1989" s="7" t="n"/>
      <c r="X1989" s="7" t="n"/>
      <c r="Y1989" s="7" t="n"/>
      <c r="AB1989">
        <f>IF($E1989="","",IF($AQ1989=1,0,IF($AP1989=1,Settings!$C$6,Settings!$C$7))*100)</f>
        <v/>
      </c>
      <c r="AC1989" s="7">
        <f>IF($E1989="","",Y1989*AB1989/100)</f>
        <v/>
      </c>
      <c r="AD1989" s="7">
        <f>IF($E1989="","",Y1989-AC1989)</f>
        <v/>
      </c>
      <c r="AE1989" s="7">
        <f>IF($E1989="","",AD1989-Q1989)</f>
        <v/>
      </c>
      <c r="AI1989" s="7" t="n"/>
      <c r="AL1989" s="11" t="n"/>
      <c r="AN1989">
        <f>IF($E1989="","",IF(COUNTIF($E$2:$E1989,$E1989)=1,1,0))</f>
        <v/>
      </c>
      <c r="AO1989">
        <f>IF($AN1989=1,SUMPRODUCT(--($AR$2:$AR$4001&lt;$AR1989))+1,"")</f>
        <v/>
      </c>
      <c r="AP1989">
        <f>IF($E1989="","",IF(OR($U1989=TRUE(),$U1989="TRUE"),1,0))</f>
        <v/>
      </c>
      <c r="AQ1989">
        <f>IF($E1989="","",IF($AA1989="Yes",1,0))</f>
        <v/>
      </c>
      <c r="AR1989">
        <f>IF($AN1989=1,IFERROR(VALUE(MID($E1989,2,20)),1000000000)+ROW()/100000,"")</f>
        <v/>
      </c>
    </row>
    <row r="1990">
      <c r="G1990" s="11" t="n"/>
      <c r="Q1990" s="7">
        <f>IF($E1990="","",P1990*Y1990/100)</f>
        <v/>
      </c>
      <c r="R1990" s="7" t="n"/>
      <c r="X1990" s="7" t="n"/>
      <c r="Y1990" s="7" t="n"/>
      <c r="AB1990">
        <f>IF($E1990="","",IF($AQ1990=1,0,IF($AP1990=1,Settings!$C$6,Settings!$C$7))*100)</f>
        <v/>
      </c>
      <c r="AC1990" s="7">
        <f>IF($E1990="","",Y1990*AB1990/100)</f>
        <v/>
      </c>
      <c r="AD1990" s="7">
        <f>IF($E1990="","",Y1990-AC1990)</f>
        <v/>
      </c>
      <c r="AE1990" s="7">
        <f>IF($E1990="","",AD1990-Q1990)</f>
        <v/>
      </c>
      <c r="AI1990" s="7" t="n"/>
      <c r="AL1990" s="11" t="n"/>
      <c r="AN1990">
        <f>IF($E1990="","",IF(COUNTIF($E$2:$E1990,$E1990)=1,1,0))</f>
        <v/>
      </c>
      <c r="AO1990">
        <f>IF($AN1990=1,SUMPRODUCT(--($AR$2:$AR$4001&lt;$AR1990))+1,"")</f>
        <v/>
      </c>
      <c r="AP1990">
        <f>IF($E1990="","",IF(OR($U1990=TRUE(),$U1990="TRUE"),1,0))</f>
        <v/>
      </c>
      <c r="AQ1990">
        <f>IF($E1990="","",IF($AA1990="Yes",1,0))</f>
        <v/>
      </c>
      <c r="AR1990">
        <f>IF($AN1990=1,IFERROR(VALUE(MID($E1990,2,20)),1000000000)+ROW()/100000,"")</f>
        <v/>
      </c>
    </row>
    <row r="1991">
      <c r="G1991" s="11" t="n"/>
      <c r="Q1991" s="7">
        <f>IF($E1991="","",P1991*Y1991/100)</f>
        <v/>
      </c>
      <c r="R1991" s="7" t="n"/>
      <c r="X1991" s="7" t="n"/>
      <c r="Y1991" s="7" t="n"/>
      <c r="AB1991">
        <f>IF($E1991="","",IF($AQ1991=1,0,IF($AP1991=1,Settings!$C$6,Settings!$C$7))*100)</f>
        <v/>
      </c>
      <c r="AC1991" s="7">
        <f>IF($E1991="","",Y1991*AB1991/100)</f>
        <v/>
      </c>
      <c r="AD1991" s="7">
        <f>IF($E1991="","",Y1991-AC1991)</f>
        <v/>
      </c>
      <c r="AE1991" s="7">
        <f>IF($E1991="","",AD1991-Q1991)</f>
        <v/>
      </c>
      <c r="AI1991" s="7" t="n"/>
      <c r="AL1991" s="11" t="n"/>
      <c r="AN1991">
        <f>IF($E1991="","",IF(COUNTIF($E$2:$E1991,$E1991)=1,1,0))</f>
        <v/>
      </c>
      <c r="AO1991">
        <f>IF($AN1991=1,SUMPRODUCT(--($AR$2:$AR$4001&lt;$AR1991))+1,"")</f>
        <v/>
      </c>
      <c r="AP1991">
        <f>IF($E1991="","",IF(OR($U1991=TRUE(),$U1991="TRUE"),1,0))</f>
        <v/>
      </c>
      <c r="AQ1991">
        <f>IF($E1991="","",IF($AA1991="Yes",1,0))</f>
        <v/>
      </c>
      <c r="AR1991">
        <f>IF($AN1991=1,IFERROR(VALUE(MID($E1991,2,20)),1000000000)+ROW()/100000,"")</f>
        <v/>
      </c>
    </row>
    <row r="1992">
      <c r="G1992" s="11" t="n"/>
      <c r="Q1992" s="7">
        <f>IF($E1992="","",P1992*Y1992/100)</f>
        <v/>
      </c>
      <c r="R1992" s="7" t="n"/>
      <c r="X1992" s="7" t="n"/>
      <c r="Y1992" s="7" t="n"/>
      <c r="AB1992">
        <f>IF($E1992="","",IF($AQ1992=1,0,IF($AP1992=1,Settings!$C$6,Settings!$C$7))*100)</f>
        <v/>
      </c>
      <c r="AC1992" s="7">
        <f>IF($E1992="","",Y1992*AB1992/100)</f>
        <v/>
      </c>
      <c r="AD1992" s="7">
        <f>IF($E1992="","",Y1992-AC1992)</f>
        <v/>
      </c>
      <c r="AE1992" s="7">
        <f>IF($E1992="","",AD1992-Q1992)</f>
        <v/>
      </c>
      <c r="AI1992" s="7" t="n"/>
      <c r="AL1992" s="11" t="n"/>
      <c r="AN1992">
        <f>IF($E1992="","",IF(COUNTIF($E$2:$E1992,$E1992)=1,1,0))</f>
        <v/>
      </c>
      <c r="AO1992">
        <f>IF($AN1992=1,SUMPRODUCT(--($AR$2:$AR$4001&lt;$AR1992))+1,"")</f>
        <v/>
      </c>
      <c r="AP1992">
        <f>IF($E1992="","",IF(OR($U1992=TRUE(),$U1992="TRUE"),1,0))</f>
        <v/>
      </c>
      <c r="AQ1992">
        <f>IF($E1992="","",IF($AA1992="Yes",1,0))</f>
        <v/>
      </c>
      <c r="AR1992">
        <f>IF($AN1992=1,IFERROR(VALUE(MID($E1992,2,20)),1000000000)+ROW()/100000,"")</f>
        <v/>
      </c>
    </row>
    <row r="1993">
      <c r="G1993" s="11" t="n"/>
      <c r="Q1993" s="7">
        <f>IF($E1993="","",P1993*Y1993/100)</f>
        <v/>
      </c>
      <c r="R1993" s="7" t="n"/>
      <c r="X1993" s="7" t="n"/>
      <c r="Y1993" s="7" t="n"/>
      <c r="AB1993">
        <f>IF($E1993="","",IF($AQ1993=1,0,IF($AP1993=1,Settings!$C$6,Settings!$C$7))*100)</f>
        <v/>
      </c>
      <c r="AC1993" s="7">
        <f>IF($E1993="","",Y1993*AB1993/100)</f>
        <v/>
      </c>
      <c r="AD1993" s="7">
        <f>IF($E1993="","",Y1993-AC1993)</f>
        <v/>
      </c>
      <c r="AE1993" s="7">
        <f>IF($E1993="","",AD1993-Q1993)</f>
        <v/>
      </c>
      <c r="AI1993" s="7" t="n"/>
      <c r="AL1993" s="11" t="n"/>
      <c r="AN1993">
        <f>IF($E1993="","",IF(COUNTIF($E$2:$E1993,$E1993)=1,1,0))</f>
        <v/>
      </c>
      <c r="AO1993">
        <f>IF($AN1993=1,SUMPRODUCT(--($AR$2:$AR$4001&lt;$AR1993))+1,"")</f>
        <v/>
      </c>
      <c r="AP1993">
        <f>IF($E1993="","",IF(OR($U1993=TRUE(),$U1993="TRUE"),1,0))</f>
        <v/>
      </c>
      <c r="AQ1993">
        <f>IF($E1993="","",IF($AA1993="Yes",1,0))</f>
        <v/>
      </c>
      <c r="AR1993">
        <f>IF($AN1993=1,IFERROR(VALUE(MID($E1993,2,20)),1000000000)+ROW()/100000,"")</f>
        <v/>
      </c>
    </row>
    <row r="1994">
      <c r="G1994" s="11" t="n"/>
      <c r="Q1994" s="7">
        <f>IF($E1994="","",P1994*Y1994/100)</f>
        <v/>
      </c>
      <c r="R1994" s="7" t="n"/>
      <c r="X1994" s="7" t="n"/>
      <c r="Y1994" s="7" t="n"/>
      <c r="AB1994">
        <f>IF($E1994="","",IF($AQ1994=1,0,IF($AP1994=1,Settings!$C$6,Settings!$C$7))*100)</f>
        <v/>
      </c>
      <c r="AC1994" s="7">
        <f>IF($E1994="","",Y1994*AB1994/100)</f>
        <v/>
      </c>
      <c r="AD1994" s="7">
        <f>IF($E1994="","",Y1994-AC1994)</f>
        <v/>
      </c>
      <c r="AE1994" s="7">
        <f>IF($E1994="","",AD1994-Q1994)</f>
        <v/>
      </c>
      <c r="AI1994" s="7" t="n"/>
      <c r="AL1994" s="11" t="n"/>
      <c r="AN1994">
        <f>IF($E1994="","",IF(COUNTIF($E$2:$E1994,$E1994)=1,1,0))</f>
        <v/>
      </c>
      <c r="AO1994">
        <f>IF($AN1994=1,SUMPRODUCT(--($AR$2:$AR$4001&lt;$AR1994))+1,"")</f>
        <v/>
      </c>
      <c r="AP1994">
        <f>IF($E1994="","",IF(OR($U1994=TRUE(),$U1994="TRUE"),1,0))</f>
        <v/>
      </c>
      <c r="AQ1994">
        <f>IF($E1994="","",IF($AA1994="Yes",1,0))</f>
        <v/>
      </c>
      <c r="AR1994">
        <f>IF($AN1994=1,IFERROR(VALUE(MID($E1994,2,20)),1000000000)+ROW()/100000,"")</f>
        <v/>
      </c>
    </row>
    <row r="1995">
      <c r="G1995" s="11" t="n"/>
      <c r="Q1995" s="7">
        <f>IF($E1995="","",P1995*Y1995/100)</f>
        <v/>
      </c>
      <c r="R1995" s="7" t="n"/>
      <c r="X1995" s="7" t="n"/>
      <c r="Y1995" s="7" t="n"/>
      <c r="AB1995">
        <f>IF($E1995="","",IF($AQ1995=1,0,IF($AP1995=1,Settings!$C$6,Settings!$C$7))*100)</f>
        <v/>
      </c>
      <c r="AC1995" s="7">
        <f>IF($E1995="","",Y1995*AB1995/100)</f>
        <v/>
      </c>
      <c r="AD1995" s="7">
        <f>IF($E1995="","",Y1995-AC1995)</f>
        <v/>
      </c>
      <c r="AE1995" s="7">
        <f>IF($E1995="","",AD1995-Q1995)</f>
        <v/>
      </c>
      <c r="AI1995" s="7" t="n"/>
      <c r="AL1995" s="11" t="n"/>
      <c r="AN1995">
        <f>IF($E1995="","",IF(COUNTIF($E$2:$E1995,$E1995)=1,1,0))</f>
        <v/>
      </c>
      <c r="AO1995">
        <f>IF($AN1995=1,SUMPRODUCT(--($AR$2:$AR$4001&lt;$AR1995))+1,"")</f>
        <v/>
      </c>
      <c r="AP1995">
        <f>IF($E1995="","",IF(OR($U1995=TRUE(),$U1995="TRUE"),1,0))</f>
        <v/>
      </c>
      <c r="AQ1995">
        <f>IF($E1995="","",IF($AA1995="Yes",1,0))</f>
        <v/>
      </c>
      <c r="AR1995">
        <f>IF($AN1995=1,IFERROR(VALUE(MID($E1995,2,20)),1000000000)+ROW()/100000,"")</f>
        <v/>
      </c>
    </row>
    <row r="1996">
      <c r="G1996" s="11" t="n"/>
      <c r="Q1996" s="7">
        <f>IF($E1996="","",P1996*Y1996/100)</f>
        <v/>
      </c>
      <c r="R1996" s="7" t="n"/>
      <c r="X1996" s="7" t="n"/>
      <c r="Y1996" s="7" t="n"/>
      <c r="AB1996">
        <f>IF($E1996="","",IF($AQ1996=1,0,IF($AP1996=1,Settings!$C$6,Settings!$C$7))*100)</f>
        <v/>
      </c>
      <c r="AC1996" s="7">
        <f>IF($E1996="","",Y1996*AB1996/100)</f>
        <v/>
      </c>
      <c r="AD1996" s="7">
        <f>IF($E1996="","",Y1996-AC1996)</f>
        <v/>
      </c>
      <c r="AE1996" s="7">
        <f>IF($E1996="","",AD1996-Q1996)</f>
        <v/>
      </c>
      <c r="AI1996" s="7" t="n"/>
      <c r="AL1996" s="11" t="n"/>
      <c r="AN1996">
        <f>IF($E1996="","",IF(COUNTIF($E$2:$E1996,$E1996)=1,1,0))</f>
        <v/>
      </c>
      <c r="AO1996">
        <f>IF($AN1996=1,SUMPRODUCT(--($AR$2:$AR$4001&lt;$AR1996))+1,"")</f>
        <v/>
      </c>
      <c r="AP1996">
        <f>IF($E1996="","",IF(OR($U1996=TRUE(),$U1996="TRUE"),1,0))</f>
        <v/>
      </c>
      <c r="AQ1996">
        <f>IF($E1996="","",IF($AA1996="Yes",1,0))</f>
        <v/>
      </c>
      <c r="AR1996">
        <f>IF($AN1996=1,IFERROR(VALUE(MID($E1996,2,20)),1000000000)+ROW()/100000,"")</f>
        <v/>
      </c>
    </row>
    <row r="1997">
      <c r="G1997" s="11" t="n"/>
      <c r="Q1997" s="7">
        <f>IF($E1997="","",P1997*Y1997/100)</f>
        <v/>
      </c>
      <c r="R1997" s="7" t="n"/>
      <c r="X1997" s="7" t="n"/>
      <c r="Y1997" s="7" t="n"/>
      <c r="AB1997">
        <f>IF($E1997="","",IF($AQ1997=1,0,IF($AP1997=1,Settings!$C$6,Settings!$C$7))*100)</f>
        <v/>
      </c>
      <c r="AC1997" s="7">
        <f>IF($E1997="","",Y1997*AB1997/100)</f>
        <v/>
      </c>
      <c r="AD1997" s="7">
        <f>IF($E1997="","",Y1997-AC1997)</f>
        <v/>
      </c>
      <c r="AE1997" s="7">
        <f>IF($E1997="","",AD1997-Q1997)</f>
        <v/>
      </c>
      <c r="AI1997" s="7" t="n"/>
      <c r="AL1997" s="11" t="n"/>
      <c r="AN1997">
        <f>IF($E1997="","",IF(COUNTIF($E$2:$E1997,$E1997)=1,1,0))</f>
        <v/>
      </c>
      <c r="AO1997">
        <f>IF($AN1997=1,SUMPRODUCT(--($AR$2:$AR$4001&lt;$AR1997))+1,"")</f>
        <v/>
      </c>
      <c r="AP1997">
        <f>IF($E1997="","",IF(OR($U1997=TRUE(),$U1997="TRUE"),1,0))</f>
        <v/>
      </c>
      <c r="AQ1997">
        <f>IF($E1997="","",IF($AA1997="Yes",1,0))</f>
        <v/>
      </c>
      <c r="AR1997">
        <f>IF($AN1997=1,IFERROR(VALUE(MID($E1997,2,20)),1000000000)+ROW()/100000,"")</f>
        <v/>
      </c>
    </row>
    <row r="1998">
      <c r="G1998" s="11" t="n"/>
      <c r="Q1998" s="7">
        <f>IF($E1998="","",P1998*Y1998/100)</f>
        <v/>
      </c>
      <c r="R1998" s="7" t="n"/>
      <c r="X1998" s="7" t="n"/>
      <c r="Y1998" s="7" t="n"/>
      <c r="AB1998">
        <f>IF($E1998="","",IF($AQ1998=1,0,IF($AP1998=1,Settings!$C$6,Settings!$C$7))*100)</f>
        <v/>
      </c>
      <c r="AC1998" s="7">
        <f>IF($E1998="","",Y1998*AB1998/100)</f>
        <v/>
      </c>
      <c r="AD1998" s="7">
        <f>IF($E1998="","",Y1998-AC1998)</f>
        <v/>
      </c>
      <c r="AE1998" s="7">
        <f>IF($E1998="","",AD1998-Q1998)</f>
        <v/>
      </c>
      <c r="AI1998" s="7" t="n"/>
      <c r="AL1998" s="11" t="n"/>
      <c r="AN1998">
        <f>IF($E1998="","",IF(COUNTIF($E$2:$E1998,$E1998)=1,1,0))</f>
        <v/>
      </c>
      <c r="AO1998">
        <f>IF($AN1998=1,SUMPRODUCT(--($AR$2:$AR$4001&lt;$AR1998))+1,"")</f>
        <v/>
      </c>
      <c r="AP1998">
        <f>IF($E1998="","",IF(OR($U1998=TRUE(),$U1998="TRUE"),1,0))</f>
        <v/>
      </c>
      <c r="AQ1998">
        <f>IF($E1998="","",IF($AA1998="Yes",1,0))</f>
        <v/>
      </c>
      <c r="AR1998">
        <f>IF($AN1998=1,IFERROR(VALUE(MID($E1998,2,20)),1000000000)+ROW()/100000,"")</f>
        <v/>
      </c>
    </row>
    <row r="1999">
      <c r="G1999" s="11" t="n"/>
      <c r="Q1999" s="7">
        <f>IF($E1999="","",P1999*Y1999/100)</f>
        <v/>
      </c>
      <c r="R1999" s="7" t="n"/>
      <c r="X1999" s="7" t="n"/>
      <c r="Y1999" s="7" t="n"/>
      <c r="AB1999">
        <f>IF($E1999="","",IF($AQ1999=1,0,IF($AP1999=1,Settings!$C$6,Settings!$C$7))*100)</f>
        <v/>
      </c>
      <c r="AC1999" s="7">
        <f>IF($E1999="","",Y1999*AB1999/100)</f>
        <v/>
      </c>
      <c r="AD1999" s="7">
        <f>IF($E1999="","",Y1999-AC1999)</f>
        <v/>
      </c>
      <c r="AE1999" s="7">
        <f>IF($E1999="","",AD1999-Q1999)</f>
        <v/>
      </c>
      <c r="AI1999" s="7" t="n"/>
      <c r="AL1999" s="11" t="n"/>
      <c r="AN1999">
        <f>IF($E1999="","",IF(COUNTIF($E$2:$E1999,$E1999)=1,1,0))</f>
        <v/>
      </c>
      <c r="AO1999">
        <f>IF($AN1999=1,SUMPRODUCT(--($AR$2:$AR$4001&lt;$AR1999))+1,"")</f>
        <v/>
      </c>
      <c r="AP1999">
        <f>IF($E1999="","",IF(OR($U1999=TRUE(),$U1999="TRUE"),1,0))</f>
        <v/>
      </c>
      <c r="AQ1999">
        <f>IF($E1999="","",IF($AA1999="Yes",1,0))</f>
        <v/>
      </c>
      <c r="AR1999">
        <f>IF($AN1999=1,IFERROR(VALUE(MID($E1999,2,20)),1000000000)+ROW()/100000,"")</f>
        <v/>
      </c>
    </row>
    <row r="2000">
      <c r="G2000" s="11" t="n"/>
      <c r="Q2000" s="7">
        <f>IF($E2000="","",P2000*Y2000/100)</f>
        <v/>
      </c>
      <c r="R2000" s="7" t="n"/>
      <c r="X2000" s="7" t="n"/>
      <c r="Y2000" s="7" t="n"/>
      <c r="AB2000">
        <f>IF($E2000="","",IF($AQ2000=1,0,IF($AP2000=1,Settings!$C$6,Settings!$C$7))*100)</f>
        <v/>
      </c>
      <c r="AC2000" s="7">
        <f>IF($E2000="","",Y2000*AB2000/100)</f>
        <v/>
      </c>
      <c r="AD2000" s="7">
        <f>IF($E2000="","",Y2000-AC2000)</f>
        <v/>
      </c>
      <c r="AE2000" s="7">
        <f>IF($E2000="","",AD2000-Q2000)</f>
        <v/>
      </c>
      <c r="AI2000" s="7" t="n"/>
      <c r="AL2000" s="11" t="n"/>
      <c r="AN2000">
        <f>IF($E2000="","",IF(COUNTIF($E$2:$E2000,$E2000)=1,1,0))</f>
        <v/>
      </c>
      <c r="AO2000">
        <f>IF($AN2000=1,SUMPRODUCT(--($AR$2:$AR$4001&lt;$AR2000))+1,"")</f>
        <v/>
      </c>
      <c r="AP2000">
        <f>IF($E2000="","",IF(OR($U2000=TRUE(),$U2000="TRUE"),1,0))</f>
        <v/>
      </c>
      <c r="AQ2000">
        <f>IF($E2000="","",IF($AA2000="Yes",1,0))</f>
        <v/>
      </c>
      <c r="AR2000">
        <f>IF($AN2000=1,IFERROR(VALUE(MID($E2000,2,20)),1000000000)+ROW()/100000,"")</f>
        <v/>
      </c>
    </row>
    <row r="2001">
      <c r="G2001" s="11" t="n"/>
      <c r="Q2001" s="7">
        <f>IF($E2001="","",P2001*Y2001/100)</f>
        <v/>
      </c>
      <c r="R2001" s="7" t="n"/>
      <c r="X2001" s="7" t="n"/>
      <c r="Y2001" s="7" t="n"/>
      <c r="AB2001">
        <f>IF($E2001="","",IF($AQ2001=1,0,IF($AP2001=1,Settings!$C$6,Settings!$C$7))*100)</f>
        <v/>
      </c>
      <c r="AC2001" s="7">
        <f>IF($E2001="","",Y2001*AB2001/100)</f>
        <v/>
      </c>
      <c r="AD2001" s="7">
        <f>IF($E2001="","",Y2001-AC2001)</f>
        <v/>
      </c>
      <c r="AE2001" s="7">
        <f>IF($E2001="","",AD2001-Q2001)</f>
        <v/>
      </c>
      <c r="AI2001" s="7" t="n"/>
      <c r="AL2001" s="11" t="n"/>
      <c r="AN2001">
        <f>IF($E2001="","",IF(COUNTIF($E$2:$E2001,$E2001)=1,1,0))</f>
        <v/>
      </c>
      <c r="AO2001">
        <f>IF($AN2001=1,SUMPRODUCT(--($AR$2:$AR$4001&lt;$AR2001))+1,"")</f>
        <v/>
      </c>
      <c r="AP2001">
        <f>IF($E2001="","",IF(OR($U2001=TRUE(),$U2001="TRUE"),1,0))</f>
        <v/>
      </c>
      <c r="AQ2001">
        <f>IF($E2001="","",IF($AA2001="Yes",1,0))</f>
        <v/>
      </c>
      <c r="AR2001">
        <f>IF($AN2001=1,IFERROR(VALUE(MID($E2001,2,20)),1000000000)+ROW()/100000,"")</f>
        <v/>
      </c>
    </row>
    <row r="2002">
      <c r="G2002" s="11" t="n"/>
      <c r="Q2002" s="7">
        <f>IF($E2002="","",P2002*Y2002/100)</f>
        <v/>
      </c>
      <c r="R2002" s="7" t="n"/>
      <c r="X2002" s="7" t="n"/>
      <c r="Y2002" s="7" t="n"/>
      <c r="AB2002">
        <f>IF($E2002="","",IF($AQ2002=1,0,IF($AP2002=1,Settings!$C$6,Settings!$C$7))*100)</f>
        <v/>
      </c>
      <c r="AC2002" s="7">
        <f>IF($E2002="","",Y2002*AB2002/100)</f>
        <v/>
      </c>
      <c r="AD2002" s="7">
        <f>IF($E2002="","",Y2002-AC2002)</f>
        <v/>
      </c>
      <c r="AE2002" s="7">
        <f>IF($E2002="","",AD2002-Q2002)</f>
        <v/>
      </c>
      <c r="AI2002" s="7" t="n"/>
      <c r="AL2002" s="11" t="n"/>
      <c r="AN2002">
        <f>IF($E2002="","",IF(COUNTIF($E$2:$E2002,$E2002)=1,1,0))</f>
        <v/>
      </c>
      <c r="AO2002">
        <f>IF($AN2002=1,SUMPRODUCT(--($AR$2:$AR$4001&lt;$AR2002))+1,"")</f>
        <v/>
      </c>
      <c r="AP2002">
        <f>IF($E2002="","",IF(OR($U2002=TRUE(),$U2002="TRUE"),1,0))</f>
        <v/>
      </c>
      <c r="AQ2002">
        <f>IF($E2002="","",IF($AA2002="Yes",1,0))</f>
        <v/>
      </c>
      <c r="AR2002">
        <f>IF($AN2002=1,IFERROR(VALUE(MID($E2002,2,20)),1000000000)+ROW()/100000,"")</f>
        <v/>
      </c>
    </row>
    <row r="2003">
      <c r="G2003" s="11" t="n"/>
      <c r="Q2003" s="7">
        <f>IF($E2003="","",P2003*Y2003/100)</f>
        <v/>
      </c>
      <c r="R2003" s="7" t="n"/>
      <c r="X2003" s="7" t="n"/>
      <c r="Y2003" s="7" t="n"/>
      <c r="AB2003">
        <f>IF($E2003="","",IF($AQ2003=1,0,IF($AP2003=1,Settings!$C$6,Settings!$C$7))*100)</f>
        <v/>
      </c>
      <c r="AC2003" s="7">
        <f>IF($E2003="","",Y2003*AB2003/100)</f>
        <v/>
      </c>
      <c r="AD2003" s="7">
        <f>IF($E2003="","",Y2003-AC2003)</f>
        <v/>
      </c>
      <c r="AE2003" s="7">
        <f>IF($E2003="","",AD2003-Q2003)</f>
        <v/>
      </c>
      <c r="AI2003" s="7" t="n"/>
      <c r="AL2003" s="11" t="n"/>
      <c r="AN2003">
        <f>IF($E2003="","",IF(COUNTIF($E$2:$E2003,$E2003)=1,1,0))</f>
        <v/>
      </c>
      <c r="AO2003">
        <f>IF($AN2003=1,SUMPRODUCT(--($AR$2:$AR$4001&lt;$AR2003))+1,"")</f>
        <v/>
      </c>
      <c r="AP2003">
        <f>IF($E2003="","",IF(OR($U2003=TRUE(),$U2003="TRUE"),1,0))</f>
        <v/>
      </c>
      <c r="AQ2003">
        <f>IF($E2003="","",IF($AA2003="Yes",1,0))</f>
        <v/>
      </c>
      <c r="AR2003">
        <f>IF($AN2003=1,IFERROR(VALUE(MID($E2003,2,20)),1000000000)+ROW()/100000,"")</f>
        <v/>
      </c>
    </row>
    <row r="2004">
      <c r="G2004" s="11" t="n"/>
      <c r="Q2004" s="7">
        <f>IF($E2004="","",P2004*Y2004/100)</f>
        <v/>
      </c>
      <c r="R2004" s="7" t="n"/>
      <c r="X2004" s="7" t="n"/>
      <c r="Y2004" s="7" t="n"/>
      <c r="AB2004">
        <f>IF($E2004="","",IF($AQ2004=1,0,IF($AP2004=1,Settings!$C$6,Settings!$C$7))*100)</f>
        <v/>
      </c>
      <c r="AC2004" s="7">
        <f>IF($E2004="","",Y2004*AB2004/100)</f>
        <v/>
      </c>
      <c r="AD2004" s="7">
        <f>IF($E2004="","",Y2004-AC2004)</f>
        <v/>
      </c>
      <c r="AE2004" s="7">
        <f>IF($E2004="","",AD2004-Q2004)</f>
        <v/>
      </c>
      <c r="AI2004" s="7" t="n"/>
      <c r="AL2004" s="11" t="n"/>
      <c r="AN2004">
        <f>IF($E2004="","",IF(COUNTIF($E$2:$E2004,$E2004)=1,1,0))</f>
        <v/>
      </c>
      <c r="AO2004">
        <f>IF($AN2004=1,SUMPRODUCT(--($AR$2:$AR$4001&lt;$AR2004))+1,"")</f>
        <v/>
      </c>
      <c r="AP2004">
        <f>IF($E2004="","",IF(OR($U2004=TRUE(),$U2004="TRUE"),1,0))</f>
        <v/>
      </c>
      <c r="AQ2004">
        <f>IF($E2004="","",IF($AA2004="Yes",1,0))</f>
        <v/>
      </c>
      <c r="AR2004">
        <f>IF($AN2004=1,IFERROR(VALUE(MID($E2004,2,20)),1000000000)+ROW()/100000,"")</f>
        <v/>
      </c>
    </row>
    <row r="2005">
      <c r="G2005" s="11" t="n"/>
      <c r="Q2005" s="7">
        <f>IF($E2005="","",P2005*Y2005/100)</f>
        <v/>
      </c>
      <c r="R2005" s="7" t="n"/>
      <c r="X2005" s="7" t="n"/>
      <c r="Y2005" s="7" t="n"/>
      <c r="AB2005">
        <f>IF($E2005="","",IF($AQ2005=1,0,IF($AP2005=1,Settings!$C$6,Settings!$C$7))*100)</f>
        <v/>
      </c>
      <c r="AC2005" s="7">
        <f>IF($E2005="","",Y2005*AB2005/100)</f>
        <v/>
      </c>
      <c r="AD2005" s="7">
        <f>IF($E2005="","",Y2005-AC2005)</f>
        <v/>
      </c>
      <c r="AE2005" s="7">
        <f>IF($E2005="","",AD2005-Q2005)</f>
        <v/>
      </c>
      <c r="AI2005" s="7" t="n"/>
      <c r="AL2005" s="11" t="n"/>
      <c r="AN2005">
        <f>IF($E2005="","",IF(COUNTIF($E$2:$E2005,$E2005)=1,1,0))</f>
        <v/>
      </c>
      <c r="AO2005">
        <f>IF($AN2005=1,SUMPRODUCT(--($AR$2:$AR$4001&lt;$AR2005))+1,"")</f>
        <v/>
      </c>
      <c r="AP2005">
        <f>IF($E2005="","",IF(OR($U2005=TRUE(),$U2005="TRUE"),1,0))</f>
        <v/>
      </c>
      <c r="AQ2005">
        <f>IF($E2005="","",IF($AA2005="Yes",1,0))</f>
        <v/>
      </c>
      <c r="AR2005">
        <f>IF($AN2005=1,IFERROR(VALUE(MID($E2005,2,20)),1000000000)+ROW()/100000,"")</f>
        <v/>
      </c>
    </row>
    <row r="2006">
      <c r="G2006" s="11" t="n"/>
      <c r="Q2006" s="7">
        <f>IF($E2006="","",P2006*Y2006/100)</f>
        <v/>
      </c>
      <c r="R2006" s="7" t="n"/>
      <c r="X2006" s="7" t="n"/>
      <c r="Y2006" s="7" t="n"/>
      <c r="AB2006">
        <f>IF($E2006="","",IF($AQ2006=1,0,IF($AP2006=1,Settings!$C$6,Settings!$C$7))*100)</f>
        <v/>
      </c>
      <c r="AC2006" s="7">
        <f>IF($E2006="","",Y2006*AB2006/100)</f>
        <v/>
      </c>
      <c r="AD2006" s="7">
        <f>IF($E2006="","",Y2006-AC2006)</f>
        <v/>
      </c>
      <c r="AE2006" s="7">
        <f>IF($E2006="","",AD2006-Q2006)</f>
        <v/>
      </c>
      <c r="AI2006" s="7" t="n"/>
      <c r="AL2006" s="11" t="n"/>
      <c r="AN2006">
        <f>IF($E2006="","",IF(COUNTIF($E$2:$E2006,$E2006)=1,1,0))</f>
        <v/>
      </c>
      <c r="AO2006">
        <f>IF($AN2006=1,SUMPRODUCT(--($AR$2:$AR$4001&lt;$AR2006))+1,"")</f>
        <v/>
      </c>
      <c r="AP2006">
        <f>IF($E2006="","",IF(OR($U2006=TRUE(),$U2006="TRUE"),1,0))</f>
        <v/>
      </c>
      <c r="AQ2006">
        <f>IF($E2006="","",IF($AA2006="Yes",1,0))</f>
        <v/>
      </c>
      <c r="AR2006">
        <f>IF($AN2006=1,IFERROR(VALUE(MID($E2006,2,20)),1000000000)+ROW()/100000,"")</f>
        <v/>
      </c>
    </row>
    <row r="2007">
      <c r="G2007" s="11" t="n"/>
      <c r="Q2007" s="7">
        <f>IF($E2007="","",P2007*Y2007/100)</f>
        <v/>
      </c>
      <c r="R2007" s="7" t="n"/>
      <c r="X2007" s="7" t="n"/>
      <c r="Y2007" s="7" t="n"/>
      <c r="AB2007">
        <f>IF($E2007="","",IF($AQ2007=1,0,IF($AP2007=1,Settings!$C$6,Settings!$C$7))*100)</f>
        <v/>
      </c>
      <c r="AC2007" s="7">
        <f>IF($E2007="","",Y2007*AB2007/100)</f>
        <v/>
      </c>
      <c r="AD2007" s="7">
        <f>IF($E2007="","",Y2007-AC2007)</f>
        <v/>
      </c>
      <c r="AE2007" s="7">
        <f>IF($E2007="","",AD2007-Q2007)</f>
        <v/>
      </c>
      <c r="AI2007" s="7" t="n"/>
      <c r="AL2007" s="11" t="n"/>
      <c r="AN2007">
        <f>IF($E2007="","",IF(COUNTIF($E$2:$E2007,$E2007)=1,1,0))</f>
        <v/>
      </c>
      <c r="AO2007">
        <f>IF($AN2007=1,SUMPRODUCT(--($AR$2:$AR$4001&lt;$AR2007))+1,"")</f>
        <v/>
      </c>
      <c r="AP2007">
        <f>IF($E2007="","",IF(OR($U2007=TRUE(),$U2007="TRUE"),1,0))</f>
        <v/>
      </c>
      <c r="AQ2007">
        <f>IF($E2007="","",IF($AA2007="Yes",1,0))</f>
        <v/>
      </c>
      <c r="AR2007">
        <f>IF($AN2007=1,IFERROR(VALUE(MID($E2007,2,20)),1000000000)+ROW()/100000,"")</f>
        <v/>
      </c>
    </row>
    <row r="2008">
      <c r="G2008" s="11" t="n"/>
      <c r="Q2008" s="7">
        <f>IF($E2008="","",P2008*Y2008/100)</f>
        <v/>
      </c>
      <c r="R2008" s="7" t="n"/>
      <c r="X2008" s="7" t="n"/>
      <c r="Y2008" s="7" t="n"/>
      <c r="AB2008">
        <f>IF($E2008="","",IF($AQ2008=1,0,IF($AP2008=1,Settings!$C$6,Settings!$C$7))*100)</f>
        <v/>
      </c>
      <c r="AC2008" s="7">
        <f>IF($E2008="","",Y2008*AB2008/100)</f>
        <v/>
      </c>
      <c r="AD2008" s="7">
        <f>IF($E2008="","",Y2008-AC2008)</f>
        <v/>
      </c>
      <c r="AE2008" s="7">
        <f>IF($E2008="","",AD2008-Q2008)</f>
        <v/>
      </c>
      <c r="AI2008" s="7" t="n"/>
      <c r="AL2008" s="11" t="n"/>
      <c r="AN2008">
        <f>IF($E2008="","",IF(COUNTIF($E$2:$E2008,$E2008)=1,1,0))</f>
        <v/>
      </c>
      <c r="AO2008">
        <f>IF($AN2008=1,SUMPRODUCT(--($AR$2:$AR$4001&lt;$AR2008))+1,"")</f>
        <v/>
      </c>
      <c r="AP2008">
        <f>IF($E2008="","",IF(OR($U2008=TRUE(),$U2008="TRUE"),1,0))</f>
        <v/>
      </c>
      <c r="AQ2008">
        <f>IF($E2008="","",IF($AA2008="Yes",1,0))</f>
        <v/>
      </c>
      <c r="AR2008">
        <f>IF($AN2008=1,IFERROR(VALUE(MID($E2008,2,20)),1000000000)+ROW()/100000,"")</f>
        <v/>
      </c>
    </row>
    <row r="2009">
      <c r="G2009" s="11" t="n"/>
      <c r="Q2009" s="7">
        <f>IF($E2009="","",P2009*Y2009/100)</f>
        <v/>
      </c>
      <c r="R2009" s="7" t="n"/>
      <c r="X2009" s="7" t="n"/>
      <c r="Y2009" s="7" t="n"/>
      <c r="AB2009">
        <f>IF($E2009="","",IF($AQ2009=1,0,IF($AP2009=1,Settings!$C$6,Settings!$C$7))*100)</f>
        <v/>
      </c>
      <c r="AC2009" s="7">
        <f>IF($E2009="","",Y2009*AB2009/100)</f>
        <v/>
      </c>
      <c r="AD2009" s="7">
        <f>IF($E2009="","",Y2009-AC2009)</f>
        <v/>
      </c>
      <c r="AE2009" s="7">
        <f>IF($E2009="","",AD2009-Q2009)</f>
        <v/>
      </c>
      <c r="AI2009" s="7" t="n"/>
      <c r="AL2009" s="11" t="n"/>
      <c r="AN2009">
        <f>IF($E2009="","",IF(COUNTIF($E$2:$E2009,$E2009)=1,1,0))</f>
        <v/>
      </c>
      <c r="AO2009">
        <f>IF($AN2009=1,SUMPRODUCT(--($AR$2:$AR$4001&lt;$AR2009))+1,"")</f>
        <v/>
      </c>
      <c r="AP2009">
        <f>IF($E2009="","",IF(OR($U2009=TRUE(),$U2009="TRUE"),1,0))</f>
        <v/>
      </c>
      <c r="AQ2009">
        <f>IF($E2009="","",IF($AA2009="Yes",1,0))</f>
        <v/>
      </c>
      <c r="AR2009">
        <f>IF($AN2009=1,IFERROR(VALUE(MID($E2009,2,20)),1000000000)+ROW()/100000,"")</f>
        <v/>
      </c>
    </row>
    <row r="2010">
      <c r="G2010" s="11" t="n"/>
      <c r="Q2010" s="7">
        <f>IF($E2010="","",P2010*Y2010/100)</f>
        <v/>
      </c>
      <c r="R2010" s="7" t="n"/>
      <c r="X2010" s="7" t="n"/>
      <c r="Y2010" s="7" t="n"/>
      <c r="AB2010">
        <f>IF($E2010="","",IF($AQ2010=1,0,IF($AP2010=1,Settings!$C$6,Settings!$C$7))*100)</f>
        <v/>
      </c>
      <c r="AC2010" s="7">
        <f>IF($E2010="","",Y2010*AB2010/100)</f>
        <v/>
      </c>
      <c r="AD2010" s="7">
        <f>IF($E2010="","",Y2010-AC2010)</f>
        <v/>
      </c>
      <c r="AE2010" s="7">
        <f>IF($E2010="","",AD2010-Q2010)</f>
        <v/>
      </c>
      <c r="AI2010" s="7" t="n"/>
      <c r="AL2010" s="11" t="n"/>
      <c r="AN2010">
        <f>IF($E2010="","",IF(COUNTIF($E$2:$E2010,$E2010)=1,1,0))</f>
        <v/>
      </c>
      <c r="AO2010">
        <f>IF($AN2010=1,SUMPRODUCT(--($AR$2:$AR$4001&lt;$AR2010))+1,"")</f>
        <v/>
      </c>
      <c r="AP2010">
        <f>IF($E2010="","",IF(OR($U2010=TRUE(),$U2010="TRUE"),1,0))</f>
        <v/>
      </c>
      <c r="AQ2010">
        <f>IF($E2010="","",IF($AA2010="Yes",1,0))</f>
        <v/>
      </c>
      <c r="AR2010">
        <f>IF($AN2010=1,IFERROR(VALUE(MID($E2010,2,20)),1000000000)+ROW()/100000,"")</f>
        <v/>
      </c>
    </row>
    <row r="2011">
      <c r="G2011" s="11" t="n"/>
      <c r="Q2011" s="7">
        <f>IF($E2011="","",P2011*Y2011/100)</f>
        <v/>
      </c>
      <c r="R2011" s="7" t="n"/>
      <c r="X2011" s="7" t="n"/>
      <c r="Y2011" s="7" t="n"/>
      <c r="AB2011">
        <f>IF($E2011="","",IF($AQ2011=1,0,IF($AP2011=1,Settings!$C$6,Settings!$C$7))*100)</f>
        <v/>
      </c>
      <c r="AC2011" s="7">
        <f>IF($E2011="","",Y2011*AB2011/100)</f>
        <v/>
      </c>
      <c r="AD2011" s="7">
        <f>IF($E2011="","",Y2011-AC2011)</f>
        <v/>
      </c>
      <c r="AE2011" s="7">
        <f>IF($E2011="","",AD2011-Q2011)</f>
        <v/>
      </c>
      <c r="AI2011" s="7" t="n"/>
      <c r="AL2011" s="11" t="n"/>
      <c r="AN2011">
        <f>IF($E2011="","",IF(COUNTIF($E$2:$E2011,$E2011)=1,1,0))</f>
        <v/>
      </c>
      <c r="AO2011">
        <f>IF($AN2011=1,SUMPRODUCT(--($AR$2:$AR$4001&lt;$AR2011))+1,"")</f>
        <v/>
      </c>
      <c r="AP2011">
        <f>IF($E2011="","",IF(OR($U2011=TRUE(),$U2011="TRUE"),1,0))</f>
        <v/>
      </c>
      <c r="AQ2011">
        <f>IF($E2011="","",IF($AA2011="Yes",1,0))</f>
        <v/>
      </c>
      <c r="AR2011">
        <f>IF($AN2011=1,IFERROR(VALUE(MID($E2011,2,20)),1000000000)+ROW()/100000,"")</f>
        <v/>
      </c>
    </row>
    <row r="2012">
      <c r="G2012" s="11" t="n"/>
      <c r="Q2012" s="7">
        <f>IF($E2012="","",P2012*Y2012/100)</f>
        <v/>
      </c>
      <c r="R2012" s="7" t="n"/>
      <c r="X2012" s="7" t="n"/>
      <c r="Y2012" s="7" t="n"/>
      <c r="AB2012">
        <f>IF($E2012="","",IF($AQ2012=1,0,IF($AP2012=1,Settings!$C$6,Settings!$C$7))*100)</f>
        <v/>
      </c>
      <c r="AC2012" s="7">
        <f>IF($E2012="","",Y2012*AB2012/100)</f>
        <v/>
      </c>
      <c r="AD2012" s="7">
        <f>IF($E2012="","",Y2012-AC2012)</f>
        <v/>
      </c>
      <c r="AE2012" s="7">
        <f>IF($E2012="","",AD2012-Q2012)</f>
        <v/>
      </c>
      <c r="AI2012" s="7" t="n"/>
      <c r="AL2012" s="11" t="n"/>
      <c r="AN2012">
        <f>IF($E2012="","",IF(COUNTIF($E$2:$E2012,$E2012)=1,1,0))</f>
        <v/>
      </c>
      <c r="AO2012">
        <f>IF($AN2012=1,SUMPRODUCT(--($AR$2:$AR$4001&lt;$AR2012))+1,"")</f>
        <v/>
      </c>
      <c r="AP2012">
        <f>IF($E2012="","",IF(OR($U2012=TRUE(),$U2012="TRUE"),1,0))</f>
        <v/>
      </c>
      <c r="AQ2012">
        <f>IF($E2012="","",IF($AA2012="Yes",1,0))</f>
        <v/>
      </c>
      <c r="AR2012">
        <f>IF($AN2012=1,IFERROR(VALUE(MID($E2012,2,20)),1000000000)+ROW()/100000,"")</f>
        <v/>
      </c>
    </row>
    <row r="2013">
      <c r="G2013" s="11" t="n"/>
      <c r="Q2013" s="7">
        <f>IF($E2013="","",P2013*Y2013/100)</f>
        <v/>
      </c>
      <c r="R2013" s="7" t="n"/>
      <c r="X2013" s="7" t="n"/>
      <c r="Y2013" s="7" t="n"/>
      <c r="AB2013">
        <f>IF($E2013="","",IF($AQ2013=1,0,IF($AP2013=1,Settings!$C$6,Settings!$C$7))*100)</f>
        <v/>
      </c>
      <c r="AC2013" s="7">
        <f>IF($E2013="","",Y2013*AB2013/100)</f>
        <v/>
      </c>
      <c r="AD2013" s="7">
        <f>IF($E2013="","",Y2013-AC2013)</f>
        <v/>
      </c>
      <c r="AE2013" s="7">
        <f>IF($E2013="","",AD2013-Q2013)</f>
        <v/>
      </c>
      <c r="AI2013" s="7" t="n"/>
      <c r="AL2013" s="11" t="n"/>
      <c r="AN2013">
        <f>IF($E2013="","",IF(COUNTIF($E$2:$E2013,$E2013)=1,1,0))</f>
        <v/>
      </c>
      <c r="AO2013">
        <f>IF($AN2013=1,SUMPRODUCT(--($AR$2:$AR$4001&lt;$AR2013))+1,"")</f>
        <v/>
      </c>
      <c r="AP2013">
        <f>IF($E2013="","",IF(OR($U2013=TRUE(),$U2013="TRUE"),1,0))</f>
        <v/>
      </c>
      <c r="AQ2013">
        <f>IF($E2013="","",IF($AA2013="Yes",1,0))</f>
        <v/>
      </c>
      <c r="AR2013">
        <f>IF($AN2013=1,IFERROR(VALUE(MID($E2013,2,20)),1000000000)+ROW()/100000,"")</f>
        <v/>
      </c>
    </row>
    <row r="2014">
      <c r="G2014" s="11" t="n"/>
      <c r="Q2014" s="7">
        <f>IF($E2014="","",P2014*Y2014/100)</f>
        <v/>
      </c>
      <c r="R2014" s="7" t="n"/>
      <c r="X2014" s="7" t="n"/>
      <c r="Y2014" s="7" t="n"/>
      <c r="AB2014">
        <f>IF($E2014="","",IF($AQ2014=1,0,IF($AP2014=1,Settings!$C$6,Settings!$C$7))*100)</f>
        <v/>
      </c>
      <c r="AC2014" s="7">
        <f>IF($E2014="","",Y2014*AB2014/100)</f>
        <v/>
      </c>
      <c r="AD2014" s="7">
        <f>IF($E2014="","",Y2014-AC2014)</f>
        <v/>
      </c>
      <c r="AE2014" s="7">
        <f>IF($E2014="","",AD2014-Q2014)</f>
        <v/>
      </c>
      <c r="AI2014" s="7" t="n"/>
      <c r="AL2014" s="11" t="n"/>
      <c r="AN2014">
        <f>IF($E2014="","",IF(COUNTIF($E$2:$E2014,$E2014)=1,1,0))</f>
        <v/>
      </c>
      <c r="AO2014">
        <f>IF($AN2014=1,SUMPRODUCT(--($AR$2:$AR$4001&lt;$AR2014))+1,"")</f>
        <v/>
      </c>
      <c r="AP2014">
        <f>IF($E2014="","",IF(OR($U2014=TRUE(),$U2014="TRUE"),1,0))</f>
        <v/>
      </c>
      <c r="AQ2014">
        <f>IF($E2014="","",IF($AA2014="Yes",1,0))</f>
        <v/>
      </c>
      <c r="AR2014">
        <f>IF($AN2014=1,IFERROR(VALUE(MID($E2014,2,20)),1000000000)+ROW()/100000,"")</f>
        <v/>
      </c>
    </row>
    <row r="2015">
      <c r="G2015" s="11" t="n"/>
      <c r="Q2015" s="7">
        <f>IF($E2015="","",P2015*Y2015/100)</f>
        <v/>
      </c>
      <c r="R2015" s="7" t="n"/>
      <c r="X2015" s="7" t="n"/>
      <c r="Y2015" s="7" t="n"/>
      <c r="AB2015">
        <f>IF($E2015="","",IF($AQ2015=1,0,IF($AP2015=1,Settings!$C$6,Settings!$C$7))*100)</f>
        <v/>
      </c>
      <c r="AC2015" s="7">
        <f>IF($E2015="","",Y2015*AB2015/100)</f>
        <v/>
      </c>
      <c r="AD2015" s="7">
        <f>IF($E2015="","",Y2015-AC2015)</f>
        <v/>
      </c>
      <c r="AE2015" s="7">
        <f>IF($E2015="","",AD2015-Q2015)</f>
        <v/>
      </c>
      <c r="AI2015" s="7" t="n"/>
      <c r="AL2015" s="11" t="n"/>
      <c r="AN2015">
        <f>IF($E2015="","",IF(COUNTIF($E$2:$E2015,$E2015)=1,1,0))</f>
        <v/>
      </c>
      <c r="AO2015">
        <f>IF($AN2015=1,SUMPRODUCT(--($AR$2:$AR$4001&lt;$AR2015))+1,"")</f>
        <v/>
      </c>
      <c r="AP2015">
        <f>IF($E2015="","",IF(OR($U2015=TRUE(),$U2015="TRUE"),1,0))</f>
        <v/>
      </c>
      <c r="AQ2015">
        <f>IF($E2015="","",IF($AA2015="Yes",1,0))</f>
        <v/>
      </c>
      <c r="AR2015">
        <f>IF($AN2015=1,IFERROR(VALUE(MID($E2015,2,20)),1000000000)+ROW()/100000,"")</f>
        <v/>
      </c>
    </row>
    <row r="2016">
      <c r="G2016" s="11" t="n"/>
      <c r="Q2016" s="7">
        <f>IF($E2016="","",P2016*Y2016/100)</f>
        <v/>
      </c>
      <c r="R2016" s="7" t="n"/>
      <c r="X2016" s="7" t="n"/>
      <c r="Y2016" s="7" t="n"/>
      <c r="AB2016">
        <f>IF($E2016="","",IF($AQ2016=1,0,IF($AP2016=1,Settings!$C$6,Settings!$C$7))*100)</f>
        <v/>
      </c>
      <c r="AC2016" s="7">
        <f>IF($E2016="","",Y2016*AB2016/100)</f>
        <v/>
      </c>
      <c r="AD2016" s="7">
        <f>IF($E2016="","",Y2016-AC2016)</f>
        <v/>
      </c>
      <c r="AE2016" s="7">
        <f>IF($E2016="","",AD2016-Q2016)</f>
        <v/>
      </c>
      <c r="AI2016" s="7" t="n"/>
      <c r="AL2016" s="11" t="n"/>
      <c r="AN2016">
        <f>IF($E2016="","",IF(COUNTIF($E$2:$E2016,$E2016)=1,1,0))</f>
        <v/>
      </c>
      <c r="AO2016">
        <f>IF($AN2016=1,SUMPRODUCT(--($AR$2:$AR$4001&lt;$AR2016))+1,"")</f>
        <v/>
      </c>
      <c r="AP2016">
        <f>IF($E2016="","",IF(OR($U2016=TRUE(),$U2016="TRUE"),1,0))</f>
        <v/>
      </c>
      <c r="AQ2016">
        <f>IF($E2016="","",IF($AA2016="Yes",1,0))</f>
        <v/>
      </c>
      <c r="AR2016">
        <f>IF($AN2016=1,IFERROR(VALUE(MID($E2016,2,20)),1000000000)+ROW()/100000,"")</f>
        <v/>
      </c>
    </row>
    <row r="2017">
      <c r="G2017" s="11" t="n"/>
      <c r="Q2017" s="7">
        <f>IF($E2017="","",P2017*Y2017/100)</f>
        <v/>
      </c>
      <c r="R2017" s="7" t="n"/>
      <c r="X2017" s="7" t="n"/>
      <c r="Y2017" s="7" t="n"/>
      <c r="AB2017">
        <f>IF($E2017="","",IF($AQ2017=1,0,IF($AP2017=1,Settings!$C$6,Settings!$C$7))*100)</f>
        <v/>
      </c>
      <c r="AC2017" s="7">
        <f>IF($E2017="","",Y2017*AB2017/100)</f>
        <v/>
      </c>
      <c r="AD2017" s="7">
        <f>IF($E2017="","",Y2017-AC2017)</f>
        <v/>
      </c>
      <c r="AE2017" s="7">
        <f>IF($E2017="","",AD2017-Q2017)</f>
        <v/>
      </c>
      <c r="AI2017" s="7" t="n"/>
      <c r="AL2017" s="11" t="n"/>
      <c r="AN2017">
        <f>IF($E2017="","",IF(COUNTIF($E$2:$E2017,$E2017)=1,1,0))</f>
        <v/>
      </c>
      <c r="AO2017">
        <f>IF($AN2017=1,SUMPRODUCT(--($AR$2:$AR$4001&lt;$AR2017))+1,"")</f>
        <v/>
      </c>
      <c r="AP2017">
        <f>IF($E2017="","",IF(OR($U2017=TRUE(),$U2017="TRUE"),1,0))</f>
        <v/>
      </c>
      <c r="AQ2017">
        <f>IF($E2017="","",IF($AA2017="Yes",1,0))</f>
        <v/>
      </c>
      <c r="AR2017">
        <f>IF($AN2017=1,IFERROR(VALUE(MID($E2017,2,20)),1000000000)+ROW()/100000,"")</f>
        <v/>
      </c>
    </row>
    <row r="2018">
      <c r="G2018" s="11" t="n"/>
      <c r="Q2018" s="7">
        <f>IF($E2018="","",P2018*Y2018/100)</f>
        <v/>
      </c>
      <c r="R2018" s="7" t="n"/>
      <c r="X2018" s="7" t="n"/>
      <c r="Y2018" s="7" t="n"/>
      <c r="AB2018">
        <f>IF($E2018="","",IF($AQ2018=1,0,IF($AP2018=1,Settings!$C$6,Settings!$C$7))*100)</f>
        <v/>
      </c>
      <c r="AC2018" s="7">
        <f>IF($E2018="","",Y2018*AB2018/100)</f>
        <v/>
      </c>
      <c r="AD2018" s="7">
        <f>IF($E2018="","",Y2018-AC2018)</f>
        <v/>
      </c>
      <c r="AE2018" s="7">
        <f>IF($E2018="","",AD2018-Q2018)</f>
        <v/>
      </c>
      <c r="AI2018" s="7" t="n"/>
      <c r="AL2018" s="11" t="n"/>
      <c r="AN2018">
        <f>IF($E2018="","",IF(COUNTIF($E$2:$E2018,$E2018)=1,1,0))</f>
        <v/>
      </c>
      <c r="AO2018">
        <f>IF($AN2018=1,SUMPRODUCT(--($AR$2:$AR$4001&lt;$AR2018))+1,"")</f>
        <v/>
      </c>
      <c r="AP2018">
        <f>IF($E2018="","",IF(OR($U2018=TRUE(),$U2018="TRUE"),1,0))</f>
        <v/>
      </c>
      <c r="AQ2018">
        <f>IF($E2018="","",IF($AA2018="Yes",1,0))</f>
        <v/>
      </c>
      <c r="AR2018">
        <f>IF($AN2018=1,IFERROR(VALUE(MID($E2018,2,20)),1000000000)+ROW()/100000,"")</f>
        <v/>
      </c>
    </row>
    <row r="2019">
      <c r="G2019" s="11" t="n"/>
      <c r="Q2019" s="7">
        <f>IF($E2019="","",P2019*Y2019/100)</f>
        <v/>
      </c>
      <c r="R2019" s="7" t="n"/>
      <c r="X2019" s="7" t="n"/>
      <c r="Y2019" s="7" t="n"/>
      <c r="AB2019">
        <f>IF($E2019="","",IF($AQ2019=1,0,IF($AP2019=1,Settings!$C$6,Settings!$C$7))*100)</f>
        <v/>
      </c>
      <c r="AC2019" s="7">
        <f>IF($E2019="","",Y2019*AB2019/100)</f>
        <v/>
      </c>
      <c r="AD2019" s="7">
        <f>IF($E2019="","",Y2019-AC2019)</f>
        <v/>
      </c>
      <c r="AE2019" s="7">
        <f>IF($E2019="","",AD2019-Q2019)</f>
        <v/>
      </c>
      <c r="AI2019" s="7" t="n"/>
      <c r="AL2019" s="11" t="n"/>
      <c r="AN2019">
        <f>IF($E2019="","",IF(COUNTIF($E$2:$E2019,$E2019)=1,1,0))</f>
        <v/>
      </c>
      <c r="AO2019">
        <f>IF($AN2019=1,SUMPRODUCT(--($AR$2:$AR$4001&lt;$AR2019))+1,"")</f>
        <v/>
      </c>
      <c r="AP2019">
        <f>IF($E2019="","",IF(OR($U2019=TRUE(),$U2019="TRUE"),1,0))</f>
        <v/>
      </c>
      <c r="AQ2019">
        <f>IF($E2019="","",IF($AA2019="Yes",1,0))</f>
        <v/>
      </c>
      <c r="AR2019">
        <f>IF($AN2019=1,IFERROR(VALUE(MID($E2019,2,20)),1000000000)+ROW()/100000,"")</f>
        <v/>
      </c>
    </row>
    <row r="2020">
      <c r="G2020" s="11" t="n"/>
      <c r="Q2020" s="7">
        <f>IF($E2020="","",P2020*Y2020/100)</f>
        <v/>
      </c>
      <c r="R2020" s="7" t="n"/>
      <c r="X2020" s="7" t="n"/>
      <c r="Y2020" s="7" t="n"/>
      <c r="AB2020">
        <f>IF($E2020="","",IF($AQ2020=1,0,IF($AP2020=1,Settings!$C$6,Settings!$C$7))*100)</f>
        <v/>
      </c>
      <c r="AC2020" s="7">
        <f>IF($E2020="","",Y2020*AB2020/100)</f>
        <v/>
      </c>
      <c r="AD2020" s="7">
        <f>IF($E2020="","",Y2020-AC2020)</f>
        <v/>
      </c>
      <c r="AE2020" s="7">
        <f>IF($E2020="","",AD2020-Q2020)</f>
        <v/>
      </c>
      <c r="AI2020" s="7" t="n"/>
      <c r="AL2020" s="11" t="n"/>
      <c r="AN2020">
        <f>IF($E2020="","",IF(COUNTIF($E$2:$E2020,$E2020)=1,1,0))</f>
        <v/>
      </c>
      <c r="AO2020">
        <f>IF($AN2020=1,SUMPRODUCT(--($AR$2:$AR$4001&lt;$AR2020))+1,"")</f>
        <v/>
      </c>
      <c r="AP2020">
        <f>IF($E2020="","",IF(OR($U2020=TRUE(),$U2020="TRUE"),1,0))</f>
        <v/>
      </c>
      <c r="AQ2020">
        <f>IF($E2020="","",IF($AA2020="Yes",1,0))</f>
        <v/>
      </c>
      <c r="AR2020">
        <f>IF($AN2020=1,IFERROR(VALUE(MID($E2020,2,20)),1000000000)+ROW()/100000,"")</f>
        <v/>
      </c>
    </row>
    <row r="2021">
      <c r="G2021" s="11" t="n"/>
      <c r="Q2021" s="7">
        <f>IF($E2021="","",P2021*Y2021/100)</f>
        <v/>
      </c>
      <c r="R2021" s="7" t="n"/>
      <c r="X2021" s="7" t="n"/>
      <c r="Y2021" s="7" t="n"/>
      <c r="AB2021">
        <f>IF($E2021="","",IF($AQ2021=1,0,IF($AP2021=1,Settings!$C$6,Settings!$C$7))*100)</f>
        <v/>
      </c>
      <c r="AC2021" s="7">
        <f>IF($E2021="","",Y2021*AB2021/100)</f>
        <v/>
      </c>
      <c r="AD2021" s="7">
        <f>IF($E2021="","",Y2021-AC2021)</f>
        <v/>
      </c>
      <c r="AE2021" s="7">
        <f>IF($E2021="","",AD2021-Q2021)</f>
        <v/>
      </c>
      <c r="AI2021" s="7" t="n"/>
      <c r="AL2021" s="11" t="n"/>
      <c r="AN2021">
        <f>IF($E2021="","",IF(COUNTIF($E$2:$E2021,$E2021)=1,1,0))</f>
        <v/>
      </c>
      <c r="AO2021">
        <f>IF($AN2021=1,SUMPRODUCT(--($AR$2:$AR$4001&lt;$AR2021))+1,"")</f>
        <v/>
      </c>
      <c r="AP2021">
        <f>IF($E2021="","",IF(OR($U2021=TRUE(),$U2021="TRUE"),1,0))</f>
        <v/>
      </c>
      <c r="AQ2021">
        <f>IF($E2021="","",IF($AA2021="Yes",1,0))</f>
        <v/>
      </c>
      <c r="AR2021">
        <f>IF($AN2021=1,IFERROR(VALUE(MID($E2021,2,20)),1000000000)+ROW()/100000,"")</f>
        <v/>
      </c>
    </row>
    <row r="2022">
      <c r="G2022" s="11" t="n"/>
      <c r="Q2022" s="7">
        <f>IF($E2022="","",P2022*Y2022/100)</f>
        <v/>
      </c>
      <c r="R2022" s="7" t="n"/>
      <c r="X2022" s="7" t="n"/>
      <c r="Y2022" s="7" t="n"/>
      <c r="AB2022">
        <f>IF($E2022="","",IF($AQ2022=1,0,IF($AP2022=1,Settings!$C$6,Settings!$C$7))*100)</f>
        <v/>
      </c>
      <c r="AC2022" s="7">
        <f>IF($E2022="","",Y2022*AB2022/100)</f>
        <v/>
      </c>
      <c r="AD2022" s="7">
        <f>IF($E2022="","",Y2022-AC2022)</f>
        <v/>
      </c>
      <c r="AE2022" s="7">
        <f>IF($E2022="","",AD2022-Q2022)</f>
        <v/>
      </c>
      <c r="AI2022" s="7" t="n"/>
      <c r="AL2022" s="11" t="n"/>
      <c r="AN2022">
        <f>IF($E2022="","",IF(COUNTIF($E$2:$E2022,$E2022)=1,1,0))</f>
        <v/>
      </c>
      <c r="AO2022">
        <f>IF($AN2022=1,SUMPRODUCT(--($AR$2:$AR$4001&lt;$AR2022))+1,"")</f>
        <v/>
      </c>
      <c r="AP2022">
        <f>IF($E2022="","",IF(OR($U2022=TRUE(),$U2022="TRUE"),1,0))</f>
        <v/>
      </c>
      <c r="AQ2022">
        <f>IF($E2022="","",IF($AA2022="Yes",1,0))</f>
        <v/>
      </c>
      <c r="AR2022">
        <f>IF($AN2022=1,IFERROR(VALUE(MID($E2022,2,20)),1000000000)+ROW()/100000,"")</f>
        <v/>
      </c>
    </row>
    <row r="2023">
      <c r="G2023" s="11" t="n"/>
      <c r="Q2023" s="7">
        <f>IF($E2023="","",P2023*Y2023/100)</f>
        <v/>
      </c>
      <c r="R2023" s="7" t="n"/>
      <c r="X2023" s="7" t="n"/>
      <c r="Y2023" s="7" t="n"/>
      <c r="AB2023">
        <f>IF($E2023="","",IF($AQ2023=1,0,IF($AP2023=1,Settings!$C$6,Settings!$C$7))*100)</f>
        <v/>
      </c>
      <c r="AC2023" s="7">
        <f>IF($E2023="","",Y2023*AB2023/100)</f>
        <v/>
      </c>
      <c r="AD2023" s="7">
        <f>IF($E2023="","",Y2023-AC2023)</f>
        <v/>
      </c>
      <c r="AE2023" s="7">
        <f>IF($E2023="","",AD2023-Q2023)</f>
        <v/>
      </c>
      <c r="AI2023" s="7" t="n"/>
      <c r="AL2023" s="11" t="n"/>
      <c r="AN2023">
        <f>IF($E2023="","",IF(COUNTIF($E$2:$E2023,$E2023)=1,1,0))</f>
        <v/>
      </c>
      <c r="AO2023">
        <f>IF($AN2023=1,SUMPRODUCT(--($AR$2:$AR$4001&lt;$AR2023))+1,"")</f>
        <v/>
      </c>
      <c r="AP2023">
        <f>IF($E2023="","",IF(OR($U2023=TRUE(),$U2023="TRUE"),1,0))</f>
        <v/>
      </c>
      <c r="AQ2023">
        <f>IF($E2023="","",IF($AA2023="Yes",1,0))</f>
        <v/>
      </c>
      <c r="AR2023">
        <f>IF($AN2023=1,IFERROR(VALUE(MID($E2023,2,20)),1000000000)+ROW()/100000,"")</f>
        <v/>
      </c>
    </row>
    <row r="2024">
      <c r="G2024" s="11" t="n"/>
      <c r="Q2024" s="7">
        <f>IF($E2024="","",P2024*Y2024/100)</f>
        <v/>
      </c>
      <c r="R2024" s="7" t="n"/>
      <c r="X2024" s="7" t="n"/>
      <c r="Y2024" s="7" t="n"/>
      <c r="AB2024">
        <f>IF($E2024="","",IF($AQ2024=1,0,IF($AP2024=1,Settings!$C$6,Settings!$C$7))*100)</f>
        <v/>
      </c>
      <c r="AC2024" s="7">
        <f>IF($E2024="","",Y2024*AB2024/100)</f>
        <v/>
      </c>
      <c r="AD2024" s="7">
        <f>IF($E2024="","",Y2024-AC2024)</f>
        <v/>
      </c>
      <c r="AE2024" s="7">
        <f>IF($E2024="","",AD2024-Q2024)</f>
        <v/>
      </c>
      <c r="AI2024" s="7" t="n"/>
      <c r="AL2024" s="11" t="n"/>
      <c r="AN2024">
        <f>IF($E2024="","",IF(COUNTIF($E$2:$E2024,$E2024)=1,1,0))</f>
        <v/>
      </c>
      <c r="AO2024">
        <f>IF($AN2024=1,SUMPRODUCT(--($AR$2:$AR$4001&lt;$AR2024))+1,"")</f>
        <v/>
      </c>
      <c r="AP2024">
        <f>IF($E2024="","",IF(OR($U2024=TRUE(),$U2024="TRUE"),1,0))</f>
        <v/>
      </c>
      <c r="AQ2024">
        <f>IF($E2024="","",IF($AA2024="Yes",1,0))</f>
        <v/>
      </c>
      <c r="AR2024">
        <f>IF($AN2024=1,IFERROR(VALUE(MID($E2024,2,20)),1000000000)+ROW()/100000,"")</f>
        <v/>
      </c>
    </row>
    <row r="2025">
      <c r="G2025" s="11" t="n"/>
      <c r="Q2025" s="7">
        <f>IF($E2025="","",P2025*Y2025/100)</f>
        <v/>
      </c>
      <c r="R2025" s="7" t="n"/>
      <c r="X2025" s="7" t="n"/>
      <c r="Y2025" s="7" t="n"/>
      <c r="AB2025">
        <f>IF($E2025="","",IF($AQ2025=1,0,IF($AP2025=1,Settings!$C$6,Settings!$C$7))*100)</f>
        <v/>
      </c>
      <c r="AC2025" s="7">
        <f>IF($E2025="","",Y2025*AB2025/100)</f>
        <v/>
      </c>
      <c r="AD2025" s="7">
        <f>IF($E2025="","",Y2025-AC2025)</f>
        <v/>
      </c>
      <c r="AE2025" s="7">
        <f>IF($E2025="","",AD2025-Q2025)</f>
        <v/>
      </c>
      <c r="AI2025" s="7" t="n"/>
      <c r="AL2025" s="11" t="n"/>
      <c r="AN2025">
        <f>IF($E2025="","",IF(COUNTIF($E$2:$E2025,$E2025)=1,1,0))</f>
        <v/>
      </c>
      <c r="AO2025">
        <f>IF($AN2025=1,SUMPRODUCT(--($AR$2:$AR$4001&lt;$AR2025))+1,"")</f>
        <v/>
      </c>
      <c r="AP2025">
        <f>IF($E2025="","",IF(OR($U2025=TRUE(),$U2025="TRUE"),1,0))</f>
        <v/>
      </c>
      <c r="AQ2025">
        <f>IF($E2025="","",IF($AA2025="Yes",1,0))</f>
        <v/>
      </c>
      <c r="AR2025">
        <f>IF($AN2025=1,IFERROR(VALUE(MID($E2025,2,20)),1000000000)+ROW()/100000,"")</f>
        <v/>
      </c>
    </row>
    <row r="2026">
      <c r="G2026" s="11" t="n"/>
      <c r="Q2026" s="7">
        <f>IF($E2026="","",P2026*Y2026/100)</f>
        <v/>
      </c>
      <c r="R2026" s="7" t="n"/>
      <c r="X2026" s="7" t="n"/>
      <c r="Y2026" s="7" t="n"/>
      <c r="AB2026">
        <f>IF($E2026="","",IF($AQ2026=1,0,IF($AP2026=1,Settings!$C$6,Settings!$C$7))*100)</f>
        <v/>
      </c>
      <c r="AC2026" s="7">
        <f>IF($E2026="","",Y2026*AB2026/100)</f>
        <v/>
      </c>
      <c r="AD2026" s="7">
        <f>IF($E2026="","",Y2026-AC2026)</f>
        <v/>
      </c>
      <c r="AE2026" s="7">
        <f>IF($E2026="","",AD2026-Q2026)</f>
        <v/>
      </c>
      <c r="AI2026" s="7" t="n"/>
      <c r="AL2026" s="11" t="n"/>
      <c r="AN2026">
        <f>IF($E2026="","",IF(COUNTIF($E$2:$E2026,$E2026)=1,1,0))</f>
        <v/>
      </c>
      <c r="AO2026">
        <f>IF($AN2026=1,SUMPRODUCT(--($AR$2:$AR$4001&lt;$AR2026))+1,"")</f>
        <v/>
      </c>
      <c r="AP2026">
        <f>IF($E2026="","",IF(OR($U2026=TRUE(),$U2026="TRUE"),1,0))</f>
        <v/>
      </c>
      <c r="AQ2026">
        <f>IF($E2026="","",IF($AA2026="Yes",1,0))</f>
        <v/>
      </c>
      <c r="AR2026">
        <f>IF($AN2026=1,IFERROR(VALUE(MID($E2026,2,20)),1000000000)+ROW()/100000,"")</f>
        <v/>
      </c>
    </row>
    <row r="2027">
      <c r="G2027" s="11" t="n"/>
      <c r="Q2027" s="7">
        <f>IF($E2027="","",P2027*Y2027/100)</f>
        <v/>
      </c>
      <c r="R2027" s="7" t="n"/>
      <c r="X2027" s="7" t="n"/>
      <c r="Y2027" s="7" t="n"/>
      <c r="AB2027">
        <f>IF($E2027="","",IF($AQ2027=1,0,IF($AP2027=1,Settings!$C$6,Settings!$C$7))*100)</f>
        <v/>
      </c>
      <c r="AC2027" s="7">
        <f>IF($E2027="","",Y2027*AB2027/100)</f>
        <v/>
      </c>
      <c r="AD2027" s="7">
        <f>IF($E2027="","",Y2027-AC2027)</f>
        <v/>
      </c>
      <c r="AE2027" s="7">
        <f>IF($E2027="","",AD2027-Q2027)</f>
        <v/>
      </c>
      <c r="AI2027" s="7" t="n"/>
      <c r="AL2027" s="11" t="n"/>
      <c r="AN2027">
        <f>IF($E2027="","",IF(COUNTIF($E$2:$E2027,$E2027)=1,1,0))</f>
        <v/>
      </c>
      <c r="AO2027">
        <f>IF($AN2027=1,SUMPRODUCT(--($AR$2:$AR$4001&lt;$AR2027))+1,"")</f>
        <v/>
      </c>
      <c r="AP2027">
        <f>IF($E2027="","",IF(OR($U2027=TRUE(),$U2027="TRUE"),1,0))</f>
        <v/>
      </c>
      <c r="AQ2027">
        <f>IF($E2027="","",IF($AA2027="Yes",1,0))</f>
        <v/>
      </c>
      <c r="AR2027">
        <f>IF($AN2027=1,IFERROR(VALUE(MID($E2027,2,20)),1000000000)+ROW()/100000,"")</f>
        <v/>
      </c>
    </row>
    <row r="2028">
      <c r="G2028" s="11" t="n"/>
      <c r="Q2028" s="7">
        <f>IF($E2028="","",P2028*Y2028/100)</f>
        <v/>
      </c>
      <c r="R2028" s="7" t="n"/>
      <c r="X2028" s="7" t="n"/>
      <c r="Y2028" s="7" t="n"/>
      <c r="AB2028">
        <f>IF($E2028="","",IF($AQ2028=1,0,IF($AP2028=1,Settings!$C$6,Settings!$C$7))*100)</f>
        <v/>
      </c>
      <c r="AC2028" s="7">
        <f>IF($E2028="","",Y2028*AB2028/100)</f>
        <v/>
      </c>
      <c r="AD2028" s="7">
        <f>IF($E2028="","",Y2028-AC2028)</f>
        <v/>
      </c>
      <c r="AE2028" s="7">
        <f>IF($E2028="","",AD2028-Q2028)</f>
        <v/>
      </c>
      <c r="AI2028" s="7" t="n"/>
      <c r="AL2028" s="11" t="n"/>
      <c r="AN2028">
        <f>IF($E2028="","",IF(COUNTIF($E$2:$E2028,$E2028)=1,1,0))</f>
        <v/>
      </c>
      <c r="AO2028">
        <f>IF($AN2028=1,SUMPRODUCT(--($AR$2:$AR$4001&lt;$AR2028))+1,"")</f>
        <v/>
      </c>
      <c r="AP2028">
        <f>IF($E2028="","",IF(OR($U2028=TRUE(),$U2028="TRUE"),1,0))</f>
        <v/>
      </c>
      <c r="AQ2028">
        <f>IF($E2028="","",IF($AA2028="Yes",1,0))</f>
        <v/>
      </c>
      <c r="AR2028">
        <f>IF($AN2028=1,IFERROR(VALUE(MID($E2028,2,20)),1000000000)+ROW()/100000,"")</f>
        <v/>
      </c>
    </row>
    <row r="2029">
      <c r="G2029" s="11" t="n"/>
      <c r="Q2029" s="7">
        <f>IF($E2029="","",P2029*Y2029/100)</f>
        <v/>
      </c>
      <c r="R2029" s="7" t="n"/>
      <c r="X2029" s="7" t="n"/>
      <c r="Y2029" s="7" t="n"/>
      <c r="AB2029">
        <f>IF($E2029="","",IF($AQ2029=1,0,IF($AP2029=1,Settings!$C$6,Settings!$C$7))*100)</f>
        <v/>
      </c>
      <c r="AC2029" s="7">
        <f>IF($E2029="","",Y2029*AB2029/100)</f>
        <v/>
      </c>
      <c r="AD2029" s="7">
        <f>IF($E2029="","",Y2029-AC2029)</f>
        <v/>
      </c>
      <c r="AE2029" s="7">
        <f>IF($E2029="","",AD2029-Q2029)</f>
        <v/>
      </c>
      <c r="AI2029" s="7" t="n"/>
      <c r="AL2029" s="11" t="n"/>
      <c r="AN2029">
        <f>IF($E2029="","",IF(COUNTIF($E$2:$E2029,$E2029)=1,1,0))</f>
        <v/>
      </c>
      <c r="AO2029">
        <f>IF($AN2029=1,SUMPRODUCT(--($AR$2:$AR$4001&lt;$AR2029))+1,"")</f>
        <v/>
      </c>
      <c r="AP2029">
        <f>IF($E2029="","",IF(OR($U2029=TRUE(),$U2029="TRUE"),1,0))</f>
        <v/>
      </c>
      <c r="AQ2029">
        <f>IF($E2029="","",IF($AA2029="Yes",1,0))</f>
        <v/>
      </c>
      <c r="AR2029">
        <f>IF($AN2029=1,IFERROR(VALUE(MID($E2029,2,20)),1000000000)+ROW()/100000,"")</f>
        <v/>
      </c>
    </row>
    <row r="2030">
      <c r="G2030" s="11" t="n"/>
      <c r="Q2030" s="7">
        <f>IF($E2030="","",P2030*Y2030/100)</f>
        <v/>
      </c>
      <c r="R2030" s="7" t="n"/>
      <c r="X2030" s="7" t="n"/>
      <c r="Y2030" s="7" t="n"/>
      <c r="AB2030">
        <f>IF($E2030="","",IF($AQ2030=1,0,IF($AP2030=1,Settings!$C$6,Settings!$C$7))*100)</f>
        <v/>
      </c>
      <c r="AC2030" s="7">
        <f>IF($E2030="","",Y2030*AB2030/100)</f>
        <v/>
      </c>
      <c r="AD2030" s="7">
        <f>IF($E2030="","",Y2030-AC2030)</f>
        <v/>
      </c>
      <c r="AE2030" s="7">
        <f>IF($E2030="","",AD2030-Q2030)</f>
        <v/>
      </c>
      <c r="AI2030" s="7" t="n"/>
      <c r="AL2030" s="11" t="n"/>
      <c r="AN2030">
        <f>IF($E2030="","",IF(COUNTIF($E$2:$E2030,$E2030)=1,1,0))</f>
        <v/>
      </c>
      <c r="AO2030">
        <f>IF($AN2030=1,SUMPRODUCT(--($AR$2:$AR$4001&lt;$AR2030))+1,"")</f>
        <v/>
      </c>
      <c r="AP2030">
        <f>IF($E2030="","",IF(OR($U2030=TRUE(),$U2030="TRUE"),1,0))</f>
        <v/>
      </c>
      <c r="AQ2030">
        <f>IF($E2030="","",IF($AA2030="Yes",1,0))</f>
        <v/>
      </c>
      <c r="AR2030">
        <f>IF($AN2030=1,IFERROR(VALUE(MID($E2030,2,20)),1000000000)+ROW()/100000,"")</f>
        <v/>
      </c>
    </row>
    <row r="2031">
      <c r="G2031" s="11" t="n"/>
      <c r="Q2031" s="7">
        <f>IF($E2031="","",P2031*Y2031/100)</f>
        <v/>
      </c>
      <c r="R2031" s="7" t="n"/>
      <c r="X2031" s="7" t="n"/>
      <c r="Y2031" s="7" t="n"/>
      <c r="AB2031">
        <f>IF($E2031="","",IF($AQ2031=1,0,IF($AP2031=1,Settings!$C$6,Settings!$C$7))*100)</f>
        <v/>
      </c>
      <c r="AC2031" s="7">
        <f>IF($E2031="","",Y2031*AB2031/100)</f>
        <v/>
      </c>
      <c r="AD2031" s="7">
        <f>IF($E2031="","",Y2031-AC2031)</f>
        <v/>
      </c>
      <c r="AE2031" s="7">
        <f>IF($E2031="","",AD2031-Q2031)</f>
        <v/>
      </c>
      <c r="AI2031" s="7" t="n"/>
      <c r="AL2031" s="11" t="n"/>
      <c r="AN2031">
        <f>IF($E2031="","",IF(COUNTIF($E$2:$E2031,$E2031)=1,1,0))</f>
        <v/>
      </c>
      <c r="AO2031">
        <f>IF($AN2031=1,SUMPRODUCT(--($AR$2:$AR$4001&lt;$AR2031))+1,"")</f>
        <v/>
      </c>
      <c r="AP2031">
        <f>IF($E2031="","",IF(OR($U2031=TRUE(),$U2031="TRUE"),1,0))</f>
        <v/>
      </c>
      <c r="AQ2031">
        <f>IF($E2031="","",IF($AA2031="Yes",1,0))</f>
        <v/>
      </c>
      <c r="AR2031">
        <f>IF($AN2031=1,IFERROR(VALUE(MID($E2031,2,20)),1000000000)+ROW()/100000,"")</f>
        <v/>
      </c>
    </row>
    <row r="2032">
      <c r="G2032" s="11" t="n"/>
      <c r="Q2032" s="7">
        <f>IF($E2032="","",P2032*Y2032/100)</f>
        <v/>
      </c>
      <c r="R2032" s="7" t="n"/>
      <c r="X2032" s="7" t="n"/>
      <c r="Y2032" s="7" t="n"/>
      <c r="AB2032">
        <f>IF($E2032="","",IF($AQ2032=1,0,IF($AP2032=1,Settings!$C$6,Settings!$C$7))*100)</f>
        <v/>
      </c>
      <c r="AC2032" s="7">
        <f>IF($E2032="","",Y2032*AB2032/100)</f>
        <v/>
      </c>
      <c r="AD2032" s="7">
        <f>IF($E2032="","",Y2032-AC2032)</f>
        <v/>
      </c>
      <c r="AE2032" s="7">
        <f>IF($E2032="","",AD2032-Q2032)</f>
        <v/>
      </c>
      <c r="AI2032" s="7" t="n"/>
      <c r="AL2032" s="11" t="n"/>
      <c r="AN2032">
        <f>IF($E2032="","",IF(COUNTIF($E$2:$E2032,$E2032)=1,1,0))</f>
        <v/>
      </c>
      <c r="AO2032">
        <f>IF($AN2032=1,SUMPRODUCT(--($AR$2:$AR$4001&lt;$AR2032))+1,"")</f>
        <v/>
      </c>
      <c r="AP2032">
        <f>IF($E2032="","",IF(OR($U2032=TRUE(),$U2032="TRUE"),1,0))</f>
        <v/>
      </c>
      <c r="AQ2032">
        <f>IF($E2032="","",IF($AA2032="Yes",1,0))</f>
        <v/>
      </c>
      <c r="AR2032">
        <f>IF($AN2032=1,IFERROR(VALUE(MID($E2032,2,20)),1000000000)+ROW()/100000,"")</f>
        <v/>
      </c>
    </row>
    <row r="2033">
      <c r="G2033" s="11" t="n"/>
      <c r="Q2033" s="7">
        <f>IF($E2033="","",P2033*Y2033/100)</f>
        <v/>
      </c>
      <c r="R2033" s="7" t="n"/>
      <c r="X2033" s="7" t="n"/>
      <c r="Y2033" s="7" t="n"/>
      <c r="AB2033">
        <f>IF($E2033="","",IF($AQ2033=1,0,IF($AP2033=1,Settings!$C$6,Settings!$C$7))*100)</f>
        <v/>
      </c>
      <c r="AC2033" s="7">
        <f>IF($E2033="","",Y2033*AB2033/100)</f>
        <v/>
      </c>
      <c r="AD2033" s="7">
        <f>IF($E2033="","",Y2033-AC2033)</f>
        <v/>
      </c>
      <c r="AE2033" s="7">
        <f>IF($E2033="","",AD2033-Q2033)</f>
        <v/>
      </c>
      <c r="AI2033" s="7" t="n"/>
      <c r="AL2033" s="11" t="n"/>
      <c r="AN2033">
        <f>IF($E2033="","",IF(COUNTIF($E$2:$E2033,$E2033)=1,1,0))</f>
        <v/>
      </c>
      <c r="AO2033">
        <f>IF($AN2033=1,SUMPRODUCT(--($AR$2:$AR$4001&lt;$AR2033))+1,"")</f>
        <v/>
      </c>
      <c r="AP2033">
        <f>IF($E2033="","",IF(OR($U2033=TRUE(),$U2033="TRUE"),1,0))</f>
        <v/>
      </c>
      <c r="AQ2033">
        <f>IF($E2033="","",IF($AA2033="Yes",1,0))</f>
        <v/>
      </c>
      <c r="AR2033">
        <f>IF($AN2033=1,IFERROR(VALUE(MID($E2033,2,20)),1000000000)+ROW()/100000,"")</f>
        <v/>
      </c>
    </row>
    <row r="2034">
      <c r="G2034" s="11" t="n"/>
      <c r="Q2034" s="7">
        <f>IF($E2034="","",P2034*Y2034/100)</f>
        <v/>
      </c>
      <c r="R2034" s="7" t="n"/>
      <c r="X2034" s="7" t="n"/>
      <c r="Y2034" s="7" t="n"/>
      <c r="AB2034">
        <f>IF($E2034="","",IF($AQ2034=1,0,IF($AP2034=1,Settings!$C$6,Settings!$C$7))*100)</f>
        <v/>
      </c>
      <c r="AC2034" s="7">
        <f>IF($E2034="","",Y2034*AB2034/100)</f>
        <v/>
      </c>
      <c r="AD2034" s="7">
        <f>IF($E2034="","",Y2034-AC2034)</f>
        <v/>
      </c>
      <c r="AE2034" s="7">
        <f>IF($E2034="","",AD2034-Q2034)</f>
        <v/>
      </c>
      <c r="AI2034" s="7" t="n"/>
      <c r="AL2034" s="11" t="n"/>
      <c r="AN2034">
        <f>IF($E2034="","",IF(COUNTIF($E$2:$E2034,$E2034)=1,1,0))</f>
        <v/>
      </c>
      <c r="AO2034">
        <f>IF($AN2034=1,SUMPRODUCT(--($AR$2:$AR$4001&lt;$AR2034))+1,"")</f>
        <v/>
      </c>
      <c r="AP2034">
        <f>IF($E2034="","",IF(OR($U2034=TRUE(),$U2034="TRUE"),1,0))</f>
        <v/>
      </c>
      <c r="AQ2034">
        <f>IF($E2034="","",IF($AA2034="Yes",1,0))</f>
        <v/>
      </c>
      <c r="AR2034">
        <f>IF($AN2034=1,IFERROR(VALUE(MID($E2034,2,20)),1000000000)+ROW()/100000,"")</f>
        <v/>
      </c>
    </row>
    <row r="2035">
      <c r="G2035" s="11" t="n"/>
      <c r="Q2035" s="7">
        <f>IF($E2035="","",P2035*Y2035/100)</f>
        <v/>
      </c>
      <c r="R2035" s="7" t="n"/>
      <c r="X2035" s="7" t="n"/>
      <c r="Y2035" s="7" t="n"/>
      <c r="AB2035">
        <f>IF($E2035="","",IF($AQ2035=1,0,IF($AP2035=1,Settings!$C$6,Settings!$C$7))*100)</f>
        <v/>
      </c>
      <c r="AC2035" s="7">
        <f>IF($E2035="","",Y2035*AB2035/100)</f>
        <v/>
      </c>
      <c r="AD2035" s="7">
        <f>IF($E2035="","",Y2035-AC2035)</f>
        <v/>
      </c>
      <c r="AE2035" s="7">
        <f>IF($E2035="","",AD2035-Q2035)</f>
        <v/>
      </c>
      <c r="AI2035" s="7" t="n"/>
      <c r="AL2035" s="11" t="n"/>
      <c r="AN2035">
        <f>IF($E2035="","",IF(COUNTIF($E$2:$E2035,$E2035)=1,1,0))</f>
        <v/>
      </c>
      <c r="AO2035">
        <f>IF($AN2035=1,SUMPRODUCT(--($AR$2:$AR$4001&lt;$AR2035))+1,"")</f>
        <v/>
      </c>
      <c r="AP2035">
        <f>IF($E2035="","",IF(OR($U2035=TRUE(),$U2035="TRUE"),1,0))</f>
        <v/>
      </c>
      <c r="AQ2035">
        <f>IF($E2035="","",IF($AA2035="Yes",1,0))</f>
        <v/>
      </c>
      <c r="AR2035">
        <f>IF($AN2035=1,IFERROR(VALUE(MID($E2035,2,20)),1000000000)+ROW()/100000,"")</f>
        <v/>
      </c>
    </row>
    <row r="2036">
      <c r="G2036" s="11" t="n"/>
      <c r="Q2036" s="7">
        <f>IF($E2036="","",P2036*Y2036/100)</f>
        <v/>
      </c>
      <c r="R2036" s="7" t="n"/>
      <c r="X2036" s="7" t="n"/>
      <c r="Y2036" s="7" t="n"/>
      <c r="AB2036">
        <f>IF($E2036="","",IF($AQ2036=1,0,IF($AP2036=1,Settings!$C$6,Settings!$C$7))*100)</f>
        <v/>
      </c>
      <c r="AC2036" s="7">
        <f>IF($E2036="","",Y2036*AB2036/100)</f>
        <v/>
      </c>
      <c r="AD2036" s="7">
        <f>IF($E2036="","",Y2036-AC2036)</f>
        <v/>
      </c>
      <c r="AE2036" s="7">
        <f>IF($E2036="","",AD2036-Q2036)</f>
        <v/>
      </c>
      <c r="AI2036" s="7" t="n"/>
      <c r="AL2036" s="11" t="n"/>
      <c r="AN2036">
        <f>IF($E2036="","",IF(COUNTIF($E$2:$E2036,$E2036)=1,1,0))</f>
        <v/>
      </c>
      <c r="AO2036">
        <f>IF($AN2036=1,SUMPRODUCT(--($AR$2:$AR$4001&lt;$AR2036))+1,"")</f>
        <v/>
      </c>
      <c r="AP2036">
        <f>IF($E2036="","",IF(OR($U2036=TRUE(),$U2036="TRUE"),1,0))</f>
        <v/>
      </c>
      <c r="AQ2036">
        <f>IF($E2036="","",IF($AA2036="Yes",1,0))</f>
        <v/>
      </c>
      <c r="AR2036">
        <f>IF($AN2036=1,IFERROR(VALUE(MID($E2036,2,20)),1000000000)+ROW()/100000,"")</f>
        <v/>
      </c>
    </row>
    <row r="2037">
      <c r="G2037" s="11" t="n"/>
      <c r="Q2037" s="7">
        <f>IF($E2037="","",P2037*Y2037/100)</f>
        <v/>
      </c>
      <c r="R2037" s="7" t="n"/>
      <c r="X2037" s="7" t="n"/>
      <c r="Y2037" s="7" t="n"/>
      <c r="AB2037">
        <f>IF($E2037="","",IF($AQ2037=1,0,IF($AP2037=1,Settings!$C$6,Settings!$C$7))*100)</f>
        <v/>
      </c>
      <c r="AC2037" s="7">
        <f>IF($E2037="","",Y2037*AB2037/100)</f>
        <v/>
      </c>
      <c r="AD2037" s="7">
        <f>IF($E2037="","",Y2037-AC2037)</f>
        <v/>
      </c>
      <c r="AE2037" s="7">
        <f>IF($E2037="","",AD2037-Q2037)</f>
        <v/>
      </c>
      <c r="AI2037" s="7" t="n"/>
      <c r="AL2037" s="11" t="n"/>
      <c r="AN2037">
        <f>IF($E2037="","",IF(COUNTIF($E$2:$E2037,$E2037)=1,1,0))</f>
        <v/>
      </c>
      <c r="AO2037">
        <f>IF($AN2037=1,SUMPRODUCT(--($AR$2:$AR$4001&lt;$AR2037))+1,"")</f>
        <v/>
      </c>
      <c r="AP2037">
        <f>IF($E2037="","",IF(OR($U2037=TRUE(),$U2037="TRUE"),1,0))</f>
        <v/>
      </c>
      <c r="AQ2037">
        <f>IF($E2037="","",IF($AA2037="Yes",1,0))</f>
        <v/>
      </c>
      <c r="AR2037">
        <f>IF($AN2037=1,IFERROR(VALUE(MID($E2037,2,20)),1000000000)+ROW()/100000,"")</f>
        <v/>
      </c>
    </row>
    <row r="2038">
      <c r="G2038" s="11" t="n"/>
      <c r="Q2038" s="7">
        <f>IF($E2038="","",P2038*Y2038/100)</f>
        <v/>
      </c>
      <c r="R2038" s="7" t="n"/>
      <c r="X2038" s="7" t="n"/>
      <c r="Y2038" s="7" t="n"/>
      <c r="AB2038">
        <f>IF($E2038="","",IF($AQ2038=1,0,IF($AP2038=1,Settings!$C$6,Settings!$C$7))*100)</f>
        <v/>
      </c>
      <c r="AC2038" s="7">
        <f>IF($E2038="","",Y2038*AB2038/100)</f>
        <v/>
      </c>
      <c r="AD2038" s="7">
        <f>IF($E2038="","",Y2038-AC2038)</f>
        <v/>
      </c>
      <c r="AE2038" s="7">
        <f>IF($E2038="","",AD2038-Q2038)</f>
        <v/>
      </c>
      <c r="AI2038" s="7" t="n"/>
      <c r="AL2038" s="11" t="n"/>
      <c r="AN2038">
        <f>IF($E2038="","",IF(COUNTIF($E$2:$E2038,$E2038)=1,1,0))</f>
        <v/>
      </c>
      <c r="AO2038">
        <f>IF($AN2038=1,SUMPRODUCT(--($AR$2:$AR$4001&lt;$AR2038))+1,"")</f>
        <v/>
      </c>
      <c r="AP2038">
        <f>IF($E2038="","",IF(OR($U2038=TRUE(),$U2038="TRUE"),1,0))</f>
        <v/>
      </c>
      <c r="AQ2038">
        <f>IF($E2038="","",IF($AA2038="Yes",1,0))</f>
        <v/>
      </c>
      <c r="AR2038">
        <f>IF($AN2038=1,IFERROR(VALUE(MID($E2038,2,20)),1000000000)+ROW()/100000,"")</f>
        <v/>
      </c>
    </row>
    <row r="2039">
      <c r="G2039" s="11" t="n"/>
      <c r="Q2039" s="7">
        <f>IF($E2039="","",P2039*Y2039/100)</f>
        <v/>
      </c>
      <c r="R2039" s="7" t="n"/>
      <c r="X2039" s="7" t="n"/>
      <c r="Y2039" s="7" t="n"/>
      <c r="AB2039">
        <f>IF($E2039="","",IF($AQ2039=1,0,IF($AP2039=1,Settings!$C$6,Settings!$C$7))*100)</f>
        <v/>
      </c>
      <c r="AC2039" s="7">
        <f>IF($E2039="","",Y2039*AB2039/100)</f>
        <v/>
      </c>
      <c r="AD2039" s="7">
        <f>IF($E2039="","",Y2039-AC2039)</f>
        <v/>
      </c>
      <c r="AE2039" s="7">
        <f>IF($E2039="","",AD2039-Q2039)</f>
        <v/>
      </c>
      <c r="AI2039" s="7" t="n"/>
      <c r="AL2039" s="11" t="n"/>
      <c r="AN2039">
        <f>IF($E2039="","",IF(COUNTIF($E$2:$E2039,$E2039)=1,1,0))</f>
        <v/>
      </c>
      <c r="AO2039">
        <f>IF($AN2039=1,SUMPRODUCT(--($AR$2:$AR$4001&lt;$AR2039))+1,"")</f>
        <v/>
      </c>
      <c r="AP2039">
        <f>IF($E2039="","",IF(OR($U2039=TRUE(),$U2039="TRUE"),1,0))</f>
        <v/>
      </c>
      <c r="AQ2039">
        <f>IF($E2039="","",IF($AA2039="Yes",1,0))</f>
        <v/>
      </c>
      <c r="AR2039">
        <f>IF($AN2039=1,IFERROR(VALUE(MID($E2039,2,20)),1000000000)+ROW()/100000,"")</f>
        <v/>
      </c>
    </row>
    <row r="2040">
      <c r="G2040" s="11" t="n"/>
      <c r="Q2040" s="7">
        <f>IF($E2040="","",P2040*Y2040/100)</f>
        <v/>
      </c>
      <c r="R2040" s="7" t="n"/>
      <c r="X2040" s="7" t="n"/>
      <c r="Y2040" s="7" t="n"/>
      <c r="AB2040">
        <f>IF($E2040="","",IF($AQ2040=1,0,IF($AP2040=1,Settings!$C$6,Settings!$C$7))*100)</f>
        <v/>
      </c>
      <c r="AC2040" s="7">
        <f>IF($E2040="","",Y2040*AB2040/100)</f>
        <v/>
      </c>
      <c r="AD2040" s="7">
        <f>IF($E2040="","",Y2040-AC2040)</f>
        <v/>
      </c>
      <c r="AE2040" s="7">
        <f>IF($E2040="","",AD2040-Q2040)</f>
        <v/>
      </c>
      <c r="AI2040" s="7" t="n"/>
      <c r="AL2040" s="11" t="n"/>
      <c r="AN2040">
        <f>IF($E2040="","",IF(COUNTIF($E$2:$E2040,$E2040)=1,1,0))</f>
        <v/>
      </c>
      <c r="AO2040">
        <f>IF($AN2040=1,SUMPRODUCT(--($AR$2:$AR$4001&lt;$AR2040))+1,"")</f>
        <v/>
      </c>
      <c r="AP2040">
        <f>IF($E2040="","",IF(OR($U2040=TRUE(),$U2040="TRUE"),1,0))</f>
        <v/>
      </c>
      <c r="AQ2040">
        <f>IF($E2040="","",IF($AA2040="Yes",1,0))</f>
        <v/>
      </c>
      <c r="AR2040">
        <f>IF($AN2040=1,IFERROR(VALUE(MID($E2040,2,20)),1000000000)+ROW()/100000,"")</f>
        <v/>
      </c>
    </row>
    <row r="2041">
      <c r="G2041" s="11" t="n"/>
      <c r="Q2041" s="7">
        <f>IF($E2041="","",P2041*Y2041/100)</f>
        <v/>
      </c>
      <c r="R2041" s="7" t="n"/>
      <c r="X2041" s="7" t="n"/>
      <c r="Y2041" s="7" t="n"/>
      <c r="AB2041">
        <f>IF($E2041="","",IF($AQ2041=1,0,IF($AP2041=1,Settings!$C$6,Settings!$C$7))*100)</f>
        <v/>
      </c>
      <c r="AC2041" s="7">
        <f>IF($E2041="","",Y2041*AB2041/100)</f>
        <v/>
      </c>
      <c r="AD2041" s="7">
        <f>IF($E2041="","",Y2041-AC2041)</f>
        <v/>
      </c>
      <c r="AE2041" s="7">
        <f>IF($E2041="","",AD2041-Q2041)</f>
        <v/>
      </c>
      <c r="AI2041" s="7" t="n"/>
      <c r="AL2041" s="11" t="n"/>
      <c r="AN2041">
        <f>IF($E2041="","",IF(COUNTIF($E$2:$E2041,$E2041)=1,1,0))</f>
        <v/>
      </c>
      <c r="AO2041">
        <f>IF($AN2041=1,SUMPRODUCT(--($AR$2:$AR$4001&lt;$AR2041))+1,"")</f>
        <v/>
      </c>
      <c r="AP2041">
        <f>IF($E2041="","",IF(OR($U2041=TRUE(),$U2041="TRUE"),1,0))</f>
        <v/>
      </c>
      <c r="AQ2041">
        <f>IF($E2041="","",IF($AA2041="Yes",1,0))</f>
        <v/>
      </c>
      <c r="AR2041">
        <f>IF($AN2041=1,IFERROR(VALUE(MID($E2041,2,20)),1000000000)+ROW()/100000,"")</f>
        <v/>
      </c>
    </row>
    <row r="2042">
      <c r="G2042" s="11" t="n"/>
      <c r="Q2042" s="7">
        <f>IF($E2042="","",P2042*Y2042/100)</f>
        <v/>
      </c>
      <c r="R2042" s="7" t="n"/>
      <c r="X2042" s="7" t="n"/>
      <c r="Y2042" s="7" t="n"/>
      <c r="AB2042">
        <f>IF($E2042="","",IF($AQ2042=1,0,IF($AP2042=1,Settings!$C$6,Settings!$C$7))*100)</f>
        <v/>
      </c>
      <c r="AC2042" s="7">
        <f>IF($E2042="","",Y2042*AB2042/100)</f>
        <v/>
      </c>
      <c r="AD2042" s="7">
        <f>IF($E2042="","",Y2042-AC2042)</f>
        <v/>
      </c>
      <c r="AE2042" s="7">
        <f>IF($E2042="","",AD2042-Q2042)</f>
        <v/>
      </c>
      <c r="AI2042" s="7" t="n"/>
      <c r="AL2042" s="11" t="n"/>
      <c r="AN2042">
        <f>IF($E2042="","",IF(COUNTIF($E$2:$E2042,$E2042)=1,1,0))</f>
        <v/>
      </c>
      <c r="AO2042">
        <f>IF($AN2042=1,SUMPRODUCT(--($AR$2:$AR$4001&lt;$AR2042))+1,"")</f>
        <v/>
      </c>
      <c r="AP2042">
        <f>IF($E2042="","",IF(OR($U2042=TRUE(),$U2042="TRUE"),1,0))</f>
        <v/>
      </c>
      <c r="AQ2042">
        <f>IF($E2042="","",IF($AA2042="Yes",1,0))</f>
        <v/>
      </c>
      <c r="AR2042">
        <f>IF($AN2042=1,IFERROR(VALUE(MID($E2042,2,20)),1000000000)+ROW()/100000,"")</f>
        <v/>
      </c>
    </row>
    <row r="2043">
      <c r="G2043" s="11" t="n"/>
      <c r="Q2043" s="7">
        <f>IF($E2043="","",P2043*Y2043/100)</f>
        <v/>
      </c>
      <c r="R2043" s="7" t="n"/>
      <c r="X2043" s="7" t="n"/>
      <c r="Y2043" s="7" t="n"/>
      <c r="AB2043">
        <f>IF($E2043="","",IF($AQ2043=1,0,IF($AP2043=1,Settings!$C$6,Settings!$C$7))*100)</f>
        <v/>
      </c>
      <c r="AC2043" s="7">
        <f>IF($E2043="","",Y2043*AB2043/100)</f>
        <v/>
      </c>
      <c r="AD2043" s="7">
        <f>IF($E2043="","",Y2043-AC2043)</f>
        <v/>
      </c>
      <c r="AE2043" s="7">
        <f>IF($E2043="","",AD2043-Q2043)</f>
        <v/>
      </c>
      <c r="AI2043" s="7" t="n"/>
      <c r="AL2043" s="11" t="n"/>
      <c r="AN2043">
        <f>IF($E2043="","",IF(COUNTIF($E$2:$E2043,$E2043)=1,1,0))</f>
        <v/>
      </c>
      <c r="AO2043">
        <f>IF($AN2043=1,SUMPRODUCT(--($AR$2:$AR$4001&lt;$AR2043))+1,"")</f>
        <v/>
      </c>
      <c r="AP2043">
        <f>IF($E2043="","",IF(OR($U2043=TRUE(),$U2043="TRUE"),1,0))</f>
        <v/>
      </c>
      <c r="AQ2043">
        <f>IF($E2043="","",IF($AA2043="Yes",1,0))</f>
        <v/>
      </c>
      <c r="AR2043">
        <f>IF($AN2043=1,IFERROR(VALUE(MID($E2043,2,20)),1000000000)+ROW()/100000,"")</f>
        <v/>
      </c>
    </row>
    <row r="2044">
      <c r="G2044" s="11" t="n"/>
      <c r="Q2044" s="7">
        <f>IF($E2044="","",P2044*Y2044/100)</f>
        <v/>
      </c>
      <c r="R2044" s="7" t="n"/>
      <c r="X2044" s="7" t="n"/>
      <c r="Y2044" s="7" t="n"/>
      <c r="AB2044">
        <f>IF($E2044="","",IF($AQ2044=1,0,IF($AP2044=1,Settings!$C$6,Settings!$C$7))*100)</f>
        <v/>
      </c>
      <c r="AC2044" s="7">
        <f>IF($E2044="","",Y2044*AB2044/100)</f>
        <v/>
      </c>
      <c r="AD2044" s="7">
        <f>IF($E2044="","",Y2044-AC2044)</f>
        <v/>
      </c>
      <c r="AE2044" s="7">
        <f>IF($E2044="","",AD2044-Q2044)</f>
        <v/>
      </c>
      <c r="AI2044" s="7" t="n"/>
      <c r="AL2044" s="11" t="n"/>
      <c r="AN2044">
        <f>IF($E2044="","",IF(COUNTIF($E$2:$E2044,$E2044)=1,1,0))</f>
        <v/>
      </c>
      <c r="AO2044">
        <f>IF($AN2044=1,SUMPRODUCT(--($AR$2:$AR$4001&lt;$AR2044))+1,"")</f>
        <v/>
      </c>
      <c r="AP2044">
        <f>IF($E2044="","",IF(OR($U2044=TRUE(),$U2044="TRUE"),1,0))</f>
        <v/>
      </c>
      <c r="AQ2044">
        <f>IF($E2044="","",IF($AA2044="Yes",1,0))</f>
        <v/>
      </c>
      <c r="AR2044">
        <f>IF($AN2044=1,IFERROR(VALUE(MID($E2044,2,20)),1000000000)+ROW()/100000,"")</f>
        <v/>
      </c>
    </row>
    <row r="2045">
      <c r="G2045" s="11" t="n"/>
      <c r="Q2045" s="7">
        <f>IF($E2045="","",P2045*Y2045/100)</f>
        <v/>
      </c>
      <c r="R2045" s="7" t="n"/>
      <c r="X2045" s="7" t="n"/>
      <c r="Y2045" s="7" t="n"/>
      <c r="AB2045">
        <f>IF($E2045="","",IF($AQ2045=1,0,IF($AP2045=1,Settings!$C$6,Settings!$C$7))*100)</f>
        <v/>
      </c>
      <c r="AC2045" s="7">
        <f>IF($E2045="","",Y2045*AB2045/100)</f>
        <v/>
      </c>
      <c r="AD2045" s="7">
        <f>IF($E2045="","",Y2045-AC2045)</f>
        <v/>
      </c>
      <c r="AE2045" s="7">
        <f>IF($E2045="","",AD2045-Q2045)</f>
        <v/>
      </c>
      <c r="AI2045" s="7" t="n"/>
      <c r="AL2045" s="11" t="n"/>
      <c r="AN2045">
        <f>IF($E2045="","",IF(COUNTIF($E$2:$E2045,$E2045)=1,1,0))</f>
        <v/>
      </c>
      <c r="AO2045">
        <f>IF($AN2045=1,SUMPRODUCT(--($AR$2:$AR$4001&lt;$AR2045))+1,"")</f>
        <v/>
      </c>
      <c r="AP2045">
        <f>IF($E2045="","",IF(OR($U2045=TRUE(),$U2045="TRUE"),1,0))</f>
        <v/>
      </c>
      <c r="AQ2045">
        <f>IF($E2045="","",IF($AA2045="Yes",1,0))</f>
        <v/>
      </c>
      <c r="AR2045">
        <f>IF($AN2045=1,IFERROR(VALUE(MID($E2045,2,20)),1000000000)+ROW()/100000,"")</f>
        <v/>
      </c>
    </row>
    <row r="2046">
      <c r="G2046" s="11" t="n"/>
      <c r="Q2046" s="7">
        <f>IF($E2046="","",P2046*Y2046/100)</f>
        <v/>
      </c>
      <c r="R2046" s="7" t="n"/>
      <c r="X2046" s="7" t="n"/>
      <c r="Y2046" s="7" t="n"/>
      <c r="AB2046">
        <f>IF($E2046="","",IF($AQ2046=1,0,IF($AP2046=1,Settings!$C$6,Settings!$C$7))*100)</f>
        <v/>
      </c>
      <c r="AC2046" s="7">
        <f>IF($E2046="","",Y2046*AB2046/100)</f>
        <v/>
      </c>
      <c r="AD2046" s="7">
        <f>IF($E2046="","",Y2046-AC2046)</f>
        <v/>
      </c>
      <c r="AE2046" s="7">
        <f>IF($E2046="","",AD2046-Q2046)</f>
        <v/>
      </c>
      <c r="AI2046" s="7" t="n"/>
      <c r="AL2046" s="11" t="n"/>
      <c r="AN2046">
        <f>IF($E2046="","",IF(COUNTIF($E$2:$E2046,$E2046)=1,1,0))</f>
        <v/>
      </c>
      <c r="AO2046">
        <f>IF($AN2046=1,SUMPRODUCT(--($AR$2:$AR$4001&lt;$AR2046))+1,"")</f>
        <v/>
      </c>
      <c r="AP2046">
        <f>IF($E2046="","",IF(OR($U2046=TRUE(),$U2046="TRUE"),1,0))</f>
        <v/>
      </c>
      <c r="AQ2046">
        <f>IF($E2046="","",IF($AA2046="Yes",1,0))</f>
        <v/>
      </c>
      <c r="AR2046">
        <f>IF($AN2046=1,IFERROR(VALUE(MID($E2046,2,20)),1000000000)+ROW()/100000,"")</f>
        <v/>
      </c>
    </row>
    <row r="2047">
      <c r="G2047" s="11" t="n"/>
      <c r="Q2047" s="7">
        <f>IF($E2047="","",P2047*Y2047/100)</f>
        <v/>
      </c>
      <c r="R2047" s="7" t="n"/>
      <c r="X2047" s="7" t="n"/>
      <c r="Y2047" s="7" t="n"/>
      <c r="AB2047">
        <f>IF($E2047="","",IF($AQ2047=1,0,IF($AP2047=1,Settings!$C$6,Settings!$C$7))*100)</f>
        <v/>
      </c>
      <c r="AC2047" s="7">
        <f>IF($E2047="","",Y2047*AB2047/100)</f>
        <v/>
      </c>
      <c r="AD2047" s="7">
        <f>IF($E2047="","",Y2047-AC2047)</f>
        <v/>
      </c>
      <c r="AE2047" s="7">
        <f>IF($E2047="","",AD2047-Q2047)</f>
        <v/>
      </c>
      <c r="AI2047" s="7" t="n"/>
      <c r="AL2047" s="11" t="n"/>
      <c r="AN2047">
        <f>IF($E2047="","",IF(COUNTIF($E$2:$E2047,$E2047)=1,1,0))</f>
        <v/>
      </c>
      <c r="AO2047">
        <f>IF($AN2047=1,SUMPRODUCT(--($AR$2:$AR$4001&lt;$AR2047))+1,"")</f>
        <v/>
      </c>
      <c r="AP2047">
        <f>IF($E2047="","",IF(OR($U2047=TRUE(),$U2047="TRUE"),1,0))</f>
        <v/>
      </c>
      <c r="AQ2047">
        <f>IF($E2047="","",IF($AA2047="Yes",1,0))</f>
        <v/>
      </c>
      <c r="AR2047">
        <f>IF($AN2047=1,IFERROR(VALUE(MID($E2047,2,20)),1000000000)+ROW()/100000,"")</f>
        <v/>
      </c>
    </row>
    <row r="2048">
      <c r="G2048" s="11" t="n"/>
      <c r="Q2048" s="7">
        <f>IF($E2048="","",P2048*Y2048/100)</f>
        <v/>
      </c>
      <c r="R2048" s="7" t="n"/>
      <c r="X2048" s="7" t="n"/>
      <c r="Y2048" s="7" t="n"/>
      <c r="AB2048">
        <f>IF($E2048="","",IF($AQ2048=1,0,IF($AP2048=1,Settings!$C$6,Settings!$C$7))*100)</f>
        <v/>
      </c>
      <c r="AC2048" s="7">
        <f>IF($E2048="","",Y2048*AB2048/100)</f>
        <v/>
      </c>
      <c r="AD2048" s="7">
        <f>IF($E2048="","",Y2048-AC2048)</f>
        <v/>
      </c>
      <c r="AE2048" s="7">
        <f>IF($E2048="","",AD2048-Q2048)</f>
        <v/>
      </c>
      <c r="AI2048" s="7" t="n"/>
      <c r="AL2048" s="11" t="n"/>
      <c r="AN2048">
        <f>IF($E2048="","",IF(COUNTIF($E$2:$E2048,$E2048)=1,1,0))</f>
        <v/>
      </c>
      <c r="AO2048">
        <f>IF($AN2048=1,SUMPRODUCT(--($AR$2:$AR$4001&lt;$AR2048))+1,"")</f>
        <v/>
      </c>
      <c r="AP2048">
        <f>IF($E2048="","",IF(OR($U2048=TRUE(),$U2048="TRUE"),1,0))</f>
        <v/>
      </c>
      <c r="AQ2048">
        <f>IF($E2048="","",IF($AA2048="Yes",1,0))</f>
        <v/>
      </c>
      <c r="AR2048">
        <f>IF($AN2048=1,IFERROR(VALUE(MID($E2048,2,20)),1000000000)+ROW()/100000,"")</f>
        <v/>
      </c>
    </row>
    <row r="2049">
      <c r="G2049" s="11" t="n"/>
      <c r="Q2049" s="7">
        <f>IF($E2049="","",P2049*Y2049/100)</f>
        <v/>
      </c>
      <c r="R2049" s="7" t="n"/>
      <c r="X2049" s="7" t="n"/>
      <c r="Y2049" s="7" t="n"/>
      <c r="AB2049">
        <f>IF($E2049="","",IF($AQ2049=1,0,IF($AP2049=1,Settings!$C$6,Settings!$C$7))*100)</f>
        <v/>
      </c>
      <c r="AC2049" s="7">
        <f>IF($E2049="","",Y2049*AB2049/100)</f>
        <v/>
      </c>
      <c r="AD2049" s="7">
        <f>IF($E2049="","",Y2049-AC2049)</f>
        <v/>
      </c>
      <c r="AE2049" s="7">
        <f>IF($E2049="","",AD2049-Q2049)</f>
        <v/>
      </c>
      <c r="AI2049" s="7" t="n"/>
      <c r="AL2049" s="11" t="n"/>
      <c r="AN2049">
        <f>IF($E2049="","",IF(COUNTIF($E$2:$E2049,$E2049)=1,1,0))</f>
        <v/>
      </c>
      <c r="AO2049">
        <f>IF($AN2049=1,SUMPRODUCT(--($AR$2:$AR$4001&lt;$AR2049))+1,"")</f>
        <v/>
      </c>
      <c r="AP2049">
        <f>IF($E2049="","",IF(OR($U2049=TRUE(),$U2049="TRUE"),1,0))</f>
        <v/>
      </c>
      <c r="AQ2049">
        <f>IF($E2049="","",IF($AA2049="Yes",1,0))</f>
        <v/>
      </c>
      <c r="AR2049">
        <f>IF($AN2049=1,IFERROR(VALUE(MID($E2049,2,20)),1000000000)+ROW()/100000,"")</f>
        <v/>
      </c>
    </row>
    <row r="2050">
      <c r="G2050" s="11" t="n"/>
      <c r="Q2050" s="7">
        <f>IF($E2050="","",P2050*Y2050/100)</f>
        <v/>
      </c>
      <c r="R2050" s="7" t="n"/>
      <c r="X2050" s="7" t="n"/>
      <c r="Y2050" s="7" t="n"/>
      <c r="AB2050">
        <f>IF($E2050="","",IF($AQ2050=1,0,IF($AP2050=1,Settings!$C$6,Settings!$C$7))*100)</f>
        <v/>
      </c>
      <c r="AC2050" s="7">
        <f>IF($E2050="","",Y2050*AB2050/100)</f>
        <v/>
      </c>
      <c r="AD2050" s="7">
        <f>IF($E2050="","",Y2050-AC2050)</f>
        <v/>
      </c>
      <c r="AE2050" s="7">
        <f>IF($E2050="","",AD2050-Q2050)</f>
        <v/>
      </c>
      <c r="AI2050" s="7" t="n"/>
      <c r="AL2050" s="11" t="n"/>
      <c r="AN2050">
        <f>IF($E2050="","",IF(COUNTIF($E$2:$E2050,$E2050)=1,1,0))</f>
        <v/>
      </c>
      <c r="AO2050">
        <f>IF($AN2050=1,SUMPRODUCT(--($AR$2:$AR$4001&lt;$AR2050))+1,"")</f>
        <v/>
      </c>
      <c r="AP2050">
        <f>IF($E2050="","",IF(OR($U2050=TRUE(),$U2050="TRUE"),1,0))</f>
        <v/>
      </c>
      <c r="AQ2050">
        <f>IF($E2050="","",IF($AA2050="Yes",1,0))</f>
        <v/>
      </c>
      <c r="AR2050">
        <f>IF($AN2050=1,IFERROR(VALUE(MID($E2050,2,20)),1000000000)+ROW()/100000,"")</f>
        <v/>
      </c>
    </row>
    <row r="2051">
      <c r="G2051" s="11" t="n"/>
      <c r="Q2051" s="7">
        <f>IF($E2051="","",P2051*Y2051/100)</f>
        <v/>
      </c>
      <c r="R2051" s="7" t="n"/>
      <c r="X2051" s="7" t="n"/>
      <c r="Y2051" s="7" t="n"/>
      <c r="AB2051">
        <f>IF($E2051="","",IF($AQ2051=1,0,IF($AP2051=1,Settings!$C$6,Settings!$C$7))*100)</f>
        <v/>
      </c>
      <c r="AC2051" s="7">
        <f>IF($E2051="","",Y2051*AB2051/100)</f>
        <v/>
      </c>
      <c r="AD2051" s="7">
        <f>IF($E2051="","",Y2051-AC2051)</f>
        <v/>
      </c>
      <c r="AE2051" s="7">
        <f>IF($E2051="","",AD2051-Q2051)</f>
        <v/>
      </c>
      <c r="AI2051" s="7" t="n"/>
      <c r="AL2051" s="11" t="n"/>
      <c r="AN2051">
        <f>IF($E2051="","",IF(COUNTIF($E$2:$E2051,$E2051)=1,1,0))</f>
        <v/>
      </c>
      <c r="AO2051">
        <f>IF($AN2051=1,SUMPRODUCT(--($AR$2:$AR$4001&lt;$AR2051))+1,"")</f>
        <v/>
      </c>
      <c r="AP2051">
        <f>IF($E2051="","",IF(OR($U2051=TRUE(),$U2051="TRUE"),1,0))</f>
        <v/>
      </c>
      <c r="AQ2051">
        <f>IF($E2051="","",IF($AA2051="Yes",1,0))</f>
        <v/>
      </c>
      <c r="AR2051">
        <f>IF($AN2051=1,IFERROR(VALUE(MID($E2051,2,20)),1000000000)+ROW()/100000,"")</f>
        <v/>
      </c>
    </row>
    <row r="2052">
      <c r="G2052" s="11" t="n"/>
      <c r="Q2052" s="7">
        <f>IF($E2052="","",P2052*Y2052/100)</f>
        <v/>
      </c>
      <c r="R2052" s="7" t="n"/>
      <c r="X2052" s="7" t="n"/>
      <c r="Y2052" s="7" t="n"/>
      <c r="AB2052">
        <f>IF($E2052="","",IF($AQ2052=1,0,IF($AP2052=1,Settings!$C$6,Settings!$C$7))*100)</f>
        <v/>
      </c>
      <c r="AC2052" s="7">
        <f>IF($E2052="","",Y2052*AB2052/100)</f>
        <v/>
      </c>
      <c r="AD2052" s="7">
        <f>IF($E2052="","",Y2052-AC2052)</f>
        <v/>
      </c>
      <c r="AE2052" s="7">
        <f>IF($E2052="","",AD2052-Q2052)</f>
        <v/>
      </c>
      <c r="AI2052" s="7" t="n"/>
      <c r="AL2052" s="11" t="n"/>
      <c r="AN2052">
        <f>IF($E2052="","",IF(COUNTIF($E$2:$E2052,$E2052)=1,1,0))</f>
        <v/>
      </c>
      <c r="AO2052">
        <f>IF($AN2052=1,SUMPRODUCT(--($AR$2:$AR$4001&lt;$AR2052))+1,"")</f>
        <v/>
      </c>
      <c r="AP2052">
        <f>IF($E2052="","",IF(OR($U2052=TRUE(),$U2052="TRUE"),1,0))</f>
        <v/>
      </c>
      <c r="AQ2052">
        <f>IF($E2052="","",IF($AA2052="Yes",1,0))</f>
        <v/>
      </c>
      <c r="AR2052">
        <f>IF($AN2052=1,IFERROR(VALUE(MID($E2052,2,20)),1000000000)+ROW()/100000,"")</f>
        <v/>
      </c>
    </row>
    <row r="2053">
      <c r="G2053" s="11" t="n"/>
      <c r="Q2053" s="7">
        <f>IF($E2053="","",P2053*Y2053/100)</f>
        <v/>
      </c>
      <c r="R2053" s="7" t="n"/>
      <c r="X2053" s="7" t="n"/>
      <c r="Y2053" s="7" t="n"/>
      <c r="AB2053">
        <f>IF($E2053="","",IF($AQ2053=1,0,IF($AP2053=1,Settings!$C$6,Settings!$C$7))*100)</f>
        <v/>
      </c>
      <c r="AC2053" s="7">
        <f>IF($E2053="","",Y2053*AB2053/100)</f>
        <v/>
      </c>
      <c r="AD2053" s="7">
        <f>IF($E2053="","",Y2053-AC2053)</f>
        <v/>
      </c>
      <c r="AE2053" s="7">
        <f>IF($E2053="","",AD2053-Q2053)</f>
        <v/>
      </c>
      <c r="AI2053" s="7" t="n"/>
      <c r="AL2053" s="11" t="n"/>
      <c r="AN2053">
        <f>IF($E2053="","",IF(COUNTIF($E$2:$E2053,$E2053)=1,1,0))</f>
        <v/>
      </c>
      <c r="AO2053">
        <f>IF($AN2053=1,SUMPRODUCT(--($AR$2:$AR$4001&lt;$AR2053))+1,"")</f>
        <v/>
      </c>
      <c r="AP2053">
        <f>IF($E2053="","",IF(OR($U2053=TRUE(),$U2053="TRUE"),1,0))</f>
        <v/>
      </c>
      <c r="AQ2053">
        <f>IF($E2053="","",IF($AA2053="Yes",1,0))</f>
        <v/>
      </c>
      <c r="AR2053">
        <f>IF($AN2053=1,IFERROR(VALUE(MID($E2053,2,20)),1000000000)+ROW()/100000,"")</f>
        <v/>
      </c>
    </row>
    <row r="2054">
      <c r="G2054" s="11" t="n"/>
      <c r="Q2054" s="7">
        <f>IF($E2054="","",P2054*Y2054/100)</f>
        <v/>
      </c>
      <c r="R2054" s="7" t="n"/>
      <c r="X2054" s="7" t="n"/>
      <c r="Y2054" s="7" t="n"/>
      <c r="AB2054">
        <f>IF($E2054="","",IF($AQ2054=1,0,IF($AP2054=1,Settings!$C$6,Settings!$C$7))*100)</f>
        <v/>
      </c>
      <c r="AC2054" s="7">
        <f>IF($E2054="","",Y2054*AB2054/100)</f>
        <v/>
      </c>
      <c r="AD2054" s="7">
        <f>IF($E2054="","",Y2054-AC2054)</f>
        <v/>
      </c>
      <c r="AE2054" s="7">
        <f>IF($E2054="","",AD2054-Q2054)</f>
        <v/>
      </c>
      <c r="AI2054" s="7" t="n"/>
      <c r="AL2054" s="11" t="n"/>
      <c r="AN2054">
        <f>IF($E2054="","",IF(COUNTIF($E$2:$E2054,$E2054)=1,1,0))</f>
        <v/>
      </c>
      <c r="AO2054">
        <f>IF($AN2054=1,SUMPRODUCT(--($AR$2:$AR$4001&lt;$AR2054))+1,"")</f>
        <v/>
      </c>
      <c r="AP2054">
        <f>IF($E2054="","",IF(OR($U2054=TRUE(),$U2054="TRUE"),1,0))</f>
        <v/>
      </c>
      <c r="AQ2054">
        <f>IF($E2054="","",IF($AA2054="Yes",1,0))</f>
        <v/>
      </c>
      <c r="AR2054">
        <f>IF($AN2054=1,IFERROR(VALUE(MID($E2054,2,20)),1000000000)+ROW()/100000,"")</f>
        <v/>
      </c>
    </row>
    <row r="2055">
      <c r="G2055" s="11" t="n"/>
      <c r="Q2055" s="7">
        <f>IF($E2055="","",P2055*Y2055/100)</f>
        <v/>
      </c>
      <c r="R2055" s="7" t="n"/>
      <c r="X2055" s="7" t="n"/>
      <c r="Y2055" s="7" t="n"/>
      <c r="AB2055">
        <f>IF($E2055="","",IF($AQ2055=1,0,IF($AP2055=1,Settings!$C$6,Settings!$C$7))*100)</f>
        <v/>
      </c>
      <c r="AC2055" s="7">
        <f>IF($E2055="","",Y2055*AB2055/100)</f>
        <v/>
      </c>
      <c r="AD2055" s="7">
        <f>IF($E2055="","",Y2055-AC2055)</f>
        <v/>
      </c>
      <c r="AE2055" s="7">
        <f>IF($E2055="","",AD2055-Q2055)</f>
        <v/>
      </c>
      <c r="AI2055" s="7" t="n"/>
      <c r="AL2055" s="11" t="n"/>
      <c r="AN2055">
        <f>IF($E2055="","",IF(COUNTIF($E$2:$E2055,$E2055)=1,1,0))</f>
        <v/>
      </c>
      <c r="AO2055">
        <f>IF($AN2055=1,SUMPRODUCT(--($AR$2:$AR$4001&lt;$AR2055))+1,"")</f>
        <v/>
      </c>
      <c r="AP2055">
        <f>IF($E2055="","",IF(OR($U2055=TRUE(),$U2055="TRUE"),1,0))</f>
        <v/>
      </c>
      <c r="AQ2055">
        <f>IF($E2055="","",IF($AA2055="Yes",1,0))</f>
        <v/>
      </c>
      <c r="AR2055">
        <f>IF($AN2055=1,IFERROR(VALUE(MID($E2055,2,20)),1000000000)+ROW()/100000,"")</f>
        <v/>
      </c>
    </row>
    <row r="2056">
      <c r="G2056" s="11" t="n"/>
      <c r="Q2056" s="7">
        <f>IF($E2056="","",P2056*Y2056/100)</f>
        <v/>
      </c>
      <c r="R2056" s="7" t="n"/>
      <c r="X2056" s="7" t="n"/>
      <c r="Y2056" s="7" t="n"/>
      <c r="AB2056">
        <f>IF($E2056="","",IF($AQ2056=1,0,IF($AP2056=1,Settings!$C$6,Settings!$C$7))*100)</f>
        <v/>
      </c>
      <c r="AC2056" s="7">
        <f>IF($E2056="","",Y2056*AB2056/100)</f>
        <v/>
      </c>
      <c r="AD2056" s="7">
        <f>IF($E2056="","",Y2056-AC2056)</f>
        <v/>
      </c>
      <c r="AE2056" s="7">
        <f>IF($E2056="","",AD2056-Q2056)</f>
        <v/>
      </c>
      <c r="AI2056" s="7" t="n"/>
      <c r="AL2056" s="11" t="n"/>
      <c r="AN2056">
        <f>IF($E2056="","",IF(COUNTIF($E$2:$E2056,$E2056)=1,1,0))</f>
        <v/>
      </c>
      <c r="AO2056">
        <f>IF($AN2056=1,SUMPRODUCT(--($AR$2:$AR$4001&lt;$AR2056))+1,"")</f>
        <v/>
      </c>
      <c r="AP2056">
        <f>IF($E2056="","",IF(OR($U2056=TRUE(),$U2056="TRUE"),1,0))</f>
        <v/>
      </c>
      <c r="AQ2056">
        <f>IF($E2056="","",IF($AA2056="Yes",1,0))</f>
        <v/>
      </c>
      <c r="AR2056">
        <f>IF($AN2056=1,IFERROR(VALUE(MID($E2056,2,20)),1000000000)+ROW()/100000,"")</f>
        <v/>
      </c>
    </row>
    <row r="2057">
      <c r="G2057" s="11" t="n"/>
      <c r="Q2057" s="7">
        <f>IF($E2057="","",P2057*Y2057/100)</f>
        <v/>
      </c>
      <c r="R2057" s="7" t="n"/>
      <c r="X2057" s="7" t="n"/>
      <c r="Y2057" s="7" t="n"/>
      <c r="AB2057">
        <f>IF($E2057="","",IF($AQ2057=1,0,IF($AP2057=1,Settings!$C$6,Settings!$C$7))*100)</f>
        <v/>
      </c>
      <c r="AC2057" s="7">
        <f>IF($E2057="","",Y2057*AB2057/100)</f>
        <v/>
      </c>
      <c r="AD2057" s="7">
        <f>IF($E2057="","",Y2057-AC2057)</f>
        <v/>
      </c>
      <c r="AE2057" s="7">
        <f>IF($E2057="","",AD2057-Q2057)</f>
        <v/>
      </c>
      <c r="AI2057" s="7" t="n"/>
      <c r="AL2057" s="11" t="n"/>
      <c r="AN2057">
        <f>IF($E2057="","",IF(COUNTIF($E$2:$E2057,$E2057)=1,1,0))</f>
        <v/>
      </c>
      <c r="AO2057">
        <f>IF($AN2057=1,SUMPRODUCT(--($AR$2:$AR$4001&lt;$AR2057))+1,"")</f>
        <v/>
      </c>
      <c r="AP2057">
        <f>IF($E2057="","",IF(OR($U2057=TRUE(),$U2057="TRUE"),1,0))</f>
        <v/>
      </c>
      <c r="AQ2057">
        <f>IF($E2057="","",IF($AA2057="Yes",1,0))</f>
        <v/>
      </c>
      <c r="AR2057">
        <f>IF($AN2057=1,IFERROR(VALUE(MID($E2057,2,20)),1000000000)+ROW()/100000,"")</f>
        <v/>
      </c>
    </row>
    <row r="2058">
      <c r="G2058" s="11" t="n"/>
      <c r="Q2058" s="7">
        <f>IF($E2058="","",P2058*Y2058/100)</f>
        <v/>
      </c>
      <c r="R2058" s="7" t="n"/>
      <c r="X2058" s="7" t="n"/>
      <c r="Y2058" s="7" t="n"/>
      <c r="AB2058">
        <f>IF($E2058="","",IF($AQ2058=1,0,IF($AP2058=1,Settings!$C$6,Settings!$C$7))*100)</f>
        <v/>
      </c>
      <c r="AC2058" s="7">
        <f>IF($E2058="","",Y2058*AB2058/100)</f>
        <v/>
      </c>
      <c r="AD2058" s="7">
        <f>IF($E2058="","",Y2058-AC2058)</f>
        <v/>
      </c>
      <c r="AE2058" s="7">
        <f>IF($E2058="","",AD2058-Q2058)</f>
        <v/>
      </c>
      <c r="AI2058" s="7" t="n"/>
      <c r="AL2058" s="11" t="n"/>
      <c r="AN2058">
        <f>IF($E2058="","",IF(COUNTIF($E$2:$E2058,$E2058)=1,1,0))</f>
        <v/>
      </c>
      <c r="AO2058">
        <f>IF($AN2058=1,SUMPRODUCT(--($AR$2:$AR$4001&lt;$AR2058))+1,"")</f>
        <v/>
      </c>
      <c r="AP2058">
        <f>IF($E2058="","",IF(OR($U2058=TRUE(),$U2058="TRUE"),1,0))</f>
        <v/>
      </c>
      <c r="AQ2058">
        <f>IF($E2058="","",IF($AA2058="Yes",1,0))</f>
        <v/>
      </c>
      <c r="AR2058">
        <f>IF($AN2058=1,IFERROR(VALUE(MID($E2058,2,20)),1000000000)+ROW()/100000,"")</f>
        <v/>
      </c>
    </row>
    <row r="2059">
      <c r="G2059" s="11" t="n"/>
      <c r="Q2059" s="7">
        <f>IF($E2059="","",P2059*Y2059/100)</f>
        <v/>
      </c>
      <c r="R2059" s="7" t="n"/>
      <c r="X2059" s="7" t="n"/>
      <c r="Y2059" s="7" t="n"/>
      <c r="AB2059">
        <f>IF($E2059="","",IF($AQ2059=1,0,IF($AP2059=1,Settings!$C$6,Settings!$C$7))*100)</f>
        <v/>
      </c>
      <c r="AC2059" s="7">
        <f>IF($E2059="","",Y2059*AB2059/100)</f>
        <v/>
      </c>
      <c r="AD2059" s="7">
        <f>IF($E2059="","",Y2059-AC2059)</f>
        <v/>
      </c>
      <c r="AE2059" s="7">
        <f>IF($E2059="","",AD2059-Q2059)</f>
        <v/>
      </c>
      <c r="AI2059" s="7" t="n"/>
      <c r="AL2059" s="11" t="n"/>
      <c r="AN2059">
        <f>IF($E2059="","",IF(COUNTIF($E$2:$E2059,$E2059)=1,1,0))</f>
        <v/>
      </c>
      <c r="AO2059">
        <f>IF($AN2059=1,SUMPRODUCT(--($AR$2:$AR$4001&lt;$AR2059))+1,"")</f>
        <v/>
      </c>
      <c r="AP2059">
        <f>IF($E2059="","",IF(OR($U2059=TRUE(),$U2059="TRUE"),1,0))</f>
        <v/>
      </c>
      <c r="AQ2059">
        <f>IF($E2059="","",IF($AA2059="Yes",1,0))</f>
        <v/>
      </c>
      <c r="AR2059">
        <f>IF($AN2059=1,IFERROR(VALUE(MID($E2059,2,20)),1000000000)+ROW()/100000,"")</f>
        <v/>
      </c>
    </row>
    <row r="2060">
      <c r="G2060" s="11" t="n"/>
      <c r="Q2060" s="7">
        <f>IF($E2060="","",P2060*Y2060/100)</f>
        <v/>
      </c>
      <c r="R2060" s="7" t="n"/>
      <c r="X2060" s="7" t="n"/>
      <c r="Y2060" s="7" t="n"/>
      <c r="AB2060">
        <f>IF($E2060="","",IF($AQ2060=1,0,IF($AP2060=1,Settings!$C$6,Settings!$C$7))*100)</f>
        <v/>
      </c>
      <c r="AC2060" s="7">
        <f>IF($E2060="","",Y2060*AB2060/100)</f>
        <v/>
      </c>
      <c r="AD2060" s="7">
        <f>IF($E2060="","",Y2060-AC2060)</f>
        <v/>
      </c>
      <c r="AE2060" s="7">
        <f>IF($E2060="","",AD2060-Q2060)</f>
        <v/>
      </c>
      <c r="AI2060" s="7" t="n"/>
      <c r="AL2060" s="11" t="n"/>
      <c r="AN2060">
        <f>IF($E2060="","",IF(COUNTIF($E$2:$E2060,$E2060)=1,1,0))</f>
        <v/>
      </c>
      <c r="AO2060">
        <f>IF($AN2060=1,SUMPRODUCT(--($AR$2:$AR$4001&lt;$AR2060))+1,"")</f>
        <v/>
      </c>
      <c r="AP2060">
        <f>IF($E2060="","",IF(OR($U2060=TRUE(),$U2060="TRUE"),1,0))</f>
        <v/>
      </c>
      <c r="AQ2060">
        <f>IF($E2060="","",IF($AA2060="Yes",1,0))</f>
        <v/>
      </c>
      <c r="AR2060">
        <f>IF($AN2060=1,IFERROR(VALUE(MID($E2060,2,20)),1000000000)+ROW()/100000,"")</f>
        <v/>
      </c>
    </row>
    <row r="2061">
      <c r="G2061" s="11" t="n"/>
      <c r="Q2061" s="7">
        <f>IF($E2061="","",P2061*Y2061/100)</f>
        <v/>
      </c>
      <c r="R2061" s="7" t="n"/>
      <c r="X2061" s="7" t="n"/>
      <c r="Y2061" s="7" t="n"/>
      <c r="AB2061">
        <f>IF($E2061="","",IF($AQ2061=1,0,IF($AP2061=1,Settings!$C$6,Settings!$C$7))*100)</f>
        <v/>
      </c>
      <c r="AC2061" s="7">
        <f>IF($E2061="","",Y2061*AB2061/100)</f>
        <v/>
      </c>
      <c r="AD2061" s="7">
        <f>IF($E2061="","",Y2061-AC2061)</f>
        <v/>
      </c>
      <c r="AE2061" s="7">
        <f>IF($E2061="","",AD2061-Q2061)</f>
        <v/>
      </c>
      <c r="AI2061" s="7" t="n"/>
      <c r="AL2061" s="11" t="n"/>
      <c r="AN2061">
        <f>IF($E2061="","",IF(COUNTIF($E$2:$E2061,$E2061)=1,1,0))</f>
        <v/>
      </c>
      <c r="AO2061">
        <f>IF($AN2061=1,SUMPRODUCT(--($AR$2:$AR$4001&lt;$AR2061))+1,"")</f>
        <v/>
      </c>
      <c r="AP2061">
        <f>IF($E2061="","",IF(OR($U2061=TRUE(),$U2061="TRUE"),1,0))</f>
        <v/>
      </c>
      <c r="AQ2061">
        <f>IF($E2061="","",IF($AA2061="Yes",1,0))</f>
        <v/>
      </c>
      <c r="AR2061">
        <f>IF($AN2061=1,IFERROR(VALUE(MID($E2061,2,20)),1000000000)+ROW()/100000,"")</f>
        <v/>
      </c>
    </row>
    <row r="2062">
      <c r="G2062" s="11" t="n"/>
      <c r="Q2062" s="7">
        <f>IF($E2062="","",P2062*Y2062/100)</f>
        <v/>
      </c>
      <c r="R2062" s="7" t="n"/>
      <c r="X2062" s="7" t="n"/>
      <c r="Y2062" s="7" t="n"/>
      <c r="AB2062">
        <f>IF($E2062="","",IF($AQ2062=1,0,IF($AP2062=1,Settings!$C$6,Settings!$C$7))*100)</f>
        <v/>
      </c>
      <c r="AC2062" s="7">
        <f>IF($E2062="","",Y2062*AB2062/100)</f>
        <v/>
      </c>
      <c r="AD2062" s="7">
        <f>IF($E2062="","",Y2062-AC2062)</f>
        <v/>
      </c>
      <c r="AE2062" s="7">
        <f>IF($E2062="","",AD2062-Q2062)</f>
        <v/>
      </c>
      <c r="AI2062" s="7" t="n"/>
      <c r="AL2062" s="11" t="n"/>
      <c r="AN2062">
        <f>IF($E2062="","",IF(COUNTIF($E$2:$E2062,$E2062)=1,1,0))</f>
        <v/>
      </c>
      <c r="AO2062">
        <f>IF($AN2062=1,SUMPRODUCT(--($AR$2:$AR$4001&lt;$AR2062))+1,"")</f>
        <v/>
      </c>
      <c r="AP2062">
        <f>IF($E2062="","",IF(OR($U2062=TRUE(),$U2062="TRUE"),1,0))</f>
        <v/>
      </c>
      <c r="AQ2062">
        <f>IF($E2062="","",IF($AA2062="Yes",1,0))</f>
        <v/>
      </c>
      <c r="AR2062">
        <f>IF($AN2062=1,IFERROR(VALUE(MID($E2062,2,20)),1000000000)+ROW()/100000,"")</f>
        <v/>
      </c>
    </row>
    <row r="2063">
      <c r="G2063" s="11" t="n"/>
      <c r="Q2063" s="7">
        <f>IF($E2063="","",P2063*Y2063/100)</f>
        <v/>
      </c>
      <c r="R2063" s="7" t="n"/>
      <c r="X2063" s="7" t="n"/>
      <c r="Y2063" s="7" t="n"/>
      <c r="AB2063">
        <f>IF($E2063="","",IF($AQ2063=1,0,IF($AP2063=1,Settings!$C$6,Settings!$C$7))*100)</f>
        <v/>
      </c>
      <c r="AC2063" s="7">
        <f>IF($E2063="","",Y2063*AB2063/100)</f>
        <v/>
      </c>
      <c r="AD2063" s="7">
        <f>IF($E2063="","",Y2063-AC2063)</f>
        <v/>
      </c>
      <c r="AE2063" s="7">
        <f>IF($E2063="","",AD2063-Q2063)</f>
        <v/>
      </c>
      <c r="AI2063" s="7" t="n"/>
      <c r="AL2063" s="11" t="n"/>
      <c r="AN2063">
        <f>IF($E2063="","",IF(COUNTIF($E$2:$E2063,$E2063)=1,1,0))</f>
        <v/>
      </c>
      <c r="AO2063">
        <f>IF($AN2063=1,SUMPRODUCT(--($AR$2:$AR$4001&lt;$AR2063))+1,"")</f>
        <v/>
      </c>
      <c r="AP2063">
        <f>IF($E2063="","",IF(OR($U2063=TRUE(),$U2063="TRUE"),1,0))</f>
        <v/>
      </c>
      <c r="AQ2063">
        <f>IF($E2063="","",IF($AA2063="Yes",1,0))</f>
        <v/>
      </c>
      <c r="AR2063">
        <f>IF($AN2063=1,IFERROR(VALUE(MID($E2063,2,20)),1000000000)+ROW()/100000,"")</f>
        <v/>
      </c>
    </row>
    <row r="2064">
      <c r="G2064" s="11" t="n"/>
      <c r="Q2064" s="7">
        <f>IF($E2064="","",P2064*Y2064/100)</f>
        <v/>
      </c>
      <c r="R2064" s="7" t="n"/>
      <c r="X2064" s="7" t="n"/>
      <c r="Y2064" s="7" t="n"/>
      <c r="AB2064">
        <f>IF($E2064="","",IF($AQ2064=1,0,IF($AP2064=1,Settings!$C$6,Settings!$C$7))*100)</f>
        <v/>
      </c>
      <c r="AC2064" s="7">
        <f>IF($E2064="","",Y2064*AB2064/100)</f>
        <v/>
      </c>
      <c r="AD2064" s="7">
        <f>IF($E2064="","",Y2064-AC2064)</f>
        <v/>
      </c>
      <c r="AE2064" s="7">
        <f>IF($E2064="","",AD2064-Q2064)</f>
        <v/>
      </c>
      <c r="AI2064" s="7" t="n"/>
      <c r="AL2064" s="11" t="n"/>
      <c r="AN2064">
        <f>IF($E2064="","",IF(COUNTIF($E$2:$E2064,$E2064)=1,1,0))</f>
        <v/>
      </c>
      <c r="AO2064">
        <f>IF($AN2064=1,SUMPRODUCT(--($AR$2:$AR$4001&lt;$AR2064))+1,"")</f>
        <v/>
      </c>
      <c r="AP2064">
        <f>IF($E2064="","",IF(OR($U2064=TRUE(),$U2064="TRUE"),1,0))</f>
        <v/>
      </c>
      <c r="AQ2064">
        <f>IF($E2064="","",IF($AA2064="Yes",1,0))</f>
        <v/>
      </c>
      <c r="AR2064">
        <f>IF($AN2064=1,IFERROR(VALUE(MID($E2064,2,20)),1000000000)+ROW()/100000,"")</f>
        <v/>
      </c>
    </row>
    <row r="2065">
      <c r="G2065" s="11" t="n"/>
      <c r="Q2065" s="7">
        <f>IF($E2065="","",P2065*Y2065/100)</f>
        <v/>
      </c>
      <c r="R2065" s="7" t="n"/>
      <c r="X2065" s="7" t="n"/>
      <c r="Y2065" s="7" t="n"/>
      <c r="AB2065">
        <f>IF($E2065="","",IF($AQ2065=1,0,IF($AP2065=1,Settings!$C$6,Settings!$C$7))*100)</f>
        <v/>
      </c>
      <c r="AC2065" s="7">
        <f>IF($E2065="","",Y2065*AB2065/100)</f>
        <v/>
      </c>
      <c r="AD2065" s="7">
        <f>IF($E2065="","",Y2065-AC2065)</f>
        <v/>
      </c>
      <c r="AE2065" s="7">
        <f>IF($E2065="","",AD2065-Q2065)</f>
        <v/>
      </c>
      <c r="AI2065" s="7" t="n"/>
      <c r="AL2065" s="11" t="n"/>
      <c r="AN2065">
        <f>IF($E2065="","",IF(COUNTIF($E$2:$E2065,$E2065)=1,1,0))</f>
        <v/>
      </c>
      <c r="AO2065">
        <f>IF($AN2065=1,SUMPRODUCT(--($AR$2:$AR$4001&lt;$AR2065))+1,"")</f>
        <v/>
      </c>
      <c r="AP2065">
        <f>IF($E2065="","",IF(OR($U2065=TRUE(),$U2065="TRUE"),1,0))</f>
        <v/>
      </c>
      <c r="AQ2065">
        <f>IF($E2065="","",IF($AA2065="Yes",1,0))</f>
        <v/>
      </c>
      <c r="AR2065">
        <f>IF($AN2065=1,IFERROR(VALUE(MID($E2065,2,20)),1000000000)+ROW()/100000,"")</f>
        <v/>
      </c>
    </row>
    <row r="2066">
      <c r="G2066" s="11" t="n"/>
      <c r="Q2066" s="7">
        <f>IF($E2066="","",P2066*Y2066/100)</f>
        <v/>
      </c>
      <c r="R2066" s="7" t="n"/>
      <c r="X2066" s="7" t="n"/>
      <c r="Y2066" s="7" t="n"/>
      <c r="AB2066">
        <f>IF($E2066="","",IF($AQ2066=1,0,IF($AP2066=1,Settings!$C$6,Settings!$C$7))*100)</f>
        <v/>
      </c>
      <c r="AC2066" s="7">
        <f>IF($E2066="","",Y2066*AB2066/100)</f>
        <v/>
      </c>
      <c r="AD2066" s="7">
        <f>IF($E2066="","",Y2066-AC2066)</f>
        <v/>
      </c>
      <c r="AE2066" s="7">
        <f>IF($E2066="","",AD2066-Q2066)</f>
        <v/>
      </c>
      <c r="AI2066" s="7" t="n"/>
      <c r="AL2066" s="11" t="n"/>
      <c r="AN2066">
        <f>IF($E2066="","",IF(COUNTIF($E$2:$E2066,$E2066)=1,1,0))</f>
        <v/>
      </c>
      <c r="AO2066">
        <f>IF($AN2066=1,SUMPRODUCT(--($AR$2:$AR$4001&lt;$AR2066))+1,"")</f>
        <v/>
      </c>
      <c r="AP2066">
        <f>IF($E2066="","",IF(OR($U2066=TRUE(),$U2066="TRUE"),1,0))</f>
        <v/>
      </c>
      <c r="AQ2066">
        <f>IF($E2066="","",IF($AA2066="Yes",1,0))</f>
        <v/>
      </c>
      <c r="AR2066">
        <f>IF($AN2066=1,IFERROR(VALUE(MID($E2066,2,20)),1000000000)+ROW()/100000,"")</f>
        <v/>
      </c>
    </row>
    <row r="2067">
      <c r="G2067" s="11" t="n"/>
      <c r="Q2067" s="7">
        <f>IF($E2067="","",P2067*Y2067/100)</f>
        <v/>
      </c>
      <c r="R2067" s="7" t="n"/>
      <c r="X2067" s="7" t="n"/>
      <c r="Y2067" s="7" t="n"/>
      <c r="AB2067">
        <f>IF($E2067="","",IF($AQ2067=1,0,IF($AP2067=1,Settings!$C$6,Settings!$C$7))*100)</f>
        <v/>
      </c>
      <c r="AC2067" s="7">
        <f>IF($E2067="","",Y2067*AB2067/100)</f>
        <v/>
      </c>
      <c r="AD2067" s="7">
        <f>IF($E2067="","",Y2067-AC2067)</f>
        <v/>
      </c>
      <c r="AE2067" s="7">
        <f>IF($E2067="","",AD2067-Q2067)</f>
        <v/>
      </c>
      <c r="AI2067" s="7" t="n"/>
      <c r="AL2067" s="11" t="n"/>
      <c r="AN2067">
        <f>IF($E2067="","",IF(COUNTIF($E$2:$E2067,$E2067)=1,1,0))</f>
        <v/>
      </c>
      <c r="AO2067">
        <f>IF($AN2067=1,SUMPRODUCT(--($AR$2:$AR$4001&lt;$AR2067))+1,"")</f>
        <v/>
      </c>
      <c r="AP2067">
        <f>IF($E2067="","",IF(OR($U2067=TRUE(),$U2067="TRUE"),1,0))</f>
        <v/>
      </c>
      <c r="AQ2067">
        <f>IF($E2067="","",IF($AA2067="Yes",1,0))</f>
        <v/>
      </c>
      <c r="AR2067">
        <f>IF($AN2067=1,IFERROR(VALUE(MID($E2067,2,20)),1000000000)+ROW()/100000,"")</f>
        <v/>
      </c>
    </row>
    <row r="2068">
      <c r="G2068" s="11" t="n"/>
      <c r="Q2068" s="7">
        <f>IF($E2068="","",P2068*Y2068/100)</f>
        <v/>
      </c>
      <c r="R2068" s="7" t="n"/>
      <c r="X2068" s="7" t="n"/>
      <c r="Y2068" s="7" t="n"/>
      <c r="AB2068">
        <f>IF($E2068="","",IF($AQ2068=1,0,IF($AP2068=1,Settings!$C$6,Settings!$C$7))*100)</f>
        <v/>
      </c>
      <c r="AC2068" s="7">
        <f>IF($E2068="","",Y2068*AB2068/100)</f>
        <v/>
      </c>
      <c r="AD2068" s="7">
        <f>IF($E2068="","",Y2068-AC2068)</f>
        <v/>
      </c>
      <c r="AE2068" s="7">
        <f>IF($E2068="","",AD2068-Q2068)</f>
        <v/>
      </c>
      <c r="AI2068" s="7" t="n"/>
      <c r="AL2068" s="11" t="n"/>
      <c r="AN2068">
        <f>IF($E2068="","",IF(COUNTIF($E$2:$E2068,$E2068)=1,1,0))</f>
        <v/>
      </c>
      <c r="AO2068">
        <f>IF($AN2068=1,SUMPRODUCT(--($AR$2:$AR$4001&lt;$AR2068))+1,"")</f>
        <v/>
      </c>
      <c r="AP2068">
        <f>IF($E2068="","",IF(OR($U2068=TRUE(),$U2068="TRUE"),1,0))</f>
        <v/>
      </c>
      <c r="AQ2068">
        <f>IF($E2068="","",IF($AA2068="Yes",1,0))</f>
        <v/>
      </c>
      <c r="AR2068">
        <f>IF($AN2068=1,IFERROR(VALUE(MID($E2068,2,20)),1000000000)+ROW()/100000,"")</f>
        <v/>
      </c>
    </row>
    <row r="2069">
      <c r="G2069" s="11" t="n"/>
      <c r="Q2069" s="7">
        <f>IF($E2069="","",P2069*Y2069/100)</f>
        <v/>
      </c>
      <c r="R2069" s="7" t="n"/>
      <c r="X2069" s="7" t="n"/>
      <c r="Y2069" s="7" t="n"/>
      <c r="AB2069">
        <f>IF($E2069="","",IF($AQ2069=1,0,IF($AP2069=1,Settings!$C$6,Settings!$C$7))*100)</f>
        <v/>
      </c>
      <c r="AC2069" s="7">
        <f>IF($E2069="","",Y2069*AB2069/100)</f>
        <v/>
      </c>
      <c r="AD2069" s="7">
        <f>IF($E2069="","",Y2069-AC2069)</f>
        <v/>
      </c>
      <c r="AE2069" s="7">
        <f>IF($E2069="","",AD2069-Q2069)</f>
        <v/>
      </c>
      <c r="AI2069" s="7" t="n"/>
      <c r="AL2069" s="11" t="n"/>
      <c r="AN2069">
        <f>IF($E2069="","",IF(COUNTIF($E$2:$E2069,$E2069)=1,1,0))</f>
        <v/>
      </c>
      <c r="AO2069">
        <f>IF($AN2069=1,SUMPRODUCT(--($AR$2:$AR$4001&lt;$AR2069))+1,"")</f>
        <v/>
      </c>
      <c r="AP2069">
        <f>IF($E2069="","",IF(OR($U2069=TRUE(),$U2069="TRUE"),1,0))</f>
        <v/>
      </c>
      <c r="AQ2069">
        <f>IF($E2069="","",IF($AA2069="Yes",1,0))</f>
        <v/>
      </c>
      <c r="AR2069">
        <f>IF($AN2069=1,IFERROR(VALUE(MID($E2069,2,20)),1000000000)+ROW()/100000,"")</f>
        <v/>
      </c>
    </row>
    <row r="2070">
      <c r="G2070" s="11" t="n"/>
      <c r="Q2070" s="7">
        <f>IF($E2070="","",P2070*Y2070/100)</f>
        <v/>
      </c>
      <c r="R2070" s="7" t="n"/>
      <c r="X2070" s="7" t="n"/>
      <c r="Y2070" s="7" t="n"/>
      <c r="AB2070">
        <f>IF($E2070="","",IF($AQ2070=1,0,IF($AP2070=1,Settings!$C$6,Settings!$C$7))*100)</f>
        <v/>
      </c>
      <c r="AC2070" s="7">
        <f>IF($E2070="","",Y2070*AB2070/100)</f>
        <v/>
      </c>
      <c r="AD2070" s="7">
        <f>IF($E2070="","",Y2070-AC2070)</f>
        <v/>
      </c>
      <c r="AE2070" s="7">
        <f>IF($E2070="","",AD2070-Q2070)</f>
        <v/>
      </c>
      <c r="AI2070" s="7" t="n"/>
      <c r="AL2070" s="11" t="n"/>
      <c r="AN2070">
        <f>IF($E2070="","",IF(COUNTIF($E$2:$E2070,$E2070)=1,1,0))</f>
        <v/>
      </c>
      <c r="AO2070">
        <f>IF($AN2070=1,SUMPRODUCT(--($AR$2:$AR$4001&lt;$AR2070))+1,"")</f>
        <v/>
      </c>
      <c r="AP2070">
        <f>IF($E2070="","",IF(OR($U2070=TRUE(),$U2070="TRUE"),1,0))</f>
        <v/>
      </c>
      <c r="AQ2070">
        <f>IF($E2070="","",IF($AA2070="Yes",1,0))</f>
        <v/>
      </c>
      <c r="AR2070">
        <f>IF($AN2070=1,IFERROR(VALUE(MID($E2070,2,20)),1000000000)+ROW()/100000,"")</f>
        <v/>
      </c>
    </row>
    <row r="2071">
      <c r="G2071" s="11" t="n"/>
      <c r="Q2071" s="7">
        <f>IF($E2071="","",P2071*Y2071/100)</f>
        <v/>
      </c>
      <c r="R2071" s="7" t="n"/>
      <c r="X2071" s="7" t="n"/>
      <c r="Y2071" s="7" t="n"/>
      <c r="AB2071">
        <f>IF($E2071="","",IF($AQ2071=1,0,IF($AP2071=1,Settings!$C$6,Settings!$C$7))*100)</f>
        <v/>
      </c>
      <c r="AC2071" s="7">
        <f>IF($E2071="","",Y2071*AB2071/100)</f>
        <v/>
      </c>
      <c r="AD2071" s="7">
        <f>IF($E2071="","",Y2071-AC2071)</f>
        <v/>
      </c>
      <c r="AE2071" s="7">
        <f>IF($E2071="","",AD2071-Q2071)</f>
        <v/>
      </c>
      <c r="AI2071" s="7" t="n"/>
      <c r="AL2071" s="11" t="n"/>
      <c r="AN2071">
        <f>IF($E2071="","",IF(COUNTIF($E$2:$E2071,$E2071)=1,1,0))</f>
        <v/>
      </c>
      <c r="AO2071">
        <f>IF($AN2071=1,SUMPRODUCT(--($AR$2:$AR$4001&lt;$AR2071))+1,"")</f>
        <v/>
      </c>
      <c r="AP2071">
        <f>IF($E2071="","",IF(OR($U2071=TRUE(),$U2071="TRUE"),1,0))</f>
        <v/>
      </c>
      <c r="AQ2071">
        <f>IF($E2071="","",IF($AA2071="Yes",1,0))</f>
        <v/>
      </c>
      <c r="AR2071">
        <f>IF($AN2071=1,IFERROR(VALUE(MID($E2071,2,20)),1000000000)+ROW()/100000,"")</f>
        <v/>
      </c>
    </row>
    <row r="2072">
      <c r="G2072" s="11" t="n"/>
      <c r="Q2072" s="7">
        <f>IF($E2072="","",P2072*Y2072/100)</f>
        <v/>
      </c>
      <c r="R2072" s="7" t="n"/>
      <c r="X2072" s="7" t="n"/>
      <c r="Y2072" s="7" t="n"/>
      <c r="AB2072">
        <f>IF($E2072="","",IF($AQ2072=1,0,IF($AP2072=1,Settings!$C$6,Settings!$C$7))*100)</f>
        <v/>
      </c>
      <c r="AC2072" s="7">
        <f>IF($E2072="","",Y2072*AB2072/100)</f>
        <v/>
      </c>
      <c r="AD2072" s="7">
        <f>IF($E2072="","",Y2072-AC2072)</f>
        <v/>
      </c>
      <c r="AE2072" s="7">
        <f>IF($E2072="","",AD2072-Q2072)</f>
        <v/>
      </c>
      <c r="AI2072" s="7" t="n"/>
      <c r="AL2072" s="11" t="n"/>
      <c r="AN2072">
        <f>IF($E2072="","",IF(COUNTIF($E$2:$E2072,$E2072)=1,1,0))</f>
        <v/>
      </c>
      <c r="AO2072">
        <f>IF($AN2072=1,SUMPRODUCT(--($AR$2:$AR$4001&lt;$AR2072))+1,"")</f>
        <v/>
      </c>
      <c r="AP2072">
        <f>IF($E2072="","",IF(OR($U2072=TRUE(),$U2072="TRUE"),1,0))</f>
        <v/>
      </c>
      <c r="AQ2072">
        <f>IF($E2072="","",IF($AA2072="Yes",1,0))</f>
        <v/>
      </c>
      <c r="AR2072">
        <f>IF($AN2072=1,IFERROR(VALUE(MID($E2072,2,20)),1000000000)+ROW()/100000,"")</f>
        <v/>
      </c>
    </row>
    <row r="2073">
      <c r="G2073" s="11" t="n"/>
      <c r="Q2073" s="7">
        <f>IF($E2073="","",P2073*Y2073/100)</f>
        <v/>
      </c>
      <c r="R2073" s="7" t="n"/>
      <c r="X2073" s="7" t="n"/>
      <c r="Y2073" s="7" t="n"/>
      <c r="AB2073">
        <f>IF($E2073="","",IF($AQ2073=1,0,IF($AP2073=1,Settings!$C$6,Settings!$C$7))*100)</f>
        <v/>
      </c>
      <c r="AC2073" s="7">
        <f>IF($E2073="","",Y2073*AB2073/100)</f>
        <v/>
      </c>
      <c r="AD2073" s="7">
        <f>IF($E2073="","",Y2073-AC2073)</f>
        <v/>
      </c>
      <c r="AE2073" s="7">
        <f>IF($E2073="","",AD2073-Q2073)</f>
        <v/>
      </c>
      <c r="AI2073" s="7" t="n"/>
      <c r="AL2073" s="11" t="n"/>
      <c r="AN2073">
        <f>IF($E2073="","",IF(COUNTIF($E$2:$E2073,$E2073)=1,1,0))</f>
        <v/>
      </c>
      <c r="AO2073">
        <f>IF($AN2073=1,SUMPRODUCT(--($AR$2:$AR$4001&lt;$AR2073))+1,"")</f>
        <v/>
      </c>
      <c r="AP2073">
        <f>IF($E2073="","",IF(OR($U2073=TRUE(),$U2073="TRUE"),1,0))</f>
        <v/>
      </c>
      <c r="AQ2073">
        <f>IF($E2073="","",IF($AA2073="Yes",1,0))</f>
        <v/>
      </c>
      <c r="AR2073">
        <f>IF($AN2073=1,IFERROR(VALUE(MID($E2073,2,20)),1000000000)+ROW()/100000,"")</f>
        <v/>
      </c>
    </row>
    <row r="2074">
      <c r="G2074" s="11" t="n"/>
      <c r="Q2074" s="7">
        <f>IF($E2074="","",P2074*Y2074/100)</f>
        <v/>
      </c>
      <c r="R2074" s="7" t="n"/>
      <c r="X2074" s="7" t="n"/>
      <c r="Y2074" s="7" t="n"/>
      <c r="AB2074">
        <f>IF($E2074="","",IF($AQ2074=1,0,IF($AP2074=1,Settings!$C$6,Settings!$C$7))*100)</f>
        <v/>
      </c>
      <c r="AC2074" s="7">
        <f>IF($E2074="","",Y2074*AB2074/100)</f>
        <v/>
      </c>
      <c r="AD2074" s="7">
        <f>IF($E2074="","",Y2074-AC2074)</f>
        <v/>
      </c>
      <c r="AE2074" s="7">
        <f>IF($E2074="","",AD2074-Q2074)</f>
        <v/>
      </c>
      <c r="AI2074" s="7" t="n"/>
      <c r="AL2074" s="11" t="n"/>
      <c r="AN2074">
        <f>IF($E2074="","",IF(COUNTIF($E$2:$E2074,$E2074)=1,1,0))</f>
        <v/>
      </c>
      <c r="AO2074">
        <f>IF($AN2074=1,SUMPRODUCT(--($AR$2:$AR$4001&lt;$AR2074))+1,"")</f>
        <v/>
      </c>
      <c r="AP2074">
        <f>IF($E2074="","",IF(OR($U2074=TRUE(),$U2074="TRUE"),1,0))</f>
        <v/>
      </c>
      <c r="AQ2074">
        <f>IF($E2074="","",IF($AA2074="Yes",1,0))</f>
        <v/>
      </c>
      <c r="AR2074">
        <f>IF($AN2074=1,IFERROR(VALUE(MID($E2074,2,20)),1000000000)+ROW()/100000,"")</f>
        <v/>
      </c>
    </row>
    <row r="2075">
      <c r="G2075" s="11" t="n"/>
      <c r="Q2075" s="7">
        <f>IF($E2075="","",P2075*Y2075/100)</f>
        <v/>
      </c>
      <c r="R2075" s="7" t="n"/>
      <c r="X2075" s="7" t="n"/>
      <c r="Y2075" s="7" t="n"/>
      <c r="AB2075">
        <f>IF($E2075="","",IF($AQ2075=1,0,IF($AP2075=1,Settings!$C$6,Settings!$C$7))*100)</f>
        <v/>
      </c>
      <c r="AC2075" s="7">
        <f>IF($E2075="","",Y2075*AB2075/100)</f>
        <v/>
      </c>
      <c r="AD2075" s="7">
        <f>IF($E2075="","",Y2075-AC2075)</f>
        <v/>
      </c>
      <c r="AE2075" s="7">
        <f>IF($E2075="","",AD2075-Q2075)</f>
        <v/>
      </c>
      <c r="AI2075" s="7" t="n"/>
      <c r="AL2075" s="11" t="n"/>
      <c r="AN2075">
        <f>IF($E2075="","",IF(COUNTIF($E$2:$E2075,$E2075)=1,1,0))</f>
        <v/>
      </c>
      <c r="AO2075">
        <f>IF($AN2075=1,SUMPRODUCT(--($AR$2:$AR$4001&lt;$AR2075))+1,"")</f>
        <v/>
      </c>
      <c r="AP2075">
        <f>IF($E2075="","",IF(OR($U2075=TRUE(),$U2075="TRUE"),1,0))</f>
        <v/>
      </c>
      <c r="AQ2075">
        <f>IF($E2075="","",IF($AA2075="Yes",1,0))</f>
        <v/>
      </c>
      <c r="AR2075">
        <f>IF($AN2075=1,IFERROR(VALUE(MID($E2075,2,20)),1000000000)+ROW()/100000,"")</f>
        <v/>
      </c>
    </row>
    <row r="2076">
      <c r="G2076" s="11" t="n"/>
      <c r="Q2076" s="7">
        <f>IF($E2076="","",P2076*Y2076/100)</f>
        <v/>
      </c>
      <c r="R2076" s="7" t="n"/>
      <c r="X2076" s="7" t="n"/>
      <c r="Y2076" s="7" t="n"/>
      <c r="AB2076">
        <f>IF($E2076="","",IF($AQ2076=1,0,IF($AP2076=1,Settings!$C$6,Settings!$C$7))*100)</f>
        <v/>
      </c>
      <c r="AC2076" s="7">
        <f>IF($E2076="","",Y2076*AB2076/100)</f>
        <v/>
      </c>
      <c r="AD2076" s="7">
        <f>IF($E2076="","",Y2076-AC2076)</f>
        <v/>
      </c>
      <c r="AE2076" s="7">
        <f>IF($E2076="","",AD2076-Q2076)</f>
        <v/>
      </c>
      <c r="AI2076" s="7" t="n"/>
      <c r="AL2076" s="11" t="n"/>
      <c r="AN2076">
        <f>IF($E2076="","",IF(COUNTIF($E$2:$E2076,$E2076)=1,1,0))</f>
        <v/>
      </c>
      <c r="AO2076">
        <f>IF($AN2076=1,SUMPRODUCT(--($AR$2:$AR$4001&lt;$AR2076))+1,"")</f>
        <v/>
      </c>
      <c r="AP2076">
        <f>IF($E2076="","",IF(OR($U2076=TRUE(),$U2076="TRUE"),1,0))</f>
        <v/>
      </c>
      <c r="AQ2076">
        <f>IF($E2076="","",IF($AA2076="Yes",1,0))</f>
        <v/>
      </c>
      <c r="AR2076">
        <f>IF($AN2076=1,IFERROR(VALUE(MID($E2076,2,20)),1000000000)+ROW()/100000,"")</f>
        <v/>
      </c>
    </row>
    <row r="2077">
      <c r="G2077" s="11" t="n"/>
      <c r="Q2077" s="7">
        <f>IF($E2077="","",P2077*Y2077/100)</f>
        <v/>
      </c>
      <c r="R2077" s="7" t="n"/>
      <c r="X2077" s="7" t="n"/>
      <c r="Y2077" s="7" t="n"/>
      <c r="AB2077">
        <f>IF($E2077="","",IF($AQ2077=1,0,IF($AP2077=1,Settings!$C$6,Settings!$C$7))*100)</f>
        <v/>
      </c>
      <c r="AC2077" s="7">
        <f>IF($E2077="","",Y2077*AB2077/100)</f>
        <v/>
      </c>
      <c r="AD2077" s="7">
        <f>IF($E2077="","",Y2077-AC2077)</f>
        <v/>
      </c>
      <c r="AE2077" s="7">
        <f>IF($E2077="","",AD2077-Q2077)</f>
        <v/>
      </c>
      <c r="AI2077" s="7" t="n"/>
      <c r="AL2077" s="11" t="n"/>
      <c r="AN2077">
        <f>IF($E2077="","",IF(COUNTIF($E$2:$E2077,$E2077)=1,1,0))</f>
        <v/>
      </c>
      <c r="AO2077">
        <f>IF($AN2077=1,SUMPRODUCT(--($AR$2:$AR$4001&lt;$AR2077))+1,"")</f>
        <v/>
      </c>
      <c r="AP2077">
        <f>IF($E2077="","",IF(OR($U2077=TRUE(),$U2077="TRUE"),1,0))</f>
        <v/>
      </c>
      <c r="AQ2077">
        <f>IF($E2077="","",IF($AA2077="Yes",1,0))</f>
        <v/>
      </c>
      <c r="AR2077">
        <f>IF($AN2077=1,IFERROR(VALUE(MID($E2077,2,20)),1000000000)+ROW()/100000,"")</f>
        <v/>
      </c>
    </row>
    <row r="2078">
      <c r="G2078" s="11" t="n"/>
      <c r="Q2078" s="7">
        <f>IF($E2078="","",P2078*Y2078/100)</f>
        <v/>
      </c>
      <c r="R2078" s="7" t="n"/>
      <c r="X2078" s="7" t="n"/>
      <c r="Y2078" s="7" t="n"/>
      <c r="AB2078">
        <f>IF($E2078="","",IF($AQ2078=1,0,IF($AP2078=1,Settings!$C$6,Settings!$C$7))*100)</f>
        <v/>
      </c>
      <c r="AC2078" s="7">
        <f>IF($E2078="","",Y2078*AB2078/100)</f>
        <v/>
      </c>
      <c r="AD2078" s="7">
        <f>IF($E2078="","",Y2078-AC2078)</f>
        <v/>
      </c>
      <c r="AE2078" s="7">
        <f>IF($E2078="","",AD2078-Q2078)</f>
        <v/>
      </c>
      <c r="AI2078" s="7" t="n"/>
      <c r="AL2078" s="11" t="n"/>
      <c r="AN2078">
        <f>IF($E2078="","",IF(COUNTIF($E$2:$E2078,$E2078)=1,1,0))</f>
        <v/>
      </c>
      <c r="AO2078">
        <f>IF($AN2078=1,SUMPRODUCT(--($AR$2:$AR$4001&lt;$AR2078))+1,"")</f>
        <v/>
      </c>
      <c r="AP2078">
        <f>IF($E2078="","",IF(OR($U2078=TRUE(),$U2078="TRUE"),1,0))</f>
        <v/>
      </c>
      <c r="AQ2078">
        <f>IF($E2078="","",IF($AA2078="Yes",1,0))</f>
        <v/>
      </c>
      <c r="AR2078">
        <f>IF($AN2078=1,IFERROR(VALUE(MID($E2078,2,20)),1000000000)+ROW()/100000,"")</f>
        <v/>
      </c>
    </row>
    <row r="2079">
      <c r="G2079" s="11" t="n"/>
      <c r="Q2079" s="7">
        <f>IF($E2079="","",P2079*Y2079/100)</f>
        <v/>
      </c>
      <c r="R2079" s="7" t="n"/>
      <c r="X2079" s="7" t="n"/>
      <c r="Y2079" s="7" t="n"/>
      <c r="AB2079">
        <f>IF($E2079="","",IF($AQ2079=1,0,IF($AP2079=1,Settings!$C$6,Settings!$C$7))*100)</f>
        <v/>
      </c>
      <c r="AC2079" s="7">
        <f>IF($E2079="","",Y2079*AB2079/100)</f>
        <v/>
      </c>
      <c r="AD2079" s="7">
        <f>IF($E2079="","",Y2079-AC2079)</f>
        <v/>
      </c>
      <c r="AE2079" s="7">
        <f>IF($E2079="","",AD2079-Q2079)</f>
        <v/>
      </c>
      <c r="AI2079" s="7" t="n"/>
      <c r="AL2079" s="11" t="n"/>
      <c r="AN2079">
        <f>IF($E2079="","",IF(COUNTIF($E$2:$E2079,$E2079)=1,1,0))</f>
        <v/>
      </c>
      <c r="AO2079">
        <f>IF($AN2079=1,SUMPRODUCT(--($AR$2:$AR$4001&lt;$AR2079))+1,"")</f>
        <v/>
      </c>
      <c r="AP2079">
        <f>IF($E2079="","",IF(OR($U2079=TRUE(),$U2079="TRUE"),1,0))</f>
        <v/>
      </c>
      <c r="AQ2079">
        <f>IF($E2079="","",IF($AA2079="Yes",1,0))</f>
        <v/>
      </c>
      <c r="AR2079">
        <f>IF($AN2079=1,IFERROR(VALUE(MID($E2079,2,20)),1000000000)+ROW()/100000,"")</f>
        <v/>
      </c>
    </row>
    <row r="2080">
      <c r="G2080" s="11" t="n"/>
      <c r="Q2080" s="7">
        <f>IF($E2080="","",P2080*Y2080/100)</f>
        <v/>
      </c>
      <c r="R2080" s="7" t="n"/>
      <c r="X2080" s="7" t="n"/>
      <c r="Y2080" s="7" t="n"/>
      <c r="AB2080">
        <f>IF($E2080="","",IF($AQ2080=1,0,IF($AP2080=1,Settings!$C$6,Settings!$C$7))*100)</f>
        <v/>
      </c>
      <c r="AC2080" s="7">
        <f>IF($E2080="","",Y2080*AB2080/100)</f>
        <v/>
      </c>
      <c r="AD2080" s="7">
        <f>IF($E2080="","",Y2080-AC2080)</f>
        <v/>
      </c>
      <c r="AE2080" s="7">
        <f>IF($E2080="","",AD2080-Q2080)</f>
        <v/>
      </c>
      <c r="AI2080" s="7" t="n"/>
      <c r="AL2080" s="11" t="n"/>
      <c r="AN2080">
        <f>IF($E2080="","",IF(COUNTIF($E$2:$E2080,$E2080)=1,1,0))</f>
        <v/>
      </c>
      <c r="AO2080">
        <f>IF($AN2080=1,SUMPRODUCT(--($AR$2:$AR$4001&lt;$AR2080))+1,"")</f>
        <v/>
      </c>
      <c r="AP2080">
        <f>IF($E2080="","",IF(OR($U2080=TRUE(),$U2080="TRUE"),1,0))</f>
        <v/>
      </c>
      <c r="AQ2080">
        <f>IF($E2080="","",IF($AA2080="Yes",1,0))</f>
        <v/>
      </c>
      <c r="AR2080">
        <f>IF($AN2080=1,IFERROR(VALUE(MID($E2080,2,20)),1000000000)+ROW()/100000,"")</f>
        <v/>
      </c>
    </row>
    <row r="2081">
      <c r="G2081" s="11" t="n"/>
      <c r="Q2081" s="7">
        <f>IF($E2081="","",P2081*Y2081/100)</f>
        <v/>
      </c>
      <c r="R2081" s="7" t="n"/>
      <c r="X2081" s="7" t="n"/>
      <c r="Y2081" s="7" t="n"/>
      <c r="AB2081">
        <f>IF($E2081="","",IF($AQ2081=1,0,IF($AP2081=1,Settings!$C$6,Settings!$C$7))*100)</f>
        <v/>
      </c>
      <c r="AC2081" s="7">
        <f>IF($E2081="","",Y2081*AB2081/100)</f>
        <v/>
      </c>
      <c r="AD2081" s="7">
        <f>IF($E2081="","",Y2081-AC2081)</f>
        <v/>
      </c>
      <c r="AE2081" s="7">
        <f>IF($E2081="","",AD2081-Q2081)</f>
        <v/>
      </c>
      <c r="AI2081" s="7" t="n"/>
      <c r="AL2081" s="11" t="n"/>
      <c r="AN2081">
        <f>IF($E2081="","",IF(COUNTIF($E$2:$E2081,$E2081)=1,1,0))</f>
        <v/>
      </c>
      <c r="AO2081">
        <f>IF($AN2081=1,SUMPRODUCT(--($AR$2:$AR$4001&lt;$AR2081))+1,"")</f>
        <v/>
      </c>
      <c r="AP2081">
        <f>IF($E2081="","",IF(OR($U2081=TRUE(),$U2081="TRUE"),1,0))</f>
        <v/>
      </c>
      <c r="AQ2081">
        <f>IF($E2081="","",IF($AA2081="Yes",1,0))</f>
        <v/>
      </c>
      <c r="AR2081">
        <f>IF($AN2081=1,IFERROR(VALUE(MID($E2081,2,20)),1000000000)+ROW()/100000,"")</f>
        <v/>
      </c>
    </row>
    <row r="2082">
      <c r="G2082" s="11" t="n"/>
      <c r="Q2082" s="7">
        <f>IF($E2082="","",P2082*Y2082/100)</f>
        <v/>
      </c>
      <c r="R2082" s="7" t="n"/>
      <c r="X2082" s="7" t="n"/>
      <c r="Y2082" s="7" t="n"/>
      <c r="AB2082">
        <f>IF($E2082="","",IF($AQ2082=1,0,IF($AP2082=1,Settings!$C$6,Settings!$C$7))*100)</f>
        <v/>
      </c>
      <c r="AC2082" s="7">
        <f>IF($E2082="","",Y2082*AB2082/100)</f>
        <v/>
      </c>
      <c r="AD2082" s="7">
        <f>IF($E2082="","",Y2082-AC2082)</f>
        <v/>
      </c>
      <c r="AE2082" s="7">
        <f>IF($E2082="","",AD2082-Q2082)</f>
        <v/>
      </c>
      <c r="AI2082" s="7" t="n"/>
      <c r="AL2082" s="11" t="n"/>
      <c r="AN2082">
        <f>IF($E2082="","",IF(COUNTIF($E$2:$E2082,$E2082)=1,1,0))</f>
        <v/>
      </c>
      <c r="AO2082">
        <f>IF($AN2082=1,SUMPRODUCT(--($AR$2:$AR$4001&lt;$AR2082))+1,"")</f>
        <v/>
      </c>
      <c r="AP2082">
        <f>IF($E2082="","",IF(OR($U2082=TRUE(),$U2082="TRUE"),1,0))</f>
        <v/>
      </c>
      <c r="AQ2082">
        <f>IF($E2082="","",IF($AA2082="Yes",1,0))</f>
        <v/>
      </c>
      <c r="AR2082">
        <f>IF($AN2082=1,IFERROR(VALUE(MID($E2082,2,20)),1000000000)+ROW()/100000,"")</f>
        <v/>
      </c>
    </row>
    <row r="2083">
      <c r="G2083" s="11" t="n"/>
      <c r="Q2083" s="7">
        <f>IF($E2083="","",P2083*Y2083/100)</f>
        <v/>
      </c>
      <c r="R2083" s="7" t="n"/>
      <c r="X2083" s="7" t="n"/>
      <c r="Y2083" s="7" t="n"/>
      <c r="AB2083">
        <f>IF($E2083="","",IF($AQ2083=1,0,IF($AP2083=1,Settings!$C$6,Settings!$C$7))*100)</f>
        <v/>
      </c>
      <c r="AC2083" s="7">
        <f>IF($E2083="","",Y2083*AB2083/100)</f>
        <v/>
      </c>
      <c r="AD2083" s="7">
        <f>IF($E2083="","",Y2083-AC2083)</f>
        <v/>
      </c>
      <c r="AE2083" s="7">
        <f>IF($E2083="","",AD2083-Q2083)</f>
        <v/>
      </c>
      <c r="AI2083" s="7" t="n"/>
      <c r="AL2083" s="11" t="n"/>
      <c r="AN2083">
        <f>IF($E2083="","",IF(COUNTIF($E$2:$E2083,$E2083)=1,1,0))</f>
        <v/>
      </c>
      <c r="AO2083">
        <f>IF($AN2083=1,SUMPRODUCT(--($AR$2:$AR$4001&lt;$AR2083))+1,"")</f>
        <v/>
      </c>
      <c r="AP2083">
        <f>IF($E2083="","",IF(OR($U2083=TRUE(),$U2083="TRUE"),1,0))</f>
        <v/>
      </c>
      <c r="AQ2083">
        <f>IF($E2083="","",IF($AA2083="Yes",1,0))</f>
        <v/>
      </c>
      <c r="AR2083">
        <f>IF($AN2083=1,IFERROR(VALUE(MID($E2083,2,20)),1000000000)+ROW()/100000,"")</f>
        <v/>
      </c>
    </row>
    <row r="2084">
      <c r="G2084" s="11" t="n"/>
      <c r="Q2084" s="7">
        <f>IF($E2084="","",P2084*Y2084/100)</f>
        <v/>
      </c>
      <c r="R2084" s="7" t="n"/>
      <c r="X2084" s="7" t="n"/>
      <c r="Y2084" s="7" t="n"/>
      <c r="AB2084">
        <f>IF($E2084="","",IF($AQ2084=1,0,IF($AP2084=1,Settings!$C$6,Settings!$C$7))*100)</f>
        <v/>
      </c>
      <c r="AC2084" s="7">
        <f>IF($E2084="","",Y2084*AB2084/100)</f>
        <v/>
      </c>
      <c r="AD2084" s="7">
        <f>IF($E2084="","",Y2084-AC2084)</f>
        <v/>
      </c>
      <c r="AE2084" s="7">
        <f>IF($E2084="","",AD2084-Q2084)</f>
        <v/>
      </c>
      <c r="AI2084" s="7" t="n"/>
      <c r="AL2084" s="11" t="n"/>
      <c r="AN2084">
        <f>IF($E2084="","",IF(COUNTIF($E$2:$E2084,$E2084)=1,1,0))</f>
        <v/>
      </c>
      <c r="AO2084">
        <f>IF($AN2084=1,SUMPRODUCT(--($AR$2:$AR$4001&lt;$AR2084))+1,"")</f>
        <v/>
      </c>
      <c r="AP2084">
        <f>IF($E2084="","",IF(OR($U2084=TRUE(),$U2084="TRUE"),1,0))</f>
        <v/>
      </c>
      <c r="AQ2084">
        <f>IF($E2084="","",IF($AA2084="Yes",1,0))</f>
        <v/>
      </c>
      <c r="AR2084">
        <f>IF($AN2084=1,IFERROR(VALUE(MID($E2084,2,20)),1000000000)+ROW()/100000,"")</f>
        <v/>
      </c>
    </row>
    <row r="2085">
      <c r="G2085" s="11" t="n"/>
      <c r="Q2085" s="7">
        <f>IF($E2085="","",P2085*Y2085/100)</f>
        <v/>
      </c>
      <c r="R2085" s="7" t="n"/>
      <c r="X2085" s="7" t="n"/>
      <c r="Y2085" s="7" t="n"/>
      <c r="AB2085">
        <f>IF($E2085="","",IF($AQ2085=1,0,IF($AP2085=1,Settings!$C$6,Settings!$C$7))*100)</f>
        <v/>
      </c>
      <c r="AC2085" s="7">
        <f>IF($E2085="","",Y2085*AB2085/100)</f>
        <v/>
      </c>
      <c r="AD2085" s="7">
        <f>IF($E2085="","",Y2085-AC2085)</f>
        <v/>
      </c>
      <c r="AE2085" s="7">
        <f>IF($E2085="","",AD2085-Q2085)</f>
        <v/>
      </c>
      <c r="AI2085" s="7" t="n"/>
      <c r="AL2085" s="11" t="n"/>
      <c r="AN2085">
        <f>IF($E2085="","",IF(COUNTIF($E$2:$E2085,$E2085)=1,1,0))</f>
        <v/>
      </c>
      <c r="AO2085">
        <f>IF($AN2085=1,SUMPRODUCT(--($AR$2:$AR$4001&lt;$AR2085))+1,"")</f>
        <v/>
      </c>
      <c r="AP2085">
        <f>IF($E2085="","",IF(OR($U2085=TRUE(),$U2085="TRUE"),1,0))</f>
        <v/>
      </c>
      <c r="AQ2085">
        <f>IF($E2085="","",IF($AA2085="Yes",1,0))</f>
        <v/>
      </c>
      <c r="AR2085">
        <f>IF($AN2085=1,IFERROR(VALUE(MID($E2085,2,20)),1000000000)+ROW()/100000,"")</f>
        <v/>
      </c>
    </row>
    <row r="2086">
      <c r="G2086" s="11" t="n"/>
      <c r="Q2086" s="7">
        <f>IF($E2086="","",P2086*Y2086/100)</f>
        <v/>
      </c>
      <c r="R2086" s="7" t="n"/>
      <c r="X2086" s="7" t="n"/>
      <c r="Y2086" s="7" t="n"/>
      <c r="AB2086">
        <f>IF($E2086="","",IF($AQ2086=1,0,IF($AP2086=1,Settings!$C$6,Settings!$C$7))*100)</f>
        <v/>
      </c>
      <c r="AC2086" s="7">
        <f>IF($E2086="","",Y2086*AB2086/100)</f>
        <v/>
      </c>
      <c r="AD2086" s="7">
        <f>IF($E2086="","",Y2086-AC2086)</f>
        <v/>
      </c>
      <c r="AE2086" s="7">
        <f>IF($E2086="","",AD2086-Q2086)</f>
        <v/>
      </c>
      <c r="AI2086" s="7" t="n"/>
      <c r="AL2086" s="11" t="n"/>
      <c r="AN2086">
        <f>IF($E2086="","",IF(COUNTIF($E$2:$E2086,$E2086)=1,1,0))</f>
        <v/>
      </c>
      <c r="AO2086">
        <f>IF($AN2086=1,SUMPRODUCT(--($AR$2:$AR$4001&lt;$AR2086))+1,"")</f>
        <v/>
      </c>
      <c r="AP2086">
        <f>IF($E2086="","",IF(OR($U2086=TRUE(),$U2086="TRUE"),1,0))</f>
        <v/>
      </c>
      <c r="AQ2086">
        <f>IF($E2086="","",IF($AA2086="Yes",1,0))</f>
        <v/>
      </c>
      <c r="AR2086">
        <f>IF($AN2086=1,IFERROR(VALUE(MID($E2086,2,20)),1000000000)+ROW()/100000,"")</f>
        <v/>
      </c>
    </row>
    <row r="2087">
      <c r="G2087" s="11" t="n"/>
      <c r="Q2087" s="7">
        <f>IF($E2087="","",P2087*Y2087/100)</f>
        <v/>
      </c>
      <c r="R2087" s="7" t="n"/>
      <c r="X2087" s="7" t="n"/>
      <c r="Y2087" s="7" t="n"/>
      <c r="AB2087">
        <f>IF($E2087="","",IF($AQ2087=1,0,IF($AP2087=1,Settings!$C$6,Settings!$C$7))*100)</f>
        <v/>
      </c>
      <c r="AC2087" s="7">
        <f>IF($E2087="","",Y2087*AB2087/100)</f>
        <v/>
      </c>
      <c r="AD2087" s="7">
        <f>IF($E2087="","",Y2087-AC2087)</f>
        <v/>
      </c>
      <c r="AE2087" s="7">
        <f>IF($E2087="","",AD2087-Q2087)</f>
        <v/>
      </c>
      <c r="AI2087" s="7" t="n"/>
      <c r="AL2087" s="11" t="n"/>
      <c r="AN2087">
        <f>IF($E2087="","",IF(COUNTIF($E$2:$E2087,$E2087)=1,1,0))</f>
        <v/>
      </c>
      <c r="AO2087">
        <f>IF($AN2087=1,SUMPRODUCT(--($AR$2:$AR$4001&lt;$AR2087))+1,"")</f>
        <v/>
      </c>
      <c r="AP2087">
        <f>IF($E2087="","",IF(OR($U2087=TRUE(),$U2087="TRUE"),1,0))</f>
        <v/>
      </c>
      <c r="AQ2087">
        <f>IF($E2087="","",IF($AA2087="Yes",1,0))</f>
        <v/>
      </c>
      <c r="AR2087">
        <f>IF($AN2087=1,IFERROR(VALUE(MID($E2087,2,20)),1000000000)+ROW()/100000,"")</f>
        <v/>
      </c>
    </row>
    <row r="2088">
      <c r="G2088" s="11" t="n"/>
      <c r="Q2088" s="7">
        <f>IF($E2088="","",P2088*Y2088/100)</f>
        <v/>
      </c>
      <c r="R2088" s="7" t="n"/>
      <c r="X2088" s="7" t="n"/>
      <c r="Y2088" s="7" t="n"/>
      <c r="AB2088">
        <f>IF($E2088="","",IF($AQ2088=1,0,IF($AP2088=1,Settings!$C$6,Settings!$C$7))*100)</f>
        <v/>
      </c>
      <c r="AC2088" s="7">
        <f>IF($E2088="","",Y2088*AB2088/100)</f>
        <v/>
      </c>
      <c r="AD2088" s="7">
        <f>IF($E2088="","",Y2088-AC2088)</f>
        <v/>
      </c>
      <c r="AE2088" s="7">
        <f>IF($E2088="","",AD2088-Q2088)</f>
        <v/>
      </c>
      <c r="AI2088" s="7" t="n"/>
      <c r="AL2088" s="11" t="n"/>
      <c r="AN2088">
        <f>IF($E2088="","",IF(COUNTIF($E$2:$E2088,$E2088)=1,1,0))</f>
        <v/>
      </c>
      <c r="AO2088">
        <f>IF($AN2088=1,SUMPRODUCT(--($AR$2:$AR$4001&lt;$AR2088))+1,"")</f>
        <v/>
      </c>
      <c r="AP2088">
        <f>IF($E2088="","",IF(OR($U2088=TRUE(),$U2088="TRUE"),1,0))</f>
        <v/>
      </c>
      <c r="AQ2088">
        <f>IF($E2088="","",IF($AA2088="Yes",1,0))</f>
        <v/>
      </c>
      <c r="AR2088">
        <f>IF($AN2088=1,IFERROR(VALUE(MID($E2088,2,20)),1000000000)+ROW()/100000,"")</f>
        <v/>
      </c>
    </row>
    <row r="2089">
      <c r="G2089" s="11" t="n"/>
      <c r="Q2089" s="7">
        <f>IF($E2089="","",P2089*Y2089/100)</f>
        <v/>
      </c>
      <c r="R2089" s="7" t="n"/>
      <c r="X2089" s="7" t="n"/>
      <c r="Y2089" s="7" t="n"/>
      <c r="AB2089">
        <f>IF($E2089="","",IF($AQ2089=1,0,IF($AP2089=1,Settings!$C$6,Settings!$C$7))*100)</f>
        <v/>
      </c>
      <c r="AC2089" s="7">
        <f>IF($E2089="","",Y2089*AB2089/100)</f>
        <v/>
      </c>
      <c r="AD2089" s="7">
        <f>IF($E2089="","",Y2089-AC2089)</f>
        <v/>
      </c>
      <c r="AE2089" s="7">
        <f>IF($E2089="","",AD2089-Q2089)</f>
        <v/>
      </c>
      <c r="AI2089" s="7" t="n"/>
      <c r="AL2089" s="11" t="n"/>
      <c r="AN2089">
        <f>IF($E2089="","",IF(COUNTIF($E$2:$E2089,$E2089)=1,1,0))</f>
        <v/>
      </c>
      <c r="AO2089">
        <f>IF($AN2089=1,SUMPRODUCT(--($AR$2:$AR$4001&lt;$AR2089))+1,"")</f>
        <v/>
      </c>
      <c r="AP2089">
        <f>IF($E2089="","",IF(OR($U2089=TRUE(),$U2089="TRUE"),1,0))</f>
        <v/>
      </c>
      <c r="AQ2089">
        <f>IF($E2089="","",IF($AA2089="Yes",1,0))</f>
        <v/>
      </c>
      <c r="AR2089">
        <f>IF($AN2089=1,IFERROR(VALUE(MID($E2089,2,20)),1000000000)+ROW()/100000,"")</f>
        <v/>
      </c>
    </row>
    <row r="2090">
      <c r="G2090" s="11" t="n"/>
      <c r="Q2090" s="7">
        <f>IF($E2090="","",P2090*Y2090/100)</f>
        <v/>
      </c>
      <c r="R2090" s="7" t="n"/>
      <c r="X2090" s="7" t="n"/>
      <c r="Y2090" s="7" t="n"/>
      <c r="AB2090">
        <f>IF($E2090="","",IF($AQ2090=1,0,IF($AP2090=1,Settings!$C$6,Settings!$C$7))*100)</f>
        <v/>
      </c>
      <c r="AC2090" s="7">
        <f>IF($E2090="","",Y2090*AB2090/100)</f>
        <v/>
      </c>
      <c r="AD2090" s="7">
        <f>IF($E2090="","",Y2090-AC2090)</f>
        <v/>
      </c>
      <c r="AE2090" s="7">
        <f>IF($E2090="","",AD2090-Q2090)</f>
        <v/>
      </c>
      <c r="AI2090" s="7" t="n"/>
      <c r="AL2090" s="11" t="n"/>
      <c r="AN2090">
        <f>IF($E2090="","",IF(COUNTIF($E$2:$E2090,$E2090)=1,1,0))</f>
        <v/>
      </c>
      <c r="AO2090">
        <f>IF($AN2090=1,SUMPRODUCT(--($AR$2:$AR$4001&lt;$AR2090))+1,"")</f>
        <v/>
      </c>
      <c r="AP2090">
        <f>IF($E2090="","",IF(OR($U2090=TRUE(),$U2090="TRUE"),1,0))</f>
        <v/>
      </c>
      <c r="AQ2090">
        <f>IF($E2090="","",IF($AA2090="Yes",1,0))</f>
        <v/>
      </c>
      <c r="AR2090">
        <f>IF($AN2090=1,IFERROR(VALUE(MID($E2090,2,20)),1000000000)+ROW()/100000,"")</f>
        <v/>
      </c>
    </row>
    <row r="2091">
      <c r="G2091" s="11" t="n"/>
      <c r="Q2091" s="7">
        <f>IF($E2091="","",P2091*Y2091/100)</f>
        <v/>
      </c>
      <c r="R2091" s="7" t="n"/>
      <c r="X2091" s="7" t="n"/>
      <c r="Y2091" s="7" t="n"/>
      <c r="AB2091">
        <f>IF($E2091="","",IF($AQ2091=1,0,IF($AP2091=1,Settings!$C$6,Settings!$C$7))*100)</f>
        <v/>
      </c>
      <c r="AC2091" s="7">
        <f>IF($E2091="","",Y2091*AB2091/100)</f>
        <v/>
      </c>
      <c r="AD2091" s="7">
        <f>IF($E2091="","",Y2091-AC2091)</f>
        <v/>
      </c>
      <c r="AE2091" s="7">
        <f>IF($E2091="","",AD2091-Q2091)</f>
        <v/>
      </c>
      <c r="AI2091" s="7" t="n"/>
      <c r="AL2091" s="11" t="n"/>
      <c r="AN2091">
        <f>IF($E2091="","",IF(COUNTIF($E$2:$E2091,$E2091)=1,1,0))</f>
        <v/>
      </c>
      <c r="AO2091">
        <f>IF($AN2091=1,SUMPRODUCT(--($AR$2:$AR$4001&lt;$AR2091))+1,"")</f>
        <v/>
      </c>
      <c r="AP2091">
        <f>IF($E2091="","",IF(OR($U2091=TRUE(),$U2091="TRUE"),1,0))</f>
        <v/>
      </c>
      <c r="AQ2091">
        <f>IF($E2091="","",IF($AA2091="Yes",1,0))</f>
        <v/>
      </c>
      <c r="AR2091">
        <f>IF($AN2091=1,IFERROR(VALUE(MID($E2091,2,20)),1000000000)+ROW()/100000,"")</f>
        <v/>
      </c>
    </row>
    <row r="2092">
      <c r="G2092" s="11" t="n"/>
      <c r="Q2092" s="7">
        <f>IF($E2092="","",P2092*Y2092/100)</f>
        <v/>
      </c>
      <c r="R2092" s="7" t="n"/>
      <c r="X2092" s="7" t="n"/>
      <c r="Y2092" s="7" t="n"/>
      <c r="AB2092">
        <f>IF($E2092="","",IF($AQ2092=1,0,IF($AP2092=1,Settings!$C$6,Settings!$C$7))*100)</f>
        <v/>
      </c>
      <c r="AC2092" s="7">
        <f>IF($E2092="","",Y2092*AB2092/100)</f>
        <v/>
      </c>
      <c r="AD2092" s="7">
        <f>IF($E2092="","",Y2092-AC2092)</f>
        <v/>
      </c>
      <c r="AE2092" s="7">
        <f>IF($E2092="","",AD2092-Q2092)</f>
        <v/>
      </c>
      <c r="AI2092" s="7" t="n"/>
      <c r="AL2092" s="11" t="n"/>
      <c r="AN2092">
        <f>IF($E2092="","",IF(COUNTIF($E$2:$E2092,$E2092)=1,1,0))</f>
        <v/>
      </c>
      <c r="AO2092">
        <f>IF($AN2092=1,SUMPRODUCT(--($AR$2:$AR$4001&lt;$AR2092))+1,"")</f>
        <v/>
      </c>
      <c r="AP2092">
        <f>IF($E2092="","",IF(OR($U2092=TRUE(),$U2092="TRUE"),1,0))</f>
        <v/>
      </c>
      <c r="AQ2092">
        <f>IF($E2092="","",IF($AA2092="Yes",1,0))</f>
        <v/>
      </c>
      <c r="AR2092">
        <f>IF($AN2092=1,IFERROR(VALUE(MID($E2092,2,20)),1000000000)+ROW()/100000,"")</f>
        <v/>
      </c>
    </row>
    <row r="2093">
      <c r="G2093" s="11" t="n"/>
      <c r="Q2093" s="7">
        <f>IF($E2093="","",P2093*Y2093/100)</f>
        <v/>
      </c>
      <c r="R2093" s="7" t="n"/>
      <c r="X2093" s="7" t="n"/>
      <c r="Y2093" s="7" t="n"/>
      <c r="AB2093">
        <f>IF($E2093="","",IF($AQ2093=1,0,IF($AP2093=1,Settings!$C$6,Settings!$C$7))*100)</f>
        <v/>
      </c>
      <c r="AC2093" s="7">
        <f>IF($E2093="","",Y2093*AB2093/100)</f>
        <v/>
      </c>
      <c r="AD2093" s="7">
        <f>IF($E2093="","",Y2093-AC2093)</f>
        <v/>
      </c>
      <c r="AE2093" s="7">
        <f>IF($E2093="","",AD2093-Q2093)</f>
        <v/>
      </c>
      <c r="AI2093" s="7" t="n"/>
      <c r="AL2093" s="11" t="n"/>
      <c r="AN2093">
        <f>IF($E2093="","",IF(COUNTIF($E$2:$E2093,$E2093)=1,1,0))</f>
        <v/>
      </c>
      <c r="AO2093">
        <f>IF($AN2093=1,SUMPRODUCT(--($AR$2:$AR$4001&lt;$AR2093))+1,"")</f>
        <v/>
      </c>
      <c r="AP2093">
        <f>IF($E2093="","",IF(OR($U2093=TRUE(),$U2093="TRUE"),1,0))</f>
        <v/>
      </c>
      <c r="AQ2093">
        <f>IF($E2093="","",IF($AA2093="Yes",1,0))</f>
        <v/>
      </c>
      <c r="AR2093">
        <f>IF($AN2093=1,IFERROR(VALUE(MID($E2093,2,20)),1000000000)+ROW()/100000,"")</f>
        <v/>
      </c>
    </row>
    <row r="2094">
      <c r="G2094" s="11" t="n"/>
      <c r="Q2094" s="7">
        <f>IF($E2094="","",P2094*Y2094/100)</f>
        <v/>
      </c>
      <c r="R2094" s="7" t="n"/>
      <c r="X2094" s="7" t="n"/>
      <c r="Y2094" s="7" t="n"/>
      <c r="AB2094">
        <f>IF($E2094="","",IF($AQ2094=1,0,IF($AP2094=1,Settings!$C$6,Settings!$C$7))*100)</f>
        <v/>
      </c>
      <c r="AC2094" s="7">
        <f>IF($E2094="","",Y2094*AB2094/100)</f>
        <v/>
      </c>
      <c r="AD2094" s="7">
        <f>IF($E2094="","",Y2094-AC2094)</f>
        <v/>
      </c>
      <c r="AE2094" s="7">
        <f>IF($E2094="","",AD2094-Q2094)</f>
        <v/>
      </c>
      <c r="AI2094" s="7" t="n"/>
      <c r="AL2094" s="11" t="n"/>
      <c r="AN2094">
        <f>IF($E2094="","",IF(COUNTIF($E$2:$E2094,$E2094)=1,1,0))</f>
        <v/>
      </c>
      <c r="AO2094">
        <f>IF($AN2094=1,SUMPRODUCT(--($AR$2:$AR$4001&lt;$AR2094))+1,"")</f>
        <v/>
      </c>
      <c r="AP2094">
        <f>IF($E2094="","",IF(OR($U2094=TRUE(),$U2094="TRUE"),1,0))</f>
        <v/>
      </c>
      <c r="AQ2094">
        <f>IF($E2094="","",IF($AA2094="Yes",1,0))</f>
        <v/>
      </c>
      <c r="AR2094">
        <f>IF($AN2094=1,IFERROR(VALUE(MID($E2094,2,20)),1000000000)+ROW()/100000,"")</f>
        <v/>
      </c>
    </row>
    <row r="2095">
      <c r="G2095" s="11" t="n"/>
      <c r="Q2095" s="7">
        <f>IF($E2095="","",P2095*Y2095/100)</f>
        <v/>
      </c>
      <c r="R2095" s="7" t="n"/>
      <c r="X2095" s="7" t="n"/>
      <c r="Y2095" s="7" t="n"/>
      <c r="AB2095">
        <f>IF($E2095="","",IF($AQ2095=1,0,IF($AP2095=1,Settings!$C$6,Settings!$C$7))*100)</f>
        <v/>
      </c>
      <c r="AC2095" s="7">
        <f>IF($E2095="","",Y2095*AB2095/100)</f>
        <v/>
      </c>
      <c r="AD2095" s="7">
        <f>IF($E2095="","",Y2095-AC2095)</f>
        <v/>
      </c>
      <c r="AE2095" s="7">
        <f>IF($E2095="","",AD2095-Q2095)</f>
        <v/>
      </c>
      <c r="AI2095" s="7" t="n"/>
      <c r="AL2095" s="11" t="n"/>
      <c r="AN2095">
        <f>IF($E2095="","",IF(COUNTIF($E$2:$E2095,$E2095)=1,1,0))</f>
        <v/>
      </c>
      <c r="AO2095">
        <f>IF($AN2095=1,SUMPRODUCT(--($AR$2:$AR$4001&lt;$AR2095))+1,"")</f>
        <v/>
      </c>
      <c r="AP2095">
        <f>IF($E2095="","",IF(OR($U2095=TRUE(),$U2095="TRUE"),1,0))</f>
        <v/>
      </c>
      <c r="AQ2095">
        <f>IF($E2095="","",IF($AA2095="Yes",1,0))</f>
        <v/>
      </c>
      <c r="AR2095">
        <f>IF($AN2095=1,IFERROR(VALUE(MID($E2095,2,20)),1000000000)+ROW()/100000,"")</f>
        <v/>
      </c>
    </row>
    <row r="2096">
      <c r="G2096" s="11" t="n"/>
      <c r="Q2096" s="7">
        <f>IF($E2096="","",P2096*Y2096/100)</f>
        <v/>
      </c>
      <c r="R2096" s="7" t="n"/>
      <c r="X2096" s="7" t="n"/>
      <c r="Y2096" s="7" t="n"/>
      <c r="AB2096">
        <f>IF($E2096="","",IF($AQ2096=1,0,IF($AP2096=1,Settings!$C$6,Settings!$C$7))*100)</f>
        <v/>
      </c>
      <c r="AC2096" s="7">
        <f>IF($E2096="","",Y2096*AB2096/100)</f>
        <v/>
      </c>
      <c r="AD2096" s="7">
        <f>IF($E2096="","",Y2096-AC2096)</f>
        <v/>
      </c>
      <c r="AE2096" s="7">
        <f>IF($E2096="","",AD2096-Q2096)</f>
        <v/>
      </c>
      <c r="AI2096" s="7" t="n"/>
      <c r="AL2096" s="11" t="n"/>
      <c r="AN2096">
        <f>IF($E2096="","",IF(COUNTIF($E$2:$E2096,$E2096)=1,1,0))</f>
        <v/>
      </c>
      <c r="AO2096">
        <f>IF($AN2096=1,SUMPRODUCT(--($AR$2:$AR$4001&lt;$AR2096))+1,"")</f>
        <v/>
      </c>
      <c r="AP2096">
        <f>IF($E2096="","",IF(OR($U2096=TRUE(),$U2096="TRUE"),1,0))</f>
        <v/>
      </c>
      <c r="AQ2096">
        <f>IF($E2096="","",IF($AA2096="Yes",1,0))</f>
        <v/>
      </c>
      <c r="AR2096">
        <f>IF($AN2096=1,IFERROR(VALUE(MID($E2096,2,20)),1000000000)+ROW()/100000,"")</f>
        <v/>
      </c>
    </row>
    <row r="2097">
      <c r="G2097" s="11" t="n"/>
      <c r="Q2097" s="7">
        <f>IF($E2097="","",P2097*Y2097/100)</f>
        <v/>
      </c>
      <c r="R2097" s="7" t="n"/>
      <c r="X2097" s="7" t="n"/>
      <c r="Y2097" s="7" t="n"/>
      <c r="AB2097">
        <f>IF($E2097="","",IF($AQ2097=1,0,IF($AP2097=1,Settings!$C$6,Settings!$C$7))*100)</f>
        <v/>
      </c>
      <c r="AC2097" s="7">
        <f>IF($E2097="","",Y2097*AB2097/100)</f>
        <v/>
      </c>
      <c r="AD2097" s="7">
        <f>IF($E2097="","",Y2097-AC2097)</f>
        <v/>
      </c>
      <c r="AE2097" s="7">
        <f>IF($E2097="","",AD2097-Q2097)</f>
        <v/>
      </c>
      <c r="AI2097" s="7" t="n"/>
      <c r="AL2097" s="11" t="n"/>
      <c r="AN2097">
        <f>IF($E2097="","",IF(COUNTIF($E$2:$E2097,$E2097)=1,1,0))</f>
        <v/>
      </c>
      <c r="AO2097">
        <f>IF($AN2097=1,SUMPRODUCT(--($AR$2:$AR$4001&lt;$AR2097))+1,"")</f>
        <v/>
      </c>
      <c r="AP2097">
        <f>IF($E2097="","",IF(OR($U2097=TRUE(),$U2097="TRUE"),1,0))</f>
        <v/>
      </c>
      <c r="AQ2097">
        <f>IF($E2097="","",IF($AA2097="Yes",1,0))</f>
        <v/>
      </c>
      <c r="AR2097">
        <f>IF($AN2097=1,IFERROR(VALUE(MID($E2097,2,20)),1000000000)+ROW()/100000,"")</f>
        <v/>
      </c>
    </row>
    <row r="2098">
      <c r="G2098" s="11" t="n"/>
      <c r="Q2098" s="7">
        <f>IF($E2098="","",P2098*Y2098/100)</f>
        <v/>
      </c>
      <c r="R2098" s="7" t="n"/>
      <c r="X2098" s="7" t="n"/>
      <c r="Y2098" s="7" t="n"/>
      <c r="AB2098">
        <f>IF($E2098="","",IF($AQ2098=1,0,IF($AP2098=1,Settings!$C$6,Settings!$C$7))*100)</f>
        <v/>
      </c>
      <c r="AC2098" s="7">
        <f>IF($E2098="","",Y2098*AB2098/100)</f>
        <v/>
      </c>
      <c r="AD2098" s="7">
        <f>IF($E2098="","",Y2098-AC2098)</f>
        <v/>
      </c>
      <c r="AE2098" s="7">
        <f>IF($E2098="","",AD2098-Q2098)</f>
        <v/>
      </c>
      <c r="AI2098" s="7" t="n"/>
      <c r="AL2098" s="11" t="n"/>
      <c r="AN2098">
        <f>IF($E2098="","",IF(COUNTIF($E$2:$E2098,$E2098)=1,1,0))</f>
        <v/>
      </c>
      <c r="AO2098">
        <f>IF($AN2098=1,SUMPRODUCT(--($AR$2:$AR$4001&lt;$AR2098))+1,"")</f>
        <v/>
      </c>
      <c r="AP2098">
        <f>IF($E2098="","",IF(OR($U2098=TRUE(),$U2098="TRUE"),1,0))</f>
        <v/>
      </c>
      <c r="AQ2098">
        <f>IF($E2098="","",IF($AA2098="Yes",1,0))</f>
        <v/>
      </c>
      <c r="AR2098">
        <f>IF($AN2098=1,IFERROR(VALUE(MID($E2098,2,20)),1000000000)+ROW()/100000,"")</f>
        <v/>
      </c>
    </row>
    <row r="2099">
      <c r="G2099" s="11" t="n"/>
      <c r="Q2099" s="7">
        <f>IF($E2099="","",P2099*Y2099/100)</f>
        <v/>
      </c>
      <c r="R2099" s="7" t="n"/>
      <c r="X2099" s="7" t="n"/>
      <c r="Y2099" s="7" t="n"/>
      <c r="AB2099">
        <f>IF($E2099="","",IF($AQ2099=1,0,IF($AP2099=1,Settings!$C$6,Settings!$C$7))*100)</f>
        <v/>
      </c>
      <c r="AC2099" s="7">
        <f>IF($E2099="","",Y2099*AB2099/100)</f>
        <v/>
      </c>
      <c r="AD2099" s="7">
        <f>IF($E2099="","",Y2099-AC2099)</f>
        <v/>
      </c>
      <c r="AE2099" s="7">
        <f>IF($E2099="","",AD2099-Q2099)</f>
        <v/>
      </c>
      <c r="AI2099" s="7" t="n"/>
      <c r="AL2099" s="11" t="n"/>
      <c r="AN2099">
        <f>IF($E2099="","",IF(COUNTIF($E$2:$E2099,$E2099)=1,1,0))</f>
        <v/>
      </c>
      <c r="AO2099">
        <f>IF($AN2099=1,SUMPRODUCT(--($AR$2:$AR$4001&lt;$AR2099))+1,"")</f>
        <v/>
      </c>
      <c r="AP2099">
        <f>IF($E2099="","",IF(OR($U2099=TRUE(),$U2099="TRUE"),1,0))</f>
        <v/>
      </c>
      <c r="AQ2099">
        <f>IF($E2099="","",IF($AA2099="Yes",1,0))</f>
        <v/>
      </c>
      <c r="AR2099">
        <f>IF($AN2099=1,IFERROR(VALUE(MID($E2099,2,20)),1000000000)+ROW()/100000,"")</f>
        <v/>
      </c>
    </row>
    <row r="2100">
      <c r="G2100" s="11" t="n"/>
      <c r="Q2100" s="7">
        <f>IF($E2100="","",P2100*Y2100/100)</f>
        <v/>
      </c>
      <c r="R2100" s="7" t="n"/>
      <c r="X2100" s="7" t="n"/>
      <c r="Y2100" s="7" t="n"/>
      <c r="AB2100">
        <f>IF($E2100="","",IF($AQ2100=1,0,IF($AP2100=1,Settings!$C$6,Settings!$C$7))*100)</f>
        <v/>
      </c>
      <c r="AC2100" s="7">
        <f>IF($E2100="","",Y2100*AB2100/100)</f>
        <v/>
      </c>
      <c r="AD2100" s="7">
        <f>IF($E2100="","",Y2100-AC2100)</f>
        <v/>
      </c>
      <c r="AE2100" s="7">
        <f>IF($E2100="","",AD2100-Q2100)</f>
        <v/>
      </c>
      <c r="AI2100" s="7" t="n"/>
      <c r="AL2100" s="11" t="n"/>
      <c r="AN2100">
        <f>IF($E2100="","",IF(COUNTIF($E$2:$E2100,$E2100)=1,1,0))</f>
        <v/>
      </c>
      <c r="AO2100">
        <f>IF($AN2100=1,SUMPRODUCT(--($AR$2:$AR$4001&lt;$AR2100))+1,"")</f>
        <v/>
      </c>
      <c r="AP2100">
        <f>IF($E2100="","",IF(OR($U2100=TRUE(),$U2100="TRUE"),1,0))</f>
        <v/>
      </c>
      <c r="AQ2100">
        <f>IF($E2100="","",IF($AA2100="Yes",1,0))</f>
        <v/>
      </c>
      <c r="AR2100">
        <f>IF($AN2100=1,IFERROR(VALUE(MID($E2100,2,20)),1000000000)+ROW()/100000,"")</f>
        <v/>
      </c>
    </row>
    <row r="2101">
      <c r="G2101" s="11" t="n"/>
      <c r="Q2101" s="7">
        <f>IF($E2101="","",P2101*Y2101/100)</f>
        <v/>
      </c>
      <c r="R2101" s="7" t="n"/>
      <c r="X2101" s="7" t="n"/>
      <c r="Y2101" s="7" t="n"/>
      <c r="AB2101">
        <f>IF($E2101="","",IF($AQ2101=1,0,IF($AP2101=1,Settings!$C$6,Settings!$C$7))*100)</f>
        <v/>
      </c>
      <c r="AC2101" s="7">
        <f>IF($E2101="","",Y2101*AB2101/100)</f>
        <v/>
      </c>
      <c r="AD2101" s="7">
        <f>IF($E2101="","",Y2101-AC2101)</f>
        <v/>
      </c>
      <c r="AE2101" s="7">
        <f>IF($E2101="","",AD2101-Q2101)</f>
        <v/>
      </c>
      <c r="AI2101" s="7" t="n"/>
      <c r="AL2101" s="11" t="n"/>
      <c r="AN2101">
        <f>IF($E2101="","",IF(COUNTIF($E$2:$E2101,$E2101)=1,1,0))</f>
        <v/>
      </c>
      <c r="AO2101">
        <f>IF($AN2101=1,SUMPRODUCT(--($AR$2:$AR$4001&lt;$AR2101))+1,"")</f>
        <v/>
      </c>
      <c r="AP2101">
        <f>IF($E2101="","",IF(OR($U2101=TRUE(),$U2101="TRUE"),1,0))</f>
        <v/>
      </c>
      <c r="AQ2101">
        <f>IF($E2101="","",IF($AA2101="Yes",1,0))</f>
        <v/>
      </c>
      <c r="AR2101">
        <f>IF($AN2101=1,IFERROR(VALUE(MID($E2101,2,20)),1000000000)+ROW()/100000,"")</f>
        <v/>
      </c>
    </row>
    <row r="2102">
      <c r="G2102" s="11" t="n"/>
      <c r="Q2102" s="7">
        <f>IF($E2102="","",P2102*Y2102/100)</f>
        <v/>
      </c>
      <c r="R2102" s="7" t="n"/>
      <c r="X2102" s="7" t="n"/>
      <c r="Y2102" s="7" t="n"/>
      <c r="AB2102">
        <f>IF($E2102="","",IF($AQ2102=1,0,IF($AP2102=1,Settings!$C$6,Settings!$C$7))*100)</f>
        <v/>
      </c>
      <c r="AC2102" s="7">
        <f>IF($E2102="","",Y2102*AB2102/100)</f>
        <v/>
      </c>
      <c r="AD2102" s="7">
        <f>IF($E2102="","",Y2102-AC2102)</f>
        <v/>
      </c>
      <c r="AE2102" s="7">
        <f>IF($E2102="","",AD2102-Q2102)</f>
        <v/>
      </c>
      <c r="AI2102" s="7" t="n"/>
      <c r="AL2102" s="11" t="n"/>
      <c r="AN2102">
        <f>IF($E2102="","",IF(COUNTIF($E$2:$E2102,$E2102)=1,1,0))</f>
        <v/>
      </c>
      <c r="AO2102">
        <f>IF($AN2102=1,SUMPRODUCT(--($AR$2:$AR$4001&lt;$AR2102))+1,"")</f>
        <v/>
      </c>
      <c r="AP2102">
        <f>IF($E2102="","",IF(OR($U2102=TRUE(),$U2102="TRUE"),1,0))</f>
        <v/>
      </c>
      <c r="AQ2102">
        <f>IF($E2102="","",IF($AA2102="Yes",1,0))</f>
        <v/>
      </c>
      <c r="AR2102">
        <f>IF($AN2102=1,IFERROR(VALUE(MID($E2102,2,20)),1000000000)+ROW()/100000,"")</f>
        <v/>
      </c>
    </row>
    <row r="2103">
      <c r="G2103" s="11" t="n"/>
      <c r="Q2103" s="7">
        <f>IF($E2103="","",P2103*Y2103/100)</f>
        <v/>
      </c>
      <c r="R2103" s="7" t="n"/>
      <c r="X2103" s="7" t="n"/>
      <c r="Y2103" s="7" t="n"/>
      <c r="AB2103">
        <f>IF($E2103="","",IF($AQ2103=1,0,IF($AP2103=1,Settings!$C$6,Settings!$C$7))*100)</f>
        <v/>
      </c>
      <c r="AC2103" s="7">
        <f>IF($E2103="","",Y2103*AB2103/100)</f>
        <v/>
      </c>
      <c r="AD2103" s="7">
        <f>IF($E2103="","",Y2103-AC2103)</f>
        <v/>
      </c>
      <c r="AE2103" s="7">
        <f>IF($E2103="","",AD2103-Q2103)</f>
        <v/>
      </c>
      <c r="AI2103" s="7" t="n"/>
      <c r="AL2103" s="11" t="n"/>
      <c r="AN2103">
        <f>IF($E2103="","",IF(COUNTIF($E$2:$E2103,$E2103)=1,1,0))</f>
        <v/>
      </c>
      <c r="AO2103">
        <f>IF($AN2103=1,SUMPRODUCT(--($AR$2:$AR$4001&lt;$AR2103))+1,"")</f>
        <v/>
      </c>
      <c r="AP2103">
        <f>IF($E2103="","",IF(OR($U2103=TRUE(),$U2103="TRUE"),1,0))</f>
        <v/>
      </c>
      <c r="AQ2103">
        <f>IF($E2103="","",IF($AA2103="Yes",1,0))</f>
        <v/>
      </c>
      <c r="AR2103">
        <f>IF($AN2103=1,IFERROR(VALUE(MID($E2103,2,20)),1000000000)+ROW()/100000,"")</f>
        <v/>
      </c>
    </row>
    <row r="2104">
      <c r="G2104" s="11" t="n"/>
      <c r="Q2104" s="7">
        <f>IF($E2104="","",P2104*Y2104/100)</f>
        <v/>
      </c>
      <c r="R2104" s="7" t="n"/>
      <c r="X2104" s="7" t="n"/>
      <c r="Y2104" s="7" t="n"/>
      <c r="AB2104">
        <f>IF($E2104="","",IF($AQ2104=1,0,IF($AP2104=1,Settings!$C$6,Settings!$C$7))*100)</f>
        <v/>
      </c>
      <c r="AC2104" s="7">
        <f>IF($E2104="","",Y2104*AB2104/100)</f>
        <v/>
      </c>
      <c r="AD2104" s="7">
        <f>IF($E2104="","",Y2104-AC2104)</f>
        <v/>
      </c>
      <c r="AE2104" s="7">
        <f>IF($E2104="","",AD2104-Q2104)</f>
        <v/>
      </c>
      <c r="AI2104" s="7" t="n"/>
      <c r="AL2104" s="11" t="n"/>
      <c r="AN2104">
        <f>IF($E2104="","",IF(COUNTIF($E$2:$E2104,$E2104)=1,1,0))</f>
        <v/>
      </c>
      <c r="AO2104">
        <f>IF($AN2104=1,SUMPRODUCT(--($AR$2:$AR$4001&lt;$AR2104))+1,"")</f>
        <v/>
      </c>
      <c r="AP2104">
        <f>IF($E2104="","",IF(OR($U2104=TRUE(),$U2104="TRUE"),1,0))</f>
        <v/>
      </c>
      <c r="AQ2104">
        <f>IF($E2104="","",IF($AA2104="Yes",1,0))</f>
        <v/>
      </c>
      <c r="AR2104">
        <f>IF($AN2104=1,IFERROR(VALUE(MID($E2104,2,20)),1000000000)+ROW()/100000,"")</f>
        <v/>
      </c>
    </row>
    <row r="2105">
      <c r="G2105" s="11" t="n"/>
      <c r="Q2105" s="7">
        <f>IF($E2105="","",P2105*Y2105/100)</f>
        <v/>
      </c>
      <c r="R2105" s="7" t="n"/>
      <c r="X2105" s="7" t="n"/>
      <c r="Y2105" s="7" t="n"/>
      <c r="AB2105">
        <f>IF($E2105="","",IF($AQ2105=1,0,IF($AP2105=1,Settings!$C$6,Settings!$C$7))*100)</f>
        <v/>
      </c>
      <c r="AC2105" s="7">
        <f>IF($E2105="","",Y2105*AB2105/100)</f>
        <v/>
      </c>
      <c r="AD2105" s="7">
        <f>IF($E2105="","",Y2105-AC2105)</f>
        <v/>
      </c>
      <c r="AE2105" s="7">
        <f>IF($E2105="","",AD2105-Q2105)</f>
        <v/>
      </c>
      <c r="AI2105" s="7" t="n"/>
      <c r="AL2105" s="11" t="n"/>
      <c r="AN2105">
        <f>IF($E2105="","",IF(COUNTIF($E$2:$E2105,$E2105)=1,1,0))</f>
        <v/>
      </c>
      <c r="AO2105">
        <f>IF($AN2105=1,SUMPRODUCT(--($AR$2:$AR$4001&lt;$AR2105))+1,"")</f>
        <v/>
      </c>
      <c r="AP2105">
        <f>IF($E2105="","",IF(OR($U2105=TRUE(),$U2105="TRUE"),1,0))</f>
        <v/>
      </c>
      <c r="AQ2105">
        <f>IF($E2105="","",IF($AA2105="Yes",1,0))</f>
        <v/>
      </c>
      <c r="AR2105">
        <f>IF($AN2105=1,IFERROR(VALUE(MID($E2105,2,20)),1000000000)+ROW()/100000,"")</f>
        <v/>
      </c>
    </row>
    <row r="2106">
      <c r="G2106" s="11" t="n"/>
      <c r="Q2106" s="7">
        <f>IF($E2106="","",P2106*Y2106/100)</f>
        <v/>
      </c>
      <c r="R2106" s="7" t="n"/>
      <c r="X2106" s="7" t="n"/>
      <c r="Y2106" s="7" t="n"/>
      <c r="AB2106">
        <f>IF($E2106="","",IF($AQ2106=1,0,IF($AP2106=1,Settings!$C$6,Settings!$C$7))*100)</f>
        <v/>
      </c>
      <c r="AC2106" s="7">
        <f>IF($E2106="","",Y2106*AB2106/100)</f>
        <v/>
      </c>
      <c r="AD2106" s="7">
        <f>IF($E2106="","",Y2106-AC2106)</f>
        <v/>
      </c>
      <c r="AE2106" s="7">
        <f>IF($E2106="","",AD2106-Q2106)</f>
        <v/>
      </c>
      <c r="AI2106" s="7" t="n"/>
      <c r="AL2106" s="11" t="n"/>
      <c r="AN2106">
        <f>IF($E2106="","",IF(COUNTIF($E$2:$E2106,$E2106)=1,1,0))</f>
        <v/>
      </c>
      <c r="AO2106">
        <f>IF($AN2106=1,SUMPRODUCT(--($AR$2:$AR$4001&lt;$AR2106))+1,"")</f>
        <v/>
      </c>
      <c r="AP2106">
        <f>IF($E2106="","",IF(OR($U2106=TRUE(),$U2106="TRUE"),1,0))</f>
        <v/>
      </c>
      <c r="AQ2106">
        <f>IF($E2106="","",IF($AA2106="Yes",1,0))</f>
        <v/>
      </c>
      <c r="AR2106">
        <f>IF($AN2106=1,IFERROR(VALUE(MID($E2106,2,20)),1000000000)+ROW()/100000,"")</f>
        <v/>
      </c>
    </row>
    <row r="2107">
      <c r="G2107" s="11" t="n"/>
      <c r="Q2107" s="7">
        <f>IF($E2107="","",P2107*Y2107/100)</f>
        <v/>
      </c>
      <c r="R2107" s="7" t="n"/>
      <c r="X2107" s="7" t="n"/>
      <c r="Y2107" s="7" t="n"/>
      <c r="AB2107">
        <f>IF($E2107="","",IF($AQ2107=1,0,IF($AP2107=1,Settings!$C$6,Settings!$C$7))*100)</f>
        <v/>
      </c>
      <c r="AC2107" s="7">
        <f>IF($E2107="","",Y2107*AB2107/100)</f>
        <v/>
      </c>
      <c r="AD2107" s="7">
        <f>IF($E2107="","",Y2107-AC2107)</f>
        <v/>
      </c>
      <c r="AE2107" s="7">
        <f>IF($E2107="","",AD2107-Q2107)</f>
        <v/>
      </c>
      <c r="AI2107" s="7" t="n"/>
      <c r="AL2107" s="11" t="n"/>
      <c r="AN2107">
        <f>IF($E2107="","",IF(COUNTIF($E$2:$E2107,$E2107)=1,1,0))</f>
        <v/>
      </c>
      <c r="AO2107">
        <f>IF($AN2107=1,SUMPRODUCT(--($AR$2:$AR$4001&lt;$AR2107))+1,"")</f>
        <v/>
      </c>
      <c r="AP2107">
        <f>IF($E2107="","",IF(OR($U2107=TRUE(),$U2107="TRUE"),1,0))</f>
        <v/>
      </c>
      <c r="AQ2107">
        <f>IF($E2107="","",IF($AA2107="Yes",1,0))</f>
        <v/>
      </c>
      <c r="AR2107">
        <f>IF($AN2107=1,IFERROR(VALUE(MID($E2107,2,20)),1000000000)+ROW()/100000,"")</f>
        <v/>
      </c>
    </row>
    <row r="2108">
      <c r="G2108" s="11" t="n"/>
      <c r="Q2108" s="7">
        <f>IF($E2108="","",P2108*Y2108/100)</f>
        <v/>
      </c>
      <c r="R2108" s="7" t="n"/>
      <c r="X2108" s="7" t="n"/>
      <c r="Y2108" s="7" t="n"/>
      <c r="AB2108">
        <f>IF($E2108="","",IF($AQ2108=1,0,IF($AP2108=1,Settings!$C$6,Settings!$C$7))*100)</f>
        <v/>
      </c>
      <c r="AC2108" s="7">
        <f>IF($E2108="","",Y2108*AB2108/100)</f>
        <v/>
      </c>
      <c r="AD2108" s="7">
        <f>IF($E2108="","",Y2108-AC2108)</f>
        <v/>
      </c>
      <c r="AE2108" s="7">
        <f>IF($E2108="","",AD2108-Q2108)</f>
        <v/>
      </c>
      <c r="AI2108" s="7" t="n"/>
      <c r="AL2108" s="11" t="n"/>
      <c r="AN2108">
        <f>IF($E2108="","",IF(COUNTIF($E$2:$E2108,$E2108)=1,1,0))</f>
        <v/>
      </c>
      <c r="AO2108">
        <f>IF($AN2108=1,SUMPRODUCT(--($AR$2:$AR$4001&lt;$AR2108))+1,"")</f>
        <v/>
      </c>
      <c r="AP2108">
        <f>IF($E2108="","",IF(OR($U2108=TRUE(),$U2108="TRUE"),1,0))</f>
        <v/>
      </c>
      <c r="AQ2108">
        <f>IF($E2108="","",IF($AA2108="Yes",1,0))</f>
        <v/>
      </c>
      <c r="AR2108">
        <f>IF($AN2108=1,IFERROR(VALUE(MID($E2108,2,20)),1000000000)+ROW()/100000,"")</f>
        <v/>
      </c>
    </row>
    <row r="2109">
      <c r="G2109" s="11" t="n"/>
      <c r="Q2109" s="7">
        <f>IF($E2109="","",P2109*Y2109/100)</f>
        <v/>
      </c>
      <c r="R2109" s="7" t="n"/>
      <c r="X2109" s="7" t="n"/>
      <c r="Y2109" s="7" t="n"/>
      <c r="AB2109">
        <f>IF($E2109="","",IF($AQ2109=1,0,IF($AP2109=1,Settings!$C$6,Settings!$C$7))*100)</f>
        <v/>
      </c>
      <c r="AC2109" s="7">
        <f>IF($E2109="","",Y2109*AB2109/100)</f>
        <v/>
      </c>
      <c r="AD2109" s="7">
        <f>IF($E2109="","",Y2109-AC2109)</f>
        <v/>
      </c>
      <c r="AE2109" s="7">
        <f>IF($E2109="","",AD2109-Q2109)</f>
        <v/>
      </c>
      <c r="AI2109" s="7" t="n"/>
      <c r="AL2109" s="11" t="n"/>
      <c r="AN2109">
        <f>IF($E2109="","",IF(COUNTIF($E$2:$E2109,$E2109)=1,1,0))</f>
        <v/>
      </c>
      <c r="AO2109">
        <f>IF($AN2109=1,SUMPRODUCT(--($AR$2:$AR$4001&lt;$AR2109))+1,"")</f>
        <v/>
      </c>
      <c r="AP2109">
        <f>IF($E2109="","",IF(OR($U2109=TRUE(),$U2109="TRUE"),1,0))</f>
        <v/>
      </c>
      <c r="AQ2109">
        <f>IF($E2109="","",IF($AA2109="Yes",1,0))</f>
        <v/>
      </c>
      <c r="AR2109">
        <f>IF($AN2109=1,IFERROR(VALUE(MID($E2109,2,20)),1000000000)+ROW()/100000,"")</f>
        <v/>
      </c>
    </row>
    <row r="2110">
      <c r="G2110" s="11" t="n"/>
      <c r="Q2110" s="7">
        <f>IF($E2110="","",P2110*Y2110/100)</f>
        <v/>
      </c>
      <c r="R2110" s="7" t="n"/>
      <c r="X2110" s="7" t="n"/>
      <c r="Y2110" s="7" t="n"/>
      <c r="AB2110">
        <f>IF($E2110="","",IF($AQ2110=1,0,IF($AP2110=1,Settings!$C$6,Settings!$C$7))*100)</f>
        <v/>
      </c>
      <c r="AC2110" s="7">
        <f>IF($E2110="","",Y2110*AB2110/100)</f>
        <v/>
      </c>
      <c r="AD2110" s="7">
        <f>IF($E2110="","",Y2110-AC2110)</f>
        <v/>
      </c>
      <c r="AE2110" s="7">
        <f>IF($E2110="","",AD2110-Q2110)</f>
        <v/>
      </c>
      <c r="AI2110" s="7" t="n"/>
      <c r="AL2110" s="11" t="n"/>
      <c r="AN2110">
        <f>IF($E2110="","",IF(COUNTIF($E$2:$E2110,$E2110)=1,1,0))</f>
        <v/>
      </c>
      <c r="AO2110">
        <f>IF($AN2110=1,SUMPRODUCT(--($AR$2:$AR$4001&lt;$AR2110))+1,"")</f>
        <v/>
      </c>
      <c r="AP2110">
        <f>IF($E2110="","",IF(OR($U2110=TRUE(),$U2110="TRUE"),1,0))</f>
        <v/>
      </c>
      <c r="AQ2110">
        <f>IF($E2110="","",IF($AA2110="Yes",1,0))</f>
        <v/>
      </c>
      <c r="AR2110">
        <f>IF($AN2110=1,IFERROR(VALUE(MID($E2110,2,20)),1000000000)+ROW()/100000,"")</f>
        <v/>
      </c>
    </row>
    <row r="2111">
      <c r="G2111" s="11" t="n"/>
      <c r="Q2111" s="7">
        <f>IF($E2111="","",P2111*Y2111/100)</f>
        <v/>
      </c>
      <c r="R2111" s="7" t="n"/>
      <c r="X2111" s="7" t="n"/>
      <c r="Y2111" s="7" t="n"/>
      <c r="AB2111">
        <f>IF($E2111="","",IF($AQ2111=1,0,IF($AP2111=1,Settings!$C$6,Settings!$C$7))*100)</f>
        <v/>
      </c>
      <c r="AC2111" s="7">
        <f>IF($E2111="","",Y2111*AB2111/100)</f>
        <v/>
      </c>
      <c r="AD2111" s="7">
        <f>IF($E2111="","",Y2111-AC2111)</f>
        <v/>
      </c>
      <c r="AE2111" s="7">
        <f>IF($E2111="","",AD2111-Q2111)</f>
        <v/>
      </c>
      <c r="AI2111" s="7" t="n"/>
      <c r="AL2111" s="11" t="n"/>
      <c r="AN2111">
        <f>IF($E2111="","",IF(COUNTIF($E$2:$E2111,$E2111)=1,1,0))</f>
        <v/>
      </c>
      <c r="AO2111">
        <f>IF($AN2111=1,SUMPRODUCT(--($AR$2:$AR$4001&lt;$AR2111))+1,"")</f>
        <v/>
      </c>
      <c r="AP2111">
        <f>IF($E2111="","",IF(OR($U2111=TRUE(),$U2111="TRUE"),1,0))</f>
        <v/>
      </c>
      <c r="AQ2111">
        <f>IF($E2111="","",IF($AA2111="Yes",1,0))</f>
        <v/>
      </c>
      <c r="AR2111">
        <f>IF($AN2111=1,IFERROR(VALUE(MID($E2111,2,20)),1000000000)+ROW()/100000,"")</f>
        <v/>
      </c>
    </row>
    <row r="2112">
      <c r="G2112" s="11" t="n"/>
      <c r="Q2112" s="7">
        <f>IF($E2112="","",P2112*Y2112/100)</f>
        <v/>
      </c>
      <c r="R2112" s="7" t="n"/>
      <c r="X2112" s="7" t="n"/>
      <c r="Y2112" s="7" t="n"/>
      <c r="AB2112">
        <f>IF($E2112="","",IF($AQ2112=1,0,IF($AP2112=1,Settings!$C$6,Settings!$C$7))*100)</f>
        <v/>
      </c>
      <c r="AC2112" s="7">
        <f>IF($E2112="","",Y2112*AB2112/100)</f>
        <v/>
      </c>
      <c r="AD2112" s="7">
        <f>IF($E2112="","",Y2112-AC2112)</f>
        <v/>
      </c>
      <c r="AE2112" s="7">
        <f>IF($E2112="","",AD2112-Q2112)</f>
        <v/>
      </c>
      <c r="AI2112" s="7" t="n"/>
      <c r="AL2112" s="11" t="n"/>
      <c r="AN2112">
        <f>IF($E2112="","",IF(COUNTIF($E$2:$E2112,$E2112)=1,1,0))</f>
        <v/>
      </c>
      <c r="AO2112">
        <f>IF($AN2112=1,SUMPRODUCT(--($AR$2:$AR$4001&lt;$AR2112))+1,"")</f>
        <v/>
      </c>
      <c r="AP2112">
        <f>IF($E2112="","",IF(OR($U2112=TRUE(),$U2112="TRUE"),1,0))</f>
        <v/>
      </c>
      <c r="AQ2112">
        <f>IF($E2112="","",IF($AA2112="Yes",1,0))</f>
        <v/>
      </c>
      <c r="AR2112">
        <f>IF($AN2112=1,IFERROR(VALUE(MID($E2112,2,20)),1000000000)+ROW()/100000,"")</f>
        <v/>
      </c>
    </row>
    <row r="2113">
      <c r="G2113" s="11" t="n"/>
      <c r="Q2113" s="7">
        <f>IF($E2113="","",P2113*Y2113/100)</f>
        <v/>
      </c>
      <c r="R2113" s="7" t="n"/>
      <c r="X2113" s="7" t="n"/>
      <c r="Y2113" s="7" t="n"/>
      <c r="AB2113">
        <f>IF($E2113="","",IF($AQ2113=1,0,IF($AP2113=1,Settings!$C$6,Settings!$C$7))*100)</f>
        <v/>
      </c>
      <c r="AC2113" s="7">
        <f>IF($E2113="","",Y2113*AB2113/100)</f>
        <v/>
      </c>
      <c r="AD2113" s="7">
        <f>IF($E2113="","",Y2113-AC2113)</f>
        <v/>
      </c>
      <c r="AE2113" s="7">
        <f>IF($E2113="","",AD2113-Q2113)</f>
        <v/>
      </c>
      <c r="AI2113" s="7" t="n"/>
      <c r="AL2113" s="11" t="n"/>
      <c r="AN2113">
        <f>IF($E2113="","",IF(COUNTIF($E$2:$E2113,$E2113)=1,1,0))</f>
        <v/>
      </c>
      <c r="AO2113">
        <f>IF($AN2113=1,SUMPRODUCT(--($AR$2:$AR$4001&lt;$AR2113))+1,"")</f>
        <v/>
      </c>
      <c r="AP2113">
        <f>IF($E2113="","",IF(OR($U2113=TRUE(),$U2113="TRUE"),1,0))</f>
        <v/>
      </c>
      <c r="AQ2113">
        <f>IF($E2113="","",IF($AA2113="Yes",1,0))</f>
        <v/>
      </c>
      <c r="AR2113">
        <f>IF($AN2113=1,IFERROR(VALUE(MID($E2113,2,20)),1000000000)+ROW()/100000,"")</f>
        <v/>
      </c>
    </row>
    <row r="2114">
      <c r="G2114" s="11" t="n"/>
      <c r="Q2114" s="7">
        <f>IF($E2114="","",P2114*Y2114/100)</f>
        <v/>
      </c>
      <c r="R2114" s="7" t="n"/>
      <c r="X2114" s="7" t="n"/>
      <c r="Y2114" s="7" t="n"/>
      <c r="AB2114">
        <f>IF($E2114="","",IF($AQ2114=1,0,IF($AP2114=1,Settings!$C$6,Settings!$C$7))*100)</f>
        <v/>
      </c>
      <c r="AC2114" s="7">
        <f>IF($E2114="","",Y2114*AB2114/100)</f>
        <v/>
      </c>
      <c r="AD2114" s="7">
        <f>IF($E2114="","",Y2114-AC2114)</f>
        <v/>
      </c>
      <c r="AE2114" s="7">
        <f>IF($E2114="","",AD2114-Q2114)</f>
        <v/>
      </c>
      <c r="AI2114" s="7" t="n"/>
      <c r="AL2114" s="11" t="n"/>
      <c r="AN2114">
        <f>IF($E2114="","",IF(COUNTIF($E$2:$E2114,$E2114)=1,1,0))</f>
        <v/>
      </c>
      <c r="AO2114">
        <f>IF($AN2114=1,SUMPRODUCT(--($AR$2:$AR$4001&lt;$AR2114))+1,"")</f>
        <v/>
      </c>
      <c r="AP2114">
        <f>IF($E2114="","",IF(OR($U2114=TRUE(),$U2114="TRUE"),1,0))</f>
        <v/>
      </c>
      <c r="AQ2114">
        <f>IF($E2114="","",IF($AA2114="Yes",1,0))</f>
        <v/>
      </c>
      <c r="AR2114">
        <f>IF($AN2114=1,IFERROR(VALUE(MID($E2114,2,20)),1000000000)+ROW()/100000,"")</f>
        <v/>
      </c>
    </row>
    <row r="2115">
      <c r="G2115" s="11" t="n"/>
      <c r="Q2115" s="7">
        <f>IF($E2115="","",P2115*Y2115/100)</f>
        <v/>
      </c>
      <c r="R2115" s="7" t="n"/>
      <c r="X2115" s="7" t="n"/>
      <c r="Y2115" s="7" t="n"/>
      <c r="AB2115">
        <f>IF($E2115="","",IF($AQ2115=1,0,IF($AP2115=1,Settings!$C$6,Settings!$C$7))*100)</f>
        <v/>
      </c>
      <c r="AC2115" s="7">
        <f>IF($E2115="","",Y2115*AB2115/100)</f>
        <v/>
      </c>
      <c r="AD2115" s="7">
        <f>IF($E2115="","",Y2115-AC2115)</f>
        <v/>
      </c>
      <c r="AE2115" s="7">
        <f>IF($E2115="","",AD2115-Q2115)</f>
        <v/>
      </c>
      <c r="AI2115" s="7" t="n"/>
      <c r="AL2115" s="11" t="n"/>
      <c r="AN2115">
        <f>IF($E2115="","",IF(COUNTIF($E$2:$E2115,$E2115)=1,1,0))</f>
        <v/>
      </c>
      <c r="AO2115">
        <f>IF($AN2115=1,SUMPRODUCT(--($AR$2:$AR$4001&lt;$AR2115))+1,"")</f>
        <v/>
      </c>
      <c r="AP2115">
        <f>IF($E2115="","",IF(OR($U2115=TRUE(),$U2115="TRUE"),1,0))</f>
        <v/>
      </c>
      <c r="AQ2115">
        <f>IF($E2115="","",IF($AA2115="Yes",1,0))</f>
        <v/>
      </c>
      <c r="AR2115">
        <f>IF($AN2115=1,IFERROR(VALUE(MID($E2115,2,20)),1000000000)+ROW()/100000,"")</f>
        <v/>
      </c>
    </row>
    <row r="2116">
      <c r="G2116" s="11" t="n"/>
      <c r="Q2116" s="7">
        <f>IF($E2116="","",P2116*Y2116/100)</f>
        <v/>
      </c>
      <c r="R2116" s="7" t="n"/>
      <c r="X2116" s="7" t="n"/>
      <c r="Y2116" s="7" t="n"/>
      <c r="AB2116">
        <f>IF($E2116="","",IF($AQ2116=1,0,IF($AP2116=1,Settings!$C$6,Settings!$C$7))*100)</f>
        <v/>
      </c>
      <c r="AC2116" s="7">
        <f>IF($E2116="","",Y2116*AB2116/100)</f>
        <v/>
      </c>
      <c r="AD2116" s="7">
        <f>IF($E2116="","",Y2116-AC2116)</f>
        <v/>
      </c>
      <c r="AE2116" s="7">
        <f>IF($E2116="","",AD2116-Q2116)</f>
        <v/>
      </c>
      <c r="AI2116" s="7" t="n"/>
      <c r="AL2116" s="11" t="n"/>
      <c r="AN2116">
        <f>IF($E2116="","",IF(COUNTIF($E$2:$E2116,$E2116)=1,1,0))</f>
        <v/>
      </c>
      <c r="AO2116">
        <f>IF($AN2116=1,SUMPRODUCT(--($AR$2:$AR$4001&lt;$AR2116))+1,"")</f>
        <v/>
      </c>
      <c r="AP2116">
        <f>IF($E2116="","",IF(OR($U2116=TRUE(),$U2116="TRUE"),1,0))</f>
        <v/>
      </c>
      <c r="AQ2116">
        <f>IF($E2116="","",IF($AA2116="Yes",1,0))</f>
        <v/>
      </c>
      <c r="AR2116">
        <f>IF($AN2116=1,IFERROR(VALUE(MID($E2116,2,20)),1000000000)+ROW()/100000,"")</f>
        <v/>
      </c>
    </row>
    <row r="2117">
      <c r="G2117" s="11" t="n"/>
      <c r="Q2117" s="7">
        <f>IF($E2117="","",P2117*Y2117/100)</f>
        <v/>
      </c>
      <c r="R2117" s="7" t="n"/>
      <c r="X2117" s="7" t="n"/>
      <c r="Y2117" s="7" t="n"/>
      <c r="AB2117">
        <f>IF($E2117="","",IF($AQ2117=1,0,IF($AP2117=1,Settings!$C$6,Settings!$C$7))*100)</f>
        <v/>
      </c>
      <c r="AC2117" s="7">
        <f>IF($E2117="","",Y2117*AB2117/100)</f>
        <v/>
      </c>
      <c r="AD2117" s="7">
        <f>IF($E2117="","",Y2117-AC2117)</f>
        <v/>
      </c>
      <c r="AE2117" s="7">
        <f>IF($E2117="","",AD2117-Q2117)</f>
        <v/>
      </c>
      <c r="AI2117" s="7" t="n"/>
      <c r="AL2117" s="11" t="n"/>
      <c r="AN2117">
        <f>IF($E2117="","",IF(COUNTIF($E$2:$E2117,$E2117)=1,1,0))</f>
        <v/>
      </c>
      <c r="AO2117">
        <f>IF($AN2117=1,SUMPRODUCT(--($AR$2:$AR$4001&lt;$AR2117))+1,"")</f>
        <v/>
      </c>
      <c r="AP2117">
        <f>IF($E2117="","",IF(OR($U2117=TRUE(),$U2117="TRUE"),1,0))</f>
        <v/>
      </c>
      <c r="AQ2117">
        <f>IF($E2117="","",IF($AA2117="Yes",1,0))</f>
        <v/>
      </c>
      <c r="AR2117">
        <f>IF($AN2117=1,IFERROR(VALUE(MID($E2117,2,20)),1000000000)+ROW()/100000,"")</f>
        <v/>
      </c>
    </row>
    <row r="2118">
      <c r="G2118" s="11" t="n"/>
      <c r="Q2118" s="7">
        <f>IF($E2118="","",P2118*Y2118/100)</f>
        <v/>
      </c>
      <c r="R2118" s="7" t="n"/>
      <c r="X2118" s="7" t="n"/>
      <c r="Y2118" s="7" t="n"/>
      <c r="AB2118">
        <f>IF($E2118="","",IF($AQ2118=1,0,IF($AP2118=1,Settings!$C$6,Settings!$C$7))*100)</f>
        <v/>
      </c>
      <c r="AC2118" s="7">
        <f>IF($E2118="","",Y2118*AB2118/100)</f>
        <v/>
      </c>
      <c r="AD2118" s="7">
        <f>IF($E2118="","",Y2118-AC2118)</f>
        <v/>
      </c>
      <c r="AE2118" s="7">
        <f>IF($E2118="","",AD2118-Q2118)</f>
        <v/>
      </c>
      <c r="AI2118" s="7" t="n"/>
      <c r="AL2118" s="11" t="n"/>
      <c r="AN2118">
        <f>IF($E2118="","",IF(COUNTIF($E$2:$E2118,$E2118)=1,1,0))</f>
        <v/>
      </c>
      <c r="AO2118">
        <f>IF($AN2118=1,SUMPRODUCT(--($AR$2:$AR$4001&lt;$AR2118))+1,"")</f>
        <v/>
      </c>
      <c r="AP2118">
        <f>IF($E2118="","",IF(OR($U2118=TRUE(),$U2118="TRUE"),1,0))</f>
        <v/>
      </c>
      <c r="AQ2118">
        <f>IF($E2118="","",IF($AA2118="Yes",1,0))</f>
        <v/>
      </c>
      <c r="AR2118">
        <f>IF($AN2118=1,IFERROR(VALUE(MID($E2118,2,20)),1000000000)+ROW()/100000,"")</f>
        <v/>
      </c>
    </row>
    <row r="2119">
      <c r="G2119" s="11" t="n"/>
      <c r="Q2119" s="7">
        <f>IF($E2119="","",P2119*Y2119/100)</f>
        <v/>
      </c>
      <c r="R2119" s="7" t="n"/>
      <c r="X2119" s="7" t="n"/>
      <c r="Y2119" s="7" t="n"/>
      <c r="AB2119">
        <f>IF($E2119="","",IF($AQ2119=1,0,IF($AP2119=1,Settings!$C$6,Settings!$C$7))*100)</f>
        <v/>
      </c>
      <c r="AC2119" s="7">
        <f>IF($E2119="","",Y2119*AB2119/100)</f>
        <v/>
      </c>
      <c r="AD2119" s="7">
        <f>IF($E2119="","",Y2119-AC2119)</f>
        <v/>
      </c>
      <c r="AE2119" s="7">
        <f>IF($E2119="","",AD2119-Q2119)</f>
        <v/>
      </c>
      <c r="AI2119" s="7" t="n"/>
      <c r="AL2119" s="11" t="n"/>
      <c r="AN2119">
        <f>IF($E2119="","",IF(COUNTIF($E$2:$E2119,$E2119)=1,1,0))</f>
        <v/>
      </c>
      <c r="AO2119">
        <f>IF($AN2119=1,SUMPRODUCT(--($AR$2:$AR$4001&lt;$AR2119))+1,"")</f>
        <v/>
      </c>
      <c r="AP2119">
        <f>IF($E2119="","",IF(OR($U2119=TRUE(),$U2119="TRUE"),1,0))</f>
        <v/>
      </c>
      <c r="AQ2119">
        <f>IF($E2119="","",IF($AA2119="Yes",1,0))</f>
        <v/>
      </c>
      <c r="AR2119">
        <f>IF($AN2119=1,IFERROR(VALUE(MID($E2119,2,20)),1000000000)+ROW()/100000,"")</f>
        <v/>
      </c>
    </row>
    <row r="2120">
      <c r="G2120" s="11" t="n"/>
      <c r="Q2120" s="7">
        <f>IF($E2120="","",P2120*Y2120/100)</f>
        <v/>
      </c>
      <c r="R2120" s="7" t="n"/>
      <c r="X2120" s="7" t="n"/>
      <c r="Y2120" s="7" t="n"/>
      <c r="AB2120">
        <f>IF($E2120="","",IF($AQ2120=1,0,IF($AP2120=1,Settings!$C$6,Settings!$C$7))*100)</f>
        <v/>
      </c>
      <c r="AC2120" s="7">
        <f>IF($E2120="","",Y2120*AB2120/100)</f>
        <v/>
      </c>
      <c r="AD2120" s="7">
        <f>IF($E2120="","",Y2120-AC2120)</f>
        <v/>
      </c>
      <c r="AE2120" s="7">
        <f>IF($E2120="","",AD2120-Q2120)</f>
        <v/>
      </c>
      <c r="AI2120" s="7" t="n"/>
      <c r="AL2120" s="11" t="n"/>
      <c r="AN2120">
        <f>IF($E2120="","",IF(COUNTIF($E$2:$E2120,$E2120)=1,1,0))</f>
        <v/>
      </c>
      <c r="AO2120">
        <f>IF($AN2120=1,SUMPRODUCT(--($AR$2:$AR$4001&lt;$AR2120))+1,"")</f>
        <v/>
      </c>
      <c r="AP2120">
        <f>IF($E2120="","",IF(OR($U2120=TRUE(),$U2120="TRUE"),1,0))</f>
        <v/>
      </c>
      <c r="AQ2120">
        <f>IF($E2120="","",IF($AA2120="Yes",1,0))</f>
        <v/>
      </c>
      <c r="AR2120">
        <f>IF($AN2120=1,IFERROR(VALUE(MID($E2120,2,20)),1000000000)+ROW()/100000,"")</f>
        <v/>
      </c>
    </row>
    <row r="2121">
      <c r="G2121" s="11" t="n"/>
      <c r="Q2121" s="7">
        <f>IF($E2121="","",P2121*Y2121/100)</f>
        <v/>
      </c>
      <c r="R2121" s="7" t="n"/>
      <c r="X2121" s="7" t="n"/>
      <c r="Y2121" s="7" t="n"/>
      <c r="AB2121">
        <f>IF($E2121="","",IF($AQ2121=1,0,IF($AP2121=1,Settings!$C$6,Settings!$C$7))*100)</f>
        <v/>
      </c>
      <c r="AC2121" s="7">
        <f>IF($E2121="","",Y2121*AB2121/100)</f>
        <v/>
      </c>
      <c r="AD2121" s="7">
        <f>IF($E2121="","",Y2121-AC2121)</f>
        <v/>
      </c>
      <c r="AE2121" s="7">
        <f>IF($E2121="","",AD2121-Q2121)</f>
        <v/>
      </c>
      <c r="AI2121" s="7" t="n"/>
      <c r="AL2121" s="11" t="n"/>
      <c r="AN2121">
        <f>IF($E2121="","",IF(COUNTIF($E$2:$E2121,$E2121)=1,1,0))</f>
        <v/>
      </c>
      <c r="AO2121">
        <f>IF($AN2121=1,SUMPRODUCT(--($AR$2:$AR$4001&lt;$AR2121))+1,"")</f>
        <v/>
      </c>
      <c r="AP2121">
        <f>IF($E2121="","",IF(OR($U2121=TRUE(),$U2121="TRUE"),1,0))</f>
        <v/>
      </c>
      <c r="AQ2121">
        <f>IF($E2121="","",IF($AA2121="Yes",1,0))</f>
        <v/>
      </c>
      <c r="AR2121">
        <f>IF($AN2121=1,IFERROR(VALUE(MID($E2121,2,20)),1000000000)+ROW()/100000,"")</f>
        <v/>
      </c>
    </row>
    <row r="2122">
      <c r="G2122" s="11" t="n"/>
      <c r="Q2122" s="7">
        <f>IF($E2122="","",P2122*Y2122/100)</f>
        <v/>
      </c>
      <c r="R2122" s="7" t="n"/>
      <c r="X2122" s="7" t="n"/>
      <c r="Y2122" s="7" t="n"/>
      <c r="AB2122">
        <f>IF($E2122="","",IF($AQ2122=1,0,IF($AP2122=1,Settings!$C$6,Settings!$C$7))*100)</f>
        <v/>
      </c>
      <c r="AC2122" s="7">
        <f>IF($E2122="","",Y2122*AB2122/100)</f>
        <v/>
      </c>
      <c r="AD2122" s="7">
        <f>IF($E2122="","",Y2122-AC2122)</f>
        <v/>
      </c>
      <c r="AE2122" s="7">
        <f>IF($E2122="","",AD2122-Q2122)</f>
        <v/>
      </c>
      <c r="AI2122" s="7" t="n"/>
      <c r="AL2122" s="11" t="n"/>
      <c r="AN2122">
        <f>IF($E2122="","",IF(COUNTIF($E$2:$E2122,$E2122)=1,1,0))</f>
        <v/>
      </c>
      <c r="AO2122">
        <f>IF($AN2122=1,SUMPRODUCT(--($AR$2:$AR$4001&lt;$AR2122))+1,"")</f>
        <v/>
      </c>
      <c r="AP2122">
        <f>IF($E2122="","",IF(OR($U2122=TRUE(),$U2122="TRUE"),1,0))</f>
        <v/>
      </c>
      <c r="AQ2122">
        <f>IF($E2122="","",IF($AA2122="Yes",1,0))</f>
        <v/>
      </c>
      <c r="AR2122">
        <f>IF($AN2122=1,IFERROR(VALUE(MID($E2122,2,20)),1000000000)+ROW()/100000,"")</f>
        <v/>
      </c>
    </row>
    <row r="2123">
      <c r="G2123" s="11" t="n"/>
      <c r="Q2123" s="7">
        <f>IF($E2123="","",P2123*Y2123/100)</f>
        <v/>
      </c>
      <c r="R2123" s="7" t="n"/>
      <c r="X2123" s="7" t="n"/>
      <c r="Y2123" s="7" t="n"/>
      <c r="AB2123">
        <f>IF($E2123="","",IF($AQ2123=1,0,IF($AP2123=1,Settings!$C$6,Settings!$C$7))*100)</f>
        <v/>
      </c>
      <c r="AC2123" s="7">
        <f>IF($E2123="","",Y2123*AB2123/100)</f>
        <v/>
      </c>
      <c r="AD2123" s="7">
        <f>IF($E2123="","",Y2123-AC2123)</f>
        <v/>
      </c>
      <c r="AE2123" s="7">
        <f>IF($E2123="","",AD2123-Q2123)</f>
        <v/>
      </c>
      <c r="AI2123" s="7" t="n"/>
      <c r="AL2123" s="11" t="n"/>
      <c r="AN2123">
        <f>IF($E2123="","",IF(COUNTIF($E$2:$E2123,$E2123)=1,1,0))</f>
        <v/>
      </c>
      <c r="AO2123">
        <f>IF($AN2123=1,SUMPRODUCT(--($AR$2:$AR$4001&lt;$AR2123))+1,"")</f>
        <v/>
      </c>
      <c r="AP2123">
        <f>IF($E2123="","",IF(OR($U2123=TRUE(),$U2123="TRUE"),1,0))</f>
        <v/>
      </c>
      <c r="AQ2123">
        <f>IF($E2123="","",IF($AA2123="Yes",1,0))</f>
        <v/>
      </c>
      <c r="AR2123">
        <f>IF($AN2123=1,IFERROR(VALUE(MID($E2123,2,20)),1000000000)+ROW()/100000,"")</f>
        <v/>
      </c>
    </row>
    <row r="2124">
      <c r="G2124" s="11" t="n"/>
      <c r="Q2124" s="7">
        <f>IF($E2124="","",P2124*Y2124/100)</f>
        <v/>
      </c>
      <c r="R2124" s="7" t="n"/>
      <c r="X2124" s="7" t="n"/>
      <c r="Y2124" s="7" t="n"/>
      <c r="AB2124">
        <f>IF($E2124="","",IF($AQ2124=1,0,IF($AP2124=1,Settings!$C$6,Settings!$C$7))*100)</f>
        <v/>
      </c>
      <c r="AC2124" s="7">
        <f>IF($E2124="","",Y2124*AB2124/100)</f>
        <v/>
      </c>
      <c r="AD2124" s="7">
        <f>IF($E2124="","",Y2124-AC2124)</f>
        <v/>
      </c>
      <c r="AE2124" s="7">
        <f>IF($E2124="","",AD2124-Q2124)</f>
        <v/>
      </c>
      <c r="AI2124" s="7" t="n"/>
      <c r="AL2124" s="11" t="n"/>
      <c r="AN2124">
        <f>IF($E2124="","",IF(COUNTIF($E$2:$E2124,$E2124)=1,1,0))</f>
        <v/>
      </c>
      <c r="AO2124">
        <f>IF($AN2124=1,SUMPRODUCT(--($AR$2:$AR$4001&lt;$AR2124))+1,"")</f>
        <v/>
      </c>
      <c r="AP2124">
        <f>IF($E2124="","",IF(OR($U2124=TRUE(),$U2124="TRUE"),1,0))</f>
        <v/>
      </c>
      <c r="AQ2124">
        <f>IF($E2124="","",IF($AA2124="Yes",1,0))</f>
        <v/>
      </c>
      <c r="AR2124">
        <f>IF($AN2124=1,IFERROR(VALUE(MID($E2124,2,20)),1000000000)+ROW()/100000,"")</f>
        <v/>
      </c>
    </row>
    <row r="2125">
      <c r="G2125" s="11" t="n"/>
      <c r="Q2125" s="7">
        <f>IF($E2125="","",P2125*Y2125/100)</f>
        <v/>
      </c>
      <c r="R2125" s="7" t="n"/>
      <c r="X2125" s="7" t="n"/>
      <c r="Y2125" s="7" t="n"/>
      <c r="AB2125">
        <f>IF($E2125="","",IF($AQ2125=1,0,IF($AP2125=1,Settings!$C$6,Settings!$C$7))*100)</f>
        <v/>
      </c>
      <c r="AC2125" s="7">
        <f>IF($E2125="","",Y2125*AB2125/100)</f>
        <v/>
      </c>
      <c r="AD2125" s="7">
        <f>IF($E2125="","",Y2125-AC2125)</f>
        <v/>
      </c>
      <c r="AE2125" s="7">
        <f>IF($E2125="","",AD2125-Q2125)</f>
        <v/>
      </c>
      <c r="AI2125" s="7" t="n"/>
      <c r="AL2125" s="11" t="n"/>
      <c r="AN2125">
        <f>IF($E2125="","",IF(COUNTIF($E$2:$E2125,$E2125)=1,1,0))</f>
        <v/>
      </c>
      <c r="AO2125">
        <f>IF($AN2125=1,SUMPRODUCT(--($AR$2:$AR$4001&lt;$AR2125))+1,"")</f>
        <v/>
      </c>
      <c r="AP2125">
        <f>IF($E2125="","",IF(OR($U2125=TRUE(),$U2125="TRUE"),1,0))</f>
        <v/>
      </c>
      <c r="AQ2125">
        <f>IF($E2125="","",IF($AA2125="Yes",1,0))</f>
        <v/>
      </c>
      <c r="AR2125">
        <f>IF($AN2125=1,IFERROR(VALUE(MID($E2125,2,20)),1000000000)+ROW()/100000,"")</f>
        <v/>
      </c>
    </row>
    <row r="2126">
      <c r="G2126" s="11" t="n"/>
      <c r="Q2126" s="7">
        <f>IF($E2126="","",P2126*Y2126/100)</f>
        <v/>
      </c>
      <c r="R2126" s="7" t="n"/>
      <c r="X2126" s="7" t="n"/>
      <c r="Y2126" s="7" t="n"/>
      <c r="AB2126">
        <f>IF($E2126="","",IF($AQ2126=1,0,IF($AP2126=1,Settings!$C$6,Settings!$C$7))*100)</f>
        <v/>
      </c>
      <c r="AC2126" s="7">
        <f>IF($E2126="","",Y2126*AB2126/100)</f>
        <v/>
      </c>
      <c r="AD2126" s="7">
        <f>IF($E2126="","",Y2126-AC2126)</f>
        <v/>
      </c>
      <c r="AE2126" s="7">
        <f>IF($E2126="","",AD2126-Q2126)</f>
        <v/>
      </c>
      <c r="AI2126" s="7" t="n"/>
      <c r="AL2126" s="11" t="n"/>
      <c r="AN2126">
        <f>IF($E2126="","",IF(COUNTIF($E$2:$E2126,$E2126)=1,1,0))</f>
        <v/>
      </c>
      <c r="AO2126">
        <f>IF($AN2126=1,SUMPRODUCT(--($AR$2:$AR$4001&lt;$AR2126))+1,"")</f>
        <v/>
      </c>
      <c r="AP2126">
        <f>IF($E2126="","",IF(OR($U2126=TRUE(),$U2126="TRUE"),1,0))</f>
        <v/>
      </c>
      <c r="AQ2126">
        <f>IF($E2126="","",IF($AA2126="Yes",1,0))</f>
        <v/>
      </c>
      <c r="AR2126">
        <f>IF($AN2126=1,IFERROR(VALUE(MID($E2126,2,20)),1000000000)+ROW()/100000,"")</f>
        <v/>
      </c>
    </row>
    <row r="2127">
      <c r="G2127" s="11" t="n"/>
      <c r="Q2127" s="7">
        <f>IF($E2127="","",P2127*Y2127/100)</f>
        <v/>
      </c>
      <c r="R2127" s="7" t="n"/>
      <c r="X2127" s="7" t="n"/>
      <c r="Y2127" s="7" t="n"/>
      <c r="AB2127">
        <f>IF($E2127="","",IF($AQ2127=1,0,IF($AP2127=1,Settings!$C$6,Settings!$C$7))*100)</f>
        <v/>
      </c>
      <c r="AC2127" s="7">
        <f>IF($E2127="","",Y2127*AB2127/100)</f>
        <v/>
      </c>
      <c r="AD2127" s="7">
        <f>IF($E2127="","",Y2127-AC2127)</f>
        <v/>
      </c>
      <c r="AE2127" s="7">
        <f>IF($E2127="","",AD2127-Q2127)</f>
        <v/>
      </c>
      <c r="AI2127" s="7" t="n"/>
      <c r="AL2127" s="11" t="n"/>
      <c r="AN2127">
        <f>IF($E2127="","",IF(COUNTIF($E$2:$E2127,$E2127)=1,1,0))</f>
        <v/>
      </c>
      <c r="AO2127">
        <f>IF($AN2127=1,SUMPRODUCT(--($AR$2:$AR$4001&lt;$AR2127))+1,"")</f>
        <v/>
      </c>
      <c r="AP2127">
        <f>IF($E2127="","",IF(OR($U2127=TRUE(),$U2127="TRUE"),1,0))</f>
        <v/>
      </c>
      <c r="AQ2127">
        <f>IF($E2127="","",IF($AA2127="Yes",1,0))</f>
        <v/>
      </c>
      <c r="AR2127">
        <f>IF($AN2127=1,IFERROR(VALUE(MID($E2127,2,20)),1000000000)+ROW()/100000,"")</f>
        <v/>
      </c>
    </row>
    <row r="2128">
      <c r="G2128" s="11" t="n"/>
      <c r="Q2128" s="7">
        <f>IF($E2128="","",P2128*Y2128/100)</f>
        <v/>
      </c>
      <c r="R2128" s="7" t="n"/>
      <c r="X2128" s="7" t="n"/>
      <c r="Y2128" s="7" t="n"/>
      <c r="AB2128">
        <f>IF($E2128="","",IF($AQ2128=1,0,IF($AP2128=1,Settings!$C$6,Settings!$C$7))*100)</f>
        <v/>
      </c>
      <c r="AC2128" s="7">
        <f>IF($E2128="","",Y2128*AB2128/100)</f>
        <v/>
      </c>
      <c r="AD2128" s="7">
        <f>IF($E2128="","",Y2128-AC2128)</f>
        <v/>
      </c>
      <c r="AE2128" s="7">
        <f>IF($E2128="","",AD2128-Q2128)</f>
        <v/>
      </c>
      <c r="AI2128" s="7" t="n"/>
      <c r="AL2128" s="11" t="n"/>
      <c r="AN2128">
        <f>IF($E2128="","",IF(COUNTIF($E$2:$E2128,$E2128)=1,1,0))</f>
        <v/>
      </c>
      <c r="AO2128">
        <f>IF($AN2128=1,SUMPRODUCT(--($AR$2:$AR$4001&lt;$AR2128))+1,"")</f>
        <v/>
      </c>
      <c r="AP2128">
        <f>IF($E2128="","",IF(OR($U2128=TRUE(),$U2128="TRUE"),1,0))</f>
        <v/>
      </c>
      <c r="AQ2128">
        <f>IF($E2128="","",IF($AA2128="Yes",1,0))</f>
        <v/>
      </c>
      <c r="AR2128">
        <f>IF($AN2128=1,IFERROR(VALUE(MID($E2128,2,20)),1000000000)+ROW()/100000,"")</f>
        <v/>
      </c>
    </row>
    <row r="2129">
      <c r="G2129" s="11" t="n"/>
      <c r="Q2129" s="7">
        <f>IF($E2129="","",P2129*Y2129/100)</f>
        <v/>
      </c>
      <c r="R2129" s="7" t="n"/>
      <c r="X2129" s="7" t="n"/>
      <c r="Y2129" s="7" t="n"/>
      <c r="AB2129">
        <f>IF($E2129="","",IF($AQ2129=1,0,IF($AP2129=1,Settings!$C$6,Settings!$C$7))*100)</f>
        <v/>
      </c>
      <c r="AC2129" s="7">
        <f>IF($E2129="","",Y2129*AB2129/100)</f>
        <v/>
      </c>
      <c r="AD2129" s="7">
        <f>IF($E2129="","",Y2129-AC2129)</f>
        <v/>
      </c>
      <c r="AE2129" s="7">
        <f>IF($E2129="","",AD2129-Q2129)</f>
        <v/>
      </c>
      <c r="AI2129" s="7" t="n"/>
      <c r="AL2129" s="11" t="n"/>
      <c r="AN2129">
        <f>IF($E2129="","",IF(COUNTIF($E$2:$E2129,$E2129)=1,1,0))</f>
        <v/>
      </c>
      <c r="AO2129">
        <f>IF($AN2129=1,SUMPRODUCT(--($AR$2:$AR$4001&lt;$AR2129))+1,"")</f>
        <v/>
      </c>
      <c r="AP2129">
        <f>IF($E2129="","",IF(OR($U2129=TRUE(),$U2129="TRUE"),1,0))</f>
        <v/>
      </c>
      <c r="AQ2129">
        <f>IF($E2129="","",IF($AA2129="Yes",1,0))</f>
        <v/>
      </c>
      <c r="AR2129">
        <f>IF($AN2129=1,IFERROR(VALUE(MID($E2129,2,20)),1000000000)+ROW()/100000,"")</f>
        <v/>
      </c>
    </row>
    <row r="2130">
      <c r="G2130" s="11" t="n"/>
      <c r="Q2130" s="7">
        <f>IF($E2130="","",P2130*Y2130/100)</f>
        <v/>
      </c>
      <c r="R2130" s="7" t="n"/>
      <c r="X2130" s="7" t="n"/>
      <c r="Y2130" s="7" t="n"/>
      <c r="AB2130">
        <f>IF($E2130="","",IF($AQ2130=1,0,IF($AP2130=1,Settings!$C$6,Settings!$C$7))*100)</f>
        <v/>
      </c>
      <c r="AC2130" s="7">
        <f>IF($E2130="","",Y2130*AB2130/100)</f>
        <v/>
      </c>
      <c r="AD2130" s="7">
        <f>IF($E2130="","",Y2130-AC2130)</f>
        <v/>
      </c>
      <c r="AE2130" s="7">
        <f>IF($E2130="","",AD2130-Q2130)</f>
        <v/>
      </c>
      <c r="AI2130" s="7" t="n"/>
      <c r="AL2130" s="11" t="n"/>
      <c r="AN2130">
        <f>IF($E2130="","",IF(COUNTIF($E$2:$E2130,$E2130)=1,1,0))</f>
        <v/>
      </c>
      <c r="AO2130">
        <f>IF($AN2130=1,SUMPRODUCT(--($AR$2:$AR$4001&lt;$AR2130))+1,"")</f>
        <v/>
      </c>
      <c r="AP2130">
        <f>IF($E2130="","",IF(OR($U2130=TRUE(),$U2130="TRUE"),1,0))</f>
        <v/>
      </c>
      <c r="AQ2130">
        <f>IF($E2130="","",IF($AA2130="Yes",1,0))</f>
        <v/>
      </c>
      <c r="AR2130">
        <f>IF($AN2130=1,IFERROR(VALUE(MID($E2130,2,20)),1000000000)+ROW()/100000,"")</f>
        <v/>
      </c>
    </row>
    <row r="2131">
      <c r="G2131" s="11" t="n"/>
      <c r="Q2131" s="7">
        <f>IF($E2131="","",P2131*Y2131/100)</f>
        <v/>
      </c>
      <c r="R2131" s="7" t="n"/>
      <c r="X2131" s="7" t="n"/>
      <c r="Y2131" s="7" t="n"/>
      <c r="AB2131">
        <f>IF($E2131="","",IF($AQ2131=1,0,IF($AP2131=1,Settings!$C$6,Settings!$C$7))*100)</f>
        <v/>
      </c>
      <c r="AC2131" s="7">
        <f>IF($E2131="","",Y2131*AB2131/100)</f>
        <v/>
      </c>
      <c r="AD2131" s="7">
        <f>IF($E2131="","",Y2131-AC2131)</f>
        <v/>
      </c>
      <c r="AE2131" s="7">
        <f>IF($E2131="","",AD2131-Q2131)</f>
        <v/>
      </c>
      <c r="AI2131" s="7" t="n"/>
      <c r="AL2131" s="11" t="n"/>
      <c r="AN2131">
        <f>IF($E2131="","",IF(COUNTIF($E$2:$E2131,$E2131)=1,1,0))</f>
        <v/>
      </c>
      <c r="AO2131">
        <f>IF($AN2131=1,SUMPRODUCT(--($AR$2:$AR$4001&lt;$AR2131))+1,"")</f>
        <v/>
      </c>
      <c r="AP2131">
        <f>IF($E2131="","",IF(OR($U2131=TRUE(),$U2131="TRUE"),1,0))</f>
        <v/>
      </c>
      <c r="AQ2131">
        <f>IF($E2131="","",IF($AA2131="Yes",1,0))</f>
        <v/>
      </c>
      <c r="AR2131">
        <f>IF($AN2131=1,IFERROR(VALUE(MID($E2131,2,20)),1000000000)+ROW()/100000,"")</f>
        <v/>
      </c>
    </row>
    <row r="2132">
      <c r="G2132" s="11" t="n"/>
      <c r="Q2132" s="7">
        <f>IF($E2132="","",P2132*Y2132/100)</f>
        <v/>
      </c>
      <c r="R2132" s="7" t="n"/>
      <c r="X2132" s="7" t="n"/>
      <c r="Y2132" s="7" t="n"/>
      <c r="AB2132">
        <f>IF($E2132="","",IF($AQ2132=1,0,IF($AP2132=1,Settings!$C$6,Settings!$C$7))*100)</f>
        <v/>
      </c>
      <c r="AC2132" s="7">
        <f>IF($E2132="","",Y2132*AB2132/100)</f>
        <v/>
      </c>
      <c r="AD2132" s="7">
        <f>IF($E2132="","",Y2132-AC2132)</f>
        <v/>
      </c>
      <c r="AE2132" s="7">
        <f>IF($E2132="","",AD2132-Q2132)</f>
        <v/>
      </c>
      <c r="AI2132" s="7" t="n"/>
      <c r="AL2132" s="11" t="n"/>
      <c r="AN2132">
        <f>IF($E2132="","",IF(COUNTIF($E$2:$E2132,$E2132)=1,1,0))</f>
        <v/>
      </c>
      <c r="AO2132">
        <f>IF($AN2132=1,SUMPRODUCT(--($AR$2:$AR$4001&lt;$AR2132))+1,"")</f>
        <v/>
      </c>
      <c r="AP2132">
        <f>IF($E2132="","",IF(OR($U2132=TRUE(),$U2132="TRUE"),1,0))</f>
        <v/>
      </c>
      <c r="AQ2132">
        <f>IF($E2132="","",IF($AA2132="Yes",1,0))</f>
        <v/>
      </c>
      <c r="AR2132">
        <f>IF($AN2132=1,IFERROR(VALUE(MID($E2132,2,20)),1000000000)+ROW()/100000,"")</f>
        <v/>
      </c>
    </row>
    <row r="2133">
      <c r="G2133" s="11" t="n"/>
      <c r="Q2133" s="7">
        <f>IF($E2133="","",P2133*Y2133/100)</f>
        <v/>
      </c>
      <c r="R2133" s="7" t="n"/>
      <c r="X2133" s="7" t="n"/>
      <c r="Y2133" s="7" t="n"/>
      <c r="AB2133">
        <f>IF($E2133="","",IF($AQ2133=1,0,IF($AP2133=1,Settings!$C$6,Settings!$C$7))*100)</f>
        <v/>
      </c>
      <c r="AC2133" s="7">
        <f>IF($E2133="","",Y2133*AB2133/100)</f>
        <v/>
      </c>
      <c r="AD2133" s="7">
        <f>IF($E2133="","",Y2133-AC2133)</f>
        <v/>
      </c>
      <c r="AE2133" s="7">
        <f>IF($E2133="","",AD2133-Q2133)</f>
        <v/>
      </c>
      <c r="AI2133" s="7" t="n"/>
      <c r="AL2133" s="11" t="n"/>
      <c r="AN2133">
        <f>IF($E2133="","",IF(COUNTIF($E$2:$E2133,$E2133)=1,1,0))</f>
        <v/>
      </c>
      <c r="AO2133">
        <f>IF($AN2133=1,SUMPRODUCT(--($AR$2:$AR$4001&lt;$AR2133))+1,"")</f>
        <v/>
      </c>
      <c r="AP2133">
        <f>IF($E2133="","",IF(OR($U2133=TRUE(),$U2133="TRUE"),1,0))</f>
        <v/>
      </c>
      <c r="AQ2133">
        <f>IF($E2133="","",IF($AA2133="Yes",1,0))</f>
        <v/>
      </c>
      <c r="AR2133">
        <f>IF($AN2133=1,IFERROR(VALUE(MID($E2133,2,20)),1000000000)+ROW()/100000,"")</f>
        <v/>
      </c>
    </row>
    <row r="2134">
      <c r="G2134" s="11" t="n"/>
      <c r="Q2134" s="7">
        <f>IF($E2134="","",P2134*Y2134/100)</f>
        <v/>
      </c>
      <c r="R2134" s="7" t="n"/>
      <c r="X2134" s="7" t="n"/>
      <c r="Y2134" s="7" t="n"/>
      <c r="AB2134">
        <f>IF($E2134="","",IF($AQ2134=1,0,IF($AP2134=1,Settings!$C$6,Settings!$C$7))*100)</f>
        <v/>
      </c>
      <c r="AC2134" s="7">
        <f>IF($E2134="","",Y2134*AB2134/100)</f>
        <v/>
      </c>
      <c r="AD2134" s="7">
        <f>IF($E2134="","",Y2134-AC2134)</f>
        <v/>
      </c>
      <c r="AE2134" s="7">
        <f>IF($E2134="","",AD2134-Q2134)</f>
        <v/>
      </c>
      <c r="AI2134" s="7" t="n"/>
      <c r="AL2134" s="11" t="n"/>
      <c r="AN2134">
        <f>IF($E2134="","",IF(COUNTIF($E$2:$E2134,$E2134)=1,1,0))</f>
        <v/>
      </c>
      <c r="AO2134">
        <f>IF($AN2134=1,SUMPRODUCT(--($AR$2:$AR$4001&lt;$AR2134))+1,"")</f>
        <v/>
      </c>
      <c r="AP2134">
        <f>IF($E2134="","",IF(OR($U2134=TRUE(),$U2134="TRUE"),1,0))</f>
        <v/>
      </c>
      <c r="AQ2134">
        <f>IF($E2134="","",IF($AA2134="Yes",1,0))</f>
        <v/>
      </c>
      <c r="AR2134">
        <f>IF($AN2134=1,IFERROR(VALUE(MID($E2134,2,20)),1000000000)+ROW()/100000,"")</f>
        <v/>
      </c>
    </row>
    <row r="2135">
      <c r="G2135" s="11" t="n"/>
      <c r="Q2135" s="7">
        <f>IF($E2135="","",P2135*Y2135/100)</f>
        <v/>
      </c>
      <c r="R2135" s="7" t="n"/>
      <c r="X2135" s="7" t="n"/>
      <c r="Y2135" s="7" t="n"/>
      <c r="AB2135">
        <f>IF($E2135="","",IF($AQ2135=1,0,IF($AP2135=1,Settings!$C$6,Settings!$C$7))*100)</f>
        <v/>
      </c>
      <c r="AC2135" s="7">
        <f>IF($E2135="","",Y2135*AB2135/100)</f>
        <v/>
      </c>
      <c r="AD2135" s="7">
        <f>IF($E2135="","",Y2135-AC2135)</f>
        <v/>
      </c>
      <c r="AE2135" s="7">
        <f>IF($E2135="","",AD2135-Q2135)</f>
        <v/>
      </c>
      <c r="AI2135" s="7" t="n"/>
      <c r="AL2135" s="11" t="n"/>
      <c r="AN2135">
        <f>IF($E2135="","",IF(COUNTIF($E$2:$E2135,$E2135)=1,1,0))</f>
        <v/>
      </c>
      <c r="AO2135">
        <f>IF($AN2135=1,SUMPRODUCT(--($AR$2:$AR$4001&lt;$AR2135))+1,"")</f>
        <v/>
      </c>
      <c r="AP2135">
        <f>IF($E2135="","",IF(OR($U2135=TRUE(),$U2135="TRUE"),1,0))</f>
        <v/>
      </c>
      <c r="AQ2135">
        <f>IF($E2135="","",IF($AA2135="Yes",1,0))</f>
        <v/>
      </c>
      <c r="AR2135">
        <f>IF($AN2135=1,IFERROR(VALUE(MID($E2135,2,20)),1000000000)+ROW()/100000,"")</f>
        <v/>
      </c>
    </row>
    <row r="2136">
      <c r="G2136" s="11" t="n"/>
      <c r="Q2136" s="7">
        <f>IF($E2136="","",P2136*Y2136/100)</f>
        <v/>
      </c>
      <c r="R2136" s="7" t="n"/>
      <c r="X2136" s="7" t="n"/>
      <c r="Y2136" s="7" t="n"/>
      <c r="AB2136">
        <f>IF($E2136="","",IF($AQ2136=1,0,IF($AP2136=1,Settings!$C$6,Settings!$C$7))*100)</f>
        <v/>
      </c>
      <c r="AC2136" s="7">
        <f>IF($E2136="","",Y2136*AB2136/100)</f>
        <v/>
      </c>
      <c r="AD2136" s="7">
        <f>IF($E2136="","",Y2136-AC2136)</f>
        <v/>
      </c>
      <c r="AE2136" s="7">
        <f>IF($E2136="","",AD2136-Q2136)</f>
        <v/>
      </c>
      <c r="AI2136" s="7" t="n"/>
      <c r="AL2136" s="11" t="n"/>
      <c r="AN2136">
        <f>IF($E2136="","",IF(COUNTIF($E$2:$E2136,$E2136)=1,1,0))</f>
        <v/>
      </c>
      <c r="AO2136">
        <f>IF($AN2136=1,SUMPRODUCT(--($AR$2:$AR$4001&lt;$AR2136))+1,"")</f>
        <v/>
      </c>
      <c r="AP2136">
        <f>IF($E2136="","",IF(OR($U2136=TRUE(),$U2136="TRUE"),1,0))</f>
        <v/>
      </c>
      <c r="AQ2136">
        <f>IF($E2136="","",IF($AA2136="Yes",1,0))</f>
        <v/>
      </c>
      <c r="AR2136">
        <f>IF($AN2136=1,IFERROR(VALUE(MID($E2136,2,20)),1000000000)+ROW()/100000,"")</f>
        <v/>
      </c>
    </row>
    <row r="2137">
      <c r="G2137" s="11" t="n"/>
      <c r="Q2137" s="7">
        <f>IF($E2137="","",P2137*Y2137/100)</f>
        <v/>
      </c>
      <c r="R2137" s="7" t="n"/>
      <c r="X2137" s="7" t="n"/>
      <c r="Y2137" s="7" t="n"/>
      <c r="AB2137">
        <f>IF($E2137="","",IF($AQ2137=1,0,IF($AP2137=1,Settings!$C$6,Settings!$C$7))*100)</f>
        <v/>
      </c>
      <c r="AC2137" s="7">
        <f>IF($E2137="","",Y2137*AB2137/100)</f>
        <v/>
      </c>
      <c r="AD2137" s="7">
        <f>IF($E2137="","",Y2137-AC2137)</f>
        <v/>
      </c>
      <c r="AE2137" s="7">
        <f>IF($E2137="","",AD2137-Q2137)</f>
        <v/>
      </c>
      <c r="AI2137" s="7" t="n"/>
      <c r="AL2137" s="11" t="n"/>
      <c r="AN2137">
        <f>IF($E2137="","",IF(COUNTIF($E$2:$E2137,$E2137)=1,1,0))</f>
        <v/>
      </c>
      <c r="AO2137">
        <f>IF($AN2137=1,SUMPRODUCT(--($AR$2:$AR$4001&lt;$AR2137))+1,"")</f>
        <v/>
      </c>
      <c r="AP2137">
        <f>IF($E2137="","",IF(OR($U2137=TRUE(),$U2137="TRUE"),1,0))</f>
        <v/>
      </c>
      <c r="AQ2137">
        <f>IF($E2137="","",IF($AA2137="Yes",1,0))</f>
        <v/>
      </c>
      <c r="AR2137">
        <f>IF($AN2137=1,IFERROR(VALUE(MID($E2137,2,20)),1000000000)+ROW()/100000,"")</f>
        <v/>
      </c>
    </row>
    <row r="2138">
      <c r="G2138" s="11" t="n"/>
      <c r="Q2138" s="7">
        <f>IF($E2138="","",P2138*Y2138/100)</f>
        <v/>
      </c>
      <c r="R2138" s="7" t="n"/>
      <c r="X2138" s="7" t="n"/>
      <c r="Y2138" s="7" t="n"/>
      <c r="AB2138">
        <f>IF($E2138="","",IF($AQ2138=1,0,IF($AP2138=1,Settings!$C$6,Settings!$C$7))*100)</f>
        <v/>
      </c>
      <c r="AC2138" s="7">
        <f>IF($E2138="","",Y2138*AB2138/100)</f>
        <v/>
      </c>
      <c r="AD2138" s="7">
        <f>IF($E2138="","",Y2138-AC2138)</f>
        <v/>
      </c>
      <c r="AE2138" s="7">
        <f>IF($E2138="","",AD2138-Q2138)</f>
        <v/>
      </c>
      <c r="AI2138" s="7" t="n"/>
      <c r="AL2138" s="11" t="n"/>
      <c r="AN2138">
        <f>IF($E2138="","",IF(COUNTIF($E$2:$E2138,$E2138)=1,1,0))</f>
        <v/>
      </c>
      <c r="AO2138">
        <f>IF($AN2138=1,SUMPRODUCT(--($AR$2:$AR$4001&lt;$AR2138))+1,"")</f>
        <v/>
      </c>
      <c r="AP2138">
        <f>IF($E2138="","",IF(OR($U2138=TRUE(),$U2138="TRUE"),1,0))</f>
        <v/>
      </c>
      <c r="AQ2138">
        <f>IF($E2138="","",IF($AA2138="Yes",1,0))</f>
        <v/>
      </c>
      <c r="AR2138">
        <f>IF($AN2138=1,IFERROR(VALUE(MID($E2138,2,20)),1000000000)+ROW()/100000,"")</f>
        <v/>
      </c>
    </row>
    <row r="2139">
      <c r="G2139" s="11" t="n"/>
      <c r="Q2139" s="7">
        <f>IF($E2139="","",P2139*Y2139/100)</f>
        <v/>
      </c>
      <c r="R2139" s="7" t="n"/>
      <c r="X2139" s="7" t="n"/>
      <c r="Y2139" s="7" t="n"/>
      <c r="AB2139">
        <f>IF($E2139="","",IF($AQ2139=1,0,IF($AP2139=1,Settings!$C$6,Settings!$C$7))*100)</f>
        <v/>
      </c>
      <c r="AC2139" s="7">
        <f>IF($E2139="","",Y2139*AB2139/100)</f>
        <v/>
      </c>
      <c r="AD2139" s="7">
        <f>IF($E2139="","",Y2139-AC2139)</f>
        <v/>
      </c>
      <c r="AE2139" s="7">
        <f>IF($E2139="","",AD2139-Q2139)</f>
        <v/>
      </c>
      <c r="AI2139" s="7" t="n"/>
      <c r="AL2139" s="11" t="n"/>
      <c r="AN2139">
        <f>IF($E2139="","",IF(COUNTIF($E$2:$E2139,$E2139)=1,1,0))</f>
        <v/>
      </c>
      <c r="AO2139">
        <f>IF($AN2139=1,SUMPRODUCT(--($AR$2:$AR$4001&lt;$AR2139))+1,"")</f>
        <v/>
      </c>
      <c r="AP2139">
        <f>IF($E2139="","",IF(OR($U2139=TRUE(),$U2139="TRUE"),1,0))</f>
        <v/>
      </c>
      <c r="AQ2139">
        <f>IF($E2139="","",IF($AA2139="Yes",1,0))</f>
        <v/>
      </c>
      <c r="AR2139">
        <f>IF($AN2139=1,IFERROR(VALUE(MID($E2139,2,20)),1000000000)+ROW()/100000,"")</f>
        <v/>
      </c>
    </row>
    <row r="2140">
      <c r="G2140" s="11" t="n"/>
      <c r="Q2140" s="7">
        <f>IF($E2140="","",P2140*Y2140/100)</f>
        <v/>
      </c>
      <c r="R2140" s="7" t="n"/>
      <c r="X2140" s="7" t="n"/>
      <c r="Y2140" s="7" t="n"/>
      <c r="AB2140">
        <f>IF($E2140="","",IF($AQ2140=1,0,IF($AP2140=1,Settings!$C$6,Settings!$C$7))*100)</f>
        <v/>
      </c>
      <c r="AC2140" s="7">
        <f>IF($E2140="","",Y2140*AB2140/100)</f>
        <v/>
      </c>
      <c r="AD2140" s="7">
        <f>IF($E2140="","",Y2140-AC2140)</f>
        <v/>
      </c>
      <c r="AE2140" s="7">
        <f>IF($E2140="","",AD2140-Q2140)</f>
        <v/>
      </c>
      <c r="AI2140" s="7" t="n"/>
      <c r="AL2140" s="11" t="n"/>
      <c r="AN2140">
        <f>IF($E2140="","",IF(COUNTIF($E$2:$E2140,$E2140)=1,1,0))</f>
        <v/>
      </c>
      <c r="AO2140">
        <f>IF($AN2140=1,SUMPRODUCT(--($AR$2:$AR$4001&lt;$AR2140))+1,"")</f>
        <v/>
      </c>
      <c r="AP2140">
        <f>IF($E2140="","",IF(OR($U2140=TRUE(),$U2140="TRUE"),1,0))</f>
        <v/>
      </c>
      <c r="AQ2140">
        <f>IF($E2140="","",IF($AA2140="Yes",1,0))</f>
        <v/>
      </c>
      <c r="AR2140">
        <f>IF($AN2140=1,IFERROR(VALUE(MID($E2140,2,20)),1000000000)+ROW()/100000,"")</f>
        <v/>
      </c>
    </row>
    <row r="2141">
      <c r="G2141" s="11" t="n"/>
      <c r="Q2141" s="7">
        <f>IF($E2141="","",P2141*Y2141/100)</f>
        <v/>
      </c>
      <c r="R2141" s="7" t="n"/>
      <c r="X2141" s="7" t="n"/>
      <c r="Y2141" s="7" t="n"/>
      <c r="AB2141">
        <f>IF($E2141="","",IF($AQ2141=1,0,IF($AP2141=1,Settings!$C$6,Settings!$C$7))*100)</f>
        <v/>
      </c>
      <c r="AC2141" s="7">
        <f>IF($E2141="","",Y2141*AB2141/100)</f>
        <v/>
      </c>
      <c r="AD2141" s="7">
        <f>IF($E2141="","",Y2141-AC2141)</f>
        <v/>
      </c>
      <c r="AE2141" s="7">
        <f>IF($E2141="","",AD2141-Q2141)</f>
        <v/>
      </c>
      <c r="AI2141" s="7" t="n"/>
      <c r="AL2141" s="11" t="n"/>
      <c r="AN2141">
        <f>IF($E2141="","",IF(COUNTIF($E$2:$E2141,$E2141)=1,1,0))</f>
        <v/>
      </c>
      <c r="AO2141">
        <f>IF($AN2141=1,SUMPRODUCT(--($AR$2:$AR$4001&lt;$AR2141))+1,"")</f>
        <v/>
      </c>
      <c r="AP2141">
        <f>IF($E2141="","",IF(OR($U2141=TRUE(),$U2141="TRUE"),1,0))</f>
        <v/>
      </c>
      <c r="AQ2141">
        <f>IF($E2141="","",IF($AA2141="Yes",1,0))</f>
        <v/>
      </c>
      <c r="AR2141">
        <f>IF($AN2141=1,IFERROR(VALUE(MID($E2141,2,20)),1000000000)+ROW()/100000,"")</f>
        <v/>
      </c>
    </row>
    <row r="2142">
      <c r="G2142" s="11" t="n"/>
      <c r="Q2142" s="7">
        <f>IF($E2142="","",P2142*Y2142/100)</f>
        <v/>
      </c>
      <c r="R2142" s="7" t="n"/>
      <c r="X2142" s="7" t="n"/>
      <c r="Y2142" s="7" t="n"/>
      <c r="AB2142">
        <f>IF($E2142="","",IF($AQ2142=1,0,IF($AP2142=1,Settings!$C$6,Settings!$C$7))*100)</f>
        <v/>
      </c>
      <c r="AC2142" s="7">
        <f>IF($E2142="","",Y2142*AB2142/100)</f>
        <v/>
      </c>
      <c r="AD2142" s="7">
        <f>IF($E2142="","",Y2142-AC2142)</f>
        <v/>
      </c>
      <c r="AE2142" s="7">
        <f>IF($E2142="","",AD2142-Q2142)</f>
        <v/>
      </c>
      <c r="AI2142" s="7" t="n"/>
      <c r="AL2142" s="11" t="n"/>
      <c r="AN2142">
        <f>IF($E2142="","",IF(COUNTIF($E$2:$E2142,$E2142)=1,1,0))</f>
        <v/>
      </c>
      <c r="AO2142">
        <f>IF($AN2142=1,SUMPRODUCT(--($AR$2:$AR$4001&lt;$AR2142))+1,"")</f>
        <v/>
      </c>
      <c r="AP2142">
        <f>IF($E2142="","",IF(OR($U2142=TRUE(),$U2142="TRUE"),1,0))</f>
        <v/>
      </c>
      <c r="AQ2142">
        <f>IF($E2142="","",IF($AA2142="Yes",1,0))</f>
        <v/>
      </c>
      <c r="AR2142">
        <f>IF($AN2142=1,IFERROR(VALUE(MID($E2142,2,20)),1000000000)+ROW()/100000,"")</f>
        <v/>
      </c>
    </row>
    <row r="2143">
      <c r="G2143" s="11" t="n"/>
      <c r="Q2143" s="7">
        <f>IF($E2143="","",P2143*Y2143/100)</f>
        <v/>
      </c>
      <c r="R2143" s="7" t="n"/>
      <c r="X2143" s="7" t="n"/>
      <c r="Y2143" s="7" t="n"/>
      <c r="AB2143">
        <f>IF($E2143="","",IF($AQ2143=1,0,IF($AP2143=1,Settings!$C$6,Settings!$C$7))*100)</f>
        <v/>
      </c>
      <c r="AC2143" s="7">
        <f>IF($E2143="","",Y2143*AB2143/100)</f>
        <v/>
      </c>
      <c r="AD2143" s="7">
        <f>IF($E2143="","",Y2143-AC2143)</f>
        <v/>
      </c>
      <c r="AE2143" s="7">
        <f>IF($E2143="","",AD2143-Q2143)</f>
        <v/>
      </c>
      <c r="AI2143" s="7" t="n"/>
      <c r="AL2143" s="11" t="n"/>
      <c r="AN2143">
        <f>IF($E2143="","",IF(COUNTIF($E$2:$E2143,$E2143)=1,1,0))</f>
        <v/>
      </c>
      <c r="AO2143">
        <f>IF($AN2143=1,SUMPRODUCT(--($AR$2:$AR$4001&lt;$AR2143))+1,"")</f>
        <v/>
      </c>
      <c r="AP2143">
        <f>IF($E2143="","",IF(OR($U2143=TRUE(),$U2143="TRUE"),1,0))</f>
        <v/>
      </c>
      <c r="AQ2143">
        <f>IF($E2143="","",IF($AA2143="Yes",1,0))</f>
        <v/>
      </c>
      <c r="AR2143">
        <f>IF($AN2143=1,IFERROR(VALUE(MID($E2143,2,20)),1000000000)+ROW()/100000,"")</f>
        <v/>
      </c>
    </row>
    <row r="2144">
      <c r="G2144" s="11" t="n"/>
      <c r="Q2144" s="7">
        <f>IF($E2144="","",P2144*Y2144/100)</f>
        <v/>
      </c>
      <c r="R2144" s="7" t="n"/>
      <c r="X2144" s="7" t="n"/>
      <c r="Y2144" s="7" t="n"/>
      <c r="AB2144">
        <f>IF($E2144="","",IF($AQ2144=1,0,IF($AP2144=1,Settings!$C$6,Settings!$C$7))*100)</f>
        <v/>
      </c>
      <c r="AC2144" s="7">
        <f>IF($E2144="","",Y2144*AB2144/100)</f>
        <v/>
      </c>
      <c r="AD2144" s="7">
        <f>IF($E2144="","",Y2144-AC2144)</f>
        <v/>
      </c>
      <c r="AE2144" s="7">
        <f>IF($E2144="","",AD2144-Q2144)</f>
        <v/>
      </c>
      <c r="AI2144" s="7" t="n"/>
      <c r="AL2144" s="11" t="n"/>
      <c r="AN2144">
        <f>IF($E2144="","",IF(COUNTIF($E$2:$E2144,$E2144)=1,1,0))</f>
        <v/>
      </c>
      <c r="AO2144">
        <f>IF($AN2144=1,SUMPRODUCT(--($AR$2:$AR$4001&lt;$AR2144))+1,"")</f>
        <v/>
      </c>
      <c r="AP2144">
        <f>IF($E2144="","",IF(OR($U2144=TRUE(),$U2144="TRUE"),1,0))</f>
        <v/>
      </c>
      <c r="AQ2144">
        <f>IF($E2144="","",IF($AA2144="Yes",1,0))</f>
        <v/>
      </c>
      <c r="AR2144">
        <f>IF($AN2144=1,IFERROR(VALUE(MID($E2144,2,20)),1000000000)+ROW()/100000,"")</f>
        <v/>
      </c>
    </row>
    <row r="2145">
      <c r="G2145" s="11" t="n"/>
      <c r="Q2145" s="7">
        <f>IF($E2145="","",P2145*Y2145/100)</f>
        <v/>
      </c>
      <c r="R2145" s="7" t="n"/>
      <c r="X2145" s="7" t="n"/>
      <c r="Y2145" s="7" t="n"/>
      <c r="AB2145">
        <f>IF($E2145="","",IF($AQ2145=1,0,IF($AP2145=1,Settings!$C$6,Settings!$C$7))*100)</f>
        <v/>
      </c>
      <c r="AC2145" s="7">
        <f>IF($E2145="","",Y2145*AB2145/100)</f>
        <v/>
      </c>
      <c r="AD2145" s="7">
        <f>IF($E2145="","",Y2145-AC2145)</f>
        <v/>
      </c>
      <c r="AE2145" s="7">
        <f>IF($E2145="","",AD2145-Q2145)</f>
        <v/>
      </c>
      <c r="AI2145" s="7" t="n"/>
      <c r="AL2145" s="11" t="n"/>
      <c r="AN2145">
        <f>IF($E2145="","",IF(COUNTIF($E$2:$E2145,$E2145)=1,1,0))</f>
        <v/>
      </c>
      <c r="AO2145">
        <f>IF($AN2145=1,SUMPRODUCT(--($AR$2:$AR$4001&lt;$AR2145))+1,"")</f>
        <v/>
      </c>
      <c r="AP2145">
        <f>IF($E2145="","",IF(OR($U2145=TRUE(),$U2145="TRUE"),1,0))</f>
        <v/>
      </c>
      <c r="AQ2145">
        <f>IF($E2145="","",IF($AA2145="Yes",1,0))</f>
        <v/>
      </c>
      <c r="AR2145">
        <f>IF($AN2145=1,IFERROR(VALUE(MID($E2145,2,20)),1000000000)+ROW()/100000,"")</f>
        <v/>
      </c>
    </row>
    <row r="2146">
      <c r="G2146" s="11" t="n"/>
      <c r="Q2146" s="7">
        <f>IF($E2146="","",P2146*Y2146/100)</f>
        <v/>
      </c>
      <c r="R2146" s="7" t="n"/>
      <c r="X2146" s="7" t="n"/>
      <c r="Y2146" s="7" t="n"/>
      <c r="AB2146">
        <f>IF($E2146="","",IF($AQ2146=1,0,IF($AP2146=1,Settings!$C$6,Settings!$C$7))*100)</f>
        <v/>
      </c>
      <c r="AC2146" s="7">
        <f>IF($E2146="","",Y2146*AB2146/100)</f>
        <v/>
      </c>
      <c r="AD2146" s="7">
        <f>IF($E2146="","",Y2146-AC2146)</f>
        <v/>
      </c>
      <c r="AE2146" s="7">
        <f>IF($E2146="","",AD2146-Q2146)</f>
        <v/>
      </c>
      <c r="AI2146" s="7" t="n"/>
      <c r="AL2146" s="11" t="n"/>
      <c r="AN2146">
        <f>IF($E2146="","",IF(COUNTIF($E$2:$E2146,$E2146)=1,1,0))</f>
        <v/>
      </c>
      <c r="AO2146">
        <f>IF($AN2146=1,SUMPRODUCT(--($AR$2:$AR$4001&lt;$AR2146))+1,"")</f>
        <v/>
      </c>
      <c r="AP2146">
        <f>IF($E2146="","",IF(OR($U2146=TRUE(),$U2146="TRUE"),1,0))</f>
        <v/>
      </c>
      <c r="AQ2146">
        <f>IF($E2146="","",IF($AA2146="Yes",1,0))</f>
        <v/>
      </c>
      <c r="AR2146">
        <f>IF($AN2146=1,IFERROR(VALUE(MID($E2146,2,20)),1000000000)+ROW()/100000,"")</f>
        <v/>
      </c>
    </row>
    <row r="2147">
      <c r="G2147" s="11" t="n"/>
      <c r="Q2147" s="7">
        <f>IF($E2147="","",P2147*Y2147/100)</f>
        <v/>
      </c>
      <c r="R2147" s="7" t="n"/>
      <c r="X2147" s="7" t="n"/>
      <c r="Y2147" s="7" t="n"/>
      <c r="AB2147">
        <f>IF($E2147="","",IF($AQ2147=1,0,IF($AP2147=1,Settings!$C$6,Settings!$C$7))*100)</f>
        <v/>
      </c>
      <c r="AC2147" s="7">
        <f>IF($E2147="","",Y2147*AB2147/100)</f>
        <v/>
      </c>
      <c r="AD2147" s="7">
        <f>IF($E2147="","",Y2147-AC2147)</f>
        <v/>
      </c>
      <c r="AE2147" s="7">
        <f>IF($E2147="","",AD2147-Q2147)</f>
        <v/>
      </c>
      <c r="AI2147" s="7" t="n"/>
      <c r="AL2147" s="11" t="n"/>
      <c r="AN2147">
        <f>IF($E2147="","",IF(COUNTIF($E$2:$E2147,$E2147)=1,1,0))</f>
        <v/>
      </c>
      <c r="AO2147">
        <f>IF($AN2147=1,SUMPRODUCT(--($AR$2:$AR$4001&lt;$AR2147))+1,"")</f>
        <v/>
      </c>
      <c r="AP2147">
        <f>IF($E2147="","",IF(OR($U2147=TRUE(),$U2147="TRUE"),1,0))</f>
        <v/>
      </c>
      <c r="AQ2147">
        <f>IF($E2147="","",IF($AA2147="Yes",1,0))</f>
        <v/>
      </c>
      <c r="AR2147">
        <f>IF($AN2147=1,IFERROR(VALUE(MID($E2147,2,20)),1000000000)+ROW()/100000,"")</f>
        <v/>
      </c>
    </row>
    <row r="2148">
      <c r="G2148" s="11" t="n"/>
      <c r="Q2148" s="7">
        <f>IF($E2148="","",P2148*Y2148/100)</f>
        <v/>
      </c>
      <c r="R2148" s="7" t="n"/>
      <c r="X2148" s="7" t="n"/>
      <c r="Y2148" s="7" t="n"/>
      <c r="AB2148">
        <f>IF($E2148="","",IF($AQ2148=1,0,IF($AP2148=1,Settings!$C$6,Settings!$C$7))*100)</f>
        <v/>
      </c>
      <c r="AC2148" s="7">
        <f>IF($E2148="","",Y2148*AB2148/100)</f>
        <v/>
      </c>
      <c r="AD2148" s="7">
        <f>IF($E2148="","",Y2148-AC2148)</f>
        <v/>
      </c>
      <c r="AE2148" s="7">
        <f>IF($E2148="","",AD2148-Q2148)</f>
        <v/>
      </c>
      <c r="AI2148" s="7" t="n"/>
      <c r="AL2148" s="11" t="n"/>
      <c r="AN2148">
        <f>IF($E2148="","",IF(COUNTIF($E$2:$E2148,$E2148)=1,1,0))</f>
        <v/>
      </c>
      <c r="AO2148">
        <f>IF($AN2148=1,SUMPRODUCT(--($AR$2:$AR$4001&lt;$AR2148))+1,"")</f>
        <v/>
      </c>
      <c r="AP2148">
        <f>IF($E2148="","",IF(OR($U2148=TRUE(),$U2148="TRUE"),1,0))</f>
        <v/>
      </c>
      <c r="AQ2148">
        <f>IF($E2148="","",IF($AA2148="Yes",1,0))</f>
        <v/>
      </c>
      <c r="AR2148">
        <f>IF($AN2148=1,IFERROR(VALUE(MID($E2148,2,20)),1000000000)+ROW()/100000,"")</f>
        <v/>
      </c>
    </row>
    <row r="2149">
      <c r="G2149" s="11" t="n"/>
      <c r="Q2149" s="7">
        <f>IF($E2149="","",P2149*Y2149/100)</f>
        <v/>
      </c>
      <c r="R2149" s="7" t="n"/>
      <c r="X2149" s="7" t="n"/>
      <c r="Y2149" s="7" t="n"/>
      <c r="AB2149">
        <f>IF($E2149="","",IF($AQ2149=1,0,IF($AP2149=1,Settings!$C$6,Settings!$C$7))*100)</f>
        <v/>
      </c>
      <c r="AC2149" s="7">
        <f>IF($E2149="","",Y2149*AB2149/100)</f>
        <v/>
      </c>
      <c r="AD2149" s="7">
        <f>IF($E2149="","",Y2149-AC2149)</f>
        <v/>
      </c>
      <c r="AE2149" s="7">
        <f>IF($E2149="","",AD2149-Q2149)</f>
        <v/>
      </c>
      <c r="AI2149" s="7" t="n"/>
      <c r="AL2149" s="11" t="n"/>
      <c r="AN2149">
        <f>IF($E2149="","",IF(COUNTIF($E$2:$E2149,$E2149)=1,1,0))</f>
        <v/>
      </c>
      <c r="AO2149">
        <f>IF($AN2149=1,SUMPRODUCT(--($AR$2:$AR$4001&lt;$AR2149))+1,"")</f>
        <v/>
      </c>
      <c r="AP2149">
        <f>IF($E2149="","",IF(OR($U2149=TRUE(),$U2149="TRUE"),1,0))</f>
        <v/>
      </c>
      <c r="AQ2149">
        <f>IF($E2149="","",IF($AA2149="Yes",1,0))</f>
        <v/>
      </c>
      <c r="AR2149">
        <f>IF($AN2149=1,IFERROR(VALUE(MID($E2149,2,20)),1000000000)+ROW()/100000,"")</f>
        <v/>
      </c>
    </row>
    <row r="2150">
      <c r="G2150" s="11" t="n"/>
      <c r="Q2150" s="7">
        <f>IF($E2150="","",P2150*Y2150/100)</f>
        <v/>
      </c>
      <c r="R2150" s="7" t="n"/>
      <c r="X2150" s="7" t="n"/>
      <c r="Y2150" s="7" t="n"/>
      <c r="AB2150">
        <f>IF($E2150="","",IF($AQ2150=1,0,IF($AP2150=1,Settings!$C$6,Settings!$C$7))*100)</f>
        <v/>
      </c>
      <c r="AC2150" s="7">
        <f>IF($E2150="","",Y2150*AB2150/100)</f>
        <v/>
      </c>
      <c r="AD2150" s="7">
        <f>IF($E2150="","",Y2150-AC2150)</f>
        <v/>
      </c>
      <c r="AE2150" s="7">
        <f>IF($E2150="","",AD2150-Q2150)</f>
        <v/>
      </c>
      <c r="AI2150" s="7" t="n"/>
      <c r="AL2150" s="11" t="n"/>
      <c r="AN2150">
        <f>IF($E2150="","",IF(COUNTIF($E$2:$E2150,$E2150)=1,1,0))</f>
        <v/>
      </c>
      <c r="AO2150">
        <f>IF($AN2150=1,SUMPRODUCT(--($AR$2:$AR$4001&lt;$AR2150))+1,"")</f>
        <v/>
      </c>
      <c r="AP2150">
        <f>IF($E2150="","",IF(OR($U2150=TRUE(),$U2150="TRUE"),1,0))</f>
        <v/>
      </c>
      <c r="AQ2150">
        <f>IF($E2150="","",IF($AA2150="Yes",1,0))</f>
        <v/>
      </c>
      <c r="AR2150">
        <f>IF($AN2150=1,IFERROR(VALUE(MID($E2150,2,20)),1000000000)+ROW()/100000,"")</f>
        <v/>
      </c>
    </row>
    <row r="2151">
      <c r="G2151" s="11" t="n"/>
      <c r="Q2151" s="7">
        <f>IF($E2151="","",P2151*Y2151/100)</f>
        <v/>
      </c>
      <c r="R2151" s="7" t="n"/>
      <c r="X2151" s="7" t="n"/>
      <c r="Y2151" s="7" t="n"/>
      <c r="AB2151">
        <f>IF($E2151="","",IF($AQ2151=1,0,IF($AP2151=1,Settings!$C$6,Settings!$C$7))*100)</f>
        <v/>
      </c>
      <c r="AC2151" s="7">
        <f>IF($E2151="","",Y2151*AB2151/100)</f>
        <v/>
      </c>
      <c r="AD2151" s="7">
        <f>IF($E2151="","",Y2151-AC2151)</f>
        <v/>
      </c>
      <c r="AE2151" s="7">
        <f>IF($E2151="","",AD2151-Q2151)</f>
        <v/>
      </c>
      <c r="AI2151" s="7" t="n"/>
      <c r="AL2151" s="11" t="n"/>
      <c r="AN2151">
        <f>IF($E2151="","",IF(COUNTIF($E$2:$E2151,$E2151)=1,1,0))</f>
        <v/>
      </c>
      <c r="AO2151">
        <f>IF($AN2151=1,SUMPRODUCT(--($AR$2:$AR$4001&lt;$AR2151))+1,"")</f>
        <v/>
      </c>
      <c r="AP2151">
        <f>IF($E2151="","",IF(OR($U2151=TRUE(),$U2151="TRUE"),1,0))</f>
        <v/>
      </c>
      <c r="AQ2151">
        <f>IF($E2151="","",IF($AA2151="Yes",1,0))</f>
        <v/>
      </c>
      <c r="AR2151">
        <f>IF($AN2151=1,IFERROR(VALUE(MID($E2151,2,20)),1000000000)+ROW()/100000,"")</f>
        <v/>
      </c>
    </row>
    <row r="2152">
      <c r="G2152" s="11" t="n"/>
      <c r="Q2152" s="7">
        <f>IF($E2152="","",P2152*Y2152/100)</f>
        <v/>
      </c>
      <c r="R2152" s="7" t="n"/>
      <c r="X2152" s="7" t="n"/>
      <c r="Y2152" s="7" t="n"/>
      <c r="AB2152">
        <f>IF($E2152="","",IF($AQ2152=1,0,IF($AP2152=1,Settings!$C$6,Settings!$C$7))*100)</f>
        <v/>
      </c>
      <c r="AC2152" s="7">
        <f>IF($E2152="","",Y2152*AB2152/100)</f>
        <v/>
      </c>
      <c r="AD2152" s="7">
        <f>IF($E2152="","",Y2152-AC2152)</f>
        <v/>
      </c>
      <c r="AE2152" s="7">
        <f>IF($E2152="","",AD2152-Q2152)</f>
        <v/>
      </c>
      <c r="AI2152" s="7" t="n"/>
      <c r="AL2152" s="11" t="n"/>
      <c r="AN2152">
        <f>IF($E2152="","",IF(COUNTIF($E$2:$E2152,$E2152)=1,1,0))</f>
        <v/>
      </c>
      <c r="AO2152">
        <f>IF($AN2152=1,SUMPRODUCT(--($AR$2:$AR$4001&lt;$AR2152))+1,"")</f>
        <v/>
      </c>
      <c r="AP2152">
        <f>IF($E2152="","",IF(OR($U2152=TRUE(),$U2152="TRUE"),1,0))</f>
        <v/>
      </c>
      <c r="AQ2152">
        <f>IF($E2152="","",IF($AA2152="Yes",1,0))</f>
        <v/>
      </c>
      <c r="AR2152">
        <f>IF($AN2152=1,IFERROR(VALUE(MID($E2152,2,20)),1000000000)+ROW()/100000,"")</f>
        <v/>
      </c>
    </row>
    <row r="2153">
      <c r="G2153" s="11" t="n"/>
      <c r="Q2153" s="7">
        <f>IF($E2153="","",P2153*Y2153/100)</f>
        <v/>
      </c>
      <c r="R2153" s="7" t="n"/>
      <c r="X2153" s="7" t="n"/>
      <c r="Y2153" s="7" t="n"/>
      <c r="AB2153">
        <f>IF($E2153="","",IF($AQ2153=1,0,IF($AP2153=1,Settings!$C$6,Settings!$C$7))*100)</f>
        <v/>
      </c>
      <c r="AC2153" s="7">
        <f>IF($E2153="","",Y2153*AB2153/100)</f>
        <v/>
      </c>
      <c r="AD2153" s="7">
        <f>IF($E2153="","",Y2153-AC2153)</f>
        <v/>
      </c>
      <c r="AE2153" s="7">
        <f>IF($E2153="","",AD2153-Q2153)</f>
        <v/>
      </c>
      <c r="AI2153" s="7" t="n"/>
      <c r="AL2153" s="11" t="n"/>
      <c r="AN2153">
        <f>IF($E2153="","",IF(COUNTIF($E$2:$E2153,$E2153)=1,1,0))</f>
        <v/>
      </c>
      <c r="AO2153">
        <f>IF($AN2153=1,SUMPRODUCT(--($AR$2:$AR$4001&lt;$AR2153))+1,"")</f>
        <v/>
      </c>
      <c r="AP2153">
        <f>IF($E2153="","",IF(OR($U2153=TRUE(),$U2153="TRUE"),1,0))</f>
        <v/>
      </c>
      <c r="AQ2153">
        <f>IF($E2153="","",IF($AA2153="Yes",1,0))</f>
        <v/>
      </c>
      <c r="AR2153">
        <f>IF($AN2153=1,IFERROR(VALUE(MID($E2153,2,20)),1000000000)+ROW()/100000,"")</f>
        <v/>
      </c>
    </row>
    <row r="2154">
      <c r="G2154" s="11" t="n"/>
      <c r="Q2154" s="7">
        <f>IF($E2154="","",P2154*Y2154/100)</f>
        <v/>
      </c>
      <c r="R2154" s="7" t="n"/>
      <c r="X2154" s="7" t="n"/>
      <c r="Y2154" s="7" t="n"/>
      <c r="AB2154">
        <f>IF($E2154="","",IF($AQ2154=1,0,IF($AP2154=1,Settings!$C$6,Settings!$C$7))*100)</f>
        <v/>
      </c>
      <c r="AC2154" s="7">
        <f>IF($E2154="","",Y2154*AB2154/100)</f>
        <v/>
      </c>
      <c r="AD2154" s="7">
        <f>IF($E2154="","",Y2154-AC2154)</f>
        <v/>
      </c>
      <c r="AE2154" s="7">
        <f>IF($E2154="","",AD2154-Q2154)</f>
        <v/>
      </c>
      <c r="AI2154" s="7" t="n"/>
      <c r="AL2154" s="11" t="n"/>
      <c r="AN2154">
        <f>IF($E2154="","",IF(COUNTIF($E$2:$E2154,$E2154)=1,1,0))</f>
        <v/>
      </c>
      <c r="AO2154">
        <f>IF($AN2154=1,SUMPRODUCT(--($AR$2:$AR$4001&lt;$AR2154))+1,"")</f>
        <v/>
      </c>
      <c r="AP2154">
        <f>IF($E2154="","",IF(OR($U2154=TRUE(),$U2154="TRUE"),1,0))</f>
        <v/>
      </c>
      <c r="AQ2154">
        <f>IF($E2154="","",IF($AA2154="Yes",1,0))</f>
        <v/>
      </c>
      <c r="AR2154">
        <f>IF($AN2154=1,IFERROR(VALUE(MID($E2154,2,20)),1000000000)+ROW()/100000,"")</f>
        <v/>
      </c>
    </row>
    <row r="2155">
      <c r="G2155" s="11" t="n"/>
      <c r="Q2155" s="7">
        <f>IF($E2155="","",P2155*Y2155/100)</f>
        <v/>
      </c>
      <c r="R2155" s="7" t="n"/>
      <c r="X2155" s="7" t="n"/>
      <c r="Y2155" s="7" t="n"/>
      <c r="AB2155">
        <f>IF($E2155="","",IF($AQ2155=1,0,IF($AP2155=1,Settings!$C$6,Settings!$C$7))*100)</f>
        <v/>
      </c>
      <c r="AC2155" s="7">
        <f>IF($E2155="","",Y2155*AB2155/100)</f>
        <v/>
      </c>
      <c r="AD2155" s="7">
        <f>IF($E2155="","",Y2155-AC2155)</f>
        <v/>
      </c>
      <c r="AE2155" s="7">
        <f>IF($E2155="","",AD2155-Q2155)</f>
        <v/>
      </c>
      <c r="AI2155" s="7" t="n"/>
      <c r="AL2155" s="11" t="n"/>
      <c r="AN2155">
        <f>IF($E2155="","",IF(COUNTIF($E$2:$E2155,$E2155)=1,1,0))</f>
        <v/>
      </c>
      <c r="AO2155">
        <f>IF($AN2155=1,SUMPRODUCT(--($AR$2:$AR$4001&lt;$AR2155))+1,"")</f>
        <v/>
      </c>
      <c r="AP2155">
        <f>IF($E2155="","",IF(OR($U2155=TRUE(),$U2155="TRUE"),1,0))</f>
        <v/>
      </c>
      <c r="AQ2155">
        <f>IF($E2155="","",IF($AA2155="Yes",1,0))</f>
        <v/>
      </c>
      <c r="AR2155">
        <f>IF($AN2155=1,IFERROR(VALUE(MID($E2155,2,20)),1000000000)+ROW()/100000,"")</f>
        <v/>
      </c>
    </row>
    <row r="2156">
      <c r="G2156" s="11" t="n"/>
      <c r="Q2156" s="7">
        <f>IF($E2156="","",P2156*Y2156/100)</f>
        <v/>
      </c>
      <c r="R2156" s="7" t="n"/>
      <c r="X2156" s="7" t="n"/>
      <c r="Y2156" s="7" t="n"/>
      <c r="AB2156">
        <f>IF($E2156="","",IF($AQ2156=1,0,IF($AP2156=1,Settings!$C$6,Settings!$C$7))*100)</f>
        <v/>
      </c>
      <c r="AC2156" s="7">
        <f>IF($E2156="","",Y2156*AB2156/100)</f>
        <v/>
      </c>
      <c r="AD2156" s="7">
        <f>IF($E2156="","",Y2156-AC2156)</f>
        <v/>
      </c>
      <c r="AE2156" s="7">
        <f>IF($E2156="","",AD2156-Q2156)</f>
        <v/>
      </c>
      <c r="AI2156" s="7" t="n"/>
      <c r="AL2156" s="11" t="n"/>
      <c r="AN2156">
        <f>IF($E2156="","",IF(COUNTIF($E$2:$E2156,$E2156)=1,1,0))</f>
        <v/>
      </c>
      <c r="AO2156">
        <f>IF($AN2156=1,SUMPRODUCT(--($AR$2:$AR$4001&lt;$AR2156))+1,"")</f>
        <v/>
      </c>
      <c r="AP2156">
        <f>IF($E2156="","",IF(OR($U2156=TRUE(),$U2156="TRUE"),1,0))</f>
        <v/>
      </c>
      <c r="AQ2156">
        <f>IF($E2156="","",IF($AA2156="Yes",1,0))</f>
        <v/>
      </c>
      <c r="AR2156">
        <f>IF($AN2156=1,IFERROR(VALUE(MID($E2156,2,20)),1000000000)+ROW()/100000,"")</f>
        <v/>
      </c>
    </row>
    <row r="2157">
      <c r="G2157" s="11" t="n"/>
      <c r="Q2157" s="7">
        <f>IF($E2157="","",P2157*Y2157/100)</f>
        <v/>
      </c>
      <c r="R2157" s="7" t="n"/>
      <c r="X2157" s="7" t="n"/>
      <c r="Y2157" s="7" t="n"/>
      <c r="AB2157">
        <f>IF($E2157="","",IF($AQ2157=1,0,IF($AP2157=1,Settings!$C$6,Settings!$C$7))*100)</f>
        <v/>
      </c>
      <c r="AC2157" s="7">
        <f>IF($E2157="","",Y2157*AB2157/100)</f>
        <v/>
      </c>
      <c r="AD2157" s="7">
        <f>IF($E2157="","",Y2157-AC2157)</f>
        <v/>
      </c>
      <c r="AE2157" s="7">
        <f>IF($E2157="","",AD2157-Q2157)</f>
        <v/>
      </c>
      <c r="AI2157" s="7" t="n"/>
      <c r="AL2157" s="11" t="n"/>
      <c r="AN2157">
        <f>IF($E2157="","",IF(COUNTIF($E$2:$E2157,$E2157)=1,1,0))</f>
        <v/>
      </c>
      <c r="AO2157">
        <f>IF($AN2157=1,SUMPRODUCT(--($AR$2:$AR$4001&lt;$AR2157))+1,"")</f>
        <v/>
      </c>
      <c r="AP2157">
        <f>IF($E2157="","",IF(OR($U2157=TRUE(),$U2157="TRUE"),1,0))</f>
        <v/>
      </c>
      <c r="AQ2157">
        <f>IF($E2157="","",IF($AA2157="Yes",1,0))</f>
        <v/>
      </c>
      <c r="AR2157">
        <f>IF($AN2157=1,IFERROR(VALUE(MID($E2157,2,20)),1000000000)+ROW()/100000,"")</f>
        <v/>
      </c>
    </row>
    <row r="2158">
      <c r="G2158" s="11" t="n"/>
      <c r="Q2158" s="7">
        <f>IF($E2158="","",P2158*Y2158/100)</f>
        <v/>
      </c>
      <c r="R2158" s="7" t="n"/>
      <c r="X2158" s="7" t="n"/>
      <c r="Y2158" s="7" t="n"/>
      <c r="AB2158">
        <f>IF($E2158="","",IF($AQ2158=1,0,IF($AP2158=1,Settings!$C$6,Settings!$C$7))*100)</f>
        <v/>
      </c>
      <c r="AC2158" s="7">
        <f>IF($E2158="","",Y2158*AB2158/100)</f>
        <v/>
      </c>
      <c r="AD2158" s="7">
        <f>IF($E2158="","",Y2158-AC2158)</f>
        <v/>
      </c>
      <c r="AE2158" s="7">
        <f>IF($E2158="","",AD2158-Q2158)</f>
        <v/>
      </c>
      <c r="AI2158" s="7" t="n"/>
      <c r="AL2158" s="11" t="n"/>
      <c r="AN2158">
        <f>IF($E2158="","",IF(COUNTIF($E$2:$E2158,$E2158)=1,1,0))</f>
        <v/>
      </c>
      <c r="AO2158">
        <f>IF($AN2158=1,SUMPRODUCT(--($AR$2:$AR$4001&lt;$AR2158))+1,"")</f>
        <v/>
      </c>
      <c r="AP2158">
        <f>IF($E2158="","",IF(OR($U2158=TRUE(),$U2158="TRUE"),1,0))</f>
        <v/>
      </c>
      <c r="AQ2158">
        <f>IF($E2158="","",IF($AA2158="Yes",1,0))</f>
        <v/>
      </c>
      <c r="AR2158">
        <f>IF($AN2158=1,IFERROR(VALUE(MID($E2158,2,20)),1000000000)+ROW()/100000,"")</f>
        <v/>
      </c>
    </row>
    <row r="2159">
      <c r="G2159" s="11" t="n"/>
      <c r="Q2159" s="7">
        <f>IF($E2159="","",P2159*Y2159/100)</f>
        <v/>
      </c>
      <c r="R2159" s="7" t="n"/>
      <c r="X2159" s="7" t="n"/>
      <c r="Y2159" s="7" t="n"/>
      <c r="AB2159">
        <f>IF($E2159="","",IF($AQ2159=1,0,IF($AP2159=1,Settings!$C$6,Settings!$C$7))*100)</f>
        <v/>
      </c>
      <c r="AC2159" s="7">
        <f>IF($E2159="","",Y2159*AB2159/100)</f>
        <v/>
      </c>
      <c r="AD2159" s="7">
        <f>IF($E2159="","",Y2159-AC2159)</f>
        <v/>
      </c>
      <c r="AE2159" s="7">
        <f>IF($E2159="","",AD2159-Q2159)</f>
        <v/>
      </c>
      <c r="AI2159" s="7" t="n"/>
      <c r="AL2159" s="11" t="n"/>
      <c r="AN2159">
        <f>IF($E2159="","",IF(COUNTIF($E$2:$E2159,$E2159)=1,1,0))</f>
        <v/>
      </c>
      <c r="AO2159">
        <f>IF($AN2159=1,SUMPRODUCT(--($AR$2:$AR$4001&lt;$AR2159))+1,"")</f>
        <v/>
      </c>
      <c r="AP2159">
        <f>IF($E2159="","",IF(OR($U2159=TRUE(),$U2159="TRUE"),1,0))</f>
        <v/>
      </c>
      <c r="AQ2159">
        <f>IF($E2159="","",IF($AA2159="Yes",1,0))</f>
        <v/>
      </c>
      <c r="AR2159">
        <f>IF($AN2159=1,IFERROR(VALUE(MID($E2159,2,20)),1000000000)+ROW()/100000,"")</f>
        <v/>
      </c>
    </row>
    <row r="2160">
      <c r="G2160" s="11" t="n"/>
      <c r="Q2160" s="7">
        <f>IF($E2160="","",P2160*Y2160/100)</f>
        <v/>
      </c>
      <c r="R2160" s="7" t="n"/>
      <c r="X2160" s="7" t="n"/>
      <c r="Y2160" s="7" t="n"/>
      <c r="AB2160">
        <f>IF($E2160="","",IF($AQ2160=1,0,IF($AP2160=1,Settings!$C$6,Settings!$C$7))*100)</f>
        <v/>
      </c>
      <c r="AC2160" s="7">
        <f>IF($E2160="","",Y2160*AB2160/100)</f>
        <v/>
      </c>
      <c r="AD2160" s="7">
        <f>IF($E2160="","",Y2160-AC2160)</f>
        <v/>
      </c>
      <c r="AE2160" s="7">
        <f>IF($E2160="","",AD2160-Q2160)</f>
        <v/>
      </c>
      <c r="AI2160" s="7" t="n"/>
      <c r="AL2160" s="11" t="n"/>
      <c r="AN2160">
        <f>IF($E2160="","",IF(COUNTIF($E$2:$E2160,$E2160)=1,1,0))</f>
        <v/>
      </c>
      <c r="AO2160">
        <f>IF($AN2160=1,SUMPRODUCT(--($AR$2:$AR$4001&lt;$AR2160))+1,"")</f>
        <v/>
      </c>
      <c r="AP2160">
        <f>IF($E2160="","",IF(OR($U2160=TRUE(),$U2160="TRUE"),1,0))</f>
        <v/>
      </c>
      <c r="AQ2160">
        <f>IF($E2160="","",IF($AA2160="Yes",1,0))</f>
        <v/>
      </c>
      <c r="AR2160">
        <f>IF($AN2160=1,IFERROR(VALUE(MID($E2160,2,20)),1000000000)+ROW()/100000,"")</f>
        <v/>
      </c>
    </row>
    <row r="2161">
      <c r="G2161" s="11" t="n"/>
      <c r="Q2161" s="7">
        <f>IF($E2161="","",P2161*Y2161/100)</f>
        <v/>
      </c>
      <c r="R2161" s="7" t="n"/>
      <c r="X2161" s="7" t="n"/>
      <c r="Y2161" s="7" t="n"/>
      <c r="AB2161">
        <f>IF($E2161="","",IF($AQ2161=1,0,IF($AP2161=1,Settings!$C$6,Settings!$C$7))*100)</f>
        <v/>
      </c>
      <c r="AC2161" s="7">
        <f>IF($E2161="","",Y2161*AB2161/100)</f>
        <v/>
      </c>
      <c r="AD2161" s="7">
        <f>IF($E2161="","",Y2161-AC2161)</f>
        <v/>
      </c>
      <c r="AE2161" s="7">
        <f>IF($E2161="","",AD2161-Q2161)</f>
        <v/>
      </c>
      <c r="AI2161" s="7" t="n"/>
      <c r="AL2161" s="11" t="n"/>
      <c r="AN2161">
        <f>IF($E2161="","",IF(COUNTIF($E$2:$E2161,$E2161)=1,1,0))</f>
        <v/>
      </c>
      <c r="AO2161">
        <f>IF($AN2161=1,SUMPRODUCT(--($AR$2:$AR$4001&lt;$AR2161))+1,"")</f>
        <v/>
      </c>
      <c r="AP2161">
        <f>IF($E2161="","",IF(OR($U2161=TRUE(),$U2161="TRUE"),1,0))</f>
        <v/>
      </c>
      <c r="AQ2161">
        <f>IF($E2161="","",IF($AA2161="Yes",1,0))</f>
        <v/>
      </c>
      <c r="AR2161">
        <f>IF($AN2161=1,IFERROR(VALUE(MID($E2161,2,20)),1000000000)+ROW()/100000,"")</f>
        <v/>
      </c>
    </row>
    <row r="2162">
      <c r="G2162" s="11" t="n"/>
      <c r="Q2162" s="7">
        <f>IF($E2162="","",P2162*Y2162/100)</f>
        <v/>
      </c>
      <c r="R2162" s="7" t="n"/>
      <c r="X2162" s="7" t="n"/>
      <c r="Y2162" s="7" t="n"/>
      <c r="AB2162">
        <f>IF($E2162="","",IF($AQ2162=1,0,IF($AP2162=1,Settings!$C$6,Settings!$C$7))*100)</f>
        <v/>
      </c>
      <c r="AC2162" s="7">
        <f>IF($E2162="","",Y2162*AB2162/100)</f>
        <v/>
      </c>
      <c r="AD2162" s="7">
        <f>IF($E2162="","",Y2162-AC2162)</f>
        <v/>
      </c>
      <c r="AE2162" s="7">
        <f>IF($E2162="","",AD2162-Q2162)</f>
        <v/>
      </c>
      <c r="AI2162" s="7" t="n"/>
      <c r="AL2162" s="11" t="n"/>
      <c r="AN2162">
        <f>IF($E2162="","",IF(COUNTIF($E$2:$E2162,$E2162)=1,1,0))</f>
        <v/>
      </c>
      <c r="AO2162">
        <f>IF($AN2162=1,SUMPRODUCT(--($AR$2:$AR$4001&lt;$AR2162))+1,"")</f>
        <v/>
      </c>
      <c r="AP2162">
        <f>IF($E2162="","",IF(OR($U2162=TRUE(),$U2162="TRUE"),1,0))</f>
        <v/>
      </c>
      <c r="AQ2162">
        <f>IF($E2162="","",IF($AA2162="Yes",1,0))</f>
        <v/>
      </c>
      <c r="AR2162">
        <f>IF($AN2162=1,IFERROR(VALUE(MID($E2162,2,20)),1000000000)+ROW()/100000,"")</f>
        <v/>
      </c>
    </row>
    <row r="2163">
      <c r="G2163" s="11" t="n"/>
      <c r="Q2163" s="7">
        <f>IF($E2163="","",P2163*Y2163/100)</f>
        <v/>
      </c>
      <c r="R2163" s="7" t="n"/>
      <c r="X2163" s="7" t="n"/>
      <c r="Y2163" s="7" t="n"/>
      <c r="AB2163">
        <f>IF($E2163="","",IF($AQ2163=1,0,IF($AP2163=1,Settings!$C$6,Settings!$C$7))*100)</f>
        <v/>
      </c>
      <c r="AC2163" s="7">
        <f>IF($E2163="","",Y2163*AB2163/100)</f>
        <v/>
      </c>
      <c r="AD2163" s="7">
        <f>IF($E2163="","",Y2163-AC2163)</f>
        <v/>
      </c>
      <c r="AE2163" s="7">
        <f>IF($E2163="","",AD2163-Q2163)</f>
        <v/>
      </c>
      <c r="AI2163" s="7" t="n"/>
      <c r="AL2163" s="11" t="n"/>
      <c r="AN2163">
        <f>IF($E2163="","",IF(COUNTIF($E$2:$E2163,$E2163)=1,1,0))</f>
        <v/>
      </c>
      <c r="AO2163">
        <f>IF($AN2163=1,SUMPRODUCT(--($AR$2:$AR$4001&lt;$AR2163))+1,"")</f>
        <v/>
      </c>
      <c r="AP2163">
        <f>IF($E2163="","",IF(OR($U2163=TRUE(),$U2163="TRUE"),1,0))</f>
        <v/>
      </c>
      <c r="AQ2163">
        <f>IF($E2163="","",IF($AA2163="Yes",1,0))</f>
        <v/>
      </c>
      <c r="AR2163">
        <f>IF($AN2163=1,IFERROR(VALUE(MID($E2163,2,20)),1000000000)+ROW()/100000,"")</f>
        <v/>
      </c>
    </row>
    <row r="2164">
      <c r="G2164" s="11" t="n"/>
      <c r="Q2164" s="7">
        <f>IF($E2164="","",P2164*Y2164/100)</f>
        <v/>
      </c>
      <c r="R2164" s="7" t="n"/>
      <c r="X2164" s="7" t="n"/>
      <c r="Y2164" s="7" t="n"/>
      <c r="AB2164">
        <f>IF($E2164="","",IF($AQ2164=1,0,IF($AP2164=1,Settings!$C$6,Settings!$C$7))*100)</f>
        <v/>
      </c>
      <c r="AC2164" s="7">
        <f>IF($E2164="","",Y2164*AB2164/100)</f>
        <v/>
      </c>
      <c r="AD2164" s="7">
        <f>IF($E2164="","",Y2164-AC2164)</f>
        <v/>
      </c>
      <c r="AE2164" s="7">
        <f>IF($E2164="","",AD2164-Q2164)</f>
        <v/>
      </c>
      <c r="AI2164" s="7" t="n"/>
      <c r="AL2164" s="11" t="n"/>
      <c r="AN2164">
        <f>IF($E2164="","",IF(COUNTIF($E$2:$E2164,$E2164)=1,1,0))</f>
        <v/>
      </c>
      <c r="AO2164">
        <f>IF($AN2164=1,SUMPRODUCT(--($AR$2:$AR$4001&lt;$AR2164))+1,"")</f>
        <v/>
      </c>
      <c r="AP2164">
        <f>IF($E2164="","",IF(OR($U2164=TRUE(),$U2164="TRUE"),1,0))</f>
        <v/>
      </c>
      <c r="AQ2164">
        <f>IF($E2164="","",IF($AA2164="Yes",1,0))</f>
        <v/>
      </c>
      <c r="AR2164">
        <f>IF($AN2164=1,IFERROR(VALUE(MID($E2164,2,20)),1000000000)+ROW()/100000,"")</f>
        <v/>
      </c>
    </row>
    <row r="2165">
      <c r="G2165" s="11" t="n"/>
      <c r="Q2165" s="7">
        <f>IF($E2165="","",P2165*Y2165/100)</f>
        <v/>
      </c>
      <c r="R2165" s="7" t="n"/>
      <c r="X2165" s="7" t="n"/>
      <c r="Y2165" s="7" t="n"/>
      <c r="AB2165">
        <f>IF($E2165="","",IF($AQ2165=1,0,IF($AP2165=1,Settings!$C$6,Settings!$C$7))*100)</f>
        <v/>
      </c>
      <c r="AC2165" s="7">
        <f>IF($E2165="","",Y2165*AB2165/100)</f>
        <v/>
      </c>
      <c r="AD2165" s="7">
        <f>IF($E2165="","",Y2165-AC2165)</f>
        <v/>
      </c>
      <c r="AE2165" s="7">
        <f>IF($E2165="","",AD2165-Q2165)</f>
        <v/>
      </c>
      <c r="AI2165" s="7" t="n"/>
      <c r="AL2165" s="11" t="n"/>
      <c r="AN2165">
        <f>IF($E2165="","",IF(COUNTIF($E$2:$E2165,$E2165)=1,1,0))</f>
        <v/>
      </c>
      <c r="AO2165">
        <f>IF($AN2165=1,SUMPRODUCT(--($AR$2:$AR$4001&lt;$AR2165))+1,"")</f>
        <v/>
      </c>
      <c r="AP2165">
        <f>IF($E2165="","",IF(OR($U2165=TRUE(),$U2165="TRUE"),1,0))</f>
        <v/>
      </c>
      <c r="AQ2165">
        <f>IF($E2165="","",IF($AA2165="Yes",1,0))</f>
        <v/>
      </c>
      <c r="AR2165">
        <f>IF($AN2165=1,IFERROR(VALUE(MID($E2165,2,20)),1000000000)+ROW()/100000,"")</f>
        <v/>
      </c>
    </row>
    <row r="2166">
      <c r="G2166" s="11" t="n"/>
      <c r="Q2166" s="7">
        <f>IF($E2166="","",P2166*Y2166/100)</f>
        <v/>
      </c>
      <c r="R2166" s="7" t="n"/>
      <c r="X2166" s="7" t="n"/>
      <c r="Y2166" s="7" t="n"/>
      <c r="AB2166">
        <f>IF($E2166="","",IF($AQ2166=1,0,IF($AP2166=1,Settings!$C$6,Settings!$C$7))*100)</f>
        <v/>
      </c>
      <c r="AC2166" s="7">
        <f>IF($E2166="","",Y2166*AB2166/100)</f>
        <v/>
      </c>
      <c r="AD2166" s="7">
        <f>IF($E2166="","",Y2166-AC2166)</f>
        <v/>
      </c>
      <c r="AE2166" s="7">
        <f>IF($E2166="","",AD2166-Q2166)</f>
        <v/>
      </c>
      <c r="AI2166" s="7" t="n"/>
      <c r="AL2166" s="11" t="n"/>
      <c r="AN2166">
        <f>IF($E2166="","",IF(COUNTIF($E$2:$E2166,$E2166)=1,1,0))</f>
        <v/>
      </c>
      <c r="AO2166">
        <f>IF($AN2166=1,SUMPRODUCT(--($AR$2:$AR$4001&lt;$AR2166))+1,"")</f>
        <v/>
      </c>
      <c r="AP2166">
        <f>IF($E2166="","",IF(OR($U2166=TRUE(),$U2166="TRUE"),1,0))</f>
        <v/>
      </c>
      <c r="AQ2166">
        <f>IF($E2166="","",IF($AA2166="Yes",1,0))</f>
        <v/>
      </c>
      <c r="AR2166">
        <f>IF($AN2166=1,IFERROR(VALUE(MID($E2166,2,20)),1000000000)+ROW()/100000,"")</f>
        <v/>
      </c>
    </row>
    <row r="2167">
      <c r="G2167" s="11" t="n"/>
      <c r="Q2167" s="7">
        <f>IF($E2167="","",P2167*Y2167/100)</f>
        <v/>
      </c>
      <c r="R2167" s="7" t="n"/>
      <c r="X2167" s="7" t="n"/>
      <c r="Y2167" s="7" t="n"/>
      <c r="AB2167">
        <f>IF($E2167="","",IF($AQ2167=1,0,IF($AP2167=1,Settings!$C$6,Settings!$C$7))*100)</f>
        <v/>
      </c>
      <c r="AC2167" s="7">
        <f>IF($E2167="","",Y2167*AB2167/100)</f>
        <v/>
      </c>
      <c r="AD2167" s="7">
        <f>IF($E2167="","",Y2167-AC2167)</f>
        <v/>
      </c>
      <c r="AE2167" s="7">
        <f>IF($E2167="","",AD2167-Q2167)</f>
        <v/>
      </c>
      <c r="AI2167" s="7" t="n"/>
      <c r="AL2167" s="11" t="n"/>
      <c r="AN2167">
        <f>IF($E2167="","",IF(COUNTIF($E$2:$E2167,$E2167)=1,1,0))</f>
        <v/>
      </c>
      <c r="AO2167">
        <f>IF($AN2167=1,SUMPRODUCT(--($AR$2:$AR$4001&lt;$AR2167))+1,"")</f>
        <v/>
      </c>
      <c r="AP2167">
        <f>IF($E2167="","",IF(OR($U2167=TRUE(),$U2167="TRUE"),1,0))</f>
        <v/>
      </c>
      <c r="AQ2167">
        <f>IF($E2167="","",IF($AA2167="Yes",1,0))</f>
        <v/>
      </c>
      <c r="AR2167">
        <f>IF($AN2167=1,IFERROR(VALUE(MID($E2167,2,20)),1000000000)+ROW()/100000,"")</f>
        <v/>
      </c>
    </row>
    <row r="2168">
      <c r="G2168" s="11" t="n"/>
      <c r="Q2168" s="7">
        <f>IF($E2168="","",P2168*Y2168/100)</f>
        <v/>
      </c>
      <c r="R2168" s="7" t="n"/>
      <c r="X2168" s="7" t="n"/>
      <c r="Y2168" s="7" t="n"/>
      <c r="AB2168">
        <f>IF($E2168="","",IF($AQ2168=1,0,IF($AP2168=1,Settings!$C$6,Settings!$C$7))*100)</f>
        <v/>
      </c>
      <c r="AC2168" s="7">
        <f>IF($E2168="","",Y2168*AB2168/100)</f>
        <v/>
      </c>
      <c r="AD2168" s="7">
        <f>IF($E2168="","",Y2168-AC2168)</f>
        <v/>
      </c>
      <c r="AE2168" s="7">
        <f>IF($E2168="","",AD2168-Q2168)</f>
        <v/>
      </c>
      <c r="AI2168" s="7" t="n"/>
      <c r="AL2168" s="11" t="n"/>
      <c r="AN2168">
        <f>IF($E2168="","",IF(COUNTIF($E$2:$E2168,$E2168)=1,1,0))</f>
        <v/>
      </c>
      <c r="AO2168">
        <f>IF($AN2168=1,SUMPRODUCT(--($AR$2:$AR$4001&lt;$AR2168))+1,"")</f>
        <v/>
      </c>
      <c r="AP2168">
        <f>IF($E2168="","",IF(OR($U2168=TRUE(),$U2168="TRUE"),1,0))</f>
        <v/>
      </c>
      <c r="AQ2168">
        <f>IF($E2168="","",IF($AA2168="Yes",1,0))</f>
        <v/>
      </c>
      <c r="AR2168">
        <f>IF($AN2168=1,IFERROR(VALUE(MID($E2168,2,20)),1000000000)+ROW()/100000,"")</f>
        <v/>
      </c>
    </row>
    <row r="2169">
      <c r="G2169" s="11" t="n"/>
      <c r="Q2169" s="7">
        <f>IF($E2169="","",P2169*Y2169/100)</f>
        <v/>
      </c>
      <c r="R2169" s="7" t="n"/>
      <c r="X2169" s="7" t="n"/>
      <c r="Y2169" s="7" t="n"/>
      <c r="AB2169">
        <f>IF($E2169="","",IF($AQ2169=1,0,IF($AP2169=1,Settings!$C$6,Settings!$C$7))*100)</f>
        <v/>
      </c>
      <c r="AC2169" s="7">
        <f>IF($E2169="","",Y2169*AB2169/100)</f>
        <v/>
      </c>
      <c r="AD2169" s="7">
        <f>IF($E2169="","",Y2169-AC2169)</f>
        <v/>
      </c>
      <c r="AE2169" s="7">
        <f>IF($E2169="","",AD2169-Q2169)</f>
        <v/>
      </c>
      <c r="AI2169" s="7" t="n"/>
      <c r="AL2169" s="11" t="n"/>
      <c r="AN2169">
        <f>IF($E2169="","",IF(COUNTIF($E$2:$E2169,$E2169)=1,1,0))</f>
        <v/>
      </c>
      <c r="AO2169">
        <f>IF($AN2169=1,SUMPRODUCT(--($AR$2:$AR$4001&lt;$AR2169))+1,"")</f>
        <v/>
      </c>
      <c r="AP2169">
        <f>IF($E2169="","",IF(OR($U2169=TRUE(),$U2169="TRUE"),1,0))</f>
        <v/>
      </c>
      <c r="AQ2169">
        <f>IF($E2169="","",IF($AA2169="Yes",1,0))</f>
        <v/>
      </c>
      <c r="AR2169">
        <f>IF($AN2169=1,IFERROR(VALUE(MID($E2169,2,20)),1000000000)+ROW()/100000,"")</f>
        <v/>
      </c>
    </row>
    <row r="2170">
      <c r="G2170" s="11" t="n"/>
      <c r="Q2170" s="7">
        <f>IF($E2170="","",P2170*Y2170/100)</f>
        <v/>
      </c>
      <c r="R2170" s="7" t="n"/>
      <c r="X2170" s="7" t="n"/>
      <c r="Y2170" s="7" t="n"/>
      <c r="AB2170">
        <f>IF($E2170="","",IF($AQ2170=1,0,IF($AP2170=1,Settings!$C$6,Settings!$C$7))*100)</f>
        <v/>
      </c>
      <c r="AC2170" s="7">
        <f>IF($E2170="","",Y2170*AB2170/100)</f>
        <v/>
      </c>
      <c r="AD2170" s="7">
        <f>IF($E2170="","",Y2170-AC2170)</f>
        <v/>
      </c>
      <c r="AE2170" s="7">
        <f>IF($E2170="","",AD2170-Q2170)</f>
        <v/>
      </c>
      <c r="AI2170" s="7" t="n"/>
      <c r="AL2170" s="11" t="n"/>
      <c r="AN2170">
        <f>IF($E2170="","",IF(COUNTIF($E$2:$E2170,$E2170)=1,1,0))</f>
        <v/>
      </c>
      <c r="AO2170">
        <f>IF($AN2170=1,SUMPRODUCT(--($AR$2:$AR$4001&lt;$AR2170))+1,"")</f>
        <v/>
      </c>
      <c r="AP2170">
        <f>IF($E2170="","",IF(OR($U2170=TRUE(),$U2170="TRUE"),1,0))</f>
        <v/>
      </c>
      <c r="AQ2170">
        <f>IF($E2170="","",IF($AA2170="Yes",1,0))</f>
        <v/>
      </c>
      <c r="AR2170">
        <f>IF($AN2170=1,IFERROR(VALUE(MID($E2170,2,20)),1000000000)+ROW()/100000,"")</f>
        <v/>
      </c>
    </row>
    <row r="2171">
      <c r="G2171" s="11" t="n"/>
      <c r="Q2171" s="7">
        <f>IF($E2171="","",P2171*Y2171/100)</f>
        <v/>
      </c>
      <c r="R2171" s="7" t="n"/>
      <c r="X2171" s="7" t="n"/>
      <c r="Y2171" s="7" t="n"/>
      <c r="AB2171">
        <f>IF($E2171="","",IF($AQ2171=1,0,IF($AP2171=1,Settings!$C$6,Settings!$C$7))*100)</f>
        <v/>
      </c>
      <c r="AC2171" s="7">
        <f>IF($E2171="","",Y2171*AB2171/100)</f>
        <v/>
      </c>
      <c r="AD2171" s="7">
        <f>IF($E2171="","",Y2171-AC2171)</f>
        <v/>
      </c>
      <c r="AE2171" s="7">
        <f>IF($E2171="","",AD2171-Q2171)</f>
        <v/>
      </c>
      <c r="AI2171" s="7" t="n"/>
      <c r="AL2171" s="11" t="n"/>
      <c r="AN2171">
        <f>IF($E2171="","",IF(COUNTIF($E$2:$E2171,$E2171)=1,1,0))</f>
        <v/>
      </c>
      <c r="AO2171">
        <f>IF($AN2171=1,SUMPRODUCT(--($AR$2:$AR$4001&lt;$AR2171))+1,"")</f>
        <v/>
      </c>
      <c r="AP2171">
        <f>IF($E2171="","",IF(OR($U2171=TRUE(),$U2171="TRUE"),1,0))</f>
        <v/>
      </c>
      <c r="AQ2171">
        <f>IF($E2171="","",IF($AA2171="Yes",1,0))</f>
        <v/>
      </c>
      <c r="AR2171">
        <f>IF($AN2171=1,IFERROR(VALUE(MID($E2171,2,20)),1000000000)+ROW()/100000,"")</f>
        <v/>
      </c>
    </row>
    <row r="2172">
      <c r="G2172" s="11" t="n"/>
      <c r="Q2172" s="7">
        <f>IF($E2172="","",P2172*Y2172/100)</f>
        <v/>
      </c>
      <c r="R2172" s="7" t="n"/>
      <c r="X2172" s="7" t="n"/>
      <c r="Y2172" s="7" t="n"/>
      <c r="AB2172">
        <f>IF($E2172="","",IF($AQ2172=1,0,IF($AP2172=1,Settings!$C$6,Settings!$C$7))*100)</f>
        <v/>
      </c>
      <c r="AC2172" s="7">
        <f>IF($E2172="","",Y2172*AB2172/100)</f>
        <v/>
      </c>
      <c r="AD2172" s="7">
        <f>IF($E2172="","",Y2172-AC2172)</f>
        <v/>
      </c>
      <c r="AE2172" s="7">
        <f>IF($E2172="","",AD2172-Q2172)</f>
        <v/>
      </c>
      <c r="AI2172" s="7" t="n"/>
      <c r="AL2172" s="11" t="n"/>
      <c r="AN2172">
        <f>IF($E2172="","",IF(COUNTIF($E$2:$E2172,$E2172)=1,1,0))</f>
        <v/>
      </c>
      <c r="AO2172">
        <f>IF($AN2172=1,SUMPRODUCT(--($AR$2:$AR$4001&lt;$AR2172))+1,"")</f>
        <v/>
      </c>
      <c r="AP2172">
        <f>IF($E2172="","",IF(OR($U2172=TRUE(),$U2172="TRUE"),1,0))</f>
        <v/>
      </c>
      <c r="AQ2172">
        <f>IF($E2172="","",IF($AA2172="Yes",1,0))</f>
        <v/>
      </c>
      <c r="AR2172">
        <f>IF($AN2172=1,IFERROR(VALUE(MID($E2172,2,20)),1000000000)+ROW()/100000,"")</f>
        <v/>
      </c>
    </row>
    <row r="2173">
      <c r="G2173" s="11" t="n"/>
      <c r="Q2173" s="7">
        <f>IF($E2173="","",P2173*Y2173/100)</f>
        <v/>
      </c>
      <c r="R2173" s="7" t="n"/>
      <c r="X2173" s="7" t="n"/>
      <c r="Y2173" s="7" t="n"/>
      <c r="AB2173">
        <f>IF($E2173="","",IF($AQ2173=1,0,IF($AP2173=1,Settings!$C$6,Settings!$C$7))*100)</f>
        <v/>
      </c>
      <c r="AC2173" s="7">
        <f>IF($E2173="","",Y2173*AB2173/100)</f>
        <v/>
      </c>
      <c r="AD2173" s="7">
        <f>IF($E2173="","",Y2173-AC2173)</f>
        <v/>
      </c>
      <c r="AE2173" s="7">
        <f>IF($E2173="","",AD2173-Q2173)</f>
        <v/>
      </c>
      <c r="AI2173" s="7" t="n"/>
      <c r="AL2173" s="11" t="n"/>
      <c r="AN2173">
        <f>IF($E2173="","",IF(COUNTIF($E$2:$E2173,$E2173)=1,1,0))</f>
        <v/>
      </c>
      <c r="AO2173">
        <f>IF($AN2173=1,SUMPRODUCT(--($AR$2:$AR$4001&lt;$AR2173))+1,"")</f>
        <v/>
      </c>
      <c r="AP2173">
        <f>IF($E2173="","",IF(OR($U2173=TRUE(),$U2173="TRUE"),1,0))</f>
        <v/>
      </c>
      <c r="AQ2173">
        <f>IF($E2173="","",IF($AA2173="Yes",1,0))</f>
        <v/>
      </c>
      <c r="AR2173">
        <f>IF($AN2173=1,IFERROR(VALUE(MID($E2173,2,20)),1000000000)+ROW()/100000,"")</f>
        <v/>
      </c>
    </row>
    <row r="2174">
      <c r="G2174" s="11" t="n"/>
      <c r="Q2174" s="7">
        <f>IF($E2174="","",P2174*Y2174/100)</f>
        <v/>
      </c>
      <c r="R2174" s="7" t="n"/>
      <c r="X2174" s="7" t="n"/>
      <c r="Y2174" s="7" t="n"/>
      <c r="AB2174">
        <f>IF($E2174="","",IF($AQ2174=1,0,IF($AP2174=1,Settings!$C$6,Settings!$C$7))*100)</f>
        <v/>
      </c>
      <c r="AC2174" s="7">
        <f>IF($E2174="","",Y2174*AB2174/100)</f>
        <v/>
      </c>
      <c r="AD2174" s="7">
        <f>IF($E2174="","",Y2174-AC2174)</f>
        <v/>
      </c>
      <c r="AE2174" s="7">
        <f>IF($E2174="","",AD2174-Q2174)</f>
        <v/>
      </c>
      <c r="AI2174" s="7" t="n"/>
      <c r="AL2174" s="11" t="n"/>
      <c r="AN2174">
        <f>IF($E2174="","",IF(COUNTIF($E$2:$E2174,$E2174)=1,1,0))</f>
        <v/>
      </c>
      <c r="AO2174">
        <f>IF($AN2174=1,SUMPRODUCT(--($AR$2:$AR$4001&lt;$AR2174))+1,"")</f>
        <v/>
      </c>
      <c r="AP2174">
        <f>IF($E2174="","",IF(OR($U2174=TRUE(),$U2174="TRUE"),1,0))</f>
        <v/>
      </c>
      <c r="AQ2174">
        <f>IF($E2174="","",IF($AA2174="Yes",1,0))</f>
        <v/>
      </c>
      <c r="AR2174">
        <f>IF($AN2174=1,IFERROR(VALUE(MID($E2174,2,20)),1000000000)+ROW()/100000,"")</f>
        <v/>
      </c>
    </row>
    <row r="2175">
      <c r="G2175" s="11" t="n"/>
      <c r="Q2175" s="7">
        <f>IF($E2175="","",P2175*Y2175/100)</f>
        <v/>
      </c>
      <c r="R2175" s="7" t="n"/>
      <c r="X2175" s="7" t="n"/>
      <c r="Y2175" s="7" t="n"/>
      <c r="AB2175">
        <f>IF($E2175="","",IF($AQ2175=1,0,IF($AP2175=1,Settings!$C$6,Settings!$C$7))*100)</f>
        <v/>
      </c>
      <c r="AC2175" s="7">
        <f>IF($E2175="","",Y2175*AB2175/100)</f>
        <v/>
      </c>
      <c r="AD2175" s="7">
        <f>IF($E2175="","",Y2175-AC2175)</f>
        <v/>
      </c>
      <c r="AE2175" s="7">
        <f>IF($E2175="","",AD2175-Q2175)</f>
        <v/>
      </c>
      <c r="AI2175" s="7" t="n"/>
      <c r="AL2175" s="11" t="n"/>
      <c r="AN2175">
        <f>IF($E2175="","",IF(COUNTIF($E$2:$E2175,$E2175)=1,1,0))</f>
        <v/>
      </c>
      <c r="AO2175">
        <f>IF($AN2175=1,SUMPRODUCT(--($AR$2:$AR$4001&lt;$AR2175))+1,"")</f>
        <v/>
      </c>
      <c r="AP2175">
        <f>IF($E2175="","",IF(OR($U2175=TRUE(),$U2175="TRUE"),1,0))</f>
        <v/>
      </c>
      <c r="AQ2175">
        <f>IF($E2175="","",IF($AA2175="Yes",1,0))</f>
        <v/>
      </c>
      <c r="AR2175">
        <f>IF($AN2175=1,IFERROR(VALUE(MID($E2175,2,20)),1000000000)+ROW()/100000,"")</f>
        <v/>
      </c>
    </row>
    <row r="2176">
      <c r="G2176" s="11" t="n"/>
      <c r="Q2176" s="7">
        <f>IF($E2176="","",P2176*Y2176/100)</f>
        <v/>
      </c>
      <c r="R2176" s="7" t="n"/>
      <c r="X2176" s="7" t="n"/>
      <c r="Y2176" s="7" t="n"/>
      <c r="AB2176">
        <f>IF($E2176="","",IF($AQ2176=1,0,IF($AP2176=1,Settings!$C$6,Settings!$C$7))*100)</f>
        <v/>
      </c>
      <c r="AC2176" s="7">
        <f>IF($E2176="","",Y2176*AB2176/100)</f>
        <v/>
      </c>
      <c r="AD2176" s="7">
        <f>IF($E2176="","",Y2176-AC2176)</f>
        <v/>
      </c>
      <c r="AE2176" s="7">
        <f>IF($E2176="","",AD2176-Q2176)</f>
        <v/>
      </c>
      <c r="AI2176" s="7" t="n"/>
      <c r="AL2176" s="11" t="n"/>
      <c r="AN2176">
        <f>IF($E2176="","",IF(COUNTIF($E$2:$E2176,$E2176)=1,1,0))</f>
        <v/>
      </c>
      <c r="AO2176">
        <f>IF($AN2176=1,SUMPRODUCT(--($AR$2:$AR$4001&lt;$AR2176))+1,"")</f>
        <v/>
      </c>
      <c r="AP2176">
        <f>IF($E2176="","",IF(OR($U2176=TRUE(),$U2176="TRUE"),1,0))</f>
        <v/>
      </c>
      <c r="AQ2176">
        <f>IF($E2176="","",IF($AA2176="Yes",1,0))</f>
        <v/>
      </c>
      <c r="AR2176">
        <f>IF($AN2176=1,IFERROR(VALUE(MID($E2176,2,20)),1000000000)+ROW()/100000,"")</f>
        <v/>
      </c>
    </row>
    <row r="2177">
      <c r="G2177" s="11" t="n"/>
      <c r="Q2177" s="7">
        <f>IF($E2177="","",P2177*Y2177/100)</f>
        <v/>
      </c>
      <c r="R2177" s="7" t="n"/>
      <c r="X2177" s="7" t="n"/>
      <c r="Y2177" s="7" t="n"/>
      <c r="AB2177">
        <f>IF($E2177="","",IF($AQ2177=1,0,IF($AP2177=1,Settings!$C$6,Settings!$C$7))*100)</f>
        <v/>
      </c>
      <c r="AC2177" s="7">
        <f>IF($E2177="","",Y2177*AB2177/100)</f>
        <v/>
      </c>
      <c r="AD2177" s="7">
        <f>IF($E2177="","",Y2177-AC2177)</f>
        <v/>
      </c>
      <c r="AE2177" s="7">
        <f>IF($E2177="","",AD2177-Q2177)</f>
        <v/>
      </c>
      <c r="AI2177" s="7" t="n"/>
      <c r="AL2177" s="11" t="n"/>
      <c r="AN2177">
        <f>IF($E2177="","",IF(COUNTIF($E$2:$E2177,$E2177)=1,1,0))</f>
        <v/>
      </c>
      <c r="AO2177">
        <f>IF($AN2177=1,SUMPRODUCT(--($AR$2:$AR$4001&lt;$AR2177))+1,"")</f>
        <v/>
      </c>
      <c r="AP2177">
        <f>IF($E2177="","",IF(OR($U2177=TRUE(),$U2177="TRUE"),1,0))</f>
        <v/>
      </c>
      <c r="AQ2177">
        <f>IF($E2177="","",IF($AA2177="Yes",1,0))</f>
        <v/>
      </c>
      <c r="AR2177">
        <f>IF($AN2177=1,IFERROR(VALUE(MID($E2177,2,20)),1000000000)+ROW()/100000,"")</f>
        <v/>
      </c>
    </row>
    <row r="2178">
      <c r="G2178" s="11" t="n"/>
      <c r="Q2178" s="7">
        <f>IF($E2178="","",P2178*Y2178/100)</f>
        <v/>
      </c>
      <c r="R2178" s="7" t="n"/>
      <c r="X2178" s="7" t="n"/>
      <c r="Y2178" s="7" t="n"/>
      <c r="AB2178">
        <f>IF($E2178="","",IF($AQ2178=1,0,IF($AP2178=1,Settings!$C$6,Settings!$C$7))*100)</f>
        <v/>
      </c>
      <c r="AC2178" s="7">
        <f>IF($E2178="","",Y2178*AB2178/100)</f>
        <v/>
      </c>
      <c r="AD2178" s="7">
        <f>IF($E2178="","",Y2178-AC2178)</f>
        <v/>
      </c>
      <c r="AE2178" s="7">
        <f>IF($E2178="","",AD2178-Q2178)</f>
        <v/>
      </c>
      <c r="AI2178" s="7" t="n"/>
      <c r="AL2178" s="11" t="n"/>
      <c r="AN2178">
        <f>IF($E2178="","",IF(COUNTIF($E$2:$E2178,$E2178)=1,1,0))</f>
        <v/>
      </c>
      <c r="AO2178">
        <f>IF($AN2178=1,SUMPRODUCT(--($AR$2:$AR$4001&lt;$AR2178))+1,"")</f>
        <v/>
      </c>
      <c r="AP2178">
        <f>IF($E2178="","",IF(OR($U2178=TRUE(),$U2178="TRUE"),1,0))</f>
        <v/>
      </c>
      <c r="AQ2178">
        <f>IF($E2178="","",IF($AA2178="Yes",1,0))</f>
        <v/>
      </c>
      <c r="AR2178">
        <f>IF($AN2178=1,IFERROR(VALUE(MID($E2178,2,20)),1000000000)+ROW()/100000,"")</f>
        <v/>
      </c>
    </row>
    <row r="2179">
      <c r="G2179" s="11" t="n"/>
      <c r="Q2179" s="7">
        <f>IF($E2179="","",P2179*Y2179/100)</f>
        <v/>
      </c>
      <c r="R2179" s="7" t="n"/>
      <c r="X2179" s="7" t="n"/>
      <c r="Y2179" s="7" t="n"/>
      <c r="AB2179">
        <f>IF($E2179="","",IF($AQ2179=1,0,IF($AP2179=1,Settings!$C$6,Settings!$C$7))*100)</f>
        <v/>
      </c>
      <c r="AC2179" s="7">
        <f>IF($E2179="","",Y2179*AB2179/100)</f>
        <v/>
      </c>
      <c r="AD2179" s="7">
        <f>IF($E2179="","",Y2179-AC2179)</f>
        <v/>
      </c>
      <c r="AE2179" s="7">
        <f>IF($E2179="","",AD2179-Q2179)</f>
        <v/>
      </c>
      <c r="AI2179" s="7" t="n"/>
      <c r="AL2179" s="11" t="n"/>
      <c r="AN2179">
        <f>IF($E2179="","",IF(COUNTIF($E$2:$E2179,$E2179)=1,1,0))</f>
        <v/>
      </c>
      <c r="AO2179">
        <f>IF($AN2179=1,SUMPRODUCT(--($AR$2:$AR$4001&lt;$AR2179))+1,"")</f>
        <v/>
      </c>
      <c r="AP2179">
        <f>IF($E2179="","",IF(OR($U2179=TRUE(),$U2179="TRUE"),1,0))</f>
        <v/>
      </c>
      <c r="AQ2179">
        <f>IF($E2179="","",IF($AA2179="Yes",1,0))</f>
        <v/>
      </c>
      <c r="AR2179">
        <f>IF($AN2179=1,IFERROR(VALUE(MID($E2179,2,20)),1000000000)+ROW()/100000,"")</f>
        <v/>
      </c>
    </row>
    <row r="2180">
      <c r="G2180" s="11" t="n"/>
      <c r="Q2180" s="7">
        <f>IF($E2180="","",P2180*Y2180/100)</f>
        <v/>
      </c>
      <c r="R2180" s="7" t="n"/>
      <c r="X2180" s="7" t="n"/>
      <c r="Y2180" s="7" t="n"/>
      <c r="AB2180">
        <f>IF($E2180="","",IF($AQ2180=1,0,IF($AP2180=1,Settings!$C$6,Settings!$C$7))*100)</f>
        <v/>
      </c>
      <c r="AC2180" s="7">
        <f>IF($E2180="","",Y2180*AB2180/100)</f>
        <v/>
      </c>
      <c r="AD2180" s="7">
        <f>IF($E2180="","",Y2180-AC2180)</f>
        <v/>
      </c>
      <c r="AE2180" s="7">
        <f>IF($E2180="","",AD2180-Q2180)</f>
        <v/>
      </c>
      <c r="AI2180" s="7" t="n"/>
      <c r="AL2180" s="11" t="n"/>
      <c r="AN2180">
        <f>IF($E2180="","",IF(COUNTIF($E$2:$E2180,$E2180)=1,1,0))</f>
        <v/>
      </c>
      <c r="AO2180">
        <f>IF($AN2180=1,SUMPRODUCT(--($AR$2:$AR$4001&lt;$AR2180))+1,"")</f>
        <v/>
      </c>
      <c r="AP2180">
        <f>IF($E2180="","",IF(OR($U2180=TRUE(),$U2180="TRUE"),1,0))</f>
        <v/>
      </c>
      <c r="AQ2180">
        <f>IF($E2180="","",IF($AA2180="Yes",1,0))</f>
        <v/>
      </c>
      <c r="AR2180">
        <f>IF($AN2180=1,IFERROR(VALUE(MID($E2180,2,20)),1000000000)+ROW()/100000,"")</f>
        <v/>
      </c>
    </row>
    <row r="2181">
      <c r="G2181" s="11" t="n"/>
      <c r="Q2181" s="7">
        <f>IF($E2181="","",P2181*Y2181/100)</f>
        <v/>
      </c>
      <c r="R2181" s="7" t="n"/>
      <c r="X2181" s="7" t="n"/>
      <c r="Y2181" s="7" t="n"/>
      <c r="AB2181">
        <f>IF($E2181="","",IF($AQ2181=1,0,IF($AP2181=1,Settings!$C$6,Settings!$C$7))*100)</f>
        <v/>
      </c>
      <c r="AC2181" s="7">
        <f>IF($E2181="","",Y2181*AB2181/100)</f>
        <v/>
      </c>
      <c r="AD2181" s="7">
        <f>IF($E2181="","",Y2181-AC2181)</f>
        <v/>
      </c>
      <c r="AE2181" s="7">
        <f>IF($E2181="","",AD2181-Q2181)</f>
        <v/>
      </c>
      <c r="AI2181" s="7" t="n"/>
      <c r="AL2181" s="11" t="n"/>
      <c r="AN2181">
        <f>IF($E2181="","",IF(COUNTIF($E$2:$E2181,$E2181)=1,1,0))</f>
        <v/>
      </c>
      <c r="AO2181">
        <f>IF($AN2181=1,SUMPRODUCT(--($AR$2:$AR$4001&lt;$AR2181))+1,"")</f>
        <v/>
      </c>
      <c r="AP2181">
        <f>IF($E2181="","",IF(OR($U2181=TRUE(),$U2181="TRUE"),1,0))</f>
        <v/>
      </c>
      <c r="AQ2181">
        <f>IF($E2181="","",IF($AA2181="Yes",1,0))</f>
        <v/>
      </c>
      <c r="AR2181">
        <f>IF($AN2181=1,IFERROR(VALUE(MID($E2181,2,20)),1000000000)+ROW()/100000,"")</f>
        <v/>
      </c>
    </row>
    <row r="2182">
      <c r="G2182" s="11" t="n"/>
      <c r="Q2182" s="7">
        <f>IF($E2182="","",P2182*Y2182/100)</f>
        <v/>
      </c>
      <c r="R2182" s="7" t="n"/>
      <c r="X2182" s="7" t="n"/>
      <c r="Y2182" s="7" t="n"/>
      <c r="AB2182">
        <f>IF($E2182="","",IF($AQ2182=1,0,IF($AP2182=1,Settings!$C$6,Settings!$C$7))*100)</f>
        <v/>
      </c>
      <c r="AC2182" s="7">
        <f>IF($E2182="","",Y2182*AB2182/100)</f>
        <v/>
      </c>
      <c r="AD2182" s="7">
        <f>IF($E2182="","",Y2182-AC2182)</f>
        <v/>
      </c>
      <c r="AE2182" s="7">
        <f>IF($E2182="","",AD2182-Q2182)</f>
        <v/>
      </c>
      <c r="AI2182" s="7" t="n"/>
      <c r="AL2182" s="11" t="n"/>
      <c r="AN2182">
        <f>IF($E2182="","",IF(COUNTIF($E$2:$E2182,$E2182)=1,1,0))</f>
        <v/>
      </c>
      <c r="AO2182">
        <f>IF($AN2182=1,SUMPRODUCT(--($AR$2:$AR$4001&lt;$AR2182))+1,"")</f>
        <v/>
      </c>
      <c r="AP2182">
        <f>IF($E2182="","",IF(OR($U2182=TRUE(),$U2182="TRUE"),1,0))</f>
        <v/>
      </c>
      <c r="AQ2182">
        <f>IF($E2182="","",IF($AA2182="Yes",1,0))</f>
        <v/>
      </c>
      <c r="AR2182">
        <f>IF($AN2182=1,IFERROR(VALUE(MID($E2182,2,20)),1000000000)+ROW()/100000,"")</f>
        <v/>
      </c>
    </row>
    <row r="2183">
      <c r="G2183" s="11" t="n"/>
      <c r="Q2183" s="7">
        <f>IF($E2183="","",P2183*Y2183/100)</f>
        <v/>
      </c>
      <c r="R2183" s="7" t="n"/>
      <c r="X2183" s="7" t="n"/>
      <c r="Y2183" s="7" t="n"/>
      <c r="AB2183">
        <f>IF($E2183="","",IF($AQ2183=1,0,IF($AP2183=1,Settings!$C$6,Settings!$C$7))*100)</f>
        <v/>
      </c>
      <c r="AC2183" s="7">
        <f>IF($E2183="","",Y2183*AB2183/100)</f>
        <v/>
      </c>
      <c r="AD2183" s="7">
        <f>IF($E2183="","",Y2183-AC2183)</f>
        <v/>
      </c>
      <c r="AE2183" s="7">
        <f>IF($E2183="","",AD2183-Q2183)</f>
        <v/>
      </c>
      <c r="AI2183" s="7" t="n"/>
      <c r="AL2183" s="11" t="n"/>
      <c r="AN2183">
        <f>IF($E2183="","",IF(COUNTIF($E$2:$E2183,$E2183)=1,1,0))</f>
        <v/>
      </c>
      <c r="AO2183">
        <f>IF($AN2183=1,SUMPRODUCT(--($AR$2:$AR$4001&lt;$AR2183))+1,"")</f>
        <v/>
      </c>
      <c r="AP2183">
        <f>IF($E2183="","",IF(OR($U2183=TRUE(),$U2183="TRUE"),1,0))</f>
        <v/>
      </c>
      <c r="AQ2183">
        <f>IF($E2183="","",IF($AA2183="Yes",1,0))</f>
        <v/>
      </c>
      <c r="AR2183">
        <f>IF($AN2183=1,IFERROR(VALUE(MID($E2183,2,20)),1000000000)+ROW()/100000,"")</f>
        <v/>
      </c>
    </row>
    <row r="2184">
      <c r="G2184" s="11" t="n"/>
      <c r="Q2184" s="7">
        <f>IF($E2184="","",P2184*Y2184/100)</f>
        <v/>
      </c>
      <c r="R2184" s="7" t="n"/>
      <c r="X2184" s="7" t="n"/>
      <c r="Y2184" s="7" t="n"/>
      <c r="AB2184">
        <f>IF($E2184="","",IF($AQ2184=1,0,IF($AP2184=1,Settings!$C$6,Settings!$C$7))*100)</f>
        <v/>
      </c>
      <c r="AC2184" s="7">
        <f>IF($E2184="","",Y2184*AB2184/100)</f>
        <v/>
      </c>
      <c r="AD2184" s="7">
        <f>IF($E2184="","",Y2184-AC2184)</f>
        <v/>
      </c>
      <c r="AE2184" s="7">
        <f>IF($E2184="","",AD2184-Q2184)</f>
        <v/>
      </c>
      <c r="AI2184" s="7" t="n"/>
      <c r="AL2184" s="11" t="n"/>
      <c r="AN2184">
        <f>IF($E2184="","",IF(COUNTIF($E$2:$E2184,$E2184)=1,1,0))</f>
        <v/>
      </c>
      <c r="AO2184">
        <f>IF($AN2184=1,SUMPRODUCT(--($AR$2:$AR$4001&lt;$AR2184))+1,"")</f>
        <v/>
      </c>
      <c r="AP2184">
        <f>IF($E2184="","",IF(OR($U2184=TRUE(),$U2184="TRUE"),1,0))</f>
        <v/>
      </c>
      <c r="AQ2184">
        <f>IF($E2184="","",IF($AA2184="Yes",1,0))</f>
        <v/>
      </c>
      <c r="AR2184">
        <f>IF($AN2184=1,IFERROR(VALUE(MID($E2184,2,20)),1000000000)+ROW()/100000,"")</f>
        <v/>
      </c>
    </row>
    <row r="2185">
      <c r="G2185" s="11" t="n"/>
      <c r="Q2185" s="7">
        <f>IF($E2185="","",P2185*Y2185/100)</f>
        <v/>
      </c>
      <c r="R2185" s="7" t="n"/>
      <c r="X2185" s="7" t="n"/>
      <c r="Y2185" s="7" t="n"/>
      <c r="AB2185">
        <f>IF($E2185="","",IF($AQ2185=1,0,IF($AP2185=1,Settings!$C$6,Settings!$C$7))*100)</f>
        <v/>
      </c>
      <c r="AC2185" s="7">
        <f>IF($E2185="","",Y2185*AB2185/100)</f>
        <v/>
      </c>
      <c r="AD2185" s="7">
        <f>IF($E2185="","",Y2185-AC2185)</f>
        <v/>
      </c>
      <c r="AE2185" s="7">
        <f>IF($E2185="","",AD2185-Q2185)</f>
        <v/>
      </c>
      <c r="AI2185" s="7" t="n"/>
      <c r="AL2185" s="11" t="n"/>
      <c r="AN2185">
        <f>IF($E2185="","",IF(COUNTIF($E$2:$E2185,$E2185)=1,1,0))</f>
        <v/>
      </c>
      <c r="AO2185">
        <f>IF($AN2185=1,SUMPRODUCT(--($AR$2:$AR$4001&lt;$AR2185))+1,"")</f>
        <v/>
      </c>
      <c r="AP2185">
        <f>IF($E2185="","",IF(OR($U2185=TRUE(),$U2185="TRUE"),1,0))</f>
        <v/>
      </c>
      <c r="AQ2185">
        <f>IF($E2185="","",IF($AA2185="Yes",1,0))</f>
        <v/>
      </c>
      <c r="AR2185">
        <f>IF($AN2185=1,IFERROR(VALUE(MID($E2185,2,20)),1000000000)+ROW()/100000,"")</f>
        <v/>
      </c>
    </row>
    <row r="2186">
      <c r="G2186" s="11" t="n"/>
      <c r="Q2186" s="7">
        <f>IF($E2186="","",P2186*Y2186/100)</f>
        <v/>
      </c>
      <c r="R2186" s="7" t="n"/>
      <c r="X2186" s="7" t="n"/>
      <c r="Y2186" s="7" t="n"/>
      <c r="AB2186">
        <f>IF($E2186="","",IF($AQ2186=1,0,IF($AP2186=1,Settings!$C$6,Settings!$C$7))*100)</f>
        <v/>
      </c>
      <c r="AC2186" s="7">
        <f>IF($E2186="","",Y2186*AB2186/100)</f>
        <v/>
      </c>
      <c r="AD2186" s="7">
        <f>IF($E2186="","",Y2186-AC2186)</f>
        <v/>
      </c>
      <c r="AE2186" s="7">
        <f>IF($E2186="","",AD2186-Q2186)</f>
        <v/>
      </c>
      <c r="AI2186" s="7" t="n"/>
      <c r="AL2186" s="11" t="n"/>
      <c r="AN2186">
        <f>IF($E2186="","",IF(COUNTIF($E$2:$E2186,$E2186)=1,1,0))</f>
        <v/>
      </c>
      <c r="AO2186">
        <f>IF($AN2186=1,SUMPRODUCT(--($AR$2:$AR$4001&lt;$AR2186))+1,"")</f>
        <v/>
      </c>
      <c r="AP2186">
        <f>IF($E2186="","",IF(OR($U2186=TRUE(),$U2186="TRUE"),1,0))</f>
        <v/>
      </c>
      <c r="AQ2186">
        <f>IF($E2186="","",IF($AA2186="Yes",1,0))</f>
        <v/>
      </c>
      <c r="AR2186">
        <f>IF($AN2186=1,IFERROR(VALUE(MID($E2186,2,20)),1000000000)+ROW()/100000,"")</f>
        <v/>
      </c>
    </row>
    <row r="2187">
      <c r="G2187" s="11" t="n"/>
      <c r="Q2187" s="7">
        <f>IF($E2187="","",P2187*Y2187/100)</f>
        <v/>
      </c>
      <c r="R2187" s="7" t="n"/>
      <c r="X2187" s="7" t="n"/>
      <c r="Y2187" s="7" t="n"/>
      <c r="AB2187">
        <f>IF($E2187="","",IF($AQ2187=1,0,IF($AP2187=1,Settings!$C$6,Settings!$C$7))*100)</f>
        <v/>
      </c>
      <c r="AC2187" s="7">
        <f>IF($E2187="","",Y2187*AB2187/100)</f>
        <v/>
      </c>
      <c r="AD2187" s="7">
        <f>IF($E2187="","",Y2187-AC2187)</f>
        <v/>
      </c>
      <c r="AE2187" s="7">
        <f>IF($E2187="","",AD2187-Q2187)</f>
        <v/>
      </c>
      <c r="AI2187" s="7" t="n"/>
      <c r="AL2187" s="11" t="n"/>
      <c r="AN2187">
        <f>IF($E2187="","",IF(COUNTIF($E$2:$E2187,$E2187)=1,1,0))</f>
        <v/>
      </c>
      <c r="AO2187">
        <f>IF($AN2187=1,SUMPRODUCT(--($AR$2:$AR$4001&lt;$AR2187))+1,"")</f>
        <v/>
      </c>
      <c r="AP2187">
        <f>IF($E2187="","",IF(OR($U2187=TRUE(),$U2187="TRUE"),1,0))</f>
        <v/>
      </c>
      <c r="AQ2187">
        <f>IF($E2187="","",IF($AA2187="Yes",1,0))</f>
        <v/>
      </c>
      <c r="AR2187">
        <f>IF($AN2187=1,IFERROR(VALUE(MID($E2187,2,20)),1000000000)+ROW()/100000,"")</f>
        <v/>
      </c>
    </row>
    <row r="2188">
      <c r="G2188" s="11" t="n"/>
      <c r="Q2188" s="7">
        <f>IF($E2188="","",P2188*Y2188/100)</f>
        <v/>
      </c>
      <c r="R2188" s="7" t="n"/>
      <c r="X2188" s="7" t="n"/>
      <c r="Y2188" s="7" t="n"/>
      <c r="AB2188">
        <f>IF($E2188="","",IF($AQ2188=1,0,IF($AP2188=1,Settings!$C$6,Settings!$C$7))*100)</f>
        <v/>
      </c>
      <c r="AC2188" s="7">
        <f>IF($E2188="","",Y2188*AB2188/100)</f>
        <v/>
      </c>
      <c r="AD2188" s="7">
        <f>IF($E2188="","",Y2188-AC2188)</f>
        <v/>
      </c>
      <c r="AE2188" s="7">
        <f>IF($E2188="","",AD2188-Q2188)</f>
        <v/>
      </c>
      <c r="AI2188" s="7" t="n"/>
      <c r="AL2188" s="11" t="n"/>
      <c r="AN2188">
        <f>IF($E2188="","",IF(COUNTIF($E$2:$E2188,$E2188)=1,1,0))</f>
        <v/>
      </c>
      <c r="AO2188">
        <f>IF($AN2188=1,SUMPRODUCT(--($AR$2:$AR$4001&lt;$AR2188))+1,"")</f>
        <v/>
      </c>
      <c r="AP2188">
        <f>IF($E2188="","",IF(OR($U2188=TRUE(),$U2188="TRUE"),1,0))</f>
        <v/>
      </c>
      <c r="AQ2188">
        <f>IF($E2188="","",IF($AA2188="Yes",1,0))</f>
        <v/>
      </c>
      <c r="AR2188">
        <f>IF($AN2188=1,IFERROR(VALUE(MID($E2188,2,20)),1000000000)+ROW()/100000,"")</f>
        <v/>
      </c>
    </row>
    <row r="2189">
      <c r="G2189" s="11" t="n"/>
      <c r="Q2189" s="7">
        <f>IF($E2189="","",P2189*Y2189/100)</f>
        <v/>
      </c>
      <c r="R2189" s="7" t="n"/>
      <c r="X2189" s="7" t="n"/>
      <c r="Y2189" s="7" t="n"/>
      <c r="AB2189">
        <f>IF($E2189="","",IF($AQ2189=1,0,IF($AP2189=1,Settings!$C$6,Settings!$C$7))*100)</f>
        <v/>
      </c>
      <c r="AC2189" s="7">
        <f>IF($E2189="","",Y2189*AB2189/100)</f>
        <v/>
      </c>
      <c r="AD2189" s="7">
        <f>IF($E2189="","",Y2189-AC2189)</f>
        <v/>
      </c>
      <c r="AE2189" s="7">
        <f>IF($E2189="","",AD2189-Q2189)</f>
        <v/>
      </c>
      <c r="AI2189" s="7" t="n"/>
      <c r="AL2189" s="11" t="n"/>
      <c r="AN2189">
        <f>IF($E2189="","",IF(COUNTIF($E$2:$E2189,$E2189)=1,1,0))</f>
        <v/>
      </c>
      <c r="AO2189">
        <f>IF($AN2189=1,SUMPRODUCT(--($AR$2:$AR$4001&lt;$AR2189))+1,"")</f>
        <v/>
      </c>
      <c r="AP2189">
        <f>IF($E2189="","",IF(OR($U2189=TRUE(),$U2189="TRUE"),1,0))</f>
        <v/>
      </c>
      <c r="AQ2189">
        <f>IF($E2189="","",IF($AA2189="Yes",1,0))</f>
        <v/>
      </c>
      <c r="AR2189">
        <f>IF($AN2189=1,IFERROR(VALUE(MID($E2189,2,20)),1000000000)+ROW()/100000,"")</f>
        <v/>
      </c>
    </row>
    <row r="2190">
      <c r="G2190" s="11" t="n"/>
      <c r="Q2190" s="7">
        <f>IF($E2190="","",P2190*Y2190/100)</f>
        <v/>
      </c>
      <c r="R2190" s="7" t="n"/>
      <c r="X2190" s="7" t="n"/>
      <c r="Y2190" s="7" t="n"/>
      <c r="AB2190">
        <f>IF($E2190="","",IF($AQ2190=1,0,IF($AP2190=1,Settings!$C$6,Settings!$C$7))*100)</f>
        <v/>
      </c>
      <c r="AC2190" s="7">
        <f>IF($E2190="","",Y2190*AB2190/100)</f>
        <v/>
      </c>
      <c r="AD2190" s="7">
        <f>IF($E2190="","",Y2190-AC2190)</f>
        <v/>
      </c>
      <c r="AE2190" s="7">
        <f>IF($E2190="","",AD2190-Q2190)</f>
        <v/>
      </c>
      <c r="AI2190" s="7" t="n"/>
      <c r="AL2190" s="11" t="n"/>
      <c r="AN2190">
        <f>IF($E2190="","",IF(COUNTIF($E$2:$E2190,$E2190)=1,1,0))</f>
        <v/>
      </c>
      <c r="AO2190">
        <f>IF($AN2190=1,SUMPRODUCT(--($AR$2:$AR$4001&lt;$AR2190))+1,"")</f>
        <v/>
      </c>
      <c r="AP2190">
        <f>IF($E2190="","",IF(OR($U2190=TRUE(),$U2190="TRUE"),1,0))</f>
        <v/>
      </c>
      <c r="AQ2190">
        <f>IF($E2190="","",IF($AA2190="Yes",1,0))</f>
        <v/>
      </c>
      <c r="AR2190">
        <f>IF($AN2190=1,IFERROR(VALUE(MID($E2190,2,20)),1000000000)+ROW()/100000,"")</f>
        <v/>
      </c>
    </row>
    <row r="2191">
      <c r="G2191" s="11" t="n"/>
      <c r="Q2191" s="7">
        <f>IF($E2191="","",P2191*Y2191/100)</f>
        <v/>
      </c>
      <c r="R2191" s="7" t="n"/>
      <c r="X2191" s="7" t="n"/>
      <c r="Y2191" s="7" t="n"/>
      <c r="AB2191">
        <f>IF($E2191="","",IF($AQ2191=1,0,IF($AP2191=1,Settings!$C$6,Settings!$C$7))*100)</f>
        <v/>
      </c>
      <c r="AC2191" s="7">
        <f>IF($E2191="","",Y2191*AB2191/100)</f>
        <v/>
      </c>
      <c r="AD2191" s="7">
        <f>IF($E2191="","",Y2191-AC2191)</f>
        <v/>
      </c>
      <c r="AE2191" s="7">
        <f>IF($E2191="","",AD2191-Q2191)</f>
        <v/>
      </c>
      <c r="AI2191" s="7" t="n"/>
      <c r="AL2191" s="11" t="n"/>
      <c r="AN2191">
        <f>IF($E2191="","",IF(COUNTIF($E$2:$E2191,$E2191)=1,1,0))</f>
        <v/>
      </c>
      <c r="AO2191">
        <f>IF($AN2191=1,SUMPRODUCT(--($AR$2:$AR$4001&lt;$AR2191))+1,"")</f>
        <v/>
      </c>
      <c r="AP2191">
        <f>IF($E2191="","",IF(OR($U2191=TRUE(),$U2191="TRUE"),1,0))</f>
        <v/>
      </c>
      <c r="AQ2191">
        <f>IF($E2191="","",IF($AA2191="Yes",1,0))</f>
        <v/>
      </c>
      <c r="AR2191">
        <f>IF($AN2191=1,IFERROR(VALUE(MID($E2191,2,20)),1000000000)+ROW()/100000,"")</f>
        <v/>
      </c>
    </row>
    <row r="2192">
      <c r="G2192" s="11" t="n"/>
      <c r="Q2192" s="7">
        <f>IF($E2192="","",P2192*Y2192/100)</f>
        <v/>
      </c>
      <c r="R2192" s="7" t="n"/>
      <c r="X2192" s="7" t="n"/>
      <c r="Y2192" s="7" t="n"/>
      <c r="AB2192">
        <f>IF($E2192="","",IF($AQ2192=1,0,IF($AP2192=1,Settings!$C$6,Settings!$C$7))*100)</f>
        <v/>
      </c>
      <c r="AC2192" s="7">
        <f>IF($E2192="","",Y2192*AB2192/100)</f>
        <v/>
      </c>
      <c r="AD2192" s="7">
        <f>IF($E2192="","",Y2192-AC2192)</f>
        <v/>
      </c>
      <c r="AE2192" s="7">
        <f>IF($E2192="","",AD2192-Q2192)</f>
        <v/>
      </c>
      <c r="AI2192" s="7" t="n"/>
      <c r="AL2192" s="11" t="n"/>
      <c r="AN2192">
        <f>IF($E2192="","",IF(COUNTIF($E$2:$E2192,$E2192)=1,1,0))</f>
        <v/>
      </c>
      <c r="AO2192">
        <f>IF($AN2192=1,SUMPRODUCT(--($AR$2:$AR$4001&lt;$AR2192))+1,"")</f>
        <v/>
      </c>
      <c r="AP2192">
        <f>IF($E2192="","",IF(OR($U2192=TRUE(),$U2192="TRUE"),1,0))</f>
        <v/>
      </c>
      <c r="AQ2192">
        <f>IF($E2192="","",IF($AA2192="Yes",1,0))</f>
        <v/>
      </c>
      <c r="AR2192">
        <f>IF($AN2192=1,IFERROR(VALUE(MID($E2192,2,20)),1000000000)+ROW()/100000,"")</f>
        <v/>
      </c>
    </row>
    <row r="2193">
      <c r="G2193" s="11" t="n"/>
      <c r="Q2193" s="7">
        <f>IF($E2193="","",P2193*Y2193/100)</f>
        <v/>
      </c>
      <c r="R2193" s="7" t="n"/>
      <c r="X2193" s="7" t="n"/>
      <c r="Y2193" s="7" t="n"/>
      <c r="AB2193">
        <f>IF($E2193="","",IF($AQ2193=1,0,IF($AP2193=1,Settings!$C$6,Settings!$C$7))*100)</f>
        <v/>
      </c>
      <c r="AC2193" s="7">
        <f>IF($E2193="","",Y2193*AB2193/100)</f>
        <v/>
      </c>
      <c r="AD2193" s="7">
        <f>IF($E2193="","",Y2193-AC2193)</f>
        <v/>
      </c>
      <c r="AE2193" s="7">
        <f>IF($E2193="","",AD2193-Q2193)</f>
        <v/>
      </c>
      <c r="AI2193" s="7" t="n"/>
      <c r="AL2193" s="11" t="n"/>
      <c r="AN2193">
        <f>IF($E2193="","",IF(COUNTIF($E$2:$E2193,$E2193)=1,1,0))</f>
        <v/>
      </c>
      <c r="AO2193">
        <f>IF($AN2193=1,SUMPRODUCT(--($AR$2:$AR$4001&lt;$AR2193))+1,"")</f>
        <v/>
      </c>
      <c r="AP2193">
        <f>IF($E2193="","",IF(OR($U2193=TRUE(),$U2193="TRUE"),1,0))</f>
        <v/>
      </c>
      <c r="AQ2193">
        <f>IF($E2193="","",IF($AA2193="Yes",1,0))</f>
        <v/>
      </c>
      <c r="AR2193">
        <f>IF($AN2193=1,IFERROR(VALUE(MID($E2193,2,20)),1000000000)+ROW()/100000,"")</f>
        <v/>
      </c>
    </row>
    <row r="2194">
      <c r="G2194" s="11" t="n"/>
      <c r="Q2194" s="7">
        <f>IF($E2194="","",P2194*Y2194/100)</f>
        <v/>
      </c>
      <c r="R2194" s="7" t="n"/>
      <c r="X2194" s="7" t="n"/>
      <c r="Y2194" s="7" t="n"/>
      <c r="AB2194">
        <f>IF($E2194="","",IF($AQ2194=1,0,IF($AP2194=1,Settings!$C$6,Settings!$C$7))*100)</f>
        <v/>
      </c>
      <c r="AC2194" s="7">
        <f>IF($E2194="","",Y2194*AB2194/100)</f>
        <v/>
      </c>
      <c r="AD2194" s="7">
        <f>IF($E2194="","",Y2194-AC2194)</f>
        <v/>
      </c>
      <c r="AE2194" s="7">
        <f>IF($E2194="","",AD2194-Q2194)</f>
        <v/>
      </c>
      <c r="AI2194" s="7" t="n"/>
      <c r="AL2194" s="11" t="n"/>
      <c r="AN2194">
        <f>IF($E2194="","",IF(COUNTIF($E$2:$E2194,$E2194)=1,1,0))</f>
        <v/>
      </c>
      <c r="AO2194">
        <f>IF($AN2194=1,SUMPRODUCT(--($AR$2:$AR$4001&lt;$AR2194))+1,"")</f>
        <v/>
      </c>
      <c r="AP2194">
        <f>IF($E2194="","",IF(OR($U2194=TRUE(),$U2194="TRUE"),1,0))</f>
        <v/>
      </c>
      <c r="AQ2194">
        <f>IF($E2194="","",IF($AA2194="Yes",1,0))</f>
        <v/>
      </c>
      <c r="AR2194">
        <f>IF($AN2194=1,IFERROR(VALUE(MID($E2194,2,20)),1000000000)+ROW()/100000,"")</f>
        <v/>
      </c>
    </row>
    <row r="2195">
      <c r="G2195" s="11" t="n"/>
      <c r="Q2195" s="7">
        <f>IF($E2195="","",P2195*Y2195/100)</f>
        <v/>
      </c>
      <c r="R2195" s="7" t="n"/>
      <c r="X2195" s="7" t="n"/>
      <c r="Y2195" s="7" t="n"/>
      <c r="AB2195">
        <f>IF($E2195="","",IF($AQ2195=1,0,IF($AP2195=1,Settings!$C$6,Settings!$C$7))*100)</f>
        <v/>
      </c>
      <c r="AC2195" s="7">
        <f>IF($E2195="","",Y2195*AB2195/100)</f>
        <v/>
      </c>
      <c r="AD2195" s="7">
        <f>IF($E2195="","",Y2195-AC2195)</f>
        <v/>
      </c>
      <c r="AE2195" s="7">
        <f>IF($E2195="","",AD2195-Q2195)</f>
        <v/>
      </c>
      <c r="AI2195" s="7" t="n"/>
      <c r="AL2195" s="11" t="n"/>
      <c r="AN2195">
        <f>IF($E2195="","",IF(COUNTIF($E$2:$E2195,$E2195)=1,1,0))</f>
        <v/>
      </c>
      <c r="AO2195">
        <f>IF($AN2195=1,SUMPRODUCT(--($AR$2:$AR$4001&lt;$AR2195))+1,"")</f>
        <v/>
      </c>
      <c r="AP2195">
        <f>IF($E2195="","",IF(OR($U2195=TRUE(),$U2195="TRUE"),1,0))</f>
        <v/>
      </c>
      <c r="AQ2195">
        <f>IF($E2195="","",IF($AA2195="Yes",1,0))</f>
        <v/>
      </c>
      <c r="AR2195">
        <f>IF($AN2195=1,IFERROR(VALUE(MID($E2195,2,20)),1000000000)+ROW()/100000,"")</f>
        <v/>
      </c>
    </row>
    <row r="2196">
      <c r="G2196" s="11" t="n"/>
      <c r="Q2196" s="7">
        <f>IF($E2196="","",P2196*Y2196/100)</f>
        <v/>
      </c>
      <c r="R2196" s="7" t="n"/>
      <c r="X2196" s="7" t="n"/>
      <c r="Y2196" s="7" t="n"/>
      <c r="AB2196">
        <f>IF($E2196="","",IF($AQ2196=1,0,IF($AP2196=1,Settings!$C$6,Settings!$C$7))*100)</f>
        <v/>
      </c>
      <c r="AC2196" s="7">
        <f>IF($E2196="","",Y2196*AB2196/100)</f>
        <v/>
      </c>
      <c r="AD2196" s="7">
        <f>IF($E2196="","",Y2196-AC2196)</f>
        <v/>
      </c>
      <c r="AE2196" s="7">
        <f>IF($E2196="","",AD2196-Q2196)</f>
        <v/>
      </c>
      <c r="AI2196" s="7" t="n"/>
      <c r="AL2196" s="11" t="n"/>
      <c r="AN2196">
        <f>IF($E2196="","",IF(COUNTIF($E$2:$E2196,$E2196)=1,1,0))</f>
        <v/>
      </c>
      <c r="AO2196">
        <f>IF($AN2196=1,SUMPRODUCT(--($AR$2:$AR$4001&lt;$AR2196))+1,"")</f>
        <v/>
      </c>
      <c r="AP2196">
        <f>IF($E2196="","",IF(OR($U2196=TRUE(),$U2196="TRUE"),1,0))</f>
        <v/>
      </c>
      <c r="AQ2196">
        <f>IF($E2196="","",IF($AA2196="Yes",1,0))</f>
        <v/>
      </c>
      <c r="AR2196">
        <f>IF($AN2196=1,IFERROR(VALUE(MID($E2196,2,20)),1000000000)+ROW()/100000,"")</f>
        <v/>
      </c>
    </row>
    <row r="2197">
      <c r="G2197" s="11" t="n"/>
      <c r="Q2197" s="7">
        <f>IF($E2197="","",P2197*Y2197/100)</f>
        <v/>
      </c>
      <c r="R2197" s="7" t="n"/>
      <c r="X2197" s="7" t="n"/>
      <c r="Y2197" s="7" t="n"/>
      <c r="AB2197">
        <f>IF($E2197="","",IF($AQ2197=1,0,IF($AP2197=1,Settings!$C$6,Settings!$C$7))*100)</f>
        <v/>
      </c>
      <c r="AC2197" s="7">
        <f>IF($E2197="","",Y2197*AB2197/100)</f>
        <v/>
      </c>
      <c r="AD2197" s="7">
        <f>IF($E2197="","",Y2197-AC2197)</f>
        <v/>
      </c>
      <c r="AE2197" s="7">
        <f>IF($E2197="","",AD2197-Q2197)</f>
        <v/>
      </c>
      <c r="AI2197" s="7" t="n"/>
      <c r="AL2197" s="11" t="n"/>
      <c r="AN2197">
        <f>IF($E2197="","",IF(COUNTIF($E$2:$E2197,$E2197)=1,1,0))</f>
        <v/>
      </c>
      <c r="AO2197">
        <f>IF($AN2197=1,SUMPRODUCT(--($AR$2:$AR$4001&lt;$AR2197))+1,"")</f>
        <v/>
      </c>
      <c r="AP2197">
        <f>IF($E2197="","",IF(OR($U2197=TRUE(),$U2197="TRUE"),1,0))</f>
        <v/>
      </c>
      <c r="AQ2197">
        <f>IF($E2197="","",IF($AA2197="Yes",1,0))</f>
        <v/>
      </c>
      <c r="AR2197">
        <f>IF($AN2197=1,IFERROR(VALUE(MID($E2197,2,20)),1000000000)+ROW()/100000,"")</f>
        <v/>
      </c>
    </row>
    <row r="2198">
      <c r="G2198" s="11" t="n"/>
      <c r="Q2198" s="7">
        <f>IF($E2198="","",P2198*Y2198/100)</f>
        <v/>
      </c>
      <c r="R2198" s="7" t="n"/>
      <c r="X2198" s="7" t="n"/>
      <c r="Y2198" s="7" t="n"/>
      <c r="AB2198">
        <f>IF($E2198="","",IF($AQ2198=1,0,IF($AP2198=1,Settings!$C$6,Settings!$C$7))*100)</f>
        <v/>
      </c>
      <c r="AC2198" s="7">
        <f>IF($E2198="","",Y2198*AB2198/100)</f>
        <v/>
      </c>
      <c r="AD2198" s="7">
        <f>IF($E2198="","",Y2198-AC2198)</f>
        <v/>
      </c>
      <c r="AE2198" s="7">
        <f>IF($E2198="","",AD2198-Q2198)</f>
        <v/>
      </c>
      <c r="AI2198" s="7" t="n"/>
      <c r="AL2198" s="11" t="n"/>
      <c r="AN2198">
        <f>IF($E2198="","",IF(COUNTIF($E$2:$E2198,$E2198)=1,1,0))</f>
        <v/>
      </c>
      <c r="AO2198">
        <f>IF($AN2198=1,SUMPRODUCT(--($AR$2:$AR$4001&lt;$AR2198))+1,"")</f>
        <v/>
      </c>
      <c r="AP2198">
        <f>IF($E2198="","",IF(OR($U2198=TRUE(),$U2198="TRUE"),1,0))</f>
        <v/>
      </c>
      <c r="AQ2198">
        <f>IF($E2198="","",IF($AA2198="Yes",1,0))</f>
        <v/>
      </c>
      <c r="AR2198">
        <f>IF($AN2198=1,IFERROR(VALUE(MID($E2198,2,20)),1000000000)+ROW()/100000,"")</f>
        <v/>
      </c>
    </row>
    <row r="2199">
      <c r="G2199" s="11" t="n"/>
      <c r="Q2199" s="7">
        <f>IF($E2199="","",P2199*Y2199/100)</f>
        <v/>
      </c>
      <c r="R2199" s="7" t="n"/>
      <c r="X2199" s="7" t="n"/>
      <c r="Y2199" s="7" t="n"/>
      <c r="AB2199">
        <f>IF($E2199="","",IF($AQ2199=1,0,IF($AP2199=1,Settings!$C$6,Settings!$C$7))*100)</f>
        <v/>
      </c>
      <c r="AC2199" s="7">
        <f>IF($E2199="","",Y2199*AB2199/100)</f>
        <v/>
      </c>
      <c r="AD2199" s="7">
        <f>IF($E2199="","",Y2199-AC2199)</f>
        <v/>
      </c>
      <c r="AE2199" s="7">
        <f>IF($E2199="","",AD2199-Q2199)</f>
        <v/>
      </c>
      <c r="AI2199" s="7" t="n"/>
      <c r="AL2199" s="11" t="n"/>
      <c r="AN2199">
        <f>IF($E2199="","",IF(COUNTIF($E$2:$E2199,$E2199)=1,1,0))</f>
        <v/>
      </c>
      <c r="AO2199">
        <f>IF($AN2199=1,SUMPRODUCT(--($AR$2:$AR$4001&lt;$AR2199))+1,"")</f>
        <v/>
      </c>
      <c r="AP2199">
        <f>IF($E2199="","",IF(OR($U2199=TRUE(),$U2199="TRUE"),1,0))</f>
        <v/>
      </c>
      <c r="AQ2199">
        <f>IF($E2199="","",IF($AA2199="Yes",1,0))</f>
        <v/>
      </c>
      <c r="AR2199">
        <f>IF($AN2199=1,IFERROR(VALUE(MID($E2199,2,20)),1000000000)+ROW()/100000,"")</f>
        <v/>
      </c>
    </row>
    <row r="2200">
      <c r="G2200" s="11" t="n"/>
      <c r="Q2200" s="7">
        <f>IF($E2200="","",P2200*Y2200/100)</f>
        <v/>
      </c>
      <c r="R2200" s="7" t="n"/>
      <c r="X2200" s="7" t="n"/>
      <c r="Y2200" s="7" t="n"/>
      <c r="AB2200">
        <f>IF($E2200="","",IF($AQ2200=1,0,IF($AP2200=1,Settings!$C$6,Settings!$C$7))*100)</f>
        <v/>
      </c>
      <c r="AC2200" s="7">
        <f>IF($E2200="","",Y2200*AB2200/100)</f>
        <v/>
      </c>
      <c r="AD2200" s="7">
        <f>IF($E2200="","",Y2200-AC2200)</f>
        <v/>
      </c>
      <c r="AE2200" s="7">
        <f>IF($E2200="","",AD2200-Q2200)</f>
        <v/>
      </c>
      <c r="AI2200" s="7" t="n"/>
      <c r="AL2200" s="11" t="n"/>
      <c r="AN2200">
        <f>IF($E2200="","",IF(COUNTIF($E$2:$E2200,$E2200)=1,1,0))</f>
        <v/>
      </c>
      <c r="AO2200">
        <f>IF($AN2200=1,SUMPRODUCT(--($AR$2:$AR$4001&lt;$AR2200))+1,"")</f>
        <v/>
      </c>
      <c r="AP2200">
        <f>IF($E2200="","",IF(OR($U2200=TRUE(),$U2200="TRUE"),1,0))</f>
        <v/>
      </c>
      <c r="AQ2200">
        <f>IF($E2200="","",IF($AA2200="Yes",1,0))</f>
        <v/>
      </c>
      <c r="AR2200">
        <f>IF($AN2200=1,IFERROR(VALUE(MID($E2200,2,20)),1000000000)+ROW()/100000,"")</f>
        <v/>
      </c>
    </row>
    <row r="2201">
      <c r="G2201" s="11" t="n"/>
      <c r="Q2201" s="7">
        <f>IF($E2201="","",P2201*Y2201/100)</f>
        <v/>
      </c>
      <c r="R2201" s="7" t="n"/>
      <c r="X2201" s="7" t="n"/>
      <c r="Y2201" s="7" t="n"/>
      <c r="AB2201">
        <f>IF($E2201="","",IF($AQ2201=1,0,IF($AP2201=1,Settings!$C$6,Settings!$C$7))*100)</f>
        <v/>
      </c>
      <c r="AC2201" s="7">
        <f>IF($E2201="","",Y2201*AB2201/100)</f>
        <v/>
      </c>
      <c r="AD2201" s="7">
        <f>IF($E2201="","",Y2201-AC2201)</f>
        <v/>
      </c>
      <c r="AE2201" s="7">
        <f>IF($E2201="","",AD2201-Q2201)</f>
        <v/>
      </c>
      <c r="AI2201" s="7" t="n"/>
      <c r="AL2201" s="11" t="n"/>
      <c r="AN2201">
        <f>IF($E2201="","",IF(COUNTIF($E$2:$E2201,$E2201)=1,1,0))</f>
        <v/>
      </c>
      <c r="AO2201">
        <f>IF($AN2201=1,SUMPRODUCT(--($AR$2:$AR$4001&lt;$AR2201))+1,"")</f>
        <v/>
      </c>
      <c r="AP2201">
        <f>IF($E2201="","",IF(OR($U2201=TRUE(),$U2201="TRUE"),1,0))</f>
        <v/>
      </c>
      <c r="AQ2201">
        <f>IF($E2201="","",IF($AA2201="Yes",1,0))</f>
        <v/>
      </c>
      <c r="AR2201">
        <f>IF($AN2201=1,IFERROR(VALUE(MID($E2201,2,20)),1000000000)+ROW()/100000,"")</f>
        <v/>
      </c>
    </row>
    <row r="2202">
      <c r="G2202" s="11" t="n"/>
      <c r="Q2202" s="7">
        <f>IF($E2202="","",P2202*Y2202/100)</f>
        <v/>
      </c>
      <c r="R2202" s="7" t="n"/>
      <c r="X2202" s="7" t="n"/>
      <c r="Y2202" s="7" t="n"/>
      <c r="AB2202">
        <f>IF($E2202="","",IF($AQ2202=1,0,IF($AP2202=1,Settings!$C$6,Settings!$C$7))*100)</f>
        <v/>
      </c>
      <c r="AC2202" s="7">
        <f>IF($E2202="","",Y2202*AB2202/100)</f>
        <v/>
      </c>
      <c r="AD2202" s="7">
        <f>IF($E2202="","",Y2202-AC2202)</f>
        <v/>
      </c>
      <c r="AE2202" s="7">
        <f>IF($E2202="","",AD2202-Q2202)</f>
        <v/>
      </c>
      <c r="AI2202" s="7" t="n"/>
      <c r="AL2202" s="11" t="n"/>
      <c r="AN2202">
        <f>IF($E2202="","",IF(COUNTIF($E$2:$E2202,$E2202)=1,1,0))</f>
        <v/>
      </c>
      <c r="AO2202">
        <f>IF($AN2202=1,SUMPRODUCT(--($AR$2:$AR$4001&lt;$AR2202))+1,"")</f>
        <v/>
      </c>
      <c r="AP2202">
        <f>IF($E2202="","",IF(OR($U2202=TRUE(),$U2202="TRUE"),1,0))</f>
        <v/>
      </c>
      <c r="AQ2202">
        <f>IF($E2202="","",IF($AA2202="Yes",1,0))</f>
        <v/>
      </c>
      <c r="AR2202">
        <f>IF($AN2202=1,IFERROR(VALUE(MID($E2202,2,20)),1000000000)+ROW()/100000,"")</f>
        <v/>
      </c>
    </row>
    <row r="2203">
      <c r="G2203" s="11" t="n"/>
      <c r="Q2203" s="7">
        <f>IF($E2203="","",P2203*Y2203/100)</f>
        <v/>
      </c>
      <c r="R2203" s="7" t="n"/>
      <c r="X2203" s="7" t="n"/>
      <c r="Y2203" s="7" t="n"/>
      <c r="AB2203">
        <f>IF($E2203="","",IF($AQ2203=1,0,IF($AP2203=1,Settings!$C$6,Settings!$C$7))*100)</f>
        <v/>
      </c>
      <c r="AC2203" s="7">
        <f>IF($E2203="","",Y2203*AB2203/100)</f>
        <v/>
      </c>
      <c r="AD2203" s="7">
        <f>IF($E2203="","",Y2203-AC2203)</f>
        <v/>
      </c>
      <c r="AE2203" s="7">
        <f>IF($E2203="","",AD2203-Q2203)</f>
        <v/>
      </c>
      <c r="AI2203" s="7" t="n"/>
      <c r="AL2203" s="11" t="n"/>
      <c r="AN2203">
        <f>IF($E2203="","",IF(COUNTIF($E$2:$E2203,$E2203)=1,1,0))</f>
        <v/>
      </c>
      <c r="AO2203">
        <f>IF($AN2203=1,SUMPRODUCT(--($AR$2:$AR$4001&lt;$AR2203))+1,"")</f>
        <v/>
      </c>
      <c r="AP2203">
        <f>IF($E2203="","",IF(OR($U2203=TRUE(),$U2203="TRUE"),1,0))</f>
        <v/>
      </c>
      <c r="AQ2203">
        <f>IF($E2203="","",IF($AA2203="Yes",1,0))</f>
        <v/>
      </c>
      <c r="AR2203">
        <f>IF($AN2203=1,IFERROR(VALUE(MID($E2203,2,20)),1000000000)+ROW()/100000,"")</f>
        <v/>
      </c>
    </row>
    <row r="2204">
      <c r="G2204" s="11" t="n"/>
      <c r="Q2204" s="7">
        <f>IF($E2204="","",P2204*Y2204/100)</f>
        <v/>
      </c>
      <c r="R2204" s="7" t="n"/>
      <c r="X2204" s="7" t="n"/>
      <c r="Y2204" s="7" t="n"/>
      <c r="AB2204">
        <f>IF($E2204="","",IF($AQ2204=1,0,IF($AP2204=1,Settings!$C$6,Settings!$C$7))*100)</f>
        <v/>
      </c>
      <c r="AC2204" s="7">
        <f>IF($E2204="","",Y2204*AB2204/100)</f>
        <v/>
      </c>
      <c r="AD2204" s="7">
        <f>IF($E2204="","",Y2204-AC2204)</f>
        <v/>
      </c>
      <c r="AE2204" s="7">
        <f>IF($E2204="","",AD2204-Q2204)</f>
        <v/>
      </c>
      <c r="AI2204" s="7" t="n"/>
      <c r="AL2204" s="11" t="n"/>
      <c r="AN2204">
        <f>IF($E2204="","",IF(COUNTIF($E$2:$E2204,$E2204)=1,1,0))</f>
        <v/>
      </c>
      <c r="AO2204">
        <f>IF($AN2204=1,SUMPRODUCT(--($AR$2:$AR$4001&lt;$AR2204))+1,"")</f>
        <v/>
      </c>
      <c r="AP2204">
        <f>IF($E2204="","",IF(OR($U2204=TRUE(),$U2204="TRUE"),1,0))</f>
        <v/>
      </c>
      <c r="AQ2204">
        <f>IF($E2204="","",IF($AA2204="Yes",1,0))</f>
        <v/>
      </c>
      <c r="AR2204">
        <f>IF($AN2204=1,IFERROR(VALUE(MID($E2204,2,20)),1000000000)+ROW()/100000,"")</f>
        <v/>
      </c>
    </row>
    <row r="2205">
      <c r="G2205" s="11" t="n"/>
      <c r="Q2205" s="7">
        <f>IF($E2205="","",P2205*Y2205/100)</f>
        <v/>
      </c>
      <c r="R2205" s="7" t="n"/>
      <c r="X2205" s="7" t="n"/>
      <c r="Y2205" s="7" t="n"/>
      <c r="AB2205">
        <f>IF($E2205="","",IF($AQ2205=1,0,IF($AP2205=1,Settings!$C$6,Settings!$C$7))*100)</f>
        <v/>
      </c>
      <c r="AC2205" s="7">
        <f>IF($E2205="","",Y2205*AB2205/100)</f>
        <v/>
      </c>
      <c r="AD2205" s="7">
        <f>IF($E2205="","",Y2205-AC2205)</f>
        <v/>
      </c>
      <c r="AE2205" s="7">
        <f>IF($E2205="","",AD2205-Q2205)</f>
        <v/>
      </c>
      <c r="AI2205" s="7" t="n"/>
      <c r="AL2205" s="11" t="n"/>
      <c r="AN2205">
        <f>IF($E2205="","",IF(COUNTIF($E$2:$E2205,$E2205)=1,1,0))</f>
        <v/>
      </c>
      <c r="AO2205">
        <f>IF($AN2205=1,SUMPRODUCT(--($AR$2:$AR$4001&lt;$AR2205))+1,"")</f>
        <v/>
      </c>
      <c r="AP2205">
        <f>IF($E2205="","",IF(OR($U2205=TRUE(),$U2205="TRUE"),1,0))</f>
        <v/>
      </c>
      <c r="AQ2205">
        <f>IF($E2205="","",IF($AA2205="Yes",1,0))</f>
        <v/>
      </c>
      <c r="AR2205">
        <f>IF($AN2205=1,IFERROR(VALUE(MID($E2205,2,20)),1000000000)+ROW()/100000,"")</f>
        <v/>
      </c>
    </row>
    <row r="2206">
      <c r="G2206" s="11" t="n"/>
      <c r="Q2206" s="7">
        <f>IF($E2206="","",P2206*Y2206/100)</f>
        <v/>
      </c>
      <c r="R2206" s="7" t="n"/>
      <c r="X2206" s="7" t="n"/>
      <c r="Y2206" s="7" t="n"/>
      <c r="AB2206">
        <f>IF($E2206="","",IF($AQ2206=1,0,IF($AP2206=1,Settings!$C$6,Settings!$C$7))*100)</f>
        <v/>
      </c>
      <c r="AC2206" s="7">
        <f>IF($E2206="","",Y2206*AB2206/100)</f>
        <v/>
      </c>
      <c r="AD2206" s="7">
        <f>IF($E2206="","",Y2206-AC2206)</f>
        <v/>
      </c>
      <c r="AE2206" s="7">
        <f>IF($E2206="","",AD2206-Q2206)</f>
        <v/>
      </c>
      <c r="AI2206" s="7" t="n"/>
      <c r="AL2206" s="11" t="n"/>
      <c r="AN2206">
        <f>IF($E2206="","",IF(COUNTIF($E$2:$E2206,$E2206)=1,1,0))</f>
        <v/>
      </c>
      <c r="AO2206">
        <f>IF($AN2206=1,SUMPRODUCT(--($AR$2:$AR$4001&lt;$AR2206))+1,"")</f>
        <v/>
      </c>
      <c r="AP2206">
        <f>IF($E2206="","",IF(OR($U2206=TRUE(),$U2206="TRUE"),1,0))</f>
        <v/>
      </c>
      <c r="AQ2206">
        <f>IF($E2206="","",IF($AA2206="Yes",1,0))</f>
        <v/>
      </c>
      <c r="AR2206">
        <f>IF($AN2206=1,IFERROR(VALUE(MID($E2206,2,20)),1000000000)+ROW()/100000,"")</f>
        <v/>
      </c>
    </row>
    <row r="2207">
      <c r="G2207" s="11" t="n"/>
      <c r="Q2207" s="7">
        <f>IF($E2207="","",P2207*Y2207/100)</f>
        <v/>
      </c>
      <c r="R2207" s="7" t="n"/>
      <c r="X2207" s="7" t="n"/>
      <c r="Y2207" s="7" t="n"/>
      <c r="AB2207">
        <f>IF($E2207="","",IF($AQ2207=1,0,IF($AP2207=1,Settings!$C$6,Settings!$C$7))*100)</f>
        <v/>
      </c>
      <c r="AC2207" s="7">
        <f>IF($E2207="","",Y2207*AB2207/100)</f>
        <v/>
      </c>
      <c r="AD2207" s="7">
        <f>IF($E2207="","",Y2207-AC2207)</f>
        <v/>
      </c>
      <c r="AE2207" s="7">
        <f>IF($E2207="","",AD2207-Q2207)</f>
        <v/>
      </c>
      <c r="AI2207" s="7" t="n"/>
      <c r="AL2207" s="11" t="n"/>
      <c r="AN2207">
        <f>IF($E2207="","",IF(COUNTIF($E$2:$E2207,$E2207)=1,1,0))</f>
        <v/>
      </c>
      <c r="AO2207">
        <f>IF($AN2207=1,SUMPRODUCT(--($AR$2:$AR$4001&lt;$AR2207))+1,"")</f>
        <v/>
      </c>
      <c r="AP2207">
        <f>IF($E2207="","",IF(OR($U2207=TRUE(),$U2207="TRUE"),1,0))</f>
        <v/>
      </c>
      <c r="AQ2207">
        <f>IF($E2207="","",IF($AA2207="Yes",1,0))</f>
        <v/>
      </c>
      <c r="AR2207">
        <f>IF($AN2207=1,IFERROR(VALUE(MID($E2207,2,20)),1000000000)+ROW()/100000,"")</f>
        <v/>
      </c>
    </row>
    <row r="2208">
      <c r="G2208" s="11" t="n"/>
      <c r="Q2208" s="7">
        <f>IF($E2208="","",P2208*Y2208/100)</f>
        <v/>
      </c>
      <c r="R2208" s="7" t="n"/>
      <c r="X2208" s="7" t="n"/>
      <c r="Y2208" s="7" t="n"/>
      <c r="AB2208">
        <f>IF($E2208="","",IF($AQ2208=1,0,IF($AP2208=1,Settings!$C$6,Settings!$C$7))*100)</f>
        <v/>
      </c>
      <c r="AC2208" s="7">
        <f>IF($E2208="","",Y2208*AB2208/100)</f>
        <v/>
      </c>
      <c r="AD2208" s="7">
        <f>IF($E2208="","",Y2208-AC2208)</f>
        <v/>
      </c>
      <c r="AE2208" s="7">
        <f>IF($E2208="","",AD2208-Q2208)</f>
        <v/>
      </c>
      <c r="AI2208" s="7" t="n"/>
      <c r="AL2208" s="11" t="n"/>
      <c r="AN2208">
        <f>IF($E2208="","",IF(COUNTIF($E$2:$E2208,$E2208)=1,1,0))</f>
        <v/>
      </c>
      <c r="AO2208">
        <f>IF($AN2208=1,SUMPRODUCT(--($AR$2:$AR$4001&lt;$AR2208))+1,"")</f>
        <v/>
      </c>
      <c r="AP2208">
        <f>IF($E2208="","",IF(OR($U2208=TRUE(),$U2208="TRUE"),1,0))</f>
        <v/>
      </c>
      <c r="AQ2208">
        <f>IF($E2208="","",IF($AA2208="Yes",1,0))</f>
        <v/>
      </c>
      <c r="AR2208">
        <f>IF($AN2208=1,IFERROR(VALUE(MID($E2208,2,20)),1000000000)+ROW()/100000,"")</f>
        <v/>
      </c>
    </row>
    <row r="2209">
      <c r="G2209" s="11" t="n"/>
      <c r="Q2209" s="7">
        <f>IF($E2209="","",P2209*Y2209/100)</f>
        <v/>
      </c>
      <c r="R2209" s="7" t="n"/>
      <c r="X2209" s="7" t="n"/>
      <c r="Y2209" s="7" t="n"/>
      <c r="AB2209">
        <f>IF($E2209="","",IF($AQ2209=1,0,IF($AP2209=1,Settings!$C$6,Settings!$C$7))*100)</f>
        <v/>
      </c>
      <c r="AC2209" s="7">
        <f>IF($E2209="","",Y2209*AB2209/100)</f>
        <v/>
      </c>
      <c r="AD2209" s="7">
        <f>IF($E2209="","",Y2209-AC2209)</f>
        <v/>
      </c>
      <c r="AE2209" s="7">
        <f>IF($E2209="","",AD2209-Q2209)</f>
        <v/>
      </c>
      <c r="AI2209" s="7" t="n"/>
      <c r="AL2209" s="11" t="n"/>
      <c r="AN2209">
        <f>IF($E2209="","",IF(COUNTIF($E$2:$E2209,$E2209)=1,1,0))</f>
        <v/>
      </c>
      <c r="AO2209">
        <f>IF($AN2209=1,SUMPRODUCT(--($AR$2:$AR$4001&lt;$AR2209))+1,"")</f>
        <v/>
      </c>
      <c r="AP2209">
        <f>IF($E2209="","",IF(OR($U2209=TRUE(),$U2209="TRUE"),1,0))</f>
        <v/>
      </c>
      <c r="AQ2209">
        <f>IF($E2209="","",IF($AA2209="Yes",1,0))</f>
        <v/>
      </c>
      <c r="AR2209">
        <f>IF($AN2209=1,IFERROR(VALUE(MID($E2209,2,20)),1000000000)+ROW()/100000,"")</f>
        <v/>
      </c>
    </row>
    <row r="2210">
      <c r="G2210" s="11" t="n"/>
      <c r="Q2210" s="7">
        <f>IF($E2210="","",P2210*Y2210/100)</f>
        <v/>
      </c>
      <c r="R2210" s="7" t="n"/>
      <c r="X2210" s="7" t="n"/>
      <c r="Y2210" s="7" t="n"/>
      <c r="AB2210">
        <f>IF($E2210="","",IF($AQ2210=1,0,IF($AP2210=1,Settings!$C$6,Settings!$C$7))*100)</f>
        <v/>
      </c>
      <c r="AC2210" s="7">
        <f>IF($E2210="","",Y2210*AB2210/100)</f>
        <v/>
      </c>
      <c r="AD2210" s="7">
        <f>IF($E2210="","",Y2210-AC2210)</f>
        <v/>
      </c>
      <c r="AE2210" s="7">
        <f>IF($E2210="","",AD2210-Q2210)</f>
        <v/>
      </c>
      <c r="AI2210" s="7" t="n"/>
      <c r="AL2210" s="11" t="n"/>
      <c r="AN2210">
        <f>IF($E2210="","",IF(COUNTIF($E$2:$E2210,$E2210)=1,1,0))</f>
        <v/>
      </c>
      <c r="AO2210">
        <f>IF($AN2210=1,SUMPRODUCT(--($AR$2:$AR$4001&lt;$AR2210))+1,"")</f>
        <v/>
      </c>
      <c r="AP2210">
        <f>IF($E2210="","",IF(OR($U2210=TRUE(),$U2210="TRUE"),1,0))</f>
        <v/>
      </c>
      <c r="AQ2210">
        <f>IF($E2210="","",IF($AA2210="Yes",1,0))</f>
        <v/>
      </c>
      <c r="AR2210">
        <f>IF($AN2210=1,IFERROR(VALUE(MID($E2210,2,20)),1000000000)+ROW()/100000,"")</f>
        <v/>
      </c>
    </row>
    <row r="2211">
      <c r="G2211" s="11" t="n"/>
      <c r="Q2211" s="7">
        <f>IF($E2211="","",P2211*Y2211/100)</f>
        <v/>
      </c>
      <c r="R2211" s="7" t="n"/>
      <c r="X2211" s="7" t="n"/>
      <c r="Y2211" s="7" t="n"/>
      <c r="AB2211">
        <f>IF($E2211="","",IF($AQ2211=1,0,IF($AP2211=1,Settings!$C$6,Settings!$C$7))*100)</f>
        <v/>
      </c>
      <c r="AC2211" s="7">
        <f>IF($E2211="","",Y2211*AB2211/100)</f>
        <v/>
      </c>
      <c r="AD2211" s="7">
        <f>IF($E2211="","",Y2211-AC2211)</f>
        <v/>
      </c>
      <c r="AE2211" s="7">
        <f>IF($E2211="","",AD2211-Q2211)</f>
        <v/>
      </c>
      <c r="AI2211" s="7" t="n"/>
      <c r="AL2211" s="11" t="n"/>
      <c r="AN2211">
        <f>IF($E2211="","",IF(COUNTIF($E$2:$E2211,$E2211)=1,1,0))</f>
        <v/>
      </c>
      <c r="AO2211">
        <f>IF($AN2211=1,SUMPRODUCT(--($AR$2:$AR$4001&lt;$AR2211))+1,"")</f>
        <v/>
      </c>
      <c r="AP2211">
        <f>IF($E2211="","",IF(OR($U2211=TRUE(),$U2211="TRUE"),1,0))</f>
        <v/>
      </c>
      <c r="AQ2211">
        <f>IF($E2211="","",IF($AA2211="Yes",1,0))</f>
        <v/>
      </c>
      <c r="AR2211">
        <f>IF($AN2211=1,IFERROR(VALUE(MID($E2211,2,20)),1000000000)+ROW()/100000,"")</f>
        <v/>
      </c>
    </row>
    <row r="2212">
      <c r="G2212" s="11" t="n"/>
      <c r="Q2212" s="7">
        <f>IF($E2212="","",P2212*Y2212/100)</f>
        <v/>
      </c>
      <c r="R2212" s="7" t="n"/>
      <c r="X2212" s="7" t="n"/>
      <c r="Y2212" s="7" t="n"/>
      <c r="AB2212">
        <f>IF($E2212="","",IF($AQ2212=1,0,IF($AP2212=1,Settings!$C$6,Settings!$C$7))*100)</f>
        <v/>
      </c>
      <c r="AC2212" s="7">
        <f>IF($E2212="","",Y2212*AB2212/100)</f>
        <v/>
      </c>
      <c r="AD2212" s="7">
        <f>IF($E2212="","",Y2212-AC2212)</f>
        <v/>
      </c>
      <c r="AE2212" s="7">
        <f>IF($E2212="","",AD2212-Q2212)</f>
        <v/>
      </c>
      <c r="AI2212" s="7" t="n"/>
      <c r="AL2212" s="11" t="n"/>
      <c r="AN2212">
        <f>IF($E2212="","",IF(COUNTIF($E$2:$E2212,$E2212)=1,1,0))</f>
        <v/>
      </c>
      <c r="AO2212">
        <f>IF($AN2212=1,SUMPRODUCT(--($AR$2:$AR$4001&lt;$AR2212))+1,"")</f>
        <v/>
      </c>
      <c r="AP2212">
        <f>IF($E2212="","",IF(OR($U2212=TRUE(),$U2212="TRUE"),1,0))</f>
        <v/>
      </c>
      <c r="AQ2212">
        <f>IF($E2212="","",IF($AA2212="Yes",1,0))</f>
        <v/>
      </c>
      <c r="AR2212">
        <f>IF($AN2212=1,IFERROR(VALUE(MID($E2212,2,20)),1000000000)+ROW()/100000,"")</f>
        <v/>
      </c>
    </row>
    <row r="2213">
      <c r="G2213" s="11" t="n"/>
      <c r="Q2213" s="7">
        <f>IF($E2213="","",P2213*Y2213/100)</f>
        <v/>
      </c>
      <c r="R2213" s="7" t="n"/>
      <c r="X2213" s="7" t="n"/>
      <c r="Y2213" s="7" t="n"/>
      <c r="AB2213">
        <f>IF($E2213="","",IF($AQ2213=1,0,IF($AP2213=1,Settings!$C$6,Settings!$C$7))*100)</f>
        <v/>
      </c>
      <c r="AC2213" s="7">
        <f>IF($E2213="","",Y2213*AB2213/100)</f>
        <v/>
      </c>
      <c r="AD2213" s="7">
        <f>IF($E2213="","",Y2213-AC2213)</f>
        <v/>
      </c>
      <c r="AE2213" s="7">
        <f>IF($E2213="","",AD2213-Q2213)</f>
        <v/>
      </c>
      <c r="AI2213" s="7" t="n"/>
      <c r="AL2213" s="11" t="n"/>
      <c r="AN2213">
        <f>IF($E2213="","",IF(COUNTIF($E$2:$E2213,$E2213)=1,1,0))</f>
        <v/>
      </c>
      <c r="AO2213">
        <f>IF($AN2213=1,SUMPRODUCT(--($AR$2:$AR$4001&lt;$AR2213))+1,"")</f>
        <v/>
      </c>
      <c r="AP2213">
        <f>IF($E2213="","",IF(OR($U2213=TRUE(),$U2213="TRUE"),1,0))</f>
        <v/>
      </c>
      <c r="AQ2213">
        <f>IF($E2213="","",IF($AA2213="Yes",1,0))</f>
        <v/>
      </c>
      <c r="AR2213">
        <f>IF($AN2213=1,IFERROR(VALUE(MID($E2213,2,20)),1000000000)+ROW()/100000,"")</f>
        <v/>
      </c>
    </row>
    <row r="2214">
      <c r="G2214" s="11" t="n"/>
      <c r="Q2214" s="7">
        <f>IF($E2214="","",P2214*Y2214/100)</f>
        <v/>
      </c>
      <c r="R2214" s="7" t="n"/>
      <c r="X2214" s="7" t="n"/>
      <c r="Y2214" s="7" t="n"/>
      <c r="AB2214">
        <f>IF($E2214="","",IF($AQ2214=1,0,IF($AP2214=1,Settings!$C$6,Settings!$C$7))*100)</f>
        <v/>
      </c>
      <c r="AC2214" s="7">
        <f>IF($E2214="","",Y2214*AB2214/100)</f>
        <v/>
      </c>
      <c r="AD2214" s="7">
        <f>IF($E2214="","",Y2214-AC2214)</f>
        <v/>
      </c>
      <c r="AE2214" s="7">
        <f>IF($E2214="","",AD2214-Q2214)</f>
        <v/>
      </c>
      <c r="AI2214" s="7" t="n"/>
      <c r="AL2214" s="11" t="n"/>
      <c r="AN2214">
        <f>IF($E2214="","",IF(COUNTIF($E$2:$E2214,$E2214)=1,1,0))</f>
        <v/>
      </c>
      <c r="AO2214">
        <f>IF($AN2214=1,SUMPRODUCT(--($AR$2:$AR$4001&lt;$AR2214))+1,"")</f>
        <v/>
      </c>
      <c r="AP2214">
        <f>IF($E2214="","",IF(OR($U2214=TRUE(),$U2214="TRUE"),1,0))</f>
        <v/>
      </c>
      <c r="AQ2214">
        <f>IF($E2214="","",IF($AA2214="Yes",1,0))</f>
        <v/>
      </c>
      <c r="AR2214">
        <f>IF($AN2214=1,IFERROR(VALUE(MID($E2214,2,20)),1000000000)+ROW()/100000,"")</f>
        <v/>
      </c>
    </row>
    <row r="2215">
      <c r="G2215" s="11" t="n"/>
      <c r="Q2215" s="7">
        <f>IF($E2215="","",P2215*Y2215/100)</f>
        <v/>
      </c>
      <c r="R2215" s="7" t="n"/>
      <c r="X2215" s="7" t="n"/>
      <c r="Y2215" s="7" t="n"/>
      <c r="AB2215">
        <f>IF($E2215="","",IF($AQ2215=1,0,IF($AP2215=1,Settings!$C$6,Settings!$C$7))*100)</f>
        <v/>
      </c>
      <c r="AC2215" s="7">
        <f>IF($E2215="","",Y2215*AB2215/100)</f>
        <v/>
      </c>
      <c r="AD2215" s="7">
        <f>IF($E2215="","",Y2215-AC2215)</f>
        <v/>
      </c>
      <c r="AE2215" s="7">
        <f>IF($E2215="","",AD2215-Q2215)</f>
        <v/>
      </c>
      <c r="AI2215" s="7" t="n"/>
      <c r="AL2215" s="11" t="n"/>
      <c r="AN2215">
        <f>IF($E2215="","",IF(COUNTIF($E$2:$E2215,$E2215)=1,1,0))</f>
        <v/>
      </c>
      <c r="AO2215">
        <f>IF($AN2215=1,SUMPRODUCT(--($AR$2:$AR$4001&lt;$AR2215))+1,"")</f>
        <v/>
      </c>
      <c r="AP2215">
        <f>IF($E2215="","",IF(OR($U2215=TRUE(),$U2215="TRUE"),1,0))</f>
        <v/>
      </c>
      <c r="AQ2215">
        <f>IF($E2215="","",IF($AA2215="Yes",1,0))</f>
        <v/>
      </c>
      <c r="AR2215">
        <f>IF($AN2215=1,IFERROR(VALUE(MID($E2215,2,20)),1000000000)+ROW()/100000,"")</f>
        <v/>
      </c>
    </row>
    <row r="2216">
      <c r="G2216" s="11" t="n"/>
      <c r="Q2216" s="7">
        <f>IF($E2216="","",P2216*Y2216/100)</f>
        <v/>
      </c>
      <c r="R2216" s="7" t="n"/>
      <c r="X2216" s="7" t="n"/>
      <c r="Y2216" s="7" t="n"/>
      <c r="AB2216">
        <f>IF($E2216="","",IF($AQ2216=1,0,IF($AP2216=1,Settings!$C$6,Settings!$C$7))*100)</f>
        <v/>
      </c>
      <c r="AC2216" s="7">
        <f>IF($E2216="","",Y2216*AB2216/100)</f>
        <v/>
      </c>
      <c r="AD2216" s="7">
        <f>IF($E2216="","",Y2216-AC2216)</f>
        <v/>
      </c>
      <c r="AE2216" s="7">
        <f>IF($E2216="","",AD2216-Q2216)</f>
        <v/>
      </c>
      <c r="AI2216" s="7" t="n"/>
      <c r="AL2216" s="11" t="n"/>
      <c r="AN2216">
        <f>IF($E2216="","",IF(COUNTIF($E$2:$E2216,$E2216)=1,1,0))</f>
        <v/>
      </c>
      <c r="AO2216">
        <f>IF($AN2216=1,SUMPRODUCT(--($AR$2:$AR$4001&lt;$AR2216))+1,"")</f>
        <v/>
      </c>
      <c r="AP2216">
        <f>IF($E2216="","",IF(OR($U2216=TRUE(),$U2216="TRUE"),1,0))</f>
        <v/>
      </c>
      <c r="AQ2216">
        <f>IF($E2216="","",IF($AA2216="Yes",1,0))</f>
        <v/>
      </c>
      <c r="AR2216">
        <f>IF($AN2216=1,IFERROR(VALUE(MID($E2216,2,20)),1000000000)+ROW()/100000,"")</f>
        <v/>
      </c>
    </row>
    <row r="2217">
      <c r="G2217" s="11" t="n"/>
      <c r="Q2217" s="7">
        <f>IF($E2217="","",P2217*Y2217/100)</f>
        <v/>
      </c>
      <c r="R2217" s="7" t="n"/>
      <c r="X2217" s="7" t="n"/>
      <c r="Y2217" s="7" t="n"/>
      <c r="AB2217">
        <f>IF($E2217="","",IF($AQ2217=1,0,IF($AP2217=1,Settings!$C$6,Settings!$C$7))*100)</f>
        <v/>
      </c>
      <c r="AC2217" s="7">
        <f>IF($E2217="","",Y2217*AB2217/100)</f>
        <v/>
      </c>
      <c r="AD2217" s="7">
        <f>IF($E2217="","",Y2217-AC2217)</f>
        <v/>
      </c>
      <c r="AE2217" s="7">
        <f>IF($E2217="","",AD2217-Q2217)</f>
        <v/>
      </c>
      <c r="AI2217" s="7" t="n"/>
      <c r="AL2217" s="11" t="n"/>
      <c r="AN2217">
        <f>IF($E2217="","",IF(COUNTIF($E$2:$E2217,$E2217)=1,1,0))</f>
        <v/>
      </c>
      <c r="AO2217">
        <f>IF($AN2217=1,SUMPRODUCT(--($AR$2:$AR$4001&lt;$AR2217))+1,"")</f>
        <v/>
      </c>
      <c r="AP2217">
        <f>IF($E2217="","",IF(OR($U2217=TRUE(),$U2217="TRUE"),1,0))</f>
        <v/>
      </c>
      <c r="AQ2217">
        <f>IF($E2217="","",IF($AA2217="Yes",1,0))</f>
        <v/>
      </c>
      <c r="AR2217">
        <f>IF($AN2217=1,IFERROR(VALUE(MID($E2217,2,20)),1000000000)+ROW()/100000,"")</f>
        <v/>
      </c>
    </row>
    <row r="2218">
      <c r="G2218" s="11" t="n"/>
      <c r="Q2218" s="7">
        <f>IF($E2218="","",P2218*Y2218/100)</f>
        <v/>
      </c>
      <c r="R2218" s="7" t="n"/>
      <c r="X2218" s="7" t="n"/>
      <c r="Y2218" s="7" t="n"/>
      <c r="AB2218">
        <f>IF($E2218="","",IF($AQ2218=1,0,IF($AP2218=1,Settings!$C$6,Settings!$C$7))*100)</f>
        <v/>
      </c>
      <c r="AC2218" s="7">
        <f>IF($E2218="","",Y2218*AB2218/100)</f>
        <v/>
      </c>
      <c r="AD2218" s="7">
        <f>IF($E2218="","",Y2218-AC2218)</f>
        <v/>
      </c>
      <c r="AE2218" s="7">
        <f>IF($E2218="","",AD2218-Q2218)</f>
        <v/>
      </c>
      <c r="AI2218" s="7" t="n"/>
      <c r="AL2218" s="11" t="n"/>
      <c r="AN2218">
        <f>IF($E2218="","",IF(COUNTIF($E$2:$E2218,$E2218)=1,1,0))</f>
        <v/>
      </c>
      <c r="AO2218">
        <f>IF($AN2218=1,SUMPRODUCT(--($AR$2:$AR$4001&lt;$AR2218))+1,"")</f>
        <v/>
      </c>
      <c r="AP2218">
        <f>IF($E2218="","",IF(OR($U2218=TRUE(),$U2218="TRUE"),1,0))</f>
        <v/>
      </c>
      <c r="AQ2218">
        <f>IF($E2218="","",IF($AA2218="Yes",1,0))</f>
        <v/>
      </c>
      <c r="AR2218">
        <f>IF($AN2218=1,IFERROR(VALUE(MID($E2218,2,20)),1000000000)+ROW()/100000,"")</f>
        <v/>
      </c>
    </row>
    <row r="2219">
      <c r="G2219" s="11" t="n"/>
      <c r="Q2219" s="7">
        <f>IF($E2219="","",P2219*Y2219/100)</f>
        <v/>
      </c>
      <c r="R2219" s="7" t="n"/>
      <c r="X2219" s="7" t="n"/>
      <c r="Y2219" s="7" t="n"/>
      <c r="AB2219">
        <f>IF($E2219="","",IF($AQ2219=1,0,IF($AP2219=1,Settings!$C$6,Settings!$C$7))*100)</f>
        <v/>
      </c>
      <c r="AC2219" s="7">
        <f>IF($E2219="","",Y2219*AB2219/100)</f>
        <v/>
      </c>
      <c r="AD2219" s="7">
        <f>IF($E2219="","",Y2219-AC2219)</f>
        <v/>
      </c>
      <c r="AE2219" s="7">
        <f>IF($E2219="","",AD2219-Q2219)</f>
        <v/>
      </c>
      <c r="AI2219" s="7" t="n"/>
      <c r="AL2219" s="11" t="n"/>
      <c r="AN2219">
        <f>IF($E2219="","",IF(COUNTIF($E$2:$E2219,$E2219)=1,1,0))</f>
        <v/>
      </c>
      <c r="AO2219">
        <f>IF($AN2219=1,SUMPRODUCT(--($AR$2:$AR$4001&lt;$AR2219))+1,"")</f>
        <v/>
      </c>
      <c r="AP2219">
        <f>IF($E2219="","",IF(OR($U2219=TRUE(),$U2219="TRUE"),1,0))</f>
        <v/>
      </c>
      <c r="AQ2219">
        <f>IF($E2219="","",IF($AA2219="Yes",1,0))</f>
        <v/>
      </c>
      <c r="AR2219">
        <f>IF($AN2219=1,IFERROR(VALUE(MID($E2219,2,20)),1000000000)+ROW()/100000,"")</f>
        <v/>
      </c>
    </row>
    <row r="2220">
      <c r="G2220" s="11" t="n"/>
      <c r="Q2220" s="7">
        <f>IF($E2220="","",P2220*Y2220/100)</f>
        <v/>
      </c>
      <c r="R2220" s="7" t="n"/>
      <c r="X2220" s="7" t="n"/>
      <c r="Y2220" s="7" t="n"/>
      <c r="AB2220">
        <f>IF($E2220="","",IF($AQ2220=1,0,IF($AP2220=1,Settings!$C$6,Settings!$C$7))*100)</f>
        <v/>
      </c>
      <c r="AC2220" s="7">
        <f>IF($E2220="","",Y2220*AB2220/100)</f>
        <v/>
      </c>
      <c r="AD2220" s="7">
        <f>IF($E2220="","",Y2220-AC2220)</f>
        <v/>
      </c>
      <c r="AE2220" s="7">
        <f>IF($E2220="","",AD2220-Q2220)</f>
        <v/>
      </c>
      <c r="AI2220" s="7" t="n"/>
      <c r="AL2220" s="11" t="n"/>
      <c r="AN2220">
        <f>IF($E2220="","",IF(COUNTIF($E$2:$E2220,$E2220)=1,1,0))</f>
        <v/>
      </c>
      <c r="AO2220">
        <f>IF($AN2220=1,SUMPRODUCT(--($AR$2:$AR$4001&lt;$AR2220))+1,"")</f>
        <v/>
      </c>
      <c r="AP2220">
        <f>IF($E2220="","",IF(OR($U2220=TRUE(),$U2220="TRUE"),1,0))</f>
        <v/>
      </c>
      <c r="AQ2220">
        <f>IF($E2220="","",IF($AA2220="Yes",1,0))</f>
        <v/>
      </c>
      <c r="AR2220">
        <f>IF($AN2220=1,IFERROR(VALUE(MID($E2220,2,20)),1000000000)+ROW()/100000,"")</f>
        <v/>
      </c>
    </row>
    <row r="2221">
      <c r="G2221" s="11" t="n"/>
      <c r="Q2221" s="7">
        <f>IF($E2221="","",P2221*Y2221/100)</f>
        <v/>
      </c>
      <c r="R2221" s="7" t="n"/>
      <c r="X2221" s="7" t="n"/>
      <c r="Y2221" s="7" t="n"/>
      <c r="AB2221">
        <f>IF($E2221="","",IF($AQ2221=1,0,IF($AP2221=1,Settings!$C$6,Settings!$C$7))*100)</f>
        <v/>
      </c>
      <c r="AC2221" s="7">
        <f>IF($E2221="","",Y2221*AB2221/100)</f>
        <v/>
      </c>
      <c r="AD2221" s="7">
        <f>IF($E2221="","",Y2221-AC2221)</f>
        <v/>
      </c>
      <c r="AE2221" s="7">
        <f>IF($E2221="","",AD2221-Q2221)</f>
        <v/>
      </c>
      <c r="AI2221" s="7" t="n"/>
      <c r="AL2221" s="11" t="n"/>
      <c r="AN2221">
        <f>IF($E2221="","",IF(COUNTIF($E$2:$E2221,$E2221)=1,1,0))</f>
        <v/>
      </c>
      <c r="AO2221">
        <f>IF($AN2221=1,SUMPRODUCT(--($AR$2:$AR$4001&lt;$AR2221))+1,"")</f>
        <v/>
      </c>
      <c r="AP2221">
        <f>IF($E2221="","",IF(OR($U2221=TRUE(),$U2221="TRUE"),1,0))</f>
        <v/>
      </c>
      <c r="AQ2221">
        <f>IF($E2221="","",IF($AA2221="Yes",1,0))</f>
        <v/>
      </c>
      <c r="AR2221">
        <f>IF($AN2221=1,IFERROR(VALUE(MID($E2221,2,20)),1000000000)+ROW()/100000,"")</f>
        <v/>
      </c>
    </row>
    <row r="2222">
      <c r="G2222" s="11" t="n"/>
      <c r="Q2222" s="7">
        <f>IF($E2222="","",P2222*Y2222/100)</f>
        <v/>
      </c>
      <c r="R2222" s="7" t="n"/>
      <c r="X2222" s="7" t="n"/>
      <c r="Y2222" s="7" t="n"/>
      <c r="AB2222">
        <f>IF($E2222="","",IF($AQ2222=1,0,IF($AP2222=1,Settings!$C$6,Settings!$C$7))*100)</f>
        <v/>
      </c>
      <c r="AC2222" s="7">
        <f>IF($E2222="","",Y2222*AB2222/100)</f>
        <v/>
      </c>
      <c r="AD2222" s="7">
        <f>IF($E2222="","",Y2222-AC2222)</f>
        <v/>
      </c>
      <c r="AE2222" s="7">
        <f>IF($E2222="","",AD2222-Q2222)</f>
        <v/>
      </c>
      <c r="AI2222" s="7" t="n"/>
      <c r="AL2222" s="11" t="n"/>
      <c r="AN2222">
        <f>IF($E2222="","",IF(COUNTIF($E$2:$E2222,$E2222)=1,1,0))</f>
        <v/>
      </c>
      <c r="AO2222">
        <f>IF($AN2222=1,SUMPRODUCT(--($AR$2:$AR$4001&lt;$AR2222))+1,"")</f>
        <v/>
      </c>
      <c r="AP2222">
        <f>IF($E2222="","",IF(OR($U2222=TRUE(),$U2222="TRUE"),1,0))</f>
        <v/>
      </c>
      <c r="AQ2222">
        <f>IF($E2222="","",IF($AA2222="Yes",1,0))</f>
        <v/>
      </c>
      <c r="AR2222">
        <f>IF($AN2222=1,IFERROR(VALUE(MID($E2222,2,20)),1000000000)+ROW()/100000,"")</f>
        <v/>
      </c>
    </row>
    <row r="2223">
      <c r="G2223" s="11" t="n"/>
      <c r="Q2223" s="7">
        <f>IF($E2223="","",P2223*Y2223/100)</f>
        <v/>
      </c>
      <c r="R2223" s="7" t="n"/>
      <c r="X2223" s="7" t="n"/>
      <c r="Y2223" s="7" t="n"/>
      <c r="AB2223">
        <f>IF($E2223="","",IF($AQ2223=1,0,IF($AP2223=1,Settings!$C$6,Settings!$C$7))*100)</f>
        <v/>
      </c>
      <c r="AC2223" s="7">
        <f>IF($E2223="","",Y2223*AB2223/100)</f>
        <v/>
      </c>
      <c r="AD2223" s="7">
        <f>IF($E2223="","",Y2223-AC2223)</f>
        <v/>
      </c>
      <c r="AE2223" s="7">
        <f>IF($E2223="","",AD2223-Q2223)</f>
        <v/>
      </c>
      <c r="AI2223" s="7" t="n"/>
      <c r="AL2223" s="11" t="n"/>
      <c r="AN2223">
        <f>IF($E2223="","",IF(COUNTIF($E$2:$E2223,$E2223)=1,1,0))</f>
        <v/>
      </c>
      <c r="AO2223">
        <f>IF($AN2223=1,SUMPRODUCT(--($AR$2:$AR$4001&lt;$AR2223))+1,"")</f>
        <v/>
      </c>
      <c r="AP2223">
        <f>IF($E2223="","",IF(OR($U2223=TRUE(),$U2223="TRUE"),1,0))</f>
        <v/>
      </c>
      <c r="AQ2223">
        <f>IF($E2223="","",IF($AA2223="Yes",1,0))</f>
        <v/>
      </c>
      <c r="AR2223">
        <f>IF($AN2223=1,IFERROR(VALUE(MID($E2223,2,20)),1000000000)+ROW()/100000,"")</f>
        <v/>
      </c>
    </row>
    <row r="2224">
      <c r="G2224" s="11" t="n"/>
      <c r="Q2224" s="7">
        <f>IF($E2224="","",P2224*Y2224/100)</f>
        <v/>
      </c>
      <c r="R2224" s="7" t="n"/>
      <c r="X2224" s="7" t="n"/>
      <c r="Y2224" s="7" t="n"/>
      <c r="AB2224">
        <f>IF($E2224="","",IF($AQ2224=1,0,IF($AP2224=1,Settings!$C$6,Settings!$C$7))*100)</f>
        <v/>
      </c>
      <c r="AC2224" s="7">
        <f>IF($E2224="","",Y2224*AB2224/100)</f>
        <v/>
      </c>
      <c r="AD2224" s="7">
        <f>IF($E2224="","",Y2224-AC2224)</f>
        <v/>
      </c>
      <c r="AE2224" s="7">
        <f>IF($E2224="","",AD2224-Q2224)</f>
        <v/>
      </c>
      <c r="AI2224" s="7" t="n"/>
      <c r="AL2224" s="11" t="n"/>
      <c r="AN2224">
        <f>IF($E2224="","",IF(COUNTIF($E$2:$E2224,$E2224)=1,1,0))</f>
        <v/>
      </c>
      <c r="AO2224">
        <f>IF($AN2224=1,SUMPRODUCT(--($AR$2:$AR$4001&lt;$AR2224))+1,"")</f>
        <v/>
      </c>
      <c r="AP2224">
        <f>IF($E2224="","",IF(OR($U2224=TRUE(),$U2224="TRUE"),1,0))</f>
        <v/>
      </c>
      <c r="AQ2224">
        <f>IF($E2224="","",IF($AA2224="Yes",1,0))</f>
        <v/>
      </c>
      <c r="AR2224">
        <f>IF($AN2224=1,IFERROR(VALUE(MID($E2224,2,20)),1000000000)+ROW()/100000,"")</f>
        <v/>
      </c>
    </row>
    <row r="2225">
      <c r="G2225" s="11" t="n"/>
      <c r="Q2225" s="7">
        <f>IF($E2225="","",P2225*Y2225/100)</f>
        <v/>
      </c>
      <c r="R2225" s="7" t="n"/>
      <c r="X2225" s="7" t="n"/>
      <c r="Y2225" s="7" t="n"/>
      <c r="AB2225">
        <f>IF($E2225="","",IF($AQ2225=1,0,IF($AP2225=1,Settings!$C$6,Settings!$C$7))*100)</f>
        <v/>
      </c>
      <c r="AC2225" s="7">
        <f>IF($E2225="","",Y2225*AB2225/100)</f>
        <v/>
      </c>
      <c r="AD2225" s="7">
        <f>IF($E2225="","",Y2225-AC2225)</f>
        <v/>
      </c>
      <c r="AE2225" s="7">
        <f>IF($E2225="","",AD2225-Q2225)</f>
        <v/>
      </c>
      <c r="AI2225" s="7" t="n"/>
      <c r="AL2225" s="11" t="n"/>
      <c r="AN2225">
        <f>IF($E2225="","",IF(COUNTIF($E$2:$E2225,$E2225)=1,1,0))</f>
        <v/>
      </c>
      <c r="AO2225">
        <f>IF($AN2225=1,SUMPRODUCT(--($AR$2:$AR$4001&lt;$AR2225))+1,"")</f>
        <v/>
      </c>
      <c r="AP2225">
        <f>IF($E2225="","",IF(OR($U2225=TRUE(),$U2225="TRUE"),1,0))</f>
        <v/>
      </c>
      <c r="AQ2225">
        <f>IF($E2225="","",IF($AA2225="Yes",1,0))</f>
        <v/>
      </c>
      <c r="AR2225">
        <f>IF($AN2225=1,IFERROR(VALUE(MID($E2225,2,20)),1000000000)+ROW()/100000,"")</f>
        <v/>
      </c>
    </row>
    <row r="2226">
      <c r="G2226" s="11" t="n"/>
      <c r="Q2226" s="7">
        <f>IF($E2226="","",P2226*Y2226/100)</f>
        <v/>
      </c>
      <c r="R2226" s="7" t="n"/>
      <c r="X2226" s="7" t="n"/>
      <c r="Y2226" s="7" t="n"/>
      <c r="AB2226">
        <f>IF($E2226="","",IF($AQ2226=1,0,IF($AP2226=1,Settings!$C$6,Settings!$C$7))*100)</f>
        <v/>
      </c>
      <c r="AC2226" s="7">
        <f>IF($E2226="","",Y2226*AB2226/100)</f>
        <v/>
      </c>
      <c r="AD2226" s="7">
        <f>IF($E2226="","",Y2226-AC2226)</f>
        <v/>
      </c>
      <c r="AE2226" s="7">
        <f>IF($E2226="","",AD2226-Q2226)</f>
        <v/>
      </c>
      <c r="AI2226" s="7" t="n"/>
      <c r="AL2226" s="11" t="n"/>
      <c r="AN2226">
        <f>IF($E2226="","",IF(COUNTIF($E$2:$E2226,$E2226)=1,1,0))</f>
        <v/>
      </c>
      <c r="AO2226">
        <f>IF($AN2226=1,SUMPRODUCT(--($AR$2:$AR$4001&lt;$AR2226))+1,"")</f>
        <v/>
      </c>
      <c r="AP2226">
        <f>IF($E2226="","",IF(OR($U2226=TRUE(),$U2226="TRUE"),1,0))</f>
        <v/>
      </c>
      <c r="AQ2226">
        <f>IF($E2226="","",IF($AA2226="Yes",1,0))</f>
        <v/>
      </c>
      <c r="AR2226">
        <f>IF($AN2226=1,IFERROR(VALUE(MID($E2226,2,20)),1000000000)+ROW()/100000,"")</f>
        <v/>
      </c>
    </row>
    <row r="2227">
      <c r="G2227" s="11" t="n"/>
      <c r="Q2227" s="7">
        <f>IF($E2227="","",P2227*Y2227/100)</f>
        <v/>
      </c>
      <c r="R2227" s="7" t="n"/>
      <c r="X2227" s="7" t="n"/>
      <c r="Y2227" s="7" t="n"/>
      <c r="AB2227">
        <f>IF($E2227="","",IF($AQ2227=1,0,IF($AP2227=1,Settings!$C$6,Settings!$C$7))*100)</f>
        <v/>
      </c>
      <c r="AC2227" s="7">
        <f>IF($E2227="","",Y2227*AB2227/100)</f>
        <v/>
      </c>
      <c r="AD2227" s="7">
        <f>IF($E2227="","",Y2227-AC2227)</f>
        <v/>
      </c>
      <c r="AE2227" s="7">
        <f>IF($E2227="","",AD2227-Q2227)</f>
        <v/>
      </c>
      <c r="AI2227" s="7" t="n"/>
      <c r="AL2227" s="11" t="n"/>
      <c r="AN2227">
        <f>IF($E2227="","",IF(COUNTIF($E$2:$E2227,$E2227)=1,1,0))</f>
        <v/>
      </c>
      <c r="AO2227">
        <f>IF($AN2227=1,SUMPRODUCT(--($AR$2:$AR$4001&lt;$AR2227))+1,"")</f>
        <v/>
      </c>
      <c r="AP2227">
        <f>IF($E2227="","",IF(OR($U2227=TRUE(),$U2227="TRUE"),1,0))</f>
        <v/>
      </c>
      <c r="AQ2227">
        <f>IF($E2227="","",IF($AA2227="Yes",1,0))</f>
        <v/>
      </c>
      <c r="AR2227">
        <f>IF($AN2227=1,IFERROR(VALUE(MID($E2227,2,20)),1000000000)+ROW()/100000,"")</f>
        <v/>
      </c>
    </row>
    <row r="2228">
      <c r="G2228" s="11" t="n"/>
      <c r="Q2228" s="7">
        <f>IF($E2228="","",P2228*Y2228/100)</f>
        <v/>
      </c>
      <c r="R2228" s="7" t="n"/>
      <c r="X2228" s="7" t="n"/>
      <c r="Y2228" s="7" t="n"/>
      <c r="AB2228">
        <f>IF($E2228="","",IF($AQ2228=1,0,IF($AP2228=1,Settings!$C$6,Settings!$C$7))*100)</f>
        <v/>
      </c>
      <c r="AC2228" s="7">
        <f>IF($E2228="","",Y2228*AB2228/100)</f>
        <v/>
      </c>
      <c r="AD2228" s="7">
        <f>IF($E2228="","",Y2228-AC2228)</f>
        <v/>
      </c>
      <c r="AE2228" s="7">
        <f>IF($E2228="","",AD2228-Q2228)</f>
        <v/>
      </c>
      <c r="AI2228" s="7" t="n"/>
      <c r="AL2228" s="11" t="n"/>
      <c r="AN2228">
        <f>IF($E2228="","",IF(COUNTIF($E$2:$E2228,$E2228)=1,1,0))</f>
        <v/>
      </c>
      <c r="AO2228">
        <f>IF($AN2228=1,SUMPRODUCT(--($AR$2:$AR$4001&lt;$AR2228))+1,"")</f>
        <v/>
      </c>
      <c r="AP2228">
        <f>IF($E2228="","",IF(OR($U2228=TRUE(),$U2228="TRUE"),1,0))</f>
        <v/>
      </c>
      <c r="AQ2228">
        <f>IF($E2228="","",IF($AA2228="Yes",1,0))</f>
        <v/>
      </c>
      <c r="AR2228">
        <f>IF($AN2228=1,IFERROR(VALUE(MID($E2228,2,20)),1000000000)+ROW()/100000,"")</f>
        <v/>
      </c>
    </row>
    <row r="2229">
      <c r="G2229" s="11" t="n"/>
      <c r="Q2229" s="7">
        <f>IF($E2229="","",P2229*Y2229/100)</f>
        <v/>
      </c>
      <c r="R2229" s="7" t="n"/>
      <c r="X2229" s="7" t="n"/>
      <c r="Y2229" s="7" t="n"/>
      <c r="AB2229">
        <f>IF($E2229="","",IF($AQ2229=1,0,IF($AP2229=1,Settings!$C$6,Settings!$C$7))*100)</f>
        <v/>
      </c>
      <c r="AC2229" s="7">
        <f>IF($E2229="","",Y2229*AB2229/100)</f>
        <v/>
      </c>
      <c r="AD2229" s="7">
        <f>IF($E2229="","",Y2229-AC2229)</f>
        <v/>
      </c>
      <c r="AE2229" s="7">
        <f>IF($E2229="","",AD2229-Q2229)</f>
        <v/>
      </c>
      <c r="AI2229" s="7" t="n"/>
      <c r="AL2229" s="11" t="n"/>
      <c r="AN2229">
        <f>IF($E2229="","",IF(COUNTIF($E$2:$E2229,$E2229)=1,1,0))</f>
        <v/>
      </c>
      <c r="AO2229">
        <f>IF($AN2229=1,SUMPRODUCT(--($AR$2:$AR$4001&lt;$AR2229))+1,"")</f>
        <v/>
      </c>
      <c r="AP2229">
        <f>IF($E2229="","",IF(OR($U2229=TRUE(),$U2229="TRUE"),1,0))</f>
        <v/>
      </c>
      <c r="AQ2229">
        <f>IF($E2229="","",IF($AA2229="Yes",1,0))</f>
        <v/>
      </c>
      <c r="AR2229">
        <f>IF($AN2229=1,IFERROR(VALUE(MID($E2229,2,20)),1000000000)+ROW()/100000,"")</f>
        <v/>
      </c>
    </row>
    <row r="2230">
      <c r="G2230" s="11" t="n"/>
      <c r="Q2230" s="7">
        <f>IF($E2230="","",P2230*Y2230/100)</f>
        <v/>
      </c>
      <c r="R2230" s="7" t="n"/>
      <c r="X2230" s="7" t="n"/>
      <c r="Y2230" s="7" t="n"/>
      <c r="AB2230">
        <f>IF($E2230="","",IF($AQ2230=1,0,IF($AP2230=1,Settings!$C$6,Settings!$C$7))*100)</f>
        <v/>
      </c>
      <c r="AC2230" s="7">
        <f>IF($E2230="","",Y2230*AB2230/100)</f>
        <v/>
      </c>
      <c r="AD2230" s="7">
        <f>IF($E2230="","",Y2230-AC2230)</f>
        <v/>
      </c>
      <c r="AE2230" s="7">
        <f>IF($E2230="","",AD2230-Q2230)</f>
        <v/>
      </c>
      <c r="AI2230" s="7" t="n"/>
      <c r="AL2230" s="11" t="n"/>
      <c r="AN2230">
        <f>IF($E2230="","",IF(COUNTIF($E$2:$E2230,$E2230)=1,1,0))</f>
        <v/>
      </c>
      <c r="AO2230">
        <f>IF($AN2230=1,SUMPRODUCT(--($AR$2:$AR$4001&lt;$AR2230))+1,"")</f>
        <v/>
      </c>
      <c r="AP2230">
        <f>IF($E2230="","",IF(OR($U2230=TRUE(),$U2230="TRUE"),1,0))</f>
        <v/>
      </c>
      <c r="AQ2230">
        <f>IF($E2230="","",IF($AA2230="Yes",1,0))</f>
        <v/>
      </c>
      <c r="AR2230">
        <f>IF($AN2230=1,IFERROR(VALUE(MID($E2230,2,20)),1000000000)+ROW()/100000,"")</f>
        <v/>
      </c>
    </row>
    <row r="2231">
      <c r="G2231" s="11" t="n"/>
      <c r="Q2231" s="7">
        <f>IF($E2231="","",P2231*Y2231/100)</f>
        <v/>
      </c>
      <c r="R2231" s="7" t="n"/>
      <c r="X2231" s="7" t="n"/>
      <c r="Y2231" s="7" t="n"/>
      <c r="AB2231">
        <f>IF($E2231="","",IF($AQ2231=1,0,IF($AP2231=1,Settings!$C$6,Settings!$C$7))*100)</f>
        <v/>
      </c>
      <c r="AC2231" s="7">
        <f>IF($E2231="","",Y2231*AB2231/100)</f>
        <v/>
      </c>
      <c r="AD2231" s="7">
        <f>IF($E2231="","",Y2231-AC2231)</f>
        <v/>
      </c>
      <c r="AE2231" s="7">
        <f>IF($E2231="","",AD2231-Q2231)</f>
        <v/>
      </c>
      <c r="AI2231" s="7" t="n"/>
      <c r="AL2231" s="11" t="n"/>
      <c r="AN2231">
        <f>IF($E2231="","",IF(COUNTIF($E$2:$E2231,$E2231)=1,1,0))</f>
        <v/>
      </c>
      <c r="AO2231">
        <f>IF($AN2231=1,SUMPRODUCT(--($AR$2:$AR$4001&lt;$AR2231))+1,"")</f>
        <v/>
      </c>
      <c r="AP2231">
        <f>IF($E2231="","",IF(OR($U2231=TRUE(),$U2231="TRUE"),1,0))</f>
        <v/>
      </c>
      <c r="AQ2231">
        <f>IF($E2231="","",IF($AA2231="Yes",1,0))</f>
        <v/>
      </c>
      <c r="AR2231">
        <f>IF($AN2231=1,IFERROR(VALUE(MID($E2231,2,20)),1000000000)+ROW()/100000,"")</f>
        <v/>
      </c>
    </row>
    <row r="2232">
      <c r="G2232" s="11" t="n"/>
      <c r="Q2232" s="7">
        <f>IF($E2232="","",P2232*Y2232/100)</f>
        <v/>
      </c>
      <c r="R2232" s="7" t="n"/>
      <c r="X2232" s="7" t="n"/>
      <c r="Y2232" s="7" t="n"/>
      <c r="AB2232">
        <f>IF($E2232="","",IF($AQ2232=1,0,IF($AP2232=1,Settings!$C$6,Settings!$C$7))*100)</f>
        <v/>
      </c>
      <c r="AC2232" s="7">
        <f>IF($E2232="","",Y2232*AB2232/100)</f>
        <v/>
      </c>
      <c r="AD2232" s="7">
        <f>IF($E2232="","",Y2232-AC2232)</f>
        <v/>
      </c>
      <c r="AE2232" s="7">
        <f>IF($E2232="","",AD2232-Q2232)</f>
        <v/>
      </c>
      <c r="AI2232" s="7" t="n"/>
      <c r="AL2232" s="11" t="n"/>
      <c r="AN2232">
        <f>IF($E2232="","",IF(COUNTIF($E$2:$E2232,$E2232)=1,1,0))</f>
        <v/>
      </c>
      <c r="AO2232">
        <f>IF($AN2232=1,SUMPRODUCT(--($AR$2:$AR$4001&lt;$AR2232))+1,"")</f>
        <v/>
      </c>
      <c r="AP2232">
        <f>IF($E2232="","",IF(OR($U2232=TRUE(),$U2232="TRUE"),1,0))</f>
        <v/>
      </c>
      <c r="AQ2232">
        <f>IF($E2232="","",IF($AA2232="Yes",1,0))</f>
        <v/>
      </c>
      <c r="AR2232">
        <f>IF($AN2232=1,IFERROR(VALUE(MID($E2232,2,20)),1000000000)+ROW()/100000,"")</f>
        <v/>
      </c>
    </row>
    <row r="2233">
      <c r="G2233" s="11" t="n"/>
      <c r="Q2233" s="7">
        <f>IF($E2233="","",P2233*Y2233/100)</f>
        <v/>
      </c>
      <c r="R2233" s="7" t="n"/>
      <c r="X2233" s="7" t="n"/>
      <c r="Y2233" s="7" t="n"/>
      <c r="AB2233">
        <f>IF($E2233="","",IF($AQ2233=1,0,IF($AP2233=1,Settings!$C$6,Settings!$C$7))*100)</f>
        <v/>
      </c>
      <c r="AC2233" s="7">
        <f>IF($E2233="","",Y2233*AB2233/100)</f>
        <v/>
      </c>
      <c r="AD2233" s="7">
        <f>IF($E2233="","",Y2233-AC2233)</f>
        <v/>
      </c>
      <c r="AE2233" s="7">
        <f>IF($E2233="","",AD2233-Q2233)</f>
        <v/>
      </c>
      <c r="AI2233" s="7" t="n"/>
      <c r="AL2233" s="11" t="n"/>
      <c r="AN2233">
        <f>IF($E2233="","",IF(COUNTIF($E$2:$E2233,$E2233)=1,1,0))</f>
        <v/>
      </c>
      <c r="AO2233">
        <f>IF($AN2233=1,SUMPRODUCT(--($AR$2:$AR$4001&lt;$AR2233))+1,"")</f>
        <v/>
      </c>
      <c r="AP2233">
        <f>IF($E2233="","",IF(OR($U2233=TRUE(),$U2233="TRUE"),1,0))</f>
        <v/>
      </c>
      <c r="AQ2233">
        <f>IF($E2233="","",IF($AA2233="Yes",1,0))</f>
        <v/>
      </c>
      <c r="AR2233">
        <f>IF($AN2233=1,IFERROR(VALUE(MID($E2233,2,20)),1000000000)+ROW()/100000,"")</f>
        <v/>
      </c>
    </row>
    <row r="2234">
      <c r="G2234" s="11" t="n"/>
      <c r="Q2234" s="7">
        <f>IF($E2234="","",P2234*Y2234/100)</f>
        <v/>
      </c>
      <c r="R2234" s="7" t="n"/>
      <c r="X2234" s="7" t="n"/>
      <c r="Y2234" s="7" t="n"/>
      <c r="AB2234">
        <f>IF($E2234="","",IF($AQ2234=1,0,IF($AP2234=1,Settings!$C$6,Settings!$C$7))*100)</f>
        <v/>
      </c>
      <c r="AC2234" s="7">
        <f>IF($E2234="","",Y2234*AB2234/100)</f>
        <v/>
      </c>
      <c r="AD2234" s="7">
        <f>IF($E2234="","",Y2234-AC2234)</f>
        <v/>
      </c>
      <c r="AE2234" s="7">
        <f>IF($E2234="","",AD2234-Q2234)</f>
        <v/>
      </c>
      <c r="AI2234" s="7" t="n"/>
      <c r="AL2234" s="11" t="n"/>
      <c r="AN2234">
        <f>IF($E2234="","",IF(COUNTIF($E$2:$E2234,$E2234)=1,1,0))</f>
        <v/>
      </c>
      <c r="AO2234">
        <f>IF($AN2234=1,SUMPRODUCT(--($AR$2:$AR$4001&lt;$AR2234))+1,"")</f>
        <v/>
      </c>
      <c r="AP2234">
        <f>IF($E2234="","",IF(OR($U2234=TRUE(),$U2234="TRUE"),1,0))</f>
        <v/>
      </c>
      <c r="AQ2234">
        <f>IF($E2234="","",IF($AA2234="Yes",1,0))</f>
        <v/>
      </c>
      <c r="AR2234">
        <f>IF($AN2234=1,IFERROR(VALUE(MID($E2234,2,20)),1000000000)+ROW()/100000,"")</f>
        <v/>
      </c>
    </row>
    <row r="2235">
      <c r="G2235" s="11" t="n"/>
      <c r="Q2235" s="7">
        <f>IF($E2235="","",P2235*Y2235/100)</f>
        <v/>
      </c>
      <c r="R2235" s="7" t="n"/>
      <c r="X2235" s="7" t="n"/>
      <c r="Y2235" s="7" t="n"/>
      <c r="AB2235">
        <f>IF($E2235="","",IF($AQ2235=1,0,IF($AP2235=1,Settings!$C$6,Settings!$C$7))*100)</f>
        <v/>
      </c>
      <c r="AC2235" s="7">
        <f>IF($E2235="","",Y2235*AB2235/100)</f>
        <v/>
      </c>
      <c r="AD2235" s="7">
        <f>IF($E2235="","",Y2235-AC2235)</f>
        <v/>
      </c>
      <c r="AE2235" s="7">
        <f>IF($E2235="","",AD2235-Q2235)</f>
        <v/>
      </c>
      <c r="AI2235" s="7" t="n"/>
      <c r="AL2235" s="11" t="n"/>
      <c r="AN2235">
        <f>IF($E2235="","",IF(COUNTIF($E$2:$E2235,$E2235)=1,1,0))</f>
        <v/>
      </c>
      <c r="AO2235">
        <f>IF($AN2235=1,SUMPRODUCT(--($AR$2:$AR$4001&lt;$AR2235))+1,"")</f>
        <v/>
      </c>
      <c r="AP2235">
        <f>IF($E2235="","",IF(OR($U2235=TRUE(),$U2235="TRUE"),1,0))</f>
        <v/>
      </c>
      <c r="AQ2235">
        <f>IF($E2235="","",IF($AA2235="Yes",1,0))</f>
        <v/>
      </c>
      <c r="AR2235">
        <f>IF($AN2235=1,IFERROR(VALUE(MID($E2235,2,20)),1000000000)+ROW()/100000,"")</f>
        <v/>
      </c>
    </row>
    <row r="2236">
      <c r="G2236" s="11" t="n"/>
      <c r="Q2236" s="7">
        <f>IF($E2236="","",P2236*Y2236/100)</f>
        <v/>
      </c>
      <c r="R2236" s="7" t="n"/>
      <c r="X2236" s="7" t="n"/>
      <c r="Y2236" s="7" t="n"/>
      <c r="AB2236">
        <f>IF($E2236="","",IF($AQ2236=1,0,IF($AP2236=1,Settings!$C$6,Settings!$C$7))*100)</f>
        <v/>
      </c>
      <c r="AC2236" s="7">
        <f>IF($E2236="","",Y2236*AB2236/100)</f>
        <v/>
      </c>
      <c r="AD2236" s="7">
        <f>IF($E2236="","",Y2236-AC2236)</f>
        <v/>
      </c>
      <c r="AE2236" s="7">
        <f>IF($E2236="","",AD2236-Q2236)</f>
        <v/>
      </c>
      <c r="AI2236" s="7" t="n"/>
      <c r="AL2236" s="11" t="n"/>
      <c r="AN2236">
        <f>IF($E2236="","",IF(COUNTIF($E$2:$E2236,$E2236)=1,1,0))</f>
        <v/>
      </c>
      <c r="AO2236">
        <f>IF($AN2236=1,SUMPRODUCT(--($AR$2:$AR$4001&lt;$AR2236))+1,"")</f>
        <v/>
      </c>
      <c r="AP2236">
        <f>IF($E2236="","",IF(OR($U2236=TRUE(),$U2236="TRUE"),1,0))</f>
        <v/>
      </c>
      <c r="AQ2236">
        <f>IF($E2236="","",IF($AA2236="Yes",1,0))</f>
        <v/>
      </c>
      <c r="AR2236">
        <f>IF($AN2236=1,IFERROR(VALUE(MID($E2236,2,20)),1000000000)+ROW()/100000,"")</f>
        <v/>
      </c>
    </row>
    <row r="2237">
      <c r="G2237" s="11" t="n"/>
      <c r="Q2237" s="7">
        <f>IF($E2237="","",P2237*Y2237/100)</f>
        <v/>
      </c>
      <c r="R2237" s="7" t="n"/>
      <c r="X2237" s="7" t="n"/>
      <c r="Y2237" s="7" t="n"/>
      <c r="AB2237">
        <f>IF($E2237="","",IF($AQ2237=1,0,IF($AP2237=1,Settings!$C$6,Settings!$C$7))*100)</f>
        <v/>
      </c>
      <c r="AC2237" s="7">
        <f>IF($E2237="","",Y2237*AB2237/100)</f>
        <v/>
      </c>
      <c r="AD2237" s="7">
        <f>IF($E2237="","",Y2237-AC2237)</f>
        <v/>
      </c>
      <c r="AE2237" s="7">
        <f>IF($E2237="","",AD2237-Q2237)</f>
        <v/>
      </c>
      <c r="AI2237" s="7" t="n"/>
      <c r="AL2237" s="11" t="n"/>
      <c r="AN2237">
        <f>IF($E2237="","",IF(COUNTIF($E$2:$E2237,$E2237)=1,1,0))</f>
        <v/>
      </c>
      <c r="AO2237">
        <f>IF($AN2237=1,SUMPRODUCT(--($AR$2:$AR$4001&lt;$AR2237))+1,"")</f>
        <v/>
      </c>
      <c r="AP2237">
        <f>IF($E2237="","",IF(OR($U2237=TRUE(),$U2237="TRUE"),1,0))</f>
        <v/>
      </c>
      <c r="AQ2237">
        <f>IF($E2237="","",IF($AA2237="Yes",1,0))</f>
        <v/>
      </c>
      <c r="AR2237">
        <f>IF($AN2237=1,IFERROR(VALUE(MID($E2237,2,20)),1000000000)+ROW()/100000,"")</f>
        <v/>
      </c>
    </row>
    <row r="2238">
      <c r="G2238" s="11" t="n"/>
      <c r="Q2238" s="7">
        <f>IF($E2238="","",P2238*Y2238/100)</f>
        <v/>
      </c>
      <c r="R2238" s="7" t="n"/>
      <c r="X2238" s="7" t="n"/>
      <c r="Y2238" s="7" t="n"/>
      <c r="AB2238">
        <f>IF($E2238="","",IF($AQ2238=1,0,IF($AP2238=1,Settings!$C$6,Settings!$C$7))*100)</f>
        <v/>
      </c>
      <c r="AC2238" s="7">
        <f>IF($E2238="","",Y2238*AB2238/100)</f>
        <v/>
      </c>
      <c r="AD2238" s="7">
        <f>IF($E2238="","",Y2238-AC2238)</f>
        <v/>
      </c>
      <c r="AE2238" s="7">
        <f>IF($E2238="","",AD2238-Q2238)</f>
        <v/>
      </c>
      <c r="AI2238" s="7" t="n"/>
      <c r="AL2238" s="11" t="n"/>
      <c r="AN2238">
        <f>IF($E2238="","",IF(COUNTIF($E$2:$E2238,$E2238)=1,1,0))</f>
        <v/>
      </c>
      <c r="AO2238">
        <f>IF($AN2238=1,SUMPRODUCT(--($AR$2:$AR$4001&lt;$AR2238))+1,"")</f>
        <v/>
      </c>
      <c r="AP2238">
        <f>IF($E2238="","",IF(OR($U2238=TRUE(),$U2238="TRUE"),1,0))</f>
        <v/>
      </c>
      <c r="AQ2238">
        <f>IF($E2238="","",IF($AA2238="Yes",1,0))</f>
        <v/>
      </c>
      <c r="AR2238">
        <f>IF($AN2238=1,IFERROR(VALUE(MID($E2238,2,20)),1000000000)+ROW()/100000,"")</f>
        <v/>
      </c>
    </row>
    <row r="2239">
      <c r="G2239" s="11" t="n"/>
      <c r="Q2239" s="7">
        <f>IF($E2239="","",P2239*Y2239/100)</f>
        <v/>
      </c>
      <c r="R2239" s="7" t="n"/>
      <c r="X2239" s="7" t="n"/>
      <c r="Y2239" s="7" t="n"/>
      <c r="AB2239">
        <f>IF($E2239="","",IF($AQ2239=1,0,IF($AP2239=1,Settings!$C$6,Settings!$C$7))*100)</f>
        <v/>
      </c>
      <c r="AC2239" s="7">
        <f>IF($E2239="","",Y2239*AB2239/100)</f>
        <v/>
      </c>
      <c r="AD2239" s="7">
        <f>IF($E2239="","",Y2239-AC2239)</f>
        <v/>
      </c>
      <c r="AE2239" s="7">
        <f>IF($E2239="","",AD2239-Q2239)</f>
        <v/>
      </c>
      <c r="AI2239" s="7" t="n"/>
      <c r="AL2239" s="11" t="n"/>
      <c r="AN2239">
        <f>IF($E2239="","",IF(COUNTIF($E$2:$E2239,$E2239)=1,1,0))</f>
        <v/>
      </c>
      <c r="AO2239">
        <f>IF($AN2239=1,SUMPRODUCT(--($AR$2:$AR$4001&lt;$AR2239))+1,"")</f>
        <v/>
      </c>
      <c r="AP2239">
        <f>IF($E2239="","",IF(OR($U2239=TRUE(),$U2239="TRUE"),1,0))</f>
        <v/>
      </c>
      <c r="AQ2239">
        <f>IF($E2239="","",IF($AA2239="Yes",1,0))</f>
        <v/>
      </c>
      <c r="AR2239">
        <f>IF($AN2239=1,IFERROR(VALUE(MID($E2239,2,20)),1000000000)+ROW()/100000,"")</f>
        <v/>
      </c>
    </row>
    <row r="2240">
      <c r="G2240" s="11" t="n"/>
      <c r="Q2240" s="7">
        <f>IF($E2240="","",P2240*Y2240/100)</f>
        <v/>
      </c>
      <c r="R2240" s="7" t="n"/>
      <c r="X2240" s="7" t="n"/>
      <c r="Y2240" s="7" t="n"/>
      <c r="AB2240">
        <f>IF($E2240="","",IF($AQ2240=1,0,IF($AP2240=1,Settings!$C$6,Settings!$C$7))*100)</f>
        <v/>
      </c>
      <c r="AC2240" s="7">
        <f>IF($E2240="","",Y2240*AB2240/100)</f>
        <v/>
      </c>
      <c r="AD2240" s="7">
        <f>IF($E2240="","",Y2240-AC2240)</f>
        <v/>
      </c>
      <c r="AE2240" s="7">
        <f>IF($E2240="","",AD2240-Q2240)</f>
        <v/>
      </c>
      <c r="AI2240" s="7" t="n"/>
      <c r="AL2240" s="11" t="n"/>
      <c r="AN2240">
        <f>IF($E2240="","",IF(COUNTIF($E$2:$E2240,$E2240)=1,1,0))</f>
        <v/>
      </c>
      <c r="AO2240">
        <f>IF($AN2240=1,SUMPRODUCT(--($AR$2:$AR$4001&lt;$AR2240))+1,"")</f>
        <v/>
      </c>
      <c r="AP2240">
        <f>IF($E2240="","",IF(OR($U2240=TRUE(),$U2240="TRUE"),1,0))</f>
        <v/>
      </c>
      <c r="AQ2240">
        <f>IF($E2240="","",IF($AA2240="Yes",1,0))</f>
        <v/>
      </c>
      <c r="AR2240">
        <f>IF($AN2240=1,IFERROR(VALUE(MID($E2240,2,20)),1000000000)+ROW()/100000,"")</f>
        <v/>
      </c>
    </row>
    <row r="2241">
      <c r="G2241" s="11" t="n"/>
      <c r="Q2241" s="7">
        <f>IF($E2241="","",P2241*Y2241/100)</f>
        <v/>
      </c>
      <c r="R2241" s="7" t="n"/>
      <c r="X2241" s="7" t="n"/>
      <c r="Y2241" s="7" t="n"/>
      <c r="AB2241">
        <f>IF($E2241="","",IF($AQ2241=1,0,IF($AP2241=1,Settings!$C$6,Settings!$C$7))*100)</f>
        <v/>
      </c>
      <c r="AC2241" s="7">
        <f>IF($E2241="","",Y2241*AB2241/100)</f>
        <v/>
      </c>
      <c r="AD2241" s="7">
        <f>IF($E2241="","",Y2241-AC2241)</f>
        <v/>
      </c>
      <c r="AE2241" s="7">
        <f>IF($E2241="","",AD2241-Q2241)</f>
        <v/>
      </c>
      <c r="AI2241" s="7" t="n"/>
      <c r="AL2241" s="11" t="n"/>
      <c r="AN2241">
        <f>IF($E2241="","",IF(COUNTIF($E$2:$E2241,$E2241)=1,1,0))</f>
        <v/>
      </c>
      <c r="AO2241">
        <f>IF($AN2241=1,SUMPRODUCT(--($AR$2:$AR$4001&lt;$AR2241))+1,"")</f>
        <v/>
      </c>
      <c r="AP2241">
        <f>IF($E2241="","",IF(OR($U2241=TRUE(),$U2241="TRUE"),1,0))</f>
        <v/>
      </c>
      <c r="AQ2241">
        <f>IF($E2241="","",IF($AA2241="Yes",1,0))</f>
        <v/>
      </c>
      <c r="AR2241">
        <f>IF($AN2241=1,IFERROR(VALUE(MID($E2241,2,20)),1000000000)+ROW()/100000,"")</f>
        <v/>
      </c>
    </row>
    <row r="2242">
      <c r="G2242" s="11" t="n"/>
      <c r="Q2242" s="7">
        <f>IF($E2242="","",P2242*Y2242/100)</f>
        <v/>
      </c>
      <c r="R2242" s="7" t="n"/>
      <c r="X2242" s="7" t="n"/>
      <c r="Y2242" s="7" t="n"/>
      <c r="AB2242">
        <f>IF($E2242="","",IF($AQ2242=1,0,IF($AP2242=1,Settings!$C$6,Settings!$C$7))*100)</f>
        <v/>
      </c>
      <c r="AC2242" s="7">
        <f>IF($E2242="","",Y2242*AB2242/100)</f>
        <v/>
      </c>
      <c r="AD2242" s="7">
        <f>IF($E2242="","",Y2242-AC2242)</f>
        <v/>
      </c>
      <c r="AE2242" s="7">
        <f>IF($E2242="","",AD2242-Q2242)</f>
        <v/>
      </c>
      <c r="AI2242" s="7" t="n"/>
      <c r="AL2242" s="11" t="n"/>
      <c r="AN2242">
        <f>IF($E2242="","",IF(COUNTIF($E$2:$E2242,$E2242)=1,1,0))</f>
        <v/>
      </c>
      <c r="AO2242">
        <f>IF($AN2242=1,SUMPRODUCT(--($AR$2:$AR$4001&lt;$AR2242))+1,"")</f>
        <v/>
      </c>
      <c r="AP2242">
        <f>IF($E2242="","",IF(OR($U2242=TRUE(),$U2242="TRUE"),1,0))</f>
        <v/>
      </c>
      <c r="AQ2242">
        <f>IF($E2242="","",IF($AA2242="Yes",1,0))</f>
        <v/>
      </c>
      <c r="AR2242">
        <f>IF($AN2242=1,IFERROR(VALUE(MID($E2242,2,20)),1000000000)+ROW()/100000,"")</f>
        <v/>
      </c>
    </row>
    <row r="2243">
      <c r="G2243" s="11" t="n"/>
      <c r="Q2243" s="7">
        <f>IF($E2243="","",P2243*Y2243/100)</f>
        <v/>
      </c>
      <c r="R2243" s="7" t="n"/>
      <c r="X2243" s="7" t="n"/>
      <c r="Y2243" s="7" t="n"/>
      <c r="AB2243">
        <f>IF($E2243="","",IF($AQ2243=1,0,IF($AP2243=1,Settings!$C$6,Settings!$C$7))*100)</f>
        <v/>
      </c>
      <c r="AC2243" s="7">
        <f>IF($E2243="","",Y2243*AB2243/100)</f>
        <v/>
      </c>
      <c r="AD2243" s="7">
        <f>IF($E2243="","",Y2243-AC2243)</f>
        <v/>
      </c>
      <c r="AE2243" s="7">
        <f>IF($E2243="","",AD2243-Q2243)</f>
        <v/>
      </c>
      <c r="AI2243" s="7" t="n"/>
      <c r="AL2243" s="11" t="n"/>
      <c r="AN2243">
        <f>IF($E2243="","",IF(COUNTIF($E$2:$E2243,$E2243)=1,1,0))</f>
        <v/>
      </c>
      <c r="AO2243">
        <f>IF($AN2243=1,SUMPRODUCT(--($AR$2:$AR$4001&lt;$AR2243))+1,"")</f>
        <v/>
      </c>
      <c r="AP2243">
        <f>IF($E2243="","",IF(OR($U2243=TRUE(),$U2243="TRUE"),1,0))</f>
        <v/>
      </c>
      <c r="AQ2243">
        <f>IF($E2243="","",IF($AA2243="Yes",1,0))</f>
        <v/>
      </c>
      <c r="AR2243">
        <f>IF($AN2243=1,IFERROR(VALUE(MID($E2243,2,20)),1000000000)+ROW()/100000,"")</f>
        <v/>
      </c>
    </row>
    <row r="2244">
      <c r="G2244" s="11" t="n"/>
      <c r="Q2244" s="7">
        <f>IF($E2244="","",P2244*Y2244/100)</f>
        <v/>
      </c>
      <c r="R2244" s="7" t="n"/>
      <c r="X2244" s="7" t="n"/>
      <c r="Y2244" s="7" t="n"/>
      <c r="AB2244">
        <f>IF($E2244="","",IF($AQ2244=1,0,IF($AP2244=1,Settings!$C$6,Settings!$C$7))*100)</f>
        <v/>
      </c>
      <c r="AC2244" s="7">
        <f>IF($E2244="","",Y2244*AB2244/100)</f>
        <v/>
      </c>
      <c r="AD2244" s="7">
        <f>IF($E2244="","",Y2244-AC2244)</f>
        <v/>
      </c>
      <c r="AE2244" s="7">
        <f>IF($E2244="","",AD2244-Q2244)</f>
        <v/>
      </c>
      <c r="AI2244" s="7" t="n"/>
      <c r="AL2244" s="11" t="n"/>
      <c r="AN2244">
        <f>IF($E2244="","",IF(COUNTIF($E$2:$E2244,$E2244)=1,1,0))</f>
        <v/>
      </c>
      <c r="AO2244">
        <f>IF($AN2244=1,SUMPRODUCT(--($AR$2:$AR$4001&lt;$AR2244))+1,"")</f>
        <v/>
      </c>
      <c r="AP2244">
        <f>IF($E2244="","",IF(OR($U2244=TRUE(),$U2244="TRUE"),1,0))</f>
        <v/>
      </c>
      <c r="AQ2244">
        <f>IF($E2244="","",IF($AA2244="Yes",1,0))</f>
        <v/>
      </c>
      <c r="AR2244">
        <f>IF($AN2244=1,IFERROR(VALUE(MID($E2244,2,20)),1000000000)+ROW()/100000,"")</f>
        <v/>
      </c>
    </row>
    <row r="2245">
      <c r="G2245" s="11" t="n"/>
      <c r="Q2245" s="7">
        <f>IF($E2245="","",P2245*Y2245/100)</f>
        <v/>
      </c>
      <c r="R2245" s="7" t="n"/>
      <c r="X2245" s="7" t="n"/>
      <c r="Y2245" s="7" t="n"/>
      <c r="AB2245">
        <f>IF($E2245="","",IF($AQ2245=1,0,IF($AP2245=1,Settings!$C$6,Settings!$C$7))*100)</f>
        <v/>
      </c>
      <c r="AC2245" s="7">
        <f>IF($E2245="","",Y2245*AB2245/100)</f>
        <v/>
      </c>
      <c r="AD2245" s="7">
        <f>IF($E2245="","",Y2245-AC2245)</f>
        <v/>
      </c>
      <c r="AE2245" s="7">
        <f>IF($E2245="","",AD2245-Q2245)</f>
        <v/>
      </c>
      <c r="AI2245" s="7" t="n"/>
      <c r="AL2245" s="11" t="n"/>
      <c r="AN2245">
        <f>IF($E2245="","",IF(COUNTIF($E$2:$E2245,$E2245)=1,1,0))</f>
        <v/>
      </c>
      <c r="AO2245">
        <f>IF($AN2245=1,SUMPRODUCT(--($AR$2:$AR$4001&lt;$AR2245))+1,"")</f>
        <v/>
      </c>
      <c r="AP2245">
        <f>IF($E2245="","",IF(OR($U2245=TRUE(),$U2245="TRUE"),1,0))</f>
        <v/>
      </c>
      <c r="AQ2245">
        <f>IF($E2245="","",IF($AA2245="Yes",1,0))</f>
        <v/>
      </c>
      <c r="AR2245">
        <f>IF($AN2245=1,IFERROR(VALUE(MID($E2245,2,20)),1000000000)+ROW()/100000,"")</f>
        <v/>
      </c>
    </row>
    <row r="2246">
      <c r="G2246" s="11" t="n"/>
      <c r="Q2246" s="7">
        <f>IF($E2246="","",P2246*Y2246/100)</f>
        <v/>
      </c>
      <c r="R2246" s="7" t="n"/>
      <c r="X2246" s="7" t="n"/>
      <c r="Y2246" s="7" t="n"/>
      <c r="AB2246">
        <f>IF($E2246="","",IF($AQ2246=1,0,IF($AP2246=1,Settings!$C$6,Settings!$C$7))*100)</f>
        <v/>
      </c>
      <c r="AC2246" s="7">
        <f>IF($E2246="","",Y2246*AB2246/100)</f>
        <v/>
      </c>
      <c r="AD2246" s="7">
        <f>IF($E2246="","",Y2246-AC2246)</f>
        <v/>
      </c>
      <c r="AE2246" s="7">
        <f>IF($E2246="","",AD2246-Q2246)</f>
        <v/>
      </c>
      <c r="AI2246" s="7" t="n"/>
      <c r="AL2246" s="11" t="n"/>
      <c r="AN2246">
        <f>IF($E2246="","",IF(COUNTIF($E$2:$E2246,$E2246)=1,1,0))</f>
        <v/>
      </c>
      <c r="AO2246">
        <f>IF($AN2246=1,SUMPRODUCT(--($AR$2:$AR$4001&lt;$AR2246))+1,"")</f>
        <v/>
      </c>
      <c r="AP2246">
        <f>IF($E2246="","",IF(OR($U2246=TRUE(),$U2246="TRUE"),1,0))</f>
        <v/>
      </c>
      <c r="AQ2246">
        <f>IF($E2246="","",IF($AA2246="Yes",1,0))</f>
        <v/>
      </c>
      <c r="AR2246">
        <f>IF($AN2246=1,IFERROR(VALUE(MID($E2246,2,20)),1000000000)+ROW()/100000,"")</f>
        <v/>
      </c>
    </row>
    <row r="2247">
      <c r="G2247" s="11" t="n"/>
      <c r="Q2247" s="7">
        <f>IF($E2247="","",P2247*Y2247/100)</f>
        <v/>
      </c>
      <c r="R2247" s="7" t="n"/>
      <c r="X2247" s="7" t="n"/>
      <c r="Y2247" s="7" t="n"/>
      <c r="AB2247">
        <f>IF($E2247="","",IF($AQ2247=1,0,IF($AP2247=1,Settings!$C$6,Settings!$C$7))*100)</f>
        <v/>
      </c>
      <c r="AC2247" s="7">
        <f>IF($E2247="","",Y2247*AB2247/100)</f>
        <v/>
      </c>
      <c r="AD2247" s="7">
        <f>IF($E2247="","",Y2247-AC2247)</f>
        <v/>
      </c>
      <c r="AE2247" s="7">
        <f>IF($E2247="","",AD2247-Q2247)</f>
        <v/>
      </c>
      <c r="AI2247" s="7" t="n"/>
      <c r="AL2247" s="11" t="n"/>
      <c r="AN2247">
        <f>IF($E2247="","",IF(COUNTIF($E$2:$E2247,$E2247)=1,1,0))</f>
        <v/>
      </c>
      <c r="AO2247">
        <f>IF($AN2247=1,SUMPRODUCT(--($AR$2:$AR$4001&lt;$AR2247))+1,"")</f>
        <v/>
      </c>
      <c r="AP2247">
        <f>IF($E2247="","",IF(OR($U2247=TRUE(),$U2247="TRUE"),1,0))</f>
        <v/>
      </c>
      <c r="AQ2247">
        <f>IF($E2247="","",IF($AA2247="Yes",1,0))</f>
        <v/>
      </c>
      <c r="AR2247">
        <f>IF($AN2247=1,IFERROR(VALUE(MID($E2247,2,20)),1000000000)+ROW()/100000,"")</f>
        <v/>
      </c>
    </row>
    <row r="2248">
      <c r="G2248" s="11" t="n"/>
      <c r="Q2248" s="7">
        <f>IF($E2248="","",P2248*Y2248/100)</f>
        <v/>
      </c>
      <c r="R2248" s="7" t="n"/>
      <c r="X2248" s="7" t="n"/>
      <c r="Y2248" s="7" t="n"/>
      <c r="AB2248">
        <f>IF($E2248="","",IF($AQ2248=1,0,IF($AP2248=1,Settings!$C$6,Settings!$C$7))*100)</f>
        <v/>
      </c>
      <c r="AC2248" s="7">
        <f>IF($E2248="","",Y2248*AB2248/100)</f>
        <v/>
      </c>
      <c r="AD2248" s="7">
        <f>IF($E2248="","",Y2248-AC2248)</f>
        <v/>
      </c>
      <c r="AE2248" s="7">
        <f>IF($E2248="","",AD2248-Q2248)</f>
        <v/>
      </c>
      <c r="AI2248" s="7" t="n"/>
      <c r="AL2248" s="11" t="n"/>
      <c r="AN2248">
        <f>IF($E2248="","",IF(COUNTIF($E$2:$E2248,$E2248)=1,1,0))</f>
        <v/>
      </c>
      <c r="AO2248">
        <f>IF($AN2248=1,SUMPRODUCT(--($AR$2:$AR$4001&lt;$AR2248))+1,"")</f>
        <v/>
      </c>
      <c r="AP2248">
        <f>IF($E2248="","",IF(OR($U2248=TRUE(),$U2248="TRUE"),1,0))</f>
        <v/>
      </c>
      <c r="AQ2248">
        <f>IF($E2248="","",IF($AA2248="Yes",1,0))</f>
        <v/>
      </c>
      <c r="AR2248">
        <f>IF($AN2248=1,IFERROR(VALUE(MID($E2248,2,20)),1000000000)+ROW()/100000,"")</f>
        <v/>
      </c>
    </row>
    <row r="2249">
      <c r="G2249" s="11" t="n"/>
      <c r="Q2249" s="7">
        <f>IF($E2249="","",P2249*Y2249/100)</f>
        <v/>
      </c>
      <c r="R2249" s="7" t="n"/>
      <c r="X2249" s="7" t="n"/>
      <c r="Y2249" s="7" t="n"/>
      <c r="AB2249">
        <f>IF($E2249="","",IF($AQ2249=1,0,IF($AP2249=1,Settings!$C$6,Settings!$C$7))*100)</f>
        <v/>
      </c>
      <c r="AC2249" s="7">
        <f>IF($E2249="","",Y2249*AB2249/100)</f>
        <v/>
      </c>
      <c r="AD2249" s="7">
        <f>IF($E2249="","",Y2249-AC2249)</f>
        <v/>
      </c>
      <c r="AE2249" s="7">
        <f>IF($E2249="","",AD2249-Q2249)</f>
        <v/>
      </c>
      <c r="AI2249" s="7" t="n"/>
      <c r="AL2249" s="11" t="n"/>
      <c r="AN2249">
        <f>IF($E2249="","",IF(COUNTIF($E$2:$E2249,$E2249)=1,1,0))</f>
        <v/>
      </c>
      <c r="AO2249">
        <f>IF($AN2249=1,SUMPRODUCT(--($AR$2:$AR$4001&lt;$AR2249))+1,"")</f>
        <v/>
      </c>
      <c r="AP2249">
        <f>IF($E2249="","",IF(OR($U2249=TRUE(),$U2249="TRUE"),1,0))</f>
        <v/>
      </c>
      <c r="AQ2249">
        <f>IF($E2249="","",IF($AA2249="Yes",1,0))</f>
        <v/>
      </c>
      <c r="AR2249">
        <f>IF($AN2249=1,IFERROR(VALUE(MID($E2249,2,20)),1000000000)+ROW()/100000,"")</f>
        <v/>
      </c>
    </row>
    <row r="2250">
      <c r="G2250" s="11" t="n"/>
      <c r="Q2250" s="7">
        <f>IF($E2250="","",P2250*Y2250/100)</f>
        <v/>
      </c>
      <c r="R2250" s="7" t="n"/>
      <c r="X2250" s="7" t="n"/>
      <c r="Y2250" s="7" t="n"/>
      <c r="AB2250">
        <f>IF($E2250="","",IF($AQ2250=1,0,IF($AP2250=1,Settings!$C$6,Settings!$C$7))*100)</f>
        <v/>
      </c>
      <c r="AC2250" s="7">
        <f>IF($E2250="","",Y2250*AB2250/100)</f>
        <v/>
      </c>
      <c r="AD2250" s="7">
        <f>IF($E2250="","",Y2250-AC2250)</f>
        <v/>
      </c>
      <c r="AE2250" s="7">
        <f>IF($E2250="","",AD2250-Q2250)</f>
        <v/>
      </c>
      <c r="AI2250" s="7" t="n"/>
      <c r="AL2250" s="11" t="n"/>
      <c r="AN2250">
        <f>IF($E2250="","",IF(COUNTIF($E$2:$E2250,$E2250)=1,1,0))</f>
        <v/>
      </c>
      <c r="AO2250">
        <f>IF($AN2250=1,SUMPRODUCT(--($AR$2:$AR$4001&lt;$AR2250))+1,"")</f>
        <v/>
      </c>
      <c r="AP2250">
        <f>IF($E2250="","",IF(OR($U2250=TRUE(),$U2250="TRUE"),1,0))</f>
        <v/>
      </c>
      <c r="AQ2250">
        <f>IF($E2250="","",IF($AA2250="Yes",1,0))</f>
        <v/>
      </c>
      <c r="AR2250">
        <f>IF($AN2250=1,IFERROR(VALUE(MID($E2250,2,20)),1000000000)+ROW()/100000,"")</f>
        <v/>
      </c>
    </row>
    <row r="2251">
      <c r="G2251" s="11" t="n"/>
      <c r="Q2251" s="7">
        <f>IF($E2251="","",P2251*Y2251/100)</f>
        <v/>
      </c>
      <c r="R2251" s="7" t="n"/>
      <c r="X2251" s="7" t="n"/>
      <c r="Y2251" s="7" t="n"/>
      <c r="AB2251">
        <f>IF($E2251="","",IF($AQ2251=1,0,IF($AP2251=1,Settings!$C$6,Settings!$C$7))*100)</f>
        <v/>
      </c>
      <c r="AC2251" s="7">
        <f>IF($E2251="","",Y2251*AB2251/100)</f>
        <v/>
      </c>
      <c r="AD2251" s="7">
        <f>IF($E2251="","",Y2251-AC2251)</f>
        <v/>
      </c>
      <c r="AE2251" s="7">
        <f>IF($E2251="","",AD2251-Q2251)</f>
        <v/>
      </c>
      <c r="AI2251" s="7" t="n"/>
      <c r="AL2251" s="11" t="n"/>
      <c r="AN2251">
        <f>IF($E2251="","",IF(COUNTIF($E$2:$E2251,$E2251)=1,1,0))</f>
        <v/>
      </c>
      <c r="AO2251">
        <f>IF($AN2251=1,SUMPRODUCT(--($AR$2:$AR$4001&lt;$AR2251))+1,"")</f>
        <v/>
      </c>
      <c r="AP2251">
        <f>IF($E2251="","",IF(OR($U2251=TRUE(),$U2251="TRUE"),1,0))</f>
        <v/>
      </c>
      <c r="AQ2251">
        <f>IF($E2251="","",IF($AA2251="Yes",1,0))</f>
        <v/>
      </c>
      <c r="AR2251">
        <f>IF($AN2251=1,IFERROR(VALUE(MID($E2251,2,20)),1000000000)+ROW()/100000,"")</f>
        <v/>
      </c>
    </row>
    <row r="2252">
      <c r="G2252" s="11" t="n"/>
      <c r="Q2252" s="7">
        <f>IF($E2252="","",P2252*Y2252/100)</f>
        <v/>
      </c>
      <c r="R2252" s="7" t="n"/>
      <c r="X2252" s="7" t="n"/>
      <c r="Y2252" s="7" t="n"/>
      <c r="AB2252">
        <f>IF($E2252="","",IF($AQ2252=1,0,IF($AP2252=1,Settings!$C$6,Settings!$C$7))*100)</f>
        <v/>
      </c>
      <c r="AC2252" s="7">
        <f>IF($E2252="","",Y2252*AB2252/100)</f>
        <v/>
      </c>
      <c r="AD2252" s="7">
        <f>IF($E2252="","",Y2252-AC2252)</f>
        <v/>
      </c>
      <c r="AE2252" s="7">
        <f>IF($E2252="","",AD2252-Q2252)</f>
        <v/>
      </c>
      <c r="AI2252" s="7" t="n"/>
      <c r="AL2252" s="11" t="n"/>
      <c r="AN2252">
        <f>IF($E2252="","",IF(COUNTIF($E$2:$E2252,$E2252)=1,1,0))</f>
        <v/>
      </c>
      <c r="AO2252">
        <f>IF($AN2252=1,SUMPRODUCT(--($AR$2:$AR$4001&lt;$AR2252))+1,"")</f>
        <v/>
      </c>
      <c r="AP2252">
        <f>IF($E2252="","",IF(OR($U2252=TRUE(),$U2252="TRUE"),1,0))</f>
        <v/>
      </c>
      <c r="AQ2252">
        <f>IF($E2252="","",IF($AA2252="Yes",1,0))</f>
        <v/>
      </c>
      <c r="AR2252">
        <f>IF($AN2252=1,IFERROR(VALUE(MID($E2252,2,20)),1000000000)+ROW()/100000,"")</f>
        <v/>
      </c>
    </row>
    <row r="2253">
      <c r="G2253" s="11" t="n"/>
      <c r="Q2253" s="7">
        <f>IF($E2253="","",P2253*Y2253/100)</f>
        <v/>
      </c>
      <c r="R2253" s="7" t="n"/>
      <c r="X2253" s="7" t="n"/>
      <c r="Y2253" s="7" t="n"/>
      <c r="AB2253">
        <f>IF($E2253="","",IF($AQ2253=1,0,IF($AP2253=1,Settings!$C$6,Settings!$C$7))*100)</f>
        <v/>
      </c>
      <c r="AC2253" s="7">
        <f>IF($E2253="","",Y2253*AB2253/100)</f>
        <v/>
      </c>
      <c r="AD2253" s="7">
        <f>IF($E2253="","",Y2253-AC2253)</f>
        <v/>
      </c>
      <c r="AE2253" s="7">
        <f>IF($E2253="","",AD2253-Q2253)</f>
        <v/>
      </c>
      <c r="AI2253" s="7" t="n"/>
      <c r="AL2253" s="11" t="n"/>
      <c r="AN2253">
        <f>IF($E2253="","",IF(COUNTIF($E$2:$E2253,$E2253)=1,1,0))</f>
        <v/>
      </c>
      <c r="AO2253">
        <f>IF($AN2253=1,SUMPRODUCT(--($AR$2:$AR$4001&lt;$AR2253))+1,"")</f>
        <v/>
      </c>
      <c r="AP2253">
        <f>IF($E2253="","",IF(OR($U2253=TRUE(),$U2253="TRUE"),1,0))</f>
        <v/>
      </c>
      <c r="AQ2253">
        <f>IF($E2253="","",IF($AA2253="Yes",1,0))</f>
        <v/>
      </c>
      <c r="AR2253">
        <f>IF($AN2253=1,IFERROR(VALUE(MID($E2253,2,20)),1000000000)+ROW()/100000,"")</f>
        <v/>
      </c>
    </row>
    <row r="2254">
      <c r="G2254" s="11" t="n"/>
      <c r="Q2254" s="7">
        <f>IF($E2254="","",P2254*Y2254/100)</f>
        <v/>
      </c>
      <c r="R2254" s="7" t="n"/>
      <c r="X2254" s="7" t="n"/>
      <c r="Y2254" s="7" t="n"/>
      <c r="AB2254">
        <f>IF($E2254="","",IF($AQ2254=1,0,IF($AP2254=1,Settings!$C$6,Settings!$C$7))*100)</f>
        <v/>
      </c>
      <c r="AC2254" s="7">
        <f>IF($E2254="","",Y2254*AB2254/100)</f>
        <v/>
      </c>
      <c r="AD2254" s="7">
        <f>IF($E2254="","",Y2254-AC2254)</f>
        <v/>
      </c>
      <c r="AE2254" s="7">
        <f>IF($E2254="","",AD2254-Q2254)</f>
        <v/>
      </c>
      <c r="AI2254" s="7" t="n"/>
      <c r="AL2254" s="11" t="n"/>
      <c r="AN2254">
        <f>IF($E2254="","",IF(COUNTIF($E$2:$E2254,$E2254)=1,1,0))</f>
        <v/>
      </c>
      <c r="AO2254">
        <f>IF($AN2254=1,SUMPRODUCT(--($AR$2:$AR$4001&lt;$AR2254))+1,"")</f>
        <v/>
      </c>
      <c r="AP2254">
        <f>IF($E2254="","",IF(OR($U2254=TRUE(),$U2254="TRUE"),1,0))</f>
        <v/>
      </c>
      <c r="AQ2254">
        <f>IF($E2254="","",IF($AA2254="Yes",1,0))</f>
        <v/>
      </c>
      <c r="AR2254">
        <f>IF($AN2254=1,IFERROR(VALUE(MID($E2254,2,20)),1000000000)+ROW()/100000,"")</f>
        <v/>
      </c>
    </row>
    <row r="2255">
      <c r="G2255" s="11" t="n"/>
      <c r="Q2255" s="7">
        <f>IF($E2255="","",P2255*Y2255/100)</f>
        <v/>
      </c>
      <c r="R2255" s="7" t="n"/>
      <c r="X2255" s="7" t="n"/>
      <c r="Y2255" s="7" t="n"/>
      <c r="AB2255">
        <f>IF($E2255="","",IF($AQ2255=1,0,IF($AP2255=1,Settings!$C$6,Settings!$C$7))*100)</f>
        <v/>
      </c>
      <c r="AC2255" s="7">
        <f>IF($E2255="","",Y2255*AB2255/100)</f>
        <v/>
      </c>
      <c r="AD2255" s="7">
        <f>IF($E2255="","",Y2255-AC2255)</f>
        <v/>
      </c>
      <c r="AE2255" s="7">
        <f>IF($E2255="","",AD2255-Q2255)</f>
        <v/>
      </c>
      <c r="AI2255" s="7" t="n"/>
      <c r="AL2255" s="11" t="n"/>
      <c r="AN2255">
        <f>IF($E2255="","",IF(COUNTIF($E$2:$E2255,$E2255)=1,1,0))</f>
        <v/>
      </c>
      <c r="AO2255">
        <f>IF($AN2255=1,SUMPRODUCT(--($AR$2:$AR$4001&lt;$AR2255))+1,"")</f>
        <v/>
      </c>
      <c r="AP2255">
        <f>IF($E2255="","",IF(OR($U2255=TRUE(),$U2255="TRUE"),1,0))</f>
        <v/>
      </c>
      <c r="AQ2255">
        <f>IF($E2255="","",IF($AA2255="Yes",1,0))</f>
        <v/>
      </c>
      <c r="AR2255">
        <f>IF($AN2255=1,IFERROR(VALUE(MID($E2255,2,20)),1000000000)+ROW()/100000,"")</f>
        <v/>
      </c>
    </row>
    <row r="2256">
      <c r="G2256" s="11" t="n"/>
      <c r="Q2256" s="7">
        <f>IF($E2256="","",P2256*Y2256/100)</f>
        <v/>
      </c>
      <c r="R2256" s="7" t="n"/>
      <c r="X2256" s="7" t="n"/>
      <c r="Y2256" s="7" t="n"/>
      <c r="AB2256">
        <f>IF($E2256="","",IF($AQ2256=1,0,IF($AP2256=1,Settings!$C$6,Settings!$C$7))*100)</f>
        <v/>
      </c>
      <c r="AC2256" s="7">
        <f>IF($E2256="","",Y2256*AB2256/100)</f>
        <v/>
      </c>
      <c r="AD2256" s="7">
        <f>IF($E2256="","",Y2256-AC2256)</f>
        <v/>
      </c>
      <c r="AE2256" s="7">
        <f>IF($E2256="","",AD2256-Q2256)</f>
        <v/>
      </c>
      <c r="AI2256" s="7" t="n"/>
      <c r="AL2256" s="11" t="n"/>
      <c r="AN2256">
        <f>IF($E2256="","",IF(COUNTIF($E$2:$E2256,$E2256)=1,1,0))</f>
        <v/>
      </c>
      <c r="AO2256">
        <f>IF($AN2256=1,SUMPRODUCT(--($AR$2:$AR$4001&lt;$AR2256))+1,"")</f>
        <v/>
      </c>
      <c r="AP2256">
        <f>IF($E2256="","",IF(OR($U2256=TRUE(),$U2256="TRUE"),1,0))</f>
        <v/>
      </c>
      <c r="AQ2256">
        <f>IF($E2256="","",IF($AA2256="Yes",1,0))</f>
        <v/>
      </c>
      <c r="AR2256">
        <f>IF($AN2256=1,IFERROR(VALUE(MID($E2256,2,20)),1000000000)+ROW()/100000,"")</f>
        <v/>
      </c>
    </row>
    <row r="2257">
      <c r="G2257" s="11" t="n"/>
      <c r="Q2257" s="7">
        <f>IF($E2257="","",P2257*Y2257/100)</f>
        <v/>
      </c>
      <c r="R2257" s="7" t="n"/>
      <c r="X2257" s="7" t="n"/>
      <c r="Y2257" s="7" t="n"/>
      <c r="AB2257">
        <f>IF($E2257="","",IF($AQ2257=1,0,IF($AP2257=1,Settings!$C$6,Settings!$C$7))*100)</f>
        <v/>
      </c>
      <c r="AC2257" s="7">
        <f>IF($E2257="","",Y2257*AB2257/100)</f>
        <v/>
      </c>
      <c r="AD2257" s="7">
        <f>IF($E2257="","",Y2257-AC2257)</f>
        <v/>
      </c>
      <c r="AE2257" s="7">
        <f>IF($E2257="","",AD2257-Q2257)</f>
        <v/>
      </c>
      <c r="AI2257" s="7" t="n"/>
      <c r="AL2257" s="11" t="n"/>
      <c r="AN2257">
        <f>IF($E2257="","",IF(COUNTIF($E$2:$E2257,$E2257)=1,1,0))</f>
        <v/>
      </c>
      <c r="AO2257">
        <f>IF($AN2257=1,SUMPRODUCT(--($AR$2:$AR$4001&lt;$AR2257))+1,"")</f>
        <v/>
      </c>
      <c r="AP2257">
        <f>IF($E2257="","",IF(OR($U2257=TRUE(),$U2257="TRUE"),1,0))</f>
        <v/>
      </c>
      <c r="AQ2257">
        <f>IF($E2257="","",IF($AA2257="Yes",1,0))</f>
        <v/>
      </c>
      <c r="AR2257">
        <f>IF($AN2257=1,IFERROR(VALUE(MID($E2257,2,20)),1000000000)+ROW()/100000,"")</f>
        <v/>
      </c>
    </row>
    <row r="2258">
      <c r="G2258" s="11" t="n"/>
      <c r="Q2258" s="7">
        <f>IF($E2258="","",P2258*Y2258/100)</f>
        <v/>
      </c>
      <c r="R2258" s="7" t="n"/>
      <c r="X2258" s="7" t="n"/>
      <c r="Y2258" s="7" t="n"/>
      <c r="AB2258">
        <f>IF($E2258="","",IF($AQ2258=1,0,IF($AP2258=1,Settings!$C$6,Settings!$C$7))*100)</f>
        <v/>
      </c>
      <c r="AC2258" s="7">
        <f>IF($E2258="","",Y2258*AB2258/100)</f>
        <v/>
      </c>
      <c r="AD2258" s="7">
        <f>IF($E2258="","",Y2258-AC2258)</f>
        <v/>
      </c>
      <c r="AE2258" s="7">
        <f>IF($E2258="","",AD2258-Q2258)</f>
        <v/>
      </c>
      <c r="AI2258" s="7" t="n"/>
      <c r="AL2258" s="11" t="n"/>
      <c r="AN2258">
        <f>IF($E2258="","",IF(COUNTIF($E$2:$E2258,$E2258)=1,1,0))</f>
        <v/>
      </c>
      <c r="AO2258">
        <f>IF($AN2258=1,SUMPRODUCT(--($AR$2:$AR$4001&lt;$AR2258))+1,"")</f>
        <v/>
      </c>
      <c r="AP2258">
        <f>IF($E2258="","",IF(OR($U2258=TRUE(),$U2258="TRUE"),1,0))</f>
        <v/>
      </c>
      <c r="AQ2258">
        <f>IF($E2258="","",IF($AA2258="Yes",1,0))</f>
        <v/>
      </c>
      <c r="AR2258">
        <f>IF($AN2258=1,IFERROR(VALUE(MID($E2258,2,20)),1000000000)+ROW()/100000,"")</f>
        <v/>
      </c>
    </row>
    <row r="2259">
      <c r="G2259" s="11" t="n"/>
      <c r="Q2259" s="7">
        <f>IF($E2259="","",P2259*Y2259/100)</f>
        <v/>
      </c>
      <c r="R2259" s="7" t="n"/>
      <c r="X2259" s="7" t="n"/>
      <c r="Y2259" s="7" t="n"/>
      <c r="AB2259">
        <f>IF($E2259="","",IF($AQ2259=1,0,IF($AP2259=1,Settings!$C$6,Settings!$C$7))*100)</f>
        <v/>
      </c>
      <c r="AC2259" s="7">
        <f>IF($E2259="","",Y2259*AB2259/100)</f>
        <v/>
      </c>
      <c r="AD2259" s="7">
        <f>IF($E2259="","",Y2259-AC2259)</f>
        <v/>
      </c>
      <c r="AE2259" s="7">
        <f>IF($E2259="","",AD2259-Q2259)</f>
        <v/>
      </c>
      <c r="AI2259" s="7" t="n"/>
      <c r="AL2259" s="11" t="n"/>
      <c r="AN2259">
        <f>IF($E2259="","",IF(COUNTIF($E$2:$E2259,$E2259)=1,1,0))</f>
        <v/>
      </c>
      <c r="AO2259">
        <f>IF($AN2259=1,SUMPRODUCT(--($AR$2:$AR$4001&lt;$AR2259))+1,"")</f>
        <v/>
      </c>
      <c r="AP2259">
        <f>IF($E2259="","",IF(OR($U2259=TRUE(),$U2259="TRUE"),1,0))</f>
        <v/>
      </c>
      <c r="AQ2259">
        <f>IF($E2259="","",IF($AA2259="Yes",1,0))</f>
        <v/>
      </c>
      <c r="AR2259">
        <f>IF($AN2259=1,IFERROR(VALUE(MID($E2259,2,20)),1000000000)+ROW()/100000,"")</f>
        <v/>
      </c>
    </row>
    <row r="2260">
      <c r="G2260" s="11" t="n"/>
      <c r="Q2260" s="7">
        <f>IF($E2260="","",P2260*Y2260/100)</f>
        <v/>
      </c>
      <c r="R2260" s="7" t="n"/>
      <c r="X2260" s="7" t="n"/>
      <c r="Y2260" s="7" t="n"/>
      <c r="AB2260">
        <f>IF($E2260="","",IF($AQ2260=1,0,IF($AP2260=1,Settings!$C$6,Settings!$C$7))*100)</f>
        <v/>
      </c>
      <c r="AC2260" s="7">
        <f>IF($E2260="","",Y2260*AB2260/100)</f>
        <v/>
      </c>
      <c r="AD2260" s="7">
        <f>IF($E2260="","",Y2260-AC2260)</f>
        <v/>
      </c>
      <c r="AE2260" s="7">
        <f>IF($E2260="","",AD2260-Q2260)</f>
        <v/>
      </c>
      <c r="AI2260" s="7" t="n"/>
      <c r="AL2260" s="11" t="n"/>
      <c r="AN2260">
        <f>IF($E2260="","",IF(COUNTIF($E$2:$E2260,$E2260)=1,1,0))</f>
        <v/>
      </c>
      <c r="AO2260">
        <f>IF($AN2260=1,SUMPRODUCT(--($AR$2:$AR$4001&lt;$AR2260))+1,"")</f>
        <v/>
      </c>
      <c r="AP2260">
        <f>IF($E2260="","",IF(OR($U2260=TRUE(),$U2260="TRUE"),1,0))</f>
        <v/>
      </c>
      <c r="AQ2260">
        <f>IF($E2260="","",IF($AA2260="Yes",1,0))</f>
        <v/>
      </c>
      <c r="AR2260">
        <f>IF($AN2260=1,IFERROR(VALUE(MID($E2260,2,20)),1000000000)+ROW()/100000,"")</f>
        <v/>
      </c>
    </row>
    <row r="2261">
      <c r="G2261" s="11" t="n"/>
      <c r="Q2261" s="7">
        <f>IF($E2261="","",P2261*Y2261/100)</f>
        <v/>
      </c>
      <c r="R2261" s="7" t="n"/>
      <c r="X2261" s="7" t="n"/>
      <c r="Y2261" s="7" t="n"/>
      <c r="AB2261">
        <f>IF($E2261="","",IF($AQ2261=1,0,IF($AP2261=1,Settings!$C$6,Settings!$C$7))*100)</f>
        <v/>
      </c>
      <c r="AC2261" s="7">
        <f>IF($E2261="","",Y2261*AB2261/100)</f>
        <v/>
      </c>
      <c r="AD2261" s="7">
        <f>IF($E2261="","",Y2261-AC2261)</f>
        <v/>
      </c>
      <c r="AE2261" s="7">
        <f>IF($E2261="","",AD2261-Q2261)</f>
        <v/>
      </c>
      <c r="AI2261" s="7" t="n"/>
      <c r="AL2261" s="11" t="n"/>
      <c r="AN2261">
        <f>IF($E2261="","",IF(COUNTIF($E$2:$E2261,$E2261)=1,1,0))</f>
        <v/>
      </c>
      <c r="AO2261">
        <f>IF($AN2261=1,SUMPRODUCT(--($AR$2:$AR$4001&lt;$AR2261))+1,"")</f>
        <v/>
      </c>
      <c r="AP2261">
        <f>IF($E2261="","",IF(OR($U2261=TRUE(),$U2261="TRUE"),1,0))</f>
        <v/>
      </c>
      <c r="AQ2261">
        <f>IF($E2261="","",IF($AA2261="Yes",1,0))</f>
        <v/>
      </c>
      <c r="AR2261">
        <f>IF($AN2261=1,IFERROR(VALUE(MID($E2261,2,20)),1000000000)+ROW()/100000,"")</f>
        <v/>
      </c>
    </row>
    <row r="2262">
      <c r="G2262" s="11" t="n"/>
      <c r="Q2262" s="7">
        <f>IF($E2262="","",P2262*Y2262/100)</f>
        <v/>
      </c>
      <c r="R2262" s="7" t="n"/>
      <c r="X2262" s="7" t="n"/>
      <c r="Y2262" s="7" t="n"/>
      <c r="AB2262">
        <f>IF($E2262="","",IF($AQ2262=1,0,IF($AP2262=1,Settings!$C$6,Settings!$C$7))*100)</f>
        <v/>
      </c>
      <c r="AC2262" s="7">
        <f>IF($E2262="","",Y2262*AB2262/100)</f>
        <v/>
      </c>
      <c r="AD2262" s="7">
        <f>IF($E2262="","",Y2262-AC2262)</f>
        <v/>
      </c>
      <c r="AE2262" s="7">
        <f>IF($E2262="","",AD2262-Q2262)</f>
        <v/>
      </c>
      <c r="AI2262" s="7" t="n"/>
      <c r="AL2262" s="11" t="n"/>
      <c r="AN2262">
        <f>IF($E2262="","",IF(COUNTIF($E$2:$E2262,$E2262)=1,1,0))</f>
        <v/>
      </c>
      <c r="AO2262">
        <f>IF($AN2262=1,SUMPRODUCT(--($AR$2:$AR$4001&lt;$AR2262))+1,"")</f>
        <v/>
      </c>
      <c r="AP2262">
        <f>IF($E2262="","",IF(OR($U2262=TRUE(),$U2262="TRUE"),1,0))</f>
        <v/>
      </c>
      <c r="AQ2262">
        <f>IF($E2262="","",IF($AA2262="Yes",1,0))</f>
        <v/>
      </c>
      <c r="AR2262">
        <f>IF($AN2262=1,IFERROR(VALUE(MID($E2262,2,20)),1000000000)+ROW()/100000,"")</f>
        <v/>
      </c>
    </row>
    <row r="2263">
      <c r="G2263" s="11" t="n"/>
      <c r="Q2263" s="7">
        <f>IF($E2263="","",P2263*Y2263/100)</f>
        <v/>
      </c>
      <c r="R2263" s="7" t="n"/>
      <c r="X2263" s="7" t="n"/>
      <c r="Y2263" s="7" t="n"/>
      <c r="AB2263">
        <f>IF($E2263="","",IF($AQ2263=1,0,IF($AP2263=1,Settings!$C$6,Settings!$C$7))*100)</f>
        <v/>
      </c>
      <c r="AC2263" s="7">
        <f>IF($E2263="","",Y2263*AB2263/100)</f>
        <v/>
      </c>
      <c r="AD2263" s="7">
        <f>IF($E2263="","",Y2263-AC2263)</f>
        <v/>
      </c>
      <c r="AE2263" s="7">
        <f>IF($E2263="","",AD2263-Q2263)</f>
        <v/>
      </c>
      <c r="AI2263" s="7" t="n"/>
      <c r="AL2263" s="11" t="n"/>
      <c r="AN2263">
        <f>IF($E2263="","",IF(COUNTIF($E$2:$E2263,$E2263)=1,1,0))</f>
        <v/>
      </c>
      <c r="AO2263">
        <f>IF($AN2263=1,SUMPRODUCT(--($AR$2:$AR$4001&lt;$AR2263))+1,"")</f>
        <v/>
      </c>
      <c r="AP2263">
        <f>IF($E2263="","",IF(OR($U2263=TRUE(),$U2263="TRUE"),1,0))</f>
        <v/>
      </c>
      <c r="AQ2263">
        <f>IF($E2263="","",IF($AA2263="Yes",1,0))</f>
        <v/>
      </c>
      <c r="AR2263">
        <f>IF($AN2263=1,IFERROR(VALUE(MID($E2263,2,20)),1000000000)+ROW()/100000,"")</f>
        <v/>
      </c>
    </row>
    <row r="2264">
      <c r="G2264" s="11" t="n"/>
      <c r="Q2264" s="7">
        <f>IF($E2264="","",P2264*Y2264/100)</f>
        <v/>
      </c>
      <c r="R2264" s="7" t="n"/>
      <c r="X2264" s="7" t="n"/>
      <c r="Y2264" s="7" t="n"/>
      <c r="AB2264">
        <f>IF($E2264="","",IF($AQ2264=1,0,IF($AP2264=1,Settings!$C$6,Settings!$C$7))*100)</f>
        <v/>
      </c>
      <c r="AC2264" s="7">
        <f>IF($E2264="","",Y2264*AB2264/100)</f>
        <v/>
      </c>
      <c r="AD2264" s="7">
        <f>IF($E2264="","",Y2264-AC2264)</f>
        <v/>
      </c>
      <c r="AE2264" s="7">
        <f>IF($E2264="","",AD2264-Q2264)</f>
        <v/>
      </c>
      <c r="AI2264" s="7" t="n"/>
      <c r="AL2264" s="11" t="n"/>
      <c r="AN2264">
        <f>IF($E2264="","",IF(COUNTIF($E$2:$E2264,$E2264)=1,1,0))</f>
        <v/>
      </c>
      <c r="AO2264">
        <f>IF($AN2264=1,SUMPRODUCT(--($AR$2:$AR$4001&lt;$AR2264))+1,"")</f>
        <v/>
      </c>
      <c r="AP2264">
        <f>IF($E2264="","",IF(OR($U2264=TRUE(),$U2264="TRUE"),1,0))</f>
        <v/>
      </c>
      <c r="AQ2264">
        <f>IF($E2264="","",IF($AA2264="Yes",1,0))</f>
        <v/>
      </c>
      <c r="AR2264">
        <f>IF($AN2264=1,IFERROR(VALUE(MID($E2264,2,20)),1000000000)+ROW()/100000,"")</f>
        <v/>
      </c>
    </row>
    <row r="2265">
      <c r="G2265" s="11" t="n"/>
      <c r="Q2265" s="7">
        <f>IF($E2265="","",P2265*Y2265/100)</f>
        <v/>
      </c>
      <c r="R2265" s="7" t="n"/>
      <c r="X2265" s="7" t="n"/>
      <c r="Y2265" s="7" t="n"/>
      <c r="AB2265">
        <f>IF($E2265="","",IF($AQ2265=1,0,IF($AP2265=1,Settings!$C$6,Settings!$C$7))*100)</f>
        <v/>
      </c>
      <c r="AC2265" s="7">
        <f>IF($E2265="","",Y2265*AB2265/100)</f>
        <v/>
      </c>
      <c r="AD2265" s="7">
        <f>IF($E2265="","",Y2265-AC2265)</f>
        <v/>
      </c>
      <c r="AE2265" s="7">
        <f>IF($E2265="","",AD2265-Q2265)</f>
        <v/>
      </c>
      <c r="AI2265" s="7" t="n"/>
      <c r="AL2265" s="11" t="n"/>
      <c r="AN2265">
        <f>IF($E2265="","",IF(COUNTIF($E$2:$E2265,$E2265)=1,1,0))</f>
        <v/>
      </c>
      <c r="AO2265">
        <f>IF($AN2265=1,SUMPRODUCT(--($AR$2:$AR$4001&lt;$AR2265))+1,"")</f>
        <v/>
      </c>
      <c r="AP2265">
        <f>IF($E2265="","",IF(OR($U2265=TRUE(),$U2265="TRUE"),1,0))</f>
        <v/>
      </c>
      <c r="AQ2265">
        <f>IF($E2265="","",IF($AA2265="Yes",1,0))</f>
        <v/>
      </c>
      <c r="AR2265">
        <f>IF($AN2265=1,IFERROR(VALUE(MID($E2265,2,20)),1000000000)+ROW()/100000,"")</f>
        <v/>
      </c>
    </row>
    <row r="2266">
      <c r="G2266" s="11" t="n"/>
      <c r="Q2266" s="7">
        <f>IF($E2266="","",P2266*Y2266/100)</f>
        <v/>
      </c>
      <c r="R2266" s="7" t="n"/>
      <c r="X2266" s="7" t="n"/>
      <c r="Y2266" s="7" t="n"/>
      <c r="AB2266">
        <f>IF($E2266="","",IF($AQ2266=1,0,IF($AP2266=1,Settings!$C$6,Settings!$C$7))*100)</f>
        <v/>
      </c>
      <c r="AC2266" s="7">
        <f>IF($E2266="","",Y2266*AB2266/100)</f>
        <v/>
      </c>
      <c r="AD2266" s="7">
        <f>IF($E2266="","",Y2266-AC2266)</f>
        <v/>
      </c>
      <c r="AE2266" s="7">
        <f>IF($E2266="","",AD2266-Q2266)</f>
        <v/>
      </c>
      <c r="AI2266" s="7" t="n"/>
      <c r="AL2266" s="11" t="n"/>
      <c r="AN2266">
        <f>IF($E2266="","",IF(COUNTIF($E$2:$E2266,$E2266)=1,1,0))</f>
        <v/>
      </c>
      <c r="AO2266">
        <f>IF($AN2266=1,SUMPRODUCT(--($AR$2:$AR$4001&lt;$AR2266))+1,"")</f>
        <v/>
      </c>
      <c r="AP2266">
        <f>IF($E2266="","",IF(OR($U2266=TRUE(),$U2266="TRUE"),1,0))</f>
        <v/>
      </c>
      <c r="AQ2266">
        <f>IF($E2266="","",IF($AA2266="Yes",1,0))</f>
        <v/>
      </c>
      <c r="AR2266">
        <f>IF($AN2266=1,IFERROR(VALUE(MID($E2266,2,20)),1000000000)+ROW()/100000,"")</f>
        <v/>
      </c>
    </row>
    <row r="2267">
      <c r="G2267" s="11" t="n"/>
      <c r="Q2267" s="7">
        <f>IF($E2267="","",P2267*Y2267/100)</f>
        <v/>
      </c>
      <c r="R2267" s="7" t="n"/>
      <c r="X2267" s="7" t="n"/>
      <c r="Y2267" s="7" t="n"/>
      <c r="AB2267">
        <f>IF($E2267="","",IF($AQ2267=1,0,IF($AP2267=1,Settings!$C$6,Settings!$C$7))*100)</f>
        <v/>
      </c>
      <c r="AC2267" s="7">
        <f>IF($E2267="","",Y2267*AB2267/100)</f>
        <v/>
      </c>
      <c r="AD2267" s="7">
        <f>IF($E2267="","",Y2267-AC2267)</f>
        <v/>
      </c>
      <c r="AE2267" s="7">
        <f>IF($E2267="","",AD2267-Q2267)</f>
        <v/>
      </c>
      <c r="AI2267" s="7" t="n"/>
      <c r="AL2267" s="11" t="n"/>
      <c r="AN2267">
        <f>IF($E2267="","",IF(COUNTIF($E$2:$E2267,$E2267)=1,1,0))</f>
        <v/>
      </c>
      <c r="AO2267">
        <f>IF($AN2267=1,SUMPRODUCT(--($AR$2:$AR$4001&lt;$AR2267))+1,"")</f>
        <v/>
      </c>
      <c r="AP2267">
        <f>IF($E2267="","",IF(OR($U2267=TRUE(),$U2267="TRUE"),1,0))</f>
        <v/>
      </c>
      <c r="AQ2267">
        <f>IF($E2267="","",IF($AA2267="Yes",1,0))</f>
        <v/>
      </c>
      <c r="AR2267">
        <f>IF($AN2267=1,IFERROR(VALUE(MID($E2267,2,20)),1000000000)+ROW()/100000,"")</f>
        <v/>
      </c>
    </row>
    <row r="2268">
      <c r="G2268" s="11" t="n"/>
      <c r="Q2268" s="7">
        <f>IF($E2268="","",P2268*Y2268/100)</f>
        <v/>
      </c>
      <c r="R2268" s="7" t="n"/>
      <c r="X2268" s="7" t="n"/>
      <c r="Y2268" s="7" t="n"/>
      <c r="AB2268">
        <f>IF($E2268="","",IF($AQ2268=1,0,IF($AP2268=1,Settings!$C$6,Settings!$C$7))*100)</f>
        <v/>
      </c>
      <c r="AC2268" s="7">
        <f>IF($E2268="","",Y2268*AB2268/100)</f>
        <v/>
      </c>
      <c r="AD2268" s="7">
        <f>IF($E2268="","",Y2268-AC2268)</f>
        <v/>
      </c>
      <c r="AE2268" s="7">
        <f>IF($E2268="","",AD2268-Q2268)</f>
        <v/>
      </c>
      <c r="AI2268" s="7" t="n"/>
      <c r="AL2268" s="11" t="n"/>
      <c r="AN2268">
        <f>IF($E2268="","",IF(COUNTIF($E$2:$E2268,$E2268)=1,1,0))</f>
        <v/>
      </c>
      <c r="AO2268">
        <f>IF($AN2268=1,SUMPRODUCT(--($AR$2:$AR$4001&lt;$AR2268))+1,"")</f>
        <v/>
      </c>
      <c r="AP2268">
        <f>IF($E2268="","",IF(OR($U2268=TRUE(),$U2268="TRUE"),1,0))</f>
        <v/>
      </c>
      <c r="AQ2268">
        <f>IF($E2268="","",IF($AA2268="Yes",1,0))</f>
        <v/>
      </c>
      <c r="AR2268">
        <f>IF($AN2268=1,IFERROR(VALUE(MID($E2268,2,20)),1000000000)+ROW()/100000,"")</f>
        <v/>
      </c>
    </row>
    <row r="2269">
      <c r="G2269" s="11" t="n"/>
      <c r="Q2269" s="7">
        <f>IF($E2269="","",P2269*Y2269/100)</f>
        <v/>
      </c>
      <c r="R2269" s="7" t="n"/>
      <c r="X2269" s="7" t="n"/>
      <c r="Y2269" s="7" t="n"/>
      <c r="AB2269">
        <f>IF($E2269="","",IF($AQ2269=1,0,IF($AP2269=1,Settings!$C$6,Settings!$C$7))*100)</f>
        <v/>
      </c>
      <c r="AC2269" s="7">
        <f>IF($E2269="","",Y2269*AB2269/100)</f>
        <v/>
      </c>
      <c r="AD2269" s="7">
        <f>IF($E2269="","",Y2269-AC2269)</f>
        <v/>
      </c>
      <c r="AE2269" s="7">
        <f>IF($E2269="","",AD2269-Q2269)</f>
        <v/>
      </c>
      <c r="AI2269" s="7" t="n"/>
      <c r="AL2269" s="11" t="n"/>
      <c r="AN2269">
        <f>IF($E2269="","",IF(COUNTIF($E$2:$E2269,$E2269)=1,1,0))</f>
        <v/>
      </c>
      <c r="AO2269">
        <f>IF($AN2269=1,SUMPRODUCT(--($AR$2:$AR$4001&lt;$AR2269))+1,"")</f>
        <v/>
      </c>
      <c r="AP2269">
        <f>IF($E2269="","",IF(OR($U2269=TRUE(),$U2269="TRUE"),1,0))</f>
        <v/>
      </c>
      <c r="AQ2269">
        <f>IF($E2269="","",IF($AA2269="Yes",1,0))</f>
        <v/>
      </c>
      <c r="AR2269">
        <f>IF($AN2269=1,IFERROR(VALUE(MID($E2269,2,20)),1000000000)+ROW()/100000,"")</f>
        <v/>
      </c>
    </row>
    <row r="2270">
      <c r="G2270" s="11" t="n"/>
      <c r="Q2270" s="7">
        <f>IF($E2270="","",P2270*Y2270/100)</f>
        <v/>
      </c>
      <c r="R2270" s="7" t="n"/>
      <c r="X2270" s="7" t="n"/>
      <c r="Y2270" s="7" t="n"/>
      <c r="AB2270">
        <f>IF($E2270="","",IF($AQ2270=1,0,IF($AP2270=1,Settings!$C$6,Settings!$C$7))*100)</f>
        <v/>
      </c>
      <c r="AC2270" s="7">
        <f>IF($E2270="","",Y2270*AB2270/100)</f>
        <v/>
      </c>
      <c r="AD2270" s="7">
        <f>IF($E2270="","",Y2270-AC2270)</f>
        <v/>
      </c>
      <c r="AE2270" s="7">
        <f>IF($E2270="","",AD2270-Q2270)</f>
        <v/>
      </c>
      <c r="AI2270" s="7" t="n"/>
      <c r="AL2270" s="11" t="n"/>
      <c r="AN2270">
        <f>IF($E2270="","",IF(COUNTIF($E$2:$E2270,$E2270)=1,1,0))</f>
        <v/>
      </c>
      <c r="AO2270">
        <f>IF($AN2270=1,SUMPRODUCT(--($AR$2:$AR$4001&lt;$AR2270))+1,"")</f>
        <v/>
      </c>
      <c r="AP2270">
        <f>IF($E2270="","",IF(OR($U2270=TRUE(),$U2270="TRUE"),1,0))</f>
        <v/>
      </c>
      <c r="AQ2270">
        <f>IF($E2270="","",IF($AA2270="Yes",1,0))</f>
        <v/>
      </c>
      <c r="AR2270">
        <f>IF($AN2270=1,IFERROR(VALUE(MID($E2270,2,20)),1000000000)+ROW()/100000,"")</f>
        <v/>
      </c>
    </row>
    <row r="2271">
      <c r="G2271" s="11" t="n"/>
      <c r="Q2271" s="7">
        <f>IF($E2271="","",P2271*Y2271/100)</f>
        <v/>
      </c>
      <c r="R2271" s="7" t="n"/>
      <c r="X2271" s="7" t="n"/>
      <c r="Y2271" s="7" t="n"/>
      <c r="AB2271">
        <f>IF($E2271="","",IF($AQ2271=1,0,IF($AP2271=1,Settings!$C$6,Settings!$C$7))*100)</f>
        <v/>
      </c>
      <c r="AC2271" s="7">
        <f>IF($E2271="","",Y2271*AB2271/100)</f>
        <v/>
      </c>
      <c r="AD2271" s="7">
        <f>IF($E2271="","",Y2271-AC2271)</f>
        <v/>
      </c>
      <c r="AE2271" s="7">
        <f>IF($E2271="","",AD2271-Q2271)</f>
        <v/>
      </c>
      <c r="AI2271" s="7" t="n"/>
      <c r="AL2271" s="11" t="n"/>
      <c r="AN2271">
        <f>IF($E2271="","",IF(COUNTIF($E$2:$E2271,$E2271)=1,1,0))</f>
        <v/>
      </c>
      <c r="AO2271">
        <f>IF($AN2271=1,SUMPRODUCT(--($AR$2:$AR$4001&lt;$AR2271))+1,"")</f>
        <v/>
      </c>
      <c r="AP2271">
        <f>IF($E2271="","",IF(OR($U2271=TRUE(),$U2271="TRUE"),1,0))</f>
        <v/>
      </c>
      <c r="AQ2271">
        <f>IF($E2271="","",IF($AA2271="Yes",1,0))</f>
        <v/>
      </c>
      <c r="AR2271">
        <f>IF($AN2271=1,IFERROR(VALUE(MID($E2271,2,20)),1000000000)+ROW()/100000,"")</f>
        <v/>
      </c>
    </row>
    <row r="2272">
      <c r="G2272" s="11" t="n"/>
      <c r="Q2272" s="7">
        <f>IF($E2272="","",P2272*Y2272/100)</f>
        <v/>
      </c>
      <c r="R2272" s="7" t="n"/>
      <c r="X2272" s="7" t="n"/>
      <c r="Y2272" s="7" t="n"/>
      <c r="AB2272">
        <f>IF($E2272="","",IF($AQ2272=1,0,IF($AP2272=1,Settings!$C$6,Settings!$C$7))*100)</f>
        <v/>
      </c>
      <c r="AC2272" s="7">
        <f>IF($E2272="","",Y2272*AB2272/100)</f>
        <v/>
      </c>
      <c r="AD2272" s="7">
        <f>IF($E2272="","",Y2272-AC2272)</f>
        <v/>
      </c>
      <c r="AE2272" s="7">
        <f>IF($E2272="","",AD2272-Q2272)</f>
        <v/>
      </c>
      <c r="AI2272" s="7" t="n"/>
      <c r="AL2272" s="11" t="n"/>
      <c r="AN2272">
        <f>IF($E2272="","",IF(COUNTIF($E$2:$E2272,$E2272)=1,1,0))</f>
        <v/>
      </c>
      <c r="AO2272">
        <f>IF($AN2272=1,SUMPRODUCT(--($AR$2:$AR$4001&lt;$AR2272))+1,"")</f>
        <v/>
      </c>
      <c r="AP2272">
        <f>IF($E2272="","",IF(OR($U2272=TRUE(),$U2272="TRUE"),1,0))</f>
        <v/>
      </c>
      <c r="AQ2272">
        <f>IF($E2272="","",IF($AA2272="Yes",1,0))</f>
        <v/>
      </c>
      <c r="AR2272">
        <f>IF($AN2272=1,IFERROR(VALUE(MID($E2272,2,20)),1000000000)+ROW()/100000,"")</f>
        <v/>
      </c>
    </row>
    <row r="2273">
      <c r="G2273" s="11" t="n"/>
      <c r="Q2273" s="7">
        <f>IF($E2273="","",P2273*Y2273/100)</f>
        <v/>
      </c>
      <c r="R2273" s="7" t="n"/>
      <c r="X2273" s="7" t="n"/>
      <c r="Y2273" s="7" t="n"/>
      <c r="AB2273">
        <f>IF($E2273="","",IF($AQ2273=1,0,IF($AP2273=1,Settings!$C$6,Settings!$C$7))*100)</f>
        <v/>
      </c>
      <c r="AC2273" s="7">
        <f>IF($E2273="","",Y2273*AB2273/100)</f>
        <v/>
      </c>
      <c r="AD2273" s="7">
        <f>IF($E2273="","",Y2273-AC2273)</f>
        <v/>
      </c>
      <c r="AE2273" s="7">
        <f>IF($E2273="","",AD2273-Q2273)</f>
        <v/>
      </c>
      <c r="AI2273" s="7" t="n"/>
      <c r="AL2273" s="11" t="n"/>
      <c r="AN2273">
        <f>IF($E2273="","",IF(COUNTIF($E$2:$E2273,$E2273)=1,1,0))</f>
        <v/>
      </c>
      <c r="AO2273">
        <f>IF($AN2273=1,SUMPRODUCT(--($AR$2:$AR$4001&lt;$AR2273))+1,"")</f>
        <v/>
      </c>
      <c r="AP2273">
        <f>IF($E2273="","",IF(OR($U2273=TRUE(),$U2273="TRUE"),1,0))</f>
        <v/>
      </c>
      <c r="AQ2273">
        <f>IF($E2273="","",IF($AA2273="Yes",1,0))</f>
        <v/>
      </c>
      <c r="AR2273">
        <f>IF($AN2273=1,IFERROR(VALUE(MID($E2273,2,20)),1000000000)+ROW()/100000,"")</f>
        <v/>
      </c>
    </row>
    <row r="2274">
      <c r="G2274" s="11" t="n"/>
      <c r="Q2274" s="7">
        <f>IF($E2274="","",P2274*Y2274/100)</f>
        <v/>
      </c>
      <c r="R2274" s="7" t="n"/>
      <c r="X2274" s="7" t="n"/>
      <c r="Y2274" s="7" t="n"/>
      <c r="AB2274">
        <f>IF($E2274="","",IF($AQ2274=1,0,IF($AP2274=1,Settings!$C$6,Settings!$C$7))*100)</f>
        <v/>
      </c>
      <c r="AC2274" s="7">
        <f>IF($E2274="","",Y2274*AB2274/100)</f>
        <v/>
      </c>
      <c r="AD2274" s="7">
        <f>IF($E2274="","",Y2274-AC2274)</f>
        <v/>
      </c>
      <c r="AE2274" s="7">
        <f>IF($E2274="","",AD2274-Q2274)</f>
        <v/>
      </c>
      <c r="AI2274" s="7" t="n"/>
      <c r="AL2274" s="11" t="n"/>
      <c r="AN2274">
        <f>IF($E2274="","",IF(COUNTIF($E$2:$E2274,$E2274)=1,1,0))</f>
        <v/>
      </c>
      <c r="AO2274">
        <f>IF($AN2274=1,SUMPRODUCT(--($AR$2:$AR$4001&lt;$AR2274))+1,"")</f>
        <v/>
      </c>
      <c r="AP2274">
        <f>IF($E2274="","",IF(OR($U2274=TRUE(),$U2274="TRUE"),1,0))</f>
        <v/>
      </c>
      <c r="AQ2274">
        <f>IF($E2274="","",IF($AA2274="Yes",1,0))</f>
        <v/>
      </c>
      <c r="AR2274">
        <f>IF($AN2274=1,IFERROR(VALUE(MID($E2274,2,20)),1000000000)+ROW()/100000,"")</f>
        <v/>
      </c>
    </row>
    <row r="2275">
      <c r="G2275" s="11" t="n"/>
      <c r="Q2275" s="7">
        <f>IF($E2275="","",P2275*Y2275/100)</f>
        <v/>
      </c>
      <c r="R2275" s="7" t="n"/>
      <c r="X2275" s="7" t="n"/>
      <c r="Y2275" s="7" t="n"/>
      <c r="AB2275">
        <f>IF($E2275="","",IF($AQ2275=1,0,IF($AP2275=1,Settings!$C$6,Settings!$C$7))*100)</f>
        <v/>
      </c>
      <c r="AC2275" s="7">
        <f>IF($E2275="","",Y2275*AB2275/100)</f>
        <v/>
      </c>
      <c r="AD2275" s="7">
        <f>IF($E2275="","",Y2275-AC2275)</f>
        <v/>
      </c>
      <c r="AE2275" s="7">
        <f>IF($E2275="","",AD2275-Q2275)</f>
        <v/>
      </c>
      <c r="AI2275" s="7" t="n"/>
      <c r="AL2275" s="11" t="n"/>
      <c r="AN2275">
        <f>IF($E2275="","",IF(COUNTIF($E$2:$E2275,$E2275)=1,1,0))</f>
        <v/>
      </c>
      <c r="AO2275">
        <f>IF($AN2275=1,SUMPRODUCT(--($AR$2:$AR$4001&lt;$AR2275))+1,"")</f>
        <v/>
      </c>
      <c r="AP2275">
        <f>IF($E2275="","",IF(OR($U2275=TRUE(),$U2275="TRUE"),1,0))</f>
        <v/>
      </c>
      <c r="AQ2275">
        <f>IF($E2275="","",IF($AA2275="Yes",1,0))</f>
        <v/>
      </c>
      <c r="AR2275">
        <f>IF($AN2275=1,IFERROR(VALUE(MID($E2275,2,20)),1000000000)+ROW()/100000,"")</f>
        <v/>
      </c>
    </row>
    <row r="2276">
      <c r="G2276" s="11" t="n"/>
      <c r="Q2276" s="7">
        <f>IF($E2276="","",P2276*Y2276/100)</f>
        <v/>
      </c>
      <c r="R2276" s="7" t="n"/>
      <c r="X2276" s="7" t="n"/>
      <c r="Y2276" s="7" t="n"/>
      <c r="AB2276">
        <f>IF($E2276="","",IF($AQ2276=1,0,IF($AP2276=1,Settings!$C$6,Settings!$C$7))*100)</f>
        <v/>
      </c>
      <c r="AC2276" s="7">
        <f>IF($E2276="","",Y2276*AB2276/100)</f>
        <v/>
      </c>
      <c r="AD2276" s="7">
        <f>IF($E2276="","",Y2276-AC2276)</f>
        <v/>
      </c>
      <c r="AE2276" s="7">
        <f>IF($E2276="","",AD2276-Q2276)</f>
        <v/>
      </c>
      <c r="AI2276" s="7" t="n"/>
      <c r="AL2276" s="11" t="n"/>
      <c r="AN2276">
        <f>IF($E2276="","",IF(COUNTIF($E$2:$E2276,$E2276)=1,1,0))</f>
        <v/>
      </c>
      <c r="AO2276">
        <f>IF($AN2276=1,SUMPRODUCT(--($AR$2:$AR$4001&lt;$AR2276))+1,"")</f>
        <v/>
      </c>
      <c r="AP2276">
        <f>IF($E2276="","",IF(OR($U2276=TRUE(),$U2276="TRUE"),1,0))</f>
        <v/>
      </c>
      <c r="AQ2276">
        <f>IF($E2276="","",IF($AA2276="Yes",1,0))</f>
        <v/>
      </c>
      <c r="AR2276">
        <f>IF($AN2276=1,IFERROR(VALUE(MID($E2276,2,20)),1000000000)+ROW()/100000,"")</f>
        <v/>
      </c>
    </row>
    <row r="2277">
      <c r="G2277" s="11" t="n"/>
      <c r="Q2277" s="7">
        <f>IF($E2277="","",P2277*Y2277/100)</f>
        <v/>
      </c>
      <c r="R2277" s="7" t="n"/>
      <c r="X2277" s="7" t="n"/>
      <c r="Y2277" s="7" t="n"/>
      <c r="AB2277">
        <f>IF($E2277="","",IF($AQ2277=1,0,IF($AP2277=1,Settings!$C$6,Settings!$C$7))*100)</f>
        <v/>
      </c>
      <c r="AC2277" s="7">
        <f>IF($E2277="","",Y2277*AB2277/100)</f>
        <v/>
      </c>
      <c r="AD2277" s="7">
        <f>IF($E2277="","",Y2277-AC2277)</f>
        <v/>
      </c>
      <c r="AE2277" s="7">
        <f>IF($E2277="","",AD2277-Q2277)</f>
        <v/>
      </c>
      <c r="AI2277" s="7" t="n"/>
      <c r="AL2277" s="11" t="n"/>
      <c r="AN2277">
        <f>IF($E2277="","",IF(COUNTIF($E$2:$E2277,$E2277)=1,1,0))</f>
        <v/>
      </c>
      <c r="AO2277">
        <f>IF($AN2277=1,SUMPRODUCT(--($AR$2:$AR$4001&lt;$AR2277))+1,"")</f>
        <v/>
      </c>
      <c r="AP2277">
        <f>IF($E2277="","",IF(OR($U2277=TRUE(),$U2277="TRUE"),1,0))</f>
        <v/>
      </c>
      <c r="AQ2277">
        <f>IF($E2277="","",IF($AA2277="Yes",1,0))</f>
        <v/>
      </c>
      <c r="AR2277">
        <f>IF($AN2277=1,IFERROR(VALUE(MID($E2277,2,20)),1000000000)+ROW()/100000,"")</f>
        <v/>
      </c>
    </row>
    <row r="2278">
      <c r="G2278" s="11" t="n"/>
      <c r="Q2278" s="7">
        <f>IF($E2278="","",P2278*Y2278/100)</f>
        <v/>
      </c>
      <c r="R2278" s="7" t="n"/>
      <c r="X2278" s="7" t="n"/>
      <c r="Y2278" s="7" t="n"/>
      <c r="AB2278">
        <f>IF($E2278="","",IF($AQ2278=1,0,IF($AP2278=1,Settings!$C$6,Settings!$C$7))*100)</f>
        <v/>
      </c>
      <c r="AC2278" s="7">
        <f>IF($E2278="","",Y2278*AB2278/100)</f>
        <v/>
      </c>
      <c r="AD2278" s="7">
        <f>IF($E2278="","",Y2278-AC2278)</f>
        <v/>
      </c>
      <c r="AE2278" s="7">
        <f>IF($E2278="","",AD2278-Q2278)</f>
        <v/>
      </c>
      <c r="AI2278" s="7" t="n"/>
      <c r="AL2278" s="11" t="n"/>
      <c r="AN2278">
        <f>IF($E2278="","",IF(COUNTIF($E$2:$E2278,$E2278)=1,1,0))</f>
        <v/>
      </c>
      <c r="AO2278">
        <f>IF($AN2278=1,SUMPRODUCT(--($AR$2:$AR$4001&lt;$AR2278))+1,"")</f>
        <v/>
      </c>
      <c r="AP2278">
        <f>IF($E2278="","",IF(OR($U2278=TRUE(),$U2278="TRUE"),1,0))</f>
        <v/>
      </c>
      <c r="AQ2278">
        <f>IF($E2278="","",IF($AA2278="Yes",1,0))</f>
        <v/>
      </c>
      <c r="AR2278">
        <f>IF($AN2278=1,IFERROR(VALUE(MID($E2278,2,20)),1000000000)+ROW()/100000,"")</f>
        <v/>
      </c>
    </row>
    <row r="2279">
      <c r="G2279" s="11" t="n"/>
      <c r="Q2279" s="7">
        <f>IF($E2279="","",P2279*Y2279/100)</f>
        <v/>
      </c>
      <c r="R2279" s="7" t="n"/>
      <c r="X2279" s="7" t="n"/>
      <c r="Y2279" s="7" t="n"/>
      <c r="AB2279">
        <f>IF($E2279="","",IF($AQ2279=1,0,IF($AP2279=1,Settings!$C$6,Settings!$C$7))*100)</f>
        <v/>
      </c>
      <c r="AC2279" s="7">
        <f>IF($E2279="","",Y2279*AB2279/100)</f>
        <v/>
      </c>
      <c r="AD2279" s="7">
        <f>IF($E2279="","",Y2279-AC2279)</f>
        <v/>
      </c>
      <c r="AE2279" s="7">
        <f>IF($E2279="","",AD2279-Q2279)</f>
        <v/>
      </c>
      <c r="AI2279" s="7" t="n"/>
      <c r="AL2279" s="11" t="n"/>
      <c r="AN2279">
        <f>IF($E2279="","",IF(COUNTIF($E$2:$E2279,$E2279)=1,1,0))</f>
        <v/>
      </c>
      <c r="AO2279">
        <f>IF($AN2279=1,SUMPRODUCT(--($AR$2:$AR$4001&lt;$AR2279))+1,"")</f>
        <v/>
      </c>
      <c r="AP2279">
        <f>IF($E2279="","",IF(OR($U2279=TRUE(),$U2279="TRUE"),1,0))</f>
        <v/>
      </c>
      <c r="AQ2279">
        <f>IF($E2279="","",IF($AA2279="Yes",1,0))</f>
        <v/>
      </c>
      <c r="AR2279">
        <f>IF($AN2279=1,IFERROR(VALUE(MID($E2279,2,20)),1000000000)+ROW()/100000,"")</f>
        <v/>
      </c>
    </row>
    <row r="2280">
      <c r="G2280" s="11" t="n"/>
      <c r="Q2280" s="7">
        <f>IF($E2280="","",P2280*Y2280/100)</f>
        <v/>
      </c>
      <c r="R2280" s="7" t="n"/>
      <c r="X2280" s="7" t="n"/>
      <c r="Y2280" s="7" t="n"/>
      <c r="AB2280">
        <f>IF($E2280="","",IF($AQ2280=1,0,IF($AP2280=1,Settings!$C$6,Settings!$C$7))*100)</f>
        <v/>
      </c>
      <c r="AC2280" s="7">
        <f>IF($E2280="","",Y2280*AB2280/100)</f>
        <v/>
      </c>
      <c r="AD2280" s="7">
        <f>IF($E2280="","",Y2280-AC2280)</f>
        <v/>
      </c>
      <c r="AE2280" s="7">
        <f>IF($E2280="","",AD2280-Q2280)</f>
        <v/>
      </c>
      <c r="AI2280" s="7" t="n"/>
      <c r="AL2280" s="11" t="n"/>
      <c r="AN2280">
        <f>IF($E2280="","",IF(COUNTIF($E$2:$E2280,$E2280)=1,1,0))</f>
        <v/>
      </c>
      <c r="AO2280">
        <f>IF($AN2280=1,SUMPRODUCT(--($AR$2:$AR$4001&lt;$AR2280))+1,"")</f>
        <v/>
      </c>
      <c r="AP2280">
        <f>IF($E2280="","",IF(OR($U2280=TRUE(),$U2280="TRUE"),1,0))</f>
        <v/>
      </c>
      <c r="AQ2280">
        <f>IF($E2280="","",IF($AA2280="Yes",1,0))</f>
        <v/>
      </c>
      <c r="AR2280">
        <f>IF($AN2280=1,IFERROR(VALUE(MID($E2280,2,20)),1000000000)+ROW()/100000,"")</f>
        <v/>
      </c>
    </row>
    <row r="2281">
      <c r="G2281" s="11" t="n"/>
      <c r="Q2281" s="7">
        <f>IF($E2281="","",P2281*Y2281/100)</f>
        <v/>
      </c>
      <c r="R2281" s="7" t="n"/>
      <c r="X2281" s="7" t="n"/>
      <c r="Y2281" s="7" t="n"/>
      <c r="AB2281">
        <f>IF($E2281="","",IF($AQ2281=1,0,IF($AP2281=1,Settings!$C$6,Settings!$C$7))*100)</f>
        <v/>
      </c>
      <c r="AC2281" s="7">
        <f>IF($E2281="","",Y2281*AB2281/100)</f>
        <v/>
      </c>
      <c r="AD2281" s="7">
        <f>IF($E2281="","",Y2281-AC2281)</f>
        <v/>
      </c>
      <c r="AE2281" s="7">
        <f>IF($E2281="","",AD2281-Q2281)</f>
        <v/>
      </c>
      <c r="AI2281" s="7" t="n"/>
      <c r="AL2281" s="11" t="n"/>
      <c r="AN2281">
        <f>IF($E2281="","",IF(COUNTIF($E$2:$E2281,$E2281)=1,1,0))</f>
        <v/>
      </c>
      <c r="AO2281">
        <f>IF($AN2281=1,SUMPRODUCT(--($AR$2:$AR$4001&lt;$AR2281))+1,"")</f>
        <v/>
      </c>
      <c r="AP2281">
        <f>IF($E2281="","",IF(OR($U2281=TRUE(),$U2281="TRUE"),1,0))</f>
        <v/>
      </c>
      <c r="AQ2281">
        <f>IF($E2281="","",IF($AA2281="Yes",1,0))</f>
        <v/>
      </c>
      <c r="AR2281">
        <f>IF($AN2281=1,IFERROR(VALUE(MID($E2281,2,20)),1000000000)+ROW()/100000,"")</f>
        <v/>
      </c>
    </row>
    <row r="2282">
      <c r="G2282" s="11" t="n"/>
      <c r="Q2282" s="7">
        <f>IF($E2282="","",P2282*Y2282/100)</f>
        <v/>
      </c>
      <c r="R2282" s="7" t="n"/>
      <c r="X2282" s="7" t="n"/>
      <c r="Y2282" s="7" t="n"/>
      <c r="AB2282">
        <f>IF($E2282="","",IF($AQ2282=1,0,IF($AP2282=1,Settings!$C$6,Settings!$C$7))*100)</f>
        <v/>
      </c>
      <c r="AC2282" s="7">
        <f>IF($E2282="","",Y2282*AB2282/100)</f>
        <v/>
      </c>
      <c r="AD2282" s="7">
        <f>IF($E2282="","",Y2282-AC2282)</f>
        <v/>
      </c>
      <c r="AE2282" s="7">
        <f>IF($E2282="","",AD2282-Q2282)</f>
        <v/>
      </c>
      <c r="AI2282" s="7" t="n"/>
      <c r="AL2282" s="11" t="n"/>
      <c r="AN2282">
        <f>IF($E2282="","",IF(COUNTIF($E$2:$E2282,$E2282)=1,1,0))</f>
        <v/>
      </c>
      <c r="AO2282">
        <f>IF($AN2282=1,SUMPRODUCT(--($AR$2:$AR$4001&lt;$AR2282))+1,"")</f>
        <v/>
      </c>
      <c r="AP2282">
        <f>IF($E2282="","",IF(OR($U2282=TRUE(),$U2282="TRUE"),1,0))</f>
        <v/>
      </c>
      <c r="AQ2282">
        <f>IF($E2282="","",IF($AA2282="Yes",1,0))</f>
        <v/>
      </c>
      <c r="AR2282">
        <f>IF($AN2282=1,IFERROR(VALUE(MID($E2282,2,20)),1000000000)+ROW()/100000,"")</f>
        <v/>
      </c>
    </row>
    <row r="2283">
      <c r="G2283" s="11" t="n"/>
      <c r="Q2283" s="7">
        <f>IF($E2283="","",P2283*Y2283/100)</f>
        <v/>
      </c>
      <c r="R2283" s="7" t="n"/>
      <c r="X2283" s="7" t="n"/>
      <c r="Y2283" s="7" t="n"/>
      <c r="AB2283">
        <f>IF($E2283="","",IF($AQ2283=1,0,IF($AP2283=1,Settings!$C$6,Settings!$C$7))*100)</f>
        <v/>
      </c>
      <c r="AC2283" s="7">
        <f>IF($E2283="","",Y2283*AB2283/100)</f>
        <v/>
      </c>
      <c r="AD2283" s="7">
        <f>IF($E2283="","",Y2283-AC2283)</f>
        <v/>
      </c>
      <c r="AE2283" s="7">
        <f>IF($E2283="","",AD2283-Q2283)</f>
        <v/>
      </c>
      <c r="AI2283" s="7" t="n"/>
      <c r="AL2283" s="11" t="n"/>
      <c r="AN2283">
        <f>IF($E2283="","",IF(COUNTIF($E$2:$E2283,$E2283)=1,1,0))</f>
        <v/>
      </c>
      <c r="AO2283">
        <f>IF($AN2283=1,SUMPRODUCT(--($AR$2:$AR$4001&lt;$AR2283))+1,"")</f>
        <v/>
      </c>
      <c r="AP2283">
        <f>IF($E2283="","",IF(OR($U2283=TRUE(),$U2283="TRUE"),1,0))</f>
        <v/>
      </c>
      <c r="AQ2283">
        <f>IF($E2283="","",IF($AA2283="Yes",1,0))</f>
        <v/>
      </c>
      <c r="AR2283">
        <f>IF($AN2283=1,IFERROR(VALUE(MID($E2283,2,20)),1000000000)+ROW()/100000,"")</f>
        <v/>
      </c>
    </row>
    <row r="2284">
      <c r="G2284" s="11" t="n"/>
      <c r="Q2284" s="7">
        <f>IF($E2284="","",P2284*Y2284/100)</f>
        <v/>
      </c>
      <c r="R2284" s="7" t="n"/>
      <c r="X2284" s="7" t="n"/>
      <c r="Y2284" s="7" t="n"/>
      <c r="AB2284">
        <f>IF($E2284="","",IF($AQ2284=1,0,IF($AP2284=1,Settings!$C$6,Settings!$C$7))*100)</f>
        <v/>
      </c>
      <c r="AC2284" s="7">
        <f>IF($E2284="","",Y2284*AB2284/100)</f>
        <v/>
      </c>
      <c r="AD2284" s="7">
        <f>IF($E2284="","",Y2284-AC2284)</f>
        <v/>
      </c>
      <c r="AE2284" s="7">
        <f>IF($E2284="","",AD2284-Q2284)</f>
        <v/>
      </c>
      <c r="AI2284" s="7" t="n"/>
      <c r="AL2284" s="11" t="n"/>
      <c r="AN2284">
        <f>IF($E2284="","",IF(COUNTIF($E$2:$E2284,$E2284)=1,1,0))</f>
        <v/>
      </c>
      <c r="AO2284">
        <f>IF($AN2284=1,SUMPRODUCT(--($AR$2:$AR$4001&lt;$AR2284))+1,"")</f>
        <v/>
      </c>
      <c r="AP2284">
        <f>IF($E2284="","",IF(OR($U2284=TRUE(),$U2284="TRUE"),1,0))</f>
        <v/>
      </c>
      <c r="AQ2284">
        <f>IF($E2284="","",IF($AA2284="Yes",1,0))</f>
        <v/>
      </c>
      <c r="AR2284">
        <f>IF($AN2284=1,IFERROR(VALUE(MID($E2284,2,20)),1000000000)+ROW()/100000,"")</f>
        <v/>
      </c>
    </row>
    <row r="2285">
      <c r="G2285" s="11" t="n"/>
      <c r="Q2285" s="7">
        <f>IF($E2285="","",P2285*Y2285/100)</f>
        <v/>
      </c>
      <c r="R2285" s="7" t="n"/>
      <c r="X2285" s="7" t="n"/>
      <c r="Y2285" s="7" t="n"/>
      <c r="AB2285">
        <f>IF($E2285="","",IF($AQ2285=1,0,IF($AP2285=1,Settings!$C$6,Settings!$C$7))*100)</f>
        <v/>
      </c>
      <c r="AC2285" s="7">
        <f>IF($E2285="","",Y2285*AB2285/100)</f>
        <v/>
      </c>
      <c r="AD2285" s="7">
        <f>IF($E2285="","",Y2285-AC2285)</f>
        <v/>
      </c>
      <c r="AE2285" s="7">
        <f>IF($E2285="","",AD2285-Q2285)</f>
        <v/>
      </c>
      <c r="AI2285" s="7" t="n"/>
      <c r="AL2285" s="11" t="n"/>
      <c r="AN2285">
        <f>IF($E2285="","",IF(COUNTIF($E$2:$E2285,$E2285)=1,1,0))</f>
        <v/>
      </c>
      <c r="AO2285">
        <f>IF($AN2285=1,SUMPRODUCT(--($AR$2:$AR$4001&lt;$AR2285))+1,"")</f>
        <v/>
      </c>
      <c r="AP2285">
        <f>IF($E2285="","",IF(OR($U2285=TRUE(),$U2285="TRUE"),1,0))</f>
        <v/>
      </c>
      <c r="AQ2285">
        <f>IF($E2285="","",IF($AA2285="Yes",1,0))</f>
        <v/>
      </c>
      <c r="AR2285">
        <f>IF($AN2285=1,IFERROR(VALUE(MID($E2285,2,20)),1000000000)+ROW()/100000,"")</f>
        <v/>
      </c>
    </row>
    <row r="2286">
      <c r="G2286" s="11" t="n"/>
      <c r="Q2286" s="7">
        <f>IF($E2286="","",P2286*Y2286/100)</f>
        <v/>
      </c>
      <c r="R2286" s="7" t="n"/>
      <c r="X2286" s="7" t="n"/>
      <c r="Y2286" s="7" t="n"/>
      <c r="AB2286">
        <f>IF($E2286="","",IF($AQ2286=1,0,IF($AP2286=1,Settings!$C$6,Settings!$C$7))*100)</f>
        <v/>
      </c>
      <c r="AC2286" s="7">
        <f>IF($E2286="","",Y2286*AB2286/100)</f>
        <v/>
      </c>
      <c r="AD2286" s="7">
        <f>IF($E2286="","",Y2286-AC2286)</f>
        <v/>
      </c>
      <c r="AE2286" s="7">
        <f>IF($E2286="","",AD2286-Q2286)</f>
        <v/>
      </c>
      <c r="AI2286" s="7" t="n"/>
      <c r="AL2286" s="11" t="n"/>
      <c r="AN2286">
        <f>IF($E2286="","",IF(COUNTIF($E$2:$E2286,$E2286)=1,1,0))</f>
        <v/>
      </c>
      <c r="AO2286">
        <f>IF($AN2286=1,SUMPRODUCT(--($AR$2:$AR$4001&lt;$AR2286))+1,"")</f>
        <v/>
      </c>
      <c r="AP2286">
        <f>IF($E2286="","",IF(OR($U2286=TRUE(),$U2286="TRUE"),1,0))</f>
        <v/>
      </c>
      <c r="AQ2286">
        <f>IF($E2286="","",IF($AA2286="Yes",1,0))</f>
        <v/>
      </c>
      <c r="AR2286">
        <f>IF($AN2286=1,IFERROR(VALUE(MID($E2286,2,20)),1000000000)+ROW()/100000,"")</f>
        <v/>
      </c>
    </row>
    <row r="2287">
      <c r="G2287" s="11" t="n"/>
      <c r="Q2287" s="7">
        <f>IF($E2287="","",P2287*Y2287/100)</f>
        <v/>
      </c>
      <c r="R2287" s="7" t="n"/>
      <c r="X2287" s="7" t="n"/>
      <c r="Y2287" s="7" t="n"/>
      <c r="AB2287">
        <f>IF($E2287="","",IF($AQ2287=1,0,IF($AP2287=1,Settings!$C$6,Settings!$C$7))*100)</f>
        <v/>
      </c>
      <c r="AC2287" s="7">
        <f>IF($E2287="","",Y2287*AB2287/100)</f>
        <v/>
      </c>
      <c r="AD2287" s="7">
        <f>IF($E2287="","",Y2287-AC2287)</f>
        <v/>
      </c>
      <c r="AE2287" s="7">
        <f>IF($E2287="","",AD2287-Q2287)</f>
        <v/>
      </c>
      <c r="AI2287" s="7" t="n"/>
      <c r="AL2287" s="11" t="n"/>
      <c r="AN2287">
        <f>IF($E2287="","",IF(COUNTIF($E$2:$E2287,$E2287)=1,1,0))</f>
        <v/>
      </c>
      <c r="AO2287">
        <f>IF($AN2287=1,SUMPRODUCT(--($AR$2:$AR$4001&lt;$AR2287))+1,"")</f>
        <v/>
      </c>
      <c r="AP2287">
        <f>IF($E2287="","",IF(OR($U2287=TRUE(),$U2287="TRUE"),1,0))</f>
        <v/>
      </c>
      <c r="AQ2287">
        <f>IF($E2287="","",IF($AA2287="Yes",1,0))</f>
        <v/>
      </c>
      <c r="AR2287">
        <f>IF($AN2287=1,IFERROR(VALUE(MID($E2287,2,20)),1000000000)+ROW()/100000,"")</f>
        <v/>
      </c>
    </row>
    <row r="2288">
      <c r="G2288" s="11" t="n"/>
      <c r="Q2288" s="7">
        <f>IF($E2288="","",P2288*Y2288/100)</f>
        <v/>
      </c>
      <c r="R2288" s="7" t="n"/>
      <c r="X2288" s="7" t="n"/>
      <c r="Y2288" s="7" t="n"/>
      <c r="AB2288">
        <f>IF($E2288="","",IF($AQ2288=1,0,IF($AP2288=1,Settings!$C$6,Settings!$C$7))*100)</f>
        <v/>
      </c>
      <c r="AC2288" s="7">
        <f>IF($E2288="","",Y2288*AB2288/100)</f>
        <v/>
      </c>
      <c r="AD2288" s="7">
        <f>IF($E2288="","",Y2288-AC2288)</f>
        <v/>
      </c>
      <c r="AE2288" s="7">
        <f>IF($E2288="","",AD2288-Q2288)</f>
        <v/>
      </c>
      <c r="AI2288" s="7" t="n"/>
      <c r="AL2288" s="11" t="n"/>
      <c r="AN2288">
        <f>IF($E2288="","",IF(COUNTIF($E$2:$E2288,$E2288)=1,1,0))</f>
        <v/>
      </c>
      <c r="AO2288">
        <f>IF($AN2288=1,SUMPRODUCT(--($AR$2:$AR$4001&lt;$AR2288))+1,"")</f>
        <v/>
      </c>
      <c r="AP2288">
        <f>IF($E2288="","",IF(OR($U2288=TRUE(),$U2288="TRUE"),1,0))</f>
        <v/>
      </c>
      <c r="AQ2288">
        <f>IF($E2288="","",IF($AA2288="Yes",1,0))</f>
        <v/>
      </c>
      <c r="AR2288">
        <f>IF($AN2288=1,IFERROR(VALUE(MID($E2288,2,20)),1000000000)+ROW()/100000,"")</f>
        <v/>
      </c>
    </row>
    <row r="2289">
      <c r="G2289" s="11" t="n"/>
      <c r="Q2289" s="7">
        <f>IF($E2289="","",P2289*Y2289/100)</f>
        <v/>
      </c>
      <c r="R2289" s="7" t="n"/>
      <c r="X2289" s="7" t="n"/>
      <c r="Y2289" s="7" t="n"/>
      <c r="AB2289">
        <f>IF($E2289="","",IF($AQ2289=1,0,IF($AP2289=1,Settings!$C$6,Settings!$C$7))*100)</f>
        <v/>
      </c>
      <c r="AC2289" s="7">
        <f>IF($E2289="","",Y2289*AB2289/100)</f>
        <v/>
      </c>
      <c r="AD2289" s="7">
        <f>IF($E2289="","",Y2289-AC2289)</f>
        <v/>
      </c>
      <c r="AE2289" s="7">
        <f>IF($E2289="","",AD2289-Q2289)</f>
        <v/>
      </c>
      <c r="AI2289" s="7" t="n"/>
      <c r="AL2289" s="11" t="n"/>
      <c r="AN2289">
        <f>IF($E2289="","",IF(COUNTIF($E$2:$E2289,$E2289)=1,1,0))</f>
        <v/>
      </c>
      <c r="AO2289">
        <f>IF($AN2289=1,SUMPRODUCT(--($AR$2:$AR$4001&lt;$AR2289))+1,"")</f>
        <v/>
      </c>
      <c r="AP2289">
        <f>IF($E2289="","",IF(OR($U2289=TRUE(),$U2289="TRUE"),1,0))</f>
        <v/>
      </c>
      <c r="AQ2289">
        <f>IF($E2289="","",IF($AA2289="Yes",1,0))</f>
        <v/>
      </c>
      <c r="AR2289">
        <f>IF($AN2289=1,IFERROR(VALUE(MID($E2289,2,20)),1000000000)+ROW()/100000,"")</f>
        <v/>
      </c>
    </row>
    <row r="2290">
      <c r="G2290" s="11" t="n"/>
      <c r="Q2290" s="7">
        <f>IF($E2290="","",P2290*Y2290/100)</f>
        <v/>
      </c>
      <c r="R2290" s="7" t="n"/>
      <c r="X2290" s="7" t="n"/>
      <c r="Y2290" s="7" t="n"/>
      <c r="AB2290">
        <f>IF($E2290="","",IF($AQ2290=1,0,IF($AP2290=1,Settings!$C$6,Settings!$C$7))*100)</f>
        <v/>
      </c>
      <c r="AC2290" s="7">
        <f>IF($E2290="","",Y2290*AB2290/100)</f>
        <v/>
      </c>
      <c r="AD2290" s="7">
        <f>IF($E2290="","",Y2290-AC2290)</f>
        <v/>
      </c>
      <c r="AE2290" s="7">
        <f>IF($E2290="","",AD2290-Q2290)</f>
        <v/>
      </c>
      <c r="AI2290" s="7" t="n"/>
      <c r="AL2290" s="11" t="n"/>
      <c r="AN2290">
        <f>IF($E2290="","",IF(COUNTIF($E$2:$E2290,$E2290)=1,1,0))</f>
        <v/>
      </c>
      <c r="AO2290">
        <f>IF($AN2290=1,SUMPRODUCT(--($AR$2:$AR$4001&lt;$AR2290))+1,"")</f>
        <v/>
      </c>
      <c r="AP2290">
        <f>IF($E2290="","",IF(OR($U2290=TRUE(),$U2290="TRUE"),1,0))</f>
        <v/>
      </c>
      <c r="AQ2290">
        <f>IF($E2290="","",IF($AA2290="Yes",1,0))</f>
        <v/>
      </c>
      <c r="AR2290">
        <f>IF($AN2290=1,IFERROR(VALUE(MID($E2290,2,20)),1000000000)+ROW()/100000,"")</f>
        <v/>
      </c>
    </row>
    <row r="2291">
      <c r="G2291" s="11" t="n"/>
      <c r="Q2291" s="7">
        <f>IF($E2291="","",P2291*Y2291/100)</f>
        <v/>
      </c>
      <c r="R2291" s="7" t="n"/>
      <c r="X2291" s="7" t="n"/>
      <c r="Y2291" s="7" t="n"/>
      <c r="AB2291">
        <f>IF($E2291="","",IF($AQ2291=1,0,IF($AP2291=1,Settings!$C$6,Settings!$C$7))*100)</f>
        <v/>
      </c>
      <c r="AC2291" s="7">
        <f>IF($E2291="","",Y2291*AB2291/100)</f>
        <v/>
      </c>
      <c r="AD2291" s="7">
        <f>IF($E2291="","",Y2291-AC2291)</f>
        <v/>
      </c>
      <c r="AE2291" s="7">
        <f>IF($E2291="","",AD2291-Q2291)</f>
        <v/>
      </c>
      <c r="AI2291" s="7" t="n"/>
      <c r="AL2291" s="11" t="n"/>
      <c r="AN2291">
        <f>IF($E2291="","",IF(COUNTIF($E$2:$E2291,$E2291)=1,1,0))</f>
        <v/>
      </c>
      <c r="AO2291">
        <f>IF($AN2291=1,SUMPRODUCT(--($AR$2:$AR$4001&lt;$AR2291))+1,"")</f>
        <v/>
      </c>
      <c r="AP2291">
        <f>IF($E2291="","",IF(OR($U2291=TRUE(),$U2291="TRUE"),1,0))</f>
        <v/>
      </c>
      <c r="AQ2291">
        <f>IF($E2291="","",IF($AA2291="Yes",1,0))</f>
        <v/>
      </c>
      <c r="AR2291">
        <f>IF($AN2291=1,IFERROR(VALUE(MID($E2291,2,20)),1000000000)+ROW()/100000,"")</f>
        <v/>
      </c>
    </row>
    <row r="2292">
      <c r="G2292" s="11" t="n"/>
      <c r="Q2292" s="7">
        <f>IF($E2292="","",P2292*Y2292/100)</f>
        <v/>
      </c>
      <c r="R2292" s="7" t="n"/>
      <c r="X2292" s="7" t="n"/>
      <c r="Y2292" s="7" t="n"/>
      <c r="AB2292">
        <f>IF($E2292="","",IF($AQ2292=1,0,IF($AP2292=1,Settings!$C$6,Settings!$C$7))*100)</f>
        <v/>
      </c>
      <c r="AC2292" s="7">
        <f>IF($E2292="","",Y2292*AB2292/100)</f>
        <v/>
      </c>
      <c r="AD2292" s="7">
        <f>IF($E2292="","",Y2292-AC2292)</f>
        <v/>
      </c>
      <c r="AE2292" s="7">
        <f>IF($E2292="","",AD2292-Q2292)</f>
        <v/>
      </c>
      <c r="AI2292" s="7" t="n"/>
      <c r="AL2292" s="11" t="n"/>
      <c r="AN2292">
        <f>IF($E2292="","",IF(COUNTIF($E$2:$E2292,$E2292)=1,1,0))</f>
        <v/>
      </c>
      <c r="AO2292">
        <f>IF($AN2292=1,SUMPRODUCT(--($AR$2:$AR$4001&lt;$AR2292))+1,"")</f>
        <v/>
      </c>
      <c r="AP2292">
        <f>IF($E2292="","",IF(OR($U2292=TRUE(),$U2292="TRUE"),1,0))</f>
        <v/>
      </c>
      <c r="AQ2292">
        <f>IF($E2292="","",IF($AA2292="Yes",1,0))</f>
        <v/>
      </c>
      <c r="AR2292">
        <f>IF($AN2292=1,IFERROR(VALUE(MID($E2292,2,20)),1000000000)+ROW()/100000,"")</f>
        <v/>
      </c>
    </row>
    <row r="2293">
      <c r="G2293" s="11" t="n"/>
      <c r="Q2293" s="7">
        <f>IF($E2293="","",P2293*Y2293/100)</f>
        <v/>
      </c>
      <c r="R2293" s="7" t="n"/>
      <c r="X2293" s="7" t="n"/>
      <c r="Y2293" s="7" t="n"/>
      <c r="AB2293">
        <f>IF($E2293="","",IF($AQ2293=1,0,IF($AP2293=1,Settings!$C$6,Settings!$C$7))*100)</f>
        <v/>
      </c>
      <c r="AC2293" s="7">
        <f>IF($E2293="","",Y2293*AB2293/100)</f>
        <v/>
      </c>
      <c r="AD2293" s="7">
        <f>IF($E2293="","",Y2293-AC2293)</f>
        <v/>
      </c>
      <c r="AE2293" s="7">
        <f>IF($E2293="","",AD2293-Q2293)</f>
        <v/>
      </c>
      <c r="AI2293" s="7" t="n"/>
      <c r="AL2293" s="11" t="n"/>
      <c r="AN2293">
        <f>IF($E2293="","",IF(COUNTIF($E$2:$E2293,$E2293)=1,1,0))</f>
        <v/>
      </c>
      <c r="AO2293">
        <f>IF($AN2293=1,SUMPRODUCT(--($AR$2:$AR$4001&lt;$AR2293))+1,"")</f>
        <v/>
      </c>
      <c r="AP2293">
        <f>IF($E2293="","",IF(OR($U2293=TRUE(),$U2293="TRUE"),1,0))</f>
        <v/>
      </c>
      <c r="AQ2293">
        <f>IF($E2293="","",IF($AA2293="Yes",1,0))</f>
        <v/>
      </c>
      <c r="AR2293">
        <f>IF($AN2293=1,IFERROR(VALUE(MID($E2293,2,20)),1000000000)+ROW()/100000,"")</f>
        <v/>
      </c>
    </row>
    <row r="2294">
      <c r="G2294" s="11" t="n"/>
      <c r="Q2294" s="7">
        <f>IF($E2294="","",P2294*Y2294/100)</f>
        <v/>
      </c>
      <c r="R2294" s="7" t="n"/>
      <c r="X2294" s="7" t="n"/>
      <c r="Y2294" s="7" t="n"/>
      <c r="AB2294">
        <f>IF($E2294="","",IF($AQ2294=1,0,IF($AP2294=1,Settings!$C$6,Settings!$C$7))*100)</f>
        <v/>
      </c>
      <c r="AC2294" s="7">
        <f>IF($E2294="","",Y2294*AB2294/100)</f>
        <v/>
      </c>
      <c r="AD2294" s="7">
        <f>IF($E2294="","",Y2294-AC2294)</f>
        <v/>
      </c>
      <c r="AE2294" s="7">
        <f>IF($E2294="","",AD2294-Q2294)</f>
        <v/>
      </c>
      <c r="AI2294" s="7" t="n"/>
      <c r="AL2294" s="11" t="n"/>
      <c r="AN2294">
        <f>IF($E2294="","",IF(COUNTIF($E$2:$E2294,$E2294)=1,1,0))</f>
        <v/>
      </c>
      <c r="AO2294">
        <f>IF($AN2294=1,SUMPRODUCT(--($AR$2:$AR$4001&lt;$AR2294))+1,"")</f>
        <v/>
      </c>
      <c r="AP2294">
        <f>IF($E2294="","",IF(OR($U2294=TRUE(),$U2294="TRUE"),1,0))</f>
        <v/>
      </c>
      <c r="AQ2294">
        <f>IF($E2294="","",IF($AA2294="Yes",1,0))</f>
        <v/>
      </c>
      <c r="AR2294">
        <f>IF($AN2294=1,IFERROR(VALUE(MID($E2294,2,20)),1000000000)+ROW()/100000,"")</f>
        <v/>
      </c>
    </row>
    <row r="2295">
      <c r="G2295" s="11" t="n"/>
      <c r="Q2295" s="7">
        <f>IF($E2295="","",P2295*Y2295/100)</f>
        <v/>
      </c>
      <c r="R2295" s="7" t="n"/>
      <c r="X2295" s="7" t="n"/>
      <c r="Y2295" s="7" t="n"/>
      <c r="AB2295">
        <f>IF($E2295="","",IF($AQ2295=1,0,IF($AP2295=1,Settings!$C$6,Settings!$C$7))*100)</f>
        <v/>
      </c>
      <c r="AC2295" s="7">
        <f>IF($E2295="","",Y2295*AB2295/100)</f>
        <v/>
      </c>
      <c r="AD2295" s="7">
        <f>IF($E2295="","",Y2295-AC2295)</f>
        <v/>
      </c>
      <c r="AE2295" s="7">
        <f>IF($E2295="","",AD2295-Q2295)</f>
        <v/>
      </c>
      <c r="AI2295" s="7" t="n"/>
      <c r="AL2295" s="11" t="n"/>
      <c r="AN2295">
        <f>IF($E2295="","",IF(COUNTIF($E$2:$E2295,$E2295)=1,1,0))</f>
        <v/>
      </c>
      <c r="AO2295">
        <f>IF($AN2295=1,SUMPRODUCT(--($AR$2:$AR$4001&lt;$AR2295))+1,"")</f>
        <v/>
      </c>
      <c r="AP2295">
        <f>IF($E2295="","",IF(OR($U2295=TRUE(),$U2295="TRUE"),1,0))</f>
        <v/>
      </c>
      <c r="AQ2295">
        <f>IF($E2295="","",IF($AA2295="Yes",1,0))</f>
        <v/>
      </c>
      <c r="AR2295">
        <f>IF($AN2295=1,IFERROR(VALUE(MID($E2295,2,20)),1000000000)+ROW()/100000,"")</f>
        <v/>
      </c>
    </row>
    <row r="2296">
      <c r="G2296" s="11" t="n"/>
      <c r="Q2296" s="7">
        <f>IF($E2296="","",P2296*Y2296/100)</f>
        <v/>
      </c>
      <c r="R2296" s="7" t="n"/>
      <c r="X2296" s="7" t="n"/>
      <c r="Y2296" s="7" t="n"/>
      <c r="AB2296">
        <f>IF($E2296="","",IF($AQ2296=1,0,IF($AP2296=1,Settings!$C$6,Settings!$C$7))*100)</f>
        <v/>
      </c>
      <c r="AC2296" s="7">
        <f>IF($E2296="","",Y2296*AB2296/100)</f>
        <v/>
      </c>
      <c r="AD2296" s="7">
        <f>IF($E2296="","",Y2296-AC2296)</f>
        <v/>
      </c>
      <c r="AE2296" s="7">
        <f>IF($E2296="","",AD2296-Q2296)</f>
        <v/>
      </c>
      <c r="AI2296" s="7" t="n"/>
      <c r="AL2296" s="11" t="n"/>
      <c r="AN2296">
        <f>IF($E2296="","",IF(COUNTIF($E$2:$E2296,$E2296)=1,1,0))</f>
        <v/>
      </c>
      <c r="AO2296">
        <f>IF($AN2296=1,SUMPRODUCT(--($AR$2:$AR$4001&lt;$AR2296))+1,"")</f>
        <v/>
      </c>
      <c r="AP2296">
        <f>IF($E2296="","",IF(OR($U2296=TRUE(),$U2296="TRUE"),1,0))</f>
        <v/>
      </c>
      <c r="AQ2296">
        <f>IF($E2296="","",IF($AA2296="Yes",1,0))</f>
        <v/>
      </c>
      <c r="AR2296">
        <f>IF($AN2296=1,IFERROR(VALUE(MID($E2296,2,20)),1000000000)+ROW()/100000,"")</f>
        <v/>
      </c>
    </row>
    <row r="2297">
      <c r="G2297" s="11" t="n"/>
      <c r="Q2297" s="7">
        <f>IF($E2297="","",P2297*Y2297/100)</f>
        <v/>
      </c>
      <c r="R2297" s="7" t="n"/>
      <c r="X2297" s="7" t="n"/>
      <c r="Y2297" s="7" t="n"/>
      <c r="AB2297">
        <f>IF($E2297="","",IF($AQ2297=1,0,IF($AP2297=1,Settings!$C$6,Settings!$C$7))*100)</f>
        <v/>
      </c>
      <c r="AC2297" s="7">
        <f>IF($E2297="","",Y2297*AB2297/100)</f>
        <v/>
      </c>
      <c r="AD2297" s="7">
        <f>IF($E2297="","",Y2297-AC2297)</f>
        <v/>
      </c>
      <c r="AE2297" s="7">
        <f>IF($E2297="","",AD2297-Q2297)</f>
        <v/>
      </c>
      <c r="AI2297" s="7" t="n"/>
      <c r="AL2297" s="11" t="n"/>
      <c r="AN2297">
        <f>IF($E2297="","",IF(COUNTIF($E$2:$E2297,$E2297)=1,1,0))</f>
        <v/>
      </c>
      <c r="AO2297">
        <f>IF($AN2297=1,SUMPRODUCT(--($AR$2:$AR$4001&lt;$AR2297))+1,"")</f>
        <v/>
      </c>
      <c r="AP2297">
        <f>IF($E2297="","",IF(OR($U2297=TRUE(),$U2297="TRUE"),1,0))</f>
        <v/>
      </c>
      <c r="AQ2297">
        <f>IF($E2297="","",IF($AA2297="Yes",1,0))</f>
        <v/>
      </c>
      <c r="AR2297">
        <f>IF($AN2297=1,IFERROR(VALUE(MID($E2297,2,20)),1000000000)+ROW()/100000,"")</f>
        <v/>
      </c>
    </row>
    <row r="2298">
      <c r="G2298" s="11" t="n"/>
      <c r="Q2298" s="7">
        <f>IF($E2298="","",P2298*Y2298/100)</f>
        <v/>
      </c>
      <c r="R2298" s="7" t="n"/>
      <c r="X2298" s="7" t="n"/>
      <c r="Y2298" s="7" t="n"/>
      <c r="AB2298">
        <f>IF($E2298="","",IF($AQ2298=1,0,IF($AP2298=1,Settings!$C$6,Settings!$C$7))*100)</f>
        <v/>
      </c>
      <c r="AC2298" s="7">
        <f>IF($E2298="","",Y2298*AB2298/100)</f>
        <v/>
      </c>
      <c r="AD2298" s="7">
        <f>IF($E2298="","",Y2298-AC2298)</f>
        <v/>
      </c>
      <c r="AE2298" s="7">
        <f>IF($E2298="","",AD2298-Q2298)</f>
        <v/>
      </c>
      <c r="AI2298" s="7" t="n"/>
      <c r="AL2298" s="11" t="n"/>
      <c r="AN2298">
        <f>IF($E2298="","",IF(COUNTIF($E$2:$E2298,$E2298)=1,1,0))</f>
        <v/>
      </c>
      <c r="AO2298">
        <f>IF($AN2298=1,SUMPRODUCT(--($AR$2:$AR$4001&lt;$AR2298))+1,"")</f>
        <v/>
      </c>
      <c r="AP2298">
        <f>IF($E2298="","",IF(OR($U2298=TRUE(),$U2298="TRUE"),1,0))</f>
        <v/>
      </c>
      <c r="AQ2298">
        <f>IF($E2298="","",IF($AA2298="Yes",1,0))</f>
        <v/>
      </c>
      <c r="AR2298">
        <f>IF($AN2298=1,IFERROR(VALUE(MID($E2298,2,20)),1000000000)+ROW()/100000,"")</f>
        <v/>
      </c>
    </row>
    <row r="2299">
      <c r="G2299" s="11" t="n"/>
      <c r="Q2299" s="7">
        <f>IF($E2299="","",P2299*Y2299/100)</f>
        <v/>
      </c>
      <c r="R2299" s="7" t="n"/>
      <c r="X2299" s="7" t="n"/>
      <c r="Y2299" s="7" t="n"/>
      <c r="AB2299">
        <f>IF($E2299="","",IF($AQ2299=1,0,IF($AP2299=1,Settings!$C$6,Settings!$C$7))*100)</f>
        <v/>
      </c>
      <c r="AC2299" s="7">
        <f>IF($E2299="","",Y2299*AB2299/100)</f>
        <v/>
      </c>
      <c r="AD2299" s="7">
        <f>IF($E2299="","",Y2299-AC2299)</f>
        <v/>
      </c>
      <c r="AE2299" s="7">
        <f>IF($E2299="","",AD2299-Q2299)</f>
        <v/>
      </c>
      <c r="AI2299" s="7" t="n"/>
      <c r="AL2299" s="11" t="n"/>
      <c r="AN2299">
        <f>IF($E2299="","",IF(COUNTIF($E$2:$E2299,$E2299)=1,1,0))</f>
        <v/>
      </c>
      <c r="AO2299">
        <f>IF($AN2299=1,SUMPRODUCT(--($AR$2:$AR$4001&lt;$AR2299))+1,"")</f>
        <v/>
      </c>
      <c r="AP2299">
        <f>IF($E2299="","",IF(OR($U2299=TRUE(),$U2299="TRUE"),1,0))</f>
        <v/>
      </c>
      <c r="AQ2299">
        <f>IF($E2299="","",IF($AA2299="Yes",1,0))</f>
        <v/>
      </c>
      <c r="AR2299">
        <f>IF($AN2299=1,IFERROR(VALUE(MID($E2299,2,20)),1000000000)+ROW()/100000,"")</f>
        <v/>
      </c>
    </row>
    <row r="2300">
      <c r="G2300" s="11" t="n"/>
      <c r="Q2300" s="7">
        <f>IF($E2300="","",P2300*Y2300/100)</f>
        <v/>
      </c>
      <c r="R2300" s="7" t="n"/>
      <c r="X2300" s="7" t="n"/>
      <c r="Y2300" s="7" t="n"/>
      <c r="AB2300">
        <f>IF($E2300="","",IF($AQ2300=1,0,IF($AP2300=1,Settings!$C$6,Settings!$C$7))*100)</f>
        <v/>
      </c>
      <c r="AC2300" s="7">
        <f>IF($E2300="","",Y2300*AB2300/100)</f>
        <v/>
      </c>
      <c r="AD2300" s="7">
        <f>IF($E2300="","",Y2300-AC2300)</f>
        <v/>
      </c>
      <c r="AE2300" s="7">
        <f>IF($E2300="","",AD2300-Q2300)</f>
        <v/>
      </c>
      <c r="AI2300" s="7" t="n"/>
      <c r="AL2300" s="11" t="n"/>
      <c r="AN2300">
        <f>IF($E2300="","",IF(COUNTIF($E$2:$E2300,$E2300)=1,1,0))</f>
        <v/>
      </c>
      <c r="AO2300">
        <f>IF($AN2300=1,SUMPRODUCT(--($AR$2:$AR$4001&lt;$AR2300))+1,"")</f>
        <v/>
      </c>
      <c r="AP2300">
        <f>IF($E2300="","",IF(OR($U2300=TRUE(),$U2300="TRUE"),1,0))</f>
        <v/>
      </c>
      <c r="AQ2300">
        <f>IF($E2300="","",IF($AA2300="Yes",1,0))</f>
        <v/>
      </c>
      <c r="AR2300">
        <f>IF($AN2300=1,IFERROR(VALUE(MID($E2300,2,20)),1000000000)+ROW()/100000,"")</f>
        <v/>
      </c>
    </row>
    <row r="2301">
      <c r="G2301" s="11" t="n"/>
      <c r="Q2301" s="7">
        <f>IF($E2301="","",P2301*Y2301/100)</f>
        <v/>
      </c>
      <c r="R2301" s="7" t="n"/>
      <c r="X2301" s="7" t="n"/>
      <c r="Y2301" s="7" t="n"/>
      <c r="AB2301">
        <f>IF($E2301="","",IF($AQ2301=1,0,IF($AP2301=1,Settings!$C$6,Settings!$C$7))*100)</f>
        <v/>
      </c>
      <c r="AC2301" s="7">
        <f>IF($E2301="","",Y2301*AB2301/100)</f>
        <v/>
      </c>
      <c r="AD2301" s="7">
        <f>IF($E2301="","",Y2301-AC2301)</f>
        <v/>
      </c>
      <c r="AE2301" s="7">
        <f>IF($E2301="","",AD2301-Q2301)</f>
        <v/>
      </c>
      <c r="AI2301" s="7" t="n"/>
      <c r="AL2301" s="11" t="n"/>
      <c r="AN2301">
        <f>IF($E2301="","",IF(COUNTIF($E$2:$E2301,$E2301)=1,1,0))</f>
        <v/>
      </c>
      <c r="AO2301">
        <f>IF($AN2301=1,SUMPRODUCT(--($AR$2:$AR$4001&lt;$AR2301))+1,"")</f>
        <v/>
      </c>
      <c r="AP2301">
        <f>IF($E2301="","",IF(OR($U2301=TRUE(),$U2301="TRUE"),1,0))</f>
        <v/>
      </c>
      <c r="AQ2301">
        <f>IF($E2301="","",IF($AA2301="Yes",1,0))</f>
        <v/>
      </c>
      <c r="AR2301">
        <f>IF($AN2301=1,IFERROR(VALUE(MID($E2301,2,20)),1000000000)+ROW()/100000,"")</f>
        <v/>
      </c>
    </row>
    <row r="2302">
      <c r="G2302" s="11" t="n"/>
      <c r="Q2302" s="7">
        <f>IF($E2302="","",P2302*Y2302/100)</f>
        <v/>
      </c>
      <c r="R2302" s="7" t="n"/>
      <c r="X2302" s="7" t="n"/>
      <c r="Y2302" s="7" t="n"/>
      <c r="AB2302">
        <f>IF($E2302="","",IF($AQ2302=1,0,IF($AP2302=1,Settings!$C$6,Settings!$C$7))*100)</f>
        <v/>
      </c>
      <c r="AC2302" s="7">
        <f>IF($E2302="","",Y2302*AB2302/100)</f>
        <v/>
      </c>
      <c r="AD2302" s="7">
        <f>IF($E2302="","",Y2302-AC2302)</f>
        <v/>
      </c>
      <c r="AE2302" s="7">
        <f>IF($E2302="","",AD2302-Q2302)</f>
        <v/>
      </c>
      <c r="AI2302" s="7" t="n"/>
      <c r="AL2302" s="11" t="n"/>
      <c r="AN2302">
        <f>IF($E2302="","",IF(COUNTIF($E$2:$E2302,$E2302)=1,1,0))</f>
        <v/>
      </c>
      <c r="AO2302">
        <f>IF($AN2302=1,SUMPRODUCT(--($AR$2:$AR$4001&lt;$AR2302))+1,"")</f>
        <v/>
      </c>
      <c r="AP2302">
        <f>IF($E2302="","",IF(OR($U2302=TRUE(),$U2302="TRUE"),1,0))</f>
        <v/>
      </c>
      <c r="AQ2302">
        <f>IF($E2302="","",IF($AA2302="Yes",1,0))</f>
        <v/>
      </c>
      <c r="AR2302">
        <f>IF($AN2302=1,IFERROR(VALUE(MID($E2302,2,20)),1000000000)+ROW()/100000,"")</f>
        <v/>
      </c>
    </row>
    <row r="2303">
      <c r="G2303" s="11" t="n"/>
      <c r="Q2303" s="7">
        <f>IF($E2303="","",P2303*Y2303/100)</f>
        <v/>
      </c>
      <c r="R2303" s="7" t="n"/>
      <c r="X2303" s="7" t="n"/>
      <c r="Y2303" s="7" t="n"/>
      <c r="AB2303">
        <f>IF($E2303="","",IF($AQ2303=1,0,IF($AP2303=1,Settings!$C$6,Settings!$C$7))*100)</f>
        <v/>
      </c>
      <c r="AC2303" s="7">
        <f>IF($E2303="","",Y2303*AB2303/100)</f>
        <v/>
      </c>
      <c r="AD2303" s="7">
        <f>IF($E2303="","",Y2303-AC2303)</f>
        <v/>
      </c>
      <c r="AE2303" s="7">
        <f>IF($E2303="","",AD2303-Q2303)</f>
        <v/>
      </c>
      <c r="AI2303" s="7" t="n"/>
      <c r="AL2303" s="11" t="n"/>
      <c r="AN2303">
        <f>IF($E2303="","",IF(COUNTIF($E$2:$E2303,$E2303)=1,1,0))</f>
        <v/>
      </c>
      <c r="AO2303">
        <f>IF($AN2303=1,SUMPRODUCT(--($AR$2:$AR$4001&lt;$AR2303))+1,"")</f>
        <v/>
      </c>
      <c r="AP2303">
        <f>IF($E2303="","",IF(OR($U2303=TRUE(),$U2303="TRUE"),1,0))</f>
        <v/>
      </c>
      <c r="AQ2303">
        <f>IF($E2303="","",IF($AA2303="Yes",1,0))</f>
        <v/>
      </c>
      <c r="AR2303">
        <f>IF($AN2303=1,IFERROR(VALUE(MID($E2303,2,20)),1000000000)+ROW()/100000,"")</f>
        <v/>
      </c>
    </row>
    <row r="2304">
      <c r="G2304" s="11" t="n"/>
      <c r="Q2304" s="7">
        <f>IF($E2304="","",P2304*Y2304/100)</f>
        <v/>
      </c>
      <c r="R2304" s="7" t="n"/>
      <c r="X2304" s="7" t="n"/>
      <c r="Y2304" s="7" t="n"/>
      <c r="AB2304">
        <f>IF($E2304="","",IF($AQ2304=1,0,IF($AP2304=1,Settings!$C$6,Settings!$C$7))*100)</f>
        <v/>
      </c>
      <c r="AC2304" s="7">
        <f>IF($E2304="","",Y2304*AB2304/100)</f>
        <v/>
      </c>
      <c r="AD2304" s="7">
        <f>IF($E2304="","",Y2304-AC2304)</f>
        <v/>
      </c>
      <c r="AE2304" s="7">
        <f>IF($E2304="","",AD2304-Q2304)</f>
        <v/>
      </c>
      <c r="AI2304" s="7" t="n"/>
      <c r="AL2304" s="11" t="n"/>
      <c r="AN2304">
        <f>IF($E2304="","",IF(COUNTIF($E$2:$E2304,$E2304)=1,1,0))</f>
        <v/>
      </c>
      <c r="AO2304">
        <f>IF($AN2304=1,SUMPRODUCT(--($AR$2:$AR$4001&lt;$AR2304))+1,"")</f>
        <v/>
      </c>
      <c r="AP2304">
        <f>IF($E2304="","",IF(OR($U2304=TRUE(),$U2304="TRUE"),1,0))</f>
        <v/>
      </c>
      <c r="AQ2304">
        <f>IF($E2304="","",IF($AA2304="Yes",1,0))</f>
        <v/>
      </c>
      <c r="AR2304">
        <f>IF($AN2304=1,IFERROR(VALUE(MID($E2304,2,20)),1000000000)+ROW()/100000,"")</f>
        <v/>
      </c>
    </row>
    <row r="2305">
      <c r="G2305" s="11" t="n"/>
      <c r="Q2305" s="7">
        <f>IF($E2305="","",P2305*Y2305/100)</f>
        <v/>
      </c>
      <c r="R2305" s="7" t="n"/>
      <c r="X2305" s="7" t="n"/>
      <c r="Y2305" s="7" t="n"/>
      <c r="AB2305">
        <f>IF($E2305="","",IF($AQ2305=1,0,IF($AP2305=1,Settings!$C$6,Settings!$C$7))*100)</f>
        <v/>
      </c>
      <c r="AC2305" s="7">
        <f>IF($E2305="","",Y2305*AB2305/100)</f>
        <v/>
      </c>
      <c r="AD2305" s="7">
        <f>IF($E2305="","",Y2305-AC2305)</f>
        <v/>
      </c>
      <c r="AE2305" s="7">
        <f>IF($E2305="","",AD2305-Q2305)</f>
        <v/>
      </c>
      <c r="AI2305" s="7" t="n"/>
      <c r="AL2305" s="11" t="n"/>
      <c r="AN2305">
        <f>IF($E2305="","",IF(COUNTIF($E$2:$E2305,$E2305)=1,1,0))</f>
        <v/>
      </c>
      <c r="AO2305">
        <f>IF($AN2305=1,SUMPRODUCT(--($AR$2:$AR$4001&lt;$AR2305))+1,"")</f>
        <v/>
      </c>
      <c r="AP2305">
        <f>IF($E2305="","",IF(OR($U2305=TRUE(),$U2305="TRUE"),1,0))</f>
        <v/>
      </c>
      <c r="AQ2305">
        <f>IF($E2305="","",IF($AA2305="Yes",1,0))</f>
        <v/>
      </c>
      <c r="AR2305">
        <f>IF($AN2305=1,IFERROR(VALUE(MID($E2305,2,20)),1000000000)+ROW()/100000,"")</f>
        <v/>
      </c>
    </row>
    <row r="2306">
      <c r="G2306" s="11" t="n"/>
      <c r="Q2306" s="7">
        <f>IF($E2306="","",P2306*Y2306/100)</f>
        <v/>
      </c>
      <c r="R2306" s="7" t="n"/>
      <c r="X2306" s="7" t="n"/>
      <c r="Y2306" s="7" t="n"/>
      <c r="AB2306">
        <f>IF($E2306="","",IF($AQ2306=1,0,IF($AP2306=1,Settings!$C$6,Settings!$C$7))*100)</f>
        <v/>
      </c>
      <c r="AC2306" s="7">
        <f>IF($E2306="","",Y2306*AB2306/100)</f>
        <v/>
      </c>
      <c r="AD2306" s="7">
        <f>IF($E2306="","",Y2306-AC2306)</f>
        <v/>
      </c>
      <c r="AE2306" s="7">
        <f>IF($E2306="","",AD2306-Q2306)</f>
        <v/>
      </c>
      <c r="AI2306" s="7" t="n"/>
      <c r="AL2306" s="11" t="n"/>
      <c r="AN2306">
        <f>IF($E2306="","",IF(COUNTIF($E$2:$E2306,$E2306)=1,1,0))</f>
        <v/>
      </c>
      <c r="AO2306">
        <f>IF($AN2306=1,SUMPRODUCT(--($AR$2:$AR$4001&lt;$AR2306))+1,"")</f>
        <v/>
      </c>
      <c r="AP2306">
        <f>IF($E2306="","",IF(OR($U2306=TRUE(),$U2306="TRUE"),1,0))</f>
        <v/>
      </c>
      <c r="AQ2306">
        <f>IF($E2306="","",IF($AA2306="Yes",1,0))</f>
        <v/>
      </c>
      <c r="AR2306">
        <f>IF($AN2306=1,IFERROR(VALUE(MID($E2306,2,20)),1000000000)+ROW()/100000,"")</f>
        <v/>
      </c>
    </row>
    <row r="2307">
      <c r="G2307" s="11" t="n"/>
      <c r="Q2307" s="7">
        <f>IF($E2307="","",P2307*Y2307/100)</f>
        <v/>
      </c>
      <c r="R2307" s="7" t="n"/>
      <c r="X2307" s="7" t="n"/>
      <c r="Y2307" s="7" t="n"/>
      <c r="AB2307">
        <f>IF($E2307="","",IF($AQ2307=1,0,IF($AP2307=1,Settings!$C$6,Settings!$C$7))*100)</f>
        <v/>
      </c>
      <c r="AC2307" s="7">
        <f>IF($E2307="","",Y2307*AB2307/100)</f>
        <v/>
      </c>
      <c r="AD2307" s="7">
        <f>IF($E2307="","",Y2307-AC2307)</f>
        <v/>
      </c>
      <c r="AE2307" s="7">
        <f>IF($E2307="","",AD2307-Q2307)</f>
        <v/>
      </c>
      <c r="AI2307" s="7" t="n"/>
      <c r="AL2307" s="11" t="n"/>
      <c r="AN2307">
        <f>IF($E2307="","",IF(COUNTIF($E$2:$E2307,$E2307)=1,1,0))</f>
        <v/>
      </c>
      <c r="AO2307">
        <f>IF($AN2307=1,SUMPRODUCT(--($AR$2:$AR$4001&lt;$AR2307))+1,"")</f>
        <v/>
      </c>
      <c r="AP2307">
        <f>IF($E2307="","",IF(OR($U2307=TRUE(),$U2307="TRUE"),1,0))</f>
        <v/>
      </c>
      <c r="AQ2307">
        <f>IF($E2307="","",IF($AA2307="Yes",1,0))</f>
        <v/>
      </c>
      <c r="AR2307">
        <f>IF($AN2307=1,IFERROR(VALUE(MID($E2307,2,20)),1000000000)+ROW()/100000,"")</f>
        <v/>
      </c>
    </row>
    <row r="2308">
      <c r="G2308" s="11" t="n"/>
      <c r="Q2308" s="7">
        <f>IF($E2308="","",P2308*Y2308/100)</f>
        <v/>
      </c>
      <c r="R2308" s="7" t="n"/>
      <c r="X2308" s="7" t="n"/>
      <c r="Y2308" s="7" t="n"/>
      <c r="AB2308">
        <f>IF($E2308="","",IF($AQ2308=1,0,IF($AP2308=1,Settings!$C$6,Settings!$C$7))*100)</f>
        <v/>
      </c>
      <c r="AC2308" s="7">
        <f>IF($E2308="","",Y2308*AB2308/100)</f>
        <v/>
      </c>
      <c r="AD2308" s="7">
        <f>IF($E2308="","",Y2308-AC2308)</f>
        <v/>
      </c>
      <c r="AE2308" s="7">
        <f>IF($E2308="","",AD2308-Q2308)</f>
        <v/>
      </c>
      <c r="AI2308" s="7" t="n"/>
      <c r="AL2308" s="11" t="n"/>
      <c r="AN2308">
        <f>IF($E2308="","",IF(COUNTIF($E$2:$E2308,$E2308)=1,1,0))</f>
        <v/>
      </c>
      <c r="AO2308">
        <f>IF($AN2308=1,SUMPRODUCT(--($AR$2:$AR$4001&lt;$AR2308))+1,"")</f>
        <v/>
      </c>
      <c r="AP2308">
        <f>IF($E2308="","",IF(OR($U2308=TRUE(),$U2308="TRUE"),1,0))</f>
        <v/>
      </c>
      <c r="AQ2308">
        <f>IF($E2308="","",IF($AA2308="Yes",1,0))</f>
        <v/>
      </c>
      <c r="AR2308">
        <f>IF($AN2308=1,IFERROR(VALUE(MID($E2308,2,20)),1000000000)+ROW()/100000,"")</f>
        <v/>
      </c>
    </row>
    <row r="2309">
      <c r="G2309" s="11" t="n"/>
      <c r="Q2309" s="7">
        <f>IF($E2309="","",P2309*Y2309/100)</f>
        <v/>
      </c>
      <c r="R2309" s="7" t="n"/>
      <c r="X2309" s="7" t="n"/>
      <c r="Y2309" s="7" t="n"/>
      <c r="AB2309">
        <f>IF($E2309="","",IF($AQ2309=1,0,IF($AP2309=1,Settings!$C$6,Settings!$C$7))*100)</f>
        <v/>
      </c>
      <c r="AC2309" s="7">
        <f>IF($E2309="","",Y2309*AB2309/100)</f>
        <v/>
      </c>
      <c r="AD2309" s="7">
        <f>IF($E2309="","",Y2309-AC2309)</f>
        <v/>
      </c>
      <c r="AE2309" s="7">
        <f>IF($E2309="","",AD2309-Q2309)</f>
        <v/>
      </c>
      <c r="AI2309" s="7" t="n"/>
      <c r="AL2309" s="11" t="n"/>
      <c r="AN2309">
        <f>IF($E2309="","",IF(COUNTIF($E$2:$E2309,$E2309)=1,1,0))</f>
        <v/>
      </c>
      <c r="AO2309">
        <f>IF($AN2309=1,SUMPRODUCT(--($AR$2:$AR$4001&lt;$AR2309))+1,"")</f>
        <v/>
      </c>
      <c r="AP2309">
        <f>IF($E2309="","",IF(OR($U2309=TRUE(),$U2309="TRUE"),1,0))</f>
        <v/>
      </c>
      <c r="AQ2309">
        <f>IF($E2309="","",IF($AA2309="Yes",1,0))</f>
        <v/>
      </c>
      <c r="AR2309">
        <f>IF($AN2309=1,IFERROR(VALUE(MID($E2309,2,20)),1000000000)+ROW()/100000,"")</f>
        <v/>
      </c>
    </row>
    <row r="2310">
      <c r="G2310" s="11" t="n"/>
      <c r="Q2310" s="7">
        <f>IF($E2310="","",P2310*Y2310/100)</f>
        <v/>
      </c>
      <c r="R2310" s="7" t="n"/>
      <c r="X2310" s="7" t="n"/>
      <c r="Y2310" s="7" t="n"/>
      <c r="AB2310">
        <f>IF($E2310="","",IF($AQ2310=1,0,IF($AP2310=1,Settings!$C$6,Settings!$C$7))*100)</f>
        <v/>
      </c>
      <c r="AC2310" s="7">
        <f>IF($E2310="","",Y2310*AB2310/100)</f>
        <v/>
      </c>
      <c r="AD2310" s="7">
        <f>IF($E2310="","",Y2310-AC2310)</f>
        <v/>
      </c>
      <c r="AE2310" s="7">
        <f>IF($E2310="","",AD2310-Q2310)</f>
        <v/>
      </c>
      <c r="AI2310" s="7" t="n"/>
      <c r="AL2310" s="11" t="n"/>
      <c r="AN2310">
        <f>IF($E2310="","",IF(COUNTIF($E$2:$E2310,$E2310)=1,1,0))</f>
        <v/>
      </c>
      <c r="AO2310">
        <f>IF($AN2310=1,SUMPRODUCT(--($AR$2:$AR$4001&lt;$AR2310))+1,"")</f>
        <v/>
      </c>
      <c r="AP2310">
        <f>IF($E2310="","",IF(OR($U2310=TRUE(),$U2310="TRUE"),1,0))</f>
        <v/>
      </c>
      <c r="AQ2310">
        <f>IF($E2310="","",IF($AA2310="Yes",1,0))</f>
        <v/>
      </c>
      <c r="AR2310">
        <f>IF($AN2310=1,IFERROR(VALUE(MID($E2310,2,20)),1000000000)+ROW()/100000,"")</f>
        <v/>
      </c>
    </row>
    <row r="2311">
      <c r="G2311" s="11" t="n"/>
      <c r="Q2311" s="7">
        <f>IF($E2311="","",P2311*Y2311/100)</f>
        <v/>
      </c>
      <c r="R2311" s="7" t="n"/>
      <c r="X2311" s="7" t="n"/>
      <c r="Y2311" s="7" t="n"/>
      <c r="AB2311">
        <f>IF($E2311="","",IF($AQ2311=1,0,IF($AP2311=1,Settings!$C$6,Settings!$C$7))*100)</f>
        <v/>
      </c>
      <c r="AC2311" s="7">
        <f>IF($E2311="","",Y2311*AB2311/100)</f>
        <v/>
      </c>
      <c r="AD2311" s="7">
        <f>IF($E2311="","",Y2311-AC2311)</f>
        <v/>
      </c>
      <c r="AE2311" s="7">
        <f>IF($E2311="","",AD2311-Q2311)</f>
        <v/>
      </c>
      <c r="AI2311" s="7" t="n"/>
      <c r="AL2311" s="11" t="n"/>
      <c r="AN2311">
        <f>IF($E2311="","",IF(COUNTIF($E$2:$E2311,$E2311)=1,1,0))</f>
        <v/>
      </c>
      <c r="AO2311">
        <f>IF($AN2311=1,SUMPRODUCT(--($AR$2:$AR$4001&lt;$AR2311))+1,"")</f>
        <v/>
      </c>
      <c r="AP2311">
        <f>IF($E2311="","",IF(OR($U2311=TRUE(),$U2311="TRUE"),1,0))</f>
        <v/>
      </c>
      <c r="AQ2311">
        <f>IF($E2311="","",IF($AA2311="Yes",1,0))</f>
        <v/>
      </c>
      <c r="AR2311">
        <f>IF($AN2311=1,IFERROR(VALUE(MID($E2311,2,20)),1000000000)+ROW()/100000,"")</f>
        <v/>
      </c>
    </row>
    <row r="2312">
      <c r="G2312" s="11" t="n"/>
      <c r="Q2312" s="7">
        <f>IF($E2312="","",P2312*Y2312/100)</f>
        <v/>
      </c>
      <c r="R2312" s="7" t="n"/>
      <c r="X2312" s="7" t="n"/>
      <c r="Y2312" s="7" t="n"/>
      <c r="AB2312">
        <f>IF($E2312="","",IF($AQ2312=1,0,IF($AP2312=1,Settings!$C$6,Settings!$C$7))*100)</f>
        <v/>
      </c>
      <c r="AC2312" s="7">
        <f>IF($E2312="","",Y2312*AB2312/100)</f>
        <v/>
      </c>
      <c r="AD2312" s="7">
        <f>IF($E2312="","",Y2312-AC2312)</f>
        <v/>
      </c>
      <c r="AE2312" s="7">
        <f>IF($E2312="","",AD2312-Q2312)</f>
        <v/>
      </c>
      <c r="AI2312" s="7" t="n"/>
      <c r="AL2312" s="11" t="n"/>
      <c r="AN2312">
        <f>IF($E2312="","",IF(COUNTIF($E$2:$E2312,$E2312)=1,1,0))</f>
        <v/>
      </c>
      <c r="AO2312">
        <f>IF($AN2312=1,SUMPRODUCT(--($AR$2:$AR$4001&lt;$AR2312))+1,"")</f>
        <v/>
      </c>
      <c r="AP2312">
        <f>IF($E2312="","",IF(OR($U2312=TRUE(),$U2312="TRUE"),1,0))</f>
        <v/>
      </c>
      <c r="AQ2312">
        <f>IF($E2312="","",IF($AA2312="Yes",1,0))</f>
        <v/>
      </c>
      <c r="AR2312">
        <f>IF($AN2312=1,IFERROR(VALUE(MID($E2312,2,20)),1000000000)+ROW()/100000,"")</f>
        <v/>
      </c>
    </row>
    <row r="2313">
      <c r="G2313" s="11" t="n"/>
      <c r="Q2313" s="7">
        <f>IF($E2313="","",P2313*Y2313/100)</f>
        <v/>
      </c>
      <c r="R2313" s="7" t="n"/>
      <c r="X2313" s="7" t="n"/>
      <c r="Y2313" s="7" t="n"/>
      <c r="AB2313">
        <f>IF($E2313="","",IF($AQ2313=1,0,IF($AP2313=1,Settings!$C$6,Settings!$C$7))*100)</f>
        <v/>
      </c>
      <c r="AC2313" s="7">
        <f>IF($E2313="","",Y2313*AB2313/100)</f>
        <v/>
      </c>
      <c r="AD2313" s="7">
        <f>IF($E2313="","",Y2313-AC2313)</f>
        <v/>
      </c>
      <c r="AE2313" s="7">
        <f>IF($E2313="","",AD2313-Q2313)</f>
        <v/>
      </c>
      <c r="AI2313" s="7" t="n"/>
      <c r="AL2313" s="11" t="n"/>
      <c r="AN2313">
        <f>IF($E2313="","",IF(COUNTIF($E$2:$E2313,$E2313)=1,1,0))</f>
        <v/>
      </c>
      <c r="AO2313">
        <f>IF($AN2313=1,SUMPRODUCT(--($AR$2:$AR$4001&lt;$AR2313))+1,"")</f>
        <v/>
      </c>
      <c r="AP2313">
        <f>IF($E2313="","",IF(OR($U2313=TRUE(),$U2313="TRUE"),1,0))</f>
        <v/>
      </c>
      <c r="AQ2313">
        <f>IF($E2313="","",IF($AA2313="Yes",1,0))</f>
        <v/>
      </c>
      <c r="AR2313">
        <f>IF($AN2313=1,IFERROR(VALUE(MID($E2313,2,20)),1000000000)+ROW()/100000,"")</f>
        <v/>
      </c>
    </row>
    <row r="2314">
      <c r="G2314" s="11" t="n"/>
      <c r="Q2314" s="7">
        <f>IF($E2314="","",P2314*Y2314/100)</f>
        <v/>
      </c>
      <c r="R2314" s="7" t="n"/>
      <c r="X2314" s="7" t="n"/>
      <c r="Y2314" s="7" t="n"/>
      <c r="AB2314">
        <f>IF($E2314="","",IF($AQ2314=1,0,IF($AP2314=1,Settings!$C$6,Settings!$C$7))*100)</f>
        <v/>
      </c>
      <c r="AC2314" s="7">
        <f>IF($E2314="","",Y2314*AB2314/100)</f>
        <v/>
      </c>
      <c r="AD2314" s="7">
        <f>IF($E2314="","",Y2314-AC2314)</f>
        <v/>
      </c>
      <c r="AE2314" s="7">
        <f>IF($E2314="","",AD2314-Q2314)</f>
        <v/>
      </c>
      <c r="AI2314" s="7" t="n"/>
      <c r="AL2314" s="11" t="n"/>
      <c r="AN2314">
        <f>IF($E2314="","",IF(COUNTIF($E$2:$E2314,$E2314)=1,1,0))</f>
        <v/>
      </c>
      <c r="AO2314">
        <f>IF($AN2314=1,SUMPRODUCT(--($AR$2:$AR$4001&lt;$AR2314))+1,"")</f>
        <v/>
      </c>
      <c r="AP2314">
        <f>IF($E2314="","",IF(OR($U2314=TRUE(),$U2314="TRUE"),1,0))</f>
        <v/>
      </c>
      <c r="AQ2314">
        <f>IF($E2314="","",IF($AA2314="Yes",1,0))</f>
        <v/>
      </c>
      <c r="AR2314">
        <f>IF($AN2314=1,IFERROR(VALUE(MID($E2314,2,20)),1000000000)+ROW()/100000,"")</f>
        <v/>
      </c>
    </row>
    <row r="2315">
      <c r="G2315" s="11" t="n"/>
      <c r="Q2315" s="7">
        <f>IF($E2315="","",P2315*Y2315/100)</f>
        <v/>
      </c>
      <c r="R2315" s="7" t="n"/>
      <c r="X2315" s="7" t="n"/>
      <c r="Y2315" s="7" t="n"/>
      <c r="AB2315">
        <f>IF($E2315="","",IF($AQ2315=1,0,IF($AP2315=1,Settings!$C$6,Settings!$C$7))*100)</f>
        <v/>
      </c>
      <c r="AC2315" s="7">
        <f>IF($E2315="","",Y2315*AB2315/100)</f>
        <v/>
      </c>
      <c r="AD2315" s="7">
        <f>IF($E2315="","",Y2315-AC2315)</f>
        <v/>
      </c>
      <c r="AE2315" s="7">
        <f>IF($E2315="","",AD2315-Q2315)</f>
        <v/>
      </c>
      <c r="AI2315" s="7" t="n"/>
      <c r="AL2315" s="11" t="n"/>
      <c r="AN2315">
        <f>IF($E2315="","",IF(COUNTIF($E$2:$E2315,$E2315)=1,1,0))</f>
        <v/>
      </c>
      <c r="AO2315">
        <f>IF($AN2315=1,SUMPRODUCT(--($AR$2:$AR$4001&lt;$AR2315))+1,"")</f>
        <v/>
      </c>
      <c r="AP2315">
        <f>IF($E2315="","",IF(OR($U2315=TRUE(),$U2315="TRUE"),1,0))</f>
        <v/>
      </c>
      <c r="AQ2315">
        <f>IF($E2315="","",IF($AA2315="Yes",1,0))</f>
        <v/>
      </c>
      <c r="AR2315">
        <f>IF($AN2315=1,IFERROR(VALUE(MID($E2315,2,20)),1000000000)+ROW()/100000,"")</f>
        <v/>
      </c>
    </row>
    <row r="2316">
      <c r="G2316" s="11" t="n"/>
      <c r="Q2316" s="7">
        <f>IF($E2316="","",P2316*Y2316/100)</f>
        <v/>
      </c>
      <c r="R2316" s="7" t="n"/>
      <c r="X2316" s="7" t="n"/>
      <c r="Y2316" s="7" t="n"/>
      <c r="AB2316">
        <f>IF($E2316="","",IF($AQ2316=1,0,IF($AP2316=1,Settings!$C$6,Settings!$C$7))*100)</f>
        <v/>
      </c>
      <c r="AC2316" s="7">
        <f>IF($E2316="","",Y2316*AB2316/100)</f>
        <v/>
      </c>
      <c r="AD2316" s="7">
        <f>IF($E2316="","",Y2316-AC2316)</f>
        <v/>
      </c>
      <c r="AE2316" s="7">
        <f>IF($E2316="","",AD2316-Q2316)</f>
        <v/>
      </c>
      <c r="AI2316" s="7" t="n"/>
      <c r="AL2316" s="11" t="n"/>
      <c r="AN2316">
        <f>IF($E2316="","",IF(COUNTIF($E$2:$E2316,$E2316)=1,1,0))</f>
        <v/>
      </c>
      <c r="AO2316">
        <f>IF($AN2316=1,SUMPRODUCT(--($AR$2:$AR$4001&lt;$AR2316))+1,"")</f>
        <v/>
      </c>
      <c r="AP2316">
        <f>IF($E2316="","",IF(OR($U2316=TRUE(),$U2316="TRUE"),1,0))</f>
        <v/>
      </c>
      <c r="AQ2316">
        <f>IF($E2316="","",IF($AA2316="Yes",1,0))</f>
        <v/>
      </c>
      <c r="AR2316">
        <f>IF($AN2316=1,IFERROR(VALUE(MID($E2316,2,20)),1000000000)+ROW()/100000,"")</f>
        <v/>
      </c>
    </row>
    <row r="2317">
      <c r="G2317" s="11" t="n"/>
      <c r="Q2317" s="7">
        <f>IF($E2317="","",P2317*Y2317/100)</f>
        <v/>
      </c>
      <c r="R2317" s="7" t="n"/>
      <c r="X2317" s="7" t="n"/>
      <c r="Y2317" s="7" t="n"/>
      <c r="AB2317">
        <f>IF($E2317="","",IF($AQ2317=1,0,IF($AP2317=1,Settings!$C$6,Settings!$C$7))*100)</f>
        <v/>
      </c>
      <c r="AC2317" s="7">
        <f>IF($E2317="","",Y2317*AB2317/100)</f>
        <v/>
      </c>
      <c r="AD2317" s="7">
        <f>IF($E2317="","",Y2317-AC2317)</f>
        <v/>
      </c>
      <c r="AE2317" s="7">
        <f>IF($E2317="","",AD2317-Q2317)</f>
        <v/>
      </c>
      <c r="AI2317" s="7" t="n"/>
      <c r="AL2317" s="11" t="n"/>
      <c r="AN2317">
        <f>IF($E2317="","",IF(COUNTIF($E$2:$E2317,$E2317)=1,1,0))</f>
        <v/>
      </c>
      <c r="AO2317">
        <f>IF($AN2317=1,SUMPRODUCT(--($AR$2:$AR$4001&lt;$AR2317))+1,"")</f>
        <v/>
      </c>
      <c r="AP2317">
        <f>IF($E2317="","",IF(OR($U2317=TRUE(),$U2317="TRUE"),1,0))</f>
        <v/>
      </c>
      <c r="AQ2317">
        <f>IF($E2317="","",IF($AA2317="Yes",1,0))</f>
        <v/>
      </c>
      <c r="AR2317">
        <f>IF($AN2317=1,IFERROR(VALUE(MID($E2317,2,20)),1000000000)+ROW()/100000,"")</f>
        <v/>
      </c>
    </row>
    <row r="2318">
      <c r="G2318" s="11" t="n"/>
      <c r="Q2318" s="7">
        <f>IF($E2318="","",P2318*Y2318/100)</f>
        <v/>
      </c>
      <c r="R2318" s="7" t="n"/>
      <c r="X2318" s="7" t="n"/>
      <c r="Y2318" s="7" t="n"/>
      <c r="AB2318">
        <f>IF($E2318="","",IF($AQ2318=1,0,IF($AP2318=1,Settings!$C$6,Settings!$C$7))*100)</f>
        <v/>
      </c>
      <c r="AC2318" s="7">
        <f>IF($E2318="","",Y2318*AB2318/100)</f>
        <v/>
      </c>
      <c r="AD2318" s="7">
        <f>IF($E2318="","",Y2318-AC2318)</f>
        <v/>
      </c>
      <c r="AE2318" s="7">
        <f>IF($E2318="","",AD2318-Q2318)</f>
        <v/>
      </c>
      <c r="AI2318" s="7" t="n"/>
      <c r="AL2318" s="11" t="n"/>
      <c r="AN2318">
        <f>IF($E2318="","",IF(COUNTIF($E$2:$E2318,$E2318)=1,1,0))</f>
        <v/>
      </c>
      <c r="AO2318">
        <f>IF($AN2318=1,SUMPRODUCT(--($AR$2:$AR$4001&lt;$AR2318))+1,"")</f>
        <v/>
      </c>
      <c r="AP2318">
        <f>IF($E2318="","",IF(OR($U2318=TRUE(),$U2318="TRUE"),1,0))</f>
        <v/>
      </c>
      <c r="AQ2318">
        <f>IF($E2318="","",IF($AA2318="Yes",1,0))</f>
        <v/>
      </c>
      <c r="AR2318">
        <f>IF($AN2318=1,IFERROR(VALUE(MID($E2318,2,20)),1000000000)+ROW()/100000,"")</f>
        <v/>
      </c>
    </row>
    <row r="2319">
      <c r="G2319" s="11" t="n"/>
      <c r="Q2319" s="7">
        <f>IF($E2319="","",P2319*Y2319/100)</f>
        <v/>
      </c>
      <c r="R2319" s="7" t="n"/>
      <c r="X2319" s="7" t="n"/>
      <c r="Y2319" s="7" t="n"/>
      <c r="AB2319">
        <f>IF($E2319="","",IF($AQ2319=1,0,IF($AP2319=1,Settings!$C$6,Settings!$C$7))*100)</f>
        <v/>
      </c>
      <c r="AC2319" s="7">
        <f>IF($E2319="","",Y2319*AB2319/100)</f>
        <v/>
      </c>
      <c r="AD2319" s="7">
        <f>IF($E2319="","",Y2319-AC2319)</f>
        <v/>
      </c>
      <c r="AE2319" s="7">
        <f>IF($E2319="","",AD2319-Q2319)</f>
        <v/>
      </c>
      <c r="AI2319" s="7" t="n"/>
      <c r="AL2319" s="11" t="n"/>
      <c r="AN2319">
        <f>IF($E2319="","",IF(COUNTIF($E$2:$E2319,$E2319)=1,1,0))</f>
        <v/>
      </c>
      <c r="AO2319">
        <f>IF($AN2319=1,SUMPRODUCT(--($AR$2:$AR$4001&lt;$AR2319))+1,"")</f>
        <v/>
      </c>
      <c r="AP2319">
        <f>IF($E2319="","",IF(OR($U2319=TRUE(),$U2319="TRUE"),1,0))</f>
        <v/>
      </c>
      <c r="AQ2319">
        <f>IF($E2319="","",IF($AA2319="Yes",1,0))</f>
        <v/>
      </c>
      <c r="AR2319">
        <f>IF($AN2319=1,IFERROR(VALUE(MID($E2319,2,20)),1000000000)+ROW()/100000,"")</f>
        <v/>
      </c>
    </row>
    <row r="2320">
      <c r="G2320" s="11" t="n"/>
      <c r="Q2320" s="7">
        <f>IF($E2320="","",P2320*Y2320/100)</f>
        <v/>
      </c>
      <c r="R2320" s="7" t="n"/>
      <c r="X2320" s="7" t="n"/>
      <c r="Y2320" s="7" t="n"/>
      <c r="AB2320">
        <f>IF($E2320="","",IF($AQ2320=1,0,IF($AP2320=1,Settings!$C$6,Settings!$C$7))*100)</f>
        <v/>
      </c>
      <c r="AC2320" s="7">
        <f>IF($E2320="","",Y2320*AB2320/100)</f>
        <v/>
      </c>
      <c r="AD2320" s="7">
        <f>IF($E2320="","",Y2320-AC2320)</f>
        <v/>
      </c>
      <c r="AE2320" s="7">
        <f>IF($E2320="","",AD2320-Q2320)</f>
        <v/>
      </c>
      <c r="AI2320" s="7" t="n"/>
      <c r="AL2320" s="11" t="n"/>
      <c r="AN2320">
        <f>IF($E2320="","",IF(COUNTIF($E$2:$E2320,$E2320)=1,1,0))</f>
        <v/>
      </c>
      <c r="AO2320">
        <f>IF($AN2320=1,SUMPRODUCT(--($AR$2:$AR$4001&lt;$AR2320))+1,"")</f>
        <v/>
      </c>
      <c r="AP2320">
        <f>IF($E2320="","",IF(OR($U2320=TRUE(),$U2320="TRUE"),1,0))</f>
        <v/>
      </c>
      <c r="AQ2320">
        <f>IF($E2320="","",IF($AA2320="Yes",1,0))</f>
        <v/>
      </c>
      <c r="AR2320">
        <f>IF($AN2320=1,IFERROR(VALUE(MID($E2320,2,20)),1000000000)+ROW()/100000,"")</f>
        <v/>
      </c>
    </row>
    <row r="2321">
      <c r="G2321" s="11" t="n"/>
      <c r="Q2321" s="7">
        <f>IF($E2321="","",P2321*Y2321/100)</f>
        <v/>
      </c>
      <c r="R2321" s="7" t="n"/>
      <c r="X2321" s="7" t="n"/>
      <c r="Y2321" s="7" t="n"/>
      <c r="AB2321">
        <f>IF($E2321="","",IF($AQ2321=1,0,IF($AP2321=1,Settings!$C$6,Settings!$C$7))*100)</f>
        <v/>
      </c>
      <c r="AC2321" s="7">
        <f>IF($E2321="","",Y2321*AB2321/100)</f>
        <v/>
      </c>
      <c r="AD2321" s="7">
        <f>IF($E2321="","",Y2321-AC2321)</f>
        <v/>
      </c>
      <c r="AE2321" s="7">
        <f>IF($E2321="","",AD2321-Q2321)</f>
        <v/>
      </c>
      <c r="AI2321" s="7" t="n"/>
      <c r="AL2321" s="11" t="n"/>
      <c r="AN2321">
        <f>IF($E2321="","",IF(COUNTIF($E$2:$E2321,$E2321)=1,1,0))</f>
        <v/>
      </c>
      <c r="AO2321">
        <f>IF($AN2321=1,SUMPRODUCT(--($AR$2:$AR$4001&lt;$AR2321))+1,"")</f>
        <v/>
      </c>
      <c r="AP2321">
        <f>IF($E2321="","",IF(OR($U2321=TRUE(),$U2321="TRUE"),1,0))</f>
        <v/>
      </c>
      <c r="AQ2321">
        <f>IF($E2321="","",IF($AA2321="Yes",1,0))</f>
        <v/>
      </c>
      <c r="AR2321">
        <f>IF($AN2321=1,IFERROR(VALUE(MID($E2321,2,20)),1000000000)+ROW()/100000,"")</f>
        <v/>
      </c>
    </row>
    <row r="2322">
      <c r="G2322" s="11" t="n"/>
      <c r="Q2322" s="7">
        <f>IF($E2322="","",P2322*Y2322/100)</f>
        <v/>
      </c>
      <c r="R2322" s="7" t="n"/>
      <c r="X2322" s="7" t="n"/>
      <c r="Y2322" s="7" t="n"/>
      <c r="AB2322">
        <f>IF($E2322="","",IF($AQ2322=1,0,IF($AP2322=1,Settings!$C$6,Settings!$C$7))*100)</f>
        <v/>
      </c>
      <c r="AC2322" s="7">
        <f>IF($E2322="","",Y2322*AB2322/100)</f>
        <v/>
      </c>
      <c r="AD2322" s="7">
        <f>IF($E2322="","",Y2322-AC2322)</f>
        <v/>
      </c>
      <c r="AE2322" s="7">
        <f>IF($E2322="","",AD2322-Q2322)</f>
        <v/>
      </c>
      <c r="AI2322" s="7" t="n"/>
      <c r="AL2322" s="11" t="n"/>
      <c r="AN2322">
        <f>IF($E2322="","",IF(COUNTIF($E$2:$E2322,$E2322)=1,1,0))</f>
        <v/>
      </c>
      <c r="AO2322">
        <f>IF($AN2322=1,SUMPRODUCT(--($AR$2:$AR$4001&lt;$AR2322))+1,"")</f>
        <v/>
      </c>
      <c r="AP2322">
        <f>IF($E2322="","",IF(OR($U2322=TRUE(),$U2322="TRUE"),1,0))</f>
        <v/>
      </c>
      <c r="AQ2322">
        <f>IF($E2322="","",IF($AA2322="Yes",1,0))</f>
        <v/>
      </c>
      <c r="AR2322">
        <f>IF($AN2322=1,IFERROR(VALUE(MID($E2322,2,20)),1000000000)+ROW()/100000,"")</f>
        <v/>
      </c>
    </row>
    <row r="2323">
      <c r="G2323" s="11" t="n"/>
      <c r="Q2323" s="7">
        <f>IF($E2323="","",P2323*Y2323/100)</f>
        <v/>
      </c>
      <c r="R2323" s="7" t="n"/>
      <c r="X2323" s="7" t="n"/>
      <c r="Y2323" s="7" t="n"/>
      <c r="AB2323">
        <f>IF($E2323="","",IF($AQ2323=1,0,IF($AP2323=1,Settings!$C$6,Settings!$C$7))*100)</f>
        <v/>
      </c>
      <c r="AC2323" s="7">
        <f>IF($E2323="","",Y2323*AB2323/100)</f>
        <v/>
      </c>
      <c r="AD2323" s="7">
        <f>IF($E2323="","",Y2323-AC2323)</f>
        <v/>
      </c>
      <c r="AE2323" s="7">
        <f>IF($E2323="","",AD2323-Q2323)</f>
        <v/>
      </c>
      <c r="AI2323" s="7" t="n"/>
      <c r="AL2323" s="11" t="n"/>
      <c r="AN2323">
        <f>IF($E2323="","",IF(COUNTIF($E$2:$E2323,$E2323)=1,1,0))</f>
        <v/>
      </c>
      <c r="AO2323">
        <f>IF($AN2323=1,SUMPRODUCT(--($AR$2:$AR$4001&lt;$AR2323))+1,"")</f>
        <v/>
      </c>
      <c r="AP2323">
        <f>IF($E2323="","",IF(OR($U2323=TRUE(),$U2323="TRUE"),1,0))</f>
        <v/>
      </c>
      <c r="AQ2323">
        <f>IF($E2323="","",IF($AA2323="Yes",1,0))</f>
        <v/>
      </c>
      <c r="AR2323">
        <f>IF($AN2323=1,IFERROR(VALUE(MID($E2323,2,20)),1000000000)+ROW()/100000,"")</f>
        <v/>
      </c>
    </row>
    <row r="2324">
      <c r="G2324" s="11" t="n"/>
      <c r="Q2324" s="7">
        <f>IF($E2324="","",P2324*Y2324/100)</f>
        <v/>
      </c>
      <c r="R2324" s="7" t="n"/>
      <c r="X2324" s="7" t="n"/>
      <c r="Y2324" s="7" t="n"/>
      <c r="AB2324">
        <f>IF($E2324="","",IF($AQ2324=1,0,IF($AP2324=1,Settings!$C$6,Settings!$C$7))*100)</f>
        <v/>
      </c>
      <c r="AC2324" s="7">
        <f>IF($E2324="","",Y2324*AB2324/100)</f>
        <v/>
      </c>
      <c r="AD2324" s="7">
        <f>IF($E2324="","",Y2324-AC2324)</f>
        <v/>
      </c>
      <c r="AE2324" s="7">
        <f>IF($E2324="","",AD2324-Q2324)</f>
        <v/>
      </c>
      <c r="AI2324" s="7" t="n"/>
      <c r="AL2324" s="11" t="n"/>
      <c r="AN2324">
        <f>IF($E2324="","",IF(COUNTIF($E$2:$E2324,$E2324)=1,1,0))</f>
        <v/>
      </c>
      <c r="AO2324">
        <f>IF($AN2324=1,SUMPRODUCT(--($AR$2:$AR$4001&lt;$AR2324))+1,"")</f>
        <v/>
      </c>
      <c r="AP2324">
        <f>IF($E2324="","",IF(OR($U2324=TRUE(),$U2324="TRUE"),1,0))</f>
        <v/>
      </c>
      <c r="AQ2324">
        <f>IF($E2324="","",IF($AA2324="Yes",1,0))</f>
        <v/>
      </c>
      <c r="AR2324">
        <f>IF($AN2324=1,IFERROR(VALUE(MID($E2324,2,20)),1000000000)+ROW()/100000,"")</f>
        <v/>
      </c>
    </row>
    <row r="2325">
      <c r="G2325" s="11" t="n"/>
      <c r="Q2325" s="7">
        <f>IF($E2325="","",P2325*Y2325/100)</f>
        <v/>
      </c>
      <c r="R2325" s="7" t="n"/>
      <c r="X2325" s="7" t="n"/>
      <c r="Y2325" s="7" t="n"/>
      <c r="AB2325">
        <f>IF($E2325="","",IF($AQ2325=1,0,IF($AP2325=1,Settings!$C$6,Settings!$C$7))*100)</f>
        <v/>
      </c>
      <c r="AC2325" s="7">
        <f>IF($E2325="","",Y2325*AB2325/100)</f>
        <v/>
      </c>
      <c r="AD2325" s="7">
        <f>IF($E2325="","",Y2325-AC2325)</f>
        <v/>
      </c>
      <c r="AE2325" s="7">
        <f>IF($E2325="","",AD2325-Q2325)</f>
        <v/>
      </c>
      <c r="AI2325" s="7" t="n"/>
      <c r="AL2325" s="11" t="n"/>
      <c r="AN2325">
        <f>IF($E2325="","",IF(COUNTIF($E$2:$E2325,$E2325)=1,1,0))</f>
        <v/>
      </c>
      <c r="AO2325">
        <f>IF($AN2325=1,SUMPRODUCT(--($AR$2:$AR$4001&lt;$AR2325))+1,"")</f>
        <v/>
      </c>
      <c r="AP2325">
        <f>IF($E2325="","",IF(OR($U2325=TRUE(),$U2325="TRUE"),1,0))</f>
        <v/>
      </c>
      <c r="AQ2325">
        <f>IF($E2325="","",IF($AA2325="Yes",1,0))</f>
        <v/>
      </c>
      <c r="AR2325">
        <f>IF($AN2325=1,IFERROR(VALUE(MID($E2325,2,20)),1000000000)+ROW()/100000,"")</f>
        <v/>
      </c>
    </row>
    <row r="2326">
      <c r="G2326" s="11" t="n"/>
      <c r="Q2326" s="7">
        <f>IF($E2326="","",P2326*Y2326/100)</f>
        <v/>
      </c>
      <c r="R2326" s="7" t="n"/>
      <c r="X2326" s="7" t="n"/>
      <c r="Y2326" s="7" t="n"/>
      <c r="AB2326">
        <f>IF($E2326="","",IF($AQ2326=1,0,IF($AP2326=1,Settings!$C$6,Settings!$C$7))*100)</f>
        <v/>
      </c>
      <c r="AC2326" s="7">
        <f>IF($E2326="","",Y2326*AB2326/100)</f>
        <v/>
      </c>
      <c r="AD2326" s="7">
        <f>IF($E2326="","",Y2326-AC2326)</f>
        <v/>
      </c>
      <c r="AE2326" s="7">
        <f>IF($E2326="","",AD2326-Q2326)</f>
        <v/>
      </c>
      <c r="AI2326" s="7" t="n"/>
      <c r="AL2326" s="11" t="n"/>
      <c r="AN2326">
        <f>IF($E2326="","",IF(COUNTIF($E$2:$E2326,$E2326)=1,1,0))</f>
        <v/>
      </c>
      <c r="AO2326">
        <f>IF($AN2326=1,SUMPRODUCT(--($AR$2:$AR$4001&lt;$AR2326))+1,"")</f>
        <v/>
      </c>
      <c r="AP2326">
        <f>IF($E2326="","",IF(OR($U2326=TRUE(),$U2326="TRUE"),1,0))</f>
        <v/>
      </c>
      <c r="AQ2326">
        <f>IF($E2326="","",IF($AA2326="Yes",1,0))</f>
        <v/>
      </c>
      <c r="AR2326">
        <f>IF($AN2326=1,IFERROR(VALUE(MID($E2326,2,20)),1000000000)+ROW()/100000,"")</f>
        <v/>
      </c>
    </row>
    <row r="2327">
      <c r="G2327" s="11" t="n"/>
      <c r="Q2327" s="7">
        <f>IF($E2327="","",P2327*Y2327/100)</f>
        <v/>
      </c>
      <c r="R2327" s="7" t="n"/>
      <c r="X2327" s="7" t="n"/>
      <c r="Y2327" s="7" t="n"/>
      <c r="AB2327">
        <f>IF($E2327="","",IF($AQ2327=1,0,IF($AP2327=1,Settings!$C$6,Settings!$C$7))*100)</f>
        <v/>
      </c>
      <c r="AC2327" s="7">
        <f>IF($E2327="","",Y2327*AB2327/100)</f>
        <v/>
      </c>
      <c r="AD2327" s="7">
        <f>IF($E2327="","",Y2327-AC2327)</f>
        <v/>
      </c>
      <c r="AE2327" s="7">
        <f>IF($E2327="","",AD2327-Q2327)</f>
        <v/>
      </c>
      <c r="AI2327" s="7" t="n"/>
      <c r="AL2327" s="11" t="n"/>
      <c r="AN2327">
        <f>IF($E2327="","",IF(COUNTIF($E$2:$E2327,$E2327)=1,1,0))</f>
        <v/>
      </c>
      <c r="AO2327">
        <f>IF($AN2327=1,SUMPRODUCT(--($AR$2:$AR$4001&lt;$AR2327))+1,"")</f>
        <v/>
      </c>
      <c r="AP2327">
        <f>IF($E2327="","",IF(OR($U2327=TRUE(),$U2327="TRUE"),1,0))</f>
        <v/>
      </c>
      <c r="AQ2327">
        <f>IF($E2327="","",IF($AA2327="Yes",1,0))</f>
        <v/>
      </c>
      <c r="AR2327">
        <f>IF($AN2327=1,IFERROR(VALUE(MID($E2327,2,20)),1000000000)+ROW()/100000,"")</f>
        <v/>
      </c>
    </row>
    <row r="2328">
      <c r="G2328" s="11" t="n"/>
      <c r="Q2328" s="7">
        <f>IF($E2328="","",P2328*Y2328/100)</f>
        <v/>
      </c>
      <c r="R2328" s="7" t="n"/>
      <c r="X2328" s="7" t="n"/>
      <c r="Y2328" s="7" t="n"/>
      <c r="AB2328">
        <f>IF($E2328="","",IF($AQ2328=1,0,IF($AP2328=1,Settings!$C$6,Settings!$C$7))*100)</f>
        <v/>
      </c>
      <c r="AC2328" s="7">
        <f>IF($E2328="","",Y2328*AB2328/100)</f>
        <v/>
      </c>
      <c r="AD2328" s="7">
        <f>IF($E2328="","",Y2328-AC2328)</f>
        <v/>
      </c>
      <c r="AE2328" s="7">
        <f>IF($E2328="","",AD2328-Q2328)</f>
        <v/>
      </c>
      <c r="AI2328" s="7" t="n"/>
      <c r="AL2328" s="11" t="n"/>
      <c r="AN2328">
        <f>IF($E2328="","",IF(COUNTIF($E$2:$E2328,$E2328)=1,1,0))</f>
        <v/>
      </c>
      <c r="AO2328">
        <f>IF($AN2328=1,SUMPRODUCT(--($AR$2:$AR$4001&lt;$AR2328))+1,"")</f>
        <v/>
      </c>
      <c r="AP2328">
        <f>IF($E2328="","",IF(OR($U2328=TRUE(),$U2328="TRUE"),1,0))</f>
        <v/>
      </c>
      <c r="AQ2328">
        <f>IF($E2328="","",IF($AA2328="Yes",1,0))</f>
        <v/>
      </c>
      <c r="AR2328">
        <f>IF($AN2328=1,IFERROR(VALUE(MID($E2328,2,20)),1000000000)+ROW()/100000,"")</f>
        <v/>
      </c>
    </row>
    <row r="2329">
      <c r="G2329" s="11" t="n"/>
      <c r="Q2329" s="7">
        <f>IF($E2329="","",P2329*Y2329/100)</f>
        <v/>
      </c>
      <c r="R2329" s="7" t="n"/>
      <c r="X2329" s="7" t="n"/>
      <c r="Y2329" s="7" t="n"/>
      <c r="AB2329">
        <f>IF($E2329="","",IF($AQ2329=1,0,IF($AP2329=1,Settings!$C$6,Settings!$C$7))*100)</f>
        <v/>
      </c>
      <c r="AC2329" s="7">
        <f>IF($E2329="","",Y2329*AB2329/100)</f>
        <v/>
      </c>
      <c r="AD2329" s="7">
        <f>IF($E2329="","",Y2329-AC2329)</f>
        <v/>
      </c>
      <c r="AE2329" s="7">
        <f>IF($E2329="","",AD2329-Q2329)</f>
        <v/>
      </c>
      <c r="AI2329" s="7" t="n"/>
      <c r="AL2329" s="11" t="n"/>
      <c r="AN2329">
        <f>IF($E2329="","",IF(COUNTIF($E$2:$E2329,$E2329)=1,1,0))</f>
        <v/>
      </c>
      <c r="AO2329">
        <f>IF($AN2329=1,SUMPRODUCT(--($AR$2:$AR$4001&lt;$AR2329))+1,"")</f>
        <v/>
      </c>
      <c r="AP2329">
        <f>IF($E2329="","",IF(OR($U2329=TRUE(),$U2329="TRUE"),1,0))</f>
        <v/>
      </c>
      <c r="AQ2329">
        <f>IF($E2329="","",IF($AA2329="Yes",1,0))</f>
        <v/>
      </c>
      <c r="AR2329">
        <f>IF($AN2329=1,IFERROR(VALUE(MID($E2329,2,20)),1000000000)+ROW()/100000,"")</f>
        <v/>
      </c>
    </row>
    <row r="2330">
      <c r="G2330" s="11" t="n"/>
      <c r="Q2330" s="7">
        <f>IF($E2330="","",P2330*Y2330/100)</f>
        <v/>
      </c>
      <c r="R2330" s="7" t="n"/>
      <c r="X2330" s="7" t="n"/>
      <c r="Y2330" s="7" t="n"/>
      <c r="AB2330">
        <f>IF($E2330="","",IF($AQ2330=1,0,IF($AP2330=1,Settings!$C$6,Settings!$C$7))*100)</f>
        <v/>
      </c>
      <c r="AC2330" s="7">
        <f>IF($E2330="","",Y2330*AB2330/100)</f>
        <v/>
      </c>
      <c r="AD2330" s="7">
        <f>IF($E2330="","",Y2330-AC2330)</f>
        <v/>
      </c>
      <c r="AE2330" s="7">
        <f>IF($E2330="","",AD2330-Q2330)</f>
        <v/>
      </c>
      <c r="AI2330" s="7" t="n"/>
      <c r="AL2330" s="11" t="n"/>
      <c r="AN2330">
        <f>IF($E2330="","",IF(COUNTIF($E$2:$E2330,$E2330)=1,1,0))</f>
        <v/>
      </c>
      <c r="AO2330">
        <f>IF($AN2330=1,SUMPRODUCT(--($AR$2:$AR$4001&lt;$AR2330))+1,"")</f>
        <v/>
      </c>
      <c r="AP2330">
        <f>IF($E2330="","",IF(OR($U2330=TRUE(),$U2330="TRUE"),1,0))</f>
        <v/>
      </c>
      <c r="AQ2330">
        <f>IF($E2330="","",IF($AA2330="Yes",1,0))</f>
        <v/>
      </c>
      <c r="AR2330">
        <f>IF($AN2330=1,IFERROR(VALUE(MID($E2330,2,20)),1000000000)+ROW()/100000,"")</f>
        <v/>
      </c>
    </row>
    <row r="2331">
      <c r="G2331" s="11" t="n"/>
      <c r="Q2331" s="7">
        <f>IF($E2331="","",P2331*Y2331/100)</f>
        <v/>
      </c>
      <c r="R2331" s="7" t="n"/>
      <c r="X2331" s="7" t="n"/>
      <c r="Y2331" s="7" t="n"/>
      <c r="AB2331">
        <f>IF($E2331="","",IF($AQ2331=1,0,IF($AP2331=1,Settings!$C$6,Settings!$C$7))*100)</f>
        <v/>
      </c>
      <c r="AC2331" s="7">
        <f>IF($E2331="","",Y2331*AB2331/100)</f>
        <v/>
      </c>
      <c r="AD2331" s="7">
        <f>IF($E2331="","",Y2331-AC2331)</f>
        <v/>
      </c>
      <c r="AE2331" s="7">
        <f>IF($E2331="","",AD2331-Q2331)</f>
        <v/>
      </c>
      <c r="AI2331" s="7" t="n"/>
      <c r="AL2331" s="11" t="n"/>
      <c r="AN2331">
        <f>IF($E2331="","",IF(COUNTIF($E$2:$E2331,$E2331)=1,1,0))</f>
        <v/>
      </c>
      <c r="AO2331">
        <f>IF($AN2331=1,SUMPRODUCT(--($AR$2:$AR$4001&lt;$AR2331))+1,"")</f>
        <v/>
      </c>
      <c r="AP2331">
        <f>IF($E2331="","",IF(OR($U2331=TRUE(),$U2331="TRUE"),1,0))</f>
        <v/>
      </c>
      <c r="AQ2331">
        <f>IF($E2331="","",IF($AA2331="Yes",1,0))</f>
        <v/>
      </c>
      <c r="AR2331">
        <f>IF($AN2331=1,IFERROR(VALUE(MID($E2331,2,20)),1000000000)+ROW()/100000,"")</f>
        <v/>
      </c>
    </row>
    <row r="2332">
      <c r="G2332" s="11" t="n"/>
      <c r="Q2332" s="7">
        <f>IF($E2332="","",P2332*Y2332/100)</f>
        <v/>
      </c>
      <c r="R2332" s="7" t="n"/>
      <c r="X2332" s="7" t="n"/>
      <c r="Y2332" s="7" t="n"/>
      <c r="AB2332">
        <f>IF($E2332="","",IF($AQ2332=1,0,IF($AP2332=1,Settings!$C$6,Settings!$C$7))*100)</f>
        <v/>
      </c>
      <c r="AC2332" s="7">
        <f>IF($E2332="","",Y2332*AB2332/100)</f>
        <v/>
      </c>
      <c r="AD2332" s="7">
        <f>IF($E2332="","",Y2332-AC2332)</f>
        <v/>
      </c>
      <c r="AE2332" s="7">
        <f>IF($E2332="","",AD2332-Q2332)</f>
        <v/>
      </c>
      <c r="AI2332" s="7" t="n"/>
      <c r="AL2332" s="11" t="n"/>
      <c r="AN2332">
        <f>IF($E2332="","",IF(COUNTIF($E$2:$E2332,$E2332)=1,1,0))</f>
        <v/>
      </c>
      <c r="AO2332">
        <f>IF($AN2332=1,SUMPRODUCT(--($AR$2:$AR$4001&lt;$AR2332))+1,"")</f>
        <v/>
      </c>
      <c r="AP2332">
        <f>IF($E2332="","",IF(OR($U2332=TRUE(),$U2332="TRUE"),1,0))</f>
        <v/>
      </c>
      <c r="AQ2332">
        <f>IF($E2332="","",IF($AA2332="Yes",1,0))</f>
        <v/>
      </c>
      <c r="AR2332">
        <f>IF($AN2332=1,IFERROR(VALUE(MID($E2332,2,20)),1000000000)+ROW()/100000,"")</f>
        <v/>
      </c>
    </row>
    <row r="2333">
      <c r="G2333" s="11" t="n"/>
      <c r="Q2333" s="7">
        <f>IF($E2333="","",P2333*Y2333/100)</f>
        <v/>
      </c>
      <c r="R2333" s="7" t="n"/>
      <c r="X2333" s="7" t="n"/>
      <c r="Y2333" s="7" t="n"/>
      <c r="AB2333">
        <f>IF($E2333="","",IF($AQ2333=1,0,IF($AP2333=1,Settings!$C$6,Settings!$C$7))*100)</f>
        <v/>
      </c>
      <c r="AC2333" s="7">
        <f>IF($E2333="","",Y2333*AB2333/100)</f>
        <v/>
      </c>
      <c r="AD2333" s="7">
        <f>IF($E2333="","",Y2333-AC2333)</f>
        <v/>
      </c>
      <c r="AE2333" s="7">
        <f>IF($E2333="","",AD2333-Q2333)</f>
        <v/>
      </c>
      <c r="AI2333" s="7" t="n"/>
      <c r="AL2333" s="11" t="n"/>
      <c r="AN2333">
        <f>IF($E2333="","",IF(COUNTIF($E$2:$E2333,$E2333)=1,1,0))</f>
        <v/>
      </c>
      <c r="AO2333">
        <f>IF($AN2333=1,SUMPRODUCT(--($AR$2:$AR$4001&lt;$AR2333))+1,"")</f>
        <v/>
      </c>
      <c r="AP2333">
        <f>IF($E2333="","",IF(OR($U2333=TRUE(),$U2333="TRUE"),1,0))</f>
        <v/>
      </c>
      <c r="AQ2333">
        <f>IF($E2333="","",IF($AA2333="Yes",1,0))</f>
        <v/>
      </c>
      <c r="AR2333">
        <f>IF($AN2333=1,IFERROR(VALUE(MID($E2333,2,20)),1000000000)+ROW()/100000,"")</f>
        <v/>
      </c>
    </row>
    <row r="2334">
      <c r="G2334" s="11" t="n"/>
      <c r="Q2334" s="7">
        <f>IF($E2334="","",P2334*Y2334/100)</f>
        <v/>
      </c>
      <c r="R2334" s="7" t="n"/>
      <c r="X2334" s="7" t="n"/>
      <c r="Y2334" s="7" t="n"/>
      <c r="AB2334">
        <f>IF($E2334="","",IF($AQ2334=1,0,IF($AP2334=1,Settings!$C$6,Settings!$C$7))*100)</f>
        <v/>
      </c>
      <c r="AC2334" s="7">
        <f>IF($E2334="","",Y2334*AB2334/100)</f>
        <v/>
      </c>
      <c r="AD2334" s="7">
        <f>IF($E2334="","",Y2334-AC2334)</f>
        <v/>
      </c>
      <c r="AE2334" s="7">
        <f>IF($E2334="","",AD2334-Q2334)</f>
        <v/>
      </c>
      <c r="AI2334" s="7" t="n"/>
      <c r="AL2334" s="11" t="n"/>
      <c r="AN2334">
        <f>IF($E2334="","",IF(COUNTIF($E$2:$E2334,$E2334)=1,1,0))</f>
        <v/>
      </c>
      <c r="AO2334">
        <f>IF($AN2334=1,SUMPRODUCT(--($AR$2:$AR$4001&lt;$AR2334))+1,"")</f>
        <v/>
      </c>
      <c r="AP2334">
        <f>IF($E2334="","",IF(OR($U2334=TRUE(),$U2334="TRUE"),1,0))</f>
        <v/>
      </c>
      <c r="AQ2334">
        <f>IF($E2334="","",IF($AA2334="Yes",1,0))</f>
        <v/>
      </c>
      <c r="AR2334">
        <f>IF($AN2334=1,IFERROR(VALUE(MID($E2334,2,20)),1000000000)+ROW()/100000,"")</f>
        <v/>
      </c>
    </row>
    <row r="2335">
      <c r="G2335" s="11" t="n"/>
      <c r="Q2335" s="7">
        <f>IF($E2335="","",P2335*Y2335/100)</f>
        <v/>
      </c>
      <c r="R2335" s="7" t="n"/>
      <c r="X2335" s="7" t="n"/>
      <c r="Y2335" s="7" t="n"/>
      <c r="AB2335">
        <f>IF($E2335="","",IF($AQ2335=1,0,IF($AP2335=1,Settings!$C$6,Settings!$C$7))*100)</f>
        <v/>
      </c>
      <c r="AC2335" s="7">
        <f>IF($E2335="","",Y2335*AB2335/100)</f>
        <v/>
      </c>
      <c r="AD2335" s="7">
        <f>IF($E2335="","",Y2335-AC2335)</f>
        <v/>
      </c>
      <c r="AE2335" s="7">
        <f>IF($E2335="","",AD2335-Q2335)</f>
        <v/>
      </c>
      <c r="AI2335" s="7" t="n"/>
      <c r="AL2335" s="11" t="n"/>
      <c r="AN2335">
        <f>IF($E2335="","",IF(COUNTIF($E$2:$E2335,$E2335)=1,1,0))</f>
        <v/>
      </c>
      <c r="AO2335">
        <f>IF($AN2335=1,SUMPRODUCT(--($AR$2:$AR$4001&lt;$AR2335))+1,"")</f>
        <v/>
      </c>
      <c r="AP2335">
        <f>IF($E2335="","",IF(OR($U2335=TRUE(),$U2335="TRUE"),1,0))</f>
        <v/>
      </c>
      <c r="AQ2335">
        <f>IF($E2335="","",IF($AA2335="Yes",1,0))</f>
        <v/>
      </c>
      <c r="AR2335">
        <f>IF($AN2335=1,IFERROR(VALUE(MID($E2335,2,20)),1000000000)+ROW()/100000,"")</f>
        <v/>
      </c>
    </row>
    <row r="2336">
      <c r="G2336" s="11" t="n"/>
      <c r="Q2336" s="7">
        <f>IF($E2336="","",P2336*Y2336/100)</f>
        <v/>
      </c>
      <c r="R2336" s="7" t="n"/>
      <c r="X2336" s="7" t="n"/>
      <c r="Y2336" s="7" t="n"/>
      <c r="AB2336">
        <f>IF($E2336="","",IF($AQ2336=1,0,IF($AP2336=1,Settings!$C$6,Settings!$C$7))*100)</f>
        <v/>
      </c>
      <c r="AC2336" s="7">
        <f>IF($E2336="","",Y2336*AB2336/100)</f>
        <v/>
      </c>
      <c r="AD2336" s="7">
        <f>IF($E2336="","",Y2336-AC2336)</f>
        <v/>
      </c>
      <c r="AE2336" s="7">
        <f>IF($E2336="","",AD2336-Q2336)</f>
        <v/>
      </c>
      <c r="AI2336" s="7" t="n"/>
      <c r="AL2336" s="11" t="n"/>
      <c r="AN2336">
        <f>IF($E2336="","",IF(COUNTIF($E$2:$E2336,$E2336)=1,1,0))</f>
        <v/>
      </c>
      <c r="AO2336">
        <f>IF($AN2336=1,SUMPRODUCT(--($AR$2:$AR$4001&lt;$AR2336))+1,"")</f>
        <v/>
      </c>
      <c r="AP2336">
        <f>IF($E2336="","",IF(OR($U2336=TRUE(),$U2336="TRUE"),1,0))</f>
        <v/>
      </c>
      <c r="AQ2336">
        <f>IF($E2336="","",IF($AA2336="Yes",1,0))</f>
        <v/>
      </c>
      <c r="AR2336">
        <f>IF($AN2336=1,IFERROR(VALUE(MID($E2336,2,20)),1000000000)+ROW()/100000,"")</f>
        <v/>
      </c>
    </row>
    <row r="2337">
      <c r="G2337" s="11" t="n"/>
      <c r="Q2337" s="7">
        <f>IF($E2337="","",P2337*Y2337/100)</f>
        <v/>
      </c>
      <c r="R2337" s="7" t="n"/>
      <c r="X2337" s="7" t="n"/>
      <c r="Y2337" s="7" t="n"/>
      <c r="AB2337">
        <f>IF($E2337="","",IF($AQ2337=1,0,IF($AP2337=1,Settings!$C$6,Settings!$C$7))*100)</f>
        <v/>
      </c>
      <c r="AC2337" s="7">
        <f>IF($E2337="","",Y2337*AB2337/100)</f>
        <v/>
      </c>
      <c r="AD2337" s="7">
        <f>IF($E2337="","",Y2337-AC2337)</f>
        <v/>
      </c>
      <c r="AE2337" s="7">
        <f>IF($E2337="","",AD2337-Q2337)</f>
        <v/>
      </c>
      <c r="AI2337" s="7" t="n"/>
      <c r="AL2337" s="11" t="n"/>
      <c r="AN2337">
        <f>IF($E2337="","",IF(COUNTIF($E$2:$E2337,$E2337)=1,1,0))</f>
        <v/>
      </c>
      <c r="AO2337">
        <f>IF($AN2337=1,SUMPRODUCT(--($AR$2:$AR$4001&lt;$AR2337))+1,"")</f>
        <v/>
      </c>
      <c r="AP2337">
        <f>IF($E2337="","",IF(OR($U2337=TRUE(),$U2337="TRUE"),1,0))</f>
        <v/>
      </c>
      <c r="AQ2337">
        <f>IF($E2337="","",IF($AA2337="Yes",1,0))</f>
        <v/>
      </c>
      <c r="AR2337">
        <f>IF($AN2337=1,IFERROR(VALUE(MID($E2337,2,20)),1000000000)+ROW()/100000,"")</f>
        <v/>
      </c>
    </row>
    <row r="2338">
      <c r="G2338" s="11" t="n"/>
      <c r="Q2338" s="7">
        <f>IF($E2338="","",P2338*Y2338/100)</f>
        <v/>
      </c>
      <c r="R2338" s="7" t="n"/>
      <c r="X2338" s="7" t="n"/>
      <c r="Y2338" s="7" t="n"/>
      <c r="AB2338">
        <f>IF($E2338="","",IF($AQ2338=1,0,IF($AP2338=1,Settings!$C$6,Settings!$C$7))*100)</f>
        <v/>
      </c>
      <c r="AC2338" s="7">
        <f>IF($E2338="","",Y2338*AB2338/100)</f>
        <v/>
      </c>
      <c r="AD2338" s="7">
        <f>IF($E2338="","",Y2338-AC2338)</f>
        <v/>
      </c>
      <c r="AE2338" s="7">
        <f>IF($E2338="","",AD2338-Q2338)</f>
        <v/>
      </c>
      <c r="AI2338" s="7" t="n"/>
      <c r="AL2338" s="11" t="n"/>
      <c r="AN2338">
        <f>IF($E2338="","",IF(COUNTIF($E$2:$E2338,$E2338)=1,1,0))</f>
        <v/>
      </c>
      <c r="AO2338">
        <f>IF($AN2338=1,SUMPRODUCT(--($AR$2:$AR$4001&lt;$AR2338))+1,"")</f>
        <v/>
      </c>
      <c r="AP2338">
        <f>IF($E2338="","",IF(OR($U2338=TRUE(),$U2338="TRUE"),1,0))</f>
        <v/>
      </c>
      <c r="AQ2338">
        <f>IF($E2338="","",IF($AA2338="Yes",1,0))</f>
        <v/>
      </c>
      <c r="AR2338">
        <f>IF($AN2338=1,IFERROR(VALUE(MID($E2338,2,20)),1000000000)+ROW()/100000,"")</f>
        <v/>
      </c>
    </row>
    <row r="2339">
      <c r="G2339" s="11" t="n"/>
      <c r="Q2339" s="7">
        <f>IF($E2339="","",P2339*Y2339/100)</f>
        <v/>
      </c>
      <c r="R2339" s="7" t="n"/>
      <c r="X2339" s="7" t="n"/>
      <c r="Y2339" s="7" t="n"/>
      <c r="AB2339">
        <f>IF($E2339="","",IF($AQ2339=1,0,IF($AP2339=1,Settings!$C$6,Settings!$C$7))*100)</f>
        <v/>
      </c>
      <c r="AC2339" s="7">
        <f>IF($E2339="","",Y2339*AB2339/100)</f>
        <v/>
      </c>
      <c r="AD2339" s="7">
        <f>IF($E2339="","",Y2339-AC2339)</f>
        <v/>
      </c>
      <c r="AE2339" s="7">
        <f>IF($E2339="","",AD2339-Q2339)</f>
        <v/>
      </c>
      <c r="AI2339" s="7" t="n"/>
      <c r="AL2339" s="11" t="n"/>
      <c r="AN2339">
        <f>IF($E2339="","",IF(COUNTIF($E$2:$E2339,$E2339)=1,1,0))</f>
        <v/>
      </c>
      <c r="AO2339">
        <f>IF($AN2339=1,SUMPRODUCT(--($AR$2:$AR$4001&lt;$AR2339))+1,"")</f>
        <v/>
      </c>
      <c r="AP2339">
        <f>IF($E2339="","",IF(OR($U2339=TRUE(),$U2339="TRUE"),1,0))</f>
        <v/>
      </c>
      <c r="AQ2339">
        <f>IF($E2339="","",IF($AA2339="Yes",1,0))</f>
        <v/>
      </c>
      <c r="AR2339">
        <f>IF($AN2339=1,IFERROR(VALUE(MID($E2339,2,20)),1000000000)+ROW()/100000,"")</f>
        <v/>
      </c>
    </row>
    <row r="2340">
      <c r="G2340" s="11" t="n"/>
      <c r="Q2340" s="7">
        <f>IF($E2340="","",P2340*Y2340/100)</f>
        <v/>
      </c>
      <c r="R2340" s="7" t="n"/>
      <c r="X2340" s="7" t="n"/>
      <c r="Y2340" s="7" t="n"/>
      <c r="AB2340">
        <f>IF($E2340="","",IF($AQ2340=1,0,IF($AP2340=1,Settings!$C$6,Settings!$C$7))*100)</f>
        <v/>
      </c>
      <c r="AC2340" s="7">
        <f>IF($E2340="","",Y2340*AB2340/100)</f>
        <v/>
      </c>
      <c r="AD2340" s="7">
        <f>IF($E2340="","",Y2340-AC2340)</f>
        <v/>
      </c>
      <c r="AE2340" s="7">
        <f>IF($E2340="","",AD2340-Q2340)</f>
        <v/>
      </c>
      <c r="AI2340" s="7" t="n"/>
      <c r="AL2340" s="11" t="n"/>
      <c r="AN2340">
        <f>IF($E2340="","",IF(COUNTIF($E$2:$E2340,$E2340)=1,1,0))</f>
        <v/>
      </c>
      <c r="AO2340">
        <f>IF($AN2340=1,SUMPRODUCT(--($AR$2:$AR$4001&lt;$AR2340))+1,"")</f>
        <v/>
      </c>
      <c r="AP2340">
        <f>IF($E2340="","",IF(OR($U2340=TRUE(),$U2340="TRUE"),1,0))</f>
        <v/>
      </c>
      <c r="AQ2340">
        <f>IF($E2340="","",IF($AA2340="Yes",1,0))</f>
        <v/>
      </c>
      <c r="AR2340">
        <f>IF($AN2340=1,IFERROR(VALUE(MID($E2340,2,20)),1000000000)+ROW()/100000,"")</f>
        <v/>
      </c>
    </row>
    <row r="2341">
      <c r="G2341" s="11" t="n"/>
      <c r="Q2341" s="7">
        <f>IF($E2341="","",P2341*Y2341/100)</f>
        <v/>
      </c>
      <c r="R2341" s="7" t="n"/>
      <c r="X2341" s="7" t="n"/>
      <c r="Y2341" s="7" t="n"/>
      <c r="AB2341">
        <f>IF($E2341="","",IF($AQ2341=1,0,IF($AP2341=1,Settings!$C$6,Settings!$C$7))*100)</f>
        <v/>
      </c>
      <c r="AC2341" s="7">
        <f>IF($E2341="","",Y2341*AB2341/100)</f>
        <v/>
      </c>
      <c r="AD2341" s="7">
        <f>IF($E2341="","",Y2341-AC2341)</f>
        <v/>
      </c>
      <c r="AE2341" s="7">
        <f>IF($E2341="","",AD2341-Q2341)</f>
        <v/>
      </c>
      <c r="AI2341" s="7" t="n"/>
      <c r="AL2341" s="11" t="n"/>
      <c r="AN2341">
        <f>IF($E2341="","",IF(COUNTIF($E$2:$E2341,$E2341)=1,1,0))</f>
        <v/>
      </c>
      <c r="AO2341">
        <f>IF($AN2341=1,SUMPRODUCT(--($AR$2:$AR$4001&lt;$AR2341))+1,"")</f>
        <v/>
      </c>
      <c r="AP2341">
        <f>IF($E2341="","",IF(OR($U2341=TRUE(),$U2341="TRUE"),1,0))</f>
        <v/>
      </c>
      <c r="AQ2341">
        <f>IF($E2341="","",IF($AA2341="Yes",1,0))</f>
        <v/>
      </c>
      <c r="AR2341">
        <f>IF($AN2341=1,IFERROR(VALUE(MID($E2341,2,20)),1000000000)+ROW()/100000,"")</f>
        <v/>
      </c>
    </row>
    <row r="2342">
      <c r="G2342" s="11" t="n"/>
      <c r="Q2342" s="7">
        <f>IF($E2342="","",P2342*Y2342/100)</f>
        <v/>
      </c>
      <c r="R2342" s="7" t="n"/>
      <c r="X2342" s="7" t="n"/>
      <c r="Y2342" s="7" t="n"/>
      <c r="AB2342">
        <f>IF($E2342="","",IF($AQ2342=1,0,IF($AP2342=1,Settings!$C$6,Settings!$C$7))*100)</f>
        <v/>
      </c>
      <c r="AC2342" s="7">
        <f>IF($E2342="","",Y2342*AB2342/100)</f>
        <v/>
      </c>
      <c r="AD2342" s="7">
        <f>IF($E2342="","",Y2342-AC2342)</f>
        <v/>
      </c>
      <c r="AE2342" s="7">
        <f>IF($E2342="","",AD2342-Q2342)</f>
        <v/>
      </c>
      <c r="AI2342" s="7" t="n"/>
      <c r="AL2342" s="11" t="n"/>
      <c r="AN2342">
        <f>IF($E2342="","",IF(COUNTIF($E$2:$E2342,$E2342)=1,1,0))</f>
        <v/>
      </c>
      <c r="AO2342">
        <f>IF($AN2342=1,SUMPRODUCT(--($AR$2:$AR$4001&lt;$AR2342))+1,"")</f>
        <v/>
      </c>
      <c r="AP2342">
        <f>IF($E2342="","",IF(OR($U2342=TRUE(),$U2342="TRUE"),1,0))</f>
        <v/>
      </c>
      <c r="AQ2342">
        <f>IF($E2342="","",IF($AA2342="Yes",1,0))</f>
        <v/>
      </c>
      <c r="AR2342">
        <f>IF($AN2342=1,IFERROR(VALUE(MID($E2342,2,20)),1000000000)+ROW()/100000,"")</f>
        <v/>
      </c>
    </row>
    <row r="2343">
      <c r="G2343" s="11" t="n"/>
      <c r="Q2343" s="7">
        <f>IF($E2343="","",P2343*Y2343/100)</f>
        <v/>
      </c>
      <c r="R2343" s="7" t="n"/>
      <c r="X2343" s="7" t="n"/>
      <c r="Y2343" s="7" t="n"/>
      <c r="AB2343">
        <f>IF($E2343="","",IF($AQ2343=1,0,IF($AP2343=1,Settings!$C$6,Settings!$C$7))*100)</f>
        <v/>
      </c>
      <c r="AC2343" s="7">
        <f>IF($E2343="","",Y2343*AB2343/100)</f>
        <v/>
      </c>
      <c r="AD2343" s="7">
        <f>IF($E2343="","",Y2343-AC2343)</f>
        <v/>
      </c>
      <c r="AE2343" s="7">
        <f>IF($E2343="","",AD2343-Q2343)</f>
        <v/>
      </c>
      <c r="AI2343" s="7" t="n"/>
      <c r="AL2343" s="11" t="n"/>
      <c r="AN2343">
        <f>IF($E2343="","",IF(COUNTIF($E$2:$E2343,$E2343)=1,1,0))</f>
        <v/>
      </c>
      <c r="AO2343">
        <f>IF($AN2343=1,SUMPRODUCT(--($AR$2:$AR$4001&lt;$AR2343))+1,"")</f>
        <v/>
      </c>
      <c r="AP2343">
        <f>IF($E2343="","",IF(OR($U2343=TRUE(),$U2343="TRUE"),1,0))</f>
        <v/>
      </c>
      <c r="AQ2343">
        <f>IF($E2343="","",IF($AA2343="Yes",1,0))</f>
        <v/>
      </c>
      <c r="AR2343">
        <f>IF($AN2343=1,IFERROR(VALUE(MID($E2343,2,20)),1000000000)+ROW()/100000,"")</f>
        <v/>
      </c>
    </row>
    <row r="2344">
      <c r="G2344" s="11" t="n"/>
      <c r="Q2344" s="7">
        <f>IF($E2344="","",P2344*Y2344/100)</f>
        <v/>
      </c>
      <c r="R2344" s="7" t="n"/>
      <c r="X2344" s="7" t="n"/>
      <c r="Y2344" s="7" t="n"/>
      <c r="AB2344">
        <f>IF($E2344="","",IF($AQ2344=1,0,IF($AP2344=1,Settings!$C$6,Settings!$C$7))*100)</f>
        <v/>
      </c>
      <c r="AC2344" s="7">
        <f>IF($E2344="","",Y2344*AB2344/100)</f>
        <v/>
      </c>
      <c r="AD2344" s="7">
        <f>IF($E2344="","",Y2344-AC2344)</f>
        <v/>
      </c>
      <c r="AE2344" s="7">
        <f>IF($E2344="","",AD2344-Q2344)</f>
        <v/>
      </c>
      <c r="AI2344" s="7" t="n"/>
      <c r="AL2344" s="11" t="n"/>
      <c r="AN2344">
        <f>IF($E2344="","",IF(COUNTIF($E$2:$E2344,$E2344)=1,1,0))</f>
        <v/>
      </c>
      <c r="AO2344">
        <f>IF($AN2344=1,SUMPRODUCT(--($AR$2:$AR$4001&lt;$AR2344))+1,"")</f>
        <v/>
      </c>
      <c r="AP2344">
        <f>IF($E2344="","",IF(OR($U2344=TRUE(),$U2344="TRUE"),1,0))</f>
        <v/>
      </c>
      <c r="AQ2344">
        <f>IF($E2344="","",IF($AA2344="Yes",1,0))</f>
        <v/>
      </c>
      <c r="AR2344">
        <f>IF($AN2344=1,IFERROR(VALUE(MID($E2344,2,20)),1000000000)+ROW()/100000,"")</f>
        <v/>
      </c>
    </row>
    <row r="2345">
      <c r="G2345" s="11" t="n"/>
      <c r="Q2345" s="7">
        <f>IF($E2345="","",P2345*Y2345/100)</f>
        <v/>
      </c>
      <c r="R2345" s="7" t="n"/>
      <c r="X2345" s="7" t="n"/>
      <c r="Y2345" s="7" t="n"/>
      <c r="AB2345">
        <f>IF($E2345="","",IF($AQ2345=1,0,IF($AP2345=1,Settings!$C$6,Settings!$C$7))*100)</f>
        <v/>
      </c>
      <c r="AC2345" s="7">
        <f>IF($E2345="","",Y2345*AB2345/100)</f>
        <v/>
      </c>
      <c r="AD2345" s="7">
        <f>IF($E2345="","",Y2345-AC2345)</f>
        <v/>
      </c>
      <c r="AE2345" s="7">
        <f>IF($E2345="","",AD2345-Q2345)</f>
        <v/>
      </c>
      <c r="AI2345" s="7" t="n"/>
      <c r="AL2345" s="11" t="n"/>
      <c r="AN2345">
        <f>IF($E2345="","",IF(COUNTIF($E$2:$E2345,$E2345)=1,1,0))</f>
        <v/>
      </c>
      <c r="AO2345">
        <f>IF($AN2345=1,SUMPRODUCT(--($AR$2:$AR$4001&lt;$AR2345))+1,"")</f>
        <v/>
      </c>
      <c r="AP2345">
        <f>IF($E2345="","",IF(OR($U2345=TRUE(),$U2345="TRUE"),1,0))</f>
        <v/>
      </c>
      <c r="AQ2345">
        <f>IF($E2345="","",IF($AA2345="Yes",1,0))</f>
        <v/>
      </c>
      <c r="AR2345">
        <f>IF($AN2345=1,IFERROR(VALUE(MID($E2345,2,20)),1000000000)+ROW()/100000,"")</f>
        <v/>
      </c>
    </row>
    <row r="2346">
      <c r="G2346" s="11" t="n"/>
      <c r="Q2346" s="7">
        <f>IF($E2346="","",P2346*Y2346/100)</f>
        <v/>
      </c>
      <c r="R2346" s="7" t="n"/>
      <c r="X2346" s="7" t="n"/>
      <c r="Y2346" s="7" t="n"/>
      <c r="AB2346">
        <f>IF($E2346="","",IF($AQ2346=1,0,IF($AP2346=1,Settings!$C$6,Settings!$C$7))*100)</f>
        <v/>
      </c>
      <c r="AC2346" s="7">
        <f>IF($E2346="","",Y2346*AB2346/100)</f>
        <v/>
      </c>
      <c r="AD2346" s="7">
        <f>IF($E2346="","",Y2346-AC2346)</f>
        <v/>
      </c>
      <c r="AE2346" s="7">
        <f>IF($E2346="","",AD2346-Q2346)</f>
        <v/>
      </c>
      <c r="AI2346" s="7" t="n"/>
      <c r="AL2346" s="11" t="n"/>
      <c r="AN2346">
        <f>IF($E2346="","",IF(COUNTIF($E$2:$E2346,$E2346)=1,1,0))</f>
        <v/>
      </c>
      <c r="AO2346">
        <f>IF($AN2346=1,SUMPRODUCT(--($AR$2:$AR$4001&lt;$AR2346))+1,"")</f>
        <v/>
      </c>
      <c r="AP2346">
        <f>IF($E2346="","",IF(OR($U2346=TRUE(),$U2346="TRUE"),1,0))</f>
        <v/>
      </c>
      <c r="AQ2346">
        <f>IF($E2346="","",IF($AA2346="Yes",1,0))</f>
        <v/>
      </c>
      <c r="AR2346">
        <f>IF($AN2346=1,IFERROR(VALUE(MID($E2346,2,20)),1000000000)+ROW()/100000,"")</f>
        <v/>
      </c>
    </row>
    <row r="2347">
      <c r="G2347" s="11" t="n"/>
      <c r="Q2347" s="7">
        <f>IF($E2347="","",P2347*Y2347/100)</f>
        <v/>
      </c>
      <c r="R2347" s="7" t="n"/>
      <c r="X2347" s="7" t="n"/>
      <c r="Y2347" s="7" t="n"/>
      <c r="AB2347">
        <f>IF($E2347="","",IF($AQ2347=1,0,IF($AP2347=1,Settings!$C$6,Settings!$C$7))*100)</f>
        <v/>
      </c>
      <c r="AC2347" s="7">
        <f>IF($E2347="","",Y2347*AB2347/100)</f>
        <v/>
      </c>
      <c r="AD2347" s="7">
        <f>IF($E2347="","",Y2347-AC2347)</f>
        <v/>
      </c>
      <c r="AE2347" s="7">
        <f>IF($E2347="","",AD2347-Q2347)</f>
        <v/>
      </c>
      <c r="AI2347" s="7" t="n"/>
      <c r="AL2347" s="11" t="n"/>
      <c r="AN2347">
        <f>IF($E2347="","",IF(COUNTIF($E$2:$E2347,$E2347)=1,1,0))</f>
        <v/>
      </c>
      <c r="AO2347">
        <f>IF($AN2347=1,SUMPRODUCT(--($AR$2:$AR$4001&lt;$AR2347))+1,"")</f>
        <v/>
      </c>
      <c r="AP2347">
        <f>IF($E2347="","",IF(OR($U2347=TRUE(),$U2347="TRUE"),1,0))</f>
        <v/>
      </c>
      <c r="AQ2347">
        <f>IF($E2347="","",IF($AA2347="Yes",1,0))</f>
        <v/>
      </c>
      <c r="AR2347">
        <f>IF($AN2347=1,IFERROR(VALUE(MID($E2347,2,20)),1000000000)+ROW()/100000,"")</f>
        <v/>
      </c>
    </row>
    <row r="2348">
      <c r="G2348" s="11" t="n"/>
      <c r="Q2348" s="7">
        <f>IF($E2348="","",P2348*Y2348/100)</f>
        <v/>
      </c>
      <c r="R2348" s="7" t="n"/>
      <c r="X2348" s="7" t="n"/>
      <c r="Y2348" s="7" t="n"/>
      <c r="AB2348">
        <f>IF($E2348="","",IF($AQ2348=1,0,IF($AP2348=1,Settings!$C$6,Settings!$C$7))*100)</f>
        <v/>
      </c>
      <c r="AC2348" s="7">
        <f>IF($E2348="","",Y2348*AB2348/100)</f>
        <v/>
      </c>
      <c r="AD2348" s="7">
        <f>IF($E2348="","",Y2348-AC2348)</f>
        <v/>
      </c>
      <c r="AE2348" s="7">
        <f>IF($E2348="","",AD2348-Q2348)</f>
        <v/>
      </c>
      <c r="AI2348" s="7" t="n"/>
      <c r="AL2348" s="11" t="n"/>
      <c r="AN2348">
        <f>IF($E2348="","",IF(COUNTIF($E$2:$E2348,$E2348)=1,1,0))</f>
        <v/>
      </c>
      <c r="AO2348">
        <f>IF($AN2348=1,SUMPRODUCT(--($AR$2:$AR$4001&lt;$AR2348))+1,"")</f>
        <v/>
      </c>
      <c r="AP2348">
        <f>IF($E2348="","",IF(OR($U2348=TRUE(),$U2348="TRUE"),1,0))</f>
        <v/>
      </c>
      <c r="AQ2348">
        <f>IF($E2348="","",IF($AA2348="Yes",1,0))</f>
        <v/>
      </c>
      <c r="AR2348">
        <f>IF($AN2348=1,IFERROR(VALUE(MID($E2348,2,20)),1000000000)+ROW()/100000,"")</f>
        <v/>
      </c>
    </row>
    <row r="2349">
      <c r="G2349" s="11" t="n"/>
      <c r="Q2349" s="7">
        <f>IF($E2349="","",P2349*Y2349/100)</f>
        <v/>
      </c>
      <c r="R2349" s="7" t="n"/>
      <c r="X2349" s="7" t="n"/>
      <c r="Y2349" s="7" t="n"/>
      <c r="AB2349">
        <f>IF($E2349="","",IF($AQ2349=1,0,IF($AP2349=1,Settings!$C$6,Settings!$C$7))*100)</f>
        <v/>
      </c>
      <c r="AC2349" s="7">
        <f>IF($E2349="","",Y2349*AB2349/100)</f>
        <v/>
      </c>
      <c r="AD2349" s="7">
        <f>IF($E2349="","",Y2349-AC2349)</f>
        <v/>
      </c>
      <c r="AE2349" s="7">
        <f>IF($E2349="","",AD2349-Q2349)</f>
        <v/>
      </c>
      <c r="AI2349" s="7" t="n"/>
      <c r="AL2349" s="11" t="n"/>
      <c r="AN2349">
        <f>IF($E2349="","",IF(COUNTIF($E$2:$E2349,$E2349)=1,1,0))</f>
        <v/>
      </c>
      <c r="AO2349">
        <f>IF($AN2349=1,SUMPRODUCT(--($AR$2:$AR$4001&lt;$AR2349))+1,"")</f>
        <v/>
      </c>
      <c r="AP2349">
        <f>IF($E2349="","",IF(OR($U2349=TRUE(),$U2349="TRUE"),1,0))</f>
        <v/>
      </c>
      <c r="AQ2349">
        <f>IF($E2349="","",IF($AA2349="Yes",1,0))</f>
        <v/>
      </c>
      <c r="AR2349">
        <f>IF($AN2349=1,IFERROR(VALUE(MID($E2349,2,20)),1000000000)+ROW()/100000,"")</f>
        <v/>
      </c>
    </row>
    <row r="2350">
      <c r="G2350" s="11" t="n"/>
      <c r="Q2350" s="7">
        <f>IF($E2350="","",P2350*Y2350/100)</f>
        <v/>
      </c>
      <c r="R2350" s="7" t="n"/>
      <c r="X2350" s="7" t="n"/>
      <c r="Y2350" s="7" t="n"/>
      <c r="AB2350">
        <f>IF($E2350="","",IF($AQ2350=1,0,IF($AP2350=1,Settings!$C$6,Settings!$C$7))*100)</f>
        <v/>
      </c>
      <c r="AC2350" s="7">
        <f>IF($E2350="","",Y2350*AB2350/100)</f>
        <v/>
      </c>
      <c r="AD2350" s="7">
        <f>IF($E2350="","",Y2350-AC2350)</f>
        <v/>
      </c>
      <c r="AE2350" s="7">
        <f>IF($E2350="","",AD2350-Q2350)</f>
        <v/>
      </c>
      <c r="AI2350" s="7" t="n"/>
      <c r="AL2350" s="11" t="n"/>
      <c r="AN2350">
        <f>IF($E2350="","",IF(COUNTIF($E$2:$E2350,$E2350)=1,1,0))</f>
        <v/>
      </c>
      <c r="AO2350">
        <f>IF($AN2350=1,SUMPRODUCT(--($AR$2:$AR$4001&lt;$AR2350))+1,"")</f>
        <v/>
      </c>
      <c r="AP2350">
        <f>IF($E2350="","",IF(OR($U2350=TRUE(),$U2350="TRUE"),1,0))</f>
        <v/>
      </c>
      <c r="AQ2350">
        <f>IF($E2350="","",IF($AA2350="Yes",1,0))</f>
        <v/>
      </c>
      <c r="AR2350">
        <f>IF($AN2350=1,IFERROR(VALUE(MID($E2350,2,20)),1000000000)+ROW()/100000,"")</f>
        <v/>
      </c>
    </row>
    <row r="2351">
      <c r="G2351" s="11" t="n"/>
      <c r="Q2351" s="7">
        <f>IF($E2351="","",P2351*Y2351/100)</f>
        <v/>
      </c>
      <c r="R2351" s="7" t="n"/>
      <c r="X2351" s="7" t="n"/>
      <c r="Y2351" s="7" t="n"/>
      <c r="AB2351">
        <f>IF($E2351="","",IF($AQ2351=1,0,IF($AP2351=1,Settings!$C$6,Settings!$C$7))*100)</f>
        <v/>
      </c>
      <c r="AC2351" s="7">
        <f>IF($E2351="","",Y2351*AB2351/100)</f>
        <v/>
      </c>
      <c r="AD2351" s="7">
        <f>IF($E2351="","",Y2351-AC2351)</f>
        <v/>
      </c>
      <c r="AE2351" s="7">
        <f>IF($E2351="","",AD2351-Q2351)</f>
        <v/>
      </c>
      <c r="AI2351" s="7" t="n"/>
      <c r="AL2351" s="11" t="n"/>
      <c r="AN2351">
        <f>IF($E2351="","",IF(COUNTIF($E$2:$E2351,$E2351)=1,1,0))</f>
        <v/>
      </c>
      <c r="AO2351">
        <f>IF($AN2351=1,SUMPRODUCT(--($AR$2:$AR$4001&lt;$AR2351))+1,"")</f>
        <v/>
      </c>
      <c r="AP2351">
        <f>IF($E2351="","",IF(OR($U2351=TRUE(),$U2351="TRUE"),1,0))</f>
        <v/>
      </c>
      <c r="AQ2351">
        <f>IF($E2351="","",IF($AA2351="Yes",1,0))</f>
        <v/>
      </c>
      <c r="AR2351">
        <f>IF($AN2351=1,IFERROR(VALUE(MID($E2351,2,20)),1000000000)+ROW()/100000,"")</f>
        <v/>
      </c>
    </row>
    <row r="2352">
      <c r="G2352" s="11" t="n"/>
      <c r="Q2352" s="7">
        <f>IF($E2352="","",P2352*Y2352/100)</f>
        <v/>
      </c>
      <c r="R2352" s="7" t="n"/>
      <c r="X2352" s="7" t="n"/>
      <c r="Y2352" s="7" t="n"/>
      <c r="AB2352">
        <f>IF($E2352="","",IF($AQ2352=1,0,IF($AP2352=1,Settings!$C$6,Settings!$C$7))*100)</f>
        <v/>
      </c>
      <c r="AC2352" s="7">
        <f>IF($E2352="","",Y2352*AB2352/100)</f>
        <v/>
      </c>
      <c r="AD2352" s="7">
        <f>IF($E2352="","",Y2352-AC2352)</f>
        <v/>
      </c>
      <c r="AE2352" s="7">
        <f>IF($E2352="","",AD2352-Q2352)</f>
        <v/>
      </c>
      <c r="AI2352" s="7" t="n"/>
      <c r="AL2352" s="11" t="n"/>
      <c r="AN2352">
        <f>IF($E2352="","",IF(COUNTIF($E$2:$E2352,$E2352)=1,1,0))</f>
        <v/>
      </c>
      <c r="AO2352">
        <f>IF($AN2352=1,SUMPRODUCT(--($AR$2:$AR$4001&lt;$AR2352))+1,"")</f>
        <v/>
      </c>
      <c r="AP2352">
        <f>IF($E2352="","",IF(OR($U2352=TRUE(),$U2352="TRUE"),1,0))</f>
        <v/>
      </c>
      <c r="AQ2352">
        <f>IF($E2352="","",IF($AA2352="Yes",1,0))</f>
        <v/>
      </c>
      <c r="AR2352">
        <f>IF($AN2352=1,IFERROR(VALUE(MID($E2352,2,20)),1000000000)+ROW()/100000,"")</f>
        <v/>
      </c>
    </row>
    <row r="2353">
      <c r="G2353" s="11" t="n"/>
      <c r="Q2353" s="7">
        <f>IF($E2353="","",P2353*Y2353/100)</f>
        <v/>
      </c>
      <c r="R2353" s="7" t="n"/>
      <c r="X2353" s="7" t="n"/>
      <c r="Y2353" s="7" t="n"/>
      <c r="AB2353">
        <f>IF($E2353="","",IF($AQ2353=1,0,IF($AP2353=1,Settings!$C$6,Settings!$C$7))*100)</f>
        <v/>
      </c>
      <c r="AC2353" s="7">
        <f>IF($E2353="","",Y2353*AB2353/100)</f>
        <v/>
      </c>
      <c r="AD2353" s="7">
        <f>IF($E2353="","",Y2353-AC2353)</f>
        <v/>
      </c>
      <c r="AE2353" s="7">
        <f>IF($E2353="","",AD2353-Q2353)</f>
        <v/>
      </c>
      <c r="AI2353" s="7" t="n"/>
      <c r="AL2353" s="11" t="n"/>
      <c r="AN2353">
        <f>IF($E2353="","",IF(COUNTIF($E$2:$E2353,$E2353)=1,1,0))</f>
        <v/>
      </c>
      <c r="AO2353">
        <f>IF($AN2353=1,SUMPRODUCT(--($AR$2:$AR$4001&lt;$AR2353))+1,"")</f>
        <v/>
      </c>
      <c r="AP2353">
        <f>IF($E2353="","",IF(OR($U2353=TRUE(),$U2353="TRUE"),1,0))</f>
        <v/>
      </c>
      <c r="AQ2353">
        <f>IF($E2353="","",IF($AA2353="Yes",1,0))</f>
        <v/>
      </c>
      <c r="AR2353">
        <f>IF($AN2353=1,IFERROR(VALUE(MID($E2353,2,20)),1000000000)+ROW()/100000,"")</f>
        <v/>
      </c>
    </row>
    <row r="2354">
      <c r="G2354" s="11" t="n"/>
      <c r="Q2354" s="7">
        <f>IF($E2354="","",P2354*Y2354/100)</f>
        <v/>
      </c>
      <c r="R2354" s="7" t="n"/>
      <c r="X2354" s="7" t="n"/>
      <c r="Y2354" s="7" t="n"/>
      <c r="AB2354">
        <f>IF($E2354="","",IF($AQ2354=1,0,IF($AP2354=1,Settings!$C$6,Settings!$C$7))*100)</f>
        <v/>
      </c>
      <c r="AC2354" s="7">
        <f>IF($E2354="","",Y2354*AB2354/100)</f>
        <v/>
      </c>
      <c r="AD2354" s="7">
        <f>IF($E2354="","",Y2354-AC2354)</f>
        <v/>
      </c>
      <c r="AE2354" s="7">
        <f>IF($E2354="","",AD2354-Q2354)</f>
        <v/>
      </c>
      <c r="AI2354" s="7" t="n"/>
      <c r="AL2354" s="11" t="n"/>
      <c r="AN2354">
        <f>IF($E2354="","",IF(COUNTIF($E$2:$E2354,$E2354)=1,1,0))</f>
        <v/>
      </c>
      <c r="AO2354">
        <f>IF($AN2354=1,SUMPRODUCT(--($AR$2:$AR$4001&lt;$AR2354))+1,"")</f>
        <v/>
      </c>
      <c r="AP2354">
        <f>IF($E2354="","",IF(OR($U2354=TRUE(),$U2354="TRUE"),1,0))</f>
        <v/>
      </c>
      <c r="AQ2354">
        <f>IF($E2354="","",IF($AA2354="Yes",1,0))</f>
        <v/>
      </c>
      <c r="AR2354">
        <f>IF($AN2354=1,IFERROR(VALUE(MID($E2354,2,20)),1000000000)+ROW()/100000,"")</f>
        <v/>
      </c>
    </row>
    <row r="2355">
      <c r="G2355" s="11" t="n"/>
      <c r="Q2355" s="7">
        <f>IF($E2355="","",P2355*Y2355/100)</f>
        <v/>
      </c>
      <c r="R2355" s="7" t="n"/>
      <c r="X2355" s="7" t="n"/>
      <c r="Y2355" s="7" t="n"/>
      <c r="AB2355">
        <f>IF($E2355="","",IF($AQ2355=1,0,IF($AP2355=1,Settings!$C$6,Settings!$C$7))*100)</f>
        <v/>
      </c>
      <c r="AC2355" s="7">
        <f>IF($E2355="","",Y2355*AB2355/100)</f>
        <v/>
      </c>
      <c r="AD2355" s="7">
        <f>IF($E2355="","",Y2355-AC2355)</f>
        <v/>
      </c>
      <c r="AE2355" s="7">
        <f>IF($E2355="","",AD2355-Q2355)</f>
        <v/>
      </c>
      <c r="AI2355" s="7" t="n"/>
      <c r="AL2355" s="11" t="n"/>
      <c r="AN2355">
        <f>IF($E2355="","",IF(COUNTIF($E$2:$E2355,$E2355)=1,1,0))</f>
        <v/>
      </c>
      <c r="AO2355">
        <f>IF($AN2355=1,SUMPRODUCT(--($AR$2:$AR$4001&lt;$AR2355))+1,"")</f>
        <v/>
      </c>
      <c r="AP2355">
        <f>IF($E2355="","",IF(OR($U2355=TRUE(),$U2355="TRUE"),1,0))</f>
        <v/>
      </c>
      <c r="AQ2355">
        <f>IF($E2355="","",IF($AA2355="Yes",1,0))</f>
        <v/>
      </c>
      <c r="AR2355">
        <f>IF($AN2355=1,IFERROR(VALUE(MID($E2355,2,20)),1000000000)+ROW()/100000,"")</f>
        <v/>
      </c>
    </row>
    <row r="2356">
      <c r="G2356" s="11" t="n"/>
      <c r="Q2356" s="7">
        <f>IF($E2356="","",P2356*Y2356/100)</f>
        <v/>
      </c>
      <c r="R2356" s="7" t="n"/>
      <c r="X2356" s="7" t="n"/>
      <c r="Y2356" s="7" t="n"/>
      <c r="AB2356">
        <f>IF($E2356="","",IF($AQ2356=1,0,IF($AP2356=1,Settings!$C$6,Settings!$C$7))*100)</f>
        <v/>
      </c>
      <c r="AC2356" s="7">
        <f>IF($E2356="","",Y2356*AB2356/100)</f>
        <v/>
      </c>
      <c r="AD2356" s="7">
        <f>IF($E2356="","",Y2356-AC2356)</f>
        <v/>
      </c>
      <c r="AE2356" s="7">
        <f>IF($E2356="","",AD2356-Q2356)</f>
        <v/>
      </c>
      <c r="AI2356" s="7" t="n"/>
      <c r="AL2356" s="11" t="n"/>
      <c r="AN2356">
        <f>IF($E2356="","",IF(COUNTIF($E$2:$E2356,$E2356)=1,1,0))</f>
        <v/>
      </c>
      <c r="AO2356">
        <f>IF($AN2356=1,SUMPRODUCT(--($AR$2:$AR$4001&lt;$AR2356))+1,"")</f>
        <v/>
      </c>
      <c r="AP2356">
        <f>IF($E2356="","",IF(OR($U2356=TRUE(),$U2356="TRUE"),1,0))</f>
        <v/>
      </c>
      <c r="AQ2356">
        <f>IF($E2356="","",IF($AA2356="Yes",1,0))</f>
        <v/>
      </c>
      <c r="AR2356">
        <f>IF($AN2356=1,IFERROR(VALUE(MID($E2356,2,20)),1000000000)+ROW()/100000,"")</f>
        <v/>
      </c>
    </row>
    <row r="2357">
      <c r="G2357" s="11" t="n"/>
      <c r="Q2357" s="7">
        <f>IF($E2357="","",P2357*Y2357/100)</f>
        <v/>
      </c>
      <c r="R2357" s="7" t="n"/>
      <c r="X2357" s="7" t="n"/>
      <c r="Y2357" s="7" t="n"/>
      <c r="AB2357">
        <f>IF($E2357="","",IF($AQ2357=1,0,IF($AP2357=1,Settings!$C$6,Settings!$C$7))*100)</f>
        <v/>
      </c>
      <c r="AC2357" s="7">
        <f>IF($E2357="","",Y2357*AB2357/100)</f>
        <v/>
      </c>
      <c r="AD2357" s="7">
        <f>IF($E2357="","",Y2357-AC2357)</f>
        <v/>
      </c>
      <c r="AE2357" s="7">
        <f>IF($E2357="","",AD2357-Q2357)</f>
        <v/>
      </c>
      <c r="AI2357" s="7" t="n"/>
      <c r="AL2357" s="11" t="n"/>
      <c r="AN2357">
        <f>IF($E2357="","",IF(COUNTIF($E$2:$E2357,$E2357)=1,1,0))</f>
        <v/>
      </c>
      <c r="AO2357">
        <f>IF($AN2357=1,SUMPRODUCT(--($AR$2:$AR$4001&lt;$AR2357))+1,"")</f>
        <v/>
      </c>
      <c r="AP2357">
        <f>IF($E2357="","",IF(OR($U2357=TRUE(),$U2357="TRUE"),1,0))</f>
        <v/>
      </c>
      <c r="AQ2357">
        <f>IF($E2357="","",IF($AA2357="Yes",1,0))</f>
        <v/>
      </c>
      <c r="AR2357">
        <f>IF($AN2357=1,IFERROR(VALUE(MID($E2357,2,20)),1000000000)+ROW()/100000,"")</f>
        <v/>
      </c>
    </row>
    <row r="2358">
      <c r="G2358" s="11" t="n"/>
      <c r="Q2358" s="7">
        <f>IF($E2358="","",P2358*Y2358/100)</f>
        <v/>
      </c>
      <c r="R2358" s="7" t="n"/>
      <c r="X2358" s="7" t="n"/>
      <c r="Y2358" s="7" t="n"/>
      <c r="AB2358">
        <f>IF($E2358="","",IF($AQ2358=1,0,IF($AP2358=1,Settings!$C$6,Settings!$C$7))*100)</f>
        <v/>
      </c>
      <c r="AC2358" s="7">
        <f>IF($E2358="","",Y2358*AB2358/100)</f>
        <v/>
      </c>
      <c r="AD2358" s="7">
        <f>IF($E2358="","",Y2358-AC2358)</f>
        <v/>
      </c>
      <c r="AE2358" s="7">
        <f>IF($E2358="","",AD2358-Q2358)</f>
        <v/>
      </c>
      <c r="AI2358" s="7" t="n"/>
      <c r="AL2358" s="11" t="n"/>
      <c r="AN2358">
        <f>IF($E2358="","",IF(COUNTIF($E$2:$E2358,$E2358)=1,1,0))</f>
        <v/>
      </c>
      <c r="AO2358">
        <f>IF($AN2358=1,SUMPRODUCT(--($AR$2:$AR$4001&lt;$AR2358))+1,"")</f>
        <v/>
      </c>
      <c r="AP2358">
        <f>IF($E2358="","",IF(OR($U2358=TRUE(),$U2358="TRUE"),1,0))</f>
        <v/>
      </c>
      <c r="AQ2358">
        <f>IF($E2358="","",IF($AA2358="Yes",1,0))</f>
        <v/>
      </c>
      <c r="AR2358">
        <f>IF($AN2358=1,IFERROR(VALUE(MID($E2358,2,20)),1000000000)+ROW()/100000,"")</f>
        <v/>
      </c>
    </row>
    <row r="2359">
      <c r="G2359" s="11" t="n"/>
      <c r="Q2359" s="7">
        <f>IF($E2359="","",P2359*Y2359/100)</f>
        <v/>
      </c>
      <c r="R2359" s="7" t="n"/>
      <c r="X2359" s="7" t="n"/>
      <c r="Y2359" s="7" t="n"/>
      <c r="AB2359">
        <f>IF($E2359="","",IF($AQ2359=1,0,IF($AP2359=1,Settings!$C$6,Settings!$C$7))*100)</f>
        <v/>
      </c>
      <c r="AC2359" s="7">
        <f>IF($E2359="","",Y2359*AB2359/100)</f>
        <v/>
      </c>
      <c r="AD2359" s="7">
        <f>IF($E2359="","",Y2359-AC2359)</f>
        <v/>
      </c>
      <c r="AE2359" s="7">
        <f>IF($E2359="","",AD2359-Q2359)</f>
        <v/>
      </c>
      <c r="AI2359" s="7" t="n"/>
      <c r="AL2359" s="11" t="n"/>
      <c r="AN2359">
        <f>IF($E2359="","",IF(COUNTIF($E$2:$E2359,$E2359)=1,1,0))</f>
        <v/>
      </c>
      <c r="AO2359">
        <f>IF($AN2359=1,SUMPRODUCT(--($AR$2:$AR$4001&lt;$AR2359))+1,"")</f>
        <v/>
      </c>
      <c r="AP2359">
        <f>IF($E2359="","",IF(OR($U2359=TRUE(),$U2359="TRUE"),1,0))</f>
        <v/>
      </c>
      <c r="AQ2359">
        <f>IF($E2359="","",IF($AA2359="Yes",1,0))</f>
        <v/>
      </c>
      <c r="AR2359">
        <f>IF($AN2359=1,IFERROR(VALUE(MID($E2359,2,20)),1000000000)+ROW()/100000,"")</f>
        <v/>
      </c>
    </row>
    <row r="2360">
      <c r="G2360" s="11" t="n"/>
      <c r="Q2360" s="7">
        <f>IF($E2360="","",P2360*Y2360/100)</f>
        <v/>
      </c>
      <c r="R2360" s="7" t="n"/>
      <c r="X2360" s="7" t="n"/>
      <c r="Y2360" s="7" t="n"/>
      <c r="AB2360">
        <f>IF($E2360="","",IF($AQ2360=1,0,IF($AP2360=1,Settings!$C$6,Settings!$C$7))*100)</f>
        <v/>
      </c>
      <c r="AC2360" s="7">
        <f>IF($E2360="","",Y2360*AB2360/100)</f>
        <v/>
      </c>
      <c r="AD2360" s="7">
        <f>IF($E2360="","",Y2360-AC2360)</f>
        <v/>
      </c>
      <c r="AE2360" s="7">
        <f>IF($E2360="","",AD2360-Q2360)</f>
        <v/>
      </c>
      <c r="AI2360" s="7" t="n"/>
      <c r="AL2360" s="11" t="n"/>
      <c r="AN2360">
        <f>IF($E2360="","",IF(COUNTIF($E$2:$E2360,$E2360)=1,1,0))</f>
        <v/>
      </c>
      <c r="AO2360">
        <f>IF($AN2360=1,SUMPRODUCT(--($AR$2:$AR$4001&lt;$AR2360))+1,"")</f>
        <v/>
      </c>
      <c r="AP2360">
        <f>IF($E2360="","",IF(OR($U2360=TRUE(),$U2360="TRUE"),1,0))</f>
        <v/>
      </c>
      <c r="AQ2360">
        <f>IF($E2360="","",IF($AA2360="Yes",1,0))</f>
        <v/>
      </c>
      <c r="AR2360">
        <f>IF($AN2360=1,IFERROR(VALUE(MID($E2360,2,20)),1000000000)+ROW()/100000,"")</f>
        <v/>
      </c>
    </row>
    <row r="2361">
      <c r="G2361" s="11" t="n"/>
      <c r="Q2361" s="7">
        <f>IF($E2361="","",P2361*Y2361/100)</f>
        <v/>
      </c>
      <c r="R2361" s="7" t="n"/>
      <c r="X2361" s="7" t="n"/>
      <c r="Y2361" s="7" t="n"/>
      <c r="AB2361">
        <f>IF($E2361="","",IF($AQ2361=1,0,IF($AP2361=1,Settings!$C$6,Settings!$C$7))*100)</f>
        <v/>
      </c>
      <c r="AC2361" s="7">
        <f>IF($E2361="","",Y2361*AB2361/100)</f>
        <v/>
      </c>
      <c r="AD2361" s="7">
        <f>IF($E2361="","",Y2361-AC2361)</f>
        <v/>
      </c>
      <c r="AE2361" s="7">
        <f>IF($E2361="","",AD2361-Q2361)</f>
        <v/>
      </c>
      <c r="AI2361" s="7" t="n"/>
      <c r="AL2361" s="11" t="n"/>
      <c r="AN2361">
        <f>IF($E2361="","",IF(COUNTIF($E$2:$E2361,$E2361)=1,1,0))</f>
        <v/>
      </c>
      <c r="AO2361">
        <f>IF($AN2361=1,SUMPRODUCT(--($AR$2:$AR$4001&lt;$AR2361))+1,"")</f>
        <v/>
      </c>
      <c r="AP2361">
        <f>IF($E2361="","",IF(OR($U2361=TRUE(),$U2361="TRUE"),1,0))</f>
        <v/>
      </c>
      <c r="AQ2361">
        <f>IF($E2361="","",IF($AA2361="Yes",1,0))</f>
        <v/>
      </c>
      <c r="AR2361">
        <f>IF($AN2361=1,IFERROR(VALUE(MID($E2361,2,20)),1000000000)+ROW()/100000,"")</f>
        <v/>
      </c>
    </row>
    <row r="2362">
      <c r="G2362" s="11" t="n"/>
      <c r="Q2362" s="7">
        <f>IF($E2362="","",P2362*Y2362/100)</f>
        <v/>
      </c>
      <c r="R2362" s="7" t="n"/>
      <c r="X2362" s="7" t="n"/>
      <c r="Y2362" s="7" t="n"/>
      <c r="AB2362">
        <f>IF($E2362="","",IF($AQ2362=1,0,IF($AP2362=1,Settings!$C$6,Settings!$C$7))*100)</f>
        <v/>
      </c>
      <c r="AC2362" s="7">
        <f>IF($E2362="","",Y2362*AB2362/100)</f>
        <v/>
      </c>
      <c r="AD2362" s="7">
        <f>IF($E2362="","",Y2362-AC2362)</f>
        <v/>
      </c>
      <c r="AE2362" s="7">
        <f>IF($E2362="","",AD2362-Q2362)</f>
        <v/>
      </c>
      <c r="AI2362" s="7" t="n"/>
      <c r="AL2362" s="11" t="n"/>
      <c r="AN2362">
        <f>IF($E2362="","",IF(COUNTIF($E$2:$E2362,$E2362)=1,1,0))</f>
        <v/>
      </c>
      <c r="AO2362">
        <f>IF($AN2362=1,SUMPRODUCT(--($AR$2:$AR$4001&lt;$AR2362))+1,"")</f>
        <v/>
      </c>
      <c r="AP2362">
        <f>IF($E2362="","",IF(OR($U2362=TRUE(),$U2362="TRUE"),1,0))</f>
        <v/>
      </c>
      <c r="AQ2362">
        <f>IF($E2362="","",IF($AA2362="Yes",1,0))</f>
        <v/>
      </c>
      <c r="AR2362">
        <f>IF($AN2362=1,IFERROR(VALUE(MID($E2362,2,20)),1000000000)+ROW()/100000,"")</f>
        <v/>
      </c>
    </row>
    <row r="2363">
      <c r="G2363" s="11" t="n"/>
      <c r="Q2363" s="7">
        <f>IF($E2363="","",P2363*Y2363/100)</f>
        <v/>
      </c>
      <c r="R2363" s="7" t="n"/>
      <c r="X2363" s="7" t="n"/>
      <c r="Y2363" s="7" t="n"/>
      <c r="AB2363">
        <f>IF($E2363="","",IF($AQ2363=1,0,IF($AP2363=1,Settings!$C$6,Settings!$C$7))*100)</f>
        <v/>
      </c>
      <c r="AC2363" s="7">
        <f>IF($E2363="","",Y2363*AB2363/100)</f>
        <v/>
      </c>
      <c r="AD2363" s="7">
        <f>IF($E2363="","",Y2363-AC2363)</f>
        <v/>
      </c>
      <c r="AE2363" s="7">
        <f>IF($E2363="","",AD2363-Q2363)</f>
        <v/>
      </c>
      <c r="AI2363" s="7" t="n"/>
      <c r="AL2363" s="11" t="n"/>
      <c r="AN2363">
        <f>IF($E2363="","",IF(COUNTIF($E$2:$E2363,$E2363)=1,1,0))</f>
        <v/>
      </c>
      <c r="AO2363">
        <f>IF($AN2363=1,SUMPRODUCT(--($AR$2:$AR$4001&lt;$AR2363))+1,"")</f>
        <v/>
      </c>
      <c r="AP2363">
        <f>IF($E2363="","",IF(OR($U2363=TRUE(),$U2363="TRUE"),1,0))</f>
        <v/>
      </c>
      <c r="AQ2363">
        <f>IF($E2363="","",IF($AA2363="Yes",1,0))</f>
        <v/>
      </c>
      <c r="AR2363">
        <f>IF($AN2363=1,IFERROR(VALUE(MID($E2363,2,20)),1000000000)+ROW()/100000,"")</f>
        <v/>
      </c>
    </row>
    <row r="2364">
      <c r="G2364" s="11" t="n"/>
      <c r="Q2364" s="7">
        <f>IF($E2364="","",P2364*Y2364/100)</f>
        <v/>
      </c>
      <c r="R2364" s="7" t="n"/>
      <c r="X2364" s="7" t="n"/>
      <c r="Y2364" s="7" t="n"/>
      <c r="AB2364">
        <f>IF($E2364="","",IF($AQ2364=1,0,IF($AP2364=1,Settings!$C$6,Settings!$C$7))*100)</f>
        <v/>
      </c>
      <c r="AC2364" s="7">
        <f>IF($E2364="","",Y2364*AB2364/100)</f>
        <v/>
      </c>
      <c r="AD2364" s="7">
        <f>IF($E2364="","",Y2364-AC2364)</f>
        <v/>
      </c>
      <c r="AE2364" s="7">
        <f>IF($E2364="","",AD2364-Q2364)</f>
        <v/>
      </c>
      <c r="AI2364" s="7" t="n"/>
      <c r="AL2364" s="11" t="n"/>
      <c r="AN2364">
        <f>IF($E2364="","",IF(COUNTIF($E$2:$E2364,$E2364)=1,1,0))</f>
        <v/>
      </c>
      <c r="AO2364">
        <f>IF($AN2364=1,SUMPRODUCT(--($AR$2:$AR$4001&lt;$AR2364))+1,"")</f>
        <v/>
      </c>
      <c r="AP2364">
        <f>IF($E2364="","",IF(OR($U2364=TRUE(),$U2364="TRUE"),1,0))</f>
        <v/>
      </c>
      <c r="AQ2364">
        <f>IF($E2364="","",IF($AA2364="Yes",1,0))</f>
        <v/>
      </c>
      <c r="AR2364">
        <f>IF($AN2364=1,IFERROR(VALUE(MID($E2364,2,20)),1000000000)+ROW()/100000,"")</f>
        <v/>
      </c>
    </row>
    <row r="2365">
      <c r="G2365" s="11" t="n"/>
      <c r="Q2365" s="7">
        <f>IF($E2365="","",P2365*Y2365/100)</f>
        <v/>
      </c>
      <c r="R2365" s="7" t="n"/>
      <c r="X2365" s="7" t="n"/>
      <c r="Y2365" s="7" t="n"/>
      <c r="AB2365">
        <f>IF($E2365="","",IF($AQ2365=1,0,IF($AP2365=1,Settings!$C$6,Settings!$C$7))*100)</f>
        <v/>
      </c>
      <c r="AC2365" s="7">
        <f>IF($E2365="","",Y2365*AB2365/100)</f>
        <v/>
      </c>
      <c r="AD2365" s="7">
        <f>IF($E2365="","",Y2365-AC2365)</f>
        <v/>
      </c>
      <c r="AE2365" s="7">
        <f>IF($E2365="","",AD2365-Q2365)</f>
        <v/>
      </c>
      <c r="AI2365" s="7" t="n"/>
      <c r="AL2365" s="11" t="n"/>
      <c r="AN2365">
        <f>IF($E2365="","",IF(COUNTIF($E$2:$E2365,$E2365)=1,1,0))</f>
        <v/>
      </c>
      <c r="AO2365">
        <f>IF($AN2365=1,SUMPRODUCT(--($AR$2:$AR$4001&lt;$AR2365))+1,"")</f>
        <v/>
      </c>
      <c r="AP2365">
        <f>IF($E2365="","",IF(OR($U2365=TRUE(),$U2365="TRUE"),1,0))</f>
        <v/>
      </c>
      <c r="AQ2365">
        <f>IF($E2365="","",IF($AA2365="Yes",1,0))</f>
        <v/>
      </c>
      <c r="AR2365">
        <f>IF($AN2365=1,IFERROR(VALUE(MID($E2365,2,20)),1000000000)+ROW()/100000,"")</f>
        <v/>
      </c>
    </row>
    <row r="2366">
      <c r="G2366" s="11" t="n"/>
      <c r="Q2366" s="7">
        <f>IF($E2366="","",P2366*Y2366/100)</f>
        <v/>
      </c>
      <c r="R2366" s="7" t="n"/>
      <c r="X2366" s="7" t="n"/>
      <c r="Y2366" s="7" t="n"/>
      <c r="AB2366">
        <f>IF($E2366="","",IF($AQ2366=1,0,IF($AP2366=1,Settings!$C$6,Settings!$C$7))*100)</f>
        <v/>
      </c>
      <c r="AC2366" s="7">
        <f>IF($E2366="","",Y2366*AB2366/100)</f>
        <v/>
      </c>
      <c r="AD2366" s="7">
        <f>IF($E2366="","",Y2366-AC2366)</f>
        <v/>
      </c>
      <c r="AE2366" s="7">
        <f>IF($E2366="","",AD2366-Q2366)</f>
        <v/>
      </c>
      <c r="AI2366" s="7" t="n"/>
      <c r="AL2366" s="11" t="n"/>
      <c r="AN2366">
        <f>IF($E2366="","",IF(COUNTIF($E$2:$E2366,$E2366)=1,1,0))</f>
        <v/>
      </c>
      <c r="AO2366">
        <f>IF($AN2366=1,SUMPRODUCT(--($AR$2:$AR$4001&lt;$AR2366))+1,"")</f>
        <v/>
      </c>
      <c r="AP2366">
        <f>IF($E2366="","",IF(OR($U2366=TRUE(),$U2366="TRUE"),1,0))</f>
        <v/>
      </c>
      <c r="AQ2366">
        <f>IF($E2366="","",IF($AA2366="Yes",1,0))</f>
        <v/>
      </c>
      <c r="AR2366">
        <f>IF($AN2366=1,IFERROR(VALUE(MID($E2366,2,20)),1000000000)+ROW()/100000,"")</f>
        <v/>
      </c>
    </row>
    <row r="2367">
      <c r="G2367" s="11" t="n"/>
      <c r="Q2367" s="7">
        <f>IF($E2367="","",P2367*Y2367/100)</f>
        <v/>
      </c>
      <c r="R2367" s="7" t="n"/>
      <c r="X2367" s="7" t="n"/>
      <c r="Y2367" s="7" t="n"/>
      <c r="AB2367">
        <f>IF($E2367="","",IF($AQ2367=1,0,IF($AP2367=1,Settings!$C$6,Settings!$C$7))*100)</f>
        <v/>
      </c>
      <c r="AC2367" s="7">
        <f>IF($E2367="","",Y2367*AB2367/100)</f>
        <v/>
      </c>
      <c r="AD2367" s="7">
        <f>IF($E2367="","",Y2367-AC2367)</f>
        <v/>
      </c>
      <c r="AE2367" s="7">
        <f>IF($E2367="","",AD2367-Q2367)</f>
        <v/>
      </c>
      <c r="AI2367" s="7" t="n"/>
      <c r="AL2367" s="11" t="n"/>
      <c r="AN2367">
        <f>IF($E2367="","",IF(COUNTIF($E$2:$E2367,$E2367)=1,1,0))</f>
        <v/>
      </c>
      <c r="AO2367">
        <f>IF($AN2367=1,SUMPRODUCT(--($AR$2:$AR$4001&lt;$AR2367))+1,"")</f>
        <v/>
      </c>
      <c r="AP2367">
        <f>IF($E2367="","",IF(OR($U2367=TRUE(),$U2367="TRUE"),1,0))</f>
        <v/>
      </c>
      <c r="AQ2367">
        <f>IF($E2367="","",IF($AA2367="Yes",1,0))</f>
        <v/>
      </c>
      <c r="AR2367">
        <f>IF($AN2367=1,IFERROR(VALUE(MID($E2367,2,20)),1000000000)+ROW()/100000,"")</f>
        <v/>
      </c>
    </row>
    <row r="2368">
      <c r="G2368" s="11" t="n"/>
      <c r="Q2368" s="7">
        <f>IF($E2368="","",P2368*Y2368/100)</f>
        <v/>
      </c>
      <c r="R2368" s="7" t="n"/>
      <c r="X2368" s="7" t="n"/>
      <c r="Y2368" s="7" t="n"/>
      <c r="AB2368">
        <f>IF($E2368="","",IF($AQ2368=1,0,IF($AP2368=1,Settings!$C$6,Settings!$C$7))*100)</f>
        <v/>
      </c>
      <c r="AC2368" s="7">
        <f>IF($E2368="","",Y2368*AB2368/100)</f>
        <v/>
      </c>
      <c r="AD2368" s="7">
        <f>IF($E2368="","",Y2368-AC2368)</f>
        <v/>
      </c>
      <c r="AE2368" s="7">
        <f>IF($E2368="","",AD2368-Q2368)</f>
        <v/>
      </c>
      <c r="AI2368" s="7" t="n"/>
      <c r="AL2368" s="11" t="n"/>
      <c r="AN2368">
        <f>IF($E2368="","",IF(COUNTIF($E$2:$E2368,$E2368)=1,1,0))</f>
        <v/>
      </c>
      <c r="AO2368">
        <f>IF($AN2368=1,SUMPRODUCT(--($AR$2:$AR$4001&lt;$AR2368))+1,"")</f>
        <v/>
      </c>
      <c r="AP2368">
        <f>IF($E2368="","",IF(OR($U2368=TRUE(),$U2368="TRUE"),1,0))</f>
        <v/>
      </c>
      <c r="AQ2368">
        <f>IF($E2368="","",IF($AA2368="Yes",1,0))</f>
        <v/>
      </c>
      <c r="AR2368">
        <f>IF($AN2368=1,IFERROR(VALUE(MID($E2368,2,20)),1000000000)+ROW()/100000,"")</f>
        <v/>
      </c>
    </row>
    <row r="2369">
      <c r="G2369" s="11" t="n"/>
      <c r="Q2369" s="7">
        <f>IF($E2369="","",P2369*Y2369/100)</f>
        <v/>
      </c>
      <c r="R2369" s="7" t="n"/>
      <c r="X2369" s="7" t="n"/>
      <c r="Y2369" s="7" t="n"/>
      <c r="AB2369">
        <f>IF($E2369="","",IF($AQ2369=1,0,IF($AP2369=1,Settings!$C$6,Settings!$C$7))*100)</f>
        <v/>
      </c>
      <c r="AC2369" s="7">
        <f>IF($E2369="","",Y2369*AB2369/100)</f>
        <v/>
      </c>
      <c r="AD2369" s="7">
        <f>IF($E2369="","",Y2369-AC2369)</f>
        <v/>
      </c>
      <c r="AE2369" s="7">
        <f>IF($E2369="","",AD2369-Q2369)</f>
        <v/>
      </c>
      <c r="AI2369" s="7" t="n"/>
      <c r="AL2369" s="11" t="n"/>
      <c r="AN2369">
        <f>IF($E2369="","",IF(COUNTIF($E$2:$E2369,$E2369)=1,1,0))</f>
        <v/>
      </c>
      <c r="AO2369">
        <f>IF($AN2369=1,SUMPRODUCT(--($AR$2:$AR$4001&lt;$AR2369))+1,"")</f>
        <v/>
      </c>
      <c r="AP2369">
        <f>IF($E2369="","",IF(OR($U2369=TRUE(),$U2369="TRUE"),1,0))</f>
        <v/>
      </c>
      <c r="AQ2369">
        <f>IF($E2369="","",IF($AA2369="Yes",1,0))</f>
        <v/>
      </c>
      <c r="AR2369">
        <f>IF($AN2369=1,IFERROR(VALUE(MID($E2369,2,20)),1000000000)+ROW()/100000,"")</f>
        <v/>
      </c>
    </row>
    <row r="2370">
      <c r="G2370" s="11" t="n"/>
      <c r="Q2370" s="7">
        <f>IF($E2370="","",P2370*Y2370/100)</f>
        <v/>
      </c>
      <c r="R2370" s="7" t="n"/>
      <c r="X2370" s="7" t="n"/>
      <c r="Y2370" s="7" t="n"/>
      <c r="AB2370">
        <f>IF($E2370="","",IF($AQ2370=1,0,IF($AP2370=1,Settings!$C$6,Settings!$C$7))*100)</f>
        <v/>
      </c>
      <c r="AC2370" s="7">
        <f>IF($E2370="","",Y2370*AB2370/100)</f>
        <v/>
      </c>
      <c r="AD2370" s="7">
        <f>IF($E2370="","",Y2370-AC2370)</f>
        <v/>
      </c>
      <c r="AE2370" s="7">
        <f>IF($E2370="","",AD2370-Q2370)</f>
        <v/>
      </c>
      <c r="AI2370" s="7" t="n"/>
      <c r="AL2370" s="11" t="n"/>
      <c r="AN2370">
        <f>IF($E2370="","",IF(COUNTIF($E$2:$E2370,$E2370)=1,1,0))</f>
        <v/>
      </c>
      <c r="AO2370">
        <f>IF($AN2370=1,SUMPRODUCT(--($AR$2:$AR$4001&lt;$AR2370))+1,"")</f>
        <v/>
      </c>
      <c r="AP2370">
        <f>IF($E2370="","",IF(OR($U2370=TRUE(),$U2370="TRUE"),1,0))</f>
        <v/>
      </c>
      <c r="AQ2370">
        <f>IF($E2370="","",IF($AA2370="Yes",1,0))</f>
        <v/>
      </c>
      <c r="AR2370">
        <f>IF($AN2370=1,IFERROR(VALUE(MID($E2370,2,20)),1000000000)+ROW()/100000,"")</f>
        <v/>
      </c>
    </row>
    <row r="2371">
      <c r="G2371" s="11" t="n"/>
      <c r="Q2371" s="7">
        <f>IF($E2371="","",P2371*Y2371/100)</f>
        <v/>
      </c>
      <c r="R2371" s="7" t="n"/>
      <c r="X2371" s="7" t="n"/>
      <c r="Y2371" s="7" t="n"/>
      <c r="AB2371">
        <f>IF($E2371="","",IF($AQ2371=1,0,IF($AP2371=1,Settings!$C$6,Settings!$C$7))*100)</f>
        <v/>
      </c>
      <c r="AC2371" s="7">
        <f>IF($E2371="","",Y2371*AB2371/100)</f>
        <v/>
      </c>
      <c r="AD2371" s="7">
        <f>IF($E2371="","",Y2371-AC2371)</f>
        <v/>
      </c>
      <c r="AE2371" s="7">
        <f>IF($E2371="","",AD2371-Q2371)</f>
        <v/>
      </c>
      <c r="AI2371" s="7" t="n"/>
      <c r="AL2371" s="11" t="n"/>
      <c r="AN2371">
        <f>IF($E2371="","",IF(COUNTIF($E$2:$E2371,$E2371)=1,1,0))</f>
        <v/>
      </c>
      <c r="AO2371">
        <f>IF($AN2371=1,SUMPRODUCT(--($AR$2:$AR$4001&lt;$AR2371))+1,"")</f>
        <v/>
      </c>
      <c r="AP2371">
        <f>IF($E2371="","",IF(OR($U2371=TRUE(),$U2371="TRUE"),1,0))</f>
        <v/>
      </c>
      <c r="AQ2371">
        <f>IF($E2371="","",IF($AA2371="Yes",1,0))</f>
        <v/>
      </c>
      <c r="AR2371">
        <f>IF($AN2371=1,IFERROR(VALUE(MID($E2371,2,20)),1000000000)+ROW()/100000,"")</f>
        <v/>
      </c>
    </row>
    <row r="2372">
      <c r="G2372" s="11" t="n"/>
      <c r="Q2372" s="7">
        <f>IF($E2372="","",P2372*Y2372/100)</f>
        <v/>
      </c>
      <c r="R2372" s="7" t="n"/>
      <c r="X2372" s="7" t="n"/>
      <c r="Y2372" s="7" t="n"/>
      <c r="AB2372">
        <f>IF($E2372="","",IF($AQ2372=1,0,IF($AP2372=1,Settings!$C$6,Settings!$C$7))*100)</f>
        <v/>
      </c>
      <c r="AC2372" s="7">
        <f>IF($E2372="","",Y2372*AB2372/100)</f>
        <v/>
      </c>
      <c r="AD2372" s="7">
        <f>IF($E2372="","",Y2372-AC2372)</f>
        <v/>
      </c>
      <c r="AE2372" s="7">
        <f>IF($E2372="","",AD2372-Q2372)</f>
        <v/>
      </c>
      <c r="AI2372" s="7" t="n"/>
      <c r="AL2372" s="11" t="n"/>
      <c r="AN2372">
        <f>IF($E2372="","",IF(COUNTIF($E$2:$E2372,$E2372)=1,1,0))</f>
        <v/>
      </c>
      <c r="AO2372">
        <f>IF($AN2372=1,SUMPRODUCT(--($AR$2:$AR$4001&lt;$AR2372))+1,"")</f>
        <v/>
      </c>
      <c r="AP2372">
        <f>IF($E2372="","",IF(OR($U2372=TRUE(),$U2372="TRUE"),1,0))</f>
        <v/>
      </c>
      <c r="AQ2372">
        <f>IF($E2372="","",IF($AA2372="Yes",1,0))</f>
        <v/>
      </c>
      <c r="AR2372">
        <f>IF($AN2372=1,IFERROR(VALUE(MID($E2372,2,20)),1000000000)+ROW()/100000,"")</f>
        <v/>
      </c>
    </row>
    <row r="2373">
      <c r="G2373" s="11" t="n"/>
      <c r="Q2373" s="7">
        <f>IF($E2373="","",P2373*Y2373/100)</f>
        <v/>
      </c>
      <c r="R2373" s="7" t="n"/>
      <c r="X2373" s="7" t="n"/>
      <c r="Y2373" s="7" t="n"/>
      <c r="AB2373">
        <f>IF($E2373="","",IF($AQ2373=1,0,IF($AP2373=1,Settings!$C$6,Settings!$C$7))*100)</f>
        <v/>
      </c>
      <c r="AC2373" s="7">
        <f>IF($E2373="","",Y2373*AB2373/100)</f>
        <v/>
      </c>
      <c r="AD2373" s="7">
        <f>IF($E2373="","",Y2373-AC2373)</f>
        <v/>
      </c>
      <c r="AE2373" s="7">
        <f>IF($E2373="","",AD2373-Q2373)</f>
        <v/>
      </c>
      <c r="AI2373" s="7" t="n"/>
      <c r="AL2373" s="11" t="n"/>
      <c r="AN2373">
        <f>IF($E2373="","",IF(COUNTIF($E$2:$E2373,$E2373)=1,1,0))</f>
        <v/>
      </c>
      <c r="AO2373">
        <f>IF($AN2373=1,SUMPRODUCT(--($AR$2:$AR$4001&lt;$AR2373))+1,"")</f>
        <v/>
      </c>
      <c r="AP2373">
        <f>IF($E2373="","",IF(OR($U2373=TRUE(),$U2373="TRUE"),1,0))</f>
        <v/>
      </c>
      <c r="AQ2373">
        <f>IF($E2373="","",IF($AA2373="Yes",1,0))</f>
        <v/>
      </c>
      <c r="AR2373">
        <f>IF($AN2373=1,IFERROR(VALUE(MID($E2373,2,20)),1000000000)+ROW()/100000,"")</f>
        <v/>
      </c>
    </row>
    <row r="2374">
      <c r="G2374" s="11" t="n"/>
      <c r="Q2374" s="7">
        <f>IF($E2374="","",P2374*Y2374/100)</f>
        <v/>
      </c>
      <c r="R2374" s="7" t="n"/>
      <c r="X2374" s="7" t="n"/>
      <c r="Y2374" s="7" t="n"/>
      <c r="AB2374">
        <f>IF($E2374="","",IF($AQ2374=1,0,IF($AP2374=1,Settings!$C$6,Settings!$C$7))*100)</f>
        <v/>
      </c>
      <c r="AC2374" s="7">
        <f>IF($E2374="","",Y2374*AB2374/100)</f>
        <v/>
      </c>
      <c r="AD2374" s="7">
        <f>IF($E2374="","",Y2374-AC2374)</f>
        <v/>
      </c>
      <c r="AE2374" s="7">
        <f>IF($E2374="","",AD2374-Q2374)</f>
        <v/>
      </c>
      <c r="AI2374" s="7" t="n"/>
      <c r="AL2374" s="11" t="n"/>
      <c r="AN2374">
        <f>IF($E2374="","",IF(COUNTIF($E$2:$E2374,$E2374)=1,1,0))</f>
        <v/>
      </c>
      <c r="AO2374">
        <f>IF($AN2374=1,SUMPRODUCT(--($AR$2:$AR$4001&lt;$AR2374))+1,"")</f>
        <v/>
      </c>
      <c r="AP2374">
        <f>IF($E2374="","",IF(OR($U2374=TRUE(),$U2374="TRUE"),1,0))</f>
        <v/>
      </c>
      <c r="AQ2374">
        <f>IF($E2374="","",IF($AA2374="Yes",1,0))</f>
        <v/>
      </c>
      <c r="AR2374">
        <f>IF($AN2374=1,IFERROR(VALUE(MID($E2374,2,20)),1000000000)+ROW()/100000,"")</f>
        <v/>
      </c>
    </row>
    <row r="2375">
      <c r="G2375" s="11" t="n"/>
      <c r="Q2375" s="7">
        <f>IF($E2375="","",P2375*Y2375/100)</f>
        <v/>
      </c>
      <c r="R2375" s="7" t="n"/>
      <c r="X2375" s="7" t="n"/>
      <c r="Y2375" s="7" t="n"/>
      <c r="AB2375">
        <f>IF($E2375="","",IF($AQ2375=1,0,IF($AP2375=1,Settings!$C$6,Settings!$C$7))*100)</f>
        <v/>
      </c>
      <c r="AC2375" s="7">
        <f>IF($E2375="","",Y2375*AB2375/100)</f>
        <v/>
      </c>
      <c r="AD2375" s="7">
        <f>IF($E2375="","",Y2375-AC2375)</f>
        <v/>
      </c>
      <c r="AE2375" s="7">
        <f>IF($E2375="","",AD2375-Q2375)</f>
        <v/>
      </c>
      <c r="AI2375" s="7" t="n"/>
      <c r="AL2375" s="11" t="n"/>
      <c r="AN2375">
        <f>IF($E2375="","",IF(COUNTIF($E$2:$E2375,$E2375)=1,1,0))</f>
        <v/>
      </c>
      <c r="AO2375">
        <f>IF($AN2375=1,SUMPRODUCT(--($AR$2:$AR$4001&lt;$AR2375))+1,"")</f>
        <v/>
      </c>
      <c r="AP2375">
        <f>IF($E2375="","",IF(OR($U2375=TRUE(),$U2375="TRUE"),1,0))</f>
        <v/>
      </c>
      <c r="AQ2375">
        <f>IF($E2375="","",IF($AA2375="Yes",1,0))</f>
        <v/>
      </c>
      <c r="AR2375">
        <f>IF($AN2375=1,IFERROR(VALUE(MID($E2375,2,20)),1000000000)+ROW()/100000,"")</f>
        <v/>
      </c>
    </row>
    <row r="2376">
      <c r="G2376" s="11" t="n"/>
      <c r="Q2376" s="7">
        <f>IF($E2376="","",P2376*Y2376/100)</f>
        <v/>
      </c>
      <c r="R2376" s="7" t="n"/>
      <c r="X2376" s="7" t="n"/>
      <c r="Y2376" s="7" t="n"/>
      <c r="AB2376">
        <f>IF($E2376="","",IF($AQ2376=1,0,IF($AP2376=1,Settings!$C$6,Settings!$C$7))*100)</f>
        <v/>
      </c>
      <c r="AC2376" s="7">
        <f>IF($E2376="","",Y2376*AB2376/100)</f>
        <v/>
      </c>
      <c r="AD2376" s="7">
        <f>IF($E2376="","",Y2376-AC2376)</f>
        <v/>
      </c>
      <c r="AE2376" s="7">
        <f>IF($E2376="","",AD2376-Q2376)</f>
        <v/>
      </c>
      <c r="AI2376" s="7" t="n"/>
      <c r="AL2376" s="11" t="n"/>
      <c r="AN2376">
        <f>IF($E2376="","",IF(COUNTIF($E$2:$E2376,$E2376)=1,1,0))</f>
        <v/>
      </c>
      <c r="AO2376">
        <f>IF($AN2376=1,SUMPRODUCT(--($AR$2:$AR$4001&lt;$AR2376))+1,"")</f>
        <v/>
      </c>
      <c r="AP2376">
        <f>IF($E2376="","",IF(OR($U2376=TRUE(),$U2376="TRUE"),1,0))</f>
        <v/>
      </c>
      <c r="AQ2376">
        <f>IF($E2376="","",IF($AA2376="Yes",1,0))</f>
        <v/>
      </c>
      <c r="AR2376">
        <f>IF($AN2376=1,IFERROR(VALUE(MID($E2376,2,20)),1000000000)+ROW()/100000,"")</f>
        <v/>
      </c>
    </row>
    <row r="2377">
      <c r="G2377" s="11" t="n"/>
      <c r="Q2377" s="7">
        <f>IF($E2377="","",P2377*Y2377/100)</f>
        <v/>
      </c>
      <c r="R2377" s="7" t="n"/>
      <c r="X2377" s="7" t="n"/>
      <c r="Y2377" s="7" t="n"/>
      <c r="AB2377">
        <f>IF($E2377="","",IF($AQ2377=1,0,IF($AP2377=1,Settings!$C$6,Settings!$C$7))*100)</f>
        <v/>
      </c>
      <c r="AC2377" s="7">
        <f>IF($E2377="","",Y2377*AB2377/100)</f>
        <v/>
      </c>
      <c r="AD2377" s="7">
        <f>IF($E2377="","",Y2377-AC2377)</f>
        <v/>
      </c>
      <c r="AE2377" s="7">
        <f>IF($E2377="","",AD2377-Q2377)</f>
        <v/>
      </c>
      <c r="AI2377" s="7" t="n"/>
      <c r="AL2377" s="11" t="n"/>
      <c r="AN2377">
        <f>IF($E2377="","",IF(COUNTIF($E$2:$E2377,$E2377)=1,1,0))</f>
        <v/>
      </c>
      <c r="AO2377">
        <f>IF($AN2377=1,SUMPRODUCT(--($AR$2:$AR$4001&lt;$AR2377))+1,"")</f>
        <v/>
      </c>
      <c r="AP2377">
        <f>IF($E2377="","",IF(OR($U2377=TRUE(),$U2377="TRUE"),1,0))</f>
        <v/>
      </c>
      <c r="AQ2377">
        <f>IF($E2377="","",IF($AA2377="Yes",1,0))</f>
        <v/>
      </c>
      <c r="AR2377">
        <f>IF($AN2377=1,IFERROR(VALUE(MID($E2377,2,20)),1000000000)+ROW()/100000,"")</f>
        <v/>
      </c>
    </row>
    <row r="2378">
      <c r="G2378" s="11" t="n"/>
      <c r="Q2378" s="7">
        <f>IF($E2378="","",P2378*Y2378/100)</f>
        <v/>
      </c>
      <c r="R2378" s="7" t="n"/>
      <c r="X2378" s="7" t="n"/>
      <c r="Y2378" s="7" t="n"/>
      <c r="AB2378">
        <f>IF($E2378="","",IF($AQ2378=1,0,IF($AP2378=1,Settings!$C$6,Settings!$C$7))*100)</f>
        <v/>
      </c>
      <c r="AC2378" s="7">
        <f>IF($E2378="","",Y2378*AB2378/100)</f>
        <v/>
      </c>
      <c r="AD2378" s="7">
        <f>IF($E2378="","",Y2378-AC2378)</f>
        <v/>
      </c>
      <c r="AE2378" s="7">
        <f>IF($E2378="","",AD2378-Q2378)</f>
        <v/>
      </c>
      <c r="AI2378" s="7" t="n"/>
      <c r="AL2378" s="11" t="n"/>
      <c r="AN2378">
        <f>IF($E2378="","",IF(COUNTIF($E$2:$E2378,$E2378)=1,1,0))</f>
        <v/>
      </c>
      <c r="AO2378">
        <f>IF($AN2378=1,SUMPRODUCT(--($AR$2:$AR$4001&lt;$AR2378))+1,"")</f>
        <v/>
      </c>
      <c r="AP2378">
        <f>IF($E2378="","",IF(OR($U2378=TRUE(),$U2378="TRUE"),1,0))</f>
        <v/>
      </c>
      <c r="AQ2378">
        <f>IF($E2378="","",IF($AA2378="Yes",1,0))</f>
        <v/>
      </c>
      <c r="AR2378">
        <f>IF($AN2378=1,IFERROR(VALUE(MID($E2378,2,20)),1000000000)+ROW()/100000,"")</f>
        <v/>
      </c>
    </row>
    <row r="2379">
      <c r="G2379" s="11" t="n"/>
      <c r="Q2379" s="7">
        <f>IF($E2379="","",P2379*Y2379/100)</f>
        <v/>
      </c>
      <c r="R2379" s="7" t="n"/>
      <c r="X2379" s="7" t="n"/>
      <c r="Y2379" s="7" t="n"/>
      <c r="AB2379">
        <f>IF($E2379="","",IF($AQ2379=1,0,IF($AP2379=1,Settings!$C$6,Settings!$C$7))*100)</f>
        <v/>
      </c>
      <c r="AC2379" s="7">
        <f>IF($E2379="","",Y2379*AB2379/100)</f>
        <v/>
      </c>
      <c r="AD2379" s="7">
        <f>IF($E2379="","",Y2379-AC2379)</f>
        <v/>
      </c>
      <c r="AE2379" s="7">
        <f>IF($E2379="","",AD2379-Q2379)</f>
        <v/>
      </c>
      <c r="AI2379" s="7" t="n"/>
      <c r="AL2379" s="11" t="n"/>
      <c r="AN2379">
        <f>IF($E2379="","",IF(COUNTIF($E$2:$E2379,$E2379)=1,1,0))</f>
        <v/>
      </c>
      <c r="AO2379">
        <f>IF($AN2379=1,SUMPRODUCT(--($AR$2:$AR$4001&lt;$AR2379))+1,"")</f>
        <v/>
      </c>
      <c r="AP2379">
        <f>IF($E2379="","",IF(OR($U2379=TRUE(),$U2379="TRUE"),1,0))</f>
        <v/>
      </c>
      <c r="AQ2379">
        <f>IF($E2379="","",IF($AA2379="Yes",1,0))</f>
        <v/>
      </c>
      <c r="AR2379">
        <f>IF($AN2379=1,IFERROR(VALUE(MID($E2379,2,20)),1000000000)+ROW()/100000,"")</f>
        <v/>
      </c>
    </row>
    <row r="2380">
      <c r="G2380" s="11" t="n"/>
      <c r="Q2380" s="7">
        <f>IF($E2380="","",P2380*Y2380/100)</f>
        <v/>
      </c>
      <c r="R2380" s="7" t="n"/>
      <c r="X2380" s="7" t="n"/>
      <c r="Y2380" s="7" t="n"/>
      <c r="AB2380">
        <f>IF($E2380="","",IF($AQ2380=1,0,IF($AP2380=1,Settings!$C$6,Settings!$C$7))*100)</f>
        <v/>
      </c>
      <c r="AC2380" s="7">
        <f>IF($E2380="","",Y2380*AB2380/100)</f>
        <v/>
      </c>
      <c r="AD2380" s="7">
        <f>IF($E2380="","",Y2380-AC2380)</f>
        <v/>
      </c>
      <c r="AE2380" s="7">
        <f>IF($E2380="","",AD2380-Q2380)</f>
        <v/>
      </c>
      <c r="AI2380" s="7" t="n"/>
      <c r="AL2380" s="11" t="n"/>
      <c r="AN2380">
        <f>IF($E2380="","",IF(COUNTIF($E$2:$E2380,$E2380)=1,1,0))</f>
        <v/>
      </c>
      <c r="AO2380">
        <f>IF($AN2380=1,SUMPRODUCT(--($AR$2:$AR$4001&lt;$AR2380))+1,"")</f>
        <v/>
      </c>
      <c r="AP2380">
        <f>IF($E2380="","",IF(OR($U2380=TRUE(),$U2380="TRUE"),1,0))</f>
        <v/>
      </c>
      <c r="AQ2380">
        <f>IF($E2380="","",IF($AA2380="Yes",1,0))</f>
        <v/>
      </c>
      <c r="AR2380">
        <f>IF($AN2380=1,IFERROR(VALUE(MID($E2380,2,20)),1000000000)+ROW()/100000,"")</f>
        <v/>
      </c>
    </row>
    <row r="2381">
      <c r="G2381" s="11" t="n"/>
      <c r="Q2381" s="7">
        <f>IF($E2381="","",P2381*Y2381/100)</f>
        <v/>
      </c>
      <c r="R2381" s="7" t="n"/>
      <c r="X2381" s="7" t="n"/>
      <c r="Y2381" s="7" t="n"/>
      <c r="AB2381">
        <f>IF($E2381="","",IF($AQ2381=1,0,IF($AP2381=1,Settings!$C$6,Settings!$C$7))*100)</f>
        <v/>
      </c>
      <c r="AC2381" s="7">
        <f>IF($E2381="","",Y2381*AB2381/100)</f>
        <v/>
      </c>
      <c r="AD2381" s="7">
        <f>IF($E2381="","",Y2381-AC2381)</f>
        <v/>
      </c>
      <c r="AE2381" s="7">
        <f>IF($E2381="","",AD2381-Q2381)</f>
        <v/>
      </c>
      <c r="AI2381" s="7" t="n"/>
      <c r="AL2381" s="11" t="n"/>
      <c r="AN2381">
        <f>IF($E2381="","",IF(COUNTIF($E$2:$E2381,$E2381)=1,1,0))</f>
        <v/>
      </c>
      <c r="AO2381">
        <f>IF($AN2381=1,SUMPRODUCT(--($AR$2:$AR$4001&lt;$AR2381))+1,"")</f>
        <v/>
      </c>
      <c r="AP2381">
        <f>IF($E2381="","",IF(OR($U2381=TRUE(),$U2381="TRUE"),1,0))</f>
        <v/>
      </c>
      <c r="AQ2381">
        <f>IF($E2381="","",IF($AA2381="Yes",1,0))</f>
        <v/>
      </c>
      <c r="AR2381">
        <f>IF($AN2381=1,IFERROR(VALUE(MID($E2381,2,20)),1000000000)+ROW()/100000,"")</f>
        <v/>
      </c>
    </row>
    <row r="2382">
      <c r="G2382" s="11" t="n"/>
      <c r="Q2382" s="7">
        <f>IF($E2382="","",P2382*Y2382/100)</f>
        <v/>
      </c>
      <c r="R2382" s="7" t="n"/>
      <c r="X2382" s="7" t="n"/>
      <c r="Y2382" s="7" t="n"/>
      <c r="AB2382">
        <f>IF($E2382="","",IF($AQ2382=1,0,IF($AP2382=1,Settings!$C$6,Settings!$C$7))*100)</f>
        <v/>
      </c>
      <c r="AC2382" s="7">
        <f>IF($E2382="","",Y2382*AB2382/100)</f>
        <v/>
      </c>
      <c r="AD2382" s="7">
        <f>IF($E2382="","",Y2382-AC2382)</f>
        <v/>
      </c>
      <c r="AE2382" s="7">
        <f>IF($E2382="","",AD2382-Q2382)</f>
        <v/>
      </c>
      <c r="AI2382" s="7" t="n"/>
      <c r="AL2382" s="11" t="n"/>
      <c r="AN2382">
        <f>IF($E2382="","",IF(COUNTIF($E$2:$E2382,$E2382)=1,1,0))</f>
        <v/>
      </c>
      <c r="AO2382">
        <f>IF($AN2382=1,SUMPRODUCT(--($AR$2:$AR$4001&lt;$AR2382))+1,"")</f>
        <v/>
      </c>
      <c r="AP2382">
        <f>IF($E2382="","",IF(OR($U2382=TRUE(),$U2382="TRUE"),1,0))</f>
        <v/>
      </c>
      <c r="AQ2382">
        <f>IF($E2382="","",IF($AA2382="Yes",1,0))</f>
        <v/>
      </c>
      <c r="AR2382">
        <f>IF($AN2382=1,IFERROR(VALUE(MID($E2382,2,20)),1000000000)+ROW()/100000,"")</f>
        <v/>
      </c>
    </row>
    <row r="2383">
      <c r="G2383" s="11" t="n"/>
      <c r="Q2383" s="7">
        <f>IF($E2383="","",P2383*Y2383/100)</f>
        <v/>
      </c>
      <c r="R2383" s="7" t="n"/>
      <c r="X2383" s="7" t="n"/>
      <c r="Y2383" s="7" t="n"/>
      <c r="AB2383">
        <f>IF($E2383="","",IF($AQ2383=1,0,IF($AP2383=1,Settings!$C$6,Settings!$C$7))*100)</f>
        <v/>
      </c>
      <c r="AC2383" s="7">
        <f>IF($E2383="","",Y2383*AB2383/100)</f>
        <v/>
      </c>
      <c r="AD2383" s="7">
        <f>IF($E2383="","",Y2383-AC2383)</f>
        <v/>
      </c>
      <c r="AE2383" s="7">
        <f>IF($E2383="","",AD2383-Q2383)</f>
        <v/>
      </c>
      <c r="AI2383" s="7" t="n"/>
      <c r="AL2383" s="11" t="n"/>
      <c r="AN2383">
        <f>IF($E2383="","",IF(COUNTIF($E$2:$E2383,$E2383)=1,1,0))</f>
        <v/>
      </c>
      <c r="AO2383">
        <f>IF($AN2383=1,SUMPRODUCT(--($AR$2:$AR$4001&lt;$AR2383))+1,"")</f>
        <v/>
      </c>
      <c r="AP2383">
        <f>IF($E2383="","",IF(OR($U2383=TRUE(),$U2383="TRUE"),1,0))</f>
        <v/>
      </c>
      <c r="AQ2383">
        <f>IF($E2383="","",IF($AA2383="Yes",1,0))</f>
        <v/>
      </c>
      <c r="AR2383">
        <f>IF($AN2383=1,IFERROR(VALUE(MID($E2383,2,20)),1000000000)+ROW()/100000,"")</f>
        <v/>
      </c>
    </row>
    <row r="2384">
      <c r="G2384" s="11" t="n"/>
      <c r="Q2384" s="7">
        <f>IF($E2384="","",P2384*Y2384/100)</f>
        <v/>
      </c>
      <c r="R2384" s="7" t="n"/>
      <c r="X2384" s="7" t="n"/>
      <c r="Y2384" s="7" t="n"/>
      <c r="AB2384">
        <f>IF($E2384="","",IF($AQ2384=1,0,IF($AP2384=1,Settings!$C$6,Settings!$C$7))*100)</f>
        <v/>
      </c>
      <c r="AC2384" s="7">
        <f>IF($E2384="","",Y2384*AB2384/100)</f>
        <v/>
      </c>
      <c r="AD2384" s="7">
        <f>IF($E2384="","",Y2384-AC2384)</f>
        <v/>
      </c>
      <c r="AE2384" s="7">
        <f>IF($E2384="","",AD2384-Q2384)</f>
        <v/>
      </c>
      <c r="AI2384" s="7" t="n"/>
      <c r="AL2384" s="11" t="n"/>
      <c r="AN2384">
        <f>IF($E2384="","",IF(COUNTIF($E$2:$E2384,$E2384)=1,1,0))</f>
        <v/>
      </c>
      <c r="AO2384">
        <f>IF($AN2384=1,SUMPRODUCT(--($AR$2:$AR$4001&lt;$AR2384))+1,"")</f>
        <v/>
      </c>
      <c r="AP2384">
        <f>IF($E2384="","",IF(OR($U2384=TRUE(),$U2384="TRUE"),1,0))</f>
        <v/>
      </c>
      <c r="AQ2384">
        <f>IF($E2384="","",IF($AA2384="Yes",1,0))</f>
        <v/>
      </c>
      <c r="AR2384">
        <f>IF($AN2384=1,IFERROR(VALUE(MID($E2384,2,20)),1000000000)+ROW()/100000,"")</f>
        <v/>
      </c>
    </row>
    <row r="2385">
      <c r="G2385" s="11" t="n"/>
      <c r="Q2385" s="7">
        <f>IF($E2385="","",P2385*Y2385/100)</f>
        <v/>
      </c>
      <c r="R2385" s="7" t="n"/>
      <c r="X2385" s="7" t="n"/>
      <c r="Y2385" s="7" t="n"/>
      <c r="AB2385">
        <f>IF($E2385="","",IF($AQ2385=1,0,IF($AP2385=1,Settings!$C$6,Settings!$C$7))*100)</f>
        <v/>
      </c>
      <c r="AC2385" s="7">
        <f>IF($E2385="","",Y2385*AB2385/100)</f>
        <v/>
      </c>
      <c r="AD2385" s="7">
        <f>IF($E2385="","",Y2385-AC2385)</f>
        <v/>
      </c>
      <c r="AE2385" s="7">
        <f>IF($E2385="","",AD2385-Q2385)</f>
        <v/>
      </c>
      <c r="AI2385" s="7" t="n"/>
      <c r="AL2385" s="11" t="n"/>
      <c r="AN2385">
        <f>IF($E2385="","",IF(COUNTIF($E$2:$E2385,$E2385)=1,1,0))</f>
        <v/>
      </c>
      <c r="AO2385">
        <f>IF($AN2385=1,SUMPRODUCT(--($AR$2:$AR$4001&lt;$AR2385))+1,"")</f>
        <v/>
      </c>
      <c r="AP2385">
        <f>IF($E2385="","",IF(OR($U2385=TRUE(),$U2385="TRUE"),1,0))</f>
        <v/>
      </c>
      <c r="AQ2385">
        <f>IF($E2385="","",IF($AA2385="Yes",1,0))</f>
        <v/>
      </c>
      <c r="AR2385">
        <f>IF($AN2385=1,IFERROR(VALUE(MID($E2385,2,20)),1000000000)+ROW()/100000,"")</f>
        <v/>
      </c>
    </row>
    <row r="2386">
      <c r="G2386" s="11" t="n"/>
      <c r="Q2386" s="7">
        <f>IF($E2386="","",P2386*Y2386/100)</f>
        <v/>
      </c>
      <c r="R2386" s="7" t="n"/>
      <c r="X2386" s="7" t="n"/>
      <c r="Y2386" s="7" t="n"/>
      <c r="AB2386">
        <f>IF($E2386="","",IF($AQ2386=1,0,IF($AP2386=1,Settings!$C$6,Settings!$C$7))*100)</f>
        <v/>
      </c>
      <c r="AC2386" s="7">
        <f>IF($E2386="","",Y2386*AB2386/100)</f>
        <v/>
      </c>
      <c r="AD2386" s="7">
        <f>IF($E2386="","",Y2386-AC2386)</f>
        <v/>
      </c>
      <c r="AE2386" s="7">
        <f>IF($E2386="","",AD2386-Q2386)</f>
        <v/>
      </c>
      <c r="AI2386" s="7" t="n"/>
      <c r="AL2386" s="11" t="n"/>
      <c r="AN2386">
        <f>IF($E2386="","",IF(COUNTIF($E$2:$E2386,$E2386)=1,1,0))</f>
        <v/>
      </c>
      <c r="AO2386">
        <f>IF($AN2386=1,SUMPRODUCT(--($AR$2:$AR$4001&lt;$AR2386))+1,"")</f>
        <v/>
      </c>
      <c r="AP2386">
        <f>IF($E2386="","",IF(OR($U2386=TRUE(),$U2386="TRUE"),1,0))</f>
        <v/>
      </c>
      <c r="AQ2386">
        <f>IF($E2386="","",IF($AA2386="Yes",1,0))</f>
        <v/>
      </c>
      <c r="AR2386">
        <f>IF($AN2386=1,IFERROR(VALUE(MID($E2386,2,20)),1000000000)+ROW()/100000,"")</f>
        <v/>
      </c>
    </row>
    <row r="2387">
      <c r="G2387" s="11" t="n"/>
      <c r="Q2387" s="7">
        <f>IF($E2387="","",P2387*Y2387/100)</f>
        <v/>
      </c>
      <c r="R2387" s="7" t="n"/>
      <c r="X2387" s="7" t="n"/>
      <c r="Y2387" s="7" t="n"/>
      <c r="AB2387">
        <f>IF($E2387="","",IF($AQ2387=1,0,IF($AP2387=1,Settings!$C$6,Settings!$C$7))*100)</f>
        <v/>
      </c>
      <c r="AC2387" s="7">
        <f>IF($E2387="","",Y2387*AB2387/100)</f>
        <v/>
      </c>
      <c r="AD2387" s="7">
        <f>IF($E2387="","",Y2387-AC2387)</f>
        <v/>
      </c>
      <c r="AE2387" s="7">
        <f>IF($E2387="","",AD2387-Q2387)</f>
        <v/>
      </c>
      <c r="AI2387" s="7" t="n"/>
      <c r="AL2387" s="11" t="n"/>
      <c r="AN2387">
        <f>IF($E2387="","",IF(COUNTIF($E$2:$E2387,$E2387)=1,1,0))</f>
        <v/>
      </c>
      <c r="AO2387">
        <f>IF($AN2387=1,SUMPRODUCT(--($AR$2:$AR$4001&lt;$AR2387))+1,"")</f>
        <v/>
      </c>
      <c r="AP2387">
        <f>IF($E2387="","",IF(OR($U2387=TRUE(),$U2387="TRUE"),1,0))</f>
        <v/>
      </c>
      <c r="AQ2387">
        <f>IF($E2387="","",IF($AA2387="Yes",1,0))</f>
        <v/>
      </c>
      <c r="AR2387">
        <f>IF($AN2387=1,IFERROR(VALUE(MID($E2387,2,20)),1000000000)+ROW()/100000,"")</f>
        <v/>
      </c>
    </row>
    <row r="2388">
      <c r="G2388" s="11" t="n"/>
      <c r="Q2388" s="7">
        <f>IF($E2388="","",P2388*Y2388/100)</f>
        <v/>
      </c>
      <c r="R2388" s="7" t="n"/>
      <c r="X2388" s="7" t="n"/>
      <c r="Y2388" s="7" t="n"/>
      <c r="AB2388">
        <f>IF($E2388="","",IF($AQ2388=1,0,IF($AP2388=1,Settings!$C$6,Settings!$C$7))*100)</f>
        <v/>
      </c>
      <c r="AC2388" s="7">
        <f>IF($E2388="","",Y2388*AB2388/100)</f>
        <v/>
      </c>
      <c r="AD2388" s="7">
        <f>IF($E2388="","",Y2388-AC2388)</f>
        <v/>
      </c>
      <c r="AE2388" s="7">
        <f>IF($E2388="","",AD2388-Q2388)</f>
        <v/>
      </c>
      <c r="AI2388" s="7" t="n"/>
      <c r="AL2388" s="11" t="n"/>
      <c r="AN2388">
        <f>IF($E2388="","",IF(COUNTIF($E$2:$E2388,$E2388)=1,1,0))</f>
        <v/>
      </c>
      <c r="AO2388">
        <f>IF($AN2388=1,SUMPRODUCT(--($AR$2:$AR$4001&lt;$AR2388))+1,"")</f>
        <v/>
      </c>
      <c r="AP2388">
        <f>IF($E2388="","",IF(OR($U2388=TRUE(),$U2388="TRUE"),1,0))</f>
        <v/>
      </c>
      <c r="AQ2388">
        <f>IF($E2388="","",IF($AA2388="Yes",1,0))</f>
        <v/>
      </c>
      <c r="AR2388">
        <f>IF($AN2388=1,IFERROR(VALUE(MID($E2388,2,20)),1000000000)+ROW()/100000,"")</f>
        <v/>
      </c>
    </row>
    <row r="2389">
      <c r="G2389" s="11" t="n"/>
      <c r="Q2389" s="7">
        <f>IF($E2389="","",P2389*Y2389/100)</f>
        <v/>
      </c>
      <c r="R2389" s="7" t="n"/>
      <c r="X2389" s="7" t="n"/>
      <c r="Y2389" s="7" t="n"/>
      <c r="AB2389">
        <f>IF($E2389="","",IF($AQ2389=1,0,IF($AP2389=1,Settings!$C$6,Settings!$C$7))*100)</f>
        <v/>
      </c>
      <c r="AC2389" s="7">
        <f>IF($E2389="","",Y2389*AB2389/100)</f>
        <v/>
      </c>
      <c r="AD2389" s="7">
        <f>IF($E2389="","",Y2389-AC2389)</f>
        <v/>
      </c>
      <c r="AE2389" s="7">
        <f>IF($E2389="","",AD2389-Q2389)</f>
        <v/>
      </c>
      <c r="AI2389" s="7" t="n"/>
      <c r="AL2389" s="11" t="n"/>
      <c r="AN2389">
        <f>IF($E2389="","",IF(COUNTIF($E$2:$E2389,$E2389)=1,1,0))</f>
        <v/>
      </c>
      <c r="AO2389">
        <f>IF($AN2389=1,SUMPRODUCT(--($AR$2:$AR$4001&lt;$AR2389))+1,"")</f>
        <v/>
      </c>
      <c r="AP2389">
        <f>IF($E2389="","",IF(OR($U2389=TRUE(),$U2389="TRUE"),1,0))</f>
        <v/>
      </c>
      <c r="AQ2389">
        <f>IF($E2389="","",IF($AA2389="Yes",1,0))</f>
        <v/>
      </c>
      <c r="AR2389">
        <f>IF($AN2389=1,IFERROR(VALUE(MID($E2389,2,20)),1000000000)+ROW()/100000,"")</f>
        <v/>
      </c>
    </row>
    <row r="2390">
      <c r="G2390" s="11" t="n"/>
      <c r="Q2390" s="7">
        <f>IF($E2390="","",P2390*Y2390/100)</f>
        <v/>
      </c>
      <c r="R2390" s="7" t="n"/>
      <c r="X2390" s="7" t="n"/>
      <c r="Y2390" s="7" t="n"/>
      <c r="AB2390">
        <f>IF($E2390="","",IF($AQ2390=1,0,IF($AP2390=1,Settings!$C$6,Settings!$C$7))*100)</f>
        <v/>
      </c>
      <c r="AC2390" s="7">
        <f>IF($E2390="","",Y2390*AB2390/100)</f>
        <v/>
      </c>
      <c r="AD2390" s="7">
        <f>IF($E2390="","",Y2390-AC2390)</f>
        <v/>
      </c>
      <c r="AE2390" s="7">
        <f>IF($E2390="","",AD2390-Q2390)</f>
        <v/>
      </c>
      <c r="AI2390" s="7" t="n"/>
      <c r="AL2390" s="11" t="n"/>
      <c r="AN2390">
        <f>IF($E2390="","",IF(COUNTIF($E$2:$E2390,$E2390)=1,1,0))</f>
        <v/>
      </c>
      <c r="AO2390">
        <f>IF($AN2390=1,SUMPRODUCT(--($AR$2:$AR$4001&lt;$AR2390))+1,"")</f>
        <v/>
      </c>
      <c r="AP2390">
        <f>IF($E2390="","",IF(OR($U2390=TRUE(),$U2390="TRUE"),1,0))</f>
        <v/>
      </c>
      <c r="AQ2390">
        <f>IF($E2390="","",IF($AA2390="Yes",1,0))</f>
        <v/>
      </c>
      <c r="AR2390">
        <f>IF($AN2390=1,IFERROR(VALUE(MID($E2390,2,20)),1000000000)+ROW()/100000,"")</f>
        <v/>
      </c>
    </row>
    <row r="2391">
      <c r="G2391" s="11" t="n"/>
      <c r="Q2391" s="7">
        <f>IF($E2391="","",P2391*Y2391/100)</f>
        <v/>
      </c>
      <c r="R2391" s="7" t="n"/>
      <c r="X2391" s="7" t="n"/>
      <c r="Y2391" s="7" t="n"/>
      <c r="AB2391">
        <f>IF($E2391="","",IF($AQ2391=1,0,IF($AP2391=1,Settings!$C$6,Settings!$C$7))*100)</f>
        <v/>
      </c>
      <c r="AC2391" s="7">
        <f>IF($E2391="","",Y2391*AB2391/100)</f>
        <v/>
      </c>
      <c r="AD2391" s="7">
        <f>IF($E2391="","",Y2391-AC2391)</f>
        <v/>
      </c>
      <c r="AE2391" s="7">
        <f>IF($E2391="","",AD2391-Q2391)</f>
        <v/>
      </c>
      <c r="AI2391" s="7" t="n"/>
      <c r="AL2391" s="11" t="n"/>
      <c r="AN2391">
        <f>IF($E2391="","",IF(COUNTIF($E$2:$E2391,$E2391)=1,1,0))</f>
        <v/>
      </c>
      <c r="AO2391">
        <f>IF($AN2391=1,SUMPRODUCT(--($AR$2:$AR$4001&lt;$AR2391))+1,"")</f>
        <v/>
      </c>
      <c r="AP2391">
        <f>IF($E2391="","",IF(OR($U2391=TRUE(),$U2391="TRUE"),1,0))</f>
        <v/>
      </c>
      <c r="AQ2391">
        <f>IF($E2391="","",IF($AA2391="Yes",1,0))</f>
        <v/>
      </c>
      <c r="AR2391">
        <f>IF($AN2391=1,IFERROR(VALUE(MID($E2391,2,20)),1000000000)+ROW()/100000,"")</f>
        <v/>
      </c>
    </row>
    <row r="2392">
      <c r="G2392" s="11" t="n"/>
      <c r="Q2392" s="7">
        <f>IF($E2392="","",P2392*Y2392/100)</f>
        <v/>
      </c>
      <c r="R2392" s="7" t="n"/>
      <c r="X2392" s="7" t="n"/>
      <c r="Y2392" s="7" t="n"/>
      <c r="AB2392">
        <f>IF($E2392="","",IF($AQ2392=1,0,IF($AP2392=1,Settings!$C$6,Settings!$C$7))*100)</f>
        <v/>
      </c>
      <c r="AC2392" s="7">
        <f>IF($E2392="","",Y2392*AB2392/100)</f>
        <v/>
      </c>
      <c r="AD2392" s="7">
        <f>IF($E2392="","",Y2392-AC2392)</f>
        <v/>
      </c>
      <c r="AE2392" s="7">
        <f>IF($E2392="","",AD2392-Q2392)</f>
        <v/>
      </c>
      <c r="AI2392" s="7" t="n"/>
      <c r="AL2392" s="11" t="n"/>
      <c r="AN2392">
        <f>IF($E2392="","",IF(COUNTIF($E$2:$E2392,$E2392)=1,1,0))</f>
        <v/>
      </c>
      <c r="AO2392">
        <f>IF($AN2392=1,SUMPRODUCT(--($AR$2:$AR$4001&lt;$AR2392))+1,"")</f>
        <v/>
      </c>
      <c r="AP2392">
        <f>IF($E2392="","",IF(OR($U2392=TRUE(),$U2392="TRUE"),1,0))</f>
        <v/>
      </c>
      <c r="AQ2392">
        <f>IF($E2392="","",IF($AA2392="Yes",1,0))</f>
        <v/>
      </c>
      <c r="AR2392">
        <f>IF($AN2392=1,IFERROR(VALUE(MID($E2392,2,20)),1000000000)+ROW()/100000,"")</f>
        <v/>
      </c>
    </row>
    <row r="2393">
      <c r="G2393" s="11" t="n"/>
      <c r="Q2393" s="7">
        <f>IF($E2393="","",P2393*Y2393/100)</f>
        <v/>
      </c>
      <c r="R2393" s="7" t="n"/>
      <c r="X2393" s="7" t="n"/>
      <c r="Y2393" s="7" t="n"/>
      <c r="AB2393">
        <f>IF($E2393="","",IF($AQ2393=1,0,IF($AP2393=1,Settings!$C$6,Settings!$C$7))*100)</f>
        <v/>
      </c>
      <c r="AC2393" s="7">
        <f>IF($E2393="","",Y2393*AB2393/100)</f>
        <v/>
      </c>
      <c r="AD2393" s="7">
        <f>IF($E2393="","",Y2393-AC2393)</f>
        <v/>
      </c>
      <c r="AE2393" s="7">
        <f>IF($E2393="","",AD2393-Q2393)</f>
        <v/>
      </c>
      <c r="AI2393" s="7" t="n"/>
      <c r="AL2393" s="11" t="n"/>
      <c r="AN2393">
        <f>IF($E2393="","",IF(COUNTIF($E$2:$E2393,$E2393)=1,1,0))</f>
        <v/>
      </c>
      <c r="AO2393">
        <f>IF($AN2393=1,SUMPRODUCT(--($AR$2:$AR$4001&lt;$AR2393))+1,"")</f>
        <v/>
      </c>
      <c r="AP2393">
        <f>IF($E2393="","",IF(OR($U2393=TRUE(),$U2393="TRUE"),1,0))</f>
        <v/>
      </c>
      <c r="AQ2393">
        <f>IF($E2393="","",IF($AA2393="Yes",1,0))</f>
        <v/>
      </c>
      <c r="AR2393">
        <f>IF($AN2393=1,IFERROR(VALUE(MID($E2393,2,20)),1000000000)+ROW()/100000,"")</f>
        <v/>
      </c>
    </row>
    <row r="2394">
      <c r="G2394" s="11" t="n"/>
      <c r="Q2394" s="7">
        <f>IF($E2394="","",P2394*Y2394/100)</f>
        <v/>
      </c>
      <c r="R2394" s="7" t="n"/>
      <c r="X2394" s="7" t="n"/>
      <c r="Y2394" s="7" t="n"/>
      <c r="AB2394">
        <f>IF($E2394="","",IF($AQ2394=1,0,IF($AP2394=1,Settings!$C$6,Settings!$C$7))*100)</f>
        <v/>
      </c>
      <c r="AC2394" s="7">
        <f>IF($E2394="","",Y2394*AB2394/100)</f>
        <v/>
      </c>
      <c r="AD2394" s="7">
        <f>IF($E2394="","",Y2394-AC2394)</f>
        <v/>
      </c>
      <c r="AE2394" s="7">
        <f>IF($E2394="","",AD2394-Q2394)</f>
        <v/>
      </c>
      <c r="AI2394" s="7" t="n"/>
      <c r="AL2394" s="11" t="n"/>
      <c r="AN2394">
        <f>IF($E2394="","",IF(COUNTIF($E$2:$E2394,$E2394)=1,1,0))</f>
        <v/>
      </c>
      <c r="AO2394">
        <f>IF($AN2394=1,SUMPRODUCT(--($AR$2:$AR$4001&lt;$AR2394))+1,"")</f>
        <v/>
      </c>
      <c r="AP2394">
        <f>IF($E2394="","",IF(OR($U2394=TRUE(),$U2394="TRUE"),1,0))</f>
        <v/>
      </c>
      <c r="AQ2394">
        <f>IF($E2394="","",IF($AA2394="Yes",1,0))</f>
        <v/>
      </c>
      <c r="AR2394">
        <f>IF($AN2394=1,IFERROR(VALUE(MID($E2394,2,20)),1000000000)+ROW()/100000,"")</f>
        <v/>
      </c>
    </row>
    <row r="2395">
      <c r="G2395" s="11" t="n"/>
      <c r="Q2395" s="7">
        <f>IF($E2395="","",P2395*Y2395/100)</f>
        <v/>
      </c>
      <c r="R2395" s="7" t="n"/>
      <c r="X2395" s="7" t="n"/>
      <c r="Y2395" s="7" t="n"/>
      <c r="AB2395">
        <f>IF($E2395="","",IF($AQ2395=1,0,IF($AP2395=1,Settings!$C$6,Settings!$C$7))*100)</f>
        <v/>
      </c>
      <c r="AC2395" s="7">
        <f>IF($E2395="","",Y2395*AB2395/100)</f>
        <v/>
      </c>
      <c r="AD2395" s="7">
        <f>IF($E2395="","",Y2395-AC2395)</f>
        <v/>
      </c>
      <c r="AE2395" s="7">
        <f>IF($E2395="","",AD2395-Q2395)</f>
        <v/>
      </c>
      <c r="AI2395" s="7" t="n"/>
      <c r="AL2395" s="11" t="n"/>
      <c r="AN2395">
        <f>IF($E2395="","",IF(COUNTIF($E$2:$E2395,$E2395)=1,1,0))</f>
        <v/>
      </c>
      <c r="AO2395">
        <f>IF($AN2395=1,SUMPRODUCT(--($AR$2:$AR$4001&lt;$AR2395))+1,"")</f>
        <v/>
      </c>
      <c r="AP2395">
        <f>IF($E2395="","",IF(OR($U2395=TRUE(),$U2395="TRUE"),1,0))</f>
        <v/>
      </c>
      <c r="AQ2395">
        <f>IF($E2395="","",IF($AA2395="Yes",1,0))</f>
        <v/>
      </c>
      <c r="AR2395">
        <f>IF($AN2395=1,IFERROR(VALUE(MID($E2395,2,20)),1000000000)+ROW()/100000,"")</f>
        <v/>
      </c>
    </row>
    <row r="2396">
      <c r="G2396" s="11" t="n"/>
      <c r="Q2396" s="7">
        <f>IF($E2396="","",P2396*Y2396/100)</f>
        <v/>
      </c>
      <c r="R2396" s="7" t="n"/>
      <c r="X2396" s="7" t="n"/>
      <c r="Y2396" s="7" t="n"/>
      <c r="AB2396">
        <f>IF($E2396="","",IF($AQ2396=1,0,IF($AP2396=1,Settings!$C$6,Settings!$C$7))*100)</f>
        <v/>
      </c>
      <c r="AC2396" s="7">
        <f>IF($E2396="","",Y2396*AB2396/100)</f>
        <v/>
      </c>
      <c r="AD2396" s="7">
        <f>IF($E2396="","",Y2396-AC2396)</f>
        <v/>
      </c>
      <c r="AE2396" s="7">
        <f>IF($E2396="","",AD2396-Q2396)</f>
        <v/>
      </c>
      <c r="AI2396" s="7" t="n"/>
      <c r="AL2396" s="11" t="n"/>
      <c r="AN2396">
        <f>IF($E2396="","",IF(COUNTIF($E$2:$E2396,$E2396)=1,1,0))</f>
        <v/>
      </c>
      <c r="AO2396">
        <f>IF($AN2396=1,SUMPRODUCT(--($AR$2:$AR$4001&lt;$AR2396))+1,"")</f>
        <v/>
      </c>
      <c r="AP2396">
        <f>IF($E2396="","",IF(OR($U2396=TRUE(),$U2396="TRUE"),1,0))</f>
        <v/>
      </c>
      <c r="AQ2396">
        <f>IF($E2396="","",IF($AA2396="Yes",1,0))</f>
        <v/>
      </c>
      <c r="AR2396">
        <f>IF($AN2396=1,IFERROR(VALUE(MID($E2396,2,20)),1000000000)+ROW()/100000,"")</f>
        <v/>
      </c>
    </row>
    <row r="2397">
      <c r="G2397" s="11" t="n"/>
      <c r="Q2397" s="7">
        <f>IF($E2397="","",P2397*Y2397/100)</f>
        <v/>
      </c>
      <c r="R2397" s="7" t="n"/>
      <c r="X2397" s="7" t="n"/>
      <c r="Y2397" s="7" t="n"/>
      <c r="AB2397">
        <f>IF($E2397="","",IF($AQ2397=1,0,IF($AP2397=1,Settings!$C$6,Settings!$C$7))*100)</f>
        <v/>
      </c>
      <c r="AC2397" s="7">
        <f>IF($E2397="","",Y2397*AB2397/100)</f>
        <v/>
      </c>
      <c r="AD2397" s="7">
        <f>IF($E2397="","",Y2397-AC2397)</f>
        <v/>
      </c>
      <c r="AE2397" s="7">
        <f>IF($E2397="","",AD2397-Q2397)</f>
        <v/>
      </c>
      <c r="AI2397" s="7" t="n"/>
      <c r="AL2397" s="11" t="n"/>
      <c r="AN2397">
        <f>IF($E2397="","",IF(COUNTIF($E$2:$E2397,$E2397)=1,1,0))</f>
        <v/>
      </c>
      <c r="AO2397">
        <f>IF($AN2397=1,SUMPRODUCT(--($AR$2:$AR$4001&lt;$AR2397))+1,"")</f>
        <v/>
      </c>
      <c r="AP2397">
        <f>IF($E2397="","",IF(OR($U2397=TRUE(),$U2397="TRUE"),1,0))</f>
        <v/>
      </c>
      <c r="AQ2397">
        <f>IF($E2397="","",IF($AA2397="Yes",1,0))</f>
        <v/>
      </c>
      <c r="AR2397">
        <f>IF($AN2397=1,IFERROR(VALUE(MID($E2397,2,20)),1000000000)+ROW()/100000,"")</f>
        <v/>
      </c>
    </row>
    <row r="2398">
      <c r="G2398" s="11" t="n"/>
      <c r="Q2398" s="7">
        <f>IF($E2398="","",P2398*Y2398/100)</f>
        <v/>
      </c>
      <c r="R2398" s="7" t="n"/>
      <c r="X2398" s="7" t="n"/>
      <c r="Y2398" s="7" t="n"/>
      <c r="AB2398">
        <f>IF($E2398="","",IF($AQ2398=1,0,IF($AP2398=1,Settings!$C$6,Settings!$C$7))*100)</f>
        <v/>
      </c>
      <c r="AC2398" s="7">
        <f>IF($E2398="","",Y2398*AB2398/100)</f>
        <v/>
      </c>
      <c r="AD2398" s="7">
        <f>IF($E2398="","",Y2398-AC2398)</f>
        <v/>
      </c>
      <c r="AE2398" s="7">
        <f>IF($E2398="","",AD2398-Q2398)</f>
        <v/>
      </c>
      <c r="AI2398" s="7" t="n"/>
      <c r="AL2398" s="11" t="n"/>
      <c r="AN2398">
        <f>IF($E2398="","",IF(COUNTIF($E$2:$E2398,$E2398)=1,1,0))</f>
        <v/>
      </c>
      <c r="AO2398">
        <f>IF($AN2398=1,SUMPRODUCT(--($AR$2:$AR$4001&lt;$AR2398))+1,"")</f>
        <v/>
      </c>
      <c r="AP2398">
        <f>IF($E2398="","",IF(OR($U2398=TRUE(),$U2398="TRUE"),1,0))</f>
        <v/>
      </c>
      <c r="AQ2398">
        <f>IF($E2398="","",IF($AA2398="Yes",1,0))</f>
        <v/>
      </c>
      <c r="AR2398">
        <f>IF($AN2398=1,IFERROR(VALUE(MID($E2398,2,20)),1000000000)+ROW()/100000,"")</f>
        <v/>
      </c>
    </row>
    <row r="2399">
      <c r="G2399" s="11" t="n"/>
      <c r="Q2399" s="7">
        <f>IF($E2399="","",P2399*Y2399/100)</f>
        <v/>
      </c>
      <c r="R2399" s="7" t="n"/>
      <c r="X2399" s="7" t="n"/>
      <c r="Y2399" s="7" t="n"/>
      <c r="AB2399">
        <f>IF($E2399="","",IF($AQ2399=1,0,IF($AP2399=1,Settings!$C$6,Settings!$C$7))*100)</f>
        <v/>
      </c>
      <c r="AC2399" s="7">
        <f>IF($E2399="","",Y2399*AB2399/100)</f>
        <v/>
      </c>
      <c r="AD2399" s="7">
        <f>IF($E2399="","",Y2399-AC2399)</f>
        <v/>
      </c>
      <c r="AE2399" s="7">
        <f>IF($E2399="","",AD2399-Q2399)</f>
        <v/>
      </c>
      <c r="AI2399" s="7" t="n"/>
      <c r="AL2399" s="11" t="n"/>
      <c r="AN2399">
        <f>IF($E2399="","",IF(COUNTIF($E$2:$E2399,$E2399)=1,1,0))</f>
        <v/>
      </c>
      <c r="AO2399">
        <f>IF($AN2399=1,SUMPRODUCT(--($AR$2:$AR$4001&lt;$AR2399))+1,"")</f>
        <v/>
      </c>
      <c r="AP2399">
        <f>IF($E2399="","",IF(OR($U2399=TRUE(),$U2399="TRUE"),1,0))</f>
        <v/>
      </c>
      <c r="AQ2399">
        <f>IF($E2399="","",IF($AA2399="Yes",1,0))</f>
        <v/>
      </c>
      <c r="AR2399">
        <f>IF($AN2399=1,IFERROR(VALUE(MID($E2399,2,20)),1000000000)+ROW()/100000,"")</f>
        <v/>
      </c>
    </row>
    <row r="2400">
      <c r="G2400" s="11" t="n"/>
      <c r="Q2400" s="7">
        <f>IF($E2400="","",P2400*Y2400/100)</f>
        <v/>
      </c>
      <c r="R2400" s="7" t="n"/>
      <c r="X2400" s="7" t="n"/>
      <c r="Y2400" s="7" t="n"/>
      <c r="AB2400">
        <f>IF($E2400="","",IF($AQ2400=1,0,IF($AP2400=1,Settings!$C$6,Settings!$C$7))*100)</f>
        <v/>
      </c>
      <c r="AC2400" s="7">
        <f>IF($E2400="","",Y2400*AB2400/100)</f>
        <v/>
      </c>
      <c r="AD2400" s="7">
        <f>IF($E2400="","",Y2400-AC2400)</f>
        <v/>
      </c>
      <c r="AE2400" s="7">
        <f>IF($E2400="","",AD2400-Q2400)</f>
        <v/>
      </c>
      <c r="AI2400" s="7" t="n"/>
      <c r="AL2400" s="11" t="n"/>
      <c r="AN2400">
        <f>IF($E2400="","",IF(COUNTIF($E$2:$E2400,$E2400)=1,1,0))</f>
        <v/>
      </c>
      <c r="AO2400">
        <f>IF($AN2400=1,SUMPRODUCT(--($AR$2:$AR$4001&lt;$AR2400))+1,"")</f>
        <v/>
      </c>
      <c r="AP2400">
        <f>IF($E2400="","",IF(OR($U2400=TRUE(),$U2400="TRUE"),1,0))</f>
        <v/>
      </c>
      <c r="AQ2400">
        <f>IF($E2400="","",IF($AA2400="Yes",1,0))</f>
        <v/>
      </c>
      <c r="AR2400">
        <f>IF($AN2400=1,IFERROR(VALUE(MID($E2400,2,20)),1000000000)+ROW()/100000,"")</f>
        <v/>
      </c>
    </row>
    <row r="2401">
      <c r="G2401" s="11" t="n"/>
      <c r="Q2401" s="7">
        <f>IF($E2401="","",P2401*Y2401/100)</f>
        <v/>
      </c>
      <c r="R2401" s="7" t="n"/>
      <c r="X2401" s="7" t="n"/>
      <c r="Y2401" s="7" t="n"/>
      <c r="AB2401">
        <f>IF($E2401="","",IF($AQ2401=1,0,IF($AP2401=1,Settings!$C$6,Settings!$C$7))*100)</f>
        <v/>
      </c>
      <c r="AC2401" s="7">
        <f>IF($E2401="","",Y2401*AB2401/100)</f>
        <v/>
      </c>
      <c r="AD2401" s="7">
        <f>IF($E2401="","",Y2401-AC2401)</f>
        <v/>
      </c>
      <c r="AE2401" s="7">
        <f>IF($E2401="","",AD2401-Q2401)</f>
        <v/>
      </c>
      <c r="AI2401" s="7" t="n"/>
      <c r="AL2401" s="11" t="n"/>
      <c r="AN2401">
        <f>IF($E2401="","",IF(COUNTIF($E$2:$E2401,$E2401)=1,1,0))</f>
        <v/>
      </c>
      <c r="AO2401">
        <f>IF($AN2401=1,SUMPRODUCT(--($AR$2:$AR$4001&lt;$AR2401))+1,"")</f>
        <v/>
      </c>
      <c r="AP2401">
        <f>IF($E2401="","",IF(OR($U2401=TRUE(),$U2401="TRUE"),1,0))</f>
        <v/>
      </c>
      <c r="AQ2401">
        <f>IF($E2401="","",IF($AA2401="Yes",1,0))</f>
        <v/>
      </c>
      <c r="AR2401">
        <f>IF($AN2401=1,IFERROR(VALUE(MID($E2401,2,20)),1000000000)+ROW()/100000,"")</f>
        <v/>
      </c>
    </row>
    <row r="2402">
      <c r="G2402" s="11" t="n"/>
      <c r="Q2402" s="7">
        <f>IF($E2402="","",P2402*Y2402/100)</f>
        <v/>
      </c>
      <c r="R2402" s="7" t="n"/>
      <c r="X2402" s="7" t="n"/>
      <c r="Y2402" s="7" t="n"/>
      <c r="AB2402">
        <f>IF($E2402="","",IF($AQ2402=1,0,IF($AP2402=1,Settings!$C$6,Settings!$C$7))*100)</f>
        <v/>
      </c>
      <c r="AC2402" s="7">
        <f>IF($E2402="","",Y2402*AB2402/100)</f>
        <v/>
      </c>
      <c r="AD2402" s="7">
        <f>IF($E2402="","",Y2402-AC2402)</f>
        <v/>
      </c>
      <c r="AE2402" s="7">
        <f>IF($E2402="","",AD2402-Q2402)</f>
        <v/>
      </c>
      <c r="AI2402" s="7" t="n"/>
      <c r="AL2402" s="11" t="n"/>
      <c r="AN2402">
        <f>IF($E2402="","",IF(COUNTIF($E$2:$E2402,$E2402)=1,1,0))</f>
        <v/>
      </c>
      <c r="AO2402">
        <f>IF($AN2402=1,SUMPRODUCT(--($AR$2:$AR$4001&lt;$AR2402))+1,"")</f>
        <v/>
      </c>
      <c r="AP2402">
        <f>IF($E2402="","",IF(OR($U2402=TRUE(),$U2402="TRUE"),1,0))</f>
        <v/>
      </c>
      <c r="AQ2402">
        <f>IF($E2402="","",IF($AA2402="Yes",1,0))</f>
        <v/>
      </c>
      <c r="AR2402">
        <f>IF($AN2402=1,IFERROR(VALUE(MID($E2402,2,20)),1000000000)+ROW()/100000,"")</f>
        <v/>
      </c>
    </row>
    <row r="2403">
      <c r="G2403" s="11" t="n"/>
      <c r="Q2403" s="7">
        <f>IF($E2403="","",P2403*Y2403/100)</f>
        <v/>
      </c>
      <c r="R2403" s="7" t="n"/>
      <c r="X2403" s="7" t="n"/>
      <c r="Y2403" s="7" t="n"/>
      <c r="AB2403">
        <f>IF($E2403="","",IF($AQ2403=1,0,IF($AP2403=1,Settings!$C$6,Settings!$C$7))*100)</f>
        <v/>
      </c>
      <c r="AC2403" s="7">
        <f>IF($E2403="","",Y2403*AB2403/100)</f>
        <v/>
      </c>
      <c r="AD2403" s="7">
        <f>IF($E2403="","",Y2403-AC2403)</f>
        <v/>
      </c>
      <c r="AE2403" s="7">
        <f>IF($E2403="","",AD2403-Q2403)</f>
        <v/>
      </c>
      <c r="AI2403" s="7" t="n"/>
      <c r="AL2403" s="11" t="n"/>
      <c r="AN2403">
        <f>IF($E2403="","",IF(COUNTIF($E$2:$E2403,$E2403)=1,1,0))</f>
        <v/>
      </c>
      <c r="AO2403">
        <f>IF($AN2403=1,SUMPRODUCT(--($AR$2:$AR$4001&lt;$AR2403))+1,"")</f>
        <v/>
      </c>
      <c r="AP2403">
        <f>IF($E2403="","",IF(OR($U2403=TRUE(),$U2403="TRUE"),1,0))</f>
        <v/>
      </c>
      <c r="AQ2403">
        <f>IF($E2403="","",IF($AA2403="Yes",1,0))</f>
        <v/>
      </c>
      <c r="AR2403">
        <f>IF($AN2403=1,IFERROR(VALUE(MID($E2403,2,20)),1000000000)+ROW()/100000,"")</f>
        <v/>
      </c>
    </row>
    <row r="2404">
      <c r="G2404" s="11" t="n"/>
      <c r="Q2404" s="7">
        <f>IF($E2404="","",P2404*Y2404/100)</f>
        <v/>
      </c>
      <c r="R2404" s="7" t="n"/>
      <c r="X2404" s="7" t="n"/>
      <c r="Y2404" s="7" t="n"/>
      <c r="AB2404">
        <f>IF($E2404="","",IF($AQ2404=1,0,IF($AP2404=1,Settings!$C$6,Settings!$C$7))*100)</f>
        <v/>
      </c>
      <c r="AC2404" s="7">
        <f>IF($E2404="","",Y2404*AB2404/100)</f>
        <v/>
      </c>
      <c r="AD2404" s="7">
        <f>IF($E2404="","",Y2404-AC2404)</f>
        <v/>
      </c>
      <c r="AE2404" s="7">
        <f>IF($E2404="","",AD2404-Q2404)</f>
        <v/>
      </c>
      <c r="AI2404" s="7" t="n"/>
      <c r="AL2404" s="11" t="n"/>
      <c r="AN2404">
        <f>IF($E2404="","",IF(COUNTIF($E$2:$E2404,$E2404)=1,1,0))</f>
        <v/>
      </c>
      <c r="AO2404">
        <f>IF($AN2404=1,SUMPRODUCT(--($AR$2:$AR$4001&lt;$AR2404))+1,"")</f>
        <v/>
      </c>
      <c r="AP2404">
        <f>IF($E2404="","",IF(OR($U2404=TRUE(),$U2404="TRUE"),1,0))</f>
        <v/>
      </c>
      <c r="AQ2404">
        <f>IF($E2404="","",IF($AA2404="Yes",1,0))</f>
        <v/>
      </c>
      <c r="AR2404">
        <f>IF($AN2404=1,IFERROR(VALUE(MID($E2404,2,20)),1000000000)+ROW()/100000,"")</f>
        <v/>
      </c>
    </row>
    <row r="2405">
      <c r="G2405" s="11" t="n"/>
      <c r="Q2405" s="7">
        <f>IF($E2405="","",P2405*Y2405/100)</f>
        <v/>
      </c>
      <c r="R2405" s="7" t="n"/>
      <c r="X2405" s="7" t="n"/>
      <c r="Y2405" s="7" t="n"/>
      <c r="AB2405">
        <f>IF($E2405="","",IF($AQ2405=1,0,IF($AP2405=1,Settings!$C$6,Settings!$C$7))*100)</f>
        <v/>
      </c>
      <c r="AC2405" s="7">
        <f>IF($E2405="","",Y2405*AB2405/100)</f>
        <v/>
      </c>
      <c r="AD2405" s="7">
        <f>IF($E2405="","",Y2405-AC2405)</f>
        <v/>
      </c>
      <c r="AE2405" s="7">
        <f>IF($E2405="","",AD2405-Q2405)</f>
        <v/>
      </c>
      <c r="AI2405" s="7" t="n"/>
      <c r="AL2405" s="11" t="n"/>
      <c r="AN2405">
        <f>IF($E2405="","",IF(COUNTIF($E$2:$E2405,$E2405)=1,1,0))</f>
        <v/>
      </c>
      <c r="AO2405">
        <f>IF($AN2405=1,SUMPRODUCT(--($AR$2:$AR$4001&lt;$AR2405))+1,"")</f>
        <v/>
      </c>
      <c r="AP2405">
        <f>IF($E2405="","",IF(OR($U2405=TRUE(),$U2405="TRUE"),1,0))</f>
        <v/>
      </c>
      <c r="AQ2405">
        <f>IF($E2405="","",IF($AA2405="Yes",1,0))</f>
        <v/>
      </c>
      <c r="AR2405">
        <f>IF($AN2405=1,IFERROR(VALUE(MID($E2405,2,20)),1000000000)+ROW()/100000,"")</f>
        <v/>
      </c>
    </row>
    <row r="2406">
      <c r="G2406" s="11" t="n"/>
      <c r="Q2406" s="7">
        <f>IF($E2406="","",P2406*Y2406/100)</f>
        <v/>
      </c>
      <c r="R2406" s="7" t="n"/>
      <c r="X2406" s="7" t="n"/>
      <c r="Y2406" s="7" t="n"/>
      <c r="AB2406">
        <f>IF($E2406="","",IF($AQ2406=1,0,IF($AP2406=1,Settings!$C$6,Settings!$C$7))*100)</f>
        <v/>
      </c>
      <c r="AC2406" s="7">
        <f>IF($E2406="","",Y2406*AB2406/100)</f>
        <v/>
      </c>
      <c r="AD2406" s="7">
        <f>IF($E2406="","",Y2406-AC2406)</f>
        <v/>
      </c>
      <c r="AE2406" s="7">
        <f>IF($E2406="","",AD2406-Q2406)</f>
        <v/>
      </c>
      <c r="AI2406" s="7" t="n"/>
      <c r="AL2406" s="11" t="n"/>
      <c r="AN2406">
        <f>IF($E2406="","",IF(COUNTIF($E$2:$E2406,$E2406)=1,1,0))</f>
        <v/>
      </c>
      <c r="AO2406">
        <f>IF($AN2406=1,SUMPRODUCT(--($AR$2:$AR$4001&lt;$AR2406))+1,"")</f>
        <v/>
      </c>
      <c r="AP2406">
        <f>IF($E2406="","",IF(OR($U2406=TRUE(),$U2406="TRUE"),1,0))</f>
        <v/>
      </c>
      <c r="AQ2406">
        <f>IF($E2406="","",IF($AA2406="Yes",1,0))</f>
        <v/>
      </c>
      <c r="AR2406">
        <f>IF($AN2406=1,IFERROR(VALUE(MID($E2406,2,20)),1000000000)+ROW()/100000,"")</f>
        <v/>
      </c>
    </row>
    <row r="2407">
      <c r="G2407" s="11" t="n"/>
      <c r="Q2407" s="7">
        <f>IF($E2407="","",P2407*Y2407/100)</f>
        <v/>
      </c>
      <c r="R2407" s="7" t="n"/>
      <c r="X2407" s="7" t="n"/>
      <c r="Y2407" s="7" t="n"/>
      <c r="AB2407">
        <f>IF($E2407="","",IF($AQ2407=1,0,IF($AP2407=1,Settings!$C$6,Settings!$C$7))*100)</f>
        <v/>
      </c>
      <c r="AC2407" s="7">
        <f>IF($E2407="","",Y2407*AB2407/100)</f>
        <v/>
      </c>
      <c r="AD2407" s="7">
        <f>IF($E2407="","",Y2407-AC2407)</f>
        <v/>
      </c>
      <c r="AE2407" s="7">
        <f>IF($E2407="","",AD2407-Q2407)</f>
        <v/>
      </c>
      <c r="AI2407" s="7" t="n"/>
      <c r="AL2407" s="11" t="n"/>
      <c r="AN2407">
        <f>IF($E2407="","",IF(COUNTIF($E$2:$E2407,$E2407)=1,1,0))</f>
        <v/>
      </c>
      <c r="AO2407">
        <f>IF($AN2407=1,SUMPRODUCT(--($AR$2:$AR$4001&lt;$AR2407))+1,"")</f>
        <v/>
      </c>
      <c r="AP2407">
        <f>IF($E2407="","",IF(OR($U2407=TRUE(),$U2407="TRUE"),1,0))</f>
        <v/>
      </c>
      <c r="AQ2407">
        <f>IF($E2407="","",IF($AA2407="Yes",1,0))</f>
        <v/>
      </c>
      <c r="AR2407">
        <f>IF($AN2407=1,IFERROR(VALUE(MID($E2407,2,20)),1000000000)+ROW()/100000,"")</f>
        <v/>
      </c>
    </row>
    <row r="2408">
      <c r="G2408" s="11" t="n"/>
      <c r="Q2408" s="7">
        <f>IF($E2408="","",P2408*Y2408/100)</f>
        <v/>
      </c>
      <c r="R2408" s="7" t="n"/>
      <c r="X2408" s="7" t="n"/>
      <c r="Y2408" s="7" t="n"/>
      <c r="AB2408">
        <f>IF($E2408="","",IF($AQ2408=1,0,IF($AP2408=1,Settings!$C$6,Settings!$C$7))*100)</f>
        <v/>
      </c>
      <c r="AC2408" s="7">
        <f>IF($E2408="","",Y2408*AB2408/100)</f>
        <v/>
      </c>
      <c r="AD2408" s="7">
        <f>IF($E2408="","",Y2408-AC2408)</f>
        <v/>
      </c>
      <c r="AE2408" s="7">
        <f>IF($E2408="","",AD2408-Q2408)</f>
        <v/>
      </c>
      <c r="AI2408" s="7" t="n"/>
      <c r="AL2408" s="11" t="n"/>
      <c r="AN2408">
        <f>IF($E2408="","",IF(COUNTIF($E$2:$E2408,$E2408)=1,1,0))</f>
        <v/>
      </c>
      <c r="AO2408">
        <f>IF($AN2408=1,SUMPRODUCT(--($AR$2:$AR$4001&lt;$AR2408))+1,"")</f>
        <v/>
      </c>
      <c r="AP2408">
        <f>IF($E2408="","",IF(OR($U2408=TRUE(),$U2408="TRUE"),1,0))</f>
        <v/>
      </c>
      <c r="AQ2408">
        <f>IF($E2408="","",IF($AA2408="Yes",1,0))</f>
        <v/>
      </c>
      <c r="AR2408">
        <f>IF($AN2408=1,IFERROR(VALUE(MID($E2408,2,20)),1000000000)+ROW()/100000,"")</f>
        <v/>
      </c>
    </row>
    <row r="2409">
      <c r="G2409" s="11" t="n"/>
      <c r="Q2409" s="7">
        <f>IF($E2409="","",P2409*Y2409/100)</f>
        <v/>
      </c>
      <c r="R2409" s="7" t="n"/>
      <c r="X2409" s="7" t="n"/>
      <c r="Y2409" s="7" t="n"/>
      <c r="AB2409">
        <f>IF($E2409="","",IF($AQ2409=1,0,IF($AP2409=1,Settings!$C$6,Settings!$C$7))*100)</f>
        <v/>
      </c>
      <c r="AC2409" s="7">
        <f>IF($E2409="","",Y2409*AB2409/100)</f>
        <v/>
      </c>
      <c r="AD2409" s="7">
        <f>IF($E2409="","",Y2409-AC2409)</f>
        <v/>
      </c>
      <c r="AE2409" s="7">
        <f>IF($E2409="","",AD2409-Q2409)</f>
        <v/>
      </c>
      <c r="AI2409" s="7" t="n"/>
      <c r="AL2409" s="11" t="n"/>
      <c r="AN2409">
        <f>IF($E2409="","",IF(COUNTIF($E$2:$E2409,$E2409)=1,1,0))</f>
        <v/>
      </c>
      <c r="AO2409">
        <f>IF($AN2409=1,SUMPRODUCT(--($AR$2:$AR$4001&lt;$AR2409))+1,"")</f>
        <v/>
      </c>
      <c r="AP2409">
        <f>IF($E2409="","",IF(OR($U2409=TRUE(),$U2409="TRUE"),1,0))</f>
        <v/>
      </c>
      <c r="AQ2409">
        <f>IF($E2409="","",IF($AA2409="Yes",1,0))</f>
        <v/>
      </c>
      <c r="AR2409">
        <f>IF($AN2409=1,IFERROR(VALUE(MID($E2409,2,20)),1000000000)+ROW()/100000,"")</f>
        <v/>
      </c>
    </row>
    <row r="2410">
      <c r="G2410" s="11" t="n"/>
      <c r="Q2410" s="7">
        <f>IF($E2410="","",P2410*Y2410/100)</f>
        <v/>
      </c>
      <c r="R2410" s="7" t="n"/>
      <c r="X2410" s="7" t="n"/>
      <c r="Y2410" s="7" t="n"/>
      <c r="AB2410">
        <f>IF($E2410="","",IF($AQ2410=1,0,IF($AP2410=1,Settings!$C$6,Settings!$C$7))*100)</f>
        <v/>
      </c>
      <c r="AC2410" s="7">
        <f>IF($E2410="","",Y2410*AB2410/100)</f>
        <v/>
      </c>
      <c r="AD2410" s="7">
        <f>IF($E2410="","",Y2410-AC2410)</f>
        <v/>
      </c>
      <c r="AE2410" s="7">
        <f>IF($E2410="","",AD2410-Q2410)</f>
        <v/>
      </c>
      <c r="AI2410" s="7" t="n"/>
      <c r="AL2410" s="11" t="n"/>
      <c r="AN2410">
        <f>IF($E2410="","",IF(COUNTIF($E$2:$E2410,$E2410)=1,1,0))</f>
        <v/>
      </c>
      <c r="AO2410">
        <f>IF($AN2410=1,SUMPRODUCT(--($AR$2:$AR$4001&lt;$AR2410))+1,"")</f>
        <v/>
      </c>
      <c r="AP2410">
        <f>IF($E2410="","",IF(OR($U2410=TRUE(),$U2410="TRUE"),1,0))</f>
        <v/>
      </c>
      <c r="AQ2410">
        <f>IF($E2410="","",IF($AA2410="Yes",1,0))</f>
        <v/>
      </c>
      <c r="AR2410">
        <f>IF($AN2410=1,IFERROR(VALUE(MID($E2410,2,20)),1000000000)+ROW()/100000,"")</f>
        <v/>
      </c>
    </row>
    <row r="2411">
      <c r="G2411" s="11" t="n"/>
      <c r="Q2411" s="7">
        <f>IF($E2411="","",P2411*Y2411/100)</f>
        <v/>
      </c>
      <c r="R2411" s="7" t="n"/>
      <c r="X2411" s="7" t="n"/>
      <c r="Y2411" s="7" t="n"/>
      <c r="AB2411">
        <f>IF($E2411="","",IF($AQ2411=1,0,IF($AP2411=1,Settings!$C$6,Settings!$C$7))*100)</f>
        <v/>
      </c>
      <c r="AC2411" s="7">
        <f>IF($E2411="","",Y2411*AB2411/100)</f>
        <v/>
      </c>
      <c r="AD2411" s="7">
        <f>IF($E2411="","",Y2411-AC2411)</f>
        <v/>
      </c>
      <c r="AE2411" s="7">
        <f>IF($E2411="","",AD2411-Q2411)</f>
        <v/>
      </c>
      <c r="AI2411" s="7" t="n"/>
      <c r="AL2411" s="11" t="n"/>
      <c r="AN2411">
        <f>IF($E2411="","",IF(COUNTIF($E$2:$E2411,$E2411)=1,1,0))</f>
        <v/>
      </c>
      <c r="AO2411">
        <f>IF($AN2411=1,SUMPRODUCT(--($AR$2:$AR$4001&lt;$AR2411))+1,"")</f>
        <v/>
      </c>
      <c r="AP2411">
        <f>IF($E2411="","",IF(OR($U2411=TRUE(),$U2411="TRUE"),1,0))</f>
        <v/>
      </c>
      <c r="AQ2411">
        <f>IF($E2411="","",IF($AA2411="Yes",1,0))</f>
        <v/>
      </c>
      <c r="AR2411">
        <f>IF($AN2411=1,IFERROR(VALUE(MID($E2411,2,20)),1000000000)+ROW()/100000,"")</f>
        <v/>
      </c>
    </row>
    <row r="2412">
      <c r="G2412" s="11" t="n"/>
      <c r="Q2412" s="7">
        <f>IF($E2412="","",P2412*Y2412/100)</f>
        <v/>
      </c>
      <c r="R2412" s="7" t="n"/>
      <c r="X2412" s="7" t="n"/>
      <c r="Y2412" s="7" t="n"/>
      <c r="AB2412">
        <f>IF($E2412="","",IF($AQ2412=1,0,IF($AP2412=1,Settings!$C$6,Settings!$C$7))*100)</f>
        <v/>
      </c>
      <c r="AC2412" s="7">
        <f>IF($E2412="","",Y2412*AB2412/100)</f>
        <v/>
      </c>
      <c r="AD2412" s="7">
        <f>IF($E2412="","",Y2412-AC2412)</f>
        <v/>
      </c>
      <c r="AE2412" s="7">
        <f>IF($E2412="","",AD2412-Q2412)</f>
        <v/>
      </c>
      <c r="AI2412" s="7" t="n"/>
      <c r="AL2412" s="11" t="n"/>
      <c r="AN2412">
        <f>IF($E2412="","",IF(COUNTIF($E$2:$E2412,$E2412)=1,1,0))</f>
        <v/>
      </c>
      <c r="AO2412">
        <f>IF($AN2412=1,SUMPRODUCT(--($AR$2:$AR$4001&lt;$AR2412))+1,"")</f>
        <v/>
      </c>
      <c r="AP2412">
        <f>IF($E2412="","",IF(OR($U2412=TRUE(),$U2412="TRUE"),1,0))</f>
        <v/>
      </c>
      <c r="AQ2412">
        <f>IF($E2412="","",IF($AA2412="Yes",1,0))</f>
        <v/>
      </c>
      <c r="AR2412">
        <f>IF($AN2412=1,IFERROR(VALUE(MID($E2412,2,20)),1000000000)+ROW()/100000,"")</f>
        <v/>
      </c>
    </row>
    <row r="2413">
      <c r="G2413" s="11" t="n"/>
      <c r="Q2413" s="7">
        <f>IF($E2413="","",P2413*Y2413/100)</f>
        <v/>
      </c>
      <c r="R2413" s="7" t="n"/>
      <c r="X2413" s="7" t="n"/>
      <c r="Y2413" s="7" t="n"/>
      <c r="AB2413">
        <f>IF($E2413="","",IF($AQ2413=1,0,IF($AP2413=1,Settings!$C$6,Settings!$C$7))*100)</f>
        <v/>
      </c>
      <c r="AC2413" s="7">
        <f>IF($E2413="","",Y2413*AB2413/100)</f>
        <v/>
      </c>
      <c r="AD2413" s="7">
        <f>IF($E2413="","",Y2413-AC2413)</f>
        <v/>
      </c>
      <c r="AE2413" s="7">
        <f>IF($E2413="","",AD2413-Q2413)</f>
        <v/>
      </c>
      <c r="AI2413" s="7" t="n"/>
      <c r="AL2413" s="11" t="n"/>
      <c r="AN2413">
        <f>IF($E2413="","",IF(COUNTIF($E$2:$E2413,$E2413)=1,1,0))</f>
        <v/>
      </c>
      <c r="AO2413">
        <f>IF($AN2413=1,SUMPRODUCT(--($AR$2:$AR$4001&lt;$AR2413))+1,"")</f>
        <v/>
      </c>
      <c r="AP2413">
        <f>IF($E2413="","",IF(OR($U2413=TRUE(),$U2413="TRUE"),1,0))</f>
        <v/>
      </c>
      <c r="AQ2413">
        <f>IF($E2413="","",IF($AA2413="Yes",1,0))</f>
        <v/>
      </c>
      <c r="AR2413">
        <f>IF($AN2413=1,IFERROR(VALUE(MID($E2413,2,20)),1000000000)+ROW()/100000,"")</f>
        <v/>
      </c>
    </row>
    <row r="2414">
      <c r="G2414" s="11" t="n"/>
      <c r="Q2414" s="7">
        <f>IF($E2414="","",P2414*Y2414/100)</f>
        <v/>
      </c>
      <c r="R2414" s="7" t="n"/>
      <c r="X2414" s="7" t="n"/>
      <c r="Y2414" s="7" t="n"/>
      <c r="AB2414">
        <f>IF($E2414="","",IF($AQ2414=1,0,IF($AP2414=1,Settings!$C$6,Settings!$C$7))*100)</f>
        <v/>
      </c>
      <c r="AC2414" s="7">
        <f>IF($E2414="","",Y2414*AB2414/100)</f>
        <v/>
      </c>
      <c r="AD2414" s="7">
        <f>IF($E2414="","",Y2414-AC2414)</f>
        <v/>
      </c>
      <c r="AE2414" s="7">
        <f>IF($E2414="","",AD2414-Q2414)</f>
        <v/>
      </c>
      <c r="AI2414" s="7" t="n"/>
      <c r="AL2414" s="11" t="n"/>
      <c r="AN2414">
        <f>IF($E2414="","",IF(COUNTIF($E$2:$E2414,$E2414)=1,1,0))</f>
        <v/>
      </c>
      <c r="AO2414">
        <f>IF($AN2414=1,SUMPRODUCT(--($AR$2:$AR$4001&lt;$AR2414))+1,"")</f>
        <v/>
      </c>
      <c r="AP2414">
        <f>IF($E2414="","",IF(OR($U2414=TRUE(),$U2414="TRUE"),1,0))</f>
        <v/>
      </c>
      <c r="AQ2414">
        <f>IF($E2414="","",IF($AA2414="Yes",1,0))</f>
        <v/>
      </c>
      <c r="AR2414">
        <f>IF($AN2414=1,IFERROR(VALUE(MID($E2414,2,20)),1000000000)+ROW()/100000,"")</f>
        <v/>
      </c>
    </row>
    <row r="2415">
      <c r="G2415" s="11" t="n"/>
      <c r="Q2415" s="7">
        <f>IF($E2415="","",P2415*Y2415/100)</f>
        <v/>
      </c>
      <c r="R2415" s="7" t="n"/>
      <c r="X2415" s="7" t="n"/>
      <c r="Y2415" s="7" t="n"/>
      <c r="AB2415">
        <f>IF($E2415="","",IF($AQ2415=1,0,IF($AP2415=1,Settings!$C$6,Settings!$C$7))*100)</f>
        <v/>
      </c>
      <c r="AC2415" s="7">
        <f>IF($E2415="","",Y2415*AB2415/100)</f>
        <v/>
      </c>
      <c r="AD2415" s="7">
        <f>IF($E2415="","",Y2415-AC2415)</f>
        <v/>
      </c>
      <c r="AE2415" s="7">
        <f>IF($E2415="","",AD2415-Q2415)</f>
        <v/>
      </c>
      <c r="AI2415" s="7" t="n"/>
      <c r="AL2415" s="11" t="n"/>
      <c r="AN2415">
        <f>IF($E2415="","",IF(COUNTIF($E$2:$E2415,$E2415)=1,1,0))</f>
        <v/>
      </c>
      <c r="AO2415">
        <f>IF($AN2415=1,SUMPRODUCT(--($AR$2:$AR$4001&lt;$AR2415))+1,"")</f>
        <v/>
      </c>
      <c r="AP2415">
        <f>IF($E2415="","",IF(OR($U2415=TRUE(),$U2415="TRUE"),1,0))</f>
        <v/>
      </c>
      <c r="AQ2415">
        <f>IF($E2415="","",IF($AA2415="Yes",1,0))</f>
        <v/>
      </c>
      <c r="AR2415">
        <f>IF($AN2415=1,IFERROR(VALUE(MID($E2415,2,20)),1000000000)+ROW()/100000,"")</f>
        <v/>
      </c>
    </row>
    <row r="2416">
      <c r="G2416" s="11" t="n"/>
      <c r="Q2416" s="7">
        <f>IF($E2416="","",P2416*Y2416/100)</f>
        <v/>
      </c>
      <c r="R2416" s="7" t="n"/>
      <c r="X2416" s="7" t="n"/>
      <c r="Y2416" s="7" t="n"/>
      <c r="AB2416">
        <f>IF($E2416="","",IF($AQ2416=1,0,IF($AP2416=1,Settings!$C$6,Settings!$C$7))*100)</f>
        <v/>
      </c>
      <c r="AC2416" s="7">
        <f>IF($E2416="","",Y2416*AB2416/100)</f>
        <v/>
      </c>
      <c r="AD2416" s="7">
        <f>IF($E2416="","",Y2416-AC2416)</f>
        <v/>
      </c>
      <c r="AE2416" s="7">
        <f>IF($E2416="","",AD2416-Q2416)</f>
        <v/>
      </c>
      <c r="AI2416" s="7" t="n"/>
      <c r="AL2416" s="11" t="n"/>
      <c r="AN2416">
        <f>IF($E2416="","",IF(COUNTIF($E$2:$E2416,$E2416)=1,1,0))</f>
        <v/>
      </c>
      <c r="AO2416">
        <f>IF($AN2416=1,SUMPRODUCT(--($AR$2:$AR$4001&lt;$AR2416))+1,"")</f>
        <v/>
      </c>
      <c r="AP2416">
        <f>IF($E2416="","",IF(OR($U2416=TRUE(),$U2416="TRUE"),1,0))</f>
        <v/>
      </c>
      <c r="AQ2416">
        <f>IF($E2416="","",IF($AA2416="Yes",1,0))</f>
        <v/>
      </c>
      <c r="AR2416">
        <f>IF($AN2416=1,IFERROR(VALUE(MID($E2416,2,20)),1000000000)+ROW()/100000,"")</f>
        <v/>
      </c>
    </row>
    <row r="2417">
      <c r="G2417" s="11" t="n"/>
      <c r="Q2417" s="7">
        <f>IF($E2417="","",P2417*Y2417/100)</f>
        <v/>
      </c>
      <c r="R2417" s="7" t="n"/>
      <c r="X2417" s="7" t="n"/>
      <c r="Y2417" s="7" t="n"/>
      <c r="AB2417">
        <f>IF($E2417="","",IF($AQ2417=1,0,IF($AP2417=1,Settings!$C$6,Settings!$C$7))*100)</f>
        <v/>
      </c>
      <c r="AC2417" s="7">
        <f>IF($E2417="","",Y2417*AB2417/100)</f>
        <v/>
      </c>
      <c r="AD2417" s="7">
        <f>IF($E2417="","",Y2417-AC2417)</f>
        <v/>
      </c>
      <c r="AE2417" s="7">
        <f>IF($E2417="","",AD2417-Q2417)</f>
        <v/>
      </c>
      <c r="AI2417" s="7" t="n"/>
      <c r="AL2417" s="11" t="n"/>
      <c r="AN2417">
        <f>IF($E2417="","",IF(COUNTIF($E$2:$E2417,$E2417)=1,1,0))</f>
        <v/>
      </c>
      <c r="AO2417">
        <f>IF($AN2417=1,SUMPRODUCT(--($AR$2:$AR$4001&lt;$AR2417))+1,"")</f>
        <v/>
      </c>
      <c r="AP2417">
        <f>IF($E2417="","",IF(OR($U2417=TRUE(),$U2417="TRUE"),1,0))</f>
        <v/>
      </c>
      <c r="AQ2417">
        <f>IF($E2417="","",IF($AA2417="Yes",1,0))</f>
        <v/>
      </c>
      <c r="AR2417">
        <f>IF($AN2417=1,IFERROR(VALUE(MID($E2417,2,20)),1000000000)+ROW()/100000,"")</f>
        <v/>
      </c>
    </row>
    <row r="2418">
      <c r="G2418" s="11" t="n"/>
      <c r="Q2418" s="7">
        <f>IF($E2418="","",P2418*Y2418/100)</f>
        <v/>
      </c>
      <c r="R2418" s="7" t="n"/>
      <c r="X2418" s="7" t="n"/>
      <c r="Y2418" s="7" t="n"/>
      <c r="AB2418">
        <f>IF($E2418="","",IF($AQ2418=1,0,IF($AP2418=1,Settings!$C$6,Settings!$C$7))*100)</f>
        <v/>
      </c>
      <c r="AC2418" s="7">
        <f>IF($E2418="","",Y2418*AB2418/100)</f>
        <v/>
      </c>
      <c r="AD2418" s="7">
        <f>IF($E2418="","",Y2418-AC2418)</f>
        <v/>
      </c>
      <c r="AE2418" s="7">
        <f>IF($E2418="","",AD2418-Q2418)</f>
        <v/>
      </c>
      <c r="AI2418" s="7" t="n"/>
      <c r="AL2418" s="11" t="n"/>
      <c r="AN2418">
        <f>IF($E2418="","",IF(COUNTIF($E$2:$E2418,$E2418)=1,1,0))</f>
        <v/>
      </c>
      <c r="AO2418">
        <f>IF($AN2418=1,SUMPRODUCT(--($AR$2:$AR$4001&lt;$AR2418))+1,"")</f>
        <v/>
      </c>
      <c r="AP2418">
        <f>IF($E2418="","",IF(OR($U2418=TRUE(),$U2418="TRUE"),1,0))</f>
        <v/>
      </c>
      <c r="AQ2418">
        <f>IF($E2418="","",IF($AA2418="Yes",1,0))</f>
        <v/>
      </c>
      <c r="AR2418">
        <f>IF($AN2418=1,IFERROR(VALUE(MID($E2418,2,20)),1000000000)+ROW()/100000,"")</f>
        <v/>
      </c>
    </row>
    <row r="2419">
      <c r="G2419" s="11" t="n"/>
      <c r="Q2419" s="7">
        <f>IF($E2419="","",P2419*Y2419/100)</f>
        <v/>
      </c>
      <c r="R2419" s="7" t="n"/>
      <c r="X2419" s="7" t="n"/>
      <c r="Y2419" s="7" t="n"/>
      <c r="AB2419">
        <f>IF($E2419="","",IF($AQ2419=1,0,IF($AP2419=1,Settings!$C$6,Settings!$C$7))*100)</f>
        <v/>
      </c>
      <c r="AC2419" s="7">
        <f>IF($E2419="","",Y2419*AB2419/100)</f>
        <v/>
      </c>
      <c r="AD2419" s="7">
        <f>IF($E2419="","",Y2419-AC2419)</f>
        <v/>
      </c>
      <c r="AE2419" s="7">
        <f>IF($E2419="","",AD2419-Q2419)</f>
        <v/>
      </c>
      <c r="AI2419" s="7" t="n"/>
      <c r="AL2419" s="11" t="n"/>
      <c r="AN2419">
        <f>IF($E2419="","",IF(COUNTIF($E$2:$E2419,$E2419)=1,1,0))</f>
        <v/>
      </c>
      <c r="AO2419">
        <f>IF($AN2419=1,SUMPRODUCT(--($AR$2:$AR$4001&lt;$AR2419))+1,"")</f>
        <v/>
      </c>
      <c r="AP2419">
        <f>IF($E2419="","",IF(OR($U2419=TRUE(),$U2419="TRUE"),1,0))</f>
        <v/>
      </c>
      <c r="AQ2419">
        <f>IF($E2419="","",IF($AA2419="Yes",1,0))</f>
        <v/>
      </c>
      <c r="AR2419">
        <f>IF($AN2419=1,IFERROR(VALUE(MID($E2419,2,20)),1000000000)+ROW()/100000,"")</f>
        <v/>
      </c>
    </row>
    <row r="2420">
      <c r="G2420" s="11" t="n"/>
      <c r="Q2420" s="7">
        <f>IF($E2420="","",P2420*Y2420/100)</f>
        <v/>
      </c>
      <c r="R2420" s="7" t="n"/>
      <c r="X2420" s="7" t="n"/>
      <c r="Y2420" s="7" t="n"/>
      <c r="AB2420">
        <f>IF($E2420="","",IF($AQ2420=1,0,IF($AP2420=1,Settings!$C$6,Settings!$C$7))*100)</f>
        <v/>
      </c>
      <c r="AC2420" s="7">
        <f>IF($E2420="","",Y2420*AB2420/100)</f>
        <v/>
      </c>
      <c r="AD2420" s="7">
        <f>IF($E2420="","",Y2420-AC2420)</f>
        <v/>
      </c>
      <c r="AE2420" s="7">
        <f>IF($E2420="","",AD2420-Q2420)</f>
        <v/>
      </c>
      <c r="AI2420" s="7" t="n"/>
      <c r="AL2420" s="11" t="n"/>
      <c r="AN2420">
        <f>IF($E2420="","",IF(COUNTIF($E$2:$E2420,$E2420)=1,1,0))</f>
        <v/>
      </c>
      <c r="AO2420">
        <f>IF($AN2420=1,SUMPRODUCT(--($AR$2:$AR$4001&lt;$AR2420))+1,"")</f>
        <v/>
      </c>
      <c r="AP2420">
        <f>IF($E2420="","",IF(OR($U2420=TRUE(),$U2420="TRUE"),1,0))</f>
        <v/>
      </c>
      <c r="AQ2420">
        <f>IF($E2420="","",IF($AA2420="Yes",1,0))</f>
        <v/>
      </c>
      <c r="AR2420">
        <f>IF($AN2420=1,IFERROR(VALUE(MID($E2420,2,20)),1000000000)+ROW()/100000,"")</f>
        <v/>
      </c>
    </row>
    <row r="2421">
      <c r="G2421" s="11" t="n"/>
      <c r="Q2421" s="7">
        <f>IF($E2421="","",P2421*Y2421/100)</f>
        <v/>
      </c>
      <c r="R2421" s="7" t="n"/>
      <c r="X2421" s="7" t="n"/>
      <c r="Y2421" s="7" t="n"/>
      <c r="AB2421">
        <f>IF($E2421="","",IF($AQ2421=1,0,IF($AP2421=1,Settings!$C$6,Settings!$C$7))*100)</f>
        <v/>
      </c>
      <c r="AC2421" s="7">
        <f>IF($E2421="","",Y2421*AB2421/100)</f>
        <v/>
      </c>
      <c r="AD2421" s="7">
        <f>IF($E2421="","",Y2421-AC2421)</f>
        <v/>
      </c>
      <c r="AE2421" s="7">
        <f>IF($E2421="","",AD2421-Q2421)</f>
        <v/>
      </c>
      <c r="AI2421" s="7" t="n"/>
      <c r="AL2421" s="11" t="n"/>
      <c r="AN2421">
        <f>IF($E2421="","",IF(COUNTIF($E$2:$E2421,$E2421)=1,1,0))</f>
        <v/>
      </c>
      <c r="AO2421">
        <f>IF($AN2421=1,SUMPRODUCT(--($AR$2:$AR$4001&lt;$AR2421))+1,"")</f>
        <v/>
      </c>
      <c r="AP2421">
        <f>IF($E2421="","",IF(OR($U2421=TRUE(),$U2421="TRUE"),1,0))</f>
        <v/>
      </c>
      <c r="AQ2421">
        <f>IF($E2421="","",IF($AA2421="Yes",1,0))</f>
        <v/>
      </c>
      <c r="AR2421">
        <f>IF($AN2421=1,IFERROR(VALUE(MID($E2421,2,20)),1000000000)+ROW()/100000,"")</f>
        <v/>
      </c>
    </row>
    <row r="2422">
      <c r="G2422" s="11" t="n"/>
      <c r="Q2422" s="7">
        <f>IF($E2422="","",P2422*Y2422/100)</f>
        <v/>
      </c>
      <c r="R2422" s="7" t="n"/>
      <c r="X2422" s="7" t="n"/>
      <c r="Y2422" s="7" t="n"/>
      <c r="AB2422">
        <f>IF($E2422="","",IF($AQ2422=1,0,IF($AP2422=1,Settings!$C$6,Settings!$C$7))*100)</f>
        <v/>
      </c>
      <c r="AC2422" s="7">
        <f>IF($E2422="","",Y2422*AB2422/100)</f>
        <v/>
      </c>
      <c r="AD2422" s="7">
        <f>IF($E2422="","",Y2422-AC2422)</f>
        <v/>
      </c>
      <c r="AE2422" s="7">
        <f>IF($E2422="","",AD2422-Q2422)</f>
        <v/>
      </c>
      <c r="AI2422" s="7" t="n"/>
      <c r="AL2422" s="11" t="n"/>
      <c r="AN2422">
        <f>IF($E2422="","",IF(COUNTIF($E$2:$E2422,$E2422)=1,1,0))</f>
        <v/>
      </c>
      <c r="AO2422">
        <f>IF($AN2422=1,SUMPRODUCT(--($AR$2:$AR$4001&lt;$AR2422))+1,"")</f>
        <v/>
      </c>
      <c r="AP2422">
        <f>IF($E2422="","",IF(OR($U2422=TRUE(),$U2422="TRUE"),1,0))</f>
        <v/>
      </c>
      <c r="AQ2422">
        <f>IF($E2422="","",IF($AA2422="Yes",1,0))</f>
        <v/>
      </c>
      <c r="AR2422">
        <f>IF($AN2422=1,IFERROR(VALUE(MID($E2422,2,20)),1000000000)+ROW()/100000,"")</f>
        <v/>
      </c>
    </row>
    <row r="2423">
      <c r="G2423" s="11" t="n"/>
      <c r="Q2423" s="7">
        <f>IF($E2423="","",P2423*Y2423/100)</f>
        <v/>
      </c>
      <c r="R2423" s="7" t="n"/>
      <c r="X2423" s="7" t="n"/>
      <c r="Y2423" s="7" t="n"/>
      <c r="AB2423">
        <f>IF($E2423="","",IF($AQ2423=1,0,IF($AP2423=1,Settings!$C$6,Settings!$C$7))*100)</f>
        <v/>
      </c>
      <c r="AC2423" s="7">
        <f>IF($E2423="","",Y2423*AB2423/100)</f>
        <v/>
      </c>
      <c r="AD2423" s="7">
        <f>IF($E2423="","",Y2423-AC2423)</f>
        <v/>
      </c>
      <c r="AE2423" s="7">
        <f>IF($E2423="","",AD2423-Q2423)</f>
        <v/>
      </c>
      <c r="AI2423" s="7" t="n"/>
      <c r="AL2423" s="11" t="n"/>
      <c r="AN2423">
        <f>IF($E2423="","",IF(COUNTIF($E$2:$E2423,$E2423)=1,1,0))</f>
        <v/>
      </c>
      <c r="AO2423">
        <f>IF($AN2423=1,SUMPRODUCT(--($AR$2:$AR$4001&lt;$AR2423))+1,"")</f>
        <v/>
      </c>
      <c r="AP2423">
        <f>IF($E2423="","",IF(OR($U2423=TRUE(),$U2423="TRUE"),1,0))</f>
        <v/>
      </c>
      <c r="AQ2423">
        <f>IF($E2423="","",IF($AA2423="Yes",1,0))</f>
        <v/>
      </c>
      <c r="AR2423">
        <f>IF($AN2423=1,IFERROR(VALUE(MID($E2423,2,20)),1000000000)+ROW()/100000,"")</f>
        <v/>
      </c>
    </row>
    <row r="2424">
      <c r="G2424" s="11" t="n"/>
      <c r="Q2424" s="7">
        <f>IF($E2424="","",P2424*Y2424/100)</f>
        <v/>
      </c>
      <c r="R2424" s="7" t="n"/>
      <c r="X2424" s="7" t="n"/>
      <c r="Y2424" s="7" t="n"/>
      <c r="AB2424">
        <f>IF($E2424="","",IF($AQ2424=1,0,IF($AP2424=1,Settings!$C$6,Settings!$C$7))*100)</f>
        <v/>
      </c>
      <c r="AC2424" s="7">
        <f>IF($E2424="","",Y2424*AB2424/100)</f>
        <v/>
      </c>
      <c r="AD2424" s="7">
        <f>IF($E2424="","",Y2424-AC2424)</f>
        <v/>
      </c>
      <c r="AE2424" s="7">
        <f>IF($E2424="","",AD2424-Q2424)</f>
        <v/>
      </c>
      <c r="AI2424" s="7" t="n"/>
      <c r="AL2424" s="11" t="n"/>
      <c r="AN2424">
        <f>IF($E2424="","",IF(COUNTIF($E$2:$E2424,$E2424)=1,1,0))</f>
        <v/>
      </c>
      <c r="AO2424">
        <f>IF($AN2424=1,SUMPRODUCT(--($AR$2:$AR$4001&lt;$AR2424))+1,"")</f>
        <v/>
      </c>
      <c r="AP2424">
        <f>IF($E2424="","",IF(OR($U2424=TRUE(),$U2424="TRUE"),1,0))</f>
        <v/>
      </c>
      <c r="AQ2424">
        <f>IF($E2424="","",IF($AA2424="Yes",1,0))</f>
        <v/>
      </c>
      <c r="AR2424">
        <f>IF($AN2424=1,IFERROR(VALUE(MID($E2424,2,20)),1000000000)+ROW()/100000,"")</f>
        <v/>
      </c>
    </row>
    <row r="2425">
      <c r="G2425" s="11" t="n"/>
      <c r="Q2425" s="7">
        <f>IF($E2425="","",P2425*Y2425/100)</f>
        <v/>
      </c>
      <c r="R2425" s="7" t="n"/>
      <c r="X2425" s="7" t="n"/>
      <c r="Y2425" s="7" t="n"/>
      <c r="AB2425">
        <f>IF($E2425="","",IF($AQ2425=1,0,IF($AP2425=1,Settings!$C$6,Settings!$C$7))*100)</f>
        <v/>
      </c>
      <c r="AC2425" s="7">
        <f>IF($E2425="","",Y2425*AB2425/100)</f>
        <v/>
      </c>
      <c r="AD2425" s="7">
        <f>IF($E2425="","",Y2425-AC2425)</f>
        <v/>
      </c>
      <c r="AE2425" s="7">
        <f>IF($E2425="","",AD2425-Q2425)</f>
        <v/>
      </c>
      <c r="AI2425" s="7" t="n"/>
      <c r="AL2425" s="11" t="n"/>
      <c r="AN2425">
        <f>IF($E2425="","",IF(COUNTIF($E$2:$E2425,$E2425)=1,1,0))</f>
        <v/>
      </c>
      <c r="AO2425">
        <f>IF($AN2425=1,SUMPRODUCT(--($AR$2:$AR$4001&lt;$AR2425))+1,"")</f>
        <v/>
      </c>
      <c r="AP2425">
        <f>IF($E2425="","",IF(OR($U2425=TRUE(),$U2425="TRUE"),1,0))</f>
        <v/>
      </c>
      <c r="AQ2425">
        <f>IF($E2425="","",IF($AA2425="Yes",1,0))</f>
        <v/>
      </c>
      <c r="AR2425">
        <f>IF($AN2425=1,IFERROR(VALUE(MID($E2425,2,20)),1000000000)+ROW()/100000,"")</f>
        <v/>
      </c>
    </row>
    <row r="2426">
      <c r="G2426" s="11" t="n"/>
      <c r="Q2426" s="7">
        <f>IF($E2426="","",P2426*Y2426/100)</f>
        <v/>
      </c>
      <c r="R2426" s="7" t="n"/>
      <c r="X2426" s="7" t="n"/>
      <c r="Y2426" s="7" t="n"/>
      <c r="AB2426">
        <f>IF($E2426="","",IF($AQ2426=1,0,IF($AP2426=1,Settings!$C$6,Settings!$C$7))*100)</f>
        <v/>
      </c>
      <c r="AC2426" s="7">
        <f>IF($E2426="","",Y2426*AB2426/100)</f>
        <v/>
      </c>
      <c r="AD2426" s="7">
        <f>IF($E2426="","",Y2426-AC2426)</f>
        <v/>
      </c>
      <c r="AE2426" s="7">
        <f>IF($E2426="","",AD2426-Q2426)</f>
        <v/>
      </c>
      <c r="AI2426" s="7" t="n"/>
      <c r="AL2426" s="11" t="n"/>
      <c r="AN2426">
        <f>IF($E2426="","",IF(COUNTIF($E$2:$E2426,$E2426)=1,1,0))</f>
        <v/>
      </c>
      <c r="AO2426">
        <f>IF($AN2426=1,SUMPRODUCT(--($AR$2:$AR$4001&lt;$AR2426))+1,"")</f>
        <v/>
      </c>
      <c r="AP2426">
        <f>IF($E2426="","",IF(OR($U2426=TRUE(),$U2426="TRUE"),1,0))</f>
        <v/>
      </c>
      <c r="AQ2426">
        <f>IF($E2426="","",IF($AA2426="Yes",1,0))</f>
        <v/>
      </c>
      <c r="AR2426">
        <f>IF($AN2426=1,IFERROR(VALUE(MID($E2426,2,20)),1000000000)+ROW()/100000,"")</f>
        <v/>
      </c>
    </row>
    <row r="2427">
      <c r="G2427" s="11" t="n"/>
      <c r="Q2427" s="7">
        <f>IF($E2427="","",P2427*Y2427/100)</f>
        <v/>
      </c>
      <c r="R2427" s="7" t="n"/>
      <c r="X2427" s="7" t="n"/>
      <c r="Y2427" s="7" t="n"/>
      <c r="AB2427">
        <f>IF($E2427="","",IF($AQ2427=1,0,IF($AP2427=1,Settings!$C$6,Settings!$C$7))*100)</f>
        <v/>
      </c>
      <c r="AC2427" s="7">
        <f>IF($E2427="","",Y2427*AB2427/100)</f>
        <v/>
      </c>
      <c r="AD2427" s="7">
        <f>IF($E2427="","",Y2427-AC2427)</f>
        <v/>
      </c>
      <c r="AE2427" s="7">
        <f>IF($E2427="","",AD2427-Q2427)</f>
        <v/>
      </c>
      <c r="AI2427" s="7" t="n"/>
      <c r="AL2427" s="11" t="n"/>
      <c r="AN2427">
        <f>IF($E2427="","",IF(COUNTIF($E$2:$E2427,$E2427)=1,1,0))</f>
        <v/>
      </c>
      <c r="AO2427">
        <f>IF($AN2427=1,SUMPRODUCT(--($AR$2:$AR$4001&lt;$AR2427))+1,"")</f>
        <v/>
      </c>
      <c r="AP2427">
        <f>IF($E2427="","",IF(OR($U2427=TRUE(),$U2427="TRUE"),1,0))</f>
        <v/>
      </c>
      <c r="AQ2427">
        <f>IF($E2427="","",IF($AA2427="Yes",1,0))</f>
        <v/>
      </c>
      <c r="AR2427">
        <f>IF($AN2427=1,IFERROR(VALUE(MID($E2427,2,20)),1000000000)+ROW()/100000,"")</f>
        <v/>
      </c>
    </row>
    <row r="2428">
      <c r="G2428" s="11" t="n"/>
      <c r="Q2428" s="7">
        <f>IF($E2428="","",P2428*Y2428/100)</f>
        <v/>
      </c>
      <c r="R2428" s="7" t="n"/>
      <c r="X2428" s="7" t="n"/>
      <c r="Y2428" s="7" t="n"/>
      <c r="AB2428">
        <f>IF($E2428="","",IF($AQ2428=1,0,IF($AP2428=1,Settings!$C$6,Settings!$C$7))*100)</f>
        <v/>
      </c>
      <c r="AC2428" s="7">
        <f>IF($E2428="","",Y2428*AB2428/100)</f>
        <v/>
      </c>
      <c r="AD2428" s="7">
        <f>IF($E2428="","",Y2428-AC2428)</f>
        <v/>
      </c>
      <c r="AE2428" s="7">
        <f>IF($E2428="","",AD2428-Q2428)</f>
        <v/>
      </c>
      <c r="AI2428" s="7" t="n"/>
      <c r="AL2428" s="11" t="n"/>
      <c r="AN2428">
        <f>IF($E2428="","",IF(COUNTIF($E$2:$E2428,$E2428)=1,1,0))</f>
        <v/>
      </c>
      <c r="AO2428">
        <f>IF($AN2428=1,SUMPRODUCT(--($AR$2:$AR$4001&lt;$AR2428))+1,"")</f>
        <v/>
      </c>
      <c r="AP2428">
        <f>IF($E2428="","",IF(OR($U2428=TRUE(),$U2428="TRUE"),1,0))</f>
        <v/>
      </c>
      <c r="AQ2428">
        <f>IF($E2428="","",IF($AA2428="Yes",1,0))</f>
        <v/>
      </c>
      <c r="AR2428">
        <f>IF($AN2428=1,IFERROR(VALUE(MID($E2428,2,20)),1000000000)+ROW()/100000,"")</f>
        <v/>
      </c>
    </row>
    <row r="2429">
      <c r="G2429" s="11" t="n"/>
      <c r="Q2429" s="7">
        <f>IF($E2429="","",P2429*Y2429/100)</f>
        <v/>
      </c>
      <c r="R2429" s="7" t="n"/>
      <c r="X2429" s="7" t="n"/>
      <c r="Y2429" s="7" t="n"/>
      <c r="AB2429">
        <f>IF($E2429="","",IF($AQ2429=1,0,IF($AP2429=1,Settings!$C$6,Settings!$C$7))*100)</f>
        <v/>
      </c>
      <c r="AC2429" s="7">
        <f>IF($E2429="","",Y2429*AB2429/100)</f>
        <v/>
      </c>
      <c r="AD2429" s="7">
        <f>IF($E2429="","",Y2429-AC2429)</f>
        <v/>
      </c>
      <c r="AE2429" s="7">
        <f>IF($E2429="","",AD2429-Q2429)</f>
        <v/>
      </c>
      <c r="AI2429" s="7" t="n"/>
      <c r="AL2429" s="11" t="n"/>
      <c r="AN2429">
        <f>IF($E2429="","",IF(COUNTIF($E$2:$E2429,$E2429)=1,1,0))</f>
        <v/>
      </c>
      <c r="AO2429">
        <f>IF($AN2429=1,SUMPRODUCT(--($AR$2:$AR$4001&lt;$AR2429))+1,"")</f>
        <v/>
      </c>
      <c r="AP2429">
        <f>IF($E2429="","",IF(OR($U2429=TRUE(),$U2429="TRUE"),1,0))</f>
        <v/>
      </c>
      <c r="AQ2429">
        <f>IF($E2429="","",IF($AA2429="Yes",1,0))</f>
        <v/>
      </c>
      <c r="AR2429">
        <f>IF($AN2429=1,IFERROR(VALUE(MID($E2429,2,20)),1000000000)+ROW()/100000,"")</f>
        <v/>
      </c>
    </row>
    <row r="2430">
      <c r="G2430" s="11" t="n"/>
      <c r="Q2430" s="7">
        <f>IF($E2430="","",P2430*Y2430/100)</f>
        <v/>
      </c>
      <c r="R2430" s="7" t="n"/>
      <c r="X2430" s="7" t="n"/>
      <c r="Y2430" s="7" t="n"/>
      <c r="AB2430">
        <f>IF($E2430="","",IF($AQ2430=1,0,IF($AP2430=1,Settings!$C$6,Settings!$C$7))*100)</f>
        <v/>
      </c>
      <c r="AC2430" s="7">
        <f>IF($E2430="","",Y2430*AB2430/100)</f>
        <v/>
      </c>
      <c r="AD2430" s="7">
        <f>IF($E2430="","",Y2430-AC2430)</f>
        <v/>
      </c>
      <c r="AE2430" s="7">
        <f>IF($E2430="","",AD2430-Q2430)</f>
        <v/>
      </c>
      <c r="AI2430" s="7" t="n"/>
      <c r="AL2430" s="11" t="n"/>
      <c r="AN2430">
        <f>IF($E2430="","",IF(COUNTIF($E$2:$E2430,$E2430)=1,1,0))</f>
        <v/>
      </c>
      <c r="AO2430">
        <f>IF($AN2430=1,SUMPRODUCT(--($AR$2:$AR$4001&lt;$AR2430))+1,"")</f>
        <v/>
      </c>
      <c r="AP2430">
        <f>IF($E2430="","",IF(OR($U2430=TRUE(),$U2430="TRUE"),1,0))</f>
        <v/>
      </c>
      <c r="AQ2430">
        <f>IF($E2430="","",IF($AA2430="Yes",1,0))</f>
        <v/>
      </c>
      <c r="AR2430">
        <f>IF($AN2430=1,IFERROR(VALUE(MID($E2430,2,20)),1000000000)+ROW()/100000,"")</f>
        <v/>
      </c>
    </row>
    <row r="2431">
      <c r="G2431" s="11" t="n"/>
      <c r="Q2431" s="7">
        <f>IF($E2431="","",P2431*Y2431/100)</f>
        <v/>
      </c>
      <c r="R2431" s="7" t="n"/>
      <c r="X2431" s="7" t="n"/>
      <c r="Y2431" s="7" t="n"/>
      <c r="AB2431">
        <f>IF($E2431="","",IF($AQ2431=1,0,IF($AP2431=1,Settings!$C$6,Settings!$C$7))*100)</f>
        <v/>
      </c>
      <c r="AC2431" s="7">
        <f>IF($E2431="","",Y2431*AB2431/100)</f>
        <v/>
      </c>
      <c r="AD2431" s="7">
        <f>IF($E2431="","",Y2431-AC2431)</f>
        <v/>
      </c>
      <c r="AE2431" s="7">
        <f>IF($E2431="","",AD2431-Q2431)</f>
        <v/>
      </c>
      <c r="AI2431" s="7" t="n"/>
      <c r="AL2431" s="11" t="n"/>
      <c r="AN2431">
        <f>IF($E2431="","",IF(COUNTIF($E$2:$E2431,$E2431)=1,1,0))</f>
        <v/>
      </c>
      <c r="AO2431">
        <f>IF($AN2431=1,SUMPRODUCT(--($AR$2:$AR$4001&lt;$AR2431))+1,"")</f>
        <v/>
      </c>
      <c r="AP2431">
        <f>IF($E2431="","",IF(OR($U2431=TRUE(),$U2431="TRUE"),1,0))</f>
        <v/>
      </c>
      <c r="AQ2431">
        <f>IF($E2431="","",IF($AA2431="Yes",1,0))</f>
        <v/>
      </c>
      <c r="AR2431">
        <f>IF($AN2431=1,IFERROR(VALUE(MID($E2431,2,20)),1000000000)+ROW()/100000,"")</f>
        <v/>
      </c>
    </row>
    <row r="2432">
      <c r="G2432" s="11" t="n"/>
      <c r="Q2432" s="7">
        <f>IF($E2432="","",P2432*Y2432/100)</f>
        <v/>
      </c>
      <c r="R2432" s="7" t="n"/>
      <c r="X2432" s="7" t="n"/>
      <c r="Y2432" s="7" t="n"/>
      <c r="AB2432">
        <f>IF($E2432="","",IF($AQ2432=1,0,IF($AP2432=1,Settings!$C$6,Settings!$C$7))*100)</f>
        <v/>
      </c>
      <c r="AC2432" s="7">
        <f>IF($E2432="","",Y2432*AB2432/100)</f>
        <v/>
      </c>
      <c r="AD2432" s="7">
        <f>IF($E2432="","",Y2432-AC2432)</f>
        <v/>
      </c>
      <c r="AE2432" s="7">
        <f>IF($E2432="","",AD2432-Q2432)</f>
        <v/>
      </c>
      <c r="AI2432" s="7" t="n"/>
      <c r="AL2432" s="11" t="n"/>
      <c r="AN2432">
        <f>IF($E2432="","",IF(COUNTIF($E$2:$E2432,$E2432)=1,1,0))</f>
        <v/>
      </c>
      <c r="AO2432">
        <f>IF($AN2432=1,SUMPRODUCT(--($AR$2:$AR$4001&lt;$AR2432))+1,"")</f>
        <v/>
      </c>
      <c r="AP2432">
        <f>IF($E2432="","",IF(OR($U2432=TRUE(),$U2432="TRUE"),1,0))</f>
        <v/>
      </c>
      <c r="AQ2432">
        <f>IF($E2432="","",IF($AA2432="Yes",1,0))</f>
        <v/>
      </c>
      <c r="AR2432">
        <f>IF($AN2432=1,IFERROR(VALUE(MID($E2432,2,20)),1000000000)+ROW()/100000,"")</f>
        <v/>
      </c>
    </row>
    <row r="2433">
      <c r="G2433" s="11" t="n"/>
      <c r="Q2433" s="7">
        <f>IF($E2433="","",P2433*Y2433/100)</f>
        <v/>
      </c>
      <c r="R2433" s="7" t="n"/>
      <c r="X2433" s="7" t="n"/>
      <c r="Y2433" s="7" t="n"/>
      <c r="AB2433">
        <f>IF($E2433="","",IF($AQ2433=1,0,IF($AP2433=1,Settings!$C$6,Settings!$C$7))*100)</f>
        <v/>
      </c>
      <c r="AC2433" s="7">
        <f>IF($E2433="","",Y2433*AB2433/100)</f>
        <v/>
      </c>
      <c r="AD2433" s="7">
        <f>IF($E2433="","",Y2433-AC2433)</f>
        <v/>
      </c>
      <c r="AE2433" s="7">
        <f>IF($E2433="","",AD2433-Q2433)</f>
        <v/>
      </c>
      <c r="AI2433" s="7" t="n"/>
      <c r="AL2433" s="11" t="n"/>
      <c r="AN2433">
        <f>IF($E2433="","",IF(COUNTIF($E$2:$E2433,$E2433)=1,1,0))</f>
        <v/>
      </c>
      <c r="AO2433">
        <f>IF($AN2433=1,SUMPRODUCT(--($AR$2:$AR$4001&lt;$AR2433))+1,"")</f>
        <v/>
      </c>
      <c r="AP2433">
        <f>IF($E2433="","",IF(OR($U2433=TRUE(),$U2433="TRUE"),1,0))</f>
        <v/>
      </c>
      <c r="AQ2433">
        <f>IF($E2433="","",IF($AA2433="Yes",1,0))</f>
        <v/>
      </c>
      <c r="AR2433">
        <f>IF($AN2433=1,IFERROR(VALUE(MID($E2433,2,20)),1000000000)+ROW()/100000,"")</f>
        <v/>
      </c>
    </row>
    <row r="2434">
      <c r="G2434" s="11" t="n"/>
      <c r="Q2434" s="7">
        <f>IF($E2434="","",P2434*Y2434/100)</f>
        <v/>
      </c>
      <c r="R2434" s="7" t="n"/>
      <c r="X2434" s="7" t="n"/>
      <c r="Y2434" s="7" t="n"/>
      <c r="AB2434">
        <f>IF($E2434="","",IF($AQ2434=1,0,IF($AP2434=1,Settings!$C$6,Settings!$C$7))*100)</f>
        <v/>
      </c>
      <c r="AC2434" s="7">
        <f>IF($E2434="","",Y2434*AB2434/100)</f>
        <v/>
      </c>
      <c r="AD2434" s="7">
        <f>IF($E2434="","",Y2434-AC2434)</f>
        <v/>
      </c>
      <c r="AE2434" s="7">
        <f>IF($E2434="","",AD2434-Q2434)</f>
        <v/>
      </c>
      <c r="AI2434" s="7" t="n"/>
      <c r="AL2434" s="11" t="n"/>
      <c r="AN2434">
        <f>IF($E2434="","",IF(COUNTIF($E$2:$E2434,$E2434)=1,1,0))</f>
        <v/>
      </c>
      <c r="AO2434">
        <f>IF($AN2434=1,SUMPRODUCT(--($AR$2:$AR$4001&lt;$AR2434))+1,"")</f>
        <v/>
      </c>
      <c r="AP2434">
        <f>IF($E2434="","",IF(OR($U2434=TRUE(),$U2434="TRUE"),1,0))</f>
        <v/>
      </c>
      <c r="AQ2434">
        <f>IF($E2434="","",IF($AA2434="Yes",1,0))</f>
        <v/>
      </c>
      <c r="AR2434">
        <f>IF($AN2434=1,IFERROR(VALUE(MID($E2434,2,20)),1000000000)+ROW()/100000,"")</f>
        <v/>
      </c>
    </row>
    <row r="2435">
      <c r="G2435" s="11" t="n"/>
      <c r="Q2435" s="7">
        <f>IF($E2435="","",P2435*Y2435/100)</f>
        <v/>
      </c>
      <c r="R2435" s="7" t="n"/>
      <c r="X2435" s="7" t="n"/>
      <c r="Y2435" s="7" t="n"/>
      <c r="AB2435">
        <f>IF($E2435="","",IF($AQ2435=1,0,IF($AP2435=1,Settings!$C$6,Settings!$C$7))*100)</f>
        <v/>
      </c>
      <c r="AC2435" s="7">
        <f>IF($E2435="","",Y2435*AB2435/100)</f>
        <v/>
      </c>
      <c r="AD2435" s="7">
        <f>IF($E2435="","",Y2435-AC2435)</f>
        <v/>
      </c>
      <c r="AE2435" s="7">
        <f>IF($E2435="","",AD2435-Q2435)</f>
        <v/>
      </c>
      <c r="AI2435" s="7" t="n"/>
      <c r="AL2435" s="11" t="n"/>
      <c r="AN2435">
        <f>IF($E2435="","",IF(COUNTIF($E$2:$E2435,$E2435)=1,1,0))</f>
        <v/>
      </c>
      <c r="AO2435">
        <f>IF($AN2435=1,SUMPRODUCT(--($AR$2:$AR$4001&lt;$AR2435))+1,"")</f>
        <v/>
      </c>
      <c r="AP2435">
        <f>IF($E2435="","",IF(OR($U2435=TRUE(),$U2435="TRUE"),1,0))</f>
        <v/>
      </c>
      <c r="AQ2435">
        <f>IF($E2435="","",IF($AA2435="Yes",1,0))</f>
        <v/>
      </c>
      <c r="AR2435">
        <f>IF($AN2435=1,IFERROR(VALUE(MID($E2435,2,20)),1000000000)+ROW()/100000,"")</f>
        <v/>
      </c>
    </row>
    <row r="2436">
      <c r="G2436" s="11" t="n"/>
      <c r="Q2436" s="7">
        <f>IF($E2436="","",P2436*Y2436/100)</f>
        <v/>
      </c>
      <c r="R2436" s="7" t="n"/>
      <c r="X2436" s="7" t="n"/>
      <c r="Y2436" s="7" t="n"/>
      <c r="AB2436">
        <f>IF($E2436="","",IF($AQ2436=1,0,IF($AP2436=1,Settings!$C$6,Settings!$C$7))*100)</f>
        <v/>
      </c>
      <c r="AC2436" s="7">
        <f>IF($E2436="","",Y2436*AB2436/100)</f>
        <v/>
      </c>
      <c r="AD2436" s="7">
        <f>IF($E2436="","",Y2436-AC2436)</f>
        <v/>
      </c>
      <c r="AE2436" s="7">
        <f>IF($E2436="","",AD2436-Q2436)</f>
        <v/>
      </c>
      <c r="AI2436" s="7" t="n"/>
      <c r="AL2436" s="11" t="n"/>
      <c r="AN2436">
        <f>IF($E2436="","",IF(COUNTIF($E$2:$E2436,$E2436)=1,1,0))</f>
        <v/>
      </c>
      <c r="AO2436">
        <f>IF($AN2436=1,SUMPRODUCT(--($AR$2:$AR$4001&lt;$AR2436))+1,"")</f>
        <v/>
      </c>
      <c r="AP2436">
        <f>IF($E2436="","",IF(OR($U2436=TRUE(),$U2436="TRUE"),1,0))</f>
        <v/>
      </c>
      <c r="AQ2436">
        <f>IF($E2436="","",IF($AA2436="Yes",1,0))</f>
        <v/>
      </c>
      <c r="AR2436">
        <f>IF($AN2436=1,IFERROR(VALUE(MID($E2436,2,20)),1000000000)+ROW()/100000,"")</f>
        <v/>
      </c>
    </row>
    <row r="2437">
      <c r="G2437" s="11" t="n"/>
      <c r="Q2437" s="7">
        <f>IF($E2437="","",P2437*Y2437/100)</f>
        <v/>
      </c>
      <c r="R2437" s="7" t="n"/>
      <c r="X2437" s="7" t="n"/>
      <c r="Y2437" s="7" t="n"/>
      <c r="AB2437">
        <f>IF($E2437="","",IF($AQ2437=1,0,IF($AP2437=1,Settings!$C$6,Settings!$C$7))*100)</f>
        <v/>
      </c>
      <c r="AC2437" s="7">
        <f>IF($E2437="","",Y2437*AB2437/100)</f>
        <v/>
      </c>
      <c r="AD2437" s="7">
        <f>IF($E2437="","",Y2437-AC2437)</f>
        <v/>
      </c>
      <c r="AE2437" s="7">
        <f>IF($E2437="","",AD2437-Q2437)</f>
        <v/>
      </c>
      <c r="AI2437" s="7" t="n"/>
      <c r="AL2437" s="11" t="n"/>
      <c r="AN2437">
        <f>IF($E2437="","",IF(COUNTIF($E$2:$E2437,$E2437)=1,1,0))</f>
        <v/>
      </c>
      <c r="AO2437">
        <f>IF($AN2437=1,SUMPRODUCT(--($AR$2:$AR$4001&lt;$AR2437))+1,"")</f>
        <v/>
      </c>
      <c r="AP2437">
        <f>IF($E2437="","",IF(OR($U2437=TRUE(),$U2437="TRUE"),1,0))</f>
        <v/>
      </c>
      <c r="AQ2437">
        <f>IF($E2437="","",IF($AA2437="Yes",1,0))</f>
        <v/>
      </c>
      <c r="AR2437">
        <f>IF($AN2437=1,IFERROR(VALUE(MID($E2437,2,20)),1000000000)+ROW()/100000,"")</f>
        <v/>
      </c>
    </row>
    <row r="2438">
      <c r="G2438" s="11" t="n"/>
      <c r="Q2438" s="7">
        <f>IF($E2438="","",P2438*Y2438/100)</f>
        <v/>
      </c>
      <c r="R2438" s="7" t="n"/>
      <c r="X2438" s="7" t="n"/>
      <c r="Y2438" s="7" t="n"/>
      <c r="AB2438">
        <f>IF($E2438="","",IF($AQ2438=1,0,IF($AP2438=1,Settings!$C$6,Settings!$C$7))*100)</f>
        <v/>
      </c>
      <c r="AC2438" s="7">
        <f>IF($E2438="","",Y2438*AB2438/100)</f>
        <v/>
      </c>
      <c r="AD2438" s="7">
        <f>IF($E2438="","",Y2438-AC2438)</f>
        <v/>
      </c>
      <c r="AE2438" s="7">
        <f>IF($E2438="","",AD2438-Q2438)</f>
        <v/>
      </c>
      <c r="AI2438" s="7" t="n"/>
      <c r="AL2438" s="11" t="n"/>
      <c r="AN2438">
        <f>IF($E2438="","",IF(COUNTIF($E$2:$E2438,$E2438)=1,1,0))</f>
        <v/>
      </c>
      <c r="AO2438">
        <f>IF($AN2438=1,SUMPRODUCT(--($AR$2:$AR$4001&lt;$AR2438))+1,"")</f>
        <v/>
      </c>
      <c r="AP2438">
        <f>IF($E2438="","",IF(OR($U2438=TRUE(),$U2438="TRUE"),1,0))</f>
        <v/>
      </c>
      <c r="AQ2438">
        <f>IF($E2438="","",IF($AA2438="Yes",1,0))</f>
        <v/>
      </c>
      <c r="AR2438">
        <f>IF($AN2438=1,IFERROR(VALUE(MID($E2438,2,20)),1000000000)+ROW()/100000,"")</f>
        <v/>
      </c>
    </row>
    <row r="2439">
      <c r="G2439" s="11" t="n"/>
      <c r="Q2439" s="7">
        <f>IF($E2439="","",P2439*Y2439/100)</f>
        <v/>
      </c>
      <c r="R2439" s="7" t="n"/>
      <c r="X2439" s="7" t="n"/>
      <c r="Y2439" s="7" t="n"/>
      <c r="AB2439">
        <f>IF($E2439="","",IF($AQ2439=1,0,IF($AP2439=1,Settings!$C$6,Settings!$C$7))*100)</f>
        <v/>
      </c>
      <c r="AC2439" s="7">
        <f>IF($E2439="","",Y2439*AB2439/100)</f>
        <v/>
      </c>
      <c r="AD2439" s="7">
        <f>IF($E2439="","",Y2439-AC2439)</f>
        <v/>
      </c>
      <c r="AE2439" s="7">
        <f>IF($E2439="","",AD2439-Q2439)</f>
        <v/>
      </c>
      <c r="AI2439" s="7" t="n"/>
      <c r="AL2439" s="11" t="n"/>
      <c r="AN2439">
        <f>IF($E2439="","",IF(COUNTIF($E$2:$E2439,$E2439)=1,1,0))</f>
        <v/>
      </c>
      <c r="AO2439">
        <f>IF($AN2439=1,SUMPRODUCT(--($AR$2:$AR$4001&lt;$AR2439))+1,"")</f>
        <v/>
      </c>
      <c r="AP2439">
        <f>IF($E2439="","",IF(OR($U2439=TRUE(),$U2439="TRUE"),1,0))</f>
        <v/>
      </c>
      <c r="AQ2439">
        <f>IF($E2439="","",IF($AA2439="Yes",1,0))</f>
        <v/>
      </c>
      <c r="AR2439">
        <f>IF($AN2439=1,IFERROR(VALUE(MID($E2439,2,20)),1000000000)+ROW()/100000,"")</f>
        <v/>
      </c>
    </row>
    <row r="2440">
      <c r="G2440" s="11" t="n"/>
      <c r="Q2440" s="7">
        <f>IF($E2440="","",P2440*Y2440/100)</f>
        <v/>
      </c>
      <c r="R2440" s="7" t="n"/>
      <c r="X2440" s="7" t="n"/>
      <c r="Y2440" s="7" t="n"/>
      <c r="AB2440">
        <f>IF($E2440="","",IF($AQ2440=1,0,IF($AP2440=1,Settings!$C$6,Settings!$C$7))*100)</f>
        <v/>
      </c>
      <c r="AC2440" s="7">
        <f>IF($E2440="","",Y2440*AB2440/100)</f>
        <v/>
      </c>
      <c r="AD2440" s="7">
        <f>IF($E2440="","",Y2440-AC2440)</f>
        <v/>
      </c>
      <c r="AE2440" s="7">
        <f>IF($E2440="","",AD2440-Q2440)</f>
        <v/>
      </c>
      <c r="AI2440" s="7" t="n"/>
      <c r="AL2440" s="11" t="n"/>
      <c r="AN2440">
        <f>IF($E2440="","",IF(COUNTIF($E$2:$E2440,$E2440)=1,1,0))</f>
        <v/>
      </c>
      <c r="AO2440">
        <f>IF($AN2440=1,SUMPRODUCT(--($AR$2:$AR$4001&lt;$AR2440))+1,"")</f>
        <v/>
      </c>
      <c r="AP2440">
        <f>IF($E2440="","",IF(OR($U2440=TRUE(),$U2440="TRUE"),1,0))</f>
        <v/>
      </c>
      <c r="AQ2440">
        <f>IF($E2440="","",IF($AA2440="Yes",1,0))</f>
        <v/>
      </c>
      <c r="AR2440">
        <f>IF($AN2440=1,IFERROR(VALUE(MID($E2440,2,20)),1000000000)+ROW()/100000,"")</f>
        <v/>
      </c>
    </row>
    <row r="2441">
      <c r="G2441" s="11" t="n"/>
      <c r="Q2441" s="7">
        <f>IF($E2441="","",P2441*Y2441/100)</f>
        <v/>
      </c>
      <c r="R2441" s="7" t="n"/>
      <c r="X2441" s="7" t="n"/>
      <c r="Y2441" s="7" t="n"/>
      <c r="AB2441">
        <f>IF($E2441="","",IF($AQ2441=1,0,IF($AP2441=1,Settings!$C$6,Settings!$C$7))*100)</f>
        <v/>
      </c>
      <c r="AC2441" s="7">
        <f>IF($E2441="","",Y2441*AB2441/100)</f>
        <v/>
      </c>
      <c r="AD2441" s="7">
        <f>IF($E2441="","",Y2441-AC2441)</f>
        <v/>
      </c>
      <c r="AE2441" s="7">
        <f>IF($E2441="","",AD2441-Q2441)</f>
        <v/>
      </c>
      <c r="AI2441" s="7" t="n"/>
      <c r="AL2441" s="11" t="n"/>
      <c r="AN2441">
        <f>IF($E2441="","",IF(COUNTIF($E$2:$E2441,$E2441)=1,1,0))</f>
        <v/>
      </c>
      <c r="AO2441">
        <f>IF($AN2441=1,SUMPRODUCT(--($AR$2:$AR$4001&lt;$AR2441))+1,"")</f>
        <v/>
      </c>
      <c r="AP2441">
        <f>IF($E2441="","",IF(OR($U2441=TRUE(),$U2441="TRUE"),1,0))</f>
        <v/>
      </c>
      <c r="AQ2441">
        <f>IF($E2441="","",IF($AA2441="Yes",1,0))</f>
        <v/>
      </c>
      <c r="AR2441">
        <f>IF($AN2441=1,IFERROR(VALUE(MID($E2441,2,20)),1000000000)+ROW()/100000,"")</f>
        <v/>
      </c>
    </row>
    <row r="2442">
      <c r="G2442" s="11" t="n"/>
      <c r="Q2442" s="7">
        <f>IF($E2442="","",P2442*Y2442/100)</f>
        <v/>
      </c>
      <c r="R2442" s="7" t="n"/>
      <c r="X2442" s="7" t="n"/>
      <c r="Y2442" s="7" t="n"/>
      <c r="AB2442">
        <f>IF($E2442="","",IF($AQ2442=1,0,IF($AP2442=1,Settings!$C$6,Settings!$C$7))*100)</f>
        <v/>
      </c>
      <c r="AC2442" s="7">
        <f>IF($E2442="","",Y2442*AB2442/100)</f>
        <v/>
      </c>
      <c r="AD2442" s="7">
        <f>IF($E2442="","",Y2442-AC2442)</f>
        <v/>
      </c>
      <c r="AE2442" s="7">
        <f>IF($E2442="","",AD2442-Q2442)</f>
        <v/>
      </c>
      <c r="AI2442" s="7" t="n"/>
      <c r="AL2442" s="11" t="n"/>
      <c r="AN2442">
        <f>IF($E2442="","",IF(COUNTIF($E$2:$E2442,$E2442)=1,1,0))</f>
        <v/>
      </c>
      <c r="AO2442">
        <f>IF($AN2442=1,SUMPRODUCT(--($AR$2:$AR$4001&lt;$AR2442))+1,"")</f>
        <v/>
      </c>
      <c r="AP2442">
        <f>IF($E2442="","",IF(OR($U2442=TRUE(),$U2442="TRUE"),1,0))</f>
        <v/>
      </c>
      <c r="AQ2442">
        <f>IF($E2442="","",IF($AA2442="Yes",1,0))</f>
        <v/>
      </c>
      <c r="AR2442">
        <f>IF($AN2442=1,IFERROR(VALUE(MID($E2442,2,20)),1000000000)+ROW()/100000,"")</f>
        <v/>
      </c>
    </row>
    <row r="2443">
      <c r="G2443" s="11" t="n"/>
      <c r="Q2443" s="7">
        <f>IF($E2443="","",P2443*Y2443/100)</f>
        <v/>
      </c>
      <c r="R2443" s="7" t="n"/>
      <c r="X2443" s="7" t="n"/>
      <c r="Y2443" s="7" t="n"/>
      <c r="AB2443">
        <f>IF($E2443="","",IF($AQ2443=1,0,IF($AP2443=1,Settings!$C$6,Settings!$C$7))*100)</f>
        <v/>
      </c>
      <c r="AC2443" s="7">
        <f>IF($E2443="","",Y2443*AB2443/100)</f>
        <v/>
      </c>
      <c r="AD2443" s="7">
        <f>IF($E2443="","",Y2443-AC2443)</f>
        <v/>
      </c>
      <c r="AE2443" s="7">
        <f>IF($E2443="","",AD2443-Q2443)</f>
        <v/>
      </c>
      <c r="AI2443" s="7" t="n"/>
      <c r="AL2443" s="11" t="n"/>
      <c r="AN2443">
        <f>IF($E2443="","",IF(COUNTIF($E$2:$E2443,$E2443)=1,1,0))</f>
        <v/>
      </c>
      <c r="AO2443">
        <f>IF($AN2443=1,SUMPRODUCT(--($AR$2:$AR$4001&lt;$AR2443))+1,"")</f>
        <v/>
      </c>
      <c r="AP2443">
        <f>IF($E2443="","",IF(OR($U2443=TRUE(),$U2443="TRUE"),1,0))</f>
        <v/>
      </c>
      <c r="AQ2443">
        <f>IF($E2443="","",IF($AA2443="Yes",1,0))</f>
        <v/>
      </c>
      <c r="AR2443">
        <f>IF($AN2443=1,IFERROR(VALUE(MID($E2443,2,20)),1000000000)+ROW()/100000,"")</f>
        <v/>
      </c>
    </row>
    <row r="2444">
      <c r="G2444" s="11" t="n"/>
      <c r="Q2444" s="7">
        <f>IF($E2444="","",P2444*Y2444/100)</f>
        <v/>
      </c>
      <c r="R2444" s="7" t="n"/>
      <c r="X2444" s="7" t="n"/>
      <c r="Y2444" s="7" t="n"/>
      <c r="AB2444">
        <f>IF($E2444="","",IF($AQ2444=1,0,IF($AP2444=1,Settings!$C$6,Settings!$C$7))*100)</f>
        <v/>
      </c>
      <c r="AC2444" s="7">
        <f>IF($E2444="","",Y2444*AB2444/100)</f>
        <v/>
      </c>
      <c r="AD2444" s="7">
        <f>IF($E2444="","",Y2444-AC2444)</f>
        <v/>
      </c>
      <c r="AE2444" s="7">
        <f>IF($E2444="","",AD2444-Q2444)</f>
        <v/>
      </c>
      <c r="AI2444" s="7" t="n"/>
      <c r="AL2444" s="11" t="n"/>
      <c r="AN2444">
        <f>IF($E2444="","",IF(COUNTIF($E$2:$E2444,$E2444)=1,1,0))</f>
        <v/>
      </c>
      <c r="AO2444">
        <f>IF($AN2444=1,SUMPRODUCT(--($AR$2:$AR$4001&lt;$AR2444))+1,"")</f>
        <v/>
      </c>
      <c r="AP2444">
        <f>IF($E2444="","",IF(OR($U2444=TRUE(),$U2444="TRUE"),1,0))</f>
        <v/>
      </c>
      <c r="AQ2444">
        <f>IF($E2444="","",IF($AA2444="Yes",1,0))</f>
        <v/>
      </c>
      <c r="AR2444">
        <f>IF($AN2444=1,IFERROR(VALUE(MID($E2444,2,20)),1000000000)+ROW()/100000,"")</f>
        <v/>
      </c>
    </row>
    <row r="2445">
      <c r="G2445" s="11" t="n"/>
      <c r="Q2445" s="7">
        <f>IF($E2445="","",P2445*Y2445/100)</f>
        <v/>
      </c>
      <c r="R2445" s="7" t="n"/>
      <c r="X2445" s="7" t="n"/>
      <c r="Y2445" s="7" t="n"/>
      <c r="AB2445">
        <f>IF($E2445="","",IF($AQ2445=1,0,IF($AP2445=1,Settings!$C$6,Settings!$C$7))*100)</f>
        <v/>
      </c>
      <c r="AC2445" s="7">
        <f>IF($E2445="","",Y2445*AB2445/100)</f>
        <v/>
      </c>
      <c r="AD2445" s="7">
        <f>IF($E2445="","",Y2445-AC2445)</f>
        <v/>
      </c>
      <c r="AE2445" s="7">
        <f>IF($E2445="","",AD2445-Q2445)</f>
        <v/>
      </c>
      <c r="AI2445" s="7" t="n"/>
      <c r="AL2445" s="11" t="n"/>
      <c r="AN2445">
        <f>IF($E2445="","",IF(COUNTIF($E$2:$E2445,$E2445)=1,1,0))</f>
        <v/>
      </c>
      <c r="AO2445">
        <f>IF($AN2445=1,SUMPRODUCT(--($AR$2:$AR$4001&lt;$AR2445))+1,"")</f>
        <v/>
      </c>
      <c r="AP2445">
        <f>IF($E2445="","",IF(OR($U2445=TRUE(),$U2445="TRUE"),1,0))</f>
        <v/>
      </c>
      <c r="AQ2445">
        <f>IF($E2445="","",IF($AA2445="Yes",1,0))</f>
        <v/>
      </c>
      <c r="AR2445">
        <f>IF($AN2445=1,IFERROR(VALUE(MID($E2445,2,20)),1000000000)+ROW()/100000,"")</f>
        <v/>
      </c>
    </row>
    <row r="2446">
      <c r="G2446" s="11" t="n"/>
      <c r="Q2446" s="7">
        <f>IF($E2446="","",P2446*Y2446/100)</f>
        <v/>
      </c>
      <c r="R2446" s="7" t="n"/>
      <c r="X2446" s="7" t="n"/>
      <c r="Y2446" s="7" t="n"/>
      <c r="AB2446">
        <f>IF($E2446="","",IF($AQ2446=1,0,IF($AP2446=1,Settings!$C$6,Settings!$C$7))*100)</f>
        <v/>
      </c>
      <c r="AC2446" s="7">
        <f>IF($E2446="","",Y2446*AB2446/100)</f>
        <v/>
      </c>
      <c r="AD2446" s="7">
        <f>IF($E2446="","",Y2446-AC2446)</f>
        <v/>
      </c>
      <c r="AE2446" s="7">
        <f>IF($E2446="","",AD2446-Q2446)</f>
        <v/>
      </c>
      <c r="AI2446" s="7" t="n"/>
      <c r="AL2446" s="11" t="n"/>
      <c r="AN2446">
        <f>IF($E2446="","",IF(COUNTIF($E$2:$E2446,$E2446)=1,1,0))</f>
        <v/>
      </c>
      <c r="AO2446">
        <f>IF($AN2446=1,SUMPRODUCT(--($AR$2:$AR$4001&lt;$AR2446))+1,"")</f>
        <v/>
      </c>
      <c r="AP2446">
        <f>IF($E2446="","",IF(OR($U2446=TRUE(),$U2446="TRUE"),1,0))</f>
        <v/>
      </c>
      <c r="AQ2446">
        <f>IF($E2446="","",IF($AA2446="Yes",1,0))</f>
        <v/>
      </c>
      <c r="AR2446">
        <f>IF($AN2446=1,IFERROR(VALUE(MID($E2446,2,20)),1000000000)+ROW()/100000,"")</f>
        <v/>
      </c>
    </row>
    <row r="2447">
      <c r="G2447" s="11" t="n"/>
      <c r="Q2447" s="7">
        <f>IF($E2447="","",P2447*Y2447/100)</f>
        <v/>
      </c>
      <c r="R2447" s="7" t="n"/>
      <c r="X2447" s="7" t="n"/>
      <c r="Y2447" s="7" t="n"/>
      <c r="AB2447">
        <f>IF($E2447="","",IF($AQ2447=1,0,IF($AP2447=1,Settings!$C$6,Settings!$C$7))*100)</f>
        <v/>
      </c>
      <c r="AC2447" s="7">
        <f>IF($E2447="","",Y2447*AB2447/100)</f>
        <v/>
      </c>
      <c r="AD2447" s="7">
        <f>IF($E2447="","",Y2447-AC2447)</f>
        <v/>
      </c>
      <c r="AE2447" s="7">
        <f>IF($E2447="","",AD2447-Q2447)</f>
        <v/>
      </c>
      <c r="AI2447" s="7" t="n"/>
      <c r="AL2447" s="11" t="n"/>
      <c r="AN2447">
        <f>IF($E2447="","",IF(COUNTIF($E$2:$E2447,$E2447)=1,1,0))</f>
        <v/>
      </c>
      <c r="AO2447">
        <f>IF($AN2447=1,SUMPRODUCT(--($AR$2:$AR$4001&lt;$AR2447))+1,"")</f>
        <v/>
      </c>
      <c r="AP2447">
        <f>IF($E2447="","",IF(OR($U2447=TRUE(),$U2447="TRUE"),1,0))</f>
        <v/>
      </c>
      <c r="AQ2447">
        <f>IF($E2447="","",IF($AA2447="Yes",1,0))</f>
        <v/>
      </c>
      <c r="AR2447">
        <f>IF($AN2447=1,IFERROR(VALUE(MID($E2447,2,20)),1000000000)+ROW()/100000,"")</f>
        <v/>
      </c>
    </row>
    <row r="2448">
      <c r="G2448" s="11" t="n"/>
      <c r="Q2448" s="7">
        <f>IF($E2448="","",P2448*Y2448/100)</f>
        <v/>
      </c>
      <c r="R2448" s="7" t="n"/>
      <c r="X2448" s="7" t="n"/>
      <c r="Y2448" s="7" t="n"/>
      <c r="AB2448">
        <f>IF($E2448="","",IF($AQ2448=1,0,IF($AP2448=1,Settings!$C$6,Settings!$C$7))*100)</f>
        <v/>
      </c>
      <c r="AC2448" s="7">
        <f>IF($E2448="","",Y2448*AB2448/100)</f>
        <v/>
      </c>
      <c r="AD2448" s="7">
        <f>IF($E2448="","",Y2448-AC2448)</f>
        <v/>
      </c>
      <c r="AE2448" s="7">
        <f>IF($E2448="","",AD2448-Q2448)</f>
        <v/>
      </c>
      <c r="AI2448" s="7" t="n"/>
      <c r="AL2448" s="11" t="n"/>
      <c r="AN2448">
        <f>IF($E2448="","",IF(COUNTIF($E$2:$E2448,$E2448)=1,1,0))</f>
        <v/>
      </c>
      <c r="AO2448">
        <f>IF($AN2448=1,SUMPRODUCT(--($AR$2:$AR$4001&lt;$AR2448))+1,"")</f>
        <v/>
      </c>
      <c r="AP2448">
        <f>IF($E2448="","",IF(OR($U2448=TRUE(),$U2448="TRUE"),1,0))</f>
        <v/>
      </c>
      <c r="AQ2448">
        <f>IF($E2448="","",IF($AA2448="Yes",1,0))</f>
        <v/>
      </c>
      <c r="AR2448">
        <f>IF($AN2448=1,IFERROR(VALUE(MID($E2448,2,20)),1000000000)+ROW()/100000,"")</f>
        <v/>
      </c>
    </row>
    <row r="2449">
      <c r="G2449" s="11" t="n"/>
      <c r="Q2449" s="7">
        <f>IF($E2449="","",P2449*Y2449/100)</f>
        <v/>
      </c>
      <c r="R2449" s="7" t="n"/>
      <c r="X2449" s="7" t="n"/>
      <c r="Y2449" s="7" t="n"/>
      <c r="AB2449">
        <f>IF($E2449="","",IF($AQ2449=1,0,IF($AP2449=1,Settings!$C$6,Settings!$C$7))*100)</f>
        <v/>
      </c>
      <c r="AC2449" s="7">
        <f>IF($E2449="","",Y2449*AB2449/100)</f>
        <v/>
      </c>
      <c r="AD2449" s="7">
        <f>IF($E2449="","",Y2449-AC2449)</f>
        <v/>
      </c>
      <c r="AE2449" s="7">
        <f>IF($E2449="","",AD2449-Q2449)</f>
        <v/>
      </c>
      <c r="AI2449" s="7" t="n"/>
      <c r="AL2449" s="11" t="n"/>
      <c r="AN2449">
        <f>IF($E2449="","",IF(COUNTIF($E$2:$E2449,$E2449)=1,1,0))</f>
        <v/>
      </c>
      <c r="AO2449">
        <f>IF($AN2449=1,SUMPRODUCT(--($AR$2:$AR$4001&lt;$AR2449))+1,"")</f>
        <v/>
      </c>
      <c r="AP2449">
        <f>IF($E2449="","",IF(OR($U2449=TRUE(),$U2449="TRUE"),1,0))</f>
        <v/>
      </c>
      <c r="AQ2449">
        <f>IF($E2449="","",IF($AA2449="Yes",1,0))</f>
        <v/>
      </c>
      <c r="AR2449">
        <f>IF($AN2449=1,IFERROR(VALUE(MID($E2449,2,20)),1000000000)+ROW()/100000,"")</f>
        <v/>
      </c>
    </row>
    <row r="2450">
      <c r="G2450" s="11" t="n"/>
      <c r="Q2450" s="7">
        <f>IF($E2450="","",P2450*Y2450/100)</f>
        <v/>
      </c>
      <c r="R2450" s="7" t="n"/>
      <c r="X2450" s="7" t="n"/>
      <c r="Y2450" s="7" t="n"/>
      <c r="AB2450">
        <f>IF($E2450="","",IF($AQ2450=1,0,IF($AP2450=1,Settings!$C$6,Settings!$C$7))*100)</f>
        <v/>
      </c>
      <c r="AC2450" s="7">
        <f>IF($E2450="","",Y2450*AB2450/100)</f>
        <v/>
      </c>
      <c r="AD2450" s="7">
        <f>IF($E2450="","",Y2450-AC2450)</f>
        <v/>
      </c>
      <c r="AE2450" s="7">
        <f>IF($E2450="","",AD2450-Q2450)</f>
        <v/>
      </c>
      <c r="AI2450" s="7" t="n"/>
      <c r="AL2450" s="11" t="n"/>
      <c r="AN2450">
        <f>IF($E2450="","",IF(COUNTIF($E$2:$E2450,$E2450)=1,1,0))</f>
        <v/>
      </c>
      <c r="AO2450">
        <f>IF($AN2450=1,SUMPRODUCT(--($AR$2:$AR$4001&lt;$AR2450))+1,"")</f>
        <v/>
      </c>
      <c r="AP2450">
        <f>IF($E2450="","",IF(OR($U2450=TRUE(),$U2450="TRUE"),1,0))</f>
        <v/>
      </c>
      <c r="AQ2450">
        <f>IF($E2450="","",IF($AA2450="Yes",1,0))</f>
        <v/>
      </c>
      <c r="AR2450">
        <f>IF($AN2450=1,IFERROR(VALUE(MID($E2450,2,20)),1000000000)+ROW()/100000,"")</f>
        <v/>
      </c>
    </row>
    <row r="2451">
      <c r="G2451" s="11" t="n"/>
      <c r="Q2451" s="7">
        <f>IF($E2451="","",P2451*Y2451/100)</f>
        <v/>
      </c>
      <c r="R2451" s="7" t="n"/>
      <c r="X2451" s="7" t="n"/>
      <c r="Y2451" s="7" t="n"/>
      <c r="AB2451">
        <f>IF($E2451="","",IF($AQ2451=1,0,IF($AP2451=1,Settings!$C$6,Settings!$C$7))*100)</f>
        <v/>
      </c>
      <c r="AC2451" s="7">
        <f>IF($E2451="","",Y2451*AB2451/100)</f>
        <v/>
      </c>
      <c r="AD2451" s="7">
        <f>IF($E2451="","",Y2451-AC2451)</f>
        <v/>
      </c>
      <c r="AE2451" s="7">
        <f>IF($E2451="","",AD2451-Q2451)</f>
        <v/>
      </c>
      <c r="AI2451" s="7" t="n"/>
      <c r="AL2451" s="11" t="n"/>
      <c r="AN2451">
        <f>IF($E2451="","",IF(COUNTIF($E$2:$E2451,$E2451)=1,1,0))</f>
        <v/>
      </c>
      <c r="AO2451">
        <f>IF($AN2451=1,SUMPRODUCT(--($AR$2:$AR$4001&lt;$AR2451))+1,"")</f>
        <v/>
      </c>
      <c r="AP2451">
        <f>IF($E2451="","",IF(OR($U2451=TRUE(),$U2451="TRUE"),1,0))</f>
        <v/>
      </c>
      <c r="AQ2451">
        <f>IF($E2451="","",IF($AA2451="Yes",1,0))</f>
        <v/>
      </c>
      <c r="AR2451">
        <f>IF($AN2451=1,IFERROR(VALUE(MID($E2451,2,20)),1000000000)+ROW()/100000,"")</f>
        <v/>
      </c>
    </row>
    <row r="2452">
      <c r="G2452" s="11" t="n"/>
      <c r="Q2452" s="7">
        <f>IF($E2452="","",P2452*Y2452/100)</f>
        <v/>
      </c>
      <c r="R2452" s="7" t="n"/>
      <c r="X2452" s="7" t="n"/>
      <c r="Y2452" s="7" t="n"/>
      <c r="AB2452">
        <f>IF($E2452="","",IF($AQ2452=1,0,IF($AP2452=1,Settings!$C$6,Settings!$C$7))*100)</f>
        <v/>
      </c>
      <c r="AC2452" s="7">
        <f>IF($E2452="","",Y2452*AB2452/100)</f>
        <v/>
      </c>
      <c r="AD2452" s="7">
        <f>IF($E2452="","",Y2452-AC2452)</f>
        <v/>
      </c>
      <c r="AE2452" s="7">
        <f>IF($E2452="","",AD2452-Q2452)</f>
        <v/>
      </c>
      <c r="AI2452" s="7" t="n"/>
      <c r="AL2452" s="11" t="n"/>
      <c r="AN2452">
        <f>IF($E2452="","",IF(COUNTIF($E$2:$E2452,$E2452)=1,1,0))</f>
        <v/>
      </c>
      <c r="AO2452">
        <f>IF($AN2452=1,SUMPRODUCT(--($AR$2:$AR$4001&lt;$AR2452))+1,"")</f>
        <v/>
      </c>
      <c r="AP2452">
        <f>IF($E2452="","",IF(OR($U2452=TRUE(),$U2452="TRUE"),1,0))</f>
        <v/>
      </c>
      <c r="AQ2452">
        <f>IF($E2452="","",IF($AA2452="Yes",1,0))</f>
        <v/>
      </c>
      <c r="AR2452">
        <f>IF($AN2452=1,IFERROR(VALUE(MID($E2452,2,20)),1000000000)+ROW()/100000,"")</f>
        <v/>
      </c>
    </row>
    <row r="2453">
      <c r="G2453" s="11" t="n"/>
      <c r="Q2453" s="7">
        <f>IF($E2453="","",P2453*Y2453/100)</f>
        <v/>
      </c>
      <c r="R2453" s="7" t="n"/>
      <c r="X2453" s="7" t="n"/>
      <c r="Y2453" s="7" t="n"/>
      <c r="AB2453">
        <f>IF($E2453="","",IF($AQ2453=1,0,IF($AP2453=1,Settings!$C$6,Settings!$C$7))*100)</f>
        <v/>
      </c>
      <c r="AC2453" s="7">
        <f>IF($E2453="","",Y2453*AB2453/100)</f>
        <v/>
      </c>
      <c r="AD2453" s="7">
        <f>IF($E2453="","",Y2453-AC2453)</f>
        <v/>
      </c>
      <c r="AE2453" s="7">
        <f>IF($E2453="","",AD2453-Q2453)</f>
        <v/>
      </c>
      <c r="AI2453" s="7" t="n"/>
      <c r="AL2453" s="11" t="n"/>
      <c r="AN2453">
        <f>IF($E2453="","",IF(COUNTIF($E$2:$E2453,$E2453)=1,1,0))</f>
        <v/>
      </c>
      <c r="AO2453">
        <f>IF($AN2453=1,SUMPRODUCT(--($AR$2:$AR$4001&lt;$AR2453))+1,"")</f>
        <v/>
      </c>
      <c r="AP2453">
        <f>IF($E2453="","",IF(OR($U2453=TRUE(),$U2453="TRUE"),1,0))</f>
        <v/>
      </c>
      <c r="AQ2453">
        <f>IF($E2453="","",IF($AA2453="Yes",1,0))</f>
        <v/>
      </c>
      <c r="AR2453">
        <f>IF($AN2453=1,IFERROR(VALUE(MID($E2453,2,20)),1000000000)+ROW()/100000,"")</f>
        <v/>
      </c>
    </row>
    <row r="2454">
      <c r="G2454" s="11" t="n"/>
      <c r="Q2454" s="7">
        <f>IF($E2454="","",P2454*Y2454/100)</f>
        <v/>
      </c>
      <c r="R2454" s="7" t="n"/>
      <c r="X2454" s="7" t="n"/>
      <c r="Y2454" s="7" t="n"/>
      <c r="AB2454">
        <f>IF($E2454="","",IF($AQ2454=1,0,IF($AP2454=1,Settings!$C$6,Settings!$C$7))*100)</f>
        <v/>
      </c>
      <c r="AC2454" s="7">
        <f>IF($E2454="","",Y2454*AB2454/100)</f>
        <v/>
      </c>
      <c r="AD2454" s="7">
        <f>IF($E2454="","",Y2454-AC2454)</f>
        <v/>
      </c>
      <c r="AE2454" s="7">
        <f>IF($E2454="","",AD2454-Q2454)</f>
        <v/>
      </c>
      <c r="AI2454" s="7" t="n"/>
      <c r="AL2454" s="11" t="n"/>
      <c r="AN2454">
        <f>IF($E2454="","",IF(COUNTIF($E$2:$E2454,$E2454)=1,1,0))</f>
        <v/>
      </c>
      <c r="AO2454">
        <f>IF($AN2454=1,SUMPRODUCT(--($AR$2:$AR$4001&lt;$AR2454))+1,"")</f>
        <v/>
      </c>
      <c r="AP2454">
        <f>IF($E2454="","",IF(OR($U2454=TRUE(),$U2454="TRUE"),1,0))</f>
        <v/>
      </c>
      <c r="AQ2454">
        <f>IF($E2454="","",IF($AA2454="Yes",1,0))</f>
        <v/>
      </c>
      <c r="AR2454">
        <f>IF($AN2454=1,IFERROR(VALUE(MID($E2454,2,20)),1000000000)+ROW()/100000,"")</f>
        <v/>
      </c>
    </row>
    <row r="2455">
      <c r="G2455" s="11" t="n"/>
      <c r="Q2455" s="7">
        <f>IF($E2455="","",P2455*Y2455/100)</f>
        <v/>
      </c>
      <c r="R2455" s="7" t="n"/>
      <c r="X2455" s="7" t="n"/>
      <c r="Y2455" s="7" t="n"/>
      <c r="AB2455">
        <f>IF($E2455="","",IF($AQ2455=1,0,IF($AP2455=1,Settings!$C$6,Settings!$C$7))*100)</f>
        <v/>
      </c>
      <c r="AC2455" s="7">
        <f>IF($E2455="","",Y2455*AB2455/100)</f>
        <v/>
      </c>
      <c r="AD2455" s="7">
        <f>IF($E2455="","",Y2455-AC2455)</f>
        <v/>
      </c>
      <c r="AE2455" s="7">
        <f>IF($E2455="","",AD2455-Q2455)</f>
        <v/>
      </c>
      <c r="AI2455" s="7" t="n"/>
      <c r="AL2455" s="11" t="n"/>
      <c r="AN2455">
        <f>IF($E2455="","",IF(COUNTIF($E$2:$E2455,$E2455)=1,1,0))</f>
        <v/>
      </c>
      <c r="AO2455">
        <f>IF($AN2455=1,SUMPRODUCT(--($AR$2:$AR$4001&lt;$AR2455))+1,"")</f>
        <v/>
      </c>
      <c r="AP2455">
        <f>IF($E2455="","",IF(OR($U2455=TRUE(),$U2455="TRUE"),1,0))</f>
        <v/>
      </c>
      <c r="AQ2455">
        <f>IF($E2455="","",IF($AA2455="Yes",1,0))</f>
        <v/>
      </c>
      <c r="AR2455">
        <f>IF($AN2455=1,IFERROR(VALUE(MID($E2455,2,20)),1000000000)+ROW()/100000,"")</f>
        <v/>
      </c>
    </row>
    <row r="2456">
      <c r="G2456" s="11" t="n"/>
      <c r="Q2456" s="7">
        <f>IF($E2456="","",P2456*Y2456/100)</f>
        <v/>
      </c>
      <c r="R2456" s="7" t="n"/>
      <c r="X2456" s="7" t="n"/>
      <c r="Y2456" s="7" t="n"/>
      <c r="AB2456">
        <f>IF($E2456="","",IF($AQ2456=1,0,IF($AP2456=1,Settings!$C$6,Settings!$C$7))*100)</f>
        <v/>
      </c>
      <c r="AC2456" s="7">
        <f>IF($E2456="","",Y2456*AB2456/100)</f>
        <v/>
      </c>
      <c r="AD2456" s="7">
        <f>IF($E2456="","",Y2456-AC2456)</f>
        <v/>
      </c>
      <c r="AE2456" s="7">
        <f>IF($E2456="","",AD2456-Q2456)</f>
        <v/>
      </c>
      <c r="AI2456" s="7" t="n"/>
      <c r="AL2456" s="11" t="n"/>
      <c r="AN2456">
        <f>IF($E2456="","",IF(COUNTIF($E$2:$E2456,$E2456)=1,1,0))</f>
        <v/>
      </c>
      <c r="AO2456">
        <f>IF($AN2456=1,SUMPRODUCT(--($AR$2:$AR$4001&lt;$AR2456))+1,"")</f>
        <v/>
      </c>
      <c r="AP2456">
        <f>IF($E2456="","",IF(OR($U2456=TRUE(),$U2456="TRUE"),1,0))</f>
        <v/>
      </c>
      <c r="AQ2456">
        <f>IF($E2456="","",IF($AA2456="Yes",1,0))</f>
        <v/>
      </c>
      <c r="AR2456">
        <f>IF($AN2456=1,IFERROR(VALUE(MID($E2456,2,20)),1000000000)+ROW()/100000,"")</f>
        <v/>
      </c>
    </row>
    <row r="2457">
      <c r="G2457" s="11" t="n"/>
      <c r="Q2457" s="7">
        <f>IF($E2457="","",P2457*Y2457/100)</f>
        <v/>
      </c>
      <c r="R2457" s="7" t="n"/>
      <c r="X2457" s="7" t="n"/>
      <c r="Y2457" s="7" t="n"/>
      <c r="AB2457">
        <f>IF($E2457="","",IF($AQ2457=1,0,IF($AP2457=1,Settings!$C$6,Settings!$C$7))*100)</f>
        <v/>
      </c>
      <c r="AC2457" s="7">
        <f>IF($E2457="","",Y2457*AB2457/100)</f>
        <v/>
      </c>
      <c r="AD2457" s="7">
        <f>IF($E2457="","",Y2457-AC2457)</f>
        <v/>
      </c>
      <c r="AE2457" s="7">
        <f>IF($E2457="","",AD2457-Q2457)</f>
        <v/>
      </c>
      <c r="AI2457" s="7" t="n"/>
      <c r="AL2457" s="11" t="n"/>
      <c r="AN2457">
        <f>IF($E2457="","",IF(COUNTIF($E$2:$E2457,$E2457)=1,1,0))</f>
        <v/>
      </c>
      <c r="AO2457">
        <f>IF($AN2457=1,SUMPRODUCT(--($AR$2:$AR$4001&lt;$AR2457))+1,"")</f>
        <v/>
      </c>
      <c r="AP2457">
        <f>IF($E2457="","",IF(OR($U2457=TRUE(),$U2457="TRUE"),1,0))</f>
        <v/>
      </c>
      <c r="AQ2457">
        <f>IF($E2457="","",IF($AA2457="Yes",1,0))</f>
        <v/>
      </c>
      <c r="AR2457">
        <f>IF($AN2457=1,IFERROR(VALUE(MID($E2457,2,20)),1000000000)+ROW()/100000,"")</f>
        <v/>
      </c>
    </row>
    <row r="2458">
      <c r="G2458" s="11" t="n"/>
      <c r="Q2458" s="7">
        <f>IF($E2458="","",P2458*Y2458/100)</f>
        <v/>
      </c>
      <c r="R2458" s="7" t="n"/>
      <c r="X2458" s="7" t="n"/>
      <c r="Y2458" s="7" t="n"/>
      <c r="AB2458">
        <f>IF($E2458="","",IF($AQ2458=1,0,IF($AP2458=1,Settings!$C$6,Settings!$C$7))*100)</f>
        <v/>
      </c>
      <c r="AC2458" s="7">
        <f>IF($E2458="","",Y2458*AB2458/100)</f>
        <v/>
      </c>
      <c r="AD2458" s="7">
        <f>IF($E2458="","",Y2458-AC2458)</f>
        <v/>
      </c>
      <c r="AE2458" s="7">
        <f>IF($E2458="","",AD2458-Q2458)</f>
        <v/>
      </c>
      <c r="AI2458" s="7" t="n"/>
      <c r="AL2458" s="11" t="n"/>
      <c r="AN2458">
        <f>IF($E2458="","",IF(COUNTIF($E$2:$E2458,$E2458)=1,1,0))</f>
        <v/>
      </c>
      <c r="AO2458">
        <f>IF($AN2458=1,SUMPRODUCT(--($AR$2:$AR$4001&lt;$AR2458))+1,"")</f>
        <v/>
      </c>
      <c r="AP2458">
        <f>IF($E2458="","",IF(OR($U2458=TRUE(),$U2458="TRUE"),1,0))</f>
        <v/>
      </c>
      <c r="AQ2458">
        <f>IF($E2458="","",IF($AA2458="Yes",1,0))</f>
        <v/>
      </c>
      <c r="AR2458">
        <f>IF($AN2458=1,IFERROR(VALUE(MID($E2458,2,20)),1000000000)+ROW()/100000,"")</f>
        <v/>
      </c>
    </row>
    <row r="2459">
      <c r="G2459" s="11" t="n"/>
      <c r="Q2459" s="7">
        <f>IF($E2459="","",P2459*Y2459/100)</f>
        <v/>
      </c>
      <c r="R2459" s="7" t="n"/>
      <c r="X2459" s="7" t="n"/>
      <c r="Y2459" s="7" t="n"/>
      <c r="AB2459">
        <f>IF($E2459="","",IF($AQ2459=1,0,IF($AP2459=1,Settings!$C$6,Settings!$C$7))*100)</f>
        <v/>
      </c>
      <c r="AC2459" s="7">
        <f>IF($E2459="","",Y2459*AB2459/100)</f>
        <v/>
      </c>
      <c r="AD2459" s="7">
        <f>IF($E2459="","",Y2459-AC2459)</f>
        <v/>
      </c>
      <c r="AE2459" s="7">
        <f>IF($E2459="","",AD2459-Q2459)</f>
        <v/>
      </c>
      <c r="AI2459" s="7" t="n"/>
      <c r="AL2459" s="11" t="n"/>
      <c r="AN2459">
        <f>IF($E2459="","",IF(COUNTIF($E$2:$E2459,$E2459)=1,1,0))</f>
        <v/>
      </c>
      <c r="AO2459">
        <f>IF($AN2459=1,SUMPRODUCT(--($AR$2:$AR$4001&lt;$AR2459))+1,"")</f>
        <v/>
      </c>
      <c r="AP2459">
        <f>IF($E2459="","",IF(OR($U2459=TRUE(),$U2459="TRUE"),1,0))</f>
        <v/>
      </c>
      <c r="AQ2459">
        <f>IF($E2459="","",IF($AA2459="Yes",1,0))</f>
        <v/>
      </c>
      <c r="AR2459">
        <f>IF($AN2459=1,IFERROR(VALUE(MID($E2459,2,20)),1000000000)+ROW()/100000,"")</f>
        <v/>
      </c>
    </row>
    <row r="2460">
      <c r="G2460" s="11" t="n"/>
      <c r="Q2460" s="7">
        <f>IF($E2460="","",P2460*Y2460/100)</f>
        <v/>
      </c>
      <c r="R2460" s="7" t="n"/>
      <c r="X2460" s="7" t="n"/>
      <c r="Y2460" s="7" t="n"/>
      <c r="AB2460">
        <f>IF($E2460="","",IF($AQ2460=1,0,IF($AP2460=1,Settings!$C$6,Settings!$C$7))*100)</f>
        <v/>
      </c>
      <c r="AC2460" s="7">
        <f>IF($E2460="","",Y2460*AB2460/100)</f>
        <v/>
      </c>
      <c r="AD2460" s="7">
        <f>IF($E2460="","",Y2460-AC2460)</f>
        <v/>
      </c>
      <c r="AE2460" s="7">
        <f>IF($E2460="","",AD2460-Q2460)</f>
        <v/>
      </c>
      <c r="AI2460" s="7" t="n"/>
      <c r="AL2460" s="11" t="n"/>
      <c r="AN2460">
        <f>IF($E2460="","",IF(COUNTIF($E$2:$E2460,$E2460)=1,1,0))</f>
        <v/>
      </c>
      <c r="AO2460">
        <f>IF($AN2460=1,SUMPRODUCT(--($AR$2:$AR$4001&lt;$AR2460))+1,"")</f>
        <v/>
      </c>
      <c r="AP2460">
        <f>IF($E2460="","",IF(OR($U2460=TRUE(),$U2460="TRUE"),1,0))</f>
        <v/>
      </c>
      <c r="AQ2460">
        <f>IF($E2460="","",IF($AA2460="Yes",1,0))</f>
        <v/>
      </c>
      <c r="AR2460">
        <f>IF($AN2460=1,IFERROR(VALUE(MID($E2460,2,20)),1000000000)+ROW()/100000,"")</f>
        <v/>
      </c>
    </row>
    <row r="2461">
      <c r="G2461" s="11" t="n"/>
      <c r="Q2461" s="7">
        <f>IF($E2461="","",P2461*Y2461/100)</f>
        <v/>
      </c>
      <c r="R2461" s="7" t="n"/>
      <c r="X2461" s="7" t="n"/>
      <c r="Y2461" s="7" t="n"/>
      <c r="AB2461">
        <f>IF($E2461="","",IF($AQ2461=1,0,IF($AP2461=1,Settings!$C$6,Settings!$C$7))*100)</f>
        <v/>
      </c>
      <c r="AC2461" s="7">
        <f>IF($E2461="","",Y2461*AB2461/100)</f>
        <v/>
      </c>
      <c r="AD2461" s="7">
        <f>IF($E2461="","",Y2461-AC2461)</f>
        <v/>
      </c>
      <c r="AE2461" s="7">
        <f>IF($E2461="","",AD2461-Q2461)</f>
        <v/>
      </c>
      <c r="AI2461" s="7" t="n"/>
      <c r="AL2461" s="11" t="n"/>
      <c r="AN2461">
        <f>IF($E2461="","",IF(COUNTIF($E$2:$E2461,$E2461)=1,1,0))</f>
        <v/>
      </c>
      <c r="AO2461">
        <f>IF($AN2461=1,SUMPRODUCT(--($AR$2:$AR$4001&lt;$AR2461))+1,"")</f>
        <v/>
      </c>
      <c r="AP2461">
        <f>IF($E2461="","",IF(OR($U2461=TRUE(),$U2461="TRUE"),1,0))</f>
        <v/>
      </c>
      <c r="AQ2461">
        <f>IF($E2461="","",IF($AA2461="Yes",1,0))</f>
        <v/>
      </c>
      <c r="AR2461">
        <f>IF($AN2461=1,IFERROR(VALUE(MID($E2461,2,20)),1000000000)+ROW()/100000,"")</f>
        <v/>
      </c>
    </row>
    <row r="2462">
      <c r="G2462" s="11" t="n"/>
      <c r="Q2462" s="7">
        <f>IF($E2462="","",P2462*Y2462/100)</f>
        <v/>
      </c>
      <c r="R2462" s="7" t="n"/>
      <c r="X2462" s="7" t="n"/>
      <c r="Y2462" s="7" t="n"/>
      <c r="AB2462">
        <f>IF($E2462="","",IF($AQ2462=1,0,IF($AP2462=1,Settings!$C$6,Settings!$C$7))*100)</f>
        <v/>
      </c>
      <c r="AC2462" s="7">
        <f>IF($E2462="","",Y2462*AB2462/100)</f>
        <v/>
      </c>
      <c r="AD2462" s="7">
        <f>IF($E2462="","",Y2462-AC2462)</f>
        <v/>
      </c>
      <c r="AE2462" s="7">
        <f>IF($E2462="","",AD2462-Q2462)</f>
        <v/>
      </c>
      <c r="AI2462" s="7" t="n"/>
      <c r="AL2462" s="11" t="n"/>
      <c r="AN2462">
        <f>IF($E2462="","",IF(COUNTIF($E$2:$E2462,$E2462)=1,1,0))</f>
        <v/>
      </c>
      <c r="AO2462">
        <f>IF($AN2462=1,SUMPRODUCT(--($AR$2:$AR$4001&lt;$AR2462))+1,"")</f>
        <v/>
      </c>
      <c r="AP2462">
        <f>IF($E2462="","",IF(OR($U2462=TRUE(),$U2462="TRUE"),1,0))</f>
        <v/>
      </c>
      <c r="AQ2462">
        <f>IF($E2462="","",IF($AA2462="Yes",1,0))</f>
        <v/>
      </c>
      <c r="AR2462">
        <f>IF($AN2462=1,IFERROR(VALUE(MID($E2462,2,20)),1000000000)+ROW()/100000,"")</f>
        <v/>
      </c>
    </row>
    <row r="2463">
      <c r="G2463" s="11" t="n"/>
      <c r="Q2463" s="7">
        <f>IF($E2463="","",P2463*Y2463/100)</f>
        <v/>
      </c>
      <c r="R2463" s="7" t="n"/>
      <c r="X2463" s="7" t="n"/>
      <c r="Y2463" s="7" t="n"/>
      <c r="AB2463">
        <f>IF($E2463="","",IF($AQ2463=1,0,IF($AP2463=1,Settings!$C$6,Settings!$C$7))*100)</f>
        <v/>
      </c>
      <c r="AC2463" s="7">
        <f>IF($E2463="","",Y2463*AB2463/100)</f>
        <v/>
      </c>
      <c r="AD2463" s="7">
        <f>IF($E2463="","",Y2463-AC2463)</f>
        <v/>
      </c>
      <c r="AE2463" s="7">
        <f>IF($E2463="","",AD2463-Q2463)</f>
        <v/>
      </c>
      <c r="AI2463" s="7" t="n"/>
      <c r="AL2463" s="11" t="n"/>
      <c r="AN2463">
        <f>IF($E2463="","",IF(COUNTIF($E$2:$E2463,$E2463)=1,1,0))</f>
        <v/>
      </c>
      <c r="AO2463">
        <f>IF($AN2463=1,SUMPRODUCT(--($AR$2:$AR$4001&lt;$AR2463))+1,"")</f>
        <v/>
      </c>
      <c r="AP2463">
        <f>IF($E2463="","",IF(OR($U2463=TRUE(),$U2463="TRUE"),1,0))</f>
        <v/>
      </c>
      <c r="AQ2463">
        <f>IF($E2463="","",IF($AA2463="Yes",1,0))</f>
        <v/>
      </c>
      <c r="AR2463">
        <f>IF($AN2463=1,IFERROR(VALUE(MID($E2463,2,20)),1000000000)+ROW()/100000,"")</f>
        <v/>
      </c>
    </row>
    <row r="2464">
      <c r="G2464" s="11" t="n"/>
      <c r="Q2464" s="7">
        <f>IF($E2464="","",P2464*Y2464/100)</f>
        <v/>
      </c>
      <c r="R2464" s="7" t="n"/>
      <c r="X2464" s="7" t="n"/>
      <c r="Y2464" s="7" t="n"/>
      <c r="AB2464">
        <f>IF($E2464="","",IF($AQ2464=1,0,IF($AP2464=1,Settings!$C$6,Settings!$C$7))*100)</f>
        <v/>
      </c>
      <c r="AC2464" s="7">
        <f>IF($E2464="","",Y2464*AB2464/100)</f>
        <v/>
      </c>
      <c r="AD2464" s="7">
        <f>IF($E2464="","",Y2464-AC2464)</f>
        <v/>
      </c>
      <c r="AE2464" s="7">
        <f>IF($E2464="","",AD2464-Q2464)</f>
        <v/>
      </c>
      <c r="AI2464" s="7" t="n"/>
      <c r="AL2464" s="11" t="n"/>
      <c r="AN2464">
        <f>IF($E2464="","",IF(COUNTIF($E$2:$E2464,$E2464)=1,1,0))</f>
        <v/>
      </c>
      <c r="AO2464">
        <f>IF($AN2464=1,SUMPRODUCT(--($AR$2:$AR$4001&lt;$AR2464))+1,"")</f>
        <v/>
      </c>
      <c r="AP2464">
        <f>IF($E2464="","",IF(OR($U2464=TRUE(),$U2464="TRUE"),1,0))</f>
        <v/>
      </c>
      <c r="AQ2464">
        <f>IF($E2464="","",IF($AA2464="Yes",1,0))</f>
        <v/>
      </c>
      <c r="AR2464">
        <f>IF($AN2464=1,IFERROR(VALUE(MID($E2464,2,20)),1000000000)+ROW()/100000,"")</f>
        <v/>
      </c>
    </row>
    <row r="2465">
      <c r="G2465" s="11" t="n"/>
      <c r="Q2465" s="7">
        <f>IF($E2465="","",P2465*Y2465/100)</f>
        <v/>
      </c>
      <c r="R2465" s="7" t="n"/>
      <c r="X2465" s="7" t="n"/>
      <c r="Y2465" s="7" t="n"/>
      <c r="AB2465">
        <f>IF($E2465="","",IF($AQ2465=1,0,IF($AP2465=1,Settings!$C$6,Settings!$C$7))*100)</f>
        <v/>
      </c>
      <c r="AC2465" s="7">
        <f>IF($E2465="","",Y2465*AB2465/100)</f>
        <v/>
      </c>
      <c r="AD2465" s="7">
        <f>IF($E2465="","",Y2465-AC2465)</f>
        <v/>
      </c>
      <c r="AE2465" s="7">
        <f>IF($E2465="","",AD2465-Q2465)</f>
        <v/>
      </c>
      <c r="AI2465" s="7" t="n"/>
      <c r="AL2465" s="11" t="n"/>
      <c r="AN2465">
        <f>IF($E2465="","",IF(COUNTIF($E$2:$E2465,$E2465)=1,1,0))</f>
        <v/>
      </c>
      <c r="AO2465">
        <f>IF($AN2465=1,SUMPRODUCT(--($AR$2:$AR$4001&lt;$AR2465))+1,"")</f>
        <v/>
      </c>
      <c r="AP2465">
        <f>IF($E2465="","",IF(OR($U2465=TRUE(),$U2465="TRUE"),1,0))</f>
        <v/>
      </c>
      <c r="AQ2465">
        <f>IF($E2465="","",IF($AA2465="Yes",1,0))</f>
        <v/>
      </c>
      <c r="AR2465">
        <f>IF($AN2465=1,IFERROR(VALUE(MID($E2465,2,20)),1000000000)+ROW()/100000,"")</f>
        <v/>
      </c>
    </row>
    <row r="2466">
      <c r="G2466" s="11" t="n"/>
      <c r="Q2466" s="7">
        <f>IF($E2466="","",P2466*Y2466/100)</f>
        <v/>
      </c>
      <c r="R2466" s="7" t="n"/>
      <c r="X2466" s="7" t="n"/>
      <c r="Y2466" s="7" t="n"/>
      <c r="AB2466">
        <f>IF($E2466="","",IF($AQ2466=1,0,IF($AP2466=1,Settings!$C$6,Settings!$C$7))*100)</f>
        <v/>
      </c>
      <c r="AC2466" s="7">
        <f>IF($E2466="","",Y2466*AB2466/100)</f>
        <v/>
      </c>
      <c r="AD2466" s="7">
        <f>IF($E2466="","",Y2466-AC2466)</f>
        <v/>
      </c>
      <c r="AE2466" s="7">
        <f>IF($E2466="","",AD2466-Q2466)</f>
        <v/>
      </c>
      <c r="AI2466" s="7" t="n"/>
      <c r="AL2466" s="11" t="n"/>
      <c r="AN2466">
        <f>IF($E2466="","",IF(COUNTIF($E$2:$E2466,$E2466)=1,1,0))</f>
        <v/>
      </c>
      <c r="AO2466">
        <f>IF($AN2466=1,SUMPRODUCT(--($AR$2:$AR$4001&lt;$AR2466))+1,"")</f>
        <v/>
      </c>
      <c r="AP2466">
        <f>IF($E2466="","",IF(OR($U2466=TRUE(),$U2466="TRUE"),1,0))</f>
        <v/>
      </c>
      <c r="AQ2466">
        <f>IF($E2466="","",IF($AA2466="Yes",1,0))</f>
        <v/>
      </c>
      <c r="AR2466">
        <f>IF($AN2466=1,IFERROR(VALUE(MID($E2466,2,20)),1000000000)+ROW()/100000,"")</f>
        <v/>
      </c>
    </row>
    <row r="2467">
      <c r="G2467" s="11" t="n"/>
      <c r="Q2467" s="7">
        <f>IF($E2467="","",P2467*Y2467/100)</f>
        <v/>
      </c>
      <c r="R2467" s="7" t="n"/>
      <c r="X2467" s="7" t="n"/>
      <c r="Y2467" s="7" t="n"/>
      <c r="AB2467">
        <f>IF($E2467="","",IF($AQ2467=1,0,IF($AP2467=1,Settings!$C$6,Settings!$C$7))*100)</f>
        <v/>
      </c>
      <c r="AC2467" s="7">
        <f>IF($E2467="","",Y2467*AB2467/100)</f>
        <v/>
      </c>
      <c r="AD2467" s="7">
        <f>IF($E2467="","",Y2467-AC2467)</f>
        <v/>
      </c>
      <c r="AE2467" s="7">
        <f>IF($E2467="","",AD2467-Q2467)</f>
        <v/>
      </c>
      <c r="AI2467" s="7" t="n"/>
      <c r="AL2467" s="11" t="n"/>
      <c r="AN2467">
        <f>IF($E2467="","",IF(COUNTIF($E$2:$E2467,$E2467)=1,1,0))</f>
        <v/>
      </c>
      <c r="AO2467">
        <f>IF($AN2467=1,SUMPRODUCT(--($AR$2:$AR$4001&lt;$AR2467))+1,"")</f>
        <v/>
      </c>
      <c r="AP2467">
        <f>IF($E2467="","",IF(OR($U2467=TRUE(),$U2467="TRUE"),1,0))</f>
        <v/>
      </c>
      <c r="AQ2467">
        <f>IF($E2467="","",IF($AA2467="Yes",1,0))</f>
        <v/>
      </c>
      <c r="AR2467">
        <f>IF($AN2467=1,IFERROR(VALUE(MID($E2467,2,20)),1000000000)+ROW()/100000,"")</f>
        <v/>
      </c>
    </row>
    <row r="2468">
      <c r="G2468" s="11" t="n"/>
      <c r="Q2468" s="7">
        <f>IF($E2468="","",P2468*Y2468/100)</f>
        <v/>
      </c>
      <c r="R2468" s="7" t="n"/>
      <c r="X2468" s="7" t="n"/>
      <c r="Y2468" s="7" t="n"/>
      <c r="AB2468">
        <f>IF($E2468="","",IF($AQ2468=1,0,IF($AP2468=1,Settings!$C$6,Settings!$C$7))*100)</f>
        <v/>
      </c>
      <c r="AC2468" s="7">
        <f>IF($E2468="","",Y2468*AB2468/100)</f>
        <v/>
      </c>
      <c r="AD2468" s="7">
        <f>IF($E2468="","",Y2468-AC2468)</f>
        <v/>
      </c>
      <c r="AE2468" s="7">
        <f>IF($E2468="","",AD2468-Q2468)</f>
        <v/>
      </c>
      <c r="AI2468" s="7" t="n"/>
      <c r="AL2468" s="11" t="n"/>
      <c r="AN2468">
        <f>IF($E2468="","",IF(COUNTIF($E$2:$E2468,$E2468)=1,1,0))</f>
        <v/>
      </c>
      <c r="AO2468">
        <f>IF($AN2468=1,SUMPRODUCT(--($AR$2:$AR$4001&lt;$AR2468))+1,"")</f>
        <v/>
      </c>
      <c r="AP2468">
        <f>IF($E2468="","",IF(OR($U2468=TRUE(),$U2468="TRUE"),1,0))</f>
        <v/>
      </c>
      <c r="AQ2468">
        <f>IF($E2468="","",IF($AA2468="Yes",1,0))</f>
        <v/>
      </c>
      <c r="AR2468">
        <f>IF($AN2468=1,IFERROR(VALUE(MID($E2468,2,20)),1000000000)+ROW()/100000,"")</f>
        <v/>
      </c>
    </row>
    <row r="2469">
      <c r="G2469" s="11" t="n"/>
      <c r="Q2469" s="7">
        <f>IF($E2469="","",P2469*Y2469/100)</f>
        <v/>
      </c>
      <c r="R2469" s="7" t="n"/>
      <c r="X2469" s="7" t="n"/>
      <c r="Y2469" s="7" t="n"/>
      <c r="AB2469">
        <f>IF($E2469="","",IF($AQ2469=1,0,IF($AP2469=1,Settings!$C$6,Settings!$C$7))*100)</f>
        <v/>
      </c>
      <c r="AC2469" s="7">
        <f>IF($E2469="","",Y2469*AB2469/100)</f>
        <v/>
      </c>
      <c r="AD2469" s="7">
        <f>IF($E2469="","",Y2469-AC2469)</f>
        <v/>
      </c>
      <c r="AE2469" s="7">
        <f>IF($E2469="","",AD2469-Q2469)</f>
        <v/>
      </c>
      <c r="AI2469" s="7" t="n"/>
      <c r="AL2469" s="11" t="n"/>
      <c r="AN2469">
        <f>IF($E2469="","",IF(COUNTIF($E$2:$E2469,$E2469)=1,1,0))</f>
        <v/>
      </c>
      <c r="AO2469">
        <f>IF($AN2469=1,SUMPRODUCT(--($AR$2:$AR$4001&lt;$AR2469))+1,"")</f>
        <v/>
      </c>
      <c r="AP2469">
        <f>IF($E2469="","",IF(OR($U2469=TRUE(),$U2469="TRUE"),1,0))</f>
        <v/>
      </c>
      <c r="AQ2469">
        <f>IF($E2469="","",IF($AA2469="Yes",1,0))</f>
        <v/>
      </c>
      <c r="AR2469">
        <f>IF($AN2469=1,IFERROR(VALUE(MID($E2469,2,20)),1000000000)+ROW()/100000,"")</f>
        <v/>
      </c>
    </row>
    <row r="2470">
      <c r="G2470" s="11" t="n"/>
      <c r="Q2470" s="7">
        <f>IF($E2470="","",P2470*Y2470/100)</f>
        <v/>
      </c>
      <c r="R2470" s="7" t="n"/>
      <c r="X2470" s="7" t="n"/>
      <c r="Y2470" s="7" t="n"/>
      <c r="AB2470">
        <f>IF($E2470="","",IF($AQ2470=1,0,IF($AP2470=1,Settings!$C$6,Settings!$C$7))*100)</f>
        <v/>
      </c>
      <c r="AC2470" s="7">
        <f>IF($E2470="","",Y2470*AB2470/100)</f>
        <v/>
      </c>
      <c r="AD2470" s="7">
        <f>IF($E2470="","",Y2470-AC2470)</f>
        <v/>
      </c>
      <c r="AE2470" s="7">
        <f>IF($E2470="","",AD2470-Q2470)</f>
        <v/>
      </c>
      <c r="AI2470" s="7" t="n"/>
      <c r="AL2470" s="11" t="n"/>
      <c r="AN2470">
        <f>IF($E2470="","",IF(COUNTIF($E$2:$E2470,$E2470)=1,1,0))</f>
        <v/>
      </c>
      <c r="AO2470">
        <f>IF($AN2470=1,SUMPRODUCT(--($AR$2:$AR$4001&lt;$AR2470))+1,"")</f>
        <v/>
      </c>
      <c r="AP2470">
        <f>IF($E2470="","",IF(OR($U2470=TRUE(),$U2470="TRUE"),1,0))</f>
        <v/>
      </c>
      <c r="AQ2470">
        <f>IF($E2470="","",IF($AA2470="Yes",1,0))</f>
        <v/>
      </c>
      <c r="AR2470">
        <f>IF($AN2470=1,IFERROR(VALUE(MID($E2470,2,20)),1000000000)+ROW()/100000,"")</f>
        <v/>
      </c>
    </row>
    <row r="2471">
      <c r="G2471" s="11" t="n"/>
      <c r="Q2471" s="7">
        <f>IF($E2471="","",P2471*Y2471/100)</f>
        <v/>
      </c>
      <c r="R2471" s="7" t="n"/>
      <c r="X2471" s="7" t="n"/>
      <c r="Y2471" s="7" t="n"/>
      <c r="AB2471">
        <f>IF($E2471="","",IF($AQ2471=1,0,IF($AP2471=1,Settings!$C$6,Settings!$C$7))*100)</f>
        <v/>
      </c>
      <c r="AC2471" s="7">
        <f>IF($E2471="","",Y2471*AB2471/100)</f>
        <v/>
      </c>
      <c r="AD2471" s="7">
        <f>IF($E2471="","",Y2471-AC2471)</f>
        <v/>
      </c>
      <c r="AE2471" s="7">
        <f>IF($E2471="","",AD2471-Q2471)</f>
        <v/>
      </c>
      <c r="AI2471" s="7" t="n"/>
      <c r="AL2471" s="11" t="n"/>
      <c r="AN2471">
        <f>IF($E2471="","",IF(COUNTIF($E$2:$E2471,$E2471)=1,1,0))</f>
        <v/>
      </c>
      <c r="AO2471">
        <f>IF($AN2471=1,SUMPRODUCT(--($AR$2:$AR$4001&lt;$AR2471))+1,"")</f>
        <v/>
      </c>
      <c r="AP2471">
        <f>IF($E2471="","",IF(OR($U2471=TRUE(),$U2471="TRUE"),1,0))</f>
        <v/>
      </c>
      <c r="AQ2471">
        <f>IF($E2471="","",IF($AA2471="Yes",1,0))</f>
        <v/>
      </c>
      <c r="AR2471">
        <f>IF($AN2471=1,IFERROR(VALUE(MID($E2471,2,20)),1000000000)+ROW()/100000,"")</f>
        <v/>
      </c>
    </row>
    <row r="2472">
      <c r="G2472" s="11" t="n"/>
      <c r="Q2472" s="7">
        <f>IF($E2472="","",P2472*Y2472/100)</f>
        <v/>
      </c>
      <c r="R2472" s="7" t="n"/>
      <c r="X2472" s="7" t="n"/>
      <c r="Y2472" s="7" t="n"/>
      <c r="AB2472">
        <f>IF($E2472="","",IF($AQ2472=1,0,IF($AP2472=1,Settings!$C$6,Settings!$C$7))*100)</f>
        <v/>
      </c>
      <c r="AC2472" s="7">
        <f>IF($E2472="","",Y2472*AB2472/100)</f>
        <v/>
      </c>
      <c r="AD2472" s="7">
        <f>IF($E2472="","",Y2472-AC2472)</f>
        <v/>
      </c>
      <c r="AE2472" s="7">
        <f>IF($E2472="","",AD2472-Q2472)</f>
        <v/>
      </c>
      <c r="AI2472" s="7" t="n"/>
      <c r="AL2472" s="11" t="n"/>
      <c r="AN2472">
        <f>IF($E2472="","",IF(COUNTIF($E$2:$E2472,$E2472)=1,1,0))</f>
        <v/>
      </c>
      <c r="AO2472">
        <f>IF($AN2472=1,SUMPRODUCT(--($AR$2:$AR$4001&lt;$AR2472))+1,"")</f>
        <v/>
      </c>
      <c r="AP2472">
        <f>IF($E2472="","",IF(OR($U2472=TRUE(),$U2472="TRUE"),1,0))</f>
        <v/>
      </c>
      <c r="AQ2472">
        <f>IF($E2472="","",IF($AA2472="Yes",1,0))</f>
        <v/>
      </c>
      <c r="AR2472">
        <f>IF($AN2472=1,IFERROR(VALUE(MID($E2472,2,20)),1000000000)+ROW()/100000,"")</f>
        <v/>
      </c>
    </row>
    <row r="2473">
      <c r="G2473" s="11" t="n"/>
      <c r="Q2473" s="7">
        <f>IF($E2473="","",P2473*Y2473/100)</f>
        <v/>
      </c>
      <c r="R2473" s="7" t="n"/>
      <c r="X2473" s="7" t="n"/>
      <c r="Y2473" s="7" t="n"/>
      <c r="AB2473">
        <f>IF($E2473="","",IF($AQ2473=1,0,IF($AP2473=1,Settings!$C$6,Settings!$C$7))*100)</f>
        <v/>
      </c>
      <c r="AC2473" s="7">
        <f>IF($E2473="","",Y2473*AB2473/100)</f>
        <v/>
      </c>
      <c r="AD2473" s="7">
        <f>IF($E2473="","",Y2473-AC2473)</f>
        <v/>
      </c>
      <c r="AE2473" s="7">
        <f>IF($E2473="","",AD2473-Q2473)</f>
        <v/>
      </c>
      <c r="AI2473" s="7" t="n"/>
      <c r="AL2473" s="11" t="n"/>
      <c r="AN2473">
        <f>IF($E2473="","",IF(COUNTIF($E$2:$E2473,$E2473)=1,1,0))</f>
        <v/>
      </c>
      <c r="AO2473">
        <f>IF($AN2473=1,SUMPRODUCT(--($AR$2:$AR$4001&lt;$AR2473))+1,"")</f>
        <v/>
      </c>
      <c r="AP2473">
        <f>IF($E2473="","",IF(OR($U2473=TRUE(),$U2473="TRUE"),1,0))</f>
        <v/>
      </c>
      <c r="AQ2473">
        <f>IF($E2473="","",IF($AA2473="Yes",1,0))</f>
        <v/>
      </c>
      <c r="AR2473">
        <f>IF($AN2473=1,IFERROR(VALUE(MID($E2473,2,20)),1000000000)+ROW()/100000,"")</f>
        <v/>
      </c>
    </row>
    <row r="2474">
      <c r="G2474" s="11" t="n"/>
      <c r="Q2474" s="7">
        <f>IF($E2474="","",P2474*Y2474/100)</f>
        <v/>
      </c>
      <c r="R2474" s="7" t="n"/>
      <c r="X2474" s="7" t="n"/>
      <c r="Y2474" s="7" t="n"/>
      <c r="AB2474">
        <f>IF($E2474="","",IF($AQ2474=1,0,IF($AP2474=1,Settings!$C$6,Settings!$C$7))*100)</f>
        <v/>
      </c>
      <c r="AC2474" s="7">
        <f>IF($E2474="","",Y2474*AB2474/100)</f>
        <v/>
      </c>
      <c r="AD2474" s="7">
        <f>IF($E2474="","",Y2474-AC2474)</f>
        <v/>
      </c>
      <c r="AE2474" s="7">
        <f>IF($E2474="","",AD2474-Q2474)</f>
        <v/>
      </c>
      <c r="AI2474" s="7" t="n"/>
      <c r="AL2474" s="11" t="n"/>
      <c r="AN2474">
        <f>IF($E2474="","",IF(COUNTIF($E$2:$E2474,$E2474)=1,1,0))</f>
        <v/>
      </c>
      <c r="AO2474">
        <f>IF($AN2474=1,SUMPRODUCT(--($AR$2:$AR$4001&lt;$AR2474))+1,"")</f>
        <v/>
      </c>
      <c r="AP2474">
        <f>IF($E2474="","",IF(OR($U2474=TRUE(),$U2474="TRUE"),1,0))</f>
        <v/>
      </c>
      <c r="AQ2474">
        <f>IF($E2474="","",IF($AA2474="Yes",1,0))</f>
        <v/>
      </c>
      <c r="AR2474">
        <f>IF($AN2474=1,IFERROR(VALUE(MID($E2474,2,20)),1000000000)+ROW()/100000,"")</f>
        <v/>
      </c>
    </row>
    <row r="2475">
      <c r="G2475" s="11" t="n"/>
      <c r="Q2475" s="7">
        <f>IF($E2475="","",P2475*Y2475/100)</f>
        <v/>
      </c>
      <c r="R2475" s="7" t="n"/>
      <c r="X2475" s="7" t="n"/>
      <c r="Y2475" s="7" t="n"/>
      <c r="AB2475">
        <f>IF($E2475="","",IF($AQ2475=1,0,IF($AP2475=1,Settings!$C$6,Settings!$C$7))*100)</f>
        <v/>
      </c>
      <c r="AC2475" s="7">
        <f>IF($E2475="","",Y2475*AB2475/100)</f>
        <v/>
      </c>
      <c r="AD2475" s="7">
        <f>IF($E2475="","",Y2475-AC2475)</f>
        <v/>
      </c>
      <c r="AE2475" s="7">
        <f>IF($E2475="","",AD2475-Q2475)</f>
        <v/>
      </c>
      <c r="AI2475" s="7" t="n"/>
      <c r="AL2475" s="11" t="n"/>
      <c r="AN2475">
        <f>IF($E2475="","",IF(COUNTIF($E$2:$E2475,$E2475)=1,1,0))</f>
        <v/>
      </c>
      <c r="AO2475">
        <f>IF($AN2475=1,SUMPRODUCT(--($AR$2:$AR$4001&lt;$AR2475))+1,"")</f>
        <v/>
      </c>
      <c r="AP2475">
        <f>IF($E2475="","",IF(OR($U2475=TRUE(),$U2475="TRUE"),1,0))</f>
        <v/>
      </c>
      <c r="AQ2475">
        <f>IF($E2475="","",IF($AA2475="Yes",1,0))</f>
        <v/>
      </c>
      <c r="AR2475">
        <f>IF($AN2475=1,IFERROR(VALUE(MID($E2475,2,20)),1000000000)+ROW()/100000,"")</f>
        <v/>
      </c>
    </row>
    <row r="2476">
      <c r="G2476" s="11" t="n"/>
      <c r="Q2476" s="7">
        <f>IF($E2476="","",P2476*Y2476/100)</f>
        <v/>
      </c>
      <c r="R2476" s="7" t="n"/>
      <c r="X2476" s="7" t="n"/>
      <c r="Y2476" s="7" t="n"/>
      <c r="AB2476">
        <f>IF($E2476="","",IF($AQ2476=1,0,IF($AP2476=1,Settings!$C$6,Settings!$C$7))*100)</f>
        <v/>
      </c>
      <c r="AC2476" s="7">
        <f>IF($E2476="","",Y2476*AB2476/100)</f>
        <v/>
      </c>
      <c r="AD2476" s="7">
        <f>IF($E2476="","",Y2476-AC2476)</f>
        <v/>
      </c>
      <c r="AE2476" s="7">
        <f>IF($E2476="","",AD2476-Q2476)</f>
        <v/>
      </c>
      <c r="AI2476" s="7" t="n"/>
      <c r="AL2476" s="11" t="n"/>
      <c r="AN2476">
        <f>IF($E2476="","",IF(COUNTIF($E$2:$E2476,$E2476)=1,1,0))</f>
        <v/>
      </c>
      <c r="AO2476">
        <f>IF($AN2476=1,SUMPRODUCT(--($AR$2:$AR$4001&lt;$AR2476))+1,"")</f>
        <v/>
      </c>
      <c r="AP2476">
        <f>IF($E2476="","",IF(OR($U2476=TRUE(),$U2476="TRUE"),1,0))</f>
        <v/>
      </c>
      <c r="AQ2476">
        <f>IF($E2476="","",IF($AA2476="Yes",1,0))</f>
        <v/>
      </c>
      <c r="AR2476">
        <f>IF($AN2476=1,IFERROR(VALUE(MID($E2476,2,20)),1000000000)+ROW()/100000,"")</f>
        <v/>
      </c>
    </row>
    <row r="2477">
      <c r="G2477" s="11" t="n"/>
      <c r="Q2477" s="7">
        <f>IF($E2477="","",P2477*Y2477/100)</f>
        <v/>
      </c>
      <c r="R2477" s="7" t="n"/>
      <c r="X2477" s="7" t="n"/>
      <c r="Y2477" s="7" t="n"/>
      <c r="AB2477">
        <f>IF($E2477="","",IF($AQ2477=1,0,IF($AP2477=1,Settings!$C$6,Settings!$C$7))*100)</f>
        <v/>
      </c>
      <c r="AC2477" s="7">
        <f>IF($E2477="","",Y2477*AB2477/100)</f>
        <v/>
      </c>
      <c r="AD2477" s="7">
        <f>IF($E2477="","",Y2477-AC2477)</f>
        <v/>
      </c>
      <c r="AE2477" s="7">
        <f>IF($E2477="","",AD2477-Q2477)</f>
        <v/>
      </c>
      <c r="AI2477" s="7" t="n"/>
      <c r="AL2477" s="11" t="n"/>
      <c r="AN2477">
        <f>IF($E2477="","",IF(COUNTIF($E$2:$E2477,$E2477)=1,1,0))</f>
        <v/>
      </c>
      <c r="AO2477">
        <f>IF($AN2477=1,SUMPRODUCT(--($AR$2:$AR$4001&lt;$AR2477))+1,"")</f>
        <v/>
      </c>
      <c r="AP2477">
        <f>IF($E2477="","",IF(OR($U2477=TRUE(),$U2477="TRUE"),1,0))</f>
        <v/>
      </c>
      <c r="AQ2477">
        <f>IF($E2477="","",IF($AA2477="Yes",1,0))</f>
        <v/>
      </c>
      <c r="AR2477">
        <f>IF($AN2477=1,IFERROR(VALUE(MID($E2477,2,20)),1000000000)+ROW()/100000,"")</f>
        <v/>
      </c>
    </row>
    <row r="2478">
      <c r="G2478" s="11" t="n"/>
      <c r="Q2478" s="7">
        <f>IF($E2478="","",P2478*Y2478/100)</f>
        <v/>
      </c>
      <c r="R2478" s="7" t="n"/>
      <c r="X2478" s="7" t="n"/>
      <c r="Y2478" s="7" t="n"/>
      <c r="AB2478">
        <f>IF($E2478="","",IF($AQ2478=1,0,IF($AP2478=1,Settings!$C$6,Settings!$C$7))*100)</f>
        <v/>
      </c>
      <c r="AC2478" s="7">
        <f>IF($E2478="","",Y2478*AB2478/100)</f>
        <v/>
      </c>
      <c r="AD2478" s="7">
        <f>IF($E2478="","",Y2478-AC2478)</f>
        <v/>
      </c>
      <c r="AE2478" s="7">
        <f>IF($E2478="","",AD2478-Q2478)</f>
        <v/>
      </c>
      <c r="AI2478" s="7" t="n"/>
      <c r="AL2478" s="11" t="n"/>
      <c r="AN2478">
        <f>IF($E2478="","",IF(COUNTIF($E$2:$E2478,$E2478)=1,1,0))</f>
        <v/>
      </c>
      <c r="AO2478">
        <f>IF($AN2478=1,SUMPRODUCT(--($AR$2:$AR$4001&lt;$AR2478))+1,"")</f>
        <v/>
      </c>
      <c r="AP2478">
        <f>IF($E2478="","",IF(OR($U2478=TRUE(),$U2478="TRUE"),1,0))</f>
        <v/>
      </c>
      <c r="AQ2478">
        <f>IF($E2478="","",IF($AA2478="Yes",1,0))</f>
        <v/>
      </c>
      <c r="AR2478">
        <f>IF($AN2478=1,IFERROR(VALUE(MID($E2478,2,20)),1000000000)+ROW()/100000,"")</f>
        <v/>
      </c>
    </row>
    <row r="2479">
      <c r="G2479" s="11" t="n"/>
      <c r="Q2479" s="7">
        <f>IF($E2479="","",P2479*Y2479/100)</f>
        <v/>
      </c>
      <c r="R2479" s="7" t="n"/>
      <c r="X2479" s="7" t="n"/>
      <c r="Y2479" s="7" t="n"/>
      <c r="AB2479">
        <f>IF($E2479="","",IF($AQ2479=1,0,IF($AP2479=1,Settings!$C$6,Settings!$C$7))*100)</f>
        <v/>
      </c>
      <c r="AC2479" s="7">
        <f>IF($E2479="","",Y2479*AB2479/100)</f>
        <v/>
      </c>
      <c r="AD2479" s="7">
        <f>IF($E2479="","",Y2479-AC2479)</f>
        <v/>
      </c>
      <c r="AE2479" s="7">
        <f>IF($E2479="","",AD2479-Q2479)</f>
        <v/>
      </c>
      <c r="AI2479" s="7" t="n"/>
      <c r="AL2479" s="11" t="n"/>
      <c r="AN2479">
        <f>IF($E2479="","",IF(COUNTIF($E$2:$E2479,$E2479)=1,1,0))</f>
        <v/>
      </c>
      <c r="AO2479">
        <f>IF($AN2479=1,SUMPRODUCT(--($AR$2:$AR$4001&lt;$AR2479))+1,"")</f>
        <v/>
      </c>
      <c r="AP2479">
        <f>IF($E2479="","",IF(OR($U2479=TRUE(),$U2479="TRUE"),1,0))</f>
        <v/>
      </c>
      <c r="AQ2479">
        <f>IF($E2479="","",IF($AA2479="Yes",1,0))</f>
        <v/>
      </c>
      <c r="AR2479">
        <f>IF($AN2479=1,IFERROR(VALUE(MID($E2479,2,20)),1000000000)+ROW()/100000,"")</f>
        <v/>
      </c>
    </row>
    <row r="2480">
      <c r="G2480" s="11" t="n"/>
      <c r="Q2480" s="7">
        <f>IF($E2480="","",P2480*Y2480/100)</f>
        <v/>
      </c>
      <c r="R2480" s="7" t="n"/>
      <c r="X2480" s="7" t="n"/>
      <c r="Y2480" s="7" t="n"/>
      <c r="AB2480">
        <f>IF($E2480="","",IF($AQ2480=1,0,IF($AP2480=1,Settings!$C$6,Settings!$C$7))*100)</f>
        <v/>
      </c>
      <c r="AC2480" s="7">
        <f>IF($E2480="","",Y2480*AB2480/100)</f>
        <v/>
      </c>
      <c r="AD2480" s="7">
        <f>IF($E2480="","",Y2480-AC2480)</f>
        <v/>
      </c>
      <c r="AE2480" s="7">
        <f>IF($E2480="","",AD2480-Q2480)</f>
        <v/>
      </c>
      <c r="AI2480" s="7" t="n"/>
      <c r="AL2480" s="11" t="n"/>
      <c r="AN2480">
        <f>IF($E2480="","",IF(COUNTIF($E$2:$E2480,$E2480)=1,1,0))</f>
        <v/>
      </c>
      <c r="AO2480">
        <f>IF($AN2480=1,SUMPRODUCT(--($AR$2:$AR$4001&lt;$AR2480))+1,"")</f>
        <v/>
      </c>
      <c r="AP2480">
        <f>IF($E2480="","",IF(OR($U2480=TRUE(),$U2480="TRUE"),1,0))</f>
        <v/>
      </c>
      <c r="AQ2480">
        <f>IF($E2480="","",IF($AA2480="Yes",1,0))</f>
        <v/>
      </c>
      <c r="AR2480">
        <f>IF($AN2480=1,IFERROR(VALUE(MID($E2480,2,20)),1000000000)+ROW()/100000,"")</f>
        <v/>
      </c>
    </row>
    <row r="2481">
      <c r="G2481" s="11" t="n"/>
      <c r="Q2481" s="7">
        <f>IF($E2481="","",P2481*Y2481/100)</f>
        <v/>
      </c>
      <c r="R2481" s="7" t="n"/>
      <c r="X2481" s="7" t="n"/>
      <c r="Y2481" s="7" t="n"/>
      <c r="AB2481">
        <f>IF($E2481="","",IF($AQ2481=1,0,IF($AP2481=1,Settings!$C$6,Settings!$C$7))*100)</f>
        <v/>
      </c>
      <c r="AC2481" s="7">
        <f>IF($E2481="","",Y2481*AB2481/100)</f>
        <v/>
      </c>
      <c r="AD2481" s="7">
        <f>IF($E2481="","",Y2481-AC2481)</f>
        <v/>
      </c>
      <c r="AE2481" s="7">
        <f>IF($E2481="","",AD2481-Q2481)</f>
        <v/>
      </c>
      <c r="AI2481" s="7" t="n"/>
      <c r="AL2481" s="11" t="n"/>
      <c r="AN2481">
        <f>IF($E2481="","",IF(COUNTIF($E$2:$E2481,$E2481)=1,1,0))</f>
        <v/>
      </c>
      <c r="AO2481">
        <f>IF($AN2481=1,SUMPRODUCT(--($AR$2:$AR$4001&lt;$AR2481))+1,"")</f>
        <v/>
      </c>
      <c r="AP2481">
        <f>IF($E2481="","",IF(OR($U2481=TRUE(),$U2481="TRUE"),1,0))</f>
        <v/>
      </c>
      <c r="AQ2481">
        <f>IF($E2481="","",IF($AA2481="Yes",1,0))</f>
        <v/>
      </c>
      <c r="AR2481">
        <f>IF($AN2481=1,IFERROR(VALUE(MID($E2481,2,20)),1000000000)+ROW()/100000,"")</f>
        <v/>
      </c>
    </row>
    <row r="2482">
      <c r="G2482" s="11" t="n"/>
      <c r="Q2482" s="7">
        <f>IF($E2482="","",P2482*Y2482/100)</f>
        <v/>
      </c>
      <c r="R2482" s="7" t="n"/>
      <c r="X2482" s="7" t="n"/>
      <c r="Y2482" s="7" t="n"/>
      <c r="AB2482">
        <f>IF($E2482="","",IF($AQ2482=1,0,IF($AP2482=1,Settings!$C$6,Settings!$C$7))*100)</f>
        <v/>
      </c>
      <c r="AC2482" s="7">
        <f>IF($E2482="","",Y2482*AB2482/100)</f>
        <v/>
      </c>
      <c r="AD2482" s="7">
        <f>IF($E2482="","",Y2482-AC2482)</f>
        <v/>
      </c>
      <c r="AE2482" s="7">
        <f>IF($E2482="","",AD2482-Q2482)</f>
        <v/>
      </c>
      <c r="AI2482" s="7" t="n"/>
      <c r="AL2482" s="11" t="n"/>
      <c r="AN2482">
        <f>IF($E2482="","",IF(COUNTIF($E$2:$E2482,$E2482)=1,1,0))</f>
        <v/>
      </c>
      <c r="AO2482">
        <f>IF($AN2482=1,SUMPRODUCT(--($AR$2:$AR$4001&lt;$AR2482))+1,"")</f>
        <v/>
      </c>
      <c r="AP2482">
        <f>IF($E2482="","",IF(OR($U2482=TRUE(),$U2482="TRUE"),1,0))</f>
        <v/>
      </c>
      <c r="AQ2482">
        <f>IF($E2482="","",IF($AA2482="Yes",1,0))</f>
        <v/>
      </c>
      <c r="AR2482">
        <f>IF($AN2482=1,IFERROR(VALUE(MID($E2482,2,20)),1000000000)+ROW()/100000,"")</f>
        <v/>
      </c>
    </row>
    <row r="2483">
      <c r="G2483" s="11" t="n"/>
      <c r="Q2483" s="7">
        <f>IF($E2483="","",P2483*Y2483/100)</f>
        <v/>
      </c>
      <c r="R2483" s="7" t="n"/>
      <c r="X2483" s="7" t="n"/>
      <c r="Y2483" s="7" t="n"/>
      <c r="AB2483">
        <f>IF($E2483="","",IF($AQ2483=1,0,IF($AP2483=1,Settings!$C$6,Settings!$C$7))*100)</f>
        <v/>
      </c>
      <c r="AC2483" s="7">
        <f>IF($E2483="","",Y2483*AB2483/100)</f>
        <v/>
      </c>
      <c r="AD2483" s="7">
        <f>IF($E2483="","",Y2483-AC2483)</f>
        <v/>
      </c>
      <c r="AE2483" s="7">
        <f>IF($E2483="","",AD2483-Q2483)</f>
        <v/>
      </c>
      <c r="AI2483" s="7" t="n"/>
      <c r="AL2483" s="11" t="n"/>
      <c r="AN2483">
        <f>IF($E2483="","",IF(COUNTIF($E$2:$E2483,$E2483)=1,1,0))</f>
        <v/>
      </c>
      <c r="AO2483">
        <f>IF($AN2483=1,SUMPRODUCT(--($AR$2:$AR$4001&lt;$AR2483))+1,"")</f>
        <v/>
      </c>
      <c r="AP2483">
        <f>IF($E2483="","",IF(OR($U2483=TRUE(),$U2483="TRUE"),1,0))</f>
        <v/>
      </c>
      <c r="AQ2483">
        <f>IF($E2483="","",IF($AA2483="Yes",1,0))</f>
        <v/>
      </c>
      <c r="AR2483">
        <f>IF($AN2483=1,IFERROR(VALUE(MID($E2483,2,20)),1000000000)+ROW()/100000,"")</f>
        <v/>
      </c>
    </row>
    <row r="2484">
      <c r="G2484" s="11" t="n"/>
      <c r="Q2484" s="7">
        <f>IF($E2484="","",P2484*Y2484/100)</f>
        <v/>
      </c>
      <c r="R2484" s="7" t="n"/>
      <c r="X2484" s="7" t="n"/>
      <c r="Y2484" s="7" t="n"/>
      <c r="AB2484">
        <f>IF($E2484="","",IF($AQ2484=1,0,IF($AP2484=1,Settings!$C$6,Settings!$C$7))*100)</f>
        <v/>
      </c>
      <c r="AC2484" s="7">
        <f>IF($E2484="","",Y2484*AB2484/100)</f>
        <v/>
      </c>
      <c r="AD2484" s="7">
        <f>IF($E2484="","",Y2484-AC2484)</f>
        <v/>
      </c>
      <c r="AE2484" s="7">
        <f>IF($E2484="","",AD2484-Q2484)</f>
        <v/>
      </c>
      <c r="AI2484" s="7" t="n"/>
      <c r="AL2484" s="11" t="n"/>
      <c r="AN2484">
        <f>IF($E2484="","",IF(COUNTIF($E$2:$E2484,$E2484)=1,1,0))</f>
        <v/>
      </c>
      <c r="AO2484">
        <f>IF($AN2484=1,SUMPRODUCT(--($AR$2:$AR$4001&lt;$AR2484))+1,"")</f>
        <v/>
      </c>
      <c r="AP2484">
        <f>IF($E2484="","",IF(OR($U2484=TRUE(),$U2484="TRUE"),1,0))</f>
        <v/>
      </c>
      <c r="AQ2484">
        <f>IF($E2484="","",IF($AA2484="Yes",1,0))</f>
        <v/>
      </c>
      <c r="AR2484">
        <f>IF($AN2484=1,IFERROR(VALUE(MID($E2484,2,20)),1000000000)+ROW()/100000,"")</f>
        <v/>
      </c>
    </row>
    <row r="2485">
      <c r="G2485" s="11" t="n"/>
      <c r="Q2485" s="7">
        <f>IF($E2485="","",P2485*Y2485/100)</f>
        <v/>
      </c>
      <c r="R2485" s="7" t="n"/>
      <c r="X2485" s="7" t="n"/>
      <c r="Y2485" s="7" t="n"/>
      <c r="AB2485">
        <f>IF($E2485="","",IF($AQ2485=1,0,IF($AP2485=1,Settings!$C$6,Settings!$C$7))*100)</f>
        <v/>
      </c>
      <c r="AC2485" s="7">
        <f>IF($E2485="","",Y2485*AB2485/100)</f>
        <v/>
      </c>
      <c r="AD2485" s="7">
        <f>IF($E2485="","",Y2485-AC2485)</f>
        <v/>
      </c>
      <c r="AE2485" s="7">
        <f>IF($E2485="","",AD2485-Q2485)</f>
        <v/>
      </c>
      <c r="AI2485" s="7" t="n"/>
      <c r="AL2485" s="11" t="n"/>
      <c r="AN2485">
        <f>IF($E2485="","",IF(COUNTIF($E$2:$E2485,$E2485)=1,1,0))</f>
        <v/>
      </c>
      <c r="AO2485">
        <f>IF($AN2485=1,SUMPRODUCT(--($AR$2:$AR$4001&lt;$AR2485))+1,"")</f>
        <v/>
      </c>
      <c r="AP2485">
        <f>IF($E2485="","",IF(OR($U2485=TRUE(),$U2485="TRUE"),1,0))</f>
        <v/>
      </c>
      <c r="AQ2485">
        <f>IF($E2485="","",IF($AA2485="Yes",1,0))</f>
        <v/>
      </c>
      <c r="AR2485">
        <f>IF($AN2485=1,IFERROR(VALUE(MID($E2485,2,20)),1000000000)+ROW()/100000,"")</f>
        <v/>
      </c>
    </row>
    <row r="2486">
      <c r="G2486" s="11" t="n"/>
      <c r="Q2486" s="7">
        <f>IF($E2486="","",P2486*Y2486/100)</f>
        <v/>
      </c>
      <c r="R2486" s="7" t="n"/>
      <c r="X2486" s="7" t="n"/>
      <c r="Y2486" s="7" t="n"/>
      <c r="AB2486">
        <f>IF($E2486="","",IF($AQ2486=1,0,IF($AP2486=1,Settings!$C$6,Settings!$C$7))*100)</f>
        <v/>
      </c>
      <c r="AC2486" s="7">
        <f>IF($E2486="","",Y2486*AB2486/100)</f>
        <v/>
      </c>
      <c r="AD2486" s="7">
        <f>IF($E2486="","",Y2486-AC2486)</f>
        <v/>
      </c>
      <c r="AE2486" s="7">
        <f>IF($E2486="","",AD2486-Q2486)</f>
        <v/>
      </c>
      <c r="AI2486" s="7" t="n"/>
      <c r="AL2486" s="11" t="n"/>
      <c r="AN2486">
        <f>IF($E2486="","",IF(COUNTIF($E$2:$E2486,$E2486)=1,1,0))</f>
        <v/>
      </c>
      <c r="AO2486">
        <f>IF($AN2486=1,SUMPRODUCT(--($AR$2:$AR$4001&lt;$AR2486))+1,"")</f>
        <v/>
      </c>
      <c r="AP2486">
        <f>IF($E2486="","",IF(OR($U2486=TRUE(),$U2486="TRUE"),1,0))</f>
        <v/>
      </c>
      <c r="AQ2486">
        <f>IF($E2486="","",IF($AA2486="Yes",1,0))</f>
        <v/>
      </c>
      <c r="AR2486">
        <f>IF($AN2486=1,IFERROR(VALUE(MID($E2486,2,20)),1000000000)+ROW()/100000,"")</f>
        <v/>
      </c>
    </row>
    <row r="2487">
      <c r="G2487" s="11" t="n"/>
      <c r="Q2487" s="7">
        <f>IF($E2487="","",P2487*Y2487/100)</f>
        <v/>
      </c>
      <c r="R2487" s="7" t="n"/>
      <c r="X2487" s="7" t="n"/>
      <c r="Y2487" s="7" t="n"/>
      <c r="AB2487">
        <f>IF($E2487="","",IF($AQ2487=1,0,IF($AP2487=1,Settings!$C$6,Settings!$C$7))*100)</f>
        <v/>
      </c>
      <c r="AC2487" s="7">
        <f>IF($E2487="","",Y2487*AB2487/100)</f>
        <v/>
      </c>
      <c r="AD2487" s="7">
        <f>IF($E2487="","",Y2487-AC2487)</f>
        <v/>
      </c>
      <c r="AE2487" s="7">
        <f>IF($E2487="","",AD2487-Q2487)</f>
        <v/>
      </c>
      <c r="AI2487" s="7" t="n"/>
      <c r="AL2487" s="11" t="n"/>
      <c r="AN2487">
        <f>IF($E2487="","",IF(COUNTIF($E$2:$E2487,$E2487)=1,1,0))</f>
        <v/>
      </c>
      <c r="AO2487">
        <f>IF($AN2487=1,SUMPRODUCT(--($AR$2:$AR$4001&lt;$AR2487))+1,"")</f>
        <v/>
      </c>
      <c r="AP2487">
        <f>IF($E2487="","",IF(OR($U2487=TRUE(),$U2487="TRUE"),1,0))</f>
        <v/>
      </c>
      <c r="AQ2487">
        <f>IF($E2487="","",IF($AA2487="Yes",1,0))</f>
        <v/>
      </c>
      <c r="AR2487">
        <f>IF($AN2487=1,IFERROR(VALUE(MID($E2487,2,20)),1000000000)+ROW()/100000,"")</f>
        <v/>
      </c>
    </row>
    <row r="2488">
      <c r="G2488" s="11" t="n"/>
      <c r="Q2488" s="7">
        <f>IF($E2488="","",P2488*Y2488/100)</f>
        <v/>
      </c>
      <c r="R2488" s="7" t="n"/>
      <c r="X2488" s="7" t="n"/>
      <c r="Y2488" s="7" t="n"/>
      <c r="AB2488">
        <f>IF($E2488="","",IF($AQ2488=1,0,IF($AP2488=1,Settings!$C$6,Settings!$C$7))*100)</f>
        <v/>
      </c>
      <c r="AC2488" s="7">
        <f>IF($E2488="","",Y2488*AB2488/100)</f>
        <v/>
      </c>
      <c r="AD2488" s="7">
        <f>IF($E2488="","",Y2488-AC2488)</f>
        <v/>
      </c>
      <c r="AE2488" s="7">
        <f>IF($E2488="","",AD2488-Q2488)</f>
        <v/>
      </c>
      <c r="AI2488" s="7" t="n"/>
      <c r="AL2488" s="11" t="n"/>
      <c r="AN2488">
        <f>IF($E2488="","",IF(COUNTIF($E$2:$E2488,$E2488)=1,1,0))</f>
        <v/>
      </c>
      <c r="AO2488">
        <f>IF($AN2488=1,SUMPRODUCT(--($AR$2:$AR$4001&lt;$AR2488))+1,"")</f>
        <v/>
      </c>
      <c r="AP2488">
        <f>IF($E2488="","",IF(OR($U2488=TRUE(),$U2488="TRUE"),1,0))</f>
        <v/>
      </c>
      <c r="AQ2488">
        <f>IF($E2488="","",IF($AA2488="Yes",1,0))</f>
        <v/>
      </c>
      <c r="AR2488">
        <f>IF($AN2488=1,IFERROR(VALUE(MID($E2488,2,20)),1000000000)+ROW()/100000,"")</f>
        <v/>
      </c>
    </row>
    <row r="2489">
      <c r="G2489" s="11" t="n"/>
      <c r="Q2489" s="7">
        <f>IF($E2489="","",P2489*Y2489/100)</f>
        <v/>
      </c>
      <c r="R2489" s="7" t="n"/>
      <c r="X2489" s="7" t="n"/>
      <c r="Y2489" s="7" t="n"/>
      <c r="AB2489">
        <f>IF($E2489="","",IF($AQ2489=1,0,IF($AP2489=1,Settings!$C$6,Settings!$C$7))*100)</f>
        <v/>
      </c>
      <c r="AC2489" s="7">
        <f>IF($E2489="","",Y2489*AB2489/100)</f>
        <v/>
      </c>
      <c r="AD2489" s="7">
        <f>IF($E2489="","",Y2489-AC2489)</f>
        <v/>
      </c>
      <c r="AE2489" s="7">
        <f>IF($E2489="","",AD2489-Q2489)</f>
        <v/>
      </c>
      <c r="AI2489" s="7" t="n"/>
      <c r="AL2489" s="11" t="n"/>
      <c r="AN2489">
        <f>IF($E2489="","",IF(COUNTIF($E$2:$E2489,$E2489)=1,1,0))</f>
        <v/>
      </c>
      <c r="AO2489">
        <f>IF($AN2489=1,SUMPRODUCT(--($AR$2:$AR$4001&lt;$AR2489))+1,"")</f>
        <v/>
      </c>
      <c r="AP2489">
        <f>IF($E2489="","",IF(OR($U2489=TRUE(),$U2489="TRUE"),1,0))</f>
        <v/>
      </c>
      <c r="AQ2489">
        <f>IF($E2489="","",IF($AA2489="Yes",1,0))</f>
        <v/>
      </c>
      <c r="AR2489">
        <f>IF($AN2489=1,IFERROR(VALUE(MID($E2489,2,20)),1000000000)+ROW()/100000,"")</f>
        <v/>
      </c>
    </row>
    <row r="2490">
      <c r="G2490" s="11" t="n"/>
      <c r="Q2490" s="7">
        <f>IF($E2490="","",P2490*Y2490/100)</f>
        <v/>
      </c>
      <c r="R2490" s="7" t="n"/>
      <c r="X2490" s="7" t="n"/>
      <c r="Y2490" s="7" t="n"/>
      <c r="AB2490">
        <f>IF($E2490="","",IF($AQ2490=1,0,IF($AP2490=1,Settings!$C$6,Settings!$C$7))*100)</f>
        <v/>
      </c>
      <c r="AC2490" s="7">
        <f>IF($E2490="","",Y2490*AB2490/100)</f>
        <v/>
      </c>
      <c r="AD2490" s="7">
        <f>IF($E2490="","",Y2490-AC2490)</f>
        <v/>
      </c>
      <c r="AE2490" s="7">
        <f>IF($E2490="","",AD2490-Q2490)</f>
        <v/>
      </c>
      <c r="AI2490" s="7" t="n"/>
      <c r="AL2490" s="11" t="n"/>
      <c r="AN2490">
        <f>IF($E2490="","",IF(COUNTIF($E$2:$E2490,$E2490)=1,1,0))</f>
        <v/>
      </c>
      <c r="AO2490">
        <f>IF($AN2490=1,SUMPRODUCT(--($AR$2:$AR$4001&lt;$AR2490))+1,"")</f>
        <v/>
      </c>
      <c r="AP2490">
        <f>IF($E2490="","",IF(OR($U2490=TRUE(),$U2490="TRUE"),1,0))</f>
        <v/>
      </c>
      <c r="AQ2490">
        <f>IF($E2490="","",IF($AA2490="Yes",1,0))</f>
        <v/>
      </c>
      <c r="AR2490">
        <f>IF($AN2490=1,IFERROR(VALUE(MID($E2490,2,20)),1000000000)+ROW()/100000,"")</f>
        <v/>
      </c>
    </row>
    <row r="2491">
      <c r="G2491" s="11" t="n"/>
      <c r="Q2491" s="7">
        <f>IF($E2491="","",P2491*Y2491/100)</f>
        <v/>
      </c>
      <c r="R2491" s="7" t="n"/>
      <c r="X2491" s="7" t="n"/>
      <c r="Y2491" s="7" t="n"/>
      <c r="AB2491">
        <f>IF($E2491="","",IF($AQ2491=1,0,IF($AP2491=1,Settings!$C$6,Settings!$C$7))*100)</f>
        <v/>
      </c>
      <c r="AC2491" s="7">
        <f>IF($E2491="","",Y2491*AB2491/100)</f>
        <v/>
      </c>
      <c r="AD2491" s="7">
        <f>IF($E2491="","",Y2491-AC2491)</f>
        <v/>
      </c>
      <c r="AE2491" s="7">
        <f>IF($E2491="","",AD2491-Q2491)</f>
        <v/>
      </c>
      <c r="AI2491" s="7" t="n"/>
      <c r="AL2491" s="11" t="n"/>
      <c r="AN2491">
        <f>IF($E2491="","",IF(COUNTIF($E$2:$E2491,$E2491)=1,1,0))</f>
        <v/>
      </c>
      <c r="AO2491">
        <f>IF($AN2491=1,SUMPRODUCT(--($AR$2:$AR$4001&lt;$AR2491))+1,"")</f>
        <v/>
      </c>
      <c r="AP2491">
        <f>IF($E2491="","",IF(OR($U2491=TRUE(),$U2491="TRUE"),1,0))</f>
        <v/>
      </c>
      <c r="AQ2491">
        <f>IF($E2491="","",IF($AA2491="Yes",1,0))</f>
        <v/>
      </c>
      <c r="AR2491">
        <f>IF($AN2491=1,IFERROR(VALUE(MID($E2491,2,20)),1000000000)+ROW()/100000,"")</f>
        <v/>
      </c>
    </row>
    <row r="2492">
      <c r="G2492" s="11" t="n"/>
      <c r="Q2492" s="7">
        <f>IF($E2492="","",P2492*Y2492/100)</f>
        <v/>
      </c>
      <c r="R2492" s="7" t="n"/>
      <c r="X2492" s="7" t="n"/>
      <c r="Y2492" s="7" t="n"/>
      <c r="AB2492">
        <f>IF($E2492="","",IF($AQ2492=1,0,IF($AP2492=1,Settings!$C$6,Settings!$C$7))*100)</f>
        <v/>
      </c>
      <c r="AC2492" s="7">
        <f>IF($E2492="","",Y2492*AB2492/100)</f>
        <v/>
      </c>
      <c r="AD2492" s="7">
        <f>IF($E2492="","",Y2492-AC2492)</f>
        <v/>
      </c>
      <c r="AE2492" s="7">
        <f>IF($E2492="","",AD2492-Q2492)</f>
        <v/>
      </c>
      <c r="AI2492" s="7" t="n"/>
      <c r="AL2492" s="11" t="n"/>
      <c r="AN2492">
        <f>IF($E2492="","",IF(COUNTIF($E$2:$E2492,$E2492)=1,1,0))</f>
        <v/>
      </c>
      <c r="AO2492">
        <f>IF($AN2492=1,SUMPRODUCT(--($AR$2:$AR$4001&lt;$AR2492))+1,"")</f>
        <v/>
      </c>
      <c r="AP2492">
        <f>IF($E2492="","",IF(OR($U2492=TRUE(),$U2492="TRUE"),1,0))</f>
        <v/>
      </c>
      <c r="AQ2492">
        <f>IF($E2492="","",IF($AA2492="Yes",1,0))</f>
        <v/>
      </c>
      <c r="AR2492">
        <f>IF($AN2492=1,IFERROR(VALUE(MID($E2492,2,20)),1000000000)+ROW()/100000,"")</f>
        <v/>
      </c>
    </row>
    <row r="2493">
      <c r="G2493" s="11" t="n"/>
      <c r="Q2493" s="7">
        <f>IF($E2493="","",P2493*Y2493/100)</f>
        <v/>
      </c>
      <c r="R2493" s="7" t="n"/>
      <c r="X2493" s="7" t="n"/>
      <c r="Y2493" s="7" t="n"/>
      <c r="AB2493">
        <f>IF($E2493="","",IF($AQ2493=1,0,IF($AP2493=1,Settings!$C$6,Settings!$C$7))*100)</f>
        <v/>
      </c>
      <c r="AC2493" s="7">
        <f>IF($E2493="","",Y2493*AB2493/100)</f>
        <v/>
      </c>
      <c r="AD2493" s="7">
        <f>IF($E2493="","",Y2493-AC2493)</f>
        <v/>
      </c>
      <c r="AE2493" s="7">
        <f>IF($E2493="","",AD2493-Q2493)</f>
        <v/>
      </c>
      <c r="AI2493" s="7" t="n"/>
      <c r="AL2493" s="11" t="n"/>
      <c r="AN2493">
        <f>IF($E2493="","",IF(COUNTIF($E$2:$E2493,$E2493)=1,1,0))</f>
        <v/>
      </c>
      <c r="AO2493">
        <f>IF($AN2493=1,SUMPRODUCT(--($AR$2:$AR$4001&lt;$AR2493))+1,"")</f>
        <v/>
      </c>
      <c r="AP2493">
        <f>IF($E2493="","",IF(OR($U2493=TRUE(),$U2493="TRUE"),1,0))</f>
        <v/>
      </c>
      <c r="AQ2493">
        <f>IF($E2493="","",IF($AA2493="Yes",1,0))</f>
        <v/>
      </c>
      <c r="AR2493">
        <f>IF($AN2493=1,IFERROR(VALUE(MID($E2493,2,20)),1000000000)+ROW()/100000,"")</f>
        <v/>
      </c>
    </row>
    <row r="2494">
      <c r="G2494" s="11" t="n"/>
      <c r="Q2494" s="7">
        <f>IF($E2494="","",P2494*Y2494/100)</f>
        <v/>
      </c>
      <c r="R2494" s="7" t="n"/>
      <c r="X2494" s="7" t="n"/>
      <c r="Y2494" s="7" t="n"/>
      <c r="AB2494">
        <f>IF($E2494="","",IF($AQ2494=1,0,IF($AP2494=1,Settings!$C$6,Settings!$C$7))*100)</f>
        <v/>
      </c>
      <c r="AC2494" s="7">
        <f>IF($E2494="","",Y2494*AB2494/100)</f>
        <v/>
      </c>
      <c r="AD2494" s="7">
        <f>IF($E2494="","",Y2494-AC2494)</f>
        <v/>
      </c>
      <c r="AE2494" s="7">
        <f>IF($E2494="","",AD2494-Q2494)</f>
        <v/>
      </c>
      <c r="AI2494" s="7" t="n"/>
      <c r="AL2494" s="11" t="n"/>
      <c r="AN2494">
        <f>IF($E2494="","",IF(COUNTIF($E$2:$E2494,$E2494)=1,1,0))</f>
        <v/>
      </c>
      <c r="AO2494">
        <f>IF($AN2494=1,SUMPRODUCT(--($AR$2:$AR$4001&lt;$AR2494))+1,"")</f>
        <v/>
      </c>
      <c r="AP2494">
        <f>IF($E2494="","",IF(OR($U2494=TRUE(),$U2494="TRUE"),1,0))</f>
        <v/>
      </c>
      <c r="AQ2494">
        <f>IF($E2494="","",IF($AA2494="Yes",1,0))</f>
        <v/>
      </c>
      <c r="AR2494">
        <f>IF($AN2494=1,IFERROR(VALUE(MID($E2494,2,20)),1000000000)+ROW()/100000,"")</f>
        <v/>
      </c>
    </row>
    <row r="2495">
      <c r="G2495" s="11" t="n"/>
      <c r="Q2495" s="7">
        <f>IF($E2495="","",P2495*Y2495/100)</f>
        <v/>
      </c>
      <c r="R2495" s="7" t="n"/>
      <c r="X2495" s="7" t="n"/>
      <c r="Y2495" s="7" t="n"/>
      <c r="AB2495">
        <f>IF($E2495="","",IF($AQ2495=1,0,IF($AP2495=1,Settings!$C$6,Settings!$C$7))*100)</f>
        <v/>
      </c>
      <c r="AC2495" s="7">
        <f>IF($E2495="","",Y2495*AB2495/100)</f>
        <v/>
      </c>
      <c r="AD2495" s="7">
        <f>IF($E2495="","",Y2495-AC2495)</f>
        <v/>
      </c>
      <c r="AE2495" s="7">
        <f>IF($E2495="","",AD2495-Q2495)</f>
        <v/>
      </c>
      <c r="AI2495" s="7" t="n"/>
      <c r="AL2495" s="11" t="n"/>
      <c r="AN2495">
        <f>IF($E2495="","",IF(COUNTIF($E$2:$E2495,$E2495)=1,1,0))</f>
        <v/>
      </c>
      <c r="AO2495">
        <f>IF($AN2495=1,SUMPRODUCT(--($AR$2:$AR$4001&lt;$AR2495))+1,"")</f>
        <v/>
      </c>
      <c r="AP2495">
        <f>IF($E2495="","",IF(OR($U2495=TRUE(),$U2495="TRUE"),1,0))</f>
        <v/>
      </c>
      <c r="AQ2495">
        <f>IF($E2495="","",IF($AA2495="Yes",1,0))</f>
        <v/>
      </c>
      <c r="AR2495">
        <f>IF($AN2495=1,IFERROR(VALUE(MID($E2495,2,20)),1000000000)+ROW()/100000,"")</f>
        <v/>
      </c>
    </row>
    <row r="2496">
      <c r="G2496" s="11" t="n"/>
      <c r="Q2496" s="7">
        <f>IF($E2496="","",P2496*Y2496/100)</f>
        <v/>
      </c>
      <c r="R2496" s="7" t="n"/>
      <c r="X2496" s="7" t="n"/>
      <c r="Y2496" s="7" t="n"/>
      <c r="AB2496">
        <f>IF($E2496="","",IF($AQ2496=1,0,IF($AP2496=1,Settings!$C$6,Settings!$C$7))*100)</f>
        <v/>
      </c>
      <c r="AC2496" s="7">
        <f>IF($E2496="","",Y2496*AB2496/100)</f>
        <v/>
      </c>
      <c r="AD2496" s="7">
        <f>IF($E2496="","",Y2496-AC2496)</f>
        <v/>
      </c>
      <c r="AE2496" s="7">
        <f>IF($E2496="","",AD2496-Q2496)</f>
        <v/>
      </c>
      <c r="AI2496" s="7" t="n"/>
      <c r="AL2496" s="11" t="n"/>
      <c r="AN2496">
        <f>IF($E2496="","",IF(COUNTIF($E$2:$E2496,$E2496)=1,1,0))</f>
        <v/>
      </c>
      <c r="AO2496">
        <f>IF($AN2496=1,SUMPRODUCT(--($AR$2:$AR$4001&lt;$AR2496))+1,"")</f>
        <v/>
      </c>
      <c r="AP2496">
        <f>IF($E2496="","",IF(OR($U2496=TRUE(),$U2496="TRUE"),1,0))</f>
        <v/>
      </c>
      <c r="AQ2496">
        <f>IF($E2496="","",IF($AA2496="Yes",1,0))</f>
        <v/>
      </c>
      <c r="AR2496">
        <f>IF($AN2496=1,IFERROR(VALUE(MID($E2496,2,20)),1000000000)+ROW()/100000,"")</f>
        <v/>
      </c>
    </row>
    <row r="2497">
      <c r="G2497" s="11" t="n"/>
      <c r="Q2497" s="7">
        <f>IF($E2497="","",P2497*Y2497/100)</f>
        <v/>
      </c>
      <c r="R2497" s="7" t="n"/>
      <c r="X2497" s="7" t="n"/>
      <c r="Y2497" s="7" t="n"/>
      <c r="AB2497">
        <f>IF($E2497="","",IF($AQ2497=1,0,IF($AP2497=1,Settings!$C$6,Settings!$C$7))*100)</f>
        <v/>
      </c>
      <c r="AC2497" s="7">
        <f>IF($E2497="","",Y2497*AB2497/100)</f>
        <v/>
      </c>
      <c r="AD2497" s="7">
        <f>IF($E2497="","",Y2497-AC2497)</f>
        <v/>
      </c>
      <c r="AE2497" s="7">
        <f>IF($E2497="","",AD2497-Q2497)</f>
        <v/>
      </c>
      <c r="AI2497" s="7" t="n"/>
      <c r="AL2497" s="11" t="n"/>
      <c r="AN2497">
        <f>IF($E2497="","",IF(COUNTIF($E$2:$E2497,$E2497)=1,1,0))</f>
        <v/>
      </c>
      <c r="AO2497">
        <f>IF($AN2497=1,SUMPRODUCT(--($AR$2:$AR$4001&lt;$AR2497))+1,"")</f>
        <v/>
      </c>
      <c r="AP2497">
        <f>IF($E2497="","",IF(OR($U2497=TRUE(),$U2497="TRUE"),1,0))</f>
        <v/>
      </c>
      <c r="AQ2497">
        <f>IF($E2497="","",IF($AA2497="Yes",1,0))</f>
        <v/>
      </c>
      <c r="AR2497">
        <f>IF($AN2497=1,IFERROR(VALUE(MID($E2497,2,20)),1000000000)+ROW()/100000,"")</f>
        <v/>
      </c>
    </row>
    <row r="2498">
      <c r="G2498" s="11" t="n"/>
      <c r="Q2498" s="7">
        <f>IF($E2498="","",P2498*Y2498/100)</f>
        <v/>
      </c>
      <c r="R2498" s="7" t="n"/>
      <c r="X2498" s="7" t="n"/>
      <c r="Y2498" s="7" t="n"/>
      <c r="AB2498">
        <f>IF($E2498="","",IF($AQ2498=1,0,IF($AP2498=1,Settings!$C$6,Settings!$C$7))*100)</f>
        <v/>
      </c>
      <c r="AC2498" s="7">
        <f>IF($E2498="","",Y2498*AB2498/100)</f>
        <v/>
      </c>
      <c r="AD2498" s="7">
        <f>IF($E2498="","",Y2498-AC2498)</f>
        <v/>
      </c>
      <c r="AE2498" s="7">
        <f>IF($E2498="","",AD2498-Q2498)</f>
        <v/>
      </c>
      <c r="AI2498" s="7" t="n"/>
      <c r="AL2498" s="11" t="n"/>
      <c r="AN2498">
        <f>IF($E2498="","",IF(COUNTIF($E$2:$E2498,$E2498)=1,1,0))</f>
        <v/>
      </c>
      <c r="AO2498">
        <f>IF($AN2498=1,SUMPRODUCT(--($AR$2:$AR$4001&lt;$AR2498))+1,"")</f>
        <v/>
      </c>
      <c r="AP2498">
        <f>IF($E2498="","",IF(OR($U2498=TRUE(),$U2498="TRUE"),1,0))</f>
        <v/>
      </c>
      <c r="AQ2498">
        <f>IF($E2498="","",IF($AA2498="Yes",1,0))</f>
        <v/>
      </c>
      <c r="AR2498">
        <f>IF($AN2498=1,IFERROR(VALUE(MID($E2498,2,20)),1000000000)+ROW()/100000,"")</f>
        <v/>
      </c>
    </row>
    <row r="2499">
      <c r="G2499" s="11" t="n"/>
      <c r="Q2499" s="7">
        <f>IF($E2499="","",P2499*Y2499/100)</f>
        <v/>
      </c>
      <c r="R2499" s="7" t="n"/>
      <c r="X2499" s="7" t="n"/>
      <c r="Y2499" s="7" t="n"/>
      <c r="AB2499">
        <f>IF($E2499="","",IF($AQ2499=1,0,IF($AP2499=1,Settings!$C$6,Settings!$C$7))*100)</f>
        <v/>
      </c>
      <c r="AC2499" s="7">
        <f>IF($E2499="","",Y2499*AB2499/100)</f>
        <v/>
      </c>
      <c r="AD2499" s="7">
        <f>IF($E2499="","",Y2499-AC2499)</f>
        <v/>
      </c>
      <c r="AE2499" s="7">
        <f>IF($E2499="","",AD2499-Q2499)</f>
        <v/>
      </c>
      <c r="AI2499" s="7" t="n"/>
      <c r="AL2499" s="11" t="n"/>
      <c r="AN2499">
        <f>IF($E2499="","",IF(COUNTIF($E$2:$E2499,$E2499)=1,1,0))</f>
        <v/>
      </c>
      <c r="AO2499">
        <f>IF($AN2499=1,SUMPRODUCT(--($AR$2:$AR$4001&lt;$AR2499))+1,"")</f>
        <v/>
      </c>
      <c r="AP2499">
        <f>IF($E2499="","",IF(OR($U2499=TRUE(),$U2499="TRUE"),1,0))</f>
        <v/>
      </c>
      <c r="AQ2499">
        <f>IF($E2499="","",IF($AA2499="Yes",1,0))</f>
        <v/>
      </c>
      <c r="AR2499">
        <f>IF($AN2499=1,IFERROR(VALUE(MID($E2499,2,20)),1000000000)+ROW()/100000,"")</f>
        <v/>
      </c>
    </row>
    <row r="2500">
      <c r="G2500" s="11" t="n"/>
      <c r="Q2500" s="7">
        <f>IF($E2500="","",P2500*Y2500/100)</f>
        <v/>
      </c>
      <c r="R2500" s="7" t="n"/>
      <c r="X2500" s="7" t="n"/>
      <c r="Y2500" s="7" t="n"/>
      <c r="AB2500">
        <f>IF($E2500="","",IF($AQ2500=1,0,IF($AP2500=1,Settings!$C$6,Settings!$C$7))*100)</f>
        <v/>
      </c>
      <c r="AC2500" s="7">
        <f>IF($E2500="","",Y2500*AB2500/100)</f>
        <v/>
      </c>
      <c r="AD2500" s="7">
        <f>IF($E2500="","",Y2500-AC2500)</f>
        <v/>
      </c>
      <c r="AE2500" s="7">
        <f>IF($E2500="","",AD2500-Q2500)</f>
        <v/>
      </c>
      <c r="AI2500" s="7" t="n"/>
      <c r="AL2500" s="11" t="n"/>
      <c r="AN2500">
        <f>IF($E2500="","",IF(COUNTIF($E$2:$E2500,$E2500)=1,1,0))</f>
        <v/>
      </c>
      <c r="AO2500">
        <f>IF($AN2500=1,SUMPRODUCT(--($AR$2:$AR$4001&lt;$AR2500))+1,"")</f>
        <v/>
      </c>
      <c r="AP2500">
        <f>IF($E2500="","",IF(OR($U2500=TRUE(),$U2500="TRUE"),1,0))</f>
        <v/>
      </c>
      <c r="AQ2500">
        <f>IF($E2500="","",IF($AA2500="Yes",1,0))</f>
        <v/>
      </c>
      <c r="AR2500">
        <f>IF($AN2500=1,IFERROR(VALUE(MID($E2500,2,20)),1000000000)+ROW()/100000,"")</f>
        <v/>
      </c>
    </row>
    <row r="2501">
      <c r="G2501" s="11" t="n"/>
      <c r="Q2501" s="7">
        <f>IF($E2501="","",P2501*Y2501/100)</f>
        <v/>
      </c>
      <c r="R2501" s="7" t="n"/>
      <c r="X2501" s="7" t="n"/>
      <c r="Y2501" s="7" t="n"/>
      <c r="AB2501">
        <f>IF($E2501="","",IF($AQ2501=1,0,IF($AP2501=1,Settings!$C$6,Settings!$C$7))*100)</f>
        <v/>
      </c>
      <c r="AC2501" s="7">
        <f>IF($E2501="","",Y2501*AB2501/100)</f>
        <v/>
      </c>
      <c r="AD2501" s="7">
        <f>IF($E2501="","",Y2501-AC2501)</f>
        <v/>
      </c>
      <c r="AE2501" s="7">
        <f>IF($E2501="","",AD2501-Q2501)</f>
        <v/>
      </c>
      <c r="AI2501" s="7" t="n"/>
      <c r="AL2501" s="11" t="n"/>
      <c r="AN2501">
        <f>IF($E2501="","",IF(COUNTIF($E$2:$E2501,$E2501)=1,1,0))</f>
        <v/>
      </c>
      <c r="AO2501">
        <f>IF($AN2501=1,SUMPRODUCT(--($AR$2:$AR$4001&lt;$AR2501))+1,"")</f>
        <v/>
      </c>
      <c r="AP2501">
        <f>IF($E2501="","",IF(OR($U2501=TRUE(),$U2501="TRUE"),1,0))</f>
        <v/>
      </c>
      <c r="AQ2501">
        <f>IF($E2501="","",IF($AA2501="Yes",1,0))</f>
        <v/>
      </c>
      <c r="AR2501">
        <f>IF($AN2501=1,IFERROR(VALUE(MID($E2501,2,20)),1000000000)+ROW()/100000,"")</f>
        <v/>
      </c>
    </row>
    <row r="2502">
      <c r="G2502" s="11" t="n"/>
      <c r="Q2502" s="7">
        <f>IF($E2502="","",P2502*Y2502/100)</f>
        <v/>
      </c>
      <c r="R2502" s="7" t="n"/>
      <c r="X2502" s="7" t="n"/>
      <c r="Y2502" s="7" t="n"/>
      <c r="AB2502">
        <f>IF($E2502="","",IF($AQ2502=1,0,IF($AP2502=1,Settings!$C$6,Settings!$C$7))*100)</f>
        <v/>
      </c>
      <c r="AC2502" s="7">
        <f>IF($E2502="","",Y2502*AB2502/100)</f>
        <v/>
      </c>
      <c r="AD2502" s="7">
        <f>IF($E2502="","",Y2502-AC2502)</f>
        <v/>
      </c>
      <c r="AE2502" s="7">
        <f>IF($E2502="","",AD2502-Q2502)</f>
        <v/>
      </c>
      <c r="AI2502" s="7" t="n"/>
      <c r="AL2502" s="11" t="n"/>
      <c r="AN2502">
        <f>IF($E2502="","",IF(COUNTIF($E$2:$E2502,$E2502)=1,1,0))</f>
        <v/>
      </c>
      <c r="AO2502">
        <f>IF($AN2502=1,SUMPRODUCT(--($AR$2:$AR$4001&lt;$AR2502))+1,"")</f>
        <v/>
      </c>
      <c r="AP2502">
        <f>IF($E2502="","",IF(OR($U2502=TRUE(),$U2502="TRUE"),1,0))</f>
        <v/>
      </c>
      <c r="AQ2502">
        <f>IF($E2502="","",IF($AA2502="Yes",1,0))</f>
        <v/>
      </c>
      <c r="AR2502">
        <f>IF($AN2502=1,IFERROR(VALUE(MID($E2502,2,20)),1000000000)+ROW()/100000,"")</f>
        <v/>
      </c>
    </row>
    <row r="2503">
      <c r="G2503" s="11" t="n"/>
      <c r="Q2503" s="7">
        <f>IF($E2503="","",P2503*Y2503/100)</f>
        <v/>
      </c>
      <c r="R2503" s="7" t="n"/>
      <c r="X2503" s="7" t="n"/>
      <c r="Y2503" s="7" t="n"/>
      <c r="AB2503">
        <f>IF($E2503="","",IF($AQ2503=1,0,IF($AP2503=1,Settings!$C$6,Settings!$C$7))*100)</f>
        <v/>
      </c>
      <c r="AC2503" s="7">
        <f>IF($E2503="","",Y2503*AB2503/100)</f>
        <v/>
      </c>
      <c r="AD2503" s="7">
        <f>IF($E2503="","",Y2503-AC2503)</f>
        <v/>
      </c>
      <c r="AE2503" s="7">
        <f>IF($E2503="","",AD2503-Q2503)</f>
        <v/>
      </c>
      <c r="AI2503" s="7" t="n"/>
      <c r="AL2503" s="11" t="n"/>
      <c r="AN2503">
        <f>IF($E2503="","",IF(COUNTIF($E$2:$E2503,$E2503)=1,1,0))</f>
        <v/>
      </c>
      <c r="AO2503">
        <f>IF($AN2503=1,SUMPRODUCT(--($AR$2:$AR$4001&lt;$AR2503))+1,"")</f>
        <v/>
      </c>
      <c r="AP2503">
        <f>IF($E2503="","",IF(OR($U2503=TRUE(),$U2503="TRUE"),1,0))</f>
        <v/>
      </c>
      <c r="AQ2503">
        <f>IF($E2503="","",IF($AA2503="Yes",1,0))</f>
        <v/>
      </c>
      <c r="AR2503">
        <f>IF($AN2503=1,IFERROR(VALUE(MID($E2503,2,20)),1000000000)+ROW()/100000,"")</f>
        <v/>
      </c>
    </row>
    <row r="2504">
      <c r="G2504" s="11" t="n"/>
      <c r="Q2504" s="7">
        <f>IF($E2504="","",P2504*Y2504/100)</f>
        <v/>
      </c>
      <c r="R2504" s="7" t="n"/>
      <c r="X2504" s="7" t="n"/>
      <c r="Y2504" s="7" t="n"/>
      <c r="AB2504">
        <f>IF($E2504="","",IF($AQ2504=1,0,IF($AP2504=1,Settings!$C$6,Settings!$C$7))*100)</f>
        <v/>
      </c>
      <c r="AC2504" s="7">
        <f>IF($E2504="","",Y2504*AB2504/100)</f>
        <v/>
      </c>
      <c r="AD2504" s="7">
        <f>IF($E2504="","",Y2504-AC2504)</f>
        <v/>
      </c>
      <c r="AE2504" s="7">
        <f>IF($E2504="","",AD2504-Q2504)</f>
        <v/>
      </c>
      <c r="AI2504" s="7" t="n"/>
      <c r="AL2504" s="11" t="n"/>
      <c r="AN2504">
        <f>IF($E2504="","",IF(COUNTIF($E$2:$E2504,$E2504)=1,1,0))</f>
        <v/>
      </c>
      <c r="AO2504">
        <f>IF($AN2504=1,SUMPRODUCT(--($AR$2:$AR$4001&lt;$AR2504))+1,"")</f>
        <v/>
      </c>
      <c r="AP2504">
        <f>IF($E2504="","",IF(OR($U2504=TRUE(),$U2504="TRUE"),1,0))</f>
        <v/>
      </c>
      <c r="AQ2504">
        <f>IF($E2504="","",IF($AA2504="Yes",1,0))</f>
        <v/>
      </c>
      <c r="AR2504">
        <f>IF($AN2504=1,IFERROR(VALUE(MID($E2504,2,20)),1000000000)+ROW()/100000,"")</f>
        <v/>
      </c>
    </row>
    <row r="2505">
      <c r="G2505" s="11" t="n"/>
      <c r="Q2505" s="7">
        <f>IF($E2505="","",P2505*Y2505/100)</f>
        <v/>
      </c>
      <c r="R2505" s="7" t="n"/>
      <c r="X2505" s="7" t="n"/>
      <c r="Y2505" s="7" t="n"/>
      <c r="AB2505">
        <f>IF($E2505="","",IF($AQ2505=1,0,IF($AP2505=1,Settings!$C$6,Settings!$C$7))*100)</f>
        <v/>
      </c>
      <c r="AC2505" s="7">
        <f>IF($E2505="","",Y2505*AB2505/100)</f>
        <v/>
      </c>
      <c r="AD2505" s="7">
        <f>IF($E2505="","",Y2505-AC2505)</f>
        <v/>
      </c>
      <c r="AE2505" s="7">
        <f>IF($E2505="","",AD2505-Q2505)</f>
        <v/>
      </c>
      <c r="AI2505" s="7" t="n"/>
      <c r="AL2505" s="11" t="n"/>
      <c r="AN2505">
        <f>IF($E2505="","",IF(COUNTIF($E$2:$E2505,$E2505)=1,1,0))</f>
        <v/>
      </c>
      <c r="AO2505">
        <f>IF($AN2505=1,SUMPRODUCT(--($AR$2:$AR$4001&lt;$AR2505))+1,"")</f>
        <v/>
      </c>
      <c r="AP2505">
        <f>IF($E2505="","",IF(OR($U2505=TRUE(),$U2505="TRUE"),1,0))</f>
        <v/>
      </c>
      <c r="AQ2505">
        <f>IF($E2505="","",IF($AA2505="Yes",1,0))</f>
        <v/>
      </c>
      <c r="AR2505">
        <f>IF($AN2505=1,IFERROR(VALUE(MID($E2505,2,20)),1000000000)+ROW()/100000,"")</f>
        <v/>
      </c>
    </row>
    <row r="2506">
      <c r="G2506" s="11" t="n"/>
      <c r="Q2506" s="7">
        <f>IF($E2506="","",P2506*Y2506/100)</f>
        <v/>
      </c>
      <c r="R2506" s="7" t="n"/>
      <c r="X2506" s="7" t="n"/>
      <c r="Y2506" s="7" t="n"/>
      <c r="AB2506">
        <f>IF($E2506="","",IF($AQ2506=1,0,IF($AP2506=1,Settings!$C$6,Settings!$C$7))*100)</f>
        <v/>
      </c>
      <c r="AC2506" s="7">
        <f>IF($E2506="","",Y2506*AB2506/100)</f>
        <v/>
      </c>
      <c r="AD2506" s="7">
        <f>IF($E2506="","",Y2506-AC2506)</f>
        <v/>
      </c>
      <c r="AE2506" s="7">
        <f>IF($E2506="","",AD2506-Q2506)</f>
        <v/>
      </c>
      <c r="AI2506" s="7" t="n"/>
      <c r="AL2506" s="11" t="n"/>
      <c r="AN2506">
        <f>IF($E2506="","",IF(COUNTIF($E$2:$E2506,$E2506)=1,1,0))</f>
        <v/>
      </c>
      <c r="AO2506">
        <f>IF($AN2506=1,SUMPRODUCT(--($AR$2:$AR$4001&lt;$AR2506))+1,"")</f>
        <v/>
      </c>
      <c r="AP2506">
        <f>IF($E2506="","",IF(OR($U2506=TRUE(),$U2506="TRUE"),1,0))</f>
        <v/>
      </c>
      <c r="AQ2506">
        <f>IF($E2506="","",IF($AA2506="Yes",1,0))</f>
        <v/>
      </c>
      <c r="AR2506">
        <f>IF($AN2506=1,IFERROR(VALUE(MID($E2506,2,20)),1000000000)+ROW()/100000,"")</f>
        <v/>
      </c>
    </row>
    <row r="2507">
      <c r="G2507" s="11" t="n"/>
      <c r="Q2507" s="7">
        <f>IF($E2507="","",P2507*Y2507/100)</f>
        <v/>
      </c>
      <c r="R2507" s="7" t="n"/>
      <c r="X2507" s="7" t="n"/>
      <c r="Y2507" s="7" t="n"/>
      <c r="AB2507">
        <f>IF($E2507="","",IF($AQ2507=1,0,IF($AP2507=1,Settings!$C$6,Settings!$C$7))*100)</f>
        <v/>
      </c>
      <c r="AC2507" s="7">
        <f>IF($E2507="","",Y2507*AB2507/100)</f>
        <v/>
      </c>
      <c r="AD2507" s="7">
        <f>IF($E2507="","",Y2507-AC2507)</f>
        <v/>
      </c>
      <c r="AE2507" s="7">
        <f>IF($E2507="","",AD2507-Q2507)</f>
        <v/>
      </c>
      <c r="AI2507" s="7" t="n"/>
      <c r="AL2507" s="11" t="n"/>
      <c r="AN2507">
        <f>IF($E2507="","",IF(COUNTIF($E$2:$E2507,$E2507)=1,1,0))</f>
        <v/>
      </c>
      <c r="AO2507">
        <f>IF($AN2507=1,SUMPRODUCT(--($AR$2:$AR$4001&lt;$AR2507))+1,"")</f>
        <v/>
      </c>
      <c r="AP2507">
        <f>IF($E2507="","",IF(OR($U2507=TRUE(),$U2507="TRUE"),1,0))</f>
        <v/>
      </c>
      <c r="AQ2507">
        <f>IF($E2507="","",IF($AA2507="Yes",1,0))</f>
        <v/>
      </c>
      <c r="AR2507">
        <f>IF($AN2507=1,IFERROR(VALUE(MID($E2507,2,20)),1000000000)+ROW()/100000,"")</f>
        <v/>
      </c>
    </row>
    <row r="2508">
      <c r="G2508" s="11" t="n"/>
      <c r="Q2508" s="7">
        <f>IF($E2508="","",P2508*Y2508/100)</f>
        <v/>
      </c>
      <c r="R2508" s="7" t="n"/>
      <c r="X2508" s="7" t="n"/>
      <c r="Y2508" s="7" t="n"/>
      <c r="AB2508">
        <f>IF($E2508="","",IF($AQ2508=1,0,IF($AP2508=1,Settings!$C$6,Settings!$C$7))*100)</f>
        <v/>
      </c>
      <c r="AC2508" s="7">
        <f>IF($E2508="","",Y2508*AB2508/100)</f>
        <v/>
      </c>
      <c r="AD2508" s="7">
        <f>IF($E2508="","",Y2508-AC2508)</f>
        <v/>
      </c>
      <c r="AE2508" s="7">
        <f>IF($E2508="","",AD2508-Q2508)</f>
        <v/>
      </c>
      <c r="AI2508" s="7" t="n"/>
      <c r="AL2508" s="11" t="n"/>
      <c r="AN2508">
        <f>IF($E2508="","",IF(COUNTIF($E$2:$E2508,$E2508)=1,1,0))</f>
        <v/>
      </c>
      <c r="AO2508">
        <f>IF($AN2508=1,SUMPRODUCT(--($AR$2:$AR$4001&lt;$AR2508))+1,"")</f>
        <v/>
      </c>
      <c r="AP2508">
        <f>IF($E2508="","",IF(OR($U2508=TRUE(),$U2508="TRUE"),1,0))</f>
        <v/>
      </c>
      <c r="AQ2508">
        <f>IF($E2508="","",IF($AA2508="Yes",1,0))</f>
        <v/>
      </c>
      <c r="AR2508">
        <f>IF($AN2508=1,IFERROR(VALUE(MID($E2508,2,20)),1000000000)+ROW()/100000,"")</f>
        <v/>
      </c>
    </row>
    <row r="2509">
      <c r="G2509" s="11" t="n"/>
      <c r="Q2509" s="7">
        <f>IF($E2509="","",P2509*Y2509/100)</f>
        <v/>
      </c>
      <c r="R2509" s="7" t="n"/>
      <c r="X2509" s="7" t="n"/>
      <c r="Y2509" s="7" t="n"/>
      <c r="AB2509">
        <f>IF($E2509="","",IF($AQ2509=1,0,IF($AP2509=1,Settings!$C$6,Settings!$C$7))*100)</f>
        <v/>
      </c>
      <c r="AC2509" s="7">
        <f>IF($E2509="","",Y2509*AB2509/100)</f>
        <v/>
      </c>
      <c r="AD2509" s="7">
        <f>IF($E2509="","",Y2509-AC2509)</f>
        <v/>
      </c>
      <c r="AE2509" s="7">
        <f>IF($E2509="","",AD2509-Q2509)</f>
        <v/>
      </c>
      <c r="AI2509" s="7" t="n"/>
      <c r="AL2509" s="11" t="n"/>
      <c r="AN2509">
        <f>IF($E2509="","",IF(COUNTIF($E$2:$E2509,$E2509)=1,1,0))</f>
        <v/>
      </c>
      <c r="AO2509">
        <f>IF($AN2509=1,SUMPRODUCT(--($AR$2:$AR$4001&lt;$AR2509))+1,"")</f>
        <v/>
      </c>
      <c r="AP2509">
        <f>IF($E2509="","",IF(OR($U2509=TRUE(),$U2509="TRUE"),1,0))</f>
        <v/>
      </c>
      <c r="AQ2509">
        <f>IF($E2509="","",IF($AA2509="Yes",1,0))</f>
        <v/>
      </c>
      <c r="AR2509">
        <f>IF($AN2509=1,IFERROR(VALUE(MID($E2509,2,20)),1000000000)+ROW()/100000,"")</f>
        <v/>
      </c>
    </row>
    <row r="2510">
      <c r="G2510" s="11" t="n"/>
      <c r="Q2510" s="7">
        <f>IF($E2510="","",P2510*Y2510/100)</f>
        <v/>
      </c>
      <c r="R2510" s="7" t="n"/>
      <c r="X2510" s="7" t="n"/>
      <c r="Y2510" s="7" t="n"/>
      <c r="AB2510">
        <f>IF($E2510="","",IF($AQ2510=1,0,IF($AP2510=1,Settings!$C$6,Settings!$C$7))*100)</f>
        <v/>
      </c>
      <c r="AC2510" s="7">
        <f>IF($E2510="","",Y2510*AB2510/100)</f>
        <v/>
      </c>
      <c r="AD2510" s="7">
        <f>IF($E2510="","",Y2510-AC2510)</f>
        <v/>
      </c>
      <c r="AE2510" s="7">
        <f>IF($E2510="","",AD2510-Q2510)</f>
        <v/>
      </c>
      <c r="AI2510" s="7" t="n"/>
      <c r="AL2510" s="11" t="n"/>
      <c r="AN2510">
        <f>IF($E2510="","",IF(COUNTIF($E$2:$E2510,$E2510)=1,1,0))</f>
        <v/>
      </c>
      <c r="AO2510">
        <f>IF($AN2510=1,SUMPRODUCT(--($AR$2:$AR$4001&lt;$AR2510))+1,"")</f>
        <v/>
      </c>
      <c r="AP2510">
        <f>IF($E2510="","",IF(OR($U2510=TRUE(),$U2510="TRUE"),1,0))</f>
        <v/>
      </c>
      <c r="AQ2510">
        <f>IF($E2510="","",IF($AA2510="Yes",1,0))</f>
        <v/>
      </c>
      <c r="AR2510">
        <f>IF($AN2510=1,IFERROR(VALUE(MID($E2510,2,20)),1000000000)+ROW()/100000,"")</f>
        <v/>
      </c>
    </row>
    <row r="2511">
      <c r="G2511" s="11" t="n"/>
      <c r="Q2511" s="7">
        <f>IF($E2511="","",P2511*Y2511/100)</f>
        <v/>
      </c>
      <c r="R2511" s="7" t="n"/>
      <c r="X2511" s="7" t="n"/>
      <c r="Y2511" s="7" t="n"/>
      <c r="AB2511">
        <f>IF($E2511="","",IF($AQ2511=1,0,IF($AP2511=1,Settings!$C$6,Settings!$C$7))*100)</f>
        <v/>
      </c>
      <c r="AC2511" s="7">
        <f>IF($E2511="","",Y2511*AB2511/100)</f>
        <v/>
      </c>
      <c r="AD2511" s="7">
        <f>IF($E2511="","",Y2511-AC2511)</f>
        <v/>
      </c>
      <c r="AE2511" s="7">
        <f>IF($E2511="","",AD2511-Q2511)</f>
        <v/>
      </c>
      <c r="AI2511" s="7" t="n"/>
      <c r="AL2511" s="11" t="n"/>
      <c r="AN2511">
        <f>IF($E2511="","",IF(COUNTIF($E$2:$E2511,$E2511)=1,1,0))</f>
        <v/>
      </c>
      <c r="AO2511">
        <f>IF($AN2511=1,SUMPRODUCT(--($AR$2:$AR$4001&lt;$AR2511))+1,"")</f>
        <v/>
      </c>
      <c r="AP2511">
        <f>IF($E2511="","",IF(OR($U2511=TRUE(),$U2511="TRUE"),1,0))</f>
        <v/>
      </c>
      <c r="AQ2511">
        <f>IF($E2511="","",IF($AA2511="Yes",1,0))</f>
        <v/>
      </c>
      <c r="AR2511">
        <f>IF($AN2511=1,IFERROR(VALUE(MID($E2511,2,20)),1000000000)+ROW()/100000,"")</f>
        <v/>
      </c>
    </row>
    <row r="2512">
      <c r="G2512" s="11" t="n"/>
      <c r="Q2512" s="7">
        <f>IF($E2512="","",P2512*Y2512/100)</f>
        <v/>
      </c>
      <c r="R2512" s="7" t="n"/>
      <c r="X2512" s="7" t="n"/>
      <c r="Y2512" s="7" t="n"/>
      <c r="AB2512">
        <f>IF($E2512="","",IF($AQ2512=1,0,IF($AP2512=1,Settings!$C$6,Settings!$C$7))*100)</f>
        <v/>
      </c>
      <c r="AC2512" s="7">
        <f>IF($E2512="","",Y2512*AB2512/100)</f>
        <v/>
      </c>
      <c r="AD2512" s="7">
        <f>IF($E2512="","",Y2512-AC2512)</f>
        <v/>
      </c>
      <c r="AE2512" s="7">
        <f>IF($E2512="","",AD2512-Q2512)</f>
        <v/>
      </c>
      <c r="AI2512" s="7" t="n"/>
      <c r="AL2512" s="11" t="n"/>
      <c r="AN2512">
        <f>IF($E2512="","",IF(COUNTIF($E$2:$E2512,$E2512)=1,1,0))</f>
        <v/>
      </c>
      <c r="AO2512">
        <f>IF($AN2512=1,SUMPRODUCT(--($AR$2:$AR$4001&lt;$AR2512))+1,"")</f>
        <v/>
      </c>
      <c r="AP2512">
        <f>IF($E2512="","",IF(OR($U2512=TRUE(),$U2512="TRUE"),1,0))</f>
        <v/>
      </c>
      <c r="AQ2512">
        <f>IF($E2512="","",IF($AA2512="Yes",1,0))</f>
        <v/>
      </c>
      <c r="AR2512">
        <f>IF($AN2512=1,IFERROR(VALUE(MID($E2512,2,20)),1000000000)+ROW()/100000,"")</f>
        <v/>
      </c>
    </row>
    <row r="2513">
      <c r="G2513" s="11" t="n"/>
      <c r="Q2513" s="7">
        <f>IF($E2513="","",P2513*Y2513/100)</f>
        <v/>
      </c>
      <c r="R2513" s="7" t="n"/>
      <c r="X2513" s="7" t="n"/>
      <c r="Y2513" s="7" t="n"/>
      <c r="AB2513">
        <f>IF($E2513="","",IF($AQ2513=1,0,IF($AP2513=1,Settings!$C$6,Settings!$C$7))*100)</f>
        <v/>
      </c>
      <c r="AC2513" s="7">
        <f>IF($E2513="","",Y2513*AB2513/100)</f>
        <v/>
      </c>
      <c r="AD2513" s="7">
        <f>IF($E2513="","",Y2513-AC2513)</f>
        <v/>
      </c>
      <c r="AE2513" s="7">
        <f>IF($E2513="","",AD2513-Q2513)</f>
        <v/>
      </c>
      <c r="AI2513" s="7" t="n"/>
      <c r="AL2513" s="11" t="n"/>
      <c r="AN2513">
        <f>IF($E2513="","",IF(COUNTIF($E$2:$E2513,$E2513)=1,1,0))</f>
        <v/>
      </c>
      <c r="AO2513">
        <f>IF($AN2513=1,SUMPRODUCT(--($AR$2:$AR$4001&lt;$AR2513))+1,"")</f>
        <v/>
      </c>
      <c r="AP2513">
        <f>IF($E2513="","",IF(OR($U2513=TRUE(),$U2513="TRUE"),1,0))</f>
        <v/>
      </c>
      <c r="AQ2513">
        <f>IF($E2513="","",IF($AA2513="Yes",1,0))</f>
        <v/>
      </c>
      <c r="AR2513">
        <f>IF($AN2513=1,IFERROR(VALUE(MID($E2513,2,20)),1000000000)+ROW()/100000,"")</f>
        <v/>
      </c>
    </row>
    <row r="2514">
      <c r="G2514" s="11" t="n"/>
      <c r="Q2514" s="7">
        <f>IF($E2514="","",P2514*Y2514/100)</f>
        <v/>
      </c>
      <c r="R2514" s="7" t="n"/>
      <c r="X2514" s="7" t="n"/>
      <c r="Y2514" s="7" t="n"/>
      <c r="AB2514">
        <f>IF($E2514="","",IF($AQ2514=1,0,IF($AP2514=1,Settings!$C$6,Settings!$C$7))*100)</f>
        <v/>
      </c>
      <c r="AC2514" s="7">
        <f>IF($E2514="","",Y2514*AB2514/100)</f>
        <v/>
      </c>
      <c r="AD2514" s="7">
        <f>IF($E2514="","",Y2514-AC2514)</f>
        <v/>
      </c>
      <c r="AE2514" s="7">
        <f>IF($E2514="","",AD2514-Q2514)</f>
        <v/>
      </c>
      <c r="AI2514" s="7" t="n"/>
      <c r="AL2514" s="11" t="n"/>
      <c r="AN2514">
        <f>IF($E2514="","",IF(COUNTIF($E$2:$E2514,$E2514)=1,1,0))</f>
        <v/>
      </c>
      <c r="AO2514">
        <f>IF($AN2514=1,SUMPRODUCT(--($AR$2:$AR$4001&lt;$AR2514))+1,"")</f>
        <v/>
      </c>
      <c r="AP2514">
        <f>IF($E2514="","",IF(OR($U2514=TRUE(),$U2514="TRUE"),1,0))</f>
        <v/>
      </c>
      <c r="AQ2514">
        <f>IF($E2514="","",IF($AA2514="Yes",1,0))</f>
        <v/>
      </c>
      <c r="AR2514">
        <f>IF($AN2514=1,IFERROR(VALUE(MID($E2514,2,20)),1000000000)+ROW()/100000,"")</f>
        <v/>
      </c>
    </row>
    <row r="2515">
      <c r="G2515" s="11" t="n"/>
      <c r="Q2515" s="7">
        <f>IF($E2515="","",P2515*Y2515/100)</f>
        <v/>
      </c>
      <c r="R2515" s="7" t="n"/>
      <c r="X2515" s="7" t="n"/>
      <c r="Y2515" s="7" t="n"/>
      <c r="AB2515">
        <f>IF($E2515="","",IF($AQ2515=1,0,IF($AP2515=1,Settings!$C$6,Settings!$C$7))*100)</f>
        <v/>
      </c>
      <c r="AC2515" s="7">
        <f>IF($E2515="","",Y2515*AB2515/100)</f>
        <v/>
      </c>
      <c r="AD2515" s="7">
        <f>IF($E2515="","",Y2515-AC2515)</f>
        <v/>
      </c>
      <c r="AE2515" s="7">
        <f>IF($E2515="","",AD2515-Q2515)</f>
        <v/>
      </c>
      <c r="AI2515" s="7" t="n"/>
      <c r="AL2515" s="11" t="n"/>
      <c r="AN2515">
        <f>IF($E2515="","",IF(COUNTIF($E$2:$E2515,$E2515)=1,1,0))</f>
        <v/>
      </c>
      <c r="AO2515">
        <f>IF($AN2515=1,SUMPRODUCT(--($AR$2:$AR$4001&lt;$AR2515))+1,"")</f>
        <v/>
      </c>
      <c r="AP2515">
        <f>IF($E2515="","",IF(OR($U2515=TRUE(),$U2515="TRUE"),1,0))</f>
        <v/>
      </c>
      <c r="AQ2515">
        <f>IF($E2515="","",IF($AA2515="Yes",1,0))</f>
        <v/>
      </c>
      <c r="AR2515">
        <f>IF($AN2515=1,IFERROR(VALUE(MID($E2515,2,20)),1000000000)+ROW()/100000,"")</f>
        <v/>
      </c>
    </row>
    <row r="2516">
      <c r="G2516" s="11" t="n"/>
      <c r="Q2516" s="7">
        <f>IF($E2516="","",P2516*Y2516/100)</f>
        <v/>
      </c>
      <c r="R2516" s="7" t="n"/>
      <c r="X2516" s="7" t="n"/>
      <c r="Y2516" s="7" t="n"/>
      <c r="AB2516">
        <f>IF($E2516="","",IF($AQ2516=1,0,IF($AP2516=1,Settings!$C$6,Settings!$C$7))*100)</f>
        <v/>
      </c>
      <c r="AC2516" s="7">
        <f>IF($E2516="","",Y2516*AB2516/100)</f>
        <v/>
      </c>
      <c r="AD2516" s="7">
        <f>IF($E2516="","",Y2516-AC2516)</f>
        <v/>
      </c>
      <c r="AE2516" s="7">
        <f>IF($E2516="","",AD2516-Q2516)</f>
        <v/>
      </c>
      <c r="AI2516" s="7" t="n"/>
      <c r="AL2516" s="11" t="n"/>
      <c r="AN2516">
        <f>IF($E2516="","",IF(COUNTIF($E$2:$E2516,$E2516)=1,1,0))</f>
        <v/>
      </c>
      <c r="AO2516">
        <f>IF($AN2516=1,SUMPRODUCT(--($AR$2:$AR$4001&lt;$AR2516))+1,"")</f>
        <v/>
      </c>
      <c r="AP2516">
        <f>IF($E2516="","",IF(OR($U2516=TRUE(),$U2516="TRUE"),1,0))</f>
        <v/>
      </c>
      <c r="AQ2516">
        <f>IF($E2516="","",IF($AA2516="Yes",1,0))</f>
        <v/>
      </c>
      <c r="AR2516">
        <f>IF($AN2516=1,IFERROR(VALUE(MID($E2516,2,20)),1000000000)+ROW()/100000,"")</f>
        <v/>
      </c>
    </row>
    <row r="2517">
      <c r="G2517" s="11" t="n"/>
      <c r="Q2517" s="7">
        <f>IF($E2517="","",P2517*Y2517/100)</f>
        <v/>
      </c>
      <c r="R2517" s="7" t="n"/>
      <c r="X2517" s="7" t="n"/>
      <c r="Y2517" s="7" t="n"/>
      <c r="AB2517">
        <f>IF($E2517="","",IF($AQ2517=1,0,IF($AP2517=1,Settings!$C$6,Settings!$C$7))*100)</f>
        <v/>
      </c>
      <c r="AC2517" s="7">
        <f>IF($E2517="","",Y2517*AB2517/100)</f>
        <v/>
      </c>
      <c r="AD2517" s="7">
        <f>IF($E2517="","",Y2517-AC2517)</f>
        <v/>
      </c>
      <c r="AE2517" s="7">
        <f>IF($E2517="","",AD2517-Q2517)</f>
        <v/>
      </c>
      <c r="AI2517" s="7" t="n"/>
      <c r="AL2517" s="11" t="n"/>
      <c r="AN2517">
        <f>IF($E2517="","",IF(COUNTIF($E$2:$E2517,$E2517)=1,1,0))</f>
        <v/>
      </c>
      <c r="AO2517">
        <f>IF($AN2517=1,SUMPRODUCT(--($AR$2:$AR$4001&lt;$AR2517))+1,"")</f>
        <v/>
      </c>
      <c r="AP2517">
        <f>IF($E2517="","",IF(OR($U2517=TRUE(),$U2517="TRUE"),1,0))</f>
        <v/>
      </c>
      <c r="AQ2517">
        <f>IF($E2517="","",IF($AA2517="Yes",1,0))</f>
        <v/>
      </c>
      <c r="AR2517">
        <f>IF($AN2517=1,IFERROR(VALUE(MID($E2517,2,20)),1000000000)+ROW()/100000,"")</f>
        <v/>
      </c>
    </row>
    <row r="2518">
      <c r="G2518" s="11" t="n"/>
      <c r="Q2518" s="7">
        <f>IF($E2518="","",P2518*Y2518/100)</f>
        <v/>
      </c>
      <c r="R2518" s="7" t="n"/>
      <c r="X2518" s="7" t="n"/>
      <c r="Y2518" s="7" t="n"/>
      <c r="AB2518">
        <f>IF($E2518="","",IF($AQ2518=1,0,IF($AP2518=1,Settings!$C$6,Settings!$C$7))*100)</f>
        <v/>
      </c>
      <c r="AC2518" s="7">
        <f>IF($E2518="","",Y2518*AB2518/100)</f>
        <v/>
      </c>
      <c r="AD2518" s="7">
        <f>IF($E2518="","",Y2518-AC2518)</f>
        <v/>
      </c>
      <c r="AE2518" s="7">
        <f>IF($E2518="","",AD2518-Q2518)</f>
        <v/>
      </c>
      <c r="AI2518" s="7" t="n"/>
      <c r="AL2518" s="11" t="n"/>
      <c r="AN2518">
        <f>IF($E2518="","",IF(COUNTIF($E$2:$E2518,$E2518)=1,1,0))</f>
        <v/>
      </c>
      <c r="AO2518">
        <f>IF($AN2518=1,SUMPRODUCT(--($AR$2:$AR$4001&lt;$AR2518))+1,"")</f>
        <v/>
      </c>
      <c r="AP2518">
        <f>IF($E2518="","",IF(OR($U2518=TRUE(),$U2518="TRUE"),1,0))</f>
        <v/>
      </c>
      <c r="AQ2518">
        <f>IF($E2518="","",IF($AA2518="Yes",1,0))</f>
        <v/>
      </c>
      <c r="AR2518">
        <f>IF($AN2518=1,IFERROR(VALUE(MID($E2518,2,20)),1000000000)+ROW()/100000,"")</f>
        <v/>
      </c>
    </row>
    <row r="2519">
      <c r="G2519" s="11" t="n"/>
      <c r="Q2519" s="7">
        <f>IF($E2519="","",P2519*Y2519/100)</f>
        <v/>
      </c>
      <c r="R2519" s="7" t="n"/>
      <c r="X2519" s="7" t="n"/>
      <c r="Y2519" s="7" t="n"/>
      <c r="AB2519">
        <f>IF($E2519="","",IF($AQ2519=1,0,IF($AP2519=1,Settings!$C$6,Settings!$C$7))*100)</f>
        <v/>
      </c>
      <c r="AC2519" s="7">
        <f>IF($E2519="","",Y2519*AB2519/100)</f>
        <v/>
      </c>
      <c r="AD2519" s="7">
        <f>IF($E2519="","",Y2519-AC2519)</f>
        <v/>
      </c>
      <c r="AE2519" s="7">
        <f>IF($E2519="","",AD2519-Q2519)</f>
        <v/>
      </c>
      <c r="AI2519" s="7" t="n"/>
      <c r="AL2519" s="11" t="n"/>
      <c r="AN2519">
        <f>IF($E2519="","",IF(COUNTIF($E$2:$E2519,$E2519)=1,1,0))</f>
        <v/>
      </c>
      <c r="AO2519">
        <f>IF($AN2519=1,SUMPRODUCT(--($AR$2:$AR$4001&lt;$AR2519))+1,"")</f>
        <v/>
      </c>
      <c r="AP2519">
        <f>IF($E2519="","",IF(OR($U2519=TRUE(),$U2519="TRUE"),1,0))</f>
        <v/>
      </c>
      <c r="AQ2519">
        <f>IF($E2519="","",IF($AA2519="Yes",1,0))</f>
        <v/>
      </c>
      <c r="AR2519">
        <f>IF($AN2519=1,IFERROR(VALUE(MID($E2519,2,20)),1000000000)+ROW()/100000,"")</f>
        <v/>
      </c>
    </row>
    <row r="2520">
      <c r="G2520" s="11" t="n"/>
      <c r="Q2520" s="7">
        <f>IF($E2520="","",P2520*Y2520/100)</f>
        <v/>
      </c>
      <c r="R2520" s="7" t="n"/>
      <c r="X2520" s="7" t="n"/>
      <c r="Y2520" s="7" t="n"/>
      <c r="AB2520">
        <f>IF($E2520="","",IF($AQ2520=1,0,IF($AP2520=1,Settings!$C$6,Settings!$C$7))*100)</f>
        <v/>
      </c>
      <c r="AC2520" s="7">
        <f>IF($E2520="","",Y2520*AB2520/100)</f>
        <v/>
      </c>
      <c r="AD2520" s="7">
        <f>IF($E2520="","",Y2520-AC2520)</f>
        <v/>
      </c>
      <c r="AE2520" s="7">
        <f>IF($E2520="","",AD2520-Q2520)</f>
        <v/>
      </c>
      <c r="AI2520" s="7" t="n"/>
      <c r="AL2520" s="11" t="n"/>
      <c r="AN2520">
        <f>IF($E2520="","",IF(COUNTIF($E$2:$E2520,$E2520)=1,1,0))</f>
        <v/>
      </c>
      <c r="AO2520">
        <f>IF($AN2520=1,SUMPRODUCT(--($AR$2:$AR$4001&lt;$AR2520))+1,"")</f>
        <v/>
      </c>
      <c r="AP2520">
        <f>IF($E2520="","",IF(OR($U2520=TRUE(),$U2520="TRUE"),1,0))</f>
        <v/>
      </c>
      <c r="AQ2520">
        <f>IF($E2520="","",IF($AA2520="Yes",1,0))</f>
        <v/>
      </c>
      <c r="AR2520">
        <f>IF($AN2520=1,IFERROR(VALUE(MID($E2520,2,20)),1000000000)+ROW()/100000,"")</f>
        <v/>
      </c>
    </row>
    <row r="2521">
      <c r="G2521" s="11" t="n"/>
      <c r="Q2521" s="7">
        <f>IF($E2521="","",P2521*Y2521/100)</f>
        <v/>
      </c>
      <c r="R2521" s="7" t="n"/>
      <c r="X2521" s="7" t="n"/>
      <c r="Y2521" s="7" t="n"/>
      <c r="AB2521">
        <f>IF($E2521="","",IF($AQ2521=1,0,IF($AP2521=1,Settings!$C$6,Settings!$C$7))*100)</f>
        <v/>
      </c>
      <c r="AC2521" s="7">
        <f>IF($E2521="","",Y2521*AB2521/100)</f>
        <v/>
      </c>
      <c r="AD2521" s="7">
        <f>IF($E2521="","",Y2521-AC2521)</f>
        <v/>
      </c>
      <c r="AE2521" s="7">
        <f>IF($E2521="","",AD2521-Q2521)</f>
        <v/>
      </c>
      <c r="AI2521" s="7" t="n"/>
      <c r="AL2521" s="11" t="n"/>
      <c r="AN2521">
        <f>IF($E2521="","",IF(COUNTIF($E$2:$E2521,$E2521)=1,1,0))</f>
        <v/>
      </c>
      <c r="AO2521">
        <f>IF($AN2521=1,SUMPRODUCT(--($AR$2:$AR$4001&lt;$AR2521))+1,"")</f>
        <v/>
      </c>
      <c r="AP2521">
        <f>IF($E2521="","",IF(OR($U2521=TRUE(),$U2521="TRUE"),1,0))</f>
        <v/>
      </c>
      <c r="AQ2521">
        <f>IF($E2521="","",IF($AA2521="Yes",1,0))</f>
        <v/>
      </c>
      <c r="AR2521">
        <f>IF($AN2521=1,IFERROR(VALUE(MID($E2521,2,20)),1000000000)+ROW()/100000,"")</f>
        <v/>
      </c>
    </row>
    <row r="2522">
      <c r="G2522" s="11" t="n"/>
      <c r="Q2522" s="7">
        <f>IF($E2522="","",P2522*Y2522/100)</f>
        <v/>
      </c>
      <c r="R2522" s="7" t="n"/>
      <c r="X2522" s="7" t="n"/>
      <c r="Y2522" s="7" t="n"/>
      <c r="AB2522">
        <f>IF($E2522="","",IF($AQ2522=1,0,IF($AP2522=1,Settings!$C$6,Settings!$C$7))*100)</f>
        <v/>
      </c>
      <c r="AC2522" s="7">
        <f>IF($E2522="","",Y2522*AB2522/100)</f>
        <v/>
      </c>
      <c r="AD2522" s="7">
        <f>IF($E2522="","",Y2522-AC2522)</f>
        <v/>
      </c>
      <c r="AE2522" s="7">
        <f>IF($E2522="","",AD2522-Q2522)</f>
        <v/>
      </c>
      <c r="AI2522" s="7" t="n"/>
      <c r="AL2522" s="11" t="n"/>
      <c r="AN2522">
        <f>IF($E2522="","",IF(COUNTIF($E$2:$E2522,$E2522)=1,1,0))</f>
        <v/>
      </c>
      <c r="AO2522">
        <f>IF($AN2522=1,SUMPRODUCT(--($AR$2:$AR$4001&lt;$AR2522))+1,"")</f>
        <v/>
      </c>
      <c r="AP2522">
        <f>IF($E2522="","",IF(OR($U2522=TRUE(),$U2522="TRUE"),1,0))</f>
        <v/>
      </c>
      <c r="AQ2522">
        <f>IF($E2522="","",IF($AA2522="Yes",1,0))</f>
        <v/>
      </c>
      <c r="AR2522">
        <f>IF($AN2522=1,IFERROR(VALUE(MID($E2522,2,20)),1000000000)+ROW()/100000,"")</f>
        <v/>
      </c>
    </row>
    <row r="2523">
      <c r="G2523" s="11" t="n"/>
      <c r="Q2523" s="7">
        <f>IF($E2523="","",P2523*Y2523/100)</f>
        <v/>
      </c>
      <c r="R2523" s="7" t="n"/>
      <c r="X2523" s="7" t="n"/>
      <c r="Y2523" s="7" t="n"/>
      <c r="AB2523">
        <f>IF($E2523="","",IF($AQ2523=1,0,IF($AP2523=1,Settings!$C$6,Settings!$C$7))*100)</f>
        <v/>
      </c>
      <c r="AC2523" s="7">
        <f>IF($E2523="","",Y2523*AB2523/100)</f>
        <v/>
      </c>
      <c r="AD2523" s="7">
        <f>IF($E2523="","",Y2523-AC2523)</f>
        <v/>
      </c>
      <c r="AE2523" s="7">
        <f>IF($E2523="","",AD2523-Q2523)</f>
        <v/>
      </c>
      <c r="AI2523" s="7" t="n"/>
      <c r="AL2523" s="11" t="n"/>
      <c r="AN2523">
        <f>IF($E2523="","",IF(COUNTIF($E$2:$E2523,$E2523)=1,1,0))</f>
        <v/>
      </c>
      <c r="AO2523">
        <f>IF($AN2523=1,SUMPRODUCT(--($AR$2:$AR$4001&lt;$AR2523))+1,"")</f>
        <v/>
      </c>
      <c r="AP2523">
        <f>IF($E2523="","",IF(OR($U2523=TRUE(),$U2523="TRUE"),1,0))</f>
        <v/>
      </c>
      <c r="AQ2523">
        <f>IF($E2523="","",IF($AA2523="Yes",1,0))</f>
        <v/>
      </c>
      <c r="AR2523">
        <f>IF($AN2523=1,IFERROR(VALUE(MID($E2523,2,20)),1000000000)+ROW()/100000,"")</f>
        <v/>
      </c>
    </row>
    <row r="2524">
      <c r="G2524" s="11" t="n"/>
      <c r="Q2524" s="7">
        <f>IF($E2524="","",P2524*Y2524/100)</f>
        <v/>
      </c>
      <c r="R2524" s="7" t="n"/>
      <c r="X2524" s="7" t="n"/>
      <c r="Y2524" s="7" t="n"/>
      <c r="AB2524">
        <f>IF($E2524="","",IF($AQ2524=1,0,IF($AP2524=1,Settings!$C$6,Settings!$C$7))*100)</f>
        <v/>
      </c>
      <c r="AC2524" s="7">
        <f>IF($E2524="","",Y2524*AB2524/100)</f>
        <v/>
      </c>
      <c r="AD2524" s="7">
        <f>IF($E2524="","",Y2524-AC2524)</f>
        <v/>
      </c>
      <c r="AE2524" s="7">
        <f>IF($E2524="","",AD2524-Q2524)</f>
        <v/>
      </c>
      <c r="AI2524" s="7" t="n"/>
      <c r="AL2524" s="11" t="n"/>
      <c r="AN2524">
        <f>IF($E2524="","",IF(COUNTIF($E$2:$E2524,$E2524)=1,1,0))</f>
        <v/>
      </c>
      <c r="AO2524">
        <f>IF($AN2524=1,SUMPRODUCT(--($AR$2:$AR$4001&lt;$AR2524))+1,"")</f>
        <v/>
      </c>
      <c r="AP2524">
        <f>IF($E2524="","",IF(OR($U2524=TRUE(),$U2524="TRUE"),1,0))</f>
        <v/>
      </c>
      <c r="AQ2524">
        <f>IF($E2524="","",IF($AA2524="Yes",1,0))</f>
        <v/>
      </c>
      <c r="AR2524">
        <f>IF($AN2524=1,IFERROR(VALUE(MID($E2524,2,20)),1000000000)+ROW()/100000,"")</f>
        <v/>
      </c>
    </row>
    <row r="2525">
      <c r="G2525" s="11" t="n"/>
      <c r="Q2525" s="7">
        <f>IF($E2525="","",P2525*Y2525/100)</f>
        <v/>
      </c>
      <c r="R2525" s="7" t="n"/>
      <c r="X2525" s="7" t="n"/>
      <c r="Y2525" s="7" t="n"/>
      <c r="AB2525">
        <f>IF($E2525="","",IF($AQ2525=1,0,IF($AP2525=1,Settings!$C$6,Settings!$C$7))*100)</f>
        <v/>
      </c>
      <c r="AC2525" s="7">
        <f>IF($E2525="","",Y2525*AB2525/100)</f>
        <v/>
      </c>
      <c r="AD2525" s="7">
        <f>IF($E2525="","",Y2525-AC2525)</f>
        <v/>
      </c>
      <c r="AE2525" s="7">
        <f>IF($E2525="","",AD2525-Q2525)</f>
        <v/>
      </c>
      <c r="AI2525" s="7" t="n"/>
      <c r="AL2525" s="11" t="n"/>
      <c r="AN2525">
        <f>IF($E2525="","",IF(COUNTIF($E$2:$E2525,$E2525)=1,1,0))</f>
        <v/>
      </c>
      <c r="AO2525">
        <f>IF($AN2525=1,SUMPRODUCT(--($AR$2:$AR$4001&lt;$AR2525))+1,"")</f>
        <v/>
      </c>
      <c r="AP2525">
        <f>IF($E2525="","",IF(OR($U2525=TRUE(),$U2525="TRUE"),1,0))</f>
        <v/>
      </c>
      <c r="AQ2525">
        <f>IF($E2525="","",IF($AA2525="Yes",1,0))</f>
        <v/>
      </c>
      <c r="AR2525">
        <f>IF($AN2525=1,IFERROR(VALUE(MID($E2525,2,20)),1000000000)+ROW()/100000,"")</f>
        <v/>
      </c>
    </row>
    <row r="2526">
      <c r="G2526" s="11" t="n"/>
      <c r="Q2526" s="7">
        <f>IF($E2526="","",P2526*Y2526/100)</f>
        <v/>
      </c>
      <c r="R2526" s="7" t="n"/>
      <c r="X2526" s="7" t="n"/>
      <c r="Y2526" s="7" t="n"/>
      <c r="AB2526">
        <f>IF($E2526="","",IF($AQ2526=1,0,IF($AP2526=1,Settings!$C$6,Settings!$C$7))*100)</f>
        <v/>
      </c>
      <c r="AC2526" s="7">
        <f>IF($E2526="","",Y2526*AB2526/100)</f>
        <v/>
      </c>
      <c r="AD2526" s="7">
        <f>IF($E2526="","",Y2526-AC2526)</f>
        <v/>
      </c>
      <c r="AE2526" s="7">
        <f>IF($E2526="","",AD2526-Q2526)</f>
        <v/>
      </c>
      <c r="AI2526" s="7" t="n"/>
      <c r="AL2526" s="11" t="n"/>
      <c r="AN2526">
        <f>IF($E2526="","",IF(COUNTIF($E$2:$E2526,$E2526)=1,1,0))</f>
        <v/>
      </c>
      <c r="AO2526">
        <f>IF($AN2526=1,SUMPRODUCT(--($AR$2:$AR$4001&lt;$AR2526))+1,"")</f>
        <v/>
      </c>
      <c r="AP2526">
        <f>IF($E2526="","",IF(OR($U2526=TRUE(),$U2526="TRUE"),1,0))</f>
        <v/>
      </c>
      <c r="AQ2526">
        <f>IF($E2526="","",IF($AA2526="Yes",1,0))</f>
        <v/>
      </c>
      <c r="AR2526">
        <f>IF($AN2526=1,IFERROR(VALUE(MID($E2526,2,20)),1000000000)+ROW()/100000,"")</f>
        <v/>
      </c>
    </row>
    <row r="2527">
      <c r="G2527" s="11" t="n"/>
      <c r="Q2527" s="7">
        <f>IF($E2527="","",P2527*Y2527/100)</f>
        <v/>
      </c>
      <c r="R2527" s="7" t="n"/>
      <c r="X2527" s="7" t="n"/>
      <c r="Y2527" s="7" t="n"/>
      <c r="AB2527">
        <f>IF($E2527="","",IF($AQ2527=1,0,IF($AP2527=1,Settings!$C$6,Settings!$C$7))*100)</f>
        <v/>
      </c>
      <c r="AC2527" s="7">
        <f>IF($E2527="","",Y2527*AB2527/100)</f>
        <v/>
      </c>
      <c r="AD2527" s="7">
        <f>IF($E2527="","",Y2527-AC2527)</f>
        <v/>
      </c>
      <c r="AE2527" s="7">
        <f>IF($E2527="","",AD2527-Q2527)</f>
        <v/>
      </c>
      <c r="AI2527" s="7" t="n"/>
      <c r="AL2527" s="11" t="n"/>
      <c r="AN2527">
        <f>IF($E2527="","",IF(COUNTIF($E$2:$E2527,$E2527)=1,1,0))</f>
        <v/>
      </c>
      <c r="AO2527">
        <f>IF($AN2527=1,SUMPRODUCT(--($AR$2:$AR$4001&lt;$AR2527))+1,"")</f>
        <v/>
      </c>
      <c r="AP2527">
        <f>IF($E2527="","",IF(OR($U2527=TRUE(),$U2527="TRUE"),1,0))</f>
        <v/>
      </c>
      <c r="AQ2527">
        <f>IF($E2527="","",IF($AA2527="Yes",1,0))</f>
        <v/>
      </c>
      <c r="AR2527">
        <f>IF($AN2527=1,IFERROR(VALUE(MID($E2527,2,20)),1000000000)+ROW()/100000,"")</f>
        <v/>
      </c>
    </row>
    <row r="2528">
      <c r="G2528" s="11" t="n"/>
      <c r="Q2528" s="7">
        <f>IF($E2528="","",P2528*Y2528/100)</f>
        <v/>
      </c>
      <c r="R2528" s="7" t="n"/>
      <c r="X2528" s="7" t="n"/>
      <c r="Y2528" s="7" t="n"/>
      <c r="AB2528">
        <f>IF($E2528="","",IF($AQ2528=1,0,IF($AP2528=1,Settings!$C$6,Settings!$C$7))*100)</f>
        <v/>
      </c>
      <c r="AC2528" s="7">
        <f>IF($E2528="","",Y2528*AB2528/100)</f>
        <v/>
      </c>
      <c r="AD2528" s="7">
        <f>IF($E2528="","",Y2528-AC2528)</f>
        <v/>
      </c>
      <c r="AE2528" s="7">
        <f>IF($E2528="","",AD2528-Q2528)</f>
        <v/>
      </c>
      <c r="AI2528" s="7" t="n"/>
      <c r="AL2528" s="11" t="n"/>
      <c r="AN2528">
        <f>IF($E2528="","",IF(COUNTIF($E$2:$E2528,$E2528)=1,1,0))</f>
        <v/>
      </c>
      <c r="AO2528">
        <f>IF($AN2528=1,SUMPRODUCT(--($AR$2:$AR$4001&lt;$AR2528))+1,"")</f>
        <v/>
      </c>
      <c r="AP2528">
        <f>IF($E2528="","",IF(OR($U2528=TRUE(),$U2528="TRUE"),1,0))</f>
        <v/>
      </c>
      <c r="AQ2528">
        <f>IF($E2528="","",IF($AA2528="Yes",1,0))</f>
        <v/>
      </c>
      <c r="AR2528">
        <f>IF($AN2528=1,IFERROR(VALUE(MID($E2528,2,20)),1000000000)+ROW()/100000,"")</f>
        <v/>
      </c>
    </row>
    <row r="2529">
      <c r="G2529" s="11" t="n"/>
      <c r="Q2529" s="7">
        <f>IF($E2529="","",P2529*Y2529/100)</f>
        <v/>
      </c>
      <c r="R2529" s="7" t="n"/>
      <c r="X2529" s="7" t="n"/>
      <c r="Y2529" s="7" t="n"/>
      <c r="AB2529">
        <f>IF($E2529="","",IF($AQ2529=1,0,IF($AP2529=1,Settings!$C$6,Settings!$C$7))*100)</f>
        <v/>
      </c>
      <c r="AC2529" s="7">
        <f>IF($E2529="","",Y2529*AB2529/100)</f>
        <v/>
      </c>
      <c r="AD2529" s="7">
        <f>IF($E2529="","",Y2529-AC2529)</f>
        <v/>
      </c>
      <c r="AE2529" s="7">
        <f>IF($E2529="","",AD2529-Q2529)</f>
        <v/>
      </c>
      <c r="AI2529" s="7" t="n"/>
      <c r="AL2529" s="11" t="n"/>
      <c r="AN2529">
        <f>IF($E2529="","",IF(COUNTIF($E$2:$E2529,$E2529)=1,1,0))</f>
        <v/>
      </c>
      <c r="AO2529">
        <f>IF($AN2529=1,SUMPRODUCT(--($AR$2:$AR$4001&lt;$AR2529))+1,"")</f>
        <v/>
      </c>
      <c r="AP2529">
        <f>IF($E2529="","",IF(OR($U2529=TRUE(),$U2529="TRUE"),1,0))</f>
        <v/>
      </c>
      <c r="AQ2529">
        <f>IF($E2529="","",IF($AA2529="Yes",1,0))</f>
        <v/>
      </c>
      <c r="AR2529">
        <f>IF($AN2529=1,IFERROR(VALUE(MID($E2529,2,20)),1000000000)+ROW()/100000,"")</f>
        <v/>
      </c>
    </row>
    <row r="2530">
      <c r="G2530" s="11" t="n"/>
      <c r="Q2530" s="7">
        <f>IF($E2530="","",P2530*Y2530/100)</f>
        <v/>
      </c>
      <c r="R2530" s="7" t="n"/>
      <c r="X2530" s="7" t="n"/>
      <c r="Y2530" s="7" t="n"/>
      <c r="AB2530">
        <f>IF($E2530="","",IF($AQ2530=1,0,IF($AP2530=1,Settings!$C$6,Settings!$C$7))*100)</f>
        <v/>
      </c>
      <c r="AC2530" s="7">
        <f>IF($E2530="","",Y2530*AB2530/100)</f>
        <v/>
      </c>
      <c r="AD2530" s="7">
        <f>IF($E2530="","",Y2530-AC2530)</f>
        <v/>
      </c>
      <c r="AE2530" s="7">
        <f>IF($E2530="","",AD2530-Q2530)</f>
        <v/>
      </c>
      <c r="AI2530" s="7" t="n"/>
      <c r="AL2530" s="11" t="n"/>
      <c r="AN2530">
        <f>IF($E2530="","",IF(COUNTIF($E$2:$E2530,$E2530)=1,1,0))</f>
        <v/>
      </c>
      <c r="AO2530">
        <f>IF($AN2530=1,SUMPRODUCT(--($AR$2:$AR$4001&lt;$AR2530))+1,"")</f>
        <v/>
      </c>
      <c r="AP2530">
        <f>IF($E2530="","",IF(OR($U2530=TRUE(),$U2530="TRUE"),1,0))</f>
        <v/>
      </c>
      <c r="AQ2530">
        <f>IF($E2530="","",IF($AA2530="Yes",1,0))</f>
        <v/>
      </c>
      <c r="AR2530">
        <f>IF($AN2530=1,IFERROR(VALUE(MID($E2530,2,20)),1000000000)+ROW()/100000,"")</f>
        <v/>
      </c>
    </row>
    <row r="2531">
      <c r="G2531" s="11" t="n"/>
      <c r="Q2531" s="7">
        <f>IF($E2531="","",P2531*Y2531/100)</f>
        <v/>
      </c>
      <c r="R2531" s="7" t="n"/>
      <c r="X2531" s="7" t="n"/>
      <c r="Y2531" s="7" t="n"/>
      <c r="AB2531">
        <f>IF($E2531="","",IF($AQ2531=1,0,IF($AP2531=1,Settings!$C$6,Settings!$C$7))*100)</f>
        <v/>
      </c>
      <c r="AC2531" s="7">
        <f>IF($E2531="","",Y2531*AB2531/100)</f>
        <v/>
      </c>
      <c r="AD2531" s="7">
        <f>IF($E2531="","",Y2531-AC2531)</f>
        <v/>
      </c>
      <c r="AE2531" s="7">
        <f>IF($E2531="","",AD2531-Q2531)</f>
        <v/>
      </c>
      <c r="AI2531" s="7" t="n"/>
      <c r="AL2531" s="11" t="n"/>
      <c r="AN2531">
        <f>IF($E2531="","",IF(COUNTIF($E$2:$E2531,$E2531)=1,1,0))</f>
        <v/>
      </c>
      <c r="AO2531">
        <f>IF($AN2531=1,SUMPRODUCT(--($AR$2:$AR$4001&lt;$AR2531))+1,"")</f>
        <v/>
      </c>
      <c r="AP2531">
        <f>IF($E2531="","",IF(OR($U2531=TRUE(),$U2531="TRUE"),1,0))</f>
        <v/>
      </c>
      <c r="AQ2531">
        <f>IF($E2531="","",IF($AA2531="Yes",1,0))</f>
        <v/>
      </c>
      <c r="AR2531">
        <f>IF($AN2531=1,IFERROR(VALUE(MID($E2531,2,20)),1000000000)+ROW()/100000,"")</f>
        <v/>
      </c>
    </row>
    <row r="2532">
      <c r="G2532" s="11" t="n"/>
      <c r="Q2532" s="7">
        <f>IF($E2532="","",P2532*Y2532/100)</f>
        <v/>
      </c>
      <c r="R2532" s="7" t="n"/>
      <c r="X2532" s="7" t="n"/>
      <c r="Y2532" s="7" t="n"/>
      <c r="AB2532">
        <f>IF($E2532="","",IF($AQ2532=1,0,IF($AP2532=1,Settings!$C$6,Settings!$C$7))*100)</f>
        <v/>
      </c>
      <c r="AC2532" s="7">
        <f>IF($E2532="","",Y2532*AB2532/100)</f>
        <v/>
      </c>
      <c r="AD2532" s="7">
        <f>IF($E2532="","",Y2532-AC2532)</f>
        <v/>
      </c>
      <c r="AE2532" s="7">
        <f>IF($E2532="","",AD2532-Q2532)</f>
        <v/>
      </c>
      <c r="AI2532" s="7" t="n"/>
      <c r="AL2532" s="11" t="n"/>
      <c r="AN2532">
        <f>IF($E2532="","",IF(COUNTIF($E$2:$E2532,$E2532)=1,1,0))</f>
        <v/>
      </c>
      <c r="AO2532">
        <f>IF($AN2532=1,SUMPRODUCT(--($AR$2:$AR$4001&lt;$AR2532))+1,"")</f>
        <v/>
      </c>
      <c r="AP2532">
        <f>IF($E2532="","",IF(OR($U2532=TRUE(),$U2532="TRUE"),1,0))</f>
        <v/>
      </c>
      <c r="AQ2532">
        <f>IF($E2532="","",IF($AA2532="Yes",1,0))</f>
        <v/>
      </c>
      <c r="AR2532">
        <f>IF($AN2532=1,IFERROR(VALUE(MID($E2532,2,20)),1000000000)+ROW()/100000,"")</f>
        <v/>
      </c>
    </row>
    <row r="2533">
      <c r="G2533" s="11" t="n"/>
      <c r="Q2533" s="7">
        <f>IF($E2533="","",P2533*Y2533/100)</f>
        <v/>
      </c>
      <c r="R2533" s="7" t="n"/>
      <c r="X2533" s="7" t="n"/>
      <c r="Y2533" s="7" t="n"/>
      <c r="AB2533">
        <f>IF($E2533="","",IF($AQ2533=1,0,IF($AP2533=1,Settings!$C$6,Settings!$C$7))*100)</f>
        <v/>
      </c>
      <c r="AC2533" s="7">
        <f>IF($E2533="","",Y2533*AB2533/100)</f>
        <v/>
      </c>
      <c r="AD2533" s="7">
        <f>IF($E2533="","",Y2533-AC2533)</f>
        <v/>
      </c>
      <c r="AE2533" s="7">
        <f>IF($E2533="","",AD2533-Q2533)</f>
        <v/>
      </c>
      <c r="AI2533" s="7" t="n"/>
      <c r="AL2533" s="11" t="n"/>
      <c r="AN2533">
        <f>IF($E2533="","",IF(COUNTIF($E$2:$E2533,$E2533)=1,1,0))</f>
        <v/>
      </c>
      <c r="AO2533">
        <f>IF($AN2533=1,SUMPRODUCT(--($AR$2:$AR$4001&lt;$AR2533))+1,"")</f>
        <v/>
      </c>
      <c r="AP2533">
        <f>IF($E2533="","",IF(OR($U2533=TRUE(),$U2533="TRUE"),1,0))</f>
        <v/>
      </c>
      <c r="AQ2533">
        <f>IF($E2533="","",IF($AA2533="Yes",1,0))</f>
        <v/>
      </c>
      <c r="AR2533">
        <f>IF($AN2533=1,IFERROR(VALUE(MID($E2533,2,20)),1000000000)+ROW()/100000,"")</f>
        <v/>
      </c>
    </row>
    <row r="2534">
      <c r="G2534" s="11" t="n"/>
      <c r="Q2534" s="7">
        <f>IF($E2534="","",P2534*Y2534/100)</f>
        <v/>
      </c>
      <c r="R2534" s="7" t="n"/>
      <c r="X2534" s="7" t="n"/>
      <c r="Y2534" s="7" t="n"/>
      <c r="AB2534">
        <f>IF($E2534="","",IF($AQ2534=1,0,IF($AP2534=1,Settings!$C$6,Settings!$C$7))*100)</f>
        <v/>
      </c>
      <c r="AC2534" s="7">
        <f>IF($E2534="","",Y2534*AB2534/100)</f>
        <v/>
      </c>
      <c r="AD2534" s="7">
        <f>IF($E2534="","",Y2534-AC2534)</f>
        <v/>
      </c>
      <c r="AE2534" s="7">
        <f>IF($E2534="","",AD2534-Q2534)</f>
        <v/>
      </c>
      <c r="AI2534" s="7" t="n"/>
      <c r="AL2534" s="11" t="n"/>
      <c r="AN2534">
        <f>IF($E2534="","",IF(COUNTIF($E$2:$E2534,$E2534)=1,1,0))</f>
        <v/>
      </c>
      <c r="AO2534">
        <f>IF($AN2534=1,SUMPRODUCT(--($AR$2:$AR$4001&lt;$AR2534))+1,"")</f>
        <v/>
      </c>
      <c r="AP2534">
        <f>IF($E2534="","",IF(OR($U2534=TRUE(),$U2534="TRUE"),1,0))</f>
        <v/>
      </c>
      <c r="AQ2534">
        <f>IF($E2534="","",IF($AA2534="Yes",1,0))</f>
        <v/>
      </c>
      <c r="AR2534">
        <f>IF($AN2534=1,IFERROR(VALUE(MID($E2534,2,20)),1000000000)+ROW()/100000,"")</f>
        <v/>
      </c>
    </row>
    <row r="2535">
      <c r="G2535" s="11" t="n"/>
      <c r="Q2535" s="7">
        <f>IF($E2535="","",P2535*Y2535/100)</f>
        <v/>
      </c>
      <c r="R2535" s="7" t="n"/>
      <c r="X2535" s="7" t="n"/>
      <c r="Y2535" s="7" t="n"/>
      <c r="AB2535">
        <f>IF($E2535="","",IF($AQ2535=1,0,IF($AP2535=1,Settings!$C$6,Settings!$C$7))*100)</f>
        <v/>
      </c>
      <c r="AC2535" s="7">
        <f>IF($E2535="","",Y2535*AB2535/100)</f>
        <v/>
      </c>
      <c r="AD2535" s="7">
        <f>IF($E2535="","",Y2535-AC2535)</f>
        <v/>
      </c>
      <c r="AE2535" s="7">
        <f>IF($E2535="","",AD2535-Q2535)</f>
        <v/>
      </c>
      <c r="AI2535" s="7" t="n"/>
      <c r="AL2535" s="11" t="n"/>
      <c r="AN2535">
        <f>IF($E2535="","",IF(COUNTIF($E$2:$E2535,$E2535)=1,1,0))</f>
        <v/>
      </c>
      <c r="AO2535">
        <f>IF($AN2535=1,SUMPRODUCT(--($AR$2:$AR$4001&lt;$AR2535))+1,"")</f>
        <v/>
      </c>
      <c r="AP2535">
        <f>IF($E2535="","",IF(OR($U2535=TRUE(),$U2535="TRUE"),1,0))</f>
        <v/>
      </c>
      <c r="AQ2535">
        <f>IF($E2535="","",IF($AA2535="Yes",1,0))</f>
        <v/>
      </c>
      <c r="AR2535">
        <f>IF($AN2535=1,IFERROR(VALUE(MID($E2535,2,20)),1000000000)+ROW()/100000,"")</f>
        <v/>
      </c>
    </row>
    <row r="2536">
      <c r="G2536" s="11" t="n"/>
      <c r="Q2536" s="7">
        <f>IF($E2536="","",P2536*Y2536/100)</f>
        <v/>
      </c>
      <c r="R2536" s="7" t="n"/>
      <c r="X2536" s="7" t="n"/>
      <c r="Y2536" s="7" t="n"/>
      <c r="AB2536">
        <f>IF($E2536="","",IF($AQ2536=1,0,IF($AP2536=1,Settings!$C$6,Settings!$C$7))*100)</f>
        <v/>
      </c>
      <c r="AC2536" s="7">
        <f>IF($E2536="","",Y2536*AB2536/100)</f>
        <v/>
      </c>
      <c r="AD2536" s="7">
        <f>IF($E2536="","",Y2536-AC2536)</f>
        <v/>
      </c>
      <c r="AE2536" s="7">
        <f>IF($E2536="","",AD2536-Q2536)</f>
        <v/>
      </c>
      <c r="AI2536" s="7" t="n"/>
      <c r="AL2536" s="11" t="n"/>
      <c r="AN2536">
        <f>IF($E2536="","",IF(COUNTIF($E$2:$E2536,$E2536)=1,1,0))</f>
        <v/>
      </c>
      <c r="AO2536">
        <f>IF($AN2536=1,SUMPRODUCT(--($AR$2:$AR$4001&lt;$AR2536))+1,"")</f>
        <v/>
      </c>
      <c r="AP2536">
        <f>IF($E2536="","",IF(OR($U2536=TRUE(),$U2536="TRUE"),1,0))</f>
        <v/>
      </c>
      <c r="AQ2536">
        <f>IF($E2536="","",IF($AA2536="Yes",1,0))</f>
        <v/>
      </c>
      <c r="AR2536">
        <f>IF($AN2536=1,IFERROR(VALUE(MID($E2536,2,20)),1000000000)+ROW()/100000,"")</f>
        <v/>
      </c>
    </row>
    <row r="2537">
      <c r="G2537" s="11" t="n"/>
      <c r="Q2537" s="7">
        <f>IF($E2537="","",P2537*Y2537/100)</f>
        <v/>
      </c>
      <c r="R2537" s="7" t="n"/>
      <c r="X2537" s="7" t="n"/>
      <c r="Y2537" s="7" t="n"/>
      <c r="AB2537">
        <f>IF($E2537="","",IF($AQ2537=1,0,IF($AP2537=1,Settings!$C$6,Settings!$C$7))*100)</f>
        <v/>
      </c>
      <c r="AC2537" s="7">
        <f>IF($E2537="","",Y2537*AB2537/100)</f>
        <v/>
      </c>
      <c r="AD2537" s="7">
        <f>IF($E2537="","",Y2537-AC2537)</f>
        <v/>
      </c>
      <c r="AE2537" s="7">
        <f>IF($E2537="","",AD2537-Q2537)</f>
        <v/>
      </c>
      <c r="AI2537" s="7" t="n"/>
      <c r="AL2537" s="11" t="n"/>
      <c r="AN2537">
        <f>IF($E2537="","",IF(COUNTIF($E$2:$E2537,$E2537)=1,1,0))</f>
        <v/>
      </c>
      <c r="AO2537">
        <f>IF($AN2537=1,SUMPRODUCT(--($AR$2:$AR$4001&lt;$AR2537))+1,"")</f>
        <v/>
      </c>
      <c r="AP2537">
        <f>IF($E2537="","",IF(OR($U2537=TRUE(),$U2537="TRUE"),1,0))</f>
        <v/>
      </c>
      <c r="AQ2537">
        <f>IF($E2537="","",IF($AA2537="Yes",1,0))</f>
        <v/>
      </c>
      <c r="AR2537">
        <f>IF($AN2537=1,IFERROR(VALUE(MID($E2537,2,20)),1000000000)+ROW()/100000,"")</f>
        <v/>
      </c>
    </row>
    <row r="2538">
      <c r="G2538" s="11" t="n"/>
      <c r="Q2538" s="7">
        <f>IF($E2538="","",P2538*Y2538/100)</f>
        <v/>
      </c>
      <c r="R2538" s="7" t="n"/>
      <c r="X2538" s="7" t="n"/>
      <c r="Y2538" s="7" t="n"/>
      <c r="AB2538">
        <f>IF($E2538="","",IF($AQ2538=1,0,IF($AP2538=1,Settings!$C$6,Settings!$C$7))*100)</f>
        <v/>
      </c>
      <c r="AC2538" s="7">
        <f>IF($E2538="","",Y2538*AB2538/100)</f>
        <v/>
      </c>
      <c r="AD2538" s="7">
        <f>IF($E2538="","",Y2538-AC2538)</f>
        <v/>
      </c>
      <c r="AE2538" s="7">
        <f>IF($E2538="","",AD2538-Q2538)</f>
        <v/>
      </c>
      <c r="AI2538" s="7" t="n"/>
      <c r="AL2538" s="11" t="n"/>
      <c r="AN2538">
        <f>IF($E2538="","",IF(COUNTIF($E$2:$E2538,$E2538)=1,1,0))</f>
        <v/>
      </c>
      <c r="AO2538">
        <f>IF($AN2538=1,SUMPRODUCT(--($AR$2:$AR$4001&lt;$AR2538))+1,"")</f>
        <v/>
      </c>
      <c r="AP2538">
        <f>IF($E2538="","",IF(OR($U2538=TRUE(),$U2538="TRUE"),1,0))</f>
        <v/>
      </c>
      <c r="AQ2538">
        <f>IF($E2538="","",IF($AA2538="Yes",1,0))</f>
        <v/>
      </c>
      <c r="AR2538">
        <f>IF($AN2538=1,IFERROR(VALUE(MID($E2538,2,20)),1000000000)+ROW()/100000,"")</f>
        <v/>
      </c>
    </row>
    <row r="2539">
      <c r="G2539" s="11" t="n"/>
      <c r="Q2539" s="7">
        <f>IF($E2539="","",P2539*Y2539/100)</f>
        <v/>
      </c>
      <c r="R2539" s="7" t="n"/>
      <c r="X2539" s="7" t="n"/>
      <c r="Y2539" s="7" t="n"/>
      <c r="AB2539">
        <f>IF($E2539="","",IF($AQ2539=1,0,IF($AP2539=1,Settings!$C$6,Settings!$C$7))*100)</f>
        <v/>
      </c>
      <c r="AC2539" s="7">
        <f>IF($E2539="","",Y2539*AB2539/100)</f>
        <v/>
      </c>
      <c r="AD2539" s="7">
        <f>IF($E2539="","",Y2539-AC2539)</f>
        <v/>
      </c>
      <c r="AE2539" s="7">
        <f>IF($E2539="","",AD2539-Q2539)</f>
        <v/>
      </c>
      <c r="AI2539" s="7" t="n"/>
      <c r="AL2539" s="11" t="n"/>
      <c r="AN2539">
        <f>IF($E2539="","",IF(COUNTIF($E$2:$E2539,$E2539)=1,1,0))</f>
        <v/>
      </c>
      <c r="AO2539">
        <f>IF($AN2539=1,SUMPRODUCT(--($AR$2:$AR$4001&lt;$AR2539))+1,"")</f>
        <v/>
      </c>
      <c r="AP2539">
        <f>IF($E2539="","",IF(OR($U2539=TRUE(),$U2539="TRUE"),1,0))</f>
        <v/>
      </c>
      <c r="AQ2539">
        <f>IF($E2539="","",IF($AA2539="Yes",1,0))</f>
        <v/>
      </c>
      <c r="AR2539">
        <f>IF($AN2539=1,IFERROR(VALUE(MID($E2539,2,20)),1000000000)+ROW()/100000,"")</f>
        <v/>
      </c>
    </row>
    <row r="2540">
      <c r="G2540" s="11" t="n"/>
      <c r="Q2540" s="7">
        <f>IF($E2540="","",P2540*Y2540/100)</f>
        <v/>
      </c>
      <c r="R2540" s="7" t="n"/>
      <c r="X2540" s="7" t="n"/>
      <c r="Y2540" s="7" t="n"/>
      <c r="AB2540">
        <f>IF($E2540="","",IF($AQ2540=1,0,IF($AP2540=1,Settings!$C$6,Settings!$C$7))*100)</f>
        <v/>
      </c>
      <c r="AC2540" s="7">
        <f>IF($E2540="","",Y2540*AB2540/100)</f>
        <v/>
      </c>
      <c r="AD2540" s="7">
        <f>IF($E2540="","",Y2540-AC2540)</f>
        <v/>
      </c>
      <c r="AE2540" s="7">
        <f>IF($E2540="","",AD2540-Q2540)</f>
        <v/>
      </c>
      <c r="AI2540" s="7" t="n"/>
      <c r="AL2540" s="11" t="n"/>
      <c r="AN2540">
        <f>IF($E2540="","",IF(COUNTIF($E$2:$E2540,$E2540)=1,1,0))</f>
        <v/>
      </c>
      <c r="AO2540">
        <f>IF($AN2540=1,SUMPRODUCT(--($AR$2:$AR$4001&lt;$AR2540))+1,"")</f>
        <v/>
      </c>
      <c r="AP2540">
        <f>IF($E2540="","",IF(OR($U2540=TRUE(),$U2540="TRUE"),1,0))</f>
        <v/>
      </c>
      <c r="AQ2540">
        <f>IF($E2540="","",IF($AA2540="Yes",1,0))</f>
        <v/>
      </c>
      <c r="AR2540">
        <f>IF($AN2540=1,IFERROR(VALUE(MID($E2540,2,20)),1000000000)+ROW()/100000,"")</f>
        <v/>
      </c>
    </row>
    <row r="2541">
      <c r="G2541" s="11" t="n"/>
      <c r="Q2541" s="7">
        <f>IF($E2541="","",P2541*Y2541/100)</f>
        <v/>
      </c>
      <c r="R2541" s="7" t="n"/>
      <c r="X2541" s="7" t="n"/>
      <c r="Y2541" s="7" t="n"/>
      <c r="AB2541">
        <f>IF($E2541="","",IF($AQ2541=1,0,IF($AP2541=1,Settings!$C$6,Settings!$C$7))*100)</f>
        <v/>
      </c>
      <c r="AC2541" s="7">
        <f>IF($E2541="","",Y2541*AB2541/100)</f>
        <v/>
      </c>
      <c r="AD2541" s="7">
        <f>IF($E2541="","",Y2541-AC2541)</f>
        <v/>
      </c>
      <c r="AE2541" s="7">
        <f>IF($E2541="","",AD2541-Q2541)</f>
        <v/>
      </c>
      <c r="AI2541" s="7" t="n"/>
      <c r="AL2541" s="11" t="n"/>
      <c r="AN2541">
        <f>IF($E2541="","",IF(COUNTIF($E$2:$E2541,$E2541)=1,1,0))</f>
        <v/>
      </c>
      <c r="AO2541">
        <f>IF($AN2541=1,SUMPRODUCT(--($AR$2:$AR$4001&lt;$AR2541))+1,"")</f>
        <v/>
      </c>
      <c r="AP2541">
        <f>IF($E2541="","",IF(OR($U2541=TRUE(),$U2541="TRUE"),1,0))</f>
        <v/>
      </c>
      <c r="AQ2541">
        <f>IF($E2541="","",IF($AA2541="Yes",1,0))</f>
        <v/>
      </c>
      <c r="AR2541">
        <f>IF($AN2541=1,IFERROR(VALUE(MID($E2541,2,20)),1000000000)+ROW()/100000,"")</f>
        <v/>
      </c>
    </row>
    <row r="2542">
      <c r="G2542" s="11" t="n"/>
      <c r="Q2542" s="7">
        <f>IF($E2542="","",P2542*Y2542/100)</f>
        <v/>
      </c>
      <c r="R2542" s="7" t="n"/>
      <c r="X2542" s="7" t="n"/>
      <c r="Y2542" s="7" t="n"/>
      <c r="AB2542">
        <f>IF($E2542="","",IF($AQ2542=1,0,IF($AP2542=1,Settings!$C$6,Settings!$C$7))*100)</f>
        <v/>
      </c>
      <c r="AC2542" s="7">
        <f>IF($E2542="","",Y2542*AB2542/100)</f>
        <v/>
      </c>
      <c r="AD2542" s="7">
        <f>IF($E2542="","",Y2542-AC2542)</f>
        <v/>
      </c>
      <c r="AE2542" s="7">
        <f>IF($E2542="","",AD2542-Q2542)</f>
        <v/>
      </c>
      <c r="AI2542" s="7" t="n"/>
      <c r="AL2542" s="11" t="n"/>
      <c r="AN2542">
        <f>IF($E2542="","",IF(COUNTIF($E$2:$E2542,$E2542)=1,1,0))</f>
        <v/>
      </c>
      <c r="AO2542">
        <f>IF($AN2542=1,SUMPRODUCT(--($AR$2:$AR$4001&lt;$AR2542))+1,"")</f>
        <v/>
      </c>
      <c r="AP2542">
        <f>IF($E2542="","",IF(OR($U2542=TRUE(),$U2542="TRUE"),1,0))</f>
        <v/>
      </c>
      <c r="AQ2542">
        <f>IF($E2542="","",IF($AA2542="Yes",1,0))</f>
        <v/>
      </c>
      <c r="AR2542">
        <f>IF($AN2542=1,IFERROR(VALUE(MID($E2542,2,20)),1000000000)+ROW()/100000,"")</f>
        <v/>
      </c>
    </row>
    <row r="2543">
      <c r="G2543" s="11" t="n"/>
      <c r="Q2543" s="7">
        <f>IF($E2543="","",P2543*Y2543/100)</f>
        <v/>
      </c>
      <c r="R2543" s="7" t="n"/>
      <c r="X2543" s="7" t="n"/>
      <c r="Y2543" s="7" t="n"/>
      <c r="AB2543">
        <f>IF($E2543="","",IF($AQ2543=1,0,IF($AP2543=1,Settings!$C$6,Settings!$C$7))*100)</f>
        <v/>
      </c>
      <c r="AC2543" s="7">
        <f>IF($E2543="","",Y2543*AB2543/100)</f>
        <v/>
      </c>
      <c r="AD2543" s="7">
        <f>IF($E2543="","",Y2543-AC2543)</f>
        <v/>
      </c>
      <c r="AE2543" s="7">
        <f>IF($E2543="","",AD2543-Q2543)</f>
        <v/>
      </c>
      <c r="AI2543" s="7" t="n"/>
      <c r="AL2543" s="11" t="n"/>
      <c r="AN2543">
        <f>IF($E2543="","",IF(COUNTIF($E$2:$E2543,$E2543)=1,1,0))</f>
        <v/>
      </c>
      <c r="AO2543">
        <f>IF($AN2543=1,SUMPRODUCT(--($AR$2:$AR$4001&lt;$AR2543))+1,"")</f>
        <v/>
      </c>
      <c r="AP2543">
        <f>IF($E2543="","",IF(OR($U2543=TRUE(),$U2543="TRUE"),1,0))</f>
        <v/>
      </c>
      <c r="AQ2543">
        <f>IF($E2543="","",IF($AA2543="Yes",1,0))</f>
        <v/>
      </c>
      <c r="AR2543">
        <f>IF($AN2543=1,IFERROR(VALUE(MID($E2543,2,20)),1000000000)+ROW()/100000,"")</f>
        <v/>
      </c>
    </row>
    <row r="2544">
      <c r="G2544" s="11" t="n"/>
      <c r="Q2544" s="7">
        <f>IF($E2544="","",P2544*Y2544/100)</f>
        <v/>
      </c>
      <c r="R2544" s="7" t="n"/>
      <c r="X2544" s="7" t="n"/>
      <c r="Y2544" s="7" t="n"/>
      <c r="AB2544">
        <f>IF($E2544="","",IF($AQ2544=1,0,IF($AP2544=1,Settings!$C$6,Settings!$C$7))*100)</f>
        <v/>
      </c>
      <c r="AC2544" s="7">
        <f>IF($E2544="","",Y2544*AB2544/100)</f>
        <v/>
      </c>
      <c r="AD2544" s="7">
        <f>IF($E2544="","",Y2544-AC2544)</f>
        <v/>
      </c>
      <c r="AE2544" s="7">
        <f>IF($E2544="","",AD2544-Q2544)</f>
        <v/>
      </c>
      <c r="AI2544" s="7" t="n"/>
      <c r="AL2544" s="11" t="n"/>
      <c r="AN2544">
        <f>IF($E2544="","",IF(COUNTIF($E$2:$E2544,$E2544)=1,1,0))</f>
        <v/>
      </c>
      <c r="AO2544">
        <f>IF($AN2544=1,SUMPRODUCT(--($AR$2:$AR$4001&lt;$AR2544))+1,"")</f>
        <v/>
      </c>
      <c r="AP2544">
        <f>IF($E2544="","",IF(OR($U2544=TRUE(),$U2544="TRUE"),1,0))</f>
        <v/>
      </c>
      <c r="AQ2544">
        <f>IF($E2544="","",IF($AA2544="Yes",1,0))</f>
        <v/>
      </c>
      <c r="AR2544">
        <f>IF($AN2544=1,IFERROR(VALUE(MID($E2544,2,20)),1000000000)+ROW()/100000,"")</f>
        <v/>
      </c>
    </row>
    <row r="2545">
      <c r="G2545" s="11" t="n"/>
      <c r="Q2545" s="7">
        <f>IF($E2545="","",P2545*Y2545/100)</f>
        <v/>
      </c>
      <c r="R2545" s="7" t="n"/>
      <c r="X2545" s="7" t="n"/>
      <c r="Y2545" s="7" t="n"/>
      <c r="AB2545">
        <f>IF($E2545="","",IF($AQ2545=1,0,IF($AP2545=1,Settings!$C$6,Settings!$C$7))*100)</f>
        <v/>
      </c>
      <c r="AC2545" s="7">
        <f>IF($E2545="","",Y2545*AB2545/100)</f>
        <v/>
      </c>
      <c r="AD2545" s="7">
        <f>IF($E2545="","",Y2545-AC2545)</f>
        <v/>
      </c>
      <c r="AE2545" s="7">
        <f>IF($E2545="","",AD2545-Q2545)</f>
        <v/>
      </c>
      <c r="AI2545" s="7" t="n"/>
      <c r="AL2545" s="11" t="n"/>
      <c r="AN2545">
        <f>IF($E2545="","",IF(COUNTIF($E$2:$E2545,$E2545)=1,1,0))</f>
        <v/>
      </c>
      <c r="AO2545">
        <f>IF($AN2545=1,SUMPRODUCT(--($AR$2:$AR$4001&lt;$AR2545))+1,"")</f>
        <v/>
      </c>
      <c r="AP2545">
        <f>IF($E2545="","",IF(OR($U2545=TRUE(),$U2545="TRUE"),1,0))</f>
        <v/>
      </c>
      <c r="AQ2545">
        <f>IF($E2545="","",IF($AA2545="Yes",1,0))</f>
        <v/>
      </c>
      <c r="AR2545">
        <f>IF($AN2545=1,IFERROR(VALUE(MID($E2545,2,20)),1000000000)+ROW()/100000,"")</f>
        <v/>
      </c>
    </row>
    <row r="2546">
      <c r="G2546" s="11" t="n"/>
      <c r="Q2546" s="7">
        <f>IF($E2546="","",P2546*Y2546/100)</f>
        <v/>
      </c>
      <c r="R2546" s="7" t="n"/>
      <c r="X2546" s="7" t="n"/>
      <c r="Y2546" s="7" t="n"/>
      <c r="AB2546">
        <f>IF($E2546="","",IF($AQ2546=1,0,IF($AP2546=1,Settings!$C$6,Settings!$C$7))*100)</f>
        <v/>
      </c>
      <c r="AC2546" s="7">
        <f>IF($E2546="","",Y2546*AB2546/100)</f>
        <v/>
      </c>
      <c r="AD2546" s="7">
        <f>IF($E2546="","",Y2546-AC2546)</f>
        <v/>
      </c>
      <c r="AE2546" s="7">
        <f>IF($E2546="","",AD2546-Q2546)</f>
        <v/>
      </c>
      <c r="AI2546" s="7" t="n"/>
      <c r="AL2546" s="11" t="n"/>
      <c r="AN2546">
        <f>IF($E2546="","",IF(COUNTIF($E$2:$E2546,$E2546)=1,1,0))</f>
        <v/>
      </c>
      <c r="AO2546">
        <f>IF($AN2546=1,SUMPRODUCT(--($AR$2:$AR$4001&lt;$AR2546))+1,"")</f>
        <v/>
      </c>
      <c r="AP2546">
        <f>IF($E2546="","",IF(OR($U2546=TRUE(),$U2546="TRUE"),1,0))</f>
        <v/>
      </c>
      <c r="AQ2546">
        <f>IF($E2546="","",IF($AA2546="Yes",1,0))</f>
        <v/>
      </c>
      <c r="AR2546">
        <f>IF($AN2546=1,IFERROR(VALUE(MID($E2546,2,20)),1000000000)+ROW()/100000,"")</f>
        <v/>
      </c>
    </row>
    <row r="2547">
      <c r="G2547" s="11" t="n"/>
      <c r="Q2547" s="7">
        <f>IF($E2547="","",P2547*Y2547/100)</f>
        <v/>
      </c>
      <c r="R2547" s="7" t="n"/>
      <c r="X2547" s="7" t="n"/>
      <c r="Y2547" s="7" t="n"/>
      <c r="AB2547">
        <f>IF($E2547="","",IF($AQ2547=1,0,IF($AP2547=1,Settings!$C$6,Settings!$C$7))*100)</f>
        <v/>
      </c>
      <c r="AC2547" s="7">
        <f>IF($E2547="","",Y2547*AB2547/100)</f>
        <v/>
      </c>
      <c r="AD2547" s="7">
        <f>IF($E2547="","",Y2547-AC2547)</f>
        <v/>
      </c>
      <c r="AE2547" s="7">
        <f>IF($E2547="","",AD2547-Q2547)</f>
        <v/>
      </c>
      <c r="AI2547" s="7" t="n"/>
      <c r="AL2547" s="11" t="n"/>
      <c r="AN2547">
        <f>IF($E2547="","",IF(COUNTIF($E$2:$E2547,$E2547)=1,1,0))</f>
        <v/>
      </c>
      <c r="AO2547">
        <f>IF($AN2547=1,SUMPRODUCT(--($AR$2:$AR$4001&lt;$AR2547))+1,"")</f>
        <v/>
      </c>
      <c r="AP2547">
        <f>IF($E2547="","",IF(OR($U2547=TRUE(),$U2547="TRUE"),1,0))</f>
        <v/>
      </c>
      <c r="AQ2547">
        <f>IF($E2547="","",IF($AA2547="Yes",1,0))</f>
        <v/>
      </c>
      <c r="AR2547">
        <f>IF($AN2547=1,IFERROR(VALUE(MID($E2547,2,20)),1000000000)+ROW()/100000,"")</f>
        <v/>
      </c>
    </row>
    <row r="2548">
      <c r="G2548" s="11" t="n"/>
      <c r="Q2548" s="7">
        <f>IF($E2548="","",P2548*Y2548/100)</f>
        <v/>
      </c>
      <c r="R2548" s="7" t="n"/>
      <c r="X2548" s="7" t="n"/>
      <c r="Y2548" s="7" t="n"/>
      <c r="AB2548">
        <f>IF($E2548="","",IF($AQ2548=1,0,IF($AP2548=1,Settings!$C$6,Settings!$C$7))*100)</f>
        <v/>
      </c>
      <c r="AC2548" s="7">
        <f>IF($E2548="","",Y2548*AB2548/100)</f>
        <v/>
      </c>
      <c r="AD2548" s="7">
        <f>IF($E2548="","",Y2548-AC2548)</f>
        <v/>
      </c>
      <c r="AE2548" s="7">
        <f>IF($E2548="","",AD2548-Q2548)</f>
        <v/>
      </c>
      <c r="AI2548" s="7" t="n"/>
      <c r="AL2548" s="11" t="n"/>
      <c r="AN2548">
        <f>IF($E2548="","",IF(COUNTIF($E$2:$E2548,$E2548)=1,1,0))</f>
        <v/>
      </c>
      <c r="AO2548">
        <f>IF($AN2548=1,SUMPRODUCT(--($AR$2:$AR$4001&lt;$AR2548))+1,"")</f>
        <v/>
      </c>
      <c r="AP2548">
        <f>IF($E2548="","",IF(OR($U2548=TRUE(),$U2548="TRUE"),1,0))</f>
        <v/>
      </c>
      <c r="AQ2548">
        <f>IF($E2548="","",IF($AA2548="Yes",1,0))</f>
        <v/>
      </c>
      <c r="AR2548">
        <f>IF($AN2548=1,IFERROR(VALUE(MID($E2548,2,20)),1000000000)+ROW()/100000,"")</f>
        <v/>
      </c>
    </row>
    <row r="2549">
      <c r="G2549" s="11" t="n"/>
      <c r="Q2549" s="7">
        <f>IF($E2549="","",P2549*Y2549/100)</f>
        <v/>
      </c>
      <c r="R2549" s="7" t="n"/>
      <c r="X2549" s="7" t="n"/>
      <c r="Y2549" s="7" t="n"/>
      <c r="AB2549">
        <f>IF($E2549="","",IF($AQ2549=1,0,IF($AP2549=1,Settings!$C$6,Settings!$C$7))*100)</f>
        <v/>
      </c>
      <c r="AC2549" s="7">
        <f>IF($E2549="","",Y2549*AB2549/100)</f>
        <v/>
      </c>
      <c r="AD2549" s="7">
        <f>IF($E2549="","",Y2549-AC2549)</f>
        <v/>
      </c>
      <c r="AE2549" s="7">
        <f>IF($E2549="","",AD2549-Q2549)</f>
        <v/>
      </c>
      <c r="AI2549" s="7" t="n"/>
      <c r="AL2549" s="11" t="n"/>
      <c r="AN2549">
        <f>IF($E2549="","",IF(COUNTIF($E$2:$E2549,$E2549)=1,1,0))</f>
        <v/>
      </c>
      <c r="AO2549">
        <f>IF($AN2549=1,SUMPRODUCT(--($AR$2:$AR$4001&lt;$AR2549))+1,"")</f>
        <v/>
      </c>
      <c r="AP2549">
        <f>IF($E2549="","",IF(OR($U2549=TRUE(),$U2549="TRUE"),1,0))</f>
        <v/>
      </c>
      <c r="AQ2549">
        <f>IF($E2549="","",IF($AA2549="Yes",1,0))</f>
        <v/>
      </c>
      <c r="AR2549">
        <f>IF($AN2549=1,IFERROR(VALUE(MID($E2549,2,20)),1000000000)+ROW()/100000,"")</f>
        <v/>
      </c>
    </row>
    <row r="2550">
      <c r="G2550" s="11" t="n"/>
      <c r="Q2550" s="7">
        <f>IF($E2550="","",P2550*Y2550/100)</f>
        <v/>
      </c>
      <c r="R2550" s="7" t="n"/>
      <c r="X2550" s="7" t="n"/>
      <c r="Y2550" s="7" t="n"/>
      <c r="AB2550">
        <f>IF($E2550="","",IF($AQ2550=1,0,IF($AP2550=1,Settings!$C$6,Settings!$C$7))*100)</f>
        <v/>
      </c>
      <c r="AC2550" s="7">
        <f>IF($E2550="","",Y2550*AB2550/100)</f>
        <v/>
      </c>
      <c r="AD2550" s="7">
        <f>IF($E2550="","",Y2550-AC2550)</f>
        <v/>
      </c>
      <c r="AE2550" s="7">
        <f>IF($E2550="","",AD2550-Q2550)</f>
        <v/>
      </c>
      <c r="AI2550" s="7" t="n"/>
      <c r="AL2550" s="11" t="n"/>
      <c r="AN2550">
        <f>IF($E2550="","",IF(COUNTIF($E$2:$E2550,$E2550)=1,1,0))</f>
        <v/>
      </c>
      <c r="AO2550">
        <f>IF($AN2550=1,SUMPRODUCT(--($AR$2:$AR$4001&lt;$AR2550))+1,"")</f>
        <v/>
      </c>
      <c r="AP2550">
        <f>IF($E2550="","",IF(OR($U2550=TRUE(),$U2550="TRUE"),1,0))</f>
        <v/>
      </c>
      <c r="AQ2550">
        <f>IF($E2550="","",IF($AA2550="Yes",1,0))</f>
        <v/>
      </c>
      <c r="AR2550">
        <f>IF($AN2550=1,IFERROR(VALUE(MID($E2550,2,20)),1000000000)+ROW()/100000,"")</f>
        <v/>
      </c>
    </row>
    <row r="2551">
      <c r="G2551" s="11" t="n"/>
      <c r="Q2551" s="7">
        <f>IF($E2551="","",P2551*Y2551/100)</f>
        <v/>
      </c>
      <c r="R2551" s="7" t="n"/>
      <c r="X2551" s="7" t="n"/>
      <c r="Y2551" s="7" t="n"/>
      <c r="AB2551">
        <f>IF($E2551="","",IF($AQ2551=1,0,IF($AP2551=1,Settings!$C$6,Settings!$C$7))*100)</f>
        <v/>
      </c>
      <c r="AC2551" s="7">
        <f>IF($E2551="","",Y2551*AB2551/100)</f>
        <v/>
      </c>
      <c r="AD2551" s="7">
        <f>IF($E2551="","",Y2551-AC2551)</f>
        <v/>
      </c>
      <c r="AE2551" s="7">
        <f>IF($E2551="","",AD2551-Q2551)</f>
        <v/>
      </c>
      <c r="AI2551" s="7" t="n"/>
      <c r="AL2551" s="11" t="n"/>
      <c r="AN2551">
        <f>IF($E2551="","",IF(COUNTIF($E$2:$E2551,$E2551)=1,1,0))</f>
        <v/>
      </c>
      <c r="AO2551">
        <f>IF($AN2551=1,SUMPRODUCT(--($AR$2:$AR$4001&lt;$AR2551))+1,"")</f>
        <v/>
      </c>
      <c r="AP2551">
        <f>IF($E2551="","",IF(OR($U2551=TRUE(),$U2551="TRUE"),1,0))</f>
        <v/>
      </c>
      <c r="AQ2551">
        <f>IF($E2551="","",IF($AA2551="Yes",1,0))</f>
        <v/>
      </c>
      <c r="AR2551">
        <f>IF($AN2551=1,IFERROR(VALUE(MID($E2551,2,20)),1000000000)+ROW()/100000,"")</f>
        <v/>
      </c>
    </row>
    <row r="2552">
      <c r="G2552" s="11" t="n"/>
      <c r="Q2552" s="7">
        <f>IF($E2552="","",P2552*Y2552/100)</f>
        <v/>
      </c>
      <c r="R2552" s="7" t="n"/>
      <c r="X2552" s="7" t="n"/>
      <c r="Y2552" s="7" t="n"/>
      <c r="AB2552">
        <f>IF($E2552="","",IF($AQ2552=1,0,IF($AP2552=1,Settings!$C$6,Settings!$C$7))*100)</f>
        <v/>
      </c>
      <c r="AC2552" s="7">
        <f>IF($E2552="","",Y2552*AB2552/100)</f>
        <v/>
      </c>
      <c r="AD2552" s="7">
        <f>IF($E2552="","",Y2552-AC2552)</f>
        <v/>
      </c>
      <c r="AE2552" s="7">
        <f>IF($E2552="","",AD2552-Q2552)</f>
        <v/>
      </c>
      <c r="AI2552" s="7" t="n"/>
      <c r="AL2552" s="11" t="n"/>
      <c r="AN2552">
        <f>IF($E2552="","",IF(COUNTIF($E$2:$E2552,$E2552)=1,1,0))</f>
        <v/>
      </c>
      <c r="AO2552">
        <f>IF($AN2552=1,SUMPRODUCT(--($AR$2:$AR$4001&lt;$AR2552))+1,"")</f>
        <v/>
      </c>
      <c r="AP2552">
        <f>IF($E2552="","",IF(OR($U2552=TRUE(),$U2552="TRUE"),1,0))</f>
        <v/>
      </c>
      <c r="AQ2552">
        <f>IF($E2552="","",IF($AA2552="Yes",1,0))</f>
        <v/>
      </c>
      <c r="AR2552">
        <f>IF($AN2552=1,IFERROR(VALUE(MID($E2552,2,20)),1000000000)+ROW()/100000,"")</f>
        <v/>
      </c>
    </row>
    <row r="2553">
      <c r="G2553" s="11" t="n"/>
      <c r="Q2553" s="7">
        <f>IF($E2553="","",P2553*Y2553/100)</f>
        <v/>
      </c>
      <c r="R2553" s="7" t="n"/>
      <c r="X2553" s="7" t="n"/>
      <c r="Y2553" s="7" t="n"/>
      <c r="AB2553">
        <f>IF($E2553="","",IF($AQ2553=1,0,IF($AP2553=1,Settings!$C$6,Settings!$C$7))*100)</f>
        <v/>
      </c>
      <c r="AC2553" s="7">
        <f>IF($E2553="","",Y2553*AB2553/100)</f>
        <v/>
      </c>
      <c r="AD2553" s="7">
        <f>IF($E2553="","",Y2553-AC2553)</f>
        <v/>
      </c>
      <c r="AE2553" s="7">
        <f>IF($E2553="","",AD2553-Q2553)</f>
        <v/>
      </c>
      <c r="AI2553" s="7" t="n"/>
      <c r="AL2553" s="11" t="n"/>
      <c r="AN2553">
        <f>IF($E2553="","",IF(COUNTIF($E$2:$E2553,$E2553)=1,1,0))</f>
        <v/>
      </c>
      <c r="AO2553">
        <f>IF($AN2553=1,SUMPRODUCT(--($AR$2:$AR$4001&lt;$AR2553))+1,"")</f>
        <v/>
      </c>
      <c r="AP2553">
        <f>IF($E2553="","",IF(OR($U2553=TRUE(),$U2553="TRUE"),1,0))</f>
        <v/>
      </c>
      <c r="AQ2553">
        <f>IF($E2553="","",IF($AA2553="Yes",1,0))</f>
        <v/>
      </c>
      <c r="AR2553">
        <f>IF($AN2553=1,IFERROR(VALUE(MID($E2553,2,20)),1000000000)+ROW()/100000,"")</f>
        <v/>
      </c>
    </row>
    <row r="2554">
      <c r="G2554" s="11" t="n"/>
      <c r="Q2554" s="7">
        <f>IF($E2554="","",P2554*Y2554/100)</f>
        <v/>
      </c>
      <c r="R2554" s="7" t="n"/>
      <c r="X2554" s="7" t="n"/>
      <c r="Y2554" s="7" t="n"/>
      <c r="AB2554">
        <f>IF($E2554="","",IF($AQ2554=1,0,IF($AP2554=1,Settings!$C$6,Settings!$C$7))*100)</f>
        <v/>
      </c>
      <c r="AC2554" s="7">
        <f>IF($E2554="","",Y2554*AB2554/100)</f>
        <v/>
      </c>
      <c r="AD2554" s="7">
        <f>IF($E2554="","",Y2554-AC2554)</f>
        <v/>
      </c>
      <c r="AE2554" s="7">
        <f>IF($E2554="","",AD2554-Q2554)</f>
        <v/>
      </c>
      <c r="AI2554" s="7" t="n"/>
      <c r="AL2554" s="11" t="n"/>
      <c r="AN2554">
        <f>IF($E2554="","",IF(COUNTIF($E$2:$E2554,$E2554)=1,1,0))</f>
        <v/>
      </c>
      <c r="AO2554">
        <f>IF($AN2554=1,SUMPRODUCT(--($AR$2:$AR$4001&lt;$AR2554))+1,"")</f>
        <v/>
      </c>
      <c r="AP2554">
        <f>IF($E2554="","",IF(OR($U2554=TRUE(),$U2554="TRUE"),1,0))</f>
        <v/>
      </c>
      <c r="AQ2554">
        <f>IF($E2554="","",IF($AA2554="Yes",1,0))</f>
        <v/>
      </c>
      <c r="AR2554">
        <f>IF($AN2554=1,IFERROR(VALUE(MID($E2554,2,20)),1000000000)+ROW()/100000,"")</f>
        <v/>
      </c>
    </row>
    <row r="2555">
      <c r="G2555" s="11" t="n"/>
      <c r="Q2555" s="7">
        <f>IF($E2555="","",P2555*Y2555/100)</f>
        <v/>
      </c>
      <c r="R2555" s="7" t="n"/>
      <c r="X2555" s="7" t="n"/>
      <c r="Y2555" s="7" t="n"/>
      <c r="AB2555">
        <f>IF($E2555="","",IF($AQ2555=1,0,IF($AP2555=1,Settings!$C$6,Settings!$C$7))*100)</f>
        <v/>
      </c>
      <c r="AC2555" s="7">
        <f>IF($E2555="","",Y2555*AB2555/100)</f>
        <v/>
      </c>
      <c r="AD2555" s="7">
        <f>IF($E2555="","",Y2555-AC2555)</f>
        <v/>
      </c>
      <c r="AE2555" s="7">
        <f>IF($E2555="","",AD2555-Q2555)</f>
        <v/>
      </c>
      <c r="AI2555" s="7" t="n"/>
      <c r="AL2555" s="11" t="n"/>
      <c r="AN2555">
        <f>IF($E2555="","",IF(COUNTIF($E$2:$E2555,$E2555)=1,1,0))</f>
        <v/>
      </c>
      <c r="AO2555">
        <f>IF($AN2555=1,SUMPRODUCT(--($AR$2:$AR$4001&lt;$AR2555))+1,"")</f>
        <v/>
      </c>
      <c r="AP2555">
        <f>IF($E2555="","",IF(OR($U2555=TRUE(),$U2555="TRUE"),1,0))</f>
        <v/>
      </c>
      <c r="AQ2555">
        <f>IF($E2555="","",IF($AA2555="Yes",1,0))</f>
        <v/>
      </c>
      <c r="AR2555">
        <f>IF($AN2555=1,IFERROR(VALUE(MID($E2555,2,20)),1000000000)+ROW()/100000,"")</f>
        <v/>
      </c>
    </row>
    <row r="2556">
      <c r="G2556" s="11" t="n"/>
      <c r="Q2556" s="7">
        <f>IF($E2556="","",P2556*Y2556/100)</f>
        <v/>
      </c>
      <c r="R2556" s="7" t="n"/>
      <c r="X2556" s="7" t="n"/>
      <c r="Y2556" s="7" t="n"/>
      <c r="AB2556">
        <f>IF($E2556="","",IF($AQ2556=1,0,IF($AP2556=1,Settings!$C$6,Settings!$C$7))*100)</f>
        <v/>
      </c>
      <c r="AC2556" s="7">
        <f>IF($E2556="","",Y2556*AB2556/100)</f>
        <v/>
      </c>
      <c r="AD2556" s="7">
        <f>IF($E2556="","",Y2556-AC2556)</f>
        <v/>
      </c>
      <c r="AE2556" s="7">
        <f>IF($E2556="","",AD2556-Q2556)</f>
        <v/>
      </c>
      <c r="AI2556" s="7" t="n"/>
      <c r="AL2556" s="11" t="n"/>
      <c r="AN2556">
        <f>IF($E2556="","",IF(COUNTIF($E$2:$E2556,$E2556)=1,1,0))</f>
        <v/>
      </c>
      <c r="AO2556">
        <f>IF($AN2556=1,SUMPRODUCT(--($AR$2:$AR$4001&lt;$AR2556))+1,"")</f>
        <v/>
      </c>
      <c r="AP2556">
        <f>IF($E2556="","",IF(OR($U2556=TRUE(),$U2556="TRUE"),1,0))</f>
        <v/>
      </c>
      <c r="AQ2556">
        <f>IF($E2556="","",IF($AA2556="Yes",1,0))</f>
        <v/>
      </c>
      <c r="AR2556">
        <f>IF($AN2556=1,IFERROR(VALUE(MID($E2556,2,20)),1000000000)+ROW()/100000,"")</f>
        <v/>
      </c>
    </row>
    <row r="2557">
      <c r="G2557" s="11" t="n"/>
      <c r="Q2557" s="7">
        <f>IF($E2557="","",P2557*Y2557/100)</f>
        <v/>
      </c>
      <c r="R2557" s="7" t="n"/>
      <c r="X2557" s="7" t="n"/>
      <c r="Y2557" s="7" t="n"/>
      <c r="AB2557">
        <f>IF($E2557="","",IF($AQ2557=1,0,IF($AP2557=1,Settings!$C$6,Settings!$C$7))*100)</f>
        <v/>
      </c>
      <c r="AC2557" s="7">
        <f>IF($E2557="","",Y2557*AB2557/100)</f>
        <v/>
      </c>
      <c r="AD2557" s="7">
        <f>IF($E2557="","",Y2557-AC2557)</f>
        <v/>
      </c>
      <c r="AE2557" s="7">
        <f>IF($E2557="","",AD2557-Q2557)</f>
        <v/>
      </c>
      <c r="AI2557" s="7" t="n"/>
      <c r="AL2557" s="11" t="n"/>
      <c r="AN2557">
        <f>IF($E2557="","",IF(COUNTIF($E$2:$E2557,$E2557)=1,1,0))</f>
        <v/>
      </c>
      <c r="AO2557">
        <f>IF($AN2557=1,SUMPRODUCT(--($AR$2:$AR$4001&lt;$AR2557))+1,"")</f>
        <v/>
      </c>
      <c r="AP2557">
        <f>IF($E2557="","",IF(OR($U2557=TRUE(),$U2557="TRUE"),1,0))</f>
        <v/>
      </c>
      <c r="AQ2557">
        <f>IF($E2557="","",IF($AA2557="Yes",1,0))</f>
        <v/>
      </c>
      <c r="AR2557">
        <f>IF($AN2557=1,IFERROR(VALUE(MID($E2557,2,20)),1000000000)+ROW()/100000,"")</f>
        <v/>
      </c>
    </row>
    <row r="2558">
      <c r="G2558" s="11" t="n"/>
      <c r="Q2558" s="7">
        <f>IF($E2558="","",P2558*Y2558/100)</f>
        <v/>
      </c>
      <c r="R2558" s="7" t="n"/>
      <c r="X2558" s="7" t="n"/>
      <c r="Y2558" s="7" t="n"/>
      <c r="AB2558">
        <f>IF($E2558="","",IF($AQ2558=1,0,IF($AP2558=1,Settings!$C$6,Settings!$C$7))*100)</f>
        <v/>
      </c>
      <c r="AC2558" s="7">
        <f>IF($E2558="","",Y2558*AB2558/100)</f>
        <v/>
      </c>
      <c r="AD2558" s="7">
        <f>IF($E2558="","",Y2558-AC2558)</f>
        <v/>
      </c>
      <c r="AE2558" s="7">
        <f>IF($E2558="","",AD2558-Q2558)</f>
        <v/>
      </c>
      <c r="AI2558" s="7" t="n"/>
      <c r="AL2558" s="11" t="n"/>
      <c r="AN2558">
        <f>IF($E2558="","",IF(COUNTIF($E$2:$E2558,$E2558)=1,1,0))</f>
        <v/>
      </c>
      <c r="AO2558">
        <f>IF($AN2558=1,SUMPRODUCT(--($AR$2:$AR$4001&lt;$AR2558))+1,"")</f>
        <v/>
      </c>
      <c r="AP2558">
        <f>IF($E2558="","",IF(OR($U2558=TRUE(),$U2558="TRUE"),1,0))</f>
        <v/>
      </c>
      <c r="AQ2558">
        <f>IF($E2558="","",IF($AA2558="Yes",1,0))</f>
        <v/>
      </c>
      <c r="AR2558">
        <f>IF($AN2558=1,IFERROR(VALUE(MID($E2558,2,20)),1000000000)+ROW()/100000,"")</f>
        <v/>
      </c>
    </row>
    <row r="2559">
      <c r="G2559" s="11" t="n"/>
      <c r="Q2559" s="7">
        <f>IF($E2559="","",P2559*Y2559/100)</f>
        <v/>
      </c>
      <c r="R2559" s="7" t="n"/>
      <c r="X2559" s="7" t="n"/>
      <c r="Y2559" s="7" t="n"/>
      <c r="AB2559">
        <f>IF($E2559="","",IF($AQ2559=1,0,IF($AP2559=1,Settings!$C$6,Settings!$C$7))*100)</f>
        <v/>
      </c>
      <c r="AC2559" s="7">
        <f>IF($E2559="","",Y2559*AB2559/100)</f>
        <v/>
      </c>
      <c r="AD2559" s="7">
        <f>IF($E2559="","",Y2559-AC2559)</f>
        <v/>
      </c>
      <c r="AE2559" s="7">
        <f>IF($E2559="","",AD2559-Q2559)</f>
        <v/>
      </c>
      <c r="AI2559" s="7" t="n"/>
      <c r="AL2559" s="11" t="n"/>
      <c r="AN2559">
        <f>IF($E2559="","",IF(COUNTIF($E$2:$E2559,$E2559)=1,1,0))</f>
        <v/>
      </c>
      <c r="AO2559">
        <f>IF($AN2559=1,SUMPRODUCT(--($AR$2:$AR$4001&lt;$AR2559))+1,"")</f>
        <v/>
      </c>
      <c r="AP2559">
        <f>IF($E2559="","",IF(OR($U2559=TRUE(),$U2559="TRUE"),1,0))</f>
        <v/>
      </c>
      <c r="AQ2559">
        <f>IF($E2559="","",IF($AA2559="Yes",1,0))</f>
        <v/>
      </c>
      <c r="AR2559">
        <f>IF($AN2559=1,IFERROR(VALUE(MID($E2559,2,20)),1000000000)+ROW()/100000,"")</f>
        <v/>
      </c>
    </row>
    <row r="2560">
      <c r="G2560" s="11" t="n"/>
      <c r="Q2560" s="7">
        <f>IF($E2560="","",P2560*Y2560/100)</f>
        <v/>
      </c>
      <c r="R2560" s="7" t="n"/>
      <c r="X2560" s="7" t="n"/>
      <c r="Y2560" s="7" t="n"/>
      <c r="AB2560">
        <f>IF($E2560="","",IF($AQ2560=1,0,IF($AP2560=1,Settings!$C$6,Settings!$C$7))*100)</f>
        <v/>
      </c>
      <c r="AC2560" s="7">
        <f>IF($E2560="","",Y2560*AB2560/100)</f>
        <v/>
      </c>
      <c r="AD2560" s="7">
        <f>IF($E2560="","",Y2560-AC2560)</f>
        <v/>
      </c>
      <c r="AE2560" s="7">
        <f>IF($E2560="","",AD2560-Q2560)</f>
        <v/>
      </c>
      <c r="AI2560" s="7" t="n"/>
      <c r="AL2560" s="11" t="n"/>
      <c r="AN2560">
        <f>IF($E2560="","",IF(COUNTIF($E$2:$E2560,$E2560)=1,1,0))</f>
        <v/>
      </c>
      <c r="AO2560">
        <f>IF($AN2560=1,SUMPRODUCT(--($AR$2:$AR$4001&lt;$AR2560))+1,"")</f>
        <v/>
      </c>
      <c r="AP2560">
        <f>IF($E2560="","",IF(OR($U2560=TRUE(),$U2560="TRUE"),1,0))</f>
        <v/>
      </c>
      <c r="AQ2560">
        <f>IF($E2560="","",IF($AA2560="Yes",1,0))</f>
        <v/>
      </c>
      <c r="AR2560">
        <f>IF($AN2560=1,IFERROR(VALUE(MID($E2560,2,20)),1000000000)+ROW()/100000,"")</f>
        <v/>
      </c>
    </row>
    <row r="2561">
      <c r="G2561" s="11" t="n"/>
      <c r="Q2561" s="7">
        <f>IF($E2561="","",P2561*Y2561/100)</f>
        <v/>
      </c>
      <c r="R2561" s="7" t="n"/>
      <c r="X2561" s="7" t="n"/>
      <c r="Y2561" s="7" t="n"/>
      <c r="AB2561">
        <f>IF($E2561="","",IF($AQ2561=1,0,IF($AP2561=1,Settings!$C$6,Settings!$C$7))*100)</f>
        <v/>
      </c>
      <c r="AC2561" s="7">
        <f>IF($E2561="","",Y2561*AB2561/100)</f>
        <v/>
      </c>
      <c r="AD2561" s="7">
        <f>IF($E2561="","",Y2561-AC2561)</f>
        <v/>
      </c>
      <c r="AE2561" s="7">
        <f>IF($E2561="","",AD2561-Q2561)</f>
        <v/>
      </c>
      <c r="AI2561" s="7" t="n"/>
      <c r="AL2561" s="11" t="n"/>
      <c r="AN2561">
        <f>IF($E2561="","",IF(COUNTIF($E$2:$E2561,$E2561)=1,1,0))</f>
        <v/>
      </c>
      <c r="AO2561">
        <f>IF($AN2561=1,SUMPRODUCT(--($AR$2:$AR$4001&lt;$AR2561))+1,"")</f>
        <v/>
      </c>
      <c r="AP2561">
        <f>IF($E2561="","",IF(OR($U2561=TRUE(),$U2561="TRUE"),1,0))</f>
        <v/>
      </c>
      <c r="AQ2561">
        <f>IF($E2561="","",IF($AA2561="Yes",1,0))</f>
        <v/>
      </c>
      <c r="AR2561">
        <f>IF($AN2561=1,IFERROR(VALUE(MID($E2561,2,20)),1000000000)+ROW()/100000,"")</f>
        <v/>
      </c>
    </row>
    <row r="2562">
      <c r="G2562" s="11" t="n"/>
      <c r="Q2562" s="7">
        <f>IF($E2562="","",P2562*Y2562/100)</f>
        <v/>
      </c>
      <c r="R2562" s="7" t="n"/>
      <c r="X2562" s="7" t="n"/>
      <c r="Y2562" s="7" t="n"/>
      <c r="AB2562">
        <f>IF($E2562="","",IF($AQ2562=1,0,IF($AP2562=1,Settings!$C$6,Settings!$C$7))*100)</f>
        <v/>
      </c>
      <c r="AC2562" s="7">
        <f>IF($E2562="","",Y2562*AB2562/100)</f>
        <v/>
      </c>
      <c r="AD2562" s="7">
        <f>IF($E2562="","",Y2562-AC2562)</f>
        <v/>
      </c>
      <c r="AE2562" s="7">
        <f>IF($E2562="","",AD2562-Q2562)</f>
        <v/>
      </c>
      <c r="AI2562" s="7" t="n"/>
      <c r="AL2562" s="11" t="n"/>
      <c r="AN2562">
        <f>IF($E2562="","",IF(COUNTIF($E$2:$E2562,$E2562)=1,1,0))</f>
        <v/>
      </c>
      <c r="AO2562">
        <f>IF($AN2562=1,SUMPRODUCT(--($AR$2:$AR$4001&lt;$AR2562))+1,"")</f>
        <v/>
      </c>
      <c r="AP2562">
        <f>IF($E2562="","",IF(OR($U2562=TRUE(),$U2562="TRUE"),1,0))</f>
        <v/>
      </c>
      <c r="AQ2562">
        <f>IF($E2562="","",IF($AA2562="Yes",1,0))</f>
        <v/>
      </c>
      <c r="AR2562">
        <f>IF($AN2562=1,IFERROR(VALUE(MID($E2562,2,20)),1000000000)+ROW()/100000,"")</f>
        <v/>
      </c>
    </row>
    <row r="2563">
      <c r="G2563" s="11" t="n"/>
      <c r="Q2563" s="7">
        <f>IF($E2563="","",P2563*Y2563/100)</f>
        <v/>
      </c>
      <c r="R2563" s="7" t="n"/>
      <c r="X2563" s="7" t="n"/>
      <c r="Y2563" s="7" t="n"/>
      <c r="AB2563">
        <f>IF($E2563="","",IF($AQ2563=1,0,IF($AP2563=1,Settings!$C$6,Settings!$C$7))*100)</f>
        <v/>
      </c>
      <c r="AC2563" s="7">
        <f>IF($E2563="","",Y2563*AB2563/100)</f>
        <v/>
      </c>
      <c r="AD2563" s="7">
        <f>IF($E2563="","",Y2563-AC2563)</f>
        <v/>
      </c>
      <c r="AE2563" s="7">
        <f>IF($E2563="","",AD2563-Q2563)</f>
        <v/>
      </c>
      <c r="AI2563" s="7" t="n"/>
      <c r="AL2563" s="11" t="n"/>
      <c r="AN2563">
        <f>IF($E2563="","",IF(COUNTIF($E$2:$E2563,$E2563)=1,1,0))</f>
        <v/>
      </c>
      <c r="AO2563">
        <f>IF($AN2563=1,SUMPRODUCT(--($AR$2:$AR$4001&lt;$AR2563))+1,"")</f>
        <v/>
      </c>
      <c r="AP2563">
        <f>IF($E2563="","",IF(OR($U2563=TRUE(),$U2563="TRUE"),1,0))</f>
        <v/>
      </c>
      <c r="AQ2563">
        <f>IF($E2563="","",IF($AA2563="Yes",1,0))</f>
        <v/>
      </c>
      <c r="AR2563">
        <f>IF($AN2563=1,IFERROR(VALUE(MID($E2563,2,20)),1000000000)+ROW()/100000,"")</f>
        <v/>
      </c>
    </row>
    <row r="2564">
      <c r="G2564" s="11" t="n"/>
      <c r="Q2564" s="7">
        <f>IF($E2564="","",P2564*Y2564/100)</f>
        <v/>
      </c>
      <c r="R2564" s="7" t="n"/>
      <c r="X2564" s="7" t="n"/>
      <c r="Y2564" s="7" t="n"/>
      <c r="AB2564">
        <f>IF($E2564="","",IF($AQ2564=1,0,IF($AP2564=1,Settings!$C$6,Settings!$C$7))*100)</f>
        <v/>
      </c>
      <c r="AC2564" s="7">
        <f>IF($E2564="","",Y2564*AB2564/100)</f>
        <v/>
      </c>
      <c r="AD2564" s="7">
        <f>IF($E2564="","",Y2564-AC2564)</f>
        <v/>
      </c>
      <c r="AE2564" s="7">
        <f>IF($E2564="","",AD2564-Q2564)</f>
        <v/>
      </c>
      <c r="AI2564" s="7" t="n"/>
      <c r="AL2564" s="11" t="n"/>
      <c r="AN2564">
        <f>IF($E2564="","",IF(COUNTIF($E$2:$E2564,$E2564)=1,1,0))</f>
        <v/>
      </c>
      <c r="AO2564">
        <f>IF($AN2564=1,SUMPRODUCT(--($AR$2:$AR$4001&lt;$AR2564))+1,"")</f>
        <v/>
      </c>
      <c r="AP2564">
        <f>IF($E2564="","",IF(OR($U2564=TRUE(),$U2564="TRUE"),1,0))</f>
        <v/>
      </c>
      <c r="AQ2564">
        <f>IF($E2564="","",IF($AA2564="Yes",1,0))</f>
        <v/>
      </c>
      <c r="AR2564">
        <f>IF($AN2564=1,IFERROR(VALUE(MID($E2564,2,20)),1000000000)+ROW()/100000,"")</f>
        <v/>
      </c>
    </row>
    <row r="2565">
      <c r="G2565" s="11" t="n"/>
      <c r="Q2565" s="7">
        <f>IF($E2565="","",P2565*Y2565/100)</f>
        <v/>
      </c>
      <c r="R2565" s="7" t="n"/>
      <c r="X2565" s="7" t="n"/>
      <c r="Y2565" s="7" t="n"/>
      <c r="AB2565">
        <f>IF($E2565="","",IF($AQ2565=1,0,IF($AP2565=1,Settings!$C$6,Settings!$C$7))*100)</f>
        <v/>
      </c>
      <c r="AC2565" s="7">
        <f>IF($E2565="","",Y2565*AB2565/100)</f>
        <v/>
      </c>
      <c r="AD2565" s="7">
        <f>IF($E2565="","",Y2565-AC2565)</f>
        <v/>
      </c>
      <c r="AE2565" s="7">
        <f>IF($E2565="","",AD2565-Q2565)</f>
        <v/>
      </c>
      <c r="AI2565" s="7" t="n"/>
      <c r="AL2565" s="11" t="n"/>
      <c r="AN2565">
        <f>IF($E2565="","",IF(COUNTIF($E$2:$E2565,$E2565)=1,1,0))</f>
        <v/>
      </c>
      <c r="AO2565">
        <f>IF($AN2565=1,SUMPRODUCT(--($AR$2:$AR$4001&lt;$AR2565))+1,"")</f>
        <v/>
      </c>
      <c r="AP2565">
        <f>IF($E2565="","",IF(OR($U2565=TRUE(),$U2565="TRUE"),1,0))</f>
        <v/>
      </c>
      <c r="AQ2565">
        <f>IF($E2565="","",IF($AA2565="Yes",1,0))</f>
        <v/>
      </c>
      <c r="AR2565">
        <f>IF($AN2565=1,IFERROR(VALUE(MID($E2565,2,20)),1000000000)+ROW()/100000,"")</f>
        <v/>
      </c>
    </row>
    <row r="2566">
      <c r="G2566" s="11" t="n"/>
      <c r="Q2566" s="7">
        <f>IF($E2566="","",P2566*Y2566/100)</f>
        <v/>
      </c>
      <c r="R2566" s="7" t="n"/>
      <c r="X2566" s="7" t="n"/>
      <c r="Y2566" s="7" t="n"/>
      <c r="AB2566">
        <f>IF($E2566="","",IF($AQ2566=1,0,IF($AP2566=1,Settings!$C$6,Settings!$C$7))*100)</f>
        <v/>
      </c>
      <c r="AC2566" s="7">
        <f>IF($E2566="","",Y2566*AB2566/100)</f>
        <v/>
      </c>
      <c r="AD2566" s="7">
        <f>IF($E2566="","",Y2566-AC2566)</f>
        <v/>
      </c>
      <c r="AE2566" s="7">
        <f>IF($E2566="","",AD2566-Q2566)</f>
        <v/>
      </c>
      <c r="AI2566" s="7" t="n"/>
      <c r="AL2566" s="11" t="n"/>
      <c r="AN2566">
        <f>IF($E2566="","",IF(COUNTIF($E$2:$E2566,$E2566)=1,1,0))</f>
        <v/>
      </c>
      <c r="AO2566">
        <f>IF($AN2566=1,SUMPRODUCT(--($AR$2:$AR$4001&lt;$AR2566))+1,"")</f>
        <v/>
      </c>
      <c r="AP2566">
        <f>IF($E2566="","",IF(OR($U2566=TRUE(),$U2566="TRUE"),1,0))</f>
        <v/>
      </c>
      <c r="AQ2566">
        <f>IF($E2566="","",IF($AA2566="Yes",1,0))</f>
        <v/>
      </c>
      <c r="AR2566">
        <f>IF($AN2566=1,IFERROR(VALUE(MID($E2566,2,20)),1000000000)+ROW()/100000,"")</f>
        <v/>
      </c>
    </row>
    <row r="2567">
      <c r="G2567" s="11" t="n"/>
      <c r="Q2567" s="7">
        <f>IF($E2567="","",P2567*Y2567/100)</f>
        <v/>
      </c>
      <c r="R2567" s="7" t="n"/>
      <c r="X2567" s="7" t="n"/>
      <c r="Y2567" s="7" t="n"/>
      <c r="AB2567">
        <f>IF($E2567="","",IF($AQ2567=1,0,IF($AP2567=1,Settings!$C$6,Settings!$C$7))*100)</f>
        <v/>
      </c>
      <c r="AC2567" s="7">
        <f>IF($E2567="","",Y2567*AB2567/100)</f>
        <v/>
      </c>
      <c r="AD2567" s="7">
        <f>IF($E2567="","",Y2567-AC2567)</f>
        <v/>
      </c>
      <c r="AE2567" s="7">
        <f>IF($E2567="","",AD2567-Q2567)</f>
        <v/>
      </c>
      <c r="AI2567" s="7" t="n"/>
      <c r="AL2567" s="11" t="n"/>
      <c r="AN2567">
        <f>IF($E2567="","",IF(COUNTIF($E$2:$E2567,$E2567)=1,1,0))</f>
        <v/>
      </c>
      <c r="AO2567">
        <f>IF($AN2567=1,SUMPRODUCT(--($AR$2:$AR$4001&lt;$AR2567))+1,"")</f>
        <v/>
      </c>
      <c r="AP2567">
        <f>IF($E2567="","",IF(OR($U2567=TRUE(),$U2567="TRUE"),1,0))</f>
        <v/>
      </c>
      <c r="AQ2567">
        <f>IF($E2567="","",IF($AA2567="Yes",1,0))</f>
        <v/>
      </c>
      <c r="AR2567">
        <f>IF($AN2567=1,IFERROR(VALUE(MID($E2567,2,20)),1000000000)+ROW()/100000,"")</f>
        <v/>
      </c>
    </row>
    <row r="2568">
      <c r="G2568" s="11" t="n"/>
      <c r="Q2568" s="7">
        <f>IF($E2568="","",P2568*Y2568/100)</f>
        <v/>
      </c>
      <c r="R2568" s="7" t="n"/>
      <c r="X2568" s="7" t="n"/>
      <c r="Y2568" s="7" t="n"/>
      <c r="AB2568">
        <f>IF($E2568="","",IF($AQ2568=1,0,IF($AP2568=1,Settings!$C$6,Settings!$C$7))*100)</f>
        <v/>
      </c>
      <c r="AC2568" s="7">
        <f>IF($E2568="","",Y2568*AB2568/100)</f>
        <v/>
      </c>
      <c r="AD2568" s="7">
        <f>IF($E2568="","",Y2568-AC2568)</f>
        <v/>
      </c>
      <c r="AE2568" s="7">
        <f>IF($E2568="","",AD2568-Q2568)</f>
        <v/>
      </c>
      <c r="AI2568" s="7" t="n"/>
      <c r="AL2568" s="11" t="n"/>
      <c r="AN2568">
        <f>IF($E2568="","",IF(COUNTIF($E$2:$E2568,$E2568)=1,1,0))</f>
        <v/>
      </c>
      <c r="AO2568">
        <f>IF($AN2568=1,SUMPRODUCT(--($AR$2:$AR$4001&lt;$AR2568))+1,"")</f>
        <v/>
      </c>
      <c r="AP2568">
        <f>IF($E2568="","",IF(OR($U2568=TRUE(),$U2568="TRUE"),1,0))</f>
        <v/>
      </c>
      <c r="AQ2568">
        <f>IF($E2568="","",IF($AA2568="Yes",1,0))</f>
        <v/>
      </c>
      <c r="AR2568">
        <f>IF($AN2568=1,IFERROR(VALUE(MID($E2568,2,20)),1000000000)+ROW()/100000,"")</f>
        <v/>
      </c>
    </row>
    <row r="2569">
      <c r="G2569" s="11" t="n"/>
      <c r="Q2569" s="7">
        <f>IF($E2569="","",P2569*Y2569/100)</f>
        <v/>
      </c>
      <c r="R2569" s="7" t="n"/>
      <c r="X2569" s="7" t="n"/>
      <c r="Y2569" s="7" t="n"/>
      <c r="AB2569">
        <f>IF($E2569="","",IF($AQ2569=1,0,IF($AP2569=1,Settings!$C$6,Settings!$C$7))*100)</f>
        <v/>
      </c>
      <c r="AC2569" s="7">
        <f>IF($E2569="","",Y2569*AB2569/100)</f>
        <v/>
      </c>
      <c r="AD2569" s="7">
        <f>IF($E2569="","",Y2569-AC2569)</f>
        <v/>
      </c>
      <c r="AE2569" s="7">
        <f>IF($E2569="","",AD2569-Q2569)</f>
        <v/>
      </c>
      <c r="AI2569" s="7" t="n"/>
      <c r="AL2569" s="11" t="n"/>
      <c r="AN2569">
        <f>IF($E2569="","",IF(COUNTIF($E$2:$E2569,$E2569)=1,1,0))</f>
        <v/>
      </c>
      <c r="AO2569">
        <f>IF($AN2569=1,SUMPRODUCT(--($AR$2:$AR$4001&lt;$AR2569))+1,"")</f>
        <v/>
      </c>
      <c r="AP2569">
        <f>IF($E2569="","",IF(OR($U2569=TRUE(),$U2569="TRUE"),1,0))</f>
        <v/>
      </c>
      <c r="AQ2569">
        <f>IF($E2569="","",IF($AA2569="Yes",1,0))</f>
        <v/>
      </c>
      <c r="AR2569">
        <f>IF($AN2569=1,IFERROR(VALUE(MID($E2569,2,20)),1000000000)+ROW()/100000,"")</f>
        <v/>
      </c>
    </row>
    <row r="2570">
      <c r="G2570" s="11" t="n"/>
      <c r="Q2570" s="7">
        <f>IF($E2570="","",P2570*Y2570/100)</f>
        <v/>
      </c>
      <c r="R2570" s="7" t="n"/>
      <c r="X2570" s="7" t="n"/>
      <c r="Y2570" s="7" t="n"/>
      <c r="AB2570">
        <f>IF($E2570="","",IF($AQ2570=1,0,IF($AP2570=1,Settings!$C$6,Settings!$C$7))*100)</f>
        <v/>
      </c>
      <c r="AC2570" s="7">
        <f>IF($E2570="","",Y2570*AB2570/100)</f>
        <v/>
      </c>
      <c r="AD2570" s="7">
        <f>IF($E2570="","",Y2570-AC2570)</f>
        <v/>
      </c>
      <c r="AE2570" s="7">
        <f>IF($E2570="","",AD2570-Q2570)</f>
        <v/>
      </c>
      <c r="AI2570" s="7" t="n"/>
      <c r="AL2570" s="11" t="n"/>
      <c r="AN2570">
        <f>IF($E2570="","",IF(COUNTIF($E$2:$E2570,$E2570)=1,1,0))</f>
        <v/>
      </c>
      <c r="AO2570">
        <f>IF($AN2570=1,SUMPRODUCT(--($AR$2:$AR$4001&lt;$AR2570))+1,"")</f>
        <v/>
      </c>
      <c r="AP2570">
        <f>IF($E2570="","",IF(OR($U2570=TRUE(),$U2570="TRUE"),1,0))</f>
        <v/>
      </c>
      <c r="AQ2570">
        <f>IF($E2570="","",IF($AA2570="Yes",1,0))</f>
        <v/>
      </c>
      <c r="AR2570">
        <f>IF($AN2570=1,IFERROR(VALUE(MID($E2570,2,20)),1000000000)+ROW()/100000,"")</f>
        <v/>
      </c>
    </row>
    <row r="2571">
      <c r="G2571" s="11" t="n"/>
      <c r="Q2571" s="7">
        <f>IF($E2571="","",P2571*Y2571/100)</f>
        <v/>
      </c>
      <c r="R2571" s="7" t="n"/>
      <c r="X2571" s="7" t="n"/>
      <c r="Y2571" s="7" t="n"/>
      <c r="AB2571">
        <f>IF($E2571="","",IF($AQ2571=1,0,IF($AP2571=1,Settings!$C$6,Settings!$C$7))*100)</f>
        <v/>
      </c>
      <c r="AC2571" s="7">
        <f>IF($E2571="","",Y2571*AB2571/100)</f>
        <v/>
      </c>
      <c r="AD2571" s="7">
        <f>IF($E2571="","",Y2571-AC2571)</f>
        <v/>
      </c>
      <c r="AE2571" s="7">
        <f>IF($E2571="","",AD2571-Q2571)</f>
        <v/>
      </c>
      <c r="AI2571" s="7" t="n"/>
      <c r="AL2571" s="11" t="n"/>
      <c r="AN2571">
        <f>IF($E2571="","",IF(COUNTIF($E$2:$E2571,$E2571)=1,1,0))</f>
        <v/>
      </c>
      <c r="AO2571">
        <f>IF($AN2571=1,SUMPRODUCT(--($AR$2:$AR$4001&lt;$AR2571))+1,"")</f>
        <v/>
      </c>
      <c r="AP2571">
        <f>IF($E2571="","",IF(OR($U2571=TRUE(),$U2571="TRUE"),1,0))</f>
        <v/>
      </c>
      <c r="AQ2571">
        <f>IF($E2571="","",IF($AA2571="Yes",1,0))</f>
        <v/>
      </c>
      <c r="AR2571">
        <f>IF($AN2571=1,IFERROR(VALUE(MID($E2571,2,20)),1000000000)+ROW()/100000,"")</f>
        <v/>
      </c>
    </row>
    <row r="2572">
      <c r="G2572" s="11" t="n"/>
      <c r="Q2572" s="7">
        <f>IF($E2572="","",P2572*Y2572/100)</f>
        <v/>
      </c>
      <c r="R2572" s="7" t="n"/>
      <c r="X2572" s="7" t="n"/>
      <c r="Y2572" s="7" t="n"/>
      <c r="AB2572">
        <f>IF($E2572="","",IF($AQ2572=1,0,IF($AP2572=1,Settings!$C$6,Settings!$C$7))*100)</f>
        <v/>
      </c>
      <c r="AC2572" s="7">
        <f>IF($E2572="","",Y2572*AB2572/100)</f>
        <v/>
      </c>
      <c r="AD2572" s="7">
        <f>IF($E2572="","",Y2572-AC2572)</f>
        <v/>
      </c>
      <c r="AE2572" s="7">
        <f>IF($E2572="","",AD2572-Q2572)</f>
        <v/>
      </c>
      <c r="AI2572" s="7" t="n"/>
      <c r="AL2572" s="11" t="n"/>
      <c r="AN2572">
        <f>IF($E2572="","",IF(COUNTIF($E$2:$E2572,$E2572)=1,1,0))</f>
        <v/>
      </c>
      <c r="AO2572">
        <f>IF($AN2572=1,SUMPRODUCT(--($AR$2:$AR$4001&lt;$AR2572))+1,"")</f>
        <v/>
      </c>
      <c r="AP2572">
        <f>IF($E2572="","",IF(OR($U2572=TRUE(),$U2572="TRUE"),1,0))</f>
        <v/>
      </c>
      <c r="AQ2572">
        <f>IF($E2572="","",IF($AA2572="Yes",1,0))</f>
        <v/>
      </c>
      <c r="AR2572">
        <f>IF($AN2572=1,IFERROR(VALUE(MID($E2572,2,20)),1000000000)+ROW()/100000,"")</f>
        <v/>
      </c>
    </row>
    <row r="2573">
      <c r="G2573" s="11" t="n"/>
      <c r="Q2573" s="7">
        <f>IF($E2573="","",P2573*Y2573/100)</f>
        <v/>
      </c>
      <c r="R2573" s="7" t="n"/>
      <c r="X2573" s="7" t="n"/>
      <c r="Y2573" s="7" t="n"/>
      <c r="AB2573">
        <f>IF($E2573="","",IF($AQ2573=1,0,IF($AP2573=1,Settings!$C$6,Settings!$C$7))*100)</f>
        <v/>
      </c>
      <c r="AC2573" s="7">
        <f>IF($E2573="","",Y2573*AB2573/100)</f>
        <v/>
      </c>
      <c r="AD2573" s="7">
        <f>IF($E2573="","",Y2573-AC2573)</f>
        <v/>
      </c>
      <c r="AE2573" s="7">
        <f>IF($E2573="","",AD2573-Q2573)</f>
        <v/>
      </c>
      <c r="AI2573" s="7" t="n"/>
      <c r="AL2573" s="11" t="n"/>
      <c r="AN2573">
        <f>IF($E2573="","",IF(COUNTIF($E$2:$E2573,$E2573)=1,1,0))</f>
        <v/>
      </c>
      <c r="AO2573">
        <f>IF($AN2573=1,SUMPRODUCT(--($AR$2:$AR$4001&lt;$AR2573))+1,"")</f>
        <v/>
      </c>
      <c r="AP2573">
        <f>IF($E2573="","",IF(OR($U2573=TRUE(),$U2573="TRUE"),1,0))</f>
        <v/>
      </c>
      <c r="AQ2573">
        <f>IF($E2573="","",IF($AA2573="Yes",1,0))</f>
        <v/>
      </c>
      <c r="AR2573">
        <f>IF($AN2573=1,IFERROR(VALUE(MID($E2573,2,20)),1000000000)+ROW()/100000,"")</f>
        <v/>
      </c>
    </row>
    <row r="2574">
      <c r="G2574" s="11" t="n"/>
      <c r="Q2574" s="7">
        <f>IF($E2574="","",P2574*Y2574/100)</f>
        <v/>
      </c>
      <c r="R2574" s="7" t="n"/>
      <c r="X2574" s="7" t="n"/>
      <c r="Y2574" s="7" t="n"/>
      <c r="AB2574">
        <f>IF($E2574="","",IF($AQ2574=1,0,IF($AP2574=1,Settings!$C$6,Settings!$C$7))*100)</f>
        <v/>
      </c>
      <c r="AC2574" s="7">
        <f>IF($E2574="","",Y2574*AB2574/100)</f>
        <v/>
      </c>
      <c r="AD2574" s="7">
        <f>IF($E2574="","",Y2574-AC2574)</f>
        <v/>
      </c>
      <c r="AE2574" s="7">
        <f>IF($E2574="","",AD2574-Q2574)</f>
        <v/>
      </c>
      <c r="AI2574" s="7" t="n"/>
      <c r="AL2574" s="11" t="n"/>
      <c r="AN2574">
        <f>IF($E2574="","",IF(COUNTIF($E$2:$E2574,$E2574)=1,1,0))</f>
        <v/>
      </c>
      <c r="AO2574">
        <f>IF($AN2574=1,SUMPRODUCT(--($AR$2:$AR$4001&lt;$AR2574))+1,"")</f>
        <v/>
      </c>
      <c r="AP2574">
        <f>IF($E2574="","",IF(OR($U2574=TRUE(),$U2574="TRUE"),1,0))</f>
        <v/>
      </c>
      <c r="AQ2574">
        <f>IF($E2574="","",IF($AA2574="Yes",1,0))</f>
        <v/>
      </c>
      <c r="AR2574">
        <f>IF($AN2574=1,IFERROR(VALUE(MID($E2574,2,20)),1000000000)+ROW()/100000,"")</f>
        <v/>
      </c>
    </row>
    <row r="2575">
      <c r="G2575" s="11" t="n"/>
      <c r="Q2575" s="7">
        <f>IF($E2575="","",P2575*Y2575/100)</f>
        <v/>
      </c>
      <c r="R2575" s="7" t="n"/>
      <c r="X2575" s="7" t="n"/>
      <c r="Y2575" s="7" t="n"/>
      <c r="AB2575">
        <f>IF($E2575="","",IF($AQ2575=1,0,IF($AP2575=1,Settings!$C$6,Settings!$C$7))*100)</f>
        <v/>
      </c>
      <c r="AC2575" s="7">
        <f>IF($E2575="","",Y2575*AB2575/100)</f>
        <v/>
      </c>
      <c r="AD2575" s="7">
        <f>IF($E2575="","",Y2575-AC2575)</f>
        <v/>
      </c>
      <c r="AE2575" s="7">
        <f>IF($E2575="","",AD2575-Q2575)</f>
        <v/>
      </c>
      <c r="AI2575" s="7" t="n"/>
      <c r="AL2575" s="11" t="n"/>
      <c r="AN2575">
        <f>IF($E2575="","",IF(COUNTIF($E$2:$E2575,$E2575)=1,1,0))</f>
        <v/>
      </c>
      <c r="AO2575">
        <f>IF($AN2575=1,SUMPRODUCT(--($AR$2:$AR$4001&lt;$AR2575))+1,"")</f>
        <v/>
      </c>
      <c r="AP2575">
        <f>IF($E2575="","",IF(OR($U2575=TRUE(),$U2575="TRUE"),1,0))</f>
        <v/>
      </c>
      <c r="AQ2575">
        <f>IF($E2575="","",IF($AA2575="Yes",1,0))</f>
        <v/>
      </c>
      <c r="AR2575">
        <f>IF($AN2575=1,IFERROR(VALUE(MID($E2575,2,20)),1000000000)+ROW()/100000,"")</f>
        <v/>
      </c>
    </row>
    <row r="2576">
      <c r="G2576" s="11" t="n"/>
      <c r="Q2576" s="7">
        <f>IF($E2576="","",P2576*Y2576/100)</f>
        <v/>
      </c>
      <c r="R2576" s="7" t="n"/>
      <c r="X2576" s="7" t="n"/>
      <c r="Y2576" s="7" t="n"/>
      <c r="AB2576">
        <f>IF($E2576="","",IF($AQ2576=1,0,IF($AP2576=1,Settings!$C$6,Settings!$C$7))*100)</f>
        <v/>
      </c>
      <c r="AC2576" s="7">
        <f>IF($E2576="","",Y2576*AB2576/100)</f>
        <v/>
      </c>
      <c r="AD2576" s="7">
        <f>IF($E2576="","",Y2576-AC2576)</f>
        <v/>
      </c>
      <c r="AE2576" s="7">
        <f>IF($E2576="","",AD2576-Q2576)</f>
        <v/>
      </c>
      <c r="AI2576" s="7" t="n"/>
      <c r="AL2576" s="11" t="n"/>
      <c r="AN2576">
        <f>IF($E2576="","",IF(COUNTIF($E$2:$E2576,$E2576)=1,1,0))</f>
        <v/>
      </c>
      <c r="AO2576">
        <f>IF($AN2576=1,SUMPRODUCT(--($AR$2:$AR$4001&lt;$AR2576))+1,"")</f>
        <v/>
      </c>
      <c r="AP2576">
        <f>IF($E2576="","",IF(OR($U2576=TRUE(),$U2576="TRUE"),1,0))</f>
        <v/>
      </c>
      <c r="AQ2576">
        <f>IF($E2576="","",IF($AA2576="Yes",1,0))</f>
        <v/>
      </c>
      <c r="AR2576">
        <f>IF($AN2576=1,IFERROR(VALUE(MID($E2576,2,20)),1000000000)+ROW()/100000,"")</f>
        <v/>
      </c>
    </row>
    <row r="2577">
      <c r="G2577" s="11" t="n"/>
      <c r="Q2577" s="7">
        <f>IF($E2577="","",P2577*Y2577/100)</f>
        <v/>
      </c>
      <c r="R2577" s="7" t="n"/>
      <c r="X2577" s="7" t="n"/>
      <c r="Y2577" s="7" t="n"/>
      <c r="AB2577">
        <f>IF($E2577="","",IF($AQ2577=1,0,IF($AP2577=1,Settings!$C$6,Settings!$C$7))*100)</f>
        <v/>
      </c>
      <c r="AC2577" s="7">
        <f>IF($E2577="","",Y2577*AB2577/100)</f>
        <v/>
      </c>
      <c r="AD2577" s="7">
        <f>IF($E2577="","",Y2577-AC2577)</f>
        <v/>
      </c>
      <c r="AE2577" s="7">
        <f>IF($E2577="","",AD2577-Q2577)</f>
        <v/>
      </c>
      <c r="AI2577" s="7" t="n"/>
      <c r="AL2577" s="11" t="n"/>
      <c r="AN2577">
        <f>IF($E2577="","",IF(COUNTIF($E$2:$E2577,$E2577)=1,1,0))</f>
        <v/>
      </c>
      <c r="AO2577">
        <f>IF($AN2577=1,SUMPRODUCT(--($AR$2:$AR$4001&lt;$AR2577))+1,"")</f>
        <v/>
      </c>
      <c r="AP2577">
        <f>IF($E2577="","",IF(OR($U2577=TRUE(),$U2577="TRUE"),1,0))</f>
        <v/>
      </c>
      <c r="AQ2577">
        <f>IF($E2577="","",IF($AA2577="Yes",1,0))</f>
        <v/>
      </c>
      <c r="AR2577">
        <f>IF($AN2577=1,IFERROR(VALUE(MID($E2577,2,20)),1000000000)+ROW()/100000,"")</f>
        <v/>
      </c>
    </row>
    <row r="2578">
      <c r="G2578" s="11" t="n"/>
      <c r="Q2578" s="7">
        <f>IF($E2578="","",P2578*Y2578/100)</f>
        <v/>
      </c>
      <c r="R2578" s="7" t="n"/>
      <c r="X2578" s="7" t="n"/>
      <c r="Y2578" s="7" t="n"/>
      <c r="AB2578">
        <f>IF($E2578="","",IF($AQ2578=1,0,IF($AP2578=1,Settings!$C$6,Settings!$C$7))*100)</f>
        <v/>
      </c>
      <c r="AC2578" s="7">
        <f>IF($E2578="","",Y2578*AB2578/100)</f>
        <v/>
      </c>
      <c r="AD2578" s="7">
        <f>IF($E2578="","",Y2578-AC2578)</f>
        <v/>
      </c>
      <c r="AE2578" s="7">
        <f>IF($E2578="","",AD2578-Q2578)</f>
        <v/>
      </c>
      <c r="AI2578" s="7" t="n"/>
      <c r="AL2578" s="11" t="n"/>
      <c r="AN2578">
        <f>IF($E2578="","",IF(COUNTIF($E$2:$E2578,$E2578)=1,1,0))</f>
        <v/>
      </c>
      <c r="AO2578">
        <f>IF($AN2578=1,SUMPRODUCT(--($AR$2:$AR$4001&lt;$AR2578))+1,"")</f>
        <v/>
      </c>
      <c r="AP2578">
        <f>IF($E2578="","",IF(OR($U2578=TRUE(),$U2578="TRUE"),1,0))</f>
        <v/>
      </c>
      <c r="AQ2578">
        <f>IF($E2578="","",IF($AA2578="Yes",1,0))</f>
        <v/>
      </c>
      <c r="AR2578">
        <f>IF($AN2578=1,IFERROR(VALUE(MID($E2578,2,20)),1000000000)+ROW()/100000,"")</f>
        <v/>
      </c>
    </row>
    <row r="2579">
      <c r="G2579" s="11" t="n"/>
      <c r="Q2579" s="7">
        <f>IF($E2579="","",P2579*Y2579/100)</f>
        <v/>
      </c>
      <c r="R2579" s="7" t="n"/>
      <c r="X2579" s="7" t="n"/>
      <c r="Y2579" s="7" t="n"/>
      <c r="AB2579">
        <f>IF($E2579="","",IF($AQ2579=1,0,IF($AP2579=1,Settings!$C$6,Settings!$C$7))*100)</f>
        <v/>
      </c>
      <c r="AC2579" s="7">
        <f>IF($E2579="","",Y2579*AB2579/100)</f>
        <v/>
      </c>
      <c r="AD2579" s="7">
        <f>IF($E2579="","",Y2579-AC2579)</f>
        <v/>
      </c>
      <c r="AE2579" s="7">
        <f>IF($E2579="","",AD2579-Q2579)</f>
        <v/>
      </c>
      <c r="AI2579" s="7" t="n"/>
      <c r="AL2579" s="11" t="n"/>
      <c r="AN2579">
        <f>IF($E2579="","",IF(COUNTIF($E$2:$E2579,$E2579)=1,1,0))</f>
        <v/>
      </c>
      <c r="AO2579">
        <f>IF($AN2579=1,SUMPRODUCT(--($AR$2:$AR$4001&lt;$AR2579))+1,"")</f>
        <v/>
      </c>
      <c r="AP2579">
        <f>IF($E2579="","",IF(OR($U2579=TRUE(),$U2579="TRUE"),1,0))</f>
        <v/>
      </c>
      <c r="AQ2579">
        <f>IF($E2579="","",IF($AA2579="Yes",1,0))</f>
        <v/>
      </c>
      <c r="AR2579">
        <f>IF($AN2579=1,IFERROR(VALUE(MID($E2579,2,20)),1000000000)+ROW()/100000,"")</f>
        <v/>
      </c>
    </row>
    <row r="2580">
      <c r="G2580" s="11" t="n"/>
      <c r="Q2580" s="7">
        <f>IF($E2580="","",P2580*Y2580/100)</f>
        <v/>
      </c>
      <c r="R2580" s="7" t="n"/>
      <c r="X2580" s="7" t="n"/>
      <c r="Y2580" s="7" t="n"/>
      <c r="AB2580">
        <f>IF($E2580="","",IF($AQ2580=1,0,IF($AP2580=1,Settings!$C$6,Settings!$C$7))*100)</f>
        <v/>
      </c>
      <c r="AC2580" s="7">
        <f>IF($E2580="","",Y2580*AB2580/100)</f>
        <v/>
      </c>
      <c r="AD2580" s="7">
        <f>IF($E2580="","",Y2580-AC2580)</f>
        <v/>
      </c>
      <c r="AE2580" s="7">
        <f>IF($E2580="","",AD2580-Q2580)</f>
        <v/>
      </c>
      <c r="AI2580" s="7" t="n"/>
      <c r="AL2580" s="11" t="n"/>
      <c r="AN2580">
        <f>IF($E2580="","",IF(COUNTIF($E$2:$E2580,$E2580)=1,1,0))</f>
        <v/>
      </c>
      <c r="AO2580">
        <f>IF($AN2580=1,SUMPRODUCT(--($AR$2:$AR$4001&lt;$AR2580))+1,"")</f>
        <v/>
      </c>
      <c r="AP2580">
        <f>IF($E2580="","",IF(OR($U2580=TRUE(),$U2580="TRUE"),1,0))</f>
        <v/>
      </c>
      <c r="AQ2580">
        <f>IF($E2580="","",IF($AA2580="Yes",1,0))</f>
        <v/>
      </c>
      <c r="AR2580">
        <f>IF($AN2580=1,IFERROR(VALUE(MID($E2580,2,20)),1000000000)+ROW()/100000,"")</f>
        <v/>
      </c>
    </row>
    <row r="2581">
      <c r="G2581" s="11" t="n"/>
      <c r="Q2581" s="7">
        <f>IF($E2581="","",P2581*Y2581/100)</f>
        <v/>
      </c>
      <c r="R2581" s="7" t="n"/>
      <c r="X2581" s="7" t="n"/>
      <c r="Y2581" s="7" t="n"/>
      <c r="AB2581">
        <f>IF($E2581="","",IF($AQ2581=1,0,IF($AP2581=1,Settings!$C$6,Settings!$C$7))*100)</f>
        <v/>
      </c>
      <c r="AC2581" s="7">
        <f>IF($E2581="","",Y2581*AB2581/100)</f>
        <v/>
      </c>
      <c r="AD2581" s="7">
        <f>IF($E2581="","",Y2581-AC2581)</f>
        <v/>
      </c>
      <c r="AE2581" s="7">
        <f>IF($E2581="","",AD2581-Q2581)</f>
        <v/>
      </c>
      <c r="AI2581" s="7" t="n"/>
      <c r="AL2581" s="11" t="n"/>
      <c r="AN2581">
        <f>IF($E2581="","",IF(COUNTIF($E$2:$E2581,$E2581)=1,1,0))</f>
        <v/>
      </c>
      <c r="AO2581">
        <f>IF($AN2581=1,SUMPRODUCT(--($AR$2:$AR$4001&lt;$AR2581))+1,"")</f>
        <v/>
      </c>
      <c r="AP2581">
        <f>IF($E2581="","",IF(OR($U2581=TRUE(),$U2581="TRUE"),1,0))</f>
        <v/>
      </c>
      <c r="AQ2581">
        <f>IF($E2581="","",IF($AA2581="Yes",1,0))</f>
        <v/>
      </c>
      <c r="AR2581">
        <f>IF($AN2581=1,IFERROR(VALUE(MID($E2581,2,20)),1000000000)+ROW()/100000,"")</f>
        <v/>
      </c>
    </row>
    <row r="2582">
      <c r="G2582" s="11" t="n"/>
      <c r="Q2582" s="7">
        <f>IF($E2582="","",P2582*Y2582/100)</f>
        <v/>
      </c>
      <c r="R2582" s="7" t="n"/>
      <c r="X2582" s="7" t="n"/>
      <c r="Y2582" s="7" t="n"/>
      <c r="AB2582">
        <f>IF($E2582="","",IF($AQ2582=1,0,IF($AP2582=1,Settings!$C$6,Settings!$C$7))*100)</f>
        <v/>
      </c>
      <c r="AC2582" s="7">
        <f>IF($E2582="","",Y2582*AB2582/100)</f>
        <v/>
      </c>
      <c r="AD2582" s="7">
        <f>IF($E2582="","",Y2582-AC2582)</f>
        <v/>
      </c>
      <c r="AE2582" s="7">
        <f>IF($E2582="","",AD2582-Q2582)</f>
        <v/>
      </c>
      <c r="AI2582" s="7" t="n"/>
      <c r="AL2582" s="11" t="n"/>
      <c r="AN2582">
        <f>IF($E2582="","",IF(COUNTIF($E$2:$E2582,$E2582)=1,1,0))</f>
        <v/>
      </c>
      <c r="AO2582">
        <f>IF($AN2582=1,SUMPRODUCT(--($AR$2:$AR$4001&lt;$AR2582))+1,"")</f>
        <v/>
      </c>
      <c r="AP2582">
        <f>IF($E2582="","",IF(OR($U2582=TRUE(),$U2582="TRUE"),1,0))</f>
        <v/>
      </c>
      <c r="AQ2582">
        <f>IF($E2582="","",IF($AA2582="Yes",1,0))</f>
        <v/>
      </c>
      <c r="AR2582">
        <f>IF($AN2582=1,IFERROR(VALUE(MID($E2582,2,20)),1000000000)+ROW()/100000,"")</f>
        <v/>
      </c>
    </row>
    <row r="2583">
      <c r="G2583" s="11" t="n"/>
      <c r="Q2583" s="7">
        <f>IF($E2583="","",P2583*Y2583/100)</f>
        <v/>
      </c>
      <c r="R2583" s="7" t="n"/>
      <c r="X2583" s="7" t="n"/>
      <c r="Y2583" s="7" t="n"/>
      <c r="AB2583">
        <f>IF($E2583="","",IF($AQ2583=1,0,IF($AP2583=1,Settings!$C$6,Settings!$C$7))*100)</f>
        <v/>
      </c>
      <c r="AC2583" s="7">
        <f>IF($E2583="","",Y2583*AB2583/100)</f>
        <v/>
      </c>
      <c r="AD2583" s="7">
        <f>IF($E2583="","",Y2583-AC2583)</f>
        <v/>
      </c>
      <c r="AE2583" s="7">
        <f>IF($E2583="","",AD2583-Q2583)</f>
        <v/>
      </c>
      <c r="AI2583" s="7" t="n"/>
      <c r="AL2583" s="11" t="n"/>
      <c r="AN2583">
        <f>IF($E2583="","",IF(COUNTIF($E$2:$E2583,$E2583)=1,1,0))</f>
        <v/>
      </c>
      <c r="AO2583">
        <f>IF($AN2583=1,SUMPRODUCT(--($AR$2:$AR$4001&lt;$AR2583))+1,"")</f>
        <v/>
      </c>
      <c r="AP2583">
        <f>IF($E2583="","",IF(OR($U2583=TRUE(),$U2583="TRUE"),1,0))</f>
        <v/>
      </c>
      <c r="AQ2583">
        <f>IF($E2583="","",IF($AA2583="Yes",1,0))</f>
        <v/>
      </c>
      <c r="AR2583">
        <f>IF($AN2583=1,IFERROR(VALUE(MID($E2583,2,20)),1000000000)+ROW()/100000,"")</f>
        <v/>
      </c>
    </row>
    <row r="2584">
      <c r="G2584" s="11" t="n"/>
      <c r="Q2584" s="7">
        <f>IF($E2584="","",P2584*Y2584/100)</f>
        <v/>
      </c>
      <c r="R2584" s="7" t="n"/>
      <c r="X2584" s="7" t="n"/>
      <c r="Y2584" s="7" t="n"/>
      <c r="AB2584">
        <f>IF($E2584="","",IF($AQ2584=1,0,IF($AP2584=1,Settings!$C$6,Settings!$C$7))*100)</f>
        <v/>
      </c>
      <c r="AC2584" s="7">
        <f>IF($E2584="","",Y2584*AB2584/100)</f>
        <v/>
      </c>
      <c r="AD2584" s="7">
        <f>IF($E2584="","",Y2584-AC2584)</f>
        <v/>
      </c>
      <c r="AE2584" s="7">
        <f>IF($E2584="","",AD2584-Q2584)</f>
        <v/>
      </c>
      <c r="AI2584" s="7" t="n"/>
      <c r="AL2584" s="11" t="n"/>
      <c r="AN2584">
        <f>IF($E2584="","",IF(COUNTIF($E$2:$E2584,$E2584)=1,1,0))</f>
        <v/>
      </c>
      <c r="AO2584">
        <f>IF($AN2584=1,SUMPRODUCT(--($AR$2:$AR$4001&lt;$AR2584))+1,"")</f>
        <v/>
      </c>
      <c r="AP2584">
        <f>IF($E2584="","",IF(OR($U2584=TRUE(),$U2584="TRUE"),1,0))</f>
        <v/>
      </c>
      <c r="AQ2584">
        <f>IF($E2584="","",IF($AA2584="Yes",1,0))</f>
        <v/>
      </c>
      <c r="AR2584">
        <f>IF($AN2584=1,IFERROR(VALUE(MID($E2584,2,20)),1000000000)+ROW()/100000,"")</f>
        <v/>
      </c>
    </row>
    <row r="2585">
      <c r="G2585" s="11" t="n"/>
      <c r="Q2585" s="7">
        <f>IF($E2585="","",P2585*Y2585/100)</f>
        <v/>
      </c>
      <c r="R2585" s="7" t="n"/>
      <c r="X2585" s="7" t="n"/>
      <c r="Y2585" s="7" t="n"/>
      <c r="AB2585">
        <f>IF($E2585="","",IF($AQ2585=1,0,IF($AP2585=1,Settings!$C$6,Settings!$C$7))*100)</f>
        <v/>
      </c>
      <c r="AC2585" s="7">
        <f>IF($E2585="","",Y2585*AB2585/100)</f>
        <v/>
      </c>
      <c r="AD2585" s="7">
        <f>IF($E2585="","",Y2585-AC2585)</f>
        <v/>
      </c>
      <c r="AE2585" s="7">
        <f>IF($E2585="","",AD2585-Q2585)</f>
        <v/>
      </c>
      <c r="AI2585" s="7" t="n"/>
      <c r="AL2585" s="11" t="n"/>
      <c r="AN2585">
        <f>IF($E2585="","",IF(COUNTIF($E$2:$E2585,$E2585)=1,1,0))</f>
        <v/>
      </c>
      <c r="AO2585">
        <f>IF($AN2585=1,SUMPRODUCT(--($AR$2:$AR$4001&lt;$AR2585))+1,"")</f>
        <v/>
      </c>
      <c r="AP2585">
        <f>IF($E2585="","",IF(OR($U2585=TRUE(),$U2585="TRUE"),1,0))</f>
        <v/>
      </c>
      <c r="AQ2585">
        <f>IF($E2585="","",IF($AA2585="Yes",1,0))</f>
        <v/>
      </c>
      <c r="AR2585">
        <f>IF($AN2585=1,IFERROR(VALUE(MID($E2585,2,20)),1000000000)+ROW()/100000,"")</f>
        <v/>
      </c>
    </row>
    <row r="2586">
      <c r="G2586" s="11" t="n"/>
      <c r="Q2586" s="7">
        <f>IF($E2586="","",P2586*Y2586/100)</f>
        <v/>
      </c>
      <c r="R2586" s="7" t="n"/>
      <c r="X2586" s="7" t="n"/>
      <c r="Y2586" s="7" t="n"/>
      <c r="AB2586">
        <f>IF($E2586="","",IF($AQ2586=1,0,IF($AP2586=1,Settings!$C$6,Settings!$C$7))*100)</f>
        <v/>
      </c>
      <c r="AC2586" s="7">
        <f>IF($E2586="","",Y2586*AB2586/100)</f>
        <v/>
      </c>
      <c r="AD2586" s="7">
        <f>IF($E2586="","",Y2586-AC2586)</f>
        <v/>
      </c>
      <c r="AE2586" s="7">
        <f>IF($E2586="","",AD2586-Q2586)</f>
        <v/>
      </c>
      <c r="AI2586" s="7" t="n"/>
      <c r="AL2586" s="11" t="n"/>
      <c r="AN2586">
        <f>IF($E2586="","",IF(COUNTIF($E$2:$E2586,$E2586)=1,1,0))</f>
        <v/>
      </c>
      <c r="AO2586">
        <f>IF($AN2586=1,SUMPRODUCT(--($AR$2:$AR$4001&lt;$AR2586))+1,"")</f>
        <v/>
      </c>
      <c r="AP2586">
        <f>IF($E2586="","",IF(OR($U2586=TRUE(),$U2586="TRUE"),1,0))</f>
        <v/>
      </c>
      <c r="AQ2586">
        <f>IF($E2586="","",IF($AA2586="Yes",1,0))</f>
        <v/>
      </c>
      <c r="AR2586">
        <f>IF($AN2586=1,IFERROR(VALUE(MID($E2586,2,20)),1000000000)+ROW()/100000,"")</f>
        <v/>
      </c>
    </row>
    <row r="2587">
      <c r="G2587" s="11" t="n"/>
      <c r="Q2587" s="7">
        <f>IF($E2587="","",P2587*Y2587/100)</f>
        <v/>
      </c>
      <c r="R2587" s="7" t="n"/>
      <c r="X2587" s="7" t="n"/>
      <c r="Y2587" s="7" t="n"/>
      <c r="AB2587">
        <f>IF($E2587="","",IF($AQ2587=1,0,IF($AP2587=1,Settings!$C$6,Settings!$C$7))*100)</f>
        <v/>
      </c>
      <c r="AC2587" s="7">
        <f>IF($E2587="","",Y2587*AB2587/100)</f>
        <v/>
      </c>
      <c r="AD2587" s="7">
        <f>IF($E2587="","",Y2587-AC2587)</f>
        <v/>
      </c>
      <c r="AE2587" s="7">
        <f>IF($E2587="","",AD2587-Q2587)</f>
        <v/>
      </c>
      <c r="AI2587" s="7" t="n"/>
      <c r="AL2587" s="11" t="n"/>
      <c r="AN2587">
        <f>IF($E2587="","",IF(COUNTIF($E$2:$E2587,$E2587)=1,1,0))</f>
        <v/>
      </c>
      <c r="AO2587">
        <f>IF($AN2587=1,SUMPRODUCT(--($AR$2:$AR$4001&lt;$AR2587))+1,"")</f>
        <v/>
      </c>
      <c r="AP2587">
        <f>IF($E2587="","",IF(OR($U2587=TRUE(),$U2587="TRUE"),1,0))</f>
        <v/>
      </c>
      <c r="AQ2587">
        <f>IF($E2587="","",IF($AA2587="Yes",1,0))</f>
        <v/>
      </c>
      <c r="AR2587">
        <f>IF($AN2587=1,IFERROR(VALUE(MID($E2587,2,20)),1000000000)+ROW()/100000,"")</f>
        <v/>
      </c>
    </row>
    <row r="2588">
      <c r="G2588" s="11" t="n"/>
      <c r="Q2588" s="7">
        <f>IF($E2588="","",P2588*Y2588/100)</f>
        <v/>
      </c>
      <c r="R2588" s="7" t="n"/>
      <c r="X2588" s="7" t="n"/>
      <c r="Y2588" s="7" t="n"/>
      <c r="AB2588">
        <f>IF($E2588="","",IF($AQ2588=1,0,IF($AP2588=1,Settings!$C$6,Settings!$C$7))*100)</f>
        <v/>
      </c>
      <c r="AC2588" s="7">
        <f>IF($E2588="","",Y2588*AB2588/100)</f>
        <v/>
      </c>
      <c r="AD2588" s="7">
        <f>IF($E2588="","",Y2588-AC2588)</f>
        <v/>
      </c>
      <c r="AE2588" s="7">
        <f>IF($E2588="","",AD2588-Q2588)</f>
        <v/>
      </c>
      <c r="AI2588" s="7" t="n"/>
      <c r="AL2588" s="11" t="n"/>
      <c r="AN2588">
        <f>IF($E2588="","",IF(COUNTIF($E$2:$E2588,$E2588)=1,1,0))</f>
        <v/>
      </c>
      <c r="AO2588">
        <f>IF($AN2588=1,SUMPRODUCT(--($AR$2:$AR$4001&lt;$AR2588))+1,"")</f>
        <v/>
      </c>
      <c r="AP2588">
        <f>IF($E2588="","",IF(OR($U2588=TRUE(),$U2588="TRUE"),1,0))</f>
        <v/>
      </c>
      <c r="AQ2588">
        <f>IF($E2588="","",IF($AA2588="Yes",1,0))</f>
        <v/>
      </c>
      <c r="AR2588">
        <f>IF($AN2588=1,IFERROR(VALUE(MID($E2588,2,20)),1000000000)+ROW()/100000,"")</f>
        <v/>
      </c>
    </row>
    <row r="2589">
      <c r="G2589" s="11" t="n"/>
      <c r="Q2589" s="7">
        <f>IF($E2589="","",P2589*Y2589/100)</f>
        <v/>
      </c>
      <c r="R2589" s="7" t="n"/>
      <c r="X2589" s="7" t="n"/>
      <c r="Y2589" s="7" t="n"/>
      <c r="AB2589">
        <f>IF($E2589="","",IF($AQ2589=1,0,IF($AP2589=1,Settings!$C$6,Settings!$C$7))*100)</f>
        <v/>
      </c>
      <c r="AC2589" s="7">
        <f>IF($E2589="","",Y2589*AB2589/100)</f>
        <v/>
      </c>
      <c r="AD2589" s="7">
        <f>IF($E2589="","",Y2589-AC2589)</f>
        <v/>
      </c>
      <c r="AE2589" s="7">
        <f>IF($E2589="","",AD2589-Q2589)</f>
        <v/>
      </c>
      <c r="AI2589" s="7" t="n"/>
      <c r="AL2589" s="11" t="n"/>
      <c r="AN2589">
        <f>IF($E2589="","",IF(COUNTIF($E$2:$E2589,$E2589)=1,1,0))</f>
        <v/>
      </c>
      <c r="AO2589">
        <f>IF($AN2589=1,SUMPRODUCT(--($AR$2:$AR$4001&lt;$AR2589))+1,"")</f>
        <v/>
      </c>
      <c r="AP2589">
        <f>IF($E2589="","",IF(OR($U2589=TRUE(),$U2589="TRUE"),1,0))</f>
        <v/>
      </c>
      <c r="AQ2589">
        <f>IF($E2589="","",IF($AA2589="Yes",1,0))</f>
        <v/>
      </c>
      <c r="AR2589">
        <f>IF($AN2589=1,IFERROR(VALUE(MID($E2589,2,20)),1000000000)+ROW()/100000,"")</f>
        <v/>
      </c>
    </row>
    <row r="2590">
      <c r="G2590" s="11" t="n"/>
      <c r="Q2590" s="7">
        <f>IF($E2590="","",P2590*Y2590/100)</f>
        <v/>
      </c>
      <c r="R2590" s="7" t="n"/>
      <c r="X2590" s="7" t="n"/>
      <c r="Y2590" s="7" t="n"/>
      <c r="AB2590">
        <f>IF($E2590="","",IF($AQ2590=1,0,IF($AP2590=1,Settings!$C$6,Settings!$C$7))*100)</f>
        <v/>
      </c>
      <c r="AC2590" s="7">
        <f>IF($E2590="","",Y2590*AB2590/100)</f>
        <v/>
      </c>
      <c r="AD2590" s="7">
        <f>IF($E2590="","",Y2590-AC2590)</f>
        <v/>
      </c>
      <c r="AE2590" s="7">
        <f>IF($E2590="","",AD2590-Q2590)</f>
        <v/>
      </c>
      <c r="AI2590" s="7" t="n"/>
      <c r="AL2590" s="11" t="n"/>
      <c r="AN2590">
        <f>IF($E2590="","",IF(COUNTIF($E$2:$E2590,$E2590)=1,1,0))</f>
        <v/>
      </c>
      <c r="AO2590">
        <f>IF($AN2590=1,SUMPRODUCT(--($AR$2:$AR$4001&lt;$AR2590))+1,"")</f>
        <v/>
      </c>
      <c r="AP2590">
        <f>IF($E2590="","",IF(OR($U2590=TRUE(),$U2590="TRUE"),1,0))</f>
        <v/>
      </c>
      <c r="AQ2590">
        <f>IF($E2590="","",IF($AA2590="Yes",1,0))</f>
        <v/>
      </c>
      <c r="AR2590">
        <f>IF($AN2590=1,IFERROR(VALUE(MID($E2590,2,20)),1000000000)+ROW()/100000,"")</f>
        <v/>
      </c>
    </row>
    <row r="2591">
      <c r="G2591" s="11" t="n"/>
      <c r="Q2591" s="7">
        <f>IF($E2591="","",P2591*Y2591/100)</f>
        <v/>
      </c>
      <c r="R2591" s="7" t="n"/>
      <c r="X2591" s="7" t="n"/>
      <c r="Y2591" s="7" t="n"/>
      <c r="AB2591">
        <f>IF($E2591="","",IF($AQ2591=1,0,IF($AP2591=1,Settings!$C$6,Settings!$C$7))*100)</f>
        <v/>
      </c>
      <c r="AC2591" s="7">
        <f>IF($E2591="","",Y2591*AB2591/100)</f>
        <v/>
      </c>
      <c r="AD2591" s="7">
        <f>IF($E2591="","",Y2591-AC2591)</f>
        <v/>
      </c>
      <c r="AE2591" s="7">
        <f>IF($E2591="","",AD2591-Q2591)</f>
        <v/>
      </c>
      <c r="AI2591" s="7" t="n"/>
      <c r="AL2591" s="11" t="n"/>
      <c r="AN2591">
        <f>IF($E2591="","",IF(COUNTIF($E$2:$E2591,$E2591)=1,1,0))</f>
        <v/>
      </c>
      <c r="AO2591">
        <f>IF($AN2591=1,SUMPRODUCT(--($AR$2:$AR$4001&lt;$AR2591))+1,"")</f>
        <v/>
      </c>
      <c r="AP2591">
        <f>IF($E2591="","",IF(OR($U2591=TRUE(),$U2591="TRUE"),1,0))</f>
        <v/>
      </c>
      <c r="AQ2591">
        <f>IF($E2591="","",IF($AA2591="Yes",1,0))</f>
        <v/>
      </c>
      <c r="AR2591">
        <f>IF($AN2591=1,IFERROR(VALUE(MID($E2591,2,20)),1000000000)+ROW()/100000,"")</f>
        <v/>
      </c>
    </row>
    <row r="2592">
      <c r="G2592" s="11" t="n"/>
      <c r="Q2592" s="7">
        <f>IF($E2592="","",P2592*Y2592/100)</f>
        <v/>
      </c>
      <c r="R2592" s="7" t="n"/>
      <c r="X2592" s="7" t="n"/>
      <c r="Y2592" s="7" t="n"/>
      <c r="AB2592">
        <f>IF($E2592="","",IF($AQ2592=1,0,IF($AP2592=1,Settings!$C$6,Settings!$C$7))*100)</f>
        <v/>
      </c>
      <c r="AC2592" s="7">
        <f>IF($E2592="","",Y2592*AB2592/100)</f>
        <v/>
      </c>
      <c r="AD2592" s="7">
        <f>IF($E2592="","",Y2592-AC2592)</f>
        <v/>
      </c>
      <c r="AE2592" s="7">
        <f>IF($E2592="","",AD2592-Q2592)</f>
        <v/>
      </c>
      <c r="AI2592" s="7" t="n"/>
      <c r="AL2592" s="11" t="n"/>
      <c r="AN2592">
        <f>IF($E2592="","",IF(COUNTIF($E$2:$E2592,$E2592)=1,1,0))</f>
        <v/>
      </c>
      <c r="AO2592">
        <f>IF($AN2592=1,SUMPRODUCT(--($AR$2:$AR$4001&lt;$AR2592))+1,"")</f>
        <v/>
      </c>
      <c r="AP2592">
        <f>IF($E2592="","",IF(OR($U2592=TRUE(),$U2592="TRUE"),1,0))</f>
        <v/>
      </c>
      <c r="AQ2592">
        <f>IF($E2592="","",IF($AA2592="Yes",1,0))</f>
        <v/>
      </c>
      <c r="AR2592">
        <f>IF($AN2592=1,IFERROR(VALUE(MID($E2592,2,20)),1000000000)+ROW()/100000,"")</f>
        <v/>
      </c>
    </row>
    <row r="2593">
      <c r="G2593" s="11" t="n"/>
      <c r="Q2593" s="7">
        <f>IF($E2593="","",P2593*Y2593/100)</f>
        <v/>
      </c>
      <c r="R2593" s="7" t="n"/>
      <c r="X2593" s="7" t="n"/>
      <c r="Y2593" s="7" t="n"/>
      <c r="AB2593">
        <f>IF($E2593="","",IF($AQ2593=1,0,IF($AP2593=1,Settings!$C$6,Settings!$C$7))*100)</f>
        <v/>
      </c>
      <c r="AC2593" s="7">
        <f>IF($E2593="","",Y2593*AB2593/100)</f>
        <v/>
      </c>
      <c r="AD2593" s="7">
        <f>IF($E2593="","",Y2593-AC2593)</f>
        <v/>
      </c>
      <c r="AE2593" s="7">
        <f>IF($E2593="","",AD2593-Q2593)</f>
        <v/>
      </c>
      <c r="AI2593" s="7" t="n"/>
      <c r="AL2593" s="11" t="n"/>
      <c r="AN2593">
        <f>IF($E2593="","",IF(COUNTIF($E$2:$E2593,$E2593)=1,1,0))</f>
        <v/>
      </c>
      <c r="AO2593">
        <f>IF($AN2593=1,SUMPRODUCT(--($AR$2:$AR$4001&lt;$AR2593))+1,"")</f>
        <v/>
      </c>
      <c r="AP2593">
        <f>IF($E2593="","",IF(OR($U2593=TRUE(),$U2593="TRUE"),1,0))</f>
        <v/>
      </c>
      <c r="AQ2593">
        <f>IF($E2593="","",IF($AA2593="Yes",1,0))</f>
        <v/>
      </c>
      <c r="AR2593">
        <f>IF($AN2593=1,IFERROR(VALUE(MID($E2593,2,20)),1000000000)+ROW()/100000,"")</f>
        <v/>
      </c>
    </row>
    <row r="2594">
      <c r="G2594" s="11" t="n"/>
      <c r="Q2594" s="7">
        <f>IF($E2594="","",P2594*Y2594/100)</f>
        <v/>
      </c>
      <c r="R2594" s="7" t="n"/>
      <c r="X2594" s="7" t="n"/>
      <c r="Y2594" s="7" t="n"/>
      <c r="AB2594">
        <f>IF($E2594="","",IF($AQ2594=1,0,IF($AP2594=1,Settings!$C$6,Settings!$C$7))*100)</f>
        <v/>
      </c>
      <c r="AC2594" s="7">
        <f>IF($E2594="","",Y2594*AB2594/100)</f>
        <v/>
      </c>
      <c r="AD2594" s="7">
        <f>IF($E2594="","",Y2594-AC2594)</f>
        <v/>
      </c>
      <c r="AE2594" s="7">
        <f>IF($E2594="","",AD2594-Q2594)</f>
        <v/>
      </c>
      <c r="AI2594" s="7" t="n"/>
      <c r="AL2594" s="11" t="n"/>
      <c r="AN2594">
        <f>IF($E2594="","",IF(COUNTIF($E$2:$E2594,$E2594)=1,1,0))</f>
        <v/>
      </c>
      <c r="AO2594">
        <f>IF($AN2594=1,SUMPRODUCT(--($AR$2:$AR$4001&lt;$AR2594))+1,"")</f>
        <v/>
      </c>
      <c r="AP2594">
        <f>IF($E2594="","",IF(OR($U2594=TRUE(),$U2594="TRUE"),1,0))</f>
        <v/>
      </c>
      <c r="AQ2594">
        <f>IF($E2594="","",IF($AA2594="Yes",1,0))</f>
        <v/>
      </c>
      <c r="AR2594">
        <f>IF($AN2594=1,IFERROR(VALUE(MID($E2594,2,20)),1000000000)+ROW()/100000,"")</f>
        <v/>
      </c>
    </row>
    <row r="2595">
      <c r="G2595" s="11" t="n"/>
      <c r="Q2595" s="7">
        <f>IF($E2595="","",P2595*Y2595/100)</f>
        <v/>
      </c>
      <c r="R2595" s="7" t="n"/>
      <c r="X2595" s="7" t="n"/>
      <c r="Y2595" s="7" t="n"/>
      <c r="AB2595">
        <f>IF($E2595="","",IF($AQ2595=1,0,IF($AP2595=1,Settings!$C$6,Settings!$C$7))*100)</f>
        <v/>
      </c>
      <c r="AC2595" s="7">
        <f>IF($E2595="","",Y2595*AB2595/100)</f>
        <v/>
      </c>
      <c r="AD2595" s="7">
        <f>IF($E2595="","",Y2595-AC2595)</f>
        <v/>
      </c>
      <c r="AE2595" s="7">
        <f>IF($E2595="","",AD2595-Q2595)</f>
        <v/>
      </c>
      <c r="AI2595" s="7" t="n"/>
      <c r="AL2595" s="11" t="n"/>
      <c r="AN2595">
        <f>IF($E2595="","",IF(COUNTIF($E$2:$E2595,$E2595)=1,1,0))</f>
        <v/>
      </c>
      <c r="AO2595">
        <f>IF($AN2595=1,SUMPRODUCT(--($AR$2:$AR$4001&lt;$AR2595))+1,"")</f>
        <v/>
      </c>
      <c r="AP2595">
        <f>IF($E2595="","",IF(OR($U2595=TRUE(),$U2595="TRUE"),1,0))</f>
        <v/>
      </c>
      <c r="AQ2595">
        <f>IF($E2595="","",IF($AA2595="Yes",1,0))</f>
        <v/>
      </c>
      <c r="AR2595">
        <f>IF($AN2595=1,IFERROR(VALUE(MID($E2595,2,20)),1000000000)+ROW()/100000,"")</f>
        <v/>
      </c>
    </row>
    <row r="2596">
      <c r="G2596" s="11" t="n"/>
      <c r="Q2596" s="7">
        <f>IF($E2596="","",P2596*Y2596/100)</f>
        <v/>
      </c>
      <c r="R2596" s="7" t="n"/>
      <c r="X2596" s="7" t="n"/>
      <c r="Y2596" s="7" t="n"/>
      <c r="AB2596">
        <f>IF($E2596="","",IF($AQ2596=1,0,IF($AP2596=1,Settings!$C$6,Settings!$C$7))*100)</f>
        <v/>
      </c>
      <c r="AC2596" s="7">
        <f>IF($E2596="","",Y2596*AB2596/100)</f>
        <v/>
      </c>
      <c r="AD2596" s="7">
        <f>IF($E2596="","",Y2596-AC2596)</f>
        <v/>
      </c>
      <c r="AE2596" s="7">
        <f>IF($E2596="","",AD2596-Q2596)</f>
        <v/>
      </c>
      <c r="AI2596" s="7" t="n"/>
      <c r="AL2596" s="11" t="n"/>
      <c r="AN2596">
        <f>IF($E2596="","",IF(COUNTIF($E$2:$E2596,$E2596)=1,1,0))</f>
        <v/>
      </c>
      <c r="AO2596">
        <f>IF($AN2596=1,SUMPRODUCT(--($AR$2:$AR$4001&lt;$AR2596))+1,"")</f>
        <v/>
      </c>
      <c r="AP2596">
        <f>IF($E2596="","",IF(OR($U2596=TRUE(),$U2596="TRUE"),1,0))</f>
        <v/>
      </c>
      <c r="AQ2596">
        <f>IF($E2596="","",IF($AA2596="Yes",1,0))</f>
        <v/>
      </c>
      <c r="AR2596">
        <f>IF($AN2596=1,IFERROR(VALUE(MID($E2596,2,20)),1000000000)+ROW()/100000,"")</f>
        <v/>
      </c>
    </row>
    <row r="2597">
      <c r="G2597" s="11" t="n"/>
      <c r="Q2597" s="7">
        <f>IF($E2597="","",P2597*Y2597/100)</f>
        <v/>
      </c>
      <c r="R2597" s="7" t="n"/>
      <c r="X2597" s="7" t="n"/>
      <c r="Y2597" s="7" t="n"/>
      <c r="AB2597">
        <f>IF($E2597="","",IF($AQ2597=1,0,IF($AP2597=1,Settings!$C$6,Settings!$C$7))*100)</f>
        <v/>
      </c>
      <c r="AC2597" s="7">
        <f>IF($E2597="","",Y2597*AB2597/100)</f>
        <v/>
      </c>
      <c r="AD2597" s="7">
        <f>IF($E2597="","",Y2597-AC2597)</f>
        <v/>
      </c>
      <c r="AE2597" s="7">
        <f>IF($E2597="","",AD2597-Q2597)</f>
        <v/>
      </c>
      <c r="AI2597" s="7" t="n"/>
      <c r="AL2597" s="11" t="n"/>
      <c r="AN2597">
        <f>IF($E2597="","",IF(COUNTIF($E$2:$E2597,$E2597)=1,1,0))</f>
        <v/>
      </c>
      <c r="AO2597">
        <f>IF($AN2597=1,SUMPRODUCT(--($AR$2:$AR$4001&lt;$AR2597))+1,"")</f>
        <v/>
      </c>
      <c r="AP2597">
        <f>IF($E2597="","",IF(OR($U2597=TRUE(),$U2597="TRUE"),1,0))</f>
        <v/>
      </c>
      <c r="AQ2597">
        <f>IF($E2597="","",IF($AA2597="Yes",1,0))</f>
        <v/>
      </c>
      <c r="AR2597">
        <f>IF($AN2597=1,IFERROR(VALUE(MID($E2597,2,20)),1000000000)+ROW()/100000,"")</f>
        <v/>
      </c>
    </row>
    <row r="2598">
      <c r="G2598" s="11" t="n"/>
      <c r="Q2598" s="7">
        <f>IF($E2598="","",P2598*Y2598/100)</f>
        <v/>
      </c>
      <c r="R2598" s="7" t="n"/>
      <c r="X2598" s="7" t="n"/>
      <c r="Y2598" s="7" t="n"/>
      <c r="AB2598">
        <f>IF($E2598="","",IF($AQ2598=1,0,IF($AP2598=1,Settings!$C$6,Settings!$C$7))*100)</f>
        <v/>
      </c>
      <c r="AC2598" s="7">
        <f>IF($E2598="","",Y2598*AB2598/100)</f>
        <v/>
      </c>
      <c r="AD2598" s="7">
        <f>IF($E2598="","",Y2598-AC2598)</f>
        <v/>
      </c>
      <c r="AE2598" s="7">
        <f>IF($E2598="","",AD2598-Q2598)</f>
        <v/>
      </c>
      <c r="AI2598" s="7" t="n"/>
      <c r="AL2598" s="11" t="n"/>
      <c r="AN2598">
        <f>IF($E2598="","",IF(COUNTIF($E$2:$E2598,$E2598)=1,1,0))</f>
        <v/>
      </c>
      <c r="AO2598">
        <f>IF($AN2598=1,SUMPRODUCT(--($AR$2:$AR$4001&lt;$AR2598))+1,"")</f>
        <v/>
      </c>
      <c r="AP2598">
        <f>IF($E2598="","",IF(OR($U2598=TRUE(),$U2598="TRUE"),1,0))</f>
        <v/>
      </c>
      <c r="AQ2598">
        <f>IF($E2598="","",IF($AA2598="Yes",1,0))</f>
        <v/>
      </c>
      <c r="AR2598">
        <f>IF($AN2598=1,IFERROR(VALUE(MID($E2598,2,20)),1000000000)+ROW()/100000,"")</f>
        <v/>
      </c>
    </row>
    <row r="2599">
      <c r="G2599" s="11" t="n"/>
      <c r="Q2599" s="7">
        <f>IF($E2599="","",P2599*Y2599/100)</f>
        <v/>
      </c>
      <c r="R2599" s="7" t="n"/>
      <c r="X2599" s="7" t="n"/>
      <c r="Y2599" s="7" t="n"/>
      <c r="AB2599">
        <f>IF($E2599="","",IF($AQ2599=1,0,IF($AP2599=1,Settings!$C$6,Settings!$C$7))*100)</f>
        <v/>
      </c>
      <c r="AC2599" s="7">
        <f>IF($E2599="","",Y2599*AB2599/100)</f>
        <v/>
      </c>
      <c r="AD2599" s="7">
        <f>IF($E2599="","",Y2599-AC2599)</f>
        <v/>
      </c>
      <c r="AE2599" s="7">
        <f>IF($E2599="","",AD2599-Q2599)</f>
        <v/>
      </c>
      <c r="AI2599" s="7" t="n"/>
      <c r="AL2599" s="11" t="n"/>
      <c r="AN2599">
        <f>IF($E2599="","",IF(COUNTIF($E$2:$E2599,$E2599)=1,1,0))</f>
        <v/>
      </c>
      <c r="AO2599">
        <f>IF($AN2599=1,SUMPRODUCT(--($AR$2:$AR$4001&lt;$AR2599))+1,"")</f>
        <v/>
      </c>
      <c r="AP2599">
        <f>IF($E2599="","",IF(OR($U2599=TRUE(),$U2599="TRUE"),1,0))</f>
        <v/>
      </c>
      <c r="AQ2599">
        <f>IF($E2599="","",IF($AA2599="Yes",1,0))</f>
        <v/>
      </c>
      <c r="AR2599">
        <f>IF($AN2599=1,IFERROR(VALUE(MID($E2599,2,20)),1000000000)+ROW()/100000,"")</f>
        <v/>
      </c>
    </row>
    <row r="2600">
      <c r="G2600" s="11" t="n"/>
      <c r="Q2600" s="7">
        <f>IF($E2600="","",P2600*Y2600/100)</f>
        <v/>
      </c>
      <c r="R2600" s="7" t="n"/>
      <c r="X2600" s="7" t="n"/>
      <c r="Y2600" s="7" t="n"/>
      <c r="AB2600">
        <f>IF($E2600="","",IF($AQ2600=1,0,IF($AP2600=1,Settings!$C$6,Settings!$C$7))*100)</f>
        <v/>
      </c>
      <c r="AC2600" s="7">
        <f>IF($E2600="","",Y2600*AB2600/100)</f>
        <v/>
      </c>
      <c r="AD2600" s="7">
        <f>IF($E2600="","",Y2600-AC2600)</f>
        <v/>
      </c>
      <c r="AE2600" s="7">
        <f>IF($E2600="","",AD2600-Q2600)</f>
        <v/>
      </c>
      <c r="AI2600" s="7" t="n"/>
      <c r="AL2600" s="11" t="n"/>
      <c r="AN2600">
        <f>IF($E2600="","",IF(COUNTIF($E$2:$E2600,$E2600)=1,1,0))</f>
        <v/>
      </c>
      <c r="AO2600">
        <f>IF($AN2600=1,SUMPRODUCT(--($AR$2:$AR$4001&lt;$AR2600))+1,"")</f>
        <v/>
      </c>
      <c r="AP2600">
        <f>IF($E2600="","",IF(OR($U2600=TRUE(),$U2600="TRUE"),1,0))</f>
        <v/>
      </c>
      <c r="AQ2600">
        <f>IF($E2600="","",IF($AA2600="Yes",1,0))</f>
        <v/>
      </c>
      <c r="AR2600">
        <f>IF($AN2600=1,IFERROR(VALUE(MID($E2600,2,20)),1000000000)+ROW()/100000,"")</f>
        <v/>
      </c>
    </row>
    <row r="2601">
      <c r="G2601" s="11" t="n"/>
      <c r="Q2601" s="7">
        <f>IF($E2601="","",P2601*Y2601/100)</f>
        <v/>
      </c>
      <c r="R2601" s="7" t="n"/>
      <c r="X2601" s="7" t="n"/>
      <c r="Y2601" s="7" t="n"/>
      <c r="AB2601">
        <f>IF($E2601="","",IF($AQ2601=1,0,IF($AP2601=1,Settings!$C$6,Settings!$C$7))*100)</f>
        <v/>
      </c>
      <c r="AC2601" s="7">
        <f>IF($E2601="","",Y2601*AB2601/100)</f>
        <v/>
      </c>
      <c r="AD2601" s="7">
        <f>IF($E2601="","",Y2601-AC2601)</f>
        <v/>
      </c>
      <c r="AE2601" s="7">
        <f>IF($E2601="","",AD2601-Q2601)</f>
        <v/>
      </c>
      <c r="AI2601" s="7" t="n"/>
      <c r="AL2601" s="11" t="n"/>
      <c r="AN2601">
        <f>IF($E2601="","",IF(COUNTIF($E$2:$E2601,$E2601)=1,1,0))</f>
        <v/>
      </c>
      <c r="AO2601">
        <f>IF($AN2601=1,SUMPRODUCT(--($AR$2:$AR$4001&lt;$AR2601))+1,"")</f>
        <v/>
      </c>
      <c r="AP2601">
        <f>IF($E2601="","",IF(OR($U2601=TRUE(),$U2601="TRUE"),1,0))</f>
        <v/>
      </c>
      <c r="AQ2601">
        <f>IF($E2601="","",IF($AA2601="Yes",1,0))</f>
        <v/>
      </c>
      <c r="AR2601">
        <f>IF($AN2601=1,IFERROR(VALUE(MID($E2601,2,20)),1000000000)+ROW()/100000,"")</f>
        <v/>
      </c>
    </row>
    <row r="2602">
      <c r="G2602" s="11" t="n"/>
      <c r="Q2602" s="7">
        <f>IF($E2602="","",P2602*Y2602/100)</f>
        <v/>
      </c>
      <c r="R2602" s="7" t="n"/>
      <c r="X2602" s="7" t="n"/>
      <c r="Y2602" s="7" t="n"/>
      <c r="AB2602">
        <f>IF($E2602="","",IF($AQ2602=1,0,IF($AP2602=1,Settings!$C$6,Settings!$C$7))*100)</f>
        <v/>
      </c>
      <c r="AC2602" s="7">
        <f>IF($E2602="","",Y2602*AB2602/100)</f>
        <v/>
      </c>
      <c r="AD2602" s="7">
        <f>IF($E2602="","",Y2602-AC2602)</f>
        <v/>
      </c>
      <c r="AE2602" s="7">
        <f>IF($E2602="","",AD2602-Q2602)</f>
        <v/>
      </c>
      <c r="AI2602" s="7" t="n"/>
      <c r="AL2602" s="11" t="n"/>
      <c r="AN2602">
        <f>IF($E2602="","",IF(COUNTIF($E$2:$E2602,$E2602)=1,1,0))</f>
        <v/>
      </c>
      <c r="AO2602">
        <f>IF($AN2602=1,SUMPRODUCT(--($AR$2:$AR$4001&lt;$AR2602))+1,"")</f>
        <v/>
      </c>
      <c r="AP2602">
        <f>IF($E2602="","",IF(OR($U2602=TRUE(),$U2602="TRUE"),1,0))</f>
        <v/>
      </c>
      <c r="AQ2602">
        <f>IF($E2602="","",IF($AA2602="Yes",1,0))</f>
        <v/>
      </c>
      <c r="AR2602">
        <f>IF($AN2602=1,IFERROR(VALUE(MID($E2602,2,20)),1000000000)+ROW()/100000,"")</f>
        <v/>
      </c>
    </row>
    <row r="2603">
      <c r="G2603" s="11" t="n"/>
      <c r="Q2603" s="7">
        <f>IF($E2603="","",P2603*Y2603/100)</f>
        <v/>
      </c>
      <c r="R2603" s="7" t="n"/>
      <c r="X2603" s="7" t="n"/>
      <c r="Y2603" s="7" t="n"/>
      <c r="AB2603">
        <f>IF($E2603="","",IF($AQ2603=1,0,IF($AP2603=1,Settings!$C$6,Settings!$C$7))*100)</f>
        <v/>
      </c>
      <c r="AC2603" s="7">
        <f>IF($E2603="","",Y2603*AB2603/100)</f>
        <v/>
      </c>
      <c r="AD2603" s="7">
        <f>IF($E2603="","",Y2603-AC2603)</f>
        <v/>
      </c>
      <c r="AE2603" s="7">
        <f>IF($E2603="","",AD2603-Q2603)</f>
        <v/>
      </c>
      <c r="AI2603" s="7" t="n"/>
      <c r="AL2603" s="11" t="n"/>
      <c r="AN2603">
        <f>IF($E2603="","",IF(COUNTIF($E$2:$E2603,$E2603)=1,1,0))</f>
        <v/>
      </c>
      <c r="AO2603">
        <f>IF($AN2603=1,SUMPRODUCT(--($AR$2:$AR$4001&lt;$AR2603))+1,"")</f>
        <v/>
      </c>
      <c r="AP2603">
        <f>IF($E2603="","",IF(OR($U2603=TRUE(),$U2603="TRUE"),1,0))</f>
        <v/>
      </c>
      <c r="AQ2603">
        <f>IF($E2603="","",IF($AA2603="Yes",1,0))</f>
        <v/>
      </c>
      <c r="AR2603">
        <f>IF($AN2603=1,IFERROR(VALUE(MID($E2603,2,20)),1000000000)+ROW()/100000,"")</f>
        <v/>
      </c>
    </row>
    <row r="2604">
      <c r="G2604" s="11" t="n"/>
      <c r="Q2604" s="7">
        <f>IF($E2604="","",P2604*Y2604/100)</f>
        <v/>
      </c>
      <c r="R2604" s="7" t="n"/>
      <c r="X2604" s="7" t="n"/>
      <c r="Y2604" s="7" t="n"/>
      <c r="AB2604">
        <f>IF($E2604="","",IF($AQ2604=1,0,IF($AP2604=1,Settings!$C$6,Settings!$C$7))*100)</f>
        <v/>
      </c>
      <c r="AC2604" s="7">
        <f>IF($E2604="","",Y2604*AB2604/100)</f>
        <v/>
      </c>
      <c r="AD2604" s="7">
        <f>IF($E2604="","",Y2604-AC2604)</f>
        <v/>
      </c>
      <c r="AE2604" s="7">
        <f>IF($E2604="","",AD2604-Q2604)</f>
        <v/>
      </c>
      <c r="AI2604" s="7" t="n"/>
      <c r="AL2604" s="11" t="n"/>
      <c r="AN2604">
        <f>IF($E2604="","",IF(COUNTIF($E$2:$E2604,$E2604)=1,1,0))</f>
        <v/>
      </c>
      <c r="AO2604">
        <f>IF($AN2604=1,SUMPRODUCT(--($AR$2:$AR$4001&lt;$AR2604))+1,"")</f>
        <v/>
      </c>
      <c r="AP2604">
        <f>IF($E2604="","",IF(OR($U2604=TRUE(),$U2604="TRUE"),1,0))</f>
        <v/>
      </c>
      <c r="AQ2604">
        <f>IF($E2604="","",IF($AA2604="Yes",1,0))</f>
        <v/>
      </c>
      <c r="AR2604">
        <f>IF($AN2604=1,IFERROR(VALUE(MID($E2604,2,20)),1000000000)+ROW()/100000,"")</f>
        <v/>
      </c>
    </row>
    <row r="2605">
      <c r="G2605" s="11" t="n"/>
      <c r="Q2605" s="7">
        <f>IF($E2605="","",P2605*Y2605/100)</f>
        <v/>
      </c>
      <c r="R2605" s="7" t="n"/>
      <c r="X2605" s="7" t="n"/>
      <c r="Y2605" s="7" t="n"/>
      <c r="AB2605">
        <f>IF($E2605="","",IF($AQ2605=1,0,IF($AP2605=1,Settings!$C$6,Settings!$C$7))*100)</f>
        <v/>
      </c>
      <c r="AC2605" s="7">
        <f>IF($E2605="","",Y2605*AB2605/100)</f>
        <v/>
      </c>
      <c r="AD2605" s="7">
        <f>IF($E2605="","",Y2605-AC2605)</f>
        <v/>
      </c>
      <c r="AE2605" s="7">
        <f>IF($E2605="","",AD2605-Q2605)</f>
        <v/>
      </c>
      <c r="AI2605" s="7" t="n"/>
      <c r="AL2605" s="11" t="n"/>
      <c r="AN2605">
        <f>IF($E2605="","",IF(COUNTIF($E$2:$E2605,$E2605)=1,1,0))</f>
        <v/>
      </c>
      <c r="AO2605">
        <f>IF($AN2605=1,SUMPRODUCT(--($AR$2:$AR$4001&lt;$AR2605))+1,"")</f>
        <v/>
      </c>
      <c r="AP2605">
        <f>IF($E2605="","",IF(OR($U2605=TRUE(),$U2605="TRUE"),1,0))</f>
        <v/>
      </c>
      <c r="AQ2605">
        <f>IF($E2605="","",IF($AA2605="Yes",1,0))</f>
        <v/>
      </c>
      <c r="AR2605">
        <f>IF($AN2605=1,IFERROR(VALUE(MID($E2605,2,20)),1000000000)+ROW()/100000,"")</f>
        <v/>
      </c>
    </row>
    <row r="2606">
      <c r="G2606" s="11" t="n"/>
      <c r="Q2606" s="7">
        <f>IF($E2606="","",P2606*Y2606/100)</f>
        <v/>
      </c>
      <c r="R2606" s="7" t="n"/>
      <c r="X2606" s="7" t="n"/>
      <c r="Y2606" s="7" t="n"/>
      <c r="AB2606">
        <f>IF($E2606="","",IF($AQ2606=1,0,IF($AP2606=1,Settings!$C$6,Settings!$C$7))*100)</f>
        <v/>
      </c>
      <c r="AC2606" s="7">
        <f>IF($E2606="","",Y2606*AB2606/100)</f>
        <v/>
      </c>
      <c r="AD2606" s="7">
        <f>IF($E2606="","",Y2606-AC2606)</f>
        <v/>
      </c>
      <c r="AE2606" s="7">
        <f>IF($E2606="","",AD2606-Q2606)</f>
        <v/>
      </c>
      <c r="AI2606" s="7" t="n"/>
      <c r="AL2606" s="11" t="n"/>
      <c r="AN2606">
        <f>IF($E2606="","",IF(COUNTIF($E$2:$E2606,$E2606)=1,1,0))</f>
        <v/>
      </c>
      <c r="AO2606">
        <f>IF($AN2606=1,SUMPRODUCT(--($AR$2:$AR$4001&lt;$AR2606))+1,"")</f>
        <v/>
      </c>
      <c r="AP2606">
        <f>IF($E2606="","",IF(OR($U2606=TRUE(),$U2606="TRUE"),1,0))</f>
        <v/>
      </c>
      <c r="AQ2606">
        <f>IF($E2606="","",IF($AA2606="Yes",1,0))</f>
        <v/>
      </c>
      <c r="AR2606">
        <f>IF($AN2606=1,IFERROR(VALUE(MID($E2606,2,20)),1000000000)+ROW()/100000,"")</f>
        <v/>
      </c>
    </row>
    <row r="2607">
      <c r="G2607" s="11" t="n"/>
      <c r="Q2607" s="7">
        <f>IF($E2607="","",P2607*Y2607/100)</f>
        <v/>
      </c>
      <c r="R2607" s="7" t="n"/>
      <c r="X2607" s="7" t="n"/>
      <c r="Y2607" s="7" t="n"/>
      <c r="AB2607">
        <f>IF($E2607="","",IF($AQ2607=1,0,IF($AP2607=1,Settings!$C$6,Settings!$C$7))*100)</f>
        <v/>
      </c>
      <c r="AC2607" s="7">
        <f>IF($E2607="","",Y2607*AB2607/100)</f>
        <v/>
      </c>
      <c r="AD2607" s="7">
        <f>IF($E2607="","",Y2607-AC2607)</f>
        <v/>
      </c>
      <c r="AE2607" s="7">
        <f>IF($E2607="","",AD2607-Q2607)</f>
        <v/>
      </c>
      <c r="AI2607" s="7" t="n"/>
      <c r="AL2607" s="11" t="n"/>
      <c r="AN2607">
        <f>IF($E2607="","",IF(COUNTIF($E$2:$E2607,$E2607)=1,1,0))</f>
        <v/>
      </c>
      <c r="AO2607">
        <f>IF($AN2607=1,SUMPRODUCT(--($AR$2:$AR$4001&lt;$AR2607))+1,"")</f>
        <v/>
      </c>
      <c r="AP2607">
        <f>IF($E2607="","",IF(OR($U2607=TRUE(),$U2607="TRUE"),1,0))</f>
        <v/>
      </c>
      <c r="AQ2607">
        <f>IF($E2607="","",IF($AA2607="Yes",1,0))</f>
        <v/>
      </c>
      <c r="AR2607">
        <f>IF($AN2607=1,IFERROR(VALUE(MID($E2607,2,20)),1000000000)+ROW()/100000,"")</f>
        <v/>
      </c>
    </row>
    <row r="2608">
      <c r="G2608" s="11" t="n"/>
      <c r="Q2608" s="7">
        <f>IF($E2608="","",P2608*Y2608/100)</f>
        <v/>
      </c>
      <c r="R2608" s="7" t="n"/>
      <c r="X2608" s="7" t="n"/>
      <c r="Y2608" s="7" t="n"/>
      <c r="AB2608">
        <f>IF($E2608="","",IF($AQ2608=1,0,IF($AP2608=1,Settings!$C$6,Settings!$C$7))*100)</f>
        <v/>
      </c>
      <c r="AC2608" s="7">
        <f>IF($E2608="","",Y2608*AB2608/100)</f>
        <v/>
      </c>
      <c r="AD2608" s="7">
        <f>IF($E2608="","",Y2608-AC2608)</f>
        <v/>
      </c>
      <c r="AE2608" s="7">
        <f>IF($E2608="","",AD2608-Q2608)</f>
        <v/>
      </c>
      <c r="AI2608" s="7" t="n"/>
      <c r="AL2608" s="11" t="n"/>
      <c r="AN2608">
        <f>IF($E2608="","",IF(COUNTIF($E$2:$E2608,$E2608)=1,1,0))</f>
        <v/>
      </c>
      <c r="AO2608">
        <f>IF($AN2608=1,SUMPRODUCT(--($AR$2:$AR$4001&lt;$AR2608))+1,"")</f>
        <v/>
      </c>
      <c r="AP2608">
        <f>IF($E2608="","",IF(OR($U2608=TRUE(),$U2608="TRUE"),1,0))</f>
        <v/>
      </c>
      <c r="AQ2608">
        <f>IF($E2608="","",IF($AA2608="Yes",1,0))</f>
        <v/>
      </c>
      <c r="AR2608">
        <f>IF($AN2608=1,IFERROR(VALUE(MID($E2608,2,20)),1000000000)+ROW()/100000,"")</f>
        <v/>
      </c>
    </row>
    <row r="2609">
      <c r="G2609" s="11" t="n"/>
      <c r="Q2609" s="7">
        <f>IF($E2609="","",P2609*Y2609/100)</f>
        <v/>
      </c>
      <c r="R2609" s="7" t="n"/>
      <c r="X2609" s="7" t="n"/>
      <c r="Y2609" s="7" t="n"/>
      <c r="AB2609">
        <f>IF($E2609="","",IF($AQ2609=1,0,IF($AP2609=1,Settings!$C$6,Settings!$C$7))*100)</f>
        <v/>
      </c>
      <c r="AC2609" s="7">
        <f>IF($E2609="","",Y2609*AB2609/100)</f>
        <v/>
      </c>
      <c r="AD2609" s="7">
        <f>IF($E2609="","",Y2609-AC2609)</f>
        <v/>
      </c>
      <c r="AE2609" s="7">
        <f>IF($E2609="","",AD2609-Q2609)</f>
        <v/>
      </c>
      <c r="AI2609" s="7" t="n"/>
      <c r="AL2609" s="11" t="n"/>
      <c r="AN2609">
        <f>IF($E2609="","",IF(COUNTIF($E$2:$E2609,$E2609)=1,1,0))</f>
        <v/>
      </c>
      <c r="AO2609">
        <f>IF($AN2609=1,SUMPRODUCT(--($AR$2:$AR$4001&lt;$AR2609))+1,"")</f>
        <v/>
      </c>
      <c r="AP2609">
        <f>IF($E2609="","",IF(OR($U2609=TRUE(),$U2609="TRUE"),1,0))</f>
        <v/>
      </c>
      <c r="AQ2609">
        <f>IF($E2609="","",IF($AA2609="Yes",1,0))</f>
        <v/>
      </c>
      <c r="AR2609">
        <f>IF($AN2609=1,IFERROR(VALUE(MID($E2609,2,20)),1000000000)+ROW()/100000,"")</f>
        <v/>
      </c>
    </row>
    <row r="2610">
      <c r="G2610" s="11" t="n"/>
      <c r="Q2610" s="7">
        <f>IF($E2610="","",P2610*Y2610/100)</f>
        <v/>
      </c>
      <c r="R2610" s="7" t="n"/>
      <c r="X2610" s="7" t="n"/>
      <c r="Y2610" s="7" t="n"/>
      <c r="AB2610">
        <f>IF($E2610="","",IF($AQ2610=1,0,IF($AP2610=1,Settings!$C$6,Settings!$C$7))*100)</f>
        <v/>
      </c>
      <c r="AC2610" s="7">
        <f>IF($E2610="","",Y2610*AB2610/100)</f>
        <v/>
      </c>
      <c r="AD2610" s="7">
        <f>IF($E2610="","",Y2610-AC2610)</f>
        <v/>
      </c>
      <c r="AE2610" s="7">
        <f>IF($E2610="","",AD2610-Q2610)</f>
        <v/>
      </c>
      <c r="AI2610" s="7" t="n"/>
      <c r="AL2610" s="11" t="n"/>
      <c r="AN2610">
        <f>IF($E2610="","",IF(COUNTIF($E$2:$E2610,$E2610)=1,1,0))</f>
        <v/>
      </c>
      <c r="AO2610">
        <f>IF($AN2610=1,SUMPRODUCT(--($AR$2:$AR$4001&lt;$AR2610))+1,"")</f>
        <v/>
      </c>
      <c r="AP2610">
        <f>IF($E2610="","",IF(OR($U2610=TRUE(),$U2610="TRUE"),1,0))</f>
        <v/>
      </c>
      <c r="AQ2610">
        <f>IF($E2610="","",IF($AA2610="Yes",1,0))</f>
        <v/>
      </c>
      <c r="AR2610">
        <f>IF($AN2610=1,IFERROR(VALUE(MID($E2610,2,20)),1000000000)+ROW()/100000,"")</f>
        <v/>
      </c>
    </row>
    <row r="2611">
      <c r="G2611" s="11" t="n"/>
      <c r="Q2611" s="7">
        <f>IF($E2611="","",P2611*Y2611/100)</f>
        <v/>
      </c>
      <c r="R2611" s="7" t="n"/>
      <c r="X2611" s="7" t="n"/>
      <c r="Y2611" s="7" t="n"/>
      <c r="AB2611">
        <f>IF($E2611="","",IF($AQ2611=1,0,IF($AP2611=1,Settings!$C$6,Settings!$C$7))*100)</f>
        <v/>
      </c>
      <c r="AC2611" s="7">
        <f>IF($E2611="","",Y2611*AB2611/100)</f>
        <v/>
      </c>
      <c r="AD2611" s="7">
        <f>IF($E2611="","",Y2611-AC2611)</f>
        <v/>
      </c>
      <c r="AE2611" s="7">
        <f>IF($E2611="","",AD2611-Q2611)</f>
        <v/>
      </c>
      <c r="AI2611" s="7" t="n"/>
      <c r="AL2611" s="11" t="n"/>
      <c r="AN2611">
        <f>IF($E2611="","",IF(COUNTIF($E$2:$E2611,$E2611)=1,1,0))</f>
        <v/>
      </c>
      <c r="AO2611">
        <f>IF($AN2611=1,SUMPRODUCT(--($AR$2:$AR$4001&lt;$AR2611))+1,"")</f>
        <v/>
      </c>
      <c r="AP2611">
        <f>IF($E2611="","",IF(OR($U2611=TRUE(),$U2611="TRUE"),1,0))</f>
        <v/>
      </c>
      <c r="AQ2611">
        <f>IF($E2611="","",IF($AA2611="Yes",1,0))</f>
        <v/>
      </c>
      <c r="AR2611">
        <f>IF($AN2611=1,IFERROR(VALUE(MID($E2611,2,20)),1000000000)+ROW()/100000,"")</f>
        <v/>
      </c>
    </row>
    <row r="2612">
      <c r="G2612" s="11" t="n"/>
      <c r="Q2612" s="7">
        <f>IF($E2612="","",P2612*Y2612/100)</f>
        <v/>
      </c>
      <c r="R2612" s="7" t="n"/>
      <c r="X2612" s="7" t="n"/>
      <c r="Y2612" s="7" t="n"/>
      <c r="AB2612">
        <f>IF($E2612="","",IF($AQ2612=1,0,IF($AP2612=1,Settings!$C$6,Settings!$C$7))*100)</f>
        <v/>
      </c>
      <c r="AC2612" s="7">
        <f>IF($E2612="","",Y2612*AB2612/100)</f>
        <v/>
      </c>
      <c r="AD2612" s="7">
        <f>IF($E2612="","",Y2612-AC2612)</f>
        <v/>
      </c>
      <c r="AE2612" s="7">
        <f>IF($E2612="","",AD2612-Q2612)</f>
        <v/>
      </c>
      <c r="AI2612" s="7" t="n"/>
      <c r="AL2612" s="11" t="n"/>
      <c r="AN2612">
        <f>IF($E2612="","",IF(COUNTIF($E$2:$E2612,$E2612)=1,1,0))</f>
        <v/>
      </c>
      <c r="AO2612">
        <f>IF($AN2612=1,SUMPRODUCT(--($AR$2:$AR$4001&lt;$AR2612))+1,"")</f>
        <v/>
      </c>
      <c r="AP2612">
        <f>IF($E2612="","",IF(OR($U2612=TRUE(),$U2612="TRUE"),1,0))</f>
        <v/>
      </c>
      <c r="AQ2612">
        <f>IF($E2612="","",IF($AA2612="Yes",1,0))</f>
        <v/>
      </c>
      <c r="AR2612">
        <f>IF($AN2612=1,IFERROR(VALUE(MID($E2612,2,20)),1000000000)+ROW()/100000,"")</f>
        <v/>
      </c>
    </row>
    <row r="2613">
      <c r="G2613" s="11" t="n"/>
      <c r="Q2613" s="7">
        <f>IF($E2613="","",P2613*Y2613/100)</f>
        <v/>
      </c>
      <c r="R2613" s="7" t="n"/>
      <c r="X2613" s="7" t="n"/>
      <c r="Y2613" s="7" t="n"/>
      <c r="AB2613">
        <f>IF($E2613="","",IF($AQ2613=1,0,IF($AP2613=1,Settings!$C$6,Settings!$C$7))*100)</f>
        <v/>
      </c>
      <c r="AC2613" s="7">
        <f>IF($E2613="","",Y2613*AB2613/100)</f>
        <v/>
      </c>
      <c r="AD2613" s="7">
        <f>IF($E2613="","",Y2613-AC2613)</f>
        <v/>
      </c>
      <c r="AE2613" s="7">
        <f>IF($E2613="","",AD2613-Q2613)</f>
        <v/>
      </c>
      <c r="AI2613" s="7" t="n"/>
      <c r="AL2613" s="11" t="n"/>
      <c r="AN2613">
        <f>IF($E2613="","",IF(COUNTIF($E$2:$E2613,$E2613)=1,1,0))</f>
        <v/>
      </c>
      <c r="AO2613">
        <f>IF($AN2613=1,SUMPRODUCT(--($AR$2:$AR$4001&lt;$AR2613))+1,"")</f>
        <v/>
      </c>
      <c r="AP2613">
        <f>IF($E2613="","",IF(OR($U2613=TRUE(),$U2613="TRUE"),1,0))</f>
        <v/>
      </c>
      <c r="AQ2613">
        <f>IF($E2613="","",IF($AA2613="Yes",1,0))</f>
        <v/>
      </c>
      <c r="AR2613">
        <f>IF($AN2613=1,IFERROR(VALUE(MID($E2613,2,20)),1000000000)+ROW()/100000,"")</f>
        <v/>
      </c>
    </row>
    <row r="2614">
      <c r="G2614" s="11" t="n"/>
      <c r="Q2614" s="7">
        <f>IF($E2614="","",P2614*Y2614/100)</f>
        <v/>
      </c>
      <c r="R2614" s="7" t="n"/>
      <c r="X2614" s="7" t="n"/>
      <c r="Y2614" s="7" t="n"/>
      <c r="AB2614">
        <f>IF($E2614="","",IF($AQ2614=1,0,IF($AP2614=1,Settings!$C$6,Settings!$C$7))*100)</f>
        <v/>
      </c>
      <c r="AC2614" s="7">
        <f>IF($E2614="","",Y2614*AB2614/100)</f>
        <v/>
      </c>
      <c r="AD2614" s="7">
        <f>IF($E2614="","",Y2614-AC2614)</f>
        <v/>
      </c>
      <c r="AE2614" s="7">
        <f>IF($E2614="","",AD2614-Q2614)</f>
        <v/>
      </c>
      <c r="AI2614" s="7" t="n"/>
      <c r="AL2614" s="11" t="n"/>
      <c r="AN2614">
        <f>IF($E2614="","",IF(COUNTIF($E$2:$E2614,$E2614)=1,1,0))</f>
        <v/>
      </c>
      <c r="AO2614">
        <f>IF($AN2614=1,SUMPRODUCT(--($AR$2:$AR$4001&lt;$AR2614))+1,"")</f>
        <v/>
      </c>
      <c r="AP2614">
        <f>IF($E2614="","",IF(OR($U2614=TRUE(),$U2614="TRUE"),1,0))</f>
        <v/>
      </c>
      <c r="AQ2614">
        <f>IF($E2614="","",IF($AA2614="Yes",1,0))</f>
        <v/>
      </c>
      <c r="AR2614">
        <f>IF($AN2614=1,IFERROR(VALUE(MID($E2614,2,20)),1000000000)+ROW()/100000,"")</f>
        <v/>
      </c>
    </row>
    <row r="2615">
      <c r="G2615" s="11" t="n"/>
      <c r="Q2615" s="7">
        <f>IF($E2615="","",P2615*Y2615/100)</f>
        <v/>
      </c>
      <c r="R2615" s="7" t="n"/>
      <c r="X2615" s="7" t="n"/>
      <c r="Y2615" s="7" t="n"/>
      <c r="AB2615">
        <f>IF($E2615="","",IF($AQ2615=1,0,IF($AP2615=1,Settings!$C$6,Settings!$C$7))*100)</f>
        <v/>
      </c>
      <c r="AC2615" s="7">
        <f>IF($E2615="","",Y2615*AB2615/100)</f>
        <v/>
      </c>
      <c r="AD2615" s="7">
        <f>IF($E2615="","",Y2615-AC2615)</f>
        <v/>
      </c>
      <c r="AE2615" s="7">
        <f>IF($E2615="","",AD2615-Q2615)</f>
        <v/>
      </c>
      <c r="AI2615" s="7" t="n"/>
      <c r="AL2615" s="11" t="n"/>
      <c r="AN2615">
        <f>IF($E2615="","",IF(COUNTIF($E$2:$E2615,$E2615)=1,1,0))</f>
        <v/>
      </c>
      <c r="AO2615">
        <f>IF($AN2615=1,SUMPRODUCT(--($AR$2:$AR$4001&lt;$AR2615))+1,"")</f>
        <v/>
      </c>
      <c r="AP2615">
        <f>IF($E2615="","",IF(OR($U2615=TRUE(),$U2615="TRUE"),1,0))</f>
        <v/>
      </c>
      <c r="AQ2615">
        <f>IF($E2615="","",IF($AA2615="Yes",1,0))</f>
        <v/>
      </c>
      <c r="AR2615">
        <f>IF($AN2615=1,IFERROR(VALUE(MID($E2615,2,20)),1000000000)+ROW()/100000,"")</f>
        <v/>
      </c>
    </row>
    <row r="2616">
      <c r="G2616" s="11" t="n"/>
      <c r="Q2616" s="7">
        <f>IF($E2616="","",P2616*Y2616/100)</f>
        <v/>
      </c>
      <c r="R2616" s="7" t="n"/>
      <c r="X2616" s="7" t="n"/>
      <c r="Y2616" s="7" t="n"/>
      <c r="AB2616">
        <f>IF($E2616="","",IF($AQ2616=1,0,IF($AP2616=1,Settings!$C$6,Settings!$C$7))*100)</f>
        <v/>
      </c>
      <c r="AC2616" s="7">
        <f>IF($E2616="","",Y2616*AB2616/100)</f>
        <v/>
      </c>
      <c r="AD2616" s="7">
        <f>IF($E2616="","",Y2616-AC2616)</f>
        <v/>
      </c>
      <c r="AE2616" s="7">
        <f>IF($E2616="","",AD2616-Q2616)</f>
        <v/>
      </c>
      <c r="AI2616" s="7" t="n"/>
      <c r="AL2616" s="11" t="n"/>
      <c r="AN2616">
        <f>IF($E2616="","",IF(COUNTIF($E$2:$E2616,$E2616)=1,1,0))</f>
        <v/>
      </c>
      <c r="AO2616">
        <f>IF($AN2616=1,SUMPRODUCT(--($AR$2:$AR$4001&lt;$AR2616))+1,"")</f>
        <v/>
      </c>
      <c r="AP2616">
        <f>IF($E2616="","",IF(OR($U2616=TRUE(),$U2616="TRUE"),1,0))</f>
        <v/>
      </c>
      <c r="AQ2616">
        <f>IF($E2616="","",IF($AA2616="Yes",1,0))</f>
        <v/>
      </c>
      <c r="AR2616">
        <f>IF($AN2616=1,IFERROR(VALUE(MID($E2616,2,20)),1000000000)+ROW()/100000,"")</f>
        <v/>
      </c>
    </row>
    <row r="2617">
      <c r="G2617" s="11" t="n"/>
      <c r="Q2617" s="7">
        <f>IF($E2617="","",P2617*Y2617/100)</f>
        <v/>
      </c>
      <c r="R2617" s="7" t="n"/>
      <c r="X2617" s="7" t="n"/>
      <c r="Y2617" s="7" t="n"/>
      <c r="AB2617">
        <f>IF($E2617="","",IF($AQ2617=1,0,IF($AP2617=1,Settings!$C$6,Settings!$C$7))*100)</f>
        <v/>
      </c>
      <c r="AC2617" s="7">
        <f>IF($E2617="","",Y2617*AB2617/100)</f>
        <v/>
      </c>
      <c r="AD2617" s="7">
        <f>IF($E2617="","",Y2617-AC2617)</f>
        <v/>
      </c>
      <c r="AE2617" s="7">
        <f>IF($E2617="","",AD2617-Q2617)</f>
        <v/>
      </c>
      <c r="AI2617" s="7" t="n"/>
      <c r="AL2617" s="11" t="n"/>
      <c r="AN2617">
        <f>IF($E2617="","",IF(COUNTIF($E$2:$E2617,$E2617)=1,1,0))</f>
        <v/>
      </c>
      <c r="AO2617">
        <f>IF($AN2617=1,SUMPRODUCT(--($AR$2:$AR$4001&lt;$AR2617))+1,"")</f>
        <v/>
      </c>
      <c r="AP2617">
        <f>IF($E2617="","",IF(OR($U2617=TRUE(),$U2617="TRUE"),1,0))</f>
        <v/>
      </c>
      <c r="AQ2617">
        <f>IF($E2617="","",IF($AA2617="Yes",1,0))</f>
        <v/>
      </c>
      <c r="AR2617">
        <f>IF($AN2617=1,IFERROR(VALUE(MID($E2617,2,20)),1000000000)+ROW()/100000,"")</f>
        <v/>
      </c>
    </row>
    <row r="2618">
      <c r="G2618" s="11" t="n"/>
      <c r="Q2618" s="7">
        <f>IF($E2618="","",P2618*Y2618/100)</f>
        <v/>
      </c>
      <c r="R2618" s="7" t="n"/>
      <c r="X2618" s="7" t="n"/>
      <c r="Y2618" s="7" t="n"/>
      <c r="AB2618">
        <f>IF($E2618="","",IF($AQ2618=1,0,IF($AP2618=1,Settings!$C$6,Settings!$C$7))*100)</f>
        <v/>
      </c>
      <c r="AC2618" s="7">
        <f>IF($E2618="","",Y2618*AB2618/100)</f>
        <v/>
      </c>
      <c r="AD2618" s="7">
        <f>IF($E2618="","",Y2618-AC2618)</f>
        <v/>
      </c>
      <c r="AE2618" s="7">
        <f>IF($E2618="","",AD2618-Q2618)</f>
        <v/>
      </c>
      <c r="AI2618" s="7" t="n"/>
      <c r="AL2618" s="11" t="n"/>
      <c r="AN2618">
        <f>IF($E2618="","",IF(COUNTIF($E$2:$E2618,$E2618)=1,1,0))</f>
        <v/>
      </c>
      <c r="AO2618">
        <f>IF($AN2618=1,SUMPRODUCT(--($AR$2:$AR$4001&lt;$AR2618))+1,"")</f>
        <v/>
      </c>
      <c r="AP2618">
        <f>IF($E2618="","",IF(OR($U2618=TRUE(),$U2618="TRUE"),1,0))</f>
        <v/>
      </c>
      <c r="AQ2618">
        <f>IF($E2618="","",IF($AA2618="Yes",1,0))</f>
        <v/>
      </c>
      <c r="AR2618">
        <f>IF($AN2618=1,IFERROR(VALUE(MID($E2618,2,20)),1000000000)+ROW()/100000,"")</f>
        <v/>
      </c>
    </row>
    <row r="2619">
      <c r="G2619" s="11" t="n"/>
      <c r="Q2619" s="7">
        <f>IF($E2619="","",P2619*Y2619/100)</f>
        <v/>
      </c>
      <c r="R2619" s="7" t="n"/>
      <c r="X2619" s="7" t="n"/>
      <c r="Y2619" s="7" t="n"/>
      <c r="AB2619">
        <f>IF($E2619="","",IF($AQ2619=1,0,IF($AP2619=1,Settings!$C$6,Settings!$C$7))*100)</f>
        <v/>
      </c>
      <c r="AC2619" s="7">
        <f>IF($E2619="","",Y2619*AB2619/100)</f>
        <v/>
      </c>
      <c r="AD2619" s="7">
        <f>IF($E2619="","",Y2619-AC2619)</f>
        <v/>
      </c>
      <c r="AE2619" s="7">
        <f>IF($E2619="","",AD2619-Q2619)</f>
        <v/>
      </c>
      <c r="AI2619" s="7" t="n"/>
      <c r="AL2619" s="11" t="n"/>
      <c r="AN2619">
        <f>IF($E2619="","",IF(COUNTIF($E$2:$E2619,$E2619)=1,1,0))</f>
        <v/>
      </c>
      <c r="AO2619">
        <f>IF($AN2619=1,SUMPRODUCT(--($AR$2:$AR$4001&lt;$AR2619))+1,"")</f>
        <v/>
      </c>
      <c r="AP2619">
        <f>IF($E2619="","",IF(OR($U2619=TRUE(),$U2619="TRUE"),1,0))</f>
        <v/>
      </c>
      <c r="AQ2619">
        <f>IF($E2619="","",IF($AA2619="Yes",1,0))</f>
        <v/>
      </c>
      <c r="AR2619">
        <f>IF($AN2619=1,IFERROR(VALUE(MID($E2619,2,20)),1000000000)+ROW()/100000,"")</f>
        <v/>
      </c>
    </row>
    <row r="2620">
      <c r="G2620" s="11" t="n"/>
      <c r="Q2620" s="7">
        <f>IF($E2620="","",P2620*Y2620/100)</f>
        <v/>
      </c>
      <c r="R2620" s="7" t="n"/>
      <c r="X2620" s="7" t="n"/>
      <c r="Y2620" s="7" t="n"/>
      <c r="AB2620">
        <f>IF($E2620="","",IF($AQ2620=1,0,IF($AP2620=1,Settings!$C$6,Settings!$C$7))*100)</f>
        <v/>
      </c>
      <c r="AC2620" s="7">
        <f>IF($E2620="","",Y2620*AB2620/100)</f>
        <v/>
      </c>
      <c r="AD2620" s="7">
        <f>IF($E2620="","",Y2620-AC2620)</f>
        <v/>
      </c>
      <c r="AE2620" s="7">
        <f>IF($E2620="","",AD2620-Q2620)</f>
        <v/>
      </c>
      <c r="AI2620" s="7" t="n"/>
      <c r="AL2620" s="11" t="n"/>
      <c r="AN2620">
        <f>IF($E2620="","",IF(COUNTIF($E$2:$E2620,$E2620)=1,1,0))</f>
        <v/>
      </c>
      <c r="AO2620">
        <f>IF($AN2620=1,SUMPRODUCT(--($AR$2:$AR$4001&lt;$AR2620))+1,"")</f>
        <v/>
      </c>
      <c r="AP2620">
        <f>IF($E2620="","",IF(OR($U2620=TRUE(),$U2620="TRUE"),1,0))</f>
        <v/>
      </c>
      <c r="AQ2620">
        <f>IF($E2620="","",IF($AA2620="Yes",1,0))</f>
        <v/>
      </c>
      <c r="AR2620">
        <f>IF($AN2620=1,IFERROR(VALUE(MID($E2620,2,20)),1000000000)+ROW()/100000,"")</f>
        <v/>
      </c>
    </row>
    <row r="2621">
      <c r="G2621" s="11" t="n"/>
      <c r="Q2621" s="7">
        <f>IF($E2621="","",P2621*Y2621/100)</f>
        <v/>
      </c>
      <c r="R2621" s="7" t="n"/>
      <c r="X2621" s="7" t="n"/>
      <c r="Y2621" s="7" t="n"/>
      <c r="AB2621">
        <f>IF($E2621="","",IF($AQ2621=1,0,IF($AP2621=1,Settings!$C$6,Settings!$C$7))*100)</f>
        <v/>
      </c>
      <c r="AC2621" s="7">
        <f>IF($E2621="","",Y2621*AB2621/100)</f>
        <v/>
      </c>
      <c r="AD2621" s="7">
        <f>IF($E2621="","",Y2621-AC2621)</f>
        <v/>
      </c>
      <c r="AE2621" s="7">
        <f>IF($E2621="","",AD2621-Q2621)</f>
        <v/>
      </c>
      <c r="AI2621" s="7" t="n"/>
      <c r="AL2621" s="11" t="n"/>
      <c r="AN2621">
        <f>IF($E2621="","",IF(COUNTIF($E$2:$E2621,$E2621)=1,1,0))</f>
        <v/>
      </c>
      <c r="AO2621">
        <f>IF($AN2621=1,SUMPRODUCT(--($AR$2:$AR$4001&lt;$AR2621))+1,"")</f>
        <v/>
      </c>
      <c r="AP2621">
        <f>IF($E2621="","",IF(OR($U2621=TRUE(),$U2621="TRUE"),1,0))</f>
        <v/>
      </c>
      <c r="AQ2621">
        <f>IF($E2621="","",IF($AA2621="Yes",1,0))</f>
        <v/>
      </c>
      <c r="AR2621">
        <f>IF($AN2621=1,IFERROR(VALUE(MID($E2621,2,20)),1000000000)+ROW()/100000,"")</f>
        <v/>
      </c>
    </row>
    <row r="2622">
      <c r="G2622" s="11" t="n"/>
      <c r="Q2622" s="7">
        <f>IF($E2622="","",P2622*Y2622/100)</f>
        <v/>
      </c>
      <c r="R2622" s="7" t="n"/>
      <c r="X2622" s="7" t="n"/>
      <c r="Y2622" s="7" t="n"/>
      <c r="AB2622">
        <f>IF($E2622="","",IF($AQ2622=1,0,IF($AP2622=1,Settings!$C$6,Settings!$C$7))*100)</f>
        <v/>
      </c>
      <c r="AC2622" s="7">
        <f>IF($E2622="","",Y2622*AB2622/100)</f>
        <v/>
      </c>
      <c r="AD2622" s="7">
        <f>IF($E2622="","",Y2622-AC2622)</f>
        <v/>
      </c>
      <c r="AE2622" s="7">
        <f>IF($E2622="","",AD2622-Q2622)</f>
        <v/>
      </c>
      <c r="AI2622" s="7" t="n"/>
      <c r="AL2622" s="11" t="n"/>
      <c r="AN2622">
        <f>IF($E2622="","",IF(COUNTIF($E$2:$E2622,$E2622)=1,1,0))</f>
        <v/>
      </c>
      <c r="AO2622">
        <f>IF($AN2622=1,SUMPRODUCT(--($AR$2:$AR$4001&lt;$AR2622))+1,"")</f>
        <v/>
      </c>
      <c r="AP2622">
        <f>IF($E2622="","",IF(OR($U2622=TRUE(),$U2622="TRUE"),1,0))</f>
        <v/>
      </c>
      <c r="AQ2622">
        <f>IF($E2622="","",IF($AA2622="Yes",1,0))</f>
        <v/>
      </c>
      <c r="AR2622">
        <f>IF($AN2622=1,IFERROR(VALUE(MID($E2622,2,20)),1000000000)+ROW()/100000,"")</f>
        <v/>
      </c>
    </row>
    <row r="2623">
      <c r="G2623" s="11" t="n"/>
      <c r="Q2623" s="7">
        <f>IF($E2623="","",P2623*Y2623/100)</f>
        <v/>
      </c>
      <c r="R2623" s="7" t="n"/>
      <c r="X2623" s="7" t="n"/>
      <c r="Y2623" s="7" t="n"/>
      <c r="AB2623">
        <f>IF($E2623="","",IF($AQ2623=1,0,IF($AP2623=1,Settings!$C$6,Settings!$C$7))*100)</f>
        <v/>
      </c>
      <c r="AC2623" s="7">
        <f>IF($E2623="","",Y2623*AB2623/100)</f>
        <v/>
      </c>
      <c r="AD2623" s="7">
        <f>IF($E2623="","",Y2623-AC2623)</f>
        <v/>
      </c>
      <c r="AE2623" s="7">
        <f>IF($E2623="","",AD2623-Q2623)</f>
        <v/>
      </c>
      <c r="AI2623" s="7" t="n"/>
      <c r="AL2623" s="11" t="n"/>
      <c r="AN2623">
        <f>IF($E2623="","",IF(COUNTIF($E$2:$E2623,$E2623)=1,1,0))</f>
        <v/>
      </c>
      <c r="AO2623">
        <f>IF($AN2623=1,SUMPRODUCT(--($AR$2:$AR$4001&lt;$AR2623))+1,"")</f>
        <v/>
      </c>
      <c r="AP2623">
        <f>IF($E2623="","",IF(OR($U2623=TRUE(),$U2623="TRUE"),1,0))</f>
        <v/>
      </c>
      <c r="AQ2623">
        <f>IF($E2623="","",IF($AA2623="Yes",1,0))</f>
        <v/>
      </c>
      <c r="AR2623">
        <f>IF($AN2623=1,IFERROR(VALUE(MID($E2623,2,20)),1000000000)+ROW()/100000,"")</f>
        <v/>
      </c>
    </row>
    <row r="2624">
      <c r="G2624" s="11" t="n"/>
      <c r="Q2624" s="7">
        <f>IF($E2624="","",P2624*Y2624/100)</f>
        <v/>
      </c>
      <c r="R2624" s="7" t="n"/>
      <c r="X2624" s="7" t="n"/>
      <c r="Y2624" s="7" t="n"/>
      <c r="AB2624">
        <f>IF($E2624="","",IF($AQ2624=1,0,IF($AP2624=1,Settings!$C$6,Settings!$C$7))*100)</f>
        <v/>
      </c>
      <c r="AC2624" s="7">
        <f>IF($E2624="","",Y2624*AB2624/100)</f>
        <v/>
      </c>
      <c r="AD2624" s="7">
        <f>IF($E2624="","",Y2624-AC2624)</f>
        <v/>
      </c>
      <c r="AE2624" s="7">
        <f>IF($E2624="","",AD2624-Q2624)</f>
        <v/>
      </c>
      <c r="AI2624" s="7" t="n"/>
      <c r="AL2624" s="11" t="n"/>
      <c r="AN2624">
        <f>IF($E2624="","",IF(COUNTIF($E$2:$E2624,$E2624)=1,1,0))</f>
        <v/>
      </c>
      <c r="AO2624">
        <f>IF($AN2624=1,SUMPRODUCT(--($AR$2:$AR$4001&lt;$AR2624))+1,"")</f>
        <v/>
      </c>
      <c r="AP2624">
        <f>IF($E2624="","",IF(OR($U2624=TRUE(),$U2624="TRUE"),1,0))</f>
        <v/>
      </c>
      <c r="AQ2624">
        <f>IF($E2624="","",IF($AA2624="Yes",1,0))</f>
        <v/>
      </c>
      <c r="AR2624">
        <f>IF($AN2624=1,IFERROR(VALUE(MID($E2624,2,20)),1000000000)+ROW()/100000,"")</f>
        <v/>
      </c>
    </row>
    <row r="2625">
      <c r="G2625" s="11" t="n"/>
      <c r="Q2625" s="7">
        <f>IF($E2625="","",P2625*Y2625/100)</f>
        <v/>
      </c>
      <c r="R2625" s="7" t="n"/>
      <c r="X2625" s="7" t="n"/>
      <c r="Y2625" s="7" t="n"/>
      <c r="AB2625">
        <f>IF($E2625="","",IF($AQ2625=1,0,IF($AP2625=1,Settings!$C$6,Settings!$C$7))*100)</f>
        <v/>
      </c>
      <c r="AC2625" s="7">
        <f>IF($E2625="","",Y2625*AB2625/100)</f>
        <v/>
      </c>
      <c r="AD2625" s="7">
        <f>IF($E2625="","",Y2625-AC2625)</f>
        <v/>
      </c>
      <c r="AE2625" s="7">
        <f>IF($E2625="","",AD2625-Q2625)</f>
        <v/>
      </c>
      <c r="AI2625" s="7" t="n"/>
      <c r="AL2625" s="11" t="n"/>
      <c r="AN2625">
        <f>IF($E2625="","",IF(COUNTIF($E$2:$E2625,$E2625)=1,1,0))</f>
        <v/>
      </c>
      <c r="AO2625">
        <f>IF($AN2625=1,SUMPRODUCT(--($AR$2:$AR$4001&lt;$AR2625))+1,"")</f>
        <v/>
      </c>
      <c r="AP2625">
        <f>IF($E2625="","",IF(OR($U2625=TRUE(),$U2625="TRUE"),1,0))</f>
        <v/>
      </c>
      <c r="AQ2625">
        <f>IF($E2625="","",IF($AA2625="Yes",1,0))</f>
        <v/>
      </c>
      <c r="AR2625">
        <f>IF($AN2625=1,IFERROR(VALUE(MID($E2625,2,20)),1000000000)+ROW()/100000,"")</f>
        <v/>
      </c>
    </row>
    <row r="2626">
      <c r="G2626" s="11" t="n"/>
      <c r="Q2626" s="7">
        <f>IF($E2626="","",P2626*Y2626/100)</f>
        <v/>
      </c>
      <c r="R2626" s="7" t="n"/>
      <c r="X2626" s="7" t="n"/>
      <c r="Y2626" s="7" t="n"/>
      <c r="AB2626">
        <f>IF($E2626="","",IF($AQ2626=1,0,IF($AP2626=1,Settings!$C$6,Settings!$C$7))*100)</f>
        <v/>
      </c>
      <c r="AC2626" s="7">
        <f>IF($E2626="","",Y2626*AB2626/100)</f>
        <v/>
      </c>
      <c r="AD2626" s="7">
        <f>IF($E2626="","",Y2626-AC2626)</f>
        <v/>
      </c>
      <c r="AE2626" s="7">
        <f>IF($E2626="","",AD2626-Q2626)</f>
        <v/>
      </c>
      <c r="AI2626" s="7" t="n"/>
      <c r="AL2626" s="11" t="n"/>
      <c r="AN2626">
        <f>IF($E2626="","",IF(COUNTIF($E$2:$E2626,$E2626)=1,1,0))</f>
        <v/>
      </c>
      <c r="AO2626">
        <f>IF($AN2626=1,SUMPRODUCT(--($AR$2:$AR$4001&lt;$AR2626))+1,"")</f>
        <v/>
      </c>
      <c r="AP2626">
        <f>IF($E2626="","",IF(OR($U2626=TRUE(),$U2626="TRUE"),1,0))</f>
        <v/>
      </c>
      <c r="AQ2626">
        <f>IF($E2626="","",IF($AA2626="Yes",1,0))</f>
        <v/>
      </c>
      <c r="AR2626">
        <f>IF($AN2626=1,IFERROR(VALUE(MID($E2626,2,20)),1000000000)+ROW()/100000,"")</f>
        <v/>
      </c>
    </row>
    <row r="2627">
      <c r="G2627" s="11" t="n"/>
      <c r="Q2627" s="7">
        <f>IF($E2627="","",P2627*Y2627/100)</f>
        <v/>
      </c>
      <c r="R2627" s="7" t="n"/>
      <c r="X2627" s="7" t="n"/>
      <c r="Y2627" s="7" t="n"/>
      <c r="AB2627">
        <f>IF($E2627="","",IF($AQ2627=1,0,IF($AP2627=1,Settings!$C$6,Settings!$C$7))*100)</f>
        <v/>
      </c>
      <c r="AC2627" s="7">
        <f>IF($E2627="","",Y2627*AB2627/100)</f>
        <v/>
      </c>
      <c r="AD2627" s="7">
        <f>IF($E2627="","",Y2627-AC2627)</f>
        <v/>
      </c>
      <c r="AE2627" s="7">
        <f>IF($E2627="","",AD2627-Q2627)</f>
        <v/>
      </c>
      <c r="AI2627" s="7" t="n"/>
      <c r="AL2627" s="11" t="n"/>
      <c r="AN2627">
        <f>IF($E2627="","",IF(COUNTIF($E$2:$E2627,$E2627)=1,1,0))</f>
        <v/>
      </c>
      <c r="AO2627">
        <f>IF($AN2627=1,SUMPRODUCT(--($AR$2:$AR$4001&lt;$AR2627))+1,"")</f>
        <v/>
      </c>
      <c r="AP2627">
        <f>IF($E2627="","",IF(OR($U2627=TRUE(),$U2627="TRUE"),1,0))</f>
        <v/>
      </c>
      <c r="AQ2627">
        <f>IF($E2627="","",IF($AA2627="Yes",1,0))</f>
        <v/>
      </c>
      <c r="AR2627">
        <f>IF($AN2627=1,IFERROR(VALUE(MID($E2627,2,20)),1000000000)+ROW()/100000,"")</f>
        <v/>
      </c>
    </row>
    <row r="2628">
      <c r="G2628" s="11" t="n"/>
      <c r="Q2628" s="7">
        <f>IF($E2628="","",P2628*Y2628/100)</f>
        <v/>
      </c>
      <c r="R2628" s="7" t="n"/>
      <c r="X2628" s="7" t="n"/>
      <c r="Y2628" s="7" t="n"/>
      <c r="AB2628">
        <f>IF($E2628="","",IF($AQ2628=1,0,IF($AP2628=1,Settings!$C$6,Settings!$C$7))*100)</f>
        <v/>
      </c>
      <c r="AC2628" s="7">
        <f>IF($E2628="","",Y2628*AB2628/100)</f>
        <v/>
      </c>
      <c r="AD2628" s="7">
        <f>IF($E2628="","",Y2628-AC2628)</f>
        <v/>
      </c>
      <c r="AE2628" s="7">
        <f>IF($E2628="","",AD2628-Q2628)</f>
        <v/>
      </c>
      <c r="AI2628" s="7" t="n"/>
      <c r="AL2628" s="11" t="n"/>
      <c r="AN2628">
        <f>IF($E2628="","",IF(COUNTIF($E$2:$E2628,$E2628)=1,1,0))</f>
        <v/>
      </c>
      <c r="AO2628">
        <f>IF($AN2628=1,SUMPRODUCT(--($AR$2:$AR$4001&lt;$AR2628))+1,"")</f>
        <v/>
      </c>
      <c r="AP2628">
        <f>IF($E2628="","",IF(OR($U2628=TRUE(),$U2628="TRUE"),1,0))</f>
        <v/>
      </c>
      <c r="AQ2628">
        <f>IF($E2628="","",IF($AA2628="Yes",1,0))</f>
        <v/>
      </c>
      <c r="AR2628">
        <f>IF($AN2628=1,IFERROR(VALUE(MID($E2628,2,20)),1000000000)+ROW()/100000,"")</f>
        <v/>
      </c>
    </row>
    <row r="2629">
      <c r="G2629" s="11" t="n"/>
      <c r="Q2629" s="7">
        <f>IF($E2629="","",P2629*Y2629/100)</f>
        <v/>
      </c>
      <c r="R2629" s="7" t="n"/>
      <c r="X2629" s="7" t="n"/>
      <c r="Y2629" s="7" t="n"/>
      <c r="AB2629">
        <f>IF($E2629="","",IF($AQ2629=1,0,IF($AP2629=1,Settings!$C$6,Settings!$C$7))*100)</f>
        <v/>
      </c>
      <c r="AC2629" s="7">
        <f>IF($E2629="","",Y2629*AB2629/100)</f>
        <v/>
      </c>
      <c r="AD2629" s="7">
        <f>IF($E2629="","",Y2629-AC2629)</f>
        <v/>
      </c>
      <c r="AE2629" s="7">
        <f>IF($E2629="","",AD2629-Q2629)</f>
        <v/>
      </c>
      <c r="AI2629" s="7" t="n"/>
      <c r="AL2629" s="11" t="n"/>
      <c r="AN2629">
        <f>IF($E2629="","",IF(COUNTIF($E$2:$E2629,$E2629)=1,1,0))</f>
        <v/>
      </c>
      <c r="AO2629">
        <f>IF($AN2629=1,SUMPRODUCT(--($AR$2:$AR$4001&lt;$AR2629))+1,"")</f>
        <v/>
      </c>
      <c r="AP2629">
        <f>IF($E2629="","",IF(OR($U2629=TRUE(),$U2629="TRUE"),1,0))</f>
        <v/>
      </c>
      <c r="AQ2629">
        <f>IF($E2629="","",IF($AA2629="Yes",1,0))</f>
        <v/>
      </c>
      <c r="AR2629">
        <f>IF($AN2629=1,IFERROR(VALUE(MID($E2629,2,20)),1000000000)+ROW()/100000,"")</f>
        <v/>
      </c>
    </row>
    <row r="2630">
      <c r="G2630" s="11" t="n"/>
      <c r="Q2630" s="7">
        <f>IF($E2630="","",P2630*Y2630/100)</f>
        <v/>
      </c>
      <c r="R2630" s="7" t="n"/>
      <c r="X2630" s="7" t="n"/>
      <c r="Y2630" s="7" t="n"/>
      <c r="AB2630">
        <f>IF($E2630="","",IF($AQ2630=1,0,IF($AP2630=1,Settings!$C$6,Settings!$C$7))*100)</f>
        <v/>
      </c>
      <c r="AC2630" s="7">
        <f>IF($E2630="","",Y2630*AB2630/100)</f>
        <v/>
      </c>
      <c r="AD2630" s="7">
        <f>IF($E2630="","",Y2630-AC2630)</f>
        <v/>
      </c>
      <c r="AE2630" s="7">
        <f>IF($E2630="","",AD2630-Q2630)</f>
        <v/>
      </c>
      <c r="AI2630" s="7" t="n"/>
      <c r="AL2630" s="11" t="n"/>
      <c r="AN2630">
        <f>IF($E2630="","",IF(COUNTIF($E$2:$E2630,$E2630)=1,1,0))</f>
        <v/>
      </c>
      <c r="AO2630">
        <f>IF($AN2630=1,SUMPRODUCT(--($AR$2:$AR$4001&lt;$AR2630))+1,"")</f>
        <v/>
      </c>
      <c r="AP2630">
        <f>IF($E2630="","",IF(OR($U2630=TRUE(),$U2630="TRUE"),1,0))</f>
        <v/>
      </c>
      <c r="AQ2630">
        <f>IF($E2630="","",IF($AA2630="Yes",1,0))</f>
        <v/>
      </c>
      <c r="AR2630">
        <f>IF($AN2630=1,IFERROR(VALUE(MID($E2630,2,20)),1000000000)+ROW()/100000,"")</f>
        <v/>
      </c>
    </row>
    <row r="2631">
      <c r="G2631" s="11" t="n"/>
      <c r="Q2631" s="7">
        <f>IF($E2631="","",P2631*Y2631/100)</f>
        <v/>
      </c>
      <c r="R2631" s="7" t="n"/>
      <c r="X2631" s="7" t="n"/>
      <c r="Y2631" s="7" t="n"/>
      <c r="AB2631">
        <f>IF($E2631="","",IF($AQ2631=1,0,IF($AP2631=1,Settings!$C$6,Settings!$C$7))*100)</f>
        <v/>
      </c>
      <c r="AC2631" s="7">
        <f>IF($E2631="","",Y2631*AB2631/100)</f>
        <v/>
      </c>
      <c r="AD2631" s="7">
        <f>IF($E2631="","",Y2631-AC2631)</f>
        <v/>
      </c>
      <c r="AE2631" s="7">
        <f>IF($E2631="","",AD2631-Q2631)</f>
        <v/>
      </c>
      <c r="AI2631" s="7" t="n"/>
      <c r="AL2631" s="11" t="n"/>
      <c r="AN2631">
        <f>IF($E2631="","",IF(COUNTIF($E$2:$E2631,$E2631)=1,1,0))</f>
        <v/>
      </c>
      <c r="AO2631">
        <f>IF($AN2631=1,SUMPRODUCT(--($AR$2:$AR$4001&lt;$AR2631))+1,"")</f>
        <v/>
      </c>
      <c r="AP2631">
        <f>IF($E2631="","",IF(OR($U2631=TRUE(),$U2631="TRUE"),1,0))</f>
        <v/>
      </c>
      <c r="AQ2631">
        <f>IF($E2631="","",IF($AA2631="Yes",1,0))</f>
        <v/>
      </c>
      <c r="AR2631">
        <f>IF($AN2631=1,IFERROR(VALUE(MID($E2631,2,20)),1000000000)+ROW()/100000,"")</f>
        <v/>
      </c>
    </row>
    <row r="2632">
      <c r="G2632" s="11" t="n"/>
      <c r="Q2632" s="7">
        <f>IF($E2632="","",P2632*Y2632/100)</f>
        <v/>
      </c>
      <c r="R2632" s="7" t="n"/>
      <c r="X2632" s="7" t="n"/>
      <c r="Y2632" s="7" t="n"/>
      <c r="AB2632">
        <f>IF($E2632="","",IF($AQ2632=1,0,IF($AP2632=1,Settings!$C$6,Settings!$C$7))*100)</f>
        <v/>
      </c>
      <c r="AC2632" s="7">
        <f>IF($E2632="","",Y2632*AB2632/100)</f>
        <v/>
      </c>
      <c r="AD2632" s="7">
        <f>IF($E2632="","",Y2632-AC2632)</f>
        <v/>
      </c>
      <c r="AE2632" s="7">
        <f>IF($E2632="","",AD2632-Q2632)</f>
        <v/>
      </c>
      <c r="AI2632" s="7" t="n"/>
      <c r="AL2632" s="11" t="n"/>
      <c r="AN2632">
        <f>IF($E2632="","",IF(COUNTIF($E$2:$E2632,$E2632)=1,1,0))</f>
        <v/>
      </c>
      <c r="AO2632">
        <f>IF($AN2632=1,SUMPRODUCT(--($AR$2:$AR$4001&lt;$AR2632))+1,"")</f>
        <v/>
      </c>
      <c r="AP2632">
        <f>IF($E2632="","",IF(OR($U2632=TRUE(),$U2632="TRUE"),1,0))</f>
        <v/>
      </c>
      <c r="AQ2632">
        <f>IF($E2632="","",IF($AA2632="Yes",1,0))</f>
        <v/>
      </c>
      <c r="AR2632">
        <f>IF($AN2632=1,IFERROR(VALUE(MID($E2632,2,20)),1000000000)+ROW()/100000,"")</f>
        <v/>
      </c>
    </row>
    <row r="2633">
      <c r="G2633" s="11" t="n"/>
      <c r="Q2633" s="7">
        <f>IF($E2633="","",P2633*Y2633/100)</f>
        <v/>
      </c>
      <c r="R2633" s="7" t="n"/>
      <c r="X2633" s="7" t="n"/>
      <c r="Y2633" s="7" t="n"/>
      <c r="AB2633">
        <f>IF($E2633="","",IF($AQ2633=1,0,IF($AP2633=1,Settings!$C$6,Settings!$C$7))*100)</f>
        <v/>
      </c>
      <c r="AC2633" s="7">
        <f>IF($E2633="","",Y2633*AB2633/100)</f>
        <v/>
      </c>
      <c r="AD2633" s="7">
        <f>IF($E2633="","",Y2633-AC2633)</f>
        <v/>
      </c>
      <c r="AE2633" s="7">
        <f>IF($E2633="","",AD2633-Q2633)</f>
        <v/>
      </c>
      <c r="AI2633" s="7" t="n"/>
      <c r="AL2633" s="11" t="n"/>
      <c r="AN2633">
        <f>IF($E2633="","",IF(COUNTIF($E$2:$E2633,$E2633)=1,1,0))</f>
        <v/>
      </c>
      <c r="AO2633">
        <f>IF($AN2633=1,SUMPRODUCT(--($AR$2:$AR$4001&lt;$AR2633))+1,"")</f>
        <v/>
      </c>
      <c r="AP2633">
        <f>IF($E2633="","",IF(OR($U2633=TRUE(),$U2633="TRUE"),1,0))</f>
        <v/>
      </c>
      <c r="AQ2633">
        <f>IF($E2633="","",IF($AA2633="Yes",1,0))</f>
        <v/>
      </c>
      <c r="AR2633">
        <f>IF($AN2633=1,IFERROR(VALUE(MID($E2633,2,20)),1000000000)+ROW()/100000,"")</f>
        <v/>
      </c>
    </row>
    <row r="2634">
      <c r="G2634" s="11" t="n"/>
      <c r="Q2634" s="7">
        <f>IF($E2634="","",P2634*Y2634/100)</f>
        <v/>
      </c>
      <c r="R2634" s="7" t="n"/>
      <c r="X2634" s="7" t="n"/>
      <c r="Y2634" s="7" t="n"/>
      <c r="AB2634">
        <f>IF($E2634="","",IF($AQ2634=1,0,IF($AP2634=1,Settings!$C$6,Settings!$C$7))*100)</f>
        <v/>
      </c>
      <c r="AC2634" s="7">
        <f>IF($E2634="","",Y2634*AB2634/100)</f>
        <v/>
      </c>
      <c r="AD2634" s="7">
        <f>IF($E2634="","",Y2634-AC2634)</f>
        <v/>
      </c>
      <c r="AE2634" s="7">
        <f>IF($E2634="","",AD2634-Q2634)</f>
        <v/>
      </c>
      <c r="AI2634" s="7" t="n"/>
      <c r="AL2634" s="11" t="n"/>
      <c r="AN2634">
        <f>IF($E2634="","",IF(COUNTIF($E$2:$E2634,$E2634)=1,1,0))</f>
        <v/>
      </c>
      <c r="AO2634">
        <f>IF($AN2634=1,SUMPRODUCT(--($AR$2:$AR$4001&lt;$AR2634))+1,"")</f>
        <v/>
      </c>
      <c r="AP2634">
        <f>IF($E2634="","",IF(OR($U2634=TRUE(),$U2634="TRUE"),1,0))</f>
        <v/>
      </c>
      <c r="AQ2634">
        <f>IF($E2634="","",IF($AA2634="Yes",1,0))</f>
        <v/>
      </c>
      <c r="AR2634">
        <f>IF($AN2634=1,IFERROR(VALUE(MID($E2634,2,20)),1000000000)+ROW()/100000,"")</f>
        <v/>
      </c>
    </row>
    <row r="2635">
      <c r="G2635" s="11" t="n"/>
      <c r="Q2635" s="7">
        <f>IF($E2635="","",P2635*Y2635/100)</f>
        <v/>
      </c>
      <c r="R2635" s="7" t="n"/>
      <c r="X2635" s="7" t="n"/>
      <c r="Y2635" s="7" t="n"/>
      <c r="AB2635">
        <f>IF($E2635="","",IF($AQ2635=1,0,IF($AP2635=1,Settings!$C$6,Settings!$C$7))*100)</f>
        <v/>
      </c>
      <c r="AC2635" s="7">
        <f>IF($E2635="","",Y2635*AB2635/100)</f>
        <v/>
      </c>
      <c r="AD2635" s="7">
        <f>IF($E2635="","",Y2635-AC2635)</f>
        <v/>
      </c>
      <c r="AE2635" s="7">
        <f>IF($E2635="","",AD2635-Q2635)</f>
        <v/>
      </c>
      <c r="AI2635" s="7" t="n"/>
      <c r="AL2635" s="11" t="n"/>
      <c r="AN2635">
        <f>IF($E2635="","",IF(COUNTIF($E$2:$E2635,$E2635)=1,1,0))</f>
        <v/>
      </c>
      <c r="AO2635">
        <f>IF($AN2635=1,SUMPRODUCT(--($AR$2:$AR$4001&lt;$AR2635))+1,"")</f>
        <v/>
      </c>
      <c r="AP2635">
        <f>IF($E2635="","",IF(OR($U2635=TRUE(),$U2635="TRUE"),1,0))</f>
        <v/>
      </c>
      <c r="AQ2635">
        <f>IF($E2635="","",IF($AA2635="Yes",1,0))</f>
        <v/>
      </c>
      <c r="AR2635">
        <f>IF($AN2635=1,IFERROR(VALUE(MID($E2635,2,20)),1000000000)+ROW()/100000,"")</f>
        <v/>
      </c>
    </row>
    <row r="2636">
      <c r="G2636" s="11" t="n"/>
      <c r="Q2636" s="7">
        <f>IF($E2636="","",P2636*Y2636/100)</f>
        <v/>
      </c>
      <c r="R2636" s="7" t="n"/>
      <c r="X2636" s="7" t="n"/>
      <c r="Y2636" s="7" t="n"/>
      <c r="AB2636">
        <f>IF($E2636="","",IF($AQ2636=1,0,IF($AP2636=1,Settings!$C$6,Settings!$C$7))*100)</f>
        <v/>
      </c>
      <c r="AC2636" s="7">
        <f>IF($E2636="","",Y2636*AB2636/100)</f>
        <v/>
      </c>
      <c r="AD2636" s="7">
        <f>IF($E2636="","",Y2636-AC2636)</f>
        <v/>
      </c>
      <c r="AE2636" s="7">
        <f>IF($E2636="","",AD2636-Q2636)</f>
        <v/>
      </c>
      <c r="AI2636" s="7" t="n"/>
      <c r="AL2636" s="11" t="n"/>
      <c r="AN2636">
        <f>IF($E2636="","",IF(COUNTIF($E$2:$E2636,$E2636)=1,1,0))</f>
        <v/>
      </c>
      <c r="AO2636">
        <f>IF($AN2636=1,SUMPRODUCT(--($AR$2:$AR$4001&lt;$AR2636))+1,"")</f>
        <v/>
      </c>
      <c r="AP2636">
        <f>IF($E2636="","",IF(OR($U2636=TRUE(),$U2636="TRUE"),1,0))</f>
        <v/>
      </c>
      <c r="AQ2636">
        <f>IF($E2636="","",IF($AA2636="Yes",1,0))</f>
        <v/>
      </c>
      <c r="AR2636">
        <f>IF($AN2636=1,IFERROR(VALUE(MID($E2636,2,20)),1000000000)+ROW()/100000,"")</f>
        <v/>
      </c>
    </row>
    <row r="2637">
      <c r="G2637" s="11" t="n"/>
      <c r="Q2637" s="7">
        <f>IF($E2637="","",P2637*Y2637/100)</f>
        <v/>
      </c>
      <c r="R2637" s="7" t="n"/>
      <c r="X2637" s="7" t="n"/>
      <c r="Y2637" s="7" t="n"/>
      <c r="AB2637">
        <f>IF($E2637="","",IF($AQ2637=1,0,IF($AP2637=1,Settings!$C$6,Settings!$C$7))*100)</f>
        <v/>
      </c>
      <c r="AC2637" s="7">
        <f>IF($E2637="","",Y2637*AB2637/100)</f>
        <v/>
      </c>
      <c r="AD2637" s="7">
        <f>IF($E2637="","",Y2637-AC2637)</f>
        <v/>
      </c>
      <c r="AE2637" s="7">
        <f>IF($E2637="","",AD2637-Q2637)</f>
        <v/>
      </c>
      <c r="AI2637" s="7" t="n"/>
      <c r="AL2637" s="11" t="n"/>
      <c r="AN2637">
        <f>IF($E2637="","",IF(COUNTIF($E$2:$E2637,$E2637)=1,1,0))</f>
        <v/>
      </c>
      <c r="AO2637">
        <f>IF($AN2637=1,SUMPRODUCT(--($AR$2:$AR$4001&lt;$AR2637))+1,"")</f>
        <v/>
      </c>
      <c r="AP2637">
        <f>IF($E2637="","",IF(OR($U2637=TRUE(),$U2637="TRUE"),1,0))</f>
        <v/>
      </c>
      <c r="AQ2637">
        <f>IF($E2637="","",IF($AA2637="Yes",1,0))</f>
        <v/>
      </c>
      <c r="AR2637">
        <f>IF($AN2637=1,IFERROR(VALUE(MID($E2637,2,20)),1000000000)+ROW()/100000,"")</f>
        <v/>
      </c>
    </row>
    <row r="2638">
      <c r="G2638" s="11" t="n"/>
      <c r="Q2638" s="7">
        <f>IF($E2638="","",P2638*Y2638/100)</f>
        <v/>
      </c>
      <c r="R2638" s="7" t="n"/>
      <c r="X2638" s="7" t="n"/>
      <c r="Y2638" s="7" t="n"/>
      <c r="AB2638">
        <f>IF($E2638="","",IF($AQ2638=1,0,IF($AP2638=1,Settings!$C$6,Settings!$C$7))*100)</f>
        <v/>
      </c>
      <c r="AC2638" s="7">
        <f>IF($E2638="","",Y2638*AB2638/100)</f>
        <v/>
      </c>
      <c r="AD2638" s="7">
        <f>IF($E2638="","",Y2638-AC2638)</f>
        <v/>
      </c>
      <c r="AE2638" s="7">
        <f>IF($E2638="","",AD2638-Q2638)</f>
        <v/>
      </c>
      <c r="AI2638" s="7" t="n"/>
      <c r="AL2638" s="11" t="n"/>
      <c r="AN2638">
        <f>IF($E2638="","",IF(COUNTIF($E$2:$E2638,$E2638)=1,1,0))</f>
        <v/>
      </c>
      <c r="AO2638">
        <f>IF($AN2638=1,SUMPRODUCT(--($AR$2:$AR$4001&lt;$AR2638))+1,"")</f>
        <v/>
      </c>
      <c r="AP2638">
        <f>IF($E2638="","",IF(OR($U2638=TRUE(),$U2638="TRUE"),1,0))</f>
        <v/>
      </c>
      <c r="AQ2638">
        <f>IF($E2638="","",IF($AA2638="Yes",1,0))</f>
        <v/>
      </c>
      <c r="AR2638">
        <f>IF($AN2638=1,IFERROR(VALUE(MID($E2638,2,20)),1000000000)+ROW()/100000,"")</f>
        <v/>
      </c>
    </row>
    <row r="2639">
      <c r="G2639" s="11" t="n"/>
      <c r="Q2639" s="7">
        <f>IF($E2639="","",P2639*Y2639/100)</f>
        <v/>
      </c>
      <c r="R2639" s="7" t="n"/>
      <c r="X2639" s="7" t="n"/>
      <c r="Y2639" s="7" t="n"/>
      <c r="AB2639">
        <f>IF($E2639="","",IF($AQ2639=1,0,IF($AP2639=1,Settings!$C$6,Settings!$C$7))*100)</f>
        <v/>
      </c>
      <c r="AC2639" s="7">
        <f>IF($E2639="","",Y2639*AB2639/100)</f>
        <v/>
      </c>
      <c r="AD2639" s="7">
        <f>IF($E2639="","",Y2639-AC2639)</f>
        <v/>
      </c>
      <c r="AE2639" s="7">
        <f>IF($E2639="","",AD2639-Q2639)</f>
        <v/>
      </c>
      <c r="AI2639" s="7" t="n"/>
      <c r="AL2639" s="11" t="n"/>
      <c r="AN2639">
        <f>IF($E2639="","",IF(COUNTIF($E$2:$E2639,$E2639)=1,1,0))</f>
        <v/>
      </c>
      <c r="AO2639">
        <f>IF($AN2639=1,SUMPRODUCT(--($AR$2:$AR$4001&lt;$AR2639))+1,"")</f>
        <v/>
      </c>
      <c r="AP2639">
        <f>IF($E2639="","",IF(OR($U2639=TRUE(),$U2639="TRUE"),1,0))</f>
        <v/>
      </c>
      <c r="AQ2639">
        <f>IF($E2639="","",IF($AA2639="Yes",1,0))</f>
        <v/>
      </c>
      <c r="AR2639">
        <f>IF($AN2639=1,IFERROR(VALUE(MID($E2639,2,20)),1000000000)+ROW()/100000,"")</f>
        <v/>
      </c>
    </row>
    <row r="2640">
      <c r="G2640" s="11" t="n"/>
      <c r="Q2640" s="7">
        <f>IF($E2640="","",P2640*Y2640/100)</f>
        <v/>
      </c>
      <c r="R2640" s="7" t="n"/>
      <c r="X2640" s="7" t="n"/>
      <c r="Y2640" s="7" t="n"/>
      <c r="AB2640">
        <f>IF($E2640="","",IF($AQ2640=1,0,IF($AP2640=1,Settings!$C$6,Settings!$C$7))*100)</f>
        <v/>
      </c>
      <c r="AC2640" s="7">
        <f>IF($E2640="","",Y2640*AB2640/100)</f>
        <v/>
      </c>
      <c r="AD2640" s="7">
        <f>IF($E2640="","",Y2640-AC2640)</f>
        <v/>
      </c>
      <c r="AE2640" s="7">
        <f>IF($E2640="","",AD2640-Q2640)</f>
        <v/>
      </c>
      <c r="AI2640" s="7" t="n"/>
      <c r="AL2640" s="11" t="n"/>
      <c r="AN2640">
        <f>IF($E2640="","",IF(COUNTIF($E$2:$E2640,$E2640)=1,1,0))</f>
        <v/>
      </c>
      <c r="AO2640">
        <f>IF($AN2640=1,SUMPRODUCT(--($AR$2:$AR$4001&lt;$AR2640))+1,"")</f>
        <v/>
      </c>
      <c r="AP2640">
        <f>IF($E2640="","",IF(OR($U2640=TRUE(),$U2640="TRUE"),1,0))</f>
        <v/>
      </c>
      <c r="AQ2640">
        <f>IF($E2640="","",IF($AA2640="Yes",1,0))</f>
        <v/>
      </c>
      <c r="AR2640">
        <f>IF($AN2640=1,IFERROR(VALUE(MID($E2640,2,20)),1000000000)+ROW()/100000,"")</f>
        <v/>
      </c>
    </row>
    <row r="2641">
      <c r="G2641" s="11" t="n"/>
      <c r="Q2641" s="7">
        <f>IF($E2641="","",P2641*Y2641/100)</f>
        <v/>
      </c>
      <c r="R2641" s="7" t="n"/>
      <c r="X2641" s="7" t="n"/>
      <c r="Y2641" s="7" t="n"/>
      <c r="AB2641">
        <f>IF($E2641="","",IF($AQ2641=1,0,IF($AP2641=1,Settings!$C$6,Settings!$C$7))*100)</f>
        <v/>
      </c>
      <c r="AC2641" s="7">
        <f>IF($E2641="","",Y2641*AB2641/100)</f>
        <v/>
      </c>
      <c r="AD2641" s="7">
        <f>IF($E2641="","",Y2641-AC2641)</f>
        <v/>
      </c>
      <c r="AE2641" s="7">
        <f>IF($E2641="","",AD2641-Q2641)</f>
        <v/>
      </c>
      <c r="AI2641" s="7" t="n"/>
      <c r="AL2641" s="11" t="n"/>
      <c r="AN2641">
        <f>IF($E2641="","",IF(COUNTIF($E$2:$E2641,$E2641)=1,1,0))</f>
        <v/>
      </c>
      <c r="AO2641">
        <f>IF($AN2641=1,SUMPRODUCT(--($AR$2:$AR$4001&lt;$AR2641))+1,"")</f>
        <v/>
      </c>
      <c r="AP2641">
        <f>IF($E2641="","",IF(OR($U2641=TRUE(),$U2641="TRUE"),1,0))</f>
        <v/>
      </c>
      <c r="AQ2641">
        <f>IF($E2641="","",IF($AA2641="Yes",1,0))</f>
        <v/>
      </c>
      <c r="AR2641">
        <f>IF($AN2641=1,IFERROR(VALUE(MID($E2641,2,20)),1000000000)+ROW()/100000,"")</f>
        <v/>
      </c>
    </row>
    <row r="2642">
      <c r="G2642" s="11" t="n"/>
      <c r="Q2642" s="7">
        <f>IF($E2642="","",P2642*Y2642/100)</f>
        <v/>
      </c>
      <c r="R2642" s="7" t="n"/>
      <c r="X2642" s="7" t="n"/>
      <c r="Y2642" s="7" t="n"/>
      <c r="AB2642">
        <f>IF($E2642="","",IF($AQ2642=1,0,IF($AP2642=1,Settings!$C$6,Settings!$C$7))*100)</f>
        <v/>
      </c>
      <c r="AC2642" s="7">
        <f>IF($E2642="","",Y2642*AB2642/100)</f>
        <v/>
      </c>
      <c r="AD2642" s="7">
        <f>IF($E2642="","",Y2642-AC2642)</f>
        <v/>
      </c>
      <c r="AE2642" s="7">
        <f>IF($E2642="","",AD2642-Q2642)</f>
        <v/>
      </c>
      <c r="AI2642" s="7" t="n"/>
      <c r="AL2642" s="11" t="n"/>
      <c r="AN2642">
        <f>IF($E2642="","",IF(COUNTIF($E$2:$E2642,$E2642)=1,1,0))</f>
        <v/>
      </c>
      <c r="AO2642">
        <f>IF($AN2642=1,SUMPRODUCT(--($AR$2:$AR$4001&lt;$AR2642))+1,"")</f>
        <v/>
      </c>
      <c r="AP2642">
        <f>IF($E2642="","",IF(OR($U2642=TRUE(),$U2642="TRUE"),1,0))</f>
        <v/>
      </c>
      <c r="AQ2642">
        <f>IF($E2642="","",IF($AA2642="Yes",1,0))</f>
        <v/>
      </c>
      <c r="AR2642">
        <f>IF($AN2642=1,IFERROR(VALUE(MID($E2642,2,20)),1000000000)+ROW()/100000,"")</f>
        <v/>
      </c>
    </row>
    <row r="2643">
      <c r="G2643" s="11" t="n"/>
      <c r="Q2643" s="7">
        <f>IF($E2643="","",P2643*Y2643/100)</f>
        <v/>
      </c>
      <c r="R2643" s="7" t="n"/>
      <c r="X2643" s="7" t="n"/>
      <c r="Y2643" s="7" t="n"/>
      <c r="AB2643">
        <f>IF($E2643="","",IF($AQ2643=1,0,IF($AP2643=1,Settings!$C$6,Settings!$C$7))*100)</f>
        <v/>
      </c>
      <c r="AC2643" s="7">
        <f>IF($E2643="","",Y2643*AB2643/100)</f>
        <v/>
      </c>
      <c r="AD2643" s="7">
        <f>IF($E2643="","",Y2643-AC2643)</f>
        <v/>
      </c>
      <c r="AE2643" s="7">
        <f>IF($E2643="","",AD2643-Q2643)</f>
        <v/>
      </c>
      <c r="AI2643" s="7" t="n"/>
      <c r="AL2643" s="11" t="n"/>
      <c r="AN2643">
        <f>IF($E2643="","",IF(COUNTIF($E$2:$E2643,$E2643)=1,1,0))</f>
        <v/>
      </c>
      <c r="AO2643">
        <f>IF($AN2643=1,SUMPRODUCT(--($AR$2:$AR$4001&lt;$AR2643))+1,"")</f>
        <v/>
      </c>
      <c r="AP2643">
        <f>IF($E2643="","",IF(OR($U2643=TRUE(),$U2643="TRUE"),1,0))</f>
        <v/>
      </c>
      <c r="AQ2643">
        <f>IF($E2643="","",IF($AA2643="Yes",1,0))</f>
        <v/>
      </c>
      <c r="AR2643">
        <f>IF($AN2643=1,IFERROR(VALUE(MID($E2643,2,20)),1000000000)+ROW()/100000,"")</f>
        <v/>
      </c>
    </row>
    <row r="2644">
      <c r="G2644" s="11" t="n"/>
      <c r="Q2644" s="7">
        <f>IF($E2644="","",P2644*Y2644/100)</f>
        <v/>
      </c>
      <c r="R2644" s="7" t="n"/>
      <c r="X2644" s="7" t="n"/>
      <c r="Y2644" s="7" t="n"/>
      <c r="AB2644">
        <f>IF($E2644="","",IF($AQ2644=1,0,IF($AP2644=1,Settings!$C$6,Settings!$C$7))*100)</f>
        <v/>
      </c>
      <c r="AC2644" s="7">
        <f>IF($E2644="","",Y2644*AB2644/100)</f>
        <v/>
      </c>
      <c r="AD2644" s="7">
        <f>IF($E2644="","",Y2644-AC2644)</f>
        <v/>
      </c>
      <c r="AE2644" s="7">
        <f>IF($E2644="","",AD2644-Q2644)</f>
        <v/>
      </c>
      <c r="AI2644" s="7" t="n"/>
      <c r="AL2644" s="11" t="n"/>
      <c r="AN2644">
        <f>IF($E2644="","",IF(COUNTIF($E$2:$E2644,$E2644)=1,1,0))</f>
        <v/>
      </c>
      <c r="AO2644">
        <f>IF($AN2644=1,SUMPRODUCT(--($AR$2:$AR$4001&lt;$AR2644))+1,"")</f>
        <v/>
      </c>
      <c r="AP2644">
        <f>IF($E2644="","",IF(OR($U2644=TRUE(),$U2644="TRUE"),1,0))</f>
        <v/>
      </c>
      <c r="AQ2644">
        <f>IF($E2644="","",IF($AA2644="Yes",1,0))</f>
        <v/>
      </c>
      <c r="AR2644">
        <f>IF($AN2644=1,IFERROR(VALUE(MID($E2644,2,20)),1000000000)+ROW()/100000,"")</f>
        <v/>
      </c>
    </row>
    <row r="2645">
      <c r="G2645" s="11" t="n"/>
      <c r="Q2645" s="7">
        <f>IF($E2645="","",P2645*Y2645/100)</f>
        <v/>
      </c>
      <c r="R2645" s="7" t="n"/>
      <c r="X2645" s="7" t="n"/>
      <c r="Y2645" s="7" t="n"/>
      <c r="AB2645">
        <f>IF($E2645="","",IF($AQ2645=1,0,IF($AP2645=1,Settings!$C$6,Settings!$C$7))*100)</f>
        <v/>
      </c>
      <c r="AC2645" s="7">
        <f>IF($E2645="","",Y2645*AB2645/100)</f>
        <v/>
      </c>
      <c r="AD2645" s="7">
        <f>IF($E2645="","",Y2645-AC2645)</f>
        <v/>
      </c>
      <c r="AE2645" s="7">
        <f>IF($E2645="","",AD2645-Q2645)</f>
        <v/>
      </c>
      <c r="AI2645" s="7" t="n"/>
      <c r="AL2645" s="11" t="n"/>
      <c r="AN2645">
        <f>IF($E2645="","",IF(COUNTIF($E$2:$E2645,$E2645)=1,1,0))</f>
        <v/>
      </c>
      <c r="AO2645">
        <f>IF($AN2645=1,SUMPRODUCT(--($AR$2:$AR$4001&lt;$AR2645))+1,"")</f>
        <v/>
      </c>
      <c r="AP2645">
        <f>IF($E2645="","",IF(OR($U2645=TRUE(),$U2645="TRUE"),1,0))</f>
        <v/>
      </c>
      <c r="AQ2645">
        <f>IF($E2645="","",IF($AA2645="Yes",1,0))</f>
        <v/>
      </c>
      <c r="AR2645">
        <f>IF($AN2645=1,IFERROR(VALUE(MID($E2645,2,20)),1000000000)+ROW()/100000,"")</f>
        <v/>
      </c>
    </row>
    <row r="2646">
      <c r="G2646" s="11" t="n"/>
      <c r="Q2646" s="7">
        <f>IF($E2646="","",P2646*Y2646/100)</f>
        <v/>
      </c>
      <c r="R2646" s="7" t="n"/>
      <c r="X2646" s="7" t="n"/>
      <c r="Y2646" s="7" t="n"/>
      <c r="AB2646">
        <f>IF($E2646="","",IF($AQ2646=1,0,IF($AP2646=1,Settings!$C$6,Settings!$C$7))*100)</f>
        <v/>
      </c>
      <c r="AC2646" s="7">
        <f>IF($E2646="","",Y2646*AB2646/100)</f>
        <v/>
      </c>
      <c r="AD2646" s="7">
        <f>IF($E2646="","",Y2646-AC2646)</f>
        <v/>
      </c>
      <c r="AE2646" s="7">
        <f>IF($E2646="","",AD2646-Q2646)</f>
        <v/>
      </c>
      <c r="AI2646" s="7" t="n"/>
      <c r="AL2646" s="11" t="n"/>
      <c r="AN2646">
        <f>IF($E2646="","",IF(COUNTIF($E$2:$E2646,$E2646)=1,1,0))</f>
        <v/>
      </c>
      <c r="AO2646">
        <f>IF($AN2646=1,SUMPRODUCT(--($AR$2:$AR$4001&lt;$AR2646))+1,"")</f>
        <v/>
      </c>
      <c r="AP2646">
        <f>IF($E2646="","",IF(OR($U2646=TRUE(),$U2646="TRUE"),1,0))</f>
        <v/>
      </c>
      <c r="AQ2646">
        <f>IF($E2646="","",IF($AA2646="Yes",1,0))</f>
        <v/>
      </c>
      <c r="AR2646">
        <f>IF($AN2646=1,IFERROR(VALUE(MID($E2646,2,20)),1000000000)+ROW()/100000,"")</f>
        <v/>
      </c>
    </row>
    <row r="2647">
      <c r="G2647" s="11" t="n"/>
      <c r="Q2647" s="7">
        <f>IF($E2647="","",P2647*Y2647/100)</f>
        <v/>
      </c>
      <c r="R2647" s="7" t="n"/>
      <c r="X2647" s="7" t="n"/>
      <c r="Y2647" s="7" t="n"/>
      <c r="AB2647">
        <f>IF($E2647="","",IF($AQ2647=1,0,IF($AP2647=1,Settings!$C$6,Settings!$C$7))*100)</f>
        <v/>
      </c>
      <c r="AC2647" s="7">
        <f>IF($E2647="","",Y2647*AB2647/100)</f>
        <v/>
      </c>
      <c r="AD2647" s="7">
        <f>IF($E2647="","",Y2647-AC2647)</f>
        <v/>
      </c>
      <c r="AE2647" s="7">
        <f>IF($E2647="","",AD2647-Q2647)</f>
        <v/>
      </c>
      <c r="AI2647" s="7" t="n"/>
      <c r="AL2647" s="11" t="n"/>
      <c r="AN2647">
        <f>IF($E2647="","",IF(COUNTIF($E$2:$E2647,$E2647)=1,1,0))</f>
        <v/>
      </c>
      <c r="AO2647">
        <f>IF($AN2647=1,SUMPRODUCT(--($AR$2:$AR$4001&lt;$AR2647))+1,"")</f>
        <v/>
      </c>
      <c r="AP2647">
        <f>IF($E2647="","",IF(OR($U2647=TRUE(),$U2647="TRUE"),1,0))</f>
        <v/>
      </c>
      <c r="AQ2647">
        <f>IF($E2647="","",IF($AA2647="Yes",1,0))</f>
        <v/>
      </c>
      <c r="AR2647">
        <f>IF($AN2647=1,IFERROR(VALUE(MID($E2647,2,20)),1000000000)+ROW()/100000,"")</f>
        <v/>
      </c>
    </row>
    <row r="2648">
      <c r="G2648" s="11" t="n"/>
      <c r="Q2648" s="7">
        <f>IF($E2648="","",P2648*Y2648/100)</f>
        <v/>
      </c>
      <c r="R2648" s="7" t="n"/>
      <c r="X2648" s="7" t="n"/>
      <c r="Y2648" s="7" t="n"/>
      <c r="AB2648">
        <f>IF($E2648="","",IF($AQ2648=1,0,IF($AP2648=1,Settings!$C$6,Settings!$C$7))*100)</f>
        <v/>
      </c>
      <c r="AC2648" s="7">
        <f>IF($E2648="","",Y2648*AB2648/100)</f>
        <v/>
      </c>
      <c r="AD2648" s="7">
        <f>IF($E2648="","",Y2648-AC2648)</f>
        <v/>
      </c>
      <c r="AE2648" s="7">
        <f>IF($E2648="","",AD2648-Q2648)</f>
        <v/>
      </c>
      <c r="AI2648" s="7" t="n"/>
      <c r="AL2648" s="11" t="n"/>
      <c r="AN2648">
        <f>IF($E2648="","",IF(COUNTIF($E$2:$E2648,$E2648)=1,1,0))</f>
        <v/>
      </c>
      <c r="AO2648">
        <f>IF($AN2648=1,SUMPRODUCT(--($AR$2:$AR$4001&lt;$AR2648))+1,"")</f>
        <v/>
      </c>
      <c r="AP2648">
        <f>IF($E2648="","",IF(OR($U2648=TRUE(),$U2648="TRUE"),1,0))</f>
        <v/>
      </c>
      <c r="AQ2648">
        <f>IF($E2648="","",IF($AA2648="Yes",1,0))</f>
        <v/>
      </c>
      <c r="AR2648">
        <f>IF($AN2648=1,IFERROR(VALUE(MID($E2648,2,20)),1000000000)+ROW()/100000,"")</f>
        <v/>
      </c>
    </row>
    <row r="2649">
      <c r="G2649" s="11" t="n"/>
      <c r="Q2649" s="7">
        <f>IF($E2649="","",P2649*Y2649/100)</f>
        <v/>
      </c>
      <c r="R2649" s="7" t="n"/>
      <c r="X2649" s="7" t="n"/>
      <c r="Y2649" s="7" t="n"/>
      <c r="AB2649">
        <f>IF($E2649="","",IF($AQ2649=1,0,IF($AP2649=1,Settings!$C$6,Settings!$C$7))*100)</f>
        <v/>
      </c>
      <c r="AC2649" s="7">
        <f>IF($E2649="","",Y2649*AB2649/100)</f>
        <v/>
      </c>
      <c r="AD2649" s="7">
        <f>IF($E2649="","",Y2649-AC2649)</f>
        <v/>
      </c>
      <c r="AE2649" s="7">
        <f>IF($E2649="","",AD2649-Q2649)</f>
        <v/>
      </c>
      <c r="AI2649" s="7" t="n"/>
      <c r="AL2649" s="11" t="n"/>
      <c r="AN2649">
        <f>IF($E2649="","",IF(COUNTIF($E$2:$E2649,$E2649)=1,1,0))</f>
        <v/>
      </c>
      <c r="AO2649">
        <f>IF($AN2649=1,SUMPRODUCT(--($AR$2:$AR$4001&lt;$AR2649))+1,"")</f>
        <v/>
      </c>
      <c r="AP2649">
        <f>IF($E2649="","",IF(OR($U2649=TRUE(),$U2649="TRUE"),1,0))</f>
        <v/>
      </c>
      <c r="AQ2649">
        <f>IF($E2649="","",IF($AA2649="Yes",1,0))</f>
        <v/>
      </c>
      <c r="AR2649">
        <f>IF($AN2649=1,IFERROR(VALUE(MID($E2649,2,20)),1000000000)+ROW()/100000,"")</f>
        <v/>
      </c>
    </row>
    <row r="2650">
      <c r="G2650" s="11" t="n"/>
      <c r="Q2650" s="7">
        <f>IF($E2650="","",P2650*Y2650/100)</f>
        <v/>
      </c>
      <c r="R2650" s="7" t="n"/>
      <c r="X2650" s="7" t="n"/>
      <c r="Y2650" s="7" t="n"/>
      <c r="AB2650">
        <f>IF($E2650="","",IF($AQ2650=1,0,IF($AP2650=1,Settings!$C$6,Settings!$C$7))*100)</f>
        <v/>
      </c>
      <c r="AC2650" s="7">
        <f>IF($E2650="","",Y2650*AB2650/100)</f>
        <v/>
      </c>
      <c r="AD2650" s="7">
        <f>IF($E2650="","",Y2650-AC2650)</f>
        <v/>
      </c>
      <c r="AE2650" s="7">
        <f>IF($E2650="","",AD2650-Q2650)</f>
        <v/>
      </c>
      <c r="AI2650" s="7" t="n"/>
      <c r="AL2650" s="11" t="n"/>
      <c r="AN2650">
        <f>IF($E2650="","",IF(COUNTIF($E$2:$E2650,$E2650)=1,1,0))</f>
        <v/>
      </c>
      <c r="AO2650">
        <f>IF($AN2650=1,SUMPRODUCT(--($AR$2:$AR$4001&lt;$AR2650))+1,"")</f>
        <v/>
      </c>
      <c r="AP2650">
        <f>IF($E2650="","",IF(OR($U2650=TRUE(),$U2650="TRUE"),1,0))</f>
        <v/>
      </c>
      <c r="AQ2650">
        <f>IF($E2650="","",IF($AA2650="Yes",1,0))</f>
        <v/>
      </c>
      <c r="AR2650">
        <f>IF($AN2650=1,IFERROR(VALUE(MID($E2650,2,20)),1000000000)+ROW()/100000,"")</f>
        <v/>
      </c>
    </row>
    <row r="2651">
      <c r="G2651" s="11" t="n"/>
      <c r="Q2651" s="7">
        <f>IF($E2651="","",P2651*Y2651/100)</f>
        <v/>
      </c>
      <c r="R2651" s="7" t="n"/>
      <c r="X2651" s="7" t="n"/>
      <c r="Y2651" s="7" t="n"/>
      <c r="AB2651">
        <f>IF($E2651="","",IF($AQ2651=1,0,IF($AP2651=1,Settings!$C$6,Settings!$C$7))*100)</f>
        <v/>
      </c>
      <c r="AC2651" s="7">
        <f>IF($E2651="","",Y2651*AB2651/100)</f>
        <v/>
      </c>
      <c r="AD2651" s="7">
        <f>IF($E2651="","",Y2651-AC2651)</f>
        <v/>
      </c>
      <c r="AE2651" s="7">
        <f>IF($E2651="","",AD2651-Q2651)</f>
        <v/>
      </c>
      <c r="AI2651" s="7" t="n"/>
      <c r="AL2651" s="11" t="n"/>
      <c r="AN2651">
        <f>IF($E2651="","",IF(COUNTIF($E$2:$E2651,$E2651)=1,1,0))</f>
        <v/>
      </c>
      <c r="AO2651">
        <f>IF($AN2651=1,SUMPRODUCT(--($AR$2:$AR$4001&lt;$AR2651))+1,"")</f>
        <v/>
      </c>
      <c r="AP2651">
        <f>IF($E2651="","",IF(OR($U2651=TRUE(),$U2651="TRUE"),1,0))</f>
        <v/>
      </c>
      <c r="AQ2651">
        <f>IF($E2651="","",IF($AA2651="Yes",1,0))</f>
        <v/>
      </c>
      <c r="AR2651">
        <f>IF($AN2651=1,IFERROR(VALUE(MID($E2651,2,20)),1000000000)+ROW()/100000,"")</f>
        <v/>
      </c>
    </row>
    <row r="2652">
      <c r="G2652" s="11" t="n"/>
      <c r="Q2652" s="7">
        <f>IF($E2652="","",P2652*Y2652/100)</f>
        <v/>
      </c>
      <c r="R2652" s="7" t="n"/>
      <c r="X2652" s="7" t="n"/>
      <c r="Y2652" s="7" t="n"/>
      <c r="AB2652">
        <f>IF($E2652="","",IF($AQ2652=1,0,IF($AP2652=1,Settings!$C$6,Settings!$C$7))*100)</f>
        <v/>
      </c>
      <c r="AC2652" s="7">
        <f>IF($E2652="","",Y2652*AB2652/100)</f>
        <v/>
      </c>
      <c r="AD2652" s="7">
        <f>IF($E2652="","",Y2652-AC2652)</f>
        <v/>
      </c>
      <c r="AE2652" s="7">
        <f>IF($E2652="","",AD2652-Q2652)</f>
        <v/>
      </c>
      <c r="AI2652" s="7" t="n"/>
      <c r="AL2652" s="11" t="n"/>
      <c r="AN2652">
        <f>IF($E2652="","",IF(COUNTIF($E$2:$E2652,$E2652)=1,1,0))</f>
        <v/>
      </c>
      <c r="AO2652">
        <f>IF($AN2652=1,SUMPRODUCT(--($AR$2:$AR$4001&lt;$AR2652))+1,"")</f>
        <v/>
      </c>
      <c r="AP2652">
        <f>IF($E2652="","",IF(OR($U2652=TRUE(),$U2652="TRUE"),1,0))</f>
        <v/>
      </c>
      <c r="AQ2652">
        <f>IF($E2652="","",IF($AA2652="Yes",1,0))</f>
        <v/>
      </c>
      <c r="AR2652">
        <f>IF($AN2652=1,IFERROR(VALUE(MID($E2652,2,20)),1000000000)+ROW()/100000,"")</f>
        <v/>
      </c>
    </row>
    <row r="2653">
      <c r="G2653" s="11" t="n"/>
      <c r="Q2653" s="7">
        <f>IF($E2653="","",P2653*Y2653/100)</f>
        <v/>
      </c>
      <c r="R2653" s="7" t="n"/>
      <c r="X2653" s="7" t="n"/>
      <c r="Y2653" s="7" t="n"/>
      <c r="AB2653">
        <f>IF($E2653="","",IF($AQ2653=1,0,IF($AP2653=1,Settings!$C$6,Settings!$C$7))*100)</f>
        <v/>
      </c>
      <c r="AC2653" s="7">
        <f>IF($E2653="","",Y2653*AB2653/100)</f>
        <v/>
      </c>
      <c r="AD2653" s="7">
        <f>IF($E2653="","",Y2653-AC2653)</f>
        <v/>
      </c>
      <c r="AE2653" s="7">
        <f>IF($E2653="","",AD2653-Q2653)</f>
        <v/>
      </c>
      <c r="AI2653" s="7" t="n"/>
      <c r="AL2653" s="11" t="n"/>
      <c r="AN2653">
        <f>IF($E2653="","",IF(COUNTIF($E$2:$E2653,$E2653)=1,1,0))</f>
        <v/>
      </c>
      <c r="AO2653">
        <f>IF($AN2653=1,SUMPRODUCT(--($AR$2:$AR$4001&lt;$AR2653))+1,"")</f>
        <v/>
      </c>
      <c r="AP2653">
        <f>IF($E2653="","",IF(OR($U2653=TRUE(),$U2653="TRUE"),1,0))</f>
        <v/>
      </c>
      <c r="AQ2653">
        <f>IF($E2653="","",IF($AA2653="Yes",1,0))</f>
        <v/>
      </c>
      <c r="AR2653">
        <f>IF($AN2653=1,IFERROR(VALUE(MID($E2653,2,20)),1000000000)+ROW()/100000,"")</f>
        <v/>
      </c>
    </row>
    <row r="2654">
      <c r="G2654" s="11" t="n"/>
      <c r="Q2654" s="7">
        <f>IF($E2654="","",P2654*Y2654/100)</f>
        <v/>
      </c>
      <c r="R2654" s="7" t="n"/>
      <c r="X2654" s="7" t="n"/>
      <c r="Y2654" s="7" t="n"/>
      <c r="AB2654">
        <f>IF($E2654="","",IF($AQ2654=1,0,IF($AP2654=1,Settings!$C$6,Settings!$C$7))*100)</f>
        <v/>
      </c>
      <c r="AC2654" s="7">
        <f>IF($E2654="","",Y2654*AB2654/100)</f>
        <v/>
      </c>
      <c r="AD2654" s="7">
        <f>IF($E2654="","",Y2654-AC2654)</f>
        <v/>
      </c>
      <c r="AE2654" s="7">
        <f>IF($E2654="","",AD2654-Q2654)</f>
        <v/>
      </c>
      <c r="AI2654" s="7" t="n"/>
      <c r="AL2654" s="11" t="n"/>
      <c r="AN2654">
        <f>IF($E2654="","",IF(COUNTIF($E$2:$E2654,$E2654)=1,1,0))</f>
        <v/>
      </c>
      <c r="AO2654">
        <f>IF($AN2654=1,SUMPRODUCT(--($AR$2:$AR$4001&lt;$AR2654))+1,"")</f>
        <v/>
      </c>
      <c r="AP2654">
        <f>IF($E2654="","",IF(OR($U2654=TRUE(),$U2654="TRUE"),1,0))</f>
        <v/>
      </c>
      <c r="AQ2654">
        <f>IF($E2654="","",IF($AA2654="Yes",1,0))</f>
        <v/>
      </c>
      <c r="AR2654">
        <f>IF($AN2654=1,IFERROR(VALUE(MID($E2654,2,20)),1000000000)+ROW()/100000,"")</f>
        <v/>
      </c>
    </row>
    <row r="2655">
      <c r="G2655" s="11" t="n"/>
      <c r="Q2655" s="7">
        <f>IF($E2655="","",P2655*Y2655/100)</f>
        <v/>
      </c>
      <c r="R2655" s="7" t="n"/>
      <c r="X2655" s="7" t="n"/>
      <c r="Y2655" s="7" t="n"/>
      <c r="AB2655">
        <f>IF($E2655="","",IF($AQ2655=1,0,IF($AP2655=1,Settings!$C$6,Settings!$C$7))*100)</f>
        <v/>
      </c>
      <c r="AC2655" s="7">
        <f>IF($E2655="","",Y2655*AB2655/100)</f>
        <v/>
      </c>
      <c r="AD2655" s="7">
        <f>IF($E2655="","",Y2655-AC2655)</f>
        <v/>
      </c>
      <c r="AE2655" s="7">
        <f>IF($E2655="","",AD2655-Q2655)</f>
        <v/>
      </c>
      <c r="AI2655" s="7" t="n"/>
      <c r="AL2655" s="11" t="n"/>
      <c r="AN2655">
        <f>IF($E2655="","",IF(COUNTIF($E$2:$E2655,$E2655)=1,1,0))</f>
        <v/>
      </c>
      <c r="AO2655">
        <f>IF($AN2655=1,SUMPRODUCT(--($AR$2:$AR$4001&lt;$AR2655))+1,"")</f>
        <v/>
      </c>
      <c r="AP2655">
        <f>IF($E2655="","",IF(OR($U2655=TRUE(),$U2655="TRUE"),1,0))</f>
        <v/>
      </c>
      <c r="AQ2655">
        <f>IF($E2655="","",IF($AA2655="Yes",1,0))</f>
        <v/>
      </c>
      <c r="AR2655">
        <f>IF($AN2655=1,IFERROR(VALUE(MID($E2655,2,20)),1000000000)+ROW()/100000,"")</f>
        <v/>
      </c>
    </row>
    <row r="2656">
      <c r="G2656" s="11" t="n"/>
      <c r="Q2656" s="7">
        <f>IF($E2656="","",P2656*Y2656/100)</f>
        <v/>
      </c>
      <c r="R2656" s="7" t="n"/>
      <c r="X2656" s="7" t="n"/>
      <c r="Y2656" s="7" t="n"/>
      <c r="AB2656">
        <f>IF($E2656="","",IF($AQ2656=1,0,IF($AP2656=1,Settings!$C$6,Settings!$C$7))*100)</f>
        <v/>
      </c>
      <c r="AC2656" s="7">
        <f>IF($E2656="","",Y2656*AB2656/100)</f>
        <v/>
      </c>
      <c r="AD2656" s="7">
        <f>IF($E2656="","",Y2656-AC2656)</f>
        <v/>
      </c>
      <c r="AE2656" s="7">
        <f>IF($E2656="","",AD2656-Q2656)</f>
        <v/>
      </c>
      <c r="AI2656" s="7" t="n"/>
      <c r="AL2656" s="11" t="n"/>
      <c r="AN2656">
        <f>IF($E2656="","",IF(COUNTIF($E$2:$E2656,$E2656)=1,1,0))</f>
        <v/>
      </c>
      <c r="AO2656">
        <f>IF($AN2656=1,SUMPRODUCT(--($AR$2:$AR$4001&lt;$AR2656))+1,"")</f>
        <v/>
      </c>
      <c r="AP2656">
        <f>IF($E2656="","",IF(OR($U2656=TRUE(),$U2656="TRUE"),1,0))</f>
        <v/>
      </c>
      <c r="AQ2656">
        <f>IF($E2656="","",IF($AA2656="Yes",1,0))</f>
        <v/>
      </c>
      <c r="AR2656">
        <f>IF($AN2656=1,IFERROR(VALUE(MID($E2656,2,20)),1000000000)+ROW()/100000,"")</f>
        <v/>
      </c>
    </row>
    <row r="2657">
      <c r="G2657" s="11" t="n"/>
      <c r="Q2657" s="7">
        <f>IF($E2657="","",P2657*Y2657/100)</f>
        <v/>
      </c>
      <c r="R2657" s="7" t="n"/>
      <c r="X2657" s="7" t="n"/>
      <c r="Y2657" s="7" t="n"/>
      <c r="AB2657">
        <f>IF($E2657="","",IF($AQ2657=1,0,IF($AP2657=1,Settings!$C$6,Settings!$C$7))*100)</f>
        <v/>
      </c>
      <c r="AC2657" s="7">
        <f>IF($E2657="","",Y2657*AB2657/100)</f>
        <v/>
      </c>
      <c r="AD2657" s="7">
        <f>IF($E2657="","",Y2657-AC2657)</f>
        <v/>
      </c>
      <c r="AE2657" s="7">
        <f>IF($E2657="","",AD2657-Q2657)</f>
        <v/>
      </c>
      <c r="AI2657" s="7" t="n"/>
      <c r="AL2657" s="11" t="n"/>
      <c r="AN2657">
        <f>IF($E2657="","",IF(COUNTIF($E$2:$E2657,$E2657)=1,1,0))</f>
        <v/>
      </c>
      <c r="AO2657">
        <f>IF($AN2657=1,SUMPRODUCT(--($AR$2:$AR$4001&lt;$AR2657))+1,"")</f>
        <v/>
      </c>
      <c r="AP2657">
        <f>IF($E2657="","",IF(OR($U2657=TRUE(),$U2657="TRUE"),1,0))</f>
        <v/>
      </c>
      <c r="AQ2657">
        <f>IF($E2657="","",IF($AA2657="Yes",1,0))</f>
        <v/>
      </c>
      <c r="AR2657">
        <f>IF($AN2657=1,IFERROR(VALUE(MID($E2657,2,20)),1000000000)+ROW()/100000,"")</f>
        <v/>
      </c>
    </row>
    <row r="2658">
      <c r="G2658" s="11" t="n"/>
      <c r="Q2658" s="7">
        <f>IF($E2658="","",P2658*Y2658/100)</f>
        <v/>
      </c>
      <c r="R2658" s="7" t="n"/>
      <c r="X2658" s="7" t="n"/>
      <c r="Y2658" s="7" t="n"/>
      <c r="AB2658">
        <f>IF($E2658="","",IF($AQ2658=1,0,IF($AP2658=1,Settings!$C$6,Settings!$C$7))*100)</f>
        <v/>
      </c>
      <c r="AC2658" s="7">
        <f>IF($E2658="","",Y2658*AB2658/100)</f>
        <v/>
      </c>
      <c r="AD2658" s="7">
        <f>IF($E2658="","",Y2658-AC2658)</f>
        <v/>
      </c>
      <c r="AE2658" s="7">
        <f>IF($E2658="","",AD2658-Q2658)</f>
        <v/>
      </c>
      <c r="AI2658" s="7" t="n"/>
      <c r="AL2658" s="11" t="n"/>
      <c r="AN2658">
        <f>IF($E2658="","",IF(COUNTIF($E$2:$E2658,$E2658)=1,1,0))</f>
        <v/>
      </c>
      <c r="AO2658">
        <f>IF($AN2658=1,SUMPRODUCT(--($AR$2:$AR$4001&lt;$AR2658))+1,"")</f>
        <v/>
      </c>
      <c r="AP2658">
        <f>IF($E2658="","",IF(OR($U2658=TRUE(),$U2658="TRUE"),1,0))</f>
        <v/>
      </c>
      <c r="AQ2658">
        <f>IF($E2658="","",IF($AA2658="Yes",1,0))</f>
        <v/>
      </c>
      <c r="AR2658">
        <f>IF($AN2658=1,IFERROR(VALUE(MID($E2658,2,20)),1000000000)+ROW()/100000,"")</f>
        <v/>
      </c>
    </row>
    <row r="2659">
      <c r="G2659" s="11" t="n"/>
      <c r="Q2659" s="7">
        <f>IF($E2659="","",P2659*Y2659/100)</f>
        <v/>
      </c>
      <c r="R2659" s="7" t="n"/>
      <c r="X2659" s="7" t="n"/>
      <c r="Y2659" s="7" t="n"/>
      <c r="AB2659">
        <f>IF($E2659="","",IF($AQ2659=1,0,IF($AP2659=1,Settings!$C$6,Settings!$C$7))*100)</f>
        <v/>
      </c>
      <c r="AC2659" s="7">
        <f>IF($E2659="","",Y2659*AB2659/100)</f>
        <v/>
      </c>
      <c r="AD2659" s="7">
        <f>IF($E2659="","",Y2659-AC2659)</f>
        <v/>
      </c>
      <c r="AE2659" s="7">
        <f>IF($E2659="","",AD2659-Q2659)</f>
        <v/>
      </c>
      <c r="AI2659" s="7" t="n"/>
      <c r="AL2659" s="11" t="n"/>
      <c r="AN2659">
        <f>IF($E2659="","",IF(COUNTIF($E$2:$E2659,$E2659)=1,1,0))</f>
        <v/>
      </c>
      <c r="AO2659">
        <f>IF($AN2659=1,SUMPRODUCT(--($AR$2:$AR$4001&lt;$AR2659))+1,"")</f>
        <v/>
      </c>
      <c r="AP2659">
        <f>IF($E2659="","",IF(OR($U2659=TRUE(),$U2659="TRUE"),1,0))</f>
        <v/>
      </c>
      <c r="AQ2659">
        <f>IF($E2659="","",IF($AA2659="Yes",1,0))</f>
        <v/>
      </c>
      <c r="AR2659">
        <f>IF($AN2659=1,IFERROR(VALUE(MID($E2659,2,20)),1000000000)+ROW()/100000,"")</f>
        <v/>
      </c>
    </row>
    <row r="2660">
      <c r="G2660" s="11" t="n"/>
      <c r="Q2660" s="7">
        <f>IF($E2660="","",P2660*Y2660/100)</f>
        <v/>
      </c>
      <c r="R2660" s="7" t="n"/>
      <c r="X2660" s="7" t="n"/>
      <c r="Y2660" s="7" t="n"/>
      <c r="AB2660">
        <f>IF($E2660="","",IF($AQ2660=1,0,IF($AP2660=1,Settings!$C$6,Settings!$C$7))*100)</f>
        <v/>
      </c>
      <c r="AC2660" s="7">
        <f>IF($E2660="","",Y2660*AB2660/100)</f>
        <v/>
      </c>
      <c r="AD2660" s="7">
        <f>IF($E2660="","",Y2660-AC2660)</f>
        <v/>
      </c>
      <c r="AE2660" s="7">
        <f>IF($E2660="","",AD2660-Q2660)</f>
        <v/>
      </c>
      <c r="AI2660" s="7" t="n"/>
      <c r="AL2660" s="11" t="n"/>
      <c r="AN2660">
        <f>IF($E2660="","",IF(COUNTIF($E$2:$E2660,$E2660)=1,1,0))</f>
        <v/>
      </c>
      <c r="AO2660">
        <f>IF($AN2660=1,SUMPRODUCT(--($AR$2:$AR$4001&lt;$AR2660))+1,"")</f>
        <v/>
      </c>
      <c r="AP2660">
        <f>IF($E2660="","",IF(OR($U2660=TRUE(),$U2660="TRUE"),1,0))</f>
        <v/>
      </c>
      <c r="AQ2660">
        <f>IF($E2660="","",IF($AA2660="Yes",1,0))</f>
        <v/>
      </c>
      <c r="AR2660">
        <f>IF($AN2660=1,IFERROR(VALUE(MID($E2660,2,20)),1000000000)+ROW()/100000,"")</f>
        <v/>
      </c>
    </row>
    <row r="2661">
      <c r="G2661" s="11" t="n"/>
      <c r="Q2661" s="7">
        <f>IF($E2661="","",P2661*Y2661/100)</f>
        <v/>
      </c>
      <c r="R2661" s="7" t="n"/>
      <c r="X2661" s="7" t="n"/>
      <c r="Y2661" s="7" t="n"/>
      <c r="AB2661">
        <f>IF($E2661="","",IF($AQ2661=1,0,IF($AP2661=1,Settings!$C$6,Settings!$C$7))*100)</f>
        <v/>
      </c>
      <c r="AC2661" s="7">
        <f>IF($E2661="","",Y2661*AB2661/100)</f>
        <v/>
      </c>
      <c r="AD2661" s="7">
        <f>IF($E2661="","",Y2661-AC2661)</f>
        <v/>
      </c>
      <c r="AE2661" s="7">
        <f>IF($E2661="","",AD2661-Q2661)</f>
        <v/>
      </c>
      <c r="AI2661" s="7" t="n"/>
      <c r="AL2661" s="11" t="n"/>
      <c r="AN2661">
        <f>IF($E2661="","",IF(COUNTIF($E$2:$E2661,$E2661)=1,1,0))</f>
        <v/>
      </c>
      <c r="AO2661">
        <f>IF($AN2661=1,SUMPRODUCT(--($AR$2:$AR$4001&lt;$AR2661))+1,"")</f>
        <v/>
      </c>
      <c r="AP2661">
        <f>IF($E2661="","",IF(OR($U2661=TRUE(),$U2661="TRUE"),1,0))</f>
        <v/>
      </c>
      <c r="AQ2661">
        <f>IF($E2661="","",IF($AA2661="Yes",1,0))</f>
        <v/>
      </c>
      <c r="AR2661">
        <f>IF($AN2661=1,IFERROR(VALUE(MID($E2661,2,20)),1000000000)+ROW()/100000,"")</f>
        <v/>
      </c>
    </row>
    <row r="2662">
      <c r="G2662" s="11" t="n"/>
      <c r="Q2662" s="7">
        <f>IF($E2662="","",P2662*Y2662/100)</f>
        <v/>
      </c>
      <c r="R2662" s="7" t="n"/>
      <c r="X2662" s="7" t="n"/>
      <c r="Y2662" s="7" t="n"/>
      <c r="AB2662">
        <f>IF($E2662="","",IF($AQ2662=1,0,IF($AP2662=1,Settings!$C$6,Settings!$C$7))*100)</f>
        <v/>
      </c>
      <c r="AC2662" s="7">
        <f>IF($E2662="","",Y2662*AB2662/100)</f>
        <v/>
      </c>
      <c r="AD2662" s="7">
        <f>IF($E2662="","",Y2662-AC2662)</f>
        <v/>
      </c>
      <c r="AE2662" s="7">
        <f>IF($E2662="","",AD2662-Q2662)</f>
        <v/>
      </c>
      <c r="AI2662" s="7" t="n"/>
      <c r="AL2662" s="11" t="n"/>
      <c r="AN2662">
        <f>IF($E2662="","",IF(COUNTIF($E$2:$E2662,$E2662)=1,1,0))</f>
        <v/>
      </c>
      <c r="AO2662">
        <f>IF($AN2662=1,SUMPRODUCT(--($AR$2:$AR$4001&lt;$AR2662))+1,"")</f>
        <v/>
      </c>
      <c r="AP2662">
        <f>IF($E2662="","",IF(OR($U2662=TRUE(),$U2662="TRUE"),1,0))</f>
        <v/>
      </c>
      <c r="AQ2662">
        <f>IF($E2662="","",IF($AA2662="Yes",1,0))</f>
        <v/>
      </c>
      <c r="AR2662">
        <f>IF($AN2662=1,IFERROR(VALUE(MID($E2662,2,20)),1000000000)+ROW()/100000,"")</f>
        <v/>
      </c>
    </row>
    <row r="2663">
      <c r="G2663" s="11" t="n"/>
      <c r="Q2663" s="7">
        <f>IF($E2663="","",P2663*Y2663/100)</f>
        <v/>
      </c>
      <c r="R2663" s="7" t="n"/>
      <c r="X2663" s="7" t="n"/>
      <c r="Y2663" s="7" t="n"/>
      <c r="AB2663">
        <f>IF($E2663="","",IF($AQ2663=1,0,IF($AP2663=1,Settings!$C$6,Settings!$C$7))*100)</f>
        <v/>
      </c>
      <c r="AC2663" s="7">
        <f>IF($E2663="","",Y2663*AB2663/100)</f>
        <v/>
      </c>
      <c r="AD2663" s="7">
        <f>IF($E2663="","",Y2663-AC2663)</f>
        <v/>
      </c>
      <c r="AE2663" s="7">
        <f>IF($E2663="","",AD2663-Q2663)</f>
        <v/>
      </c>
      <c r="AI2663" s="7" t="n"/>
      <c r="AL2663" s="11" t="n"/>
      <c r="AN2663">
        <f>IF($E2663="","",IF(COUNTIF($E$2:$E2663,$E2663)=1,1,0))</f>
        <v/>
      </c>
      <c r="AO2663">
        <f>IF($AN2663=1,SUMPRODUCT(--($AR$2:$AR$4001&lt;$AR2663))+1,"")</f>
        <v/>
      </c>
      <c r="AP2663">
        <f>IF($E2663="","",IF(OR($U2663=TRUE(),$U2663="TRUE"),1,0))</f>
        <v/>
      </c>
      <c r="AQ2663">
        <f>IF($E2663="","",IF($AA2663="Yes",1,0))</f>
        <v/>
      </c>
      <c r="AR2663">
        <f>IF($AN2663=1,IFERROR(VALUE(MID($E2663,2,20)),1000000000)+ROW()/100000,"")</f>
        <v/>
      </c>
    </row>
    <row r="2664">
      <c r="G2664" s="11" t="n"/>
      <c r="Q2664" s="7">
        <f>IF($E2664="","",P2664*Y2664/100)</f>
        <v/>
      </c>
      <c r="R2664" s="7" t="n"/>
      <c r="X2664" s="7" t="n"/>
      <c r="Y2664" s="7" t="n"/>
      <c r="AB2664">
        <f>IF($E2664="","",IF($AQ2664=1,0,IF($AP2664=1,Settings!$C$6,Settings!$C$7))*100)</f>
        <v/>
      </c>
      <c r="AC2664" s="7">
        <f>IF($E2664="","",Y2664*AB2664/100)</f>
        <v/>
      </c>
      <c r="AD2664" s="7">
        <f>IF($E2664="","",Y2664-AC2664)</f>
        <v/>
      </c>
      <c r="AE2664" s="7">
        <f>IF($E2664="","",AD2664-Q2664)</f>
        <v/>
      </c>
      <c r="AI2664" s="7" t="n"/>
      <c r="AL2664" s="11" t="n"/>
      <c r="AN2664">
        <f>IF($E2664="","",IF(COUNTIF($E$2:$E2664,$E2664)=1,1,0))</f>
        <v/>
      </c>
      <c r="AO2664">
        <f>IF($AN2664=1,SUMPRODUCT(--($AR$2:$AR$4001&lt;$AR2664))+1,"")</f>
        <v/>
      </c>
      <c r="AP2664">
        <f>IF($E2664="","",IF(OR($U2664=TRUE(),$U2664="TRUE"),1,0))</f>
        <v/>
      </c>
      <c r="AQ2664">
        <f>IF($E2664="","",IF($AA2664="Yes",1,0))</f>
        <v/>
      </c>
      <c r="AR2664">
        <f>IF($AN2664=1,IFERROR(VALUE(MID($E2664,2,20)),1000000000)+ROW()/100000,"")</f>
        <v/>
      </c>
    </row>
    <row r="2665">
      <c r="G2665" s="11" t="n"/>
      <c r="Q2665" s="7">
        <f>IF($E2665="","",P2665*Y2665/100)</f>
        <v/>
      </c>
      <c r="R2665" s="7" t="n"/>
      <c r="X2665" s="7" t="n"/>
      <c r="Y2665" s="7" t="n"/>
      <c r="AB2665">
        <f>IF($E2665="","",IF($AQ2665=1,0,IF($AP2665=1,Settings!$C$6,Settings!$C$7))*100)</f>
        <v/>
      </c>
      <c r="AC2665" s="7">
        <f>IF($E2665="","",Y2665*AB2665/100)</f>
        <v/>
      </c>
      <c r="AD2665" s="7">
        <f>IF($E2665="","",Y2665-AC2665)</f>
        <v/>
      </c>
      <c r="AE2665" s="7">
        <f>IF($E2665="","",AD2665-Q2665)</f>
        <v/>
      </c>
      <c r="AI2665" s="7" t="n"/>
      <c r="AL2665" s="11" t="n"/>
      <c r="AN2665">
        <f>IF($E2665="","",IF(COUNTIF($E$2:$E2665,$E2665)=1,1,0))</f>
        <v/>
      </c>
      <c r="AO2665">
        <f>IF($AN2665=1,SUMPRODUCT(--($AR$2:$AR$4001&lt;$AR2665))+1,"")</f>
        <v/>
      </c>
      <c r="AP2665">
        <f>IF($E2665="","",IF(OR($U2665=TRUE(),$U2665="TRUE"),1,0))</f>
        <v/>
      </c>
      <c r="AQ2665">
        <f>IF($E2665="","",IF($AA2665="Yes",1,0))</f>
        <v/>
      </c>
      <c r="AR2665">
        <f>IF($AN2665=1,IFERROR(VALUE(MID($E2665,2,20)),1000000000)+ROW()/100000,"")</f>
        <v/>
      </c>
    </row>
    <row r="2666">
      <c r="G2666" s="11" t="n"/>
      <c r="Q2666" s="7">
        <f>IF($E2666="","",P2666*Y2666/100)</f>
        <v/>
      </c>
      <c r="R2666" s="7" t="n"/>
      <c r="X2666" s="7" t="n"/>
      <c r="Y2666" s="7" t="n"/>
      <c r="AB2666">
        <f>IF($E2666="","",IF($AQ2666=1,0,IF($AP2666=1,Settings!$C$6,Settings!$C$7))*100)</f>
        <v/>
      </c>
      <c r="AC2666" s="7">
        <f>IF($E2666="","",Y2666*AB2666/100)</f>
        <v/>
      </c>
      <c r="AD2666" s="7">
        <f>IF($E2666="","",Y2666-AC2666)</f>
        <v/>
      </c>
      <c r="AE2666" s="7">
        <f>IF($E2666="","",AD2666-Q2666)</f>
        <v/>
      </c>
      <c r="AI2666" s="7" t="n"/>
      <c r="AL2666" s="11" t="n"/>
      <c r="AN2666">
        <f>IF($E2666="","",IF(COUNTIF($E$2:$E2666,$E2666)=1,1,0))</f>
        <v/>
      </c>
      <c r="AO2666">
        <f>IF($AN2666=1,SUMPRODUCT(--($AR$2:$AR$4001&lt;$AR2666))+1,"")</f>
        <v/>
      </c>
      <c r="AP2666">
        <f>IF($E2666="","",IF(OR($U2666=TRUE(),$U2666="TRUE"),1,0))</f>
        <v/>
      </c>
      <c r="AQ2666">
        <f>IF($E2666="","",IF($AA2666="Yes",1,0))</f>
        <v/>
      </c>
      <c r="AR2666">
        <f>IF($AN2666=1,IFERROR(VALUE(MID($E2666,2,20)),1000000000)+ROW()/100000,"")</f>
        <v/>
      </c>
    </row>
    <row r="2667">
      <c r="G2667" s="11" t="n"/>
      <c r="Q2667" s="7">
        <f>IF($E2667="","",P2667*Y2667/100)</f>
        <v/>
      </c>
      <c r="R2667" s="7" t="n"/>
      <c r="X2667" s="7" t="n"/>
      <c r="Y2667" s="7" t="n"/>
      <c r="AB2667">
        <f>IF($E2667="","",IF($AQ2667=1,0,IF($AP2667=1,Settings!$C$6,Settings!$C$7))*100)</f>
        <v/>
      </c>
      <c r="AC2667" s="7">
        <f>IF($E2667="","",Y2667*AB2667/100)</f>
        <v/>
      </c>
      <c r="AD2667" s="7">
        <f>IF($E2667="","",Y2667-AC2667)</f>
        <v/>
      </c>
      <c r="AE2667" s="7">
        <f>IF($E2667="","",AD2667-Q2667)</f>
        <v/>
      </c>
      <c r="AI2667" s="7" t="n"/>
      <c r="AL2667" s="11" t="n"/>
      <c r="AN2667">
        <f>IF($E2667="","",IF(COUNTIF($E$2:$E2667,$E2667)=1,1,0))</f>
        <v/>
      </c>
      <c r="AO2667">
        <f>IF($AN2667=1,SUMPRODUCT(--($AR$2:$AR$4001&lt;$AR2667))+1,"")</f>
        <v/>
      </c>
      <c r="AP2667">
        <f>IF($E2667="","",IF(OR($U2667=TRUE(),$U2667="TRUE"),1,0))</f>
        <v/>
      </c>
      <c r="AQ2667">
        <f>IF($E2667="","",IF($AA2667="Yes",1,0))</f>
        <v/>
      </c>
      <c r="AR2667">
        <f>IF($AN2667=1,IFERROR(VALUE(MID($E2667,2,20)),1000000000)+ROW()/100000,"")</f>
        <v/>
      </c>
    </row>
    <row r="2668">
      <c r="G2668" s="11" t="n"/>
      <c r="Q2668" s="7">
        <f>IF($E2668="","",P2668*Y2668/100)</f>
        <v/>
      </c>
      <c r="R2668" s="7" t="n"/>
      <c r="X2668" s="7" t="n"/>
      <c r="Y2668" s="7" t="n"/>
      <c r="AB2668">
        <f>IF($E2668="","",IF($AQ2668=1,0,IF($AP2668=1,Settings!$C$6,Settings!$C$7))*100)</f>
        <v/>
      </c>
      <c r="AC2668" s="7">
        <f>IF($E2668="","",Y2668*AB2668/100)</f>
        <v/>
      </c>
      <c r="AD2668" s="7">
        <f>IF($E2668="","",Y2668-AC2668)</f>
        <v/>
      </c>
      <c r="AE2668" s="7">
        <f>IF($E2668="","",AD2668-Q2668)</f>
        <v/>
      </c>
      <c r="AI2668" s="7" t="n"/>
      <c r="AL2668" s="11" t="n"/>
      <c r="AN2668">
        <f>IF($E2668="","",IF(COUNTIF($E$2:$E2668,$E2668)=1,1,0))</f>
        <v/>
      </c>
      <c r="AO2668">
        <f>IF($AN2668=1,SUMPRODUCT(--($AR$2:$AR$4001&lt;$AR2668))+1,"")</f>
        <v/>
      </c>
      <c r="AP2668">
        <f>IF($E2668="","",IF(OR($U2668=TRUE(),$U2668="TRUE"),1,0))</f>
        <v/>
      </c>
      <c r="AQ2668">
        <f>IF($E2668="","",IF($AA2668="Yes",1,0))</f>
        <v/>
      </c>
      <c r="AR2668">
        <f>IF($AN2668=1,IFERROR(VALUE(MID($E2668,2,20)),1000000000)+ROW()/100000,"")</f>
        <v/>
      </c>
    </row>
    <row r="2669">
      <c r="G2669" s="11" t="n"/>
      <c r="Q2669" s="7">
        <f>IF($E2669="","",P2669*Y2669/100)</f>
        <v/>
      </c>
      <c r="R2669" s="7" t="n"/>
      <c r="X2669" s="7" t="n"/>
      <c r="Y2669" s="7" t="n"/>
      <c r="AB2669">
        <f>IF($E2669="","",IF($AQ2669=1,0,IF($AP2669=1,Settings!$C$6,Settings!$C$7))*100)</f>
        <v/>
      </c>
      <c r="AC2669" s="7">
        <f>IF($E2669="","",Y2669*AB2669/100)</f>
        <v/>
      </c>
      <c r="AD2669" s="7">
        <f>IF($E2669="","",Y2669-AC2669)</f>
        <v/>
      </c>
      <c r="AE2669" s="7">
        <f>IF($E2669="","",AD2669-Q2669)</f>
        <v/>
      </c>
      <c r="AI2669" s="7" t="n"/>
      <c r="AL2669" s="11" t="n"/>
      <c r="AN2669">
        <f>IF($E2669="","",IF(COUNTIF($E$2:$E2669,$E2669)=1,1,0))</f>
        <v/>
      </c>
      <c r="AO2669">
        <f>IF($AN2669=1,SUMPRODUCT(--($AR$2:$AR$4001&lt;$AR2669))+1,"")</f>
        <v/>
      </c>
      <c r="AP2669">
        <f>IF($E2669="","",IF(OR($U2669=TRUE(),$U2669="TRUE"),1,0))</f>
        <v/>
      </c>
      <c r="AQ2669">
        <f>IF($E2669="","",IF($AA2669="Yes",1,0))</f>
        <v/>
      </c>
      <c r="AR2669">
        <f>IF($AN2669=1,IFERROR(VALUE(MID($E2669,2,20)),1000000000)+ROW()/100000,"")</f>
        <v/>
      </c>
    </row>
    <row r="2670">
      <c r="G2670" s="11" t="n"/>
      <c r="Q2670" s="7">
        <f>IF($E2670="","",P2670*Y2670/100)</f>
        <v/>
      </c>
      <c r="R2670" s="7" t="n"/>
      <c r="X2670" s="7" t="n"/>
      <c r="Y2670" s="7" t="n"/>
      <c r="AB2670">
        <f>IF($E2670="","",IF($AQ2670=1,0,IF($AP2670=1,Settings!$C$6,Settings!$C$7))*100)</f>
        <v/>
      </c>
      <c r="AC2670" s="7">
        <f>IF($E2670="","",Y2670*AB2670/100)</f>
        <v/>
      </c>
      <c r="AD2670" s="7">
        <f>IF($E2670="","",Y2670-AC2670)</f>
        <v/>
      </c>
      <c r="AE2670" s="7">
        <f>IF($E2670="","",AD2670-Q2670)</f>
        <v/>
      </c>
      <c r="AI2670" s="7" t="n"/>
      <c r="AL2670" s="11" t="n"/>
      <c r="AN2670">
        <f>IF($E2670="","",IF(COUNTIF($E$2:$E2670,$E2670)=1,1,0))</f>
        <v/>
      </c>
      <c r="AO2670">
        <f>IF($AN2670=1,SUMPRODUCT(--($AR$2:$AR$4001&lt;$AR2670))+1,"")</f>
        <v/>
      </c>
      <c r="AP2670">
        <f>IF($E2670="","",IF(OR($U2670=TRUE(),$U2670="TRUE"),1,0))</f>
        <v/>
      </c>
      <c r="AQ2670">
        <f>IF($E2670="","",IF($AA2670="Yes",1,0))</f>
        <v/>
      </c>
      <c r="AR2670">
        <f>IF($AN2670=1,IFERROR(VALUE(MID($E2670,2,20)),1000000000)+ROW()/100000,"")</f>
        <v/>
      </c>
    </row>
    <row r="2671">
      <c r="G2671" s="11" t="n"/>
      <c r="Q2671" s="7">
        <f>IF($E2671="","",P2671*Y2671/100)</f>
        <v/>
      </c>
      <c r="R2671" s="7" t="n"/>
      <c r="X2671" s="7" t="n"/>
      <c r="Y2671" s="7" t="n"/>
      <c r="AB2671">
        <f>IF($E2671="","",IF($AQ2671=1,0,IF($AP2671=1,Settings!$C$6,Settings!$C$7))*100)</f>
        <v/>
      </c>
      <c r="AC2671" s="7">
        <f>IF($E2671="","",Y2671*AB2671/100)</f>
        <v/>
      </c>
      <c r="AD2671" s="7">
        <f>IF($E2671="","",Y2671-AC2671)</f>
        <v/>
      </c>
      <c r="AE2671" s="7">
        <f>IF($E2671="","",AD2671-Q2671)</f>
        <v/>
      </c>
      <c r="AI2671" s="7" t="n"/>
      <c r="AL2671" s="11" t="n"/>
      <c r="AN2671">
        <f>IF($E2671="","",IF(COUNTIF($E$2:$E2671,$E2671)=1,1,0))</f>
        <v/>
      </c>
      <c r="AO2671">
        <f>IF($AN2671=1,SUMPRODUCT(--($AR$2:$AR$4001&lt;$AR2671))+1,"")</f>
        <v/>
      </c>
      <c r="AP2671">
        <f>IF($E2671="","",IF(OR($U2671=TRUE(),$U2671="TRUE"),1,0))</f>
        <v/>
      </c>
      <c r="AQ2671">
        <f>IF($E2671="","",IF($AA2671="Yes",1,0))</f>
        <v/>
      </c>
      <c r="AR2671">
        <f>IF($AN2671=1,IFERROR(VALUE(MID($E2671,2,20)),1000000000)+ROW()/100000,"")</f>
        <v/>
      </c>
    </row>
    <row r="2672">
      <c r="G2672" s="11" t="n"/>
      <c r="Q2672" s="7">
        <f>IF($E2672="","",P2672*Y2672/100)</f>
        <v/>
      </c>
      <c r="R2672" s="7" t="n"/>
      <c r="X2672" s="7" t="n"/>
      <c r="Y2672" s="7" t="n"/>
      <c r="AB2672">
        <f>IF($E2672="","",IF($AQ2672=1,0,IF($AP2672=1,Settings!$C$6,Settings!$C$7))*100)</f>
        <v/>
      </c>
      <c r="AC2672" s="7">
        <f>IF($E2672="","",Y2672*AB2672/100)</f>
        <v/>
      </c>
      <c r="AD2672" s="7">
        <f>IF($E2672="","",Y2672-AC2672)</f>
        <v/>
      </c>
      <c r="AE2672" s="7">
        <f>IF($E2672="","",AD2672-Q2672)</f>
        <v/>
      </c>
      <c r="AI2672" s="7" t="n"/>
      <c r="AL2672" s="11" t="n"/>
      <c r="AN2672">
        <f>IF($E2672="","",IF(COUNTIF($E$2:$E2672,$E2672)=1,1,0))</f>
        <v/>
      </c>
      <c r="AO2672">
        <f>IF($AN2672=1,SUMPRODUCT(--($AR$2:$AR$4001&lt;$AR2672))+1,"")</f>
        <v/>
      </c>
      <c r="AP2672">
        <f>IF($E2672="","",IF(OR($U2672=TRUE(),$U2672="TRUE"),1,0))</f>
        <v/>
      </c>
      <c r="AQ2672">
        <f>IF($E2672="","",IF($AA2672="Yes",1,0))</f>
        <v/>
      </c>
      <c r="AR2672">
        <f>IF($AN2672=1,IFERROR(VALUE(MID($E2672,2,20)),1000000000)+ROW()/100000,"")</f>
        <v/>
      </c>
    </row>
    <row r="2673">
      <c r="G2673" s="11" t="n"/>
      <c r="Q2673" s="7">
        <f>IF($E2673="","",P2673*Y2673/100)</f>
        <v/>
      </c>
      <c r="R2673" s="7" t="n"/>
      <c r="X2673" s="7" t="n"/>
      <c r="Y2673" s="7" t="n"/>
      <c r="AB2673">
        <f>IF($E2673="","",IF($AQ2673=1,0,IF($AP2673=1,Settings!$C$6,Settings!$C$7))*100)</f>
        <v/>
      </c>
      <c r="AC2673" s="7">
        <f>IF($E2673="","",Y2673*AB2673/100)</f>
        <v/>
      </c>
      <c r="AD2673" s="7">
        <f>IF($E2673="","",Y2673-AC2673)</f>
        <v/>
      </c>
      <c r="AE2673" s="7">
        <f>IF($E2673="","",AD2673-Q2673)</f>
        <v/>
      </c>
      <c r="AI2673" s="7" t="n"/>
      <c r="AL2673" s="11" t="n"/>
      <c r="AN2673">
        <f>IF($E2673="","",IF(COUNTIF($E$2:$E2673,$E2673)=1,1,0))</f>
        <v/>
      </c>
      <c r="AO2673">
        <f>IF($AN2673=1,SUMPRODUCT(--($AR$2:$AR$4001&lt;$AR2673))+1,"")</f>
        <v/>
      </c>
      <c r="AP2673">
        <f>IF($E2673="","",IF(OR($U2673=TRUE(),$U2673="TRUE"),1,0))</f>
        <v/>
      </c>
      <c r="AQ2673">
        <f>IF($E2673="","",IF($AA2673="Yes",1,0))</f>
        <v/>
      </c>
      <c r="AR2673">
        <f>IF($AN2673=1,IFERROR(VALUE(MID($E2673,2,20)),1000000000)+ROW()/100000,"")</f>
        <v/>
      </c>
    </row>
    <row r="2674">
      <c r="G2674" s="11" t="n"/>
      <c r="Q2674" s="7">
        <f>IF($E2674="","",P2674*Y2674/100)</f>
        <v/>
      </c>
      <c r="R2674" s="7" t="n"/>
      <c r="X2674" s="7" t="n"/>
      <c r="Y2674" s="7" t="n"/>
      <c r="AB2674">
        <f>IF($E2674="","",IF($AQ2674=1,0,IF($AP2674=1,Settings!$C$6,Settings!$C$7))*100)</f>
        <v/>
      </c>
      <c r="AC2674" s="7">
        <f>IF($E2674="","",Y2674*AB2674/100)</f>
        <v/>
      </c>
      <c r="AD2674" s="7">
        <f>IF($E2674="","",Y2674-AC2674)</f>
        <v/>
      </c>
      <c r="AE2674" s="7">
        <f>IF($E2674="","",AD2674-Q2674)</f>
        <v/>
      </c>
      <c r="AI2674" s="7" t="n"/>
      <c r="AL2674" s="11" t="n"/>
      <c r="AN2674">
        <f>IF($E2674="","",IF(COUNTIF($E$2:$E2674,$E2674)=1,1,0))</f>
        <v/>
      </c>
      <c r="AO2674">
        <f>IF($AN2674=1,SUMPRODUCT(--($AR$2:$AR$4001&lt;$AR2674))+1,"")</f>
        <v/>
      </c>
      <c r="AP2674">
        <f>IF($E2674="","",IF(OR($U2674=TRUE(),$U2674="TRUE"),1,0))</f>
        <v/>
      </c>
      <c r="AQ2674">
        <f>IF($E2674="","",IF($AA2674="Yes",1,0))</f>
        <v/>
      </c>
      <c r="AR2674">
        <f>IF($AN2674=1,IFERROR(VALUE(MID($E2674,2,20)),1000000000)+ROW()/100000,"")</f>
        <v/>
      </c>
    </row>
    <row r="2675">
      <c r="G2675" s="11" t="n"/>
      <c r="Q2675" s="7">
        <f>IF($E2675="","",P2675*Y2675/100)</f>
        <v/>
      </c>
      <c r="R2675" s="7" t="n"/>
      <c r="X2675" s="7" t="n"/>
      <c r="Y2675" s="7" t="n"/>
      <c r="AB2675">
        <f>IF($E2675="","",IF($AQ2675=1,0,IF($AP2675=1,Settings!$C$6,Settings!$C$7))*100)</f>
        <v/>
      </c>
      <c r="AC2675" s="7">
        <f>IF($E2675="","",Y2675*AB2675/100)</f>
        <v/>
      </c>
      <c r="AD2675" s="7">
        <f>IF($E2675="","",Y2675-AC2675)</f>
        <v/>
      </c>
      <c r="AE2675" s="7">
        <f>IF($E2675="","",AD2675-Q2675)</f>
        <v/>
      </c>
      <c r="AI2675" s="7" t="n"/>
      <c r="AL2675" s="11" t="n"/>
      <c r="AN2675">
        <f>IF($E2675="","",IF(COUNTIF($E$2:$E2675,$E2675)=1,1,0))</f>
        <v/>
      </c>
      <c r="AO2675">
        <f>IF($AN2675=1,SUMPRODUCT(--($AR$2:$AR$4001&lt;$AR2675))+1,"")</f>
        <v/>
      </c>
      <c r="AP2675">
        <f>IF($E2675="","",IF(OR($U2675=TRUE(),$U2675="TRUE"),1,0))</f>
        <v/>
      </c>
      <c r="AQ2675">
        <f>IF($E2675="","",IF($AA2675="Yes",1,0))</f>
        <v/>
      </c>
      <c r="AR2675">
        <f>IF($AN2675=1,IFERROR(VALUE(MID($E2675,2,20)),1000000000)+ROW()/100000,"")</f>
        <v/>
      </c>
    </row>
    <row r="2676">
      <c r="G2676" s="11" t="n"/>
      <c r="Q2676" s="7">
        <f>IF($E2676="","",P2676*Y2676/100)</f>
        <v/>
      </c>
      <c r="R2676" s="7" t="n"/>
      <c r="X2676" s="7" t="n"/>
      <c r="Y2676" s="7" t="n"/>
      <c r="AB2676">
        <f>IF($E2676="","",IF($AQ2676=1,0,IF($AP2676=1,Settings!$C$6,Settings!$C$7))*100)</f>
        <v/>
      </c>
      <c r="AC2676" s="7">
        <f>IF($E2676="","",Y2676*AB2676/100)</f>
        <v/>
      </c>
      <c r="AD2676" s="7">
        <f>IF($E2676="","",Y2676-AC2676)</f>
        <v/>
      </c>
      <c r="AE2676" s="7">
        <f>IF($E2676="","",AD2676-Q2676)</f>
        <v/>
      </c>
      <c r="AI2676" s="7" t="n"/>
      <c r="AL2676" s="11" t="n"/>
      <c r="AN2676">
        <f>IF($E2676="","",IF(COUNTIF($E$2:$E2676,$E2676)=1,1,0))</f>
        <v/>
      </c>
      <c r="AO2676">
        <f>IF($AN2676=1,SUMPRODUCT(--($AR$2:$AR$4001&lt;$AR2676))+1,"")</f>
        <v/>
      </c>
      <c r="AP2676">
        <f>IF($E2676="","",IF(OR($U2676=TRUE(),$U2676="TRUE"),1,0))</f>
        <v/>
      </c>
      <c r="AQ2676">
        <f>IF($E2676="","",IF($AA2676="Yes",1,0))</f>
        <v/>
      </c>
      <c r="AR2676">
        <f>IF($AN2676=1,IFERROR(VALUE(MID($E2676,2,20)),1000000000)+ROW()/100000,"")</f>
        <v/>
      </c>
    </row>
    <row r="2677">
      <c r="G2677" s="11" t="n"/>
      <c r="Q2677" s="7">
        <f>IF($E2677="","",P2677*Y2677/100)</f>
        <v/>
      </c>
      <c r="R2677" s="7" t="n"/>
      <c r="X2677" s="7" t="n"/>
      <c r="Y2677" s="7" t="n"/>
      <c r="AB2677">
        <f>IF($E2677="","",IF($AQ2677=1,0,IF($AP2677=1,Settings!$C$6,Settings!$C$7))*100)</f>
        <v/>
      </c>
      <c r="AC2677" s="7">
        <f>IF($E2677="","",Y2677*AB2677/100)</f>
        <v/>
      </c>
      <c r="AD2677" s="7">
        <f>IF($E2677="","",Y2677-AC2677)</f>
        <v/>
      </c>
      <c r="AE2677" s="7">
        <f>IF($E2677="","",AD2677-Q2677)</f>
        <v/>
      </c>
      <c r="AI2677" s="7" t="n"/>
      <c r="AL2677" s="11" t="n"/>
      <c r="AN2677">
        <f>IF($E2677="","",IF(COUNTIF($E$2:$E2677,$E2677)=1,1,0))</f>
        <v/>
      </c>
      <c r="AO2677">
        <f>IF($AN2677=1,SUMPRODUCT(--($AR$2:$AR$4001&lt;$AR2677))+1,"")</f>
        <v/>
      </c>
      <c r="AP2677">
        <f>IF($E2677="","",IF(OR($U2677=TRUE(),$U2677="TRUE"),1,0))</f>
        <v/>
      </c>
      <c r="AQ2677">
        <f>IF($E2677="","",IF($AA2677="Yes",1,0))</f>
        <v/>
      </c>
      <c r="AR2677">
        <f>IF($AN2677=1,IFERROR(VALUE(MID($E2677,2,20)),1000000000)+ROW()/100000,"")</f>
        <v/>
      </c>
    </row>
    <row r="2678">
      <c r="G2678" s="11" t="n"/>
      <c r="Q2678" s="7">
        <f>IF($E2678="","",P2678*Y2678/100)</f>
        <v/>
      </c>
      <c r="R2678" s="7" t="n"/>
      <c r="X2678" s="7" t="n"/>
      <c r="Y2678" s="7" t="n"/>
      <c r="AB2678">
        <f>IF($E2678="","",IF($AQ2678=1,0,IF($AP2678=1,Settings!$C$6,Settings!$C$7))*100)</f>
        <v/>
      </c>
      <c r="AC2678" s="7">
        <f>IF($E2678="","",Y2678*AB2678/100)</f>
        <v/>
      </c>
      <c r="AD2678" s="7">
        <f>IF($E2678="","",Y2678-AC2678)</f>
        <v/>
      </c>
      <c r="AE2678" s="7">
        <f>IF($E2678="","",AD2678-Q2678)</f>
        <v/>
      </c>
      <c r="AI2678" s="7" t="n"/>
      <c r="AL2678" s="11" t="n"/>
      <c r="AN2678">
        <f>IF($E2678="","",IF(COUNTIF($E$2:$E2678,$E2678)=1,1,0))</f>
        <v/>
      </c>
      <c r="AO2678">
        <f>IF($AN2678=1,SUMPRODUCT(--($AR$2:$AR$4001&lt;$AR2678))+1,"")</f>
        <v/>
      </c>
      <c r="AP2678">
        <f>IF($E2678="","",IF(OR($U2678=TRUE(),$U2678="TRUE"),1,0))</f>
        <v/>
      </c>
      <c r="AQ2678">
        <f>IF($E2678="","",IF($AA2678="Yes",1,0))</f>
        <v/>
      </c>
      <c r="AR2678">
        <f>IF($AN2678=1,IFERROR(VALUE(MID($E2678,2,20)),1000000000)+ROW()/100000,"")</f>
        <v/>
      </c>
    </row>
    <row r="2679">
      <c r="G2679" s="11" t="n"/>
      <c r="Q2679" s="7">
        <f>IF($E2679="","",P2679*Y2679/100)</f>
        <v/>
      </c>
      <c r="R2679" s="7" t="n"/>
      <c r="X2679" s="7" t="n"/>
      <c r="Y2679" s="7" t="n"/>
      <c r="AB2679">
        <f>IF($E2679="","",IF($AQ2679=1,0,IF($AP2679=1,Settings!$C$6,Settings!$C$7))*100)</f>
        <v/>
      </c>
      <c r="AC2679" s="7">
        <f>IF($E2679="","",Y2679*AB2679/100)</f>
        <v/>
      </c>
      <c r="AD2679" s="7">
        <f>IF($E2679="","",Y2679-AC2679)</f>
        <v/>
      </c>
      <c r="AE2679" s="7">
        <f>IF($E2679="","",AD2679-Q2679)</f>
        <v/>
      </c>
      <c r="AI2679" s="7" t="n"/>
      <c r="AL2679" s="11" t="n"/>
      <c r="AN2679">
        <f>IF($E2679="","",IF(COUNTIF($E$2:$E2679,$E2679)=1,1,0))</f>
        <v/>
      </c>
      <c r="AO2679">
        <f>IF($AN2679=1,SUMPRODUCT(--($AR$2:$AR$4001&lt;$AR2679))+1,"")</f>
        <v/>
      </c>
      <c r="AP2679">
        <f>IF($E2679="","",IF(OR($U2679=TRUE(),$U2679="TRUE"),1,0))</f>
        <v/>
      </c>
      <c r="AQ2679">
        <f>IF($E2679="","",IF($AA2679="Yes",1,0))</f>
        <v/>
      </c>
      <c r="AR2679">
        <f>IF($AN2679=1,IFERROR(VALUE(MID($E2679,2,20)),1000000000)+ROW()/100000,"")</f>
        <v/>
      </c>
    </row>
    <row r="2680">
      <c r="G2680" s="11" t="n"/>
      <c r="Q2680" s="7">
        <f>IF($E2680="","",P2680*Y2680/100)</f>
        <v/>
      </c>
      <c r="R2680" s="7" t="n"/>
      <c r="X2680" s="7" t="n"/>
      <c r="Y2680" s="7" t="n"/>
      <c r="AB2680">
        <f>IF($E2680="","",IF($AQ2680=1,0,IF($AP2680=1,Settings!$C$6,Settings!$C$7))*100)</f>
        <v/>
      </c>
      <c r="AC2680" s="7">
        <f>IF($E2680="","",Y2680*AB2680/100)</f>
        <v/>
      </c>
      <c r="AD2680" s="7">
        <f>IF($E2680="","",Y2680-AC2680)</f>
        <v/>
      </c>
      <c r="AE2680" s="7">
        <f>IF($E2680="","",AD2680-Q2680)</f>
        <v/>
      </c>
      <c r="AI2680" s="7" t="n"/>
      <c r="AL2680" s="11" t="n"/>
      <c r="AN2680">
        <f>IF($E2680="","",IF(COUNTIF($E$2:$E2680,$E2680)=1,1,0))</f>
        <v/>
      </c>
      <c r="AO2680">
        <f>IF($AN2680=1,SUMPRODUCT(--($AR$2:$AR$4001&lt;$AR2680))+1,"")</f>
        <v/>
      </c>
      <c r="AP2680">
        <f>IF($E2680="","",IF(OR($U2680=TRUE(),$U2680="TRUE"),1,0))</f>
        <v/>
      </c>
      <c r="AQ2680">
        <f>IF($E2680="","",IF($AA2680="Yes",1,0))</f>
        <v/>
      </c>
      <c r="AR2680">
        <f>IF($AN2680=1,IFERROR(VALUE(MID($E2680,2,20)),1000000000)+ROW()/100000,"")</f>
        <v/>
      </c>
    </row>
    <row r="2681">
      <c r="G2681" s="11" t="n"/>
      <c r="Q2681" s="7">
        <f>IF($E2681="","",P2681*Y2681/100)</f>
        <v/>
      </c>
      <c r="R2681" s="7" t="n"/>
      <c r="X2681" s="7" t="n"/>
      <c r="Y2681" s="7" t="n"/>
      <c r="AB2681">
        <f>IF($E2681="","",IF($AQ2681=1,0,IF($AP2681=1,Settings!$C$6,Settings!$C$7))*100)</f>
        <v/>
      </c>
      <c r="AC2681" s="7">
        <f>IF($E2681="","",Y2681*AB2681/100)</f>
        <v/>
      </c>
      <c r="AD2681" s="7">
        <f>IF($E2681="","",Y2681-AC2681)</f>
        <v/>
      </c>
      <c r="AE2681" s="7">
        <f>IF($E2681="","",AD2681-Q2681)</f>
        <v/>
      </c>
      <c r="AI2681" s="7" t="n"/>
      <c r="AL2681" s="11" t="n"/>
      <c r="AN2681">
        <f>IF($E2681="","",IF(COUNTIF($E$2:$E2681,$E2681)=1,1,0))</f>
        <v/>
      </c>
      <c r="AO2681">
        <f>IF($AN2681=1,SUMPRODUCT(--($AR$2:$AR$4001&lt;$AR2681))+1,"")</f>
        <v/>
      </c>
      <c r="AP2681">
        <f>IF($E2681="","",IF(OR($U2681=TRUE(),$U2681="TRUE"),1,0))</f>
        <v/>
      </c>
      <c r="AQ2681">
        <f>IF($E2681="","",IF($AA2681="Yes",1,0))</f>
        <v/>
      </c>
      <c r="AR2681">
        <f>IF($AN2681=1,IFERROR(VALUE(MID($E2681,2,20)),1000000000)+ROW()/100000,"")</f>
        <v/>
      </c>
    </row>
    <row r="2682">
      <c r="G2682" s="11" t="n"/>
      <c r="Q2682" s="7">
        <f>IF($E2682="","",P2682*Y2682/100)</f>
        <v/>
      </c>
      <c r="R2682" s="7" t="n"/>
      <c r="X2682" s="7" t="n"/>
      <c r="Y2682" s="7" t="n"/>
      <c r="AB2682">
        <f>IF($E2682="","",IF($AQ2682=1,0,IF($AP2682=1,Settings!$C$6,Settings!$C$7))*100)</f>
        <v/>
      </c>
      <c r="AC2682" s="7">
        <f>IF($E2682="","",Y2682*AB2682/100)</f>
        <v/>
      </c>
      <c r="AD2682" s="7">
        <f>IF($E2682="","",Y2682-AC2682)</f>
        <v/>
      </c>
      <c r="AE2682" s="7">
        <f>IF($E2682="","",AD2682-Q2682)</f>
        <v/>
      </c>
      <c r="AI2682" s="7" t="n"/>
      <c r="AL2682" s="11" t="n"/>
      <c r="AN2682">
        <f>IF($E2682="","",IF(COUNTIF($E$2:$E2682,$E2682)=1,1,0))</f>
        <v/>
      </c>
      <c r="AO2682">
        <f>IF($AN2682=1,SUMPRODUCT(--($AR$2:$AR$4001&lt;$AR2682))+1,"")</f>
        <v/>
      </c>
      <c r="AP2682">
        <f>IF($E2682="","",IF(OR($U2682=TRUE(),$U2682="TRUE"),1,0))</f>
        <v/>
      </c>
      <c r="AQ2682">
        <f>IF($E2682="","",IF($AA2682="Yes",1,0))</f>
        <v/>
      </c>
      <c r="AR2682">
        <f>IF($AN2682=1,IFERROR(VALUE(MID($E2682,2,20)),1000000000)+ROW()/100000,"")</f>
        <v/>
      </c>
    </row>
    <row r="2683">
      <c r="G2683" s="11" t="n"/>
      <c r="Q2683" s="7">
        <f>IF($E2683="","",P2683*Y2683/100)</f>
        <v/>
      </c>
      <c r="R2683" s="7" t="n"/>
      <c r="X2683" s="7" t="n"/>
      <c r="Y2683" s="7" t="n"/>
      <c r="AB2683">
        <f>IF($E2683="","",IF($AQ2683=1,0,IF($AP2683=1,Settings!$C$6,Settings!$C$7))*100)</f>
        <v/>
      </c>
      <c r="AC2683" s="7">
        <f>IF($E2683="","",Y2683*AB2683/100)</f>
        <v/>
      </c>
      <c r="AD2683" s="7">
        <f>IF($E2683="","",Y2683-AC2683)</f>
        <v/>
      </c>
      <c r="AE2683" s="7">
        <f>IF($E2683="","",AD2683-Q2683)</f>
        <v/>
      </c>
      <c r="AI2683" s="7" t="n"/>
      <c r="AL2683" s="11" t="n"/>
      <c r="AN2683">
        <f>IF($E2683="","",IF(COUNTIF($E$2:$E2683,$E2683)=1,1,0))</f>
        <v/>
      </c>
      <c r="AO2683">
        <f>IF($AN2683=1,SUMPRODUCT(--($AR$2:$AR$4001&lt;$AR2683))+1,"")</f>
        <v/>
      </c>
      <c r="AP2683">
        <f>IF($E2683="","",IF(OR($U2683=TRUE(),$U2683="TRUE"),1,0))</f>
        <v/>
      </c>
      <c r="AQ2683">
        <f>IF($E2683="","",IF($AA2683="Yes",1,0))</f>
        <v/>
      </c>
      <c r="AR2683">
        <f>IF($AN2683=1,IFERROR(VALUE(MID($E2683,2,20)),1000000000)+ROW()/100000,"")</f>
        <v/>
      </c>
    </row>
    <row r="2684">
      <c r="G2684" s="11" t="n"/>
      <c r="Q2684" s="7">
        <f>IF($E2684="","",P2684*Y2684/100)</f>
        <v/>
      </c>
      <c r="R2684" s="7" t="n"/>
      <c r="X2684" s="7" t="n"/>
      <c r="Y2684" s="7" t="n"/>
      <c r="AB2684">
        <f>IF($E2684="","",IF($AQ2684=1,0,IF($AP2684=1,Settings!$C$6,Settings!$C$7))*100)</f>
        <v/>
      </c>
      <c r="AC2684" s="7">
        <f>IF($E2684="","",Y2684*AB2684/100)</f>
        <v/>
      </c>
      <c r="AD2684" s="7">
        <f>IF($E2684="","",Y2684-AC2684)</f>
        <v/>
      </c>
      <c r="AE2684" s="7">
        <f>IF($E2684="","",AD2684-Q2684)</f>
        <v/>
      </c>
      <c r="AI2684" s="7" t="n"/>
      <c r="AL2684" s="11" t="n"/>
      <c r="AN2684">
        <f>IF($E2684="","",IF(COUNTIF($E$2:$E2684,$E2684)=1,1,0))</f>
        <v/>
      </c>
      <c r="AO2684">
        <f>IF($AN2684=1,SUMPRODUCT(--($AR$2:$AR$4001&lt;$AR2684))+1,"")</f>
        <v/>
      </c>
      <c r="AP2684">
        <f>IF($E2684="","",IF(OR($U2684=TRUE(),$U2684="TRUE"),1,0))</f>
        <v/>
      </c>
      <c r="AQ2684">
        <f>IF($E2684="","",IF($AA2684="Yes",1,0))</f>
        <v/>
      </c>
      <c r="AR2684">
        <f>IF($AN2684=1,IFERROR(VALUE(MID($E2684,2,20)),1000000000)+ROW()/100000,"")</f>
        <v/>
      </c>
    </row>
    <row r="2685">
      <c r="G2685" s="11" t="n"/>
      <c r="Q2685" s="7">
        <f>IF($E2685="","",P2685*Y2685/100)</f>
        <v/>
      </c>
      <c r="R2685" s="7" t="n"/>
      <c r="X2685" s="7" t="n"/>
      <c r="Y2685" s="7" t="n"/>
      <c r="AB2685">
        <f>IF($E2685="","",IF($AQ2685=1,0,IF($AP2685=1,Settings!$C$6,Settings!$C$7))*100)</f>
        <v/>
      </c>
      <c r="AC2685" s="7">
        <f>IF($E2685="","",Y2685*AB2685/100)</f>
        <v/>
      </c>
      <c r="AD2685" s="7">
        <f>IF($E2685="","",Y2685-AC2685)</f>
        <v/>
      </c>
      <c r="AE2685" s="7">
        <f>IF($E2685="","",AD2685-Q2685)</f>
        <v/>
      </c>
      <c r="AI2685" s="7" t="n"/>
      <c r="AL2685" s="11" t="n"/>
      <c r="AN2685">
        <f>IF($E2685="","",IF(COUNTIF($E$2:$E2685,$E2685)=1,1,0))</f>
        <v/>
      </c>
      <c r="AO2685">
        <f>IF($AN2685=1,SUMPRODUCT(--($AR$2:$AR$4001&lt;$AR2685))+1,"")</f>
        <v/>
      </c>
      <c r="AP2685">
        <f>IF($E2685="","",IF(OR($U2685=TRUE(),$U2685="TRUE"),1,0))</f>
        <v/>
      </c>
      <c r="AQ2685">
        <f>IF($E2685="","",IF($AA2685="Yes",1,0))</f>
        <v/>
      </c>
      <c r="AR2685">
        <f>IF($AN2685=1,IFERROR(VALUE(MID($E2685,2,20)),1000000000)+ROW()/100000,"")</f>
        <v/>
      </c>
    </row>
    <row r="2686">
      <c r="G2686" s="11" t="n"/>
      <c r="Q2686" s="7">
        <f>IF($E2686="","",P2686*Y2686/100)</f>
        <v/>
      </c>
      <c r="R2686" s="7" t="n"/>
      <c r="X2686" s="7" t="n"/>
      <c r="Y2686" s="7" t="n"/>
      <c r="AB2686">
        <f>IF($E2686="","",IF($AQ2686=1,0,IF($AP2686=1,Settings!$C$6,Settings!$C$7))*100)</f>
        <v/>
      </c>
      <c r="AC2686" s="7">
        <f>IF($E2686="","",Y2686*AB2686/100)</f>
        <v/>
      </c>
      <c r="AD2686" s="7">
        <f>IF($E2686="","",Y2686-AC2686)</f>
        <v/>
      </c>
      <c r="AE2686" s="7">
        <f>IF($E2686="","",AD2686-Q2686)</f>
        <v/>
      </c>
      <c r="AI2686" s="7" t="n"/>
      <c r="AL2686" s="11" t="n"/>
      <c r="AN2686">
        <f>IF($E2686="","",IF(COUNTIF($E$2:$E2686,$E2686)=1,1,0))</f>
        <v/>
      </c>
      <c r="AO2686">
        <f>IF($AN2686=1,SUMPRODUCT(--($AR$2:$AR$4001&lt;$AR2686))+1,"")</f>
        <v/>
      </c>
      <c r="AP2686">
        <f>IF($E2686="","",IF(OR($U2686=TRUE(),$U2686="TRUE"),1,0))</f>
        <v/>
      </c>
      <c r="AQ2686">
        <f>IF($E2686="","",IF($AA2686="Yes",1,0))</f>
        <v/>
      </c>
      <c r="AR2686">
        <f>IF($AN2686=1,IFERROR(VALUE(MID($E2686,2,20)),1000000000)+ROW()/100000,"")</f>
        <v/>
      </c>
    </row>
    <row r="2687">
      <c r="G2687" s="11" t="n"/>
      <c r="Q2687" s="7">
        <f>IF($E2687="","",P2687*Y2687/100)</f>
        <v/>
      </c>
      <c r="R2687" s="7" t="n"/>
      <c r="X2687" s="7" t="n"/>
      <c r="Y2687" s="7" t="n"/>
      <c r="AB2687">
        <f>IF($E2687="","",IF($AQ2687=1,0,IF($AP2687=1,Settings!$C$6,Settings!$C$7))*100)</f>
        <v/>
      </c>
      <c r="AC2687" s="7">
        <f>IF($E2687="","",Y2687*AB2687/100)</f>
        <v/>
      </c>
      <c r="AD2687" s="7">
        <f>IF($E2687="","",Y2687-AC2687)</f>
        <v/>
      </c>
      <c r="AE2687" s="7">
        <f>IF($E2687="","",AD2687-Q2687)</f>
        <v/>
      </c>
      <c r="AI2687" s="7" t="n"/>
      <c r="AL2687" s="11" t="n"/>
      <c r="AN2687">
        <f>IF($E2687="","",IF(COUNTIF($E$2:$E2687,$E2687)=1,1,0))</f>
        <v/>
      </c>
      <c r="AO2687">
        <f>IF($AN2687=1,SUMPRODUCT(--($AR$2:$AR$4001&lt;$AR2687))+1,"")</f>
        <v/>
      </c>
      <c r="AP2687">
        <f>IF($E2687="","",IF(OR($U2687=TRUE(),$U2687="TRUE"),1,0))</f>
        <v/>
      </c>
      <c r="AQ2687">
        <f>IF($E2687="","",IF($AA2687="Yes",1,0))</f>
        <v/>
      </c>
      <c r="AR2687">
        <f>IF($AN2687=1,IFERROR(VALUE(MID($E2687,2,20)),1000000000)+ROW()/100000,"")</f>
        <v/>
      </c>
    </row>
    <row r="2688">
      <c r="G2688" s="11" t="n"/>
      <c r="Q2688" s="7">
        <f>IF($E2688="","",P2688*Y2688/100)</f>
        <v/>
      </c>
      <c r="R2688" s="7" t="n"/>
      <c r="X2688" s="7" t="n"/>
      <c r="Y2688" s="7" t="n"/>
      <c r="AB2688">
        <f>IF($E2688="","",IF($AQ2688=1,0,IF($AP2688=1,Settings!$C$6,Settings!$C$7))*100)</f>
        <v/>
      </c>
      <c r="AC2688" s="7">
        <f>IF($E2688="","",Y2688*AB2688/100)</f>
        <v/>
      </c>
      <c r="AD2688" s="7">
        <f>IF($E2688="","",Y2688-AC2688)</f>
        <v/>
      </c>
      <c r="AE2688" s="7">
        <f>IF($E2688="","",AD2688-Q2688)</f>
        <v/>
      </c>
      <c r="AI2688" s="7" t="n"/>
      <c r="AL2688" s="11" t="n"/>
      <c r="AN2688">
        <f>IF($E2688="","",IF(COUNTIF($E$2:$E2688,$E2688)=1,1,0))</f>
        <v/>
      </c>
      <c r="AO2688">
        <f>IF($AN2688=1,SUMPRODUCT(--($AR$2:$AR$4001&lt;$AR2688))+1,"")</f>
        <v/>
      </c>
      <c r="AP2688">
        <f>IF($E2688="","",IF(OR($U2688=TRUE(),$U2688="TRUE"),1,0))</f>
        <v/>
      </c>
      <c r="AQ2688">
        <f>IF($E2688="","",IF($AA2688="Yes",1,0))</f>
        <v/>
      </c>
      <c r="AR2688">
        <f>IF($AN2688=1,IFERROR(VALUE(MID($E2688,2,20)),1000000000)+ROW()/100000,"")</f>
        <v/>
      </c>
    </row>
    <row r="2689">
      <c r="G2689" s="11" t="n"/>
      <c r="Q2689" s="7">
        <f>IF($E2689="","",P2689*Y2689/100)</f>
        <v/>
      </c>
      <c r="R2689" s="7" t="n"/>
      <c r="X2689" s="7" t="n"/>
      <c r="Y2689" s="7" t="n"/>
      <c r="AB2689">
        <f>IF($E2689="","",IF($AQ2689=1,0,IF($AP2689=1,Settings!$C$6,Settings!$C$7))*100)</f>
        <v/>
      </c>
      <c r="AC2689" s="7">
        <f>IF($E2689="","",Y2689*AB2689/100)</f>
        <v/>
      </c>
      <c r="AD2689" s="7">
        <f>IF($E2689="","",Y2689-AC2689)</f>
        <v/>
      </c>
      <c r="AE2689" s="7">
        <f>IF($E2689="","",AD2689-Q2689)</f>
        <v/>
      </c>
      <c r="AI2689" s="7" t="n"/>
      <c r="AL2689" s="11" t="n"/>
      <c r="AN2689">
        <f>IF($E2689="","",IF(COUNTIF($E$2:$E2689,$E2689)=1,1,0))</f>
        <v/>
      </c>
      <c r="AO2689">
        <f>IF($AN2689=1,SUMPRODUCT(--($AR$2:$AR$4001&lt;$AR2689))+1,"")</f>
        <v/>
      </c>
      <c r="AP2689">
        <f>IF($E2689="","",IF(OR($U2689=TRUE(),$U2689="TRUE"),1,0))</f>
        <v/>
      </c>
      <c r="AQ2689">
        <f>IF($E2689="","",IF($AA2689="Yes",1,0))</f>
        <v/>
      </c>
      <c r="AR2689">
        <f>IF($AN2689=1,IFERROR(VALUE(MID($E2689,2,20)),1000000000)+ROW()/100000,"")</f>
        <v/>
      </c>
    </row>
    <row r="2690">
      <c r="G2690" s="11" t="n"/>
      <c r="Q2690" s="7">
        <f>IF($E2690="","",P2690*Y2690/100)</f>
        <v/>
      </c>
      <c r="R2690" s="7" t="n"/>
      <c r="X2690" s="7" t="n"/>
      <c r="Y2690" s="7" t="n"/>
      <c r="AB2690">
        <f>IF($E2690="","",IF($AQ2690=1,0,IF($AP2690=1,Settings!$C$6,Settings!$C$7))*100)</f>
        <v/>
      </c>
      <c r="AC2690" s="7">
        <f>IF($E2690="","",Y2690*AB2690/100)</f>
        <v/>
      </c>
      <c r="AD2690" s="7">
        <f>IF($E2690="","",Y2690-AC2690)</f>
        <v/>
      </c>
      <c r="AE2690" s="7">
        <f>IF($E2690="","",AD2690-Q2690)</f>
        <v/>
      </c>
      <c r="AI2690" s="7" t="n"/>
      <c r="AL2690" s="11" t="n"/>
      <c r="AN2690">
        <f>IF($E2690="","",IF(COUNTIF($E$2:$E2690,$E2690)=1,1,0))</f>
        <v/>
      </c>
      <c r="AO2690">
        <f>IF($AN2690=1,SUMPRODUCT(--($AR$2:$AR$4001&lt;$AR2690))+1,"")</f>
        <v/>
      </c>
      <c r="AP2690">
        <f>IF($E2690="","",IF(OR($U2690=TRUE(),$U2690="TRUE"),1,0))</f>
        <v/>
      </c>
      <c r="AQ2690">
        <f>IF($E2690="","",IF($AA2690="Yes",1,0))</f>
        <v/>
      </c>
      <c r="AR2690">
        <f>IF($AN2690=1,IFERROR(VALUE(MID($E2690,2,20)),1000000000)+ROW()/100000,"")</f>
        <v/>
      </c>
    </row>
    <row r="2691">
      <c r="G2691" s="11" t="n"/>
      <c r="Q2691" s="7">
        <f>IF($E2691="","",P2691*Y2691/100)</f>
        <v/>
      </c>
      <c r="R2691" s="7" t="n"/>
      <c r="X2691" s="7" t="n"/>
      <c r="Y2691" s="7" t="n"/>
      <c r="AB2691">
        <f>IF($E2691="","",IF($AQ2691=1,0,IF($AP2691=1,Settings!$C$6,Settings!$C$7))*100)</f>
        <v/>
      </c>
      <c r="AC2691" s="7">
        <f>IF($E2691="","",Y2691*AB2691/100)</f>
        <v/>
      </c>
      <c r="AD2691" s="7">
        <f>IF($E2691="","",Y2691-AC2691)</f>
        <v/>
      </c>
      <c r="AE2691" s="7">
        <f>IF($E2691="","",AD2691-Q2691)</f>
        <v/>
      </c>
      <c r="AI2691" s="7" t="n"/>
      <c r="AL2691" s="11" t="n"/>
      <c r="AN2691">
        <f>IF($E2691="","",IF(COUNTIF($E$2:$E2691,$E2691)=1,1,0))</f>
        <v/>
      </c>
      <c r="AO2691">
        <f>IF($AN2691=1,SUMPRODUCT(--($AR$2:$AR$4001&lt;$AR2691))+1,"")</f>
        <v/>
      </c>
      <c r="AP2691">
        <f>IF($E2691="","",IF(OR($U2691=TRUE(),$U2691="TRUE"),1,0))</f>
        <v/>
      </c>
      <c r="AQ2691">
        <f>IF($E2691="","",IF($AA2691="Yes",1,0))</f>
        <v/>
      </c>
      <c r="AR2691">
        <f>IF($AN2691=1,IFERROR(VALUE(MID($E2691,2,20)),1000000000)+ROW()/100000,"")</f>
        <v/>
      </c>
    </row>
    <row r="2692">
      <c r="G2692" s="11" t="n"/>
      <c r="Q2692" s="7">
        <f>IF($E2692="","",P2692*Y2692/100)</f>
        <v/>
      </c>
      <c r="R2692" s="7" t="n"/>
      <c r="X2692" s="7" t="n"/>
      <c r="Y2692" s="7" t="n"/>
      <c r="AB2692">
        <f>IF($E2692="","",IF($AQ2692=1,0,IF($AP2692=1,Settings!$C$6,Settings!$C$7))*100)</f>
        <v/>
      </c>
      <c r="AC2692" s="7">
        <f>IF($E2692="","",Y2692*AB2692/100)</f>
        <v/>
      </c>
      <c r="AD2692" s="7">
        <f>IF($E2692="","",Y2692-AC2692)</f>
        <v/>
      </c>
      <c r="AE2692" s="7">
        <f>IF($E2692="","",AD2692-Q2692)</f>
        <v/>
      </c>
      <c r="AI2692" s="7" t="n"/>
      <c r="AL2692" s="11" t="n"/>
      <c r="AN2692">
        <f>IF($E2692="","",IF(COUNTIF($E$2:$E2692,$E2692)=1,1,0))</f>
        <v/>
      </c>
      <c r="AO2692">
        <f>IF($AN2692=1,SUMPRODUCT(--($AR$2:$AR$4001&lt;$AR2692))+1,"")</f>
        <v/>
      </c>
      <c r="AP2692">
        <f>IF($E2692="","",IF(OR($U2692=TRUE(),$U2692="TRUE"),1,0))</f>
        <v/>
      </c>
      <c r="AQ2692">
        <f>IF($E2692="","",IF($AA2692="Yes",1,0))</f>
        <v/>
      </c>
      <c r="AR2692">
        <f>IF($AN2692=1,IFERROR(VALUE(MID($E2692,2,20)),1000000000)+ROW()/100000,"")</f>
        <v/>
      </c>
    </row>
    <row r="2693">
      <c r="G2693" s="11" t="n"/>
      <c r="Q2693" s="7">
        <f>IF($E2693="","",P2693*Y2693/100)</f>
        <v/>
      </c>
      <c r="R2693" s="7" t="n"/>
      <c r="X2693" s="7" t="n"/>
      <c r="Y2693" s="7" t="n"/>
      <c r="AB2693">
        <f>IF($E2693="","",IF($AQ2693=1,0,IF($AP2693=1,Settings!$C$6,Settings!$C$7))*100)</f>
        <v/>
      </c>
      <c r="AC2693" s="7">
        <f>IF($E2693="","",Y2693*AB2693/100)</f>
        <v/>
      </c>
      <c r="AD2693" s="7">
        <f>IF($E2693="","",Y2693-AC2693)</f>
        <v/>
      </c>
      <c r="AE2693" s="7">
        <f>IF($E2693="","",AD2693-Q2693)</f>
        <v/>
      </c>
      <c r="AI2693" s="7" t="n"/>
      <c r="AL2693" s="11" t="n"/>
      <c r="AN2693">
        <f>IF($E2693="","",IF(COUNTIF($E$2:$E2693,$E2693)=1,1,0))</f>
        <v/>
      </c>
      <c r="AO2693">
        <f>IF($AN2693=1,SUMPRODUCT(--($AR$2:$AR$4001&lt;$AR2693))+1,"")</f>
        <v/>
      </c>
      <c r="AP2693">
        <f>IF($E2693="","",IF(OR($U2693=TRUE(),$U2693="TRUE"),1,0))</f>
        <v/>
      </c>
      <c r="AQ2693">
        <f>IF($E2693="","",IF($AA2693="Yes",1,0))</f>
        <v/>
      </c>
      <c r="AR2693">
        <f>IF($AN2693=1,IFERROR(VALUE(MID($E2693,2,20)),1000000000)+ROW()/100000,"")</f>
        <v/>
      </c>
    </row>
    <row r="2694">
      <c r="G2694" s="11" t="n"/>
      <c r="Q2694" s="7">
        <f>IF($E2694="","",P2694*Y2694/100)</f>
        <v/>
      </c>
      <c r="R2694" s="7" t="n"/>
      <c r="X2694" s="7" t="n"/>
      <c r="Y2694" s="7" t="n"/>
      <c r="AB2694">
        <f>IF($E2694="","",IF($AQ2694=1,0,IF($AP2694=1,Settings!$C$6,Settings!$C$7))*100)</f>
        <v/>
      </c>
      <c r="AC2694" s="7">
        <f>IF($E2694="","",Y2694*AB2694/100)</f>
        <v/>
      </c>
      <c r="AD2694" s="7">
        <f>IF($E2694="","",Y2694-AC2694)</f>
        <v/>
      </c>
      <c r="AE2694" s="7">
        <f>IF($E2694="","",AD2694-Q2694)</f>
        <v/>
      </c>
      <c r="AI2694" s="7" t="n"/>
      <c r="AL2694" s="11" t="n"/>
      <c r="AN2694">
        <f>IF($E2694="","",IF(COUNTIF($E$2:$E2694,$E2694)=1,1,0))</f>
        <v/>
      </c>
      <c r="AO2694">
        <f>IF($AN2694=1,SUMPRODUCT(--($AR$2:$AR$4001&lt;$AR2694))+1,"")</f>
        <v/>
      </c>
      <c r="AP2694">
        <f>IF($E2694="","",IF(OR($U2694=TRUE(),$U2694="TRUE"),1,0))</f>
        <v/>
      </c>
      <c r="AQ2694">
        <f>IF($E2694="","",IF($AA2694="Yes",1,0))</f>
        <v/>
      </c>
      <c r="AR2694">
        <f>IF($AN2694=1,IFERROR(VALUE(MID($E2694,2,20)),1000000000)+ROW()/100000,"")</f>
        <v/>
      </c>
    </row>
    <row r="2695">
      <c r="G2695" s="11" t="n"/>
      <c r="Q2695" s="7">
        <f>IF($E2695="","",P2695*Y2695/100)</f>
        <v/>
      </c>
      <c r="R2695" s="7" t="n"/>
      <c r="X2695" s="7" t="n"/>
      <c r="Y2695" s="7" t="n"/>
      <c r="AB2695">
        <f>IF($E2695="","",IF($AQ2695=1,0,IF($AP2695=1,Settings!$C$6,Settings!$C$7))*100)</f>
        <v/>
      </c>
      <c r="AC2695" s="7">
        <f>IF($E2695="","",Y2695*AB2695/100)</f>
        <v/>
      </c>
      <c r="AD2695" s="7">
        <f>IF($E2695="","",Y2695-AC2695)</f>
        <v/>
      </c>
      <c r="AE2695" s="7">
        <f>IF($E2695="","",AD2695-Q2695)</f>
        <v/>
      </c>
      <c r="AI2695" s="7" t="n"/>
      <c r="AL2695" s="11" t="n"/>
      <c r="AN2695">
        <f>IF($E2695="","",IF(COUNTIF($E$2:$E2695,$E2695)=1,1,0))</f>
        <v/>
      </c>
      <c r="AO2695">
        <f>IF($AN2695=1,SUMPRODUCT(--($AR$2:$AR$4001&lt;$AR2695))+1,"")</f>
        <v/>
      </c>
      <c r="AP2695">
        <f>IF($E2695="","",IF(OR($U2695=TRUE(),$U2695="TRUE"),1,0))</f>
        <v/>
      </c>
      <c r="AQ2695">
        <f>IF($E2695="","",IF($AA2695="Yes",1,0))</f>
        <v/>
      </c>
      <c r="AR2695">
        <f>IF($AN2695=1,IFERROR(VALUE(MID($E2695,2,20)),1000000000)+ROW()/100000,"")</f>
        <v/>
      </c>
    </row>
    <row r="2696">
      <c r="G2696" s="11" t="n"/>
      <c r="Q2696" s="7">
        <f>IF($E2696="","",P2696*Y2696/100)</f>
        <v/>
      </c>
      <c r="R2696" s="7" t="n"/>
      <c r="X2696" s="7" t="n"/>
      <c r="Y2696" s="7" t="n"/>
      <c r="AB2696">
        <f>IF($E2696="","",IF($AQ2696=1,0,IF($AP2696=1,Settings!$C$6,Settings!$C$7))*100)</f>
        <v/>
      </c>
      <c r="AC2696" s="7">
        <f>IF($E2696="","",Y2696*AB2696/100)</f>
        <v/>
      </c>
      <c r="AD2696" s="7">
        <f>IF($E2696="","",Y2696-AC2696)</f>
        <v/>
      </c>
      <c r="AE2696" s="7">
        <f>IF($E2696="","",AD2696-Q2696)</f>
        <v/>
      </c>
      <c r="AI2696" s="7" t="n"/>
      <c r="AL2696" s="11" t="n"/>
      <c r="AN2696">
        <f>IF($E2696="","",IF(COUNTIF($E$2:$E2696,$E2696)=1,1,0))</f>
        <v/>
      </c>
      <c r="AO2696">
        <f>IF($AN2696=1,SUMPRODUCT(--($AR$2:$AR$4001&lt;$AR2696))+1,"")</f>
        <v/>
      </c>
      <c r="AP2696">
        <f>IF($E2696="","",IF(OR($U2696=TRUE(),$U2696="TRUE"),1,0))</f>
        <v/>
      </c>
      <c r="AQ2696">
        <f>IF($E2696="","",IF($AA2696="Yes",1,0))</f>
        <v/>
      </c>
      <c r="AR2696">
        <f>IF($AN2696=1,IFERROR(VALUE(MID($E2696,2,20)),1000000000)+ROW()/100000,"")</f>
        <v/>
      </c>
    </row>
    <row r="2697">
      <c r="G2697" s="11" t="n"/>
      <c r="Q2697" s="7">
        <f>IF($E2697="","",P2697*Y2697/100)</f>
        <v/>
      </c>
      <c r="R2697" s="7" t="n"/>
      <c r="X2697" s="7" t="n"/>
      <c r="Y2697" s="7" t="n"/>
      <c r="AB2697">
        <f>IF($E2697="","",IF($AQ2697=1,0,IF($AP2697=1,Settings!$C$6,Settings!$C$7))*100)</f>
        <v/>
      </c>
      <c r="AC2697" s="7">
        <f>IF($E2697="","",Y2697*AB2697/100)</f>
        <v/>
      </c>
      <c r="AD2697" s="7">
        <f>IF($E2697="","",Y2697-AC2697)</f>
        <v/>
      </c>
      <c r="AE2697" s="7">
        <f>IF($E2697="","",AD2697-Q2697)</f>
        <v/>
      </c>
      <c r="AI2697" s="7" t="n"/>
      <c r="AL2697" s="11" t="n"/>
      <c r="AN2697">
        <f>IF($E2697="","",IF(COUNTIF($E$2:$E2697,$E2697)=1,1,0))</f>
        <v/>
      </c>
      <c r="AO2697">
        <f>IF($AN2697=1,SUMPRODUCT(--($AR$2:$AR$4001&lt;$AR2697))+1,"")</f>
        <v/>
      </c>
      <c r="AP2697">
        <f>IF($E2697="","",IF(OR($U2697=TRUE(),$U2697="TRUE"),1,0))</f>
        <v/>
      </c>
      <c r="AQ2697">
        <f>IF($E2697="","",IF($AA2697="Yes",1,0))</f>
        <v/>
      </c>
      <c r="AR2697">
        <f>IF($AN2697=1,IFERROR(VALUE(MID($E2697,2,20)),1000000000)+ROW()/100000,"")</f>
        <v/>
      </c>
    </row>
    <row r="2698">
      <c r="G2698" s="11" t="n"/>
      <c r="Q2698" s="7">
        <f>IF($E2698="","",P2698*Y2698/100)</f>
        <v/>
      </c>
      <c r="R2698" s="7" t="n"/>
      <c r="X2698" s="7" t="n"/>
      <c r="Y2698" s="7" t="n"/>
      <c r="AB2698">
        <f>IF($E2698="","",IF($AQ2698=1,0,IF($AP2698=1,Settings!$C$6,Settings!$C$7))*100)</f>
        <v/>
      </c>
      <c r="AC2698" s="7">
        <f>IF($E2698="","",Y2698*AB2698/100)</f>
        <v/>
      </c>
      <c r="AD2698" s="7">
        <f>IF($E2698="","",Y2698-AC2698)</f>
        <v/>
      </c>
      <c r="AE2698" s="7">
        <f>IF($E2698="","",AD2698-Q2698)</f>
        <v/>
      </c>
      <c r="AI2698" s="7" t="n"/>
      <c r="AL2698" s="11" t="n"/>
      <c r="AN2698">
        <f>IF($E2698="","",IF(COUNTIF($E$2:$E2698,$E2698)=1,1,0))</f>
        <v/>
      </c>
      <c r="AO2698">
        <f>IF($AN2698=1,SUMPRODUCT(--($AR$2:$AR$4001&lt;$AR2698))+1,"")</f>
        <v/>
      </c>
      <c r="AP2698">
        <f>IF($E2698="","",IF(OR($U2698=TRUE(),$U2698="TRUE"),1,0))</f>
        <v/>
      </c>
      <c r="AQ2698">
        <f>IF($E2698="","",IF($AA2698="Yes",1,0))</f>
        <v/>
      </c>
      <c r="AR2698">
        <f>IF($AN2698=1,IFERROR(VALUE(MID($E2698,2,20)),1000000000)+ROW()/100000,"")</f>
        <v/>
      </c>
    </row>
    <row r="2699">
      <c r="G2699" s="11" t="n"/>
      <c r="Q2699" s="7">
        <f>IF($E2699="","",P2699*Y2699/100)</f>
        <v/>
      </c>
      <c r="R2699" s="7" t="n"/>
      <c r="X2699" s="7" t="n"/>
      <c r="Y2699" s="7" t="n"/>
      <c r="AB2699">
        <f>IF($E2699="","",IF($AQ2699=1,0,IF($AP2699=1,Settings!$C$6,Settings!$C$7))*100)</f>
        <v/>
      </c>
      <c r="AC2699" s="7">
        <f>IF($E2699="","",Y2699*AB2699/100)</f>
        <v/>
      </c>
      <c r="AD2699" s="7">
        <f>IF($E2699="","",Y2699-AC2699)</f>
        <v/>
      </c>
      <c r="AE2699" s="7">
        <f>IF($E2699="","",AD2699-Q2699)</f>
        <v/>
      </c>
      <c r="AI2699" s="7" t="n"/>
      <c r="AL2699" s="11" t="n"/>
      <c r="AN2699">
        <f>IF($E2699="","",IF(COUNTIF($E$2:$E2699,$E2699)=1,1,0))</f>
        <v/>
      </c>
      <c r="AO2699">
        <f>IF($AN2699=1,SUMPRODUCT(--($AR$2:$AR$4001&lt;$AR2699))+1,"")</f>
        <v/>
      </c>
      <c r="AP2699">
        <f>IF($E2699="","",IF(OR($U2699=TRUE(),$U2699="TRUE"),1,0))</f>
        <v/>
      </c>
      <c r="AQ2699">
        <f>IF($E2699="","",IF($AA2699="Yes",1,0))</f>
        <v/>
      </c>
      <c r="AR2699">
        <f>IF($AN2699=1,IFERROR(VALUE(MID($E2699,2,20)),1000000000)+ROW()/100000,"")</f>
        <v/>
      </c>
    </row>
    <row r="2700">
      <c r="G2700" s="11" t="n"/>
      <c r="Q2700" s="7">
        <f>IF($E2700="","",P2700*Y2700/100)</f>
        <v/>
      </c>
      <c r="R2700" s="7" t="n"/>
      <c r="X2700" s="7" t="n"/>
      <c r="Y2700" s="7" t="n"/>
      <c r="AB2700">
        <f>IF($E2700="","",IF($AQ2700=1,0,IF($AP2700=1,Settings!$C$6,Settings!$C$7))*100)</f>
        <v/>
      </c>
      <c r="AC2700" s="7">
        <f>IF($E2700="","",Y2700*AB2700/100)</f>
        <v/>
      </c>
      <c r="AD2700" s="7">
        <f>IF($E2700="","",Y2700-AC2700)</f>
        <v/>
      </c>
      <c r="AE2700" s="7">
        <f>IF($E2700="","",AD2700-Q2700)</f>
        <v/>
      </c>
      <c r="AI2700" s="7" t="n"/>
      <c r="AL2700" s="11" t="n"/>
      <c r="AN2700">
        <f>IF($E2700="","",IF(COUNTIF($E$2:$E2700,$E2700)=1,1,0))</f>
        <v/>
      </c>
      <c r="AO2700">
        <f>IF($AN2700=1,SUMPRODUCT(--($AR$2:$AR$4001&lt;$AR2700))+1,"")</f>
        <v/>
      </c>
      <c r="AP2700">
        <f>IF($E2700="","",IF(OR($U2700=TRUE(),$U2700="TRUE"),1,0))</f>
        <v/>
      </c>
      <c r="AQ2700">
        <f>IF($E2700="","",IF($AA2700="Yes",1,0))</f>
        <v/>
      </c>
      <c r="AR2700">
        <f>IF($AN2700=1,IFERROR(VALUE(MID($E2700,2,20)),1000000000)+ROW()/100000,"")</f>
        <v/>
      </c>
    </row>
    <row r="2701">
      <c r="G2701" s="11" t="n"/>
      <c r="Q2701" s="7">
        <f>IF($E2701="","",P2701*Y2701/100)</f>
        <v/>
      </c>
      <c r="R2701" s="7" t="n"/>
      <c r="X2701" s="7" t="n"/>
      <c r="Y2701" s="7" t="n"/>
      <c r="AB2701">
        <f>IF($E2701="","",IF($AQ2701=1,0,IF($AP2701=1,Settings!$C$6,Settings!$C$7))*100)</f>
        <v/>
      </c>
      <c r="AC2701" s="7">
        <f>IF($E2701="","",Y2701*AB2701/100)</f>
        <v/>
      </c>
      <c r="AD2701" s="7">
        <f>IF($E2701="","",Y2701-AC2701)</f>
        <v/>
      </c>
      <c r="AE2701" s="7">
        <f>IF($E2701="","",AD2701-Q2701)</f>
        <v/>
      </c>
      <c r="AI2701" s="7" t="n"/>
      <c r="AL2701" s="11" t="n"/>
      <c r="AN2701">
        <f>IF($E2701="","",IF(COUNTIF($E$2:$E2701,$E2701)=1,1,0))</f>
        <v/>
      </c>
      <c r="AO2701">
        <f>IF($AN2701=1,SUMPRODUCT(--($AR$2:$AR$4001&lt;$AR2701))+1,"")</f>
        <v/>
      </c>
      <c r="AP2701">
        <f>IF($E2701="","",IF(OR($U2701=TRUE(),$U2701="TRUE"),1,0))</f>
        <v/>
      </c>
      <c r="AQ2701">
        <f>IF($E2701="","",IF($AA2701="Yes",1,0))</f>
        <v/>
      </c>
      <c r="AR2701">
        <f>IF($AN2701=1,IFERROR(VALUE(MID($E2701,2,20)),1000000000)+ROW()/100000,"")</f>
        <v/>
      </c>
    </row>
    <row r="2702">
      <c r="G2702" s="11" t="n"/>
      <c r="Q2702" s="7">
        <f>IF($E2702="","",P2702*Y2702/100)</f>
        <v/>
      </c>
      <c r="R2702" s="7" t="n"/>
      <c r="X2702" s="7" t="n"/>
      <c r="Y2702" s="7" t="n"/>
      <c r="AB2702">
        <f>IF($E2702="","",IF($AQ2702=1,0,IF($AP2702=1,Settings!$C$6,Settings!$C$7))*100)</f>
        <v/>
      </c>
      <c r="AC2702" s="7">
        <f>IF($E2702="","",Y2702*AB2702/100)</f>
        <v/>
      </c>
      <c r="AD2702" s="7">
        <f>IF($E2702="","",Y2702-AC2702)</f>
        <v/>
      </c>
      <c r="AE2702" s="7">
        <f>IF($E2702="","",AD2702-Q2702)</f>
        <v/>
      </c>
      <c r="AI2702" s="7" t="n"/>
      <c r="AL2702" s="11" t="n"/>
      <c r="AN2702">
        <f>IF($E2702="","",IF(COUNTIF($E$2:$E2702,$E2702)=1,1,0))</f>
        <v/>
      </c>
      <c r="AO2702">
        <f>IF($AN2702=1,SUMPRODUCT(--($AR$2:$AR$4001&lt;$AR2702))+1,"")</f>
        <v/>
      </c>
      <c r="AP2702">
        <f>IF($E2702="","",IF(OR($U2702=TRUE(),$U2702="TRUE"),1,0))</f>
        <v/>
      </c>
      <c r="AQ2702">
        <f>IF($E2702="","",IF($AA2702="Yes",1,0))</f>
        <v/>
      </c>
      <c r="AR2702">
        <f>IF($AN2702=1,IFERROR(VALUE(MID($E2702,2,20)),1000000000)+ROW()/100000,"")</f>
        <v/>
      </c>
    </row>
    <row r="2703">
      <c r="G2703" s="11" t="n"/>
      <c r="Q2703" s="7">
        <f>IF($E2703="","",P2703*Y2703/100)</f>
        <v/>
      </c>
      <c r="R2703" s="7" t="n"/>
      <c r="X2703" s="7" t="n"/>
      <c r="Y2703" s="7" t="n"/>
      <c r="AB2703">
        <f>IF($E2703="","",IF($AQ2703=1,0,IF($AP2703=1,Settings!$C$6,Settings!$C$7))*100)</f>
        <v/>
      </c>
      <c r="AC2703" s="7">
        <f>IF($E2703="","",Y2703*AB2703/100)</f>
        <v/>
      </c>
      <c r="AD2703" s="7">
        <f>IF($E2703="","",Y2703-AC2703)</f>
        <v/>
      </c>
      <c r="AE2703" s="7">
        <f>IF($E2703="","",AD2703-Q2703)</f>
        <v/>
      </c>
      <c r="AI2703" s="7" t="n"/>
      <c r="AL2703" s="11" t="n"/>
      <c r="AN2703">
        <f>IF($E2703="","",IF(COUNTIF($E$2:$E2703,$E2703)=1,1,0))</f>
        <v/>
      </c>
      <c r="AO2703">
        <f>IF($AN2703=1,SUMPRODUCT(--($AR$2:$AR$4001&lt;$AR2703))+1,"")</f>
        <v/>
      </c>
      <c r="AP2703">
        <f>IF($E2703="","",IF(OR($U2703=TRUE(),$U2703="TRUE"),1,0))</f>
        <v/>
      </c>
      <c r="AQ2703">
        <f>IF($E2703="","",IF($AA2703="Yes",1,0))</f>
        <v/>
      </c>
      <c r="AR2703">
        <f>IF($AN2703=1,IFERROR(VALUE(MID($E2703,2,20)),1000000000)+ROW()/100000,"")</f>
        <v/>
      </c>
    </row>
    <row r="2704">
      <c r="G2704" s="11" t="n"/>
      <c r="Q2704" s="7">
        <f>IF($E2704="","",P2704*Y2704/100)</f>
        <v/>
      </c>
      <c r="R2704" s="7" t="n"/>
      <c r="X2704" s="7" t="n"/>
      <c r="Y2704" s="7" t="n"/>
      <c r="AB2704">
        <f>IF($E2704="","",IF($AQ2704=1,0,IF($AP2704=1,Settings!$C$6,Settings!$C$7))*100)</f>
        <v/>
      </c>
      <c r="AC2704" s="7">
        <f>IF($E2704="","",Y2704*AB2704/100)</f>
        <v/>
      </c>
      <c r="AD2704" s="7">
        <f>IF($E2704="","",Y2704-AC2704)</f>
        <v/>
      </c>
      <c r="AE2704" s="7">
        <f>IF($E2704="","",AD2704-Q2704)</f>
        <v/>
      </c>
      <c r="AI2704" s="7" t="n"/>
      <c r="AL2704" s="11" t="n"/>
      <c r="AN2704">
        <f>IF($E2704="","",IF(COUNTIF($E$2:$E2704,$E2704)=1,1,0))</f>
        <v/>
      </c>
      <c r="AO2704">
        <f>IF($AN2704=1,SUMPRODUCT(--($AR$2:$AR$4001&lt;$AR2704))+1,"")</f>
        <v/>
      </c>
      <c r="AP2704">
        <f>IF($E2704="","",IF(OR($U2704=TRUE(),$U2704="TRUE"),1,0))</f>
        <v/>
      </c>
      <c r="AQ2704">
        <f>IF($E2704="","",IF($AA2704="Yes",1,0))</f>
        <v/>
      </c>
      <c r="AR2704">
        <f>IF($AN2704=1,IFERROR(VALUE(MID($E2704,2,20)),1000000000)+ROW()/100000,"")</f>
        <v/>
      </c>
    </row>
    <row r="2705">
      <c r="G2705" s="11" t="n"/>
      <c r="Q2705" s="7">
        <f>IF($E2705="","",P2705*Y2705/100)</f>
        <v/>
      </c>
      <c r="R2705" s="7" t="n"/>
      <c r="X2705" s="7" t="n"/>
      <c r="Y2705" s="7" t="n"/>
      <c r="AB2705">
        <f>IF($E2705="","",IF($AQ2705=1,0,IF($AP2705=1,Settings!$C$6,Settings!$C$7))*100)</f>
        <v/>
      </c>
      <c r="AC2705" s="7">
        <f>IF($E2705="","",Y2705*AB2705/100)</f>
        <v/>
      </c>
      <c r="AD2705" s="7">
        <f>IF($E2705="","",Y2705-AC2705)</f>
        <v/>
      </c>
      <c r="AE2705" s="7">
        <f>IF($E2705="","",AD2705-Q2705)</f>
        <v/>
      </c>
      <c r="AI2705" s="7" t="n"/>
      <c r="AL2705" s="11" t="n"/>
      <c r="AN2705">
        <f>IF($E2705="","",IF(COUNTIF($E$2:$E2705,$E2705)=1,1,0))</f>
        <v/>
      </c>
      <c r="AO2705">
        <f>IF($AN2705=1,SUMPRODUCT(--($AR$2:$AR$4001&lt;$AR2705))+1,"")</f>
        <v/>
      </c>
      <c r="AP2705">
        <f>IF($E2705="","",IF(OR($U2705=TRUE(),$U2705="TRUE"),1,0))</f>
        <v/>
      </c>
      <c r="AQ2705">
        <f>IF($E2705="","",IF($AA2705="Yes",1,0))</f>
        <v/>
      </c>
      <c r="AR2705">
        <f>IF($AN2705=1,IFERROR(VALUE(MID($E2705,2,20)),1000000000)+ROW()/100000,"")</f>
        <v/>
      </c>
    </row>
    <row r="2706">
      <c r="G2706" s="11" t="n"/>
      <c r="Q2706" s="7">
        <f>IF($E2706="","",P2706*Y2706/100)</f>
        <v/>
      </c>
      <c r="R2706" s="7" t="n"/>
      <c r="X2706" s="7" t="n"/>
      <c r="Y2706" s="7" t="n"/>
      <c r="AB2706">
        <f>IF($E2706="","",IF($AQ2706=1,0,IF($AP2706=1,Settings!$C$6,Settings!$C$7))*100)</f>
        <v/>
      </c>
      <c r="AC2706" s="7">
        <f>IF($E2706="","",Y2706*AB2706/100)</f>
        <v/>
      </c>
      <c r="AD2706" s="7">
        <f>IF($E2706="","",Y2706-AC2706)</f>
        <v/>
      </c>
      <c r="AE2706" s="7">
        <f>IF($E2706="","",AD2706-Q2706)</f>
        <v/>
      </c>
      <c r="AI2706" s="7" t="n"/>
      <c r="AL2706" s="11" t="n"/>
      <c r="AN2706">
        <f>IF($E2706="","",IF(COUNTIF($E$2:$E2706,$E2706)=1,1,0))</f>
        <v/>
      </c>
      <c r="AO2706">
        <f>IF($AN2706=1,SUMPRODUCT(--($AR$2:$AR$4001&lt;$AR2706))+1,"")</f>
        <v/>
      </c>
      <c r="AP2706">
        <f>IF($E2706="","",IF(OR($U2706=TRUE(),$U2706="TRUE"),1,0))</f>
        <v/>
      </c>
      <c r="AQ2706">
        <f>IF($E2706="","",IF($AA2706="Yes",1,0))</f>
        <v/>
      </c>
      <c r="AR2706">
        <f>IF($AN2706=1,IFERROR(VALUE(MID($E2706,2,20)),1000000000)+ROW()/100000,"")</f>
        <v/>
      </c>
    </row>
    <row r="2707">
      <c r="G2707" s="11" t="n"/>
      <c r="Q2707" s="7">
        <f>IF($E2707="","",P2707*Y2707/100)</f>
        <v/>
      </c>
      <c r="R2707" s="7" t="n"/>
      <c r="X2707" s="7" t="n"/>
      <c r="Y2707" s="7" t="n"/>
      <c r="AB2707">
        <f>IF($E2707="","",IF($AQ2707=1,0,IF($AP2707=1,Settings!$C$6,Settings!$C$7))*100)</f>
        <v/>
      </c>
      <c r="AC2707" s="7">
        <f>IF($E2707="","",Y2707*AB2707/100)</f>
        <v/>
      </c>
      <c r="AD2707" s="7">
        <f>IF($E2707="","",Y2707-AC2707)</f>
        <v/>
      </c>
      <c r="AE2707" s="7">
        <f>IF($E2707="","",AD2707-Q2707)</f>
        <v/>
      </c>
      <c r="AI2707" s="7" t="n"/>
      <c r="AL2707" s="11" t="n"/>
      <c r="AN2707">
        <f>IF($E2707="","",IF(COUNTIF($E$2:$E2707,$E2707)=1,1,0))</f>
        <v/>
      </c>
      <c r="AO2707">
        <f>IF($AN2707=1,SUMPRODUCT(--($AR$2:$AR$4001&lt;$AR2707))+1,"")</f>
        <v/>
      </c>
      <c r="AP2707">
        <f>IF($E2707="","",IF(OR($U2707=TRUE(),$U2707="TRUE"),1,0))</f>
        <v/>
      </c>
      <c r="AQ2707">
        <f>IF($E2707="","",IF($AA2707="Yes",1,0))</f>
        <v/>
      </c>
      <c r="AR2707">
        <f>IF($AN2707=1,IFERROR(VALUE(MID($E2707,2,20)),1000000000)+ROW()/100000,"")</f>
        <v/>
      </c>
    </row>
    <row r="2708">
      <c r="G2708" s="11" t="n"/>
      <c r="Q2708" s="7">
        <f>IF($E2708="","",P2708*Y2708/100)</f>
        <v/>
      </c>
      <c r="R2708" s="7" t="n"/>
      <c r="X2708" s="7" t="n"/>
      <c r="Y2708" s="7" t="n"/>
      <c r="AB2708">
        <f>IF($E2708="","",IF($AQ2708=1,0,IF($AP2708=1,Settings!$C$6,Settings!$C$7))*100)</f>
        <v/>
      </c>
      <c r="AC2708" s="7">
        <f>IF($E2708="","",Y2708*AB2708/100)</f>
        <v/>
      </c>
      <c r="AD2708" s="7">
        <f>IF($E2708="","",Y2708-AC2708)</f>
        <v/>
      </c>
      <c r="AE2708" s="7">
        <f>IF($E2708="","",AD2708-Q2708)</f>
        <v/>
      </c>
      <c r="AI2708" s="7" t="n"/>
      <c r="AL2708" s="11" t="n"/>
      <c r="AN2708">
        <f>IF($E2708="","",IF(COUNTIF($E$2:$E2708,$E2708)=1,1,0))</f>
        <v/>
      </c>
      <c r="AO2708">
        <f>IF($AN2708=1,SUMPRODUCT(--($AR$2:$AR$4001&lt;$AR2708))+1,"")</f>
        <v/>
      </c>
      <c r="AP2708">
        <f>IF($E2708="","",IF(OR($U2708=TRUE(),$U2708="TRUE"),1,0))</f>
        <v/>
      </c>
      <c r="AQ2708">
        <f>IF($E2708="","",IF($AA2708="Yes",1,0))</f>
        <v/>
      </c>
      <c r="AR2708">
        <f>IF($AN2708=1,IFERROR(VALUE(MID($E2708,2,20)),1000000000)+ROW()/100000,"")</f>
        <v/>
      </c>
    </row>
    <row r="2709">
      <c r="G2709" s="11" t="n"/>
      <c r="Q2709" s="7">
        <f>IF($E2709="","",P2709*Y2709/100)</f>
        <v/>
      </c>
      <c r="R2709" s="7" t="n"/>
      <c r="X2709" s="7" t="n"/>
      <c r="Y2709" s="7" t="n"/>
      <c r="AB2709">
        <f>IF($E2709="","",IF($AQ2709=1,0,IF($AP2709=1,Settings!$C$6,Settings!$C$7))*100)</f>
        <v/>
      </c>
      <c r="AC2709" s="7">
        <f>IF($E2709="","",Y2709*AB2709/100)</f>
        <v/>
      </c>
      <c r="AD2709" s="7">
        <f>IF($E2709="","",Y2709-AC2709)</f>
        <v/>
      </c>
      <c r="AE2709" s="7">
        <f>IF($E2709="","",AD2709-Q2709)</f>
        <v/>
      </c>
      <c r="AI2709" s="7" t="n"/>
      <c r="AL2709" s="11" t="n"/>
      <c r="AN2709">
        <f>IF($E2709="","",IF(COUNTIF($E$2:$E2709,$E2709)=1,1,0))</f>
        <v/>
      </c>
      <c r="AO2709">
        <f>IF($AN2709=1,SUMPRODUCT(--($AR$2:$AR$4001&lt;$AR2709))+1,"")</f>
        <v/>
      </c>
      <c r="AP2709">
        <f>IF($E2709="","",IF(OR($U2709=TRUE(),$U2709="TRUE"),1,0))</f>
        <v/>
      </c>
      <c r="AQ2709">
        <f>IF($E2709="","",IF($AA2709="Yes",1,0))</f>
        <v/>
      </c>
      <c r="AR2709">
        <f>IF($AN2709=1,IFERROR(VALUE(MID($E2709,2,20)),1000000000)+ROW()/100000,"")</f>
        <v/>
      </c>
    </row>
    <row r="2710">
      <c r="G2710" s="11" t="n"/>
      <c r="Q2710" s="7">
        <f>IF($E2710="","",P2710*Y2710/100)</f>
        <v/>
      </c>
      <c r="R2710" s="7" t="n"/>
      <c r="X2710" s="7" t="n"/>
      <c r="Y2710" s="7" t="n"/>
      <c r="AB2710">
        <f>IF($E2710="","",IF($AQ2710=1,0,IF($AP2710=1,Settings!$C$6,Settings!$C$7))*100)</f>
        <v/>
      </c>
      <c r="AC2710" s="7">
        <f>IF($E2710="","",Y2710*AB2710/100)</f>
        <v/>
      </c>
      <c r="AD2710" s="7">
        <f>IF($E2710="","",Y2710-AC2710)</f>
        <v/>
      </c>
      <c r="AE2710" s="7">
        <f>IF($E2710="","",AD2710-Q2710)</f>
        <v/>
      </c>
      <c r="AI2710" s="7" t="n"/>
      <c r="AL2710" s="11" t="n"/>
      <c r="AN2710">
        <f>IF($E2710="","",IF(COUNTIF($E$2:$E2710,$E2710)=1,1,0))</f>
        <v/>
      </c>
      <c r="AO2710">
        <f>IF($AN2710=1,SUMPRODUCT(--($AR$2:$AR$4001&lt;$AR2710))+1,"")</f>
        <v/>
      </c>
      <c r="AP2710">
        <f>IF($E2710="","",IF(OR($U2710=TRUE(),$U2710="TRUE"),1,0))</f>
        <v/>
      </c>
      <c r="AQ2710">
        <f>IF($E2710="","",IF($AA2710="Yes",1,0))</f>
        <v/>
      </c>
      <c r="AR2710">
        <f>IF($AN2710=1,IFERROR(VALUE(MID($E2710,2,20)),1000000000)+ROW()/100000,"")</f>
        <v/>
      </c>
    </row>
    <row r="2711">
      <c r="G2711" s="11" t="n"/>
      <c r="Q2711" s="7">
        <f>IF($E2711="","",P2711*Y2711/100)</f>
        <v/>
      </c>
      <c r="R2711" s="7" t="n"/>
      <c r="X2711" s="7" t="n"/>
      <c r="Y2711" s="7" t="n"/>
      <c r="AB2711">
        <f>IF($E2711="","",IF($AQ2711=1,0,IF($AP2711=1,Settings!$C$6,Settings!$C$7))*100)</f>
        <v/>
      </c>
      <c r="AC2711" s="7">
        <f>IF($E2711="","",Y2711*AB2711/100)</f>
        <v/>
      </c>
      <c r="AD2711" s="7">
        <f>IF($E2711="","",Y2711-AC2711)</f>
        <v/>
      </c>
      <c r="AE2711" s="7">
        <f>IF($E2711="","",AD2711-Q2711)</f>
        <v/>
      </c>
      <c r="AI2711" s="7" t="n"/>
      <c r="AL2711" s="11" t="n"/>
      <c r="AN2711">
        <f>IF($E2711="","",IF(COUNTIF($E$2:$E2711,$E2711)=1,1,0))</f>
        <v/>
      </c>
      <c r="AO2711">
        <f>IF($AN2711=1,SUMPRODUCT(--($AR$2:$AR$4001&lt;$AR2711))+1,"")</f>
        <v/>
      </c>
      <c r="AP2711">
        <f>IF($E2711="","",IF(OR($U2711=TRUE(),$U2711="TRUE"),1,0))</f>
        <v/>
      </c>
      <c r="AQ2711">
        <f>IF($E2711="","",IF($AA2711="Yes",1,0))</f>
        <v/>
      </c>
      <c r="AR2711">
        <f>IF($AN2711=1,IFERROR(VALUE(MID($E2711,2,20)),1000000000)+ROW()/100000,"")</f>
        <v/>
      </c>
    </row>
    <row r="2712">
      <c r="G2712" s="11" t="n"/>
      <c r="Q2712" s="7">
        <f>IF($E2712="","",P2712*Y2712/100)</f>
        <v/>
      </c>
      <c r="R2712" s="7" t="n"/>
      <c r="X2712" s="7" t="n"/>
      <c r="Y2712" s="7" t="n"/>
      <c r="AB2712">
        <f>IF($E2712="","",IF($AQ2712=1,0,IF($AP2712=1,Settings!$C$6,Settings!$C$7))*100)</f>
        <v/>
      </c>
      <c r="AC2712" s="7">
        <f>IF($E2712="","",Y2712*AB2712/100)</f>
        <v/>
      </c>
      <c r="AD2712" s="7">
        <f>IF($E2712="","",Y2712-AC2712)</f>
        <v/>
      </c>
      <c r="AE2712" s="7">
        <f>IF($E2712="","",AD2712-Q2712)</f>
        <v/>
      </c>
      <c r="AI2712" s="7" t="n"/>
      <c r="AL2712" s="11" t="n"/>
      <c r="AN2712">
        <f>IF($E2712="","",IF(COUNTIF($E$2:$E2712,$E2712)=1,1,0))</f>
        <v/>
      </c>
      <c r="AO2712">
        <f>IF($AN2712=1,SUMPRODUCT(--($AR$2:$AR$4001&lt;$AR2712))+1,"")</f>
        <v/>
      </c>
      <c r="AP2712">
        <f>IF($E2712="","",IF(OR($U2712=TRUE(),$U2712="TRUE"),1,0))</f>
        <v/>
      </c>
      <c r="AQ2712">
        <f>IF($E2712="","",IF($AA2712="Yes",1,0))</f>
        <v/>
      </c>
      <c r="AR2712">
        <f>IF($AN2712=1,IFERROR(VALUE(MID($E2712,2,20)),1000000000)+ROW()/100000,"")</f>
        <v/>
      </c>
    </row>
    <row r="2713">
      <c r="G2713" s="11" t="n"/>
      <c r="Q2713" s="7">
        <f>IF($E2713="","",P2713*Y2713/100)</f>
        <v/>
      </c>
      <c r="R2713" s="7" t="n"/>
      <c r="X2713" s="7" t="n"/>
      <c r="Y2713" s="7" t="n"/>
      <c r="AB2713">
        <f>IF($E2713="","",IF($AQ2713=1,0,IF($AP2713=1,Settings!$C$6,Settings!$C$7))*100)</f>
        <v/>
      </c>
      <c r="AC2713" s="7">
        <f>IF($E2713="","",Y2713*AB2713/100)</f>
        <v/>
      </c>
      <c r="AD2713" s="7">
        <f>IF($E2713="","",Y2713-AC2713)</f>
        <v/>
      </c>
      <c r="AE2713" s="7">
        <f>IF($E2713="","",AD2713-Q2713)</f>
        <v/>
      </c>
      <c r="AI2713" s="7" t="n"/>
      <c r="AL2713" s="11" t="n"/>
      <c r="AN2713">
        <f>IF($E2713="","",IF(COUNTIF($E$2:$E2713,$E2713)=1,1,0))</f>
        <v/>
      </c>
      <c r="AO2713">
        <f>IF($AN2713=1,SUMPRODUCT(--($AR$2:$AR$4001&lt;$AR2713))+1,"")</f>
        <v/>
      </c>
      <c r="AP2713">
        <f>IF($E2713="","",IF(OR($U2713=TRUE(),$U2713="TRUE"),1,0))</f>
        <v/>
      </c>
      <c r="AQ2713">
        <f>IF($E2713="","",IF($AA2713="Yes",1,0))</f>
        <v/>
      </c>
      <c r="AR2713">
        <f>IF($AN2713=1,IFERROR(VALUE(MID($E2713,2,20)),1000000000)+ROW()/100000,"")</f>
        <v/>
      </c>
    </row>
    <row r="2714">
      <c r="G2714" s="11" t="n"/>
      <c r="Q2714" s="7">
        <f>IF($E2714="","",P2714*Y2714/100)</f>
        <v/>
      </c>
      <c r="R2714" s="7" t="n"/>
      <c r="X2714" s="7" t="n"/>
      <c r="Y2714" s="7" t="n"/>
      <c r="AB2714">
        <f>IF($E2714="","",IF($AQ2714=1,0,IF($AP2714=1,Settings!$C$6,Settings!$C$7))*100)</f>
        <v/>
      </c>
      <c r="AC2714" s="7">
        <f>IF($E2714="","",Y2714*AB2714/100)</f>
        <v/>
      </c>
      <c r="AD2714" s="7">
        <f>IF($E2714="","",Y2714-AC2714)</f>
        <v/>
      </c>
      <c r="AE2714" s="7">
        <f>IF($E2714="","",AD2714-Q2714)</f>
        <v/>
      </c>
      <c r="AI2714" s="7" t="n"/>
      <c r="AL2714" s="11" t="n"/>
      <c r="AN2714">
        <f>IF($E2714="","",IF(COUNTIF($E$2:$E2714,$E2714)=1,1,0))</f>
        <v/>
      </c>
      <c r="AO2714">
        <f>IF($AN2714=1,SUMPRODUCT(--($AR$2:$AR$4001&lt;$AR2714))+1,"")</f>
        <v/>
      </c>
      <c r="AP2714">
        <f>IF($E2714="","",IF(OR($U2714=TRUE(),$U2714="TRUE"),1,0))</f>
        <v/>
      </c>
      <c r="AQ2714">
        <f>IF($E2714="","",IF($AA2714="Yes",1,0))</f>
        <v/>
      </c>
      <c r="AR2714">
        <f>IF($AN2714=1,IFERROR(VALUE(MID($E2714,2,20)),1000000000)+ROW()/100000,"")</f>
        <v/>
      </c>
    </row>
    <row r="2715">
      <c r="G2715" s="11" t="n"/>
      <c r="Q2715" s="7">
        <f>IF($E2715="","",P2715*Y2715/100)</f>
        <v/>
      </c>
      <c r="R2715" s="7" t="n"/>
      <c r="X2715" s="7" t="n"/>
      <c r="Y2715" s="7" t="n"/>
      <c r="AB2715">
        <f>IF($E2715="","",IF($AQ2715=1,0,IF($AP2715=1,Settings!$C$6,Settings!$C$7))*100)</f>
        <v/>
      </c>
      <c r="AC2715" s="7">
        <f>IF($E2715="","",Y2715*AB2715/100)</f>
        <v/>
      </c>
      <c r="AD2715" s="7">
        <f>IF($E2715="","",Y2715-AC2715)</f>
        <v/>
      </c>
      <c r="AE2715" s="7">
        <f>IF($E2715="","",AD2715-Q2715)</f>
        <v/>
      </c>
      <c r="AI2715" s="7" t="n"/>
      <c r="AL2715" s="11" t="n"/>
      <c r="AN2715">
        <f>IF($E2715="","",IF(COUNTIF($E$2:$E2715,$E2715)=1,1,0))</f>
        <v/>
      </c>
      <c r="AO2715">
        <f>IF($AN2715=1,SUMPRODUCT(--($AR$2:$AR$4001&lt;$AR2715))+1,"")</f>
        <v/>
      </c>
      <c r="AP2715">
        <f>IF($E2715="","",IF(OR($U2715=TRUE(),$U2715="TRUE"),1,0))</f>
        <v/>
      </c>
      <c r="AQ2715">
        <f>IF($E2715="","",IF($AA2715="Yes",1,0))</f>
        <v/>
      </c>
      <c r="AR2715">
        <f>IF($AN2715=1,IFERROR(VALUE(MID($E2715,2,20)),1000000000)+ROW()/100000,"")</f>
        <v/>
      </c>
    </row>
    <row r="2716">
      <c r="G2716" s="11" t="n"/>
      <c r="Q2716" s="7">
        <f>IF($E2716="","",P2716*Y2716/100)</f>
        <v/>
      </c>
      <c r="R2716" s="7" t="n"/>
      <c r="X2716" s="7" t="n"/>
      <c r="Y2716" s="7" t="n"/>
      <c r="AB2716">
        <f>IF($E2716="","",IF($AQ2716=1,0,IF($AP2716=1,Settings!$C$6,Settings!$C$7))*100)</f>
        <v/>
      </c>
      <c r="AC2716" s="7">
        <f>IF($E2716="","",Y2716*AB2716/100)</f>
        <v/>
      </c>
      <c r="AD2716" s="7">
        <f>IF($E2716="","",Y2716-AC2716)</f>
        <v/>
      </c>
      <c r="AE2716" s="7">
        <f>IF($E2716="","",AD2716-Q2716)</f>
        <v/>
      </c>
      <c r="AI2716" s="7" t="n"/>
      <c r="AL2716" s="11" t="n"/>
      <c r="AN2716">
        <f>IF($E2716="","",IF(COUNTIF($E$2:$E2716,$E2716)=1,1,0))</f>
        <v/>
      </c>
      <c r="AO2716">
        <f>IF($AN2716=1,SUMPRODUCT(--($AR$2:$AR$4001&lt;$AR2716))+1,"")</f>
        <v/>
      </c>
      <c r="AP2716">
        <f>IF($E2716="","",IF(OR($U2716=TRUE(),$U2716="TRUE"),1,0))</f>
        <v/>
      </c>
      <c r="AQ2716">
        <f>IF($E2716="","",IF($AA2716="Yes",1,0))</f>
        <v/>
      </c>
      <c r="AR2716">
        <f>IF($AN2716=1,IFERROR(VALUE(MID($E2716,2,20)),1000000000)+ROW()/100000,"")</f>
        <v/>
      </c>
    </row>
    <row r="2717">
      <c r="G2717" s="11" t="n"/>
      <c r="Q2717" s="7">
        <f>IF($E2717="","",P2717*Y2717/100)</f>
        <v/>
      </c>
      <c r="R2717" s="7" t="n"/>
      <c r="X2717" s="7" t="n"/>
      <c r="Y2717" s="7" t="n"/>
      <c r="AB2717">
        <f>IF($E2717="","",IF($AQ2717=1,0,IF($AP2717=1,Settings!$C$6,Settings!$C$7))*100)</f>
        <v/>
      </c>
      <c r="AC2717" s="7">
        <f>IF($E2717="","",Y2717*AB2717/100)</f>
        <v/>
      </c>
      <c r="AD2717" s="7">
        <f>IF($E2717="","",Y2717-AC2717)</f>
        <v/>
      </c>
      <c r="AE2717" s="7">
        <f>IF($E2717="","",AD2717-Q2717)</f>
        <v/>
      </c>
      <c r="AI2717" s="7" t="n"/>
      <c r="AL2717" s="11" t="n"/>
      <c r="AN2717">
        <f>IF($E2717="","",IF(COUNTIF($E$2:$E2717,$E2717)=1,1,0))</f>
        <v/>
      </c>
      <c r="AO2717">
        <f>IF($AN2717=1,SUMPRODUCT(--($AR$2:$AR$4001&lt;$AR2717))+1,"")</f>
        <v/>
      </c>
      <c r="AP2717">
        <f>IF($E2717="","",IF(OR($U2717=TRUE(),$U2717="TRUE"),1,0))</f>
        <v/>
      </c>
      <c r="AQ2717">
        <f>IF($E2717="","",IF($AA2717="Yes",1,0))</f>
        <v/>
      </c>
      <c r="AR2717">
        <f>IF($AN2717=1,IFERROR(VALUE(MID($E2717,2,20)),1000000000)+ROW()/100000,"")</f>
        <v/>
      </c>
    </row>
    <row r="2718">
      <c r="G2718" s="11" t="n"/>
      <c r="Q2718" s="7">
        <f>IF($E2718="","",P2718*Y2718/100)</f>
        <v/>
      </c>
      <c r="R2718" s="7" t="n"/>
      <c r="X2718" s="7" t="n"/>
      <c r="Y2718" s="7" t="n"/>
      <c r="AB2718">
        <f>IF($E2718="","",IF($AQ2718=1,0,IF($AP2718=1,Settings!$C$6,Settings!$C$7))*100)</f>
        <v/>
      </c>
      <c r="AC2718" s="7">
        <f>IF($E2718="","",Y2718*AB2718/100)</f>
        <v/>
      </c>
      <c r="AD2718" s="7">
        <f>IF($E2718="","",Y2718-AC2718)</f>
        <v/>
      </c>
      <c r="AE2718" s="7">
        <f>IF($E2718="","",AD2718-Q2718)</f>
        <v/>
      </c>
      <c r="AI2718" s="7" t="n"/>
      <c r="AL2718" s="11" t="n"/>
      <c r="AN2718">
        <f>IF($E2718="","",IF(COUNTIF($E$2:$E2718,$E2718)=1,1,0))</f>
        <v/>
      </c>
      <c r="AO2718">
        <f>IF($AN2718=1,SUMPRODUCT(--($AR$2:$AR$4001&lt;$AR2718))+1,"")</f>
        <v/>
      </c>
      <c r="AP2718">
        <f>IF($E2718="","",IF(OR($U2718=TRUE(),$U2718="TRUE"),1,0))</f>
        <v/>
      </c>
      <c r="AQ2718">
        <f>IF($E2718="","",IF($AA2718="Yes",1,0))</f>
        <v/>
      </c>
      <c r="AR2718">
        <f>IF($AN2718=1,IFERROR(VALUE(MID($E2718,2,20)),1000000000)+ROW()/100000,"")</f>
        <v/>
      </c>
    </row>
    <row r="2719">
      <c r="G2719" s="11" t="n"/>
      <c r="Q2719" s="7">
        <f>IF($E2719="","",P2719*Y2719/100)</f>
        <v/>
      </c>
      <c r="R2719" s="7" t="n"/>
      <c r="X2719" s="7" t="n"/>
      <c r="Y2719" s="7" t="n"/>
      <c r="AB2719">
        <f>IF($E2719="","",IF($AQ2719=1,0,IF($AP2719=1,Settings!$C$6,Settings!$C$7))*100)</f>
        <v/>
      </c>
      <c r="AC2719" s="7">
        <f>IF($E2719="","",Y2719*AB2719/100)</f>
        <v/>
      </c>
      <c r="AD2719" s="7">
        <f>IF($E2719="","",Y2719-AC2719)</f>
        <v/>
      </c>
      <c r="AE2719" s="7">
        <f>IF($E2719="","",AD2719-Q2719)</f>
        <v/>
      </c>
      <c r="AI2719" s="7" t="n"/>
      <c r="AL2719" s="11" t="n"/>
      <c r="AN2719">
        <f>IF($E2719="","",IF(COUNTIF($E$2:$E2719,$E2719)=1,1,0))</f>
        <v/>
      </c>
      <c r="AO2719">
        <f>IF($AN2719=1,SUMPRODUCT(--($AR$2:$AR$4001&lt;$AR2719))+1,"")</f>
        <v/>
      </c>
      <c r="AP2719">
        <f>IF($E2719="","",IF(OR($U2719=TRUE(),$U2719="TRUE"),1,0))</f>
        <v/>
      </c>
      <c r="AQ2719">
        <f>IF($E2719="","",IF($AA2719="Yes",1,0))</f>
        <v/>
      </c>
      <c r="AR2719">
        <f>IF($AN2719=1,IFERROR(VALUE(MID($E2719,2,20)),1000000000)+ROW()/100000,"")</f>
        <v/>
      </c>
    </row>
    <row r="2720">
      <c r="G2720" s="11" t="n"/>
      <c r="Q2720" s="7">
        <f>IF($E2720="","",P2720*Y2720/100)</f>
        <v/>
      </c>
      <c r="R2720" s="7" t="n"/>
      <c r="X2720" s="7" t="n"/>
      <c r="Y2720" s="7" t="n"/>
      <c r="AB2720">
        <f>IF($E2720="","",IF($AQ2720=1,0,IF($AP2720=1,Settings!$C$6,Settings!$C$7))*100)</f>
        <v/>
      </c>
      <c r="AC2720" s="7">
        <f>IF($E2720="","",Y2720*AB2720/100)</f>
        <v/>
      </c>
      <c r="AD2720" s="7">
        <f>IF($E2720="","",Y2720-AC2720)</f>
        <v/>
      </c>
      <c r="AE2720" s="7">
        <f>IF($E2720="","",AD2720-Q2720)</f>
        <v/>
      </c>
      <c r="AI2720" s="7" t="n"/>
      <c r="AL2720" s="11" t="n"/>
      <c r="AN2720">
        <f>IF($E2720="","",IF(COUNTIF($E$2:$E2720,$E2720)=1,1,0))</f>
        <v/>
      </c>
      <c r="AO2720">
        <f>IF($AN2720=1,SUMPRODUCT(--($AR$2:$AR$4001&lt;$AR2720))+1,"")</f>
        <v/>
      </c>
      <c r="AP2720">
        <f>IF($E2720="","",IF(OR($U2720=TRUE(),$U2720="TRUE"),1,0))</f>
        <v/>
      </c>
      <c r="AQ2720">
        <f>IF($E2720="","",IF($AA2720="Yes",1,0))</f>
        <v/>
      </c>
      <c r="AR2720">
        <f>IF($AN2720=1,IFERROR(VALUE(MID($E2720,2,20)),1000000000)+ROW()/100000,"")</f>
        <v/>
      </c>
    </row>
    <row r="2721">
      <c r="G2721" s="11" t="n"/>
      <c r="Q2721" s="7">
        <f>IF($E2721="","",P2721*Y2721/100)</f>
        <v/>
      </c>
      <c r="R2721" s="7" t="n"/>
      <c r="X2721" s="7" t="n"/>
      <c r="Y2721" s="7" t="n"/>
      <c r="AB2721">
        <f>IF($E2721="","",IF($AQ2721=1,0,IF($AP2721=1,Settings!$C$6,Settings!$C$7))*100)</f>
        <v/>
      </c>
      <c r="AC2721" s="7">
        <f>IF($E2721="","",Y2721*AB2721/100)</f>
        <v/>
      </c>
      <c r="AD2721" s="7">
        <f>IF($E2721="","",Y2721-AC2721)</f>
        <v/>
      </c>
      <c r="AE2721" s="7">
        <f>IF($E2721="","",AD2721-Q2721)</f>
        <v/>
      </c>
      <c r="AI2721" s="7" t="n"/>
      <c r="AL2721" s="11" t="n"/>
      <c r="AN2721">
        <f>IF($E2721="","",IF(COUNTIF($E$2:$E2721,$E2721)=1,1,0))</f>
        <v/>
      </c>
      <c r="AO2721">
        <f>IF($AN2721=1,SUMPRODUCT(--($AR$2:$AR$4001&lt;$AR2721))+1,"")</f>
        <v/>
      </c>
      <c r="AP2721">
        <f>IF($E2721="","",IF(OR($U2721=TRUE(),$U2721="TRUE"),1,0))</f>
        <v/>
      </c>
      <c r="AQ2721">
        <f>IF($E2721="","",IF($AA2721="Yes",1,0))</f>
        <v/>
      </c>
      <c r="AR2721">
        <f>IF($AN2721=1,IFERROR(VALUE(MID($E2721,2,20)),1000000000)+ROW()/100000,"")</f>
        <v/>
      </c>
    </row>
    <row r="2722">
      <c r="G2722" s="11" t="n"/>
      <c r="Q2722" s="7">
        <f>IF($E2722="","",P2722*Y2722/100)</f>
        <v/>
      </c>
      <c r="R2722" s="7" t="n"/>
      <c r="X2722" s="7" t="n"/>
      <c r="Y2722" s="7" t="n"/>
      <c r="AB2722">
        <f>IF($E2722="","",IF($AQ2722=1,0,IF($AP2722=1,Settings!$C$6,Settings!$C$7))*100)</f>
        <v/>
      </c>
      <c r="AC2722" s="7">
        <f>IF($E2722="","",Y2722*AB2722/100)</f>
        <v/>
      </c>
      <c r="AD2722" s="7">
        <f>IF($E2722="","",Y2722-AC2722)</f>
        <v/>
      </c>
      <c r="AE2722" s="7">
        <f>IF($E2722="","",AD2722-Q2722)</f>
        <v/>
      </c>
      <c r="AI2722" s="7" t="n"/>
      <c r="AL2722" s="11" t="n"/>
      <c r="AN2722">
        <f>IF($E2722="","",IF(COUNTIF($E$2:$E2722,$E2722)=1,1,0))</f>
        <v/>
      </c>
      <c r="AO2722">
        <f>IF($AN2722=1,SUMPRODUCT(--($AR$2:$AR$4001&lt;$AR2722))+1,"")</f>
        <v/>
      </c>
      <c r="AP2722">
        <f>IF($E2722="","",IF(OR($U2722=TRUE(),$U2722="TRUE"),1,0))</f>
        <v/>
      </c>
      <c r="AQ2722">
        <f>IF($E2722="","",IF($AA2722="Yes",1,0))</f>
        <v/>
      </c>
      <c r="AR2722">
        <f>IF($AN2722=1,IFERROR(VALUE(MID($E2722,2,20)),1000000000)+ROW()/100000,"")</f>
        <v/>
      </c>
    </row>
    <row r="2723">
      <c r="G2723" s="11" t="n"/>
      <c r="Q2723" s="7">
        <f>IF($E2723="","",P2723*Y2723/100)</f>
        <v/>
      </c>
      <c r="R2723" s="7" t="n"/>
      <c r="X2723" s="7" t="n"/>
      <c r="Y2723" s="7" t="n"/>
      <c r="AB2723">
        <f>IF($E2723="","",IF($AQ2723=1,0,IF($AP2723=1,Settings!$C$6,Settings!$C$7))*100)</f>
        <v/>
      </c>
      <c r="AC2723" s="7">
        <f>IF($E2723="","",Y2723*AB2723/100)</f>
        <v/>
      </c>
      <c r="AD2723" s="7">
        <f>IF($E2723="","",Y2723-AC2723)</f>
        <v/>
      </c>
      <c r="AE2723" s="7">
        <f>IF($E2723="","",AD2723-Q2723)</f>
        <v/>
      </c>
      <c r="AI2723" s="7" t="n"/>
      <c r="AL2723" s="11" t="n"/>
      <c r="AN2723">
        <f>IF($E2723="","",IF(COUNTIF($E$2:$E2723,$E2723)=1,1,0))</f>
        <v/>
      </c>
      <c r="AO2723">
        <f>IF($AN2723=1,SUMPRODUCT(--($AR$2:$AR$4001&lt;$AR2723))+1,"")</f>
        <v/>
      </c>
      <c r="AP2723">
        <f>IF($E2723="","",IF(OR($U2723=TRUE(),$U2723="TRUE"),1,0))</f>
        <v/>
      </c>
      <c r="AQ2723">
        <f>IF($E2723="","",IF($AA2723="Yes",1,0))</f>
        <v/>
      </c>
      <c r="AR2723">
        <f>IF($AN2723=1,IFERROR(VALUE(MID($E2723,2,20)),1000000000)+ROW()/100000,"")</f>
        <v/>
      </c>
    </row>
    <row r="2724">
      <c r="G2724" s="11" t="n"/>
      <c r="Q2724" s="7">
        <f>IF($E2724="","",P2724*Y2724/100)</f>
        <v/>
      </c>
      <c r="R2724" s="7" t="n"/>
      <c r="X2724" s="7" t="n"/>
      <c r="Y2724" s="7" t="n"/>
      <c r="AB2724">
        <f>IF($E2724="","",IF($AQ2724=1,0,IF($AP2724=1,Settings!$C$6,Settings!$C$7))*100)</f>
        <v/>
      </c>
      <c r="AC2724" s="7">
        <f>IF($E2724="","",Y2724*AB2724/100)</f>
        <v/>
      </c>
      <c r="AD2724" s="7">
        <f>IF($E2724="","",Y2724-AC2724)</f>
        <v/>
      </c>
      <c r="AE2724" s="7">
        <f>IF($E2724="","",AD2724-Q2724)</f>
        <v/>
      </c>
      <c r="AI2724" s="7" t="n"/>
      <c r="AL2724" s="11" t="n"/>
      <c r="AN2724">
        <f>IF($E2724="","",IF(COUNTIF($E$2:$E2724,$E2724)=1,1,0))</f>
        <v/>
      </c>
      <c r="AO2724">
        <f>IF($AN2724=1,SUMPRODUCT(--($AR$2:$AR$4001&lt;$AR2724))+1,"")</f>
        <v/>
      </c>
      <c r="AP2724">
        <f>IF($E2724="","",IF(OR($U2724=TRUE(),$U2724="TRUE"),1,0))</f>
        <v/>
      </c>
      <c r="AQ2724">
        <f>IF($E2724="","",IF($AA2724="Yes",1,0))</f>
        <v/>
      </c>
      <c r="AR2724">
        <f>IF($AN2724=1,IFERROR(VALUE(MID($E2724,2,20)),1000000000)+ROW()/100000,"")</f>
        <v/>
      </c>
    </row>
    <row r="2725">
      <c r="G2725" s="11" t="n"/>
      <c r="Q2725" s="7">
        <f>IF($E2725="","",P2725*Y2725/100)</f>
        <v/>
      </c>
      <c r="R2725" s="7" t="n"/>
      <c r="X2725" s="7" t="n"/>
      <c r="Y2725" s="7" t="n"/>
      <c r="AB2725">
        <f>IF($E2725="","",IF($AQ2725=1,0,IF($AP2725=1,Settings!$C$6,Settings!$C$7))*100)</f>
        <v/>
      </c>
      <c r="AC2725" s="7">
        <f>IF($E2725="","",Y2725*AB2725/100)</f>
        <v/>
      </c>
      <c r="AD2725" s="7">
        <f>IF($E2725="","",Y2725-AC2725)</f>
        <v/>
      </c>
      <c r="AE2725" s="7">
        <f>IF($E2725="","",AD2725-Q2725)</f>
        <v/>
      </c>
      <c r="AI2725" s="7" t="n"/>
      <c r="AL2725" s="11" t="n"/>
      <c r="AN2725">
        <f>IF($E2725="","",IF(COUNTIF($E$2:$E2725,$E2725)=1,1,0))</f>
        <v/>
      </c>
      <c r="AO2725">
        <f>IF($AN2725=1,SUMPRODUCT(--($AR$2:$AR$4001&lt;$AR2725))+1,"")</f>
        <v/>
      </c>
      <c r="AP2725">
        <f>IF($E2725="","",IF(OR($U2725=TRUE(),$U2725="TRUE"),1,0))</f>
        <v/>
      </c>
      <c r="AQ2725">
        <f>IF($E2725="","",IF($AA2725="Yes",1,0))</f>
        <v/>
      </c>
      <c r="AR2725">
        <f>IF($AN2725=1,IFERROR(VALUE(MID($E2725,2,20)),1000000000)+ROW()/100000,"")</f>
        <v/>
      </c>
    </row>
    <row r="2726">
      <c r="G2726" s="11" t="n"/>
      <c r="Q2726" s="7">
        <f>IF($E2726="","",P2726*Y2726/100)</f>
        <v/>
      </c>
      <c r="R2726" s="7" t="n"/>
      <c r="X2726" s="7" t="n"/>
      <c r="Y2726" s="7" t="n"/>
      <c r="AB2726">
        <f>IF($E2726="","",IF($AQ2726=1,0,IF($AP2726=1,Settings!$C$6,Settings!$C$7))*100)</f>
        <v/>
      </c>
      <c r="AC2726" s="7">
        <f>IF($E2726="","",Y2726*AB2726/100)</f>
        <v/>
      </c>
      <c r="AD2726" s="7">
        <f>IF($E2726="","",Y2726-AC2726)</f>
        <v/>
      </c>
      <c r="AE2726" s="7">
        <f>IF($E2726="","",AD2726-Q2726)</f>
        <v/>
      </c>
      <c r="AI2726" s="7" t="n"/>
      <c r="AL2726" s="11" t="n"/>
      <c r="AN2726">
        <f>IF($E2726="","",IF(COUNTIF($E$2:$E2726,$E2726)=1,1,0))</f>
        <v/>
      </c>
      <c r="AO2726">
        <f>IF($AN2726=1,SUMPRODUCT(--($AR$2:$AR$4001&lt;$AR2726))+1,"")</f>
        <v/>
      </c>
      <c r="AP2726">
        <f>IF($E2726="","",IF(OR($U2726=TRUE(),$U2726="TRUE"),1,0))</f>
        <v/>
      </c>
      <c r="AQ2726">
        <f>IF($E2726="","",IF($AA2726="Yes",1,0))</f>
        <v/>
      </c>
      <c r="AR2726">
        <f>IF($AN2726=1,IFERROR(VALUE(MID($E2726,2,20)),1000000000)+ROW()/100000,"")</f>
        <v/>
      </c>
    </row>
    <row r="2727">
      <c r="G2727" s="11" t="n"/>
      <c r="Q2727" s="7">
        <f>IF($E2727="","",P2727*Y2727/100)</f>
        <v/>
      </c>
      <c r="R2727" s="7" t="n"/>
      <c r="X2727" s="7" t="n"/>
      <c r="Y2727" s="7" t="n"/>
      <c r="AB2727">
        <f>IF($E2727="","",IF($AQ2727=1,0,IF($AP2727=1,Settings!$C$6,Settings!$C$7))*100)</f>
        <v/>
      </c>
      <c r="AC2727" s="7">
        <f>IF($E2727="","",Y2727*AB2727/100)</f>
        <v/>
      </c>
      <c r="AD2727" s="7">
        <f>IF($E2727="","",Y2727-AC2727)</f>
        <v/>
      </c>
      <c r="AE2727" s="7">
        <f>IF($E2727="","",AD2727-Q2727)</f>
        <v/>
      </c>
      <c r="AI2727" s="7" t="n"/>
      <c r="AL2727" s="11" t="n"/>
      <c r="AN2727">
        <f>IF($E2727="","",IF(COUNTIF($E$2:$E2727,$E2727)=1,1,0))</f>
        <v/>
      </c>
      <c r="AO2727">
        <f>IF($AN2727=1,SUMPRODUCT(--($AR$2:$AR$4001&lt;$AR2727))+1,"")</f>
        <v/>
      </c>
      <c r="AP2727">
        <f>IF($E2727="","",IF(OR($U2727=TRUE(),$U2727="TRUE"),1,0))</f>
        <v/>
      </c>
      <c r="AQ2727">
        <f>IF($E2727="","",IF($AA2727="Yes",1,0))</f>
        <v/>
      </c>
      <c r="AR2727">
        <f>IF($AN2727=1,IFERROR(VALUE(MID($E2727,2,20)),1000000000)+ROW()/100000,"")</f>
        <v/>
      </c>
    </row>
    <row r="2728">
      <c r="G2728" s="11" t="n"/>
      <c r="Q2728" s="7">
        <f>IF($E2728="","",P2728*Y2728/100)</f>
        <v/>
      </c>
      <c r="R2728" s="7" t="n"/>
      <c r="X2728" s="7" t="n"/>
      <c r="Y2728" s="7" t="n"/>
      <c r="AB2728">
        <f>IF($E2728="","",IF($AQ2728=1,0,IF($AP2728=1,Settings!$C$6,Settings!$C$7))*100)</f>
        <v/>
      </c>
      <c r="AC2728" s="7">
        <f>IF($E2728="","",Y2728*AB2728/100)</f>
        <v/>
      </c>
      <c r="AD2728" s="7">
        <f>IF($E2728="","",Y2728-AC2728)</f>
        <v/>
      </c>
      <c r="AE2728" s="7">
        <f>IF($E2728="","",AD2728-Q2728)</f>
        <v/>
      </c>
      <c r="AI2728" s="7" t="n"/>
      <c r="AL2728" s="11" t="n"/>
      <c r="AN2728">
        <f>IF($E2728="","",IF(COUNTIF($E$2:$E2728,$E2728)=1,1,0))</f>
        <v/>
      </c>
      <c r="AO2728">
        <f>IF($AN2728=1,SUMPRODUCT(--($AR$2:$AR$4001&lt;$AR2728))+1,"")</f>
        <v/>
      </c>
      <c r="AP2728">
        <f>IF($E2728="","",IF(OR($U2728=TRUE(),$U2728="TRUE"),1,0))</f>
        <v/>
      </c>
      <c r="AQ2728">
        <f>IF($E2728="","",IF($AA2728="Yes",1,0))</f>
        <v/>
      </c>
      <c r="AR2728">
        <f>IF($AN2728=1,IFERROR(VALUE(MID($E2728,2,20)),1000000000)+ROW()/100000,"")</f>
        <v/>
      </c>
    </row>
    <row r="2729">
      <c r="G2729" s="11" t="n"/>
      <c r="Q2729" s="7">
        <f>IF($E2729="","",P2729*Y2729/100)</f>
        <v/>
      </c>
      <c r="R2729" s="7" t="n"/>
      <c r="X2729" s="7" t="n"/>
      <c r="Y2729" s="7" t="n"/>
      <c r="AB2729">
        <f>IF($E2729="","",IF($AQ2729=1,0,IF($AP2729=1,Settings!$C$6,Settings!$C$7))*100)</f>
        <v/>
      </c>
      <c r="AC2729" s="7">
        <f>IF($E2729="","",Y2729*AB2729/100)</f>
        <v/>
      </c>
      <c r="AD2729" s="7">
        <f>IF($E2729="","",Y2729-AC2729)</f>
        <v/>
      </c>
      <c r="AE2729" s="7">
        <f>IF($E2729="","",AD2729-Q2729)</f>
        <v/>
      </c>
      <c r="AI2729" s="7" t="n"/>
      <c r="AL2729" s="11" t="n"/>
      <c r="AN2729">
        <f>IF($E2729="","",IF(COUNTIF($E$2:$E2729,$E2729)=1,1,0))</f>
        <v/>
      </c>
      <c r="AO2729">
        <f>IF($AN2729=1,SUMPRODUCT(--($AR$2:$AR$4001&lt;$AR2729))+1,"")</f>
        <v/>
      </c>
      <c r="AP2729">
        <f>IF($E2729="","",IF(OR($U2729=TRUE(),$U2729="TRUE"),1,0))</f>
        <v/>
      </c>
      <c r="AQ2729">
        <f>IF($E2729="","",IF($AA2729="Yes",1,0))</f>
        <v/>
      </c>
      <c r="AR2729">
        <f>IF($AN2729=1,IFERROR(VALUE(MID($E2729,2,20)),1000000000)+ROW()/100000,"")</f>
        <v/>
      </c>
    </row>
    <row r="2730">
      <c r="G2730" s="11" t="n"/>
      <c r="Q2730" s="7">
        <f>IF($E2730="","",P2730*Y2730/100)</f>
        <v/>
      </c>
      <c r="R2730" s="7" t="n"/>
      <c r="X2730" s="7" t="n"/>
      <c r="Y2730" s="7" t="n"/>
      <c r="AB2730">
        <f>IF($E2730="","",IF($AQ2730=1,0,IF($AP2730=1,Settings!$C$6,Settings!$C$7))*100)</f>
        <v/>
      </c>
      <c r="AC2730" s="7">
        <f>IF($E2730="","",Y2730*AB2730/100)</f>
        <v/>
      </c>
      <c r="AD2730" s="7">
        <f>IF($E2730="","",Y2730-AC2730)</f>
        <v/>
      </c>
      <c r="AE2730" s="7">
        <f>IF($E2730="","",AD2730-Q2730)</f>
        <v/>
      </c>
      <c r="AI2730" s="7" t="n"/>
      <c r="AL2730" s="11" t="n"/>
      <c r="AN2730">
        <f>IF($E2730="","",IF(COUNTIF($E$2:$E2730,$E2730)=1,1,0))</f>
        <v/>
      </c>
      <c r="AO2730">
        <f>IF($AN2730=1,SUMPRODUCT(--($AR$2:$AR$4001&lt;$AR2730))+1,"")</f>
        <v/>
      </c>
      <c r="AP2730">
        <f>IF($E2730="","",IF(OR($U2730=TRUE(),$U2730="TRUE"),1,0))</f>
        <v/>
      </c>
      <c r="AQ2730">
        <f>IF($E2730="","",IF($AA2730="Yes",1,0))</f>
        <v/>
      </c>
      <c r="AR2730">
        <f>IF($AN2730=1,IFERROR(VALUE(MID($E2730,2,20)),1000000000)+ROW()/100000,"")</f>
        <v/>
      </c>
    </row>
    <row r="2731">
      <c r="G2731" s="11" t="n"/>
      <c r="Q2731" s="7">
        <f>IF($E2731="","",P2731*Y2731/100)</f>
        <v/>
      </c>
      <c r="R2731" s="7" t="n"/>
      <c r="X2731" s="7" t="n"/>
      <c r="Y2731" s="7" t="n"/>
      <c r="AB2731">
        <f>IF($E2731="","",IF($AQ2731=1,0,IF($AP2731=1,Settings!$C$6,Settings!$C$7))*100)</f>
        <v/>
      </c>
      <c r="AC2731" s="7">
        <f>IF($E2731="","",Y2731*AB2731/100)</f>
        <v/>
      </c>
      <c r="AD2731" s="7">
        <f>IF($E2731="","",Y2731-AC2731)</f>
        <v/>
      </c>
      <c r="AE2731" s="7">
        <f>IF($E2731="","",AD2731-Q2731)</f>
        <v/>
      </c>
      <c r="AI2731" s="7" t="n"/>
      <c r="AL2731" s="11" t="n"/>
      <c r="AN2731">
        <f>IF($E2731="","",IF(COUNTIF($E$2:$E2731,$E2731)=1,1,0))</f>
        <v/>
      </c>
      <c r="AO2731">
        <f>IF($AN2731=1,SUMPRODUCT(--($AR$2:$AR$4001&lt;$AR2731))+1,"")</f>
        <v/>
      </c>
      <c r="AP2731">
        <f>IF($E2731="","",IF(OR($U2731=TRUE(),$U2731="TRUE"),1,0))</f>
        <v/>
      </c>
      <c r="AQ2731">
        <f>IF($E2731="","",IF($AA2731="Yes",1,0))</f>
        <v/>
      </c>
      <c r="AR2731">
        <f>IF($AN2731=1,IFERROR(VALUE(MID($E2731,2,20)),1000000000)+ROW()/100000,"")</f>
        <v/>
      </c>
    </row>
    <row r="2732">
      <c r="G2732" s="11" t="n"/>
      <c r="Q2732" s="7">
        <f>IF($E2732="","",P2732*Y2732/100)</f>
        <v/>
      </c>
      <c r="R2732" s="7" t="n"/>
      <c r="X2732" s="7" t="n"/>
      <c r="Y2732" s="7" t="n"/>
      <c r="AB2732">
        <f>IF($E2732="","",IF($AQ2732=1,0,IF($AP2732=1,Settings!$C$6,Settings!$C$7))*100)</f>
        <v/>
      </c>
      <c r="AC2732" s="7">
        <f>IF($E2732="","",Y2732*AB2732/100)</f>
        <v/>
      </c>
      <c r="AD2732" s="7">
        <f>IF($E2732="","",Y2732-AC2732)</f>
        <v/>
      </c>
      <c r="AE2732" s="7">
        <f>IF($E2732="","",AD2732-Q2732)</f>
        <v/>
      </c>
      <c r="AI2732" s="7" t="n"/>
      <c r="AL2732" s="11" t="n"/>
      <c r="AN2732">
        <f>IF($E2732="","",IF(COUNTIF($E$2:$E2732,$E2732)=1,1,0))</f>
        <v/>
      </c>
      <c r="AO2732">
        <f>IF($AN2732=1,SUMPRODUCT(--($AR$2:$AR$4001&lt;$AR2732))+1,"")</f>
        <v/>
      </c>
      <c r="AP2732">
        <f>IF($E2732="","",IF(OR($U2732=TRUE(),$U2732="TRUE"),1,0))</f>
        <v/>
      </c>
      <c r="AQ2732">
        <f>IF($E2732="","",IF($AA2732="Yes",1,0))</f>
        <v/>
      </c>
      <c r="AR2732">
        <f>IF($AN2732=1,IFERROR(VALUE(MID($E2732,2,20)),1000000000)+ROW()/100000,"")</f>
        <v/>
      </c>
    </row>
    <row r="2733">
      <c r="G2733" s="11" t="n"/>
      <c r="Q2733" s="7">
        <f>IF($E2733="","",P2733*Y2733/100)</f>
        <v/>
      </c>
      <c r="R2733" s="7" t="n"/>
      <c r="X2733" s="7" t="n"/>
      <c r="Y2733" s="7" t="n"/>
      <c r="AB2733">
        <f>IF($E2733="","",IF($AQ2733=1,0,IF($AP2733=1,Settings!$C$6,Settings!$C$7))*100)</f>
        <v/>
      </c>
      <c r="AC2733" s="7">
        <f>IF($E2733="","",Y2733*AB2733/100)</f>
        <v/>
      </c>
      <c r="AD2733" s="7">
        <f>IF($E2733="","",Y2733-AC2733)</f>
        <v/>
      </c>
      <c r="AE2733" s="7">
        <f>IF($E2733="","",AD2733-Q2733)</f>
        <v/>
      </c>
      <c r="AI2733" s="7" t="n"/>
      <c r="AL2733" s="11" t="n"/>
      <c r="AN2733">
        <f>IF($E2733="","",IF(COUNTIF($E$2:$E2733,$E2733)=1,1,0))</f>
        <v/>
      </c>
      <c r="AO2733">
        <f>IF($AN2733=1,SUMPRODUCT(--($AR$2:$AR$4001&lt;$AR2733))+1,"")</f>
        <v/>
      </c>
      <c r="AP2733">
        <f>IF($E2733="","",IF(OR($U2733=TRUE(),$U2733="TRUE"),1,0))</f>
        <v/>
      </c>
      <c r="AQ2733">
        <f>IF($E2733="","",IF($AA2733="Yes",1,0))</f>
        <v/>
      </c>
      <c r="AR2733">
        <f>IF($AN2733=1,IFERROR(VALUE(MID($E2733,2,20)),1000000000)+ROW()/100000,"")</f>
        <v/>
      </c>
    </row>
    <row r="2734">
      <c r="G2734" s="11" t="n"/>
      <c r="Q2734" s="7">
        <f>IF($E2734="","",P2734*Y2734/100)</f>
        <v/>
      </c>
      <c r="R2734" s="7" t="n"/>
      <c r="X2734" s="7" t="n"/>
      <c r="Y2734" s="7" t="n"/>
      <c r="AB2734">
        <f>IF($E2734="","",IF($AQ2734=1,0,IF($AP2734=1,Settings!$C$6,Settings!$C$7))*100)</f>
        <v/>
      </c>
      <c r="AC2734" s="7">
        <f>IF($E2734="","",Y2734*AB2734/100)</f>
        <v/>
      </c>
      <c r="AD2734" s="7">
        <f>IF($E2734="","",Y2734-AC2734)</f>
        <v/>
      </c>
      <c r="AE2734" s="7">
        <f>IF($E2734="","",AD2734-Q2734)</f>
        <v/>
      </c>
      <c r="AI2734" s="7" t="n"/>
      <c r="AL2734" s="11" t="n"/>
      <c r="AN2734">
        <f>IF($E2734="","",IF(COUNTIF($E$2:$E2734,$E2734)=1,1,0))</f>
        <v/>
      </c>
      <c r="AO2734">
        <f>IF($AN2734=1,SUMPRODUCT(--($AR$2:$AR$4001&lt;$AR2734))+1,"")</f>
        <v/>
      </c>
      <c r="AP2734">
        <f>IF($E2734="","",IF(OR($U2734=TRUE(),$U2734="TRUE"),1,0))</f>
        <v/>
      </c>
      <c r="AQ2734">
        <f>IF($E2734="","",IF($AA2734="Yes",1,0))</f>
        <v/>
      </c>
      <c r="AR2734">
        <f>IF($AN2734=1,IFERROR(VALUE(MID($E2734,2,20)),1000000000)+ROW()/100000,"")</f>
        <v/>
      </c>
    </row>
    <row r="2735">
      <c r="G2735" s="11" t="n"/>
      <c r="Q2735" s="7">
        <f>IF($E2735="","",P2735*Y2735/100)</f>
        <v/>
      </c>
      <c r="R2735" s="7" t="n"/>
      <c r="X2735" s="7" t="n"/>
      <c r="Y2735" s="7" t="n"/>
      <c r="AB2735">
        <f>IF($E2735="","",IF($AQ2735=1,0,IF($AP2735=1,Settings!$C$6,Settings!$C$7))*100)</f>
        <v/>
      </c>
      <c r="AC2735" s="7">
        <f>IF($E2735="","",Y2735*AB2735/100)</f>
        <v/>
      </c>
      <c r="AD2735" s="7">
        <f>IF($E2735="","",Y2735-AC2735)</f>
        <v/>
      </c>
      <c r="AE2735" s="7">
        <f>IF($E2735="","",AD2735-Q2735)</f>
        <v/>
      </c>
      <c r="AI2735" s="7" t="n"/>
      <c r="AL2735" s="11" t="n"/>
      <c r="AN2735">
        <f>IF($E2735="","",IF(COUNTIF($E$2:$E2735,$E2735)=1,1,0))</f>
        <v/>
      </c>
      <c r="AO2735">
        <f>IF($AN2735=1,SUMPRODUCT(--($AR$2:$AR$4001&lt;$AR2735))+1,"")</f>
        <v/>
      </c>
      <c r="AP2735">
        <f>IF($E2735="","",IF(OR($U2735=TRUE(),$U2735="TRUE"),1,0))</f>
        <v/>
      </c>
      <c r="AQ2735">
        <f>IF($E2735="","",IF($AA2735="Yes",1,0))</f>
        <v/>
      </c>
      <c r="AR2735">
        <f>IF($AN2735=1,IFERROR(VALUE(MID($E2735,2,20)),1000000000)+ROW()/100000,"")</f>
        <v/>
      </c>
    </row>
    <row r="2736">
      <c r="G2736" s="11" t="n"/>
      <c r="Q2736" s="7">
        <f>IF($E2736="","",P2736*Y2736/100)</f>
        <v/>
      </c>
      <c r="R2736" s="7" t="n"/>
      <c r="X2736" s="7" t="n"/>
      <c r="Y2736" s="7" t="n"/>
      <c r="AB2736">
        <f>IF($E2736="","",IF($AQ2736=1,0,IF($AP2736=1,Settings!$C$6,Settings!$C$7))*100)</f>
        <v/>
      </c>
      <c r="AC2736" s="7">
        <f>IF($E2736="","",Y2736*AB2736/100)</f>
        <v/>
      </c>
      <c r="AD2736" s="7">
        <f>IF($E2736="","",Y2736-AC2736)</f>
        <v/>
      </c>
      <c r="AE2736" s="7">
        <f>IF($E2736="","",AD2736-Q2736)</f>
        <v/>
      </c>
      <c r="AI2736" s="7" t="n"/>
      <c r="AL2736" s="11" t="n"/>
      <c r="AN2736">
        <f>IF($E2736="","",IF(COUNTIF($E$2:$E2736,$E2736)=1,1,0))</f>
        <v/>
      </c>
      <c r="AO2736">
        <f>IF($AN2736=1,SUMPRODUCT(--($AR$2:$AR$4001&lt;$AR2736))+1,"")</f>
        <v/>
      </c>
      <c r="AP2736">
        <f>IF($E2736="","",IF(OR($U2736=TRUE(),$U2736="TRUE"),1,0))</f>
        <v/>
      </c>
      <c r="AQ2736">
        <f>IF($E2736="","",IF($AA2736="Yes",1,0))</f>
        <v/>
      </c>
      <c r="AR2736">
        <f>IF($AN2736=1,IFERROR(VALUE(MID($E2736,2,20)),1000000000)+ROW()/100000,"")</f>
        <v/>
      </c>
    </row>
    <row r="2737">
      <c r="G2737" s="11" t="n"/>
      <c r="Q2737" s="7">
        <f>IF($E2737="","",P2737*Y2737/100)</f>
        <v/>
      </c>
      <c r="R2737" s="7" t="n"/>
      <c r="X2737" s="7" t="n"/>
      <c r="Y2737" s="7" t="n"/>
      <c r="AB2737">
        <f>IF($E2737="","",IF($AQ2737=1,0,IF($AP2737=1,Settings!$C$6,Settings!$C$7))*100)</f>
        <v/>
      </c>
      <c r="AC2737" s="7">
        <f>IF($E2737="","",Y2737*AB2737/100)</f>
        <v/>
      </c>
      <c r="AD2737" s="7">
        <f>IF($E2737="","",Y2737-AC2737)</f>
        <v/>
      </c>
      <c r="AE2737" s="7">
        <f>IF($E2737="","",AD2737-Q2737)</f>
        <v/>
      </c>
      <c r="AI2737" s="7" t="n"/>
      <c r="AL2737" s="11" t="n"/>
      <c r="AN2737">
        <f>IF($E2737="","",IF(COUNTIF($E$2:$E2737,$E2737)=1,1,0))</f>
        <v/>
      </c>
      <c r="AO2737">
        <f>IF($AN2737=1,SUMPRODUCT(--($AR$2:$AR$4001&lt;$AR2737))+1,"")</f>
        <v/>
      </c>
      <c r="AP2737">
        <f>IF($E2737="","",IF(OR($U2737=TRUE(),$U2737="TRUE"),1,0))</f>
        <v/>
      </c>
      <c r="AQ2737">
        <f>IF($E2737="","",IF($AA2737="Yes",1,0))</f>
        <v/>
      </c>
      <c r="AR2737">
        <f>IF($AN2737=1,IFERROR(VALUE(MID($E2737,2,20)),1000000000)+ROW()/100000,"")</f>
        <v/>
      </c>
    </row>
    <row r="2738">
      <c r="G2738" s="11" t="n"/>
      <c r="Q2738" s="7">
        <f>IF($E2738="","",P2738*Y2738/100)</f>
        <v/>
      </c>
      <c r="R2738" s="7" t="n"/>
      <c r="X2738" s="7" t="n"/>
      <c r="Y2738" s="7" t="n"/>
      <c r="AB2738">
        <f>IF($E2738="","",IF($AQ2738=1,0,IF($AP2738=1,Settings!$C$6,Settings!$C$7))*100)</f>
        <v/>
      </c>
      <c r="AC2738" s="7">
        <f>IF($E2738="","",Y2738*AB2738/100)</f>
        <v/>
      </c>
      <c r="AD2738" s="7">
        <f>IF($E2738="","",Y2738-AC2738)</f>
        <v/>
      </c>
      <c r="AE2738" s="7">
        <f>IF($E2738="","",AD2738-Q2738)</f>
        <v/>
      </c>
      <c r="AI2738" s="7" t="n"/>
      <c r="AL2738" s="11" t="n"/>
      <c r="AN2738">
        <f>IF($E2738="","",IF(COUNTIF($E$2:$E2738,$E2738)=1,1,0))</f>
        <v/>
      </c>
      <c r="AO2738">
        <f>IF($AN2738=1,SUMPRODUCT(--($AR$2:$AR$4001&lt;$AR2738))+1,"")</f>
        <v/>
      </c>
      <c r="AP2738">
        <f>IF($E2738="","",IF(OR($U2738=TRUE(),$U2738="TRUE"),1,0))</f>
        <v/>
      </c>
      <c r="AQ2738">
        <f>IF($E2738="","",IF($AA2738="Yes",1,0))</f>
        <v/>
      </c>
      <c r="AR2738">
        <f>IF($AN2738=1,IFERROR(VALUE(MID($E2738,2,20)),1000000000)+ROW()/100000,"")</f>
        <v/>
      </c>
    </row>
    <row r="2739">
      <c r="G2739" s="11" t="n"/>
      <c r="Q2739" s="7">
        <f>IF($E2739="","",P2739*Y2739/100)</f>
        <v/>
      </c>
      <c r="R2739" s="7" t="n"/>
      <c r="X2739" s="7" t="n"/>
      <c r="Y2739" s="7" t="n"/>
      <c r="AB2739">
        <f>IF($E2739="","",IF($AQ2739=1,0,IF($AP2739=1,Settings!$C$6,Settings!$C$7))*100)</f>
        <v/>
      </c>
      <c r="AC2739" s="7">
        <f>IF($E2739="","",Y2739*AB2739/100)</f>
        <v/>
      </c>
      <c r="AD2739" s="7">
        <f>IF($E2739="","",Y2739-AC2739)</f>
        <v/>
      </c>
      <c r="AE2739" s="7">
        <f>IF($E2739="","",AD2739-Q2739)</f>
        <v/>
      </c>
      <c r="AI2739" s="7" t="n"/>
      <c r="AL2739" s="11" t="n"/>
      <c r="AN2739">
        <f>IF($E2739="","",IF(COUNTIF($E$2:$E2739,$E2739)=1,1,0))</f>
        <v/>
      </c>
      <c r="AO2739">
        <f>IF($AN2739=1,SUMPRODUCT(--($AR$2:$AR$4001&lt;$AR2739))+1,"")</f>
        <v/>
      </c>
      <c r="AP2739">
        <f>IF($E2739="","",IF(OR($U2739=TRUE(),$U2739="TRUE"),1,0))</f>
        <v/>
      </c>
      <c r="AQ2739">
        <f>IF($E2739="","",IF($AA2739="Yes",1,0))</f>
        <v/>
      </c>
      <c r="AR2739">
        <f>IF($AN2739=1,IFERROR(VALUE(MID($E2739,2,20)),1000000000)+ROW()/100000,"")</f>
        <v/>
      </c>
    </row>
    <row r="2740">
      <c r="G2740" s="11" t="n"/>
      <c r="Q2740" s="7">
        <f>IF($E2740="","",P2740*Y2740/100)</f>
        <v/>
      </c>
      <c r="R2740" s="7" t="n"/>
      <c r="X2740" s="7" t="n"/>
      <c r="Y2740" s="7" t="n"/>
      <c r="AB2740">
        <f>IF($E2740="","",IF($AQ2740=1,0,IF($AP2740=1,Settings!$C$6,Settings!$C$7))*100)</f>
        <v/>
      </c>
      <c r="AC2740" s="7">
        <f>IF($E2740="","",Y2740*AB2740/100)</f>
        <v/>
      </c>
      <c r="AD2740" s="7">
        <f>IF($E2740="","",Y2740-AC2740)</f>
        <v/>
      </c>
      <c r="AE2740" s="7">
        <f>IF($E2740="","",AD2740-Q2740)</f>
        <v/>
      </c>
      <c r="AI2740" s="7" t="n"/>
      <c r="AL2740" s="11" t="n"/>
      <c r="AN2740">
        <f>IF($E2740="","",IF(COUNTIF($E$2:$E2740,$E2740)=1,1,0))</f>
        <v/>
      </c>
      <c r="AO2740">
        <f>IF($AN2740=1,SUMPRODUCT(--($AR$2:$AR$4001&lt;$AR2740))+1,"")</f>
        <v/>
      </c>
      <c r="AP2740">
        <f>IF($E2740="","",IF(OR($U2740=TRUE(),$U2740="TRUE"),1,0))</f>
        <v/>
      </c>
      <c r="AQ2740">
        <f>IF($E2740="","",IF($AA2740="Yes",1,0))</f>
        <v/>
      </c>
      <c r="AR2740">
        <f>IF($AN2740=1,IFERROR(VALUE(MID($E2740,2,20)),1000000000)+ROW()/100000,"")</f>
        <v/>
      </c>
    </row>
    <row r="2741">
      <c r="G2741" s="11" t="n"/>
      <c r="Q2741" s="7">
        <f>IF($E2741="","",P2741*Y2741/100)</f>
        <v/>
      </c>
      <c r="R2741" s="7" t="n"/>
      <c r="X2741" s="7" t="n"/>
      <c r="Y2741" s="7" t="n"/>
      <c r="AB2741">
        <f>IF($E2741="","",IF($AQ2741=1,0,IF($AP2741=1,Settings!$C$6,Settings!$C$7))*100)</f>
        <v/>
      </c>
      <c r="AC2741" s="7">
        <f>IF($E2741="","",Y2741*AB2741/100)</f>
        <v/>
      </c>
      <c r="AD2741" s="7">
        <f>IF($E2741="","",Y2741-AC2741)</f>
        <v/>
      </c>
      <c r="AE2741" s="7">
        <f>IF($E2741="","",AD2741-Q2741)</f>
        <v/>
      </c>
      <c r="AI2741" s="7" t="n"/>
      <c r="AL2741" s="11" t="n"/>
      <c r="AN2741">
        <f>IF($E2741="","",IF(COUNTIF($E$2:$E2741,$E2741)=1,1,0))</f>
        <v/>
      </c>
      <c r="AO2741">
        <f>IF($AN2741=1,SUMPRODUCT(--($AR$2:$AR$4001&lt;$AR2741))+1,"")</f>
        <v/>
      </c>
      <c r="AP2741">
        <f>IF($E2741="","",IF(OR($U2741=TRUE(),$U2741="TRUE"),1,0))</f>
        <v/>
      </c>
      <c r="AQ2741">
        <f>IF($E2741="","",IF($AA2741="Yes",1,0))</f>
        <v/>
      </c>
      <c r="AR2741">
        <f>IF($AN2741=1,IFERROR(VALUE(MID($E2741,2,20)),1000000000)+ROW()/100000,"")</f>
        <v/>
      </c>
    </row>
    <row r="2742">
      <c r="G2742" s="11" t="n"/>
      <c r="Q2742" s="7">
        <f>IF($E2742="","",P2742*Y2742/100)</f>
        <v/>
      </c>
      <c r="R2742" s="7" t="n"/>
      <c r="X2742" s="7" t="n"/>
      <c r="Y2742" s="7" t="n"/>
      <c r="AB2742">
        <f>IF($E2742="","",IF($AQ2742=1,0,IF($AP2742=1,Settings!$C$6,Settings!$C$7))*100)</f>
        <v/>
      </c>
      <c r="AC2742" s="7">
        <f>IF($E2742="","",Y2742*AB2742/100)</f>
        <v/>
      </c>
      <c r="AD2742" s="7">
        <f>IF($E2742="","",Y2742-AC2742)</f>
        <v/>
      </c>
      <c r="AE2742" s="7">
        <f>IF($E2742="","",AD2742-Q2742)</f>
        <v/>
      </c>
      <c r="AI2742" s="7" t="n"/>
      <c r="AL2742" s="11" t="n"/>
      <c r="AN2742">
        <f>IF($E2742="","",IF(COUNTIF($E$2:$E2742,$E2742)=1,1,0))</f>
        <v/>
      </c>
      <c r="AO2742">
        <f>IF($AN2742=1,SUMPRODUCT(--($AR$2:$AR$4001&lt;$AR2742))+1,"")</f>
        <v/>
      </c>
      <c r="AP2742">
        <f>IF($E2742="","",IF(OR($U2742=TRUE(),$U2742="TRUE"),1,0))</f>
        <v/>
      </c>
      <c r="AQ2742">
        <f>IF($E2742="","",IF($AA2742="Yes",1,0))</f>
        <v/>
      </c>
      <c r="AR2742">
        <f>IF($AN2742=1,IFERROR(VALUE(MID($E2742,2,20)),1000000000)+ROW()/100000,"")</f>
        <v/>
      </c>
    </row>
    <row r="2743">
      <c r="G2743" s="11" t="n"/>
      <c r="Q2743" s="7">
        <f>IF($E2743="","",P2743*Y2743/100)</f>
        <v/>
      </c>
      <c r="R2743" s="7" t="n"/>
      <c r="X2743" s="7" t="n"/>
      <c r="Y2743" s="7" t="n"/>
      <c r="AB2743">
        <f>IF($E2743="","",IF($AQ2743=1,0,IF($AP2743=1,Settings!$C$6,Settings!$C$7))*100)</f>
        <v/>
      </c>
      <c r="AC2743" s="7">
        <f>IF($E2743="","",Y2743*AB2743/100)</f>
        <v/>
      </c>
      <c r="AD2743" s="7">
        <f>IF($E2743="","",Y2743-AC2743)</f>
        <v/>
      </c>
      <c r="AE2743" s="7">
        <f>IF($E2743="","",AD2743-Q2743)</f>
        <v/>
      </c>
      <c r="AI2743" s="7" t="n"/>
      <c r="AL2743" s="11" t="n"/>
      <c r="AN2743">
        <f>IF($E2743="","",IF(COUNTIF($E$2:$E2743,$E2743)=1,1,0))</f>
        <v/>
      </c>
      <c r="AO2743">
        <f>IF($AN2743=1,SUMPRODUCT(--($AR$2:$AR$4001&lt;$AR2743))+1,"")</f>
        <v/>
      </c>
      <c r="AP2743">
        <f>IF($E2743="","",IF(OR($U2743=TRUE(),$U2743="TRUE"),1,0))</f>
        <v/>
      </c>
      <c r="AQ2743">
        <f>IF($E2743="","",IF($AA2743="Yes",1,0))</f>
        <v/>
      </c>
      <c r="AR2743">
        <f>IF($AN2743=1,IFERROR(VALUE(MID($E2743,2,20)),1000000000)+ROW()/100000,"")</f>
        <v/>
      </c>
    </row>
    <row r="2744">
      <c r="G2744" s="11" t="n"/>
      <c r="Q2744" s="7">
        <f>IF($E2744="","",P2744*Y2744/100)</f>
        <v/>
      </c>
      <c r="R2744" s="7" t="n"/>
      <c r="X2744" s="7" t="n"/>
      <c r="Y2744" s="7" t="n"/>
      <c r="AB2744">
        <f>IF($E2744="","",IF($AQ2744=1,0,IF($AP2744=1,Settings!$C$6,Settings!$C$7))*100)</f>
        <v/>
      </c>
      <c r="AC2744" s="7">
        <f>IF($E2744="","",Y2744*AB2744/100)</f>
        <v/>
      </c>
      <c r="AD2744" s="7">
        <f>IF($E2744="","",Y2744-AC2744)</f>
        <v/>
      </c>
      <c r="AE2744" s="7">
        <f>IF($E2744="","",AD2744-Q2744)</f>
        <v/>
      </c>
      <c r="AI2744" s="7" t="n"/>
      <c r="AL2744" s="11" t="n"/>
      <c r="AN2744">
        <f>IF($E2744="","",IF(COUNTIF($E$2:$E2744,$E2744)=1,1,0))</f>
        <v/>
      </c>
      <c r="AO2744">
        <f>IF($AN2744=1,SUMPRODUCT(--($AR$2:$AR$4001&lt;$AR2744))+1,"")</f>
        <v/>
      </c>
      <c r="AP2744">
        <f>IF($E2744="","",IF(OR($U2744=TRUE(),$U2744="TRUE"),1,0))</f>
        <v/>
      </c>
      <c r="AQ2744">
        <f>IF($E2744="","",IF($AA2744="Yes",1,0))</f>
        <v/>
      </c>
      <c r="AR2744">
        <f>IF($AN2744=1,IFERROR(VALUE(MID($E2744,2,20)),1000000000)+ROW()/100000,"")</f>
        <v/>
      </c>
    </row>
    <row r="2745">
      <c r="G2745" s="11" t="n"/>
      <c r="Q2745" s="7">
        <f>IF($E2745="","",P2745*Y2745/100)</f>
        <v/>
      </c>
      <c r="R2745" s="7" t="n"/>
      <c r="X2745" s="7" t="n"/>
      <c r="Y2745" s="7" t="n"/>
      <c r="AB2745">
        <f>IF($E2745="","",IF($AQ2745=1,0,IF($AP2745=1,Settings!$C$6,Settings!$C$7))*100)</f>
        <v/>
      </c>
      <c r="AC2745" s="7">
        <f>IF($E2745="","",Y2745*AB2745/100)</f>
        <v/>
      </c>
      <c r="AD2745" s="7">
        <f>IF($E2745="","",Y2745-AC2745)</f>
        <v/>
      </c>
      <c r="AE2745" s="7">
        <f>IF($E2745="","",AD2745-Q2745)</f>
        <v/>
      </c>
      <c r="AI2745" s="7" t="n"/>
      <c r="AL2745" s="11" t="n"/>
      <c r="AN2745">
        <f>IF($E2745="","",IF(COUNTIF($E$2:$E2745,$E2745)=1,1,0))</f>
        <v/>
      </c>
      <c r="AO2745">
        <f>IF($AN2745=1,SUMPRODUCT(--($AR$2:$AR$4001&lt;$AR2745))+1,"")</f>
        <v/>
      </c>
      <c r="AP2745">
        <f>IF($E2745="","",IF(OR($U2745=TRUE(),$U2745="TRUE"),1,0))</f>
        <v/>
      </c>
      <c r="AQ2745">
        <f>IF($E2745="","",IF($AA2745="Yes",1,0))</f>
        <v/>
      </c>
      <c r="AR2745">
        <f>IF($AN2745=1,IFERROR(VALUE(MID($E2745,2,20)),1000000000)+ROW()/100000,"")</f>
        <v/>
      </c>
    </row>
    <row r="2746">
      <c r="G2746" s="11" t="n"/>
      <c r="Q2746" s="7">
        <f>IF($E2746="","",P2746*Y2746/100)</f>
        <v/>
      </c>
      <c r="R2746" s="7" t="n"/>
      <c r="X2746" s="7" t="n"/>
      <c r="Y2746" s="7" t="n"/>
      <c r="AB2746">
        <f>IF($E2746="","",IF($AQ2746=1,0,IF($AP2746=1,Settings!$C$6,Settings!$C$7))*100)</f>
        <v/>
      </c>
      <c r="AC2746" s="7">
        <f>IF($E2746="","",Y2746*AB2746/100)</f>
        <v/>
      </c>
      <c r="AD2746" s="7">
        <f>IF($E2746="","",Y2746-AC2746)</f>
        <v/>
      </c>
      <c r="AE2746" s="7">
        <f>IF($E2746="","",AD2746-Q2746)</f>
        <v/>
      </c>
      <c r="AI2746" s="7" t="n"/>
      <c r="AL2746" s="11" t="n"/>
      <c r="AN2746">
        <f>IF($E2746="","",IF(COUNTIF($E$2:$E2746,$E2746)=1,1,0))</f>
        <v/>
      </c>
      <c r="AO2746">
        <f>IF($AN2746=1,SUMPRODUCT(--($AR$2:$AR$4001&lt;$AR2746))+1,"")</f>
        <v/>
      </c>
      <c r="AP2746">
        <f>IF($E2746="","",IF(OR($U2746=TRUE(),$U2746="TRUE"),1,0))</f>
        <v/>
      </c>
      <c r="AQ2746">
        <f>IF($E2746="","",IF($AA2746="Yes",1,0))</f>
        <v/>
      </c>
      <c r="AR2746">
        <f>IF($AN2746=1,IFERROR(VALUE(MID($E2746,2,20)),1000000000)+ROW()/100000,"")</f>
        <v/>
      </c>
    </row>
    <row r="2747">
      <c r="G2747" s="11" t="n"/>
      <c r="Q2747" s="7">
        <f>IF($E2747="","",P2747*Y2747/100)</f>
        <v/>
      </c>
      <c r="R2747" s="7" t="n"/>
      <c r="X2747" s="7" t="n"/>
      <c r="Y2747" s="7" t="n"/>
      <c r="AB2747">
        <f>IF($E2747="","",IF($AQ2747=1,0,IF($AP2747=1,Settings!$C$6,Settings!$C$7))*100)</f>
        <v/>
      </c>
      <c r="AC2747" s="7">
        <f>IF($E2747="","",Y2747*AB2747/100)</f>
        <v/>
      </c>
      <c r="AD2747" s="7">
        <f>IF($E2747="","",Y2747-AC2747)</f>
        <v/>
      </c>
      <c r="AE2747" s="7">
        <f>IF($E2747="","",AD2747-Q2747)</f>
        <v/>
      </c>
      <c r="AI2747" s="7" t="n"/>
      <c r="AL2747" s="11" t="n"/>
      <c r="AN2747">
        <f>IF($E2747="","",IF(COUNTIF($E$2:$E2747,$E2747)=1,1,0))</f>
        <v/>
      </c>
      <c r="AO2747">
        <f>IF($AN2747=1,SUMPRODUCT(--($AR$2:$AR$4001&lt;$AR2747))+1,"")</f>
        <v/>
      </c>
      <c r="AP2747">
        <f>IF($E2747="","",IF(OR($U2747=TRUE(),$U2747="TRUE"),1,0))</f>
        <v/>
      </c>
      <c r="AQ2747">
        <f>IF($E2747="","",IF($AA2747="Yes",1,0))</f>
        <v/>
      </c>
      <c r="AR2747">
        <f>IF($AN2747=1,IFERROR(VALUE(MID($E2747,2,20)),1000000000)+ROW()/100000,"")</f>
        <v/>
      </c>
    </row>
    <row r="2748">
      <c r="G2748" s="11" t="n"/>
      <c r="Q2748" s="7">
        <f>IF($E2748="","",P2748*Y2748/100)</f>
        <v/>
      </c>
      <c r="R2748" s="7" t="n"/>
      <c r="X2748" s="7" t="n"/>
      <c r="Y2748" s="7" t="n"/>
      <c r="AB2748">
        <f>IF($E2748="","",IF($AQ2748=1,0,IF($AP2748=1,Settings!$C$6,Settings!$C$7))*100)</f>
        <v/>
      </c>
      <c r="AC2748" s="7">
        <f>IF($E2748="","",Y2748*AB2748/100)</f>
        <v/>
      </c>
      <c r="AD2748" s="7">
        <f>IF($E2748="","",Y2748-AC2748)</f>
        <v/>
      </c>
      <c r="AE2748" s="7">
        <f>IF($E2748="","",AD2748-Q2748)</f>
        <v/>
      </c>
      <c r="AI2748" s="7" t="n"/>
      <c r="AL2748" s="11" t="n"/>
      <c r="AN2748">
        <f>IF($E2748="","",IF(COUNTIF($E$2:$E2748,$E2748)=1,1,0))</f>
        <v/>
      </c>
      <c r="AO2748">
        <f>IF($AN2748=1,SUMPRODUCT(--($AR$2:$AR$4001&lt;$AR2748))+1,"")</f>
        <v/>
      </c>
      <c r="AP2748">
        <f>IF($E2748="","",IF(OR($U2748=TRUE(),$U2748="TRUE"),1,0))</f>
        <v/>
      </c>
      <c r="AQ2748">
        <f>IF($E2748="","",IF($AA2748="Yes",1,0))</f>
        <v/>
      </c>
      <c r="AR2748">
        <f>IF($AN2748=1,IFERROR(VALUE(MID($E2748,2,20)),1000000000)+ROW()/100000,"")</f>
        <v/>
      </c>
    </row>
    <row r="2749">
      <c r="G2749" s="11" t="n"/>
      <c r="Q2749" s="7">
        <f>IF($E2749="","",P2749*Y2749/100)</f>
        <v/>
      </c>
      <c r="R2749" s="7" t="n"/>
      <c r="X2749" s="7" t="n"/>
      <c r="Y2749" s="7" t="n"/>
      <c r="AB2749">
        <f>IF($E2749="","",IF($AQ2749=1,0,IF($AP2749=1,Settings!$C$6,Settings!$C$7))*100)</f>
        <v/>
      </c>
      <c r="AC2749" s="7">
        <f>IF($E2749="","",Y2749*AB2749/100)</f>
        <v/>
      </c>
      <c r="AD2749" s="7">
        <f>IF($E2749="","",Y2749-AC2749)</f>
        <v/>
      </c>
      <c r="AE2749" s="7">
        <f>IF($E2749="","",AD2749-Q2749)</f>
        <v/>
      </c>
      <c r="AI2749" s="7" t="n"/>
      <c r="AL2749" s="11" t="n"/>
      <c r="AN2749">
        <f>IF($E2749="","",IF(COUNTIF($E$2:$E2749,$E2749)=1,1,0))</f>
        <v/>
      </c>
      <c r="AO2749">
        <f>IF($AN2749=1,SUMPRODUCT(--($AR$2:$AR$4001&lt;$AR2749))+1,"")</f>
        <v/>
      </c>
      <c r="AP2749">
        <f>IF($E2749="","",IF(OR($U2749=TRUE(),$U2749="TRUE"),1,0))</f>
        <v/>
      </c>
      <c r="AQ2749">
        <f>IF($E2749="","",IF($AA2749="Yes",1,0))</f>
        <v/>
      </c>
      <c r="AR2749">
        <f>IF($AN2749=1,IFERROR(VALUE(MID($E2749,2,20)),1000000000)+ROW()/100000,"")</f>
        <v/>
      </c>
    </row>
    <row r="2750">
      <c r="G2750" s="11" t="n"/>
      <c r="Q2750" s="7">
        <f>IF($E2750="","",P2750*Y2750/100)</f>
        <v/>
      </c>
      <c r="R2750" s="7" t="n"/>
      <c r="X2750" s="7" t="n"/>
      <c r="Y2750" s="7" t="n"/>
      <c r="AB2750">
        <f>IF($E2750="","",IF($AQ2750=1,0,IF($AP2750=1,Settings!$C$6,Settings!$C$7))*100)</f>
        <v/>
      </c>
      <c r="AC2750" s="7">
        <f>IF($E2750="","",Y2750*AB2750/100)</f>
        <v/>
      </c>
      <c r="AD2750" s="7">
        <f>IF($E2750="","",Y2750-AC2750)</f>
        <v/>
      </c>
      <c r="AE2750" s="7">
        <f>IF($E2750="","",AD2750-Q2750)</f>
        <v/>
      </c>
      <c r="AI2750" s="7" t="n"/>
      <c r="AL2750" s="11" t="n"/>
      <c r="AN2750">
        <f>IF($E2750="","",IF(COUNTIF($E$2:$E2750,$E2750)=1,1,0))</f>
        <v/>
      </c>
      <c r="AO2750">
        <f>IF($AN2750=1,SUMPRODUCT(--($AR$2:$AR$4001&lt;$AR2750))+1,"")</f>
        <v/>
      </c>
      <c r="AP2750">
        <f>IF($E2750="","",IF(OR($U2750=TRUE(),$U2750="TRUE"),1,0))</f>
        <v/>
      </c>
      <c r="AQ2750">
        <f>IF($E2750="","",IF($AA2750="Yes",1,0))</f>
        <v/>
      </c>
      <c r="AR2750">
        <f>IF($AN2750=1,IFERROR(VALUE(MID($E2750,2,20)),1000000000)+ROW()/100000,"")</f>
        <v/>
      </c>
    </row>
    <row r="2751">
      <c r="G2751" s="11" t="n"/>
      <c r="Q2751" s="7">
        <f>IF($E2751="","",P2751*Y2751/100)</f>
        <v/>
      </c>
      <c r="R2751" s="7" t="n"/>
      <c r="X2751" s="7" t="n"/>
      <c r="Y2751" s="7" t="n"/>
      <c r="AB2751">
        <f>IF($E2751="","",IF($AQ2751=1,0,IF($AP2751=1,Settings!$C$6,Settings!$C$7))*100)</f>
        <v/>
      </c>
      <c r="AC2751" s="7">
        <f>IF($E2751="","",Y2751*AB2751/100)</f>
        <v/>
      </c>
      <c r="AD2751" s="7">
        <f>IF($E2751="","",Y2751-AC2751)</f>
        <v/>
      </c>
      <c r="AE2751" s="7">
        <f>IF($E2751="","",AD2751-Q2751)</f>
        <v/>
      </c>
      <c r="AI2751" s="7" t="n"/>
      <c r="AL2751" s="11" t="n"/>
      <c r="AN2751">
        <f>IF($E2751="","",IF(COUNTIF($E$2:$E2751,$E2751)=1,1,0))</f>
        <v/>
      </c>
      <c r="AO2751">
        <f>IF($AN2751=1,SUMPRODUCT(--($AR$2:$AR$4001&lt;$AR2751))+1,"")</f>
        <v/>
      </c>
      <c r="AP2751">
        <f>IF($E2751="","",IF(OR($U2751=TRUE(),$U2751="TRUE"),1,0))</f>
        <v/>
      </c>
      <c r="AQ2751">
        <f>IF($E2751="","",IF($AA2751="Yes",1,0))</f>
        <v/>
      </c>
      <c r="AR2751">
        <f>IF($AN2751=1,IFERROR(VALUE(MID($E2751,2,20)),1000000000)+ROW()/100000,"")</f>
        <v/>
      </c>
    </row>
    <row r="2752">
      <c r="G2752" s="11" t="n"/>
      <c r="Q2752" s="7">
        <f>IF($E2752="","",P2752*Y2752/100)</f>
        <v/>
      </c>
      <c r="R2752" s="7" t="n"/>
      <c r="X2752" s="7" t="n"/>
      <c r="Y2752" s="7" t="n"/>
      <c r="AB2752">
        <f>IF($E2752="","",IF($AQ2752=1,0,IF($AP2752=1,Settings!$C$6,Settings!$C$7))*100)</f>
        <v/>
      </c>
      <c r="AC2752" s="7">
        <f>IF($E2752="","",Y2752*AB2752/100)</f>
        <v/>
      </c>
      <c r="AD2752" s="7">
        <f>IF($E2752="","",Y2752-AC2752)</f>
        <v/>
      </c>
      <c r="AE2752" s="7">
        <f>IF($E2752="","",AD2752-Q2752)</f>
        <v/>
      </c>
      <c r="AI2752" s="7" t="n"/>
      <c r="AL2752" s="11" t="n"/>
      <c r="AN2752">
        <f>IF($E2752="","",IF(COUNTIF($E$2:$E2752,$E2752)=1,1,0))</f>
        <v/>
      </c>
      <c r="AO2752">
        <f>IF($AN2752=1,SUMPRODUCT(--($AR$2:$AR$4001&lt;$AR2752))+1,"")</f>
        <v/>
      </c>
      <c r="AP2752">
        <f>IF($E2752="","",IF(OR($U2752=TRUE(),$U2752="TRUE"),1,0))</f>
        <v/>
      </c>
      <c r="AQ2752">
        <f>IF($E2752="","",IF($AA2752="Yes",1,0))</f>
        <v/>
      </c>
      <c r="AR2752">
        <f>IF($AN2752=1,IFERROR(VALUE(MID($E2752,2,20)),1000000000)+ROW()/100000,"")</f>
        <v/>
      </c>
    </row>
    <row r="2753">
      <c r="G2753" s="11" t="n"/>
      <c r="Q2753" s="7">
        <f>IF($E2753="","",P2753*Y2753/100)</f>
        <v/>
      </c>
      <c r="R2753" s="7" t="n"/>
      <c r="X2753" s="7" t="n"/>
      <c r="Y2753" s="7" t="n"/>
      <c r="AB2753">
        <f>IF($E2753="","",IF($AQ2753=1,0,IF($AP2753=1,Settings!$C$6,Settings!$C$7))*100)</f>
        <v/>
      </c>
      <c r="AC2753" s="7">
        <f>IF($E2753="","",Y2753*AB2753/100)</f>
        <v/>
      </c>
      <c r="AD2753" s="7">
        <f>IF($E2753="","",Y2753-AC2753)</f>
        <v/>
      </c>
      <c r="AE2753" s="7">
        <f>IF($E2753="","",AD2753-Q2753)</f>
        <v/>
      </c>
      <c r="AI2753" s="7" t="n"/>
      <c r="AL2753" s="11" t="n"/>
      <c r="AN2753">
        <f>IF($E2753="","",IF(COUNTIF($E$2:$E2753,$E2753)=1,1,0))</f>
        <v/>
      </c>
      <c r="AO2753">
        <f>IF($AN2753=1,SUMPRODUCT(--($AR$2:$AR$4001&lt;$AR2753))+1,"")</f>
        <v/>
      </c>
      <c r="AP2753">
        <f>IF($E2753="","",IF(OR($U2753=TRUE(),$U2753="TRUE"),1,0))</f>
        <v/>
      </c>
      <c r="AQ2753">
        <f>IF($E2753="","",IF($AA2753="Yes",1,0))</f>
        <v/>
      </c>
      <c r="AR2753">
        <f>IF($AN2753=1,IFERROR(VALUE(MID($E2753,2,20)),1000000000)+ROW()/100000,"")</f>
        <v/>
      </c>
    </row>
    <row r="2754">
      <c r="G2754" s="11" t="n"/>
      <c r="Q2754" s="7">
        <f>IF($E2754="","",P2754*Y2754/100)</f>
        <v/>
      </c>
      <c r="R2754" s="7" t="n"/>
      <c r="X2754" s="7" t="n"/>
      <c r="Y2754" s="7" t="n"/>
      <c r="AB2754">
        <f>IF($E2754="","",IF($AQ2754=1,0,IF($AP2754=1,Settings!$C$6,Settings!$C$7))*100)</f>
        <v/>
      </c>
      <c r="AC2754" s="7">
        <f>IF($E2754="","",Y2754*AB2754/100)</f>
        <v/>
      </c>
      <c r="AD2754" s="7">
        <f>IF($E2754="","",Y2754-AC2754)</f>
        <v/>
      </c>
      <c r="AE2754" s="7">
        <f>IF($E2754="","",AD2754-Q2754)</f>
        <v/>
      </c>
      <c r="AI2754" s="7" t="n"/>
      <c r="AL2754" s="11" t="n"/>
      <c r="AN2754">
        <f>IF($E2754="","",IF(COUNTIF($E$2:$E2754,$E2754)=1,1,0))</f>
        <v/>
      </c>
      <c r="AO2754">
        <f>IF($AN2754=1,SUMPRODUCT(--($AR$2:$AR$4001&lt;$AR2754))+1,"")</f>
        <v/>
      </c>
      <c r="AP2754">
        <f>IF($E2754="","",IF(OR($U2754=TRUE(),$U2754="TRUE"),1,0))</f>
        <v/>
      </c>
      <c r="AQ2754">
        <f>IF($E2754="","",IF($AA2754="Yes",1,0))</f>
        <v/>
      </c>
      <c r="AR2754">
        <f>IF($AN2754=1,IFERROR(VALUE(MID($E2754,2,20)),1000000000)+ROW()/100000,"")</f>
        <v/>
      </c>
    </row>
    <row r="2755">
      <c r="G2755" s="11" t="n"/>
      <c r="Q2755" s="7">
        <f>IF($E2755="","",P2755*Y2755/100)</f>
        <v/>
      </c>
      <c r="R2755" s="7" t="n"/>
      <c r="X2755" s="7" t="n"/>
      <c r="Y2755" s="7" t="n"/>
      <c r="AB2755">
        <f>IF($E2755="","",IF($AQ2755=1,0,IF($AP2755=1,Settings!$C$6,Settings!$C$7))*100)</f>
        <v/>
      </c>
      <c r="AC2755" s="7">
        <f>IF($E2755="","",Y2755*AB2755/100)</f>
        <v/>
      </c>
      <c r="AD2755" s="7">
        <f>IF($E2755="","",Y2755-AC2755)</f>
        <v/>
      </c>
      <c r="AE2755" s="7">
        <f>IF($E2755="","",AD2755-Q2755)</f>
        <v/>
      </c>
      <c r="AI2755" s="7" t="n"/>
      <c r="AL2755" s="11" t="n"/>
      <c r="AN2755">
        <f>IF($E2755="","",IF(COUNTIF($E$2:$E2755,$E2755)=1,1,0))</f>
        <v/>
      </c>
      <c r="AO2755">
        <f>IF($AN2755=1,SUMPRODUCT(--($AR$2:$AR$4001&lt;$AR2755))+1,"")</f>
        <v/>
      </c>
      <c r="AP2755">
        <f>IF($E2755="","",IF(OR($U2755=TRUE(),$U2755="TRUE"),1,0))</f>
        <v/>
      </c>
      <c r="AQ2755">
        <f>IF($E2755="","",IF($AA2755="Yes",1,0))</f>
        <v/>
      </c>
      <c r="AR2755">
        <f>IF($AN2755=1,IFERROR(VALUE(MID($E2755,2,20)),1000000000)+ROW()/100000,"")</f>
        <v/>
      </c>
    </row>
    <row r="2756">
      <c r="G2756" s="11" t="n"/>
      <c r="Q2756" s="7">
        <f>IF($E2756="","",P2756*Y2756/100)</f>
        <v/>
      </c>
      <c r="R2756" s="7" t="n"/>
      <c r="X2756" s="7" t="n"/>
      <c r="Y2756" s="7" t="n"/>
      <c r="AB2756">
        <f>IF($E2756="","",IF($AQ2756=1,0,IF($AP2756=1,Settings!$C$6,Settings!$C$7))*100)</f>
        <v/>
      </c>
      <c r="AC2756" s="7">
        <f>IF($E2756="","",Y2756*AB2756/100)</f>
        <v/>
      </c>
      <c r="AD2756" s="7">
        <f>IF($E2756="","",Y2756-AC2756)</f>
        <v/>
      </c>
      <c r="AE2756" s="7">
        <f>IF($E2756="","",AD2756-Q2756)</f>
        <v/>
      </c>
      <c r="AI2756" s="7" t="n"/>
      <c r="AL2756" s="11" t="n"/>
      <c r="AN2756">
        <f>IF($E2756="","",IF(COUNTIF($E$2:$E2756,$E2756)=1,1,0))</f>
        <v/>
      </c>
      <c r="AO2756">
        <f>IF($AN2756=1,SUMPRODUCT(--($AR$2:$AR$4001&lt;$AR2756))+1,"")</f>
        <v/>
      </c>
      <c r="AP2756">
        <f>IF($E2756="","",IF(OR($U2756=TRUE(),$U2756="TRUE"),1,0))</f>
        <v/>
      </c>
      <c r="AQ2756">
        <f>IF($E2756="","",IF($AA2756="Yes",1,0))</f>
        <v/>
      </c>
      <c r="AR2756">
        <f>IF($AN2756=1,IFERROR(VALUE(MID($E2756,2,20)),1000000000)+ROW()/100000,"")</f>
        <v/>
      </c>
    </row>
    <row r="2757">
      <c r="G2757" s="11" t="n"/>
      <c r="Q2757" s="7">
        <f>IF($E2757="","",P2757*Y2757/100)</f>
        <v/>
      </c>
      <c r="R2757" s="7" t="n"/>
      <c r="X2757" s="7" t="n"/>
      <c r="Y2757" s="7" t="n"/>
      <c r="AB2757">
        <f>IF($E2757="","",IF($AQ2757=1,0,IF($AP2757=1,Settings!$C$6,Settings!$C$7))*100)</f>
        <v/>
      </c>
      <c r="AC2757" s="7">
        <f>IF($E2757="","",Y2757*AB2757/100)</f>
        <v/>
      </c>
      <c r="AD2757" s="7">
        <f>IF($E2757="","",Y2757-AC2757)</f>
        <v/>
      </c>
      <c r="AE2757" s="7">
        <f>IF($E2757="","",AD2757-Q2757)</f>
        <v/>
      </c>
      <c r="AI2757" s="7" t="n"/>
      <c r="AL2757" s="11" t="n"/>
      <c r="AN2757">
        <f>IF($E2757="","",IF(COUNTIF($E$2:$E2757,$E2757)=1,1,0))</f>
        <v/>
      </c>
      <c r="AO2757">
        <f>IF($AN2757=1,SUMPRODUCT(--($AR$2:$AR$4001&lt;$AR2757))+1,"")</f>
        <v/>
      </c>
      <c r="AP2757">
        <f>IF($E2757="","",IF(OR($U2757=TRUE(),$U2757="TRUE"),1,0))</f>
        <v/>
      </c>
      <c r="AQ2757">
        <f>IF($E2757="","",IF($AA2757="Yes",1,0))</f>
        <v/>
      </c>
      <c r="AR2757">
        <f>IF($AN2757=1,IFERROR(VALUE(MID($E2757,2,20)),1000000000)+ROW()/100000,"")</f>
        <v/>
      </c>
    </row>
    <row r="2758">
      <c r="G2758" s="11" t="n"/>
      <c r="Q2758" s="7">
        <f>IF($E2758="","",P2758*Y2758/100)</f>
        <v/>
      </c>
      <c r="R2758" s="7" t="n"/>
      <c r="X2758" s="7" t="n"/>
      <c r="Y2758" s="7" t="n"/>
      <c r="AB2758">
        <f>IF($E2758="","",IF($AQ2758=1,0,IF($AP2758=1,Settings!$C$6,Settings!$C$7))*100)</f>
        <v/>
      </c>
      <c r="AC2758" s="7">
        <f>IF($E2758="","",Y2758*AB2758/100)</f>
        <v/>
      </c>
      <c r="AD2758" s="7">
        <f>IF($E2758="","",Y2758-AC2758)</f>
        <v/>
      </c>
      <c r="AE2758" s="7">
        <f>IF($E2758="","",AD2758-Q2758)</f>
        <v/>
      </c>
      <c r="AI2758" s="7" t="n"/>
      <c r="AL2758" s="11" t="n"/>
      <c r="AN2758">
        <f>IF($E2758="","",IF(COUNTIF($E$2:$E2758,$E2758)=1,1,0))</f>
        <v/>
      </c>
      <c r="AO2758">
        <f>IF($AN2758=1,SUMPRODUCT(--($AR$2:$AR$4001&lt;$AR2758))+1,"")</f>
        <v/>
      </c>
      <c r="AP2758">
        <f>IF($E2758="","",IF(OR($U2758=TRUE(),$U2758="TRUE"),1,0))</f>
        <v/>
      </c>
      <c r="AQ2758">
        <f>IF($E2758="","",IF($AA2758="Yes",1,0))</f>
        <v/>
      </c>
      <c r="AR2758">
        <f>IF($AN2758=1,IFERROR(VALUE(MID($E2758,2,20)),1000000000)+ROW()/100000,"")</f>
        <v/>
      </c>
    </row>
    <row r="2759">
      <c r="G2759" s="11" t="n"/>
      <c r="Q2759" s="7">
        <f>IF($E2759="","",P2759*Y2759/100)</f>
        <v/>
      </c>
      <c r="R2759" s="7" t="n"/>
      <c r="X2759" s="7" t="n"/>
      <c r="Y2759" s="7" t="n"/>
      <c r="AB2759">
        <f>IF($E2759="","",IF($AQ2759=1,0,IF($AP2759=1,Settings!$C$6,Settings!$C$7))*100)</f>
        <v/>
      </c>
      <c r="AC2759" s="7">
        <f>IF($E2759="","",Y2759*AB2759/100)</f>
        <v/>
      </c>
      <c r="AD2759" s="7">
        <f>IF($E2759="","",Y2759-AC2759)</f>
        <v/>
      </c>
      <c r="AE2759" s="7">
        <f>IF($E2759="","",AD2759-Q2759)</f>
        <v/>
      </c>
      <c r="AI2759" s="7" t="n"/>
      <c r="AL2759" s="11" t="n"/>
      <c r="AN2759">
        <f>IF($E2759="","",IF(COUNTIF($E$2:$E2759,$E2759)=1,1,0))</f>
        <v/>
      </c>
      <c r="AO2759">
        <f>IF($AN2759=1,SUMPRODUCT(--($AR$2:$AR$4001&lt;$AR2759))+1,"")</f>
        <v/>
      </c>
      <c r="AP2759">
        <f>IF($E2759="","",IF(OR($U2759=TRUE(),$U2759="TRUE"),1,0))</f>
        <v/>
      </c>
      <c r="AQ2759">
        <f>IF($E2759="","",IF($AA2759="Yes",1,0))</f>
        <v/>
      </c>
      <c r="AR2759">
        <f>IF($AN2759=1,IFERROR(VALUE(MID($E2759,2,20)),1000000000)+ROW()/100000,"")</f>
        <v/>
      </c>
    </row>
    <row r="2760">
      <c r="G2760" s="11" t="n"/>
      <c r="Q2760" s="7">
        <f>IF($E2760="","",P2760*Y2760/100)</f>
        <v/>
      </c>
      <c r="R2760" s="7" t="n"/>
      <c r="X2760" s="7" t="n"/>
      <c r="Y2760" s="7" t="n"/>
      <c r="AB2760">
        <f>IF($E2760="","",IF($AQ2760=1,0,IF($AP2760=1,Settings!$C$6,Settings!$C$7))*100)</f>
        <v/>
      </c>
      <c r="AC2760" s="7">
        <f>IF($E2760="","",Y2760*AB2760/100)</f>
        <v/>
      </c>
      <c r="AD2760" s="7">
        <f>IF($E2760="","",Y2760-AC2760)</f>
        <v/>
      </c>
      <c r="AE2760" s="7">
        <f>IF($E2760="","",AD2760-Q2760)</f>
        <v/>
      </c>
      <c r="AI2760" s="7" t="n"/>
      <c r="AL2760" s="11" t="n"/>
      <c r="AN2760">
        <f>IF($E2760="","",IF(COUNTIF($E$2:$E2760,$E2760)=1,1,0))</f>
        <v/>
      </c>
      <c r="AO2760">
        <f>IF($AN2760=1,SUMPRODUCT(--($AR$2:$AR$4001&lt;$AR2760))+1,"")</f>
        <v/>
      </c>
      <c r="AP2760">
        <f>IF($E2760="","",IF(OR($U2760=TRUE(),$U2760="TRUE"),1,0))</f>
        <v/>
      </c>
      <c r="AQ2760">
        <f>IF($E2760="","",IF($AA2760="Yes",1,0))</f>
        <v/>
      </c>
      <c r="AR2760">
        <f>IF($AN2760=1,IFERROR(VALUE(MID($E2760,2,20)),1000000000)+ROW()/100000,"")</f>
        <v/>
      </c>
    </row>
    <row r="2761">
      <c r="G2761" s="11" t="n"/>
      <c r="Q2761" s="7">
        <f>IF($E2761="","",P2761*Y2761/100)</f>
        <v/>
      </c>
      <c r="R2761" s="7" t="n"/>
      <c r="X2761" s="7" t="n"/>
      <c r="Y2761" s="7" t="n"/>
      <c r="AB2761">
        <f>IF($E2761="","",IF($AQ2761=1,0,IF($AP2761=1,Settings!$C$6,Settings!$C$7))*100)</f>
        <v/>
      </c>
      <c r="AC2761" s="7">
        <f>IF($E2761="","",Y2761*AB2761/100)</f>
        <v/>
      </c>
      <c r="AD2761" s="7">
        <f>IF($E2761="","",Y2761-AC2761)</f>
        <v/>
      </c>
      <c r="AE2761" s="7">
        <f>IF($E2761="","",AD2761-Q2761)</f>
        <v/>
      </c>
      <c r="AI2761" s="7" t="n"/>
      <c r="AL2761" s="11" t="n"/>
      <c r="AN2761">
        <f>IF($E2761="","",IF(COUNTIF($E$2:$E2761,$E2761)=1,1,0))</f>
        <v/>
      </c>
      <c r="AO2761">
        <f>IF($AN2761=1,SUMPRODUCT(--($AR$2:$AR$4001&lt;$AR2761))+1,"")</f>
        <v/>
      </c>
      <c r="AP2761">
        <f>IF($E2761="","",IF(OR($U2761=TRUE(),$U2761="TRUE"),1,0))</f>
        <v/>
      </c>
      <c r="AQ2761">
        <f>IF($E2761="","",IF($AA2761="Yes",1,0))</f>
        <v/>
      </c>
      <c r="AR2761">
        <f>IF($AN2761=1,IFERROR(VALUE(MID($E2761,2,20)),1000000000)+ROW()/100000,"")</f>
        <v/>
      </c>
    </row>
    <row r="2762">
      <c r="G2762" s="11" t="n"/>
      <c r="Q2762" s="7">
        <f>IF($E2762="","",P2762*Y2762/100)</f>
        <v/>
      </c>
      <c r="R2762" s="7" t="n"/>
      <c r="X2762" s="7" t="n"/>
      <c r="Y2762" s="7" t="n"/>
      <c r="AB2762">
        <f>IF($E2762="","",IF($AQ2762=1,0,IF($AP2762=1,Settings!$C$6,Settings!$C$7))*100)</f>
        <v/>
      </c>
      <c r="AC2762" s="7">
        <f>IF($E2762="","",Y2762*AB2762/100)</f>
        <v/>
      </c>
      <c r="AD2762" s="7">
        <f>IF($E2762="","",Y2762-AC2762)</f>
        <v/>
      </c>
      <c r="AE2762" s="7">
        <f>IF($E2762="","",AD2762-Q2762)</f>
        <v/>
      </c>
      <c r="AI2762" s="7" t="n"/>
      <c r="AL2762" s="11" t="n"/>
      <c r="AN2762">
        <f>IF($E2762="","",IF(COUNTIF($E$2:$E2762,$E2762)=1,1,0))</f>
        <v/>
      </c>
      <c r="AO2762">
        <f>IF($AN2762=1,SUMPRODUCT(--($AR$2:$AR$4001&lt;$AR2762))+1,"")</f>
        <v/>
      </c>
      <c r="AP2762">
        <f>IF($E2762="","",IF(OR($U2762=TRUE(),$U2762="TRUE"),1,0))</f>
        <v/>
      </c>
      <c r="AQ2762">
        <f>IF($E2762="","",IF($AA2762="Yes",1,0))</f>
        <v/>
      </c>
      <c r="AR2762">
        <f>IF($AN2762=1,IFERROR(VALUE(MID($E2762,2,20)),1000000000)+ROW()/100000,"")</f>
        <v/>
      </c>
    </row>
    <row r="2763">
      <c r="G2763" s="11" t="n"/>
      <c r="Q2763" s="7">
        <f>IF($E2763="","",P2763*Y2763/100)</f>
        <v/>
      </c>
      <c r="R2763" s="7" t="n"/>
      <c r="X2763" s="7" t="n"/>
      <c r="Y2763" s="7" t="n"/>
      <c r="AB2763">
        <f>IF($E2763="","",IF($AQ2763=1,0,IF($AP2763=1,Settings!$C$6,Settings!$C$7))*100)</f>
        <v/>
      </c>
      <c r="AC2763" s="7">
        <f>IF($E2763="","",Y2763*AB2763/100)</f>
        <v/>
      </c>
      <c r="AD2763" s="7">
        <f>IF($E2763="","",Y2763-AC2763)</f>
        <v/>
      </c>
      <c r="AE2763" s="7">
        <f>IF($E2763="","",AD2763-Q2763)</f>
        <v/>
      </c>
      <c r="AI2763" s="7" t="n"/>
      <c r="AL2763" s="11" t="n"/>
      <c r="AN2763">
        <f>IF($E2763="","",IF(COUNTIF($E$2:$E2763,$E2763)=1,1,0))</f>
        <v/>
      </c>
      <c r="AO2763">
        <f>IF($AN2763=1,SUMPRODUCT(--($AR$2:$AR$4001&lt;$AR2763))+1,"")</f>
        <v/>
      </c>
      <c r="AP2763">
        <f>IF($E2763="","",IF(OR($U2763=TRUE(),$U2763="TRUE"),1,0))</f>
        <v/>
      </c>
      <c r="AQ2763">
        <f>IF($E2763="","",IF($AA2763="Yes",1,0))</f>
        <v/>
      </c>
      <c r="AR2763">
        <f>IF($AN2763=1,IFERROR(VALUE(MID($E2763,2,20)),1000000000)+ROW()/100000,"")</f>
        <v/>
      </c>
    </row>
    <row r="2764">
      <c r="G2764" s="11" t="n"/>
      <c r="Q2764" s="7">
        <f>IF($E2764="","",P2764*Y2764/100)</f>
        <v/>
      </c>
      <c r="R2764" s="7" t="n"/>
      <c r="X2764" s="7" t="n"/>
      <c r="Y2764" s="7" t="n"/>
      <c r="AB2764">
        <f>IF($E2764="","",IF($AQ2764=1,0,IF($AP2764=1,Settings!$C$6,Settings!$C$7))*100)</f>
        <v/>
      </c>
      <c r="AC2764" s="7">
        <f>IF($E2764="","",Y2764*AB2764/100)</f>
        <v/>
      </c>
      <c r="AD2764" s="7">
        <f>IF($E2764="","",Y2764-AC2764)</f>
        <v/>
      </c>
      <c r="AE2764" s="7">
        <f>IF($E2764="","",AD2764-Q2764)</f>
        <v/>
      </c>
      <c r="AI2764" s="7" t="n"/>
      <c r="AL2764" s="11" t="n"/>
      <c r="AN2764">
        <f>IF($E2764="","",IF(COUNTIF($E$2:$E2764,$E2764)=1,1,0))</f>
        <v/>
      </c>
      <c r="AO2764">
        <f>IF($AN2764=1,SUMPRODUCT(--($AR$2:$AR$4001&lt;$AR2764))+1,"")</f>
        <v/>
      </c>
      <c r="AP2764">
        <f>IF($E2764="","",IF(OR($U2764=TRUE(),$U2764="TRUE"),1,0))</f>
        <v/>
      </c>
      <c r="AQ2764">
        <f>IF($E2764="","",IF($AA2764="Yes",1,0))</f>
        <v/>
      </c>
      <c r="AR2764">
        <f>IF($AN2764=1,IFERROR(VALUE(MID($E2764,2,20)),1000000000)+ROW()/100000,"")</f>
        <v/>
      </c>
    </row>
    <row r="2765">
      <c r="G2765" s="11" t="n"/>
      <c r="Q2765" s="7">
        <f>IF($E2765="","",P2765*Y2765/100)</f>
        <v/>
      </c>
      <c r="R2765" s="7" t="n"/>
      <c r="X2765" s="7" t="n"/>
      <c r="Y2765" s="7" t="n"/>
      <c r="AB2765">
        <f>IF($E2765="","",IF($AQ2765=1,0,IF($AP2765=1,Settings!$C$6,Settings!$C$7))*100)</f>
        <v/>
      </c>
      <c r="AC2765" s="7">
        <f>IF($E2765="","",Y2765*AB2765/100)</f>
        <v/>
      </c>
      <c r="AD2765" s="7">
        <f>IF($E2765="","",Y2765-AC2765)</f>
        <v/>
      </c>
      <c r="AE2765" s="7">
        <f>IF($E2765="","",AD2765-Q2765)</f>
        <v/>
      </c>
      <c r="AI2765" s="7" t="n"/>
      <c r="AL2765" s="11" t="n"/>
      <c r="AN2765">
        <f>IF($E2765="","",IF(COUNTIF($E$2:$E2765,$E2765)=1,1,0))</f>
        <v/>
      </c>
      <c r="AO2765">
        <f>IF($AN2765=1,SUMPRODUCT(--($AR$2:$AR$4001&lt;$AR2765))+1,"")</f>
        <v/>
      </c>
      <c r="AP2765">
        <f>IF($E2765="","",IF(OR($U2765=TRUE(),$U2765="TRUE"),1,0))</f>
        <v/>
      </c>
      <c r="AQ2765">
        <f>IF($E2765="","",IF($AA2765="Yes",1,0))</f>
        <v/>
      </c>
      <c r="AR2765">
        <f>IF($AN2765=1,IFERROR(VALUE(MID($E2765,2,20)),1000000000)+ROW()/100000,"")</f>
        <v/>
      </c>
    </row>
    <row r="2766">
      <c r="G2766" s="11" t="n"/>
      <c r="Q2766" s="7">
        <f>IF($E2766="","",P2766*Y2766/100)</f>
        <v/>
      </c>
      <c r="R2766" s="7" t="n"/>
      <c r="X2766" s="7" t="n"/>
      <c r="Y2766" s="7" t="n"/>
      <c r="AB2766">
        <f>IF($E2766="","",IF($AQ2766=1,0,IF($AP2766=1,Settings!$C$6,Settings!$C$7))*100)</f>
        <v/>
      </c>
      <c r="AC2766" s="7">
        <f>IF($E2766="","",Y2766*AB2766/100)</f>
        <v/>
      </c>
      <c r="AD2766" s="7">
        <f>IF($E2766="","",Y2766-AC2766)</f>
        <v/>
      </c>
      <c r="AE2766" s="7">
        <f>IF($E2766="","",AD2766-Q2766)</f>
        <v/>
      </c>
      <c r="AI2766" s="7" t="n"/>
      <c r="AL2766" s="11" t="n"/>
      <c r="AN2766">
        <f>IF($E2766="","",IF(COUNTIF($E$2:$E2766,$E2766)=1,1,0))</f>
        <v/>
      </c>
      <c r="AO2766">
        <f>IF($AN2766=1,SUMPRODUCT(--($AR$2:$AR$4001&lt;$AR2766))+1,"")</f>
        <v/>
      </c>
      <c r="AP2766">
        <f>IF($E2766="","",IF(OR($U2766=TRUE(),$U2766="TRUE"),1,0))</f>
        <v/>
      </c>
      <c r="AQ2766">
        <f>IF($E2766="","",IF($AA2766="Yes",1,0))</f>
        <v/>
      </c>
      <c r="AR2766">
        <f>IF($AN2766=1,IFERROR(VALUE(MID($E2766,2,20)),1000000000)+ROW()/100000,"")</f>
        <v/>
      </c>
    </row>
    <row r="2767">
      <c r="G2767" s="11" t="n"/>
      <c r="Q2767" s="7">
        <f>IF($E2767="","",P2767*Y2767/100)</f>
        <v/>
      </c>
      <c r="R2767" s="7" t="n"/>
      <c r="X2767" s="7" t="n"/>
      <c r="Y2767" s="7" t="n"/>
      <c r="AB2767">
        <f>IF($E2767="","",IF($AQ2767=1,0,IF($AP2767=1,Settings!$C$6,Settings!$C$7))*100)</f>
        <v/>
      </c>
      <c r="AC2767" s="7">
        <f>IF($E2767="","",Y2767*AB2767/100)</f>
        <v/>
      </c>
      <c r="AD2767" s="7">
        <f>IF($E2767="","",Y2767-AC2767)</f>
        <v/>
      </c>
      <c r="AE2767" s="7">
        <f>IF($E2767="","",AD2767-Q2767)</f>
        <v/>
      </c>
      <c r="AI2767" s="7" t="n"/>
      <c r="AL2767" s="11" t="n"/>
      <c r="AN2767">
        <f>IF($E2767="","",IF(COUNTIF($E$2:$E2767,$E2767)=1,1,0))</f>
        <v/>
      </c>
      <c r="AO2767">
        <f>IF($AN2767=1,SUMPRODUCT(--($AR$2:$AR$4001&lt;$AR2767))+1,"")</f>
        <v/>
      </c>
      <c r="AP2767">
        <f>IF($E2767="","",IF(OR($U2767=TRUE(),$U2767="TRUE"),1,0))</f>
        <v/>
      </c>
      <c r="AQ2767">
        <f>IF($E2767="","",IF($AA2767="Yes",1,0))</f>
        <v/>
      </c>
      <c r="AR2767">
        <f>IF($AN2767=1,IFERROR(VALUE(MID($E2767,2,20)),1000000000)+ROW()/100000,"")</f>
        <v/>
      </c>
    </row>
    <row r="2768">
      <c r="G2768" s="11" t="n"/>
      <c r="Q2768" s="7">
        <f>IF($E2768="","",P2768*Y2768/100)</f>
        <v/>
      </c>
      <c r="R2768" s="7" t="n"/>
      <c r="X2768" s="7" t="n"/>
      <c r="Y2768" s="7" t="n"/>
      <c r="AB2768">
        <f>IF($E2768="","",IF($AQ2768=1,0,IF($AP2768=1,Settings!$C$6,Settings!$C$7))*100)</f>
        <v/>
      </c>
      <c r="AC2768" s="7">
        <f>IF($E2768="","",Y2768*AB2768/100)</f>
        <v/>
      </c>
      <c r="AD2768" s="7">
        <f>IF($E2768="","",Y2768-AC2768)</f>
        <v/>
      </c>
      <c r="AE2768" s="7">
        <f>IF($E2768="","",AD2768-Q2768)</f>
        <v/>
      </c>
      <c r="AI2768" s="7" t="n"/>
      <c r="AL2768" s="11" t="n"/>
      <c r="AN2768">
        <f>IF($E2768="","",IF(COUNTIF($E$2:$E2768,$E2768)=1,1,0))</f>
        <v/>
      </c>
      <c r="AO2768">
        <f>IF($AN2768=1,SUMPRODUCT(--($AR$2:$AR$4001&lt;$AR2768))+1,"")</f>
        <v/>
      </c>
      <c r="AP2768">
        <f>IF($E2768="","",IF(OR($U2768=TRUE(),$U2768="TRUE"),1,0))</f>
        <v/>
      </c>
      <c r="AQ2768">
        <f>IF($E2768="","",IF($AA2768="Yes",1,0))</f>
        <v/>
      </c>
      <c r="AR2768">
        <f>IF($AN2768=1,IFERROR(VALUE(MID($E2768,2,20)),1000000000)+ROW()/100000,"")</f>
        <v/>
      </c>
    </row>
    <row r="2769">
      <c r="G2769" s="11" t="n"/>
      <c r="Q2769" s="7">
        <f>IF($E2769="","",P2769*Y2769/100)</f>
        <v/>
      </c>
      <c r="R2769" s="7" t="n"/>
      <c r="X2769" s="7" t="n"/>
      <c r="Y2769" s="7" t="n"/>
      <c r="AB2769">
        <f>IF($E2769="","",IF($AQ2769=1,0,IF($AP2769=1,Settings!$C$6,Settings!$C$7))*100)</f>
        <v/>
      </c>
      <c r="AC2769" s="7">
        <f>IF($E2769="","",Y2769*AB2769/100)</f>
        <v/>
      </c>
      <c r="AD2769" s="7">
        <f>IF($E2769="","",Y2769-AC2769)</f>
        <v/>
      </c>
      <c r="AE2769" s="7">
        <f>IF($E2769="","",AD2769-Q2769)</f>
        <v/>
      </c>
      <c r="AI2769" s="7" t="n"/>
      <c r="AL2769" s="11" t="n"/>
      <c r="AN2769">
        <f>IF($E2769="","",IF(COUNTIF($E$2:$E2769,$E2769)=1,1,0))</f>
        <v/>
      </c>
      <c r="AO2769">
        <f>IF($AN2769=1,SUMPRODUCT(--($AR$2:$AR$4001&lt;$AR2769))+1,"")</f>
        <v/>
      </c>
      <c r="AP2769">
        <f>IF($E2769="","",IF(OR($U2769=TRUE(),$U2769="TRUE"),1,0))</f>
        <v/>
      </c>
      <c r="AQ2769">
        <f>IF($E2769="","",IF($AA2769="Yes",1,0))</f>
        <v/>
      </c>
      <c r="AR2769">
        <f>IF($AN2769=1,IFERROR(VALUE(MID($E2769,2,20)),1000000000)+ROW()/100000,"")</f>
        <v/>
      </c>
    </row>
    <row r="2770">
      <c r="G2770" s="11" t="n"/>
      <c r="Q2770" s="7">
        <f>IF($E2770="","",P2770*Y2770/100)</f>
        <v/>
      </c>
      <c r="R2770" s="7" t="n"/>
      <c r="X2770" s="7" t="n"/>
      <c r="Y2770" s="7" t="n"/>
      <c r="AB2770">
        <f>IF($E2770="","",IF($AQ2770=1,0,IF($AP2770=1,Settings!$C$6,Settings!$C$7))*100)</f>
        <v/>
      </c>
      <c r="AC2770" s="7">
        <f>IF($E2770="","",Y2770*AB2770/100)</f>
        <v/>
      </c>
      <c r="AD2770" s="7">
        <f>IF($E2770="","",Y2770-AC2770)</f>
        <v/>
      </c>
      <c r="AE2770" s="7">
        <f>IF($E2770="","",AD2770-Q2770)</f>
        <v/>
      </c>
      <c r="AI2770" s="7" t="n"/>
      <c r="AL2770" s="11" t="n"/>
      <c r="AN2770">
        <f>IF($E2770="","",IF(COUNTIF($E$2:$E2770,$E2770)=1,1,0))</f>
        <v/>
      </c>
      <c r="AO2770">
        <f>IF($AN2770=1,SUMPRODUCT(--($AR$2:$AR$4001&lt;$AR2770))+1,"")</f>
        <v/>
      </c>
      <c r="AP2770">
        <f>IF($E2770="","",IF(OR($U2770=TRUE(),$U2770="TRUE"),1,0))</f>
        <v/>
      </c>
      <c r="AQ2770">
        <f>IF($E2770="","",IF($AA2770="Yes",1,0))</f>
        <v/>
      </c>
      <c r="AR2770">
        <f>IF($AN2770=1,IFERROR(VALUE(MID($E2770,2,20)),1000000000)+ROW()/100000,"")</f>
        <v/>
      </c>
    </row>
    <row r="2771">
      <c r="G2771" s="11" t="n"/>
      <c r="Q2771" s="7">
        <f>IF($E2771="","",P2771*Y2771/100)</f>
        <v/>
      </c>
      <c r="R2771" s="7" t="n"/>
      <c r="X2771" s="7" t="n"/>
      <c r="Y2771" s="7" t="n"/>
      <c r="AB2771">
        <f>IF($E2771="","",IF($AQ2771=1,0,IF($AP2771=1,Settings!$C$6,Settings!$C$7))*100)</f>
        <v/>
      </c>
      <c r="AC2771" s="7">
        <f>IF($E2771="","",Y2771*AB2771/100)</f>
        <v/>
      </c>
      <c r="AD2771" s="7">
        <f>IF($E2771="","",Y2771-AC2771)</f>
        <v/>
      </c>
      <c r="AE2771" s="7">
        <f>IF($E2771="","",AD2771-Q2771)</f>
        <v/>
      </c>
      <c r="AI2771" s="7" t="n"/>
      <c r="AL2771" s="11" t="n"/>
      <c r="AN2771">
        <f>IF($E2771="","",IF(COUNTIF($E$2:$E2771,$E2771)=1,1,0))</f>
        <v/>
      </c>
      <c r="AO2771">
        <f>IF($AN2771=1,SUMPRODUCT(--($AR$2:$AR$4001&lt;$AR2771))+1,"")</f>
        <v/>
      </c>
      <c r="AP2771">
        <f>IF($E2771="","",IF(OR($U2771=TRUE(),$U2771="TRUE"),1,0))</f>
        <v/>
      </c>
      <c r="AQ2771">
        <f>IF($E2771="","",IF($AA2771="Yes",1,0))</f>
        <v/>
      </c>
      <c r="AR2771">
        <f>IF($AN2771=1,IFERROR(VALUE(MID($E2771,2,20)),1000000000)+ROW()/100000,"")</f>
        <v/>
      </c>
    </row>
    <row r="2772">
      <c r="G2772" s="11" t="n"/>
      <c r="Q2772" s="7">
        <f>IF($E2772="","",P2772*Y2772/100)</f>
        <v/>
      </c>
      <c r="R2772" s="7" t="n"/>
      <c r="X2772" s="7" t="n"/>
      <c r="Y2772" s="7" t="n"/>
      <c r="AB2772">
        <f>IF($E2772="","",IF($AQ2772=1,0,IF($AP2772=1,Settings!$C$6,Settings!$C$7))*100)</f>
        <v/>
      </c>
      <c r="AC2772" s="7">
        <f>IF($E2772="","",Y2772*AB2772/100)</f>
        <v/>
      </c>
      <c r="AD2772" s="7">
        <f>IF($E2772="","",Y2772-AC2772)</f>
        <v/>
      </c>
      <c r="AE2772" s="7">
        <f>IF($E2772="","",AD2772-Q2772)</f>
        <v/>
      </c>
      <c r="AI2772" s="7" t="n"/>
      <c r="AL2772" s="11" t="n"/>
      <c r="AN2772">
        <f>IF($E2772="","",IF(COUNTIF($E$2:$E2772,$E2772)=1,1,0))</f>
        <v/>
      </c>
      <c r="AO2772">
        <f>IF($AN2772=1,SUMPRODUCT(--($AR$2:$AR$4001&lt;$AR2772))+1,"")</f>
        <v/>
      </c>
      <c r="AP2772">
        <f>IF($E2772="","",IF(OR($U2772=TRUE(),$U2772="TRUE"),1,0))</f>
        <v/>
      </c>
      <c r="AQ2772">
        <f>IF($E2772="","",IF($AA2772="Yes",1,0))</f>
        <v/>
      </c>
      <c r="AR2772">
        <f>IF($AN2772=1,IFERROR(VALUE(MID($E2772,2,20)),1000000000)+ROW()/100000,"")</f>
        <v/>
      </c>
    </row>
    <row r="2773">
      <c r="G2773" s="11" t="n"/>
      <c r="Q2773" s="7">
        <f>IF($E2773="","",P2773*Y2773/100)</f>
        <v/>
      </c>
      <c r="R2773" s="7" t="n"/>
      <c r="X2773" s="7" t="n"/>
      <c r="Y2773" s="7" t="n"/>
      <c r="AB2773">
        <f>IF($E2773="","",IF($AQ2773=1,0,IF($AP2773=1,Settings!$C$6,Settings!$C$7))*100)</f>
        <v/>
      </c>
      <c r="AC2773" s="7">
        <f>IF($E2773="","",Y2773*AB2773/100)</f>
        <v/>
      </c>
      <c r="AD2773" s="7">
        <f>IF($E2773="","",Y2773-AC2773)</f>
        <v/>
      </c>
      <c r="AE2773" s="7">
        <f>IF($E2773="","",AD2773-Q2773)</f>
        <v/>
      </c>
      <c r="AI2773" s="7" t="n"/>
      <c r="AL2773" s="11" t="n"/>
      <c r="AN2773">
        <f>IF($E2773="","",IF(COUNTIF($E$2:$E2773,$E2773)=1,1,0))</f>
        <v/>
      </c>
      <c r="AO2773">
        <f>IF($AN2773=1,SUMPRODUCT(--($AR$2:$AR$4001&lt;$AR2773))+1,"")</f>
        <v/>
      </c>
      <c r="AP2773">
        <f>IF($E2773="","",IF(OR($U2773=TRUE(),$U2773="TRUE"),1,0))</f>
        <v/>
      </c>
      <c r="AQ2773">
        <f>IF($E2773="","",IF($AA2773="Yes",1,0))</f>
        <v/>
      </c>
      <c r="AR2773">
        <f>IF($AN2773=1,IFERROR(VALUE(MID($E2773,2,20)),1000000000)+ROW()/100000,"")</f>
        <v/>
      </c>
    </row>
    <row r="2774">
      <c r="G2774" s="11" t="n"/>
      <c r="Q2774" s="7">
        <f>IF($E2774="","",P2774*Y2774/100)</f>
        <v/>
      </c>
      <c r="R2774" s="7" t="n"/>
      <c r="X2774" s="7" t="n"/>
      <c r="Y2774" s="7" t="n"/>
      <c r="AB2774">
        <f>IF($E2774="","",IF($AQ2774=1,0,IF($AP2774=1,Settings!$C$6,Settings!$C$7))*100)</f>
        <v/>
      </c>
      <c r="AC2774" s="7">
        <f>IF($E2774="","",Y2774*AB2774/100)</f>
        <v/>
      </c>
      <c r="AD2774" s="7">
        <f>IF($E2774="","",Y2774-AC2774)</f>
        <v/>
      </c>
      <c r="AE2774" s="7">
        <f>IF($E2774="","",AD2774-Q2774)</f>
        <v/>
      </c>
      <c r="AI2774" s="7" t="n"/>
      <c r="AL2774" s="11" t="n"/>
      <c r="AN2774">
        <f>IF($E2774="","",IF(COUNTIF($E$2:$E2774,$E2774)=1,1,0))</f>
        <v/>
      </c>
      <c r="AO2774">
        <f>IF($AN2774=1,SUMPRODUCT(--($AR$2:$AR$4001&lt;$AR2774))+1,"")</f>
        <v/>
      </c>
      <c r="AP2774">
        <f>IF($E2774="","",IF(OR($U2774=TRUE(),$U2774="TRUE"),1,0))</f>
        <v/>
      </c>
      <c r="AQ2774">
        <f>IF($E2774="","",IF($AA2774="Yes",1,0))</f>
        <v/>
      </c>
      <c r="AR2774">
        <f>IF($AN2774=1,IFERROR(VALUE(MID($E2774,2,20)),1000000000)+ROW()/100000,"")</f>
        <v/>
      </c>
    </row>
    <row r="2775">
      <c r="G2775" s="11" t="n"/>
      <c r="Q2775" s="7">
        <f>IF($E2775="","",P2775*Y2775/100)</f>
        <v/>
      </c>
      <c r="R2775" s="7" t="n"/>
      <c r="X2775" s="7" t="n"/>
      <c r="Y2775" s="7" t="n"/>
      <c r="AB2775">
        <f>IF($E2775="","",IF($AQ2775=1,0,IF($AP2775=1,Settings!$C$6,Settings!$C$7))*100)</f>
        <v/>
      </c>
      <c r="AC2775" s="7">
        <f>IF($E2775="","",Y2775*AB2775/100)</f>
        <v/>
      </c>
      <c r="AD2775" s="7">
        <f>IF($E2775="","",Y2775-AC2775)</f>
        <v/>
      </c>
      <c r="AE2775" s="7">
        <f>IF($E2775="","",AD2775-Q2775)</f>
        <v/>
      </c>
      <c r="AI2775" s="7" t="n"/>
      <c r="AL2775" s="11" t="n"/>
      <c r="AN2775">
        <f>IF($E2775="","",IF(COUNTIF($E$2:$E2775,$E2775)=1,1,0))</f>
        <v/>
      </c>
      <c r="AO2775">
        <f>IF($AN2775=1,SUMPRODUCT(--($AR$2:$AR$4001&lt;$AR2775))+1,"")</f>
        <v/>
      </c>
      <c r="AP2775">
        <f>IF($E2775="","",IF(OR($U2775=TRUE(),$U2775="TRUE"),1,0))</f>
        <v/>
      </c>
      <c r="AQ2775">
        <f>IF($E2775="","",IF($AA2775="Yes",1,0))</f>
        <v/>
      </c>
      <c r="AR2775">
        <f>IF($AN2775=1,IFERROR(VALUE(MID($E2775,2,20)),1000000000)+ROW()/100000,"")</f>
        <v/>
      </c>
    </row>
    <row r="2776">
      <c r="G2776" s="11" t="n"/>
      <c r="Q2776" s="7">
        <f>IF($E2776="","",P2776*Y2776/100)</f>
        <v/>
      </c>
      <c r="R2776" s="7" t="n"/>
      <c r="X2776" s="7" t="n"/>
      <c r="Y2776" s="7" t="n"/>
      <c r="AB2776">
        <f>IF($E2776="","",IF($AQ2776=1,0,IF($AP2776=1,Settings!$C$6,Settings!$C$7))*100)</f>
        <v/>
      </c>
      <c r="AC2776" s="7">
        <f>IF($E2776="","",Y2776*AB2776/100)</f>
        <v/>
      </c>
      <c r="AD2776" s="7">
        <f>IF($E2776="","",Y2776-AC2776)</f>
        <v/>
      </c>
      <c r="AE2776" s="7">
        <f>IF($E2776="","",AD2776-Q2776)</f>
        <v/>
      </c>
      <c r="AI2776" s="7" t="n"/>
      <c r="AL2776" s="11" t="n"/>
      <c r="AN2776">
        <f>IF($E2776="","",IF(COUNTIF($E$2:$E2776,$E2776)=1,1,0))</f>
        <v/>
      </c>
      <c r="AO2776">
        <f>IF($AN2776=1,SUMPRODUCT(--($AR$2:$AR$4001&lt;$AR2776))+1,"")</f>
        <v/>
      </c>
      <c r="AP2776">
        <f>IF($E2776="","",IF(OR($U2776=TRUE(),$U2776="TRUE"),1,0))</f>
        <v/>
      </c>
      <c r="AQ2776">
        <f>IF($E2776="","",IF($AA2776="Yes",1,0))</f>
        <v/>
      </c>
      <c r="AR2776">
        <f>IF($AN2776=1,IFERROR(VALUE(MID($E2776,2,20)),1000000000)+ROW()/100000,"")</f>
        <v/>
      </c>
    </row>
    <row r="2777">
      <c r="G2777" s="11" t="n"/>
      <c r="Q2777" s="7">
        <f>IF($E2777="","",P2777*Y2777/100)</f>
        <v/>
      </c>
      <c r="R2777" s="7" t="n"/>
      <c r="X2777" s="7" t="n"/>
      <c r="Y2777" s="7" t="n"/>
      <c r="AB2777">
        <f>IF($E2777="","",IF($AQ2777=1,0,IF($AP2777=1,Settings!$C$6,Settings!$C$7))*100)</f>
        <v/>
      </c>
      <c r="AC2777" s="7">
        <f>IF($E2777="","",Y2777*AB2777/100)</f>
        <v/>
      </c>
      <c r="AD2777" s="7">
        <f>IF($E2777="","",Y2777-AC2777)</f>
        <v/>
      </c>
      <c r="AE2777" s="7">
        <f>IF($E2777="","",AD2777-Q2777)</f>
        <v/>
      </c>
      <c r="AI2777" s="7" t="n"/>
      <c r="AL2777" s="11" t="n"/>
      <c r="AN2777">
        <f>IF($E2777="","",IF(COUNTIF($E$2:$E2777,$E2777)=1,1,0))</f>
        <v/>
      </c>
      <c r="AO2777">
        <f>IF($AN2777=1,SUMPRODUCT(--($AR$2:$AR$4001&lt;$AR2777))+1,"")</f>
        <v/>
      </c>
      <c r="AP2777">
        <f>IF($E2777="","",IF(OR($U2777=TRUE(),$U2777="TRUE"),1,0))</f>
        <v/>
      </c>
      <c r="AQ2777">
        <f>IF($E2777="","",IF($AA2777="Yes",1,0))</f>
        <v/>
      </c>
      <c r="AR2777">
        <f>IF($AN2777=1,IFERROR(VALUE(MID($E2777,2,20)),1000000000)+ROW()/100000,"")</f>
        <v/>
      </c>
    </row>
    <row r="2778">
      <c r="G2778" s="11" t="n"/>
      <c r="Q2778" s="7">
        <f>IF($E2778="","",P2778*Y2778/100)</f>
        <v/>
      </c>
      <c r="R2778" s="7" t="n"/>
      <c r="X2778" s="7" t="n"/>
      <c r="Y2778" s="7" t="n"/>
      <c r="AB2778">
        <f>IF($E2778="","",IF($AQ2778=1,0,IF($AP2778=1,Settings!$C$6,Settings!$C$7))*100)</f>
        <v/>
      </c>
      <c r="AC2778" s="7">
        <f>IF($E2778="","",Y2778*AB2778/100)</f>
        <v/>
      </c>
      <c r="AD2778" s="7">
        <f>IF($E2778="","",Y2778-AC2778)</f>
        <v/>
      </c>
      <c r="AE2778" s="7">
        <f>IF($E2778="","",AD2778-Q2778)</f>
        <v/>
      </c>
      <c r="AI2778" s="7" t="n"/>
      <c r="AL2778" s="11" t="n"/>
      <c r="AN2778">
        <f>IF($E2778="","",IF(COUNTIF($E$2:$E2778,$E2778)=1,1,0))</f>
        <v/>
      </c>
      <c r="AO2778">
        <f>IF($AN2778=1,SUMPRODUCT(--($AR$2:$AR$4001&lt;$AR2778))+1,"")</f>
        <v/>
      </c>
      <c r="AP2778">
        <f>IF($E2778="","",IF(OR($U2778=TRUE(),$U2778="TRUE"),1,0))</f>
        <v/>
      </c>
      <c r="AQ2778">
        <f>IF($E2778="","",IF($AA2778="Yes",1,0))</f>
        <v/>
      </c>
      <c r="AR2778">
        <f>IF($AN2778=1,IFERROR(VALUE(MID($E2778,2,20)),1000000000)+ROW()/100000,"")</f>
        <v/>
      </c>
    </row>
    <row r="2779">
      <c r="G2779" s="11" t="n"/>
      <c r="Q2779" s="7">
        <f>IF($E2779="","",P2779*Y2779/100)</f>
        <v/>
      </c>
      <c r="R2779" s="7" t="n"/>
      <c r="X2779" s="7" t="n"/>
      <c r="Y2779" s="7" t="n"/>
      <c r="AB2779">
        <f>IF($E2779="","",IF($AQ2779=1,0,IF($AP2779=1,Settings!$C$6,Settings!$C$7))*100)</f>
        <v/>
      </c>
      <c r="AC2779" s="7">
        <f>IF($E2779="","",Y2779*AB2779/100)</f>
        <v/>
      </c>
      <c r="AD2779" s="7">
        <f>IF($E2779="","",Y2779-AC2779)</f>
        <v/>
      </c>
      <c r="AE2779" s="7">
        <f>IF($E2779="","",AD2779-Q2779)</f>
        <v/>
      </c>
      <c r="AI2779" s="7" t="n"/>
      <c r="AL2779" s="11" t="n"/>
      <c r="AN2779">
        <f>IF($E2779="","",IF(COUNTIF($E$2:$E2779,$E2779)=1,1,0))</f>
        <v/>
      </c>
      <c r="AO2779">
        <f>IF($AN2779=1,SUMPRODUCT(--($AR$2:$AR$4001&lt;$AR2779))+1,"")</f>
        <v/>
      </c>
      <c r="AP2779">
        <f>IF($E2779="","",IF(OR($U2779=TRUE(),$U2779="TRUE"),1,0))</f>
        <v/>
      </c>
      <c r="AQ2779">
        <f>IF($E2779="","",IF($AA2779="Yes",1,0))</f>
        <v/>
      </c>
      <c r="AR2779">
        <f>IF($AN2779=1,IFERROR(VALUE(MID($E2779,2,20)),1000000000)+ROW()/100000,"")</f>
        <v/>
      </c>
    </row>
    <row r="2780">
      <c r="G2780" s="11" t="n"/>
      <c r="Q2780" s="7">
        <f>IF($E2780="","",P2780*Y2780/100)</f>
        <v/>
      </c>
      <c r="R2780" s="7" t="n"/>
      <c r="X2780" s="7" t="n"/>
      <c r="Y2780" s="7" t="n"/>
      <c r="AB2780">
        <f>IF($E2780="","",IF($AQ2780=1,0,IF($AP2780=1,Settings!$C$6,Settings!$C$7))*100)</f>
        <v/>
      </c>
      <c r="AC2780" s="7">
        <f>IF($E2780="","",Y2780*AB2780/100)</f>
        <v/>
      </c>
      <c r="AD2780" s="7">
        <f>IF($E2780="","",Y2780-AC2780)</f>
        <v/>
      </c>
      <c r="AE2780" s="7">
        <f>IF($E2780="","",AD2780-Q2780)</f>
        <v/>
      </c>
      <c r="AI2780" s="7" t="n"/>
      <c r="AL2780" s="11" t="n"/>
      <c r="AN2780">
        <f>IF($E2780="","",IF(COUNTIF($E$2:$E2780,$E2780)=1,1,0))</f>
        <v/>
      </c>
      <c r="AO2780">
        <f>IF($AN2780=1,SUMPRODUCT(--($AR$2:$AR$4001&lt;$AR2780))+1,"")</f>
        <v/>
      </c>
      <c r="AP2780">
        <f>IF($E2780="","",IF(OR($U2780=TRUE(),$U2780="TRUE"),1,0))</f>
        <v/>
      </c>
      <c r="AQ2780">
        <f>IF($E2780="","",IF($AA2780="Yes",1,0))</f>
        <v/>
      </c>
      <c r="AR2780">
        <f>IF($AN2780=1,IFERROR(VALUE(MID($E2780,2,20)),1000000000)+ROW()/100000,"")</f>
        <v/>
      </c>
    </row>
    <row r="2781">
      <c r="G2781" s="11" t="n"/>
      <c r="Q2781" s="7">
        <f>IF($E2781="","",P2781*Y2781/100)</f>
        <v/>
      </c>
      <c r="R2781" s="7" t="n"/>
      <c r="X2781" s="7" t="n"/>
      <c r="Y2781" s="7" t="n"/>
      <c r="AB2781">
        <f>IF($E2781="","",IF($AQ2781=1,0,IF($AP2781=1,Settings!$C$6,Settings!$C$7))*100)</f>
        <v/>
      </c>
      <c r="AC2781" s="7">
        <f>IF($E2781="","",Y2781*AB2781/100)</f>
        <v/>
      </c>
      <c r="AD2781" s="7">
        <f>IF($E2781="","",Y2781-AC2781)</f>
        <v/>
      </c>
      <c r="AE2781" s="7">
        <f>IF($E2781="","",AD2781-Q2781)</f>
        <v/>
      </c>
      <c r="AI2781" s="7" t="n"/>
      <c r="AL2781" s="11" t="n"/>
      <c r="AN2781">
        <f>IF($E2781="","",IF(COUNTIF($E$2:$E2781,$E2781)=1,1,0))</f>
        <v/>
      </c>
      <c r="AO2781">
        <f>IF($AN2781=1,SUMPRODUCT(--($AR$2:$AR$4001&lt;$AR2781))+1,"")</f>
        <v/>
      </c>
      <c r="AP2781">
        <f>IF($E2781="","",IF(OR($U2781=TRUE(),$U2781="TRUE"),1,0))</f>
        <v/>
      </c>
      <c r="AQ2781">
        <f>IF($E2781="","",IF($AA2781="Yes",1,0))</f>
        <v/>
      </c>
      <c r="AR2781">
        <f>IF($AN2781=1,IFERROR(VALUE(MID($E2781,2,20)),1000000000)+ROW()/100000,"")</f>
        <v/>
      </c>
    </row>
    <row r="2782">
      <c r="G2782" s="11" t="n"/>
      <c r="Q2782" s="7">
        <f>IF($E2782="","",P2782*Y2782/100)</f>
        <v/>
      </c>
      <c r="R2782" s="7" t="n"/>
      <c r="X2782" s="7" t="n"/>
      <c r="Y2782" s="7" t="n"/>
      <c r="AB2782">
        <f>IF($E2782="","",IF($AQ2782=1,0,IF($AP2782=1,Settings!$C$6,Settings!$C$7))*100)</f>
        <v/>
      </c>
      <c r="AC2782" s="7">
        <f>IF($E2782="","",Y2782*AB2782/100)</f>
        <v/>
      </c>
      <c r="AD2782" s="7">
        <f>IF($E2782="","",Y2782-AC2782)</f>
        <v/>
      </c>
      <c r="AE2782" s="7">
        <f>IF($E2782="","",AD2782-Q2782)</f>
        <v/>
      </c>
      <c r="AI2782" s="7" t="n"/>
      <c r="AL2782" s="11" t="n"/>
      <c r="AN2782">
        <f>IF($E2782="","",IF(COUNTIF($E$2:$E2782,$E2782)=1,1,0))</f>
        <v/>
      </c>
      <c r="AO2782">
        <f>IF($AN2782=1,SUMPRODUCT(--($AR$2:$AR$4001&lt;$AR2782))+1,"")</f>
        <v/>
      </c>
      <c r="AP2782">
        <f>IF($E2782="","",IF(OR($U2782=TRUE(),$U2782="TRUE"),1,0))</f>
        <v/>
      </c>
      <c r="AQ2782">
        <f>IF($E2782="","",IF($AA2782="Yes",1,0))</f>
        <v/>
      </c>
      <c r="AR2782">
        <f>IF($AN2782=1,IFERROR(VALUE(MID($E2782,2,20)),1000000000)+ROW()/100000,"")</f>
        <v/>
      </c>
    </row>
    <row r="2783">
      <c r="G2783" s="11" t="n"/>
      <c r="Q2783" s="7">
        <f>IF($E2783="","",P2783*Y2783/100)</f>
        <v/>
      </c>
      <c r="R2783" s="7" t="n"/>
      <c r="X2783" s="7" t="n"/>
      <c r="Y2783" s="7" t="n"/>
      <c r="AB2783">
        <f>IF($E2783="","",IF($AQ2783=1,0,IF($AP2783=1,Settings!$C$6,Settings!$C$7))*100)</f>
        <v/>
      </c>
      <c r="AC2783" s="7">
        <f>IF($E2783="","",Y2783*AB2783/100)</f>
        <v/>
      </c>
      <c r="AD2783" s="7">
        <f>IF($E2783="","",Y2783-AC2783)</f>
        <v/>
      </c>
      <c r="AE2783" s="7">
        <f>IF($E2783="","",AD2783-Q2783)</f>
        <v/>
      </c>
      <c r="AI2783" s="7" t="n"/>
      <c r="AL2783" s="11" t="n"/>
      <c r="AN2783">
        <f>IF($E2783="","",IF(COUNTIF($E$2:$E2783,$E2783)=1,1,0))</f>
        <v/>
      </c>
      <c r="AO2783">
        <f>IF($AN2783=1,SUMPRODUCT(--($AR$2:$AR$4001&lt;$AR2783))+1,"")</f>
        <v/>
      </c>
      <c r="AP2783">
        <f>IF($E2783="","",IF(OR($U2783=TRUE(),$U2783="TRUE"),1,0))</f>
        <v/>
      </c>
      <c r="AQ2783">
        <f>IF($E2783="","",IF($AA2783="Yes",1,0))</f>
        <v/>
      </c>
      <c r="AR2783">
        <f>IF($AN2783=1,IFERROR(VALUE(MID($E2783,2,20)),1000000000)+ROW()/100000,"")</f>
        <v/>
      </c>
    </row>
    <row r="2784">
      <c r="G2784" s="11" t="n"/>
      <c r="Q2784" s="7">
        <f>IF($E2784="","",P2784*Y2784/100)</f>
        <v/>
      </c>
      <c r="R2784" s="7" t="n"/>
      <c r="X2784" s="7" t="n"/>
      <c r="Y2784" s="7" t="n"/>
      <c r="AB2784">
        <f>IF($E2784="","",IF($AQ2784=1,0,IF($AP2784=1,Settings!$C$6,Settings!$C$7))*100)</f>
        <v/>
      </c>
      <c r="AC2784" s="7">
        <f>IF($E2784="","",Y2784*AB2784/100)</f>
        <v/>
      </c>
      <c r="AD2784" s="7">
        <f>IF($E2784="","",Y2784-AC2784)</f>
        <v/>
      </c>
      <c r="AE2784" s="7">
        <f>IF($E2784="","",AD2784-Q2784)</f>
        <v/>
      </c>
      <c r="AI2784" s="7" t="n"/>
      <c r="AL2784" s="11" t="n"/>
      <c r="AN2784">
        <f>IF($E2784="","",IF(COUNTIF($E$2:$E2784,$E2784)=1,1,0))</f>
        <v/>
      </c>
      <c r="AO2784">
        <f>IF($AN2784=1,SUMPRODUCT(--($AR$2:$AR$4001&lt;$AR2784))+1,"")</f>
        <v/>
      </c>
      <c r="AP2784">
        <f>IF($E2784="","",IF(OR($U2784=TRUE(),$U2784="TRUE"),1,0))</f>
        <v/>
      </c>
      <c r="AQ2784">
        <f>IF($E2784="","",IF($AA2784="Yes",1,0))</f>
        <v/>
      </c>
      <c r="AR2784">
        <f>IF($AN2784=1,IFERROR(VALUE(MID($E2784,2,20)),1000000000)+ROW()/100000,"")</f>
        <v/>
      </c>
    </row>
    <row r="2785">
      <c r="G2785" s="11" t="n"/>
      <c r="Q2785" s="7">
        <f>IF($E2785="","",P2785*Y2785/100)</f>
        <v/>
      </c>
      <c r="R2785" s="7" t="n"/>
      <c r="X2785" s="7" t="n"/>
      <c r="Y2785" s="7" t="n"/>
      <c r="AB2785">
        <f>IF($E2785="","",IF($AQ2785=1,0,IF($AP2785=1,Settings!$C$6,Settings!$C$7))*100)</f>
        <v/>
      </c>
      <c r="AC2785" s="7">
        <f>IF($E2785="","",Y2785*AB2785/100)</f>
        <v/>
      </c>
      <c r="AD2785" s="7">
        <f>IF($E2785="","",Y2785-AC2785)</f>
        <v/>
      </c>
      <c r="AE2785" s="7">
        <f>IF($E2785="","",AD2785-Q2785)</f>
        <v/>
      </c>
      <c r="AI2785" s="7" t="n"/>
      <c r="AL2785" s="11" t="n"/>
      <c r="AN2785">
        <f>IF($E2785="","",IF(COUNTIF($E$2:$E2785,$E2785)=1,1,0))</f>
        <v/>
      </c>
      <c r="AO2785">
        <f>IF($AN2785=1,SUMPRODUCT(--($AR$2:$AR$4001&lt;$AR2785))+1,"")</f>
        <v/>
      </c>
      <c r="AP2785">
        <f>IF($E2785="","",IF(OR($U2785=TRUE(),$U2785="TRUE"),1,0))</f>
        <v/>
      </c>
      <c r="AQ2785">
        <f>IF($E2785="","",IF($AA2785="Yes",1,0))</f>
        <v/>
      </c>
      <c r="AR2785">
        <f>IF($AN2785=1,IFERROR(VALUE(MID($E2785,2,20)),1000000000)+ROW()/100000,"")</f>
        <v/>
      </c>
    </row>
    <row r="2786">
      <c r="G2786" s="11" t="n"/>
      <c r="Q2786" s="7">
        <f>IF($E2786="","",P2786*Y2786/100)</f>
        <v/>
      </c>
      <c r="R2786" s="7" t="n"/>
      <c r="X2786" s="7" t="n"/>
      <c r="Y2786" s="7" t="n"/>
      <c r="AB2786">
        <f>IF($E2786="","",IF($AQ2786=1,0,IF($AP2786=1,Settings!$C$6,Settings!$C$7))*100)</f>
        <v/>
      </c>
      <c r="AC2786" s="7">
        <f>IF($E2786="","",Y2786*AB2786/100)</f>
        <v/>
      </c>
      <c r="AD2786" s="7">
        <f>IF($E2786="","",Y2786-AC2786)</f>
        <v/>
      </c>
      <c r="AE2786" s="7">
        <f>IF($E2786="","",AD2786-Q2786)</f>
        <v/>
      </c>
      <c r="AI2786" s="7" t="n"/>
      <c r="AL2786" s="11" t="n"/>
      <c r="AN2786">
        <f>IF($E2786="","",IF(COUNTIF($E$2:$E2786,$E2786)=1,1,0))</f>
        <v/>
      </c>
      <c r="AO2786">
        <f>IF($AN2786=1,SUMPRODUCT(--($AR$2:$AR$4001&lt;$AR2786))+1,"")</f>
        <v/>
      </c>
      <c r="AP2786">
        <f>IF($E2786="","",IF(OR($U2786=TRUE(),$U2786="TRUE"),1,0))</f>
        <v/>
      </c>
      <c r="AQ2786">
        <f>IF($E2786="","",IF($AA2786="Yes",1,0))</f>
        <v/>
      </c>
      <c r="AR2786">
        <f>IF($AN2786=1,IFERROR(VALUE(MID($E2786,2,20)),1000000000)+ROW()/100000,"")</f>
        <v/>
      </c>
    </row>
    <row r="2787">
      <c r="G2787" s="11" t="n"/>
      <c r="Q2787" s="7">
        <f>IF($E2787="","",P2787*Y2787/100)</f>
        <v/>
      </c>
      <c r="R2787" s="7" t="n"/>
      <c r="X2787" s="7" t="n"/>
      <c r="Y2787" s="7" t="n"/>
      <c r="AB2787">
        <f>IF($E2787="","",IF($AQ2787=1,0,IF($AP2787=1,Settings!$C$6,Settings!$C$7))*100)</f>
        <v/>
      </c>
      <c r="AC2787" s="7">
        <f>IF($E2787="","",Y2787*AB2787/100)</f>
        <v/>
      </c>
      <c r="AD2787" s="7">
        <f>IF($E2787="","",Y2787-AC2787)</f>
        <v/>
      </c>
      <c r="AE2787" s="7">
        <f>IF($E2787="","",AD2787-Q2787)</f>
        <v/>
      </c>
      <c r="AI2787" s="7" t="n"/>
      <c r="AL2787" s="11" t="n"/>
      <c r="AN2787">
        <f>IF($E2787="","",IF(COUNTIF($E$2:$E2787,$E2787)=1,1,0))</f>
        <v/>
      </c>
      <c r="AO2787">
        <f>IF($AN2787=1,SUMPRODUCT(--($AR$2:$AR$4001&lt;$AR2787))+1,"")</f>
        <v/>
      </c>
      <c r="AP2787">
        <f>IF($E2787="","",IF(OR($U2787=TRUE(),$U2787="TRUE"),1,0))</f>
        <v/>
      </c>
      <c r="AQ2787">
        <f>IF($E2787="","",IF($AA2787="Yes",1,0))</f>
        <v/>
      </c>
      <c r="AR2787">
        <f>IF($AN2787=1,IFERROR(VALUE(MID($E2787,2,20)),1000000000)+ROW()/100000,"")</f>
        <v/>
      </c>
    </row>
    <row r="2788">
      <c r="G2788" s="11" t="n"/>
      <c r="Q2788" s="7">
        <f>IF($E2788="","",P2788*Y2788/100)</f>
        <v/>
      </c>
      <c r="R2788" s="7" t="n"/>
      <c r="X2788" s="7" t="n"/>
      <c r="Y2788" s="7" t="n"/>
      <c r="AB2788">
        <f>IF($E2788="","",IF($AQ2788=1,0,IF($AP2788=1,Settings!$C$6,Settings!$C$7))*100)</f>
        <v/>
      </c>
      <c r="AC2788" s="7">
        <f>IF($E2788="","",Y2788*AB2788/100)</f>
        <v/>
      </c>
      <c r="AD2788" s="7">
        <f>IF($E2788="","",Y2788-AC2788)</f>
        <v/>
      </c>
      <c r="AE2788" s="7">
        <f>IF($E2788="","",AD2788-Q2788)</f>
        <v/>
      </c>
      <c r="AI2788" s="7" t="n"/>
      <c r="AL2788" s="11" t="n"/>
      <c r="AN2788">
        <f>IF($E2788="","",IF(COUNTIF($E$2:$E2788,$E2788)=1,1,0))</f>
        <v/>
      </c>
      <c r="AO2788">
        <f>IF($AN2788=1,SUMPRODUCT(--($AR$2:$AR$4001&lt;$AR2788))+1,"")</f>
        <v/>
      </c>
      <c r="AP2788">
        <f>IF($E2788="","",IF(OR($U2788=TRUE(),$U2788="TRUE"),1,0))</f>
        <v/>
      </c>
      <c r="AQ2788">
        <f>IF($E2788="","",IF($AA2788="Yes",1,0))</f>
        <v/>
      </c>
      <c r="AR2788">
        <f>IF($AN2788=1,IFERROR(VALUE(MID($E2788,2,20)),1000000000)+ROW()/100000,"")</f>
        <v/>
      </c>
    </row>
    <row r="2789">
      <c r="G2789" s="11" t="n"/>
      <c r="Q2789" s="7">
        <f>IF($E2789="","",P2789*Y2789/100)</f>
        <v/>
      </c>
      <c r="R2789" s="7" t="n"/>
      <c r="X2789" s="7" t="n"/>
      <c r="Y2789" s="7" t="n"/>
      <c r="AB2789">
        <f>IF($E2789="","",IF($AQ2789=1,0,IF($AP2789=1,Settings!$C$6,Settings!$C$7))*100)</f>
        <v/>
      </c>
      <c r="AC2789" s="7">
        <f>IF($E2789="","",Y2789*AB2789/100)</f>
        <v/>
      </c>
      <c r="AD2789" s="7">
        <f>IF($E2789="","",Y2789-AC2789)</f>
        <v/>
      </c>
      <c r="AE2789" s="7">
        <f>IF($E2789="","",AD2789-Q2789)</f>
        <v/>
      </c>
      <c r="AI2789" s="7" t="n"/>
      <c r="AL2789" s="11" t="n"/>
      <c r="AN2789">
        <f>IF($E2789="","",IF(COUNTIF($E$2:$E2789,$E2789)=1,1,0))</f>
        <v/>
      </c>
      <c r="AO2789">
        <f>IF($AN2789=1,SUMPRODUCT(--($AR$2:$AR$4001&lt;$AR2789))+1,"")</f>
        <v/>
      </c>
      <c r="AP2789">
        <f>IF($E2789="","",IF(OR($U2789=TRUE(),$U2789="TRUE"),1,0))</f>
        <v/>
      </c>
      <c r="AQ2789">
        <f>IF($E2789="","",IF($AA2789="Yes",1,0))</f>
        <v/>
      </c>
      <c r="AR2789">
        <f>IF($AN2789=1,IFERROR(VALUE(MID($E2789,2,20)),1000000000)+ROW()/100000,"")</f>
        <v/>
      </c>
    </row>
    <row r="2790">
      <c r="G2790" s="11" t="n"/>
      <c r="Q2790" s="7">
        <f>IF($E2790="","",P2790*Y2790/100)</f>
        <v/>
      </c>
      <c r="R2790" s="7" t="n"/>
      <c r="X2790" s="7" t="n"/>
      <c r="Y2790" s="7" t="n"/>
      <c r="AB2790">
        <f>IF($E2790="","",IF($AQ2790=1,0,IF($AP2790=1,Settings!$C$6,Settings!$C$7))*100)</f>
        <v/>
      </c>
      <c r="AC2790" s="7">
        <f>IF($E2790="","",Y2790*AB2790/100)</f>
        <v/>
      </c>
      <c r="AD2790" s="7">
        <f>IF($E2790="","",Y2790-AC2790)</f>
        <v/>
      </c>
      <c r="AE2790" s="7">
        <f>IF($E2790="","",AD2790-Q2790)</f>
        <v/>
      </c>
      <c r="AI2790" s="7" t="n"/>
      <c r="AL2790" s="11" t="n"/>
      <c r="AN2790">
        <f>IF($E2790="","",IF(COUNTIF($E$2:$E2790,$E2790)=1,1,0))</f>
        <v/>
      </c>
      <c r="AO2790">
        <f>IF($AN2790=1,SUMPRODUCT(--($AR$2:$AR$4001&lt;$AR2790))+1,"")</f>
        <v/>
      </c>
      <c r="AP2790">
        <f>IF($E2790="","",IF(OR($U2790=TRUE(),$U2790="TRUE"),1,0))</f>
        <v/>
      </c>
      <c r="AQ2790">
        <f>IF($E2790="","",IF($AA2790="Yes",1,0))</f>
        <v/>
      </c>
      <c r="AR2790">
        <f>IF($AN2790=1,IFERROR(VALUE(MID($E2790,2,20)),1000000000)+ROW()/100000,"")</f>
        <v/>
      </c>
    </row>
    <row r="2791">
      <c r="G2791" s="11" t="n"/>
      <c r="Q2791" s="7">
        <f>IF($E2791="","",P2791*Y2791/100)</f>
        <v/>
      </c>
      <c r="R2791" s="7" t="n"/>
      <c r="X2791" s="7" t="n"/>
      <c r="Y2791" s="7" t="n"/>
      <c r="AB2791">
        <f>IF($E2791="","",IF($AQ2791=1,0,IF($AP2791=1,Settings!$C$6,Settings!$C$7))*100)</f>
        <v/>
      </c>
      <c r="AC2791" s="7">
        <f>IF($E2791="","",Y2791*AB2791/100)</f>
        <v/>
      </c>
      <c r="AD2791" s="7">
        <f>IF($E2791="","",Y2791-AC2791)</f>
        <v/>
      </c>
      <c r="AE2791" s="7">
        <f>IF($E2791="","",AD2791-Q2791)</f>
        <v/>
      </c>
      <c r="AI2791" s="7" t="n"/>
      <c r="AL2791" s="11" t="n"/>
      <c r="AN2791">
        <f>IF($E2791="","",IF(COUNTIF($E$2:$E2791,$E2791)=1,1,0))</f>
        <v/>
      </c>
      <c r="AO2791">
        <f>IF($AN2791=1,SUMPRODUCT(--($AR$2:$AR$4001&lt;$AR2791))+1,"")</f>
        <v/>
      </c>
      <c r="AP2791">
        <f>IF($E2791="","",IF(OR($U2791=TRUE(),$U2791="TRUE"),1,0))</f>
        <v/>
      </c>
      <c r="AQ2791">
        <f>IF($E2791="","",IF($AA2791="Yes",1,0))</f>
        <v/>
      </c>
      <c r="AR2791">
        <f>IF($AN2791=1,IFERROR(VALUE(MID($E2791,2,20)),1000000000)+ROW()/100000,"")</f>
        <v/>
      </c>
    </row>
    <row r="2792">
      <c r="G2792" s="11" t="n"/>
      <c r="Q2792" s="7">
        <f>IF($E2792="","",P2792*Y2792/100)</f>
        <v/>
      </c>
      <c r="R2792" s="7" t="n"/>
      <c r="X2792" s="7" t="n"/>
      <c r="Y2792" s="7" t="n"/>
      <c r="AB2792">
        <f>IF($E2792="","",IF($AQ2792=1,0,IF($AP2792=1,Settings!$C$6,Settings!$C$7))*100)</f>
        <v/>
      </c>
      <c r="AC2792" s="7">
        <f>IF($E2792="","",Y2792*AB2792/100)</f>
        <v/>
      </c>
      <c r="AD2792" s="7">
        <f>IF($E2792="","",Y2792-AC2792)</f>
        <v/>
      </c>
      <c r="AE2792" s="7">
        <f>IF($E2792="","",AD2792-Q2792)</f>
        <v/>
      </c>
      <c r="AI2792" s="7" t="n"/>
      <c r="AL2792" s="11" t="n"/>
      <c r="AN2792">
        <f>IF($E2792="","",IF(COUNTIF($E$2:$E2792,$E2792)=1,1,0))</f>
        <v/>
      </c>
      <c r="AO2792">
        <f>IF($AN2792=1,SUMPRODUCT(--($AR$2:$AR$4001&lt;$AR2792))+1,"")</f>
        <v/>
      </c>
      <c r="AP2792">
        <f>IF($E2792="","",IF(OR($U2792=TRUE(),$U2792="TRUE"),1,0))</f>
        <v/>
      </c>
      <c r="AQ2792">
        <f>IF($E2792="","",IF($AA2792="Yes",1,0))</f>
        <v/>
      </c>
      <c r="AR2792">
        <f>IF($AN2792=1,IFERROR(VALUE(MID($E2792,2,20)),1000000000)+ROW()/100000,"")</f>
        <v/>
      </c>
    </row>
    <row r="2793">
      <c r="G2793" s="11" t="n"/>
      <c r="Q2793" s="7">
        <f>IF($E2793="","",P2793*Y2793/100)</f>
        <v/>
      </c>
      <c r="R2793" s="7" t="n"/>
      <c r="X2793" s="7" t="n"/>
      <c r="Y2793" s="7" t="n"/>
      <c r="AB2793">
        <f>IF($E2793="","",IF($AQ2793=1,0,IF($AP2793=1,Settings!$C$6,Settings!$C$7))*100)</f>
        <v/>
      </c>
      <c r="AC2793" s="7">
        <f>IF($E2793="","",Y2793*AB2793/100)</f>
        <v/>
      </c>
      <c r="AD2793" s="7">
        <f>IF($E2793="","",Y2793-AC2793)</f>
        <v/>
      </c>
      <c r="AE2793" s="7">
        <f>IF($E2793="","",AD2793-Q2793)</f>
        <v/>
      </c>
      <c r="AI2793" s="7" t="n"/>
      <c r="AL2793" s="11" t="n"/>
      <c r="AN2793">
        <f>IF($E2793="","",IF(COUNTIF($E$2:$E2793,$E2793)=1,1,0))</f>
        <v/>
      </c>
      <c r="AO2793">
        <f>IF($AN2793=1,SUMPRODUCT(--($AR$2:$AR$4001&lt;$AR2793))+1,"")</f>
        <v/>
      </c>
      <c r="AP2793">
        <f>IF($E2793="","",IF(OR($U2793=TRUE(),$U2793="TRUE"),1,0))</f>
        <v/>
      </c>
      <c r="AQ2793">
        <f>IF($E2793="","",IF($AA2793="Yes",1,0))</f>
        <v/>
      </c>
      <c r="AR2793">
        <f>IF($AN2793=1,IFERROR(VALUE(MID($E2793,2,20)),1000000000)+ROW()/100000,"")</f>
        <v/>
      </c>
    </row>
    <row r="2794">
      <c r="G2794" s="11" t="n"/>
      <c r="Q2794" s="7">
        <f>IF($E2794="","",P2794*Y2794/100)</f>
        <v/>
      </c>
      <c r="R2794" s="7" t="n"/>
      <c r="X2794" s="7" t="n"/>
      <c r="Y2794" s="7" t="n"/>
      <c r="AB2794">
        <f>IF($E2794="","",IF($AQ2794=1,0,IF($AP2794=1,Settings!$C$6,Settings!$C$7))*100)</f>
        <v/>
      </c>
      <c r="AC2794" s="7">
        <f>IF($E2794="","",Y2794*AB2794/100)</f>
        <v/>
      </c>
      <c r="AD2794" s="7">
        <f>IF($E2794="","",Y2794-AC2794)</f>
        <v/>
      </c>
      <c r="AE2794" s="7">
        <f>IF($E2794="","",AD2794-Q2794)</f>
        <v/>
      </c>
      <c r="AI2794" s="7" t="n"/>
      <c r="AL2794" s="11" t="n"/>
      <c r="AN2794">
        <f>IF($E2794="","",IF(COUNTIF($E$2:$E2794,$E2794)=1,1,0))</f>
        <v/>
      </c>
      <c r="AO2794">
        <f>IF($AN2794=1,SUMPRODUCT(--($AR$2:$AR$4001&lt;$AR2794))+1,"")</f>
        <v/>
      </c>
      <c r="AP2794">
        <f>IF($E2794="","",IF(OR($U2794=TRUE(),$U2794="TRUE"),1,0))</f>
        <v/>
      </c>
      <c r="AQ2794">
        <f>IF($E2794="","",IF($AA2794="Yes",1,0))</f>
        <v/>
      </c>
      <c r="AR2794">
        <f>IF($AN2794=1,IFERROR(VALUE(MID($E2794,2,20)),1000000000)+ROW()/100000,"")</f>
        <v/>
      </c>
    </row>
    <row r="2795">
      <c r="G2795" s="11" t="n"/>
      <c r="Q2795" s="7">
        <f>IF($E2795="","",P2795*Y2795/100)</f>
        <v/>
      </c>
      <c r="R2795" s="7" t="n"/>
      <c r="X2795" s="7" t="n"/>
      <c r="Y2795" s="7" t="n"/>
      <c r="AB2795">
        <f>IF($E2795="","",IF($AQ2795=1,0,IF($AP2795=1,Settings!$C$6,Settings!$C$7))*100)</f>
        <v/>
      </c>
      <c r="AC2795" s="7">
        <f>IF($E2795="","",Y2795*AB2795/100)</f>
        <v/>
      </c>
      <c r="AD2795" s="7">
        <f>IF($E2795="","",Y2795-AC2795)</f>
        <v/>
      </c>
      <c r="AE2795" s="7">
        <f>IF($E2795="","",AD2795-Q2795)</f>
        <v/>
      </c>
      <c r="AI2795" s="7" t="n"/>
      <c r="AL2795" s="11" t="n"/>
      <c r="AN2795">
        <f>IF($E2795="","",IF(COUNTIF($E$2:$E2795,$E2795)=1,1,0))</f>
        <v/>
      </c>
      <c r="AO2795">
        <f>IF($AN2795=1,SUMPRODUCT(--($AR$2:$AR$4001&lt;$AR2795))+1,"")</f>
        <v/>
      </c>
      <c r="AP2795">
        <f>IF($E2795="","",IF(OR($U2795=TRUE(),$U2795="TRUE"),1,0))</f>
        <v/>
      </c>
      <c r="AQ2795">
        <f>IF($E2795="","",IF($AA2795="Yes",1,0))</f>
        <v/>
      </c>
      <c r="AR2795">
        <f>IF($AN2795=1,IFERROR(VALUE(MID($E2795,2,20)),1000000000)+ROW()/100000,"")</f>
        <v/>
      </c>
    </row>
    <row r="2796">
      <c r="G2796" s="11" t="n"/>
      <c r="Q2796" s="7">
        <f>IF($E2796="","",P2796*Y2796/100)</f>
        <v/>
      </c>
      <c r="R2796" s="7" t="n"/>
      <c r="X2796" s="7" t="n"/>
      <c r="Y2796" s="7" t="n"/>
      <c r="AB2796">
        <f>IF($E2796="","",IF($AQ2796=1,0,IF($AP2796=1,Settings!$C$6,Settings!$C$7))*100)</f>
        <v/>
      </c>
      <c r="AC2796" s="7">
        <f>IF($E2796="","",Y2796*AB2796/100)</f>
        <v/>
      </c>
      <c r="AD2796" s="7">
        <f>IF($E2796="","",Y2796-AC2796)</f>
        <v/>
      </c>
      <c r="AE2796" s="7">
        <f>IF($E2796="","",AD2796-Q2796)</f>
        <v/>
      </c>
      <c r="AI2796" s="7" t="n"/>
      <c r="AL2796" s="11" t="n"/>
      <c r="AN2796">
        <f>IF($E2796="","",IF(COUNTIF($E$2:$E2796,$E2796)=1,1,0))</f>
        <v/>
      </c>
      <c r="AO2796">
        <f>IF($AN2796=1,SUMPRODUCT(--($AR$2:$AR$4001&lt;$AR2796))+1,"")</f>
        <v/>
      </c>
      <c r="AP2796">
        <f>IF($E2796="","",IF(OR($U2796=TRUE(),$U2796="TRUE"),1,0))</f>
        <v/>
      </c>
      <c r="AQ2796">
        <f>IF($E2796="","",IF($AA2796="Yes",1,0))</f>
        <v/>
      </c>
      <c r="AR2796">
        <f>IF($AN2796=1,IFERROR(VALUE(MID($E2796,2,20)),1000000000)+ROW()/100000,"")</f>
        <v/>
      </c>
    </row>
    <row r="2797">
      <c r="G2797" s="11" t="n"/>
      <c r="Q2797" s="7">
        <f>IF($E2797="","",P2797*Y2797/100)</f>
        <v/>
      </c>
      <c r="R2797" s="7" t="n"/>
      <c r="X2797" s="7" t="n"/>
      <c r="Y2797" s="7" t="n"/>
      <c r="AB2797">
        <f>IF($E2797="","",IF($AQ2797=1,0,IF($AP2797=1,Settings!$C$6,Settings!$C$7))*100)</f>
        <v/>
      </c>
      <c r="AC2797" s="7">
        <f>IF($E2797="","",Y2797*AB2797/100)</f>
        <v/>
      </c>
      <c r="AD2797" s="7">
        <f>IF($E2797="","",Y2797-AC2797)</f>
        <v/>
      </c>
      <c r="AE2797" s="7">
        <f>IF($E2797="","",AD2797-Q2797)</f>
        <v/>
      </c>
      <c r="AI2797" s="7" t="n"/>
      <c r="AL2797" s="11" t="n"/>
      <c r="AN2797">
        <f>IF($E2797="","",IF(COUNTIF($E$2:$E2797,$E2797)=1,1,0))</f>
        <v/>
      </c>
      <c r="AO2797">
        <f>IF($AN2797=1,SUMPRODUCT(--($AR$2:$AR$4001&lt;$AR2797))+1,"")</f>
        <v/>
      </c>
      <c r="AP2797">
        <f>IF($E2797="","",IF(OR($U2797=TRUE(),$U2797="TRUE"),1,0))</f>
        <v/>
      </c>
      <c r="AQ2797">
        <f>IF($E2797="","",IF($AA2797="Yes",1,0))</f>
        <v/>
      </c>
      <c r="AR2797">
        <f>IF($AN2797=1,IFERROR(VALUE(MID($E2797,2,20)),1000000000)+ROW()/100000,"")</f>
        <v/>
      </c>
    </row>
    <row r="2798">
      <c r="G2798" s="11" t="n"/>
      <c r="Q2798" s="7">
        <f>IF($E2798="","",P2798*Y2798/100)</f>
        <v/>
      </c>
      <c r="R2798" s="7" t="n"/>
      <c r="X2798" s="7" t="n"/>
      <c r="Y2798" s="7" t="n"/>
      <c r="AB2798">
        <f>IF($E2798="","",IF($AQ2798=1,0,IF($AP2798=1,Settings!$C$6,Settings!$C$7))*100)</f>
        <v/>
      </c>
      <c r="AC2798" s="7">
        <f>IF($E2798="","",Y2798*AB2798/100)</f>
        <v/>
      </c>
      <c r="AD2798" s="7">
        <f>IF($E2798="","",Y2798-AC2798)</f>
        <v/>
      </c>
      <c r="AE2798" s="7">
        <f>IF($E2798="","",AD2798-Q2798)</f>
        <v/>
      </c>
      <c r="AI2798" s="7" t="n"/>
      <c r="AL2798" s="11" t="n"/>
      <c r="AN2798">
        <f>IF($E2798="","",IF(COUNTIF($E$2:$E2798,$E2798)=1,1,0))</f>
        <v/>
      </c>
      <c r="AO2798">
        <f>IF($AN2798=1,SUMPRODUCT(--($AR$2:$AR$4001&lt;$AR2798))+1,"")</f>
        <v/>
      </c>
      <c r="AP2798">
        <f>IF($E2798="","",IF(OR($U2798=TRUE(),$U2798="TRUE"),1,0))</f>
        <v/>
      </c>
      <c r="AQ2798">
        <f>IF($E2798="","",IF($AA2798="Yes",1,0))</f>
        <v/>
      </c>
      <c r="AR2798">
        <f>IF($AN2798=1,IFERROR(VALUE(MID($E2798,2,20)),1000000000)+ROW()/100000,"")</f>
        <v/>
      </c>
    </row>
    <row r="2799">
      <c r="G2799" s="11" t="n"/>
      <c r="Q2799" s="7">
        <f>IF($E2799="","",P2799*Y2799/100)</f>
        <v/>
      </c>
      <c r="R2799" s="7" t="n"/>
      <c r="X2799" s="7" t="n"/>
      <c r="Y2799" s="7" t="n"/>
      <c r="AB2799">
        <f>IF($E2799="","",IF($AQ2799=1,0,IF($AP2799=1,Settings!$C$6,Settings!$C$7))*100)</f>
        <v/>
      </c>
      <c r="AC2799" s="7">
        <f>IF($E2799="","",Y2799*AB2799/100)</f>
        <v/>
      </c>
      <c r="AD2799" s="7">
        <f>IF($E2799="","",Y2799-AC2799)</f>
        <v/>
      </c>
      <c r="AE2799" s="7">
        <f>IF($E2799="","",AD2799-Q2799)</f>
        <v/>
      </c>
      <c r="AI2799" s="7" t="n"/>
      <c r="AL2799" s="11" t="n"/>
      <c r="AN2799">
        <f>IF($E2799="","",IF(COUNTIF($E$2:$E2799,$E2799)=1,1,0))</f>
        <v/>
      </c>
      <c r="AO2799">
        <f>IF($AN2799=1,SUMPRODUCT(--($AR$2:$AR$4001&lt;$AR2799))+1,"")</f>
        <v/>
      </c>
      <c r="AP2799">
        <f>IF($E2799="","",IF(OR($U2799=TRUE(),$U2799="TRUE"),1,0))</f>
        <v/>
      </c>
      <c r="AQ2799">
        <f>IF($E2799="","",IF($AA2799="Yes",1,0))</f>
        <v/>
      </c>
      <c r="AR2799">
        <f>IF($AN2799=1,IFERROR(VALUE(MID($E2799,2,20)),1000000000)+ROW()/100000,"")</f>
        <v/>
      </c>
    </row>
    <row r="2800">
      <c r="G2800" s="11" t="n"/>
      <c r="Q2800" s="7">
        <f>IF($E2800="","",P2800*Y2800/100)</f>
        <v/>
      </c>
      <c r="R2800" s="7" t="n"/>
      <c r="X2800" s="7" t="n"/>
      <c r="Y2800" s="7" t="n"/>
      <c r="AB2800">
        <f>IF($E2800="","",IF($AQ2800=1,0,IF($AP2800=1,Settings!$C$6,Settings!$C$7))*100)</f>
        <v/>
      </c>
      <c r="AC2800" s="7">
        <f>IF($E2800="","",Y2800*AB2800/100)</f>
        <v/>
      </c>
      <c r="AD2800" s="7">
        <f>IF($E2800="","",Y2800-AC2800)</f>
        <v/>
      </c>
      <c r="AE2800" s="7">
        <f>IF($E2800="","",AD2800-Q2800)</f>
        <v/>
      </c>
      <c r="AI2800" s="7" t="n"/>
      <c r="AL2800" s="11" t="n"/>
      <c r="AN2800">
        <f>IF($E2800="","",IF(COUNTIF($E$2:$E2800,$E2800)=1,1,0))</f>
        <v/>
      </c>
      <c r="AO2800">
        <f>IF($AN2800=1,SUMPRODUCT(--($AR$2:$AR$4001&lt;$AR2800))+1,"")</f>
        <v/>
      </c>
      <c r="AP2800">
        <f>IF($E2800="","",IF(OR($U2800=TRUE(),$U2800="TRUE"),1,0))</f>
        <v/>
      </c>
      <c r="AQ2800">
        <f>IF($E2800="","",IF($AA2800="Yes",1,0))</f>
        <v/>
      </c>
      <c r="AR2800">
        <f>IF($AN2800=1,IFERROR(VALUE(MID($E2800,2,20)),1000000000)+ROW()/100000,"")</f>
        <v/>
      </c>
    </row>
    <row r="2801">
      <c r="G2801" s="11" t="n"/>
      <c r="Q2801" s="7">
        <f>IF($E2801="","",P2801*Y2801/100)</f>
        <v/>
      </c>
      <c r="R2801" s="7" t="n"/>
      <c r="X2801" s="7" t="n"/>
      <c r="Y2801" s="7" t="n"/>
      <c r="AB2801">
        <f>IF($E2801="","",IF($AQ2801=1,0,IF($AP2801=1,Settings!$C$6,Settings!$C$7))*100)</f>
        <v/>
      </c>
      <c r="AC2801" s="7">
        <f>IF($E2801="","",Y2801*AB2801/100)</f>
        <v/>
      </c>
      <c r="AD2801" s="7">
        <f>IF($E2801="","",Y2801-AC2801)</f>
        <v/>
      </c>
      <c r="AE2801" s="7">
        <f>IF($E2801="","",AD2801-Q2801)</f>
        <v/>
      </c>
      <c r="AI2801" s="7" t="n"/>
      <c r="AL2801" s="11" t="n"/>
      <c r="AN2801">
        <f>IF($E2801="","",IF(COUNTIF($E$2:$E2801,$E2801)=1,1,0))</f>
        <v/>
      </c>
      <c r="AO2801">
        <f>IF($AN2801=1,SUMPRODUCT(--($AR$2:$AR$4001&lt;$AR2801))+1,"")</f>
        <v/>
      </c>
      <c r="AP2801">
        <f>IF($E2801="","",IF(OR($U2801=TRUE(),$U2801="TRUE"),1,0))</f>
        <v/>
      </c>
      <c r="AQ2801">
        <f>IF($E2801="","",IF($AA2801="Yes",1,0))</f>
        <v/>
      </c>
      <c r="AR2801">
        <f>IF($AN2801=1,IFERROR(VALUE(MID($E2801,2,20)),1000000000)+ROW()/100000,"")</f>
        <v/>
      </c>
    </row>
    <row r="2802">
      <c r="G2802" s="11" t="n"/>
      <c r="Q2802" s="7">
        <f>IF($E2802="","",P2802*Y2802/100)</f>
        <v/>
      </c>
      <c r="R2802" s="7" t="n"/>
      <c r="X2802" s="7" t="n"/>
      <c r="Y2802" s="7" t="n"/>
      <c r="AB2802">
        <f>IF($E2802="","",IF($AQ2802=1,0,IF($AP2802=1,Settings!$C$6,Settings!$C$7))*100)</f>
        <v/>
      </c>
      <c r="AC2802" s="7">
        <f>IF($E2802="","",Y2802*AB2802/100)</f>
        <v/>
      </c>
      <c r="AD2802" s="7">
        <f>IF($E2802="","",Y2802-AC2802)</f>
        <v/>
      </c>
      <c r="AE2802" s="7">
        <f>IF($E2802="","",AD2802-Q2802)</f>
        <v/>
      </c>
      <c r="AI2802" s="7" t="n"/>
      <c r="AL2802" s="11" t="n"/>
      <c r="AN2802">
        <f>IF($E2802="","",IF(COUNTIF($E$2:$E2802,$E2802)=1,1,0))</f>
        <v/>
      </c>
      <c r="AO2802">
        <f>IF($AN2802=1,SUMPRODUCT(--($AR$2:$AR$4001&lt;$AR2802))+1,"")</f>
        <v/>
      </c>
      <c r="AP2802">
        <f>IF($E2802="","",IF(OR($U2802=TRUE(),$U2802="TRUE"),1,0))</f>
        <v/>
      </c>
      <c r="AQ2802">
        <f>IF($E2802="","",IF($AA2802="Yes",1,0))</f>
        <v/>
      </c>
      <c r="AR2802">
        <f>IF($AN2802=1,IFERROR(VALUE(MID($E2802,2,20)),1000000000)+ROW()/100000,"")</f>
        <v/>
      </c>
    </row>
    <row r="2803">
      <c r="G2803" s="11" t="n"/>
      <c r="Q2803" s="7">
        <f>IF($E2803="","",P2803*Y2803/100)</f>
        <v/>
      </c>
      <c r="R2803" s="7" t="n"/>
      <c r="X2803" s="7" t="n"/>
      <c r="Y2803" s="7" t="n"/>
      <c r="AB2803">
        <f>IF($E2803="","",IF($AQ2803=1,0,IF($AP2803=1,Settings!$C$6,Settings!$C$7))*100)</f>
        <v/>
      </c>
      <c r="AC2803" s="7">
        <f>IF($E2803="","",Y2803*AB2803/100)</f>
        <v/>
      </c>
      <c r="AD2803" s="7">
        <f>IF($E2803="","",Y2803-AC2803)</f>
        <v/>
      </c>
      <c r="AE2803" s="7">
        <f>IF($E2803="","",AD2803-Q2803)</f>
        <v/>
      </c>
      <c r="AI2803" s="7" t="n"/>
      <c r="AL2803" s="11" t="n"/>
      <c r="AN2803">
        <f>IF($E2803="","",IF(COUNTIF($E$2:$E2803,$E2803)=1,1,0))</f>
        <v/>
      </c>
      <c r="AO2803">
        <f>IF($AN2803=1,SUMPRODUCT(--($AR$2:$AR$4001&lt;$AR2803))+1,"")</f>
        <v/>
      </c>
      <c r="AP2803">
        <f>IF($E2803="","",IF(OR($U2803=TRUE(),$U2803="TRUE"),1,0))</f>
        <v/>
      </c>
      <c r="AQ2803">
        <f>IF($E2803="","",IF($AA2803="Yes",1,0))</f>
        <v/>
      </c>
      <c r="AR2803">
        <f>IF($AN2803=1,IFERROR(VALUE(MID($E2803,2,20)),1000000000)+ROW()/100000,"")</f>
        <v/>
      </c>
    </row>
    <row r="2804">
      <c r="G2804" s="11" t="n"/>
      <c r="Q2804" s="7">
        <f>IF($E2804="","",P2804*Y2804/100)</f>
        <v/>
      </c>
      <c r="R2804" s="7" t="n"/>
      <c r="X2804" s="7" t="n"/>
      <c r="Y2804" s="7" t="n"/>
      <c r="AB2804">
        <f>IF($E2804="","",IF($AQ2804=1,0,IF($AP2804=1,Settings!$C$6,Settings!$C$7))*100)</f>
        <v/>
      </c>
      <c r="AC2804" s="7">
        <f>IF($E2804="","",Y2804*AB2804/100)</f>
        <v/>
      </c>
      <c r="AD2804" s="7">
        <f>IF($E2804="","",Y2804-AC2804)</f>
        <v/>
      </c>
      <c r="AE2804" s="7">
        <f>IF($E2804="","",AD2804-Q2804)</f>
        <v/>
      </c>
      <c r="AI2804" s="7" t="n"/>
      <c r="AL2804" s="11" t="n"/>
      <c r="AN2804">
        <f>IF($E2804="","",IF(COUNTIF($E$2:$E2804,$E2804)=1,1,0))</f>
        <v/>
      </c>
      <c r="AO2804">
        <f>IF($AN2804=1,SUMPRODUCT(--($AR$2:$AR$4001&lt;$AR2804))+1,"")</f>
        <v/>
      </c>
      <c r="AP2804">
        <f>IF($E2804="","",IF(OR($U2804=TRUE(),$U2804="TRUE"),1,0))</f>
        <v/>
      </c>
      <c r="AQ2804">
        <f>IF($E2804="","",IF($AA2804="Yes",1,0))</f>
        <v/>
      </c>
      <c r="AR2804">
        <f>IF($AN2804=1,IFERROR(VALUE(MID($E2804,2,20)),1000000000)+ROW()/100000,"")</f>
        <v/>
      </c>
    </row>
    <row r="2805">
      <c r="G2805" s="11" t="n"/>
      <c r="Q2805" s="7">
        <f>IF($E2805="","",P2805*Y2805/100)</f>
        <v/>
      </c>
      <c r="R2805" s="7" t="n"/>
      <c r="X2805" s="7" t="n"/>
      <c r="Y2805" s="7" t="n"/>
      <c r="AB2805">
        <f>IF($E2805="","",IF($AQ2805=1,0,IF($AP2805=1,Settings!$C$6,Settings!$C$7))*100)</f>
        <v/>
      </c>
      <c r="AC2805" s="7">
        <f>IF($E2805="","",Y2805*AB2805/100)</f>
        <v/>
      </c>
      <c r="AD2805" s="7">
        <f>IF($E2805="","",Y2805-AC2805)</f>
        <v/>
      </c>
      <c r="AE2805" s="7">
        <f>IF($E2805="","",AD2805-Q2805)</f>
        <v/>
      </c>
      <c r="AI2805" s="7" t="n"/>
      <c r="AL2805" s="11" t="n"/>
      <c r="AN2805">
        <f>IF($E2805="","",IF(COUNTIF($E$2:$E2805,$E2805)=1,1,0))</f>
        <v/>
      </c>
      <c r="AO2805">
        <f>IF($AN2805=1,SUMPRODUCT(--($AR$2:$AR$4001&lt;$AR2805))+1,"")</f>
        <v/>
      </c>
      <c r="AP2805">
        <f>IF($E2805="","",IF(OR($U2805=TRUE(),$U2805="TRUE"),1,0))</f>
        <v/>
      </c>
      <c r="AQ2805">
        <f>IF($E2805="","",IF($AA2805="Yes",1,0))</f>
        <v/>
      </c>
      <c r="AR2805">
        <f>IF($AN2805=1,IFERROR(VALUE(MID($E2805,2,20)),1000000000)+ROW()/100000,"")</f>
        <v/>
      </c>
    </row>
    <row r="2806">
      <c r="G2806" s="11" t="n"/>
      <c r="Q2806" s="7">
        <f>IF($E2806="","",P2806*Y2806/100)</f>
        <v/>
      </c>
      <c r="R2806" s="7" t="n"/>
      <c r="X2806" s="7" t="n"/>
      <c r="Y2806" s="7" t="n"/>
      <c r="AB2806">
        <f>IF($E2806="","",IF($AQ2806=1,0,IF($AP2806=1,Settings!$C$6,Settings!$C$7))*100)</f>
        <v/>
      </c>
      <c r="AC2806" s="7">
        <f>IF($E2806="","",Y2806*AB2806/100)</f>
        <v/>
      </c>
      <c r="AD2806" s="7">
        <f>IF($E2806="","",Y2806-AC2806)</f>
        <v/>
      </c>
      <c r="AE2806" s="7">
        <f>IF($E2806="","",AD2806-Q2806)</f>
        <v/>
      </c>
      <c r="AI2806" s="7" t="n"/>
      <c r="AL2806" s="11" t="n"/>
      <c r="AN2806">
        <f>IF($E2806="","",IF(COUNTIF($E$2:$E2806,$E2806)=1,1,0))</f>
        <v/>
      </c>
      <c r="AO2806">
        <f>IF($AN2806=1,SUMPRODUCT(--($AR$2:$AR$4001&lt;$AR2806))+1,"")</f>
        <v/>
      </c>
      <c r="AP2806">
        <f>IF($E2806="","",IF(OR($U2806=TRUE(),$U2806="TRUE"),1,0))</f>
        <v/>
      </c>
      <c r="AQ2806">
        <f>IF($E2806="","",IF($AA2806="Yes",1,0))</f>
        <v/>
      </c>
      <c r="AR2806">
        <f>IF($AN2806=1,IFERROR(VALUE(MID($E2806,2,20)),1000000000)+ROW()/100000,"")</f>
        <v/>
      </c>
    </row>
    <row r="2807">
      <c r="G2807" s="11" t="n"/>
      <c r="Q2807" s="7">
        <f>IF($E2807="","",P2807*Y2807/100)</f>
        <v/>
      </c>
      <c r="R2807" s="7" t="n"/>
      <c r="X2807" s="7" t="n"/>
      <c r="Y2807" s="7" t="n"/>
      <c r="AB2807">
        <f>IF($E2807="","",IF($AQ2807=1,0,IF($AP2807=1,Settings!$C$6,Settings!$C$7))*100)</f>
        <v/>
      </c>
      <c r="AC2807" s="7">
        <f>IF($E2807="","",Y2807*AB2807/100)</f>
        <v/>
      </c>
      <c r="AD2807" s="7">
        <f>IF($E2807="","",Y2807-AC2807)</f>
        <v/>
      </c>
      <c r="AE2807" s="7">
        <f>IF($E2807="","",AD2807-Q2807)</f>
        <v/>
      </c>
      <c r="AI2807" s="7" t="n"/>
      <c r="AL2807" s="11" t="n"/>
      <c r="AN2807">
        <f>IF($E2807="","",IF(COUNTIF($E$2:$E2807,$E2807)=1,1,0))</f>
        <v/>
      </c>
      <c r="AO2807">
        <f>IF($AN2807=1,SUMPRODUCT(--($AR$2:$AR$4001&lt;$AR2807))+1,"")</f>
        <v/>
      </c>
      <c r="AP2807">
        <f>IF($E2807="","",IF(OR($U2807=TRUE(),$U2807="TRUE"),1,0))</f>
        <v/>
      </c>
      <c r="AQ2807">
        <f>IF($E2807="","",IF($AA2807="Yes",1,0))</f>
        <v/>
      </c>
      <c r="AR2807">
        <f>IF($AN2807=1,IFERROR(VALUE(MID($E2807,2,20)),1000000000)+ROW()/100000,"")</f>
        <v/>
      </c>
    </row>
    <row r="2808">
      <c r="G2808" s="11" t="n"/>
      <c r="Q2808" s="7">
        <f>IF($E2808="","",P2808*Y2808/100)</f>
        <v/>
      </c>
      <c r="R2808" s="7" t="n"/>
      <c r="X2808" s="7" t="n"/>
      <c r="Y2808" s="7" t="n"/>
      <c r="AB2808">
        <f>IF($E2808="","",IF($AQ2808=1,0,IF($AP2808=1,Settings!$C$6,Settings!$C$7))*100)</f>
        <v/>
      </c>
      <c r="AC2808" s="7">
        <f>IF($E2808="","",Y2808*AB2808/100)</f>
        <v/>
      </c>
      <c r="AD2808" s="7">
        <f>IF($E2808="","",Y2808-AC2808)</f>
        <v/>
      </c>
      <c r="AE2808" s="7">
        <f>IF($E2808="","",AD2808-Q2808)</f>
        <v/>
      </c>
      <c r="AI2808" s="7" t="n"/>
      <c r="AL2808" s="11" t="n"/>
      <c r="AN2808">
        <f>IF($E2808="","",IF(COUNTIF($E$2:$E2808,$E2808)=1,1,0))</f>
        <v/>
      </c>
      <c r="AO2808">
        <f>IF($AN2808=1,SUMPRODUCT(--($AR$2:$AR$4001&lt;$AR2808))+1,"")</f>
        <v/>
      </c>
      <c r="AP2808">
        <f>IF($E2808="","",IF(OR($U2808=TRUE(),$U2808="TRUE"),1,0))</f>
        <v/>
      </c>
      <c r="AQ2808">
        <f>IF($E2808="","",IF($AA2808="Yes",1,0))</f>
        <v/>
      </c>
      <c r="AR2808">
        <f>IF($AN2808=1,IFERROR(VALUE(MID($E2808,2,20)),1000000000)+ROW()/100000,"")</f>
        <v/>
      </c>
    </row>
    <row r="2809">
      <c r="G2809" s="11" t="n"/>
      <c r="Q2809" s="7">
        <f>IF($E2809="","",P2809*Y2809/100)</f>
        <v/>
      </c>
      <c r="R2809" s="7" t="n"/>
      <c r="X2809" s="7" t="n"/>
      <c r="Y2809" s="7" t="n"/>
      <c r="AB2809">
        <f>IF($E2809="","",IF($AQ2809=1,0,IF($AP2809=1,Settings!$C$6,Settings!$C$7))*100)</f>
        <v/>
      </c>
      <c r="AC2809" s="7">
        <f>IF($E2809="","",Y2809*AB2809/100)</f>
        <v/>
      </c>
      <c r="AD2809" s="7">
        <f>IF($E2809="","",Y2809-AC2809)</f>
        <v/>
      </c>
      <c r="AE2809" s="7">
        <f>IF($E2809="","",AD2809-Q2809)</f>
        <v/>
      </c>
      <c r="AI2809" s="7" t="n"/>
      <c r="AL2809" s="11" t="n"/>
      <c r="AN2809">
        <f>IF($E2809="","",IF(COUNTIF($E$2:$E2809,$E2809)=1,1,0))</f>
        <v/>
      </c>
      <c r="AO2809">
        <f>IF($AN2809=1,SUMPRODUCT(--($AR$2:$AR$4001&lt;$AR2809))+1,"")</f>
        <v/>
      </c>
      <c r="AP2809">
        <f>IF($E2809="","",IF(OR($U2809=TRUE(),$U2809="TRUE"),1,0))</f>
        <v/>
      </c>
      <c r="AQ2809">
        <f>IF($E2809="","",IF($AA2809="Yes",1,0))</f>
        <v/>
      </c>
      <c r="AR2809">
        <f>IF($AN2809=1,IFERROR(VALUE(MID($E2809,2,20)),1000000000)+ROW()/100000,"")</f>
        <v/>
      </c>
    </row>
    <row r="2810">
      <c r="G2810" s="11" t="n"/>
      <c r="Q2810" s="7">
        <f>IF($E2810="","",P2810*Y2810/100)</f>
        <v/>
      </c>
      <c r="R2810" s="7" t="n"/>
      <c r="X2810" s="7" t="n"/>
      <c r="Y2810" s="7" t="n"/>
      <c r="AB2810">
        <f>IF($E2810="","",IF($AQ2810=1,0,IF($AP2810=1,Settings!$C$6,Settings!$C$7))*100)</f>
        <v/>
      </c>
      <c r="AC2810" s="7">
        <f>IF($E2810="","",Y2810*AB2810/100)</f>
        <v/>
      </c>
      <c r="AD2810" s="7">
        <f>IF($E2810="","",Y2810-AC2810)</f>
        <v/>
      </c>
      <c r="AE2810" s="7">
        <f>IF($E2810="","",AD2810-Q2810)</f>
        <v/>
      </c>
      <c r="AI2810" s="7" t="n"/>
      <c r="AL2810" s="11" t="n"/>
      <c r="AN2810">
        <f>IF($E2810="","",IF(COUNTIF($E$2:$E2810,$E2810)=1,1,0))</f>
        <v/>
      </c>
      <c r="AO2810">
        <f>IF($AN2810=1,SUMPRODUCT(--($AR$2:$AR$4001&lt;$AR2810))+1,"")</f>
        <v/>
      </c>
      <c r="AP2810">
        <f>IF($E2810="","",IF(OR($U2810=TRUE(),$U2810="TRUE"),1,0))</f>
        <v/>
      </c>
      <c r="AQ2810">
        <f>IF($E2810="","",IF($AA2810="Yes",1,0))</f>
        <v/>
      </c>
      <c r="AR2810">
        <f>IF($AN2810=1,IFERROR(VALUE(MID($E2810,2,20)),1000000000)+ROW()/100000,"")</f>
        <v/>
      </c>
    </row>
    <row r="2811">
      <c r="G2811" s="11" t="n"/>
      <c r="Q2811" s="7">
        <f>IF($E2811="","",P2811*Y2811/100)</f>
        <v/>
      </c>
      <c r="R2811" s="7" t="n"/>
      <c r="X2811" s="7" t="n"/>
      <c r="Y2811" s="7" t="n"/>
      <c r="AB2811">
        <f>IF($E2811="","",IF($AQ2811=1,0,IF($AP2811=1,Settings!$C$6,Settings!$C$7))*100)</f>
        <v/>
      </c>
      <c r="AC2811" s="7">
        <f>IF($E2811="","",Y2811*AB2811/100)</f>
        <v/>
      </c>
      <c r="AD2811" s="7">
        <f>IF($E2811="","",Y2811-AC2811)</f>
        <v/>
      </c>
      <c r="AE2811" s="7">
        <f>IF($E2811="","",AD2811-Q2811)</f>
        <v/>
      </c>
      <c r="AI2811" s="7" t="n"/>
      <c r="AL2811" s="11" t="n"/>
      <c r="AN2811">
        <f>IF($E2811="","",IF(COUNTIF($E$2:$E2811,$E2811)=1,1,0))</f>
        <v/>
      </c>
      <c r="AO2811">
        <f>IF($AN2811=1,SUMPRODUCT(--($AR$2:$AR$4001&lt;$AR2811))+1,"")</f>
        <v/>
      </c>
      <c r="AP2811">
        <f>IF($E2811="","",IF(OR($U2811=TRUE(),$U2811="TRUE"),1,0))</f>
        <v/>
      </c>
      <c r="AQ2811">
        <f>IF($E2811="","",IF($AA2811="Yes",1,0))</f>
        <v/>
      </c>
      <c r="AR2811">
        <f>IF($AN2811=1,IFERROR(VALUE(MID($E2811,2,20)),1000000000)+ROW()/100000,"")</f>
        <v/>
      </c>
    </row>
    <row r="2812">
      <c r="G2812" s="11" t="n"/>
      <c r="Q2812" s="7">
        <f>IF($E2812="","",P2812*Y2812/100)</f>
        <v/>
      </c>
      <c r="R2812" s="7" t="n"/>
      <c r="X2812" s="7" t="n"/>
      <c r="Y2812" s="7" t="n"/>
      <c r="AB2812">
        <f>IF($E2812="","",IF($AQ2812=1,0,IF($AP2812=1,Settings!$C$6,Settings!$C$7))*100)</f>
        <v/>
      </c>
      <c r="AC2812" s="7">
        <f>IF($E2812="","",Y2812*AB2812/100)</f>
        <v/>
      </c>
      <c r="AD2812" s="7">
        <f>IF($E2812="","",Y2812-AC2812)</f>
        <v/>
      </c>
      <c r="AE2812" s="7">
        <f>IF($E2812="","",AD2812-Q2812)</f>
        <v/>
      </c>
      <c r="AI2812" s="7" t="n"/>
      <c r="AL2812" s="11" t="n"/>
      <c r="AN2812">
        <f>IF($E2812="","",IF(COUNTIF($E$2:$E2812,$E2812)=1,1,0))</f>
        <v/>
      </c>
      <c r="AO2812">
        <f>IF($AN2812=1,SUMPRODUCT(--($AR$2:$AR$4001&lt;$AR2812))+1,"")</f>
        <v/>
      </c>
      <c r="AP2812">
        <f>IF($E2812="","",IF(OR($U2812=TRUE(),$U2812="TRUE"),1,0))</f>
        <v/>
      </c>
      <c r="AQ2812">
        <f>IF($E2812="","",IF($AA2812="Yes",1,0))</f>
        <v/>
      </c>
      <c r="AR2812">
        <f>IF($AN2812=1,IFERROR(VALUE(MID($E2812,2,20)),1000000000)+ROW()/100000,"")</f>
        <v/>
      </c>
    </row>
    <row r="2813">
      <c r="G2813" s="11" t="n"/>
      <c r="Q2813" s="7">
        <f>IF($E2813="","",P2813*Y2813/100)</f>
        <v/>
      </c>
      <c r="R2813" s="7" t="n"/>
      <c r="X2813" s="7" t="n"/>
      <c r="Y2813" s="7" t="n"/>
      <c r="AB2813">
        <f>IF($E2813="","",IF($AQ2813=1,0,IF($AP2813=1,Settings!$C$6,Settings!$C$7))*100)</f>
        <v/>
      </c>
      <c r="AC2813" s="7">
        <f>IF($E2813="","",Y2813*AB2813/100)</f>
        <v/>
      </c>
      <c r="AD2813" s="7">
        <f>IF($E2813="","",Y2813-AC2813)</f>
        <v/>
      </c>
      <c r="AE2813" s="7">
        <f>IF($E2813="","",AD2813-Q2813)</f>
        <v/>
      </c>
      <c r="AI2813" s="7" t="n"/>
      <c r="AL2813" s="11" t="n"/>
      <c r="AN2813">
        <f>IF($E2813="","",IF(COUNTIF($E$2:$E2813,$E2813)=1,1,0))</f>
        <v/>
      </c>
      <c r="AO2813">
        <f>IF($AN2813=1,SUMPRODUCT(--($AR$2:$AR$4001&lt;$AR2813))+1,"")</f>
        <v/>
      </c>
      <c r="AP2813">
        <f>IF($E2813="","",IF(OR($U2813=TRUE(),$U2813="TRUE"),1,0))</f>
        <v/>
      </c>
      <c r="AQ2813">
        <f>IF($E2813="","",IF($AA2813="Yes",1,0))</f>
        <v/>
      </c>
      <c r="AR2813">
        <f>IF($AN2813=1,IFERROR(VALUE(MID($E2813,2,20)),1000000000)+ROW()/100000,"")</f>
        <v/>
      </c>
    </row>
    <row r="2814">
      <c r="G2814" s="11" t="n"/>
      <c r="Q2814" s="7">
        <f>IF($E2814="","",P2814*Y2814/100)</f>
        <v/>
      </c>
      <c r="R2814" s="7" t="n"/>
      <c r="X2814" s="7" t="n"/>
      <c r="Y2814" s="7" t="n"/>
      <c r="AB2814">
        <f>IF($E2814="","",IF($AQ2814=1,0,IF($AP2814=1,Settings!$C$6,Settings!$C$7))*100)</f>
        <v/>
      </c>
      <c r="AC2814" s="7">
        <f>IF($E2814="","",Y2814*AB2814/100)</f>
        <v/>
      </c>
      <c r="AD2814" s="7">
        <f>IF($E2814="","",Y2814-AC2814)</f>
        <v/>
      </c>
      <c r="AE2814" s="7">
        <f>IF($E2814="","",AD2814-Q2814)</f>
        <v/>
      </c>
      <c r="AI2814" s="7" t="n"/>
      <c r="AL2814" s="11" t="n"/>
      <c r="AN2814">
        <f>IF($E2814="","",IF(COUNTIF($E$2:$E2814,$E2814)=1,1,0))</f>
        <v/>
      </c>
      <c r="AO2814">
        <f>IF($AN2814=1,SUMPRODUCT(--($AR$2:$AR$4001&lt;$AR2814))+1,"")</f>
        <v/>
      </c>
      <c r="AP2814">
        <f>IF($E2814="","",IF(OR($U2814=TRUE(),$U2814="TRUE"),1,0))</f>
        <v/>
      </c>
      <c r="AQ2814">
        <f>IF($E2814="","",IF($AA2814="Yes",1,0))</f>
        <v/>
      </c>
      <c r="AR2814">
        <f>IF($AN2814=1,IFERROR(VALUE(MID($E2814,2,20)),1000000000)+ROW()/100000,"")</f>
        <v/>
      </c>
    </row>
    <row r="2815">
      <c r="G2815" s="11" t="n"/>
      <c r="Q2815" s="7">
        <f>IF($E2815="","",P2815*Y2815/100)</f>
        <v/>
      </c>
      <c r="R2815" s="7" t="n"/>
      <c r="X2815" s="7" t="n"/>
      <c r="Y2815" s="7" t="n"/>
      <c r="AB2815">
        <f>IF($E2815="","",IF($AQ2815=1,0,IF($AP2815=1,Settings!$C$6,Settings!$C$7))*100)</f>
        <v/>
      </c>
      <c r="AC2815" s="7">
        <f>IF($E2815="","",Y2815*AB2815/100)</f>
        <v/>
      </c>
      <c r="AD2815" s="7">
        <f>IF($E2815="","",Y2815-AC2815)</f>
        <v/>
      </c>
      <c r="AE2815" s="7">
        <f>IF($E2815="","",AD2815-Q2815)</f>
        <v/>
      </c>
      <c r="AI2815" s="7" t="n"/>
      <c r="AL2815" s="11" t="n"/>
      <c r="AN2815">
        <f>IF($E2815="","",IF(COUNTIF($E$2:$E2815,$E2815)=1,1,0))</f>
        <v/>
      </c>
      <c r="AO2815">
        <f>IF($AN2815=1,SUMPRODUCT(--($AR$2:$AR$4001&lt;$AR2815))+1,"")</f>
        <v/>
      </c>
      <c r="AP2815">
        <f>IF($E2815="","",IF(OR($U2815=TRUE(),$U2815="TRUE"),1,0))</f>
        <v/>
      </c>
      <c r="AQ2815">
        <f>IF($E2815="","",IF($AA2815="Yes",1,0))</f>
        <v/>
      </c>
      <c r="AR2815">
        <f>IF($AN2815=1,IFERROR(VALUE(MID($E2815,2,20)),1000000000)+ROW()/100000,"")</f>
        <v/>
      </c>
    </row>
    <row r="2816">
      <c r="G2816" s="11" t="n"/>
      <c r="Q2816" s="7">
        <f>IF($E2816="","",P2816*Y2816/100)</f>
        <v/>
      </c>
      <c r="R2816" s="7" t="n"/>
      <c r="X2816" s="7" t="n"/>
      <c r="Y2816" s="7" t="n"/>
      <c r="AB2816">
        <f>IF($E2816="","",IF($AQ2816=1,0,IF($AP2816=1,Settings!$C$6,Settings!$C$7))*100)</f>
        <v/>
      </c>
      <c r="AC2816" s="7">
        <f>IF($E2816="","",Y2816*AB2816/100)</f>
        <v/>
      </c>
      <c r="AD2816" s="7">
        <f>IF($E2816="","",Y2816-AC2816)</f>
        <v/>
      </c>
      <c r="AE2816" s="7">
        <f>IF($E2816="","",AD2816-Q2816)</f>
        <v/>
      </c>
      <c r="AI2816" s="7" t="n"/>
      <c r="AL2816" s="11" t="n"/>
      <c r="AN2816">
        <f>IF($E2816="","",IF(COUNTIF($E$2:$E2816,$E2816)=1,1,0))</f>
        <v/>
      </c>
      <c r="AO2816">
        <f>IF($AN2816=1,SUMPRODUCT(--($AR$2:$AR$4001&lt;$AR2816))+1,"")</f>
        <v/>
      </c>
      <c r="AP2816">
        <f>IF($E2816="","",IF(OR($U2816=TRUE(),$U2816="TRUE"),1,0))</f>
        <v/>
      </c>
      <c r="AQ2816">
        <f>IF($E2816="","",IF($AA2816="Yes",1,0))</f>
        <v/>
      </c>
      <c r="AR2816">
        <f>IF($AN2816=1,IFERROR(VALUE(MID($E2816,2,20)),1000000000)+ROW()/100000,"")</f>
        <v/>
      </c>
    </row>
    <row r="2817">
      <c r="G2817" s="11" t="n"/>
      <c r="Q2817" s="7">
        <f>IF($E2817="","",P2817*Y2817/100)</f>
        <v/>
      </c>
      <c r="R2817" s="7" t="n"/>
      <c r="X2817" s="7" t="n"/>
      <c r="Y2817" s="7" t="n"/>
      <c r="AB2817">
        <f>IF($E2817="","",IF($AQ2817=1,0,IF($AP2817=1,Settings!$C$6,Settings!$C$7))*100)</f>
        <v/>
      </c>
      <c r="AC2817" s="7">
        <f>IF($E2817="","",Y2817*AB2817/100)</f>
        <v/>
      </c>
      <c r="AD2817" s="7">
        <f>IF($E2817="","",Y2817-AC2817)</f>
        <v/>
      </c>
      <c r="AE2817" s="7">
        <f>IF($E2817="","",AD2817-Q2817)</f>
        <v/>
      </c>
      <c r="AI2817" s="7" t="n"/>
      <c r="AL2817" s="11" t="n"/>
      <c r="AN2817">
        <f>IF($E2817="","",IF(COUNTIF($E$2:$E2817,$E2817)=1,1,0))</f>
        <v/>
      </c>
      <c r="AO2817">
        <f>IF($AN2817=1,SUMPRODUCT(--($AR$2:$AR$4001&lt;$AR2817))+1,"")</f>
        <v/>
      </c>
      <c r="AP2817">
        <f>IF($E2817="","",IF(OR($U2817=TRUE(),$U2817="TRUE"),1,0))</f>
        <v/>
      </c>
      <c r="AQ2817">
        <f>IF($E2817="","",IF($AA2817="Yes",1,0))</f>
        <v/>
      </c>
      <c r="AR2817">
        <f>IF($AN2817=1,IFERROR(VALUE(MID($E2817,2,20)),1000000000)+ROW()/100000,"")</f>
        <v/>
      </c>
    </row>
    <row r="2818">
      <c r="G2818" s="11" t="n"/>
      <c r="Q2818" s="7">
        <f>IF($E2818="","",P2818*Y2818/100)</f>
        <v/>
      </c>
      <c r="R2818" s="7" t="n"/>
      <c r="X2818" s="7" t="n"/>
      <c r="Y2818" s="7" t="n"/>
      <c r="AB2818">
        <f>IF($E2818="","",IF($AQ2818=1,0,IF($AP2818=1,Settings!$C$6,Settings!$C$7))*100)</f>
        <v/>
      </c>
      <c r="AC2818" s="7">
        <f>IF($E2818="","",Y2818*AB2818/100)</f>
        <v/>
      </c>
      <c r="AD2818" s="7">
        <f>IF($E2818="","",Y2818-AC2818)</f>
        <v/>
      </c>
      <c r="AE2818" s="7">
        <f>IF($E2818="","",AD2818-Q2818)</f>
        <v/>
      </c>
      <c r="AI2818" s="7" t="n"/>
      <c r="AL2818" s="11" t="n"/>
      <c r="AN2818">
        <f>IF($E2818="","",IF(COUNTIF($E$2:$E2818,$E2818)=1,1,0))</f>
        <v/>
      </c>
      <c r="AO2818">
        <f>IF($AN2818=1,SUMPRODUCT(--($AR$2:$AR$4001&lt;$AR2818))+1,"")</f>
        <v/>
      </c>
      <c r="AP2818">
        <f>IF($E2818="","",IF(OR($U2818=TRUE(),$U2818="TRUE"),1,0))</f>
        <v/>
      </c>
      <c r="AQ2818">
        <f>IF($E2818="","",IF($AA2818="Yes",1,0))</f>
        <v/>
      </c>
      <c r="AR2818">
        <f>IF($AN2818=1,IFERROR(VALUE(MID($E2818,2,20)),1000000000)+ROW()/100000,"")</f>
        <v/>
      </c>
    </row>
    <row r="2819">
      <c r="G2819" s="11" t="n"/>
      <c r="Q2819" s="7">
        <f>IF($E2819="","",P2819*Y2819/100)</f>
        <v/>
      </c>
      <c r="R2819" s="7" t="n"/>
      <c r="X2819" s="7" t="n"/>
      <c r="Y2819" s="7" t="n"/>
      <c r="AB2819">
        <f>IF($E2819="","",IF($AQ2819=1,0,IF($AP2819=1,Settings!$C$6,Settings!$C$7))*100)</f>
        <v/>
      </c>
      <c r="AC2819" s="7">
        <f>IF($E2819="","",Y2819*AB2819/100)</f>
        <v/>
      </c>
      <c r="AD2819" s="7">
        <f>IF($E2819="","",Y2819-AC2819)</f>
        <v/>
      </c>
      <c r="AE2819" s="7">
        <f>IF($E2819="","",AD2819-Q2819)</f>
        <v/>
      </c>
      <c r="AI2819" s="7" t="n"/>
      <c r="AL2819" s="11" t="n"/>
      <c r="AN2819">
        <f>IF($E2819="","",IF(COUNTIF($E$2:$E2819,$E2819)=1,1,0))</f>
        <v/>
      </c>
      <c r="AO2819">
        <f>IF($AN2819=1,SUMPRODUCT(--($AR$2:$AR$4001&lt;$AR2819))+1,"")</f>
        <v/>
      </c>
      <c r="AP2819">
        <f>IF($E2819="","",IF(OR($U2819=TRUE(),$U2819="TRUE"),1,0))</f>
        <v/>
      </c>
      <c r="AQ2819">
        <f>IF($E2819="","",IF($AA2819="Yes",1,0))</f>
        <v/>
      </c>
      <c r="AR2819">
        <f>IF($AN2819=1,IFERROR(VALUE(MID($E2819,2,20)),1000000000)+ROW()/100000,"")</f>
        <v/>
      </c>
    </row>
    <row r="2820">
      <c r="G2820" s="11" t="n"/>
      <c r="Q2820" s="7">
        <f>IF($E2820="","",P2820*Y2820/100)</f>
        <v/>
      </c>
      <c r="R2820" s="7" t="n"/>
      <c r="X2820" s="7" t="n"/>
      <c r="Y2820" s="7" t="n"/>
      <c r="AB2820">
        <f>IF($E2820="","",IF($AQ2820=1,0,IF($AP2820=1,Settings!$C$6,Settings!$C$7))*100)</f>
        <v/>
      </c>
      <c r="AC2820" s="7">
        <f>IF($E2820="","",Y2820*AB2820/100)</f>
        <v/>
      </c>
      <c r="AD2820" s="7">
        <f>IF($E2820="","",Y2820-AC2820)</f>
        <v/>
      </c>
      <c r="AE2820" s="7">
        <f>IF($E2820="","",AD2820-Q2820)</f>
        <v/>
      </c>
      <c r="AI2820" s="7" t="n"/>
      <c r="AL2820" s="11" t="n"/>
      <c r="AN2820">
        <f>IF($E2820="","",IF(COUNTIF($E$2:$E2820,$E2820)=1,1,0))</f>
        <v/>
      </c>
      <c r="AO2820">
        <f>IF($AN2820=1,SUMPRODUCT(--($AR$2:$AR$4001&lt;$AR2820))+1,"")</f>
        <v/>
      </c>
      <c r="AP2820">
        <f>IF($E2820="","",IF(OR($U2820=TRUE(),$U2820="TRUE"),1,0))</f>
        <v/>
      </c>
      <c r="AQ2820">
        <f>IF($E2820="","",IF($AA2820="Yes",1,0))</f>
        <v/>
      </c>
      <c r="AR2820">
        <f>IF($AN2820=1,IFERROR(VALUE(MID($E2820,2,20)),1000000000)+ROW()/100000,"")</f>
        <v/>
      </c>
    </row>
    <row r="2821">
      <c r="G2821" s="11" t="n"/>
      <c r="Q2821" s="7">
        <f>IF($E2821="","",P2821*Y2821/100)</f>
        <v/>
      </c>
      <c r="R2821" s="7" t="n"/>
      <c r="X2821" s="7" t="n"/>
      <c r="Y2821" s="7" t="n"/>
      <c r="AB2821">
        <f>IF($E2821="","",IF($AQ2821=1,0,IF($AP2821=1,Settings!$C$6,Settings!$C$7))*100)</f>
        <v/>
      </c>
      <c r="AC2821" s="7">
        <f>IF($E2821="","",Y2821*AB2821/100)</f>
        <v/>
      </c>
      <c r="AD2821" s="7">
        <f>IF($E2821="","",Y2821-AC2821)</f>
        <v/>
      </c>
      <c r="AE2821" s="7">
        <f>IF($E2821="","",AD2821-Q2821)</f>
        <v/>
      </c>
      <c r="AI2821" s="7" t="n"/>
      <c r="AL2821" s="11" t="n"/>
      <c r="AN2821">
        <f>IF($E2821="","",IF(COUNTIF($E$2:$E2821,$E2821)=1,1,0))</f>
        <v/>
      </c>
      <c r="AO2821">
        <f>IF($AN2821=1,SUMPRODUCT(--($AR$2:$AR$4001&lt;$AR2821))+1,"")</f>
        <v/>
      </c>
      <c r="AP2821">
        <f>IF($E2821="","",IF(OR($U2821=TRUE(),$U2821="TRUE"),1,0))</f>
        <v/>
      </c>
      <c r="AQ2821">
        <f>IF($E2821="","",IF($AA2821="Yes",1,0))</f>
        <v/>
      </c>
      <c r="AR2821">
        <f>IF($AN2821=1,IFERROR(VALUE(MID($E2821,2,20)),1000000000)+ROW()/100000,"")</f>
        <v/>
      </c>
    </row>
    <row r="2822">
      <c r="G2822" s="11" t="n"/>
      <c r="Q2822" s="7">
        <f>IF($E2822="","",P2822*Y2822/100)</f>
        <v/>
      </c>
      <c r="R2822" s="7" t="n"/>
      <c r="X2822" s="7" t="n"/>
      <c r="Y2822" s="7" t="n"/>
      <c r="AB2822">
        <f>IF($E2822="","",IF($AQ2822=1,0,IF($AP2822=1,Settings!$C$6,Settings!$C$7))*100)</f>
        <v/>
      </c>
      <c r="AC2822" s="7">
        <f>IF($E2822="","",Y2822*AB2822/100)</f>
        <v/>
      </c>
      <c r="AD2822" s="7">
        <f>IF($E2822="","",Y2822-AC2822)</f>
        <v/>
      </c>
      <c r="AE2822" s="7">
        <f>IF($E2822="","",AD2822-Q2822)</f>
        <v/>
      </c>
      <c r="AI2822" s="7" t="n"/>
      <c r="AL2822" s="11" t="n"/>
      <c r="AN2822">
        <f>IF($E2822="","",IF(COUNTIF($E$2:$E2822,$E2822)=1,1,0))</f>
        <v/>
      </c>
      <c r="AO2822">
        <f>IF($AN2822=1,SUMPRODUCT(--($AR$2:$AR$4001&lt;$AR2822))+1,"")</f>
        <v/>
      </c>
      <c r="AP2822">
        <f>IF($E2822="","",IF(OR($U2822=TRUE(),$U2822="TRUE"),1,0))</f>
        <v/>
      </c>
      <c r="AQ2822">
        <f>IF($E2822="","",IF($AA2822="Yes",1,0))</f>
        <v/>
      </c>
      <c r="AR2822">
        <f>IF($AN2822=1,IFERROR(VALUE(MID($E2822,2,20)),1000000000)+ROW()/100000,"")</f>
        <v/>
      </c>
    </row>
    <row r="2823">
      <c r="G2823" s="11" t="n"/>
      <c r="Q2823" s="7">
        <f>IF($E2823="","",P2823*Y2823/100)</f>
        <v/>
      </c>
      <c r="R2823" s="7" t="n"/>
      <c r="X2823" s="7" t="n"/>
      <c r="Y2823" s="7" t="n"/>
      <c r="AB2823">
        <f>IF($E2823="","",IF($AQ2823=1,0,IF($AP2823=1,Settings!$C$6,Settings!$C$7))*100)</f>
        <v/>
      </c>
      <c r="AC2823" s="7">
        <f>IF($E2823="","",Y2823*AB2823/100)</f>
        <v/>
      </c>
      <c r="AD2823" s="7">
        <f>IF($E2823="","",Y2823-AC2823)</f>
        <v/>
      </c>
      <c r="AE2823" s="7">
        <f>IF($E2823="","",AD2823-Q2823)</f>
        <v/>
      </c>
      <c r="AI2823" s="7" t="n"/>
      <c r="AL2823" s="11" t="n"/>
      <c r="AN2823">
        <f>IF($E2823="","",IF(COUNTIF($E$2:$E2823,$E2823)=1,1,0))</f>
        <v/>
      </c>
      <c r="AO2823">
        <f>IF($AN2823=1,SUMPRODUCT(--($AR$2:$AR$4001&lt;$AR2823))+1,"")</f>
        <v/>
      </c>
      <c r="AP2823">
        <f>IF($E2823="","",IF(OR($U2823=TRUE(),$U2823="TRUE"),1,0))</f>
        <v/>
      </c>
      <c r="AQ2823">
        <f>IF($E2823="","",IF($AA2823="Yes",1,0))</f>
        <v/>
      </c>
      <c r="AR2823">
        <f>IF($AN2823=1,IFERROR(VALUE(MID($E2823,2,20)),1000000000)+ROW()/100000,"")</f>
        <v/>
      </c>
    </row>
    <row r="2824">
      <c r="G2824" s="11" t="n"/>
      <c r="Q2824" s="7">
        <f>IF($E2824="","",P2824*Y2824/100)</f>
        <v/>
      </c>
      <c r="R2824" s="7" t="n"/>
      <c r="X2824" s="7" t="n"/>
      <c r="Y2824" s="7" t="n"/>
      <c r="AB2824">
        <f>IF($E2824="","",IF($AQ2824=1,0,IF($AP2824=1,Settings!$C$6,Settings!$C$7))*100)</f>
        <v/>
      </c>
      <c r="AC2824" s="7">
        <f>IF($E2824="","",Y2824*AB2824/100)</f>
        <v/>
      </c>
      <c r="AD2824" s="7">
        <f>IF($E2824="","",Y2824-AC2824)</f>
        <v/>
      </c>
      <c r="AE2824" s="7">
        <f>IF($E2824="","",AD2824-Q2824)</f>
        <v/>
      </c>
      <c r="AI2824" s="7" t="n"/>
      <c r="AL2824" s="11" t="n"/>
      <c r="AN2824">
        <f>IF($E2824="","",IF(COUNTIF($E$2:$E2824,$E2824)=1,1,0))</f>
        <v/>
      </c>
      <c r="AO2824">
        <f>IF($AN2824=1,SUMPRODUCT(--($AR$2:$AR$4001&lt;$AR2824))+1,"")</f>
        <v/>
      </c>
      <c r="AP2824">
        <f>IF($E2824="","",IF(OR($U2824=TRUE(),$U2824="TRUE"),1,0))</f>
        <v/>
      </c>
      <c r="AQ2824">
        <f>IF($E2824="","",IF($AA2824="Yes",1,0))</f>
        <v/>
      </c>
      <c r="AR2824">
        <f>IF($AN2824=1,IFERROR(VALUE(MID($E2824,2,20)),1000000000)+ROW()/100000,"")</f>
        <v/>
      </c>
    </row>
    <row r="2825">
      <c r="G2825" s="11" t="n"/>
      <c r="Q2825" s="7">
        <f>IF($E2825="","",P2825*Y2825/100)</f>
        <v/>
      </c>
      <c r="R2825" s="7" t="n"/>
      <c r="X2825" s="7" t="n"/>
      <c r="Y2825" s="7" t="n"/>
      <c r="AB2825">
        <f>IF($E2825="","",IF($AQ2825=1,0,IF($AP2825=1,Settings!$C$6,Settings!$C$7))*100)</f>
        <v/>
      </c>
      <c r="AC2825" s="7">
        <f>IF($E2825="","",Y2825*AB2825/100)</f>
        <v/>
      </c>
      <c r="AD2825" s="7">
        <f>IF($E2825="","",Y2825-AC2825)</f>
        <v/>
      </c>
      <c r="AE2825" s="7">
        <f>IF($E2825="","",AD2825-Q2825)</f>
        <v/>
      </c>
      <c r="AI2825" s="7" t="n"/>
      <c r="AL2825" s="11" t="n"/>
      <c r="AN2825">
        <f>IF($E2825="","",IF(COUNTIF($E$2:$E2825,$E2825)=1,1,0))</f>
        <v/>
      </c>
      <c r="AO2825">
        <f>IF($AN2825=1,SUMPRODUCT(--($AR$2:$AR$4001&lt;$AR2825))+1,"")</f>
        <v/>
      </c>
      <c r="AP2825">
        <f>IF($E2825="","",IF(OR($U2825=TRUE(),$U2825="TRUE"),1,0))</f>
        <v/>
      </c>
      <c r="AQ2825">
        <f>IF($E2825="","",IF($AA2825="Yes",1,0))</f>
        <v/>
      </c>
      <c r="AR2825">
        <f>IF($AN2825=1,IFERROR(VALUE(MID($E2825,2,20)),1000000000)+ROW()/100000,"")</f>
        <v/>
      </c>
    </row>
    <row r="2826">
      <c r="G2826" s="11" t="n"/>
      <c r="Q2826" s="7">
        <f>IF($E2826="","",P2826*Y2826/100)</f>
        <v/>
      </c>
      <c r="R2826" s="7" t="n"/>
      <c r="X2826" s="7" t="n"/>
      <c r="Y2826" s="7" t="n"/>
      <c r="AB2826">
        <f>IF($E2826="","",IF($AQ2826=1,0,IF($AP2826=1,Settings!$C$6,Settings!$C$7))*100)</f>
        <v/>
      </c>
      <c r="AC2826" s="7">
        <f>IF($E2826="","",Y2826*AB2826/100)</f>
        <v/>
      </c>
      <c r="AD2826" s="7">
        <f>IF($E2826="","",Y2826-AC2826)</f>
        <v/>
      </c>
      <c r="AE2826" s="7">
        <f>IF($E2826="","",AD2826-Q2826)</f>
        <v/>
      </c>
      <c r="AI2826" s="7" t="n"/>
      <c r="AL2826" s="11" t="n"/>
      <c r="AN2826">
        <f>IF($E2826="","",IF(COUNTIF($E$2:$E2826,$E2826)=1,1,0))</f>
        <v/>
      </c>
      <c r="AO2826">
        <f>IF($AN2826=1,SUMPRODUCT(--($AR$2:$AR$4001&lt;$AR2826))+1,"")</f>
        <v/>
      </c>
      <c r="AP2826">
        <f>IF($E2826="","",IF(OR($U2826=TRUE(),$U2826="TRUE"),1,0))</f>
        <v/>
      </c>
      <c r="AQ2826">
        <f>IF($E2826="","",IF($AA2826="Yes",1,0))</f>
        <v/>
      </c>
      <c r="AR2826">
        <f>IF($AN2826=1,IFERROR(VALUE(MID($E2826,2,20)),1000000000)+ROW()/100000,"")</f>
        <v/>
      </c>
    </row>
    <row r="2827">
      <c r="G2827" s="11" t="n"/>
      <c r="Q2827" s="7">
        <f>IF($E2827="","",P2827*Y2827/100)</f>
        <v/>
      </c>
      <c r="R2827" s="7" t="n"/>
      <c r="X2827" s="7" t="n"/>
      <c r="Y2827" s="7" t="n"/>
      <c r="AB2827">
        <f>IF($E2827="","",IF($AQ2827=1,0,IF($AP2827=1,Settings!$C$6,Settings!$C$7))*100)</f>
        <v/>
      </c>
      <c r="AC2827" s="7">
        <f>IF($E2827="","",Y2827*AB2827/100)</f>
        <v/>
      </c>
      <c r="AD2827" s="7">
        <f>IF($E2827="","",Y2827-AC2827)</f>
        <v/>
      </c>
      <c r="AE2827" s="7">
        <f>IF($E2827="","",AD2827-Q2827)</f>
        <v/>
      </c>
      <c r="AI2827" s="7" t="n"/>
      <c r="AL2827" s="11" t="n"/>
      <c r="AN2827">
        <f>IF($E2827="","",IF(COUNTIF($E$2:$E2827,$E2827)=1,1,0))</f>
        <v/>
      </c>
      <c r="AO2827">
        <f>IF($AN2827=1,SUMPRODUCT(--($AR$2:$AR$4001&lt;$AR2827))+1,"")</f>
        <v/>
      </c>
      <c r="AP2827">
        <f>IF($E2827="","",IF(OR($U2827=TRUE(),$U2827="TRUE"),1,0))</f>
        <v/>
      </c>
      <c r="AQ2827">
        <f>IF($E2827="","",IF($AA2827="Yes",1,0))</f>
        <v/>
      </c>
      <c r="AR2827">
        <f>IF($AN2827=1,IFERROR(VALUE(MID($E2827,2,20)),1000000000)+ROW()/100000,"")</f>
        <v/>
      </c>
    </row>
    <row r="2828">
      <c r="G2828" s="11" t="n"/>
      <c r="Q2828" s="7">
        <f>IF($E2828="","",P2828*Y2828/100)</f>
        <v/>
      </c>
      <c r="R2828" s="7" t="n"/>
      <c r="X2828" s="7" t="n"/>
      <c r="Y2828" s="7" t="n"/>
      <c r="AB2828">
        <f>IF($E2828="","",IF($AQ2828=1,0,IF($AP2828=1,Settings!$C$6,Settings!$C$7))*100)</f>
        <v/>
      </c>
      <c r="AC2828" s="7">
        <f>IF($E2828="","",Y2828*AB2828/100)</f>
        <v/>
      </c>
      <c r="AD2828" s="7">
        <f>IF($E2828="","",Y2828-AC2828)</f>
        <v/>
      </c>
      <c r="AE2828" s="7">
        <f>IF($E2828="","",AD2828-Q2828)</f>
        <v/>
      </c>
      <c r="AI2828" s="7" t="n"/>
      <c r="AL2828" s="11" t="n"/>
      <c r="AN2828">
        <f>IF($E2828="","",IF(COUNTIF($E$2:$E2828,$E2828)=1,1,0))</f>
        <v/>
      </c>
      <c r="AO2828">
        <f>IF($AN2828=1,SUMPRODUCT(--($AR$2:$AR$4001&lt;$AR2828))+1,"")</f>
        <v/>
      </c>
      <c r="AP2828">
        <f>IF($E2828="","",IF(OR($U2828=TRUE(),$U2828="TRUE"),1,0))</f>
        <v/>
      </c>
      <c r="AQ2828">
        <f>IF($E2828="","",IF($AA2828="Yes",1,0))</f>
        <v/>
      </c>
      <c r="AR2828">
        <f>IF($AN2828=1,IFERROR(VALUE(MID($E2828,2,20)),1000000000)+ROW()/100000,"")</f>
        <v/>
      </c>
    </row>
    <row r="2829">
      <c r="G2829" s="11" t="n"/>
      <c r="Q2829" s="7">
        <f>IF($E2829="","",P2829*Y2829/100)</f>
        <v/>
      </c>
      <c r="R2829" s="7" t="n"/>
      <c r="X2829" s="7" t="n"/>
      <c r="Y2829" s="7" t="n"/>
      <c r="AB2829">
        <f>IF($E2829="","",IF($AQ2829=1,0,IF($AP2829=1,Settings!$C$6,Settings!$C$7))*100)</f>
        <v/>
      </c>
      <c r="AC2829" s="7">
        <f>IF($E2829="","",Y2829*AB2829/100)</f>
        <v/>
      </c>
      <c r="AD2829" s="7">
        <f>IF($E2829="","",Y2829-AC2829)</f>
        <v/>
      </c>
      <c r="AE2829" s="7">
        <f>IF($E2829="","",AD2829-Q2829)</f>
        <v/>
      </c>
      <c r="AI2829" s="7" t="n"/>
      <c r="AL2829" s="11" t="n"/>
      <c r="AN2829">
        <f>IF($E2829="","",IF(COUNTIF($E$2:$E2829,$E2829)=1,1,0))</f>
        <v/>
      </c>
      <c r="AO2829">
        <f>IF($AN2829=1,SUMPRODUCT(--($AR$2:$AR$4001&lt;$AR2829))+1,"")</f>
        <v/>
      </c>
      <c r="AP2829">
        <f>IF($E2829="","",IF(OR($U2829=TRUE(),$U2829="TRUE"),1,0))</f>
        <v/>
      </c>
      <c r="AQ2829">
        <f>IF($E2829="","",IF($AA2829="Yes",1,0))</f>
        <v/>
      </c>
      <c r="AR2829">
        <f>IF($AN2829=1,IFERROR(VALUE(MID($E2829,2,20)),1000000000)+ROW()/100000,"")</f>
        <v/>
      </c>
    </row>
    <row r="2830">
      <c r="G2830" s="11" t="n"/>
      <c r="Q2830" s="7">
        <f>IF($E2830="","",P2830*Y2830/100)</f>
        <v/>
      </c>
      <c r="R2830" s="7" t="n"/>
      <c r="X2830" s="7" t="n"/>
      <c r="Y2830" s="7" t="n"/>
      <c r="AB2830">
        <f>IF($E2830="","",IF($AQ2830=1,0,IF($AP2830=1,Settings!$C$6,Settings!$C$7))*100)</f>
        <v/>
      </c>
      <c r="AC2830" s="7">
        <f>IF($E2830="","",Y2830*AB2830/100)</f>
        <v/>
      </c>
      <c r="AD2830" s="7">
        <f>IF($E2830="","",Y2830-AC2830)</f>
        <v/>
      </c>
      <c r="AE2830" s="7">
        <f>IF($E2830="","",AD2830-Q2830)</f>
        <v/>
      </c>
      <c r="AI2830" s="7" t="n"/>
      <c r="AL2830" s="11" t="n"/>
      <c r="AN2830">
        <f>IF($E2830="","",IF(COUNTIF($E$2:$E2830,$E2830)=1,1,0))</f>
        <v/>
      </c>
      <c r="AO2830">
        <f>IF($AN2830=1,SUMPRODUCT(--($AR$2:$AR$4001&lt;$AR2830))+1,"")</f>
        <v/>
      </c>
      <c r="AP2830">
        <f>IF($E2830="","",IF(OR($U2830=TRUE(),$U2830="TRUE"),1,0))</f>
        <v/>
      </c>
      <c r="AQ2830">
        <f>IF($E2830="","",IF($AA2830="Yes",1,0))</f>
        <v/>
      </c>
      <c r="AR2830">
        <f>IF($AN2830=1,IFERROR(VALUE(MID($E2830,2,20)),1000000000)+ROW()/100000,"")</f>
        <v/>
      </c>
    </row>
    <row r="2831">
      <c r="G2831" s="11" t="n"/>
      <c r="Q2831" s="7">
        <f>IF($E2831="","",P2831*Y2831/100)</f>
        <v/>
      </c>
      <c r="R2831" s="7" t="n"/>
      <c r="X2831" s="7" t="n"/>
      <c r="Y2831" s="7" t="n"/>
      <c r="AB2831">
        <f>IF($E2831="","",IF($AQ2831=1,0,IF($AP2831=1,Settings!$C$6,Settings!$C$7))*100)</f>
        <v/>
      </c>
      <c r="AC2831" s="7">
        <f>IF($E2831="","",Y2831*AB2831/100)</f>
        <v/>
      </c>
      <c r="AD2831" s="7">
        <f>IF($E2831="","",Y2831-AC2831)</f>
        <v/>
      </c>
      <c r="AE2831" s="7">
        <f>IF($E2831="","",AD2831-Q2831)</f>
        <v/>
      </c>
      <c r="AI2831" s="7" t="n"/>
      <c r="AL2831" s="11" t="n"/>
      <c r="AN2831">
        <f>IF($E2831="","",IF(COUNTIF($E$2:$E2831,$E2831)=1,1,0))</f>
        <v/>
      </c>
      <c r="AO2831">
        <f>IF($AN2831=1,SUMPRODUCT(--($AR$2:$AR$4001&lt;$AR2831))+1,"")</f>
        <v/>
      </c>
      <c r="AP2831">
        <f>IF($E2831="","",IF(OR($U2831=TRUE(),$U2831="TRUE"),1,0))</f>
        <v/>
      </c>
      <c r="AQ2831">
        <f>IF($E2831="","",IF($AA2831="Yes",1,0))</f>
        <v/>
      </c>
      <c r="AR2831">
        <f>IF($AN2831=1,IFERROR(VALUE(MID($E2831,2,20)),1000000000)+ROW()/100000,"")</f>
        <v/>
      </c>
    </row>
    <row r="2832">
      <c r="G2832" s="11" t="n"/>
      <c r="Q2832" s="7">
        <f>IF($E2832="","",P2832*Y2832/100)</f>
        <v/>
      </c>
      <c r="R2832" s="7" t="n"/>
      <c r="X2832" s="7" t="n"/>
      <c r="Y2832" s="7" t="n"/>
      <c r="AB2832">
        <f>IF($E2832="","",IF($AQ2832=1,0,IF($AP2832=1,Settings!$C$6,Settings!$C$7))*100)</f>
        <v/>
      </c>
      <c r="AC2832" s="7">
        <f>IF($E2832="","",Y2832*AB2832/100)</f>
        <v/>
      </c>
      <c r="AD2832" s="7">
        <f>IF($E2832="","",Y2832-AC2832)</f>
        <v/>
      </c>
      <c r="AE2832" s="7">
        <f>IF($E2832="","",AD2832-Q2832)</f>
        <v/>
      </c>
      <c r="AI2832" s="7" t="n"/>
      <c r="AL2832" s="11" t="n"/>
      <c r="AN2832">
        <f>IF($E2832="","",IF(COUNTIF($E$2:$E2832,$E2832)=1,1,0))</f>
        <v/>
      </c>
      <c r="AO2832">
        <f>IF($AN2832=1,SUMPRODUCT(--($AR$2:$AR$4001&lt;$AR2832))+1,"")</f>
        <v/>
      </c>
      <c r="AP2832">
        <f>IF($E2832="","",IF(OR($U2832=TRUE(),$U2832="TRUE"),1,0))</f>
        <v/>
      </c>
      <c r="AQ2832">
        <f>IF($E2832="","",IF($AA2832="Yes",1,0))</f>
        <v/>
      </c>
      <c r="AR2832">
        <f>IF($AN2832=1,IFERROR(VALUE(MID($E2832,2,20)),1000000000)+ROW()/100000,"")</f>
        <v/>
      </c>
    </row>
    <row r="2833">
      <c r="G2833" s="11" t="n"/>
      <c r="Q2833" s="7">
        <f>IF($E2833="","",P2833*Y2833/100)</f>
        <v/>
      </c>
      <c r="R2833" s="7" t="n"/>
      <c r="X2833" s="7" t="n"/>
      <c r="Y2833" s="7" t="n"/>
      <c r="AB2833">
        <f>IF($E2833="","",IF($AQ2833=1,0,IF($AP2833=1,Settings!$C$6,Settings!$C$7))*100)</f>
        <v/>
      </c>
      <c r="AC2833" s="7">
        <f>IF($E2833="","",Y2833*AB2833/100)</f>
        <v/>
      </c>
      <c r="AD2833" s="7">
        <f>IF($E2833="","",Y2833-AC2833)</f>
        <v/>
      </c>
      <c r="AE2833" s="7">
        <f>IF($E2833="","",AD2833-Q2833)</f>
        <v/>
      </c>
      <c r="AI2833" s="7" t="n"/>
      <c r="AL2833" s="11" t="n"/>
      <c r="AN2833">
        <f>IF($E2833="","",IF(COUNTIF($E$2:$E2833,$E2833)=1,1,0))</f>
        <v/>
      </c>
      <c r="AO2833">
        <f>IF($AN2833=1,SUMPRODUCT(--($AR$2:$AR$4001&lt;$AR2833))+1,"")</f>
        <v/>
      </c>
      <c r="AP2833">
        <f>IF($E2833="","",IF(OR($U2833=TRUE(),$U2833="TRUE"),1,0))</f>
        <v/>
      </c>
      <c r="AQ2833">
        <f>IF($E2833="","",IF($AA2833="Yes",1,0))</f>
        <v/>
      </c>
      <c r="AR2833">
        <f>IF($AN2833=1,IFERROR(VALUE(MID($E2833,2,20)),1000000000)+ROW()/100000,"")</f>
        <v/>
      </c>
    </row>
    <row r="2834">
      <c r="G2834" s="11" t="n"/>
      <c r="Q2834" s="7">
        <f>IF($E2834="","",P2834*Y2834/100)</f>
        <v/>
      </c>
      <c r="R2834" s="7" t="n"/>
      <c r="X2834" s="7" t="n"/>
      <c r="Y2834" s="7" t="n"/>
      <c r="AB2834">
        <f>IF($E2834="","",IF($AQ2834=1,0,IF($AP2834=1,Settings!$C$6,Settings!$C$7))*100)</f>
        <v/>
      </c>
      <c r="AC2834" s="7">
        <f>IF($E2834="","",Y2834*AB2834/100)</f>
        <v/>
      </c>
      <c r="AD2834" s="7">
        <f>IF($E2834="","",Y2834-AC2834)</f>
        <v/>
      </c>
      <c r="AE2834" s="7">
        <f>IF($E2834="","",AD2834-Q2834)</f>
        <v/>
      </c>
      <c r="AI2834" s="7" t="n"/>
      <c r="AL2834" s="11" t="n"/>
      <c r="AN2834">
        <f>IF($E2834="","",IF(COUNTIF($E$2:$E2834,$E2834)=1,1,0))</f>
        <v/>
      </c>
      <c r="AO2834">
        <f>IF($AN2834=1,SUMPRODUCT(--($AR$2:$AR$4001&lt;$AR2834))+1,"")</f>
        <v/>
      </c>
      <c r="AP2834">
        <f>IF($E2834="","",IF(OR($U2834=TRUE(),$U2834="TRUE"),1,0))</f>
        <v/>
      </c>
      <c r="AQ2834">
        <f>IF($E2834="","",IF($AA2834="Yes",1,0))</f>
        <v/>
      </c>
      <c r="AR2834">
        <f>IF($AN2834=1,IFERROR(VALUE(MID($E2834,2,20)),1000000000)+ROW()/100000,"")</f>
        <v/>
      </c>
    </row>
    <row r="2835">
      <c r="G2835" s="11" t="n"/>
      <c r="Q2835" s="7">
        <f>IF($E2835="","",P2835*Y2835/100)</f>
        <v/>
      </c>
      <c r="R2835" s="7" t="n"/>
      <c r="X2835" s="7" t="n"/>
      <c r="Y2835" s="7" t="n"/>
      <c r="AB2835">
        <f>IF($E2835="","",IF($AQ2835=1,0,IF($AP2835=1,Settings!$C$6,Settings!$C$7))*100)</f>
        <v/>
      </c>
      <c r="AC2835" s="7">
        <f>IF($E2835="","",Y2835*AB2835/100)</f>
        <v/>
      </c>
      <c r="AD2835" s="7">
        <f>IF($E2835="","",Y2835-AC2835)</f>
        <v/>
      </c>
      <c r="AE2835" s="7">
        <f>IF($E2835="","",AD2835-Q2835)</f>
        <v/>
      </c>
      <c r="AI2835" s="7" t="n"/>
      <c r="AL2835" s="11" t="n"/>
      <c r="AN2835">
        <f>IF($E2835="","",IF(COUNTIF($E$2:$E2835,$E2835)=1,1,0))</f>
        <v/>
      </c>
      <c r="AO2835">
        <f>IF($AN2835=1,SUMPRODUCT(--($AR$2:$AR$4001&lt;$AR2835))+1,"")</f>
        <v/>
      </c>
      <c r="AP2835">
        <f>IF($E2835="","",IF(OR($U2835=TRUE(),$U2835="TRUE"),1,0))</f>
        <v/>
      </c>
      <c r="AQ2835">
        <f>IF($E2835="","",IF($AA2835="Yes",1,0))</f>
        <v/>
      </c>
      <c r="AR2835">
        <f>IF($AN2835=1,IFERROR(VALUE(MID($E2835,2,20)),1000000000)+ROW()/100000,"")</f>
        <v/>
      </c>
    </row>
    <row r="2836">
      <c r="G2836" s="11" t="n"/>
      <c r="Q2836" s="7">
        <f>IF($E2836="","",P2836*Y2836/100)</f>
        <v/>
      </c>
      <c r="R2836" s="7" t="n"/>
      <c r="X2836" s="7" t="n"/>
      <c r="Y2836" s="7" t="n"/>
      <c r="AB2836">
        <f>IF($E2836="","",IF($AQ2836=1,0,IF($AP2836=1,Settings!$C$6,Settings!$C$7))*100)</f>
        <v/>
      </c>
      <c r="AC2836" s="7">
        <f>IF($E2836="","",Y2836*AB2836/100)</f>
        <v/>
      </c>
      <c r="AD2836" s="7">
        <f>IF($E2836="","",Y2836-AC2836)</f>
        <v/>
      </c>
      <c r="AE2836" s="7">
        <f>IF($E2836="","",AD2836-Q2836)</f>
        <v/>
      </c>
      <c r="AI2836" s="7" t="n"/>
      <c r="AL2836" s="11" t="n"/>
      <c r="AN2836">
        <f>IF($E2836="","",IF(COUNTIF($E$2:$E2836,$E2836)=1,1,0))</f>
        <v/>
      </c>
      <c r="AO2836">
        <f>IF($AN2836=1,SUMPRODUCT(--($AR$2:$AR$4001&lt;$AR2836))+1,"")</f>
        <v/>
      </c>
      <c r="AP2836">
        <f>IF($E2836="","",IF(OR($U2836=TRUE(),$U2836="TRUE"),1,0))</f>
        <v/>
      </c>
      <c r="AQ2836">
        <f>IF($E2836="","",IF($AA2836="Yes",1,0))</f>
        <v/>
      </c>
      <c r="AR2836">
        <f>IF($AN2836=1,IFERROR(VALUE(MID($E2836,2,20)),1000000000)+ROW()/100000,"")</f>
        <v/>
      </c>
    </row>
    <row r="2837">
      <c r="G2837" s="11" t="n"/>
      <c r="Q2837" s="7">
        <f>IF($E2837="","",P2837*Y2837/100)</f>
        <v/>
      </c>
      <c r="R2837" s="7" t="n"/>
      <c r="X2837" s="7" t="n"/>
      <c r="Y2837" s="7" t="n"/>
      <c r="AB2837">
        <f>IF($E2837="","",IF($AQ2837=1,0,IF($AP2837=1,Settings!$C$6,Settings!$C$7))*100)</f>
        <v/>
      </c>
      <c r="AC2837" s="7">
        <f>IF($E2837="","",Y2837*AB2837/100)</f>
        <v/>
      </c>
      <c r="AD2837" s="7">
        <f>IF($E2837="","",Y2837-AC2837)</f>
        <v/>
      </c>
      <c r="AE2837" s="7">
        <f>IF($E2837="","",AD2837-Q2837)</f>
        <v/>
      </c>
      <c r="AI2837" s="7" t="n"/>
      <c r="AL2837" s="11" t="n"/>
      <c r="AN2837">
        <f>IF($E2837="","",IF(COUNTIF($E$2:$E2837,$E2837)=1,1,0))</f>
        <v/>
      </c>
      <c r="AO2837">
        <f>IF($AN2837=1,SUMPRODUCT(--($AR$2:$AR$4001&lt;$AR2837))+1,"")</f>
        <v/>
      </c>
      <c r="AP2837">
        <f>IF($E2837="","",IF(OR($U2837=TRUE(),$U2837="TRUE"),1,0))</f>
        <v/>
      </c>
      <c r="AQ2837">
        <f>IF($E2837="","",IF($AA2837="Yes",1,0))</f>
        <v/>
      </c>
      <c r="AR2837">
        <f>IF($AN2837=1,IFERROR(VALUE(MID($E2837,2,20)),1000000000)+ROW()/100000,"")</f>
        <v/>
      </c>
    </row>
    <row r="2838">
      <c r="G2838" s="11" t="n"/>
      <c r="Q2838" s="7">
        <f>IF($E2838="","",P2838*Y2838/100)</f>
        <v/>
      </c>
      <c r="R2838" s="7" t="n"/>
      <c r="X2838" s="7" t="n"/>
      <c r="Y2838" s="7" t="n"/>
      <c r="AB2838">
        <f>IF($E2838="","",IF($AQ2838=1,0,IF($AP2838=1,Settings!$C$6,Settings!$C$7))*100)</f>
        <v/>
      </c>
      <c r="AC2838" s="7">
        <f>IF($E2838="","",Y2838*AB2838/100)</f>
        <v/>
      </c>
      <c r="AD2838" s="7">
        <f>IF($E2838="","",Y2838-AC2838)</f>
        <v/>
      </c>
      <c r="AE2838" s="7">
        <f>IF($E2838="","",AD2838-Q2838)</f>
        <v/>
      </c>
      <c r="AI2838" s="7" t="n"/>
      <c r="AL2838" s="11" t="n"/>
      <c r="AN2838">
        <f>IF($E2838="","",IF(COUNTIF($E$2:$E2838,$E2838)=1,1,0))</f>
        <v/>
      </c>
      <c r="AO2838">
        <f>IF($AN2838=1,SUMPRODUCT(--($AR$2:$AR$4001&lt;$AR2838))+1,"")</f>
        <v/>
      </c>
      <c r="AP2838">
        <f>IF($E2838="","",IF(OR($U2838=TRUE(),$U2838="TRUE"),1,0))</f>
        <v/>
      </c>
      <c r="AQ2838">
        <f>IF($E2838="","",IF($AA2838="Yes",1,0))</f>
        <v/>
      </c>
      <c r="AR2838">
        <f>IF($AN2838=1,IFERROR(VALUE(MID($E2838,2,20)),1000000000)+ROW()/100000,"")</f>
        <v/>
      </c>
    </row>
    <row r="2839">
      <c r="G2839" s="11" t="n"/>
      <c r="Q2839" s="7">
        <f>IF($E2839="","",P2839*Y2839/100)</f>
        <v/>
      </c>
      <c r="R2839" s="7" t="n"/>
      <c r="X2839" s="7" t="n"/>
      <c r="Y2839" s="7" t="n"/>
      <c r="AB2839">
        <f>IF($E2839="","",IF($AQ2839=1,0,IF($AP2839=1,Settings!$C$6,Settings!$C$7))*100)</f>
        <v/>
      </c>
      <c r="AC2839" s="7">
        <f>IF($E2839="","",Y2839*AB2839/100)</f>
        <v/>
      </c>
      <c r="AD2839" s="7">
        <f>IF($E2839="","",Y2839-AC2839)</f>
        <v/>
      </c>
      <c r="AE2839" s="7">
        <f>IF($E2839="","",AD2839-Q2839)</f>
        <v/>
      </c>
      <c r="AI2839" s="7" t="n"/>
      <c r="AL2839" s="11" t="n"/>
      <c r="AN2839">
        <f>IF($E2839="","",IF(COUNTIF($E$2:$E2839,$E2839)=1,1,0))</f>
        <v/>
      </c>
      <c r="AO2839">
        <f>IF($AN2839=1,SUMPRODUCT(--($AR$2:$AR$4001&lt;$AR2839))+1,"")</f>
        <v/>
      </c>
      <c r="AP2839">
        <f>IF($E2839="","",IF(OR($U2839=TRUE(),$U2839="TRUE"),1,0))</f>
        <v/>
      </c>
      <c r="AQ2839">
        <f>IF($E2839="","",IF($AA2839="Yes",1,0))</f>
        <v/>
      </c>
      <c r="AR2839">
        <f>IF($AN2839=1,IFERROR(VALUE(MID($E2839,2,20)),1000000000)+ROW()/100000,"")</f>
        <v/>
      </c>
    </row>
    <row r="2840">
      <c r="G2840" s="11" t="n"/>
      <c r="Q2840" s="7">
        <f>IF($E2840="","",P2840*Y2840/100)</f>
        <v/>
      </c>
      <c r="R2840" s="7" t="n"/>
      <c r="X2840" s="7" t="n"/>
      <c r="Y2840" s="7" t="n"/>
      <c r="AB2840">
        <f>IF($E2840="","",IF($AQ2840=1,0,IF($AP2840=1,Settings!$C$6,Settings!$C$7))*100)</f>
        <v/>
      </c>
      <c r="AC2840" s="7">
        <f>IF($E2840="","",Y2840*AB2840/100)</f>
        <v/>
      </c>
      <c r="AD2840" s="7">
        <f>IF($E2840="","",Y2840-AC2840)</f>
        <v/>
      </c>
      <c r="AE2840" s="7">
        <f>IF($E2840="","",AD2840-Q2840)</f>
        <v/>
      </c>
      <c r="AI2840" s="7" t="n"/>
      <c r="AL2840" s="11" t="n"/>
      <c r="AN2840">
        <f>IF($E2840="","",IF(COUNTIF($E$2:$E2840,$E2840)=1,1,0))</f>
        <v/>
      </c>
      <c r="AO2840">
        <f>IF($AN2840=1,SUMPRODUCT(--($AR$2:$AR$4001&lt;$AR2840))+1,"")</f>
        <v/>
      </c>
      <c r="AP2840">
        <f>IF($E2840="","",IF(OR($U2840=TRUE(),$U2840="TRUE"),1,0))</f>
        <v/>
      </c>
      <c r="AQ2840">
        <f>IF($E2840="","",IF($AA2840="Yes",1,0))</f>
        <v/>
      </c>
      <c r="AR2840">
        <f>IF($AN2840=1,IFERROR(VALUE(MID($E2840,2,20)),1000000000)+ROW()/100000,"")</f>
        <v/>
      </c>
    </row>
    <row r="2841">
      <c r="G2841" s="11" t="n"/>
      <c r="Q2841" s="7">
        <f>IF($E2841="","",P2841*Y2841/100)</f>
        <v/>
      </c>
      <c r="R2841" s="7" t="n"/>
      <c r="X2841" s="7" t="n"/>
      <c r="Y2841" s="7" t="n"/>
      <c r="AB2841">
        <f>IF($E2841="","",IF($AQ2841=1,0,IF($AP2841=1,Settings!$C$6,Settings!$C$7))*100)</f>
        <v/>
      </c>
      <c r="AC2841" s="7">
        <f>IF($E2841="","",Y2841*AB2841/100)</f>
        <v/>
      </c>
      <c r="AD2841" s="7">
        <f>IF($E2841="","",Y2841-AC2841)</f>
        <v/>
      </c>
      <c r="AE2841" s="7">
        <f>IF($E2841="","",AD2841-Q2841)</f>
        <v/>
      </c>
      <c r="AI2841" s="7" t="n"/>
      <c r="AL2841" s="11" t="n"/>
      <c r="AN2841">
        <f>IF($E2841="","",IF(COUNTIF($E$2:$E2841,$E2841)=1,1,0))</f>
        <v/>
      </c>
      <c r="AO2841">
        <f>IF($AN2841=1,SUMPRODUCT(--($AR$2:$AR$4001&lt;$AR2841))+1,"")</f>
        <v/>
      </c>
      <c r="AP2841">
        <f>IF($E2841="","",IF(OR($U2841=TRUE(),$U2841="TRUE"),1,0))</f>
        <v/>
      </c>
      <c r="AQ2841">
        <f>IF($E2841="","",IF($AA2841="Yes",1,0))</f>
        <v/>
      </c>
      <c r="AR2841">
        <f>IF($AN2841=1,IFERROR(VALUE(MID($E2841,2,20)),1000000000)+ROW()/100000,"")</f>
        <v/>
      </c>
    </row>
    <row r="2842">
      <c r="G2842" s="11" t="n"/>
      <c r="Q2842" s="7">
        <f>IF($E2842="","",P2842*Y2842/100)</f>
        <v/>
      </c>
      <c r="R2842" s="7" t="n"/>
      <c r="X2842" s="7" t="n"/>
      <c r="Y2842" s="7" t="n"/>
      <c r="AB2842">
        <f>IF($E2842="","",IF($AQ2842=1,0,IF($AP2842=1,Settings!$C$6,Settings!$C$7))*100)</f>
        <v/>
      </c>
      <c r="AC2842" s="7">
        <f>IF($E2842="","",Y2842*AB2842/100)</f>
        <v/>
      </c>
      <c r="AD2842" s="7">
        <f>IF($E2842="","",Y2842-AC2842)</f>
        <v/>
      </c>
      <c r="AE2842" s="7">
        <f>IF($E2842="","",AD2842-Q2842)</f>
        <v/>
      </c>
      <c r="AI2842" s="7" t="n"/>
      <c r="AL2842" s="11" t="n"/>
      <c r="AN2842">
        <f>IF($E2842="","",IF(COUNTIF($E$2:$E2842,$E2842)=1,1,0))</f>
        <v/>
      </c>
      <c r="AO2842">
        <f>IF($AN2842=1,SUMPRODUCT(--($AR$2:$AR$4001&lt;$AR2842))+1,"")</f>
        <v/>
      </c>
      <c r="AP2842">
        <f>IF($E2842="","",IF(OR($U2842=TRUE(),$U2842="TRUE"),1,0))</f>
        <v/>
      </c>
      <c r="AQ2842">
        <f>IF($E2842="","",IF($AA2842="Yes",1,0))</f>
        <v/>
      </c>
      <c r="AR2842">
        <f>IF($AN2842=1,IFERROR(VALUE(MID($E2842,2,20)),1000000000)+ROW()/100000,"")</f>
        <v/>
      </c>
    </row>
    <row r="2843">
      <c r="G2843" s="11" t="n"/>
      <c r="Q2843" s="7">
        <f>IF($E2843="","",P2843*Y2843/100)</f>
        <v/>
      </c>
      <c r="R2843" s="7" t="n"/>
      <c r="X2843" s="7" t="n"/>
      <c r="Y2843" s="7" t="n"/>
      <c r="AB2843">
        <f>IF($E2843="","",IF($AQ2843=1,0,IF($AP2843=1,Settings!$C$6,Settings!$C$7))*100)</f>
        <v/>
      </c>
      <c r="AC2843" s="7">
        <f>IF($E2843="","",Y2843*AB2843/100)</f>
        <v/>
      </c>
      <c r="AD2843" s="7">
        <f>IF($E2843="","",Y2843-AC2843)</f>
        <v/>
      </c>
      <c r="AE2843" s="7">
        <f>IF($E2843="","",AD2843-Q2843)</f>
        <v/>
      </c>
      <c r="AI2843" s="7" t="n"/>
      <c r="AL2843" s="11" t="n"/>
      <c r="AN2843">
        <f>IF($E2843="","",IF(COUNTIF($E$2:$E2843,$E2843)=1,1,0))</f>
        <v/>
      </c>
      <c r="AO2843">
        <f>IF($AN2843=1,SUMPRODUCT(--($AR$2:$AR$4001&lt;$AR2843))+1,"")</f>
        <v/>
      </c>
      <c r="AP2843">
        <f>IF($E2843="","",IF(OR($U2843=TRUE(),$U2843="TRUE"),1,0))</f>
        <v/>
      </c>
      <c r="AQ2843">
        <f>IF($E2843="","",IF($AA2843="Yes",1,0))</f>
        <v/>
      </c>
      <c r="AR2843">
        <f>IF($AN2843=1,IFERROR(VALUE(MID($E2843,2,20)),1000000000)+ROW()/100000,"")</f>
        <v/>
      </c>
    </row>
    <row r="2844">
      <c r="G2844" s="11" t="n"/>
      <c r="Q2844" s="7">
        <f>IF($E2844="","",P2844*Y2844/100)</f>
        <v/>
      </c>
      <c r="R2844" s="7" t="n"/>
      <c r="X2844" s="7" t="n"/>
      <c r="Y2844" s="7" t="n"/>
      <c r="AB2844">
        <f>IF($E2844="","",IF($AQ2844=1,0,IF($AP2844=1,Settings!$C$6,Settings!$C$7))*100)</f>
        <v/>
      </c>
      <c r="AC2844" s="7">
        <f>IF($E2844="","",Y2844*AB2844/100)</f>
        <v/>
      </c>
      <c r="AD2844" s="7">
        <f>IF($E2844="","",Y2844-AC2844)</f>
        <v/>
      </c>
      <c r="AE2844" s="7">
        <f>IF($E2844="","",AD2844-Q2844)</f>
        <v/>
      </c>
      <c r="AI2844" s="7" t="n"/>
      <c r="AL2844" s="11" t="n"/>
      <c r="AN2844">
        <f>IF($E2844="","",IF(COUNTIF($E$2:$E2844,$E2844)=1,1,0))</f>
        <v/>
      </c>
      <c r="AO2844">
        <f>IF($AN2844=1,SUMPRODUCT(--($AR$2:$AR$4001&lt;$AR2844))+1,"")</f>
        <v/>
      </c>
      <c r="AP2844">
        <f>IF($E2844="","",IF(OR($U2844=TRUE(),$U2844="TRUE"),1,0))</f>
        <v/>
      </c>
      <c r="AQ2844">
        <f>IF($E2844="","",IF($AA2844="Yes",1,0))</f>
        <v/>
      </c>
      <c r="AR2844">
        <f>IF($AN2844=1,IFERROR(VALUE(MID($E2844,2,20)),1000000000)+ROW()/100000,"")</f>
        <v/>
      </c>
    </row>
    <row r="2845">
      <c r="G2845" s="11" t="n"/>
      <c r="Q2845" s="7">
        <f>IF($E2845="","",P2845*Y2845/100)</f>
        <v/>
      </c>
      <c r="R2845" s="7" t="n"/>
      <c r="X2845" s="7" t="n"/>
      <c r="Y2845" s="7" t="n"/>
      <c r="AB2845">
        <f>IF($E2845="","",IF($AQ2845=1,0,IF($AP2845=1,Settings!$C$6,Settings!$C$7))*100)</f>
        <v/>
      </c>
      <c r="AC2845" s="7">
        <f>IF($E2845="","",Y2845*AB2845/100)</f>
        <v/>
      </c>
      <c r="AD2845" s="7">
        <f>IF($E2845="","",Y2845-AC2845)</f>
        <v/>
      </c>
      <c r="AE2845" s="7">
        <f>IF($E2845="","",AD2845-Q2845)</f>
        <v/>
      </c>
      <c r="AI2845" s="7" t="n"/>
      <c r="AL2845" s="11" t="n"/>
      <c r="AN2845">
        <f>IF($E2845="","",IF(COUNTIF($E$2:$E2845,$E2845)=1,1,0))</f>
        <v/>
      </c>
      <c r="AO2845">
        <f>IF($AN2845=1,SUMPRODUCT(--($AR$2:$AR$4001&lt;$AR2845))+1,"")</f>
        <v/>
      </c>
      <c r="AP2845">
        <f>IF($E2845="","",IF(OR($U2845=TRUE(),$U2845="TRUE"),1,0))</f>
        <v/>
      </c>
      <c r="AQ2845">
        <f>IF($E2845="","",IF($AA2845="Yes",1,0))</f>
        <v/>
      </c>
      <c r="AR2845">
        <f>IF($AN2845=1,IFERROR(VALUE(MID($E2845,2,20)),1000000000)+ROW()/100000,"")</f>
        <v/>
      </c>
    </row>
    <row r="2846">
      <c r="G2846" s="11" t="n"/>
      <c r="Q2846" s="7">
        <f>IF($E2846="","",P2846*Y2846/100)</f>
        <v/>
      </c>
      <c r="R2846" s="7" t="n"/>
      <c r="X2846" s="7" t="n"/>
      <c r="Y2846" s="7" t="n"/>
      <c r="AB2846">
        <f>IF($E2846="","",IF($AQ2846=1,0,IF($AP2846=1,Settings!$C$6,Settings!$C$7))*100)</f>
        <v/>
      </c>
      <c r="AC2846" s="7">
        <f>IF($E2846="","",Y2846*AB2846/100)</f>
        <v/>
      </c>
      <c r="AD2846" s="7">
        <f>IF($E2846="","",Y2846-AC2846)</f>
        <v/>
      </c>
      <c r="AE2846" s="7">
        <f>IF($E2846="","",AD2846-Q2846)</f>
        <v/>
      </c>
      <c r="AI2846" s="7" t="n"/>
      <c r="AL2846" s="11" t="n"/>
      <c r="AN2846">
        <f>IF($E2846="","",IF(COUNTIF($E$2:$E2846,$E2846)=1,1,0))</f>
        <v/>
      </c>
      <c r="AO2846">
        <f>IF($AN2846=1,SUMPRODUCT(--($AR$2:$AR$4001&lt;$AR2846))+1,"")</f>
        <v/>
      </c>
      <c r="AP2846">
        <f>IF($E2846="","",IF(OR($U2846=TRUE(),$U2846="TRUE"),1,0))</f>
        <v/>
      </c>
      <c r="AQ2846">
        <f>IF($E2846="","",IF($AA2846="Yes",1,0))</f>
        <v/>
      </c>
      <c r="AR2846">
        <f>IF($AN2846=1,IFERROR(VALUE(MID($E2846,2,20)),1000000000)+ROW()/100000,"")</f>
        <v/>
      </c>
    </row>
    <row r="2847">
      <c r="G2847" s="11" t="n"/>
      <c r="Q2847" s="7">
        <f>IF($E2847="","",P2847*Y2847/100)</f>
        <v/>
      </c>
      <c r="R2847" s="7" t="n"/>
      <c r="X2847" s="7" t="n"/>
      <c r="Y2847" s="7" t="n"/>
      <c r="AB2847">
        <f>IF($E2847="","",IF($AQ2847=1,0,IF($AP2847=1,Settings!$C$6,Settings!$C$7))*100)</f>
        <v/>
      </c>
      <c r="AC2847" s="7">
        <f>IF($E2847="","",Y2847*AB2847/100)</f>
        <v/>
      </c>
      <c r="AD2847" s="7">
        <f>IF($E2847="","",Y2847-AC2847)</f>
        <v/>
      </c>
      <c r="AE2847" s="7">
        <f>IF($E2847="","",AD2847-Q2847)</f>
        <v/>
      </c>
      <c r="AI2847" s="7" t="n"/>
      <c r="AL2847" s="11" t="n"/>
      <c r="AN2847">
        <f>IF($E2847="","",IF(COUNTIF($E$2:$E2847,$E2847)=1,1,0))</f>
        <v/>
      </c>
      <c r="AO2847">
        <f>IF($AN2847=1,SUMPRODUCT(--($AR$2:$AR$4001&lt;$AR2847))+1,"")</f>
        <v/>
      </c>
      <c r="AP2847">
        <f>IF($E2847="","",IF(OR($U2847=TRUE(),$U2847="TRUE"),1,0))</f>
        <v/>
      </c>
      <c r="AQ2847">
        <f>IF($E2847="","",IF($AA2847="Yes",1,0))</f>
        <v/>
      </c>
      <c r="AR2847">
        <f>IF($AN2847=1,IFERROR(VALUE(MID($E2847,2,20)),1000000000)+ROW()/100000,"")</f>
        <v/>
      </c>
    </row>
    <row r="2848">
      <c r="G2848" s="11" t="n"/>
      <c r="Q2848" s="7">
        <f>IF($E2848="","",P2848*Y2848/100)</f>
        <v/>
      </c>
      <c r="R2848" s="7" t="n"/>
      <c r="X2848" s="7" t="n"/>
      <c r="Y2848" s="7" t="n"/>
      <c r="AB2848">
        <f>IF($E2848="","",IF($AQ2848=1,0,IF($AP2848=1,Settings!$C$6,Settings!$C$7))*100)</f>
        <v/>
      </c>
      <c r="AC2848" s="7">
        <f>IF($E2848="","",Y2848*AB2848/100)</f>
        <v/>
      </c>
      <c r="AD2848" s="7">
        <f>IF($E2848="","",Y2848-AC2848)</f>
        <v/>
      </c>
      <c r="AE2848" s="7">
        <f>IF($E2848="","",AD2848-Q2848)</f>
        <v/>
      </c>
      <c r="AI2848" s="7" t="n"/>
      <c r="AL2848" s="11" t="n"/>
      <c r="AN2848">
        <f>IF($E2848="","",IF(COUNTIF($E$2:$E2848,$E2848)=1,1,0))</f>
        <v/>
      </c>
      <c r="AO2848">
        <f>IF($AN2848=1,SUMPRODUCT(--($AR$2:$AR$4001&lt;$AR2848))+1,"")</f>
        <v/>
      </c>
      <c r="AP2848">
        <f>IF($E2848="","",IF(OR($U2848=TRUE(),$U2848="TRUE"),1,0))</f>
        <v/>
      </c>
      <c r="AQ2848">
        <f>IF($E2848="","",IF($AA2848="Yes",1,0))</f>
        <v/>
      </c>
      <c r="AR2848">
        <f>IF($AN2848=1,IFERROR(VALUE(MID($E2848,2,20)),1000000000)+ROW()/100000,"")</f>
        <v/>
      </c>
    </row>
    <row r="2849">
      <c r="G2849" s="11" t="n"/>
      <c r="Q2849" s="7">
        <f>IF($E2849="","",P2849*Y2849/100)</f>
        <v/>
      </c>
      <c r="R2849" s="7" t="n"/>
      <c r="X2849" s="7" t="n"/>
      <c r="Y2849" s="7" t="n"/>
      <c r="AB2849">
        <f>IF($E2849="","",IF($AQ2849=1,0,IF($AP2849=1,Settings!$C$6,Settings!$C$7))*100)</f>
        <v/>
      </c>
      <c r="AC2849" s="7">
        <f>IF($E2849="","",Y2849*AB2849/100)</f>
        <v/>
      </c>
      <c r="AD2849" s="7">
        <f>IF($E2849="","",Y2849-AC2849)</f>
        <v/>
      </c>
      <c r="AE2849" s="7">
        <f>IF($E2849="","",AD2849-Q2849)</f>
        <v/>
      </c>
      <c r="AI2849" s="7" t="n"/>
      <c r="AL2849" s="11" t="n"/>
      <c r="AN2849">
        <f>IF($E2849="","",IF(COUNTIF($E$2:$E2849,$E2849)=1,1,0))</f>
        <v/>
      </c>
      <c r="AO2849">
        <f>IF($AN2849=1,SUMPRODUCT(--($AR$2:$AR$4001&lt;$AR2849))+1,"")</f>
        <v/>
      </c>
      <c r="AP2849">
        <f>IF($E2849="","",IF(OR($U2849=TRUE(),$U2849="TRUE"),1,0))</f>
        <v/>
      </c>
      <c r="AQ2849">
        <f>IF($E2849="","",IF($AA2849="Yes",1,0))</f>
        <v/>
      </c>
      <c r="AR2849">
        <f>IF($AN2849=1,IFERROR(VALUE(MID($E2849,2,20)),1000000000)+ROW()/100000,"")</f>
        <v/>
      </c>
    </row>
    <row r="2850">
      <c r="G2850" s="11" t="n"/>
      <c r="Q2850" s="7">
        <f>IF($E2850="","",P2850*Y2850/100)</f>
        <v/>
      </c>
      <c r="R2850" s="7" t="n"/>
      <c r="X2850" s="7" t="n"/>
      <c r="Y2850" s="7" t="n"/>
      <c r="AB2850">
        <f>IF($E2850="","",IF($AQ2850=1,0,IF($AP2850=1,Settings!$C$6,Settings!$C$7))*100)</f>
        <v/>
      </c>
      <c r="AC2850" s="7">
        <f>IF($E2850="","",Y2850*AB2850/100)</f>
        <v/>
      </c>
      <c r="AD2850" s="7">
        <f>IF($E2850="","",Y2850-AC2850)</f>
        <v/>
      </c>
      <c r="AE2850" s="7">
        <f>IF($E2850="","",AD2850-Q2850)</f>
        <v/>
      </c>
      <c r="AI2850" s="7" t="n"/>
      <c r="AL2850" s="11" t="n"/>
      <c r="AN2850">
        <f>IF($E2850="","",IF(COUNTIF($E$2:$E2850,$E2850)=1,1,0))</f>
        <v/>
      </c>
      <c r="AO2850">
        <f>IF($AN2850=1,SUMPRODUCT(--($AR$2:$AR$4001&lt;$AR2850))+1,"")</f>
        <v/>
      </c>
      <c r="AP2850">
        <f>IF($E2850="","",IF(OR($U2850=TRUE(),$U2850="TRUE"),1,0))</f>
        <v/>
      </c>
      <c r="AQ2850">
        <f>IF($E2850="","",IF($AA2850="Yes",1,0))</f>
        <v/>
      </c>
      <c r="AR2850">
        <f>IF($AN2850=1,IFERROR(VALUE(MID($E2850,2,20)),1000000000)+ROW()/100000,"")</f>
        <v/>
      </c>
    </row>
    <row r="2851">
      <c r="G2851" s="11" t="n"/>
      <c r="Q2851" s="7">
        <f>IF($E2851="","",P2851*Y2851/100)</f>
        <v/>
      </c>
      <c r="R2851" s="7" t="n"/>
      <c r="X2851" s="7" t="n"/>
      <c r="Y2851" s="7" t="n"/>
      <c r="AB2851">
        <f>IF($E2851="","",IF($AQ2851=1,0,IF($AP2851=1,Settings!$C$6,Settings!$C$7))*100)</f>
        <v/>
      </c>
      <c r="AC2851" s="7">
        <f>IF($E2851="","",Y2851*AB2851/100)</f>
        <v/>
      </c>
      <c r="AD2851" s="7">
        <f>IF($E2851="","",Y2851-AC2851)</f>
        <v/>
      </c>
      <c r="AE2851" s="7">
        <f>IF($E2851="","",AD2851-Q2851)</f>
        <v/>
      </c>
      <c r="AI2851" s="7" t="n"/>
      <c r="AL2851" s="11" t="n"/>
      <c r="AN2851">
        <f>IF($E2851="","",IF(COUNTIF($E$2:$E2851,$E2851)=1,1,0))</f>
        <v/>
      </c>
      <c r="AO2851">
        <f>IF($AN2851=1,SUMPRODUCT(--($AR$2:$AR$4001&lt;$AR2851))+1,"")</f>
        <v/>
      </c>
      <c r="AP2851">
        <f>IF($E2851="","",IF(OR($U2851=TRUE(),$U2851="TRUE"),1,0))</f>
        <v/>
      </c>
      <c r="AQ2851">
        <f>IF($E2851="","",IF($AA2851="Yes",1,0))</f>
        <v/>
      </c>
      <c r="AR2851">
        <f>IF($AN2851=1,IFERROR(VALUE(MID($E2851,2,20)),1000000000)+ROW()/100000,"")</f>
        <v/>
      </c>
    </row>
    <row r="2852">
      <c r="G2852" s="11" t="n"/>
      <c r="Q2852" s="7">
        <f>IF($E2852="","",P2852*Y2852/100)</f>
        <v/>
      </c>
      <c r="R2852" s="7" t="n"/>
      <c r="X2852" s="7" t="n"/>
      <c r="Y2852" s="7" t="n"/>
      <c r="AB2852">
        <f>IF($E2852="","",IF($AQ2852=1,0,IF($AP2852=1,Settings!$C$6,Settings!$C$7))*100)</f>
        <v/>
      </c>
      <c r="AC2852" s="7">
        <f>IF($E2852="","",Y2852*AB2852/100)</f>
        <v/>
      </c>
      <c r="AD2852" s="7">
        <f>IF($E2852="","",Y2852-AC2852)</f>
        <v/>
      </c>
      <c r="AE2852" s="7">
        <f>IF($E2852="","",AD2852-Q2852)</f>
        <v/>
      </c>
      <c r="AI2852" s="7" t="n"/>
      <c r="AL2852" s="11" t="n"/>
      <c r="AN2852">
        <f>IF($E2852="","",IF(COUNTIF($E$2:$E2852,$E2852)=1,1,0))</f>
        <v/>
      </c>
      <c r="AO2852">
        <f>IF($AN2852=1,SUMPRODUCT(--($AR$2:$AR$4001&lt;$AR2852))+1,"")</f>
        <v/>
      </c>
      <c r="AP2852">
        <f>IF($E2852="","",IF(OR($U2852=TRUE(),$U2852="TRUE"),1,0))</f>
        <v/>
      </c>
      <c r="AQ2852">
        <f>IF($E2852="","",IF($AA2852="Yes",1,0))</f>
        <v/>
      </c>
      <c r="AR2852">
        <f>IF($AN2852=1,IFERROR(VALUE(MID($E2852,2,20)),1000000000)+ROW()/100000,"")</f>
        <v/>
      </c>
    </row>
    <row r="2853">
      <c r="G2853" s="11" t="n"/>
      <c r="Q2853" s="7">
        <f>IF($E2853="","",P2853*Y2853/100)</f>
        <v/>
      </c>
      <c r="R2853" s="7" t="n"/>
      <c r="X2853" s="7" t="n"/>
      <c r="Y2853" s="7" t="n"/>
      <c r="AB2853">
        <f>IF($E2853="","",IF($AQ2853=1,0,IF($AP2853=1,Settings!$C$6,Settings!$C$7))*100)</f>
        <v/>
      </c>
      <c r="AC2853" s="7">
        <f>IF($E2853="","",Y2853*AB2853/100)</f>
        <v/>
      </c>
      <c r="AD2853" s="7">
        <f>IF($E2853="","",Y2853-AC2853)</f>
        <v/>
      </c>
      <c r="AE2853" s="7">
        <f>IF($E2853="","",AD2853-Q2853)</f>
        <v/>
      </c>
      <c r="AI2853" s="7" t="n"/>
      <c r="AL2853" s="11" t="n"/>
      <c r="AN2853">
        <f>IF($E2853="","",IF(COUNTIF($E$2:$E2853,$E2853)=1,1,0))</f>
        <v/>
      </c>
      <c r="AO2853">
        <f>IF($AN2853=1,SUMPRODUCT(--($AR$2:$AR$4001&lt;$AR2853))+1,"")</f>
        <v/>
      </c>
      <c r="AP2853">
        <f>IF($E2853="","",IF(OR($U2853=TRUE(),$U2853="TRUE"),1,0))</f>
        <v/>
      </c>
      <c r="AQ2853">
        <f>IF($E2853="","",IF($AA2853="Yes",1,0))</f>
        <v/>
      </c>
      <c r="AR2853">
        <f>IF($AN2853=1,IFERROR(VALUE(MID($E2853,2,20)),1000000000)+ROW()/100000,"")</f>
        <v/>
      </c>
    </row>
    <row r="2854">
      <c r="G2854" s="11" t="n"/>
      <c r="Q2854" s="7">
        <f>IF($E2854="","",P2854*Y2854/100)</f>
        <v/>
      </c>
      <c r="R2854" s="7" t="n"/>
      <c r="X2854" s="7" t="n"/>
      <c r="Y2854" s="7" t="n"/>
      <c r="AB2854">
        <f>IF($E2854="","",IF($AQ2854=1,0,IF($AP2854=1,Settings!$C$6,Settings!$C$7))*100)</f>
        <v/>
      </c>
      <c r="AC2854" s="7">
        <f>IF($E2854="","",Y2854*AB2854/100)</f>
        <v/>
      </c>
      <c r="AD2854" s="7">
        <f>IF($E2854="","",Y2854-AC2854)</f>
        <v/>
      </c>
      <c r="AE2854" s="7">
        <f>IF($E2854="","",AD2854-Q2854)</f>
        <v/>
      </c>
      <c r="AI2854" s="7" t="n"/>
      <c r="AL2854" s="11" t="n"/>
      <c r="AN2854">
        <f>IF($E2854="","",IF(COUNTIF($E$2:$E2854,$E2854)=1,1,0))</f>
        <v/>
      </c>
      <c r="AO2854">
        <f>IF($AN2854=1,SUMPRODUCT(--($AR$2:$AR$4001&lt;$AR2854))+1,"")</f>
        <v/>
      </c>
      <c r="AP2854">
        <f>IF($E2854="","",IF(OR($U2854=TRUE(),$U2854="TRUE"),1,0))</f>
        <v/>
      </c>
      <c r="AQ2854">
        <f>IF($E2854="","",IF($AA2854="Yes",1,0))</f>
        <v/>
      </c>
      <c r="AR2854">
        <f>IF($AN2854=1,IFERROR(VALUE(MID($E2854,2,20)),1000000000)+ROW()/100000,"")</f>
        <v/>
      </c>
    </row>
    <row r="2855">
      <c r="G2855" s="11" t="n"/>
      <c r="Q2855" s="7">
        <f>IF($E2855="","",P2855*Y2855/100)</f>
        <v/>
      </c>
      <c r="R2855" s="7" t="n"/>
      <c r="X2855" s="7" t="n"/>
      <c r="Y2855" s="7" t="n"/>
      <c r="AB2855">
        <f>IF($E2855="","",IF($AQ2855=1,0,IF($AP2855=1,Settings!$C$6,Settings!$C$7))*100)</f>
        <v/>
      </c>
      <c r="AC2855" s="7">
        <f>IF($E2855="","",Y2855*AB2855/100)</f>
        <v/>
      </c>
      <c r="AD2855" s="7">
        <f>IF($E2855="","",Y2855-AC2855)</f>
        <v/>
      </c>
      <c r="AE2855" s="7">
        <f>IF($E2855="","",AD2855-Q2855)</f>
        <v/>
      </c>
      <c r="AI2855" s="7" t="n"/>
      <c r="AL2855" s="11" t="n"/>
      <c r="AN2855">
        <f>IF($E2855="","",IF(COUNTIF($E$2:$E2855,$E2855)=1,1,0))</f>
        <v/>
      </c>
      <c r="AO2855">
        <f>IF($AN2855=1,SUMPRODUCT(--($AR$2:$AR$4001&lt;$AR2855))+1,"")</f>
        <v/>
      </c>
      <c r="AP2855">
        <f>IF($E2855="","",IF(OR($U2855=TRUE(),$U2855="TRUE"),1,0))</f>
        <v/>
      </c>
      <c r="AQ2855">
        <f>IF($E2855="","",IF($AA2855="Yes",1,0))</f>
        <v/>
      </c>
      <c r="AR2855">
        <f>IF($AN2855=1,IFERROR(VALUE(MID($E2855,2,20)),1000000000)+ROW()/100000,"")</f>
        <v/>
      </c>
    </row>
    <row r="2856">
      <c r="G2856" s="11" t="n"/>
      <c r="Q2856" s="7">
        <f>IF($E2856="","",P2856*Y2856/100)</f>
        <v/>
      </c>
      <c r="R2856" s="7" t="n"/>
      <c r="X2856" s="7" t="n"/>
      <c r="Y2856" s="7" t="n"/>
      <c r="AB2856">
        <f>IF($E2856="","",IF($AQ2856=1,0,IF($AP2856=1,Settings!$C$6,Settings!$C$7))*100)</f>
        <v/>
      </c>
      <c r="AC2856" s="7">
        <f>IF($E2856="","",Y2856*AB2856/100)</f>
        <v/>
      </c>
      <c r="AD2856" s="7">
        <f>IF($E2856="","",Y2856-AC2856)</f>
        <v/>
      </c>
      <c r="AE2856" s="7">
        <f>IF($E2856="","",AD2856-Q2856)</f>
        <v/>
      </c>
      <c r="AI2856" s="7" t="n"/>
      <c r="AL2856" s="11" t="n"/>
      <c r="AN2856">
        <f>IF($E2856="","",IF(COUNTIF($E$2:$E2856,$E2856)=1,1,0))</f>
        <v/>
      </c>
      <c r="AO2856">
        <f>IF($AN2856=1,SUMPRODUCT(--($AR$2:$AR$4001&lt;$AR2856))+1,"")</f>
        <v/>
      </c>
      <c r="AP2856">
        <f>IF($E2856="","",IF(OR($U2856=TRUE(),$U2856="TRUE"),1,0))</f>
        <v/>
      </c>
      <c r="AQ2856">
        <f>IF($E2856="","",IF($AA2856="Yes",1,0))</f>
        <v/>
      </c>
      <c r="AR2856">
        <f>IF($AN2856=1,IFERROR(VALUE(MID($E2856,2,20)),1000000000)+ROW()/100000,"")</f>
        <v/>
      </c>
    </row>
    <row r="2857">
      <c r="G2857" s="11" t="n"/>
      <c r="Q2857" s="7">
        <f>IF($E2857="","",P2857*Y2857/100)</f>
        <v/>
      </c>
      <c r="R2857" s="7" t="n"/>
      <c r="X2857" s="7" t="n"/>
      <c r="Y2857" s="7" t="n"/>
      <c r="AB2857">
        <f>IF($E2857="","",IF($AQ2857=1,0,IF($AP2857=1,Settings!$C$6,Settings!$C$7))*100)</f>
        <v/>
      </c>
      <c r="AC2857" s="7">
        <f>IF($E2857="","",Y2857*AB2857/100)</f>
        <v/>
      </c>
      <c r="AD2857" s="7">
        <f>IF($E2857="","",Y2857-AC2857)</f>
        <v/>
      </c>
      <c r="AE2857" s="7">
        <f>IF($E2857="","",AD2857-Q2857)</f>
        <v/>
      </c>
      <c r="AI2857" s="7" t="n"/>
      <c r="AL2857" s="11" t="n"/>
      <c r="AN2857">
        <f>IF($E2857="","",IF(COUNTIF($E$2:$E2857,$E2857)=1,1,0))</f>
        <v/>
      </c>
      <c r="AO2857">
        <f>IF($AN2857=1,SUMPRODUCT(--($AR$2:$AR$4001&lt;$AR2857))+1,"")</f>
        <v/>
      </c>
      <c r="AP2857">
        <f>IF($E2857="","",IF(OR($U2857=TRUE(),$U2857="TRUE"),1,0))</f>
        <v/>
      </c>
      <c r="AQ2857">
        <f>IF($E2857="","",IF($AA2857="Yes",1,0))</f>
        <v/>
      </c>
      <c r="AR2857">
        <f>IF($AN2857=1,IFERROR(VALUE(MID($E2857,2,20)),1000000000)+ROW()/100000,"")</f>
        <v/>
      </c>
    </row>
    <row r="2858">
      <c r="G2858" s="11" t="n"/>
      <c r="Q2858" s="7">
        <f>IF($E2858="","",P2858*Y2858/100)</f>
        <v/>
      </c>
      <c r="R2858" s="7" t="n"/>
      <c r="X2858" s="7" t="n"/>
      <c r="Y2858" s="7" t="n"/>
      <c r="AB2858">
        <f>IF($E2858="","",IF($AQ2858=1,0,IF($AP2858=1,Settings!$C$6,Settings!$C$7))*100)</f>
        <v/>
      </c>
      <c r="AC2858" s="7">
        <f>IF($E2858="","",Y2858*AB2858/100)</f>
        <v/>
      </c>
      <c r="AD2858" s="7">
        <f>IF($E2858="","",Y2858-AC2858)</f>
        <v/>
      </c>
      <c r="AE2858" s="7">
        <f>IF($E2858="","",AD2858-Q2858)</f>
        <v/>
      </c>
      <c r="AI2858" s="7" t="n"/>
      <c r="AL2858" s="11" t="n"/>
      <c r="AN2858">
        <f>IF($E2858="","",IF(COUNTIF($E$2:$E2858,$E2858)=1,1,0))</f>
        <v/>
      </c>
      <c r="AO2858">
        <f>IF($AN2858=1,SUMPRODUCT(--($AR$2:$AR$4001&lt;$AR2858))+1,"")</f>
        <v/>
      </c>
      <c r="AP2858">
        <f>IF($E2858="","",IF(OR($U2858=TRUE(),$U2858="TRUE"),1,0))</f>
        <v/>
      </c>
      <c r="AQ2858">
        <f>IF($E2858="","",IF($AA2858="Yes",1,0))</f>
        <v/>
      </c>
      <c r="AR2858">
        <f>IF($AN2858=1,IFERROR(VALUE(MID($E2858,2,20)),1000000000)+ROW()/100000,"")</f>
        <v/>
      </c>
    </row>
    <row r="2859">
      <c r="G2859" s="11" t="n"/>
      <c r="Q2859" s="7">
        <f>IF($E2859="","",P2859*Y2859/100)</f>
        <v/>
      </c>
      <c r="R2859" s="7" t="n"/>
      <c r="X2859" s="7" t="n"/>
      <c r="Y2859" s="7" t="n"/>
      <c r="AB2859">
        <f>IF($E2859="","",IF($AQ2859=1,0,IF($AP2859=1,Settings!$C$6,Settings!$C$7))*100)</f>
        <v/>
      </c>
      <c r="AC2859" s="7">
        <f>IF($E2859="","",Y2859*AB2859/100)</f>
        <v/>
      </c>
      <c r="AD2859" s="7">
        <f>IF($E2859="","",Y2859-AC2859)</f>
        <v/>
      </c>
      <c r="AE2859" s="7">
        <f>IF($E2859="","",AD2859-Q2859)</f>
        <v/>
      </c>
      <c r="AI2859" s="7" t="n"/>
      <c r="AL2859" s="11" t="n"/>
      <c r="AN2859">
        <f>IF($E2859="","",IF(COUNTIF($E$2:$E2859,$E2859)=1,1,0))</f>
        <v/>
      </c>
      <c r="AO2859">
        <f>IF($AN2859=1,SUMPRODUCT(--($AR$2:$AR$4001&lt;$AR2859))+1,"")</f>
        <v/>
      </c>
      <c r="AP2859">
        <f>IF($E2859="","",IF(OR($U2859=TRUE(),$U2859="TRUE"),1,0))</f>
        <v/>
      </c>
      <c r="AQ2859">
        <f>IF($E2859="","",IF($AA2859="Yes",1,0))</f>
        <v/>
      </c>
      <c r="AR2859">
        <f>IF($AN2859=1,IFERROR(VALUE(MID($E2859,2,20)),1000000000)+ROW()/100000,"")</f>
        <v/>
      </c>
    </row>
    <row r="2860">
      <c r="G2860" s="11" t="n"/>
      <c r="Q2860" s="7">
        <f>IF($E2860="","",P2860*Y2860/100)</f>
        <v/>
      </c>
      <c r="R2860" s="7" t="n"/>
      <c r="X2860" s="7" t="n"/>
      <c r="Y2860" s="7" t="n"/>
      <c r="AB2860">
        <f>IF($E2860="","",IF($AQ2860=1,0,IF($AP2860=1,Settings!$C$6,Settings!$C$7))*100)</f>
        <v/>
      </c>
      <c r="AC2860" s="7">
        <f>IF($E2860="","",Y2860*AB2860/100)</f>
        <v/>
      </c>
      <c r="AD2860" s="7">
        <f>IF($E2860="","",Y2860-AC2860)</f>
        <v/>
      </c>
      <c r="AE2860" s="7">
        <f>IF($E2860="","",AD2860-Q2860)</f>
        <v/>
      </c>
      <c r="AI2860" s="7" t="n"/>
      <c r="AL2860" s="11" t="n"/>
      <c r="AN2860">
        <f>IF($E2860="","",IF(COUNTIF($E$2:$E2860,$E2860)=1,1,0))</f>
        <v/>
      </c>
      <c r="AO2860">
        <f>IF($AN2860=1,SUMPRODUCT(--($AR$2:$AR$4001&lt;$AR2860))+1,"")</f>
        <v/>
      </c>
      <c r="AP2860">
        <f>IF($E2860="","",IF(OR($U2860=TRUE(),$U2860="TRUE"),1,0))</f>
        <v/>
      </c>
      <c r="AQ2860">
        <f>IF($E2860="","",IF($AA2860="Yes",1,0))</f>
        <v/>
      </c>
      <c r="AR2860">
        <f>IF($AN2860=1,IFERROR(VALUE(MID($E2860,2,20)),1000000000)+ROW()/100000,"")</f>
        <v/>
      </c>
    </row>
    <row r="2861">
      <c r="G2861" s="11" t="n"/>
      <c r="Q2861" s="7">
        <f>IF($E2861="","",P2861*Y2861/100)</f>
        <v/>
      </c>
      <c r="R2861" s="7" t="n"/>
      <c r="X2861" s="7" t="n"/>
      <c r="Y2861" s="7" t="n"/>
      <c r="AB2861">
        <f>IF($E2861="","",IF($AQ2861=1,0,IF($AP2861=1,Settings!$C$6,Settings!$C$7))*100)</f>
        <v/>
      </c>
      <c r="AC2861" s="7">
        <f>IF($E2861="","",Y2861*AB2861/100)</f>
        <v/>
      </c>
      <c r="AD2861" s="7">
        <f>IF($E2861="","",Y2861-AC2861)</f>
        <v/>
      </c>
      <c r="AE2861" s="7">
        <f>IF($E2861="","",AD2861-Q2861)</f>
        <v/>
      </c>
      <c r="AI2861" s="7" t="n"/>
      <c r="AL2861" s="11" t="n"/>
      <c r="AN2861">
        <f>IF($E2861="","",IF(COUNTIF($E$2:$E2861,$E2861)=1,1,0))</f>
        <v/>
      </c>
      <c r="AO2861">
        <f>IF($AN2861=1,SUMPRODUCT(--($AR$2:$AR$4001&lt;$AR2861))+1,"")</f>
        <v/>
      </c>
      <c r="AP2861">
        <f>IF($E2861="","",IF(OR($U2861=TRUE(),$U2861="TRUE"),1,0))</f>
        <v/>
      </c>
      <c r="AQ2861">
        <f>IF($E2861="","",IF($AA2861="Yes",1,0))</f>
        <v/>
      </c>
      <c r="AR2861">
        <f>IF($AN2861=1,IFERROR(VALUE(MID($E2861,2,20)),1000000000)+ROW()/100000,"")</f>
        <v/>
      </c>
    </row>
    <row r="2862">
      <c r="G2862" s="11" t="n"/>
      <c r="Q2862" s="7">
        <f>IF($E2862="","",P2862*Y2862/100)</f>
        <v/>
      </c>
      <c r="R2862" s="7" t="n"/>
      <c r="X2862" s="7" t="n"/>
      <c r="Y2862" s="7" t="n"/>
      <c r="AB2862">
        <f>IF($E2862="","",IF($AQ2862=1,0,IF($AP2862=1,Settings!$C$6,Settings!$C$7))*100)</f>
        <v/>
      </c>
      <c r="AC2862" s="7">
        <f>IF($E2862="","",Y2862*AB2862/100)</f>
        <v/>
      </c>
      <c r="AD2862" s="7">
        <f>IF($E2862="","",Y2862-AC2862)</f>
        <v/>
      </c>
      <c r="AE2862" s="7">
        <f>IF($E2862="","",AD2862-Q2862)</f>
        <v/>
      </c>
      <c r="AI2862" s="7" t="n"/>
      <c r="AL2862" s="11" t="n"/>
      <c r="AN2862">
        <f>IF($E2862="","",IF(COUNTIF($E$2:$E2862,$E2862)=1,1,0))</f>
        <v/>
      </c>
      <c r="AO2862">
        <f>IF($AN2862=1,SUMPRODUCT(--($AR$2:$AR$4001&lt;$AR2862))+1,"")</f>
        <v/>
      </c>
      <c r="AP2862">
        <f>IF($E2862="","",IF(OR($U2862=TRUE(),$U2862="TRUE"),1,0))</f>
        <v/>
      </c>
      <c r="AQ2862">
        <f>IF($E2862="","",IF($AA2862="Yes",1,0))</f>
        <v/>
      </c>
      <c r="AR2862">
        <f>IF($AN2862=1,IFERROR(VALUE(MID($E2862,2,20)),1000000000)+ROW()/100000,"")</f>
        <v/>
      </c>
    </row>
    <row r="2863">
      <c r="G2863" s="11" t="n"/>
      <c r="Q2863" s="7">
        <f>IF($E2863="","",P2863*Y2863/100)</f>
        <v/>
      </c>
      <c r="R2863" s="7" t="n"/>
      <c r="X2863" s="7" t="n"/>
      <c r="Y2863" s="7" t="n"/>
      <c r="AB2863">
        <f>IF($E2863="","",IF($AQ2863=1,0,IF($AP2863=1,Settings!$C$6,Settings!$C$7))*100)</f>
        <v/>
      </c>
      <c r="AC2863" s="7">
        <f>IF($E2863="","",Y2863*AB2863/100)</f>
        <v/>
      </c>
      <c r="AD2863" s="7">
        <f>IF($E2863="","",Y2863-AC2863)</f>
        <v/>
      </c>
      <c r="AE2863" s="7">
        <f>IF($E2863="","",AD2863-Q2863)</f>
        <v/>
      </c>
      <c r="AI2863" s="7" t="n"/>
      <c r="AL2863" s="11" t="n"/>
      <c r="AN2863">
        <f>IF($E2863="","",IF(COUNTIF($E$2:$E2863,$E2863)=1,1,0))</f>
        <v/>
      </c>
      <c r="AO2863">
        <f>IF($AN2863=1,SUMPRODUCT(--($AR$2:$AR$4001&lt;$AR2863))+1,"")</f>
        <v/>
      </c>
      <c r="AP2863">
        <f>IF($E2863="","",IF(OR($U2863=TRUE(),$U2863="TRUE"),1,0))</f>
        <v/>
      </c>
      <c r="AQ2863">
        <f>IF($E2863="","",IF($AA2863="Yes",1,0))</f>
        <v/>
      </c>
      <c r="AR2863">
        <f>IF($AN2863=1,IFERROR(VALUE(MID($E2863,2,20)),1000000000)+ROW()/100000,"")</f>
        <v/>
      </c>
    </row>
    <row r="2864">
      <c r="G2864" s="11" t="n"/>
      <c r="Q2864" s="7">
        <f>IF($E2864="","",P2864*Y2864/100)</f>
        <v/>
      </c>
      <c r="R2864" s="7" t="n"/>
      <c r="X2864" s="7" t="n"/>
      <c r="Y2864" s="7" t="n"/>
      <c r="AB2864">
        <f>IF($E2864="","",IF($AQ2864=1,0,IF($AP2864=1,Settings!$C$6,Settings!$C$7))*100)</f>
        <v/>
      </c>
      <c r="AC2864" s="7">
        <f>IF($E2864="","",Y2864*AB2864/100)</f>
        <v/>
      </c>
      <c r="AD2864" s="7">
        <f>IF($E2864="","",Y2864-AC2864)</f>
        <v/>
      </c>
      <c r="AE2864" s="7">
        <f>IF($E2864="","",AD2864-Q2864)</f>
        <v/>
      </c>
      <c r="AI2864" s="7" t="n"/>
      <c r="AL2864" s="11" t="n"/>
      <c r="AN2864">
        <f>IF($E2864="","",IF(COUNTIF($E$2:$E2864,$E2864)=1,1,0))</f>
        <v/>
      </c>
      <c r="AO2864">
        <f>IF($AN2864=1,SUMPRODUCT(--($AR$2:$AR$4001&lt;$AR2864))+1,"")</f>
        <v/>
      </c>
      <c r="AP2864">
        <f>IF($E2864="","",IF(OR($U2864=TRUE(),$U2864="TRUE"),1,0))</f>
        <v/>
      </c>
      <c r="AQ2864">
        <f>IF($E2864="","",IF($AA2864="Yes",1,0))</f>
        <v/>
      </c>
      <c r="AR2864">
        <f>IF($AN2864=1,IFERROR(VALUE(MID($E2864,2,20)),1000000000)+ROW()/100000,"")</f>
        <v/>
      </c>
    </row>
    <row r="2865">
      <c r="G2865" s="11" t="n"/>
      <c r="Q2865" s="7">
        <f>IF($E2865="","",P2865*Y2865/100)</f>
        <v/>
      </c>
      <c r="R2865" s="7" t="n"/>
      <c r="X2865" s="7" t="n"/>
      <c r="Y2865" s="7" t="n"/>
      <c r="AB2865">
        <f>IF($E2865="","",IF($AQ2865=1,0,IF($AP2865=1,Settings!$C$6,Settings!$C$7))*100)</f>
        <v/>
      </c>
      <c r="AC2865" s="7">
        <f>IF($E2865="","",Y2865*AB2865/100)</f>
        <v/>
      </c>
      <c r="AD2865" s="7">
        <f>IF($E2865="","",Y2865-AC2865)</f>
        <v/>
      </c>
      <c r="AE2865" s="7">
        <f>IF($E2865="","",AD2865-Q2865)</f>
        <v/>
      </c>
      <c r="AI2865" s="7" t="n"/>
      <c r="AL2865" s="11" t="n"/>
      <c r="AN2865">
        <f>IF($E2865="","",IF(COUNTIF($E$2:$E2865,$E2865)=1,1,0))</f>
        <v/>
      </c>
      <c r="AO2865">
        <f>IF($AN2865=1,SUMPRODUCT(--($AR$2:$AR$4001&lt;$AR2865))+1,"")</f>
        <v/>
      </c>
      <c r="AP2865">
        <f>IF($E2865="","",IF(OR($U2865=TRUE(),$U2865="TRUE"),1,0))</f>
        <v/>
      </c>
      <c r="AQ2865">
        <f>IF($E2865="","",IF($AA2865="Yes",1,0))</f>
        <v/>
      </c>
      <c r="AR2865">
        <f>IF($AN2865=1,IFERROR(VALUE(MID($E2865,2,20)),1000000000)+ROW()/100000,"")</f>
        <v/>
      </c>
    </row>
    <row r="2866">
      <c r="G2866" s="11" t="n"/>
      <c r="Q2866" s="7">
        <f>IF($E2866="","",P2866*Y2866/100)</f>
        <v/>
      </c>
      <c r="R2866" s="7" t="n"/>
      <c r="X2866" s="7" t="n"/>
      <c r="Y2866" s="7" t="n"/>
      <c r="AB2866">
        <f>IF($E2866="","",IF($AQ2866=1,0,IF($AP2866=1,Settings!$C$6,Settings!$C$7))*100)</f>
        <v/>
      </c>
      <c r="AC2866" s="7">
        <f>IF($E2866="","",Y2866*AB2866/100)</f>
        <v/>
      </c>
      <c r="AD2866" s="7">
        <f>IF($E2866="","",Y2866-AC2866)</f>
        <v/>
      </c>
      <c r="AE2866" s="7">
        <f>IF($E2866="","",AD2866-Q2866)</f>
        <v/>
      </c>
      <c r="AI2866" s="7" t="n"/>
      <c r="AL2866" s="11" t="n"/>
      <c r="AN2866">
        <f>IF($E2866="","",IF(COUNTIF($E$2:$E2866,$E2866)=1,1,0))</f>
        <v/>
      </c>
      <c r="AO2866">
        <f>IF($AN2866=1,SUMPRODUCT(--($AR$2:$AR$4001&lt;$AR2866))+1,"")</f>
        <v/>
      </c>
      <c r="AP2866">
        <f>IF($E2866="","",IF(OR($U2866=TRUE(),$U2866="TRUE"),1,0))</f>
        <v/>
      </c>
      <c r="AQ2866">
        <f>IF($E2866="","",IF($AA2866="Yes",1,0))</f>
        <v/>
      </c>
      <c r="AR2866">
        <f>IF($AN2866=1,IFERROR(VALUE(MID($E2866,2,20)),1000000000)+ROW()/100000,"")</f>
        <v/>
      </c>
    </row>
    <row r="2867">
      <c r="G2867" s="11" t="n"/>
      <c r="Q2867" s="7">
        <f>IF($E2867="","",P2867*Y2867/100)</f>
        <v/>
      </c>
      <c r="R2867" s="7" t="n"/>
      <c r="X2867" s="7" t="n"/>
      <c r="Y2867" s="7" t="n"/>
      <c r="AB2867">
        <f>IF($E2867="","",IF($AQ2867=1,0,IF($AP2867=1,Settings!$C$6,Settings!$C$7))*100)</f>
        <v/>
      </c>
      <c r="AC2867" s="7">
        <f>IF($E2867="","",Y2867*AB2867/100)</f>
        <v/>
      </c>
      <c r="AD2867" s="7">
        <f>IF($E2867="","",Y2867-AC2867)</f>
        <v/>
      </c>
      <c r="AE2867" s="7">
        <f>IF($E2867="","",AD2867-Q2867)</f>
        <v/>
      </c>
      <c r="AI2867" s="7" t="n"/>
      <c r="AL2867" s="11" t="n"/>
      <c r="AN2867">
        <f>IF($E2867="","",IF(COUNTIF($E$2:$E2867,$E2867)=1,1,0))</f>
        <v/>
      </c>
      <c r="AO2867">
        <f>IF($AN2867=1,SUMPRODUCT(--($AR$2:$AR$4001&lt;$AR2867))+1,"")</f>
        <v/>
      </c>
      <c r="AP2867">
        <f>IF($E2867="","",IF(OR($U2867=TRUE(),$U2867="TRUE"),1,0))</f>
        <v/>
      </c>
      <c r="AQ2867">
        <f>IF($E2867="","",IF($AA2867="Yes",1,0))</f>
        <v/>
      </c>
      <c r="AR2867">
        <f>IF($AN2867=1,IFERROR(VALUE(MID($E2867,2,20)),1000000000)+ROW()/100000,"")</f>
        <v/>
      </c>
    </row>
    <row r="2868">
      <c r="G2868" s="11" t="n"/>
      <c r="Q2868" s="7">
        <f>IF($E2868="","",P2868*Y2868/100)</f>
        <v/>
      </c>
      <c r="R2868" s="7" t="n"/>
      <c r="X2868" s="7" t="n"/>
      <c r="Y2868" s="7" t="n"/>
      <c r="AB2868">
        <f>IF($E2868="","",IF($AQ2868=1,0,IF($AP2868=1,Settings!$C$6,Settings!$C$7))*100)</f>
        <v/>
      </c>
      <c r="AC2868" s="7">
        <f>IF($E2868="","",Y2868*AB2868/100)</f>
        <v/>
      </c>
      <c r="AD2868" s="7">
        <f>IF($E2868="","",Y2868-AC2868)</f>
        <v/>
      </c>
      <c r="AE2868" s="7">
        <f>IF($E2868="","",AD2868-Q2868)</f>
        <v/>
      </c>
      <c r="AI2868" s="7" t="n"/>
      <c r="AL2868" s="11" t="n"/>
      <c r="AN2868">
        <f>IF($E2868="","",IF(COUNTIF($E$2:$E2868,$E2868)=1,1,0))</f>
        <v/>
      </c>
      <c r="AO2868">
        <f>IF($AN2868=1,SUMPRODUCT(--($AR$2:$AR$4001&lt;$AR2868))+1,"")</f>
        <v/>
      </c>
      <c r="AP2868">
        <f>IF($E2868="","",IF(OR($U2868=TRUE(),$U2868="TRUE"),1,0))</f>
        <v/>
      </c>
      <c r="AQ2868">
        <f>IF($E2868="","",IF($AA2868="Yes",1,0))</f>
        <v/>
      </c>
      <c r="AR2868">
        <f>IF($AN2868=1,IFERROR(VALUE(MID($E2868,2,20)),1000000000)+ROW()/100000,"")</f>
        <v/>
      </c>
    </row>
    <row r="2869">
      <c r="G2869" s="11" t="n"/>
      <c r="Q2869" s="7">
        <f>IF($E2869="","",P2869*Y2869/100)</f>
        <v/>
      </c>
      <c r="R2869" s="7" t="n"/>
      <c r="X2869" s="7" t="n"/>
      <c r="Y2869" s="7" t="n"/>
      <c r="AB2869">
        <f>IF($E2869="","",IF($AQ2869=1,0,IF($AP2869=1,Settings!$C$6,Settings!$C$7))*100)</f>
        <v/>
      </c>
      <c r="AC2869" s="7">
        <f>IF($E2869="","",Y2869*AB2869/100)</f>
        <v/>
      </c>
      <c r="AD2869" s="7">
        <f>IF($E2869="","",Y2869-AC2869)</f>
        <v/>
      </c>
      <c r="AE2869" s="7">
        <f>IF($E2869="","",AD2869-Q2869)</f>
        <v/>
      </c>
      <c r="AI2869" s="7" t="n"/>
      <c r="AL2869" s="11" t="n"/>
      <c r="AN2869">
        <f>IF($E2869="","",IF(COUNTIF($E$2:$E2869,$E2869)=1,1,0))</f>
        <v/>
      </c>
      <c r="AO2869">
        <f>IF($AN2869=1,SUMPRODUCT(--($AR$2:$AR$4001&lt;$AR2869))+1,"")</f>
        <v/>
      </c>
      <c r="AP2869">
        <f>IF($E2869="","",IF(OR($U2869=TRUE(),$U2869="TRUE"),1,0))</f>
        <v/>
      </c>
      <c r="AQ2869">
        <f>IF($E2869="","",IF($AA2869="Yes",1,0))</f>
        <v/>
      </c>
      <c r="AR2869">
        <f>IF($AN2869=1,IFERROR(VALUE(MID($E2869,2,20)),1000000000)+ROW()/100000,"")</f>
        <v/>
      </c>
    </row>
    <row r="2870">
      <c r="G2870" s="11" t="n"/>
      <c r="Q2870" s="7">
        <f>IF($E2870="","",P2870*Y2870/100)</f>
        <v/>
      </c>
      <c r="R2870" s="7" t="n"/>
      <c r="X2870" s="7" t="n"/>
      <c r="Y2870" s="7" t="n"/>
      <c r="AB2870">
        <f>IF($E2870="","",IF($AQ2870=1,0,IF($AP2870=1,Settings!$C$6,Settings!$C$7))*100)</f>
        <v/>
      </c>
      <c r="AC2870" s="7">
        <f>IF($E2870="","",Y2870*AB2870/100)</f>
        <v/>
      </c>
      <c r="AD2870" s="7">
        <f>IF($E2870="","",Y2870-AC2870)</f>
        <v/>
      </c>
      <c r="AE2870" s="7">
        <f>IF($E2870="","",AD2870-Q2870)</f>
        <v/>
      </c>
      <c r="AI2870" s="7" t="n"/>
      <c r="AL2870" s="11" t="n"/>
      <c r="AN2870">
        <f>IF($E2870="","",IF(COUNTIF($E$2:$E2870,$E2870)=1,1,0))</f>
        <v/>
      </c>
      <c r="AO2870">
        <f>IF($AN2870=1,SUMPRODUCT(--($AR$2:$AR$4001&lt;$AR2870))+1,"")</f>
        <v/>
      </c>
      <c r="AP2870">
        <f>IF($E2870="","",IF(OR($U2870=TRUE(),$U2870="TRUE"),1,0))</f>
        <v/>
      </c>
      <c r="AQ2870">
        <f>IF($E2870="","",IF($AA2870="Yes",1,0))</f>
        <v/>
      </c>
      <c r="AR2870">
        <f>IF($AN2870=1,IFERROR(VALUE(MID($E2870,2,20)),1000000000)+ROW()/100000,"")</f>
        <v/>
      </c>
    </row>
    <row r="2871">
      <c r="G2871" s="11" t="n"/>
      <c r="Q2871" s="7">
        <f>IF($E2871="","",P2871*Y2871/100)</f>
        <v/>
      </c>
      <c r="R2871" s="7" t="n"/>
      <c r="X2871" s="7" t="n"/>
      <c r="Y2871" s="7" t="n"/>
      <c r="AB2871">
        <f>IF($E2871="","",IF($AQ2871=1,0,IF($AP2871=1,Settings!$C$6,Settings!$C$7))*100)</f>
        <v/>
      </c>
      <c r="AC2871" s="7">
        <f>IF($E2871="","",Y2871*AB2871/100)</f>
        <v/>
      </c>
      <c r="AD2871" s="7">
        <f>IF($E2871="","",Y2871-AC2871)</f>
        <v/>
      </c>
      <c r="AE2871" s="7">
        <f>IF($E2871="","",AD2871-Q2871)</f>
        <v/>
      </c>
      <c r="AI2871" s="7" t="n"/>
      <c r="AL2871" s="11" t="n"/>
      <c r="AN2871">
        <f>IF($E2871="","",IF(COUNTIF($E$2:$E2871,$E2871)=1,1,0))</f>
        <v/>
      </c>
      <c r="AO2871">
        <f>IF($AN2871=1,SUMPRODUCT(--($AR$2:$AR$4001&lt;$AR2871))+1,"")</f>
        <v/>
      </c>
      <c r="AP2871">
        <f>IF($E2871="","",IF(OR($U2871=TRUE(),$U2871="TRUE"),1,0))</f>
        <v/>
      </c>
      <c r="AQ2871">
        <f>IF($E2871="","",IF($AA2871="Yes",1,0))</f>
        <v/>
      </c>
      <c r="AR2871">
        <f>IF($AN2871=1,IFERROR(VALUE(MID($E2871,2,20)),1000000000)+ROW()/100000,"")</f>
        <v/>
      </c>
    </row>
    <row r="2872">
      <c r="G2872" s="11" t="n"/>
      <c r="Q2872" s="7">
        <f>IF($E2872="","",P2872*Y2872/100)</f>
        <v/>
      </c>
      <c r="R2872" s="7" t="n"/>
      <c r="X2872" s="7" t="n"/>
      <c r="Y2872" s="7" t="n"/>
      <c r="AB2872">
        <f>IF($E2872="","",IF($AQ2872=1,0,IF($AP2872=1,Settings!$C$6,Settings!$C$7))*100)</f>
        <v/>
      </c>
      <c r="AC2872" s="7">
        <f>IF($E2872="","",Y2872*AB2872/100)</f>
        <v/>
      </c>
      <c r="AD2872" s="7">
        <f>IF($E2872="","",Y2872-AC2872)</f>
        <v/>
      </c>
      <c r="AE2872" s="7">
        <f>IF($E2872="","",AD2872-Q2872)</f>
        <v/>
      </c>
      <c r="AI2872" s="7" t="n"/>
      <c r="AL2872" s="11" t="n"/>
      <c r="AN2872">
        <f>IF($E2872="","",IF(COUNTIF($E$2:$E2872,$E2872)=1,1,0))</f>
        <v/>
      </c>
      <c r="AO2872">
        <f>IF($AN2872=1,SUMPRODUCT(--($AR$2:$AR$4001&lt;$AR2872))+1,"")</f>
        <v/>
      </c>
      <c r="AP2872">
        <f>IF($E2872="","",IF(OR($U2872=TRUE(),$U2872="TRUE"),1,0))</f>
        <v/>
      </c>
      <c r="AQ2872">
        <f>IF($E2872="","",IF($AA2872="Yes",1,0))</f>
        <v/>
      </c>
      <c r="AR2872">
        <f>IF($AN2872=1,IFERROR(VALUE(MID($E2872,2,20)),1000000000)+ROW()/100000,"")</f>
        <v/>
      </c>
    </row>
    <row r="2873">
      <c r="G2873" s="11" t="n"/>
      <c r="Q2873" s="7">
        <f>IF($E2873="","",P2873*Y2873/100)</f>
        <v/>
      </c>
      <c r="R2873" s="7" t="n"/>
      <c r="X2873" s="7" t="n"/>
      <c r="Y2873" s="7" t="n"/>
      <c r="AB2873">
        <f>IF($E2873="","",IF($AQ2873=1,0,IF($AP2873=1,Settings!$C$6,Settings!$C$7))*100)</f>
        <v/>
      </c>
      <c r="AC2873" s="7">
        <f>IF($E2873="","",Y2873*AB2873/100)</f>
        <v/>
      </c>
      <c r="AD2873" s="7">
        <f>IF($E2873="","",Y2873-AC2873)</f>
        <v/>
      </c>
      <c r="AE2873" s="7">
        <f>IF($E2873="","",AD2873-Q2873)</f>
        <v/>
      </c>
      <c r="AI2873" s="7" t="n"/>
      <c r="AL2873" s="11" t="n"/>
      <c r="AN2873">
        <f>IF($E2873="","",IF(COUNTIF($E$2:$E2873,$E2873)=1,1,0))</f>
        <v/>
      </c>
      <c r="AO2873">
        <f>IF($AN2873=1,SUMPRODUCT(--($AR$2:$AR$4001&lt;$AR2873))+1,"")</f>
        <v/>
      </c>
      <c r="AP2873">
        <f>IF($E2873="","",IF(OR($U2873=TRUE(),$U2873="TRUE"),1,0))</f>
        <v/>
      </c>
      <c r="AQ2873">
        <f>IF($E2873="","",IF($AA2873="Yes",1,0))</f>
        <v/>
      </c>
      <c r="AR2873">
        <f>IF($AN2873=1,IFERROR(VALUE(MID($E2873,2,20)),1000000000)+ROW()/100000,"")</f>
        <v/>
      </c>
    </row>
    <row r="2874">
      <c r="G2874" s="11" t="n"/>
      <c r="Q2874" s="7">
        <f>IF($E2874="","",P2874*Y2874/100)</f>
        <v/>
      </c>
      <c r="R2874" s="7" t="n"/>
      <c r="X2874" s="7" t="n"/>
      <c r="Y2874" s="7" t="n"/>
      <c r="AB2874">
        <f>IF($E2874="","",IF($AQ2874=1,0,IF($AP2874=1,Settings!$C$6,Settings!$C$7))*100)</f>
        <v/>
      </c>
      <c r="AC2874" s="7">
        <f>IF($E2874="","",Y2874*AB2874/100)</f>
        <v/>
      </c>
      <c r="AD2874" s="7">
        <f>IF($E2874="","",Y2874-AC2874)</f>
        <v/>
      </c>
      <c r="AE2874" s="7">
        <f>IF($E2874="","",AD2874-Q2874)</f>
        <v/>
      </c>
      <c r="AI2874" s="7" t="n"/>
      <c r="AL2874" s="11" t="n"/>
      <c r="AN2874">
        <f>IF($E2874="","",IF(COUNTIF($E$2:$E2874,$E2874)=1,1,0))</f>
        <v/>
      </c>
      <c r="AO2874">
        <f>IF($AN2874=1,SUMPRODUCT(--($AR$2:$AR$4001&lt;$AR2874))+1,"")</f>
        <v/>
      </c>
      <c r="AP2874">
        <f>IF($E2874="","",IF(OR($U2874=TRUE(),$U2874="TRUE"),1,0))</f>
        <v/>
      </c>
      <c r="AQ2874">
        <f>IF($E2874="","",IF($AA2874="Yes",1,0))</f>
        <v/>
      </c>
      <c r="AR2874">
        <f>IF($AN2874=1,IFERROR(VALUE(MID($E2874,2,20)),1000000000)+ROW()/100000,"")</f>
        <v/>
      </c>
    </row>
    <row r="2875">
      <c r="G2875" s="11" t="n"/>
      <c r="Q2875" s="7">
        <f>IF($E2875="","",P2875*Y2875/100)</f>
        <v/>
      </c>
      <c r="R2875" s="7" t="n"/>
      <c r="X2875" s="7" t="n"/>
      <c r="Y2875" s="7" t="n"/>
      <c r="AB2875">
        <f>IF($E2875="","",IF($AQ2875=1,0,IF($AP2875=1,Settings!$C$6,Settings!$C$7))*100)</f>
        <v/>
      </c>
      <c r="AC2875" s="7">
        <f>IF($E2875="","",Y2875*AB2875/100)</f>
        <v/>
      </c>
      <c r="AD2875" s="7">
        <f>IF($E2875="","",Y2875-AC2875)</f>
        <v/>
      </c>
      <c r="AE2875" s="7">
        <f>IF($E2875="","",AD2875-Q2875)</f>
        <v/>
      </c>
      <c r="AI2875" s="7" t="n"/>
      <c r="AL2875" s="11" t="n"/>
      <c r="AN2875">
        <f>IF($E2875="","",IF(COUNTIF($E$2:$E2875,$E2875)=1,1,0))</f>
        <v/>
      </c>
      <c r="AO2875">
        <f>IF($AN2875=1,SUMPRODUCT(--($AR$2:$AR$4001&lt;$AR2875))+1,"")</f>
        <v/>
      </c>
      <c r="AP2875">
        <f>IF($E2875="","",IF(OR($U2875=TRUE(),$U2875="TRUE"),1,0))</f>
        <v/>
      </c>
      <c r="AQ2875">
        <f>IF($E2875="","",IF($AA2875="Yes",1,0))</f>
        <v/>
      </c>
      <c r="AR2875">
        <f>IF($AN2875=1,IFERROR(VALUE(MID($E2875,2,20)),1000000000)+ROW()/100000,"")</f>
        <v/>
      </c>
    </row>
    <row r="2876">
      <c r="G2876" s="11" t="n"/>
      <c r="Q2876" s="7">
        <f>IF($E2876="","",P2876*Y2876/100)</f>
        <v/>
      </c>
      <c r="R2876" s="7" t="n"/>
      <c r="X2876" s="7" t="n"/>
      <c r="Y2876" s="7" t="n"/>
      <c r="AB2876">
        <f>IF($E2876="","",IF($AQ2876=1,0,IF($AP2876=1,Settings!$C$6,Settings!$C$7))*100)</f>
        <v/>
      </c>
      <c r="AC2876" s="7">
        <f>IF($E2876="","",Y2876*AB2876/100)</f>
        <v/>
      </c>
      <c r="AD2876" s="7">
        <f>IF($E2876="","",Y2876-AC2876)</f>
        <v/>
      </c>
      <c r="AE2876" s="7">
        <f>IF($E2876="","",AD2876-Q2876)</f>
        <v/>
      </c>
      <c r="AI2876" s="7" t="n"/>
      <c r="AL2876" s="11" t="n"/>
      <c r="AN2876">
        <f>IF($E2876="","",IF(COUNTIF($E$2:$E2876,$E2876)=1,1,0))</f>
        <v/>
      </c>
      <c r="AO2876">
        <f>IF($AN2876=1,SUMPRODUCT(--($AR$2:$AR$4001&lt;$AR2876))+1,"")</f>
        <v/>
      </c>
      <c r="AP2876">
        <f>IF($E2876="","",IF(OR($U2876=TRUE(),$U2876="TRUE"),1,0))</f>
        <v/>
      </c>
      <c r="AQ2876">
        <f>IF($E2876="","",IF($AA2876="Yes",1,0))</f>
        <v/>
      </c>
      <c r="AR2876">
        <f>IF($AN2876=1,IFERROR(VALUE(MID($E2876,2,20)),1000000000)+ROW()/100000,"")</f>
        <v/>
      </c>
    </row>
    <row r="2877">
      <c r="G2877" s="11" t="n"/>
      <c r="Q2877" s="7">
        <f>IF($E2877="","",P2877*Y2877/100)</f>
        <v/>
      </c>
      <c r="R2877" s="7" t="n"/>
      <c r="X2877" s="7" t="n"/>
      <c r="Y2877" s="7" t="n"/>
      <c r="AB2877">
        <f>IF($E2877="","",IF($AQ2877=1,0,IF($AP2877=1,Settings!$C$6,Settings!$C$7))*100)</f>
        <v/>
      </c>
      <c r="AC2877" s="7">
        <f>IF($E2877="","",Y2877*AB2877/100)</f>
        <v/>
      </c>
      <c r="AD2877" s="7">
        <f>IF($E2877="","",Y2877-AC2877)</f>
        <v/>
      </c>
      <c r="AE2877" s="7">
        <f>IF($E2877="","",AD2877-Q2877)</f>
        <v/>
      </c>
      <c r="AI2877" s="7" t="n"/>
      <c r="AL2877" s="11" t="n"/>
      <c r="AN2877">
        <f>IF($E2877="","",IF(COUNTIF($E$2:$E2877,$E2877)=1,1,0))</f>
        <v/>
      </c>
      <c r="AO2877">
        <f>IF($AN2877=1,SUMPRODUCT(--($AR$2:$AR$4001&lt;$AR2877))+1,"")</f>
        <v/>
      </c>
      <c r="AP2877">
        <f>IF($E2877="","",IF(OR($U2877=TRUE(),$U2877="TRUE"),1,0))</f>
        <v/>
      </c>
      <c r="AQ2877">
        <f>IF($E2877="","",IF($AA2877="Yes",1,0))</f>
        <v/>
      </c>
      <c r="AR2877">
        <f>IF($AN2877=1,IFERROR(VALUE(MID($E2877,2,20)),1000000000)+ROW()/100000,"")</f>
        <v/>
      </c>
    </row>
    <row r="2878">
      <c r="G2878" s="11" t="n"/>
      <c r="Q2878" s="7">
        <f>IF($E2878="","",P2878*Y2878/100)</f>
        <v/>
      </c>
      <c r="R2878" s="7" t="n"/>
      <c r="X2878" s="7" t="n"/>
      <c r="Y2878" s="7" t="n"/>
      <c r="AB2878">
        <f>IF($E2878="","",IF($AQ2878=1,0,IF($AP2878=1,Settings!$C$6,Settings!$C$7))*100)</f>
        <v/>
      </c>
      <c r="AC2878" s="7">
        <f>IF($E2878="","",Y2878*AB2878/100)</f>
        <v/>
      </c>
      <c r="AD2878" s="7">
        <f>IF($E2878="","",Y2878-AC2878)</f>
        <v/>
      </c>
      <c r="AE2878" s="7">
        <f>IF($E2878="","",AD2878-Q2878)</f>
        <v/>
      </c>
      <c r="AI2878" s="7" t="n"/>
      <c r="AL2878" s="11" t="n"/>
      <c r="AN2878">
        <f>IF($E2878="","",IF(COUNTIF($E$2:$E2878,$E2878)=1,1,0))</f>
        <v/>
      </c>
      <c r="AO2878">
        <f>IF($AN2878=1,SUMPRODUCT(--($AR$2:$AR$4001&lt;$AR2878))+1,"")</f>
        <v/>
      </c>
      <c r="AP2878">
        <f>IF($E2878="","",IF(OR($U2878=TRUE(),$U2878="TRUE"),1,0))</f>
        <v/>
      </c>
      <c r="AQ2878">
        <f>IF($E2878="","",IF($AA2878="Yes",1,0))</f>
        <v/>
      </c>
      <c r="AR2878">
        <f>IF($AN2878=1,IFERROR(VALUE(MID($E2878,2,20)),1000000000)+ROW()/100000,"")</f>
        <v/>
      </c>
    </row>
    <row r="2879">
      <c r="G2879" s="11" t="n"/>
      <c r="Q2879" s="7">
        <f>IF($E2879="","",P2879*Y2879/100)</f>
        <v/>
      </c>
      <c r="R2879" s="7" t="n"/>
      <c r="X2879" s="7" t="n"/>
      <c r="Y2879" s="7" t="n"/>
      <c r="AB2879">
        <f>IF($E2879="","",IF($AQ2879=1,0,IF($AP2879=1,Settings!$C$6,Settings!$C$7))*100)</f>
        <v/>
      </c>
      <c r="AC2879" s="7">
        <f>IF($E2879="","",Y2879*AB2879/100)</f>
        <v/>
      </c>
      <c r="AD2879" s="7">
        <f>IF($E2879="","",Y2879-AC2879)</f>
        <v/>
      </c>
      <c r="AE2879" s="7">
        <f>IF($E2879="","",AD2879-Q2879)</f>
        <v/>
      </c>
      <c r="AI2879" s="7" t="n"/>
      <c r="AL2879" s="11" t="n"/>
      <c r="AN2879">
        <f>IF($E2879="","",IF(COUNTIF($E$2:$E2879,$E2879)=1,1,0))</f>
        <v/>
      </c>
      <c r="AO2879">
        <f>IF($AN2879=1,SUMPRODUCT(--($AR$2:$AR$4001&lt;$AR2879))+1,"")</f>
        <v/>
      </c>
      <c r="AP2879">
        <f>IF($E2879="","",IF(OR($U2879=TRUE(),$U2879="TRUE"),1,0))</f>
        <v/>
      </c>
      <c r="AQ2879">
        <f>IF($E2879="","",IF($AA2879="Yes",1,0))</f>
        <v/>
      </c>
      <c r="AR2879">
        <f>IF($AN2879=1,IFERROR(VALUE(MID($E2879,2,20)),1000000000)+ROW()/100000,"")</f>
        <v/>
      </c>
    </row>
    <row r="2880">
      <c r="G2880" s="11" t="n"/>
      <c r="Q2880" s="7">
        <f>IF($E2880="","",P2880*Y2880/100)</f>
        <v/>
      </c>
      <c r="R2880" s="7" t="n"/>
      <c r="X2880" s="7" t="n"/>
      <c r="Y2880" s="7" t="n"/>
      <c r="AB2880">
        <f>IF($E2880="","",IF($AQ2880=1,0,IF($AP2880=1,Settings!$C$6,Settings!$C$7))*100)</f>
        <v/>
      </c>
      <c r="AC2880" s="7">
        <f>IF($E2880="","",Y2880*AB2880/100)</f>
        <v/>
      </c>
      <c r="AD2880" s="7">
        <f>IF($E2880="","",Y2880-AC2880)</f>
        <v/>
      </c>
      <c r="AE2880" s="7">
        <f>IF($E2880="","",AD2880-Q2880)</f>
        <v/>
      </c>
      <c r="AI2880" s="7" t="n"/>
      <c r="AL2880" s="11" t="n"/>
      <c r="AN2880">
        <f>IF($E2880="","",IF(COUNTIF($E$2:$E2880,$E2880)=1,1,0))</f>
        <v/>
      </c>
      <c r="AO2880">
        <f>IF($AN2880=1,SUMPRODUCT(--($AR$2:$AR$4001&lt;$AR2880))+1,"")</f>
        <v/>
      </c>
      <c r="AP2880">
        <f>IF($E2880="","",IF(OR($U2880=TRUE(),$U2880="TRUE"),1,0))</f>
        <v/>
      </c>
      <c r="AQ2880">
        <f>IF($E2880="","",IF($AA2880="Yes",1,0))</f>
        <v/>
      </c>
      <c r="AR2880">
        <f>IF($AN2880=1,IFERROR(VALUE(MID($E2880,2,20)),1000000000)+ROW()/100000,"")</f>
        <v/>
      </c>
    </row>
    <row r="2881">
      <c r="G2881" s="11" t="n"/>
      <c r="Q2881" s="7">
        <f>IF($E2881="","",P2881*Y2881/100)</f>
        <v/>
      </c>
      <c r="R2881" s="7" t="n"/>
      <c r="X2881" s="7" t="n"/>
      <c r="Y2881" s="7" t="n"/>
      <c r="AB2881">
        <f>IF($E2881="","",IF($AQ2881=1,0,IF($AP2881=1,Settings!$C$6,Settings!$C$7))*100)</f>
        <v/>
      </c>
      <c r="AC2881" s="7">
        <f>IF($E2881="","",Y2881*AB2881/100)</f>
        <v/>
      </c>
      <c r="AD2881" s="7">
        <f>IF($E2881="","",Y2881-AC2881)</f>
        <v/>
      </c>
      <c r="AE2881" s="7">
        <f>IF($E2881="","",AD2881-Q2881)</f>
        <v/>
      </c>
      <c r="AI2881" s="7" t="n"/>
      <c r="AL2881" s="11" t="n"/>
      <c r="AN2881">
        <f>IF($E2881="","",IF(COUNTIF($E$2:$E2881,$E2881)=1,1,0))</f>
        <v/>
      </c>
      <c r="AO2881">
        <f>IF($AN2881=1,SUMPRODUCT(--($AR$2:$AR$4001&lt;$AR2881))+1,"")</f>
        <v/>
      </c>
      <c r="AP2881">
        <f>IF($E2881="","",IF(OR($U2881=TRUE(),$U2881="TRUE"),1,0))</f>
        <v/>
      </c>
      <c r="AQ2881">
        <f>IF($E2881="","",IF($AA2881="Yes",1,0))</f>
        <v/>
      </c>
      <c r="AR2881">
        <f>IF($AN2881=1,IFERROR(VALUE(MID($E2881,2,20)),1000000000)+ROW()/100000,"")</f>
        <v/>
      </c>
    </row>
    <row r="2882">
      <c r="G2882" s="11" t="n"/>
      <c r="Q2882" s="7">
        <f>IF($E2882="","",P2882*Y2882/100)</f>
        <v/>
      </c>
      <c r="R2882" s="7" t="n"/>
      <c r="X2882" s="7" t="n"/>
      <c r="Y2882" s="7" t="n"/>
      <c r="AB2882">
        <f>IF($E2882="","",IF($AQ2882=1,0,IF($AP2882=1,Settings!$C$6,Settings!$C$7))*100)</f>
        <v/>
      </c>
      <c r="AC2882" s="7">
        <f>IF($E2882="","",Y2882*AB2882/100)</f>
        <v/>
      </c>
      <c r="AD2882" s="7">
        <f>IF($E2882="","",Y2882-AC2882)</f>
        <v/>
      </c>
      <c r="AE2882" s="7">
        <f>IF($E2882="","",AD2882-Q2882)</f>
        <v/>
      </c>
      <c r="AI2882" s="7" t="n"/>
      <c r="AL2882" s="11" t="n"/>
      <c r="AN2882">
        <f>IF($E2882="","",IF(COUNTIF($E$2:$E2882,$E2882)=1,1,0))</f>
        <v/>
      </c>
      <c r="AO2882">
        <f>IF($AN2882=1,SUMPRODUCT(--($AR$2:$AR$4001&lt;$AR2882))+1,"")</f>
        <v/>
      </c>
      <c r="AP2882">
        <f>IF($E2882="","",IF(OR($U2882=TRUE(),$U2882="TRUE"),1,0))</f>
        <v/>
      </c>
      <c r="AQ2882">
        <f>IF($E2882="","",IF($AA2882="Yes",1,0))</f>
        <v/>
      </c>
      <c r="AR2882">
        <f>IF($AN2882=1,IFERROR(VALUE(MID($E2882,2,20)),1000000000)+ROW()/100000,"")</f>
        <v/>
      </c>
    </row>
    <row r="2883">
      <c r="G2883" s="11" t="n"/>
      <c r="Q2883" s="7">
        <f>IF($E2883="","",P2883*Y2883/100)</f>
        <v/>
      </c>
      <c r="R2883" s="7" t="n"/>
      <c r="X2883" s="7" t="n"/>
      <c r="Y2883" s="7" t="n"/>
      <c r="AB2883">
        <f>IF($E2883="","",IF($AQ2883=1,0,IF($AP2883=1,Settings!$C$6,Settings!$C$7))*100)</f>
        <v/>
      </c>
      <c r="AC2883" s="7">
        <f>IF($E2883="","",Y2883*AB2883/100)</f>
        <v/>
      </c>
      <c r="AD2883" s="7">
        <f>IF($E2883="","",Y2883-AC2883)</f>
        <v/>
      </c>
      <c r="AE2883" s="7">
        <f>IF($E2883="","",AD2883-Q2883)</f>
        <v/>
      </c>
      <c r="AI2883" s="7" t="n"/>
      <c r="AL2883" s="11" t="n"/>
      <c r="AN2883">
        <f>IF($E2883="","",IF(COUNTIF($E$2:$E2883,$E2883)=1,1,0))</f>
        <v/>
      </c>
      <c r="AO2883">
        <f>IF($AN2883=1,SUMPRODUCT(--($AR$2:$AR$4001&lt;$AR2883))+1,"")</f>
        <v/>
      </c>
      <c r="AP2883">
        <f>IF($E2883="","",IF(OR($U2883=TRUE(),$U2883="TRUE"),1,0))</f>
        <v/>
      </c>
      <c r="AQ2883">
        <f>IF($E2883="","",IF($AA2883="Yes",1,0))</f>
        <v/>
      </c>
      <c r="AR2883">
        <f>IF($AN2883=1,IFERROR(VALUE(MID($E2883,2,20)),1000000000)+ROW()/100000,"")</f>
        <v/>
      </c>
    </row>
    <row r="2884">
      <c r="G2884" s="11" t="n"/>
      <c r="Q2884" s="7">
        <f>IF($E2884="","",P2884*Y2884/100)</f>
        <v/>
      </c>
      <c r="R2884" s="7" t="n"/>
      <c r="X2884" s="7" t="n"/>
      <c r="Y2884" s="7" t="n"/>
      <c r="AB2884">
        <f>IF($E2884="","",IF($AQ2884=1,0,IF($AP2884=1,Settings!$C$6,Settings!$C$7))*100)</f>
        <v/>
      </c>
      <c r="AC2884" s="7">
        <f>IF($E2884="","",Y2884*AB2884/100)</f>
        <v/>
      </c>
      <c r="AD2884" s="7">
        <f>IF($E2884="","",Y2884-AC2884)</f>
        <v/>
      </c>
      <c r="AE2884" s="7">
        <f>IF($E2884="","",AD2884-Q2884)</f>
        <v/>
      </c>
      <c r="AI2884" s="7" t="n"/>
      <c r="AL2884" s="11" t="n"/>
      <c r="AN2884">
        <f>IF($E2884="","",IF(COUNTIF($E$2:$E2884,$E2884)=1,1,0))</f>
        <v/>
      </c>
      <c r="AO2884">
        <f>IF($AN2884=1,SUMPRODUCT(--($AR$2:$AR$4001&lt;$AR2884))+1,"")</f>
        <v/>
      </c>
      <c r="AP2884">
        <f>IF($E2884="","",IF(OR($U2884=TRUE(),$U2884="TRUE"),1,0))</f>
        <v/>
      </c>
      <c r="AQ2884">
        <f>IF($E2884="","",IF($AA2884="Yes",1,0))</f>
        <v/>
      </c>
      <c r="AR2884">
        <f>IF($AN2884=1,IFERROR(VALUE(MID($E2884,2,20)),1000000000)+ROW()/100000,"")</f>
        <v/>
      </c>
    </row>
    <row r="2885">
      <c r="G2885" s="11" t="n"/>
      <c r="Q2885" s="7">
        <f>IF($E2885="","",P2885*Y2885/100)</f>
        <v/>
      </c>
      <c r="R2885" s="7" t="n"/>
      <c r="X2885" s="7" t="n"/>
      <c r="Y2885" s="7" t="n"/>
      <c r="AB2885">
        <f>IF($E2885="","",IF($AQ2885=1,0,IF($AP2885=1,Settings!$C$6,Settings!$C$7))*100)</f>
        <v/>
      </c>
      <c r="AC2885" s="7">
        <f>IF($E2885="","",Y2885*AB2885/100)</f>
        <v/>
      </c>
      <c r="AD2885" s="7">
        <f>IF($E2885="","",Y2885-AC2885)</f>
        <v/>
      </c>
      <c r="AE2885" s="7">
        <f>IF($E2885="","",AD2885-Q2885)</f>
        <v/>
      </c>
      <c r="AI2885" s="7" t="n"/>
      <c r="AL2885" s="11" t="n"/>
      <c r="AN2885">
        <f>IF($E2885="","",IF(COUNTIF($E$2:$E2885,$E2885)=1,1,0))</f>
        <v/>
      </c>
      <c r="AO2885">
        <f>IF($AN2885=1,SUMPRODUCT(--($AR$2:$AR$4001&lt;$AR2885))+1,"")</f>
        <v/>
      </c>
      <c r="AP2885">
        <f>IF($E2885="","",IF(OR($U2885=TRUE(),$U2885="TRUE"),1,0))</f>
        <v/>
      </c>
      <c r="AQ2885">
        <f>IF($E2885="","",IF($AA2885="Yes",1,0))</f>
        <v/>
      </c>
      <c r="AR2885">
        <f>IF($AN2885=1,IFERROR(VALUE(MID($E2885,2,20)),1000000000)+ROW()/100000,"")</f>
        <v/>
      </c>
    </row>
    <row r="2886">
      <c r="G2886" s="11" t="n"/>
      <c r="Q2886" s="7">
        <f>IF($E2886="","",P2886*Y2886/100)</f>
        <v/>
      </c>
      <c r="R2886" s="7" t="n"/>
      <c r="X2886" s="7" t="n"/>
      <c r="Y2886" s="7" t="n"/>
      <c r="AB2886">
        <f>IF($E2886="","",IF($AQ2886=1,0,IF($AP2886=1,Settings!$C$6,Settings!$C$7))*100)</f>
        <v/>
      </c>
      <c r="AC2886" s="7">
        <f>IF($E2886="","",Y2886*AB2886/100)</f>
        <v/>
      </c>
      <c r="AD2886" s="7">
        <f>IF($E2886="","",Y2886-AC2886)</f>
        <v/>
      </c>
      <c r="AE2886" s="7">
        <f>IF($E2886="","",AD2886-Q2886)</f>
        <v/>
      </c>
      <c r="AI2886" s="7" t="n"/>
      <c r="AL2886" s="11" t="n"/>
      <c r="AN2886">
        <f>IF($E2886="","",IF(COUNTIF($E$2:$E2886,$E2886)=1,1,0))</f>
        <v/>
      </c>
      <c r="AO2886">
        <f>IF($AN2886=1,SUMPRODUCT(--($AR$2:$AR$4001&lt;$AR2886))+1,"")</f>
        <v/>
      </c>
      <c r="AP2886">
        <f>IF($E2886="","",IF(OR($U2886=TRUE(),$U2886="TRUE"),1,0))</f>
        <v/>
      </c>
      <c r="AQ2886">
        <f>IF($E2886="","",IF($AA2886="Yes",1,0))</f>
        <v/>
      </c>
      <c r="AR2886">
        <f>IF($AN2886=1,IFERROR(VALUE(MID($E2886,2,20)),1000000000)+ROW()/100000,"")</f>
        <v/>
      </c>
    </row>
    <row r="2887">
      <c r="G2887" s="11" t="n"/>
      <c r="Q2887" s="7">
        <f>IF($E2887="","",P2887*Y2887/100)</f>
        <v/>
      </c>
      <c r="R2887" s="7" t="n"/>
      <c r="X2887" s="7" t="n"/>
      <c r="Y2887" s="7" t="n"/>
      <c r="AB2887">
        <f>IF($E2887="","",IF($AQ2887=1,0,IF($AP2887=1,Settings!$C$6,Settings!$C$7))*100)</f>
        <v/>
      </c>
      <c r="AC2887" s="7">
        <f>IF($E2887="","",Y2887*AB2887/100)</f>
        <v/>
      </c>
      <c r="AD2887" s="7">
        <f>IF($E2887="","",Y2887-AC2887)</f>
        <v/>
      </c>
      <c r="AE2887" s="7">
        <f>IF($E2887="","",AD2887-Q2887)</f>
        <v/>
      </c>
      <c r="AI2887" s="7" t="n"/>
      <c r="AL2887" s="11" t="n"/>
      <c r="AN2887">
        <f>IF($E2887="","",IF(COUNTIF($E$2:$E2887,$E2887)=1,1,0))</f>
        <v/>
      </c>
      <c r="AO2887">
        <f>IF($AN2887=1,SUMPRODUCT(--($AR$2:$AR$4001&lt;$AR2887))+1,"")</f>
        <v/>
      </c>
      <c r="AP2887">
        <f>IF($E2887="","",IF(OR($U2887=TRUE(),$U2887="TRUE"),1,0))</f>
        <v/>
      </c>
      <c r="AQ2887">
        <f>IF($E2887="","",IF($AA2887="Yes",1,0))</f>
        <v/>
      </c>
      <c r="AR2887">
        <f>IF($AN2887=1,IFERROR(VALUE(MID($E2887,2,20)),1000000000)+ROW()/100000,"")</f>
        <v/>
      </c>
    </row>
    <row r="2888">
      <c r="G2888" s="11" t="n"/>
      <c r="Q2888" s="7">
        <f>IF($E2888="","",P2888*Y2888/100)</f>
        <v/>
      </c>
      <c r="R2888" s="7" t="n"/>
      <c r="X2888" s="7" t="n"/>
      <c r="Y2888" s="7" t="n"/>
      <c r="AB2888">
        <f>IF($E2888="","",IF($AQ2888=1,0,IF($AP2888=1,Settings!$C$6,Settings!$C$7))*100)</f>
        <v/>
      </c>
      <c r="AC2888" s="7">
        <f>IF($E2888="","",Y2888*AB2888/100)</f>
        <v/>
      </c>
      <c r="AD2888" s="7">
        <f>IF($E2888="","",Y2888-AC2888)</f>
        <v/>
      </c>
      <c r="AE2888" s="7">
        <f>IF($E2888="","",AD2888-Q2888)</f>
        <v/>
      </c>
      <c r="AI2888" s="7" t="n"/>
      <c r="AL2888" s="11" t="n"/>
      <c r="AN2888">
        <f>IF($E2888="","",IF(COUNTIF($E$2:$E2888,$E2888)=1,1,0))</f>
        <v/>
      </c>
      <c r="AO2888">
        <f>IF($AN2888=1,SUMPRODUCT(--($AR$2:$AR$4001&lt;$AR2888))+1,"")</f>
        <v/>
      </c>
      <c r="AP2888">
        <f>IF($E2888="","",IF(OR($U2888=TRUE(),$U2888="TRUE"),1,0))</f>
        <v/>
      </c>
      <c r="AQ2888">
        <f>IF($E2888="","",IF($AA2888="Yes",1,0))</f>
        <v/>
      </c>
      <c r="AR2888">
        <f>IF($AN2888=1,IFERROR(VALUE(MID($E2888,2,20)),1000000000)+ROW()/100000,"")</f>
        <v/>
      </c>
    </row>
    <row r="2889">
      <c r="G2889" s="11" t="n"/>
      <c r="Q2889" s="7">
        <f>IF($E2889="","",P2889*Y2889/100)</f>
        <v/>
      </c>
      <c r="R2889" s="7" t="n"/>
      <c r="X2889" s="7" t="n"/>
      <c r="Y2889" s="7" t="n"/>
      <c r="AB2889">
        <f>IF($E2889="","",IF($AQ2889=1,0,IF($AP2889=1,Settings!$C$6,Settings!$C$7))*100)</f>
        <v/>
      </c>
      <c r="AC2889" s="7">
        <f>IF($E2889="","",Y2889*AB2889/100)</f>
        <v/>
      </c>
      <c r="AD2889" s="7">
        <f>IF($E2889="","",Y2889-AC2889)</f>
        <v/>
      </c>
      <c r="AE2889" s="7">
        <f>IF($E2889="","",AD2889-Q2889)</f>
        <v/>
      </c>
      <c r="AI2889" s="7" t="n"/>
      <c r="AL2889" s="11" t="n"/>
      <c r="AN2889">
        <f>IF($E2889="","",IF(COUNTIF($E$2:$E2889,$E2889)=1,1,0))</f>
        <v/>
      </c>
      <c r="AO2889">
        <f>IF($AN2889=1,SUMPRODUCT(--($AR$2:$AR$4001&lt;$AR2889))+1,"")</f>
        <v/>
      </c>
      <c r="AP2889">
        <f>IF($E2889="","",IF(OR($U2889=TRUE(),$U2889="TRUE"),1,0))</f>
        <v/>
      </c>
      <c r="AQ2889">
        <f>IF($E2889="","",IF($AA2889="Yes",1,0))</f>
        <v/>
      </c>
      <c r="AR2889">
        <f>IF($AN2889=1,IFERROR(VALUE(MID($E2889,2,20)),1000000000)+ROW()/100000,"")</f>
        <v/>
      </c>
    </row>
    <row r="2890">
      <c r="G2890" s="11" t="n"/>
      <c r="Q2890" s="7">
        <f>IF($E2890="","",P2890*Y2890/100)</f>
        <v/>
      </c>
      <c r="R2890" s="7" t="n"/>
      <c r="X2890" s="7" t="n"/>
      <c r="Y2890" s="7" t="n"/>
      <c r="AB2890">
        <f>IF($E2890="","",IF($AQ2890=1,0,IF($AP2890=1,Settings!$C$6,Settings!$C$7))*100)</f>
        <v/>
      </c>
      <c r="AC2890" s="7">
        <f>IF($E2890="","",Y2890*AB2890/100)</f>
        <v/>
      </c>
      <c r="AD2890" s="7">
        <f>IF($E2890="","",Y2890-AC2890)</f>
        <v/>
      </c>
      <c r="AE2890" s="7">
        <f>IF($E2890="","",AD2890-Q2890)</f>
        <v/>
      </c>
      <c r="AI2890" s="7" t="n"/>
      <c r="AL2890" s="11" t="n"/>
      <c r="AN2890">
        <f>IF($E2890="","",IF(COUNTIF($E$2:$E2890,$E2890)=1,1,0))</f>
        <v/>
      </c>
      <c r="AO2890">
        <f>IF($AN2890=1,SUMPRODUCT(--($AR$2:$AR$4001&lt;$AR2890))+1,"")</f>
        <v/>
      </c>
      <c r="AP2890">
        <f>IF($E2890="","",IF(OR($U2890=TRUE(),$U2890="TRUE"),1,0))</f>
        <v/>
      </c>
      <c r="AQ2890">
        <f>IF($E2890="","",IF($AA2890="Yes",1,0))</f>
        <v/>
      </c>
      <c r="AR2890">
        <f>IF($AN2890=1,IFERROR(VALUE(MID($E2890,2,20)),1000000000)+ROW()/100000,"")</f>
        <v/>
      </c>
    </row>
    <row r="2891">
      <c r="G2891" s="11" t="n"/>
      <c r="Q2891" s="7">
        <f>IF($E2891="","",P2891*Y2891/100)</f>
        <v/>
      </c>
      <c r="R2891" s="7" t="n"/>
      <c r="X2891" s="7" t="n"/>
      <c r="Y2891" s="7" t="n"/>
      <c r="AB2891">
        <f>IF($E2891="","",IF($AQ2891=1,0,IF($AP2891=1,Settings!$C$6,Settings!$C$7))*100)</f>
        <v/>
      </c>
      <c r="AC2891" s="7">
        <f>IF($E2891="","",Y2891*AB2891/100)</f>
        <v/>
      </c>
      <c r="AD2891" s="7">
        <f>IF($E2891="","",Y2891-AC2891)</f>
        <v/>
      </c>
      <c r="AE2891" s="7">
        <f>IF($E2891="","",AD2891-Q2891)</f>
        <v/>
      </c>
      <c r="AI2891" s="7" t="n"/>
      <c r="AL2891" s="11" t="n"/>
      <c r="AN2891">
        <f>IF($E2891="","",IF(COUNTIF($E$2:$E2891,$E2891)=1,1,0))</f>
        <v/>
      </c>
      <c r="AO2891">
        <f>IF($AN2891=1,SUMPRODUCT(--($AR$2:$AR$4001&lt;$AR2891))+1,"")</f>
        <v/>
      </c>
      <c r="AP2891">
        <f>IF($E2891="","",IF(OR($U2891=TRUE(),$U2891="TRUE"),1,0))</f>
        <v/>
      </c>
      <c r="AQ2891">
        <f>IF($E2891="","",IF($AA2891="Yes",1,0))</f>
        <v/>
      </c>
      <c r="AR2891">
        <f>IF($AN2891=1,IFERROR(VALUE(MID($E2891,2,20)),1000000000)+ROW()/100000,"")</f>
        <v/>
      </c>
    </row>
    <row r="2892">
      <c r="G2892" s="11" t="n"/>
      <c r="Q2892" s="7">
        <f>IF($E2892="","",P2892*Y2892/100)</f>
        <v/>
      </c>
      <c r="R2892" s="7" t="n"/>
      <c r="X2892" s="7" t="n"/>
      <c r="Y2892" s="7" t="n"/>
      <c r="AB2892">
        <f>IF($E2892="","",IF($AQ2892=1,0,IF($AP2892=1,Settings!$C$6,Settings!$C$7))*100)</f>
        <v/>
      </c>
      <c r="AC2892" s="7">
        <f>IF($E2892="","",Y2892*AB2892/100)</f>
        <v/>
      </c>
      <c r="AD2892" s="7">
        <f>IF($E2892="","",Y2892-AC2892)</f>
        <v/>
      </c>
      <c r="AE2892" s="7">
        <f>IF($E2892="","",AD2892-Q2892)</f>
        <v/>
      </c>
      <c r="AI2892" s="7" t="n"/>
      <c r="AL2892" s="11" t="n"/>
      <c r="AN2892">
        <f>IF($E2892="","",IF(COUNTIF($E$2:$E2892,$E2892)=1,1,0))</f>
        <v/>
      </c>
      <c r="AO2892">
        <f>IF($AN2892=1,SUMPRODUCT(--($AR$2:$AR$4001&lt;$AR2892))+1,"")</f>
        <v/>
      </c>
      <c r="AP2892">
        <f>IF($E2892="","",IF(OR($U2892=TRUE(),$U2892="TRUE"),1,0))</f>
        <v/>
      </c>
      <c r="AQ2892">
        <f>IF($E2892="","",IF($AA2892="Yes",1,0))</f>
        <v/>
      </c>
      <c r="AR2892">
        <f>IF($AN2892=1,IFERROR(VALUE(MID($E2892,2,20)),1000000000)+ROW()/100000,"")</f>
        <v/>
      </c>
    </row>
    <row r="2893">
      <c r="G2893" s="11" t="n"/>
      <c r="Q2893" s="7">
        <f>IF($E2893="","",P2893*Y2893/100)</f>
        <v/>
      </c>
      <c r="R2893" s="7" t="n"/>
      <c r="X2893" s="7" t="n"/>
      <c r="Y2893" s="7" t="n"/>
      <c r="AB2893">
        <f>IF($E2893="","",IF($AQ2893=1,0,IF($AP2893=1,Settings!$C$6,Settings!$C$7))*100)</f>
        <v/>
      </c>
      <c r="AC2893" s="7">
        <f>IF($E2893="","",Y2893*AB2893/100)</f>
        <v/>
      </c>
      <c r="AD2893" s="7">
        <f>IF($E2893="","",Y2893-AC2893)</f>
        <v/>
      </c>
      <c r="AE2893" s="7">
        <f>IF($E2893="","",AD2893-Q2893)</f>
        <v/>
      </c>
      <c r="AI2893" s="7" t="n"/>
      <c r="AL2893" s="11" t="n"/>
      <c r="AN2893">
        <f>IF($E2893="","",IF(COUNTIF($E$2:$E2893,$E2893)=1,1,0))</f>
        <v/>
      </c>
      <c r="AO2893">
        <f>IF($AN2893=1,SUMPRODUCT(--($AR$2:$AR$4001&lt;$AR2893))+1,"")</f>
        <v/>
      </c>
      <c r="AP2893">
        <f>IF($E2893="","",IF(OR($U2893=TRUE(),$U2893="TRUE"),1,0))</f>
        <v/>
      </c>
      <c r="AQ2893">
        <f>IF($E2893="","",IF($AA2893="Yes",1,0))</f>
        <v/>
      </c>
      <c r="AR2893">
        <f>IF($AN2893=1,IFERROR(VALUE(MID($E2893,2,20)),1000000000)+ROW()/100000,"")</f>
        <v/>
      </c>
    </row>
    <row r="2894">
      <c r="G2894" s="11" t="n"/>
      <c r="Q2894" s="7">
        <f>IF($E2894="","",P2894*Y2894/100)</f>
        <v/>
      </c>
      <c r="R2894" s="7" t="n"/>
      <c r="X2894" s="7" t="n"/>
      <c r="Y2894" s="7" t="n"/>
      <c r="AB2894">
        <f>IF($E2894="","",IF($AQ2894=1,0,IF($AP2894=1,Settings!$C$6,Settings!$C$7))*100)</f>
        <v/>
      </c>
      <c r="AC2894" s="7">
        <f>IF($E2894="","",Y2894*AB2894/100)</f>
        <v/>
      </c>
      <c r="AD2894" s="7">
        <f>IF($E2894="","",Y2894-AC2894)</f>
        <v/>
      </c>
      <c r="AE2894" s="7">
        <f>IF($E2894="","",AD2894-Q2894)</f>
        <v/>
      </c>
      <c r="AI2894" s="7" t="n"/>
      <c r="AL2894" s="11" t="n"/>
      <c r="AN2894">
        <f>IF($E2894="","",IF(COUNTIF($E$2:$E2894,$E2894)=1,1,0))</f>
        <v/>
      </c>
      <c r="AO2894">
        <f>IF($AN2894=1,SUMPRODUCT(--($AR$2:$AR$4001&lt;$AR2894))+1,"")</f>
        <v/>
      </c>
      <c r="AP2894">
        <f>IF($E2894="","",IF(OR($U2894=TRUE(),$U2894="TRUE"),1,0))</f>
        <v/>
      </c>
      <c r="AQ2894">
        <f>IF($E2894="","",IF($AA2894="Yes",1,0))</f>
        <v/>
      </c>
      <c r="AR2894">
        <f>IF($AN2894=1,IFERROR(VALUE(MID($E2894,2,20)),1000000000)+ROW()/100000,"")</f>
        <v/>
      </c>
    </row>
    <row r="2895">
      <c r="G2895" s="11" t="n"/>
      <c r="Q2895" s="7">
        <f>IF($E2895="","",P2895*Y2895/100)</f>
        <v/>
      </c>
      <c r="R2895" s="7" t="n"/>
      <c r="X2895" s="7" t="n"/>
      <c r="Y2895" s="7" t="n"/>
      <c r="AB2895">
        <f>IF($E2895="","",IF($AQ2895=1,0,IF($AP2895=1,Settings!$C$6,Settings!$C$7))*100)</f>
        <v/>
      </c>
      <c r="AC2895" s="7">
        <f>IF($E2895="","",Y2895*AB2895/100)</f>
        <v/>
      </c>
      <c r="AD2895" s="7">
        <f>IF($E2895="","",Y2895-AC2895)</f>
        <v/>
      </c>
      <c r="AE2895" s="7">
        <f>IF($E2895="","",AD2895-Q2895)</f>
        <v/>
      </c>
      <c r="AI2895" s="7" t="n"/>
      <c r="AL2895" s="11" t="n"/>
      <c r="AN2895">
        <f>IF($E2895="","",IF(COUNTIF($E$2:$E2895,$E2895)=1,1,0))</f>
        <v/>
      </c>
      <c r="AO2895">
        <f>IF($AN2895=1,SUMPRODUCT(--($AR$2:$AR$4001&lt;$AR2895))+1,"")</f>
        <v/>
      </c>
      <c r="AP2895">
        <f>IF($E2895="","",IF(OR($U2895=TRUE(),$U2895="TRUE"),1,0))</f>
        <v/>
      </c>
      <c r="AQ2895">
        <f>IF($E2895="","",IF($AA2895="Yes",1,0))</f>
        <v/>
      </c>
      <c r="AR2895">
        <f>IF($AN2895=1,IFERROR(VALUE(MID($E2895,2,20)),1000000000)+ROW()/100000,"")</f>
        <v/>
      </c>
    </row>
    <row r="2896">
      <c r="G2896" s="11" t="n"/>
      <c r="Q2896" s="7">
        <f>IF($E2896="","",P2896*Y2896/100)</f>
        <v/>
      </c>
      <c r="R2896" s="7" t="n"/>
      <c r="X2896" s="7" t="n"/>
      <c r="Y2896" s="7" t="n"/>
      <c r="AB2896">
        <f>IF($E2896="","",IF($AQ2896=1,0,IF($AP2896=1,Settings!$C$6,Settings!$C$7))*100)</f>
        <v/>
      </c>
      <c r="AC2896" s="7">
        <f>IF($E2896="","",Y2896*AB2896/100)</f>
        <v/>
      </c>
      <c r="AD2896" s="7">
        <f>IF($E2896="","",Y2896-AC2896)</f>
        <v/>
      </c>
      <c r="AE2896" s="7">
        <f>IF($E2896="","",AD2896-Q2896)</f>
        <v/>
      </c>
      <c r="AI2896" s="7" t="n"/>
      <c r="AL2896" s="11" t="n"/>
      <c r="AN2896">
        <f>IF($E2896="","",IF(COUNTIF($E$2:$E2896,$E2896)=1,1,0))</f>
        <v/>
      </c>
      <c r="AO2896">
        <f>IF($AN2896=1,SUMPRODUCT(--($AR$2:$AR$4001&lt;$AR2896))+1,"")</f>
        <v/>
      </c>
      <c r="AP2896">
        <f>IF($E2896="","",IF(OR($U2896=TRUE(),$U2896="TRUE"),1,0))</f>
        <v/>
      </c>
      <c r="AQ2896">
        <f>IF($E2896="","",IF($AA2896="Yes",1,0))</f>
        <v/>
      </c>
      <c r="AR2896">
        <f>IF($AN2896=1,IFERROR(VALUE(MID($E2896,2,20)),1000000000)+ROW()/100000,"")</f>
        <v/>
      </c>
    </row>
    <row r="2897">
      <c r="G2897" s="11" t="n"/>
      <c r="Q2897" s="7">
        <f>IF($E2897="","",P2897*Y2897/100)</f>
        <v/>
      </c>
      <c r="R2897" s="7" t="n"/>
      <c r="X2897" s="7" t="n"/>
      <c r="Y2897" s="7" t="n"/>
      <c r="AB2897">
        <f>IF($E2897="","",IF($AQ2897=1,0,IF($AP2897=1,Settings!$C$6,Settings!$C$7))*100)</f>
        <v/>
      </c>
      <c r="AC2897" s="7">
        <f>IF($E2897="","",Y2897*AB2897/100)</f>
        <v/>
      </c>
      <c r="AD2897" s="7">
        <f>IF($E2897="","",Y2897-AC2897)</f>
        <v/>
      </c>
      <c r="AE2897" s="7">
        <f>IF($E2897="","",AD2897-Q2897)</f>
        <v/>
      </c>
      <c r="AI2897" s="7" t="n"/>
      <c r="AL2897" s="11" t="n"/>
      <c r="AN2897">
        <f>IF($E2897="","",IF(COUNTIF($E$2:$E2897,$E2897)=1,1,0))</f>
        <v/>
      </c>
      <c r="AO2897">
        <f>IF($AN2897=1,SUMPRODUCT(--($AR$2:$AR$4001&lt;$AR2897))+1,"")</f>
        <v/>
      </c>
      <c r="AP2897">
        <f>IF($E2897="","",IF(OR($U2897=TRUE(),$U2897="TRUE"),1,0))</f>
        <v/>
      </c>
      <c r="AQ2897">
        <f>IF($E2897="","",IF($AA2897="Yes",1,0))</f>
        <v/>
      </c>
      <c r="AR2897">
        <f>IF($AN2897=1,IFERROR(VALUE(MID($E2897,2,20)),1000000000)+ROW()/100000,"")</f>
        <v/>
      </c>
    </row>
    <row r="2898">
      <c r="G2898" s="11" t="n"/>
      <c r="Q2898" s="7">
        <f>IF($E2898="","",P2898*Y2898/100)</f>
        <v/>
      </c>
      <c r="R2898" s="7" t="n"/>
      <c r="X2898" s="7" t="n"/>
      <c r="Y2898" s="7" t="n"/>
      <c r="AB2898">
        <f>IF($E2898="","",IF($AQ2898=1,0,IF($AP2898=1,Settings!$C$6,Settings!$C$7))*100)</f>
        <v/>
      </c>
      <c r="AC2898" s="7">
        <f>IF($E2898="","",Y2898*AB2898/100)</f>
        <v/>
      </c>
      <c r="AD2898" s="7">
        <f>IF($E2898="","",Y2898-AC2898)</f>
        <v/>
      </c>
      <c r="AE2898" s="7">
        <f>IF($E2898="","",AD2898-Q2898)</f>
        <v/>
      </c>
      <c r="AI2898" s="7" t="n"/>
      <c r="AL2898" s="11" t="n"/>
      <c r="AN2898">
        <f>IF($E2898="","",IF(COUNTIF($E$2:$E2898,$E2898)=1,1,0))</f>
        <v/>
      </c>
      <c r="AO2898">
        <f>IF($AN2898=1,SUMPRODUCT(--($AR$2:$AR$4001&lt;$AR2898))+1,"")</f>
        <v/>
      </c>
      <c r="AP2898">
        <f>IF($E2898="","",IF(OR($U2898=TRUE(),$U2898="TRUE"),1,0))</f>
        <v/>
      </c>
      <c r="AQ2898">
        <f>IF($E2898="","",IF($AA2898="Yes",1,0))</f>
        <v/>
      </c>
      <c r="AR2898">
        <f>IF($AN2898=1,IFERROR(VALUE(MID($E2898,2,20)),1000000000)+ROW()/100000,"")</f>
        <v/>
      </c>
    </row>
    <row r="2899">
      <c r="G2899" s="11" t="n"/>
      <c r="Q2899" s="7">
        <f>IF($E2899="","",P2899*Y2899/100)</f>
        <v/>
      </c>
      <c r="R2899" s="7" t="n"/>
      <c r="X2899" s="7" t="n"/>
      <c r="Y2899" s="7" t="n"/>
      <c r="AB2899">
        <f>IF($E2899="","",IF($AQ2899=1,0,IF($AP2899=1,Settings!$C$6,Settings!$C$7))*100)</f>
        <v/>
      </c>
      <c r="AC2899" s="7">
        <f>IF($E2899="","",Y2899*AB2899/100)</f>
        <v/>
      </c>
      <c r="AD2899" s="7">
        <f>IF($E2899="","",Y2899-AC2899)</f>
        <v/>
      </c>
      <c r="AE2899" s="7">
        <f>IF($E2899="","",AD2899-Q2899)</f>
        <v/>
      </c>
      <c r="AI2899" s="7" t="n"/>
      <c r="AL2899" s="11" t="n"/>
      <c r="AN2899">
        <f>IF($E2899="","",IF(COUNTIF($E$2:$E2899,$E2899)=1,1,0))</f>
        <v/>
      </c>
      <c r="AO2899">
        <f>IF($AN2899=1,SUMPRODUCT(--($AR$2:$AR$4001&lt;$AR2899))+1,"")</f>
        <v/>
      </c>
      <c r="AP2899">
        <f>IF($E2899="","",IF(OR($U2899=TRUE(),$U2899="TRUE"),1,0))</f>
        <v/>
      </c>
      <c r="AQ2899">
        <f>IF($E2899="","",IF($AA2899="Yes",1,0))</f>
        <v/>
      </c>
      <c r="AR2899">
        <f>IF($AN2899=1,IFERROR(VALUE(MID($E2899,2,20)),1000000000)+ROW()/100000,"")</f>
        <v/>
      </c>
    </row>
    <row r="2900">
      <c r="G2900" s="11" t="n"/>
      <c r="Q2900" s="7">
        <f>IF($E2900="","",P2900*Y2900/100)</f>
        <v/>
      </c>
      <c r="R2900" s="7" t="n"/>
      <c r="X2900" s="7" t="n"/>
      <c r="Y2900" s="7" t="n"/>
      <c r="AB2900">
        <f>IF($E2900="","",IF($AQ2900=1,0,IF($AP2900=1,Settings!$C$6,Settings!$C$7))*100)</f>
        <v/>
      </c>
      <c r="AC2900" s="7">
        <f>IF($E2900="","",Y2900*AB2900/100)</f>
        <v/>
      </c>
      <c r="AD2900" s="7">
        <f>IF($E2900="","",Y2900-AC2900)</f>
        <v/>
      </c>
      <c r="AE2900" s="7">
        <f>IF($E2900="","",AD2900-Q2900)</f>
        <v/>
      </c>
      <c r="AI2900" s="7" t="n"/>
      <c r="AL2900" s="11" t="n"/>
      <c r="AN2900">
        <f>IF($E2900="","",IF(COUNTIF($E$2:$E2900,$E2900)=1,1,0))</f>
        <v/>
      </c>
      <c r="AO2900">
        <f>IF($AN2900=1,SUMPRODUCT(--($AR$2:$AR$4001&lt;$AR2900))+1,"")</f>
        <v/>
      </c>
      <c r="AP2900">
        <f>IF($E2900="","",IF(OR($U2900=TRUE(),$U2900="TRUE"),1,0))</f>
        <v/>
      </c>
      <c r="AQ2900">
        <f>IF($E2900="","",IF($AA2900="Yes",1,0))</f>
        <v/>
      </c>
      <c r="AR2900">
        <f>IF($AN2900=1,IFERROR(VALUE(MID($E2900,2,20)),1000000000)+ROW()/100000,"")</f>
        <v/>
      </c>
    </row>
    <row r="2901">
      <c r="G2901" s="11" t="n"/>
      <c r="Q2901" s="7">
        <f>IF($E2901="","",P2901*Y2901/100)</f>
        <v/>
      </c>
      <c r="R2901" s="7" t="n"/>
      <c r="X2901" s="7" t="n"/>
      <c r="Y2901" s="7" t="n"/>
      <c r="AB2901">
        <f>IF($E2901="","",IF($AQ2901=1,0,IF($AP2901=1,Settings!$C$6,Settings!$C$7))*100)</f>
        <v/>
      </c>
      <c r="AC2901" s="7">
        <f>IF($E2901="","",Y2901*AB2901/100)</f>
        <v/>
      </c>
      <c r="AD2901" s="7">
        <f>IF($E2901="","",Y2901-AC2901)</f>
        <v/>
      </c>
      <c r="AE2901" s="7">
        <f>IF($E2901="","",AD2901-Q2901)</f>
        <v/>
      </c>
      <c r="AI2901" s="7" t="n"/>
      <c r="AL2901" s="11" t="n"/>
      <c r="AN2901">
        <f>IF($E2901="","",IF(COUNTIF($E$2:$E2901,$E2901)=1,1,0))</f>
        <v/>
      </c>
      <c r="AO2901">
        <f>IF($AN2901=1,SUMPRODUCT(--($AR$2:$AR$4001&lt;$AR2901))+1,"")</f>
        <v/>
      </c>
      <c r="AP2901">
        <f>IF($E2901="","",IF(OR($U2901=TRUE(),$U2901="TRUE"),1,0))</f>
        <v/>
      </c>
      <c r="AQ2901">
        <f>IF($E2901="","",IF($AA2901="Yes",1,0))</f>
        <v/>
      </c>
      <c r="AR2901">
        <f>IF($AN2901=1,IFERROR(VALUE(MID($E2901,2,20)),1000000000)+ROW()/100000,"")</f>
        <v/>
      </c>
    </row>
    <row r="2902">
      <c r="G2902" s="11" t="n"/>
      <c r="Q2902" s="7">
        <f>IF($E2902="","",P2902*Y2902/100)</f>
        <v/>
      </c>
      <c r="R2902" s="7" t="n"/>
      <c r="X2902" s="7" t="n"/>
      <c r="Y2902" s="7" t="n"/>
      <c r="AB2902">
        <f>IF($E2902="","",IF($AQ2902=1,0,IF($AP2902=1,Settings!$C$6,Settings!$C$7))*100)</f>
        <v/>
      </c>
      <c r="AC2902" s="7">
        <f>IF($E2902="","",Y2902*AB2902/100)</f>
        <v/>
      </c>
      <c r="AD2902" s="7">
        <f>IF($E2902="","",Y2902-AC2902)</f>
        <v/>
      </c>
      <c r="AE2902" s="7">
        <f>IF($E2902="","",AD2902-Q2902)</f>
        <v/>
      </c>
      <c r="AI2902" s="7" t="n"/>
      <c r="AL2902" s="11" t="n"/>
      <c r="AN2902">
        <f>IF($E2902="","",IF(COUNTIF($E$2:$E2902,$E2902)=1,1,0))</f>
        <v/>
      </c>
      <c r="AO2902">
        <f>IF($AN2902=1,SUMPRODUCT(--($AR$2:$AR$4001&lt;$AR2902))+1,"")</f>
        <v/>
      </c>
      <c r="AP2902">
        <f>IF($E2902="","",IF(OR($U2902=TRUE(),$U2902="TRUE"),1,0))</f>
        <v/>
      </c>
      <c r="AQ2902">
        <f>IF($E2902="","",IF($AA2902="Yes",1,0))</f>
        <v/>
      </c>
      <c r="AR2902">
        <f>IF($AN2902=1,IFERROR(VALUE(MID($E2902,2,20)),1000000000)+ROW()/100000,"")</f>
        <v/>
      </c>
    </row>
    <row r="2903">
      <c r="G2903" s="11" t="n"/>
      <c r="Q2903" s="7">
        <f>IF($E2903="","",P2903*Y2903/100)</f>
        <v/>
      </c>
      <c r="R2903" s="7" t="n"/>
      <c r="X2903" s="7" t="n"/>
      <c r="Y2903" s="7" t="n"/>
      <c r="AB2903">
        <f>IF($E2903="","",IF($AQ2903=1,0,IF($AP2903=1,Settings!$C$6,Settings!$C$7))*100)</f>
        <v/>
      </c>
      <c r="AC2903" s="7">
        <f>IF($E2903="","",Y2903*AB2903/100)</f>
        <v/>
      </c>
      <c r="AD2903" s="7">
        <f>IF($E2903="","",Y2903-AC2903)</f>
        <v/>
      </c>
      <c r="AE2903" s="7">
        <f>IF($E2903="","",AD2903-Q2903)</f>
        <v/>
      </c>
      <c r="AI2903" s="7" t="n"/>
      <c r="AL2903" s="11" t="n"/>
      <c r="AN2903">
        <f>IF($E2903="","",IF(COUNTIF($E$2:$E2903,$E2903)=1,1,0))</f>
        <v/>
      </c>
      <c r="AO2903">
        <f>IF($AN2903=1,SUMPRODUCT(--($AR$2:$AR$4001&lt;$AR2903))+1,"")</f>
        <v/>
      </c>
      <c r="AP2903">
        <f>IF($E2903="","",IF(OR($U2903=TRUE(),$U2903="TRUE"),1,0))</f>
        <v/>
      </c>
      <c r="AQ2903">
        <f>IF($E2903="","",IF($AA2903="Yes",1,0))</f>
        <v/>
      </c>
      <c r="AR2903">
        <f>IF($AN2903=1,IFERROR(VALUE(MID($E2903,2,20)),1000000000)+ROW()/100000,"")</f>
        <v/>
      </c>
    </row>
    <row r="2904">
      <c r="G2904" s="11" t="n"/>
      <c r="Q2904" s="7">
        <f>IF($E2904="","",P2904*Y2904/100)</f>
        <v/>
      </c>
      <c r="R2904" s="7" t="n"/>
      <c r="X2904" s="7" t="n"/>
      <c r="Y2904" s="7" t="n"/>
      <c r="AB2904">
        <f>IF($E2904="","",IF($AQ2904=1,0,IF($AP2904=1,Settings!$C$6,Settings!$C$7))*100)</f>
        <v/>
      </c>
      <c r="AC2904" s="7">
        <f>IF($E2904="","",Y2904*AB2904/100)</f>
        <v/>
      </c>
      <c r="AD2904" s="7">
        <f>IF($E2904="","",Y2904-AC2904)</f>
        <v/>
      </c>
      <c r="AE2904" s="7">
        <f>IF($E2904="","",AD2904-Q2904)</f>
        <v/>
      </c>
      <c r="AI2904" s="7" t="n"/>
      <c r="AL2904" s="11" t="n"/>
      <c r="AN2904">
        <f>IF($E2904="","",IF(COUNTIF($E$2:$E2904,$E2904)=1,1,0))</f>
        <v/>
      </c>
      <c r="AO2904">
        <f>IF($AN2904=1,SUMPRODUCT(--($AR$2:$AR$4001&lt;$AR2904))+1,"")</f>
        <v/>
      </c>
      <c r="AP2904">
        <f>IF($E2904="","",IF(OR($U2904=TRUE(),$U2904="TRUE"),1,0))</f>
        <v/>
      </c>
      <c r="AQ2904">
        <f>IF($E2904="","",IF($AA2904="Yes",1,0))</f>
        <v/>
      </c>
      <c r="AR2904">
        <f>IF($AN2904=1,IFERROR(VALUE(MID($E2904,2,20)),1000000000)+ROW()/100000,"")</f>
        <v/>
      </c>
    </row>
    <row r="2905">
      <c r="G2905" s="11" t="n"/>
      <c r="Q2905" s="7">
        <f>IF($E2905="","",P2905*Y2905/100)</f>
        <v/>
      </c>
      <c r="R2905" s="7" t="n"/>
      <c r="X2905" s="7" t="n"/>
      <c r="Y2905" s="7" t="n"/>
      <c r="AB2905">
        <f>IF($E2905="","",IF($AQ2905=1,0,IF($AP2905=1,Settings!$C$6,Settings!$C$7))*100)</f>
        <v/>
      </c>
      <c r="AC2905" s="7">
        <f>IF($E2905="","",Y2905*AB2905/100)</f>
        <v/>
      </c>
      <c r="AD2905" s="7">
        <f>IF($E2905="","",Y2905-AC2905)</f>
        <v/>
      </c>
      <c r="AE2905" s="7">
        <f>IF($E2905="","",AD2905-Q2905)</f>
        <v/>
      </c>
      <c r="AI2905" s="7" t="n"/>
      <c r="AL2905" s="11" t="n"/>
      <c r="AN2905">
        <f>IF($E2905="","",IF(COUNTIF($E$2:$E2905,$E2905)=1,1,0))</f>
        <v/>
      </c>
      <c r="AO2905">
        <f>IF($AN2905=1,SUMPRODUCT(--($AR$2:$AR$4001&lt;$AR2905))+1,"")</f>
        <v/>
      </c>
      <c r="AP2905">
        <f>IF($E2905="","",IF(OR($U2905=TRUE(),$U2905="TRUE"),1,0))</f>
        <v/>
      </c>
      <c r="AQ2905">
        <f>IF($E2905="","",IF($AA2905="Yes",1,0))</f>
        <v/>
      </c>
      <c r="AR2905">
        <f>IF($AN2905=1,IFERROR(VALUE(MID($E2905,2,20)),1000000000)+ROW()/100000,"")</f>
        <v/>
      </c>
    </row>
    <row r="2906">
      <c r="G2906" s="11" t="n"/>
      <c r="Q2906" s="7">
        <f>IF($E2906="","",P2906*Y2906/100)</f>
        <v/>
      </c>
      <c r="R2906" s="7" t="n"/>
      <c r="X2906" s="7" t="n"/>
      <c r="Y2906" s="7" t="n"/>
      <c r="AB2906">
        <f>IF($E2906="","",IF($AQ2906=1,0,IF($AP2906=1,Settings!$C$6,Settings!$C$7))*100)</f>
        <v/>
      </c>
      <c r="AC2906" s="7">
        <f>IF($E2906="","",Y2906*AB2906/100)</f>
        <v/>
      </c>
      <c r="AD2906" s="7">
        <f>IF($E2906="","",Y2906-AC2906)</f>
        <v/>
      </c>
      <c r="AE2906" s="7">
        <f>IF($E2906="","",AD2906-Q2906)</f>
        <v/>
      </c>
      <c r="AI2906" s="7" t="n"/>
      <c r="AL2906" s="11" t="n"/>
      <c r="AN2906">
        <f>IF($E2906="","",IF(COUNTIF($E$2:$E2906,$E2906)=1,1,0))</f>
        <v/>
      </c>
      <c r="AO2906">
        <f>IF($AN2906=1,SUMPRODUCT(--($AR$2:$AR$4001&lt;$AR2906))+1,"")</f>
        <v/>
      </c>
      <c r="AP2906">
        <f>IF($E2906="","",IF(OR($U2906=TRUE(),$U2906="TRUE"),1,0))</f>
        <v/>
      </c>
      <c r="AQ2906">
        <f>IF($E2906="","",IF($AA2906="Yes",1,0))</f>
        <v/>
      </c>
      <c r="AR2906">
        <f>IF($AN2906=1,IFERROR(VALUE(MID($E2906,2,20)),1000000000)+ROW()/100000,"")</f>
        <v/>
      </c>
    </row>
    <row r="2907">
      <c r="G2907" s="11" t="n"/>
      <c r="Q2907" s="7">
        <f>IF($E2907="","",P2907*Y2907/100)</f>
        <v/>
      </c>
      <c r="R2907" s="7" t="n"/>
      <c r="X2907" s="7" t="n"/>
      <c r="Y2907" s="7" t="n"/>
      <c r="AB2907">
        <f>IF($E2907="","",IF($AQ2907=1,0,IF($AP2907=1,Settings!$C$6,Settings!$C$7))*100)</f>
        <v/>
      </c>
      <c r="AC2907" s="7">
        <f>IF($E2907="","",Y2907*AB2907/100)</f>
        <v/>
      </c>
      <c r="AD2907" s="7">
        <f>IF($E2907="","",Y2907-AC2907)</f>
        <v/>
      </c>
      <c r="AE2907" s="7">
        <f>IF($E2907="","",AD2907-Q2907)</f>
        <v/>
      </c>
      <c r="AI2907" s="7" t="n"/>
      <c r="AL2907" s="11" t="n"/>
      <c r="AN2907">
        <f>IF($E2907="","",IF(COUNTIF($E$2:$E2907,$E2907)=1,1,0))</f>
        <v/>
      </c>
      <c r="AO2907">
        <f>IF($AN2907=1,SUMPRODUCT(--($AR$2:$AR$4001&lt;$AR2907))+1,"")</f>
        <v/>
      </c>
      <c r="AP2907">
        <f>IF($E2907="","",IF(OR($U2907=TRUE(),$U2907="TRUE"),1,0))</f>
        <v/>
      </c>
      <c r="AQ2907">
        <f>IF($E2907="","",IF($AA2907="Yes",1,0))</f>
        <v/>
      </c>
      <c r="AR2907">
        <f>IF($AN2907=1,IFERROR(VALUE(MID($E2907,2,20)),1000000000)+ROW()/100000,"")</f>
        <v/>
      </c>
    </row>
    <row r="2908">
      <c r="G2908" s="11" t="n"/>
      <c r="Q2908" s="7">
        <f>IF($E2908="","",P2908*Y2908/100)</f>
        <v/>
      </c>
      <c r="R2908" s="7" t="n"/>
      <c r="X2908" s="7" t="n"/>
      <c r="Y2908" s="7" t="n"/>
      <c r="AB2908">
        <f>IF($E2908="","",IF($AQ2908=1,0,IF($AP2908=1,Settings!$C$6,Settings!$C$7))*100)</f>
        <v/>
      </c>
      <c r="AC2908" s="7">
        <f>IF($E2908="","",Y2908*AB2908/100)</f>
        <v/>
      </c>
      <c r="AD2908" s="7">
        <f>IF($E2908="","",Y2908-AC2908)</f>
        <v/>
      </c>
      <c r="AE2908" s="7">
        <f>IF($E2908="","",AD2908-Q2908)</f>
        <v/>
      </c>
      <c r="AI2908" s="7" t="n"/>
      <c r="AL2908" s="11" t="n"/>
      <c r="AN2908">
        <f>IF($E2908="","",IF(COUNTIF($E$2:$E2908,$E2908)=1,1,0))</f>
        <v/>
      </c>
      <c r="AO2908">
        <f>IF($AN2908=1,SUMPRODUCT(--($AR$2:$AR$4001&lt;$AR2908))+1,"")</f>
        <v/>
      </c>
      <c r="AP2908">
        <f>IF($E2908="","",IF(OR($U2908=TRUE(),$U2908="TRUE"),1,0))</f>
        <v/>
      </c>
      <c r="AQ2908">
        <f>IF($E2908="","",IF($AA2908="Yes",1,0))</f>
        <v/>
      </c>
      <c r="AR2908">
        <f>IF($AN2908=1,IFERROR(VALUE(MID($E2908,2,20)),1000000000)+ROW()/100000,"")</f>
        <v/>
      </c>
    </row>
    <row r="2909">
      <c r="G2909" s="11" t="n"/>
      <c r="Q2909" s="7">
        <f>IF($E2909="","",P2909*Y2909/100)</f>
        <v/>
      </c>
      <c r="R2909" s="7" t="n"/>
      <c r="X2909" s="7" t="n"/>
      <c r="Y2909" s="7" t="n"/>
      <c r="AB2909">
        <f>IF($E2909="","",IF($AQ2909=1,0,IF($AP2909=1,Settings!$C$6,Settings!$C$7))*100)</f>
        <v/>
      </c>
      <c r="AC2909" s="7">
        <f>IF($E2909="","",Y2909*AB2909/100)</f>
        <v/>
      </c>
      <c r="AD2909" s="7">
        <f>IF($E2909="","",Y2909-AC2909)</f>
        <v/>
      </c>
      <c r="AE2909" s="7">
        <f>IF($E2909="","",AD2909-Q2909)</f>
        <v/>
      </c>
      <c r="AI2909" s="7" t="n"/>
      <c r="AL2909" s="11" t="n"/>
      <c r="AN2909">
        <f>IF($E2909="","",IF(COUNTIF($E$2:$E2909,$E2909)=1,1,0))</f>
        <v/>
      </c>
      <c r="AO2909">
        <f>IF($AN2909=1,SUMPRODUCT(--($AR$2:$AR$4001&lt;$AR2909))+1,"")</f>
        <v/>
      </c>
      <c r="AP2909">
        <f>IF($E2909="","",IF(OR($U2909=TRUE(),$U2909="TRUE"),1,0))</f>
        <v/>
      </c>
      <c r="AQ2909">
        <f>IF($E2909="","",IF($AA2909="Yes",1,0))</f>
        <v/>
      </c>
      <c r="AR2909">
        <f>IF($AN2909=1,IFERROR(VALUE(MID($E2909,2,20)),1000000000)+ROW()/100000,"")</f>
        <v/>
      </c>
    </row>
    <row r="2910">
      <c r="G2910" s="11" t="n"/>
      <c r="Q2910" s="7">
        <f>IF($E2910="","",P2910*Y2910/100)</f>
        <v/>
      </c>
      <c r="R2910" s="7" t="n"/>
      <c r="X2910" s="7" t="n"/>
      <c r="Y2910" s="7" t="n"/>
      <c r="AB2910">
        <f>IF($E2910="","",IF($AQ2910=1,0,IF($AP2910=1,Settings!$C$6,Settings!$C$7))*100)</f>
        <v/>
      </c>
      <c r="AC2910" s="7">
        <f>IF($E2910="","",Y2910*AB2910/100)</f>
        <v/>
      </c>
      <c r="AD2910" s="7">
        <f>IF($E2910="","",Y2910-AC2910)</f>
        <v/>
      </c>
      <c r="AE2910" s="7">
        <f>IF($E2910="","",AD2910-Q2910)</f>
        <v/>
      </c>
      <c r="AI2910" s="7" t="n"/>
      <c r="AL2910" s="11" t="n"/>
      <c r="AN2910">
        <f>IF($E2910="","",IF(COUNTIF($E$2:$E2910,$E2910)=1,1,0))</f>
        <v/>
      </c>
      <c r="AO2910">
        <f>IF($AN2910=1,SUMPRODUCT(--($AR$2:$AR$4001&lt;$AR2910))+1,"")</f>
        <v/>
      </c>
      <c r="AP2910">
        <f>IF($E2910="","",IF(OR($U2910=TRUE(),$U2910="TRUE"),1,0))</f>
        <v/>
      </c>
      <c r="AQ2910">
        <f>IF($E2910="","",IF($AA2910="Yes",1,0))</f>
        <v/>
      </c>
      <c r="AR2910">
        <f>IF($AN2910=1,IFERROR(VALUE(MID($E2910,2,20)),1000000000)+ROW()/100000,"")</f>
        <v/>
      </c>
    </row>
    <row r="2911">
      <c r="G2911" s="11" t="n"/>
      <c r="Q2911" s="7">
        <f>IF($E2911="","",P2911*Y2911/100)</f>
        <v/>
      </c>
      <c r="R2911" s="7" t="n"/>
      <c r="X2911" s="7" t="n"/>
      <c r="Y2911" s="7" t="n"/>
      <c r="AB2911">
        <f>IF($E2911="","",IF($AQ2911=1,0,IF($AP2911=1,Settings!$C$6,Settings!$C$7))*100)</f>
        <v/>
      </c>
      <c r="AC2911" s="7">
        <f>IF($E2911="","",Y2911*AB2911/100)</f>
        <v/>
      </c>
      <c r="AD2911" s="7">
        <f>IF($E2911="","",Y2911-AC2911)</f>
        <v/>
      </c>
      <c r="AE2911" s="7">
        <f>IF($E2911="","",AD2911-Q2911)</f>
        <v/>
      </c>
      <c r="AI2911" s="7" t="n"/>
      <c r="AL2911" s="11" t="n"/>
      <c r="AN2911">
        <f>IF($E2911="","",IF(COUNTIF($E$2:$E2911,$E2911)=1,1,0))</f>
        <v/>
      </c>
      <c r="AO2911">
        <f>IF($AN2911=1,SUMPRODUCT(--($AR$2:$AR$4001&lt;$AR2911))+1,"")</f>
        <v/>
      </c>
      <c r="AP2911">
        <f>IF($E2911="","",IF(OR($U2911=TRUE(),$U2911="TRUE"),1,0))</f>
        <v/>
      </c>
      <c r="AQ2911">
        <f>IF($E2911="","",IF($AA2911="Yes",1,0))</f>
        <v/>
      </c>
      <c r="AR2911">
        <f>IF($AN2911=1,IFERROR(VALUE(MID($E2911,2,20)),1000000000)+ROW()/100000,"")</f>
        <v/>
      </c>
    </row>
    <row r="2912">
      <c r="G2912" s="11" t="n"/>
      <c r="Q2912" s="7">
        <f>IF($E2912="","",P2912*Y2912/100)</f>
        <v/>
      </c>
      <c r="R2912" s="7" t="n"/>
      <c r="X2912" s="7" t="n"/>
      <c r="Y2912" s="7" t="n"/>
      <c r="AB2912">
        <f>IF($E2912="","",IF($AQ2912=1,0,IF($AP2912=1,Settings!$C$6,Settings!$C$7))*100)</f>
        <v/>
      </c>
      <c r="AC2912" s="7">
        <f>IF($E2912="","",Y2912*AB2912/100)</f>
        <v/>
      </c>
      <c r="AD2912" s="7">
        <f>IF($E2912="","",Y2912-AC2912)</f>
        <v/>
      </c>
      <c r="AE2912" s="7">
        <f>IF($E2912="","",AD2912-Q2912)</f>
        <v/>
      </c>
      <c r="AI2912" s="7" t="n"/>
      <c r="AL2912" s="11" t="n"/>
      <c r="AN2912">
        <f>IF($E2912="","",IF(COUNTIF($E$2:$E2912,$E2912)=1,1,0))</f>
        <v/>
      </c>
      <c r="AO2912">
        <f>IF($AN2912=1,SUMPRODUCT(--($AR$2:$AR$4001&lt;$AR2912))+1,"")</f>
        <v/>
      </c>
      <c r="AP2912">
        <f>IF($E2912="","",IF(OR($U2912=TRUE(),$U2912="TRUE"),1,0))</f>
        <v/>
      </c>
      <c r="AQ2912">
        <f>IF($E2912="","",IF($AA2912="Yes",1,0))</f>
        <v/>
      </c>
      <c r="AR2912">
        <f>IF($AN2912=1,IFERROR(VALUE(MID($E2912,2,20)),1000000000)+ROW()/100000,"")</f>
        <v/>
      </c>
    </row>
    <row r="2913">
      <c r="G2913" s="11" t="n"/>
      <c r="Q2913" s="7">
        <f>IF($E2913="","",P2913*Y2913/100)</f>
        <v/>
      </c>
      <c r="R2913" s="7" t="n"/>
      <c r="X2913" s="7" t="n"/>
      <c r="Y2913" s="7" t="n"/>
      <c r="AB2913">
        <f>IF($E2913="","",IF($AQ2913=1,0,IF($AP2913=1,Settings!$C$6,Settings!$C$7))*100)</f>
        <v/>
      </c>
      <c r="AC2913" s="7">
        <f>IF($E2913="","",Y2913*AB2913/100)</f>
        <v/>
      </c>
      <c r="AD2913" s="7">
        <f>IF($E2913="","",Y2913-AC2913)</f>
        <v/>
      </c>
      <c r="AE2913" s="7">
        <f>IF($E2913="","",AD2913-Q2913)</f>
        <v/>
      </c>
      <c r="AI2913" s="7" t="n"/>
      <c r="AL2913" s="11" t="n"/>
      <c r="AN2913">
        <f>IF($E2913="","",IF(COUNTIF($E$2:$E2913,$E2913)=1,1,0))</f>
        <v/>
      </c>
      <c r="AO2913">
        <f>IF($AN2913=1,SUMPRODUCT(--($AR$2:$AR$4001&lt;$AR2913))+1,"")</f>
        <v/>
      </c>
      <c r="AP2913">
        <f>IF($E2913="","",IF(OR($U2913=TRUE(),$U2913="TRUE"),1,0))</f>
        <v/>
      </c>
      <c r="AQ2913">
        <f>IF($E2913="","",IF($AA2913="Yes",1,0))</f>
        <v/>
      </c>
      <c r="AR2913">
        <f>IF($AN2913=1,IFERROR(VALUE(MID($E2913,2,20)),1000000000)+ROW()/100000,"")</f>
        <v/>
      </c>
    </row>
    <row r="2914">
      <c r="G2914" s="11" t="n"/>
      <c r="Q2914" s="7">
        <f>IF($E2914="","",P2914*Y2914/100)</f>
        <v/>
      </c>
      <c r="R2914" s="7" t="n"/>
      <c r="X2914" s="7" t="n"/>
      <c r="Y2914" s="7" t="n"/>
      <c r="AB2914">
        <f>IF($E2914="","",IF($AQ2914=1,0,IF($AP2914=1,Settings!$C$6,Settings!$C$7))*100)</f>
        <v/>
      </c>
      <c r="AC2914" s="7">
        <f>IF($E2914="","",Y2914*AB2914/100)</f>
        <v/>
      </c>
      <c r="AD2914" s="7">
        <f>IF($E2914="","",Y2914-AC2914)</f>
        <v/>
      </c>
      <c r="AE2914" s="7">
        <f>IF($E2914="","",AD2914-Q2914)</f>
        <v/>
      </c>
      <c r="AI2914" s="7" t="n"/>
      <c r="AL2914" s="11" t="n"/>
      <c r="AN2914">
        <f>IF($E2914="","",IF(COUNTIF($E$2:$E2914,$E2914)=1,1,0))</f>
        <v/>
      </c>
      <c r="AO2914">
        <f>IF($AN2914=1,SUMPRODUCT(--($AR$2:$AR$4001&lt;$AR2914))+1,"")</f>
        <v/>
      </c>
      <c r="AP2914">
        <f>IF($E2914="","",IF(OR($U2914=TRUE(),$U2914="TRUE"),1,0))</f>
        <v/>
      </c>
      <c r="AQ2914">
        <f>IF($E2914="","",IF($AA2914="Yes",1,0))</f>
        <v/>
      </c>
      <c r="AR2914">
        <f>IF($AN2914=1,IFERROR(VALUE(MID($E2914,2,20)),1000000000)+ROW()/100000,"")</f>
        <v/>
      </c>
    </row>
    <row r="2915">
      <c r="G2915" s="11" t="n"/>
      <c r="Q2915" s="7">
        <f>IF($E2915="","",P2915*Y2915/100)</f>
        <v/>
      </c>
      <c r="R2915" s="7" t="n"/>
      <c r="X2915" s="7" t="n"/>
      <c r="Y2915" s="7" t="n"/>
      <c r="AB2915">
        <f>IF($E2915="","",IF($AQ2915=1,0,IF($AP2915=1,Settings!$C$6,Settings!$C$7))*100)</f>
        <v/>
      </c>
      <c r="AC2915" s="7">
        <f>IF($E2915="","",Y2915*AB2915/100)</f>
        <v/>
      </c>
      <c r="AD2915" s="7">
        <f>IF($E2915="","",Y2915-AC2915)</f>
        <v/>
      </c>
      <c r="AE2915" s="7">
        <f>IF($E2915="","",AD2915-Q2915)</f>
        <v/>
      </c>
      <c r="AI2915" s="7" t="n"/>
      <c r="AL2915" s="11" t="n"/>
      <c r="AN2915">
        <f>IF($E2915="","",IF(COUNTIF($E$2:$E2915,$E2915)=1,1,0))</f>
        <v/>
      </c>
      <c r="AO2915">
        <f>IF($AN2915=1,SUMPRODUCT(--($AR$2:$AR$4001&lt;$AR2915))+1,"")</f>
        <v/>
      </c>
      <c r="AP2915">
        <f>IF($E2915="","",IF(OR($U2915=TRUE(),$U2915="TRUE"),1,0))</f>
        <v/>
      </c>
      <c r="AQ2915">
        <f>IF($E2915="","",IF($AA2915="Yes",1,0))</f>
        <v/>
      </c>
      <c r="AR2915">
        <f>IF($AN2915=1,IFERROR(VALUE(MID($E2915,2,20)),1000000000)+ROW()/100000,"")</f>
        <v/>
      </c>
    </row>
    <row r="2916">
      <c r="G2916" s="11" t="n"/>
      <c r="Q2916" s="7">
        <f>IF($E2916="","",P2916*Y2916/100)</f>
        <v/>
      </c>
      <c r="R2916" s="7" t="n"/>
      <c r="X2916" s="7" t="n"/>
      <c r="Y2916" s="7" t="n"/>
      <c r="AB2916">
        <f>IF($E2916="","",IF($AQ2916=1,0,IF($AP2916=1,Settings!$C$6,Settings!$C$7))*100)</f>
        <v/>
      </c>
      <c r="AC2916" s="7">
        <f>IF($E2916="","",Y2916*AB2916/100)</f>
        <v/>
      </c>
      <c r="AD2916" s="7">
        <f>IF($E2916="","",Y2916-AC2916)</f>
        <v/>
      </c>
      <c r="AE2916" s="7">
        <f>IF($E2916="","",AD2916-Q2916)</f>
        <v/>
      </c>
      <c r="AI2916" s="7" t="n"/>
      <c r="AL2916" s="11" t="n"/>
      <c r="AN2916">
        <f>IF($E2916="","",IF(COUNTIF($E$2:$E2916,$E2916)=1,1,0))</f>
        <v/>
      </c>
      <c r="AO2916">
        <f>IF($AN2916=1,SUMPRODUCT(--($AR$2:$AR$4001&lt;$AR2916))+1,"")</f>
        <v/>
      </c>
      <c r="AP2916">
        <f>IF($E2916="","",IF(OR($U2916=TRUE(),$U2916="TRUE"),1,0))</f>
        <v/>
      </c>
      <c r="AQ2916">
        <f>IF($E2916="","",IF($AA2916="Yes",1,0))</f>
        <v/>
      </c>
      <c r="AR2916">
        <f>IF($AN2916=1,IFERROR(VALUE(MID($E2916,2,20)),1000000000)+ROW()/100000,"")</f>
        <v/>
      </c>
    </row>
    <row r="2917">
      <c r="G2917" s="11" t="n"/>
      <c r="Q2917" s="7">
        <f>IF($E2917="","",P2917*Y2917/100)</f>
        <v/>
      </c>
      <c r="R2917" s="7" t="n"/>
      <c r="X2917" s="7" t="n"/>
      <c r="Y2917" s="7" t="n"/>
      <c r="AB2917">
        <f>IF($E2917="","",IF($AQ2917=1,0,IF($AP2917=1,Settings!$C$6,Settings!$C$7))*100)</f>
        <v/>
      </c>
      <c r="AC2917" s="7">
        <f>IF($E2917="","",Y2917*AB2917/100)</f>
        <v/>
      </c>
      <c r="AD2917" s="7">
        <f>IF($E2917="","",Y2917-AC2917)</f>
        <v/>
      </c>
      <c r="AE2917" s="7">
        <f>IF($E2917="","",AD2917-Q2917)</f>
        <v/>
      </c>
      <c r="AI2917" s="7" t="n"/>
      <c r="AL2917" s="11" t="n"/>
      <c r="AN2917">
        <f>IF($E2917="","",IF(COUNTIF($E$2:$E2917,$E2917)=1,1,0))</f>
        <v/>
      </c>
      <c r="AO2917">
        <f>IF($AN2917=1,SUMPRODUCT(--($AR$2:$AR$4001&lt;$AR2917))+1,"")</f>
        <v/>
      </c>
      <c r="AP2917">
        <f>IF($E2917="","",IF(OR($U2917=TRUE(),$U2917="TRUE"),1,0))</f>
        <v/>
      </c>
      <c r="AQ2917">
        <f>IF($E2917="","",IF($AA2917="Yes",1,0))</f>
        <v/>
      </c>
      <c r="AR2917">
        <f>IF($AN2917=1,IFERROR(VALUE(MID($E2917,2,20)),1000000000)+ROW()/100000,"")</f>
        <v/>
      </c>
    </row>
    <row r="2918">
      <c r="G2918" s="11" t="n"/>
      <c r="Q2918" s="7">
        <f>IF($E2918="","",P2918*Y2918/100)</f>
        <v/>
      </c>
      <c r="R2918" s="7" t="n"/>
      <c r="X2918" s="7" t="n"/>
      <c r="Y2918" s="7" t="n"/>
      <c r="AB2918">
        <f>IF($E2918="","",IF($AQ2918=1,0,IF($AP2918=1,Settings!$C$6,Settings!$C$7))*100)</f>
        <v/>
      </c>
      <c r="AC2918" s="7">
        <f>IF($E2918="","",Y2918*AB2918/100)</f>
        <v/>
      </c>
      <c r="AD2918" s="7">
        <f>IF($E2918="","",Y2918-AC2918)</f>
        <v/>
      </c>
      <c r="AE2918" s="7">
        <f>IF($E2918="","",AD2918-Q2918)</f>
        <v/>
      </c>
      <c r="AI2918" s="7" t="n"/>
      <c r="AL2918" s="11" t="n"/>
      <c r="AN2918">
        <f>IF($E2918="","",IF(COUNTIF($E$2:$E2918,$E2918)=1,1,0))</f>
        <v/>
      </c>
      <c r="AO2918">
        <f>IF($AN2918=1,SUMPRODUCT(--($AR$2:$AR$4001&lt;$AR2918))+1,"")</f>
        <v/>
      </c>
      <c r="AP2918">
        <f>IF($E2918="","",IF(OR($U2918=TRUE(),$U2918="TRUE"),1,0))</f>
        <v/>
      </c>
      <c r="AQ2918">
        <f>IF($E2918="","",IF($AA2918="Yes",1,0))</f>
        <v/>
      </c>
      <c r="AR2918">
        <f>IF($AN2918=1,IFERROR(VALUE(MID($E2918,2,20)),1000000000)+ROW()/100000,"")</f>
        <v/>
      </c>
    </row>
    <row r="2919">
      <c r="G2919" s="11" t="n"/>
      <c r="Q2919" s="7">
        <f>IF($E2919="","",P2919*Y2919/100)</f>
        <v/>
      </c>
      <c r="R2919" s="7" t="n"/>
      <c r="X2919" s="7" t="n"/>
      <c r="Y2919" s="7" t="n"/>
      <c r="AB2919">
        <f>IF($E2919="","",IF($AQ2919=1,0,IF($AP2919=1,Settings!$C$6,Settings!$C$7))*100)</f>
        <v/>
      </c>
      <c r="AC2919" s="7">
        <f>IF($E2919="","",Y2919*AB2919/100)</f>
        <v/>
      </c>
      <c r="AD2919" s="7">
        <f>IF($E2919="","",Y2919-AC2919)</f>
        <v/>
      </c>
      <c r="AE2919" s="7">
        <f>IF($E2919="","",AD2919-Q2919)</f>
        <v/>
      </c>
      <c r="AI2919" s="7" t="n"/>
      <c r="AL2919" s="11" t="n"/>
      <c r="AN2919">
        <f>IF($E2919="","",IF(COUNTIF($E$2:$E2919,$E2919)=1,1,0))</f>
        <v/>
      </c>
      <c r="AO2919">
        <f>IF($AN2919=1,SUMPRODUCT(--($AR$2:$AR$4001&lt;$AR2919))+1,"")</f>
        <v/>
      </c>
      <c r="AP2919">
        <f>IF($E2919="","",IF(OR($U2919=TRUE(),$U2919="TRUE"),1,0))</f>
        <v/>
      </c>
      <c r="AQ2919">
        <f>IF($E2919="","",IF($AA2919="Yes",1,0))</f>
        <v/>
      </c>
      <c r="AR2919">
        <f>IF($AN2919=1,IFERROR(VALUE(MID($E2919,2,20)),1000000000)+ROW()/100000,"")</f>
        <v/>
      </c>
    </row>
    <row r="2920">
      <c r="G2920" s="11" t="n"/>
      <c r="Q2920" s="7">
        <f>IF($E2920="","",P2920*Y2920/100)</f>
        <v/>
      </c>
      <c r="R2920" s="7" t="n"/>
      <c r="X2920" s="7" t="n"/>
      <c r="Y2920" s="7" t="n"/>
      <c r="AB2920">
        <f>IF($E2920="","",IF($AQ2920=1,0,IF($AP2920=1,Settings!$C$6,Settings!$C$7))*100)</f>
        <v/>
      </c>
      <c r="AC2920" s="7">
        <f>IF($E2920="","",Y2920*AB2920/100)</f>
        <v/>
      </c>
      <c r="AD2920" s="7">
        <f>IF($E2920="","",Y2920-AC2920)</f>
        <v/>
      </c>
      <c r="AE2920" s="7">
        <f>IF($E2920="","",AD2920-Q2920)</f>
        <v/>
      </c>
      <c r="AI2920" s="7" t="n"/>
      <c r="AL2920" s="11" t="n"/>
      <c r="AN2920">
        <f>IF($E2920="","",IF(COUNTIF($E$2:$E2920,$E2920)=1,1,0))</f>
        <v/>
      </c>
      <c r="AO2920">
        <f>IF($AN2920=1,SUMPRODUCT(--($AR$2:$AR$4001&lt;$AR2920))+1,"")</f>
        <v/>
      </c>
      <c r="AP2920">
        <f>IF($E2920="","",IF(OR($U2920=TRUE(),$U2920="TRUE"),1,0))</f>
        <v/>
      </c>
      <c r="AQ2920">
        <f>IF($E2920="","",IF($AA2920="Yes",1,0))</f>
        <v/>
      </c>
      <c r="AR2920">
        <f>IF($AN2920=1,IFERROR(VALUE(MID($E2920,2,20)),1000000000)+ROW()/100000,"")</f>
        <v/>
      </c>
    </row>
    <row r="2921">
      <c r="G2921" s="11" t="n"/>
      <c r="Q2921" s="7">
        <f>IF($E2921="","",P2921*Y2921/100)</f>
        <v/>
      </c>
      <c r="R2921" s="7" t="n"/>
      <c r="X2921" s="7" t="n"/>
      <c r="Y2921" s="7" t="n"/>
      <c r="AB2921">
        <f>IF($E2921="","",IF($AQ2921=1,0,IF($AP2921=1,Settings!$C$6,Settings!$C$7))*100)</f>
        <v/>
      </c>
      <c r="AC2921" s="7">
        <f>IF($E2921="","",Y2921*AB2921/100)</f>
        <v/>
      </c>
      <c r="AD2921" s="7">
        <f>IF($E2921="","",Y2921-AC2921)</f>
        <v/>
      </c>
      <c r="AE2921" s="7">
        <f>IF($E2921="","",AD2921-Q2921)</f>
        <v/>
      </c>
      <c r="AI2921" s="7" t="n"/>
      <c r="AL2921" s="11" t="n"/>
      <c r="AN2921">
        <f>IF($E2921="","",IF(COUNTIF($E$2:$E2921,$E2921)=1,1,0))</f>
        <v/>
      </c>
      <c r="AO2921">
        <f>IF($AN2921=1,SUMPRODUCT(--($AR$2:$AR$4001&lt;$AR2921))+1,"")</f>
        <v/>
      </c>
      <c r="AP2921">
        <f>IF($E2921="","",IF(OR($U2921=TRUE(),$U2921="TRUE"),1,0))</f>
        <v/>
      </c>
      <c r="AQ2921">
        <f>IF($E2921="","",IF($AA2921="Yes",1,0))</f>
        <v/>
      </c>
      <c r="AR2921">
        <f>IF($AN2921=1,IFERROR(VALUE(MID($E2921,2,20)),1000000000)+ROW()/100000,"")</f>
        <v/>
      </c>
    </row>
    <row r="2922">
      <c r="G2922" s="11" t="n"/>
      <c r="Q2922" s="7">
        <f>IF($E2922="","",P2922*Y2922/100)</f>
        <v/>
      </c>
      <c r="R2922" s="7" t="n"/>
      <c r="X2922" s="7" t="n"/>
      <c r="Y2922" s="7" t="n"/>
      <c r="AB2922">
        <f>IF($E2922="","",IF($AQ2922=1,0,IF($AP2922=1,Settings!$C$6,Settings!$C$7))*100)</f>
        <v/>
      </c>
      <c r="AC2922" s="7">
        <f>IF($E2922="","",Y2922*AB2922/100)</f>
        <v/>
      </c>
      <c r="AD2922" s="7">
        <f>IF($E2922="","",Y2922-AC2922)</f>
        <v/>
      </c>
      <c r="AE2922" s="7">
        <f>IF($E2922="","",AD2922-Q2922)</f>
        <v/>
      </c>
      <c r="AI2922" s="7" t="n"/>
      <c r="AL2922" s="11" t="n"/>
      <c r="AN2922">
        <f>IF($E2922="","",IF(COUNTIF($E$2:$E2922,$E2922)=1,1,0))</f>
        <v/>
      </c>
      <c r="AO2922">
        <f>IF($AN2922=1,SUMPRODUCT(--($AR$2:$AR$4001&lt;$AR2922))+1,"")</f>
        <v/>
      </c>
      <c r="AP2922">
        <f>IF($E2922="","",IF(OR($U2922=TRUE(),$U2922="TRUE"),1,0))</f>
        <v/>
      </c>
      <c r="AQ2922">
        <f>IF($E2922="","",IF($AA2922="Yes",1,0))</f>
        <v/>
      </c>
      <c r="AR2922">
        <f>IF($AN2922=1,IFERROR(VALUE(MID($E2922,2,20)),1000000000)+ROW()/100000,"")</f>
        <v/>
      </c>
    </row>
    <row r="2923">
      <c r="G2923" s="11" t="n"/>
      <c r="Q2923" s="7">
        <f>IF($E2923="","",P2923*Y2923/100)</f>
        <v/>
      </c>
      <c r="R2923" s="7" t="n"/>
      <c r="X2923" s="7" t="n"/>
      <c r="Y2923" s="7" t="n"/>
      <c r="AB2923">
        <f>IF($E2923="","",IF($AQ2923=1,0,IF($AP2923=1,Settings!$C$6,Settings!$C$7))*100)</f>
        <v/>
      </c>
      <c r="AC2923" s="7">
        <f>IF($E2923="","",Y2923*AB2923/100)</f>
        <v/>
      </c>
      <c r="AD2923" s="7">
        <f>IF($E2923="","",Y2923-AC2923)</f>
        <v/>
      </c>
      <c r="AE2923" s="7">
        <f>IF($E2923="","",AD2923-Q2923)</f>
        <v/>
      </c>
      <c r="AI2923" s="7" t="n"/>
      <c r="AL2923" s="11" t="n"/>
      <c r="AN2923">
        <f>IF($E2923="","",IF(COUNTIF($E$2:$E2923,$E2923)=1,1,0))</f>
        <v/>
      </c>
      <c r="AO2923">
        <f>IF($AN2923=1,SUMPRODUCT(--($AR$2:$AR$4001&lt;$AR2923))+1,"")</f>
        <v/>
      </c>
      <c r="AP2923">
        <f>IF($E2923="","",IF(OR($U2923=TRUE(),$U2923="TRUE"),1,0))</f>
        <v/>
      </c>
      <c r="AQ2923">
        <f>IF($E2923="","",IF($AA2923="Yes",1,0))</f>
        <v/>
      </c>
      <c r="AR2923">
        <f>IF($AN2923=1,IFERROR(VALUE(MID($E2923,2,20)),1000000000)+ROW()/100000,"")</f>
        <v/>
      </c>
    </row>
    <row r="2924">
      <c r="G2924" s="11" t="n"/>
      <c r="Q2924" s="7">
        <f>IF($E2924="","",P2924*Y2924/100)</f>
        <v/>
      </c>
      <c r="R2924" s="7" t="n"/>
      <c r="X2924" s="7" t="n"/>
      <c r="Y2924" s="7" t="n"/>
      <c r="AB2924">
        <f>IF($E2924="","",IF($AQ2924=1,0,IF($AP2924=1,Settings!$C$6,Settings!$C$7))*100)</f>
        <v/>
      </c>
      <c r="AC2924" s="7">
        <f>IF($E2924="","",Y2924*AB2924/100)</f>
        <v/>
      </c>
      <c r="AD2924" s="7">
        <f>IF($E2924="","",Y2924-AC2924)</f>
        <v/>
      </c>
      <c r="AE2924" s="7">
        <f>IF($E2924="","",AD2924-Q2924)</f>
        <v/>
      </c>
      <c r="AI2924" s="7" t="n"/>
      <c r="AL2924" s="11" t="n"/>
      <c r="AN2924">
        <f>IF($E2924="","",IF(COUNTIF($E$2:$E2924,$E2924)=1,1,0))</f>
        <v/>
      </c>
      <c r="AO2924">
        <f>IF($AN2924=1,SUMPRODUCT(--($AR$2:$AR$4001&lt;$AR2924))+1,"")</f>
        <v/>
      </c>
      <c r="AP2924">
        <f>IF($E2924="","",IF(OR($U2924=TRUE(),$U2924="TRUE"),1,0))</f>
        <v/>
      </c>
      <c r="AQ2924">
        <f>IF($E2924="","",IF($AA2924="Yes",1,0))</f>
        <v/>
      </c>
      <c r="AR2924">
        <f>IF($AN2924=1,IFERROR(VALUE(MID($E2924,2,20)),1000000000)+ROW()/100000,"")</f>
        <v/>
      </c>
    </row>
    <row r="2925">
      <c r="G2925" s="11" t="n"/>
      <c r="Q2925" s="7">
        <f>IF($E2925="","",P2925*Y2925/100)</f>
        <v/>
      </c>
      <c r="R2925" s="7" t="n"/>
      <c r="X2925" s="7" t="n"/>
      <c r="Y2925" s="7" t="n"/>
      <c r="AB2925">
        <f>IF($E2925="","",IF($AQ2925=1,0,IF($AP2925=1,Settings!$C$6,Settings!$C$7))*100)</f>
        <v/>
      </c>
      <c r="AC2925" s="7">
        <f>IF($E2925="","",Y2925*AB2925/100)</f>
        <v/>
      </c>
      <c r="AD2925" s="7">
        <f>IF($E2925="","",Y2925-AC2925)</f>
        <v/>
      </c>
      <c r="AE2925" s="7">
        <f>IF($E2925="","",AD2925-Q2925)</f>
        <v/>
      </c>
      <c r="AI2925" s="7" t="n"/>
      <c r="AL2925" s="11" t="n"/>
      <c r="AN2925">
        <f>IF($E2925="","",IF(COUNTIF($E$2:$E2925,$E2925)=1,1,0))</f>
        <v/>
      </c>
      <c r="AO2925">
        <f>IF($AN2925=1,SUMPRODUCT(--($AR$2:$AR$4001&lt;$AR2925))+1,"")</f>
        <v/>
      </c>
      <c r="AP2925">
        <f>IF($E2925="","",IF(OR($U2925=TRUE(),$U2925="TRUE"),1,0))</f>
        <v/>
      </c>
      <c r="AQ2925">
        <f>IF($E2925="","",IF($AA2925="Yes",1,0))</f>
        <v/>
      </c>
      <c r="AR2925">
        <f>IF($AN2925=1,IFERROR(VALUE(MID($E2925,2,20)),1000000000)+ROW()/100000,"")</f>
        <v/>
      </c>
    </row>
    <row r="2926">
      <c r="G2926" s="11" t="n"/>
      <c r="Q2926" s="7">
        <f>IF($E2926="","",P2926*Y2926/100)</f>
        <v/>
      </c>
      <c r="R2926" s="7" t="n"/>
      <c r="X2926" s="7" t="n"/>
      <c r="Y2926" s="7" t="n"/>
      <c r="AB2926">
        <f>IF($E2926="","",IF($AQ2926=1,0,IF($AP2926=1,Settings!$C$6,Settings!$C$7))*100)</f>
        <v/>
      </c>
      <c r="AC2926" s="7">
        <f>IF($E2926="","",Y2926*AB2926/100)</f>
        <v/>
      </c>
      <c r="AD2926" s="7">
        <f>IF($E2926="","",Y2926-AC2926)</f>
        <v/>
      </c>
      <c r="AE2926" s="7">
        <f>IF($E2926="","",AD2926-Q2926)</f>
        <v/>
      </c>
      <c r="AI2926" s="7" t="n"/>
      <c r="AL2926" s="11" t="n"/>
      <c r="AN2926">
        <f>IF($E2926="","",IF(COUNTIF($E$2:$E2926,$E2926)=1,1,0))</f>
        <v/>
      </c>
      <c r="AO2926">
        <f>IF($AN2926=1,SUMPRODUCT(--($AR$2:$AR$4001&lt;$AR2926))+1,"")</f>
        <v/>
      </c>
      <c r="AP2926">
        <f>IF($E2926="","",IF(OR($U2926=TRUE(),$U2926="TRUE"),1,0))</f>
        <v/>
      </c>
      <c r="AQ2926">
        <f>IF($E2926="","",IF($AA2926="Yes",1,0))</f>
        <v/>
      </c>
      <c r="AR2926">
        <f>IF($AN2926=1,IFERROR(VALUE(MID($E2926,2,20)),1000000000)+ROW()/100000,"")</f>
        <v/>
      </c>
    </row>
    <row r="2927">
      <c r="G2927" s="11" t="n"/>
      <c r="Q2927" s="7">
        <f>IF($E2927="","",P2927*Y2927/100)</f>
        <v/>
      </c>
      <c r="R2927" s="7" t="n"/>
      <c r="X2927" s="7" t="n"/>
      <c r="Y2927" s="7" t="n"/>
      <c r="AB2927">
        <f>IF($E2927="","",IF($AQ2927=1,0,IF($AP2927=1,Settings!$C$6,Settings!$C$7))*100)</f>
        <v/>
      </c>
      <c r="AC2927" s="7">
        <f>IF($E2927="","",Y2927*AB2927/100)</f>
        <v/>
      </c>
      <c r="AD2927" s="7">
        <f>IF($E2927="","",Y2927-AC2927)</f>
        <v/>
      </c>
      <c r="AE2927" s="7">
        <f>IF($E2927="","",AD2927-Q2927)</f>
        <v/>
      </c>
      <c r="AI2927" s="7" t="n"/>
      <c r="AL2927" s="11" t="n"/>
      <c r="AN2927">
        <f>IF($E2927="","",IF(COUNTIF($E$2:$E2927,$E2927)=1,1,0))</f>
        <v/>
      </c>
      <c r="AO2927">
        <f>IF($AN2927=1,SUMPRODUCT(--($AR$2:$AR$4001&lt;$AR2927))+1,"")</f>
        <v/>
      </c>
      <c r="AP2927">
        <f>IF($E2927="","",IF(OR($U2927=TRUE(),$U2927="TRUE"),1,0))</f>
        <v/>
      </c>
      <c r="AQ2927">
        <f>IF($E2927="","",IF($AA2927="Yes",1,0))</f>
        <v/>
      </c>
      <c r="AR2927">
        <f>IF($AN2927=1,IFERROR(VALUE(MID($E2927,2,20)),1000000000)+ROW()/100000,"")</f>
        <v/>
      </c>
    </row>
    <row r="2928">
      <c r="G2928" s="11" t="n"/>
      <c r="Q2928" s="7">
        <f>IF($E2928="","",P2928*Y2928/100)</f>
        <v/>
      </c>
      <c r="R2928" s="7" t="n"/>
      <c r="X2928" s="7" t="n"/>
      <c r="Y2928" s="7" t="n"/>
      <c r="AB2928">
        <f>IF($E2928="","",IF($AQ2928=1,0,IF($AP2928=1,Settings!$C$6,Settings!$C$7))*100)</f>
        <v/>
      </c>
      <c r="AC2928" s="7">
        <f>IF($E2928="","",Y2928*AB2928/100)</f>
        <v/>
      </c>
      <c r="AD2928" s="7">
        <f>IF($E2928="","",Y2928-AC2928)</f>
        <v/>
      </c>
      <c r="AE2928" s="7">
        <f>IF($E2928="","",AD2928-Q2928)</f>
        <v/>
      </c>
      <c r="AI2928" s="7" t="n"/>
      <c r="AL2928" s="11" t="n"/>
      <c r="AN2928">
        <f>IF($E2928="","",IF(COUNTIF($E$2:$E2928,$E2928)=1,1,0))</f>
        <v/>
      </c>
      <c r="AO2928">
        <f>IF($AN2928=1,SUMPRODUCT(--($AR$2:$AR$4001&lt;$AR2928))+1,"")</f>
        <v/>
      </c>
      <c r="AP2928">
        <f>IF($E2928="","",IF(OR($U2928=TRUE(),$U2928="TRUE"),1,0))</f>
        <v/>
      </c>
      <c r="AQ2928">
        <f>IF($E2928="","",IF($AA2928="Yes",1,0))</f>
        <v/>
      </c>
      <c r="AR2928">
        <f>IF($AN2928=1,IFERROR(VALUE(MID($E2928,2,20)),1000000000)+ROW()/100000,"")</f>
        <v/>
      </c>
    </row>
    <row r="2929">
      <c r="G2929" s="11" t="n"/>
      <c r="Q2929" s="7">
        <f>IF($E2929="","",P2929*Y2929/100)</f>
        <v/>
      </c>
      <c r="R2929" s="7" t="n"/>
      <c r="X2929" s="7" t="n"/>
      <c r="Y2929" s="7" t="n"/>
      <c r="AB2929">
        <f>IF($E2929="","",IF($AQ2929=1,0,IF($AP2929=1,Settings!$C$6,Settings!$C$7))*100)</f>
        <v/>
      </c>
      <c r="AC2929" s="7">
        <f>IF($E2929="","",Y2929*AB2929/100)</f>
        <v/>
      </c>
      <c r="AD2929" s="7">
        <f>IF($E2929="","",Y2929-AC2929)</f>
        <v/>
      </c>
      <c r="AE2929" s="7">
        <f>IF($E2929="","",AD2929-Q2929)</f>
        <v/>
      </c>
      <c r="AI2929" s="7" t="n"/>
      <c r="AL2929" s="11" t="n"/>
      <c r="AN2929">
        <f>IF($E2929="","",IF(COUNTIF($E$2:$E2929,$E2929)=1,1,0))</f>
        <v/>
      </c>
      <c r="AO2929">
        <f>IF($AN2929=1,SUMPRODUCT(--($AR$2:$AR$4001&lt;$AR2929))+1,"")</f>
        <v/>
      </c>
      <c r="AP2929">
        <f>IF($E2929="","",IF(OR($U2929=TRUE(),$U2929="TRUE"),1,0))</f>
        <v/>
      </c>
      <c r="AQ2929">
        <f>IF($E2929="","",IF($AA2929="Yes",1,0))</f>
        <v/>
      </c>
      <c r="AR2929">
        <f>IF($AN2929=1,IFERROR(VALUE(MID($E2929,2,20)),1000000000)+ROW()/100000,"")</f>
        <v/>
      </c>
    </row>
    <row r="2930">
      <c r="G2930" s="11" t="n"/>
      <c r="Q2930" s="7">
        <f>IF($E2930="","",P2930*Y2930/100)</f>
        <v/>
      </c>
      <c r="R2930" s="7" t="n"/>
      <c r="X2930" s="7" t="n"/>
      <c r="Y2930" s="7" t="n"/>
      <c r="AB2930">
        <f>IF($E2930="","",IF($AQ2930=1,0,IF($AP2930=1,Settings!$C$6,Settings!$C$7))*100)</f>
        <v/>
      </c>
      <c r="AC2930" s="7">
        <f>IF($E2930="","",Y2930*AB2930/100)</f>
        <v/>
      </c>
      <c r="AD2930" s="7">
        <f>IF($E2930="","",Y2930-AC2930)</f>
        <v/>
      </c>
      <c r="AE2930" s="7">
        <f>IF($E2930="","",AD2930-Q2930)</f>
        <v/>
      </c>
      <c r="AI2930" s="7" t="n"/>
      <c r="AL2930" s="11" t="n"/>
      <c r="AN2930">
        <f>IF($E2930="","",IF(COUNTIF($E$2:$E2930,$E2930)=1,1,0))</f>
        <v/>
      </c>
      <c r="AO2930">
        <f>IF($AN2930=1,SUMPRODUCT(--($AR$2:$AR$4001&lt;$AR2930))+1,"")</f>
        <v/>
      </c>
      <c r="AP2930">
        <f>IF($E2930="","",IF(OR($U2930=TRUE(),$U2930="TRUE"),1,0))</f>
        <v/>
      </c>
      <c r="AQ2930">
        <f>IF($E2930="","",IF($AA2930="Yes",1,0))</f>
        <v/>
      </c>
      <c r="AR2930">
        <f>IF($AN2930=1,IFERROR(VALUE(MID($E2930,2,20)),1000000000)+ROW()/100000,"")</f>
        <v/>
      </c>
    </row>
    <row r="2931">
      <c r="G2931" s="11" t="n"/>
      <c r="Q2931" s="7">
        <f>IF($E2931="","",P2931*Y2931/100)</f>
        <v/>
      </c>
      <c r="R2931" s="7" t="n"/>
      <c r="X2931" s="7" t="n"/>
      <c r="Y2931" s="7" t="n"/>
      <c r="AB2931">
        <f>IF($E2931="","",IF($AQ2931=1,0,IF($AP2931=1,Settings!$C$6,Settings!$C$7))*100)</f>
        <v/>
      </c>
      <c r="AC2931" s="7">
        <f>IF($E2931="","",Y2931*AB2931/100)</f>
        <v/>
      </c>
      <c r="AD2931" s="7">
        <f>IF($E2931="","",Y2931-AC2931)</f>
        <v/>
      </c>
      <c r="AE2931" s="7">
        <f>IF($E2931="","",AD2931-Q2931)</f>
        <v/>
      </c>
      <c r="AI2931" s="7" t="n"/>
      <c r="AL2931" s="11" t="n"/>
      <c r="AN2931">
        <f>IF($E2931="","",IF(COUNTIF($E$2:$E2931,$E2931)=1,1,0))</f>
        <v/>
      </c>
      <c r="AO2931">
        <f>IF($AN2931=1,SUMPRODUCT(--($AR$2:$AR$4001&lt;$AR2931))+1,"")</f>
        <v/>
      </c>
      <c r="AP2931">
        <f>IF($E2931="","",IF(OR($U2931=TRUE(),$U2931="TRUE"),1,0))</f>
        <v/>
      </c>
      <c r="AQ2931">
        <f>IF($E2931="","",IF($AA2931="Yes",1,0))</f>
        <v/>
      </c>
      <c r="AR2931">
        <f>IF($AN2931=1,IFERROR(VALUE(MID($E2931,2,20)),1000000000)+ROW()/100000,"")</f>
        <v/>
      </c>
    </row>
    <row r="2932">
      <c r="G2932" s="11" t="n"/>
      <c r="Q2932" s="7">
        <f>IF($E2932="","",P2932*Y2932/100)</f>
        <v/>
      </c>
      <c r="R2932" s="7" t="n"/>
      <c r="X2932" s="7" t="n"/>
      <c r="Y2932" s="7" t="n"/>
      <c r="AB2932">
        <f>IF($E2932="","",IF($AQ2932=1,0,IF($AP2932=1,Settings!$C$6,Settings!$C$7))*100)</f>
        <v/>
      </c>
      <c r="AC2932" s="7">
        <f>IF($E2932="","",Y2932*AB2932/100)</f>
        <v/>
      </c>
      <c r="AD2932" s="7">
        <f>IF($E2932="","",Y2932-AC2932)</f>
        <v/>
      </c>
      <c r="AE2932" s="7">
        <f>IF($E2932="","",AD2932-Q2932)</f>
        <v/>
      </c>
      <c r="AI2932" s="7" t="n"/>
      <c r="AL2932" s="11" t="n"/>
      <c r="AN2932">
        <f>IF($E2932="","",IF(COUNTIF($E$2:$E2932,$E2932)=1,1,0))</f>
        <v/>
      </c>
      <c r="AO2932">
        <f>IF($AN2932=1,SUMPRODUCT(--($AR$2:$AR$4001&lt;$AR2932))+1,"")</f>
        <v/>
      </c>
      <c r="AP2932">
        <f>IF($E2932="","",IF(OR($U2932=TRUE(),$U2932="TRUE"),1,0))</f>
        <v/>
      </c>
      <c r="AQ2932">
        <f>IF($E2932="","",IF($AA2932="Yes",1,0))</f>
        <v/>
      </c>
      <c r="AR2932">
        <f>IF($AN2932=1,IFERROR(VALUE(MID($E2932,2,20)),1000000000)+ROW()/100000,"")</f>
        <v/>
      </c>
    </row>
    <row r="2933">
      <c r="G2933" s="11" t="n"/>
      <c r="Q2933" s="7">
        <f>IF($E2933="","",P2933*Y2933/100)</f>
        <v/>
      </c>
      <c r="R2933" s="7" t="n"/>
      <c r="X2933" s="7" t="n"/>
      <c r="Y2933" s="7" t="n"/>
      <c r="AB2933">
        <f>IF($E2933="","",IF($AQ2933=1,0,IF($AP2933=1,Settings!$C$6,Settings!$C$7))*100)</f>
        <v/>
      </c>
      <c r="AC2933" s="7">
        <f>IF($E2933="","",Y2933*AB2933/100)</f>
        <v/>
      </c>
      <c r="AD2933" s="7">
        <f>IF($E2933="","",Y2933-AC2933)</f>
        <v/>
      </c>
      <c r="AE2933" s="7">
        <f>IF($E2933="","",AD2933-Q2933)</f>
        <v/>
      </c>
      <c r="AI2933" s="7" t="n"/>
      <c r="AL2933" s="11" t="n"/>
      <c r="AN2933">
        <f>IF($E2933="","",IF(COUNTIF($E$2:$E2933,$E2933)=1,1,0))</f>
        <v/>
      </c>
      <c r="AO2933">
        <f>IF($AN2933=1,SUMPRODUCT(--($AR$2:$AR$4001&lt;$AR2933))+1,"")</f>
        <v/>
      </c>
      <c r="AP2933">
        <f>IF($E2933="","",IF(OR($U2933=TRUE(),$U2933="TRUE"),1,0))</f>
        <v/>
      </c>
      <c r="AQ2933">
        <f>IF($E2933="","",IF($AA2933="Yes",1,0))</f>
        <v/>
      </c>
      <c r="AR2933">
        <f>IF($AN2933=1,IFERROR(VALUE(MID($E2933,2,20)),1000000000)+ROW()/100000,"")</f>
        <v/>
      </c>
    </row>
    <row r="2934">
      <c r="G2934" s="11" t="n"/>
      <c r="Q2934" s="7">
        <f>IF($E2934="","",P2934*Y2934/100)</f>
        <v/>
      </c>
      <c r="R2934" s="7" t="n"/>
      <c r="X2934" s="7" t="n"/>
      <c r="Y2934" s="7" t="n"/>
      <c r="AB2934">
        <f>IF($E2934="","",IF($AQ2934=1,0,IF($AP2934=1,Settings!$C$6,Settings!$C$7))*100)</f>
        <v/>
      </c>
      <c r="AC2934" s="7">
        <f>IF($E2934="","",Y2934*AB2934/100)</f>
        <v/>
      </c>
      <c r="AD2934" s="7">
        <f>IF($E2934="","",Y2934-AC2934)</f>
        <v/>
      </c>
      <c r="AE2934" s="7">
        <f>IF($E2934="","",AD2934-Q2934)</f>
        <v/>
      </c>
      <c r="AI2934" s="7" t="n"/>
      <c r="AL2934" s="11" t="n"/>
      <c r="AN2934">
        <f>IF($E2934="","",IF(COUNTIF($E$2:$E2934,$E2934)=1,1,0))</f>
        <v/>
      </c>
      <c r="AO2934">
        <f>IF($AN2934=1,SUMPRODUCT(--($AR$2:$AR$4001&lt;$AR2934))+1,"")</f>
        <v/>
      </c>
      <c r="AP2934">
        <f>IF($E2934="","",IF(OR($U2934=TRUE(),$U2934="TRUE"),1,0))</f>
        <v/>
      </c>
      <c r="AQ2934">
        <f>IF($E2934="","",IF($AA2934="Yes",1,0))</f>
        <v/>
      </c>
      <c r="AR2934">
        <f>IF($AN2934=1,IFERROR(VALUE(MID($E2934,2,20)),1000000000)+ROW()/100000,"")</f>
        <v/>
      </c>
    </row>
    <row r="2935">
      <c r="G2935" s="11" t="n"/>
      <c r="Q2935" s="7">
        <f>IF($E2935="","",P2935*Y2935/100)</f>
        <v/>
      </c>
      <c r="R2935" s="7" t="n"/>
      <c r="X2935" s="7" t="n"/>
      <c r="Y2935" s="7" t="n"/>
      <c r="AB2935">
        <f>IF($E2935="","",IF($AQ2935=1,0,IF($AP2935=1,Settings!$C$6,Settings!$C$7))*100)</f>
        <v/>
      </c>
      <c r="AC2935" s="7">
        <f>IF($E2935="","",Y2935*AB2935/100)</f>
        <v/>
      </c>
      <c r="AD2935" s="7">
        <f>IF($E2935="","",Y2935-AC2935)</f>
        <v/>
      </c>
      <c r="AE2935" s="7">
        <f>IF($E2935="","",AD2935-Q2935)</f>
        <v/>
      </c>
      <c r="AI2935" s="7" t="n"/>
      <c r="AL2935" s="11" t="n"/>
      <c r="AN2935">
        <f>IF($E2935="","",IF(COUNTIF($E$2:$E2935,$E2935)=1,1,0))</f>
        <v/>
      </c>
      <c r="AO2935">
        <f>IF($AN2935=1,SUMPRODUCT(--($AR$2:$AR$4001&lt;$AR2935))+1,"")</f>
        <v/>
      </c>
      <c r="AP2935">
        <f>IF($E2935="","",IF(OR($U2935=TRUE(),$U2935="TRUE"),1,0))</f>
        <v/>
      </c>
      <c r="AQ2935">
        <f>IF($E2935="","",IF($AA2935="Yes",1,0))</f>
        <v/>
      </c>
      <c r="AR2935">
        <f>IF($AN2935=1,IFERROR(VALUE(MID($E2935,2,20)),1000000000)+ROW()/100000,"")</f>
        <v/>
      </c>
    </row>
    <row r="2936">
      <c r="G2936" s="11" t="n"/>
      <c r="Q2936" s="7">
        <f>IF($E2936="","",P2936*Y2936/100)</f>
        <v/>
      </c>
      <c r="R2936" s="7" t="n"/>
      <c r="X2936" s="7" t="n"/>
      <c r="Y2936" s="7" t="n"/>
      <c r="AB2936">
        <f>IF($E2936="","",IF($AQ2936=1,0,IF($AP2936=1,Settings!$C$6,Settings!$C$7))*100)</f>
        <v/>
      </c>
      <c r="AC2936" s="7">
        <f>IF($E2936="","",Y2936*AB2936/100)</f>
        <v/>
      </c>
      <c r="AD2936" s="7">
        <f>IF($E2936="","",Y2936-AC2936)</f>
        <v/>
      </c>
      <c r="AE2936" s="7">
        <f>IF($E2936="","",AD2936-Q2936)</f>
        <v/>
      </c>
      <c r="AI2936" s="7" t="n"/>
      <c r="AL2936" s="11" t="n"/>
      <c r="AN2936">
        <f>IF($E2936="","",IF(COUNTIF($E$2:$E2936,$E2936)=1,1,0))</f>
        <v/>
      </c>
      <c r="AO2936">
        <f>IF($AN2936=1,SUMPRODUCT(--($AR$2:$AR$4001&lt;$AR2936))+1,"")</f>
        <v/>
      </c>
      <c r="AP2936">
        <f>IF($E2936="","",IF(OR($U2936=TRUE(),$U2936="TRUE"),1,0))</f>
        <v/>
      </c>
      <c r="AQ2936">
        <f>IF($E2936="","",IF($AA2936="Yes",1,0))</f>
        <v/>
      </c>
      <c r="AR2936">
        <f>IF($AN2936=1,IFERROR(VALUE(MID($E2936,2,20)),1000000000)+ROW()/100000,"")</f>
        <v/>
      </c>
    </row>
    <row r="2937">
      <c r="G2937" s="11" t="n"/>
      <c r="Q2937" s="7">
        <f>IF($E2937="","",P2937*Y2937/100)</f>
        <v/>
      </c>
      <c r="R2937" s="7" t="n"/>
      <c r="X2937" s="7" t="n"/>
      <c r="Y2937" s="7" t="n"/>
      <c r="AB2937">
        <f>IF($E2937="","",IF($AQ2937=1,0,IF($AP2937=1,Settings!$C$6,Settings!$C$7))*100)</f>
        <v/>
      </c>
      <c r="AC2937" s="7">
        <f>IF($E2937="","",Y2937*AB2937/100)</f>
        <v/>
      </c>
      <c r="AD2937" s="7">
        <f>IF($E2937="","",Y2937-AC2937)</f>
        <v/>
      </c>
      <c r="AE2937" s="7">
        <f>IF($E2937="","",AD2937-Q2937)</f>
        <v/>
      </c>
      <c r="AI2937" s="7" t="n"/>
      <c r="AL2937" s="11" t="n"/>
      <c r="AN2937">
        <f>IF($E2937="","",IF(COUNTIF($E$2:$E2937,$E2937)=1,1,0))</f>
        <v/>
      </c>
      <c r="AO2937">
        <f>IF($AN2937=1,SUMPRODUCT(--($AR$2:$AR$4001&lt;$AR2937))+1,"")</f>
        <v/>
      </c>
      <c r="AP2937">
        <f>IF($E2937="","",IF(OR($U2937=TRUE(),$U2937="TRUE"),1,0))</f>
        <v/>
      </c>
      <c r="AQ2937">
        <f>IF($E2937="","",IF($AA2937="Yes",1,0))</f>
        <v/>
      </c>
      <c r="AR2937">
        <f>IF($AN2937=1,IFERROR(VALUE(MID($E2937,2,20)),1000000000)+ROW()/100000,"")</f>
        <v/>
      </c>
    </row>
    <row r="2938">
      <c r="G2938" s="11" t="n"/>
      <c r="Q2938" s="7">
        <f>IF($E2938="","",P2938*Y2938/100)</f>
        <v/>
      </c>
      <c r="R2938" s="7" t="n"/>
      <c r="X2938" s="7" t="n"/>
      <c r="Y2938" s="7" t="n"/>
      <c r="AB2938">
        <f>IF($E2938="","",IF($AQ2938=1,0,IF($AP2938=1,Settings!$C$6,Settings!$C$7))*100)</f>
        <v/>
      </c>
      <c r="AC2938" s="7">
        <f>IF($E2938="","",Y2938*AB2938/100)</f>
        <v/>
      </c>
      <c r="AD2938" s="7">
        <f>IF($E2938="","",Y2938-AC2938)</f>
        <v/>
      </c>
      <c r="AE2938" s="7">
        <f>IF($E2938="","",AD2938-Q2938)</f>
        <v/>
      </c>
      <c r="AI2938" s="7" t="n"/>
      <c r="AL2938" s="11" t="n"/>
      <c r="AN2938">
        <f>IF($E2938="","",IF(COUNTIF($E$2:$E2938,$E2938)=1,1,0))</f>
        <v/>
      </c>
      <c r="AO2938">
        <f>IF($AN2938=1,SUMPRODUCT(--($AR$2:$AR$4001&lt;$AR2938))+1,"")</f>
        <v/>
      </c>
      <c r="AP2938">
        <f>IF($E2938="","",IF(OR($U2938=TRUE(),$U2938="TRUE"),1,0))</f>
        <v/>
      </c>
      <c r="AQ2938">
        <f>IF($E2938="","",IF($AA2938="Yes",1,0))</f>
        <v/>
      </c>
      <c r="AR2938">
        <f>IF($AN2938=1,IFERROR(VALUE(MID($E2938,2,20)),1000000000)+ROW()/100000,"")</f>
        <v/>
      </c>
    </row>
    <row r="2939">
      <c r="G2939" s="11" t="n"/>
      <c r="Q2939" s="7">
        <f>IF($E2939="","",P2939*Y2939/100)</f>
        <v/>
      </c>
      <c r="R2939" s="7" t="n"/>
      <c r="X2939" s="7" t="n"/>
      <c r="Y2939" s="7" t="n"/>
      <c r="AB2939">
        <f>IF($E2939="","",IF($AQ2939=1,0,IF($AP2939=1,Settings!$C$6,Settings!$C$7))*100)</f>
        <v/>
      </c>
      <c r="AC2939" s="7">
        <f>IF($E2939="","",Y2939*AB2939/100)</f>
        <v/>
      </c>
      <c r="AD2939" s="7">
        <f>IF($E2939="","",Y2939-AC2939)</f>
        <v/>
      </c>
      <c r="AE2939" s="7">
        <f>IF($E2939="","",AD2939-Q2939)</f>
        <v/>
      </c>
      <c r="AI2939" s="7" t="n"/>
      <c r="AL2939" s="11" t="n"/>
      <c r="AN2939">
        <f>IF($E2939="","",IF(COUNTIF($E$2:$E2939,$E2939)=1,1,0))</f>
        <v/>
      </c>
      <c r="AO2939">
        <f>IF($AN2939=1,SUMPRODUCT(--($AR$2:$AR$4001&lt;$AR2939))+1,"")</f>
        <v/>
      </c>
      <c r="AP2939">
        <f>IF($E2939="","",IF(OR($U2939=TRUE(),$U2939="TRUE"),1,0))</f>
        <v/>
      </c>
      <c r="AQ2939">
        <f>IF($E2939="","",IF($AA2939="Yes",1,0))</f>
        <v/>
      </c>
      <c r="AR2939">
        <f>IF($AN2939=1,IFERROR(VALUE(MID($E2939,2,20)),1000000000)+ROW()/100000,"")</f>
        <v/>
      </c>
    </row>
    <row r="2940">
      <c r="G2940" s="11" t="n"/>
      <c r="Q2940" s="7">
        <f>IF($E2940="","",P2940*Y2940/100)</f>
        <v/>
      </c>
      <c r="R2940" s="7" t="n"/>
      <c r="X2940" s="7" t="n"/>
      <c r="Y2940" s="7" t="n"/>
      <c r="AB2940">
        <f>IF($E2940="","",IF($AQ2940=1,0,IF($AP2940=1,Settings!$C$6,Settings!$C$7))*100)</f>
        <v/>
      </c>
      <c r="AC2940" s="7">
        <f>IF($E2940="","",Y2940*AB2940/100)</f>
        <v/>
      </c>
      <c r="AD2940" s="7">
        <f>IF($E2940="","",Y2940-AC2940)</f>
        <v/>
      </c>
      <c r="AE2940" s="7">
        <f>IF($E2940="","",AD2940-Q2940)</f>
        <v/>
      </c>
      <c r="AI2940" s="7" t="n"/>
      <c r="AL2940" s="11" t="n"/>
      <c r="AN2940">
        <f>IF($E2940="","",IF(COUNTIF($E$2:$E2940,$E2940)=1,1,0))</f>
        <v/>
      </c>
      <c r="AO2940">
        <f>IF($AN2940=1,SUMPRODUCT(--($AR$2:$AR$4001&lt;$AR2940))+1,"")</f>
        <v/>
      </c>
      <c r="AP2940">
        <f>IF($E2940="","",IF(OR($U2940=TRUE(),$U2940="TRUE"),1,0))</f>
        <v/>
      </c>
      <c r="AQ2940">
        <f>IF($E2940="","",IF($AA2940="Yes",1,0))</f>
        <v/>
      </c>
      <c r="AR2940">
        <f>IF($AN2940=1,IFERROR(VALUE(MID($E2940,2,20)),1000000000)+ROW()/100000,"")</f>
        <v/>
      </c>
    </row>
    <row r="2941">
      <c r="G2941" s="11" t="n"/>
      <c r="Q2941" s="7">
        <f>IF($E2941="","",P2941*Y2941/100)</f>
        <v/>
      </c>
      <c r="R2941" s="7" t="n"/>
      <c r="X2941" s="7" t="n"/>
      <c r="Y2941" s="7" t="n"/>
      <c r="AB2941">
        <f>IF($E2941="","",IF($AQ2941=1,0,IF($AP2941=1,Settings!$C$6,Settings!$C$7))*100)</f>
        <v/>
      </c>
      <c r="AC2941" s="7">
        <f>IF($E2941="","",Y2941*AB2941/100)</f>
        <v/>
      </c>
      <c r="AD2941" s="7">
        <f>IF($E2941="","",Y2941-AC2941)</f>
        <v/>
      </c>
      <c r="AE2941" s="7">
        <f>IF($E2941="","",AD2941-Q2941)</f>
        <v/>
      </c>
      <c r="AI2941" s="7" t="n"/>
      <c r="AL2941" s="11" t="n"/>
      <c r="AN2941">
        <f>IF($E2941="","",IF(COUNTIF($E$2:$E2941,$E2941)=1,1,0))</f>
        <v/>
      </c>
      <c r="AO2941">
        <f>IF($AN2941=1,SUMPRODUCT(--($AR$2:$AR$4001&lt;$AR2941))+1,"")</f>
        <v/>
      </c>
      <c r="AP2941">
        <f>IF($E2941="","",IF(OR($U2941=TRUE(),$U2941="TRUE"),1,0))</f>
        <v/>
      </c>
      <c r="AQ2941">
        <f>IF($E2941="","",IF($AA2941="Yes",1,0))</f>
        <v/>
      </c>
      <c r="AR2941">
        <f>IF($AN2941=1,IFERROR(VALUE(MID($E2941,2,20)),1000000000)+ROW()/100000,"")</f>
        <v/>
      </c>
    </row>
    <row r="2942">
      <c r="G2942" s="11" t="n"/>
      <c r="Q2942" s="7">
        <f>IF($E2942="","",P2942*Y2942/100)</f>
        <v/>
      </c>
      <c r="R2942" s="7" t="n"/>
      <c r="X2942" s="7" t="n"/>
      <c r="Y2942" s="7" t="n"/>
      <c r="AB2942">
        <f>IF($E2942="","",IF($AQ2942=1,0,IF($AP2942=1,Settings!$C$6,Settings!$C$7))*100)</f>
        <v/>
      </c>
      <c r="AC2942" s="7">
        <f>IF($E2942="","",Y2942*AB2942/100)</f>
        <v/>
      </c>
      <c r="AD2942" s="7">
        <f>IF($E2942="","",Y2942-AC2942)</f>
        <v/>
      </c>
      <c r="AE2942" s="7">
        <f>IF($E2942="","",AD2942-Q2942)</f>
        <v/>
      </c>
      <c r="AI2942" s="7" t="n"/>
      <c r="AL2942" s="11" t="n"/>
      <c r="AN2942">
        <f>IF($E2942="","",IF(COUNTIF($E$2:$E2942,$E2942)=1,1,0))</f>
        <v/>
      </c>
      <c r="AO2942">
        <f>IF($AN2942=1,SUMPRODUCT(--($AR$2:$AR$4001&lt;$AR2942))+1,"")</f>
        <v/>
      </c>
      <c r="AP2942">
        <f>IF($E2942="","",IF(OR($U2942=TRUE(),$U2942="TRUE"),1,0))</f>
        <v/>
      </c>
      <c r="AQ2942">
        <f>IF($E2942="","",IF($AA2942="Yes",1,0))</f>
        <v/>
      </c>
      <c r="AR2942">
        <f>IF($AN2942=1,IFERROR(VALUE(MID($E2942,2,20)),1000000000)+ROW()/100000,"")</f>
        <v/>
      </c>
    </row>
    <row r="2943">
      <c r="G2943" s="11" t="n"/>
      <c r="Q2943" s="7">
        <f>IF($E2943="","",P2943*Y2943/100)</f>
        <v/>
      </c>
      <c r="R2943" s="7" t="n"/>
      <c r="X2943" s="7" t="n"/>
      <c r="Y2943" s="7" t="n"/>
      <c r="AB2943">
        <f>IF($E2943="","",IF($AQ2943=1,0,IF($AP2943=1,Settings!$C$6,Settings!$C$7))*100)</f>
        <v/>
      </c>
      <c r="AC2943" s="7">
        <f>IF($E2943="","",Y2943*AB2943/100)</f>
        <v/>
      </c>
      <c r="AD2943" s="7">
        <f>IF($E2943="","",Y2943-AC2943)</f>
        <v/>
      </c>
      <c r="AE2943" s="7">
        <f>IF($E2943="","",AD2943-Q2943)</f>
        <v/>
      </c>
      <c r="AI2943" s="7" t="n"/>
      <c r="AL2943" s="11" t="n"/>
      <c r="AN2943">
        <f>IF($E2943="","",IF(COUNTIF($E$2:$E2943,$E2943)=1,1,0))</f>
        <v/>
      </c>
      <c r="AO2943">
        <f>IF($AN2943=1,SUMPRODUCT(--($AR$2:$AR$4001&lt;$AR2943))+1,"")</f>
        <v/>
      </c>
      <c r="AP2943">
        <f>IF($E2943="","",IF(OR($U2943=TRUE(),$U2943="TRUE"),1,0))</f>
        <v/>
      </c>
      <c r="AQ2943">
        <f>IF($E2943="","",IF($AA2943="Yes",1,0))</f>
        <v/>
      </c>
      <c r="AR2943">
        <f>IF($AN2943=1,IFERROR(VALUE(MID($E2943,2,20)),1000000000)+ROW()/100000,"")</f>
        <v/>
      </c>
    </row>
    <row r="2944">
      <c r="G2944" s="11" t="n"/>
      <c r="Q2944" s="7">
        <f>IF($E2944="","",P2944*Y2944/100)</f>
        <v/>
      </c>
      <c r="R2944" s="7" t="n"/>
      <c r="X2944" s="7" t="n"/>
      <c r="Y2944" s="7" t="n"/>
      <c r="AB2944">
        <f>IF($E2944="","",IF($AQ2944=1,0,IF($AP2944=1,Settings!$C$6,Settings!$C$7))*100)</f>
        <v/>
      </c>
      <c r="AC2944" s="7">
        <f>IF($E2944="","",Y2944*AB2944/100)</f>
        <v/>
      </c>
      <c r="AD2944" s="7">
        <f>IF($E2944="","",Y2944-AC2944)</f>
        <v/>
      </c>
      <c r="AE2944" s="7">
        <f>IF($E2944="","",AD2944-Q2944)</f>
        <v/>
      </c>
      <c r="AI2944" s="7" t="n"/>
      <c r="AL2944" s="11" t="n"/>
      <c r="AN2944">
        <f>IF($E2944="","",IF(COUNTIF($E$2:$E2944,$E2944)=1,1,0))</f>
        <v/>
      </c>
      <c r="AO2944">
        <f>IF($AN2944=1,SUMPRODUCT(--($AR$2:$AR$4001&lt;$AR2944))+1,"")</f>
        <v/>
      </c>
      <c r="AP2944">
        <f>IF($E2944="","",IF(OR($U2944=TRUE(),$U2944="TRUE"),1,0))</f>
        <v/>
      </c>
      <c r="AQ2944">
        <f>IF($E2944="","",IF($AA2944="Yes",1,0))</f>
        <v/>
      </c>
      <c r="AR2944">
        <f>IF($AN2944=1,IFERROR(VALUE(MID($E2944,2,20)),1000000000)+ROW()/100000,"")</f>
        <v/>
      </c>
    </row>
    <row r="2945">
      <c r="G2945" s="11" t="n"/>
      <c r="Q2945" s="7">
        <f>IF($E2945="","",P2945*Y2945/100)</f>
        <v/>
      </c>
      <c r="R2945" s="7" t="n"/>
      <c r="X2945" s="7" t="n"/>
      <c r="Y2945" s="7" t="n"/>
      <c r="AB2945">
        <f>IF($E2945="","",IF($AQ2945=1,0,IF($AP2945=1,Settings!$C$6,Settings!$C$7))*100)</f>
        <v/>
      </c>
      <c r="AC2945" s="7">
        <f>IF($E2945="","",Y2945*AB2945/100)</f>
        <v/>
      </c>
      <c r="AD2945" s="7">
        <f>IF($E2945="","",Y2945-AC2945)</f>
        <v/>
      </c>
      <c r="AE2945" s="7">
        <f>IF($E2945="","",AD2945-Q2945)</f>
        <v/>
      </c>
      <c r="AI2945" s="7" t="n"/>
      <c r="AL2945" s="11" t="n"/>
      <c r="AN2945">
        <f>IF($E2945="","",IF(COUNTIF($E$2:$E2945,$E2945)=1,1,0))</f>
        <v/>
      </c>
      <c r="AO2945">
        <f>IF($AN2945=1,SUMPRODUCT(--($AR$2:$AR$4001&lt;$AR2945))+1,"")</f>
        <v/>
      </c>
      <c r="AP2945">
        <f>IF($E2945="","",IF(OR($U2945=TRUE(),$U2945="TRUE"),1,0))</f>
        <v/>
      </c>
      <c r="AQ2945">
        <f>IF($E2945="","",IF($AA2945="Yes",1,0))</f>
        <v/>
      </c>
      <c r="AR2945">
        <f>IF($AN2945=1,IFERROR(VALUE(MID($E2945,2,20)),1000000000)+ROW()/100000,"")</f>
        <v/>
      </c>
    </row>
    <row r="2946">
      <c r="G2946" s="11" t="n"/>
      <c r="Q2946" s="7">
        <f>IF($E2946="","",P2946*Y2946/100)</f>
        <v/>
      </c>
      <c r="R2946" s="7" t="n"/>
      <c r="X2946" s="7" t="n"/>
      <c r="Y2946" s="7" t="n"/>
      <c r="AB2946">
        <f>IF($E2946="","",IF($AQ2946=1,0,IF($AP2946=1,Settings!$C$6,Settings!$C$7))*100)</f>
        <v/>
      </c>
      <c r="AC2946" s="7">
        <f>IF($E2946="","",Y2946*AB2946/100)</f>
        <v/>
      </c>
      <c r="AD2946" s="7">
        <f>IF($E2946="","",Y2946-AC2946)</f>
        <v/>
      </c>
      <c r="AE2946" s="7">
        <f>IF($E2946="","",AD2946-Q2946)</f>
        <v/>
      </c>
      <c r="AI2946" s="7" t="n"/>
      <c r="AL2946" s="11" t="n"/>
      <c r="AN2946">
        <f>IF($E2946="","",IF(COUNTIF($E$2:$E2946,$E2946)=1,1,0))</f>
        <v/>
      </c>
      <c r="AO2946">
        <f>IF($AN2946=1,SUMPRODUCT(--($AR$2:$AR$4001&lt;$AR2946))+1,"")</f>
        <v/>
      </c>
      <c r="AP2946">
        <f>IF($E2946="","",IF(OR($U2946=TRUE(),$U2946="TRUE"),1,0))</f>
        <v/>
      </c>
      <c r="AQ2946">
        <f>IF($E2946="","",IF($AA2946="Yes",1,0))</f>
        <v/>
      </c>
      <c r="AR2946">
        <f>IF($AN2946=1,IFERROR(VALUE(MID($E2946,2,20)),1000000000)+ROW()/100000,"")</f>
        <v/>
      </c>
    </row>
    <row r="2947">
      <c r="G2947" s="11" t="n"/>
      <c r="Q2947" s="7">
        <f>IF($E2947="","",P2947*Y2947/100)</f>
        <v/>
      </c>
      <c r="R2947" s="7" t="n"/>
      <c r="X2947" s="7" t="n"/>
      <c r="Y2947" s="7" t="n"/>
      <c r="AB2947">
        <f>IF($E2947="","",IF($AQ2947=1,0,IF($AP2947=1,Settings!$C$6,Settings!$C$7))*100)</f>
        <v/>
      </c>
      <c r="AC2947" s="7">
        <f>IF($E2947="","",Y2947*AB2947/100)</f>
        <v/>
      </c>
      <c r="AD2947" s="7">
        <f>IF($E2947="","",Y2947-AC2947)</f>
        <v/>
      </c>
      <c r="AE2947" s="7">
        <f>IF($E2947="","",AD2947-Q2947)</f>
        <v/>
      </c>
      <c r="AI2947" s="7" t="n"/>
      <c r="AL2947" s="11" t="n"/>
      <c r="AN2947">
        <f>IF($E2947="","",IF(COUNTIF($E$2:$E2947,$E2947)=1,1,0))</f>
        <v/>
      </c>
      <c r="AO2947">
        <f>IF($AN2947=1,SUMPRODUCT(--($AR$2:$AR$4001&lt;$AR2947))+1,"")</f>
        <v/>
      </c>
      <c r="AP2947">
        <f>IF($E2947="","",IF(OR($U2947=TRUE(),$U2947="TRUE"),1,0))</f>
        <v/>
      </c>
      <c r="AQ2947">
        <f>IF($E2947="","",IF($AA2947="Yes",1,0))</f>
        <v/>
      </c>
      <c r="AR2947">
        <f>IF($AN2947=1,IFERROR(VALUE(MID($E2947,2,20)),1000000000)+ROW()/100000,"")</f>
        <v/>
      </c>
    </row>
    <row r="2948">
      <c r="G2948" s="11" t="n"/>
      <c r="Q2948" s="7">
        <f>IF($E2948="","",P2948*Y2948/100)</f>
        <v/>
      </c>
      <c r="R2948" s="7" t="n"/>
      <c r="X2948" s="7" t="n"/>
      <c r="Y2948" s="7" t="n"/>
      <c r="AB2948">
        <f>IF($E2948="","",IF($AQ2948=1,0,IF($AP2948=1,Settings!$C$6,Settings!$C$7))*100)</f>
        <v/>
      </c>
      <c r="AC2948" s="7">
        <f>IF($E2948="","",Y2948*AB2948/100)</f>
        <v/>
      </c>
      <c r="AD2948" s="7">
        <f>IF($E2948="","",Y2948-AC2948)</f>
        <v/>
      </c>
      <c r="AE2948" s="7">
        <f>IF($E2948="","",AD2948-Q2948)</f>
        <v/>
      </c>
      <c r="AI2948" s="7" t="n"/>
      <c r="AL2948" s="11" t="n"/>
      <c r="AN2948">
        <f>IF($E2948="","",IF(COUNTIF($E$2:$E2948,$E2948)=1,1,0))</f>
        <v/>
      </c>
      <c r="AO2948">
        <f>IF($AN2948=1,SUMPRODUCT(--($AR$2:$AR$4001&lt;$AR2948))+1,"")</f>
        <v/>
      </c>
      <c r="AP2948">
        <f>IF($E2948="","",IF(OR($U2948=TRUE(),$U2948="TRUE"),1,0))</f>
        <v/>
      </c>
      <c r="AQ2948">
        <f>IF($E2948="","",IF($AA2948="Yes",1,0))</f>
        <v/>
      </c>
      <c r="AR2948">
        <f>IF($AN2948=1,IFERROR(VALUE(MID($E2948,2,20)),1000000000)+ROW()/100000,"")</f>
        <v/>
      </c>
    </row>
    <row r="2949">
      <c r="G2949" s="11" t="n"/>
      <c r="Q2949" s="7">
        <f>IF($E2949="","",P2949*Y2949/100)</f>
        <v/>
      </c>
      <c r="R2949" s="7" t="n"/>
      <c r="X2949" s="7" t="n"/>
      <c r="Y2949" s="7" t="n"/>
      <c r="AB2949">
        <f>IF($E2949="","",IF($AQ2949=1,0,IF($AP2949=1,Settings!$C$6,Settings!$C$7))*100)</f>
        <v/>
      </c>
      <c r="AC2949" s="7">
        <f>IF($E2949="","",Y2949*AB2949/100)</f>
        <v/>
      </c>
      <c r="AD2949" s="7">
        <f>IF($E2949="","",Y2949-AC2949)</f>
        <v/>
      </c>
      <c r="AE2949" s="7">
        <f>IF($E2949="","",AD2949-Q2949)</f>
        <v/>
      </c>
      <c r="AI2949" s="7" t="n"/>
      <c r="AL2949" s="11" t="n"/>
      <c r="AN2949">
        <f>IF($E2949="","",IF(COUNTIF($E$2:$E2949,$E2949)=1,1,0))</f>
        <v/>
      </c>
      <c r="AO2949">
        <f>IF($AN2949=1,SUMPRODUCT(--($AR$2:$AR$4001&lt;$AR2949))+1,"")</f>
        <v/>
      </c>
      <c r="AP2949">
        <f>IF($E2949="","",IF(OR($U2949=TRUE(),$U2949="TRUE"),1,0))</f>
        <v/>
      </c>
      <c r="AQ2949">
        <f>IF($E2949="","",IF($AA2949="Yes",1,0))</f>
        <v/>
      </c>
      <c r="AR2949">
        <f>IF($AN2949=1,IFERROR(VALUE(MID($E2949,2,20)),1000000000)+ROW()/100000,"")</f>
        <v/>
      </c>
    </row>
    <row r="2950">
      <c r="G2950" s="11" t="n"/>
      <c r="Q2950" s="7">
        <f>IF($E2950="","",P2950*Y2950/100)</f>
        <v/>
      </c>
      <c r="R2950" s="7" t="n"/>
      <c r="X2950" s="7" t="n"/>
      <c r="Y2950" s="7" t="n"/>
      <c r="AB2950">
        <f>IF($E2950="","",IF($AQ2950=1,0,IF($AP2950=1,Settings!$C$6,Settings!$C$7))*100)</f>
        <v/>
      </c>
      <c r="AC2950" s="7">
        <f>IF($E2950="","",Y2950*AB2950/100)</f>
        <v/>
      </c>
      <c r="AD2950" s="7">
        <f>IF($E2950="","",Y2950-AC2950)</f>
        <v/>
      </c>
      <c r="AE2950" s="7">
        <f>IF($E2950="","",AD2950-Q2950)</f>
        <v/>
      </c>
      <c r="AI2950" s="7" t="n"/>
      <c r="AL2950" s="11" t="n"/>
      <c r="AN2950">
        <f>IF($E2950="","",IF(COUNTIF($E$2:$E2950,$E2950)=1,1,0))</f>
        <v/>
      </c>
      <c r="AO2950">
        <f>IF($AN2950=1,SUMPRODUCT(--($AR$2:$AR$4001&lt;$AR2950))+1,"")</f>
        <v/>
      </c>
      <c r="AP2950">
        <f>IF($E2950="","",IF(OR($U2950=TRUE(),$U2950="TRUE"),1,0))</f>
        <v/>
      </c>
      <c r="AQ2950">
        <f>IF($E2950="","",IF($AA2950="Yes",1,0))</f>
        <v/>
      </c>
      <c r="AR2950">
        <f>IF($AN2950=1,IFERROR(VALUE(MID($E2950,2,20)),1000000000)+ROW()/100000,"")</f>
        <v/>
      </c>
    </row>
    <row r="2951">
      <c r="G2951" s="11" t="n"/>
      <c r="Q2951" s="7">
        <f>IF($E2951="","",P2951*Y2951/100)</f>
        <v/>
      </c>
      <c r="R2951" s="7" t="n"/>
      <c r="X2951" s="7" t="n"/>
      <c r="Y2951" s="7" t="n"/>
      <c r="AB2951">
        <f>IF($E2951="","",IF($AQ2951=1,0,IF($AP2951=1,Settings!$C$6,Settings!$C$7))*100)</f>
        <v/>
      </c>
      <c r="AC2951" s="7">
        <f>IF($E2951="","",Y2951*AB2951/100)</f>
        <v/>
      </c>
      <c r="AD2951" s="7">
        <f>IF($E2951="","",Y2951-AC2951)</f>
        <v/>
      </c>
      <c r="AE2951" s="7">
        <f>IF($E2951="","",AD2951-Q2951)</f>
        <v/>
      </c>
      <c r="AI2951" s="7" t="n"/>
      <c r="AL2951" s="11" t="n"/>
      <c r="AN2951">
        <f>IF($E2951="","",IF(COUNTIF($E$2:$E2951,$E2951)=1,1,0))</f>
        <v/>
      </c>
      <c r="AO2951">
        <f>IF($AN2951=1,SUMPRODUCT(--($AR$2:$AR$4001&lt;$AR2951))+1,"")</f>
        <v/>
      </c>
      <c r="AP2951">
        <f>IF($E2951="","",IF(OR($U2951=TRUE(),$U2951="TRUE"),1,0))</f>
        <v/>
      </c>
      <c r="AQ2951">
        <f>IF($E2951="","",IF($AA2951="Yes",1,0))</f>
        <v/>
      </c>
      <c r="AR2951">
        <f>IF($AN2951=1,IFERROR(VALUE(MID($E2951,2,20)),1000000000)+ROW()/100000,"")</f>
        <v/>
      </c>
    </row>
    <row r="2952">
      <c r="G2952" s="11" t="n"/>
      <c r="Q2952" s="7">
        <f>IF($E2952="","",P2952*Y2952/100)</f>
        <v/>
      </c>
      <c r="R2952" s="7" t="n"/>
      <c r="X2952" s="7" t="n"/>
      <c r="Y2952" s="7" t="n"/>
      <c r="AB2952">
        <f>IF($E2952="","",IF($AQ2952=1,0,IF($AP2952=1,Settings!$C$6,Settings!$C$7))*100)</f>
        <v/>
      </c>
      <c r="AC2952" s="7">
        <f>IF($E2952="","",Y2952*AB2952/100)</f>
        <v/>
      </c>
      <c r="AD2952" s="7">
        <f>IF($E2952="","",Y2952-AC2952)</f>
        <v/>
      </c>
      <c r="AE2952" s="7">
        <f>IF($E2952="","",AD2952-Q2952)</f>
        <v/>
      </c>
      <c r="AI2952" s="7" t="n"/>
      <c r="AL2952" s="11" t="n"/>
      <c r="AN2952">
        <f>IF($E2952="","",IF(COUNTIF($E$2:$E2952,$E2952)=1,1,0))</f>
        <v/>
      </c>
      <c r="AO2952">
        <f>IF($AN2952=1,SUMPRODUCT(--($AR$2:$AR$4001&lt;$AR2952))+1,"")</f>
        <v/>
      </c>
      <c r="AP2952">
        <f>IF($E2952="","",IF(OR($U2952=TRUE(),$U2952="TRUE"),1,0))</f>
        <v/>
      </c>
      <c r="AQ2952">
        <f>IF($E2952="","",IF($AA2952="Yes",1,0))</f>
        <v/>
      </c>
      <c r="AR2952">
        <f>IF($AN2952=1,IFERROR(VALUE(MID($E2952,2,20)),1000000000)+ROW()/100000,"")</f>
        <v/>
      </c>
    </row>
    <row r="2953">
      <c r="G2953" s="11" t="n"/>
      <c r="Q2953" s="7">
        <f>IF($E2953="","",P2953*Y2953/100)</f>
        <v/>
      </c>
      <c r="R2953" s="7" t="n"/>
      <c r="X2953" s="7" t="n"/>
      <c r="Y2953" s="7" t="n"/>
      <c r="AB2953">
        <f>IF($E2953="","",IF($AQ2953=1,0,IF($AP2953=1,Settings!$C$6,Settings!$C$7))*100)</f>
        <v/>
      </c>
      <c r="AC2953" s="7">
        <f>IF($E2953="","",Y2953*AB2953/100)</f>
        <v/>
      </c>
      <c r="AD2953" s="7">
        <f>IF($E2953="","",Y2953-AC2953)</f>
        <v/>
      </c>
      <c r="AE2953" s="7">
        <f>IF($E2953="","",AD2953-Q2953)</f>
        <v/>
      </c>
      <c r="AI2953" s="7" t="n"/>
      <c r="AL2953" s="11" t="n"/>
      <c r="AN2953">
        <f>IF($E2953="","",IF(COUNTIF($E$2:$E2953,$E2953)=1,1,0))</f>
        <v/>
      </c>
      <c r="AO2953">
        <f>IF($AN2953=1,SUMPRODUCT(--($AR$2:$AR$4001&lt;$AR2953))+1,"")</f>
        <v/>
      </c>
      <c r="AP2953">
        <f>IF($E2953="","",IF(OR($U2953=TRUE(),$U2953="TRUE"),1,0))</f>
        <v/>
      </c>
      <c r="AQ2953">
        <f>IF($E2953="","",IF($AA2953="Yes",1,0))</f>
        <v/>
      </c>
      <c r="AR2953">
        <f>IF($AN2953=1,IFERROR(VALUE(MID($E2953,2,20)),1000000000)+ROW()/100000,"")</f>
        <v/>
      </c>
    </row>
    <row r="2954">
      <c r="G2954" s="11" t="n"/>
      <c r="Q2954" s="7">
        <f>IF($E2954="","",P2954*Y2954/100)</f>
        <v/>
      </c>
      <c r="R2954" s="7" t="n"/>
      <c r="X2954" s="7" t="n"/>
      <c r="Y2954" s="7" t="n"/>
      <c r="AB2954">
        <f>IF($E2954="","",IF($AQ2954=1,0,IF($AP2954=1,Settings!$C$6,Settings!$C$7))*100)</f>
        <v/>
      </c>
      <c r="AC2954" s="7">
        <f>IF($E2954="","",Y2954*AB2954/100)</f>
        <v/>
      </c>
      <c r="AD2954" s="7">
        <f>IF($E2954="","",Y2954-AC2954)</f>
        <v/>
      </c>
      <c r="AE2954" s="7">
        <f>IF($E2954="","",AD2954-Q2954)</f>
        <v/>
      </c>
      <c r="AI2954" s="7" t="n"/>
      <c r="AL2954" s="11" t="n"/>
      <c r="AN2954">
        <f>IF($E2954="","",IF(COUNTIF($E$2:$E2954,$E2954)=1,1,0))</f>
        <v/>
      </c>
      <c r="AO2954">
        <f>IF($AN2954=1,SUMPRODUCT(--($AR$2:$AR$4001&lt;$AR2954))+1,"")</f>
        <v/>
      </c>
      <c r="AP2954">
        <f>IF($E2954="","",IF(OR($U2954=TRUE(),$U2954="TRUE"),1,0))</f>
        <v/>
      </c>
      <c r="AQ2954">
        <f>IF($E2954="","",IF($AA2954="Yes",1,0))</f>
        <v/>
      </c>
      <c r="AR2954">
        <f>IF($AN2954=1,IFERROR(VALUE(MID($E2954,2,20)),1000000000)+ROW()/100000,"")</f>
        <v/>
      </c>
    </row>
    <row r="2955">
      <c r="G2955" s="11" t="n"/>
      <c r="Q2955" s="7">
        <f>IF($E2955="","",P2955*Y2955/100)</f>
        <v/>
      </c>
      <c r="R2955" s="7" t="n"/>
      <c r="X2955" s="7" t="n"/>
      <c r="Y2955" s="7" t="n"/>
      <c r="AB2955">
        <f>IF($E2955="","",IF($AQ2955=1,0,IF($AP2955=1,Settings!$C$6,Settings!$C$7))*100)</f>
        <v/>
      </c>
      <c r="AC2955" s="7">
        <f>IF($E2955="","",Y2955*AB2955/100)</f>
        <v/>
      </c>
      <c r="AD2955" s="7">
        <f>IF($E2955="","",Y2955-AC2955)</f>
        <v/>
      </c>
      <c r="AE2955" s="7">
        <f>IF($E2955="","",AD2955-Q2955)</f>
        <v/>
      </c>
      <c r="AI2955" s="7" t="n"/>
      <c r="AL2955" s="11" t="n"/>
      <c r="AN2955">
        <f>IF($E2955="","",IF(COUNTIF($E$2:$E2955,$E2955)=1,1,0))</f>
        <v/>
      </c>
      <c r="AO2955">
        <f>IF($AN2955=1,SUMPRODUCT(--($AR$2:$AR$4001&lt;$AR2955))+1,"")</f>
        <v/>
      </c>
      <c r="AP2955">
        <f>IF($E2955="","",IF(OR($U2955=TRUE(),$U2955="TRUE"),1,0))</f>
        <v/>
      </c>
      <c r="AQ2955">
        <f>IF($E2955="","",IF($AA2955="Yes",1,0))</f>
        <v/>
      </c>
      <c r="AR2955">
        <f>IF($AN2955=1,IFERROR(VALUE(MID($E2955,2,20)),1000000000)+ROW()/100000,"")</f>
        <v/>
      </c>
    </row>
    <row r="2956">
      <c r="G2956" s="11" t="n"/>
      <c r="Q2956" s="7">
        <f>IF($E2956="","",P2956*Y2956/100)</f>
        <v/>
      </c>
      <c r="R2956" s="7" t="n"/>
      <c r="X2956" s="7" t="n"/>
      <c r="Y2956" s="7" t="n"/>
      <c r="AB2956">
        <f>IF($E2956="","",IF($AQ2956=1,0,IF($AP2956=1,Settings!$C$6,Settings!$C$7))*100)</f>
        <v/>
      </c>
      <c r="AC2956" s="7">
        <f>IF($E2956="","",Y2956*AB2956/100)</f>
        <v/>
      </c>
      <c r="AD2956" s="7">
        <f>IF($E2956="","",Y2956-AC2956)</f>
        <v/>
      </c>
      <c r="AE2956" s="7">
        <f>IF($E2956="","",AD2956-Q2956)</f>
        <v/>
      </c>
      <c r="AI2956" s="7" t="n"/>
      <c r="AL2956" s="11" t="n"/>
      <c r="AN2956">
        <f>IF($E2956="","",IF(COUNTIF($E$2:$E2956,$E2956)=1,1,0))</f>
        <v/>
      </c>
      <c r="AO2956">
        <f>IF($AN2956=1,SUMPRODUCT(--($AR$2:$AR$4001&lt;$AR2956))+1,"")</f>
        <v/>
      </c>
      <c r="AP2956">
        <f>IF($E2956="","",IF(OR($U2956=TRUE(),$U2956="TRUE"),1,0))</f>
        <v/>
      </c>
      <c r="AQ2956">
        <f>IF($E2956="","",IF($AA2956="Yes",1,0))</f>
        <v/>
      </c>
      <c r="AR2956">
        <f>IF($AN2956=1,IFERROR(VALUE(MID($E2956,2,20)),1000000000)+ROW()/100000,"")</f>
        <v/>
      </c>
    </row>
    <row r="2957">
      <c r="G2957" s="11" t="n"/>
      <c r="Q2957" s="7">
        <f>IF($E2957="","",P2957*Y2957/100)</f>
        <v/>
      </c>
      <c r="R2957" s="7" t="n"/>
      <c r="X2957" s="7" t="n"/>
      <c r="Y2957" s="7" t="n"/>
      <c r="AB2957">
        <f>IF($E2957="","",IF($AQ2957=1,0,IF($AP2957=1,Settings!$C$6,Settings!$C$7))*100)</f>
        <v/>
      </c>
      <c r="AC2957" s="7">
        <f>IF($E2957="","",Y2957*AB2957/100)</f>
        <v/>
      </c>
      <c r="AD2957" s="7">
        <f>IF($E2957="","",Y2957-AC2957)</f>
        <v/>
      </c>
      <c r="AE2957" s="7">
        <f>IF($E2957="","",AD2957-Q2957)</f>
        <v/>
      </c>
      <c r="AI2957" s="7" t="n"/>
      <c r="AL2957" s="11" t="n"/>
      <c r="AN2957">
        <f>IF($E2957="","",IF(COUNTIF($E$2:$E2957,$E2957)=1,1,0))</f>
        <v/>
      </c>
      <c r="AO2957">
        <f>IF($AN2957=1,SUMPRODUCT(--($AR$2:$AR$4001&lt;$AR2957))+1,"")</f>
        <v/>
      </c>
      <c r="AP2957">
        <f>IF($E2957="","",IF(OR($U2957=TRUE(),$U2957="TRUE"),1,0))</f>
        <v/>
      </c>
      <c r="AQ2957">
        <f>IF($E2957="","",IF($AA2957="Yes",1,0))</f>
        <v/>
      </c>
      <c r="AR2957">
        <f>IF($AN2957=1,IFERROR(VALUE(MID($E2957,2,20)),1000000000)+ROW()/100000,"")</f>
        <v/>
      </c>
    </row>
    <row r="2958">
      <c r="G2958" s="11" t="n"/>
      <c r="Q2958" s="7">
        <f>IF($E2958="","",P2958*Y2958/100)</f>
        <v/>
      </c>
      <c r="R2958" s="7" t="n"/>
      <c r="X2958" s="7" t="n"/>
      <c r="Y2958" s="7" t="n"/>
      <c r="AB2958">
        <f>IF($E2958="","",IF($AQ2958=1,0,IF($AP2958=1,Settings!$C$6,Settings!$C$7))*100)</f>
        <v/>
      </c>
      <c r="AC2958" s="7">
        <f>IF($E2958="","",Y2958*AB2958/100)</f>
        <v/>
      </c>
      <c r="AD2958" s="7">
        <f>IF($E2958="","",Y2958-AC2958)</f>
        <v/>
      </c>
      <c r="AE2958" s="7">
        <f>IF($E2958="","",AD2958-Q2958)</f>
        <v/>
      </c>
      <c r="AI2958" s="7" t="n"/>
      <c r="AL2958" s="11" t="n"/>
      <c r="AN2958">
        <f>IF($E2958="","",IF(COUNTIF($E$2:$E2958,$E2958)=1,1,0))</f>
        <v/>
      </c>
      <c r="AO2958">
        <f>IF($AN2958=1,SUMPRODUCT(--($AR$2:$AR$4001&lt;$AR2958))+1,"")</f>
        <v/>
      </c>
      <c r="AP2958">
        <f>IF($E2958="","",IF(OR($U2958=TRUE(),$U2958="TRUE"),1,0))</f>
        <v/>
      </c>
      <c r="AQ2958">
        <f>IF($E2958="","",IF($AA2958="Yes",1,0))</f>
        <v/>
      </c>
      <c r="AR2958">
        <f>IF($AN2958=1,IFERROR(VALUE(MID($E2958,2,20)),1000000000)+ROW()/100000,"")</f>
        <v/>
      </c>
    </row>
    <row r="2959">
      <c r="G2959" s="11" t="n"/>
      <c r="Q2959" s="7">
        <f>IF($E2959="","",P2959*Y2959/100)</f>
        <v/>
      </c>
      <c r="R2959" s="7" t="n"/>
      <c r="X2959" s="7" t="n"/>
      <c r="Y2959" s="7" t="n"/>
      <c r="AB2959">
        <f>IF($E2959="","",IF($AQ2959=1,0,IF($AP2959=1,Settings!$C$6,Settings!$C$7))*100)</f>
        <v/>
      </c>
      <c r="AC2959" s="7">
        <f>IF($E2959="","",Y2959*AB2959/100)</f>
        <v/>
      </c>
      <c r="AD2959" s="7">
        <f>IF($E2959="","",Y2959-AC2959)</f>
        <v/>
      </c>
      <c r="AE2959" s="7">
        <f>IF($E2959="","",AD2959-Q2959)</f>
        <v/>
      </c>
      <c r="AI2959" s="7" t="n"/>
      <c r="AL2959" s="11" t="n"/>
      <c r="AN2959">
        <f>IF($E2959="","",IF(COUNTIF($E$2:$E2959,$E2959)=1,1,0))</f>
        <v/>
      </c>
      <c r="AO2959">
        <f>IF($AN2959=1,SUMPRODUCT(--($AR$2:$AR$4001&lt;$AR2959))+1,"")</f>
        <v/>
      </c>
      <c r="AP2959">
        <f>IF($E2959="","",IF(OR($U2959=TRUE(),$U2959="TRUE"),1,0))</f>
        <v/>
      </c>
      <c r="AQ2959">
        <f>IF($E2959="","",IF($AA2959="Yes",1,0))</f>
        <v/>
      </c>
      <c r="AR2959">
        <f>IF($AN2959=1,IFERROR(VALUE(MID($E2959,2,20)),1000000000)+ROW()/100000,"")</f>
        <v/>
      </c>
    </row>
    <row r="2960">
      <c r="G2960" s="11" t="n"/>
      <c r="Q2960" s="7">
        <f>IF($E2960="","",P2960*Y2960/100)</f>
        <v/>
      </c>
      <c r="R2960" s="7" t="n"/>
      <c r="X2960" s="7" t="n"/>
      <c r="Y2960" s="7" t="n"/>
      <c r="AB2960">
        <f>IF($E2960="","",IF($AQ2960=1,0,IF($AP2960=1,Settings!$C$6,Settings!$C$7))*100)</f>
        <v/>
      </c>
      <c r="AC2960" s="7">
        <f>IF($E2960="","",Y2960*AB2960/100)</f>
        <v/>
      </c>
      <c r="AD2960" s="7">
        <f>IF($E2960="","",Y2960-AC2960)</f>
        <v/>
      </c>
      <c r="AE2960" s="7">
        <f>IF($E2960="","",AD2960-Q2960)</f>
        <v/>
      </c>
      <c r="AI2960" s="7" t="n"/>
      <c r="AL2960" s="11" t="n"/>
      <c r="AN2960">
        <f>IF($E2960="","",IF(COUNTIF($E$2:$E2960,$E2960)=1,1,0))</f>
        <v/>
      </c>
      <c r="AO2960">
        <f>IF($AN2960=1,SUMPRODUCT(--($AR$2:$AR$4001&lt;$AR2960))+1,"")</f>
        <v/>
      </c>
      <c r="AP2960">
        <f>IF($E2960="","",IF(OR($U2960=TRUE(),$U2960="TRUE"),1,0))</f>
        <v/>
      </c>
      <c r="AQ2960">
        <f>IF($E2960="","",IF($AA2960="Yes",1,0))</f>
        <v/>
      </c>
      <c r="AR2960">
        <f>IF($AN2960=1,IFERROR(VALUE(MID($E2960,2,20)),1000000000)+ROW()/100000,"")</f>
        <v/>
      </c>
    </row>
    <row r="2961">
      <c r="G2961" s="11" t="n"/>
      <c r="Q2961" s="7">
        <f>IF($E2961="","",P2961*Y2961/100)</f>
        <v/>
      </c>
      <c r="R2961" s="7" t="n"/>
      <c r="X2961" s="7" t="n"/>
      <c r="Y2961" s="7" t="n"/>
      <c r="AB2961">
        <f>IF($E2961="","",IF($AQ2961=1,0,IF($AP2961=1,Settings!$C$6,Settings!$C$7))*100)</f>
        <v/>
      </c>
      <c r="AC2961" s="7">
        <f>IF($E2961="","",Y2961*AB2961/100)</f>
        <v/>
      </c>
      <c r="AD2961" s="7">
        <f>IF($E2961="","",Y2961-AC2961)</f>
        <v/>
      </c>
      <c r="AE2961" s="7">
        <f>IF($E2961="","",AD2961-Q2961)</f>
        <v/>
      </c>
      <c r="AI2961" s="7" t="n"/>
      <c r="AL2961" s="11" t="n"/>
      <c r="AN2961">
        <f>IF($E2961="","",IF(COUNTIF($E$2:$E2961,$E2961)=1,1,0))</f>
        <v/>
      </c>
      <c r="AO2961">
        <f>IF($AN2961=1,SUMPRODUCT(--($AR$2:$AR$4001&lt;$AR2961))+1,"")</f>
        <v/>
      </c>
      <c r="AP2961">
        <f>IF($E2961="","",IF(OR($U2961=TRUE(),$U2961="TRUE"),1,0))</f>
        <v/>
      </c>
      <c r="AQ2961">
        <f>IF($E2961="","",IF($AA2961="Yes",1,0))</f>
        <v/>
      </c>
      <c r="AR2961">
        <f>IF($AN2961=1,IFERROR(VALUE(MID($E2961,2,20)),1000000000)+ROW()/100000,"")</f>
        <v/>
      </c>
    </row>
    <row r="2962">
      <c r="G2962" s="11" t="n"/>
      <c r="Q2962" s="7">
        <f>IF($E2962="","",P2962*Y2962/100)</f>
        <v/>
      </c>
      <c r="R2962" s="7" t="n"/>
      <c r="X2962" s="7" t="n"/>
      <c r="Y2962" s="7" t="n"/>
      <c r="AB2962">
        <f>IF($E2962="","",IF($AQ2962=1,0,IF($AP2962=1,Settings!$C$6,Settings!$C$7))*100)</f>
        <v/>
      </c>
      <c r="AC2962" s="7">
        <f>IF($E2962="","",Y2962*AB2962/100)</f>
        <v/>
      </c>
      <c r="AD2962" s="7">
        <f>IF($E2962="","",Y2962-AC2962)</f>
        <v/>
      </c>
      <c r="AE2962" s="7">
        <f>IF($E2962="","",AD2962-Q2962)</f>
        <v/>
      </c>
      <c r="AI2962" s="7" t="n"/>
      <c r="AL2962" s="11" t="n"/>
      <c r="AN2962">
        <f>IF($E2962="","",IF(COUNTIF($E$2:$E2962,$E2962)=1,1,0))</f>
        <v/>
      </c>
      <c r="AO2962">
        <f>IF($AN2962=1,SUMPRODUCT(--($AR$2:$AR$4001&lt;$AR2962))+1,"")</f>
        <v/>
      </c>
      <c r="AP2962">
        <f>IF($E2962="","",IF(OR($U2962=TRUE(),$U2962="TRUE"),1,0))</f>
        <v/>
      </c>
      <c r="AQ2962">
        <f>IF($E2962="","",IF($AA2962="Yes",1,0))</f>
        <v/>
      </c>
      <c r="AR2962">
        <f>IF($AN2962=1,IFERROR(VALUE(MID($E2962,2,20)),1000000000)+ROW()/100000,"")</f>
        <v/>
      </c>
    </row>
    <row r="2963">
      <c r="G2963" s="11" t="n"/>
      <c r="Q2963" s="7">
        <f>IF($E2963="","",P2963*Y2963/100)</f>
        <v/>
      </c>
      <c r="R2963" s="7" t="n"/>
      <c r="X2963" s="7" t="n"/>
      <c r="Y2963" s="7" t="n"/>
      <c r="AB2963">
        <f>IF($E2963="","",IF($AQ2963=1,0,IF($AP2963=1,Settings!$C$6,Settings!$C$7))*100)</f>
        <v/>
      </c>
      <c r="AC2963" s="7">
        <f>IF($E2963="","",Y2963*AB2963/100)</f>
        <v/>
      </c>
      <c r="AD2963" s="7">
        <f>IF($E2963="","",Y2963-AC2963)</f>
        <v/>
      </c>
      <c r="AE2963" s="7">
        <f>IF($E2963="","",AD2963-Q2963)</f>
        <v/>
      </c>
      <c r="AI2963" s="7" t="n"/>
      <c r="AL2963" s="11" t="n"/>
      <c r="AN2963">
        <f>IF($E2963="","",IF(COUNTIF($E$2:$E2963,$E2963)=1,1,0))</f>
        <v/>
      </c>
      <c r="AO2963">
        <f>IF($AN2963=1,SUMPRODUCT(--($AR$2:$AR$4001&lt;$AR2963))+1,"")</f>
        <v/>
      </c>
      <c r="AP2963">
        <f>IF($E2963="","",IF(OR($U2963=TRUE(),$U2963="TRUE"),1,0))</f>
        <v/>
      </c>
      <c r="AQ2963">
        <f>IF($E2963="","",IF($AA2963="Yes",1,0))</f>
        <v/>
      </c>
      <c r="AR2963">
        <f>IF($AN2963=1,IFERROR(VALUE(MID($E2963,2,20)),1000000000)+ROW()/100000,"")</f>
        <v/>
      </c>
    </row>
    <row r="2964">
      <c r="G2964" s="11" t="n"/>
      <c r="Q2964" s="7">
        <f>IF($E2964="","",P2964*Y2964/100)</f>
        <v/>
      </c>
      <c r="R2964" s="7" t="n"/>
      <c r="X2964" s="7" t="n"/>
      <c r="Y2964" s="7" t="n"/>
      <c r="AB2964">
        <f>IF($E2964="","",IF($AQ2964=1,0,IF($AP2964=1,Settings!$C$6,Settings!$C$7))*100)</f>
        <v/>
      </c>
      <c r="AC2964" s="7">
        <f>IF($E2964="","",Y2964*AB2964/100)</f>
        <v/>
      </c>
      <c r="AD2964" s="7">
        <f>IF($E2964="","",Y2964-AC2964)</f>
        <v/>
      </c>
      <c r="AE2964" s="7">
        <f>IF($E2964="","",AD2964-Q2964)</f>
        <v/>
      </c>
      <c r="AI2964" s="7" t="n"/>
      <c r="AL2964" s="11" t="n"/>
      <c r="AN2964">
        <f>IF($E2964="","",IF(COUNTIF($E$2:$E2964,$E2964)=1,1,0))</f>
        <v/>
      </c>
      <c r="AO2964">
        <f>IF($AN2964=1,SUMPRODUCT(--($AR$2:$AR$4001&lt;$AR2964))+1,"")</f>
        <v/>
      </c>
      <c r="AP2964">
        <f>IF($E2964="","",IF(OR($U2964=TRUE(),$U2964="TRUE"),1,0))</f>
        <v/>
      </c>
      <c r="AQ2964">
        <f>IF($E2964="","",IF($AA2964="Yes",1,0))</f>
        <v/>
      </c>
      <c r="AR2964">
        <f>IF($AN2964=1,IFERROR(VALUE(MID($E2964,2,20)),1000000000)+ROW()/100000,"")</f>
        <v/>
      </c>
    </row>
    <row r="2965">
      <c r="G2965" s="11" t="n"/>
      <c r="Q2965" s="7">
        <f>IF($E2965="","",P2965*Y2965/100)</f>
        <v/>
      </c>
      <c r="R2965" s="7" t="n"/>
      <c r="X2965" s="7" t="n"/>
      <c r="Y2965" s="7" t="n"/>
      <c r="AB2965">
        <f>IF($E2965="","",IF($AQ2965=1,0,IF($AP2965=1,Settings!$C$6,Settings!$C$7))*100)</f>
        <v/>
      </c>
      <c r="AC2965" s="7">
        <f>IF($E2965="","",Y2965*AB2965/100)</f>
        <v/>
      </c>
      <c r="AD2965" s="7">
        <f>IF($E2965="","",Y2965-AC2965)</f>
        <v/>
      </c>
      <c r="AE2965" s="7">
        <f>IF($E2965="","",AD2965-Q2965)</f>
        <v/>
      </c>
      <c r="AI2965" s="7" t="n"/>
      <c r="AL2965" s="11" t="n"/>
      <c r="AN2965">
        <f>IF($E2965="","",IF(COUNTIF($E$2:$E2965,$E2965)=1,1,0))</f>
        <v/>
      </c>
      <c r="AO2965">
        <f>IF($AN2965=1,SUMPRODUCT(--($AR$2:$AR$4001&lt;$AR2965))+1,"")</f>
        <v/>
      </c>
      <c r="AP2965">
        <f>IF($E2965="","",IF(OR($U2965=TRUE(),$U2965="TRUE"),1,0))</f>
        <v/>
      </c>
      <c r="AQ2965">
        <f>IF($E2965="","",IF($AA2965="Yes",1,0))</f>
        <v/>
      </c>
      <c r="AR2965">
        <f>IF($AN2965=1,IFERROR(VALUE(MID($E2965,2,20)),1000000000)+ROW()/100000,"")</f>
        <v/>
      </c>
    </row>
    <row r="2966">
      <c r="G2966" s="11" t="n"/>
      <c r="Q2966" s="7">
        <f>IF($E2966="","",P2966*Y2966/100)</f>
        <v/>
      </c>
      <c r="R2966" s="7" t="n"/>
      <c r="X2966" s="7" t="n"/>
      <c r="Y2966" s="7" t="n"/>
      <c r="AB2966">
        <f>IF($E2966="","",IF($AQ2966=1,0,IF($AP2966=1,Settings!$C$6,Settings!$C$7))*100)</f>
        <v/>
      </c>
      <c r="AC2966" s="7">
        <f>IF($E2966="","",Y2966*AB2966/100)</f>
        <v/>
      </c>
      <c r="AD2966" s="7">
        <f>IF($E2966="","",Y2966-AC2966)</f>
        <v/>
      </c>
      <c r="AE2966" s="7">
        <f>IF($E2966="","",AD2966-Q2966)</f>
        <v/>
      </c>
      <c r="AI2966" s="7" t="n"/>
      <c r="AL2966" s="11" t="n"/>
      <c r="AN2966">
        <f>IF($E2966="","",IF(COUNTIF($E$2:$E2966,$E2966)=1,1,0))</f>
        <v/>
      </c>
      <c r="AO2966">
        <f>IF($AN2966=1,SUMPRODUCT(--($AR$2:$AR$4001&lt;$AR2966))+1,"")</f>
        <v/>
      </c>
      <c r="AP2966">
        <f>IF($E2966="","",IF(OR($U2966=TRUE(),$U2966="TRUE"),1,0))</f>
        <v/>
      </c>
      <c r="AQ2966">
        <f>IF($E2966="","",IF($AA2966="Yes",1,0))</f>
        <v/>
      </c>
      <c r="AR2966">
        <f>IF($AN2966=1,IFERROR(VALUE(MID($E2966,2,20)),1000000000)+ROW()/100000,"")</f>
        <v/>
      </c>
    </row>
    <row r="2967">
      <c r="G2967" s="11" t="n"/>
      <c r="Q2967" s="7">
        <f>IF($E2967="","",P2967*Y2967/100)</f>
        <v/>
      </c>
      <c r="R2967" s="7" t="n"/>
      <c r="X2967" s="7" t="n"/>
      <c r="Y2967" s="7" t="n"/>
      <c r="AB2967">
        <f>IF($E2967="","",IF($AQ2967=1,0,IF($AP2967=1,Settings!$C$6,Settings!$C$7))*100)</f>
        <v/>
      </c>
      <c r="AC2967" s="7">
        <f>IF($E2967="","",Y2967*AB2967/100)</f>
        <v/>
      </c>
      <c r="AD2967" s="7">
        <f>IF($E2967="","",Y2967-AC2967)</f>
        <v/>
      </c>
      <c r="AE2967" s="7">
        <f>IF($E2967="","",AD2967-Q2967)</f>
        <v/>
      </c>
      <c r="AI2967" s="7" t="n"/>
      <c r="AL2967" s="11" t="n"/>
      <c r="AN2967">
        <f>IF($E2967="","",IF(COUNTIF($E$2:$E2967,$E2967)=1,1,0))</f>
        <v/>
      </c>
      <c r="AO2967">
        <f>IF($AN2967=1,SUMPRODUCT(--($AR$2:$AR$4001&lt;$AR2967))+1,"")</f>
        <v/>
      </c>
      <c r="AP2967">
        <f>IF($E2967="","",IF(OR($U2967=TRUE(),$U2967="TRUE"),1,0))</f>
        <v/>
      </c>
      <c r="AQ2967">
        <f>IF($E2967="","",IF($AA2967="Yes",1,0))</f>
        <v/>
      </c>
      <c r="AR2967">
        <f>IF($AN2967=1,IFERROR(VALUE(MID($E2967,2,20)),1000000000)+ROW()/100000,"")</f>
        <v/>
      </c>
    </row>
    <row r="2968">
      <c r="G2968" s="11" t="n"/>
      <c r="Q2968" s="7">
        <f>IF($E2968="","",P2968*Y2968/100)</f>
        <v/>
      </c>
      <c r="R2968" s="7" t="n"/>
      <c r="X2968" s="7" t="n"/>
      <c r="Y2968" s="7" t="n"/>
      <c r="AB2968">
        <f>IF($E2968="","",IF($AQ2968=1,0,IF($AP2968=1,Settings!$C$6,Settings!$C$7))*100)</f>
        <v/>
      </c>
      <c r="AC2968" s="7">
        <f>IF($E2968="","",Y2968*AB2968/100)</f>
        <v/>
      </c>
      <c r="AD2968" s="7">
        <f>IF($E2968="","",Y2968-AC2968)</f>
        <v/>
      </c>
      <c r="AE2968" s="7">
        <f>IF($E2968="","",AD2968-Q2968)</f>
        <v/>
      </c>
      <c r="AI2968" s="7" t="n"/>
      <c r="AL2968" s="11" t="n"/>
      <c r="AN2968">
        <f>IF($E2968="","",IF(COUNTIF($E$2:$E2968,$E2968)=1,1,0))</f>
        <v/>
      </c>
      <c r="AO2968">
        <f>IF($AN2968=1,SUMPRODUCT(--($AR$2:$AR$4001&lt;$AR2968))+1,"")</f>
        <v/>
      </c>
      <c r="AP2968">
        <f>IF($E2968="","",IF(OR($U2968=TRUE(),$U2968="TRUE"),1,0))</f>
        <v/>
      </c>
      <c r="AQ2968">
        <f>IF($E2968="","",IF($AA2968="Yes",1,0))</f>
        <v/>
      </c>
      <c r="AR2968">
        <f>IF($AN2968=1,IFERROR(VALUE(MID($E2968,2,20)),1000000000)+ROW()/100000,"")</f>
        <v/>
      </c>
    </row>
    <row r="2969">
      <c r="G2969" s="11" t="n"/>
      <c r="Q2969" s="7">
        <f>IF($E2969="","",P2969*Y2969/100)</f>
        <v/>
      </c>
      <c r="R2969" s="7" t="n"/>
      <c r="X2969" s="7" t="n"/>
      <c r="Y2969" s="7" t="n"/>
      <c r="AB2969">
        <f>IF($E2969="","",IF($AQ2969=1,0,IF($AP2969=1,Settings!$C$6,Settings!$C$7))*100)</f>
        <v/>
      </c>
      <c r="AC2969" s="7">
        <f>IF($E2969="","",Y2969*AB2969/100)</f>
        <v/>
      </c>
      <c r="AD2969" s="7">
        <f>IF($E2969="","",Y2969-AC2969)</f>
        <v/>
      </c>
      <c r="AE2969" s="7">
        <f>IF($E2969="","",AD2969-Q2969)</f>
        <v/>
      </c>
      <c r="AI2969" s="7" t="n"/>
      <c r="AL2969" s="11" t="n"/>
      <c r="AN2969">
        <f>IF($E2969="","",IF(COUNTIF($E$2:$E2969,$E2969)=1,1,0))</f>
        <v/>
      </c>
      <c r="AO2969">
        <f>IF($AN2969=1,SUMPRODUCT(--($AR$2:$AR$4001&lt;$AR2969))+1,"")</f>
        <v/>
      </c>
      <c r="AP2969">
        <f>IF($E2969="","",IF(OR($U2969=TRUE(),$U2969="TRUE"),1,0))</f>
        <v/>
      </c>
      <c r="AQ2969">
        <f>IF($E2969="","",IF($AA2969="Yes",1,0))</f>
        <v/>
      </c>
      <c r="AR2969">
        <f>IF($AN2969=1,IFERROR(VALUE(MID($E2969,2,20)),1000000000)+ROW()/100000,"")</f>
        <v/>
      </c>
    </row>
    <row r="2970">
      <c r="G2970" s="11" t="n"/>
      <c r="Q2970" s="7">
        <f>IF($E2970="","",P2970*Y2970/100)</f>
        <v/>
      </c>
      <c r="R2970" s="7" t="n"/>
      <c r="X2970" s="7" t="n"/>
      <c r="Y2970" s="7" t="n"/>
      <c r="AB2970">
        <f>IF($E2970="","",IF($AQ2970=1,0,IF($AP2970=1,Settings!$C$6,Settings!$C$7))*100)</f>
        <v/>
      </c>
      <c r="AC2970" s="7">
        <f>IF($E2970="","",Y2970*AB2970/100)</f>
        <v/>
      </c>
      <c r="AD2970" s="7">
        <f>IF($E2970="","",Y2970-AC2970)</f>
        <v/>
      </c>
      <c r="AE2970" s="7">
        <f>IF($E2970="","",AD2970-Q2970)</f>
        <v/>
      </c>
      <c r="AI2970" s="7" t="n"/>
      <c r="AL2970" s="11" t="n"/>
      <c r="AN2970">
        <f>IF($E2970="","",IF(COUNTIF($E$2:$E2970,$E2970)=1,1,0))</f>
        <v/>
      </c>
      <c r="AO2970">
        <f>IF($AN2970=1,SUMPRODUCT(--($AR$2:$AR$4001&lt;$AR2970))+1,"")</f>
        <v/>
      </c>
      <c r="AP2970">
        <f>IF($E2970="","",IF(OR($U2970=TRUE(),$U2970="TRUE"),1,0))</f>
        <v/>
      </c>
      <c r="AQ2970">
        <f>IF($E2970="","",IF($AA2970="Yes",1,0))</f>
        <v/>
      </c>
      <c r="AR2970">
        <f>IF($AN2970=1,IFERROR(VALUE(MID($E2970,2,20)),1000000000)+ROW()/100000,"")</f>
        <v/>
      </c>
    </row>
    <row r="2971">
      <c r="G2971" s="11" t="n"/>
      <c r="Q2971" s="7">
        <f>IF($E2971="","",P2971*Y2971/100)</f>
        <v/>
      </c>
      <c r="R2971" s="7" t="n"/>
      <c r="X2971" s="7" t="n"/>
      <c r="Y2971" s="7" t="n"/>
      <c r="AB2971">
        <f>IF($E2971="","",IF($AQ2971=1,0,IF($AP2971=1,Settings!$C$6,Settings!$C$7))*100)</f>
        <v/>
      </c>
      <c r="AC2971" s="7">
        <f>IF($E2971="","",Y2971*AB2971/100)</f>
        <v/>
      </c>
      <c r="AD2971" s="7">
        <f>IF($E2971="","",Y2971-AC2971)</f>
        <v/>
      </c>
      <c r="AE2971" s="7">
        <f>IF($E2971="","",AD2971-Q2971)</f>
        <v/>
      </c>
      <c r="AI2971" s="7" t="n"/>
      <c r="AL2971" s="11" t="n"/>
      <c r="AN2971">
        <f>IF($E2971="","",IF(COUNTIF($E$2:$E2971,$E2971)=1,1,0))</f>
        <v/>
      </c>
      <c r="AO2971">
        <f>IF($AN2971=1,SUMPRODUCT(--($AR$2:$AR$4001&lt;$AR2971))+1,"")</f>
        <v/>
      </c>
      <c r="AP2971">
        <f>IF($E2971="","",IF(OR($U2971=TRUE(),$U2971="TRUE"),1,0))</f>
        <v/>
      </c>
      <c r="AQ2971">
        <f>IF($E2971="","",IF($AA2971="Yes",1,0))</f>
        <v/>
      </c>
      <c r="AR2971">
        <f>IF($AN2971=1,IFERROR(VALUE(MID($E2971,2,20)),1000000000)+ROW()/100000,"")</f>
        <v/>
      </c>
    </row>
    <row r="2972">
      <c r="G2972" s="11" t="n"/>
      <c r="Q2972" s="7">
        <f>IF($E2972="","",P2972*Y2972/100)</f>
        <v/>
      </c>
      <c r="R2972" s="7" t="n"/>
      <c r="X2972" s="7" t="n"/>
      <c r="Y2972" s="7" t="n"/>
      <c r="AB2972">
        <f>IF($E2972="","",IF($AQ2972=1,0,IF($AP2972=1,Settings!$C$6,Settings!$C$7))*100)</f>
        <v/>
      </c>
      <c r="AC2972" s="7">
        <f>IF($E2972="","",Y2972*AB2972/100)</f>
        <v/>
      </c>
      <c r="AD2972" s="7">
        <f>IF($E2972="","",Y2972-AC2972)</f>
        <v/>
      </c>
      <c r="AE2972" s="7">
        <f>IF($E2972="","",AD2972-Q2972)</f>
        <v/>
      </c>
      <c r="AI2972" s="7" t="n"/>
      <c r="AL2972" s="11" t="n"/>
      <c r="AN2972">
        <f>IF($E2972="","",IF(COUNTIF($E$2:$E2972,$E2972)=1,1,0))</f>
        <v/>
      </c>
      <c r="AO2972">
        <f>IF($AN2972=1,SUMPRODUCT(--($AR$2:$AR$4001&lt;$AR2972))+1,"")</f>
        <v/>
      </c>
      <c r="AP2972">
        <f>IF($E2972="","",IF(OR($U2972=TRUE(),$U2972="TRUE"),1,0))</f>
        <v/>
      </c>
      <c r="AQ2972">
        <f>IF($E2972="","",IF($AA2972="Yes",1,0))</f>
        <v/>
      </c>
      <c r="AR2972">
        <f>IF($AN2972=1,IFERROR(VALUE(MID($E2972,2,20)),1000000000)+ROW()/100000,"")</f>
        <v/>
      </c>
    </row>
    <row r="2973">
      <c r="G2973" s="11" t="n"/>
      <c r="Q2973" s="7">
        <f>IF($E2973="","",P2973*Y2973/100)</f>
        <v/>
      </c>
      <c r="R2973" s="7" t="n"/>
      <c r="X2973" s="7" t="n"/>
      <c r="Y2973" s="7" t="n"/>
      <c r="AB2973">
        <f>IF($E2973="","",IF($AQ2973=1,0,IF($AP2973=1,Settings!$C$6,Settings!$C$7))*100)</f>
        <v/>
      </c>
      <c r="AC2973" s="7">
        <f>IF($E2973="","",Y2973*AB2973/100)</f>
        <v/>
      </c>
      <c r="AD2973" s="7">
        <f>IF($E2973="","",Y2973-AC2973)</f>
        <v/>
      </c>
      <c r="AE2973" s="7">
        <f>IF($E2973="","",AD2973-Q2973)</f>
        <v/>
      </c>
      <c r="AI2973" s="7" t="n"/>
      <c r="AL2973" s="11" t="n"/>
      <c r="AN2973">
        <f>IF($E2973="","",IF(COUNTIF($E$2:$E2973,$E2973)=1,1,0))</f>
        <v/>
      </c>
      <c r="AO2973">
        <f>IF($AN2973=1,SUMPRODUCT(--($AR$2:$AR$4001&lt;$AR2973))+1,"")</f>
        <v/>
      </c>
      <c r="AP2973">
        <f>IF($E2973="","",IF(OR($U2973=TRUE(),$U2973="TRUE"),1,0))</f>
        <v/>
      </c>
      <c r="AQ2973">
        <f>IF($E2973="","",IF($AA2973="Yes",1,0))</f>
        <v/>
      </c>
      <c r="AR2973">
        <f>IF($AN2973=1,IFERROR(VALUE(MID($E2973,2,20)),1000000000)+ROW()/100000,"")</f>
        <v/>
      </c>
    </row>
    <row r="2974">
      <c r="G2974" s="11" t="n"/>
      <c r="Q2974" s="7">
        <f>IF($E2974="","",P2974*Y2974/100)</f>
        <v/>
      </c>
      <c r="R2974" s="7" t="n"/>
      <c r="X2974" s="7" t="n"/>
      <c r="Y2974" s="7" t="n"/>
      <c r="AB2974">
        <f>IF($E2974="","",IF($AQ2974=1,0,IF($AP2974=1,Settings!$C$6,Settings!$C$7))*100)</f>
        <v/>
      </c>
      <c r="AC2974" s="7">
        <f>IF($E2974="","",Y2974*AB2974/100)</f>
        <v/>
      </c>
      <c r="AD2974" s="7">
        <f>IF($E2974="","",Y2974-AC2974)</f>
        <v/>
      </c>
      <c r="AE2974" s="7">
        <f>IF($E2974="","",AD2974-Q2974)</f>
        <v/>
      </c>
      <c r="AI2974" s="7" t="n"/>
      <c r="AL2974" s="11" t="n"/>
      <c r="AN2974">
        <f>IF($E2974="","",IF(COUNTIF($E$2:$E2974,$E2974)=1,1,0))</f>
        <v/>
      </c>
      <c r="AO2974">
        <f>IF($AN2974=1,SUMPRODUCT(--($AR$2:$AR$4001&lt;$AR2974))+1,"")</f>
        <v/>
      </c>
      <c r="AP2974">
        <f>IF($E2974="","",IF(OR($U2974=TRUE(),$U2974="TRUE"),1,0))</f>
        <v/>
      </c>
      <c r="AQ2974">
        <f>IF($E2974="","",IF($AA2974="Yes",1,0))</f>
        <v/>
      </c>
      <c r="AR2974">
        <f>IF($AN2974=1,IFERROR(VALUE(MID($E2974,2,20)),1000000000)+ROW()/100000,"")</f>
        <v/>
      </c>
    </row>
    <row r="2975">
      <c r="G2975" s="11" t="n"/>
      <c r="Q2975" s="7">
        <f>IF($E2975="","",P2975*Y2975/100)</f>
        <v/>
      </c>
      <c r="R2975" s="7" t="n"/>
      <c r="X2975" s="7" t="n"/>
      <c r="Y2975" s="7" t="n"/>
      <c r="AB2975">
        <f>IF($E2975="","",IF($AQ2975=1,0,IF($AP2975=1,Settings!$C$6,Settings!$C$7))*100)</f>
        <v/>
      </c>
      <c r="AC2975" s="7">
        <f>IF($E2975="","",Y2975*AB2975/100)</f>
        <v/>
      </c>
      <c r="AD2975" s="7">
        <f>IF($E2975="","",Y2975-AC2975)</f>
        <v/>
      </c>
      <c r="AE2975" s="7">
        <f>IF($E2975="","",AD2975-Q2975)</f>
        <v/>
      </c>
      <c r="AI2975" s="7" t="n"/>
      <c r="AL2975" s="11" t="n"/>
      <c r="AN2975">
        <f>IF($E2975="","",IF(COUNTIF($E$2:$E2975,$E2975)=1,1,0))</f>
        <v/>
      </c>
      <c r="AO2975">
        <f>IF($AN2975=1,SUMPRODUCT(--($AR$2:$AR$4001&lt;$AR2975))+1,"")</f>
        <v/>
      </c>
      <c r="AP2975">
        <f>IF($E2975="","",IF(OR($U2975=TRUE(),$U2975="TRUE"),1,0))</f>
        <v/>
      </c>
      <c r="AQ2975">
        <f>IF($E2975="","",IF($AA2975="Yes",1,0))</f>
        <v/>
      </c>
      <c r="AR2975">
        <f>IF($AN2975=1,IFERROR(VALUE(MID($E2975,2,20)),1000000000)+ROW()/100000,"")</f>
        <v/>
      </c>
    </row>
    <row r="2976">
      <c r="G2976" s="11" t="n"/>
      <c r="Q2976" s="7">
        <f>IF($E2976="","",P2976*Y2976/100)</f>
        <v/>
      </c>
      <c r="R2976" s="7" t="n"/>
      <c r="X2976" s="7" t="n"/>
      <c r="Y2976" s="7" t="n"/>
      <c r="AB2976">
        <f>IF($E2976="","",IF($AQ2976=1,0,IF($AP2976=1,Settings!$C$6,Settings!$C$7))*100)</f>
        <v/>
      </c>
      <c r="AC2976" s="7">
        <f>IF($E2976="","",Y2976*AB2976/100)</f>
        <v/>
      </c>
      <c r="AD2976" s="7">
        <f>IF($E2976="","",Y2976-AC2976)</f>
        <v/>
      </c>
      <c r="AE2976" s="7">
        <f>IF($E2976="","",AD2976-Q2976)</f>
        <v/>
      </c>
      <c r="AI2976" s="7" t="n"/>
      <c r="AL2976" s="11" t="n"/>
      <c r="AN2976">
        <f>IF($E2976="","",IF(COUNTIF($E$2:$E2976,$E2976)=1,1,0))</f>
        <v/>
      </c>
      <c r="AO2976">
        <f>IF($AN2976=1,SUMPRODUCT(--($AR$2:$AR$4001&lt;$AR2976))+1,"")</f>
        <v/>
      </c>
      <c r="AP2976">
        <f>IF($E2976="","",IF(OR($U2976=TRUE(),$U2976="TRUE"),1,0))</f>
        <v/>
      </c>
      <c r="AQ2976">
        <f>IF($E2976="","",IF($AA2976="Yes",1,0))</f>
        <v/>
      </c>
      <c r="AR2976">
        <f>IF($AN2976=1,IFERROR(VALUE(MID($E2976,2,20)),1000000000)+ROW()/100000,"")</f>
        <v/>
      </c>
    </row>
    <row r="2977">
      <c r="G2977" s="11" t="n"/>
      <c r="Q2977" s="7">
        <f>IF($E2977="","",P2977*Y2977/100)</f>
        <v/>
      </c>
      <c r="R2977" s="7" t="n"/>
      <c r="X2977" s="7" t="n"/>
      <c r="Y2977" s="7" t="n"/>
      <c r="AB2977">
        <f>IF($E2977="","",IF($AQ2977=1,0,IF($AP2977=1,Settings!$C$6,Settings!$C$7))*100)</f>
        <v/>
      </c>
      <c r="AC2977" s="7">
        <f>IF($E2977="","",Y2977*AB2977/100)</f>
        <v/>
      </c>
      <c r="AD2977" s="7">
        <f>IF($E2977="","",Y2977-AC2977)</f>
        <v/>
      </c>
      <c r="AE2977" s="7">
        <f>IF($E2977="","",AD2977-Q2977)</f>
        <v/>
      </c>
      <c r="AI2977" s="7" t="n"/>
      <c r="AL2977" s="11" t="n"/>
      <c r="AN2977">
        <f>IF($E2977="","",IF(COUNTIF($E$2:$E2977,$E2977)=1,1,0))</f>
        <v/>
      </c>
      <c r="AO2977">
        <f>IF($AN2977=1,SUMPRODUCT(--($AR$2:$AR$4001&lt;$AR2977))+1,"")</f>
        <v/>
      </c>
      <c r="AP2977">
        <f>IF($E2977="","",IF(OR($U2977=TRUE(),$U2977="TRUE"),1,0))</f>
        <v/>
      </c>
      <c r="AQ2977">
        <f>IF($E2977="","",IF($AA2977="Yes",1,0))</f>
        <v/>
      </c>
      <c r="AR2977">
        <f>IF($AN2977=1,IFERROR(VALUE(MID($E2977,2,20)),1000000000)+ROW()/100000,"")</f>
        <v/>
      </c>
    </row>
    <row r="2978">
      <c r="G2978" s="11" t="n"/>
      <c r="Q2978" s="7">
        <f>IF($E2978="","",P2978*Y2978/100)</f>
        <v/>
      </c>
      <c r="R2978" s="7" t="n"/>
      <c r="X2978" s="7" t="n"/>
      <c r="Y2978" s="7" t="n"/>
      <c r="AB2978">
        <f>IF($E2978="","",IF($AQ2978=1,0,IF($AP2978=1,Settings!$C$6,Settings!$C$7))*100)</f>
        <v/>
      </c>
      <c r="AC2978" s="7">
        <f>IF($E2978="","",Y2978*AB2978/100)</f>
        <v/>
      </c>
      <c r="AD2978" s="7">
        <f>IF($E2978="","",Y2978-AC2978)</f>
        <v/>
      </c>
      <c r="AE2978" s="7">
        <f>IF($E2978="","",AD2978-Q2978)</f>
        <v/>
      </c>
      <c r="AI2978" s="7" t="n"/>
      <c r="AL2978" s="11" t="n"/>
      <c r="AN2978">
        <f>IF($E2978="","",IF(COUNTIF($E$2:$E2978,$E2978)=1,1,0))</f>
        <v/>
      </c>
      <c r="AO2978">
        <f>IF($AN2978=1,SUMPRODUCT(--($AR$2:$AR$4001&lt;$AR2978))+1,"")</f>
        <v/>
      </c>
      <c r="AP2978">
        <f>IF($E2978="","",IF(OR($U2978=TRUE(),$U2978="TRUE"),1,0))</f>
        <v/>
      </c>
      <c r="AQ2978">
        <f>IF($E2978="","",IF($AA2978="Yes",1,0))</f>
        <v/>
      </c>
      <c r="AR2978">
        <f>IF($AN2978=1,IFERROR(VALUE(MID($E2978,2,20)),1000000000)+ROW()/100000,"")</f>
        <v/>
      </c>
    </row>
    <row r="2979">
      <c r="G2979" s="11" t="n"/>
      <c r="Q2979" s="7">
        <f>IF($E2979="","",P2979*Y2979/100)</f>
        <v/>
      </c>
      <c r="R2979" s="7" t="n"/>
      <c r="X2979" s="7" t="n"/>
      <c r="Y2979" s="7" t="n"/>
      <c r="AB2979">
        <f>IF($E2979="","",IF($AQ2979=1,0,IF($AP2979=1,Settings!$C$6,Settings!$C$7))*100)</f>
        <v/>
      </c>
      <c r="AC2979" s="7">
        <f>IF($E2979="","",Y2979*AB2979/100)</f>
        <v/>
      </c>
      <c r="AD2979" s="7">
        <f>IF($E2979="","",Y2979-AC2979)</f>
        <v/>
      </c>
      <c r="AE2979" s="7">
        <f>IF($E2979="","",AD2979-Q2979)</f>
        <v/>
      </c>
      <c r="AI2979" s="7" t="n"/>
      <c r="AL2979" s="11" t="n"/>
      <c r="AN2979">
        <f>IF($E2979="","",IF(COUNTIF($E$2:$E2979,$E2979)=1,1,0))</f>
        <v/>
      </c>
      <c r="AO2979">
        <f>IF($AN2979=1,SUMPRODUCT(--($AR$2:$AR$4001&lt;$AR2979))+1,"")</f>
        <v/>
      </c>
      <c r="AP2979">
        <f>IF($E2979="","",IF(OR($U2979=TRUE(),$U2979="TRUE"),1,0))</f>
        <v/>
      </c>
      <c r="AQ2979">
        <f>IF($E2979="","",IF($AA2979="Yes",1,0))</f>
        <v/>
      </c>
      <c r="AR2979">
        <f>IF($AN2979=1,IFERROR(VALUE(MID($E2979,2,20)),1000000000)+ROW()/100000,"")</f>
        <v/>
      </c>
    </row>
    <row r="2980">
      <c r="G2980" s="11" t="n"/>
      <c r="Q2980" s="7">
        <f>IF($E2980="","",P2980*Y2980/100)</f>
        <v/>
      </c>
      <c r="R2980" s="7" t="n"/>
      <c r="X2980" s="7" t="n"/>
      <c r="Y2980" s="7" t="n"/>
      <c r="AB2980">
        <f>IF($E2980="","",IF($AQ2980=1,0,IF($AP2980=1,Settings!$C$6,Settings!$C$7))*100)</f>
        <v/>
      </c>
      <c r="AC2980" s="7">
        <f>IF($E2980="","",Y2980*AB2980/100)</f>
        <v/>
      </c>
      <c r="AD2980" s="7">
        <f>IF($E2980="","",Y2980-AC2980)</f>
        <v/>
      </c>
      <c r="AE2980" s="7">
        <f>IF($E2980="","",AD2980-Q2980)</f>
        <v/>
      </c>
      <c r="AI2980" s="7" t="n"/>
      <c r="AL2980" s="11" t="n"/>
      <c r="AN2980">
        <f>IF($E2980="","",IF(COUNTIF($E$2:$E2980,$E2980)=1,1,0))</f>
        <v/>
      </c>
      <c r="AO2980">
        <f>IF($AN2980=1,SUMPRODUCT(--($AR$2:$AR$4001&lt;$AR2980))+1,"")</f>
        <v/>
      </c>
      <c r="AP2980">
        <f>IF($E2980="","",IF(OR($U2980=TRUE(),$U2980="TRUE"),1,0))</f>
        <v/>
      </c>
      <c r="AQ2980">
        <f>IF($E2980="","",IF($AA2980="Yes",1,0))</f>
        <v/>
      </c>
      <c r="AR2980">
        <f>IF($AN2980=1,IFERROR(VALUE(MID($E2980,2,20)),1000000000)+ROW()/100000,"")</f>
        <v/>
      </c>
    </row>
    <row r="2981">
      <c r="G2981" s="11" t="n"/>
      <c r="Q2981" s="7">
        <f>IF($E2981="","",P2981*Y2981/100)</f>
        <v/>
      </c>
      <c r="R2981" s="7" t="n"/>
      <c r="X2981" s="7" t="n"/>
      <c r="Y2981" s="7" t="n"/>
      <c r="AB2981">
        <f>IF($E2981="","",IF($AQ2981=1,0,IF($AP2981=1,Settings!$C$6,Settings!$C$7))*100)</f>
        <v/>
      </c>
      <c r="AC2981" s="7">
        <f>IF($E2981="","",Y2981*AB2981/100)</f>
        <v/>
      </c>
      <c r="AD2981" s="7">
        <f>IF($E2981="","",Y2981-AC2981)</f>
        <v/>
      </c>
      <c r="AE2981" s="7">
        <f>IF($E2981="","",AD2981-Q2981)</f>
        <v/>
      </c>
      <c r="AI2981" s="7" t="n"/>
      <c r="AL2981" s="11" t="n"/>
      <c r="AN2981">
        <f>IF($E2981="","",IF(COUNTIF($E$2:$E2981,$E2981)=1,1,0))</f>
        <v/>
      </c>
      <c r="AO2981">
        <f>IF($AN2981=1,SUMPRODUCT(--($AR$2:$AR$4001&lt;$AR2981))+1,"")</f>
        <v/>
      </c>
      <c r="AP2981">
        <f>IF($E2981="","",IF(OR($U2981=TRUE(),$U2981="TRUE"),1,0))</f>
        <v/>
      </c>
      <c r="AQ2981">
        <f>IF($E2981="","",IF($AA2981="Yes",1,0))</f>
        <v/>
      </c>
      <c r="AR2981">
        <f>IF($AN2981=1,IFERROR(VALUE(MID($E2981,2,20)),1000000000)+ROW()/100000,"")</f>
        <v/>
      </c>
    </row>
    <row r="2982">
      <c r="G2982" s="11" t="n"/>
      <c r="Q2982" s="7">
        <f>IF($E2982="","",P2982*Y2982/100)</f>
        <v/>
      </c>
      <c r="R2982" s="7" t="n"/>
      <c r="X2982" s="7" t="n"/>
      <c r="Y2982" s="7" t="n"/>
      <c r="AB2982">
        <f>IF($E2982="","",IF($AQ2982=1,0,IF($AP2982=1,Settings!$C$6,Settings!$C$7))*100)</f>
        <v/>
      </c>
      <c r="AC2982" s="7">
        <f>IF($E2982="","",Y2982*AB2982/100)</f>
        <v/>
      </c>
      <c r="AD2982" s="7">
        <f>IF($E2982="","",Y2982-AC2982)</f>
        <v/>
      </c>
      <c r="AE2982" s="7">
        <f>IF($E2982="","",AD2982-Q2982)</f>
        <v/>
      </c>
      <c r="AI2982" s="7" t="n"/>
      <c r="AL2982" s="11" t="n"/>
      <c r="AN2982">
        <f>IF($E2982="","",IF(COUNTIF($E$2:$E2982,$E2982)=1,1,0))</f>
        <v/>
      </c>
      <c r="AO2982">
        <f>IF($AN2982=1,SUMPRODUCT(--($AR$2:$AR$4001&lt;$AR2982))+1,"")</f>
        <v/>
      </c>
      <c r="AP2982">
        <f>IF($E2982="","",IF(OR($U2982=TRUE(),$U2982="TRUE"),1,0))</f>
        <v/>
      </c>
      <c r="AQ2982">
        <f>IF($E2982="","",IF($AA2982="Yes",1,0))</f>
        <v/>
      </c>
      <c r="AR2982">
        <f>IF($AN2982=1,IFERROR(VALUE(MID($E2982,2,20)),1000000000)+ROW()/100000,"")</f>
        <v/>
      </c>
    </row>
    <row r="2983">
      <c r="G2983" s="11" t="n"/>
      <c r="Q2983" s="7">
        <f>IF($E2983="","",P2983*Y2983/100)</f>
        <v/>
      </c>
      <c r="R2983" s="7" t="n"/>
      <c r="X2983" s="7" t="n"/>
      <c r="Y2983" s="7" t="n"/>
      <c r="AB2983">
        <f>IF($E2983="","",IF($AQ2983=1,0,IF($AP2983=1,Settings!$C$6,Settings!$C$7))*100)</f>
        <v/>
      </c>
      <c r="AC2983" s="7">
        <f>IF($E2983="","",Y2983*AB2983/100)</f>
        <v/>
      </c>
      <c r="AD2983" s="7">
        <f>IF($E2983="","",Y2983-AC2983)</f>
        <v/>
      </c>
      <c r="AE2983" s="7">
        <f>IF($E2983="","",AD2983-Q2983)</f>
        <v/>
      </c>
      <c r="AI2983" s="7" t="n"/>
      <c r="AL2983" s="11" t="n"/>
      <c r="AN2983">
        <f>IF($E2983="","",IF(COUNTIF($E$2:$E2983,$E2983)=1,1,0))</f>
        <v/>
      </c>
      <c r="AO2983">
        <f>IF($AN2983=1,SUMPRODUCT(--($AR$2:$AR$4001&lt;$AR2983))+1,"")</f>
        <v/>
      </c>
      <c r="AP2983">
        <f>IF($E2983="","",IF(OR($U2983=TRUE(),$U2983="TRUE"),1,0))</f>
        <v/>
      </c>
      <c r="AQ2983">
        <f>IF($E2983="","",IF($AA2983="Yes",1,0))</f>
        <v/>
      </c>
      <c r="AR2983">
        <f>IF($AN2983=1,IFERROR(VALUE(MID($E2983,2,20)),1000000000)+ROW()/100000,"")</f>
        <v/>
      </c>
    </row>
    <row r="2984">
      <c r="G2984" s="11" t="n"/>
      <c r="Q2984" s="7">
        <f>IF($E2984="","",P2984*Y2984/100)</f>
        <v/>
      </c>
      <c r="R2984" s="7" t="n"/>
      <c r="X2984" s="7" t="n"/>
      <c r="Y2984" s="7" t="n"/>
      <c r="AB2984">
        <f>IF($E2984="","",IF($AQ2984=1,0,IF($AP2984=1,Settings!$C$6,Settings!$C$7))*100)</f>
        <v/>
      </c>
      <c r="AC2984" s="7">
        <f>IF($E2984="","",Y2984*AB2984/100)</f>
        <v/>
      </c>
      <c r="AD2984" s="7">
        <f>IF($E2984="","",Y2984-AC2984)</f>
        <v/>
      </c>
      <c r="AE2984" s="7">
        <f>IF($E2984="","",AD2984-Q2984)</f>
        <v/>
      </c>
      <c r="AI2984" s="7" t="n"/>
      <c r="AL2984" s="11" t="n"/>
      <c r="AN2984">
        <f>IF($E2984="","",IF(COUNTIF($E$2:$E2984,$E2984)=1,1,0))</f>
        <v/>
      </c>
      <c r="AO2984">
        <f>IF($AN2984=1,SUMPRODUCT(--($AR$2:$AR$4001&lt;$AR2984))+1,"")</f>
        <v/>
      </c>
      <c r="AP2984">
        <f>IF($E2984="","",IF(OR($U2984=TRUE(),$U2984="TRUE"),1,0))</f>
        <v/>
      </c>
      <c r="AQ2984">
        <f>IF($E2984="","",IF($AA2984="Yes",1,0))</f>
        <v/>
      </c>
      <c r="AR2984">
        <f>IF($AN2984=1,IFERROR(VALUE(MID($E2984,2,20)),1000000000)+ROW()/100000,"")</f>
        <v/>
      </c>
    </row>
    <row r="2985">
      <c r="G2985" s="11" t="n"/>
      <c r="Q2985" s="7">
        <f>IF($E2985="","",P2985*Y2985/100)</f>
        <v/>
      </c>
      <c r="R2985" s="7" t="n"/>
      <c r="X2985" s="7" t="n"/>
      <c r="Y2985" s="7" t="n"/>
      <c r="AB2985">
        <f>IF($E2985="","",IF($AQ2985=1,0,IF($AP2985=1,Settings!$C$6,Settings!$C$7))*100)</f>
        <v/>
      </c>
      <c r="AC2985" s="7">
        <f>IF($E2985="","",Y2985*AB2985/100)</f>
        <v/>
      </c>
      <c r="AD2985" s="7">
        <f>IF($E2985="","",Y2985-AC2985)</f>
        <v/>
      </c>
      <c r="AE2985" s="7">
        <f>IF($E2985="","",AD2985-Q2985)</f>
        <v/>
      </c>
      <c r="AI2985" s="7" t="n"/>
      <c r="AL2985" s="11" t="n"/>
      <c r="AN2985">
        <f>IF($E2985="","",IF(COUNTIF($E$2:$E2985,$E2985)=1,1,0))</f>
        <v/>
      </c>
      <c r="AO2985">
        <f>IF($AN2985=1,SUMPRODUCT(--($AR$2:$AR$4001&lt;$AR2985))+1,"")</f>
        <v/>
      </c>
      <c r="AP2985">
        <f>IF($E2985="","",IF(OR($U2985=TRUE(),$U2985="TRUE"),1,0))</f>
        <v/>
      </c>
      <c r="AQ2985">
        <f>IF($E2985="","",IF($AA2985="Yes",1,0))</f>
        <v/>
      </c>
      <c r="AR2985">
        <f>IF($AN2985=1,IFERROR(VALUE(MID($E2985,2,20)),1000000000)+ROW()/100000,"")</f>
        <v/>
      </c>
    </row>
    <row r="2986">
      <c r="G2986" s="11" t="n"/>
      <c r="Q2986" s="7">
        <f>IF($E2986="","",P2986*Y2986/100)</f>
        <v/>
      </c>
      <c r="R2986" s="7" t="n"/>
      <c r="X2986" s="7" t="n"/>
      <c r="Y2986" s="7" t="n"/>
      <c r="AB2986">
        <f>IF($E2986="","",IF($AQ2986=1,0,IF($AP2986=1,Settings!$C$6,Settings!$C$7))*100)</f>
        <v/>
      </c>
      <c r="AC2986" s="7">
        <f>IF($E2986="","",Y2986*AB2986/100)</f>
        <v/>
      </c>
      <c r="AD2986" s="7">
        <f>IF($E2986="","",Y2986-AC2986)</f>
        <v/>
      </c>
      <c r="AE2986" s="7">
        <f>IF($E2986="","",AD2986-Q2986)</f>
        <v/>
      </c>
      <c r="AI2986" s="7" t="n"/>
      <c r="AL2986" s="11" t="n"/>
      <c r="AN2986">
        <f>IF($E2986="","",IF(COUNTIF($E$2:$E2986,$E2986)=1,1,0))</f>
        <v/>
      </c>
      <c r="AO2986">
        <f>IF($AN2986=1,SUMPRODUCT(--($AR$2:$AR$4001&lt;$AR2986))+1,"")</f>
        <v/>
      </c>
      <c r="AP2986">
        <f>IF($E2986="","",IF(OR($U2986=TRUE(),$U2986="TRUE"),1,0))</f>
        <v/>
      </c>
      <c r="AQ2986">
        <f>IF($E2986="","",IF($AA2986="Yes",1,0))</f>
        <v/>
      </c>
      <c r="AR2986">
        <f>IF($AN2986=1,IFERROR(VALUE(MID($E2986,2,20)),1000000000)+ROW()/100000,"")</f>
        <v/>
      </c>
    </row>
    <row r="2987">
      <c r="G2987" s="11" t="n"/>
      <c r="Q2987" s="7">
        <f>IF($E2987="","",P2987*Y2987/100)</f>
        <v/>
      </c>
      <c r="R2987" s="7" t="n"/>
      <c r="X2987" s="7" t="n"/>
      <c r="Y2987" s="7" t="n"/>
      <c r="AB2987">
        <f>IF($E2987="","",IF($AQ2987=1,0,IF($AP2987=1,Settings!$C$6,Settings!$C$7))*100)</f>
        <v/>
      </c>
      <c r="AC2987" s="7">
        <f>IF($E2987="","",Y2987*AB2987/100)</f>
        <v/>
      </c>
      <c r="AD2987" s="7">
        <f>IF($E2987="","",Y2987-AC2987)</f>
        <v/>
      </c>
      <c r="AE2987" s="7">
        <f>IF($E2987="","",AD2987-Q2987)</f>
        <v/>
      </c>
      <c r="AI2987" s="7" t="n"/>
      <c r="AL2987" s="11" t="n"/>
      <c r="AN2987">
        <f>IF($E2987="","",IF(COUNTIF($E$2:$E2987,$E2987)=1,1,0))</f>
        <v/>
      </c>
      <c r="AO2987">
        <f>IF($AN2987=1,SUMPRODUCT(--($AR$2:$AR$4001&lt;$AR2987))+1,"")</f>
        <v/>
      </c>
      <c r="AP2987">
        <f>IF($E2987="","",IF(OR($U2987=TRUE(),$U2987="TRUE"),1,0))</f>
        <v/>
      </c>
      <c r="AQ2987">
        <f>IF($E2987="","",IF($AA2987="Yes",1,0))</f>
        <v/>
      </c>
      <c r="AR2987">
        <f>IF($AN2987=1,IFERROR(VALUE(MID($E2987,2,20)),1000000000)+ROW()/100000,"")</f>
        <v/>
      </c>
    </row>
    <row r="2988">
      <c r="G2988" s="11" t="n"/>
      <c r="Q2988" s="7">
        <f>IF($E2988="","",P2988*Y2988/100)</f>
        <v/>
      </c>
      <c r="R2988" s="7" t="n"/>
      <c r="X2988" s="7" t="n"/>
      <c r="Y2988" s="7" t="n"/>
      <c r="AB2988">
        <f>IF($E2988="","",IF($AQ2988=1,0,IF($AP2988=1,Settings!$C$6,Settings!$C$7))*100)</f>
        <v/>
      </c>
      <c r="AC2988" s="7">
        <f>IF($E2988="","",Y2988*AB2988/100)</f>
        <v/>
      </c>
      <c r="AD2988" s="7">
        <f>IF($E2988="","",Y2988-AC2988)</f>
        <v/>
      </c>
      <c r="AE2988" s="7">
        <f>IF($E2988="","",AD2988-Q2988)</f>
        <v/>
      </c>
      <c r="AI2988" s="7" t="n"/>
      <c r="AL2988" s="11" t="n"/>
      <c r="AN2988">
        <f>IF($E2988="","",IF(COUNTIF($E$2:$E2988,$E2988)=1,1,0))</f>
        <v/>
      </c>
      <c r="AO2988">
        <f>IF($AN2988=1,SUMPRODUCT(--($AR$2:$AR$4001&lt;$AR2988))+1,"")</f>
        <v/>
      </c>
      <c r="AP2988">
        <f>IF($E2988="","",IF(OR($U2988=TRUE(),$U2988="TRUE"),1,0))</f>
        <v/>
      </c>
      <c r="AQ2988">
        <f>IF($E2988="","",IF($AA2988="Yes",1,0))</f>
        <v/>
      </c>
      <c r="AR2988">
        <f>IF($AN2988=1,IFERROR(VALUE(MID($E2988,2,20)),1000000000)+ROW()/100000,"")</f>
        <v/>
      </c>
    </row>
    <row r="2989">
      <c r="G2989" s="11" t="n"/>
      <c r="Q2989" s="7">
        <f>IF($E2989="","",P2989*Y2989/100)</f>
        <v/>
      </c>
      <c r="R2989" s="7" t="n"/>
      <c r="X2989" s="7" t="n"/>
      <c r="Y2989" s="7" t="n"/>
      <c r="AB2989">
        <f>IF($E2989="","",IF($AQ2989=1,0,IF($AP2989=1,Settings!$C$6,Settings!$C$7))*100)</f>
        <v/>
      </c>
      <c r="AC2989" s="7">
        <f>IF($E2989="","",Y2989*AB2989/100)</f>
        <v/>
      </c>
      <c r="AD2989" s="7">
        <f>IF($E2989="","",Y2989-AC2989)</f>
        <v/>
      </c>
      <c r="AE2989" s="7">
        <f>IF($E2989="","",AD2989-Q2989)</f>
        <v/>
      </c>
      <c r="AI2989" s="7" t="n"/>
      <c r="AL2989" s="11" t="n"/>
      <c r="AN2989">
        <f>IF($E2989="","",IF(COUNTIF($E$2:$E2989,$E2989)=1,1,0))</f>
        <v/>
      </c>
      <c r="AO2989">
        <f>IF($AN2989=1,SUMPRODUCT(--($AR$2:$AR$4001&lt;$AR2989))+1,"")</f>
        <v/>
      </c>
      <c r="AP2989">
        <f>IF($E2989="","",IF(OR($U2989=TRUE(),$U2989="TRUE"),1,0))</f>
        <v/>
      </c>
      <c r="AQ2989">
        <f>IF($E2989="","",IF($AA2989="Yes",1,0))</f>
        <v/>
      </c>
      <c r="AR2989">
        <f>IF($AN2989=1,IFERROR(VALUE(MID($E2989,2,20)),1000000000)+ROW()/100000,"")</f>
        <v/>
      </c>
    </row>
    <row r="2990">
      <c r="G2990" s="11" t="n"/>
      <c r="Q2990" s="7">
        <f>IF($E2990="","",P2990*Y2990/100)</f>
        <v/>
      </c>
      <c r="R2990" s="7" t="n"/>
      <c r="X2990" s="7" t="n"/>
      <c r="Y2990" s="7" t="n"/>
      <c r="AB2990">
        <f>IF($E2990="","",IF($AQ2990=1,0,IF($AP2990=1,Settings!$C$6,Settings!$C$7))*100)</f>
        <v/>
      </c>
      <c r="AC2990" s="7">
        <f>IF($E2990="","",Y2990*AB2990/100)</f>
        <v/>
      </c>
      <c r="AD2990" s="7">
        <f>IF($E2990="","",Y2990-AC2990)</f>
        <v/>
      </c>
      <c r="AE2990" s="7">
        <f>IF($E2990="","",AD2990-Q2990)</f>
        <v/>
      </c>
      <c r="AI2990" s="7" t="n"/>
      <c r="AL2990" s="11" t="n"/>
      <c r="AN2990">
        <f>IF($E2990="","",IF(COUNTIF($E$2:$E2990,$E2990)=1,1,0))</f>
        <v/>
      </c>
      <c r="AO2990">
        <f>IF($AN2990=1,SUMPRODUCT(--($AR$2:$AR$4001&lt;$AR2990))+1,"")</f>
        <v/>
      </c>
      <c r="AP2990">
        <f>IF($E2990="","",IF(OR($U2990=TRUE(),$U2990="TRUE"),1,0))</f>
        <v/>
      </c>
      <c r="AQ2990">
        <f>IF($E2990="","",IF($AA2990="Yes",1,0))</f>
        <v/>
      </c>
      <c r="AR2990">
        <f>IF($AN2990=1,IFERROR(VALUE(MID($E2990,2,20)),1000000000)+ROW()/100000,"")</f>
        <v/>
      </c>
    </row>
    <row r="2991">
      <c r="G2991" s="11" t="n"/>
      <c r="Q2991" s="7">
        <f>IF($E2991="","",P2991*Y2991/100)</f>
        <v/>
      </c>
      <c r="R2991" s="7" t="n"/>
      <c r="X2991" s="7" t="n"/>
      <c r="Y2991" s="7" t="n"/>
      <c r="AB2991">
        <f>IF($E2991="","",IF($AQ2991=1,0,IF($AP2991=1,Settings!$C$6,Settings!$C$7))*100)</f>
        <v/>
      </c>
      <c r="AC2991" s="7">
        <f>IF($E2991="","",Y2991*AB2991/100)</f>
        <v/>
      </c>
      <c r="AD2991" s="7">
        <f>IF($E2991="","",Y2991-AC2991)</f>
        <v/>
      </c>
      <c r="AE2991" s="7">
        <f>IF($E2991="","",AD2991-Q2991)</f>
        <v/>
      </c>
      <c r="AI2991" s="7" t="n"/>
      <c r="AL2991" s="11" t="n"/>
      <c r="AN2991">
        <f>IF($E2991="","",IF(COUNTIF($E$2:$E2991,$E2991)=1,1,0))</f>
        <v/>
      </c>
      <c r="AO2991">
        <f>IF($AN2991=1,SUMPRODUCT(--($AR$2:$AR$4001&lt;$AR2991))+1,"")</f>
        <v/>
      </c>
      <c r="AP2991">
        <f>IF($E2991="","",IF(OR($U2991=TRUE(),$U2991="TRUE"),1,0))</f>
        <v/>
      </c>
      <c r="AQ2991">
        <f>IF($E2991="","",IF($AA2991="Yes",1,0))</f>
        <v/>
      </c>
      <c r="AR2991">
        <f>IF($AN2991=1,IFERROR(VALUE(MID($E2991,2,20)),1000000000)+ROW()/100000,"")</f>
        <v/>
      </c>
    </row>
    <row r="2992">
      <c r="G2992" s="11" t="n"/>
      <c r="Q2992" s="7">
        <f>IF($E2992="","",P2992*Y2992/100)</f>
        <v/>
      </c>
      <c r="R2992" s="7" t="n"/>
      <c r="X2992" s="7" t="n"/>
      <c r="Y2992" s="7" t="n"/>
      <c r="AB2992">
        <f>IF($E2992="","",IF($AQ2992=1,0,IF($AP2992=1,Settings!$C$6,Settings!$C$7))*100)</f>
        <v/>
      </c>
      <c r="AC2992" s="7">
        <f>IF($E2992="","",Y2992*AB2992/100)</f>
        <v/>
      </c>
      <c r="AD2992" s="7">
        <f>IF($E2992="","",Y2992-AC2992)</f>
        <v/>
      </c>
      <c r="AE2992" s="7">
        <f>IF($E2992="","",AD2992-Q2992)</f>
        <v/>
      </c>
      <c r="AI2992" s="7" t="n"/>
      <c r="AL2992" s="11" t="n"/>
      <c r="AN2992">
        <f>IF($E2992="","",IF(COUNTIF($E$2:$E2992,$E2992)=1,1,0))</f>
        <v/>
      </c>
      <c r="AO2992">
        <f>IF($AN2992=1,SUMPRODUCT(--($AR$2:$AR$4001&lt;$AR2992))+1,"")</f>
        <v/>
      </c>
      <c r="AP2992">
        <f>IF($E2992="","",IF(OR($U2992=TRUE(),$U2992="TRUE"),1,0))</f>
        <v/>
      </c>
      <c r="AQ2992">
        <f>IF($E2992="","",IF($AA2992="Yes",1,0))</f>
        <v/>
      </c>
      <c r="AR2992">
        <f>IF($AN2992=1,IFERROR(VALUE(MID($E2992,2,20)),1000000000)+ROW()/100000,"")</f>
        <v/>
      </c>
    </row>
    <row r="2993">
      <c r="G2993" s="11" t="n"/>
      <c r="Q2993" s="7">
        <f>IF($E2993="","",P2993*Y2993/100)</f>
        <v/>
      </c>
      <c r="R2993" s="7" t="n"/>
      <c r="X2993" s="7" t="n"/>
      <c r="Y2993" s="7" t="n"/>
      <c r="AB2993">
        <f>IF($E2993="","",IF($AQ2993=1,0,IF($AP2993=1,Settings!$C$6,Settings!$C$7))*100)</f>
        <v/>
      </c>
      <c r="AC2993" s="7">
        <f>IF($E2993="","",Y2993*AB2993/100)</f>
        <v/>
      </c>
      <c r="AD2993" s="7">
        <f>IF($E2993="","",Y2993-AC2993)</f>
        <v/>
      </c>
      <c r="AE2993" s="7">
        <f>IF($E2993="","",AD2993-Q2993)</f>
        <v/>
      </c>
      <c r="AI2993" s="7" t="n"/>
      <c r="AL2993" s="11" t="n"/>
      <c r="AN2993">
        <f>IF($E2993="","",IF(COUNTIF($E$2:$E2993,$E2993)=1,1,0))</f>
        <v/>
      </c>
      <c r="AO2993">
        <f>IF($AN2993=1,SUMPRODUCT(--($AR$2:$AR$4001&lt;$AR2993))+1,"")</f>
        <v/>
      </c>
      <c r="AP2993">
        <f>IF($E2993="","",IF(OR($U2993=TRUE(),$U2993="TRUE"),1,0))</f>
        <v/>
      </c>
      <c r="AQ2993">
        <f>IF($E2993="","",IF($AA2993="Yes",1,0))</f>
        <v/>
      </c>
      <c r="AR2993">
        <f>IF($AN2993=1,IFERROR(VALUE(MID($E2993,2,20)),1000000000)+ROW()/100000,"")</f>
        <v/>
      </c>
    </row>
    <row r="2994">
      <c r="G2994" s="11" t="n"/>
      <c r="Q2994" s="7">
        <f>IF($E2994="","",P2994*Y2994/100)</f>
        <v/>
      </c>
      <c r="R2994" s="7" t="n"/>
      <c r="X2994" s="7" t="n"/>
      <c r="Y2994" s="7" t="n"/>
      <c r="AB2994">
        <f>IF($E2994="","",IF($AQ2994=1,0,IF($AP2994=1,Settings!$C$6,Settings!$C$7))*100)</f>
        <v/>
      </c>
      <c r="AC2994" s="7">
        <f>IF($E2994="","",Y2994*AB2994/100)</f>
        <v/>
      </c>
      <c r="AD2994" s="7">
        <f>IF($E2994="","",Y2994-AC2994)</f>
        <v/>
      </c>
      <c r="AE2994" s="7">
        <f>IF($E2994="","",AD2994-Q2994)</f>
        <v/>
      </c>
      <c r="AI2994" s="7" t="n"/>
      <c r="AL2994" s="11" t="n"/>
      <c r="AN2994">
        <f>IF($E2994="","",IF(COUNTIF($E$2:$E2994,$E2994)=1,1,0))</f>
        <v/>
      </c>
      <c r="AO2994">
        <f>IF($AN2994=1,SUMPRODUCT(--($AR$2:$AR$4001&lt;$AR2994))+1,"")</f>
        <v/>
      </c>
      <c r="AP2994">
        <f>IF($E2994="","",IF(OR($U2994=TRUE(),$U2994="TRUE"),1,0))</f>
        <v/>
      </c>
      <c r="AQ2994">
        <f>IF($E2994="","",IF($AA2994="Yes",1,0))</f>
        <v/>
      </c>
      <c r="AR2994">
        <f>IF($AN2994=1,IFERROR(VALUE(MID($E2994,2,20)),1000000000)+ROW()/100000,"")</f>
        <v/>
      </c>
    </row>
    <row r="2995">
      <c r="G2995" s="11" t="n"/>
      <c r="Q2995" s="7">
        <f>IF($E2995="","",P2995*Y2995/100)</f>
        <v/>
      </c>
      <c r="R2995" s="7" t="n"/>
      <c r="X2995" s="7" t="n"/>
      <c r="Y2995" s="7" t="n"/>
      <c r="AB2995">
        <f>IF($E2995="","",IF($AQ2995=1,0,IF($AP2995=1,Settings!$C$6,Settings!$C$7))*100)</f>
        <v/>
      </c>
      <c r="AC2995" s="7">
        <f>IF($E2995="","",Y2995*AB2995/100)</f>
        <v/>
      </c>
      <c r="AD2995" s="7">
        <f>IF($E2995="","",Y2995-AC2995)</f>
        <v/>
      </c>
      <c r="AE2995" s="7">
        <f>IF($E2995="","",AD2995-Q2995)</f>
        <v/>
      </c>
      <c r="AI2995" s="7" t="n"/>
      <c r="AL2995" s="11" t="n"/>
      <c r="AN2995">
        <f>IF($E2995="","",IF(COUNTIF($E$2:$E2995,$E2995)=1,1,0))</f>
        <v/>
      </c>
      <c r="AO2995">
        <f>IF($AN2995=1,SUMPRODUCT(--($AR$2:$AR$4001&lt;$AR2995))+1,"")</f>
        <v/>
      </c>
      <c r="AP2995">
        <f>IF($E2995="","",IF(OR($U2995=TRUE(),$U2995="TRUE"),1,0))</f>
        <v/>
      </c>
      <c r="AQ2995">
        <f>IF($E2995="","",IF($AA2995="Yes",1,0))</f>
        <v/>
      </c>
      <c r="AR2995">
        <f>IF($AN2995=1,IFERROR(VALUE(MID($E2995,2,20)),1000000000)+ROW()/100000,"")</f>
        <v/>
      </c>
    </row>
    <row r="2996">
      <c r="G2996" s="11" t="n"/>
      <c r="Q2996" s="7">
        <f>IF($E2996="","",P2996*Y2996/100)</f>
        <v/>
      </c>
      <c r="R2996" s="7" t="n"/>
      <c r="X2996" s="7" t="n"/>
      <c r="Y2996" s="7" t="n"/>
      <c r="AB2996">
        <f>IF($E2996="","",IF($AQ2996=1,0,IF($AP2996=1,Settings!$C$6,Settings!$C$7))*100)</f>
        <v/>
      </c>
      <c r="AC2996" s="7">
        <f>IF($E2996="","",Y2996*AB2996/100)</f>
        <v/>
      </c>
      <c r="AD2996" s="7">
        <f>IF($E2996="","",Y2996-AC2996)</f>
        <v/>
      </c>
      <c r="AE2996" s="7">
        <f>IF($E2996="","",AD2996-Q2996)</f>
        <v/>
      </c>
      <c r="AI2996" s="7" t="n"/>
      <c r="AL2996" s="11" t="n"/>
      <c r="AN2996">
        <f>IF($E2996="","",IF(COUNTIF($E$2:$E2996,$E2996)=1,1,0))</f>
        <v/>
      </c>
      <c r="AO2996">
        <f>IF($AN2996=1,SUMPRODUCT(--($AR$2:$AR$4001&lt;$AR2996))+1,"")</f>
        <v/>
      </c>
      <c r="AP2996">
        <f>IF($E2996="","",IF(OR($U2996=TRUE(),$U2996="TRUE"),1,0))</f>
        <v/>
      </c>
      <c r="AQ2996">
        <f>IF($E2996="","",IF($AA2996="Yes",1,0))</f>
        <v/>
      </c>
      <c r="AR2996">
        <f>IF($AN2996=1,IFERROR(VALUE(MID($E2996,2,20)),1000000000)+ROW()/100000,"")</f>
        <v/>
      </c>
    </row>
    <row r="2997">
      <c r="G2997" s="11" t="n"/>
      <c r="Q2997" s="7">
        <f>IF($E2997="","",P2997*Y2997/100)</f>
        <v/>
      </c>
      <c r="R2997" s="7" t="n"/>
      <c r="X2997" s="7" t="n"/>
      <c r="Y2997" s="7" t="n"/>
      <c r="AB2997">
        <f>IF($E2997="","",IF($AQ2997=1,0,IF($AP2997=1,Settings!$C$6,Settings!$C$7))*100)</f>
        <v/>
      </c>
      <c r="AC2997" s="7">
        <f>IF($E2997="","",Y2997*AB2997/100)</f>
        <v/>
      </c>
      <c r="AD2997" s="7">
        <f>IF($E2997="","",Y2997-AC2997)</f>
        <v/>
      </c>
      <c r="AE2997" s="7">
        <f>IF($E2997="","",AD2997-Q2997)</f>
        <v/>
      </c>
      <c r="AI2997" s="7" t="n"/>
      <c r="AL2997" s="11" t="n"/>
      <c r="AN2997">
        <f>IF($E2997="","",IF(COUNTIF($E$2:$E2997,$E2997)=1,1,0))</f>
        <v/>
      </c>
      <c r="AO2997">
        <f>IF($AN2997=1,SUMPRODUCT(--($AR$2:$AR$4001&lt;$AR2997))+1,"")</f>
        <v/>
      </c>
      <c r="AP2997">
        <f>IF($E2997="","",IF(OR($U2997=TRUE(),$U2997="TRUE"),1,0))</f>
        <v/>
      </c>
      <c r="AQ2997">
        <f>IF($E2997="","",IF($AA2997="Yes",1,0))</f>
        <v/>
      </c>
      <c r="AR2997">
        <f>IF($AN2997=1,IFERROR(VALUE(MID($E2997,2,20)),1000000000)+ROW()/100000,"")</f>
        <v/>
      </c>
    </row>
    <row r="2998">
      <c r="G2998" s="11" t="n"/>
      <c r="Q2998" s="7">
        <f>IF($E2998="","",P2998*Y2998/100)</f>
        <v/>
      </c>
      <c r="R2998" s="7" t="n"/>
      <c r="X2998" s="7" t="n"/>
      <c r="Y2998" s="7" t="n"/>
      <c r="AB2998">
        <f>IF($E2998="","",IF($AQ2998=1,0,IF($AP2998=1,Settings!$C$6,Settings!$C$7))*100)</f>
        <v/>
      </c>
      <c r="AC2998" s="7">
        <f>IF($E2998="","",Y2998*AB2998/100)</f>
        <v/>
      </c>
      <c r="AD2998" s="7">
        <f>IF($E2998="","",Y2998-AC2998)</f>
        <v/>
      </c>
      <c r="AE2998" s="7">
        <f>IF($E2998="","",AD2998-Q2998)</f>
        <v/>
      </c>
      <c r="AI2998" s="7" t="n"/>
      <c r="AL2998" s="11" t="n"/>
      <c r="AN2998">
        <f>IF($E2998="","",IF(COUNTIF($E$2:$E2998,$E2998)=1,1,0))</f>
        <v/>
      </c>
      <c r="AO2998">
        <f>IF($AN2998=1,SUMPRODUCT(--($AR$2:$AR$4001&lt;$AR2998))+1,"")</f>
        <v/>
      </c>
      <c r="AP2998">
        <f>IF($E2998="","",IF(OR($U2998=TRUE(),$U2998="TRUE"),1,0))</f>
        <v/>
      </c>
      <c r="AQ2998">
        <f>IF($E2998="","",IF($AA2998="Yes",1,0))</f>
        <v/>
      </c>
      <c r="AR2998">
        <f>IF($AN2998=1,IFERROR(VALUE(MID($E2998,2,20)),1000000000)+ROW()/100000,"")</f>
        <v/>
      </c>
    </row>
    <row r="2999">
      <c r="G2999" s="11" t="n"/>
      <c r="Q2999" s="7">
        <f>IF($E2999="","",P2999*Y2999/100)</f>
        <v/>
      </c>
      <c r="R2999" s="7" t="n"/>
      <c r="X2999" s="7" t="n"/>
      <c r="Y2999" s="7" t="n"/>
      <c r="AB2999">
        <f>IF($E2999="","",IF($AQ2999=1,0,IF($AP2999=1,Settings!$C$6,Settings!$C$7))*100)</f>
        <v/>
      </c>
      <c r="AC2999" s="7">
        <f>IF($E2999="","",Y2999*AB2999/100)</f>
        <v/>
      </c>
      <c r="AD2999" s="7">
        <f>IF($E2999="","",Y2999-AC2999)</f>
        <v/>
      </c>
      <c r="AE2999" s="7">
        <f>IF($E2999="","",AD2999-Q2999)</f>
        <v/>
      </c>
      <c r="AI2999" s="7" t="n"/>
      <c r="AL2999" s="11" t="n"/>
      <c r="AN2999">
        <f>IF($E2999="","",IF(COUNTIF($E$2:$E2999,$E2999)=1,1,0))</f>
        <v/>
      </c>
      <c r="AO2999">
        <f>IF($AN2999=1,SUMPRODUCT(--($AR$2:$AR$4001&lt;$AR2999))+1,"")</f>
        <v/>
      </c>
      <c r="AP2999">
        <f>IF($E2999="","",IF(OR($U2999=TRUE(),$U2999="TRUE"),1,0))</f>
        <v/>
      </c>
      <c r="AQ2999">
        <f>IF($E2999="","",IF($AA2999="Yes",1,0))</f>
        <v/>
      </c>
      <c r="AR2999">
        <f>IF($AN2999=1,IFERROR(VALUE(MID($E2999,2,20)),1000000000)+ROW()/100000,"")</f>
        <v/>
      </c>
    </row>
    <row r="3000">
      <c r="G3000" s="11" t="n"/>
      <c r="Q3000" s="7">
        <f>IF($E3000="","",P3000*Y3000/100)</f>
        <v/>
      </c>
      <c r="R3000" s="7" t="n"/>
      <c r="X3000" s="7" t="n"/>
      <c r="Y3000" s="7" t="n"/>
      <c r="AB3000">
        <f>IF($E3000="","",IF($AQ3000=1,0,IF($AP3000=1,Settings!$C$6,Settings!$C$7))*100)</f>
        <v/>
      </c>
      <c r="AC3000" s="7">
        <f>IF($E3000="","",Y3000*AB3000/100)</f>
        <v/>
      </c>
      <c r="AD3000" s="7">
        <f>IF($E3000="","",Y3000-AC3000)</f>
        <v/>
      </c>
      <c r="AE3000" s="7">
        <f>IF($E3000="","",AD3000-Q3000)</f>
        <v/>
      </c>
      <c r="AI3000" s="7" t="n"/>
      <c r="AL3000" s="11" t="n"/>
      <c r="AN3000">
        <f>IF($E3000="","",IF(COUNTIF($E$2:$E3000,$E3000)=1,1,0))</f>
        <v/>
      </c>
      <c r="AO3000">
        <f>IF($AN3000=1,SUMPRODUCT(--($AR$2:$AR$4001&lt;$AR3000))+1,"")</f>
        <v/>
      </c>
      <c r="AP3000">
        <f>IF($E3000="","",IF(OR($U3000=TRUE(),$U3000="TRUE"),1,0))</f>
        <v/>
      </c>
      <c r="AQ3000">
        <f>IF($E3000="","",IF($AA3000="Yes",1,0))</f>
        <v/>
      </c>
      <c r="AR3000">
        <f>IF($AN3000=1,IFERROR(VALUE(MID($E3000,2,20)),1000000000)+ROW()/100000,"")</f>
        <v/>
      </c>
    </row>
    <row r="3001">
      <c r="G3001" s="11" t="n"/>
      <c r="Q3001" s="7">
        <f>IF($E3001="","",P3001*Y3001/100)</f>
        <v/>
      </c>
      <c r="R3001" s="7" t="n"/>
      <c r="X3001" s="7" t="n"/>
      <c r="Y3001" s="7" t="n"/>
      <c r="AB3001">
        <f>IF($E3001="","",IF($AQ3001=1,0,IF($AP3001=1,Settings!$C$6,Settings!$C$7))*100)</f>
        <v/>
      </c>
      <c r="AC3001" s="7">
        <f>IF($E3001="","",Y3001*AB3001/100)</f>
        <v/>
      </c>
      <c r="AD3001" s="7">
        <f>IF($E3001="","",Y3001-AC3001)</f>
        <v/>
      </c>
      <c r="AE3001" s="7">
        <f>IF($E3001="","",AD3001-Q3001)</f>
        <v/>
      </c>
      <c r="AI3001" s="7" t="n"/>
      <c r="AL3001" s="11" t="n"/>
      <c r="AN3001">
        <f>IF($E3001="","",IF(COUNTIF($E$2:$E3001,$E3001)=1,1,0))</f>
        <v/>
      </c>
      <c r="AO3001">
        <f>IF($AN3001=1,SUMPRODUCT(--($AR$2:$AR$4001&lt;$AR3001))+1,"")</f>
        <v/>
      </c>
      <c r="AP3001">
        <f>IF($E3001="","",IF(OR($U3001=TRUE(),$U3001="TRUE"),1,0))</f>
        <v/>
      </c>
      <c r="AQ3001">
        <f>IF($E3001="","",IF($AA3001="Yes",1,0))</f>
        <v/>
      </c>
      <c r="AR3001">
        <f>IF($AN3001=1,IFERROR(VALUE(MID($E3001,2,20)),1000000000)+ROW()/100000,"")</f>
        <v/>
      </c>
    </row>
    <row r="3002">
      <c r="G3002" s="11" t="n"/>
      <c r="Q3002" s="7">
        <f>IF($E3002="","",P3002*Y3002/100)</f>
        <v/>
      </c>
      <c r="R3002" s="7" t="n"/>
      <c r="X3002" s="7" t="n"/>
      <c r="Y3002" s="7" t="n"/>
      <c r="AB3002">
        <f>IF($E3002="","",IF($AQ3002=1,0,IF($AP3002=1,Settings!$C$6,Settings!$C$7))*100)</f>
        <v/>
      </c>
      <c r="AC3002" s="7">
        <f>IF($E3002="","",Y3002*AB3002/100)</f>
        <v/>
      </c>
      <c r="AD3002" s="7">
        <f>IF($E3002="","",Y3002-AC3002)</f>
        <v/>
      </c>
      <c r="AE3002" s="7">
        <f>IF($E3002="","",AD3002-Q3002)</f>
        <v/>
      </c>
      <c r="AI3002" s="7" t="n"/>
      <c r="AL3002" s="11" t="n"/>
      <c r="AN3002">
        <f>IF($E3002="","",IF(COUNTIF($E$2:$E3002,$E3002)=1,1,0))</f>
        <v/>
      </c>
      <c r="AO3002">
        <f>IF($AN3002=1,SUMPRODUCT(--($AR$2:$AR$4001&lt;$AR3002))+1,"")</f>
        <v/>
      </c>
      <c r="AP3002">
        <f>IF($E3002="","",IF(OR($U3002=TRUE(),$U3002="TRUE"),1,0))</f>
        <v/>
      </c>
      <c r="AQ3002">
        <f>IF($E3002="","",IF($AA3002="Yes",1,0))</f>
        <v/>
      </c>
      <c r="AR3002">
        <f>IF($AN3002=1,IFERROR(VALUE(MID($E3002,2,20)),1000000000)+ROW()/100000,"")</f>
        <v/>
      </c>
    </row>
    <row r="3003">
      <c r="G3003" s="11" t="n"/>
      <c r="Q3003" s="7">
        <f>IF($E3003="","",P3003*Y3003/100)</f>
        <v/>
      </c>
      <c r="R3003" s="7" t="n"/>
      <c r="X3003" s="7" t="n"/>
      <c r="Y3003" s="7" t="n"/>
      <c r="AB3003">
        <f>IF($E3003="","",IF($AQ3003=1,0,IF($AP3003=1,Settings!$C$6,Settings!$C$7))*100)</f>
        <v/>
      </c>
      <c r="AC3003" s="7">
        <f>IF($E3003="","",Y3003*AB3003/100)</f>
        <v/>
      </c>
      <c r="AD3003" s="7">
        <f>IF($E3003="","",Y3003-AC3003)</f>
        <v/>
      </c>
      <c r="AE3003" s="7">
        <f>IF($E3003="","",AD3003-Q3003)</f>
        <v/>
      </c>
      <c r="AI3003" s="7" t="n"/>
      <c r="AL3003" s="11" t="n"/>
      <c r="AN3003">
        <f>IF($E3003="","",IF(COUNTIF($E$2:$E3003,$E3003)=1,1,0))</f>
        <v/>
      </c>
      <c r="AO3003">
        <f>IF($AN3003=1,SUMPRODUCT(--($AR$2:$AR$4001&lt;$AR3003))+1,"")</f>
        <v/>
      </c>
      <c r="AP3003">
        <f>IF($E3003="","",IF(OR($U3003=TRUE(),$U3003="TRUE"),1,0))</f>
        <v/>
      </c>
      <c r="AQ3003">
        <f>IF($E3003="","",IF($AA3003="Yes",1,0))</f>
        <v/>
      </c>
      <c r="AR3003">
        <f>IF($AN3003=1,IFERROR(VALUE(MID($E3003,2,20)),1000000000)+ROW()/100000,"")</f>
        <v/>
      </c>
    </row>
    <row r="3004">
      <c r="G3004" s="11" t="n"/>
      <c r="Q3004" s="7">
        <f>IF($E3004="","",P3004*Y3004/100)</f>
        <v/>
      </c>
      <c r="R3004" s="7" t="n"/>
      <c r="X3004" s="7" t="n"/>
      <c r="Y3004" s="7" t="n"/>
      <c r="AB3004">
        <f>IF($E3004="","",IF($AQ3004=1,0,IF($AP3004=1,Settings!$C$6,Settings!$C$7))*100)</f>
        <v/>
      </c>
      <c r="AC3004" s="7">
        <f>IF($E3004="","",Y3004*AB3004/100)</f>
        <v/>
      </c>
      <c r="AD3004" s="7">
        <f>IF($E3004="","",Y3004-AC3004)</f>
        <v/>
      </c>
      <c r="AE3004" s="7">
        <f>IF($E3004="","",AD3004-Q3004)</f>
        <v/>
      </c>
      <c r="AI3004" s="7" t="n"/>
      <c r="AL3004" s="11" t="n"/>
      <c r="AN3004">
        <f>IF($E3004="","",IF(COUNTIF($E$2:$E3004,$E3004)=1,1,0))</f>
        <v/>
      </c>
      <c r="AO3004">
        <f>IF($AN3004=1,SUMPRODUCT(--($AR$2:$AR$4001&lt;$AR3004))+1,"")</f>
        <v/>
      </c>
      <c r="AP3004">
        <f>IF($E3004="","",IF(OR($U3004=TRUE(),$U3004="TRUE"),1,0))</f>
        <v/>
      </c>
      <c r="AQ3004">
        <f>IF($E3004="","",IF($AA3004="Yes",1,0))</f>
        <v/>
      </c>
      <c r="AR3004">
        <f>IF($AN3004=1,IFERROR(VALUE(MID($E3004,2,20)),1000000000)+ROW()/100000,"")</f>
        <v/>
      </c>
    </row>
    <row r="3005">
      <c r="G3005" s="11" t="n"/>
      <c r="Q3005" s="7">
        <f>IF($E3005="","",P3005*Y3005/100)</f>
        <v/>
      </c>
      <c r="R3005" s="7" t="n"/>
      <c r="X3005" s="7" t="n"/>
      <c r="Y3005" s="7" t="n"/>
      <c r="AB3005">
        <f>IF($E3005="","",IF($AQ3005=1,0,IF($AP3005=1,Settings!$C$6,Settings!$C$7))*100)</f>
        <v/>
      </c>
      <c r="AC3005" s="7">
        <f>IF($E3005="","",Y3005*AB3005/100)</f>
        <v/>
      </c>
      <c r="AD3005" s="7">
        <f>IF($E3005="","",Y3005-AC3005)</f>
        <v/>
      </c>
      <c r="AE3005" s="7">
        <f>IF($E3005="","",AD3005-Q3005)</f>
        <v/>
      </c>
      <c r="AI3005" s="7" t="n"/>
      <c r="AL3005" s="11" t="n"/>
      <c r="AN3005">
        <f>IF($E3005="","",IF(COUNTIF($E$2:$E3005,$E3005)=1,1,0))</f>
        <v/>
      </c>
      <c r="AO3005">
        <f>IF($AN3005=1,SUMPRODUCT(--($AR$2:$AR$4001&lt;$AR3005))+1,"")</f>
        <v/>
      </c>
      <c r="AP3005">
        <f>IF($E3005="","",IF(OR($U3005=TRUE(),$U3005="TRUE"),1,0))</f>
        <v/>
      </c>
      <c r="AQ3005">
        <f>IF($E3005="","",IF($AA3005="Yes",1,0))</f>
        <v/>
      </c>
      <c r="AR3005">
        <f>IF($AN3005=1,IFERROR(VALUE(MID($E3005,2,20)),1000000000)+ROW()/100000,"")</f>
        <v/>
      </c>
    </row>
    <row r="3006">
      <c r="G3006" s="11" t="n"/>
      <c r="Q3006" s="7">
        <f>IF($E3006="","",P3006*Y3006/100)</f>
        <v/>
      </c>
      <c r="R3006" s="7" t="n"/>
      <c r="X3006" s="7" t="n"/>
      <c r="Y3006" s="7" t="n"/>
      <c r="AB3006">
        <f>IF($E3006="","",IF($AQ3006=1,0,IF($AP3006=1,Settings!$C$6,Settings!$C$7))*100)</f>
        <v/>
      </c>
      <c r="AC3006" s="7">
        <f>IF($E3006="","",Y3006*AB3006/100)</f>
        <v/>
      </c>
      <c r="AD3006" s="7">
        <f>IF($E3006="","",Y3006-AC3006)</f>
        <v/>
      </c>
      <c r="AE3006" s="7">
        <f>IF($E3006="","",AD3006-Q3006)</f>
        <v/>
      </c>
      <c r="AI3006" s="7" t="n"/>
      <c r="AL3006" s="11" t="n"/>
      <c r="AN3006">
        <f>IF($E3006="","",IF(COUNTIF($E$2:$E3006,$E3006)=1,1,0))</f>
        <v/>
      </c>
      <c r="AO3006">
        <f>IF($AN3006=1,SUMPRODUCT(--($AR$2:$AR$4001&lt;$AR3006))+1,"")</f>
        <v/>
      </c>
      <c r="AP3006">
        <f>IF($E3006="","",IF(OR($U3006=TRUE(),$U3006="TRUE"),1,0))</f>
        <v/>
      </c>
      <c r="AQ3006">
        <f>IF($E3006="","",IF($AA3006="Yes",1,0))</f>
        <v/>
      </c>
      <c r="AR3006">
        <f>IF($AN3006=1,IFERROR(VALUE(MID($E3006,2,20)),1000000000)+ROW()/100000,"")</f>
        <v/>
      </c>
    </row>
    <row r="3007">
      <c r="G3007" s="11" t="n"/>
      <c r="Q3007" s="7">
        <f>IF($E3007="","",P3007*Y3007/100)</f>
        <v/>
      </c>
      <c r="R3007" s="7" t="n"/>
      <c r="X3007" s="7" t="n"/>
      <c r="Y3007" s="7" t="n"/>
      <c r="AB3007">
        <f>IF($E3007="","",IF($AQ3007=1,0,IF($AP3007=1,Settings!$C$6,Settings!$C$7))*100)</f>
        <v/>
      </c>
      <c r="AC3007" s="7">
        <f>IF($E3007="","",Y3007*AB3007/100)</f>
        <v/>
      </c>
      <c r="AD3007" s="7">
        <f>IF($E3007="","",Y3007-AC3007)</f>
        <v/>
      </c>
      <c r="AE3007" s="7">
        <f>IF($E3007="","",AD3007-Q3007)</f>
        <v/>
      </c>
      <c r="AI3007" s="7" t="n"/>
      <c r="AL3007" s="11" t="n"/>
      <c r="AN3007">
        <f>IF($E3007="","",IF(COUNTIF($E$2:$E3007,$E3007)=1,1,0))</f>
        <v/>
      </c>
      <c r="AO3007">
        <f>IF($AN3007=1,SUMPRODUCT(--($AR$2:$AR$4001&lt;$AR3007))+1,"")</f>
        <v/>
      </c>
      <c r="AP3007">
        <f>IF($E3007="","",IF(OR($U3007=TRUE(),$U3007="TRUE"),1,0))</f>
        <v/>
      </c>
      <c r="AQ3007">
        <f>IF($E3007="","",IF($AA3007="Yes",1,0))</f>
        <v/>
      </c>
      <c r="AR3007">
        <f>IF($AN3007=1,IFERROR(VALUE(MID($E3007,2,20)),1000000000)+ROW()/100000,"")</f>
        <v/>
      </c>
    </row>
    <row r="3008">
      <c r="G3008" s="11" t="n"/>
      <c r="Q3008" s="7">
        <f>IF($E3008="","",P3008*Y3008/100)</f>
        <v/>
      </c>
      <c r="R3008" s="7" t="n"/>
      <c r="X3008" s="7" t="n"/>
      <c r="Y3008" s="7" t="n"/>
      <c r="AB3008">
        <f>IF($E3008="","",IF($AQ3008=1,0,IF($AP3008=1,Settings!$C$6,Settings!$C$7))*100)</f>
        <v/>
      </c>
      <c r="AC3008" s="7">
        <f>IF($E3008="","",Y3008*AB3008/100)</f>
        <v/>
      </c>
      <c r="AD3008" s="7">
        <f>IF($E3008="","",Y3008-AC3008)</f>
        <v/>
      </c>
      <c r="AE3008" s="7">
        <f>IF($E3008="","",AD3008-Q3008)</f>
        <v/>
      </c>
      <c r="AI3008" s="7" t="n"/>
      <c r="AL3008" s="11" t="n"/>
      <c r="AN3008">
        <f>IF($E3008="","",IF(COUNTIF($E$2:$E3008,$E3008)=1,1,0))</f>
        <v/>
      </c>
      <c r="AO3008">
        <f>IF($AN3008=1,SUMPRODUCT(--($AR$2:$AR$4001&lt;$AR3008))+1,"")</f>
        <v/>
      </c>
      <c r="AP3008">
        <f>IF($E3008="","",IF(OR($U3008=TRUE(),$U3008="TRUE"),1,0))</f>
        <v/>
      </c>
      <c r="AQ3008">
        <f>IF($E3008="","",IF($AA3008="Yes",1,0))</f>
        <v/>
      </c>
      <c r="AR3008">
        <f>IF($AN3008=1,IFERROR(VALUE(MID($E3008,2,20)),1000000000)+ROW()/100000,"")</f>
        <v/>
      </c>
    </row>
    <row r="3009">
      <c r="G3009" s="11" t="n"/>
      <c r="Q3009" s="7">
        <f>IF($E3009="","",P3009*Y3009/100)</f>
        <v/>
      </c>
      <c r="R3009" s="7" t="n"/>
      <c r="X3009" s="7" t="n"/>
      <c r="Y3009" s="7" t="n"/>
      <c r="AB3009">
        <f>IF($E3009="","",IF($AQ3009=1,0,IF($AP3009=1,Settings!$C$6,Settings!$C$7))*100)</f>
        <v/>
      </c>
      <c r="AC3009" s="7">
        <f>IF($E3009="","",Y3009*AB3009/100)</f>
        <v/>
      </c>
      <c r="AD3009" s="7">
        <f>IF($E3009="","",Y3009-AC3009)</f>
        <v/>
      </c>
      <c r="AE3009" s="7">
        <f>IF($E3009="","",AD3009-Q3009)</f>
        <v/>
      </c>
      <c r="AI3009" s="7" t="n"/>
      <c r="AL3009" s="11" t="n"/>
      <c r="AN3009">
        <f>IF($E3009="","",IF(COUNTIF($E$2:$E3009,$E3009)=1,1,0))</f>
        <v/>
      </c>
      <c r="AO3009">
        <f>IF($AN3009=1,SUMPRODUCT(--($AR$2:$AR$4001&lt;$AR3009))+1,"")</f>
        <v/>
      </c>
      <c r="AP3009">
        <f>IF($E3009="","",IF(OR($U3009=TRUE(),$U3009="TRUE"),1,0))</f>
        <v/>
      </c>
      <c r="AQ3009">
        <f>IF($E3009="","",IF($AA3009="Yes",1,0))</f>
        <v/>
      </c>
      <c r="AR3009">
        <f>IF($AN3009=1,IFERROR(VALUE(MID($E3009,2,20)),1000000000)+ROW()/100000,"")</f>
        <v/>
      </c>
    </row>
    <row r="3010">
      <c r="G3010" s="11" t="n"/>
      <c r="Q3010" s="7">
        <f>IF($E3010="","",P3010*Y3010/100)</f>
        <v/>
      </c>
      <c r="R3010" s="7" t="n"/>
      <c r="X3010" s="7" t="n"/>
      <c r="Y3010" s="7" t="n"/>
      <c r="AB3010">
        <f>IF($E3010="","",IF($AQ3010=1,0,IF($AP3010=1,Settings!$C$6,Settings!$C$7))*100)</f>
        <v/>
      </c>
      <c r="AC3010" s="7">
        <f>IF($E3010="","",Y3010*AB3010/100)</f>
        <v/>
      </c>
      <c r="AD3010" s="7">
        <f>IF($E3010="","",Y3010-AC3010)</f>
        <v/>
      </c>
      <c r="AE3010" s="7">
        <f>IF($E3010="","",AD3010-Q3010)</f>
        <v/>
      </c>
      <c r="AI3010" s="7" t="n"/>
      <c r="AL3010" s="11" t="n"/>
      <c r="AN3010">
        <f>IF($E3010="","",IF(COUNTIF($E$2:$E3010,$E3010)=1,1,0))</f>
        <v/>
      </c>
      <c r="AO3010">
        <f>IF($AN3010=1,SUMPRODUCT(--($AR$2:$AR$4001&lt;$AR3010))+1,"")</f>
        <v/>
      </c>
      <c r="AP3010">
        <f>IF($E3010="","",IF(OR($U3010=TRUE(),$U3010="TRUE"),1,0))</f>
        <v/>
      </c>
      <c r="AQ3010">
        <f>IF($E3010="","",IF($AA3010="Yes",1,0))</f>
        <v/>
      </c>
      <c r="AR3010">
        <f>IF($AN3010=1,IFERROR(VALUE(MID($E3010,2,20)),1000000000)+ROW()/100000,"")</f>
        <v/>
      </c>
    </row>
    <row r="3011">
      <c r="G3011" s="11" t="n"/>
      <c r="Q3011" s="7">
        <f>IF($E3011="","",P3011*Y3011/100)</f>
        <v/>
      </c>
      <c r="R3011" s="7" t="n"/>
      <c r="X3011" s="7" t="n"/>
      <c r="Y3011" s="7" t="n"/>
      <c r="AB3011">
        <f>IF($E3011="","",IF($AQ3011=1,0,IF($AP3011=1,Settings!$C$6,Settings!$C$7))*100)</f>
        <v/>
      </c>
      <c r="AC3011" s="7">
        <f>IF($E3011="","",Y3011*AB3011/100)</f>
        <v/>
      </c>
      <c r="AD3011" s="7">
        <f>IF($E3011="","",Y3011-AC3011)</f>
        <v/>
      </c>
      <c r="AE3011" s="7">
        <f>IF($E3011="","",AD3011-Q3011)</f>
        <v/>
      </c>
      <c r="AI3011" s="7" t="n"/>
      <c r="AL3011" s="11" t="n"/>
      <c r="AN3011">
        <f>IF($E3011="","",IF(COUNTIF($E$2:$E3011,$E3011)=1,1,0))</f>
        <v/>
      </c>
      <c r="AO3011">
        <f>IF($AN3011=1,SUMPRODUCT(--($AR$2:$AR$4001&lt;$AR3011))+1,"")</f>
        <v/>
      </c>
      <c r="AP3011">
        <f>IF($E3011="","",IF(OR($U3011=TRUE(),$U3011="TRUE"),1,0))</f>
        <v/>
      </c>
      <c r="AQ3011">
        <f>IF($E3011="","",IF($AA3011="Yes",1,0))</f>
        <v/>
      </c>
      <c r="AR3011">
        <f>IF($AN3011=1,IFERROR(VALUE(MID($E3011,2,20)),1000000000)+ROW()/100000,"")</f>
        <v/>
      </c>
    </row>
    <row r="3012">
      <c r="G3012" s="11" t="n"/>
      <c r="Q3012" s="7">
        <f>IF($E3012="","",P3012*Y3012/100)</f>
        <v/>
      </c>
      <c r="R3012" s="7" t="n"/>
      <c r="X3012" s="7" t="n"/>
      <c r="Y3012" s="7" t="n"/>
      <c r="AB3012">
        <f>IF($E3012="","",IF($AQ3012=1,0,IF($AP3012=1,Settings!$C$6,Settings!$C$7))*100)</f>
        <v/>
      </c>
      <c r="AC3012" s="7">
        <f>IF($E3012="","",Y3012*AB3012/100)</f>
        <v/>
      </c>
      <c r="AD3012" s="7">
        <f>IF($E3012="","",Y3012-AC3012)</f>
        <v/>
      </c>
      <c r="AE3012" s="7">
        <f>IF($E3012="","",AD3012-Q3012)</f>
        <v/>
      </c>
      <c r="AI3012" s="7" t="n"/>
      <c r="AL3012" s="11" t="n"/>
      <c r="AN3012">
        <f>IF($E3012="","",IF(COUNTIF($E$2:$E3012,$E3012)=1,1,0))</f>
        <v/>
      </c>
      <c r="AO3012">
        <f>IF($AN3012=1,SUMPRODUCT(--($AR$2:$AR$4001&lt;$AR3012))+1,"")</f>
        <v/>
      </c>
      <c r="AP3012">
        <f>IF($E3012="","",IF(OR($U3012=TRUE(),$U3012="TRUE"),1,0))</f>
        <v/>
      </c>
      <c r="AQ3012">
        <f>IF($E3012="","",IF($AA3012="Yes",1,0))</f>
        <v/>
      </c>
      <c r="AR3012">
        <f>IF($AN3012=1,IFERROR(VALUE(MID($E3012,2,20)),1000000000)+ROW()/100000,"")</f>
        <v/>
      </c>
    </row>
    <row r="3013">
      <c r="G3013" s="11" t="n"/>
      <c r="Q3013" s="7">
        <f>IF($E3013="","",P3013*Y3013/100)</f>
        <v/>
      </c>
      <c r="R3013" s="7" t="n"/>
      <c r="X3013" s="7" t="n"/>
      <c r="Y3013" s="7" t="n"/>
      <c r="AB3013">
        <f>IF($E3013="","",IF($AQ3013=1,0,IF($AP3013=1,Settings!$C$6,Settings!$C$7))*100)</f>
        <v/>
      </c>
      <c r="AC3013" s="7">
        <f>IF($E3013="","",Y3013*AB3013/100)</f>
        <v/>
      </c>
      <c r="AD3013" s="7">
        <f>IF($E3013="","",Y3013-AC3013)</f>
        <v/>
      </c>
      <c r="AE3013" s="7">
        <f>IF($E3013="","",AD3013-Q3013)</f>
        <v/>
      </c>
      <c r="AI3013" s="7" t="n"/>
      <c r="AL3013" s="11" t="n"/>
      <c r="AN3013">
        <f>IF($E3013="","",IF(COUNTIF($E$2:$E3013,$E3013)=1,1,0))</f>
        <v/>
      </c>
      <c r="AO3013">
        <f>IF($AN3013=1,SUMPRODUCT(--($AR$2:$AR$4001&lt;$AR3013))+1,"")</f>
        <v/>
      </c>
      <c r="AP3013">
        <f>IF($E3013="","",IF(OR($U3013=TRUE(),$U3013="TRUE"),1,0))</f>
        <v/>
      </c>
      <c r="AQ3013">
        <f>IF($E3013="","",IF($AA3013="Yes",1,0))</f>
        <v/>
      </c>
      <c r="AR3013">
        <f>IF($AN3013=1,IFERROR(VALUE(MID($E3013,2,20)),1000000000)+ROW()/100000,"")</f>
        <v/>
      </c>
    </row>
    <row r="3014">
      <c r="G3014" s="11" t="n"/>
      <c r="Q3014" s="7">
        <f>IF($E3014="","",P3014*Y3014/100)</f>
        <v/>
      </c>
      <c r="R3014" s="7" t="n"/>
      <c r="X3014" s="7" t="n"/>
      <c r="Y3014" s="7" t="n"/>
      <c r="AB3014">
        <f>IF($E3014="","",IF($AQ3014=1,0,IF($AP3014=1,Settings!$C$6,Settings!$C$7))*100)</f>
        <v/>
      </c>
      <c r="AC3014" s="7">
        <f>IF($E3014="","",Y3014*AB3014/100)</f>
        <v/>
      </c>
      <c r="AD3014" s="7">
        <f>IF($E3014="","",Y3014-AC3014)</f>
        <v/>
      </c>
      <c r="AE3014" s="7">
        <f>IF($E3014="","",AD3014-Q3014)</f>
        <v/>
      </c>
      <c r="AI3014" s="7" t="n"/>
      <c r="AL3014" s="11" t="n"/>
      <c r="AN3014">
        <f>IF($E3014="","",IF(COUNTIF($E$2:$E3014,$E3014)=1,1,0))</f>
        <v/>
      </c>
      <c r="AO3014">
        <f>IF($AN3014=1,SUMPRODUCT(--($AR$2:$AR$4001&lt;$AR3014))+1,"")</f>
        <v/>
      </c>
      <c r="AP3014">
        <f>IF($E3014="","",IF(OR($U3014=TRUE(),$U3014="TRUE"),1,0))</f>
        <v/>
      </c>
      <c r="AQ3014">
        <f>IF($E3014="","",IF($AA3014="Yes",1,0))</f>
        <v/>
      </c>
      <c r="AR3014">
        <f>IF($AN3014=1,IFERROR(VALUE(MID($E3014,2,20)),1000000000)+ROW()/100000,"")</f>
        <v/>
      </c>
    </row>
    <row r="3015">
      <c r="G3015" s="11" t="n"/>
      <c r="Q3015" s="7">
        <f>IF($E3015="","",P3015*Y3015/100)</f>
        <v/>
      </c>
      <c r="R3015" s="7" t="n"/>
      <c r="X3015" s="7" t="n"/>
      <c r="Y3015" s="7" t="n"/>
      <c r="AB3015">
        <f>IF($E3015="","",IF($AQ3015=1,0,IF($AP3015=1,Settings!$C$6,Settings!$C$7))*100)</f>
        <v/>
      </c>
      <c r="AC3015" s="7">
        <f>IF($E3015="","",Y3015*AB3015/100)</f>
        <v/>
      </c>
      <c r="AD3015" s="7">
        <f>IF($E3015="","",Y3015-AC3015)</f>
        <v/>
      </c>
      <c r="AE3015" s="7">
        <f>IF($E3015="","",AD3015-Q3015)</f>
        <v/>
      </c>
      <c r="AI3015" s="7" t="n"/>
      <c r="AL3015" s="11" t="n"/>
      <c r="AN3015">
        <f>IF($E3015="","",IF(COUNTIF($E$2:$E3015,$E3015)=1,1,0))</f>
        <v/>
      </c>
      <c r="AO3015">
        <f>IF($AN3015=1,SUMPRODUCT(--($AR$2:$AR$4001&lt;$AR3015))+1,"")</f>
        <v/>
      </c>
      <c r="AP3015">
        <f>IF($E3015="","",IF(OR($U3015=TRUE(),$U3015="TRUE"),1,0))</f>
        <v/>
      </c>
      <c r="AQ3015">
        <f>IF($E3015="","",IF($AA3015="Yes",1,0))</f>
        <v/>
      </c>
      <c r="AR3015">
        <f>IF($AN3015=1,IFERROR(VALUE(MID($E3015,2,20)),1000000000)+ROW()/100000,"")</f>
        <v/>
      </c>
    </row>
    <row r="3016">
      <c r="G3016" s="11" t="n"/>
      <c r="Q3016" s="7">
        <f>IF($E3016="","",P3016*Y3016/100)</f>
        <v/>
      </c>
      <c r="R3016" s="7" t="n"/>
      <c r="X3016" s="7" t="n"/>
      <c r="Y3016" s="7" t="n"/>
      <c r="AB3016">
        <f>IF($E3016="","",IF($AQ3016=1,0,IF($AP3016=1,Settings!$C$6,Settings!$C$7))*100)</f>
        <v/>
      </c>
      <c r="AC3016" s="7">
        <f>IF($E3016="","",Y3016*AB3016/100)</f>
        <v/>
      </c>
      <c r="AD3016" s="7">
        <f>IF($E3016="","",Y3016-AC3016)</f>
        <v/>
      </c>
      <c r="AE3016" s="7">
        <f>IF($E3016="","",AD3016-Q3016)</f>
        <v/>
      </c>
      <c r="AI3016" s="7" t="n"/>
      <c r="AL3016" s="11" t="n"/>
      <c r="AN3016">
        <f>IF($E3016="","",IF(COUNTIF($E$2:$E3016,$E3016)=1,1,0))</f>
        <v/>
      </c>
      <c r="AO3016">
        <f>IF($AN3016=1,SUMPRODUCT(--($AR$2:$AR$4001&lt;$AR3016))+1,"")</f>
        <v/>
      </c>
      <c r="AP3016">
        <f>IF($E3016="","",IF(OR($U3016=TRUE(),$U3016="TRUE"),1,0))</f>
        <v/>
      </c>
      <c r="AQ3016">
        <f>IF($E3016="","",IF($AA3016="Yes",1,0))</f>
        <v/>
      </c>
      <c r="AR3016">
        <f>IF($AN3016=1,IFERROR(VALUE(MID($E3016,2,20)),1000000000)+ROW()/100000,"")</f>
        <v/>
      </c>
    </row>
    <row r="3017">
      <c r="G3017" s="11" t="n"/>
      <c r="Q3017" s="7">
        <f>IF($E3017="","",P3017*Y3017/100)</f>
        <v/>
      </c>
      <c r="R3017" s="7" t="n"/>
      <c r="X3017" s="7" t="n"/>
      <c r="Y3017" s="7" t="n"/>
      <c r="AB3017">
        <f>IF($E3017="","",IF($AQ3017=1,0,IF($AP3017=1,Settings!$C$6,Settings!$C$7))*100)</f>
        <v/>
      </c>
      <c r="AC3017" s="7">
        <f>IF($E3017="","",Y3017*AB3017/100)</f>
        <v/>
      </c>
      <c r="AD3017" s="7">
        <f>IF($E3017="","",Y3017-AC3017)</f>
        <v/>
      </c>
      <c r="AE3017" s="7">
        <f>IF($E3017="","",AD3017-Q3017)</f>
        <v/>
      </c>
      <c r="AI3017" s="7" t="n"/>
      <c r="AL3017" s="11" t="n"/>
      <c r="AN3017">
        <f>IF($E3017="","",IF(COUNTIF($E$2:$E3017,$E3017)=1,1,0))</f>
        <v/>
      </c>
      <c r="AO3017">
        <f>IF($AN3017=1,SUMPRODUCT(--($AR$2:$AR$4001&lt;$AR3017))+1,"")</f>
        <v/>
      </c>
      <c r="AP3017">
        <f>IF($E3017="","",IF(OR($U3017=TRUE(),$U3017="TRUE"),1,0))</f>
        <v/>
      </c>
      <c r="AQ3017">
        <f>IF($E3017="","",IF($AA3017="Yes",1,0))</f>
        <v/>
      </c>
      <c r="AR3017">
        <f>IF($AN3017=1,IFERROR(VALUE(MID($E3017,2,20)),1000000000)+ROW()/100000,"")</f>
        <v/>
      </c>
    </row>
    <row r="3018">
      <c r="G3018" s="11" t="n"/>
      <c r="Q3018" s="7">
        <f>IF($E3018="","",P3018*Y3018/100)</f>
        <v/>
      </c>
      <c r="R3018" s="7" t="n"/>
      <c r="X3018" s="7" t="n"/>
      <c r="Y3018" s="7" t="n"/>
      <c r="AB3018">
        <f>IF($E3018="","",IF($AQ3018=1,0,IF($AP3018=1,Settings!$C$6,Settings!$C$7))*100)</f>
        <v/>
      </c>
      <c r="AC3018" s="7">
        <f>IF($E3018="","",Y3018*AB3018/100)</f>
        <v/>
      </c>
      <c r="AD3018" s="7">
        <f>IF($E3018="","",Y3018-AC3018)</f>
        <v/>
      </c>
      <c r="AE3018" s="7">
        <f>IF($E3018="","",AD3018-Q3018)</f>
        <v/>
      </c>
      <c r="AI3018" s="7" t="n"/>
      <c r="AL3018" s="11" t="n"/>
      <c r="AN3018">
        <f>IF($E3018="","",IF(COUNTIF($E$2:$E3018,$E3018)=1,1,0))</f>
        <v/>
      </c>
      <c r="AO3018">
        <f>IF($AN3018=1,SUMPRODUCT(--($AR$2:$AR$4001&lt;$AR3018))+1,"")</f>
        <v/>
      </c>
      <c r="AP3018">
        <f>IF($E3018="","",IF(OR($U3018=TRUE(),$U3018="TRUE"),1,0))</f>
        <v/>
      </c>
      <c r="AQ3018">
        <f>IF($E3018="","",IF($AA3018="Yes",1,0))</f>
        <v/>
      </c>
      <c r="AR3018">
        <f>IF($AN3018=1,IFERROR(VALUE(MID($E3018,2,20)),1000000000)+ROW()/100000,"")</f>
        <v/>
      </c>
    </row>
    <row r="3019">
      <c r="G3019" s="11" t="n"/>
      <c r="Q3019" s="7">
        <f>IF($E3019="","",P3019*Y3019/100)</f>
        <v/>
      </c>
      <c r="R3019" s="7" t="n"/>
      <c r="X3019" s="7" t="n"/>
      <c r="Y3019" s="7" t="n"/>
      <c r="AB3019">
        <f>IF($E3019="","",IF($AQ3019=1,0,IF($AP3019=1,Settings!$C$6,Settings!$C$7))*100)</f>
        <v/>
      </c>
      <c r="AC3019" s="7">
        <f>IF($E3019="","",Y3019*AB3019/100)</f>
        <v/>
      </c>
      <c r="AD3019" s="7">
        <f>IF($E3019="","",Y3019-AC3019)</f>
        <v/>
      </c>
      <c r="AE3019" s="7">
        <f>IF($E3019="","",AD3019-Q3019)</f>
        <v/>
      </c>
      <c r="AI3019" s="7" t="n"/>
      <c r="AL3019" s="11" t="n"/>
      <c r="AN3019">
        <f>IF($E3019="","",IF(COUNTIF($E$2:$E3019,$E3019)=1,1,0))</f>
        <v/>
      </c>
      <c r="AO3019">
        <f>IF($AN3019=1,SUMPRODUCT(--($AR$2:$AR$4001&lt;$AR3019))+1,"")</f>
        <v/>
      </c>
      <c r="AP3019">
        <f>IF($E3019="","",IF(OR($U3019=TRUE(),$U3019="TRUE"),1,0))</f>
        <v/>
      </c>
      <c r="AQ3019">
        <f>IF($E3019="","",IF($AA3019="Yes",1,0))</f>
        <v/>
      </c>
      <c r="AR3019">
        <f>IF($AN3019=1,IFERROR(VALUE(MID($E3019,2,20)),1000000000)+ROW()/100000,"")</f>
        <v/>
      </c>
    </row>
    <row r="3020">
      <c r="G3020" s="11" t="n"/>
      <c r="Q3020" s="7">
        <f>IF($E3020="","",P3020*Y3020/100)</f>
        <v/>
      </c>
      <c r="R3020" s="7" t="n"/>
      <c r="X3020" s="7" t="n"/>
      <c r="Y3020" s="7" t="n"/>
      <c r="AB3020">
        <f>IF($E3020="","",IF($AQ3020=1,0,IF($AP3020=1,Settings!$C$6,Settings!$C$7))*100)</f>
        <v/>
      </c>
      <c r="AC3020" s="7">
        <f>IF($E3020="","",Y3020*AB3020/100)</f>
        <v/>
      </c>
      <c r="AD3020" s="7">
        <f>IF($E3020="","",Y3020-AC3020)</f>
        <v/>
      </c>
      <c r="AE3020" s="7">
        <f>IF($E3020="","",AD3020-Q3020)</f>
        <v/>
      </c>
      <c r="AI3020" s="7" t="n"/>
      <c r="AL3020" s="11" t="n"/>
      <c r="AN3020">
        <f>IF($E3020="","",IF(COUNTIF($E$2:$E3020,$E3020)=1,1,0))</f>
        <v/>
      </c>
      <c r="AO3020">
        <f>IF($AN3020=1,SUMPRODUCT(--($AR$2:$AR$4001&lt;$AR3020))+1,"")</f>
        <v/>
      </c>
      <c r="AP3020">
        <f>IF($E3020="","",IF(OR($U3020=TRUE(),$U3020="TRUE"),1,0))</f>
        <v/>
      </c>
      <c r="AQ3020">
        <f>IF($E3020="","",IF($AA3020="Yes",1,0))</f>
        <v/>
      </c>
      <c r="AR3020">
        <f>IF($AN3020=1,IFERROR(VALUE(MID($E3020,2,20)),1000000000)+ROW()/100000,"")</f>
        <v/>
      </c>
    </row>
    <row r="3021">
      <c r="G3021" s="11" t="n"/>
      <c r="Q3021" s="7">
        <f>IF($E3021="","",P3021*Y3021/100)</f>
        <v/>
      </c>
      <c r="R3021" s="7" t="n"/>
      <c r="X3021" s="7" t="n"/>
      <c r="Y3021" s="7" t="n"/>
      <c r="AB3021">
        <f>IF($E3021="","",IF($AQ3021=1,0,IF($AP3021=1,Settings!$C$6,Settings!$C$7))*100)</f>
        <v/>
      </c>
      <c r="AC3021" s="7">
        <f>IF($E3021="","",Y3021*AB3021/100)</f>
        <v/>
      </c>
      <c r="AD3021" s="7">
        <f>IF($E3021="","",Y3021-AC3021)</f>
        <v/>
      </c>
      <c r="AE3021" s="7">
        <f>IF($E3021="","",AD3021-Q3021)</f>
        <v/>
      </c>
      <c r="AI3021" s="7" t="n"/>
      <c r="AL3021" s="11" t="n"/>
      <c r="AN3021">
        <f>IF($E3021="","",IF(COUNTIF($E$2:$E3021,$E3021)=1,1,0))</f>
        <v/>
      </c>
      <c r="AO3021">
        <f>IF($AN3021=1,SUMPRODUCT(--($AR$2:$AR$4001&lt;$AR3021))+1,"")</f>
        <v/>
      </c>
      <c r="AP3021">
        <f>IF($E3021="","",IF(OR($U3021=TRUE(),$U3021="TRUE"),1,0))</f>
        <v/>
      </c>
      <c r="AQ3021">
        <f>IF($E3021="","",IF($AA3021="Yes",1,0))</f>
        <v/>
      </c>
      <c r="AR3021">
        <f>IF($AN3021=1,IFERROR(VALUE(MID($E3021,2,20)),1000000000)+ROW()/100000,"")</f>
        <v/>
      </c>
    </row>
    <row r="3022">
      <c r="G3022" s="11" t="n"/>
      <c r="Q3022" s="7">
        <f>IF($E3022="","",P3022*Y3022/100)</f>
        <v/>
      </c>
      <c r="R3022" s="7" t="n"/>
      <c r="X3022" s="7" t="n"/>
      <c r="Y3022" s="7" t="n"/>
      <c r="AB3022">
        <f>IF($E3022="","",IF($AQ3022=1,0,IF($AP3022=1,Settings!$C$6,Settings!$C$7))*100)</f>
        <v/>
      </c>
      <c r="AC3022" s="7">
        <f>IF($E3022="","",Y3022*AB3022/100)</f>
        <v/>
      </c>
      <c r="AD3022" s="7">
        <f>IF($E3022="","",Y3022-AC3022)</f>
        <v/>
      </c>
      <c r="AE3022" s="7">
        <f>IF($E3022="","",AD3022-Q3022)</f>
        <v/>
      </c>
      <c r="AI3022" s="7" t="n"/>
      <c r="AL3022" s="11" t="n"/>
      <c r="AN3022">
        <f>IF($E3022="","",IF(COUNTIF($E$2:$E3022,$E3022)=1,1,0))</f>
        <v/>
      </c>
      <c r="AO3022">
        <f>IF($AN3022=1,SUMPRODUCT(--($AR$2:$AR$4001&lt;$AR3022))+1,"")</f>
        <v/>
      </c>
      <c r="AP3022">
        <f>IF($E3022="","",IF(OR($U3022=TRUE(),$U3022="TRUE"),1,0))</f>
        <v/>
      </c>
      <c r="AQ3022">
        <f>IF($E3022="","",IF($AA3022="Yes",1,0))</f>
        <v/>
      </c>
      <c r="AR3022">
        <f>IF($AN3022=1,IFERROR(VALUE(MID($E3022,2,20)),1000000000)+ROW()/100000,"")</f>
        <v/>
      </c>
    </row>
    <row r="3023">
      <c r="G3023" s="11" t="n"/>
      <c r="Q3023" s="7">
        <f>IF($E3023="","",P3023*Y3023/100)</f>
        <v/>
      </c>
      <c r="R3023" s="7" t="n"/>
      <c r="X3023" s="7" t="n"/>
      <c r="Y3023" s="7" t="n"/>
      <c r="AB3023">
        <f>IF($E3023="","",IF($AQ3023=1,0,IF($AP3023=1,Settings!$C$6,Settings!$C$7))*100)</f>
        <v/>
      </c>
      <c r="AC3023" s="7">
        <f>IF($E3023="","",Y3023*AB3023/100)</f>
        <v/>
      </c>
      <c r="AD3023" s="7">
        <f>IF($E3023="","",Y3023-AC3023)</f>
        <v/>
      </c>
      <c r="AE3023" s="7">
        <f>IF($E3023="","",AD3023-Q3023)</f>
        <v/>
      </c>
      <c r="AI3023" s="7" t="n"/>
      <c r="AL3023" s="11" t="n"/>
      <c r="AN3023">
        <f>IF($E3023="","",IF(COUNTIF($E$2:$E3023,$E3023)=1,1,0))</f>
        <v/>
      </c>
      <c r="AO3023">
        <f>IF($AN3023=1,SUMPRODUCT(--($AR$2:$AR$4001&lt;$AR3023))+1,"")</f>
        <v/>
      </c>
      <c r="AP3023">
        <f>IF($E3023="","",IF(OR($U3023=TRUE(),$U3023="TRUE"),1,0))</f>
        <v/>
      </c>
      <c r="AQ3023">
        <f>IF($E3023="","",IF($AA3023="Yes",1,0))</f>
        <v/>
      </c>
      <c r="AR3023">
        <f>IF($AN3023=1,IFERROR(VALUE(MID($E3023,2,20)),1000000000)+ROW()/100000,"")</f>
        <v/>
      </c>
    </row>
    <row r="3024">
      <c r="G3024" s="11" t="n"/>
      <c r="Q3024" s="7">
        <f>IF($E3024="","",P3024*Y3024/100)</f>
        <v/>
      </c>
      <c r="R3024" s="7" t="n"/>
      <c r="X3024" s="7" t="n"/>
      <c r="Y3024" s="7" t="n"/>
      <c r="AB3024">
        <f>IF($E3024="","",IF($AQ3024=1,0,IF($AP3024=1,Settings!$C$6,Settings!$C$7))*100)</f>
        <v/>
      </c>
      <c r="AC3024" s="7">
        <f>IF($E3024="","",Y3024*AB3024/100)</f>
        <v/>
      </c>
      <c r="AD3024" s="7">
        <f>IF($E3024="","",Y3024-AC3024)</f>
        <v/>
      </c>
      <c r="AE3024" s="7">
        <f>IF($E3024="","",AD3024-Q3024)</f>
        <v/>
      </c>
      <c r="AI3024" s="7" t="n"/>
      <c r="AL3024" s="11" t="n"/>
      <c r="AN3024">
        <f>IF($E3024="","",IF(COUNTIF($E$2:$E3024,$E3024)=1,1,0))</f>
        <v/>
      </c>
      <c r="AO3024">
        <f>IF($AN3024=1,SUMPRODUCT(--($AR$2:$AR$4001&lt;$AR3024))+1,"")</f>
        <v/>
      </c>
      <c r="AP3024">
        <f>IF($E3024="","",IF(OR($U3024=TRUE(),$U3024="TRUE"),1,0))</f>
        <v/>
      </c>
      <c r="AQ3024">
        <f>IF($E3024="","",IF($AA3024="Yes",1,0))</f>
        <v/>
      </c>
      <c r="AR3024">
        <f>IF($AN3024=1,IFERROR(VALUE(MID($E3024,2,20)),1000000000)+ROW()/100000,"")</f>
        <v/>
      </c>
    </row>
    <row r="3025">
      <c r="G3025" s="11" t="n"/>
      <c r="Q3025" s="7">
        <f>IF($E3025="","",P3025*Y3025/100)</f>
        <v/>
      </c>
      <c r="R3025" s="7" t="n"/>
      <c r="X3025" s="7" t="n"/>
      <c r="Y3025" s="7" t="n"/>
      <c r="AB3025">
        <f>IF($E3025="","",IF($AQ3025=1,0,IF($AP3025=1,Settings!$C$6,Settings!$C$7))*100)</f>
        <v/>
      </c>
      <c r="AC3025" s="7">
        <f>IF($E3025="","",Y3025*AB3025/100)</f>
        <v/>
      </c>
      <c r="AD3025" s="7">
        <f>IF($E3025="","",Y3025-AC3025)</f>
        <v/>
      </c>
      <c r="AE3025" s="7">
        <f>IF($E3025="","",AD3025-Q3025)</f>
        <v/>
      </c>
      <c r="AI3025" s="7" t="n"/>
      <c r="AL3025" s="11" t="n"/>
      <c r="AN3025">
        <f>IF($E3025="","",IF(COUNTIF($E$2:$E3025,$E3025)=1,1,0))</f>
        <v/>
      </c>
      <c r="AO3025">
        <f>IF($AN3025=1,SUMPRODUCT(--($AR$2:$AR$4001&lt;$AR3025))+1,"")</f>
        <v/>
      </c>
      <c r="AP3025">
        <f>IF($E3025="","",IF(OR($U3025=TRUE(),$U3025="TRUE"),1,0))</f>
        <v/>
      </c>
      <c r="AQ3025">
        <f>IF($E3025="","",IF($AA3025="Yes",1,0))</f>
        <v/>
      </c>
      <c r="AR3025">
        <f>IF($AN3025=1,IFERROR(VALUE(MID($E3025,2,20)),1000000000)+ROW()/100000,"")</f>
        <v/>
      </c>
    </row>
    <row r="3026">
      <c r="G3026" s="11" t="n"/>
      <c r="Q3026" s="7">
        <f>IF($E3026="","",P3026*Y3026/100)</f>
        <v/>
      </c>
      <c r="R3026" s="7" t="n"/>
      <c r="X3026" s="7" t="n"/>
      <c r="Y3026" s="7" t="n"/>
      <c r="AB3026">
        <f>IF($E3026="","",IF($AQ3026=1,0,IF($AP3026=1,Settings!$C$6,Settings!$C$7))*100)</f>
        <v/>
      </c>
      <c r="AC3026" s="7">
        <f>IF($E3026="","",Y3026*AB3026/100)</f>
        <v/>
      </c>
      <c r="AD3026" s="7">
        <f>IF($E3026="","",Y3026-AC3026)</f>
        <v/>
      </c>
      <c r="AE3026" s="7">
        <f>IF($E3026="","",AD3026-Q3026)</f>
        <v/>
      </c>
      <c r="AI3026" s="7" t="n"/>
      <c r="AL3026" s="11" t="n"/>
      <c r="AN3026">
        <f>IF($E3026="","",IF(COUNTIF($E$2:$E3026,$E3026)=1,1,0))</f>
        <v/>
      </c>
      <c r="AO3026">
        <f>IF($AN3026=1,SUMPRODUCT(--($AR$2:$AR$4001&lt;$AR3026))+1,"")</f>
        <v/>
      </c>
      <c r="AP3026">
        <f>IF($E3026="","",IF(OR($U3026=TRUE(),$U3026="TRUE"),1,0))</f>
        <v/>
      </c>
      <c r="AQ3026">
        <f>IF($E3026="","",IF($AA3026="Yes",1,0))</f>
        <v/>
      </c>
      <c r="AR3026">
        <f>IF($AN3026=1,IFERROR(VALUE(MID($E3026,2,20)),1000000000)+ROW()/100000,"")</f>
        <v/>
      </c>
    </row>
    <row r="3027">
      <c r="G3027" s="11" t="n"/>
      <c r="Q3027" s="7">
        <f>IF($E3027="","",P3027*Y3027/100)</f>
        <v/>
      </c>
      <c r="R3027" s="7" t="n"/>
      <c r="X3027" s="7" t="n"/>
      <c r="Y3027" s="7" t="n"/>
      <c r="AB3027">
        <f>IF($E3027="","",IF($AQ3027=1,0,IF($AP3027=1,Settings!$C$6,Settings!$C$7))*100)</f>
        <v/>
      </c>
      <c r="AC3027" s="7">
        <f>IF($E3027="","",Y3027*AB3027/100)</f>
        <v/>
      </c>
      <c r="AD3027" s="7">
        <f>IF($E3027="","",Y3027-AC3027)</f>
        <v/>
      </c>
      <c r="AE3027" s="7">
        <f>IF($E3027="","",AD3027-Q3027)</f>
        <v/>
      </c>
      <c r="AI3027" s="7" t="n"/>
      <c r="AL3027" s="11" t="n"/>
      <c r="AN3027">
        <f>IF($E3027="","",IF(COUNTIF($E$2:$E3027,$E3027)=1,1,0))</f>
        <v/>
      </c>
      <c r="AO3027">
        <f>IF($AN3027=1,SUMPRODUCT(--($AR$2:$AR$4001&lt;$AR3027))+1,"")</f>
        <v/>
      </c>
      <c r="AP3027">
        <f>IF($E3027="","",IF(OR($U3027=TRUE(),$U3027="TRUE"),1,0))</f>
        <v/>
      </c>
      <c r="AQ3027">
        <f>IF($E3027="","",IF($AA3027="Yes",1,0))</f>
        <v/>
      </c>
      <c r="AR3027">
        <f>IF($AN3027=1,IFERROR(VALUE(MID($E3027,2,20)),1000000000)+ROW()/100000,"")</f>
        <v/>
      </c>
    </row>
    <row r="3028">
      <c r="G3028" s="11" t="n"/>
      <c r="Q3028" s="7">
        <f>IF($E3028="","",P3028*Y3028/100)</f>
        <v/>
      </c>
      <c r="R3028" s="7" t="n"/>
      <c r="X3028" s="7" t="n"/>
      <c r="Y3028" s="7" t="n"/>
      <c r="AB3028">
        <f>IF($E3028="","",IF($AQ3028=1,0,IF($AP3028=1,Settings!$C$6,Settings!$C$7))*100)</f>
        <v/>
      </c>
      <c r="AC3028" s="7">
        <f>IF($E3028="","",Y3028*AB3028/100)</f>
        <v/>
      </c>
      <c r="AD3028" s="7">
        <f>IF($E3028="","",Y3028-AC3028)</f>
        <v/>
      </c>
      <c r="AE3028" s="7">
        <f>IF($E3028="","",AD3028-Q3028)</f>
        <v/>
      </c>
      <c r="AI3028" s="7" t="n"/>
      <c r="AL3028" s="11" t="n"/>
      <c r="AN3028">
        <f>IF($E3028="","",IF(COUNTIF($E$2:$E3028,$E3028)=1,1,0))</f>
        <v/>
      </c>
      <c r="AO3028">
        <f>IF($AN3028=1,SUMPRODUCT(--($AR$2:$AR$4001&lt;$AR3028))+1,"")</f>
        <v/>
      </c>
      <c r="AP3028">
        <f>IF($E3028="","",IF(OR($U3028=TRUE(),$U3028="TRUE"),1,0))</f>
        <v/>
      </c>
      <c r="AQ3028">
        <f>IF($E3028="","",IF($AA3028="Yes",1,0))</f>
        <v/>
      </c>
      <c r="AR3028">
        <f>IF($AN3028=1,IFERROR(VALUE(MID($E3028,2,20)),1000000000)+ROW()/100000,"")</f>
        <v/>
      </c>
    </row>
    <row r="3029">
      <c r="G3029" s="11" t="n"/>
      <c r="Q3029" s="7">
        <f>IF($E3029="","",P3029*Y3029/100)</f>
        <v/>
      </c>
      <c r="R3029" s="7" t="n"/>
      <c r="X3029" s="7" t="n"/>
      <c r="Y3029" s="7" t="n"/>
      <c r="AB3029">
        <f>IF($E3029="","",IF($AQ3029=1,0,IF($AP3029=1,Settings!$C$6,Settings!$C$7))*100)</f>
        <v/>
      </c>
      <c r="AC3029" s="7">
        <f>IF($E3029="","",Y3029*AB3029/100)</f>
        <v/>
      </c>
      <c r="AD3029" s="7">
        <f>IF($E3029="","",Y3029-AC3029)</f>
        <v/>
      </c>
      <c r="AE3029" s="7">
        <f>IF($E3029="","",AD3029-Q3029)</f>
        <v/>
      </c>
      <c r="AI3029" s="7" t="n"/>
      <c r="AL3029" s="11" t="n"/>
      <c r="AN3029">
        <f>IF($E3029="","",IF(COUNTIF($E$2:$E3029,$E3029)=1,1,0))</f>
        <v/>
      </c>
      <c r="AO3029">
        <f>IF($AN3029=1,SUMPRODUCT(--($AR$2:$AR$4001&lt;$AR3029))+1,"")</f>
        <v/>
      </c>
      <c r="AP3029">
        <f>IF($E3029="","",IF(OR($U3029=TRUE(),$U3029="TRUE"),1,0))</f>
        <v/>
      </c>
      <c r="AQ3029">
        <f>IF($E3029="","",IF($AA3029="Yes",1,0))</f>
        <v/>
      </c>
      <c r="AR3029">
        <f>IF($AN3029=1,IFERROR(VALUE(MID($E3029,2,20)),1000000000)+ROW()/100000,"")</f>
        <v/>
      </c>
    </row>
    <row r="3030">
      <c r="G3030" s="11" t="n"/>
      <c r="Q3030" s="7">
        <f>IF($E3030="","",P3030*Y3030/100)</f>
        <v/>
      </c>
      <c r="R3030" s="7" t="n"/>
      <c r="X3030" s="7" t="n"/>
      <c r="Y3030" s="7" t="n"/>
      <c r="AB3030">
        <f>IF($E3030="","",IF($AQ3030=1,0,IF($AP3030=1,Settings!$C$6,Settings!$C$7))*100)</f>
        <v/>
      </c>
      <c r="AC3030" s="7">
        <f>IF($E3030="","",Y3030*AB3030/100)</f>
        <v/>
      </c>
      <c r="AD3030" s="7">
        <f>IF($E3030="","",Y3030-AC3030)</f>
        <v/>
      </c>
      <c r="AE3030" s="7">
        <f>IF($E3030="","",AD3030-Q3030)</f>
        <v/>
      </c>
      <c r="AI3030" s="7" t="n"/>
      <c r="AL3030" s="11" t="n"/>
      <c r="AN3030">
        <f>IF($E3030="","",IF(COUNTIF($E$2:$E3030,$E3030)=1,1,0))</f>
        <v/>
      </c>
      <c r="AO3030">
        <f>IF($AN3030=1,SUMPRODUCT(--($AR$2:$AR$4001&lt;$AR3030))+1,"")</f>
        <v/>
      </c>
      <c r="AP3030">
        <f>IF($E3030="","",IF(OR($U3030=TRUE(),$U3030="TRUE"),1,0))</f>
        <v/>
      </c>
      <c r="AQ3030">
        <f>IF($E3030="","",IF($AA3030="Yes",1,0))</f>
        <v/>
      </c>
      <c r="AR3030">
        <f>IF($AN3030=1,IFERROR(VALUE(MID($E3030,2,20)),1000000000)+ROW()/100000,"")</f>
        <v/>
      </c>
    </row>
    <row r="3031">
      <c r="G3031" s="11" t="n"/>
      <c r="Q3031" s="7">
        <f>IF($E3031="","",P3031*Y3031/100)</f>
        <v/>
      </c>
      <c r="R3031" s="7" t="n"/>
      <c r="X3031" s="7" t="n"/>
      <c r="Y3031" s="7" t="n"/>
      <c r="AB3031">
        <f>IF($E3031="","",IF($AQ3031=1,0,IF($AP3031=1,Settings!$C$6,Settings!$C$7))*100)</f>
        <v/>
      </c>
      <c r="AC3031" s="7">
        <f>IF($E3031="","",Y3031*AB3031/100)</f>
        <v/>
      </c>
      <c r="AD3031" s="7">
        <f>IF($E3031="","",Y3031-AC3031)</f>
        <v/>
      </c>
      <c r="AE3031" s="7">
        <f>IF($E3031="","",AD3031-Q3031)</f>
        <v/>
      </c>
      <c r="AI3031" s="7" t="n"/>
      <c r="AL3031" s="11" t="n"/>
      <c r="AN3031">
        <f>IF($E3031="","",IF(COUNTIF($E$2:$E3031,$E3031)=1,1,0))</f>
        <v/>
      </c>
      <c r="AO3031">
        <f>IF($AN3031=1,SUMPRODUCT(--($AR$2:$AR$4001&lt;$AR3031))+1,"")</f>
        <v/>
      </c>
      <c r="AP3031">
        <f>IF($E3031="","",IF(OR($U3031=TRUE(),$U3031="TRUE"),1,0))</f>
        <v/>
      </c>
      <c r="AQ3031">
        <f>IF($E3031="","",IF($AA3031="Yes",1,0))</f>
        <v/>
      </c>
      <c r="AR3031">
        <f>IF($AN3031=1,IFERROR(VALUE(MID($E3031,2,20)),1000000000)+ROW()/100000,"")</f>
        <v/>
      </c>
    </row>
    <row r="3032">
      <c r="G3032" s="11" t="n"/>
      <c r="Q3032" s="7">
        <f>IF($E3032="","",P3032*Y3032/100)</f>
        <v/>
      </c>
      <c r="R3032" s="7" t="n"/>
      <c r="X3032" s="7" t="n"/>
      <c r="Y3032" s="7" t="n"/>
      <c r="AB3032">
        <f>IF($E3032="","",IF($AQ3032=1,0,IF($AP3032=1,Settings!$C$6,Settings!$C$7))*100)</f>
        <v/>
      </c>
      <c r="AC3032" s="7">
        <f>IF($E3032="","",Y3032*AB3032/100)</f>
        <v/>
      </c>
      <c r="AD3032" s="7">
        <f>IF($E3032="","",Y3032-AC3032)</f>
        <v/>
      </c>
      <c r="AE3032" s="7">
        <f>IF($E3032="","",AD3032-Q3032)</f>
        <v/>
      </c>
      <c r="AI3032" s="7" t="n"/>
      <c r="AL3032" s="11" t="n"/>
      <c r="AN3032">
        <f>IF($E3032="","",IF(COUNTIF($E$2:$E3032,$E3032)=1,1,0))</f>
        <v/>
      </c>
      <c r="AO3032">
        <f>IF($AN3032=1,SUMPRODUCT(--($AR$2:$AR$4001&lt;$AR3032))+1,"")</f>
        <v/>
      </c>
      <c r="AP3032">
        <f>IF($E3032="","",IF(OR($U3032=TRUE(),$U3032="TRUE"),1,0))</f>
        <v/>
      </c>
      <c r="AQ3032">
        <f>IF($E3032="","",IF($AA3032="Yes",1,0))</f>
        <v/>
      </c>
      <c r="AR3032">
        <f>IF($AN3032=1,IFERROR(VALUE(MID($E3032,2,20)),1000000000)+ROW()/100000,"")</f>
        <v/>
      </c>
    </row>
    <row r="3033">
      <c r="G3033" s="11" t="n"/>
      <c r="Q3033" s="7">
        <f>IF($E3033="","",P3033*Y3033/100)</f>
        <v/>
      </c>
      <c r="R3033" s="7" t="n"/>
      <c r="X3033" s="7" t="n"/>
      <c r="Y3033" s="7" t="n"/>
      <c r="AB3033">
        <f>IF($E3033="","",IF($AQ3033=1,0,IF($AP3033=1,Settings!$C$6,Settings!$C$7))*100)</f>
        <v/>
      </c>
      <c r="AC3033" s="7">
        <f>IF($E3033="","",Y3033*AB3033/100)</f>
        <v/>
      </c>
      <c r="AD3033" s="7">
        <f>IF($E3033="","",Y3033-AC3033)</f>
        <v/>
      </c>
      <c r="AE3033" s="7">
        <f>IF($E3033="","",AD3033-Q3033)</f>
        <v/>
      </c>
      <c r="AI3033" s="7" t="n"/>
      <c r="AL3033" s="11" t="n"/>
      <c r="AN3033">
        <f>IF($E3033="","",IF(COUNTIF($E$2:$E3033,$E3033)=1,1,0))</f>
        <v/>
      </c>
      <c r="AO3033">
        <f>IF($AN3033=1,SUMPRODUCT(--($AR$2:$AR$4001&lt;$AR3033))+1,"")</f>
        <v/>
      </c>
      <c r="AP3033">
        <f>IF($E3033="","",IF(OR($U3033=TRUE(),$U3033="TRUE"),1,0))</f>
        <v/>
      </c>
      <c r="AQ3033">
        <f>IF($E3033="","",IF($AA3033="Yes",1,0))</f>
        <v/>
      </c>
      <c r="AR3033">
        <f>IF($AN3033=1,IFERROR(VALUE(MID($E3033,2,20)),1000000000)+ROW()/100000,"")</f>
        <v/>
      </c>
    </row>
    <row r="3034">
      <c r="G3034" s="11" t="n"/>
      <c r="Q3034" s="7">
        <f>IF($E3034="","",P3034*Y3034/100)</f>
        <v/>
      </c>
      <c r="R3034" s="7" t="n"/>
      <c r="X3034" s="7" t="n"/>
      <c r="Y3034" s="7" t="n"/>
      <c r="AB3034">
        <f>IF($E3034="","",IF($AQ3034=1,0,IF($AP3034=1,Settings!$C$6,Settings!$C$7))*100)</f>
        <v/>
      </c>
      <c r="AC3034" s="7">
        <f>IF($E3034="","",Y3034*AB3034/100)</f>
        <v/>
      </c>
      <c r="AD3034" s="7">
        <f>IF($E3034="","",Y3034-AC3034)</f>
        <v/>
      </c>
      <c r="AE3034" s="7">
        <f>IF($E3034="","",AD3034-Q3034)</f>
        <v/>
      </c>
      <c r="AI3034" s="7" t="n"/>
      <c r="AL3034" s="11" t="n"/>
      <c r="AN3034">
        <f>IF($E3034="","",IF(COUNTIF($E$2:$E3034,$E3034)=1,1,0))</f>
        <v/>
      </c>
      <c r="AO3034">
        <f>IF($AN3034=1,SUMPRODUCT(--($AR$2:$AR$4001&lt;$AR3034))+1,"")</f>
        <v/>
      </c>
      <c r="AP3034">
        <f>IF($E3034="","",IF(OR($U3034=TRUE(),$U3034="TRUE"),1,0))</f>
        <v/>
      </c>
      <c r="AQ3034">
        <f>IF($E3034="","",IF($AA3034="Yes",1,0))</f>
        <v/>
      </c>
      <c r="AR3034">
        <f>IF($AN3034=1,IFERROR(VALUE(MID($E3034,2,20)),1000000000)+ROW()/100000,"")</f>
        <v/>
      </c>
    </row>
    <row r="3035">
      <c r="G3035" s="11" t="n"/>
      <c r="Q3035" s="7">
        <f>IF($E3035="","",P3035*Y3035/100)</f>
        <v/>
      </c>
      <c r="R3035" s="7" t="n"/>
      <c r="X3035" s="7" t="n"/>
      <c r="Y3035" s="7" t="n"/>
      <c r="AB3035">
        <f>IF($E3035="","",IF($AQ3035=1,0,IF($AP3035=1,Settings!$C$6,Settings!$C$7))*100)</f>
        <v/>
      </c>
      <c r="AC3035" s="7">
        <f>IF($E3035="","",Y3035*AB3035/100)</f>
        <v/>
      </c>
      <c r="AD3035" s="7">
        <f>IF($E3035="","",Y3035-AC3035)</f>
        <v/>
      </c>
      <c r="AE3035" s="7">
        <f>IF($E3035="","",AD3035-Q3035)</f>
        <v/>
      </c>
      <c r="AI3035" s="7" t="n"/>
      <c r="AL3035" s="11" t="n"/>
      <c r="AN3035">
        <f>IF($E3035="","",IF(COUNTIF($E$2:$E3035,$E3035)=1,1,0))</f>
        <v/>
      </c>
      <c r="AO3035">
        <f>IF($AN3035=1,SUMPRODUCT(--($AR$2:$AR$4001&lt;$AR3035))+1,"")</f>
        <v/>
      </c>
      <c r="AP3035">
        <f>IF($E3035="","",IF(OR($U3035=TRUE(),$U3035="TRUE"),1,0))</f>
        <v/>
      </c>
      <c r="AQ3035">
        <f>IF($E3035="","",IF($AA3035="Yes",1,0))</f>
        <v/>
      </c>
      <c r="AR3035">
        <f>IF($AN3035=1,IFERROR(VALUE(MID($E3035,2,20)),1000000000)+ROW()/100000,"")</f>
        <v/>
      </c>
    </row>
    <row r="3036">
      <c r="G3036" s="11" t="n"/>
      <c r="Q3036" s="7">
        <f>IF($E3036="","",P3036*Y3036/100)</f>
        <v/>
      </c>
      <c r="R3036" s="7" t="n"/>
      <c r="X3036" s="7" t="n"/>
      <c r="Y3036" s="7" t="n"/>
      <c r="AB3036">
        <f>IF($E3036="","",IF($AQ3036=1,0,IF($AP3036=1,Settings!$C$6,Settings!$C$7))*100)</f>
        <v/>
      </c>
      <c r="AC3036" s="7">
        <f>IF($E3036="","",Y3036*AB3036/100)</f>
        <v/>
      </c>
      <c r="AD3036" s="7">
        <f>IF($E3036="","",Y3036-AC3036)</f>
        <v/>
      </c>
      <c r="AE3036" s="7">
        <f>IF($E3036="","",AD3036-Q3036)</f>
        <v/>
      </c>
      <c r="AI3036" s="7" t="n"/>
      <c r="AL3036" s="11" t="n"/>
      <c r="AN3036">
        <f>IF($E3036="","",IF(COUNTIF($E$2:$E3036,$E3036)=1,1,0))</f>
        <v/>
      </c>
      <c r="AO3036">
        <f>IF($AN3036=1,SUMPRODUCT(--($AR$2:$AR$4001&lt;$AR3036))+1,"")</f>
        <v/>
      </c>
      <c r="AP3036">
        <f>IF($E3036="","",IF(OR($U3036=TRUE(),$U3036="TRUE"),1,0))</f>
        <v/>
      </c>
      <c r="AQ3036">
        <f>IF($E3036="","",IF($AA3036="Yes",1,0))</f>
        <v/>
      </c>
      <c r="AR3036">
        <f>IF($AN3036=1,IFERROR(VALUE(MID($E3036,2,20)),1000000000)+ROW()/100000,"")</f>
        <v/>
      </c>
    </row>
    <row r="3037">
      <c r="G3037" s="11" t="n"/>
      <c r="Q3037" s="7">
        <f>IF($E3037="","",P3037*Y3037/100)</f>
        <v/>
      </c>
      <c r="R3037" s="7" t="n"/>
      <c r="X3037" s="7" t="n"/>
      <c r="Y3037" s="7" t="n"/>
      <c r="AB3037">
        <f>IF($E3037="","",IF($AQ3037=1,0,IF($AP3037=1,Settings!$C$6,Settings!$C$7))*100)</f>
        <v/>
      </c>
      <c r="AC3037" s="7">
        <f>IF($E3037="","",Y3037*AB3037/100)</f>
        <v/>
      </c>
      <c r="AD3037" s="7">
        <f>IF($E3037="","",Y3037-AC3037)</f>
        <v/>
      </c>
      <c r="AE3037" s="7">
        <f>IF($E3037="","",AD3037-Q3037)</f>
        <v/>
      </c>
      <c r="AI3037" s="7" t="n"/>
      <c r="AL3037" s="11" t="n"/>
      <c r="AN3037">
        <f>IF($E3037="","",IF(COUNTIF($E$2:$E3037,$E3037)=1,1,0))</f>
        <v/>
      </c>
      <c r="AO3037">
        <f>IF($AN3037=1,SUMPRODUCT(--($AR$2:$AR$4001&lt;$AR3037))+1,"")</f>
        <v/>
      </c>
      <c r="AP3037">
        <f>IF($E3037="","",IF(OR($U3037=TRUE(),$U3037="TRUE"),1,0))</f>
        <v/>
      </c>
      <c r="AQ3037">
        <f>IF($E3037="","",IF($AA3037="Yes",1,0))</f>
        <v/>
      </c>
      <c r="AR3037">
        <f>IF($AN3037=1,IFERROR(VALUE(MID($E3037,2,20)),1000000000)+ROW()/100000,"")</f>
        <v/>
      </c>
    </row>
    <row r="3038">
      <c r="G3038" s="11" t="n"/>
      <c r="Q3038" s="7">
        <f>IF($E3038="","",P3038*Y3038/100)</f>
        <v/>
      </c>
      <c r="R3038" s="7" t="n"/>
      <c r="X3038" s="7" t="n"/>
      <c r="Y3038" s="7" t="n"/>
      <c r="AB3038">
        <f>IF($E3038="","",IF($AQ3038=1,0,IF($AP3038=1,Settings!$C$6,Settings!$C$7))*100)</f>
        <v/>
      </c>
      <c r="AC3038" s="7">
        <f>IF($E3038="","",Y3038*AB3038/100)</f>
        <v/>
      </c>
      <c r="AD3038" s="7">
        <f>IF($E3038="","",Y3038-AC3038)</f>
        <v/>
      </c>
      <c r="AE3038" s="7">
        <f>IF($E3038="","",AD3038-Q3038)</f>
        <v/>
      </c>
      <c r="AI3038" s="7" t="n"/>
      <c r="AL3038" s="11" t="n"/>
      <c r="AN3038">
        <f>IF($E3038="","",IF(COUNTIF($E$2:$E3038,$E3038)=1,1,0))</f>
        <v/>
      </c>
      <c r="AO3038">
        <f>IF($AN3038=1,SUMPRODUCT(--($AR$2:$AR$4001&lt;$AR3038))+1,"")</f>
        <v/>
      </c>
      <c r="AP3038">
        <f>IF($E3038="","",IF(OR($U3038=TRUE(),$U3038="TRUE"),1,0))</f>
        <v/>
      </c>
      <c r="AQ3038">
        <f>IF($E3038="","",IF($AA3038="Yes",1,0))</f>
        <v/>
      </c>
      <c r="AR3038">
        <f>IF($AN3038=1,IFERROR(VALUE(MID($E3038,2,20)),1000000000)+ROW()/100000,"")</f>
        <v/>
      </c>
    </row>
    <row r="3039">
      <c r="G3039" s="11" t="n"/>
      <c r="Q3039" s="7">
        <f>IF($E3039="","",P3039*Y3039/100)</f>
        <v/>
      </c>
      <c r="R3039" s="7" t="n"/>
      <c r="X3039" s="7" t="n"/>
      <c r="Y3039" s="7" t="n"/>
      <c r="AB3039">
        <f>IF($E3039="","",IF($AQ3039=1,0,IF($AP3039=1,Settings!$C$6,Settings!$C$7))*100)</f>
        <v/>
      </c>
      <c r="AC3039" s="7">
        <f>IF($E3039="","",Y3039*AB3039/100)</f>
        <v/>
      </c>
      <c r="AD3039" s="7">
        <f>IF($E3039="","",Y3039-AC3039)</f>
        <v/>
      </c>
      <c r="AE3039" s="7">
        <f>IF($E3039="","",AD3039-Q3039)</f>
        <v/>
      </c>
      <c r="AI3039" s="7" t="n"/>
      <c r="AL3039" s="11" t="n"/>
      <c r="AN3039">
        <f>IF($E3039="","",IF(COUNTIF($E$2:$E3039,$E3039)=1,1,0))</f>
        <v/>
      </c>
      <c r="AO3039">
        <f>IF($AN3039=1,SUMPRODUCT(--($AR$2:$AR$4001&lt;$AR3039))+1,"")</f>
        <v/>
      </c>
      <c r="AP3039">
        <f>IF($E3039="","",IF(OR($U3039=TRUE(),$U3039="TRUE"),1,0))</f>
        <v/>
      </c>
      <c r="AQ3039">
        <f>IF($E3039="","",IF($AA3039="Yes",1,0))</f>
        <v/>
      </c>
      <c r="AR3039">
        <f>IF($AN3039=1,IFERROR(VALUE(MID($E3039,2,20)),1000000000)+ROW()/100000,"")</f>
        <v/>
      </c>
    </row>
    <row r="3040">
      <c r="G3040" s="11" t="n"/>
      <c r="Q3040" s="7">
        <f>IF($E3040="","",P3040*Y3040/100)</f>
        <v/>
      </c>
      <c r="R3040" s="7" t="n"/>
      <c r="X3040" s="7" t="n"/>
      <c r="Y3040" s="7" t="n"/>
      <c r="AB3040">
        <f>IF($E3040="","",IF($AQ3040=1,0,IF($AP3040=1,Settings!$C$6,Settings!$C$7))*100)</f>
        <v/>
      </c>
      <c r="AC3040" s="7">
        <f>IF($E3040="","",Y3040*AB3040/100)</f>
        <v/>
      </c>
      <c r="AD3040" s="7">
        <f>IF($E3040="","",Y3040-AC3040)</f>
        <v/>
      </c>
      <c r="AE3040" s="7">
        <f>IF($E3040="","",AD3040-Q3040)</f>
        <v/>
      </c>
      <c r="AI3040" s="7" t="n"/>
      <c r="AL3040" s="11" t="n"/>
      <c r="AN3040">
        <f>IF($E3040="","",IF(COUNTIF($E$2:$E3040,$E3040)=1,1,0))</f>
        <v/>
      </c>
      <c r="AO3040">
        <f>IF($AN3040=1,SUMPRODUCT(--($AR$2:$AR$4001&lt;$AR3040))+1,"")</f>
        <v/>
      </c>
      <c r="AP3040">
        <f>IF($E3040="","",IF(OR($U3040=TRUE(),$U3040="TRUE"),1,0))</f>
        <v/>
      </c>
      <c r="AQ3040">
        <f>IF($E3040="","",IF($AA3040="Yes",1,0))</f>
        <v/>
      </c>
      <c r="AR3040">
        <f>IF($AN3040=1,IFERROR(VALUE(MID($E3040,2,20)),1000000000)+ROW()/100000,"")</f>
        <v/>
      </c>
    </row>
    <row r="3041">
      <c r="G3041" s="11" t="n"/>
      <c r="Q3041" s="7">
        <f>IF($E3041="","",P3041*Y3041/100)</f>
        <v/>
      </c>
      <c r="R3041" s="7" t="n"/>
      <c r="X3041" s="7" t="n"/>
      <c r="Y3041" s="7" t="n"/>
      <c r="AB3041">
        <f>IF($E3041="","",IF($AQ3041=1,0,IF($AP3041=1,Settings!$C$6,Settings!$C$7))*100)</f>
        <v/>
      </c>
      <c r="AC3041" s="7">
        <f>IF($E3041="","",Y3041*AB3041/100)</f>
        <v/>
      </c>
      <c r="AD3041" s="7">
        <f>IF($E3041="","",Y3041-AC3041)</f>
        <v/>
      </c>
      <c r="AE3041" s="7">
        <f>IF($E3041="","",AD3041-Q3041)</f>
        <v/>
      </c>
      <c r="AI3041" s="7" t="n"/>
      <c r="AL3041" s="11" t="n"/>
      <c r="AN3041">
        <f>IF($E3041="","",IF(COUNTIF($E$2:$E3041,$E3041)=1,1,0))</f>
        <v/>
      </c>
      <c r="AO3041">
        <f>IF($AN3041=1,SUMPRODUCT(--($AR$2:$AR$4001&lt;$AR3041))+1,"")</f>
        <v/>
      </c>
      <c r="AP3041">
        <f>IF($E3041="","",IF(OR($U3041=TRUE(),$U3041="TRUE"),1,0))</f>
        <v/>
      </c>
      <c r="AQ3041">
        <f>IF($E3041="","",IF($AA3041="Yes",1,0))</f>
        <v/>
      </c>
      <c r="AR3041">
        <f>IF($AN3041=1,IFERROR(VALUE(MID($E3041,2,20)),1000000000)+ROW()/100000,"")</f>
        <v/>
      </c>
    </row>
    <row r="3042">
      <c r="G3042" s="11" t="n"/>
      <c r="Q3042" s="7">
        <f>IF($E3042="","",P3042*Y3042/100)</f>
        <v/>
      </c>
      <c r="R3042" s="7" t="n"/>
      <c r="X3042" s="7" t="n"/>
      <c r="Y3042" s="7" t="n"/>
      <c r="AB3042">
        <f>IF($E3042="","",IF($AQ3042=1,0,IF($AP3042=1,Settings!$C$6,Settings!$C$7))*100)</f>
        <v/>
      </c>
      <c r="AC3042" s="7">
        <f>IF($E3042="","",Y3042*AB3042/100)</f>
        <v/>
      </c>
      <c r="AD3042" s="7">
        <f>IF($E3042="","",Y3042-AC3042)</f>
        <v/>
      </c>
      <c r="AE3042" s="7">
        <f>IF($E3042="","",AD3042-Q3042)</f>
        <v/>
      </c>
      <c r="AI3042" s="7" t="n"/>
      <c r="AL3042" s="11" t="n"/>
      <c r="AN3042">
        <f>IF($E3042="","",IF(COUNTIF($E$2:$E3042,$E3042)=1,1,0))</f>
        <v/>
      </c>
      <c r="AO3042">
        <f>IF($AN3042=1,SUMPRODUCT(--($AR$2:$AR$4001&lt;$AR3042))+1,"")</f>
        <v/>
      </c>
      <c r="AP3042">
        <f>IF($E3042="","",IF(OR($U3042=TRUE(),$U3042="TRUE"),1,0))</f>
        <v/>
      </c>
      <c r="AQ3042">
        <f>IF($E3042="","",IF($AA3042="Yes",1,0))</f>
        <v/>
      </c>
      <c r="AR3042">
        <f>IF($AN3042=1,IFERROR(VALUE(MID($E3042,2,20)),1000000000)+ROW()/100000,"")</f>
        <v/>
      </c>
    </row>
    <row r="3043">
      <c r="G3043" s="11" t="n"/>
      <c r="Q3043" s="7">
        <f>IF($E3043="","",P3043*Y3043/100)</f>
        <v/>
      </c>
      <c r="R3043" s="7" t="n"/>
      <c r="X3043" s="7" t="n"/>
      <c r="Y3043" s="7" t="n"/>
      <c r="AB3043">
        <f>IF($E3043="","",IF($AQ3043=1,0,IF($AP3043=1,Settings!$C$6,Settings!$C$7))*100)</f>
        <v/>
      </c>
      <c r="AC3043" s="7">
        <f>IF($E3043="","",Y3043*AB3043/100)</f>
        <v/>
      </c>
      <c r="AD3043" s="7">
        <f>IF($E3043="","",Y3043-AC3043)</f>
        <v/>
      </c>
      <c r="AE3043" s="7">
        <f>IF($E3043="","",AD3043-Q3043)</f>
        <v/>
      </c>
      <c r="AI3043" s="7" t="n"/>
      <c r="AL3043" s="11" t="n"/>
      <c r="AN3043">
        <f>IF($E3043="","",IF(COUNTIF($E$2:$E3043,$E3043)=1,1,0))</f>
        <v/>
      </c>
      <c r="AO3043">
        <f>IF($AN3043=1,SUMPRODUCT(--($AR$2:$AR$4001&lt;$AR3043))+1,"")</f>
        <v/>
      </c>
      <c r="AP3043">
        <f>IF($E3043="","",IF(OR($U3043=TRUE(),$U3043="TRUE"),1,0))</f>
        <v/>
      </c>
      <c r="AQ3043">
        <f>IF($E3043="","",IF($AA3043="Yes",1,0))</f>
        <v/>
      </c>
      <c r="AR3043">
        <f>IF($AN3043=1,IFERROR(VALUE(MID($E3043,2,20)),1000000000)+ROW()/100000,"")</f>
        <v/>
      </c>
    </row>
    <row r="3044">
      <c r="G3044" s="11" t="n"/>
      <c r="Q3044" s="7">
        <f>IF($E3044="","",P3044*Y3044/100)</f>
        <v/>
      </c>
      <c r="R3044" s="7" t="n"/>
      <c r="X3044" s="7" t="n"/>
      <c r="Y3044" s="7" t="n"/>
      <c r="AB3044">
        <f>IF($E3044="","",IF($AQ3044=1,0,IF($AP3044=1,Settings!$C$6,Settings!$C$7))*100)</f>
        <v/>
      </c>
      <c r="AC3044" s="7">
        <f>IF($E3044="","",Y3044*AB3044/100)</f>
        <v/>
      </c>
      <c r="AD3044" s="7">
        <f>IF($E3044="","",Y3044-AC3044)</f>
        <v/>
      </c>
      <c r="AE3044" s="7">
        <f>IF($E3044="","",AD3044-Q3044)</f>
        <v/>
      </c>
      <c r="AI3044" s="7" t="n"/>
      <c r="AL3044" s="11" t="n"/>
      <c r="AN3044">
        <f>IF($E3044="","",IF(COUNTIF($E$2:$E3044,$E3044)=1,1,0))</f>
        <v/>
      </c>
      <c r="AO3044">
        <f>IF($AN3044=1,SUMPRODUCT(--($AR$2:$AR$4001&lt;$AR3044))+1,"")</f>
        <v/>
      </c>
      <c r="AP3044">
        <f>IF($E3044="","",IF(OR($U3044=TRUE(),$U3044="TRUE"),1,0))</f>
        <v/>
      </c>
      <c r="AQ3044">
        <f>IF($E3044="","",IF($AA3044="Yes",1,0))</f>
        <v/>
      </c>
      <c r="AR3044">
        <f>IF($AN3044=1,IFERROR(VALUE(MID($E3044,2,20)),1000000000)+ROW()/100000,"")</f>
        <v/>
      </c>
    </row>
    <row r="3045">
      <c r="G3045" s="11" t="n"/>
      <c r="Q3045" s="7">
        <f>IF($E3045="","",P3045*Y3045/100)</f>
        <v/>
      </c>
      <c r="R3045" s="7" t="n"/>
      <c r="X3045" s="7" t="n"/>
      <c r="Y3045" s="7" t="n"/>
      <c r="AB3045">
        <f>IF($E3045="","",IF($AQ3045=1,0,IF($AP3045=1,Settings!$C$6,Settings!$C$7))*100)</f>
        <v/>
      </c>
      <c r="AC3045" s="7">
        <f>IF($E3045="","",Y3045*AB3045/100)</f>
        <v/>
      </c>
      <c r="AD3045" s="7">
        <f>IF($E3045="","",Y3045-AC3045)</f>
        <v/>
      </c>
      <c r="AE3045" s="7">
        <f>IF($E3045="","",AD3045-Q3045)</f>
        <v/>
      </c>
      <c r="AI3045" s="7" t="n"/>
      <c r="AL3045" s="11" t="n"/>
      <c r="AN3045">
        <f>IF($E3045="","",IF(COUNTIF($E$2:$E3045,$E3045)=1,1,0))</f>
        <v/>
      </c>
      <c r="AO3045">
        <f>IF($AN3045=1,SUMPRODUCT(--($AR$2:$AR$4001&lt;$AR3045))+1,"")</f>
        <v/>
      </c>
      <c r="AP3045">
        <f>IF($E3045="","",IF(OR($U3045=TRUE(),$U3045="TRUE"),1,0))</f>
        <v/>
      </c>
      <c r="AQ3045">
        <f>IF($E3045="","",IF($AA3045="Yes",1,0))</f>
        <v/>
      </c>
      <c r="AR3045">
        <f>IF($AN3045=1,IFERROR(VALUE(MID($E3045,2,20)),1000000000)+ROW()/100000,"")</f>
        <v/>
      </c>
    </row>
    <row r="3046">
      <c r="G3046" s="11" t="n"/>
      <c r="Q3046" s="7">
        <f>IF($E3046="","",P3046*Y3046/100)</f>
        <v/>
      </c>
      <c r="R3046" s="7" t="n"/>
      <c r="X3046" s="7" t="n"/>
      <c r="Y3046" s="7" t="n"/>
      <c r="AB3046">
        <f>IF($E3046="","",IF($AQ3046=1,0,IF($AP3046=1,Settings!$C$6,Settings!$C$7))*100)</f>
        <v/>
      </c>
      <c r="AC3046" s="7">
        <f>IF($E3046="","",Y3046*AB3046/100)</f>
        <v/>
      </c>
      <c r="AD3046" s="7">
        <f>IF($E3046="","",Y3046-AC3046)</f>
        <v/>
      </c>
      <c r="AE3046" s="7">
        <f>IF($E3046="","",AD3046-Q3046)</f>
        <v/>
      </c>
      <c r="AI3046" s="7" t="n"/>
      <c r="AL3046" s="11" t="n"/>
      <c r="AN3046">
        <f>IF($E3046="","",IF(COUNTIF($E$2:$E3046,$E3046)=1,1,0))</f>
        <v/>
      </c>
      <c r="AO3046">
        <f>IF($AN3046=1,SUMPRODUCT(--($AR$2:$AR$4001&lt;$AR3046))+1,"")</f>
        <v/>
      </c>
      <c r="AP3046">
        <f>IF($E3046="","",IF(OR($U3046=TRUE(),$U3046="TRUE"),1,0))</f>
        <v/>
      </c>
      <c r="AQ3046">
        <f>IF($E3046="","",IF($AA3046="Yes",1,0))</f>
        <v/>
      </c>
      <c r="AR3046">
        <f>IF($AN3046=1,IFERROR(VALUE(MID($E3046,2,20)),1000000000)+ROW()/100000,"")</f>
        <v/>
      </c>
    </row>
    <row r="3047">
      <c r="G3047" s="11" t="n"/>
      <c r="Q3047" s="7">
        <f>IF($E3047="","",P3047*Y3047/100)</f>
        <v/>
      </c>
      <c r="R3047" s="7" t="n"/>
      <c r="X3047" s="7" t="n"/>
      <c r="Y3047" s="7" t="n"/>
      <c r="AB3047">
        <f>IF($E3047="","",IF($AQ3047=1,0,IF($AP3047=1,Settings!$C$6,Settings!$C$7))*100)</f>
        <v/>
      </c>
      <c r="AC3047" s="7">
        <f>IF($E3047="","",Y3047*AB3047/100)</f>
        <v/>
      </c>
      <c r="AD3047" s="7">
        <f>IF($E3047="","",Y3047-AC3047)</f>
        <v/>
      </c>
      <c r="AE3047" s="7">
        <f>IF($E3047="","",AD3047-Q3047)</f>
        <v/>
      </c>
      <c r="AI3047" s="7" t="n"/>
      <c r="AL3047" s="11" t="n"/>
      <c r="AN3047">
        <f>IF($E3047="","",IF(COUNTIF($E$2:$E3047,$E3047)=1,1,0))</f>
        <v/>
      </c>
      <c r="AO3047">
        <f>IF($AN3047=1,SUMPRODUCT(--($AR$2:$AR$4001&lt;$AR3047))+1,"")</f>
        <v/>
      </c>
      <c r="AP3047">
        <f>IF($E3047="","",IF(OR($U3047=TRUE(),$U3047="TRUE"),1,0))</f>
        <v/>
      </c>
      <c r="AQ3047">
        <f>IF($E3047="","",IF($AA3047="Yes",1,0))</f>
        <v/>
      </c>
      <c r="AR3047">
        <f>IF($AN3047=1,IFERROR(VALUE(MID($E3047,2,20)),1000000000)+ROW()/100000,"")</f>
        <v/>
      </c>
    </row>
    <row r="3048">
      <c r="G3048" s="11" t="n"/>
      <c r="Q3048" s="7">
        <f>IF($E3048="","",P3048*Y3048/100)</f>
        <v/>
      </c>
      <c r="R3048" s="7" t="n"/>
      <c r="X3048" s="7" t="n"/>
      <c r="Y3048" s="7" t="n"/>
      <c r="AB3048">
        <f>IF($E3048="","",IF($AQ3048=1,0,IF($AP3048=1,Settings!$C$6,Settings!$C$7))*100)</f>
        <v/>
      </c>
      <c r="AC3048" s="7">
        <f>IF($E3048="","",Y3048*AB3048/100)</f>
        <v/>
      </c>
      <c r="AD3048" s="7">
        <f>IF($E3048="","",Y3048-AC3048)</f>
        <v/>
      </c>
      <c r="AE3048" s="7">
        <f>IF($E3048="","",AD3048-Q3048)</f>
        <v/>
      </c>
      <c r="AI3048" s="7" t="n"/>
      <c r="AL3048" s="11" t="n"/>
      <c r="AN3048">
        <f>IF($E3048="","",IF(COUNTIF($E$2:$E3048,$E3048)=1,1,0))</f>
        <v/>
      </c>
      <c r="AO3048">
        <f>IF($AN3048=1,SUMPRODUCT(--($AR$2:$AR$4001&lt;$AR3048))+1,"")</f>
        <v/>
      </c>
      <c r="AP3048">
        <f>IF($E3048="","",IF(OR($U3048=TRUE(),$U3048="TRUE"),1,0))</f>
        <v/>
      </c>
      <c r="AQ3048">
        <f>IF($E3048="","",IF($AA3048="Yes",1,0))</f>
        <v/>
      </c>
      <c r="AR3048">
        <f>IF($AN3048=1,IFERROR(VALUE(MID($E3048,2,20)),1000000000)+ROW()/100000,"")</f>
        <v/>
      </c>
    </row>
    <row r="3049">
      <c r="G3049" s="11" t="n"/>
      <c r="Q3049" s="7">
        <f>IF($E3049="","",P3049*Y3049/100)</f>
        <v/>
      </c>
      <c r="R3049" s="7" t="n"/>
      <c r="X3049" s="7" t="n"/>
      <c r="Y3049" s="7" t="n"/>
      <c r="AB3049">
        <f>IF($E3049="","",IF($AQ3049=1,0,IF($AP3049=1,Settings!$C$6,Settings!$C$7))*100)</f>
        <v/>
      </c>
      <c r="AC3049" s="7">
        <f>IF($E3049="","",Y3049*AB3049/100)</f>
        <v/>
      </c>
      <c r="AD3049" s="7">
        <f>IF($E3049="","",Y3049-AC3049)</f>
        <v/>
      </c>
      <c r="AE3049" s="7">
        <f>IF($E3049="","",AD3049-Q3049)</f>
        <v/>
      </c>
      <c r="AI3049" s="7" t="n"/>
      <c r="AL3049" s="11" t="n"/>
      <c r="AN3049">
        <f>IF($E3049="","",IF(COUNTIF($E$2:$E3049,$E3049)=1,1,0))</f>
        <v/>
      </c>
      <c r="AO3049">
        <f>IF($AN3049=1,SUMPRODUCT(--($AR$2:$AR$4001&lt;$AR3049))+1,"")</f>
        <v/>
      </c>
      <c r="AP3049">
        <f>IF($E3049="","",IF(OR($U3049=TRUE(),$U3049="TRUE"),1,0))</f>
        <v/>
      </c>
      <c r="AQ3049">
        <f>IF($E3049="","",IF($AA3049="Yes",1,0))</f>
        <v/>
      </c>
      <c r="AR3049">
        <f>IF($AN3049=1,IFERROR(VALUE(MID($E3049,2,20)),1000000000)+ROW()/100000,"")</f>
        <v/>
      </c>
    </row>
    <row r="3050">
      <c r="G3050" s="11" t="n"/>
      <c r="Q3050" s="7">
        <f>IF($E3050="","",P3050*Y3050/100)</f>
        <v/>
      </c>
      <c r="R3050" s="7" t="n"/>
      <c r="X3050" s="7" t="n"/>
      <c r="Y3050" s="7" t="n"/>
      <c r="AB3050">
        <f>IF($E3050="","",IF($AQ3050=1,0,IF($AP3050=1,Settings!$C$6,Settings!$C$7))*100)</f>
        <v/>
      </c>
      <c r="AC3050" s="7">
        <f>IF($E3050="","",Y3050*AB3050/100)</f>
        <v/>
      </c>
      <c r="AD3050" s="7">
        <f>IF($E3050="","",Y3050-AC3050)</f>
        <v/>
      </c>
      <c r="AE3050" s="7">
        <f>IF($E3050="","",AD3050-Q3050)</f>
        <v/>
      </c>
      <c r="AI3050" s="7" t="n"/>
      <c r="AL3050" s="11" t="n"/>
      <c r="AN3050">
        <f>IF($E3050="","",IF(COUNTIF($E$2:$E3050,$E3050)=1,1,0))</f>
        <v/>
      </c>
      <c r="AO3050">
        <f>IF($AN3050=1,SUMPRODUCT(--($AR$2:$AR$4001&lt;$AR3050))+1,"")</f>
        <v/>
      </c>
      <c r="AP3050">
        <f>IF($E3050="","",IF(OR($U3050=TRUE(),$U3050="TRUE"),1,0))</f>
        <v/>
      </c>
      <c r="AQ3050">
        <f>IF($E3050="","",IF($AA3050="Yes",1,0))</f>
        <v/>
      </c>
      <c r="AR3050">
        <f>IF($AN3050=1,IFERROR(VALUE(MID($E3050,2,20)),1000000000)+ROW()/100000,"")</f>
        <v/>
      </c>
    </row>
    <row r="3051">
      <c r="G3051" s="11" t="n"/>
      <c r="Q3051" s="7">
        <f>IF($E3051="","",P3051*Y3051/100)</f>
        <v/>
      </c>
      <c r="R3051" s="7" t="n"/>
      <c r="X3051" s="7" t="n"/>
      <c r="Y3051" s="7" t="n"/>
      <c r="AB3051">
        <f>IF($E3051="","",IF($AQ3051=1,0,IF($AP3051=1,Settings!$C$6,Settings!$C$7))*100)</f>
        <v/>
      </c>
      <c r="AC3051" s="7">
        <f>IF($E3051="","",Y3051*AB3051/100)</f>
        <v/>
      </c>
      <c r="AD3051" s="7">
        <f>IF($E3051="","",Y3051-AC3051)</f>
        <v/>
      </c>
      <c r="AE3051" s="7">
        <f>IF($E3051="","",AD3051-Q3051)</f>
        <v/>
      </c>
      <c r="AI3051" s="7" t="n"/>
      <c r="AL3051" s="11" t="n"/>
      <c r="AN3051">
        <f>IF($E3051="","",IF(COUNTIF($E$2:$E3051,$E3051)=1,1,0))</f>
        <v/>
      </c>
      <c r="AO3051">
        <f>IF($AN3051=1,SUMPRODUCT(--($AR$2:$AR$4001&lt;$AR3051))+1,"")</f>
        <v/>
      </c>
      <c r="AP3051">
        <f>IF($E3051="","",IF(OR($U3051=TRUE(),$U3051="TRUE"),1,0))</f>
        <v/>
      </c>
      <c r="AQ3051">
        <f>IF($E3051="","",IF($AA3051="Yes",1,0))</f>
        <v/>
      </c>
      <c r="AR3051">
        <f>IF($AN3051=1,IFERROR(VALUE(MID($E3051,2,20)),1000000000)+ROW()/100000,"")</f>
        <v/>
      </c>
    </row>
    <row r="3052">
      <c r="G3052" s="11" t="n"/>
      <c r="Q3052" s="7">
        <f>IF($E3052="","",P3052*Y3052/100)</f>
        <v/>
      </c>
      <c r="R3052" s="7" t="n"/>
      <c r="X3052" s="7" t="n"/>
      <c r="Y3052" s="7" t="n"/>
      <c r="AB3052">
        <f>IF($E3052="","",IF($AQ3052=1,0,IF($AP3052=1,Settings!$C$6,Settings!$C$7))*100)</f>
        <v/>
      </c>
      <c r="AC3052" s="7">
        <f>IF($E3052="","",Y3052*AB3052/100)</f>
        <v/>
      </c>
      <c r="AD3052" s="7">
        <f>IF($E3052="","",Y3052-AC3052)</f>
        <v/>
      </c>
      <c r="AE3052" s="7">
        <f>IF($E3052="","",AD3052-Q3052)</f>
        <v/>
      </c>
      <c r="AI3052" s="7" t="n"/>
      <c r="AL3052" s="11" t="n"/>
      <c r="AN3052">
        <f>IF($E3052="","",IF(COUNTIF($E$2:$E3052,$E3052)=1,1,0))</f>
        <v/>
      </c>
      <c r="AO3052">
        <f>IF($AN3052=1,SUMPRODUCT(--($AR$2:$AR$4001&lt;$AR3052))+1,"")</f>
        <v/>
      </c>
      <c r="AP3052">
        <f>IF($E3052="","",IF(OR($U3052=TRUE(),$U3052="TRUE"),1,0))</f>
        <v/>
      </c>
      <c r="AQ3052">
        <f>IF($E3052="","",IF($AA3052="Yes",1,0))</f>
        <v/>
      </c>
      <c r="AR3052">
        <f>IF($AN3052=1,IFERROR(VALUE(MID($E3052,2,20)),1000000000)+ROW()/100000,"")</f>
        <v/>
      </c>
    </row>
    <row r="3053">
      <c r="G3053" s="11" t="n"/>
      <c r="Q3053" s="7">
        <f>IF($E3053="","",P3053*Y3053/100)</f>
        <v/>
      </c>
      <c r="R3053" s="7" t="n"/>
      <c r="X3053" s="7" t="n"/>
      <c r="Y3053" s="7" t="n"/>
      <c r="AB3053">
        <f>IF($E3053="","",IF($AQ3053=1,0,IF($AP3053=1,Settings!$C$6,Settings!$C$7))*100)</f>
        <v/>
      </c>
      <c r="AC3053" s="7">
        <f>IF($E3053="","",Y3053*AB3053/100)</f>
        <v/>
      </c>
      <c r="AD3053" s="7">
        <f>IF($E3053="","",Y3053-AC3053)</f>
        <v/>
      </c>
      <c r="AE3053" s="7">
        <f>IF($E3053="","",AD3053-Q3053)</f>
        <v/>
      </c>
      <c r="AI3053" s="7" t="n"/>
      <c r="AL3053" s="11" t="n"/>
      <c r="AN3053">
        <f>IF($E3053="","",IF(COUNTIF($E$2:$E3053,$E3053)=1,1,0))</f>
        <v/>
      </c>
      <c r="AO3053">
        <f>IF($AN3053=1,SUMPRODUCT(--($AR$2:$AR$4001&lt;$AR3053))+1,"")</f>
        <v/>
      </c>
      <c r="AP3053">
        <f>IF($E3053="","",IF(OR($U3053=TRUE(),$U3053="TRUE"),1,0))</f>
        <v/>
      </c>
      <c r="AQ3053">
        <f>IF($E3053="","",IF($AA3053="Yes",1,0))</f>
        <v/>
      </c>
      <c r="AR3053">
        <f>IF($AN3053=1,IFERROR(VALUE(MID($E3053,2,20)),1000000000)+ROW()/100000,"")</f>
        <v/>
      </c>
    </row>
    <row r="3054">
      <c r="G3054" s="11" t="n"/>
      <c r="Q3054" s="7">
        <f>IF($E3054="","",P3054*Y3054/100)</f>
        <v/>
      </c>
      <c r="R3054" s="7" t="n"/>
      <c r="X3054" s="7" t="n"/>
      <c r="Y3054" s="7" t="n"/>
      <c r="AB3054">
        <f>IF($E3054="","",IF($AQ3054=1,0,IF($AP3054=1,Settings!$C$6,Settings!$C$7))*100)</f>
        <v/>
      </c>
      <c r="AC3054" s="7">
        <f>IF($E3054="","",Y3054*AB3054/100)</f>
        <v/>
      </c>
      <c r="AD3054" s="7">
        <f>IF($E3054="","",Y3054-AC3054)</f>
        <v/>
      </c>
      <c r="AE3054" s="7">
        <f>IF($E3054="","",AD3054-Q3054)</f>
        <v/>
      </c>
      <c r="AI3054" s="7" t="n"/>
      <c r="AL3054" s="11" t="n"/>
      <c r="AN3054">
        <f>IF($E3054="","",IF(COUNTIF($E$2:$E3054,$E3054)=1,1,0))</f>
        <v/>
      </c>
      <c r="AO3054">
        <f>IF($AN3054=1,SUMPRODUCT(--($AR$2:$AR$4001&lt;$AR3054))+1,"")</f>
        <v/>
      </c>
      <c r="AP3054">
        <f>IF($E3054="","",IF(OR($U3054=TRUE(),$U3054="TRUE"),1,0))</f>
        <v/>
      </c>
      <c r="AQ3054">
        <f>IF($E3054="","",IF($AA3054="Yes",1,0))</f>
        <v/>
      </c>
      <c r="AR3054">
        <f>IF($AN3054=1,IFERROR(VALUE(MID($E3054,2,20)),1000000000)+ROW()/100000,"")</f>
        <v/>
      </c>
    </row>
    <row r="3055">
      <c r="G3055" s="11" t="n"/>
      <c r="Q3055" s="7">
        <f>IF($E3055="","",P3055*Y3055/100)</f>
        <v/>
      </c>
      <c r="R3055" s="7" t="n"/>
      <c r="X3055" s="7" t="n"/>
      <c r="Y3055" s="7" t="n"/>
      <c r="AB3055">
        <f>IF($E3055="","",IF($AQ3055=1,0,IF($AP3055=1,Settings!$C$6,Settings!$C$7))*100)</f>
        <v/>
      </c>
      <c r="AC3055" s="7">
        <f>IF($E3055="","",Y3055*AB3055/100)</f>
        <v/>
      </c>
      <c r="AD3055" s="7">
        <f>IF($E3055="","",Y3055-AC3055)</f>
        <v/>
      </c>
      <c r="AE3055" s="7">
        <f>IF($E3055="","",AD3055-Q3055)</f>
        <v/>
      </c>
      <c r="AI3055" s="7" t="n"/>
      <c r="AL3055" s="11" t="n"/>
      <c r="AN3055">
        <f>IF($E3055="","",IF(COUNTIF($E$2:$E3055,$E3055)=1,1,0))</f>
        <v/>
      </c>
      <c r="AO3055">
        <f>IF($AN3055=1,SUMPRODUCT(--($AR$2:$AR$4001&lt;$AR3055))+1,"")</f>
        <v/>
      </c>
      <c r="AP3055">
        <f>IF($E3055="","",IF(OR($U3055=TRUE(),$U3055="TRUE"),1,0))</f>
        <v/>
      </c>
      <c r="AQ3055">
        <f>IF($E3055="","",IF($AA3055="Yes",1,0))</f>
        <v/>
      </c>
      <c r="AR3055">
        <f>IF($AN3055=1,IFERROR(VALUE(MID($E3055,2,20)),1000000000)+ROW()/100000,"")</f>
        <v/>
      </c>
    </row>
    <row r="3056">
      <c r="G3056" s="11" t="n"/>
      <c r="Q3056" s="7">
        <f>IF($E3056="","",P3056*Y3056/100)</f>
        <v/>
      </c>
      <c r="R3056" s="7" t="n"/>
      <c r="X3056" s="7" t="n"/>
      <c r="Y3056" s="7" t="n"/>
      <c r="AB3056">
        <f>IF($E3056="","",IF($AQ3056=1,0,IF($AP3056=1,Settings!$C$6,Settings!$C$7))*100)</f>
        <v/>
      </c>
      <c r="AC3056" s="7">
        <f>IF($E3056="","",Y3056*AB3056/100)</f>
        <v/>
      </c>
      <c r="AD3056" s="7">
        <f>IF($E3056="","",Y3056-AC3056)</f>
        <v/>
      </c>
      <c r="AE3056" s="7">
        <f>IF($E3056="","",AD3056-Q3056)</f>
        <v/>
      </c>
      <c r="AI3056" s="7" t="n"/>
      <c r="AL3056" s="11" t="n"/>
      <c r="AN3056">
        <f>IF($E3056="","",IF(COUNTIF($E$2:$E3056,$E3056)=1,1,0))</f>
        <v/>
      </c>
      <c r="AO3056">
        <f>IF($AN3056=1,SUMPRODUCT(--($AR$2:$AR$4001&lt;$AR3056))+1,"")</f>
        <v/>
      </c>
      <c r="AP3056">
        <f>IF($E3056="","",IF(OR($U3056=TRUE(),$U3056="TRUE"),1,0))</f>
        <v/>
      </c>
      <c r="AQ3056">
        <f>IF($E3056="","",IF($AA3056="Yes",1,0))</f>
        <v/>
      </c>
      <c r="AR3056">
        <f>IF($AN3056=1,IFERROR(VALUE(MID($E3056,2,20)),1000000000)+ROW()/100000,"")</f>
        <v/>
      </c>
    </row>
    <row r="3057">
      <c r="G3057" s="11" t="n"/>
      <c r="Q3057" s="7">
        <f>IF($E3057="","",P3057*Y3057/100)</f>
        <v/>
      </c>
      <c r="R3057" s="7" t="n"/>
      <c r="X3057" s="7" t="n"/>
      <c r="Y3057" s="7" t="n"/>
      <c r="AB3057">
        <f>IF($E3057="","",IF($AQ3057=1,0,IF($AP3057=1,Settings!$C$6,Settings!$C$7))*100)</f>
        <v/>
      </c>
      <c r="AC3057" s="7">
        <f>IF($E3057="","",Y3057*AB3057/100)</f>
        <v/>
      </c>
      <c r="AD3057" s="7">
        <f>IF($E3057="","",Y3057-AC3057)</f>
        <v/>
      </c>
      <c r="AE3057" s="7">
        <f>IF($E3057="","",AD3057-Q3057)</f>
        <v/>
      </c>
      <c r="AI3057" s="7" t="n"/>
      <c r="AL3057" s="11" t="n"/>
      <c r="AN3057">
        <f>IF($E3057="","",IF(COUNTIF($E$2:$E3057,$E3057)=1,1,0))</f>
        <v/>
      </c>
      <c r="AO3057">
        <f>IF($AN3057=1,SUMPRODUCT(--($AR$2:$AR$4001&lt;$AR3057))+1,"")</f>
        <v/>
      </c>
      <c r="AP3057">
        <f>IF($E3057="","",IF(OR($U3057=TRUE(),$U3057="TRUE"),1,0))</f>
        <v/>
      </c>
      <c r="AQ3057">
        <f>IF($E3057="","",IF($AA3057="Yes",1,0))</f>
        <v/>
      </c>
      <c r="AR3057">
        <f>IF($AN3057=1,IFERROR(VALUE(MID($E3057,2,20)),1000000000)+ROW()/100000,"")</f>
        <v/>
      </c>
    </row>
    <row r="3058">
      <c r="G3058" s="11" t="n"/>
      <c r="Q3058" s="7">
        <f>IF($E3058="","",P3058*Y3058/100)</f>
        <v/>
      </c>
      <c r="R3058" s="7" t="n"/>
      <c r="X3058" s="7" t="n"/>
      <c r="Y3058" s="7" t="n"/>
      <c r="AB3058">
        <f>IF($E3058="","",IF($AQ3058=1,0,IF($AP3058=1,Settings!$C$6,Settings!$C$7))*100)</f>
        <v/>
      </c>
      <c r="AC3058" s="7">
        <f>IF($E3058="","",Y3058*AB3058/100)</f>
        <v/>
      </c>
      <c r="AD3058" s="7">
        <f>IF($E3058="","",Y3058-AC3058)</f>
        <v/>
      </c>
      <c r="AE3058" s="7">
        <f>IF($E3058="","",AD3058-Q3058)</f>
        <v/>
      </c>
      <c r="AI3058" s="7" t="n"/>
      <c r="AL3058" s="11" t="n"/>
      <c r="AN3058">
        <f>IF($E3058="","",IF(COUNTIF($E$2:$E3058,$E3058)=1,1,0))</f>
        <v/>
      </c>
      <c r="AO3058">
        <f>IF($AN3058=1,SUMPRODUCT(--($AR$2:$AR$4001&lt;$AR3058))+1,"")</f>
        <v/>
      </c>
      <c r="AP3058">
        <f>IF($E3058="","",IF(OR($U3058=TRUE(),$U3058="TRUE"),1,0))</f>
        <v/>
      </c>
      <c r="AQ3058">
        <f>IF($E3058="","",IF($AA3058="Yes",1,0))</f>
        <v/>
      </c>
      <c r="AR3058">
        <f>IF($AN3058=1,IFERROR(VALUE(MID($E3058,2,20)),1000000000)+ROW()/100000,"")</f>
        <v/>
      </c>
    </row>
    <row r="3059">
      <c r="G3059" s="11" t="n"/>
      <c r="Q3059" s="7">
        <f>IF($E3059="","",P3059*Y3059/100)</f>
        <v/>
      </c>
      <c r="R3059" s="7" t="n"/>
      <c r="X3059" s="7" t="n"/>
      <c r="Y3059" s="7" t="n"/>
      <c r="AB3059">
        <f>IF($E3059="","",IF($AQ3059=1,0,IF($AP3059=1,Settings!$C$6,Settings!$C$7))*100)</f>
        <v/>
      </c>
      <c r="AC3059" s="7">
        <f>IF($E3059="","",Y3059*AB3059/100)</f>
        <v/>
      </c>
      <c r="AD3059" s="7">
        <f>IF($E3059="","",Y3059-AC3059)</f>
        <v/>
      </c>
      <c r="AE3059" s="7">
        <f>IF($E3059="","",AD3059-Q3059)</f>
        <v/>
      </c>
      <c r="AI3059" s="7" t="n"/>
      <c r="AL3059" s="11" t="n"/>
      <c r="AN3059">
        <f>IF($E3059="","",IF(COUNTIF($E$2:$E3059,$E3059)=1,1,0))</f>
        <v/>
      </c>
      <c r="AO3059">
        <f>IF($AN3059=1,SUMPRODUCT(--($AR$2:$AR$4001&lt;$AR3059))+1,"")</f>
        <v/>
      </c>
      <c r="AP3059">
        <f>IF($E3059="","",IF(OR($U3059=TRUE(),$U3059="TRUE"),1,0))</f>
        <v/>
      </c>
      <c r="AQ3059">
        <f>IF($E3059="","",IF($AA3059="Yes",1,0))</f>
        <v/>
      </c>
      <c r="AR3059">
        <f>IF($AN3059=1,IFERROR(VALUE(MID($E3059,2,20)),1000000000)+ROW()/100000,"")</f>
        <v/>
      </c>
    </row>
    <row r="3060">
      <c r="G3060" s="11" t="n"/>
      <c r="Q3060" s="7">
        <f>IF($E3060="","",P3060*Y3060/100)</f>
        <v/>
      </c>
      <c r="R3060" s="7" t="n"/>
      <c r="X3060" s="7" t="n"/>
      <c r="Y3060" s="7" t="n"/>
      <c r="AB3060">
        <f>IF($E3060="","",IF($AQ3060=1,0,IF($AP3060=1,Settings!$C$6,Settings!$C$7))*100)</f>
        <v/>
      </c>
      <c r="AC3060" s="7">
        <f>IF($E3060="","",Y3060*AB3060/100)</f>
        <v/>
      </c>
      <c r="AD3060" s="7">
        <f>IF($E3060="","",Y3060-AC3060)</f>
        <v/>
      </c>
      <c r="AE3060" s="7">
        <f>IF($E3060="","",AD3060-Q3060)</f>
        <v/>
      </c>
      <c r="AI3060" s="7" t="n"/>
      <c r="AL3060" s="11" t="n"/>
      <c r="AN3060">
        <f>IF($E3060="","",IF(COUNTIF($E$2:$E3060,$E3060)=1,1,0))</f>
        <v/>
      </c>
      <c r="AO3060">
        <f>IF($AN3060=1,SUMPRODUCT(--($AR$2:$AR$4001&lt;$AR3060))+1,"")</f>
        <v/>
      </c>
      <c r="AP3060">
        <f>IF($E3060="","",IF(OR($U3060=TRUE(),$U3060="TRUE"),1,0))</f>
        <v/>
      </c>
      <c r="AQ3060">
        <f>IF($E3060="","",IF($AA3060="Yes",1,0))</f>
        <v/>
      </c>
      <c r="AR3060">
        <f>IF($AN3060=1,IFERROR(VALUE(MID($E3060,2,20)),1000000000)+ROW()/100000,"")</f>
        <v/>
      </c>
    </row>
    <row r="3061">
      <c r="G3061" s="11" t="n"/>
      <c r="Q3061" s="7">
        <f>IF($E3061="","",P3061*Y3061/100)</f>
        <v/>
      </c>
      <c r="R3061" s="7" t="n"/>
      <c r="X3061" s="7" t="n"/>
      <c r="Y3061" s="7" t="n"/>
      <c r="AB3061">
        <f>IF($E3061="","",IF($AQ3061=1,0,IF($AP3061=1,Settings!$C$6,Settings!$C$7))*100)</f>
        <v/>
      </c>
      <c r="AC3061" s="7">
        <f>IF($E3061="","",Y3061*AB3061/100)</f>
        <v/>
      </c>
      <c r="AD3061" s="7">
        <f>IF($E3061="","",Y3061-AC3061)</f>
        <v/>
      </c>
      <c r="AE3061" s="7">
        <f>IF($E3061="","",AD3061-Q3061)</f>
        <v/>
      </c>
      <c r="AI3061" s="7" t="n"/>
      <c r="AL3061" s="11" t="n"/>
      <c r="AN3061">
        <f>IF($E3061="","",IF(COUNTIF($E$2:$E3061,$E3061)=1,1,0))</f>
        <v/>
      </c>
      <c r="AO3061">
        <f>IF($AN3061=1,SUMPRODUCT(--($AR$2:$AR$4001&lt;$AR3061))+1,"")</f>
        <v/>
      </c>
      <c r="AP3061">
        <f>IF($E3061="","",IF(OR($U3061=TRUE(),$U3061="TRUE"),1,0))</f>
        <v/>
      </c>
      <c r="AQ3061">
        <f>IF($E3061="","",IF($AA3061="Yes",1,0))</f>
        <v/>
      </c>
      <c r="AR3061">
        <f>IF($AN3061=1,IFERROR(VALUE(MID($E3061,2,20)),1000000000)+ROW()/100000,"")</f>
        <v/>
      </c>
    </row>
    <row r="3062">
      <c r="G3062" s="11" t="n"/>
      <c r="Q3062" s="7">
        <f>IF($E3062="","",P3062*Y3062/100)</f>
        <v/>
      </c>
      <c r="R3062" s="7" t="n"/>
      <c r="X3062" s="7" t="n"/>
      <c r="Y3062" s="7" t="n"/>
      <c r="AB3062">
        <f>IF($E3062="","",IF($AQ3062=1,0,IF($AP3062=1,Settings!$C$6,Settings!$C$7))*100)</f>
        <v/>
      </c>
      <c r="AC3062" s="7">
        <f>IF($E3062="","",Y3062*AB3062/100)</f>
        <v/>
      </c>
      <c r="AD3062" s="7">
        <f>IF($E3062="","",Y3062-AC3062)</f>
        <v/>
      </c>
      <c r="AE3062" s="7">
        <f>IF($E3062="","",AD3062-Q3062)</f>
        <v/>
      </c>
      <c r="AI3062" s="7" t="n"/>
      <c r="AL3062" s="11" t="n"/>
      <c r="AN3062">
        <f>IF($E3062="","",IF(COUNTIF($E$2:$E3062,$E3062)=1,1,0))</f>
        <v/>
      </c>
      <c r="AO3062">
        <f>IF($AN3062=1,SUMPRODUCT(--($AR$2:$AR$4001&lt;$AR3062))+1,"")</f>
        <v/>
      </c>
      <c r="AP3062">
        <f>IF($E3062="","",IF(OR($U3062=TRUE(),$U3062="TRUE"),1,0))</f>
        <v/>
      </c>
      <c r="AQ3062">
        <f>IF($E3062="","",IF($AA3062="Yes",1,0))</f>
        <v/>
      </c>
      <c r="AR3062">
        <f>IF($AN3062=1,IFERROR(VALUE(MID($E3062,2,20)),1000000000)+ROW()/100000,"")</f>
        <v/>
      </c>
    </row>
    <row r="3063">
      <c r="G3063" s="11" t="n"/>
      <c r="Q3063" s="7">
        <f>IF($E3063="","",P3063*Y3063/100)</f>
        <v/>
      </c>
      <c r="R3063" s="7" t="n"/>
      <c r="X3063" s="7" t="n"/>
      <c r="Y3063" s="7" t="n"/>
      <c r="AB3063">
        <f>IF($E3063="","",IF($AQ3063=1,0,IF($AP3063=1,Settings!$C$6,Settings!$C$7))*100)</f>
        <v/>
      </c>
      <c r="AC3063" s="7">
        <f>IF($E3063="","",Y3063*AB3063/100)</f>
        <v/>
      </c>
      <c r="AD3063" s="7">
        <f>IF($E3063="","",Y3063-AC3063)</f>
        <v/>
      </c>
      <c r="AE3063" s="7">
        <f>IF($E3063="","",AD3063-Q3063)</f>
        <v/>
      </c>
      <c r="AI3063" s="7" t="n"/>
      <c r="AL3063" s="11" t="n"/>
      <c r="AN3063">
        <f>IF($E3063="","",IF(COUNTIF($E$2:$E3063,$E3063)=1,1,0))</f>
        <v/>
      </c>
      <c r="AO3063">
        <f>IF($AN3063=1,SUMPRODUCT(--($AR$2:$AR$4001&lt;$AR3063))+1,"")</f>
        <v/>
      </c>
      <c r="AP3063">
        <f>IF($E3063="","",IF(OR($U3063=TRUE(),$U3063="TRUE"),1,0))</f>
        <v/>
      </c>
      <c r="AQ3063">
        <f>IF($E3063="","",IF($AA3063="Yes",1,0))</f>
        <v/>
      </c>
      <c r="AR3063">
        <f>IF($AN3063=1,IFERROR(VALUE(MID($E3063,2,20)),1000000000)+ROW()/100000,"")</f>
        <v/>
      </c>
    </row>
    <row r="3064">
      <c r="G3064" s="11" t="n"/>
      <c r="Q3064" s="7">
        <f>IF($E3064="","",P3064*Y3064/100)</f>
        <v/>
      </c>
      <c r="R3064" s="7" t="n"/>
      <c r="X3064" s="7" t="n"/>
      <c r="Y3064" s="7" t="n"/>
      <c r="AB3064">
        <f>IF($E3064="","",IF($AQ3064=1,0,IF($AP3064=1,Settings!$C$6,Settings!$C$7))*100)</f>
        <v/>
      </c>
      <c r="AC3064" s="7">
        <f>IF($E3064="","",Y3064*AB3064/100)</f>
        <v/>
      </c>
      <c r="AD3064" s="7">
        <f>IF($E3064="","",Y3064-AC3064)</f>
        <v/>
      </c>
      <c r="AE3064" s="7">
        <f>IF($E3064="","",AD3064-Q3064)</f>
        <v/>
      </c>
      <c r="AI3064" s="7" t="n"/>
      <c r="AL3064" s="11" t="n"/>
      <c r="AN3064">
        <f>IF($E3064="","",IF(COUNTIF($E$2:$E3064,$E3064)=1,1,0))</f>
        <v/>
      </c>
      <c r="AO3064">
        <f>IF($AN3064=1,SUMPRODUCT(--($AR$2:$AR$4001&lt;$AR3064))+1,"")</f>
        <v/>
      </c>
      <c r="AP3064">
        <f>IF($E3064="","",IF(OR($U3064=TRUE(),$U3064="TRUE"),1,0))</f>
        <v/>
      </c>
      <c r="AQ3064">
        <f>IF($E3064="","",IF($AA3064="Yes",1,0))</f>
        <v/>
      </c>
      <c r="AR3064">
        <f>IF($AN3064=1,IFERROR(VALUE(MID($E3064,2,20)),1000000000)+ROW()/100000,"")</f>
        <v/>
      </c>
    </row>
    <row r="3065">
      <c r="G3065" s="11" t="n"/>
      <c r="Q3065" s="7">
        <f>IF($E3065="","",P3065*Y3065/100)</f>
        <v/>
      </c>
      <c r="R3065" s="7" t="n"/>
      <c r="X3065" s="7" t="n"/>
      <c r="Y3065" s="7" t="n"/>
      <c r="AB3065">
        <f>IF($E3065="","",IF($AQ3065=1,0,IF($AP3065=1,Settings!$C$6,Settings!$C$7))*100)</f>
        <v/>
      </c>
      <c r="AC3065" s="7">
        <f>IF($E3065="","",Y3065*AB3065/100)</f>
        <v/>
      </c>
      <c r="AD3065" s="7">
        <f>IF($E3065="","",Y3065-AC3065)</f>
        <v/>
      </c>
      <c r="AE3065" s="7">
        <f>IF($E3065="","",AD3065-Q3065)</f>
        <v/>
      </c>
      <c r="AI3065" s="7" t="n"/>
      <c r="AL3065" s="11" t="n"/>
      <c r="AN3065">
        <f>IF($E3065="","",IF(COUNTIF($E$2:$E3065,$E3065)=1,1,0))</f>
        <v/>
      </c>
      <c r="AO3065">
        <f>IF($AN3065=1,SUMPRODUCT(--($AR$2:$AR$4001&lt;$AR3065))+1,"")</f>
        <v/>
      </c>
      <c r="AP3065">
        <f>IF($E3065="","",IF(OR($U3065=TRUE(),$U3065="TRUE"),1,0))</f>
        <v/>
      </c>
      <c r="AQ3065">
        <f>IF($E3065="","",IF($AA3065="Yes",1,0))</f>
        <v/>
      </c>
      <c r="AR3065">
        <f>IF($AN3065=1,IFERROR(VALUE(MID($E3065,2,20)),1000000000)+ROW()/100000,"")</f>
        <v/>
      </c>
    </row>
    <row r="3066">
      <c r="G3066" s="11" t="n"/>
      <c r="Q3066" s="7">
        <f>IF($E3066="","",P3066*Y3066/100)</f>
        <v/>
      </c>
      <c r="R3066" s="7" t="n"/>
      <c r="X3066" s="7" t="n"/>
      <c r="Y3066" s="7" t="n"/>
      <c r="AB3066">
        <f>IF($E3066="","",IF($AQ3066=1,0,IF($AP3066=1,Settings!$C$6,Settings!$C$7))*100)</f>
        <v/>
      </c>
      <c r="AC3066" s="7">
        <f>IF($E3066="","",Y3066*AB3066/100)</f>
        <v/>
      </c>
      <c r="AD3066" s="7">
        <f>IF($E3066="","",Y3066-AC3066)</f>
        <v/>
      </c>
      <c r="AE3066" s="7">
        <f>IF($E3066="","",AD3066-Q3066)</f>
        <v/>
      </c>
      <c r="AI3066" s="7" t="n"/>
      <c r="AL3066" s="11" t="n"/>
      <c r="AN3066">
        <f>IF($E3066="","",IF(COUNTIF($E$2:$E3066,$E3066)=1,1,0))</f>
        <v/>
      </c>
      <c r="AO3066">
        <f>IF($AN3066=1,SUMPRODUCT(--($AR$2:$AR$4001&lt;$AR3066))+1,"")</f>
        <v/>
      </c>
      <c r="AP3066">
        <f>IF($E3066="","",IF(OR($U3066=TRUE(),$U3066="TRUE"),1,0))</f>
        <v/>
      </c>
      <c r="AQ3066">
        <f>IF($E3066="","",IF($AA3066="Yes",1,0))</f>
        <v/>
      </c>
      <c r="AR3066">
        <f>IF($AN3066=1,IFERROR(VALUE(MID($E3066,2,20)),1000000000)+ROW()/100000,"")</f>
        <v/>
      </c>
    </row>
    <row r="3067">
      <c r="G3067" s="11" t="n"/>
      <c r="Q3067" s="7">
        <f>IF($E3067="","",P3067*Y3067/100)</f>
        <v/>
      </c>
      <c r="R3067" s="7" t="n"/>
      <c r="X3067" s="7" t="n"/>
      <c r="Y3067" s="7" t="n"/>
      <c r="AB3067">
        <f>IF($E3067="","",IF($AQ3067=1,0,IF($AP3067=1,Settings!$C$6,Settings!$C$7))*100)</f>
        <v/>
      </c>
      <c r="AC3067" s="7">
        <f>IF($E3067="","",Y3067*AB3067/100)</f>
        <v/>
      </c>
      <c r="AD3067" s="7">
        <f>IF($E3067="","",Y3067-AC3067)</f>
        <v/>
      </c>
      <c r="AE3067" s="7">
        <f>IF($E3067="","",AD3067-Q3067)</f>
        <v/>
      </c>
      <c r="AI3067" s="7" t="n"/>
      <c r="AL3067" s="11" t="n"/>
      <c r="AN3067">
        <f>IF($E3067="","",IF(COUNTIF($E$2:$E3067,$E3067)=1,1,0))</f>
        <v/>
      </c>
      <c r="AO3067">
        <f>IF($AN3067=1,SUMPRODUCT(--($AR$2:$AR$4001&lt;$AR3067))+1,"")</f>
        <v/>
      </c>
      <c r="AP3067">
        <f>IF($E3067="","",IF(OR($U3067=TRUE(),$U3067="TRUE"),1,0))</f>
        <v/>
      </c>
      <c r="AQ3067">
        <f>IF($E3067="","",IF($AA3067="Yes",1,0))</f>
        <v/>
      </c>
      <c r="AR3067">
        <f>IF($AN3067=1,IFERROR(VALUE(MID($E3067,2,20)),1000000000)+ROW()/100000,"")</f>
        <v/>
      </c>
    </row>
    <row r="3068">
      <c r="G3068" s="11" t="n"/>
      <c r="Q3068" s="7">
        <f>IF($E3068="","",P3068*Y3068/100)</f>
        <v/>
      </c>
      <c r="R3068" s="7" t="n"/>
      <c r="X3068" s="7" t="n"/>
      <c r="Y3068" s="7" t="n"/>
      <c r="AB3068">
        <f>IF($E3068="","",IF($AQ3068=1,0,IF($AP3068=1,Settings!$C$6,Settings!$C$7))*100)</f>
        <v/>
      </c>
      <c r="AC3068" s="7">
        <f>IF($E3068="","",Y3068*AB3068/100)</f>
        <v/>
      </c>
      <c r="AD3068" s="7">
        <f>IF($E3068="","",Y3068-AC3068)</f>
        <v/>
      </c>
      <c r="AE3068" s="7">
        <f>IF($E3068="","",AD3068-Q3068)</f>
        <v/>
      </c>
      <c r="AI3068" s="7" t="n"/>
      <c r="AL3068" s="11" t="n"/>
      <c r="AN3068">
        <f>IF($E3068="","",IF(COUNTIF($E$2:$E3068,$E3068)=1,1,0))</f>
        <v/>
      </c>
      <c r="AO3068">
        <f>IF($AN3068=1,SUMPRODUCT(--($AR$2:$AR$4001&lt;$AR3068))+1,"")</f>
        <v/>
      </c>
      <c r="AP3068">
        <f>IF($E3068="","",IF(OR($U3068=TRUE(),$U3068="TRUE"),1,0))</f>
        <v/>
      </c>
      <c r="AQ3068">
        <f>IF($E3068="","",IF($AA3068="Yes",1,0))</f>
        <v/>
      </c>
      <c r="AR3068">
        <f>IF($AN3068=1,IFERROR(VALUE(MID($E3068,2,20)),1000000000)+ROW()/100000,"")</f>
        <v/>
      </c>
    </row>
    <row r="3069">
      <c r="G3069" s="11" t="n"/>
      <c r="Q3069" s="7">
        <f>IF($E3069="","",P3069*Y3069/100)</f>
        <v/>
      </c>
      <c r="R3069" s="7" t="n"/>
      <c r="X3069" s="7" t="n"/>
      <c r="Y3069" s="7" t="n"/>
      <c r="AB3069">
        <f>IF($E3069="","",IF($AQ3069=1,0,IF($AP3069=1,Settings!$C$6,Settings!$C$7))*100)</f>
        <v/>
      </c>
      <c r="AC3069" s="7">
        <f>IF($E3069="","",Y3069*AB3069/100)</f>
        <v/>
      </c>
      <c r="AD3069" s="7">
        <f>IF($E3069="","",Y3069-AC3069)</f>
        <v/>
      </c>
      <c r="AE3069" s="7">
        <f>IF($E3069="","",AD3069-Q3069)</f>
        <v/>
      </c>
      <c r="AI3069" s="7" t="n"/>
      <c r="AL3069" s="11" t="n"/>
      <c r="AN3069">
        <f>IF($E3069="","",IF(COUNTIF($E$2:$E3069,$E3069)=1,1,0))</f>
        <v/>
      </c>
      <c r="AO3069">
        <f>IF($AN3069=1,SUMPRODUCT(--($AR$2:$AR$4001&lt;$AR3069))+1,"")</f>
        <v/>
      </c>
      <c r="AP3069">
        <f>IF($E3069="","",IF(OR($U3069=TRUE(),$U3069="TRUE"),1,0))</f>
        <v/>
      </c>
      <c r="AQ3069">
        <f>IF($E3069="","",IF($AA3069="Yes",1,0))</f>
        <v/>
      </c>
      <c r="AR3069">
        <f>IF($AN3069=1,IFERROR(VALUE(MID($E3069,2,20)),1000000000)+ROW()/100000,"")</f>
        <v/>
      </c>
    </row>
    <row r="3070">
      <c r="G3070" s="11" t="n"/>
      <c r="Q3070" s="7">
        <f>IF($E3070="","",P3070*Y3070/100)</f>
        <v/>
      </c>
      <c r="R3070" s="7" t="n"/>
      <c r="X3070" s="7" t="n"/>
      <c r="Y3070" s="7" t="n"/>
      <c r="AB3070">
        <f>IF($E3070="","",IF($AQ3070=1,0,IF($AP3070=1,Settings!$C$6,Settings!$C$7))*100)</f>
        <v/>
      </c>
      <c r="AC3070" s="7">
        <f>IF($E3070="","",Y3070*AB3070/100)</f>
        <v/>
      </c>
      <c r="AD3070" s="7">
        <f>IF($E3070="","",Y3070-AC3070)</f>
        <v/>
      </c>
      <c r="AE3070" s="7">
        <f>IF($E3070="","",AD3070-Q3070)</f>
        <v/>
      </c>
      <c r="AI3070" s="7" t="n"/>
      <c r="AL3070" s="11" t="n"/>
      <c r="AN3070">
        <f>IF($E3070="","",IF(COUNTIF($E$2:$E3070,$E3070)=1,1,0))</f>
        <v/>
      </c>
      <c r="AO3070">
        <f>IF($AN3070=1,SUMPRODUCT(--($AR$2:$AR$4001&lt;$AR3070))+1,"")</f>
        <v/>
      </c>
      <c r="AP3070">
        <f>IF($E3070="","",IF(OR($U3070=TRUE(),$U3070="TRUE"),1,0))</f>
        <v/>
      </c>
      <c r="AQ3070">
        <f>IF($E3070="","",IF($AA3070="Yes",1,0))</f>
        <v/>
      </c>
      <c r="AR3070">
        <f>IF($AN3070=1,IFERROR(VALUE(MID($E3070,2,20)),1000000000)+ROW()/100000,"")</f>
        <v/>
      </c>
    </row>
    <row r="3071">
      <c r="G3071" s="11" t="n"/>
      <c r="Q3071" s="7">
        <f>IF($E3071="","",P3071*Y3071/100)</f>
        <v/>
      </c>
      <c r="R3071" s="7" t="n"/>
      <c r="X3071" s="7" t="n"/>
      <c r="Y3071" s="7" t="n"/>
      <c r="AB3071">
        <f>IF($E3071="","",IF($AQ3071=1,0,IF($AP3071=1,Settings!$C$6,Settings!$C$7))*100)</f>
        <v/>
      </c>
      <c r="AC3071" s="7">
        <f>IF($E3071="","",Y3071*AB3071/100)</f>
        <v/>
      </c>
      <c r="AD3071" s="7">
        <f>IF($E3071="","",Y3071-AC3071)</f>
        <v/>
      </c>
      <c r="AE3071" s="7">
        <f>IF($E3071="","",AD3071-Q3071)</f>
        <v/>
      </c>
      <c r="AI3071" s="7" t="n"/>
      <c r="AL3071" s="11" t="n"/>
      <c r="AN3071">
        <f>IF($E3071="","",IF(COUNTIF($E$2:$E3071,$E3071)=1,1,0))</f>
        <v/>
      </c>
      <c r="AO3071">
        <f>IF($AN3071=1,SUMPRODUCT(--($AR$2:$AR$4001&lt;$AR3071))+1,"")</f>
        <v/>
      </c>
      <c r="AP3071">
        <f>IF($E3071="","",IF(OR($U3071=TRUE(),$U3071="TRUE"),1,0))</f>
        <v/>
      </c>
      <c r="AQ3071">
        <f>IF($E3071="","",IF($AA3071="Yes",1,0))</f>
        <v/>
      </c>
      <c r="AR3071">
        <f>IF($AN3071=1,IFERROR(VALUE(MID($E3071,2,20)),1000000000)+ROW()/100000,"")</f>
        <v/>
      </c>
    </row>
    <row r="3072">
      <c r="G3072" s="11" t="n"/>
      <c r="Q3072" s="7">
        <f>IF($E3072="","",P3072*Y3072/100)</f>
        <v/>
      </c>
      <c r="R3072" s="7" t="n"/>
      <c r="X3072" s="7" t="n"/>
      <c r="Y3072" s="7" t="n"/>
      <c r="AB3072">
        <f>IF($E3072="","",IF($AQ3072=1,0,IF($AP3072=1,Settings!$C$6,Settings!$C$7))*100)</f>
        <v/>
      </c>
      <c r="AC3072" s="7">
        <f>IF($E3072="","",Y3072*AB3072/100)</f>
        <v/>
      </c>
      <c r="AD3072" s="7">
        <f>IF($E3072="","",Y3072-AC3072)</f>
        <v/>
      </c>
      <c r="AE3072" s="7">
        <f>IF($E3072="","",AD3072-Q3072)</f>
        <v/>
      </c>
      <c r="AI3072" s="7" t="n"/>
      <c r="AL3072" s="11" t="n"/>
      <c r="AN3072">
        <f>IF($E3072="","",IF(COUNTIF($E$2:$E3072,$E3072)=1,1,0))</f>
        <v/>
      </c>
      <c r="AO3072">
        <f>IF($AN3072=1,SUMPRODUCT(--($AR$2:$AR$4001&lt;$AR3072))+1,"")</f>
        <v/>
      </c>
      <c r="AP3072">
        <f>IF($E3072="","",IF(OR($U3072=TRUE(),$U3072="TRUE"),1,0))</f>
        <v/>
      </c>
      <c r="AQ3072">
        <f>IF($E3072="","",IF($AA3072="Yes",1,0))</f>
        <v/>
      </c>
      <c r="AR3072">
        <f>IF($AN3072=1,IFERROR(VALUE(MID($E3072,2,20)),1000000000)+ROW()/100000,"")</f>
        <v/>
      </c>
    </row>
    <row r="3073">
      <c r="G3073" s="11" t="n"/>
      <c r="Q3073" s="7">
        <f>IF($E3073="","",P3073*Y3073/100)</f>
        <v/>
      </c>
      <c r="R3073" s="7" t="n"/>
      <c r="X3073" s="7" t="n"/>
      <c r="Y3073" s="7" t="n"/>
      <c r="AB3073">
        <f>IF($E3073="","",IF($AQ3073=1,0,IF($AP3073=1,Settings!$C$6,Settings!$C$7))*100)</f>
        <v/>
      </c>
      <c r="AC3073" s="7">
        <f>IF($E3073="","",Y3073*AB3073/100)</f>
        <v/>
      </c>
      <c r="AD3073" s="7">
        <f>IF($E3073="","",Y3073-AC3073)</f>
        <v/>
      </c>
      <c r="AE3073" s="7">
        <f>IF($E3073="","",AD3073-Q3073)</f>
        <v/>
      </c>
      <c r="AI3073" s="7" t="n"/>
      <c r="AL3073" s="11" t="n"/>
      <c r="AN3073">
        <f>IF($E3073="","",IF(COUNTIF($E$2:$E3073,$E3073)=1,1,0))</f>
        <v/>
      </c>
      <c r="AO3073">
        <f>IF($AN3073=1,SUMPRODUCT(--($AR$2:$AR$4001&lt;$AR3073))+1,"")</f>
        <v/>
      </c>
      <c r="AP3073">
        <f>IF($E3073="","",IF(OR($U3073=TRUE(),$U3073="TRUE"),1,0))</f>
        <v/>
      </c>
      <c r="AQ3073">
        <f>IF($E3073="","",IF($AA3073="Yes",1,0))</f>
        <v/>
      </c>
      <c r="AR3073">
        <f>IF($AN3073=1,IFERROR(VALUE(MID($E3073,2,20)),1000000000)+ROW()/100000,"")</f>
        <v/>
      </c>
    </row>
    <row r="3074">
      <c r="G3074" s="11" t="n"/>
      <c r="Q3074" s="7">
        <f>IF($E3074="","",P3074*Y3074/100)</f>
        <v/>
      </c>
      <c r="R3074" s="7" t="n"/>
      <c r="X3074" s="7" t="n"/>
      <c r="Y3074" s="7" t="n"/>
      <c r="AB3074">
        <f>IF($E3074="","",IF($AQ3074=1,0,IF($AP3074=1,Settings!$C$6,Settings!$C$7))*100)</f>
        <v/>
      </c>
      <c r="AC3074" s="7">
        <f>IF($E3074="","",Y3074*AB3074/100)</f>
        <v/>
      </c>
      <c r="AD3074" s="7">
        <f>IF($E3074="","",Y3074-AC3074)</f>
        <v/>
      </c>
      <c r="AE3074" s="7">
        <f>IF($E3074="","",AD3074-Q3074)</f>
        <v/>
      </c>
      <c r="AI3074" s="7" t="n"/>
      <c r="AL3074" s="11" t="n"/>
      <c r="AN3074">
        <f>IF($E3074="","",IF(COUNTIF($E$2:$E3074,$E3074)=1,1,0))</f>
        <v/>
      </c>
      <c r="AO3074">
        <f>IF($AN3074=1,SUMPRODUCT(--($AR$2:$AR$4001&lt;$AR3074))+1,"")</f>
        <v/>
      </c>
      <c r="AP3074">
        <f>IF($E3074="","",IF(OR($U3074=TRUE(),$U3074="TRUE"),1,0))</f>
        <v/>
      </c>
      <c r="AQ3074">
        <f>IF($E3074="","",IF($AA3074="Yes",1,0))</f>
        <v/>
      </c>
      <c r="AR3074">
        <f>IF($AN3074=1,IFERROR(VALUE(MID($E3074,2,20)),1000000000)+ROW()/100000,"")</f>
        <v/>
      </c>
    </row>
    <row r="3075">
      <c r="G3075" s="11" t="n"/>
      <c r="Q3075" s="7">
        <f>IF($E3075="","",P3075*Y3075/100)</f>
        <v/>
      </c>
      <c r="R3075" s="7" t="n"/>
      <c r="X3075" s="7" t="n"/>
      <c r="Y3075" s="7" t="n"/>
      <c r="AB3075">
        <f>IF($E3075="","",IF($AQ3075=1,0,IF($AP3075=1,Settings!$C$6,Settings!$C$7))*100)</f>
        <v/>
      </c>
      <c r="AC3075" s="7">
        <f>IF($E3075="","",Y3075*AB3075/100)</f>
        <v/>
      </c>
      <c r="AD3075" s="7">
        <f>IF($E3075="","",Y3075-AC3075)</f>
        <v/>
      </c>
      <c r="AE3075" s="7">
        <f>IF($E3075="","",AD3075-Q3075)</f>
        <v/>
      </c>
      <c r="AI3075" s="7" t="n"/>
      <c r="AL3075" s="11" t="n"/>
      <c r="AN3075">
        <f>IF($E3075="","",IF(COUNTIF($E$2:$E3075,$E3075)=1,1,0))</f>
        <v/>
      </c>
      <c r="AO3075">
        <f>IF($AN3075=1,SUMPRODUCT(--($AR$2:$AR$4001&lt;$AR3075))+1,"")</f>
        <v/>
      </c>
      <c r="AP3075">
        <f>IF($E3075="","",IF(OR($U3075=TRUE(),$U3075="TRUE"),1,0))</f>
        <v/>
      </c>
      <c r="AQ3075">
        <f>IF($E3075="","",IF($AA3075="Yes",1,0))</f>
        <v/>
      </c>
      <c r="AR3075">
        <f>IF($AN3075=1,IFERROR(VALUE(MID($E3075,2,20)),1000000000)+ROW()/100000,"")</f>
        <v/>
      </c>
    </row>
    <row r="3076">
      <c r="G3076" s="11" t="n"/>
      <c r="Q3076" s="7">
        <f>IF($E3076="","",P3076*Y3076/100)</f>
        <v/>
      </c>
      <c r="R3076" s="7" t="n"/>
      <c r="X3076" s="7" t="n"/>
      <c r="Y3076" s="7" t="n"/>
      <c r="AB3076">
        <f>IF($E3076="","",IF($AQ3076=1,0,IF($AP3076=1,Settings!$C$6,Settings!$C$7))*100)</f>
        <v/>
      </c>
      <c r="AC3076" s="7">
        <f>IF($E3076="","",Y3076*AB3076/100)</f>
        <v/>
      </c>
      <c r="AD3076" s="7">
        <f>IF($E3076="","",Y3076-AC3076)</f>
        <v/>
      </c>
      <c r="AE3076" s="7">
        <f>IF($E3076="","",AD3076-Q3076)</f>
        <v/>
      </c>
      <c r="AI3076" s="7" t="n"/>
      <c r="AL3076" s="11" t="n"/>
      <c r="AN3076">
        <f>IF($E3076="","",IF(COUNTIF($E$2:$E3076,$E3076)=1,1,0))</f>
        <v/>
      </c>
      <c r="AO3076">
        <f>IF($AN3076=1,SUMPRODUCT(--($AR$2:$AR$4001&lt;$AR3076))+1,"")</f>
        <v/>
      </c>
      <c r="AP3076">
        <f>IF($E3076="","",IF(OR($U3076=TRUE(),$U3076="TRUE"),1,0))</f>
        <v/>
      </c>
      <c r="AQ3076">
        <f>IF($E3076="","",IF($AA3076="Yes",1,0))</f>
        <v/>
      </c>
      <c r="AR3076">
        <f>IF($AN3076=1,IFERROR(VALUE(MID($E3076,2,20)),1000000000)+ROW()/100000,"")</f>
        <v/>
      </c>
    </row>
    <row r="3077">
      <c r="G3077" s="11" t="n"/>
      <c r="Q3077" s="7">
        <f>IF($E3077="","",P3077*Y3077/100)</f>
        <v/>
      </c>
      <c r="R3077" s="7" t="n"/>
      <c r="X3077" s="7" t="n"/>
      <c r="Y3077" s="7" t="n"/>
      <c r="AB3077">
        <f>IF($E3077="","",IF($AQ3077=1,0,IF($AP3077=1,Settings!$C$6,Settings!$C$7))*100)</f>
        <v/>
      </c>
      <c r="AC3077" s="7">
        <f>IF($E3077="","",Y3077*AB3077/100)</f>
        <v/>
      </c>
      <c r="AD3077" s="7">
        <f>IF($E3077="","",Y3077-AC3077)</f>
        <v/>
      </c>
      <c r="AE3077" s="7">
        <f>IF($E3077="","",AD3077-Q3077)</f>
        <v/>
      </c>
      <c r="AI3077" s="7" t="n"/>
      <c r="AL3077" s="11" t="n"/>
      <c r="AN3077">
        <f>IF($E3077="","",IF(COUNTIF($E$2:$E3077,$E3077)=1,1,0))</f>
        <v/>
      </c>
      <c r="AO3077">
        <f>IF($AN3077=1,SUMPRODUCT(--($AR$2:$AR$4001&lt;$AR3077))+1,"")</f>
        <v/>
      </c>
      <c r="AP3077">
        <f>IF($E3077="","",IF(OR($U3077=TRUE(),$U3077="TRUE"),1,0))</f>
        <v/>
      </c>
      <c r="AQ3077">
        <f>IF($E3077="","",IF($AA3077="Yes",1,0))</f>
        <v/>
      </c>
      <c r="AR3077">
        <f>IF($AN3077=1,IFERROR(VALUE(MID($E3077,2,20)),1000000000)+ROW()/100000,"")</f>
        <v/>
      </c>
    </row>
    <row r="3078">
      <c r="G3078" s="11" t="n"/>
      <c r="Q3078" s="7">
        <f>IF($E3078="","",P3078*Y3078/100)</f>
        <v/>
      </c>
      <c r="R3078" s="7" t="n"/>
      <c r="X3078" s="7" t="n"/>
      <c r="Y3078" s="7" t="n"/>
      <c r="AB3078">
        <f>IF($E3078="","",IF($AQ3078=1,0,IF($AP3078=1,Settings!$C$6,Settings!$C$7))*100)</f>
        <v/>
      </c>
      <c r="AC3078" s="7">
        <f>IF($E3078="","",Y3078*AB3078/100)</f>
        <v/>
      </c>
      <c r="AD3078" s="7">
        <f>IF($E3078="","",Y3078-AC3078)</f>
        <v/>
      </c>
      <c r="AE3078" s="7">
        <f>IF($E3078="","",AD3078-Q3078)</f>
        <v/>
      </c>
      <c r="AI3078" s="7" t="n"/>
      <c r="AL3078" s="11" t="n"/>
      <c r="AN3078">
        <f>IF($E3078="","",IF(COUNTIF($E$2:$E3078,$E3078)=1,1,0))</f>
        <v/>
      </c>
      <c r="AO3078">
        <f>IF($AN3078=1,SUMPRODUCT(--($AR$2:$AR$4001&lt;$AR3078))+1,"")</f>
        <v/>
      </c>
      <c r="AP3078">
        <f>IF($E3078="","",IF(OR($U3078=TRUE(),$U3078="TRUE"),1,0))</f>
        <v/>
      </c>
      <c r="AQ3078">
        <f>IF($E3078="","",IF($AA3078="Yes",1,0))</f>
        <v/>
      </c>
      <c r="AR3078">
        <f>IF($AN3078=1,IFERROR(VALUE(MID($E3078,2,20)),1000000000)+ROW()/100000,"")</f>
        <v/>
      </c>
    </row>
    <row r="3079">
      <c r="G3079" s="11" t="n"/>
      <c r="Q3079" s="7">
        <f>IF($E3079="","",P3079*Y3079/100)</f>
        <v/>
      </c>
      <c r="R3079" s="7" t="n"/>
      <c r="X3079" s="7" t="n"/>
      <c r="Y3079" s="7" t="n"/>
      <c r="AB3079">
        <f>IF($E3079="","",IF($AQ3079=1,0,IF($AP3079=1,Settings!$C$6,Settings!$C$7))*100)</f>
        <v/>
      </c>
      <c r="AC3079" s="7">
        <f>IF($E3079="","",Y3079*AB3079/100)</f>
        <v/>
      </c>
      <c r="AD3079" s="7">
        <f>IF($E3079="","",Y3079-AC3079)</f>
        <v/>
      </c>
      <c r="AE3079" s="7">
        <f>IF($E3079="","",AD3079-Q3079)</f>
        <v/>
      </c>
      <c r="AI3079" s="7" t="n"/>
      <c r="AL3079" s="11" t="n"/>
      <c r="AN3079">
        <f>IF($E3079="","",IF(COUNTIF($E$2:$E3079,$E3079)=1,1,0))</f>
        <v/>
      </c>
      <c r="AO3079">
        <f>IF($AN3079=1,SUMPRODUCT(--($AR$2:$AR$4001&lt;$AR3079))+1,"")</f>
        <v/>
      </c>
      <c r="AP3079">
        <f>IF($E3079="","",IF(OR($U3079=TRUE(),$U3079="TRUE"),1,0))</f>
        <v/>
      </c>
      <c r="AQ3079">
        <f>IF($E3079="","",IF($AA3079="Yes",1,0))</f>
        <v/>
      </c>
      <c r="AR3079">
        <f>IF($AN3079=1,IFERROR(VALUE(MID($E3079,2,20)),1000000000)+ROW()/100000,"")</f>
        <v/>
      </c>
    </row>
    <row r="3080">
      <c r="G3080" s="11" t="n"/>
      <c r="Q3080" s="7">
        <f>IF($E3080="","",P3080*Y3080/100)</f>
        <v/>
      </c>
      <c r="R3080" s="7" t="n"/>
      <c r="X3080" s="7" t="n"/>
      <c r="Y3080" s="7" t="n"/>
      <c r="AB3080">
        <f>IF($E3080="","",IF($AQ3080=1,0,IF($AP3080=1,Settings!$C$6,Settings!$C$7))*100)</f>
        <v/>
      </c>
      <c r="AC3080" s="7">
        <f>IF($E3080="","",Y3080*AB3080/100)</f>
        <v/>
      </c>
      <c r="AD3080" s="7">
        <f>IF($E3080="","",Y3080-AC3080)</f>
        <v/>
      </c>
      <c r="AE3080" s="7">
        <f>IF($E3080="","",AD3080-Q3080)</f>
        <v/>
      </c>
      <c r="AI3080" s="7" t="n"/>
      <c r="AL3080" s="11" t="n"/>
      <c r="AN3080">
        <f>IF($E3080="","",IF(COUNTIF($E$2:$E3080,$E3080)=1,1,0))</f>
        <v/>
      </c>
      <c r="AO3080">
        <f>IF($AN3080=1,SUMPRODUCT(--($AR$2:$AR$4001&lt;$AR3080))+1,"")</f>
        <v/>
      </c>
      <c r="AP3080">
        <f>IF($E3080="","",IF(OR($U3080=TRUE(),$U3080="TRUE"),1,0))</f>
        <v/>
      </c>
      <c r="AQ3080">
        <f>IF($E3080="","",IF($AA3080="Yes",1,0))</f>
        <v/>
      </c>
      <c r="AR3080">
        <f>IF($AN3080=1,IFERROR(VALUE(MID($E3080,2,20)),1000000000)+ROW()/100000,"")</f>
        <v/>
      </c>
    </row>
    <row r="3081">
      <c r="G3081" s="11" t="n"/>
      <c r="Q3081" s="7">
        <f>IF($E3081="","",P3081*Y3081/100)</f>
        <v/>
      </c>
      <c r="R3081" s="7" t="n"/>
      <c r="X3081" s="7" t="n"/>
      <c r="Y3081" s="7" t="n"/>
      <c r="AB3081">
        <f>IF($E3081="","",IF($AQ3081=1,0,IF($AP3081=1,Settings!$C$6,Settings!$C$7))*100)</f>
        <v/>
      </c>
      <c r="AC3081" s="7">
        <f>IF($E3081="","",Y3081*AB3081/100)</f>
        <v/>
      </c>
      <c r="AD3081" s="7">
        <f>IF($E3081="","",Y3081-AC3081)</f>
        <v/>
      </c>
      <c r="AE3081" s="7">
        <f>IF($E3081="","",AD3081-Q3081)</f>
        <v/>
      </c>
      <c r="AI3081" s="7" t="n"/>
      <c r="AL3081" s="11" t="n"/>
      <c r="AN3081">
        <f>IF($E3081="","",IF(COUNTIF($E$2:$E3081,$E3081)=1,1,0))</f>
        <v/>
      </c>
      <c r="AO3081">
        <f>IF($AN3081=1,SUMPRODUCT(--($AR$2:$AR$4001&lt;$AR3081))+1,"")</f>
        <v/>
      </c>
      <c r="AP3081">
        <f>IF($E3081="","",IF(OR($U3081=TRUE(),$U3081="TRUE"),1,0))</f>
        <v/>
      </c>
      <c r="AQ3081">
        <f>IF($E3081="","",IF($AA3081="Yes",1,0))</f>
        <v/>
      </c>
      <c r="AR3081">
        <f>IF($AN3081=1,IFERROR(VALUE(MID($E3081,2,20)),1000000000)+ROW()/100000,"")</f>
        <v/>
      </c>
    </row>
    <row r="3082">
      <c r="G3082" s="11" t="n"/>
      <c r="Q3082" s="7">
        <f>IF($E3082="","",P3082*Y3082/100)</f>
        <v/>
      </c>
      <c r="R3082" s="7" t="n"/>
      <c r="X3082" s="7" t="n"/>
      <c r="Y3082" s="7" t="n"/>
      <c r="AB3082">
        <f>IF($E3082="","",IF($AQ3082=1,0,IF($AP3082=1,Settings!$C$6,Settings!$C$7))*100)</f>
        <v/>
      </c>
      <c r="AC3082" s="7">
        <f>IF($E3082="","",Y3082*AB3082/100)</f>
        <v/>
      </c>
      <c r="AD3082" s="7">
        <f>IF($E3082="","",Y3082-AC3082)</f>
        <v/>
      </c>
      <c r="AE3082" s="7">
        <f>IF($E3082="","",AD3082-Q3082)</f>
        <v/>
      </c>
      <c r="AI3082" s="7" t="n"/>
      <c r="AL3082" s="11" t="n"/>
      <c r="AN3082">
        <f>IF($E3082="","",IF(COUNTIF($E$2:$E3082,$E3082)=1,1,0))</f>
        <v/>
      </c>
      <c r="AO3082">
        <f>IF($AN3082=1,SUMPRODUCT(--($AR$2:$AR$4001&lt;$AR3082))+1,"")</f>
        <v/>
      </c>
      <c r="AP3082">
        <f>IF($E3082="","",IF(OR($U3082=TRUE(),$U3082="TRUE"),1,0))</f>
        <v/>
      </c>
      <c r="AQ3082">
        <f>IF($E3082="","",IF($AA3082="Yes",1,0))</f>
        <v/>
      </c>
      <c r="AR3082">
        <f>IF($AN3082=1,IFERROR(VALUE(MID($E3082,2,20)),1000000000)+ROW()/100000,"")</f>
        <v/>
      </c>
    </row>
    <row r="3083">
      <c r="G3083" s="11" t="n"/>
      <c r="Q3083" s="7">
        <f>IF($E3083="","",P3083*Y3083/100)</f>
        <v/>
      </c>
      <c r="R3083" s="7" t="n"/>
      <c r="X3083" s="7" t="n"/>
      <c r="Y3083" s="7" t="n"/>
      <c r="AB3083">
        <f>IF($E3083="","",IF($AQ3083=1,0,IF($AP3083=1,Settings!$C$6,Settings!$C$7))*100)</f>
        <v/>
      </c>
      <c r="AC3083" s="7">
        <f>IF($E3083="","",Y3083*AB3083/100)</f>
        <v/>
      </c>
      <c r="AD3083" s="7">
        <f>IF($E3083="","",Y3083-AC3083)</f>
        <v/>
      </c>
      <c r="AE3083" s="7">
        <f>IF($E3083="","",AD3083-Q3083)</f>
        <v/>
      </c>
      <c r="AI3083" s="7" t="n"/>
      <c r="AL3083" s="11" t="n"/>
      <c r="AN3083">
        <f>IF($E3083="","",IF(COUNTIF($E$2:$E3083,$E3083)=1,1,0))</f>
        <v/>
      </c>
      <c r="AO3083">
        <f>IF($AN3083=1,SUMPRODUCT(--($AR$2:$AR$4001&lt;$AR3083))+1,"")</f>
        <v/>
      </c>
      <c r="AP3083">
        <f>IF($E3083="","",IF(OR($U3083=TRUE(),$U3083="TRUE"),1,0))</f>
        <v/>
      </c>
      <c r="AQ3083">
        <f>IF($E3083="","",IF($AA3083="Yes",1,0))</f>
        <v/>
      </c>
      <c r="AR3083">
        <f>IF($AN3083=1,IFERROR(VALUE(MID($E3083,2,20)),1000000000)+ROW()/100000,"")</f>
        <v/>
      </c>
    </row>
    <row r="3084">
      <c r="G3084" s="11" t="n"/>
      <c r="Q3084" s="7">
        <f>IF($E3084="","",P3084*Y3084/100)</f>
        <v/>
      </c>
      <c r="R3084" s="7" t="n"/>
      <c r="X3084" s="7" t="n"/>
      <c r="Y3084" s="7" t="n"/>
      <c r="AB3084">
        <f>IF($E3084="","",IF($AQ3084=1,0,IF($AP3084=1,Settings!$C$6,Settings!$C$7))*100)</f>
        <v/>
      </c>
      <c r="AC3084" s="7">
        <f>IF($E3084="","",Y3084*AB3084/100)</f>
        <v/>
      </c>
      <c r="AD3084" s="7">
        <f>IF($E3084="","",Y3084-AC3084)</f>
        <v/>
      </c>
      <c r="AE3084" s="7">
        <f>IF($E3084="","",AD3084-Q3084)</f>
        <v/>
      </c>
      <c r="AI3084" s="7" t="n"/>
      <c r="AL3084" s="11" t="n"/>
      <c r="AN3084">
        <f>IF($E3084="","",IF(COUNTIF($E$2:$E3084,$E3084)=1,1,0))</f>
        <v/>
      </c>
      <c r="AO3084">
        <f>IF($AN3084=1,SUMPRODUCT(--($AR$2:$AR$4001&lt;$AR3084))+1,"")</f>
        <v/>
      </c>
      <c r="AP3084">
        <f>IF($E3084="","",IF(OR($U3084=TRUE(),$U3084="TRUE"),1,0))</f>
        <v/>
      </c>
      <c r="AQ3084">
        <f>IF($E3084="","",IF($AA3084="Yes",1,0))</f>
        <v/>
      </c>
      <c r="AR3084">
        <f>IF($AN3084=1,IFERROR(VALUE(MID($E3084,2,20)),1000000000)+ROW()/100000,"")</f>
        <v/>
      </c>
    </row>
    <row r="3085">
      <c r="G3085" s="11" t="n"/>
      <c r="Q3085" s="7">
        <f>IF($E3085="","",P3085*Y3085/100)</f>
        <v/>
      </c>
      <c r="R3085" s="7" t="n"/>
      <c r="X3085" s="7" t="n"/>
      <c r="Y3085" s="7" t="n"/>
      <c r="AB3085">
        <f>IF($E3085="","",IF($AQ3085=1,0,IF($AP3085=1,Settings!$C$6,Settings!$C$7))*100)</f>
        <v/>
      </c>
      <c r="AC3085" s="7">
        <f>IF($E3085="","",Y3085*AB3085/100)</f>
        <v/>
      </c>
      <c r="AD3085" s="7">
        <f>IF($E3085="","",Y3085-AC3085)</f>
        <v/>
      </c>
      <c r="AE3085" s="7">
        <f>IF($E3085="","",AD3085-Q3085)</f>
        <v/>
      </c>
      <c r="AI3085" s="7" t="n"/>
      <c r="AL3085" s="11" t="n"/>
      <c r="AN3085">
        <f>IF($E3085="","",IF(COUNTIF($E$2:$E3085,$E3085)=1,1,0))</f>
        <v/>
      </c>
      <c r="AO3085">
        <f>IF($AN3085=1,SUMPRODUCT(--($AR$2:$AR$4001&lt;$AR3085))+1,"")</f>
        <v/>
      </c>
      <c r="AP3085">
        <f>IF($E3085="","",IF(OR($U3085=TRUE(),$U3085="TRUE"),1,0))</f>
        <v/>
      </c>
      <c r="AQ3085">
        <f>IF($E3085="","",IF($AA3085="Yes",1,0))</f>
        <v/>
      </c>
      <c r="AR3085">
        <f>IF($AN3085=1,IFERROR(VALUE(MID($E3085,2,20)),1000000000)+ROW()/100000,"")</f>
        <v/>
      </c>
    </row>
    <row r="3086">
      <c r="G3086" s="11" t="n"/>
      <c r="Q3086" s="7">
        <f>IF($E3086="","",P3086*Y3086/100)</f>
        <v/>
      </c>
      <c r="R3086" s="7" t="n"/>
      <c r="X3086" s="7" t="n"/>
      <c r="Y3086" s="7" t="n"/>
      <c r="AB3086">
        <f>IF($E3086="","",IF($AQ3086=1,0,IF($AP3086=1,Settings!$C$6,Settings!$C$7))*100)</f>
        <v/>
      </c>
      <c r="AC3086" s="7">
        <f>IF($E3086="","",Y3086*AB3086/100)</f>
        <v/>
      </c>
      <c r="AD3086" s="7">
        <f>IF($E3086="","",Y3086-AC3086)</f>
        <v/>
      </c>
      <c r="AE3086" s="7">
        <f>IF($E3086="","",AD3086-Q3086)</f>
        <v/>
      </c>
      <c r="AI3086" s="7" t="n"/>
      <c r="AL3086" s="11" t="n"/>
      <c r="AN3086">
        <f>IF($E3086="","",IF(COUNTIF($E$2:$E3086,$E3086)=1,1,0))</f>
        <v/>
      </c>
      <c r="AO3086">
        <f>IF($AN3086=1,SUMPRODUCT(--($AR$2:$AR$4001&lt;$AR3086))+1,"")</f>
        <v/>
      </c>
      <c r="AP3086">
        <f>IF($E3086="","",IF(OR($U3086=TRUE(),$U3086="TRUE"),1,0))</f>
        <v/>
      </c>
      <c r="AQ3086">
        <f>IF($E3086="","",IF($AA3086="Yes",1,0))</f>
        <v/>
      </c>
      <c r="AR3086">
        <f>IF($AN3086=1,IFERROR(VALUE(MID($E3086,2,20)),1000000000)+ROW()/100000,"")</f>
        <v/>
      </c>
    </row>
    <row r="3087">
      <c r="G3087" s="11" t="n"/>
      <c r="Q3087" s="7">
        <f>IF($E3087="","",P3087*Y3087/100)</f>
        <v/>
      </c>
      <c r="R3087" s="7" t="n"/>
      <c r="X3087" s="7" t="n"/>
      <c r="Y3087" s="7" t="n"/>
      <c r="AB3087">
        <f>IF($E3087="","",IF($AQ3087=1,0,IF($AP3087=1,Settings!$C$6,Settings!$C$7))*100)</f>
        <v/>
      </c>
      <c r="AC3087" s="7">
        <f>IF($E3087="","",Y3087*AB3087/100)</f>
        <v/>
      </c>
      <c r="AD3087" s="7">
        <f>IF($E3087="","",Y3087-AC3087)</f>
        <v/>
      </c>
      <c r="AE3087" s="7">
        <f>IF($E3087="","",AD3087-Q3087)</f>
        <v/>
      </c>
      <c r="AI3087" s="7" t="n"/>
      <c r="AL3087" s="11" t="n"/>
      <c r="AN3087">
        <f>IF($E3087="","",IF(COUNTIF($E$2:$E3087,$E3087)=1,1,0))</f>
        <v/>
      </c>
      <c r="AO3087">
        <f>IF($AN3087=1,SUMPRODUCT(--($AR$2:$AR$4001&lt;$AR3087))+1,"")</f>
        <v/>
      </c>
      <c r="AP3087">
        <f>IF($E3087="","",IF(OR($U3087=TRUE(),$U3087="TRUE"),1,0))</f>
        <v/>
      </c>
      <c r="AQ3087">
        <f>IF($E3087="","",IF($AA3087="Yes",1,0))</f>
        <v/>
      </c>
      <c r="AR3087">
        <f>IF($AN3087=1,IFERROR(VALUE(MID($E3087,2,20)),1000000000)+ROW()/100000,"")</f>
        <v/>
      </c>
    </row>
    <row r="3088">
      <c r="G3088" s="11" t="n"/>
      <c r="Q3088" s="7">
        <f>IF($E3088="","",P3088*Y3088/100)</f>
        <v/>
      </c>
      <c r="R3088" s="7" t="n"/>
      <c r="X3088" s="7" t="n"/>
      <c r="Y3088" s="7" t="n"/>
      <c r="AB3088">
        <f>IF($E3088="","",IF($AQ3088=1,0,IF($AP3088=1,Settings!$C$6,Settings!$C$7))*100)</f>
        <v/>
      </c>
      <c r="AC3088" s="7">
        <f>IF($E3088="","",Y3088*AB3088/100)</f>
        <v/>
      </c>
      <c r="AD3088" s="7">
        <f>IF($E3088="","",Y3088-AC3088)</f>
        <v/>
      </c>
      <c r="AE3088" s="7">
        <f>IF($E3088="","",AD3088-Q3088)</f>
        <v/>
      </c>
      <c r="AI3088" s="7" t="n"/>
      <c r="AL3088" s="11" t="n"/>
      <c r="AN3088">
        <f>IF($E3088="","",IF(COUNTIF($E$2:$E3088,$E3088)=1,1,0))</f>
        <v/>
      </c>
      <c r="AO3088">
        <f>IF($AN3088=1,SUMPRODUCT(--($AR$2:$AR$4001&lt;$AR3088))+1,"")</f>
        <v/>
      </c>
      <c r="AP3088">
        <f>IF($E3088="","",IF(OR($U3088=TRUE(),$U3088="TRUE"),1,0))</f>
        <v/>
      </c>
      <c r="AQ3088">
        <f>IF($E3088="","",IF($AA3088="Yes",1,0))</f>
        <v/>
      </c>
      <c r="AR3088">
        <f>IF($AN3088=1,IFERROR(VALUE(MID($E3088,2,20)),1000000000)+ROW()/100000,"")</f>
        <v/>
      </c>
    </row>
    <row r="3089">
      <c r="G3089" s="11" t="n"/>
      <c r="Q3089" s="7">
        <f>IF($E3089="","",P3089*Y3089/100)</f>
        <v/>
      </c>
      <c r="R3089" s="7" t="n"/>
      <c r="X3089" s="7" t="n"/>
      <c r="Y3089" s="7" t="n"/>
      <c r="AB3089">
        <f>IF($E3089="","",IF($AQ3089=1,0,IF($AP3089=1,Settings!$C$6,Settings!$C$7))*100)</f>
        <v/>
      </c>
      <c r="AC3089" s="7">
        <f>IF($E3089="","",Y3089*AB3089/100)</f>
        <v/>
      </c>
      <c r="AD3089" s="7">
        <f>IF($E3089="","",Y3089-AC3089)</f>
        <v/>
      </c>
      <c r="AE3089" s="7">
        <f>IF($E3089="","",AD3089-Q3089)</f>
        <v/>
      </c>
      <c r="AI3089" s="7" t="n"/>
      <c r="AL3089" s="11" t="n"/>
      <c r="AN3089">
        <f>IF($E3089="","",IF(COUNTIF($E$2:$E3089,$E3089)=1,1,0))</f>
        <v/>
      </c>
      <c r="AO3089">
        <f>IF($AN3089=1,SUMPRODUCT(--($AR$2:$AR$4001&lt;$AR3089))+1,"")</f>
        <v/>
      </c>
      <c r="AP3089">
        <f>IF($E3089="","",IF(OR($U3089=TRUE(),$U3089="TRUE"),1,0))</f>
        <v/>
      </c>
      <c r="AQ3089">
        <f>IF($E3089="","",IF($AA3089="Yes",1,0))</f>
        <v/>
      </c>
      <c r="AR3089">
        <f>IF($AN3089=1,IFERROR(VALUE(MID($E3089,2,20)),1000000000)+ROW()/100000,"")</f>
        <v/>
      </c>
    </row>
    <row r="3090">
      <c r="G3090" s="11" t="n"/>
      <c r="Q3090" s="7">
        <f>IF($E3090="","",P3090*Y3090/100)</f>
        <v/>
      </c>
      <c r="R3090" s="7" t="n"/>
      <c r="X3090" s="7" t="n"/>
      <c r="Y3090" s="7" t="n"/>
      <c r="AB3090">
        <f>IF($E3090="","",IF($AQ3090=1,0,IF($AP3090=1,Settings!$C$6,Settings!$C$7))*100)</f>
        <v/>
      </c>
      <c r="AC3090" s="7">
        <f>IF($E3090="","",Y3090*AB3090/100)</f>
        <v/>
      </c>
      <c r="AD3090" s="7">
        <f>IF($E3090="","",Y3090-AC3090)</f>
        <v/>
      </c>
      <c r="AE3090" s="7">
        <f>IF($E3090="","",AD3090-Q3090)</f>
        <v/>
      </c>
      <c r="AI3090" s="7" t="n"/>
      <c r="AL3090" s="11" t="n"/>
      <c r="AN3090">
        <f>IF($E3090="","",IF(COUNTIF($E$2:$E3090,$E3090)=1,1,0))</f>
        <v/>
      </c>
      <c r="AO3090">
        <f>IF($AN3090=1,SUMPRODUCT(--($AR$2:$AR$4001&lt;$AR3090))+1,"")</f>
        <v/>
      </c>
      <c r="AP3090">
        <f>IF($E3090="","",IF(OR($U3090=TRUE(),$U3090="TRUE"),1,0))</f>
        <v/>
      </c>
      <c r="AQ3090">
        <f>IF($E3090="","",IF($AA3090="Yes",1,0))</f>
        <v/>
      </c>
      <c r="AR3090">
        <f>IF($AN3090=1,IFERROR(VALUE(MID($E3090,2,20)),1000000000)+ROW()/100000,"")</f>
        <v/>
      </c>
    </row>
    <row r="3091">
      <c r="G3091" s="11" t="n"/>
      <c r="Q3091" s="7">
        <f>IF($E3091="","",P3091*Y3091/100)</f>
        <v/>
      </c>
      <c r="R3091" s="7" t="n"/>
      <c r="X3091" s="7" t="n"/>
      <c r="Y3091" s="7" t="n"/>
      <c r="AB3091">
        <f>IF($E3091="","",IF($AQ3091=1,0,IF($AP3091=1,Settings!$C$6,Settings!$C$7))*100)</f>
        <v/>
      </c>
      <c r="AC3091" s="7">
        <f>IF($E3091="","",Y3091*AB3091/100)</f>
        <v/>
      </c>
      <c r="AD3091" s="7">
        <f>IF($E3091="","",Y3091-AC3091)</f>
        <v/>
      </c>
      <c r="AE3091" s="7">
        <f>IF($E3091="","",AD3091-Q3091)</f>
        <v/>
      </c>
      <c r="AI3091" s="7" t="n"/>
      <c r="AL3091" s="11" t="n"/>
      <c r="AN3091">
        <f>IF($E3091="","",IF(COUNTIF($E$2:$E3091,$E3091)=1,1,0))</f>
        <v/>
      </c>
      <c r="AO3091">
        <f>IF($AN3091=1,SUMPRODUCT(--($AR$2:$AR$4001&lt;$AR3091))+1,"")</f>
        <v/>
      </c>
      <c r="AP3091">
        <f>IF($E3091="","",IF(OR($U3091=TRUE(),$U3091="TRUE"),1,0))</f>
        <v/>
      </c>
      <c r="AQ3091">
        <f>IF($E3091="","",IF($AA3091="Yes",1,0))</f>
        <v/>
      </c>
      <c r="AR3091">
        <f>IF($AN3091=1,IFERROR(VALUE(MID($E3091,2,20)),1000000000)+ROW()/100000,"")</f>
        <v/>
      </c>
    </row>
    <row r="3092">
      <c r="G3092" s="11" t="n"/>
      <c r="Q3092" s="7">
        <f>IF($E3092="","",P3092*Y3092/100)</f>
        <v/>
      </c>
      <c r="R3092" s="7" t="n"/>
      <c r="X3092" s="7" t="n"/>
      <c r="Y3092" s="7" t="n"/>
      <c r="AB3092">
        <f>IF($E3092="","",IF($AQ3092=1,0,IF($AP3092=1,Settings!$C$6,Settings!$C$7))*100)</f>
        <v/>
      </c>
      <c r="AC3092" s="7">
        <f>IF($E3092="","",Y3092*AB3092/100)</f>
        <v/>
      </c>
      <c r="AD3092" s="7">
        <f>IF($E3092="","",Y3092-AC3092)</f>
        <v/>
      </c>
      <c r="AE3092" s="7">
        <f>IF($E3092="","",AD3092-Q3092)</f>
        <v/>
      </c>
      <c r="AI3092" s="7" t="n"/>
      <c r="AL3092" s="11" t="n"/>
      <c r="AN3092">
        <f>IF($E3092="","",IF(COUNTIF($E$2:$E3092,$E3092)=1,1,0))</f>
        <v/>
      </c>
      <c r="AO3092">
        <f>IF($AN3092=1,SUMPRODUCT(--($AR$2:$AR$4001&lt;$AR3092))+1,"")</f>
        <v/>
      </c>
      <c r="AP3092">
        <f>IF($E3092="","",IF(OR($U3092=TRUE(),$U3092="TRUE"),1,0))</f>
        <v/>
      </c>
      <c r="AQ3092">
        <f>IF($E3092="","",IF($AA3092="Yes",1,0))</f>
        <v/>
      </c>
      <c r="AR3092">
        <f>IF($AN3092=1,IFERROR(VALUE(MID($E3092,2,20)),1000000000)+ROW()/100000,"")</f>
        <v/>
      </c>
    </row>
    <row r="3093">
      <c r="G3093" s="11" t="n"/>
      <c r="Q3093" s="7">
        <f>IF($E3093="","",P3093*Y3093/100)</f>
        <v/>
      </c>
      <c r="R3093" s="7" t="n"/>
      <c r="X3093" s="7" t="n"/>
      <c r="Y3093" s="7" t="n"/>
      <c r="AB3093">
        <f>IF($E3093="","",IF($AQ3093=1,0,IF($AP3093=1,Settings!$C$6,Settings!$C$7))*100)</f>
        <v/>
      </c>
      <c r="AC3093" s="7">
        <f>IF($E3093="","",Y3093*AB3093/100)</f>
        <v/>
      </c>
      <c r="AD3093" s="7">
        <f>IF($E3093="","",Y3093-AC3093)</f>
        <v/>
      </c>
      <c r="AE3093" s="7">
        <f>IF($E3093="","",AD3093-Q3093)</f>
        <v/>
      </c>
      <c r="AI3093" s="7" t="n"/>
      <c r="AL3093" s="11" t="n"/>
      <c r="AN3093">
        <f>IF($E3093="","",IF(COUNTIF($E$2:$E3093,$E3093)=1,1,0))</f>
        <v/>
      </c>
      <c r="AO3093">
        <f>IF($AN3093=1,SUMPRODUCT(--($AR$2:$AR$4001&lt;$AR3093))+1,"")</f>
        <v/>
      </c>
      <c r="AP3093">
        <f>IF($E3093="","",IF(OR($U3093=TRUE(),$U3093="TRUE"),1,0))</f>
        <v/>
      </c>
      <c r="AQ3093">
        <f>IF($E3093="","",IF($AA3093="Yes",1,0))</f>
        <v/>
      </c>
      <c r="AR3093">
        <f>IF($AN3093=1,IFERROR(VALUE(MID($E3093,2,20)),1000000000)+ROW()/100000,"")</f>
        <v/>
      </c>
    </row>
    <row r="3094">
      <c r="G3094" s="11" t="n"/>
      <c r="Q3094" s="7">
        <f>IF($E3094="","",P3094*Y3094/100)</f>
        <v/>
      </c>
      <c r="R3094" s="7" t="n"/>
      <c r="X3094" s="7" t="n"/>
      <c r="Y3094" s="7" t="n"/>
      <c r="AB3094">
        <f>IF($E3094="","",IF($AQ3094=1,0,IF($AP3094=1,Settings!$C$6,Settings!$C$7))*100)</f>
        <v/>
      </c>
      <c r="AC3094" s="7">
        <f>IF($E3094="","",Y3094*AB3094/100)</f>
        <v/>
      </c>
      <c r="AD3094" s="7">
        <f>IF($E3094="","",Y3094-AC3094)</f>
        <v/>
      </c>
      <c r="AE3094" s="7">
        <f>IF($E3094="","",AD3094-Q3094)</f>
        <v/>
      </c>
      <c r="AI3094" s="7" t="n"/>
      <c r="AL3094" s="11" t="n"/>
      <c r="AN3094">
        <f>IF($E3094="","",IF(COUNTIF($E$2:$E3094,$E3094)=1,1,0))</f>
        <v/>
      </c>
      <c r="AO3094">
        <f>IF($AN3094=1,SUMPRODUCT(--($AR$2:$AR$4001&lt;$AR3094))+1,"")</f>
        <v/>
      </c>
      <c r="AP3094">
        <f>IF($E3094="","",IF(OR($U3094=TRUE(),$U3094="TRUE"),1,0))</f>
        <v/>
      </c>
      <c r="AQ3094">
        <f>IF($E3094="","",IF($AA3094="Yes",1,0))</f>
        <v/>
      </c>
      <c r="AR3094">
        <f>IF($AN3094=1,IFERROR(VALUE(MID($E3094,2,20)),1000000000)+ROW()/100000,"")</f>
        <v/>
      </c>
    </row>
    <row r="3095">
      <c r="G3095" s="11" t="n"/>
      <c r="Q3095" s="7">
        <f>IF($E3095="","",P3095*Y3095/100)</f>
        <v/>
      </c>
      <c r="R3095" s="7" t="n"/>
      <c r="X3095" s="7" t="n"/>
      <c r="Y3095" s="7" t="n"/>
      <c r="AB3095">
        <f>IF($E3095="","",IF($AQ3095=1,0,IF($AP3095=1,Settings!$C$6,Settings!$C$7))*100)</f>
        <v/>
      </c>
      <c r="AC3095" s="7">
        <f>IF($E3095="","",Y3095*AB3095/100)</f>
        <v/>
      </c>
      <c r="AD3095" s="7">
        <f>IF($E3095="","",Y3095-AC3095)</f>
        <v/>
      </c>
      <c r="AE3095" s="7">
        <f>IF($E3095="","",AD3095-Q3095)</f>
        <v/>
      </c>
      <c r="AI3095" s="7" t="n"/>
      <c r="AL3095" s="11" t="n"/>
      <c r="AN3095">
        <f>IF($E3095="","",IF(COUNTIF($E$2:$E3095,$E3095)=1,1,0))</f>
        <v/>
      </c>
      <c r="AO3095">
        <f>IF($AN3095=1,SUMPRODUCT(--($AR$2:$AR$4001&lt;$AR3095))+1,"")</f>
        <v/>
      </c>
      <c r="AP3095">
        <f>IF($E3095="","",IF(OR($U3095=TRUE(),$U3095="TRUE"),1,0))</f>
        <v/>
      </c>
      <c r="AQ3095">
        <f>IF($E3095="","",IF($AA3095="Yes",1,0))</f>
        <v/>
      </c>
      <c r="AR3095">
        <f>IF($AN3095=1,IFERROR(VALUE(MID($E3095,2,20)),1000000000)+ROW()/100000,"")</f>
        <v/>
      </c>
    </row>
    <row r="3096">
      <c r="G3096" s="11" t="n"/>
      <c r="Q3096" s="7">
        <f>IF($E3096="","",P3096*Y3096/100)</f>
        <v/>
      </c>
      <c r="R3096" s="7" t="n"/>
      <c r="X3096" s="7" t="n"/>
      <c r="Y3096" s="7" t="n"/>
      <c r="AB3096">
        <f>IF($E3096="","",IF($AQ3096=1,0,IF($AP3096=1,Settings!$C$6,Settings!$C$7))*100)</f>
        <v/>
      </c>
      <c r="AC3096" s="7">
        <f>IF($E3096="","",Y3096*AB3096/100)</f>
        <v/>
      </c>
      <c r="AD3096" s="7">
        <f>IF($E3096="","",Y3096-AC3096)</f>
        <v/>
      </c>
      <c r="AE3096" s="7">
        <f>IF($E3096="","",AD3096-Q3096)</f>
        <v/>
      </c>
      <c r="AI3096" s="7" t="n"/>
      <c r="AL3096" s="11" t="n"/>
      <c r="AN3096">
        <f>IF($E3096="","",IF(COUNTIF($E$2:$E3096,$E3096)=1,1,0))</f>
        <v/>
      </c>
      <c r="AO3096">
        <f>IF($AN3096=1,SUMPRODUCT(--($AR$2:$AR$4001&lt;$AR3096))+1,"")</f>
        <v/>
      </c>
      <c r="AP3096">
        <f>IF($E3096="","",IF(OR($U3096=TRUE(),$U3096="TRUE"),1,0))</f>
        <v/>
      </c>
      <c r="AQ3096">
        <f>IF($E3096="","",IF($AA3096="Yes",1,0))</f>
        <v/>
      </c>
      <c r="AR3096">
        <f>IF($AN3096=1,IFERROR(VALUE(MID($E3096,2,20)),1000000000)+ROW()/100000,"")</f>
        <v/>
      </c>
    </row>
    <row r="3097">
      <c r="G3097" s="11" t="n"/>
      <c r="Q3097" s="7">
        <f>IF($E3097="","",P3097*Y3097/100)</f>
        <v/>
      </c>
      <c r="R3097" s="7" t="n"/>
      <c r="X3097" s="7" t="n"/>
      <c r="Y3097" s="7" t="n"/>
      <c r="AB3097">
        <f>IF($E3097="","",IF($AQ3097=1,0,IF($AP3097=1,Settings!$C$6,Settings!$C$7))*100)</f>
        <v/>
      </c>
      <c r="AC3097" s="7">
        <f>IF($E3097="","",Y3097*AB3097/100)</f>
        <v/>
      </c>
      <c r="AD3097" s="7">
        <f>IF($E3097="","",Y3097-AC3097)</f>
        <v/>
      </c>
      <c r="AE3097" s="7">
        <f>IF($E3097="","",AD3097-Q3097)</f>
        <v/>
      </c>
      <c r="AI3097" s="7" t="n"/>
      <c r="AL3097" s="11" t="n"/>
      <c r="AN3097">
        <f>IF($E3097="","",IF(COUNTIF($E$2:$E3097,$E3097)=1,1,0))</f>
        <v/>
      </c>
      <c r="AO3097">
        <f>IF($AN3097=1,SUMPRODUCT(--($AR$2:$AR$4001&lt;$AR3097))+1,"")</f>
        <v/>
      </c>
      <c r="AP3097">
        <f>IF($E3097="","",IF(OR($U3097=TRUE(),$U3097="TRUE"),1,0))</f>
        <v/>
      </c>
      <c r="AQ3097">
        <f>IF($E3097="","",IF($AA3097="Yes",1,0))</f>
        <v/>
      </c>
      <c r="AR3097">
        <f>IF($AN3097=1,IFERROR(VALUE(MID($E3097,2,20)),1000000000)+ROW()/100000,"")</f>
        <v/>
      </c>
    </row>
    <row r="3098">
      <c r="G3098" s="11" t="n"/>
      <c r="Q3098" s="7">
        <f>IF($E3098="","",P3098*Y3098/100)</f>
        <v/>
      </c>
      <c r="R3098" s="7" t="n"/>
      <c r="X3098" s="7" t="n"/>
      <c r="Y3098" s="7" t="n"/>
      <c r="AB3098">
        <f>IF($E3098="","",IF($AQ3098=1,0,IF($AP3098=1,Settings!$C$6,Settings!$C$7))*100)</f>
        <v/>
      </c>
      <c r="AC3098" s="7">
        <f>IF($E3098="","",Y3098*AB3098/100)</f>
        <v/>
      </c>
      <c r="AD3098" s="7">
        <f>IF($E3098="","",Y3098-AC3098)</f>
        <v/>
      </c>
      <c r="AE3098" s="7">
        <f>IF($E3098="","",AD3098-Q3098)</f>
        <v/>
      </c>
      <c r="AI3098" s="7" t="n"/>
      <c r="AL3098" s="11" t="n"/>
      <c r="AN3098">
        <f>IF($E3098="","",IF(COUNTIF($E$2:$E3098,$E3098)=1,1,0))</f>
        <v/>
      </c>
      <c r="AO3098">
        <f>IF($AN3098=1,SUMPRODUCT(--($AR$2:$AR$4001&lt;$AR3098))+1,"")</f>
        <v/>
      </c>
      <c r="AP3098">
        <f>IF($E3098="","",IF(OR($U3098=TRUE(),$U3098="TRUE"),1,0))</f>
        <v/>
      </c>
      <c r="AQ3098">
        <f>IF($E3098="","",IF($AA3098="Yes",1,0))</f>
        <v/>
      </c>
      <c r="AR3098">
        <f>IF($AN3098=1,IFERROR(VALUE(MID($E3098,2,20)),1000000000)+ROW()/100000,"")</f>
        <v/>
      </c>
    </row>
    <row r="3099">
      <c r="G3099" s="11" t="n"/>
      <c r="Q3099" s="7">
        <f>IF($E3099="","",P3099*Y3099/100)</f>
        <v/>
      </c>
      <c r="R3099" s="7" t="n"/>
      <c r="X3099" s="7" t="n"/>
      <c r="Y3099" s="7" t="n"/>
      <c r="AB3099">
        <f>IF($E3099="","",IF($AQ3099=1,0,IF($AP3099=1,Settings!$C$6,Settings!$C$7))*100)</f>
        <v/>
      </c>
      <c r="AC3099" s="7">
        <f>IF($E3099="","",Y3099*AB3099/100)</f>
        <v/>
      </c>
      <c r="AD3099" s="7">
        <f>IF($E3099="","",Y3099-AC3099)</f>
        <v/>
      </c>
      <c r="AE3099" s="7">
        <f>IF($E3099="","",AD3099-Q3099)</f>
        <v/>
      </c>
      <c r="AI3099" s="7" t="n"/>
      <c r="AL3099" s="11" t="n"/>
      <c r="AN3099">
        <f>IF($E3099="","",IF(COUNTIF($E$2:$E3099,$E3099)=1,1,0))</f>
        <v/>
      </c>
      <c r="AO3099">
        <f>IF($AN3099=1,SUMPRODUCT(--($AR$2:$AR$4001&lt;$AR3099))+1,"")</f>
        <v/>
      </c>
      <c r="AP3099">
        <f>IF($E3099="","",IF(OR($U3099=TRUE(),$U3099="TRUE"),1,0))</f>
        <v/>
      </c>
      <c r="AQ3099">
        <f>IF($E3099="","",IF($AA3099="Yes",1,0))</f>
        <v/>
      </c>
      <c r="AR3099">
        <f>IF($AN3099=1,IFERROR(VALUE(MID($E3099,2,20)),1000000000)+ROW()/100000,"")</f>
        <v/>
      </c>
    </row>
    <row r="3100">
      <c r="G3100" s="11" t="n"/>
      <c r="Q3100" s="7">
        <f>IF($E3100="","",P3100*Y3100/100)</f>
        <v/>
      </c>
      <c r="R3100" s="7" t="n"/>
      <c r="X3100" s="7" t="n"/>
      <c r="Y3100" s="7" t="n"/>
      <c r="AB3100">
        <f>IF($E3100="","",IF($AQ3100=1,0,IF($AP3100=1,Settings!$C$6,Settings!$C$7))*100)</f>
        <v/>
      </c>
      <c r="AC3100" s="7">
        <f>IF($E3100="","",Y3100*AB3100/100)</f>
        <v/>
      </c>
      <c r="AD3100" s="7">
        <f>IF($E3100="","",Y3100-AC3100)</f>
        <v/>
      </c>
      <c r="AE3100" s="7">
        <f>IF($E3100="","",AD3100-Q3100)</f>
        <v/>
      </c>
      <c r="AI3100" s="7" t="n"/>
      <c r="AL3100" s="11" t="n"/>
      <c r="AN3100">
        <f>IF($E3100="","",IF(COUNTIF($E$2:$E3100,$E3100)=1,1,0))</f>
        <v/>
      </c>
      <c r="AO3100">
        <f>IF($AN3100=1,SUMPRODUCT(--($AR$2:$AR$4001&lt;$AR3100))+1,"")</f>
        <v/>
      </c>
      <c r="AP3100">
        <f>IF($E3100="","",IF(OR($U3100=TRUE(),$U3100="TRUE"),1,0))</f>
        <v/>
      </c>
      <c r="AQ3100">
        <f>IF($E3100="","",IF($AA3100="Yes",1,0))</f>
        <v/>
      </c>
      <c r="AR3100">
        <f>IF($AN3100=1,IFERROR(VALUE(MID($E3100,2,20)),1000000000)+ROW()/100000,"")</f>
        <v/>
      </c>
    </row>
    <row r="3101">
      <c r="G3101" s="11" t="n"/>
      <c r="Q3101" s="7">
        <f>IF($E3101="","",P3101*Y3101/100)</f>
        <v/>
      </c>
      <c r="R3101" s="7" t="n"/>
      <c r="X3101" s="7" t="n"/>
      <c r="Y3101" s="7" t="n"/>
      <c r="AB3101">
        <f>IF($E3101="","",IF($AQ3101=1,0,IF($AP3101=1,Settings!$C$6,Settings!$C$7))*100)</f>
        <v/>
      </c>
      <c r="AC3101" s="7">
        <f>IF($E3101="","",Y3101*AB3101/100)</f>
        <v/>
      </c>
      <c r="AD3101" s="7">
        <f>IF($E3101="","",Y3101-AC3101)</f>
        <v/>
      </c>
      <c r="AE3101" s="7">
        <f>IF($E3101="","",AD3101-Q3101)</f>
        <v/>
      </c>
      <c r="AI3101" s="7" t="n"/>
      <c r="AL3101" s="11" t="n"/>
      <c r="AN3101">
        <f>IF($E3101="","",IF(COUNTIF($E$2:$E3101,$E3101)=1,1,0))</f>
        <v/>
      </c>
      <c r="AO3101">
        <f>IF($AN3101=1,SUMPRODUCT(--($AR$2:$AR$4001&lt;$AR3101))+1,"")</f>
        <v/>
      </c>
      <c r="AP3101">
        <f>IF($E3101="","",IF(OR($U3101=TRUE(),$U3101="TRUE"),1,0))</f>
        <v/>
      </c>
      <c r="AQ3101">
        <f>IF($E3101="","",IF($AA3101="Yes",1,0))</f>
        <v/>
      </c>
      <c r="AR3101">
        <f>IF($AN3101=1,IFERROR(VALUE(MID($E3101,2,20)),1000000000)+ROW()/100000,"")</f>
        <v/>
      </c>
    </row>
    <row r="3102">
      <c r="G3102" s="11" t="n"/>
      <c r="Q3102" s="7">
        <f>IF($E3102="","",P3102*Y3102/100)</f>
        <v/>
      </c>
      <c r="R3102" s="7" t="n"/>
      <c r="X3102" s="7" t="n"/>
      <c r="Y3102" s="7" t="n"/>
      <c r="AB3102">
        <f>IF($E3102="","",IF($AQ3102=1,0,IF($AP3102=1,Settings!$C$6,Settings!$C$7))*100)</f>
        <v/>
      </c>
      <c r="AC3102" s="7">
        <f>IF($E3102="","",Y3102*AB3102/100)</f>
        <v/>
      </c>
      <c r="AD3102" s="7">
        <f>IF($E3102="","",Y3102-AC3102)</f>
        <v/>
      </c>
      <c r="AE3102" s="7">
        <f>IF($E3102="","",AD3102-Q3102)</f>
        <v/>
      </c>
      <c r="AI3102" s="7" t="n"/>
      <c r="AL3102" s="11" t="n"/>
      <c r="AN3102">
        <f>IF($E3102="","",IF(COUNTIF($E$2:$E3102,$E3102)=1,1,0))</f>
        <v/>
      </c>
      <c r="AO3102">
        <f>IF($AN3102=1,SUMPRODUCT(--($AR$2:$AR$4001&lt;$AR3102))+1,"")</f>
        <v/>
      </c>
      <c r="AP3102">
        <f>IF($E3102="","",IF(OR($U3102=TRUE(),$U3102="TRUE"),1,0))</f>
        <v/>
      </c>
      <c r="AQ3102">
        <f>IF($E3102="","",IF($AA3102="Yes",1,0))</f>
        <v/>
      </c>
      <c r="AR3102">
        <f>IF($AN3102=1,IFERROR(VALUE(MID($E3102,2,20)),1000000000)+ROW()/100000,"")</f>
        <v/>
      </c>
    </row>
    <row r="3103">
      <c r="G3103" s="11" t="n"/>
      <c r="Q3103" s="7">
        <f>IF($E3103="","",P3103*Y3103/100)</f>
        <v/>
      </c>
      <c r="R3103" s="7" t="n"/>
      <c r="X3103" s="7" t="n"/>
      <c r="Y3103" s="7" t="n"/>
      <c r="AB3103">
        <f>IF($E3103="","",IF($AQ3103=1,0,IF($AP3103=1,Settings!$C$6,Settings!$C$7))*100)</f>
        <v/>
      </c>
      <c r="AC3103" s="7">
        <f>IF($E3103="","",Y3103*AB3103/100)</f>
        <v/>
      </c>
      <c r="AD3103" s="7">
        <f>IF($E3103="","",Y3103-AC3103)</f>
        <v/>
      </c>
      <c r="AE3103" s="7">
        <f>IF($E3103="","",AD3103-Q3103)</f>
        <v/>
      </c>
      <c r="AI3103" s="7" t="n"/>
      <c r="AL3103" s="11" t="n"/>
      <c r="AN3103">
        <f>IF($E3103="","",IF(COUNTIF($E$2:$E3103,$E3103)=1,1,0))</f>
        <v/>
      </c>
      <c r="AO3103">
        <f>IF($AN3103=1,SUMPRODUCT(--($AR$2:$AR$4001&lt;$AR3103))+1,"")</f>
        <v/>
      </c>
      <c r="AP3103">
        <f>IF($E3103="","",IF(OR($U3103=TRUE(),$U3103="TRUE"),1,0))</f>
        <v/>
      </c>
      <c r="AQ3103">
        <f>IF($E3103="","",IF($AA3103="Yes",1,0))</f>
        <v/>
      </c>
      <c r="AR3103">
        <f>IF($AN3103=1,IFERROR(VALUE(MID($E3103,2,20)),1000000000)+ROW()/100000,"")</f>
        <v/>
      </c>
    </row>
    <row r="3104">
      <c r="G3104" s="11" t="n"/>
      <c r="Q3104" s="7">
        <f>IF($E3104="","",P3104*Y3104/100)</f>
        <v/>
      </c>
      <c r="R3104" s="7" t="n"/>
      <c r="X3104" s="7" t="n"/>
      <c r="Y3104" s="7" t="n"/>
      <c r="AB3104">
        <f>IF($E3104="","",IF($AQ3104=1,0,IF($AP3104=1,Settings!$C$6,Settings!$C$7))*100)</f>
        <v/>
      </c>
      <c r="AC3104" s="7">
        <f>IF($E3104="","",Y3104*AB3104/100)</f>
        <v/>
      </c>
      <c r="AD3104" s="7">
        <f>IF($E3104="","",Y3104-AC3104)</f>
        <v/>
      </c>
      <c r="AE3104" s="7">
        <f>IF($E3104="","",AD3104-Q3104)</f>
        <v/>
      </c>
      <c r="AI3104" s="7" t="n"/>
      <c r="AL3104" s="11" t="n"/>
      <c r="AN3104">
        <f>IF($E3104="","",IF(COUNTIF($E$2:$E3104,$E3104)=1,1,0))</f>
        <v/>
      </c>
      <c r="AO3104">
        <f>IF($AN3104=1,SUMPRODUCT(--($AR$2:$AR$4001&lt;$AR3104))+1,"")</f>
        <v/>
      </c>
      <c r="AP3104">
        <f>IF($E3104="","",IF(OR($U3104=TRUE(),$U3104="TRUE"),1,0))</f>
        <v/>
      </c>
      <c r="AQ3104">
        <f>IF($E3104="","",IF($AA3104="Yes",1,0))</f>
        <v/>
      </c>
      <c r="AR3104">
        <f>IF($AN3104=1,IFERROR(VALUE(MID($E3104,2,20)),1000000000)+ROW()/100000,"")</f>
        <v/>
      </c>
    </row>
    <row r="3105">
      <c r="G3105" s="11" t="n"/>
      <c r="Q3105" s="7">
        <f>IF($E3105="","",P3105*Y3105/100)</f>
        <v/>
      </c>
      <c r="R3105" s="7" t="n"/>
      <c r="X3105" s="7" t="n"/>
      <c r="Y3105" s="7" t="n"/>
      <c r="AB3105">
        <f>IF($E3105="","",IF($AQ3105=1,0,IF($AP3105=1,Settings!$C$6,Settings!$C$7))*100)</f>
        <v/>
      </c>
      <c r="AC3105" s="7">
        <f>IF($E3105="","",Y3105*AB3105/100)</f>
        <v/>
      </c>
      <c r="AD3105" s="7">
        <f>IF($E3105="","",Y3105-AC3105)</f>
        <v/>
      </c>
      <c r="AE3105" s="7">
        <f>IF($E3105="","",AD3105-Q3105)</f>
        <v/>
      </c>
      <c r="AI3105" s="7" t="n"/>
      <c r="AL3105" s="11" t="n"/>
      <c r="AN3105">
        <f>IF($E3105="","",IF(COUNTIF($E$2:$E3105,$E3105)=1,1,0))</f>
        <v/>
      </c>
      <c r="AO3105">
        <f>IF($AN3105=1,SUMPRODUCT(--($AR$2:$AR$4001&lt;$AR3105))+1,"")</f>
        <v/>
      </c>
      <c r="AP3105">
        <f>IF($E3105="","",IF(OR($U3105=TRUE(),$U3105="TRUE"),1,0))</f>
        <v/>
      </c>
      <c r="AQ3105">
        <f>IF($E3105="","",IF($AA3105="Yes",1,0))</f>
        <v/>
      </c>
      <c r="AR3105">
        <f>IF($AN3105=1,IFERROR(VALUE(MID($E3105,2,20)),1000000000)+ROW()/100000,"")</f>
        <v/>
      </c>
    </row>
    <row r="3106">
      <c r="G3106" s="11" t="n"/>
      <c r="Q3106" s="7">
        <f>IF($E3106="","",P3106*Y3106/100)</f>
        <v/>
      </c>
      <c r="R3106" s="7" t="n"/>
      <c r="X3106" s="7" t="n"/>
      <c r="Y3106" s="7" t="n"/>
      <c r="AB3106">
        <f>IF($E3106="","",IF($AQ3106=1,0,IF($AP3106=1,Settings!$C$6,Settings!$C$7))*100)</f>
        <v/>
      </c>
      <c r="AC3106" s="7">
        <f>IF($E3106="","",Y3106*AB3106/100)</f>
        <v/>
      </c>
      <c r="AD3106" s="7">
        <f>IF($E3106="","",Y3106-AC3106)</f>
        <v/>
      </c>
      <c r="AE3106" s="7">
        <f>IF($E3106="","",AD3106-Q3106)</f>
        <v/>
      </c>
      <c r="AI3106" s="7" t="n"/>
      <c r="AL3106" s="11" t="n"/>
      <c r="AN3106">
        <f>IF($E3106="","",IF(COUNTIF($E$2:$E3106,$E3106)=1,1,0))</f>
        <v/>
      </c>
      <c r="AO3106">
        <f>IF($AN3106=1,SUMPRODUCT(--($AR$2:$AR$4001&lt;$AR3106))+1,"")</f>
        <v/>
      </c>
      <c r="AP3106">
        <f>IF($E3106="","",IF(OR($U3106=TRUE(),$U3106="TRUE"),1,0))</f>
        <v/>
      </c>
      <c r="AQ3106">
        <f>IF($E3106="","",IF($AA3106="Yes",1,0))</f>
        <v/>
      </c>
      <c r="AR3106">
        <f>IF($AN3106=1,IFERROR(VALUE(MID($E3106,2,20)),1000000000)+ROW()/100000,"")</f>
        <v/>
      </c>
    </row>
    <row r="3107">
      <c r="G3107" s="11" t="n"/>
      <c r="Q3107" s="7">
        <f>IF($E3107="","",P3107*Y3107/100)</f>
        <v/>
      </c>
      <c r="R3107" s="7" t="n"/>
      <c r="X3107" s="7" t="n"/>
      <c r="Y3107" s="7" t="n"/>
      <c r="AB3107">
        <f>IF($E3107="","",IF($AQ3107=1,0,IF($AP3107=1,Settings!$C$6,Settings!$C$7))*100)</f>
        <v/>
      </c>
      <c r="AC3107" s="7">
        <f>IF($E3107="","",Y3107*AB3107/100)</f>
        <v/>
      </c>
      <c r="AD3107" s="7">
        <f>IF($E3107="","",Y3107-AC3107)</f>
        <v/>
      </c>
      <c r="AE3107" s="7">
        <f>IF($E3107="","",AD3107-Q3107)</f>
        <v/>
      </c>
      <c r="AI3107" s="7" t="n"/>
      <c r="AL3107" s="11" t="n"/>
      <c r="AN3107">
        <f>IF($E3107="","",IF(COUNTIF($E$2:$E3107,$E3107)=1,1,0))</f>
        <v/>
      </c>
      <c r="AO3107">
        <f>IF($AN3107=1,SUMPRODUCT(--($AR$2:$AR$4001&lt;$AR3107))+1,"")</f>
        <v/>
      </c>
      <c r="AP3107">
        <f>IF($E3107="","",IF(OR($U3107=TRUE(),$U3107="TRUE"),1,0))</f>
        <v/>
      </c>
      <c r="AQ3107">
        <f>IF($E3107="","",IF($AA3107="Yes",1,0))</f>
        <v/>
      </c>
      <c r="AR3107">
        <f>IF($AN3107=1,IFERROR(VALUE(MID($E3107,2,20)),1000000000)+ROW()/100000,"")</f>
        <v/>
      </c>
    </row>
    <row r="3108">
      <c r="G3108" s="11" t="n"/>
      <c r="Q3108" s="7">
        <f>IF($E3108="","",P3108*Y3108/100)</f>
        <v/>
      </c>
      <c r="R3108" s="7" t="n"/>
      <c r="X3108" s="7" t="n"/>
      <c r="Y3108" s="7" t="n"/>
      <c r="AB3108">
        <f>IF($E3108="","",IF($AQ3108=1,0,IF($AP3108=1,Settings!$C$6,Settings!$C$7))*100)</f>
        <v/>
      </c>
      <c r="AC3108" s="7">
        <f>IF($E3108="","",Y3108*AB3108/100)</f>
        <v/>
      </c>
      <c r="AD3108" s="7">
        <f>IF($E3108="","",Y3108-AC3108)</f>
        <v/>
      </c>
      <c r="AE3108" s="7">
        <f>IF($E3108="","",AD3108-Q3108)</f>
        <v/>
      </c>
      <c r="AI3108" s="7" t="n"/>
      <c r="AL3108" s="11" t="n"/>
      <c r="AN3108">
        <f>IF($E3108="","",IF(COUNTIF($E$2:$E3108,$E3108)=1,1,0))</f>
        <v/>
      </c>
      <c r="AO3108">
        <f>IF($AN3108=1,SUMPRODUCT(--($AR$2:$AR$4001&lt;$AR3108))+1,"")</f>
        <v/>
      </c>
      <c r="AP3108">
        <f>IF($E3108="","",IF(OR($U3108=TRUE(),$U3108="TRUE"),1,0))</f>
        <v/>
      </c>
      <c r="AQ3108">
        <f>IF($E3108="","",IF($AA3108="Yes",1,0))</f>
        <v/>
      </c>
      <c r="AR3108">
        <f>IF($AN3108=1,IFERROR(VALUE(MID($E3108,2,20)),1000000000)+ROW()/100000,"")</f>
        <v/>
      </c>
    </row>
    <row r="3109">
      <c r="G3109" s="11" t="n"/>
      <c r="Q3109" s="7">
        <f>IF($E3109="","",P3109*Y3109/100)</f>
        <v/>
      </c>
      <c r="R3109" s="7" t="n"/>
      <c r="X3109" s="7" t="n"/>
      <c r="Y3109" s="7" t="n"/>
      <c r="AB3109">
        <f>IF($E3109="","",IF($AQ3109=1,0,IF($AP3109=1,Settings!$C$6,Settings!$C$7))*100)</f>
        <v/>
      </c>
      <c r="AC3109" s="7">
        <f>IF($E3109="","",Y3109*AB3109/100)</f>
        <v/>
      </c>
      <c r="AD3109" s="7">
        <f>IF($E3109="","",Y3109-AC3109)</f>
        <v/>
      </c>
      <c r="AE3109" s="7">
        <f>IF($E3109="","",AD3109-Q3109)</f>
        <v/>
      </c>
      <c r="AI3109" s="7" t="n"/>
      <c r="AL3109" s="11" t="n"/>
      <c r="AN3109">
        <f>IF($E3109="","",IF(COUNTIF($E$2:$E3109,$E3109)=1,1,0))</f>
        <v/>
      </c>
      <c r="AO3109">
        <f>IF($AN3109=1,SUMPRODUCT(--($AR$2:$AR$4001&lt;$AR3109))+1,"")</f>
        <v/>
      </c>
      <c r="AP3109">
        <f>IF($E3109="","",IF(OR($U3109=TRUE(),$U3109="TRUE"),1,0))</f>
        <v/>
      </c>
      <c r="AQ3109">
        <f>IF($E3109="","",IF($AA3109="Yes",1,0))</f>
        <v/>
      </c>
      <c r="AR3109">
        <f>IF($AN3109=1,IFERROR(VALUE(MID($E3109,2,20)),1000000000)+ROW()/100000,"")</f>
        <v/>
      </c>
    </row>
    <row r="3110">
      <c r="G3110" s="11" t="n"/>
      <c r="Q3110" s="7">
        <f>IF($E3110="","",P3110*Y3110/100)</f>
        <v/>
      </c>
      <c r="R3110" s="7" t="n"/>
      <c r="X3110" s="7" t="n"/>
      <c r="Y3110" s="7" t="n"/>
      <c r="AB3110">
        <f>IF($E3110="","",IF($AQ3110=1,0,IF($AP3110=1,Settings!$C$6,Settings!$C$7))*100)</f>
        <v/>
      </c>
      <c r="AC3110" s="7">
        <f>IF($E3110="","",Y3110*AB3110/100)</f>
        <v/>
      </c>
      <c r="AD3110" s="7">
        <f>IF($E3110="","",Y3110-AC3110)</f>
        <v/>
      </c>
      <c r="AE3110" s="7">
        <f>IF($E3110="","",AD3110-Q3110)</f>
        <v/>
      </c>
      <c r="AI3110" s="7" t="n"/>
      <c r="AL3110" s="11" t="n"/>
      <c r="AN3110">
        <f>IF($E3110="","",IF(COUNTIF($E$2:$E3110,$E3110)=1,1,0))</f>
        <v/>
      </c>
      <c r="AO3110">
        <f>IF($AN3110=1,SUMPRODUCT(--($AR$2:$AR$4001&lt;$AR3110))+1,"")</f>
        <v/>
      </c>
      <c r="AP3110">
        <f>IF($E3110="","",IF(OR($U3110=TRUE(),$U3110="TRUE"),1,0))</f>
        <v/>
      </c>
      <c r="AQ3110">
        <f>IF($E3110="","",IF($AA3110="Yes",1,0))</f>
        <v/>
      </c>
      <c r="AR3110">
        <f>IF($AN3110=1,IFERROR(VALUE(MID($E3110,2,20)),1000000000)+ROW()/100000,"")</f>
        <v/>
      </c>
    </row>
    <row r="3111">
      <c r="G3111" s="11" t="n"/>
      <c r="Q3111" s="7">
        <f>IF($E3111="","",P3111*Y3111/100)</f>
        <v/>
      </c>
      <c r="R3111" s="7" t="n"/>
      <c r="X3111" s="7" t="n"/>
      <c r="Y3111" s="7" t="n"/>
      <c r="AB3111">
        <f>IF($E3111="","",IF($AQ3111=1,0,IF($AP3111=1,Settings!$C$6,Settings!$C$7))*100)</f>
        <v/>
      </c>
      <c r="AC3111" s="7">
        <f>IF($E3111="","",Y3111*AB3111/100)</f>
        <v/>
      </c>
      <c r="AD3111" s="7">
        <f>IF($E3111="","",Y3111-AC3111)</f>
        <v/>
      </c>
      <c r="AE3111" s="7">
        <f>IF($E3111="","",AD3111-Q3111)</f>
        <v/>
      </c>
      <c r="AI3111" s="7" t="n"/>
      <c r="AL3111" s="11" t="n"/>
      <c r="AN3111">
        <f>IF($E3111="","",IF(COUNTIF($E$2:$E3111,$E3111)=1,1,0))</f>
        <v/>
      </c>
      <c r="AO3111">
        <f>IF($AN3111=1,SUMPRODUCT(--($AR$2:$AR$4001&lt;$AR3111))+1,"")</f>
        <v/>
      </c>
      <c r="AP3111">
        <f>IF($E3111="","",IF(OR($U3111=TRUE(),$U3111="TRUE"),1,0))</f>
        <v/>
      </c>
      <c r="AQ3111">
        <f>IF($E3111="","",IF($AA3111="Yes",1,0))</f>
        <v/>
      </c>
      <c r="AR3111">
        <f>IF($AN3111=1,IFERROR(VALUE(MID($E3111,2,20)),1000000000)+ROW()/100000,"")</f>
        <v/>
      </c>
    </row>
    <row r="3112">
      <c r="G3112" s="11" t="n"/>
      <c r="Q3112" s="7">
        <f>IF($E3112="","",P3112*Y3112/100)</f>
        <v/>
      </c>
      <c r="R3112" s="7" t="n"/>
      <c r="X3112" s="7" t="n"/>
      <c r="Y3112" s="7" t="n"/>
      <c r="AB3112">
        <f>IF($E3112="","",IF($AQ3112=1,0,IF($AP3112=1,Settings!$C$6,Settings!$C$7))*100)</f>
        <v/>
      </c>
      <c r="AC3112" s="7">
        <f>IF($E3112="","",Y3112*AB3112/100)</f>
        <v/>
      </c>
      <c r="AD3112" s="7">
        <f>IF($E3112="","",Y3112-AC3112)</f>
        <v/>
      </c>
      <c r="AE3112" s="7">
        <f>IF($E3112="","",AD3112-Q3112)</f>
        <v/>
      </c>
      <c r="AI3112" s="7" t="n"/>
      <c r="AL3112" s="11" t="n"/>
      <c r="AN3112">
        <f>IF($E3112="","",IF(COUNTIF($E$2:$E3112,$E3112)=1,1,0))</f>
        <v/>
      </c>
      <c r="AO3112">
        <f>IF($AN3112=1,SUMPRODUCT(--($AR$2:$AR$4001&lt;$AR3112))+1,"")</f>
        <v/>
      </c>
      <c r="AP3112">
        <f>IF($E3112="","",IF(OR($U3112=TRUE(),$U3112="TRUE"),1,0))</f>
        <v/>
      </c>
      <c r="AQ3112">
        <f>IF($E3112="","",IF($AA3112="Yes",1,0))</f>
        <v/>
      </c>
      <c r="AR3112">
        <f>IF($AN3112=1,IFERROR(VALUE(MID($E3112,2,20)),1000000000)+ROW()/100000,"")</f>
        <v/>
      </c>
    </row>
    <row r="3113">
      <c r="G3113" s="11" t="n"/>
      <c r="Q3113" s="7">
        <f>IF($E3113="","",P3113*Y3113/100)</f>
        <v/>
      </c>
      <c r="R3113" s="7" t="n"/>
      <c r="X3113" s="7" t="n"/>
      <c r="Y3113" s="7" t="n"/>
      <c r="AB3113">
        <f>IF($E3113="","",IF($AQ3113=1,0,IF($AP3113=1,Settings!$C$6,Settings!$C$7))*100)</f>
        <v/>
      </c>
      <c r="AC3113" s="7">
        <f>IF($E3113="","",Y3113*AB3113/100)</f>
        <v/>
      </c>
      <c r="AD3113" s="7">
        <f>IF($E3113="","",Y3113-AC3113)</f>
        <v/>
      </c>
      <c r="AE3113" s="7">
        <f>IF($E3113="","",AD3113-Q3113)</f>
        <v/>
      </c>
      <c r="AI3113" s="7" t="n"/>
      <c r="AL3113" s="11" t="n"/>
      <c r="AN3113">
        <f>IF($E3113="","",IF(COUNTIF($E$2:$E3113,$E3113)=1,1,0))</f>
        <v/>
      </c>
      <c r="AO3113">
        <f>IF($AN3113=1,SUMPRODUCT(--($AR$2:$AR$4001&lt;$AR3113))+1,"")</f>
        <v/>
      </c>
      <c r="AP3113">
        <f>IF($E3113="","",IF(OR($U3113=TRUE(),$U3113="TRUE"),1,0))</f>
        <v/>
      </c>
      <c r="AQ3113">
        <f>IF($E3113="","",IF($AA3113="Yes",1,0))</f>
        <v/>
      </c>
      <c r="AR3113">
        <f>IF($AN3113=1,IFERROR(VALUE(MID($E3113,2,20)),1000000000)+ROW()/100000,"")</f>
        <v/>
      </c>
    </row>
    <row r="3114">
      <c r="G3114" s="11" t="n"/>
      <c r="Q3114" s="7">
        <f>IF($E3114="","",P3114*Y3114/100)</f>
        <v/>
      </c>
      <c r="R3114" s="7" t="n"/>
      <c r="X3114" s="7" t="n"/>
      <c r="Y3114" s="7" t="n"/>
      <c r="AB3114">
        <f>IF($E3114="","",IF($AQ3114=1,0,IF($AP3114=1,Settings!$C$6,Settings!$C$7))*100)</f>
        <v/>
      </c>
      <c r="AC3114" s="7">
        <f>IF($E3114="","",Y3114*AB3114/100)</f>
        <v/>
      </c>
      <c r="AD3114" s="7">
        <f>IF($E3114="","",Y3114-AC3114)</f>
        <v/>
      </c>
      <c r="AE3114" s="7">
        <f>IF($E3114="","",AD3114-Q3114)</f>
        <v/>
      </c>
      <c r="AI3114" s="7" t="n"/>
      <c r="AL3114" s="11" t="n"/>
      <c r="AN3114">
        <f>IF($E3114="","",IF(COUNTIF($E$2:$E3114,$E3114)=1,1,0))</f>
        <v/>
      </c>
      <c r="AO3114">
        <f>IF($AN3114=1,SUMPRODUCT(--($AR$2:$AR$4001&lt;$AR3114))+1,"")</f>
        <v/>
      </c>
      <c r="AP3114">
        <f>IF($E3114="","",IF(OR($U3114=TRUE(),$U3114="TRUE"),1,0))</f>
        <v/>
      </c>
      <c r="AQ3114">
        <f>IF($E3114="","",IF($AA3114="Yes",1,0))</f>
        <v/>
      </c>
      <c r="AR3114">
        <f>IF($AN3114=1,IFERROR(VALUE(MID($E3114,2,20)),1000000000)+ROW()/100000,"")</f>
        <v/>
      </c>
    </row>
    <row r="3115">
      <c r="G3115" s="11" t="n"/>
      <c r="Q3115" s="7">
        <f>IF($E3115="","",P3115*Y3115/100)</f>
        <v/>
      </c>
      <c r="R3115" s="7" t="n"/>
      <c r="X3115" s="7" t="n"/>
      <c r="Y3115" s="7" t="n"/>
      <c r="AB3115">
        <f>IF($E3115="","",IF($AQ3115=1,0,IF($AP3115=1,Settings!$C$6,Settings!$C$7))*100)</f>
        <v/>
      </c>
      <c r="AC3115" s="7">
        <f>IF($E3115="","",Y3115*AB3115/100)</f>
        <v/>
      </c>
      <c r="AD3115" s="7">
        <f>IF($E3115="","",Y3115-AC3115)</f>
        <v/>
      </c>
      <c r="AE3115" s="7">
        <f>IF($E3115="","",AD3115-Q3115)</f>
        <v/>
      </c>
      <c r="AI3115" s="7" t="n"/>
      <c r="AL3115" s="11" t="n"/>
      <c r="AN3115">
        <f>IF($E3115="","",IF(COUNTIF($E$2:$E3115,$E3115)=1,1,0))</f>
        <v/>
      </c>
      <c r="AO3115">
        <f>IF($AN3115=1,SUMPRODUCT(--($AR$2:$AR$4001&lt;$AR3115))+1,"")</f>
        <v/>
      </c>
      <c r="AP3115">
        <f>IF($E3115="","",IF(OR($U3115=TRUE(),$U3115="TRUE"),1,0))</f>
        <v/>
      </c>
      <c r="AQ3115">
        <f>IF($E3115="","",IF($AA3115="Yes",1,0))</f>
        <v/>
      </c>
      <c r="AR3115">
        <f>IF($AN3115=1,IFERROR(VALUE(MID($E3115,2,20)),1000000000)+ROW()/100000,"")</f>
        <v/>
      </c>
    </row>
    <row r="3116">
      <c r="G3116" s="11" t="n"/>
      <c r="Q3116" s="7">
        <f>IF($E3116="","",P3116*Y3116/100)</f>
        <v/>
      </c>
      <c r="R3116" s="7" t="n"/>
      <c r="X3116" s="7" t="n"/>
      <c r="Y3116" s="7" t="n"/>
      <c r="AB3116">
        <f>IF($E3116="","",IF($AQ3116=1,0,IF($AP3116=1,Settings!$C$6,Settings!$C$7))*100)</f>
        <v/>
      </c>
      <c r="AC3116" s="7">
        <f>IF($E3116="","",Y3116*AB3116/100)</f>
        <v/>
      </c>
      <c r="AD3116" s="7">
        <f>IF($E3116="","",Y3116-AC3116)</f>
        <v/>
      </c>
      <c r="AE3116" s="7">
        <f>IF($E3116="","",AD3116-Q3116)</f>
        <v/>
      </c>
      <c r="AI3116" s="7" t="n"/>
      <c r="AL3116" s="11" t="n"/>
      <c r="AN3116">
        <f>IF($E3116="","",IF(COUNTIF($E$2:$E3116,$E3116)=1,1,0))</f>
        <v/>
      </c>
      <c r="AO3116">
        <f>IF($AN3116=1,SUMPRODUCT(--($AR$2:$AR$4001&lt;$AR3116))+1,"")</f>
        <v/>
      </c>
      <c r="AP3116">
        <f>IF($E3116="","",IF(OR($U3116=TRUE(),$U3116="TRUE"),1,0))</f>
        <v/>
      </c>
      <c r="AQ3116">
        <f>IF($E3116="","",IF($AA3116="Yes",1,0))</f>
        <v/>
      </c>
      <c r="AR3116">
        <f>IF($AN3116=1,IFERROR(VALUE(MID($E3116,2,20)),1000000000)+ROW()/100000,"")</f>
        <v/>
      </c>
    </row>
    <row r="3117">
      <c r="G3117" s="11" t="n"/>
      <c r="Q3117" s="7">
        <f>IF($E3117="","",P3117*Y3117/100)</f>
        <v/>
      </c>
      <c r="R3117" s="7" t="n"/>
      <c r="X3117" s="7" t="n"/>
      <c r="Y3117" s="7" t="n"/>
      <c r="AB3117">
        <f>IF($E3117="","",IF($AQ3117=1,0,IF($AP3117=1,Settings!$C$6,Settings!$C$7))*100)</f>
        <v/>
      </c>
      <c r="AC3117" s="7">
        <f>IF($E3117="","",Y3117*AB3117/100)</f>
        <v/>
      </c>
      <c r="AD3117" s="7">
        <f>IF($E3117="","",Y3117-AC3117)</f>
        <v/>
      </c>
      <c r="AE3117" s="7">
        <f>IF($E3117="","",AD3117-Q3117)</f>
        <v/>
      </c>
      <c r="AI3117" s="7" t="n"/>
      <c r="AL3117" s="11" t="n"/>
      <c r="AN3117">
        <f>IF($E3117="","",IF(COUNTIF($E$2:$E3117,$E3117)=1,1,0))</f>
        <v/>
      </c>
      <c r="AO3117">
        <f>IF($AN3117=1,SUMPRODUCT(--($AR$2:$AR$4001&lt;$AR3117))+1,"")</f>
        <v/>
      </c>
      <c r="AP3117">
        <f>IF($E3117="","",IF(OR($U3117=TRUE(),$U3117="TRUE"),1,0))</f>
        <v/>
      </c>
      <c r="AQ3117">
        <f>IF($E3117="","",IF($AA3117="Yes",1,0))</f>
        <v/>
      </c>
      <c r="AR3117">
        <f>IF($AN3117=1,IFERROR(VALUE(MID($E3117,2,20)),1000000000)+ROW()/100000,"")</f>
        <v/>
      </c>
    </row>
    <row r="3118">
      <c r="G3118" s="11" t="n"/>
      <c r="Q3118" s="7">
        <f>IF($E3118="","",P3118*Y3118/100)</f>
        <v/>
      </c>
      <c r="R3118" s="7" t="n"/>
      <c r="X3118" s="7" t="n"/>
      <c r="Y3118" s="7" t="n"/>
      <c r="AB3118">
        <f>IF($E3118="","",IF($AQ3118=1,0,IF($AP3118=1,Settings!$C$6,Settings!$C$7))*100)</f>
        <v/>
      </c>
      <c r="AC3118" s="7">
        <f>IF($E3118="","",Y3118*AB3118/100)</f>
        <v/>
      </c>
      <c r="AD3118" s="7">
        <f>IF($E3118="","",Y3118-AC3118)</f>
        <v/>
      </c>
      <c r="AE3118" s="7">
        <f>IF($E3118="","",AD3118-Q3118)</f>
        <v/>
      </c>
      <c r="AI3118" s="7" t="n"/>
      <c r="AL3118" s="11" t="n"/>
      <c r="AN3118">
        <f>IF($E3118="","",IF(COUNTIF($E$2:$E3118,$E3118)=1,1,0))</f>
        <v/>
      </c>
      <c r="AO3118">
        <f>IF($AN3118=1,SUMPRODUCT(--($AR$2:$AR$4001&lt;$AR3118))+1,"")</f>
        <v/>
      </c>
      <c r="AP3118">
        <f>IF($E3118="","",IF(OR($U3118=TRUE(),$U3118="TRUE"),1,0))</f>
        <v/>
      </c>
      <c r="AQ3118">
        <f>IF($E3118="","",IF($AA3118="Yes",1,0))</f>
        <v/>
      </c>
      <c r="AR3118">
        <f>IF($AN3118=1,IFERROR(VALUE(MID($E3118,2,20)),1000000000)+ROW()/100000,"")</f>
        <v/>
      </c>
    </row>
    <row r="3119">
      <c r="G3119" s="11" t="n"/>
      <c r="Q3119" s="7">
        <f>IF($E3119="","",P3119*Y3119/100)</f>
        <v/>
      </c>
      <c r="R3119" s="7" t="n"/>
      <c r="X3119" s="7" t="n"/>
      <c r="Y3119" s="7" t="n"/>
      <c r="AB3119">
        <f>IF($E3119="","",IF($AQ3119=1,0,IF($AP3119=1,Settings!$C$6,Settings!$C$7))*100)</f>
        <v/>
      </c>
      <c r="AC3119" s="7">
        <f>IF($E3119="","",Y3119*AB3119/100)</f>
        <v/>
      </c>
      <c r="AD3119" s="7">
        <f>IF($E3119="","",Y3119-AC3119)</f>
        <v/>
      </c>
      <c r="AE3119" s="7">
        <f>IF($E3119="","",AD3119-Q3119)</f>
        <v/>
      </c>
      <c r="AI3119" s="7" t="n"/>
      <c r="AL3119" s="11" t="n"/>
      <c r="AN3119">
        <f>IF($E3119="","",IF(COUNTIF($E$2:$E3119,$E3119)=1,1,0))</f>
        <v/>
      </c>
      <c r="AO3119">
        <f>IF($AN3119=1,SUMPRODUCT(--($AR$2:$AR$4001&lt;$AR3119))+1,"")</f>
        <v/>
      </c>
      <c r="AP3119">
        <f>IF($E3119="","",IF(OR($U3119=TRUE(),$U3119="TRUE"),1,0))</f>
        <v/>
      </c>
      <c r="AQ3119">
        <f>IF($E3119="","",IF($AA3119="Yes",1,0))</f>
        <v/>
      </c>
      <c r="AR3119">
        <f>IF($AN3119=1,IFERROR(VALUE(MID($E3119,2,20)),1000000000)+ROW()/100000,"")</f>
        <v/>
      </c>
    </row>
    <row r="3120">
      <c r="G3120" s="11" t="n"/>
      <c r="Q3120" s="7">
        <f>IF($E3120="","",P3120*Y3120/100)</f>
        <v/>
      </c>
      <c r="R3120" s="7" t="n"/>
      <c r="X3120" s="7" t="n"/>
      <c r="Y3120" s="7" t="n"/>
      <c r="AB3120">
        <f>IF($E3120="","",IF($AQ3120=1,0,IF($AP3120=1,Settings!$C$6,Settings!$C$7))*100)</f>
        <v/>
      </c>
      <c r="AC3120" s="7">
        <f>IF($E3120="","",Y3120*AB3120/100)</f>
        <v/>
      </c>
      <c r="AD3120" s="7">
        <f>IF($E3120="","",Y3120-AC3120)</f>
        <v/>
      </c>
      <c r="AE3120" s="7">
        <f>IF($E3120="","",AD3120-Q3120)</f>
        <v/>
      </c>
      <c r="AI3120" s="7" t="n"/>
      <c r="AL3120" s="11" t="n"/>
      <c r="AN3120">
        <f>IF($E3120="","",IF(COUNTIF($E$2:$E3120,$E3120)=1,1,0))</f>
        <v/>
      </c>
      <c r="AO3120">
        <f>IF($AN3120=1,SUMPRODUCT(--($AR$2:$AR$4001&lt;$AR3120))+1,"")</f>
        <v/>
      </c>
      <c r="AP3120">
        <f>IF($E3120="","",IF(OR($U3120=TRUE(),$U3120="TRUE"),1,0))</f>
        <v/>
      </c>
      <c r="AQ3120">
        <f>IF($E3120="","",IF($AA3120="Yes",1,0))</f>
        <v/>
      </c>
      <c r="AR3120">
        <f>IF($AN3120=1,IFERROR(VALUE(MID($E3120,2,20)),1000000000)+ROW()/100000,"")</f>
        <v/>
      </c>
    </row>
    <row r="3121">
      <c r="G3121" s="11" t="n"/>
      <c r="Q3121" s="7">
        <f>IF($E3121="","",P3121*Y3121/100)</f>
        <v/>
      </c>
      <c r="R3121" s="7" t="n"/>
      <c r="X3121" s="7" t="n"/>
      <c r="Y3121" s="7" t="n"/>
      <c r="AB3121">
        <f>IF($E3121="","",IF($AQ3121=1,0,IF($AP3121=1,Settings!$C$6,Settings!$C$7))*100)</f>
        <v/>
      </c>
      <c r="AC3121" s="7">
        <f>IF($E3121="","",Y3121*AB3121/100)</f>
        <v/>
      </c>
      <c r="AD3121" s="7">
        <f>IF($E3121="","",Y3121-AC3121)</f>
        <v/>
      </c>
      <c r="AE3121" s="7">
        <f>IF($E3121="","",AD3121-Q3121)</f>
        <v/>
      </c>
      <c r="AI3121" s="7" t="n"/>
      <c r="AL3121" s="11" t="n"/>
      <c r="AN3121">
        <f>IF($E3121="","",IF(COUNTIF($E$2:$E3121,$E3121)=1,1,0))</f>
        <v/>
      </c>
      <c r="AO3121">
        <f>IF($AN3121=1,SUMPRODUCT(--($AR$2:$AR$4001&lt;$AR3121))+1,"")</f>
        <v/>
      </c>
      <c r="AP3121">
        <f>IF($E3121="","",IF(OR($U3121=TRUE(),$U3121="TRUE"),1,0))</f>
        <v/>
      </c>
      <c r="AQ3121">
        <f>IF($E3121="","",IF($AA3121="Yes",1,0))</f>
        <v/>
      </c>
      <c r="AR3121">
        <f>IF($AN3121=1,IFERROR(VALUE(MID($E3121,2,20)),1000000000)+ROW()/100000,"")</f>
        <v/>
      </c>
    </row>
    <row r="3122">
      <c r="G3122" s="11" t="n"/>
      <c r="Q3122" s="7">
        <f>IF($E3122="","",P3122*Y3122/100)</f>
        <v/>
      </c>
      <c r="R3122" s="7" t="n"/>
      <c r="X3122" s="7" t="n"/>
      <c r="Y3122" s="7" t="n"/>
      <c r="AB3122">
        <f>IF($E3122="","",IF($AQ3122=1,0,IF($AP3122=1,Settings!$C$6,Settings!$C$7))*100)</f>
        <v/>
      </c>
      <c r="AC3122" s="7">
        <f>IF($E3122="","",Y3122*AB3122/100)</f>
        <v/>
      </c>
      <c r="AD3122" s="7">
        <f>IF($E3122="","",Y3122-AC3122)</f>
        <v/>
      </c>
      <c r="AE3122" s="7">
        <f>IF($E3122="","",AD3122-Q3122)</f>
        <v/>
      </c>
      <c r="AI3122" s="7" t="n"/>
      <c r="AL3122" s="11" t="n"/>
      <c r="AN3122">
        <f>IF($E3122="","",IF(COUNTIF($E$2:$E3122,$E3122)=1,1,0))</f>
        <v/>
      </c>
      <c r="AO3122">
        <f>IF($AN3122=1,SUMPRODUCT(--($AR$2:$AR$4001&lt;$AR3122))+1,"")</f>
        <v/>
      </c>
      <c r="AP3122">
        <f>IF($E3122="","",IF(OR($U3122=TRUE(),$U3122="TRUE"),1,0))</f>
        <v/>
      </c>
      <c r="AQ3122">
        <f>IF($E3122="","",IF($AA3122="Yes",1,0))</f>
        <v/>
      </c>
      <c r="AR3122">
        <f>IF($AN3122=1,IFERROR(VALUE(MID($E3122,2,20)),1000000000)+ROW()/100000,"")</f>
        <v/>
      </c>
    </row>
    <row r="3123">
      <c r="G3123" s="11" t="n"/>
      <c r="Q3123" s="7">
        <f>IF($E3123="","",P3123*Y3123/100)</f>
        <v/>
      </c>
      <c r="R3123" s="7" t="n"/>
      <c r="X3123" s="7" t="n"/>
      <c r="Y3123" s="7" t="n"/>
      <c r="AB3123">
        <f>IF($E3123="","",IF($AQ3123=1,0,IF($AP3123=1,Settings!$C$6,Settings!$C$7))*100)</f>
        <v/>
      </c>
      <c r="AC3123" s="7">
        <f>IF($E3123="","",Y3123*AB3123/100)</f>
        <v/>
      </c>
      <c r="AD3123" s="7">
        <f>IF($E3123="","",Y3123-AC3123)</f>
        <v/>
      </c>
      <c r="AE3123" s="7">
        <f>IF($E3123="","",AD3123-Q3123)</f>
        <v/>
      </c>
      <c r="AI3123" s="7" t="n"/>
      <c r="AL3123" s="11" t="n"/>
      <c r="AN3123">
        <f>IF($E3123="","",IF(COUNTIF($E$2:$E3123,$E3123)=1,1,0))</f>
        <v/>
      </c>
      <c r="AO3123">
        <f>IF($AN3123=1,SUMPRODUCT(--($AR$2:$AR$4001&lt;$AR3123))+1,"")</f>
        <v/>
      </c>
      <c r="AP3123">
        <f>IF($E3123="","",IF(OR($U3123=TRUE(),$U3123="TRUE"),1,0))</f>
        <v/>
      </c>
      <c r="AQ3123">
        <f>IF($E3123="","",IF($AA3123="Yes",1,0))</f>
        <v/>
      </c>
      <c r="AR3123">
        <f>IF($AN3123=1,IFERROR(VALUE(MID($E3123,2,20)),1000000000)+ROW()/100000,"")</f>
        <v/>
      </c>
    </row>
    <row r="3124">
      <c r="G3124" s="11" t="n"/>
      <c r="Q3124" s="7">
        <f>IF($E3124="","",P3124*Y3124/100)</f>
        <v/>
      </c>
      <c r="R3124" s="7" t="n"/>
      <c r="X3124" s="7" t="n"/>
      <c r="Y3124" s="7" t="n"/>
      <c r="AB3124">
        <f>IF($E3124="","",IF($AQ3124=1,0,IF($AP3124=1,Settings!$C$6,Settings!$C$7))*100)</f>
        <v/>
      </c>
      <c r="AC3124" s="7">
        <f>IF($E3124="","",Y3124*AB3124/100)</f>
        <v/>
      </c>
      <c r="AD3124" s="7">
        <f>IF($E3124="","",Y3124-AC3124)</f>
        <v/>
      </c>
      <c r="AE3124" s="7">
        <f>IF($E3124="","",AD3124-Q3124)</f>
        <v/>
      </c>
      <c r="AI3124" s="7" t="n"/>
      <c r="AL3124" s="11" t="n"/>
      <c r="AN3124">
        <f>IF($E3124="","",IF(COUNTIF($E$2:$E3124,$E3124)=1,1,0))</f>
        <v/>
      </c>
      <c r="AO3124">
        <f>IF($AN3124=1,SUMPRODUCT(--($AR$2:$AR$4001&lt;$AR3124))+1,"")</f>
        <v/>
      </c>
      <c r="AP3124">
        <f>IF($E3124="","",IF(OR($U3124=TRUE(),$U3124="TRUE"),1,0))</f>
        <v/>
      </c>
      <c r="AQ3124">
        <f>IF($E3124="","",IF($AA3124="Yes",1,0))</f>
        <v/>
      </c>
      <c r="AR3124">
        <f>IF($AN3124=1,IFERROR(VALUE(MID($E3124,2,20)),1000000000)+ROW()/100000,"")</f>
        <v/>
      </c>
    </row>
    <row r="3125">
      <c r="G3125" s="11" t="n"/>
      <c r="Q3125" s="7">
        <f>IF($E3125="","",P3125*Y3125/100)</f>
        <v/>
      </c>
      <c r="R3125" s="7" t="n"/>
      <c r="X3125" s="7" t="n"/>
      <c r="Y3125" s="7" t="n"/>
      <c r="AB3125">
        <f>IF($E3125="","",IF($AQ3125=1,0,IF($AP3125=1,Settings!$C$6,Settings!$C$7))*100)</f>
        <v/>
      </c>
      <c r="AC3125" s="7">
        <f>IF($E3125="","",Y3125*AB3125/100)</f>
        <v/>
      </c>
      <c r="AD3125" s="7">
        <f>IF($E3125="","",Y3125-AC3125)</f>
        <v/>
      </c>
      <c r="AE3125" s="7">
        <f>IF($E3125="","",AD3125-Q3125)</f>
        <v/>
      </c>
      <c r="AI3125" s="7" t="n"/>
      <c r="AL3125" s="11" t="n"/>
      <c r="AN3125">
        <f>IF($E3125="","",IF(COUNTIF($E$2:$E3125,$E3125)=1,1,0))</f>
        <v/>
      </c>
      <c r="AO3125">
        <f>IF($AN3125=1,SUMPRODUCT(--($AR$2:$AR$4001&lt;$AR3125))+1,"")</f>
        <v/>
      </c>
      <c r="AP3125">
        <f>IF($E3125="","",IF(OR($U3125=TRUE(),$U3125="TRUE"),1,0))</f>
        <v/>
      </c>
      <c r="AQ3125">
        <f>IF($E3125="","",IF($AA3125="Yes",1,0))</f>
        <v/>
      </c>
      <c r="AR3125">
        <f>IF($AN3125=1,IFERROR(VALUE(MID($E3125,2,20)),1000000000)+ROW()/100000,"")</f>
        <v/>
      </c>
    </row>
    <row r="3126">
      <c r="G3126" s="11" t="n"/>
      <c r="Q3126" s="7">
        <f>IF($E3126="","",P3126*Y3126/100)</f>
        <v/>
      </c>
      <c r="R3126" s="7" t="n"/>
      <c r="X3126" s="7" t="n"/>
      <c r="Y3126" s="7" t="n"/>
      <c r="AB3126">
        <f>IF($E3126="","",IF($AQ3126=1,0,IF($AP3126=1,Settings!$C$6,Settings!$C$7))*100)</f>
        <v/>
      </c>
      <c r="AC3126" s="7">
        <f>IF($E3126="","",Y3126*AB3126/100)</f>
        <v/>
      </c>
      <c r="AD3126" s="7">
        <f>IF($E3126="","",Y3126-AC3126)</f>
        <v/>
      </c>
      <c r="AE3126" s="7">
        <f>IF($E3126="","",AD3126-Q3126)</f>
        <v/>
      </c>
      <c r="AI3126" s="7" t="n"/>
      <c r="AL3126" s="11" t="n"/>
      <c r="AN3126">
        <f>IF($E3126="","",IF(COUNTIF($E$2:$E3126,$E3126)=1,1,0))</f>
        <v/>
      </c>
      <c r="AO3126">
        <f>IF($AN3126=1,SUMPRODUCT(--($AR$2:$AR$4001&lt;$AR3126))+1,"")</f>
        <v/>
      </c>
      <c r="AP3126">
        <f>IF($E3126="","",IF(OR($U3126=TRUE(),$U3126="TRUE"),1,0))</f>
        <v/>
      </c>
      <c r="AQ3126">
        <f>IF($E3126="","",IF($AA3126="Yes",1,0))</f>
        <v/>
      </c>
      <c r="AR3126">
        <f>IF($AN3126=1,IFERROR(VALUE(MID($E3126,2,20)),1000000000)+ROW()/100000,"")</f>
        <v/>
      </c>
    </row>
    <row r="3127">
      <c r="G3127" s="11" t="n"/>
      <c r="Q3127" s="7">
        <f>IF($E3127="","",P3127*Y3127/100)</f>
        <v/>
      </c>
      <c r="R3127" s="7" t="n"/>
      <c r="X3127" s="7" t="n"/>
      <c r="Y3127" s="7" t="n"/>
      <c r="AB3127">
        <f>IF($E3127="","",IF($AQ3127=1,0,IF($AP3127=1,Settings!$C$6,Settings!$C$7))*100)</f>
        <v/>
      </c>
      <c r="AC3127" s="7">
        <f>IF($E3127="","",Y3127*AB3127/100)</f>
        <v/>
      </c>
      <c r="AD3127" s="7">
        <f>IF($E3127="","",Y3127-AC3127)</f>
        <v/>
      </c>
      <c r="AE3127" s="7">
        <f>IF($E3127="","",AD3127-Q3127)</f>
        <v/>
      </c>
      <c r="AI3127" s="7" t="n"/>
      <c r="AL3127" s="11" t="n"/>
      <c r="AN3127">
        <f>IF($E3127="","",IF(COUNTIF($E$2:$E3127,$E3127)=1,1,0))</f>
        <v/>
      </c>
      <c r="AO3127">
        <f>IF($AN3127=1,SUMPRODUCT(--($AR$2:$AR$4001&lt;$AR3127))+1,"")</f>
        <v/>
      </c>
      <c r="AP3127">
        <f>IF($E3127="","",IF(OR($U3127=TRUE(),$U3127="TRUE"),1,0))</f>
        <v/>
      </c>
      <c r="AQ3127">
        <f>IF($E3127="","",IF($AA3127="Yes",1,0))</f>
        <v/>
      </c>
      <c r="AR3127">
        <f>IF($AN3127=1,IFERROR(VALUE(MID($E3127,2,20)),1000000000)+ROW()/100000,"")</f>
        <v/>
      </c>
    </row>
    <row r="3128">
      <c r="G3128" s="11" t="n"/>
      <c r="Q3128" s="7">
        <f>IF($E3128="","",P3128*Y3128/100)</f>
        <v/>
      </c>
      <c r="R3128" s="7" t="n"/>
      <c r="X3128" s="7" t="n"/>
      <c r="Y3128" s="7" t="n"/>
      <c r="AB3128">
        <f>IF($E3128="","",IF($AQ3128=1,0,IF($AP3128=1,Settings!$C$6,Settings!$C$7))*100)</f>
        <v/>
      </c>
      <c r="AC3128" s="7">
        <f>IF($E3128="","",Y3128*AB3128/100)</f>
        <v/>
      </c>
      <c r="AD3128" s="7">
        <f>IF($E3128="","",Y3128-AC3128)</f>
        <v/>
      </c>
      <c r="AE3128" s="7">
        <f>IF($E3128="","",AD3128-Q3128)</f>
        <v/>
      </c>
      <c r="AI3128" s="7" t="n"/>
      <c r="AL3128" s="11" t="n"/>
      <c r="AN3128">
        <f>IF($E3128="","",IF(COUNTIF($E$2:$E3128,$E3128)=1,1,0))</f>
        <v/>
      </c>
      <c r="AO3128">
        <f>IF($AN3128=1,SUMPRODUCT(--($AR$2:$AR$4001&lt;$AR3128))+1,"")</f>
        <v/>
      </c>
      <c r="AP3128">
        <f>IF($E3128="","",IF(OR($U3128=TRUE(),$U3128="TRUE"),1,0))</f>
        <v/>
      </c>
      <c r="AQ3128">
        <f>IF($E3128="","",IF($AA3128="Yes",1,0))</f>
        <v/>
      </c>
      <c r="AR3128">
        <f>IF($AN3128=1,IFERROR(VALUE(MID($E3128,2,20)),1000000000)+ROW()/100000,"")</f>
        <v/>
      </c>
    </row>
    <row r="3129">
      <c r="G3129" s="11" t="n"/>
      <c r="Q3129" s="7">
        <f>IF($E3129="","",P3129*Y3129/100)</f>
        <v/>
      </c>
      <c r="R3129" s="7" t="n"/>
      <c r="X3129" s="7" t="n"/>
      <c r="Y3129" s="7" t="n"/>
      <c r="AB3129">
        <f>IF($E3129="","",IF($AQ3129=1,0,IF($AP3129=1,Settings!$C$6,Settings!$C$7))*100)</f>
        <v/>
      </c>
      <c r="AC3129" s="7">
        <f>IF($E3129="","",Y3129*AB3129/100)</f>
        <v/>
      </c>
      <c r="AD3129" s="7">
        <f>IF($E3129="","",Y3129-AC3129)</f>
        <v/>
      </c>
      <c r="AE3129" s="7">
        <f>IF($E3129="","",AD3129-Q3129)</f>
        <v/>
      </c>
      <c r="AI3129" s="7" t="n"/>
      <c r="AL3129" s="11" t="n"/>
      <c r="AN3129">
        <f>IF($E3129="","",IF(COUNTIF($E$2:$E3129,$E3129)=1,1,0))</f>
        <v/>
      </c>
      <c r="AO3129">
        <f>IF($AN3129=1,SUMPRODUCT(--($AR$2:$AR$4001&lt;$AR3129))+1,"")</f>
        <v/>
      </c>
      <c r="AP3129">
        <f>IF($E3129="","",IF(OR($U3129=TRUE(),$U3129="TRUE"),1,0))</f>
        <v/>
      </c>
      <c r="AQ3129">
        <f>IF($E3129="","",IF($AA3129="Yes",1,0))</f>
        <v/>
      </c>
      <c r="AR3129">
        <f>IF($AN3129=1,IFERROR(VALUE(MID($E3129,2,20)),1000000000)+ROW()/100000,"")</f>
        <v/>
      </c>
    </row>
    <row r="3130">
      <c r="G3130" s="11" t="n"/>
      <c r="Q3130" s="7">
        <f>IF($E3130="","",P3130*Y3130/100)</f>
        <v/>
      </c>
      <c r="R3130" s="7" t="n"/>
      <c r="X3130" s="7" t="n"/>
      <c r="Y3130" s="7" t="n"/>
      <c r="AB3130">
        <f>IF($E3130="","",IF($AQ3130=1,0,IF($AP3130=1,Settings!$C$6,Settings!$C$7))*100)</f>
        <v/>
      </c>
      <c r="AC3130" s="7">
        <f>IF($E3130="","",Y3130*AB3130/100)</f>
        <v/>
      </c>
      <c r="AD3130" s="7">
        <f>IF($E3130="","",Y3130-AC3130)</f>
        <v/>
      </c>
      <c r="AE3130" s="7">
        <f>IF($E3130="","",AD3130-Q3130)</f>
        <v/>
      </c>
      <c r="AI3130" s="7" t="n"/>
      <c r="AL3130" s="11" t="n"/>
      <c r="AN3130">
        <f>IF($E3130="","",IF(COUNTIF($E$2:$E3130,$E3130)=1,1,0))</f>
        <v/>
      </c>
      <c r="AO3130">
        <f>IF($AN3130=1,SUMPRODUCT(--($AR$2:$AR$4001&lt;$AR3130))+1,"")</f>
        <v/>
      </c>
      <c r="AP3130">
        <f>IF($E3130="","",IF(OR($U3130=TRUE(),$U3130="TRUE"),1,0))</f>
        <v/>
      </c>
      <c r="AQ3130">
        <f>IF($E3130="","",IF($AA3130="Yes",1,0))</f>
        <v/>
      </c>
      <c r="AR3130">
        <f>IF($AN3130=1,IFERROR(VALUE(MID($E3130,2,20)),1000000000)+ROW()/100000,"")</f>
        <v/>
      </c>
    </row>
    <row r="3131">
      <c r="G3131" s="11" t="n"/>
      <c r="Q3131" s="7">
        <f>IF($E3131="","",P3131*Y3131/100)</f>
        <v/>
      </c>
      <c r="R3131" s="7" t="n"/>
      <c r="X3131" s="7" t="n"/>
      <c r="Y3131" s="7" t="n"/>
      <c r="AB3131">
        <f>IF($E3131="","",IF($AQ3131=1,0,IF($AP3131=1,Settings!$C$6,Settings!$C$7))*100)</f>
        <v/>
      </c>
      <c r="AC3131" s="7">
        <f>IF($E3131="","",Y3131*AB3131/100)</f>
        <v/>
      </c>
      <c r="AD3131" s="7">
        <f>IF($E3131="","",Y3131-AC3131)</f>
        <v/>
      </c>
      <c r="AE3131" s="7">
        <f>IF($E3131="","",AD3131-Q3131)</f>
        <v/>
      </c>
      <c r="AI3131" s="7" t="n"/>
      <c r="AL3131" s="11" t="n"/>
      <c r="AN3131">
        <f>IF($E3131="","",IF(COUNTIF($E$2:$E3131,$E3131)=1,1,0))</f>
        <v/>
      </c>
      <c r="AO3131">
        <f>IF($AN3131=1,SUMPRODUCT(--($AR$2:$AR$4001&lt;$AR3131))+1,"")</f>
        <v/>
      </c>
      <c r="AP3131">
        <f>IF($E3131="","",IF(OR($U3131=TRUE(),$U3131="TRUE"),1,0))</f>
        <v/>
      </c>
      <c r="AQ3131">
        <f>IF($E3131="","",IF($AA3131="Yes",1,0))</f>
        <v/>
      </c>
      <c r="AR3131">
        <f>IF($AN3131=1,IFERROR(VALUE(MID($E3131,2,20)),1000000000)+ROW()/100000,"")</f>
        <v/>
      </c>
    </row>
    <row r="3132">
      <c r="G3132" s="11" t="n"/>
      <c r="Q3132" s="7">
        <f>IF($E3132="","",P3132*Y3132/100)</f>
        <v/>
      </c>
      <c r="R3132" s="7" t="n"/>
      <c r="X3132" s="7" t="n"/>
      <c r="Y3132" s="7" t="n"/>
      <c r="AB3132">
        <f>IF($E3132="","",IF($AQ3132=1,0,IF($AP3132=1,Settings!$C$6,Settings!$C$7))*100)</f>
        <v/>
      </c>
      <c r="AC3132" s="7">
        <f>IF($E3132="","",Y3132*AB3132/100)</f>
        <v/>
      </c>
      <c r="AD3132" s="7">
        <f>IF($E3132="","",Y3132-AC3132)</f>
        <v/>
      </c>
      <c r="AE3132" s="7">
        <f>IF($E3132="","",AD3132-Q3132)</f>
        <v/>
      </c>
      <c r="AI3132" s="7" t="n"/>
      <c r="AL3132" s="11" t="n"/>
      <c r="AN3132">
        <f>IF($E3132="","",IF(COUNTIF($E$2:$E3132,$E3132)=1,1,0))</f>
        <v/>
      </c>
      <c r="AO3132">
        <f>IF($AN3132=1,SUMPRODUCT(--($AR$2:$AR$4001&lt;$AR3132))+1,"")</f>
        <v/>
      </c>
      <c r="AP3132">
        <f>IF($E3132="","",IF(OR($U3132=TRUE(),$U3132="TRUE"),1,0))</f>
        <v/>
      </c>
      <c r="AQ3132">
        <f>IF($E3132="","",IF($AA3132="Yes",1,0))</f>
        <v/>
      </c>
      <c r="AR3132">
        <f>IF($AN3132=1,IFERROR(VALUE(MID($E3132,2,20)),1000000000)+ROW()/100000,"")</f>
        <v/>
      </c>
    </row>
    <row r="3133">
      <c r="G3133" s="11" t="n"/>
      <c r="Q3133" s="7">
        <f>IF($E3133="","",P3133*Y3133/100)</f>
        <v/>
      </c>
      <c r="R3133" s="7" t="n"/>
      <c r="X3133" s="7" t="n"/>
      <c r="Y3133" s="7" t="n"/>
      <c r="AB3133">
        <f>IF($E3133="","",IF($AQ3133=1,0,IF($AP3133=1,Settings!$C$6,Settings!$C$7))*100)</f>
        <v/>
      </c>
      <c r="AC3133" s="7">
        <f>IF($E3133="","",Y3133*AB3133/100)</f>
        <v/>
      </c>
      <c r="AD3133" s="7">
        <f>IF($E3133="","",Y3133-AC3133)</f>
        <v/>
      </c>
      <c r="AE3133" s="7">
        <f>IF($E3133="","",AD3133-Q3133)</f>
        <v/>
      </c>
      <c r="AI3133" s="7" t="n"/>
      <c r="AL3133" s="11" t="n"/>
      <c r="AN3133">
        <f>IF($E3133="","",IF(COUNTIF($E$2:$E3133,$E3133)=1,1,0))</f>
        <v/>
      </c>
      <c r="AO3133">
        <f>IF($AN3133=1,SUMPRODUCT(--($AR$2:$AR$4001&lt;$AR3133))+1,"")</f>
        <v/>
      </c>
      <c r="AP3133">
        <f>IF($E3133="","",IF(OR($U3133=TRUE(),$U3133="TRUE"),1,0))</f>
        <v/>
      </c>
      <c r="AQ3133">
        <f>IF($E3133="","",IF($AA3133="Yes",1,0))</f>
        <v/>
      </c>
      <c r="AR3133">
        <f>IF($AN3133=1,IFERROR(VALUE(MID($E3133,2,20)),1000000000)+ROW()/100000,"")</f>
        <v/>
      </c>
    </row>
    <row r="3134">
      <c r="G3134" s="11" t="n"/>
      <c r="Q3134" s="7">
        <f>IF($E3134="","",P3134*Y3134/100)</f>
        <v/>
      </c>
      <c r="R3134" s="7" t="n"/>
      <c r="X3134" s="7" t="n"/>
      <c r="Y3134" s="7" t="n"/>
      <c r="AB3134">
        <f>IF($E3134="","",IF($AQ3134=1,0,IF($AP3134=1,Settings!$C$6,Settings!$C$7))*100)</f>
        <v/>
      </c>
      <c r="AC3134" s="7">
        <f>IF($E3134="","",Y3134*AB3134/100)</f>
        <v/>
      </c>
      <c r="AD3134" s="7">
        <f>IF($E3134="","",Y3134-AC3134)</f>
        <v/>
      </c>
      <c r="AE3134" s="7">
        <f>IF($E3134="","",AD3134-Q3134)</f>
        <v/>
      </c>
      <c r="AI3134" s="7" t="n"/>
      <c r="AL3134" s="11" t="n"/>
      <c r="AN3134">
        <f>IF($E3134="","",IF(COUNTIF($E$2:$E3134,$E3134)=1,1,0))</f>
        <v/>
      </c>
      <c r="AO3134">
        <f>IF($AN3134=1,SUMPRODUCT(--($AR$2:$AR$4001&lt;$AR3134))+1,"")</f>
        <v/>
      </c>
      <c r="AP3134">
        <f>IF($E3134="","",IF(OR($U3134=TRUE(),$U3134="TRUE"),1,0))</f>
        <v/>
      </c>
      <c r="AQ3134">
        <f>IF($E3134="","",IF($AA3134="Yes",1,0))</f>
        <v/>
      </c>
      <c r="AR3134">
        <f>IF($AN3134=1,IFERROR(VALUE(MID($E3134,2,20)),1000000000)+ROW()/100000,"")</f>
        <v/>
      </c>
    </row>
    <row r="3135">
      <c r="G3135" s="11" t="n"/>
      <c r="Q3135" s="7">
        <f>IF($E3135="","",P3135*Y3135/100)</f>
        <v/>
      </c>
      <c r="R3135" s="7" t="n"/>
      <c r="X3135" s="7" t="n"/>
      <c r="Y3135" s="7" t="n"/>
      <c r="AB3135">
        <f>IF($E3135="","",IF($AQ3135=1,0,IF($AP3135=1,Settings!$C$6,Settings!$C$7))*100)</f>
        <v/>
      </c>
      <c r="AC3135" s="7">
        <f>IF($E3135="","",Y3135*AB3135/100)</f>
        <v/>
      </c>
      <c r="AD3135" s="7">
        <f>IF($E3135="","",Y3135-AC3135)</f>
        <v/>
      </c>
      <c r="AE3135" s="7">
        <f>IF($E3135="","",AD3135-Q3135)</f>
        <v/>
      </c>
      <c r="AI3135" s="7" t="n"/>
      <c r="AL3135" s="11" t="n"/>
      <c r="AN3135">
        <f>IF($E3135="","",IF(COUNTIF($E$2:$E3135,$E3135)=1,1,0))</f>
        <v/>
      </c>
      <c r="AO3135">
        <f>IF($AN3135=1,SUMPRODUCT(--($AR$2:$AR$4001&lt;$AR3135))+1,"")</f>
        <v/>
      </c>
      <c r="AP3135">
        <f>IF($E3135="","",IF(OR($U3135=TRUE(),$U3135="TRUE"),1,0))</f>
        <v/>
      </c>
      <c r="AQ3135">
        <f>IF($E3135="","",IF($AA3135="Yes",1,0))</f>
        <v/>
      </c>
      <c r="AR3135">
        <f>IF($AN3135=1,IFERROR(VALUE(MID($E3135,2,20)),1000000000)+ROW()/100000,"")</f>
        <v/>
      </c>
    </row>
    <row r="3136">
      <c r="G3136" s="11" t="n"/>
      <c r="Q3136" s="7">
        <f>IF($E3136="","",P3136*Y3136/100)</f>
        <v/>
      </c>
      <c r="R3136" s="7" t="n"/>
      <c r="X3136" s="7" t="n"/>
      <c r="Y3136" s="7" t="n"/>
      <c r="AB3136">
        <f>IF($E3136="","",IF($AQ3136=1,0,IF($AP3136=1,Settings!$C$6,Settings!$C$7))*100)</f>
        <v/>
      </c>
      <c r="AC3136" s="7">
        <f>IF($E3136="","",Y3136*AB3136/100)</f>
        <v/>
      </c>
      <c r="AD3136" s="7">
        <f>IF($E3136="","",Y3136-AC3136)</f>
        <v/>
      </c>
      <c r="AE3136" s="7">
        <f>IF($E3136="","",AD3136-Q3136)</f>
        <v/>
      </c>
      <c r="AI3136" s="7" t="n"/>
      <c r="AL3136" s="11" t="n"/>
      <c r="AN3136">
        <f>IF($E3136="","",IF(COUNTIF($E$2:$E3136,$E3136)=1,1,0))</f>
        <v/>
      </c>
      <c r="AO3136">
        <f>IF($AN3136=1,SUMPRODUCT(--($AR$2:$AR$4001&lt;$AR3136))+1,"")</f>
        <v/>
      </c>
      <c r="AP3136">
        <f>IF($E3136="","",IF(OR($U3136=TRUE(),$U3136="TRUE"),1,0))</f>
        <v/>
      </c>
      <c r="AQ3136">
        <f>IF($E3136="","",IF($AA3136="Yes",1,0))</f>
        <v/>
      </c>
      <c r="AR3136">
        <f>IF($AN3136=1,IFERROR(VALUE(MID($E3136,2,20)),1000000000)+ROW()/100000,"")</f>
        <v/>
      </c>
    </row>
    <row r="3137">
      <c r="G3137" s="11" t="n"/>
      <c r="Q3137" s="7">
        <f>IF($E3137="","",P3137*Y3137/100)</f>
        <v/>
      </c>
      <c r="R3137" s="7" t="n"/>
      <c r="X3137" s="7" t="n"/>
      <c r="Y3137" s="7" t="n"/>
      <c r="AB3137">
        <f>IF($E3137="","",IF($AQ3137=1,0,IF($AP3137=1,Settings!$C$6,Settings!$C$7))*100)</f>
        <v/>
      </c>
      <c r="AC3137" s="7">
        <f>IF($E3137="","",Y3137*AB3137/100)</f>
        <v/>
      </c>
      <c r="AD3137" s="7">
        <f>IF($E3137="","",Y3137-AC3137)</f>
        <v/>
      </c>
      <c r="AE3137" s="7">
        <f>IF($E3137="","",AD3137-Q3137)</f>
        <v/>
      </c>
      <c r="AI3137" s="7" t="n"/>
      <c r="AL3137" s="11" t="n"/>
      <c r="AN3137">
        <f>IF($E3137="","",IF(COUNTIF($E$2:$E3137,$E3137)=1,1,0))</f>
        <v/>
      </c>
      <c r="AO3137">
        <f>IF($AN3137=1,SUMPRODUCT(--($AR$2:$AR$4001&lt;$AR3137))+1,"")</f>
        <v/>
      </c>
      <c r="AP3137">
        <f>IF($E3137="","",IF(OR($U3137=TRUE(),$U3137="TRUE"),1,0))</f>
        <v/>
      </c>
      <c r="AQ3137">
        <f>IF($E3137="","",IF($AA3137="Yes",1,0))</f>
        <v/>
      </c>
      <c r="AR3137">
        <f>IF($AN3137=1,IFERROR(VALUE(MID($E3137,2,20)),1000000000)+ROW()/100000,"")</f>
        <v/>
      </c>
    </row>
    <row r="3138">
      <c r="G3138" s="11" t="n"/>
      <c r="Q3138" s="7">
        <f>IF($E3138="","",P3138*Y3138/100)</f>
        <v/>
      </c>
      <c r="R3138" s="7" t="n"/>
      <c r="X3138" s="7" t="n"/>
      <c r="Y3138" s="7" t="n"/>
      <c r="AB3138">
        <f>IF($E3138="","",IF($AQ3138=1,0,IF($AP3138=1,Settings!$C$6,Settings!$C$7))*100)</f>
        <v/>
      </c>
      <c r="AC3138" s="7">
        <f>IF($E3138="","",Y3138*AB3138/100)</f>
        <v/>
      </c>
      <c r="AD3138" s="7">
        <f>IF($E3138="","",Y3138-AC3138)</f>
        <v/>
      </c>
      <c r="AE3138" s="7">
        <f>IF($E3138="","",AD3138-Q3138)</f>
        <v/>
      </c>
      <c r="AI3138" s="7" t="n"/>
      <c r="AL3138" s="11" t="n"/>
      <c r="AN3138">
        <f>IF($E3138="","",IF(COUNTIF($E$2:$E3138,$E3138)=1,1,0))</f>
        <v/>
      </c>
      <c r="AO3138">
        <f>IF($AN3138=1,SUMPRODUCT(--($AR$2:$AR$4001&lt;$AR3138))+1,"")</f>
        <v/>
      </c>
      <c r="AP3138">
        <f>IF($E3138="","",IF(OR($U3138=TRUE(),$U3138="TRUE"),1,0))</f>
        <v/>
      </c>
      <c r="AQ3138">
        <f>IF($E3138="","",IF($AA3138="Yes",1,0))</f>
        <v/>
      </c>
      <c r="AR3138">
        <f>IF($AN3138=1,IFERROR(VALUE(MID($E3138,2,20)),1000000000)+ROW()/100000,"")</f>
        <v/>
      </c>
    </row>
    <row r="3139">
      <c r="G3139" s="11" t="n"/>
      <c r="Q3139" s="7">
        <f>IF($E3139="","",P3139*Y3139/100)</f>
        <v/>
      </c>
      <c r="R3139" s="7" t="n"/>
      <c r="X3139" s="7" t="n"/>
      <c r="Y3139" s="7" t="n"/>
      <c r="AB3139">
        <f>IF($E3139="","",IF($AQ3139=1,0,IF($AP3139=1,Settings!$C$6,Settings!$C$7))*100)</f>
        <v/>
      </c>
      <c r="AC3139" s="7">
        <f>IF($E3139="","",Y3139*AB3139/100)</f>
        <v/>
      </c>
      <c r="AD3139" s="7">
        <f>IF($E3139="","",Y3139-AC3139)</f>
        <v/>
      </c>
      <c r="AE3139" s="7">
        <f>IF($E3139="","",AD3139-Q3139)</f>
        <v/>
      </c>
      <c r="AI3139" s="7" t="n"/>
      <c r="AL3139" s="11" t="n"/>
      <c r="AN3139">
        <f>IF($E3139="","",IF(COUNTIF($E$2:$E3139,$E3139)=1,1,0))</f>
        <v/>
      </c>
      <c r="AO3139">
        <f>IF($AN3139=1,SUMPRODUCT(--($AR$2:$AR$4001&lt;$AR3139))+1,"")</f>
        <v/>
      </c>
      <c r="AP3139">
        <f>IF($E3139="","",IF(OR($U3139=TRUE(),$U3139="TRUE"),1,0))</f>
        <v/>
      </c>
      <c r="AQ3139">
        <f>IF($E3139="","",IF($AA3139="Yes",1,0))</f>
        <v/>
      </c>
      <c r="AR3139">
        <f>IF($AN3139=1,IFERROR(VALUE(MID($E3139,2,20)),1000000000)+ROW()/100000,"")</f>
        <v/>
      </c>
    </row>
    <row r="3140">
      <c r="G3140" s="11" t="n"/>
      <c r="Q3140" s="7">
        <f>IF($E3140="","",P3140*Y3140/100)</f>
        <v/>
      </c>
      <c r="R3140" s="7" t="n"/>
      <c r="X3140" s="7" t="n"/>
      <c r="Y3140" s="7" t="n"/>
      <c r="AB3140">
        <f>IF($E3140="","",IF($AQ3140=1,0,IF($AP3140=1,Settings!$C$6,Settings!$C$7))*100)</f>
        <v/>
      </c>
      <c r="AC3140" s="7">
        <f>IF($E3140="","",Y3140*AB3140/100)</f>
        <v/>
      </c>
      <c r="AD3140" s="7">
        <f>IF($E3140="","",Y3140-AC3140)</f>
        <v/>
      </c>
      <c r="AE3140" s="7">
        <f>IF($E3140="","",AD3140-Q3140)</f>
        <v/>
      </c>
      <c r="AI3140" s="7" t="n"/>
      <c r="AL3140" s="11" t="n"/>
      <c r="AN3140">
        <f>IF($E3140="","",IF(COUNTIF($E$2:$E3140,$E3140)=1,1,0))</f>
        <v/>
      </c>
      <c r="AO3140">
        <f>IF($AN3140=1,SUMPRODUCT(--($AR$2:$AR$4001&lt;$AR3140))+1,"")</f>
        <v/>
      </c>
      <c r="AP3140">
        <f>IF($E3140="","",IF(OR($U3140=TRUE(),$U3140="TRUE"),1,0))</f>
        <v/>
      </c>
      <c r="AQ3140">
        <f>IF($E3140="","",IF($AA3140="Yes",1,0))</f>
        <v/>
      </c>
      <c r="AR3140">
        <f>IF($AN3140=1,IFERROR(VALUE(MID($E3140,2,20)),1000000000)+ROW()/100000,"")</f>
        <v/>
      </c>
    </row>
    <row r="3141">
      <c r="G3141" s="11" t="n"/>
      <c r="Q3141" s="7">
        <f>IF($E3141="","",P3141*Y3141/100)</f>
        <v/>
      </c>
      <c r="R3141" s="7" t="n"/>
      <c r="X3141" s="7" t="n"/>
      <c r="Y3141" s="7" t="n"/>
      <c r="AB3141">
        <f>IF($E3141="","",IF($AQ3141=1,0,IF($AP3141=1,Settings!$C$6,Settings!$C$7))*100)</f>
        <v/>
      </c>
      <c r="AC3141" s="7">
        <f>IF($E3141="","",Y3141*AB3141/100)</f>
        <v/>
      </c>
      <c r="AD3141" s="7">
        <f>IF($E3141="","",Y3141-AC3141)</f>
        <v/>
      </c>
      <c r="AE3141" s="7">
        <f>IF($E3141="","",AD3141-Q3141)</f>
        <v/>
      </c>
      <c r="AI3141" s="7" t="n"/>
      <c r="AL3141" s="11" t="n"/>
      <c r="AN3141">
        <f>IF($E3141="","",IF(COUNTIF($E$2:$E3141,$E3141)=1,1,0))</f>
        <v/>
      </c>
      <c r="AO3141">
        <f>IF($AN3141=1,SUMPRODUCT(--($AR$2:$AR$4001&lt;$AR3141))+1,"")</f>
        <v/>
      </c>
      <c r="AP3141">
        <f>IF($E3141="","",IF(OR($U3141=TRUE(),$U3141="TRUE"),1,0))</f>
        <v/>
      </c>
      <c r="AQ3141">
        <f>IF($E3141="","",IF($AA3141="Yes",1,0))</f>
        <v/>
      </c>
      <c r="AR3141">
        <f>IF($AN3141=1,IFERROR(VALUE(MID($E3141,2,20)),1000000000)+ROW()/100000,"")</f>
        <v/>
      </c>
    </row>
    <row r="3142">
      <c r="G3142" s="11" t="n"/>
      <c r="Q3142" s="7">
        <f>IF($E3142="","",P3142*Y3142/100)</f>
        <v/>
      </c>
      <c r="R3142" s="7" t="n"/>
      <c r="X3142" s="7" t="n"/>
      <c r="Y3142" s="7" t="n"/>
      <c r="AB3142">
        <f>IF($E3142="","",IF($AQ3142=1,0,IF($AP3142=1,Settings!$C$6,Settings!$C$7))*100)</f>
        <v/>
      </c>
      <c r="AC3142" s="7">
        <f>IF($E3142="","",Y3142*AB3142/100)</f>
        <v/>
      </c>
      <c r="AD3142" s="7">
        <f>IF($E3142="","",Y3142-AC3142)</f>
        <v/>
      </c>
      <c r="AE3142" s="7">
        <f>IF($E3142="","",AD3142-Q3142)</f>
        <v/>
      </c>
      <c r="AI3142" s="7" t="n"/>
      <c r="AL3142" s="11" t="n"/>
      <c r="AN3142">
        <f>IF($E3142="","",IF(COUNTIF($E$2:$E3142,$E3142)=1,1,0))</f>
        <v/>
      </c>
      <c r="AO3142">
        <f>IF($AN3142=1,SUMPRODUCT(--($AR$2:$AR$4001&lt;$AR3142))+1,"")</f>
        <v/>
      </c>
      <c r="AP3142">
        <f>IF($E3142="","",IF(OR($U3142=TRUE(),$U3142="TRUE"),1,0))</f>
        <v/>
      </c>
      <c r="AQ3142">
        <f>IF($E3142="","",IF($AA3142="Yes",1,0))</f>
        <v/>
      </c>
      <c r="AR3142">
        <f>IF($AN3142=1,IFERROR(VALUE(MID($E3142,2,20)),1000000000)+ROW()/100000,"")</f>
        <v/>
      </c>
    </row>
    <row r="3143">
      <c r="G3143" s="11" t="n"/>
      <c r="Q3143" s="7">
        <f>IF($E3143="","",P3143*Y3143/100)</f>
        <v/>
      </c>
      <c r="R3143" s="7" t="n"/>
      <c r="X3143" s="7" t="n"/>
      <c r="Y3143" s="7" t="n"/>
      <c r="AB3143">
        <f>IF($E3143="","",IF($AQ3143=1,0,IF($AP3143=1,Settings!$C$6,Settings!$C$7))*100)</f>
        <v/>
      </c>
      <c r="AC3143" s="7">
        <f>IF($E3143="","",Y3143*AB3143/100)</f>
        <v/>
      </c>
      <c r="AD3143" s="7">
        <f>IF($E3143="","",Y3143-AC3143)</f>
        <v/>
      </c>
      <c r="AE3143" s="7">
        <f>IF($E3143="","",AD3143-Q3143)</f>
        <v/>
      </c>
      <c r="AI3143" s="7" t="n"/>
      <c r="AL3143" s="11" t="n"/>
      <c r="AN3143">
        <f>IF($E3143="","",IF(COUNTIF($E$2:$E3143,$E3143)=1,1,0))</f>
        <v/>
      </c>
      <c r="AO3143">
        <f>IF($AN3143=1,SUMPRODUCT(--($AR$2:$AR$4001&lt;$AR3143))+1,"")</f>
        <v/>
      </c>
      <c r="AP3143">
        <f>IF($E3143="","",IF(OR($U3143=TRUE(),$U3143="TRUE"),1,0))</f>
        <v/>
      </c>
      <c r="AQ3143">
        <f>IF($E3143="","",IF($AA3143="Yes",1,0))</f>
        <v/>
      </c>
      <c r="AR3143">
        <f>IF($AN3143=1,IFERROR(VALUE(MID($E3143,2,20)),1000000000)+ROW()/100000,"")</f>
        <v/>
      </c>
    </row>
    <row r="3144">
      <c r="G3144" s="11" t="n"/>
      <c r="Q3144" s="7">
        <f>IF($E3144="","",P3144*Y3144/100)</f>
        <v/>
      </c>
      <c r="R3144" s="7" t="n"/>
      <c r="X3144" s="7" t="n"/>
      <c r="Y3144" s="7" t="n"/>
      <c r="AB3144">
        <f>IF($E3144="","",IF($AQ3144=1,0,IF($AP3144=1,Settings!$C$6,Settings!$C$7))*100)</f>
        <v/>
      </c>
      <c r="AC3144" s="7">
        <f>IF($E3144="","",Y3144*AB3144/100)</f>
        <v/>
      </c>
      <c r="AD3144" s="7">
        <f>IF($E3144="","",Y3144-AC3144)</f>
        <v/>
      </c>
      <c r="AE3144" s="7">
        <f>IF($E3144="","",AD3144-Q3144)</f>
        <v/>
      </c>
      <c r="AI3144" s="7" t="n"/>
      <c r="AL3144" s="11" t="n"/>
      <c r="AN3144">
        <f>IF($E3144="","",IF(COUNTIF($E$2:$E3144,$E3144)=1,1,0))</f>
        <v/>
      </c>
      <c r="AO3144">
        <f>IF($AN3144=1,SUMPRODUCT(--($AR$2:$AR$4001&lt;$AR3144))+1,"")</f>
        <v/>
      </c>
      <c r="AP3144">
        <f>IF($E3144="","",IF(OR($U3144=TRUE(),$U3144="TRUE"),1,0))</f>
        <v/>
      </c>
      <c r="AQ3144">
        <f>IF($E3144="","",IF($AA3144="Yes",1,0))</f>
        <v/>
      </c>
      <c r="AR3144">
        <f>IF($AN3144=1,IFERROR(VALUE(MID($E3144,2,20)),1000000000)+ROW()/100000,"")</f>
        <v/>
      </c>
    </row>
    <row r="3145">
      <c r="G3145" s="11" t="n"/>
      <c r="Q3145" s="7">
        <f>IF($E3145="","",P3145*Y3145/100)</f>
        <v/>
      </c>
      <c r="R3145" s="7" t="n"/>
      <c r="X3145" s="7" t="n"/>
      <c r="Y3145" s="7" t="n"/>
      <c r="AB3145">
        <f>IF($E3145="","",IF($AQ3145=1,0,IF($AP3145=1,Settings!$C$6,Settings!$C$7))*100)</f>
        <v/>
      </c>
      <c r="AC3145" s="7">
        <f>IF($E3145="","",Y3145*AB3145/100)</f>
        <v/>
      </c>
      <c r="AD3145" s="7">
        <f>IF($E3145="","",Y3145-AC3145)</f>
        <v/>
      </c>
      <c r="AE3145" s="7">
        <f>IF($E3145="","",AD3145-Q3145)</f>
        <v/>
      </c>
      <c r="AI3145" s="7" t="n"/>
      <c r="AL3145" s="11" t="n"/>
      <c r="AN3145">
        <f>IF($E3145="","",IF(COUNTIF($E$2:$E3145,$E3145)=1,1,0))</f>
        <v/>
      </c>
      <c r="AO3145">
        <f>IF($AN3145=1,SUMPRODUCT(--($AR$2:$AR$4001&lt;$AR3145))+1,"")</f>
        <v/>
      </c>
      <c r="AP3145">
        <f>IF($E3145="","",IF(OR($U3145=TRUE(),$U3145="TRUE"),1,0))</f>
        <v/>
      </c>
      <c r="AQ3145">
        <f>IF($E3145="","",IF($AA3145="Yes",1,0))</f>
        <v/>
      </c>
      <c r="AR3145">
        <f>IF($AN3145=1,IFERROR(VALUE(MID($E3145,2,20)),1000000000)+ROW()/100000,"")</f>
        <v/>
      </c>
    </row>
    <row r="3146">
      <c r="G3146" s="11" t="n"/>
      <c r="Q3146" s="7">
        <f>IF($E3146="","",P3146*Y3146/100)</f>
        <v/>
      </c>
      <c r="R3146" s="7" t="n"/>
      <c r="X3146" s="7" t="n"/>
      <c r="Y3146" s="7" t="n"/>
      <c r="AB3146">
        <f>IF($E3146="","",IF($AQ3146=1,0,IF($AP3146=1,Settings!$C$6,Settings!$C$7))*100)</f>
        <v/>
      </c>
      <c r="AC3146" s="7">
        <f>IF($E3146="","",Y3146*AB3146/100)</f>
        <v/>
      </c>
      <c r="AD3146" s="7">
        <f>IF($E3146="","",Y3146-AC3146)</f>
        <v/>
      </c>
      <c r="AE3146" s="7">
        <f>IF($E3146="","",AD3146-Q3146)</f>
        <v/>
      </c>
      <c r="AI3146" s="7" t="n"/>
      <c r="AL3146" s="11" t="n"/>
      <c r="AN3146">
        <f>IF($E3146="","",IF(COUNTIF($E$2:$E3146,$E3146)=1,1,0))</f>
        <v/>
      </c>
      <c r="AO3146">
        <f>IF($AN3146=1,SUMPRODUCT(--($AR$2:$AR$4001&lt;$AR3146))+1,"")</f>
        <v/>
      </c>
      <c r="AP3146">
        <f>IF($E3146="","",IF(OR($U3146=TRUE(),$U3146="TRUE"),1,0))</f>
        <v/>
      </c>
      <c r="AQ3146">
        <f>IF($E3146="","",IF($AA3146="Yes",1,0))</f>
        <v/>
      </c>
      <c r="AR3146">
        <f>IF($AN3146=1,IFERROR(VALUE(MID($E3146,2,20)),1000000000)+ROW()/100000,"")</f>
        <v/>
      </c>
    </row>
    <row r="3147">
      <c r="G3147" s="11" t="n"/>
      <c r="Q3147" s="7">
        <f>IF($E3147="","",P3147*Y3147/100)</f>
        <v/>
      </c>
      <c r="R3147" s="7" t="n"/>
      <c r="X3147" s="7" t="n"/>
      <c r="Y3147" s="7" t="n"/>
      <c r="AB3147">
        <f>IF($E3147="","",IF($AQ3147=1,0,IF($AP3147=1,Settings!$C$6,Settings!$C$7))*100)</f>
        <v/>
      </c>
      <c r="AC3147" s="7">
        <f>IF($E3147="","",Y3147*AB3147/100)</f>
        <v/>
      </c>
      <c r="AD3147" s="7">
        <f>IF($E3147="","",Y3147-AC3147)</f>
        <v/>
      </c>
      <c r="AE3147" s="7">
        <f>IF($E3147="","",AD3147-Q3147)</f>
        <v/>
      </c>
      <c r="AI3147" s="7" t="n"/>
      <c r="AL3147" s="11" t="n"/>
      <c r="AN3147">
        <f>IF($E3147="","",IF(COUNTIF($E$2:$E3147,$E3147)=1,1,0))</f>
        <v/>
      </c>
      <c r="AO3147">
        <f>IF($AN3147=1,SUMPRODUCT(--($AR$2:$AR$4001&lt;$AR3147))+1,"")</f>
        <v/>
      </c>
      <c r="AP3147">
        <f>IF($E3147="","",IF(OR($U3147=TRUE(),$U3147="TRUE"),1,0))</f>
        <v/>
      </c>
      <c r="AQ3147">
        <f>IF($E3147="","",IF($AA3147="Yes",1,0))</f>
        <v/>
      </c>
      <c r="AR3147">
        <f>IF($AN3147=1,IFERROR(VALUE(MID($E3147,2,20)),1000000000)+ROW()/100000,"")</f>
        <v/>
      </c>
    </row>
    <row r="3148">
      <c r="G3148" s="11" t="n"/>
      <c r="Q3148" s="7">
        <f>IF($E3148="","",P3148*Y3148/100)</f>
        <v/>
      </c>
      <c r="R3148" s="7" t="n"/>
      <c r="X3148" s="7" t="n"/>
      <c r="Y3148" s="7" t="n"/>
      <c r="AB3148">
        <f>IF($E3148="","",IF($AQ3148=1,0,IF($AP3148=1,Settings!$C$6,Settings!$C$7))*100)</f>
        <v/>
      </c>
      <c r="AC3148" s="7">
        <f>IF($E3148="","",Y3148*AB3148/100)</f>
        <v/>
      </c>
      <c r="AD3148" s="7">
        <f>IF($E3148="","",Y3148-AC3148)</f>
        <v/>
      </c>
      <c r="AE3148" s="7">
        <f>IF($E3148="","",AD3148-Q3148)</f>
        <v/>
      </c>
      <c r="AI3148" s="7" t="n"/>
      <c r="AL3148" s="11" t="n"/>
      <c r="AN3148">
        <f>IF($E3148="","",IF(COUNTIF($E$2:$E3148,$E3148)=1,1,0))</f>
        <v/>
      </c>
      <c r="AO3148">
        <f>IF($AN3148=1,SUMPRODUCT(--($AR$2:$AR$4001&lt;$AR3148))+1,"")</f>
        <v/>
      </c>
      <c r="AP3148">
        <f>IF($E3148="","",IF(OR($U3148=TRUE(),$U3148="TRUE"),1,0))</f>
        <v/>
      </c>
      <c r="AQ3148">
        <f>IF($E3148="","",IF($AA3148="Yes",1,0))</f>
        <v/>
      </c>
      <c r="AR3148">
        <f>IF($AN3148=1,IFERROR(VALUE(MID($E3148,2,20)),1000000000)+ROW()/100000,"")</f>
        <v/>
      </c>
    </row>
    <row r="3149">
      <c r="G3149" s="11" t="n"/>
      <c r="Q3149" s="7">
        <f>IF($E3149="","",P3149*Y3149/100)</f>
        <v/>
      </c>
      <c r="R3149" s="7" t="n"/>
      <c r="X3149" s="7" t="n"/>
      <c r="Y3149" s="7" t="n"/>
      <c r="AB3149">
        <f>IF($E3149="","",IF($AQ3149=1,0,IF($AP3149=1,Settings!$C$6,Settings!$C$7))*100)</f>
        <v/>
      </c>
      <c r="AC3149" s="7">
        <f>IF($E3149="","",Y3149*AB3149/100)</f>
        <v/>
      </c>
      <c r="AD3149" s="7">
        <f>IF($E3149="","",Y3149-AC3149)</f>
        <v/>
      </c>
      <c r="AE3149" s="7">
        <f>IF($E3149="","",AD3149-Q3149)</f>
        <v/>
      </c>
      <c r="AI3149" s="7" t="n"/>
      <c r="AL3149" s="11" t="n"/>
      <c r="AN3149">
        <f>IF($E3149="","",IF(COUNTIF($E$2:$E3149,$E3149)=1,1,0))</f>
        <v/>
      </c>
      <c r="AO3149">
        <f>IF($AN3149=1,SUMPRODUCT(--($AR$2:$AR$4001&lt;$AR3149))+1,"")</f>
        <v/>
      </c>
      <c r="AP3149">
        <f>IF($E3149="","",IF(OR($U3149=TRUE(),$U3149="TRUE"),1,0))</f>
        <v/>
      </c>
      <c r="AQ3149">
        <f>IF($E3149="","",IF($AA3149="Yes",1,0))</f>
        <v/>
      </c>
      <c r="AR3149">
        <f>IF($AN3149=1,IFERROR(VALUE(MID($E3149,2,20)),1000000000)+ROW()/100000,"")</f>
        <v/>
      </c>
    </row>
    <row r="3150">
      <c r="G3150" s="11" t="n"/>
      <c r="Q3150" s="7">
        <f>IF($E3150="","",P3150*Y3150/100)</f>
        <v/>
      </c>
      <c r="R3150" s="7" t="n"/>
      <c r="X3150" s="7" t="n"/>
      <c r="Y3150" s="7" t="n"/>
      <c r="AB3150">
        <f>IF($E3150="","",IF($AQ3150=1,0,IF($AP3150=1,Settings!$C$6,Settings!$C$7))*100)</f>
        <v/>
      </c>
      <c r="AC3150" s="7">
        <f>IF($E3150="","",Y3150*AB3150/100)</f>
        <v/>
      </c>
      <c r="AD3150" s="7">
        <f>IF($E3150="","",Y3150-AC3150)</f>
        <v/>
      </c>
      <c r="AE3150" s="7">
        <f>IF($E3150="","",AD3150-Q3150)</f>
        <v/>
      </c>
      <c r="AI3150" s="7" t="n"/>
      <c r="AL3150" s="11" t="n"/>
      <c r="AN3150">
        <f>IF($E3150="","",IF(COUNTIF($E$2:$E3150,$E3150)=1,1,0))</f>
        <v/>
      </c>
      <c r="AO3150">
        <f>IF($AN3150=1,SUMPRODUCT(--($AR$2:$AR$4001&lt;$AR3150))+1,"")</f>
        <v/>
      </c>
      <c r="AP3150">
        <f>IF($E3150="","",IF(OR($U3150=TRUE(),$U3150="TRUE"),1,0))</f>
        <v/>
      </c>
      <c r="AQ3150">
        <f>IF($E3150="","",IF($AA3150="Yes",1,0))</f>
        <v/>
      </c>
      <c r="AR3150">
        <f>IF($AN3150=1,IFERROR(VALUE(MID($E3150,2,20)),1000000000)+ROW()/100000,"")</f>
        <v/>
      </c>
    </row>
    <row r="3151">
      <c r="G3151" s="11" t="n"/>
      <c r="Q3151" s="7">
        <f>IF($E3151="","",P3151*Y3151/100)</f>
        <v/>
      </c>
      <c r="R3151" s="7" t="n"/>
      <c r="X3151" s="7" t="n"/>
      <c r="Y3151" s="7" t="n"/>
      <c r="AB3151">
        <f>IF($E3151="","",IF($AQ3151=1,0,IF($AP3151=1,Settings!$C$6,Settings!$C$7))*100)</f>
        <v/>
      </c>
      <c r="AC3151" s="7">
        <f>IF($E3151="","",Y3151*AB3151/100)</f>
        <v/>
      </c>
      <c r="AD3151" s="7">
        <f>IF($E3151="","",Y3151-AC3151)</f>
        <v/>
      </c>
      <c r="AE3151" s="7">
        <f>IF($E3151="","",AD3151-Q3151)</f>
        <v/>
      </c>
      <c r="AI3151" s="7" t="n"/>
      <c r="AL3151" s="11" t="n"/>
      <c r="AN3151">
        <f>IF($E3151="","",IF(COUNTIF($E$2:$E3151,$E3151)=1,1,0))</f>
        <v/>
      </c>
      <c r="AO3151">
        <f>IF($AN3151=1,SUMPRODUCT(--($AR$2:$AR$4001&lt;$AR3151))+1,"")</f>
        <v/>
      </c>
      <c r="AP3151">
        <f>IF($E3151="","",IF(OR($U3151=TRUE(),$U3151="TRUE"),1,0))</f>
        <v/>
      </c>
      <c r="AQ3151">
        <f>IF($E3151="","",IF($AA3151="Yes",1,0))</f>
        <v/>
      </c>
      <c r="AR3151">
        <f>IF($AN3151=1,IFERROR(VALUE(MID($E3151,2,20)),1000000000)+ROW()/100000,"")</f>
        <v/>
      </c>
    </row>
    <row r="3152">
      <c r="G3152" s="11" t="n"/>
      <c r="Q3152" s="7">
        <f>IF($E3152="","",P3152*Y3152/100)</f>
        <v/>
      </c>
      <c r="R3152" s="7" t="n"/>
      <c r="X3152" s="7" t="n"/>
      <c r="Y3152" s="7" t="n"/>
      <c r="AB3152">
        <f>IF($E3152="","",IF($AQ3152=1,0,IF($AP3152=1,Settings!$C$6,Settings!$C$7))*100)</f>
        <v/>
      </c>
      <c r="AC3152" s="7">
        <f>IF($E3152="","",Y3152*AB3152/100)</f>
        <v/>
      </c>
      <c r="AD3152" s="7">
        <f>IF($E3152="","",Y3152-AC3152)</f>
        <v/>
      </c>
      <c r="AE3152" s="7">
        <f>IF($E3152="","",AD3152-Q3152)</f>
        <v/>
      </c>
      <c r="AI3152" s="7" t="n"/>
      <c r="AL3152" s="11" t="n"/>
      <c r="AN3152">
        <f>IF($E3152="","",IF(COUNTIF($E$2:$E3152,$E3152)=1,1,0))</f>
        <v/>
      </c>
      <c r="AO3152">
        <f>IF($AN3152=1,SUMPRODUCT(--($AR$2:$AR$4001&lt;$AR3152))+1,"")</f>
        <v/>
      </c>
      <c r="AP3152">
        <f>IF($E3152="","",IF(OR($U3152=TRUE(),$U3152="TRUE"),1,0))</f>
        <v/>
      </c>
      <c r="AQ3152">
        <f>IF($E3152="","",IF($AA3152="Yes",1,0))</f>
        <v/>
      </c>
      <c r="AR3152">
        <f>IF($AN3152=1,IFERROR(VALUE(MID($E3152,2,20)),1000000000)+ROW()/100000,"")</f>
        <v/>
      </c>
    </row>
    <row r="3153">
      <c r="G3153" s="11" t="n"/>
      <c r="Q3153" s="7">
        <f>IF($E3153="","",P3153*Y3153/100)</f>
        <v/>
      </c>
      <c r="R3153" s="7" t="n"/>
      <c r="X3153" s="7" t="n"/>
      <c r="Y3153" s="7" t="n"/>
      <c r="AB3153">
        <f>IF($E3153="","",IF($AQ3153=1,0,IF($AP3153=1,Settings!$C$6,Settings!$C$7))*100)</f>
        <v/>
      </c>
      <c r="AC3153" s="7">
        <f>IF($E3153="","",Y3153*AB3153/100)</f>
        <v/>
      </c>
      <c r="AD3153" s="7">
        <f>IF($E3153="","",Y3153-AC3153)</f>
        <v/>
      </c>
      <c r="AE3153" s="7">
        <f>IF($E3153="","",AD3153-Q3153)</f>
        <v/>
      </c>
      <c r="AI3153" s="7" t="n"/>
      <c r="AL3153" s="11" t="n"/>
      <c r="AN3153">
        <f>IF($E3153="","",IF(COUNTIF($E$2:$E3153,$E3153)=1,1,0))</f>
        <v/>
      </c>
      <c r="AO3153">
        <f>IF($AN3153=1,SUMPRODUCT(--($AR$2:$AR$4001&lt;$AR3153))+1,"")</f>
        <v/>
      </c>
      <c r="AP3153">
        <f>IF($E3153="","",IF(OR($U3153=TRUE(),$U3153="TRUE"),1,0))</f>
        <v/>
      </c>
      <c r="AQ3153">
        <f>IF($E3153="","",IF($AA3153="Yes",1,0))</f>
        <v/>
      </c>
      <c r="AR3153">
        <f>IF($AN3153=1,IFERROR(VALUE(MID($E3153,2,20)),1000000000)+ROW()/100000,"")</f>
        <v/>
      </c>
    </row>
    <row r="3154">
      <c r="G3154" s="11" t="n"/>
      <c r="Q3154" s="7">
        <f>IF($E3154="","",P3154*Y3154/100)</f>
        <v/>
      </c>
      <c r="R3154" s="7" t="n"/>
      <c r="X3154" s="7" t="n"/>
      <c r="Y3154" s="7" t="n"/>
      <c r="AB3154">
        <f>IF($E3154="","",IF($AQ3154=1,0,IF($AP3154=1,Settings!$C$6,Settings!$C$7))*100)</f>
        <v/>
      </c>
      <c r="AC3154" s="7">
        <f>IF($E3154="","",Y3154*AB3154/100)</f>
        <v/>
      </c>
      <c r="AD3154" s="7">
        <f>IF($E3154="","",Y3154-AC3154)</f>
        <v/>
      </c>
      <c r="AE3154" s="7">
        <f>IF($E3154="","",AD3154-Q3154)</f>
        <v/>
      </c>
      <c r="AI3154" s="7" t="n"/>
      <c r="AL3154" s="11" t="n"/>
      <c r="AN3154">
        <f>IF($E3154="","",IF(COUNTIF($E$2:$E3154,$E3154)=1,1,0))</f>
        <v/>
      </c>
      <c r="AO3154">
        <f>IF($AN3154=1,SUMPRODUCT(--($AR$2:$AR$4001&lt;$AR3154))+1,"")</f>
        <v/>
      </c>
      <c r="AP3154">
        <f>IF($E3154="","",IF(OR($U3154=TRUE(),$U3154="TRUE"),1,0))</f>
        <v/>
      </c>
      <c r="AQ3154">
        <f>IF($E3154="","",IF($AA3154="Yes",1,0))</f>
        <v/>
      </c>
      <c r="AR3154">
        <f>IF($AN3154=1,IFERROR(VALUE(MID($E3154,2,20)),1000000000)+ROW()/100000,"")</f>
        <v/>
      </c>
    </row>
    <row r="3155">
      <c r="G3155" s="11" t="n"/>
      <c r="Q3155" s="7">
        <f>IF($E3155="","",P3155*Y3155/100)</f>
        <v/>
      </c>
      <c r="R3155" s="7" t="n"/>
      <c r="X3155" s="7" t="n"/>
      <c r="Y3155" s="7" t="n"/>
      <c r="AB3155">
        <f>IF($E3155="","",IF($AQ3155=1,0,IF($AP3155=1,Settings!$C$6,Settings!$C$7))*100)</f>
        <v/>
      </c>
      <c r="AC3155" s="7">
        <f>IF($E3155="","",Y3155*AB3155/100)</f>
        <v/>
      </c>
      <c r="AD3155" s="7">
        <f>IF($E3155="","",Y3155-AC3155)</f>
        <v/>
      </c>
      <c r="AE3155" s="7">
        <f>IF($E3155="","",AD3155-Q3155)</f>
        <v/>
      </c>
      <c r="AI3155" s="7" t="n"/>
      <c r="AL3155" s="11" t="n"/>
      <c r="AN3155">
        <f>IF($E3155="","",IF(COUNTIF($E$2:$E3155,$E3155)=1,1,0))</f>
        <v/>
      </c>
      <c r="AO3155">
        <f>IF($AN3155=1,SUMPRODUCT(--($AR$2:$AR$4001&lt;$AR3155))+1,"")</f>
        <v/>
      </c>
      <c r="AP3155">
        <f>IF($E3155="","",IF(OR($U3155=TRUE(),$U3155="TRUE"),1,0))</f>
        <v/>
      </c>
      <c r="AQ3155">
        <f>IF($E3155="","",IF($AA3155="Yes",1,0))</f>
        <v/>
      </c>
      <c r="AR3155">
        <f>IF($AN3155=1,IFERROR(VALUE(MID($E3155,2,20)),1000000000)+ROW()/100000,"")</f>
        <v/>
      </c>
    </row>
    <row r="3156">
      <c r="G3156" s="11" t="n"/>
      <c r="Q3156" s="7">
        <f>IF($E3156="","",P3156*Y3156/100)</f>
        <v/>
      </c>
      <c r="R3156" s="7" t="n"/>
      <c r="X3156" s="7" t="n"/>
      <c r="Y3156" s="7" t="n"/>
      <c r="AB3156">
        <f>IF($E3156="","",IF($AQ3156=1,0,IF($AP3156=1,Settings!$C$6,Settings!$C$7))*100)</f>
        <v/>
      </c>
      <c r="AC3156" s="7">
        <f>IF($E3156="","",Y3156*AB3156/100)</f>
        <v/>
      </c>
      <c r="AD3156" s="7">
        <f>IF($E3156="","",Y3156-AC3156)</f>
        <v/>
      </c>
      <c r="AE3156" s="7">
        <f>IF($E3156="","",AD3156-Q3156)</f>
        <v/>
      </c>
      <c r="AI3156" s="7" t="n"/>
      <c r="AL3156" s="11" t="n"/>
      <c r="AN3156">
        <f>IF($E3156="","",IF(COUNTIF($E$2:$E3156,$E3156)=1,1,0))</f>
        <v/>
      </c>
      <c r="AO3156">
        <f>IF($AN3156=1,SUMPRODUCT(--($AR$2:$AR$4001&lt;$AR3156))+1,"")</f>
        <v/>
      </c>
      <c r="AP3156">
        <f>IF($E3156="","",IF(OR($U3156=TRUE(),$U3156="TRUE"),1,0))</f>
        <v/>
      </c>
      <c r="AQ3156">
        <f>IF($E3156="","",IF($AA3156="Yes",1,0))</f>
        <v/>
      </c>
      <c r="AR3156">
        <f>IF($AN3156=1,IFERROR(VALUE(MID($E3156,2,20)),1000000000)+ROW()/100000,"")</f>
        <v/>
      </c>
    </row>
    <row r="3157">
      <c r="G3157" s="11" t="n"/>
      <c r="Q3157" s="7">
        <f>IF($E3157="","",P3157*Y3157/100)</f>
        <v/>
      </c>
      <c r="R3157" s="7" t="n"/>
      <c r="X3157" s="7" t="n"/>
      <c r="Y3157" s="7" t="n"/>
      <c r="AB3157">
        <f>IF($E3157="","",IF($AQ3157=1,0,IF($AP3157=1,Settings!$C$6,Settings!$C$7))*100)</f>
        <v/>
      </c>
      <c r="AC3157" s="7">
        <f>IF($E3157="","",Y3157*AB3157/100)</f>
        <v/>
      </c>
      <c r="AD3157" s="7">
        <f>IF($E3157="","",Y3157-AC3157)</f>
        <v/>
      </c>
      <c r="AE3157" s="7">
        <f>IF($E3157="","",AD3157-Q3157)</f>
        <v/>
      </c>
      <c r="AI3157" s="7" t="n"/>
      <c r="AL3157" s="11" t="n"/>
      <c r="AN3157">
        <f>IF($E3157="","",IF(COUNTIF($E$2:$E3157,$E3157)=1,1,0))</f>
        <v/>
      </c>
      <c r="AO3157">
        <f>IF($AN3157=1,SUMPRODUCT(--($AR$2:$AR$4001&lt;$AR3157))+1,"")</f>
        <v/>
      </c>
      <c r="AP3157">
        <f>IF($E3157="","",IF(OR($U3157=TRUE(),$U3157="TRUE"),1,0))</f>
        <v/>
      </c>
      <c r="AQ3157">
        <f>IF($E3157="","",IF($AA3157="Yes",1,0))</f>
        <v/>
      </c>
      <c r="AR3157">
        <f>IF($AN3157=1,IFERROR(VALUE(MID($E3157,2,20)),1000000000)+ROW()/100000,"")</f>
        <v/>
      </c>
    </row>
    <row r="3158">
      <c r="G3158" s="11" t="n"/>
      <c r="Q3158" s="7">
        <f>IF($E3158="","",P3158*Y3158/100)</f>
        <v/>
      </c>
      <c r="R3158" s="7" t="n"/>
      <c r="X3158" s="7" t="n"/>
      <c r="Y3158" s="7" t="n"/>
      <c r="AB3158">
        <f>IF($E3158="","",IF($AQ3158=1,0,IF($AP3158=1,Settings!$C$6,Settings!$C$7))*100)</f>
        <v/>
      </c>
      <c r="AC3158" s="7">
        <f>IF($E3158="","",Y3158*AB3158/100)</f>
        <v/>
      </c>
      <c r="AD3158" s="7">
        <f>IF($E3158="","",Y3158-AC3158)</f>
        <v/>
      </c>
      <c r="AE3158" s="7">
        <f>IF($E3158="","",AD3158-Q3158)</f>
        <v/>
      </c>
      <c r="AI3158" s="7" t="n"/>
      <c r="AL3158" s="11" t="n"/>
      <c r="AN3158">
        <f>IF($E3158="","",IF(COUNTIF($E$2:$E3158,$E3158)=1,1,0))</f>
        <v/>
      </c>
      <c r="AO3158">
        <f>IF($AN3158=1,SUMPRODUCT(--($AR$2:$AR$4001&lt;$AR3158))+1,"")</f>
        <v/>
      </c>
      <c r="AP3158">
        <f>IF($E3158="","",IF(OR($U3158=TRUE(),$U3158="TRUE"),1,0))</f>
        <v/>
      </c>
      <c r="AQ3158">
        <f>IF($E3158="","",IF($AA3158="Yes",1,0))</f>
        <v/>
      </c>
      <c r="AR3158">
        <f>IF($AN3158=1,IFERROR(VALUE(MID($E3158,2,20)),1000000000)+ROW()/100000,"")</f>
        <v/>
      </c>
    </row>
    <row r="3159">
      <c r="G3159" s="11" t="n"/>
      <c r="Q3159" s="7">
        <f>IF($E3159="","",P3159*Y3159/100)</f>
        <v/>
      </c>
      <c r="R3159" s="7" t="n"/>
      <c r="X3159" s="7" t="n"/>
      <c r="Y3159" s="7" t="n"/>
      <c r="AB3159">
        <f>IF($E3159="","",IF($AQ3159=1,0,IF($AP3159=1,Settings!$C$6,Settings!$C$7))*100)</f>
        <v/>
      </c>
      <c r="AC3159" s="7">
        <f>IF($E3159="","",Y3159*AB3159/100)</f>
        <v/>
      </c>
      <c r="AD3159" s="7">
        <f>IF($E3159="","",Y3159-AC3159)</f>
        <v/>
      </c>
      <c r="AE3159" s="7">
        <f>IF($E3159="","",AD3159-Q3159)</f>
        <v/>
      </c>
      <c r="AI3159" s="7" t="n"/>
      <c r="AL3159" s="11" t="n"/>
      <c r="AN3159">
        <f>IF($E3159="","",IF(COUNTIF($E$2:$E3159,$E3159)=1,1,0))</f>
        <v/>
      </c>
      <c r="AO3159">
        <f>IF($AN3159=1,SUMPRODUCT(--($AR$2:$AR$4001&lt;$AR3159))+1,"")</f>
        <v/>
      </c>
      <c r="AP3159">
        <f>IF($E3159="","",IF(OR($U3159=TRUE(),$U3159="TRUE"),1,0))</f>
        <v/>
      </c>
      <c r="AQ3159">
        <f>IF($E3159="","",IF($AA3159="Yes",1,0))</f>
        <v/>
      </c>
      <c r="AR3159">
        <f>IF($AN3159=1,IFERROR(VALUE(MID($E3159,2,20)),1000000000)+ROW()/100000,"")</f>
        <v/>
      </c>
    </row>
    <row r="3160">
      <c r="G3160" s="11" t="n"/>
      <c r="Q3160" s="7">
        <f>IF($E3160="","",P3160*Y3160/100)</f>
        <v/>
      </c>
      <c r="R3160" s="7" t="n"/>
      <c r="X3160" s="7" t="n"/>
      <c r="Y3160" s="7" t="n"/>
      <c r="AB3160">
        <f>IF($E3160="","",IF($AQ3160=1,0,IF($AP3160=1,Settings!$C$6,Settings!$C$7))*100)</f>
        <v/>
      </c>
      <c r="AC3160" s="7">
        <f>IF($E3160="","",Y3160*AB3160/100)</f>
        <v/>
      </c>
      <c r="AD3160" s="7">
        <f>IF($E3160="","",Y3160-AC3160)</f>
        <v/>
      </c>
      <c r="AE3160" s="7">
        <f>IF($E3160="","",AD3160-Q3160)</f>
        <v/>
      </c>
      <c r="AI3160" s="7" t="n"/>
      <c r="AL3160" s="11" t="n"/>
      <c r="AN3160">
        <f>IF($E3160="","",IF(COUNTIF($E$2:$E3160,$E3160)=1,1,0))</f>
        <v/>
      </c>
      <c r="AO3160">
        <f>IF($AN3160=1,SUMPRODUCT(--($AR$2:$AR$4001&lt;$AR3160))+1,"")</f>
        <v/>
      </c>
      <c r="AP3160">
        <f>IF($E3160="","",IF(OR($U3160=TRUE(),$U3160="TRUE"),1,0))</f>
        <v/>
      </c>
      <c r="AQ3160">
        <f>IF($E3160="","",IF($AA3160="Yes",1,0))</f>
        <v/>
      </c>
      <c r="AR3160">
        <f>IF($AN3160=1,IFERROR(VALUE(MID($E3160,2,20)),1000000000)+ROW()/100000,"")</f>
        <v/>
      </c>
    </row>
    <row r="3161">
      <c r="G3161" s="11" t="n"/>
      <c r="Q3161" s="7">
        <f>IF($E3161="","",P3161*Y3161/100)</f>
        <v/>
      </c>
      <c r="R3161" s="7" t="n"/>
      <c r="X3161" s="7" t="n"/>
      <c r="Y3161" s="7" t="n"/>
      <c r="AB3161">
        <f>IF($E3161="","",IF($AQ3161=1,0,IF($AP3161=1,Settings!$C$6,Settings!$C$7))*100)</f>
        <v/>
      </c>
      <c r="AC3161" s="7">
        <f>IF($E3161="","",Y3161*AB3161/100)</f>
        <v/>
      </c>
      <c r="AD3161" s="7">
        <f>IF($E3161="","",Y3161-AC3161)</f>
        <v/>
      </c>
      <c r="AE3161" s="7">
        <f>IF($E3161="","",AD3161-Q3161)</f>
        <v/>
      </c>
      <c r="AI3161" s="7" t="n"/>
      <c r="AL3161" s="11" t="n"/>
      <c r="AN3161">
        <f>IF($E3161="","",IF(COUNTIF($E$2:$E3161,$E3161)=1,1,0))</f>
        <v/>
      </c>
      <c r="AO3161">
        <f>IF($AN3161=1,SUMPRODUCT(--($AR$2:$AR$4001&lt;$AR3161))+1,"")</f>
        <v/>
      </c>
      <c r="AP3161">
        <f>IF($E3161="","",IF(OR($U3161=TRUE(),$U3161="TRUE"),1,0))</f>
        <v/>
      </c>
      <c r="AQ3161">
        <f>IF($E3161="","",IF($AA3161="Yes",1,0))</f>
        <v/>
      </c>
      <c r="AR3161">
        <f>IF($AN3161=1,IFERROR(VALUE(MID($E3161,2,20)),1000000000)+ROW()/100000,"")</f>
        <v/>
      </c>
    </row>
    <row r="3162">
      <c r="G3162" s="11" t="n"/>
      <c r="Q3162" s="7">
        <f>IF($E3162="","",P3162*Y3162/100)</f>
        <v/>
      </c>
      <c r="R3162" s="7" t="n"/>
      <c r="X3162" s="7" t="n"/>
      <c r="Y3162" s="7" t="n"/>
      <c r="AB3162">
        <f>IF($E3162="","",IF($AQ3162=1,0,IF($AP3162=1,Settings!$C$6,Settings!$C$7))*100)</f>
        <v/>
      </c>
      <c r="AC3162" s="7">
        <f>IF($E3162="","",Y3162*AB3162/100)</f>
        <v/>
      </c>
      <c r="AD3162" s="7">
        <f>IF($E3162="","",Y3162-AC3162)</f>
        <v/>
      </c>
      <c r="AE3162" s="7">
        <f>IF($E3162="","",AD3162-Q3162)</f>
        <v/>
      </c>
      <c r="AI3162" s="7" t="n"/>
      <c r="AL3162" s="11" t="n"/>
      <c r="AN3162">
        <f>IF($E3162="","",IF(COUNTIF($E$2:$E3162,$E3162)=1,1,0))</f>
        <v/>
      </c>
      <c r="AO3162">
        <f>IF($AN3162=1,SUMPRODUCT(--($AR$2:$AR$4001&lt;$AR3162))+1,"")</f>
        <v/>
      </c>
      <c r="AP3162">
        <f>IF($E3162="","",IF(OR($U3162=TRUE(),$U3162="TRUE"),1,0))</f>
        <v/>
      </c>
      <c r="AQ3162">
        <f>IF($E3162="","",IF($AA3162="Yes",1,0))</f>
        <v/>
      </c>
      <c r="AR3162">
        <f>IF($AN3162=1,IFERROR(VALUE(MID($E3162,2,20)),1000000000)+ROW()/100000,"")</f>
        <v/>
      </c>
    </row>
    <row r="3163">
      <c r="G3163" s="11" t="n"/>
      <c r="Q3163" s="7">
        <f>IF($E3163="","",P3163*Y3163/100)</f>
        <v/>
      </c>
      <c r="R3163" s="7" t="n"/>
      <c r="X3163" s="7" t="n"/>
      <c r="Y3163" s="7" t="n"/>
      <c r="AB3163">
        <f>IF($E3163="","",IF($AQ3163=1,0,IF($AP3163=1,Settings!$C$6,Settings!$C$7))*100)</f>
        <v/>
      </c>
      <c r="AC3163" s="7">
        <f>IF($E3163="","",Y3163*AB3163/100)</f>
        <v/>
      </c>
      <c r="AD3163" s="7">
        <f>IF($E3163="","",Y3163-AC3163)</f>
        <v/>
      </c>
      <c r="AE3163" s="7">
        <f>IF($E3163="","",AD3163-Q3163)</f>
        <v/>
      </c>
      <c r="AI3163" s="7" t="n"/>
      <c r="AL3163" s="11" t="n"/>
      <c r="AN3163">
        <f>IF($E3163="","",IF(COUNTIF($E$2:$E3163,$E3163)=1,1,0))</f>
        <v/>
      </c>
      <c r="AO3163">
        <f>IF($AN3163=1,SUMPRODUCT(--($AR$2:$AR$4001&lt;$AR3163))+1,"")</f>
        <v/>
      </c>
      <c r="AP3163">
        <f>IF($E3163="","",IF(OR($U3163=TRUE(),$U3163="TRUE"),1,0))</f>
        <v/>
      </c>
      <c r="AQ3163">
        <f>IF($E3163="","",IF($AA3163="Yes",1,0))</f>
        <v/>
      </c>
      <c r="AR3163">
        <f>IF($AN3163=1,IFERROR(VALUE(MID($E3163,2,20)),1000000000)+ROW()/100000,"")</f>
        <v/>
      </c>
    </row>
    <row r="3164">
      <c r="G3164" s="11" t="n"/>
      <c r="Q3164" s="7">
        <f>IF($E3164="","",P3164*Y3164/100)</f>
        <v/>
      </c>
      <c r="R3164" s="7" t="n"/>
      <c r="X3164" s="7" t="n"/>
      <c r="Y3164" s="7" t="n"/>
      <c r="AB3164">
        <f>IF($E3164="","",IF($AQ3164=1,0,IF($AP3164=1,Settings!$C$6,Settings!$C$7))*100)</f>
        <v/>
      </c>
      <c r="AC3164" s="7">
        <f>IF($E3164="","",Y3164*AB3164/100)</f>
        <v/>
      </c>
      <c r="AD3164" s="7">
        <f>IF($E3164="","",Y3164-AC3164)</f>
        <v/>
      </c>
      <c r="AE3164" s="7">
        <f>IF($E3164="","",AD3164-Q3164)</f>
        <v/>
      </c>
      <c r="AI3164" s="7" t="n"/>
      <c r="AL3164" s="11" t="n"/>
      <c r="AN3164">
        <f>IF($E3164="","",IF(COUNTIF($E$2:$E3164,$E3164)=1,1,0))</f>
        <v/>
      </c>
      <c r="AO3164">
        <f>IF($AN3164=1,SUMPRODUCT(--($AR$2:$AR$4001&lt;$AR3164))+1,"")</f>
        <v/>
      </c>
      <c r="AP3164">
        <f>IF($E3164="","",IF(OR($U3164=TRUE(),$U3164="TRUE"),1,0))</f>
        <v/>
      </c>
      <c r="AQ3164">
        <f>IF($E3164="","",IF($AA3164="Yes",1,0))</f>
        <v/>
      </c>
      <c r="AR3164">
        <f>IF($AN3164=1,IFERROR(VALUE(MID($E3164,2,20)),1000000000)+ROW()/100000,"")</f>
        <v/>
      </c>
    </row>
    <row r="3165">
      <c r="G3165" s="11" t="n"/>
      <c r="Q3165" s="7">
        <f>IF($E3165="","",P3165*Y3165/100)</f>
        <v/>
      </c>
      <c r="R3165" s="7" t="n"/>
      <c r="X3165" s="7" t="n"/>
      <c r="Y3165" s="7" t="n"/>
      <c r="AB3165">
        <f>IF($E3165="","",IF($AQ3165=1,0,IF($AP3165=1,Settings!$C$6,Settings!$C$7))*100)</f>
        <v/>
      </c>
      <c r="AC3165" s="7">
        <f>IF($E3165="","",Y3165*AB3165/100)</f>
        <v/>
      </c>
      <c r="AD3165" s="7">
        <f>IF($E3165="","",Y3165-AC3165)</f>
        <v/>
      </c>
      <c r="AE3165" s="7">
        <f>IF($E3165="","",AD3165-Q3165)</f>
        <v/>
      </c>
      <c r="AI3165" s="7" t="n"/>
      <c r="AL3165" s="11" t="n"/>
      <c r="AN3165">
        <f>IF($E3165="","",IF(COUNTIF($E$2:$E3165,$E3165)=1,1,0))</f>
        <v/>
      </c>
      <c r="AO3165">
        <f>IF($AN3165=1,SUMPRODUCT(--($AR$2:$AR$4001&lt;$AR3165))+1,"")</f>
        <v/>
      </c>
      <c r="AP3165">
        <f>IF($E3165="","",IF(OR($U3165=TRUE(),$U3165="TRUE"),1,0))</f>
        <v/>
      </c>
      <c r="AQ3165">
        <f>IF($E3165="","",IF($AA3165="Yes",1,0))</f>
        <v/>
      </c>
      <c r="AR3165">
        <f>IF($AN3165=1,IFERROR(VALUE(MID($E3165,2,20)),1000000000)+ROW()/100000,"")</f>
        <v/>
      </c>
    </row>
    <row r="3166">
      <c r="G3166" s="11" t="n"/>
      <c r="Q3166" s="7">
        <f>IF($E3166="","",P3166*Y3166/100)</f>
        <v/>
      </c>
      <c r="R3166" s="7" t="n"/>
      <c r="X3166" s="7" t="n"/>
      <c r="Y3166" s="7" t="n"/>
      <c r="AB3166">
        <f>IF($E3166="","",IF($AQ3166=1,0,IF($AP3166=1,Settings!$C$6,Settings!$C$7))*100)</f>
        <v/>
      </c>
      <c r="AC3166" s="7">
        <f>IF($E3166="","",Y3166*AB3166/100)</f>
        <v/>
      </c>
      <c r="AD3166" s="7">
        <f>IF($E3166="","",Y3166-AC3166)</f>
        <v/>
      </c>
      <c r="AE3166" s="7">
        <f>IF($E3166="","",AD3166-Q3166)</f>
        <v/>
      </c>
      <c r="AI3166" s="7" t="n"/>
      <c r="AL3166" s="11" t="n"/>
      <c r="AN3166">
        <f>IF($E3166="","",IF(COUNTIF($E$2:$E3166,$E3166)=1,1,0))</f>
        <v/>
      </c>
      <c r="AO3166">
        <f>IF($AN3166=1,SUMPRODUCT(--($AR$2:$AR$4001&lt;$AR3166))+1,"")</f>
        <v/>
      </c>
      <c r="AP3166">
        <f>IF($E3166="","",IF(OR($U3166=TRUE(),$U3166="TRUE"),1,0))</f>
        <v/>
      </c>
      <c r="AQ3166">
        <f>IF($E3166="","",IF($AA3166="Yes",1,0))</f>
        <v/>
      </c>
      <c r="AR3166">
        <f>IF($AN3166=1,IFERROR(VALUE(MID($E3166,2,20)),1000000000)+ROW()/100000,"")</f>
        <v/>
      </c>
    </row>
    <row r="3167">
      <c r="G3167" s="11" t="n"/>
      <c r="Q3167" s="7">
        <f>IF($E3167="","",P3167*Y3167/100)</f>
        <v/>
      </c>
      <c r="R3167" s="7" t="n"/>
      <c r="X3167" s="7" t="n"/>
      <c r="Y3167" s="7" t="n"/>
      <c r="AB3167">
        <f>IF($E3167="","",IF($AQ3167=1,0,IF($AP3167=1,Settings!$C$6,Settings!$C$7))*100)</f>
        <v/>
      </c>
      <c r="AC3167" s="7">
        <f>IF($E3167="","",Y3167*AB3167/100)</f>
        <v/>
      </c>
      <c r="AD3167" s="7">
        <f>IF($E3167="","",Y3167-AC3167)</f>
        <v/>
      </c>
      <c r="AE3167" s="7">
        <f>IF($E3167="","",AD3167-Q3167)</f>
        <v/>
      </c>
      <c r="AI3167" s="7" t="n"/>
      <c r="AL3167" s="11" t="n"/>
      <c r="AN3167">
        <f>IF($E3167="","",IF(COUNTIF($E$2:$E3167,$E3167)=1,1,0))</f>
        <v/>
      </c>
      <c r="AO3167">
        <f>IF($AN3167=1,SUMPRODUCT(--($AR$2:$AR$4001&lt;$AR3167))+1,"")</f>
        <v/>
      </c>
      <c r="AP3167">
        <f>IF($E3167="","",IF(OR($U3167=TRUE(),$U3167="TRUE"),1,0))</f>
        <v/>
      </c>
      <c r="AQ3167">
        <f>IF($E3167="","",IF($AA3167="Yes",1,0))</f>
        <v/>
      </c>
      <c r="AR3167">
        <f>IF($AN3167=1,IFERROR(VALUE(MID($E3167,2,20)),1000000000)+ROW()/100000,"")</f>
        <v/>
      </c>
    </row>
    <row r="3168">
      <c r="G3168" s="11" t="n"/>
      <c r="Q3168" s="7">
        <f>IF($E3168="","",P3168*Y3168/100)</f>
        <v/>
      </c>
      <c r="R3168" s="7" t="n"/>
      <c r="X3168" s="7" t="n"/>
      <c r="Y3168" s="7" t="n"/>
      <c r="AB3168">
        <f>IF($E3168="","",IF($AQ3168=1,0,IF($AP3168=1,Settings!$C$6,Settings!$C$7))*100)</f>
        <v/>
      </c>
      <c r="AC3168" s="7">
        <f>IF($E3168="","",Y3168*AB3168/100)</f>
        <v/>
      </c>
      <c r="AD3168" s="7">
        <f>IF($E3168="","",Y3168-AC3168)</f>
        <v/>
      </c>
      <c r="AE3168" s="7">
        <f>IF($E3168="","",AD3168-Q3168)</f>
        <v/>
      </c>
      <c r="AI3168" s="7" t="n"/>
      <c r="AL3168" s="11" t="n"/>
      <c r="AN3168">
        <f>IF($E3168="","",IF(COUNTIF($E$2:$E3168,$E3168)=1,1,0))</f>
        <v/>
      </c>
      <c r="AO3168">
        <f>IF($AN3168=1,SUMPRODUCT(--($AR$2:$AR$4001&lt;$AR3168))+1,"")</f>
        <v/>
      </c>
      <c r="AP3168">
        <f>IF($E3168="","",IF(OR($U3168=TRUE(),$U3168="TRUE"),1,0))</f>
        <v/>
      </c>
      <c r="AQ3168">
        <f>IF($E3168="","",IF($AA3168="Yes",1,0))</f>
        <v/>
      </c>
      <c r="AR3168">
        <f>IF($AN3168=1,IFERROR(VALUE(MID($E3168,2,20)),1000000000)+ROW()/100000,"")</f>
        <v/>
      </c>
    </row>
    <row r="3169">
      <c r="G3169" s="11" t="n"/>
      <c r="Q3169" s="7">
        <f>IF($E3169="","",P3169*Y3169/100)</f>
        <v/>
      </c>
      <c r="R3169" s="7" t="n"/>
      <c r="X3169" s="7" t="n"/>
      <c r="Y3169" s="7" t="n"/>
      <c r="AB3169">
        <f>IF($E3169="","",IF($AQ3169=1,0,IF($AP3169=1,Settings!$C$6,Settings!$C$7))*100)</f>
        <v/>
      </c>
      <c r="AC3169" s="7">
        <f>IF($E3169="","",Y3169*AB3169/100)</f>
        <v/>
      </c>
      <c r="AD3169" s="7">
        <f>IF($E3169="","",Y3169-AC3169)</f>
        <v/>
      </c>
      <c r="AE3169" s="7">
        <f>IF($E3169="","",AD3169-Q3169)</f>
        <v/>
      </c>
      <c r="AI3169" s="7" t="n"/>
      <c r="AL3169" s="11" t="n"/>
      <c r="AN3169">
        <f>IF($E3169="","",IF(COUNTIF($E$2:$E3169,$E3169)=1,1,0))</f>
        <v/>
      </c>
      <c r="AO3169">
        <f>IF($AN3169=1,SUMPRODUCT(--($AR$2:$AR$4001&lt;$AR3169))+1,"")</f>
        <v/>
      </c>
      <c r="AP3169">
        <f>IF($E3169="","",IF(OR($U3169=TRUE(),$U3169="TRUE"),1,0))</f>
        <v/>
      </c>
      <c r="AQ3169">
        <f>IF($E3169="","",IF($AA3169="Yes",1,0))</f>
        <v/>
      </c>
      <c r="AR3169">
        <f>IF($AN3169=1,IFERROR(VALUE(MID($E3169,2,20)),1000000000)+ROW()/100000,"")</f>
        <v/>
      </c>
    </row>
    <row r="3170">
      <c r="G3170" s="11" t="n"/>
      <c r="Q3170" s="7">
        <f>IF($E3170="","",P3170*Y3170/100)</f>
        <v/>
      </c>
      <c r="R3170" s="7" t="n"/>
      <c r="X3170" s="7" t="n"/>
      <c r="Y3170" s="7" t="n"/>
      <c r="AB3170">
        <f>IF($E3170="","",IF($AQ3170=1,0,IF($AP3170=1,Settings!$C$6,Settings!$C$7))*100)</f>
        <v/>
      </c>
      <c r="AC3170" s="7">
        <f>IF($E3170="","",Y3170*AB3170/100)</f>
        <v/>
      </c>
      <c r="AD3170" s="7">
        <f>IF($E3170="","",Y3170-AC3170)</f>
        <v/>
      </c>
      <c r="AE3170" s="7">
        <f>IF($E3170="","",AD3170-Q3170)</f>
        <v/>
      </c>
      <c r="AI3170" s="7" t="n"/>
      <c r="AL3170" s="11" t="n"/>
      <c r="AN3170">
        <f>IF($E3170="","",IF(COUNTIF($E$2:$E3170,$E3170)=1,1,0))</f>
        <v/>
      </c>
      <c r="AO3170">
        <f>IF($AN3170=1,SUMPRODUCT(--($AR$2:$AR$4001&lt;$AR3170))+1,"")</f>
        <v/>
      </c>
      <c r="AP3170">
        <f>IF($E3170="","",IF(OR($U3170=TRUE(),$U3170="TRUE"),1,0))</f>
        <v/>
      </c>
      <c r="AQ3170">
        <f>IF($E3170="","",IF($AA3170="Yes",1,0))</f>
        <v/>
      </c>
      <c r="AR3170">
        <f>IF($AN3170=1,IFERROR(VALUE(MID($E3170,2,20)),1000000000)+ROW()/100000,"")</f>
        <v/>
      </c>
    </row>
    <row r="3171">
      <c r="G3171" s="11" t="n"/>
      <c r="Q3171" s="7">
        <f>IF($E3171="","",P3171*Y3171/100)</f>
        <v/>
      </c>
      <c r="R3171" s="7" t="n"/>
      <c r="X3171" s="7" t="n"/>
      <c r="Y3171" s="7" t="n"/>
      <c r="AB3171">
        <f>IF($E3171="","",IF($AQ3171=1,0,IF($AP3171=1,Settings!$C$6,Settings!$C$7))*100)</f>
        <v/>
      </c>
      <c r="AC3171" s="7">
        <f>IF($E3171="","",Y3171*AB3171/100)</f>
        <v/>
      </c>
      <c r="AD3171" s="7">
        <f>IF($E3171="","",Y3171-AC3171)</f>
        <v/>
      </c>
      <c r="AE3171" s="7">
        <f>IF($E3171="","",AD3171-Q3171)</f>
        <v/>
      </c>
      <c r="AI3171" s="7" t="n"/>
      <c r="AL3171" s="11" t="n"/>
      <c r="AN3171">
        <f>IF($E3171="","",IF(COUNTIF($E$2:$E3171,$E3171)=1,1,0))</f>
        <v/>
      </c>
      <c r="AO3171">
        <f>IF($AN3171=1,SUMPRODUCT(--($AR$2:$AR$4001&lt;$AR3171))+1,"")</f>
        <v/>
      </c>
      <c r="AP3171">
        <f>IF($E3171="","",IF(OR($U3171=TRUE(),$U3171="TRUE"),1,0))</f>
        <v/>
      </c>
      <c r="AQ3171">
        <f>IF($E3171="","",IF($AA3171="Yes",1,0))</f>
        <v/>
      </c>
      <c r="AR3171">
        <f>IF($AN3171=1,IFERROR(VALUE(MID($E3171,2,20)),1000000000)+ROW()/100000,"")</f>
        <v/>
      </c>
    </row>
    <row r="3172">
      <c r="G3172" s="11" t="n"/>
      <c r="Q3172" s="7">
        <f>IF($E3172="","",P3172*Y3172/100)</f>
        <v/>
      </c>
      <c r="R3172" s="7" t="n"/>
      <c r="X3172" s="7" t="n"/>
      <c r="Y3172" s="7" t="n"/>
      <c r="AB3172">
        <f>IF($E3172="","",IF($AQ3172=1,0,IF($AP3172=1,Settings!$C$6,Settings!$C$7))*100)</f>
        <v/>
      </c>
      <c r="AC3172" s="7">
        <f>IF($E3172="","",Y3172*AB3172/100)</f>
        <v/>
      </c>
      <c r="AD3172" s="7">
        <f>IF($E3172="","",Y3172-AC3172)</f>
        <v/>
      </c>
      <c r="AE3172" s="7">
        <f>IF($E3172="","",AD3172-Q3172)</f>
        <v/>
      </c>
      <c r="AI3172" s="7" t="n"/>
      <c r="AL3172" s="11" t="n"/>
      <c r="AN3172">
        <f>IF($E3172="","",IF(COUNTIF($E$2:$E3172,$E3172)=1,1,0))</f>
        <v/>
      </c>
      <c r="AO3172">
        <f>IF($AN3172=1,SUMPRODUCT(--($AR$2:$AR$4001&lt;$AR3172))+1,"")</f>
        <v/>
      </c>
      <c r="AP3172">
        <f>IF($E3172="","",IF(OR($U3172=TRUE(),$U3172="TRUE"),1,0))</f>
        <v/>
      </c>
      <c r="AQ3172">
        <f>IF($E3172="","",IF($AA3172="Yes",1,0))</f>
        <v/>
      </c>
      <c r="AR3172">
        <f>IF($AN3172=1,IFERROR(VALUE(MID($E3172,2,20)),1000000000)+ROW()/100000,"")</f>
        <v/>
      </c>
    </row>
    <row r="3173">
      <c r="G3173" s="11" t="n"/>
      <c r="Q3173" s="7">
        <f>IF($E3173="","",P3173*Y3173/100)</f>
        <v/>
      </c>
      <c r="R3173" s="7" t="n"/>
      <c r="X3173" s="7" t="n"/>
      <c r="Y3173" s="7" t="n"/>
      <c r="AB3173">
        <f>IF($E3173="","",IF($AQ3173=1,0,IF($AP3173=1,Settings!$C$6,Settings!$C$7))*100)</f>
        <v/>
      </c>
      <c r="AC3173" s="7">
        <f>IF($E3173="","",Y3173*AB3173/100)</f>
        <v/>
      </c>
      <c r="AD3173" s="7">
        <f>IF($E3173="","",Y3173-AC3173)</f>
        <v/>
      </c>
      <c r="AE3173" s="7">
        <f>IF($E3173="","",AD3173-Q3173)</f>
        <v/>
      </c>
      <c r="AI3173" s="7" t="n"/>
      <c r="AL3173" s="11" t="n"/>
      <c r="AN3173">
        <f>IF($E3173="","",IF(COUNTIF($E$2:$E3173,$E3173)=1,1,0))</f>
        <v/>
      </c>
      <c r="AO3173">
        <f>IF($AN3173=1,SUMPRODUCT(--($AR$2:$AR$4001&lt;$AR3173))+1,"")</f>
        <v/>
      </c>
      <c r="AP3173">
        <f>IF($E3173="","",IF(OR($U3173=TRUE(),$U3173="TRUE"),1,0))</f>
        <v/>
      </c>
      <c r="AQ3173">
        <f>IF($E3173="","",IF($AA3173="Yes",1,0))</f>
        <v/>
      </c>
      <c r="AR3173">
        <f>IF($AN3173=1,IFERROR(VALUE(MID($E3173,2,20)),1000000000)+ROW()/100000,"")</f>
        <v/>
      </c>
    </row>
    <row r="3174">
      <c r="G3174" s="11" t="n"/>
      <c r="Q3174" s="7">
        <f>IF($E3174="","",P3174*Y3174/100)</f>
        <v/>
      </c>
      <c r="R3174" s="7" t="n"/>
      <c r="X3174" s="7" t="n"/>
      <c r="Y3174" s="7" t="n"/>
      <c r="AB3174">
        <f>IF($E3174="","",IF($AQ3174=1,0,IF($AP3174=1,Settings!$C$6,Settings!$C$7))*100)</f>
        <v/>
      </c>
      <c r="AC3174" s="7">
        <f>IF($E3174="","",Y3174*AB3174/100)</f>
        <v/>
      </c>
      <c r="AD3174" s="7">
        <f>IF($E3174="","",Y3174-AC3174)</f>
        <v/>
      </c>
      <c r="AE3174" s="7">
        <f>IF($E3174="","",AD3174-Q3174)</f>
        <v/>
      </c>
      <c r="AI3174" s="7" t="n"/>
      <c r="AL3174" s="11" t="n"/>
      <c r="AN3174">
        <f>IF($E3174="","",IF(COUNTIF($E$2:$E3174,$E3174)=1,1,0))</f>
        <v/>
      </c>
      <c r="AO3174">
        <f>IF($AN3174=1,SUMPRODUCT(--($AR$2:$AR$4001&lt;$AR3174))+1,"")</f>
        <v/>
      </c>
      <c r="AP3174">
        <f>IF($E3174="","",IF(OR($U3174=TRUE(),$U3174="TRUE"),1,0))</f>
        <v/>
      </c>
      <c r="AQ3174">
        <f>IF($E3174="","",IF($AA3174="Yes",1,0))</f>
        <v/>
      </c>
      <c r="AR3174">
        <f>IF($AN3174=1,IFERROR(VALUE(MID($E3174,2,20)),1000000000)+ROW()/100000,"")</f>
        <v/>
      </c>
    </row>
    <row r="3175">
      <c r="G3175" s="11" t="n"/>
      <c r="Q3175" s="7">
        <f>IF($E3175="","",P3175*Y3175/100)</f>
        <v/>
      </c>
      <c r="R3175" s="7" t="n"/>
      <c r="X3175" s="7" t="n"/>
      <c r="Y3175" s="7" t="n"/>
      <c r="AB3175">
        <f>IF($E3175="","",IF($AQ3175=1,0,IF($AP3175=1,Settings!$C$6,Settings!$C$7))*100)</f>
        <v/>
      </c>
      <c r="AC3175" s="7">
        <f>IF($E3175="","",Y3175*AB3175/100)</f>
        <v/>
      </c>
      <c r="AD3175" s="7">
        <f>IF($E3175="","",Y3175-AC3175)</f>
        <v/>
      </c>
      <c r="AE3175" s="7">
        <f>IF($E3175="","",AD3175-Q3175)</f>
        <v/>
      </c>
      <c r="AI3175" s="7" t="n"/>
      <c r="AL3175" s="11" t="n"/>
      <c r="AN3175">
        <f>IF($E3175="","",IF(COUNTIF($E$2:$E3175,$E3175)=1,1,0))</f>
        <v/>
      </c>
      <c r="AO3175">
        <f>IF($AN3175=1,SUMPRODUCT(--($AR$2:$AR$4001&lt;$AR3175))+1,"")</f>
        <v/>
      </c>
      <c r="AP3175">
        <f>IF($E3175="","",IF(OR($U3175=TRUE(),$U3175="TRUE"),1,0))</f>
        <v/>
      </c>
      <c r="AQ3175">
        <f>IF($E3175="","",IF($AA3175="Yes",1,0))</f>
        <v/>
      </c>
      <c r="AR3175">
        <f>IF($AN3175=1,IFERROR(VALUE(MID($E3175,2,20)),1000000000)+ROW()/100000,"")</f>
        <v/>
      </c>
    </row>
    <row r="3176">
      <c r="G3176" s="11" t="n"/>
      <c r="Q3176" s="7">
        <f>IF($E3176="","",P3176*Y3176/100)</f>
        <v/>
      </c>
      <c r="R3176" s="7" t="n"/>
      <c r="X3176" s="7" t="n"/>
      <c r="Y3176" s="7" t="n"/>
      <c r="AB3176">
        <f>IF($E3176="","",IF($AQ3176=1,0,IF($AP3176=1,Settings!$C$6,Settings!$C$7))*100)</f>
        <v/>
      </c>
      <c r="AC3176" s="7">
        <f>IF($E3176="","",Y3176*AB3176/100)</f>
        <v/>
      </c>
      <c r="AD3176" s="7">
        <f>IF($E3176="","",Y3176-AC3176)</f>
        <v/>
      </c>
      <c r="AE3176" s="7">
        <f>IF($E3176="","",AD3176-Q3176)</f>
        <v/>
      </c>
      <c r="AI3176" s="7" t="n"/>
      <c r="AL3176" s="11" t="n"/>
      <c r="AN3176">
        <f>IF($E3176="","",IF(COUNTIF($E$2:$E3176,$E3176)=1,1,0))</f>
        <v/>
      </c>
      <c r="AO3176">
        <f>IF($AN3176=1,SUMPRODUCT(--($AR$2:$AR$4001&lt;$AR3176))+1,"")</f>
        <v/>
      </c>
      <c r="AP3176">
        <f>IF($E3176="","",IF(OR($U3176=TRUE(),$U3176="TRUE"),1,0))</f>
        <v/>
      </c>
      <c r="AQ3176">
        <f>IF($E3176="","",IF($AA3176="Yes",1,0))</f>
        <v/>
      </c>
      <c r="AR3176">
        <f>IF($AN3176=1,IFERROR(VALUE(MID($E3176,2,20)),1000000000)+ROW()/100000,"")</f>
        <v/>
      </c>
    </row>
    <row r="3177">
      <c r="G3177" s="11" t="n"/>
      <c r="Q3177" s="7">
        <f>IF($E3177="","",P3177*Y3177/100)</f>
        <v/>
      </c>
      <c r="R3177" s="7" t="n"/>
      <c r="X3177" s="7" t="n"/>
      <c r="Y3177" s="7" t="n"/>
      <c r="AB3177">
        <f>IF($E3177="","",IF($AQ3177=1,0,IF($AP3177=1,Settings!$C$6,Settings!$C$7))*100)</f>
        <v/>
      </c>
      <c r="AC3177" s="7">
        <f>IF($E3177="","",Y3177*AB3177/100)</f>
        <v/>
      </c>
      <c r="AD3177" s="7">
        <f>IF($E3177="","",Y3177-AC3177)</f>
        <v/>
      </c>
      <c r="AE3177" s="7">
        <f>IF($E3177="","",AD3177-Q3177)</f>
        <v/>
      </c>
      <c r="AI3177" s="7" t="n"/>
      <c r="AL3177" s="11" t="n"/>
      <c r="AN3177">
        <f>IF($E3177="","",IF(COUNTIF($E$2:$E3177,$E3177)=1,1,0))</f>
        <v/>
      </c>
      <c r="AO3177">
        <f>IF($AN3177=1,SUMPRODUCT(--($AR$2:$AR$4001&lt;$AR3177))+1,"")</f>
        <v/>
      </c>
      <c r="AP3177">
        <f>IF($E3177="","",IF(OR($U3177=TRUE(),$U3177="TRUE"),1,0))</f>
        <v/>
      </c>
      <c r="AQ3177">
        <f>IF($E3177="","",IF($AA3177="Yes",1,0))</f>
        <v/>
      </c>
      <c r="AR3177">
        <f>IF($AN3177=1,IFERROR(VALUE(MID($E3177,2,20)),1000000000)+ROW()/100000,"")</f>
        <v/>
      </c>
    </row>
    <row r="3178">
      <c r="G3178" s="11" t="n"/>
      <c r="Q3178" s="7">
        <f>IF($E3178="","",P3178*Y3178/100)</f>
        <v/>
      </c>
      <c r="R3178" s="7" t="n"/>
      <c r="X3178" s="7" t="n"/>
      <c r="Y3178" s="7" t="n"/>
      <c r="AB3178">
        <f>IF($E3178="","",IF($AQ3178=1,0,IF($AP3178=1,Settings!$C$6,Settings!$C$7))*100)</f>
        <v/>
      </c>
      <c r="AC3178" s="7">
        <f>IF($E3178="","",Y3178*AB3178/100)</f>
        <v/>
      </c>
      <c r="AD3178" s="7">
        <f>IF($E3178="","",Y3178-AC3178)</f>
        <v/>
      </c>
      <c r="AE3178" s="7">
        <f>IF($E3178="","",AD3178-Q3178)</f>
        <v/>
      </c>
      <c r="AI3178" s="7" t="n"/>
      <c r="AL3178" s="11" t="n"/>
      <c r="AN3178">
        <f>IF($E3178="","",IF(COUNTIF($E$2:$E3178,$E3178)=1,1,0))</f>
        <v/>
      </c>
      <c r="AO3178">
        <f>IF($AN3178=1,SUMPRODUCT(--($AR$2:$AR$4001&lt;$AR3178))+1,"")</f>
        <v/>
      </c>
      <c r="AP3178">
        <f>IF($E3178="","",IF(OR($U3178=TRUE(),$U3178="TRUE"),1,0))</f>
        <v/>
      </c>
      <c r="AQ3178">
        <f>IF($E3178="","",IF($AA3178="Yes",1,0))</f>
        <v/>
      </c>
      <c r="AR3178">
        <f>IF($AN3178=1,IFERROR(VALUE(MID($E3178,2,20)),1000000000)+ROW()/100000,"")</f>
        <v/>
      </c>
    </row>
    <row r="3179">
      <c r="G3179" s="11" t="n"/>
      <c r="Q3179" s="7">
        <f>IF($E3179="","",P3179*Y3179/100)</f>
        <v/>
      </c>
      <c r="R3179" s="7" t="n"/>
      <c r="X3179" s="7" t="n"/>
      <c r="Y3179" s="7" t="n"/>
      <c r="AB3179">
        <f>IF($E3179="","",IF($AQ3179=1,0,IF($AP3179=1,Settings!$C$6,Settings!$C$7))*100)</f>
        <v/>
      </c>
      <c r="AC3179" s="7">
        <f>IF($E3179="","",Y3179*AB3179/100)</f>
        <v/>
      </c>
      <c r="AD3179" s="7">
        <f>IF($E3179="","",Y3179-AC3179)</f>
        <v/>
      </c>
      <c r="AE3179" s="7">
        <f>IF($E3179="","",AD3179-Q3179)</f>
        <v/>
      </c>
      <c r="AI3179" s="7" t="n"/>
      <c r="AL3179" s="11" t="n"/>
      <c r="AN3179">
        <f>IF($E3179="","",IF(COUNTIF($E$2:$E3179,$E3179)=1,1,0))</f>
        <v/>
      </c>
      <c r="AO3179">
        <f>IF($AN3179=1,SUMPRODUCT(--($AR$2:$AR$4001&lt;$AR3179))+1,"")</f>
        <v/>
      </c>
      <c r="AP3179">
        <f>IF($E3179="","",IF(OR($U3179=TRUE(),$U3179="TRUE"),1,0))</f>
        <v/>
      </c>
      <c r="AQ3179">
        <f>IF($E3179="","",IF($AA3179="Yes",1,0))</f>
        <v/>
      </c>
      <c r="AR3179">
        <f>IF($AN3179=1,IFERROR(VALUE(MID($E3179,2,20)),1000000000)+ROW()/100000,"")</f>
        <v/>
      </c>
    </row>
    <row r="3180">
      <c r="G3180" s="11" t="n"/>
      <c r="Q3180" s="7">
        <f>IF($E3180="","",P3180*Y3180/100)</f>
        <v/>
      </c>
      <c r="R3180" s="7" t="n"/>
      <c r="X3180" s="7" t="n"/>
      <c r="Y3180" s="7" t="n"/>
      <c r="AB3180">
        <f>IF($E3180="","",IF($AQ3180=1,0,IF($AP3180=1,Settings!$C$6,Settings!$C$7))*100)</f>
        <v/>
      </c>
      <c r="AC3180" s="7">
        <f>IF($E3180="","",Y3180*AB3180/100)</f>
        <v/>
      </c>
      <c r="AD3180" s="7">
        <f>IF($E3180="","",Y3180-AC3180)</f>
        <v/>
      </c>
      <c r="AE3180" s="7">
        <f>IF($E3180="","",AD3180-Q3180)</f>
        <v/>
      </c>
      <c r="AI3180" s="7" t="n"/>
      <c r="AL3180" s="11" t="n"/>
      <c r="AN3180">
        <f>IF($E3180="","",IF(COUNTIF($E$2:$E3180,$E3180)=1,1,0))</f>
        <v/>
      </c>
      <c r="AO3180">
        <f>IF($AN3180=1,SUMPRODUCT(--($AR$2:$AR$4001&lt;$AR3180))+1,"")</f>
        <v/>
      </c>
      <c r="AP3180">
        <f>IF($E3180="","",IF(OR($U3180=TRUE(),$U3180="TRUE"),1,0))</f>
        <v/>
      </c>
      <c r="AQ3180">
        <f>IF($E3180="","",IF($AA3180="Yes",1,0))</f>
        <v/>
      </c>
      <c r="AR3180">
        <f>IF($AN3180=1,IFERROR(VALUE(MID($E3180,2,20)),1000000000)+ROW()/100000,"")</f>
        <v/>
      </c>
    </row>
    <row r="3181">
      <c r="G3181" s="11" t="n"/>
      <c r="Q3181" s="7">
        <f>IF($E3181="","",P3181*Y3181/100)</f>
        <v/>
      </c>
      <c r="R3181" s="7" t="n"/>
      <c r="X3181" s="7" t="n"/>
      <c r="Y3181" s="7" t="n"/>
      <c r="AB3181">
        <f>IF($E3181="","",IF($AQ3181=1,0,IF($AP3181=1,Settings!$C$6,Settings!$C$7))*100)</f>
        <v/>
      </c>
      <c r="AC3181" s="7">
        <f>IF($E3181="","",Y3181*AB3181/100)</f>
        <v/>
      </c>
      <c r="AD3181" s="7">
        <f>IF($E3181="","",Y3181-AC3181)</f>
        <v/>
      </c>
      <c r="AE3181" s="7">
        <f>IF($E3181="","",AD3181-Q3181)</f>
        <v/>
      </c>
      <c r="AI3181" s="7" t="n"/>
      <c r="AL3181" s="11" t="n"/>
      <c r="AN3181">
        <f>IF($E3181="","",IF(COUNTIF($E$2:$E3181,$E3181)=1,1,0))</f>
        <v/>
      </c>
      <c r="AO3181">
        <f>IF($AN3181=1,SUMPRODUCT(--($AR$2:$AR$4001&lt;$AR3181))+1,"")</f>
        <v/>
      </c>
      <c r="AP3181">
        <f>IF($E3181="","",IF(OR($U3181=TRUE(),$U3181="TRUE"),1,0))</f>
        <v/>
      </c>
      <c r="AQ3181">
        <f>IF($E3181="","",IF($AA3181="Yes",1,0))</f>
        <v/>
      </c>
      <c r="AR3181">
        <f>IF($AN3181=1,IFERROR(VALUE(MID($E3181,2,20)),1000000000)+ROW()/100000,"")</f>
        <v/>
      </c>
    </row>
    <row r="3182">
      <c r="G3182" s="11" t="n"/>
      <c r="Q3182" s="7">
        <f>IF($E3182="","",P3182*Y3182/100)</f>
        <v/>
      </c>
      <c r="R3182" s="7" t="n"/>
      <c r="X3182" s="7" t="n"/>
      <c r="Y3182" s="7" t="n"/>
      <c r="AB3182">
        <f>IF($E3182="","",IF($AQ3182=1,0,IF($AP3182=1,Settings!$C$6,Settings!$C$7))*100)</f>
        <v/>
      </c>
      <c r="AC3182" s="7">
        <f>IF($E3182="","",Y3182*AB3182/100)</f>
        <v/>
      </c>
      <c r="AD3182" s="7">
        <f>IF($E3182="","",Y3182-AC3182)</f>
        <v/>
      </c>
      <c r="AE3182" s="7">
        <f>IF($E3182="","",AD3182-Q3182)</f>
        <v/>
      </c>
      <c r="AI3182" s="7" t="n"/>
      <c r="AL3182" s="11" t="n"/>
      <c r="AN3182">
        <f>IF($E3182="","",IF(COUNTIF($E$2:$E3182,$E3182)=1,1,0))</f>
        <v/>
      </c>
      <c r="AO3182">
        <f>IF($AN3182=1,SUMPRODUCT(--($AR$2:$AR$4001&lt;$AR3182))+1,"")</f>
        <v/>
      </c>
      <c r="AP3182">
        <f>IF($E3182="","",IF(OR($U3182=TRUE(),$U3182="TRUE"),1,0))</f>
        <v/>
      </c>
      <c r="AQ3182">
        <f>IF($E3182="","",IF($AA3182="Yes",1,0))</f>
        <v/>
      </c>
      <c r="AR3182">
        <f>IF($AN3182=1,IFERROR(VALUE(MID($E3182,2,20)),1000000000)+ROW()/100000,"")</f>
        <v/>
      </c>
    </row>
    <row r="3183">
      <c r="G3183" s="11" t="n"/>
      <c r="Q3183" s="7">
        <f>IF($E3183="","",P3183*Y3183/100)</f>
        <v/>
      </c>
      <c r="R3183" s="7" t="n"/>
      <c r="X3183" s="7" t="n"/>
      <c r="Y3183" s="7" t="n"/>
      <c r="AB3183">
        <f>IF($E3183="","",IF($AQ3183=1,0,IF($AP3183=1,Settings!$C$6,Settings!$C$7))*100)</f>
        <v/>
      </c>
      <c r="AC3183" s="7">
        <f>IF($E3183="","",Y3183*AB3183/100)</f>
        <v/>
      </c>
      <c r="AD3183" s="7">
        <f>IF($E3183="","",Y3183-AC3183)</f>
        <v/>
      </c>
      <c r="AE3183" s="7">
        <f>IF($E3183="","",AD3183-Q3183)</f>
        <v/>
      </c>
      <c r="AI3183" s="7" t="n"/>
      <c r="AL3183" s="11" t="n"/>
      <c r="AN3183">
        <f>IF($E3183="","",IF(COUNTIF($E$2:$E3183,$E3183)=1,1,0))</f>
        <v/>
      </c>
      <c r="AO3183">
        <f>IF($AN3183=1,SUMPRODUCT(--($AR$2:$AR$4001&lt;$AR3183))+1,"")</f>
        <v/>
      </c>
      <c r="AP3183">
        <f>IF($E3183="","",IF(OR($U3183=TRUE(),$U3183="TRUE"),1,0))</f>
        <v/>
      </c>
      <c r="AQ3183">
        <f>IF($E3183="","",IF($AA3183="Yes",1,0))</f>
        <v/>
      </c>
      <c r="AR3183">
        <f>IF($AN3183=1,IFERROR(VALUE(MID($E3183,2,20)),1000000000)+ROW()/100000,"")</f>
        <v/>
      </c>
    </row>
    <row r="3184">
      <c r="G3184" s="11" t="n"/>
      <c r="Q3184" s="7">
        <f>IF($E3184="","",P3184*Y3184/100)</f>
        <v/>
      </c>
      <c r="R3184" s="7" t="n"/>
      <c r="X3184" s="7" t="n"/>
      <c r="Y3184" s="7" t="n"/>
      <c r="AB3184">
        <f>IF($E3184="","",IF($AQ3184=1,0,IF($AP3184=1,Settings!$C$6,Settings!$C$7))*100)</f>
        <v/>
      </c>
      <c r="AC3184" s="7">
        <f>IF($E3184="","",Y3184*AB3184/100)</f>
        <v/>
      </c>
      <c r="AD3184" s="7">
        <f>IF($E3184="","",Y3184-AC3184)</f>
        <v/>
      </c>
      <c r="AE3184" s="7">
        <f>IF($E3184="","",AD3184-Q3184)</f>
        <v/>
      </c>
      <c r="AI3184" s="7" t="n"/>
      <c r="AL3184" s="11" t="n"/>
      <c r="AN3184">
        <f>IF($E3184="","",IF(COUNTIF($E$2:$E3184,$E3184)=1,1,0))</f>
        <v/>
      </c>
      <c r="AO3184">
        <f>IF($AN3184=1,SUMPRODUCT(--($AR$2:$AR$4001&lt;$AR3184))+1,"")</f>
        <v/>
      </c>
      <c r="AP3184">
        <f>IF($E3184="","",IF(OR($U3184=TRUE(),$U3184="TRUE"),1,0))</f>
        <v/>
      </c>
      <c r="AQ3184">
        <f>IF($E3184="","",IF($AA3184="Yes",1,0))</f>
        <v/>
      </c>
      <c r="AR3184">
        <f>IF($AN3184=1,IFERROR(VALUE(MID($E3184,2,20)),1000000000)+ROW()/100000,"")</f>
        <v/>
      </c>
    </row>
    <row r="3185">
      <c r="G3185" s="11" t="n"/>
      <c r="Q3185" s="7">
        <f>IF($E3185="","",P3185*Y3185/100)</f>
        <v/>
      </c>
      <c r="R3185" s="7" t="n"/>
      <c r="X3185" s="7" t="n"/>
      <c r="Y3185" s="7" t="n"/>
      <c r="AB3185">
        <f>IF($E3185="","",IF($AQ3185=1,0,IF($AP3185=1,Settings!$C$6,Settings!$C$7))*100)</f>
        <v/>
      </c>
      <c r="AC3185" s="7">
        <f>IF($E3185="","",Y3185*AB3185/100)</f>
        <v/>
      </c>
      <c r="AD3185" s="7">
        <f>IF($E3185="","",Y3185-AC3185)</f>
        <v/>
      </c>
      <c r="AE3185" s="7">
        <f>IF($E3185="","",AD3185-Q3185)</f>
        <v/>
      </c>
      <c r="AI3185" s="7" t="n"/>
      <c r="AL3185" s="11" t="n"/>
      <c r="AN3185">
        <f>IF($E3185="","",IF(COUNTIF($E$2:$E3185,$E3185)=1,1,0))</f>
        <v/>
      </c>
      <c r="AO3185">
        <f>IF($AN3185=1,SUMPRODUCT(--($AR$2:$AR$4001&lt;$AR3185))+1,"")</f>
        <v/>
      </c>
      <c r="AP3185">
        <f>IF($E3185="","",IF(OR($U3185=TRUE(),$U3185="TRUE"),1,0))</f>
        <v/>
      </c>
      <c r="AQ3185">
        <f>IF($E3185="","",IF($AA3185="Yes",1,0))</f>
        <v/>
      </c>
      <c r="AR3185">
        <f>IF($AN3185=1,IFERROR(VALUE(MID($E3185,2,20)),1000000000)+ROW()/100000,"")</f>
        <v/>
      </c>
    </row>
    <row r="3186">
      <c r="G3186" s="11" t="n"/>
      <c r="Q3186" s="7">
        <f>IF($E3186="","",P3186*Y3186/100)</f>
        <v/>
      </c>
      <c r="R3186" s="7" t="n"/>
      <c r="X3186" s="7" t="n"/>
      <c r="Y3186" s="7" t="n"/>
      <c r="AB3186">
        <f>IF($E3186="","",IF($AQ3186=1,0,IF($AP3186=1,Settings!$C$6,Settings!$C$7))*100)</f>
        <v/>
      </c>
      <c r="AC3186" s="7">
        <f>IF($E3186="","",Y3186*AB3186/100)</f>
        <v/>
      </c>
      <c r="AD3186" s="7">
        <f>IF($E3186="","",Y3186-AC3186)</f>
        <v/>
      </c>
      <c r="AE3186" s="7">
        <f>IF($E3186="","",AD3186-Q3186)</f>
        <v/>
      </c>
      <c r="AI3186" s="7" t="n"/>
      <c r="AL3186" s="11" t="n"/>
      <c r="AN3186">
        <f>IF($E3186="","",IF(COUNTIF($E$2:$E3186,$E3186)=1,1,0))</f>
        <v/>
      </c>
      <c r="AO3186">
        <f>IF($AN3186=1,SUMPRODUCT(--($AR$2:$AR$4001&lt;$AR3186))+1,"")</f>
        <v/>
      </c>
      <c r="AP3186">
        <f>IF($E3186="","",IF(OR($U3186=TRUE(),$U3186="TRUE"),1,0))</f>
        <v/>
      </c>
      <c r="AQ3186">
        <f>IF($E3186="","",IF($AA3186="Yes",1,0))</f>
        <v/>
      </c>
      <c r="AR3186">
        <f>IF($AN3186=1,IFERROR(VALUE(MID($E3186,2,20)),1000000000)+ROW()/100000,"")</f>
        <v/>
      </c>
    </row>
    <row r="3187">
      <c r="G3187" s="11" t="n"/>
      <c r="Q3187" s="7">
        <f>IF($E3187="","",P3187*Y3187/100)</f>
        <v/>
      </c>
      <c r="R3187" s="7" t="n"/>
      <c r="X3187" s="7" t="n"/>
      <c r="Y3187" s="7" t="n"/>
      <c r="AB3187">
        <f>IF($E3187="","",IF($AQ3187=1,0,IF($AP3187=1,Settings!$C$6,Settings!$C$7))*100)</f>
        <v/>
      </c>
      <c r="AC3187" s="7">
        <f>IF($E3187="","",Y3187*AB3187/100)</f>
        <v/>
      </c>
      <c r="AD3187" s="7">
        <f>IF($E3187="","",Y3187-AC3187)</f>
        <v/>
      </c>
      <c r="AE3187" s="7">
        <f>IF($E3187="","",AD3187-Q3187)</f>
        <v/>
      </c>
      <c r="AI3187" s="7" t="n"/>
      <c r="AL3187" s="11" t="n"/>
      <c r="AN3187">
        <f>IF($E3187="","",IF(COUNTIF($E$2:$E3187,$E3187)=1,1,0))</f>
        <v/>
      </c>
      <c r="AO3187">
        <f>IF($AN3187=1,SUMPRODUCT(--($AR$2:$AR$4001&lt;$AR3187))+1,"")</f>
        <v/>
      </c>
      <c r="AP3187">
        <f>IF($E3187="","",IF(OR($U3187=TRUE(),$U3187="TRUE"),1,0))</f>
        <v/>
      </c>
      <c r="AQ3187">
        <f>IF($E3187="","",IF($AA3187="Yes",1,0))</f>
        <v/>
      </c>
      <c r="AR3187">
        <f>IF($AN3187=1,IFERROR(VALUE(MID($E3187,2,20)),1000000000)+ROW()/100000,"")</f>
        <v/>
      </c>
    </row>
    <row r="3188">
      <c r="G3188" s="11" t="n"/>
      <c r="Q3188" s="7">
        <f>IF($E3188="","",P3188*Y3188/100)</f>
        <v/>
      </c>
      <c r="R3188" s="7" t="n"/>
      <c r="X3188" s="7" t="n"/>
      <c r="Y3188" s="7" t="n"/>
      <c r="AB3188">
        <f>IF($E3188="","",IF($AQ3188=1,0,IF($AP3188=1,Settings!$C$6,Settings!$C$7))*100)</f>
        <v/>
      </c>
      <c r="AC3188" s="7">
        <f>IF($E3188="","",Y3188*AB3188/100)</f>
        <v/>
      </c>
      <c r="AD3188" s="7">
        <f>IF($E3188="","",Y3188-AC3188)</f>
        <v/>
      </c>
      <c r="AE3188" s="7">
        <f>IF($E3188="","",AD3188-Q3188)</f>
        <v/>
      </c>
      <c r="AI3188" s="7" t="n"/>
      <c r="AL3188" s="11" t="n"/>
      <c r="AN3188">
        <f>IF($E3188="","",IF(COUNTIF($E$2:$E3188,$E3188)=1,1,0))</f>
        <v/>
      </c>
      <c r="AO3188">
        <f>IF($AN3188=1,SUMPRODUCT(--($AR$2:$AR$4001&lt;$AR3188))+1,"")</f>
        <v/>
      </c>
      <c r="AP3188">
        <f>IF($E3188="","",IF(OR($U3188=TRUE(),$U3188="TRUE"),1,0))</f>
        <v/>
      </c>
      <c r="AQ3188">
        <f>IF($E3188="","",IF($AA3188="Yes",1,0))</f>
        <v/>
      </c>
      <c r="AR3188">
        <f>IF($AN3188=1,IFERROR(VALUE(MID($E3188,2,20)),1000000000)+ROW()/100000,"")</f>
        <v/>
      </c>
    </row>
    <row r="3189">
      <c r="G3189" s="11" t="n"/>
      <c r="Q3189" s="7">
        <f>IF($E3189="","",P3189*Y3189/100)</f>
        <v/>
      </c>
      <c r="R3189" s="7" t="n"/>
      <c r="X3189" s="7" t="n"/>
      <c r="Y3189" s="7" t="n"/>
      <c r="AB3189">
        <f>IF($E3189="","",IF($AQ3189=1,0,IF($AP3189=1,Settings!$C$6,Settings!$C$7))*100)</f>
        <v/>
      </c>
      <c r="AC3189" s="7">
        <f>IF($E3189="","",Y3189*AB3189/100)</f>
        <v/>
      </c>
      <c r="AD3189" s="7">
        <f>IF($E3189="","",Y3189-AC3189)</f>
        <v/>
      </c>
      <c r="AE3189" s="7">
        <f>IF($E3189="","",AD3189-Q3189)</f>
        <v/>
      </c>
      <c r="AI3189" s="7" t="n"/>
      <c r="AL3189" s="11" t="n"/>
      <c r="AN3189">
        <f>IF($E3189="","",IF(COUNTIF($E$2:$E3189,$E3189)=1,1,0))</f>
        <v/>
      </c>
      <c r="AO3189">
        <f>IF($AN3189=1,SUMPRODUCT(--($AR$2:$AR$4001&lt;$AR3189))+1,"")</f>
        <v/>
      </c>
      <c r="AP3189">
        <f>IF($E3189="","",IF(OR($U3189=TRUE(),$U3189="TRUE"),1,0))</f>
        <v/>
      </c>
      <c r="AQ3189">
        <f>IF($E3189="","",IF($AA3189="Yes",1,0))</f>
        <v/>
      </c>
      <c r="AR3189">
        <f>IF($AN3189=1,IFERROR(VALUE(MID($E3189,2,20)),1000000000)+ROW()/100000,"")</f>
        <v/>
      </c>
    </row>
    <row r="3190">
      <c r="G3190" s="11" t="n"/>
      <c r="Q3190" s="7">
        <f>IF($E3190="","",P3190*Y3190/100)</f>
        <v/>
      </c>
      <c r="R3190" s="7" t="n"/>
      <c r="X3190" s="7" t="n"/>
      <c r="Y3190" s="7" t="n"/>
      <c r="AB3190">
        <f>IF($E3190="","",IF($AQ3190=1,0,IF($AP3190=1,Settings!$C$6,Settings!$C$7))*100)</f>
        <v/>
      </c>
      <c r="AC3190" s="7">
        <f>IF($E3190="","",Y3190*AB3190/100)</f>
        <v/>
      </c>
      <c r="AD3190" s="7">
        <f>IF($E3190="","",Y3190-AC3190)</f>
        <v/>
      </c>
      <c r="AE3190" s="7">
        <f>IF($E3190="","",AD3190-Q3190)</f>
        <v/>
      </c>
      <c r="AI3190" s="7" t="n"/>
      <c r="AL3190" s="11" t="n"/>
      <c r="AN3190">
        <f>IF($E3190="","",IF(COUNTIF($E$2:$E3190,$E3190)=1,1,0))</f>
        <v/>
      </c>
      <c r="AO3190">
        <f>IF($AN3190=1,SUMPRODUCT(--($AR$2:$AR$4001&lt;$AR3190))+1,"")</f>
        <v/>
      </c>
      <c r="AP3190">
        <f>IF($E3190="","",IF(OR($U3190=TRUE(),$U3190="TRUE"),1,0))</f>
        <v/>
      </c>
      <c r="AQ3190">
        <f>IF($E3190="","",IF($AA3190="Yes",1,0))</f>
        <v/>
      </c>
      <c r="AR3190">
        <f>IF($AN3190=1,IFERROR(VALUE(MID($E3190,2,20)),1000000000)+ROW()/100000,"")</f>
        <v/>
      </c>
    </row>
    <row r="3191">
      <c r="G3191" s="11" t="n"/>
      <c r="Q3191" s="7">
        <f>IF($E3191="","",P3191*Y3191/100)</f>
        <v/>
      </c>
      <c r="R3191" s="7" t="n"/>
      <c r="X3191" s="7" t="n"/>
      <c r="Y3191" s="7" t="n"/>
      <c r="AB3191">
        <f>IF($E3191="","",IF($AQ3191=1,0,IF($AP3191=1,Settings!$C$6,Settings!$C$7))*100)</f>
        <v/>
      </c>
      <c r="AC3191" s="7">
        <f>IF($E3191="","",Y3191*AB3191/100)</f>
        <v/>
      </c>
      <c r="AD3191" s="7">
        <f>IF($E3191="","",Y3191-AC3191)</f>
        <v/>
      </c>
      <c r="AE3191" s="7">
        <f>IF($E3191="","",AD3191-Q3191)</f>
        <v/>
      </c>
      <c r="AI3191" s="7" t="n"/>
      <c r="AL3191" s="11" t="n"/>
      <c r="AN3191">
        <f>IF($E3191="","",IF(COUNTIF($E$2:$E3191,$E3191)=1,1,0))</f>
        <v/>
      </c>
      <c r="AO3191">
        <f>IF($AN3191=1,SUMPRODUCT(--($AR$2:$AR$4001&lt;$AR3191))+1,"")</f>
        <v/>
      </c>
      <c r="AP3191">
        <f>IF($E3191="","",IF(OR($U3191=TRUE(),$U3191="TRUE"),1,0))</f>
        <v/>
      </c>
      <c r="AQ3191">
        <f>IF($E3191="","",IF($AA3191="Yes",1,0))</f>
        <v/>
      </c>
      <c r="AR3191">
        <f>IF($AN3191=1,IFERROR(VALUE(MID($E3191,2,20)),1000000000)+ROW()/100000,"")</f>
        <v/>
      </c>
    </row>
    <row r="3192">
      <c r="G3192" s="11" t="n"/>
      <c r="Q3192" s="7">
        <f>IF($E3192="","",P3192*Y3192/100)</f>
        <v/>
      </c>
      <c r="R3192" s="7" t="n"/>
      <c r="X3192" s="7" t="n"/>
      <c r="Y3192" s="7" t="n"/>
      <c r="AB3192">
        <f>IF($E3192="","",IF($AQ3192=1,0,IF($AP3192=1,Settings!$C$6,Settings!$C$7))*100)</f>
        <v/>
      </c>
      <c r="AC3192" s="7">
        <f>IF($E3192="","",Y3192*AB3192/100)</f>
        <v/>
      </c>
      <c r="AD3192" s="7">
        <f>IF($E3192="","",Y3192-AC3192)</f>
        <v/>
      </c>
      <c r="AE3192" s="7">
        <f>IF($E3192="","",AD3192-Q3192)</f>
        <v/>
      </c>
      <c r="AI3192" s="7" t="n"/>
      <c r="AL3192" s="11" t="n"/>
      <c r="AN3192">
        <f>IF($E3192="","",IF(COUNTIF($E$2:$E3192,$E3192)=1,1,0))</f>
        <v/>
      </c>
      <c r="AO3192">
        <f>IF($AN3192=1,SUMPRODUCT(--($AR$2:$AR$4001&lt;$AR3192))+1,"")</f>
        <v/>
      </c>
      <c r="AP3192">
        <f>IF($E3192="","",IF(OR($U3192=TRUE(),$U3192="TRUE"),1,0))</f>
        <v/>
      </c>
      <c r="AQ3192">
        <f>IF($E3192="","",IF($AA3192="Yes",1,0))</f>
        <v/>
      </c>
      <c r="AR3192">
        <f>IF($AN3192=1,IFERROR(VALUE(MID($E3192,2,20)),1000000000)+ROW()/100000,"")</f>
        <v/>
      </c>
    </row>
    <row r="3193">
      <c r="G3193" s="11" t="n"/>
      <c r="Q3193" s="7">
        <f>IF($E3193="","",P3193*Y3193/100)</f>
        <v/>
      </c>
      <c r="R3193" s="7" t="n"/>
      <c r="X3193" s="7" t="n"/>
      <c r="Y3193" s="7" t="n"/>
      <c r="AB3193">
        <f>IF($E3193="","",IF($AQ3193=1,0,IF($AP3193=1,Settings!$C$6,Settings!$C$7))*100)</f>
        <v/>
      </c>
      <c r="AC3193" s="7">
        <f>IF($E3193="","",Y3193*AB3193/100)</f>
        <v/>
      </c>
      <c r="AD3193" s="7">
        <f>IF($E3193="","",Y3193-AC3193)</f>
        <v/>
      </c>
      <c r="AE3193" s="7">
        <f>IF($E3193="","",AD3193-Q3193)</f>
        <v/>
      </c>
      <c r="AI3193" s="7" t="n"/>
      <c r="AL3193" s="11" t="n"/>
      <c r="AN3193">
        <f>IF($E3193="","",IF(COUNTIF($E$2:$E3193,$E3193)=1,1,0))</f>
        <v/>
      </c>
      <c r="AO3193">
        <f>IF($AN3193=1,SUMPRODUCT(--($AR$2:$AR$4001&lt;$AR3193))+1,"")</f>
        <v/>
      </c>
      <c r="AP3193">
        <f>IF($E3193="","",IF(OR($U3193=TRUE(),$U3193="TRUE"),1,0))</f>
        <v/>
      </c>
      <c r="AQ3193">
        <f>IF($E3193="","",IF($AA3193="Yes",1,0))</f>
        <v/>
      </c>
      <c r="AR3193">
        <f>IF($AN3193=1,IFERROR(VALUE(MID($E3193,2,20)),1000000000)+ROW()/100000,"")</f>
        <v/>
      </c>
    </row>
    <row r="3194">
      <c r="G3194" s="11" t="n"/>
      <c r="Q3194" s="7">
        <f>IF($E3194="","",P3194*Y3194/100)</f>
        <v/>
      </c>
      <c r="R3194" s="7" t="n"/>
      <c r="X3194" s="7" t="n"/>
      <c r="Y3194" s="7" t="n"/>
      <c r="AB3194">
        <f>IF($E3194="","",IF($AQ3194=1,0,IF($AP3194=1,Settings!$C$6,Settings!$C$7))*100)</f>
        <v/>
      </c>
      <c r="AC3194" s="7">
        <f>IF($E3194="","",Y3194*AB3194/100)</f>
        <v/>
      </c>
      <c r="AD3194" s="7">
        <f>IF($E3194="","",Y3194-AC3194)</f>
        <v/>
      </c>
      <c r="AE3194" s="7">
        <f>IF($E3194="","",AD3194-Q3194)</f>
        <v/>
      </c>
      <c r="AI3194" s="7" t="n"/>
      <c r="AL3194" s="11" t="n"/>
      <c r="AN3194">
        <f>IF($E3194="","",IF(COUNTIF($E$2:$E3194,$E3194)=1,1,0))</f>
        <v/>
      </c>
      <c r="AO3194">
        <f>IF($AN3194=1,SUMPRODUCT(--($AR$2:$AR$4001&lt;$AR3194))+1,"")</f>
        <v/>
      </c>
      <c r="AP3194">
        <f>IF($E3194="","",IF(OR($U3194=TRUE(),$U3194="TRUE"),1,0))</f>
        <v/>
      </c>
      <c r="AQ3194">
        <f>IF($E3194="","",IF($AA3194="Yes",1,0))</f>
        <v/>
      </c>
      <c r="AR3194">
        <f>IF($AN3194=1,IFERROR(VALUE(MID($E3194,2,20)),1000000000)+ROW()/100000,"")</f>
        <v/>
      </c>
    </row>
    <row r="3195">
      <c r="G3195" s="11" t="n"/>
      <c r="Q3195" s="7">
        <f>IF($E3195="","",P3195*Y3195/100)</f>
        <v/>
      </c>
      <c r="R3195" s="7" t="n"/>
      <c r="X3195" s="7" t="n"/>
      <c r="Y3195" s="7" t="n"/>
      <c r="AB3195">
        <f>IF($E3195="","",IF($AQ3195=1,0,IF($AP3195=1,Settings!$C$6,Settings!$C$7))*100)</f>
        <v/>
      </c>
      <c r="AC3195" s="7">
        <f>IF($E3195="","",Y3195*AB3195/100)</f>
        <v/>
      </c>
      <c r="AD3195" s="7">
        <f>IF($E3195="","",Y3195-AC3195)</f>
        <v/>
      </c>
      <c r="AE3195" s="7">
        <f>IF($E3195="","",AD3195-Q3195)</f>
        <v/>
      </c>
      <c r="AI3195" s="7" t="n"/>
      <c r="AL3195" s="11" t="n"/>
      <c r="AN3195">
        <f>IF($E3195="","",IF(COUNTIF($E$2:$E3195,$E3195)=1,1,0))</f>
        <v/>
      </c>
      <c r="AO3195">
        <f>IF($AN3195=1,SUMPRODUCT(--($AR$2:$AR$4001&lt;$AR3195))+1,"")</f>
        <v/>
      </c>
      <c r="AP3195">
        <f>IF($E3195="","",IF(OR($U3195=TRUE(),$U3195="TRUE"),1,0))</f>
        <v/>
      </c>
      <c r="AQ3195">
        <f>IF($E3195="","",IF($AA3195="Yes",1,0))</f>
        <v/>
      </c>
      <c r="AR3195">
        <f>IF($AN3195=1,IFERROR(VALUE(MID($E3195,2,20)),1000000000)+ROW()/100000,"")</f>
        <v/>
      </c>
    </row>
    <row r="3196">
      <c r="G3196" s="11" t="n"/>
      <c r="Q3196" s="7">
        <f>IF($E3196="","",P3196*Y3196/100)</f>
        <v/>
      </c>
      <c r="R3196" s="7" t="n"/>
      <c r="X3196" s="7" t="n"/>
      <c r="Y3196" s="7" t="n"/>
      <c r="AB3196">
        <f>IF($E3196="","",IF($AQ3196=1,0,IF($AP3196=1,Settings!$C$6,Settings!$C$7))*100)</f>
        <v/>
      </c>
      <c r="AC3196" s="7">
        <f>IF($E3196="","",Y3196*AB3196/100)</f>
        <v/>
      </c>
      <c r="AD3196" s="7">
        <f>IF($E3196="","",Y3196-AC3196)</f>
        <v/>
      </c>
      <c r="AE3196" s="7">
        <f>IF($E3196="","",AD3196-Q3196)</f>
        <v/>
      </c>
      <c r="AI3196" s="7" t="n"/>
      <c r="AL3196" s="11" t="n"/>
      <c r="AN3196">
        <f>IF($E3196="","",IF(COUNTIF($E$2:$E3196,$E3196)=1,1,0))</f>
        <v/>
      </c>
      <c r="AO3196">
        <f>IF($AN3196=1,SUMPRODUCT(--($AR$2:$AR$4001&lt;$AR3196))+1,"")</f>
        <v/>
      </c>
      <c r="AP3196">
        <f>IF($E3196="","",IF(OR($U3196=TRUE(),$U3196="TRUE"),1,0))</f>
        <v/>
      </c>
      <c r="AQ3196">
        <f>IF($E3196="","",IF($AA3196="Yes",1,0))</f>
        <v/>
      </c>
      <c r="AR3196">
        <f>IF($AN3196=1,IFERROR(VALUE(MID($E3196,2,20)),1000000000)+ROW()/100000,"")</f>
        <v/>
      </c>
    </row>
    <row r="3197">
      <c r="G3197" s="11" t="n"/>
      <c r="Q3197" s="7">
        <f>IF($E3197="","",P3197*Y3197/100)</f>
        <v/>
      </c>
      <c r="R3197" s="7" t="n"/>
      <c r="X3197" s="7" t="n"/>
      <c r="Y3197" s="7" t="n"/>
      <c r="AB3197">
        <f>IF($E3197="","",IF($AQ3197=1,0,IF($AP3197=1,Settings!$C$6,Settings!$C$7))*100)</f>
        <v/>
      </c>
      <c r="AC3197" s="7">
        <f>IF($E3197="","",Y3197*AB3197/100)</f>
        <v/>
      </c>
      <c r="AD3197" s="7">
        <f>IF($E3197="","",Y3197-AC3197)</f>
        <v/>
      </c>
      <c r="AE3197" s="7">
        <f>IF($E3197="","",AD3197-Q3197)</f>
        <v/>
      </c>
      <c r="AI3197" s="7" t="n"/>
      <c r="AL3197" s="11" t="n"/>
      <c r="AN3197">
        <f>IF($E3197="","",IF(COUNTIF($E$2:$E3197,$E3197)=1,1,0))</f>
        <v/>
      </c>
      <c r="AO3197">
        <f>IF($AN3197=1,SUMPRODUCT(--($AR$2:$AR$4001&lt;$AR3197))+1,"")</f>
        <v/>
      </c>
      <c r="AP3197">
        <f>IF($E3197="","",IF(OR($U3197=TRUE(),$U3197="TRUE"),1,0))</f>
        <v/>
      </c>
      <c r="AQ3197">
        <f>IF($E3197="","",IF($AA3197="Yes",1,0))</f>
        <v/>
      </c>
      <c r="AR3197">
        <f>IF($AN3197=1,IFERROR(VALUE(MID($E3197,2,20)),1000000000)+ROW()/100000,"")</f>
        <v/>
      </c>
    </row>
    <row r="3198">
      <c r="G3198" s="11" t="n"/>
      <c r="Q3198" s="7">
        <f>IF($E3198="","",P3198*Y3198/100)</f>
        <v/>
      </c>
      <c r="R3198" s="7" t="n"/>
      <c r="X3198" s="7" t="n"/>
      <c r="Y3198" s="7" t="n"/>
      <c r="AB3198">
        <f>IF($E3198="","",IF($AQ3198=1,0,IF($AP3198=1,Settings!$C$6,Settings!$C$7))*100)</f>
        <v/>
      </c>
      <c r="AC3198" s="7">
        <f>IF($E3198="","",Y3198*AB3198/100)</f>
        <v/>
      </c>
      <c r="AD3198" s="7">
        <f>IF($E3198="","",Y3198-AC3198)</f>
        <v/>
      </c>
      <c r="AE3198" s="7">
        <f>IF($E3198="","",AD3198-Q3198)</f>
        <v/>
      </c>
      <c r="AI3198" s="7" t="n"/>
      <c r="AL3198" s="11" t="n"/>
      <c r="AN3198">
        <f>IF($E3198="","",IF(COUNTIF($E$2:$E3198,$E3198)=1,1,0))</f>
        <v/>
      </c>
      <c r="AO3198">
        <f>IF($AN3198=1,SUMPRODUCT(--($AR$2:$AR$4001&lt;$AR3198))+1,"")</f>
        <v/>
      </c>
      <c r="AP3198">
        <f>IF($E3198="","",IF(OR($U3198=TRUE(),$U3198="TRUE"),1,0))</f>
        <v/>
      </c>
      <c r="AQ3198">
        <f>IF($E3198="","",IF($AA3198="Yes",1,0))</f>
        <v/>
      </c>
      <c r="AR3198">
        <f>IF($AN3198=1,IFERROR(VALUE(MID($E3198,2,20)),1000000000)+ROW()/100000,"")</f>
        <v/>
      </c>
    </row>
    <row r="3199">
      <c r="G3199" s="11" t="n"/>
      <c r="Q3199" s="7">
        <f>IF($E3199="","",P3199*Y3199/100)</f>
        <v/>
      </c>
      <c r="R3199" s="7" t="n"/>
      <c r="X3199" s="7" t="n"/>
      <c r="Y3199" s="7" t="n"/>
      <c r="AB3199">
        <f>IF($E3199="","",IF($AQ3199=1,0,IF($AP3199=1,Settings!$C$6,Settings!$C$7))*100)</f>
        <v/>
      </c>
      <c r="AC3199" s="7">
        <f>IF($E3199="","",Y3199*AB3199/100)</f>
        <v/>
      </c>
      <c r="AD3199" s="7">
        <f>IF($E3199="","",Y3199-AC3199)</f>
        <v/>
      </c>
      <c r="AE3199" s="7">
        <f>IF($E3199="","",AD3199-Q3199)</f>
        <v/>
      </c>
      <c r="AI3199" s="7" t="n"/>
      <c r="AL3199" s="11" t="n"/>
      <c r="AN3199">
        <f>IF($E3199="","",IF(COUNTIF($E$2:$E3199,$E3199)=1,1,0))</f>
        <v/>
      </c>
      <c r="AO3199">
        <f>IF($AN3199=1,SUMPRODUCT(--($AR$2:$AR$4001&lt;$AR3199))+1,"")</f>
        <v/>
      </c>
      <c r="AP3199">
        <f>IF($E3199="","",IF(OR($U3199=TRUE(),$U3199="TRUE"),1,0))</f>
        <v/>
      </c>
      <c r="AQ3199">
        <f>IF($E3199="","",IF($AA3199="Yes",1,0))</f>
        <v/>
      </c>
      <c r="AR3199">
        <f>IF($AN3199=1,IFERROR(VALUE(MID($E3199,2,20)),1000000000)+ROW()/100000,"")</f>
        <v/>
      </c>
    </row>
    <row r="3200">
      <c r="G3200" s="11" t="n"/>
      <c r="Q3200" s="7">
        <f>IF($E3200="","",P3200*Y3200/100)</f>
        <v/>
      </c>
      <c r="R3200" s="7" t="n"/>
      <c r="X3200" s="7" t="n"/>
      <c r="Y3200" s="7" t="n"/>
      <c r="AB3200">
        <f>IF($E3200="","",IF($AQ3200=1,0,IF($AP3200=1,Settings!$C$6,Settings!$C$7))*100)</f>
        <v/>
      </c>
      <c r="AC3200" s="7">
        <f>IF($E3200="","",Y3200*AB3200/100)</f>
        <v/>
      </c>
      <c r="AD3200" s="7">
        <f>IF($E3200="","",Y3200-AC3200)</f>
        <v/>
      </c>
      <c r="AE3200" s="7">
        <f>IF($E3200="","",AD3200-Q3200)</f>
        <v/>
      </c>
      <c r="AI3200" s="7" t="n"/>
      <c r="AL3200" s="11" t="n"/>
      <c r="AN3200">
        <f>IF($E3200="","",IF(COUNTIF($E$2:$E3200,$E3200)=1,1,0))</f>
        <v/>
      </c>
      <c r="AO3200">
        <f>IF($AN3200=1,SUMPRODUCT(--($AR$2:$AR$4001&lt;$AR3200))+1,"")</f>
        <v/>
      </c>
      <c r="AP3200">
        <f>IF($E3200="","",IF(OR($U3200=TRUE(),$U3200="TRUE"),1,0))</f>
        <v/>
      </c>
      <c r="AQ3200">
        <f>IF($E3200="","",IF($AA3200="Yes",1,0))</f>
        <v/>
      </c>
      <c r="AR3200">
        <f>IF($AN3200=1,IFERROR(VALUE(MID($E3200,2,20)),1000000000)+ROW()/100000,"")</f>
        <v/>
      </c>
    </row>
    <row r="3201">
      <c r="G3201" s="11" t="n"/>
      <c r="Q3201" s="7">
        <f>IF($E3201="","",P3201*Y3201/100)</f>
        <v/>
      </c>
      <c r="R3201" s="7" t="n"/>
      <c r="X3201" s="7" t="n"/>
      <c r="Y3201" s="7" t="n"/>
      <c r="AB3201">
        <f>IF($E3201="","",IF($AQ3201=1,0,IF($AP3201=1,Settings!$C$6,Settings!$C$7))*100)</f>
        <v/>
      </c>
      <c r="AC3201" s="7">
        <f>IF($E3201="","",Y3201*AB3201/100)</f>
        <v/>
      </c>
      <c r="AD3201" s="7">
        <f>IF($E3201="","",Y3201-AC3201)</f>
        <v/>
      </c>
      <c r="AE3201" s="7">
        <f>IF($E3201="","",AD3201-Q3201)</f>
        <v/>
      </c>
      <c r="AI3201" s="7" t="n"/>
      <c r="AL3201" s="11" t="n"/>
      <c r="AN3201">
        <f>IF($E3201="","",IF(COUNTIF($E$2:$E3201,$E3201)=1,1,0))</f>
        <v/>
      </c>
      <c r="AO3201">
        <f>IF($AN3201=1,SUMPRODUCT(--($AR$2:$AR$4001&lt;$AR3201))+1,"")</f>
        <v/>
      </c>
      <c r="AP3201">
        <f>IF($E3201="","",IF(OR($U3201=TRUE(),$U3201="TRUE"),1,0))</f>
        <v/>
      </c>
      <c r="AQ3201">
        <f>IF($E3201="","",IF($AA3201="Yes",1,0))</f>
        <v/>
      </c>
      <c r="AR3201">
        <f>IF($AN3201=1,IFERROR(VALUE(MID($E3201,2,20)),1000000000)+ROW()/100000,"")</f>
        <v/>
      </c>
    </row>
    <row r="3202">
      <c r="G3202" s="11" t="n"/>
      <c r="Q3202" s="7">
        <f>IF($E3202="","",P3202*Y3202/100)</f>
        <v/>
      </c>
      <c r="R3202" s="7" t="n"/>
      <c r="X3202" s="7" t="n"/>
      <c r="Y3202" s="7" t="n"/>
      <c r="AB3202">
        <f>IF($E3202="","",IF($AQ3202=1,0,IF($AP3202=1,Settings!$C$6,Settings!$C$7))*100)</f>
        <v/>
      </c>
      <c r="AC3202" s="7">
        <f>IF($E3202="","",Y3202*AB3202/100)</f>
        <v/>
      </c>
      <c r="AD3202" s="7">
        <f>IF($E3202="","",Y3202-AC3202)</f>
        <v/>
      </c>
      <c r="AE3202" s="7">
        <f>IF($E3202="","",AD3202-Q3202)</f>
        <v/>
      </c>
      <c r="AI3202" s="7" t="n"/>
      <c r="AL3202" s="11" t="n"/>
      <c r="AN3202">
        <f>IF($E3202="","",IF(COUNTIF($E$2:$E3202,$E3202)=1,1,0))</f>
        <v/>
      </c>
      <c r="AO3202">
        <f>IF($AN3202=1,SUMPRODUCT(--($AR$2:$AR$4001&lt;$AR3202))+1,"")</f>
        <v/>
      </c>
      <c r="AP3202">
        <f>IF($E3202="","",IF(OR($U3202=TRUE(),$U3202="TRUE"),1,0))</f>
        <v/>
      </c>
      <c r="AQ3202">
        <f>IF($E3202="","",IF($AA3202="Yes",1,0))</f>
        <v/>
      </c>
      <c r="AR3202">
        <f>IF($AN3202=1,IFERROR(VALUE(MID($E3202,2,20)),1000000000)+ROW()/100000,"")</f>
        <v/>
      </c>
    </row>
    <row r="3203">
      <c r="G3203" s="11" t="n"/>
      <c r="Q3203" s="7">
        <f>IF($E3203="","",P3203*Y3203/100)</f>
        <v/>
      </c>
      <c r="R3203" s="7" t="n"/>
      <c r="X3203" s="7" t="n"/>
      <c r="Y3203" s="7" t="n"/>
      <c r="AB3203">
        <f>IF($E3203="","",IF($AQ3203=1,0,IF($AP3203=1,Settings!$C$6,Settings!$C$7))*100)</f>
        <v/>
      </c>
      <c r="AC3203" s="7">
        <f>IF($E3203="","",Y3203*AB3203/100)</f>
        <v/>
      </c>
      <c r="AD3203" s="7">
        <f>IF($E3203="","",Y3203-AC3203)</f>
        <v/>
      </c>
      <c r="AE3203" s="7">
        <f>IF($E3203="","",AD3203-Q3203)</f>
        <v/>
      </c>
      <c r="AI3203" s="7" t="n"/>
      <c r="AL3203" s="11" t="n"/>
      <c r="AN3203">
        <f>IF($E3203="","",IF(COUNTIF($E$2:$E3203,$E3203)=1,1,0))</f>
        <v/>
      </c>
      <c r="AO3203">
        <f>IF($AN3203=1,SUMPRODUCT(--($AR$2:$AR$4001&lt;$AR3203))+1,"")</f>
        <v/>
      </c>
      <c r="AP3203">
        <f>IF($E3203="","",IF(OR($U3203=TRUE(),$U3203="TRUE"),1,0))</f>
        <v/>
      </c>
      <c r="AQ3203">
        <f>IF($E3203="","",IF($AA3203="Yes",1,0))</f>
        <v/>
      </c>
      <c r="AR3203">
        <f>IF($AN3203=1,IFERROR(VALUE(MID($E3203,2,20)),1000000000)+ROW()/100000,"")</f>
        <v/>
      </c>
    </row>
    <row r="3204">
      <c r="G3204" s="11" t="n"/>
      <c r="Q3204" s="7">
        <f>IF($E3204="","",P3204*Y3204/100)</f>
        <v/>
      </c>
      <c r="R3204" s="7" t="n"/>
      <c r="X3204" s="7" t="n"/>
      <c r="Y3204" s="7" t="n"/>
      <c r="AB3204">
        <f>IF($E3204="","",IF($AQ3204=1,0,IF($AP3204=1,Settings!$C$6,Settings!$C$7))*100)</f>
        <v/>
      </c>
      <c r="AC3204" s="7">
        <f>IF($E3204="","",Y3204*AB3204/100)</f>
        <v/>
      </c>
      <c r="AD3204" s="7">
        <f>IF($E3204="","",Y3204-AC3204)</f>
        <v/>
      </c>
      <c r="AE3204" s="7">
        <f>IF($E3204="","",AD3204-Q3204)</f>
        <v/>
      </c>
      <c r="AI3204" s="7" t="n"/>
      <c r="AL3204" s="11" t="n"/>
      <c r="AN3204">
        <f>IF($E3204="","",IF(COUNTIF($E$2:$E3204,$E3204)=1,1,0))</f>
        <v/>
      </c>
      <c r="AO3204">
        <f>IF($AN3204=1,SUMPRODUCT(--($AR$2:$AR$4001&lt;$AR3204))+1,"")</f>
        <v/>
      </c>
      <c r="AP3204">
        <f>IF($E3204="","",IF(OR($U3204=TRUE(),$U3204="TRUE"),1,0))</f>
        <v/>
      </c>
      <c r="AQ3204">
        <f>IF($E3204="","",IF($AA3204="Yes",1,0))</f>
        <v/>
      </c>
      <c r="AR3204">
        <f>IF($AN3204=1,IFERROR(VALUE(MID($E3204,2,20)),1000000000)+ROW()/100000,"")</f>
        <v/>
      </c>
    </row>
    <row r="3205">
      <c r="G3205" s="11" t="n"/>
      <c r="Q3205" s="7">
        <f>IF($E3205="","",P3205*Y3205/100)</f>
        <v/>
      </c>
      <c r="R3205" s="7" t="n"/>
      <c r="X3205" s="7" t="n"/>
      <c r="Y3205" s="7" t="n"/>
      <c r="AB3205">
        <f>IF($E3205="","",IF($AQ3205=1,0,IF($AP3205=1,Settings!$C$6,Settings!$C$7))*100)</f>
        <v/>
      </c>
      <c r="AC3205" s="7">
        <f>IF($E3205="","",Y3205*AB3205/100)</f>
        <v/>
      </c>
      <c r="AD3205" s="7">
        <f>IF($E3205="","",Y3205-AC3205)</f>
        <v/>
      </c>
      <c r="AE3205" s="7">
        <f>IF($E3205="","",AD3205-Q3205)</f>
        <v/>
      </c>
      <c r="AI3205" s="7" t="n"/>
      <c r="AL3205" s="11" t="n"/>
      <c r="AN3205">
        <f>IF($E3205="","",IF(COUNTIF($E$2:$E3205,$E3205)=1,1,0))</f>
        <v/>
      </c>
      <c r="AO3205">
        <f>IF($AN3205=1,SUMPRODUCT(--($AR$2:$AR$4001&lt;$AR3205))+1,"")</f>
        <v/>
      </c>
      <c r="AP3205">
        <f>IF($E3205="","",IF(OR($U3205=TRUE(),$U3205="TRUE"),1,0))</f>
        <v/>
      </c>
      <c r="AQ3205">
        <f>IF($E3205="","",IF($AA3205="Yes",1,0))</f>
        <v/>
      </c>
      <c r="AR3205">
        <f>IF($AN3205=1,IFERROR(VALUE(MID($E3205,2,20)),1000000000)+ROW()/100000,"")</f>
        <v/>
      </c>
    </row>
    <row r="3206">
      <c r="G3206" s="11" t="n"/>
      <c r="Q3206" s="7">
        <f>IF($E3206="","",P3206*Y3206/100)</f>
        <v/>
      </c>
      <c r="R3206" s="7" t="n"/>
      <c r="X3206" s="7" t="n"/>
      <c r="Y3206" s="7" t="n"/>
      <c r="AB3206">
        <f>IF($E3206="","",IF($AQ3206=1,0,IF($AP3206=1,Settings!$C$6,Settings!$C$7))*100)</f>
        <v/>
      </c>
      <c r="AC3206" s="7">
        <f>IF($E3206="","",Y3206*AB3206/100)</f>
        <v/>
      </c>
      <c r="AD3206" s="7">
        <f>IF($E3206="","",Y3206-AC3206)</f>
        <v/>
      </c>
      <c r="AE3206" s="7">
        <f>IF($E3206="","",AD3206-Q3206)</f>
        <v/>
      </c>
      <c r="AI3206" s="7" t="n"/>
      <c r="AL3206" s="11" t="n"/>
      <c r="AN3206">
        <f>IF($E3206="","",IF(COUNTIF($E$2:$E3206,$E3206)=1,1,0))</f>
        <v/>
      </c>
      <c r="AO3206">
        <f>IF($AN3206=1,SUMPRODUCT(--($AR$2:$AR$4001&lt;$AR3206))+1,"")</f>
        <v/>
      </c>
      <c r="AP3206">
        <f>IF($E3206="","",IF(OR($U3206=TRUE(),$U3206="TRUE"),1,0))</f>
        <v/>
      </c>
      <c r="AQ3206">
        <f>IF($E3206="","",IF($AA3206="Yes",1,0))</f>
        <v/>
      </c>
      <c r="AR3206">
        <f>IF($AN3206=1,IFERROR(VALUE(MID($E3206,2,20)),1000000000)+ROW()/100000,"")</f>
        <v/>
      </c>
    </row>
    <row r="3207">
      <c r="G3207" s="11" t="n"/>
      <c r="Q3207" s="7">
        <f>IF($E3207="","",P3207*Y3207/100)</f>
        <v/>
      </c>
      <c r="R3207" s="7" t="n"/>
      <c r="X3207" s="7" t="n"/>
      <c r="Y3207" s="7" t="n"/>
      <c r="AB3207">
        <f>IF($E3207="","",IF($AQ3207=1,0,IF($AP3207=1,Settings!$C$6,Settings!$C$7))*100)</f>
        <v/>
      </c>
      <c r="AC3207" s="7">
        <f>IF($E3207="","",Y3207*AB3207/100)</f>
        <v/>
      </c>
      <c r="AD3207" s="7">
        <f>IF($E3207="","",Y3207-AC3207)</f>
        <v/>
      </c>
      <c r="AE3207" s="7">
        <f>IF($E3207="","",AD3207-Q3207)</f>
        <v/>
      </c>
      <c r="AI3207" s="7" t="n"/>
      <c r="AL3207" s="11" t="n"/>
      <c r="AN3207">
        <f>IF($E3207="","",IF(COUNTIF($E$2:$E3207,$E3207)=1,1,0))</f>
        <v/>
      </c>
      <c r="AO3207">
        <f>IF($AN3207=1,SUMPRODUCT(--($AR$2:$AR$4001&lt;$AR3207))+1,"")</f>
        <v/>
      </c>
      <c r="AP3207">
        <f>IF($E3207="","",IF(OR($U3207=TRUE(),$U3207="TRUE"),1,0))</f>
        <v/>
      </c>
      <c r="AQ3207">
        <f>IF($E3207="","",IF($AA3207="Yes",1,0))</f>
        <v/>
      </c>
      <c r="AR3207">
        <f>IF($AN3207=1,IFERROR(VALUE(MID($E3207,2,20)),1000000000)+ROW()/100000,"")</f>
        <v/>
      </c>
    </row>
    <row r="3208">
      <c r="G3208" s="11" t="n"/>
      <c r="Q3208" s="7">
        <f>IF($E3208="","",P3208*Y3208/100)</f>
        <v/>
      </c>
      <c r="R3208" s="7" t="n"/>
      <c r="X3208" s="7" t="n"/>
      <c r="Y3208" s="7" t="n"/>
      <c r="AB3208">
        <f>IF($E3208="","",IF($AQ3208=1,0,IF($AP3208=1,Settings!$C$6,Settings!$C$7))*100)</f>
        <v/>
      </c>
      <c r="AC3208" s="7">
        <f>IF($E3208="","",Y3208*AB3208/100)</f>
        <v/>
      </c>
      <c r="AD3208" s="7">
        <f>IF($E3208="","",Y3208-AC3208)</f>
        <v/>
      </c>
      <c r="AE3208" s="7">
        <f>IF($E3208="","",AD3208-Q3208)</f>
        <v/>
      </c>
      <c r="AI3208" s="7" t="n"/>
      <c r="AL3208" s="11" t="n"/>
      <c r="AN3208">
        <f>IF($E3208="","",IF(COUNTIF($E$2:$E3208,$E3208)=1,1,0))</f>
        <v/>
      </c>
      <c r="AO3208">
        <f>IF($AN3208=1,SUMPRODUCT(--($AR$2:$AR$4001&lt;$AR3208))+1,"")</f>
        <v/>
      </c>
      <c r="AP3208">
        <f>IF($E3208="","",IF(OR($U3208=TRUE(),$U3208="TRUE"),1,0))</f>
        <v/>
      </c>
      <c r="AQ3208">
        <f>IF($E3208="","",IF($AA3208="Yes",1,0))</f>
        <v/>
      </c>
      <c r="AR3208">
        <f>IF($AN3208=1,IFERROR(VALUE(MID($E3208,2,20)),1000000000)+ROW()/100000,"")</f>
        <v/>
      </c>
    </row>
    <row r="3209">
      <c r="G3209" s="11" t="n"/>
      <c r="Q3209" s="7">
        <f>IF($E3209="","",P3209*Y3209/100)</f>
        <v/>
      </c>
      <c r="R3209" s="7" t="n"/>
      <c r="X3209" s="7" t="n"/>
      <c r="Y3209" s="7" t="n"/>
      <c r="AB3209">
        <f>IF($E3209="","",IF($AQ3209=1,0,IF($AP3209=1,Settings!$C$6,Settings!$C$7))*100)</f>
        <v/>
      </c>
      <c r="AC3209" s="7">
        <f>IF($E3209="","",Y3209*AB3209/100)</f>
        <v/>
      </c>
      <c r="AD3209" s="7">
        <f>IF($E3209="","",Y3209-AC3209)</f>
        <v/>
      </c>
      <c r="AE3209" s="7">
        <f>IF($E3209="","",AD3209-Q3209)</f>
        <v/>
      </c>
      <c r="AI3209" s="7" t="n"/>
      <c r="AL3209" s="11" t="n"/>
      <c r="AN3209">
        <f>IF($E3209="","",IF(COUNTIF($E$2:$E3209,$E3209)=1,1,0))</f>
        <v/>
      </c>
      <c r="AO3209">
        <f>IF($AN3209=1,SUMPRODUCT(--($AR$2:$AR$4001&lt;$AR3209))+1,"")</f>
        <v/>
      </c>
      <c r="AP3209">
        <f>IF($E3209="","",IF(OR($U3209=TRUE(),$U3209="TRUE"),1,0))</f>
        <v/>
      </c>
      <c r="AQ3209">
        <f>IF($E3209="","",IF($AA3209="Yes",1,0))</f>
        <v/>
      </c>
      <c r="AR3209">
        <f>IF($AN3209=1,IFERROR(VALUE(MID($E3209,2,20)),1000000000)+ROW()/100000,"")</f>
        <v/>
      </c>
    </row>
    <row r="3210">
      <c r="G3210" s="11" t="n"/>
      <c r="Q3210" s="7">
        <f>IF($E3210="","",P3210*Y3210/100)</f>
        <v/>
      </c>
      <c r="R3210" s="7" t="n"/>
      <c r="X3210" s="7" t="n"/>
      <c r="Y3210" s="7" t="n"/>
      <c r="AB3210">
        <f>IF($E3210="","",IF($AQ3210=1,0,IF($AP3210=1,Settings!$C$6,Settings!$C$7))*100)</f>
        <v/>
      </c>
      <c r="AC3210" s="7">
        <f>IF($E3210="","",Y3210*AB3210/100)</f>
        <v/>
      </c>
      <c r="AD3210" s="7">
        <f>IF($E3210="","",Y3210-AC3210)</f>
        <v/>
      </c>
      <c r="AE3210" s="7">
        <f>IF($E3210="","",AD3210-Q3210)</f>
        <v/>
      </c>
      <c r="AI3210" s="7" t="n"/>
      <c r="AL3210" s="11" t="n"/>
      <c r="AN3210">
        <f>IF($E3210="","",IF(COUNTIF($E$2:$E3210,$E3210)=1,1,0))</f>
        <v/>
      </c>
      <c r="AO3210">
        <f>IF($AN3210=1,SUMPRODUCT(--($AR$2:$AR$4001&lt;$AR3210))+1,"")</f>
        <v/>
      </c>
      <c r="AP3210">
        <f>IF($E3210="","",IF(OR($U3210=TRUE(),$U3210="TRUE"),1,0))</f>
        <v/>
      </c>
      <c r="AQ3210">
        <f>IF($E3210="","",IF($AA3210="Yes",1,0))</f>
        <v/>
      </c>
      <c r="AR3210">
        <f>IF($AN3210=1,IFERROR(VALUE(MID($E3210,2,20)),1000000000)+ROW()/100000,"")</f>
        <v/>
      </c>
    </row>
    <row r="3211">
      <c r="G3211" s="11" t="n"/>
      <c r="Q3211" s="7">
        <f>IF($E3211="","",P3211*Y3211/100)</f>
        <v/>
      </c>
      <c r="R3211" s="7" t="n"/>
      <c r="X3211" s="7" t="n"/>
      <c r="Y3211" s="7" t="n"/>
      <c r="AB3211">
        <f>IF($E3211="","",IF($AQ3211=1,0,IF($AP3211=1,Settings!$C$6,Settings!$C$7))*100)</f>
        <v/>
      </c>
      <c r="AC3211" s="7">
        <f>IF($E3211="","",Y3211*AB3211/100)</f>
        <v/>
      </c>
      <c r="AD3211" s="7">
        <f>IF($E3211="","",Y3211-AC3211)</f>
        <v/>
      </c>
      <c r="AE3211" s="7">
        <f>IF($E3211="","",AD3211-Q3211)</f>
        <v/>
      </c>
      <c r="AI3211" s="7" t="n"/>
      <c r="AL3211" s="11" t="n"/>
      <c r="AN3211">
        <f>IF($E3211="","",IF(COUNTIF($E$2:$E3211,$E3211)=1,1,0))</f>
        <v/>
      </c>
      <c r="AO3211">
        <f>IF($AN3211=1,SUMPRODUCT(--($AR$2:$AR$4001&lt;$AR3211))+1,"")</f>
        <v/>
      </c>
      <c r="AP3211">
        <f>IF($E3211="","",IF(OR($U3211=TRUE(),$U3211="TRUE"),1,0))</f>
        <v/>
      </c>
      <c r="AQ3211">
        <f>IF($E3211="","",IF($AA3211="Yes",1,0))</f>
        <v/>
      </c>
      <c r="AR3211">
        <f>IF($AN3211=1,IFERROR(VALUE(MID($E3211,2,20)),1000000000)+ROW()/100000,"")</f>
        <v/>
      </c>
    </row>
    <row r="3212">
      <c r="G3212" s="11" t="n"/>
      <c r="Q3212" s="7">
        <f>IF($E3212="","",P3212*Y3212/100)</f>
        <v/>
      </c>
      <c r="R3212" s="7" t="n"/>
      <c r="X3212" s="7" t="n"/>
      <c r="Y3212" s="7" t="n"/>
      <c r="AB3212">
        <f>IF($E3212="","",IF($AQ3212=1,0,IF($AP3212=1,Settings!$C$6,Settings!$C$7))*100)</f>
        <v/>
      </c>
      <c r="AC3212" s="7">
        <f>IF($E3212="","",Y3212*AB3212/100)</f>
        <v/>
      </c>
      <c r="AD3212" s="7">
        <f>IF($E3212="","",Y3212-AC3212)</f>
        <v/>
      </c>
      <c r="AE3212" s="7">
        <f>IF($E3212="","",AD3212-Q3212)</f>
        <v/>
      </c>
      <c r="AI3212" s="7" t="n"/>
      <c r="AL3212" s="11" t="n"/>
      <c r="AN3212">
        <f>IF($E3212="","",IF(COUNTIF($E$2:$E3212,$E3212)=1,1,0))</f>
        <v/>
      </c>
      <c r="AO3212">
        <f>IF($AN3212=1,SUMPRODUCT(--($AR$2:$AR$4001&lt;$AR3212))+1,"")</f>
        <v/>
      </c>
      <c r="AP3212">
        <f>IF($E3212="","",IF(OR($U3212=TRUE(),$U3212="TRUE"),1,0))</f>
        <v/>
      </c>
      <c r="AQ3212">
        <f>IF($E3212="","",IF($AA3212="Yes",1,0))</f>
        <v/>
      </c>
      <c r="AR3212">
        <f>IF($AN3212=1,IFERROR(VALUE(MID($E3212,2,20)),1000000000)+ROW()/100000,"")</f>
        <v/>
      </c>
    </row>
    <row r="3213">
      <c r="G3213" s="11" t="n"/>
      <c r="Q3213" s="7">
        <f>IF($E3213="","",P3213*Y3213/100)</f>
        <v/>
      </c>
      <c r="R3213" s="7" t="n"/>
      <c r="X3213" s="7" t="n"/>
      <c r="Y3213" s="7" t="n"/>
      <c r="AB3213">
        <f>IF($E3213="","",IF($AQ3213=1,0,IF($AP3213=1,Settings!$C$6,Settings!$C$7))*100)</f>
        <v/>
      </c>
      <c r="AC3213" s="7">
        <f>IF($E3213="","",Y3213*AB3213/100)</f>
        <v/>
      </c>
      <c r="AD3213" s="7">
        <f>IF($E3213="","",Y3213-AC3213)</f>
        <v/>
      </c>
      <c r="AE3213" s="7">
        <f>IF($E3213="","",AD3213-Q3213)</f>
        <v/>
      </c>
      <c r="AI3213" s="7" t="n"/>
      <c r="AL3213" s="11" t="n"/>
      <c r="AN3213">
        <f>IF($E3213="","",IF(COUNTIF($E$2:$E3213,$E3213)=1,1,0))</f>
        <v/>
      </c>
      <c r="AO3213">
        <f>IF($AN3213=1,SUMPRODUCT(--($AR$2:$AR$4001&lt;$AR3213))+1,"")</f>
        <v/>
      </c>
      <c r="AP3213">
        <f>IF($E3213="","",IF(OR($U3213=TRUE(),$U3213="TRUE"),1,0))</f>
        <v/>
      </c>
      <c r="AQ3213">
        <f>IF($E3213="","",IF($AA3213="Yes",1,0))</f>
        <v/>
      </c>
      <c r="AR3213">
        <f>IF($AN3213=1,IFERROR(VALUE(MID($E3213,2,20)),1000000000)+ROW()/100000,"")</f>
        <v/>
      </c>
    </row>
    <row r="3214">
      <c r="G3214" s="11" t="n"/>
      <c r="Q3214" s="7">
        <f>IF($E3214="","",P3214*Y3214/100)</f>
        <v/>
      </c>
      <c r="R3214" s="7" t="n"/>
      <c r="X3214" s="7" t="n"/>
      <c r="Y3214" s="7" t="n"/>
      <c r="AB3214">
        <f>IF($E3214="","",IF($AQ3214=1,0,IF($AP3214=1,Settings!$C$6,Settings!$C$7))*100)</f>
        <v/>
      </c>
      <c r="AC3214" s="7">
        <f>IF($E3214="","",Y3214*AB3214/100)</f>
        <v/>
      </c>
      <c r="AD3214" s="7">
        <f>IF($E3214="","",Y3214-AC3214)</f>
        <v/>
      </c>
      <c r="AE3214" s="7">
        <f>IF($E3214="","",AD3214-Q3214)</f>
        <v/>
      </c>
      <c r="AI3214" s="7" t="n"/>
      <c r="AL3214" s="11" t="n"/>
      <c r="AN3214">
        <f>IF($E3214="","",IF(COUNTIF($E$2:$E3214,$E3214)=1,1,0))</f>
        <v/>
      </c>
      <c r="AO3214">
        <f>IF($AN3214=1,SUMPRODUCT(--($AR$2:$AR$4001&lt;$AR3214))+1,"")</f>
        <v/>
      </c>
      <c r="AP3214">
        <f>IF($E3214="","",IF(OR($U3214=TRUE(),$U3214="TRUE"),1,0))</f>
        <v/>
      </c>
      <c r="AQ3214">
        <f>IF($E3214="","",IF($AA3214="Yes",1,0))</f>
        <v/>
      </c>
      <c r="AR3214">
        <f>IF($AN3214=1,IFERROR(VALUE(MID($E3214,2,20)),1000000000)+ROW()/100000,"")</f>
        <v/>
      </c>
    </row>
    <row r="3215">
      <c r="G3215" s="11" t="n"/>
      <c r="Q3215" s="7">
        <f>IF($E3215="","",P3215*Y3215/100)</f>
        <v/>
      </c>
      <c r="R3215" s="7" t="n"/>
      <c r="X3215" s="7" t="n"/>
      <c r="Y3215" s="7" t="n"/>
      <c r="AB3215">
        <f>IF($E3215="","",IF($AQ3215=1,0,IF($AP3215=1,Settings!$C$6,Settings!$C$7))*100)</f>
        <v/>
      </c>
      <c r="AC3215" s="7">
        <f>IF($E3215="","",Y3215*AB3215/100)</f>
        <v/>
      </c>
      <c r="AD3215" s="7">
        <f>IF($E3215="","",Y3215-AC3215)</f>
        <v/>
      </c>
      <c r="AE3215" s="7">
        <f>IF($E3215="","",AD3215-Q3215)</f>
        <v/>
      </c>
      <c r="AI3215" s="7" t="n"/>
      <c r="AL3215" s="11" t="n"/>
      <c r="AN3215">
        <f>IF($E3215="","",IF(COUNTIF($E$2:$E3215,$E3215)=1,1,0))</f>
        <v/>
      </c>
      <c r="AO3215">
        <f>IF($AN3215=1,SUMPRODUCT(--($AR$2:$AR$4001&lt;$AR3215))+1,"")</f>
        <v/>
      </c>
      <c r="AP3215">
        <f>IF($E3215="","",IF(OR($U3215=TRUE(),$U3215="TRUE"),1,0))</f>
        <v/>
      </c>
      <c r="AQ3215">
        <f>IF($E3215="","",IF($AA3215="Yes",1,0))</f>
        <v/>
      </c>
      <c r="AR3215">
        <f>IF($AN3215=1,IFERROR(VALUE(MID($E3215,2,20)),1000000000)+ROW()/100000,"")</f>
        <v/>
      </c>
    </row>
    <row r="3216">
      <c r="G3216" s="11" t="n"/>
      <c r="Q3216" s="7">
        <f>IF($E3216="","",P3216*Y3216/100)</f>
        <v/>
      </c>
      <c r="R3216" s="7" t="n"/>
      <c r="X3216" s="7" t="n"/>
      <c r="Y3216" s="7" t="n"/>
      <c r="AB3216">
        <f>IF($E3216="","",IF($AQ3216=1,0,IF($AP3216=1,Settings!$C$6,Settings!$C$7))*100)</f>
        <v/>
      </c>
      <c r="AC3216" s="7">
        <f>IF($E3216="","",Y3216*AB3216/100)</f>
        <v/>
      </c>
      <c r="AD3216" s="7">
        <f>IF($E3216="","",Y3216-AC3216)</f>
        <v/>
      </c>
      <c r="AE3216" s="7">
        <f>IF($E3216="","",AD3216-Q3216)</f>
        <v/>
      </c>
      <c r="AI3216" s="7" t="n"/>
      <c r="AL3216" s="11" t="n"/>
      <c r="AN3216">
        <f>IF($E3216="","",IF(COUNTIF($E$2:$E3216,$E3216)=1,1,0))</f>
        <v/>
      </c>
      <c r="AO3216">
        <f>IF($AN3216=1,SUMPRODUCT(--($AR$2:$AR$4001&lt;$AR3216))+1,"")</f>
        <v/>
      </c>
      <c r="AP3216">
        <f>IF($E3216="","",IF(OR($U3216=TRUE(),$U3216="TRUE"),1,0))</f>
        <v/>
      </c>
      <c r="AQ3216">
        <f>IF($E3216="","",IF($AA3216="Yes",1,0))</f>
        <v/>
      </c>
      <c r="AR3216">
        <f>IF($AN3216=1,IFERROR(VALUE(MID($E3216,2,20)),1000000000)+ROW()/100000,"")</f>
        <v/>
      </c>
    </row>
    <row r="3217">
      <c r="G3217" s="11" t="n"/>
      <c r="Q3217" s="7">
        <f>IF($E3217="","",P3217*Y3217/100)</f>
        <v/>
      </c>
      <c r="R3217" s="7" t="n"/>
      <c r="X3217" s="7" t="n"/>
      <c r="Y3217" s="7" t="n"/>
      <c r="AB3217">
        <f>IF($E3217="","",IF($AQ3217=1,0,IF($AP3217=1,Settings!$C$6,Settings!$C$7))*100)</f>
        <v/>
      </c>
      <c r="AC3217" s="7">
        <f>IF($E3217="","",Y3217*AB3217/100)</f>
        <v/>
      </c>
      <c r="AD3217" s="7">
        <f>IF($E3217="","",Y3217-AC3217)</f>
        <v/>
      </c>
      <c r="AE3217" s="7">
        <f>IF($E3217="","",AD3217-Q3217)</f>
        <v/>
      </c>
      <c r="AI3217" s="7" t="n"/>
      <c r="AL3217" s="11" t="n"/>
      <c r="AN3217">
        <f>IF($E3217="","",IF(COUNTIF($E$2:$E3217,$E3217)=1,1,0))</f>
        <v/>
      </c>
      <c r="AO3217">
        <f>IF($AN3217=1,SUMPRODUCT(--($AR$2:$AR$4001&lt;$AR3217))+1,"")</f>
        <v/>
      </c>
      <c r="AP3217">
        <f>IF($E3217="","",IF(OR($U3217=TRUE(),$U3217="TRUE"),1,0))</f>
        <v/>
      </c>
      <c r="AQ3217">
        <f>IF($E3217="","",IF($AA3217="Yes",1,0))</f>
        <v/>
      </c>
      <c r="AR3217">
        <f>IF($AN3217=1,IFERROR(VALUE(MID($E3217,2,20)),1000000000)+ROW()/100000,"")</f>
        <v/>
      </c>
    </row>
    <row r="3218">
      <c r="G3218" s="11" t="n"/>
      <c r="Q3218" s="7">
        <f>IF($E3218="","",P3218*Y3218/100)</f>
        <v/>
      </c>
      <c r="R3218" s="7" t="n"/>
      <c r="X3218" s="7" t="n"/>
      <c r="Y3218" s="7" t="n"/>
      <c r="AB3218">
        <f>IF($E3218="","",IF($AQ3218=1,0,IF($AP3218=1,Settings!$C$6,Settings!$C$7))*100)</f>
        <v/>
      </c>
      <c r="AC3218" s="7">
        <f>IF($E3218="","",Y3218*AB3218/100)</f>
        <v/>
      </c>
      <c r="AD3218" s="7">
        <f>IF($E3218="","",Y3218-AC3218)</f>
        <v/>
      </c>
      <c r="AE3218" s="7">
        <f>IF($E3218="","",AD3218-Q3218)</f>
        <v/>
      </c>
      <c r="AI3218" s="7" t="n"/>
      <c r="AL3218" s="11" t="n"/>
      <c r="AN3218">
        <f>IF($E3218="","",IF(COUNTIF($E$2:$E3218,$E3218)=1,1,0))</f>
        <v/>
      </c>
      <c r="AO3218">
        <f>IF($AN3218=1,SUMPRODUCT(--($AR$2:$AR$4001&lt;$AR3218))+1,"")</f>
        <v/>
      </c>
      <c r="AP3218">
        <f>IF($E3218="","",IF(OR($U3218=TRUE(),$U3218="TRUE"),1,0))</f>
        <v/>
      </c>
      <c r="AQ3218">
        <f>IF($E3218="","",IF($AA3218="Yes",1,0))</f>
        <v/>
      </c>
      <c r="AR3218">
        <f>IF($AN3218=1,IFERROR(VALUE(MID($E3218,2,20)),1000000000)+ROW()/100000,"")</f>
        <v/>
      </c>
    </row>
    <row r="3219">
      <c r="G3219" s="11" t="n"/>
      <c r="Q3219" s="7">
        <f>IF($E3219="","",P3219*Y3219/100)</f>
        <v/>
      </c>
      <c r="R3219" s="7" t="n"/>
      <c r="X3219" s="7" t="n"/>
      <c r="Y3219" s="7" t="n"/>
      <c r="AB3219">
        <f>IF($E3219="","",IF($AQ3219=1,0,IF($AP3219=1,Settings!$C$6,Settings!$C$7))*100)</f>
        <v/>
      </c>
      <c r="AC3219" s="7">
        <f>IF($E3219="","",Y3219*AB3219/100)</f>
        <v/>
      </c>
      <c r="AD3219" s="7">
        <f>IF($E3219="","",Y3219-AC3219)</f>
        <v/>
      </c>
      <c r="AE3219" s="7">
        <f>IF($E3219="","",AD3219-Q3219)</f>
        <v/>
      </c>
      <c r="AI3219" s="7" t="n"/>
      <c r="AL3219" s="11" t="n"/>
      <c r="AN3219">
        <f>IF($E3219="","",IF(COUNTIF($E$2:$E3219,$E3219)=1,1,0))</f>
        <v/>
      </c>
      <c r="AO3219">
        <f>IF($AN3219=1,SUMPRODUCT(--($AR$2:$AR$4001&lt;$AR3219))+1,"")</f>
        <v/>
      </c>
      <c r="AP3219">
        <f>IF($E3219="","",IF(OR($U3219=TRUE(),$U3219="TRUE"),1,0))</f>
        <v/>
      </c>
      <c r="AQ3219">
        <f>IF($E3219="","",IF($AA3219="Yes",1,0))</f>
        <v/>
      </c>
      <c r="AR3219">
        <f>IF($AN3219=1,IFERROR(VALUE(MID($E3219,2,20)),1000000000)+ROW()/100000,"")</f>
        <v/>
      </c>
    </row>
    <row r="3220">
      <c r="G3220" s="11" t="n"/>
      <c r="Q3220" s="7">
        <f>IF($E3220="","",P3220*Y3220/100)</f>
        <v/>
      </c>
      <c r="R3220" s="7" t="n"/>
      <c r="X3220" s="7" t="n"/>
      <c r="Y3220" s="7" t="n"/>
      <c r="AB3220">
        <f>IF($E3220="","",IF($AQ3220=1,0,IF($AP3220=1,Settings!$C$6,Settings!$C$7))*100)</f>
        <v/>
      </c>
      <c r="AC3220" s="7">
        <f>IF($E3220="","",Y3220*AB3220/100)</f>
        <v/>
      </c>
      <c r="AD3220" s="7">
        <f>IF($E3220="","",Y3220-AC3220)</f>
        <v/>
      </c>
      <c r="AE3220" s="7">
        <f>IF($E3220="","",AD3220-Q3220)</f>
        <v/>
      </c>
      <c r="AI3220" s="7" t="n"/>
      <c r="AL3220" s="11" t="n"/>
      <c r="AN3220">
        <f>IF($E3220="","",IF(COUNTIF($E$2:$E3220,$E3220)=1,1,0))</f>
        <v/>
      </c>
      <c r="AO3220">
        <f>IF($AN3220=1,SUMPRODUCT(--($AR$2:$AR$4001&lt;$AR3220))+1,"")</f>
        <v/>
      </c>
      <c r="AP3220">
        <f>IF($E3220="","",IF(OR($U3220=TRUE(),$U3220="TRUE"),1,0))</f>
        <v/>
      </c>
      <c r="AQ3220">
        <f>IF($E3220="","",IF($AA3220="Yes",1,0))</f>
        <v/>
      </c>
      <c r="AR3220">
        <f>IF($AN3220=1,IFERROR(VALUE(MID($E3220,2,20)),1000000000)+ROW()/100000,"")</f>
        <v/>
      </c>
    </row>
    <row r="3221">
      <c r="G3221" s="11" t="n"/>
      <c r="Q3221" s="7">
        <f>IF($E3221="","",P3221*Y3221/100)</f>
        <v/>
      </c>
      <c r="R3221" s="7" t="n"/>
      <c r="X3221" s="7" t="n"/>
      <c r="Y3221" s="7" t="n"/>
      <c r="AB3221">
        <f>IF($E3221="","",IF($AQ3221=1,0,IF($AP3221=1,Settings!$C$6,Settings!$C$7))*100)</f>
        <v/>
      </c>
      <c r="AC3221" s="7">
        <f>IF($E3221="","",Y3221*AB3221/100)</f>
        <v/>
      </c>
      <c r="AD3221" s="7">
        <f>IF($E3221="","",Y3221-AC3221)</f>
        <v/>
      </c>
      <c r="AE3221" s="7">
        <f>IF($E3221="","",AD3221-Q3221)</f>
        <v/>
      </c>
      <c r="AI3221" s="7" t="n"/>
      <c r="AL3221" s="11" t="n"/>
      <c r="AN3221">
        <f>IF($E3221="","",IF(COUNTIF($E$2:$E3221,$E3221)=1,1,0))</f>
        <v/>
      </c>
      <c r="AO3221">
        <f>IF($AN3221=1,SUMPRODUCT(--($AR$2:$AR$4001&lt;$AR3221))+1,"")</f>
        <v/>
      </c>
      <c r="AP3221">
        <f>IF($E3221="","",IF(OR($U3221=TRUE(),$U3221="TRUE"),1,0))</f>
        <v/>
      </c>
      <c r="AQ3221">
        <f>IF($E3221="","",IF($AA3221="Yes",1,0))</f>
        <v/>
      </c>
      <c r="AR3221">
        <f>IF($AN3221=1,IFERROR(VALUE(MID($E3221,2,20)),1000000000)+ROW()/100000,"")</f>
        <v/>
      </c>
    </row>
    <row r="3222">
      <c r="G3222" s="11" t="n"/>
      <c r="Q3222" s="7">
        <f>IF($E3222="","",P3222*Y3222/100)</f>
        <v/>
      </c>
      <c r="R3222" s="7" t="n"/>
      <c r="X3222" s="7" t="n"/>
      <c r="Y3222" s="7" t="n"/>
      <c r="AB3222">
        <f>IF($E3222="","",IF($AQ3222=1,0,IF($AP3222=1,Settings!$C$6,Settings!$C$7))*100)</f>
        <v/>
      </c>
      <c r="AC3222" s="7">
        <f>IF($E3222="","",Y3222*AB3222/100)</f>
        <v/>
      </c>
      <c r="AD3222" s="7">
        <f>IF($E3222="","",Y3222-AC3222)</f>
        <v/>
      </c>
      <c r="AE3222" s="7">
        <f>IF($E3222="","",AD3222-Q3222)</f>
        <v/>
      </c>
      <c r="AI3222" s="7" t="n"/>
      <c r="AL3222" s="11" t="n"/>
      <c r="AN3222">
        <f>IF($E3222="","",IF(COUNTIF($E$2:$E3222,$E3222)=1,1,0))</f>
        <v/>
      </c>
      <c r="AO3222">
        <f>IF($AN3222=1,SUMPRODUCT(--($AR$2:$AR$4001&lt;$AR3222))+1,"")</f>
        <v/>
      </c>
      <c r="AP3222">
        <f>IF($E3222="","",IF(OR($U3222=TRUE(),$U3222="TRUE"),1,0))</f>
        <v/>
      </c>
      <c r="AQ3222">
        <f>IF($E3222="","",IF($AA3222="Yes",1,0))</f>
        <v/>
      </c>
      <c r="AR3222">
        <f>IF($AN3222=1,IFERROR(VALUE(MID($E3222,2,20)),1000000000)+ROW()/100000,"")</f>
        <v/>
      </c>
    </row>
    <row r="3223">
      <c r="G3223" s="11" t="n"/>
      <c r="Q3223" s="7">
        <f>IF($E3223="","",P3223*Y3223/100)</f>
        <v/>
      </c>
      <c r="R3223" s="7" t="n"/>
      <c r="X3223" s="7" t="n"/>
      <c r="Y3223" s="7" t="n"/>
      <c r="AB3223">
        <f>IF($E3223="","",IF($AQ3223=1,0,IF($AP3223=1,Settings!$C$6,Settings!$C$7))*100)</f>
        <v/>
      </c>
      <c r="AC3223" s="7">
        <f>IF($E3223="","",Y3223*AB3223/100)</f>
        <v/>
      </c>
      <c r="AD3223" s="7">
        <f>IF($E3223="","",Y3223-AC3223)</f>
        <v/>
      </c>
      <c r="AE3223" s="7">
        <f>IF($E3223="","",AD3223-Q3223)</f>
        <v/>
      </c>
      <c r="AI3223" s="7" t="n"/>
      <c r="AL3223" s="11" t="n"/>
      <c r="AN3223">
        <f>IF($E3223="","",IF(COUNTIF($E$2:$E3223,$E3223)=1,1,0))</f>
        <v/>
      </c>
      <c r="AO3223">
        <f>IF($AN3223=1,SUMPRODUCT(--($AR$2:$AR$4001&lt;$AR3223))+1,"")</f>
        <v/>
      </c>
      <c r="AP3223">
        <f>IF($E3223="","",IF(OR($U3223=TRUE(),$U3223="TRUE"),1,0))</f>
        <v/>
      </c>
      <c r="AQ3223">
        <f>IF($E3223="","",IF($AA3223="Yes",1,0))</f>
        <v/>
      </c>
      <c r="AR3223">
        <f>IF($AN3223=1,IFERROR(VALUE(MID($E3223,2,20)),1000000000)+ROW()/100000,"")</f>
        <v/>
      </c>
    </row>
    <row r="3224">
      <c r="G3224" s="11" t="n"/>
      <c r="Q3224" s="7">
        <f>IF($E3224="","",P3224*Y3224/100)</f>
        <v/>
      </c>
      <c r="R3224" s="7" t="n"/>
      <c r="X3224" s="7" t="n"/>
      <c r="Y3224" s="7" t="n"/>
      <c r="AB3224">
        <f>IF($E3224="","",IF($AQ3224=1,0,IF($AP3224=1,Settings!$C$6,Settings!$C$7))*100)</f>
        <v/>
      </c>
      <c r="AC3224" s="7">
        <f>IF($E3224="","",Y3224*AB3224/100)</f>
        <v/>
      </c>
      <c r="AD3224" s="7">
        <f>IF($E3224="","",Y3224-AC3224)</f>
        <v/>
      </c>
      <c r="AE3224" s="7">
        <f>IF($E3224="","",AD3224-Q3224)</f>
        <v/>
      </c>
      <c r="AI3224" s="7" t="n"/>
      <c r="AL3224" s="11" t="n"/>
      <c r="AN3224">
        <f>IF($E3224="","",IF(COUNTIF($E$2:$E3224,$E3224)=1,1,0))</f>
        <v/>
      </c>
      <c r="AO3224">
        <f>IF($AN3224=1,SUMPRODUCT(--($AR$2:$AR$4001&lt;$AR3224))+1,"")</f>
        <v/>
      </c>
      <c r="AP3224">
        <f>IF($E3224="","",IF(OR($U3224=TRUE(),$U3224="TRUE"),1,0))</f>
        <v/>
      </c>
      <c r="AQ3224">
        <f>IF($E3224="","",IF($AA3224="Yes",1,0))</f>
        <v/>
      </c>
      <c r="AR3224">
        <f>IF($AN3224=1,IFERROR(VALUE(MID($E3224,2,20)),1000000000)+ROW()/100000,"")</f>
        <v/>
      </c>
    </row>
    <row r="3225">
      <c r="G3225" s="11" t="n"/>
      <c r="Q3225" s="7">
        <f>IF($E3225="","",P3225*Y3225/100)</f>
        <v/>
      </c>
      <c r="R3225" s="7" t="n"/>
      <c r="X3225" s="7" t="n"/>
      <c r="Y3225" s="7" t="n"/>
      <c r="AB3225">
        <f>IF($E3225="","",IF($AQ3225=1,0,IF($AP3225=1,Settings!$C$6,Settings!$C$7))*100)</f>
        <v/>
      </c>
      <c r="AC3225" s="7">
        <f>IF($E3225="","",Y3225*AB3225/100)</f>
        <v/>
      </c>
      <c r="AD3225" s="7">
        <f>IF($E3225="","",Y3225-AC3225)</f>
        <v/>
      </c>
      <c r="AE3225" s="7">
        <f>IF($E3225="","",AD3225-Q3225)</f>
        <v/>
      </c>
      <c r="AI3225" s="7" t="n"/>
      <c r="AL3225" s="11" t="n"/>
      <c r="AN3225">
        <f>IF($E3225="","",IF(COUNTIF($E$2:$E3225,$E3225)=1,1,0))</f>
        <v/>
      </c>
      <c r="AO3225">
        <f>IF($AN3225=1,SUMPRODUCT(--($AR$2:$AR$4001&lt;$AR3225))+1,"")</f>
        <v/>
      </c>
      <c r="AP3225">
        <f>IF($E3225="","",IF(OR($U3225=TRUE(),$U3225="TRUE"),1,0))</f>
        <v/>
      </c>
      <c r="AQ3225">
        <f>IF($E3225="","",IF($AA3225="Yes",1,0))</f>
        <v/>
      </c>
      <c r="AR3225">
        <f>IF($AN3225=1,IFERROR(VALUE(MID($E3225,2,20)),1000000000)+ROW()/100000,"")</f>
        <v/>
      </c>
    </row>
    <row r="3226">
      <c r="G3226" s="11" t="n"/>
      <c r="Q3226" s="7">
        <f>IF($E3226="","",P3226*Y3226/100)</f>
        <v/>
      </c>
      <c r="R3226" s="7" t="n"/>
      <c r="X3226" s="7" t="n"/>
      <c r="Y3226" s="7" t="n"/>
      <c r="AB3226">
        <f>IF($E3226="","",IF($AQ3226=1,0,IF($AP3226=1,Settings!$C$6,Settings!$C$7))*100)</f>
        <v/>
      </c>
      <c r="AC3226" s="7">
        <f>IF($E3226="","",Y3226*AB3226/100)</f>
        <v/>
      </c>
      <c r="AD3226" s="7">
        <f>IF($E3226="","",Y3226-AC3226)</f>
        <v/>
      </c>
      <c r="AE3226" s="7">
        <f>IF($E3226="","",AD3226-Q3226)</f>
        <v/>
      </c>
      <c r="AI3226" s="7" t="n"/>
      <c r="AL3226" s="11" t="n"/>
      <c r="AN3226">
        <f>IF($E3226="","",IF(COUNTIF($E$2:$E3226,$E3226)=1,1,0))</f>
        <v/>
      </c>
      <c r="AO3226">
        <f>IF($AN3226=1,SUMPRODUCT(--($AR$2:$AR$4001&lt;$AR3226))+1,"")</f>
        <v/>
      </c>
      <c r="AP3226">
        <f>IF($E3226="","",IF(OR($U3226=TRUE(),$U3226="TRUE"),1,0))</f>
        <v/>
      </c>
      <c r="AQ3226">
        <f>IF($E3226="","",IF($AA3226="Yes",1,0))</f>
        <v/>
      </c>
      <c r="AR3226">
        <f>IF($AN3226=1,IFERROR(VALUE(MID($E3226,2,20)),1000000000)+ROW()/100000,"")</f>
        <v/>
      </c>
    </row>
    <row r="3227">
      <c r="G3227" s="11" t="n"/>
      <c r="Q3227" s="7">
        <f>IF($E3227="","",P3227*Y3227/100)</f>
        <v/>
      </c>
      <c r="R3227" s="7" t="n"/>
      <c r="X3227" s="7" t="n"/>
      <c r="Y3227" s="7" t="n"/>
      <c r="AB3227">
        <f>IF($E3227="","",IF($AQ3227=1,0,IF($AP3227=1,Settings!$C$6,Settings!$C$7))*100)</f>
        <v/>
      </c>
      <c r="AC3227" s="7">
        <f>IF($E3227="","",Y3227*AB3227/100)</f>
        <v/>
      </c>
      <c r="AD3227" s="7">
        <f>IF($E3227="","",Y3227-AC3227)</f>
        <v/>
      </c>
      <c r="AE3227" s="7">
        <f>IF($E3227="","",AD3227-Q3227)</f>
        <v/>
      </c>
      <c r="AI3227" s="7" t="n"/>
      <c r="AL3227" s="11" t="n"/>
      <c r="AN3227">
        <f>IF($E3227="","",IF(COUNTIF($E$2:$E3227,$E3227)=1,1,0))</f>
        <v/>
      </c>
      <c r="AO3227">
        <f>IF($AN3227=1,SUMPRODUCT(--($AR$2:$AR$4001&lt;$AR3227))+1,"")</f>
        <v/>
      </c>
      <c r="AP3227">
        <f>IF($E3227="","",IF(OR($U3227=TRUE(),$U3227="TRUE"),1,0))</f>
        <v/>
      </c>
      <c r="AQ3227">
        <f>IF($E3227="","",IF($AA3227="Yes",1,0))</f>
        <v/>
      </c>
      <c r="AR3227">
        <f>IF($AN3227=1,IFERROR(VALUE(MID($E3227,2,20)),1000000000)+ROW()/100000,"")</f>
        <v/>
      </c>
    </row>
    <row r="3228">
      <c r="G3228" s="11" t="n"/>
      <c r="Q3228" s="7">
        <f>IF($E3228="","",P3228*Y3228/100)</f>
        <v/>
      </c>
      <c r="R3228" s="7" t="n"/>
      <c r="X3228" s="7" t="n"/>
      <c r="Y3228" s="7" t="n"/>
      <c r="AB3228">
        <f>IF($E3228="","",IF($AQ3228=1,0,IF($AP3228=1,Settings!$C$6,Settings!$C$7))*100)</f>
        <v/>
      </c>
      <c r="AC3228" s="7">
        <f>IF($E3228="","",Y3228*AB3228/100)</f>
        <v/>
      </c>
      <c r="AD3228" s="7">
        <f>IF($E3228="","",Y3228-AC3228)</f>
        <v/>
      </c>
      <c r="AE3228" s="7">
        <f>IF($E3228="","",AD3228-Q3228)</f>
        <v/>
      </c>
      <c r="AI3228" s="7" t="n"/>
      <c r="AL3228" s="11" t="n"/>
      <c r="AN3228">
        <f>IF($E3228="","",IF(COUNTIF($E$2:$E3228,$E3228)=1,1,0))</f>
        <v/>
      </c>
      <c r="AO3228">
        <f>IF($AN3228=1,SUMPRODUCT(--($AR$2:$AR$4001&lt;$AR3228))+1,"")</f>
        <v/>
      </c>
      <c r="AP3228">
        <f>IF($E3228="","",IF(OR($U3228=TRUE(),$U3228="TRUE"),1,0))</f>
        <v/>
      </c>
      <c r="AQ3228">
        <f>IF($E3228="","",IF($AA3228="Yes",1,0))</f>
        <v/>
      </c>
      <c r="AR3228">
        <f>IF($AN3228=1,IFERROR(VALUE(MID($E3228,2,20)),1000000000)+ROW()/100000,"")</f>
        <v/>
      </c>
    </row>
    <row r="3229">
      <c r="G3229" s="11" t="n"/>
      <c r="Q3229" s="7">
        <f>IF($E3229="","",P3229*Y3229/100)</f>
        <v/>
      </c>
      <c r="R3229" s="7" t="n"/>
      <c r="X3229" s="7" t="n"/>
      <c r="Y3229" s="7" t="n"/>
      <c r="AB3229">
        <f>IF($E3229="","",IF($AQ3229=1,0,IF($AP3229=1,Settings!$C$6,Settings!$C$7))*100)</f>
        <v/>
      </c>
      <c r="AC3229" s="7">
        <f>IF($E3229="","",Y3229*AB3229/100)</f>
        <v/>
      </c>
      <c r="AD3229" s="7">
        <f>IF($E3229="","",Y3229-AC3229)</f>
        <v/>
      </c>
      <c r="AE3229" s="7">
        <f>IF($E3229="","",AD3229-Q3229)</f>
        <v/>
      </c>
      <c r="AI3229" s="7" t="n"/>
      <c r="AL3229" s="11" t="n"/>
      <c r="AN3229">
        <f>IF($E3229="","",IF(COUNTIF($E$2:$E3229,$E3229)=1,1,0))</f>
        <v/>
      </c>
      <c r="AO3229">
        <f>IF($AN3229=1,SUMPRODUCT(--($AR$2:$AR$4001&lt;$AR3229))+1,"")</f>
        <v/>
      </c>
      <c r="AP3229">
        <f>IF($E3229="","",IF(OR($U3229=TRUE(),$U3229="TRUE"),1,0))</f>
        <v/>
      </c>
      <c r="AQ3229">
        <f>IF($E3229="","",IF($AA3229="Yes",1,0))</f>
        <v/>
      </c>
      <c r="AR3229">
        <f>IF($AN3229=1,IFERROR(VALUE(MID($E3229,2,20)),1000000000)+ROW()/100000,"")</f>
        <v/>
      </c>
    </row>
    <row r="3230">
      <c r="G3230" s="11" t="n"/>
      <c r="Q3230" s="7">
        <f>IF($E3230="","",P3230*Y3230/100)</f>
        <v/>
      </c>
      <c r="R3230" s="7" t="n"/>
      <c r="X3230" s="7" t="n"/>
      <c r="Y3230" s="7" t="n"/>
      <c r="AB3230">
        <f>IF($E3230="","",IF($AQ3230=1,0,IF($AP3230=1,Settings!$C$6,Settings!$C$7))*100)</f>
        <v/>
      </c>
      <c r="AC3230" s="7">
        <f>IF($E3230="","",Y3230*AB3230/100)</f>
        <v/>
      </c>
      <c r="AD3230" s="7">
        <f>IF($E3230="","",Y3230-AC3230)</f>
        <v/>
      </c>
      <c r="AE3230" s="7">
        <f>IF($E3230="","",AD3230-Q3230)</f>
        <v/>
      </c>
      <c r="AI3230" s="7" t="n"/>
      <c r="AL3230" s="11" t="n"/>
      <c r="AN3230">
        <f>IF($E3230="","",IF(COUNTIF($E$2:$E3230,$E3230)=1,1,0))</f>
        <v/>
      </c>
      <c r="AO3230">
        <f>IF($AN3230=1,SUMPRODUCT(--($AR$2:$AR$4001&lt;$AR3230))+1,"")</f>
        <v/>
      </c>
      <c r="AP3230">
        <f>IF($E3230="","",IF(OR($U3230=TRUE(),$U3230="TRUE"),1,0))</f>
        <v/>
      </c>
      <c r="AQ3230">
        <f>IF($E3230="","",IF($AA3230="Yes",1,0))</f>
        <v/>
      </c>
      <c r="AR3230">
        <f>IF($AN3230=1,IFERROR(VALUE(MID($E3230,2,20)),1000000000)+ROW()/100000,"")</f>
        <v/>
      </c>
    </row>
    <row r="3231">
      <c r="G3231" s="11" t="n"/>
      <c r="Q3231" s="7">
        <f>IF($E3231="","",P3231*Y3231/100)</f>
        <v/>
      </c>
      <c r="R3231" s="7" t="n"/>
      <c r="X3231" s="7" t="n"/>
      <c r="Y3231" s="7" t="n"/>
      <c r="AB3231">
        <f>IF($E3231="","",IF($AQ3231=1,0,IF($AP3231=1,Settings!$C$6,Settings!$C$7))*100)</f>
        <v/>
      </c>
      <c r="AC3231" s="7">
        <f>IF($E3231="","",Y3231*AB3231/100)</f>
        <v/>
      </c>
      <c r="AD3231" s="7">
        <f>IF($E3231="","",Y3231-AC3231)</f>
        <v/>
      </c>
      <c r="AE3231" s="7">
        <f>IF($E3231="","",AD3231-Q3231)</f>
        <v/>
      </c>
      <c r="AI3231" s="7" t="n"/>
      <c r="AL3231" s="11" t="n"/>
      <c r="AN3231">
        <f>IF($E3231="","",IF(COUNTIF($E$2:$E3231,$E3231)=1,1,0))</f>
        <v/>
      </c>
      <c r="AO3231">
        <f>IF($AN3231=1,SUMPRODUCT(--($AR$2:$AR$4001&lt;$AR3231))+1,"")</f>
        <v/>
      </c>
      <c r="AP3231">
        <f>IF($E3231="","",IF(OR($U3231=TRUE(),$U3231="TRUE"),1,0))</f>
        <v/>
      </c>
      <c r="AQ3231">
        <f>IF($E3231="","",IF($AA3231="Yes",1,0))</f>
        <v/>
      </c>
      <c r="AR3231">
        <f>IF($AN3231=1,IFERROR(VALUE(MID($E3231,2,20)),1000000000)+ROW()/100000,"")</f>
        <v/>
      </c>
    </row>
    <row r="3232">
      <c r="G3232" s="11" t="n"/>
      <c r="Q3232" s="7">
        <f>IF($E3232="","",P3232*Y3232/100)</f>
        <v/>
      </c>
      <c r="R3232" s="7" t="n"/>
      <c r="X3232" s="7" t="n"/>
      <c r="Y3232" s="7" t="n"/>
      <c r="AB3232">
        <f>IF($E3232="","",IF($AQ3232=1,0,IF($AP3232=1,Settings!$C$6,Settings!$C$7))*100)</f>
        <v/>
      </c>
      <c r="AC3232" s="7">
        <f>IF($E3232="","",Y3232*AB3232/100)</f>
        <v/>
      </c>
      <c r="AD3232" s="7">
        <f>IF($E3232="","",Y3232-AC3232)</f>
        <v/>
      </c>
      <c r="AE3232" s="7">
        <f>IF($E3232="","",AD3232-Q3232)</f>
        <v/>
      </c>
      <c r="AI3232" s="7" t="n"/>
      <c r="AL3232" s="11" t="n"/>
      <c r="AN3232">
        <f>IF($E3232="","",IF(COUNTIF($E$2:$E3232,$E3232)=1,1,0))</f>
        <v/>
      </c>
      <c r="AO3232">
        <f>IF($AN3232=1,SUMPRODUCT(--($AR$2:$AR$4001&lt;$AR3232))+1,"")</f>
        <v/>
      </c>
      <c r="AP3232">
        <f>IF($E3232="","",IF(OR($U3232=TRUE(),$U3232="TRUE"),1,0))</f>
        <v/>
      </c>
      <c r="AQ3232">
        <f>IF($E3232="","",IF($AA3232="Yes",1,0))</f>
        <v/>
      </c>
      <c r="AR3232">
        <f>IF($AN3232=1,IFERROR(VALUE(MID($E3232,2,20)),1000000000)+ROW()/100000,"")</f>
        <v/>
      </c>
    </row>
    <row r="3233">
      <c r="G3233" s="11" t="n"/>
      <c r="Q3233" s="7">
        <f>IF($E3233="","",P3233*Y3233/100)</f>
        <v/>
      </c>
      <c r="R3233" s="7" t="n"/>
      <c r="X3233" s="7" t="n"/>
      <c r="Y3233" s="7" t="n"/>
      <c r="AB3233">
        <f>IF($E3233="","",IF($AQ3233=1,0,IF($AP3233=1,Settings!$C$6,Settings!$C$7))*100)</f>
        <v/>
      </c>
      <c r="AC3233" s="7">
        <f>IF($E3233="","",Y3233*AB3233/100)</f>
        <v/>
      </c>
      <c r="AD3233" s="7">
        <f>IF($E3233="","",Y3233-AC3233)</f>
        <v/>
      </c>
      <c r="AE3233" s="7">
        <f>IF($E3233="","",AD3233-Q3233)</f>
        <v/>
      </c>
      <c r="AI3233" s="7" t="n"/>
      <c r="AL3233" s="11" t="n"/>
      <c r="AN3233">
        <f>IF($E3233="","",IF(COUNTIF($E$2:$E3233,$E3233)=1,1,0))</f>
        <v/>
      </c>
      <c r="AO3233">
        <f>IF($AN3233=1,SUMPRODUCT(--($AR$2:$AR$4001&lt;$AR3233))+1,"")</f>
        <v/>
      </c>
      <c r="AP3233">
        <f>IF($E3233="","",IF(OR($U3233=TRUE(),$U3233="TRUE"),1,0))</f>
        <v/>
      </c>
      <c r="AQ3233">
        <f>IF($E3233="","",IF($AA3233="Yes",1,0))</f>
        <v/>
      </c>
      <c r="AR3233">
        <f>IF($AN3233=1,IFERROR(VALUE(MID($E3233,2,20)),1000000000)+ROW()/100000,"")</f>
        <v/>
      </c>
    </row>
    <row r="3234">
      <c r="G3234" s="11" t="n"/>
      <c r="Q3234" s="7">
        <f>IF($E3234="","",P3234*Y3234/100)</f>
        <v/>
      </c>
      <c r="R3234" s="7" t="n"/>
      <c r="X3234" s="7" t="n"/>
      <c r="Y3234" s="7" t="n"/>
      <c r="AB3234">
        <f>IF($E3234="","",IF($AQ3234=1,0,IF($AP3234=1,Settings!$C$6,Settings!$C$7))*100)</f>
        <v/>
      </c>
      <c r="AC3234" s="7">
        <f>IF($E3234="","",Y3234*AB3234/100)</f>
        <v/>
      </c>
      <c r="AD3234" s="7">
        <f>IF($E3234="","",Y3234-AC3234)</f>
        <v/>
      </c>
      <c r="AE3234" s="7">
        <f>IF($E3234="","",AD3234-Q3234)</f>
        <v/>
      </c>
      <c r="AI3234" s="7" t="n"/>
      <c r="AL3234" s="11" t="n"/>
      <c r="AN3234">
        <f>IF($E3234="","",IF(COUNTIF($E$2:$E3234,$E3234)=1,1,0))</f>
        <v/>
      </c>
      <c r="AO3234">
        <f>IF($AN3234=1,SUMPRODUCT(--($AR$2:$AR$4001&lt;$AR3234))+1,"")</f>
        <v/>
      </c>
      <c r="AP3234">
        <f>IF($E3234="","",IF(OR($U3234=TRUE(),$U3234="TRUE"),1,0))</f>
        <v/>
      </c>
      <c r="AQ3234">
        <f>IF($E3234="","",IF($AA3234="Yes",1,0))</f>
        <v/>
      </c>
      <c r="AR3234">
        <f>IF($AN3234=1,IFERROR(VALUE(MID($E3234,2,20)),1000000000)+ROW()/100000,"")</f>
        <v/>
      </c>
    </row>
    <row r="3235">
      <c r="G3235" s="11" t="n"/>
      <c r="Q3235" s="7">
        <f>IF($E3235="","",P3235*Y3235/100)</f>
        <v/>
      </c>
      <c r="R3235" s="7" t="n"/>
      <c r="X3235" s="7" t="n"/>
      <c r="Y3235" s="7" t="n"/>
      <c r="AB3235">
        <f>IF($E3235="","",IF($AQ3235=1,0,IF($AP3235=1,Settings!$C$6,Settings!$C$7))*100)</f>
        <v/>
      </c>
      <c r="AC3235" s="7">
        <f>IF($E3235="","",Y3235*AB3235/100)</f>
        <v/>
      </c>
      <c r="AD3235" s="7">
        <f>IF($E3235="","",Y3235-AC3235)</f>
        <v/>
      </c>
      <c r="AE3235" s="7">
        <f>IF($E3235="","",AD3235-Q3235)</f>
        <v/>
      </c>
      <c r="AI3235" s="7" t="n"/>
      <c r="AL3235" s="11" t="n"/>
      <c r="AN3235">
        <f>IF($E3235="","",IF(COUNTIF($E$2:$E3235,$E3235)=1,1,0))</f>
        <v/>
      </c>
      <c r="AO3235">
        <f>IF($AN3235=1,SUMPRODUCT(--($AR$2:$AR$4001&lt;$AR3235))+1,"")</f>
        <v/>
      </c>
      <c r="AP3235">
        <f>IF($E3235="","",IF(OR($U3235=TRUE(),$U3235="TRUE"),1,0))</f>
        <v/>
      </c>
      <c r="AQ3235">
        <f>IF($E3235="","",IF($AA3235="Yes",1,0))</f>
        <v/>
      </c>
      <c r="AR3235">
        <f>IF($AN3235=1,IFERROR(VALUE(MID($E3235,2,20)),1000000000)+ROW()/100000,"")</f>
        <v/>
      </c>
    </row>
    <row r="3236">
      <c r="G3236" s="11" t="n"/>
      <c r="Q3236" s="7">
        <f>IF($E3236="","",P3236*Y3236/100)</f>
        <v/>
      </c>
      <c r="R3236" s="7" t="n"/>
      <c r="X3236" s="7" t="n"/>
      <c r="Y3236" s="7" t="n"/>
      <c r="AB3236">
        <f>IF($E3236="","",IF($AQ3236=1,0,IF($AP3236=1,Settings!$C$6,Settings!$C$7))*100)</f>
        <v/>
      </c>
      <c r="AC3236" s="7">
        <f>IF($E3236="","",Y3236*AB3236/100)</f>
        <v/>
      </c>
      <c r="AD3236" s="7">
        <f>IF($E3236="","",Y3236-AC3236)</f>
        <v/>
      </c>
      <c r="AE3236" s="7">
        <f>IF($E3236="","",AD3236-Q3236)</f>
        <v/>
      </c>
      <c r="AI3236" s="7" t="n"/>
      <c r="AL3236" s="11" t="n"/>
      <c r="AN3236">
        <f>IF($E3236="","",IF(COUNTIF($E$2:$E3236,$E3236)=1,1,0))</f>
        <v/>
      </c>
      <c r="AO3236">
        <f>IF($AN3236=1,SUMPRODUCT(--($AR$2:$AR$4001&lt;$AR3236))+1,"")</f>
        <v/>
      </c>
      <c r="AP3236">
        <f>IF($E3236="","",IF(OR($U3236=TRUE(),$U3236="TRUE"),1,0))</f>
        <v/>
      </c>
      <c r="AQ3236">
        <f>IF($E3236="","",IF($AA3236="Yes",1,0))</f>
        <v/>
      </c>
      <c r="AR3236">
        <f>IF($AN3236=1,IFERROR(VALUE(MID($E3236,2,20)),1000000000)+ROW()/100000,"")</f>
        <v/>
      </c>
    </row>
    <row r="3237">
      <c r="G3237" s="11" t="n"/>
      <c r="Q3237" s="7">
        <f>IF($E3237="","",P3237*Y3237/100)</f>
        <v/>
      </c>
      <c r="R3237" s="7" t="n"/>
      <c r="X3237" s="7" t="n"/>
      <c r="Y3237" s="7" t="n"/>
      <c r="AB3237">
        <f>IF($E3237="","",IF($AQ3237=1,0,IF($AP3237=1,Settings!$C$6,Settings!$C$7))*100)</f>
        <v/>
      </c>
      <c r="AC3237" s="7">
        <f>IF($E3237="","",Y3237*AB3237/100)</f>
        <v/>
      </c>
      <c r="AD3237" s="7">
        <f>IF($E3237="","",Y3237-AC3237)</f>
        <v/>
      </c>
      <c r="AE3237" s="7">
        <f>IF($E3237="","",AD3237-Q3237)</f>
        <v/>
      </c>
      <c r="AI3237" s="7" t="n"/>
      <c r="AL3237" s="11" t="n"/>
      <c r="AN3237">
        <f>IF($E3237="","",IF(COUNTIF($E$2:$E3237,$E3237)=1,1,0))</f>
        <v/>
      </c>
      <c r="AO3237">
        <f>IF($AN3237=1,SUMPRODUCT(--($AR$2:$AR$4001&lt;$AR3237))+1,"")</f>
        <v/>
      </c>
      <c r="AP3237">
        <f>IF($E3237="","",IF(OR($U3237=TRUE(),$U3237="TRUE"),1,0))</f>
        <v/>
      </c>
      <c r="AQ3237">
        <f>IF($E3237="","",IF($AA3237="Yes",1,0))</f>
        <v/>
      </c>
      <c r="AR3237">
        <f>IF($AN3237=1,IFERROR(VALUE(MID($E3237,2,20)),1000000000)+ROW()/100000,"")</f>
        <v/>
      </c>
    </row>
    <row r="3238">
      <c r="G3238" s="11" t="n"/>
      <c r="Q3238" s="7">
        <f>IF($E3238="","",P3238*Y3238/100)</f>
        <v/>
      </c>
      <c r="R3238" s="7" t="n"/>
      <c r="X3238" s="7" t="n"/>
      <c r="Y3238" s="7" t="n"/>
      <c r="AB3238">
        <f>IF($E3238="","",IF($AQ3238=1,0,IF($AP3238=1,Settings!$C$6,Settings!$C$7))*100)</f>
        <v/>
      </c>
      <c r="AC3238" s="7">
        <f>IF($E3238="","",Y3238*AB3238/100)</f>
        <v/>
      </c>
      <c r="AD3238" s="7">
        <f>IF($E3238="","",Y3238-AC3238)</f>
        <v/>
      </c>
      <c r="AE3238" s="7">
        <f>IF($E3238="","",AD3238-Q3238)</f>
        <v/>
      </c>
      <c r="AI3238" s="7" t="n"/>
      <c r="AL3238" s="11" t="n"/>
      <c r="AN3238">
        <f>IF($E3238="","",IF(COUNTIF($E$2:$E3238,$E3238)=1,1,0))</f>
        <v/>
      </c>
      <c r="AO3238">
        <f>IF($AN3238=1,SUMPRODUCT(--($AR$2:$AR$4001&lt;$AR3238))+1,"")</f>
        <v/>
      </c>
      <c r="AP3238">
        <f>IF($E3238="","",IF(OR($U3238=TRUE(),$U3238="TRUE"),1,0))</f>
        <v/>
      </c>
      <c r="AQ3238">
        <f>IF($E3238="","",IF($AA3238="Yes",1,0))</f>
        <v/>
      </c>
      <c r="AR3238">
        <f>IF($AN3238=1,IFERROR(VALUE(MID($E3238,2,20)),1000000000)+ROW()/100000,"")</f>
        <v/>
      </c>
    </row>
    <row r="3239">
      <c r="G3239" s="11" t="n"/>
      <c r="Q3239" s="7">
        <f>IF($E3239="","",P3239*Y3239/100)</f>
        <v/>
      </c>
      <c r="R3239" s="7" t="n"/>
      <c r="X3239" s="7" t="n"/>
      <c r="Y3239" s="7" t="n"/>
      <c r="AB3239">
        <f>IF($E3239="","",IF($AQ3239=1,0,IF($AP3239=1,Settings!$C$6,Settings!$C$7))*100)</f>
        <v/>
      </c>
      <c r="AC3239" s="7">
        <f>IF($E3239="","",Y3239*AB3239/100)</f>
        <v/>
      </c>
      <c r="AD3239" s="7">
        <f>IF($E3239="","",Y3239-AC3239)</f>
        <v/>
      </c>
      <c r="AE3239" s="7">
        <f>IF($E3239="","",AD3239-Q3239)</f>
        <v/>
      </c>
      <c r="AI3239" s="7" t="n"/>
      <c r="AL3239" s="11" t="n"/>
      <c r="AN3239">
        <f>IF($E3239="","",IF(COUNTIF($E$2:$E3239,$E3239)=1,1,0))</f>
        <v/>
      </c>
      <c r="AO3239">
        <f>IF($AN3239=1,SUMPRODUCT(--($AR$2:$AR$4001&lt;$AR3239))+1,"")</f>
        <v/>
      </c>
      <c r="AP3239">
        <f>IF($E3239="","",IF(OR($U3239=TRUE(),$U3239="TRUE"),1,0))</f>
        <v/>
      </c>
      <c r="AQ3239">
        <f>IF($E3239="","",IF($AA3239="Yes",1,0))</f>
        <v/>
      </c>
      <c r="AR3239">
        <f>IF($AN3239=1,IFERROR(VALUE(MID($E3239,2,20)),1000000000)+ROW()/100000,"")</f>
        <v/>
      </c>
    </row>
    <row r="3240">
      <c r="G3240" s="11" t="n"/>
      <c r="Q3240" s="7">
        <f>IF($E3240="","",P3240*Y3240/100)</f>
        <v/>
      </c>
      <c r="R3240" s="7" t="n"/>
      <c r="X3240" s="7" t="n"/>
      <c r="Y3240" s="7" t="n"/>
      <c r="AB3240">
        <f>IF($E3240="","",IF($AQ3240=1,0,IF($AP3240=1,Settings!$C$6,Settings!$C$7))*100)</f>
        <v/>
      </c>
      <c r="AC3240" s="7">
        <f>IF($E3240="","",Y3240*AB3240/100)</f>
        <v/>
      </c>
      <c r="AD3240" s="7">
        <f>IF($E3240="","",Y3240-AC3240)</f>
        <v/>
      </c>
      <c r="AE3240" s="7">
        <f>IF($E3240="","",AD3240-Q3240)</f>
        <v/>
      </c>
      <c r="AI3240" s="7" t="n"/>
      <c r="AL3240" s="11" t="n"/>
      <c r="AN3240">
        <f>IF($E3240="","",IF(COUNTIF($E$2:$E3240,$E3240)=1,1,0))</f>
        <v/>
      </c>
      <c r="AO3240">
        <f>IF($AN3240=1,SUMPRODUCT(--($AR$2:$AR$4001&lt;$AR3240))+1,"")</f>
        <v/>
      </c>
      <c r="AP3240">
        <f>IF($E3240="","",IF(OR($U3240=TRUE(),$U3240="TRUE"),1,0))</f>
        <v/>
      </c>
      <c r="AQ3240">
        <f>IF($E3240="","",IF($AA3240="Yes",1,0))</f>
        <v/>
      </c>
      <c r="AR3240">
        <f>IF($AN3240=1,IFERROR(VALUE(MID($E3240,2,20)),1000000000)+ROW()/100000,"")</f>
        <v/>
      </c>
    </row>
    <row r="3241">
      <c r="G3241" s="11" t="n"/>
      <c r="Q3241" s="7">
        <f>IF($E3241="","",P3241*Y3241/100)</f>
        <v/>
      </c>
      <c r="R3241" s="7" t="n"/>
      <c r="X3241" s="7" t="n"/>
      <c r="Y3241" s="7" t="n"/>
      <c r="AB3241">
        <f>IF($E3241="","",IF($AQ3241=1,0,IF($AP3241=1,Settings!$C$6,Settings!$C$7))*100)</f>
        <v/>
      </c>
      <c r="AC3241" s="7">
        <f>IF($E3241="","",Y3241*AB3241/100)</f>
        <v/>
      </c>
      <c r="AD3241" s="7">
        <f>IF($E3241="","",Y3241-AC3241)</f>
        <v/>
      </c>
      <c r="AE3241" s="7">
        <f>IF($E3241="","",AD3241-Q3241)</f>
        <v/>
      </c>
      <c r="AI3241" s="7" t="n"/>
      <c r="AL3241" s="11" t="n"/>
      <c r="AN3241">
        <f>IF($E3241="","",IF(COUNTIF($E$2:$E3241,$E3241)=1,1,0))</f>
        <v/>
      </c>
      <c r="AO3241">
        <f>IF($AN3241=1,SUMPRODUCT(--($AR$2:$AR$4001&lt;$AR3241))+1,"")</f>
        <v/>
      </c>
      <c r="AP3241">
        <f>IF($E3241="","",IF(OR($U3241=TRUE(),$U3241="TRUE"),1,0))</f>
        <v/>
      </c>
      <c r="AQ3241">
        <f>IF($E3241="","",IF($AA3241="Yes",1,0))</f>
        <v/>
      </c>
      <c r="AR3241">
        <f>IF($AN3241=1,IFERROR(VALUE(MID($E3241,2,20)),1000000000)+ROW()/100000,"")</f>
        <v/>
      </c>
    </row>
    <row r="3242">
      <c r="G3242" s="11" t="n"/>
      <c r="Q3242" s="7">
        <f>IF($E3242="","",P3242*Y3242/100)</f>
        <v/>
      </c>
      <c r="R3242" s="7" t="n"/>
      <c r="X3242" s="7" t="n"/>
      <c r="Y3242" s="7" t="n"/>
      <c r="AB3242">
        <f>IF($E3242="","",IF($AQ3242=1,0,IF($AP3242=1,Settings!$C$6,Settings!$C$7))*100)</f>
        <v/>
      </c>
      <c r="AC3242" s="7">
        <f>IF($E3242="","",Y3242*AB3242/100)</f>
        <v/>
      </c>
      <c r="AD3242" s="7">
        <f>IF($E3242="","",Y3242-AC3242)</f>
        <v/>
      </c>
      <c r="AE3242" s="7">
        <f>IF($E3242="","",AD3242-Q3242)</f>
        <v/>
      </c>
      <c r="AI3242" s="7" t="n"/>
      <c r="AL3242" s="11" t="n"/>
      <c r="AN3242">
        <f>IF($E3242="","",IF(COUNTIF($E$2:$E3242,$E3242)=1,1,0))</f>
        <v/>
      </c>
      <c r="AO3242">
        <f>IF($AN3242=1,SUMPRODUCT(--($AR$2:$AR$4001&lt;$AR3242))+1,"")</f>
        <v/>
      </c>
      <c r="AP3242">
        <f>IF($E3242="","",IF(OR($U3242=TRUE(),$U3242="TRUE"),1,0))</f>
        <v/>
      </c>
      <c r="AQ3242">
        <f>IF($E3242="","",IF($AA3242="Yes",1,0))</f>
        <v/>
      </c>
      <c r="AR3242">
        <f>IF($AN3242=1,IFERROR(VALUE(MID($E3242,2,20)),1000000000)+ROW()/100000,"")</f>
        <v/>
      </c>
    </row>
    <row r="3243">
      <c r="G3243" s="11" t="n"/>
      <c r="Q3243" s="7">
        <f>IF($E3243="","",P3243*Y3243/100)</f>
        <v/>
      </c>
      <c r="R3243" s="7" t="n"/>
      <c r="X3243" s="7" t="n"/>
      <c r="Y3243" s="7" t="n"/>
      <c r="AB3243">
        <f>IF($E3243="","",IF($AQ3243=1,0,IF($AP3243=1,Settings!$C$6,Settings!$C$7))*100)</f>
        <v/>
      </c>
      <c r="AC3243" s="7">
        <f>IF($E3243="","",Y3243*AB3243/100)</f>
        <v/>
      </c>
      <c r="AD3243" s="7">
        <f>IF($E3243="","",Y3243-AC3243)</f>
        <v/>
      </c>
      <c r="AE3243" s="7">
        <f>IF($E3243="","",AD3243-Q3243)</f>
        <v/>
      </c>
      <c r="AI3243" s="7" t="n"/>
      <c r="AL3243" s="11" t="n"/>
      <c r="AN3243">
        <f>IF($E3243="","",IF(COUNTIF($E$2:$E3243,$E3243)=1,1,0))</f>
        <v/>
      </c>
      <c r="AO3243">
        <f>IF($AN3243=1,SUMPRODUCT(--($AR$2:$AR$4001&lt;$AR3243))+1,"")</f>
        <v/>
      </c>
      <c r="AP3243">
        <f>IF($E3243="","",IF(OR($U3243=TRUE(),$U3243="TRUE"),1,0))</f>
        <v/>
      </c>
      <c r="AQ3243">
        <f>IF($E3243="","",IF($AA3243="Yes",1,0))</f>
        <v/>
      </c>
      <c r="AR3243">
        <f>IF($AN3243=1,IFERROR(VALUE(MID($E3243,2,20)),1000000000)+ROW()/100000,"")</f>
        <v/>
      </c>
    </row>
    <row r="3244">
      <c r="G3244" s="11" t="n"/>
      <c r="Q3244" s="7">
        <f>IF($E3244="","",P3244*Y3244/100)</f>
        <v/>
      </c>
      <c r="R3244" s="7" t="n"/>
      <c r="X3244" s="7" t="n"/>
      <c r="Y3244" s="7" t="n"/>
      <c r="AB3244">
        <f>IF($E3244="","",IF($AQ3244=1,0,IF($AP3244=1,Settings!$C$6,Settings!$C$7))*100)</f>
        <v/>
      </c>
      <c r="AC3244" s="7">
        <f>IF($E3244="","",Y3244*AB3244/100)</f>
        <v/>
      </c>
      <c r="AD3244" s="7">
        <f>IF($E3244="","",Y3244-AC3244)</f>
        <v/>
      </c>
      <c r="AE3244" s="7">
        <f>IF($E3244="","",AD3244-Q3244)</f>
        <v/>
      </c>
      <c r="AI3244" s="7" t="n"/>
      <c r="AL3244" s="11" t="n"/>
      <c r="AN3244">
        <f>IF($E3244="","",IF(COUNTIF($E$2:$E3244,$E3244)=1,1,0))</f>
        <v/>
      </c>
      <c r="AO3244">
        <f>IF($AN3244=1,SUMPRODUCT(--($AR$2:$AR$4001&lt;$AR3244))+1,"")</f>
        <v/>
      </c>
      <c r="AP3244">
        <f>IF($E3244="","",IF(OR($U3244=TRUE(),$U3244="TRUE"),1,0))</f>
        <v/>
      </c>
      <c r="AQ3244">
        <f>IF($E3244="","",IF($AA3244="Yes",1,0))</f>
        <v/>
      </c>
      <c r="AR3244">
        <f>IF($AN3244=1,IFERROR(VALUE(MID($E3244,2,20)),1000000000)+ROW()/100000,"")</f>
        <v/>
      </c>
    </row>
    <row r="3245">
      <c r="G3245" s="11" t="n"/>
      <c r="Q3245" s="7">
        <f>IF($E3245="","",P3245*Y3245/100)</f>
        <v/>
      </c>
      <c r="R3245" s="7" t="n"/>
      <c r="X3245" s="7" t="n"/>
      <c r="Y3245" s="7" t="n"/>
      <c r="AB3245">
        <f>IF($E3245="","",IF($AQ3245=1,0,IF($AP3245=1,Settings!$C$6,Settings!$C$7))*100)</f>
        <v/>
      </c>
      <c r="AC3245" s="7">
        <f>IF($E3245="","",Y3245*AB3245/100)</f>
        <v/>
      </c>
      <c r="AD3245" s="7">
        <f>IF($E3245="","",Y3245-AC3245)</f>
        <v/>
      </c>
      <c r="AE3245" s="7">
        <f>IF($E3245="","",AD3245-Q3245)</f>
        <v/>
      </c>
      <c r="AI3245" s="7" t="n"/>
      <c r="AL3245" s="11" t="n"/>
      <c r="AN3245">
        <f>IF($E3245="","",IF(COUNTIF($E$2:$E3245,$E3245)=1,1,0))</f>
        <v/>
      </c>
      <c r="AO3245">
        <f>IF($AN3245=1,SUMPRODUCT(--($AR$2:$AR$4001&lt;$AR3245))+1,"")</f>
        <v/>
      </c>
      <c r="AP3245">
        <f>IF($E3245="","",IF(OR($U3245=TRUE(),$U3245="TRUE"),1,0))</f>
        <v/>
      </c>
      <c r="AQ3245">
        <f>IF($E3245="","",IF($AA3245="Yes",1,0))</f>
        <v/>
      </c>
      <c r="AR3245">
        <f>IF($AN3245=1,IFERROR(VALUE(MID($E3245,2,20)),1000000000)+ROW()/100000,"")</f>
        <v/>
      </c>
    </row>
    <row r="3246">
      <c r="G3246" s="11" t="n"/>
      <c r="Q3246" s="7">
        <f>IF($E3246="","",P3246*Y3246/100)</f>
        <v/>
      </c>
      <c r="R3246" s="7" t="n"/>
      <c r="X3246" s="7" t="n"/>
      <c r="Y3246" s="7" t="n"/>
      <c r="AB3246">
        <f>IF($E3246="","",IF($AQ3246=1,0,IF($AP3246=1,Settings!$C$6,Settings!$C$7))*100)</f>
        <v/>
      </c>
      <c r="AC3246" s="7">
        <f>IF($E3246="","",Y3246*AB3246/100)</f>
        <v/>
      </c>
      <c r="AD3246" s="7">
        <f>IF($E3246="","",Y3246-AC3246)</f>
        <v/>
      </c>
      <c r="AE3246" s="7">
        <f>IF($E3246="","",AD3246-Q3246)</f>
        <v/>
      </c>
      <c r="AI3246" s="7" t="n"/>
      <c r="AL3246" s="11" t="n"/>
      <c r="AN3246">
        <f>IF($E3246="","",IF(COUNTIF($E$2:$E3246,$E3246)=1,1,0))</f>
        <v/>
      </c>
      <c r="AO3246">
        <f>IF($AN3246=1,SUMPRODUCT(--($AR$2:$AR$4001&lt;$AR3246))+1,"")</f>
        <v/>
      </c>
      <c r="AP3246">
        <f>IF($E3246="","",IF(OR($U3246=TRUE(),$U3246="TRUE"),1,0))</f>
        <v/>
      </c>
      <c r="AQ3246">
        <f>IF($E3246="","",IF($AA3246="Yes",1,0))</f>
        <v/>
      </c>
      <c r="AR3246">
        <f>IF($AN3246=1,IFERROR(VALUE(MID($E3246,2,20)),1000000000)+ROW()/100000,"")</f>
        <v/>
      </c>
    </row>
    <row r="3247">
      <c r="G3247" s="11" t="n"/>
      <c r="Q3247" s="7">
        <f>IF($E3247="","",P3247*Y3247/100)</f>
        <v/>
      </c>
      <c r="R3247" s="7" t="n"/>
      <c r="X3247" s="7" t="n"/>
      <c r="Y3247" s="7" t="n"/>
      <c r="AB3247">
        <f>IF($E3247="","",IF($AQ3247=1,0,IF($AP3247=1,Settings!$C$6,Settings!$C$7))*100)</f>
        <v/>
      </c>
      <c r="AC3247" s="7">
        <f>IF($E3247="","",Y3247*AB3247/100)</f>
        <v/>
      </c>
      <c r="AD3247" s="7">
        <f>IF($E3247="","",Y3247-AC3247)</f>
        <v/>
      </c>
      <c r="AE3247" s="7">
        <f>IF($E3247="","",AD3247-Q3247)</f>
        <v/>
      </c>
      <c r="AI3247" s="7" t="n"/>
      <c r="AL3247" s="11" t="n"/>
      <c r="AN3247">
        <f>IF($E3247="","",IF(COUNTIF($E$2:$E3247,$E3247)=1,1,0))</f>
        <v/>
      </c>
      <c r="AO3247">
        <f>IF($AN3247=1,SUMPRODUCT(--($AR$2:$AR$4001&lt;$AR3247))+1,"")</f>
        <v/>
      </c>
      <c r="AP3247">
        <f>IF($E3247="","",IF(OR($U3247=TRUE(),$U3247="TRUE"),1,0))</f>
        <v/>
      </c>
      <c r="AQ3247">
        <f>IF($E3247="","",IF($AA3247="Yes",1,0))</f>
        <v/>
      </c>
      <c r="AR3247">
        <f>IF($AN3247=1,IFERROR(VALUE(MID($E3247,2,20)),1000000000)+ROW()/100000,"")</f>
        <v/>
      </c>
    </row>
    <row r="3248">
      <c r="G3248" s="11" t="n"/>
      <c r="Q3248" s="7">
        <f>IF($E3248="","",P3248*Y3248/100)</f>
        <v/>
      </c>
      <c r="R3248" s="7" t="n"/>
      <c r="X3248" s="7" t="n"/>
      <c r="Y3248" s="7" t="n"/>
      <c r="AB3248">
        <f>IF($E3248="","",IF($AQ3248=1,0,IF($AP3248=1,Settings!$C$6,Settings!$C$7))*100)</f>
        <v/>
      </c>
      <c r="AC3248" s="7">
        <f>IF($E3248="","",Y3248*AB3248/100)</f>
        <v/>
      </c>
      <c r="AD3248" s="7">
        <f>IF($E3248="","",Y3248-AC3248)</f>
        <v/>
      </c>
      <c r="AE3248" s="7">
        <f>IF($E3248="","",AD3248-Q3248)</f>
        <v/>
      </c>
      <c r="AI3248" s="7" t="n"/>
      <c r="AL3248" s="11" t="n"/>
      <c r="AN3248">
        <f>IF($E3248="","",IF(COUNTIF($E$2:$E3248,$E3248)=1,1,0))</f>
        <v/>
      </c>
      <c r="AO3248">
        <f>IF($AN3248=1,SUMPRODUCT(--($AR$2:$AR$4001&lt;$AR3248))+1,"")</f>
        <v/>
      </c>
      <c r="AP3248">
        <f>IF($E3248="","",IF(OR($U3248=TRUE(),$U3248="TRUE"),1,0))</f>
        <v/>
      </c>
      <c r="AQ3248">
        <f>IF($E3248="","",IF($AA3248="Yes",1,0))</f>
        <v/>
      </c>
      <c r="AR3248">
        <f>IF($AN3248=1,IFERROR(VALUE(MID($E3248,2,20)),1000000000)+ROW()/100000,"")</f>
        <v/>
      </c>
    </row>
    <row r="3249">
      <c r="G3249" s="11" t="n"/>
      <c r="Q3249" s="7">
        <f>IF($E3249="","",P3249*Y3249/100)</f>
        <v/>
      </c>
      <c r="R3249" s="7" t="n"/>
      <c r="X3249" s="7" t="n"/>
      <c r="Y3249" s="7" t="n"/>
      <c r="AB3249">
        <f>IF($E3249="","",IF($AQ3249=1,0,IF($AP3249=1,Settings!$C$6,Settings!$C$7))*100)</f>
        <v/>
      </c>
      <c r="AC3249" s="7">
        <f>IF($E3249="","",Y3249*AB3249/100)</f>
        <v/>
      </c>
      <c r="AD3249" s="7">
        <f>IF($E3249="","",Y3249-AC3249)</f>
        <v/>
      </c>
      <c r="AE3249" s="7">
        <f>IF($E3249="","",AD3249-Q3249)</f>
        <v/>
      </c>
      <c r="AI3249" s="7" t="n"/>
      <c r="AL3249" s="11" t="n"/>
      <c r="AN3249">
        <f>IF($E3249="","",IF(COUNTIF($E$2:$E3249,$E3249)=1,1,0))</f>
        <v/>
      </c>
      <c r="AO3249">
        <f>IF($AN3249=1,SUMPRODUCT(--($AR$2:$AR$4001&lt;$AR3249))+1,"")</f>
        <v/>
      </c>
      <c r="AP3249">
        <f>IF($E3249="","",IF(OR($U3249=TRUE(),$U3249="TRUE"),1,0))</f>
        <v/>
      </c>
      <c r="AQ3249">
        <f>IF($E3249="","",IF($AA3249="Yes",1,0))</f>
        <v/>
      </c>
      <c r="AR3249">
        <f>IF($AN3249=1,IFERROR(VALUE(MID($E3249,2,20)),1000000000)+ROW()/100000,"")</f>
        <v/>
      </c>
    </row>
    <row r="3250">
      <c r="G3250" s="11" t="n"/>
      <c r="Q3250" s="7">
        <f>IF($E3250="","",P3250*Y3250/100)</f>
        <v/>
      </c>
      <c r="R3250" s="7" t="n"/>
      <c r="X3250" s="7" t="n"/>
      <c r="Y3250" s="7" t="n"/>
      <c r="AB3250">
        <f>IF($E3250="","",IF($AQ3250=1,0,IF($AP3250=1,Settings!$C$6,Settings!$C$7))*100)</f>
        <v/>
      </c>
      <c r="AC3250" s="7">
        <f>IF($E3250="","",Y3250*AB3250/100)</f>
        <v/>
      </c>
      <c r="AD3250" s="7">
        <f>IF($E3250="","",Y3250-AC3250)</f>
        <v/>
      </c>
      <c r="AE3250" s="7">
        <f>IF($E3250="","",AD3250-Q3250)</f>
        <v/>
      </c>
      <c r="AI3250" s="7" t="n"/>
      <c r="AL3250" s="11" t="n"/>
      <c r="AN3250">
        <f>IF($E3250="","",IF(COUNTIF($E$2:$E3250,$E3250)=1,1,0))</f>
        <v/>
      </c>
      <c r="AO3250">
        <f>IF($AN3250=1,SUMPRODUCT(--($AR$2:$AR$4001&lt;$AR3250))+1,"")</f>
        <v/>
      </c>
      <c r="AP3250">
        <f>IF($E3250="","",IF(OR($U3250=TRUE(),$U3250="TRUE"),1,0))</f>
        <v/>
      </c>
      <c r="AQ3250">
        <f>IF($E3250="","",IF($AA3250="Yes",1,0))</f>
        <v/>
      </c>
      <c r="AR3250">
        <f>IF($AN3250=1,IFERROR(VALUE(MID($E3250,2,20)),1000000000)+ROW()/100000,"")</f>
        <v/>
      </c>
    </row>
    <row r="3251">
      <c r="G3251" s="11" t="n"/>
      <c r="Q3251" s="7">
        <f>IF($E3251="","",P3251*Y3251/100)</f>
        <v/>
      </c>
      <c r="R3251" s="7" t="n"/>
      <c r="X3251" s="7" t="n"/>
      <c r="Y3251" s="7" t="n"/>
      <c r="AB3251">
        <f>IF($E3251="","",IF($AQ3251=1,0,IF($AP3251=1,Settings!$C$6,Settings!$C$7))*100)</f>
        <v/>
      </c>
      <c r="AC3251" s="7">
        <f>IF($E3251="","",Y3251*AB3251/100)</f>
        <v/>
      </c>
      <c r="AD3251" s="7">
        <f>IF($E3251="","",Y3251-AC3251)</f>
        <v/>
      </c>
      <c r="AE3251" s="7">
        <f>IF($E3251="","",AD3251-Q3251)</f>
        <v/>
      </c>
      <c r="AI3251" s="7" t="n"/>
      <c r="AL3251" s="11" t="n"/>
      <c r="AN3251">
        <f>IF($E3251="","",IF(COUNTIF($E$2:$E3251,$E3251)=1,1,0))</f>
        <v/>
      </c>
      <c r="AO3251">
        <f>IF($AN3251=1,SUMPRODUCT(--($AR$2:$AR$4001&lt;$AR3251))+1,"")</f>
        <v/>
      </c>
      <c r="AP3251">
        <f>IF($E3251="","",IF(OR($U3251=TRUE(),$U3251="TRUE"),1,0))</f>
        <v/>
      </c>
      <c r="AQ3251">
        <f>IF($E3251="","",IF($AA3251="Yes",1,0))</f>
        <v/>
      </c>
      <c r="AR3251">
        <f>IF($AN3251=1,IFERROR(VALUE(MID($E3251,2,20)),1000000000)+ROW()/100000,"")</f>
        <v/>
      </c>
    </row>
    <row r="3252">
      <c r="G3252" s="11" t="n"/>
      <c r="Q3252" s="7">
        <f>IF($E3252="","",P3252*Y3252/100)</f>
        <v/>
      </c>
      <c r="R3252" s="7" t="n"/>
      <c r="X3252" s="7" t="n"/>
      <c r="Y3252" s="7" t="n"/>
      <c r="AB3252">
        <f>IF($E3252="","",IF($AQ3252=1,0,IF($AP3252=1,Settings!$C$6,Settings!$C$7))*100)</f>
        <v/>
      </c>
      <c r="AC3252" s="7">
        <f>IF($E3252="","",Y3252*AB3252/100)</f>
        <v/>
      </c>
      <c r="AD3252" s="7">
        <f>IF($E3252="","",Y3252-AC3252)</f>
        <v/>
      </c>
      <c r="AE3252" s="7">
        <f>IF($E3252="","",AD3252-Q3252)</f>
        <v/>
      </c>
      <c r="AI3252" s="7" t="n"/>
      <c r="AL3252" s="11" t="n"/>
      <c r="AN3252">
        <f>IF($E3252="","",IF(COUNTIF($E$2:$E3252,$E3252)=1,1,0))</f>
        <v/>
      </c>
      <c r="AO3252">
        <f>IF($AN3252=1,SUMPRODUCT(--($AR$2:$AR$4001&lt;$AR3252))+1,"")</f>
        <v/>
      </c>
      <c r="AP3252">
        <f>IF($E3252="","",IF(OR($U3252=TRUE(),$U3252="TRUE"),1,0))</f>
        <v/>
      </c>
      <c r="AQ3252">
        <f>IF($E3252="","",IF($AA3252="Yes",1,0))</f>
        <v/>
      </c>
      <c r="AR3252">
        <f>IF($AN3252=1,IFERROR(VALUE(MID($E3252,2,20)),1000000000)+ROW()/100000,"")</f>
        <v/>
      </c>
    </row>
    <row r="3253">
      <c r="G3253" s="11" t="n"/>
      <c r="Q3253" s="7">
        <f>IF($E3253="","",P3253*Y3253/100)</f>
        <v/>
      </c>
      <c r="R3253" s="7" t="n"/>
      <c r="X3253" s="7" t="n"/>
      <c r="Y3253" s="7" t="n"/>
      <c r="AB3253">
        <f>IF($E3253="","",IF($AQ3253=1,0,IF($AP3253=1,Settings!$C$6,Settings!$C$7))*100)</f>
        <v/>
      </c>
      <c r="AC3253" s="7">
        <f>IF($E3253="","",Y3253*AB3253/100)</f>
        <v/>
      </c>
      <c r="AD3253" s="7">
        <f>IF($E3253="","",Y3253-AC3253)</f>
        <v/>
      </c>
      <c r="AE3253" s="7">
        <f>IF($E3253="","",AD3253-Q3253)</f>
        <v/>
      </c>
      <c r="AI3253" s="7" t="n"/>
      <c r="AL3253" s="11" t="n"/>
      <c r="AN3253">
        <f>IF($E3253="","",IF(COUNTIF($E$2:$E3253,$E3253)=1,1,0))</f>
        <v/>
      </c>
      <c r="AO3253">
        <f>IF($AN3253=1,SUMPRODUCT(--($AR$2:$AR$4001&lt;$AR3253))+1,"")</f>
        <v/>
      </c>
      <c r="AP3253">
        <f>IF($E3253="","",IF(OR($U3253=TRUE(),$U3253="TRUE"),1,0))</f>
        <v/>
      </c>
      <c r="AQ3253">
        <f>IF($E3253="","",IF($AA3253="Yes",1,0))</f>
        <v/>
      </c>
      <c r="AR3253">
        <f>IF($AN3253=1,IFERROR(VALUE(MID($E3253,2,20)),1000000000)+ROW()/100000,"")</f>
        <v/>
      </c>
    </row>
    <row r="3254">
      <c r="G3254" s="11" t="n"/>
      <c r="Q3254" s="7">
        <f>IF($E3254="","",P3254*Y3254/100)</f>
        <v/>
      </c>
      <c r="R3254" s="7" t="n"/>
      <c r="X3254" s="7" t="n"/>
      <c r="Y3254" s="7" t="n"/>
      <c r="AB3254">
        <f>IF($E3254="","",IF($AQ3254=1,0,IF($AP3254=1,Settings!$C$6,Settings!$C$7))*100)</f>
        <v/>
      </c>
      <c r="AC3254" s="7">
        <f>IF($E3254="","",Y3254*AB3254/100)</f>
        <v/>
      </c>
      <c r="AD3254" s="7">
        <f>IF($E3254="","",Y3254-AC3254)</f>
        <v/>
      </c>
      <c r="AE3254" s="7">
        <f>IF($E3254="","",AD3254-Q3254)</f>
        <v/>
      </c>
      <c r="AI3254" s="7" t="n"/>
      <c r="AL3254" s="11" t="n"/>
      <c r="AN3254">
        <f>IF($E3254="","",IF(COUNTIF($E$2:$E3254,$E3254)=1,1,0))</f>
        <v/>
      </c>
      <c r="AO3254">
        <f>IF($AN3254=1,SUMPRODUCT(--($AR$2:$AR$4001&lt;$AR3254))+1,"")</f>
        <v/>
      </c>
      <c r="AP3254">
        <f>IF($E3254="","",IF(OR($U3254=TRUE(),$U3254="TRUE"),1,0))</f>
        <v/>
      </c>
      <c r="AQ3254">
        <f>IF($E3254="","",IF($AA3254="Yes",1,0))</f>
        <v/>
      </c>
      <c r="AR3254">
        <f>IF($AN3254=1,IFERROR(VALUE(MID($E3254,2,20)),1000000000)+ROW()/100000,"")</f>
        <v/>
      </c>
    </row>
    <row r="3255">
      <c r="G3255" s="11" t="n"/>
      <c r="Q3255" s="7">
        <f>IF($E3255="","",P3255*Y3255/100)</f>
        <v/>
      </c>
      <c r="R3255" s="7" t="n"/>
      <c r="X3255" s="7" t="n"/>
      <c r="Y3255" s="7" t="n"/>
      <c r="AB3255">
        <f>IF($E3255="","",IF($AQ3255=1,0,IF($AP3255=1,Settings!$C$6,Settings!$C$7))*100)</f>
        <v/>
      </c>
      <c r="AC3255" s="7">
        <f>IF($E3255="","",Y3255*AB3255/100)</f>
        <v/>
      </c>
      <c r="AD3255" s="7">
        <f>IF($E3255="","",Y3255-AC3255)</f>
        <v/>
      </c>
      <c r="AE3255" s="7">
        <f>IF($E3255="","",AD3255-Q3255)</f>
        <v/>
      </c>
      <c r="AI3255" s="7" t="n"/>
      <c r="AL3255" s="11" t="n"/>
      <c r="AN3255">
        <f>IF($E3255="","",IF(COUNTIF($E$2:$E3255,$E3255)=1,1,0))</f>
        <v/>
      </c>
      <c r="AO3255">
        <f>IF($AN3255=1,SUMPRODUCT(--($AR$2:$AR$4001&lt;$AR3255))+1,"")</f>
        <v/>
      </c>
      <c r="AP3255">
        <f>IF($E3255="","",IF(OR($U3255=TRUE(),$U3255="TRUE"),1,0))</f>
        <v/>
      </c>
      <c r="AQ3255">
        <f>IF($E3255="","",IF($AA3255="Yes",1,0))</f>
        <v/>
      </c>
      <c r="AR3255">
        <f>IF($AN3255=1,IFERROR(VALUE(MID($E3255,2,20)),1000000000)+ROW()/100000,"")</f>
        <v/>
      </c>
    </row>
    <row r="3256">
      <c r="G3256" s="11" t="n"/>
      <c r="Q3256" s="7">
        <f>IF($E3256="","",P3256*Y3256/100)</f>
        <v/>
      </c>
      <c r="R3256" s="7" t="n"/>
      <c r="X3256" s="7" t="n"/>
      <c r="Y3256" s="7" t="n"/>
      <c r="AB3256">
        <f>IF($E3256="","",IF($AQ3256=1,0,IF($AP3256=1,Settings!$C$6,Settings!$C$7))*100)</f>
        <v/>
      </c>
      <c r="AC3256" s="7">
        <f>IF($E3256="","",Y3256*AB3256/100)</f>
        <v/>
      </c>
      <c r="AD3256" s="7">
        <f>IF($E3256="","",Y3256-AC3256)</f>
        <v/>
      </c>
      <c r="AE3256" s="7">
        <f>IF($E3256="","",AD3256-Q3256)</f>
        <v/>
      </c>
      <c r="AI3256" s="7" t="n"/>
      <c r="AL3256" s="11" t="n"/>
      <c r="AN3256">
        <f>IF($E3256="","",IF(COUNTIF($E$2:$E3256,$E3256)=1,1,0))</f>
        <v/>
      </c>
      <c r="AO3256">
        <f>IF($AN3256=1,SUMPRODUCT(--($AR$2:$AR$4001&lt;$AR3256))+1,"")</f>
        <v/>
      </c>
      <c r="AP3256">
        <f>IF($E3256="","",IF(OR($U3256=TRUE(),$U3256="TRUE"),1,0))</f>
        <v/>
      </c>
      <c r="AQ3256">
        <f>IF($E3256="","",IF($AA3256="Yes",1,0))</f>
        <v/>
      </c>
      <c r="AR3256">
        <f>IF($AN3256=1,IFERROR(VALUE(MID($E3256,2,20)),1000000000)+ROW()/100000,"")</f>
        <v/>
      </c>
    </row>
    <row r="3257">
      <c r="G3257" s="11" t="n"/>
      <c r="Q3257" s="7">
        <f>IF($E3257="","",P3257*Y3257/100)</f>
        <v/>
      </c>
      <c r="R3257" s="7" t="n"/>
      <c r="X3257" s="7" t="n"/>
      <c r="Y3257" s="7" t="n"/>
      <c r="AB3257">
        <f>IF($E3257="","",IF($AQ3257=1,0,IF($AP3257=1,Settings!$C$6,Settings!$C$7))*100)</f>
        <v/>
      </c>
      <c r="AC3257" s="7">
        <f>IF($E3257="","",Y3257*AB3257/100)</f>
        <v/>
      </c>
      <c r="AD3257" s="7">
        <f>IF($E3257="","",Y3257-AC3257)</f>
        <v/>
      </c>
      <c r="AE3257" s="7">
        <f>IF($E3257="","",AD3257-Q3257)</f>
        <v/>
      </c>
      <c r="AI3257" s="7" t="n"/>
      <c r="AL3257" s="11" t="n"/>
      <c r="AN3257">
        <f>IF($E3257="","",IF(COUNTIF($E$2:$E3257,$E3257)=1,1,0))</f>
        <v/>
      </c>
      <c r="AO3257">
        <f>IF($AN3257=1,SUMPRODUCT(--($AR$2:$AR$4001&lt;$AR3257))+1,"")</f>
        <v/>
      </c>
      <c r="AP3257">
        <f>IF($E3257="","",IF(OR($U3257=TRUE(),$U3257="TRUE"),1,0))</f>
        <v/>
      </c>
      <c r="AQ3257">
        <f>IF($E3257="","",IF($AA3257="Yes",1,0))</f>
        <v/>
      </c>
      <c r="AR3257">
        <f>IF($AN3257=1,IFERROR(VALUE(MID($E3257,2,20)),1000000000)+ROW()/100000,"")</f>
        <v/>
      </c>
    </row>
    <row r="3258">
      <c r="G3258" s="11" t="n"/>
      <c r="Q3258" s="7">
        <f>IF($E3258="","",P3258*Y3258/100)</f>
        <v/>
      </c>
      <c r="R3258" s="7" t="n"/>
      <c r="X3258" s="7" t="n"/>
      <c r="Y3258" s="7" t="n"/>
      <c r="AB3258">
        <f>IF($E3258="","",IF($AQ3258=1,0,IF($AP3258=1,Settings!$C$6,Settings!$C$7))*100)</f>
        <v/>
      </c>
      <c r="AC3258" s="7">
        <f>IF($E3258="","",Y3258*AB3258/100)</f>
        <v/>
      </c>
      <c r="AD3258" s="7">
        <f>IF($E3258="","",Y3258-AC3258)</f>
        <v/>
      </c>
      <c r="AE3258" s="7">
        <f>IF($E3258="","",AD3258-Q3258)</f>
        <v/>
      </c>
      <c r="AI3258" s="7" t="n"/>
      <c r="AL3258" s="11" t="n"/>
      <c r="AN3258">
        <f>IF($E3258="","",IF(COUNTIF($E$2:$E3258,$E3258)=1,1,0))</f>
        <v/>
      </c>
      <c r="AO3258">
        <f>IF($AN3258=1,SUMPRODUCT(--($AR$2:$AR$4001&lt;$AR3258))+1,"")</f>
        <v/>
      </c>
      <c r="AP3258">
        <f>IF($E3258="","",IF(OR($U3258=TRUE(),$U3258="TRUE"),1,0))</f>
        <v/>
      </c>
      <c r="AQ3258">
        <f>IF($E3258="","",IF($AA3258="Yes",1,0))</f>
        <v/>
      </c>
      <c r="AR3258">
        <f>IF($AN3258=1,IFERROR(VALUE(MID($E3258,2,20)),1000000000)+ROW()/100000,"")</f>
        <v/>
      </c>
    </row>
    <row r="3259">
      <c r="G3259" s="11" t="n"/>
      <c r="Q3259" s="7">
        <f>IF($E3259="","",P3259*Y3259/100)</f>
        <v/>
      </c>
      <c r="R3259" s="7" t="n"/>
      <c r="X3259" s="7" t="n"/>
      <c r="Y3259" s="7" t="n"/>
      <c r="AB3259">
        <f>IF($E3259="","",IF($AQ3259=1,0,IF($AP3259=1,Settings!$C$6,Settings!$C$7))*100)</f>
        <v/>
      </c>
      <c r="AC3259" s="7">
        <f>IF($E3259="","",Y3259*AB3259/100)</f>
        <v/>
      </c>
      <c r="AD3259" s="7">
        <f>IF($E3259="","",Y3259-AC3259)</f>
        <v/>
      </c>
      <c r="AE3259" s="7">
        <f>IF($E3259="","",AD3259-Q3259)</f>
        <v/>
      </c>
      <c r="AI3259" s="7" t="n"/>
      <c r="AL3259" s="11" t="n"/>
      <c r="AN3259">
        <f>IF($E3259="","",IF(COUNTIF($E$2:$E3259,$E3259)=1,1,0))</f>
        <v/>
      </c>
      <c r="AO3259">
        <f>IF($AN3259=1,SUMPRODUCT(--($AR$2:$AR$4001&lt;$AR3259))+1,"")</f>
        <v/>
      </c>
      <c r="AP3259">
        <f>IF($E3259="","",IF(OR($U3259=TRUE(),$U3259="TRUE"),1,0))</f>
        <v/>
      </c>
      <c r="AQ3259">
        <f>IF($E3259="","",IF($AA3259="Yes",1,0))</f>
        <v/>
      </c>
      <c r="AR3259">
        <f>IF($AN3259=1,IFERROR(VALUE(MID($E3259,2,20)),1000000000)+ROW()/100000,"")</f>
        <v/>
      </c>
    </row>
    <row r="3260">
      <c r="G3260" s="11" t="n"/>
      <c r="Q3260" s="7">
        <f>IF($E3260="","",P3260*Y3260/100)</f>
        <v/>
      </c>
      <c r="R3260" s="7" t="n"/>
      <c r="X3260" s="7" t="n"/>
      <c r="Y3260" s="7" t="n"/>
      <c r="AB3260">
        <f>IF($E3260="","",IF($AQ3260=1,0,IF($AP3260=1,Settings!$C$6,Settings!$C$7))*100)</f>
        <v/>
      </c>
      <c r="AC3260" s="7">
        <f>IF($E3260="","",Y3260*AB3260/100)</f>
        <v/>
      </c>
      <c r="AD3260" s="7">
        <f>IF($E3260="","",Y3260-AC3260)</f>
        <v/>
      </c>
      <c r="AE3260" s="7">
        <f>IF($E3260="","",AD3260-Q3260)</f>
        <v/>
      </c>
      <c r="AI3260" s="7" t="n"/>
      <c r="AL3260" s="11" t="n"/>
      <c r="AN3260">
        <f>IF($E3260="","",IF(COUNTIF($E$2:$E3260,$E3260)=1,1,0))</f>
        <v/>
      </c>
      <c r="AO3260">
        <f>IF($AN3260=1,SUMPRODUCT(--($AR$2:$AR$4001&lt;$AR3260))+1,"")</f>
        <v/>
      </c>
      <c r="AP3260">
        <f>IF($E3260="","",IF(OR($U3260=TRUE(),$U3260="TRUE"),1,0))</f>
        <v/>
      </c>
      <c r="AQ3260">
        <f>IF($E3260="","",IF($AA3260="Yes",1,0))</f>
        <v/>
      </c>
      <c r="AR3260">
        <f>IF($AN3260=1,IFERROR(VALUE(MID($E3260,2,20)),1000000000)+ROW()/100000,"")</f>
        <v/>
      </c>
    </row>
    <row r="3261">
      <c r="G3261" s="11" t="n"/>
      <c r="Q3261" s="7">
        <f>IF($E3261="","",P3261*Y3261/100)</f>
        <v/>
      </c>
      <c r="R3261" s="7" t="n"/>
      <c r="X3261" s="7" t="n"/>
      <c r="Y3261" s="7" t="n"/>
      <c r="AB3261">
        <f>IF($E3261="","",IF($AQ3261=1,0,IF($AP3261=1,Settings!$C$6,Settings!$C$7))*100)</f>
        <v/>
      </c>
      <c r="AC3261" s="7">
        <f>IF($E3261="","",Y3261*AB3261/100)</f>
        <v/>
      </c>
      <c r="AD3261" s="7">
        <f>IF($E3261="","",Y3261-AC3261)</f>
        <v/>
      </c>
      <c r="AE3261" s="7">
        <f>IF($E3261="","",AD3261-Q3261)</f>
        <v/>
      </c>
      <c r="AI3261" s="7" t="n"/>
      <c r="AL3261" s="11" t="n"/>
      <c r="AN3261">
        <f>IF($E3261="","",IF(COUNTIF($E$2:$E3261,$E3261)=1,1,0))</f>
        <v/>
      </c>
      <c r="AO3261">
        <f>IF($AN3261=1,SUMPRODUCT(--($AR$2:$AR$4001&lt;$AR3261))+1,"")</f>
        <v/>
      </c>
      <c r="AP3261">
        <f>IF($E3261="","",IF(OR($U3261=TRUE(),$U3261="TRUE"),1,0))</f>
        <v/>
      </c>
      <c r="AQ3261">
        <f>IF($E3261="","",IF($AA3261="Yes",1,0))</f>
        <v/>
      </c>
      <c r="AR3261">
        <f>IF($AN3261=1,IFERROR(VALUE(MID($E3261,2,20)),1000000000)+ROW()/100000,"")</f>
        <v/>
      </c>
    </row>
    <row r="3262">
      <c r="G3262" s="11" t="n"/>
      <c r="Q3262" s="7">
        <f>IF($E3262="","",P3262*Y3262/100)</f>
        <v/>
      </c>
      <c r="R3262" s="7" t="n"/>
      <c r="X3262" s="7" t="n"/>
      <c r="Y3262" s="7" t="n"/>
      <c r="AB3262">
        <f>IF($E3262="","",IF($AQ3262=1,0,IF($AP3262=1,Settings!$C$6,Settings!$C$7))*100)</f>
        <v/>
      </c>
      <c r="AC3262" s="7">
        <f>IF($E3262="","",Y3262*AB3262/100)</f>
        <v/>
      </c>
      <c r="AD3262" s="7">
        <f>IF($E3262="","",Y3262-AC3262)</f>
        <v/>
      </c>
      <c r="AE3262" s="7">
        <f>IF($E3262="","",AD3262-Q3262)</f>
        <v/>
      </c>
      <c r="AI3262" s="7" t="n"/>
      <c r="AL3262" s="11" t="n"/>
      <c r="AN3262">
        <f>IF($E3262="","",IF(COUNTIF($E$2:$E3262,$E3262)=1,1,0))</f>
        <v/>
      </c>
      <c r="AO3262">
        <f>IF($AN3262=1,SUMPRODUCT(--($AR$2:$AR$4001&lt;$AR3262))+1,"")</f>
        <v/>
      </c>
      <c r="AP3262">
        <f>IF($E3262="","",IF(OR($U3262=TRUE(),$U3262="TRUE"),1,0))</f>
        <v/>
      </c>
      <c r="AQ3262">
        <f>IF($E3262="","",IF($AA3262="Yes",1,0))</f>
        <v/>
      </c>
      <c r="AR3262">
        <f>IF($AN3262=1,IFERROR(VALUE(MID($E3262,2,20)),1000000000)+ROW()/100000,"")</f>
        <v/>
      </c>
    </row>
    <row r="3263">
      <c r="G3263" s="11" t="n"/>
      <c r="Q3263" s="7">
        <f>IF($E3263="","",P3263*Y3263/100)</f>
        <v/>
      </c>
      <c r="R3263" s="7" t="n"/>
      <c r="X3263" s="7" t="n"/>
      <c r="Y3263" s="7" t="n"/>
      <c r="AB3263">
        <f>IF($E3263="","",IF($AQ3263=1,0,IF($AP3263=1,Settings!$C$6,Settings!$C$7))*100)</f>
        <v/>
      </c>
      <c r="AC3263" s="7">
        <f>IF($E3263="","",Y3263*AB3263/100)</f>
        <v/>
      </c>
      <c r="AD3263" s="7">
        <f>IF($E3263="","",Y3263-AC3263)</f>
        <v/>
      </c>
      <c r="AE3263" s="7">
        <f>IF($E3263="","",AD3263-Q3263)</f>
        <v/>
      </c>
      <c r="AI3263" s="7" t="n"/>
      <c r="AL3263" s="11" t="n"/>
      <c r="AN3263">
        <f>IF($E3263="","",IF(COUNTIF($E$2:$E3263,$E3263)=1,1,0))</f>
        <v/>
      </c>
      <c r="AO3263">
        <f>IF($AN3263=1,SUMPRODUCT(--($AR$2:$AR$4001&lt;$AR3263))+1,"")</f>
        <v/>
      </c>
      <c r="AP3263">
        <f>IF($E3263="","",IF(OR($U3263=TRUE(),$U3263="TRUE"),1,0))</f>
        <v/>
      </c>
      <c r="AQ3263">
        <f>IF($E3263="","",IF($AA3263="Yes",1,0))</f>
        <v/>
      </c>
      <c r="AR3263">
        <f>IF($AN3263=1,IFERROR(VALUE(MID($E3263,2,20)),1000000000)+ROW()/100000,"")</f>
        <v/>
      </c>
    </row>
    <row r="3264">
      <c r="G3264" s="11" t="n"/>
      <c r="Q3264" s="7">
        <f>IF($E3264="","",P3264*Y3264/100)</f>
        <v/>
      </c>
      <c r="R3264" s="7" t="n"/>
      <c r="X3264" s="7" t="n"/>
      <c r="Y3264" s="7" t="n"/>
      <c r="AB3264">
        <f>IF($E3264="","",IF($AQ3264=1,0,IF($AP3264=1,Settings!$C$6,Settings!$C$7))*100)</f>
        <v/>
      </c>
      <c r="AC3264" s="7">
        <f>IF($E3264="","",Y3264*AB3264/100)</f>
        <v/>
      </c>
      <c r="AD3264" s="7">
        <f>IF($E3264="","",Y3264-AC3264)</f>
        <v/>
      </c>
      <c r="AE3264" s="7">
        <f>IF($E3264="","",AD3264-Q3264)</f>
        <v/>
      </c>
      <c r="AI3264" s="7" t="n"/>
      <c r="AL3264" s="11" t="n"/>
      <c r="AN3264">
        <f>IF($E3264="","",IF(COUNTIF($E$2:$E3264,$E3264)=1,1,0))</f>
        <v/>
      </c>
      <c r="AO3264">
        <f>IF($AN3264=1,SUMPRODUCT(--($AR$2:$AR$4001&lt;$AR3264))+1,"")</f>
        <v/>
      </c>
      <c r="AP3264">
        <f>IF($E3264="","",IF(OR($U3264=TRUE(),$U3264="TRUE"),1,0))</f>
        <v/>
      </c>
      <c r="AQ3264">
        <f>IF($E3264="","",IF($AA3264="Yes",1,0))</f>
        <v/>
      </c>
      <c r="AR3264">
        <f>IF($AN3264=1,IFERROR(VALUE(MID($E3264,2,20)),1000000000)+ROW()/100000,"")</f>
        <v/>
      </c>
    </row>
    <row r="3265">
      <c r="G3265" s="11" t="n"/>
      <c r="Q3265" s="7">
        <f>IF($E3265="","",P3265*Y3265/100)</f>
        <v/>
      </c>
      <c r="R3265" s="7" t="n"/>
      <c r="X3265" s="7" t="n"/>
      <c r="Y3265" s="7" t="n"/>
      <c r="AB3265">
        <f>IF($E3265="","",IF($AQ3265=1,0,IF($AP3265=1,Settings!$C$6,Settings!$C$7))*100)</f>
        <v/>
      </c>
      <c r="AC3265" s="7">
        <f>IF($E3265="","",Y3265*AB3265/100)</f>
        <v/>
      </c>
      <c r="AD3265" s="7">
        <f>IF($E3265="","",Y3265-AC3265)</f>
        <v/>
      </c>
      <c r="AE3265" s="7">
        <f>IF($E3265="","",AD3265-Q3265)</f>
        <v/>
      </c>
      <c r="AI3265" s="7" t="n"/>
      <c r="AL3265" s="11" t="n"/>
      <c r="AN3265">
        <f>IF($E3265="","",IF(COUNTIF($E$2:$E3265,$E3265)=1,1,0))</f>
        <v/>
      </c>
      <c r="AO3265">
        <f>IF($AN3265=1,SUMPRODUCT(--($AR$2:$AR$4001&lt;$AR3265))+1,"")</f>
        <v/>
      </c>
      <c r="AP3265">
        <f>IF($E3265="","",IF(OR($U3265=TRUE(),$U3265="TRUE"),1,0))</f>
        <v/>
      </c>
      <c r="AQ3265">
        <f>IF($E3265="","",IF($AA3265="Yes",1,0))</f>
        <v/>
      </c>
      <c r="AR3265">
        <f>IF($AN3265=1,IFERROR(VALUE(MID($E3265,2,20)),1000000000)+ROW()/100000,"")</f>
        <v/>
      </c>
    </row>
    <row r="3266">
      <c r="G3266" s="11" t="n"/>
      <c r="Q3266" s="7">
        <f>IF($E3266="","",P3266*Y3266/100)</f>
        <v/>
      </c>
      <c r="R3266" s="7" t="n"/>
      <c r="X3266" s="7" t="n"/>
      <c r="Y3266" s="7" t="n"/>
      <c r="AB3266">
        <f>IF($E3266="","",IF($AQ3266=1,0,IF($AP3266=1,Settings!$C$6,Settings!$C$7))*100)</f>
        <v/>
      </c>
      <c r="AC3266" s="7">
        <f>IF($E3266="","",Y3266*AB3266/100)</f>
        <v/>
      </c>
      <c r="AD3266" s="7">
        <f>IF($E3266="","",Y3266-AC3266)</f>
        <v/>
      </c>
      <c r="AE3266" s="7">
        <f>IF($E3266="","",AD3266-Q3266)</f>
        <v/>
      </c>
      <c r="AI3266" s="7" t="n"/>
      <c r="AL3266" s="11" t="n"/>
      <c r="AN3266">
        <f>IF($E3266="","",IF(COUNTIF($E$2:$E3266,$E3266)=1,1,0))</f>
        <v/>
      </c>
      <c r="AO3266">
        <f>IF($AN3266=1,SUMPRODUCT(--($AR$2:$AR$4001&lt;$AR3266))+1,"")</f>
        <v/>
      </c>
      <c r="AP3266">
        <f>IF($E3266="","",IF(OR($U3266=TRUE(),$U3266="TRUE"),1,0))</f>
        <v/>
      </c>
      <c r="AQ3266">
        <f>IF($E3266="","",IF($AA3266="Yes",1,0))</f>
        <v/>
      </c>
      <c r="AR3266">
        <f>IF($AN3266=1,IFERROR(VALUE(MID($E3266,2,20)),1000000000)+ROW()/100000,"")</f>
        <v/>
      </c>
    </row>
    <row r="3267">
      <c r="G3267" s="11" t="n"/>
      <c r="Q3267" s="7">
        <f>IF($E3267="","",P3267*Y3267/100)</f>
        <v/>
      </c>
      <c r="R3267" s="7" t="n"/>
      <c r="X3267" s="7" t="n"/>
      <c r="Y3267" s="7" t="n"/>
      <c r="AB3267">
        <f>IF($E3267="","",IF($AQ3267=1,0,IF($AP3267=1,Settings!$C$6,Settings!$C$7))*100)</f>
        <v/>
      </c>
      <c r="AC3267" s="7">
        <f>IF($E3267="","",Y3267*AB3267/100)</f>
        <v/>
      </c>
      <c r="AD3267" s="7">
        <f>IF($E3267="","",Y3267-AC3267)</f>
        <v/>
      </c>
      <c r="AE3267" s="7">
        <f>IF($E3267="","",AD3267-Q3267)</f>
        <v/>
      </c>
      <c r="AI3267" s="7" t="n"/>
      <c r="AL3267" s="11" t="n"/>
      <c r="AN3267">
        <f>IF($E3267="","",IF(COUNTIF($E$2:$E3267,$E3267)=1,1,0))</f>
        <v/>
      </c>
      <c r="AO3267">
        <f>IF($AN3267=1,SUMPRODUCT(--($AR$2:$AR$4001&lt;$AR3267))+1,"")</f>
        <v/>
      </c>
      <c r="AP3267">
        <f>IF($E3267="","",IF(OR($U3267=TRUE(),$U3267="TRUE"),1,0))</f>
        <v/>
      </c>
      <c r="AQ3267">
        <f>IF($E3267="","",IF($AA3267="Yes",1,0))</f>
        <v/>
      </c>
      <c r="AR3267">
        <f>IF($AN3267=1,IFERROR(VALUE(MID($E3267,2,20)),1000000000)+ROW()/100000,"")</f>
        <v/>
      </c>
    </row>
    <row r="3268">
      <c r="G3268" s="11" t="n"/>
      <c r="Q3268" s="7">
        <f>IF($E3268="","",P3268*Y3268/100)</f>
        <v/>
      </c>
      <c r="R3268" s="7" t="n"/>
      <c r="X3268" s="7" t="n"/>
      <c r="Y3268" s="7" t="n"/>
      <c r="AB3268">
        <f>IF($E3268="","",IF($AQ3268=1,0,IF($AP3268=1,Settings!$C$6,Settings!$C$7))*100)</f>
        <v/>
      </c>
      <c r="AC3268" s="7">
        <f>IF($E3268="","",Y3268*AB3268/100)</f>
        <v/>
      </c>
      <c r="AD3268" s="7">
        <f>IF($E3268="","",Y3268-AC3268)</f>
        <v/>
      </c>
      <c r="AE3268" s="7">
        <f>IF($E3268="","",AD3268-Q3268)</f>
        <v/>
      </c>
      <c r="AI3268" s="7" t="n"/>
      <c r="AL3268" s="11" t="n"/>
      <c r="AN3268">
        <f>IF($E3268="","",IF(COUNTIF($E$2:$E3268,$E3268)=1,1,0))</f>
        <v/>
      </c>
      <c r="AO3268">
        <f>IF($AN3268=1,SUMPRODUCT(--($AR$2:$AR$4001&lt;$AR3268))+1,"")</f>
        <v/>
      </c>
      <c r="AP3268">
        <f>IF($E3268="","",IF(OR($U3268=TRUE(),$U3268="TRUE"),1,0))</f>
        <v/>
      </c>
      <c r="AQ3268">
        <f>IF($E3268="","",IF($AA3268="Yes",1,0))</f>
        <v/>
      </c>
      <c r="AR3268">
        <f>IF($AN3268=1,IFERROR(VALUE(MID($E3268,2,20)),1000000000)+ROW()/100000,"")</f>
        <v/>
      </c>
    </row>
    <row r="3269">
      <c r="G3269" s="11" t="n"/>
      <c r="Q3269" s="7">
        <f>IF($E3269="","",P3269*Y3269/100)</f>
        <v/>
      </c>
      <c r="R3269" s="7" t="n"/>
      <c r="X3269" s="7" t="n"/>
      <c r="Y3269" s="7" t="n"/>
      <c r="AB3269">
        <f>IF($E3269="","",IF($AQ3269=1,0,IF($AP3269=1,Settings!$C$6,Settings!$C$7))*100)</f>
        <v/>
      </c>
      <c r="AC3269" s="7">
        <f>IF($E3269="","",Y3269*AB3269/100)</f>
        <v/>
      </c>
      <c r="AD3269" s="7">
        <f>IF($E3269="","",Y3269-AC3269)</f>
        <v/>
      </c>
      <c r="AE3269" s="7">
        <f>IF($E3269="","",AD3269-Q3269)</f>
        <v/>
      </c>
      <c r="AI3269" s="7" t="n"/>
      <c r="AL3269" s="11" t="n"/>
      <c r="AN3269">
        <f>IF($E3269="","",IF(COUNTIF($E$2:$E3269,$E3269)=1,1,0))</f>
        <v/>
      </c>
      <c r="AO3269">
        <f>IF($AN3269=1,SUMPRODUCT(--($AR$2:$AR$4001&lt;$AR3269))+1,"")</f>
        <v/>
      </c>
      <c r="AP3269">
        <f>IF($E3269="","",IF(OR($U3269=TRUE(),$U3269="TRUE"),1,0))</f>
        <v/>
      </c>
      <c r="AQ3269">
        <f>IF($E3269="","",IF($AA3269="Yes",1,0))</f>
        <v/>
      </c>
      <c r="AR3269">
        <f>IF($AN3269=1,IFERROR(VALUE(MID($E3269,2,20)),1000000000)+ROW()/100000,"")</f>
        <v/>
      </c>
    </row>
    <row r="3270">
      <c r="G3270" s="11" t="n"/>
      <c r="Q3270" s="7">
        <f>IF($E3270="","",P3270*Y3270/100)</f>
        <v/>
      </c>
      <c r="R3270" s="7" t="n"/>
      <c r="X3270" s="7" t="n"/>
      <c r="Y3270" s="7" t="n"/>
      <c r="AB3270">
        <f>IF($E3270="","",IF($AQ3270=1,0,IF($AP3270=1,Settings!$C$6,Settings!$C$7))*100)</f>
        <v/>
      </c>
      <c r="AC3270" s="7">
        <f>IF($E3270="","",Y3270*AB3270/100)</f>
        <v/>
      </c>
      <c r="AD3270" s="7">
        <f>IF($E3270="","",Y3270-AC3270)</f>
        <v/>
      </c>
      <c r="AE3270" s="7">
        <f>IF($E3270="","",AD3270-Q3270)</f>
        <v/>
      </c>
      <c r="AI3270" s="7" t="n"/>
      <c r="AL3270" s="11" t="n"/>
      <c r="AN3270">
        <f>IF($E3270="","",IF(COUNTIF($E$2:$E3270,$E3270)=1,1,0))</f>
        <v/>
      </c>
      <c r="AO3270">
        <f>IF($AN3270=1,SUMPRODUCT(--($AR$2:$AR$4001&lt;$AR3270))+1,"")</f>
        <v/>
      </c>
      <c r="AP3270">
        <f>IF($E3270="","",IF(OR($U3270=TRUE(),$U3270="TRUE"),1,0))</f>
        <v/>
      </c>
      <c r="AQ3270">
        <f>IF($E3270="","",IF($AA3270="Yes",1,0))</f>
        <v/>
      </c>
      <c r="AR3270">
        <f>IF($AN3270=1,IFERROR(VALUE(MID($E3270,2,20)),1000000000)+ROW()/100000,"")</f>
        <v/>
      </c>
    </row>
    <row r="3271">
      <c r="G3271" s="11" t="n"/>
      <c r="Q3271" s="7">
        <f>IF($E3271="","",P3271*Y3271/100)</f>
        <v/>
      </c>
      <c r="R3271" s="7" t="n"/>
      <c r="X3271" s="7" t="n"/>
      <c r="Y3271" s="7" t="n"/>
      <c r="AB3271">
        <f>IF($E3271="","",IF($AQ3271=1,0,IF($AP3271=1,Settings!$C$6,Settings!$C$7))*100)</f>
        <v/>
      </c>
      <c r="AC3271" s="7">
        <f>IF($E3271="","",Y3271*AB3271/100)</f>
        <v/>
      </c>
      <c r="AD3271" s="7">
        <f>IF($E3271="","",Y3271-AC3271)</f>
        <v/>
      </c>
      <c r="AE3271" s="7">
        <f>IF($E3271="","",AD3271-Q3271)</f>
        <v/>
      </c>
      <c r="AI3271" s="7" t="n"/>
      <c r="AL3271" s="11" t="n"/>
      <c r="AN3271">
        <f>IF($E3271="","",IF(COUNTIF($E$2:$E3271,$E3271)=1,1,0))</f>
        <v/>
      </c>
      <c r="AO3271">
        <f>IF($AN3271=1,SUMPRODUCT(--($AR$2:$AR$4001&lt;$AR3271))+1,"")</f>
        <v/>
      </c>
      <c r="AP3271">
        <f>IF($E3271="","",IF(OR($U3271=TRUE(),$U3271="TRUE"),1,0))</f>
        <v/>
      </c>
      <c r="AQ3271">
        <f>IF($E3271="","",IF($AA3271="Yes",1,0))</f>
        <v/>
      </c>
      <c r="AR3271">
        <f>IF($AN3271=1,IFERROR(VALUE(MID($E3271,2,20)),1000000000)+ROW()/100000,"")</f>
        <v/>
      </c>
    </row>
    <row r="3272">
      <c r="G3272" s="11" t="n"/>
      <c r="Q3272" s="7">
        <f>IF($E3272="","",P3272*Y3272/100)</f>
        <v/>
      </c>
      <c r="R3272" s="7" t="n"/>
      <c r="X3272" s="7" t="n"/>
      <c r="Y3272" s="7" t="n"/>
      <c r="AB3272">
        <f>IF($E3272="","",IF($AQ3272=1,0,IF($AP3272=1,Settings!$C$6,Settings!$C$7))*100)</f>
        <v/>
      </c>
      <c r="AC3272" s="7">
        <f>IF($E3272="","",Y3272*AB3272/100)</f>
        <v/>
      </c>
      <c r="AD3272" s="7">
        <f>IF($E3272="","",Y3272-AC3272)</f>
        <v/>
      </c>
      <c r="AE3272" s="7">
        <f>IF($E3272="","",AD3272-Q3272)</f>
        <v/>
      </c>
      <c r="AI3272" s="7" t="n"/>
      <c r="AL3272" s="11" t="n"/>
      <c r="AN3272">
        <f>IF($E3272="","",IF(COUNTIF($E$2:$E3272,$E3272)=1,1,0))</f>
        <v/>
      </c>
      <c r="AO3272">
        <f>IF($AN3272=1,SUMPRODUCT(--($AR$2:$AR$4001&lt;$AR3272))+1,"")</f>
        <v/>
      </c>
      <c r="AP3272">
        <f>IF($E3272="","",IF(OR($U3272=TRUE(),$U3272="TRUE"),1,0))</f>
        <v/>
      </c>
      <c r="AQ3272">
        <f>IF($E3272="","",IF($AA3272="Yes",1,0))</f>
        <v/>
      </c>
      <c r="AR3272">
        <f>IF($AN3272=1,IFERROR(VALUE(MID($E3272,2,20)),1000000000)+ROW()/100000,"")</f>
        <v/>
      </c>
    </row>
    <row r="3273">
      <c r="G3273" s="11" t="n"/>
      <c r="Q3273" s="7">
        <f>IF($E3273="","",P3273*Y3273/100)</f>
        <v/>
      </c>
      <c r="R3273" s="7" t="n"/>
      <c r="X3273" s="7" t="n"/>
      <c r="Y3273" s="7" t="n"/>
      <c r="AB3273">
        <f>IF($E3273="","",IF($AQ3273=1,0,IF($AP3273=1,Settings!$C$6,Settings!$C$7))*100)</f>
        <v/>
      </c>
      <c r="AC3273" s="7">
        <f>IF($E3273="","",Y3273*AB3273/100)</f>
        <v/>
      </c>
      <c r="AD3273" s="7">
        <f>IF($E3273="","",Y3273-AC3273)</f>
        <v/>
      </c>
      <c r="AE3273" s="7">
        <f>IF($E3273="","",AD3273-Q3273)</f>
        <v/>
      </c>
      <c r="AI3273" s="7" t="n"/>
      <c r="AL3273" s="11" t="n"/>
      <c r="AN3273">
        <f>IF($E3273="","",IF(COUNTIF($E$2:$E3273,$E3273)=1,1,0))</f>
        <v/>
      </c>
      <c r="AO3273">
        <f>IF($AN3273=1,SUMPRODUCT(--($AR$2:$AR$4001&lt;$AR3273))+1,"")</f>
        <v/>
      </c>
      <c r="AP3273">
        <f>IF($E3273="","",IF(OR($U3273=TRUE(),$U3273="TRUE"),1,0))</f>
        <v/>
      </c>
      <c r="AQ3273">
        <f>IF($E3273="","",IF($AA3273="Yes",1,0))</f>
        <v/>
      </c>
      <c r="AR3273">
        <f>IF($AN3273=1,IFERROR(VALUE(MID($E3273,2,20)),1000000000)+ROW()/100000,"")</f>
        <v/>
      </c>
    </row>
    <row r="3274">
      <c r="G3274" s="11" t="n"/>
      <c r="Q3274" s="7">
        <f>IF($E3274="","",P3274*Y3274/100)</f>
        <v/>
      </c>
      <c r="R3274" s="7" t="n"/>
      <c r="X3274" s="7" t="n"/>
      <c r="Y3274" s="7" t="n"/>
      <c r="AB3274">
        <f>IF($E3274="","",IF($AQ3274=1,0,IF($AP3274=1,Settings!$C$6,Settings!$C$7))*100)</f>
        <v/>
      </c>
      <c r="AC3274" s="7">
        <f>IF($E3274="","",Y3274*AB3274/100)</f>
        <v/>
      </c>
      <c r="AD3274" s="7">
        <f>IF($E3274="","",Y3274-AC3274)</f>
        <v/>
      </c>
      <c r="AE3274" s="7">
        <f>IF($E3274="","",AD3274-Q3274)</f>
        <v/>
      </c>
      <c r="AI3274" s="7" t="n"/>
      <c r="AL3274" s="11" t="n"/>
      <c r="AN3274">
        <f>IF($E3274="","",IF(COUNTIF($E$2:$E3274,$E3274)=1,1,0))</f>
        <v/>
      </c>
      <c r="AO3274">
        <f>IF($AN3274=1,SUMPRODUCT(--($AR$2:$AR$4001&lt;$AR3274))+1,"")</f>
        <v/>
      </c>
      <c r="AP3274">
        <f>IF($E3274="","",IF(OR($U3274=TRUE(),$U3274="TRUE"),1,0))</f>
        <v/>
      </c>
      <c r="AQ3274">
        <f>IF($E3274="","",IF($AA3274="Yes",1,0))</f>
        <v/>
      </c>
      <c r="AR3274">
        <f>IF($AN3274=1,IFERROR(VALUE(MID($E3274,2,20)),1000000000)+ROW()/100000,"")</f>
        <v/>
      </c>
    </row>
    <row r="3275">
      <c r="G3275" s="11" t="n"/>
      <c r="Q3275" s="7">
        <f>IF($E3275="","",P3275*Y3275/100)</f>
        <v/>
      </c>
      <c r="R3275" s="7" t="n"/>
      <c r="X3275" s="7" t="n"/>
      <c r="Y3275" s="7" t="n"/>
      <c r="AB3275">
        <f>IF($E3275="","",IF($AQ3275=1,0,IF($AP3275=1,Settings!$C$6,Settings!$C$7))*100)</f>
        <v/>
      </c>
      <c r="AC3275" s="7">
        <f>IF($E3275="","",Y3275*AB3275/100)</f>
        <v/>
      </c>
      <c r="AD3275" s="7">
        <f>IF($E3275="","",Y3275-AC3275)</f>
        <v/>
      </c>
      <c r="AE3275" s="7">
        <f>IF($E3275="","",AD3275-Q3275)</f>
        <v/>
      </c>
      <c r="AI3275" s="7" t="n"/>
      <c r="AL3275" s="11" t="n"/>
      <c r="AN3275">
        <f>IF($E3275="","",IF(COUNTIF($E$2:$E3275,$E3275)=1,1,0))</f>
        <v/>
      </c>
      <c r="AO3275">
        <f>IF($AN3275=1,SUMPRODUCT(--($AR$2:$AR$4001&lt;$AR3275))+1,"")</f>
        <v/>
      </c>
      <c r="AP3275">
        <f>IF($E3275="","",IF(OR($U3275=TRUE(),$U3275="TRUE"),1,0))</f>
        <v/>
      </c>
      <c r="AQ3275">
        <f>IF($E3275="","",IF($AA3275="Yes",1,0))</f>
        <v/>
      </c>
      <c r="AR3275">
        <f>IF($AN3275=1,IFERROR(VALUE(MID($E3275,2,20)),1000000000)+ROW()/100000,"")</f>
        <v/>
      </c>
    </row>
    <row r="3276">
      <c r="G3276" s="11" t="n"/>
      <c r="Q3276" s="7">
        <f>IF($E3276="","",P3276*Y3276/100)</f>
        <v/>
      </c>
      <c r="R3276" s="7" t="n"/>
      <c r="X3276" s="7" t="n"/>
      <c r="Y3276" s="7" t="n"/>
      <c r="AB3276">
        <f>IF($E3276="","",IF($AQ3276=1,0,IF($AP3276=1,Settings!$C$6,Settings!$C$7))*100)</f>
        <v/>
      </c>
      <c r="AC3276" s="7">
        <f>IF($E3276="","",Y3276*AB3276/100)</f>
        <v/>
      </c>
      <c r="AD3276" s="7">
        <f>IF($E3276="","",Y3276-AC3276)</f>
        <v/>
      </c>
      <c r="AE3276" s="7">
        <f>IF($E3276="","",AD3276-Q3276)</f>
        <v/>
      </c>
      <c r="AI3276" s="7" t="n"/>
      <c r="AL3276" s="11" t="n"/>
      <c r="AN3276">
        <f>IF($E3276="","",IF(COUNTIF($E$2:$E3276,$E3276)=1,1,0))</f>
        <v/>
      </c>
      <c r="AO3276">
        <f>IF($AN3276=1,SUMPRODUCT(--($AR$2:$AR$4001&lt;$AR3276))+1,"")</f>
        <v/>
      </c>
      <c r="AP3276">
        <f>IF($E3276="","",IF(OR($U3276=TRUE(),$U3276="TRUE"),1,0))</f>
        <v/>
      </c>
      <c r="AQ3276">
        <f>IF($E3276="","",IF($AA3276="Yes",1,0))</f>
        <v/>
      </c>
      <c r="AR3276">
        <f>IF($AN3276=1,IFERROR(VALUE(MID($E3276,2,20)),1000000000)+ROW()/100000,"")</f>
        <v/>
      </c>
    </row>
    <row r="3277">
      <c r="G3277" s="11" t="n"/>
      <c r="Q3277" s="7">
        <f>IF($E3277="","",P3277*Y3277/100)</f>
        <v/>
      </c>
      <c r="R3277" s="7" t="n"/>
      <c r="X3277" s="7" t="n"/>
      <c r="Y3277" s="7" t="n"/>
      <c r="AB3277">
        <f>IF($E3277="","",IF($AQ3277=1,0,IF($AP3277=1,Settings!$C$6,Settings!$C$7))*100)</f>
        <v/>
      </c>
      <c r="AC3277" s="7">
        <f>IF($E3277="","",Y3277*AB3277/100)</f>
        <v/>
      </c>
      <c r="AD3277" s="7">
        <f>IF($E3277="","",Y3277-AC3277)</f>
        <v/>
      </c>
      <c r="AE3277" s="7">
        <f>IF($E3277="","",AD3277-Q3277)</f>
        <v/>
      </c>
      <c r="AI3277" s="7" t="n"/>
      <c r="AL3277" s="11" t="n"/>
      <c r="AN3277">
        <f>IF($E3277="","",IF(COUNTIF($E$2:$E3277,$E3277)=1,1,0))</f>
        <v/>
      </c>
      <c r="AO3277">
        <f>IF($AN3277=1,SUMPRODUCT(--($AR$2:$AR$4001&lt;$AR3277))+1,"")</f>
        <v/>
      </c>
      <c r="AP3277">
        <f>IF($E3277="","",IF(OR($U3277=TRUE(),$U3277="TRUE"),1,0))</f>
        <v/>
      </c>
      <c r="AQ3277">
        <f>IF($E3277="","",IF($AA3277="Yes",1,0))</f>
        <v/>
      </c>
      <c r="AR3277">
        <f>IF($AN3277=1,IFERROR(VALUE(MID($E3277,2,20)),1000000000)+ROW()/100000,"")</f>
        <v/>
      </c>
    </row>
    <row r="3278">
      <c r="G3278" s="11" t="n"/>
      <c r="Q3278" s="7">
        <f>IF($E3278="","",P3278*Y3278/100)</f>
        <v/>
      </c>
      <c r="R3278" s="7" t="n"/>
      <c r="X3278" s="7" t="n"/>
      <c r="Y3278" s="7" t="n"/>
      <c r="AB3278">
        <f>IF($E3278="","",IF($AQ3278=1,0,IF($AP3278=1,Settings!$C$6,Settings!$C$7))*100)</f>
        <v/>
      </c>
      <c r="AC3278" s="7">
        <f>IF($E3278="","",Y3278*AB3278/100)</f>
        <v/>
      </c>
      <c r="AD3278" s="7">
        <f>IF($E3278="","",Y3278-AC3278)</f>
        <v/>
      </c>
      <c r="AE3278" s="7">
        <f>IF($E3278="","",AD3278-Q3278)</f>
        <v/>
      </c>
      <c r="AI3278" s="7" t="n"/>
      <c r="AL3278" s="11" t="n"/>
      <c r="AN3278">
        <f>IF($E3278="","",IF(COUNTIF($E$2:$E3278,$E3278)=1,1,0))</f>
        <v/>
      </c>
      <c r="AO3278">
        <f>IF($AN3278=1,SUMPRODUCT(--($AR$2:$AR$4001&lt;$AR3278))+1,"")</f>
        <v/>
      </c>
      <c r="AP3278">
        <f>IF($E3278="","",IF(OR($U3278=TRUE(),$U3278="TRUE"),1,0))</f>
        <v/>
      </c>
      <c r="AQ3278">
        <f>IF($E3278="","",IF($AA3278="Yes",1,0))</f>
        <v/>
      </c>
      <c r="AR3278">
        <f>IF($AN3278=1,IFERROR(VALUE(MID($E3278,2,20)),1000000000)+ROW()/100000,"")</f>
        <v/>
      </c>
    </row>
    <row r="3279">
      <c r="G3279" s="11" t="n"/>
      <c r="Q3279" s="7">
        <f>IF($E3279="","",P3279*Y3279/100)</f>
        <v/>
      </c>
      <c r="R3279" s="7" t="n"/>
      <c r="X3279" s="7" t="n"/>
      <c r="Y3279" s="7" t="n"/>
      <c r="AB3279">
        <f>IF($E3279="","",IF($AQ3279=1,0,IF($AP3279=1,Settings!$C$6,Settings!$C$7))*100)</f>
        <v/>
      </c>
      <c r="AC3279" s="7">
        <f>IF($E3279="","",Y3279*AB3279/100)</f>
        <v/>
      </c>
      <c r="AD3279" s="7">
        <f>IF($E3279="","",Y3279-AC3279)</f>
        <v/>
      </c>
      <c r="AE3279" s="7">
        <f>IF($E3279="","",AD3279-Q3279)</f>
        <v/>
      </c>
      <c r="AI3279" s="7" t="n"/>
      <c r="AL3279" s="11" t="n"/>
      <c r="AN3279">
        <f>IF($E3279="","",IF(COUNTIF($E$2:$E3279,$E3279)=1,1,0))</f>
        <v/>
      </c>
      <c r="AO3279">
        <f>IF($AN3279=1,SUMPRODUCT(--($AR$2:$AR$4001&lt;$AR3279))+1,"")</f>
        <v/>
      </c>
      <c r="AP3279">
        <f>IF($E3279="","",IF(OR($U3279=TRUE(),$U3279="TRUE"),1,0))</f>
        <v/>
      </c>
      <c r="AQ3279">
        <f>IF($E3279="","",IF($AA3279="Yes",1,0))</f>
        <v/>
      </c>
      <c r="AR3279">
        <f>IF($AN3279=1,IFERROR(VALUE(MID($E3279,2,20)),1000000000)+ROW()/100000,"")</f>
        <v/>
      </c>
    </row>
    <row r="3280">
      <c r="G3280" s="11" t="n"/>
      <c r="Q3280" s="7">
        <f>IF($E3280="","",P3280*Y3280/100)</f>
        <v/>
      </c>
      <c r="R3280" s="7" t="n"/>
      <c r="X3280" s="7" t="n"/>
      <c r="Y3280" s="7" t="n"/>
      <c r="AB3280">
        <f>IF($E3280="","",IF($AQ3280=1,0,IF($AP3280=1,Settings!$C$6,Settings!$C$7))*100)</f>
        <v/>
      </c>
      <c r="AC3280" s="7">
        <f>IF($E3280="","",Y3280*AB3280/100)</f>
        <v/>
      </c>
      <c r="AD3280" s="7">
        <f>IF($E3280="","",Y3280-AC3280)</f>
        <v/>
      </c>
      <c r="AE3280" s="7">
        <f>IF($E3280="","",AD3280-Q3280)</f>
        <v/>
      </c>
      <c r="AI3280" s="7" t="n"/>
      <c r="AL3280" s="11" t="n"/>
      <c r="AN3280">
        <f>IF($E3280="","",IF(COUNTIF($E$2:$E3280,$E3280)=1,1,0))</f>
        <v/>
      </c>
      <c r="AO3280">
        <f>IF($AN3280=1,SUMPRODUCT(--($AR$2:$AR$4001&lt;$AR3280))+1,"")</f>
        <v/>
      </c>
      <c r="AP3280">
        <f>IF($E3280="","",IF(OR($U3280=TRUE(),$U3280="TRUE"),1,0))</f>
        <v/>
      </c>
      <c r="AQ3280">
        <f>IF($E3280="","",IF($AA3280="Yes",1,0))</f>
        <v/>
      </c>
      <c r="AR3280">
        <f>IF($AN3280=1,IFERROR(VALUE(MID($E3280,2,20)),1000000000)+ROW()/100000,"")</f>
        <v/>
      </c>
    </row>
    <row r="3281">
      <c r="G3281" s="11" t="n"/>
      <c r="Q3281" s="7">
        <f>IF($E3281="","",P3281*Y3281/100)</f>
        <v/>
      </c>
      <c r="R3281" s="7" t="n"/>
      <c r="X3281" s="7" t="n"/>
      <c r="Y3281" s="7" t="n"/>
      <c r="AB3281">
        <f>IF($E3281="","",IF($AQ3281=1,0,IF($AP3281=1,Settings!$C$6,Settings!$C$7))*100)</f>
        <v/>
      </c>
      <c r="AC3281" s="7">
        <f>IF($E3281="","",Y3281*AB3281/100)</f>
        <v/>
      </c>
      <c r="AD3281" s="7">
        <f>IF($E3281="","",Y3281-AC3281)</f>
        <v/>
      </c>
      <c r="AE3281" s="7">
        <f>IF($E3281="","",AD3281-Q3281)</f>
        <v/>
      </c>
      <c r="AI3281" s="7" t="n"/>
      <c r="AL3281" s="11" t="n"/>
      <c r="AN3281">
        <f>IF($E3281="","",IF(COUNTIF($E$2:$E3281,$E3281)=1,1,0))</f>
        <v/>
      </c>
      <c r="AO3281">
        <f>IF($AN3281=1,SUMPRODUCT(--($AR$2:$AR$4001&lt;$AR3281))+1,"")</f>
        <v/>
      </c>
      <c r="AP3281">
        <f>IF($E3281="","",IF(OR($U3281=TRUE(),$U3281="TRUE"),1,0))</f>
        <v/>
      </c>
      <c r="AQ3281">
        <f>IF($E3281="","",IF($AA3281="Yes",1,0))</f>
        <v/>
      </c>
      <c r="AR3281">
        <f>IF($AN3281=1,IFERROR(VALUE(MID($E3281,2,20)),1000000000)+ROW()/100000,"")</f>
        <v/>
      </c>
    </row>
    <row r="3282">
      <c r="G3282" s="11" t="n"/>
      <c r="Q3282" s="7">
        <f>IF($E3282="","",P3282*Y3282/100)</f>
        <v/>
      </c>
      <c r="R3282" s="7" t="n"/>
      <c r="X3282" s="7" t="n"/>
      <c r="Y3282" s="7" t="n"/>
      <c r="AB3282">
        <f>IF($E3282="","",IF($AQ3282=1,0,IF($AP3282=1,Settings!$C$6,Settings!$C$7))*100)</f>
        <v/>
      </c>
      <c r="AC3282" s="7">
        <f>IF($E3282="","",Y3282*AB3282/100)</f>
        <v/>
      </c>
      <c r="AD3282" s="7">
        <f>IF($E3282="","",Y3282-AC3282)</f>
        <v/>
      </c>
      <c r="AE3282" s="7">
        <f>IF($E3282="","",AD3282-Q3282)</f>
        <v/>
      </c>
      <c r="AI3282" s="7" t="n"/>
      <c r="AL3282" s="11" t="n"/>
      <c r="AN3282">
        <f>IF($E3282="","",IF(COUNTIF($E$2:$E3282,$E3282)=1,1,0))</f>
        <v/>
      </c>
      <c r="AO3282">
        <f>IF($AN3282=1,SUMPRODUCT(--($AR$2:$AR$4001&lt;$AR3282))+1,"")</f>
        <v/>
      </c>
      <c r="AP3282">
        <f>IF($E3282="","",IF(OR($U3282=TRUE(),$U3282="TRUE"),1,0))</f>
        <v/>
      </c>
      <c r="AQ3282">
        <f>IF($E3282="","",IF($AA3282="Yes",1,0))</f>
        <v/>
      </c>
      <c r="AR3282">
        <f>IF($AN3282=1,IFERROR(VALUE(MID($E3282,2,20)),1000000000)+ROW()/100000,"")</f>
        <v/>
      </c>
    </row>
    <row r="3283">
      <c r="G3283" s="11" t="n"/>
      <c r="Q3283" s="7">
        <f>IF($E3283="","",P3283*Y3283/100)</f>
        <v/>
      </c>
      <c r="R3283" s="7" t="n"/>
      <c r="X3283" s="7" t="n"/>
      <c r="Y3283" s="7" t="n"/>
      <c r="AB3283">
        <f>IF($E3283="","",IF($AQ3283=1,0,IF($AP3283=1,Settings!$C$6,Settings!$C$7))*100)</f>
        <v/>
      </c>
      <c r="AC3283" s="7">
        <f>IF($E3283="","",Y3283*AB3283/100)</f>
        <v/>
      </c>
      <c r="AD3283" s="7">
        <f>IF($E3283="","",Y3283-AC3283)</f>
        <v/>
      </c>
      <c r="AE3283" s="7">
        <f>IF($E3283="","",AD3283-Q3283)</f>
        <v/>
      </c>
      <c r="AI3283" s="7" t="n"/>
      <c r="AL3283" s="11" t="n"/>
      <c r="AN3283">
        <f>IF($E3283="","",IF(COUNTIF($E$2:$E3283,$E3283)=1,1,0))</f>
        <v/>
      </c>
      <c r="AO3283">
        <f>IF($AN3283=1,SUMPRODUCT(--($AR$2:$AR$4001&lt;$AR3283))+1,"")</f>
        <v/>
      </c>
      <c r="AP3283">
        <f>IF($E3283="","",IF(OR($U3283=TRUE(),$U3283="TRUE"),1,0))</f>
        <v/>
      </c>
      <c r="AQ3283">
        <f>IF($E3283="","",IF($AA3283="Yes",1,0))</f>
        <v/>
      </c>
      <c r="AR3283">
        <f>IF($AN3283=1,IFERROR(VALUE(MID($E3283,2,20)),1000000000)+ROW()/100000,"")</f>
        <v/>
      </c>
    </row>
    <row r="3284">
      <c r="G3284" s="11" t="n"/>
      <c r="Q3284" s="7">
        <f>IF($E3284="","",P3284*Y3284/100)</f>
        <v/>
      </c>
      <c r="R3284" s="7" t="n"/>
      <c r="X3284" s="7" t="n"/>
      <c r="Y3284" s="7" t="n"/>
      <c r="AB3284">
        <f>IF($E3284="","",IF($AQ3284=1,0,IF($AP3284=1,Settings!$C$6,Settings!$C$7))*100)</f>
        <v/>
      </c>
      <c r="AC3284" s="7">
        <f>IF($E3284="","",Y3284*AB3284/100)</f>
        <v/>
      </c>
      <c r="AD3284" s="7">
        <f>IF($E3284="","",Y3284-AC3284)</f>
        <v/>
      </c>
      <c r="AE3284" s="7">
        <f>IF($E3284="","",AD3284-Q3284)</f>
        <v/>
      </c>
      <c r="AI3284" s="7" t="n"/>
      <c r="AL3284" s="11" t="n"/>
      <c r="AN3284">
        <f>IF($E3284="","",IF(COUNTIF($E$2:$E3284,$E3284)=1,1,0))</f>
        <v/>
      </c>
      <c r="AO3284">
        <f>IF($AN3284=1,SUMPRODUCT(--($AR$2:$AR$4001&lt;$AR3284))+1,"")</f>
        <v/>
      </c>
      <c r="AP3284">
        <f>IF($E3284="","",IF(OR($U3284=TRUE(),$U3284="TRUE"),1,0))</f>
        <v/>
      </c>
      <c r="AQ3284">
        <f>IF($E3284="","",IF($AA3284="Yes",1,0))</f>
        <v/>
      </c>
      <c r="AR3284">
        <f>IF($AN3284=1,IFERROR(VALUE(MID($E3284,2,20)),1000000000)+ROW()/100000,"")</f>
        <v/>
      </c>
    </row>
    <row r="3285">
      <c r="G3285" s="11" t="n"/>
      <c r="Q3285" s="7">
        <f>IF($E3285="","",P3285*Y3285/100)</f>
        <v/>
      </c>
      <c r="R3285" s="7" t="n"/>
      <c r="X3285" s="7" t="n"/>
      <c r="Y3285" s="7" t="n"/>
      <c r="AB3285">
        <f>IF($E3285="","",IF($AQ3285=1,0,IF($AP3285=1,Settings!$C$6,Settings!$C$7))*100)</f>
        <v/>
      </c>
      <c r="AC3285" s="7">
        <f>IF($E3285="","",Y3285*AB3285/100)</f>
        <v/>
      </c>
      <c r="AD3285" s="7">
        <f>IF($E3285="","",Y3285-AC3285)</f>
        <v/>
      </c>
      <c r="AE3285" s="7">
        <f>IF($E3285="","",AD3285-Q3285)</f>
        <v/>
      </c>
      <c r="AI3285" s="7" t="n"/>
      <c r="AL3285" s="11" t="n"/>
      <c r="AN3285">
        <f>IF($E3285="","",IF(COUNTIF($E$2:$E3285,$E3285)=1,1,0))</f>
        <v/>
      </c>
      <c r="AO3285">
        <f>IF($AN3285=1,SUMPRODUCT(--($AR$2:$AR$4001&lt;$AR3285))+1,"")</f>
        <v/>
      </c>
      <c r="AP3285">
        <f>IF($E3285="","",IF(OR($U3285=TRUE(),$U3285="TRUE"),1,0))</f>
        <v/>
      </c>
      <c r="AQ3285">
        <f>IF($E3285="","",IF($AA3285="Yes",1,0))</f>
        <v/>
      </c>
      <c r="AR3285">
        <f>IF($AN3285=1,IFERROR(VALUE(MID($E3285,2,20)),1000000000)+ROW()/100000,"")</f>
        <v/>
      </c>
    </row>
    <row r="3286">
      <c r="G3286" s="11" t="n"/>
      <c r="Q3286" s="7">
        <f>IF($E3286="","",P3286*Y3286/100)</f>
        <v/>
      </c>
      <c r="R3286" s="7" t="n"/>
      <c r="X3286" s="7" t="n"/>
      <c r="Y3286" s="7" t="n"/>
      <c r="AB3286">
        <f>IF($E3286="","",IF($AQ3286=1,0,IF($AP3286=1,Settings!$C$6,Settings!$C$7))*100)</f>
        <v/>
      </c>
      <c r="AC3286" s="7">
        <f>IF($E3286="","",Y3286*AB3286/100)</f>
        <v/>
      </c>
      <c r="AD3286" s="7">
        <f>IF($E3286="","",Y3286-AC3286)</f>
        <v/>
      </c>
      <c r="AE3286" s="7">
        <f>IF($E3286="","",AD3286-Q3286)</f>
        <v/>
      </c>
      <c r="AI3286" s="7" t="n"/>
      <c r="AL3286" s="11" t="n"/>
      <c r="AN3286">
        <f>IF($E3286="","",IF(COUNTIF($E$2:$E3286,$E3286)=1,1,0))</f>
        <v/>
      </c>
      <c r="AO3286">
        <f>IF($AN3286=1,SUMPRODUCT(--($AR$2:$AR$4001&lt;$AR3286))+1,"")</f>
        <v/>
      </c>
      <c r="AP3286">
        <f>IF($E3286="","",IF(OR($U3286=TRUE(),$U3286="TRUE"),1,0))</f>
        <v/>
      </c>
      <c r="AQ3286">
        <f>IF($E3286="","",IF($AA3286="Yes",1,0))</f>
        <v/>
      </c>
      <c r="AR3286">
        <f>IF($AN3286=1,IFERROR(VALUE(MID($E3286,2,20)),1000000000)+ROW()/100000,"")</f>
        <v/>
      </c>
    </row>
    <row r="3287">
      <c r="G3287" s="11" t="n"/>
      <c r="Q3287" s="7">
        <f>IF($E3287="","",P3287*Y3287/100)</f>
        <v/>
      </c>
      <c r="R3287" s="7" t="n"/>
      <c r="X3287" s="7" t="n"/>
      <c r="Y3287" s="7" t="n"/>
      <c r="AB3287">
        <f>IF($E3287="","",IF($AQ3287=1,0,IF($AP3287=1,Settings!$C$6,Settings!$C$7))*100)</f>
        <v/>
      </c>
      <c r="AC3287" s="7">
        <f>IF($E3287="","",Y3287*AB3287/100)</f>
        <v/>
      </c>
      <c r="AD3287" s="7">
        <f>IF($E3287="","",Y3287-AC3287)</f>
        <v/>
      </c>
      <c r="AE3287" s="7">
        <f>IF($E3287="","",AD3287-Q3287)</f>
        <v/>
      </c>
      <c r="AI3287" s="7" t="n"/>
      <c r="AL3287" s="11" t="n"/>
      <c r="AN3287">
        <f>IF($E3287="","",IF(COUNTIF($E$2:$E3287,$E3287)=1,1,0))</f>
        <v/>
      </c>
      <c r="AO3287">
        <f>IF($AN3287=1,SUMPRODUCT(--($AR$2:$AR$4001&lt;$AR3287))+1,"")</f>
        <v/>
      </c>
      <c r="AP3287">
        <f>IF($E3287="","",IF(OR($U3287=TRUE(),$U3287="TRUE"),1,0))</f>
        <v/>
      </c>
      <c r="AQ3287">
        <f>IF($E3287="","",IF($AA3287="Yes",1,0))</f>
        <v/>
      </c>
      <c r="AR3287">
        <f>IF($AN3287=1,IFERROR(VALUE(MID($E3287,2,20)),1000000000)+ROW()/100000,"")</f>
        <v/>
      </c>
    </row>
    <row r="3288">
      <c r="G3288" s="11" t="n"/>
      <c r="Q3288" s="7">
        <f>IF($E3288="","",P3288*Y3288/100)</f>
        <v/>
      </c>
      <c r="R3288" s="7" t="n"/>
      <c r="X3288" s="7" t="n"/>
      <c r="Y3288" s="7" t="n"/>
      <c r="AB3288">
        <f>IF($E3288="","",IF($AQ3288=1,0,IF($AP3288=1,Settings!$C$6,Settings!$C$7))*100)</f>
        <v/>
      </c>
      <c r="AC3288" s="7">
        <f>IF($E3288="","",Y3288*AB3288/100)</f>
        <v/>
      </c>
      <c r="AD3288" s="7">
        <f>IF($E3288="","",Y3288-AC3288)</f>
        <v/>
      </c>
      <c r="AE3288" s="7">
        <f>IF($E3288="","",AD3288-Q3288)</f>
        <v/>
      </c>
      <c r="AI3288" s="7" t="n"/>
      <c r="AL3288" s="11" t="n"/>
      <c r="AN3288">
        <f>IF($E3288="","",IF(COUNTIF($E$2:$E3288,$E3288)=1,1,0))</f>
        <v/>
      </c>
      <c r="AO3288">
        <f>IF($AN3288=1,SUMPRODUCT(--($AR$2:$AR$4001&lt;$AR3288))+1,"")</f>
        <v/>
      </c>
      <c r="AP3288">
        <f>IF($E3288="","",IF(OR($U3288=TRUE(),$U3288="TRUE"),1,0))</f>
        <v/>
      </c>
      <c r="AQ3288">
        <f>IF($E3288="","",IF($AA3288="Yes",1,0))</f>
        <v/>
      </c>
      <c r="AR3288">
        <f>IF($AN3288=1,IFERROR(VALUE(MID($E3288,2,20)),1000000000)+ROW()/100000,"")</f>
        <v/>
      </c>
    </row>
    <row r="3289">
      <c r="G3289" s="11" t="n"/>
      <c r="Q3289" s="7">
        <f>IF($E3289="","",P3289*Y3289/100)</f>
        <v/>
      </c>
      <c r="R3289" s="7" t="n"/>
      <c r="X3289" s="7" t="n"/>
      <c r="Y3289" s="7" t="n"/>
      <c r="AB3289">
        <f>IF($E3289="","",IF($AQ3289=1,0,IF($AP3289=1,Settings!$C$6,Settings!$C$7))*100)</f>
        <v/>
      </c>
      <c r="AC3289" s="7">
        <f>IF($E3289="","",Y3289*AB3289/100)</f>
        <v/>
      </c>
      <c r="AD3289" s="7">
        <f>IF($E3289="","",Y3289-AC3289)</f>
        <v/>
      </c>
      <c r="AE3289" s="7">
        <f>IF($E3289="","",AD3289-Q3289)</f>
        <v/>
      </c>
      <c r="AI3289" s="7" t="n"/>
      <c r="AL3289" s="11" t="n"/>
      <c r="AN3289">
        <f>IF($E3289="","",IF(COUNTIF($E$2:$E3289,$E3289)=1,1,0))</f>
        <v/>
      </c>
      <c r="AO3289">
        <f>IF($AN3289=1,SUMPRODUCT(--($AR$2:$AR$4001&lt;$AR3289))+1,"")</f>
        <v/>
      </c>
      <c r="AP3289">
        <f>IF($E3289="","",IF(OR($U3289=TRUE(),$U3289="TRUE"),1,0))</f>
        <v/>
      </c>
      <c r="AQ3289">
        <f>IF($E3289="","",IF($AA3289="Yes",1,0))</f>
        <v/>
      </c>
      <c r="AR3289">
        <f>IF($AN3289=1,IFERROR(VALUE(MID($E3289,2,20)),1000000000)+ROW()/100000,"")</f>
        <v/>
      </c>
    </row>
    <row r="3290">
      <c r="G3290" s="11" t="n"/>
      <c r="Q3290" s="7">
        <f>IF($E3290="","",P3290*Y3290/100)</f>
        <v/>
      </c>
      <c r="R3290" s="7" t="n"/>
      <c r="X3290" s="7" t="n"/>
      <c r="Y3290" s="7" t="n"/>
      <c r="AB3290">
        <f>IF($E3290="","",IF($AQ3290=1,0,IF($AP3290=1,Settings!$C$6,Settings!$C$7))*100)</f>
        <v/>
      </c>
      <c r="AC3290" s="7">
        <f>IF($E3290="","",Y3290*AB3290/100)</f>
        <v/>
      </c>
      <c r="AD3290" s="7">
        <f>IF($E3290="","",Y3290-AC3290)</f>
        <v/>
      </c>
      <c r="AE3290" s="7">
        <f>IF($E3290="","",AD3290-Q3290)</f>
        <v/>
      </c>
      <c r="AI3290" s="7" t="n"/>
      <c r="AL3290" s="11" t="n"/>
      <c r="AN3290">
        <f>IF($E3290="","",IF(COUNTIF($E$2:$E3290,$E3290)=1,1,0))</f>
        <v/>
      </c>
      <c r="AO3290">
        <f>IF($AN3290=1,SUMPRODUCT(--($AR$2:$AR$4001&lt;$AR3290))+1,"")</f>
        <v/>
      </c>
      <c r="AP3290">
        <f>IF($E3290="","",IF(OR($U3290=TRUE(),$U3290="TRUE"),1,0))</f>
        <v/>
      </c>
      <c r="AQ3290">
        <f>IF($E3290="","",IF($AA3290="Yes",1,0))</f>
        <v/>
      </c>
      <c r="AR3290">
        <f>IF($AN3290=1,IFERROR(VALUE(MID($E3290,2,20)),1000000000)+ROW()/100000,"")</f>
        <v/>
      </c>
    </row>
    <row r="3291">
      <c r="G3291" s="11" t="n"/>
      <c r="Q3291" s="7">
        <f>IF($E3291="","",P3291*Y3291/100)</f>
        <v/>
      </c>
      <c r="R3291" s="7" t="n"/>
      <c r="X3291" s="7" t="n"/>
      <c r="Y3291" s="7" t="n"/>
      <c r="AB3291">
        <f>IF($E3291="","",IF($AQ3291=1,0,IF($AP3291=1,Settings!$C$6,Settings!$C$7))*100)</f>
        <v/>
      </c>
      <c r="AC3291" s="7">
        <f>IF($E3291="","",Y3291*AB3291/100)</f>
        <v/>
      </c>
      <c r="AD3291" s="7">
        <f>IF($E3291="","",Y3291-AC3291)</f>
        <v/>
      </c>
      <c r="AE3291" s="7">
        <f>IF($E3291="","",AD3291-Q3291)</f>
        <v/>
      </c>
      <c r="AI3291" s="7" t="n"/>
      <c r="AL3291" s="11" t="n"/>
      <c r="AN3291">
        <f>IF($E3291="","",IF(COUNTIF($E$2:$E3291,$E3291)=1,1,0))</f>
        <v/>
      </c>
      <c r="AO3291">
        <f>IF($AN3291=1,SUMPRODUCT(--($AR$2:$AR$4001&lt;$AR3291))+1,"")</f>
        <v/>
      </c>
      <c r="AP3291">
        <f>IF($E3291="","",IF(OR($U3291=TRUE(),$U3291="TRUE"),1,0))</f>
        <v/>
      </c>
      <c r="AQ3291">
        <f>IF($E3291="","",IF($AA3291="Yes",1,0))</f>
        <v/>
      </c>
      <c r="AR3291">
        <f>IF($AN3291=1,IFERROR(VALUE(MID($E3291,2,20)),1000000000)+ROW()/100000,"")</f>
        <v/>
      </c>
    </row>
    <row r="3292">
      <c r="G3292" s="11" t="n"/>
      <c r="Q3292" s="7">
        <f>IF($E3292="","",P3292*Y3292/100)</f>
        <v/>
      </c>
      <c r="R3292" s="7" t="n"/>
      <c r="X3292" s="7" t="n"/>
      <c r="Y3292" s="7" t="n"/>
      <c r="AB3292">
        <f>IF($E3292="","",IF($AQ3292=1,0,IF($AP3292=1,Settings!$C$6,Settings!$C$7))*100)</f>
        <v/>
      </c>
      <c r="AC3292" s="7">
        <f>IF($E3292="","",Y3292*AB3292/100)</f>
        <v/>
      </c>
      <c r="AD3292" s="7">
        <f>IF($E3292="","",Y3292-AC3292)</f>
        <v/>
      </c>
      <c r="AE3292" s="7">
        <f>IF($E3292="","",AD3292-Q3292)</f>
        <v/>
      </c>
      <c r="AI3292" s="7" t="n"/>
      <c r="AL3292" s="11" t="n"/>
      <c r="AN3292">
        <f>IF($E3292="","",IF(COUNTIF($E$2:$E3292,$E3292)=1,1,0))</f>
        <v/>
      </c>
      <c r="AO3292">
        <f>IF($AN3292=1,SUMPRODUCT(--($AR$2:$AR$4001&lt;$AR3292))+1,"")</f>
        <v/>
      </c>
      <c r="AP3292">
        <f>IF($E3292="","",IF(OR($U3292=TRUE(),$U3292="TRUE"),1,0))</f>
        <v/>
      </c>
      <c r="AQ3292">
        <f>IF($E3292="","",IF($AA3292="Yes",1,0))</f>
        <v/>
      </c>
      <c r="AR3292">
        <f>IF($AN3292=1,IFERROR(VALUE(MID($E3292,2,20)),1000000000)+ROW()/100000,"")</f>
        <v/>
      </c>
    </row>
    <row r="3293">
      <c r="G3293" s="11" t="n"/>
      <c r="Q3293" s="7">
        <f>IF($E3293="","",P3293*Y3293/100)</f>
        <v/>
      </c>
      <c r="R3293" s="7" t="n"/>
      <c r="X3293" s="7" t="n"/>
      <c r="Y3293" s="7" t="n"/>
      <c r="AB3293">
        <f>IF($E3293="","",IF($AQ3293=1,0,IF($AP3293=1,Settings!$C$6,Settings!$C$7))*100)</f>
        <v/>
      </c>
      <c r="AC3293" s="7">
        <f>IF($E3293="","",Y3293*AB3293/100)</f>
        <v/>
      </c>
      <c r="AD3293" s="7">
        <f>IF($E3293="","",Y3293-AC3293)</f>
        <v/>
      </c>
      <c r="AE3293" s="7">
        <f>IF($E3293="","",AD3293-Q3293)</f>
        <v/>
      </c>
      <c r="AI3293" s="7" t="n"/>
      <c r="AL3293" s="11" t="n"/>
      <c r="AN3293">
        <f>IF($E3293="","",IF(COUNTIF($E$2:$E3293,$E3293)=1,1,0))</f>
        <v/>
      </c>
      <c r="AO3293">
        <f>IF($AN3293=1,SUMPRODUCT(--($AR$2:$AR$4001&lt;$AR3293))+1,"")</f>
        <v/>
      </c>
      <c r="AP3293">
        <f>IF($E3293="","",IF(OR($U3293=TRUE(),$U3293="TRUE"),1,0))</f>
        <v/>
      </c>
      <c r="AQ3293">
        <f>IF($E3293="","",IF($AA3293="Yes",1,0))</f>
        <v/>
      </c>
      <c r="AR3293">
        <f>IF($AN3293=1,IFERROR(VALUE(MID($E3293,2,20)),1000000000)+ROW()/100000,"")</f>
        <v/>
      </c>
    </row>
    <row r="3294">
      <c r="G3294" s="11" t="n"/>
      <c r="Q3294" s="7">
        <f>IF($E3294="","",P3294*Y3294/100)</f>
        <v/>
      </c>
      <c r="R3294" s="7" t="n"/>
      <c r="X3294" s="7" t="n"/>
      <c r="Y3294" s="7" t="n"/>
      <c r="AB3294">
        <f>IF($E3294="","",IF($AQ3294=1,0,IF($AP3294=1,Settings!$C$6,Settings!$C$7))*100)</f>
        <v/>
      </c>
      <c r="AC3294" s="7">
        <f>IF($E3294="","",Y3294*AB3294/100)</f>
        <v/>
      </c>
      <c r="AD3294" s="7">
        <f>IF($E3294="","",Y3294-AC3294)</f>
        <v/>
      </c>
      <c r="AE3294" s="7">
        <f>IF($E3294="","",AD3294-Q3294)</f>
        <v/>
      </c>
      <c r="AI3294" s="7" t="n"/>
      <c r="AL3294" s="11" t="n"/>
      <c r="AN3294">
        <f>IF($E3294="","",IF(COUNTIF($E$2:$E3294,$E3294)=1,1,0))</f>
        <v/>
      </c>
      <c r="AO3294">
        <f>IF($AN3294=1,SUMPRODUCT(--($AR$2:$AR$4001&lt;$AR3294))+1,"")</f>
        <v/>
      </c>
      <c r="AP3294">
        <f>IF($E3294="","",IF(OR($U3294=TRUE(),$U3294="TRUE"),1,0))</f>
        <v/>
      </c>
      <c r="AQ3294">
        <f>IF($E3294="","",IF($AA3294="Yes",1,0))</f>
        <v/>
      </c>
      <c r="AR3294">
        <f>IF($AN3294=1,IFERROR(VALUE(MID($E3294,2,20)),1000000000)+ROW()/100000,"")</f>
        <v/>
      </c>
    </row>
    <row r="3295">
      <c r="G3295" s="11" t="n"/>
      <c r="Q3295" s="7">
        <f>IF($E3295="","",P3295*Y3295/100)</f>
        <v/>
      </c>
      <c r="R3295" s="7" t="n"/>
      <c r="X3295" s="7" t="n"/>
      <c r="Y3295" s="7" t="n"/>
      <c r="AB3295">
        <f>IF($E3295="","",IF($AQ3295=1,0,IF($AP3295=1,Settings!$C$6,Settings!$C$7))*100)</f>
        <v/>
      </c>
      <c r="AC3295" s="7">
        <f>IF($E3295="","",Y3295*AB3295/100)</f>
        <v/>
      </c>
      <c r="AD3295" s="7">
        <f>IF($E3295="","",Y3295-AC3295)</f>
        <v/>
      </c>
      <c r="AE3295" s="7">
        <f>IF($E3295="","",AD3295-Q3295)</f>
        <v/>
      </c>
      <c r="AI3295" s="7" t="n"/>
      <c r="AL3295" s="11" t="n"/>
      <c r="AN3295">
        <f>IF($E3295="","",IF(COUNTIF($E$2:$E3295,$E3295)=1,1,0))</f>
        <v/>
      </c>
      <c r="AO3295">
        <f>IF($AN3295=1,SUMPRODUCT(--($AR$2:$AR$4001&lt;$AR3295))+1,"")</f>
        <v/>
      </c>
      <c r="AP3295">
        <f>IF($E3295="","",IF(OR($U3295=TRUE(),$U3295="TRUE"),1,0))</f>
        <v/>
      </c>
      <c r="AQ3295">
        <f>IF($E3295="","",IF($AA3295="Yes",1,0))</f>
        <v/>
      </c>
      <c r="AR3295">
        <f>IF($AN3295=1,IFERROR(VALUE(MID($E3295,2,20)),1000000000)+ROW()/100000,"")</f>
        <v/>
      </c>
    </row>
    <row r="3296">
      <c r="G3296" s="11" t="n"/>
      <c r="Q3296" s="7">
        <f>IF($E3296="","",P3296*Y3296/100)</f>
        <v/>
      </c>
      <c r="R3296" s="7" t="n"/>
      <c r="X3296" s="7" t="n"/>
      <c r="Y3296" s="7" t="n"/>
      <c r="AB3296">
        <f>IF($E3296="","",IF($AQ3296=1,0,IF($AP3296=1,Settings!$C$6,Settings!$C$7))*100)</f>
        <v/>
      </c>
      <c r="AC3296" s="7">
        <f>IF($E3296="","",Y3296*AB3296/100)</f>
        <v/>
      </c>
      <c r="AD3296" s="7">
        <f>IF($E3296="","",Y3296-AC3296)</f>
        <v/>
      </c>
      <c r="AE3296" s="7">
        <f>IF($E3296="","",AD3296-Q3296)</f>
        <v/>
      </c>
      <c r="AI3296" s="7" t="n"/>
      <c r="AL3296" s="11" t="n"/>
      <c r="AN3296">
        <f>IF($E3296="","",IF(COUNTIF($E$2:$E3296,$E3296)=1,1,0))</f>
        <v/>
      </c>
      <c r="AO3296">
        <f>IF($AN3296=1,SUMPRODUCT(--($AR$2:$AR$4001&lt;$AR3296))+1,"")</f>
        <v/>
      </c>
      <c r="AP3296">
        <f>IF($E3296="","",IF(OR($U3296=TRUE(),$U3296="TRUE"),1,0))</f>
        <v/>
      </c>
      <c r="AQ3296">
        <f>IF($E3296="","",IF($AA3296="Yes",1,0))</f>
        <v/>
      </c>
      <c r="AR3296">
        <f>IF($AN3296=1,IFERROR(VALUE(MID($E3296,2,20)),1000000000)+ROW()/100000,"")</f>
        <v/>
      </c>
    </row>
    <row r="3297">
      <c r="G3297" s="11" t="n"/>
      <c r="Q3297" s="7">
        <f>IF($E3297="","",P3297*Y3297/100)</f>
        <v/>
      </c>
      <c r="R3297" s="7" t="n"/>
      <c r="X3297" s="7" t="n"/>
      <c r="Y3297" s="7" t="n"/>
      <c r="AB3297">
        <f>IF($E3297="","",IF($AQ3297=1,0,IF($AP3297=1,Settings!$C$6,Settings!$C$7))*100)</f>
        <v/>
      </c>
      <c r="AC3297" s="7">
        <f>IF($E3297="","",Y3297*AB3297/100)</f>
        <v/>
      </c>
      <c r="AD3297" s="7">
        <f>IF($E3297="","",Y3297-AC3297)</f>
        <v/>
      </c>
      <c r="AE3297" s="7">
        <f>IF($E3297="","",AD3297-Q3297)</f>
        <v/>
      </c>
      <c r="AI3297" s="7" t="n"/>
      <c r="AL3297" s="11" t="n"/>
      <c r="AN3297">
        <f>IF($E3297="","",IF(COUNTIF($E$2:$E3297,$E3297)=1,1,0))</f>
        <v/>
      </c>
      <c r="AO3297">
        <f>IF($AN3297=1,SUMPRODUCT(--($AR$2:$AR$4001&lt;$AR3297))+1,"")</f>
        <v/>
      </c>
      <c r="AP3297">
        <f>IF($E3297="","",IF(OR($U3297=TRUE(),$U3297="TRUE"),1,0))</f>
        <v/>
      </c>
      <c r="AQ3297">
        <f>IF($E3297="","",IF($AA3297="Yes",1,0))</f>
        <v/>
      </c>
      <c r="AR3297">
        <f>IF($AN3297=1,IFERROR(VALUE(MID($E3297,2,20)),1000000000)+ROW()/100000,"")</f>
        <v/>
      </c>
    </row>
    <row r="3298">
      <c r="G3298" s="11" t="n"/>
      <c r="Q3298" s="7">
        <f>IF($E3298="","",P3298*Y3298/100)</f>
        <v/>
      </c>
      <c r="R3298" s="7" t="n"/>
      <c r="X3298" s="7" t="n"/>
      <c r="Y3298" s="7" t="n"/>
      <c r="AB3298">
        <f>IF($E3298="","",IF($AQ3298=1,0,IF($AP3298=1,Settings!$C$6,Settings!$C$7))*100)</f>
        <v/>
      </c>
      <c r="AC3298" s="7">
        <f>IF($E3298="","",Y3298*AB3298/100)</f>
        <v/>
      </c>
      <c r="AD3298" s="7">
        <f>IF($E3298="","",Y3298-AC3298)</f>
        <v/>
      </c>
      <c r="AE3298" s="7">
        <f>IF($E3298="","",AD3298-Q3298)</f>
        <v/>
      </c>
      <c r="AI3298" s="7" t="n"/>
      <c r="AL3298" s="11" t="n"/>
      <c r="AN3298">
        <f>IF($E3298="","",IF(COUNTIF($E$2:$E3298,$E3298)=1,1,0))</f>
        <v/>
      </c>
      <c r="AO3298">
        <f>IF($AN3298=1,SUMPRODUCT(--($AR$2:$AR$4001&lt;$AR3298))+1,"")</f>
        <v/>
      </c>
      <c r="AP3298">
        <f>IF($E3298="","",IF(OR($U3298=TRUE(),$U3298="TRUE"),1,0))</f>
        <v/>
      </c>
      <c r="AQ3298">
        <f>IF($E3298="","",IF($AA3298="Yes",1,0))</f>
        <v/>
      </c>
      <c r="AR3298">
        <f>IF($AN3298=1,IFERROR(VALUE(MID($E3298,2,20)),1000000000)+ROW()/100000,"")</f>
        <v/>
      </c>
    </row>
    <row r="3299">
      <c r="G3299" s="11" t="n"/>
      <c r="Q3299" s="7">
        <f>IF($E3299="","",P3299*Y3299/100)</f>
        <v/>
      </c>
      <c r="R3299" s="7" t="n"/>
      <c r="X3299" s="7" t="n"/>
      <c r="Y3299" s="7" t="n"/>
      <c r="AB3299">
        <f>IF($E3299="","",IF($AQ3299=1,0,IF($AP3299=1,Settings!$C$6,Settings!$C$7))*100)</f>
        <v/>
      </c>
      <c r="AC3299" s="7">
        <f>IF($E3299="","",Y3299*AB3299/100)</f>
        <v/>
      </c>
      <c r="AD3299" s="7">
        <f>IF($E3299="","",Y3299-AC3299)</f>
        <v/>
      </c>
      <c r="AE3299" s="7">
        <f>IF($E3299="","",AD3299-Q3299)</f>
        <v/>
      </c>
      <c r="AI3299" s="7" t="n"/>
      <c r="AL3299" s="11" t="n"/>
      <c r="AN3299">
        <f>IF($E3299="","",IF(COUNTIF($E$2:$E3299,$E3299)=1,1,0))</f>
        <v/>
      </c>
      <c r="AO3299">
        <f>IF($AN3299=1,SUMPRODUCT(--($AR$2:$AR$4001&lt;$AR3299))+1,"")</f>
        <v/>
      </c>
      <c r="AP3299">
        <f>IF($E3299="","",IF(OR($U3299=TRUE(),$U3299="TRUE"),1,0))</f>
        <v/>
      </c>
      <c r="AQ3299">
        <f>IF($E3299="","",IF($AA3299="Yes",1,0))</f>
        <v/>
      </c>
      <c r="AR3299">
        <f>IF($AN3299=1,IFERROR(VALUE(MID($E3299,2,20)),1000000000)+ROW()/100000,"")</f>
        <v/>
      </c>
    </row>
    <row r="3300">
      <c r="G3300" s="11" t="n"/>
      <c r="Q3300" s="7">
        <f>IF($E3300="","",P3300*Y3300/100)</f>
        <v/>
      </c>
      <c r="R3300" s="7" t="n"/>
      <c r="X3300" s="7" t="n"/>
      <c r="Y3300" s="7" t="n"/>
      <c r="AB3300">
        <f>IF($E3300="","",IF($AQ3300=1,0,IF($AP3300=1,Settings!$C$6,Settings!$C$7))*100)</f>
        <v/>
      </c>
      <c r="AC3300" s="7">
        <f>IF($E3300="","",Y3300*AB3300/100)</f>
        <v/>
      </c>
      <c r="AD3300" s="7">
        <f>IF($E3300="","",Y3300-AC3300)</f>
        <v/>
      </c>
      <c r="AE3300" s="7">
        <f>IF($E3300="","",AD3300-Q3300)</f>
        <v/>
      </c>
      <c r="AI3300" s="7" t="n"/>
      <c r="AL3300" s="11" t="n"/>
      <c r="AN3300">
        <f>IF($E3300="","",IF(COUNTIF($E$2:$E3300,$E3300)=1,1,0))</f>
        <v/>
      </c>
      <c r="AO3300">
        <f>IF($AN3300=1,SUMPRODUCT(--($AR$2:$AR$4001&lt;$AR3300))+1,"")</f>
        <v/>
      </c>
      <c r="AP3300">
        <f>IF($E3300="","",IF(OR($U3300=TRUE(),$U3300="TRUE"),1,0))</f>
        <v/>
      </c>
      <c r="AQ3300">
        <f>IF($E3300="","",IF($AA3300="Yes",1,0))</f>
        <v/>
      </c>
      <c r="AR3300">
        <f>IF($AN3300=1,IFERROR(VALUE(MID($E3300,2,20)),1000000000)+ROW()/100000,"")</f>
        <v/>
      </c>
    </row>
    <row r="3301">
      <c r="G3301" s="11" t="n"/>
      <c r="Q3301" s="7">
        <f>IF($E3301="","",P3301*Y3301/100)</f>
        <v/>
      </c>
      <c r="R3301" s="7" t="n"/>
      <c r="X3301" s="7" t="n"/>
      <c r="Y3301" s="7" t="n"/>
      <c r="AB3301">
        <f>IF($E3301="","",IF($AQ3301=1,0,IF($AP3301=1,Settings!$C$6,Settings!$C$7))*100)</f>
        <v/>
      </c>
      <c r="AC3301" s="7">
        <f>IF($E3301="","",Y3301*AB3301/100)</f>
        <v/>
      </c>
      <c r="AD3301" s="7">
        <f>IF($E3301="","",Y3301-AC3301)</f>
        <v/>
      </c>
      <c r="AE3301" s="7">
        <f>IF($E3301="","",AD3301-Q3301)</f>
        <v/>
      </c>
      <c r="AI3301" s="7" t="n"/>
      <c r="AL3301" s="11" t="n"/>
      <c r="AN3301">
        <f>IF($E3301="","",IF(COUNTIF($E$2:$E3301,$E3301)=1,1,0))</f>
        <v/>
      </c>
      <c r="AO3301">
        <f>IF($AN3301=1,SUMPRODUCT(--($AR$2:$AR$4001&lt;$AR3301))+1,"")</f>
        <v/>
      </c>
      <c r="AP3301">
        <f>IF($E3301="","",IF(OR($U3301=TRUE(),$U3301="TRUE"),1,0))</f>
        <v/>
      </c>
      <c r="AQ3301">
        <f>IF($E3301="","",IF($AA3301="Yes",1,0))</f>
        <v/>
      </c>
      <c r="AR3301">
        <f>IF($AN3301=1,IFERROR(VALUE(MID($E3301,2,20)),1000000000)+ROW()/100000,"")</f>
        <v/>
      </c>
    </row>
    <row r="3302">
      <c r="G3302" s="11" t="n"/>
      <c r="Q3302" s="7">
        <f>IF($E3302="","",P3302*Y3302/100)</f>
        <v/>
      </c>
      <c r="R3302" s="7" t="n"/>
      <c r="X3302" s="7" t="n"/>
      <c r="Y3302" s="7" t="n"/>
      <c r="AB3302">
        <f>IF($E3302="","",IF($AQ3302=1,0,IF($AP3302=1,Settings!$C$6,Settings!$C$7))*100)</f>
        <v/>
      </c>
      <c r="AC3302" s="7">
        <f>IF($E3302="","",Y3302*AB3302/100)</f>
        <v/>
      </c>
      <c r="AD3302" s="7">
        <f>IF($E3302="","",Y3302-AC3302)</f>
        <v/>
      </c>
      <c r="AE3302" s="7">
        <f>IF($E3302="","",AD3302-Q3302)</f>
        <v/>
      </c>
      <c r="AI3302" s="7" t="n"/>
      <c r="AL3302" s="11" t="n"/>
      <c r="AN3302">
        <f>IF($E3302="","",IF(COUNTIF($E$2:$E3302,$E3302)=1,1,0))</f>
        <v/>
      </c>
      <c r="AO3302">
        <f>IF($AN3302=1,SUMPRODUCT(--($AR$2:$AR$4001&lt;$AR3302))+1,"")</f>
        <v/>
      </c>
      <c r="AP3302">
        <f>IF($E3302="","",IF(OR($U3302=TRUE(),$U3302="TRUE"),1,0))</f>
        <v/>
      </c>
      <c r="AQ3302">
        <f>IF($E3302="","",IF($AA3302="Yes",1,0))</f>
        <v/>
      </c>
      <c r="AR3302">
        <f>IF($AN3302=1,IFERROR(VALUE(MID($E3302,2,20)),1000000000)+ROW()/100000,"")</f>
        <v/>
      </c>
    </row>
    <row r="3303">
      <c r="G3303" s="11" t="n"/>
      <c r="Q3303" s="7">
        <f>IF($E3303="","",P3303*Y3303/100)</f>
        <v/>
      </c>
      <c r="R3303" s="7" t="n"/>
      <c r="X3303" s="7" t="n"/>
      <c r="Y3303" s="7" t="n"/>
      <c r="AB3303">
        <f>IF($E3303="","",IF($AQ3303=1,0,IF($AP3303=1,Settings!$C$6,Settings!$C$7))*100)</f>
        <v/>
      </c>
      <c r="AC3303" s="7">
        <f>IF($E3303="","",Y3303*AB3303/100)</f>
        <v/>
      </c>
      <c r="AD3303" s="7">
        <f>IF($E3303="","",Y3303-AC3303)</f>
        <v/>
      </c>
      <c r="AE3303" s="7">
        <f>IF($E3303="","",AD3303-Q3303)</f>
        <v/>
      </c>
      <c r="AI3303" s="7" t="n"/>
      <c r="AL3303" s="11" t="n"/>
      <c r="AN3303">
        <f>IF($E3303="","",IF(COUNTIF($E$2:$E3303,$E3303)=1,1,0))</f>
        <v/>
      </c>
      <c r="AO3303">
        <f>IF($AN3303=1,SUMPRODUCT(--($AR$2:$AR$4001&lt;$AR3303))+1,"")</f>
        <v/>
      </c>
      <c r="AP3303">
        <f>IF($E3303="","",IF(OR($U3303=TRUE(),$U3303="TRUE"),1,0))</f>
        <v/>
      </c>
      <c r="AQ3303">
        <f>IF($E3303="","",IF($AA3303="Yes",1,0))</f>
        <v/>
      </c>
      <c r="AR3303">
        <f>IF($AN3303=1,IFERROR(VALUE(MID($E3303,2,20)),1000000000)+ROW()/100000,"")</f>
        <v/>
      </c>
    </row>
    <row r="3304">
      <c r="G3304" s="11" t="n"/>
      <c r="Q3304" s="7">
        <f>IF($E3304="","",P3304*Y3304/100)</f>
        <v/>
      </c>
      <c r="R3304" s="7" t="n"/>
      <c r="X3304" s="7" t="n"/>
      <c r="Y3304" s="7" t="n"/>
      <c r="AB3304">
        <f>IF($E3304="","",IF($AQ3304=1,0,IF($AP3304=1,Settings!$C$6,Settings!$C$7))*100)</f>
        <v/>
      </c>
      <c r="AC3304" s="7">
        <f>IF($E3304="","",Y3304*AB3304/100)</f>
        <v/>
      </c>
      <c r="AD3304" s="7">
        <f>IF($E3304="","",Y3304-AC3304)</f>
        <v/>
      </c>
      <c r="AE3304" s="7">
        <f>IF($E3304="","",AD3304-Q3304)</f>
        <v/>
      </c>
      <c r="AI3304" s="7" t="n"/>
      <c r="AL3304" s="11" t="n"/>
      <c r="AN3304">
        <f>IF($E3304="","",IF(COUNTIF($E$2:$E3304,$E3304)=1,1,0))</f>
        <v/>
      </c>
      <c r="AO3304">
        <f>IF($AN3304=1,SUMPRODUCT(--($AR$2:$AR$4001&lt;$AR3304))+1,"")</f>
        <v/>
      </c>
      <c r="AP3304">
        <f>IF($E3304="","",IF(OR($U3304=TRUE(),$U3304="TRUE"),1,0))</f>
        <v/>
      </c>
      <c r="AQ3304">
        <f>IF($E3304="","",IF($AA3304="Yes",1,0))</f>
        <v/>
      </c>
      <c r="AR3304">
        <f>IF($AN3304=1,IFERROR(VALUE(MID($E3304,2,20)),1000000000)+ROW()/100000,"")</f>
        <v/>
      </c>
    </row>
    <row r="3305">
      <c r="G3305" s="11" t="n"/>
      <c r="Q3305" s="7">
        <f>IF($E3305="","",P3305*Y3305/100)</f>
        <v/>
      </c>
      <c r="R3305" s="7" t="n"/>
      <c r="X3305" s="7" t="n"/>
      <c r="Y3305" s="7" t="n"/>
      <c r="AB3305">
        <f>IF($E3305="","",IF($AQ3305=1,0,IF($AP3305=1,Settings!$C$6,Settings!$C$7))*100)</f>
        <v/>
      </c>
      <c r="AC3305" s="7">
        <f>IF($E3305="","",Y3305*AB3305/100)</f>
        <v/>
      </c>
      <c r="AD3305" s="7">
        <f>IF($E3305="","",Y3305-AC3305)</f>
        <v/>
      </c>
      <c r="AE3305" s="7">
        <f>IF($E3305="","",AD3305-Q3305)</f>
        <v/>
      </c>
      <c r="AI3305" s="7" t="n"/>
      <c r="AL3305" s="11" t="n"/>
      <c r="AN3305">
        <f>IF($E3305="","",IF(COUNTIF($E$2:$E3305,$E3305)=1,1,0))</f>
        <v/>
      </c>
      <c r="AO3305">
        <f>IF($AN3305=1,SUMPRODUCT(--($AR$2:$AR$4001&lt;$AR3305))+1,"")</f>
        <v/>
      </c>
      <c r="AP3305">
        <f>IF($E3305="","",IF(OR($U3305=TRUE(),$U3305="TRUE"),1,0))</f>
        <v/>
      </c>
      <c r="AQ3305">
        <f>IF($E3305="","",IF($AA3305="Yes",1,0))</f>
        <v/>
      </c>
      <c r="AR3305">
        <f>IF($AN3305=1,IFERROR(VALUE(MID($E3305,2,20)),1000000000)+ROW()/100000,"")</f>
        <v/>
      </c>
    </row>
    <row r="3306">
      <c r="G3306" s="11" t="n"/>
      <c r="Q3306" s="7">
        <f>IF($E3306="","",P3306*Y3306/100)</f>
        <v/>
      </c>
      <c r="R3306" s="7" t="n"/>
      <c r="X3306" s="7" t="n"/>
      <c r="Y3306" s="7" t="n"/>
      <c r="AB3306">
        <f>IF($E3306="","",IF($AQ3306=1,0,IF($AP3306=1,Settings!$C$6,Settings!$C$7))*100)</f>
        <v/>
      </c>
      <c r="AC3306" s="7">
        <f>IF($E3306="","",Y3306*AB3306/100)</f>
        <v/>
      </c>
      <c r="AD3306" s="7">
        <f>IF($E3306="","",Y3306-AC3306)</f>
        <v/>
      </c>
      <c r="AE3306" s="7">
        <f>IF($E3306="","",AD3306-Q3306)</f>
        <v/>
      </c>
      <c r="AI3306" s="7" t="n"/>
      <c r="AL3306" s="11" t="n"/>
      <c r="AN3306">
        <f>IF($E3306="","",IF(COUNTIF($E$2:$E3306,$E3306)=1,1,0))</f>
        <v/>
      </c>
      <c r="AO3306">
        <f>IF($AN3306=1,SUMPRODUCT(--($AR$2:$AR$4001&lt;$AR3306))+1,"")</f>
        <v/>
      </c>
      <c r="AP3306">
        <f>IF($E3306="","",IF(OR($U3306=TRUE(),$U3306="TRUE"),1,0))</f>
        <v/>
      </c>
      <c r="AQ3306">
        <f>IF($E3306="","",IF($AA3306="Yes",1,0))</f>
        <v/>
      </c>
      <c r="AR3306">
        <f>IF($AN3306=1,IFERROR(VALUE(MID($E3306,2,20)),1000000000)+ROW()/100000,"")</f>
        <v/>
      </c>
    </row>
    <row r="3307">
      <c r="G3307" s="11" t="n"/>
      <c r="Q3307" s="7">
        <f>IF($E3307="","",P3307*Y3307/100)</f>
        <v/>
      </c>
      <c r="R3307" s="7" t="n"/>
      <c r="X3307" s="7" t="n"/>
      <c r="Y3307" s="7" t="n"/>
      <c r="AB3307">
        <f>IF($E3307="","",IF($AQ3307=1,0,IF($AP3307=1,Settings!$C$6,Settings!$C$7))*100)</f>
        <v/>
      </c>
      <c r="AC3307" s="7">
        <f>IF($E3307="","",Y3307*AB3307/100)</f>
        <v/>
      </c>
      <c r="AD3307" s="7">
        <f>IF($E3307="","",Y3307-AC3307)</f>
        <v/>
      </c>
      <c r="AE3307" s="7">
        <f>IF($E3307="","",AD3307-Q3307)</f>
        <v/>
      </c>
      <c r="AI3307" s="7" t="n"/>
      <c r="AL3307" s="11" t="n"/>
      <c r="AN3307">
        <f>IF($E3307="","",IF(COUNTIF($E$2:$E3307,$E3307)=1,1,0))</f>
        <v/>
      </c>
      <c r="AO3307">
        <f>IF($AN3307=1,SUMPRODUCT(--($AR$2:$AR$4001&lt;$AR3307))+1,"")</f>
        <v/>
      </c>
      <c r="AP3307">
        <f>IF($E3307="","",IF(OR($U3307=TRUE(),$U3307="TRUE"),1,0))</f>
        <v/>
      </c>
      <c r="AQ3307">
        <f>IF($E3307="","",IF($AA3307="Yes",1,0))</f>
        <v/>
      </c>
      <c r="AR3307">
        <f>IF($AN3307=1,IFERROR(VALUE(MID($E3307,2,20)),1000000000)+ROW()/100000,"")</f>
        <v/>
      </c>
    </row>
    <row r="3308">
      <c r="G3308" s="11" t="n"/>
      <c r="Q3308" s="7">
        <f>IF($E3308="","",P3308*Y3308/100)</f>
        <v/>
      </c>
      <c r="R3308" s="7" t="n"/>
      <c r="X3308" s="7" t="n"/>
      <c r="Y3308" s="7" t="n"/>
      <c r="AB3308">
        <f>IF($E3308="","",IF($AQ3308=1,0,IF($AP3308=1,Settings!$C$6,Settings!$C$7))*100)</f>
        <v/>
      </c>
      <c r="AC3308" s="7">
        <f>IF($E3308="","",Y3308*AB3308/100)</f>
        <v/>
      </c>
      <c r="AD3308" s="7">
        <f>IF($E3308="","",Y3308-AC3308)</f>
        <v/>
      </c>
      <c r="AE3308" s="7">
        <f>IF($E3308="","",AD3308-Q3308)</f>
        <v/>
      </c>
      <c r="AI3308" s="7" t="n"/>
      <c r="AL3308" s="11" t="n"/>
      <c r="AN3308">
        <f>IF($E3308="","",IF(COUNTIF($E$2:$E3308,$E3308)=1,1,0))</f>
        <v/>
      </c>
      <c r="AO3308">
        <f>IF($AN3308=1,SUMPRODUCT(--($AR$2:$AR$4001&lt;$AR3308))+1,"")</f>
        <v/>
      </c>
      <c r="AP3308">
        <f>IF($E3308="","",IF(OR($U3308=TRUE(),$U3308="TRUE"),1,0))</f>
        <v/>
      </c>
      <c r="AQ3308">
        <f>IF($E3308="","",IF($AA3308="Yes",1,0))</f>
        <v/>
      </c>
      <c r="AR3308">
        <f>IF($AN3308=1,IFERROR(VALUE(MID($E3308,2,20)),1000000000)+ROW()/100000,"")</f>
        <v/>
      </c>
    </row>
    <row r="3309">
      <c r="G3309" s="11" t="n"/>
      <c r="Q3309" s="7">
        <f>IF($E3309="","",P3309*Y3309/100)</f>
        <v/>
      </c>
      <c r="R3309" s="7" t="n"/>
      <c r="X3309" s="7" t="n"/>
      <c r="Y3309" s="7" t="n"/>
      <c r="AB3309">
        <f>IF($E3309="","",IF($AQ3309=1,0,IF($AP3309=1,Settings!$C$6,Settings!$C$7))*100)</f>
        <v/>
      </c>
      <c r="AC3309" s="7">
        <f>IF($E3309="","",Y3309*AB3309/100)</f>
        <v/>
      </c>
      <c r="AD3309" s="7">
        <f>IF($E3309="","",Y3309-AC3309)</f>
        <v/>
      </c>
      <c r="AE3309" s="7">
        <f>IF($E3309="","",AD3309-Q3309)</f>
        <v/>
      </c>
      <c r="AI3309" s="7" t="n"/>
      <c r="AL3309" s="11" t="n"/>
      <c r="AN3309">
        <f>IF($E3309="","",IF(COUNTIF($E$2:$E3309,$E3309)=1,1,0))</f>
        <v/>
      </c>
      <c r="AO3309">
        <f>IF($AN3309=1,SUMPRODUCT(--($AR$2:$AR$4001&lt;$AR3309))+1,"")</f>
        <v/>
      </c>
      <c r="AP3309">
        <f>IF($E3309="","",IF(OR($U3309=TRUE(),$U3309="TRUE"),1,0))</f>
        <v/>
      </c>
      <c r="AQ3309">
        <f>IF($E3309="","",IF($AA3309="Yes",1,0))</f>
        <v/>
      </c>
      <c r="AR3309">
        <f>IF($AN3309=1,IFERROR(VALUE(MID($E3309,2,20)),1000000000)+ROW()/100000,"")</f>
        <v/>
      </c>
    </row>
    <row r="3310">
      <c r="G3310" s="11" t="n"/>
      <c r="Q3310" s="7">
        <f>IF($E3310="","",P3310*Y3310/100)</f>
        <v/>
      </c>
      <c r="R3310" s="7" t="n"/>
      <c r="X3310" s="7" t="n"/>
      <c r="Y3310" s="7" t="n"/>
      <c r="AB3310">
        <f>IF($E3310="","",IF($AQ3310=1,0,IF($AP3310=1,Settings!$C$6,Settings!$C$7))*100)</f>
        <v/>
      </c>
      <c r="AC3310" s="7">
        <f>IF($E3310="","",Y3310*AB3310/100)</f>
        <v/>
      </c>
      <c r="AD3310" s="7">
        <f>IF($E3310="","",Y3310-AC3310)</f>
        <v/>
      </c>
      <c r="AE3310" s="7">
        <f>IF($E3310="","",AD3310-Q3310)</f>
        <v/>
      </c>
      <c r="AI3310" s="7" t="n"/>
      <c r="AL3310" s="11" t="n"/>
      <c r="AN3310">
        <f>IF($E3310="","",IF(COUNTIF($E$2:$E3310,$E3310)=1,1,0))</f>
        <v/>
      </c>
      <c r="AO3310">
        <f>IF($AN3310=1,SUMPRODUCT(--($AR$2:$AR$4001&lt;$AR3310))+1,"")</f>
        <v/>
      </c>
      <c r="AP3310">
        <f>IF($E3310="","",IF(OR($U3310=TRUE(),$U3310="TRUE"),1,0))</f>
        <v/>
      </c>
      <c r="AQ3310">
        <f>IF($E3310="","",IF($AA3310="Yes",1,0))</f>
        <v/>
      </c>
      <c r="AR3310">
        <f>IF($AN3310=1,IFERROR(VALUE(MID($E3310,2,20)),1000000000)+ROW()/100000,"")</f>
        <v/>
      </c>
    </row>
    <row r="3311">
      <c r="G3311" s="11" t="n"/>
      <c r="Q3311" s="7">
        <f>IF($E3311="","",P3311*Y3311/100)</f>
        <v/>
      </c>
      <c r="R3311" s="7" t="n"/>
      <c r="X3311" s="7" t="n"/>
      <c r="Y3311" s="7" t="n"/>
      <c r="AB3311">
        <f>IF($E3311="","",IF($AQ3311=1,0,IF($AP3311=1,Settings!$C$6,Settings!$C$7))*100)</f>
        <v/>
      </c>
      <c r="AC3311" s="7">
        <f>IF($E3311="","",Y3311*AB3311/100)</f>
        <v/>
      </c>
      <c r="AD3311" s="7">
        <f>IF($E3311="","",Y3311-AC3311)</f>
        <v/>
      </c>
      <c r="AE3311" s="7">
        <f>IF($E3311="","",AD3311-Q3311)</f>
        <v/>
      </c>
      <c r="AI3311" s="7" t="n"/>
      <c r="AL3311" s="11" t="n"/>
      <c r="AN3311">
        <f>IF($E3311="","",IF(COUNTIF($E$2:$E3311,$E3311)=1,1,0))</f>
        <v/>
      </c>
      <c r="AO3311">
        <f>IF($AN3311=1,SUMPRODUCT(--($AR$2:$AR$4001&lt;$AR3311))+1,"")</f>
        <v/>
      </c>
      <c r="AP3311">
        <f>IF($E3311="","",IF(OR($U3311=TRUE(),$U3311="TRUE"),1,0))</f>
        <v/>
      </c>
      <c r="AQ3311">
        <f>IF($E3311="","",IF($AA3311="Yes",1,0))</f>
        <v/>
      </c>
      <c r="AR3311">
        <f>IF($AN3311=1,IFERROR(VALUE(MID($E3311,2,20)),1000000000)+ROW()/100000,"")</f>
        <v/>
      </c>
    </row>
    <row r="3312">
      <c r="G3312" s="11" t="n"/>
      <c r="Q3312" s="7">
        <f>IF($E3312="","",P3312*Y3312/100)</f>
        <v/>
      </c>
      <c r="R3312" s="7" t="n"/>
      <c r="X3312" s="7" t="n"/>
      <c r="Y3312" s="7" t="n"/>
      <c r="AB3312">
        <f>IF($E3312="","",IF($AQ3312=1,0,IF($AP3312=1,Settings!$C$6,Settings!$C$7))*100)</f>
        <v/>
      </c>
      <c r="AC3312" s="7">
        <f>IF($E3312="","",Y3312*AB3312/100)</f>
        <v/>
      </c>
      <c r="AD3312" s="7">
        <f>IF($E3312="","",Y3312-AC3312)</f>
        <v/>
      </c>
      <c r="AE3312" s="7">
        <f>IF($E3312="","",AD3312-Q3312)</f>
        <v/>
      </c>
      <c r="AI3312" s="7" t="n"/>
      <c r="AL3312" s="11" t="n"/>
      <c r="AN3312">
        <f>IF($E3312="","",IF(COUNTIF($E$2:$E3312,$E3312)=1,1,0))</f>
        <v/>
      </c>
      <c r="AO3312">
        <f>IF($AN3312=1,SUMPRODUCT(--($AR$2:$AR$4001&lt;$AR3312))+1,"")</f>
        <v/>
      </c>
      <c r="AP3312">
        <f>IF($E3312="","",IF(OR($U3312=TRUE(),$U3312="TRUE"),1,0))</f>
        <v/>
      </c>
      <c r="AQ3312">
        <f>IF($E3312="","",IF($AA3312="Yes",1,0))</f>
        <v/>
      </c>
      <c r="AR3312">
        <f>IF($AN3312=1,IFERROR(VALUE(MID($E3312,2,20)),1000000000)+ROW()/100000,"")</f>
        <v/>
      </c>
    </row>
    <row r="3313">
      <c r="G3313" s="11" t="n"/>
      <c r="Q3313" s="7">
        <f>IF($E3313="","",P3313*Y3313/100)</f>
        <v/>
      </c>
      <c r="R3313" s="7" t="n"/>
      <c r="X3313" s="7" t="n"/>
      <c r="Y3313" s="7" t="n"/>
      <c r="AB3313">
        <f>IF($E3313="","",IF($AQ3313=1,0,IF($AP3313=1,Settings!$C$6,Settings!$C$7))*100)</f>
        <v/>
      </c>
      <c r="AC3313" s="7">
        <f>IF($E3313="","",Y3313*AB3313/100)</f>
        <v/>
      </c>
      <c r="AD3313" s="7">
        <f>IF($E3313="","",Y3313-AC3313)</f>
        <v/>
      </c>
      <c r="AE3313" s="7">
        <f>IF($E3313="","",AD3313-Q3313)</f>
        <v/>
      </c>
      <c r="AI3313" s="7" t="n"/>
      <c r="AL3313" s="11" t="n"/>
      <c r="AN3313">
        <f>IF($E3313="","",IF(COUNTIF($E$2:$E3313,$E3313)=1,1,0))</f>
        <v/>
      </c>
      <c r="AO3313">
        <f>IF($AN3313=1,SUMPRODUCT(--($AR$2:$AR$4001&lt;$AR3313))+1,"")</f>
        <v/>
      </c>
      <c r="AP3313">
        <f>IF($E3313="","",IF(OR($U3313=TRUE(),$U3313="TRUE"),1,0))</f>
        <v/>
      </c>
      <c r="AQ3313">
        <f>IF($E3313="","",IF($AA3313="Yes",1,0))</f>
        <v/>
      </c>
      <c r="AR3313">
        <f>IF($AN3313=1,IFERROR(VALUE(MID($E3313,2,20)),1000000000)+ROW()/100000,"")</f>
        <v/>
      </c>
    </row>
    <row r="3314">
      <c r="G3314" s="11" t="n"/>
      <c r="Q3314" s="7">
        <f>IF($E3314="","",P3314*Y3314/100)</f>
        <v/>
      </c>
      <c r="R3314" s="7" t="n"/>
      <c r="X3314" s="7" t="n"/>
      <c r="Y3314" s="7" t="n"/>
      <c r="AB3314">
        <f>IF($E3314="","",IF($AQ3314=1,0,IF($AP3314=1,Settings!$C$6,Settings!$C$7))*100)</f>
        <v/>
      </c>
      <c r="AC3314" s="7">
        <f>IF($E3314="","",Y3314*AB3314/100)</f>
        <v/>
      </c>
      <c r="AD3314" s="7">
        <f>IF($E3314="","",Y3314-AC3314)</f>
        <v/>
      </c>
      <c r="AE3314" s="7">
        <f>IF($E3314="","",AD3314-Q3314)</f>
        <v/>
      </c>
      <c r="AI3314" s="7" t="n"/>
      <c r="AL3314" s="11" t="n"/>
      <c r="AN3314">
        <f>IF($E3314="","",IF(COUNTIF($E$2:$E3314,$E3314)=1,1,0))</f>
        <v/>
      </c>
      <c r="AO3314">
        <f>IF($AN3314=1,SUMPRODUCT(--($AR$2:$AR$4001&lt;$AR3314))+1,"")</f>
        <v/>
      </c>
      <c r="AP3314">
        <f>IF($E3314="","",IF(OR($U3314=TRUE(),$U3314="TRUE"),1,0))</f>
        <v/>
      </c>
      <c r="AQ3314">
        <f>IF($E3314="","",IF($AA3314="Yes",1,0))</f>
        <v/>
      </c>
      <c r="AR3314">
        <f>IF($AN3314=1,IFERROR(VALUE(MID($E3314,2,20)),1000000000)+ROW()/100000,"")</f>
        <v/>
      </c>
    </row>
    <row r="3315">
      <c r="G3315" s="11" t="n"/>
      <c r="Q3315" s="7">
        <f>IF($E3315="","",P3315*Y3315/100)</f>
        <v/>
      </c>
      <c r="R3315" s="7" t="n"/>
      <c r="X3315" s="7" t="n"/>
      <c r="Y3315" s="7" t="n"/>
      <c r="AB3315">
        <f>IF($E3315="","",IF($AQ3315=1,0,IF($AP3315=1,Settings!$C$6,Settings!$C$7))*100)</f>
        <v/>
      </c>
      <c r="AC3315" s="7">
        <f>IF($E3315="","",Y3315*AB3315/100)</f>
        <v/>
      </c>
      <c r="AD3315" s="7">
        <f>IF($E3315="","",Y3315-AC3315)</f>
        <v/>
      </c>
      <c r="AE3315" s="7">
        <f>IF($E3315="","",AD3315-Q3315)</f>
        <v/>
      </c>
      <c r="AI3315" s="7" t="n"/>
      <c r="AL3315" s="11" t="n"/>
      <c r="AN3315">
        <f>IF($E3315="","",IF(COUNTIF($E$2:$E3315,$E3315)=1,1,0))</f>
        <v/>
      </c>
      <c r="AO3315">
        <f>IF($AN3315=1,SUMPRODUCT(--($AR$2:$AR$4001&lt;$AR3315))+1,"")</f>
        <v/>
      </c>
      <c r="AP3315">
        <f>IF($E3315="","",IF(OR($U3315=TRUE(),$U3315="TRUE"),1,0))</f>
        <v/>
      </c>
      <c r="AQ3315">
        <f>IF($E3315="","",IF($AA3315="Yes",1,0))</f>
        <v/>
      </c>
      <c r="AR3315">
        <f>IF($AN3315=1,IFERROR(VALUE(MID($E3315,2,20)),1000000000)+ROW()/100000,"")</f>
        <v/>
      </c>
    </row>
    <row r="3316">
      <c r="G3316" s="11" t="n"/>
      <c r="Q3316" s="7">
        <f>IF($E3316="","",P3316*Y3316/100)</f>
        <v/>
      </c>
      <c r="R3316" s="7" t="n"/>
      <c r="X3316" s="7" t="n"/>
      <c r="Y3316" s="7" t="n"/>
      <c r="AB3316">
        <f>IF($E3316="","",IF($AQ3316=1,0,IF($AP3316=1,Settings!$C$6,Settings!$C$7))*100)</f>
        <v/>
      </c>
      <c r="AC3316" s="7">
        <f>IF($E3316="","",Y3316*AB3316/100)</f>
        <v/>
      </c>
      <c r="AD3316" s="7">
        <f>IF($E3316="","",Y3316-AC3316)</f>
        <v/>
      </c>
      <c r="AE3316" s="7">
        <f>IF($E3316="","",AD3316-Q3316)</f>
        <v/>
      </c>
      <c r="AI3316" s="7" t="n"/>
      <c r="AL3316" s="11" t="n"/>
      <c r="AN3316">
        <f>IF($E3316="","",IF(COUNTIF($E$2:$E3316,$E3316)=1,1,0))</f>
        <v/>
      </c>
      <c r="AO3316">
        <f>IF($AN3316=1,SUMPRODUCT(--($AR$2:$AR$4001&lt;$AR3316))+1,"")</f>
        <v/>
      </c>
      <c r="AP3316">
        <f>IF($E3316="","",IF(OR($U3316=TRUE(),$U3316="TRUE"),1,0))</f>
        <v/>
      </c>
      <c r="AQ3316">
        <f>IF($E3316="","",IF($AA3316="Yes",1,0))</f>
        <v/>
      </c>
      <c r="AR3316">
        <f>IF($AN3316=1,IFERROR(VALUE(MID($E3316,2,20)),1000000000)+ROW()/100000,"")</f>
        <v/>
      </c>
    </row>
    <row r="3317">
      <c r="G3317" s="11" t="n"/>
      <c r="Q3317" s="7">
        <f>IF($E3317="","",P3317*Y3317/100)</f>
        <v/>
      </c>
      <c r="R3317" s="7" t="n"/>
      <c r="X3317" s="7" t="n"/>
      <c r="Y3317" s="7" t="n"/>
      <c r="AB3317">
        <f>IF($E3317="","",IF($AQ3317=1,0,IF($AP3317=1,Settings!$C$6,Settings!$C$7))*100)</f>
        <v/>
      </c>
      <c r="AC3317" s="7">
        <f>IF($E3317="","",Y3317*AB3317/100)</f>
        <v/>
      </c>
      <c r="AD3317" s="7">
        <f>IF($E3317="","",Y3317-AC3317)</f>
        <v/>
      </c>
      <c r="AE3317" s="7">
        <f>IF($E3317="","",AD3317-Q3317)</f>
        <v/>
      </c>
      <c r="AI3317" s="7" t="n"/>
      <c r="AL3317" s="11" t="n"/>
      <c r="AN3317">
        <f>IF($E3317="","",IF(COUNTIF($E$2:$E3317,$E3317)=1,1,0))</f>
        <v/>
      </c>
      <c r="AO3317">
        <f>IF($AN3317=1,SUMPRODUCT(--($AR$2:$AR$4001&lt;$AR3317))+1,"")</f>
        <v/>
      </c>
      <c r="AP3317">
        <f>IF($E3317="","",IF(OR($U3317=TRUE(),$U3317="TRUE"),1,0))</f>
        <v/>
      </c>
      <c r="AQ3317">
        <f>IF($E3317="","",IF($AA3317="Yes",1,0))</f>
        <v/>
      </c>
      <c r="AR3317">
        <f>IF($AN3317=1,IFERROR(VALUE(MID($E3317,2,20)),1000000000)+ROW()/100000,"")</f>
        <v/>
      </c>
    </row>
    <row r="3318">
      <c r="G3318" s="11" t="n"/>
      <c r="Q3318" s="7">
        <f>IF($E3318="","",P3318*Y3318/100)</f>
        <v/>
      </c>
      <c r="R3318" s="7" t="n"/>
      <c r="X3318" s="7" t="n"/>
      <c r="Y3318" s="7" t="n"/>
      <c r="AB3318">
        <f>IF($E3318="","",IF($AQ3318=1,0,IF($AP3318=1,Settings!$C$6,Settings!$C$7))*100)</f>
        <v/>
      </c>
      <c r="AC3318" s="7">
        <f>IF($E3318="","",Y3318*AB3318/100)</f>
        <v/>
      </c>
      <c r="AD3318" s="7">
        <f>IF($E3318="","",Y3318-AC3318)</f>
        <v/>
      </c>
      <c r="AE3318" s="7">
        <f>IF($E3318="","",AD3318-Q3318)</f>
        <v/>
      </c>
      <c r="AI3318" s="7" t="n"/>
      <c r="AL3318" s="11" t="n"/>
      <c r="AN3318">
        <f>IF($E3318="","",IF(COUNTIF($E$2:$E3318,$E3318)=1,1,0))</f>
        <v/>
      </c>
      <c r="AO3318">
        <f>IF($AN3318=1,SUMPRODUCT(--($AR$2:$AR$4001&lt;$AR3318))+1,"")</f>
        <v/>
      </c>
      <c r="AP3318">
        <f>IF($E3318="","",IF(OR($U3318=TRUE(),$U3318="TRUE"),1,0))</f>
        <v/>
      </c>
      <c r="AQ3318">
        <f>IF($E3318="","",IF($AA3318="Yes",1,0))</f>
        <v/>
      </c>
      <c r="AR3318">
        <f>IF($AN3318=1,IFERROR(VALUE(MID($E3318,2,20)),1000000000)+ROW()/100000,"")</f>
        <v/>
      </c>
    </row>
    <row r="3319">
      <c r="G3319" s="11" t="n"/>
      <c r="Q3319" s="7">
        <f>IF($E3319="","",P3319*Y3319/100)</f>
        <v/>
      </c>
      <c r="R3319" s="7" t="n"/>
      <c r="X3319" s="7" t="n"/>
      <c r="Y3319" s="7" t="n"/>
      <c r="AB3319">
        <f>IF($E3319="","",IF($AQ3319=1,0,IF($AP3319=1,Settings!$C$6,Settings!$C$7))*100)</f>
        <v/>
      </c>
      <c r="AC3319" s="7">
        <f>IF($E3319="","",Y3319*AB3319/100)</f>
        <v/>
      </c>
      <c r="AD3319" s="7">
        <f>IF($E3319="","",Y3319-AC3319)</f>
        <v/>
      </c>
      <c r="AE3319" s="7">
        <f>IF($E3319="","",AD3319-Q3319)</f>
        <v/>
      </c>
      <c r="AI3319" s="7" t="n"/>
      <c r="AL3319" s="11" t="n"/>
      <c r="AN3319">
        <f>IF($E3319="","",IF(COUNTIF($E$2:$E3319,$E3319)=1,1,0))</f>
        <v/>
      </c>
      <c r="AO3319">
        <f>IF($AN3319=1,SUMPRODUCT(--($AR$2:$AR$4001&lt;$AR3319))+1,"")</f>
        <v/>
      </c>
      <c r="AP3319">
        <f>IF($E3319="","",IF(OR($U3319=TRUE(),$U3319="TRUE"),1,0))</f>
        <v/>
      </c>
      <c r="AQ3319">
        <f>IF($E3319="","",IF($AA3319="Yes",1,0))</f>
        <v/>
      </c>
      <c r="AR3319">
        <f>IF($AN3319=1,IFERROR(VALUE(MID($E3319,2,20)),1000000000)+ROW()/100000,"")</f>
        <v/>
      </c>
    </row>
    <row r="3320">
      <c r="G3320" s="11" t="n"/>
      <c r="Q3320" s="7">
        <f>IF($E3320="","",P3320*Y3320/100)</f>
        <v/>
      </c>
      <c r="R3320" s="7" t="n"/>
      <c r="X3320" s="7" t="n"/>
      <c r="Y3320" s="7" t="n"/>
      <c r="AB3320">
        <f>IF($E3320="","",IF($AQ3320=1,0,IF($AP3320=1,Settings!$C$6,Settings!$C$7))*100)</f>
        <v/>
      </c>
      <c r="AC3320" s="7">
        <f>IF($E3320="","",Y3320*AB3320/100)</f>
        <v/>
      </c>
      <c r="AD3320" s="7">
        <f>IF($E3320="","",Y3320-AC3320)</f>
        <v/>
      </c>
      <c r="AE3320" s="7">
        <f>IF($E3320="","",AD3320-Q3320)</f>
        <v/>
      </c>
      <c r="AI3320" s="7" t="n"/>
      <c r="AL3320" s="11" t="n"/>
      <c r="AN3320">
        <f>IF($E3320="","",IF(COUNTIF($E$2:$E3320,$E3320)=1,1,0))</f>
        <v/>
      </c>
      <c r="AO3320">
        <f>IF($AN3320=1,SUMPRODUCT(--($AR$2:$AR$4001&lt;$AR3320))+1,"")</f>
        <v/>
      </c>
      <c r="AP3320">
        <f>IF($E3320="","",IF(OR($U3320=TRUE(),$U3320="TRUE"),1,0))</f>
        <v/>
      </c>
      <c r="AQ3320">
        <f>IF($E3320="","",IF($AA3320="Yes",1,0))</f>
        <v/>
      </c>
      <c r="AR3320">
        <f>IF($AN3320=1,IFERROR(VALUE(MID($E3320,2,20)),1000000000)+ROW()/100000,"")</f>
        <v/>
      </c>
    </row>
    <row r="3321">
      <c r="G3321" s="11" t="n"/>
      <c r="Q3321" s="7">
        <f>IF($E3321="","",P3321*Y3321/100)</f>
        <v/>
      </c>
      <c r="R3321" s="7" t="n"/>
      <c r="X3321" s="7" t="n"/>
      <c r="Y3321" s="7" t="n"/>
      <c r="AB3321">
        <f>IF($E3321="","",IF($AQ3321=1,0,IF($AP3321=1,Settings!$C$6,Settings!$C$7))*100)</f>
        <v/>
      </c>
      <c r="AC3321" s="7">
        <f>IF($E3321="","",Y3321*AB3321/100)</f>
        <v/>
      </c>
      <c r="AD3321" s="7">
        <f>IF($E3321="","",Y3321-AC3321)</f>
        <v/>
      </c>
      <c r="AE3321" s="7">
        <f>IF($E3321="","",AD3321-Q3321)</f>
        <v/>
      </c>
      <c r="AI3321" s="7" t="n"/>
      <c r="AL3321" s="11" t="n"/>
      <c r="AN3321">
        <f>IF($E3321="","",IF(COUNTIF($E$2:$E3321,$E3321)=1,1,0))</f>
        <v/>
      </c>
      <c r="AO3321">
        <f>IF($AN3321=1,SUMPRODUCT(--($AR$2:$AR$4001&lt;$AR3321))+1,"")</f>
        <v/>
      </c>
      <c r="AP3321">
        <f>IF($E3321="","",IF(OR($U3321=TRUE(),$U3321="TRUE"),1,0))</f>
        <v/>
      </c>
      <c r="AQ3321">
        <f>IF($E3321="","",IF($AA3321="Yes",1,0))</f>
        <v/>
      </c>
      <c r="AR3321">
        <f>IF($AN3321=1,IFERROR(VALUE(MID($E3321,2,20)),1000000000)+ROW()/100000,"")</f>
        <v/>
      </c>
    </row>
    <row r="3322">
      <c r="G3322" s="11" t="n"/>
      <c r="Q3322" s="7">
        <f>IF($E3322="","",P3322*Y3322/100)</f>
        <v/>
      </c>
      <c r="R3322" s="7" t="n"/>
      <c r="X3322" s="7" t="n"/>
      <c r="Y3322" s="7" t="n"/>
      <c r="AB3322">
        <f>IF($E3322="","",IF($AQ3322=1,0,IF($AP3322=1,Settings!$C$6,Settings!$C$7))*100)</f>
        <v/>
      </c>
      <c r="AC3322" s="7">
        <f>IF($E3322="","",Y3322*AB3322/100)</f>
        <v/>
      </c>
      <c r="AD3322" s="7">
        <f>IF($E3322="","",Y3322-AC3322)</f>
        <v/>
      </c>
      <c r="AE3322" s="7">
        <f>IF($E3322="","",AD3322-Q3322)</f>
        <v/>
      </c>
      <c r="AI3322" s="7" t="n"/>
      <c r="AL3322" s="11" t="n"/>
      <c r="AN3322">
        <f>IF($E3322="","",IF(COUNTIF($E$2:$E3322,$E3322)=1,1,0))</f>
        <v/>
      </c>
      <c r="AO3322">
        <f>IF($AN3322=1,SUMPRODUCT(--($AR$2:$AR$4001&lt;$AR3322))+1,"")</f>
        <v/>
      </c>
      <c r="AP3322">
        <f>IF($E3322="","",IF(OR($U3322=TRUE(),$U3322="TRUE"),1,0))</f>
        <v/>
      </c>
      <c r="AQ3322">
        <f>IF($E3322="","",IF($AA3322="Yes",1,0))</f>
        <v/>
      </c>
      <c r="AR3322">
        <f>IF($AN3322=1,IFERROR(VALUE(MID($E3322,2,20)),1000000000)+ROW()/100000,"")</f>
        <v/>
      </c>
    </row>
    <row r="3323">
      <c r="G3323" s="11" t="n"/>
      <c r="Q3323" s="7">
        <f>IF($E3323="","",P3323*Y3323/100)</f>
        <v/>
      </c>
      <c r="R3323" s="7" t="n"/>
      <c r="X3323" s="7" t="n"/>
      <c r="Y3323" s="7" t="n"/>
      <c r="AB3323">
        <f>IF($E3323="","",IF($AQ3323=1,0,IF($AP3323=1,Settings!$C$6,Settings!$C$7))*100)</f>
        <v/>
      </c>
      <c r="AC3323" s="7">
        <f>IF($E3323="","",Y3323*AB3323/100)</f>
        <v/>
      </c>
      <c r="AD3323" s="7">
        <f>IF($E3323="","",Y3323-AC3323)</f>
        <v/>
      </c>
      <c r="AE3323" s="7">
        <f>IF($E3323="","",AD3323-Q3323)</f>
        <v/>
      </c>
      <c r="AI3323" s="7" t="n"/>
      <c r="AL3323" s="11" t="n"/>
      <c r="AN3323">
        <f>IF($E3323="","",IF(COUNTIF($E$2:$E3323,$E3323)=1,1,0))</f>
        <v/>
      </c>
      <c r="AO3323">
        <f>IF($AN3323=1,SUMPRODUCT(--($AR$2:$AR$4001&lt;$AR3323))+1,"")</f>
        <v/>
      </c>
      <c r="AP3323">
        <f>IF($E3323="","",IF(OR($U3323=TRUE(),$U3323="TRUE"),1,0))</f>
        <v/>
      </c>
      <c r="AQ3323">
        <f>IF($E3323="","",IF($AA3323="Yes",1,0))</f>
        <v/>
      </c>
      <c r="AR3323">
        <f>IF($AN3323=1,IFERROR(VALUE(MID($E3323,2,20)),1000000000)+ROW()/100000,"")</f>
        <v/>
      </c>
    </row>
    <row r="3324">
      <c r="G3324" s="11" t="n"/>
      <c r="Q3324" s="7">
        <f>IF($E3324="","",P3324*Y3324/100)</f>
        <v/>
      </c>
      <c r="R3324" s="7" t="n"/>
      <c r="X3324" s="7" t="n"/>
      <c r="Y3324" s="7" t="n"/>
      <c r="AB3324">
        <f>IF($E3324="","",IF($AQ3324=1,0,IF($AP3324=1,Settings!$C$6,Settings!$C$7))*100)</f>
        <v/>
      </c>
      <c r="AC3324" s="7">
        <f>IF($E3324="","",Y3324*AB3324/100)</f>
        <v/>
      </c>
      <c r="AD3324" s="7">
        <f>IF($E3324="","",Y3324-AC3324)</f>
        <v/>
      </c>
      <c r="AE3324" s="7">
        <f>IF($E3324="","",AD3324-Q3324)</f>
        <v/>
      </c>
      <c r="AI3324" s="7" t="n"/>
      <c r="AL3324" s="11" t="n"/>
      <c r="AN3324">
        <f>IF($E3324="","",IF(COUNTIF($E$2:$E3324,$E3324)=1,1,0))</f>
        <v/>
      </c>
      <c r="AO3324">
        <f>IF($AN3324=1,SUMPRODUCT(--($AR$2:$AR$4001&lt;$AR3324))+1,"")</f>
        <v/>
      </c>
      <c r="AP3324">
        <f>IF($E3324="","",IF(OR($U3324=TRUE(),$U3324="TRUE"),1,0))</f>
        <v/>
      </c>
      <c r="AQ3324">
        <f>IF($E3324="","",IF($AA3324="Yes",1,0))</f>
        <v/>
      </c>
      <c r="AR3324">
        <f>IF($AN3324=1,IFERROR(VALUE(MID($E3324,2,20)),1000000000)+ROW()/100000,"")</f>
        <v/>
      </c>
    </row>
    <row r="3325">
      <c r="G3325" s="11" t="n"/>
      <c r="Q3325" s="7">
        <f>IF($E3325="","",P3325*Y3325/100)</f>
        <v/>
      </c>
      <c r="R3325" s="7" t="n"/>
      <c r="X3325" s="7" t="n"/>
      <c r="Y3325" s="7" t="n"/>
      <c r="AB3325">
        <f>IF($E3325="","",IF($AQ3325=1,0,IF($AP3325=1,Settings!$C$6,Settings!$C$7))*100)</f>
        <v/>
      </c>
      <c r="AC3325" s="7">
        <f>IF($E3325="","",Y3325*AB3325/100)</f>
        <v/>
      </c>
      <c r="AD3325" s="7">
        <f>IF($E3325="","",Y3325-AC3325)</f>
        <v/>
      </c>
      <c r="AE3325" s="7">
        <f>IF($E3325="","",AD3325-Q3325)</f>
        <v/>
      </c>
      <c r="AI3325" s="7" t="n"/>
      <c r="AL3325" s="11" t="n"/>
      <c r="AN3325">
        <f>IF($E3325="","",IF(COUNTIF($E$2:$E3325,$E3325)=1,1,0))</f>
        <v/>
      </c>
      <c r="AO3325">
        <f>IF($AN3325=1,SUMPRODUCT(--($AR$2:$AR$4001&lt;$AR3325))+1,"")</f>
        <v/>
      </c>
      <c r="AP3325">
        <f>IF($E3325="","",IF(OR($U3325=TRUE(),$U3325="TRUE"),1,0))</f>
        <v/>
      </c>
      <c r="AQ3325">
        <f>IF($E3325="","",IF($AA3325="Yes",1,0))</f>
        <v/>
      </c>
      <c r="AR3325">
        <f>IF($AN3325=1,IFERROR(VALUE(MID($E3325,2,20)),1000000000)+ROW()/100000,"")</f>
        <v/>
      </c>
    </row>
    <row r="3326">
      <c r="G3326" s="11" t="n"/>
      <c r="Q3326" s="7">
        <f>IF($E3326="","",P3326*Y3326/100)</f>
        <v/>
      </c>
      <c r="R3326" s="7" t="n"/>
      <c r="X3326" s="7" t="n"/>
      <c r="Y3326" s="7" t="n"/>
      <c r="AB3326">
        <f>IF($E3326="","",IF($AQ3326=1,0,IF($AP3326=1,Settings!$C$6,Settings!$C$7))*100)</f>
        <v/>
      </c>
      <c r="AC3326" s="7">
        <f>IF($E3326="","",Y3326*AB3326/100)</f>
        <v/>
      </c>
      <c r="AD3326" s="7">
        <f>IF($E3326="","",Y3326-AC3326)</f>
        <v/>
      </c>
      <c r="AE3326" s="7">
        <f>IF($E3326="","",AD3326-Q3326)</f>
        <v/>
      </c>
      <c r="AI3326" s="7" t="n"/>
      <c r="AL3326" s="11" t="n"/>
      <c r="AN3326">
        <f>IF($E3326="","",IF(COUNTIF($E$2:$E3326,$E3326)=1,1,0))</f>
        <v/>
      </c>
      <c r="AO3326">
        <f>IF($AN3326=1,SUMPRODUCT(--($AR$2:$AR$4001&lt;$AR3326))+1,"")</f>
        <v/>
      </c>
      <c r="AP3326">
        <f>IF($E3326="","",IF(OR($U3326=TRUE(),$U3326="TRUE"),1,0))</f>
        <v/>
      </c>
      <c r="AQ3326">
        <f>IF($E3326="","",IF($AA3326="Yes",1,0))</f>
        <v/>
      </c>
      <c r="AR3326">
        <f>IF($AN3326=1,IFERROR(VALUE(MID($E3326,2,20)),1000000000)+ROW()/100000,"")</f>
        <v/>
      </c>
    </row>
    <row r="3327">
      <c r="G3327" s="11" t="n"/>
      <c r="Q3327" s="7">
        <f>IF($E3327="","",P3327*Y3327/100)</f>
        <v/>
      </c>
      <c r="R3327" s="7" t="n"/>
      <c r="X3327" s="7" t="n"/>
      <c r="Y3327" s="7" t="n"/>
      <c r="AB3327">
        <f>IF($E3327="","",IF($AQ3327=1,0,IF($AP3327=1,Settings!$C$6,Settings!$C$7))*100)</f>
        <v/>
      </c>
      <c r="AC3327" s="7">
        <f>IF($E3327="","",Y3327*AB3327/100)</f>
        <v/>
      </c>
      <c r="AD3327" s="7">
        <f>IF($E3327="","",Y3327-AC3327)</f>
        <v/>
      </c>
      <c r="AE3327" s="7">
        <f>IF($E3327="","",AD3327-Q3327)</f>
        <v/>
      </c>
      <c r="AI3327" s="7" t="n"/>
      <c r="AL3327" s="11" t="n"/>
      <c r="AN3327">
        <f>IF($E3327="","",IF(COUNTIF($E$2:$E3327,$E3327)=1,1,0))</f>
        <v/>
      </c>
      <c r="AO3327">
        <f>IF($AN3327=1,SUMPRODUCT(--($AR$2:$AR$4001&lt;$AR3327))+1,"")</f>
        <v/>
      </c>
      <c r="AP3327">
        <f>IF($E3327="","",IF(OR($U3327=TRUE(),$U3327="TRUE"),1,0))</f>
        <v/>
      </c>
      <c r="AQ3327">
        <f>IF($E3327="","",IF($AA3327="Yes",1,0))</f>
        <v/>
      </c>
      <c r="AR3327">
        <f>IF($AN3327=1,IFERROR(VALUE(MID($E3327,2,20)),1000000000)+ROW()/100000,"")</f>
        <v/>
      </c>
    </row>
    <row r="3328">
      <c r="G3328" s="11" t="n"/>
      <c r="Q3328" s="7">
        <f>IF($E3328="","",P3328*Y3328/100)</f>
        <v/>
      </c>
      <c r="R3328" s="7" t="n"/>
      <c r="X3328" s="7" t="n"/>
      <c r="Y3328" s="7" t="n"/>
      <c r="AB3328">
        <f>IF($E3328="","",IF($AQ3328=1,0,IF($AP3328=1,Settings!$C$6,Settings!$C$7))*100)</f>
        <v/>
      </c>
      <c r="AC3328" s="7">
        <f>IF($E3328="","",Y3328*AB3328/100)</f>
        <v/>
      </c>
      <c r="AD3328" s="7">
        <f>IF($E3328="","",Y3328-AC3328)</f>
        <v/>
      </c>
      <c r="AE3328" s="7">
        <f>IF($E3328="","",AD3328-Q3328)</f>
        <v/>
      </c>
      <c r="AI3328" s="7" t="n"/>
      <c r="AL3328" s="11" t="n"/>
      <c r="AN3328">
        <f>IF($E3328="","",IF(COUNTIF($E$2:$E3328,$E3328)=1,1,0))</f>
        <v/>
      </c>
      <c r="AO3328">
        <f>IF($AN3328=1,SUMPRODUCT(--($AR$2:$AR$4001&lt;$AR3328))+1,"")</f>
        <v/>
      </c>
      <c r="AP3328">
        <f>IF($E3328="","",IF(OR($U3328=TRUE(),$U3328="TRUE"),1,0))</f>
        <v/>
      </c>
      <c r="AQ3328">
        <f>IF($E3328="","",IF($AA3328="Yes",1,0))</f>
        <v/>
      </c>
      <c r="AR3328">
        <f>IF($AN3328=1,IFERROR(VALUE(MID($E3328,2,20)),1000000000)+ROW()/100000,"")</f>
        <v/>
      </c>
    </row>
    <row r="3329">
      <c r="G3329" s="11" t="n"/>
      <c r="Q3329" s="7">
        <f>IF($E3329="","",P3329*Y3329/100)</f>
        <v/>
      </c>
      <c r="R3329" s="7" t="n"/>
      <c r="X3329" s="7" t="n"/>
      <c r="Y3329" s="7" t="n"/>
      <c r="AB3329">
        <f>IF($E3329="","",IF($AQ3329=1,0,IF($AP3329=1,Settings!$C$6,Settings!$C$7))*100)</f>
        <v/>
      </c>
      <c r="AC3329" s="7">
        <f>IF($E3329="","",Y3329*AB3329/100)</f>
        <v/>
      </c>
      <c r="AD3329" s="7">
        <f>IF($E3329="","",Y3329-AC3329)</f>
        <v/>
      </c>
      <c r="AE3329" s="7">
        <f>IF($E3329="","",AD3329-Q3329)</f>
        <v/>
      </c>
      <c r="AI3329" s="7" t="n"/>
      <c r="AL3329" s="11" t="n"/>
      <c r="AN3329">
        <f>IF($E3329="","",IF(COUNTIF($E$2:$E3329,$E3329)=1,1,0))</f>
        <v/>
      </c>
      <c r="AO3329">
        <f>IF($AN3329=1,SUMPRODUCT(--($AR$2:$AR$4001&lt;$AR3329))+1,"")</f>
        <v/>
      </c>
      <c r="AP3329">
        <f>IF($E3329="","",IF(OR($U3329=TRUE(),$U3329="TRUE"),1,0))</f>
        <v/>
      </c>
      <c r="AQ3329">
        <f>IF($E3329="","",IF($AA3329="Yes",1,0))</f>
        <v/>
      </c>
      <c r="AR3329">
        <f>IF($AN3329=1,IFERROR(VALUE(MID($E3329,2,20)),1000000000)+ROW()/100000,"")</f>
        <v/>
      </c>
    </row>
    <row r="3330">
      <c r="G3330" s="11" t="n"/>
      <c r="Q3330" s="7">
        <f>IF($E3330="","",P3330*Y3330/100)</f>
        <v/>
      </c>
      <c r="R3330" s="7" t="n"/>
      <c r="X3330" s="7" t="n"/>
      <c r="Y3330" s="7" t="n"/>
      <c r="AB3330">
        <f>IF($E3330="","",IF($AQ3330=1,0,IF($AP3330=1,Settings!$C$6,Settings!$C$7))*100)</f>
        <v/>
      </c>
      <c r="AC3330" s="7">
        <f>IF($E3330="","",Y3330*AB3330/100)</f>
        <v/>
      </c>
      <c r="AD3330" s="7">
        <f>IF($E3330="","",Y3330-AC3330)</f>
        <v/>
      </c>
      <c r="AE3330" s="7">
        <f>IF($E3330="","",AD3330-Q3330)</f>
        <v/>
      </c>
      <c r="AI3330" s="7" t="n"/>
      <c r="AL3330" s="11" t="n"/>
      <c r="AN3330">
        <f>IF($E3330="","",IF(COUNTIF($E$2:$E3330,$E3330)=1,1,0))</f>
        <v/>
      </c>
      <c r="AO3330">
        <f>IF($AN3330=1,SUMPRODUCT(--($AR$2:$AR$4001&lt;$AR3330))+1,"")</f>
        <v/>
      </c>
      <c r="AP3330">
        <f>IF($E3330="","",IF(OR($U3330=TRUE(),$U3330="TRUE"),1,0))</f>
        <v/>
      </c>
      <c r="AQ3330">
        <f>IF($E3330="","",IF($AA3330="Yes",1,0))</f>
        <v/>
      </c>
      <c r="AR3330">
        <f>IF($AN3330=1,IFERROR(VALUE(MID($E3330,2,20)),1000000000)+ROW()/100000,"")</f>
        <v/>
      </c>
    </row>
    <row r="3331">
      <c r="G3331" s="11" t="n"/>
      <c r="Q3331" s="7">
        <f>IF($E3331="","",P3331*Y3331/100)</f>
        <v/>
      </c>
      <c r="R3331" s="7" t="n"/>
      <c r="X3331" s="7" t="n"/>
      <c r="Y3331" s="7" t="n"/>
      <c r="AB3331">
        <f>IF($E3331="","",IF($AQ3331=1,0,IF($AP3331=1,Settings!$C$6,Settings!$C$7))*100)</f>
        <v/>
      </c>
      <c r="AC3331" s="7">
        <f>IF($E3331="","",Y3331*AB3331/100)</f>
        <v/>
      </c>
      <c r="AD3331" s="7">
        <f>IF($E3331="","",Y3331-AC3331)</f>
        <v/>
      </c>
      <c r="AE3331" s="7">
        <f>IF($E3331="","",AD3331-Q3331)</f>
        <v/>
      </c>
      <c r="AI3331" s="7" t="n"/>
      <c r="AL3331" s="11" t="n"/>
      <c r="AN3331">
        <f>IF($E3331="","",IF(COUNTIF($E$2:$E3331,$E3331)=1,1,0))</f>
        <v/>
      </c>
      <c r="AO3331">
        <f>IF($AN3331=1,SUMPRODUCT(--($AR$2:$AR$4001&lt;$AR3331))+1,"")</f>
        <v/>
      </c>
      <c r="AP3331">
        <f>IF($E3331="","",IF(OR($U3331=TRUE(),$U3331="TRUE"),1,0))</f>
        <v/>
      </c>
      <c r="AQ3331">
        <f>IF($E3331="","",IF($AA3331="Yes",1,0))</f>
        <v/>
      </c>
      <c r="AR3331">
        <f>IF($AN3331=1,IFERROR(VALUE(MID($E3331,2,20)),1000000000)+ROW()/100000,"")</f>
        <v/>
      </c>
    </row>
    <row r="3332">
      <c r="G3332" s="11" t="n"/>
      <c r="Q3332" s="7">
        <f>IF($E3332="","",P3332*Y3332/100)</f>
        <v/>
      </c>
      <c r="R3332" s="7" t="n"/>
      <c r="X3332" s="7" t="n"/>
      <c r="Y3332" s="7" t="n"/>
      <c r="AB3332">
        <f>IF($E3332="","",IF($AQ3332=1,0,IF($AP3332=1,Settings!$C$6,Settings!$C$7))*100)</f>
        <v/>
      </c>
      <c r="AC3332" s="7">
        <f>IF($E3332="","",Y3332*AB3332/100)</f>
        <v/>
      </c>
      <c r="AD3332" s="7">
        <f>IF($E3332="","",Y3332-AC3332)</f>
        <v/>
      </c>
      <c r="AE3332" s="7">
        <f>IF($E3332="","",AD3332-Q3332)</f>
        <v/>
      </c>
      <c r="AI3332" s="7" t="n"/>
      <c r="AL3332" s="11" t="n"/>
      <c r="AN3332">
        <f>IF($E3332="","",IF(COUNTIF($E$2:$E3332,$E3332)=1,1,0))</f>
        <v/>
      </c>
      <c r="AO3332">
        <f>IF($AN3332=1,SUMPRODUCT(--($AR$2:$AR$4001&lt;$AR3332))+1,"")</f>
        <v/>
      </c>
      <c r="AP3332">
        <f>IF($E3332="","",IF(OR($U3332=TRUE(),$U3332="TRUE"),1,0))</f>
        <v/>
      </c>
      <c r="AQ3332">
        <f>IF($E3332="","",IF($AA3332="Yes",1,0))</f>
        <v/>
      </c>
      <c r="AR3332">
        <f>IF($AN3332=1,IFERROR(VALUE(MID($E3332,2,20)),1000000000)+ROW()/100000,"")</f>
        <v/>
      </c>
    </row>
    <row r="3333">
      <c r="G3333" s="11" t="n"/>
      <c r="Q3333" s="7">
        <f>IF($E3333="","",P3333*Y3333/100)</f>
        <v/>
      </c>
      <c r="R3333" s="7" t="n"/>
      <c r="X3333" s="7" t="n"/>
      <c r="Y3333" s="7" t="n"/>
      <c r="AB3333">
        <f>IF($E3333="","",IF($AQ3333=1,0,IF($AP3333=1,Settings!$C$6,Settings!$C$7))*100)</f>
        <v/>
      </c>
      <c r="AC3333" s="7">
        <f>IF($E3333="","",Y3333*AB3333/100)</f>
        <v/>
      </c>
      <c r="AD3333" s="7">
        <f>IF($E3333="","",Y3333-AC3333)</f>
        <v/>
      </c>
      <c r="AE3333" s="7">
        <f>IF($E3333="","",AD3333-Q3333)</f>
        <v/>
      </c>
      <c r="AI3333" s="7" t="n"/>
      <c r="AL3333" s="11" t="n"/>
      <c r="AN3333">
        <f>IF($E3333="","",IF(COUNTIF($E$2:$E3333,$E3333)=1,1,0))</f>
        <v/>
      </c>
      <c r="AO3333">
        <f>IF($AN3333=1,SUMPRODUCT(--($AR$2:$AR$4001&lt;$AR3333))+1,"")</f>
        <v/>
      </c>
      <c r="AP3333">
        <f>IF($E3333="","",IF(OR($U3333=TRUE(),$U3333="TRUE"),1,0))</f>
        <v/>
      </c>
      <c r="AQ3333">
        <f>IF($E3333="","",IF($AA3333="Yes",1,0))</f>
        <v/>
      </c>
      <c r="AR3333">
        <f>IF($AN3333=1,IFERROR(VALUE(MID($E3333,2,20)),1000000000)+ROW()/100000,"")</f>
        <v/>
      </c>
    </row>
    <row r="3334">
      <c r="G3334" s="11" t="n"/>
      <c r="Q3334" s="7">
        <f>IF($E3334="","",P3334*Y3334/100)</f>
        <v/>
      </c>
      <c r="R3334" s="7" t="n"/>
      <c r="X3334" s="7" t="n"/>
      <c r="Y3334" s="7" t="n"/>
      <c r="AB3334">
        <f>IF($E3334="","",IF($AQ3334=1,0,IF($AP3334=1,Settings!$C$6,Settings!$C$7))*100)</f>
        <v/>
      </c>
      <c r="AC3334" s="7">
        <f>IF($E3334="","",Y3334*AB3334/100)</f>
        <v/>
      </c>
      <c r="AD3334" s="7">
        <f>IF($E3334="","",Y3334-AC3334)</f>
        <v/>
      </c>
      <c r="AE3334" s="7">
        <f>IF($E3334="","",AD3334-Q3334)</f>
        <v/>
      </c>
      <c r="AI3334" s="7" t="n"/>
      <c r="AL3334" s="11" t="n"/>
      <c r="AN3334">
        <f>IF($E3334="","",IF(COUNTIF($E$2:$E3334,$E3334)=1,1,0))</f>
        <v/>
      </c>
      <c r="AO3334">
        <f>IF($AN3334=1,SUMPRODUCT(--($AR$2:$AR$4001&lt;$AR3334))+1,"")</f>
        <v/>
      </c>
      <c r="AP3334">
        <f>IF($E3334="","",IF(OR($U3334=TRUE(),$U3334="TRUE"),1,0))</f>
        <v/>
      </c>
      <c r="AQ3334">
        <f>IF($E3334="","",IF($AA3334="Yes",1,0))</f>
        <v/>
      </c>
      <c r="AR3334">
        <f>IF($AN3334=1,IFERROR(VALUE(MID($E3334,2,20)),1000000000)+ROW()/100000,"")</f>
        <v/>
      </c>
    </row>
    <row r="3335">
      <c r="G3335" s="11" t="n"/>
      <c r="Q3335" s="7">
        <f>IF($E3335="","",P3335*Y3335/100)</f>
        <v/>
      </c>
      <c r="R3335" s="7" t="n"/>
      <c r="X3335" s="7" t="n"/>
      <c r="Y3335" s="7" t="n"/>
      <c r="AB3335">
        <f>IF($E3335="","",IF($AQ3335=1,0,IF($AP3335=1,Settings!$C$6,Settings!$C$7))*100)</f>
        <v/>
      </c>
      <c r="AC3335" s="7">
        <f>IF($E3335="","",Y3335*AB3335/100)</f>
        <v/>
      </c>
      <c r="AD3335" s="7">
        <f>IF($E3335="","",Y3335-AC3335)</f>
        <v/>
      </c>
      <c r="AE3335" s="7">
        <f>IF($E3335="","",AD3335-Q3335)</f>
        <v/>
      </c>
      <c r="AI3335" s="7" t="n"/>
      <c r="AL3335" s="11" t="n"/>
      <c r="AN3335">
        <f>IF($E3335="","",IF(COUNTIF($E$2:$E3335,$E3335)=1,1,0))</f>
        <v/>
      </c>
      <c r="AO3335">
        <f>IF($AN3335=1,SUMPRODUCT(--($AR$2:$AR$4001&lt;$AR3335))+1,"")</f>
        <v/>
      </c>
      <c r="AP3335">
        <f>IF($E3335="","",IF(OR($U3335=TRUE(),$U3335="TRUE"),1,0))</f>
        <v/>
      </c>
      <c r="AQ3335">
        <f>IF($E3335="","",IF($AA3335="Yes",1,0))</f>
        <v/>
      </c>
      <c r="AR3335">
        <f>IF($AN3335=1,IFERROR(VALUE(MID($E3335,2,20)),1000000000)+ROW()/100000,"")</f>
        <v/>
      </c>
    </row>
    <row r="3336">
      <c r="G3336" s="11" t="n"/>
      <c r="Q3336" s="7">
        <f>IF($E3336="","",P3336*Y3336/100)</f>
        <v/>
      </c>
      <c r="R3336" s="7" t="n"/>
      <c r="X3336" s="7" t="n"/>
      <c r="Y3336" s="7" t="n"/>
      <c r="AB3336">
        <f>IF($E3336="","",IF($AQ3336=1,0,IF($AP3336=1,Settings!$C$6,Settings!$C$7))*100)</f>
        <v/>
      </c>
      <c r="AC3336" s="7">
        <f>IF($E3336="","",Y3336*AB3336/100)</f>
        <v/>
      </c>
      <c r="AD3336" s="7">
        <f>IF($E3336="","",Y3336-AC3336)</f>
        <v/>
      </c>
      <c r="AE3336" s="7">
        <f>IF($E3336="","",AD3336-Q3336)</f>
        <v/>
      </c>
      <c r="AI3336" s="7" t="n"/>
      <c r="AL3336" s="11" t="n"/>
      <c r="AN3336">
        <f>IF($E3336="","",IF(COUNTIF($E$2:$E3336,$E3336)=1,1,0))</f>
        <v/>
      </c>
      <c r="AO3336">
        <f>IF($AN3336=1,SUMPRODUCT(--($AR$2:$AR$4001&lt;$AR3336))+1,"")</f>
        <v/>
      </c>
      <c r="AP3336">
        <f>IF($E3336="","",IF(OR($U3336=TRUE(),$U3336="TRUE"),1,0))</f>
        <v/>
      </c>
      <c r="AQ3336">
        <f>IF($E3336="","",IF($AA3336="Yes",1,0))</f>
        <v/>
      </c>
      <c r="AR3336">
        <f>IF($AN3336=1,IFERROR(VALUE(MID($E3336,2,20)),1000000000)+ROW()/100000,"")</f>
        <v/>
      </c>
    </row>
    <row r="3337">
      <c r="G3337" s="11" t="n"/>
      <c r="Q3337" s="7">
        <f>IF($E3337="","",P3337*Y3337/100)</f>
        <v/>
      </c>
      <c r="R3337" s="7" t="n"/>
      <c r="X3337" s="7" t="n"/>
      <c r="Y3337" s="7" t="n"/>
      <c r="AB3337">
        <f>IF($E3337="","",IF($AQ3337=1,0,IF($AP3337=1,Settings!$C$6,Settings!$C$7))*100)</f>
        <v/>
      </c>
      <c r="AC3337" s="7">
        <f>IF($E3337="","",Y3337*AB3337/100)</f>
        <v/>
      </c>
      <c r="AD3337" s="7">
        <f>IF($E3337="","",Y3337-AC3337)</f>
        <v/>
      </c>
      <c r="AE3337" s="7">
        <f>IF($E3337="","",AD3337-Q3337)</f>
        <v/>
      </c>
      <c r="AI3337" s="7" t="n"/>
      <c r="AL3337" s="11" t="n"/>
      <c r="AN3337">
        <f>IF($E3337="","",IF(COUNTIF($E$2:$E3337,$E3337)=1,1,0))</f>
        <v/>
      </c>
      <c r="AO3337">
        <f>IF($AN3337=1,SUMPRODUCT(--($AR$2:$AR$4001&lt;$AR3337))+1,"")</f>
        <v/>
      </c>
      <c r="AP3337">
        <f>IF($E3337="","",IF(OR($U3337=TRUE(),$U3337="TRUE"),1,0))</f>
        <v/>
      </c>
      <c r="AQ3337">
        <f>IF($E3337="","",IF($AA3337="Yes",1,0))</f>
        <v/>
      </c>
      <c r="AR3337">
        <f>IF($AN3337=1,IFERROR(VALUE(MID($E3337,2,20)),1000000000)+ROW()/100000,"")</f>
        <v/>
      </c>
    </row>
    <row r="3338">
      <c r="G3338" s="11" t="n"/>
      <c r="Q3338" s="7">
        <f>IF($E3338="","",P3338*Y3338/100)</f>
        <v/>
      </c>
      <c r="R3338" s="7" t="n"/>
      <c r="X3338" s="7" t="n"/>
      <c r="Y3338" s="7" t="n"/>
      <c r="AB3338">
        <f>IF($E3338="","",IF($AQ3338=1,0,IF($AP3338=1,Settings!$C$6,Settings!$C$7))*100)</f>
        <v/>
      </c>
      <c r="AC3338" s="7">
        <f>IF($E3338="","",Y3338*AB3338/100)</f>
        <v/>
      </c>
      <c r="AD3338" s="7">
        <f>IF($E3338="","",Y3338-AC3338)</f>
        <v/>
      </c>
      <c r="AE3338" s="7">
        <f>IF($E3338="","",AD3338-Q3338)</f>
        <v/>
      </c>
      <c r="AI3338" s="7" t="n"/>
      <c r="AL3338" s="11" t="n"/>
      <c r="AN3338">
        <f>IF($E3338="","",IF(COUNTIF($E$2:$E3338,$E3338)=1,1,0))</f>
        <v/>
      </c>
      <c r="AO3338">
        <f>IF($AN3338=1,SUMPRODUCT(--($AR$2:$AR$4001&lt;$AR3338))+1,"")</f>
        <v/>
      </c>
      <c r="AP3338">
        <f>IF($E3338="","",IF(OR($U3338=TRUE(),$U3338="TRUE"),1,0))</f>
        <v/>
      </c>
      <c r="AQ3338">
        <f>IF($E3338="","",IF($AA3338="Yes",1,0))</f>
        <v/>
      </c>
      <c r="AR3338">
        <f>IF($AN3338=1,IFERROR(VALUE(MID($E3338,2,20)),1000000000)+ROW()/100000,"")</f>
        <v/>
      </c>
    </row>
    <row r="3339">
      <c r="G3339" s="11" t="n"/>
      <c r="Q3339" s="7">
        <f>IF($E3339="","",P3339*Y3339/100)</f>
        <v/>
      </c>
      <c r="R3339" s="7" t="n"/>
      <c r="X3339" s="7" t="n"/>
      <c r="Y3339" s="7" t="n"/>
      <c r="AB3339">
        <f>IF($E3339="","",IF($AQ3339=1,0,IF($AP3339=1,Settings!$C$6,Settings!$C$7))*100)</f>
        <v/>
      </c>
      <c r="AC3339" s="7">
        <f>IF($E3339="","",Y3339*AB3339/100)</f>
        <v/>
      </c>
      <c r="AD3339" s="7">
        <f>IF($E3339="","",Y3339-AC3339)</f>
        <v/>
      </c>
      <c r="AE3339" s="7">
        <f>IF($E3339="","",AD3339-Q3339)</f>
        <v/>
      </c>
      <c r="AI3339" s="7" t="n"/>
      <c r="AL3339" s="11" t="n"/>
      <c r="AN3339">
        <f>IF($E3339="","",IF(COUNTIF($E$2:$E3339,$E3339)=1,1,0))</f>
        <v/>
      </c>
      <c r="AO3339">
        <f>IF($AN3339=1,SUMPRODUCT(--($AR$2:$AR$4001&lt;$AR3339))+1,"")</f>
        <v/>
      </c>
      <c r="AP3339">
        <f>IF($E3339="","",IF(OR($U3339=TRUE(),$U3339="TRUE"),1,0))</f>
        <v/>
      </c>
      <c r="AQ3339">
        <f>IF($E3339="","",IF($AA3339="Yes",1,0))</f>
        <v/>
      </c>
      <c r="AR3339">
        <f>IF($AN3339=1,IFERROR(VALUE(MID($E3339,2,20)),1000000000)+ROW()/100000,"")</f>
        <v/>
      </c>
    </row>
    <row r="3340">
      <c r="G3340" s="11" t="n"/>
      <c r="Q3340" s="7">
        <f>IF($E3340="","",P3340*Y3340/100)</f>
        <v/>
      </c>
      <c r="R3340" s="7" t="n"/>
      <c r="X3340" s="7" t="n"/>
      <c r="Y3340" s="7" t="n"/>
      <c r="AB3340">
        <f>IF($E3340="","",IF($AQ3340=1,0,IF($AP3340=1,Settings!$C$6,Settings!$C$7))*100)</f>
        <v/>
      </c>
      <c r="AC3340" s="7">
        <f>IF($E3340="","",Y3340*AB3340/100)</f>
        <v/>
      </c>
      <c r="AD3340" s="7">
        <f>IF($E3340="","",Y3340-AC3340)</f>
        <v/>
      </c>
      <c r="AE3340" s="7">
        <f>IF($E3340="","",AD3340-Q3340)</f>
        <v/>
      </c>
      <c r="AI3340" s="7" t="n"/>
      <c r="AL3340" s="11" t="n"/>
      <c r="AN3340">
        <f>IF($E3340="","",IF(COUNTIF($E$2:$E3340,$E3340)=1,1,0))</f>
        <v/>
      </c>
      <c r="AO3340">
        <f>IF($AN3340=1,SUMPRODUCT(--($AR$2:$AR$4001&lt;$AR3340))+1,"")</f>
        <v/>
      </c>
      <c r="AP3340">
        <f>IF($E3340="","",IF(OR($U3340=TRUE(),$U3340="TRUE"),1,0))</f>
        <v/>
      </c>
      <c r="AQ3340">
        <f>IF($E3340="","",IF($AA3340="Yes",1,0))</f>
        <v/>
      </c>
      <c r="AR3340">
        <f>IF($AN3340=1,IFERROR(VALUE(MID($E3340,2,20)),1000000000)+ROW()/100000,"")</f>
        <v/>
      </c>
    </row>
    <row r="3341">
      <c r="G3341" s="11" t="n"/>
      <c r="Q3341" s="7">
        <f>IF($E3341="","",P3341*Y3341/100)</f>
        <v/>
      </c>
      <c r="R3341" s="7" t="n"/>
      <c r="X3341" s="7" t="n"/>
      <c r="Y3341" s="7" t="n"/>
      <c r="AB3341">
        <f>IF($E3341="","",IF($AQ3341=1,0,IF($AP3341=1,Settings!$C$6,Settings!$C$7))*100)</f>
        <v/>
      </c>
      <c r="AC3341" s="7">
        <f>IF($E3341="","",Y3341*AB3341/100)</f>
        <v/>
      </c>
      <c r="AD3341" s="7">
        <f>IF($E3341="","",Y3341-AC3341)</f>
        <v/>
      </c>
      <c r="AE3341" s="7">
        <f>IF($E3341="","",AD3341-Q3341)</f>
        <v/>
      </c>
      <c r="AI3341" s="7" t="n"/>
      <c r="AL3341" s="11" t="n"/>
      <c r="AN3341">
        <f>IF($E3341="","",IF(COUNTIF($E$2:$E3341,$E3341)=1,1,0))</f>
        <v/>
      </c>
      <c r="AO3341">
        <f>IF($AN3341=1,SUMPRODUCT(--($AR$2:$AR$4001&lt;$AR3341))+1,"")</f>
        <v/>
      </c>
      <c r="AP3341">
        <f>IF($E3341="","",IF(OR($U3341=TRUE(),$U3341="TRUE"),1,0))</f>
        <v/>
      </c>
      <c r="AQ3341">
        <f>IF($E3341="","",IF($AA3341="Yes",1,0))</f>
        <v/>
      </c>
      <c r="AR3341">
        <f>IF($AN3341=1,IFERROR(VALUE(MID($E3341,2,20)),1000000000)+ROW()/100000,"")</f>
        <v/>
      </c>
    </row>
    <row r="3342">
      <c r="G3342" s="11" t="n"/>
      <c r="Q3342" s="7">
        <f>IF($E3342="","",P3342*Y3342/100)</f>
        <v/>
      </c>
      <c r="R3342" s="7" t="n"/>
      <c r="X3342" s="7" t="n"/>
      <c r="Y3342" s="7" t="n"/>
      <c r="AB3342">
        <f>IF($E3342="","",IF($AQ3342=1,0,IF($AP3342=1,Settings!$C$6,Settings!$C$7))*100)</f>
        <v/>
      </c>
      <c r="AC3342" s="7">
        <f>IF($E3342="","",Y3342*AB3342/100)</f>
        <v/>
      </c>
      <c r="AD3342" s="7">
        <f>IF($E3342="","",Y3342-AC3342)</f>
        <v/>
      </c>
      <c r="AE3342" s="7">
        <f>IF($E3342="","",AD3342-Q3342)</f>
        <v/>
      </c>
      <c r="AI3342" s="7" t="n"/>
      <c r="AL3342" s="11" t="n"/>
      <c r="AN3342">
        <f>IF($E3342="","",IF(COUNTIF($E$2:$E3342,$E3342)=1,1,0))</f>
        <v/>
      </c>
      <c r="AO3342">
        <f>IF($AN3342=1,SUMPRODUCT(--($AR$2:$AR$4001&lt;$AR3342))+1,"")</f>
        <v/>
      </c>
      <c r="AP3342">
        <f>IF($E3342="","",IF(OR($U3342=TRUE(),$U3342="TRUE"),1,0))</f>
        <v/>
      </c>
      <c r="AQ3342">
        <f>IF($E3342="","",IF($AA3342="Yes",1,0))</f>
        <v/>
      </c>
      <c r="AR3342">
        <f>IF($AN3342=1,IFERROR(VALUE(MID($E3342,2,20)),1000000000)+ROW()/100000,"")</f>
        <v/>
      </c>
    </row>
    <row r="3343">
      <c r="G3343" s="11" t="n"/>
      <c r="Q3343" s="7">
        <f>IF($E3343="","",P3343*Y3343/100)</f>
        <v/>
      </c>
      <c r="R3343" s="7" t="n"/>
      <c r="X3343" s="7" t="n"/>
      <c r="Y3343" s="7" t="n"/>
      <c r="AB3343">
        <f>IF($E3343="","",IF($AQ3343=1,0,IF($AP3343=1,Settings!$C$6,Settings!$C$7))*100)</f>
        <v/>
      </c>
      <c r="AC3343" s="7">
        <f>IF($E3343="","",Y3343*AB3343/100)</f>
        <v/>
      </c>
      <c r="AD3343" s="7">
        <f>IF($E3343="","",Y3343-AC3343)</f>
        <v/>
      </c>
      <c r="AE3343" s="7">
        <f>IF($E3343="","",AD3343-Q3343)</f>
        <v/>
      </c>
      <c r="AI3343" s="7" t="n"/>
      <c r="AL3343" s="11" t="n"/>
      <c r="AN3343">
        <f>IF($E3343="","",IF(COUNTIF($E$2:$E3343,$E3343)=1,1,0))</f>
        <v/>
      </c>
      <c r="AO3343">
        <f>IF($AN3343=1,SUMPRODUCT(--($AR$2:$AR$4001&lt;$AR3343))+1,"")</f>
        <v/>
      </c>
      <c r="AP3343">
        <f>IF($E3343="","",IF(OR($U3343=TRUE(),$U3343="TRUE"),1,0))</f>
        <v/>
      </c>
      <c r="AQ3343">
        <f>IF($E3343="","",IF($AA3343="Yes",1,0))</f>
        <v/>
      </c>
      <c r="AR3343">
        <f>IF($AN3343=1,IFERROR(VALUE(MID($E3343,2,20)),1000000000)+ROW()/100000,"")</f>
        <v/>
      </c>
    </row>
    <row r="3344">
      <c r="G3344" s="11" t="n"/>
      <c r="Q3344" s="7">
        <f>IF($E3344="","",P3344*Y3344/100)</f>
        <v/>
      </c>
      <c r="R3344" s="7" t="n"/>
      <c r="X3344" s="7" t="n"/>
      <c r="Y3344" s="7" t="n"/>
      <c r="AB3344">
        <f>IF($E3344="","",IF($AQ3344=1,0,IF($AP3344=1,Settings!$C$6,Settings!$C$7))*100)</f>
        <v/>
      </c>
      <c r="AC3344" s="7">
        <f>IF($E3344="","",Y3344*AB3344/100)</f>
        <v/>
      </c>
      <c r="AD3344" s="7">
        <f>IF($E3344="","",Y3344-AC3344)</f>
        <v/>
      </c>
      <c r="AE3344" s="7">
        <f>IF($E3344="","",AD3344-Q3344)</f>
        <v/>
      </c>
      <c r="AI3344" s="7" t="n"/>
      <c r="AL3344" s="11" t="n"/>
      <c r="AN3344">
        <f>IF($E3344="","",IF(COUNTIF($E$2:$E3344,$E3344)=1,1,0))</f>
        <v/>
      </c>
      <c r="AO3344">
        <f>IF($AN3344=1,SUMPRODUCT(--($AR$2:$AR$4001&lt;$AR3344))+1,"")</f>
        <v/>
      </c>
      <c r="AP3344">
        <f>IF($E3344="","",IF(OR($U3344=TRUE(),$U3344="TRUE"),1,0))</f>
        <v/>
      </c>
      <c r="AQ3344">
        <f>IF($E3344="","",IF($AA3344="Yes",1,0))</f>
        <v/>
      </c>
      <c r="AR3344">
        <f>IF($AN3344=1,IFERROR(VALUE(MID($E3344,2,20)),1000000000)+ROW()/100000,"")</f>
        <v/>
      </c>
    </row>
    <row r="3345">
      <c r="G3345" s="11" t="n"/>
      <c r="Q3345" s="7">
        <f>IF($E3345="","",P3345*Y3345/100)</f>
        <v/>
      </c>
      <c r="R3345" s="7" t="n"/>
      <c r="X3345" s="7" t="n"/>
      <c r="Y3345" s="7" t="n"/>
      <c r="AB3345">
        <f>IF($E3345="","",IF($AQ3345=1,0,IF($AP3345=1,Settings!$C$6,Settings!$C$7))*100)</f>
        <v/>
      </c>
      <c r="AC3345" s="7">
        <f>IF($E3345="","",Y3345*AB3345/100)</f>
        <v/>
      </c>
      <c r="AD3345" s="7">
        <f>IF($E3345="","",Y3345-AC3345)</f>
        <v/>
      </c>
      <c r="AE3345" s="7">
        <f>IF($E3345="","",AD3345-Q3345)</f>
        <v/>
      </c>
      <c r="AI3345" s="7" t="n"/>
      <c r="AL3345" s="11" t="n"/>
      <c r="AN3345">
        <f>IF($E3345="","",IF(COUNTIF($E$2:$E3345,$E3345)=1,1,0))</f>
        <v/>
      </c>
      <c r="AO3345">
        <f>IF($AN3345=1,SUMPRODUCT(--($AR$2:$AR$4001&lt;$AR3345))+1,"")</f>
        <v/>
      </c>
      <c r="AP3345">
        <f>IF($E3345="","",IF(OR($U3345=TRUE(),$U3345="TRUE"),1,0))</f>
        <v/>
      </c>
      <c r="AQ3345">
        <f>IF($E3345="","",IF($AA3345="Yes",1,0))</f>
        <v/>
      </c>
      <c r="AR3345">
        <f>IF($AN3345=1,IFERROR(VALUE(MID($E3345,2,20)),1000000000)+ROW()/100000,"")</f>
        <v/>
      </c>
    </row>
    <row r="3346">
      <c r="G3346" s="11" t="n"/>
      <c r="Q3346" s="7">
        <f>IF($E3346="","",P3346*Y3346/100)</f>
        <v/>
      </c>
      <c r="R3346" s="7" t="n"/>
      <c r="X3346" s="7" t="n"/>
      <c r="Y3346" s="7" t="n"/>
      <c r="AB3346">
        <f>IF($E3346="","",IF($AQ3346=1,0,IF($AP3346=1,Settings!$C$6,Settings!$C$7))*100)</f>
        <v/>
      </c>
      <c r="AC3346" s="7">
        <f>IF($E3346="","",Y3346*AB3346/100)</f>
        <v/>
      </c>
      <c r="AD3346" s="7">
        <f>IF($E3346="","",Y3346-AC3346)</f>
        <v/>
      </c>
      <c r="AE3346" s="7">
        <f>IF($E3346="","",AD3346-Q3346)</f>
        <v/>
      </c>
      <c r="AI3346" s="7" t="n"/>
      <c r="AL3346" s="11" t="n"/>
      <c r="AN3346">
        <f>IF($E3346="","",IF(COUNTIF($E$2:$E3346,$E3346)=1,1,0))</f>
        <v/>
      </c>
      <c r="AO3346">
        <f>IF($AN3346=1,SUMPRODUCT(--($AR$2:$AR$4001&lt;$AR3346))+1,"")</f>
        <v/>
      </c>
      <c r="AP3346">
        <f>IF($E3346="","",IF(OR($U3346=TRUE(),$U3346="TRUE"),1,0))</f>
        <v/>
      </c>
      <c r="AQ3346">
        <f>IF($E3346="","",IF($AA3346="Yes",1,0))</f>
        <v/>
      </c>
      <c r="AR3346">
        <f>IF($AN3346=1,IFERROR(VALUE(MID($E3346,2,20)),1000000000)+ROW()/100000,"")</f>
        <v/>
      </c>
    </row>
    <row r="3347">
      <c r="G3347" s="11" t="n"/>
      <c r="Q3347" s="7">
        <f>IF($E3347="","",P3347*Y3347/100)</f>
        <v/>
      </c>
      <c r="R3347" s="7" t="n"/>
      <c r="X3347" s="7" t="n"/>
      <c r="Y3347" s="7" t="n"/>
      <c r="AB3347">
        <f>IF($E3347="","",IF($AQ3347=1,0,IF($AP3347=1,Settings!$C$6,Settings!$C$7))*100)</f>
        <v/>
      </c>
      <c r="AC3347" s="7">
        <f>IF($E3347="","",Y3347*AB3347/100)</f>
        <v/>
      </c>
      <c r="AD3347" s="7">
        <f>IF($E3347="","",Y3347-AC3347)</f>
        <v/>
      </c>
      <c r="AE3347" s="7">
        <f>IF($E3347="","",AD3347-Q3347)</f>
        <v/>
      </c>
      <c r="AI3347" s="7" t="n"/>
      <c r="AL3347" s="11" t="n"/>
      <c r="AN3347">
        <f>IF($E3347="","",IF(COUNTIF($E$2:$E3347,$E3347)=1,1,0))</f>
        <v/>
      </c>
      <c r="AO3347">
        <f>IF($AN3347=1,SUMPRODUCT(--($AR$2:$AR$4001&lt;$AR3347))+1,"")</f>
        <v/>
      </c>
      <c r="AP3347">
        <f>IF($E3347="","",IF(OR($U3347=TRUE(),$U3347="TRUE"),1,0))</f>
        <v/>
      </c>
      <c r="AQ3347">
        <f>IF($E3347="","",IF($AA3347="Yes",1,0))</f>
        <v/>
      </c>
      <c r="AR3347">
        <f>IF($AN3347=1,IFERROR(VALUE(MID($E3347,2,20)),1000000000)+ROW()/100000,"")</f>
        <v/>
      </c>
    </row>
    <row r="3348">
      <c r="G3348" s="11" t="n"/>
      <c r="Q3348" s="7">
        <f>IF($E3348="","",P3348*Y3348/100)</f>
        <v/>
      </c>
      <c r="R3348" s="7" t="n"/>
      <c r="X3348" s="7" t="n"/>
      <c r="Y3348" s="7" t="n"/>
      <c r="AB3348">
        <f>IF($E3348="","",IF($AQ3348=1,0,IF($AP3348=1,Settings!$C$6,Settings!$C$7))*100)</f>
        <v/>
      </c>
      <c r="AC3348" s="7">
        <f>IF($E3348="","",Y3348*AB3348/100)</f>
        <v/>
      </c>
      <c r="AD3348" s="7">
        <f>IF($E3348="","",Y3348-AC3348)</f>
        <v/>
      </c>
      <c r="AE3348" s="7">
        <f>IF($E3348="","",AD3348-Q3348)</f>
        <v/>
      </c>
      <c r="AI3348" s="7" t="n"/>
      <c r="AL3348" s="11" t="n"/>
      <c r="AN3348">
        <f>IF($E3348="","",IF(COUNTIF($E$2:$E3348,$E3348)=1,1,0))</f>
        <v/>
      </c>
      <c r="AO3348">
        <f>IF($AN3348=1,SUMPRODUCT(--($AR$2:$AR$4001&lt;$AR3348))+1,"")</f>
        <v/>
      </c>
      <c r="AP3348">
        <f>IF($E3348="","",IF(OR($U3348=TRUE(),$U3348="TRUE"),1,0))</f>
        <v/>
      </c>
      <c r="AQ3348">
        <f>IF($E3348="","",IF($AA3348="Yes",1,0))</f>
        <v/>
      </c>
      <c r="AR3348">
        <f>IF($AN3348=1,IFERROR(VALUE(MID($E3348,2,20)),1000000000)+ROW()/100000,"")</f>
        <v/>
      </c>
    </row>
    <row r="3349">
      <c r="G3349" s="11" t="n"/>
      <c r="Q3349" s="7">
        <f>IF($E3349="","",P3349*Y3349/100)</f>
        <v/>
      </c>
      <c r="R3349" s="7" t="n"/>
      <c r="X3349" s="7" t="n"/>
      <c r="Y3349" s="7" t="n"/>
      <c r="AB3349">
        <f>IF($E3349="","",IF($AQ3349=1,0,IF($AP3349=1,Settings!$C$6,Settings!$C$7))*100)</f>
        <v/>
      </c>
      <c r="AC3349" s="7">
        <f>IF($E3349="","",Y3349*AB3349/100)</f>
        <v/>
      </c>
      <c r="AD3349" s="7">
        <f>IF($E3349="","",Y3349-AC3349)</f>
        <v/>
      </c>
      <c r="AE3349" s="7">
        <f>IF($E3349="","",AD3349-Q3349)</f>
        <v/>
      </c>
      <c r="AI3349" s="7" t="n"/>
      <c r="AL3349" s="11" t="n"/>
      <c r="AN3349">
        <f>IF($E3349="","",IF(COUNTIF($E$2:$E3349,$E3349)=1,1,0))</f>
        <v/>
      </c>
      <c r="AO3349">
        <f>IF($AN3349=1,SUMPRODUCT(--($AR$2:$AR$4001&lt;$AR3349))+1,"")</f>
        <v/>
      </c>
      <c r="AP3349">
        <f>IF($E3349="","",IF(OR($U3349=TRUE(),$U3349="TRUE"),1,0))</f>
        <v/>
      </c>
      <c r="AQ3349">
        <f>IF($E3349="","",IF($AA3349="Yes",1,0))</f>
        <v/>
      </c>
      <c r="AR3349">
        <f>IF($AN3349=1,IFERROR(VALUE(MID($E3349,2,20)),1000000000)+ROW()/100000,"")</f>
        <v/>
      </c>
    </row>
    <row r="3350">
      <c r="G3350" s="11" t="n"/>
      <c r="Q3350" s="7">
        <f>IF($E3350="","",P3350*Y3350/100)</f>
        <v/>
      </c>
      <c r="R3350" s="7" t="n"/>
      <c r="X3350" s="7" t="n"/>
      <c r="Y3350" s="7" t="n"/>
      <c r="AB3350">
        <f>IF($E3350="","",IF($AQ3350=1,0,IF($AP3350=1,Settings!$C$6,Settings!$C$7))*100)</f>
        <v/>
      </c>
      <c r="AC3350" s="7">
        <f>IF($E3350="","",Y3350*AB3350/100)</f>
        <v/>
      </c>
      <c r="AD3350" s="7">
        <f>IF($E3350="","",Y3350-AC3350)</f>
        <v/>
      </c>
      <c r="AE3350" s="7">
        <f>IF($E3350="","",AD3350-Q3350)</f>
        <v/>
      </c>
      <c r="AI3350" s="7" t="n"/>
      <c r="AL3350" s="11" t="n"/>
      <c r="AN3350">
        <f>IF($E3350="","",IF(COUNTIF($E$2:$E3350,$E3350)=1,1,0))</f>
        <v/>
      </c>
      <c r="AO3350">
        <f>IF($AN3350=1,SUMPRODUCT(--($AR$2:$AR$4001&lt;$AR3350))+1,"")</f>
        <v/>
      </c>
      <c r="AP3350">
        <f>IF($E3350="","",IF(OR($U3350=TRUE(),$U3350="TRUE"),1,0))</f>
        <v/>
      </c>
      <c r="AQ3350">
        <f>IF($E3350="","",IF($AA3350="Yes",1,0))</f>
        <v/>
      </c>
      <c r="AR3350">
        <f>IF($AN3350=1,IFERROR(VALUE(MID($E3350,2,20)),1000000000)+ROW()/100000,"")</f>
        <v/>
      </c>
    </row>
    <row r="3351">
      <c r="G3351" s="11" t="n"/>
      <c r="Q3351" s="7">
        <f>IF($E3351="","",P3351*Y3351/100)</f>
        <v/>
      </c>
      <c r="R3351" s="7" t="n"/>
      <c r="X3351" s="7" t="n"/>
      <c r="Y3351" s="7" t="n"/>
      <c r="AB3351">
        <f>IF($E3351="","",IF($AQ3351=1,0,IF($AP3351=1,Settings!$C$6,Settings!$C$7))*100)</f>
        <v/>
      </c>
      <c r="AC3351" s="7">
        <f>IF($E3351="","",Y3351*AB3351/100)</f>
        <v/>
      </c>
      <c r="AD3351" s="7">
        <f>IF($E3351="","",Y3351-AC3351)</f>
        <v/>
      </c>
      <c r="AE3351" s="7">
        <f>IF($E3351="","",AD3351-Q3351)</f>
        <v/>
      </c>
      <c r="AI3351" s="7" t="n"/>
      <c r="AL3351" s="11" t="n"/>
      <c r="AN3351">
        <f>IF($E3351="","",IF(COUNTIF($E$2:$E3351,$E3351)=1,1,0))</f>
        <v/>
      </c>
      <c r="AO3351">
        <f>IF($AN3351=1,SUMPRODUCT(--($AR$2:$AR$4001&lt;$AR3351))+1,"")</f>
        <v/>
      </c>
      <c r="AP3351">
        <f>IF($E3351="","",IF(OR($U3351=TRUE(),$U3351="TRUE"),1,0))</f>
        <v/>
      </c>
      <c r="AQ3351">
        <f>IF($E3351="","",IF($AA3351="Yes",1,0))</f>
        <v/>
      </c>
      <c r="AR3351">
        <f>IF($AN3351=1,IFERROR(VALUE(MID($E3351,2,20)),1000000000)+ROW()/100000,"")</f>
        <v/>
      </c>
    </row>
    <row r="3352">
      <c r="G3352" s="11" t="n"/>
      <c r="Q3352" s="7">
        <f>IF($E3352="","",P3352*Y3352/100)</f>
        <v/>
      </c>
      <c r="R3352" s="7" t="n"/>
      <c r="X3352" s="7" t="n"/>
      <c r="Y3352" s="7" t="n"/>
      <c r="AB3352">
        <f>IF($E3352="","",IF($AQ3352=1,0,IF($AP3352=1,Settings!$C$6,Settings!$C$7))*100)</f>
        <v/>
      </c>
      <c r="AC3352" s="7">
        <f>IF($E3352="","",Y3352*AB3352/100)</f>
        <v/>
      </c>
      <c r="AD3352" s="7">
        <f>IF($E3352="","",Y3352-AC3352)</f>
        <v/>
      </c>
      <c r="AE3352" s="7">
        <f>IF($E3352="","",AD3352-Q3352)</f>
        <v/>
      </c>
      <c r="AI3352" s="7" t="n"/>
      <c r="AL3352" s="11" t="n"/>
      <c r="AN3352">
        <f>IF($E3352="","",IF(COUNTIF($E$2:$E3352,$E3352)=1,1,0))</f>
        <v/>
      </c>
      <c r="AO3352">
        <f>IF($AN3352=1,SUMPRODUCT(--($AR$2:$AR$4001&lt;$AR3352))+1,"")</f>
        <v/>
      </c>
      <c r="AP3352">
        <f>IF($E3352="","",IF(OR($U3352=TRUE(),$U3352="TRUE"),1,0))</f>
        <v/>
      </c>
      <c r="AQ3352">
        <f>IF($E3352="","",IF($AA3352="Yes",1,0))</f>
        <v/>
      </c>
      <c r="AR3352">
        <f>IF($AN3352=1,IFERROR(VALUE(MID($E3352,2,20)),1000000000)+ROW()/100000,"")</f>
        <v/>
      </c>
    </row>
    <row r="3353">
      <c r="G3353" s="11" t="n"/>
      <c r="Q3353" s="7">
        <f>IF($E3353="","",P3353*Y3353/100)</f>
        <v/>
      </c>
      <c r="R3353" s="7" t="n"/>
      <c r="X3353" s="7" t="n"/>
      <c r="Y3353" s="7" t="n"/>
      <c r="AB3353">
        <f>IF($E3353="","",IF($AQ3353=1,0,IF($AP3353=1,Settings!$C$6,Settings!$C$7))*100)</f>
        <v/>
      </c>
      <c r="AC3353" s="7">
        <f>IF($E3353="","",Y3353*AB3353/100)</f>
        <v/>
      </c>
      <c r="AD3353" s="7">
        <f>IF($E3353="","",Y3353-AC3353)</f>
        <v/>
      </c>
      <c r="AE3353" s="7">
        <f>IF($E3353="","",AD3353-Q3353)</f>
        <v/>
      </c>
      <c r="AI3353" s="7" t="n"/>
      <c r="AL3353" s="11" t="n"/>
      <c r="AN3353">
        <f>IF($E3353="","",IF(COUNTIF($E$2:$E3353,$E3353)=1,1,0))</f>
        <v/>
      </c>
      <c r="AO3353">
        <f>IF($AN3353=1,SUMPRODUCT(--($AR$2:$AR$4001&lt;$AR3353))+1,"")</f>
        <v/>
      </c>
      <c r="AP3353">
        <f>IF($E3353="","",IF(OR($U3353=TRUE(),$U3353="TRUE"),1,0))</f>
        <v/>
      </c>
      <c r="AQ3353">
        <f>IF($E3353="","",IF($AA3353="Yes",1,0))</f>
        <v/>
      </c>
      <c r="AR3353">
        <f>IF($AN3353=1,IFERROR(VALUE(MID($E3353,2,20)),1000000000)+ROW()/100000,"")</f>
        <v/>
      </c>
    </row>
    <row r="3354">
      <c r="G3354" s="11" t="n"/>
      <c r="Q3354" s="7">
        <f>IF($E3354="","",P3354*Y3354/100)</f>
        <v/>
      </c>
      <c r="R3354" s="7" t="n"/>
      <c r="X3354" s="7" t="n"/>
      <c r="Y3354" s="7" t="n"/>
      <c r="AB3354">
        <f>IF($E3354="","",IF($AQ3354=1,0,IF($AP3354=1,Settings!$C$6,Settings!$C$7))*100)</f>
        <v/>
      </c>
      <c r="AC3354" s="7">
        <f>IF($E3354="","",Y3354*AB3354/100)</f>
        <v/>
      </c>
      <c r="AD3354" s="7">
        <f>IF($E3354="","",Y3354-AC3354)</f>
        <v/>
      </c>
      <c r="AE3354" s="7">
        <f>IF($E3354="","",AD3354-Q3354)</f>
        <v/>
      </c>
      <c r="AI3354" s="7" t="n"/>
      <c r="AL3354" s="11" t="n"/>
      <c r="AN3354">
        <f>IF($E3354="","",IF(COUNTIF($E$2:$E3354,$E3354)=1,1,0))</f>
        <v/>
      </c>
      <c r="AO3354">
        <f>IF($AN3354=1,SUMPRODUCT(--($AR$2:$AR$4001&lt;$AR3354))+1,"")</f>
        <v/>
      </c>
      <c r="AP3354">
        <f>IF($E3354="","",IF(OR($U3354=TRUE(),$U3354="TRUE"),1,0))</f>
        <v/>
      </c>
      <c r="AQ3354">
        <f>IF($E3354="","",IF($AA3354="Yes",1,0))</f>
        <v/>
      </c>
      <c r="AR3354">
        <f>IF($AN3354=1,IFERROR(VALUE(MID($E3354,2,20)),1000000000)+ROW()/100000,"")</f>
        <v/>
      </c>
    </row>
    <row r="3355">
      <c r="G3355" s="11" t="n"/>
      <c r="Q3355" s="7">
        <f>IF($E3355="","",P3355*Y3355/100)</f>
        <v/>
      </c>
      <c r="R3355" s="7" t="n"/>
      <c r="X3355" s="7" t="n"/>
      <c r="Y3355" s="7" t="n"/>
      <c r="AB3355">
        <f>IF($E3355="","",IF($AQ3355=1,0,IF($AP3355=1,Settings!$C$6,Settings!$C$7))*100)</f>
        <v/>
      </c>
      <c r="AC3355" s="7">
        <f>IF($E3355="","",Y3355*AB3355/100)</f>
        <v/>
      </c>
      <c r="AD3355" s="7">
        <f>IF($E3355="","",Y3355-AC3355)</f>
        <v/>
      </c>
      <c r="AE3355" s="7">
        <f>IF($E3355="","",AD3355-Q3355)</f>
        <v/>
      </c>
      <c r="AI3355" s="7" t="n"/>
      <c r="AL3355" s="11" t="n"/>
      <c r="AN3355">
        <f>IF($E3355="","",IF(COUNTIF($E$2:$E3355,$E3355)=1,1,0))</f>
        <v/>
      </c>
      <c r="AO3355">
        <f>IF($AN3355=1,SUMPRODUCT(--($AR$2:$AR$4001&lt;$AR3355))+1,"")</f>
        <v/>
      </c>
      <c r="AP3355">
        <f>IF($E3355="","",IF(OR($U3355=TRUE(),$U3355="TRUE"),1,0))</f>
        <v/>
      </c>
      <c r="AQ3355">
        <f>IF($E3355="","",IF($AA3355="Yes",1,0))</f>
        <v/>
      </c>
      <c r="AR3355">
        <f>IF($AN3355=1,IFERROR(VALUE(MID($E3355,2,20)),1000000000)+ROW()/100000,"")</f>
        <v/>
      </c>
    </row>
    <row r="3356">
      <c r="G3356" s="11" t="n"/>
      <c r="Q3356" s="7">
        <f>IF($E3356="","",P3356*Y3356/100)</f>
        <v/>
      </c>
      <c r="R3356" s="7" t="n"/>
      <c r="X3356" s="7" t="n"/>
      <c r="Y3356" s="7" t="n"/>
      <c r="AB3356">
        <f>IF($E3356="","",IF($AQ3356=1,0,IF($AP3356=1,Settings!$C$6,Settings!$C$7))*100)</f>
        <v/>
      </c>
      <c r="AC3356" s="7">
        <f>IF($E3356="","",Y3356*AB3356/100)</f>
        <v/>
      </c>
      <c r="AD3356" s="7">
        <f>IF($E3356="","",Y3356-AC3356)</f>
        <v/>
      </c>
      <c r="AE3356" s="7">
        <f>IF($E3356="","",AD3356-Q3356)</f>
        <v/>
      </c>
      <c r="AI3356" s="7" t="n"/>
      <c r="AL3356" s="11" t="n"/>
      <c r="AN3356">
        <f>IF($E3356="","",IF(COUNTIF($E$2:$E3356,$E3356)=1,1,0))</f>
        <v/>
      </c>
      <c r="AO3356">
        <f>IF($AN3356=1,SUMPRODUCT(--($AR$2:$AR$4001&lt;$AR3356))+1,"")</f>
        <v/>
      </c>
      <c r="AP3356">
        <f>IF($E3356="","",IF(OR($U3356=TRUE(),$U3356="TRUE"),1,0))</f>
        <v/>
      </c>
      <c r="AQ3356">
        <f>IF($E3356="","",IF($AA3356="Yes",1,0))</f>
        <v/>
      </c>
      <c r="AR3356">
        <f>IF($AN3356=1,IFERROR(VALUE(MID($E3356,2,20)),1000000000)+ROW()/100000,"")</f>
        <v/>
      </c>
    </row>
    <row r="3357">
      <c r="G3357" s="11" t="n"/>
      <c r="Q3357" s="7">
        <f>IF($E3357="","",P3357*Y3357/100)</f>
        <v/>
      </c>
      <c r="R3357" s="7" t="n"/>
      <c r="X3357" s="7" t="n"/>
      <c r="Y3357" s="7" t="n"/>
      <c r="AB3357">
        <f>IF($E3357="","",IF($AQ3357=1,0,IF($AP3357=1,Settings!$C$6,Settings!$C$7))*100)</f>
        <v/>
      </c>
      <c r="AC3357" s="7">
        <f>IF($E3357="","",Y3357*AB3357/100)</f>
        <v/>
      </c>
      <c r="AD3357" s="7">
        <f>IF($E3357="","",Y3357-AC3357)</f>
        <v/>
      </c>
      <c r="AE3357" s="7">
        <f>IF($E3357="","",AD3357-Q3357)</f>
        <v/>
      </c>
      <c r="AI3357" s="7" t="n"/>
      <c r="AL3357" s="11" t="n"/>
      <c r="AN3357">
        <f>IF($E3357="","",IF(COUNTIF($E$2:$E3357,$E3357)=1,1,0))</f>
        <v/>
      </c>
      <c r="AO3357">
        <f>IF($AN3357=1,SUMPRODUCT(--($AR$2:$AR$4001&lt;$AR3357))+1,"")</f>
        <v/>
      </c>
      <c r="AP3357">
        <f>IF($E3357="","",IF(OR($U3357=TRUE(),$U3357="TRUE"),1,0))</f>
        <v/>
      </c>
      <c r="AQ3357">
        <f>IF($E3357="","",IF($AA3357="Yes",1,0))</f>
        <v/>
      </c>
      <c r="AR3357">
        <f>IF($AN3357=1,IFERROR(VALUE(MID($E3357,2,20)),1000000000)+ROW()/100000,"")</f>
        <v/>
      </c>
    </row>
    <row r="3358">
      <c r="G3358" s="11" t="n"/>
      <c r="Q3358" s="7">
        <f>IF($E3358="","",P3358*Y3358/100)</f>
        <v/>
      </c>
      <c r="R3358" s="7" t="n"/>
      <c r="X3358" s="7" t="n"/>
      <c r="Y3358" s="7" t="n"/>
      <c r="AB3358">
        <f>IF($E3358="","",IF($AQ3358=1,0,IF($AP3358=1,Settings!$C$6,Settings!$C$7))*100)</f>
        <v/>
      </c>
      <c r="AC3358" s="7">
        <f>IF($E3358="","",Y3358*AB3358/100)</f>
        <v/>
      </c>
      <c r="AD3358" s="7">
        <f>IF($E3358="","",Y3358-AC3358)</f>
        <v/>
      </c>
      <c r="AE3358" s="7">
        <f>IF($E3358="","",AD3358-Q3358)</f>
        <v/>
      </c>
      <c r="AI3358" s="7" t="n"/>
      <c r="AL3358" s="11" t="n"/>
      <c r="AN3358">
        <f>IF($E3358="","",IF(COUNTIF($E$2:$E3358,$E3358)=1,1,0))</f>
        <v/>
      </c>
      <c r="AO3358">
        <f>IF($AN3358=1,SUMPRODUCT(--($AR$2:$AR$4001&lt;$AR3358))+1,"")</f>
        <v/>
      </c>
      <c r="AP3358">
        <f>IF($E3358="","",IF(OR($U3358=TRUE(),$U3358="TRUE"),1,0))</f>
        <v/>
      </c>
      <c r="AQ3358">
        <f>IF($E3358="","",IF($AA3358="Yes",1,0))</f>
        <v/>
      </c>
      <c r="AR3358">
        <f>IF($AN3358=1,IFERROR(VALUE(MID($E3358,2,20)),1000000000)+ROW()/100000,"")</f>
        <v/>
      </c>
    </row>
    <row r="3359">
      <c r="G3359" s="11" t="n"/>
      <c r="Q3359" s="7">
        <f>IF($E3359="","",P3359*Y3359/100)</f>
        <v/>
      </c>
      <c r="R3359" s="7" t="n"/>
      <c r="X3359" s="7" t="n"/>
      <c r="Y3359" s="7" t="n"/>
      <c r="AB3359">
        <f>IF($E3359="","",IF($AQ3359=1,0,IF($AP3359=1,Settings!$C$6,Settings!$C$7))*100)</f>
        <v/>
      </c>
      <c r="AC3359" s="7">
        <f>IF($E3359="","",Y3359*AB3359/100)</f>
        <v/>
      </c>
      <c r="AD3359" s="7">
        <f>IF($E3359="","",Y3359-AC3359)</f>
        <v/>
      </c>
      <c r="AE3359" s="7">
        <f>IF($E3359="","",AD3359-Q3359)</f>
        <v/>
      </c>
      <c r="AI3359" s="7" t="n"/>
      <c r="AL3359" s="11" t="n"/>
      <c r="AN3359">
        <f>IF($E3359="","",IF(COUNTIF($E$2:$E3359,$E3359)=1,1,0))</f>
        <v/>
      </c>
      <c r="AO3359">
        <f>IF($AN3359=1,SUMPRODUCT(--($AR$2:$AR$4001&lt;$AR3359))+1,"")</f>
        <v/>
      </c>
      <c r="AP3359">
        <f>IF($E3359="","",IF(OR($U3359=TRUE(),$U3359="TRUE"),1,0))</f>
        <v/>
      </c>
      <c r="AQ3359">
        <f>IF($E3359="","",IF($AA3359="Yes",1,0))</f>
        <v/>
      </c>
      <c r="AR3359">
        <f>IF($AN3359=1,IFERROR(VALUE(MID($E3359,2,20)),1000000000)+ROW()/100000,"")</f>
        <v/>
      </c>
    </row>
    <row r="3360">
      <c r="G3360" s="11" t="n"/>
      <c r="Q3360" s="7">
        <f>IF($E3360="","",P3360*Y3360/100)</f>
        <v/>
      </c>
      <c r="R3360" s="7" t="n"/>
      <c r="X3360" s="7" t="n"/>
      <c r="Y3360" s="7" t="n"/>
      <c r="AB3360">
        <f>IF($E3360="","",IF($AQ3360=1,0,IF($AP3360=1,Settings!$C$6,Settings!$C$7))*100)</f>
        <v/>
      </c>
      <c r="AC3360" s="7">
        <f>IF($E3360="","",Y3360*AB3360/100)</f>
        <v/>
      </c>
      <c r="AD3360" s="7">
        <f>IF($E3360="","",Y3360-AC3360)</f>
        <v/>
      </c>
      <c r="AE3360" s="7">
        <f>IF($E3360="","",AD3360-Q3360)</f>
        <v/>
      </c>
      <c r="AI3360" s="7" t="n"/>
      <c r="AL3360" s="11" t="n"/>
      <c r="AN3360">
        <f>IF($E3360="","",IF(COUNTIF($E$2:$E3360,$E3360)=1,1,0))</f>
        <v/>
      </c>
      <c r="AO3360">
        <f>IF($AN3360=1,SUMPRODUCT(--($AR$2:$AR$4001&lt;$AR3360))+1,"")</f>
        <v/>
      </c>
      <c r="AP3360">
        <f>IF($E3360="","",IF(OR($U3360=TRUE(),$U3360="TRUE"),1,0))</f>
        <v/>
      </c>
      <c r="AQ3360">
        <f>IF($E3360="","",IF($AA3360="Yes",1,0))</f>
        <v/>
      </c>
      <c r="AR3360">
        <f>IF($AN3360=1,IFERROR(VALUE(MID($E3360,2,20)),1000000000)+ROW()/100000,"")</f>
        <v/>
      </c>
    </row>
    <row r="3361">
      <c r="G3361" s="11" t="n"/>
      <c r="Q3361" s="7">
        <f>IF($E3361="","",P3361*Y3361/100)</f>
        <v/>
      </c>
      <c r="R3361" s="7" t="n"/>
      <c r="X3361" s="7" t="n"/>
      <c r="Y3361" s="7" t="n"/>
      <c r="AB3361">
        <f>IF($E3361="","",IF($AQ3361=1,0,IF($AP3361=1,Settings!$C$6,Settings!$C$7))*100)</f>
        <v/>
      </c>
      <c r="AC3361" s="7">
        <f>IF($E3361="","",Y3361*AB3361/100)</f>
        <v/>
      </c>
      <c r="AD3361" s="7">
        <f>IF($E3361="","",Y3361-AC3361)</f>
        <v/>
      </c>
      <c r="AE3361" s="7">
        <f>IF($E3361="","",AD3361-Q3361)</f>
        <v/>
      </c>
      <c r="AI3361" s="7" t="n"/>
      <c r="AL3361" s="11" t="n"/>
      <c r="AN3361">
        <f>IF($E3361="","",IF(COUNTIF($E$2:$E3361,$E3361)=1,1,0))</f>
        <v/>
      </c>
      <c r="AO3361">
        <f>IF($AN3361=1,SUMPRODUCT(--($AR$2:$AR$4001&lt;$AR3361))+1,"")</f>
        <v/>
      </c>
      <c r="AP3361">
        <f>IF($E3361="","",IF(OR($U3361=TRUE(),$U3361="TRUE"),1,0))</f>
        <v/>
      </c>
      <c r="AQ3361">
        <f>IF($E3361="","",IF($AA3361="Yes",1,0))</f>
        <v/>
      </c>
      <c r="AR3361">
        <f>IF($AN3361=1,IFERROR(VALUE(MID($E3361,2,20)),1000000000)+ROW()/100000,"")</f>
        <v/>
      </c>
    </row>
    <row r="3362">
      <c r="G3362" s="11" t="n"/>
      <c r="Q3362" s="7">
        <f>IF($E3362="","",P3362*Y3362/100)</f>
        <v/>
      </c>
      <c r="R3362" s="7" t="n"/>
      <c r="X3362" s="7" t="n"/>
      <c r="Y3362" s="7" t="n"/>
      <c r="AB3362">
        <f>IF($E3362="","",IF($AQ3362=1,0,IF($AP3362=1,Settings!$C$6,Settings!$C$7))*100)</f>
        <v/>
      </c>
      <c r="AC3362" s="7">
        <f>IF($E3362="","",Y3362*AB3362/100)</f>
        <v/>
      </c>
      <c r="AD3362" s="7">
        <f>IF($E3362="","",Y3362-AC3362)</f>
        <v/>
      </c>
      <c r="AE3362" s="7">
        <f>IF($E3362="","",AD3362-Q3362)</f>
        <v/>
      </c>
      <c r="AI3362" s="7" t="n"/>
      <c r="AL3362" s="11" t="n"/>
      <c r="AN3362">
        <f>IF($E3362="","",IF(COUNTIF($E$2:$E3362,$E3362)=1,1,0))</f>
        <v/>
      </c>
      <c r="AO3362">
        <f>IF($AN3362=1,SUMPRODUCT(--($AR$2:$AR$4001&lt;$AR3362))+1,"")</f>
        <v/>
      </c>
      <c r="AP3362">
        <f>IF($E3362="","",IF(OR($U3362=TRUE(),$U3362="TRUE"),1,0))</f>
        <v/>
      </c>
      <c r="AQ3362">
        <f>IF($E3362="","",IF($AA3362="Yes",1,0))</f>
        <v/>
      </c>
      <c r="AR3362">
        <f>IF($AN3362=1,IFERROR(VALUE(MID($E3362,2,20)),1000000000)+ROW()/100000,"")</f>
        <v/>
      </c>
    </row>
    <row r="3363">
      <c r="G3363" s="11" t="n"/>
      <c r="Q3363" s="7">
        <f>IF($E3363="","",P3363*Y3363/100)</f>
        <v/>
      </c>
      <c r="R3363" s="7" t="n"/>
      <c r="X3363" s="7" t="n"/>
      <c r="Y3363" s="7" t="n"/>
      <c r="AB3363">
        <f>IF($E3363="","",IF($AQ3363=1,0,IF($AP3363=1,Settings!$C$6,Settings!$C$7))*100)</f>
        <v/>
      </c>
      <c r="AC3363" s="7">
        <f>IF($E3363="","",Y3363*AB3363/100)</f>
        <v/>
      </c>
      <c r="AD3363" s="7">
        <f>IF($E3363="","",Y3363-AC3363)</f>
        <v/>
      </c>
      <c r="AE3363" s="7">
        <f>IF($E3363="","",AD3363-Q3363)</f>
        <v/>
      </c>
      <c r="AI3363" s="7" t="n"/>
      <c r="AL3363" s="11" t="n"/>
      <c r="AN3363">
        <f>IF($E3363="","",IF(COUNTIF($E$2:$E3363,$E3363)=1,1,0))</f>
        <v/>
      </c>
      <c r="AO3363">
        <f>IF($AN3363=1,SUMPRODUCT(--($AR$2:$AR$4001&lt;$AR3363))+1,"")</f>
        <v/>
      </c>
      <c r="AP3363">
        <f>IF($E3363="","",IF(OR($U3363=TRUE(),$U3363="TRUE"),1,0))</f>
        <v/>
      </c>
      <c r="AQ3363">
        <f>IF($E3363="","",IF($AA3363="Yes",1,0))</f>
        <v/>
      </c>
      <c r="AR3363">
        <f>IF($AN3363=1,IFERROR(VALUE(MID($E3363,2,20)),1000000000)+ROW()/100000,"")</f>
        <v/>
      </c>
    </row>
    <row r="3364">
      <c r="G3364" s="11" t="n"/>
      <c r="Q3364" s="7">
        <f>IF($E3364="","",P3364*Y3364/100)</f>
        <v/>
      </c>
      <c r="R3364" s="7" t="n"/>
      <c r="X3364" s="7" t="n"/>
      <c r="Y3364" s="7" t="n"/>
      <c r="AB3364">
        <f>IF($E3364="","",IF($AQ3364=1,0,IF($AP3364=1,Settings!$C$6,Settings!$C$7))*100)</f>
        <v/>
      </c>
      <c r="AC3364" s="7">
        <f>IF($E3364="","",Y3364*AB3364/100)</f>
        <v/>
      </c>
      <c r="AD3364" s="7">
        <f>IF($E3364="","",Y3364-AC3364)</f>
        <v/>
      </c>
      <c r="AE3364" s="7">
        <f>IF($E3364="","",AD3364-Q3364)</f>
        <v/>
      </c>
      <c r="AI3364" s="7" t="n"/>
      <c r="AL3364" s="11" t="n"/>
      <c r="AN3364">
        <f>IF($E3364="","",IF(COUNTIF($E$2:$E3364,$E3364)=1,1,0))</f>
        <v/>
      </c>
      <c r="AO3364">
        <f>IF($AN3364=1,SUMPRODUCT(--($AR$2:$AR$4001&lt;$AR3364))+1,"")</f>
        <v/>
      </c>
      <c r="AP3364">
        <f>IF($E3364="","",IF(OR($U3364=TRUE(),$U3364="TRUE"),1,0))</f>
        <v/>
      </c>
      <c r="AQ3364">
        <f>IF($E3364="","",IF($AA3364="Yes",1,0))</f>
        <v/>
      </c>
      <c r="AR3364">
        <f>IF($AN3364=1,IFERROR(VALUE(MID($E3364,2,20)),1000000000)+ROW()/100000,"")</f>
        <v/>
      </c>
    </row>
    <row r="3365">
      <c r="G3365" s="11" t="n"/>
      <c r="Q3365" s="7">
        <f>IF($E3365="","",P3365*Y3365/100)</f>
        <v/>
      </c>
      <c r="R3365" s="7" t="n"/>
      <c r="X3365" s="7" t="n"/>
      <c r="Y3365" s="7" t="n"/>
      <c r="AB3365">
        <f>IF($E3365="","",IF($AQ3365=1,0,IF($AP3365=1,Settings!$C$6,Settings!$C$7))*100)</f>
        <v/>
      </c>
      <c r="AC3365" s="7">
        <f>IF($E3365="","",Y3365*AB3365/100)</f>
        <v/>
      </c>
      <c r="AD3365" s="7">
        <f>IF($E3365="","",Y3365-AC3365)</f>
        <v/>
      </c>
      <c r="AE3365" s="7">
        <f>IF($E3365="","",AD3365-Q3365)</f>
        <v/>
      </c>
      <c r="AI3365" s="7" t="n"/>
      <c r="AL3365" s="11" t="n"/>
      <c r="AN3365">
        <f>IF($E3365="","",IF(COUNTIF($E$2:$E3365,$E3365)=1,1,0))</f>
        <v/>
      </c>
      <c r="AO3365">
        <f>IF($AN3365=1,SUMPRODUCT(--($AR$2:$AR$4001&lt;$AR3365))+1,"")</f>
        <v/>
      </c>
      <c r="AP3365">
        <f>IF($E3365="","",IF(OR($U3365=TRUE(),$U3365="TRUE"),1,0))</f>
        <v/>
      </c>
      <c r="AQ3365">
        <f>IF($E3365="","",IF($AA3365="Yes",1,0))</f>
        <v/>
      </c>
      <c r="AR3365">
        <f>IF($AN3365=1,IFERROR(VALUE(MID($E3365,2,20)),1000000000)+ROW()/100000,"")</f>
        <v/>
      </c>
    </row>
    <row r="3366">
      <c r="G3366" s="11" t="n"/>
      <c r="Q3366" s="7">
        <f>IF($E3366="","",P3366*Y3366/100)</f>
        <v/>
      </c>
      <c r="R3366" s="7" t="n"/>
      <c r="X3366" s="7" t="n"/>
      <c r="Y3366" s="7" t="n"/>
      <c r="AB3366">
        <f>IF($E3366="","",IF($AQ3366=1,0,IF($AP3366=1,Settings!$C$6,Settings!$C$7))*100)</f>
        <v/>
      </c>
      <c r="AC3366" s="7">
        <f>IF($E3366="","",Y3366*AB3366/100)</f>
        <v/>
      </c>
      <c r="AD3366" s="7">
        <f>IF($E3366="","",Y3366-AC3366)</f>
        <v/>
      </c>
      <c r="AE3366" s="7">
        <f>IF($E3366="","",AD3366-Q3366)</f>
        <v/>
      </c>
      <c r="AI3366" s="7" t="n"/>
      <c r="AL3366" s="11" t="n"/>
      <c r="AN3366">
        <f>IF($E3366="","",IF(COUNTIF($E$2:$E3366,$E3366)=1,1,0))</f>
        <v/>
      </c>
      <c r="AO3366">
        <f>IF($AN3366=1,SUMPRODUCT(--($AR$2:$AR$4001&lt;$AR3366))+1,"")</f>
        <v/>
      </c>
      <c r="AP3366">
        <f>IF($E3366="","",IF(OR($U3366=TRUE(),$U3366="TRUE"),1,0))</f>
        <v/>
      </c>
      <c r="AQ3366">
        <f>IF($E3366="","",IF($AA3366="Yes",1,0))</f>
        <v/>
      </c>
      <c r="AR3366">
        <f>IF($AN3366=1,IFERROR(VALUE(MID($E3366,2,20)),1000000000)+ROW()/100000,"")</f>
        <v/>
      </c>
    </row>
    <row r="3367">
      <c r="G3367" s="11" t="n"/>
      <c r="Q3367" s="7">
        <f>IF($E3367="","",P3367*Y3367/100)</f>
        <v/>
      </c>
      <c r="R3367" s="7" t="n"/>
      <c r="X3367" s="7" t="n"/>
      <c r="Y3367" s="7" t="n"/>
      <c r="AB3367">
        <f>IF($E3367="","",IF($AQ3367=1,0,IF($AP3367=1,Settings!$C$6,Settings!$C$7))*100)</f>
        <v/>
      </c>
      <c r="AC3367" s="7">
        <f>IF($E3367="","",Y3367*AB3367/100)</f>
        <v/>
      </c>
      <c r="AD3367" s="7">
        <f>IF($E3367="","",Y3367-AC3367)</f>
        <v/>
      </c>
      <c r="AE3367" s="7">
        <f>IF($E3367="","",AD3367-Q3367)</f>
        <v/>
      </c>
      <c r="AI3367" s="7" t="n"/>
      <c r="AL3367" s="11" t="n"/>
      <c r="AN3367">
        <f>IF($E3367="","",IF(COUNTIF($E$2:$E3367,$E3367)=1,1,0))</f>
        <v/>
      </c>
      <c r="AO3367">
        <f>IF($AN3367=1,SUMPRODUCT(--($AR$2:$AR$4001&lt;$AR3367))+1,"")</f>
        <v/>
      </c>
      <c r="AP3367">
        <f>IF($E3367="","",IF(OR($U3367=TRUE(),$U3367="TRUE"),1,0))</f>
        <v/>
      </c>
      <c r="AQ3367">
        <f>IF($E3367="","",IF($AA3367="Yes",1,0))</f>
        <v/>
      </c>
      <c r="AR3367">
        <f>IF($AN3367=1,IFERROR(VALUE(MID($E3367,2,20)),1000000000)+ROW()/100000,"")</f>
        <v/>
      </c>
    </row>
    <row r="3368">
      <c r="G3368" s="11" t="n"/>
      <c r="Q3368" s="7">
        <f>IF($E3368="","",P3368*Y3368/100)</f>
        <v/>
      </c>
      <c r="R3368" s="7" t="n"/>
      <c r="X3368" s="7" t="n"/>
      <c r="Y3368" s="7" t="n"/>
      <c r="AB3368">
        <f>IF($E3368="","",IF($AQ3368=1,0,IF($AP3368=1,Settings!$C$6,Settings!$C$7))*100)</f>
        <v/>
      </c>
      <c r="AC3368" s="7">
        <f>IF($E3368="","",Y3368*AB3368/100)</f>
        <v/>
      </c>
      <c r="AD3368" s="7">
        <f>IF($E3368="","",Y3368-AC3368)</f>
        <v/>
      </c>
      <c r="AE3368" s="7">
        <f>IF($E3368="","",AD3368-Q3368)</f>
        <v/>
      </c>
      <c r="AI3368" s="7" t="n"/>
      <c r="AL3368" s="11" t="n"/>
      <c r="AN3368">
        <f>IF($E3368="","",IF(COUNTIF($E$2:$E3368,$E3368)=1,1,0))</f>
        <v/>
      </c>
      <c r="AO3368">
        <f>IF($AN3368=1,SUMPRODUCT(--($AR$2:$AR$4001&lt;$AR3368))+1,"")</f>
        <v/>
      </c>
      <c r="AP3368">
        <f>IF($E3368="","",IF(OR($U3368=TRUE(),$U3368="TRUE"),1,0))</f>
        <v/>
      </c>
      <c r="AQ3368">
        <f>IF($E3368="","",IF($AA3368="Yes",1,0))</f>
        <v/>
      </c>
      <c r="AR3368">
        <f>IF($AN3368=1,IFERROR(VALUE(MID($E3368,2,20)),1000000000)+ROW()/100000,"")</f>
        <v/>
      </c>
    </row>
    <row r="3369">
      <c r="G3369" s="11" t="n"/>
      <c r="Q3369" s="7">
        <f>IF($E3369="","",P3369*Y3369/100)</f>
        <v/>
      </c>
      <c r="R3369" s="7" t="n"/>
      <c r="X3369" s="7" t="n"/>
      <c r="Y3369" s="7" t="n"/>
      <c r="AB3369">
        <f>IF($E3369="","",IF($AQ3369=1,0,IF($AP3369=1,Settings!$C$6,Settings!$C$7))*100)</f>
        <v/>
      </c>
      <c r="AC3369" s="7">
        <f>IF($E3369="","",Y3369*AB3369/100)</f>
        <v/>
      </c>
      <c r="AD3369" s="7">
        <f>IF($E3369="","",Y3369-AC3369)</f>
        <v/>
      </c>
      <c r="AE3369" s="7">
        <f>IF($E3369="","",AD3369-Q3369)</f>
        <v/>
      </c>
      <c r="AI3369" s="7" t="n"/>
      <c r="AL3369" s="11" t="n"/>
      <c r="AN3369">
        <f>IF($E3369="","",IF(COUNTIF($E$2:$E3369,$E3369)=1,1,0))</f>
        <v/>
      </c>
      <c r="AO3369">
        <f>IF($AN3369=1,SUMPRODUCT(--($AR$2:$AR$4001&lt;$AR3369))+1,"")</f>
        <v/>
      </c>
      <c r="AP3369">
        <f>IF($E3369="","",IF(OR($U3369=TRUE(),$U3369="TRUE"),1,0))</f>
        <v/>
      </c>
      <c r="AQ3369">
        <f>IF($E3369="","",IF($AA3369="Yes",1,0))</f>
        <v/>
      </c>
      <c r="AR3369">
        <f>IF($AN3369=1,IFERROR(VALUE(MID($E3369,2,20)),1000000000)+ROW()/100000,"")</f>
        <v/>
      </c>
    </row>
    <row r="3370">
      <c r="G3370" s="11" t="n"/>
      <c r="Q3370" s="7">
        <f>IF($E3370="","",P3370*Y3370/100)</f>
        <v/>
      </c>
      <c r="R3370" s="7" t="n"/>
      <c r="X3370" s="7" t="n"/>
      <c r="Y3370" s="7" t="n"/>
      <c r="AB3370">
        <f>IF($E3370="","",IF($AQ3370=1,0,IF($AP3370=1,Settings!$C$6,Settings!$C$7))*100)</f>
        <v/>
      </c>
      <c r="AC3370" s="7">
        <f>IF($E3370="","",Y3370*AB3370/100)</f>
        <v/>
      </c>
      <c r="AD3370" s="7">
        <f>IF($E3370="","",Y3370-AC3370)</f>
        <v/>
      </c>
      <c r="AE3370" s="7">
        <f>IF($E3370="","",AD3370-Q3370)</f>
        <v/>
      </c>
      <c r="AI3370" s="7" t="n"/>
      <c r="AL3370" s="11" t="n"/>
      <c r="AN3370">
        <f>IF($E3370="","",IF(COUNTIF($E$2:$E3370,$E3370)=1,1,0))</f>
        <v/>
      </c>
      <c r="AO3370">
        <f>IF($AN3370=1,SUMPRODUCT(--($AR$2:$AR$4001&lt;$AR3370))+1,"")</f>
        <v/>
      </c>
      <c r="AP3370">
        <f>IF($E3370="","",IF(OR($U3370=TRUE(),$U3370="TRUE"),1,0))</f>
        <v/>
      </c>
      <c r="AQ3370">
        <f>IF($E3370="","",IF($AA3370="Yes",1,0))</f>
        <v/>
      </c>
      <c r="AR3370">
        <f>IF($AN3370=1,IFERROR(VALUE(MID($E3370,2,20)),1000000000)+ROW()/100000,"")</f>
        <v/>
      </c>
    </row>
    <row r="3371">
      <c r="G3371" s="11" t="n"/>
      <c r="Q3371" s="7">
        <f>IF($E3371="","",P3371*Y3371/100)</f>
        <v/>
      </c>
      <c r="R3371" s="7" t="n"/>
      <c r="X3371" s="7" t="n"/>
      <c r="Y3371" s="7" t="n"/>
      <c r="AB3371">
        <f>IF($E3371="","",IF($AQ3371=1,0,IF($AP3371=1,Settings!$C$6,Settings!$C$7))*100)</f>
        <v/>
      </c>
      <c r="AC3371" s="7">
        <f>IF($E3371="","",Y3371*AB3371/100)</f>
        <v/>
      </c>
      <c r="AD3371" s="7">
        <f>IF($E3371="","",Y3371-AC3371)</f>
        <v/>
      </c>
      <c r="AE3371" s="7">
        <f>IF($E3371="","",AD3371-Q3371)</f>
        <v/>
      </c>
      <c r="AI3371" s="7" t="n"/>
      <c r="AL3371" s="11" t="n"/>
      <c r="AN3371">
        <f>IF($E3371="","",IF(COUNTIF($E$2:$E3371,$E3371)=1,1,0))</f>
        <v/>
      </c>
      <c r="AO3371">
        <f>IF($AN3371=1,SUMPRODUCT(--($AR$2:$AR$4001&lt;$AR3371))+1,"")</f>
        <v/>
      </c>
      <c r="AP3371">
        <f>IF($E3371="","",IF(OR($U3371=TRUE(),$U3371="TRUE"),1,0))</f>
        <v/>
      </c>
      <c r="AQ3371">
        <f>IF($E3371="","",IF($AA3371="Yes",1,0))</f>
        <v/>
      </c>
      <c r="AR3371">
        <f>IF($AN3371=1,IFERROR(VALUE(MID($E3371,2,20)),1000000000)+ROW()/100000,"")</f>
        <v/>
      </c>
    </row>
    <row r="3372">
      <c r="G3372" s="11" t="n"/>
      <c r="Q3372" s="7">
        <f>IF($E3372="","",P3372*Y3372/100)</f>
        <v/>
      </c>
      <c r="R3372" s="7" t="n"/>
      <c r="X3372" s="7" t="n"/>
      <c r="Y3372" s="7" t="n"/>
      <c r="AB3372">
        <f>IF($E3372="","",IF($AQ3372=1,0,IF($AP3372=1,Settings!$C$6,Settings!$C$7))*100)</f>
        <v/>
      </c>
      <c r="AC3372" s="7">
        <f>IF($E3372="","",Y3372*AB3372/100)</f>
        <v/>
      </c>
      <c r="AD3372" s="7">
        <f>IF($E3372="","",Y3372-AC3372)</f>
        <v/>
      </c>
      <c r="AE3372" s="7">
        <f>IF($E3372="","",AD3372-Q3372)</f>
        <v/>
      </c>
      <c r="AI3372" s="7" t="n"/>
      <c r="AL3372" s="11" t="n"/>
      <c r="AN3372">
        <f>IF($E3372="","",IF(COUNTIF($E$2:$E3372,$E3372)=1,1,0))</f>
        <v/>
      </c>
      <c r="AO3372">
        <f>IF($AN3372=1,SUMPRODUCT(--($AR$2:$AR$4001&lt;$AR3372))+1,"")</f>
        <v/>
      </c>
      <c r="AP3372">
        <f>IF($E3372="","",IF(OR($U3372=TRUE(),$U3372="TRUE"),1,0))</f>
        <v/>
      </c>
      <c r="AQ3372">
        <f>IF($E3372="","",IF($AA3372="Yes",1,0))</f>
        <v/>
      </c>
      <c r="AR3372">
        <f>IF($AN3372=1,IFERROR(VALUE(MID($E3372,2,20)),1000000000)+ROW()/100000,"")</f>
        <v/>
      </c>
    </row>
    <row r="3373">
      <c r="G3373" s="11" t="n"/>
      <c r="Q3373" s="7">
        <f>IF($E3373="","",P3373*Y3373/100)</f>
        <v/>
      </c>
      <c r="R3373" s="7" t="n"/>
      <c r="X3373" s="7" t="n"/>
      <c r="Y3373" s="7" t="n"/>
      <c r="AB3373">
        <f>IF($E3373="","",IF($AQ3373=1,0,IF($AP3373=1,Settings!$C$6,Settings!$C$7))*100)</f>
        <v/>
      </c>
      <c r="AC3373" s="7">
        <f>IF($E3373="","",Y3373*AB3373/100)</f>
        <v/>
      </c>
      <c r="AD3373" s="7">
        <f>IF($E3373="","",Y3373-AC3373)</f>
        <v/>
      </c>
      <c r="AE3373" s="7">
        <f>IF($E3373="","",AD3373-Q3373)</f>
        <v/>
      </c>
      <c r="AI3373" s="7" t="n"/>
      <c r="AL3373" s="11" t="n"/>
      <c r="AN3373">
        <f>IF($E3373="","",IF(COUNTIF($E$2:$E3373,$E3373)=1,1,0))</f>
        <v/>
      </c>
      <c r="AO3373">
        <f>IF($AN3373=1,SUMPRODUCT(--($AR$2:$AR$4001&lt;$AR3373))+1,"")</f>
        <v/>
      </c>
      <c r="AP3373">
        <f>IF($E3373="","",IF(OR($U3373=TRUE(),$U3373="TRUE"),1,0))</f>
        <v/>
      </c>
      <c r="AQ3373">
        <f>IF($E3373="","",IF($AA3373="Yes",1,0))</f>
        <v/>
      </c>
      <c r="AR3373">
        <f>IF($AN3373=1,IFERROR(VALUE(MID($E3373,2,20)),1000000000)+ROW()/100000,"")</f>
        <v/>
      </c>
    </row>
    <row r="3374">
      <c r="G3374" s="11" t="n"/>
      <c r="Q3374" s="7">
        <f>IF($E3374="","",P3374*Y3374/100)</f>
        <v/>
      </c>
      <c r="R3374" s="7" t="n"/>
      <c r="X3374" s="7" t="n"/>
      <c r="Y3374" s="7" t="n"/>
      <c r="AB3374">
        <f>IF($E3374="","",IF($AQ3374=1,0,IF($AP3374=1,Settings!$C$6,Settings!$C$7))*100)</f>
        <v/>
      </c>
      <c r="AC3374" s="7">
        <f>IF($E3374="","",Y3374*AB3374/100)</f>
        <v/>
      </c>
      <c r="AD3374" s="7">
        <f>IF($E3374="","",Y3374-AC3374)</f>
        <v/>
      </c>
      <c r="AE3374" s="7">
        <f>IF($E3374="","",AD3374-Q3374)</f>
        <v/>
      </c>
      <c r="AI3374" s="7" t="n"/>
      <c r="AL3374" s="11" t="n"/>
      <c r="AN3374">
        <f>IF($E3374="","",IF(COUNTIF($E$2:$E3374,$E3374)=1,1,0))</f>
        <v/>
      </c>
      <c r="AO3374">
        <f>IF($AN3374=1,SUMPRODUCT(--($AR$2:$AR$4001&lt;$AR3374))+1,"")</f>
        <v/>
      </c>
      <c r="AP3374">
        <f>IF($E3374="","",IF(OR($U3374=TRUE(),$U3374="TRUE"),1,0))</f>
        <v/>
      </c>
      <c r="AQ3374">
        <f>IF($E3374="","",IF($AA3374="Yes",1,0))</f>
        <v/>
      </c>
      <c r="AR3374">
        <f>IF($AN3374=1,IFERROR(VALUE(MID($E3374,2,20)),1000000000)+ROW()/100000,"")</f>
        <v/>
      </c>
    </row>
    <row r="3375">
      <c r="G3375" s="11" t="n"/>
      <c r="Q3375" s="7">
        <f>IF($E3375="","",P3375*Y3375/100)</f>
        <v/>
      </c>
      <c r="R3375" s="7" t="n"/>
      <c r="X3375" s="7" t="n"/>
      <c r="Y3375" s="7" t="n"/>
      <c r="AB3375">
        <f>IF($E3375="","",IF($AQ3375=1,0,IF($AP3375=1,Settings!$C$6,Settings!$C$7))*100)</f>
        <v/>
      </c>
      <c r="AC3375" s="7">
        <f>IF($E3375="","",Y3375*AB3375/100)</f>
        <v/>
      </c>
      <c r="AD3375" s="7">
        <f>IF($E3375="","",Y3375-AC3375)</f>
        <v/>
      </c>
      <c r="AE3375" s="7">
        <f>IF($E3375="","",AD3375-Q3375)</f>
        <v/>
      </c>
      <c r="AI3375" s="7" t="n"/>
      <c r="AL3375" s="11" t="n"/>
      <c r="AN3375">
        <f>IF($E3375="","",IF(COUNTIF($E$2:$E3375,$E3375)=1,1,0))</f>
        <v/>
      </c>
      <c r="AO3375">
        <f>IF($AN3375=1,SUMPRODUCT(--($AR$2:$AR$4001&lt;$AR3375))+1,"")</f>
        <v/>
      </c>
      <c r="AP3375">
        <f>IF($E3375="","",IF(OR($U3375=TRUE(),$U3375="TRUE"),1,0))</f>
        <v/>
      </c>
      <c r="AQ3375">
        <f>IF($E3375="","",IF($AA3375="Yes",1,0))</f>
        <v/>
      </c>
      <c r="AR3375">
        <f>IF($AN3375=1,IFERROR(VALUE(MID($E3375,2,20)),1000000000)+ROW()/100000,"")</f>
        <v/>
      </c>
    </row>
    <row r="3376">
      <c r="G3376" s="11" t="n"/>
      <c r="Q3376" s="7">
        <f>IF($E3376="","",P3376*Y3376/100)</f>
        <v/>
      </c>
      <c r="R3376" s="7" t="n"/>
      <c r="X3376" s="7" t="n"/>
      <c r="Y3376" s="7" t="n"/>
      <c r="AB3376">
        <f>IF($E3376="","",IF($AQ3376=1,0,IF($AP3376=1,Settings!$C$6,Settings!$C$7))*100)</f>
        <v/>
      </c>
      <c r="AC3376" s="7">
        <f>IF($E3376="","",Y3376*AB3376/100)</f>
        <v/>
      </c>
      <c r="AD3376" s="7">
        <f>IF($E3376="","",Y3376-AC3376)</f>
        <v/>
      </c>
      <c r="AE3376" s="7">
        <f>IF($E3376="","",AD3376-Q3376)</f>
        <v/>
      </c>
      <c r="AI3376" s="7" t="n"/>
      <c r="AL3376" s="11" t="n"/>
      <c r="AN3376">
        <f>IF($E3376="","",IF(COUNTIF($E$2:$E3376,$E3376)=1,1,0))</f>
        <v/>
      </c>
      <c r="AO3376">
        <f>IF($AN3376=1,SUMPRODUCT(--($AR$2:$AR$4001&lt;$AR3376))+1,"")</f>
        <v/>
      </c>
      <c r="AP3376">
        <f>IF($E3376="","",IF(OR($U3376=TRUE(),$U3376="TRUE"),1,0))</f>
        <v/>
      </c>
      <c r="AQ3376">
        <f>IF($E3376="","",IF($AA3376="Yes",1,0))</f>
        <v/>
      </c>
      <c r="AR3376">
        <f>IF($AN3376=1,IFERROR(VALUE(MID($E3376,2,20)),1000000000)+ROW()/100000,"")</f>
        <v/>
      </c>
    </row>
    <row r="3377">
      <c r="G3377" s="11" t="n"/>
      <c r="Q3377" s="7">
        <f>IF($E3377="","",P3377*Y3377/100)</f>
        <v/>
      </c>
      <c r="R3377" s="7" t="n"/>
      <c r="X3377" s="7" t="n"/>
      <c r="Y3377" s="7" t="n"/>
      <c r="AB3377">
        <f>IF($E3377="","",IF($AQ3377=1,0,IF($AP3377=1,Settings!$C$6,Settings!$C$7))*100)</f>
        <v/>
      </c>
      <c r="AC3377" s="7">
        <f>IF($E3377="","",Y3377*AB3377/100)</f>
        <v/>
      </c>
      <c r="AD3377" s="7">
        <f>IF($E3377="","",Y3377-AC3377)</f>
        <v/>
      </c>
      <c r="AE3377" s="7">
        <f>IF($E3377="","",AD3377-Q3377)</f>
        <v/>
      </c>
      <c r="AI3377" s="7" t="n"/>
      <c r="AL3377" s="11" t="n"/>
      <c r="AN3377">
        <f>IF($E3377="","",IF(COUNTIF($E$2:$E3377,$E3377)=1,1,0))</f>
        <v/>
      </c>
      <c r="AO3377">
        <f>IF($AN3377=1,SUMPRODUCT(--($AR$2:$AR$4001&lt;$AR3377))+1,"")</f>
        <v/>
      </c>
      <c r="AP3377">
        <f>IF($E3377="","",IF(OR($U3377=TRUE(),$U3377="TRUE"),1,0))</f>
        <v/>
      </c>
      <c r="AQ3377">
        <f>IF($E3377="","",IF($AA3377="Yes",1,0))</f>
        <v/>
      </c>
      <c r="AR3377">
        <f>IF($AN3377=1,IFERROR(VALUE(MID($E3377,2,20)),1000000000)+ROW()/100000,"")</f>
        <v/>
      </c>
    </row>
    <row r="3378">
      <c r="G3378" s="11" t="n"/>
      <c r="Q3378" s="7">
        <f>IF($E3378="","",P3378*Y3378/100)</f>
        <v/>
      </c>
      <c r="R3378" s="7" t="n"/>
      <c r="X3378" s="7" t="n"/>
      <c r="Y3378" s="7" t="n"/>
      <c r="AB3378">
        <f>IF($E3378="","",IF($AQ3378=1,0,IF($AP3378=1,Settings!$C$6,Settings!$C$7))*100)</f>
        <v/>
      </c>
      <c r="AC3378" s="7">
        <f>IF($E3378="","",Y3378*AB3378/100)</f>
        <v/>
      </c>
      <c r="AD3378" s="7">
        <f>IF($E3378="","",Y3378-AC3378)</f>
        <v/>
      </c>
      <c r="AE3378" s="7">
        <f>IF($E3378="","",AD3378-Q3378)</f>
        <v/>
      </c>
      <c r="AI3378" s="7" t="n"/>
      <c r="AL3378" s="11" t="n"/>
      <c r="AN3378">
        <f>IF($E3378="","",IF(COUNTIF($E$2:$E3378,$E3378)=1,1,0))</f>
        <v/>
      </c>
      <c r="AO3378">
        <f>IF($AN3378=1,SUMPRODUCT(--($AR$2:$AR$4001&lt;$AR3378))+1,"")</f>
        <v/>
      </c>
      <c r="AP3378">
        <f>IF($E3378="","",IF(OR($U3378=TRUE(),$U3378="TRUE"),1,0))</f>
        <v/>
      </c>
      <c r="AQ3378">
        <f>IF($E3378="","",IF($AA3378="Yes",1,0))</f>
        <v/>
      </c>
      <c r="AR3378">
        <f>IF($AN3378=1,IFERROR(VALUE(MID($E3378,2,20)),1000000000)+ROW()/100000,"")</f>
        <v/>
      </c>
    </row>
    <row r="3379">
      <c r="G3379" s="11" t="n"/>
      <c r="Q3379" s="7">
        <f>IF($E3379="","",P3379*Y3379/100)</f>
        <v/>
      </c>
      <c r="R3379" s="7" t="n"/>
      <c r="X3379" s="7" t="n"/>
      <c r="Y3379" s="7" t="n"/>
      <c r="AB3379">
        <f>IF($E3379="","",IF($AQ3379=1,0,IF($AP3379=1,Settings!$C$6,Settings!$C$7))*100)</f>
        <v/>
      </c>
      <c r="AC3379" s="7">
        <f>IF($E3379="","",Y3379*AB3379/100)</f>
        <v/>
      </c>
      <c r="AD3379" s="7">
        <f>IF($E3379="","",Y3379-AC3379)</f>
        <v/>
      </c>
      <c r="AE3379" s="7">
        <f>IF($E3379="","",AD3379-Q3379)</f>
        <v/>
      </c>
      <c r="AI3379" s="7" t="n"/>
      <c r="AL3379" s="11" t="n"/>
      <c r="AN3379">
        <f>IF($E3379="","",IF(COUNTIF($E$2:$E3379,$E3379)=1,1,0))</f>
        <v/>
      </c>
      <c r="AO3379">
        <f>IF($AN3379=1,SUMPRODUCT(--($AR$2:$AR$4001&lt;$AR3379))+1,"")</f>
        <v/>
      </c>
      <c r="AP3379">
        <f>IF($E3379="","",IF(OR($U3379=TRUE(),$U3379="TRUE"),1,0))</f>
        <v/>
      </c>
      <c r="AQ3379">
        <f>IF($E3379="","",IF($AA3379="Yes",1,0))</f>
        <v/>
      </c>
      <c r="AR3379">
        <f>IF($AN3379=1,IFERROR(VALUE(MID($E3379,2,20)),1000000000)+ROW()/100000,"")</f>
        <v/>
      </c>
    </row>
    <row r="3380">
      <c r="G3380" s="11" t="n"/>
      <c r="Q3380" s="7">
        <f>IF($E3380="","",P3380*Y3380/100)</f>
        <v/>
      </c>
      <c r="R3380" s="7" t="n"/>
      <c r="X3380" s="7" t="n"/>
      <c r="Y3380" s="7" t="n"/>
      <c r="AB3380">
        <f>IF($E3380="","",IF($AQ3380=1,0,IF($AP3380=1,Settings!$C$6,Settings!$C$7))*100)</f>
        <v/>
      </c>
      <c r="AC3380" s="7">
        <f>IF($E3380="","",Y3380*AB3380/100)</f>
        <v/>
      </c>
      <c r="AD3380" s="7">
        <f>IF($E3380="","",Y3380-AC3380)</f>
        <v/>
      </c>
      <c r="AE3380" s="7">
        <f>IF($E3380="","",AD3380-Q3380)</f>
        <v/>
      </c>
      <c r="AI3380" s="7" t="n"/>
      <c r="AL3380" s="11" t="n"/>
      <c r="AN3380">
        <f>IF($E3380="","",IF(COUNTIF($E$2:$E3380,$E3380)=1,1,0))</f>
        <v/>
      </c>
      <c r="AO3380">
        <f>IF($AN3380=1,SUMPRODUCT(--($AR$2:$AR$4001&lt;$AR3380))+1,"")</f>
        <v/>
      </c>
      <c r="AP3380">
        <f>IF($E3380="","",IF(OR($U3380=TRUE(),$U3380="TRUE"),1,0))</f>
        <v/>
      </c>
      <c r="AQ3380">
        <f>IF($E3380="","",IF($AA3380="Yes",1,0))</f>
        <v/>
      </c>
      <c r="AR3380">
        <f>IF($AN3380=1,IFERROR(VALUE(MID($E3380,2,20)),1000000000)+ROW()/100000,"")</f>
        <v/>
      </c>
    </row>
    <row r="3381">
      <c r="G3381" s="11" t="n"/>
      <c r="Q3381" s="7">
        <f>IF($E3381="","",P3381*Y3381/100)</f>
        <v/>
      </c>
      <c r="R3381" s="7" t="n"/>
      <c r="X3381" s="7" t="n"/>
      <c r="Y3381" s="7" t="n"/>
      <c r="AB3381">
        <f>IF($E3381="","",IF($AQ3381=1,0,IF($AP3381=1,Settings!$C$6,Settings!$C$7))*100)</f>
        <v/>
      </c>
      <c r="AC3381" s="7">
        <f>IF($E3381="","",Y3381*AB3381/100)</f>
        <v/>
      </c>
      <c r="AD3381" s="7">
        <f>IF($E3381="","",Y3381-AC3381)</f>
        <v/>
      </c>
      <c r="AE3381" s="7">
        <f>IF($E3381="","",AD3381-Q3381)</f>
        <v/>
      </c>
      <c r="AI3381" s="7" t="n"/>
      <c r="AL3381" s="11" t="n"/>
      <c r="AN3381">
        <f>IF($E3381="","",IF(COUNTIF($E$2:$E3381,$E3381)=1,1,0))</f>
        <v/>
      </c>
      <c r="AO3381">
        <f>IF($AN3381=1,SUMPRODUCT(--($AR$2:$AR$4001&lt;$AR3381))+1,"")</f>
        <v/>
      </c>
      <c r="AP3381">
        <f>IF($E3381="","",IF(OR($U3381=TRUE(),$U3381="TRUE"),1,0))</f>
        <v/>
      </c>
      <c r="AQ3381">
        <f>IF($E3381="","",IF($AA3381="Yes",1,0))</f>
        <v/>
      </c>
      <c r="AR3381">
        <f>IF($AN3381=1,IFERROR(VALUE(MID($E3381,2,20)),1000000000)+ROW()/100000,"")</f>
        <v/>
      </c>
    </row>
    <row r="3382">
      <c r="G3382" s="11" t="n"/>
      <c r="Q3382" s="7">
        <f>IF($E3382="","",P3382*Y3382/100)</f>
        <v/>
      </c>
      <c r="R3382" s="7" t="n"/>
      <c r="X3382" s="7" t="n"/>
      <c r="Y3382" s="7" t="n"/>
      <c r="AB3382">
        <f>IF($E3382="","",IF($AQ3382=1,0,IF($AP3382=1,Settings!$C$6,Settings!$C$7))*100)</f>
        <v/>
      </c>
      <c r="AC3382" s="7">
        <f>IF($E3382="","",Y3382*AB3382/100)</f>
        <v/>
      </c>
      <c r="AD3382" s="7">
        <f>IF($E3382="","",Y3382-AC3382)</f>
        <v/>
      </c>
      <c r="AE3382" s="7">
        <f>IF($E3382="","",AD3382-Q3382)</f>
        <v/>
      </c>
      <c r="AI3382" s="7" t="n"/>
      <c r="AL3382" s="11" t="n"/>
      <c r="AN3382">
        <f>IF($E3382="","",IF(COUNTIF($E$2:$E3382,$E3382)=1,1,0))</f>
        <v/>
      </c>
      <c r="AO3382">
        <f>IF($AN3382=1,SUMPRODUCT(--($AR$2:$AR$4001&lt;$AR3382))+1,"")</f>
        <v/>
      </c>
      <c r="AP3382">
        <f>IF($E3382="","",IF(OR($U3382=TRUE(),$U3382="TRUE"),1,0))</f>
        <v/>
      </c>
      <c r="AQ3382">
        <f>IF($E3382="","",IF($AA3382="Yes",1,0))</f>
        <v/>
      </c>
      <c r="AR3382">
        <f>IF($AN3382=1,IFERROR(VALUE(MID($E3382,2,20)),1000000000)+ROW()/100000,"")</f>
        <v/>
      </c>
    </row>
    <row r="3383">
      <c r="G3383" s="11" t="n"/>
      <c r="Q3383" s="7">
        <f>IF($E3383="","",P3383*Y3383/100)</f>
        <v/>
      </c>
      <c r="R3383" s="7" t="n"/>
      <c r="X3383" s="7" t="n"/>
      <c r="Y3383" s="7" t="n"/>
      <c r="AB3383">
        <f>IF($E3383="","",IF($AQ3383=1,0,IF($AP3383=1,Settings!$C$6,Settings!$C$7))*100)</f>
        <v/>
      </c>
      <c r="AC3383" s="7">
        <f>IF($E3383="","",Y3383*AB3383/100)</f>
        <v/>
      </c>
      <c r="AD3383" s="7">
        <f>IF($E3383="","",Y3383-AC3383)</f>
        <v/>
      </c>
      <c r="AE3383" s="7">
        <f>IF($E3383="","",AD3383-Q3383)</f>
        <v/>
      </c>
      <c r="AI3383" s="7" t="n"/>
      <c r="AL3383" s="11" t="n"/>
      <c r="AN3383">
        <f>IF($E3383="","",IF(COUNTIF($E$2:$E3383,$E3383)=1,1,0))</f>
        <v/>
      </c>
      <c r="AO3383">
        <f>IF($AN3383=1,SUMPRODUCT(--($AR$2:$AR$4001&lt;$AR3383))+1,"")</f>
        <v/>
      </c>
      <c r="AP3383">
        <f>IF($E3383="","",IF(OR($U3383=TRUE(),$U3383="TRUE"),1,0))</f>
        <v/>
      </c>
      <c r="AQ3383">
        <f>IF($E3383="","",IF($AA3383="Yes",1,0))</f>
        <v/>
      </c>
      <c r="AR3383">
        <f>IF($AN3383=1,IFERROR(VALUE(MID($E3383,2,20)),1000000000)+ROW()/100000,"")</f>
        <v/>
      </c>
    </row>
    <row r="3384">
      <c r="G3384" s="11" t="n"/>
      <c r="Q3384" s="7">
        <f>IF($E3384="","",P3384*Y3384/100)</f>
        <v/>
      </c>
      <c r="R3384" s="7" t="n"/>
      <c r="X3384" s="7" t="n"/>
      <c r="Y3384" s="7" t="n"/>
      <c r="AB3384">
        <f>IF($E3384="","",IF($AQ3384=1,0,IF($AP3384=1,Settings!$C$6,Settings!$C$7))*100)</f>
        <v/>
      </c>
      <c r="AC3384" s="7">
        <f>IF($E3384="","",Y3384*AB3384/100)</f>
        <v/>
      </c>
      <c r="AD3384" s="7">
        <f>IF($E3384="","",Y3384-AC3384)</f>
        <v/>
      </c>
      <c r="AE3384" s="7">
        <f>IF($E3384="","",AD3384-Q3384)</f>
        <v/>
      </c>
      <c r="AI3384" s="7" t="n"/>
      <c r="AL3384" s="11" t="n"/>
      <c r="AN3384">
        <f>IF($E3384="","",IF(COUNTIF($E$2:$E3384,$E3384)=1,1,0))</f>
        <v/>
      </c>
      <c r="AO3384">
        <f>IF($AN3384=1,SUMPRODUCT(--($AR$2:$AR$4001&lt;$AR3384))+1,"")</f>
        <v/>
      </c>
      <c r="AP3384">
        <f>IF($E3384="","",IF(OR($U3384=TRUE(),$U3384="TRUE"),1,0))</f>
        <v/>
      </c>
      <c r="AQ3384">
        <f>IF($E3384="","",IF($AA3384="Yes",1,0))</f>
        <v/>
      </c>
      <c r="AR3384">
        <f>IF($AN3384=1,IFERROR(VALUE(MID($E3384,2,20)),1000000000)+ROW()/100000,"")</f>
        <v/>
      </c>
    </row>
    <row r="3385">
      <c r="G3385" s="11" t="n"/>
      <c r="Q3385" s="7">
        <f>IF($E3385="","",P3385*Y3385/100)</f>
        <v/>
      </c>
      <c r="R3385" s="7" t="n"/>
      <c r="X3385" s="7" t="n"/>
      <c r="Y3385" s="7" t="n"/>
      <c r="AB3385">
        <f>IF($E3385="","",IF($AQ3385=1,0,IF($AP3385=1,Settings!$C$6,Settings!$C$7))*100)</f>
        <v/>
      </c>
      <c r="AC3385" s="7">
        <f>IF($E3385="","",Y3385*AB3385/100)</f>
        <v/>
      </c>
      <c r="AD3385" s="7">
        <f>IF($E3385="","",Y3385-AC3385)</f>
        <v/>
      </c>
      <c r="AE3385" s="7">
        <f>IF($E3385="","",AD3385-Q3385)</f>
        <v/>
      </c>
      <c r="AI3385" s="7" t="n"/>
      <c r="AL3385" s="11" t="n"/>
      <c r="AN3385">
        <f>IF($E3385="","",IF(COUNTIF($E$2:$E3385,$E3385)=1,1,0))</f>
        <v/>
      </c>
      <c r="AO3385">
        <f>IF($AN3385=1,SUMPRODUCT(--($AR$2:$AR$4001&lt;$AR3385))+1,"")</f>
        <v/>
      </c>
      <c r="AP3385">
        <f>IF($E3385="","",IF(OR($U3385=TRUE(),$U3385="TRUE"),1,0))</f>
        <v/>
      </c>
      <c r="AQ3385">
        <f>IF($E3385="","",IF($AA3385="Yes",1,0))</f>
        <v/>
      </c>
      <c r="AR3385">
        <f>IF($AN3385=1,IFERROR(VALUE(MID($E3385,2,20)),1000000000)+ROW()/100000,"")</f>
        <v/>
      </c>
    </row>
    <row r="3386">
      <c r="G3386" s="11" t="n"/>
      <c r="Q3386" s="7">
        <f>IF($E3386="","",P3386*Y3386/100)</f>
        <v/>
      </c>
      <c r="R3386" s="7" t="n"/>
      <c r="X3386" s="7" t="n"/>
      <c r="Y3386" s="7" t="n"/>
      <c r="AB3386">
        <f>IF($E3386="","",IF($AQ3386=1,0,IF($AP3386=1,Settings!$C$6,Settings!$C$7))*100)</f>
        <v/>
      </c>
      <c r="AC3386" s="7">
        <f>IF($E3386="","",Y3386*AB3386/100)</f>
        <v/>
      </c>
      <c r="AD3386" s="7">
        <f>IF($E3386="","",Y3386-AC3386)</f>
        <v/>
      </c>
      <c r="AE3386" s="7">
        <f>IF($E3386="","",AD3386-Q3386)</f>
        <v/>
      </c>
      <c r="AI3386" s="7" t="n"/>
      <c r="AL3386" s="11" t="n"/>
      <c r="AN3386">
        <f>IF($E3386="","",IF(COUNTIF($E$2:$E3386,$E3386)=1,1,0))</f>
        <v/>
      </c>
      <c r="AO3386">
        <f>IF($AN3386=1,SUMPRODUCT(--($AR$2:$AR$4001&lt;$AR3386))+1,"")</f>
        <v/>
      </c>
      <c r="AP3386">
        <f>IF($E3386="","",IF(OR($U3386=TRUE(),$U3386="TRUE"),1,0))</f>
        <v/>
      </c>
      <c r="AQ3386">
        <f>IF($E3386="","",IF($AA3386="Yes",1,0))</f>
        <v/>
      </c>
      <c r="AR3386">
        <f>IF($AN3386=1,IFERROR(VALUE(MID($E3386,2,20)),1000000000)+ROW()/100000,"")</f>
        <v/>
      </c>
    </row>
    <row r="3387">
      <c r="G3387" s="11" t="n"/>
      <c r="Q3387" s="7">
        <f>IF($E3387="","",P3387*Y3387/100)</f>
        <v/>
      </c>
      <c r="R3387" s="7" t="n"/>
      <c r="X3387" s="7" t="n"/>
      <c r="Y3387" s="7" t="n"/>
      <c r="AB3387">
        <f>IF($E3387="","",IF($AQ3387=1,0,IF($AP3387=1,Settings!$C$6,Settings!$C$7))*100)</f>
        <v/>
      </c>
      <c r="AC3387" s="7">
        <f>IF($E3387="","",Y3387*AB3387/100)</f>
        <v/>
      </c>
      <c r="AD3387" s="7">
        <f>IF($E3387="","",Y3387-AC3387)</f>
        <v/>
      </c>
      <c r="AE3387" s="7">
        <f>IF($E3387="","",AD3387-Q3387)</f>
        <v/>
      </c>
      <c r="AI3387" s="7" t="n"/>
      <c r="AL3387" s="11" t="n"/>
      <c r="AN3387">
        <f>IF($E3387="","",IF(COUNTIF($E$2:$E3387,$E3387)=1,1,0))</f>
        <v/>
      </c>
      <c r="AO3387">
        <f>IF($AN3387=1,SUMPRODUCT(--($AR$2:$AR$4001&lt;$AR3387))+1,"")</f>
        <v/>
      </c>
      <c r="AP3387">
        <f>IF($E3387="","",IF(OR($U3387=TRUE(),$U3387="TRUE"),1,0))</f>
        <v/>
      </c>
      <c r="AQ3387">
        <f>IF($E3387="","",IF($AA3387="Yes",1,0))</f>
        <v/>
      </c>
      <c r="AR3387">
        <f>IF($AN3387=1,IFERROR(VALUE(MID($E3387,2,20)),1000000000)+ROW()/100000,"")</f>
        <v/>
      </c>
    </row>
    <row r="3388">
      <c r="G3388" s="11" t="n"/>
      <c r="Q3388" s="7">
        <f>IF($E3388="","",P3388*Y3388/100)</f>
        <v/>
      </c>
      <c r="R3388" s="7" t="n"/>
      <c r="X3388" s="7" t="n"/>
      <c r="Y3388" s="7" t="n"/>
      <c r="AB3388">
        <f>IF($E3388="","",IF($AQ3388=1,0,IF($AP3388=1,Settings!$C$6,Settings!$C$7))*100)</f>
        <v/>
      </c>
      <c r="AC3388" s="7">
        <f>IF($E3388="","",Y3388*AB3388/100)</f>
        <v/>
      </c>
      <c r="AD3388" s="7">
        <f>IF($E3388="","",Y3388-AC3388)</f>
        <v/>
      </c>
      <c r="AE3388" s="7">
        <f>IF($E3388="","",AD3388-Q3388)</f>
        <v/>
      </c>
      <c r="AI3388" s="7" t="n"/>
      <c r="AL3388" s="11" t="n"/>
      <c r="AN3388">
        <f>IF($E3388="","",IF(COUNTIF($E$2:$E3388,$E3388)=1,1,0))</f>
        <v/>
      </c>
      <c r="AO3388">
        <f>IF($AN3388=1,SUMPRODUCT(--($AR$2:$AR$4001&lt;$AR3388))+1,"")</f>
        <v/>
      </c>
      <c r="AP3388">
        <f>IF($E3388="","",IF(OR($U3388=TRUE(),$U3388="TRUE"),1,0))</f>
        <v/>
      </c>
      <c r="AQ3388">
        <f>IF($E3388="","",IF($AA3388="Yes",1,0))</f>
        <v/>
      </c>
      <c r="AR3388">
        <f>IF($AN3388=1,IFERROR(VALUE(MID($E3388,2,20)),1000000000)+ROW()/100000,"")</f>
        <v/>
      </c>
    </row>
    <row r="3389">
      <c r="G3389" s="11" t="n"/>
      <c r="Q3389" s="7">
        <f>IF($E3389="","",P3389*Y3389/100)</f>
        <v/>
      </c>
      <c r="R3389" s="7" t="n"/>
      <c r="X3389" s="7" t="n"/>
      <c r="Y3389" s="7" t="n"/>
      <c r="AB3389">
        <f>IF($E3389="","",IF($AQ3389=1,0,IF($AP3389=1,Settings!$C$6,Settings!$C$7))*100)</f>
        <v/>
      </c>
      <c r="AC3389" s="7">
        <f>IF($E3389="","",Y3389*AB3389/100)</f>
        <v/>
      </c>
      <c r="AD3389" s="7">
        <f>IF($E3389="","",Y3389-AC3389)</f>
        <v/>
      </c>
      <c r="AE3389" s="7">
        <f>IF($E3389="","",AD3389-Q3389)</f>
        <v/>
      </c>
      <c r="AI3389" s="7" t="n"/>
      <c r="AL3389" s="11" t="n"/>
      <c r="AN3389">
        <f>IF($E3389="","",IF(COUNTIF($E$2:$E3389,$E3389)=1,1,0))</f>
        <v/>
      </c>
      <c r="AO3389">
        <f>IF($AN3389=1,SUMPRODUCT(--($AR$2:$AR$4001&lt;$AR3389))+1,"")</f>
        <v/>
      </c>
      <c r="AP3389">
        <f>IF($E3389="","",IF(OR($U3389=TRUE(),$U3389="TRUE"),1,0))</f>
        <v/>
      </c>
      <c r="AQ3389">
        <f>IF($E3389="","",IF($AA3389="Yes",1,0))</f>
        <v/>
      </c>
      <c r="AR3389">
        <f>IF($AN3389=1,IFERROR(VALUE(MID($E3389,2,20)),1000000000)+ROW()/100000,"")</f>
        <v/>
      </c>
    </row>
    <row r="3390">
      <c r="G3390" s="11" t="n"/>
      <c r="Q3390" s="7">
        <f>IF($E3390="","",P3390*Y3390/100)</f>
        <v/>
      </c>
      <c r="R3390" s="7" t="n"/>
      <c r="X3390" s="7" t="n"/>
      <c r="Y3390" s="7" t="n"/>
      <c r="AB3390">
        <f>IF($E3390="","",IF($AQ3390=1,0,IF($AP3390=1,Settings!$C$6,Settings!$C$7))*100)</f>
        <v/>
      </c>
      <c r="AC3390" s="7">
        <f>IF($E3390="","",Y3390*AB3390/100)</f>
        <v/>
      </c>
      <c r="AD3390" s="7">
        <f>IF($E3390="","",Y3390-AC3390)</f>
        <v/>
      </c>
      <c r="AE3390" s="7">
        <f>IF($E3390="","",AD3390-Q3390)</f>
        <v/>
      </c>
      <c r="AI3390" s="7" t="n"/>
      <c r="AL3390" s="11" t="n"/>
      <c r="AN3390">
        <f>IF($E3390="","",IF(COUNTIF($E$2:$E3390,$E3390)=1,1,0))</f>
        <v/>
      </c>
      <c r="AO3390">
        <f>IF($AN3390=1,SUMPRODUCT(--($AR$2:$AR$4001&lt;$AR3390))+1,"")</f>
        <v/>
      </c>
      <c r="AP3390">
        <f>IF($E3390="","",IF(OR($U3390=TRUE(),$U3390="TRUE"),1,0))</f>
        <v/>
      </c>
      <c r="AQ3390">
        <f>IF($E3390="","",IF($AA3390="Yes",1,0))</f>
        <v/>
      </c>
      <c r="AR3390">
        <f>IF($AN3390=1,IFERROR(VALUE(MID($E3390,2,20)),1000000000)+ROW()/100000,"")</f>
        <v/>
      </c>
    </row>
    <row r="3391">
      <c r="G3391" s="11" t="n"/>
      <c r="Q3391" s="7">
        <f>IF($E3391="","",P3391*Y3391/100)</f>
        <v/>
      </c>
      <c r="R3391" s="7" t="n"/>
      <c r="X3391" s="7" t="n"/>
      <c r="Y3391" s="7" t="n"/>
      <c r="AB3391">
        <f>IF($E3391="","",IF($AQ3391=1,0,IF($AP3391=1,Settings!$C$6,Settings!$C$7))*100)</f>
        <v/>
      </c>
      <c r="AC3391" s="7">
        <f>IF($E3391="","",Y3391*AB3391/100)</f>
        <v/>
      </c>
      <c r="AD3391" s="7">
        <f>IF($E3391="","",Y3391-AC3391)</f>
        <v/>
      </c>
      <c r="AE3391" s="7">
        <f>IF($E3391="","",AD3391-Q3391)</f>
        <v/>
      </c>
      <c r="AI3391" s="7" t="n"/>
      <c r="AL3391" s="11" t="n"/>
      <c r="AN3391">
        <f>IF($E3391="","",IF(COUNTIF($E$2:$E3391,$E3391)=1,1,0))</f>
        <v/>
      </c>
      <c r="AO3391">
        <f>IF($AN3391=1,SUMPRODUCT(--($AR$2:$AR$4001&lt;$AR3391))+1,"")</f>
        <v/>
      </c>
      <c r="AP3391">
        <f>IF($E3391="","",IF(OR($U3391=TRUE(),$U3391="TRUE"),1,0))</f>
        <v/>
      </c>
      <c r="AQ3391">
        <f>IF($E3391="","",IF($AA3391="Yes",1,0))</f>
        <v/>
      </c>
      <c r="AR3391">
        <f>IF($AN3391=1,IFERROR(VALUE(MID($E3391,2,20)),1000000000)+ROW()/100000,"")</f>
        <v/>
      </c>
    </row>
    <row r="3392">
      <c r="G3392" s="11" t="n"/>
      <c r="Q3392" s="7">
        <f>IF($E3392="","",P3392*Y3392/100)</f>
        <v/>
      </c>
      <c r="R3392" s="7" t="n"/>
      <c r="X3392" s="7" t="n"/>
      <c r="Y3392" s="7" t="n"/>
      <c r="AB3392">
        <f>IF($E3392="","",IF($AQ3392=1,0,IF($AP3392=1,Settings!$C$6,Settings!$C$7))*100)</f>
        <v/>
      </c>
      <c r="AC3392" s="7">
        <f>IF($E3392="","",Y3392*AB3392/100)</f>
        <v/>
      </c>
      <c r="AD3392" s="7">
        <f>IF($E3392="","",Y3392-AC3392)</f>
        <v/>
      </c>
      <c r="AE3392" s="7">
        <f>IF($E3392="","",AD3392-Q3392)</f>
        <v/>
      </c>
      <c r="AI3392" s="7" t="n"/>
      <c r="AL3392" s="11" t="n"/>
      <c r="AN3392">
        <f>IF($E3392="","",IF(COUNTIF($E$2:$E3392,$E3392)=1,1,0))</f>
        <v/>
      </c>
      <c r="AO3392">
        <f>IF($AN3392=1,SUMPRODUCT(--($AR$2:$AR$4001&lt;$AR3392))+1,"")</f>
        <v/>
      </c>
      <c r="AP3392">
        <f>IF($E3392="","",IF(OR($U3392=TRUE(),$U3392="TRUE"),1,0))</f>
        <v/>
      </c>
      <c r="AQ3392">
        <f>IF($E3392="","",IF($AA3392="Yes",1,0))</f>
        <v/>
      </c>
      <c r="AR3392">
        <f>IF($AN3392=1,IFERROR(VALUE(MID($E3392,2,20)),1000000000)+ROW()/100000,"")</f>
        <v/>
      </c>
    </row>
    <row r="3393">
      <c r="G3393" s="11" t="n"/>
      <c r="Q3393" s="7">
        <f>IF($E3393="","",P3393*Y3393/100)</f>
        <v/>
      </c>
      <c r="R3393" s="7" t="n"/>
      <c r="X3393" s="7" t="n"/>
      <c r="Y3393" s="7" t="n"/>
      <c r="AB3393">
        <f>IF($E3393="","",IF($AQ3393=1,0,IF($AP3393=1,Settings!$C$6,Settings!$C$7))*100)</f>
        <v/>
      </c>
      <c r="AC3393" s="7">
        <f>IF($E3393="","",Y3393*AB3393/100)</f>
        <v/>
      </c>
      <c r="AD3393" s="7">
        <f>IF($E3393="","",Y3393-AC3393)</f>
        <v/>
      </c>
      <c r="AE3393" s="7">
        <f>IF($E3393="","",AD3393-Q3393)</f>
        <v/>
      </c>
      <c r="AI3393" s="7" t="n"/>
      <c r="AL3393" s="11" t="n"/>
      <c r="AN3393">
        <f>IF($E3393="","",IF(COUNTIF($E$2:$E3393,$E3393)=1,1,0))</f>
        <v/>
      </c>
      <c r="AO3393">
        <f>IF($AN3393=1,SUMPRODUCT(--($AR$2:$AR$4001&lt;$AR3393))+1,"")</f>
        <v/>
      </c>
      <c r="AP3393">
        <f>IF($E3393="","",IF(OR($U3393=TRUE(),$U3393="TRUE"),1,0))</f>
        <v/>
      </c>
      <c r="AQ3393">
        <f>IF($E3393="","",IF($AA3393="Yes",1,0))</f>
        <v/>
      </c>
      <c r="AR3393">
        <f>IF($AN3393=1,IFERROR(VALUE(MID($E3393,2,20)),1000000000)+ROW()/100000,"")</f>
        <v/>
      </c>
    </row>
    <row r="3394">
      <c r="G3394" s="11" t="n"/>
      <c r="Q3394" s="7">
        <f>IF($E3394="","",P3394*Y3394/100)</f>
        <v/>
      </c>
      <c r="R3394" s="7" t="n"/>
      <c r="X3394" s="7" t="n"/>
      <c r="Y3394" s="7" t="n"/>
      <c r="AB3394">
        <f>IF($E3394="","",IF($AQ3394=1,0,IF($AP3394=1,Settings!$C$6,Settings!$C$7))*100)</f>
        <v/>
      </c>
      <c r="AC3394" s="7">
        <f>IF($E3394="","",Y3394*AB3394/100)</f>
        <v/>
      </c>
      <c r="AD3394" s="7">
        <f>IF($E3394="","",Y3394-AC3394)</f>
        <v/>
      </c>
      <c r="AE3394" s="7">
        <f>IF($E3394="","",AD3394-Q3394)</f>
        <v/>
      </c>
      <c r="AI3394" s="7" t="n"/>
      <c r="AL3394" s="11" t="n"/>
      <c r="AN3394">
        <f>IF($E3394="","",IF(COUNTIF($E$2:$E3394,$E3394)=1,1,0))</f>
        <v/>
      </c>
      <c r="AO3394">
        <f>IF($AN3394=1,SUMPRODUCT(--($AR$2:$AR$4001&lt;$AR3394))+1,"")</f>
        <v/>
      </c>
      <c r="AP3394">
        <f>IF($E3394="","",IF(OR($U3394=TRUE(),$U3394="TRUE"),1,0))</f>
        <v/>
      </c>
      <c r="AQ3394">
        <f>IF($E3394="","",IF($AA3394="Yes",1,0))</f>
        <v/>
      </c>
      <c r="AR3394">
        <f>IF($AN3394=1,IFERROR(VALUE(MID($E3394,2,20)),1000000000)+ROW()/100000,"")</f>
        <v/>
      </c>
    </row>
    <row r="3395">
      <c r="G3395" s="11" t="n"/>
      <c r="Q3395" s="7">
        <f>IF($E3395="","",P3395*Y3395/100)</f>
        <v/>
      </c>
      <c r="R3395" s="7" t="n"/>
      <c r="X3395" s="7" t="n"/>
      <c r="Y3395" s="7" t="n"/>
      <c r="AB3395">
        <f>IF($E3395="","",IF($AQ3395=1,0,IF($AP3395=1,Settings!$C$6,Settings!$C$7))*100)</f>
        <v/>
      </c>
      <c r="AC3395" s="7">
        <f>IF($E3395="","",Y3395*AB3395/100)</f>
        <v/>
      </c>
      <c r="AD3395" s="7">
        <f>IF($E3395="","",Y3395-AC3395)</f>
        <v/>
      </c>
      <c r="AE3395" s="7">
        <f>IF($E3395="","",AD3395-Q3395)</f>
        <v/>
      </c>
      <c r="AI3395" s="7" t="n"/>
      <c r="AL3395" s="11" t="n"/>
      <c r="AN3395">
        <f>IF($E3395="","",IF(COUNTIF($E$2:$E3395,$E3395)=1,1,0))</f>
        <v/>
      </c>
      <c r="AO3395">
        <f>IF($AN3395=1,SUMPRODUCT(--($AR$2:$AR$4001&lt;$AR3395))+1,"")</f>
        <v/>
      </c>
      <c r="AP3395">
        <f>IF($E3395="","",IF(OR($U3395=TRUE(),$U3395="TRUE"),1,0))</f>
        <v/>
      </c>
      <c r="AQ3395">
        <f>IF($E3395="","",IF($AA3395="Yes",1,0))</f>
        <v/>
      </c>
      <c r="AR3395">
        <f>IF($AN3395=1,IFERROR(VALUE(MID($E3395,2,20)),1000000000)+ROW()/100000,"")</f>
        <v/>
      </c>
    </row>
    <row r="3396">
      <c r="G3396" s="11" t="n"/>
      <c r="Q3396" s="7">
        <f>IF($E3396="","",P3396*Y3396/100)</f>
        <v/>
      </c>
      <c r="R3396" s="7" t="n"/>
      <c r="X3396" s="7" t="n"/>
      <c r="Y3396" s="7" t="n"/>
      <c r="AB3396">
        <f>IF($E3396="","",IF($AQ3396=1,0,IF($AP3396=1,Settings!$C$6,Settings!$C$7))*100)</f>
        <v/>
      </c>
      <c r="AC3396" s="7">
        <f>IF($E3396="","",Y3396*AB3396/100)</f>
        <v/>
      </c>
      <c r="AD3396" s="7">
        <f>IF($E3396="","",Y3396-AC3396)</f>
        <v/>
      </c>
      <c r="AE3396" s="7">
        <f>IF($E3396="","",AD3396-Q3396)</f>
        <v/>
      </c>
      <c r="AI3396" s="7" t="n"/>
      <c r="AL3396" s="11" t="n"/>
      <c r="AN3396">
        <f>IF($E3396="","",IF(COUNTIF($E$2:$E3396,$E3396)=1,1,0))</f>
        <v/>
      </c>
      <c r="AO3396">
        <f>IF($AN3396=1,SUMPRODUCT(--($AR$2:$AR$4001&lt;$AR3396))+1,"")</f>
        <v/>
      </c>
      <c r="AP3396">
        <f>IF($E3396="","",IF(OR($U3396=TRUE(),$U3396="TRUE"),1,0))</f>
        <v/>
      </c>
      <c r="AQ3396">
        <f>IF($E3396="","",IF($AA3396="Yes",1,0))</f>
        <v/>
      </c>
      <c r="AR3396">
        <f>IF($AN3396=1,IFERROR(VALUE(MID($E3396,2,20)),1000000000)+ROW()/100000,"")</f>
        <v/>
      </c>
    </row>
    <row r="3397">
      <c r="G3397" s="11" t="n"/>
      <c r="Q3397" s="7">
        <f>IF($E3397="","",P3397*Y3397/100)</f>
        <v/>
      </c>
      <c r="R3397" s="7" t="n"/>
      <c r="X3397" s="7" t="n"/>
      <c r="Y3397" s="7" t="n"/>
      <c r="AB3397">
        <f>IF($E3397="","",IF($AQ3397=1,0,IF($AP3397=1,Settings!$C$6,Settings!$C$7))*100)</f>
        <v/>
      </c>
      <c r="AC3397" s="7">
        <f>IF($E3397="","",Y3397*AB3397/100)</f>
        <v/>
      </c>
      <c r="AD3397" s="7">
        <f>IF($E3397="","",Y3397-AC3397)</f>
        <v/>
      </c>
      <c r="AE3397" s="7">
        <f>IF($E3397="","",AD3397-Q3397)</f>
        <v/>
      </c>
      <c r="AI3397" s="7" t="n"/>
      <c r="AL3397" s="11" t="n"/>
      <c r="AN3397">
        <f>IF($E3397="","",IF(COUNTIF($E$2:$E3397,$E3397)=1,1,0))</f>
        <v/>
      </c>
      <c r="AO3397">
        <f>IF($AN3397=1,SUMPRODUCT(--($AR$2:$AR$4001&lt;$AR3397))+1,"")</f>
        <v/>
      </c>
      <c r="AP3397">
        <f>IF($E3397="","",IF(OR($U3397=TRUE(),$U3397="TRUE"),1,0))</f>
        <v/>
      </c>
      <c r="AQ3397">
        <f>IF($E3397="","",IF($AA3397="Yes",1,0))</f>
        <v/>
      </c>
      <c r="AR3397">
        <f>IF($AN3397=1,IFERROR(VALUE(MID($E3397,2,20)),1000000000)+ROW()/100000,"")</f>
        <v/>
      </c>
    </row>
    <row r="3398">
      <c r="G3398" s="11" t="n"/>
      <c r="Q3398" s="7">
        <f>IF($E3398="","",P3398*Y3398/100)</f>
        <v/>
      </c>
      <c r="R3398" s="7" t="n"/>
      <c r="X3398" s="7" t="n"/>
      <c r="Y3398" s="7" t="n"/>
      <c r="AB3398">
        <f>IF($E3398="","",IF($AQ3398=1,0,IF($AP3398=1,Settings!$C$6,Settings!$C$7))*100)</f>
        <v/>
      </c>
      <c r="AC3398" s="7">
        <f>IF($E3398="","",Y3398*AB3398/100)</f>
        <v/>
      </c>
      <c r="AD3398" s="7">
        <f>IF($E3398="","",Y3398-AC3398)</f>
        <v/>
      </c>
      <c r="AE3398" s="7">
        <f>IF($E3398="","",AD3398-Q3398)</f>
        <v/>
      </c>
      <c r="AI3398" s="7" t="n"/>
      <c r="AL3398" s="11" t="n"/>
      <c r="AN3398">
        <f>IF($E3398="","",IF(COUNTIF($E$2:$E3398,$E3398)=1,1,0))</f>
        <v/>
      </c>
      <c r="AO3398">
        <f>IF($AN3398=1,SUMPRODUCT(--($AR$2:$AR$4001&lt;$AR3398))+1,"")</f>
        <v/>
      </c>
      <c r="AP3398">
        <f>IF($E3398="","",IF(OR($U3398=TRUE(),$U3398="TRUE"),1,0))</f>
        <v/>
      </c>
      <c r="AQ3398">
        <f>IF($E3398="","",IF($AA3398="Yes",1,0))</f>
        <v/>
      </c>
      <c r="AR3398">
        <f>IF($AN3398=1,IFERROR(VALUE(MID($E3398,2,20)),1000000000)+ROW()/100000,"")</f>
        <v/>
      </c>
    </row>
    <row r="3399">
      <c r="G3399" s="11" t="n"/>
      <c r="Q3399" s="7">
        <f>IF($E3399="","",P3399*Y3399/100)</f>
        <v/>
      </c>
      <c r="R3399" s="7" t="n"/>
      <c r="X3399" s="7" t="n"/>
      <c r="Y3399" s="7" t="n"/>
      <c r="AB3399">
        <f>IF($E3399="","",IF($AQ3399=1,0,IF($AP3399=1,Settings!$C$6,Settings!$C$7))*100)</f>
        <v/>
      </c>
      <c r="AC3399" s="7">
        <f>IF($E3399="","",Y3399*AB3399/100)</f>
        <v/>
      </c>
      <c r="AD3399" s="7">
        <f>IF($E3399="","",Y3399-AC3399)</f>
        <v/>
      </c>
      <c r="AE3399" s="7">
        <f>IF($E3399="","",AD3399-Q3399)</f>
        <v/>
      </c>
      <c r="AI3399" s="7" t="n"/>
      <c r="AL3399" s="11" t="n"/>
      <c r="AN3399">
        <f>IF($E3399="","",IF(COUNTIF($E$2:$E3399,$E3399)=1,1,0))</f>
        <v/>
      </c>
      <c r="AO3399">
        <f>IF($AN3399=1,SUMPRODUCT(--($AR$2:$AR$4001&lt;$AR3399))+1,"")</f>
        <v/>
      </c>
      <c r="AP3399">
        <f>IF($E3399="","",IF(OR($U3399=TRUE(),$U3399="TRUE"),1,0))</f>
        <v/>
      </c>
      <c r="AQ3399">
        <f>IF($E3399="","",IF($AA3399="Yes",1,0))</f>
        <v/>
      </c>
      <c r="AR3399">
        <f>IF($AN3399=1,IFERROR(VALUE(MID($E3399,2,20)),1000000000)+ROW()/100000,"")</f>
        <v/>
      </c>
    </row>
    <row r="3400">
      <c r="G3400" s="11" t="n"/>
      <c r="Q3400" s="7">
        <f>IF($E3400="","",P3400*Y3400/100)</f>
        <v/>
      </c>
      <c r="R3400" s="7" t="n"/>
      <c r="X3400" s="7" t="n"/>
      <c r="Y3400" s="7" t="n"/>
      <c r="AB3400">
        <f>IF($E3400="","",IF($AQ3400=1,0,IF($AP3400=1,Settings!$C$6,Settings!$C$7))*100)</f>
        <v/>
      </c>
      <c r="AC3400" s="7">
        <f>IF($E3400="","",Y3400*AB3400/100)</f>
        <v/>
      </c>
      <c r="AD3400" s="7">
        <f>IF($E3400="","",Y3400-AC3400)</f>
        <v/>
      </c>
      <c r="AE3400" s="7">
        <f>IF($E3400="","",AD3400-Q3400)</f>
        <v/>
      </c>
      <c r="AI3400" s="7" t="n"/>
      <c r="AL3400" s="11" t="n"/>
      <c r="AN3400">
        <f>IF($E3400="","",IF(COUNTIF($E$2:$E3400,$E3400)=1,1,0))</f>
        <v/>
      </c>
      <c r="AO3400">
        <f>IF($AN3400=1,SUMPRODUCT(--($AR$2:$AR$4001&lt;$AR3400))+1,"")</f>
        <v/>
      </c>
      <c r="AP3400">
        <f>IF($E3400="","",IF(OR($U3400=TRUE(),$U3400="TRUE"),1,0))</f>
        <v/>
      </c>
      <c r="AQ3400">
        <f>IF($E3400="","",IF($AA3400="Yes",1,0))</f>
        <v/>
      </c>
      <c r="AR3400">
        <f>IF($AN3400=1,IFERROR(VALUE(MID($E3400,2,20)),1000000000)+ROW()/100000,"")</f>
        <v/>
      </c>
    </row>
    <row r="3401">
      <c r="G3401" s="11" t="n"/>
      <c r="Q3401" s="7">
        <f>IF($E3401="","",P3401*Y3401/100)</f>
        <v/>
      </c>
      <c r="R3401" s="7" t="n"/>
      <c r="X3401" s="7" t="n"/>
      <c r="Y3401" s="7" t="n"/>
      <c r="AB3401">
        <f>IF($E3401="","",IF($AQ3401=1,0,IF($AP3401=1,Settings!$C$6,Settings!$C$7))*100)</f>
        <v/>
      </c>
      <c r="AC3401" s="7">
        <f>IF($E3401="","",Y3401*AB3401/100)</f>
        <v/>
      </c>
      <c r="AD3401" s="7">
        <f>IF($E3401="","",Y3401-AC3401)</f>
        <v/>
      </c>
      <c r="AE3401" s="7">
        <f>IF($E3401="","",AD3401-Q3401)</f>
        <v/>
      </c>
      <c r="AI3401" s="7" t="n"/>
      <c r="AL3401" s="11" t="n"/>
      <c r="AN3401">
        <f>IF($E3401="","",IF(COUNTIF($E$2:$E3401,$E3401)=1,1,0))</f>
        <v/>
      </c>
      <c r="AO3401">
        <f>IF($AN3401=1,SUMPRODUCT(--($AR$2:$AR$4001&lt;$AR3401))+1,"")</f>
        <v/>
      </c>
      <c r="AP3401">
        <f>IF($E3401="","",IF(OR($U3401=TRUE(),$U3401="TRUE"),1,0))</f>
        <v/>
      </c>
      <c r="AQ3401">
        <f>IF($E3401="","",IF($AA3401="Yes",1,0))</f>
        <v/>
      </c>
      <c r="AR3401">
        <f>IF($AN3401=1,IFERROR(VALUE(MID($E3401,2,20)),1000000000)+ROW()/100000,"")</f>
        <v/>
      </c>
    </row>
    <row r="3402">
      <c r="G3402" s="11" t="n"/>
      <c r="Q3402" s="7">
        <f>IF($E3402="","",P3402*Y3402/100)</f>
        <v/>
      </c>
      <c r="R3402" s="7" t="n"/>
      <c r="X3402" s="7" t="n"/>
      <c r="Y3402" s="7" t="n"/>
      <c r="AB3402">
        <f>IF($E3402="","",IF($AQ3402=1,0,IF($AP3402=1,Settings!$C$6,Settings!$C$7))*100)</f>
        <v/>
      </c>
      <c r="AC3402" s="7">
        <f>IF($E3402="","",Y3402*AB3402/100)</f>
        <v/>
      </c>
      <c r="AD3402" s="7">
        <f>IF($E3402="","",Y3402-AC3402)</f>
        <v/>
      </c>
      <c r="AE3402" s="7">
        <f>IF($E3402="","",AD3402-Q3402)</f>
        <v/>
      </c>
      <c r="AI3402" s="7" t="n"/>
      <c r="AL3402" s="11" t="n"/>
      <c r="AN3402">
        <f>IF($E3402="","",IF(COUNTIF($E$2:$E3402,$E3402)=1,1,0))</f>
        <v/>
      </c>
      <c r="AO3402">
        <f>IF($AN3402=1,SUMPRODUCT(--($AR$2:$AR$4001&lt;$AR3402))+1,"")</f>
        <v/>
      </c>
      <c r="AP3402">
        <f>IF($E3402="","",IF(OR($U3402=TRUE(),$U3402="TRUE"),1,0))</f>
        <v/>
      </c>
      <c r="AQ3402">
        <f>IF($E3402="","",IF($AA3402="Yes",1,0))</f>
        <v/>
      </c>
      <c r="AR3402">
        <f>IF($AN3402=1,IFERROR(VALUE(MID($E3402,2,20)),1000000000)+ROW()/100000,"")</f>
        <v/>
      </c>
    </row>
    <row r="3403">
      <c r="G3403" s="11" t="n"/>
      <c r="Q3403" s="7">
        <f>IF($E3403="","",P3403*Y3403/100)</f>
        <v/>
      </c>
      <c r="R3403" s="7" t="n"/>
      <c r="X3403" s="7" t="n"/>
      <c r="Y3403" s="7" t="n"/>
      <c r="AB3403">
        <f>IF($E3403="","",IF($AQ3403=1,0,IF($AP3403=1,Settings!$C$6,Settings!$C$7))*100)</f>
        <v/>
      </c>
      <c r="AC3403" s="7">
        <f>IF($E3403="","",Y3403*AB3403/100)</f>
        <v/>
      </c>
      <c r="AD3403" s="7">
        <f>IF($E3403="","",Y3403-AC3403)</f>
        <v/>
      </c>
      <c r="AE3403" s="7">
        <f>IF($E3403="","",AD3403-Q3403)</f>
        <v/>
      </c>
      <c r="AI3403" s="7" t="n"/>
      <c r="AL3403" s="11" t="n"/>
      <c r="AN3403">
        <f>IF($E3403="","",IF(COUNTIF($E$2:$E3403,$E3403)=1,1,0))</f>
        <v/>
      </c>
      <c r="AO3403">
        <f>IF($AN3403=1,SUMPRODUCT(--($AR$2:$AR$4001&lt;$AR3403))+1,"")</f>
        <v/>
      </c>
      <c r="AP3403">
        <f>IF($E3403="","",IF(OR($U3403=TRUE(),$U3403="TRUE"),1,0))</f>
        <v/>
      </c>
      <c r="AQ3403">
        <f>IF($E3403="","",IF($AA3403="Yes",1,0))</f>
        <v/>
      </c>
      <c r="AR3403">
        <f>IF($AN3403=1,IFERROR(VALUE(MID($E3403,2,20)),1000000000)+ROW()/100000,"")</f>
        <v/>
      </c>
    </row>
    <row r="3404">
      <c r="G3404" s="11" t="n"/>
      <c r="Q3404" s="7">
        <f>IF($E3404="","",P3404*Y3404/100)</f>
        <v/>
      </c>
      <c r="R3404" s="7" t="n"/>
      <c r="X3404" s="7" t="n"/>
      <c r="Y3404" s="7" t="n"/>
      <c r="AB3404">
        <f>IF($E3404="","",IF($AQ3404=1,0,IF($AP3404=1,Settings!$C$6,Settings!$C$7))*100)</f>
        <v/>
      </c>
      <c r="AC3404" s="7">
        <f>IF($E3404="","",Y3404*AB3404/100)</f>
        <v/>
      </c>
      <c r="AD3404" s="7">
        <f>IF($E3404="","",Y3404-AC3404)</f>
        <v/>
      </c>
      <c r="AE3404" s="7">
        <f>IF($E3404="","",AD3404-Q3404)</f>
        <v/>
      </c>
      <c r="AI3404" s="7" t="n"/>
      <c r="AL3404" s="11" t="n"/>
      <c r="AN3404">
        <f>IF($E3404="","",IF(COUNTIF($E$2:$E3404,$E3404)=1,1,0))</f>
        <v/>
      </c>
      <c r="AO3404">
        <f>IF($AN3404=1,SUMPRODUCT(--($AR$2:$AR$4001&lt;$AR3404))+1,"")</f>
        <v/>
      </c>
      <c r="AP3404">
        <f>IF($E3404="","",IF(OR($U3404=TRUE(),$U3404="TRUE"),1,0))</f>
        <v/>
      </c>
      <c r="AQ3404">
        <f>IF($E3404="","",IF($AA3404="Yes",1,0))</f>
        <v/>
      </c>
      <c r="AR3404">
        <f>IF($AN3404=1,IFERROR(VALUE(MID($E3404,2,20)),1000000000)+ROW()/100000,"")</f>
        <v/>
      </c>
    </row>
    <row r="3405">
      <c r="G3405" s="11" t="n"/>
      <c r="Q3405" s="7">
        <f>IF($E3405="","",P3405*Y3405/100)</f>
        <v/>
      </c>
      <c r="R3405" s="7" t="n"/>
      <c r="X3405" s="7" t="n"/>
      <c r="Y3405" s="7" t="n"/>
      <c r="AB3405">
        <f>IF($E3405="","",IF($AQ3405=1,0,IF($AP3405=1,Settings!$C$6,Settings!$C$7))*100)</f>
        <v/>
      </c>
      <c r="AC3405" s="7">
        <f>IF($E3405="","",Y3405*AB3405/100)</f>
        <v/>
      </c>
      <c r="AD3405" s="7">
        <f>IF($E3405="","",Y3405-AC3405)</f>
        <v/>
      </c>
      <c r="AE3405" s="7">
        <f>IF($E3405="","",AD3405-Q3405)</f>
        <v/>
      </c>
      <c r="AI3405" s="7" t="n"/>
      <c r="AL3405" s="11" t="n"/>
      <c r="AN3405">
        <f>IF($E3405="","",IF(COUNTIF($E$2:$E3405,$E3405)=1,1,0))</f>
        <v/>
      </c>
      <c r="AO3405">
        <f>IF($AN3405=1,SUMPRODUCT(--($AR$2:$AR$4001&lt;$AR3405))+1,"")</f>
        <v/>
      </c>
      <c r="AP3405">
        <f>IF($E3405="","",IF(OR($U3405=TRUE(),$U3405="TRUE"),1,0))</f>
        <v/>
      </c>
      <c r="AQ3405">
        <f>IF($E3405="","",IF($AA3405="Yes",1,0))</f>
        <v/>
      </c>
      <c r="AR3405">
        <f>IF($AN3405=1,IFERROR(VALUE(MID($E3405,2,20)),1000000000)+ROW()/100000,"")</f>
        <v/>
      </c>
    </row>
    <row r="3406">
      <c r="G3406" s="11" t="n"/>
      <c r="Q3406" s="7">
        <f>IF($E3406="","",P3406*Y3406/100)</f>
        <v/>
      </c>
      <c r="R3406" s="7" t="n"/>
      <c r="X3406" s="7" t="n"/>
      <c r="Y3406" s="7" t="n"/>
      <c r="AB3406">
        <f>IF($E3406="","",IF($AQ3406=1,0,IF($AP3406=1,Settings!$C$6,Settings!$C$7))*100)</f>
        <v/>
      </c>
      <c r="AC3406" s="7">
        <f>IF($E3406="","",Y3406*AB3406/100)</f>
        <v/>
      </c>
      <c r="AD3406" s="7">
        <f>IF($E3406="","",Y3406-AC3406)</f>
        <v/>
      </c>
      <c r="AE3406" s="7">
        <f>IF($E3406="","",AD3406-Q3406)</f>
        <v/>
      </c>
      <c r="AI3406" s="7" t="n"/>
      <c r="AL3406" s="11" t="n"/>
      <c r="AN3406">
        <f>IF($E3406="","",IF(COUNTIF($E$2:$E3406,$E3406)=1,1,0))</f>
        <v/>
      </c>
      <c r="AO3406">
        <f>IF($AN3406=1,SUMPRODUCT(--($AR$2:$AR$4001&lt;$AR3406))+1,"")</f>
        <v/>
      </c>
      <c r="AP3406">
        <f>IF($E3406="","",IF(OR($U3406=TRUE(),$U3406="TRUE"),1,0))</f>
        <v/>
      </c>
      <c r="AQ3406">
        <f>IF($E3406="","",IF($AA3406="Yes",1,0))</f>
        <v/>
      </c>
      <c r="AR3406">
        <f>IF($AN3406=1,IFERROR(VALUE(MID($E3406,2,20)),1000000000)+ROW()/100000,"")</f>
        <v/>
      </c>
    </row>
    <row r="3407">
      <c r="G3407" s="11" t="n"/>
      <c r="Q3407" s="7">
        <f>IF($E3407="","",P3407*Y3407/100)</f>
        <v/>
      </c>
      <c r="R3407" s="7" t="n"/>
      <c r="X3407" s="7" t="n"/>
      <c r="Y3407" s="7" t="n"/>
      <c r="AB3407">
        <f>IF($E3407="","",IF($AQ3407=1,0,IF($AP3407=1,Settings!$C$6,Settings!$C$7))*100)</f>
        <v/>
      </c>
      <c r="AC3407" s="7">
        <f>IF($E3407="","",Y3407*AB3407/100)</f>
        <v/>
      </c>
      <c r="AD3407" s="7">
        <f>IF($E3407="","",Y3407-AC3407)</f>
        <v/>
      </c>
      <c r="AE3407" s="7">
        <f>IF($E3407="","",AD3407-Q3407)</f>
        <v/>
      </c>
      <c r="AI3407" s="7" t="n"/>
      <c r="AL3407" s="11" t="n"/>
      <c r="AN3407">
        <f>IF($E3407="","",IF(COUNTIF($E$2:$E3407,$E3407)=1,1,0))</f>
        <v/>
      </c>
      <c r="AO3407">
        <f>IF($AN3407=1,SUMPRODUCT(--($AR$2:$AR$4001&lt;$AR3407))+1,"")</f>
        <v/>
      </c>
      <c r="AP3407">
        <f>IF($E3407="","",IF(OR($U3407=TRUE(),$U3407="TRUE"),1,0))</f>
        <v/>
      </c>
      <c r="AQ3407">
        <f>IF($E3407="","",IF($AA3407="Yes",1,0))</f>
        <v/>
      </c>
      <c r="AR3407">
        <f>IF($AN3407=1,IFERROR(VALUE(MID($E3407,2,20)),1000000000)+ROW()/100000,"")</f>
        <v/>
      </c>
    </row>
    <row r="3408">
      <c r="G3408" s="11" t="n"/>
      <c r="Q3408" s="7">
        <f>IF($E3408="","",P3408*Y3408/100)</f>
        <v/>
      </c>
      <c r="R3408" s="7" t="n"/>
      <c r="X3408" s="7" t="n"/>
      <c r="Y3408" s="7" t="n"/>
      <c r="AB3408">
        <f>IF($E3408="","",IF($AQ3408=1,0,IF($AP3408=1,Settings!$C$6,Settings!$C$7))*100)</f>
        <v/>
      </c>
      <c r="AC3408" s="7">
        <f>IF($E3408="","",Y3408*AB3408/100)</f>
        <v/>
      </c>
      <c r="AD3408" s="7">
        <f>IF($E3408="","",Y3408-AC3408)</f>
        <v/>
      </c>
      <c r="AE3408" s="7">
        <f>IF($E3408="","",AD3408-Q3408)</f>
        <v/>
      </c>
      <c r="AI3408" s="7" t="n"/>
      <c r="AL3408" s="11" t="n"/>
      <c r="AN3408">
        <f>IF($E3408="","",IF(COUNTIF($E$2:$E3408,$E3408)=1,1,0))</f>
        <v/>
      </c>
      <c r="AO3408">
        <f>IF($AN3408=1,SUMPRODUCT(--($AR$2:$AR$4001&lt;$AR3408))+1,"")</f>
        <v/>
      </c>
      <c r="AP3408">
        <f>IF($E3408="","",IF(OR($U3408=TRUE(),$U3408="TRUE"),1,0))</f>
        <v/>
      </c>
      <c r="AQ3408">
        <f>IF($E3408="","",IF($AA3408="Yes",1,0))</f>
        <v/>
      </c>
      <c r="AR3408">
        <f>IF($AN3408=1,IFERROR(VALUE(MID($E3408,2,20)),1000000000)+ROW()/100000,"")</f>
        <v/>
      </c>
    </row>
    <row r="3409">
      <c r="G3409" s="11" t="n"/>
      <c r="Q3409" s="7">
        <f>IF($E3409="","",P3409*Y3409/100)</f>
        <v/>
      </c>
      <c r="R3409" s="7" t="n"/>
      <c r="X3409" s="7" t="n"/>
      <c r="Y3409" s="7" t="n"/>
      <c r="AB3409">
        <f>IF($E3409="","",IF($AQ3409=1,0,IF($AP3409=1,Settings!$C$6,Settings!$C$7))*100)</f>
        <v/>
      </c>
      <c r="AC3409" s="7">
        <f>IF($E3409="","",Y3409*AB3409/100)</f>
        <v/>
      </c>
      <c r="AD3409" s="7">
        <f>IF($E3409="","",Y3409-AC3409)</f>
        <v/>
      </c>
      <c r="AE3409" s="7">
        <f>IF($E3409="","",AD3409-Q3409)</f>
        <v/>
      </c>
      <c r="AI3409" s="7" t="n"/>
      <c r="AL3409" s="11" t="n"/>
      <c r="AN3409">
        <f>IF($E3409="","",IF(COUNTIF($E$2:$E3409,$E3409)=1,1,0))</f>
        <v/>
      </c>
      <c r="AO3409">
        <f>IF($AN3409=1,SUMPRODUCT(--($AR$2:$AR$4001&lt;$AR3409))+1,"")</f>
        <v/>
      </c>
      <c r="AP3409">
        <f>IF($E3409="","",IF(OR($U3409=TRUE(),$U3409="TRUE"),1,0))</f>
        <v/>
      </c>
      <c r="AQ3409">
        <f>IF($E3409="","",IF($AA3409="Yes",1,0))</f>
        <v/>
      </c>
      <c r="AR3409">
        <f>IF($AN3409=1,IFERROR(VALUE(MID($E3409,2,20)),1000000000)+ROW()/100000,"")</f>
        <v/>
      </c>
    </row>
    <row r="3410">
      <c r="G3410" s="11" t="n"/>
      <c r="Q3410" s="7">
        <f>IF($E3410="","",P3410*Y3410/100)</f>
        <v/>
      </c>
      <c r="R3410" s="7" t="n"/>
      <c r="X3410" s="7" t="n"/>
      <c r="Y3410" s="7" t="n"/>
      <c r="AB3410">
        <f>IF($E3410="","",IF($AQ3410=1,0,IF($AP3410=1,Settings!$C$6,Settings!$C$7))*100)</f>
        <v/>
      </c>
      <c r="AC3410" s="7">
        <f>IF($E3410="","",Y3410*AB3410/100)</f>
        <v/>
      </c>
      <c r="AD3410" s="7">
        <f>IF($E3410="","",Y3410-AC3410)</f>
        <v/>
      </c>
      <c r="AE3410" s="7">
        <f>IF($E3410="","",AD3410-Q3410)</f>
        <v/>
      </c>
      <c r="AI3410" s="7" t="n"/>
      <c r="AL3410" s="11" t="n"/>
      <c r="AN3410">
        <f>IF($E3410="","",IF(COUNTIF($E$2:$E3410,$E3410)=1,1,0))</f>
        <v/>
      </c>
      <c r="AO3410">
        <f>IF($AN3410=1,SUMPRODUCT(--($AR$2:$AR$4001&lt;$AR3410))+1,"")</f>
        <v/>
      </c>
      <c r="AP3410">
        <f>IF($E3410="","",IF(OR($U3410=TRUE(),$U3410="TRUE"),1,0))</f>
        <v/>
      </c>
      <c r="AQ3410">
        <f>IF($E3410="","",IF($AA3410="Yes",1,0))</f>
        <v/>
      </c>
      <c r="AR3410">
        <f>IF($AN3410=1,IFERROR(VALUE(MID($E3410,2,20)),1000000000)+ROW()/100000,"")</f>
        <v/>
      </c>
    </row>
    <row r="3411">
      <c r="G3411" s="11" t="n"/>
      <c r="Q3411" s="7">
        <f>IF($E3411="","",P3411*Y3411/100)</f>
        <v/>
      </c>
      <c r="R3411" s="7" t="n"/>
      <c r="X3411" s="7" t="n"/>
      <c r="Y3411" s="7" t="n"/>
      <c r="AB3411">
        <f>IF($E3411="","",IF($AQ3411=1,0,IF($AP3411=1,Settings!$C$6,Settings!$C$7))*100)</f>
        <v/>
      </c>
      <c r="AC3411" s="7">
        <f>IF($E3411="","",Y3411*AB3411/100)</f>
        <v/>
      </c>
      <c r="AD3411" s="7">
        <f>IF($E3411="","",Y3411-AC3411)</f>
        <v/>
      </c>
      <c r="AE3411" s="7">
        <f>IF($E3411="","",AD3411-Q3411)</f>
        <v/>
      </c>
      <c r="AI3411" s="7" t="n"/>
      <c r="AL3411" s="11" t="n"/>
      <c r="AN3411">
        <f>IF($E3411="","",IF(COUNTIF($E$2:$E3411,$E3411)=1,1,0))</f>
        <v/>
      </c>
      <c r="AO3411">
        <f>IF($AN3411=1,SUMPRODUCT(--($AR$2:$AR$4001&lt;$AR3411))+1,"")</f>
        <v/>
      </c>
      <c r="AP3411">
        <f>IF($E3411="","",IF(OR($U3411=TRUE(),$U3411="TRUE"),1,0))</f>
        <v/>
      </c>
      <c r="AQ3411">
        <f>IF($E3411="","",IF($AA3411="Yes",1,0))</f>
        <v/>
      </c>
      <c r="AR3411">
        <f>IF($AN3411=1,IFERROR(VALUE(MID($E3411,2,20)),1000000000)+ROW()/100000,"")</f>
        <v/>
      </c>
    </row>
    <row r="3412">
      <c r="G3412" s="11" t="n"/>
      <c r="Q3412" s="7">
        <f>IF($E3412="","",P3412*Y3412/100)</f>
        <v/>
      </c>
      <c r="R3412" s="7" t="n"/>
      <c r="X3412" s="7" t="n"/>
      <c r="Y3412" s="7" t="n"/>
      <c r="AB3412">
        <f>IF($E3412="","",IF($AQ3412=1,0,IF($AP3412=1,Settings!$C$6,Settings!$C$7))*100)</f>
        <v/>
      </c>
      <c r="AC3412" s="7">
        <f>IF($E3412="","",Y3412*AB3412/100)</f>
        <v/>
      </c>
      <c r="AD3412" s="7">
        <f>IF($E3412="","",Y3412-AC3412)</f>
        <v/>
      </c>
      <c r="AE3412" s="7">
        <f>IF($E3412="","",AD3412-Q3412)</f>
        <v/>
      </c>
      <c r="AI3412" s="7" t="n"/>
      <c r="AL3412" s="11" t="n"/>
      <c r="AN3412">
        <f>IF($E3412="","",IF(COUNTIF($E$2:$E3412,$E3412)=1,1,0))</f>
        <v/>
      </c>
      <c r="AO3412">
        <f>IF($AN3412=1,SUMPRODUCT(--($AR$2:$AR$4001&lt;$AR3412))+1,"")</f>
        <v/>
      </c>
      <c r="AP3412">
        <f>IF($E3412="","",IF(OR($U3412=TRUE(),$U3412="TRUE"),1,0))</f>
        <v/>
      </c>
      <c r="AQ3412">
        <f>IF($E3412="","",IF($AA3412="Yes",1,0))</f>
        <v/>
      </c>
      <c r="AR3412">
        <f>IF($AN3412=1,IFERROR(VALUE(MID($E3412,2,20)),1000000000)+ROW()/100000,"")</f>
        <v/>
      </c>
    </row>
    <row r="3413">
      <c r="G3413" s="11" t="n"/>
      <c r="Q3413" s="7">
        <f>IF($E3413="","",P3413*Y3413/100)</f>
        <v/>
      </c>
      <c r="R3413" s="7" t="n"/>
      <c r="X3413" s="7" t="n"/>
      <c r="Y3413" s="7" t="n"/>
      <c r="AB3413">
        <f>IF($E3413="","",IF($AQ3413=1,0,IF($AP3413=1,Settings!$C$6,Settings!$C$7))*100)</f>
        <v/>
      </c>
      <c r="AC3413" s="7">
        <f>IF($E3413="","",Y3413*AB3413/100)</f>
        <v/>
      </c>
      <c r="AD3413" s="7">
        <f>IF($E3413="","",Y3413-AC3413)</f>
        <v/>
      </c>
      <c r="AE3413" s="7">
        <f>IF($E3413="","",AD3413-Q3413)</f>
        <v/>
      </c>
      <c r="AI3413" s="7" t="n"/>
      <c r="AL3413" s="11" t="n"/>
      <c r="AN3413">
        <f>IF($E3413="","",IF(COUNTIF($E$2:$E3413,$E3413)=1,1,0))</f>
        <v/>
      </c>
      <c r="AO3413">
        <f>IF($AN3413=1,SUMPRODUCT(--($AR$2:$AR$4001&lt;$AR3413))+1,"")</f>
        <v/>
      </c>
      <c r="AP3413">
        <f>IF($E3413="","",IF(OR($U3413=TRUE(),$U3413="TRUE"),1,0))</f>
        <v/>
      </c>
      <c r="AQ3413">
        <f>IF($E3413="","",IF($AA3413="Yes",1,0))</f>
        <v/>
      </c>
      <c r="AR3413">
        <f>IF($AN3413=1,IFERROR(VALUE(MID($E3413,2,20)),1000000000)+ROW()/100000,"")</f>
        <v/>
      </c>
    </row>
    <row r="3414">
      <c r="G3414" s="11" t="n"/>
      <c r="Q3414" s="7">
        <f>IF($E3414="","",P3414*Y3414/100)</f>
        <v/>
      </c>
      <c r="R3414" s="7" t="n"/>
      <c r="X3414" s="7" t="n"/>
      <c r="Y3414" s="7" t="n"/>
      <c r="AB3414">
        <f>IF($E3414="","",IF($AQ3414=1,0,IF($AP3414=1,Settings!$C$6,Settings!$C$7))*100)</f>
        <v/>
      </c>
      <c r="AC3414" s="7">
        <f>IF($E3414="","",Y3414*AB3414/100)</f>
        <v/>
      </c>
      <c r="AD3414" s="7">
        <f>IF($E3414="","",Y3414-AC3414)</f>
        <v/>
      </c>
      <c r="AE3414" s="7">
        <f>IF($E3414="","",AD3414-Q3414)</f>
        <v/>
      </c>
      <c r="AI3414" s="7" t="n"/>
      <c r="AL3414" s="11" t="n"/>
      <c r="AN3414">
        <f>IF($E3414="","",IF(COUNTIF($E$2:$E3414,$E3414)=1,1,0))</f>
        <v/>
      </c>
      <c r="AO3414">
        <f>IF($AN3414=1,SUMPRODUCT(--($AR$2:$AR$4001&lt;$AR3414))+1,"")</f>
        <v/>
      </c>
      <c r="AP3414">
        <f>IF($E3414="","",IF(OR($U3414=TRUE(),$U3414="TRUE"),1,0))</f>
        <v/>
      </c>
      <c r="AQ3414">
        <f>IF($E3414="","",IF($AA3414="Yes",1,0))</f>
        <v/>
      </c>
      <c r="AR3414">
        <f>IF($AN3414=1,IFERROR(VALUE(MID($E3414,2,20)),1000000000)+ROW()/100000,"")</f>
        <v/>
      </c>
    </row>
    <row r="3415">
      <c r="G3415" s="11" t="n"/>
      <c r="Q3415" s="7">
        <f>IF($E3415="","",P3415*Y3415/100)</f>
        <v/>
      </c>
      <c r="R3415" s="7" t="n"/>
      <c r="X3415" s="7" t="n"/>
      <c r="Y3415" s="7" t="n"/>
      <c r="AB3415">
        <f>IF($E3415="","",IF($AQ3415=1,0,IF($AP3415=1,Settings!$C$6,Settings!$C$7))*100)</f>
        <v/>
      </c>
      <c r="AC3415" s="7">
        <f>IF($E3415="","",Y3415*AB3415/100)</f>
        <v/>
      </c>
      <c r="AD3415" s="7">
        <f>IF($E3415="","",Y3415-AC3415)</f>
        <v/>
      </c>
      <c r="AE3415" s="7">
        <f>IF($E3415="","",AD3415-Q3415)</f>
        <v/>
      </c>
      <c r="AI3415" s="7" t="n"/>
      <c r="AL3415" s="11" t="n"/>
      <c r="AN3415">
        <f>IF($E3415="","",IF(COUNTIF($E$2:$E3415,$E3415)=1,1,0))</f>
        <v/>
      </c>
      <c r="AO3415">
        <f>IF($AN3415=1,SUMPRODUCT(--($AR$2:$AR$4001&lt;$AR3415))+1,"")</f>
        <v/>
      </c>
      <c r="AP3415">
        <f>IF($E3415="","",IF(OR($U3415=TRUE(),$U3415="TRUE"),1,0))</f>
        <v/>
      </c>
      <c r="AQ3415">
        <f>IF($E3415="","",IF($AA3415="Yes",1,0))</f>
        <v/>
      </c>
      <c r="AR3415">
        <f>IF($AN3415=1,IFERROR(VALUE(MID($E3415,2,20)),1000000000)+ROW()/100000,"")</f>
        <v/>
      </c>
    </row>
    <row r="3416">
      <c r="G3416" s="11" t="n"/>
      <c r="Q3416" s="7">
        <f>IF($E3416="","",P3416*Y3416/100)</f>
        <v/>
      </c>
      <c r="R3416" s="7" t="n"/>
      <c r="X3416" s="7" t="n"/>
      <c r="Y3416" s="7" t="n"/>
      <c r="AB3416">
        <f>IF($E3416="","",IF($AQ3416=1,0,IF($AP3416=1,Settings!$C$6,Settings!$C$7))*100)</f>
        <v/>
      </c>
      <c r="AC3416" s="7">
        <f>IF($E3416="","",Y3416*AB3416/100)</f>
        <v/>
      </c>
      <c r="AD3416" s="7">
        <f>IF($E3416="","",Y3416-AC3416)</f>
        <v/>
      </c>
      <c r="AE3416" s="7">
        <f>IF($E3416="","",AD3416-Q3416)</f>
        <v/>
      </c>
      <c r="AI3416" s="7" t="n"/>
      <c r="AL3416" s="11" t="n"/>
      <c r="AN3416">
        <f>IF($E3416="","",IF(COUNTIF($E$2:$E3416,$E3416)=1,1,0))</f>
        <v/>
      </c>
      <c r="AO3416">
        <f>IF($AN3416=1,SUMPRODUCT(--($AR$2:$AR$4001&lt;$AR3416))+1,"")</f>
        <v/>
      </c>
      <c r="AP3416">
        <f>IF($E3416="","",IF(OR($U3416=TRUE(),$U3416="TRUE"),1,0))</f>
        <v/>
      </c>
      <c r="AQ3416">
        <f>IF($E3416="","",IF($AA3416="Yes",1,0))</f>
        <v/>
      </c>
      <c r="AR3416">
        <f>IF($AN3416=1,IFERROR(VALUE(MID($E3416,2,20)),1000000000)+ROW()/100000,"")</f>
        <v/>
      </c>
    </row>
    <row r="3417">
      <c r="G3417" s="11" t="n"/>
      <c r="Q3417" s="7">
        <f>IF($E3417="","",P3417*Y3417/100)</f>
        <v/>
      </c>
      <c r="R3417" s="7" t="n"/>
      <c r="X3417" s="7" t="n"/>
      <c r="Y3417" s="7" t="n"/>
      <c r="AB3417">
        <f>IF($E3417="","",IF($AQ3417=1,0,IF($AP3417=1,Settings!$C$6,Settings!$C$7))*100)</f>
        <v/>
      </c>
      <c r="AC3417" s="7">
        <f>IF($E3417="","",Y3417*AB3417/100)</f>
        <v/>
      </c>
      <c r="AD3417" s="7">
        <f>IF($E3417="","",Y3417-AC3417)</f>
        <v/>
      </c>
      <c r="AE3417" s="7">
        <f>IF($E3417="","",AD3417-Q3417)</f>
        <v/>
      </c>
      <c r="AI3417" s="7" t="n"/>
      <c r="AL3417" s="11" t="n"/>
      <c r="AN3417">
        <f>IF($E3417="","",IF(COUNTIF($E$2:$E3417,$E3417)=1,1,0))</f>
        <v/>
      </c>
      <c r="AO3417">
        <f>IF($AN3417=1,SUMPRODUCT(--($AR$2:$AR$4001&lt;$AR3417))+1,"")</f>
        <v/>
      </c>
      <c r="AP3417">
        <f>IF($E3417="","",IF(OR($U3417=TRUE(),$U3417="TRUE"),1,0))</f>
        <v/>
      </c>
      <c r="AQ3417">
        <f>IF($E3417="","",IF($AA3417="Yes",1,0))</f>
        <v/>
      </c>
      <c r="AR3417">
        <f>IF($AN3417=1,IFERROR(VALUE(MID($E3417,2,20)),1000000000)+ROW()/100000,"")</f>
        <v/>
      </c>
    </row>
    <row r="3418">
      <c r="G3418" s="11" t="n"/>
      <c r="Q3418" s="7">
        <f>IF($E3418="","",P3418*Y3418/100)</f>
        <v/>
      </c>
      <c r="R3418" s="7" t="n"/>
      <c r="X3418" s="7" t="n"/>
      <c r="Y3418" s="7" t="n"/>
      <c r="AB3418">
        <f>IF($E3418="","",IF($AQ3418=1,0,IF($AP3418=1,Settings!$C$6,Settings!$C$7))*100)</f>
        <v/>
      </c>
      <c r="AC3418" s="7">
        <f>IF($E3418="","",Y3418*AB3418/100)</f>
        <v/>
      </c>
      <c r="AD3418" s="7">
        <f>IF($E3418="","",Y3418-AC3418)</f>
        <v/>
      </c>
      <c r="AE3418" s="7">
        <f>IF($E3418="","",AD3418-Q3418)</f>
        <v/>
      </c>
      <c r="AI3418" s="7" t="n"/>
      <c r="AL3418" s="11" t="n"/>
      <c r="AN3418">
        <f>IF($E3418="","",IF(COUNTIF($E$2:$E3418,$E3418)=1,1,0))</f>
        <v/>
      </c>
      <c r="AO3418">
        <f>IF($AN3418=1,SUMPRODUCT(--($AR$2:$AR$4001&lt;$AR3418))+1,"")</f>
        <v/>
      </c>
      <c r="AP3418">
        <f>IF($E3418="","",IF(OR($U3418=TRUE(),$U3418="TRUE"),1,0))</f>
        <v/>
      </c>
      <c r="AQ3418">
        <f>IF($E3418="","",IF($AA3418="Yes",1,0))</f>
        <v/>
      </c>
      <c r="AR3418">
        <f>IF($AN3418=1,IFERROR(VALUE(MID($E3418,2,20)),1000000000)+ROW()/100000,"")</f>
        <v/>
      </c>
    </row>
    <row r="3419">
      <c r="G3419" s="11" t="n"/>
      <c r="Q3419" s="7">
        <f>IF($E3419="","",P3419*Y3419/100)</f>
        <v/>
      </c>
      <c r="R3419" s="7" t="n"/>
      <c r="X3419" s="7" t="n"/>
      <c r="Y3419" s="7" t="n"/>
      <c r="AB3419">
        <f>IF($E3419="","",IF($AQ3419=1,0,IF($AP3419=1,Settings!$C$6,Settings!$C$7))*100)</f>
        <v/>
      </c>
      <c r="AC3419" s="7">
        <f>IF($E3419="","",Y3419*AB3419/100)</f>
        <v/>
      </c>
      <c r="AD3419" s="7">
        <f>IF($E3419="","",Y3419-AC3419)</f>
        <v/>
      </c>
      <c r="AE3419" s="7">
        <f>IF($E3419="","",AD3419-Q3419)</f>
        <v/>
      </c>
      <c r="AI3419" s="7" t="n"/>
      <c r="AL3419" s="11" t="n"/>
      <c r="AN3419">
        <f>IF($E3419="","",IF(COUNTIF($E$2:$E3419,$E3419)=1,1,0))</f>
        <v/>
      </c>
      <c r="AO3419">
        <f>IF($AN3419=1,SUMPRODUCT(--($AR$2:$AR$4001&lt;$AR3419))+1,"")</f>
        <v/>
      </c>
      <c r="AP3419">
        <f>IF($E3419="","",IF(OR($U3419=TRUE(),$U3419="TRUE"),1,0))</f>
        <v/>
      </c>
      <c r="AQ3419">
        <f>IF($E3419="","",IF($AA3419="Yes",1,0))</f>
        <v/>
      </c>
      <c r="AR3419">
        <f>IF($AN3419=1,IFERROR(VALUE(MID($E3419,2,20)),1000000000)+ROW()/100000,"")</f>
        <v/>
      </c>
    </row>
    <row r="3420">
      <c r="G3420" s="11" t="n"/>
      <c r="Q3420" s="7">
        <f>IF($E3420="","",P3420*Y3420/100)</f>
        <v/>
      </c>
      <c r="R3420" s="7" t="n"/>
      <c r="X3420" s="7" t="n"/>
      <c r="Y3420" s="7" t="n"/>
      <c r="AB3420">
        <f>IF($E3420="","",IF($AQ3420=1,0,IF($AP3420=1,Settings!$C$6,Settings!$C$7))*100)</f>
        <v/>
      </c>
      <c r="AC3420" s="7">
        <f>IF($E3420="","",Y3420*AB3420/100)</f>
        <v/>
      </c>
      <c r="AD3420" s="7">
        <f>IF($E3420="","",Y3420-AC3420)</f>
        <v/>
      </c>
      <c r="AE3420" s="7">
        <f>IF($E3420="","",AD3420-Q3420)</f>
        <v/>
      </c>
      <c r="AI3420" s="7" t="n"/>
      <c r="AL3420" s="11" t="n"/>
      <c r="AN3420">
        <f>IF($E3420="","",IF(COUNTIF($E$2:$E3420,$E3420)=1,1,0))</f>
        <v/>
      </c>
      <c r="AO3420">
        <f>IF($AN3420=1,SUMPRODUCT(--($AR$2:$AR$4001&lt;$AR3420))+1,"")</f>
        <v/>
      </c>
      <c r="AP3420">
        <f>IF($E3420="","",IF(OR($U3420=TRUE(),$U3420="TRUE"),1,0))</f>
        <v/>
      </c>
      <c r="AQ3420">
        <f>IF($E3420="","",IF($AA3420="Yes",1,0))</f>
        <v/>
      </c>
      <c r="AR3420">
        <f>IF($AN3420=1,IFERROR(VALUE(MID($E3420,2,20)),1000000000)+ROW()/100000,"")</f>
        <v/>
      </c>
    </row>
    <row r="3421">
      <c r="G3421" s="11" t="n"/>
      <c r="Q3421" s="7">
        <f>IF($E3421="","",P3421*Y3421/100)</f>
        <v/>
      </c>
      <c r="R3421" s="7" t="n"/>
      <c r="X3421" s="7" t="n"/>
      <c r="Y3421" s="7" t="n"/>
      <c r="AB3421">
        <f>IF($E3421="","",IF($AQ3421=1,0,IF($AP3421=1,Settings!$C$6,Settings!$C$7))*100)</f>
        <v/>
      </c>
      <c r="AC3421" s="7">
        <f>IF($E3421="","",Y3421*AB3421/100)</f>
        <v/>
      </c>
      <c r="AD3421" s="7">
        <f>IF($E3421="","",Y3421-AC3421)</f>
        <v/>
      </c>
      <c r="AE3421" s="7">
        <f>IF($E3421="","",AD3421-Q3421)</f>
        <v/>
      </c>
      <c r="AI3421" s="7" t="n"/>
      <c r="AL3421" s="11" t="n"/>
      <c r="AN3421">
        <f>IF($E3421="","",IF(COUNTIF($E$2:$E3421,$E3421)=1,1,0))</f>
        <v/>
      </c>
      <c r="AO3421">
        <f>IF($AN3421=1,SUMPRODUCT(--($AR$2:$AR$4001&lt;$AR3421))+1,"")</f>
        <v/>
      </c>
      <c r="AP3421">
        <f>IF($E3421="","",IF(OR($U3421=TRUE(),$U3421="TRUE"),1,0))</f>
        <v/>
      </c>
      <c r="AQ3421">
        <f>IF($E3421="","",IF($AA3421="Yes",1,0))</f>
        <v/>
      </c>
      <c r="AR3421">
        <f>IF($AN3421=1,IFERROR(VALUE(MID($E3421,2,20)),1000000000)+ROW()/100000,"")</f>
        <v/>
      </c>
    </row>
    <row r="3422">
      <c r="G3422" s="11" t="n"/>
      <c r="Q3422" s="7">
        <f>IF($E3422="","",P3422*Y3422/100)</f>
        <v/>
      </c>
      <c r="R3422" s="7" t="n"/>
      <c r="X3422" s="7" t="n"/>
      <c r="Y3422" s="7" t="n"/>
      <c r="AB3422">
        <f>IF($E3422="","",IF($AQ3422=1,0,IF($AP3422=1,Settings!$C$6,Settings!$C$7))*100)</f>
        <v/>
      </c>
      <c r="AC3422" s="7">
        <f>IF($E3422="","",Y3422*AB3422/100)</f>
        <v/>
      </c>
      <c r="AD3422" s="7">
        <f>IF($E3422="","",Y3422-AC3422)</f>
        <v/>
      </c>
      <c r="AE3422" s="7">
        <f>IF($E3422="","",AD3422-Q3422)</f>
        <v/>
      </c>
      <c r="AI3422" s="7" t="n"/>
      <c r="AL3422" s="11" t="n"/>
      <c r="AN3422">
        <f>IF($E3422="","",IF(COUNTIF($E$2:$E3422,$E3422)=1,1,0))</f>
        <v/>
      </c>
      <c r="AO3422">
        <f>IF($AN3422=1,SUMPRODUCT(--($AR$2:$AR$4001&lt;$AR3422))+1,"")</f>
        <v/>
      </c>
      <c r="AP3422">
        <f>IF($E3422="","",IF(OR($U3422=TRUE(),$U3422="TRUE"),1,0))</f>
        <v/>
      </c>
      <c r="AQ3422">
        <f>IF($E3422="","",IF($AA3422="Yes",1,0))</f>
        <v/>
      </c>
      <c r="AR3422">
        <f>IF($AN3422=1,IFERROR(VALUE(MID($E3422,2,20)),1000000000)+ROW()/100000,"")</f>
        <v/>
      </c>
    </row>
    <row r="3423">
      <c r="G3423" s="11" t="n"/>
      <c r="Q3423" s="7">
        <f>IF($E3423="","",P3423*Y3423/100)</f>
        <v/>
      </c>
      <c r="R3423" s="7" t="n"/>
      <c r="X3423" s="7" t="n"/>
      <c r="Y3423" s="7" t="n"/>
      <c r="AB3423">
        <f>IF($E3423="","",IF($AQ3423=1,0,IF($AP3423=1,Settings!$C$6,Settings!$C$7))*100)</f>
        <v/>
      </c>
      <c r="AC3423" s="7">
        <f>IF($E3423="","",Y3423*AB3423/100)</f>
        <v/>
      </c>
      <c r="AD3423" s="7">
        <f>IF($E3423="","",Y3423-AC3423)</f>
        <v/>
      </c>
      <c r="AE3423" s="7">
        <f>IF($E3423="","",AD3423-Q3423)</f>
        <v/>
      </c>
      <c r="AI3423" s="7" t="n"/>
      <c r="AL3423" s="11" t="n"/>
      <c r="AN3423">
        <f>IF($E3423="","",IF(COUNTIF($E$2:$E3423,$E3423)=1,1,0))</f>
        <v/>
      </c>
      <c r="AO3423">
        <f>IF($AN3423=1,SUMPRODUCT(--($AR$2:$AR$4001&lt;$AR3423))+1,"")</f>
        <v/>
      </c>
      <c r="AP3423">
        <f>IF($E3423="","",IF(OR($U3423=TRUE(),$U3423="TRUE"),1,0))</f>
        <v/>
      </c>
      <c r="AQ3423">
        <f>IF($E3423="","",IF($AA3423="Yes",1,0))</f>
        <v/>
      </c>
      <c r="AR3423">
        <f>IF($AN3423=1,IFERROR(VALUE(MID($E3423,2,20)),1000000000)+ROW()/100000,"")</f>
        <v/>
      </c>
    </row>
    <row r="3424">
      <c r="G3424" s="11" t="n"/>
      <c r="Q3424" s="7">
        <f>IF($E3424="","",P3424*Y3424/100)</f>
        <v/>
      </c>
      <c r="R3424" s="7" t="n"/>
      <c r="X3424" s="7" t="n"/>
      <c r="Y3424" s="7" t="n"/>
      <c r="AB3424">
        <f>IF($E3424="","",IF($AQ3424=1,0,IF($AP3424=1,Settings!$C$6,Settings!$C$7))*100)</f>
        <v/>
      </c>
      <c r="AC3424" s="7">
        <f>IF($E3424="","",Y3424*AB3424/100)</f>
        <v/>
      </c>
      <c r="AD3424" s="7">
        <f>IF($E3424="","",Y3424-AC3424)</f>
        <v/>
      </c>
      <c r="AE3424" s="7">
        <f>IF($E3424="","",AD3424-Q3424)</f>
        <v/>
      </c>
      <c r="AI3424" s="7" t="n"/>
      <c r="AL3424" s="11" t="n"/>
      <c r="AN3424">
        <f>IF($E3424="","",IF(COUNTIF($E$2:$E3424,$E3424)=1,1,0))</f>
        <v/>
      </c>
      <c r="AO3424">
        <f>IF($AN3424=1,SUMPRODUCT(--($AR$2:$AR$4001&lt;$AR3424))+1,"")</f>
        <v/>
      </c>
      <c r="AP3424">
        <f>IF($E3424="","",IF(OR($U3424=TRUE(),$U3424="TRUE"),1,0))</f>
        <v/>
      </c>
      <c r="AQ3424">
        <f>IF($E3424="","",IF($AA3424="Yes",1,0))</f>
        <v/>
      </c>
      <c r="AR3424">
        <f>IF($AN3424=1,IFERROR(VALUE(MID($E3424,2,20)),1000000000)+ROW()/100000,"")</f>
        <v/>
      </c>
    </row>
    <row r="3425">
      <c r="G3425" s="11" t="n"/>
      <c r="Q3425" s="7">
        <f>IF($E3425="","",P3425*Y3425/100)</f>
        <v/>
      </c>
      <c r="R3425" s="7" t="n"/>
      <c r="X3425" s="7" t="n"/>
      <c r="Y3425" s="7" t="n"/>
      <c r="AB3425">
        <f>IF($E3425="","",IF($AQ3425=1,0,IF($AP3425=1,Settings!$C$6,Settings!$C$7))*100)</f>
        <v/>
      </c>
      <c r="AC3425" s="7">
        <f>IF($E3425="","",Y3425*AB3425/100)</f>
        <v/>
      </c>
      <c r="AD3425" s="7">
        <f>IF($E3425="","",Y3425-AC3425)</f>
        <v/>
      </c>
      <c r="AE3425" s="7">
        <f>IF($E3425="","",AD3425-Q3425)</f>
        <v/>
      </c>
      <c r="AI3425" s="7" t="n"/>
      <c r="AL3425" s="11" t="n"/>
      <c r="AN3425">
        <f>IF($E3425="","",IF(COUNTIF($E$2:$E3425,$E3425)=1,1,0))</f>
        <v/>
      </c>
      <c r="AO3425">
        <f>IF($AN3425=1,SUMPRODUCT(--($AR$2:$AR$4001&lt;$AR3425))+1,"")</f>
        <v/>
      </c>
      <c r="AP3425">
        <f>IF($E3425="","",IF(OR($U3425=TRUE(),$U3425="TRUE"),1,0))</f>
        <v/>
      </c>
      <c r="AQ3425">
        <f>IF($E3425="","",IF($AA3425="Yes",1,0))</f>
        <v/>
      </c>
      <c r="AR3425">
        <f>IF($AN3425=1,IFERROR(VALUE(MID($E3425,2,20)),1000000000)+ROW()/100000,"")</f>
        <v/>
      </c>
    </row>
    <row r="3426">
      <c r="G3426" s="11" t="n"/>
      <c r="Q3426" s="7">
        <f>IF($E3426="","",P3426*Y3426/100)</f>
        <v/>
      </c>
      <c r="R3426" s="7" t="n"/>
      <c r="X3426" s="7" t="n"/>
      <c r="Y3426" s="7" t="n"/>
      <c r="AB3426">
        <f>IF($E3426="","",IF($AQ3426=1,0,IF($AP3426=1,Settings!$C$6,Settings!$C$7))*100)</f>
        <v/>
      </c>
      <c r="AC3426" s="7">
        <f>IF($E3426="","",Y3426*AB3426/100)</f>
        <v/>
      </c>
      <c r="AD3426" s="7">
        <f>IF($E3426="","",Y3426-AC3426)</f>
        <v/>
      </c>
      <c r="AE3426" s="7">
        <f>IF($E3426="","",AD3426-Q3426)</f>
        <v/>
      </c>
      <c r="AI3426" s="7" t="n"/>
      <c r="AL3426" s="11" t="n"/>
      <c r="AN3426">
        <f>IF($E3426="","",IF(COUNTIF($E$2:$E3426,$E3426)=1,1,0))</f>
        <v/>
      </c>
      <c r="AO3426">
        <f>IF($AN3426=1,SUMPRODUCT(--($AR$2:$AR$4001&lt;$AR3426))+1,"")</f>
        <v/>
      </c>
      <c r="AP3426">
        <f>IF($E3426="","",IF(OR($U3426=TRUE(),$U3426="TRUE"),1,0))</f>
        <v/>
      </c>
      <c r="AQ3426">
        <f>IF($E3426="","",IF($AA3426="Yes",1,0))</f>
        <v/>
      </c>
      <c r="AR3426">
        <f>IF($AN3426=1,IFERROR(VALUE(MID($E3426,2,20)),1000000000)+ROW()/100000,"")</f>
        <v/>
      </c>
    </row>
    <row r="3427">
      <c r="G3427" s="11" t="n"/>
      <c r="Q3427" s="7">
        <f>IF($E3427="","",P3427*Y3427/100)</f>
        <v/>
      </c>
      <c r="R3427" s="7" t="n"/>
      <c r="X3427" s="7" t="n"/>
      <c r="Y3427" s="7" t="n"/>
      <c r="AB3427">
        <f>IF($E3427="","",IF($AQ3427=1,0,IF($AP3427=1,Settings!$C$6,Settings!$C$7))*100)</f>
        <v/>
      </c>
      <c r="AC3427" s="7">
        <f>IF($E3427="","",Y3427*AB3427/100)</f>
        <v/>
      </c>
      <c r="AD3427" s="7">
        <f>IF($E3427="","",Y3427-AC3427)</f>
        <v/>
      </c>
      <c r="AE3427" s="7">
        <f>IF($E3427="","",AD3427-Q3427)</f>
        <v/>
      </c>
      <c r="AI3427" s="7" t="n"/>
      <c r="AL3427" s="11" t="n"/>
      <c r="AN3427">
        <f>IF($E3427="","",IF(COUNTIF($E$2:$E3427,$E3427)=1,1,0))</f>
        <v/>
      </c>
      <c r="AO3427">
        <f>IF($AN3427=1,SUMPRODUCT(--($AR$2:$AR$4001&lt;$AR3427))+1,"")</f>
        <v/>
      </c>
      <c r="AP3427">
        <f>IF($E3427="","",IF(OR($U3427=TRUE(),$U3427="TRUE"),1,0))</f>
        <v/>
      </c>
      <c r="AQ3427">
        <f>IF($E3427="","",IF($AA3427="Yes",1,0))</f>
        <v/>
      </c>
      <c r="AR3427">
        <f>IF($AN3427=1,IFERROR(VALUE(MID($E3427,2,20)),1000000000)+ROW()/100000,"")</f>
        <v/>
      </c>
    </row>
    <row r="3428">
      <c r="G3428" s="11" t="n"/>
      <c r="Q3428" s="7">
        <f>IF($E3428="","",P3428*Y3428/100)</f>
        <v/>
      </c>
      <c r="R3428" s="7" t="n"/>
      <c r="X3428" s="7" t="n"/>
      <c r="Y3428" s="7" t="n"/>
      <c r="AB3428">
        <f>IF($E3428="","",IF($AQ3428=1,0,IF($AP3428=1,Settings!$C$6,Settings!$C$7))*100)</f>
        <v/>
      </c>
      <c r="AC3428" s="7">
        <f>IF($E3428="","",Y3428*AB3428/100)</f>
        <v/>
      </c>
      <c r="AD3428" s="7">
        <f>IF($E3428="","",Y3428-AC3428)</f>
        <v/>
      </c>
      <c r="AE3428" s="7">
        <f>IF($E3428="","",AD3428-Q3428)</f>
        <v/>
      </c>
      <c r="AI3428" s="7" t="n"/>
      <c r="AL3428" s="11" t="n"/>
      <c r="AN3428">
        <f>IF($E3428="","",IF(COUNTIF($E$2:$E3428,$E3428)=1,1,0))</f>
        <v/>
      </c>
      <c r="AO3428">
        <f>IF($AN3428=1,SUMPRODUCT(--($AR$2:$AR$4001&lt;$AR3428))+1,"")</f>
        <v/>
      </c>
      <c r="AP3428">
        <f>IF($E3428="","",IF(OR($U3428=TRUE(),$U3428="TRUE"),1,0))</f>
        <v/>
      </c>
      <c r="AQ3428">
        <f>IF($E3428="","",IF($AA3428="Yes",1,0))</f>
        <v/>
      </c>
      <c r="AR3428">
        <f>IF($AN3428=1,IFERROR(VALUE(MID($E3428,2,20)),1000000000)+ROW()/100000,"")</f>
        <v/>
      </c>
    </row>
    <row r="3429">
      <c r="G3429" s="11" t="n"/>
      <c r="Q3429" s="7">
        <f>IF($E3429="","",P3429*Y3429/100)</f>
        <v/>
      </c>
      <c r="R3429" s="7" t="n"/>
      <c r="X3429" s="7" t="n"/>
      <c r="Y3429" s="7" t="n"/>
      <c r="AB3429">
        <f>IF($E3429="","",IF($AQ3429=1,0,IF($AP3429=1,Settings!$C$6,Settings!$C$7))*100)</f>
        <v/>
      </c>
      <c r="AC3429" s="7">
        <f>IF($E3429="","",Y3429*AB3429/100)</f>
        <v/>
      </c>
      <c r="AD3429" s="7">
        <f>IF($E3429="","",Y3429-AC3429)</f>
        <v/>
      </c>
      <c r="AE3429" s="7">
        <f>IF($E3429="","",AD3429-Q3429)</f>
        <v/>
      </c>
      <c r="AI3429" s="7" t="n"/>
      <c r="AL3429" s="11" t="n"/>
      <c r="AN3429">
        <f>IF($E3429="","",IF(COUNTIF($E$2:$E3429,$E3429)=1,1,0))</f>
        <v/>
      </c>
      <c r="AO3429">
        <f>IF($AN3429=1,SUMPRODUCT(--($AR$2:$AR$4001&lt;$AR3429))+1,"")</f>
        <v/>
      </c>
      <c r="AP3429">
        <f>IF($E3429="","",IF(OR($U3429=TRUE(),$U3429="TRUE"),1,0))</f>
        <v/>
      </c>
      <c r="AQ3429">
        <f>IF($E3429="","",IF($AA3429="Yes",1,0))</f>
        <v/>
      </c>
      <c r="AR3429">
        <f>IF($AN3429=1,IFERROR(VALUE(MID($E3429,2,20)),1000000000)+ROW()/100000,"")</f>
        <v/>
      </c>
    </row>
    <row r="3430">
      <c r="G3430" s="11" t="n"/>
      <c r="Q3430" s="7">
        <f>IF($E3430="","",P3430*Y3430/100)</f>
        <v/>
      </c>
      <c r="R3430" s="7" t="n"/>
      <c r="X3430" s="7" t="n"/>
      <c r="Y3430" s="7" t="n"/>
      <c r="AB3430">
        <f>IF($E3430="","",IF($AQ3430=1,0,IF($AP3430=1,Settings!$C$6,Settings!$C$7))*100)</f>
        <v/>
      </c>
      <c r="AC3430" s="7">
        <f>IF($E3430="","",Y3430*AB3430/100)</f>
        <v/>
      </c>
      <c r="AD3430" s="7">
        <f>IF($E3430="","",Y3430-AC3430)</f>
        <v/>
      </c>
      <c r="AE3430" s="7">
        <f>IF($E3430="","",AD3430-Q3430)</f>
        <v/>
      </c>
      <c r="AI3430" s="7" t="n"/>
      <c r="AL3430" s="11" t="n"/>
      <c r="AN3430">
        <f>IF($E3430="","",IF(COUNTIF($E$2:$E3430,$E3430)=1,1,0))</f>
        <v/>
      </c>
      <c r="AO3430">
        <f>IF($AN3430=1,SUMPRODUCT(--($AR$2:$AR$4001&lt;$AR3430))+1,"")</f>
        <v/>
      </c>
      <c r="AP3430">
        <f>IF($E3430="","",IF(OR($U3430=TRUE(),$U3430="TRUE"),1,0))</f>
        <v/>
      </c>
      <c r="AQ3430">
        <f>IF($E3430="","",IF($AA3430="Yes",1,0))</f>
        <v/>
      </c>
      <c r="AR3430">
        <f>IF($AN3430=1,IFERROR(VALUE(MID($E3430,2,20)),1000000000)+ROW()/100000,"")</f>
        <v/>
      </c>
    </row>
    <row r="3431">
      <c r="G3431" s="11" t="n"/>
      <c r="Q3431" s="7">
        <f>IF($E3431="","",P3431*Y3431/100)</f>
        <v/>
      </c>
      <c r="R3431" s="7" t="n"/>
      <c r="X3431" s="7" t="n"/>
      <c r="Y3431" s="7" t="n"/>
      <c r="AB3431">
        <f>IF($E3431="","",IF($AQ3431=1,0,IF($AP3431=1,Settings!$C$6,Settings!$C$7))*100)</f>
        <v/>
      </c>
      <c r="AC3431" s="7">
        <f>IF($E3431="","",Y3431*AB3431/100)</f>
        <v/>
      </c>
      <c r="AD3431" s="7">
        <f>IF($E3431="","",Y3431-AC3431)</f>
        <v/>
      </c>
      <c r="AE3431" s="7">
        <f>IF($E3431="","",AD3431-Q3431)</f>
        <v/>
      </c>
      <c r="AI3431" s="7" t="n"/>
      <c r="AL3431" s="11" t="n"/>
      <c r="AN3431">
        <f>IF($E3431="","",IF(COUNTIF($E$2:$E3431,$E3431)=1,1,0))</f>
        <v/>
      </c>
      <c r="AO3431">
        <f>IF($AN3431=1,SUMPRODUCT(--($AR$2:$AR$4001&lt;$AR3431))+1,"")</f>
        <v/>
      </c>
      <c r="AP3431">
        <f>IF($E3431="","",IF(OR($U3431=TRUE(),$U3431="TRUE"),1,0))</f>
        <v/>
      </c>
      <c r="AQ3431">
        <f>IF($E3431="","",IF($AA3431="Yes",1,0))</f>
        <v/>
      </c>
      <c r="AR3431">
        <f>IF($AN3431=1,IFERROR(VALUE(MID($E3431,2,20)),1000000000)+ROW()/100000,"")</f>
        <v/>
      </c>
    </row>
    <row r="3432">
      <c r="G3432" s="11" t="n"/>
      <c r="Q3432" s="7">
        <f>IF($E3432="","",P3432*Y3432/100)</f>
        <v/>
      </c>
      <c r="R3432" s="7" t="n"/>
      <c r="X3432" s="7" t="n"/>
      <c r="Y3432" s="7" t="n"/>
      <c r="AB3432">
        <f>IF($E3432="","",IF($AQ3432=1,0,IF($AP3432=1,Settings!$C$6,Settings!$C$7))*100)</f>
        <v/>
      </c>
      <c r="AC3432" s="7">
        <f>IF($E3432="","",Y3432*AB3432/100)</f>
        <v/>
      </c>
      <c r="AD3432" s="7">
        <f>IF($E3432="","",Y3432-AC3432)</f>
        <v/>
      </c>
      <c r="AE3432" s="7">
        <f>IF($E3432="","",AD3432-Q3432)</f>
        <v/>
      </c>
      <c r="AI3432" s="7" t="n"/>
      <c r="AL3432" s="11" t="n"/>
      <c r="AN3432">
        <f>IF($E3432="","",IF(COUNTIF($E$2:$E3432,$E3432)=1,1,0))</f>
        <v/>
      </c>
      <c r="AO3432">
        <f>IF($AN3432=1,SUMPRODUCT(--($AR$2:$AR$4001&lt;$AR3432))+1,"")</f>
        <v/>
      </c>
      <c r="AP3432">
        <f>IF($E3432="","",IF(OR($U3432=TRUE(),$U3432="TRUE"),1,0))</f>
        <v/>
      </c>
      <c r="AQ3432">
        <f>IF($E3432="","",IF($AA3432="Yes",1,0))</f>
        <v/>
      </c>
      <c r="AR3432">
        <f>IF($AN3432=1,IFERROR(VALUE(MID($E3432,2,20)),1000000000)+ROW()/100000,"")</f>
        <v/>
      </c>
    </row>
    <row r="3433">
      <c r="G3433" s="11" t="n"/>
      <c r="Q3433" s="7">
        <f>IF($E3433="","",P3433*Y3433/100)</f>
        <v/>
      </c>
      <c r="R3433" s="7" t="n"/>
      <c r="X3433" s="7" t="n"/>
      <c r="Y3433" s="7" t="n"/>
      <c r="AB3433">
        <f>IF($E3433="","",IF($AQ3433=1,0,IF($AP3433=1,Settings!$C$6,Settings!$C$7))*100)</f>
        <v/>
      </c>
      <c r="AC3433" s="7">
        <f>IF($E3433="","",Y3433*AB3433/100)</f>
        <v/>
      </c>
      <c r="AD3433" s="7">
        <f>IF($E3433="","",Y3433-AC3433)</f>
        <v/>
      </c>
      <c r="AE3433" s="7">
        <f>IF($E3433="","",AD3433-Q3433)</f>
        <v/>
      </c>
      <c r="AI3433" s="7" t="n"/>
      <c r="AL3433" s="11" t="n"/>
      <c r="AN3433">
        <f>IF($E3433="","",IF(COUNTIF($E$2:$E3433,$E3433)=1,1,0))</f>
        <v/>
      </c>
      <c r="AO3433">
        <f>IF($AN3433=1,SUMPRODUCT(--($AR$2:$AR$4001&lt;$AR3433))+1,"")</f>
        <v/>
      </c>
      <c r="AP3433">
        <f>IF($E3433="","",IF(OR($U3433=TRUE(),$U3433="TRUE"),1,0))</f>
        <v/>
      </c>
      <c r="AQ3433">
        <f>IF($E3433="","",IF($AA3433="Yes",1,0))</f>
        <v/>
      </c>
      <c r="AR3433">
        <f>IF($AN3433=1,IFERROR(VALUE(MID($E3433,2,20)),1000000000)+ROW()/100000,"")</f>
        <v/>
      </c>
    </row>
    <row r="3434">
      <c r="G3434" s="11" t="n"/>
      <c r="Q3434" s="7">
        <f>IF($E3434="","",P3434*Y3434/100)</f>
        <v/>
      </c>
      <c r="R3434" s="7" t="n"/>
      <c r="X3434" s="7" t="n"/>
      <c r="Y3434" s="7" t="n"/>
      <c r="AB3434">
        <f>IF($E3434="","",IF($AQ3434=1,0,IF($AP3434=1,Settings!$C$6,Settings!$C$7))*100)</f>
        <v/>
      </c>
      <c r="AC3434" s="7">
        <f>IF($E3434="","",Y3434*AB3434/100)</f>
        <v/>
      </c>
      <c r="AD3434" s="7">
        <f>IF($E3434="","",Y3434-AC3434)</f>
        <v/>
      </c>
      <c r="AE3434" s="7">
        <f>IF($E3434="","",AD3434-Q3434)</f>
        <v/>
      </c>
      <c r="AI3434" s="7" t="n"/>
      <c r="AL3434" s="11" t="n"/>
      <c r="AN3434">
        <f>IF($E3434="","",IF(COUNTIF($E$2:$E3434,$E3434)=1,1,0))</f>
        <v/>
      </c>
      <c r="AO3434">
        <f>IF($AN3434=1,SUMPRODUCT(--($AR$2:$AR$4001&lt;$AR3434))+1,"")</f>
        <v/>
      </c>
      <c r="AP3434">
        <f>IF($E3434="","",IF(OR($U3434=TRUE(),$U3434="TRUE"),1,0))</f>
        <v/>
      </c>
      <c r="AQ3434">
        <f>IF($E3434="","",IF($AA3434="Yes",1,0))</f>
        <v/>
      </c>
      <c r="AR3434">
        <f>IF($AN3434=1,IFERROR(VALUE(MID($E3434,2,20)),1000000000)+ROW()/100000,"")</f>
        <v/>
      </c>
    </row>
    <row r="3435">
      <c r="G3435" s="11" t="n"/>
      <c r="Q3435" s="7">
        <f>IF($E3435="","",P3435*Y3435/100)</f>
        <v/>
      </c>
      <c r="R3435" s="7" t="n"/>
      <c r="X3435" s="7" t="n"/>
      <c r="Y3435" s="7" t="n"/>
      <c r="AB3435">
        <f>IF($E3435="","",IF($AQ3435=1,0,IF($AP3435=1,Settings!$C$6,Settings!$C$7))*100)</f>
        <v/>
      </c>
      <c r="AC3435" s="7">
        <f>IF($E3435="","",Y3435*AB3435/100)</f>
        <v/>
      </c>
      <c r="AD3435" s="7">
        <f>IF($E3435="","",Y3435-AC3435)</f>
        <v/>
      </c>
      <c r="AE3435" s="7">
        <f>IF($E3435="","",AD3435-Q3435)</f>
        <v/>
      </c>
      <c r="AI3435" s="7" t="n"/>
      <c r="AL3435" s="11" t="n"/>
      <c r="AN3435">
        <f>IF($E3435="","",IF(COUNTIF($E$2:$E3435,$E3435)=1,1,0))</f>
        <v/>
      </c>
      <c r="AO3435">
        <f>IF($AN3435=1,SUMPRODUCT(--($AR$2:$AR$4001&lt;$AR3435))+1,"")</f>
        <v/>
      </c>
      <c r="AP3435">
        <f>IF($E3435="","",IF(OR($U3435=TRUE(),$U3435="TRUE"),1,0))</f>
        <v/>
      </c>
      <c r="AQ3435">
        <f>IF($E3435="","",IF($AA3435="Yes",1,0))</f>
        <v/>
      </c>
      <c r="AR3435">
        <f>IF($AN3435=1,IFERROR(VALUE(MID($E3435,2,20)),1000000000)+ROW()/100000,"")</f>
        <v/>
      </c>
    </row>
    <row r="3436">
      <c r="G3436" s="11" t="n"/>
      <c r="Q3436" s="7">
        <f>IF($E3436="","",P3436*Y3436/100)</f>
        <v/>
      </c>
      <c r="R3436" s="7" t="n"/>
      <c r="X3436" s="7" t="n"/>
      <c r="Y3436" s="7" t="n"/>
      <c r="AB3436">
        <f>IF($E3436="","",IF($AQ3436=1,0,IF($AP3436=1,Settings!$C$6,Settings!$C$7))*100)</f>
        <v/>
      </c>
      <c r="AC3436" s="7">
        <f>IF($E3436="","",Y3436*AB3436/100)</f>
        <v/>
      </c>
      <c r="AD3436" s="7">
        <f>IF($E3436="","",Y3436-AC3436)</f>
        <v/>
      </c>
      <c r="AE3436" s="7">
        <f>IF($E3436="","",AD3436-Q3436)</f>
        <v/>
      </c>
      <c r="AI3436" s="7" t="n"/>
      <c r="AL3436" s="11" t="n"/>
      <c r="AN3436">
        <f>IF($E3436="","",IF(COUNTIF($E$2:$E3436,$E3436)=1,1,0))</f>
        <v/>
      </c>
      <c r="AO3436">
        <f>IF($AN3436=1,SUMPRODUCT(--($AR$2:$AR$4001&lt;$AR3436))+1,"")</f>
        <v/>
      </c>
      <c r="AP3436">
        <f>IF($E3436="","",IF(OR($U3436=TRUE(),$U3436="TRUE"),1,0))</f>
        <v/>
      </c>
      <c r="AQ3436">
        <f>IF($E3436="","",IF($AA3436="Yes",1,0))</f>
        <v/>
      </c>
      <c r="AR3436">
        <f>IF($AN3436=1,IFERROR(VALUE(MID($E3436,2,20)),1000000000)+ROW()/100000,"")</f>
        <v/>
      </c>
    </row>
    <row r="3437">
      <c r="G3437" s="11" t="n"/>
      <c r="Q3437" s="7">
        <f>IF($E3437="","",P3437*Y3437/100)</f>
        <v/>
      </c>
      <c r="R3437" s="7" t="n"/>
      <c r="X3437" s="7" t="n"/>
      <c r="Y3437" s="7" t="n"/>
      <c r="AB3437">
        <f>IF($E3437="","",IF($AQ3437=1,0,IF($AP3437=1,Settings!$C$6,Settings!$C$7))*100)</f>
        <v/>
      </c>
      <c r="AC3437" s="7">
        <f>IF($E3437="","",Y3437*AB3437/100)</f>
        <v/>
      </c>
      <c r="AD3437" s="7">
        <f>IF($E3437="","",Y3437-AC3437)</f>
        <v/>
      </c>
      <c r="AE3437" s="7">
        <f>IF($E3437="","",AD3437-Q3437)</f>
        <v/>
      </c>
      <c r="AI3437" s="7" t="n"/>
      <c r="AL3437" s="11" t="n"/>
      <c r="AN3437">
        <f>IF($E3437="","",IF(COUNTIF($E$2:$E3437,$E3437)=1,1,0))</f>
        <v/>
      </c>
      <c r="AO3437">
        <f>IF($AN3437=1,SUMPRODUCT(--($AR$2:$AR$4001&lt;$AR3437))+1,"")</f>
        <v/>
      </c>
      <c r="AP3437">
        <f>IF($E3437="","",IF(OR($U3437=TRUE(),$U3437="TRUE"),1,0))</f>
        <v/>
      </c>
      <c r="AQ3437">
        <f>IF($E3437="","",IF($AA3437="Yes",1,0))</f>
        <v/>
      </c>
      <c r="AR3437">
        <f>IF($AN3437=1,IFERROR(VALUE(MID($E3437,2,20)),1000000000)+ROW()/100000,"")</f>
        <v/>
      </c>
    </row>
    <row r="3438">
      <c r="G3438" s="11" t="n"/>
      <c r="Q3438" s="7">
        <f>IF($E3438="","",P3438*Y3438/100)</f>
        <v/>
      </c>
      <c r="R3438" s="7" t="n"/>
      <c r="X3438" s="7" t="n"/>
      <c r="Y3438" s="7" t="n"/>
      <c r="AB3438">
        <f>IF($E3438="","",IF($AQ3438=1,0,IF($AP3438=1,Settings!$C$6,Settings!$C$7))*100)</f>
        <v/>
      </c>
      <c r="AC3438" s="7">
        <f>IF($E3438="","",Y3438*AB3438/100)</f>
        <v/>
      </c>
      <c r="AD3438" s="7">
        <f>IF($E3438="","",Y3438-AC3438)</f>
        <v/>
      </c>
      <c r="AE3438" s="7">
        <f>IF($E3438="","",AD3438-Q3438)</f>
        <v/>
      </c>
      <c r="AI3438" s="7" t="n"/>
      <c r="AL3438" s="11" t="n"/>
      <c r="AN3438">
        <f>IF($E3438="","",IF(COUNTIF($E$2:$E3438,$E3438)=1,1,0))</f>
        <v/>
      </c>
      <c r="AO3438">
        <f>IF($AN3438=1,SUMPRODUCT(--($AR$2:$AR$4001&lt;$AR3438))+1,"")</f>
        <v/>
      </c>
      <c r="AP3438">
        <f>IF($E3438="","",IF(OR($U3438=TRUE(),$U3438="TRUE"),1,0))</f>
        <v/>
      </c>
      <c r="AQ3438">
        <f>IF($E3438="","",IF($AA3438="Yes",1,0))</f>
        <v/>
      </c>
      <c r="AR3438">
        <f>IF($AN3438=1,IFERROR(VALUE(MID($E3438,2,20)),1000000000)+ROW()/100000,"")</f>
        <v/>
      </c>
    </row>
    <row r="3439">
      <c r="G3439" s="11" t="n"/>
      <c r="Q3439" s="7">
        <f>IF($E3439="","",P3439*Y3439/100)</f>
        <v/>
      </c>
      <c r="R3439" s="7" t="n"/>
      <c r="X3439" s="7" t="n"/>
      <c r="Y3439" s="7" t="n"/>
      <c r="AB3439">
        <f>IF($E3439="","",IF($AQ3439=1,0,IF($AP3439=1,Settings!$C$6,Settings!$C$7))*100)</f>
        <v/>
      </c>
      <c r="AC3439" s="7">
        <f>IF($E3439="","",Y3439*AB3439/100)</f>
        <v/>
      </c>
      <c r="AD3439" s="7">
        <f>IF($E3439="","",Y3439-AC3439)</f>
        <v/>
      </c>
      <c r="AE3439" s="7">
        <f>IF($E3439="","",AD3439-Q3439)</f>
        <v/>
      </c>
      <c r="AI3439" s="7" t="n"/>
      <c r="AL3439" s="11" t="n"/>
      <c r="AN3439">
        <f>IF($E3439="","",IF(COUNTIF($E$2:$E3439,$E3439)=1,1,0))</f>
        <v/>
      </c>
      <c r="AO3439">
        <f>IF($AN3439=1,SUMPRODUCT(--($AR$2:$AR$4001&lt;$AR3439))+1,"")</f>
        <v/>
      </c>
      <c r="AP3439">
        <f>IF($E3439="","",IF(OR($U3439=TRUE(),$U3439="TRUE"),1,0))</f>
        <v/>
      </c>
      <c r="AQ3439">
        <f>IF($E3439="","",IF($AA3439="Yes",1,0))</f>
        <v/>
      </c>
      <c r="AR3439">
        <f>IF($AN3439=1,IFERROR(VALUE(MID($E3439,2,20)),1000000000)+ROW()/100000,"")</f>
        <v/>
      </c>
    </row>
    <row r="3440">
      <c r="G3440" s="11" t="n"/>
      <c r="Q3440" s="7">
        <f>IF($E3440="","",P3440*Y3440/100)</f>
        <v/>
      </c>
      <c r="R3440" s="7" t="n"/>
      <c r="X3440" s="7" t="n"/>
      <c r="Y3440" s="7" t="n"/>
      <c r="AB3440">
        <f>IF($E3440="","",IF($AQ3440=1,0,IF($AP3440=1,Settings!$C$6,Settings!$C$7))*100)</f>
        <v/>
      </c>
      <c r="AC3440" s="7">
        <f>IF($E3440="","",Y3440*AB3440/100)</f>
        <v/>
      </c>
      <c r="AD3440" s="7">
        <f>IF($E3440="","",Y3440-AC3440)</f>
        <v/>
      </c>
      <c r="AE3440" s="7">
        <f>IF($E3440="","",AD3440-Q3440)</f>
        <v/>
      </c>
      <c r="AI3440" s="7" t="n"/>
      <c r="AL3440" s="11" t="n"/>
      <c r="AN3440">
        <f>IF($E3440="","",IF(COUNTIF($E$2:$E3440,$E3440)=1,1,0))</f>
        <v/>
      </c>
      <c r="AO3440">
        <f>IF($AN3440=1,SUMPRODUCT(--($AR$2:$AR$4001&lt;$AR3440))+1,"")</f>
        <v/>
      </c>
      <c r="AP3440">
        <f>IF($E3440="","",IF(OR($U3440=TRUE(),$U3440="TRUE"),1,0))</f>
        <v/>
      </c>
      <c r="AQ3440">
        <f>IF($E3440="","",IF($AA3440="Yes",1,0))</f>
        <v/>
      </c>
      <c r="AR3440">
        <f>IF($AN3440=1,IFERROR(VALUE(MID($E3440,2,20)),1000000000)+ROW()/100000,"")</f>
        <v/>
      </c>
    </row>
    <row r="3441">
      <c r="G3441" s="11" t="n"/>
      <c r="Q3441" s="7">
        <f>IF($E3441="","",P3441*Y3441/100)</f>
        <v/>
      </c>
      <c r="R3441" s="7" t="n"/>
      <c r="X3441" s="7" t="n"/>
      <c r="Y3441" s="7" t="n"/>
      <c r="AB3441">
        <f>IF($E3441="","",IF($AQ3441=1,0,IF($AP3441=1,Settings!$C$6,Settings!$C$7))*100)</f>
        <v/>
      </c>
      <c r="AC3441" s="7">
        <f>IF($E3441="","",Y3441*AB3441/100)</f>
        <v/>
      </c>
      <c r="AD3441" s="7">
        <f>IF($E3441="","",Y3441-AC3441)</f>
        <v/>
      </c>
      <c r="AE3441" s="7">
        <f>IF($E3441="","",AD3441-Q3441)</f>
        <v/>
      </c>
      <c r="AI3441" s="7" t="n"/>
      <c r="AL3441" s="11" t="n"/>
      <c r="AN3441">
        <f>IF($E3441="","",IF(COUNTIF($E$2:$E3441,$E3441)=1,1,0))</f>
        <v/>
      </c>
      <c r="AO3441">
        <f>IF($AN3441=1,SUMPRODUCT(--($AR$2:$AR$4001&lt;$AR3441))+1,"")</f>
        <v/>
      </c>
      <c r="AP3441">
        <f>IF($E3441="","",IF(OR($U3441=TRUE(),$U3441="TRUE"),1,0))</f>
        <v/>
      </c>
      <c r="AQ3441">
        <f>IF($E3441="","",IF($AA3441="Yes",1,0))</f>
        <v/>
      </c>
      <c r="AR3441">
        <f>IF($AN3441=1,IFERROR(VALUE(MID($E3441,2,20)),1000000000)+ROW()/100000,"")</f>
        <v/>
      </c>
    </row>
    <row r="3442">
      <c r="G3442" s="11" t="n"/>
      <c r="Q3442" s="7">
        <f>IF($E3442="","",P3442*Y3442/100)</f>
        <v/>
      </c>
      <c r="R3442" s="7" t="n"/>
      <c r="X3442" s="7" t="n"/>
      <c r="Y3442" s="7" t="n"/>
      <c r="AB3442">
        <f>IF($E3442="","",IF($AQ3442=1,0,IF($AP3442=1,Settings!$C$6,Settings!$C$7))*100)</f>
        <v/>
      </c>
      <c r="AC3442" s="7">
        <f>IF($E3442="","",Y3442*AB3442/100)</f>
        <v/>
      </c>
      <c r="AD3442" s="7">
        <f>IF($E3442="","",Y3442-AC3442)</f>
        <v/>
      </c>
      <c r="AE3442" s="7">
        <f>IF($E3442="","",AD3442-Q3442)</f>
        <v/>
      </c>
      <c r="AI3442" s="7" t="n"/>
      <c r="AL3442" s="11" t="n"/>
      <c r="AN3442">
        <f>IF($E3442="","",IF(COUNTIF($E$2:$E3442,$E3442)=1,1,0))</f>
        <v/>
      </c>
      <c r="AO3442">
        <f>IF($AN3442=1,SUMPRODUCT(--($AR$2:$AR$4001&lt;$AR3442))+1,"")</f>
        <v/>
      </c>
      <c r="AP3442">
        <f>IF($E3442="","",IF(OR($U3442=TRUE(),$U3442="TRUE"),1,0))</f>
        <v/>
      </c>
      <c r="AQ3442">
        <f>IF($E3442="","",IF($AA3442="Yes",1,0))</f>
        <v/>
      </c>
      <c r="AR3442">
        <f>IF($AN3442=1,IFERROR(VALUE(MID($E3442,2,20)),1000000000)+ROW()/100000,"")</f>
        <v/>
      </c>
    </row>
    <row r="3443">
      <c r="G3443" s="11" t="n"/>
      <c r="Q3443" s="7">
        <f>IF($E3443="","",P3443*Y3443/100)</f>
        <v/>
      </c>
      <c r="R3443" s="7" t="n"/>
      <c r="X3443" s="7" t="n"/>
      <c r="Y3443" s="7" t="n"/>
      <c r="AB3443">
        <f>IF($E3443="","",IF($AQ3443=1,0,IF($AP3443=1,Settings!$C$6,Settings!$C$7))*100)</f>
        <v/>
      </c>
      <c r="AC3443" s="7">
        <f>IF($E3443="","",Y3443*AB3443/100)</f>
        <v/>
      </c>
      <c r="AD3443" s="7">
        <f>IF($E3443="","",Y3443-AC3443)</f>
        <v/>
      </c>
      <c r="AE3443" s="7">
        <f>IF($E3443="","",AD3443-Q3443)</f>
        <v/>
      </c>
      <c r="AI3443" s="7" t="n"/>
      <c r="AL3443" s="11" t="n"/>
      <c r="AN3443">
        <f>IF($E3443="","",IF(COUNTIF($E$2:$E3443,$E3443)=1,1,0))</f>
        <v/>
      </c>
      <c r="AO3443">
        <f>IF($AN3443=1,SUMPRODUCT(--($AR$2:$AR$4001&lt;$AR3443))+1,"")</f>
        <v/>
      </c>
      <c r="AP3443">
        <f>IF($E3443="","",IF(OR($U3443=TRUE(),$U3443="TRUE"),1,0))</f>
        <v/>
      </c>
      <c r="AQ3443">
        <f>IF($E3443="","",IF($AA3443="Yes",1,0))</f>
        <v/>
      </c>
      <c r="AR3443">
        <f>IF($AN3443=1,IFERROR(VALUE(MID($E3443,2,20)),1000000000)+ROW()/100000,"")</f>
        <v/>
      </c>
    </row>
    <row r="3444">
      <c r="G3444" s="11" t="n"/>
      <c r="Q3444" s="7">
        <f>IF($E3444="","",P3444*Y3444/100)</f>
        <v/>
      </c>
      <c r="R3444" s="7" t="n"/>
      <c r="X3444" s="7" t="n"/>
      <c r="Y3444" s="7" t="n"/>
      <c r="AB3444">
        <f>IF($E3444="","",IF($AQ3444=1,0,IF($AP3444=1,Settings!$C$6,Settings!$C$7))*100)</f>
        <v/>
      </c>
      <c r="AC3444" s="7">
        <f>IF($E3444="","",Y3444*AB3444/100)</f>
        <v/>
      </c>
      <c r="AD3444" s="7">
        <f>IF($E3444="","",Y3444-AC3444)</f>
        <v/>
      </c>
      <c r="AE3444" s="7">
        <f>IF($E3444="","",AD3444-Q3444)</f>
        <v/>
      </c>
      <c r="AI3444" s="7" t="n"/>
      <c r="AL3444" s="11" t="n"/>
      <c r="AN3444">
        <f>IF($E3444="","",IF(COUNTIF($E$2:$E3444,$E3444)=1,1,0))</f>
        <v/>
      </c>
      <c r="AO3444">
        <f>IF($AN3444=1,SUMPRODUCT(--($AR$2:$AR$4001&lt;$AR3444))+1,"")</f>
        <v/>
      </c>
      <c r="AP3444">
        <f>IF($E3444="","",IF(OR($U3444=TRUE(),$U3444="TRUE"),1,0))</f>
        <v/>
      </c>
      <c r="AQ3444">
        <f>IF($E3444="","",IF($AA3444="Yes",1,0))</f>
        <v/>
      </c>
      <c r="AR3444">
        <f>IF($AN3444=1,IFERROR(VALUE(MID($E3444,2,20)),1000000000)+ROW()/100000,"")</f>
        <v/>
      </c>
    </row>
    <row r="3445">
      <c r="G3445" s="11" t="n"/>
      <c r="Q3445" s="7">
        <f>IF($E3445="","",P3445*Y3445/100)</f>
        <v/>
      </c>
      <c r="R3445" s="7" t="n"/>
      <c r="X3445" s="7" t="n"/>
      <c r="Y3445" s="7" t="n"/>
      <c r="AB3445">
        <f>IF($E3445="","",IF($AQ3445=1,0,IF($AP3445=1,Settings!$C$6,Settings!$C$7))*100)</f>
        <v/>
      </c>
      <c r="AC3445" s="7">
        <f>IF($E3445="","",Y3445*AB3445/100)</f>
        <v/>
      </c>
      <c r="AD3445" s="7">
        <f>IF($E3445="","",Y3445-AC3445)</f>
        <v/>
      </c>
      <c r="AE3445" s="7">
        <f>IF($E3445="","",AD3445-Q3445)</f>
        <v/>
      </c>
      <c r="AI3445" s="7" t="n"/>
      <c r="AL3445" s="11" t="n"/>
      <c r="AN3445">
        <f>IF($E3445="","",IF(COUNTIF($E$2:$E3445,$E3445)=1,1,0))</f>
        <v/>
      </c>
      <c r="AO3445">
        <f>IF($AN3445=1,SUMPRODUCT(--($AR$2:$AR$4001&lt;$AR3445))+1,"")</f>
        <v/>
      </c>
      <c r="AP3445">
        <f>IF($E3445="","",IF(OR($U3445=TRUE(),$U3445="TRUE"),1,0))</f>
        <v/>
      </c>
      <c r="AQ3445">
        <f>IF($E3445="","",IF($AA3445="Yes",1,0))</f>
        <v/>
      </c>
      <c r="AR3445">
        <f>IF($AN3445=1,IFERROR(VALUE(MID($E3445,2,20)),1000000000)+ROW()/100000,"")</f>
        <v/>
      </c>
    </row>
    <row r="3446">
      <c r="G3446" s="11" t="n"/>
      <c r="Q3446" s="7">
        <f>IF($E3446="","",P3446*Y3446/100)</f>
        <v/>
      </c>
      <c r="R3446" s="7" t="n"/>
      <c r="X3446" s="7" t="n"/>
      <c r="Y3446" s="7" t="n"/>
      <c r="AB3446">
        <f>IF($E3446="","",IF($AQ3446=1,0,IF($AP3446=1,Settings!$C$6,Settings!$C$7))*100)</f>
        <v/>
      </c>
      <c r="AC3446" s="7">
        <f>IF($E3446="","",Y3446*AB3446/100)</f>
        <v/>
      </c>
      <c r="AD3446" s="7">
        <f>IF($E3446="","",Y3446-AC3446)</f>
        <v/>
      </c>
      <c r="AE3446" s="7">
        <f>IF($E3446="","",AD3446-Q3446)</f>
        <v/>
      </c>
      <c r="AI3446" s="7" t="n"/>
      <c r="AL3446" s="11" t="n"/>
      <c r="AN3446">
        <f>IF($E3446="","",IF(COUNTIF($E$2:$E3446,$E3446)=1,1,0))</f>
        <v/>
      </c>
      <c r="AO3446">
        <f>IF($AN3446=1,SUMPRODUCT(--($AR$2:$AR$4001&lt;$AR3446))+1,"")</f>
        <v/>
      </c>
      <c r="AP3446">
        <f>IF($E3446="","",IF(OR($U3446=TRUE(),$U3446="TRUE"),1,0))</f>
        <v/>
      </c>
      <c r="AQ3446">
        <f>IF($E3446="","",IF($AA3446="Yes",1,0))</f>
        <v/>
      </c>
      <c r="AR3446">
        <f>IF($AN3446=1,IFERROR(VALUE(MID($E3446,2,20)),1000000000)+ROW()/100000,"")</f>
        <v/>
      </c>
    </row>
    <row r="3447">
      <c r="G3447" s="11" t="n"/>
      <c r="Q3447" s="7">
        <f>IF($E3447="","",P3447*Y3447/100)</f>
        <v/>
      </c>
      <c r="R3447" s="7" t="n"/>
      <c r="X3447" s="7" t="n"/>
      <c r="Y3447" s="7" t="n"/>
      <c r="AB3447">
        <f>IF($E3447="","",IF($AQ3447=1,0,IF($AP3447=1,Settings!$C$6,Settings!$C$7))*100)</f>
        <v/>
      </c>
      <c r="AC3447" s="7">
        <f>IF($E3447="","",Y3447*AB3447/100)</f>
        <v/>
      </c>
      <c r="AD3447" s="7">
        <f>IF($E3447="","",Y3447-AC3447)</f>
        <v/>
      </c>
      <c r="AE3447" s="7">
        <f>IF($E3447="","",AD3447-Q3447)</f>
        <v/>
      </c>
      <c r="AI3447" s="7" t="n"/>
      <c r="AL3447" s="11" t="n"/>
      <c r="AN3447">
        <f>IF($E3447="","",IF(COUNTIF($E$2:$E3447,$E3447)=1,1,0))</f>
        <v/>
      </c>
      <c r="AO3447">
        <f>IF($AN3447=1,SUMPRODUCT(--($AR$2:$AR$4001&lt;$AR3447))+1,"")</f>
        <v/>
      </c>
      <c r="AP3447">
        <f>IF($E3447="","",IF(OR($U3447=TRUE(),$U3447="TRUE"),1,0))</f>
        <v/>
      </c>
      <c r="AQ3447">
        <f>IF($E3447="","",IF($AA3447="Yes",1,0))</f>
        <v/>
      </c>
      <c r="AR3447">
        <f>IF($AN3447=1,IFERROR(VALUE(MID($E3447,2,20)),1000000000)+ROW()/100000,"")</f>
        <v/>
      </c>
    </row>
    <row r="3448">
      <c r="G3448" s="11" t="n"/>
      <c r="Q3448" s="7">
        <f>IF($E3448="","",P3448*Y3448/100)</f>
        <v/>
      </c>
      <c r="R3448" s="7" t="n"/>
      <c r="X3448" s="7" t="n"/>
      <c r="Y3448" s="7" t="n"/>
      <c r="AB3448">
        <f>IF($E3448="","",IF($AQ3448=1,0,IF($AP3448=1,Settings!$C$6,Settings!$C$7))*100)</f>
        <v/>
      </c>
      <c r="AC3448" s="7">
        <f>IF($E3448="","",Y3448*AB3448/100)</f>
        <v/>
      </c>
      <c r="AD3448" s="7">
        <f>IF($E3448="","",Y3448-AC3448)</f>
        <v/>
      </c>
      <c r="AE3448" s="7">
        <f>IF($E3448="","",AD3448-Q3448)</f>
        <v/>
      </c>
      <c r="AI3448" s="7" t="n"/>
      <c r="AL3448" s="11" t="n"/>
      <c r="AN3448">
        <f>IF($E3448="","",IF(COUNTIF($E$2:$E3448,$E3448)=1,1,0))</f>
        <v/>
      </c>
      <c r="AO3448">
        <f>IF($AN3448=1,SUMPRODUCT(--($AR$2:$AR$4001&lt;$AR3448))+1,"")</f>
        <v/>
      </c>
      <c r="AP3448">
        <f>IF($E3448="","",IF(OR($U3448=TRUE(),$U3448="TRUE"),1,0))</f>
        <v/>
      </c>
      <c r="AQ3448">
        <f>IF($E3448="","",IF($AA3448="Yes",1,0))</f>
        <v/>
      </c>
      <c r="AR3448">
        <f>IF($AN3448=1,IFERROR(VALUE(MID($E3448,2,20)),1000000000)+ROW()/100000,"")</f>
        <v/>
      </c>
    </row>
    <row r="3449">
      <c r="G3449" s="11" t="n"/>
      <c r="Q3449" s="7">
        <f>IF($E3449="","",P3449*Y3449/100)</f>
        <v/>
      </c>
      <c r="R3449" s="7" t="n"/>
      <c r="X3449" s="7" t="n"/>
      <c r="Y3449" s="7" t="n"/>
      <c r="AB3449">
        <f>IF($E3449="","",IF($AQ3449=1,0,IF($AP3449=1,Settings!$C$6,Settings!$C$7))*100)</f>
        <v/>
      </c>
      <c r="AC3449" s="7">
        <f>IF($E3449="","",Y3449*AB3449/100)</f>
        <v/>
      </c>
      <c r="AD3449" s="7">
        <f>IF($E3449="","",Y3449-AC3449)</f>
        <v/>
      </c>
      <c r="AE3449" s="7">
        <f>IF($E3449="","",AD3449-Q3449)</f>
        <v/>
      </c>
      <c r="AI3449" s="7" t="n"/>
      <c r="AL3449" s="11" t="n"/>
      <c r="AN3449">
        <f>IF($E3449="","",IF(COUNTIF($E$2:$E3449,$E3449)=1,1,0))</f>
        <v/>
      </c>
      <c r="AO3449">
        <f>IF($AN3449=1,SUMPRODUCT(--($AR$2:$AR$4001&lt;$AR3449))+1,"")</f>
        <v/>
      </c>
      <c r="AP3449">
        <f>IF($E3449="","",IF(OR($U3449=TRUE(),$U3449="TRUE"),1,0))</f>
        <v/>
      </c>
      <c r="AQ3449">
        <f>IF($E3449="","",IF($AA3449="Yes",1,0))</f>
        <v/>
      </c>
      <c r="AR3449">
        <f>IF($AN3449=1,IFERROR(VALUE(MID($E3449,2,20)),1000000000)+ROW()/100000,"")</f>
        <v/>
      </c>
    </row>
    <row r="3450">
      <c r="G3450" s="11" t="n"/>
      <c r="Q3450" s="7">
        <f>IF($E3450="","",P3450*Y3450/100)</f>
        <v/>
      </c>
      <c r="R3450" s="7" t="n"/>
      <c r="X3450" s="7" t="n"/>
      <c r="Y3450" s="7" t="n"/>
      <c r="AB3450">
        <f>IF($E3450="","",IF($AQ3450=1,0,IF($AP3450=1,Settings!$C$6,Settings!$C$7))*100)</f>
        <v/>
      </c>
      <c r="AC3450" s="7">
        <f>IF($E3450="","",Y3450*AB3450/100)</f>
        <v/>
      </c>
      <c r="AD3450" s="7">
        <f>IF($E3450="","",Y3450-AC3450)</f>
        <v/>
      </c>
      <c r="AE3450" s="7">
        <f>IF($E3450="","",AD3450-Q3450)</f>
        <v/>
      </c>
      <c r="AI3450" s="7" t="n"/>
      <c r="AL3450" s="11" t="n"/>
      <c r="AN3450">
        <f>IF($E3450="","",IF(COUNTIF($E$2:$E3450,$E3450)=1,1,0))</f>
        <v/>
      </c>
      <c r="AO3450">
        <f>IF($AN3450=1,SUMPRODUCT(--($AR$2:$AR$4001&lt;$AR3450))+1,"")</f>
        <v/>
      </c>
      <c r="AP3450">
        <f>IF($E3450="","",IF(OR($U3450=TRUE(),$U3450="TRUE"),1,0))</f>
        <v/>
      </c>
      <c r="AQ3450">
        <f>IF($E3450="","",IF($AA3450="Yes",1,0))</f>
        <v/>
      </c>
      <c r="AR3450">
        <f>IF($AN3450=1,IFERROR(VALUE(MID($E3450,2,20)),1000000000)+ROW()/100000,"")</f>
        <v/>
      </c>
    </row>
    <row r="3451">
      <c r="G3451" s="11" t="n"/>
      <c r="Q3451" s="7">
        <f>IF($E3451="","",P3451*Y3451/100)</f>
        <v/>
      </c>
      <c r="R3451" s="7" t="n"/>
      <c r="X3451" s="7" t="n"/>
      <c r="Y3451" s="7" t="n"/>
      <c r="AB3451">
        <f>IF($E3451="","",IF($AQ3451=1,0,IF($AP3451=1,Settings!$C$6,Settings!$C$7))*100)</f>
        <v/>
      </c>
      <c r="AC3451" s="7">
        <f>IF($E3451="","",Y3451*AB3451/100)</f>
        <v/>
      </c>
      <c r="AD3451" s="7">
        <f>IF($E3451="","",Y3451-AC3451)</f>
        <v/>
      </c>
      <c r="AE3451" s="7">
        <f>IF($E3451="","",AD3451-Q3451)</f>
        <v/>
      </c>
      <c r="AI3451" s="7" t="n"/>
      <c r="AL3451" s="11" t="n"/>
      <c r="AN3451">
        <f>IF($E3451="","",IF(COUNTIF($E$2:$E3451,$E3451)=1,1,0))</f>
        <v/>
      </c>
      <c r="AO3451">
        <f>IF($AN3451=1,SUMPRODUCT(--($AR$2:$AR$4001&lt;$AR3451))+1,"")</f>
        <v/>
      </c>
      <c r="AP3451">
        <f>IF($E3451="","",IF(OR($U3451=TRUE(),$U3451="TRUE"),1,0))</f>
        <v/>
      </c>
      <c r="AQ3451">
        <f>IF($E3451="","",IF($AA3451="Yes",1,0))</f>
        <v/>
      </c>
      <c r="AR3451">
        <f>IF($AN3451=1,IFERROR(VALUE(MID($E3451,2,20)),1000000000)+ROW()/100000,"")</f>
        <v/>
      </c>
    </row>
    <row r="3452">
      <c r="G3452" s="11" t="n"/>
      <c r="Q3452" s="7">
        <f>IF($E3452="","",P3452*Y3452/100)</f>
        <v/>
      </c>
      <c r="R3452" s="7" t="n"/>
      <c r="X3452" s="7" t="n"/>
      <c r="Y3452" s="7" t="n"/>
      <c r="AB3452">
        <f>IF($E3452="","",IF($AQ3452=1,0,IF($AP3452=1,Settings!$C$6,Settings!$C$7))*100)</f>
        <v/>
      </c>
      <c r="AC3452" s="7">
        <f>IF($E3452="","",Y3452*AB3452/100)</f>
        <v/>
      </c>
      <c r="AD3452" s="7">
        <f>IF($E3452="","",Y3452-AC3452)</f>
        <v/>
      </c>
      <c r="AE3452" s="7">
        <f>IF($E3452="","",AD3452-Q3452)</f>
        <v/>
      </c>
      <c r="AI3452" s="7" t="n"/>
      <c r="AL3452" s="11" t="n"/>
      <c r="AN3452">
        <f>IF($E3452="","",IF(COUNTIF($E$2:$E3452,$E3452)=1,1,0))</f>
        <v/>
      </c>
      <c r="AO3452">
        <f>IF($AN3452=1,SUMPRODUCT(--($AR$2:$AR$4001&lt;$AR3452))+1,"")</f>
        <v/>
      </c>
      <c r="AP3452">
        <f>IF($E3452="","",IF(OR($U3452=TRUE(),$U3452="TRUE"),1,0))</f>
        <v/>
      </c>
      <c r="AQ3452">
        <f>IF($E3452="","",IF($AA3452="Yes",1,0))</f>
        <v/>
      </c>
      <c r="AR3452">
        <f>IF($AN3452=1,IFERROR(VALUE(MID($E3452,2,20)),1000000000)+ROW()/100000,"")</f>
        <v/>
      </c>
    </row>
    <row r="3453">
      <c r="G3453" s="11" t="n"/>
      <c r="Q3453" s="7">
        <f>IF($E3453="","",P3453*Y3453/100)</f>
        <v/>
      </c>
      <c r="R3453" s="7" t="n"/>
      <c r="X3453" s="7" t="n"/>
      <c r="Y3453" s="7" t="n"/>
      <c r="AB3453">
        <f>IF($E3453="","",IF($AQ3453=1,0,IF($AP3453=1,Settings!$C$6,Settings!$C$7))*100)</f>
        <v/>
      </c>
      <c r="AC3453" s="7">
        <f>IF($E3453="","",Y3453*AB3453/100)</f>
        <v/>
      </c>
      <c r="AD3453" s="7">
        <f>IF($E3453="","",Y3453-AC3453)</f>
        <v/>
      </c>
      <c r="AE3453" s="7">
        <f>IF($E3453="","",AD3453-Q3453)</f>
        <v/>
      </c>
      <c r="AI3453" s="7" t="n"/>
      <c r="AL3453" s="11" t="n"/>
      <c r="AN3453">
        <f>IF($E3453="","",IF(COUNTIF($E$2:$E3453,$E3453)=1,1,0))</f>
        <v/>
      </c>
      <c r="AO3453">
        <f>IF($AN3453=1,SUMPRODUCT(--($AR$2:$AR$4001&lt;$AR3453))+1,"")</f>
        <v/>
      </c>
      <c r="AP3453">
        <f>IF($E3453="","",IF(OR($U3453=TRUE(),$U3453="TRUE"),1,0))</f>
        <v/>
      </c>
      <c r="AQ3453">
        <f>IF($E3453="","",IF($AA3453="Yes",1,0))</f>
        <v/>
      </c>
      <c r="AR3453">
        <f>IF($AN3453=1,IFERROR(VALUE(MID($E3453,2,20)),1000000000)+ROW()/100000,"")</f>
        <v/>
      </c>
    </row>
    <row r="3454">
      <c r="G3454" s="11" t="n"/>
      <c r="Q3454" s="7">
        <f>IF($E3454="","",P3454*Y3454/100)</f>
        <v/>
      </c>
      <c r="R3454" s="7" t="n"/>
      <c r="X3454" s="7" t="n"/>
      <c r="Y3454" s="7" t="n"/>
      <c r="AB3454">
        <f>IF($E3454="","",IF($AQ3454=1,0,IF($AP3454=1,Settings!$C$6,Settings!$C$7))*100)</f>
        <v/>
      </c>
      <c r="AC3454" s="7">
        <f>IF($E3454="","",Y3454*AB3454/100)</f>
        <v/>
      </c>
      <c r="AD3454" s="7">
        <f>IF($E3454="","",Y3454-AC3454)</f>
        <v/>
      </c>
      <c r="AE3454" s="7">
        <f>IF($E3454="","",AD3454-Q3454)</f>
        <v/>
      </c>
      <c r="AI3454" s="7" t="n"/>
      <c r="AL3454" s="11" t="n"/>
      <c r="AN3454">
        <f>IF($E3454="","",IF(COUNTIF($E$2:$E3454,$E3454)=1,1,0))</f>
        <v/>
      </c>
      <c r="AO3454">
        <f>IF($AN3454=1,SUMPRODUCT(--($AR$2:$AR$4001&lt;$AR3454))+1,"")</f>
        <v/>
      </c>
      <c r="AP3454">
        <f>IF($E3454="","",IF(OR($U3454=TRUE(),$U3454="TRUE"),1,0))</f>
        <v/>
      </c>
      <c r="AQ3454">
        <f>IF($E3454="","",IF($AA3454="Yes",1,0))</f>
        <v/>
      </c>
      <c r="AR3454">
        <f>IF($AN3454=1,IFERROR(VALUE(MID($E3454,2,20)),1000000000)+ROW()/100000,"")</f>
        <v/>
      </c>
    </row>
    <row r="3455">
      <c r="G3455" s="11" t="n"/>
      <c r="Q3455" s="7">
        <f>IF($E3455="","",P3455*Y3455/100)</f>
        <v/>
      </c>
      <c r="R3455" s="7" t="n"/>
      <c r="X3455" s="7" t="n"/>
      <c r="Y3455" s="7" t="n"/>
      <c r="AB3455">
        <f>IF($E3455="","",IF($AQ3455=1,0,IF($AP3455=1,Settings!$C$6,Settings!$C$7))*100)</f>
        <v/>
      </c>
      <c r="AC3455" s="7">
        <f>IF($E3455="","",Y3455*AB3455/100)</f>
        <v/>
      </c>
      <c r="AD3455" s="7">
        <f>IF($E3455="","",Y3455-AC3455)</f>
        <v/>
      </c>
      <c r="AE3455" s="7">
        <f>IF($E3455="","",AD3455-Q3455)</f>
        <v/>
      </c>
      <c r="AI3455" s="7" t="n"/>
      <c r="AL3455" s="11" t="n"/>
      <c r="AN3455">
        <f>IF($E3455="","",IF(COUNTIF($E$2:$E3455,$E3455)=1,1,0))</f>
        <v/>
      </c>
      <c r="AO3455">
        <f>IF($AN3455=1,SUMPRODUCT(--($AR$2:$AR$4001&lt;$AR3455))+1,"")</f>
        <v/>
      </c>
      <c r="AP3455">
        <f>IF($E3455="","",IF(OR($U3455=TRUE(),$U3455="TRUE"),1,0))</f>
        <v/>
      </c>
      <c r="AQ3455">
        <f>IF($E3455="","",IF($AA3455="Yes",1,0))</f>
        <v/>
      </c>
      <c r="AR3455">
        <f>IF($AN3455=1,IFERROR(VALUE(MID($E3455,2,20)),1000000000)+ROW()/100000,"")</f>
        <v/>
      </c>
    </row>
    <row r="3456">
      <c r="G3456" s="11" t="n"/>
      <c r="Q3456" s="7">
        <f>IF($E3456="","",P3456*Y3456/100)</f>
        <v/>
      </c>
      <c r="R3456" s="7" t="n"/>
      <c r="X3456" s="7" t="n"/>
      <c r="Y3456" s="7" t="n"/>
      <c r="AB3456">
        <f>IF($E3456="","",IF($AQ3456=1,0,IF($AP3456=1,Settings!$C$6,Settings!$C$7))*100)</f>
        <v/>
      </c>
      <c r="AC3456" s="7">
        <f>IF($E3456="","",Y3456*AB3456/100)</f>
        <v/>
      </c>
      <c r="AD3456" s="7">
        <f>IF($E3456="","",Y3456-AC3456)</f>
        <v/>
      </c>
      <c r="AE3456" s="7">
        <f>IF($E3456="","",AD3456-Q3456)</f>
        <v/>
      </c>
      <c r="AI3456" s="7" t="n"/>
      <c r="AL3456" s="11" t="n"/>
      <c r="AN3456">
        <f>IF($E3456="","",IF(COUNTIF($E$2:$E3456,$E3456)=1,1,0))</f>
        <v/>
      </c>
      <c r="AO3456">
        <f>IF($AN3456=1,SUMPRODUCT(--($AR$2:$AR$4001&lt;$AR3456))+1,"")</f>
        <v/>
      </c>
      <c r="AP3456">
        <f>IF($E3456="","",IF(OR($U3456=TRUE(),$U3456="TRUE"),1,0))</f>
        <v/>
      </c>
      <c r="AQ3456">
        <f>IF($E3456="","",IF($AA3456="Yes",1,0))</f>
        <v/>
      </c>
      <c r="AR3456">
        <f>IF($AN3456=1,IFERROR(VALUE(MID($E3456,2,20)),1000000000)+ROW()/100000,"")</f>
        <v/>
      </c>
    </row>
    <row r="3457">
      <c r="G3457" s="11" t="n"/>
      <c r="Q3457" s="7">
        <f>IF($E3457="","",P3457*Y3457/100)</f>
        <v/>
      </c>
      <c r="R3457" s="7" t="n"/>
      <c r="X3457" s="7" t="n"/>
      <c r="Y3457" s="7" t="n"/>
      <c r="AB3457">
        <f>IF($E3457="","",IF($AQ3457=1,0,IF($AP3457=1,Settings!$C$6,Settings!$C$7))*100)</f>
        <v/>
      </c>
      <c r="AC3457" s="7">
        <f>IF($E3457="","",Y3457*AB3457/100)</f>
        <v/>
      </c>
      <c r="AD3457" s="7">
        <f>IF($E3457="","",Y3457-AC3457)</f>
        <v/>
      </c>
      <c r="AE3457" s="7">
        <f>IF($E3457="","",AD3457-Q3457)</f>
        <v/>
      </c>
      <c r="AI3457" s="7" t="n"/>
      <c r="AL3457" s="11" t="n"/>
      <c r="AN3457">
        <f>IF($E3457="","",IF(COUNTIF($E$2:$E3457,$E3457)=1,1,0))</f>
        <v/>
      </c>
      <c r="AO3457">
        <f>IF($AN3457=1,SUMPRODUCT(--($AR$2:$AR$4001&lt;$AR3457))+1,"")</f>
        <v/>
      </c>
      <c r="AP3457">
        <f>IF($E3457="","",IF(OR($U3457=TRUE(),$U3457="TRUE"),1,0))</f>
        <v/>
      </c>
      <c r="AQ3457">
        <f>IF($E3457="","",IF($AA3457="Yes",1,0))</f>
        <v/>
      </c>
      <c r="AR3457">
        <f>IF($AN3457=1,IFERROR(VALUE(MID($E3457,2,20)),1000000000)+ROW()/100000,"")</f>
        <v/>
      </c>
    </row>
    <row r="3458">
      <c r="G3458" s="11" t="n"/>
      <c r="Q3458" s="7">
        <f>IF($E3458="","",P3458*Y3458/100)</f>
        <v/>
      </c>
      <c r="R3458" s="7" t="n"/>
      <c r="X3458" s="7" t="n"/>
      <c r="Y3458" s="7" t="n"/>
      <c r="AB3458">
        <f>IF($E3458="","",IF($AQ3458=1,0,IF($AP3458=1,Settings!$C$6,Settings!$C$7))*100)</f>
        <v/>
      </c>
      <c r="AC3458" s="7">
        <f>IF($E3458="","",Y3458*AB3458/100)</f>
        <v/>
      </c>
      <c r="AD3458" s="7">
        <f>IF($E3458="","",Y3458-AC3458)</f>
        <v/>
      </c>
      <c r="AE3458" s="7">
        <f>IF($E3458="","",AD3458-Q3458)</f>
        <v/>
      </c>
      <c r="AI3458" s="7" t="n"/>
      <c r="AL3458" s="11" t="n"/>
      <c r="AN3458">
        <f>IF($E3458="","",IF(COUNTIF($E$2:$E3458,$E3458)=1,1,0))</f>
        <v/>
      </c>
      <c r="AO3458">
        <f>IF($AN3458=1,SUMPRODUCT(--($AR$2:$AR$4001&lt;$AR3458))+1,"")</f>
        <v/>
      </c>
      <c r="AP3458">
        <f>IF($E3458="","",IF(OR($U3458=TRUE(),$U3458="TRUE"),1,0))</f>
        <v/>
      </c>
      <c r="AQ3458">
        <f>IF($E3458="","",IF($AA3458="Yes",1,0))</f>
        <v/>
      </c>
      <c r="AR3458">
        <f>IF($AN3458=1,IFERROR(VALUE(MID($E3458,2,20)),1000000000)+ROW()/100000,"")</f>
        <v/>
      </c>
    </row>
    <row r="3459">
      <c r="G3459" s="11" t="n"/>
      <c r="Q3459" s="7">
        <f>IF($E3459="","",P3459*Y3459/100)</f>
        <v/>
      </c>
      <c r="R3459" s="7" t="n"/>
      <c r="X3459" s="7" t="n"/>
      <c r="Y3459" s="7" t="n"/>
      <c r="AB3459">
        <f>IF($E3459="","",IF($AQ3459=1,0,IF($AP3459=1,Settings!$C$6,Settings!$C$7))*100)</f>
        <v/>
      </c>
      <c r="AC3459" s="7">
        <f>IF($E3459="","",Y3459*AB3459/100)</f>
        <v/>
      </c>
      <c r="AD3459" s="7">
        <f>IF($E3459="","",Y3459-AC3459)</f>
        <v/>
      </c>
      <c r="AE3459" s="7">
        <f>IF($E3459="","",AD3459-Q3459)</f>
        <v/>
      </c>
      <c r="AI3459" s="7" t="n"/>
      <c r="AL3459" s="11" t="n"/>
      <c r="AN3459">
        <f>IF($E3459="","",IF(COUNTIF($E$2:$E3459,$E3459)=1,1,0))</f>
        <v/>
      </c>
      <c r="AO3459">
        <f>IF($AN3459=1,SUMPRODUCT(--($AR$2:$AR$4001&lt;$AR3459))+1,"")</f>
        <v/>
      </c>
      <c r="AP3459">
        <f>IF($E3459="","",IF(OR($U3459=TRUE(),$U3459="TRUE"),1,0))</f>
        <v/>
      </c>
      <c r="AQ3459">
        <f>IF($E3459="","",IF($AA3459="Yes",1,0))</f>
        <v/>
      </c>
      <c r="AR3459">
        <f>IF($AN3459=1,IFERROR(VALUE(MID($E3459,2,20)),1000000000)+ROW()/100000,"")</f>
        <v/>
      </c>
    </row>
    <row r="3460">
      <c r="G3460" s="11" t="n"/>
      <c r="Q3460" s="7">
        <f>IF($E3460="","",P3460*Y3460/100)</f>
        <v/>
      </c>
      <c r="R3460" s="7" t="n"/>
      <c r="X3460" s="7" t="n"/>
      <c r="Y3460" s="7" t="n"/>
      <c r="AB3460">
        <f>IF($E3460="","",IF($AQ3460=1,0,IF($AP3460=1,Settings!$C$6,Settings!$C$7))*100)</f>
        <v/>
      </c>
      <c r="AC3460" s="7">
        <f>IF($E3460="","",Y3460*AB3460/100)</f>
        <v/>
      </c>
      <c r="AD3460" s="7">
        <f>IF($E3460="","",Y3460-AC3460)</f>
        <v/>
      </c>
      <c r="AE3460" s="7">
        <f>IF($E3460="","",AD3460-Q3460)</f>
        <v/>
      </c>
      <c r="AI3460" s="7" t="n"/>
      <c r="AL3460" s="11" t="n"/>
      <c r="AN3460">
        <f>IF($E3460="","",IF(COUNTIF($E$2:$E3460,$E3460)=1,1,0))</f>
        <v/>
      </c>
      <c r="AO3460">
        <f>IF($AN3460=1,SUMPRODUCT(--($AR$2:$AR$4001&lt;$AR3460))+1,"")</f>
        <v/>
      </c>
      <c r="AP3460">
        <f>IF($E3460="","",IF(OR($U3460=TRUE(),$U3460="TRUE"),1,0))</f>
        <v/>
      </c>
      <c r="AQ3460">
        <f>IF($E3460="","",IF($AA3460="Yes",1,0))</f>
        <v/>
      </c>
      <c r="AR3460">
        <f>IF($AN3460=1,IFERROR(VALUE(MID($E3460,2,20)),1000000000)+ROW()/100000,"")</f>
        <v/>
      </c>
    </row>
    <row r="3461">
      <c r="G3461" s="11" t="n"/>
      <c r="Q3461" s="7">
        <f>IF($E3461="","",P3461*Y3461/100)</f>
        <v/>
      </c>
      <c r="R3461" s="7" t="n"/>
      <c r="X3461" s="7" t="n"/>
      <c r="Y3461" s="7" t="n"/>
      <c r="AB3461">
        <f>IF($E3461="","",IF($AQ3461=1,0,IF($AP3461=1,Settings!$C$6,Settings!$C$7))*100)</f>
        <v/>
      </c>
      <c r="AC3461" s="7">
        <f>IF($E3461="","",Y3461*AB3461/100)</f>
        <v/>
      </c>
      <c r="AD3461" s="7">
        <f>IF($E3461="","",Y3461-AC3461)</f>
        <v/>
      </c>
      <c r="AE3461" s="7">
        <f>IF($E3461="","",AD3461-Q3461)</f>
        <v/>
      </c>
      <c r="AI3461" s="7" t="n"/>
      <c r="AL3461" s="11" t="n"/>
      <c r="AN3461">
        <f>IF($E3461="","",IF(COUNTIF($E$2:$E3461,$E3461)=1,1,0))</f>
        <v/>
      </c>
      <c r="AO3461">
        <f>IF($AN3461=1,SUMPRODUCT(--($AR$2:$AR$4001&lt;$AR3461))+1,"")</f>
        <v/>
      </c>
      <c r="AP3461">
        <f>IF($E3461="","",IF(OR($U3461=TRUE(),$U3461="TRUE"),1,0))</f>
        <v/>
      </c>
      <c r="AQ3461">
        <f>IF($E3461="","",IF($AA3461="Yes",1,0))</f>
        <v/>
      </c>
      <c r="AR3461">
        <f>IF($AN3461=1,IFERROR(VALUE(MID($E3461,2,20)),1000000000)+ROW()/100000,"")</f>
        <v/>
      </c>
    </row>
    <row r="3462">
      <c r="G3462" s="11" t="n"/>
      <c r="Q3462" s="7">
        <f>IF($E3462="","",P3462*Y3462/100)</f>
        <v/>
      </c>
      <c r="R3462" s="7" t="n"/>
      <c r="X3462" s="7" t="n"/>
      <c r="Y3462" s="7" t="n"/>
      <c r="AB3462">
        <f>IF($E3462="","",IF($AQ3462=1,0,IF($AP3462=1,Settings!$C$6,Settings!$C$7))*100)</f>
        <v/>
      </c>
      <c r="AC3462" s="7">
        <f>IF($E3462="","",Y3462*AB3462/100)</f>
        <v/>
      </c>
      <c r="AD3462" s="7">
        <f>IF($E3462="","",Y3462-AC3462)</f>
        <v/>
      </c>
      <c r="AE3462" s="7">
        <f>IF($E3462="","",AD3462-Q3462)</f>
        <v/>
      </c>
      <c r="AI3462" s="7" t="n"/>
      <c r="AL3462" s="11" t="n"/>
      <c r="AN3462">
        <f>IF($E3462="","",IF(COUNTIF($E$2:$E3462,$E3462)=1,1,0))</f>
        <v/>
      </c>
      <c r="AO3462">
        <f>IF($AN3462=1,SUMPRODUCT(--($AR$2:$AR$4001&lt;$AR3462))+1,"")</f>
        <v/>
      </c>
      <c r="AP3462">
        <f>IF($E3462="","",IF(OR($U3462=TRUE(),$U3462="TRUE"),1,0))</f>
        <v/>
      </c>
      <c r="AQ3462">
        <f>IF($E3462="","",IF($AA3462="Yes",1,0))</f>
        <v/>
      </c>
      <c r="AR3462">
        <f>IF($AN3462=1,IFERROR(VALUE(MID($E3462,2,20)),1000000000)+ROW()/100000,"")</f>
        <v/>
      </c>
    </row>
    <row r="3463">
      <c r="G3463" s="11" t="n"/>
      <c r="Q3463" s="7">
        <f>IF($E3463="","",P3463*Y3463/100)</f>
        <v/>
      </c>
      <c r="R3463" s="7" t="n"/>
      <c r="X3463" s="7" t="n"/>
      <c r="Y3463" s="7" t="n"/>
      <c r="AB3463">
        <f>IF($E3463="","",IF($AQ3463=1,0,IF($AP3463=1,Settings!$C$6,Settings!$C$7))*100)</f>
        <v/>
      </c>
      <c r="AC3463" s="7">
        <f>IF($E3463="","",Y3463*AB3463/100)</f>
        <v/>
      </c>
      <c r="AD3463" s="7">
        <f>IF($E3463="","",Y3463-AC3463)</f>
        <v/>
      </c>
      <c r="AE3463" s="7">
        <f>IF($E3463="","",AD3463-Q3463)</f>
        <v/>
      </c>
      <c r="AI3463" s="7" t="n"/>
      <c r="AL3463" s="11" t="n"/>
      <c r="AN3463">
        <f>IF($E3463="","",IF(COUNTIF($E$2:$E3463,$E3463)=1,1,0))</f>
        <v/>
      </c>
      <c r="AO3463">
        <f>IF($AN3463=1,SUMPRODUCT(--($AR$2:$AR$4001&lt;$AR3463))+1,"")</f>
        <v/>
      </c>
      <c r="AP3463">
        <f>IF($E3463="","",IF(OR($U3463=TRUE(),$U3463="TRUE"),1,0))</f>
        <v/>
      </c>
      <c r="AQ3463">
        <f>IF($E3463="","",IF($AA3463="Yes",1,0))</f>
        <v/>
      </c>
      <c r="AR3463">
        <f>IF($AN3463=1,IFERROR(VALUE(MID($E3463,2,20)),1000000000)+ROW()/100000,"")</f>
        <v/>
      </c>
    </row>
    <row r="3464">
      <c r="G3464" s="11" t="n"/>
      <c r="Q3464" s="7">
        <f>IF($E3464="","",P3464*Y3464/100)</f>
        <v/>
      </c>
      <c r="R3464" s="7" t="n"/>
      <c r="X3464" s="7" t="n"/>
      <c r="Y3464" s="7" t="n"/>
      <c r="AB3464">
        <f>IF($E3464="","",IF($AQ3464=1,0,IF($AP3464=1,Settings!$C$6,Settings!$C$7))*100)</f>
        <v/>
      </c>
      <c r="AC3464" s="7">
        <f>IF($E3464="","",Y3464*AB3464/100)</f>
        <v/>
      </c>
      <c r="AD3464" s="7">
        <f>IF($E3464="","",Y3464-AC3464)</f>
        <v/>
      </c>
      <c r="AE3464" s="7">
        <f>IF($E3464="","",AD3464-Q3464)</f>
        <v/>
      </c>
      <c r="AI3464" s="7" t="n"/>
      <c r="AL3464" s="11" t="n"/>
      <c r="AN3464">
        <f>IF($E3464="","",IF(COUNTIF($E$2:$E3464,$E3464)=1,1,0))</f>
        <v/>
      </c>
      <c r="AO3464">
        <f>IF($AN3464=1,SUMPRODUCT(--($AR$2:$AR$4001&lt;$AR3464))+1,"")</f>
        <v/>
      </c>
      <c r="AP3464">
        <f>IF($E3464="","",IF(OR($U3464=TRUE(),$U3464="TRUE"),1,0))</f>
        <v/>
      </c>
      <c r="AQ3464">
        <f>IF($E3464="","",IF($AA3464="Yes",1,0))</f>
        <v/>
      </c>
      <c r="AR3464">
        <f>IF($AN3464=1,IFERROR(VALUE(MID($E3464,2,20)),1000000000)+ROW()/100000,"")</f>
        <v/>
      </c>
    </row>
    <row r="3465">
      <c r="G3465" s="11" t="n"/>
      <c r="Q3465" s="7">
        <f>IF($E3465="","",P3465*Y3465/100)</f>
        <v/>
      </c>
      <c r="R3465" s="7" t="n"/>
      <c r="X3465" s="7" t="n"/>
      <c r="Y3465" s="7" t="n"/>
      <c r="AB3465">
        <f>IF($E3465="","",IF($AQ3465=1,0,IF($AP3465=1,Settings!$C$6,Settings!$C$7))*100)</f>
        <v/>
      </c>
      <c r="AC3465" s="7">
        <f>IF($E3465="","",Y3465*AB3465/100)</f>
        <v/>
      </c>
      <c r="AD3465" s="7">
        <f>IF($E3465="","",Y3465-AC3465)</f>
        <v/>
      </c>
      <c r="AE3465" s="7">
        <f>IF($E3465="","",AD3465-Q3465)</f>
        <v/>
      </c>
      <c r="AI3465" s="7" t="n"/>
      <c r="AL3465" s="11" t="n"/>
      <c r="AN3465">
        <f>IF($E3465="","",IF(COUNTIF($E$2:$E3465,$E3465)=1,1,0))</f>
        <v/>
      </c>
      <c r="AO3465">
        <f>IF($AN3465=1,SUMPRODUCT(--($AR$2:$AR$4001&lt;$AR3465))+1,"")</f>
        <v/>
      </c>
      <c r="AP3465">
        <f>IF($E3465="","",IF(OR($U3465=TRUE(),$U3465="TRUE"),1,0))</f>
        <v/>
      </c>
      <c r="AQ3465">
        <f>IF($E3465="","",IF($AA3465="Yes",1,0))</f>
        <v/>
      </c>
      <c r="AR3465">
        <f>IF($AN3465=1,IFERROR(VALUE(MID($E3465,2,20)),1000000000)+ROW()/100000,"")</f>
        <v/>
      </c>
    </row>
    <row r="3466">
      <c r="G3466" s="11" t="n"/>
      <c r="Q3466" s="7">
        <f>IF($E3466="","",P3466*Y3466/100)</f>
        <v/>
      </c>
      <c r="R3466" s="7" t="n"/>
      <c r="X3466" s="7" t="n"/>
      <c r="Y3466" s="7" t="n"/>
      <c r="AB3466">
        <f>IF($E3466="","",IF($AQ3466=1,0,IF($AP3466=1,Settings!$C$6,Settings!$C$7))*100)</f>
        <v/>
      </c>
      <c r="AC3466" s="7">
        <f>IF($E3466="","",Y3466*AB3466/100)</f>
        <v/>
      </c>
      <c r="AD3466" s="7">
        <f>IF($E3466="","",Y3466-AC3466)</f>
        <v/>
      </c>
      <c r="AE3466" s="7">
        <f>IF($E3466="","",AD3466-Q3466)</f>
        <v/>
      </c>
      <c r="AI3466" s="7" t="n"/>
      <c r="AL3466" s="11" t="n"/>
      <c r="AN3466">
        <f>IF($E3466="","",IF(COUNTIF($E$2:$E3466,$E3466)=1,1,0))</f>
        <v/>
      </c>
      <c r="AO3466">
        <f>IF($AN3466=1,SUMPRODUCT(--($AR$2:$AR$4001&lt;$AR3466))+1,"")</f>
        <v/>
      </c>
      <c r="AP3466">
        <f>IF($E3466="","",IF(OR($U3466=TRUE(),$U3466="TRUE"),1,0))</f>
        <v/>
      </c>
      <c r="AQ3466">
        <f>IF($E3466="","",IF($AA3466="Yes",1,0))</f>
        <v/>
      </c>
      <c r="AR3466">
        <f>IF($AN3466=1,IFERROR(VALUE(MID($E3466,2,20)),1000000000)+ROW()/100000,"")</f>
        <v/>
      </c>
    </row>
    <row r="3467">
      <c r="G3467" s="11" t="n"/>
      <c r="Q3467" s="7">
        <f>IF($E3467="","",P3467*Y3467/100)</f>
        <v/>
      </c>
      <c r="R3467" s="7" t="n"/>
      <c r="X3467" s="7" t="n"/>
      <c r="Y3467" s="7" t="n"/>
      <c r="AB3467">
        <f>IF($E3467="","",IF($AQ3467=1,0,IF($AP3467=1,Settings!$C$6,Settings!$C$7))*100)</f>
        <v/>
      </c>
      <c r="AC3467" s="7">
        <f>IF($E3467="","",Y3467*AB3467/100)</f>
        <v/>
      </c>
      <c r="AD3467" s="7">
        <f>IF($E3467="","",Y3467-AC3467)</f>
        <v/>
      </c>
      <c r="AE3467" s="7">
        <f>IF($E3467="","",AD3467-Q3467)</f>
        <v/>
      </c>
      <c r="AI3467" s="7" t="n"/>
      <c r="AL3467" s="11" t="n"/>
      <c r="AN3467">
        <f>IF($E3467="","",IF(COUNTIF($E$2:$E3467,$E3467)=1,1,0))</f>
        <v/>
      </c>
      <c r="AO3467">
        <f>IF($AN3467=1,SUMPRODUCT(--($AR$2:$AR$4001&lt;$AR3467))+1,"")</f>
        <v/>
      </c>
      <c r="AP3467">
        <f>IF($E3467="","",IF(OR($U3467=TRUE(),$U3467="TRUE"),1,0))</f>
        <v/>
      </c>
      <c r="AQ3467">
        <f>IF($E3467="","",IF($AA3467="Yes",1,0))</f>
        <v/>
      </c>
      <c r="AR3467">
        <f>IF($AN3467=1,IFERROR(VALUE(MID($E3467,2,20)),1000000000)+ROW()/100000,"")</f>
        <v/>
      </c>
    </row>
    <row r="3468">
      <c r="G3468" s="11" t="n"/>
      <c r="Q3468" s="7">
        <f>IF($E3468="","",P3468*Y3468/100)</f>
        <v/>
      </c>
      <c r="R3468" s="7" t="n"/>
      <c r="X3468" s="7" t="n"/>
      <c r="Y3468" s="7" t="n"/>
      <c r="AB3468">
        <f>IF($E3468="","",IF($AQ3468=1,0,IF($AP3468=1,Settings!$C$6,Settings!$C$7))*100)</f>
        <v/>
      </c>
      <c r="AC3468" s="7">
        <f>IF($E3468="","",Y3468*AB3468/100)</f>
        <v/>
      </c>
      <c r="AD3468" s="7">
        <f>IF($E3468="","",Y3468-AC3468)</f>
        <v/>
      </c>
      <c r="AE3468" s="7">
        <f>IF($E3468="","",AD3468-Q3468)</f>
        <v/>
      </c>
      <c r="AI3468" s="7" t="n"/>
      <c r="AL3468" s="11" t="n"/>
      <c r="AN3468">
        <f>IF($E3468="","",IF(COUNTIF($E$2:$E3468,$E3468)=1,1,0))</f>
        <v/>
      </c>
      <c r="AO3468">
        <f>IF($AN3468=1,SUMPRODUCT(--($AR$2:$AR$4001&lt;$AR3468))+1,"")</f>
        <v/>
      </c>
      <c r="AP3468">
        <f>IF($E3468="","",IF(OR($U3468=TRUE(),$U3468="TRUE"),1,0))</f>
        <v/>
      </c>
      <c r="AQ3468">
        <f>IF($E3468="","",IF($AA3468="Yes",1,0))</f>
        <v/>
      </c>
      <c r="AR3468">
        <f>IF($AN3468=1,IFERROR(VALUE(MID($E3468,2,20)),1000000000)+ROW()/100000,"")</f>
        <v/>
      </c>
    </row>
    <row r="3469">
      <c r="G3469" s="11" t="n"/>
      <c r="Q3469" s="7">
        <f>IF($E3469="","",P3469*Y3469/100)</f>
        <v/>
      </c>
      <c r="R3469" s="7" t="n"/>
      <c r="X3469" s="7" t="n"/>
      <c r="Y3469" s="7" t="n"/>
      <c r="AB3469">
        <f>IF($E3469="","",IF($AQ3469=1,0,IF($AP3469=1,Settings!$C$6,Settings!$C$7))*100)</f>
        <v/>
      </c>
      <c r="AC3469" s="7">
        <f>IF($E3469="","",Y3469*AB3469/100)</f>
        <v/>
      </c>
      <c r="AD3469" s="7">
        <f>IF($E3469="","",Y3469-AC3469)</f>
        <v/>
      </c>
      <c r="AE3469" s="7">
        <f>IF($E3469="","",AD3469-Q3469)</f>
        <v/>
      </c>
      <c r="AI3469" s="7" t="n"/>
      <c r="AL3469" s="11" t="n"/>
      <c r="AN3469">
        <f>IF($E3469="","",IF(COUNTIF($E$2:$E3469,$E3469)=1,1,0))</f>
        <v/>
      </c>
      <c r="AO3469">
        <f>IF($AN3469=1,SUMPRODUCT(--($AR$2:$AR$4001&lt;$AR3469))+1,"")</f>
        <v/>
      </c>
      <c r="AP3469">
        <f>IF($E3469="","",IF(OR($U3469=TRUE(),$U3469="TRUE"),1,0))</f>
        <v/>
      </c>
      <c r="AQ3469">
        <f>IF($E3469="","",IF($AA3469="Yes",1,0))</f>
        <v/>
      </c>
      <c r="AR3469">
        <f>IF($AN3469=1,IFERROR(VALUE(MID($E3469,2,20)),1000000000)+ROW()/100000,"")</f>
        <v/>
      </c>
    </row>
    <row r="3470">
      <c r="G3470" s="11" t="n"/>
      <c r="Q3470" s="7">
        <f>IF($E3470="","",P3470*Y3470/100)</f>
        <v/>
      </c>
      <c r="R3470" s="7" t="n"/>
      <c r="X3470" s="7" t="n"/>
      <c r="Y3470" s="7" t="n"/>
      <c r="AB3470">
        <f>IF($E3470="","",IF($AQ3470=1,0,IF($AP3470=1,Settings!$C$6,Settings!$C$7))*100)</f>
        <v/>
      </c>
      <c r="AC3470" s="7">
        <f>IF($E3470="","",Y3470*AB3470/100)</f>
        <v/>
      </c>
      <c r="AD3470" s="7">
        <f>IF($E3470="","",Y3470-AC3470)</f>
        <v/>
      </c>
      <c r="AE3470" s="7">
        <f>IF($E3470="","",AD3470-Q3470)</f>
        <v/>
      </c>
      <c r="AI3470" s="7" t="n"/>
      <c r="AL3470" s="11" t="n"/>
      <c r="AN3470">
        <f>IF($E3470="","",IF(COUNTIF($E$2:$E3470,$E3470)=1,1,0))</f>
        <v/>
      </c>
      <c r="AO3470">
        <f>IF($AN3470=1,SUMPRODUCT(--($AR$2:$AR$4001&lt;$AR3470))+1,"")</f>
        <v/>
      </c>
      <c r="AP3470">
        <f>IF($E3470="","",IF(OR($U3470=TRUE(),$U3470="TRUE"),1,0))</f>
        <v/>
      </c>
      <c r="AQ3470">
        <f>IF($E3470="","",IF($AA3470="Yes",1,0))</f>
        <v/>
      </c>
      <c r="AR3470">
        <f>IF($AN3470=1,IFERROR(VALUE(MID($E3470,2,20)),1000000000)+ROW()/100000,"")</f>
        <v/>
      </c>
    </row>
    <row r="3471">
      <c r="G3471" s="11" t="n"/>
      <c r="Q3471" s="7">
        <f>IF($E3471="","",P3471*Y3471/100)</f>
        <v/>
      </c>
      <c r="R3471" s="7" t="n"/>
      <c r="X3471" s="7" t="n"/>
      <c r="Y3471" s="7" t="n"/>
      <c r="AB3471">
        <f>IF($E3471="","",IF($AQ3471=1,0,IF($AP3471=1,Settings!$C$6,Settings!$C$7))*100)</f>
        <v/>
      </c>
      <c r="AC3471" s="7">
        <f>IF($E3471="","",Y3471*AB3471/100)</f>
        <v/>
      </c>
      <c r="AD3471" s="7">
        <f>IF($E3471="","",Y3471-AC3471)</f>
        <v/>
      </c>
      <c r="AE3471" s="7">
        <f>IF($E3471="","",AD3471-Q3471)</f>
        <v/>
      </c>
      <c r="AI3471" s="7" t="n"/>
      <c r="AL3471" s="11" t="n"/>
      <c r="AN3471">
        <f>IF($E3471="","",IF(COUNTIF($E$2:$E3471,$E3471)=1,1,0))</f>
        <v/>
      </c>
      <c r="AO3471">
        <f>IF($AN3471=1,SUMPRODUCT(--($AR$2:$AR$4001&lt;$AR3471))+1,"")</f>
        <v/>
      </c>
      <c r="AP3471">
        <f>IF($E3471="","",IF(OR($U3471=TRUE(),$U3471="TRUE"),1,0))</f>
        <v/>
      </c>
      <c r="AQ3471">
        <f>IF($E3471="","",IF($AA3471="Yes",1,0))</f>
        <v/>
      </c>
      <c r="AR3471">
        <f>IF($AN3471=1,IFERROR(VALUE(MID($E3471,2,20)),1000000000)+ROW()/100000,"")</f>
        <v/>
      </c>
    </row>
    <row r="3472">
      <c r="G3472" s="11" t="n"/>
      <c r="Q3472" s="7">
        <f>IF($E3472="","",P3472*Y3472/100)</f>
        <v/>
      </c>
      <c r="R3472" s="7" t="n"/>
      <c r="X3472" s="7" t="n"/>
      <c r="Y3472" s="7" t="n"/>
      <c r="AB3472">
        <f>IF($E3472="","",IF($AQ3472=1,0,IF($AP3472=1,Settings!$C$6,Settings!$C$7))*100)</f>
        <v/>
      </c>
      <c r="AC3472" s="7">
        <f>IF($E3472="","",Y3472*AB3472/100)</f>
        <v/>
      </c>
      <c r="AD3472" s="7">
        <f>IF($E3472="","",Y3472-AC3472)</f>
        <v/>
      </c>
      <c r="AE3472" s="7">
        <f>IF($E3472="","",AD3472-Q3472)</f>
        <v/>
      </c>
      <c r="AI3472" s="7" t="n"/>
      <c r="AL3472" s="11" t="n"/>
      <c r="AN3472">
        <f>IF($E3472="","",IF(COUNTIF($E$2:$E3472,$E3472)=1,1,0))</f>
        <v/>
      </c>
      <c r="AO3472">
        <f>IF($AN3472=1,SUMPRODUCT(--($AR$2:$AR$4001&lt;$AR3472))+1,"")</f>
        <v/>
      </c>
      <c r="AP3472">
        <f>IF($E3472="","",IF(OR($U3472=TRUE(),$U3472="TRUE"),1,0))</f>
        <v/>
      </c>
      <c r="AQ3472">
        <f>IF($E3472="","",IF($AA3472="Yes",1,0))</f>
        <v/>
      </c>
      <c r="AR3472">
        <f>IF($AN3472=1,IFERROR(VALUE(MID($E3472,2,20)),1000000000)+ROW()/100000,"")</f>
        <v/>
      </c>
    </row>
    <row r="3473">
      <c r="G3473" s="11" t="n"/>
      <c r="Q3473" s="7">
        <f>IF($E3473="","",P3473*Y3473/100)</f>
        <v/>
      </c>
      <c r="R3473" s="7" t="n"/>
      <c r="X3473" s="7" t="n"/>
      <c r="Y3473" s="7" t="n"/>
      <c r="AB3473">
        <f>IF($E3473="","",IF($AQ3473=1,0,IF($AP3473=1,Settings!$C$6,Settings!$C$7))*100)</f>
        <v/>
      </c>
      <c r="AC3473" s="7">
        <f>IF($E3473="","",Y3473*AB3473/100)</f>
        <v/>
      </c>
      <c r="AD3473" s="7">
        <f>IF($E3473="","",Y3473-AC3473)</f>
        <v/>
      </c>
      <c r="AE3473" s="7">
        <f>IF($E3473="","",AD3473-Q3473)</f>
        <v/>
      </c>
      <c r="AI3473" s="7" t="n"/>
      <c r="AL3473" s="11" t="n"/>
      <c r="AN3473">
        <f>IF($E3473="","",IF(COUNTIF($E$2:$E3473,$E3473)=1,1,0))</f>
        <v/>
      </c>
      <c r="AO3473">
        <f>IF($AN3473=1,SUMPRODUCT(--($AR$2:$AR$4001&lt;$AR3473))+1,"")</f>
        <v/>
      </c>
      <c r="AP3473">
        <f>IF($E3473="","",IF(OR($U3473=TRUE(),$U3473="TRUE"),1,0))</f>
        <v/>
      </c>
      <c r="AQ3473">
        <f>IF($E3473="","",IF($AA3473="Yes",1,0))</f>
        <v/>
      </c>
      <c r="AR3473">
        <f>IF($AN3473=1,IFERROR(VALUE(MID($E3473,2,20)),1000000000)+ROW()/100000,"")</f>
        <v/>
      </c>
    </row>
    <row r="3474">
      <c r="G3474" s="11" t="n"/>
      <c r="Q3474" s="7">
        <f>IF($E3474="","",P3474*Y3474/100)</f>
        <v/>
      </c>
      <c r="R3474" s="7" t="n"/>
      <c r="X3474" s="7" t="n"/>
      <c r="Y3474" s="7" t="n"/>
      <c r="AB3474">
        <f>IF($E3474="","",IF($AQ3474=1,0,IF($AP3474=1,Settings!$C$6,Settings!$C$7))*100)</f>
        <v/>
      </c>
      <c r="AC3474" s="7">
        <f>IF($E3474="","",Y3474*AB3474/100)</f>
        <v/>
      </c>
      <c r="AD3474" s="7">
        <f>IF($E3474="","",Y3474-AC3474)</f>
        <v/>
      </c>
      <c r="AE3474" s="7">
        <f>IF($E3474="","",AD3474-Q3474)</f>
        <v/>
      </c>
      <c r="AI3474" s="7" t="n"/>
      <c r="AL3474" s="11" t="n"/>
      <c r="AN3474">
        <f>IF($E3474="","",IF(COUNTIF($E$2:$E3474,$E3474)=1,1,0))</f>
        <v/>
      </c>
      <c r="AO3474">
        <f>IF($AN3474=1,SUMPRODUCT(--($AR$2:$AR$4001&lt;$AR3474))+1,"")</f>
        <v/>
      </c>
      <c r="AP3474">
        <f>IF($E3474="","",IF(OR($U3474=TRUE(),$U3474="TRUE"),1,0))</f>
        <v/>
      </c>
      <c r="AQ3474">
        <f>IF($E3474="","",IF($AA3474="Yes",1,0))</f>
        <v/>
      </c>
      <c r="AR3474">
        <f>IF($AN3474=1,IFERROR(VALUE(MID($E3474,2,20)),1000000000)+ROW()/100000,"")</f>
        <v/>
      </c>
    </row>
    <row r="3475">
      <c r="G3475" s="11" t="n"/>
      <c r="Q3475" s="7">
        <f>IF($E3475="","",P3475*Y3475/100)</f>
        <v/>
      </c>
      <c r="R3475" s="7" t="n"/>
      <c r="X3475" s="7" t="n"/>
      <c r="Y3475" s="7" t="n"/>
      <c r="AB3475">
        <f>IF($E3475="","",IF($AQ3475=1,0,IF($AP3475=1,Settings!$C$6,Settings!$C$7))*100)</f>
        <v/>
      </c>
      <c r="AC3475" s="7">
        <f>IF($E3475="","",Y3475*AB3475/100)</f>
        <v/>
      </c>
      <c r="AD3475" s="7">
        <f>IF($E3475="","",Y3475-AC3475)</f>
        <v/>
      </c>
      <c r="AE3475" s="7">
        <f>IF($E3475="","",AD3475-Q3475)</f>
        <v/>
      </c>
      <c r="AI3475" s="7" t="n"/>
      <c r="AL3475" s="11" t="n"/>
      <c r="AN3475">
        <f>IF($E3475="","",IF(COUNTIF($E$2:$E3475,$E3475)=1,1,0))</f>
        <v/>
      </c>
      <c r="AO3475">
        <f>IF($AN3475=1,SUMPRODUCT(--($AR$2:$AR$4001&lt;$AR3475))+1,"")</f>
        <v/>
      </c>
      <c r="AP3475">
        <f>IF($E3475="","",IF(OR($U3475=TRUE(),$U3475="TRUE"),1,0))</f>
        <v/>
      </c>
      <c r="AQ3475">
        <f>IF($E3475="","",IF($AA3475="Yes",1,0))</f>
        <v/>
      </c>
      <c r="AR3475">
        <f>IF($AN3475=1,IFERROR(VALUE(MID($E3475,2,20)),1000000000)+ROW()/100000,"")</f>
        <v/>
      </c>
    </row>
    <row r="3476">
      <c r="G3476" s="11" t="n"/>
      <c r="Q3476" s="7">
        <f>IF($E3476="","",P3476*Y3476/100)</f>
        <v/>
      </c>
      <c r="R3476" s="7" t="n"/>
      <c r="X3476" s="7" t="n"/>
      <c r="Y3476" s="7" t="n"/>
      <c r="AB3476">
        <f>IF($E3476="","",IF($AQ3476=1,0,IF($AP3476=1,Settings!$C$6,Settings!$C$7))*100)</f>
        <v/>
      </c>
      <c r="AC3476" s="7">
        <f>IF($E3476="","",Y3476*AB3476/100)</f>
        <v/>
      </c>
      <c r="AD3476" s="7">
        <f>IF($E3476="","",Y3476-AC3476)</f>
        <v/>
      </c>
      <c r="AE3476" s="7">
        <f>IF($E3476="","",AD3476-Q3476)</f>
        <v/>
      </c>
      <c r="AI3476" s="7" t="n"/>
      <c r="AL3476" s="11" t="n"/>
      <c r="AN3476">
        <f>IF($E3476="","",IF(COUNTIF($E$2:$E3476,$E3476)=1,1,0))</f>
        <v/>
      </c>
      <c r="AO3476">
        <f>IF($AN3476=1,SUMPRODUCT(--($AR$2:$AR$4001&lt;$AR3476))+1,"")</f>
        <v/>
      </c>
      <c r="AP3476">
        <f>IF($E3476="","",IF(OR($U3476=TRUE(),$U3476="TRUE"),1,0))</f>
        <v/>
      </c>
      <c r="AQ3476">
        <f>IF($E3476="","",IF($AA3476="Yes",1,0))</f>
        <v/>
      </c>
      <c r="AR3476">
        <f>IF($AN3476=1,IFERROR(VALUE(MID($E3476,2,20)),1000000000)+ROW()/100000,"")</f>
        <v/>
      </c>
    </row>
    <row r="3477">
      <c r="G3477" s="11" t="n"/>
      <c r="Q3477" s="7">
        <f>IF($E3477="","",P3477*Y3477/100)</f>
        <v/>
      </c>
      <c r="R3477" s="7" t="n"/>
      <c r="X3477" s="7" t="n"/>
      <c r="Y3477" s="7" t="n"/>
      <c r="AB3477">
        <f>IF($E3477="","",IF($AQ3477=1,0,IF($AP3477=1,Settings!$C$6,Settings!$C$7))*100)</f>
        <v/>
      </c>
      <c r="AC3477" s="7">
        <f>IF($E3477="","",Y3477*AB3477/100)</f>
        <v/>
      </c>
      <c r="AD3477" s="7">
        <f>IF($E3477="","",Y3477-AC3477)</f>
        <v/>
      </c>
      <c r="AE3477" s="7">
        <f>IF($E3477="","",AD3477-Q3477)</f>
        <v/>
      </c>
      <c r="AI3477" s="7" t="n"/>
      <c r="AL3477" s="11" t="n"/>
      <c r="AN3477">
        <f>IF($E3477="","",IF(COUNTIF($E$2:$E3477,$E3477)=1,1,0))</f>
        <v/>
      </c>
      <c r="AO3477">
        <f>IF($AN3477=1,SUMPRODUCT(--($AR$2:$AR$4001&lt;$AR3477))+1,"")</f>
        <v/>
      </c>
      <c r="AP3477">
        <f>IF($E3477="","",IF(OR($U3477=TRUE(),$U3477="TRUE"),1,0))</f>
        <v/>
      </c>
      <c r="AQ3477">
        <f>IF($E3477="","",IF($AA3477="Yes",1,0))</f>
        <v/>
      </c>
      <c r="AR3477">
        <f>IF($AN3477=1,IFERROR(VALUE(MID($E3477,2,20)),1000000000)+ROW()/100000,"")</f>
        <v/>
      </c>
    </row>
    <row r="3478">
      <c r="G3478" s="11" t="n"/>
      <c r="Q3478" s="7">
        <f>IF($E3478="","",P3478*Y3478/100)</f>
        <v/>
      </c>
      <c r="R3478" s="7" t="n"/>
      <c r="X3478" s="7" t="n"/>
      <c r="Y3478" s="7" t="n"/>
      <c r="AB3478">
        <f>IF($E3478="","",IF($AQ3478=1,0,IF($AP3478=1,Settings!$C$6,Settings!$C$7))*100)</f>
        <v/>
      </c>
      <c r="AC3478" s="7">
        <f>IF($E3478="","",Y3478*AB3478/100)</f>
        <v/>
      </c>
      <c r="AD3478" s="7">
        <f>IF($E3478="","",Y3478-AC3478)</f>
        <v/>
      </c>
      <c r="AE3478" s="7">
        <f>IF($E3478="","",AD3478-Q3478)</f>
        <v/>
      </c>
      <c r="AI3478" s="7" t="n"/>
      <c r="AL3478" s="11" t="n"/>
      <c r="AN3478">
        <f>IF($E3478="","",IF(COUNTIF($E$2:$E3478,$E3478)=1,1,0))</f>
        <v/>
      </c>
      <c r="AO3478">
        <f>IF($AN3478=1,SUMPRODUCT(--($AR$2:$AR$4001&lt;$AR3478))+1,"")</f>
        <v/>
      </c>
      <c r="AP3478">
        <f>IF($E3478="","",IF(OR($U3478=TRUE(),$U3478="TRUE"),1,0))</f>
        <v/>
      </c>
      <c r="AQ3478">
        <f>IF($E3478="","",IF($AA3478="Yes",1,0))</f>
        <v/>
      </c>
      <c r="AR3478">
        <f>IF($AN3478=1,IFERROR(VALUE(MID($E3478,2,20)),1000000000)+ROW()/100000,"")</f>
        <v/>
      </c>
    </row>
    <row r="3479">
      <c r="G3479" s="11" t="n"/>
      <c r="Q3479" s="7">
        <f>IF($E3479="","",P3479*Y3479/100)</f>
        <v/>
      </c>
      <c r="R3479" s="7" t="n"/>
      <c r="X3479" s="7" t="n"/>
      <c r="Y3479" s="7" t="n"/>
      <c r="AB3479">
        <f>IF($E3479="","",IF($AQ3479=1,0,IF($AP3479=1,Settings!$C$6,Settings!$C$7))*100)</f>
        <v/>
      </c>
      <c r="AC3479" s="7">
        <f>IF($E3479="","",Y3479*AB3479/100)</f>
        <v/>
      </c>
      <c r="AD3479" s="7">
        <f>IF($E3479="","",Y3479-AC3479)</f>
        <v/>
      </c>
      <c r="AE3479" s="7">
        <f>IF($E3479="","",AD3479-Q3479)</f>
        <v/>
      </c>
      <c r="AI3479" s="7" t="n"/>
      <c r="AL3479" s="11" t="n"/>
      <c r="AN3479">
        <f>IF($E3479="","",IF(COUNTIF($E$2:$E3479,$E3479)=1,1,0))</f>
        <v/>
      </c>
      <c r="AO3479">
        <f>IF($AN3479=1,SUMPRODUCT(--($AR$2:$AR$4001&lt;$AR3479))+1,"")</f>
        <v/>
      </c>
      <c r="AP3479">
        <f>IF($E3479="","",IF(OR($U3479=TRUE(),$U3479="TRUE"),1,0))</f>
        <v/>
      </c>
      <c r="AQ3479">
        <f>IF($E3479="","",IF($AA3479="Yes",1,0))</f>
        <v/>
      </c>
      <c r="AR3479">
        <f>IF($AN3479=1,IFERROR(VALUE(MID($E3479,2,20)),1000000000)+ROW()/100000,"")</f>
        <v/>
      </c>
    </row>
    <row r="3480">
      <c r="G3480" s="11" t="n"/>
      <c r="Q3480" s="7">
        <f>IF($E3480="","",P3480*Y3480/100)</f>
        <v/>
      </c>
      <c r="R3480" s="7" t="n"/>
      <c r="X3480" s="7" t="n"/>
      <c r="Y3480" s="7" t="n"/>
      <c r="AB3480">
        <f>IF($E3480="","",IF($AQ3480=1,0,IF($AP3480=1,Settings!$C$6,Settings!$C$7))*100)</f>
        <v/>
      </c>
      <c r="AC3480" s="7">
        <f>IF($E3480="","",Y3480*AB3480/100)</f>
        <v/>
      </c>
      <c r="AD3480" s="7">
        <f>IF($E3480="","",Y3480-AC3480)</f>
        <v/>
      </c>
      <c r="AE3480" s="7">
        <f>IF($E3480="","",AD3480-Q3480)</f>
        <v/>
      </c>
      <c r="AI3480" s="7" t="n"/>
      <c r="AL3480" s="11" t="n"/>
      <c r="AN3480">
        <f>IF($E3480="","",IF(COUNTIF($E$2:$E3480,$E3480)=1,1,0))</f>
        <v/>
      </c>
      <c r="AO3480">
        <f>IF($AN3480=1,SUMPRODUCT(--($AR$2:$AR$4001&lt;$AR3480))+1,"")</f>
        <v/>
      </c>
      <c r="AP3480">
        <f>IF($E3480="","",IF(OR($U3480=TRUE(),$U3480="TRUE"),1,0))</f>
        <v/>
      </c>
      <c r="AQ3480">
        <f>IF($E3480="","",IF($AA3480="Yes",1,0))</f>
        <v/>
      </c>
      <c r="AR3480">
        <f>IF($AN3480=1,IFERROR(VALUE(MID($E3480,2,20)),1000000000)+ROW()/100000,"")</f>
        <v/>
      </c>
    </row>
    <row r="3481">
      <c r="G3481" s="11" t="n"/>
      <c r="Q3481" s="7">
        <f>IF($E3481="","",P3481*Y3481/100)</f>
        <v/>
      </c>
      <c r="R3481" s="7" t="n"/>
      <c r="X3481" s="7" t="n"/>
      <c r="Y3481" s="7" t="n"/>
      <c r="AB3481">
        <f>IF($E3481="","",IF($AQ3481=1,0,IF($AP3481=1,Settings!$C$6,Settings!$C$7))*100)</f>
        <v/>
      </c>
      <c r="AC3481" s="7">
        <f>IF($E3481="","",Y3481*AB3481/100)</f>
        <v/>
      </c>
      <c r="AD3481" s="7">
        <f>IF($E3481="","",Y3481-AC3481)</f>
        <v/>
      </c>
      <c r="AE3481" s="7">
        <f>IF($E3481="","",AD3481-Q3481)</f>
        <v/>
      </c>
      <c r="AI3481" s="7" t="n"/>
      <c r="AL3481" s="11" t="n"/>
      <c r="AN3481">
        <f>IF($E3481="","",IF(COUNTIF($E$2:$E3481,$E3481)=1,1,0))</f>
        <v/>
      </c>
      <c r="AO3481">
        <f>IF($AN3481=1,SUMPRODUCT(--($AR$2:$AR$4001&lt;$AR3481))+1,"")</f>
        <v/>
      </c>
      <c r="AP3481">
        <f>IF($E3481="","",IF(OR($U3481=TRUE(),$U3481="TRUE"),1,0))</f>
        <v/>
      </c>
      <c r="AQ3481">
        <f>IF($E3481="","",IF($AA3481="Yes",1,0))</f>
        <v/>
      </c>
      <c r="AR3481">
        <f>IF($AN3481=1,IFERROR(VALUE(MID($E3481,2,20)),1000000000)+ROW()/100000,"")</f>
        <v/>
      </c>
    </row>
    <row r="3482">
      <c r="G3482" s="11" t="n"/>
      <c r="Q3482" s="7">
        <f>IF($E3482="","",P3482*Y3482/100)</f>
        <v/>
      </c>
      <c r="R3482" s="7" t="n"/>
      <c r="X3482" s="7" t="n"/>
      <c r="Y3482" s="7" t="n"/>
      <c r="AB3482">
        <f>IF($E3482="","",IF($AQ3482=1,0,IF($AP3482=1,Settings!$C$6,Settings!$C$7))*100)</f>
        <v/>
      </c>
      <c r="AC3482" s="7">
        <f>IF($E3482="","",Y3482*AB3482/100)</f>
        <v/>
      </c>
      <c r="AD3482" s="7">
        <f>IF($E3482="","",Y3482-AC3482)</f>
        <v/>
      </c>
      <c r="AE3482" s="7">
        <f>IF($E3482="","",AD3482-Q3482)</f>
        <v/>
      </c>
      <c r="AI3482" s="7" t="n"/>
      <c r="AL3482" s="11" t="n"/>
      <c r="AN3482">
        <f>IF($E3482="","",IF(COUNTIF($E$2:$E3482,$E3482)=1,1,0))</f>
        <v/>
      </c>
      <c r="AO3482">
        <f>IF($AN3482=1,SUMPRODUCT(--($AR$2:$AR$4001&lt;$AR3482))+1,"")</f>
        <v/>
      </c>
      <c r="AP3482">
        <f>IF($E3482="","",IF(OR($U3482=TRUE(),$U3482="TRUE"),1,0))</f>
        <v/>
      </c>
      <c r="AQ3482">
        <f>IF($E3482="","",IF($AA3482="Yes",1,0))</f>
        <v/>
      </c>
      <c r="AR3482">
        <f>IF($AN3482=1,IFERROR(VALUE(MID($E3482,2,20)),1000000000)+ROW()/100000,"")</f>
        <v/>
      </c>
    </row>
    <row r="3483">
      <c r="G3483" s="11" t="n"/>
      <c r="Q3483" s="7">
        <f>IF($E3483="","",P3483*Y3483/100)</f>
        <v/>
      </c>
      <c r="R3483" s="7" t="n"/>
      <c r="X3483" s="7" t="n"/>
      <c r="Y3483" s="7" t="n"/>
      <c r="AB3483">
        <f>IF($E3483="","",IF($AQ3483=1,0,IF($AP3483=1,Settings!$C$6,Settings!$C$7))*100)</f>
        <v/>
      </c>
      <c r="AC3483" s="7">
        <f>IF($E3483="","",Y3483*AB3483/100)</f>
        <v/>
      </c>
      <c r="AD3483" s="7">
        <f>IF($E3483="","",Y3483-AC3483)</f>
        <v/>
      </c>
      <c r="AE3483" s="7">
        <f>IF($E3483="","",AD3483-Q3483)</f>
        <v/>
      </c>
      <c r="AI3483" s="7" t="n"/>
      <c r="AL3483" s="11" t="n"/>
      <c r="AN3483">
        <f>IF($E3483="","",IF(COUNTIF($E$2:$E3483,$E3483)=1,1,0))</f>
        <v/>
      </c>
      <c r="AO3483">
        <f>IF($AN3483=1,SUMPRODUCT(--($AR$2:$AR$4001&lt;$AR3483))+1,"")</f>
        <v/>
      </c>
      <c r="AP3483">
        <f>IF($E3483="","",IF(OR($U3483=TRUE(),$U3483="TRUE"),1,0))</f>
        <v/>
      </c>
      <c r="AQ3483">
        <f>IF($E3483="","",IF($AA3483="Yes",1,0))</f>
        <v/>
      </c>
      <c r="AR3483">
        <f>IF($AN3483=1,IFERROR(VALUE(MID($E3483,2,20)),1000000000)+ROW()/100000,"")</f>
        <v/>
      </c>
    </row>
    <row r="3484">
      <c r="G3484" s="11" t="n"/>
      <c r="Q3484" s="7">
        <f>IF($E3484="","",P3484*Y3484/100)</f>
        <v/>
      </c>
      <c r="R3484" s="7" t="n"/>
      <c r="X3484" s="7" t="n"/>
      <c r="Y3484" s="7" t="n"/>
      <c r="AB3484">
        <f>IF($E3484="","",IF($AQ3484=1,0,IF($AP3484=1,Settings!$C$6,Settings!$C$7))*100)</f>
        <v/>
      </c>
      <c r="AC3484" s="7">
        <f>IF($E3484="","",Y3484*AB3484/100)</f>
        <v/>
      </c>
      <c r="AD3484" s="7">
        <f>IF($E3484="","",Y3484-AC3484)</f>
        <v/>
      </c>
      <c r="AE3484" s="7">
        <f>IF($E3484="","",AD3484-Q3484)</f>
        <v/>
      </c>
      <c r="AI3484" s="7" t="n"/>
      <c r="AL3484" s="11" t="n"/>
      <c r="AN3484">
        <f>IF($E3484="","",IF(COUNTIF($E$2:$E3484,$E3484)=1,1,0))</f>
        <v/>
      </c>
      <c r="AO3484">
        <f>IF($AN3484=1,SUMPRODUCT(--($AR$2:$AR$4001&lt;$AR3484))+1,"")</f>
        <v/>
      </c>
      <c r="AP3484">
        <f>IF($E3484="","",IF(OR($U3484=TRUE(),$U3484="TRUE"),1,0))</f>
        <v/>
      </c>
      <c r="AQ3484">
        <f>IF($E3484="","",IF($AA3484="Yes",1,0))</f>
        <v/>
      </c>
      <c r="AR3484">
        <f>IF($AN3484=1,IFERROR(VALUE(MID($E3484,2,20)),1000000000)+ROW()/100000,"")</f>
        <v/>
      </c>
    </row>
    <row r="3485">
      <c r="G3485" s="11" t="n"/>
      <c r="Q3485" s="7">
        <f>IF($E3485="","",P3485*Y3485/100)</f>
        <v/>
      </c>
      <c r="R3485" s="7" t="n"/>
      <c r="X3485" s="7" t="n"/>
      <c r="Y3485" s="7" t="n"/>
      <c r="AB3485">
        <f>IF($E3485="","",IF($AQ3485=1,0,IF($AP3485=1,Settings!$C$6,Settings!$C$7))*100)</f>
        <v/>
      </c>
      <c r="AC3485" s="7">
        <f>IF($E3485="","",Y3485*AB3485/100)</f>
        <v/>
      </c>
      <c r="AD3485" s="7">
        <f>IF($E3485="","",Y3485-AC3485)</f>
        <v/>
      </c>
      <c r="AE3485" s="7">
        <f>IF($E3485="","",AD3485-Q3485)</f>
        <v/>
      </c>
      <c r="AI3485" s="7" t="n"/>
      <c r="AL3485" s="11" t="n"/>
      <c r="AN3485">
        <f>IF($E3485="","",IF(COUNTIF($E$2:$E3485,$E3485)=1,1,0))</f>
        <v/>
      </c>
      <c r="AO3485">
        <f>IF($AN3485=1,SUMPRODUCT(--($AR$2:$AR$4001&lt;$AR3485))+1,"")</f>
        <v/>
      </c>
      <c r="AP3485">
        <f>IF($E3485="","",IF(OR($U3485=TRUE(),$U3485="TRUE"),1,0))</f>
        <v/>
      </c>
      <c r="AQ3485">
        <f>IF($E3485="","",IF($AA3485="Yes",1,0))</f>
        <v/>
      </c>
      <c r="AR3485">
        <f>IF($AN3485=1,IFERROR(VALUE(MID($E3485,2,20)),1000000000)+ROW()/100000,"")</f>
        <v/>
      </c>
    </row>
    <row r="3486">
      <c r="G3486" s="11" t="n"/>
      <c r="Q3486" s="7">
        <f>IF($E3486="","",P3486*Y3486/100)</f>
        <v/>
      </c>
      <c r="R3486" s="7" t="n"/>
      <c r="X3486" s="7" t="n"/>
      <c r="Y3486" s="7" t="n"/>
      <c r="AB3486">
        <f>IF($E3486="","",IF($AQ3486=1,0,IF($AP3486=1,Settings!$C$6,Settings!$C$7))*100)</f>
        <v/>
      </c>
      <c r="AC3486" s="7">
        <f>IF($E3486="","",Y3486*AB3486/100)</f>
        <v/>
      </c>
      <c r="AD3486" s="7">
        <f>IF($E3486="","",Y3486-AC3486)</f>
        <v/>
      </c>
      <c r="AE3486" s="7">
        <f>IF($E3486="","",AD3486-Q3486)</f>
        <v/>
      </c>
      <c r="AI3486" s="7" t="n"/>
      <c r="AL3486" s="11" t="n"/>
      <c r="AN3486">
        <f>IF($E3486="","",IF(COUNTIF($E$2:$E3486,$E3486)=1,1,0))</f>
        <v/>
      </c>
      <c r="AO3486">
        <f>IF($AN3486=1,SUMPRODUCT(--($AR$2:$AR$4001&lt;$AR3486))+1,"")</f>
        <v/>
      </c>
      <c r="AP3486">
        <f>IF($E3486="","",IF(OR($U3486=TRUE(),$U3486="TRUE"),1,0))</f>
        <v/>
      </c>
      <c r="AQ3486">
        <f>IF($E3486="","",IF($AA3486="Yes",1,0))</f>
        <v/>
      </c>
      <c r="AR3486">
        <f>IF($AN3486=1,IFERROR(VALUE(MID($E3486,2,20)),1000000000)+ROW()/100000,"")</f>
        <v/>
      </c>
    </row>
    <row r="3487">
      <c r="G3487" s="11" t="n"/>
      <c r="Q3487" s="7">
        <f>IF($E3487="","",P3487*Y3487/100)</f>
        <v/>
      </c>
      <c r="R3487" s="7" t="n"/>
      <c r="X3487" s="7" t="n"/>
      <c r="Y3487" s="7" t="n"/>
      <c r="AB3487">
        <f>IF($E3487="","",IF($AQ3487=1,0,IF($AP3487=1,Settings!$C$6,Settings!$C$7))*100)</f>
        <v/>
      </c>
      <c r="AC3487" s="7">
        <f>IF($E3487="","",Y3487*AB3487/100)</f>
        <v/>
      </c>
      <c r="AD3487" s="7">
        <f>IF($E3487="","",Y3487-AC3487)</f>
        <v/>
      </c>
      <c r="AE3487" s="7">
        <f>IF($E3487="","",AD3487-Q3487)</f>
        <v/>
      </c>
      <c r="AI3487" s="7" t="n"/>
      <c r="AL3487" s="11" t="n"/>
      <c r="AN3487">
        <f>IF($E3487="","",IF(COUNTIF($E$2:$E3487,$E3487)=1,1,0))</f>
        <v/>
      </c>
      <c r="AO3487">
        <f>IF($AN3487=1,SUMPRODUCT(--($AR$2:$AR$4001&lt;$AR3487))+1,"")</f>
        <v/>
      </c>
      <c r="AP3487">
        <f>IF($E3487="","",IF(OR($U3487=TRUE(),$U3487="TRUE"),1,0))</f>
        <v/>
      </c>
      <c r="AQ3487">
        <f>IF($E3487="","",IF($AA3487="Yes",1,0))</f>
        <v/>
      </c>
      <c r="AR3487">
        <f>IF($AN3487=1,IFERROR(VALUE(MID($E3487,2,20)),1000000000)+ROW()/100000,"")</f>
        <v/>
      </c>
    </row>
    <row r="3488">
      <c r="G3488" s="11" t="n"/>
      <c r="Q3488" s="7">
        <f>IF($E3488="","",P3488*Y3488/100)</f>
        <v/>
      </c>
      <c r="R3488" s="7" t="n"/>
      <c r="X3488" s="7" t="n"/>
      <c r="Y3488" s="7" t="n"/>
      <c r="AB3488">
        <f>IF($E3488="","",IF($AQ3488=1,0,IF($AP3488=1,Settings!$C$6,Settings!$C$7))*100)</f>
        <v/>
      </c>
      <c r="AC3488" s="7">
        <f>IF($E3488="","",Y3488*AB3488/100)</f>
        <v/>
      </c>
      <c r="AD3488" s="7">
        <f>IF($E3488="","",Y3488-AC3488)</f>
        <v/>
      </c>
      <c r="AE3488" s="7">
        <f>IF($E3488="","",AD3488-Q3488)</f>
        <v/>
      </c>
      <c r="AI3488" s="7" t="n"/>
      <c r="AL3488" s="11" t="n"/>
      <c r="AN3488">
        <f>IF($E3488="","",IF(COUNTIF($E$2:$E3488,$E3488)=1,1,0))</f>
        <v/>
      </c>
      <c r="AO3488">
        <f>IF($AN3488=1,SUMPRODUCT(--($AR$2:$AR$4001&lt;$AR3488))+1,"")</f>
        <v/>
      </c>
      <c r="AP3488">
        <f>IF($E3488="","",IF(OR($U3488=TRUE(),$U3488="TRUE"),1,0))</f>
        <v/>
      </c>
      <c r="AQ3488">
        <f>IF($E3488="","",IF($AA3488="Yes",1,0))</f>
        <v/>
      </c>
      <c r="AR3488">
        <f>IF($AN3488=1,IFERROR(VALUE(MID($E3488,2,20)),1000000000)+ROW()/100000,"")</f>
        <v/>
      </c>
    </row>
    <row r="3489">
      <c r="G3489" s="11" t="n"/>
      <c r="Q3489" s="7">
        <f>IF($E3489="","",P3489*Y3489/100)</f>
        <v/>
      </c>
      <c r="R3489" s="7" t="n"/>
      <c r="X3489" s="7" t="n"/>
      <c r="Y3489" s="7" t="n"/>
      <c r="AB3489">
        <f>IF($E3489="","",IF($AQ3489=1,0,IF($AP3489=1,Settings!$C$6,Settings!$C$7))*100)</f>
        <v/>
      </c>
      <c r="AC3489" s="7">
        <f>IF($E3489="","",Y3489*AB3489/100)</f>
        <v/>
      </c>
      <c r="AD3489" s="7">
        <f>IF($E3489="","",Y3489-AC3489)</f>
        <v/>
      </c>
      <c r="AE3489" s="7">
        <f>IF($E3489="","",AD3489-Q3489)</f>
        <v/>
      </c>
      <c r="AI3489" s="7" t="n"/>
      <c r="AL3489" s="11" t="n"/>
      <c r="AN3489">
        <f>IF($E3489="","",IF(COUNTIF($E$2:$E3489,$E3489)=1,1,0))</f>
        <v/>
      </c>
      <c r="AO3489">
        <f>IF($AN3489=1,SUMPRODUCT(--($AR$2:$AR$4001&lt;$AR3489))+1,"")</f>
        <v/>
      </c>
      <c r="AP3489">
        <f>IF($E3489="","",IF(OR($U3489=TRUE(),$U3489="TRUE"),1,0))</f>
        <v/>
      </c>
      <c r="AQ3489">
        <f>IF($E3489="","",IF($AA3489="Yes",1,0))</f>
        <v/>
      </c>
      <c r="AR3489">
        <f>IF($AN3489=1,IFERROR(VALUE(MID($E3489,2,20)),1000000000)+ROW()/100000,"")</f>
        <v/>
      </c>
    </row>
    <row r="3490">
      <c r="G3490" s="11" t="n"/>
      <c r="Q3490" s="7">
        <f>IF($E3490="","",P3490*Y3490/100)</f>
        <v/>
      </c>
      <c r="R3490" s="7" t="n"/>
      <c r="X3490" s="7" t="n"/>
      <c r="Y3490" s="7" t="n"/>
      <c r="AB3490">
        <f>IF($E3490="","",IF($AQ3490=1,0,IF($AP3490=1,Settings!$C$6,Settings!$C$7))*100)</f>
        <v/>
      </c>
      <c r="AC3490" s="7">
        <f>IF($E3490="","",Y3490*AB3490/100)</f>
        <v/>
      </c>
      <c r="AD3490" s="7">
        <f>IF($E3490="","",Y3490-AC3490)</f>
        <v/>
      </c>
      <c r="AE3490" s="7">
        <f>IF($E3490="","",AD3490-Q3490)</f>
        <v/>
      </c>
      <c r="AI3490" s="7" t="n"/>
      <c r="AL3490" s="11" t="n"/>
      <c r="AN3490">
        <f>IF($E3490="","",IF(COUNTIF($E$2:$E3490,$E3490)=1,1,0))</f>
        <v/>
      </c>
      <c r="AO3490">
        <f>IF($AN3490=1,SUMPRODUCT(--($AR$2:$AR$4001&lt;$AR3490))+1,"")</f>
        <v/>
      </c>
      <c r="AP3490">
        <f>IF($E3490="","",IF(OR($U3490=TRUE(),$U3490="TRUE"),1,0))</f>
        <v/>
      </c>
      <c r="AQ3490">
        <f>IF($E3490="","",IF($AA3490="Yes",1,0))</f>
        <v/>
      </c>
      <c r="AR3490">
        <f>IF($AN3490=1,IFERROR(VALUE(MID($E3490,2,20)),1000000000)+ROW()/100000,"")</f>
        <v/>
      </c>
    </row>
    <row r="3491">
      <c r="G3491" s="11" t="n"/>
      <c r="Q3491" s="7">
        <f>IF($E3491="","",P3491*Y3491/100)</f>
        <v/>
      </c>
      <c r="R3491" s="7" t="n"/>
      <c r="X3491" s="7" t="n"/>
      <c r="Y3491" s="7" t="n"/>
      <c r="AB3491">
        <f>IF($E3491="","",IF($AQ3491=1,0,IF($AP3491=1,Settings!$C$6,Settings!$C$7))*100)</f>
        <v/>
      </c>
      <c r="AC3491" s="7">
        <f>IF($E3491="","",Y3491*AB3491/100)</f>
        <v/>
      </c>
      <c r="AD3491" s="7">
        <f>IF($E3491="","",Y3491-AC3491)</f>
        <v/>
      </c>
      <c r="AE3491" s="7">
        <f>IF($E3491="","",AD3491-Q3491)</f>
        <v/>
      </c>
      <c r="AI3491" s="7" t="n"/>
      <c r="AL3491" s="11" t="n"/>
      <c r="AN3491">
        <f>IF($E3491="","",IF(COUNTIF($E$2:$E3491,$E3491)=1,1,0))</f>
        <v/>
      </c>
      <c r="AO3491">
        <f>IF($AN3491=1,SUMPRODUCT(--($AR$2:$AR$4001&lt;$AR3491))+1,"")</f>
        <v/>
      </c>
      <c r="AP3491">
        <f>IF($E3491="","",IF(OR($U3491=TRUE(),$U3491="TRUE"),1,0))</f>
        <v/>
      </c>
      <c r="AQ3491">
        <f>IF($E3491="","",IF($AA3491="Yes",1,0))</f>
        <v/>
      </c>
      <c r="AR3491">
        <f>IF($AN3491=1,IFERROR(VALUE(MID($E3491,2,20)),1000000000)+ROW()/100000,"")</f>
        <v/>
      </c>
    </row>
    <row r="3492">
      <c r="G3492" s="11" t="n"/>
      <c r="Q3492" s="7">
        <f>IF($E3492="","",P3492*Y3492/100)</f>
        <v/>
      </c>
      <c r="R3492" s="7" t="n"/>
      <c r="X3492" s="7" t="n"/>
      <c r="Y3492" s="7" t="n"/>
      <c r="AB3492">
        <f>IF($E3492="","",IF($AQ3492=1,0,IF($AP3492=1,Settings!$C$6,Settings!$C$7))*100)</f>
        <v/>
      </c>
      <c r="AC3492" s="7">
        <f>IF($E3492="","",Y3492*AB3492/100)</f>
        <v/>
      </c>
      <c r="AD3492" s="7">
        <f>IF($E3492="","",Y3492-AC3492)</f>
        <v/>
      </c>
      <c r="AE3492" s="7">
        <f>IF($E3492="","",AD3492-Q3492)</f>
        <v/>
      </c>
      <c r="AI3492" s="7" t="n"/>
      <c r="AL3492" s="11" t="n"/>
      <c r="AN3492">
        <f>IF($E3492="","",IF(COUNTIF($E$2:$E3492,$E3492)=1,1,0))</f>
        <v/>
      </c>
      <c r="AO3492">
        <f>IF($AN3492=1,SUMPRODUCT(--($AR$2:$AR$4001&lt;$AR3492))+1,"")</f>
        <v/>
      </c>
      <c r="AP3492">
        <f>IF($E3492="","",IF(OR($U3492=TRUE(),$U3492="TRUE"),1,0))</f>
        <v/>
      </c>
      <c r="AQ3492">
        <f>IF($E3492="","",IF($AA3492="Yes",1,0))</f>
        <v/>
      </c>
      <c r="AR3492">
        <f>IF($AN3492=1,IFERROR(VALUE(MID($E3492,2,20)),1000000000)+ROW()/100000,"")</f>
        <v/>
      </c>
    </row>
    <row r="3493">
      <c r="G3493" s="11" t="n"/>
      <c r="Q3493" s="7">
        <f>IF($E3493="","",P3493*Y3493/100)</f>
        <v/>
      </c>
      <c r="R3493" s="7" t="n"/>
      <c r="X3493" s="7" t="n"/>
      <c r="Y3493" s="7" t="n"/>
      <c r="AB3493">
        <f>IF($E3493="","",IF($AQ3493=1,0,IF($AP3493=1,Settings!$C$6,Settings!$C$7))*100)</f>
        <v/>
      </c>
      <c r="AC3493" s="7">
        <f>IF($E3493="","",Y3493*AB3493/100)</f>
        <v/>
      </c>
      <c r="AD3493" s="7">
        <f>IF($E3493="","",Y3493-AC3493)</f>
        <v/>
      </c>
      <c r="AE3493" s="7">
        <f>IF($E3493="","",AD3493-Q3493)</f>
        <v/>
      </c>
      <c r="AI3493" s="7" t="n"/>
      <c r="AL3493" s="11" t="n"/>
      <c r="AN3493">
        <f>IF($E3493="","",IF(COUNTIF($E$2:$E3493,$E3493)=1,1,0))</f>
        <v/>
      </c>
      <c r="AO3493">
        <f>IF($AN3493=1,SUMPRODUCT(--($AR$2:$AR$4001&lt;$AR3493))+1,"")</f>
        <v/>
      </c>
      <c r="AP3493">
        <f>IF($E3493="","",IF(OR($U3493=TRUE(),$U3493="TRUE"),1,0))</f>
        <v/>
      </c>
      <c r="AQ3493">
        <f>IF($E3493="","",IF($AA3493="Yes",1,0))</f>
        <v/>
      </c>
      <c r="AR3493">
        <f>IF($AN3493=1,IFERROR(VALUE(MID($E3493,2,20)),1000000000)+ROW()/100000,"")</f>
        <v/>
      </c>
    </row>
    <row r="3494">
      <c r="G3494" s="11" t="n"/>
      <c r="Q3494" s="7">
        <f>IF($E3494="","",P3494*Y3494/100)</f>
        <v/>
      </c>
      <c r="R3494" s="7" t="n"/>
      <c r="X3494" s="7" t="n"/>
      <c r="Y3494" s="7" t="n"/>
      <c r="AB3494">
        <f>IF($E3494="","",IF($AQ3494=1,0,IF($AP3494=1,Settings!$C$6,Settings!$C$7))*100)</f>
        <v/>
      </c>
      <c r="AC3494" s="7">
        <f>IF($E3494="","",Y3494*AB3494/100)</f>
        <v/>
      </c>
      <c r="AD3494" s="7">
        <f>IF($E3494="","",Y3494-AC3494)</f>
        <v/>
      </c>
      <c r="AE3494" s="7">
        <f>IF($E3494="","",AD3494-Q3494)</f>
        <v/>
      </c>
      <c r="AI3494" s="7" t="n"/>
      <c r="AL3494" s="11" t="n"/>
      <c r="AN3494">
        <f>IF($E3494="","",IF(COUNTIF($E$2:$E3494,$E3494)=1,1,0))</f>
        <v/>
      </c>
      <c r="AO3494">
        <f>IF($AN3494=1,SUMPRODUCT(--($AR$2:$AR$4001&lt;$AR3494))+1,"")</f>
        <v/>
      </c>
      <c r="AP3494">
        <f>IF($E3494="","",IF(OR($U3494=TRUE(),$U3494="TRUE"),1,0))</f>
        <v/>
      </c>
      <c r="AQ3494">
        <f>IF($E3494="","",IF($AA3494="Yes",1,0))</f>
        <v/>
      </c>
      <c r="AR3494">
        <f>IF($AN3494=1,IFERROR(VALUE(MID($E3494,2,20)),1000000000)+ROW()/100000,"")</f>
        <v/>
      </c>
    </row>
    <row r="3495">
      <c r="G3495" s="11" t="n"/>
      <c r="Q3495" s="7">
        <f>IF($E3495="","",P3495*Y3495/100)</f>
        <v/>
      </c>
      <c r="R3495" s="7" t="n"/>
      <c r="X3495" s="7" t="n"/>
      <c r="Y3495" s="7" t="n"/>
      <c r="AB3495">
        <f>IF($E3495="","",IF($AQ3495=1,0,IF($AP3495=1,Settings!$C$6,Settings!$C$7))*100)</f>
        <v/>
      </c>
      <c r="AC3495" s="7">
        <f>IF($E3495="","",Y3495*AB3495/100)</f>
        <v/>
      </c>
      <c r="AD3495" s="7">
        <f>IF($E3495="","",Y3495-AC3495)</f>
        <v/>
      </c>
      <c r="AE3495" s="7">
        <f>IF($E3495="","",AD3495-Q3495)</f>
        <v/>
      </c>
      <c r="AI3495" s="7" t="n"/>
      <c r="AL3495" s="11" t="n"/>
      <c r="AN3495">
        <f>IF($E3495="","",IF(COUNTIF($E$2:$E3495,$E3495)=1,1,0))</f>
        <v/>
      </c>
      <c r="AO3495">
        <f>IF($AN3495=1,SUMPRODUCT(--($AR$2:$AR$4001&lt;$AR3495))+1,"")</f>
        <v/>
      </c>
      <c r="AP3495">
        <f>IF($E3495="","",IF(OR($U3495=TRUE(),$U3495="TRUE"),1,0))</f>
        <v/>
      </c>
      <c r="AQ3495">
        <f>IF($E3495="","",IF($AA3495="Yes",1,0))</f>
        <v/>
      </c>
      <c r="AR3495">
        <f>IF($AN3495=1,IFERROR(VALUE(MID($E3495,2,20)),1000000000)+ROW()/100000,"")</f>
        <v/>
      </c>
    </row>
    <row r="3496">
      <c r="G3496" s="11" t="n"/>
      <c r="Q3496" s="7">
        <f>IF($E3496="","",P3496*Y3496/100)</f>
        <v/>
      </c>
      <c r="R3496" s="7" t="n"/>
      <c r="X3496" s="7" t="n"/>
      <c r="Y3496" s="7" t="n"/>
      <c r="AB3496">
        <f>IF($E3496="","",IF($AQ3496=1,0,IF($AP3496=1,Settings!$C$6,Settings!$C$7))*100)</f>
        <v/>
      </c>
      <c r="AC3496" s="7">
        <f>IF($E3496="","",Y3496*AB3496/100)</f>
        <v/>
      </c>
      <c r="AD3496" s="7">
        <f>IF($E3496="","",Y3496-AC3496)</f>
        <v/>
      </c>
      <c r="AE3496" s="7">
        <f>IF($E3496="","",AD3496-Q3496)</f>
        <v/>
      </c>
      <c r="AI3496" s="7" t="n"/>
      <c r="AL3496" s="11" t="n"/>
      <c r="AN3496">
        <f>IF($E3496="","",IF(COUNTIF($E$2:$E3496,$E3496)=1,1,0))</f>
        <v/>
      </c>
      <c r="AO3496">
        <f>IF($AN3496=1,SUMPRODUCT(--($AR$2:$AR$4001&lt;$AR3496))+1,"")</f>
        <v/>
      </c>
      <c r="AP3496">
        <f>IF($E3496="","",IF(OR($U3496=TRUE(),$U3496="TRUE"),1,0))</f>
        <v/>
      </c>
      <c r="AQ3496">
        <f>IF($E3496="","",IF($AA3496="Yes",1,0))</f>
        <v/>
      </c>
      <c r="AR3496">
        <f>IF($AN3496=1,IFERROR(VALUE(MID($E3496,2,20)),1000000000)+ROW()/100000,"")</f>
        <v/>
      </c>
    </row>
    <row r="3497">
      <c r="G3497" s="11" t="n"/>
      <c r="Q3497" s="7">
        <f>IF($E3497="","",P3497*Y3497/100)</f>
        <v/>
      </c>
      <c r="R3497" s="7" t="n"/>
      <c r="X3497" s="7" t="n"/>
      <c r="Y3497" s="7" t="n"/>
      <c r="AB3497">
        <f>IF($E3497="","",IF($AQ3497=1,0,IF($AP3497=1,Settings!$C$6,Settings!$C$7))*100)</f>
        <v/>
      </c>
      <c r="AC3497" s="7">
        <f>IF($E3497="","",Y3497*AB3497/100)</f>
        <v/>
      </c>
      <c r="AD3497" s="7">
        <f>IF($E3497="","",Y3497-AC3497)</f>
        <v/>
      </c>
      <c r="AE3497" s="7">
        <f>IF($E3497="","",AD3497-Q3497)</f>
        <v/>
      </c>
      <c r="AI3497" s="7" t="n"/>
      <c r="AL3497" s="11" t="n"/>
      <c r="AN3497">
        <f>IF($E3497="","",IF(COUNTIF($E$2:$E3497,$E3497)=1,1,0))</f>
        <v/>
      </c>
      <c r="AO3497">
        <f>IF($AN3497=1,SUMPRODUCT(--($AR$2:$AR$4001&lt;$AR3497))+1,"")</f>
        <v/>
      </c>
      <c r="AP3497">
        <f>IF($E3497="","",IF(OR($U3497=TRUE(),$U3497="TRUE"),1,0))</f>
        <v/>
      </c>
      <c r="AQ3497">
        <f>IF($E3497="","",IF($AA3497="Yes",1,0))</f>
        <v/>
      </c>
      <c r="AR3497">
        <f>IF($AN3497=1,IFERROR(VALUE(MID($E3497,2,20)),1000000000)+ROW()/100000,"")</f>
        <v/>
      </c>
    </row>
    <row r="3498">
      <c r="G3498" s="11" t="n"/>
      <c r="Q3498" s="7">
        <f>IF($E3498="","",P3498*Y3498/100)</f>
        <v/>
      </c>
      <c r="R3498" s="7" t="n"/>
      <c r="X3498" s="7" t="n"/>
      <c r="Y3498" s="7" t="n"/>
      <c r="AB3498">
        <f>IF($E3498="","",IF($AQ3498=1,0,IF($AP3498=1,Settings!$C$6,Settings!$C$7))*100)</f>
        <v/>
      </c>
      <c r="AC3498" s="7">
        <f>IF($E3498="","",Y3498*AB3498/100)</f>
        <v/>
      </c>
      <c r="AD3498" s="7">
        <f>IF($E3498="","",Y3498-AC3498)</f>
        <v/>
      </c>
      <c r="AE3498" s="7">
        <f>IF($E3498="","",AD3498-Q3498)</f>
        <v/>
      </c>
      <c r="AI3498" s="7" t="n"/>
      <c r="AL3498" s="11" t="n"/>
      <c r="AN3498">
        <f>IF($E3498="","",IF(COUNTIF($E$2:$E3498,$E3498)=1,1,0))</f>
        <v/>
      </c>
      <c r="AO3498">
        <f>IF($AN3498=1,SUMPRODUCT(--($AR$2:$AR$4001&lt;$AR3498))+1,"")</f>
        <v/>
      </c>
      <c r="AP3498">
        <f>IF($E3498="","",IF(OR($U3498=TRUE(),$U3498="TRUE"),1,0))</f>
        <v/>
      </c>
      <c r="AQ3498">
        <f>IF($E3498="","",IF($AA3498="Yes",1,0))</f>
        <v/>
      </c>
      <c r="AR3498">
        <f>IF($AN3498=1,IFERROR(VALUE(MID($E3498,2,20)),1000000000)+ROW()/100000,"")</f>
        <v/>
      </c>
    </row>
    <row r="3499">
      <c r="G3499" s="11" t="n"/>
      <c r="Q3499" s="7">
        <f>IF($E3499="","",P3499*Y3499/100)</f>
        <v/>
      </c>
      <c r="R3499" s="7" t="n"/>
      <c r="X3499" s="7" t="n"/>
      <c r="Y3499" s="7" t="n"/>
      <c r="AB3499">
        <f>IF($E3499="","",IF($AQ3499=1,0,IF($AP3499=1,Settings!$C$6,Settings!$C$7))*100)</f>
        <v/>
      </c>
      <c r="AC3499" s="7">
        <f>IF($E3499="","",Y3499*AB3499/100)</f>
        <v/>
      </c>
      <c r="AD3499" s="7">
        <f>IF($E3499="","",Y3499-AC3499)</f>
        <v/>
      </c>
      <c r="AE3499" s="7">
        <f>IF($E3499="","",AD3499-Q3499)</f>
        <v/>
      </c>
      <c r="AI3499" s="7" t="n"/>
      <c r="AL3499" s="11" t="n"/>
      <c r="AN3499">
        <f>IF($E3499="","",IF(COUNTIF($E$2:$E3499,$E3499)=1,1,0))</f>
        <v/>
      </c>
      <c r="AO3499">
        <f>IF($AN3499=1,SUMPRODUCT(--($AR$2:$AR$4001&lt;$AR3499))+1,"")</f>
        <v/>
      </c>
      <c r="AP3499">
        <f>IF($E3499="","",IF(OR($U3499=TRUE(),$U3499="TRUE"),1,0))</f>
        <v/>
      </c>
      <c r="AQ3499">
        <f>IF($E3499="","",IF($AA3499="Yes",1,0))</f>
        <v/>
      </c>
      <c r="AR3499">
        <f>IF($AN3499=1,IFERROR(VALUE(MID($E3499,2,20)),1000000000)+ROW()/100000,"")</f>
        <v/>
      </c>
    </row>
    <row r="3500">
      <c r="G3500" s="11" t="n"/>
      <c r="Q3500" s="7">
        <f>IF($E3500="","",P3500*Y3500/100)</f>
        <v/>
      </c>
      <c r="R3500" s="7" t="n"/>
      <c r="X3500" s="7" t="n"/>
      <c r="Y3500" s="7" t="n"/>
      <c r="AB3500">
        <f>IF($E3500="","",IF($AQ3500=1,0,IF($AP3500=1,Settings!$C$6,Settings!$C$7))*100)</f>
        <v/>
      </c>
      <c r="AC3500" s="7">
        <f>IF($E3500="","",Y3500*AB3500/100)</f>
        <v/>
      </c>
      <c r="AD3500" s="7">
        <f>IF($E3500="","",Y3500-AC3500)</f>
        <v/>
      </c>
      <c r="AE3500" s="7">
        <f>IF($E3500="","",AD3500-Q3500)</f>
        <v/>
      </c>
      <c r="AI3500" s="7" t="n"/>
      <c r="AL3500" s="11" t="n"/>
      <c r="AN3500">
        <f>IF($E3500="","",IF(COUNTIF($E$2:$E3500,$E3500)=1,1,0))</f>
        <v/>
      </c>
      <c r="AO3500">
        <f>IF($AN3500=1,SUMPRODUCT(--($AR$2:$AR$4001&lt;$AR3500))+1,"")</f>
        <v/>
      </c>
      <c r="AP3500">
        <f>IF($E3500="","",IF(OR($U3500=TRUE(),$U3500="TRUE"),1,0))</f>
        <v/>
      </c>
      <c r="AQ3500">
        <f>IF($E3500="","",IF($AA3500="Yes",1,0))</f>
        <v/>
      </c>
      <c r="AR3500">
        <f>IF($AN3500=1,IFERROR(VALUE(MID($E3500,2,20)),1000000000)+ROW()/100000,"")</f>
        <v/>
      </c>
    </row>
    <row r="3501">
      <c r="G3501" s="11" t="n"/>
      <c r="Q3501" s="7">
        <f>IF($E3501="","",P3501*Y3501/100)</f>
        <v/>
      </c>
      <c r="R3501" s="7" t="n"/>
      <c r="X3501" s="7" t="n"/>
      <c r="Y3501" s="7" t="n"/>
      <c r="AB3501">
        <f>IF($E3501="","",IF($AQ3501=1,0,IF($AP3501=1,Settings!$C$6,Settings!$C$7))*100)</f>
        <v/>
      </c>
      <c r="AC3501" s="7">
        <f>IF($E3501="","",Y3501*AB3501/100)</f>
        <v/>
      </c>
      <c r="AD3501" s="7">
        <f>IF($E3501="","",Y3501-AC3501)</f>
        <v/>
      </c>
      <c r="AE3501" s="7">
        <f>IF($E3501="","",AD3501-Q3501)</f>
        <v/>
      </c>
      <c r="AI3501" s="7" t="n"/>
      <c r="AL3501" s="11" t="n"/>
      <c r="AN3501">
        <f>IF($E3501="","",IF(COUNTIF($E$2:$E3501,$E3501)=1,1,0))</f>
        <v/>
      </c>
      <c r="AO3501">
        <f>IF($AN3501=1,SUMPRODUCT(--($AR$2:$AR$4001&lt;$AR3501))+1,"")</f>
        <v/>
      </c>
      <c r="AP3501">
        <f>IF($E3501="","",IF(OR($U3501=TRUE(),$U3501="TRUE"),1,0))</f>
        <v/>
      </c>
      <c r="AQ3501">
        <f>IF($E3501="","",IF($AA3501="Yes",1,0))</f>
        <v/>
      </c>
      <c r="AR3501">
        <f>IF($AN3501=1,IFERROR(VALUE(MID($E3501,2,20)),1000000000)+ROW()/100000,"")</f>
        <v/>
      </c>
    </row>
    <row r="3502">
      <c r="G3502" s="11" t="n"/>
      <c r="Q3502" s="7">
        <f>IF($E3502="","",P3502*Y3502/100)</f>
        <v/>
      </c>
      <c r="R3502" s="7" t="n"/>
      <c r="X3502" s="7" t="n"/>
      <c r="Y3502" s="7" t="n"/>
      <c r="AB3502">
        <f>IF($E3502="","",IF($AQ3502=1,0,IF($AP3502=1,Settings!$C$6,Settings!$C$7))*100)</f>
        <v/>
      </c>
      <c r="AC3502" s="7">
        <f>IF($E3502="","",Y3502*AB3502/100)</f>
        <v/>
      </c>
      <c r="AD3502" s="7">
        <f>IF($E3502="","",Y3502-AC3502)</f>
        <v/>
      </c>
      <c r="AE3502" s="7">
        <f>IF($E3502="","",AD3502-Q3502)</f>
        <v/>
      </c>
      <c r="AI3502" s="7" t="n"/>
      <c r="AL3502" s="11" t="n"/>
      <c r="AN3502">
        <f>IF($E3502="","",IF(COUNTIF($E$2:$E3502,$E3502)=1,1,0))</f>
        <v/>
      </c>
      <c r="AO3502">
        <f>IF($AN3502=1,SUMPRODUCT(--($AR$2:$AR$4001&lt;$AR3502))+1,"")</f>
        <v/>
      </c>
      <c r="AP3502">
        <f>IF($E3502="","",IF(OR($U3502=TRUE(),$U3502="TRUE"),1,0))</f>
        <v/>
      </c>
      <c r="AQ3502">
        <f>IF($E3502="","",IF($AA3502="Yes",1,0))</f>
        <v/>
      </c>
      <c r="AR3502">
        <f>IF($AN3502=1,IFERROR(VALUE(MID($E3502,2,20)),1000000000)+ROW()/100000,"")</f>
        <v/>
      </c>
    </row>
    <row r="3503">
      <c r="G3503" s="11" t="n"/>
      <c r="Q3503" s="7">
        <f>IF($E3503="","",P3503*Y3503/100)</f>
        <v/>
      </c>
      <c r="R3503" s="7" t="n"/>
      <c r="X3503" s="7" t="n"/>
      <c r="Y3503" s="7" t="n"/>
      <c r="AB3503">
        <f>IF($E3503="","",IF($AQ3503=1,0,IF($AP3503=1,Settings!$C$6,Settings!$C$7))*100)</f>
        <v/>
      </c>
      <c r="AC3503" s="7">
        <f>IF($E3503="","",Y3503*AB3503/100)</f>
        <v/>
      </c>
      <c r="AD3503" s="7">
        <f>IF($E3503="","",Y3503-AC3503)</f>
        <v/>
      </c>
      <c r="AE3503" s="7">
        <f>IF($E3503="","",AD3503-Q3503)</f>
        <v/>
      </c>
      <c r="AI3503" s="7" t="n"/>
      <c r="AL3503" s="11" t="n"/>
      <c r="AN3503">
        <f>IF($E3503="","",IF(COUNTIF($E$2:$E3503,$E3503)=1,1,0))</f>
        <v/>
      </c>
      <c r="AO3503">
        <f>IF($AN3503=1,SUMPRODUCT(--($AR$2:$AR$4001&lt;$AR3503))+1,"")</f>
        <v/>
      </c>
      <c r="AP3503">
        <f>IF($E3503="","",IF(OR($U3503=TRUE(),$U3503="TRUE"),1,0))</f>
        <v/>
      </c>
      <c r="AQ3503">
        <f>IF($E3503="","",IF($AA3503="Yes",1,0))</f>
        <v/>
      </c>
      <c r="AR3503">
        <f>IF($AN3503=1,IFERROR(VALUE(MID($E3503,2,20)),1000000000)+ROW()/100000,"")</f>
        <v/>
      </c>
    </row>
    <row r="3504">
      <c r="G3504" s="11" t="n"/>
      <c r="Q3504" s="7">
        <f>IF($E3504="","",P3504*Y3504/100)</f>
        <v/>
      </c>
      <c r="R3504" s="7" t="n"/>
      <c r="X3504" s="7" t="n"/>
      <c r="Y3504" s="7" t="n"/>
      <c r="AB3504">
        <f>IF($E3504="","",IF($AQ3504=1,0,IF($AP3504=1,Settings!$C$6,Settings!$C$7))*100)</f>
        <v/>
      </c>
      <c r="AC3504" s="7">
        <f>IF($E3504="","",Y3504*AB3504/100)</f>
        <v/>
      </c>
      <c r="AD3504" s="7">
        <f>IF($E3504="","",Y3504-AC3504)</f>
        <v/>
      </c>
      <c r="AE3504" s="7">
        <f>IF($E3504="","",AD3504-Q3504)</f>
        <v/>
      </c>
      <c r="AI3504" s="7" t="n"/>
      <c r="AL3504" s="11" t="n"/>
      <c r="AN3504">
        <f>IF($E3504="","",IF(COUNTIF($E$2:$E3504,$E3504)=1,1,0))</f>
        <v/>
      </c>
      <c r="AO3504">
        <f>IF($AN3504=1,SUMPRODUCT(--($AR$2:$AR$4001&lt;$AR3504))+1,"")</f>
        <v/>
      </c>
      <c r="AP3504">
        <f>IF($E3504="","",IF(OR($U3504=TRUE(),$U3504="TRUE"),1,0))</f>
        <v/>
      </c>
      <c r="AQ3504">
        <f>IF($E3504="","",IF($AA3504="Yes",1,0))</f>
        <v/>
      </c>
      <c r="AR3504">
        <f>IF($AN3504=1,IFERROR(VALUE(MID($E3504,2,20)),1000000000)+ROW()/100000,"")</f>
        <v/>
      </c>
    </row>
    <row r="3505">
      <c r="G3505" s="11" t="n"/>
      <c r="Q3505" s="7">
        <f>IF($E3505="","",P3505*Y3505/100)</f>
        <v/>
      </c>
      <c r="R3505" s="7" t="n"/>
      <c r="X3505" s="7" t="n"/>
      <c r="Y3505" s="7" t="n"/>
      <c r="AB3505">
        <f>IF($E3505="","",IF($AQ3505=1,0,IF($AP3505=1,Settings!$C$6,Settings!$C$7))*100)</f>
        <v/>
      </c>
      <c r="AC3505" s="7">
        <f>IF($E3505="","",Y3505*AB3505/100)</f>
        <v/>
      </c>
      <c r="AD3505" s="7">
        <f>IF($E3505="","",Y3505-AC3505)</f>
        <v/>
      </c>
      <c r="AE3505" s="7">
        <f>IF($E3505="","",AD3505-Q3505)</f>
        <v/>
      </c>
      <c r="AI3505" s="7" t="n"/>
      <c r="AL3505" s="11" t="n"/>
      <c r="AN3505">
        <f>IF($E3505="","",IF(COUNTIF($E$2:$E3505,$E3505)=1,1,0))</f>
        <v/>
      </c>
      <c r="AO3505">
        <f>IF($AN3505=1,SUMPRODUCT(--($AR$2:$AR$4001&lt;$AR3505))+1,"")</f>
        <v/>
      </c>
      <c r="AP3505">
        <f>IF($E3505="","",IF(OR($U3505=TRUE(),$U3505="TRUE"),1,0))</f>
        <v/>
      </c>
      <c r="AQ3505">
        <f>IF($E3505="","",IF($AA3505="Yes",1,0))</f>
        <v/>
      </c>
      <c r="AR3505">
        <f>IF($AN3505=1,IFERROR(VALUE(MID($E3505,2,20)),1000000000)+ROW()/100000,"")</f>
        <v/>
      </c>
    </row>
    <row r="3506">
      <c r="G3506" s="11" t="n"/>
      <c r="Q3506" s="7">
        <f>IF($E3506="","",P3506*Y3506/100)</f>
        <v/>
      </c>
      <c r="R3506" s="7" t="n"/>
      <c r="X3506" s="7" t="n"/>
      <c r="Y3506" s="7" t="n"/>
      <c r="AB3506">
        <f>IF($E3506="","",IF($AQ3506=1,0,IF($AP3506=1,Settings!$C$6,Settings!$C$7))*100)</f>
        <v/>
      </c>
      <c r="AC3506" s="7">
        <f>IF($E3506="","",Y3506*AB3506/100)</f>
        <v/>
      </c>
      <c r="AD3506" s="7">
        <f>IF($E3506="","",Y3506-AC3506)</f>
        <v/>
      </c>
      <c r="AE3506" s="7">
        <f>IF($E3506="","",AD3506-Q3506)</f>
        <v/>
      </c>
      <c r="AI3506" s="7" t="n"/>
      <c r="AL3506" s="11" t="n"/>
      <c r="AN3506">
        <f>IF($E3506="","",IF(COUNTIF($E$2:$E3506,$E3506)=1,1,0))</f>
        <v/>
      </c>
      <c r="AO3506">
        <f>IF($AN3506=1,SUMPRODUCT(--($AR$2:$AR$4001&lt;$AR3506))+1,"")</f>
        <v/>
      </c>
      <c r="AP3506">
        <f>IF($E3506="","",IF(OR($U3506=TRUE(),$U3506="TRUE"),1,0))</f>
        <v/>
      </c>
      <c r="AQ3506">
        <f>IF($E3506="","",IF($AA3506="Yes",1,0))</f>
        <v/>
      </c>
      <c r="AR3506">
        <f>IF($AN3506=1,IFERROR(VALUE(MID($E3506,2,20)),1000000000)+ROW()/100000,"")</f>
        <v/>
      </c>
    </row>
    <row r="3507">
      <c r="G3507" s="11" t="n"/>
      <c r="Q3507" s="7">
        <f>IF($E3507="","",P3507*Y3507/100)</f>
        <v/>
      </c>
      <c r="R3507" s="7" t="n"/>
      <c r="X3507" s="7" t="n"/>
      <c r="Y3507" s="7" t="n"/>
      <c r="AB3507">
        <f>IF($E3507="","",IF($AQ3507=1,0,IF($AP3507=1,Settings!$C$6,Settings!$C$7))*100)</f>
        <v/>
      </c>
      <c r="AC3507" s="7">
        <f>IF($E3507="","",Y3507*AB3507/100)</f>
        <v/>
      </c>
      <c r="AD3507" s="7">
        <f>IF($E3507="","",Y3507-AC3507)</f>
        <v/>
      </c>
      <c r="AE3507" s="7">
        <f>IF($E3507="","",AD3507-Q3507)</f>
        <v/>
      </c>
      <c r="AI3507" s="7" t="n"/>
      <c r="AL3507" s="11" t="n"/>
      <c r="AN3507">
        <f>IF($E3507="","",IF(COUNTIF($E$2:$E3507,$E3507)=1,1,0))</f>
        <v/>
      </c>
      <c r="AO3507">
        <f>IF($AN3507=1,SUMPRODUCT(--($AR$2:$AR$4001&lt;$AR3507))+1,"")</f>
        <v/>
      </c>
      <c r="AP3507">
        <f>IF($E3507="","",IF(OR($U3507=TRUE(),$U3507="TRUE"),1,0))</f>
        <v/>
      </c>
      <c r="AQ3507">
        <f>IF($E3507="","",IF($AA3507="Yes",1,0))</f>
        <v/>
      </c>
      <c r="AR3507">
        <f>IF($AN3507=1,IFERROR(VALUE(MID($E3507,2,20)),1000000000)+ROW()/100000,"")</f>
        <v/>
      </c>
    </row>
    <row r="3508">
      <c r="G3508" s="11" t="n"/>
      <c r="Q3508" s="7">
        <f>IF($E3508="","",P3508*Y3508/100)</f>
        <v/>
      </c>
      <c r="R3508" s="7" t="n"/>
      <c r="X3508" s="7" t="n"/>
      <c r="Y3508" s="7" t="n"/>
      <c r="AB3508">
        <f>IF($E3508="","",IF($AQ3508=1,0,IF($AP3508=1,Settings!$C$6,Settings!$C$7))*100)</f>
        <v/>
      </c>
      <c r="AC3508" s="7">
        <f>IF($E3508="","",Y3508*AB3508/100)</f>
        <v/>
      </c>
      <c r="AD3508" s="7">
        <f>IF($E3508="","",Y3508-AC3508)</f>
        <v/>
      </c>
      <c r="AE3508" s="7">
        <f>IF($E3508="","",AD3508-Q3508)</f>
        <v/>
      </c>
      <c r="AI3508" s="7" t="n"/>
      <c r="AL3508" s="11" t="n"/>
      <c r="AN3508">
        <f>IF($E3508="","",IF(COUNTIF($E$2:$E3508,$E3508)=1,1,0))</f>
        <v/>
      </c>
      <c r="AO3508">
        <f>IF($AN3508=1,SUMPRODUCT(--($AR$2:$AR$4001&lt;$AR3508))+1,"")</f>
        <v/>
      </c>
      <c r="AP3508">
        <f>IF($E3508="","",IF(OR($U3508=TRUE(),$U3508="TRUE"),1,0))</f>
        <v/>
      </c>
      <c r="AQ3508">
        <f>IF($E3508="","",IF($AA3508="Yes",1,0))</f>
        <v/>
      </c>
      <c r="AR3508">
        <f>IF($AN3508=1,IFERROR(VALUE(MID($E3508,2,20)),1000000000)+ROW()/100000,"")</f>
        <v/>
      </c>
    </row>
    <row r="3509">
      <c r="G3509" s="11" t="n"/>
      <c r="Q3509" s="7">
        <f>IF($E3509="","",P3509*Y3509/100)</f>
        <v/>
      </c>
      <c r="R3509" s="7" t="n"/>
      <c r="X3509" s="7" t="n"/>
      <c r="Y3509" s="7" t="n"/>
      <c r="AB3509">
        <f>IF($E3509="","",IF($AQ3509=1,0,IF($AP3509=1,Settings!$C$6,Settings!$C$7))*100)</f>
        <v/>
      </c>
      <c r="AC3509" s="7">
        <f>IF($E3509="","",Y3509*AB3509/100)</f>
        <v/>
      </c>
      <c r="AD3509" s="7">
        <f>IF($E3509="","",Y3509-AC3509)</f>
        <v/>
      </c>
      <c r="AE3509" s="7">
        <f>IF($E3509="","",AD3509-Q3509)</f>
        <v/>
      </c>
      <c r="AI3509" s="7" t="n"/>
      <c r="AL3509" s="11" t="n"/>
      <c r="AN3509">
        <f>IF($E3509="","",IF(COUNTIF($E$2:$E3509,$E3509)=1,1,0))</f>
        <v/>
      </c>
      <c r="AO3509">
        <f>IF($AN3509=1,SUMPRODUCT(--($AR$2:$AR$4001&lt;$AR3509))+1,"")</f>
        <v/>
      </c>
      <c r="AP3509">
        <f>IF($E3509="","",IF(OR($U3509=TRUE(),$U3509="TRUE"),1,0))</f>
        <v/>
      </c>
      <c r="AQ3509">
        <f>IF($E3509="","",IF($AA3509="Yes",1,0))</f>
        <v/>
      </c>
      <c r="AR3509">
        <f>IF($AN3509=1,IFERROR(VALUE(MID($E3509,2,20)),1000000000)+ROW()/100000,"")</f>
        <v/>
      </c>
    </row>
    <row r="3510">
      <c r="G3510" s="11" t="n"/>
      <c r="Q3510" s="7">
        <f>IF($E3510="","",P3510*Y3510/100)</f>
        <v/>
      </c>
      <c r="R3510" s="7" t="n"/>
      <c r="X3510" s="7" t="n"/>
      <c r="Y3510" s="7" t="n"/>
      <c r="AB3510">
        <f>IF($E3510="","",IF($AQ3510=1,0,IF($AP3510=1,Settings!$C$6,Settings!$C$7))*100)</f>
        <v/>
      </c>
      <c r="AC3510" s="7">
        <f>IF($E3510="","",Y3510*AB3510/100)</f>
        <v/>
      </c>
      <c r="AD3510" s="7">
        <f>IF($E3510="","",Y3510-AC3510)</f>
        <v/>
      </c>
      <c r="AE3510" s="7">
        <f>IF($E3510="","",AD3510-Q3510)</f>
        <v/>
      </c>
      <c r="AI3510" s="7" t="n"/>
      <c r="AL3510" s="11" t="n"/>
      <c r="AN3510">
        <f>IF($E3510="","",IF(COUNTIF($E$2:$E3510,$E3510)=1,1,0))</f>
        <v/>
      </c>
      <c r="AO3510">
        <f>IF($AN3510=1,SUMPRODUCT(--($AR$2:$AR$4001&lt;$AR3510))+1,"")</f>
        <v/>
      </c>
      <c r="AP3510">
        <f>IF($E3510="","",IF(OR($U3510=TRUE(),$U3510="TRUE"),1,0))</f>
        <v/>
      </c>
      <c r="AQ3510">
        <f>IF($E3510="","",IF($AA3510="Yes",1,0))</f>
        <v/>
      </c>
      <c r="AR3510">
        <f>IF($AN3510=1,IFERROR(VALUE(MID($E3510,2,20)),1000000000)+ROW()/100000,"")</f>
        <v/>
      </c>
    </row>
    <row r="3511">
      <c r="G3511" s="11" t="n"/>
      <c r="Q3511" s="7">
        <f>IF($E3511="","",P3511*Y3511/100)</f>
        <v/>
      </c>
      <c r="R3511" s="7" t="n"/>
      <c r="X3511" s="7" t="n"/>
      <c r="Y3511" s="7" t="n"/>
      <c r="AB3511">
        <f>IF($E3511="","",IF($AQ3511=1,0,IF($AP3511=1,Settings!$C$6,Settings!$C$7))*100)</f>
        <v/>
      </c>
      <c r="AC3511" s="7">
        <f>IF($E3511="","",Y3511*AB3511/100)</f>
        <v/>
      </c>
      <c r="AD3511" s="7">
        <f>IF($E3511="","",Y3511-AC3511)</f>
        <v/>
      </c>
      <c r="AE3511" s="7">
        <f>IF($E3511="","",AD3511-Q3511)</f>
        <v/>
      </c>
      <c r="AI3511" s="7" t="n"/>
      <c r="AL3511" s="11" t="n"/>
      <c r="AN3511">
        <f>IF($E3511="","",IF(COUNTIF($E$2:$E3511,$E3511)=1,1,0))</f>
        <v/>
      </c>
      <c r="AO3511">
        <f>IF($AN3511=1,SUMPRODUCT(--($AR$2:$AR$4001&lt;$AR3511))+1,"")</f>
        <v/>
      </c>
      <c r="AP3511">
        <f>IF($E3511="","",IF(OR($U3511=TRUE(),$U3511="TRUE"),1,0))</f>
        <v/>
      </c>
      <c r="AQ3511">
        <f>IF($E3511="","",IF($AA3511="Yes",1,0))</f>
        <v/>
      </c>
      <c r="AR3511">
        <f>IF($AN3511=1,IFERROR(VALUE(MID($E3511,2,20)),1000000000)+ROW()/100000,"")</f>
        <v/>
      </c>
    </row>
    <row r="3512">
      <c r="G3512" s="11" t="n"/>
      <c r="Q3512" s="7">
        <f>IF($E3512="","",P3512*Y3512/100)</f>
        <v/>
      </c>
      <c r="R3512" s="7" t="n"/>
      <c r="X3512" s="7" t="n"/>
      <c r="Y3512" s="7" t="n"/>
      <c r="AB3512">
        <f>IF($E3512="","",IF($AQ3512=1,0,IF($AP3512=1,Settings!$C$6,Settings!$C$7))*100)</f>
        <v/>
      </c>
      <c r="AC3512" s="7">
        <f>IF($E3512="","",Y3512*AB3512/100)</f>
        <v/>
      </c>
      <c r="AD3512" s="7">
        <f>IF($E3512="","",Y3512-AC3512)</f>
        <v/>
      </c>
      <c r="AE3512" s="7">
        <f>IF($E3512="","",AD3512-Q3512)</f>
        <v/>
      </c>
      <c r="AI3512" s="7" t="n"/>
      <c r="AL3512" s="11" t="n"/>
      <c r="AN3512">
        <f>IF($E3512="","",IF(COUNTIF($E$2:$E3512,$E3512)=1,1,0))</f>
        <v/>
      </c>
      <c r="AO3512">
        <f>IF($AN3512=1,SUMPRODUCT(--($AR$2:$AR$4001&lt;$AR3512))+1,"")</f>
        <v/>
      </c>
      <c r="AP3512">
        <f>IF($E3512="","",IF(OR($U3512=TRUE(),$U3512="TRUE"),1,0))</f>
        <v/>
      </c>
      <c r="AQ3512">
        <f>IF($E3512="","",IF($AA3512="Yes",1,0))</f>
        <v/>
      </c>
      <c r="AR3512">
        <f>IF($AN3512=1,IFERROR(VALUE(MID($E3512,2,20)),1000000000)+ROW()/100000,"")</f>
        <v/>
      </c>
    </row>
    <row r="3513">
      <c r="G3513" s="11" t="n"/>
      <c r="Q3513" s="7">
        <f>IF($E3513="","",P3513*Y3513/100)</f>
        <v/>
      </c>
      <c r="R3513" s="7" t="n"/>
      <c r="X3513" s="7" t="n"/>
      <c r="Y3513" s="7" t="n"/>
      <c r="AB3513">
        <f>IF($E3513="","",IF($AQ3513=1,0,IF($AP3513=1,Settings!$C$6,Settings!$C$7))*100)</f>
        <v/>
      </c>
      <c r="AC3513" s="7">
        <f>IF($E3513="","",Y3513*AB3513/100)</f>
        <v/>
      </c>
      <c r="AD3513" s="7">
        <f>IF($E3513="","",Y3513-AC3513)</f>
        <v/>
      </c>
      <c r="AE3513" s="7">
        <f>IF($E3513="","",AD3513-Q3513)</f>
        <v/>
      </c>
      <c r="AI3513" s="7" t="n"/>
      <c r="AL3513" s="11" t="n"/>
      <c r="AN3513">
        <f>IF($E3513="","",IF(COUNTIF($E$2:$E3513,$E3513)=1,1,0))</f>
        <v/>
      </c>
      <c r="AO3513">
        <f>IF($AN3513=1,SUMPRODUCT(--($AR$2:$AR$4001&lt;$AR3513))+1,"")</f>
        <v/>
      </c>
      <c r="AP3513">
        <f>IF($E3513="","",IF(OR($U3513=TRUE(),$U3513="TRUE"),1,0))</f>
        <v/>
      </c>
      <c r="AQ3513">
        <f>IF($E3513="","",IF($AA3513="Yes",1,0))</f>
        <v/>
      </c>
      <c r="AR3513">
        <f>IF($AN3513=1,IFERROR(VALUE(MID($E3513,2,20)),1000000000)+ROW()/100000,"")</f>
        <v/>
      </c>
    </row>
    <row r="3514">
      <c r="G3514" s="11" t="n"/>
      <c r="Q3514" s="7">
        <f>IF($E3514="","",P3514*Y3514/100)</f>
        <v/>
      </c>
      <c r="R3514" s="7" t="n"/>
      <c r="X3514" s="7" t="n"/>
      <c r="Y3514" s="7" t="n"/>
      <c r="AB3514">
        <f>IF($E3514="","",IF($AQ3514=1,0,IF($AP3514=1,Settings!$C$6,Settings!$C$7))*100)</f>
        <v/>
      </c>
      <c r="AC3514" s="7">
        <f>IF($E3514="","",Y3514*AB3514/100)</f>
        <v/>
      </c>
      <c r="AD3514" s="7">
        <f>IF($E3514="","",Y3514-AC3514)</f>
        <v/>
      </c>
      <c r="AE3514" s="7">
        <f>IF($E3514="","",AD3514-Q3514)</f>
        <v/>
      </c>
      <c r="AI3514" s="7" t="n"/>
      <c r="AL3514" s="11" t="n"/>
      <c r="AN3514">
        <f>IF($E3514="","",IF(COUNTIF($E$2:$E3514,$E3514)=1,1,0))</f>
        <v/>
      </c>
      <c r="AO3514">
        <f>IF($AN3514=1,SUMPRODUCT(--($AR$2:$AR$4001&lt;$AR3514))+1,"")</f>
        <v/>
      </c>
      <c r="AP3514">
        <f>IF($E3514="","",IF(OR($U3514=TRUE(),$U3514="TRUE"),1,0))</f>
        <v/>
      </c>
      <c r="AQ3514">
        <f>IF($E3514="","",IF($AA3514="Yes",1,0))</f>
        <v/>
      </c>
      <c r="AR3514">
        <f>IF($AN3514=1,IFERROR(VALUE(MID($E3514,2,20)),1000000000)+ROW()/100000,"")</f>
        <v/>
      </c>
    </row>
    <row r="3515">
      <c r="G3515" s="11" t="n"/>
      <c r="Q3515" s="7">
        <f>IF($E3515="","",P3515*Y3515/100)</f>
        <v/>
      </c>
      <c r="R3515" s="7" t="n"/>
      <c r="X3515" s="7" t="n"/>
      <c r="Y3515" s="7" t="n"/>
      <c r="AB3515">
        <f>IF($E3515="","",IF($AQ3515=1,0,IF($AP3515=1,Settings!$C$6,Settings!$C$7))*100)</f>
        <v/>
      </c>
      <c r="AC3515" s="7">
        <f>IF($E3515="","",Y3515*AB3515/100)</f>
        <v/>
      </c>
      <c r="AD3515" s="7">
        <f>IF($E3515="","",Y3515-AC3515)</f>
        <v/>
      </c>
      <c r="AE3515" s="7">
        <f>IF($E3515="","",AD3515-Q3515)</f>
        <v/>
      </c>
      <c r="AI3515" s="7" t="n"/>
      <c r="AL3515" s="11" t="n"/>
      <c r="AN3515">
        <f>IF($E3515="","",IF(COUNTIF($E$2:$E3515,$E3515)=1,1,0))</f>
        <v/>
      </c>
      <c r="AO3515">
        <f>IF($AN3515=1,SUMPRODUCT(--($AR$2:$AR$4001&lt;$AR3515))+1,"")</f>
        <v/>
      </c>
      <c r="AP3515">
        <f>IF($E3515="","",IF(OR($U3515=TRUE(),$U3515="TRUE"),1,0))</f>
        <v/>
      </c>
      <c r="AQ3515">
        <f>IF($E3515="","",IF($AA3515="Yes",1,0))</f>
        <v/>
      </c>
      <c r="AR3515">
        <f>IF($AN3515=1,IFERROR(VALUE(MID($E3515,2,20)),1000000000)+ROW()/100000,"")</f>
        <v/>
      </c>
    </row>
    <row r="3516">
      <c r="G3516" s="11" t="n"/>
      <c r="Q3516" s="7">
        <f>IF($E3516="","",P3516*Y3516/100)</f>
        <v/>
      </c>
      <c r="R3516" s="7" t="n"/>
      <c r="X3516" s="7" t="n"/>
      <c r="Y3516" s="7" t="n"/>
      <c r="AB3516">
        <f>IF($E3516="","",IF($AQ3516=1,0,IF($AP3516=1,Settings!$C$6,Settings!$C$7))*100)</f>
        <v/>
      </c>
      <c r="AC3516" s="7">
        <f>IF($E3516="","",Y3516*AB3516/100)</f>
        <v/>
      </c>
      <c r="AD3516" s="7">
        <f>IF($E3516="","",Y3516-AC3516)</f>
        <v/>
      </c>
      <c r="AE3516" s="7">
        <f>IF($E3516="","",AD3516-Q3516)</f>
        <v/>
      </c>
      <c r="AI3516" s="7" t="n"/>
      <c r="AL3516" s="11" t="n"/>
      <c r="AN3516">
        <f>IF($E3516="","",IF(COUNTIF($E$2:$E3516,$E3516)=1,1,0))</f>
        <v/>
      </c>
      <c r="AO3516">
        <f>IF($AN3516=1,SUMPRODUCT(--($AR$2:$AR$4001&lt;$AR3516))+1,"")</f>
        <v/>
      </c>
      <c r="AP3516">
        <f>IF($E3516="","",IF(OR($U3516=TRUE(),$U3516="TRUE"),1,0))</f>
        <v/>
      </c>
      <c r="AQ3516">
        <f>IF($E3516="","",IF($AA3516="Yes",1,0))</f>
        <v/>
      </c>
      <c r="AR3516">
        <f>IF($AN3516=1,IFERROR(VALUE(MID($E3516,2,20)),1000000000)+ROW()/100000,"")</f>
        <v/>
      </c>
    </row>
    <row r="3517">
      <c r="G3517" s="11" t="n"/>
      <c r="Q3517" s="7">
        <f>IF($E3517="","",P3517*Y3517/100)</f>
        <v/>
      </c>
      <c r="R3517" s="7" t="n"/>
      <c r="X3517" s="7" t="n"/>
      <c r="Y3517" s="7" t="n"/>
      <c r="AB3517">
        <f>IF($E3517="","",IF($AQ3517=1,0,IF($AP3517=1,Settings!$C$6,Settings!$C$7))*100)</f>
        <v/>
      </c>
      <c r="AC3517" s="7">
        <f>IF($E3517="","",Y3517*AB3517/100)</f>
        <v/>
      </c>
      <c r="AD3517" s="7">
        <f>IF($E3517="","",Y3517-AC3517)</f>
        <v/>
      </c>
      <c r="AE3517" s="7">
        <f>IF($E3517="","",AD3517-Q3517)</f>
        <v/>
      </c>
      <c r="AI3517" s="7" t="n"/>
      <c r="AL3517" s="11" t="n"/>
      <c r="AN3517">
        <f>IF($E3517="","",IF(COUNTIF($E$2:$E3517,$E3517)=1,1,0))</f>
        <v/>
      </c>
      <c r="AO3517">
        <f>IF($AN3517=1,SUMPRODUCT(--($AR$2:$AR$4001&lt;$AR3517))+1,"")</f>
        <v/>
      </c>
      <c r="AP3517">
        <f>IF($E3517="","",IF(OR($U3517=TRUE(),$U3517="TRUE"),1,0))</f>
        <v/>
      </c>
      <c r="AQ3517">
        <f>IF($E3517="","",IF($AA3517="Yes",1,0))</f>
        <v/>
      </c>
      <c r="AR3517">
        <f>IF($AN3517=1,IFERROR(VALUE(MID($E3517,2,20)),1000000000)+ROW()/100000,"")</f>
        <v/>
      </c>
    </row>
    <row r="3518">
      <c r="G3518" s="11" t="n"/>
      <c r="Q3518" s="7">
        <f>IF($E3518="","",P3518*Y3518/100)</f>
        <v/>
      </c>
      <c r="R3518" s="7" t="n"/>
      <c r="X3518" s="7" t="n"/>
      <c r="Y3518" s="7" t="n"/>
      <c r="AB3518">
        <f>IF($E3518="","",IF($AQ3518=1,0,IF($AP3518=1,Settings!$C$6,Settings!$C$7))*100)</f>
        <v/>
      </c>
      <c r="AC3518" s="7">
        <f>IF($E3518="","",Y3518*AB3518/100)</f>
        <v/>
      </c>
      <c r="AD3518" s="7">
        <f>IF($E3518="","",Y3518-AC3518)</f>
        <v/>
      </c>
      <c r="AE3518" s="7">
        <f>IF($E3518="","",AD3518-Q3518)</f>
        <v/>
      </c>
      <c r="AI3518" s="7" t="n"/>
      <c r="AL3518" s="11" t="n"/>
      <c r="AN3518">
        <f>IF($E3518="","",IF(COUNTIF($E$2:$E3518,$E3518)=1,1,0))</f>
        <v/>
      </c>
      <c r="AO3518">
        <f>IF($AN3518=1,SUMPRODUCT(--($AR$2:$AR$4001&lt;$AR3518))+1,"")</f>
        <v/>
      </c>
      <c r="AP3518">
        <f>IF($E3518="","",IF(OR($U3518=TRUE(),$U3518="TRUE"),1,0))</f>
        <v/>
      </c>
      <c r="AQ3518">
        <f>IF($E3518="","",IF($AA3518="Yes",1,0))</f>
        <v/>
      </c>
      <c r="AR3518">
        <f>IF($AN3518=1,IFERROR(VALUE(MID($E3518,2,20)),1000000000)+ROW()/100000,"")</f>
        <v/>
      </c>
    </row>
    <row r="3519">
      <c r="G3519" s="11" t="n"/>
      <c r="Q3519" s="7">
        <f>IF($E3519="","",P3519*Y3519/100)</f>
        <v/>
      </c>
      <c r="R3519" s="7" t="n"/>
      <c r="X3519" s="7" t="n"/>
      <c r="Y3519" s="7" t="n"/>
      <c r="AB3519">
        <f>IF($E3519="","",IF($AQ3519=1,0,IF($AP3519=1,Settings!$C$6,Settings!$C$7))*100)</f>
        <v/>
      </c>
      <c r="AC3519" s="7">
        <f>IF($E3519="","",Y3519*AB3519/100)</f>
        <v/>
      </c>
      <c r="AD3519" s="7">
        <f>IF($E3519="","",Y3519-AC3519)</f>
        <v/>
      </c>
      <c r="AE3519" s="7">
        <f>IF($E3519="","",AD3519-Q3519)</f>
        <v/>
      </c>
      <c r="AI3519" s="7" t="n"/>
      <c r="AL3519" s="11" t="n"/>
      <c r="AN3519">
        <f>IF($E3519="","",IF(COUNTIF($E$2:$E3519,$E3519)=1,1,0))</f>
        <v/>
      </c>
      <c r="AO3519">
        <f>IF($AN3519=1,SUMPRODUCT(--($AR$2:$AR$4001&lt;$AR3519))+1,"")</f>
        <v/>
      </c>
      <c r="AP3519">
        <f>IF($E3519="","",IF(OR($U3519=TRUE(),$U3519="TRUE"),1,0))</f>
        <v/>
      </c>
      <c r="AQ3519">
        <f>IF($E3519="","",IF($AA3519="Yes",1,0))</f>
        <v/>
      </c>
      <c r="AR3519">
        <f>IF($AN3519=1,IFERROR(VALUE(MID($E3519,2,20)),1000000000)+ROW()/100000,"")</f>
        <v/>
      </c>
    </row>
    <row r="3520">
      <c r="G3520" s="11" t="n"/>
      <c r="Q3520" s="7">
        <f>IF($E3520="","",P3520*Y3520/100)</f>
        <v/>
      </c>
      <c r="R3520" s="7" t="n"/>
      <c r="X3520" s="7" t="n"/>
      <c r="Y3520" s="7" t="n"/>
      <c r="AB3520">
        <f>IF($E3520="","",IF($AQ3520=1,0,IF($AP3520=1,Settings!$C$6,Settings!$C$7))*100)</f>
        <v/>
      </c>
      <c r="AC3520" s="7">
        <f>IF($E3520="","",Y3520*AB3520/100)</f>
        <v/>
      </c>
      <c r="AD3520" s="7">
        <f>IF($E3520="","",Y3520-AC3520)</f>
        <v/>
      </c>
      <c r="AE3520" s="7">
        <f>IF($E3520="","",AD3520-Q3520)</f>
        <v/>
      </c>
      <c r="AI3520" s="7" t="n"/>
      <c r="AL3520" s="11" t="n"/>
      <c r="AN3520">
        <f>IF($E3520="","",IF(COUNTIF($E$2:$E3520,$E3520)=1,1,0))</f>
        <v/>
      </c>
      <c r="AO3520">
        <f>IF($AN3520=1,SUMPRODUCT(--($AR$2:$AR$4001&lt;$AR3520))+1,"")</f>
        <v/>
      </c>
      <c r="AP3520">
        <f>IF($E3520="","",IF(OR($U3520=TRUE(),$U3520="TRUE"),1,0))</f>
        <v/>
      </c>
      <c r="AQ3520">
        <f>IF($E3520="","",IF($AA3520="Yes",1,0))</f>
        <v/>
      </c>
      <c r="AR3520">
        <f>IF($AN3520=1,IFERROR(VALUE(MID($E3520,2,20)),1000000000)+ROW()/100000,"")</f>
        <v/>
      </c>
    </row>
    <row r="3521">
      <c r="G3521" s="11" t="n"/>
      <c r="Q3521" s="7">
        <f>IF($E3521="","",P3521*Y3521/100)</f>
        <v/>
      </c>
      <c r="R3521" s="7" t="n"/>
      <c r="X3521" s="7" t="n"/>
      <c r="Y3521" s="7" t="n"/>
      <c r="AB3521">
        <f>IF($E3521="","",IF($AQ3521=1,0,IF($AP3521=1,Settings!$C$6,Settings!$C$7))*100)</f>
        <v/>
      </c>
      <c r="AC3521" s="7">
        <f>IF($E3521="","",Y3521*AB3521/100)</f>
        <v/>
      </c>
      <c r="AD3521" s="7">
        <f>IF($E3521="","",Y3521-AC3521)</f>
        <v/>
      </c>
      <c r="AE3521" s="7">
        <f>IF($E3521="","",AD3521-Q3521)</f>
        <v/>
      </c>
      <c r="AI3521" s="7" t="n"/>
      <c r="AL3521" s="11" t="n"/>
      <c r="AN3521">
        <f>IF($E3521="","",IF(COUNTIF($E$2:$E3521,$E3521)=1,1,0))</f>
        <v/>
      </c>
      <c r="AO3521">
        <f>IF($AN3521=1,SUMPRODUCT(--($AR$2:$AR$4001&lt;$AR3521))+1,"")</f>
        <v/>
      </c>
      <c r="AP3521">
        <f>IF($E3521="","",IF(OR($U3521=TRUE(),$U3521="TRUE"),1,0))</f>
        <v/>
      </c>
      <c r="AQ3521">
        <f>IF($E3521="","",IF($AA3521="Yes",1,0))</f>
        <v/>
      </c>
      <c r="AR3521">
        <f>IF($AN3521=1,IFERROR(VALUE(MID($E3521,2,20)),1000000000)+ROW()/100000,"")</f>
        <v/>
      </c>
    </row>
    <row r="3522">
      <c r="G3522" s="11" t="n"/>
      <c r="Q3522" s="7">
        <f>IF($E3522="","",P3522*Y3522/100)</f>
        <v/>
      </c>
      <c r="R3522" s="7" t="n"/>
      <c r="X3522" s="7" t="n"/>
      <c r="Y3522" s="7" t="n"/>
      <c r="AB3522">
        <f>IF($E3522="","",IF($AQ3522=1,0,IF($AP3522=1,Settings!$C$6,Settings!$C$7))*100)</f>
        <v/>
      </c>
      <c r="AC3522" s="7">
        <f>IF($E3522="","",Y3522*AB3522/100)</f>
        <v/>
      </c>
      <c r="AD3522" s="7">
        <f>IF($E3522="","",Y3522-AC3522)</f>
        <v/>
      </c>
      <c r="AE3522" s="7">
        <f>IF($E3522="","",AD3522-Q3522)</f>
        <v/>
      </c>
      <c r="AI3522" s="7" t="n"/>
      <c r="AL3522" s="11" t="n"/>
      <c r="AN3522">
        <f>IF($E3522="","",IF(COUNTIF($E$2:$E3522,$E3522)=1,1,0))</f>
        <v/>
      </c>
      <c r="AO3522">
        <f>IF($AN3522=1,SUMPRODUCT(--($AR$2:$AR$4001&lt;$AR3522))+1,"")</f>
        <v/>
      </c>
      <c r="AP3522">
        <f>IF($E3522="","",IF(OR($U3522=TRUE(),$U3522="TRUE"),1,0))</f>
        <v/>
      </c>
      <c r="AQ3522">
        <f>IF($E3522="","",IF($AA3522="Yes",1,0))</f>
        <v/>
      </c>
      <c r="AR3522">
        <f>IF($AN3522=1,IFERROR(VALUE(MID($E3522,2,20)),1000000000)+ROW()/100000,"")</f>
        <v/>
      </c>
    </row>
    <row r="3523">
      <c r="G3523" s="11" t="n"/>
      <c r="Q3523" s="7">
        <f>IF($E3523="","",P3523*Y3523/100)</f>
        <v/>
      </c>
      <c r="R3523" s="7" t="n"/>
      <c r="X3523" s="7" t="n"/>
      <c r="Y3523" s="7" t="n"/>
      <c r="AB3523">
        <f>IF($E3523="","",IF($AQ3523=1,0,IF($AP3523=1,Settings!$C$6,Settings!$C$7))*100)</f>
        <v/>
      </c>
      <c r="AC3523" s="7">
        <f>IF($E3523="","",Y3523*AB3523/100)</f>
        <v/>
      </c>
      <c r="AD3523" s="7">
        <f>IF($E3523="","",Y3523-AC3523)</f>
        <v/>
      </c>
      <c r="AE3523" s="7">
        <f>IF($E3523="","",AD3523-Q3523)</f>
        <v/>
      </c>
      <c r="AI3523" s="7" t="n"/>
      <c r="AL3523" s="11" t="n"/>
      <c r="AN3523">
        <f>IF($E3523="","",IF(COUNTIF($E$2:$E3523,$E3523)=1,1,0))</f>
        <v/>
      </c>
      <c r="AO3523">
        <f>IF($AN3523=1,SUMPRODUCT(--($AR$2:$AR$4001&lt;$AR3523))+1,"")</f>
        <v/>
      </c>
      <c r="AP3523">
        <f>IF($E3523="","",IF(OR($U3523=TRUE(),$U3523="TRUE"),1,0))</f>
        <v/>
      </c>
      <c r="AQ3523">
        <f>IF($E3523="","",IF($AA3523="Yes",1,0))</f>
        <v/>
      </c>
      <c r="AR3523">
        <f>IF($AN3523=1,IFERROR(VALUE(MID($E3523,2,20)),1000000000)+ROW()/100000,"")</f>
        <v/>
      </c>
    </row>
    <row r="3524">
      <c r="G3524" s="11" t="n"/>
      <c r="Q3524" s="7">
        <f>IF($E3524="","",P3524*Y3524/100)</f>
        <v/>
      </c>
      <c r="R3524" s="7" t="n"/>
      <c r="X3524" s="7" t="n"/>
      <c r="Y3524" s="7" t="n"/>
      <c r="AB3524">
        <f>IF($E3524="","",IF($AQ3524=1,0,IF($AP3524=1,Settings!$C$6,Settings!$C$7))*100)</f>
        <v/>
      </c>
      <c r="AC3524" s="7">
        <f>IF($E3524="","",Y3524*AB3524/100)</f>
        <v/>
      </c>
      <c r="AD3524" s="7">
        <f>IF($E3524="","",Y3524-AC3524)</f>
        <v/>
      </c>
      <c r="AE3524" s="7">
        <f>IF($E3524="","",AD3524-Q3524)</f>
        <v/>
      </c>
      <c r="AI3524" s="7" t="n"/>
      <c r="AL3524" s="11" t="n"/>
      <c r="AN3524">
        <f>IF($E3524="","",IF(COUNTIF($E$2:$E3524,$E3524)=1,1,0))</f>
        <v/>
      </c>
      <c r="AO3524">
        <f>IF($AN3524=1,SUMPRODUCT(--($AR$2:$AR$4001&lt;$AR3524))+1,"")</f>
        <v/>
      </c>
      <c r="AP3524">
        <f>IF($E3524="","",IF(OR($U3524=TRUE(),$U3524="TRUE"),1,0))</f>
        <v/>
      </c>
      <c r="AQ3524">
        <f>IF($E3524="","",IF($AA3524="Yes",1,0))</f>
        <v/>
      </c>
      <c r="AR3524">
        <f>IF($AN3524=1,IFERROR(VALUE(MID($E3524,2,20)),1000000000)+ROW()/100000,"")</f>
        <v/>
      </c>
    </row>
    <row r="3525">
      <c r="G3525" s="11" t="n"/>
      <c r="Q3525" s="7">
        <f>IF($E3525="","",P3525*Y3525/100)</f>
        <v/>
      </c>
      <c r="R3525" s="7" t="n"/>
      <c r="X3525" s="7" t="n"/>
      <c r="Y3525" s="7" t="n"/>
      <c r="AB3525">
        <f>IF($E3525="","",IF($AQ3525=1,0,IF($AP3525=1,Settings!$C$6,Settings!$C$7))*100)</f>
        <v/>
      </c>
      <c r="AC3525" s="7">
        <f>IF($E3525="","",Y3525*AB3525/100)</f>
        <v/>
      </c>
      <c r="AD3525" s="7">
        <f>IF($E3525="","",Y3525-AC3525)</f>
        <v/>
      </c>
      <c r="AE3525" s="7">
        <f>IF($E3525="","",AD3525-Q3525)</f>
        <v/>
      </c>
      <c r="AI3525" s="7" t="n"/>
      <c r="AL3525" s="11" t="n"/>
      <c r="AN3525">
        <f>IF($E3525="","",IF(COUNTIF($E$2:$E3525,$E3525)=1,1,0))</f>
        <v/>
      </c>
      <c r="AO3525">
        <f>IF($AN3525=1,SUMPRODUCT(--($AR$2:$AR$4001&lt;$AR3525))+1,"")</f>
        <v/>
      </c>
      <c r="AP3525">
        <f>IF($E3525="","",IF(OR($U3525=TRUE(),$U3525="TRUE"),1,0))</f>
        <v/>
      </c>
      <c r="AQ3525">
        <f>IF($E3525="","",IF($AA3525="Yes",1,0))</f>
        <v/>
      </c>
      <c r="AR3525">
        <f>IF($AN3525=1,IFERROR(VALUE(MID($E3525,2,20)),1000000000)+ROW()/100000,"")</f>
        <v/>
      </c>
    </row>
    <row r="3526">
      <c r="G3526" s="11" t="n"/>
      <c r="Q3526" s="7">
        <f>IF($E3526="","",P3526*Y3526/100)</f>
        <v/>
      </c>
      <c r="R3526" s="7" t="n"/>
      <c r="X3526" s="7" t="n"/>
      <c r="Y3526" s="7" t="n"/>
      <c r="AB3526">
        <f>IF($E3526="","",IF($AQ3526=1,0,IF($AP3526=1,Settings!$C$6,Settings!$C$7))*100)</f>
        <v/>
      </c>
      <c r="AC3526" s="7">
        <f>IF($E3526="","",Y3526*AB3526/100)</f>
        <v/>
      </c>
      <c r="AD3526" s="7">
        <f>IF($E3526="","",Y3526-AC3526)</f>
        <v/>
      </c>
      <c r="AE3526" s="7">
        <f>IF($E3526="","",AD3526-Q3526)</f>
        <v/>
      </c>
      <c r="AI3526" s="7" t="n"/>
      <c r="AL3526" s="11" t="n"/>
      <c r="AN3526">
        <f>IF($E3526="","",IF(COUNTIF($E$2:$E3526,$E3526)=1,1,0))</f>
        <v/>
      </c>
      <c r="AO3526">
        <f>IF($AN3526=1,SUMPRODUCT(--($AR$2:$AR$4001&lt;$AR3526))+1,"")</f>
        <v/>
      </c>
      <c r="AP3526">
        <f>IF($E3526="","",IF(OR($U3526=TRUE(),$U3526="TRUE"),1,0))</f>
        <v/>
      </c>
      <c r="AQ3526">
        <f>IF($E3526="","",IF($AA3526="Yes",1,0))</f>
        <v/>
      </c>
      <c r="AR3526">
        <f>IF($AN3526=1,IFERROR(VALUE(MID($E3526,2,20)),1000000000)+ROW()/100000,"")</f>
        <v/>
      </c>
    </row>
    <row r="3527">
      <c r="G3527" s="11" t="n"/>
      <c r="Q3527" s="7">
        <f>IF($E3527="","",P3527*Y3527/100)</f>
        <v/>
      </c>
      <c r="R3527" s="7" t="n"/>
      <c r="X3527" s="7" t="n"/>
      <c r="Y3527" s="7" t="n"/>
      <c r="AB3527">
        <f>IF($E3527="","",IF($AQ3527=1,0,IF($AP3527=1,Settings!$C$6,Settings!$C$7))*100)</f>
        <v/>
      </c>
      <c r="AC3527" s="7">
        <f>IF($E3527="","",Y3527*AB3527/100)</f>
        <v/>
      </c>
      <c r="AD3527" s="7">
        <f>IF($E3527="","",Y3527-AC3527)</f>
        <v/>
      </c>
      <c r="AE3527" s="7">
        <f>IF($E3527="","",AD3527-Q3527)</f>
        <v/>
      </c>
      <c r="AI3527" s="7" t="n"/>
      <c r="AL3527" s="11" t="n"/>
      <c r="AN3527">
        <f>IF($E3527="","",IF(COUNTIF($E$2:$E3527,$E3527)=1,1,0))</f>
        <v/>
      </c>
      <c r="AO3527">
        <f>IF($AN3527=1,SUMPRODUCT(--($AR$2:$AR$4001&lt;$AR3527))+1,"")</f>
        <v/>
      </c>
      <c r="AP3527">
        <f>IF($E3527="","",IF(OR($U3527=TRUE(),$U3527="TRUE"),1,0))</f>
        <v/>
      </c>
      <c r="AQ3527">
        <f>IF($E3527="","",IF($AA3527="Yes",1,0))</f>
        <v/>
      </c>
      <c r="AR3527">
        <f>IF($AN3527=1,IFERROR(VALUE(MID($E3527,2,20)),1000000000)+ROW()/100000,"")</f>
        <v/>
      </c>
    </row>
    <row r="3528">
      <c r="G3528" s="11" t="n"/>
      <c r="Q3528" s="7">
        <f>IF($E3528="","",P3528*Y3528/100)</f>
        <v/>
      </c>
      <c r="R3528" s="7" t="n"/>
      <c r="X3528" s="7" t="n"/>
      <c r="Y3528" s="7" t="n"/>
      <c r="AB3528">
        <f>IF($E3528="","",IF($AQ3528=1,0,IF($AP3528=1,Settings!$C$6,Settings!$C$7))*100)</f>
        <v/>
      </c>
      <c r="AC3528" s="7">
        <f>IF($E3528="","",Y3528*AB3528/100)</f>
        <v/>
      </c>
      <c r="AD3528" s="7">
        <f>IF($E3528="","",Y3528-AC3528)</f>
        <v/>
      </c>
      <c r="AE3528" s="7">
        <f>IF($E3528="","",AD3528-Q3528)</f>
        <v/>
      </c>
      <c r="AI3528" s="7" t="n"/>
      <c r="AL3528" s="11" t="n"/>
      <c r="AN3528">
        <f>IF($E3528="","",IF(COUNTIF($E$2:$E3528,$E3528)=1,1,0))</f>
        <v/>
      </c>
      <c r="AO3528">
        <f>IF($AN3528=1,SUMPRODUCT(--($AR$2:$AR$4001&lt;$AR3528))+1,"")</f>
        <v/>
      </c>
      <c r="AP3528">
        <f>IF($E3528="","",IF(OR($U3528=TRUE(),$U3528="TRUE"),1,0))</f>
        <v/>
      </c>
      <c r="AQ3528">
        <f>IF($E3528="","",IF($AA3528="Yes",1,0))</f>
        <v/>
      </c>
      <c r="AR3528">
        <f>IF($AN3528=1,IFERROR(VALUE(MID($E3528,2,20)),1000000000)+ROW()/100000,"")</f>
        <v/>
      </c>
    </row>
    <row r="3529">
      <c r="G3529" s="11" t="n"/>
      <c r="Q3529" s="7">
        <f>IF($E3529="","",P3529*Y3529/100)</f>
        <v/>
      </c>
      <c r="R3529" s="7" t="n"/>
      <c r="X3529" s="7" t="n"/>
      <c r="Y3529" s="7" t="n"/>
      <c r="AB3529">
        <f>IF($E3529="","",IF($AQ3529=1,0,IF($AP3529=1,Settings!$C$6,Settings!$C$7))*100)</f>
        <v/>
      </c>
      <c r="AC3529" s="7">
        <f>IF($E3529="","",Y3529*AB3529/100)</f>
        <v/>
      </c>
      <c r="AD3529" s="7">
        <f>IF($E3529="","",Y3529-AC3529)</f>
        <v/>
      </c>
      <c r="AE3529" s="7">
        <f>IF($E3529="","",AD3529-Q3529)</f>
        <v/>
      </c>
      <c r="AI3529" s="7" t="n"/>
      <c r="AL3529" s="11" t="n"/>
      <c r="AN3529">
        <f>IF($E3529="","",IF(COUNTIF($E$2:$E3529,$E3529)=1,1,0))</f>
        <v/>
      </c>
      <c r="AO3529">
        <f>IF($AN3529=1,SUMPRODUCT(--($AR$2:$AR$4001&lt;$AR3529))+1,"")</f>
        <v/>
      </c>
      <c r="AP3529">
        <f>IF($E3529="","",IF(OR($U3529=TRUE(),$U3529="TRUE"),1,0))</f>
        <v/>
      </c>
      <c r="AQ3529">
        <f>IF($E3529="","",IF($AA3529="Yes",1,0))</f>
        <v/>
      </c>
      <c r="AR3529">
        <f>IF($AN3529=1,IFERROR(VALUE(MID($E3529,2,20)),1000000000)+ROW()/100000,"")</f>
        <v/>
      </c>
    </row>
    <row r="3530">
      <c r="G3530" s="11" t="n"/>
      <c r="Q3530" s="7">
        <f>IF($E3530="","",P3530*Y3530/100)</f>
        <v/>
      </c>
      <c r="R3530" s="7" t="n"/>
      <c r="X3530" s="7" t="n"/>
      <c r="Y3530" s="7" t="n"/>
      <c r="AB3530">
        <f>IF($E3530="","",IF($AQ3530=1,0,IF($AP3530=1,Settings!$C$6,Settings!$C$7))*100)</f>
        <v/>
      </c>
      <c r="AC3530" s="7">
        <f>IF($E3530="","",Y3530*AB3530/100)</f>
        <v/>
      </c>
      <c r="AD3530" s="7">
        <f>IF($E3530="","",Y3530-AC3530)</f>
        <v/>
      </c>
      <c r="AE3530" s="7">
        <f>IF($E3530="","",AD3530-Q3530)</f>
        <v/>
      </c>
      <c r="AI3530" s="7" t="n"/>
      <c r="AL3530" s="11" t="n"/>
      <c r="AN3530">
        <f>IF($E3530="","",IF(COUNTIF($E$2:$E3530,$E3530)=1,1,0))</f>
        <v/>
      </c>
      <c r="AO3530">
        <f>IF($AN3530=1,SUMPRODUCT(--($AR$2:$AR$4001&lt;$AR3530))+1,"")</f>
        <v/>
      </c>
      <c r="AP3530">
        <f>IF($E3530="","",IF(OR($U3530=TRUE(),$U3530="TRUE"),1,0))</f>
        <v/>
      </c>
      <c r="AQ3530">
        <f>IF($E3530="","",IF($AA3530="Yes",1,0))</f>
        <v/>
      </c>
      <c r="AR3530">
        <f>IF($AN3530=1,IFERROR(VALUE(MID($E3530,2,20)),1000000000)+ROW()/100000,"")</f>
        <v/>
      </c>
    </row>
    <row r="3531">
      <c r="G3531" s="11" t="n"/>
      <c r="Q3531" s="7">
        <f>IF($E3531="","",P3531*Y3531/100)</f>
        <v/>
      </c>
      <c r="R3531" s="7" t="n"/>
      <c r="X3531" s="7" t="n"/>
      <c r="Y3531" s="7" t="n"/>
      <c r="AB3531">
        <f>IF($E3531="","",IF($AQ3531=1,0,IF($AP3531=1,Settings!$C$6,Settings!$C$7))*100)</f>
        <v/>
      </c>
      <c r="AC3531" s="7">
        <f>IF($E3531="","",Y3531*AB3531/100)</f>
        <v/>
      </c>
      <c r="AD3531" s="7">
        <f>IF($E3531="","",Y3531-AC3531)</f>
        <v/>
      </c>
      <c r="AE3531" s="7">
        <f>IF($E3531="","",AD3531-Q3531)</f>
        <v/>
      </c>
      <c r="AI3531" s="7" t="n"/>
      <c r="AL3531" s="11" t="n"/>
      <c r="AN3531">
        <f>IF($E3531="","",IF(COUNTIF($E$2:$E3531,$E3531)=1,1,0))</f>
        <v/>
      </c>
      <c r="AO3531">
        <f>IF($AN3531=1,SUMPRODUCT(--($AR$2:$AR$4001&lt;$AR3531))+1,"")</f>
        <v/>
      </c>
      <c r="AP3531">
        <f>IF($E3531="","",IF(OR($U3531=TRUE(),$U3531="TRUE"),1,0))</f>
        <v/>
      </c>
      <c r="AQ3531">
        <f>IF($E3531="","",IF($AA3531="Yes",1,0))</f>
        <v/>
      </c>
      <c r="AR3531">
        <f>IF($AN3531=1,IFERROR(VALUE(MID($E3531,2,20)),1000000000)+ROW()/100000,"")</f>
        <v/>
      </c>
    </row>
    <row r="3532">
      <c r="G3532" s="11" t="n"/>
      <c r="Q3532" s="7">
        <f>IF($E3532="","",P3532*Y3532/100)</f>
        <v/>
      </c>
      <c r="R3532" s="7" t="n"/>
      <c r="X3532" s="7" t="n"/>
      <c r="Y3532" s="7" t="n"/>
      <c r="AB3532">
        <f>IF($E3532="","",IF($AQ3532=1,0,IF($AP3532=1,Settings!$C$6,Settings!$C$7))*100)</f>
        <v/>
      </c>
      <c r="AC3532" s="7">
        <f>IF($E3532="","",Y3532*AB3532/100)</f>
        <v/>
      </c>
      <c r="AD3532" s="7">
        <f>IF($E3532="","",Y3532-AC3532)</f>
        <v/>
      </c>
      <c r="AE3532" s="7">
        <f>IF($E3532="","",AD3532-Q3532)</f>
        <v/>
      </c>
      <c r="AI3532" s="7" t="n"/>
      <c r="AL3532" s="11" t="n"/>
      <c r="AN3532">
        <f>IF($E3532="","",IF(COUNTIF($E$2:$E3532,$E3532)=1,1,0))</f>
        <v/>
      </c>
      <c r="AO3532">
        <f>IF($AN3532=1,SUMPRODUCT(--($AR$2:$AR$4001&lt;$AR3532))+1,"")</f>
        <v/>
      </c>
      <c r="AP3532">
        <f>IF($E3532="","",IF(OR($U3532=TRUE(),$U3532="TRUE"),1,0))</f>
        <v/>
      </c>
      <c r="AQ3532">
        <f>IF($E3532="","",IF($AA3532="Yes",1,0))</f>
        <v/>
      </c>
      <c r="AR3532">
        <f>IF($AN3532=1,IFERROR(VALUE(MID($E3532,2,20)),1000000000)+ROW()/100000,"")</f>
        <v/>
      </c>
    </row>
    <row r="3533">
      <c r="G3533" s="11" t="n"/>
      <c r="Q3533" s="7">
        <f>IF($E3533="","",P3533*Y3533/100)</f>
        <v/>
      </c>
      <c r="R3533" s="7" t="n"/>
      <c r="X3533" s="7" t="n"/>
      <c r="Y3533" s="7" t="n"/>
      <c r="AB3533">
        <f>IF($E3533="","",IF($AQ3533=1,0,IF($AP3533=1,Settings!$C$6,Settings!$C$7))*100)</f>
        <v/>
      </c>
      <c r="AC3533" s="7">
        <f>IF($E3533="","",Y3533*AB3533/100)</f>
        <v/>
      </c>
      <c r="AD3533" s="7">
        <f>IF($E3533="","",Y3533-AC3533)</f>
        <v/>
      </c>
      <c r="AE3533" s="7">
        <f>IF($E3533="","",AD3533-Q3533)</f>
        <v/>
      </c>
      <c r="AI3533" s="7" t="n"/>
      <c r="AL3533" s="11" t="n"/>
      <c r="AN3533">
        <f>IF($E3533="","",IF(COUNTIF($E$2:$E3533,$E3533)=1,1,0))</f>
        <v/>
      </c>
      <c r="AO3533">
        <f>IF($AN3533=1,SUMPRODUCT(--($AR$2:$AR$4001&lt;$AR3533))+1,"")</f>
        <v/>
      </c>
      <c r="AP3533">
        <f>IF($E3533="","",IF(OR($U3533=TRUE(),$U3533="TRUE"),1,0))</f>
        <v/>
      </c>
      <c r="AQ3533">
        <f>IF($E3533="","",IF($AA3533="Yes",1,0))</f>
        <v/>
      </c>
      <c r="AR3533">
        <f>IF($AN3533=1,IFERROR(VALUE(MID($E3533,2,20)),1000000000)+ROW()/100000,"")</f>
        <v/>
      </c>
    </row>
    <row r="3534">
      <c r="G3534" s="11" t="n"/>
      <c r="Q3534" s="7">
        <f>IF($E3534="","",P3534*Y3534/100)</f>
        <v/>
      </c>
      <c r="R3534" s="7" t="n"/>
      <c r="X3534" s="7" t="n"/>
      <c r="Y3534" s="7" t="n"/>
      <c r="AB3534">
        <f>IF($E3534="","",IF($AQ3534=1,0,IF($AP3534=1,Settings!$C$6,Settings!$C$7))*100)</f>
        <v/>
      </c>
      <c r="AC3534" s="7">
        <f>IF($E3534="","",Y3534*AB3534/100)</f>
        <v/>
      </c>
      <c r="AD3534" s="7">
        <f>IF($E3534="","",Y3534-AC3534)</f>
        <v/>
      </c>
      <c r="AE3534" s="7">
        <f>IF($E3534="","",AD3534-Q3534)</f>
        <v/>
      </c>
      <c r="AI3534" s="7" t="n"/>
      <c r="AL3534" s="11" t="n"/>
      <c r="AN3534">
        <f>IF($E3534="","",IF(COUNTIF($E$2:$E3534,$E3534)=1,1,0))</f>
        <v/>
      </c>
      <c r="AO3534">
        <f>IF($AN3534=1,SUMPRODUCT(--($AR$2:$AR$4001&lt;$AR3534))+1,"")</f>
        <v/>
      </c>
      <c r="AP3534">
        <f>IF($E3534="","",IF(OR($U3534=TRUE(),$U3534="TRUE"),1,0))</f>
        <v/>
      </c>
      <c r="AQ3534">
        <f>IF($E3534="","",IF($AA3534="Yes",1,0))</f>
        <v/>
      </c>
      <c r="AR3534">
        <f>IF($AN3534=1,IFERROR(VALUE(MID($E3534,2,20)),1000000000)+ROW()/100000,"")</f>
        <v/>
      </c>
    </row>
    <row r="3535">
      <c r="G3535" s="11" t="n"/>
      <c r="Q3535" s="7">
        <f>IF($E3535="","",P3535*Y3535/100)</f>
        <v/>
      </c>
      <c r="R3535" s="7" t="n"/>
      <c r="X3535" s="7" t="n"/>
      <c r="Y3535" s="7" t="n"/>
      <c r="AB3535">
        <f>IF($E3535="","",IF($AQ3535=1,0,IF($AP3535=1,Settings!$C$6,Settings!$C$7))*100)</f>
        <v/>
      </c>
      <c r="AC3535" s="7">
        <f>IF($E3535="","",Y3535*AB3535/100)</f>
        <v/>
      </c>
      <c r="AD3535" s="7">
        <f>IF($E3535="","",Y3535-AC3535)</f>
        <v/>
      </c>
      <c r="AE3535" s="7">
        <f>IF($E3535="","",AD3535-Q3535)</f>
        <v/>
      </c>
      <c r="AI3535" s="7" t="n"/>
      <c r="AL3535" s="11" t="n"/>
      <c r="AN3535">
        <f>IF($E3535="","",IF(COUNTIF($E$2:$E3535,$E3535)=1,1,0))</f>
        <v/>
      </c>
      <c r="AO3535">
        <f>IF($AN3535=1,SUMPRODUCT(--($AR$2:$AR$4001&lt;$AR3535))+1,"")</f>
        <v/>
      </c>
      <c r="AP3535">
        <f>IF($E3535="","",IF(OR($U3535=TRUE(),$U3535="TRUE"),1,0))</f>
        <v/>
      </c>
      <c r="AQ3535">
        <f>IF($E3535="","",IF($AA3535="Yes",1,0))</f>
        <v/>
      </c>
      <c r="AR3535">
        <f>IF($AN3535=1,IFERROR(VALUE(MID($E3535,2,20)),1000000000)+ROW()/100000,"")</f>
        <v/>
      </c>
    </row>
    <row r="3536">
      <c r="G3536" s="11" t="n"/>
      <c r="Q3536" s="7">
        <f>IF($E3536="","",P3536*Y3536/100)</f>
        <v/>
      </c>
      <c r="R3536" s="7" t="n"/>
      <c r="X3536" s="7" t="n"/>
      <c r="Y3536" s="7" t="n"/>
      <c r="AB3536">
        <f>IF($E3536="","",IF($AQ3536=1,0,IF($AP3536=1,Settings!$C$6,Settings!$C$7))*100)</f>
        <v/>
      </c>
      <c r="AC3536" s="7">
        <f>IF($E3536="","",Y3536*AB3536/100)</f>
        <v/>
      </c>
      <c r="AD3536" s="7">
        <f>IF($E3536="","",Y3536-AC3536)</f>
        <v/>
      </c>
      <c r="AE3536" s="7">
        <f>IF($E3536="","",AD3536-Q3536)</f>
        <v/>
      </c>
      <c r="AI3536" s="7" t="n"/>
      <c r="AL3536" s="11" t="n"/>
      <c r="AN3536">
        <f>IF($E3536="","",IF(COUNTIF($E$2:$E3536,$E3536)=1,1,0))</f>
        <v/>
      </c>
      <c r="AO3536">
        <f>IF($AN3536=1,SUMPRODUCT(--($AR$2:$AR$4001&lt;$AR3536))+1,"")</f>
        <v/>
      </c>
      <c r="AP3536">
        <f>IF($E3536="","",IF(OR($U3536=TRUE(),$U3536="TRUE"),1,0))</f>
        <v/>
      </c>
      <c r="AQ3536">
        <f>IF($E3536="","",IF($AA3536="Yes",1,0))</f>
        <v/>
      </c>
      <c r="AR3536">
        <f>IF($AN3536=1,IFERROR(VALUE(MID($E3536,2,20)),1000000000)+ROW()/100000,"")</f>
        <v/>
      </c>
    </row>
    <row r="3537">
      <c r="G3537" s="11" t="n"/>
      <c r="Q3537" s="7">
        <f>IF($E3537="","",P3537*Y3537/100)</f>
        <v/>
      </c>
      <c r="R3537" s="7" t="n"/>
      <c r="X3537" s="7" t="n"/>
      <c r="Y3537" s="7" t="n"/>
      <c r="AB3537">
        <f>IF($E3537="","",IF($AQ3537=1,0,IF($AP3537=1,Settings!$C$6,Settings!$C$7))*100)</f>
        <v/>
      </c>
      <c r="AC3537" s="7">
        <f>IF($E3537="","",Y3537*AB3537/100)</f>
        <v/>
      </c>
      <c r="AD3537" s="7">
        <f>IF($E3537="","",Y3537-AC3537)</f>
        <v/>
      </c>
      <c r="AE3537" s="7">
        <f>IF($E3537="","",AD3537-Q3537)</f>
        <v/>
      </c>
      <c r="AI3537" s="7" t="n"/>
      <c r="AL3537" s="11" t="n"/>
      <c r="AN3537">
        <f>IF($E3537="","",IF(COUNTIF($E$2:$E3537,$E3537)=1,1,0))</f>
        <v/>
      </c>
      <c r="AO3537">
        <f>IF($AN3537=1,SUMPRODUCT(--($AR$2:$AR$4001&lt;$AR3537))+1,"")</f>
        <v/>
      </c>
      <c r="AP3537">
        <f>IF($E3537="","",IF(OR($U3537=TRUE(),$U3537="TRUE"),1,0))</f>
        <v/>
      </c>
      <c r="AQ3537">
        <f>IF($E3537="","",IF($AA3537="Yes",1,0))</f>
        <v/>
      </c>
      <c r="AR3537">
        <f>IF($AN3537=1,IFERROR(VALUE(MID($E3537,2,20)),1000000000)+ROW()/100000,"")</f>
        <v/>
      </c>
    </row>
    <row r="3538">
      <c r="G3538" s="11" t="n"/>
      <c r="Q3538" s="7">
        <f>IF($E3538="","",P3538*Y3538/100)</f>
        <v/>
      </c>
      <c r="R3538" s="7" t="n"/>
      <c r="X3538" s="7" t="n"/>
      <c r="Y3538" s="7" t="n"/>
      <c r="AB3538">
        <f>IF($E3538="","",IF($AQ3538=1,0,IF($AP3538=1,Settings!$C$6,Settings!$C$7))*100)</f>
        <v/>
      </c>
      <c r="AC3538" s="7">
        <f>IF($E3538="","",Y3538*AB3538/100)</f>
        <v/>
      </c>
      <c r="AD3538" s="7">
        <f>IF($E3538="","",Y3538-AC3538)</f>
        <v/>
      </c>
      <c r="AE3538" s="7">
        <f>IF($E3538="","",AD3538-Q3538)</f>
        <v/>
      </c>
      <c r="AI3538" s="7" t="n"/>
      <c r="AL3538" s="11" t="n"/>
      <c r="AN3538">
        <f>IF($E3538="","",IF(COUNTIF($E$2:$E3538,$E3538)=1,1,0))</f>
        <v/>
      </c>
      <c r="AO3538">
        <f>IF($AN3538=1,SUMPRODUCT(--($AR$2:$AR$4001&lt;$AR3538))+1,"")</f>
        <v/>
      </c>
      <c r="AP3538">
        <f>IF($E3538="","",IF(OR($U3538=TRUE(),$U3538="TRUE"),1,0))</f>
        <v/>
      </c>
      <c r="AQ3538">
        <f>IF($E3538="","",IF($AA3538="Yes",1,0))</f>
        <v/>
      </c>
      <c r="AR3538">
        <f>IF($AN3538=1,IFERROR(VALUE(MID($E3538,2,20)),1000000000)+ROW()/100000,"")</f>
        <v/>
      </c>
    </row>
    <row r="3539">
      <c r="G3539" s="11" t="n"/>
      <c r="Q3539" s="7">
        <f>IF($E3539="","",P3539*Y3539/100)</f>
        <v/>
      </c>
      <c r="R3539" s="7" t="n"/>
      <c r="X3539" s="7" t="n"/>
      <c r="Y3539" s="7" t="n"/>
      <c r="AB3539">
        <f>IF($E3539="","",IF($AQ3539=1,0,IF($AP3539=1,Settings!$C$6,Settings!$C$7))*100)</f>
        <v/>
      </c>
      <c r="AC3539" s="7">
        <f>IF($E3539="","",Y3539*AB3539/100)</f>
        <v/>
      </c>
      <c r="AD3539" s="7">
        <f>IF($E3539="","",Y3539-AC3539)</f>
        <v/>
      </c>
      <c r="AE3539" s="7">
        <f>IF($E3539="","",AD3539-Q3539)</f>
        <v/>
      </c>
      <c r="AI3539" s="7" t="n"/>
      <c r="AL3539" s="11" t="n"/>
      <c r="AN3539">
        <f>IF($E3539="","",IF(COUNTIF($E$2:$E3539,$E3539)=1,1,0))</f>
        <v/>
      </c>
      <c r="AO3539">
        <f>IF($AN3539=1,SUMPRODUCT(--($AR$2:$AR$4001&lt;$AR3539))+1,"")</f>
        <v/>
      </c>
      <c r="AP3539">
        <f>IF($E3539="","",IF(OR($U3539=TRUE(),$U3539="TRUE"),1,0))</f>
        <v/>
      </c>
      <c r="AQ3539">
        <f>IF($E3539="","",IF($AA3539="Yes",1,0))</f>
        <v/>
      </c>
      <c r="AR3539">
        <f>IF($AN3539=1,IFERROR(VALUE(MID($E3539,2,20)),1000000000)+ROW()/100000,"")</f>
        <v/>
      </c>
    </row>
    <row r="3540">
      <c r="G3540" s="11" t="n"/>
      <c r="Q3540" s="7">
        <f>IF($E3540="","",P3540*Y3540/100)</f>
        <v/>
      </c>
      <c r="R3540" s="7" t="n"/>
      <c r="X3540" s="7" t="n"/>
      <c r="Y3540" s="7" t="n"/>
      <c r="AB3540">
        <f>IF($E3540="","",IF($AQ3540=1,0,IF($AP3540=1,Settings!$C$6,Settings!$C$7))*100)</f>
        <v/>
      </c>
      <c r="AC3540" s="7">
        <f>IF($E3540="","",Y3540*AB3540/100)</f>
        <v/>
      </c>
      <c r="AD3540" s="7">
        <f>IF($E3540="","",Y3540-AC3540)</f>
        <v/>
      </c>
      <c r="AE3540" s="7">
        <f>IF($E3540="","",AD3540-Q3540)</f>
        <v/>
      </c>
      <c r="AI3540" s="7" t="n"/>
      <c r="AL3540" s="11" t="n"/>
      <c r="AN3540">
        <f>IF($E3540="","",IF(COUNTIF($E$2:$E3540,$E3540)=1,1,0))</f>
        <v/>
      </c>
      <c r="AO3540">
        <f>IF($AN3540=1,SUMPRODUCT(--($AR$2:$AR$4001&lt;$AR3540))+1,"")</f>
        <v/>
      </c>
      <c r="AP3540">
        <f>IF($E3540="","",IF(OR($U3540=TRUE(),$U3540="TRUE"),1,0))</f>
        <v/>
      </c>
      <c r="AQ3540">
        <f>IF($E3540="","",IF($AA3540="Yes",1,0))</f>
        <v/>
      </c>
      <c r="AR3540">
        <f>IF($AN3540=1,IFERROR(VALUE(MID($E3540,2,20)),1000000000)+ROW()/100000,"")</f>
        <v/>
      </c>
    </row>
    <row r="3541">
      <c r="G3541" s="11" t="n"/>
      <c r="Q3541" s="7">
        <f>IF($E3541="","",P3541*Y3541/100)</f>
        <v/>
      </c>
      <c r="R3541" s="7" t="n"/>
      <c r="X3541" s="7" t="n"/>
      <c r="Y3541" s="7" t="n"/>
      <c r="AB3541">
        <f>IF($E3541="","",IF($AQ3541=1,0,IF($AP3541=1,Settings!$C$6,Settings!$C$7))*100)</f>
        <v/>
      </c>
      <c r="AC3541" s="7">
        <f>IF($E3541="","",Y3541*AB3541/100)</f>
        <v/>
      </c>
      <c r="AD3541" s="7">
        <f>IF($E3541="","",Y3541-AC3541)</f>
        <v/>
      </c>
      <c r="AE3541" s="7">
        <f>IF($E3541="","",AD3541-Q3541)</f>
        <v/>
      </c>
      <c r="AI3541" s="7" t="n"/>
      <c r="AL3541" s="11" t="n"/>
      <c r="AN3541">
        <f>IF($E3541="","",IF(COUNTIF($E$2:$E3541,$E3541)=1,1,0))</f>
        <v/>
      </c>
      <c r="AO3541">
        <f>IF($AN3541=1,SUMPRODUCT(--($AR$2:$AR$4001&lt;$AR3541))+1,"")</f>
        <v/>
      </c>
      <c r="AP3541">
        <f>IF($E3541="","",IF(OR($U3541=TRUE(),$U3541="TRUE"),1,0))</f>
        <v/>
      </c>
      <c r="AQ3541">
        <f>IF($E3541="","",IF($AA3541="Yes",1,0))</f>
        <v/>
      </c>
      <c r="AR3541">
        <f>IF($AN3541=1,IFERROR(VALUE(MID($E3541,2,20)),1000000000)+ROW()/100000,"")</f>
        <v/>
      </c>
    </row>
    <row r="3542">
      <c r="G3542" s="11" t="n"/>
      <c r="Q3542" s="7">
        <f>IF($E3542="","",P3542*Y3542/100)</f>
        <v/>
      </c>
      <c r="R3542" s="7" t="n"/>
      <c r="X3542" s="7" t="n"/>
      <c r="Y3542" s="7" t="n"/>
      <c r="AB3542">
        <f>IF($E3542="","",IF($AQ3542=1,0,IF($AP3542=1,Settings!$C$6,Settings!$C$7))*100)</f>
        <v/>
      </c>
      <c r="AC3542" s="7">
        <f>IF($E3542="","",Y3542*AB3542/100)</f>
        <v/>
      </c>
      <c r="AD3542" s="7">
        <f>IF($E3542="","",Y3542-AC3542)</f>
        <v/>
      </c>
      <c r="AE3542" s="7">
        <f>IF($E3542="","",AD3542-Q3542)</f>
        <v/>
      </c>
      <c r="AI3542" s="7" t="n"/>
      <c r="AL3542" s="11" t="n"/>
      <c r="AN3542">
        <f>IF($E3542="","",IF(COUNTIF($E$2:$E3542,$E3542)=1,1,0))</f>
        <v/>
      </c>
      <c r="AO3542">
        <f>IF($AN3542=1,SUMPRODUCT(--($AR$2:$AR$4001&lt;$AR3542))+1,"")</f>
        <v/>
      </c>
      <c r="AP3542">
        <f>IF($E3542="","",IF(OR($U3542=TRUE(),$U3542="TRUE"),1,0))</f>
        <v/>
      </c>
      <c r="AQ3542">
        <f>IF($E3542="","",IF($AA3542="Yes",1,0))</f>
        <v/>
      </c>
      <c r="AR3542">
        <f>IF($AN3542=1,IFERROR(VALUE(MID($E3542,2,20)),1000000000)+ROW()/100000,"")</f>
        <v/>
      </c>
    </row>
    <row r="3543">
      <c r="G3543" s="11" t="n"/>
      <c r="Q3543" s="7">
        <f>IF($E3543="","",P3543*Y3543/100)</f>
        <v/>
      </c>
      <c r="R3543" s="7" t="n"/>
      <c r="X3543" s="7" t="n"/>
      <c r="Y3543" s="7" t="n"/>
      <c r="AB3543">
        <f>IF($E3543="","",IF($AQ3543=1,0,IF($AP3543=1,Settings!$C$6,Settings!$C$7))*100)</f>
        <v/>
      </c>
      <c r="AC3543" s="7">
        <f>IF($E3543="","",Y3543*AB3543/100)</f>
        <v/>
      </c>
      <c r="AD3543" s="7">
        <f>IF($E3543="","",Y3543-AC3543)</f>
        <v/>
      </c>
      <c r="AE3543" s="7">
        <f>IF($E3543="","",AD3543-Q3543)</f>
        <v/>
      </c>
      <c r="AI3543" s="7" t="n"/>
      <c r="AL3543" s="11" t="n"/>
      <c r="AN3543">
        <f>IF($E3543="","",IF(COUNTIF($E$2:$E3543,$E3543)=1,1,0))</f>
        <v/>
      </c>
      <c r="AO3543">
        <f>IF($AN3543=1,SUMPRODUCT(--($AR$2:$AR$4001&lt;$AR3543))+1,"")</f>
        <v/>
      </c>
      <c r="AP3543">
        <f>IF($E3543="","",IF(OR($U3543=TRUE(),$U3543="TRUE"),1,0))</f>
        <v/>
      </c>
      <c r="AQ3543">
        <f>IF($E3543="","",IF($AA3543="Yes",1,0))</f>
        <v/>
      </c>
      <c r="AR3543">
        <f>IF($AN3543=1,IFERROR(VALUE(MID($E3543,2,20)),1000000000)+ROW()/100000,"")</f>
        <v/>
      </c>
    </row>
    <row r="3544">
      <c r="G3544" s="11" t="n"/>
      <c r="Q3544" s="7">
        <f>IF($E3544="","",P3544*Y3544/100)</f>
        <v/>
      </c>
      <c r="R3544" s="7" t="n"/>
      <c r="X3544" s="7" t="n"/>
      <c r="Y3544" s="7" t="n"/>
      <c r="AB3544">
        <f>IF($E3544="","",IF($AQ3544=1,0,IF($AP3544=1,Settings!$C$6,Settings!$C$7))*100)</f>
        <v/>
      </c>
      <c r="AC3544" s="7">
        <f>IF($E3544="","",Y3544*AB3544/100)</f>
        <v/>
      </c>
      <c r="AD3544" s="7">
        <f>IF($E3544="","",Y3544-AC3544)</f>
        <v/>
      </c>
      <c r="AE3544" s="7">
        <f>IF($E3544="","",AD3544-Q3544)</f>
        <v/>
      </c>
      <c r="AI3544" s="7" t="n"/>
      <c r="AL3544" s="11" t="n"/>
      <c r="AN3544">
        <f>IF($E3544="","",IF(COUNTIF($E$2:$E3544,$E3544)=1,1,0))</f>
        <v/>
      </c>
      <c r="AO3544">
        <f>IF($AN3544=1,SUMPRODUCT(--($AR$2:$AR$4001&lt;$AR3544))+1,"")</f>
        <v/>
      </c>
      <c r="AP3544">
        <f>IF($E3544="","",IF(OR($U3544=TRUE(),$U3544="TRUE"),1,0))</f>
        <v/>
      </c>
      <c r="AQ3544">
        <f>IF($E3544="","",IF($AA3544="Yes",1,0))</f>
        <v/>
      </c>
      <c r="AR3544">
        <f>IF($AN3544=1,IFERROR(VALUE(MID($E3544,2,20)),1000000000)+ROW()/100000,"")</f>
        <v/>
      </c>
    </row>
    <row r="3545">
      <c r="G3545" s="11" t="n"/>
      <c r="Q3545" s="7">
        <f>IF($E3545="","",P3545*Y3545/100)</f>
        <v/>
      </c>
      <c r="R3545" s="7" t="n"/>
      <c r="X3545" s="7" t="n"/>
      <c r="Y3545" s="7" t="n"/>
      <c r="AB3545">
        <f>IF($E3545="","",IF($AQ3545=1,0,IF($AP3545=1,Settings!$C$6,Settings!$C$7))*100)</f>
        <v/>
      </c>
      <c r="AC3545" s="7">
        <f>IF($E3545="","",Y3545*AB3545/100)</f>
        <v/>
      </c>
      <c r="AD3545" s="7">
        <f>IF($E3545="","",Y3545-AC3545)</f>
        <v/>
      </c>
      <c r="AE3545" s="7">
        <f>IF($E3545="","",AD3545-Q3545)</f>
        <v/>
      </c>
      <c r="AI3545" s="7" t="n"/>
      <c r="AL3545" s="11" t="n"/>
      <c r="AN3545">
        <f>IF($E3545="","",IF(COUNTIF($E$2:$E3545,$E3545)=1,1,0))</f>
        <v/>
      </c>
      <c r="AO3545">
        <f>IF($AN3545=1,SUMPRODUCT(--($AR$2:$AR$4001&lt;$AR3545))+1,"")</f>
        <v/>
      </c>
      <c r="AP3545">
        <f>IF($E3545="","",IF(OR($U3545=TRUE(),$U3545="TRUE"),1,0))</f>
        <v/>
      </c>
      <c r="AQ3545">
        <f>IF($E3545="","",IF($AA3545="Yes",1,0))</f>
        <v/>
      </c>
      <c r="AR3545">
        <f>IF($AN3545=1,IFERROR(VALUE(MID($E3545,2,20)),1000000000)+ROW()/100000,"")</f>
        <v/>
      </c>
    </row>
    <row r="3546">
      <c r="G3546" s="11" t="n"/>
      <c r="Q3546" s="7">
        <f>IF($E3546="","",P3546*Y3546/100)</f>
        <v/>
      </c>
      <c r="R3546" s="7" t="n"/>
      <c r="X3546" s="7" t="n"/>
      <c r="Y3546" s="7" t="n"/>
      <c r="AB3546">
        <f>IF($E3546="","",IF($AQ3546=1,0,IF($AP3546=1,Settings!$C$6,Settings!$C$7))*100)</f>
        <v/>
      </c>
      <c r="AC3546" s="7">
        <f>IF($E3546="","",Y3546*AB3546/100)</f>
        <v/>
      </c>
      <c r="AD3546" s="7">
        <f>IF($E3546="","",Y3546-AC3546)</f>
        <v/>
      </c>
      <c r="AE3546" s="7">
        <f>IF($E3546="","",AD3546-Q3546)</f>
        <v/>
      </c>
      <c r="AI3546" s="7" t="n"/>
      <c r="AL3546" s="11" t="n"/>
      <c r="AN3546">
        <f>IF($E3546="","",IF(COUNTIF($E$2:$E3546,$E3546)=1,1,0))</f>
        <v/>
      </c>
      <c r="AO3546">
        <f>IF($AN3546=1,SUMPRODUCT(--($AR$2:$AR$4001&lt;$AR3546))+1,"")</f>
        <v/>
      </c>
      <c r="AP3546">
        <f>IF($E3546="","",IF(OR($U3546=TRUE(),$U3546="TRUE"),1,0))</f>
        <v/>
      </c>
      <c r="AQ3546">
        <f>IF($E3546="","",IF($AA3546="Yes",1,0))</f>
        <v/>
      </c>
      <c r="AR3546">
        <f>IF($AN3546=1,IFERROR(VALUE(MID($E3546,2,20)),1000000000)+ROW()/100000,"")</f>
        <v/>
      </c>
    </row>
    <row r="3547">
      <c r="G3547" s="11" t="n"/>
      <c r="Q3547" s="7">
        <f>IF($E3547="","",P3547*Y3547/100)</f>
        <v/>
      </c>
      <c r="R3547" s="7" t="n"/>
      <c r="X3547" s="7" t="n"/>
      <c r="Y3547" s="7" t="n"/>
      <c r="AB3547">
        <f>IF($E3547="","",IF($AQ3547=1,0,IF($AP3547=1,Settings!$C$6,Settings!$C$7))*100)</f>
        <v/>
      </c>
      <c r="AC3547" s="7">
        <f>IF($E3547="","",Y3547*AB3547/100)</f>
        <v/>
      </c>
      <c r="AD3547" s="7">
        <f>IF($E3547="","",Y3547-AC3547)</f>
        <v/>
      </c>
      <c r="AE3547" s="7">
        <f>IF($E3547="","",AD3547-Q3547)</f>
        <v/>
      </c>
      <c r="AI3547" s="7" t="n"/>
      <c r="AL3547" s="11" t="n"/>
      <c r="AN3547">
        <f>IF($E3547="","",IF(COUNTIF($E$2:$E3547,$E3547)=1,1,0))</f>
        <v/>
      </c>
      <c r="AO3547">
        <f>IF($AN3547=1,SUMPRODUCT(--($AR$2:$AR$4001&lt;$AR3547))+1,"")</f>
        <v/>
      </c>
      <c r="AP3547">
        <f>IF($E3547="","",IF(OR($U3547=TRUE(),$U3547="TRUE"),1,0))</f>
        <v/>
      </c>
      <c r="AQ3547">
        <f>IF($E3547="","",IF($AA3547="Yes",1,0))</f>
        <v/>
      </c>
      <c r="AR3547">
        <f>IF($AN3547=1,IFERROR(VALUE(MID($E3547,2,20)),1000000000)+ROW()/100000,"")</f>
        <v/>
      </c>
    </row>
    <row r="3548">
      <c r="G3548" s="11" t="n"/>
      <c r="Q3548" s="7">
        <f>IF($E3548="","",P3548*Y3548/100)</f>
        <v/>
      </c>
      <c r="R3548" s="7" t="n"/>
      <c r="X3548" s="7" t="n"/>
      <c r="Y3548" s="7" t="n"/>
      <c r="AB3548">
        <f>IF($E3548="","",IF($AQ3548=1,0,IF($AP3548=1,Settings!$C$6,Settings!$C$7))*100)</f>
        <v/>
      </c>
      <c r="AC3548" s="7">
        <f>IF($E3548="","",Y3548*AB3548/100)</f>
        <v/>
      </c>
      <c r="AD3548" s="7">
        <f>IF($E3548="","",Y3548-AC3548)</f>
        <v/>
      </c>
      <c r="AE3548" s="7">
        <f>IF($E3548="","",AD3548-Q3548)</f>
        <v/>
      </c>
      <c r="AI3548" s="7" t="n"/>
      <c r="AL3548" s="11" t="n"/>
      <c r="AN3548">
        <f>IF($E3548="","",IF(COUNTIF($E$2:$E3548,$E3548)=1,1,0))</f>
        <v/>
      </c>
      <c r="AO3548">
        <f>IF($AN3548=1,SUMPRODUCT(--($AR$2:$AR$4001&lt;$AR3548))+1,"")</f>
        <v/>
      </c>
      <c r="AP3548">
        <f>IF($E3548="","",IF(OR($U3548=TRUE(),$U3548="TRUE"),1,0))</f>
        <v/>
      </c>
      <c r="AQ3548">
        <f>IF($E3548="","",IF($AA3548="Yes",1,0))</f>
        <v/>
      </c>
      <c r="AR3548">
        <f>IF($AN3548=1,IFERROR(VALUE(MID($E3548,2,20)),1000000000)+ROW()/100000,"")</f>
        <v/>
      </c>
    </row>
    <row r="3549">
      <c r="G3549" s="11" t="n"/>
      <c r="Q3549" s="7">
        <f>IF($E3549="","",P3549*Y3549/100)</f>
        <v/>
      </c>
      <c r="R3549" s="7" t="n"/>
      <c r="X3549" s="7" t="n"/>
      <c r="Y3549" s="7" t="n"/>
      <c r="AB3549">
        <f>IF($E3549="","",IF($AQ3549=1,0,IF($AP3549=1,Settings!$C$6,Settings!$C$7))*100)</f>
        <v/>
      </c>
      <c r="AC3549" s="7">
        <f>IF($E3549="","",Y3549*AB3549/100)</f>
        <v/>
      </c>
      <c r="AD3549" s="7">
        <f>IF($E3549="","",Y3549-AC3549)</f>
        <v/>
      </c>
      <c r="AE3549" s="7">
        <f>IF($E3549="","",AD3549-Q3549)</f>
        <v/>
      </c>
      <c r="AI3549" s="7" t="n"/>
      <c r="AL3549" s="11" t="n"/>
      <c r="AN3549">
        <f>IF($E3549="","",IF(COUNTIF($E$2:$E3549,$E3549)=1,1,0))</f>
        <v/>
      </c>
      <c r="AO3549">
        <f>IF($AN3549=1,SUMPRODUCT(--($AR$2:$AR$4001&lt;$AR3549))+1,"")</f>
        <v/>
      </c>
      <c r="AP3549">
        <f>IF($E3549="","",IF(OR($U3549=TRUE(),$U3549="TRUE"),1,0))</f>
        <v/>
      </c>
      <c r="AQ3549">
        <f>IF($E3549="","",IF($AA3549="Yes",1,0))</f>
        <v/>
      </c>
      <c r="AR3549">
        <f>IF($AN3549=1,IFERROR(VALUE(MID($E3549,2,20)),1000000000)+ROW()/100000,"")</f>
        <v/>
      </c>
    </row>
    <row r="3550">
      <c r="G3550" s="11" t="n"/>
      <c r="Q3550" s="7">
        <f>IF($E3550="","",P3550*Y3550/100)</f>
        <v/>
      </c>
      <c r="R3550" s="7" t="n"/>
      <c r="X3550" s="7" t="n"/>
      <c r="Y3550" s="7" t="n"/>
      <c r="AB3550">
        <f>IF($E3550="","",IF($AQ3550=1,0,IF($AP3550=1,Settings!$C$6,Settings!$C$7))*100)</f>
        <v/>
      </c>
      <c r="AC3550" s="7">
        <f>IF($E3550="","",Y3550*AB3550/100)</f>
        <v/>
      </c>
      <c r="AD3550" s="7">
        <f>IF($E3550="","",Y3550-AC3550)</f>
        <v/>
      </c>
      <c r="AE3550" s="7">
        <f>IF($E3550="","",AD3550-Q3550)</f>
        <v/>
      </c>
      <c r="AI3550" s="7" t="n"/>
      <c r="AL3550" s="11" t="n"/>
      <c r="AN3550">
        <f>IF($E3550="","",IF(COUNTIF($E$2:$E3550,$E3550)=1,1,0))</f>
        <v/>
      </c>
      <c r="AO3550">
        <f>IF($AN3550=1,SUMPRODUCT(--($AR$2:$AR$4001&lt;$AR3550))+1,"")</f>
        <v/>
      </c>
      <c r="AP3550">
        <f>IF($E3550="","",IF(OR($U3550=TRUE(),$U3550="TRUE"),1,0))</f>
        <v/>
      </c>
      <c r="AQ3550">
        <f>IF($E3550="","",IF($AA3550="Yes",1,0))</f>
        <v/>
      </c>
      <c r="AR3550">
        <f>IF($AN3550=1,IFERROR(VALUE(MID($E3550,2,20)),1000000000)+ROW()/100000,"")</f>
        <v/>
      </c>
    </row>
    <row r="3551">
      <c r="G3551" s="11" t="n"/>
      <c r="Q3551" s="7">
        <f>IF($E3551="","",P3551*Y3551/100)</f>
        <v/>
      </c>
      <c r="R3551" s="7" t="n"/>
      <c r="X3551" s="7" t="n"/>
      <c r="Y3551" s="7" t="n"/>
      <c r="AB3551">
        <f>IF($E3551="","",IF($AQ3551=1,0,IF($AP3551=1,Settings!$C$6,Settings!$C$7))*100)</f>
        <v/>
      </c>
      <c r="AC3551" s="7">
        <f>IF($E3551="","",Y3551*AB3551/100)</f>
        <v/>
      </c>
      <c r="AD3551" s="7">
        <f>IF($E3551="","",Y3551-AC3551)</f>
        <v/>
      </c>
      <c r="AE3551" s="7">
        <f>IF($E3551="","",AD3551-Q3551)</f>
        <v/>
      </c>
      <c r="AI3551" s="7" t="n"/>
      <c r="AL3551" s="11" t="n"/>
      <c r="AN3551">
        <f>IF($E3551="","",IF(COUNTIF($E$2:$E3551,$E3551)=1,1,0))</f>
        <v/>
      </c>
      <c r="AO3551">
        <f>IF($AN3551=1,SUMPRODUCT(--($AR$2:$AR$4001&lt;$AR3551))+1,"")</f>
        <v/>
      </c>
      <c r="AP3551">
        <f>IF($E3551="","",IF(OR($U3551=TRUE(),$U3551="TRUE"),1,0))</f>
        <v/>
      </c>
      <c r="AQ3551">
        <f>IF($E3551="","",IF($AA3551="Yes",1,0))</f>
        <v/>
      </c>
      <c r="AR3551">
        <f>IF($AN3551=1,IFERROR(VALUE(MID($E3551,2,20)),1000000000)+ROW()/100000,"")</f>
        <v/>
      </c>
    </row>
    <row r="3552">
      <c r="G3552" s="11" t="n"/>
      <c r="Q3552" s="7">
        <f>IF($E3552="","",P3552*Y3552/100)</f>
        <v/>
      </c>
      <c r="R3552" s="7" t="n"/>
      <c r="X3552" s="7" t="n"/>
      <c r="Y3552" s="7" t="n"/>
      <c r="AB3552">
        <f>IF($E3552="","",IF($AQ3552=1,0,IF($AP3552=1,Settings!$C$6,Settings!$C$7))*100)</f>
        <v/>
      </c>
      <c r="AC3552" s="7">
        <f>IF($E3552="","",Y3552*AB3552/100)</f>
        <v/>
      </c>
      <c r="AD3552" s="7">
        <f>IF($E3552="","",Y3552-AC3552)</f>
        <v/>
      </c>
      <c r="AE3552" s="7">
        <f>IF($E3552="","",AD3552-Q3552)</f>
        <v/>
      </c>
      <c r="AI3552" s="7" t="n"/>
      <c r="AL3552" s="11" t="n"/>
      <c r="AN3552">
        <f>IF($E3552="","",IF(COUNTIF($E$2:$E3552,$E3552)=1,1,0))</f>
        <v/>
      </c>
      <c r="AO3552">
        <f>IF($AN3552=1,SUMPRODUCT(--($AR$2:$AR$4001&lt;$AR3552))+1,"")</f>
        <v/>
      </c>
      <c r="AP3552">
        <f>IF($E3552="","",IF(OR($U3552=TRUE(),$U3552="TRUE"),1,0))</f>
        <v/>
      </c>
      <c r="AQ3552">
        <f>IF($E3552="","",IF($AA3552="Yes",1,0))</f>
        <v/>
      </c>
      <c r="AR3552">
        <f>IF($AN3552=1,IFERROR(VALUE(MID($E3552,2,20)),1000000000)+ROW()/100000,"")</f>
        <v/>
      </c>
    </row>
    <row r="3553">
      <c r="G3553" s="11" t="n"/>
      <c r="Q3553" s="7">
        <f>IF($E3553="","",P3553*Y3553/100)</f>
        <v/>
      </c>
      <c r="R3553" s="7" t="n"/>
      <c r="X3553" s="7" t="n"/>
      <c r="Y3553" s="7" t="n"/>
      <c r="AB3553">
        <f>IF($E3553="","",IF($AQ3553=1,0,IF($AP3553=1,Settings!$C$6,Settings!$C$7))*100)</f>
        <v/>
      </c>
      <c r="AC3553" s="7">
        <f>IF($E3553="","",Y3553*AB3553/100)</f>
        <v/>
      </c>
      <c r="AD3553" s="7">
        <f>IF($E3553="","",Y3553-AC3553)</f>
        <v/>
      </c>
      <c r="AE3553" s="7">
        <f>IF($E3553="","",AD3553-Q3553)</f>
        <v/>
      </c>
      <c r="AI3553" s="7" t="n"/>
      <c r="AL3553" s="11" t="n"/>
      <c r="AN3553">
        <f>IF($E3553="","",IF(COUNTIF($E$2:$E3553,$E3553)=1,1,0))</f>
        <v/>
      </c>
      <c r="AO3553">
        <f>IF($AN3553=1,SUMPRODUCT(--($AR$2:$AR$4001&lt;$AR3553))+1,"")</f>
        <v/>
      </c>
      <c r="AP3553">
        <f>IF($E3553="","",IF(OR($U3553=TRUE(),$U3553="TRUE"),1,0))</f>
        <v/>
      </c>
      <c r="AQ3553">
        <f>IF($E3553="","",IF($AA3553="Yes",1,0))</f>
        <v/>
      </c>
      <c r="AR3553">
        <f>IF($AN3553=1,IFERROR(VALUE(MID($E3553,2,20)),1000000000)+ROW()/100000,"")</f>
        <v/>
      </c>
    </row>
    <row r="3554">
      <c r="G3554" s="11" t="n"/>
      <c r="Q3554" s="7">
        <f>IF($E3554="","",P3554*Y3554/100)</f>
        <v/>
      </c>
      <c r="R3554" s="7" t="n"/>
      <c r="X3554" s="7" t="n"/>
      <c r="Y3554" s="7" t="n"/>
      <c r="AB3554">
        <f>IF($E3554="","",IF($AQ3554=1,0,IF($AP3554=1,Settings!$C$6,Settings!$C$7))*100)</f>
        <v/>
      </c>
      <c r="AC3554" s="7">
        <f>IF($E3554="","",Y3554*AB3554/100)</f>
        <v/>
      </c>
      <c r="AD3554" s="7">
        <f>IF($E3554="","",Y3554-AC3554)</f>
        <v/>
      </c>
      <c r="AE3554" s="7">
        <f>IF($E3554="","",AD3554-Q3554)</f>
        <v/>
      </c>
      <c r="AI3554" s="7" t="n"/>
      <c r="AL3554" s="11" t="n"/>
      <c r="AN3554">
        <f>IF($E3554="","",IF(COUNTIF($E$2:$E3554,$E3554)=1,1,0))</f>
        <v/>
      </c>
      <c r="AO3554">
        <f>IF($AN3554=1,SUMPRODUCT(--($AR$2:$AR$4001&lt;$AR3554))+1,"")</f>
        <v/>
      </c>
      <c r="AP3554">
        <f>IF($E3554="","",IF(OR($U3554=TRUE(),$U3554="TRUE"),1,0))</f>
        <v/>
      </c>
      <c r="AQ3554">
        <f>IF($E3554="","",IF($AA3554="Yes",1,0))</f>
        <v/>
      </c>
      <c r="AR3554">
        <f>IF($AN3554=1,IFERROR(VALUE(MID($E3554,2,20)),1000000000)+ROW()/100000,"")</f>
        <v/>
      </c>
    </row>
    <row r="3555">
      <c r="G3555" s="11" t="n"/>
      <c r="Q3555" s="7">
        <f>IF($E3555="","",P3555*Y3555/100)</f>
        <v/>
      </c>
      <c r="R3555" s="7" t="n"/>
      <c r="X3555" s="7" t="n"/>
      <c r="Y3555" s="7" t="n"/>
      <c r="AB3555">
        <f>IF($E3555="","",IF($AQ3555=1,0,IF($AP3555=1,Settings!$C$6,Settings!$C$7))*100)</f>
        <v/>
      </c>
      <c r="AC3555" s="7">
        <f>IF($E3555="","",Y3555*AB3555/100)</f>
        <v/>
      </c>
      <c r="AD3555" s="7">
        <f>IF($E3555="","",Y3555-AC3555)</f>
        <v/>
      </c>
      <c r="AE3555" s="7">
        <f>IF($E3555="","",AD3555-Q3555)</f>
        <v/>
      </c>
      <c r="AI3555" s="7" t="n"/>
      <c r="AL3555" s="11" t="n"/>
      <c r="AN3555">
        <f>IF($E3555="","",IF(COUNTIF($E$2:$E3555,$E3555)=1,1,0))</f>
        <v/>
      </c>
      <c r="AO3555">
        <f>IF($AN3555=1,SUMPRODUCT(--($AR$2:$AR$4001&lt;$AR3555))+1,"")</f>
        <v/>
      </c>
      <c r="AP3555">
        <f>IF($E3555="","",IF(OR($U3555=TRUE(),$U3555="TRUE"),1,0))</f>
        <v/>
      </c>
      <c r="AQ3555">
        <f>IF($E3555="","",IF($AA3555="Yes",1,0))</f>
        <v/>
      </c>
      <c r="AR3555">
        <f>IF($AN3555=1,IFERROR(VALUE(MID($E3555,2,20)),1000000000)+ROW()/100000,"")</f>
        <v/>
      </c>
    </row>
    <row r="3556">
      <c r="G3556" s="11" t="n"/>
      <c r="Q3556" s="7">
        <f>IF($E3556="","",P3556*Y3556/100)</f>
        <v/>
      </c>
      <c r="R3556" s="7" t="n"/>
      <c r="X3556" s="7" t="n"/>
      <c r="Y3556" s="7" t="n"/>
      <c r="AB3556">
        <f>IF($E3556="","",IF($AQ3556=1,0,IF($AP3556=1,Settings!$C$6,Settings!$C$7))*100)</f>
        <v/>
      </c>
      <c r="AC3556" s="7">
        <f>IF($E3556="","",Y3556*AB3556/100)</f>
        <v/>
      </c>
      <c r="AD3556" s="7">
        <f>IF($E3556="","",Y3556-AC3556)</f>
        <v/>
      </c>
      <c r="AE3556" s="7">
        <f>IF($E3556="","",AD3556-Q3556)</f>
        <v/>
      </c>
      <c r="AI3556" s="7" t="n"/>
      <c r="AL3556" s="11" t="n"/>
      <c r="AN3556">
        <f>IF($E3556="","",IF(COUNTIF($E$2:$E3556,$E3556)=1,1,0))</f>
        <v/>
      </c>
      <c r="AO3556">
        <f>IF($AN3556=1,SUMPRODUCT(--($AR$2:$AR$4001&lt;$AR3556))+1,"")</f>
        <v/>
      </c>
      <c r="AP3556">
        <f>IF($E3556="","",IF(OR($U3556=TRUE(),$U3556="TRUE"),1,0))</f>
        <v/>
      </c>
      <c r="AQ3556">
        <f>IF($E3556="","",IF($AA3556="Yes",1,0))</f>
        <v/>
      </c>
      <c r="AR3556">
        <f>IF($AN3556=1,IFERROR(VALUE(MID($E3556,2,20)),1000000000)+ROW()/100000,"")</f>
        <v/>
      </c>
    </row>
    <row r="3557">
      <c r="G3557" s="11" t="n"/>
      <c r="Q3557" s="7">
        <f>IF($E3557="","",P3557*Y3557/100)</f>
        <v/>
      </c>
      <c r="R3557" s="7" t="n"/>
      <c r="X3557" s="7" t="n"/>
      <c r="Y3557" s="7" t="n"/>
      <c r="AB3557">
        <f>IF($E3557="","",IF($AQ3557=1,0,IF($AP3557=1,Settings!$C$6,Settings!$C$7))*100)</f>
        <v/>
      </c>
      <c r="AC3557" s="7">
        <f>IF($E3557="","",Y3557*AB3557/100)</f>
        <v/>
      </c>
      <c r="AD3557" s="7">
        <f>IF($E3557="","",Y3557-AC3557)</f>
        <v/>
      </c>
      <c r="AE3557" s="7">
        <f>IF($E3557="","",AD3557-Q3557)</f>
        <v/>
      </c>
      <c r="AI3557" s="7" t="n"/>
      <c r="AL3557" s="11" t="n"/>
      <c r="AN3557">
        <f>IF($E3557="","",IF(COUNTIF($E$2:$E3557,$E3557)=1,1,0))</f>
        <v/>
      </c>
      <c r="AO3557">
        <f>IF($AN3557=1,SUMPRODUCT(--($AR$2:$AR$4001&lt;$AR3557))+1,"")</f>
        <v/>
      </c>
      <c r="AP3557">
        <f>IF($E3557="","",IF(OR($U3557=TRUE(),$U3557="TRUE"),1,0))</f>
        <v/>
      </c>
      <c r="AQ3557">
        <f>IF($E3557="","",IF($AA3557="Yes",1,0))</f>
        <v/>
      </c>
      <c r="AR3557">
        <f>IF($AN3557=1,IFERROR(VALUE(MID($E3557,2,20)),1000000000)+ROW()/100000,"")</f>
        <v/>
      </c>
    </row>
    <row r="3558">
      <c r="G3558" s="11" t="n"/>
      <c r="Q3558" s="7">
        <f>IF($E3558="","",P3558*Y3558/100)</f>
        <v/>
      </c>
      <c r="R3558" s="7" t="n"/>
      <c r="X3558" s="7" t="n"/>
      <c r="Y3558" s="7" t="n"/>
      <c r="AB3558">
        <f>IF($E3558="","",IF($AQ3558=1,0,IF($AP3558=1,Settings!$C$6,Settings!$C$7))*100)</f>
        <v/>
      </c>
      <c r="AC3558" s="7">
        <f>IF($E3558="","",Y3558*AB3558/100)</f>
        <v/>
      </c>
      <c r="AD3558" s="7">
        <f>IF($E3558="","",Y3558-AC3558)</f>
        <v/>
      </c>
      <c r="AE3558" s="7">
        <f>IF($E3558="","",AD3558-Q3558)</f>
        <v/>
      </c>
      <c r="AI3558" s="7" t="n"/>
      <c r="AL3558" s="11" t="n"/>
      <c r="AN3558">
        <f>IF($E3558="","",IF(COUNTIF($E$2:$E3558,$E3558)=1,1,0))</f>
        <v/>
      </c>
      <c r="AO3558">
        <f>IF($AN3558=1,SUMPRODUCT(--($AR$2:$AR$4001&lt;$AR3558))+1,"")</f>
        <v/>
      </c>
      <c r="AP3558">
        <f>IF($E3558="","",IF(OR($U3558=TRUE(),$U3558="TRUE"),1,0))</f>
        <v/>
      </c>
      <c r="AQ3558">
        <f>IF($E3558="","",IF($AA3558="Yes",1,0))</f>
        <v/>
      </c>
      <c r="AR3558">
        <f>IF($AN3558=1,IFERROR(VALUE(MID($E3558,2,20)),1000000000)+ROW()/100000,"")</f>
        <v/>
      </c>
    </row>
    <row r="3559">
      <c r="G3559" s="11" t="n"/>
      <c r="Q3559" s="7">
        <f>IF($E3559="","",P3559*Y3559/100)</f>
        <v/>
      </c>
      <c r="R3559" s="7" t="n"/>
      <c r="X3559" s="7" t="n"/>
      <c r="Y3559" s="7" t="n"/>
      <c r="AB3559">
        <f>IF($E3559="","",IF($AQ3559=1,0,IF($AP3559=1,Settings!$C$6,Settings!$C$7))*100)</f>
        <v/>
      </c>
      <c r="AC3559" s="7">
        <f>IF($E3559="","",Y3559*AB3559/100)</f>
        <v/>
      </c>
      <c r="AD3559" s="7">
        <f>IF($E3559="","",Y3559-AC3559)</f>
        <v/>
      </c>
      <c r="AE3559" s="7">
        <f>IF($E3559="","",AD3559-Q3559)</f>
        <v/>
      </c>
      <c r="AI3559" s="7" t="n"/>
      <c r="AL3559" s="11" t="n"/>
      <c r="AN3559">
        <f>IF($E3559="","",IF(COUNTIF($E$2:$E3559,$E3559)=1,1,0))</f>
        <v/>
      </c>
      <c r="AO3559">
        <f>IF($AN3559=1,SUMPRODUCT(--($AR$2:$AR$4001&lt;$AR3559))+1,"")</f>
        <v/>
      </c>
      <c r="AP3559">
        <f>IF($E3559="","",IF(OR($U3559=TRUE(),$U3559="TRUE"),1,0))</f>
        <v/>
      </c>
      <c r="AQ3559">
        <f>IF($E3559="","",IF($AA3559="Yes",1,0))</f>
        <v/>
      </c>
      <c r="AR3559">
        <f>IF($AN3559=1,IFERROR(VALUE(MID($E3559,2,20)),1000000000)+ROW()/100000,"")</f>
        <v/>
      </c>
    </row>
    <row r="3560">
      <c r="G3560" s="11" t="n"/>
      <c r="Q3560" s="7">
        <f>IF($E3560="","",P3560*Y3560/100)</f>
        <v/>
      </c>
      <c r="R3560" s="7" t="n"/>
      <c r="X3560" s="7" t="n"/>
      <c r="Y3560" s="7" t="n"/>
      <c r="AB3560">
        <f>IF($E3560="","",IF($AQ3560=1,0,IF($AP3560=1,Settings!$C$6,Settings!$C$7))*100)</f>
        <v/>
      </c>
      <c r="AC3560" s="7">
        <f>IF($E3560="","",Y3560*AB3560/100)</f>
        <v/>
      </c>
      <c r="AD3560" s="7">
        <f>IF($E3560="","",Y3560-AC3560)</f>
        <v/>
      </c>
      <c r="AE3560" s="7">
        <f>IF($E3560="","",AD3560-Q3560)</f>
        <v/>
      </c>
      <c r="AI3560" s="7" t="n"/>
      <c r="AL3560" s="11" t="n"/>
      <c r="AN3560">
        <f>IF($E3560="","",IF(COUNTIF($E$2:$E3560,$E3560)=1,1,0))</f>
        <v/>
      </c>
      <c r="AO3560">
        <f>IF($AN3560=1,SUMPRODUCT(--($AR$2:$AR$4001&lt;$AR3560))+1,"")</f>
        <v/>
      </c>
      <c r="AP3560">
        <f>IF($E3560="","",IF(OR($U3560=TRUE(),$U3560="TRUE"),1,0))</f>
        <v/>
      </c>
      <c r="AQ3560">
        <f>IF($E3560="","",IF($AA3560="Yes",1,0))</f>
        <v/>
      </c>
      <c r="AR3560">
        <f>IF($AN3560=1,IFERROR(VALUE(MID($E3560,2,20)),1000000000)+ROW()/100000,"")</f>
        <v/>
      </c>
    </row>
    <row r="3561">
      <c r="G3561" s="11" t="n"/>
      <c r="Q3561" s="7">
        <f>IF($E3561="","",P3561*Y3561/100)</f>
        <v/>
      </c>
      <c r="R3561" s="7" t="n"/>
      <c r="X3561" s="7" t="n"/>
      <c r="Y3561" s="7" t="n"/>
      <c r="AB3561">
        <f>IF($E3561="","",IF($AQ3561=1,0,IF($AP3561=1,Settings!$C$6,Settings!$C$7))*100)</f>
        <v/>
      </c>
      <c r="AC3561" s="7">
        <f>IF($E3561="","",Y3561*AB3561/100)</f>
        <v/>
      </c>
      <c r="AD3561" s="7">
        <f>IF($E3561="","",Y3561-AC3561)</f>
        <v/>
      </c>
      <c r="AE3561" s="7">
        <f>IF($E3561="","",AD3561-Q3561)</f>
        <v/>
      </c>
      <c r="AI3561" s="7" t="n"/>
      <c r="AL3561" s="11" t="n"/>
      <c r="AN3561">
        <f>IF($E3561="","",IF(COUNTIF($E$2:$E3561,$E3561)=1,1,0))</f>
        <v/>
      </c>
      <c r="AO3561">
        <f>IF($AN3561=1,SUMPRODUCT(--($AR$2:$AR$4001&lt;$AR3561))+1,"")</f>
        <v/>
      </c>
      <c r="AP3561">
        <f>IF($E3561="","",IF(OR($U3561=TRUE(),$U3561="TRUE"),1,0))</f>
        <v/>
      </c>
      <c r="AQ3561">
        <f>IF($E3561="","",IF($AA3561="Yes",1,0))</f>
        <v/>
      </c>
      <c r="AR3561">
        <f>IF($AN3561=1,IFERROR(VALUE(MID($E3561,2,20)),1000000000)+ROW()/100000,"")</f>
        <v/>
      </c>
    </row>
    <row r="3562">
      <c r="G3562" s="11" t="n"/>
      <c r="Q3562" s="7">
        <f>IF($E3562="","",P3562*Y3562/100)</f>
        <v/>
      </c>
      <c r="R3562" s="7" t="n"/>
      <c r="X3562" s="7" t="n"/>
      <c r="Y3562" s="7" t="n"/>
      <c r="AB3562">
        <f>IF($E3562="","",IF($AQ3562=1,0,IF($AP3562=1,Settings!$C$6,Settings!$C$7))*100)</f>
        <v/>
      </c>
      <c r="AC3562" s="7">
        <f>IF($E3562="","",Y3562*AB3562/100)</f>
        <v/>
      </c>
      <c r="AD3562" s="7">
        <f>IF($E3562="","",Y3562-AC3562)</f>
        <v/>
      </c>
      <c r="AE3562" s="7">
        <f>IF($E3562="","",AD3562-Q3562)</f>
        <v/>
      </c>
      <c r="AI3562" s="7" t="n"/>
      <c r="AL3562" s="11" t="n"/>
      <c r="AN3562">
        <f>IF($E3562="","",IF(COUNTIF($E$2:$E3562,$E3562)=1,1,0))</f>
        <v/>
      </c>
      <c r="AO3562">
        <f>IF($AN3562=1,SUMPRODUCT(--($AR$2:$AR$4001&lt;$AR3562))+1,"")</f>
        <v/>
      </c>
      <c r="AP3562">
        <f>IF($E3562="","",IF(OR($U3562=TRUE(),$U3562="TRUE"),1,0))</f>
        <v/>
      </c>
      <c r="AQ3562">
        <f>IF($E3562="","",IF($AA3562="Yes",1,0))</f>
        <v/>
      </c>
      <c r="AR3562">
        <f>IF($AN3562=1,IFERROR(VALUE(MID($E3562,2,20)),1000000000)+ROW()/100000,"")</f>
        <v/>
      </c>
    </row>
    <row r="3563">
      <c r="G3563" s="11" t="n"/>
      <c r="Q3563" s="7">
        <f>IF($E3563="","",P3563*Y3563/100)</f>
        <v/>
      </c>
      <c r="R3563" s="7" t="n"/>
      <c r="X3563" s="7" t="n"/>
      <c r="Y3563" s="7" t="n"/>
      <c r="AB3563">
        <f>IF($E3563="","",IF($AQ3563=1,0,IF($AP3563=1,Settings!$C$6,Settings!$C$7))*100)</f>
        <v/>
      </c>
      <c r="AC3563" s="7">
        <f>IF($E3563="","",Y3563*AB3563/100)</f>
        <v/>
      </c>
      <c r="AD3563" s="7">
        <f>IF($E3563="","",Y3563-AC3563)</f>
        <v/>
      </c>
      <c r="AE3563" s="7">
        <f>IF($E3563="","",AD3563-Q3563)</f>
        <v/>
      </c>
      <c r="AI3563" s="7" t="n"/>
      <c r="AL3563" s="11" t="n"/>
      <c r="AN3563">
        <f>IF($E3563="","",IF(COUNTIF($E$2:$E3563,$E3563)=1,1,0))</f>
        <v/>
      </c>
      <c r="AO3563">
        <f>IF($AN3563=1,SUMPRODUCT(--($AR$2:$AR$4001&lt;$AR3563))+1,"")</f>
        <v/>
      </c>
      <c r="AP3563">
        <f>IF($E3563="","",IF(OR($U3563=TRUE(),$U3563="TRUE"),1,0))</f>
        <v/>
      </c>
      <c r="AQ3563">
        <f>IF($E3563="","",IF($AA3563="Yes",1,0))</f>
        <v/>
      </c>
      <c r="AR3563">
        <f>IF($AN3563=1,IFERROR(VALUE(MID($E3563,2,20)),1000000000)+ROW()/100000,"")</f>
        <v/>
      </c>
    </row>
    <row r="3564">
      <c r="G3564" s="11" t="n"/>
      <c r="Q3564" s="7">
        <f>IF($E3564="","",P3564*Y3564/100)</f>
        <v/>
      </c>
      <c r="R3564" s="7" t="n"/>
      <c r="X3564" s="7" t="n"/>
      <c r="Y3564" s="7" t="n"/>
      <c r="AB3564">
        <f>IF($E3564="","",IF($AQ3564=1,0,IF($AP3564=1,Settings!$C$6,Settings!$C$7))*100)</f>
        <v/>
      </c>
      <c r="AC3564" s="7">
        <f>IF($E3564="","",Y3564*AB3564/100)</f>
        <v/>
      </c>
      <c r="AD3564" s="7">
        <f>IF($E3564="","",Y3564-AC3564)</f>
        <v/>
      </c>
      <c r="AE3564" s="7">
        <f>IF($E3564="","",AD3564-Q3564)</f>
        <v/>
      </c>
      <c r="AI3564" s="7" t="n"/>
      <c r="AL3564" s="11" t="n"/>
      <c r="AN3564">
        <f>IF($E3564="","",IF(COUNTIF($E$2:$E3564,$E3564)=1,1,0))</f>
        <v/>
      </c>
      <c r="AO3564">
        <f>IF($AN3564=1,SUMPRODUCT(--($AR$2:$AR$4001&lt;$AR3564))+1,"")</f>
        <v/>
      </c>
      <c r="AP3564">
        <f>IF($E3564="","",IF(OR($U3564=TRUE(),$U3564="TRUE"),1,0))</f>
        <v/>
      </c>
      <c r="AQ3564">
        <f>IF($E3564="","",IF($AA3564="Yes",1,0))</f>
        <v/>
      </c>
      <c r="AR3564">
        <f>IF($AN3564=1,IFERROR(VALUE(MID($E3564,2,20)),1000000000)+ROW()/100000,"")</f>
        <v/>
      </c>
    </row>
    <row r="3565">
      <c r="G3565" s="11" t="n"/>
      <c r="Q3565" s="7">
        <f>IF($E3565="","",P3565*Y3565/100)</f>
        <v/>
      </c>
      <c r="R3565" s="7" t="n"/>
      <c r="X3565" s="7" t="n"/>
      <c r="Y3565" s="7" t="n"/>
      <c r="AB3565">
        <f>IF($E3565="","",IF($AQ3565=1,0,IF($AP3565=1,Settings!$C$6,Settings!$C$7))*100)</f>
        <v/>
      </c>
      <c r="AC3565" s="7">
        <f>IF($E3565="","",Y3565*AB3565/100)</f>
        <v/>
      </c>
      <c r="AD3565" s="7">
        <f>IF($E3565="","",Y3565-AC3565)</f>
        <v/>
      </c>
      <c r="AE3565" s="7">
        <f>IF($E3565="","",AD3565-Q3565)</f>
        <v/>
      </c>
      <c r="AI3565" s="7" t="n"/>
      <c r="AL3565" s="11" t="n"/>
      <c r="AN3565">
        <f>IF($E3565="","",IF(COUNTIF($E$2:$E3565,$E3565)=1,1,0))</f>
        <v/>
      </c>
      <c r="AO3565">
        <f>IF($AN3565=1,SUMPRODUCT(--($AR$2:$AR$4001&lt;$AR3565))+1,"")</f>
        <v/>
      </c>
      <c r="AP3565">
        <f>IF($E3565="","",IF(OR($U3565=TRUE(),$U3565="TRUE"),1,0))</f>
        <v/>
      </c>
      <c r="AQ3565">
        <f>IF($E3565="","",IF($AA3565="Yes",1,0))</f>
        <v/>
      </c>
      <c r="AR3565">
        <f>IF($AN3565=1,IFERROR(VALUE(MID($E3565,2,20)),1000000000)+ROW()/100000,"")</f>
        <v/>
      </c>
    </row>
    <row r="3566">
      <c r="G3566" s="11" t="n"/>
      <c r="Q3566" s="7">
        <f>IF($E3566="","",P3566*Y3566/100)</f>
        <v/>
      </c>
      <c r="R3566" s="7" t="n"/>
      <c r="X3566" s="7" t="n"/>
      <c r="Y3566" s="7" t="n"/>
      <c r="AB3566">
        <f>IF($E3566="","",IF($AQ3566=1,0,IF($AP3566=1,Settings!$C$6,Settings!$C$7))*100)</f>
        <v/>
      </c>
      <c r="AC3566" s="7">
        <f>IF($E3566="","",Y3566*AB3566/100)</f>
        <v/>
      </c>
      <c r="AD3566" s="7">
        <f>IF($E3566="","",Y3566-AC3566)</f>
        <v/>
      </c>
      <c r="AE3566" s="7">
        <f>IF($E3566="","",AD3566-Q3566)</f>
        <v/>
      </c>
      <c r="AI3566" s="7" t="n"/>
      <c r="AL3566" s="11" t="n"/>
      <c r="AN3566">
        <f>IF($E3566="","",IF(COUNTIF($E$2:$E3566,$E3566)=1,1,0))</f>
        <v/>
      </c>
      <c r="AO3566">
        <f>IF($AN3566=1,SUMPRODUCT(--($AR$2:$AR$4001&lt;$AR3566))+1,"")</f>
        <v/>
      </c>
      <c r="AP3566">
        <f>IF($E3566="","",IF(OR($U3566=TRUE(),$U3566="TRUE"),1,0))</f>
        <v/>
      </c>
      <c r="AQ3566">
        <f>IF($E3566="","",IF($AA3566="Yes",1,0))</f>
        <v/>
      </c>
      <c r="AR3566">
        <f>IF($AN3566=1,IFERROR(VALUE(MID($E3566,2,20)),1000000000)+ROW()/100000,"")</f>
        <v/>
      </c>
    </row>
    <row r="3567">
      <c r="G3567" s="11" t="n"/>
      <c r="Q3567" s="7">
        <f>IF($E3567="","",P3567*Y3567/100)</f>
        <v/>
      </c>
      <c r="R3567" s="7" t="n"/>
      <c r="X3567" s="7" t="n"/>
      <c r="Y3567" s="7" t="n"/>
      <c r="AB3567">
        <f>IF($E3567="","",IF($AQ3567=1,0,IF($AP3567=1,Settings!$C$6,Settings!$C$7))*100)</f>
        <v/>
      </c>
      <c r="AC3567" s="7">
        <f>IF($E3567="","",Y3567*AB3567/100)</f>
        <v/>
      </c>
      <c r="AD3567" s="7">
        <f>IF($E3567="","",Y3567-AC3567)</f>
        <v/>
      </c>
      <c r="AE3567" s="7">
        <f>IF($E3567="","",AD3567-Q3567)</f>
        <v/>
      </c>
      <c r="AI3567" s="7" t="n"/>
      <c r="AL3567" s="11" t="n"/>
      <c r="AN3567">
        <f>IF($E3567="","",IF(COUNTIF($E$2:$E3567,$E3567)=1,1,0))</f>
        <v/>
      </c>
      <c r="AO3567">
        <f>IF($AN3567=1,SUMPRODUCT(--($AR$2:$AR$4001&lt;$AR3567))+1,"")</f>
        <v/>
      </c>
      <c r="AP3567">
        <f>IF($E3567="","",IF(OR($U3567=TRUE(),$U3567="TRUE"),1,0))</f>
        <v/>
      </c>
      <c r="AQ3567">
        <f>IF($E3567="","",IF($AA3567="Yes",1,0))</f>
        <v/>
      </c>
      <c r="AR3567">
        <f>IF($AN3567=1,IFERROR(VALUE(MID($E3567,2,20)),1000000000)+ROW()/100000,"")</f>
        <v/>
      </c>
    </row>
    <row r="3568">
      <c r="G3568" s="11" t="n"/>
      <c r="Q3568" s="7">
        <f>IF($E3568="","",P3568*Y3568/100)</f>
        <v/>
      </c>
      <c r="R3568" s="7" t="n"/>
      <c r="X3568" s="7" t="n"/>
      <c r="Y3568" s="7" t="n"/>
      <c r="AB3568">
        <f>IF($E3568="","",IF($AQ3568=1,0,IF($AP3568=1,Settings!$C$6,Settings!$C$7))*100)</f>
        <v/>
      </c>
      <c r="AC3568" s="7">
        <f>IF($E3568="","",Y3568*AB3568/100)</f>
        <v/>
      </c>
      <c r="AD3568" s="7">
        <f>IF($E3568="","",Y3568-AC3568)</f>
        <v/>
      </c>
      <c r="AE3568" s="7">
        <f>IF($E3568="","",AD3568-Q3568)</f>
        <v/>
      </c>
      <c r="AI3568" s="7" t="n"/>
      <c r="AL3568" s="11" t="n"/>
      <c r="AN3568">
        <f>IF($E3568="","",IF(COUNTIF($E$2:$E3568,$E3568)=1,1,0))</f>
        <v/>
      </c>
      <c r="AO3568">
        <f>IF($AN3568=1,SUMPRODUCT(--($AR$2:$AR$4001&lt;$AR3568))+1,"")</f>
        <v/>
      </c>
      <c r="AP3568">
        <f>IF($E3568="","",IF(OR($U3568=TRUE(),$U3568="TRUE"),1,0))</f>
        <v/>
      </c>
      <c r="AQ3568">
        <f>IF($E3568="","",IF($AA3568="Yes",1,0))</f>
        <v/>
      </c>
      <c r="AR3568">
        <f>IF($AN3568=1,IFERROR(VALUE(MID($E3568,2,20)),1000000000)+ROW()/100000,"")</f>
        <v/>
      </c>
    </row>
    <row r="3569">
      <c r="G3569" s="11" t="n"/>
      <c r="Q3569" s="7">
        <f>IF($E3569="","",P3569*Y3569/100)</f>
        <v/>
      </c>
      <c r="R3569" s="7" t="n"/>
      <c r="X3569" s="7" t="n"/>
      <c r="Y3569" s="7" t="n"/>
      <c r="AB3569">
        <f>IF($E3569="","",IF($AQ3569=1,0,IF($AP3569=1,Settings!$C$6,Settings!$C$7))*100)</f>
        <v/>
      </c>
      <c r="AC3569" s="7">
        <f>IF($E3569="","",Y3569*AB3569/100)</f>
        <v/>
      </c>
      <c r="AD3569" s="7">
        <f>IF($E3569="","",Y3569-AC3569)</f>
        <v/>
      </c>
      <c r="AE3569" s="7">
        <f>IF($E3569="","",AD3569-Q3569)</f>
        <v/>
      </c>
      <c r="AI3569" s="7" t="n"/>
      <c r="AL3569" s="11" t="n"/>
      <c r="AN3569">
        <f>IF($E3569="","",IF(COUNTIF($E$2:$E3569,$E3569)=1,1,0))</f>
        <v/>
      </c>
      <c r="AO3569">
        <f>IF($AN3569=1,SUMPRODUCT(--($AR$2:$AR$4001&lt;$AR3569))+1,"")</f>
        <v/>
      </c>
      <c r="AP3569">
        <f>IF($E3569="","",IF(OR($U3569=TRUE(),$U3569="TRUE"),1,0))</f>
        <v/>
      </c>
      <c r="AQ3569">
        <f>IF($E3569="","",IF($AA3569="Yes",1,0))</f>
        <v/>
      </c>
      <c r="AR3569">
        <f>IF($AN3569=1,IFERROR(VALUE(MID($E3569,2,20)),1000000000)+ROW()/100000,"")</f>
        <v/>
      </c>
    </row>
    <row r="3570">
      <c r="G3570" s="11" t="n"/>
      <c r="Q3570" s="7">
        <f>IF($E3570="","",P3570*Y3570/100)</f>
        <v/>
      </c>
      <c r="R3570" s="7" t="n"/>
      <c r="X3570" s="7" t="n"/>
      <c r="Y3570" s="7" t="n"/>
      <c r="AB3570">
        <f>IF($E3570="","",IF($AQ3570=1,0,IF($AP3570=1,Settings!$C$6,Settings!$C$7))*100)</f>
        <v/>
      </c>
      <c r="AC3570" s="7">
        <f>IF($E3570="","",Y3570*AB3570/100)</f>
        <v/>
      </c>
      <c r="AD3570" s="7">
        <f>IF($E3570="","",Y3570-AC3570)</f>
        <v/>
      </c>
      <c r="AE3570" s="7">
        <f>IF($E3570="","",AD3570-Q3570)</f>
        <v/>
      </c>
      <c r="AI3570" s="7" t="n"/>
      <c r="AL3570" s="11" t="n"/>
      <c r="AN3570">
        <f>IF($E3570="","",IF(COUNTIF($E$2:$E3570,$E3570)=1,1,0))</f>
        <v/>
      </c>
      <c r="AO3570">
        <f>IF($AN3570=1,SUMPRODUCT(--($AR$2:$AR$4001&lt;$AR3570))+1,"")</f>
        <v/>
      </c>
      <c r="AP3570">
        <f>IF($E3570="","",IF(OR($U3570=TRUE(),$U3570="TRUE"),1,0))</f>
        <v/>
      </c>
      <c r="AQ3570">
        <f>IF($E3570="","",IF($AA3570="Yes",1,0))</f>
        <v/>
      </c>
      <c r="AR3570">
        <f>IF($AN3570=1,IFERROR(VALUE(MID($E3570,2,20)),1000000000)+ROW()/100000,"")</f>
        <v/>
      </c>
    </row>
    <row r="3571">
      <c r="G3571" s="11" t="n"/>
      <c r="Q3571" s="7">
        <f>IF($E3571="","",P3571*Y3571/100)</f>
        <v/>
      </c>
      <c r="R3571" s="7" t="n"/>
      <c r="X3571" s="7" t="n"/>
      <c r="Y3571" s="7" t="n"/>
      <c r="AB3571">
        <f>IF($E3571="","",IF($AQ3571=1,0,IF($AP3571=1,Settings!$C$6,Settings!$C$7))*100)</f>
        <v/>
      </c>
      <c r="AC3571" s="7">
        <f>IF($E3571="","",Y3571*AB3571/100)</f>
        <v/>
      </c>
      <c r="AD3571" s="7">
        <f>IF($E3571="","",Y3571-AC3571)</f>
        <v/>
      </c>
      <c r="AE3571" s="7">
        <f>IF($E3571="","",AD3571-Q3571)</f>
        <v/>
      </c>
      <c r="AI3571" s="7" t="n"/>
      <c r="AL3571" s="11" t="n"/>
      <c r="AN3571">
        <f>IF($E3571="","",IF(COUNTIF($E$2:$E3571,$E3571)=1,1,0))</f>
        <v/>
      </c>
      <c r="AO3571">
        <f>IF($AN3571=1,SUMPRODUCT(--($AR$2:$AR$4001&lt;$AR3571))+1,"")</f>
        <v/>
      </c>
      <c r="AP3571">
        <f>IF($E3571="","",IF(OR($U3571=TRUE(),$U3571="TRUE"),1,0))</f>
        <v/>
      </c>
      <c r="AQ3571">
        <f>IF($E3571="","",IF($AA3571="Yes",1,0))</f>
        <v/>
      </c>
      <c r="AR3571">
        <f>IF($AN3571=1,IFERROR(VALUE(MID($E3571,2,20)),1000000000)+ROW()/100000,"")</f>
        <v/>
      </c>
    </row>
    <row r="3572">
      <c r="G3572" s="11" t="n"/>
      <c r="Q3572" s="7">
        <f>IF($E3572="","",P3572*Y3572/100)</f>
        <v/>
      </c>
      <c r="R3572" s="7" t="n"/>
      <c r="X3572" s="7" t="n"/>
      <c r="Y3572" s="7" t="n"/>
      <c r="AB3572">
        <f>IF($E3572="","",IF($AQ3572=1,0,IF($AP3572=1,Settings!$C$6,Settings!$C$7))*100)</f>
        <v/>
      </c>
      <c r="AC3572" s="7">
        <f>IF($E3572="","",Y3572*AB3572/100)</f>
        <v/>
      </c>
      <c r="AD3572" s="7">
        <f>IF($E3572="","",Y3572-AC3572)</f>
        <v/>
      </c>
      <c r="AE3572" s="7">
        <f>IF($E3572="","",AD3572-Q3572)</f>
        <v/>
      </c>
      <c r="AI3572" s="7" t="n"/>
      <c r="AL3572" s="11" t="n"/>
      <c r="AN3572">
        <f>IF($E3572="","",IF(COUNTIF($E$2:$E3572,$E3572)=1,1,0))</f>
        <v/>
      </c>
      <c r="AO3572">
        <f>IF($AN3572=1,SUMPRODUCT(--($AR$2:$AR$4001&lt;$AR3572))+1,"")</f>
        <v/>
      </c>
      <c r="AP3572">
        <f>IF($E3572="","",IF(OR($U3572=TRUE(),$U3572="TRUE"),1,0))</f>
        <v/>
      </c>
      <c r="AQ3572">
        <f>IF($E3572="","",IF($AA3572="Yes",1,0))</f>
        <v/>
      </c>
      <c r="AR3572">
        <f>IF($AN3572=1,IFERROR(VALUE(MID($E3572,2,20)),1000000000)+ROW()/100000,"")</f>
        <v/>
      </c>
    </row>
    <row r="3573">
      <c r="G3573" s="11" t="n"/>
      <c r="Q3573" s="7">
        <f>IF($E3573="","",P3573*Y3573/100)</f>
        <v/>
      </c>
      <c r="R3573" s="7" t="n"/>
      <c r="X3573" s="7" t="n"/>
      <c r="Y3573" s="7" t="n"/>
      <c r="AB3573">
        <f>IF($E3573="","",IF($AQ3573=1,0,IF($AP3573=1,Settings!$C$6,Settings!$C$7))*100)</f>
        <v/>
      </c>
      <c r="AC3573" s="7">
        <f>IF($E3573="","",Y3573*AB3573/100)</f>
        <v/>
      </c>
      <c r="AD3573" s="7">
        <f>IF($E3573="","",Y3573-AC3573)</f>
        <v/>
      </c>
      <c r="AE3573" s="7">
        <f>IF($E3573="","",AD3573-Q3573)</f>
        <v/>
      </c>
      <c r="AI3573" s="7" t="n"/>
      <c r="AL3573" s="11" t="n"/>
      <c r="AN3573">
        <f>IF($E3573="","",IF(COUNTIF($E$2:$E3573,$E3573)=1,1,0))</f>
        <v/>
      </c>
      <c r="AO3573">
        <f>IF($AN3573=1,SUMPRODUCT(--($AR$2:$AR$4001&lt;$AR3573))+1,"")</f>
        <v/>
      </c>
      <c r="AP3573">
        <f>IF($E3573="","",IF(OR($U3573=TRUE(),$U3573="TRUE"),1,0))</f>
        <v/>
      </c>
      <c r="AQ3573">
        <f>IF($E3573="","",IF($AA3573="Yes",1,0))</f>
        <v/>
      </c>
      <c r="AR3573">
        <f>IF($AN3573=1,IFERROR(VALUE(MID($E3573,2,20)),1000000000)+ROW()/100000,"")</f>
        <v/>
      </c>
    </row>
    <row r="3574">
      <c r="G3574" s="11" t="n"/>
      <c r="Q3574" s="7">
        <f>IF($E3574="","",P3574*Y3574/100)</f>
        <v/>
      </c>
      <c r="R3574" s="7" t="n"/>
      <c r="X3574" s="7" t="n"/>
      <c r="Y3574" s="7" t="n"/>
      <c r="AB3574">
        <f>IF($E3574="","",IF($AQ3574=1,0,IF($AP3574=1,Settings!$C$6,Settings!$C$7))*100)</f>
        <v/>
      </c>
      <c r="AC3574" s="7">
        <f>IF($E3574="","",Y3574*AB3574/100)</f>
        <v/>
      </c>
      <c r="AD3574" s="7">
        <f>IF($E3574="","",Y3574-AC3574)</f>
        <v/>
      </c>
      <c r="AE3574" s="7">
        <f>IF($E3574="","",AD3574-Q3574)</f>
        <v/>
      </c>
      <c r="AI3574" s="7" t="n"/>
      <c r="AL3574" s="11" t="n"/>
      <c r="AN3574">
        <f>IF($E3574="","",IF(COUNTIF($E$2:$E3574,$E3574)=1,1,0))</f>
        <v/>
      </c>
      <c r="AO3574">
        <f>IF($AN3574=1,SUMPRODUCT(--($AR$2:$AR$4001&lt;$AR3574))+1,"")</f>
        <v/>
      </c>
      <c r="AP3574">
        <f>IF($E3574="","",IF(OR($U3574=TRUE(),$U3574="TRUE"),1,0))</f>
        <v/>
      </c>
      <c r="AQ3574">
        <f>IF($E3574="","",IF($AA3574="Yes",1,0))</f>
        <v/>
      </c>
      <c r="AR3574">
        <f>IF($AN3574=1,IFERROR(VALUE(MID($E3574,2,20)),1000000000)+ROW()/100000,"")</f>
        <v/>
      </c>
    </row>
    <row r="3575">
      <c r="G3575" s="11" t="n"/>
      <c r="Q3575" s="7">
        <f>IF($E3575="","",P3575*Y3575/100)</f>
        <v/>
      </c>
      <c r="R3575" s="7" t="n"/>
      <c r="X3575" s="7" t="n"/>
      <c r="Y3575" s="7" t="n"/>
      <c r="AB3575">
        <f>IF($E3575="","",IF($AQ3575=1,0,IF($AP3575=1,Settings!$C$6,Settings!$C$7))*100)</f>
        <v/>
      </c>
      <c r="AC3575" s="7">
        <f>IF($E3575="","",Y3575*AB3575/100)</f>
        <v/>
      </c>
      <c r="AD3575" s="7">
        <f>IF($E3575="","",Y3575-AC3575)</f>
        <v/>
      </c>
      <c r="AE3575" s="7">
        <f>IF($E3575="","",AD3575-Q3575)</f>
        <v/>
      </c>
      <c r="AI3575" s="7" t="n"/>
      <c r="AL3575" s="11" t="n"/>
      <c r="AN3575">
        <f>IF($E3575="","",IF(COUNTIF($E$2:$E3575,$E3575)=1,1,0))</f>
        <v/>
      </c>
      <c r="AO3575">
        <f>IF($AN3575=1,SUMPRODUCT(--($AR$2:$AR$4001&lt;$AR3575))+1,"")</f>
        <v/>
      </c>
      <c r="AP3575">
        <f>IF($E3575="","",IF(OR($U3575=TRUE(),$U3575="TRUE"),1,0))</f>
        <v/>
      </c>
      <c r="AQ3575">
        <f>IF($E3575="","",IF($AA3575="Yes",1,0))</f>
        <v/>
      </c>
      <c r="AR3575">
        <f>IF($AN3575=1,IFERROR(VALUE(MID($E3575,2,20)),1000000000)+ROW()/100000,"")</f>
        <v/>
      </c>
    </row>
    <row r="3576">
      <c r="G3576" s="11" t="n"/>
      <c r="Q3576" s="7">
        <f>IF($E3576="","",P3576*Y3576/100)</f>
        <v/>
      </c>
      <c r="R3576" s="7" t="n"/>
      <c r="X3576" s="7" t="n"/>
      <c r="Y3576" s="7" t="n"/>
      <c r="AB3576">
        <f>IF($E3576="","",IF($AQ3576=1,0,IF($AP3576=1,Settings!$C$6,Settings!$C$7))*100)</f>
        <v/>
      </c>
      <c r="AC3576" s="7">
        <f>IF($E3576="","",Y3576*AB3576/100)</f>
        <v/>
      </c>
      <c r="AD3576" s="7">
        <f>IF($E3576="","",Y3576-AC3576)</f>
        <v/>
      </c>
      <c r="AE3576" s="7">
        <f>IF($E3576="","",AD3576-Q3576)</f>
        <v/>
      </c>
      <c r="AI3576" s="7" t="n"/>
      <c r="AL3576" s="11" t="n"/>
      <c r="AN3576">
        <f>IF($E3576="","",IF(COUNTIF($E$2:$E3576,$E3576)=1,1,0))</f>
        <v/>
      </c>
      <c r="AO3576">
        <f>IF($AN3576=1,SUMPRODUCT(--($AR$2:$AR$4001&lt;$AR3576))+1,"")</f>
        <v/>
      </c>
      <c r="AP3576">
        <f>IF($E3576="","",IF(OR($U3576=TRUE(),$U3576="TRUE"),1,0))</f>
        <v/>
      </c>
      <c r="AQ3576">
        <f>IF($E3576="","",IF($AA3576="Yes",1,0))</f>
        <v/>
      </c>
      <c r="AR3576">
        <f>IF($AN3576=1,IFERROR(VALUE(MID($E3576,2,20)),1000000000)+ROW()/100000,"")</f>
        <v/>
      </c>
    </row>
    <row r="3577">
      <c r="G3577" s="11" t="n"/>
      <c r="Q3577" s="7">
        <f>IF($E3577="","",P3577*Y3577/100)</f>
        <v/>
      </c>
      <c r="R3577" s="7" t="n"/>
      <c r="X3577" s="7" t="n"/>
      <c r="Y3577" s="7" t="n"/>
      <c r="AB3577">
        <f>IF($E3577="","",IF($AQ3577=1,0,IF($AP3577=1,Settings!$C$6,Settings!$C$7))*100)</f>
        <v/>
      </c>
      <c r="AC3577" s="7">
        <f>IF($E3577="","",Y3577*AB3577/100)</f>
        <v/>
      </c>
      <c r="AD3577" s="7">
        <f>IF($E3577="","",Y3577-AC3577)</f>
        <v/>
      </c>
      <c r="AE3577" s="7">
        <f>IF($E3577="","",AD3577-Q3577)</f>
        <v/>
      </c>
      <c r="AI3577" s="7" t="n"/>
      <c r="AL3577" s="11" t="n"/>
      <c r="AN3577">
        <f>IF($E3577="","",IF(COUNTIF($E$2:$E3577,$E3577)=1,1,0))</f>
        <v/>
      </c>
      <c r="AO3577">
        <f>IF($AN3577=1,SUMPRODUCT(--($AR$2:$AR$4001&lt;$AR3577))+1,"")</f>
        <v/>
      </c>
      <c r="AP3577">
        <f>IF($E3577="","",IF(OR($U3577=TRUE(),$U3577="TRUE"),1,0))</f>
        <v/>
      </c>
      <c r="AQ3577">
        <f>IF($E3577="","",IF($AA3577="Yes",1,0))</f>
        <v/>
      </c>
      <c r="AR3577">
        <f>IF($AN3577=1,IFERROR(VALUE(MID($E3577,2,20)),1000000000)+ROW()/100000,"")</f>
        <v/>
      </c>
    </row>
    <row r="3578">
      <c r="G3578" s="11" t="n"/>
      <c r="Q3578" s="7">
        <f>IF($E3578="","",P3578*Y3578/100)</f>
        <v/>
      </c>
      <c r="R3578" s="7" t="n"/>
      <c r="X3578" s="7" t="n"/>
      <c r="Y3578" s="7" t="n"/>
      <c r="AB3578">
        <f>IF($E3578="","",IF($AQ3578=1,0,IF($AP3578=1,Settings!$C$6,Settings!$C$7))*100)</f>
        <v/>
      </c>
      <c r="AC3578" s="7">
        <f>IF($E3578="","",Y3578*AB3578/100)</f>
        <v/>
      </c>
      <c r="AD3578" s="7">
        <f>IF($E3578="","",Y3578-AC3578)</f>
        <v/>
      </c>
      <c r="AE3578" s="7">
        <f>IF($E3578="","",AD3578-Q3578)</f>
        <v/>
      </c>
      <c r="AI3578" s="7" t="n"/>
      <c r="AL3578" s="11" t="n"/>
      <c r="AN3578">
        <f>IF($E3578="","",IF(COUNTIF($E$2:$E3578,$E3578)=1,1,0))</f>
        <v/>
      </c>
      <c r="AO3578">
        <f>IF($AN3578=1,SUMPRODUCT(--($AR$2:$AR$4001&lt;$AR3578))+1,"")</f>
        <v/>
      </c>
      <c r="AP3578">
        <f>IF($E3578="","",IF(OR($U3578=TRUE(),$U3578="TRUE"),1,0))</f>
        <v/>
      </c>
      <c r="AQ3578">
        <f>IF($E3578="","",IF($AA3578="Yes",1,0))</f>
        <v/>
      </c>
      <c r="AR3578">
        <f>IF($AN3578=1,IFERROR(VALUE(MID($E3578,2,20)),1000000000)+ROW()/100000,"")</f>
        <v/>
      </c>
    </row>
    <row r="3579">
      <c r="G3579" s="11" t="n"/>
      <c r="Q3579" s="7">
        <f>IF($E3579="","",P3579*Y3579/100)</f>
        <v/>
      </c>
      <c r="R3579" s="7" t="n"/>
      <c r="X3579" s="7" t="n"/>
      <c r="Y3579" s="7" t="n"/>
      <c r="AB3579">
        <f>IF($E3579="","",IF($AQ3579=1,0,IF($AP3579=1,Settings!$C$6,Settings!$C$7))*100)</f>
        <v/>
      </c>
      <c r="AC3579" s="7">
        <f>IF($E3579="","",Y3579*AB3579/100)</f>
        <v/>
      </c>
      <c r="AD3579" s="7">
        <f>IF($E3579="","",Y3579-AC3579)</f>
        <v/>
      </c>
      <c r="AE3579" s="7">
        <f>IF($E3579="","",AD3579-Q3579)</f>
        <v/>
      </c>
      <c r="AI3579" s="7" t="n"/>
      <c r="AL3579" s="11" t="n"/>
      <c r="AN3579">
        <f>IF($E3579="","",IF(COUNTIF($E$2:$E3579,$E3579)=1,1,0))</f>
        <v/>
      </c>
      <c r="AO3579">
        <f>IF($AN3579=1,SUMPRODUCT(--($AR$2:$AR$4001&lt;$AR3579))+1,"")</f>
        <v/>
      </c>
      <c r="AP3579">
        <f>IF($E3579="","",IF(OR($U3579=TRUE(),$U3579="TRUE"),1,0))</f>
        <v/>
      </c>
      <c r="AQ3579">
        <f>IF($E3579="","",IF($AA3579="Yes",1,0))</f>
        <v/>
      </c>
      <c r="AR3579">
        <f>IF($AN3579=1,IFERROR(VALUE(MID($E3579,2,20)),1000000000)+ROW()/100000,"")</f>
        <v/>
      </c>
    </row>
    <row r="3580">
      <c r="G3580" s="11" t="n"/>
      <c r="Q3580" s="7">
        <f>IF($E3580="","",P3580*Y3580/100)</f>
        <v/>
      </c>
      <c r="R3580" s="7" t="n"/>
      <c r="X3580" s="7" t="n"/>
      <c r="Y3580" s="7" t="n"/>
      <c r="AB3580">
        <f>IF($E3580="","",IF($AQ3580=1,0,IF($AP3580=1,Settings!$C$6,Settings!$C$7))*100)</f>
        <v/>
      </c>
      <c r="AC3580" s="7">
        <f>IF($E3580="","",Y3580*AB3580/100)</f>
        <v/>
      </c>
      <c r="AD3580" s="7">
        <f>IF($E3580="","",Y3580-AC3580)</f>
        <v/>
      </c>
      <c r="AE3580" s="7">
        <f>IF($E3580="","",AD3580-Q3580)</f>
        <v/>
      </c>
      <c r="AI3580" s="7" t="n"/>
      <c r="AL3580" s="11" t="n"/>
      <c r="AN3580">
        <f>IF($E3580="","",IF(COUNTIF($E$2:$E3580,$E3580)=1,1,0))</f>
        <v/>
      </c>
      <c r="AO3580">
        <f>IF($AN3580=1,SUMPRODUCT(--($AR$2:$AR$4001&lt;$AR3580))+1,"")</f>
        <v/>
      </c>
      <c r="AP3580">
        <f>IF($E3580="","",IF(OR($U3580=TRUE(),$U3580="TRUE"),1,0))</f>
        <v/>
      </c>
      <c r="AQ3580">
        <f>IF($E3580="","",IF($AA3580="Yes",1,0))</f>
        <v/>
      </c>
      <c r="AR3580">
        <f>IF($AN3580=1,IFERROR(VALUE(MID($E3580,2,20)),1000000000)+ROW()/100000,"")</f>
        <v/>
      </c>
    </row>
    <row r="3581">
      <c r="G3581" s="11" t="n"/>
      <c r="Q3581" s="7">
        <f>IF($E3581="","",P3581*Y3581/100)</f>
        <v/>
      </c>
      <c r="R3581" s="7" t="n"/>
      <c r="X3581" s="7" t="n"/>
      <c r="Y3581" s="7" t="n"/>
      <c r="AB3581">
        <f>IF($E3581="","",IF($AQ3581=1,0,IF($AP3581=1,Settings!$C$6,Settings!$C$7))*100)</f>
        <v/>
      </c>
      <c r="AC3581" s="7">
        <f>IF($E3581="","",Y3581*AB3581/100)</f>
        <v/>
      </c>
      <c r="AD3581" s="7">
        <f>IF($E3581="","",Y3581-AC3581)</f>
        <v/>
      </c>
      <c r="AE3581" s="7">
        <f>IF($E3581="","",AD3581-Q3581)</f>
        <v/>
      </c>
      <c r="AI3581" s="7" t="n"/>
      <c r="AL3581" s="11" t="n"/>
      <c r="AN3581">
        <f>IF($E3581="","",IF(COUNTIF($E$2:$E3581,$E3581)=1,1,0))</f>
        <v/>
      </c>
      <c r="AO3581">
        <f>IF($AN3581=1,SUMPRODUCT(--($AR$2:$AR$4001&lt;$AR3581))+1,"")</f>
        <v/>
      </c>
      <c r="AP3581">
        <f>IF($E3581="","",IF(OR($U3581=TRUE(),$U3581="TRUE"),1,0))</f>
        <v/>
      </c>
      <c r="AQ3581">
        <f>IF($E3581="","",IF($AA3581="Yes",1,0))</f>
        <v/>
      </c>
      <c r="AR3581">
        <f>IF($AN3581=1,IFERROR(VALUE(MID($E3581,2,20)),1000000000)+ROW()/100000,"")</f>
        <v/>
      </c>
    </row>
    <row r="3582">
      <c r="G3582" s="11" t="n"/>
      <c r="Q3582" s="7">
        <f>IF($E3582="","",P3582*Y3582/100)</f>
        <v/>
      </c>
      <c r="R3582" s="7" t="n"/>
      <c r="X3582" s="7" t="n"/>
      <c r="Y3582" s="7" t="n"/>
      <c r="AB3582">
        <f>IF($E3582="","",IF($AQ3582=1,0,IF($AP3582=1,Settings!$C$6,Settings!$C$7))*100)</f>
        <v/>
      </c>
      <c r="AC3582" s="7">
        <f>IF($E3582="","",Y3582*AB3582/100)</f>
        <v/>
      </c>
      <c r="AD3582" s="7">
        <f>IF($E3582="","",Y3582-AC3582)</f>
        <v/>
      </c>
      <c r="AE3582" s="7">
        <f>IF($E3582="","",AD3582-Q3582)</f>
        <v/>
      </c>
      <c r="AI3582" s="7" t="n"/>
      <c r="AL3582" s="11" t="n"/>
      <c r="AN3582">
        <f>IF($E3582="","",IF(COUNTIF($E$2:$E3582,$E3582)=1,1,0))</f>
        <v/>
      </c>
      <c r="AO3582">
        <f>IF($AN3582=1,SUMPRODUCT(--($AR$2:$AR$4001&lt;$AR3582))+1,"")</f>
        <v/>
      </c>
      <c r="AP3582">
        <f>IF($E3582="","",IF(OR($U3582=TRUE(),$U3582="TRUE"),1,0))</f>
        <v/>
      </c>
      <c r="AQ3582">
        <f>IF($E3582="","",IF($AA3582="Yes",1,0))</f>
        <v/>
      </c>
      <c r="AR3582">
        <f>IF($AN3582=1,IFERROR(VALUE(MID($E3582,2,20)),1000000000)+ROW()/100000,"")</f>
        <v/>
      </c>
    </row>
    <row r="3583">
      <c r="G3583" s="11" t="n"/>
      <c r="Q3583" s="7">
        <f>IF($E3583="","",P3583*Y3583/100)</f>
        <v/>
      </c>
      <c r="R3583" s="7" t="n"/>
      <c r="X3583" s="7" t="n"/>
      <c r="Y3583" s="7" t="n"/>
      <c r="AB3583">
        <f>IF($E3583="","",IF($AQ3583=1,0,IF($AP3583=1,Settings!$C$6,Settings!$C$7))*100)</f>
        <v/>
      </c>
      <c r="AC3583" s="7">
        <f>IF($E3583="","",Y3583*AB3583/100)</f>
        <v/>
      </c>
      <c r="AD3583" s="7">
        <f>IF($E3583="","",Y3583-AC3583)</f>
        <v/>
      </c>
      <c r="AE3583" s="7">
        <f>IF($E3583="","",AD3583-Q3583)</f>
        <v/>
      </c>
      <c r="AI3583" s="7" t="n"/>
      <c r="AL3583" s="11" t="n"/>
      <c r="AN3583">
        <f>IF($E3583="","",IF(COUNTIF($E$2:$E3583,$E3583)=1,1,0))</f>
        <v/>
      </c>
      <c r="AO3583">
        <f>IF($AN3583=1,SUMPRODUCT(--($AR$2:$AR$4001&lt;$AR3583))+1,"")</f>
        <v/>
      </c>
      <c r="AP3583">
        <f>IF($E3583="","",IF(OR($U3583=TRUE(),$U3583="TRUE"),1,0))</f>
        <v/>
      </c>
      <c r="AQ3583">
        <f>IF($E3583="","",IF($AA3583="Yes",1,0))</f>
        <v/>
      </c>
      <c r="AR3583">
        <f>IF($AN3583=1,IFERROR(VALUE(MID($E3583,2,20)),1000000000)+ROW()/100000,"")</f>
        <v/>
      </c>
    </row>
    <row r="3584">
      <c r="G3584" s="11" t="n"/>
      <c r="Q3584" s="7">
        <f>IF($E3584="","",P3584*Y3584/100)</f>
        <v/>
      </c>
      <c r="R3584" s="7" t="n"/>
      <c r="X3584" s="7" t="n"/>
      <c r="Y3584" s="7" t="n"/>
      <c r="AB3584">
        <f>IF($E3584="","",IF($AQ3584=1,0,IF($AP3584=1,Settings!$C$6,Settings!$C$7))*100)</f>
        <v/>
      </c>
      <c r="AC3584" s="7">
        <f>IF($E3584="","",Y3584*AB3584/100)</f>
        <v/>
      </c>
      <c r="AD3584" s="7">
        <f>IF($E3584="","",Y3584-AC3584)</f>
        <v/>
      </c>
      <c r="AE3584" s="7">
        <f>IF($E3584="","",AD3584-Q3584)</f>
        <v/>
      </c>
      <c r="AI3584" s="7" t="n"/>
      <c r="AL3584" s="11" t="n"/>
      <c r="AN3584">
        <f>IF($E3584="","",IF(COUNTIF($E$2:$E3584,$E3584)=1,1,0))</f>
        <v/>
      </c>
      <c r="AO3584">
        <f>IF($AN3584=1,SUMPRODUCT(--($AR$2:$AR$4001&lt;$AR3584))+1,"")</f>
        <v/>
      </c>
      <c r="AP3584">
        <f>IF($E3584="","",IF(OR($U3584=TRUE(),$U3584="TRUE"),1,0))</f>
        <v/>
      </c>
      <c r="AQ3584">
        <f>IF($E3584="","",IF($AA3584="Yes",1,0))</f>
        <v/>
      </c>
      <c r="AR3584">
        <f>IF($AN3584=1,IFERROR(VALUE(MID($E3584,2,20)),1000000000)+ROW()/100000,"")</f>
        <v/>
      </c>
    </row>
    <row r="3585">
      <c r="G3585" s="11" t="n"/>
      <c r="Q3585" s="7">
        <f>IF($E3585="","",P3585*Y3585/100)</f>
        <v/>
      </c>
      <c r="R3585" s="7" t="n"/>
      <c r="X3585" s="7" t="n"/>
      <c r="Y3585" s="7" t="n"/>
      <c r="AB3585">
        <f>IF($E3585="","",IF($AQ3585=1,0,IF($AP3585=1,Settings!$C$6,Settings!$C$7))*100)</f>
        <v/>
      </c>
      <c r="AC3585" s="7">
        <f>IF($E3585="","",Y3585*AB3585/100)</f>
        <v/>
      </c>
      <c r="AD3585" s="7">
        <f>IF($E3585="","",Y3585-AC3585)</f>
        <v/>
      </c>
      <c r="AE3585" s="7">
        <f>IF($E3585="","",AD3585-Q3585)</f>
        <v/>
      </c>
      <c r="AI3585" s="7" t="n"/>
      <c r="AL3585" s="11" t="n"/>
      <c r="AN3585">
        <f>IF($E3585="","",IF(COUNTIF($E$2:$E3585,$E3585)=1,1,0))</f>
        <v/>
      </c>
      <c r="AO3585">
        <f>IF($AN3585=1,SUMPRODUCT(--($AR$2:$AR$4001&lt;$AR3585))+1,"")</f>
        <v/>
      </c>
      <c r="AP3585">
        <f>IF($E3585="","",IF(OR($U3585=TRUE(),$U3585="TRUE"),1,0))</f>
        <v/>
      </c>
      <c r="AQ3585">
        <f>IF($E3585="","",IF($AA3585="Yes",1,0))</f>
        <v/>
      </c>
      <c r="AR3585">
        <f>IF($AN3585=1,IFERROR(VALUE(MID($E3585,2,20)),1000000000)+ROW()/100000,"")</f>
        <v/>
      </c>
    </row>
    <row r="3586">
      <c r="G3586" s="11" t="n"/>
      <c r="Q3586" s="7">
        <f>IF($E3586="","",P3586*Y3586/100)</f>
        <v/>
      </c>
      <c r="R3586" s="7" t="n"/>
      <c r="X3586" s="7" t="n"/>
      <c r="Y3586" s="7" t="n"/>
      <c r="AB3586">
        <f>IF($E3586="","",IF($AQ3586=1,0,IF($AP3586=1,Settings!$C$6,Settings!$C$7))*100)</f>
        <v/>
      </c>
      <c r="AC3586" s="7">
        <f>IF($E3586="","",Y3586*AB3586/100)</f>
        <v/>
      </c>
      <c r="AD3586" s="7">
        <f>IF($E3586="","",Y3586-AC3586)</f>
        <v/>
      </c>
      <c r="AE3586" s="7">
        <f>IF($E3586="","",AD3586-Q3586)</f>
        <v/>
      </c>
      <c r="AI3586" s="7" t="n"/>
      <c r="AL3586" s="11" t="n"/>
      <c r="AN3586">
        <f>IF($E3586="","",IF(COUNTIF($E$2:$E3586,$E3586)=1,1,0))</f>
        <v/>
      </c>
      <c r="AO3586">
        <f>IF($AN3586=1,SUMPRODUCT(--($AR$2:$AR$4001&lt;$AR3586))+1,"")</f>
        <v/>
      </c>
      <c r="AP3586">
        <f>IF($E3586="","",IF(OR($U3586=TRUE(),$U3586="TRUE"),1,0))</f>
        <v/>
      </c>
      <c r="AQ3586">
        <f>IF($E3586="","",IF($AA3586="Yes",1,0))</f>
        <v/>
      </c>
      <c r="AR3586">
        <f>IF($AN3586=1,IFERROR(VALUE(MID($E3586,2,20)),1000000000)+ROW()/100000,"")</f>
        <v/>
      </c>
    </row>
    <row r="3587">
      <c r="G3587" s="11" t="n"/>
      <c r="Q3587" s="7">
        <f>IF($E3587="","",P3587*Y3587/100)</f>
        <v/>
      </c>
      <c r="R3587" s="7" t="n"/>
      <c r="X3587" s="7" t="n"/>
      <c r="Y3587" s="7" t="n"/>
      <c r="AB3587">
        <f>IF($E3587="","",IF($AQ3587=1,0,IF($AP3587=1,Settings!$C$6,Settings!$C$7))*100)</f>
        <v/>
      </c>
      <c r="AC3587" s="7">
        <f>IF($E3587="","",Y3587*AB3587/100)</f>
        <v/>
      </c>
      <c r="AD3587" s="7">
        <f>IF($E3587="","",Y3587-AC3587)</f>
        <v/>
      </c>
      <c r="AE3587" s="7">
        <f>IF($E3587="","",AD3587-Q3587)</f>
        <v/>
      </c>
      <c r="AI3587" s="7" t="n"/>
      <c r="AL3587" s="11" t="n"/>
      <c r="AN3587">
        <f>IF($E3587="","",IF(COUNTIF($E$2:$E3587,$E3587)=1,1,0))</f>
        <v/>
      </c>
      <c r="AO3587">
        <f>IF($AN3587=1,SUMPRODUCT(--($AR$2:$AR$4001&lt;$AR3587))+1,"")</f>
        <v/>
      </c>
      <c r="AP3587">
        <f>IF($E3587="","",IF(OR($U3587=TRUE(),$U3587="TRUE"),1,0))</f>
        <v/>
      </c>
      <c r="AQ3587">
        <f>IF($E3587="","",IF($AA3587="Yes",1,0))</f>
        <v/>
      </c>
      <c r="AR3587">
        <f>IF($AN3587=1,IFERROR(VALUE(MID($E3587,2,20)),1000000000)+ROW()/100000,"")</f>
        <v/>
      </c>
    </row>
    <row r="3588">
      <c r="G3588" s="11" t="n"/>
      <c r="Q3588" s="7">
        <f>IF($E3588="","",P3588*Y3588/100)</f>
        <v/>
      </c>
      <c r="R3588" s="7" t="n"/>
      <c r="X3588" s="7" t="n"/>
      <c r="Y3588" s="7" t="n"/>
      <c r="AB3588">
        <f>IF($E3588="","",IF($AQ3588=1,0,IF($AP3588=1,Settings!$C$6,Settings!$C$7))*100)</f>
        <v/>
      </c>
      <c r="AC3588" s="7">
        <f>IF($E3588="","",Y3588*AB3588/100)</f>
        <v/>
      </c>
      <c r="AD3588" s="7">
        <f>IF($E3588="","",Y3588-AC3588)</f>
        <v/>
      </c>
      <c r="AE3588" s="7">
        <f>IF($E3588="","",AD3588-Q3588)</f>
        <v/>
      </c>
      <c r="AI3588" s="7" t="n"/>
      <c r="AL3588" s="11" t="n"/>
      <c r="AN3588">
        <f>IF($E3588="","",IF(COUNTIF($E$2:$E3588,$E3588)=1,1,0))</f>
        <v/>
      </c>
      <c r="AO3588">
        <f>IF($AN3588=1,SUMPRODUCT(--($AR$2:$AR$4001&lt;$AR3588))+1,"")</f>
        <v/>
      </c>
      <c r="AP3588">
        <f>IF($E3588="","",IF(OR($U3588=TRUE(),$U3588="TRUE"),1,0))</f>
        <v/>
      </c>
      <c r="AQ3588">
        <f>IF($E3588="","",IF($AA3588="Yes",1,0))</f>
        <v/>
      </c>
      <c r="AR3588">
        <f>IF($AN3588=1,IFERROR(VALUE(MID($E3588,2,20)),1000000000)+ROW()/100000,"")</f>
        <v/>
      </c>
    </row>
    <row r="3589">
      <c r="G3589" s="11" t="n"/>
      <c r="Q3589" s="7">
        <f>IF($E3589="","",P3589*Y3589/100)</f>
        <v/>
      </c>
      <c r="R3589" s="7" t="n"/>
      <c r="X3589" s="7" t="n"/>
      <c r="Y3589" s="7" t="n"/>
      <c r="AB3589">
        <f>IF($E3589="","",IF($AQ3589=1,0,IF($AP3589=1,Settings!$C$6,Settings!$C$7))*100)</f>
        <v/>
      </c>
      <c r="AC3589" s="7">
        <f>IF($E3589="","",Y3589*AB3589/100)</f>
        <v/>
      </c>
      <c r="AD3589" s="7">
        <f>IF($E3589="","",Y3589-AC3589)</f>
        <v/>
      </c>
      <c r="AE3589" s="7">
        <f>IF($E3589="","",AD3589-Q3589)</f>
        <v/>
      </c>
      <c r="AI3589" s="7" t="n"/>
      <c r="AL3589" s="11" t="n"/>
      <c r="AN3589">
        <f>IF($E3589="","",IF(COUNTIF($E$2:$E3589,$E3589)=1,1,0))</f>
        <v/>
      </c>
      <c r="AO3589">
        <f>IF($AN3589=1,SUMPRODUCT(--($AR$2:$AR$4001&lt;$AR3589))+1,"")</f>
        <v/>
      </c>
      <c r="AP3589">
        <f>IF($E3589="","",IF(OR($U3589=TRUE(),$U3589="TRUE"),1,0))</f>
        <v/>
      </c>
      <c r="AQ3589">
        <f>IF($E3589="","",IF($AA3589="Yes",1,0))</f>
        <v/>
      </c>
      <c r="AR3589">
        <f>IF($AN3589=1,IFERROR(VALUE(MID($E3589,2,20)),1000000000)+ROW()/100000,"")</f>
        <v/>
      </c>
    </row>
    <row r="3590">
      <c r="G3590" s="11" t="n"/>
      <c r="Q3590" s="7">
        <f>IF($E3590="","",P3590*Y3590/100)</f>
        <v/>
      </c>
      <c r="R3590" s="7" t="n"/>
      <c r="X3590" s="7" t="n"/>
      <c r="Y3590" s="7" t="n"/>
      <c r="AB3590">
        <f>IF($E3590="","",IF($AQ3590=1,0,IF($AP3590=1,Settings!$C$6,Settings!$C$7))*100)</f>
        <v/>
      </c>
      <c r="AC3590" s="7">
        <f>IF($E3590="","",Y3590*AB3590/100)</f>
        <v/>
      </c>
      <c r="AD3590" s="7">
        <f>IF($E3590="","",Y3590-AC3590)</f>
        <v/>
      </c>
      <c r="AE3590" s="7">
        <f>IF($E3590="","",AD3590-Q3590)</f>
        <v/>
      </c>
      <c r="AI3590" s="7" t="n"/>
      <c r="AL3590" s="11" t="n"/>
      <c r="AN3590">
        <f>IF($E3590="","",IF(COUNTIF($E$2:$E3590,$E3590)=1,1,0))</f>
        <v/>
      </c>
      <c r="AO3590">
        <f>IF($AN3590=1,SUMPRODUCT(--($AR$2:$AR$4001&lt;$AR3590))+1,"")</f>
        <v/>
      </c>
      <c r="AP3590">
        <f>IF($E3590="","",IF(OR($U3590=TRUE(),$U3590="TRUE"),1,0))</f>
        <v/>
      </c>
      <c r="AQ3590">
        <f>IF($E3590="","",IF($AA3590="Yes",1,0))</f>
        <v/>
      </c>
      <c r="AR3590">
        <f>IF($AN3590=1,IFERROR(VALUE(MID($E3590,2,20)),1000000000)+ROW()/100000,"")</f>
        <v/>
      </c>
    </row>
    <row r="3591">
      <c r="G3591" s="11" t="n"/>
      <c r="Q3591" s="7">
        <f>IF($E3591="","",P3591*Y3591/100)</f>
        <v/>
      </c>
      <c r="R3591" s="7" t="n"/>
      <c r="X3591" s="7" t="n"/>
      <c r="Y3591" s="7" t="n"/>
      <c r="AB3591">
        <f>IF($E3591="","",IF($AQ3591=1,0,IF($AP3591=1,Settings!$C$6,Settings!$C$7))*100)</f>
        <v/>
      </c>
      <c r="AC3591" s="7">
        <f>IF($E3591="","",Y3591*AB3591/100)</f>
        <v/>
      </c>
      <c r="AD3591" s="7">
        <f>IF($E3591="","",Y3591-AC3591)</f>
        <v/>
      </c>
      <c r="AE3591" s="7">
        <f>IF($E3591="","",AD3591-Q3591)</f>
        <v/>
      </c>
      <c r="AI3591" s="7" t="n"/>
      <c r="AL3591" s="11" t="n"/>
      <c r="AN3591">
        <f>IF($E3591="","",IF(COUNTIF($E$2:$E3591,$E3591)=1,1,0))</f>
        <v/>
      </c>
      <c r="AO3591">
        <f>IF($AN3591=1,SUMPRODUCT(--($AR$2:$AR$4001&lt;$AR3591))+1,"")</f>
        <v/>
      </c>
      <c r="AP3591">
        <f>IF($E3591="","",IF(OR($U3591=TRUE(),$U3591="TRUE"),1,0))</f>
        <v/>
      </c>
      <c r="AQ3591">
        <f>IF($E3591="","",IF($AA3591="Yes",1,0))</f>
        <v/>
      </c>
      <c r="AR3591">
        <f>IF($AN3591=1,IFERROR(VALUE(MID($E3591,2,20)),1000000000)+ROW()/100000,"")</f>
        <v/>
      </c>
    </row>
    <row r="3592">
      <c r="G3592" s="11" t="n"/>
      <c r="Q3592" s="7">
        <f>IF($E3592="","",P3592*Y3592/100)</f>
        <v/>
      </c>
      <c r="R3592" s="7" t="n"/>
      <c r="X3592" s="7" t="n"/>
      <c r="Y3592" s="7" t="n"/>
      <c r="AB3592">
        <f>IF($E3592="","",IF($AQ3592=1,0,IF($AP3592=1,Settings!$C$6,Settings!$C$7))*100)</f>
        <v/>
      </c>
      <c r="AC3592" s="7">
        <f>IF($E3592="","",Y3592*AB3592/100)</f>
        <v/>
      </c>
      <c r="AD3592" s="7">
        <f>IF($E3592="","",Y3592-AC3592)</f>
        <v/>
      </c>
      <c r="AE3592" s="7">
        <f>IF($E3592="","",AD3592-Q3592)</f>
        <v/>
      </c>
      <c r="AI3592" s="7" t="n"/>
      <c r="AL3592" s="11" t="n"/>
      <c r="AN3592">
        <f>IF($E3592="","",IF(COUNTIF($E$2:$E3592,$E3592)=1,1,0))</f>
        <v/>
      </c>
      <c r="AO3592">
        <f>IF($AN3592=1,SUMPRODUCT(--($AR$2:$AR$4001&lt;$AR3592))+1,"")</f>
        <v/>
      </c>
      <c r="AP3592">
        <f>IF($E3592="","",IF(OR($U3592=TRUE(),$U3592="TRUE"),1,0))</f>
        <v/>
      </c>
      <c r="AQ3592">
        <f>IF($E3592="","",IF($AA3592="Yes",1,0))</f>
        <v/>
      </c>
      <c r="AR3592">
        <f>IF($AN3592=1,IFERROR(VALUE(MID($E3592,2,20)),1000000000)+ROW()/100000,"")</f>
        <v/>
      </c>
    </row>
    <row r="3593">
      <c r="G3593" s="11" t="n"/>
      <c r="Q3593" s="7">
        <f>IF($E3593="","",P3593*Y3593/100)</f>
        <v/>
      </c>
      <c r="R3593" s="7" t="n"/>
      <c r="X3593" s="7" t="n"/>
      <c r="Y3593" s="7" t="n"/>
      <c r="AB3593">
        <f>IF($E3593="","",IF($AQ3593=1,0,IF($AP3593=1,Settings!$C$6,Settings!$C$7))*100)</f>
        <v/>
      </c>
      <c r="AC3593" s="7">
        <f>IF($E3593="","",Y3593*AB3593/100)</f>
        <v/>
      </c>
      <c r="AD3593" s="7">
        <f>IF($E3593="","",Y3593-AC3593)</f>
        <v/>
      </c>
      <c r="AE3593" s="7">
        <f>IF($E3593="","",AD3593-Q3593)</f>
        <v/>
      </c>
      <c r="AI3593" s="7" t="n"/>
      <c r="AL3593" s="11" t="n"/>
      <c r="AN3593">
        <f>IF($E3593="","",IF(COUNTIF($E$2:$E3593,$E3593)=1,1,0))</f>
        <v/>
      </c>
      <c r="AO3593">
        <f>IF($AN3593=1,SUMPRODUCT(--($AR$2:$AR$4001&lt;$AR3593))+1,"")</f>
        <v/>
      </c>
      <c r="AP3593">
        <f>IF($E3593="","",IF(OR($U3593=TRUE(),$U3593="TRUE"),1,0))</f>
        <v/>
      </c>
      <c r="AQ3593">
        <f>IF($E3593="","",IF($AA3593="Yes",1,0))</f>
        <v/>
      </c>
      <c r="AR3593">
        <f>IF($AN3593=1,IFERROR(VALUE(MID($E3593,2,20)),1000000000)+ROW()/100000,"")</f>
        <v/>
      </c>
    </row>
    <row r="3594">
      <c r="G3594" s="11" t="n"/>
      <c r="Q3594" s="7">
        <f>IF($E3594="","",P3594*Y3594/100)</f>
        <v/>
      </c>
      <c r="R3594" s="7" t="n"/>
      <c r="X3594" s="7" t="n"/>
      <c r="Y3594" s="7" t="n"/>
      <c r="AB3594">
        <f>IF($E3594="","",IF($AQ3594=1,0,IF($AP3594=1,Settings!$C$6,Settings!$C$7))*100)</f>
        <v/>
      </c>
      <c r="AC3594" s="7">
        <f>IF($E3594="","",Y3594*AB3594/100)</f>
        <v/>
      </c>
      <c r="AD3594" s="7">
        <f>IF($E3594="","",Y3594-AC3594)</f>
        <v/>
      </c>
      <c r="AE3594" s="7">
        <f>IF($E3594="","",AD3594-Q3594)</f>
        <v/>
      </c>
      <c r="AI3594" s="7" t="n"/>
      <c r="AL3594" s="11" t="n"/>
      <c r="AN3594">
        <f>IF($E3594="","",IF(COUNTIF($E$2:$E3594,$E3594)=1,1,0))</f>
        <v/>
      </c>
      <c r="AO3594">
        <f>IF($AN3594=1,SUMPRODUCT(--($AR$2:$AR$4001&lt;$AR3594))+1,"")</f>
        <v/>
      </c>
      <c r="AP3594">
        <f>IF($E3594="","",IF(OR($U3594=TRUE(),$U3594="TRUE"),1,0))</f>
        <v/>
      </c>
      <c r="AQ3594">
        <f>IF($E3594="","",IF($AA3594="Yes",1,0))</f>
        <v/>
      </c>
      <c r="AR3594">
        <f>IF($AN3594=1,IFERROR(VALUE(MID($E3594,2,20)),1000000000)+ROW()/100000,"")</f>
        <v/>
      </c>
    </row>
    <row r="3595">
      <c r="G3595" s="11" t="n"/>
      <c r="Q3595" s="7">
        <f>IF($E3595="","",P3595*Y3595/100)</f>
        <v/>
      </c>
      <c r="R3595" s="7" t="n"/>
      <c r="X3595" s="7" t="n"/>
      <c r="Y3595" s="7" t="n"/>
      <c r="AB3595">
        <f>IF($E3595="","",IF($AQ3595=1,0,IF($AP3595=1,Settings!$C$6,Settings!$C$7))*100)</f>
        <v/>
      </c>
      <c r="AC3595" s="7">
        <f>IF($E3595="","",Y3595*AB3595/100)</f>
        <v/>
      </c>
      <c r="AD3595" s="7">
        <f>IF($E3595="","",Y3595-AC3595)</f>
        <v/>
      </c>
      <c r="AE3595" s="7">
        <f>IF($E3595="","",AD3595-Q3595)</f>
        <v/>
      </c>
      <c r="AI3595" s="7" t="n"/>
      <c r="AL3595" s="11" t="n"/>
      <c r="AN3595">
        <f>IF($E3595="","",IF(COUNTIF($E$2:$E3595,$E3595)=1,1,0))</f>
        <v/>
      </c>
      <c r="AO3595">
        <f>IF($AN3595=1,SUMPRODUCT(--($AR$2:$AR$4001&lt;$AR3595))+1,"")</f>
        <v/>
      </c>
      <c r="AP3595">
        <f>IF($E3595="","",IF(OR($U3595=TRUE(),$U3595="TRUE"),1,0))</f>
        <v/>
      </c>
      <c r="AQ3595">
        <f>IF($E3595="","",IF($AA3595="Yes",1,0))</f>
        <v/>
      </c>
      <c r="AR3595">
        <f>IF($AN3595=1,IFERROR(VALUE(MID($E3595,2,20)),1000000000)+ROW()/100000,"")</f>
        <v/>
      </c>
    </row>
    <row r="3596">
      <c r="G3596" s="11" t="n"/>
      <c r="Q3596" s="7">
        <f>IF($E3596="","",P3596*Y3596/100)</f>
        <v/>
      </c>
      <c r="R3596" s="7" t="n"/>
      <c r="X3596" s="7" t="n"/>
      <c r="Y3596" s="7" t="n"/>
      <c r="AB3596">
        <f>IF($E3596="","",IF($AQ3596=1,0,IF($AP3596=1,Settings!$C$6,Settings!$C$7))*100)</f>
        <v/>
      </c>
      <c r="AC3596" s="7">
        <f>IF($E3596="","",Y3596*AB3596/100)</f>
        <v/>
      </c>
      <c r="AD3596" s="7">
        <f>IF($E3596="","",Y3596-AC3596)</f>
        <v/>
      </c>
      <c r="AE3596" s="7">
        <f>IF($E3596="","",AD3596-Q3596)</f>
        <v/>
      </c>
      <c r="AI3596" s="7" t="n"/>
      <c r="AL3596" s="11" t="n"/>
      <c r="AN3596">
        <f>IF($E3596="","",IF(COUNTIF($E$2:$E3596,$E3596)=1,1,0))</f>
        <v/>
      </c>
      <c r="AO3596">
        <f>IF($AN3596=1,SUMPRODUCT(--($AR$2:$AR$4001&lt;$AR3596))+1,"")</f>
        <v/>
      </c>
      <c r="AP3596">
        <f>IF($E3596="","",IF(OR($U3596=TRUE(),$U3596="TRUE"),1,0))</f>
        <v/>
      </c>
      <c r="AQ3596">
        <f>IF($E3596="","",IF($AA3596="Yes",1,0))</f>
        <v/>
      </c>
      <c r="AR3596">
        <f>IF($AN3596=1,IFERROR(VALUE(MID($E3596,2,20)),1000000000)+ROW()/100000,"")</f>
        <v/>
      </c>
    </row>
    <row r="3597">
      <c r="G3597" s="11" t="n"/>
      <c r="Q3597" s="7">
        <f>IF($E3597="","",P3597*Y3597/100)</f>
        <v/>
      </c>
      <c r="R3597" s="7" t="n"/>
      <c r="X3597" s="7" t="n"/>
      <c r="Y3597" s="7" t="n"/>
      <c r="AB3597">
        <f>IF($E3597="","",IF($AQ3597=1,0,IF($AP3597=1,Settings!$C$6,Settings!$C$7))*100)</f>
        <v/>
      </c>
      <c r="AC3597" s="7">
        <f>IF($E3597="","",Y3597*AB3597/100)</f>
        <v/>
      </c>
      <c r="AD3597" s="7">
        <f>IF($E3597="","",Y3597-AC3597)</f>
        <v/>
      </c>
      <c r="AE3597" s="7">
        <f>IF($E3597="","",AD3597-Q3597)</f>
        <v/>
      </c>
      <c r="AI3597" s="7" t="n"/>
      <c r="AL3597" s="11" t="n"/>
      <c r="AN3597">
        <f>IF($E3597="","",IF(COUNTIF($E$2:$E3597,$E3597)=1,1,0))</f>
        <v/>
      </c>
      <c r="AO3597">
        <f>IF($AN3597=1,SUMPRODUCT(--($AR$2:$AR$4001&lt;$AR3597))+1,"")</f>
        <v/>
      </c>
      <c r="AP3597">
        <f>IF($E3597="","",IF(OR($U3597=TRUE(),$U3597="TRUE"),1,0))</f>
        <v/>
      </c>
      <c r="AQ3597">
        <f>IF($E3597="","",IF($AA3597="Yes",1,0))</f>
        <v/>
      </c>
      <c r="AR3597">
        <f>IF($AN3597=1,IFERROR(VALUE(MID($E3597,2,20)),1000000000)+ROW()/100000,"")</f>
        <v/>
      </c>
    </row>
    <row r="3598">
      <c r="G3598" s="11" t="n"/>
      <c r="Q3598" s="7">
        <f>IF($E3598="","",P3598*Y3598/100)</f>
        <v/>
      </c>
      <c r="R3598" s="7" t="n"/>
      <c r="X3598" s="7" t="n"/>
      <c r="Y3598" s="7" t="n"/>
      <c r="AB3598">
        <f>IF($E3598="","",IF($AQ3598=1,0,IF($AP3598=1,Settings!$C$6,Settings!$C$7))*100)</f>
        <v/>
      </c>
      <c r="AC3598" s="7">
        <f>IF($E3598="","",Y3598*AB3598/100)</f>
        <v/>
      </c>
      <c r="AD3598" s="7">
        <f>IF($E3598="","",Y3598-AC3598)</f>
        <v/>
      </c>
      <c r="AE3598" s="7">
        <f>IF($E3598="","",AD3598-Q3598)</f>
        <v/>
      </c>
      <c r="AI3598" s="7" t="n"/>
      <c r="AL3598" s="11" t="n"/>
      <c r="AN3598">
        <f>IF($E3598="","",IF(COUNTIF($E$2:$E3598,$E3598)=1,1,0))</f>
        <v/>
      </c>
      <c r="AO3598">
        <f>IF($AN3598=1,SUMPRODUCT(--($AR$2:$AR$4001&lt;$AR3598))+1,"")</f>
        <v/>
      </c>
      <c r="AP3598">
        <f>IF($E3598="","",IF(OR($U3598=TRUE(),$U3598="TRUE"),1,0))</f>
        <v/>
      </c>
      <c r="AQ3598">
        <f>IF($E3598="","",IF($AA3598="Yes",1,0))</f>
        <v/>
      </c>
      <c r="AR3598">
        <f>IF($AN3598=1,IFERROR(VALUE(MID($E3598,2,20)),1000000000)+ROW()/100000,"")</f>
        <v/>
      </c>
    </row>
    <row r="3599">
      <c r="G3599" s="11" t="n"/>
      <c r="Q3599" s="7">
        <f>IF($E3599="","",P3599*Y3599/100)</f>
        <v/>
      </c>
      <c r="R3599" s="7" t="n"/>
      <c r="X3599" s="7" t="n"/>
      <c r="Y3599" s="7" t="n"/>
      <c r="AB3599">
        <f>IF($E3599="","",IF($AQ3599=1,0,IF($AP3599=1,Settings!$C$6,Settings!$C$7))*100)</f>
        <v/>
      </c>
      <c r="AC3599" s="7">
        <f>IF($E3599="","",Y3599*AB3599/100)</f>
        <v/>
      </c>
      <c r="AD3599" s="7">
        <f>IF($E3599="","",Y3599-AC3599)</f>
        <v/>
      </c>
      <c r="AE3599" s="7">
        <f>IF($E3599="","",AD3599-Q3599)</f>
        <v/>
      </c>
      <c r="AI3599" s="7" t="n"/>
      <c r="AL3599" s="11" t="n"/>
      <c r="AN3599">
        <f>IF($E3599="","",IF(COUNTIF($E$2:$E3599,$E3599)=1,1,0))</f>
        <v/>
      </c>
      <c r="AO3599">
        <f>IF($AN3599=1,SUMPRODUCT(--($AR$2:$AR$4001&lt;$AR3599))+1,"")</f>
        <v/>
      </c>
      <c r="AP3599">
        <f>IF($E3599="","",IF(OR($U3599=TRUE(),$U3599="TRUE"),1,0))</f>
        <v/>
      </c>
      <c r="AQ3599">
        <f>IF($E3599="","",IF($AA3599="Yes",1,0))</f>
        <v/>
      </c>
      <c r="AR3599">
        <f>IF($AN3599=1,IFERROR(VALUE(MID($E3599,2,20)),1000000000)+ROW()/100000,"")</f>
        <v/>
      </c>
    </row>
    <row r="3600">
      <c r="G3600" s="11" t="n"/>
      <c r="Q3600" s="7">
        <f>IF($E3600="","",P3600*Y3600/100)</f>
        <v/>
      </c>
      <c r="R3600" s="7" t="n"/>
      <c r="X3600" s="7" t="n"/>
      <c r="Y3600" s="7" t="n"/>
      <c r="AB3600">
        <f>IF($E3600="","",IF($AQ3600=1,0,IF($AP3600=1,Settings!$C$6,Settings!$C$7))*100)</f>
        <v/>
      </c>
      <c r="AC3600" s="7">
        <f>IF($E3600="","",Y3600*AB3600/100)</f>
        <v/>
      </c>
      <c r="AD3600" s="7">
        <f>IF($E3600="","",Y3600-AC3600)</f>
        <v/>
      </c>
      <c r="AE3600" s="7">
        <f>IF($E3600="","",AD3600-Q3600)</f>
        <v/>
      </c>
      <c r="AI3600" s="7" t="n"/>
      <c r="AL3600" s="11" t="n"/>
      <c r="AN3600">
        <f>IF($E3600="","",IF(COUNTIF($E$2:$E3600,$E3600)=1,1,0))</f>
        <v/>
      </c>
      <c r="AO3600">
        <f>IF($AN3600=1,SUMPRODUCT(--($AR$2:$AR$4001&lt;$AR3600))+1,"")</f>
        <v/>
      </c>
      <c r="AP3600">
        <f>IF($E3600="","",IF(OR($U3600=TRUE(),$U3600="TRUE"),1,0))</f>
        <v/>
      </c>
      <c r="AQ3600">
        <f>IF($E3600="","",IF($AA3600="Yes",1,0))</f>
        <v/>
      </c>
      <c r="AR3600">
        <f>IF($AN3600=1,IFERROR(VALUE(MID($E3600,2,20)),1000000000)+ROW()/100000,"")</f>
        <v/>
      </c>
    </row>
    <row r="3601">
      <c r="G3601" s="11" t="n"/>
      <c r="Q3601" s="7">
        <f>IF($E3601="","",P3601*Y3601/100)</f>
        <v/>
      </c>
      <c r="R3601" s="7" t="n"/>
      <c r="X3601" s="7" t="n"/>
      <c r="Y3601" s="7" t="n"/>
      <c r="AB3601">
        <f>IF($E3601="","",IF($AQ3601=1,0,IF($AP3601=1,Settings!$C$6,Settings!$C$7))*100)</f>
        <v/>
      </c>
      <c r="AC3601" s="7">
        <f>IF($E3601="","",Y3601*AB3601/100)</f>
        <v/>
      </c>
      <c r="AD3601" s="7">
        <f>IF($E3601="","",Y3601-AC3601)</f>
        <v/>
      </c>
      <c r="AE3601" s="7">
        <f>IF($E3601="","",AD3601-Q3601)</f>
        <v/>
      </c>
      <c r="AI3601" s="7" t="n"/>
      <c r="AL3601" s="11" t="n"/>
      <c r="AN3601">
        <f>IF($E3601="","",IF(COUNTIF($E$2:$E3601,$E3601)=1,1,0))</f>
        <v/>
      </c>
      <c r="AO3601">
        <f>IF($AN3601=1,SUMPRODUCT(--($AR$2:$AR$4001&lt;$AR3601))+1,"")</f>
        <v/>
      </c>
      <c r="AP3601">
        <f>IF($E3601="","",IF(OR($U3601=TRUE(),$U3601="TRUE"),1,0))</f>
        <v/>
      </c>
      <c r="AQ3601">
        <f>IF($E3601="","",IF($AA3601="Yes",1,0))</f>
        <v/>
      </c>
      <c r="AR3601">
        <f>IF($AN3601=1,IFERROR(VALUE(MID($E3601,2,20)),1000000000)+ROW()/100000,"")</f>
        <v/>
      </c>
    </row>
    <row r="3602">
      <c r="G3602" s="11" t="n"/>
      <c r="Q3602" s="7">
        <f>IF($E3602="","",P3602*Y3602/100)</f>
        <v/>
      </c>
      <c r="R3602" s="7" t="n"/>
      <c r="X3602" s="7" t="n"/>
      <c r="Y3602" s="7" t="n"/>
      <c r="AB3602">
        <f>IF($E3602="","",IF($AQ3602=1,0,IF($AP3602=1,Settings!$C$6,Settings!$C$7))*100)</f>
        <v/>
      </c>
      <c r="AC3602" s="7">
        <f>IF($E3602="","",Y3602*AB3602/100)</f>
        <v/>
      </c>
      <c r="AD3602" s="7">
        <f>IF($E3602="","",Y3602-AC3602)</f>
        <v/>
      </c>
      <c r="AE3602" s="7">
        <f>IF($E3602="","",AD3602-Q3602)</f>
        <v/>
      </c>
      <c r="AI3602" s="7" t="n"/>
      <c r="AL3602" s="11" t="n"/>
      <c r="AN3602">
        <f>IF($E3602="","",IF(COUNTIF($E$2:$E3602,$E3602)=1,1,0))</f>
        <v/>
      </c>
      <c r="AO3602">
        <f>IF($AN3602=1,SUMPRODUCT(--($AR$2:$AR$4001&lt;$AR3602))+1,"")</f>
        <v/>
      </c>
      <c r="AP3602">
        <f>IF($E3602="","",IF(OR($U3602=TRUE(),$U3602="TRUE"),1,0))</f>
        <v/>
      </c>
      <c r="AQ3602">
        <f>IF($E3602="","",IF($AA3602="Yes",1,0))</f>
        <v/>
      </c>
      <c r="AR3602">
        <f>IF($AN3602=1,IFERROR(VALUE(MID($E3602,2,20)),1000000000)+ROW()/100000,"")</f>
        <v/>
      </c>
    </row>
    <row r="3603">
      <c r="G3603" s="11" t="n"/>
      <c r="Q3603" s="7">
        <f>IF($E3603="","",P3603*Y3603/100)</f>
        <v/>
      </c>
      <c r="R3603" s="7" t="n"/>
      <c r="X3603" s="7" t="n"/>
      <c r="Y3603" s="7" t="n"/>
      <c r="AB3603">
        <f>IF($E3603="","",IF($AQ3603=1,0,IF($AP3603=1,Settings!$C$6,Settings!$C$7))*100)</f>
        <v/>
      </c>
      <c r="AC3603" s="7">
        <f>IF($E3603="","",Y3603*AB3603/100)</f>
        <v/>
      </c>
      <c r="AD3603" s="7">
        <f>IF($E3603="","",Y3603-AC3603)</f>
        <v/>
      </c>
      <c r="AE3603" s="7">
        <f>IF($E3603="","",AD3603-Q3603)</f>
        <v/>
      </c>
      <c r="AI3603" s="7" t="n"/>
      <c r="AL3603" s="11" t="n"/>
      <c r="AN3603">
        <f>IF($E3603="","",IF(COUNTIF($E$2:$E3603,$E3603)=1,1,0))</f>
        <v/>
      </c>
      <c r="AO3603">
        <f>IF($AN3603=1,SUMPRODUCT(--($AR$2:$AR$4001&lt;$AR3603))+1,"")</f>
        <v/>
      </c>
      <c r="AP3603">
        <f>IF($E3603="","",IF(OR($U3603=TRUE(),$U3603="TRUE"),1,0))</f>
        <v/>
      </c>
      <c r="AQ3603">
        <f>IF($E3603="","",IF($AA3603="Yes",1,0))</f>
        <v/>
      </c>
      <c r="AR3603">
        <f>IF($AN3603=1,IFERROR(VALUE(MID($E3603,2,20)),1000000000)+ROW()/100000,"")</f>
        <v/>
      </c>
    </row>
    <row r="3604">
      <c r="G3604" s="11" t="n"/>
      <c r="Q3604" s="7">
        <f>IF($E3604="","",P3604*Y3604/100)</f>
        <v/>
      </c>
      <c r="R3604" s="7" t="n"/>
      <c r="X3604" s="7" t="n"/>
      <c r="Y3604" s="7" t="n"/>
      <c r="AB3604">
        <f>IF($E3604="","",IF($AQ3604=1,0,IF($AP3604=1,Settings!$C$6,Settings!$C$7))*100)</f>
        <v/>
      </c>
      <c r="AC3604" s="7">
        <f>IF($E3604="","",Y3604*AB3604/100)</f>
        <v/>
      </c>
      <c r="AD3604" s="7">
        <f>IF($E3604="","",Y3604-AC3604)</f>
        <v/>
      </c>
      <c r="AE3604" s="7">
        <f>IF($E3604="","",AD3604-Q3604)</f>
        <v/>
      </c>
      <c r="AI3604" s="7" t="n"/>
      <c r="AL3604" s="11" t="n"/>
      <c r="AN3604">
        <f>IF($E3604="","",IF(COUNTIF($E$2:$E3604,$E3604)=1,1,0))</f>
        <v/>
      </c>
      <c r="AO3604">
        <f>IF($AN3604=1,SUMPRODUCT(--($AR$2:$AR$4001&lt;$AR3604))+1,"")</f>
        <v/>
      </c>
      <c r="AP3604">
        <f>IF($E3604="","",IF(OR($U3604=TRUE(),$U3604="TRUE"),1,0))</f>
        <v/>
      </c>
      <c r="AQ3604">
        <f>IF($E3604="","",IF($AA3604="Yes",1,0))</f>
        <v/>
      </c>
      <c r="AR3604">
        <f>IF($AN3604=1,IFERROR(VALUE(MID($E3604,2,20)),1000000000)+ROW()/100000,"")</f>
        <v/>
      </c>
    </row>
    <row r="3605">
      <c r="G3605" s="11" t="n"/>
      <c r="Q3605" s="7">
        <f>IF($E3605="","",P3605*Y3605/100)</f>
        <v/>
      </c>
      <c r="R3605" s="7" t="n"/>
      <c r="X3605" s="7" t="n"/>
      <c r="Y3605" s="7" t="n"/>
      <c r="AB3605">
        <f>IF($E3605="","",IF($AQ3605=1,0,IF($AP3605=1,Settings!$C$6,Settings!$C$7))*100)</f>
        <v/>
      </c>
      <c r="AC3605" s="7">
        <f>IF($E3605="","",Y3605*AB3605/100)</f>
        <v/>
      </c>
      <c r="AD3605" s="7">
        <f>IF($E3605="","",Y3605-AC3605)</f>
        <v/>
      </c>
      <c r="AE3605" s="7">
        <f>IF($E3605="","",AD3605-Q3605)</f>
        <v/>
      </c>
      <c r="AI3605" s="7" t="n"/>
      <c r="AL3605" s="11" t="n"/>
      <c r="AN3605">
        <f>IF($E3605="","",IF(COUNTIF($E$2:$E3605,$E3605)=1,1,0))</f>
        <v/>
      </c>
      <c r="AO3605">
        <f>IF($AN3605=1,SUMPRODUCT(--($AR$2:$AR$4001&lt;$AR3605))+1,"")</f>
        <v/>
      </c>
      <c r="AP3605">
        <f>IF($E3605="","",IF(OR($U3605=TRUE(),$U3605="TRUE"),1,0))</f>
        <v/>
      </c>
      <c r="AQ3605">
        <f>IF($E3605="","",IF($AA3605="Yes",1,0))</f>
        <v/>
      </c>
      <c r="AR3605">
        <f>IF($AN3605=1,IFERROR(VALUE(MID($E3605,2,20)),1000000000)+ROW()/100000,"")</f>
        <v/>
      </c>
    </row>
    <row r="3606">
      <c r="G3606" s="11" t="n"/>
      <c r="Q3606" s="7">
        <f>IF($E3606="","",P3606*Y3606/100)</f>
        <v/>
      </c>
      <c r="R3606" s="7" t="n"/>
      <c r="X3606" s="7" t="n"/>
      <c r="Y3606" s="7" t="n"/>
      <c r="AB3606">
        <f>IF($E3606="","",IF($AQ3606=1,0,IF($AP3606=1,Settings!$C$6,Settings!$C$7))*100)</f>
        <v/>
      </c>
      <c r="AC3606" s="7">
        <f>IF($E3606="","",Y3606*AB3606/100)</f>
        <v/>
      </c>
      <c r="AD3606" s="7">
        <f>IF($E3606="","",Y3606-AC3606)</f>
        <v/>
      </c>
      <c r="AE3606" s="7">
        <f>IF($E3606="","",AD3606-Q3606)</f>
        <v/>
      </c>
      <c r="AI3606" s="7" t="n"/>
      <c r="AL3606" s="11" t="n"/>
      <c r="AN3606">
        <f>IF($E3606="","",IF(COUNTIF($E$2:$E3606,$E3606)=1,1,0))</f>
        <v/>
      </c>
      <c r="AO3606">
        <f>IF($AN3606=1,SUMPRODUCT(--($AR$2:$AR$4001&lt;$AR3606))+1,"")</f>
        <v/>
      </c>
      <c r="AP3606">
        <f>IF($E3606="","",IF(OR($U3606=TRUE(),$U3606="TRUE"),1,0))</f>
        <v/>
      </c>
      <c r="AQ3606">
        <f>IF($E3606="","",IF($AA3606="Yes",1,0))</f>
        <v/>
      </c>
      <c r="AR3606">
        <f>IF($AN3606=1,IFERROR(VALUE(MID($E3606,2,20)),1000000000)+ROW()/100000,"")</f>
        <v/>
      </c>
    </row>
    <row r="3607">
      <c r="G3607" s="11" t="n"/>
      <c r="Q3607" s="7">
        <f>IF($E3607="","",P3607*Y3607/100)</f>
        <v/>
      </c>
      <c r="R3607" s="7" t="n"/>
      <c r="X3607" s="7" t="n"/>
      <c r="Y3607" s="7" t="n"/>
      <c r="AB3607">
        <f>IF($E3607="","",IF($AQ3607=1,0,IF($AP3607=1,Settings!$C$6,Settings!$C$7))*100)</f>
        <v/>
      </c>
      <c r="AC3607" s="7">
        <f>IF($E3607="","",Y3607*AB3607/100)</f>
        <v/>
      </c>
      <c r="AD3607" s="7">
        <f>IF($E3607="","",Y3607-AC3607)</f>
        <v/>
      </c>
      <c r="AE3607" s="7">
        <f>IF($E3607="","",AD3607-Q3607)</f>
        <v/>
      </c>
      <c r="AI3607" s="7" t="n"/>
      <c r="AL3607" s="11" t="n"/>
      <c r="AN3607">
        <f>IF($E3607="","",IF(COUNTIF($E$2:$E3607,$E3607)=1,1,0))</f>
        <v/>
      </c>
      <c r="AO3607">
        <f>IF($AN3607=1,SUMPRODUCT(--($AR$2:$AR$4001&lt;$AR3607))+1,"")</f>
        <v/>
      </c>
      <c r="AP3607">
        <f>IF($E3607="","",IF(OR($U3607=TRUE(),$U3607="TRUE"),1,0))</f>
        <v/>
      </c>
      <c r="AQ3607">
        <f>IF($E3607="","",IF($AA3607="Yes",1,0))</f>
        <v/>
      </c>
      <c r="AR3607">
        <f>IF($AN3607=1,IFERROR(VALUE(MID($E3607,2,20)),1000000000)+ROW()/100000,"")</f>
        <v/>
      </c>
    </row>
    <row r="3608">
      <c r="G3608" s="11" t="n"/>
      <c r="Q3608" s="7">
        <f>IF($E3608="","",P3608*Y3608/100)</f>
        <v/>
      </c>
      <c r="R3608" s="7" t="n"/>
      <c r="X3608" s="7" t="n"/>
      <c r="Y3608" s="7" t="n"/>
      <c r="AB3608">
        <f>IF($E3608="","",IF($AQ3608=1,0,IF($AP3608=1,Settings!$C$6,Settings!$C$7))*100)</f>
        <v/>
      </c>
      <c r="AC3608" s="7">
        <f>IF($E3608="","",Y3608*AB3608/100)</f>
        <v/>
      </c>
      <c r="AD3608" s="7">
        <f>IF($E3608="","",Y3608-AC3608)</f>
        <v/>
      </c>
      <c r="AE3608" s="7">
        <f>IF($E3608="","",AD3608-Q3608)</f>
        <v/>
      </c>
      <c r="AI3608" s="7" t="n"/>
      <c r="AL3608" s="11" t="n"/>
      <c r="AN3608">
        <f>IF($E3608="","",IF(COUNTIF($E$2:$E3608,$E3608)=1,1,0))</f>
        <v/>
      </c>
      <c r="AO3608">
        <f>IF($AN3608=1,SUMPRODUCT(--($AR$2:$AR$4001&lt;$AR3608))+1,"")</f>
        <v/>
      </c>
      <c r="AP3608">
        <f>IF($E3608="","",IF(OR($U3608=TRUE(),$U3608="TRUE"),1,0))</f>
        <v/>
      </c>
      <c r="AQ3608">
        <f>IF($E3608="","",IF($AA3608="Yes",1,0))</f>
        <v/>
      </c>
      <c r="AR3608">
        <f>IF($AN3608=1,IFERROR(VALUE(MID($E3608,2,20)),1000000000)+ROW()/100000,"")</f>
        <v/>
      </c>
    </row>
    <row r="3609">
      <c r="G3609" s="11" t="n"/>
      <c r="Q3609" s="7">
        <f>IF($E3609="","",P3609*Y3609/100)</f>
        <v/>
      </c>
      <c r="R3609" s="7" t="n"/>
      <c r="X3609" s="7" t="n"/>
      <c r="Y3609" s="7" t="n"/>
      <c r="AB3609">
        <f>IF($E3609="","",IF($AQ3609=1,0,IF($AP3609=1,Settings!$C$6,Settings!$C$7))*100)</f>
        <v/>
      </c>
      <c r="AC3609" s="7">
        <f>IF($E3609="","",Y3609*AB3609/100)</f>
        <v/>
      </c>
      <c r="AD3609" s="7">
        <f>IF($E3609="","",Y3609-AC3609)</f>
        <v/>
      </c>
      <c r="AE3609" s="7">
        <f>IF($E3609="","",AD3609-Q3609)</f>
        <v/>
      </c>
      <c r="AI3609" s="7" t="n"/>
      <c r="AL3609" s="11" t="n"/>
      <c r="AN3609">
        <f>IF($E3609="","",IF(COUNTIF($E$2:$E3609,$E3609)=1,1,0))</f>
        <v/>
      </c>
      <c r="AO3609">
        <f>IF($AN3609=1,SUMPRODUCT(--($AR$2:$AR$4001&lt;$AR3609))+1,"")</f>
        <v/>
      </c>
      <c r="AP3609">
        <f>IF($E3609="","",IF(OR($U3609=TRUE(),$U3609="TRUE"),1,0))</f>
        <v/>
      </c>
      <c r="AQ3609">
        <f>IF($E3609="","",IF($AA3609="Yes",1,0))</f>
        <v/>
      </c>
      <c r="AR3609">
        <f>IF($AN3609=1,IFERROR(VALUE(MID($E3609,2,20)),1000000000)+ROW()/100000,"")</f>
        <v/>
      </c>
    </row>
    <row r="3610">
      <c r="G3610" s="11" t="n"/>
      <c r="Q3610" s="7">
        <f>IF($E3610="","",P3610*Y3610/100)</f>
        <v/>
      </c>
      <c r="R3610" s="7" t="n"/>
      <c r="X3610" s="7" t="n"/>
      <c r="Y3610" s="7" t="n"/>
      <c r="AB3610">
        <f>IF($E3610="","",IF($AQ3610=1,0,IF($AP3610=1,Settings!$C$6,Settings!$C$7))*100)</f>
        <v/>
      </c>
      <c r="AC3610" s="7">
        <f>IF($E3610="","",Y3610*AB3610/100)</f>
        <v/>
      </c>
      <c r="AD3610" s="7">
        <f>IF($E3610="","",Y3610-AC3610)</f>
        <v/>
      </c>
      <c r="AE3610" s="7">
        <f>IF($E3610="","",AD3610-Q3610)</f>
        <v/>
      </c>
      <c r="AI3610" s="7" t="n"/>
      <c r="AL3610" s="11" t="n"/>
      <c r="AN3610">
        <f>IF($E3610="","",IF(COUNTIF($E$2:$E3610,$E3610)=1,1,0))</f>
        <v/>
      </c>
      <c r="AO3610">
        <f>IF($AN3610=1,SUMPRODUCT(--($AR$2:$AR$4001&lt;$AR3610))+1,"")</f>
        <v/>
      </c>
      <c r="AP3610">
        <f>IF($E3610="","",IF(OR($U3610=TRUE(),$U3610="TRUE"),1,0))</f>
        <v/>
      </c>
      <c r="AQ3610">
        <f>IF($E3610="","",IF($AA3610="Yes",1,0))</f>
        <v/>
      </c>
      <c r="AR3610">
        <f>IF($AN3610=1,IFERROR(VALUE(MID($E3610,2,20)),1000000000)+ROW()/100000,"")</f>
        <v/>
      </c>
    </row>
    <row r="3611">
      <c r="G3611" s="11" t="n"/>
      <c r="Q3611" s="7">
        <f>IF($E3611="","",P3611*Y3611/100)</f>
        <v/>
      </c>
      <c r="R3611" s="7" t="n"/>
      <c r="X3611" s="7" t="n"/>
      <c r="Y3611" s="7" t="n"/>
      <c r="AB3611">
        <f>IF($E3611="","",IF($AQ3611=1,0,IF($AP3611=1,Settings!$C$6,Settings!$C$7))*100)</f>
        <v/>
      </c>
      <c r="AC3611" s="7">
        <f>IF($E3611="","",Y3611*AB3611/100)</f>
        <v/>
      </c>
      <c r="AD3611" s="7">
        <f>IF($E3611="","",Y3611-AC3611)</f>
        <v/>
      </c>
      <c r="AE3611" s="7">
        <f>IF($E3611="","",AD3611-Q3611)</f>
        <v/>
      </c>
      <c r="AI3611" s="7" t="n"/>
      <c r="AL3611" s="11" t="n"/>
      <c r="AN3611">
        <f>IF($E3611="","",IF(COUNTIF($E$2:$E3611,$E3611)=1,1,0))</f>
        <v/>
      </c>
      <c r="AO3611">
        <f>IF($AN3611=1,SUMPRODUCT(--($AR$2:$AR$4001&lt;$AR3611))+1,"")</f>
        <v/>
      </c>
      <c r="AP3611">
        <f>IF($E3611="","",IF(OR($U3611=TRUE(),$U3611="TRUE"),1,0))</f>
        <v/>
      </c>
      <c r="AQ3611">
        <f>IF($E3611="","",IF($AA3611="Yes",1,0))</f>
        <v/>
      </c>
      <c r="AR3611">
        <f>IF($AN3611=1,IFERROR(VALUE(MID($E3611,2,20)),1000000000)+ROW()/100000,"")</f>
        <v/>
      </c>
    </row>
    <row r="3612">
      <c r="G3612" s="11" t="n"/>
      <c r="Q3612" s="7">
        <f>IF($E3612="","",P3612*Y3612/100)</f>
        <v/>
      </c>
      <c r="R3612" s="7" t="n"/>
      <c r="X3612" s="7" t="n"/>
      <c r="Y3612" s="7" t="n"/>
      <c r="AB3612">
        <f>IF($E3612="","",IF($AQ3612=1,0,IF($AP3612=1,Settings!$C$6,Settings!$C$7))*100)</f>
        <v/>
      </c>
      <c r="AC3612" s="7">
        <f>IF($E3612="","",Y3612*AB3612/100)</f>
        <v/>
      </c>
      <c r="AD3612" s="7">
        <f>IF($E3612="","",Y3612-AC3612)</f>
        <v/>
      </c>
      <c r="AE3612" s="7">
        <f>IF($E3612="","",AD3612-Q3612)</f>
        <v/>
      </c>
      <c r="AI3612" s="7" t="n"/>
      <c r="AL3612" s="11" t="n"/>
      <c r="AN3612">
        <f>IF($E3612="","",IF(COUNTIF($E$2:$E3612,$E3612)=1,1,0))</f>
        <v/>
      </c>
      <c r="AO3612">
        <f>IF($AN3612=1,SUMPRODUCT(--($AR$2:$AR$4001&lt;$AR3612))+1,"")</f>
        <v/>
      </c>
      <c r="AP3612">
        <f>IF($E3612="","",IF(OR($U3612=TRUE(),$U3612="TRUE"),1,0))</f>
        <v/>
      </c>
      <c r="AQ3612">
        <f>IF($E3612="","",IF($AA3612="Yes",1,0))</f>
        <v/>
      </c>
      <c r="AR3612">
        <f>IF($AN3612=1,IFERROR(VALUE(MID($E3612,2,20)),1000000000)+ROW()/100000,"")</f>
        <v/>
      </c>
    </row>
    <row r="3613">
      <c r="G3613" s="11" t="n"/>
      <c r="Q3613" s="7">
        <f>IF($E3613="","",P3613*Y3613/100)</f>
        <v/>
      </c>
      <c r="R3613" s="7" t="n"/>
      <c r="X3613" s="7" t="n"/>
      <c r="Y3613" s="7" t="n"/>
      <c r="AB3613">
        <f>IF($E3613="","",IF($AQ3613=1,0,IF($AP3613=1,Settings!$C$6,Settings!$C$7))*100)</f>
        <v/>
      </c>
      <c r="AC3613" s="7">
        <f>IF($E3613="","",Y3613*AB3613/100)</f>
        <v/>
      </c>
      <c r="AD3613" s="7">
        <f>IF($E3613="","",Y3613-AC3613)</f>
        <v/>
      </c>
      <c r="AE3613" s="7">
        <f>IF($E3613="","",AD3613-Q3613)</f>
        <v/>
      </c>
      <c r="AI3613" s="7" t="n"/>
      <c r="AL3613" s="11" t="n"/>
      <c r="AN3613">
        <f>IF($E3613="","",IF(COUNTIF($E$2:$E3613,$E3613)=1,1,0))</f>
        <v/>
      </c>
      <c r="AO3613">
        <f>IF($AN3613=1,SUMPRODUCT(--($AR$2:$AR$4001&lt;$AR3613))+1,"")</f>
        <v/>
      </c>
      <c r="AP3613">
        <f>IF($E3613="","",IF(OR($U3613=TRUE(),$U3613="TRUE"),1,0))</f>
        <v/>
      </c>
      <c r="AQ3613">
        <f>IF($E3613="","",IF($AA3613="Yes",1,0))</f>
        <v/>
      </c>
      <c r="AR3613">
        <f>IF($AN3613=1,IFERROR(VALUE(MID($E3613,2,20)),1000000000)+ROW()/100000,"")</f>
        <v/>
      </c>
    </row>
    <row r="3614">
      <c r="G3614" s="11" t="n"/>
      <c r="Q3614" s="7">
        <f>IF($E3614="","",P3614*Y3614/100)</f>
        <v/>
      </c>
      <c r="R3614" s="7" t="n"/>
      <c r="X3614" s="7" t="n"/>
      <c r="Y3614" s="7" t="n"/>
      <c r="AB3614">
        <f>IF($E3614="","",IF($AQ3614=1,0,IF($AP3614=1,Settings!$C$6,Settings!$C$7))*100)</f>
        <v/>
      </c>
      <c r="AC3614" s="7">
        <f>IF($E3614="","",Y3614*AB3614/100)</f>
        <v/>
      </c>
      <c r="AD3614" s="7">
        <f>IF($E3614="","",Y3614-AC3614)</f>
        <v/>
      </c>
      <c r="AE3614" s="7">
        <f>IF($E3614="","",AD3614-Q3614)</f>
        <v/>
      </c>
      <c r="AI3614" s="7" t="n"/>
      <c r="AL3614" s="11" t="n"/>
      <c r="AN3614">
        <f>IF($E3614="","",IF(COUNTIF($E$2:$E3614,$E3614)=1,1,0))</f>
        <v/>
      </c>
      <c r="AO3614">
        <f>IF($AN3614=1,SUMPRODUCT(--($AR$2:$AR$4001&lt;$AR3614))+1,"")</f>
        <v/>
      </c>
      <c r="AP3614">
        <f>IF($E3614="","",IF(OR($U3614=TRUE(),$U3614="TRUE"),1,0))</f>
        <v/>
      </c>
      <c r="AQ3614">
        <f>IF($E3614="","",IF($AA3614="Yes",1,0))</f>
        <v/>
      </c>
      <c r="AR3614">
        <f>IF($AN3614=1,IFERROR(VALUE(MID($E3614,2,20)),1000000000)+ROW()/100000,"")</f>
        <v/>
      </c>
    </row>
    <row r="3615">
      <c r="G3615" s="11" t="n"/>
      <c r="Q3615" s="7">
        <f>IF($E3615="","",P3615*Y3615/100)</f>
        <v/>
      </c>
      <c r="R3615" s="7" t="n"/>
      <c r="X3615" s="7" t="n"/>
      <c r="Y3615" s="7" t="n"/>
      <c r="AB3615">
        <f>IF($E3615="","",IF($AQ3615=1,0,IF($AP3615=1,Settings!$C$6,Settings!$C$7))*100)</f>
        <v/>
      </c>
      <c r="AC3615" s="7">
        <f>IF($E3615="","",Y3615*AB3615/100)</f>
        <v/>
      </c>
      <c r="AD3615" s="7">
        <f>IF($E3615="","",Y3615-AC3615)</f>
        <v/>
      </c>
      <c r="AE3615" s="7">
        <f>IF($E3615="","",AD3615-Q3615)</f>
        <v/>
      </c>
      <c r="AI3615" s="7" t="n"/>
      <c r="AL3615" s="11" t="n"/>
      <c r="AN3615">
        <f>IF($E3615="","",IF(COUNTIF($E$2:$E3615,$E3615)=1,1,0))</f>
        <v/>
      </c>
      <c r="AO3615">
        <f>IF($AN3615=1,SUMPRODUCT(--($AR$2:$AR$4001&lt;$AR3615))+1,"")</f>
        <v/>
      </c>
      <c r="AP3615">
        <f>IF($E3615="","",IF(OR($U3615=TRUE(),$U3615="TRUE"),1,0))</f>
        <v/>
      </c>
      <c r="AQ3615">
        <f>IF($E3615="","",IF($AA3615="Yes",1,0))</f>
        <v/>
      </c>
      <c r="AR3615">
        <f>IF($AN3615=1,IFERROR(VALUE(MID($E3615,2,20)),1000000000)+ROW()/100000,"")</f>
        <v/>
      </c>
    </row>
    <row r="3616">
      <c r="G3616" s="11" t="n"/>
      <c r="Q3616" s="7">
        <f>IF($E3616="","",P3616*Y3616/100)</f>
        <v/>
      </c>
      <c r="R3616" s="7" t="n"/>
      <c r="X3616" s="7" t="n"/>
      <c r="Y3616" s="7" t="n"/>
      <c r="AB3616">
        <f>IF($E3616="","",IF($AQ3616=1,0,IF($AP3616=1,Settings!$C$6,Settings!$C$7))*100)</f>
        <v/>
      </c>
      <c r="AC3616" s="7">
        <f>IF($E3616="","",Y3616*AB3616/100)</f>
        <v/>
      </c>
      <c r="AD3616" s="7">
        <f>IF($E3616="","",Y3616-AC3616)</f>
        <v/>
      </c>
      <c r="AE3616" s="7">
        <f>IF($E3616="","",AD3616-Q3616)</f>
        <v/>
      </c>
      <c r="AI3616" s="7" t="n"/>
      <c r="AL3616" s="11" t="n"/>
      <c r="AN3616">
        <f>IF($E3616="","",IF(COUNTIF($E$2:$E3616,$E3616)=1,1,0))</f>
        <v/>
      </c>
      <c r="AO3616">
        <f>IF($AN3616=1,SUMPRODUCT(--($AR$2:$AR$4001&lt;$AR3616))+1,"")</f>
        <v/>
      </c>
      <c r="AP3616">
        <f>IF($E3616="","",IF(OR($U3616=TRUE(),$U3616="TRUE"),1,0))</f>
        <v/>
      </c>
      <c r="AQ3616">
        <f>IF($E3616="","",IF($AA3616="Yes",1,0))</f>
        <v/>
      </c>
      <c r="AR3616">
        <f>IF($AN3616=1,IFERROR(VALUE(MID($E3616,2,20)),1000000000)+ROW()/100000,"")</f>
        <v/>
      </c>
    </row>
    <row r="3617">
      <c r="G3617" s="11" t="n"/>
      <c r="Q3617" s="7">
        <f>IF($E3617="","",P3617*Y3617/100)</f>
        <v/>
      </c>
      <c r="R3617" s="7" t="n"/>
      <c r="X3617" s="7" t="n"/>
      <c r="Y3617" s="7" t="n"/>
      <c r="AB3617">
        <f>IF($E3617="","",IF($AQ3617=1,0,IF($AP3617=1,Settings!$C$6,Settings!$C$7))*100)</f>
        <v/>
      </c>
      <c r="AC3617" s="7">
        <f>IF($E3617="","",Y3617*AB3617/100)</f>
        <v/>
      </c>
      <c r="AD3617" s="7">
        <f>IF($E3617="","",Y3617-AC3617)</f>
        <v/>
      </c>
      <c r="AE3617" s="7">
        <f>IF($E3617="","",AD3617-Q3617)</f>
        <v/>
      </c>
      <c r="AI3617" s="7" t="n"/>
      <c r="AL3617" s="11" t="n"/>
      <c r="AN3617">
        <f>IF($E3617="","",IF(COUNTIF($E$2:$E3617,$E3617)=1,1,0))</f>
        <v/>
      </c>
      <c r="AO3617">
        <f>IF($AN3617=1,SUMPRODUCT(--($AR$2:$AR$4001&lt;$AR3617))+1,"")</f>
        <v/>
      </c>
      <c r="AP3617">
        <f>IF($E3617="","",IF(OR($U3617=TRUE(),$U3617="TRUE"),1,0))</f>
        <v/>
      </c>
      <c r="AQ3617">
        <f>IF($E3617="","",IF($AA3617="Yes",1,0))</f>
        <v/>
      </c>
      <c r="AR3617">
        <f>IF($AN3617=1,IFERROR(VALUE(MID($E3617,2,20)),1000000000)+ROW()/100000,"")</f>
        <v/>
      </c>
    </row>
    <row r="3618">
      <c r="G3618" s="11" t="n"/>
      <c r="Q3618" s="7">
        <f>IF($E3618="","",P3618*Y3618/100)</f>
        <v/>
      </c>
      <c r="R3618" s="7" t="n"/>
      <c r="X3618" s="7" t="n"/>
      <c r="Y3618" s="7" t="n"/>
      <c r="AB3618">
        <f>IF($E3618="","",IF($AQ3618=1,0,IF($AP3618=1,Settings!$C$6,Settings!$C$7))*100)</f>
        <v/>
      </c>
      <c r="AC3618" s="7">
        <f>IF($E3618="","",Y3618*AB3618/100)</f>
        <v/>
      </c>
      <c r="AD3618" s="7">
        <f>IF($E3618="","",Y3618-AC3618)</f>
        <v/>
      </c>
      <c r="AE3618" s="7">
        <f>IF($E3618="","",AD3618-Q3618)</f>
        <v/>
      </c>
      <c r="AI3618" s="7" t="n"/>
      <c r="AL3618" s="11" t="n"/>
      <c r="AN3618">
        <f>IF($E3618="","",IF(COUNTIF($E$2:$E3618,$E3618)=1,1,0))</f>
        <v/>
      </c>
      <c r="AO3618">
        <f>IF($AN3618=1,SUMPRODUCT(--($AR$2:$AR$4001&lt;$AR3618))+1,"")</f>
        <v/>
      </c>
      <c r="AP3618">
        <f>IF($E3618="","",IF(OR($U3618=TRUE(),$U3618="TRUE"),1,0))</f>
        <v/>
      </c>
      <c r="AQ3618">
        <f>IF($E3618="","",IF($AA3618="Yes",1,0))</f>
        <v/>
      </c>
      <c r="AR3618">
        <f>IF($AN3618=1,IFERROR(VALUE(MID($E3618,2,20)),1000000000)+ROW()/100000,"")</f>
        <v/>
      </c>
    </row>
    <row r="3619">
      <c r="G3619" s="11" t="n"/>
      <c r="Q3619" s="7">
        <f>IF($E3619="","",P3619*Y3619/100)</f>
        <v/>
      </c>
      <c r="R3619" s="7" t="n"/>
      <c r="X3619" s="7" t="n"/>
      <c r="Y3619" s="7" t="n"/>
      <c r="AB3619">
        <f>IF($E3619="","",IF($AQ3619=1,0,IF($AP3619=1,Settings!$C$6,Settings!$C$7))*100)</f>
        <v/>
      </c>
      <c r="AC3619" s="7">
        <f>IF($E3619="","",Y3619*AB3619/100)</f>
        <v/>
      </c>
      <c r="AD3619" s="7">
        <f>IF($E3619="","",Y3619-AC3619)</f>
        <v/>
      </c>
      <c r="AE3619" s="7">
        <f>IF($E3619="","",AD3619-Q3619)</f>
        <v/>
      </c>
      <c r="AI3619" s="7" t="n"/>
      <c r="AL3619" s="11" t="n"/>
      <c r="AN3619">
        <f>IF($E3619="","",IF(COUNTIF($E$2:$E3619,$E3619)=1,1,0))</f>
        <v/>
      </c>
      <c r="AO3619">
        <f>IF($AN3619=1,SUMPRODUCT(--($AR$2:$AR$4001&lt;$AR3619))+1,"")</f>
        <v/>
      </c>
      <c r="AP3619">
        <f>IF($E3619="","",IF(OR($U3619=TRUE(),$U3619="TRUE"),1,0))</f>
        <v/>
      </c>
      <c r="AQ3619">
        <f>IF($E3619="","",IF($AA3619="Yes",1,0))</f>
        <v/>
      </c>
      <c r="AR3619">
        <f>IF($AN3619=1,IFERROR(VALUE(MID($E3619,2,20)),1000000000)+ROW()/100000,"")</f>
        <v/>
      </c>
    </row>
    <row r="3620">
      <c r="G3620" s="11" t="n"/>
      <c r="Q3620" s="7">
        <f>IF($E3620="","",P3620*Y3620/100)</f>
        <v/>
      </c>
      <c r="R3620" s="7" t="n"/>
      <c r="X3620" s="7" t="n"/>
      <c r="Y3620" s="7" t="n"/>
      <c r="AB3620">
        <f>IF($E3620="","",IF($AQ3620=1,0,IF($AP3620=1,Settings!$C$6,Settings!$C$7))*100)</f>
        <v/>
      </c>
      <c r="AC3620" s="7">
        <f>IF($E3620="","",Y3620*AB3620/100)</f>
        <v/>
      </c>
      <c r="AD3620" s="7">
        <f>IF($E3620="","",Y3620-AC3620)</f>
        <v/>
      </c>
      <c r="AE3620" s="7">
        <f>IF($E3620="","",AD3620-Q3620)</f>
        <v/>
      </c>
      <c r="AI3620" s="7" t="n"/>
      <c r="AL3620" s="11" t="n"/>
      <c r="AN3620">
        <f>IF($E3620="","",IF(COUNTIF($E$2:$E3620,$E3620)=1,1,0))</f>
        <v/>
      </c>
      <c r="AO3620">
        <f>IF($AN3620=1,SUMPRODUCT(--($AR$2:$AR$4001&lt;$AR3620))+1,"")</f>
        <v/>
      </c>
      <c r="AP3620">
        <f>IF($E3620="","",IF(OR($U3620=TRUE(),$U3620="TRUE"),1,0))</f>
        <v/>
      </c>
      <c r="AQ3620">
        <f>IF($E3620="","",IF($AA3620="Yes",1,0))</f>
        <v/>
      </c>
      <c r="AR3620">
        <f>IF($AN3620=1,IFERROR(VALUE(MID($E3620,2,20)),1000000000)+ROW()/100000,"")</f>
        <v/>
      </c>
    </row>
    <row r="3621">
      <c r="G3621" s="11" t="n"/>
      <c r="Q3621" s="7">
        <f>IF($E3621="","",P3621*Y3621/100)</f>
        <v/>
      </c>
      <c r="R3621" s="7" t="n"/>
      <c r="X3621" s="7" t="n"/>
      <c r="Y3621" s="7" t="n"/>
      <c r="AB3621">
        <f>IF($E3621="","",IF($AQ3621=1,0,IF($AP3621=1,Settings!$C$6,Settings!$C$7))*100)</f>
        <v/>
      </c>
      <c r="AC3621" s="7">
        <f>IF($E3621="","",Y3621*AB3621/100)</f>
        <v/>
      </c>
      <c r="AD3621" s="7">
        <f>IF($E3621="","",Y3621-AC3621)</f>
        <v/>
      </c>
      <c r="AE3621" s="7">
        <f>IF($E3621="","",AD3621-Q3621)</f>
        <v/>
      </c>
      <c r="AI3621" s="7" t="n"/>
      <c r="AL3621" s="11" t="n"/>
      <c r="AN3621">
        <f>IF($E3621="","",IF(COUNTIF($E$2:$E3621,$E3621)=1,1,0))</f>
        <v/>
      </c>
      <c r="AO3621">
        <f>IF($AN3621=1,SUMPRODUCT(--($AR$2:$AR$4001&lt;$AR3621))+1,"")</f>
        <v/>
      </c>
      <c r="AP3621">
        <f>IF($E3621="","",IF(OR($U3621=TRUE(),$U3621="TRUE"),1,0))</f>
        <v/>
      </c>
      <c r="AQ3621">
        <f>IF($E3621="","",IF($AA3621="Yes",1,0))</f>
        <v/>
      </c>
      <c r="AR3621">
        <f>IF($AN3621=1,IFERROR(VALUE(MID($E3621,2,20)),1000000000)+ROW()/100000,"")</f>
        <v/>
      </c>
    </row>
    <row r="3622">
      <c r="G3622" s="11" t="n"/>
      <c r="Q3622" s="7">
        <f>IF($E3622="","",P3622*Y3622/100)</f>
        <v/>
      </c>
      <c r="R3622" s="7" t="n"/>
      <c r="X3622" s="7" t="n"/>
      <c r="Y3622" s="7" t="n"/>
      <c r="AB3622">
        <f>IF($E3622="","",IF($AQ3622=1,0,IF($AP3622=1,Settings!$C$6,Settings!$C$7))*100)</f>
        <v/>
      </c>
      <c r="AC3622" s="7">
        <f>IF($E3622="","",Y3622*AB3622/100)</f>
        <v/>
      </c>
      <c r="AD3622" s="7">
        <f>IF($E3622="","",Y3622-AC3622)</f>
        <v/>
      </c>
      <c r="AE3622" s="7">
        <f>IF($E3622="","",AD3622-Q3622)</f>
        <v/>
      </c>
      <c r="AI3622" s="7" t="n"/>
      <c r="AL3622" s="11" t="n"/>
      <c r="AN3622">
        <f>IF($E3622="","",IF(COUNTIF($E$2:$E3622,$E3622)=1,1,0))</f>
        <v/>
      </c>
      <c r="AO3622">
        <f>IF($AN3622=1,SUMPRODUCT(--($AR$2:$AR$4001&lt;$AR3622))+1,"")</f>
        <v/>
      </c>
      <c r="AP3622">
        <f>IF($E3622="","",IF(OR($U3622=TRUE(),$U3622="TRUE"),1,0))</f>
        <v/>
      </c>
      <c r="AQ3622">
        <f>IF($E3622="","",IF($AA3622="Yes",1,0))</f>
        <v/>
      </c>
      <c r="AR3622">
        <f>IF($AN3622=1,IFERROR(VALUE(MID($E3622,2,20)),1000000000)+ROW()/100000,"")</f>
        <v/>
      </c>
    </row>
    <row r="3623">
      <c r="G3623" s="11" t="n"/>
      <c r="Q3623" s="7">
        <f>IF($E3623="","",P3623*Y3623/100)</f>
        <v/>
      </c>
      <c r="R3623" s="7" t="n"/>
      <c r="X3623" s="7" t="n"/>
      <c r="Y3623" s="7" t="n"/>
      <c r="AB3623">
        <f>IF($E3623="","",IF($AQ3623=1,0,IF($AP3623=1,Settings!$C$6,Settings!$C$7))*100)</f>
        <v/>
      </c>
      <c r="AC3623" s="7">
        <f>IF($E3623="","",Y3623*AB3623/100)</f>
        <v/>
      </c>
      <c r="AD3623" s="7">
        <f>IF($E3623="","",Y3623-AC3623)</f>
        <v/>
      </c>
      <c r="AE3623" s="7">
        <f>IF($E3623="","",AD3623-Q3623)</f>
        <v/>
      </c>
      <c r="AI3623" s="7" t="n"/>
      <c r="AL3623" s="11" t="n"/>
      <c r="AN3623">
        <f>IF($E3623="","",IF(COUNTIF($E$2:$E3623,$E3623)=1,1,0))</f>
        <v/>
      </c>
      <c r="AO3623">
        <f>IF($AN3623=1,SUMPRODUCT(--($AR$2:$AR$4001&lt;$AR3623))+1,"")</f>
        <v/>
      </c>
      <c r="AP3623">
        <f>IF($E3623="","",IF(OR($U3623=TRUE(),$U3623="TRUE"),1,0))</f>
        <v/>
      </c>
      <c r="AQ3623">
        <f>IF($E3623="","",IF($AA3623="Yes",1,0))</f>
        <v/>
      </c>
      <c r="AR3623">
        <f>IF($AN3623=1,IFERROR(VALUE(MID($E3623,2,20)),1000000000)+ROW()/100000,"")</f>
        <v/>
      </c>
    </row>
    <row r="3624">
      <c r="G3624" s="11" t="n"/>
      <c r="Q3624" s="7">
        <f>IF($E3624="","",P3624*Y3624/100)</f>
        <v/>
      </c>
      <c r="R3624" s="7" t="n"/>
      <c r="X3624" s="7" t="n"/>
      <c r="Y3624" s="7" t="n"/>
      <c r="AB3624">
        <f>IF($E3624="","",IF($AQ3624=1,0,IF($AP3624=1,Settings!$C$6,Settings!$C$7))*100)</f>
        <v/>
      </c>
      <c r="AC3624" s="7">
        <f>IF($E3624="","",Y3624*AB3624/100)</f>
        <v/>
      </c>
      <c r="AD3624" s="7">
        <f>IF($E3624="","",Y3624-AC3624)</f>
        <v/>
      </c>
      <c r="AE3624" s="7">
        <f>IF($E3624="","",AD3624-Q3624)</f>
        <v/>
      </c>
      <c r="AI3624" s="7" t="n"/>
      <c r="AL3624" s="11" t="n"/>
      <c r="AN3624">
        <f>IF($E3624="","",IF(COUNTIF($E$2:$E3624,$E3624)=1,1,0))</f>
        <v/>
      </c>
      <c r="AO3624">
        <f>IF($AN3624=1,SUMPRODUCT(--($AR$2:$AR$4001&lt;$AR3624))+1,"")</f>
        <v/>
      </c>
      <c r="AP3624">
        <f>IF($E3624="","",IF(OR($U3624=TRUE(),$U3624="TRUE"),1,0))</f>
        <v/>
      </c>
      <c r="AQ3624">
        <f>IF($E3624="","",IF($AA3624="Yes",1,0))</f>
        <v/>
      </c>
      <c r="AR3624">
        <f>IF($AN3624=1,IFERROR(VALUE(MID($E3624,2,20)),1000000000)+ROW()/100000,"")</f>
        <v/>
      </c>
    </row>
    <row r="3625">
      <c r="G3625" s="11" t="n"/>
      <c r="Q3625" s="7">
        <f>IF($E3625="","",P3625*Y3625/100)</f>
        <v/>
      </c>
      <c r="R3625" s="7" t="n"/>
      <c r="X3625" s="7" t="n"/>
      <c r="Y3625" s="7" t="n"/>
      <c r="AB3625">
        <f>IF($E3625="","",IF($AQ3625=1,0,IF($AP3625=1,Settings!$C$6,Settings!$C$7))*100)</f>
        <v/>
      </c>
      <c r="AC3625" s="7">
        <f>IF($E3625="","",Y3625*AB3625/100)</f>
        <v/>
      </c>
      <c r="AD3625" s="7">
        <f>IF($E3625="","",Y3625-AC3625)</f>
        <v/>
      </c>
      <c r="AE3625" s="7">
        <f>IF($E3625="","",AD3625-Q3625)</f>
        <v/>
      </c>
      <c r="AI3625" s="7" t="n"/>
      <c r="AL3625" s="11" t="n"/>
      <c r="AN3625">
        <f>IF($E3625="","",IF(COUNTIF($E$2:$E3625,$E3625)=1,1,0))</f>
        <v/>
      </c>
      <c r="AO3625">
        <f>IF($AN3625=1,SUMPRODUCT(--($AR$2:$AR$4001&lt;$AR3625))+1,"")</f>
        <v/>
      </c>
      <c r="AP3625">
        <f>IF($E3625="","",IF(OR($U3625=TRUE(),$U3625="TRUE"),1,0))</f>
        <v/>
      </c>
      <c r="AQ3625">
        <f>IF($E3625="","",IF($AA3625="Yes",1,0))</f>
        <v/>
      </c>
      <c r="AR3625">
        <f>IF($AN3625=1,IFERROR(VALUE(MID($E3625,2,20)),1000000000)+ROW()/100000,"")</f>
        <v/>
      </c>
    </row>
    <row r="3626">
      <c r="G3626" s="11" t="n"/>
      <c r="Q3626" s="7">
        <f>IF($E3626="","",P3626*Y3626/100)</f>
        <v/>
      </c>
      <c r="R3626" s="7" t="n"/>
      <c r="X3626" s="7" t="n"/>
      <c r="Y3626" s="7" t="n"/>
      <c r="AB3626">
        <f>IF($E3626="","",IF($AQ3626=1,0,IF($AP3626=1,Settings!$C$6,Settings!$C$7))*100)</f>
        <v/>
      </c>
      <c r="AC3626" s="7">
        <f>IF($E3626="","",Y3626*AB3626/100)</f>
        <v/>
      </c>
      <c r="AD3626" s="7">
        <f>IF($E3626="","",Y3626-AC3626)</f>
        <v/>
      </c>
      <c r="AE3626" s="7">
        <f>IF($E3626="","",AD3626-Q3626)</f>
        <v/>
      </c>
      <c r="AI3626" s="7" t="n"/>
      <c r="AL3626" s="11" t="n"/>
      <c r="AN3626">
        <f>IF($E3626="","",IF(COUNTIF($E$2:$E3626,$E3626)=1,1,0))</f>
        <v/>
      </c>
      <c r="AO3626">
        <f>IF($AN3626=1,SUMPRODUCT(--($AR$2:$AR$4001&lt;$AR3626))+1,"")</f>
        <v/>
      </c>
      <c r="AP3626">
        <f>IF($E3626="","",IF(OR($U3626=TRUE(),$U3626="TRUE"),1,0))</f>
        <v/>
      </c>
      <c r="AQ3626">
        <f>IF($E3626="","",IF($AA3626="Yes",1,0))</f>
        <v/>
      </c>
      <c r="AR3626">
        <f>IF($AN3626=1,IFERROR(VALUE(MID($E3626,2,20)),1000000000)+ROW()/100000,"")</f>
        <v/>
      </c>
    </row>
    <row r="3627">
      <c r="G3627" s="11" t="n"/>
      <c r="Q3627" s="7">
        <f>IF($E3627="","",P3627*Y3627/100)</f>
        <v/>
      </c>
      <c r="R3627" s="7" t="n"/>
      <c r="X3627" s="7" t="n"/>
      <c r="Y3627" s="7" t="n"/>
      <c r="AB3627">
        <f>IF($E3627="","",IF($AQ3627=1,0,IF($AP3627=1,Settings!$C$6,Settings!$C$7))*100)</f>
        <v/>
      </c>
      <c r="AC3627" s="7">
        <f>IF($E3627="","",Y3627*AB3627/100)</f>
        <v/>
      </c>
      <c r="AD3627" s="7">
        <f>IF($E3627="","",Y3627-AC3627)</f>
        <v/>
      </c>
      <c r="AE3627" s="7">
        <f>IF($E3627="","",AD3627-Q3627)</f>
        <v/>
      </c>
      <c r="AI3627" s="7" t="n"/>
      <c r="AL3627" s="11" t="n"/>
      <c r="AN3627">
        <f>IF($E3627="","",IF(COUNTIF($E$2:$E3627,$E3627)=1,1,0))</f>
        <v/>
      </c>
      <c r="AO3627">
        <f>IF($AN3627=1,SUMPRODUCT(--($AR$2:$AR$4001&lt;$AR3627))+1,"")</f>
        <v/>
      </c>
      <c r="AP3627">
        <f>IF($E3627="","",IF(OR($U3627=TRUE(),$U3627="TRUE"),1,0))</f>
        <v/>
      </c>
      <c r="AQ3627">
        <f>IF($E3627="","",IF($AA3627="Yes",1,0))</f>
        <v/>
      </c>
      <c r="AR3627">
        <f>IF($AN3627=1,IFERROR(VALUE(MID($E3627,2,20)),1000000000)+ROW()/100000,"")</f>
        <v/>
      </c>
    </row>
    <row r="3628">
      <c r="G3628" s="11" t="n"/>
      <c r="Q3628" s="7">
        <f>IF($E3628="","",P3628*Y3628/100)</f>
        <v/>
      </c>
      <c r="R3628" s="7" t="n"/>
      <c r="X3628" s="7" t="n"/>
      <c r="Y3628" s="7" t="n"/>
      <c r="AB3628">
        <f>IF($E3628="","",IF($AQ3628=1,0,IF($AP3628=1,Settings!$C$6,Settings!$C$7))*100)</f>
        <v/>
      </c>
      <c r="AC3628" s="7">
        <f>IF($E3628="","",Y3628*AB3628/100)</f>
        <v/>
      </c>
      <c r="AD3628" s="7">
        <f>IF($E3628="","",Y3628-AC3628)</f>
        <v/>
      </c>
      <c r="AE3628" s="7">
        <f>IF($E3628="","",AD3628-Q3628)</f>
        <v/>
      </c>
      <c r="AI3628" s="7" t="n"/>
      <c r="AL3628" s="11" t="n"/>
      <c r="AN3628">
        <f>IF($E3628="","",IF(COUNTIF($E$2:$E3628,$E3628)=1,1,0))</f>
        <v/>
      </c>
      <c r="AO3628">
        <f>IF($AN3628=1,SUMPRODUCT(--($AR$2:$AR$4001&lt;$AR3628))+1,"")</f>
        <v/>
      </c>
      <c r="AP3628">
        <f>IF($E3628="","",IF(OR($U3628=TRUE(),$U3628="TRUE"),1,0))</f>
        <v/>
      </c>
      <c r="AQ3628">
        <f>IF($E3628="","",IF($AA3628="Yes",1,0))</f>
        <v/>
      </c>
      <c r="AR3628">
        <f>IF($AN3628=1,IFERROR(VALUE(MID($E3628,2,20)),1000000000)+ROW()/100000,"")</f>
        <v/>
      </c>
    </row>
    <row r="3629">
      <c r="G3629" s="11" t="n"/>
      <c r="Q3629" s="7">
        <f>IF($E3629="","",P3629*Y3629/100)</f>
        <v/>
      </c>
      <c r="R3629" s="7" t="n"/>
      <c r="X3629" s="7" t="n"/>
      <c r="Y3629" s="7" t="n"/>
      <c r="AB3629">
        <f>IF($E3629="","",IF($AQ3629=1,0,IF($AP3629=1,Settings!$C$6,Settings!$C$7))*100)</f>
        <v/>
      </c>
      <c r="AC3629" s="7">
        <f>IF($E3629="","",Y3629*AB3629/100)</f>
        <v/>
      </c>
      <c r="AD3629" s="7">
        <f>IF($E3629="","",Y3629-AC3629)</f>
        <v/>
      </c>
      <c r="AE3629" s="7">
        <f>IF($E3629="","",AD3629-Q3629)</f>
        <v/>
      </c>
      <c r="AI3629" s="7" t="n"/>
      <c r="AL3629" s="11" t="n"/>
      <c r="AN3629">
        <f>IF($E3629="","",IF(COUNTIF($E$2:$E3629,$E3629)=1,1,0))</f>
        <v/>
      </c>
      <c r="AO3629">
        <f>IF($AN3629=1,SUMPRODUCT(--($AR$2:$AR$4001&lt;$AR3629))+1,"")</f>
        <v/>
      </c>
      <c r="AP3629">
        <f>IF($E3629="","",IF(OR($U3629=TRUE(),$U3629="TRUE"),1,0))</f>
        <v/>
      </c>
      <c r="AQ3629">
        <f>IF($E3629="","",IF($AA3629="Yes",1,0))</f>
        <v/>
      </c>
      <c r="AR3629">
        <f>IF($AN3629=1,IFERROR(VALUE(MID($E3629,2,20)),1000000000)+ROW()/100000,"")</f>
        <v/>
      </c>
    </row>
    <row r="3630">
      <c r="G3630" s="11" t="n"/>
      <c r="Q3630" s="7">
        <f>IF($E3630="","",P3630*Y3630/100)</f>
        <v/>
      </c>
      <c r="R3630" s="7" t="n"/>
      <c r="X3630" s="7" t="n"/>
      <c r="Y3630" s="7" t="n"/>
      <c r="AB3630">
        <f>IF($E3630="","",IF($AQ3630=1,0,IF($AP3630=1,Settings!$C$6,Settings!$C$7))*100)</f>
        <v/>
      </c>
      <c r="AC3630" s="7">
        <f>IF($E3630="","",Y3630*AB3630/100)</f>
        <v/>
      </c>
      <c r="AD3630" s="7">
        <f>IF($E3630="","",Y3630-AC3630)</f>
        <v/>
      </c>
      <c r="AE3630" s="7">
        <f>IF($E3630="","",AD3630-Q3630)</f>
        <v/>
      </c>
      <c r="AI3630" s="7" t="n"/>
      <c r="AL3630" s="11" t="n"/>
      <c r="AN3630">
        <f>IF($E3630="","",IF(COUNTIF($E$2:$E3630,$E3630)=1,1,0))</f>
        <v/>
      </c>
      <c r="AO3630">
        <f>IF($AN3630=1,SUMPRODUCT(--($AR$2:$AR$4001&lt;$AR3630))+1,"")</f>
        <v/>
      </c>
      <c r="AP3630">
        <f>IF($E3630="","",IF(OR($U3630=TRUE(),$U3630="TRUE"),1,0))</f>
        <v/>
      </c>
      <c r="AQ3630">
        <f>IF($E3630="","",IF($AA3630="Yes",1,0))</f>
        <v/>
      </c>
      <c r="AR3630">
        <f>IF($AN3630=1,IFERROR(VALUE(MID($E3630,2,20)),1000000000)+ROW()/100000,"")</f>
        <v/>
      </c>
    </row>
    <row r="3631">
      <c r="G3631" s="11" t="n"/>
      <c r="Q3631" s="7">
        <f>IF($E3631="","",P3631*Y3631/100)</f>
        <v/>
      </c>
      <c r="R3631" s="7" t="n"/>
      <c r="X3631" s="7" t="n"/>
      <c r="Y3631" s="7" t="n"/>
      <c r="AB3631">
        <f>IF($E3631="","",IF($AQ3631=1,0,IF($AP3631=1,Settings!$C$6,Settings!$C$7))*100)</f>
        <v/>
      </c>
      <c r="AC3631" s="7">
        <f>IF($E3631="","",Y3631*AB3631/100)</f>
        <v/>
      </c>
      <c r="AD3631" s="7">
        <f>IF($E3631="","",Y3631-AC3631)</f>
        <v/>
      </c>
      <c r="AE3631" s="7">
        <f>IF($E3631="","",AD3631-Q3631)</f>
        <v/>
      </c>
      <c r="AI3631" s="7" t="n"/>
      <c r="AL3631" s="11" t="n"/>
      <c r="AN3631">
        <f>IF($E3631="","",IF(COUNTIF($E$2:$E3631,$E3631)=1,1,0))</f>
        <v/>
      </c>
      <c r="AO3631">
        <f>IF($AN3631=1,SUMPRODUCT(--($AR$2:$AR$4001&lt;$AR3631))+1,"")</f>
        <v/>
      </c>
      <c r="AP3631">
        <f>IF($E3631="","",IF(OR($U3631=TRUE(),$U3631="TRUE"),1,0))</f>
        <v/>
      </c>
      <c r="AQ3631">
        <f>IF($E3631="","",IF($AA3631="Yes",1,0))</f>
        <v/>
      </c>
      <c r="AR3631">
        <f>IF($AN3631=1,IFERROR(VALUE(MID($E3631,2,20)),1000000000)+ROW()/100000,"")</f>
        <v/>
      </c>
    </row>
    <row r="3632">
      <c r="G3632" s="11" t="n"/>
      <c r="Q3632" s="7">
        <f>IF($E3632="","",P3632*Y3632/100)</f>
        <v/>
      </c>
      <c r="R3632" s="7" t="n"/>
      <c r="X3632" s="7" t="n"/>
      <c r="Y3632" s="7" t="n"/>
      <c r="AB3632">
        <f>IF($E3632="","",IF($AQ3632=1,0,IF($AP3632=1,Settings!$C$6,Settings!$C$7))*100)</f>
        <v/>
      </c>
      <c r="AC3632" s="7">
        <f>IF($E3632="","",Y3632*AB3632/100)</f>
        <v/>
      </c>
      <c r="AD3632" s="7">
        <f>IF($E3632="","",Y3632-AC3632)</f>
        <v/>
      </c>
      <c r="AE3632" s="7">
        <f>IF($E3632="","",AD3632-Q3632)</f>
        <v/>
      </c>
      <c r="AI3632" s="7" t="n"/>
      <c r="AL3632" s="11" t="n"/>
      <c r="AN3632">
        <f>IF($E3632="","",IF(COUNTIF($E$2:$E3632,$E3632)=1,1,0))</f>
        <v/>
      </c>
      <c r="AO3632">
        <f>IF($AN3632=1,SUMPRODUCT(--($AR$2:$AR$4001&lt;$AR3632))+1,"")</f>
        <v/>
      </c>
      <c r="AP3632">
        <f>IF($E3632="","",IF(OR($U3632=TRUE(),$U3632="TRUE"),1,0))</f>
        <v/>
      </c>
      <c r="AQ3632">
        <f>IF($E3632="","",IF($AA3632="Yes",1,0))</f>
        <v/>
      </c>
      <c r="AR3632">
        <f>IF($AN3632=1,IFERROR(VALUE(MID($E3632,2,20)),1000000000)+ROW()/100000,"")</f>
        <v/>
      </c>
    </row>
    <row r="3633">
      <c r="G3633" s="11" t="n"/>
      <c r="Q3633" s="7">
        <f>IF($E3633="","",P3633*Y3633/100)</f>
        <v/>
      </c>
      <c r="R3633" s="7" t="n"/>
      <c r="X3633" s="7" t="n"/>
      <c r="Y3633" s="7" t="n"/>
      <c r="AB3633">
        <f>IF($E3633="","",IF($AQ3633=1,0,IF($AP3633=1,Settings!$C$6,Settings!$C$7))*100)</f>
        <v/>
      </c>
      <c r="AC3633" s="7">
        <f>IF($E3633="","",Y3633*AB3633/100)</f>
        <v/>
      </c>
      <c r="AD3633" s="7">
        <f>IF($E3633="","",Y3633-AC3633)</f>
        <v/>
      </c>
      <c r="AE3633" s="7">
        <f>IF($E3633="","",AD3633-Q3633)</f>
        <v/>
      </c>
      <c r="AI3633" s="7" t="n"/>
      <c r="AL3633" s="11" t="n"/>
      <c r="AN3633">
        <f>IF($E3633="","",IF(COUNTIF($E$2:$E3633,$E3633)=1,1,0))</f>
        <v/>
      </c>
      <c r="AO3633">
        <f>IF($AN3633=1,SUMPRODUCT(--($AR$2:$AR$4001&lt;$AR3633))+1,"")</f>
        <v/>
      </c>
      <c r="AP3633">
        <f>IF($E3633="","",IF(OR($U3633=TRUE(),$U3633="TRUE"),1,0))</f>
        <v/>
      </c>
      <c r="AQ3633">
        <f>IF($E3633="","",IF($AA3633="Yes",1,0))</f>
        <v/>
      </c>
      <c r="AR3633">
        <f>IF($AN3633=1,IFERROR(VALUE(MID($E3633,2,20)),1000000000)+ROW()/100000,"")</f>
        <v/>
      </c>
    </row>
    <row r="3634">
      <c r="G3634" s="11" t="n"/>
      <c r="Q3634" s="7">
        <f>IF($E3634="","",P3634*Y3634/100)</f>
        <v/>
      </c>
      <c r="R3634" s="7" t="n"/>
      <c r="X3634" s="7" t="n"/>
      <c r="Y3634" s="7" t="n"/>
      <c r="AB3634">
        <f>IF($E3634="","",IF($AQ3634=1,0,IF($AP3634=1,Settings!$C$6,Settings!$C$7))*100)</f>
        <v/>
      </c>
      <c r="AC3634" s="7">
        <f>IF($E3634="","",Y3634*AB3634/100)</f>
        <v/>
      </c>
      <c r="AD3634" s="7">
        <f>IF($E3634="","",Y3634-AC3634)</f>
        <v/>
      </c>
      <c r="AE3634" s="7">
        <f>IF($E3634="","",AD3634-Q3634)</f>
        <v/>
      </c>
      <c r="AI3634" s="7" t="n"/>
      <c r="AL3634" s="11" t="n"/>
      <c r="AN3634">
        <f>IF($E3634="","",IF(COUNTIF($E$2:$E3634,$E3634)=1,1,0))</f>
        <v/>
      </c>
      <c r="AO3634">
        <f>IF($AN3634=1,SUMPRODUCT(--($AR$2:$AR$4001&lt;$AR3634))+1,"")</f>
        <v/>
      </c>
      <c r="AP3634">
        <f>IF($E3634="","",IF(OR($U3634=TRUE(),$U3634="TRUE"),1,0))</f>
        <v/>
      </c>
      <c r="AQ3634">
        <f>IF($E3634="","",IF($AA3634="Yes",1,0))</f>
        <v/>
      </c>
      <c r="AR3634">
        <f>IF($AN3634=1,IFERROR(VALUE(MID($E3634,2,20)),1000000000)+ROW()/100000,"")</f>
        <v/>
      </c>
    </row>
    <row r="3635">
      <c r="G3635" s="11" t="n"/>
      <c r="Q3635" s="7">
        <f>IF($E3635="","",P3635*Y3635/100)</f>
        <v/>
      </c>
      <c r="R3635" s="7" t="n"/>
      <c r="X3635" s="7" t="n"/>
      <c r="Y3635" s="7" t="n"/>
      <c r="AB3635">
        <f>IF($E3635="","",IF($AQ3635=1,0,IF($AP3635=1,Settings!$C$6,Settings!$C$7))*100)</f>
        <v/>
      </c>
      <c r="AC3635" s="7">
        <f>IF($E3635="","",Y3635*AB3635/100)</f>
        <v/>
      </c>
      <c r="AD3635" s="7">
        <f>IF($E3635="","",Y3635-AC3635)</f>
        <v/>
      </c>
      <c r="AE3635" s="7">
        <f>IF($E3635="","",AD3635-Q3635)</f>
        <v/>
      </c>
      <c r="AI3635" s="7" t="n"/>
      <c r="AL3635" s="11" t="n"/>
      <c r="AN3635">
        <f>IF($E3635="","",IF(COUNTIF($E$2:$E3635,$E3635)=1,1,0))</f>
        <v/>
      </c>
      <c r="AO3635">
        <f>IF($AN3635=1,SUMPRODUCT(--($AR$2:$AR$4001&lt;$AR3635))+1,"")</f>
        <v/>
      </c>
      <c r="AP3635">
        <f>IF($E3635="","",IF(OR($U3635=TRUE(),$U3635="TRUE"),1,0))</f>
        <v/>
      </c>
      <c r="AQ3635">
        <f>IF($E3635="","",IF($AA3635="Yes",1,0))</f>
        <v/>
      </c>
      <c r="AR3635">
        <f>IF($AN3635=1,IFERROR(VALUE(MID($E3635,2,20)),1000000000)+ROW()/100000,"")</f>
        <v/>
      </c>
    </row>
    <row r="3636">
      <c r="G3636" s="11" t="n"/>
      <c r="Q3636" s="7">
        <f>IF($E3636="","",P3636*Y3636/100)</f>
        <v/>
      </c>
      <c r="R3636" s="7" t="n"/>
      <c r="X3636" s="7" t="n"/>
      <c r="Y3636" s="7" t="n"/>
      <c r="AB3636">
        <f>IF($E3636="","",IF($AQ3636=1,0,IF($AP3636=1,Settings!$C$6,Settings!$C$7))*100)</f>
        <v/>
      </c>
      <c r="AC3636" s="7">
        <f>IF($E3636="","",Y3636*AB3636/100)</f>
        <v/>
      </c>
      <c r="AD3636" s="7">
        <f>IF($E3636="","",Y3636-AC3636)</f>
        <v/>
      </c>
      <c r="AE3636" s="7">
        <f>IF($E3636="","",AD3636-Q3636)</f>
        <v/>
      </c>
      <c r="AI3636" s="7" t="n"/>
      <c r="AL3636" s="11" t="n"/>
      <c r="AN3636">
        <f>IF($E3636="","",IF(COUNTIF($E$2:$E3636,$E3636)=1,1,0))</f>
        <v/>
      </c>
      <c r="AO3636">
        <f>IF($AN3636=1,SUMPRODUCT(--($AR$2:$AR$4001&lt;$AR3636))+1,"")</f>
        <v/>
      </c>
      <c r="AP3636">
        <f>IF($E3636="","",IF(OR($U3636=TRUE(),$U3636="TRUE"),1,0))</f>
        <v/>
      </c>
      <c r="AQ3636">
        <f>IF($E3636="","",IF($AA3636="Yes",1,0))</f>
        <v/>
      </c>
      <c r="AR3636">
        <f>IF($AN3636=1,IFERROR(VALUE(MID($E3636,2,20)),1000000000)+ROW()/100000,"")</f>
        <v/>
      </c>
    </row>
    <row r="3637">
      <c r="G3637" s="11" t="n"/>
      <c r="Q3637" s="7">
        <f>IF($E3637="","",P3637*Y3637/100)</f>
        <v/>
      </c>
      <c r="R3637" s="7" t="n"/>
      <c r="X3637" s="7" t="n"/>
      <c r="Y3637" s="7" t="n"/>
      <c r="AB3637">
        <f>IF($E3637="","",IF($AQ3637=1,0,IF($AP3637=1,Settings!$C$6,Settings!$C$7))*100)</f>
        <v/>
      </c>
      <c r="AC3637" s="7">
        <f>IF($E3637="","",Y3637*AB3637/100)</f>
        <v/>
      </c>
      <c r="AD3637" s="7">
        <f>IF($E3637="","",Y3637-AC3637)</f>
        <v/>
      </c>
      <c r="AE3637" s="7">
        <f>IF($E3637="","",AD3637-Q3637)</f>
        <v/>
      </c>
      <c r="AI3637" s="7" t="n"/>
      <c r="AL3637" s="11" t="n"/>
      <c r="AN3637">
        <f>IF($E3637="","",IF(COUNTIF($E$2:$E3637,$E3637)=1,1,0))</f>
        <v/>
      </c>
      <c r="AO3637">
        <f>IF($AN3637=1,SUMPRODUCT(--($AR$2:$AR$4001&lt;$AR3637))+1,"")</f>
        <v/>
      </c>
      <c r="AP3637">
        <f>IF($E3637="","",IF(OR($U3637=TRUE(),$U3637="TRUE"),1,0))</f>
        <v/>
      </c>
      <c r="AQ3637">
        <f>IF($E3637="","",IF($AA3637="Yes",1,0))</f>
        <v/>
      </c>
      <c r="AR3637">
        <f>IF($AN3637=1,IFERROR(VALUE(MID($E3637,2,20)),1000000000)+ROW()/100000,"")</f>
        <v/>
      </c>
    </row>
    <row r="3638">
      <c r="G3638" s="11" t="n"/>
      <c r="Q3638" s="7">
        <f>IF($E3638="","",P3638*Y3638/100)</f>
        <v/>
      </c>
      <c r="R3638" s="7" t="n"/>
      <c r="X3638" s="7" t="n"/>
      <c r="Y3638" s="7" t="n"/>
      <c r="AB3638">
        <f>IF($E3638="","",IF($AQ3638=1,0,IF($AP3638=1,Settings!$C$6,Settings!$C$7))*100)</f>
        <v/>
      </c>
      <c r="AC3638" s="7">
        <f>IF($E3638="","",Y3638*AB3638/100)</f>
        <v/>
      </c>
      <c r="AD3638" s="7">
        <f>IF($E3638="","",Y3638-AC3638)</f>
        <v/>
      </c>
      <c r="AE3638" s="7">
        <f>IF($E3638="","",AD3638-Q3638)</f>
        <v/>
      </c>
      <c r="AI3638" s="7" t="n"/>
      <c r="AL3638" s="11" t="n"/>
      <c r="AN3638">
        <f>IF($E3638="","",IF(COUNTIF($E$2:$E3638,$E3638)=1,1,0))</f>
        <v/>
      </c>
      <c r="AO3638">
        <f>IF($AN3638=1,SUMPRODUCT(--($AR$2:$AR$4001&lt;$AR3638))+1,"")</f>
        <v/>
      </c>
      <c r="AP3638">
        <f>IF($E3638="","",IF(OR($U3638=TRUE(),$U3638="TRUE"),1,0))</f>
        <v/>
      </c>
      <c r="AQ3638">
        <f>IF($E3638="","",IF($AA3638="Yes",1,0))</f>
        <v/>
      </c>
      <c r="AR3638">
        <f>IF($AN3638=1,IFERROR(VALUE(MID($E3638,2,20)),1000000000)+ROW()/100000,"")</f>
        <v/>
      </c>
    </row>
    <row r="3639">
      <c r="G3639" s="11" t="n"/>
      <c r="Q3639" s="7">
        <f>IF($E3639="","",P3639*Y3639/100)</f>
        <v/>
      </c>
      <c r="R3639" s="7" t="n"/>
      <c r="X3639" s="7" t="n"/>
      <c r="Y3639" s="7" t="n"/>
      <c r="AB3639">
        <f>IF($E3639="","",IF($AQ3639=1,0,IF($AP3639=1,Settings!$C$6,Settings!$C$7))*100)</f>
        <v/>
      </c>
      <c r="AC3639" s="7">
        <f>IF($E3639="","",Y3639*AB3639/100)</f>
        <v/>
      </c>
      <c r="AD3639" s="7">
        <f>IF($E3639="","",Y3639-AC3639)</f>
        <v/>
      </c>
      <c r="AE3639" s="7">
        <f>IF($E3639="","",AD3639-Q3639)</f>
        <v/>
      </c>
      <c r="AI3639" s="7" t="n"/>
      <c r="AL3639" s="11" t="n"/>
      <c r="AN3639">
        <f>IF($E3639="","",IF(COUNTIF($E$2:$E3639,$E3639)=1,1,0))</f>
        <v/>
      </c>
      <c r="AO3639">
        <f>IF($AN3639=1,SUMPRODUCT(--($AR$2:$AR$4001&lt;$AR3639))+1,"")</f>
        <v/>
      </c>
      <c r="AP3639">
        <f>IF($E3639="","",IF(OR($U3639=TRUE(),$U3639="TRUE"),1,0))</f>
        <v/>
      </c>
      <c r="AQ3639">
        <f>IF($E3639="","",IF($AA3639="Yes",1,0))</f>
        <v/>
      </c>
      <c r="AR3639">
        <f>IF($AN3639=1,IFERROR(VALUE(MID($E3639,2,20)),1000000000)+ROW()/100000,"")</f>
        <v/>
      </c>
    </row>
    <row r="3640">
      <c r="G3640" s="11" t="n"/>
      <c r="Q3640" s="7">
        <f>IF($E3640="","",P3640*Y3640/100)</f>
        <v/>
      </c>
      <c r="R3640" s="7" t="n"/>
      <c r="X3640" s="7" t="n"/>
      <c r="Y3640" s="7" t="n"/>
      <c r="AB3640">
        <f>IF($E3640="","",IF($AQ3640=1,0,IF($AP3640=1,Settings!$C$6,Settings!$C$7))*100)</f>
        <v/>
      </c>
      <c r="AC3640" s="7">
        <f>IF($E3640="","",Y3640*AB3640/100)</f>
        <v/>
      </c>
      <c r="AD3640" s="7">
        <f>IF($E3640="","",Y3640-AC3640)</f>
        <v/>
      </c>
      <c r="AE3640" s="7">
        <f>IF($E3640="","",AD3640-Q3640)</f>
        <v/>
      </c>
      <c r="AI3640" s="7" t="n"/>
      <c r="AL3640" s="11" t="n"/>
      <c r="AN3640">
        <f>IF($E3640="","",IF(COUNTIF($E$2:$E3640,$E3640)=1,1,0))</f>
        <v/>
      </c>
      <c r="AO3640">
        <f>IF($AN3640=1,SUMPRODUCT(--($AR$2:$AR$4001&lt;$AR3640))+1,"")</f>
        <v/>
      </c>
      <c r="AP3640">
        <f>IF($E3640="","",IF(OR($U3640=TRUE(),$U3640="TRUE"),1,0))</f>
        <v/>
      </c>
      <c r="AQ3640">
        <f>IF($E3640="","",IF($AA3640="Yes",1,0))</f>
        <v/>
      </c>
      <c r="AR3640">
        <f>IF($AN3640=1,IFERROR(VALUE(MID($E3640,2,20)),1000000000)+ROW()/100000,"")</f>
        <v/>
      </c>
    </row>
    <row r="3641">
      <c r="G3641" s="11" t="n"/>
      <c r="Q3641" s="7">
        <f>IF($E3641="","",P3641*Y3641/100)</f>
        <v/>
      </c>
      <c r="R3641" s="7" t="n"/>
      <c r="X3641" s="7" t="n"/>
      <c r="Y3641" s="7" t="n"/>
      <c r="AB3641">
        <f>IF($E3641="","",IF($AQ3641=1,0,IF($AP3641=1,Settings!$C$6,Settings!$C$7))*100)</f>
        <v/>
      </c>
      <c r="AC3641" s="7">
        <f>IF($E3641="","",Y3641*AB3641/100)</f>
        <v/>
      </c>
      <c r="AD3641" s="7">
        <f>IF($E3641="","",Y3641-AC3641)</f>
        <v/>
      </c>
      <c r="AE3641" s="7">
        <f>IF($E3641="","",AD3641-Q3641)</f>
        <v/>
      </c>
      <c r="AI3641" s="7" t="n"/>
      <c r="AL3641" s="11" t="n"/>
      <c r="AN3641">
        <f>IF($E3641="","",IF(COUNTIF($E$2:$E3641,$E3641)=1,1,0))</f>
        <v/>
      </c>
      <c r="AO3641">
        <f>IF($AN3641=1,SUMPRODUCT(--($AR$2:$AR$4001&lt;$AR3641))+1,"")</f>
        <v/>
      </c>
      <c r="AP3641">
        <f>IF($E3641="","",IF(OR($U3641=TRUE(),$U3641="TRUE"),1,0))</f>
        <v/>
      </c>
      <c r="AQ3641">
        <f>IF($E3641="","",IF($AA3641="Yes",1,0))</f>
        <v/>
      </c>
      <c r="AR3641">
        <f>IF($AN3641=1,IFERROR(VALUE(MID($E3641,2,20)),1000000000)+ROW()/100000,"")</f>
        <v/>
      </c>
    </row>
    <row r="3642">
      <c r="G3642" s="11" t="n"/>
      <c r="Q3642" s="7">
        <f>IF($E3642="","",P3642*Y3642/100)</f>
        <v/>
      </c>
      <c r="R3642" s="7" t="n"/>
      <c r="X3642" s="7" t="n"/>
      <c r="Y3642" s="7" t="n"/>
      <c r="AB3642">
        <f>IF($E3642="","",IF($AQ3642=1,0,IF($AP3642=1,Settings!$C$6,Settings!$C$7))*100)</f>
        <v/>
      </c>
      <c r="AC3642" s="7">
        <f>IF($E3642="","",Y3642*AB3642/100)</f>
        <v/>
      </c>
      <c r="AD3642" s="7">
        <f>IF($E3642="","",Y3642-AC3642)</f>
        <v/>
      </c>
      <c r="AE3642" s="7">
        <f>IF($E3642="","",AD3642-Q3642)</f>
        <v/>
      </c>
      <c r="AI3642" s="7" t="n"/>
      <c r="AL3642" s="11" t="n"/>
      <c r="AN3642">
        <f>IF($E3642="","",IF(COUNTIF($E$2:$E3642,$E3642)=1,1,0))</f>
        <v/>
      </c>
      <c r="AO3642">
        <f>IF($AN3642=1,SUMPRODUCT(--($AR$2:$AR$4001&lt;$AR3642))+1,"")</f>
        <v/>
      </c>
      <c r="AP3642">
        <f>IF($E3642="","",IF(OR($U3642=TRUE(),$U3642="TRUE"),1,0))</f>
        <v/>
      </c>
      <c r="AQ3642">
        <f>IF($E3642="","",IF($AA3642="Yes",1,0))</f>
        <v/>
      </c>
      <c r="AR3642">
        <f>IF($AN3642=1,IFERROR(VALUE(MID($E3642,2,20)),1000000000)+ROW()/100000,"")</f>
        <v/>
      </c>
    </row>
    <row r="3643">
      <c r="G3643" s="11" t="n"/>
      <c r="Q3643" s="7">
        <f>IF($E3643="","",P3643*Y3643/100)</f>
        <v/>
      </c>
      <c r="R3643" s="7" t="n"/>
      <c r="X3643" s="7" t="n"/>
      <c r="Y3643" s="7" t="n"/>
      <c r="AB3643">
        <f>IF($E3643="","",IF($AQ3643=1,0,IF($AP3643=1,Settings!$C$6,Settings!$C$7))*100)</f>
        <v/>
      </c>
      <c r="AC3643" s="7">
        <f>IF($E3643="","",Y3643*AB3643/100)</f>
        <v/>
      </c>
      <c r="AD3643" s="7">
        <f>IF($E3643="","",Y3643-AC3643)</f>
        <v/>
      </c>
      <c r="AE3643" s="7">
        <f>IF($E3643="","",AD3643-Q3643)</f>
        <v/>
      </c>
      <c r="AI3643" s="7" t="n"/>
      <c r="AL3643" s="11" t="n"/>
      <c r="AN3643">
        <f>IF($E3643="","",IF(COUNTIF($E$2:$E3643,$E3643)=1,1,0))</f>
        <v/>
      </c>
      <c r="AO3643">
        <f>IF($AN3643=1,SUMPRODUCT(--($AR$2:$AR$4001&lt;$AR3643))+1,"")</f>
        <v/>
      </c>
      <c r="AP3643">
        <f>IF($E3643="","",IF(OR($U3643=TRUE(),$U3643="TRUE"),1,0))</f>
        <v/>
      </c>
      <c r="AQ3643">
        <f>IF($E3643="","",IF($AA3643="Yes",1,0))</f>
        <v/>
      </c>
      <c r="AR3643">
        <f>IF($AN3643=1,IFERROR(VALUE(MID($E3643,2,20)),1000000000)+ROW()/100000,"")</f>
        <v/>
      </c>
    </row>
    <row r="3644">
      <c r="G3644" s="11" t="n"/>
      <c r="Q3644" s="7">
        <f>IF($E3644="","",P3644*Y3644/100)</f>
        <v/>
      </c>
      <c r="R3644" s="7" t="n"/>
      <c r="X3644" s="7" t="n"/>
      <c r="Y3644" s="7" t="n"/>
      <c r="AB3644">
        <f>IF($E3644="","",IF($AQ3644=1,0,IF($AP3644=1,Settings!$C$6,Settings!$C$7))*100)</f>
        <v/>
      </c>
      <c r="AC3644" s="7">
        <f>IF($E3644="","",Y3644*AB3644/100)</f>
        <v/>
      </c>
      <c r="AD3644" s="7">
        <f>IF($E3644="","",Y3644-AC3644)</f>
        <v/>
      </c>
      <c r="AE3644" s="7">
        <f>IF($E3644="","",AD3644-Q3644)</f>
        <v/>
      </c>
      <c r="AI3644" s="7" t="n"/>
      <c r="AL3644" s="11" t="n"/>
      <c r="AN3644">
        <f>IF($E3644="","",IF(COUNTIF($E$2:$E3644,$E3644)=1,1,0))</f>
        <v/>
      </c>
      <c r="AO3644">
        <f>IF($AN3644=1,SUMPRODUCT(--($AR$2:$AR$4001&lt;$AR3644))+1,"")</f>
        <v/>
      </c>
      <c r="AP3644">
        <f>IF($E3644="","",IF(OR($U3644=TRUE(),$U3644="TRUE"),1,0))</f>
        <v/>
      </c>
      <c r="AQ3644">
        <f>IF($E3644="","",IF($AA3644="Yes",1,0))</f>
        <v/>
      </c>
      <c r="AR3644">
        <f>IF($AN3644=1,IFERROR(VALUE(MID($E3644,2,20)),1000000000)+ROW()/100000,"")</f>
        <v/>
      </c>
    </row>
    <row r="3645">
      <c r="G3645" s="11" t="n"/>
      <c r="Q3645" s="7">
        <f>IF($E3645="","",P3645*Y3645/100)</f>
        <v/>
      </c>
      <c r="R3645" s="7" t="n"/>
      <c r="X3645" s="7" t="n"/>
      <c r="Y3645" s="7" t="n"/>
      <c r="AB3645">
        <f>IF($E3645="","",IF($AQ3645=1,0,IF($AP3645=1,Settings!$C$6,Settings!$C$7))*100)</f>
        <v/>
      </c>
      <c r="AC3645" s="7">
        <f>IF($E3645="","",Y3645*AB3645/100)</f>
        <v/>
      </c>
      <c r="AD3645" s="7">
        <f>IF($E3645="","",Y3645-AC3645)</f>
        <v/>
      </c>
      <c r="AE3645" s="7">
        <f>IF($E3645="","",AD3645-Q3645)</f>
        <v/>
      </c>
      <c r="AI3645" s="7" t="n"/>
      <c r="AL3645" s="11" t="n"/>
      <c r="AN3645">
        <f>IF($E3645="","",IF(COUNTIF($E$2:$E3645,$E3645)=1,1,0))</f>
        <v/>
      </c>
      <c r="AO3645">
        <f>IF($AN3645=1,SUMPRODUCT(--($AR$2:$AR$4001&lt;$AR3645))+1,"")</f>
        <v/>
      </c>
      <c r="AP3645">
        <f>IF($E3645="","",IF(OR($U3645=TRUE(),$U3645="TRUE"),1,0))</f>
        <v/>
      </c>
      <c r="AQ3645">
        <f>IF($E3645="","",IF($AA3645="Yes",1,0))</f>
        <v/>
      </c>
      <c r="AR3645">
        <f>IF($AN3645=1,IFERROR(VALUE(MID($E3645,2,20)),1000000000)+ROW()/100000,"")</f>
        <v/>
      </c>
    </row>
    <row r="3646">
      <c r="G3646" s="11" t="n"/>
      <c r="Q3646" s="7">
        <f>IF($E3646="","",P3646*Y3646/100)</f>
        <v/>
      </c>
      <c r="R3646" s="7" t="n"/>
      <c r="X3646" s="7" t="n"/>
      <c r="Y3646" s="7" t="n"/>
      <c r="AB3646">
        <f>IF($E3646="","",IF($AQ3646=1,0,IF($AP3646=1,Settings!$C$6,Settings!$C$7))*100)</f>
        <v/>
      </c>
      <c r="AC3646" s="7">
        <f>IF($E3646="","",Y3646*AB3646/100)</f>
        <v/>
      </c>
      <c r="AD3646" s="7">
        <f>IF($E3646="","",Y3646-AC3646)</f>
        <v/>
      </c>
      <c r="AE3646" s="7">
        <f>IF($E3646="","",AD3646-Q3646)</f>
        <v/>
      </c>
      <c r="AI3646" s="7" t="n"/>
      <c r="AL3646" s="11" t="n"/>
      <c r="AN3646">
        <f>IF($E3646="","",IF(COUNTIF($E$2:$E3646,$E3646)=1,1,0))</f>
        <v/>
      </c>
      <c r="AO3646">
        <f>IF($AN3646=1,SUMPRODUCT(--($AR$2:$AR$4001&lt;$AR3646))+1,"")</f>
        <v/>
      </c>
      <c r="AP3646">
        <f>IF($E3646="","",IF(OR($U3646=TRUE(),$U3646="TRUE"),1,0))</f>
        <v/>
      </c>
      <c r="AQ3646">
        <f>IF($E3646="","",IF($AA3646="Yes",1,0))</f>
        <v/>
      </c>
      <c r="AR3646">
        <f>IF($AN3646=1,IFERROR(VALUE(MID($E3646,2,20)),1000000000)+ROW()/100000,"")</f>
        <v/>
      </c>
    </row>
    <row r="3647">
      <c r="G3647" s="11" t="n"/>
      <c r="Q3647" s="7">
        <f>IF($E3647="","",P3647*Y3647/100)</f>
        <v/>
      </c>
      <c r="R3647" s="7" t="n"/>
      <c r="X3647" s="7" t="n"/>
      <c r="Y3647" s="7" t="n"/>
      <c r="AB3647">
        <f>IF($E3647="","",IF($AQ3647=1,0,IF($AP3647=1,Settings!$C$6,Settings!$C$7))*100)</f>
        <v/>
      </c>
      <c r="AC3647" s="7">
        <f>IF($E3647="","",Y3647*AB3647/100)</f>
        <v/>
      </c>
      <c r="AD3647" s="7">
        <f>IF($E3647="","",Y3647-AC3647)</f>
        <v/>
      </c>
      <c r="AE3647" s="7">
        <f>IF($E3647="","",AD3647-Q3647)</f>
        <v/>
      </c>
      <c r="AI3647" s="7" t="n"/>
      <c r="AL3647" s="11" t="n"/>
      <c r="AN3647">
        <f>IF($E3647="","",IF(COUNTIF($E$2:$E3647,$E3647)=1,1,0))</f>
        <v/>
      </c>
      <c r="AO3647">
        <f>IF($AN3647=1,SUMPRODUCT(--($AR$2:$AR$4001&lt;$AR3647))+1,"")</f>
        <v/>
      </c>
      <c r="AP3647">
        <f>IF($E3647="","",IF(OR($U3647=TRUE(),$U3647="TRUE"),1,0))</f>
        <v/>
      </c>
      <c r="AQ3647">
        <f>IF($E3647="","",IF($AA3647="Yes",1,0))</f>
        <v/>
      </c>
      <c r="AR3647">
        <f>IF($AN3647=1,IFERROR(VALUE(MID($E3647,2,20)),1000000000)+ROW()/100000,"")</f>
        <v/>
      </c>
    </row>
    <row r="3648">
      <c r="G3648" s="11" t="n"/>
      <c r="Q3648" s="7">
        <f>IF($E3648="","",P3648*Y3648/100)</f>
        <v/>
      </c>
      <c r="R3648" s="7" t="n"/>
      <c r="X3648" s="7" t="n"/>
      <c r="Y3648" s="7" t="n"/>
      <c r="AB3648">
        <f>IF($E3648="","",IF($AQ3648=1,0,IF($AP3648=1,Settings!$C$6,Settings!$C$7))*100)</f>
        <v/>
      </c>
      <c r="AC3648" s="7">
        <f>IF($E3648="","",Y3648*AB3648/100)</f>
        <v/>
      </c>
      <c r="AD3648" s="7">
        <f>IF($E3648="","",Y3648-AC3648)</f>
        <v/>
      </c>
      <c r="AE3648" s="7">
        <f>IF($E3648="","",AD3648-Q3648)</f>
        <v/>
      </c>
      <c r="AI3648" s="7" t="n"/>
      <c r="AL3648" s="11" t="n"/>
      <c r="AN3648">
        <f>IF($E3648="","",IF(COUNTIF($E$2:$E3648,$E3648)=1,1,0))</f>
        <v/>
      </c>
      <c r="AO3648">
        <f>IF($AN3648=1,SUMPRODUCT(--($AR$2:$AR$4001&lt;$AR3648))+1,"")</f>
        <v/>
      </c>
      <c r="AP3648">
        <f>IF($E3648="","",IF(OR($U3648=TRUE(),$U3648="TRUE"),1,0))</f>
        <v/>
      </c>
      <c r="AQ3648">
        <f>IF($E3648="","",IF($AA3648="Yes",1,0))</f>
        <v/>
      </c>
      <c r="AR3648">
        <f>IF($AN3648=1,IFERROR(VALUE(MID($E3648,2,20)),1000000000)+ROW()/100000,"")</f>
        <v/>
      </c>
    </row>
    <row r="3649">
      <c r="G3649" s="11" t="n"/>
      <c r="Q3649" s="7">
        <f>IF($E3649="","",P3649*Y3649/100)</f>
        <v/>
      </c>
      <c r="R3649" s="7" t="n"/>
      <c r="X3649" s="7" t="n"/>
      <c r="Y3649" s="7" t="n"/>
      <c r="AB3649">
        <f>IF($E3649="","",IF($AQ3649=1,0,IF($AP3649=1,Settings!$C$6,Settings!$C$7))*100)</f>
        <v/>
      </c>
      <c r="AC3649" s="7">
        <f>IF($E3649="","",Y3649*AB3649/100)</f>
        <v/>
      </c>
      <c r="AD3649" s="7">
        <f>IF($E3649="","",Y3649-AC3649)</f>
        <v/>
      </c>
      <c r="AE3649" s="7">
        <f>IF($E3649="","",AD3649-Q3649)</f>
        <v/>
      </c>
      <c r="AI3649" s="7" t="n"/>
      <c r="AL3649" s="11" t="n"/>
      <c r="AN3649">
        <f>IF($E3649="","",IF(COUNTIF($E$2:$E3649,$E3649)=1,1,0))</f>
        <v/>
      </c>
      <c r="AO3649">
        <f>IF($AN3649=1,SUMPRODUCT(--($AR$2:$AR$4001&lt;$AR3649))+1,"")</f>
        <v/>
      </c>
      <c r="AP3649">
        <f>IF($E3649="","",IF(OR($U3649=TRUE(),$U3649="TRUE"),1,0))</f>
        <v/>
      </c>
      <c r="AQ3649">
        <f>IF($E3649="","",IF($AA3649="Yes",1,0))</f>
        <v/>
      </c>
      <c r="AR3649">
        <f>IF($AN3649=1,IFERROR(VALUE(MID($E3649,2,20)),1000000000)+ROW()/100000,"")</f>
        <v/>
      </c>
    </row>
    <row r="3650">
      <c r="G3650" s="11" t="n"/>
      <c r="Q3650" s="7">
        <f>IF($E3650="","",P3650*Y3650/100)</f>
        <v/>
      </c>
      <c r="R3650" s="7" t="n"/>
      <c r="X3650" s="7" t="n"/>
      <c r="Y3650" s="7" t="n"/>
      <c r="AB3650">
        <f>IF($E3650="","",IF($AQ3650=1,0,IF($AP3650=1,Settings!$C$6,Settings!$C$7))*100)</f>
        <v/>
      </c>
      <c r="AC3650" s="7">
        <f>IF($E3650="","",Y3650*AB3650/100)</f>
        <v/>
      </c>
      <c r="AD3650" s="7">
        <f>IF($E3650="","",Y3650-AC3650)</f>
        <v/>
      </c>
      <c r="AE3650" s="7">
        <f>IF($E3650="","",AD3650-Q3650)</f>
        <v/>
      </c>
      <c r="AI3650" s="7" t="n"/>
      <c r="AL3650" s="11" t="n"/>
      <c r="AN3650">
        <f>IF($E3650="","",IF(COUNTIF($E$2:$E3650,$E3650)=1,1,0))</f>
        <v/>
      </c>
      <c r="AO3650">
        <f>IF($AN3650=1,SUMPRODUCT(--($AR$2:$AR$4001&lt;$AR3650))+1,"")</f>
        <v/>
      </c>
      <c r="AP3650">
        <f>IF($E3650="","",IF(OR($U3650=TRUE(),$U3650="TRUE"),1,0))</f>
        <v/>
      </c>
      <c r="AQ3650">
        <f>IF($E3650="","",IF($AA3650="Yes",1,0))</f>
        <v/>
      </c>
      <c r="AR3650">
        <f>IF($AN3650=1,IFERROR(VALUE(MID($E3650,2,20)),1000000000)+ROW()/100000,"")</f>
        <v/>
      </c>
    </row>
    <row r="3651">
      <c r="G3651" s="11" t="n"/>
      <c r="Q3651" s="7">
        <f>IF($E3651="","",P3651*Y3651/100)</f>
        <v/>
      </c>
      <c r="R3651" s="7" t="n"/>
      <c r="X3651" s="7" t="n"/>
      <c r="Y3651" s="7" t="n"/>
      <c r="AB3651">
        <f>IF($E3651="","",IF($AQ3651=1,0,IF($AP3651=1,Settings!$C$6,Settings!$C$7))*100)</f>
        <v/>
      </c>
      <c r="AC3651" s="7">
        <f>IF($E3651="","",Y3651*AB3651/100)</f>
        <v/>
      </c>
      <c r="AD3651" s="7">
        <f>IF($E3651="","",Y3651-AC3651)</f>
        <v/>
      </c>
      <c r="AE3651" s="7">
        <f>IF($E3651="","",AD3651-Q3651)</f>
        <v/>
      </c>
      <c r="AI3651" s="7" t="n"/>
      <c r="AL3651" s="11" t="n"/>
      <c r="AN3651">
        <f>IF($E3651="","",IF(COUNTIF($E$2:$E3651,$E3651)=1,1,0))</f>
        <v/>
      </c>
      <c r="AO3651">
        <f>IF($AN3651=1,SUMPRODUCT(--($AR$2:$AR$4001&lt;$AR3651))+1,"")</f>
        <v/>
      </c>
      <c r="AP3651">
        <f>IF($E3651="","",IF(OR($U3651=TRUE(),$U3651="TRUE"),1,0))</f>
        <v/>
      </c>
      <c r="AQ3651">
        <f>IF($E3651="","",IF($AA3651="Yes",1,0))</f>
        <v/>
      </c>
      <c r="AR3651">
        <f>IF($AN3651=1,IFERROR(VALUE(MID($E3651,2,20)),1000000000)+ROW()/100000,"")</f>
        <v/>
      </c>
    </row>
    <row r="3652">
      <c r="G3652" s="11" t="n"/>
      <c r="Q3652" s="7">
        <f>IF($E3652="","",P3652*Y3652/100)</f>
        <v/>
      </c>
      <c r="R3652" s="7" t="n"/>
      <c r="X3652" s="7" t="n"/>
      <c r="Y3652" s="7" t="n"/>
      <c r="AB3652">
        <f>IF($E3652="","",IF($AQ3652=1,0,IF($AP3652=1,Settings!$C$6,Settings!$C$7))*100)</f>
        <v/>
      </c>
      <c r="AC3652" s="7">
        <f>IF($E3652="","",Y3652*AB3652/100)</f>
        <v/>
      </c>
      <c r="AD3652" s="7">
        <f>IF($E3652="","",Y3652-AC3652)</f>
        <v/>
      </c>
      <c r="AE3652" s="7">
        <f>IF($E3652="","",AD3652-Q3652)</f>
        <v/>
      </c>
      <c r="AI3652" s="7" t="n"/>
      <c r="AL3652" s="11" t="n"/>
      <c r="AN3652">
        <f>IF($E3652="","",IF(COUNTIF($E$2:$E3652,$E3652)=1,1,0))</f>
        <v/>
      </c>
      <c r="AO3652">
        <f>IF($AN3652=1,SUMPRODUCT(--($AR$2:$AR$4001&lt;$AR3652))+1,"")</f>
        <v/>
      </c>
      <c r="AP3652">
        <f>IF($E3652="","",IF(OR($U3652=TRUE(),$U3652="TRUE"),1,0))</f>
        <v/>
      </c>
      <c r="AQ3652">
        <f>IF($E3652="","",IF($AA3652="Yes",1,0))</f>
        <v/>
      </c>
      <c r="AR3652">
        <f>IF($AN3652=1,IFERROR(VALUE(MID($E3652,2,20)),1000000000)+ROW()/100000,"")</f>
        <v/>
      </c>
    </row>
    <row r="3653">
      <c r="G3653" s="11" t="n"/>
      <c r="Q3653" s="7">
        <f>IF($E3653="","",P3653*Y3653/100)</f>
        <v/>
      </c>
      <c r="R3653" s="7" t="n"/>
      <c r="X3653" s="7" t="n"/>
      <c r="Y3653" s="7" t="n"/>
      <c r="AB3653">
        <f>IF($E3653="","",IF($AQ3653=1,0,IF($AP3653=1,Settings!$C$6,Settings!$C$7))*100)</f>
        <v/>
      </c>
      <c r="AC3653" s="7">
        <f>IF($E3653="","",Y3653*AB3653/100)</f>
        <v/>
      </c>
      <c r="AD3653" s="7">
        <f>IF($E3653="","",Y3653-AC3653)</f>
        <v/>
      </c>
      <c r="AE3653" s="7">
        <f>IF($E3653="","",AD3653-Q3653)</f>
        <v/>
      </c>
      <c r="AI3653" s="7" t="n"/>
      <c r="AL3653" s="11" t="n"/>
      <c r="AN3653">
        <f>IF($E3653="","",IF(COUNTIF($E$2:$E3653,$E3653)=1,1,0))</f>
        <v/>
      </c>
      <c r="AO3653">
        <f>IF($AN3653=1,SUMPRODUCT(--($AR$2:$AR$4001&lt;$AR3653))+1,"")</f>
        <v/>
      </c>
      <c r="AP3653">
        <f>IF($E3653="","",IF(OR($U3653=TRUE(),$U3653="TRUE"),1,0))</f>
        <v/>
      </c>
      <c r="AQ3653">
        <f>IF($E3653="","",IF($AA3653="Yes",1,0))</f>
        <v/>
      </c>
      <c r="AR3653">
        <f>IF($AN3653=1,IFERROR(VALUE(MID($E3653,2,20)),1000000000)+ROW()/100000,"")</f>
        <v/>
      </c>
    </row>
    <row r="3654">
      <c r="G3654" s="11" t="n"/>
      <c r="Q3654" s="7">
        <f>IF($E3654="","",P3654*Y3654/100)</f>
        <v/>
      </c>
      <c r="R3654" s="7" t="n"/>
      <c r="X3654" s="7" t="n"/>
      <c r="Y3654" s="7" t="n"/>
      <c r="AB3654">
        <f>IF($E3654="","",IF($AQ3654=1,0,IF($AP3654=1,Settings!$C$6,Settings!$C$7))*100)</f>
        <v/>
      </c>
      <c r="AC3654" s="7">
        <f>IF($E3654="","",Y3654*AB3654/100)</f>
        <v/>
      </c>
      <c r="AD3654" s="7">
        <f>IF($E3654="","",Y3654-AC3654)</f>
        <v/>
      </c>
      <c r="AE3654" s="7">
        <f>IF($E3654="","",AD3654-Q3654)</f>
        <v/>
      </c>
      <c r="AI3654" s="7" t="n"/>
      <c r="AL3654" s="11" t="n"/>
      <c r="AN3654">
        <f>IF($E3654="","",IF(COUNTIF($E$2:$E3654,$E3654)=1,1,0))</f>
        <v/>
      </c>
      <c r="AO3654">
        <f>IF($AN3654=1,SUMPRODUCT(--($AR$2:$AR$4001&lt;$AR3654))+1,"")</f>
        <v/>
      </c>
      <c r="AP3654">
        <f>IF($E3654="","",IF(OR($U3654=TRUE(),$U3654="TRUE"),1,0))</f>
        <v/>
      </c>
      <c r="AQ3654">
        <f>IF($E3654="","",IF($AA3654="Yes",1,0))</f>
        <v/>
      </c>
      <c r="AR3654">
        <f>IF($AN3654=1,IFERROR(VALUE(MID($E3654,2,20)),1000000000)+ROW()/100000,"")</f>
        <v/>
      </c>
    </row>
    <row r="3655">
      <c r="G3655" s="11" t="n"/>
      <c r="Q3655" s="7">
        <f>IF($E3655="","",P3655*Y3655/100)</f>
        <v/>
      </c>
      <c r="R3655" s="7" t="n"/>
      <c r="X3655" s="7" t="n"/>
      <c r="Y3655" s="7" t="n"/>
      <c r="AB3655">
        <f>IF($E3655="","",IF($AQ3655=1,0,IF($AP3655=1,Settings!$C$6,Settings!$C$7))*100)</f>
        <v/>
      </c>
      <c r="AC3655" s="7">
        <f>IF($E3655="","",Y3655*AB3655/100)</f>
        <v/>
      </c>
      <c r="AD3655" s="7">
        <f>IF($E3655="","",Y3655-AC3655)</f>
        <v/>
      </c>
      <c r="AE3655" s="7">
        <f>IF($E3655="","",AD3655-Q3655)</f>
        <v/>
      </c>
      <c r="AI3655" s="7" t="n"/>
      <c r="AL3655" s="11" t="n"/>
      <c r="AN3655">
        <f>IF($E3655="","",IF(COUNTIF($E$2:$E3655,$E3655)=1,1,0))</f>
        <v/>
      </c>
      <c r="AO3655">
        <f>IF($AN3655=1,SUMPRODUCT(--($AR$2:$AR$4001&lt;$AR3655))+1,"")</f>
        <v/>
      </c>
      <c r="AP3655">
        <f>IF($E3655="","",IF(OR($U3655=TRUE(),$U3655="TRUE"),1,0))</f>
        <v/>
      </c>
      <c r="AQ3655">
        <f>IF($E3655="","",IF($AA3655="Yes",1,0))</f>
        <v/>
      </c>
      <c r="AR3655">
        <f>IF($AN3655=1,IFERROR(VALUE(MID($E3655,2,20)),1000000000)+ROW()/100000,"")</f>
        <v/>
      </c>
    </row>
    <row r="3656">
      <c r="G3656" s="11" t="n"/>
      <c r="Q3656" s="7">
        <f>IF($E3656="","",P3656*Y3656/100)</f>
        <v/>
      </c>
      <c r="R3656" s="7" t="n"/>
      <c r="X3656" s="7" t="n"/>
      <c r="Y3656" s="7" t="n"/>
      <c r="AB3656">
        <f>IF($E3656="","",IF($AQ3656=1,0,IF($AP3656=1,Settings!$C$6,Settings!$C$7))*100)</f>
        <v/>
      </c>
      <c r="AC3656" s="7">
        <f>IF($E3656="","",Y3656*AB3656/100)</f>
        <v/>
      </c>
      <c r="AD3656" s="7">
        <f>IF($E3656="","",Y3656-AC3656)</f>
        <v/>
      </c>
      <c r="AE3656" s="7">
        <f>IF($E3656="","",AD3656-Q3656)</f>
        <v/>
      </c>
      <c r="AI3656" s="7" t="n"/>
      <c r="AL3656" s="11" t="n"/>
      <c r="AN3656">
        <f>IF($E3656="","",IF(COUNTIF($E$2:$E3656,$E3656)=1,1,0))</f>
        <v/>
      </c>
      <c r="AO3656">
        <f>IF($AN3656=1,SUMPRODUCT(--($AR$2:$AR$4001&lt;$AR3656))+1,"")</f>
        <v/>
      </c>
      <c r="AP3656">
        <f>IF($E3656="","",IF(OR($U3656=TRUE(),$U3656="TRUE"),1,0))</f>
        <v/>
      </c>
      <c r="AQ3656">
        <f>IF($E3656="","",IF($AA3656="Yes",1,0))</f>
        <v/>
      </c>
      <c r="AR3656">
        <f>IF($AN3656=1,IFERROR(VALUE(MID($E3656,2,20)),1000000000)+ROW()/100000,"")</f>
        <v/>
      </c>
    </row>
    <row r="3657">
      <c r="G3657" s="11" t="n"/>
      <c r="Q3657" s="7">
        <f>IF($E3657="","",P3657*Y3657/100)</f>
        <v/>
      </c>
      <c r="R3657" s="7" t="n"/>
      <c r="X3657" s="7" t="n"/>
      <c r="Y3657" s="7" t="n"/>
      <c r="AB3657">
        <f>IF($E3657="","",IF($AQ3657=1,0,IF($AP3657=1,Settings!$C$6,Settings!$C$7))*100)</f>
        <v/>
      </c>
      <c r="AC3657" s="7">
        <f>IF($E3657="","",Y3657*AB3657/100)</f>
        <v/>
      </c>
      <c r="AD3657" s="7">
        <f>IF($E3657="","",Y3657-AC3657)</f>
        <v/>
      </c>
      <c r="AE3657" s="7">
        <f>IF($E3657="","",AD3657-Q3657)</f>
        <v/>
      </c>
      <c r="AI3657" s="7" t="n"/>
      <c r="AL3657" s="11" t="n"/>
      <c r="AN3657">
        <f>IF($E3657="","",IF(COUNTIF($E$2:$E3657,$E3657)=1,1,0))</f>
        <v/>
      </c>
      <c r="AO3657">
        <f>IF($AN3657=1,SUMPRODUCT(--($AR$2:$AR$4001&lt;$AR3657))+1,"")</f>
        <v/>
      </c>
      <c r="AP3657">
        <f>IF($E3657="","",IF(OR($U3657=TRUE(),$U3657="TRUE"),1,0))</f>
        <v/>
      </c>
      <c r="AQ3657">
        <f>IF($E3657="","",IF($AA3657="Yes",1,0))</f>
        <v/>
      </c>
      <c r="AR3657">
        <f>IF($AN3657=1,IFERROR(VALUE(MID($E3657,2,20)),1000000000)+ROW()/100000,"")</f>
        <v/>
      </c>
    </row>
    <row r="3658">
      <c r="G3658" s="11" t="n"/>
      <c r="Q3658" s="7">
        <f>IF($E3658="","",P3658*Y3658/100)</f>
        <v/>
      </c>
      <c r="R3658" s="7" t="n"/>
      <c r="X3658" s="7" t="n"/>
      <c r="Y3658" s="7" t="n"/>
      <c r="AB3658">
        <f>IF($E3658="","",IF($AQ3658=1,0,IF($AP3658=1,Settings!$C$6,Settings!$C$7))*100)</f>
        <v/>
      </c>
      <c r="AC3658" s="7">
        <f>IF($E3658="","",Y3658*AB3658/100)</f>
        <v/>
      </c>
      <c r="AD3658" s="7">
        <f>IF($E3658="","",Y3658-AC3658)</f>
        <v/>
      </c>
      <c r="AE3658" s="7">
        <f>IF($E3658="","",AD3658-Q3658)</f>
        <v/>
      </c>
      <c r="AI3658" s="7" t="n"/>
      <c r="AL3658" s="11" t="n"/>
      <c r="AN3658">
        <f>IF($E3658="","",IF(COUNTIF($E$2:$E3658,$E3658)=1,1,0))</f>
        <v/>
      </c>
      <c r="AO3658">
        <f>IF($AN3658=1,SUMPRODUCT(--($AR$2:$AR$4001&lt;$AR3658))+1,"")</f>
        <v/>
      </c>
      <c r="AP3658">
        <f>IF($E3658="","",IF(OR($U3658=TRUE(),$U3658="TRUE"),1,0))</f>
        <v/>
      </c>
      <c r="AQ3658">
        <f>IF($E3658="","",IF($AA3658="Yes",1,0))</f>
        <v/>
      </c>
      <c r="AR3658">
        <f>IF($AN3658=1,IFERROR(VALUE(MID($E3658,2,20)),1000000000)+ROW()/100000,"")</f>
        <v/>
      </c>
    </row>
    <row r="3659">
      <c r="G3659" s="11" t="n"/>
      <c r="Q3659" s="7">
        <f>IF($E3659="","",P3659*Y3659/100)</f>
        <v/>
      </c>
      <c r="R3659" s="7" t="n"/>
      <c r="X3659" s="7" t="n"/>
      <c r="Y3659" s="7" t="n"/>
      <c r="AB3659">
        <f>IF($E3659="","",IF($AQ3659=1,0,IF($AP3659=1,Settings!$C$6,Settings!$C$7))*100)</f>
        <v/>
      </c>
      <c r="AC3659" s="7">
        <f>IF($E3659="","",Y3659*AB3659/100)</f>
        <v/>
      </c>
      <c r="AD3659" s="7">
        <f>IF($E3659="","",Y3659-AC3659)</f>
        <v/>
      </c>
      <c r="AE3659" s="7">
        <f>IF($E3659="","",AD3659-Q3659)</f>
        <v/>
      </c>
      <c r="AI3659" s="7" t="n"/>
      <c r="AL3659" s="11" t="n"/>
      <c r="AN3659">
        <f>IF($E3659="","",IF(COUNTIF($E$2:$E3659,$E3659)=1,1,0))</f>
        <v/>
      </c>
      <c r="AO3659">
        <f>IF($AN3659=1,SUMPRODUCT(--($AR$2:$AR$4001&lt;$AR3659))+1,"")</f>
        <v/>
      </c>
      <c r="AP3659">
        <f>IF($E3659="","",IF(OR($U3659=TRUE(),$U3659="TRUE"),1,0))</f>
        <v/>
      </c>
      <c r="AQ3659">
        <f>IF($E3659="","",IF($AA3659="Yes",1,0))</f>
        <v/>
      </c>
      <c r="AR3659">
        <f>IF($AN3659=1,IFERROR(VALUE(MID($E3659,2,20)),1000000000)+ROW()/100000,"")</f>
        <v/>
      </c>
    </row>
    <row r="3660">
      <c r="G3660" s="11" t="n"/>
      <c r="Q3660" s="7">
        <f>IF($E3660="","",P3660*Y3660/100)</f>
        <v/>
      </c>
      <c r="R3660" s="7" t="n"/>
      <c r="X3660" s="7" t="n"/>
      <c r="Y3660" s="7" t="n"/>
      <c r="AB3660">
        <f>IF($E3660="","",IF($AQ3660=1,0,IF($AP3660=1,Settings!$C$6,Settings!$C$7))*100)</f>
        <v/>
      </c>
      <c r="AC3660" s="7">
        <f>IF($E3660="","",Y3660*AB3660/100)</f>
        <v/>
      </c>
      <c r="AD3660" s="7">
        <f>IF($E3660="","",Y3660-AC3660)</f>
        <v/>
      </c>
      <c r="AE3660" s="7">
        <f>IF($E3660="","",AD3660-Q3660)</f>
        <v/>
      </c>
      <c r="AI3660" s="7" t="n"/>
      <c r="AL3660" s="11" t="n"/>
      <c r="AN3660">
        <f>IF($E3660="","",IF(COUNTIF($E$2:$E3660,$E3660)=1,1,0))</f>
        <v/>
      </c>
      <c r="AO3660">
        <f>IF($AN3660=1,SUMPRODUCT(--($AR$2:$AR$4001&lt;$AR3660))+1,"")</f>
        <v/>
      </c>
      <c r="AP3660">
        <f>IF($E3660="","",IF(OR($U3660=TRUE(),$U3660="TRUE"),1,0))</f>
        <v/>
      </c>
      <c r="AQ3660">
        <f>IF($E3660="","",IF($AA3660="Yes",1,0))</f>
        <v/>
      </c>
      <c r="AR3660">
        <f>IF($AN3660=1,IFERROR(VALUE(MID($E3660,2,20)),1000000000)+ROW()/100000,"")</f>
        <v/>
      </c>
    </row>
    <row r="3661">
      <c r="G3661" s="11" t="n"/>
      <c r="Q3661" s="7">
        <f>IF($E3661="","",P3661*Y3661/100)</f>
        <v/>
      </c>
      <c r="R3661" s="7" t="n"/>
      <c r="X3661" s="7" t="n"/>
      <c r="Y3661" s="7" t="n"/>
      <c r="AB3661">
        <f>IF($E3661="","",IF($AQ3661=1,0,IF($AP3661=1,Settings!$C$6,Settings!$C$7))*100)</f>
        <v/>
      </c>
      <c r="AC3661" s="7">
        <f>IF($E3661="","",Y3661*AB3661/100)</f>
        <v/>
      </c>
      <c r="AD3661" s="7">
        <f>IF($E3661="","",Y3661-AC3661)</f>
        <v/>
      </c>
      <c r="AE3661" s="7">
        <f>IF($E3661="","",AD3661-Q3661)</f>
        <v/>
      </c>
      <c r="AI3661" s="7" t="n"/>
      <c r="AL3661" s="11" t="n"/>
      <c r="AN3661">
        <f>IF($E3661="","",IF(COUNTIF($E$2:$E3661,$E3661)=1,1,0))</f>
        <v/>
      </c>
      <c r="AO3661">
        <f>IF($AN3661=1,SUMPRODUCT(--($AR$2:$AR$4001&lt;$AR3661))+1,"")</f>
        <v/>
      </c>
      <c r="AP3661">
        <f>IF($E3661="","",IF(OR($U3661=TRUE(),$U3661="TRUE"),1,0))</f>
        <v/>
      </c>
      <c r="AQ3661">
        <f>IF($E3661="","",IF($AA3661="Yes",1,0))</f>
        <v/>
      </c>
      <c r="AR3661">
        <f>IF($AN3661=1,IFERROR(VALUE(MID($E3661,2,20)),1000000000)+ROW()/100000,"")</f>
        <v/>
      </c>
    </row>
    <row r="3662">
      <c r="G3662" s="11" t="n"/>
      <c r="Q3662" s="7">
        <f>IF($E3662="","",P3662*Y3662/100)</f>
        <v/>
      </c>
      <c r="R3662" s="7" t="n"/>
      <c r="X3662" s="7" t="n"/>
      <c r="Y3662" s="7" t="n"/>
      <c r="AB3662">
        <f>IF($E3662="","",IF($AQ3662=1,0,IF($AP3662=1,Settings!$C$6,Settings!$C$7))*100)</f>
        <v/>
      </c>
      <c r="AC3662" s="7">
        <f>IF($E3662="","",Y3662*AB3662/100)</f>
        <v/>
      </c>
      <c r="AD3662" s="7">
        <f>IF($E3662="","",Y3662-AC3662)</f>
        <v/>
      </c>
      <c r="AE3662" s="7">
        <f>IF($E3662="","",AD3662-Q3662)</f>
        <v/>
      </c>
      <c r="AI3662" s="7" t="n"/>
      <c r="AL3662" s="11" t="n"/>
      <c r="AN3662">
        <f>IF($E3662="","",IF(COUNTIF($E$2:$E3662,$E3662)=1,1,0))</f>
        <v/>
      </c>
      <c r="AO3662">
        <f>IF($AN3662=1,SUMPRODUCT(--($AR$2:$AR$4001&lt;$AR3662))+1,"")</f>
        <v/>
      </c>
      <c r="AP3662">
        <f>IF($E3662="","",IF(OR($U3662=TRUE(),$U3662="TRUE"),1,0))</f>
        <v/>
      </c>
      <c r="AQ3662">
        <f>IF($E3662="","",IF($AA3662="Yes",1,0))</f>
        <v/>
      </c>
      <c r="AR3662">
        <f>IF($AN3662=1,IFERROR(VALUE(MID($E3662,2,20)),1000000000)+ROW()/100000,"")</f>
        <v/>
      </c>
    </row>
    <row r="3663">
      <c r="G3663" s="11" t="n"/>
      <c r="Q3663" s="7">
        <f>IF($E3663="","",P3663*Y3663/100)</f>
        <v/>
      </c>
      <c r="R3663" s="7" t="n"/>
      <c r="X3663" s="7" t="n"/>
      <c r="Y3663" s="7" t="n"/>
      <c r="AB3663">
        <f>IF($E3663="","",IF($AQ3663=1,0,IF($AP3663=1,Settings!$C$6,Settings!$C$7))*100)</f>
        <v/>
      </c>
      <c r="AC3663" s="7">
        <f>IF($E3663="","",Y3663*AB3663/100)</f>
        <v/>
      </c>
      <c r="AD3663" s="7">
        <f>IF($E3663="","",Y3663-AC3663)</f>
        <v/>
      </c>
      <c r="AE3663" s="7">
        <f>IF($E3663="","",AD3663-Q3663)</f>
        <v/>
      </c>
      <c r="AI3663" s="7" t="n"/>
      <c r="AL3663" s="11" t="n"/>
      <c r="AN3663">
        <f>IF($E3663="","",IF(COUNTIF($E$2:$E3663,$E3663)=1,1,0))</f>
        <v/>
      </c>
      <c r="AO3663">
        <f>IF($AN3663=1,SUMPRODUCT(--($AR$2:$AR$4001&lt;$AR3663))+1,"")</f>
        <v/>
      </c>
      <c r="AP3663">
        <f>IF($E3663="","",IF(OR($U3663=TRUE(),$U3663="TRUE"),1,0))</f>
        <v/>
      </c>
      <c r="AQ3663">
        <f>IF($E3663="","",IF($AA3663="Yes",1,0))</f>
        <v/>
      </c>
      <c r="AR3663">
        <f>IF($AN3663=1,IFERROR(VALUE(MID($E3663,2,20)),1000000000)+ROW()/100000,"")</f>
        <v/>
      </c>
    </row>
    <row r="3664">
      <c r="G3664" s="11" t="n"/>
      <c r="Q3664" s="7">
        <f>IF($E3664="","",P3664*Y3664/100)</f>
        <v/>
      </c>
      <c r="R3664" s="7" t="n"/>
      <c r="X3664" s="7" t="n"/>
      <c r="Y3664" s="7" t="n"/>
      <c r="AB3664">
        <f>IF($E3664="","",IF($AQ3664=1,0,IF($AP3664=1,Settings!$C$6,Settings!$C$7))*100)</f>
        <v/>
      </c>
      <c r="AC3664" s="7">
        <f>IF($E3664="","",Y3664*AB3664/100)</f>
        <v/>
      </c>
      <c r="AD3664" s="7">
        <f>IF($E3664="","",Y3664-AC3664)</f>
        <v/>
      </c>
      <c r="AE3664" s="7">
        <f>IF($E3664="","",AD3664-Q3664)</f>
        <v/>
      </c>
      <c r="AI3664" s="7" t="n"/>
      <c r="AL3664" s="11" t="n"/>
      <c r="AN3664">
        <f>IF($E3664="","",IF(COUNTIF($E$2:$E3664,$E3664)=1,1,0))</f>
        <v/>
      </c>
      <c r="AO3664">
        <f>IF($AN3664=1,SUMPRODUCT(--($AR$2:$AR$4001&lt;$AR3664))+1,"")</f>
        <v/>
      </c>
      <c r="AP3664">
        <f>IF($E3664="","",IF(OR($U3664=TRUE(),$U3664="TRUE"),1,0))</f>
        <v/>
      </c>
      <c r="AQ3664">
        <f>IF($E3664="","",IF($AA3664="Yes",1,0))</f>
        <v/>
      </c>
      <c r="AR3664">
        <f>IF($AN3664=1,IFERROR(VALUE(MID($E3664,2,20)),1000000000)+ROW()/100000,"")</f>
        <v/>
      </c>
    </row>
    <row r="3665">
      <c r="G3665" s="11" t="n"/>
      <c r="Q3665" s="7">
        <f>IF($E3665="","",P3665*Y3665/100)</f>
        <v/>
      </c>
      <c r="R3665" s="7" t="n"/>
      <c r="X3665" s="7" t="n"/>
      <c r="Y3665" s="7" t="n"/>
      <c r="AB3665">
        <f>IF($E3665="","",IF($AQ3665=1,0,IF($AP3665=1,Settings!$C$6,Settings!$C$7))*100)</f>
        <v/>
      </c>
      <c r="AC3665" s="7">
        <f>IF($E3665="","",Y3665*AB3665/100)</f>
        <v/>
      </c>
      <c r="AD3665" s="7">
        <f>IF($E3665="","",Y3665-AC3665)</f>
        <v/>
      </c>
      <c r="AE3665" s="7">
        <f>IF($E3665="","",AD3665-Q3665)</f>
        <v/>
      </c>
      <c r="AI3665" s="7" t="n"/>
      <c r="AL3665" s="11" t="n"/>
      <c r="AN3665">
        <f>IF($E3665="","",IF(COUNTIF($E$2:$E3665,$E3665)=1,1,0))</f>
        <v/>
      </c>
      <c r="AO3665">
        <f>IF($AN3665=1,SUMPRODUCT(--($AR$2:$AR$4001&lt;$AR3665))+1,"")</f>
        <v/>
      </c>
      <c r="AP3665">
        <f>IF($E3665="","",IF(OR($U3665=TRUE(),$U3665="TRUE"),1,0))</f>
        <v/>
      </c>
      <c r="AQ3665">
        <f>IF($E3665="","",IF($AA3665="Yes",1,0))</f>
        <v/>
      </c>
      <c r="AR3665">
        <f>IF($AN3665=1,IFERROR(VALUE(MID($E3665,2,20)),1000000000)+ROW()/100000,"")</f>
        <v/>
      </c>
    </row>
    <row r="3666">
      <c r="G3666" s="11" t="n"/>
      <c r="Q3666" s="7">
        <f>IF($E3666="","",P3666*Y3666/100)</f>
        <v/>
      </c>
      <c r="R3666" s="7" t="n"/>
      <c r="X3666" s="7" t="n"/>
      <c r="Y3666" s="7" t="n"/>
      <c r="AB3666">
        <f>IF($E3666="","",IF($AQ3666=1,0,IF($AP3666=1,Settings!$C$6,Settings!$C$7))*100)</f>
        <v/>
      </c>
      <c r="AC3666" s="7">
        <f>IF($E3666="","",Y3666*AB3666/100)</f>
        <v/>
      </c>
      <c r="AD3666" s="7">
        <f>IF($E3666="","",Y3666-AC3666)</f>
        <v/>
      </c>
      <c r="AE3666" s="7">
        <f>IF($E3666="","",AD3666-Q3666)</f>
        <v/>
      </c>
      <c r="AI3666" s="7" t="n"/>
      <c r="AL3666" s="11" t="n"/>
      <c r="AN3666">
        <f>IF($E3666="","",IF(COUNTIF($E$2:$E3666,$E3666)=1,1,0))</f>
        <v/>
      </c>
      <c r="AO3666">
        <f>IF($AN3666=1,SUMPRODUCT(--($AR$2:$AR$4001&lt;$AR3666))+1,"")</f>
        <v/>
      </c>
      <c r="AP3666">
        <f>IF($E3666="","",IF(OR($U3666=TRUE(),$U3666="TRUE"),1,0))</f>
        <v/>
      </c>
      <c r="AQ3666">
        <f>IF($E3666="","",IF($AA3666="Yes",1,0))</f>
        <v/>
      </c>
      <c r="AR3666">
        <f>IF($AN3666=1,IFERROR(VALUE(MID($E3666,2,20)),1000000000)+ROW()/100000,"")</f>
        <v/>
      </c>
    </row>
    <row r="3667">
      <c r="G3667" s="11" t="n"/>
      <c r="Q3667" s="7">
        <f>IF($E3667="","",P3667*Y3667/100)</f>
        <v/>
      </c>
      <c r="R3667" s="7" t="n"/>
      <c r="X3667" s="7" t="n"/>
      <c r="Y3667" s="7" t="n"/>
      <c r="AB3667">
        <f>IF($E3667="","",IF($AQ3667=1,0,IF($AP3667=1,Settings!$C$6,Settings!$C$7))*100)</f>
        <v/>
      </c>
      <c r="AC3667" s="7">
        <f>IF($E3667="","",Y3667*AB3667/100)</f>
        <v/>
      </c>
      <c r="AD3667" s="7">
        <f>IF($E3667="","",Y3667-AC3667)</f>
        <v/>
      </c>
      <c r="AE3667" s="7">
        <f>IF($E3667="","",AD3667-Q3667)</f>
        <v/>
      </c>
      <c r="AI3667" s="7" t="n"/>
      <c r="AL3667" s="11" t="n"/>
      <c r="AN3667">
        <f>IF($E3667="","",IF(COUNTIF($E$2:$E3667,$E3667)=1,1,0))</f>
        <v/>
      </c>
      <c r="AO3667">
        <f>IF($AN3667=1,SUMPRODUCT(--($AR$2:$AR$4001&lt;$AR3667))+1,"")</f>
        <v/>
      </c>
      <c r="AP3667">
        <f>IF($E3667="","",IF(OR($U3667=TRUE(),$U3667="TRUE"),1,0))</f>
        <v/>
      </c>
      <c r="AQ3667">
        <f>IF($E3667="","",IF($AA3667="Yes",1,0))</f>
        <v/>
      </c>
      <c r="AR3667">
        <f>IF($AN3667=1,IFERROR(VALUE(MID($E3667,2,20)),1000000000)+ROW()/100000,"")</f>
        <v/>
      </c>
    </row>
    <row r="3668">
      <c r="G3668" s="11" t="n"/>
      <c r="Q3668" s="7">
        <f>IF($E3668="","",P3668*Y3668/100)</f>
        <v/>
      </c>
      <c r="R3668" s="7" t="n"/>
      <c r="X3668" s="7" t="n"/>
      <c r="Y3668" s="7" t="n"/>
      <c r="AB3668">
        <f>IF($E3668="","",IF($AQ3668=1,0,IF($AP3668=1,Settings!$C$6,Settings!$C$7))*100)</f>
        <v/>
      </c>
      <c r="AC3668" s="7">
        <f>IF($E3668="","",Y3668*AB3668/100)</f>
        <v/>
      </c>
      <c r="AD3668" s="7">
        <f>IF($E3668="","",Y3668-AC3668)</f>
        <v/>
      </c>
      <c r="AE3668" s="7">
        <f>IF($E3668="","",AD3668-Q3668)</f>
        <v/>
      </c>
      <c r="AI3668" s="7" t="n"/>
      <c r="AL3668" s="11" t="n"/>
      <c r="AN3668">
        <f>IF($E3668="","",IF(COUNTIF($E$2:$E3668,$E3668)=1,1,0))</f>
        <v/>
      </c>
      <c r="AO3668">
        <f>IF($AN3668=1,SUMPRODUCT(--($AR$2:$AR$4001&lt;$AR3668))+1,"")</f>
        <v/>
      </c>
      <c r="AP3668">
        <f>IF($E3668="","",IF(OR($U3668=TRUE(),$U3668="TRUE"),1,0))</f>
        <v/>
      </c>
      <c r="AQ3668">
        <f>IF($E3668="","",IF($AA3668="Yes",1,0))</f>
        <v/>
      </c>
      <c r="AR3668">
        <f>IF($AN3668=1,IFERROR(VALUE(MID($E3668,2,20)),1000000000)+ROW()/100000,"")</f>
        <v/>
      </c>
    </row>
    <row r="3669">
      <c r="G3669" s="11" t="n"/>
      <c r="Q3669" s="7">
        <f>IF($E3669="","",P3669*Y3669/100)</f>
        <v/>
      </c>
      <c r="R3669" s="7" t="n"/>
      <c r="X3669" s="7" t="n"/>
      <c r="Y3669" s="7" t="n"/>
      <c r="AB3669">
        <f>IF($E3669="","",IF($AQ3669=1,0,IF($AP3669=1,Settings!$C$6,Settings!$C$7))*100)</f>
        <v/>
      </c>
      <c r="AC3669" s="7">
        <f>IF($E3669="","",Y3669*AB3669/100)</f>
        <v/>
      </c>
      <c r="AD3669" s="7">
        <f>IF($E3669="","",Y3669-AC3669)</f>
        <v/>
      </c>
      <c r="AE3669" s="7">
        <f>IF($E3669="","",AD3669-Q3669)</f>
        <v/>
      </c>
      <c r="AI3669" s="7" t="n"/>
      <c r="AL3669" s="11" t="n"/>
      <c r="AN3669">
        <f>IF($E3669="","",IF(COUNTIF($E$2:$E3669,$E3669)=1,1,0))</f>
        <v/>
      </c>
      <c r="AO3669">
        <f>IF($AN3669=1,SUMPRODUCT(--($AR$2:$AR$4001&lt;$AR3669))+1,"")</f>
        <v/>
      </c>
      <c r="AP3669">
        <f>IF($E3669="","",IF(OR($U3669=TRUE(),$U3669="TRUE"),1,0))</f>
        <v/>
      </c>
      <c r="AQ3669">
        <f>IF($E3669="","",IF($AA3669="Yes",1,0))</f>
        <v/>
      </c>
      <c r="AR3669">
        <f>IF($AN3669=1,IFERROR(VALUE(MID($E3669,2,20)),1000000000)+ROW()/100000,"")</f>
        <v/>
      </c>
    </row>
    <row r="3670">
      <c r="G3670" s="11" t="n"/>
      <c r="Q3670" s="7">
        <f>IF($E3670="","",P3670*Y3670/100)</f>
        <v/>
      </c>
      <c r="R3670" s="7" t="n"/>
      <c r="X3670" s="7" t="n"/>
      <c r="Y3670" s="7" t="n"/>
      <c r="AB3670">
        <f>IF($E3670="","",IF($AQ3670=1,0,IF($AP3670=1,Settings!$C$6,Settings!$C$7))*100)</f>
        <v/>
      </c>
      <c r="AC3670" s="7">
        <f>IF($E3670="","",Y3670*AB3670/100)</f>
        <v/>
      </c>
      <c r="AD3670" s="7">
        <f>IF($E3670="","",Y3670-AC3670)</f>
        <v/>
      </c>
      <c r="AE3670" s="7">
        <f>IF($E3670="","",AD3670-Q3670)</f>
        <v/>
      </c>
      <c r="AI3670" s="7" t="n"/>
      <c r="AL3670" s="11" t="n"/>
      <c r="AN3670">
        <f>IF($E3670="","",IF(COUNTIF($E$2:$E3670,$E3670)=1,1,0))</f>
        <v/>
      </c>
      <c r="AO3670">
        <f>IF($AN3670=1,SUMPRODUCT(--($AR$2:$AR$4001&lt;$AR3670))+1,"")</f>
        <v/>
      </c>
      <c r="AP3670">
        <f>IF($E3670="","",IF(OR($U3670=TRUE(),$U3670="TRUE"),1,0))</f>
        <v/>
      </c>
      <c r="AQ3670">
        <f>IF($E3670="","",IF($AA3670="Yes",1,0))</f>
        <v/>
      </c>
      <c r="AR3670">
        <f>IF($AN3670=1,IFERROR(VALUE(MID($E3670,2,20)),1000000000)+ROW()/100000,"")</f>
        <v/>
      </c>
    </row>
    <row r="3671">
      <c r="G3671" s="11" t="n"/>
      <c r="Q3671" s="7">
        <f>IF($E3671="","",P3671*Y3671/100)</f>
        <v/>
      </c>
      <c r="R3671" s="7" t="n"/>
      <c r="X3671" s="7" t="n"/>
      <c r="Y3671" s="7" t="n"/>
      <c r="AB3671">
        <f>IF($E3671="","",IF($AQ3671=1,0,IF($AP3671=1,Settings!$C$6,Settings!$C$7))*100)</f>
        <v/>
      </c>
      <c r="AC3671" s="7">
        <f>IF($E3671="","",Y3671*AB3671/100)</f>
        <v/>
      </c>
      <c r="AD3671" s="7">
        <f>IF($E3671="","",Y3671-AC3671)</f>
        <v/>
      </c>
      <c r="AE3671" s="7">
        <f>IF($E3671="","",AD3671-Q3671)</f>
        <v/>
      </c>
      <c r="AI3671" s="7" t="n"/>
      <c r="AL3671" s="11" t="n"/>
      <c r="AN3671">
        <f>IF($E3671="","",IF(COUNTIF($E$2:$E3671,$E3671)=1,1,0))</f>
        <v/>
      </c>
      <c r="AO3671">
        <f>IF($AN3671=1,SUMPRODUCT(--($AR$2:$AR$4001&lt;$AR3671))+1,"")</f>
        <v/>
      </c>
      <c r="AP3671">
        <f>IF($E3671="","",IF(OR($U3671=TRUE(),$U3671="TRUE"),1,0))</f>
        <v/>
      </c>
      <c r="AQ3671">
        <f>IF($E3671="","",IF($AA3671="Yes",1,0))</f>
        <v/>
      </c>
      <c r="AR3671">
        <f>IF($AN3671=1,IFERROR(VALUE(MID($E3671,2,20)),1000000000)+ROW()/100000,"")</f>
        <v/>
      </c>
    </row>
    <row r="3672">
      <c r="G3672" s="11" t="n"/>
      <c r="Q3672" s="7">
        <f>IF($E3672="","",P3672*Y3672/100)</f>
        <v/>
      </c>
      <c r="R3672" s="7" t="n"/>
      <c r="X3672" s="7" t="n"/>
      <c r="Y3672" s="7" t="n"/>
      <c r="AB3672">
        <f>IF($E3672="","",IF($AQ3672=1,0,IF($AP3672=1,Settings!$C$6,Settings!$C$7))*100)</f>
        <v/>
      </c>
      <c r="AC3672" s="7">
        <f>IF($E3672="","",Y3672*AB3672/100)</f>
        <v/>
      </c>
      <c r="AD3672" s="7">
        <f>IF($E3672="","",Y3672-AC3672)</f>
        <v/>
      </c>
      <c r="AE3672" s="7">
        <f>IF($E3672="","",AD3672-Q3672)</f>
        <v/>
      </c>
      <c r="AI3672" s="7" t="n"/>
      <c r="AL3672" s="11" t="n"/>
      <c r="AN3672">
        <f>IF($E3672="","",IF(COUNTIF($E$2:$E3672,$E3672)=1,1,0))</f>
        <v/>
      </c>
      <c r="AO3672">
        <f>IF($AN3672=1,SUMPRODUCT(--($AR$2:$AR$4001&lt;$AR3672))+1,"")</f>
        <v/>
      </c>
      <c r="AP3672">
        <f>IF($E3672="","",IF(OR($U3672=TRUE(),$U3672="TRUE"),1,0))</f>
        <v/>
      </c>
      <c r="AQ3672">
        <f>IF($E3672="","",IF($AA3672="Yes",1,0))</f>
        <v/>
      </c>
      <c r="AR3672">
        <f>IF($AN3672=1,IFERROR(VALUE(MID($E3672,2,20)),1000000000)+ROW()/100000,"")</f>
        <v/>
      </c>
    </row>
    <row r="3673">
      <c r="G3673" s="11" t="n"/>
      <c r="Q3673" s="7">
        <f>IF($E3673="","",P3673*Y3673/100)</f>
        <v/>
      </c>
      <c r="R3673" s="7" t="n"/>
      <c r="X3673" s="7" t="n"/>
      <c r="Y3673" s="7" t="n"/>
      <c r="AB3673">
        <f>IF($E3673="","",IF($AQ3673=1,0,IF($AP3673=1,Settings!$C$6,Settings!$C$7))*100)</f>
        <v/>
      </c>
      <c r="AC3673" s="7">
        <f>IF($E3673="","",Y3673*AB3673/100)</f>
        <v/>
      </c>
      <c r="AD3673" s="7">
        <f>IF($E3673="","",Y3673-AC3673)</f>
        <v/>
      </c>
      <c r="AE3673" s="7">
        <f>IF($E3673="","",AD3673-Q3673)</f>
        <v/>
      </c>
      <c r="AI3673" s="7" t="n"/>
      <c r="AL3673" s="11" t="n"/>
      <c r="AN3673">
        <f>IF($E3673="","",IF(COUNTIF($E$2:$E3673,$E3673)=1,1,0))</f>
        <v/>
      </c>
      <c r="AO3673">
        <f>IF($AN3673=1,SUMPRODUCT(--($AR$2:$AR$4001&lt;$AR3673))+1,"")</f>
        <v/>
      </c>
      <c r="AP3673">
        <f>IF($E3673="","",IF(OR($U3673=TRUE(),$U3673="TRUE"),1,0))</f>
        <v/>
      </c>
      <c r="AQ3673">
        <f>IF($E3673="","",IF($AA3673="Yes",1,0))</f>
        <v/>
      </c>
      <c r="AR3673">
        <f>IF($AN3673=1,IFERROR(VALUE(MID($E3673,2,20)),1000000000)+ROW()/100000,"")</f>
        <v/>
      </c>
    </row>
    <row r="3674">
      <c r="G3674" s="11" t="n"/>
      <c r="Q3674" s="7">
        <f>IF($E3674="","",P3674*Y3674/100)</f>
        <v/>
      </c>
      <c r="R3674" s="7" t="n"/>
      <c r="X3674" s="7" t="n"/>
      <c r="Y3674" s="7" t="n"/>
      <c r="AB3674">
        <f>IF($E3674="","",IF($AQ3674=1,0,IF($AP3674=1,Settings!$C$6,Settings!$C$7))*100)</f>
        <v/>
      </c>
      <c r="AC3674" s="7">
        <f>IF($E3674="","",Y3674*AB3674/100)</f>
        <v/>
      </c>
      <c r="AD3674" s="7">
        <f>IF($E3674="","",Y3674-AC3674)</f>
        <v/>
      </c>
      <c r="AE3674" s="7">
        <f>IF($E3674="","",AD3674-Q3674)</f>
        <v/>
      </c>
      <c r="AI3674" s="7" t="n"/>
      <c r="AL3674" s="11" t="n"/>
      <c r="AN3674">
        <f>IF($E3674="","",IF(COUNTIF($E$2:$E3674,$E3674)=1,1,0))</f>
        <v/>
      </c>
      <c r="AO3674">
        <f>IF($AN3674=1,SUMPRODUCT(--($AR$2:$AR$4001&lt;$AR3674))+1,"")</f>
        <v/>
      </c>
      <c r="AP3674">
        <f>IF($E3674="","",IF(OR($U3674=TRUE(),$U3674="TRUE"),1,0))</f>
        <v/>
      </c>
      <c r="AQ3674">
        <f>IF($E3674="","",IF($AA3674="Yes",1,0))</f>
        <v/>
      </c>
      <c r="AR3674">
        <f>IF($AN3674=1,IFERROR(VALUE(MID($E3674,2,20)),1000000000)+ROW()/100000,"")</f>
        <v/>
      </c>
    </row>
    <row r="3675">
      <c r="G3675" s="11" t="n"/>
      <c r="Q3675" s="7">
        <f>IF($E3675="","",P3675*Y3675/100)</f>
        <v/>
      </c>
      <c r="R3675" s="7" t="n"/>
      <c r="X3675" s="7" t="n"/>
      <c r="Y3675" s="7" t="n"/>
      <c r="AB3675">
        <f>IF($E3675="","",IF($AQ3675=1,0,IF($AP3675=1,Settings!$C$6,Settings!$C$7))*100)</f>
        <v/>
      </c>
      <c r="AC3675" s="7">
        <f>IF($E3675="","",Y3675*AB3675/100)</f>
        <v/>
      </c>
      <c r="AD3675" s="7">
        <f>IF($E3675="","",Y3675-AC3675)</f>
        <v/>
      </c>
      <c r="AE3675" s="7">
        <f>IF($E3675="","",AD3675-Q3675)</f>
        <v/>
      </c>
      <c r="AI3675" s="7" t="n"/>
      <c r="AL3675" s="11" t="n"/>
      <c r="AN3675">
        <f>IF($E3675="","",IF(COUNTIF($E$2:$E3675,$E3675)=1,1,0))</f>
        <v/>
      </c>
      <c r="AO3675">
        <f>IF($AN3675=1,SUMPRODUCT(--($AR$2:$AR$4001&lt;$AR3675))+1,"")</f>
        <v/>
      </c>
      <c r="AP3675">
        <f>IF($E3675="","",IF(OR($U3675=TRUE(),$U3675="TRUE"),1,0))</f>
        <v/>
      </c>
      <c r="AQ3675">
        <f>IF($E3675="","",IF($AA3675="Yes",1,0))</f>
        <v/>
      </c>
      <c r="AR3675">
        <f>IF($AN3675=1,IFERROR(VALUE(MID($E3675,2,20)),1000000000)+ROW()/100000,"")</f>
        <v/>
      </c>
    </row>
    <row r="3676">
      <c r="G3676" s="11" t="n"/>
      <c r="Q3676" s="7">
        <f>IF($E3676="","",P3676*Y3676/100)</f>
        <v/>
      </c>
      <c r="R3676" s="7" t="n"/>
      <c r="X3676" s="7" t="n"/>
      <c r="Y3676" s="7" t="n"/>
      <c r="AB3676">
        <f>IF($E3676="","",IF($AQ3676=1,0,IF($AP3676=1,Settings!$C$6,Settings!$C$7))*100)</f>
        <v/>
      </c>
      <c r="AC3676" s="7">
        <f>IF($E3676="","",Y3676*AB3676/100)</f>
        <v/>
      </c>
      <c r="AD3676" s="7">
        <f>IF($E3676="","",Y3676-AC3676)</f>
        <v/>
      </c>
      <c r="AE3676" s="7">
        <f>IF($E3676="","",AD3676-Q3676)</f>
        <v/>
      </c>
      <c r="AI3676" s="7" t="n"/>
      <c r="AL3676" s="11" t="n"/>
      <c r="AN3676">
        <f>IF($E3676="","",IF(COUNTIF($E$2:$E3676,$E3676)=1,1,0))</f>
        <v/>
      </c>
      <c r="AO3676">
        <f>IF($AN3676=1,SUMPRODUCT(--($AR$2:$AR$4001&lt;$AR3676))+1,"")</f>
        <v/>
      </c>
      <c r="AP3676">
        <f>IF($E3676="","",IF(OR($U3676=TRUE(),$U3676="TRUE"),1,0))</f>
        <v/>
      </c>
      <c r="AQ3676">
        <f>IF($E3676="","",IF($AA3676="Yes",1,0))</f>
        <v/>
      </c>
      <c r="AR3676">
        <f>IF($AN3676=1,IFERROR(VALUE(MID($E3676,2,20)),1000000000)+ROW()/100000,"")</f>
        <v/>
      </c>
    </row>
    <row r="3677">
      <c r="G3677" s="11" t="n"/>
      <c r="Q3677" s="7">
        <f>IF($E3677="","",P3677*Y3677/100)</f>
        <v/>
      </c>
      <c r="R3677" s="7" t="n"/>
      <c r="X3677" s="7" t="n"/>
      <c r="Y3677" s="7" t="n"/>
      <c r="AB3677">
        <f>IF($E3677="","",IF($AQ3677=1,0,IF($AP3677=1,Settings!$C$6,Settings!$C$7))*100)</f>
        <v/>
      </c>
      <c r="AC3677" s="7">
        <f>IF($E3677="","",Y3677*AB3677/100)</f>
        <v/>
      </c>
      <c r="AD3677" s="7">
        <f>IF($E3677="","",Y3677-AC3677)</f>
        <v/>
      </c>
      <c r="AE3677" s="7">
        <f>IF($E3677="","",AD3677-Q3677)</f>
        <v/>
      </c>
      <c r="AI3677" s="7" t="n"/>
      <c r="AL3677" s="11" t="n"/>
      <c r="AN3677">
        <f>IF($E3677="","",IF(COUNTIF($E$2:$E3677,$E3677)=1,1,0))</f>
        <v/>
      </c>
      <c r="AO3677">
        <f>IF($AN3677=1,SUMPRODUCT(--($AR$2:$AR$4001&lt;$AR3677))+1,"")</f>
        <v/>
      </c>
      <c r="AP3677">
        <f>IF($E3677="","",IF(OR($U3677=TRUE(),$U3677="TRUE"),1,0))</f>
        <v/>
      </c>
      <c r="AQ3677">
        <f>IF($E3677="","",IF($AA3677="Yes",1,0))</f>
        <v/>
      </c>
      <c r="AR3677">
        <f>IF($AN3677=1,IFERROR(VALUE(MID($E3677,2,20)),1000000000)+ROW()/100000,"")</f>
        <v/>
      </c>
    </row>
    <row r="3678">
      <c r="G3678" s="11" t="n"/>
      <c r="Q3678" s="7">
        <f>IF($E3678="","",P3678*Y3678/100)</f>
        <v/>
      </c>
      <c r="R3678" s="7" t="n"/>
      <c r="X3678" s="7" t="n"/>
      <c r="Y3678" s="7" t="n"/>
      <c r="AB3678">
        <f>IF($E3678="","",IF($AQ3678=1,0,IF($AP3678=1,Settings!$C$6,Settings!$C$7))*100)</f>
        <v/>
      </c>
      <c r="AC3678" s="7">
        <f>IF($E3678="","",Y3678*AB3678/100)</f>
        <v/>
      </c>
      <c r="AD3678" s="7">
        <f>IF($E3678="","",Y3678-AC3678)</f>
        <v/>
      </c>
      <c r="AE3678" s="7">
        <f>IF($E3678="","",AD3678-Q3678)</f>
        <v/>
      </c>
      <c r="AI3678" s="7" t="n"/>
      <c r="AL3678" s="11" t="n"/>
      <c r="AN3678">
        <f>IF($E3678="","",IF(COUNTIF($E$2:$E3678,$E3678)=1,1,0))</f>
        <v/>
      </c>
      <c r="AO3678">
        <f>IF($AN3678=1,SUMPRODUCT(--($AR$2:$AR$4001&lt;$AR3678))+1,"")</f>
        <v/>
      </c>
      <c r="AP3678">
        <f>IF($E3678="","",IF(OR($U3678=TRUE(),$U3678="TRUE"),1,0))</f>
        <v/>
      </c>
      <c r="AQ3678">
        <f>IF($E3678="","",IF($AA3678="Yes",1,0))</f>
        <v/>
      </c>
      <c r="AR3678">
        <f>IF($AN3678=1,IFERROR(VALUE(MID($E3678,2,20)),1000000000)+ROW()/100000,"")</f>
        <v/>
      </c>
    </row>
    <row r="3679">
      <c r="G3679" s="11" t="n"/>
      <c r="Q3679" s="7">
        <f>IF($E3679="","",P3679*Y3679/100)</f>
        <v/>
      </c>
      <c r="R3679" s="7" t="n"/>
      <c r="X3679" s="7" t="n"/>
      <c r="Y3679" s="7" t="n"/>
      <c r="AB3679">
        <f>IF($E3679="","",IF($AQ3679=1,0,IF($AP3679=1,Settings!$C$6,Settings!$C$7))*100)</f>
        <v/>
      </c>
      <c r="AC3679" s="7">
        <f>IF($E3679="","",Y3679*AB3679/100)</f>
        <v/>
      </c>
      <c r="AD3679" s="7">
        <f>IF($E3679="","",Y3679-AC3679)</f>
        <v/>
      </c>
      <c r="AE3679" s="7">
        <f>IF($E3679="","",AD3679-Q3679)</f>
        <v/>
      </c>
      <c r="AI3679" s="7" t="n"/>
      <c r="AL3679" s="11" t="n"/>
      <c r="AN3679">
        <f>IF($E3679="","",IF(COUNTIF($E$2:$E3679,$E3679)=1,1,0))</f>
        <v/>
      </c>
      <c r="AO3679">
        <f>IF($AN3679=1,SUMPRODUCT(--($AR$2:$AR$4001&lt;$AR3679))+1,"")</f>
        <v/>
      </c>
      <c r="AP3679">
        <f>IF($E3679="","",IF(OR($U3679=TRUE(),$U3679="TRUE"),1,0))</f>
        <v/>
      </c>
      <c r="AQ3679">
        <f>IF($E3679="","",IF($AA3679="Yes",1,0))</f>
        <v/>
      </c>
      <c r="AR3679">
        <f>IF($AN3679=1,IFERROR(VALUE(MID($E3679,2,20)),1000000000)+ROW()/100000,"")</f>
        <v/>
      </c>
    </row>
    <row r="3680">
      <c r="G3680" s="11" t="n"/>
      <c r="Q3680" s="7">
        <f>IF($E3680="","",P3680*Y3680/100)</f>
        <v/>
      </c>
      <c r="R3680" s="7" t="n"/>
      <c r="X3680" s="7" t="n"/>
      <c r="Y3680" s="7" t="n"/>
      <c r="AB3680">
        <f>IF($E3680="","",IF($AQ3680=1,0,IF($AP3680=1,Settings!$C$6,Settings!$C$7))*100)</f>
        <v/>
      </c>
      <c r="AC3680" s="7">
        <f>IF($E3680="","",Y3680*AB3680/100)</f>
        <v/>
      </c>
      <c r="AD3680" s="7">
        <f>IF($E3680="","",Y3680-AC3680)</f>
        <v/>
      </c>
      <c r="AE3680" s="7">
        <f>IF($E3680="","",AD3680-Q3680)</f>
        <v/>
      </c>
      <c r="AI3680" s="7" t="n"/>
      <c r="AL3680" s="11" t="n"/>
      <c r="AN3680">
        <f>IF($E3680="","",IF(COUNTIF($E$2:$E3680,$E3680)=1,1,0))</f>
        <v/>
      </c>
      <c r="AO3680">
        <f>IF($AN3680=1,SUMPRODUCT(--($AR$2:$AR$4001&lt;$AR3680))+1,"")</f>
        <v/>
      </c>
      <c r="AP3680">
        <f>IF($E3680="","",IF(OR($U3680=TRUE(),$U3680="TRUE"),1,0))</f>
        <v/>
      </c>
      <c r="AQ3680">
        <f>IF($E3680="","",IF($AA3680="Yes",1,0))</f>
        <v/>
      </c>
      <c r="AR3680">
        <f>IF($AN3680=1,IFERROR(VALUE(MID($E3680,2,20)),1000000000)+ROW()/100000,"")</f>
        <v/>
      </c>
    </row>
    <row r="3681">
      <c r="G3681" s="11" t="n"/>
      <c r="Q3681" s="7">
        <f>IF($E3681="","",P3681*Y3681/100)</f>
        <v/>
      </c>
      <c r="R3681" s="7" t="n"/>
      <c r="X3681" s="7" t="n"/>
      <c r="Y3681" s="7" t="n"/>
      <c r="AB3681">
        <f>IF($E3681="","",IF($AQ3681=1,0,IF($AP3681=1,Settings!$C$6,Settings!$C$7))*100)</f>
        <v/>
      </c>
      <c r="AC3681" s="7">
        <f>IF($E3681="","",Y3681*AB3681/100)</f>
        <v/>
      </c>
      <c r="AD3681" s="7">
        <f>IF($E3681="","",Y3681-AC3681)</f>
        <v/>
      </c>
      <c r="AE3681" s="7">
        <f>IF($E3681="","",AD3681-Q3681)</f>
        <v/>
      </c>
      <c r="AI3681" s="7" t="n"/>
      <c r="AL3681" s="11" t="n"/>
      <c r="AN3681">
        <f>IF($E3681="","",IF(COUNTIF($E$2:$E3681,$E3681)=1,1,0))</f>
        <v/>
      </c>
      <c r="AO3681">
        <f>IF($AN3681=1,SUMPRODUCT(--($AR$2:$AR$4001&lt;$AR3681))+1,"")</f>
        <v/>
      </c>
      <c r="AP3681">
        <f>IF($E3681="","",IF(OR($U3681=TRUE(),$U3681="TRUE"),1,0))</f>
        <v/>
      </c>
      <c r="AQ3681">
        <f>IF($E3681="","",IF($AA3681="Yes",1,0))</f>
        <v/>
      </c>
      <c r="AR3681">
        <f>IF($AN3681=1,IFERROR(VALUE(MID($E3681,2,20)),1000000000)+ROW()/100000,"")</f>
        <v/>
      </c>
    </row>
    <row r="3682">
      <c r="G3682" s="11" t="n"/>
      <c r="Q3682" s="7">
        <f>IF($E3682="","",P3682*Y3682/100)</f>
        <v/>
      </c>
      <c r="R3682" s="7" t="n"/>
      <c r="X3682" s="7" t="n"/>
      <c r="Y3682" s="7" t="n"/>
      <c r="AB3682">
        <f>IF($E3682="","",IF($AQ3682=1,0,IF($AP3682=1,Settings!$C$6,Settings!$C$7))*100)</f>
        <v/>
      </c>
      <c r="AC3682" s="7">
        <f>IF($E3682="","",Y3682*AB3682/100)</f>
        <v/>
      </c>
      <c r="AD3682" s="7">
        <f>IF($E3682="","",Y3682-AC3682)</f>
        <v/>
      </c>
      <c r="AE3682" s="7">
        <f>IF($E3682="","",AD3682-Q3682)</f>
        <v/>
      </c>
      <c r="AI3682" s="7" t="n"/>
      <c r="AL3682" s="11" t="n"/>
      <c r="AN3682">
        <f>IF($E3682="","",IF(COUNTIF($E$2:$E3682,$E3682)=1,1,0))</f>
        <v/>
      </c>
      <c r="AO3682">
        <f>IF($AN3682=1,SUMPRODUCT(--($AR$2:$AR$4001&lt;$AR3682))+1,"")</f>
        <v/>
      </c>
      <c r="AP3682">
        <f>IF($E3682="","",IF(OR($U3682=TRUE(),$U3682="TRUE"),1,0))</f>
        <v/>
      </c>
      <c r="AQ3682">
        <f>IF($E3682="","",IF($AA3682="Yes",1,0))</f>
        <v/>
      </c>
      <c r="AR3682">
        <f>IF($AN3682=1,IFERROR(VALUE(MID($E3682,2,20)),1000000000)+ROW()/100000,"")</f>
        <v/>
      </c>
    </row>
    <row r="3683">
      <c r="G3683" s="11" t="n"/>
      <c r="Q3683" s="7">
        <f>IF($E3683="","",P3683*Y3683/100)</f>
        <v/>
      </c>
      <c r="R3683" s="7" t="n"/>
      <c r="X3683" s="7" t="n"/>
      <c r="Y3683" s="7" t="n"/>
      <c r="AB3683">
        <f>IF($E3683="","",IF($AQ3683=1,0,IF($AP3683=1,Settings!$C$6,Settings!$C$7))*100)</f>
        <v/>
      </c>
      <c r="AC3683" s="7">
        <f>IF($E3683="","",Y3683*AB3683/100)</f>
        <v/>
      </c>
      <c r="AD3683" s="7">
        <f>IF($E3683="","",Y3683-AC3683)</f>
        <v/>
      </c>
      <c r="AE3683" s="7">
        <f>IF($E3683="","",AD3683-Q3683)</f>
        <v/>
      </c>
      <c r="AI3683" s="7" t="n"/>
      <c r="AL3683" s="11" t="n"/>
      <c r="AN3683">
        <f>IF($E3683="","",IF(COUNTIF($E$2:$E3683,$E3683)=1,1,0))</f>
        <v/>
      </c>
      <c r="AO3683">
        <f>IF($AN3683=1,SUMPRODUCT(--($AR$2:$AR$4001&lt;$AR3683))+1,"")</f>
        <v/>
      </c>
      <c r="AP3683">
        <f>IF($E3683="","",IF(OR($U3683=TRUE(),$U3683="TRUE"),1,0))</f>
        <v/>
      </c>
      <c r="AQ3683">
        <f>IF($E3683="","",IF($AA3683="Yes",1,0))</f>
        <v/>
      </c>
      <c r="AR3683">
        <f>IF($AN3683=1,IFERROR(VALUE(MID($E3683,2,20)),1000000000)+ROW()/100000,"")</f>
        <v/>
      </c>
    </row>
    <row r="3684">
      <c r="G3684" s="11" t="n"/>
      <c r="Q3684" s="7">
        <f>IF($E3684="","",P3684*Y3684/100)</f>
        <v/>
      </c>
      <c r="R3684" s="7" t="n"/>
      <c r="X3684" s="7" t="n"/>
      <c r="Y3684" s="7" t="n"/>
      <c r="AB3684">
        <f>IF($E3684="","",IF($AQ3684=1,0,IF($AP3684=1,Settings!$C$6,Settings!$C$7))*100)</f>
        <v/>
      </c>
      <c r="AC3684" s="7">
        <f>IF($E3684="","",Y3684*AB3684/100)</f>
        <v/>
      </c>
      <c r="AD3684" s="7">
        <f>IF($E3684="","",Y3684-AC3684)</f>
        <v/>
      </c>
      <c r="AE3684" s="7">
        <f>IF($E3684="","",AD3684-Q3684)</f>
        <v/>
      </c>
      <c r="AI3684" s="7" t="n"/>
      <c r="AL3684" s="11" t="n"/>
      <c r="AN3684">
        <f>IF($E3684="","",IF(COUNTIF($E$2:$E3684,$E3684)=1,1,0))</f>
        <v/>
      </c>
      <c r="AO3684">
        <f>IF($AN3684=1,SUMPRODUCT(--($AR$2:$AR$4001&lt;$AR3684))+1,"")</f>
        <v/>
      </c>
      <c r="AP3684">
        <f>IF($E3684="","",IF(OR($U3684=TRUE(),$U3684="TRUE"),1,0))</f>
        <v/>
      </c>
      <c r="AQ3684">
        <f>IF($E3684="","",IF($AA3684="Yes",1,0))</f>
        <v/>
      </c>
      <c r="AR3684">
        <f>IF($AN3684=1,IFERROR(VALUE(MID($E3684,2,20)),1000000000)+ROW()/100000,"")</f>
        <v/>
      </c>
    </row>
    <row r="3685">
      <c r="G3685" s="11" t="n"/>
      <c r="Q3685" s="7">
        <f>IF($E3685="","",P3685*Y3685/100)</f>
        <v/>
      </c>
      <c r="R3685" s="7" t="n"/>
      <c r="X3685" s="7" t="n"/>
      <c r="Y3685" s="7" t="n"/>
      <c r="AB3685">
        <f>IF($E3685="","",IF($AQ3685=1,0,IF($AP3685=1,Settings!$C$6,Settings!$C$7))*100)</f>
        <v/>
      </c>
      <c r="AC3685" s="7">
        <f>IF($E3685="","",Y3685*AB3685/100)</f>
        <v/>
      </c>
      <c r="AD3685" s="7">
        <f>IF($E3685="","",Y3685-AC3685)</f>
        <v/>
      </c>
      <c r="AE3685" s="7">
        <f>IF($E3685="","",AD3685-Q3685)</f>
        <v/>
      </c>
      <c r="AI3685" s="7" t="n"/>
      <c r="AL3685" s="11" t="n"/>
      <c r="AN3685">
        <f>IF($E3685="","",IF(COUNTIF($E$2:$E3685,$E3685)=1,1,0))</f>
        <v/>
      </c>
      <c r="AO3685">
        <f>IF($AN3685=1,SUMPRODUCT(--($AR$2:$AR$4001&lt;$AR3685))+1,"")</f>
        <v/>
      </c>
      <c r="AP3685">
        <f>IF($E3685="","",IF(OR($U3685=TRUE(),$U3685="TRUE"),1,0))</f>
        <v/>
      </c>
      <c r="AQ3685">
        <f>IF($E3685="","",IF($AA3685="Yes",1,0))</f>
        <v/>
      </c>
      <c r="AR3685">
        <f>IF($AN3685=1,IFERROR(VALUE(MID($E3685,2,20)),1000000000)+ROW()/100000,"")</f>
        <v/>
      </c>
    </row>
    <row r="3686">
      <c r="G3686" s="11" t="n"/>
      <c r="Q3686" s="7">
        <f>IF($E3686="","",P3686*Y3686/100)</f>
        <v/>
      </c>
      <c r="R3686" s="7" t="n"/>
      <c r="X3686" s="7" t="n"/>
      <c r="Y3686" s="7" t="n"/>
      <c r="AB3686">
        <f>IF($E3686="","",IF($AQ3686=1,0,IF($AP3686=1,Settings!$C$6,Settings!$C$7))*100)</f>
        <v/>
      </c>
      <c r="AC3686" s="7">
        <f>IF($E3686="","",Y3686*AB3686/100)</f>
        <v/>
      </c>
      <c r="AD3686" s="7">
        <f>IF($E3686="","",Y3686-AC3686)</f>
        <v/>
      </c>
      <c r="AE3686" s="7">
        <f>IF($E3686="","",AD3686-Q3686)</f>
        <v/>
      </c>
      <c r="AI3686" s="7" t="n"/>
      <c r="AL3686" s="11" t="n"/>
      <c r="AN3686">
        <f>IF($E3686="","",IF(COUNTIF($E$2:$E3686,$E3686)=1,1,0))</f>
        <v/>
      </c>
      <c r="AO3686">
        <f>IF($AN3686=1,SUMPRODUCT(--($AR$2:$AR$4001&lt;$AR3686))+1,"")</f>
        <v/>
      </c>
      <c r="AP3686">
        <f>IF($E3686="","",IF(OR($U3686=TRUE(),$U3686="TRUE"),1,0))</f>
        <v/>
      </c>
      <c r="AQ3686">
        <f>IF($E3686="","",IF($AA3686="Yes",1,0))</f>
        <v/>
      </c>
      <c r="AR3686">
        <f>IF($AN3686=1,IFERROR(VALUE(MID($E3686,2,20)),1000000000)+ROW()/100000,"")</f>
        <v/>
      </c>
    </row>
    <row r="3687">
      <c r="G3687" s="11" t="n"/>
      <c r="Q3687" s="7">
        <f>IF($E3687="","",P3687*Y3687/100)</f>
        <v/>
      </c>
      <c r="R3687" s="7" t="n"/>
      <c r="X3687" s="7" t="n"/>
      <c r="Y3687" s="7" t="n"/>
      <c r="AB3687">
        <f>IF($E3687="","",IF($AQ3687=1,0,IF($AP3687=1,Settings!$C$6,Settings!$C$7))*100)</f>
        <v/>
      </c>
      <c r="AC3687" s="7">
        <f>IF($E3687="","",Y3687*AB3687/100)</f>
        <v/>
      </c>
      <c r="AD3687" s="7">
        <f>IF($E3687="","",Y3687-AC3687)</f>
        <v/>
      </c>
      <c r="AE3687" s="7">
        <f>IF($E3687="","",AD3687-Q3687)</f>
        <v/>
      </c>
      <c r="AI3687" s="7" t="n"/>
      <c r="AL3687" s="11" t="n"/>
      <c r="AN3687">
        <f>IF($E3687="","",IF(COUNTIF($E$2:$E3687,$E3687)=1,1,0))</f>
        <v/>
      </c>
      <c r="AO3687">
        <f>IF($AN3687=1,SUMPRODUCT(--($AR$2:$AR$4001&lt;$AR3687))+1,"")</f>
        <v/>
      </c>
      <c r="AP3687">
        <f>IF($E3687="","",IF(OR($U3687=TRUE(),$U3687="TRUE"),1,0))</f>
        <v/>
      </c>
      <c r="AQ3687">
        <f>IF($E3687="","",IF($AA3687="Yes",1,0))</f>
        <v/>
      </c>
      <c r="AR3687">
        <f>IF($AN3687=1,IFERROR(VALUE(MID($E3687,2,20)),1000000000)+ROW()/100000,"")</f>
        <v/>
      </c>
    </row>
    <row r="3688">
      <c r="G3688" s="11" t="n"/>
      <c r="Q3688" s="7">
        <f>IF($E3688="","",P3688*Y3688/100)</f>
        <v/>
      </c>
      <c r="R3688" s="7" t="n"/>
      <c r="X3688" s="7" t="n"/>
      <c r="Y3688" s="7" t="n"/>
      <c r="AB3688">
        <f>IF($E3688="","",IF($AQ3688=1,0,IF($AP3688=1,Settings!$C$6,Settings!$C$7))*100)</f>
        <v/>
      </c>
      <c r="AC3688" s="7">
        <f>IF($E3688="","",Y3688*AB3688/100)</f>
        <v/>
      </c>
      <c r="AD3688" s="7">
        <f>IF($E3688="","",Y3688-AC3688)</f>
        <v/>
      </c>
      <c r="AE3688" s="7">
        <f>IF($E3688="","",AD3688-Q3688)</f>
        <v/>
      </c>
      <c r="AI3688" s="7" t="n"/>
      <c r="AL3688" s="11" t="n"/>
      <c r="AN3688">
        <f>IF($E3688="","",IF(COUNTIF($E$2:$E3688,$E3688)=1,1,0))</f>
        <v/>
      </c>
      <c r="AO3688">
        <f>IF($AN3688=1,SUMPRODUCT(--($AR$2:$AR$4001&lt;$AR3688))+1,"")</f>
        <v/>
      </c>
      <c r="AP3688">
        <f>IF($E3688="","",IF(OR($U3688=TRUE(),$U3688="TRUE"),1,0))</f>
        <v/>
      </c>
      <c r="AQ3688">
        <f>IF($E3688="","",IF($AA3688="Yes",1,0))</f>
        <v/>
      </c>
      <c r="AR3688">
        <f>IF($AN3688=1,IFERROR(VALUE(MID($E3688,2,20)),1000000000)+ROW()/100000,"")</f>
        <v/>
      </c>
    </row>
    <row r="3689">
      <c r="G3689" s="11" t="n"/>
      <c r="Q3689" s="7">
        <f>IF($E3689="","",P3689*Y3689/100)</f>
        <v/>
      </c>
      <c r="R3689" s="7" t="n"/>
      <c r="X3689" s="7" t="n"/>
      <c r="Y3689" s="7" t="n"/>
      <c r="AB3689">
        <f>IF($E3689="","",IF($AQ3689=1,0,IF($AP3689=1,Settings!$C$6,Settings!$C$7))*100)</f>
        <v/>
      </c>
      <c r="AC3689" s="7">
        <f>IF($E3689="","",Y3689*AB3689/100)</f>
        <v/>
      </c>
      <c r="AD3689" s="7">
        <f>IF($E3689="","",Y3689-AC3689)</f>
        <v/>
      </c>
      <c r="AE3689" s="7">
        <f>IF($E3689="","",AD3689-Q3689)</f>
        <v/>
      </c>
      <c r="AI3689" s="7" t="n"/>
      <c r="AL3689" s="11" t="n"/>
      <c r="AN3689">
        <f>IF($E3689="","",IF(COUNTIF($E$2:$E3689,$E3689)=1,1,0))</f>
        <v/>
      </c>
      <c r="AO3689">
        <f>IF($AN3689=1,SUMPRODUCT(--($AR$2:$AR$4001&lt;$AR3689))+1,"")</f>
        <v/>
      </c>
      <c r="AP3689">
        <f>IF($E3689="","",IF(OR($U3689=TRUE(),$U3689="TRUE"),1,0))</f>
        <v/>
      </c>
      <c r="AQ3689">
        <f>IF($E3689="","",IF($AA3689="Yes",1,0))</f>
        <v/>
      </c>
      <c r="AR3689">
        <f>IF($AN3689=1,IFERROR(VALUE(MID($E3689,2,20)),1000000000)+ROW()/100000,"")</f>
        <v/>
      </c>
    </row>
    <row r="3690">
      <c r="G3690" s="11" t="n"/>
      <c r="Q3690" s="7">
        <f>IF($E3690="","",P3690*Y3690/100)</f>
        <v/>
      </c>
      <c r="R3690" s="7" t="n"/>
      <c r="X3690" s="7" t="n"/>
      <c r="Y3690" s="7" t="n"/>
      <c r="AB3690">
        <f>IF($E3690="","",IF($AQ3690=1,0,IF($AP3690=1,Settings!$C$6,Settings!$C$7))*100)</f>
        <v/>
      </c>
      <c r="AC3690" s="7">
        <f>IF($E3690="","",Y3690*AB3690/100)</f>
        <v/>
      </c>
      <c r="AD3690" s="7">
        <f>IF($E3690="","",Y3690-AC3690)</f>
        <v/>
      </c>
      <c r="AE3690" s="7">
        <f>IF($E3690="","",AD3690-Q3690)</f>
        <v/>
      </c>
      <c r="AI3690" s="7" t="n"/>
      <c r="AL3690" s="11" t="n"/>
      <c r="AN3690">
        <f>IF($E3690="","",IF(COUNTIF($E$2:$E3690,$E3690)=1,1,0))</f>
        <v/>
      </c>
      <c r="AO3690">
        <f>IF($AN3690=1,SUMPRODUCT(--($AR$2:$AR$4001&lt;$AR3690))+1,"")</f>
        <v/>
      </c>
      <c r="AP3690">
        <f>IF($E3690="","",IF(OR($U3690=TRUE(),$U3690="TRUE"),1,0))</f>
        <v/>
      </c>
      <c r="AQ3690">
        <f>IF($E3690="","",IF($AA3690="Yes",1,0))</f>
        <v/>
      </c>
      <c r="AR3690">
        <f>IF($AN3690=1,IFERROR(VALUE(MID($E3690,2,20)),1000000000)+ROW()/100000,"")</f>
        <v/>
      </c>
    </row>
    <row r="3691">
      <c r="G3691" s="11" t="n"/>
      <c r="Q3691" s="7">
        <f>IF($E3691="","",P3691*Y3691/100)</f>
        <v/>
      </c>
      <c r="R3691" s="7" t="n"/>
      <c r="X3691" s="7" t="n"/>
      <c r="Y3691" s="7" t="n"/>
      <c r="AB3691">
        <f>IF($E3691="","",IF($AQ3691=1,0,IF($AP3691=1,Settings!$C$6,Settings!$C$7))*100)</f>
        <v/>
      </c>
      <c r="AC3691" s="7">
        <f>IF($E3691="","",Y3691*AB3691/100)</f>
        <v/>
      </c>
      <c r="AD3691" s="7">
        <f>IF($E3691="","",Y3691-AC3691)</f>
        <v/>
      </c>
      <c r="AE3691" s="7">
        <f>IF($E3691="","",AD3691-Q3691)</f>
        <v/>
      </c>
      <c r="AI3691" s="7" t="n"/>
      <c r="AL3691" s="11" t="n"/>
      <c r="AN3691">
        <f>IF($E3691="","",IF(COUNTIF($E$2:$E3691,$E3691)=1,1,0))</f>
        <v/>
      </c>
      <c r="AO3691">
        <f>IF($AN3691=1,SUMPRODUCT(--($AR$2:$AR$4001&lt;$AR3691))+1,"")</f>
        <v/>
      </c>
      <c r="AP3691">
        <f>IF($E3691="","",IF(OR($U3691=TRUE(),$U3691="TRUE"),1,0))</f>
        <v/>
      </c>
      <c r="AQ3691">
        <f>IF($E3691="","",IF($AA3691="Yes",1,0))</f>
        <v/>
      </c>
      <c r="AR3691">
        <f>IF($AN3691=1,IFERROR(VALUE(MID($E3691,2,20)),1000000000)+ROW()/100000,"")</f>
        <v/>
      </c>
    </row>
    <row r="3692">
      <c r="G3692" s="11" t="n"/>
      <c r="Q3692" s="7">
        <f>IF($E3692="","",P3692*Y3692/100)</f>
        <v/>
      </c>
      <c r="R3692" s="7" t="n"/>
      <c r="X3692" s="7" t="n"/>
      <c r="Y3692" s="7" t="n"/>
      <c r="AB3692">
        <f>IF($E3692="","",IF($AQ3692=1,0,IF($AP3692=1,Settings!$C$6,Settings!$C$7))*100)</f>
        <v/>
      </c>
      <c r="AC3692" s="7">
        <f>IF($E3692="","",Y3692*AB3692/100)</f>
        <v/>
      </c>
      <c r="AD3692" s="7">
        <f>IF($E3692="","",Y3692-AC3692)</f>
        <v/>
      </c>
      <c r="AE3692" s="7">
        <f>IF($E3692="","",AD3692-Q3692)</f>
        <v/>
      </c>
      <c r="AI3692" s="7" t="n"/>
      <c r="AL3692" s="11" t="n"/>
      <c r="AN3692">
        <f>IF($E3692="","",IF(COUNTIF($E$2:$E3692,$E3692)=1,1,0))</f>
        <v/>
      </c>
      <c r="AO3692">
        <f>IF($AN3692=1,SUMPRODUCT(--($AR$2:$AR$4001&lt;$AR3692))+1,"")</f>
        <v/>
      </c>
      <c r="AP3692">
        <f>IF($E3692="","",IF(OR($U3692=TRUE(),$U3692="TRUE"),1,0))</f>
        <v/>
      </c>
      <c r="AQ3692">
        <f>IF($E3692="","",IF($AA3692="Yes",1,0))</f>
        <v/>
      </c>
      <c r="AR3692">
        <f>IF($AN3692=1,IFERROR(VALUE(MID($E3692,2,20)),1000000000)+ROW()/100000,"")</f>
        <v/>
      </c>
    </row>
    <row r="3693">
      <c r="G3693" s="11" t="n"/>
      <c r="Q3693" s="7">
        <f>IF($E3693="","",P3693*Y3693/100)</f>
        <v/>
      </c>
      <c r="R3693" s="7" t="n"/>
      <c r="X3693" s="7" t="n"/>
      <c r="Y3693" s="7" t="n"/>
      <c r="AB3693">
        <f>IF($E3693="","",IF($AQ3693=1,0,IF($AP3693=1,Settings!$C$6,Settings!$C$7))*100)</f>
        <v/>
      </c>
      <c r="AC3693" s="7">
        <f>IF($E3693="","",Y3693*AB3693/100)</f>
        <v/>
      </c>
      <c r="AD3693" s="7">
        <f>IF($E3693="","",Y3693-AC3693)</f>
        <v/>
      </c>
      <c r="AE3693" s="7">
        <f>IF($E3693="","",AD3693-Q3693)</f>
        <v/>
      </c>
      <c r="AI3693" s="7" t="n"/>
      <c r="AL3693" s="11" t="n"/>
      <c r="AN3693">
        <f>IF($E3693="","",IF(COUNTIF($E$2:$E3693,$E3693)=1,1,0))</f>
        <v/>
      </c>
      <c r="AO3693">
        <f>IF($AN3693=1,SUMPRODUCT(--($AR$2:$AR$4001&lt;$AR3693))+1,"")</f>
        <v/>
      </c>
      <c r="AP3693">
        <f>IF($E3693="","",IF(OR($U3693=TRUE(),$U3693="TRUE"),1,0))</f>
        <v/>
      </c>
      <c r="AQ3693">
        <f>IF($E3693="","",IF($AA3693="Yes",1,0))</f>
        <v/>
      </c>
      <c r="AR3693">
        <f>IF($AN3693=1,IFERROR(VALUE(MID($E3693,2,20)),1000000000)+ROW()/100000,"")</f>
        <v/>
      </c>
    </row>
    <row r="3694">
      <c r="G3694" s="11" t="n"/>
      <c r="Q3694" s="7">
        <f>IF($E3694="","",P3694*Y3694/100)</f>
        <v/>
      </c>
      <c r="R3694" s="7" t="n"/>
      <c r="X3694" s="7" t="n"/>
      <c r="Y3694" s="7" t="n"/>
      <c r="AB3694">
        <f>IF($E3694="","",IF($AQ3694=1,0,IF($AP3694=1,Settings!$C$6,Settings!$C$7))*100)</f>
        <v/>
      </c>
      <c r="AC3694" s="7">
        <f>IF($E3694="","",Y3694*AB3694/100)</f>
        <v/>
      </c>
      <c r="AD3694" s="7">
        <f>IF($E3694="","",Y3694-AC3694)</f>
        <v/>
      </c>
      <c r="AE3694" s="7">
        <f>IF($E3694="","",AD3694-Q3694)</f>
        <v/>
      </c>
      <c r="AI3694" s="7" t="n"/>
      <c r="AL3694" s="11" t="n"/>
      <c r="AN3694">
        <f>IF($E3694="","",IF(COUNTIF($E$2:$E3694,$E3694)=1,1,0))</f>
        <v/>
      </c>
      <c r="AO3694">
        <f>IF($AN3694=1,SUMPRODUCT(--($AR$2:$AR$4001&lt;$AR3694))+1,"")</f>
        <v/>
      </c>
      <c r="AP3694">
        <f>IF($E3694="","",IF(OR($U3694=TRUE(),$U3694="TRUE"),1,0))</f>
        <v/>
      </c>
      <c r="AQ3694">
        <f>IF($E3694="","",IF($AA3694="Yes",1,0))</f>
        <v/>
      </c>
      <c r="AR3694">
        <f>IF($AN3694=1,IFERROR(VALUE(MID($E3694,2,20)),1000000000)+ROW()/100000,"")</f>
        <v/>
      </c>
    </row>
    <row r="3695">
      <c r="G3695" s="11" t="n"/>
      <c r="Q3695" s="7">
        <f>IF($E3695="","",P3695*Y3695/100)</f>
        <v/>
      </c>
      <c r="R3695" s="7" t="n"/>
      <c r="X3695" s="7" t="n"/>
      <c r="Y3695" s="7" t="n"/>
      <c r="AB3695">
        <f>IF($E3695="","",IF($AQ3695=1,0,IF($AP3695=1,Settings!$C$6,Settings!$C$7))*100)</f>
        <v/>
      </c>
      <c r="AC3695" s="7">
        <f>IF($E3695="","",Y3695*AB3695/100)</f>
        <v/>
      </c>
      <c r="AD3695" s="7">
        <f>IF($E3695="","",Y3695-AC3695)</f>
        <v/>
      </c>
      <c r="AE3695" s="7">
        <f>IF($E3695="","",AD3695-Q3695)</f>
        <v/>
      </c>
      <c r="AI3695" s="7" t="n"/>
      <c r="AL3695" s="11" t="n"/>
      <c r="AN3695">
        <f>IF($E3695="","",IF(COUNTIF($E$2:$E3695,$E3695)=1,1,0))</f>
        <v/>
      </c>
      <c r="AO3695">
        <f>IF($AN3695=1,SUMPRODUCT(--($AR$2:$AR$4001&lt;$AR3695))+1,"")</f>
        <v/>
      </c>
      <c r="AP3695">
        <f>IF($E3695="","",IF(OR($U3695=TRUE(),$U3695="TRUE"),1,0))</f>
        <v/>
      </c>
      <c r="AQ3695">
        <f>IF($E3695="","",IF($AA3695="Yes",1,0))</f>
        <v/>
      </c>
      <c r="AR3695">
        <f>IF($AN3695=1,IFERROR(VALUE(MID($E3695,2,20)),1000000000)+ROW()/100000,"")</f>
        <v/>
      </c>
    </row>
    <row r="3696">
      <c r="G3696" s="11" t="n"/>
      <c r="Q3696" s="7">
        <f>IF($E3696="","",P3696*Y3696/100)</f>
        <v/>
      </c>
      <c r="R3696" s="7" t="n"/>
      <c r="X3696" s="7" t="n"/>
      <c r="Y3696" s="7" t="n"/>
      <c r="AB3696">
        <f>IF($E3696="","",IF($AQ3696=1,0,IF($AP3696=1,Settings!$C$6,Settings!$C$7))*100)</f>
        <v/>
      </c>
      <c r="AC3696" s="7">
        <f>IF($E3696="","",Y3696*AB3696/100)</f>
        <v/>
      </c>
      <c r="AD3696" s="7">
        <f>IF($E3696="","",Y3696-AC3696)</f>
        <v/>
      </c>
      <c r="AE3696" s="7">
        <f>IF($E3696="","",AD3696-Q3696)</f>
        <v/>
      </c>
      <c r="AI3696" s="7" t="n"/>
      <c r="AL3696" s="11" t="n"/>
      <c r="AN3696">
        <f>IF($E3696="","",IF(COUNTIF($E$2:$E3696,$E3696)=1,1,0))</f>
        <v/>
      </c>
      <c r="AO3696">
        <f>IF($AN3696=1,SUMPRODUCT(--($AR$2:$AR$4001&lt;$AR3696))+1,"")</f>
        <v/>
      </c>
      <c r="AP3696">
        <f>IF($E3696="","",IF(OR($U3696=TRUE(),$U3696="TRUE"),1,0))</f>
        <v/>
      </c>
      <c r="AQ3696">
        <f>IF($E3696="","",IF($AA3696="Yes",1,0))</f>
        <v/>
      </c>
      <c r="AR3696">
        <f>IF($AN3696=1,IFERROR(VALUE(MID($E3696,2,20)),1000000000)+ROW()/100000,"")</f>
        <v/>
      </c>
    </row>
    <row r="3697">
      <c r="G3697" s="11" t="n"/>
      <c r="Q3697" s="7">
        <f>IF($E3697="","",P3697*Y3697/100)</f>
        <v/>
      </c>
      <c r="R3697" s="7" t="n"/>
      <c r="X3697" s="7" t="n"/>
      <c r="Y3697" s="7" t="n"/>
      <c r="AB3697">
        <f>IF($E3697="","",IF($AQ3697=1,0,IF($AP3697=1,Settings!$C$6,Settings!$C$7))*100)</f>
        <v/>
      </c>
      <c r="AC3697" s="7">
        <f>IF($E3697="","",Y3697*AB3697/100)</f>
        <v/>
      </c>
      <c r="AD3697" s="7">
        <f>IF($E3697="","",Y3697-AC3697)</f>
        <v/>
      </c>
      <c r="AE3697" s="7">
        <f>IF($E3697="","",AD3697-Q3697)</f>
        <v/>
      </c>
      <c r="AI3697" s="7" t="n"/>
      <c r="AL3697" s="11" t="n"/>
      <c r="AN3697">
        <f>IF($E3697="","",IF(COUNTIF($E$2:$E3697,$E3697)=1,1,0))</f>
        <v/>
      </c>
      <c r="AO3697">
        <f>IF($AN3697=1,SUMPRODUCT(--($AR$2:$AR$4001&lt;$AR3697))+1,"")</f>
        <v/>
      </c>
      <c r="AP3697">
        <f>IF($E3697="","",IF(OR($U3697=TRUE(),$U3697="TRUE"),1,0))</f>
        <v/>
      </c>
      <c r="AQ3697">
        <f>IF($E3697="","",IF($AA3697="Yes",1,0))</f>
        <v/>
      </c>
      <c r="AR3697">
        <f>IF($AN3697=1,IFERROR(VALUE(MID($E3697,2,20)),1000000000)+ROW()/100000,"")</f>
        <v/>
      </c>
    </row>
    <row r="3698">
      <c r="G3698" s="11" t="n"/>
      <c r="Q3698" s="7">
        <f>IF($E3698="","",P3698*Y3698/100)</f>
        <v/>
      </c>
      <c r="R3698" s="7" t="n"/>
      <c r="X3698" s="7" t="n"/>
      <c r="Y3698" s="7" t="n"/>
      <c r="AB3698">
        <f>IF($E3698="","",IF($AQ3698=1,0,IF($AP3698=1,Settings!$C$6,Settings!$C$7))*100)</f>
        <v/>
      </c>
      <c r="AC3698" s="7">
        <f>IF($E3698="","",Y3698*AB3698/100)</f>
        <v/>
      </c>
      <c r="AD3698" s="7">
        <f>IF($E3698="","",Y3698-AC3698)</f>
        <v/>
      </c>
      <c r="AE3698" s="7">
        <f>IF($E3698="","",AD3698-Q3698)</f>
        <v/>
      </c>
      <c r="AI3698" s="7" t="n"/>
      <c r="AL3698" s="11" t="n"/>
      <c r="AN3698">
        <f>IF($E3698="","",IF(COUNTIF($E$2:$E3698,$E3698)=1,1,0))</f>
        <v/>
      </c>
      <c r="AO3698">
        <f>IF($AN3698=1,SUMPRODUCT(--($AR$2:$AR$4001&lt;$AR3698))+1,"")</f>
        <v/>
      </c>
      <c r="AP3698">
        <f>IF($E3698="","",IF(OR($U3698=TRUE(),$U3698="TRUE"),1,0))</f>
        <v/>
      </c>
      <c r="AQ3698">
        <f>IF($E3698="","",IF($AA3698="Yes",1,0))</f>
        <v/>
      </c>
      <c r="AR3698">
        <f>IF($AN3698=1,IFERROR(VALUE(MID($E3698,2,20)),1000000000)+ROW()/100000,"")</f>
        <v/>
      </c>
    </row>
    <row r="3699">
      <c r="G3699" s="11" t="n"/>
      <c r="Q3699" s="7">
        <f>IF($E3699="","",P3699*Y3699/100)</f>
        <v/>
      </c>
      <c r="R3699" s="7" t="n"/>
      <c r="X3699" s="7" t="n"/>
      <c r="Y3699" s="7" t="n"/>
      <c r="AB3699">
        <f>IF($E3699="","",IF($AQ3699=1,0,IF($AP3699=1,Settings!$C$6,Settings!$C$7))*100)</f>
        <v/>
      </c>
      <c r="AC3699" s="7">
        <f>IF($E3699="","",Y3699*AB3699/100)</f>
        <v/>
      </c>
      <c r="AD3699" s="7">
        <f>IF($E3699="","",Y3699-AC3699)</f>
        <v/>
      </c>
      <c r="AE3699" s="7">
        <f>IF($E3699="","",AD3699-Q3699)</f>
        <v/>
      </c>
      <c r="AI3699" s="7" t="n"/>
      <c r="AL3699" s="11" t="n"/>
      <c r="AN3699">
        <f>IF($E3699="","",IF(COUNTIF($E$2:$E3699,$E3699)=1,1,0))</f>
        <v/>
      </c>
      <c r="AO3699">
        <f>IF($AN3699=1,SUMPRODUCT(--($AR$2:$AR$4001&lt;$AR3699))+1,"")</f>
        <v/>
      </c>
      <c r="AP3699">
        <f>IF($E3699="","",IF(OR($U3699=TRUE(),$U3699="TRUE"),1,0))</f>
        <v/>
      </c>
      <c r="AQ3699">
        <f>IF($E3699="","",IF($AA3699="Yes",1,0))</f>
        <v/>
      </c>
      <c r="AR3699">
        <f>IF($AN3699=1,IFERROR(VALUE(MID($E3699,2,20)),1000000000)+ROW()/100000,"")</f>
        <v/>
      </c>
    </row>
    <row r="3700">
      <c r="G3700" s="11" t="n"/>
      <c r="Q3700" s="7">
        <f>IF($E3700="","",P3700*Y3700/100)</f>
        <v/>
      </c>
      <c r="R3700" s="7" t="n"/>
      <c r="X3700" s="7" t="n"/>
      <c r="Y3700" s="7" t="n"/>
      <c r="AB3700">
        <f>IF($E3700="","",IF($AQ3700=1,0,IF($AP3700=1,Settings!$C$6,Settings!$C$7))*100)</f>
        <v/>
      </c>
      <c r="AC3700" s="7">
        <f>IF($E3700="","",Y3700*AB3700/100)</f>
        <v/>
      </c>
      <c r="AD3700" s="7">
        <f>IF($E3700="","",Y3700-AC3700)</f>
        <v/>
      </c>
      <c r="AE3700" s="7">
        <f>IF($E3700="","",AD3700-Q3700)</f>
        <v/>
      </c>
      <c r="AI3700" s="7" t="n"/>
      <c r="AL3700" s="11" t="n"/>
      <c r="AN3700">
        <f>IF($E3700="","",IF(COUNTIF($E$2:$E3700,$E3700)=1,1,0))</f>
        <v/>
      </c>
      <c r="AO3700">
        <f>IF($AN3700=1,SUMPRODUCT(--($AR$2:$AR$4001&lt;$AR3700))+1,"")</f>
        <v/>
      </c>
      <c r="AP3700">
        <f>IF($E3700="","",IF(OR($U3700=TRUE(),$U3700="TRUE"),1,0))</f>
        <v/>
      </c>
      <c r="AQ3700">
        <f>IF($E3700="","",IF($AA3700="Yes",1,0))</f>
        <v/>
      </c>
      <c r="AR3700">
        <f>IF($AN3700=1,IFERROR(VALUE(MID($E3700,2,20)),1000000000)+ROW()/100000,"")</f>
        <v/>
      </c>
    </row>
    <row r="3701">
      <c r="G3701" s="11" t="n"/>
      <c r="Q3701" s="7">
        <f>IF($E3701="","",P3701*Y3701/100)</f>
        <v/>
      </c>
      <c r="R3701" s="7" t="n"/>
      <c r="X3701" s="7" t="n"/>
      <c r="Y3701" s="7" t="n"/>
      <c r="AB3701">
        <f>IF($E3701="","",IF($AQ3701=1,0,IF($AP3701=1,Settings!$C$6,Settings!$C$7))*100)</f>
        <v/>
      </c>
      <c r="AC3701" s="7">
        <f>IF($E3701="","",Y3701*AB3701/100)</f>
        <v/>
      </c>
      <c r="AD3701" s="7">
        <f>IF($E3701="","",Y3701-AC3701)</f>
        <v/>
      </c>
      <c r="AE3701" s="7">
        <f>IF($E3701="","",AD3701-Q3701)</f>
        <v/>
      </c>
      <c r="AI3701" s="7" t="n"/>
      <c r="AL3701" s="11" t="n"/>
      <c r="AN3701">
        <f>IF($E3701="","",IF(COUNTIF($E$2:$E3701,$E3701)=1,1,0))</f>
        <v/>
      </c>
      <c r="AO3701">
        <f>IF($AN3701=1,SUMPRODUCT(--($AR$2:$AR$4001&lt;$AR3701))+1,"")</f>
        <v/>
      </c>
      <c r="AP3701">
        <f>IF($E3701="","",IF(OR($U3701=TRUE(),$U3701="TRUE"),1,0))</f>
        <v/>
      </c>
      <c r="AQ3701">
        <f>IF($E3701="","",IF($AA3701="Yes",1,0))</f>
        <v/>
      </c>
      <c r="AR3701">
        <f>IF($AN3701=1,IFERROR(VALUE(MID($E3701,2,20)),1000000000)+ROW()/100000,"")</f>
        <v/>
      </c>
    </row>
    <row r="3702">
      <c r="G3702" s="11" t="n"/>
      <c r="Q3702" s="7">
        <f>IF($E3702="","",P3702*Y3702/100)</f>
        <v/>
      </c>
      <c r="R3702" s="7" t="n"/>
      <c r="X3702" s="7" t="n"/>
      <c r="Y3702" s="7" t="n"/>
      <c r="AB3702">
        <f>IF($E3702="","",IF($AQ3702=1,0,IF($AP3702=1,Settings!$C$6,Settings!$C$7))*100)</f>
        <v/>
      </c>
      <c r="AC3702" s="7">
        <f>IF($E3702="","",Y3702*AB3702/100)</f>
        <v/>
      </c>
      <c r="AD3702" s="7">
        <f>IF($E3702="","",Y3702-AC3702)</f>
        <v/>
      </c>
      <c r="AE3702" s="7">
        <f>IF($E3702="","",AD3702-Q3702)</f>
        <v/>
      </c>
      <c r="AI3702" s="7" t="n"/>
      <c r="AL3702" s="11" t="n"/>
      <c r="AN3702">
        <f>IF($E3702="","",IF(COUNTIF($E$2:$E3702,$E3702)=1,1,0))</f>
        <v/>
      </c>
      <c r="AO3702">
        <f>IF($AN3702=1,SUMPRODUCT(--($AR$2:$AR$4001&lt;$AR3702))+1,"")</f>
        <v/>
      </c>
      <c r="AP3702">
        <f>IF($E3702="","",IF(OR($U3702=TRUE(),$U3702="TRUE"),1,0))</f>
        <v/>
      </c>
      <c r="AQ3702">
        <f>IF($E3702="","",IF($AA3702="Yes",1,0))</f>
        <v/>
      </c>
      <c r="AR3702">
        <f>IF($AN3702=1,IFERROR(VALUE(MID($E3702,2,20)),1000000000)+ROW()/100000,"")</f>
        <v/>
      </c>
    </row>
    <row r="3703">
      <c r="G3703" s="11" t="n"/>
      <c r="Q3703" s="7">
        <f>IF($E3703="","",P3703*Y3703/100)</f>
        <v/>
      </c>
      <c r="R3703" s="7" t="n"/>
      <c r="X3703" s="7" t="n"/>
      <c r="Y3703" s="7" t="n"/>
      <c r="AB3703">
        <f>IF($E3703="","",IF($AQ3703=1,0,IF($AP3703=1,Settings!$C$6,Settings!$C$7))*100)</f>
        <v/>
      </c>
      <c r="AC3703" s="7">
        <f>IF($E3703="","",Y3703*AB3703/100)</f>
        <v/>
      </c>
      <c r="AD3703" s="7">
        <f>IF($E3703="","",Y3703-AC3703)</f>
        <v/>
      </c>
      <c r="AE3703" s="7">
        <f>IF($E3703="","",AD3703-Q3703)</f>
        <v/>
      </c>
      <c r="AI3703" s="7" t="n"/>
      <c r="AL3703" s="11" t="n"/>
      <c r="AN3703">
        <f>IF($E3703="","",IF(COUNTIF($E$2:$E3703,$E3703)=1,1,0))</f>
        <v/>
      </c>
      <c r="AO3703">
        <f>IF($AN3703=1,SUMPRODUCT(--($AR$2:$AR$4001&lt;$AR3703))+1,"")</f>
        <v/>
      </c>
      <c r="AP3703">
        <f>IF($E3703="","",IF(OR($U3703=TRUE(),$U3703="TRUE"),1,0))</f>
        <v/>
      </c>
      <c r="AQ3703">
        <f>IF($E3703="","",IF($AA3703="Yes",1,0))</f>
        <v/>
      </c>
      <c r="AR3703">
        <f>IF($AN3703=1,IFERROR(VALUE(MID($E3703,2,20)),1000000000)+ROW()/100000,"")</f>
        <v/>
      </c>
    </row>
    <row r="3704">
      <c r="G3704" s="11" t="n"/>
      <c r="Q3704" s="7">
        <f>IF($E3704="","",P3704*Y3704/100)</f>
        <v/>
      </c>
      <c r="R3704" s="7" t="n"/>
      <c r="X3704" s="7" t="n"/>
      <c r="Y3704" s="7" t="n"/>
      <c r="AB3704">
        <f>IF($E3704="","",IF($AQ3704=1,0,IF($AP3704=1,Settings!$C$6,Settings!$C$7))*100)</f>
        <v/>
      </c>
      <c r="AC3704" s="7">
        <f>IF($E3704="","",Y3704*AB3704/100)</f>
        <v/>
      </c>
      <c r="AD3704" s="7">
        <f>IF($E3704="","",Y3704-AC3704)</f>
        <v/>
      </c>
      <c r="AE3704" s="7">
        <f>IF($E3704="","",AD3704-Q3704)</f>
        <v/>
      </c>
      <c r="AI3704" s="7" t="n"/>
      <c r="AL3704" s="11" t="n"/>
      <c r="AN3704">
        <f>IF($E3704="","",IF(COUNTIF($E$2:$E3704,$E3704)=1,1,0))</f>
        <v/>
      </c>
      <c r="AO3704">
        <f>IF($AN3704=1,SUMPRODUCT(--($AR$2:$AR$4001&lt;$AR3704))+1,"")</f>
        <v/>
      </c>
      <c r="AP3704">
        <f>IF($E3704="","",IF(OR($U3704=TRUE(),$U3704="TRUE"),1,0))</f>
        <v/>
      </c>
      <c r="AQ3704">
        <f>IF($E3704="","",IF($AA3704="Yes",1,0))</f>
        <v/>
      </c>
      <c r="AR3704">
        <f>IF($AN3704=1,IFERROR(VALUE(MID($E3704,2,20)),1000000000)+ROW()/100000,"")</f>
        <v/>
      </c>
    </row>
    <row r="3705">
      <c r="G3705" s="11" t="n"/>
      <c r="Q3705" s="7">
        <f>IF($E3705="","",P3705*Y3705/100)</f>
        <v/>
      </c>
      <c r="R3705" s="7" t="n"/>
      <c r="X3705" s="7" t="n"/>
      <c r="Y3705" s="7" t="n"/>
      <c r="AB3705">
        <f>IF($E3705="","",IF($AQ3705=1,0,IF($AP3705=1,Settings!$C$6,Settings!$C$7))*100)</f>
        <v/>
      </c>
      <c r="AC3705" s="7">
        <f>IF($E3705="","",Y3705*AB3705/100)</f>
        <v/>
      </c>
      <c r="AD3705" s="7">
        <f>IF($E3705="","",Y3705-AC3705)</f>
        <v/>
      </c>
      <c r="AE3705" s="7">
        <f>IF($E3705="","",AD3705-Q3705)</f>
        <v/>
      </c>
      <c r="AI3705" s="7" t="n"/>
      <c r="AL3705" s="11" t="n"/>
      <c r="AN3705">
        <f>IF($E3705="","",IF(COUNTIF($E$2:$E3705,$E3705)=1,1,0))</f>
        <v/>
      </c>
      <c r="AO3705">
        <f>IF($AN3705=1,SUMPRODUCT(--($AR$2:$AR$4001&lt;$AR3705))+1,"")</f>
        <v/>
      </c>
      <c r="AP3705">
        <f>IF($E3705="","",IF(OR($U3705=TRUE(),$U3705="TRUE"),1,0))</f>
        <v/>
      </c>
      <c r="AQ3705">
        <f>IF($E3705="","",IF($AA3705="Yes",1,0))</f>
        <v/>
      </c>
      <c r="AR3705">
        <f>IF($AN3705=1,IFERROR(VALUE(MID($E3705,2,20)),1000000000)+ROW()/100000,"")</f>
        <v/>
      </c>
    </row>
    <row r="3706">
      <c r="G3706" s="11" t="n"/>
      <c r="Q3706" s="7">
        <f>IF($E3706="","",P3706*Y3706/100)</f>
        <v/>
      </c>
      <c r="R3706" s="7" t="n"/>
      <c r="X3706" s="7" t="n"/>
      <c r="Y3706" s="7" t="n"/>
      <c r="AB3706">
        <f>IF($E3706="","",IF($AQ3706=1,0,IF($AP3706=1,Settings!$C$6,Settings!$C$7))*100)</f>
        <v/>
      </c>
      <c r="AC3706" s="7">
        <f>IF($E3706="","",Y3706*AB3706/100)</f>
        <v/>
      </c>
      <c r="AD3706" s="7">
        <f>IF($E3706="","",Y3706-AC3706)</f>
        <v/>
      </c>
      <c r="AE3706" s="7">
        <f>IF($E3706="","",AD3706-Q3706)</f>
        <v/>
      </c>
      <c r="AI3706" s="7" t="n"/>
      <c r="AL3706" s="11" t="n"/>
      <c r="AN3706">
        <f>IF($E3706="","",IF(COUNTIF($E$2:$E3706,$E3706)=1,1,0))</f>
        <v/>
      </c>
      <c r="AO3706">
        <f>IF($AN3706=1,SUMPRODUCT(--($AR$2:$AR$4001&lt;$AR3706))+1,"")</f>
        <v/>
      </c>
      <c r="AP3706">
        <f>IF($E3706="","",IF(OR($U3706=TRUE(),$U3706="TRUE"),1,0))</f>
        <v/>
      </c>
      <c r="AQ3706">
        <f>IF($E3706="","",IF($AA3706="Yes",1,0))</f>
        <v/>
      </c>
      <c r="AR3706">
        <f>IF($AN3706=1,IFERROR(VALUE(MID($E3706,2,20)),1000000000)+ROW()/100000,"")</f>
        <v/>
      </c>
    </row>
    <row r="3707">
      <c r="G3707" s="11" t="n"/>
      <c r="Q3707" s="7">
        <f>IF($E3707="","",P3707*Y3707/100)</f>
        <v/>
      </c>
      <c r="R3707" s="7" t="n"/>
      <c r="X3707" s="7" t="n"/>
      <c r="Y3707" s="7" t="n"/>
      <c r="AB3707">
        <f>IF($E3707="","",IF($AQ3707=1,0,IF($AP3707=1,Settings!$C$6,Settings!$C$7))*100)</f>
        <v/>
      </c>
      <c r="AC3707" s="7">
        <f>IF($E3707="","",Y3707*AB3707/100)</f>
        <v/>
      </c>
      <c r="AD3707" s="7">
        <f>IF($E3707="","",Y3707-AC3707)</f>
        <v/>
      </c>
      <c r="AE3707" s="7">
        <f>IF($E3707="","",AD3707-Q3707)</f>
        <v/>
      </c>
      <c r="AI3707" s="7" t="n"/>
      <c r="AL3707" s="11" t="n"/>
      <c r="AN3707">
        <f>IF($E3707="","",IF(COUNTIF($E$2:$E3707,$E3707)=1,1,0))</f>
        <v/>
      </c>
      <c r="AO3707">
        <f>IF($AN3707=1,SUMPRODUCT(--($AR$2:$AR$4001&lt;$AR3707))+1,"")</f>
        <v/>
      </c>
      <c r="AP3707">
        <f>IF($E3707="","",IF(OR($U3707=TRUE(),$U3707="TRUE"),1,0))</f>
        <v/>
      </c>
      <c r="AQ3707">
        <f>IF($E3707="","",IF($AA3707="Yes",1,0))</f>
        <v/>
      </c>
      <c r="AR3707">
        <f>IF($AN3707=1,IFERROR(VALUE(MID($E3707,2,20)),1000000000)+ROW()/100000,"")</f>
        <v/>
      </c>
    </row>
    <row r="3708">
      <c r="G3708" s="11" t="n"/>
      <c r="Q3708" s="7">
        <f>IF($E3708="","",P3708*Y3708/100)</f>
        <v/>
      </c>
      <c r="R3708" s="7" t="n"/>
      <c r="X3708" s="7" t="n"/>
      <c r="Y3708" s="7" t="n"/>
      <c r="AB3708">
        <f>IF($E3708="","",IF($AQ3708=1,0,IF($AP3708=1,Settings!$C$6,Settings!$C$7))*100)</f>
        <v/>
      </c>
      <c r="AC3708" s="7">
        <f>IF($E3708="","",Y3708*AB3708/100)</f>
        <v/>
      </c>
      <c r="AD3708" s="7">
        <f>IF($E3708="","",Y3708-AC3708)</f>
        <v/>
      </c>
      <c r="AE3708" s="7">
        <f>IF($E3708="","",AD3708-Q3708)</f>
        <v/>
      </c>
      <c r="AI3708" s="7" t="n"/>
      <c r="AL3708" s="11" t="n"/>
      <c r="AN3708">
        <f>IF($E3708="","",IF(COUNTIF($E$2:$E3708,$E3708)=1,1,0))</f>
        <v/>
      </c>
      <c r="AO3708">
        <f>IF($AN3708=1,SUMPRODUCT(--($AR$2:$AR$4001&lt;$AR3708))+1,"")</f>
        <v/>
      </c>
      <c r="AP3708">
        <f>IF($E3708="","",IF(OR($U3708=TRUE(),$U3708="TRUE"),1,0))</f>
        <v/>
      </c>
      <c r="AQ3708">
        <f>IF($E3708="","",IF($AA3708="Yes",1,0))</f>
        <v/>
      </c>
      <c r="AR3708">
        <f>IF($AN3708=1,IFERROR(VALUE(MID($E3708,2,20)),1000000000)+ROW()/100000,"")</f>
        <v/>
      </c>
    </row>
    <row r="3709">
      <c r="G3709" s="11" t="n"/>
      <c r="Q3709" s="7">
        <f>IF($E3709="","",P3709*Y3709/100)</f>
        <v/>
      </c>
      <c r="R3709" s="7" t="n"/>
      <c r="X3709" s="7" t="n"/>
      <c r="Y3709" s="7" t="n"/>
      <c r="AB3709">
        <f>IF($E3709="","",IF($AQ3709=1,0,IF($AP3709=1,Settings!$C$6,Settings!$C$7))*100)</f>
        <v/>
      </c>
      <c r="AC3709" s="7">
        <f>IF($E3709="","",Y3709*AB3709/100)</f>
        <v/>
      </c>
      <c r="AD3709" s="7">
        <f>IF($E3709="","",Y3709-AC3709)</f>
        <v/>
      </c>
      <c r="AE3709" s="7">
        <f>IF($E3709="","",AD3709-Q3709)</f>
        <v/>
      </c>
      <c r="AI3709" s="7" t="n"/>
      <c r="AL3709" s="11" t="n"/>
      <c r="AN3709">
        <f>IF($E3709="","",IF(COUNTIF($E$2:$E3709,$E3709)=1,1,0))</f>
        <v/>
      </c>
      <c r="AO3709">
        <f>IF($AN3709=1,SUMPRODUCT(--($AR$2:$AR$4001&lt;$AR3709))+1,"")</f>
        <v/>
      </c>
      <c r="AP3709">
        <f>IF($E3709="","",IF(OR($U3709=TRUE(),$U3709="TRUE"),1,0))</f>
        <v/>
      </c>
      <c r="AQ3709">
        <f>IF($E3709="","",IF($AA3709="Yes",1,0))</f>
        <v/>
      </c>
      <c r="AR3709">
        <f>IF($AN3709=1,IFERROR(VALUE(MID($E3709,2,20)),1000000000)+ROW()/100000,"")</f>
        <v/>
      </c>
    </row>
    <row r="3710">
      <c r="G3710" s="11" t="n"/>
      <c r="Q3710" s="7">
        <f>IF($E3710="","",P3710*Y3710/100)</f>
        <v/>
      </c>
      <c r="R3710" s="7" t="n"/>
      <c r="X3710" s="7" t="n"/>
      <c r="Y3710" s="7" t="n"/>
      <c r="AB3710">
        <f>IF($E3710="","",IF($AQ3710=1,0,IF($AP3710=1,Settings!$C$6,Settings!$C$7))*100)</f>
        <v/>
      </c>
      <c r="AC3710" s="7">
        <f>IF($E3710="","",Y3710*AB3710/100)</f>
        <v/>
      </c>
      <c r="AD3710" s="7">
        <f>IF($E3710="","",Y3710-AC3710)</f>
        <v/>
      </c>
      <c r="AE3710" s="7">
        <f>IF($E3710="","",AD3710-Q3710)</f>
        <v/>
      </c>
      <c r="AI3710" s="7" t="n"/>
      <c r="AL3710" s="11" t="n"/>
      <c r="AN3710">
        <f>IF($E3710="","",IF(COUNTIF($E$2:$E3710,$E3710)=1,1,0))</f>
        <v/>
      </c>
      <c r="AO3710">
        <f>IF($AN3710=1,SUMPRODUCT(--($AR$2:$AR$4001&lt;$AR3710))+1,"")</f>
        <v/>
      </c>
      <c r="AP3710">
        <f>IF($E3710="","",IF(OR($U3710=TRUE(),$U3710="TRUE"),1,0))</f>
        <v/>
      </c>
      <c r="AQ3710">
        <f>IF($E3710="","",IF($AA3710="Yes",1,0))</f>
        <v/>
      </c>
      <c r="AR3710">
        <f>IF($AN3710=1,IFERROR(VALUE(MID($E3710,2,20)),1000000000)+ROW()/100000,"")</f>
        <v/>
      </c>
    </row>
    <row r="3711">
      <c r="G3711" s="11" t="n"/>
      <c r="Q3711" s="7">
        <f>IF($E3711="","",P3711*Y3711/100)</f>
        <v/>
      </c>
      <c r="R3711" s="7" t="n"/>
      <c r="X3711" s="7" t="n"/>
      <c r="Y3711" s="7" t="n"/>
      <c r="AB3711">
        <f>IF($E3711="","",IF($AQ3711=1,0,IF($AP3711=1,Settings!$C$6,Settings!$C$7))*100)</f>
        <v/>
      </c>
      <c r="AC3711" s="7">
        <f>IF($E3711="","",Y3711*AB3711/100)</f>
        <v/>
      </c>
      <c r="AD3711" s="7">
        <f>IF($E3711="","",Y3711-AC3711)</f>
        <v/>
      </c>
      <c r="AE3711" s="7">
        <f>IF($E3711="","",AD3711-Q3711)</f>
        <v/>
      </c>
      <c r="AI3711" s="7" t="n"/>
      <c r="AL3711" s="11" t="n"/>
      <c r="AN3711">
        <f>IF($E3711="","",IF(COUNTIF($E$2:$E3711,$E3711)=1,1,0))</f>
        <v/>
      </c>
      <c r="AO3711">
        <f>IF($AN3711=1,SUMPRODUCT(--($AR$2:$AR$4001&lt;$AR3711))+1,"")</f>
        <v/>
      </c>
      <c r="AP3711">
        <f>IF($E3711="","",IF(OR($U3711=TRUE(),$U3711="TRUE"),1,0))</f>
        <v/>
      </c>
      <c r="AQ3711">
        <f>IF($E3711="","",IF($AA3711="Yes",1,0))</f>
        <v/>
      </c>
      <c r="AR3711">
        <f>IF($AN3711=1,IFERROR(VALUE(MID($E3711,2,20)),1000000000)+ROW()/100000,"")</f>
        <v/>
      </c>
    </row>
    <row r="3712">
      <c r="G3712" s="11" t="n"/>
      <c r="Q3712" s="7">
        <f>IF($E3712="","",P3712*Y3712/100)</f>
        <v/>
      </c>
      <c r="R3712" s="7" t="n"/>
      <c r="X3712" s="7" t="n"/>
      <c r="Y3712" s="7" t="n"/>
      <c r="AB3712">
        <f>IF($E3712="","",IF($AQ3712=1,0,IF($AP3712=1,Settings!$C$6,Settings!$C$7))*100)</f>
        <v/>
      </c>
      <c r="AC3712" s="7">
        <f>IF($E3712="","",Y3712*AB3712/100)</f>
        <v/>
      </c>
      <c r="AD3712" s="7">
        <f>IF($E3712="","",Y3712-AC3712)</f>
        <v/>
      </c>
      <c r="AE3712" s="7">
        <f>IF($E3712="","",AD3712-Q3712)</f>
        <v/>
      </c>
      <c r="AI3712" s="7" t="n"/>
      <c r="AL3712" s="11" t="n"/>
      <c r="AN3712">
        <f>IF($E3712="","",IF(COUNTIF($E$2:$E3712,$E3712)=1,1,0))</f>
        <v/>
      </c>
      <c r="AO3712">
        <f>IF($AN3712=1,SUMPRODUCT(--($AR$2:$AR$4001&lt;$AR3712))+1,"")</f>
        <v/>
      </c>
      <c r="AP3712">
        <f>IF($E3712="","",IF(OR($U3712=TRUE(),$U3712="TRUE"),1,0))</f>
        <v/>
      </c>
      <c r="AQ3712">
        <f>IF($E3712="","",IF($AA3712="Yes",1,0))</f>
        <v/>
      </c>
      <c r="AR3712">
        <f>IF($AN3712=1,IFERROR(VALUE(MID($E3712,2,20)),1000000000)+ROW()/100000,"")</f>
        <v/>
      </c>
    </row>
    <row r="3713">
      <c r="G3713" s="11" t="n"/>
      <c r="Q3713" s="7">
        <f>IF($E3713="","",P3713*Y3713/100)</f>
        <v/>
      </c>
      <c r="R3713" s="7" t="n"/>
      <c r="X3713" s="7" t="n"/>
      <c r="Y3713" s="7" t="n"/>
      <c r="AB3713">
        <f>IF($E3713="","",IF($AQ3713=1,0,IF($AP3713=1,Settings!$C$6,Settings!$C$7))*100)</f>
        <v/>
      </c>
      <c r="AC3713" s="7">
        <f>IF($E3713="","",Y3713*AB3713/100)</f>
        <v/>
      </c>
      <c r="AD3713" s="7">
        <f>IF($E3713="","",Y3713-AC3713)</f>
        <v/>
      </c>
      <c r="AE3713" s="7">
        <f>IF($E3713="","",AD3713-Q3713)</f>
        <v/>
      </c>
      <c r="AI3713" s="7" t="n"/>
      <c r="AL3713" s="11" t="n"/>
      <c r="AN3713">
        <f>IF($E3713="","",IF(COUNTIF($E$2:$E3713,$E3713)=1,1,0))</f>
        <v/>
      </c>
      <c r="AO3713">
        <f>IF($AN3713=1,SUMPRODUCT(--($AR$2:$AR$4001&lt;$AR3713))+1,"")</f>
        <v/>
      </c>
      <c r="AP3713">
        <f>IF($E3713="","",IF(OR($U3713=TRUE(),$U3713="TRUE"),1,0))</f>
        <v/>
      </c>
      <c r="AQ3713">
        <f>IF($E3713="","",IF($AA3713="Yes",1,0))</f>
        <v/>
      </c>
      <c r="AR3713">
        <f>IF($AN3713=1,IFERROR(VALUE(MID($E3713,2,20)),1000000000)+ROW()/100000,"")</f>
        <v/>
      </c>
    </row>
    <row r="3714">
      <c r="G3714" s="11" t="n"/>
      <c r="Q3714" s="7">
        <f>IF($E3714="","",P3714*Y3714/100)</f>
        <v/>
      </c>
      <c r="R3714" s="7" t="n"/>
      <c r="X3714" s="7" t="n"/>
      <c r="Y3714" s="7" t="n"/>
      <c r="AB3714">
        <f>IF($E3714="","",IF($AQ3714=1,0,IF($AP3714=1,Settings!$C$6,Settings!$C$7))*100)</f>
        <v/>
      </c>
      <c r="AC3714" s="7">
        <f>IF($E3714="","",Y3714*AB3714/100)</f>
        <v/>
      </c>
      <c r="AD3714" s="7">
        <f>IF($E3714="","",Y3714-AC3714)</f>
        <v/>
      </c>
      <c r="AE3714" s="7">
        <f>IF($E3714="","",AD3714-Q3714)</f>
        <v/>
      </c>
      <c r="AI3714" s="7" t="n"/>
      <c r="AL3714" s="11" t="n"/>
      <c r="AN3714">
        <f>IF($E3714="","",IF(COUNTIF($E$2:$E3714,$E3714)=1,1,0))</f>
        <v/>
      </c>
      <c r="AO3714">
        <f>IF($AN3714=1,SUMPRODUCT(--($AR$2:$AR$4001&lt;$AR3714))+1,"")</f>
        <v/>
      </c>
      <c r="AP3714">
        <f>IF($E3714="","",IF(OR($U3714=TRUE(),$U3714="TRUE"),1,0))</f>
        <v/>
      </c>
      <c r="AQ3714">
        <f>IF($E3714="","",IF($AA3714="Yes",1,0))</f>
        <v/>
      </c>
      <c r="AR3714">
        <f>IF($AN3714=1,IFERROR(VALUE(MID($E3714,2,20)),1000000000)+ROW()/100000,"")</f>
        <v/>
      </c>
    </row>
    <row r="3715">
      <c r="G3715" s="11" t="n"/>
      <c r="Q3715" s="7">
        <f>IF($E3715="","",P3715*Y3715/100)</f>
        <v/>
      </c>
      <c r="R3715" s="7" t="n"/>
      <c r="X3715" s="7" t="n"/>
      <c r="Y3715" s="7" t="n"/>
      <c r="AB3715">
        <f>IF($E3715="","",IF($AQ3715=1,0,IF($AP3715=1,Settings!$C$6,Settings!$C$7))*100)</f>
        <v/>
      </c>
      <c r="AC3715" s="7">
        <f>IF($E3715="","",Y3715*AB3715/100)</f>
        <v/>
      </c>
      <c r="AD3715" s="7">
        <f>IF($E3715="","",Y3715-AC3715)</f>
        <v/>
      </c>
      <c r="AE3715" s="7">
        <f>IF($E3715="","",AD3715-Q3715)</f>
        <v/>
      </c>
      <c r="AI3715" s="7" t="n"/>
      <c r="AL3715" s="11" t="n"/>
      <c r="AN3715">
        <f>IF($E3715="","",IF(COUNTIF($E$2:$E3715,$E3715)=1,1,0))</f>
        <v/>
      </c>
      <c r="AO3715">
        <f>IF($AN3715=1,SUMPRODUCT(--($AR$2:$AR$4001&lt;$AR3715))+1,"")</f>
        <v/>
      </c>
      <c r="AP3715">
        <f>IF($E3715="","",IF(OR($U3715=TRUE(),$U3715="TRUE"),1,0))</f>
        <v/>
      </c>
      <c r="AQ3715">
        <f>IF($E3715="","",IF($AA3715="Yes",1,0))</f>
        <v/>
      </c>
      <c r="AR3715">
        <f>IF($AN3715=1,IFERROR(VALUE(MID($E3715,2,20)),1000000000)+ROW()/100000,"")</f>
        <v/>
      </c>
    </row>
    <row r="3716">
      <c r="G3716" s="11" t="n"/>
      <c r="Q3716" s="7">
        <f>IF($E3716="","",P3716*Y3716/100)</f>
        <v/>
      </c>
      <c r="R3716" s="7" t="n"/>
      <c r="X3716" s="7" t="n"/>
      <c r="Y3716" s="7" t="n"/>
      <c r="AB3716">
        <f>IF($E3716="","",IF($AQ3716=1,0,IF($AP3716=1,Settings!$C$6,Settings!$C$7))*100)</f>
        <v/>
      </c>
      <c r="AC3716" s="7">
        <f>IF($E3716="","",Y3716*AB3716/100)</f>
        <v/>
      </c>
      <c r="AD3716" s="7">
        <f>IF($E3716="","",Y3716-AC3716)</f>
        <v/>
      </c>
      <c r="AE3716" s="7">
        <f>IF($E3716="","",AD3716-Q3716)</f>
        <v/>
      </c>
      <c r="AI3716" s="7" t="n"/>
      <c r="AL3716" s="11" t="n"/>
      <c r="AN3716">
        <f>IF($E3716="","",IF(COUNTIF($E$2:$E3716,$E3716)=1,1,0))</f>
        <v/>
      </c>
      <c r="AO3716">
        <f>IF($AN3716=1,SUMPRODUCT(--($AR$2:$AR$4001&lt;$AR3716))+1,"")</f>
        <v/>
      </c>
      <c r="AP3716">
        <f>IF($E3716="","",IF(OR($U3716=TRUE(),$U3716="TRUE"),1,0))</f>
        <v/>
      </c>
      <c r="AQ3716">
        <f>IF($E3716="","",IF($AA3716="Yes",1,0))</f>
        <v/>
      </c>
      <c r="AR3716">
        <f>IF($AN3716=1,IFERROR(VALUE(MID($E3716,2,20)),1000000000)+ROW()/100000,"")</f>
        <v/>
      </c>
    </row>
    <row r="3717">
      <c r="G3717" s="11" t="n"/>
      <c r="Q3717" s="7">
        <f>IF($E3717="","",P3717*Y3717/100)</f>
        <v/>
      </c>
      <c r="R3717" s="7" t="n"/>
      <c r="X3717" s="7" t="n"/>
      <c r="Y3717" s="7" t="n"/>
      <c r="AB3717">
        <f>IF($E3717="","",IF($AQ3717=1,0,IF($AP3717=1,Settings!$C$6,Settings!$C$7))*100)</f>
        <v/>
      </c>
      <c r="AC3717" s="7">
        <f>IF($E3717="","",Y3717*AB3717/100)</f>
        <v/>
      </c>
      <c r="AD3717" s="7">
        <f>IF($E3717="","",Y3717-AC3717)</f>
        <v/>
      </c>
      <c r="AE3717" s="7">
        <f>IF($E3717="","",AD3717-Q3717)</f>
        <v/>
      </c>
      <c r="AI3717" s="7" t="n"/>
      <c r="AL3717" s="11" t="n"/>
      <c r="AN3717">
        <f>IF($E3717="","",IF(COUNTIF($E$2:$E3717,$E3717)=1,1,0))</f>
        <v/>
      </c>
      <c r="AO3717">
        <f>IF($AN3717=1,SUMPRODUCT(--($AR$2:$AR$4001&lt;$AR3717))+1,"")</f>
        <v/>
      </c>
      <c r="AP3717">
        <f>IF($E3717="","",IF(OR($U3717=TRUE(),$U3717="TRUE"),1,0))</f>
        <v/>
      </c>
      <c r="AQ3717">
        <f>IF($E3717="","",IF($AA3717="Yes",1,0))</f>
        <v/>
      </c>
      <c r="AR3717">
        <f>IF($AN3717=1,IFERROR(VALUE(MID($E3717,2,20)),1000000000)+ROW()/100000,"")</f>
        <v/>
      </c>
    </row>
    <row r="3718">
      <c r="G3718" s="11" t="n"/>
      <c r="Q3718" s="7">
        <f>IF($E3718="","",P3718*Y3718/100)</f>
        <v/>
      </c>
      <c r="R3718" s="7" t="n"/>
      <c r="X3718" s="7" t="n"/>
      <c r="Y3718" s="7" t="n"/>
      <c r="AB3718">
        <f>IF($E3718="","",IF($AQ3718=1,0,IF($AP3718=1,Settings!$C$6,Settings!$C$7))*100)</f>
        <v/>
      </c>
      <c r="AC3718" s="7">
        <f>IF($E3718="","",Y3718*AB3718/100)</f>
        <v/>
      </c>
      <c r="AD3718" s="7">
        <f>IF($E3718="","",Y3718-AC3718)</f>
        <v/>
      </c>
      <c r="AE3718" s="7">
        <f>IF($E3718="","",AD3718-Q3718)</f>
        <v/>
      </c>
      <c r="AI3718" s="7" t="n"/>
      <c r="AL3718" s="11" t="n"/>
      <c r="AN3718">
        <f>IF($E3718="","",IF(COUNTIF($E$2:$E3718,$E3718)=1,1,0))</f>
        <v/>
      </c>
      <c r="AO3718">
        <f>IF($AN3718=1,SUMPRODUCT(--($AR$2:$AR$4001&lt;$AR3718))+1,"")</f>
        <v/>
      </c>
      <c r="AP3718">
        <f>IF($E3718="","",IF(OR($U3718=TRUE(),$U3718="TRUE"),1,0))</f>
        <v/>
      </c>
      <c r="AQ3718">
        <f>IF($E3718="","",IF($AA3718="Yes",1,0))</f>
        <v/>
      </c>
      <c r="AR3718">
        <f>IF($AN3718=1,IFERROR(VALUE(MID($E3718,2,20)),1000000000)+ROW()/100000,"")</f>
        <v/>
      </c>
    </row>
    <row r="3719">
      <c r="G3719" s="11" t="n"/>
      <c r="Q3719" s="7">
        <f>IF($E3719="","",P3719*Y3719/100)</f>
        <v/>
      </c>
      <c r="R3719" s="7" t="n"/>
      <c r="X3719" s="7" t="n"/>
      <c r="Y3719" s="7" t="n"/>
      <c r="AB3719">
        <f>IF($E3719="","",IF($AQ3719=1,0,IF($AP3719=1,Settings!$C$6,Settings!$C$7))*100)</f>
        <v/>
      </c>
      <c r="AC3719" s="7">
        <f>IF($E3719="","",Y3719*AB3719/100)</f>
        <v/>
      </c>
      <c r="AD3719" s="7">
        <f>IF($E3719="","",Y3719-AC3719)</f>
        <v/>
      </c>
      <c r="AE3719" s="7">
        <f>IF($E3719="","",AD3719-Q3719)</f>
        <v/>
      </c>
      <c r="AI3719" s="7" t="n"/>
      <c r="AL3719" s="11" t="n"/>
      <c r="AN3719">
        <f>IF($E3719="","",IF(COUNTIF($E$2:$E3719,$E3719)=1,1,0))</f>
        <v/>
      </c>
      <c r="AO3719">
        <f>IF($AN3719=1,SUMPRODUCT(--($AR$2:$AR$4001&lt;$AR3719))+1,"")</f>
        <v/>
      </c>
      <c r="AP3719">
        <f>IF($E3719="","",IF(OR($U3719=TRUE(),$U3719="TRUE"),1,0))</f>
        <v/>
      </c>
      <c r="AQ3719">
        <f>IF($E3719="","",IF($AA3719="Yes",1,0))</f>
        <v/>
      </c>
      <c r="AR3719">
        <f>IF($AN3719=1,IFERROR(VALUE(MID($E3719,2,20)),1000000000)+ROW()/100000,"")</f>
        <v/>
      </c>
    </row>
    <row r="3720">
      <c r="G3720" s="11" t="n"/>
      <c r="Q3720" s="7">
        <f>IF($E3720="","",P3720*Y3720/100)</f>
        <v/>
      </c>
      <c r="R3720" s="7" t="n"/>
      <c r="X3720" s="7" t="n"/>
      <c r="Y3720" s="7" t="n"/>
      <c r="AB3720">
        <f>IF($E3720="","",IF($AQ3720=1,0,IF($AP3720=1,Settings!$C$6,Settings!$C$7))*100)</f>
        <v/>
      </c>
      <c r="AC3720" s="7">
        <f>IF($E3720="","",Y3720*AB3720/100)</f>
        <v/>
      </c>
      <c r="AD3720" s="7">
        <f>IF($E3720="","",Y3720-AC3720)</f>
        <v/>
      </c>
      <c r="AE3720" s="7">
        <f>IF($E3720="","",AD3720-Q3720)</f>
        <v/>
      </c>
      <c r="AI3720" s="7" t="n"/>
      <c r="AL3720" s="11" t="n"/>
      <c r="AN3720">
        <f>IF($E3720="","",IF(COUNTIF($E$2:$E3720,$E3720)=1,1,0))</f>
        <v/>
      </c>
      <c r="AO3720">
        <f>IF($AN3720=1,SUMPRODUCT(--($AR$2:$AR$4001&lt;$AR3720))+1,"")</f>
        <v/>
      </c>
      <c r="AP3720">
        <f>IF($E3720="","",IF(OR($U3720=TRUE(),$U3720="TRUE"),1,0))</f>
        <v/>
      </c>
      <c r="AQ3720">
        <f>IF($E3720="","",IF($AA3720="Yes",1,0))</f>
        <v/>
      </c>
      <c r="AR3720">
        <f>IF($AN3720=1,IFERROR(VALUE(MID($E3720,2,20)),1000000000)+ROW()/100000,"")</f>
        <v/>
      </c>
    </row>
    <row r="3721">
      <c r="G3721" s="11" t="n"/>
      <c r="Q3721" s="7">
        <f>IF($E3721="","",P3721*Y3721/100)</f>
        <v/>
      </c>
      <c r="R3721" s="7" t="n"/>
      <c r="X3721" s="7" t="n"/>
      <c r="Y3721" s="7" t="n"/>
      <c r="AB3721">
        <f>IF($E3721="","",IF($AQ3721=1,0,IF($AP3721=1,Settings!$C$6,Settings!$C$7))*100)</f>
        <v/>
      </c>
      <c r="AC3721" s="7">
        <f>IF($E3721="","",Y3721*AB3721/100)</f>
        <v/>
      </c>
      <c r="AD3721" s="7">
        <f>IF($E3721="","",Y3721-AC3721)</f>
        <v/>
      </c>
      <c r="AE3721" s="7">
        <f>IF($E3721="","",AD3721-Q3721)</f>
        <v/>
      </c>
      <c r="AI3721" s="7" t="n"/>
      <c r="AL3721" s="11" t="n"/>
      <c r="AN3721">
        <f>IF($E3721="","",IF(COUNTIF($E$2:$E3721,$E3721)=1,1,0))</f>
        <v/>
      </c>
      <c r="AO3721">
        <f>IF($AN3721=1,SUMPRODUCT(--($AR$2:$AR$4001&lt;$AR3721))+1,"")</f>
        <v/>
      </c>
      <c r="AP3721">
        <f>IF($E3721="","",IF(OR($U3721=TRUE(),$U3721="TRUE"),1,0))</f>
        <v/>
      </c>
      <c r="AQ3721">
        <f>IF($E3721="","",IF($AA3721="Yes",1,0))</f>
        <v/>
      </c>
      <c r="AR3721">
        <f>IF($AN3721=1,IFERROR(VALUE(MID($E3721,2,20)),1000000000)+ROW()/100000,"")</f>
        <v/>
      </c>
    </row>
    <row r="3722">
      <c r="G3722" s="11" t="n"/>
      <c r="Q3722" s="7">
        <f>IF($E3722="","",P3722*Y3722/100)</f>
        <v/>
      </c>
      <c r="R3722" s="7" t="n"/>
      <c r="X3722" s="7" t="n"/>
      <c r="Y3722" s="7" t="n"/>
      <c r="AB3722">
        <f>IF($E3722="","",IF($AQ3722=1,0,IF($AP3722=1,Settings!$C$6,Settings!$C$7))*100)</f>
        <v/>
      </c>
      <c r="AC3722" s="7">
        <f>IF($E3722="","",Y3722*AB3722/100)</f>
        <v/>
      </c>
      <c r="AD3722" s="7">
        <f>IF($E3722="","",Y3722-AC3722)</f>
        <v/>
      </c>
      <c r="AE3722" s="7">
        <f>IF($E3722="","",AD3722-Q3722)</f>
        <v/>
      </c>
      <c r="AI3722" s="7" t="n"/>
      <c r="AL3722" s="11" t="n"/>
      <c r="AN3722">
        <f>IF($E3722="","",IF(COUNTIF($E$2:$E3722,$E3722)=1,1,0))</f>
        <v/>
      </c>
      <c r="AO3722">
        <f>IF($AN3722=1,SUMPRODUCT(--($AR$2:$AR$4001&lt;$AR3722))+1,"")</f>
        <v/>
      </c>
      <c r="AP3722">
        <f>IF($E3722="","",IF(OR($U3722=TRUE(),$U3722="TRUE"),1,0))</f>
        <v/>
      </c>
      <c r="AQ3722">
        <f>IF($E3722="","",IF($AA3722="Yes",1,0))</f>
        <v/>
      </c>
      <c r="AR3722">
        <f>IF($AN3722=1,IFERROR(VALUE(MID($E3722,2,20)),1000000000)+ROW()/100000,"")</f>
        <v/>
      </c>
    </row>
    <row r="3723">
      <c r="G3723" s="11" t="n"/>
      <c r="Q3723" s="7">
        <f>IF($E3723="","",P3723*Y3723/100)</f>
        <v/>
      </c>
      <c r="R3723" s="7" t="n"/>
      <c r="X3723" s="7" t="n"/>
      <c r="Y3723" s="7" t="n"/>
      <c r="AB3723">
        <f>IF($E3723="","",IF($AQ3723=1,0,IF($AP3723=1,Settings!$C$6,Settings!$C$7))*100)</f>
        <v/>
      </c>
      <c r="AC3723" s="7">
        <f>IF($E3723="","",Y3723*AB3723/100)</f>
        <v/>
      </c>
      <c r="AD3723" s="7">
        <f>IF($E3723="","",Y3723-AC3723)</f>
        <v/>
      </c>
      <c r="AE3723" s="7">
        <f>IF($E3723="","",AD3723-Q3723)</f>
        <v/>
      </c>
      <c r="AI3723" s="7" t="n"/>
      <c r="AL3723" s="11" t="n"/>
      <c r="AN3723">
        <f>IF($E3723="","",IF(COUNTIF($E$2:$E3723,$E3723)=1,1,0))</f>
        <v/>
      </c>
      <c r="AO3723">
        <f>IF($AN3723=1,SUMPRODUCT(--($AR$2:$AR$4001&lt;$AR3723))+1,"")</f>
        <v/>
      </c>
      <c r="AP3723">
        <f>IF($E3723="","",IF(OR($U3723=TRUE(),$U3723="TRUE"),1,0))</f>
        <v/>
      </c>
      <c r="AQ3723">
        <f>IF($E3723="","",IF($AA3723="Yes",1,0))</f>
        <v/>
      </c>
      <c r="AR3723">
        <f>IF($AN3723=1,IFERROR(VALUE(MID($E3723,2,20)),1000000000)+ROW()/100000,"")</f>
        <v/>
      </c>
    </row>
    <row r="3724">
      <c r="G3724" s="11" t="n"/>
      <c r="Q3724" s="7">
        <f>IF($E3724="","",P3724*Y3724/100)</f>
        <v/>
      </c>
      <c r="R3724" s="7" t="n"/>
      <c r="X3724" s="7" t="n"/>
      <c r="Y3724" s="7" t="n"/>
      <c r="AB3724">
        <f>IF($E3724="","",IF($AQ3724=1,0,IF($AP3724=1,Settings!$C$6,Settings!$C$7))*100)</f>
        <v/>
      </c>
      <c r="AC3724" s="7">
        <f>IF($E3724="","",Y3724*AB3724/100)</f>
        <v/>
      </c>
      <c r="AD3724" s="7">
        <f>IF($E3724="","",Y3724-AC3724)</f>
        <v/>
      </c>
      <c r="AE3724" s="7">
        <f>IF($E3724="","",AD3724-Q3724)</f>
        <v/>
      </c>
      <c r="AI3724" s="7" t="n"/>
      <c r="AL3724" s="11" t="n"/>
      <c r="AN3724">
        <f>IF($E3724="","",IF(COUNTIF($E$2:$E3724,$E3724)=1,1,0))</f>
        <v/>
      </c>
      <c r="AO3724">
        <f>IF($AN3724=1,SUMPRODUCT(--($AR$2:$AR$4001&lt;$AR3724))+1,"")</f>
        <v/>
      </c>
      <c r="AP3724">
        <f>IF($E3724="","",IF(OR($U3724=TRUE(),$U3724="TRUE"),1,0))</f>
        <v/>
      </c>
      <c r="AQ3724">
        <f>IF($E3724="","",IF($AA3724="Yes",1,0))</f>
        <v/>
      </c>
      <c r="AR3724">
        <f>IF($AN3724=1,IFERROR(VALUE(MID($E3724,2,20)),1000000000)+ROW()/100000,"")</f>
        <v/>
      </c>
    </row>
    <row r="3725">
      <c r="G3725" s="11" t="n"/>
      <c r="Q3725" s="7">
        <f>IF($E3725="","",P3725*Y3725/100)</f>
        <v/>
      </c>
      <c r="R3725" s="7" t="n"/>
      <c r="X3725" s="7" t="n"/>
      <c r="Y3725" s="7" t="n"/>
      <c r="AB3725">
        <f>IF($E3725="","",IF($AQ3725=1,0,IF($AP3725=1,Settings!$C$6,Settings!$C$7))*100)</f>
        <v/>
      </c>
      <c r="AC3725" s="7">
        <f>IF($E3725="","",Y3725*AB3725/100)</f>
        <v/>
      </c>
      <c r="AD3725" s="7">
        <f>IF($E3725="","",Y3725-AC3725)</f>
        <v/>
      </c>
      <c r="AE3725" s="7">
        <f>IF($E3725="","",AD3725-Q3725)</f>
        <v/>
      </c>
      <c r="AI3725" s="7" t="n"/>
      <c r="AL3725" s="11" t="n"/>
      <c r="AN3725">
        <f>IF($E3725="","",IF(COUNTIF($E$2:$E3725,$E3725)=1,1,0))</f>
        <v/>
      </c>
      <c r="AO3725">
        <f>IF($AN3725=1,SUMPRODUCT(--($AR$2:$AR$4001&lt;$AR3725))+1,"")</f>
        <v/>
      </c>
      <c r="AP3725">
        <f>IF($E3725="","",IF(OR($U3725=TRUE(),$U3725="TRUE"),1,0))</f>
        <v/>
      </c>
      <c r="AQ3725">
        <f>IF($E3725="","",IF($AA3725="Yes",1,0))</f>
        <v/>
      </c>
      <c r="AR3725">
        <f>IF($AN3725=1,IFERROR(VALUE(MID($E3725,2,20)),1000000000)+ROW()/100000,"")</f>
        <v/>
      </c>
    </row>
    <row r="3726">
      <c r="G3726" s="11" t="n"/>
      <c r="Q3726" s="7">
        <f>IF($E3726="","",P3726*Y3726/100)</f>
        <v/>
      </c>
      <c r="R3726" s="7" t="n"/>
      <c r="X3726" s="7" t="n"/>
      <c r="Y3726" s="7" t="n"/>
      <c r="AB3726">
        <f>IF($E3726="","",IF($AQ3726=1,0,IF($AP3726=1,Settings!$C$6,Settings!$C$7))*100)</f>
        <v/>
      </c>
      <c r="AC3726" s="7">
        <f>IF($E3726="","",Y3726*AB3726/100)</f>
        <v/>
      </c>
      <c r="AD3726" s="7">
        <f>IF($E3726="","",Y3726-AC3726)</f>
        <v/>
      </c>
      <c r="AE3726" s="7">
        <f>IF($E3726="","",AD3726-Q3726)</f>
        <v/>
      </c>
      <c r="AI3726" s="7" t="n"/>
      <c r="AL3726" s="11" t="n"/>
      <c r="AN3726">
        <f>IF($E3726="","",IF(COUNTIF($E$2:$E3726,$E3726)=1,1,0))</f>
        <v/>
      </c>
      <c r="AO3726">
        <f>IF($AN3726=1,SUMPRODUCT(--($AR$2:$AR$4001&lt;$AR3726))+1,"")</f>
        <v/>
      </c>
      <c r="AP3726">
        <f>IF($E3726="","",IF(OR($U3726=TRUE(),$U3726="TRUE"),1,0))</f>
        <v/>
      </c>
      <c r="AQ3726">
        <f>IF($E3726="","",IF($AA3726="Yes",1,0))</f>
        <v/>
      </c>
      <c r="AR3726">
        <f>IF($AN3726=1,IFERROR(VALUE(MID($E3726,2,20)),1000000000)+ROW()/100000,"")</f>
        <v/>
      </c>
    </row>
    <row r="3727">
      <c r="G3727" s="11" t="n"/>
      <c r="Q3727" s="7">
        <f>IF($E3727="","",P3727*Y3727/100)</f>
        <v/>
      </c>
      <c r="R3727" s="7" t="n"/>
      <c r="X3727" s="7" t="n"/>
      <c r="Y3727" s="7" t="n"/>
      <c r="AB3727">
        <f>IF($E3727="","",IF($AQ3727=1,0,IF($AP3727=1,Settings!$C$6,Settings!$C$7))*100)</f>
        <v/>
      </c>
      <c r="AC3727" s="7">
        <f>IF($E3727="","",Y3727*AB3727/100)</f>
        <v/>
      </c>
      <c r="AD3727" s="7">
        <f>IF($E3727="","",Y3727-AC3727)</f>
        <v/>
      </c>
      <c r="AE3727" s="7">
        <f>IF($E3727="","",AD3727-Q3727)</f>
        <v/>
      </c>
      <c r="AI3727" s="7" t="n"/>
      <c r="AL3727" s="11" t="n"/>
      <c r="AN3727">
        <f>IF($E3727="","",IF(COUNTIF($E$2:$E3727,$E3727)=1,1,0))</f>
        <v/>
      </c>
      <c r="AO3727">
        <f>IF($AN3727=1,SUMPRODUCT(--($AR$2:$AR$4001&lt;$AR3727))+1,"")</f>
        <v/>
      </c>
      <c r="AP3727">
        <f>IF($E3727="","",IF(OR($U3727=TRUE(),$U3727="TRUE"),1,0))</f>
        <v/>
      </c>
      <c r="AQ3727">
        <f>IF($E3727="","",IF($AA3727="Yes",1,0))</f>
        <v/>
      </c>
      <c r="AR3727">
        <f>IF($AN3727=1,IFERROR(VALUE(MID($E3727,2,20)),1000000000)+ROW()/100000,"")</f>
        <v/>
      </c>
    </row>
    <row r="3728">
      <c r="G3728" s="11" t="n"/>
      <c r="Q3728" s="7">
        <f>IF($E3728="","",P3728*Y3728/100)</f>
        <v/>
      </c>
      <c r="R3728" s="7" t="n"/>
      <c r="X3728" s="7" t="n"/>
      <c r="Y3728" s="7" t="n"/>
      <c r="AB3728">
        <f>IF($E3728="","",IF($AQ3728=1,0,IF($AP3728=1,Settings!$C$6,Settings!$C$7))*100)</f>
        <v/>
      </c>
      <c r="AC3728" s="7">
        <f>IF($E3728="","",Y3728*AB3728/100)</f>
        <v/>
      </c>
      <c r="AD3728" s="7">
        <f>IF($E3728="","",Y3728-AC3728)</f>
        <v/>
      </c>
      <c r="AE3728" s="7">
        <f>IF($E3728="","",AD3728-Q3728)</f>
        <v/>
      </c>
      <c r="AI3728" s="7" t="n"/>
      <c r="AL3728" s="11" t="n"/>
      <c r="AN3728">
        <f>IF($E3728="","",IF(COUNTIF($E$2:$E3728,$E3728)=1,1,0))</f>
        <v/>
      </c>
      <c r="AO3728">
        <f>IF($AN3728=1,SUMPRODUCT(--($AR$2:$AR$4001&lt;$AR3728))+1,"")</f>
        <v/>
      </c>
      <c r="AP3728">
        <f>IF($E3728="","",IF(OR($U3728=TRUE(),$U3728="TRUE"),1,0))</f>
        <v/>
      </c>
      <c r="AQ3728">
        <f>IF($E3728="","",IF($AA3728="Yes",1,0))</f>
        <v/>
      </c>
      <c r="AR3728">
        <f>IF($AN3728=1,IFERROR(VALUE(MID($E3728,2,20)),1000000000)+ROW()/100000,"")</f>
        <v/>
      </c>
    </row>
    <row r="3729">
      <c r="G3729" s="11" t="n"/>
      <c r="Q3729" s="7">
        <f>IF($E3729="","",P3729*Y3729/100)</f>
        <v/>
      </c>
      <c r="R3729" s="7" t="n"/>
      <c r="X3729" s="7" t="n"/>
      <c r="Y3729" s="7" t="n"/>
      <c r="AB3729">
        <f>IF($E3729="","",IF($AQ3729=1,0,IF($AP3729=1,Settings!$C$6,Settings!$C$7))*100)</f>
        <v/>
      </c>
      <c r="AC3729" s="7">
        <f>IF($E3729="","",Y3729*AB3729/100)</f>
        <v/>
      </c>
      <c r="AD3729" s="7">
        <f>IF($E3729="","",Y3729-AC3729)</f>
        <v/>
      </c>
      <c r="AE3729" s="7">
        <f>IF($E3729="","",AD3729-Q3729)</f>
        <v/>
      </c>
      <c r="AI3729" s="7" t="n"/>
      <c r="AL3729" s="11" t="n"/>
      <c r="AN3729">
        <f>IF($E3729="","",IF(COUNTIF($E$2:$E3729,$E3729)=1,1,0))</f>
        <v/>
      </c>
      <c r="AO3729">
        <f>IF($AN3729=1,SUMPRODUCT(--($AR$2:$AR$4001&lt;$AR3729))+1,"")</f>
        <v/>
      </c>
      <c r="AP3729">
        <f>IF($E3729="","",IF(OR($U3729=TRUE(),$U3729="TRUE"),1,0))</f>
        <v/>
      </c>
      <c r="AQ3729">
        <f>IF($E3729="","",IF($AA3729="Yes",1,0))</f>
        <v/>
      </c>
      <c r="AR3729">
        <f>IF($AN3729=1,IFERROR(VALUE(MID($E3729,2,20)),1000000000)+ROW()/100000,"")</f>
        <v/>
      </c>
    </row>
    <row r="3730">
      <c r="G3730" s="11" t="n"/>
      <c r="Q3730" s="7">
        <f>IF($E3730="","",P3730*Y3730/100)</f>
        <v/>
      </c>
      <c r="R3730" s="7" t="n"/>
      <c r="X3730" s="7" t="n"/>
      <c r="Y3730" s="7" t="n"/>
      <c r="AB3730">
        <f>IF($E3730="","",IF($AQ3730=1,0,IF($AP3730=1,Settings!$C$6,Settings!$C$7))*100)</f>
        <v/>
      </c>
      <c r="AC3730" s="7">
        <f>IF($E3730="","",Y3730*AB3730/100)</f>
        <v/>
      </c>
      <c r="AD3730" s="7">
        <f>IF($E3730="","",Y3730-AC3730)</f>
        <v/>
      </c>
      <c r="AE3730" s="7">
        <f>IF($E3730="","",AD3730-Q3730)</f>
        <v/>
      </c>
      <c r="AI3730" s="7" t="n"/>
      <c r="AL3730" s="11" t="n"/>
      <c r="AN3730">
        <f>IF($E3730="","",IF(COUNTIF($E$2:$E3730,$E3730)=1,1,0))</f>
        <v/>
      </c>
      <c r="AO3730">
        <f>IF($AN3730=1,SUMPRODUCT(--($AR$2:$AR$4001&lt;$AR3730))+1,"")</f>
        <v/>
      </c>
      <c r="AP3730">
        <f>IF($E3730="","",IF(OR($U3730=TRUE(),$U3730="TRUE"),1,0))</f>
        <v/>
      </c>
      <c r="AQ3730">
        <f>IF($E3730="","",IF($AA3730="Yes",1,0))</f>
        <v/>
      </c>
      <c r="AR3730">
        <f>IF($AN3730=1,IFERROR(VALUE(MID($E3730,2,20)),1000000000)+ROW()/100000,"")</f>
        <v/>
      </c>
    </row>
    <row r="3731">
      <c r="G3731" s="11" t="n"/>
      <c r="Q3731" s="7">
        <f>IF($E3731="","",P3731*Y3731/100)</f>
        <v/>
      </c>
      <c r="R3731" s="7" t="n"/>
      <c r="X3731" s="7" t="n"/>
      <c r="Y3731" s="7" t="n"/>
      <c r="AB3731">
        <f>IF($E3731="","",IF($AQ3731=1,0,IF($AP3731=1,Settings!$C$6,Settings!$C$7))*100)</f>
        <v/>
      </c>
      <c r="AC3731" s="7">
        <f>IF($E3731="","",Y3731*AB3731/100)</f>
        <v/>
      </c>
      <c r="AD3731" s="7">
        <f>IF($E3731="","",Y3731-AC3731)</f>
        <v/>
      </c>
      <c r="AE3731" s="7">
        <f>IF($E3731="","",AD3731-Q3731)</f>
        <v/>
      </c>
      <c r="AI3731" s="7" t="n"/>
      <c r="AL3731" s="11" t="n"/>
      <c r="AN3731">
        <f>IF($E3731="","",IF(COUNTIF($E$2:$E3731,$E3731)=1,1,0))</f>
        <v/>
      </c>
      <c r="AO3731">
        <f>IF($AN3731=1,SUMPRODUCT(--($AR$2:$AR$4001&lt;$AR3731))+1,"")</f>
        <v/>
      </c>
      <c r="AP3731">
        <f>IF($E3731="","",IF(OR($U3731=TRUE(),$U3731="TRUE"),1,0))</f>
        <v/>
      </c>
      <c r="AQ3731">
        <f>IF($E3731="","",IF($AA3731="Yes",1,0))</f>
        <v/>
      </c>
      <c r="AR3731">
        <f>IF($AN3731=1,IFERROR(VALUE(MID($E3731,2,20)),1000000000)+ROW()/100000,"")</f>
        <v/>
      </c>
    </row>
    <row r="3732">
      <c r="G3732" s="11" t="n"/>
      <c r="Q3732" s="7">
        <f>IF($E3732="","",P3732*Y3732/100)</f>
        <v/>
      </c>
      <c r="R3732" s="7" t="n"/>
      <c r="X3732" s="7" t="n"/>
      <c r="Y3732" s="7" t="n"/>
      <c r="AB3732">
        <f>IF($E3732="","",IF($AQ3732=1,0,IF($AP3732=1,Settings!$C$6,Settings!$C$7))*100)</f>
        <v/>
      </c>
      <c r="AC3732" s="7">
        <f>IF($E3732="","",Y3732*AB3732/100)</f>
        <v/>
      </c>
      <c r="AD3732" s="7">
        <f>IF($E3732="","",Y3732-AC3732)</f>
        <v/>
      </c>
      <c r="AE3732" s="7">
        <f>IF($E3732="","",AD3732-Q3732)</f>
        <v/>
      </c>
      <c r="AI3732" s="7" t="n"/>
      <c r="AL3732" s="11" t="n"/>
      <c r="AN3732">
        <f>IF($E3732="","",IF(COUNTIF($E$2:$E3732,$E3732)=1,1,0))</f>
        <v/>
      </c>
      <c r="AO3732">
        <f>IF($AN3732=1,SUMPRODUCT(--($AR$2:$AR$4001&lt;$AR3732))+1,"")</f>
        <v/>
      </c>
      <c r="AP3732">
        <f>IF($E3732="","",IF(OR($U3732=TRUE(),$U3732="TRUE"),1,0))</f>
        <v/>
      </c>
      <c r="AQ3732">
        <f>IF($E3732="","",IF($AA3732="Yes",1,0))</f>
        <v/>
      </c>
      <c r="AR3732">
        <f>IF($AN3732=1,IFERROR(VALUE(MID($E3732,2,20)),1000000000)+ROW()/100000,"")</f>
        <v/>
      </c>
    </row>
    <row r="3733">
      <c r="G3733" s="11" t="n"/>
      <c r="Q3733" s="7">
        <f>IF($E3733="","",P3733*Y3733/100)</f>
        <v/>
      </c>
      <c r="R3733" s="7" t="n"/>
      <c r="X3733" s="7" t="n"/>
      <c r="Y3733" s="7" t="n"/>
      <c r="AB3733">
        <f>IF($E3733="","",IF($AQ3733=1,0,IF($AP3733=1,Settings!$C$6,Settings!$C$7))*100)</f>
        <v/>
      </c>
      <c r="AC3733" s="7">
        <f>IF($E3733="","",Y3733*AB3733/100)</f>
        <v/>
      </c>
      <c r="AD3733" s="7">
        <f>IF($E3733="","",Y3733-AC3733)</f>
        <v/>
      </c>
      <c r="AE3733" s="7">
        <f>IF($E3733="","",AD3733-Q3733)</f>
        <v/>
      </c>
      <c r="AI3733" s="7" t="n"/>
      <c r="AL3733" s="11" t="n"/>
      <c r="AN3733">
        <f>IF($E3733="","",IF(COUNTIF($E$2:$E3733,$E3733)=1,1,0))</f>
        <v/>
      </c>
      <c r="AO3733">
        <f>IF($AN3733=1,SUMPRODUCT(--($AR$2:$AR$4001&lt;$AR3733))+1,"")</f>
        <v/>
      </c>
      <c r="AP3733">
        <f>IF($E3733="","",IF(OR($U3733=TRUE(),$U3733="TRUE"),1,0))</f>
        <v/>
      </c>
      <c r="AQ3733">
        <f>IF($E3733="","",IF($AA3733="Yes",1,0))</f>
        <v/>
      </c>
      <c r="AR3733">
        <f>IF($AN3733=1,IFERROR(VALUE(MID($E3733,2,20)),1000000000)+ROW()/100000,"")</f>
        <v/>
      </c>
    </row>
    <row r="3734">
      <c r="G3734" s="11" t="n"/>
      <c r="Q3734" s="7">
        <f>IF($E3734="","",P3734*Y3734/100)</f>
        <v/>
      </c>
      <c r="R3734" s="7" t="n"/>
      <c r="X3734" s="7" t="n"/>
      <c r="Y3734" s="7" t="n"/>
      <c r="AB3734">
        <f>IF($E3734="","",IF($AQ3734=1,0,IF($AP3734=1,Settings!$C$6,Settings!$C$7))*100)</f>
        <v/>
      </c>
      <c r="AC3734" s="7">
        <f>IF($E3734="","",Y3734*AB3734/100)</f>
        <v/>
      </c>
      <c r="AD3734" s="7">
        <f>IF($E3734="","",Y3734-AC3734)</f>
        <v/>
      </c>
      <c r="AE3734" s="7">
        <f>IF($E3734="","",AD3734-Q3734)</f>
        <v/>
      </c>
      <c r="AI3734" s="7" t="n"/>
      <c r="AL3734" s="11" t="n"/>
      <c r="AN3734">
        <f>IF($E3734="","",IF(COUNTIF($E$2:$E3734,$E3734)=1,1,0))</f>
        <v/>
      </c>
      <c r="AO3734">
        <f>IF($AN3734=1,SUMPRODUCT(--($AR$2:$AR$4001&lt;$AR3734))+1,"")</f>
        <v/>
      </c>
      <c r="AP3734">
        <f>IF($E3734="","",IF(OR($U3734=TRUE(),$U3734="TRUE"),1,0))</f>
        <v/>
      </c>
      <c r="AQ3734">
        <f>IF($E3734="","",IF($AA3734="Yes",1,0))</f>
        <v/>
      </c>
      <c r="AR3734">
        <f>IF($AN3734=1,IFERROR(VALUE(MID($E3734,2,20)),1000000000)+ROW()/100000,"")</f>
        <v/>
      </c>
    </row>
    <row r="3735">
      <c r="G3735" s="11" t="n"/>
      <c r="Q3735" s="7">
        <f>IF($E3735="","",P3735*Y3735/100)</f>
        <v/>
      </c>
      <c r="R3735" s="7" t="n"/>
      <c r="X3735" s="7" t="n"/>
      <c r="Y3735" s="7" t="n"/>
      <c r="AB3735">
        <f>IF($E3735="","",IF($AQ3735=1,0,IF($AP3735=1,Settings!$C$6,Settings!$C$7))*100)</f>
        <v/>
      </c>
      <c r="AC3735" s="7">
        <f>IF($E3735="","",Y3735*AB3735/100)</f>
        <v/>
      </c>
      <c r="AD3735" s="7">
        <f>IF($E3735="","",Y3735-AC3735)</f>
        <v/>
      </c>
      <c r="AE3735" s="7">
        <f>IF($E3735="","",AD3735-Q3735)</f>
        <v/>
      </c>
      <c r="AI3735" s="7" t="n"/>
      <c r="AL3735" s="11" t="n"/>
      <c r="AN3735">
        <f>IF($E3735="","",IF(COUNTIF($E$2:$E3735,$E3735)=1,1,0))</f>
        <v/>
      </c>
      <c r="AO3735">
        <f>IF($AN3735=1,SUMPRODUCT(--($AR$2:$AR$4001&lt;$AR3735))+1,"")</f>
        <v/>
      </c>
      <c r="AP3735">
        <f>IF($E3735="","",IF(OR($U3735=TRUE(),$U3735="TRUE"),1,0))</f>
        <v/>
      </c>
      <c r="AQ3735">
        <f>IF($E3735="","",IF($AA3735="Yes",1,0))</f>
        <v/>
      </c>
      <c r="AR3735">
        <f>IF($AN3735=1,IFERROR(VALUE(MID($E3735,2,20)),1000000000)+ROW()/100000,"")</f>
        <v/>
      </c>
    </row>
    <row r="3736">
      <c r="G3736" s="11" t="n"/>
      <c r="Q3736" s="7">
        <f>IF($E3736="","",P3736*Y3736/100)</f>
        <v/>
      </c>
      <c r="R3736" s="7" t="n"/>
      <c r="X3736" s="7" t="n"/>
      <c r="Y3736" s="7" t="n"/>
      <c r="AB3736">
        <f>IF($E3736="","",IF($AQ3736=1,0,IF($AP3736=1,Settings!$C$6,Settings!$C$7))*100)</f>
        <v/>
      </c>
      <c r="AC3736" s="7">
        <f>IF($E3736="","",Y3736*AB3736/100)</f>
        <v/>
      </c>
      <c r="AD3736" s="7">
        <f>IF($E3736="","",Y3736-AC3736)</f>
        <v/>
      </c>
      <c r="AE3736" s="7">
        <f>IF($E3736="","",AD3736-Q3736)</f>
        <v/>
      </c>
      <c r="AI3736" s="7" t="n"/>
      <c r="AL3736" s="11" t="n"/>
      <c r="AN3736">
        <f>IF($E3736="","",IF(COUNTIF($E$2:$E3736,$E3736)=1,1,0))</f>
        <v/>
      </c>
      <c r="AO3736">
        <f>IF($AN3736=1,SUMPRODUCT(--($AR$2:$AR$4001&lt;$AR3736))+1,"")</f>
        <v/>
      </c>
      <c r="AP3736">
        <f>IF($E3736="","",IF(OR($U3736=TRUE(),$U3736="TRUE"),1,0))</f>
        <v/>
      </c>
      <c r="AQ3736">
        <f>IF($E3736="","",IF($AA3736="Yes",1,0))</f>
        <v/>
      </c>
      <c r="AR3736">
        <f>IF($AN3736=1,IFERROR(VALUE(MID($E3736,2,20)),1000000000)+ROW()/100000,"")</f>
        <v/>
      </c>
    </row>
    <row r="3737">
      <c r="G3737" s="11" t="n"/>
      <c r="Q3737" s="7">
        <f>IF($E3737="","",P3737*Y3737/100)</f>
        <v/>
      </c>
      <c r="R3737" s="7" t="n"/>
      <c r="X3737" s="7" t="n"/>
      <c r="Y3737" s="7" t="n"/>
      <c r="AB3737">
        <f>IF($E3737="","",IF($AQ3737=1,0,IF($AP3737=1,Settings!$C$6,Settings!$C$7))*100)</f>
        <v/>
      </c>
      <c r="AC3737" s="7">
        <f>IF($E3737="","",Y3737*AB3737/100)</f>
        <v/>
      </c>
      <c r="AD3737" s="7">
        <f>IF($E3737="","",Y3737-AC3737)</f>
        <v/>
      </c>
      <c r="AE3737" s="7">
        <f>IF($E3737="","",AD3737-Q3737)</f>
        <v/>
      </c>
      <c r="AI3737" s="7" t="n"/>
      <c r="AL3737" s="11" t="n"/>
      <c r="AN3737">
        <f>IF($E3737="","",IF(COUNTIF($E$2:$E3737,$E3737)=1,1,0))</f>
        <v/>
      </c>
      <c r="AO3737">
        <f>IF($AN3737=1,SUMPRODUCT(--($AR$2:$AR$4001&lt;$AR3737))+1,"")</f>
        <v/>
      </c>
      <c r="AP3737">
        <f>IF($E3737="","",IF(OR($U3737=TRUE(),$U3737="TRUE"),1,0))</f>
        <v/>
      </c>
      <c r="AQ3737">
        <f>IF($E3737="","",IF($AA3737="Yes",1,0))</f>
        <v/>
      </c>
      <c r="AR3737">
        <f>IF($AN3737=1,IFERROR(VALUE(MID($E3737,2,20)),1000000000)+ROW()/100000,"")</f>
        <v/>
      </c>
    </row>
    <row r="3738">
      <c r="G3738" s="11" t="n"/>
      <c r="Q3738" s="7">
        <f>IF($E3738="","",P3738*Y3738/100)</f>
        <v/>
      </c>
      <c r="R3738" s="7" t="n"/>
      <c r="X3738" s="7" t="n"/>
      <c r="Y3738" s="7" t="n"/>
      <c r="AB3738">
        <f>IF($E3738="","",IF($AQ3738=1,0,IF($AP3738=1,Settings!$C$6,Settings!$C$7))*100)</f>
        <v/>
      </c>
      <c r="AC3738" s="7">
        <f>IF($E3738="","",Y3738*AB3738/100)</f>
        <v/>
      </c>
      <c r="AD3738" s="7">
        <f>IF($E3738="","",Y3738-AC3738)</f>
        <v/>
      </c>
      <c r="AE3738" s="7">
        <f>IF($E3738="","",AD3738-Q3738)</f>
        <v/>
      </c>
      <c r="AI3738" s="7" t="n"/>
      <c r="AL3738" s="11" t="n"/>
      <c r="AN3738">
        <f>IF($E3738="","",IF(COUNTIF($E$2:$E3738,$E3738)=1,1,0))</f>
        <v/>
      </c>
      <c r="AO3738">
        <f>IF($AN3738=1,SUMPRODUCT(--($AR$2:$AR$4001&lt;$AR3738))+1,"")</f>
        <v/>
      </c>
      <c r="AP3738">
        <f>IF($E3738="","",IF(OR($U3738=TRUE(),$U3738="TRUE"),1,0))</f>
        <v/>
      </c>
      <c r="AQ3738">
        <f>IF($E3738="","",IF($AA3738="Yes",1,0))</f>
        <v/>
      </c>
      <c r="AR3738">
        <f>IF($AN3738=1,IFERROR(VALUE(MID($E3738,2,20)),1000000000)+ROW()/100000,"")</f>
        <v/>
      </c>
    </row>
    <row r="3739">
      <c r="G3739" s="11" t="n"/>
      <c r="Q3739" s="7">
        <f>IF($E3739="","",P3739*Y3739/100)</f>
        <v/>
      </c>
      <c r="R3739" s="7" t="n"/>
      <c r="X3739" s="7" t="n"/>
      <c r="Y3739" s="7" t="n"/>
      <c r="AB3739">
        <f>IF($E3739="","",IF($AQ3739=1,0,IF($AP3739=1,Settings!$C$6,Settings!$C$7))*100)</f>
        <v/>
      </c>
      <c r="AC3739" s="7">
        <f>IF($E3739="","",Y3739*AB3739/100)</f>
        <v/>
      </c>
      <c r="AD3739" s="7">
        <f>IF($E3739="","",Y3739-AC3739)</f>
        <v/>
      </c>
      <c r="AE3739" s="7">
        <f>IF($E3739="","",AD3739-Q3739)</f>
        <v/>
      </c>
      <c r="AI3739" s="7" t="n"/>
      <c r="AL3739" s="11" t="n"/>
      <c r="AN3739">
        <f>IF($E3739="","",IF(COUNTIF($E$2:$E3739,$E3739)=1,1,0))</f>
        <v/>
      </c>
      <c r="AO3739">
        <f>IF($AN3739=1,SUMPRODUCT(--($AR$2:$AR$4001&lt;$AR3739))+1,"")</f>
        <v/>
      </c>
      <c r="AP3739">
        <f>IF($E3739="","",IF(OR($U3739=TRUE(),$U3739="TRUE"),1,0))</f>
        <v/>
      </c>
      <c r="AQ3739">
        <f>IF($E3739="","",IF($AA3739="Yes",1,0))</f>
        <v/>
      </c>
      <c r="AR3739">
        <f>IF($AN3739=1,IFERROR(VALUE(MID($E3739,2,20)),1000000000)+ROW()/100000,"")</f>
        <v/>
      </c>
    </row>
    <row r="3740">
      <c r="G3740" s="11" t="n"/>
      <c r="Q3740" s="7">
        <f>IF($E3740="","",P3740*Y3740/100)</f>
        <v/>
      </c>
      <c r="R3740" s="7" t="n"/>
      <c r="X3740" s="7" t="n"/>
      <c r="Y3740" s="7" t="n"/>
      <c r="AB3740">
        <f>IF($E3740="","",IF($AQ3740=1,0,IF($AP3740=1,Settings!$C$6,Settings!$C$7))*100)</f>
        <v/>
      </c>
      <c r="AC3740" s="7">
        <f>IF($E3740="","",Y3740*AB3740/100)</f>
        <v/>
      </c>
      <c r="AD3740" s="7">
        <f>IF($E3740="","",Y3740-AC3740)</f>
        <v/>
      </c>
      <c r="AE3740" s="7">
        <f>IF($E3740="","",AD3740-Q3740)</f>
        <v/>
      </c>
      <c r="AI3740" s="7" t="n"/>
      <c r="AL3740" s="11" t="n"/>
      <c r="AN3740">
        <f>IF($E3740="","",IF(COUNTIF($E$2:$E3740,$E3740)=1,1,0))</f>
        <v/>
      </c>
      <c r="AO3740">
        <f>IF($AN3740=1,SUMPRODUCT(--($AR$2:$AR$4001&lt;$AR3740))+1,"")</f>
        <v/>
      </c>
      <c r="AP3740">
        <f>IF($E3740="","",IF(OR($U3740=TRUE(),$U3740="TRUE"),1,0))</f>
        <v/>
      </c>
      <c r="AQ3740">
        <f>IF($E3740="","",IF($AA3740="Yes",1,0))</f>
        <v/>
      </c>
      <c r="AR3740">
        <f>IF($AN3740=1,IFERROR(VALUE(MID($E3740,2,20)),1000000000)+ROW()/100000,"")</f>
        <v/>
      </c>
    </row>
    <row r="3741">
      <c r="G3741" s="11" t="n"/>
      <c r="Q3741" s="7">
        <f>IF($E3741="","",P3741*Y3741/100)</f>
        <v/>
      </c>
      <c r="R3741" s="7" t="n"/>
      <c r="X3741" s="7" t="n"/>
      <c r="Y3741" s="7" t="n"/>
      <c r="AB3741">
        <f>IF($E3741="","",IF($AQ3741=1,0,IF($AP3741=1,Settings!$C$6,Settings!$C$7))*100)</f>
        <v/>
      </c>
      <c r="AC3741" s="7">
        <f>IF($E3741="","",Y3741*AB3741/100)</f>
        <v/>
      </c>
      <c r="AD3741" s="7">
        <f>IF($E3741="","",Y3741-AC3741)</f>
        <v/>
      </c>
      <c r="AE3741" s="7">
        <f>IF($E3741="","",AD3741-Q3741)</f>
        <v/>
      </c>
      <c r="AI3741" s="7" t="n"/>
      <c r="AL3741" s="11" t="n"/>
      <c r="AN3741">
        <f>IF($E3741="","",IF(COUNTIF($E$2:$E3741,$E3741)=1,1,0))</f>
        <v/>
      </c>
      <c r="AO3741">
        <f>IF($AN3741=1,SUMPRODUCT(--($AR$2:$AR$4001&lt;$AR3741))+1,"")</f>
        <v/>
      </c>
      <c r="AP3741">
        <f>IF($E3741="","",IF(OR($U3741=TRUE(),$U3741="TRUE"),1,0))</f>
        <v/>
      </c>
      <c r="AQ3741">
        <f>IF($E3741="","",IF($AA3741="Yes",1,0))</f>
        <v/>
      </c>
      <c r="AR3741">
        <f>IF($AN3741=1,IFERROR(VALUE(MID($E3741,2,20)),1000000000)+ROW()/100000,"")</f>
        <v/>
      </c>
    </row>
    <row r="3742">
      <c r="G3742" s="11" t="n"/>
      <c r="Q3742" s="7">
        <f>IF($E3742="","",P3742*Y3742/100)</f>
        <v/>
      </c>
      <c r="R3742" s="7" t="n"/>
      <c r="X3742" s="7" t="n"/>
      <c r="Y3742" s="7" t="n"/>
      <c r="AB3742">
        <f>IF($E3742="","",IF($AQ3742=1,0,IF($AP3742=1,Settings!$C$6,Settings!$C$7))*100)</f>
        <v/>
      </c>
      <c r="AC3742" s="7">
        <f>IF($E3742="","",Y3742*AB3742/100)</f>
        <v/>
      </c>
      <c r="AD3742" s="7">
        <f>IF($E3742="","",Y3742-AC3742)</f>
        <v/>
      </c>
      <c r="AE3742" s="7">
        <f>IF($E3742="","",AD3742-Q3742)</f>
        <v/>
      </c>
      <c r="AI3742" s="7" t="n"/>
      <c r="AL3742" s="11" t="n"/>
      <c r="AN3742">
        <f>IF($E3742="","",IF(COUNTIF($E$2:$E3742,$E3742)=1,1,0))</f>
        <v/>
      </c>
      <c r="AO3742">
        <f>IF($AN3742=1,SUMPRODUCT(--($AR$2:$AR$4001&lt;$AR3742))+1,"")</f>
        <v/>
      </c>
      <c r="AP3742">
        <f>IF($E3742="","",IF(OR($U3742=TRUE(),$U3742="TRUE"),1,0))</f>
        <v/>
      </c>
      <c r="AQ3742">
        <f>IF($E3742="","",IF($AA3742="Yes",1,0))</f>
        <v/>
      </c>
      <c r="AR3742">
        <f>IF($AN3742=1,IFERROR(VALUE(MID($E3742,2,20)),1000000000)+ROW()/100000,"")</f>
        <v/>
      </c>
    </row>
    <row r="3743">
      <c r="G3743" s="11" t="n"/>
      <c r="Q3743" s="7">
        <f>IF($E3743="","",P3743*Y3743/100)</f>
        <v/>
      </c>
      <c r="R3743" s="7" t="n"/>
      <c r="X3743" s="7" t="n"/>
      <c r="Y3743" s="7" t="n"/>
      <c r="AB3743">
        <f>IF($E3743="","",IF($AQ3743=1,0,IF($AP3743=1,Settings!$C$6,Settings!$C$7))*100)</f>
        <v/>
      </c>
      <c r="AC3743" s="7">
        <f>IF($E3743="","",Y3743*AB3743/100)</f>
        <v/>
      </c>
      <c r="AD3743" s="7">
        <f>IF($E3743="","",Y3743-AC3743)</f>
        <v/>
      </c>
      <c r="AE3743" s="7">
        <f>IF($E3743="","",AD3743-Q3743)</f>
        <v/>
      </c>
      <c r="AI3743" s="7" t="n"/>
      <c r="AL3743" s="11" t="n"/>
      <c r="AN3743">
        <f>IF($E3743="","",IF(COUNTIF($E$2:$E3743,$E3743)=1,1,0))</f>
        <v/>
      </c>
      <c r="AO3743">
        <f>IF($AN3743=1,SUMPRODUCT(--($AR$2:$AR$4001&lt;$AR3743))+1,"")</f>
        <v/>
      </c>
      <c r="AP3743">
        <f>IF($E3743="","",IF(OR($U3743=TRUE(),$U3743="TRUE"),1,0))</f>
        <v/>
      </c>
      <c r="AQ3743">
        <f>IF($E3743="","",IF($AA3743="Yes",1,0))</f>
        <v/>
      </c>
      <c r="AR3743">
        <f>IF($AN3743=1,IFERROR(VALUE(MID($E3743,2,20)),1000000000)+ROW()/100000,"")</f>
        <v/>
      </c>
    </row>
    <row r="3744">
      <c r="G3744" s="11" t="n"/>
      <c r="Q3744" s="7">
        <f>IF($E3744="","",P3744*Y3744/100)</f>
        <v/>
      </c>
      <c r="R3744" s="7" t="n"/>
      <c r="X3744" s="7" t="n"/>
      <c r="Y3744" s="7" t="n"/>
      <c r="AB3744">
        <f>IF($E3744="","",IF($AQ3744=1,0,IF($AP3744=1,Settings!$C$6,Settings!$C$7))*100)</f>
        <v/>
      </c>
      <c r="AC3744" s="7">
        <f>IF($E3744="","",Y3744*AB3744/100)</f>
        <v/>
      </c>
      <c r="AD3744" s="7">
        <f>IF($E3744="","",Y3744-AC3744)</f>
        <v/>
      </c>
      <c r="AE3744" s="7">
        <f>IF($E3744="","",AD3744-Q3744)</f>
        <v/>
      </c>
      <c r="AI3744" s="7" t="n"/>
      <c r="AL3744" s="11" t="n"/>
      <c r="AN3744">
        <f>IF($E3744="","",IF(COUNTIF($E$2:$E3744,$E3744)=1,1,0))</f>
        <v/>
      </c>
      <c r="AO3744">
        <f>IF($AN3744=1,SUMPRODUCT(--($AR$2:$AR$4001&lt;$AR3744))+1,"")</f>
        <v/>
      </c>
      <c r="AP3744">
        <f>IF($E3744="","",IF(OR($U3744=TRUE(),$U3744="TRUE"),1,0))</f>
        <v/>
      </c>
      <c r="AQ3744">
        <f>IF($E3744="","",IF($AA3744="Yes",1,0))</f>
        <v/>
      </c>
      <c r="AR3744">
        <f>IF($AN3744=1,IFERROR(VALUE(MID($E3744,2,20)),1000000000)+ROW()/100000,"")</f>
        <v/>
      </c>
    </row>
    <row r="3745">
      <c r="G3745" s="11" t="n"/>
      <c r="Q3745" s="7">
        <f>IF($E3745="","",P3745*Y3745/100)</f>
        <v/>
      </c>
      <c r="R3745" s="7" t="n"/>
      <c r="X3745" s="7" t="n"/>
      <c r="Y3745" s="7" t="n"/>
      <c r="AB3745">
        <f>IF($E3745="","",IF($AQ3745=1,0,IF($AP3745=1,Settings!$C$6,Settings!$C$7))*100)</f>
        <v/>
      </c>
      <c r="AC3745" s="7">
        <f>IF($E3745="","",Y3745*AB3745/100)</f>
        <v/>
      </c>
      <c r="AD3745" s="7">
        <f>IF($E3745="","",Y3745-AC3745)</f>
        <v/>
      </c>
      <c r="AE3745" s="7">
        <f>IF($E3745="","",AD3745-Q3745)</f>
        <v/>
      </c>
      <c r="AI3745" s="7" t="n"/>
      <c r="AL3745" s="11" t="n"/>
      <c r="AN3745">
        <f>IF($E3745="","",IF(COUNTIF($E$2:$E3745,$E3745)=1,1,0))</f>
        <v/>
      </c>
      <c r="AO3745">
        <f>IF($AN3745=1,SUMPRODUCT(--($AR$2:$AR$4001&lt;$AR3745))+1,"")</f>
        <v/>
      </c>
      <c r="AP3745">
        <f>IF($E3745="","",IF(OR($U3745=TRUE(),$U3745="TRUE"),1,0))</f>
        <v/>
      </c>
      <c r="AQ3745">
        <f>IF($E3745="","",IF($AA3745="Yes",1,0))</f>
        <v/>
      </c>
      <c r="AR3745">
        <f>IF($AN3745=1,IFERROR(VALUE(MID($E3745,2,20)),1000000000)+ROW()/100000,"")</f>
        <v/>
      </c>
    </row>
    <row r="3746">
      <c r="G3746" s="11" t="n"/>
      <c r="Q3746" s="7">
        <f>IF($E3746="","",P3746*Y3746/100)</f>
        <v/>
      </c>
      <c r="R3746" s="7" t="n"/>
      <c r="X3746" s="7" t="n"/>
      <c r="Y3746" s="7" t="n"/>
      <c r="AB3746">
        <f>IF($E3746="","",IF($AQ3746=1,0,IF($AP3746=1,Settings!$C$6,Settings!$C$7))*100)</f>
        <v/>
      </c>
      <c r="AC3746" s="7">
        <f>IF($E3746="","",Y3746*AB3746/100)</f>
        <v/>
      </c>
      <c r="AD3746" s="7">
        <f>IF($E3746="","",Y3746-AC3746)</f>
        <v/>
      </c>
      <c r="AE3746" s="7">
        <f>IF($E3746="","",AD3746-Q3746)</f>
        <v/>
      </c>
      <c r="AI3746" s="7" t="n"/>
      <c r="AL3746" s="11" t="n"/>
      <c r="AN3746">
        <f>IF($E3746="","",IF(COUNTIF($E$2:$E3746,$E3746)=1,1,0))</f>
        <v/>
      </c>
      <c r="AO3746">
        <f>IF($AN3746=1,SUMPRODUCT(--($AR$2:$AR$4001&lt;$AR3746))+1,"")</f>
        <v/>
      </c>
      <c r="AP3746">
        <f>IF($E3746="","",IF(OR($U3746=TRUE(),$U3746="TRUE"),1,0))</f>
        <v/>
      </c>
      <c r="AQ3746">
        <f>IF($E3746="","",IF($AA3746="Yes",1,0))</f>
        <v/>
      </c>
      <c r="AR3746">
        <f>IF($AN3746=1,IFERROR(VALUE(MID($E3746,2,20)),1000000000)+ROW()/100000,"")</f>
        <v/>
      </c>
    </row>
    <row r="3747">
      <c r="G3747" s="11" t="n"/>
      <c r="Q3747" s="7">
        <f>IF($E3747="","",P3747*Y3747/100)</f>
        <v/>
      </c>
      <c r="R3747" s="7" t="n"/>
      <c r="X3747" s="7" t="n"/>
      <c r="Y3747" s="7" t="n"/>
      <c r="AB3747">
        <f>IF($E3747="","",IF($AQ3747=1,0,IF($AP3747=1,Settings!$C$6,Settings!$C$7))*100)</f>
        <v/>
      </c>
      <c r="AC3747" s="7">
        <f>IF($E3747="","",Y3747*AB3747/100)</f>
        <v/>
      </c>
      <c r="AD3747" s="7">
        <f>IF($E3747="","",Y3747-AC3747)</f>
        <v/>
      </c>
      <c r="AE3747" s="7">
        <f>IF($E3747="","",AD3747-Q3747)</f>
        <v/>
      </c>
      <c r="AI3747" s="7" t="n"/>
      <c r="AL3747" s="11" t="n"/>
      <c r="AN3747">
        <f>IF($E3747="","",IF(COUNTIF($E$2:$E3747,$E3747)=1,1,0))</f>
        <v/>
      </c>
      <c r="AO3747">
        <f>IF($AN3747=1,SUMPRODUCT(--($AR$2:$AR$4001&lt;$AR3747))+1,"")</f>
        <v/>
      </c>
      <c r="AP3747">
        <f>IF($E3747="","",IF(OR($U3747=TRUE(),$U3747="TRUE"),1,0))</f>
        <v/>
      </c>
      <c r="AQ3747">
        <f>IF($E3747="","",IF($AA3747="Yes",1,0))</f>
        <v/>
      </c>
      <c r="AR3747">
        <f>IF($AN3747=1,IFERROR(VALUE(MID($E3747,2,20)),1000000000)+ROW()/100000,"")</f>
        <v/>
      </c>
    </row>
    <row r="3748">
      <c r="G3748" s="11" t="n"/>
      <c r="Q3748" s="7">
        <f>IF($E3748="","",P3748*Y3748/100)</f>
        <v/>
      </c>
      <c r="R3748" s="7" t="n"/>
      <c r="X3748" s="7" t="n"/>
      <c r="Y3748" s="7" t="n"/>
      <c r="AB3748">
        <f>IF($E3748="","",IF($AQ3748=1,0,IF($AP3748=1,Settings!$C$6,Settings!$C$7))*100)</f>
        <v/>
      </c>
      <c r="AC3748" s="7">
        <f>IF($E3748="","",Y3748*AB3748/100)</f>
        <v/>
      </c>
      <c r="AD3748" s="7">
        <f>IF($E3748="","",Y3748-AC3748)</f>
        <v/>
      </c>
      <c r="AE3748" s="7">
        <f>IF($E3748="","",AD3748-Q3748)</f>
        <v/>
      </c>
      <c r="AI3748" s="7" t="n"/>
      <c r="AL3748" s="11" t="n"/>
      <c r="AN3748">
        <f>IF($E3748="","",IF(COUNTIF($E$2:$E3748,$E3748)=1,1,0))</f>
        <v/>
      </c>
      <c r="AO3748">
        <f>IF($AN3748=1,SUMPRODUCT(--($AR$2:$AR$4001&lt;$AR3748))+1,"")</f>
        <v/>
      </c>
      <c r="AP3748">
        <f>IF($E3748="","",IF(OR($U3748=TRUE(),$U3748="TRUE"),1,0))</f>
        <v/>
      </c>
      <c r="AQ3748">
        <f>IF($E3748="","",IF($AA3748="Yes",1,0))</f>
        <v/>
      </c>
      <c r="AR3748">
        <f>IF($AN3748=1,IFERROR(VALUE(MID($E3748,2,20)),1000000000)+ROW()/100000,"")</f>
        <v/>
      </c>
    </row>
    <row r="3749">
      <c r="G3749" s="11" t="n"/>
      <c r="Q3749" s="7">
        <f>IF($E3749="","",P3749*Y3749/100)</f>
        <v/>
      </c>
      <c r="R3749" s="7" t="n"/>
      <c r="X3749" s="7" t="n"/>
      <c r="Y3749" s="7" t="n"/>
      <c r="AB3749">
        <f>IF($E3749="","",IF($AQ3749=1,0,IF($AP3749=1,Settings!$C$6,Settings!$C$7))*100)</f>
        <v/>
      </c>
      <c r="AC3749" s="7">
        <f>IF($E3749="","",Y3749*AB3749/100)</f>
        <v/>
      </c>
      <c r="AD3749" s="7">
        <f>IF($E3749="","",Y3749-AC3749)</f>
        <v/>
      </c>
      <c r="AE3749" s="7">
        <f>IF($E3749="","",AD3749-Q3749)</f>
        <v/>
      </c>
      <c r="AI3749" s="7" t="n"/>
      <c r="AL3749" s="11" t="n"/>
      <c r="AN3749">
        <f>IF($E3749="","",IF(COUNTIF($E$2:$E3749,$E3749)=1,1,0))</f>
        <v/>
      </c>
      <c r="AO3749">
        <f>IF($AN3749=1,SUMPRODUCT(--($AR$2:$AR$4001&lt;$AR3749))+1,"")</f>
        <v/>
      </c>
      <c r="AP3749">
        <f>IF($E3749="","",IF(OR($U3749=TRUE(),$U3749="TRUE"),1,0))</f>
        <v/>
      </c>
      <c r="AQ3749">
        <f>IF($E3749="","",IF($AA3749="Yes",1,0))</f>
        <v/>
      </c>
      <c r="AR3749">
        <f>IF($AN3749=1,IFERROR(VALUE(MID($E3749,2,20)),1000000000)+ROW()/100000,"")</f>
        <v/>
      </c>
    </row>
    <row r="3750">
      <c r="G3750" s="11" t="n"/>
      <c r="Q3750" s="7">
        <f>IF($E3750="","",P3750*Y3750/100)</f>
        <v/>
      </c>
      <c r="R3750" s="7" t="n"/>
      <c r="X3750" s="7" t="n"/>
      <c r="Y3750" s="7" t="n"/>
      <c r="AB3750">
        <f>IF($E3750="","",IF($AQ3750=1,0,IF($AP3750=1,Settings!$C$6,Settings!$C$7))*100)</f>
        <v/>
      </c>
      <c r="AC3750" s="7">
        <f>IF($E3750="","",Y3750*AB3750/100)</f>
        <v/>
      </c>
      <c r="AD3750" s="7">
        <f>IF($E3750="","",Y3750-AC3750)</f>
        <v/>
      </c>
      <c r="AE3750" s="7">
        <f>IF($E3750="","",AD3750-Q3750)</f>
        <v/>
      </c>
      <c r="AI3750" s="7" t="n"/>
      <c r="AL3750" s="11" t="n"/>
      <c r="AN3750">
        <f>IF($E3750="","",IF(COUNTIF($E$2:$E3750,$E3750)=1,1,0))</f>
        <v/>
      </c>
      <c r="AO3750">
        <f>IF($AN3750=1,SUMPRODUCT(--($AR$2:$AR$4001&lt;$AR3750))+1,"")</f>
        <v/>
      </c>
      <c r="AP3750">
        <f>IF($E3750="","",IF(OR($U3750=TRUE(),$U3750="TRUE"),1,0))</f>
        <v/>
      </c>
      <c r="AQ3750">
        <f>IF($E3750="","",IF($AA3750="Yes",1,0))</f>
        <v/>
      </c>
      <c r="AR3750">
        <f>IF($AN3750=1,IFERROR(VALUE(MID($E3750,2,20)),1000000000)+ROW()/100000,"")</f>
        <v/>
      </c>
    </row>
    <row r="3751">
      <c r="G3751" s="11" t="n"/>
      <c r="Q3751" s="7">
        <f>IF($E3751="","",P3751*Y3751/100)</f>
        <v/>
      </c>
      <c r="R3751" s="7" t="n"/>
      <c r="X3751" s="7" t="n"/>
      <c r="Y3751" s="7" t="n"/>
      <c r="AB3751">
        <f>IF($E3751="","",IF($AQ3751=1,0,IF($AP3751=1,Settings!$C$6,Settings!$C$7))*100)</f>
        <v/>
      </c>
      <c r="AC3751" s="7">
        <f>IF($E3751="","",Y3751*AB3751/100)</f>
        <v/>
      </c>
      <c r="AD3751" s="7">
        <f>IF($E3751="","",Y3751-AC3751)</f>
        <v/>
      </c>
      <c r="AE3751" s="7">
        <f>IF($E3751="","",AD3751-Q3751)</f>
        <v/>
      </c>
      <c r="AI3751" s="7" t="n"/>
      <c r="AL3751" s="11" t="n"/>
      <c r="AN3751">
        <f>IF($E3751="","",IF(COUNTIF($E$2:$E3751,$E3751)=1,1,0))</f>
        <v/>
      </c>
      <c r="AO3751">
        <f>IF($AN3751=1,SUMPRODUCT(--($AR$2:$AR$4001&lt;$AR3751))+1,"")</f>
        <v/>
      </c>
      <c r="AP3751">
        <f>IF($E3751="","",IF(OR($U3751=TRUE(),$U3751="TRUE"),1,0))</f>
        <v/>
      </c>
      <c r="AQ3751">
        <f>IF($E3751="","",IF($AA3751="Yes",1,0))</f>
        <v/>
      </c>
      <c r="AR3751">
        <f>IF($AN3751=1,IFERROR(VALUE(MID($E3751,2,20)),1000000000)+ROW()/100000,"")</f>
        <v/>
      </c>
    </row>
    <row r="3752">
      <c r="G3752" s="11" t="n"/>
      <c r="Q3752" s="7">
        <f>IF($E3752="","",P3752*Y3752/100)</f>
        <v/>
      </c>
      <c r="R3752" s="7" t="n"/>
      <c r="X3752" s="7" t="n"/>
      <c r="Y3752" s="7" t="n"/>
      <c r="AB3752">
        <f>IF($E3752="","",IF($AQ3752=1,0,IF($AP3752=1,Settings!$C$6,Settings!$C$7))*100)</f>
        <v/>
      </c>
      <c r="AC3752" s="7">
        <f>IF($E3752="","",Y3752*AB3752/100)</f>
        <v/>
      </c>
      <c r="AD3752" s="7">
        <f>IF($E3752="","",Y3752-AC3752)</f>
        <v/>
      </c>
      <c r="AE3752" s="7">
        <f>IF($E3752="","",AD3752-Q3752)</f>
        <v/>
      </c>
      <c r="AI3752" s="7" t="n"/>
      <c r="AL3752" s="11" t="n"/>
      <c r="AN3752">
        <f>IF($E3752="","",IF(COUNTIF($E$2:$E3752,$E3752)=1,1,0))</f>
        <v/>
      </c>
      <c r="AO3752">
        <f>IF($AN3752=1,SUMPRODUCT(--($AR$2:$AR$4001&lt;$AR3752))+1,"")</f>
        <v/>
      </c>
      <c r="AP3752">
        <f>IF($E3752="","",IF(OR($U3752=TRUE(),$U3752="TRUE"),1,0))</f>
        <v/>
      </c>
      <c r="AQ3752">
        <f>IF($E3752="","",IF($AA3752="Yes",1,0))</f>
        <v/>
      </c>
      <c r="AR3752">
        <f>IF($AN3752=1,IFERROR(VALUE(MID($E3752,2,20)),1000000000)+ROW()/100000,"")</f>
        <v/>
      </c>
    </row>
    <row r="3753">
      <c r="G3753" s="11" t="n"/>
      <c r="Q3753" s="7">
        <f>IF($E3753="","",P3753*Y3753/100)</f>
        <v/>
      </c>
      <c r="R3753" s="7" t="n"/>
      <c r="X3753" s="7" t="n"/>
      <c r="Y3753" s="7" t="n"/>
      <c r="AB3753">
        <f>IF($E3753="","",IF($AQ3753=1,0,IF($AP3753=1,Settings!$C$6,Settings!$C$7))*100)</f>
        <v/>
      </c>
      <c r="AC3753" s="7">
        <f>IF($E3753="","",Y3753*AB3753/100)</f>
        <v/>
      </c>
      <c r="AD3753" s="7">
        <f>IF($E3753="","",Y3753-AC3753)</f>
        <v/>
      </c>
      <c r="AE3753" s="7">
        <f>IF($E3753="","",AD3753-Q3753)</f>
        <v/>
      </c>
      <c r="AI3753" s="7" t="n"/>
      <c r="AL3753" s="11" t="n"/>
      <c r="AN3753">
        <f>IF($E3753="","",IF(COUNTIF($E$2:$E3753,$E3753)=1,1,0))</f>
        <v/>
      </c>
      <c r="AO3753">
        <f>IF($AN3753=1,SUMPRODUCT(--($AR$2:$AR$4001&lt;$AR3753))+1,"")</f>
        <v/>
      </c>
      <c r="AP3753">
        <f>IF($E3753="","",IF(OR($U3753=TRUE(),$U3753="TRUE"),1,0))</f>
        <v/>
      </c>
      <c r="AQ3753">
        <f>IF($E3753="","",IF($AA3753="Yes",1,0))</f>
        <v/>
      </c>
      <c r="AR3753">
        <f>IF($AN3753=1,IFERROR(VALUE(MID($E3753,2,20)),1000000000)+ROW()/100000,"")</f>
        <v/>
      </c>
    </row>
    <row r="3754">
      <c r="G3754" s="11" t="n"/>
      <c r="Q3754" s="7">
        <f>IF($E3754="","",P3754*Y3754/100)</f>
        <v/>
      </c>
      <c r="R3754" s="7" t="n"/>
      <c r="X3754" s="7" t="n"/>
      <c r="Y3754" s="7" t="n"/>
      <c r="AB3754">
        <f>IF($E3754="","",IF($AQ3754=1,0,IF($AP3754=1,Settings!$C$6,Settings!$C$7))*100)</f>
        <v/>
      </c>
      <c r="AC3754" s="7">
        <f>IF($E3754="","",Y3754*AB3754/100)</f>
        <v/>
      </c>
      <c r="AD3754" s="7">
        <f>IF($E3754="","",Y3754-AC3754)</f>
        <v/>
      </c>
      <c r="AE3754" s="7">
        <f>IF($E3754="","",AD3754-Q3754)</f>
        <v/>
      </c>
      <c r="AI3754" s="7" t="n"/>
      <c r="AL3754" s="11" t="n"/>
      <c r="AN3754">
        <f>IF($E3754="","",IF(COUNTIF($E$2:$E3754,$E3754)=1,1,0))</f>
        <v/>
      </c>
      <c r="AO3754">
        <f>IF($AN3754=1,SUMPRODUCT(--($AR$2:$AR$4001&lt;$AR3754))+1,"")</f>
        <v/>
      </c>
      <c r="AP3754">
        <f>IF($E3754="","",IF(OR($U3754=TRUE(),$U3754="TRUE"),1,0))</f>
        <v/>
      </c>
      <c r="AQ3754">
        <f>IF($E3754="","",IF($AA3754="Yes",1,0))</f>
        <v/>
      </c>
      <c r="AR3754">
        <f>IF($AN3754=1,IFERROR(VALUE(MID($E3754,2,20)),1000000000)+ROW()/100000,"")</f>
        <v/>
      </c>
    </row>
    <row r="3755">
      <c r="G3755" s="11" t="n"/>
      <c r="Q3755" s="7">
        <f>IF($E3755="","",P3755*Y3755/100)</f>
        <v/>
      </c>
      <c r="R3755" s="7" t="n"/>
      <c r="X3755" s="7" t="n"/>
      <c r="Y3755" s="7" t="n"/>
      <c r="AB3755">
        <f>IF($E3755="","",IF($AQ3755=1,0,IF($AP3755=1,Settings!$C$6,Settings!$C$7))*100)</f>
        <v/>
      </c>
      <c r="AC3755" s="7">
        <f>IF($E3755="","",Y3755*AB3755/100)</f>
        <v/>
      </c>
      <c r="AD3755" s="7">
        <f>IF($E3755="","",Y3755-AC3755)</f>
        <v/>
      </c>
      <c r="AE3755" s="7">
        <f>IF($E3755="","",AD3755-Q3755)</f>
        <v/>
      </c>
      <c r="AI3755" s="7" t="n"/>
      <c r="AL3755" s="11" t="n"/>
      <c r="AN3755">
        <f>IF($E3755="","",IF(COUNTIF($E$2:$E3755,$E3755)=1,1,0))</f>
        <v/>
      </c>
      <c r="AO3755">
        <f>IF($AN3755=1,SUMPRODUCT(--($AR$2:$AR$4001&lt;$AR3755))+1,"")</f>
        <v/>
      </c>
      <c r="AP3755">
        <f>IF($E3755="","",IF(OR($U3755=TRUE(),$U3755="TRUE"),1,0))</f>
        <v/>
      </c>
      <c r="AQ3755">
        <f>IF($E3755="","",IF($AA3755="Yes",1,0))</f>
        <v/>
      </c>
      <c r="AR3755">
        <f>IF($AN3755=1,IFERROR(VALUE(MID($E3755,2,20)),1000000000)+ROW()/100000,"")</f>
        <v/>
      </c>
    </row>
    <row r="3756">
      <c r="G3756" s="11" t="n"/>
      <c r="Q3756" s="7">
        <f>IF($E3756="","",P3756*Y3756/100)</f>
        <v/>
      </c>
      <c r="R3756" s="7" t="n"/>
      <c r="X3756" s="7" t="n"/>
      <c r="Y3756" s="7" t="n"/>
      <c r="AB3756">
        <f>IF($E3756="","",IF($AQ3756=1,0,IF($AP3756=1,Settings!$C$6,Settings!$C$7))*100)</f>
        <v/>
      </c>
      <c r="AC3756" s="7">
        <f>IF($E3756="","",Y3756*AB3756/100)</f>
        <v/>
      </c>
      <c r="AD3756" s="7">
        <f>IF($E3756="","",Y3756-AC3756)</f>
        <v/>
      </c>
      <c r="AE3756" s="7">
        <f>IF($E3756="","",AD3756-Q3756)</f>
        <v/>
      </c>
      <c r="AI3756" s="7" t="n"/>
      <c r="AL3756" s="11" t="n"/>
      <c r="AN3756">
        <f>IF($E3756="","",IF(COUNTIF($E$2:$E3756,$E3756)=1,1,0))</f>
        <v/>
      </c>
      <c r="AO3756">
        <f>IF($AN3756=1,SUMPRODUCT(--($AR$2:$AR$4001&lt;$AR3756))+1,"")</f>
        <v/>
      </c>
      <c r="AP3756">
        <f>IF($E3756="","",IF(OR($U3756=TRUE(),$U3756="TRUE"),1,0))</f>
        <v/>
      </c>
      <c r="AQ3756">
        <f>IF($E3756="","",IF($AA3756="Yes",1,0))</f>
        <v/>
      </c>
      <c r="AR3756">
        <f>IF($AN3756=1,IFERROR(VALUE(MID($E3756,2,20)),1000000000)+ROW()/100000,"")</f>
        <v/>
      </c>
    </row>
    <row r="3757">
      <c r="G3757" s="11" t="n"/>
      <c r="Q3757" s="7">
        <f>IF($E3757="","",P3757*Y3757/100)</f>
        <v/>
      </c>
      <c r="R3757" s="7" t="n"/>
      <c r="X3757" s="7" t="n"/>
      <c r="Y3757" s="7" t="n"/>
      <c r="AB3757">
        <f>IF($E3757="","",IF($AQ3757=1,0,IF($AP3757=1,Settings!$C$6,Settings!$C$7))*100)</f>
        <v/>
      </c>
      <c r="AC3757" s="7">
        <f>IF($E3757="","",Y3757*AB3757/100)</f>
        <v/>
      </c>
      <c r="AD3757" s="7">
        <f>IF($E3757="","",Y3757-AC3757)</f>
        <v/>
      </c>
      <c r="AE3757" s="7">
        <f>IF($E3757="","",AD3757-Q3757)</f>
        <v/>
      </c>
      <c r="AI3757" s="7" t="n"/>
      <c r="AL3757" s="11" t="n"/>
      <c r="AN3757">
        <f>IF($E3757="","",IF(COUNTIF($E$2:$E3757,$E3757)=1,1,0))</f>
        <v/>
      </c>
      <c r="AO3757">
        <f>IF($AN3757=1,SUMPRODUCT(--($AR$2:$AR$4001&lt;$AR3757))+1,"")</f>
        <v/>
      </c>
      <c r="AP3757">
        <f>IF($E3757="","",IF(OR($U3757=TRUE(),$U3757="TRUE"),1,0))</f>
        <v/>
      </c>
      <c r="AQ3757">
        <f>IF($E3757="","",IF($AA3757="Yes",1,0))</f>
        <v/>
      </c>
      <c r="AR3757">
        <f>IF($AN3757=1,IFERROR(VALUE(MID($E3757,2,20)),1000000000)+ROW()/100000,"")</f>
        <v/>
      </c>
    </row>
    <row r="3758">
      <c r="G3758" s="11" t="n"/>
      <c r="Q3758" s="7">
        <f>IF($E3758="","",P3758*Y3758/100)</f>
        <v/>
      </c>
      <c r="R3758" s="7" t="n"/>
      <c r="X3758" s="7" t="n"/>
      <c r="Y3758" s="7" t="n"/>
      <c r="AB3758">
        <f>IF($E3758="","",IF($AQ3758=1,0,IF($AP3758=1,Settings!$C$6,Settings!$C$7))*100)</f>
        <v/>
      </c>
      <c r="AC3758" s="7">
        <f>IF($E3758="","",Y3758*AB3758/100)</f>
        <v/>
      </c>
      <c r="AD3758" s="7">
        <f>IF($E3758="","",Y3758-AC3758)</f>
        <v/>
      </c>
      <c r="AE3758" s="7">
        <f>IF($E3758="","",AD3758-Q3758)</f>
        <v/>
      </c>
      <c r="AI3758" s="7" t="n"/>
      <c r="AL3758" s="11" t="n"/>
      <c r="AN3758">
        <f>IF($E3758="","",IF(COUNTIF($E$2:$E3758,$E3758)=1,1,0))</f>
        <v/>
      </c>
      <c r="AO3758">
        <f>IF($AN3758=1,SUMPRODUCT(--($AR$2:$AR$4001&lt;$AR3758))+1,"")</f>
        <v/>
      </c>
      <c r="AP3758">
        <f>IF($E3758="","",IF(OR($U3758=TRUE(),$U3758="TRUE"),1,0))</f>
        <v/>
      </c>
      <c r="AQ3758">
        <f>IF($E3758="","",IF($AA3758="Yes",1,0))</f>
        <v/>
      </c>
      <c r="AR3758">
        <f>IF($AN3758=1,IFERROR(VALUE(MID($E3758,2,20)),1000000000)+ROW()/100000,"")</f>
        <v/>
      </c>
    </row>
    <row r="3759">
      <c r="G3759" s="11" t="n"/>
      <c r="Q3759" s="7">
        <f>IF($E3759="","",P3759*Y3759/100)</f>
        <v/>
      </c>
      <c r="R3759" s="7" t="n"/>
      <c r="X3759" s="7" t="n"/>
      <c r="Y3759" s="7" t="n"/>
      <c r="AB3759">
        <f>IF($E3759="","",IF($AQ3759=1,0,IF($AP3759=1,Settings!$C$6,Settings!$C$7))*100)</f>
        <v/>
      </c>
      <c r="AC3759" s="7">
        <f>IF($E3759="","",Y3759*AB3759/100)</f>
        <v/>
      </c>
      <c r="AD3759" s="7">
        <f>IF($E3759="","",Y3759-AC3759)</f>
        <v/>
      </c>
      <c r="AE3759" s="7">
        <f>IF($E3759="","",AD3759-Q3759)</f>
        <v/>
      </c>
      <c r="AI3759" s="7" t="n"/>
      <c r="AL3759" s="11" t="n"/>
      <c r="AN3759">
        <f>IF($E3759="","",IF(COUNTIF($E$2:$E3759,$E3759)=1,1,0))</f>
        <v/>
      </c>
      <c r="AO3759">
        <f>IF($AN3759=1,SUMPRODUCT(--($AR$2:$AR$4001&lt;$AR3759))+1,"")</f>
        <v/>
      </c>
      <c r="AP3759">
        <f>IF($E3759="","",IF(OR($U3759=TRUE(),$U3759="TRUE"),1,0))</f>
        <v/>
      </c>
      <c r="AQ3759">
        <f>IF($E3759="","",IF($AA3759="Yes",1,0))</f>
        <v/>
      </c>
      <c r="AR3759">
        <f>IF($AN3759=1,IFERROR(VALUE(MID($E3759,2,20)),1000000000)+ROW()/100000,"")</f>
        <v/>
      </c>
    </row>
    <row r="3760">
      <c r="G3760" s="11" t="n"/>
      <c r="Q3760" s="7">
        <f>IF($E3760="","",P3760*Y3760/100)</f>
        <v/>
      </c>
      <c r="R3760" s="7" t="n"/>
      <c r="X3760" s="7" t="n"/>
      <c r="Y3760" s="7" t="n"/>
      <c r="AB3760">
        <f>IF($E3760="","",IF($AQ3760=1,0,IF($AP3760=1,Settings!$C$6,Settings!$C$7))*100)</f>
        <v/>
      </c>
      <c r="AC3760" s="7">
        <f>IF($E3760="","",Y3760*AB3760/100)</f>
        <v/>
      </c>
      <c r="AD3760" s="7">
        <f>IF($E3760="","",Y3760-AC3760)</f>
        <v/>
      </c>
      <c r="AE3760" s="7">
        <f>IF($E3760="","",AD3760-Q3760)</f>
        <v/>
      </c>
      <c r="AI3760" s="7" t="n"/>
      <c r="AL3760" s="11" t="n"/>
      <c r="AN3760">
        <f>IF($E3760="","",IF(COUNTIF($E$2:$E3760,$E3760)=1,1,0))</f>
        <v/>
      </c>
      <c r="AO3760">
        <f>IF($AN3760=1,SUMPRODUCT(--($AR$2:$AR$4001&lt;$AR3760))+1,"")</f>
        <v/>
      </c>
      <c r="AP3760">
        <f>IF($E3760="","",IF(OR($U3760=TRUE(),$U3760="TRUE"),1,0))</f>
        <v/>
      </c>
      <c r="AQ3760">
        <f>IF($E3760="","",IF($AA3760="Yes",1,0))</f>
        <v/>
      </c>
      <c r="AR3760">
        <f>IF($AN3760=1,IFERROR(VALUE(MID($E3760,2,20)),1000000000)+ROW()/100000,"")</f>
        <v/>
      </c>
    </row>
    <row r="3761">
      <c r="G3761" s="11" t="n"/>
      <c r="Q3761" s="7">
        <f>IF($E3761="","",P3761*Y3761/100)</f>
        <v/>
      </c>
      <c r="R3761" s="7" t="n"/>
      <c r="X3761" s="7" t="n"/>
      <c r="Y3761" s="7" t="n"/>
      <c r="AB3761">
        <f>IF($E3761="","",IF($AQ3761=1,0,IF($AP3761=1,Settings!$C$6,Settings!$C$7))*100)</f>
        <v/>
      </c>
      <c r="AC3761" s="7">
        <f>IF($E3761="","",Y3761*AB3761/100)</f>
        <v/>
      </c>
      <c r="AD3761" s="7">
        <f>IF($E3761="","",Y3761-AC3761)</f>
        <v/>
      </c>
      <c r="AE3761" s="7">
        <f>IF($E3761="","",AD3761-Q3761)</f>
        <v/>
      </c>
      <c r="AI3761" s="7" t="n"/>
      <c r="AL3761" s="11" t="n"/>
      <c r="AN3761">
        <f>IF($E3761="","",IF(COUNTIF($E$2:$E3761,$E3761)=1,1,0))</f>
        <v/>
      </c>
      <c r="AO3761">
        <f>IF($AN3761=1,SUMPRODUCT(--($AR$2:$AR$4001&lt;$AR3761))+1,"")</f>
        <v/>
      </c>
      <c r="AP3761">
        <f>IF($E3761="","",IF(OR($U3761=TRUE(),$U3761="TRUE"),1,0))</f>
        <v/>
      </c>
      <c r="AQ3761">
        <f>IF($E3761="","",IF($AA3761="Yes",1,0))</f>
        <v/>
      </c>
      <c r="AR3761">
        <f>IF($AN3761=1,IFERROR(VALUE(MID($E3761,2,20)),1000000000)+ROW()/100000,"")</f>
        <v/>
      </c>
    </row>
    <row r="3762">
      <c r="G3762" s="11" t="n"/>
      <c r="Q3762" s="7">
        <f>IF($E3762="","",P3762*Y3762/100)</f>
        <v/>
      </c>
      <c r="R3762" s="7" t="n"/>
      <c r="X3762" s="7" t="n"/>
      <c r="Y3762" s="7" t="n"/>
      <c r="AB3762">
        <f>IF($E3762="","",IF($AQ3762=1,0,IF($AP3762=1,Settings!$C$6,Settings!$C$7))*100)</f>
        <v/>
      </c>
      <c r="AC3762" s="7">
        <f>IF($E3762="","",Y3762*AB3762/100)</f>
        <v/>
      </c>
      <c r="AD3762" s="7">
        <f>IF($E3762="","",Y3762-AC3762)</f>
        <v/>
      </c>
      <c r="AE3762" s="7">
        <f>IF($E3762="","",AD3762-Q3762)</f>
        <v/>
      </c>
      <c r="AI3762" s="7" t="n"/>
      <c r="AL3762" s="11" t="n"/>
      <c r="AN3762">
        <f>IF($E3762="","",IF(COUNTIF($E$2:$E3762,$E3762)=1,1,0))</f>
        <v/>
      </c>
      <c r="AO3762">
        <f>IF($AN3762=1,SUMPRODUCT(--($AR$2:$AR$4001&lt;$AR3762))+1,"")</f>
        <v/>
      </c>
      <c r="AP3762">
        <f>IF($E3762="","",IF(OR($U3762=TRUE(),$U3762="TRUE"),1,0))</f>
        <v/>
      </c>
      <c r="AQ3762">
        <f>IF($E3762="","",IF($AA3762="Yes",1,0))</f>
        <v/>
      </c>
      <c r="AR3762">
        <f>IF($AN3762=1,IFERROR(VALUE(MID($E3762,2,20)),1000000000)+ROW()/100000,"")</f>
        <v/>
      </c>
    </row>
    <row r="3763">
      <c r="G3763" s="11" t="n"/>
      <c r="Q3763" s="7">
        <f>IF($E3763="","",P3763*Y3763/100)</f>
        <v/>
      </c>
      <c r="R3763" s="7" t="n"/>
      <c r="X3763" s="7" t="n"/>
      <c r="Y3763" s="7" t="n"/>
      <c r="AB3763">
        <f>IF($E3763="","",IF($AQ3763=1,0,IF($AP3763=1,Settings!$C$6,Settings!$C$7))*100)</f>
        <v/>
      </c>
      <c r="AC3763" s="7">
        <f>IF($E3763="","",Y3763*AB3763/100)</f>
        <v/>
      </c>
      <c r="AD3763" s="7">
        <f>IF($E3763="","",Y3763-AC3763)</f>
        <v/>
      </c>
      <c r="AE3763" s="7">
        <f>IF($E3763="","",AD3763-Q3763)</f>
        <v/>
      </c>
      <c r="AI3763" s="7" t="n"/>
      <c r="AL3763" s="11" t="n"/>
      <c r="AN3763">
        <f>IF($E3763="","",IF(COUNTIF($E$2:$E3763,$E3763)=1,1,0))</f>
        <v/>
      </c>
      <c r="AO3763">
        <f>IF($AN3763=1,SUMPRODUCT(--($AR$2:$AR$4001&lt;$AR3763))+1,"")</f>
        <v/>
      </c>
      <c r="AP3763">
        <f>IF($E3763="","",IF(OR($U3763=TRUE(),$U3763="TRUE"),1,0))</f>
        <v/>
      </c>
      <c r="AQ3763">
        <f>IF($E3763="","",IF($AA3763="Yes",1,0))</f>
        <v/>
      </c>
      <c r="AR3763">
        <f>IF($AN3763=1,IFERROR(VALUE(MID($E3763,2,20)),1000000000)+ROW()/100000,"")</f>
        <v/>
      </c>
    </row>
    <row r="3764">
      <c r="G3764" s="11" t="n"/>
      <c r="Q3764" s="7">
        <f>IF($E3764="","",P3764*Y3764/100)</f>
        <v/>
      </c>
      <c r="R3764" s="7" t="n"/>
      <c r="X3764" s="7" t="n"/>
      <c r="Y3764" s="7" t="n"/>
      <c r="AB3764">
        <f>IF($E3764="","",IF($AQ3764=1,0,IF($AP3764=1,Settings!$C$6,Settings!$C$7))*100)</f>
        <v/>
      </c>
      <c r="AC3764" s="7">
        <f>IF($E3764="","",Y3764*AB3764/100)</f>
        <v/>
      </c>
      <c r="AD3764" s="7">
        <f>IF($E3764="","",Y3764-AC3764)</f>
        <v/>
      </c>
      <c r="AE3764" s="7">
        <f>IF($E3764="","",AD3764-Q3764)</f>
        <v/>
      </c>
      <c r="AI3764" s="7" t="n"/>
      <c r="AL3764" s="11" t="n"/>
      <c r="AN3764">
        <f>IF($E3764="","",IF(COUNTIF($E$2:$E3764,$E3764)=1,1,0))</f>
        <v/>
      </c>
      <c r="AO3764">
        <f>IF($AN3764=1,SUMPRODUCT(--($AR$2:$AR$4001&lt;$AR3764))+1,"")</f>
        <v/>
      </c>
      <c r="AP3764">
        <f>IF($E3764="","",IF(OR($U3764=TRUE(),$U3764="TRUE"),1,0))</f>
        <v/>
      </c>
      <c r="AQ3764">
        <f>IF($E3764="","",IF($AA3764="Yes",1,0))</f>
        <v/>
      </c>
      <c r="AR3764">
        <f>IF($AN3764=1,IFERROR(VALUE(MID($E3764,2,20)),1000000000)+ROW()/100000,"")</f>
        <v/>
      </c>
    </row>
    <row r="3765">
      <c r="G3765" s="11" t="n"/>
      <c r="Q3765" s="7">
        <f>IF($E3765="","",P3765*Y3765/100)</f>
        <v/>
      </c>
      <c r="R3765" s="7" t="n"/>
      <c r="X3765" s="7" t="n"/>
      <c r="Y3765" s="7" t="n"/>
      <c r="AB3765">
        <f>IF($E3765="","",IF($AQ3765=1,0,IF($AP3765=1,Settings!$C$6,Settings!$C$7))*100)</f>
        <v/>
      </c>
      <c r="AC3765" s="7">
        <f>IF($E3765="","",Y3765*AB3765/100)</f>
        <v/>
      </c>
      <c r="AD3765" s="7">
        <f>IF($E3765="","",Y3765-AC3765)</f>
        <v/>
      </c>
      <c r="AE3765" s="7">
        <f>IF($E3765="","",AD3765-Q3765)</f>
        <v/>
      </c>
      <c r="AI3765" s="7" t="n"/>
      <c r="AL3765" s="11" t="n"/>
      <c r="AN3765">
        <f>IF($E3765="","",IF(COUNTIF($E$2:$E3765,$E3765)=1,1,0))</f>
        <v/>
      </c>
      <c r="AO3765">
        <f>IF($AN3765=1,SUMPRODUCT(--($AR$2:$AR$4001&lt;$AR3765))+1,"")</f>
        <v/>
      </c>
      <c r="AP3765">
        <f>IF($E3765="","",IF(OR($U3765=TRUE(),$U3765="TRUE"),1,0))</f>
        <v/>
      </c>
      <c r="AQ3765">
        <f>IF($E3765="","",IF($AA3765="Yes",1,0))</f>
        <v/>
      </c>
      <c r="AR3765">
        <f>IF($AN3765=1,IFERROR(VALUE(MID($E3765,2,20)),1000000000)+ROW()/100000,"")</f>
        <v/>
      </c>
    </row>
    <row r="3766">
      <c r="G3766" s="11" t="n"/>
      <c r="Q3766" s="7">
        <f>IF($E3766="","",P3766*Y3766/100)</f>
        <v/>
      </c>
      <c r="R3766" s="7" t="n"/>
      <c r="X3766" s="7" t="n"/>
      <c r="Y3766" s="7" t="n"/>
      <c r="AB3766">
        <f>IF($E3766="","",IF($AQ3766=1,0,IF($AP3766=1,Settings!$C$6,Settings!$C$7))*100)</f>
        <v/>
      </c>
      <c r="AC3766" s="7">
        <f>IF($E3766="","",Y3766*AB3766/100)</f>
        <v/>
      </c>
      <c r="AD3766" s="7">
        <f>IF($E3766="","",Y3766-AC3766)</f>
        <v/>
      </c>
      <c r="AE3766" s="7">
        <f>IF($E3766="","",AD3766-Q3766)</f>
        <v/>
      </c>
      <c r="AI3766" s="7" t="n"/>
      <c r="AL3766" s="11" t="n"/>
      <c r="AN3766">
        <f>IF($E3766="","",IF(COUNTIF($E$2:$E3766,$E3766)=1,1,0))</f>
        <v/>
      </c>
      <c r="AO3766">
        <f>IF($AN3766=1,SUMPRODUCT(--($AR$2:$AR$4001&lt;$AR3766))+1,"")</f>
        <v/>
      </c>
      <c r="AP3766">
        <f>IF($E3766="","",IF(OR($U3766=TRUE(),$U3766="TRUE"),1,0))</f>
        <v/>
      </c>
      <c r="AQ3766">
        <f>IF($E3766="","",IF($AA3766="Yes",1,0))</f>
        <v/>
      </c>
      <c r="AR3766">
        <f>IF($AN3766=1,IFERROR(VALUE(MID($E3766,2,20)),1000000000)+ROW()/100000,"")</f>
        <v/>
      </c>
    </row>
    <row r="3767">
      <c r="G3767" s="11" t="n"/>
      <c r="Q3767" s="7">
        <f>IF($E3767="","",P3767*Y3767/100)</f>
        <v/>
      </c>
      <c r="R3767" s="7" t="n"/>
      <c r="X3767" s="7" t="n"/>
      <c r="Y3767" s="7" t="n"/>
      <c r="AB3767">
        <f>IF($E3767="","",IF($AQ3767=1,0,IF($AP3767=1,Settings!$C$6,Settings!$C$7))*100)</f>
        <v/>
      </c>
      <c r="AC3767" s="7">
        <f>IF($E3767="","",Y3767*AB3767/100)</f>
        <v/>
      </c>
      <c r="AD3767" s="7">
        <f>IF($E3767="","",Y3767-AC3767)</f>
        <v/>
      </c>
      <c r="AE3767" s="7">
        <f>IF($E3767="","",AD3767-Q3767)</f>
        <v/>
      </c>
      <c r="AI3767" s="7" t="n"/>
      <c r="AL3767" s="11" t="n"/>
      <c r="AN3767">
        <f>IF($E3767="","",IF(COUNTIF($E$2:$E3767,$E3767)=1,1,0))</f>
        <v/>
      </c>
      <c r="AO3767">
        <f>IF($AN3767=1,SUMPRODUCT(--($AR$2:$AR$4001&lt;$AR3767))+1,"")</f>
        <v/>
      </c>
      <c r="AP3767">
        <f>IF($E3767="","",IF(OR($U3767=TRUE(),$U3767="TRUE"),1,0))</f>
        <v/>
      </c>
      <c r="AQ3767">
        <f>IF($E3767="","",IF($AA3767="Yes",1,0))</f>
        <v/>
      </c>
      <c r="AR3767">
        <f>IF($AN3767=1,IFERROR(VALUE(MID($E3767,2,20)),1000000000)+ROW()/100000,"")</f>
        <v/>
      </c>
    </row>
    <row r="3768">
      <c r="G3768" s="11" t="n"/>
      <c r="Q3768" s="7">
        <f>IF($E3768="","",P3768*Y3768/100)</f>
        <v/>
      </c>
      <c r="R3768" s="7" t="n"/>
      <c r="X3768" s="7" t="n"/>
      <c r="Y3768" s="7" t="n"/>
      <c r="AB3768">
        <f>IF($E3768="","",IF($AQ3768=1,0,IF($AP3768=1,Settings!$C$6,Settings!$C$7))*100)</f>
        <v/>
      </c>
      <c r="AC3768" s="7">
        <f>IF($E3768="","",Y3768*AB3768/100)</f>
        <v/>
      </c>
      <c r="AD3768" s="7">
        <f>IF($E3768="","",Y3768-AC3768)</f>
        <v/>
      </c>
      <c r="AE3768" s="7">
        <f>IF($E3768="","",AD3768-Q3768)</f>
        <v/>
      </c>
      <c r="AI3768" s="7" t="n"/>
      <c r="AL3768" s="11" t="n"/>
      <c r="AN3768">
        <f>IF($E3768="","",IF(COUNTIF($E$2:$E3768,$E3768)=1,1,0))</f>
        <v/>
      </c>
      <c r="AO3768">
        <f>IF($AN3768=1,SUMPRODUCT(--($AR$2:$AR$4001&lt;$AR3768))+1,"")</f>
        <v/>
      </c>
      <c r="AP3768">
        <f>IF($E3768="","",IF(OR($U3768=TRUE(),$U3768="TRUE"),1,0))</f>
        <v/>
      </c>
      <c r="AQ3768">
        <f>IF($E3768="","",IF($AA3768="Yes",1,0))</f>
        <v/>
      </c>
      <c r="AR3768">
        <f>IF($AN3768=1,IFERROR(VALUE(MID($E3768,2,20)),1000000000)+ROW()/100000,"")</f>
        <v/>
      </c>
    </row>
    <row r="3769">
      <c r="G3769" s="11" t="n"/>
      <c r="Q3769" s="7">
        <f>IF($E3769="","",P3769*Y3769/100)</f>
        <v/>
      </c>
      <c r="R3769" s="7" t="n"/>
      <c r="X3769" s="7" t="n"/>
      <c r="Y3769" s="7" t="n"/>
      <c r="AB3769">
        <f>IF($E3769="","",IF($AQ3769=1,0,IF($AP3769=1,Settings!$C$6,Settings!$C$7))*100)</f>
        <v/>
      </c>
      <c r="AC3769" s="7">
        <f>IF($E3769="","",Y3769*AB3769/100)</f>
        <v/>
      </c>
      <c r="AD3769" s="7">
        <f>IF($E3769="","",Y3769-AC3769)</f>
        <v/>
      </c>
      <c r="AE3769" s="7">
        <f>IF($E3769="","",AD3769-Q3769)</f>
        <v/>
      </c>
      <c r="AI3769" s="7" t="n"/>
      <c r="AL3769" s="11" t="n"/>
      <c r="AN3769">
        <f>IF($E3769="","",IF(COUNTIF($E$2:$E3769,$E3769)=1,1,0))</f>
        <v/>
      </c>
      <c r="AO3769">
        <f>IF($AN3769=1,SUMPRODUCT(--($AR$2:$AR$4001&lt;$AR3769))+1,"")</f>
        <v/>
      </c>
      <c r="AP3769">
        <f>IF($E3769="","",IF(OR($U3769=TRUE(),$U3769="TRUE"),1,0))</f>
        <v/>
      </c>
      <c r="AQ3769">
        <f>IF($E3769="","",IF($AA3769="Yes",1,0))</f>
        <v/>
      </c>
      <c r="AR3769">
        <f>IF($AN3769=1,IFERROR(VALUE(MID($E3769,2,20)),1000000000)+ROW()/100000,"")</f>
        <v/>
      </c>
    </row>
    <row r="3770">
      <c r="G3770" s="11" t="n"/>
      <c r="Q3770" s="7">
        <f>IF($E3770="","",P3770*Y3770/100)</f>
        <v/>
      </c>
      <c r="R3770" s="7" t="n"/>
      <c r="X3770" s="7" t="n"/>
      <c r="Y3770" s="7" t="n"/>
      <c r="AB3770">
        <f>IF($E3770="","",IF($AQ3770=1,0,IF($AP3770=1,Settings!$C$6,Settings!$C$7))*100)</f>
        <v/>
      </c>
      <c r="AC3770" s="7">
        <f>IF($E3770="","",Y3770*AB3770/100)</f>
        <v/>
      </c>
      <c r="AD3770" s="7">
        <f>IF($E3770="","",Y3770-AC3770)</f>
        <v/>
      </c>
      <c r="AE3770" s="7">
        <f>IF($E3770="","",AD3770-Q3770)</f>
        <v/>
      </c>
      <c r="AI3770" s="7" t="n"/>
      <c r="AL3770" s="11" t="n"/>
      <c r="AN3770">
        <f>IF($E3770="","",IF(COUNTIF($E$2:$E3770,$E3770)=1,1,0))</f>
        <v/>
      </c>
      <c r="AO3770">
        <f>IF($AN3770=1,SUMPRODUCT(--($AR$2:$AR$4001&lt;$AR3770))+1,"")</f>
        <v/>
      </c>
      <c r="AP3770">
        <f>IF($E3770="","",IF(OR($U3770=TRUE(),$U3770="TRUE"),1,0))</f>
        <v/>
      </c>
      <c r="AQ3770">
        <f>IF($E3770="","",IF($AA3770="Yes",1,0))</f>
        <v/>
      </c>
      <c r="AR3770">
        <f>IF($AN3770=1,IFERROR(VALUE(MID($E3770,2,20)),1000000000)+ROW()/100000,"")</f>
        <v/>
      </c>
    </row>
    <row r="3771">
      <c r="G3771" s="11" t="n"/>
      <c r="Q3771" s="7">
        <f>IF($E3771="","",P3771*Y3771/100)</f>
        <v/>
      </c>
      <c r="R3771" s="7" t="n"/>
      <c r="X3771" s="7" t="n"/>
      <c r="Y3771" s="7" t="n"/>
      <c r="AB3771">
        <f>IF($E3771="","",IF($AQ3771=1,0,IF($AP3771=1,Settings!$C$6,Settings!$C$7))*100)</f>
        <v/>
      </c>
      <c r="AC3771" s="7">
        <f>IF($E3771="","",Y3771*AB3771/100)</f>
        <v/>
      </c>
      <c r="AD3771" s="7">
        <f>IF($E3771="","",Y3771-AC3771)</f>
        <v/>
      </c>
      <c r="AE3771" s="7">
        <f>IF($E3771="","",AD3771-Q3771)</f>
        <v/>
      </c>
      <c r="AI3771" s="7" t="n"/>
      <c r="AL3771" s="11" t="n"/>
      <c r="AN3771">
        <f>IF($E3771="","",IF(COUNTIF($E$2:$E3771,$E3771)=1,1,0))</f>
        <v/>
      </c>
      <c r="AO3771">
        <f>IF($AN3771=1,SUMPRODUCT(--($AR$2:$AR$4001&lt;$AR3771))+1,"")</f>
        <v/>
      </c>
      <c r="AP3771">
        <f>IF($E3771="","",IF(OR($U3771=TRUE(),$U3771="TRUE"),1,0))</f>
        <v/>
      </c>
      <c r="AQ3771">
        <f>IF($E3771="","",IF($AA3771="Yes",1,0))</f>
        <v/>
      </c>
      <c r="AR3771">
        <f>IF($AN3771=1,IFERROR(VALUE(MID($E3771,2,20)),1000000000)+ROW()/100000,"")</f>
        <v/>
      </c>
    </row>
    <row r="3772">
      <c r="G3772" s="11" t="n"/>
      <c r="Q3772" s="7">
        <f>IF($E3772="","",P3772*Y3772/100)</f>
        <v/>
      </c>
      <c r="R3772" s="7" t="n"/>
      <c r="X3772" s="7" t="n"/>
      <c r="Y3772" s="7" t="n"/>
      <c r="AB3772">
        <f>IF($E3772="","",IF($AQ3772=1,0,IF($AP3772=1,Settings!$C$6,Settings!$C$7))*100)</f>
        <v/>
      </c>
      <c r="AC3772" s="7">
        <f>IF($E3772="","",Y3772*AB3772/100)</f>
        <v/>
      </c>
      <c r="AD3772" s="7">
        <f>IF($E3772="","",Y3772-AC3772)</f>
        <v/>
      </c>
      <c r="AE3772" s="7">
        <f>IF($E3772="","",AD3772-Q3772)</f>
        <v/>
      </c>
      <c r="AI3772" s="7" t="n"/>
      <c r="AL3772" s="11" t="n"/>
      <c r="AN3772">
        <f>IF($E3772="","",IF(COUNTIF($E$2:$E3772,$E3772)=1,1,0))</f>
        <v/>
      </c>
      <c r="AO3772">
        <f>IF($AN3772=1,SUMPRODUCT(--($AR$2:$AR$4001&lt;$AR3772))+1,"")</f>
        <v/>
      </c>
      <c r="AP3772">
        <f>IF($E3772="","",IF(OR($U3772=TRUE(),$U3772="TRUE"),1,0))</f>
        <v/>
      </c>
      <c r="AQ3772">
        <f>IF($E3772="","",IF($AA3772="Yes",1,0))</f>
        <v/>
      </c>
      <c r="AR3772">
        <f>IF($AN3772=1,IFERROR(VALUE(MID($E3772,2,20)),1000000000)+ROW()/100000,"")</f>
        <v/>
      </c>
    </row>
    <row r="3773">
      <c r="G3773" s="11" t="n"/>
      <c r="Q3773" s="7">
        <f>IF($E3773="","",P3773*Y3773/100)</f>
        <v/>
      </c>
      <c r="R3773" s="7" t="n"/>
      <c r="X3773" s="7" t="n"/>
      <c r="Y3773" s="7" t="n"/>
      <c r="AB3773">
        <f>IF($E3773="","",IF($AQ3773=1,0,IF($AP3773=1,Settings!$C$6,Settings!$C$7))*100)</f>
        <v/>
      </c>
      <c r="AC3773" s="7">
        <f>IF($E3773="","",Y3773*AB3773/100)</f>
        <v/>
      </c>
      <c r="AD3773" s="7">
        <f>IF($E3773="","",Y3773-AC3773)</f>
        <v/>
      </c>
      <c r="AE3773" s="7">
        <f>IF($E3773="","",AD3773-Q3773)</f>
        <v/>
      </c>
      <c r="AI3773" s="7" t="n"/>
      <c r="AL3773" s="11" t="n"/>
      <c r="AN3773">
        <f>IF($E3773="","",IF(COUNTIF($E$2:$E3773,$E3773)=1,1,0))</f>
        <v/>
      </c>
      <c r="AO3773">
        <f>IF($AN3773=1,SUMPRODUCT(--($AR$2:$AR$4001&lt;$AR3773))+1,"")</f>
        <v/>
      </c>
      <c r="AP3773">
        <f>IF($E3773="","",IF(OR($U3773=TRUE(),$U3773="TRUE"),1,0))</f>
        <v/>
      </c>
      <c r="AQ3773">
        <f>IF($E3773="","",IF($AA3773="Yes",1,0))</f>
        <v/>
      </c>
      <c r="AR3773">
        <f>IF($AN3773=1,IFERROR(VALUE(MID($E3773,2,20)),1000000000)+ROW()/100000,"")</f>
        <v/>
      </c>
    </row>
    <row r="3774">
      <c r="G3774" s="11" t="n"/>
      <c r="Q3774" s="7">
        <f>IF($E3774="","",P3774*Y3774/100)</f>
        <v/>
      </c>
      <c r="R3774" s="7" t="n"/>
      <c r="X3774" s="7" t="n"/>
      <c r="Y3774" s="7" t="n"/>
      <c r="AB3774">
        <f>IF($E3774="","",IF($AQ3774=1,0,IF($AP3774=1,Settings!$C$6,Settings!$C$7))*100)</f>
        <v/>
      </c>
      <c r="AC3774" s="7">
        <f>IF($E3774="","",Y3774*AB3774/100)</f>
        <v/>
      </c>
      <c r="AD3774" s="7">
        <f>IF($E3774="","",Y3774-AC3774)</f>
        <v/>
      </c>
      <c r="AE3774" s="7">
        <f>IF($E3774="","",AD3774-Q3774)</f>
        <v/>
      </c>
      <c r="AI3774" s="7" t="n"/>
      <c r="AL3774" s="11" t="n"/>
      <c r="AN3774">
        <f>IF($E3774="","",IF(COUNTIF($E$2:$E3774,$E3774)=1,1,0))</f>
        <v/>
      </c>
      <c r="AO3774">
        <f>IF($AN3774=1,SUMPRODUCT(--($AR$2:$AR$4001&lt;$AR3774))+1,"")</f>
        <v/>
      </c>
      <c r="AP3774">
        <f>IF($E3774="","",IF(OR($U3774=TRUE(),$U3774="TRUE"),1,0))</f>
        <v/>
      </c>
      <c r="AQ3774">
        <f>IF($E3774="","",IF($AA3774="Yes",1,0))</f>
        <v/>
      </c>
      <c r="AR3774">
        <f>IF($AN3774=1,IFERROR(VALUE(MID($E3774,2,20)),1000000000)+ROW()/100000,"")</f>
        <v/>
      </c>
    </row>
    <row r="3775">
      <c r="G3775" s="11" t="n"/>
      <c r="Q3775" s="7">
        <f>IF($E3775="","",P3775*Y3775/100)</f>
        <v/>
      </c>
      <c r="R3775" s="7" t="n"/>
      <c r="X3775" s="7" t="n"/>
      <c r="Y3775" s="7" t="n"/>
      <c r="AB3775">
        <f>IF($E3775="","",IF($AQ3775=1,0,IF($AP3775=1,Settings!$C$6,Settings!$C$7))*100)</f>
        <v/>
      </c>
      <c r="AC3775" s="7">
        <f>IF($E3775="","",Y3775*AB3775/100)</f>
        <v/>
      </c>
      <c r="AD3775" s="7">
        <f>IF($E3775="","",Y3775-AC3775)</f>
        <v/>
      </c>
      <c r="AE3775" s="7">
        <f>IF($E3775="","",AD3775-Q3775)</f>
        <v/>
      </c>
      <c r="AI3775" s="7" t="n"/>
      <c r="AL3775" s="11" t="n"/>
      <c r="AN3775">
        <f>IF($E3775="","",IF(COUNTIF($E$2:$E3775,$E3775)=1,1,0))</f>
        <v/>
      </c>
      <c r="AO3775">
        <f>IF($AN3775=1,SUMPRODUCT(--($AR$2:$AR$4001&lt;$AR3775))+1,"")</f>
        <v/>
      </c>
      <c r="AP3775">
        <f>IF($E3775="","",IF(OR($U3775=TRUE(),$U3775="TRUE"),1,0))</f>
        <v/>
      </c>
      <c r="AQ3775">
        <f>IF($E3775="","",IF($AA3775="Yes",1,0))</f>
        <v/>
      </c>
      <c r="AR3775">
        <f>IF($AN3775=1,IFERROR(VALUE(MID($E3775,2,20)),1000000000)+ROW()/100000,"")</f>
        <v/>
      </c>
    </row>
    <row r="3776">
      <c r="G3776" s="11" t="n"/>
      <c r="Q3776" s="7">
        <f>IF($E3776="","",P3776*Y3776/100)</f>
        <v/>
      </c>
      <c r="R3776" s="7" t="n"/>
      <c r="X3776" s="7" t="n"/>
      <c r="Y3776" s="7" t="n"/>
      <c r="AB3776">
        <f>IF($E3776="","",IF($AQ3776=1,0,IF($AP3776=1,Settings!$C$6,Settings!$C$7))*100)</f>
        <v/>
      </c>
      <c r="AC3776" s="7">
        <f>IF($E3776="","",Y3776*AB3776/100)</f>
        <v/>
      </c>
      <c r="AD3776" s="7">
        <f>IF($E3776="","",Y3776-AC3776)</f>
        <v/>
      </c>
      <c r="AE3776" s="7">
        <f>IF($E3776="","",AD3776-Q3776)</f>
        <v/>
      </c>
      <c r="AI3776" s="7" t="n"/>
      <c r="AL3776" s="11" t="n"/>
      <c r="AN3776">
        <f>IF($E3776="","",IF(COUNTIF($E$2:$E3776,$E3776)=1,1,0))</f>
        <v/>
      </c>
      <c r="AO3776">
        <f>IF($AN3776=1,SUMPRODUCT(--($AR$2:$AR$4001&lt;$AR3776))+1,"")</f>
        <v/>
      </c>
      <c r="AP3776">
        <f>IF($E3776="","",IF(OR($U3776=TRUE(),$U3776="TRUE"),1,0))</f>
        <v/>
      </c>
      <c r="AQ3776">
        <f>IF($E3776="","",IF($AA3776="Yes",1,0))</f>
        <v/>
      </c>
      <c r="AR3776">
        <f>IF($AN3776=1,IFERROR(VALUE(MID($E3776,2,20)),1000000000)+ROW()/100000,"")</f>
        <v/>
      </c>
    </row>
    <row r="3777">
      <c r="G3777" s="11" t="n"/>
      <c r="Q3777" s="7">
        <f>IF($E3777="","",P3777*Y3777/100)</f>
        <v/>
      </c>
      <c r="R3777" s="7" t="n"/>
      <c r="X3777" s="7" t="n"/>
      <c r="Y3777" s="7" t="n"/>
      <c r="AB3777">
        <f>IF($E3777="","",IF($AQ3777=1,0,IF($AP3777=1,Settings!$C$6,Settings!$C$7))*100)</f>
        <v/>
      </c>
      <c r="AC3777" s="7">
        <f>IF($E3777="","",Y3777*AB3777/100)</f>
        <v/>
      </c>
      <c r="AD3777" s="7">
        <f>IF($E3777="","",Y3777-AC3777)</f>
        <v/>
      </c>
      <c r="AE3777" s="7">
        <f>IF($E3777="","",AD3777-Q3777)</f>
        <v/>
      </c>
      <c r="AI3777" s="7" t="n"/>
      <c r="AL3777" s="11" t="n"/>
      <c r="AN3777">
        <f>IF($E3777="","",IF(COUNTIF($E$2:$E3777,$E3777)=1,1,0))</f>
        <v/>
      </c>
      <c r="AO3777">
        <f>IF($AN3777=1,SUMPRODUCT(--($AR$2:$AR$4001&lt;$AR3777))+1,"")</f>
        <v/>
      </c>
      <c r="AP3777">
        <f>IF($E3777="","",IF(OR($U3777=TRUE(),$U3777="TRUE"),1,0))</f>
        <v/>
      </c>
      <c r="AQ3777">
        <f>IF($E3777="","",IF($AA3777="Yes",1,0))</f>
        <v/>
      </c>
      <c r="AR3777">
        <f>IF($AN3777=1,IFERROR(VALUE(MID($E3777,2,20)),1000000000)+ROW()/100000,"")</f>
        <v/>
      </c>
    </row>
    <row r="3778">
      <c r="G3778" s="11" t="n"/>
      <c r="Q3778" s="7">
        <f>IF($E3778="","",P3778*Y3778/100)</f>
        <v/>
      </c>
      <c r="R3778" s="7" t="n"/>
      <c r="X3778" s="7" t="n"/>
      <c r="Y3778" s="7" t="n"/>
      <c r="AB3778">
        <f>IF($E3778="","",IF($AQ3778=1,0,IF($AP3778=1,Settings!$C$6,Settings!$C$7))*100)</f>
        <v/>
      </c>
      <c r="AC3778" s="7">
        <f>IF($E3778="","",Y3778*AB3778/100)</f>
        <v/>
      </c>
      <c r="AD3778" s="7">
        <f>IF($E3778="","",Y3778-AC3778)</f>
        <v/>
      </c>
      <c r="AE3778" s="7">
        <f>IF($E3778="","",AD3778-Q3778)</f>
        <v/>
      </c>
      <c r="AI3778" s="7" t="n"/>
      <c r="AL3778" s="11" t="n"/>
      <c r="AN3778">
        <f>IF($E3778="","",IF(COUNTIF($E$2:$E3778,$E3778)=1,1,0))</f>
        <v/>
      </c>
      <c r="AO3778">
        <f>IF($AN3778=1,SUMPRODUCT(--($AR$2:$AR$4001&lt;$AR3778))+1,"")</f>
        <v/>
      </c>
      <c r="AP3778">
        <f>IF($E3778="","",IF(OR($U3778=TRUE(),$U3778="TRUE"),1,0))</f>
        <v/>
      </c>
      <c r="AQ3778">
        <f>IF($E3778="","",IF($AA3778="Yes",1,0))</f>
        <v/>
      </c>
      <c r="AR3778">
        <f>IF($AN3778=1,IFERROR(VALUE(MID($E3778,2,20)),1000000000)+ROW()/100000,"")</f>
        <v/>
      </c>
    </row>
    <row r="3779">
      <c r="G3779" s="11" t="n"/>
      <c r="Q3779" s="7">
        <f>IF($E3779="","",P3779*Y3779/100)</f>
        <v/>
      </c>
      <c r="R3779" s="7" t="n"/>
      <c r="X3779" s="7" t="n"/>
      <c r="Y3779" s="7" t="n"/>
      <c r="AB3779">
        <f>IF($E3779="","",IF($AQ3779=1,0,IF($AP3779=1,Settings!$C$6,Settings!$C$7))*100)</f>
        <v/>
      </c>
      <c r="AC3779" s="7">
        <f>IF($E3779="","",Y3779*AB3779/100)</f>
        <v/>
      </c>
      <c r="AD3779" s="7">
        <f>IF($E3779="","",Y3779-AC3779)</f>
        <v/>
      </c>
      <c r="AE3779" s="7">
        <f>IF($E3779="","",AD3779-Q3779)</f>
        <v/>
      </c>
      <c r="AI3779" s="7" t="n"/>
      <c r="AL3779" s="11" t="n"/>
      <c r="AN3779">
        <f>IF($E3779="","",IF(COUNTIF($E$2:$E3779,$E3779)=1,1,0))</f>
        <v/>
      </c>
      <c r="AO3779">
        <f>IF($AN3779=1,SUMPRODUCT(--($AR$2:$AR$4001&lt;$AR3779))+1,"")</f>
        <v/>
      </c>
      <c r="AP3779">
        <f>IF($E3779="","",IF(OR($U3779=TRUE(),$U3779="TRUE"),1,0))</f>
        <v/>
      </c>
      <c r="AQ3779">
        <f>IF($E3779="","",IF($AA3779="Yes",1,0))</f>
        <v/>
      </c>
      <c r="AR3779">
        <f>IF($AN3779=1,IFERROR(VALUE(MID($E3779,2,20)),1000000000)+ROW()/100000,"")</f>
        <v/>
      </c>
    </row>
    <row r="3780">
      <c r="G3780" s="11" t="n"/>
      <c r="Q3780" s="7">
        <f>IF($E3780="","",P3780*Y3780/100)</f>
        <v/>
      </c>
      <c r="R3780" s="7" t="n"/>
      <c r="X3780" s="7" t="n"/>
      <c r="Y3780" s="7" t="n"/>
      <c r="AB3780">
        <f>IF($E3780="","",IF($AQ3780=1,0,IF($AP3780=1,Settings!$C$6,Settings!$C$7))*100)</f>
        <v/>
      </c>
      <c r="AC3780" s="7">
        <f>IF($E3780="","",Y3780*AB3780/100)</f>
        <v/>
      </c>
      <c r="AD3780" s="7">
        <f>IF($E3780="","",Y3780-AC3780)</f>
        <v/>
      </c>
      <c r="AE3780" s="7">
        <f>IF($E3780="","",AD3780-Q3780)</f>
        <v/>
      </c>
      <c r="AI3780" s="7" t="n"/>
      <c r="AL3780" s="11" t="n"/>
      <c r="AN3780">
        <f>IF($E3780="","",IF(COUNTIF($E$2:$E3780,$E3780)=1,1,0))</f>
        <v/>
      </c>
      <c r="AO3780">
        <f>IF($AN3780=1,SUMPRODUCT(--($AR$2:$AR$4001&lt;$AR3780))+1,"")</f>
        <v/>
      </c>
      <c r="AP3780">
        <f>IF($E3780="","",IF(OR($U3780=TRUE(),$U3780="TRUE"),1,0))</f>
        <v/>
      </c>
      <c r="AQ3780">
        <f>IF($E3780="","",IF($AA3780="Yes",1,0))</f>
        <v/>
      </c>
      <c r="AR3780">
        <f>IF($AN3780=1,IFERROR(VALUE(MID($E3780,2,20)),1000000000)+ROW()/100000,"")</f>
        <v/>
      </c>
    </row>
    <row r="3781">
      <c r="G3781" s="11" t="n"/>
      <c r="Q3781" s="7">
        <f>IF($E3781="","",P3781*Y3781/100)</f>
        <v/>
      </c>
      <c r="R3781" s="7" t="n"/>
      <c r="X3781" s="7" t="n"/>
      <c r="Y3781" s="7" t="n"/>
      <c r="AB3781">
        <f>IF($E3781="","",IF($AQ3781=1,0,IF($AP3781=1,Settings!$C$6,Settings!$C$7))*100)</f>
        <v/>
      </c>
      <c r="AC3781" s="7">
        <f>IF($E3781="","",Y3781*AB3781/100)</f>
        <v/>
      </c>
      <c r="AD3781" s="7">
        <f>IF($E3781="","",Y3781-AC3781)</f>
        <v/>
      </c>
      <c r="AE3781" s="7">
        <f>IF($E3781="","",AD3781-Q3781)</f>
        <v/>
      </c>
      <c r="AI3781" s="7" t="n"/>
      <c r="AL3781" s="11" t="n"/>
      <c r="AN3781">
        <f>IF($E3781="","",IF(COUNTIF($E$2:$E3781,$E3781)=1,1,0))</f>
        <v/>
      </c>
      <c r="AO3781">
        <f>IF($AN3781=1,SUMPRODUCT(--($AR$2:$AR$4001&lt;$AR3781))+1,"")</f>
        <v/>
      </c>
      <c r="AP3781">
        <f>IF($E3781="","",IF(OR($U3781=TRUE(),$U3781="TRUE"),1,0))</f>
        <v/>
      </c>
      <c r="AQ3781">
        <f>IF($E3781="","",IF($AA3781="Yes",1,0))</f>
        <v/>
      </c>
      <c r="AR3781">
        <f>IF($AN3781=1,IFERROR(VALUE(MID($E3781,2,20)),1000000000)+ROW()/100000,"")</f>
        <v/>
      </c>
    </row>
    <row r="3782">
      <c r="G3782" s="11" t="n"/>
      <c r="Q3782" s="7">
        <f>IF($E3782="","",P3782*Y3782/100)</f>
        <v/>
      </c>
      <c r="R3782" s="7" t="n"/>
      <c r="X3782" s="7" t="n"/>
      <c r="Y3782" s="7" t="n"/>
      <c r="AB3782">
        <f>IF($E3782="","",IF($AQ3782=1,0,IF($AP3782=1,Settings!$C$6,Settings!$C$7))*100)</f>
        <v/>
      </c>
      <c r="AC3782" s="7">
        <f>IF($E3782="","",Y3782*AB3782/100)</f>
        <v/>
      </c>
      <c r="AD3782" s="7">
        <f>IF($E3782="","",Y3782-AC3782)</f>
        <v/>
      </c>
      <c r="AE3782" s="7">
        <f>IF($E3782="","",AD3782-Q3782)</f>
        <v/>
      </c>
      <c r="AI3782" s="7" t="n"/>
      <c r="AL3782" s="11" t="n"/>
      <c r="AN3782">
        <f>IF($E3782="","",IF(COUNTIF($E$2:$E3782,$E3782)=1,1,0))</f>
        <v/>
      </c>
      <c r="AO3782">
        <f>IF($AN3782=1,SUMPRODUCT(--($AR$2:$AR$4001&lt;$AR3782))+1,"")</f>
        <v/>
      </c>
      <c r="AP3782">
        <f>IF($E3782="","",IF(OR($U3782=TRUE(),$U3782="TRUE"),1,0))</f>
        <v/>
      </c>
      <c r="AQ3782">
        <f>IF($E3782="","",IF($AA3782="Yes",1,0))</f>
        <v/>
      </c>
      <c r="AR3782">
        <f>IF($AN3782=1,IFERROR(VALUE(MID($E3782,2,20)),1000000000)+ROW()/100000,"")</f>
        <v/>
      </c>
    </row>
    <row r="3783">
      <c r="G3783" s="11" t="n"/>
      <c r="Q3783" s="7">
        <f>IF($E3783="","",P3783*Y3783/100)</f>
        <v/>
      </c>
      <c r="R3783" s="7" t="n"/>
      <c r="X3783" s="7" t="n"/>
      <c r="Y3783" s="7" t="n"/>
      <c r="AB3783">
        <f>IF($E3783="","",IF($AQ3783=1,0,IF($AP3783=1,Settings!$C$6,Settings!$C$7))*100)</f>
        <v/>
      </c>
      <c r="AC3783" s="7">
        <f>IF($E3783="","",Y3783*AB3783/100)</f>
        <v/>
      </c>
      <c r="AD3783" s="7">
        <f>IF($E3783="","",Y3783-AC3783)</f>
        <v/>
      </c>
      <c r="AE3783" s="7">
        <f>IF($E3783="","",AD3783-Q3783)</f>
        <v/>
      </c>
      <c r="AI3783" s="7" t="n"/>
      <c r="AL3783" s="11" t="n"/>
      <c r="AN3783">
        <f>IF($E3783="","",IF(COUNTIF($E$2:$E3783,$E3783)=1,1,0))</f>
        <v/>
      </c>
      <c r="AO3783">
        <f>IF($AN3783=1,SUMPRODUCT(--($AR$2:$AR$4001&lt;$AR3783))+1,"")</f>
        <v/>
      </c>
      <c r="AP3783">
        <f>IF($E3783="","",IF(OR($U3783=TRUE(),$U3783="TRUE"),1,0))</f>
        <v/>
      </c>
      <c r="AQ3783">
        <f>IF($E3783="","",IF($AA3783="Yes",1,0))</f>
        <v/>
      </c>
      <c r="AR3783">
        <f>IF($AN3783=1,IFERROR(VALUE(MID($E3783,2,20)),1000000000)+ROW()/100000,"")</f>
        <v/>
      </c>
    </row>
    <row r="3784">
      <c r="G3784" s="11" t="n"/>
      <c r="Q3784" s="7">
        <f>IF($E3784="","",P3784*Y3784/100)</f>
        <v/>
      </c>
      <c r="R3784" s="7" t="n"/>
      <c r="X3784" s="7" t="n"/>
      <c r="Y3784" s="7" t="n"/>
      <c r="AB3784">
        <f>IF($E3784="","",IF($AQ3784=1,0,IF($AP3784=1,Settings!$C$6,Settings!$C$7))*100)</f>
        <v/>
      </c>
      <c r="AC3784" s="7">
        <f>IF($E3784="","",Y3784*AB3784/100)</f>
        <v/>
      </c>
      <c r="AD3784" s="7">
        <f>IF($E3784="","",Y3784-AC3784)</f>
        <v/>
      </c>
      <c r="AE3784" s="7">
        <f>IF($E3784="","",AD3784-Q3784)</f>
        <v/>
      </c>
      <c r="AI3784" s="7" t="n"/>
      <c r="AL3784" s="11" t="n"/>
      <c r="AN3784">
        <f>IF($E3784="","",IF(COUNTIF($E$2:$E3784,$E3784)=1,1,0))</f>
        <v/>
      </c>
      <c r="AO3784">
        <f>IF($AN3784=1,SUMPRODUCT(--($AR$2:$AR$4001&lt;$AR3784))+1,"")</f>
        <v/>
      </c>
      <c r="AP3784">
        <f>IF($E3784="","",IF(OR($U3784=TRUE(),$U3784="TRUE"),1,0))</f>
        <v/>
      </c>
      <c r="AQ3784">
        <f>IF($E3784="","",IF($AA3784="Yes",1,0))</f>
        <v/>
      </c>
      <c r="AR3784">
        <f>IF($AN3784=1,IFERROR(VALUE(MID($E3784,2,20)),1000000000)+ROW()/100000,"")</f>
        <v/>
      </c>
    </row>
    <row r="3785">
      <c r="G3785" s="11" t="n"/>
      <c r="Q3785" s="7">
        <f>IF($E3785="","",P3785*Y3785/100)</f>
        <v/>
      </c>
      <c r="R3785" s="7" t="n"/>
      <c r="X3785" s="7" t="n"/>
      <c r="Y3785" s="7" t="n"/>
      <c r="AB3785">
        <f>IF($E3785="","",IF($AQ3785=1,0,IF($AP3785=1,Settings!$C$6,Settings!$C$7))*100)</f>
        <v/>
      </c>
      <c r="AC3785" s="7">
        <f>IF($E3785="","",Y3785*AB3785/100)</f>
        <v/>
      </c>
      <c r="AD3785" s="7">
        <f>IF($E3785="","",Y3785-AC3785)</f>
        <v/>
      </c>
      <c r="AE3785" s="7">
        <f>IF($E3785="","",AD3785-Q3785)</f>
        <v/>
      </c>
      <c r="AI3785" s="7" t="n"/>
      <c r="AL3785" s="11" t="n"/>
      <c r="AN3785">
        <f>IF($E3785="","",IF(COUNTIF($E$2:$E3785,$E3785)=1,1,0))</f>
        <v/>
      </c>
      <c r="AO3785">
        <f>IF($AN3785=1,SUMPRODUCT(--($AR$2:$AR$4001&lt;$AR3785))+1,"")</f>
        <v/>
      </c>
      <c r="AP3785">
        <f>IF($E3785="","",IF(OR($U3785=TRUE(),$U3785="TRUE"),1,0))</f>
        <v/>
      </c>
      <c r="AQ3785">
        <f>IF($E3785="","",IF($AA3785="Yes",1,0))</f>
        <v/>
      </c>
      <c r="AR3785">
        <f>IF($AN3785=1,IFERROR(VALUE(MID($E3785,2,20)),1000000000)+ROW()/100000,"")</f>
        <v/>
      </c>
    </row>
    <row r="3786">
      <c r="G3786" s="11" t="n"/>
      <c r="Q3786" s="7">
        <f>IF($E3786="","",P3786*Y3786/100)</f>
        <v/>
      </c>
      <c r="R3786" s="7" t="n"/>
      <c r="X3786" s="7" t="n"/>
      <c r="Y3786" s="7" t="n"/>
      <c r="AB3786">
        <f>IF($E3786="","",IF($AQ3786=1,0,IF($AP3786=1,Settings!$C$6,Settings!$C$7))*100)</f>
        <v/>
      </c>
      <c r="AC3786" s="7">
        <f>IF($E3786="","",Y3786*AB3786/100)</f>
        <v/>
      </c>
      <c r="AD3786" s="7">
        <f>IF($E3786="","",Y3786-AC3786)</f>
        <v/>
      </c>
      <c r="AE3786" s="7">
        <f>IF($E3786="","",AD3786-Q3786)</f>
        <v/>
      </c>
      <c r="AI3786" s="7" t="n"/>
      <c r="AL3786" s="11" t="n"/>
      <c r="AN3786">
        <f>IF($E3786="","",IF(COUNTIF($E$2:$E3786,$E3786)=1,1,0))</f>
        <v/>
      </c>
      <c r="AO3786">
        <f>IF($AN3786=1,SUMPRODUCT(--($AR$2:$AR$4001&lt;$AR3786))+1,"")</f>
        <v/>
      </c>
      <c r="AP3786">
        <f>IF($E3786="","",IF(OR($U3786=TRUE(),$U3786="TRUE"),1,0))</f>
        <v/>
      </c>
      <c r="AQ3786">
        <f>IF($E3786="","",IF($AA3786="Yes",1,0))</f>
        <v/>
      </c>
      <c r="AR3786">
        <f>IF($AN3786=1,IFERROR(VALUE(MID($E3786,2,20)),1000000000)+ROW()/100000,"")</f>
        <v/>
      </c>
    </row>
    <row r="3787">
      <c r="G3787" s="11" t="n"/>
      <c r="Q3787" s="7">
        <f>IF($E3787="","",P3787*Y3787/100)</f>
        <v/>
      </c>
      <c r="R3787" s="7" t="n"/>
      <c r="X3787" s="7" t="n"/>
      <c r="Y3787" s="7" t="n"/>
      <c r="AB3787">
        <f>IF($E3787="","",IF($AQ3787=1,0,IF($AP3787=1,Settings!$C$6,Settings!$C$7))*100)</f>
        <v/>
      </c>
      <c r="AC3787" s="7">
        <f>IF($E3787="","",Y3787*AB3787/100)</f>
        <v/>
      </c>
      <c r="AD3787" s="7">
        <f>IF($E3787="","",Y3787-AC3787)</f>
        <v/>
      </c>
      <c r="AE3787" s="7">
        <f>IF($E3787="","",AD3787-Q3787)</f>
        <v/>
      </c>
      <c r="AI3787" s="7" t="n"/>
      <c r="AL3787" s="11" t="n"/>
      <c r="AN3787">
        <f>IF($E3787="","",IF(COUNTIF($E$2:$E3787,$E3787)=1,1,0))</f>
        <v/>
      </c>
      <c r="AO3787">
        <f>IF($AN3787=1,SUMPRODUCT(--($AR$2:$AR$4001&lt;$AR3787))+1,"")</f>
        <v/>
      </c>
      <c r="AP3787">
        <f>IF($E3787="","",IF(OR($U3787=TRUE(),$U3787="TRUE"),1,0))</f>
        <v/>
      </c>
      <c r="AQ3787">
        <f>IF($E3787="","",IF($AA3787="Yes",1,0))</f>
        <v/>
      </c>
      <c r="AR3787">
        <f>IF($AN3787=1,IFERROR(VALUE(MID($E3787,2,20)),1000000000)+ROW()/100000,"")</f>
        <v/>
      </c>
    </row>
    <row r="3788">
      <c r="G3788" s="11" t="n"/>
      <c r="Q3788" s="7">
        <f>IF($E3788="","",P3788*Y3788/100)</f>
        <v/>
      </c>
      <c r="R3788" s="7" t="n"/>
      <c r="X3788" s="7" t="n"/>
      <c r="Y3788" s="7" t="n"/>
      <c r="AB3788">
        <f>IF($E3788="","",IF($AQ3788=1,0,IF($AP3788=1,Settings!$C$6,Settings!$C$7))*100)</f>
        <v/>
      </c>
      <c r="AC3788" s="7">
        <f>IF($E3788="","",Y3788*AB3788/100)</f>
        <v/>
      </c>
      <c r="AD3788" s="7">
        <f>IF($E3788="","",Y3788-AC3788)</f>
        <v/>
      </c>
      <c r="AE3788" s="7">
        <f>IF($E3788="","",AD3788-Q3788)</f>
        <v/>
      </c>
      <c r="AI3788" s="7" t="n"/>
      <c r="AL3788" s="11" t="n"/>
      <c r="AN3788">
        <f>IF($E3788="","",IF(COUNTIF($E$2:$E3788,$E3788)=1,1,0))</f>
        <v/>
      </c>
      <c r="AO3788">
        <f>IF($AN3788=1,SUMPRODUCT(--($AR$2:$AR$4001&lt;$AR3788))+1,"")</f>
        <v/>
      </c>
      <c r="AP3788">
        <f>IF($E3788="","",IF(OR($U3788=TRUE(),$U3788="TRUE"),1,0))</f>
        <v/>
      </c>
      <c r="AQ3788">
        <f>IF($E3788="","",IF($AA3788="Yes",1,0))</f>
        <v/>
      </c>
      <c r="AR3788">
        <f>IF($AN3788=1,IFERROR(VALUE(MID($E3788,2,20)),1000000000)+ROW()/100000,"")</f>
        <v/>
      </c>
    </row>
    <row r="3789">
      <c r="G3789" s="11" t="n"/>
      <c r="Q3789" s="7">
        <f>IF($E3789="","",P3789*Y3789/100)</f>
        <v/>
      </c>
      <c r="R3789" s="7" t="n"/>
      <c r="X3789" s="7" t="n"/>
      <c r="Y3789" s="7" t="n"/>
      <c r="AB3789">
        <f>IF($E3789="","",IF($AQ3789=1,0,IF($AP3789=1,Settings!$C$6,Settings!$C$7))*100)</f>
        <v/>
      </c>
      <c r="AC3789" s="7">
        <f>IF($E3789="","",Y3789*AB3789/100)</f>
        <v/>
      </c>
      <c r="AD3789" s="7">
        <f>IF($E3789="","",Y3789-AC3789)</f>
        <v/>
      </c>
      <c r="AE3789" s="7">
        <f>IF($E3789="","",AD3789-Q3789)</f>
        <v/>
      </c>
      <c r="AI3789" s="7" t="n"/>
      <c r="AL3789" s="11" t="n"/>
      <c r="AN3789">
        <f>IF($E3789="","",IF(COUNTIF($E$2:$E3789,$E3789)=1,1,0))</f>
        <v/>
      </c>
      <c r="AO3789">
        <f>IF($AN3789=1,SUMPRODUCT(--($AR$2:$AR$4001&lt;$AR3789))+1,"")</f>
        <v/>
      </c>
      <c r="AP3789">
        <f>IF($E3789="","",IF(OR($U3789=TRUE(),$U3789="TRUE"),1,0))</f>
        <v/>
      </c>
      <c r="AQ3789">
        <f>IF($E3789="","",IF($AA3789="Yes",1,0))</f>
        <v/>
      </c>
      <c r="AR3789">
        <f>IF($AN3789=1,IFERROR(VALUE(MID($E3789,2,20)),1000000000)+ROW()/100000,"")</f>
        <v/>
      </c>
    </row>
    <row r="3790">
      <c r="G3790" s="11" t="n"/>
      <c r="Q3790" s="7">
        <f>IF($E3790="","",P3790*Y3790/100)</f>
        <v/>
      </c>
      <c r="R3790" s="7" t="n"/>
      <c r="X3790" s="7" t="n"/>
      <c r="Y3790" s="7" t="n"/>
      <c r="AB3790">
        <f>IF($E3790="","",IF($AQ3790=1,0,IF($AP3790=1,Settings!$C$6,Settings!$C$7))*100)</f>
        <v/>
      </c>
      <c r="AC3790" s="7">
        <f>IF($E3790="","",Y3790*AB3790/100)</f>
        <v/>
      </c>
      <c r="AD3790" s="7">
        <f>IF($E3790="","",Y3790-AC3790)</f>
        <v/>
      </c>
      <c r="AE3790" s="7">
        <f>IF($E3790="","",AD3790-Q3790)</f>
        <v/>
      </c>
      <c r="AI3790" s="7" t="n"/>
      <c r="AL3790" s="11" t="n"/>
      <c r="AN3790">
        <f>IF($E3790="","",IF(COUNTIF($E$2:$E3790,$E3790)=1,1,0))</f>
        <v/>
      </c>
      <c r="AO3790">
        <f>IF($AN3790=1,SUMPRODUCT(--($AR$2:$AR$4001&lt;$AR3790))+1,"")</f>
        <v/>
      </c>
      <c r="AP3790">
        <f>IF($E3790="","",IF(OR($U3790=TRUE(),$U3790="TRUE"),1,0))</f>
        <v/>
      </c>
      <c r="AQ3790">
        <f>IF($E3790="","",IF($AA3790="Yes",1,0))</f>
        <v/>
      </c>
      <c r="AR3790">
        <f>IF($AN3790=1,IFERROR(VALUE(MID($E3790,2,20)),1000000000)+ROW()/100000,"")</f>
        <v/>
      </c>
    </row>
    <row r="3791">
      <c r="G3791" s="11" t="n"/>
      <c r="Q3791" s="7">
        <f>IF($E3791="","",P3791*Y3791/100)</f>
        <v/>
      </c>
      <c r="R3791" s="7" t="n"/>
      <c r="X3791" s="7" t="n"/>
      <c r="Y3791" s="7" t="n"/>
      <c r="AB3791">
        <f>IF($E3791="","",IF($AQ3791=1,0,IF($AP3791=1,Settings!$C$6,Settings!$C$7))*100)</f>
        <v/>
      </c>
      <c r="AC3791" s="7">
        <f>IF($E3791="","",Y3791*AB3791/100)</f>
        <v/>
      </c>
      <c r="AD3791" s="7">
        <f>IF($E3791="","",Y3791-AC3791)</f>
        <v/>
      </c>
      <c r="AE3791" s="7">
        <f>IF($E3791="","",AD3791-Q3791)</f>
        <v/>
      </c>
      <c r="AI3791" s="7" t="n"/>
      <c r="AL3791" s="11" t="n"/>
      <c r="AN3791">
        <f>IF($E3791="","",IF(COUNTIF($E$2:$E3791,$E3791)=1,1,0))</f>
        <v/>
      </c>
      <c r="AO3791">
        <f>IF($AN3791=1,SUMPRODUCT(--($AR$2:$AR$4001&lt;$AR3791))+1,"")</f>
        <v/>
      </c>
      <c r="AP3791">
        <f>IF($E3791="","",IF(OR($U3791=TRUE(),$U3791="TRUE"),1,0))</f>
        <v/>
      </c>
      <c r="AQ3791">
        <f>IF($E3791="","",IF($AA3791="Yes",1,0))</f>
        <v/>
      </c>
      <c r="AR3791">
        <f>IF($AN3791=1,IFERROR(VALUE(MID($E3791,2,20)),1000000000)+ROW()/100000,"")</f>
        <v/>
      </c>
    </row>
    <row r="3792">
      <c r="G3792" s="11" t="n"/>
      <c r="Q3792" s="7">
        <f>IF($E3792="","",P3792*Y3792/100)</f>
        <v/>
      </c>
      <c r="R3792" s="7" t="n"/>
      <c r="X3792" s="7" t="n"/>
      <c r="Y3792" s="7" t="n"/>
      <c r="AB3792">
        <f>IF($E3792="","",IF($AQ3792=1,0,IF($AP3792=1,Settings!$C$6,Settings!$C$7))*100)</f>
        <v/>
      </c>
      <c r="AC3792" s="7">
        <f>IF($E3792="","",Y3792*AB3792/100)</f>
        <v/>
      </c>
      <c r="AD3792" s="7">
        <f>IF($E3792="","",Y3792-AC3792)</f>
        <v/>
      </c>
      <c r="AE3792" s="7">
        <f>IF($E3792="","",AD3792-Q3792)</f>
        <v/>
      </c>
      <c r="AI3792" s="7" t="n"/>
      <c r="AL3792" s="11" t="n"/>
      <c r="AN3792">
        <f>IF($E3792="","",IF(COUNTIF($E$2:$E3792,$E3792)=1,1,0))</f>
        <v/>
      </c>
      <c r="AO3792">
        <f>IF($AN3792=1,SUMPRODUCT(--($AR$2:$AR$4001&lt;$AR3792))+1,"")</f>
        <v/>
      </c>
      <c r="AP3792">
        <f>IF($E3792="","",IF(OR($U3792=TRUE(),$U3792="TRUE"),1,0))</f>
        <v/>
      </c>
      <c r="AQ3792">
        <f>IF($E3792="","",IF($AA3792="Yes",1,0))</f>
        <v/>
      </c>
      <c r="AR3792">
        <f>IF($AN3792=1,IFERROR(VALUE(MID($E3792,2,20)),1000000000)+ROW()/100000,"")</f>
        <v/>
      </c>
    </row>
    <row r="3793">
      <c r="G3793" s="11" t="n"/>
      <c r="Q3793" s="7">
        <f>IF($E3793="","",P3793*Y3793/100)</f>
        <v/>
      </c>
      <c r="R3793" s="7" t="n"/>
      <c r="X3793" s="7" t="n"/>
      <c r="Y3793" s="7" t="n"/>
      <c r="AB3793">
        <f>IF($E3793="","",IF($AQ3793=1,0,IF($AP3793=1,Settings!$C$6,Settings!$C$7))*100)</f>
        <v/>
      </c>
      <c r="AC3793" s="7">
        <f>IF($E3793="","",Y3793*AB3793/100)</f>
        <v/>
      </c>
      <c r="AD3793" s="7">
        <f>IF($E3793="","",Y3793-AC3793)</f>
        <v/>
      </c>
      <c r="AE3793" s="7">
        <f>IF($E3793="","",AD3793-Q3793)</f>
        <v/>
      </c>
      <c r="AI3793" s="7" t="n"/>
      <c r="AL3793" s="11" t="n"/>
      <c r="AN3793">
        <f>IF($E3793="","",IF(COUNTIF($E$2:$E3793,$E3793)=1,1,0))</f>
        <v/>
      </c>
      <c r="AO3793">
        <f>IF($AN3793=1,SUMPRODUCT(--($AR$2:$AR$4001&lt;$AR3793))+1,"")</f>
        <v/>
      </c>
      <c r="AP3793">
        <f>IF($E3793="","",IF(OR($U3793=TRUE(),$U3793="TRUE"),1,0))</f>
        <v/>
      </c>
      <c r="AQ3793">
        <f>IF($E3793="","",IF($AA3793="Yes",1,0))</f>
        <v/>
      </c>
      <c r="AR3793">
        <f>IF($AN3793=1,IFERROR(VALUE(MID($E3793,2,20)),1000000000)+ROW()/100000,"")</f>
        <v/>
      </c>
    </row>
    <row r="3794">
      <c r="G3794" s="11" t="n"/>
      <c r="Q3794" s="7">
        <f>IF($E3794="","",P3794*Y3794/100)</f>
        <v/>
      </c>
      <c r="R3794" s="7" t="n"/>
      <c r="X3794" s="7" t="n"/>
      <c r="Y3794" s="7" t="n"/>
      <c r="AB3794">
        <f>IF($E3794="","",IF($AQ3794=1,0,IF($AP3794=1,Settings!$C$6,Settings!$C$7))*100)</f>
        <v/>
      </c>
      <c r="AC3794" s="7">
        <f>IF($E3794="","",Y3794*AB3794/100)</f>
        <v/>
      </c>
      <c r="AD3794" s="7">
        <f>IF($E3794="","",Y3794-AC3794)</f>
        <v/>
      </c>
      <c r="AE3794" s="7">
        <f>IF($E3794="","",AD3794-Q3794)</f>
        <v/>
      </c>
      <c r="AI3794" s="7" t="n"/>
      <c r="AL3794" s="11" t="n"/>
      <c r="AN3794">
        <f>IF($E3794="","",IF(COUNTIF($E$2:$E3794,$E3794)=1,1,0))</f>
        <v/>
      </c>
      <c r="AO3794">
        <f>IF($AN3794=1,SUMPRODUCT(--($AR$2:$AR$4001&lt;$AR3794))+1,"")</f>
        <v/>
      </c>
      <c r="AP3794">
        <f>IF($E3794="","",IF(OR($U3794=TRUE(),$U3794="TRUE"),1,0))</f>
        <v/>
      </c>
      <c r="AQ3794">
        <f>IF($E3794="","",IF($AA3794="Yes",1,0))</f>
        <v/>
      </c>
      <c r="AR3794">
        <f>IF($AN3794=1,IFERROR(VALUE(MID($E3794,2,20)),1000000000)+ROW()/100000,"")</f>
        <v/>
      </c>
    </row>
    <row r="3795">
      <c r="G3795" s="11" t="n"/>
      <c r="Q3795" s="7">
        <f>IF($E3795="","",P3795*Y3795/100)</f>
        <v/>
      </c>
      <c r="R3795" s="7" t="n"/>
      <c r="X3795" s="7" t="n"/>
      <c r="Y3795" s="7" t="n"/>
      <c r="AB3795">
        <f>IF($E3795="","",IF($AQ3795=1,0,IF($AP3795=1,Settings!$C$6,Settings!$C$7))*100)</f>
        <v/>
      </c>
      <c r="AC3795" s="7">
        <f>IF($E3795="","",Y3795*AB3795/100)</f>
        <v/>
      </c>
      <c r="AD3795" s="7">
        <f>IF($E3795="","",Y3795-AC3795)</f>
        <v/>
      </c>
      <c r="AE3795" s="7">
        <f>IF($E3795="","",AD3795-Q3795)</f>
        <v/>
      </c>
      <c r="AI3795" s="7" t="n"/>
      <c r="AL3795" s="11" t="n"/>
      <c r="AN3795">
        <f>IF($E3795="","",IF(COUNTIF($E$2:$E3795,$E3795)=1,1,0))</f>
        <v/>
      </c>
      <c r="AO3795">
        <f>IF($AN3795=1,SUMPRODUCT(--($AR$2:$AR$4001&lt;$AR3795))+1,"")</f>
        <v/>
      </c>
      <c r="AP3795">
        <f>IF($E3795="","",IF(OR($U3795=TRUE(),$U3795="TRUE"),1,0))</f>
        <v/>
      </c>
      <c r="AQ3795">
        <f>IF($E3795="","",IF($AA3795="Yes",1,0))</f>
        <v/>
      </c>
      <c r="AR3795">
        <f>IF($AN3795=1,IFERROR(VALUE(MID($E3795,2,20)),1000000000)+ROW()/100000,"")</f>
        <v/>
      </c>
    </row>
    <row r="3796">
      <c r="G3796" s="11" t="n"/>
      <c r="Q3796" s="7">
        <f>IF($E3796="","",P3796*Y3796/100)</f>
        <v/>
      </c>
      <c r="R3796" s="7" t="n"/>
      <c r="X3796" s="7" t="n"/>
      <c r="Y3796" s="7" t="n"/>
      <c r="AB3796">
        <f>IF($E3796="","",IF($AQ3796=1,0,IF($AP3796=1,Settings!$C$6,Settings!$C$7))*100)</f>
        <v/>
      </c>
      <c r="AC3796" s="7">
        <f>IF($E3796="","",Y3796*AB3796/100)</f>
        <v/>
      </c>
      <c r="AD3796" s="7">
        <f>IF($E3796="","",Y3796-AC3796)</f>
        <v/>
      </c>
      <c r="AE3796" s="7">
        <f>IF($E3796="","",AD3796-Q3796)</f>
        <v/>
      </c>
      <c r="AI3796" s="7" t="n"/>
      <c r="AL3796" s="11" t="n"/>
      <c r="AN3796">
        <f>IF($E3796="","",IF(COUNTIF($E$2:$E3796,$E3796)=1,1,0))</f>
        <v/>
      </c>
      <c r="AO3796">
        <f>IF($AN3796=1,SUMPRODUCT(--($AR$2:$AR$4001&lt;$AR3796))+1,"")</f>
        <v/>
      </c>
      <c r="AP3796">
        <f>IF($E3796="","",IF(OR($U3796=TRUE(),$U3796="TRUE"),1,0))</f>
        <v/>
      </c>
      <c r="AQ3796">
        <f>IF($E3796="","",IF($AA3796="Yes",1,0))</f>
        <v/>
      </c>
      <c r="AR3796">
        <f>IF($AN3796=1,IFERROR(VALUE(MID($E3796,2,20)),1000000000)+ROW()/100000,"")</f>
        <v/>
      </c>
    </row>
    <row r="3797">
      <c r="G3797" s="11" t="n"/>
      <c r="Q3797" s="7">
        <f>IF($E3797="","",P3797*Y3797/100)</f>
        <v/>
      </c>
      <c r="R3797" s="7" t="n"/>
      <c r="X3797" s="7" t="n"/>
      <c r="Y3797" s="7" t="n"/>
      <c r="AB3797">
        <f>IF($E3797="","",IF($AQ3797=1,0,IF($AP3797=1,Settings!$C$6,Settings!$C$7))*100)</f>
        <v/>
      </c>
      <c r="AC3797" s="7">
        <f>IF($E3797="","",Y3797*AB3797/100)</f>
        <v/>
      </c>
      <c r="AD3797" s="7">
        <f>IF($E3797="","",Y3797-AC3797)</f>
        <v/>
      </c>
      <c r="AE3797" s="7">
        <f>IF($E3797="","",AD3797-Q3797)</f>
        <v/>
      </c>
      <c r="AI3797" s="7" t="n"/>
      <c r="AL3797" s="11" t="n"/>
      <c r="AN3797">
        <f>IF($E3797="","",IF(COUNTIF($E$2:$E3797,$E3797)=1,1,0))</f>
        <v/>
      </c>
      <c r="AO3797">
        <f>IF($AN3797=1,SUMPRODUCT(--($AR$2:$AR$4001&lt;$AR3797))+1,"")</f>
        <v/>
      </c>
      <c r="AP3797">
        <f>IF($E3797="","",IF(OR($U3797=TRUE(),$U3797="TRUE"),1,0))</f>
        <v/>
      </c>
      <c r="AQ3797">
        <f>IF($E3797="","",IF($AA3797="Yes",1,0))</f>
        <v/>
      </c>
      <c r="AR3797">
        <f>IF($AN3797=1,IFERROR(VALUE(MID($E3797,2,20)),1000000000)+ROW()/100000,"")</f>
        <v/>
      </c>
    </row>
    <row r="3798">
      <c r="G3798" s="11" t="n"/>
      <c r="Q3798" s="7">
        <f>IF($E3798="","",P3798*Y3798/100)</f>
        <v/>
      </c>
      <c r="R3798" s="7" t="n"/>
      <c r="X3798" s="7" t="n"/>
      <c r="Y3798" s="7" t="n"/>
      <c r="AB3798">
        <f>IF($E3798="","",IF($AQ3798=1,0,IF($AP3798=1,Settings!$C$6,Settings!$C$7))*100)</f>
        <v/>
      </c>
      <c r="AC3798" s="7">
        <f>IF($E3798="","",Y3798*AB3798/100)</f>
        <v/>
      </c>
      <c r="AD3798" s="7">
        <f>IF($E3798="","",Y3798-AC3798)</f>
        <v/>
      </c>
      <c r="AE3798" s="7">
        <f>IF($E3798="","",AD3798-Q3798)</f>
        <v/>
      </c>
      <c r="AI3798" s="7" t="n"/>
      <c r="AL3798" s="11" t="n"/>
      <c r="AN3798">
        <f>IF($E3798="","",IF(COUNTIF($E$2:$E3798,$E3798)=1,1,0))</f>
        <v/>
      </c>
      <c r="AO3798">
        <f>IF($AN3798=1,SUMPRODUCT(--($AR$2:$AR$4001&lt;$AR3798))+1,"")</f>
        <v/>
      </c>
      <c r="AP3798">
        <f>IF($E3798="","",IF(OR($U3798=TRUE(),$U3798="TRUE"),1,0))</f>
        <v/>
      </c>
      <c r="AQ3798">
        <f>IF($E3798="","",IF($AA3798="Yes",1,0))</f>
        <v/>
      </c>
      <c r="AR3798">
        <f>IF($AN3798=1,IFERROR(VALUE(MID($E3798,2,20)),1000000000)+ROW()/100000,"")</f>
        <v/>
      </c>
    </row>
    <row r="3799">
      <c r="G3799" s="11" t="n"/>
      <c r="Q3799" s="7">
        <f>IF($E3799="","",P3799*Y3799/100)</f>
        <v/>
      </c>
      <c r="R3799" s="7" t="n"/>
      <c r="X3799" s="7" t="n"/>
      <c r="Y3799" s="7" t="n"/>
      <c r="AB3799">
        <f>IF($E3799="","",IF($AQ3799=1,0,IF($AP3799=1,Settings!$C$6,Settings!$C$7))*100)</f>
        <v/>
      </c>
      <c r="AC3799" s="7">
        <f>IF($E3799="","",Y3799*AB3799/100)</f>
        <v/>
      </c>
      <c r="AD3799" s="7">
        <f>IF($E3799="","",Y3799-AC3799)</f>
        <v/>
      </c>
      <c r="AE3799" s="7">
        <f>IF($E3799="","",AD3799-Q3799)</f>
        <v/>
      </c>
      <c r="AI3799" s="7" t="n"/>
      <c r="AL3799" s="11" t="n"/>
      <c r="AN3799">
        <f>IF($E3799="","",IF(COUNTIF($E$2:$E3799,$E3799)=1,1,0))</f>
        <v/>
      </c>
      <c r="AO3799">
        <f>IF($AN3799=1,SUMPRODUCT(--($AR$2:$AR$4001&lt;$AR3799))+1,"")</f>
        <v/>
      </c>
      <c r="AP3799">
        <f>IF($E3799="","",IF(OR($U3799=TRUE(),$U3799="TRUE"),1,0))</f>
        <v/>
      </c>
      <c r="AQ3799">
        <f>IF($E3799="","",IF($AA3799="Yes",1,0))</f>
        <v/>
      </c>
      <c r="AR3799">
        <f>IF($AN3799=1,IFERROR(VALUE(MID($E3799,2,20)),1000000000)+ROW()/100000,"")</f>
        <v/>
      </c>
    </row>
    <row r="3800">
      <c r="G3800" s="11" t="n"/>
      <c r="Q3800" s="7">
        <f>IF($E3800="","",P3800*Y3800/100)</f>
        <v/>
      </c>
      <c r="R3800" s="7" t="n"/>
      <c r="X3800" s="7" t="n"/>
      <c r="Y3800" s="7" t="n"/>
      <c r="AB3800">
        <f>IF($E3800="","",IF($AQ3800=1,0,IF($AP3800=1,Settings!$C$6,Settings!$C$7))*100)</f>
        <v/>
      </c>
      <c r="AC3800" s="7">
        <f>IF($E3800="","",Y3800*AB3800/100)</f>
        <v/>
      </c>
      <c r="AD3800" s="7">
        <f>IF($E3800="","",Y3800-AC3800)</f>
        <v/>
      </c>
      <c r="AE3800" s="7">
        <f>IF($E3800="","",AD3800-Q3800)</f>
        <v/>
      </c>
      <c r="AI3800" s="7" t="n"/>
      <c r="AL3800" s="11" t="n"/>
      <c r="AN3800">
        <f>IF($E3800="","",IF(COUNTIF($E$2:$E3800,$E3800)=1,1,0))</f>
        <v/>
      </c>
      <c r="AO3800">
        <f>IF($AN3800=1,SUMPRODUCT(--($AR$2:$AR$4001&lt;$AR3800))+1,"")</f>
        <v/>
      </c>
      <c r="AP3800">
        <f>IF($E3800="","",IF(OR($U3800=TRUE(),$U3800="TRUE"),1,0))</f>
        <v/>
      </c>
      <c r="AQ3800">
        <f>IF($E3800="","",IF($AA3800="Yes",1,0))</f>
        <v/>
      </c>
      <c r="AR3800">
        <f>IF($AN3800=1,IFERROR(VALUE(MID($E3800,2,20)),1000000000)+ROW()/100000,"")</f>
        <v/>
      </c>
    </row>
    <row r="3801">
      <c r="G3801" s="11" t="n"/>
      <c r="Q3801" s="7">
        <f>IF($E3801="","",P3801*Y3801/100)</f>
        <v/>
      </c>
      <c r="R3801" s="7" t="n"/>
      <c r="X3801" s="7" t="n"/>
      <c r="Y3801" s="7" t="n"/>
      <c r="AB3801">
        <f>IF($E3801="","",IF($AQ3801=1,0,IF($AP3801=1,Settings!$C$6,Settings!$C$7))*100)</f>
        <v/>
      </c>
      <c r="AC3801" s="7">
        <f>IF($E3801="","",Y3801*AB3801/100)</f>
        <v/>
      </c>
      <c r="AD3801" s="7">
        <f>IF($E3801="","",Y3801-AC3801)</f>
        <v/>
      </c>
      <c r="AE3801" s="7">
        <f>IF($E3801="","",AD3801-Q3801)</f>
        <v/>
      </c>
      <c r="AI3801" s="7" t="n"/>
      <c r="AL3801" s="11" t="n"/>
      <c r="AN3801">
        <f>IF($E3801="","",IF(COUNTIF($E$2:$E3801,$E3801)=1,1,0))</f>
        <v/>
      </c>
      <c r="AO3801">
        <f>IF($AN3801=1,SUMPRODUCT(--($AR$2:$AR$4001&lt;$AR3801))+1,"")</f>
        <v/>
      </c>
      <c r="AP3801">
        <f>IF($E3801="","",IF(OR($U3801=TRUE(),$U3801="TRUE"),1,0))</f>
        <v/>
      </c>
      <c r="AQ3801">
        <f>IF($E3801="","",IF($AA3801="Yes",1,0))</f>
        <v/>
      </c>
      <c r="AR3801">
        <f>IF($AN3801=1,IFERROR(VALUE(MID($E3801,2,20)),1000000000)+ROW()/100000,"")</f>
        <v/>
      </c>
    </row>
    <row r="3802">
      <c r="G3802" s="11" t="n"/>
      <c r="Q3802" s="7">
        <f>IF($E3802="","",P3802*Y3802/100)</f>
        <v/>
      </c>
      <c r="R3802" s="7" t="n"/>
      <c r="X3802" s="7" t="n"/>
      <c r="Y3802" s="7" t="n"/>
      <c r="AB3802">
        <f>IF($E3802="","",IF($AQ3802=1,0,IF($AP3802=1,Settings!$C$6,Settings!$C$7))*100)</f>
        <v/>
      </c>
      <c r="AC3802" s="7">
        <f>IF($E3802="","",Y3802*AB3802/100)</f>
        <v/>
      </c>
      <c r="AD3802" s="7">
        <f>IF($E3802="","",Y3802-AC3802)</f>
        <v/>
      </c>
      <c r="AE3802" s="7">
        <f>IF($E3802="","",AD3802-Q3802)</f>
        <v/>
      </c>
      <c r="AI3802" s="7" t="n"/>
      <c r="AL3802" s="11" t="n"/>
      <c r="AN3802">
        <f>IF($E3802="","",IF(COUNTIF($E$2:$E3802,$E3802)=1,1,0))</f>
        <v/>
      </c>
      <c r="AO3802">
        <f>IF($AN3802=1,SUMPRODUCT(--($AR$2:$AR$4001&lt;$AR3802))+1,"")</f>
        <v/>
      </c>
      <c r="AP3802">
        <f>IF($E3802="","",IF(OR($U3802=TRUE(),$U3802="TRUE"),1,0))</f>
        <v/>
      </c>
      <c r="AQ3802">
        <f>IF($E3802="","",IF($AA3802="Yes",1,0))</f>
        <v/>
      </c>
      <c r="AR3802">
        <f>IF($AN3802=1,IFERROR(VALUE(MID($E3802,2,20)),1000000000)+ROW()/100000,"")</f>
        <v/>
      </c>
    </row>
    <row r="3803">
      <c r="G3803" s="11" t="n"/>
      <c r="Q3803" s="7">
        <f>IF($E3803="","",P3803*Y3803/100)</f>
        <v/>
      </c>
      <c r="R3803" s="7" t="n"/>
      <c r="X3803" s="7" t="n"/>
      <c r="Y3803" s="7" t="n"/>
      <c r="AB3803">
        <f>IF($E3803="","",IF($AQ3803=1,0,IF($AP3803=1,Settings!$C$6,Settings!$C$7))*100)</f>
        <v/>
      </c>
      <c r="AC3803" s="7">
        <f>IF($E3803="","",Y3803*AB3803/100)</f>
        <v/>
      </c>
      <c r="AD3803" s="7">
        <f>IF($E3803="","",Y3803-AC3803)</f>
        <v/>
      </c>
      <c r="AE3803" s="7">
        <f>IF($E3803="","",AD3803-Q3803)</f>
        <v/>
      </c>
      <c r="AI3803" s="7" t="n"/>
      <c r="AL3803" s="11" t="n"/>
      <c r="AN3803">
        <f>IF($E3803="","",IF(COUNTIF($E$2:$E3803,$E3803)=1,1,0))</f>
        <v/>
      </c>
      <c r="AO3803">
        <f>IF($AN3803=1,SUMPRODUCT(--($AR$2:$AR$4001&lt;$AR3803))+1,"")</f>
        <v/>
      </c>
      <c r="AP3803">
        <f>IF($E3803="","",IF(OR($U3803=TRUE(),$U3803="TRUE"),1,0))</f>
        <v/>
      </c>
      <c r="AQ3803">
        <f>IF($E3803="","",IF($AA3803="Yes",1,0))</f>
        <v/>
      </c>
      <c r="AR3803">
        <f>IF($AN3803=1,IFERROR(VALUE(MID($E3803,2,20)),1000000000)+ROW()/100000,"")</f>
        <v/>
      </c>
    </row>
    <row r="3804">
      <c r="G3804" s="11" t="n"/>
      <c r="Q3804" s="7">
        <f>IF($E3804="","",P3804*Y3804/100)</f>
        <v/>
      </c>
      <c r="R3804" s="7" t="n"/>
      <c r="X3804" s="7" t="n"/>
      <c r="Y3804" s="7" t="n"/>
      <c r="AB3804">
        <f>IF($E3804="","",IF($AQ3804=1,0,IF($AP3804=1,Settings!$C$6,Settings!$C$7))*100)</f>
        <v/>
      </c>
      <c r="AC3804" s="7">
        <f>IF($E3804="","",Y3804*AB3804/100)</f>
        <v/>
      </c>
      <c r="AD3804" s="7">
        <f>IF($E3804="","",Y3804-AC3804)</f>
        <v/>
      </c>
      <c r="AE3804" s="7">
        <f>IF($E3804="","",AD3804-Q3804)</f>
        <v/>
      </c>
      <c r="AI3804" s="7" t="n"/>
      <c r="AL3804" s="11" t="n"/>
      <c r="AN3804">
        <f>IF($E3804="","",IF(COUNTIF($E$2:$E3804,$E3804)=1,1,0))</f>
        <v/>
      </c>
      <c r="AO3804">
        <f>IF($AN3804=1,SUMPRODUCT(--($AR$2:$AR$4001&lt;$AR3804))+1,"")</f>
        <v/>
      </c>
      <c r="AP3804">
        <f>IF($E3804="","",IF(OR($U3804=TRUE(),$U3804="TRUE"),1,0))</f>
        <v/>
      </c>
      <c r="AQ3804">
        <f>IF($E3804="","",IF($AA3804="Yes",1,0))</f>
        <v/>
      </c>
      <c r="AR3804">
        <f>IF($AN3804=1,IFERROR(VALUE(MID($E3804,2,20)),1000000000)+ROW()/100000,"")</f>
        <v/>
      </c>
    </row>
    <row r="3805">
      <c r="G3805" s="11" t="n"/>
      <c r="Q3805" s="7">
        <f>IF($E3805="","",P3805*Y3805/100)</f>
        <v/>
      </c>
      <c r="R3805" s="7" t="n"/>
      <c r="X3805" s="7" t="n"/>
      <c r="Y3805" s="7" t="n"/>
      <c r="AB3805">
        <f>IF($E3805="","",IF($AQ3805=1,0,IF($AP3805=1,Settings!$C$6,Settings!$C$7))*100)</f>
        <v/>
      </c>
      <c r="AC3805" s="7">
        <f>IF($E3805="","",Y3805*AB3805/100)</f>
        <v/>
      </c>
      <c r="AD3805" s="7">
        <f>IF($E3805="","",Y3805-AC3805)</f>
        <v/>
      </c>
      <c r="AE3805" s="7">
        <f>IF($E3805="","",AD3805-Q3805)</f>
        <v/>
      </c>
      <c r="AI3805" s="7" t="n"/>
      <c r="AL3805" s="11" t="n"/>
      <c r="AN3805">
        <f>IF($E3805="","",IF(COUNTIF($E$2:$E3805,$E3805)=1,1,0))</f>
        <v/>
      </c>
      <c r="AO3805">
        <f>IF($AN3805=1,SUMPRODUCT(--($AR$2:$AR$4001&lt;$AR3805))+1,"")</f>
        <v/>
      </c>
      <c r="AP3805">
        <f>IF($E3805="","",IF(OR($U3805=TRUE(),$U3805="TRUE"),1,0))</f>
        <v/>
      </c>
      <c r="AQ3805">
        <f>IF($E3805="","",IF($AA3805="Yes",1,0))</f>
        <v/>
      </c>
      <c r="AR3805">
        <f>IF($AN3805=1,IFERROR(VALUE(MID($E3805,2,20)),1000000000)+ROW()/100000,"")</f>
        <v/>
      </c>
    </row>
    <row r="3806">
      <c r="G3806" s="11" t="n"/>
      <c r="Q3806" s="7">
        <f>IF($E3806="","",P3806*Y3806/100)</f>
        <v/>
      </c>
      <c r="R3806" s="7" t="n"/>
      <c r="X3806" s="7" t="n"/>
      <c r="Y3806" s="7" t="n"/>
      <c r="AB3806">
        <f>IF($E3806="","",IF($AQ3806=1,0,IF($AP3806=1,Settings!$C$6,Settings!$C$7))*100)</f>
        <v/>
      </c>
      <c r="AC3806" s="7">
        <f>IF($E3806="","",Y3806*AB3806/100)</f>
        <v/>
      </c>
      <c r="AD3806" s="7">
        <f>IF($E3806="","",Y3806-AC3806)</f>
        <v/>
      </c>
      <c r="AE3806" s="7">
        <f>IF($E3806="","",AD3806-Q3806)</f>
        <v/>
      </c>
      <c r="AI3806" s="7" t="n"/>
      <c r="AL3806" s="11" t="n"/>
      <c r="AN3806">
        <f>IF($E3806="","",IF(COUNTIF($E$2:$E3806,$E3806)=1,1,0))</f>
        <v/>
      </c>
      <c r="AO3806">
        <f>IF($AN3806=1,SUMPRODUCT(--($AR$2:$AR$4001&lt;$AR3806))+1,"")</f>
        <v/>
      </c>
      <c r="AP3806">
        <f>IF($E3806="","",IF(OR($U3806=TRUE(),$U3806="TRUE"),1,0))</f>
        <v/>
      </c>
      <c r="AQ3806">
        <f>IF($E3806="","",IF($AA3806="Yes",1,0))</f>
        <v/>
      </c>
      <c r="AR3806">
        <f>IF($AN3806=1,IFERROR(VALUE(MID($E3806,2,20)),1000000000)+ROW()/100000,"")</f>
        <v/>
      </c>
    </row>
    <row r="3807">
      <c r="G3807" s="11" t="n"/>
      <c r="Q3807" s="7">
        <f>IF($E3807="","",P3807*Y3807/100)</f>
        <v/>
      </c>
      <c r="R3807" s="7" t="n"/>
      <c r="X3807" s="7" t="n"/>
      <c r="Y3807" s="7" t="n"/>
      <c r="AB3807">
        <f>IF($E3807="","",IF($AQ3807=1,0,IF($AP3807=1,Settings!$C$6,Settings!$C$7))*100)</f>
        <v/>
      </c>
      <c r="AC3807" s="7">
        <f>IF($E3807="","",Y3807*AB3807/100)</f>
        <v/>
      </c>
      <c r="AD3807" s="7">
        <f>IF($E3807="","",Y3807-AC3807)</f>
        <v/>
      </c>
      <c r="AE3807" s="7">
        <f>IF($E3807="","",AD3807-Q3807)</f>
        <v/>
      </c>
      <c r="AI3807" s="7" t="n"/>
      <c r="AL3807" s="11" t="n"/>
      <c r="AN3807">
        <f>IF($E3807="","",IF(COUNTIF($E$2:$E3807,$E3807)=1,1,0))</f>
        <v/>
      </c>
      <c r="AO3807">
        <f>IF($AN3807=1,SUMPRODUCT(--($AR$2:$AR$4001&lt;$AR3807))+1,"")</f>
        <v/>
      </c>
      <c r="AP3807">
        <f>IF($E3807="","",IF(OR($U3807=TRUE(),$U3807="TRUE"),1,0))</f>
        <v/>
      </c>
      <c r="AQ3807">
        <f>IF($E3807="","",IF($AA3807="Yes",1,0))</f>
        <v/>
      </c>
      <c r="AR3807">
        <f>IF($AN3807=1,IFERROR(VALUE(MID($E3807,2,20)),1000000000)+ROW()/100000,"")</f>
        <v/>
      </c>
    </row>
    <row r="3808">
      <c r="G3808" s="11" t="n"/>
      <c r="Q3808" s="7">
        <f>IF($E3808="","",P3808*Y3808/100)</f>
        <v/>
      </c>
      <c r="R3808" s="7" t="n"/>
      <c r="X3808" s="7" t="n"/>
      <c r="Y3808" s="7" t="n"/>
      <c r="AB3808">
        <f>IF($E3808="","",IF($AQ3808=1,0,IF($AP3808=1,Settings!$C$6,Settings!$C$7))*100)</f>
        <v/>
      </c>
      <c r="AC3808" s="7">
        <f>IF($E3808="","",Y3808*AB3808/100)</f>
        <v/>
      </c>
      <c r="AD3808" s="7">
        <f>IF($E3808="","",Y3808-AC3808)</f>
        <v/>
      </c>
      <c r="AE3808" s="7">
        <f>IF($E3808="","",AD3808-Q3808)</f>
        <v/>
      </c>
      <c r="AI3808" s="7" t="n"/>
      <c r="AL3808" s="11" t="n"/>
      <c r="AN3808">
        <f>IF($E3808="","",IF(COUNTIF($E$2:$E3808,$E3808)=1,1,0))</f>
        <v/>
      </c>
      <c r="AO3808">
        <f>IF($AN3808=1,SUMPRODUCT(--($AR$2:$AR$4001&lt;$AR3808))+1,"")</f>
        <v/>
      </c>
      <c r="AP3808">
        <f>IF($E3808="","",IF(OR($U3808=TRUE(),$U3808="TRUE"),1,0))</f>
        <v/>
      </c>
      <c r="AQ3808">
        <f>IF($E3808="","",IF($AA3808="Yes",1,0))</f>
        <v/>
      </c>
      <c r="AR3808">
        <f>IF($AN3808=1,IFERROR(VALUE(MID($E3808,2,20)),1000000000)+ROW()/100000,"")</f>
        <v/>
      </c>
    </row>
    <row r="3809">
      <c r="G3809" s="11" t="n"/>
      <c r="Q3809" s="7">
        <f>IF($E3809="","",P3809*Y3809/100)</f>
        <v/>
      </c>
      <c r="R3809" s="7" t="n"/>
      <c r="X3809" s="7" t="n"/>
      <c r="Y3809" s="7" t="n"/>
      <c r="AB3809">
        <f>IF($E3809="","",IF($AQ3809=1,0,IF($AP3809=1,Settings!$C$6,Settings!$C$7))*100)</f>
        <v/>
      </c>
      <c r="AC3809" s="7">
        <f>IF($E3809="","",Y3809*AB3809/100)</f>
        <v/>
      </c>
      <c r="AD3809" s="7">
        <f>IF($E3809="","",Y3809-AC3809)</f>
        <v/>
      </c>
      <c r="AE3809" s="7">
        <f>IF($E3809="","",AD3809-Q3809)</f>
        <v/>
      </c>
      <c r="AI3809" s="7" t="n"/>
      <c r="AL3809" s="11" t="n"/>
      <c r="AN3809">
        <f>IF($E3809="","",IF(COUNTIF($E$2:$E3809,$E3809)=1,1,0))</f>
        <v/>
      </c>
      <c r="AO3809">
        <f>IF($AN3809=1,SUMPRODUCT(--($AR$2:$AR$4001&lt;$AR3809))+1,"")</f>
        <v/>
      </c>
      <c r="AP3809">
        <f>IF($E3809="","",IF(OR($U3809=TRUE(),$U3809="TRUE"),1,0))</f>
        <v/>
      </c>
      <c r="AQ3809">
        <f>IF($E3809="","",IF($AA3809="Yes",1,0))</f>
        <v/>
      </c>
      <c r="AR3809">
        <f>IF($AN3809=1,IFERROR(VALUE(MID($E3809,2,20)),1000000000)+ROW()/100000,"")</f>
        <v/>
      </c>
    </row>
    <row r="3810">
      <c r="G3810" s="11" t="n"/>
      <c r="Q3810" s="7">
        <f>IF($E3810="","",P3810*Y3810/100)</f>
        <v/>
      </c>
      <c r="R3810" s="7" t="n"/>
      <c r="X3810" s="7" t="n"/>
      <c r="Y3810" s="7" t="n"/>
      <c r="AB3810">
        <f>IF($E3810="","",IF($AQ3810=1,0,IF($AP3810=1,Settings!$C$6,Settings!$C$7))*100)</f>
        <v/>
      </c>
      <c r="AC3810" s="7">
        <f>IF($E3810="","",Y3810*AB3810/100)</f>
        <v/>
      </c>
      <c r="AD3810" s="7">
        <f>IF($E3810="","",Y3810-AC3810)</f>
        <v/>
      </c>
      <c r="AE3810" s="7">
        <f>IF($E3810="","",AD3810-Q3810)</f>
        <v/>
      </c>
      <c r="AI3810" s="7" t="n"/>
      <c r="AL3810" s="11" t="n"/>
      <c r="AN3810">
        <f>IF($E3810="","",IF(COUNTIF($E$2:$E3810,$E3810)=1,1,0))</f>
        <v/>
      </c>
      <c r="AO3810">
        <f>IF($AN3810=1,SUMPRODUCT(--($AR$2:$AR$4001&lt;$AR3810))+1,"")</f>
        <v/>
      </c>
      <c r="AP3810">
        <f>IF($E3810="","",IF(OR($U3810=TRUE(),$U3810="TRUE"),1,0))</f>
        <v/>
      </c>
      <c r="AQ3810">
        <f>IF($E3810="","",IF($AA3810="Yes",1,0))</f>
        <v/>
      </c>
      <c r="AR3810">
        <f>IF($AN3810=1,IFERROR(VALUE(MID($E3810,2,20)),1000000000)+ROW()/100000,"")</f>
        <v/>
      </c>
    </row>
    <row r="3811">
      <c r="G3811" s="11" t="n"/>
      <c r="Q3811" s="7">
        <f>IF($E3811="","",P3811*Y3811/100)</f>
        <v/>
      </c>
      <c r="R3811" s="7" t="n"/>
      <c r="X3811" s="7" t="n"/>
      <c r="Y3811" s="7" t="n"/>
      <c r="AB3811">
        <f>IF($E3811="","",IF($AQ3811=1,0,IF($AP3811=1,Settings!$C$6,Settings!$C$7))*100)</f>
        <v/>
      </c>
      <c r="AC3811" s="7">
        <f>IF($E3811="","",Y3811*AB3811/100)</f>
        <v/>
      </c>
      <c r="AD3811" s="7">
        <f>IF($E3811="","",Y3811-AC3811)</f>
        <v/>
      </c>
      <c r="AE3811" s="7">
        <f>IF($E3811="","",AD3811-Q3811)</f>
        <v/>
      </c>
      <c r="AI3811" s="7" t="n"/>
      <c r="AL3811" s="11" t="n"/>
      <c r="AN3811">
        <f>IF($E3811="","",IF(COUNTIF($E$2:$E3811,$E3811)=1,1,0))</f>
        <v/>
      </c>
      <c r="AO3811">
        <f>IF($AN3811=1,SUMPRODUCT(--($AR$2:$AR$4001&lt;$AR3811))+1,"")</f>
        <v/>
      </c>
      <c r="AP3811">
        <f>IF($E3811="","",IF(OR($U3811=TRUE(),$U3811="TRUE"),1,0))</f>
        <v/>
      </c>
      <c r="AQ3811">
        <f>IF($E3811="","",IF($AA3811="Yes",1,0))</f>
        <v/>
      </c>
      <c r="AR3811">
        <f>IF($AN3811=1,IFERROR(VALUE(MID($E3811,2,20)),1000000000)+ROW()/100000,"")</f>
        <v/>
      </c>
    </row>
    <row r="3812">
      <c r="G3812" s="11" t="n"/>
      <c r="Q3812" s="7">
        <f>IF($E3812="","",P3812*Y3812/100)</f>
        <v/>
      </c>
      <c r="R3812" s="7" t="n"/>
      <c r="X3812" s="7" t="n"/>
      <c r="Y3812" s="7" t="n"/>
      <c r="AB3812">
        <f>IF($E3812="","",IF($AQ3812=1,0,IF($AP3812=1,Settings!$C$6,Settings!$C$7))*100)</f>
        <v/>
      </c>
      <c r="AC3812" s="7">
        <f>IF($E3812="","",Y3812*AB3812/100)</f>
        <v/>
      </c>
      <c r="AD3812" s="7">
        <f>IF($E3812="","",Y3812-AC3812)</f>
        <v/>
      </c>
      <c r="AE3812" s="7">
        <f>IF($E3812="","",AD3812-Q3812)</f>
        <v/>
      </c>
      <c r="AI3812" s="7" t="n"/>
      <c r="AL3812" s="11" t="n"/>
      <c r="AN3812">
        <f>IF($E3812="","",IF(COUNTIF($E$2:$E3812,$E3812)=1,1,0))</f>
        <v/>
      </c>
      <c r="AO3812">
        <f>IF($AN3812=1,SUMPRODUCT(--($AR$2:$AR$4001&lt;$AR3812))+1,"")</f>
        <v/>
      </c>
      <c r="AP3812">
        <f>IF($E3812="","",IF(OR($U3812=TRUE(),$U3812="TRUE"),1,0))</f>
        <v/>
      </c>
      <c r="AQ3812">
        <f>IF($E3812="","",IF($AA3812="Yes",1,0))</f>
        <v/>
      </c>
      <c r="AR3812">
        <f>IF($AN3812=1,IFERROR(VALUE(MID($E3812,2,20)),1000000000)+ROW()/100000,"")</f>
        <v/>
      </c>
    </row>
    <row r="3813">
      <c r="G3813" s="11" t="n"/>
      <c r="Q3813" s="7">
        <f>IF($E3813="","",P3813*Y3813/100)</f>
        <v/>
      </c>
      <c r="R3813" s="7" t="n"/>
      <c r="X3813" s="7" t="n"/>
      <c r="Y3813" s="7" t="n"/>
      <c r="AB3813">
        <f>IF($E3813="","",IF($AQ3813=1,0,IF($AP3813=1,Settings!$C$6,Settings!$C$7))*100)</f>
        <v/>
      </c>
      <c r="AC3813" s="7">
        <f>IF($E3813="","",Y3813*AB3813/100)</f>
        <v/>
      </c>
      <c r="AD3813" s="7">
        <f>IF($E3813="","",Y3813-AC3813)</f>
        <v/>
      </c>
      <c r="AE3813" s="7">
        <f>IF($E3813="","",AD3813-Q3813)</f>
        <v/>
      </c>
      <c r="AI3813" s="7" t="n"/>
      <c r="AL3813" s="11" t="n"/>
      <c r="AN3813">
        <f>IF($E3813="","",IF(COUNTIF($E$2:$E3813,$E3813)=1,1,0))</f>
        <v/>
      </c>
      <c r="AO3813">
        <f>IF($AN3813=1,SUMPRODUCT(--($AR$2:$AR$4001&lt;$AR3813))+1,"")</f>
        <v/>
      </c>
      <c r="AP3813">
        <f>IF($E3813="","",IF(OR($U3813=TRUE(),$U3813="TRUE"),1,0))</f>
        <v/>
      </c>
      <c r="AQ3813">
        <f>IF($E3813="","",IF($AA3813="Yes",1,0))</f>
        <v/>
      </c>
      <c r="AR3813">
        <f>IF($AN3813=1,IFERROR(VALUE(MID($E3813,2,20)),1000000000)+ROW()/100000,"")</f>
        <v/>
      </c>
    </row>
    <row r="3814">
      <c r="G3814" s="11" t="n"/>
      <c r="Q3814" s="7">
        <f>IF($E3814="","",P3814*Y3814/100)</f>
        <v/>
      </c>
      <c r="R3814" s="7" t="n"/>
      <c r="X3814" s="7" t="n"/>
      <c r="Y3814" s="7" t="n"/>
      <c r="AB3814">
        <f>IF($E3814="","",IF($AQ3814=1,0,IF($AP3814=1,Settings!$C$6,Settings!$C$7))*100)</f>
        <v/>
      </c>
      <c r="AC3814" s="7">
        <f>IF($E3814="","",Y3814*AB3814/100)</f>
        <v/>
      </c>
      <c r="AD3814" s="7">
        <f>IF($E3814="","",Y3814-AC3814)</f>
        <v/>
      </c>
      <c r="AE3814" s="7">
        <f>IF($E3814="","",AD3814-Q3814)</f>
        <v/>
      </c>
      <c r="AI3814" s="7" t="n"/>
      <c r="AL3814" s="11" t="n"/>
      <c r="AN3814">
        <f>IF($E3814="","",IF(COUNTIF($E$2:$E3814,$E3814)=1,1,0))</f>
        <v/>
      </c>
      <c r="AO3814">
        <f>IF($AN3814=1,SUMPRODUCT(--($AR$2:$AR$4001&lt;$AR3814))+1,"")</f>
        <v/>
      </c>
      <c r="AP3814">
        <f>IF($E3814="","",IF(OR($U3814=TRUE(),$U3814="TRUE"),1,0))</f>
        <v/>
      </c>
      <c r="AQ3814">
        <f>IF($E3814="","",IF($AA3814="Yes",1,0))</f>
        <v/>
      </c>
      <c r="AR3814">
        <f>IF($AN3814=1,IFERROR(VALUE(MID($E3814,2,20)),1000000000)+ROW()/100000,"")</f>
        <v/>
      </c>
    </row>
    <row r="3815">
      <c r="G3815" s="11" t="n"/>
      <c r="Q3815" s="7">
        <f>IF($E3815="","",P3815*Y3815/100)</f>
        <v/>
      </c>
      <c r="R3815" s="7" t="n"/>
      <c r="X3815" s="7" t="n"/>
      <c r="Y3815" s="7" t="n"/>
      <c r="AB3815">
        <f>IF($E3815="","",IF($AQ3815=1,0,IF($AP3815=1,Settings!$C$6,Settings!$C$7))*100)</f>
        <v/>
      </c>
      <c r="AC3815" s="7">
        <f>IF($E3815="","",Y3815*AB3815/100)</f>
        <v/>
      </c>
      <c r="AD3815" s="7">
        <f>IF($E3815="","",Y3815-AC3815)</f>
        <v/>
      </c>
      <c r="AE3815" s="7">
        <f>IF($E3815="","",AD3815-Q3815)</f>
        <v/>
      </c>
      <c r="AI3815" s="7" t="n"/>
      <c r="AL3815" s="11" t="n"/>
      <c r="AN3815">
        <f>IF($E3815="","",IF(COUNTIF($E$2:$E3815,$E3815)=1,1,0))</f>
        <v/>
      </c>
      <c r="AO3815">
        <f>IF($AN3815=1,SUMPRODUCT(--($AR$2:$AR$4001&lt;$AR3815))+1,"")</f>
        <v/>
      </c>
      <c r="AP3815">
        <f>IF($E3815="","",IF(OR($U3815=TRUE(),$U3815="TRUE"),1,0))</f>
        <v/>
      </c>
      <c r="AQ3815">
        <f>IF($E3815="","",IF($AA3815="Yes",1,0))</f>
        <v/>
      </c>
      <c r="AR3815">
        <f>IF($AN3815=1,IFERROR(VALUE(MID($E3815,2,20)),1000000000)+ROW()/100000,"")</f>
        <v/>
      </c>
    </row>
    <row r="3816">
      <c r="G3816" s="11" t="n"/>
      <c r="Q3816" s="7">
        <f>IF($E3816="","",P3816*Y3816/100)</f>
        <v/>
      </c>
      <c r="R3816" s="7" t="n"/>
      <c r="X3816" s="7" t="n"/>
      <c r="Y3816" s="7" t="n"/>
      <c r="AB3816">
        <f>IF($E3816="","",IF($AQ3816=1,0,IF($AP3816=1,Settings!$C$6,Settings!$C$7))*100)</f>
        <v/>
      </c>
      <c r="AC3816" s="7">
        <f>IF($E3816="","",Y3816*AB3816/100)</f>
        <v/>
      </c>
      <c r="AD3816" s="7">
        <f>IF($E3816="","",Y3816-AC3816)</f>
        <v/>
      </c>
      <c r="AE3816" s="7">
        <f>IF($E3816="","",AD3816-Q3816)</f>
        <v/>
      </c>
      <c r="AI3816" s="7" t="n"/>
      <c r="AL3816" s="11" t="n"/>
      <c r="AN3816">
        <f>IF($E3816="","",IF(COUNTIF($E$2:$E3816,$E3816)=1,1,0))</f>
        <v/>
      </c>
      <c r="AO3816">
        <f>IF($AN3816=1,SUMPRODUCT(--($AR$2:$AR$4001&lt;$AR3816))+1,"")</f>
        <v/>
      </c>
      <c r="AP3816">
        <f>IF($E3816="","",IF(OR($U3816=TRUE(),$U3816="TRUE"),1,0))</f>
        <v/>
      </c>
      <c r="AQ3816">
        <f>IF($E3816="","",IF($AA3816="Yes",1,0))</f>
        <v/>
      </c>
      <c r="AR3816">
        <f>IF($AN3816=1,IFERROR(VALUE(MID($E3816,2,20)),1000000000)+ROW()/100000,"")</f>
        <v/>
      </c>
    </row>
    <row r="3817">
      <c r="G3817" s="11" t="n"/>
      <c r="Q3817" s="7">
        <f>IF($E3817="","",P3817*Y3817/100)</f>
        <v/>
      </c>
      <c r="R3817" s="7" t="n"/>
      <c r="X3817" s="7" t="n"/>
      <c r="Y3817" s="7" t="n"/>
      <c r="AB3817">
        <f>IF($E3817="","",IF($AQ3817=1,0,IF($AP3817=1,Settings!$C$6,Settings!$C$7))*100)</f>
        <v/>
      </c>
      <c r="AC3817" s="7">
        <f>IF($E3817="","",Y3817*AB3817/100)</f>
        <v/>
      </c>
      <c r="AD3817" s="7">
        <f>IF($E3817="","",Y3817-AC3817)</f>
        <v/>
      </c>
      <c r="AE3817" s="7">
        <f>IF($E3817="","",AD3817-Q3817)</f>
        <v/>
      </c>
      <c r="AI3817" s="7" t="n"/>
      <c r="AL3817" s="11" t="n"/>
      <c r="AN3817">
        <f>IF($E3817="","",IF(COUNTIF($E$2:$E3817,$E3817)=1,1,0))</f>
        <v/>
      </c>
      <c r="AO3817">
        <f>IF($AN3817=1,SUMPRODUCT(--($AR$2:$AR$4001&lt;$AR3817))+1,"")</f>
        <v/>
      </c>
      <c r="AP3817">
        <f>IF($E3817="","",IF(OR($U3817=TRUE(),$U3817="TRUE"),1,0))</f>
        <v/>
      </c>
      <c r="AQ3817">
        <f>IF($E3817="","",IF($AA3817="Yes",1,0))</f>
        <v/>
      </c>
      <c r="AR3817">
        <f>IF($AN3817=1,IFERROR(VALUE(MID($E3817,2,20)),1000000000)+ROW()/100000,"")</f>
        <v/>
      </c>
    </row>
    <row r="3818">
      <c r="G3818" s="11" t="n"/>
      <c r="Q3818" s="7">
        <f>IF($E3818="","",P3818*Y3818/100)</f>
        <v/>
      </c>
      <c r="R3818" s="7" t="n"/>
      <c r="X3818" s="7" t="n"/>
      <c r="Y3818" s="7" t="n"/>
      <c r="AB3818">
        <f>IF($E3818="","",IF($AQ3818=1,0,IF($AP3818=1,Settings!$C$6,Settings!$C$7))*100)</f>
        <v/>
      </c>
      <c r="AC3818" s="7">
        <f>IF($E3818="","",Y3818*AB3818/100)</f>
        <v/>
      </c>
      <c r="AD3818" s="7">
        <f>IF($E3818="","",Y3818-AC3818)</f>
        <v/>
      </c>
      <c r="AE3818" s="7">
        <f>IF($E3818="","",AD3818-Q3818)</f>
        <v/>
      </c>
      <c r="AI3818" s="7" t="n"/>
      <c r="AL3818" s="11" t="n"/>
      <c r="AN3818">
        <f>IF($E3818="","",IF(COUNTIF($E$2:$E3818,$E3818)=1,1,0))</f>
        <v/>
      </c>
      <c r="AO3818">
        <f>IF($AN3818=1,SUMPRODUCT(--($AR$2:$AR$4001&lt;$AR3818))+1,"")</f>
        <v/>
      </c>
      <c r="AP3818">
        <f>IF($E3818="","",IF(OR($U3818=TRUE(),$U3818="TRUE"),1,0))</f>
        <v/>
      </c>
      <c r="AQ3818">
        <f>IF($E3818="","",IF($AA3818="Yes",1,0))</f>
        <v/>
      </c>
      <c r="AR3818">
        <f>IF($AN3818=1,IFERROR(VALUE(MID($E3818,2,20)),1000000000)+ROW()/100000,"")</f>
        <v/>
      </c>
    </row>
    <row r="3819">
      <c r="G3819" s="11" t="n"/>
      <c r="Q3819" s="7">
        <f>IF($E3819="","",P3819*Y3819/100)</f>
        <v/>
      </c>
      <c r="R3819" s="7" t="n"/>
      <c r="X3819" s="7" t="n"/>
      <c r="Y3819" s="7" t="n"/>
      <c r="AB3819">
        <f>IF($E3819="","",IF($AQ3819=1,0,IF($AP3819=1,Settings!$C$6,Settings!$C$7))*100)</f>
        <v/>
      </c>
      <c r="AC3819" s="7">
        <f>IF($E3819="","",Y3819*AB3819/100)</f>
        <v/>
      </c>
      <c r="AD3819" s="7">
        <f>IF($E3819="","",Y3819-AC3819)</f>
        <v/>
      </c>
      <c r="AE3819" s="7">
        <f>IF($E3819="","",AD3819-Q3819)</f>
        <v/>
      </c>
      <c r="AI3819" s="7" t="n"/>
      <c r="AL3819" s="11" t="n"/>
      <c r="AN3819">
        <f>IF($E3819="","",IF(COUNTIF($E$2:$E3819,$E3819)=1,1,0))</f>
        <v/>
      </c>
      <c r="AO3819">
        <f>IF($AN3819=1,SUMPRODUCT(--($AR$2:$AR$4001&lt;$AR3819))+1,"")</f>
        <v/>
      </c>
      <c r="AP3819">
        <f>IF($E3819="","",IF(OR($U3819=TRUE(),$U3819="TRUE"),1,0))</f>
        <v/>
      </c>
      <c r="AQ3819">
        <f>IF($E3819="","",IF($AA3819="Yes",1,0))</f>
        <v/>
      </c>
      <c r="AR3819">
        <f>IF($AN3819=1,IFERROR(VALUE(MID($E3819,2,20)),1000000000)+ROW()/100000,"")</f>
        <v/>
      </c>
    </row>
    <row r="3820">
      <c r="G3820" s="11" t="n"/>
      <c r="Q3820" s="7">
        <f>IF($E3820="","",P3820*Y3820/100)</f>
        <v/>
      </c>
      <c r="R3820" s="7" t="n"/>
      <c r="X3820" s="7" t="n"/>
      <c r="Y3820" s="7" t="n"/>
      <c r="AB3820">
        <f>IF($E3820="","",IF($AQ3820=1,0,IF($AP3820=1,Settings!$C$6,Settings!$C$7))*100)</f>
        <v/>
      </c>
      <c r="AC3820" s="7">
        <f>IF($E3820="","",Y3820*AB3820/100)</f>
        <v/>
      </c>
      <c r="AD3820" s="7">
        <f>IF($E3820="","",Y3820-AC3820)</f>
        <v/>
      </c>
      <c r="AE3820" s="7">
        <f>IF($E3820="","",AD3820-Q3820)</f>
        <v/>
      </c>
      <c r="AI3820" s="7" t="n"/>
      <c r="AL3820" s="11" t="n"/>
      <c r="AN3820">
        <f>IF($E3820="","",IF(COUNTIF($E$2:$E3820,$E3820)=1,1,0))</f>
        <v/>
      </c>
      <c r="AO3820">
        <f>IF($AN3820=1,SUMPRODUCT(--($AR$2:$AR$4001&lt;$AR3820))+1,"")</f>
        <v/>
      </c>
      <c r="AP3820">
        <f>IF($E3820="","",IF(OR($U3820=TRUE(),$U3820="TRUE"),1,0))</f>
        <v/>
      </c>
      <c r="AQ3820">
        <f>IF($E3820="","",IF($AA3820="Yes",1,0))</f>
        <v/>
      </c>
      <c r="AR3820">
        <f>IF($AN3820=1,IFERROR(VALUE(MID($E3820,2,20)),1000000000)+ROW()/100000,"")</f>
        <v/>
      </c>
    </row>
    <row r="3821">
      <c r="G3821" s="11" t="n"/>
      <c r="Q3821" s="7">
        <f>IF($E3821="","",P3821*Y3821/100)</f>
        <v/>
      </c>
      <c r="R3821" s="7" t="n"/>
      <c r="X3821" s="7" t="n"/>
      <c r="Y3821" s="7" t="n"/>
      <c r="AB3821">
        <f>IF($E3821="","",IF($AQ3821=1,0,IF($AP3821=1,Settings!$C$6,Settings!$C$7))*100)</f>
        <v/>
      </c>
      <c r="AC3821" s="7">
        <f>IF($E3821="","",Y3821*AB3821/100)</f>
        <v/>
      </c>
      <c r="AD3821" s="7">
        <f>IF($E3821="","",Y3821-AC3821)</f>
        <v/>
      </c>
      <c r="AE3821" s="7">
        <f>IF($E3821="","",AD3821-Q3821)</f>
        <v/>
      </c>
      <c r="AI3821" s="7" t="n"/>
      <c r="AL3821" s="11" t="n"/>
      <c r="AN3821">
        <f>IF($E3821="","",IF(COUNTIF($E$2:$E3821,$E3821)=1,1,0))</f>
        <v/>
      </c>
      <c r="AO3821">
        <f>IF($AN3821=1,SUMPRODUCT(--($AR$2:$AR$4001&lt;$AR3821))+1,"")</f>
        <v/>
      </c>
      <c r="AP3821">
        <f>IF($E3821="","",IF(OR($U3821=TRUE(),$U3821="TRUE"),1,0))</f>
        <v/>
      </c>
      <c r="AQ3821">
        <f>IF($E3821="","",IF($AA3821="Yes",1,0))</f>
        <v/>
      </c>
      <c r="AR3821">
        <f>IF($AN3821=1,IFERROR(VALUE(MID($E3821,2,20)),1000000000)+ROW()/100000,"")</f>
        <v/>
      </c>
    </row>
    <row r="3822">
      <c r="G3822" s="11" t="n"/>
      <c r="Q3822" s="7">
        <f>IF($E3822="","",P3822*Y3822/100)</f>
        <v/>
      </c>
      <c r="R3822" s="7" t="n"/>
      <c r="X3822" s="7" t="n"/>
      <c r="Y3822" s="7" t="n"/>
      <c r="AB3822">
        <f>IF($E3822="","",IF($AQ3822=1,0,IF($AP3822=1,Settings!$C$6,Settings!$C$7))*100)</f>
        <v/>
      </c>
      <c r="AC3822" s="7">
        <f>IF($E3822="","",Y3822*AB3822/100)</f>
        <v/>
      </c>
      <c r="AD3822" s="7">
        <f>IF($E3822="","",Y3822-AC3822)</f>
        <v/>
      </c>
      <c r="AE3822" s="7">
        <f>IF($E3822="","",AD3822-Q3822)</f>
        <v/>
      </c>
      <c r="AI3822" s="7" t="n"/>
      <c r="AL3822" s="11" t="n"/>
      <c r="AN3822">
        <f>IF($E3822="","",IF(COUNTIF($E$2:$E3822,$E3822)=1,1,0))</f>
        <v/>
      </c>
      <c r="AO3822">
        <f>IF($AN3822=1,SUMPRODUCT(--($AR$2:$AR$4001&lt;$AR3822))+1,"")</f>
        <v/>
      </c>
      <c r="AP3822">
        <f>IF($E3822="","",IF(OR($U3822=TRUE(),$U3822="TRUE"),1,0))</f>
        <v/>
      </c>
      <c r="AQ3822">
        <f>IF($E3822="","",IF($AA3822="Yes",1,0))</f>
        <v/>
      </c>
      <c r="AR3822">
        <f>IF($AN3822=1,IFERROR(VALUE(MID($E3822,2,20)),1000000000)+ROW()/100000,"")</f>
        <v/>
      </c>
    </row>
    <row r="3823">
      <c r="G3823" s="11" t="n"/>
      <c r="Q3823" s="7">
        <f>IF($E3823="","",P3823*Y3823/100)</f>
        <v/>
      </c>
      <c r="R3823" s="7" t="n"/>
      <c r="X3823" s="7" t="n"/>
      <c r="Y3823" s="7" t="n"/>
      <c r="AB3823">
        <f>IF($E3823="","",IF($AQ3823=1,0,IF($AP3823=1,Settings!$C$6,Settings!$C$7))*100)</f>
        <v/>
      </c>
      <c r="AC3823" s="7">
        <f>IF($E3823="","",Y3823*AB3823/100)</f>
        <v/>
      </c>
      <c r="AD3823" s="7">
        <f>IF($E3823="","",Y3823-AC3823)</f>
        <v/>
      </c>
      <c r="AE3823" s="7">
        <f>IF($E3823="","",AD3823-Q3823)</f>
        <v/>
      </c>
      <c r="AI3823" s="7" t="n"/>
      <c r="AL3823" s="11" t="n"/>
      <c r="AN3823">
        <f>IF($E3823="","",IF(COUNTIF($E$2:$E3823,$E3823)=1,1,0))</f>
        <v/>
      </c>
      <c r="AO3823">
        <f>IF($AN3823=1,SUMPRODUCT(--($AR$2:$AR$4001&lt;$AR3823))+1,"")</f>
        <v/>
      </c>
      <c r="AP3823">
        <f>IF($E3823="","",IF(OR($U3823=TRUE(),$U3823="TRUE"),1,0))</f>
        <v/>
      </c>
      <c r="AQ3823">
        <f>IF($E3823="","",IF($AA3823="Yes",1,0))</f>
        <v/>
      </c>
      <c r="AR3823">
        <f>IF($AN3823=1,IFERROR(VALUE(MID($E3823,2,20)),1000000000)+ROW()/100000,"")</f>
        <v/>
      </c>
    </row>
    <row r="3824">
      <c r="G3824" s="11" t="n"/>
      <c r="Q3824" s="7">
        <f>IF($E3824="","",P3824*Y3824/100)</f>
        <v/>
      </c>
      <c r="R3824" s="7" t="n"/>
      <c r="X3824" s="7" t="n"/>
      <c r="Y3824" s="7" t="n"/>
      <c r="AB3824">
        <f>IF($E3824="","",IF($AQ3824=1,0,IF($AP3824=1,Settings!$C$6,Settings!$C$7))*100)</f>
        <v/>
      </c>
      <c r="AC3824" s="7">
        <f>IF($E3824="","",Y3824*AB3824/100)</f>
        <v/>
      </c>
      <c r="AD3824" s="7">
        <f>IF($E3824="","",Y3824-AC3824)</f>
        <v/>
      </c>
      <c r="AE3824" s="7">
        <f>IF($E3824="","",AD3824-Q3824)</f>
        <v/>
      </c>
      <c r="AI3824" s="7" t="n"/>
      <c r="AL3824" s="11" t="n"/>
      <c r="AN3824">
        <f>IF($E3824="","",IF(COUNTIF($E$2:$E3824,$E3824)=1,1,0))</f>
        <v/>
      </c>
      <c r="AO3824">
        <f>IF($AN3824=1,SUMPRODUCT(--($AR$2:$AR$4001&lt;$AR3824))+1,"")</f>
        <v/>
      </c>
      <c r="AP3824">
        <f>IF($E3824="","",IF(OR($U3824=TRUE(),$U3824="TRUE"),1,0))</f>
        <v/>
      </c>
      <c r="AQ3824">
        <f>IF($E3824="","",IF($AA3824="Yes",1,0))</f>
        <v/>
      </c>
      <c r="AR3824">
        <f>IF($AN3824=1,IFERROR(VALUE(MID($E3824,2,20)),1000000000)+ROW()/100000,"")</f>
        <v/>
      </c>
    </row>
    <row r="3825">
      <c r="G3825" s="11" t="n"/>
      <c r="Q3825" s="7">
        <f>IF($E3825="","",P3825*Y3825/100)</f>
        <v/>
      </c>
      <c r="R3825" s="7" t="n"/>
      <c r="X3825" s="7" t="n"/>
      <c r="Y3825" s="7" t="n"/>
      <c r="AB3825">
        <f>IF($E3825="","",IF($AQ3825=1,0,IF($AP3825=1,Settings!$C$6,Settings!$C$7))*100)</f>
        <v/>
      </c>
      <c r="AC3825" s="7">
        <f>IF($E3825="","",Y3825*AB3825/100)</f>
        <v/>
      </c>
      <c r="AD3825" s="7">
        <f>IF($E3825="","",Y3825-AC3825)</f>
        <v/>
      </c>
      <c r="AE3825" s="7">
        <f>IF($E3825="","",AD3825-Q3825)</f>
        <v/>
      </c>
      <c r="AI3825" s="7" t="n"/>
      <c r="AL3825" s="11" t="n"/>
      <c r="AN3825">
        <f>IF($E3825="","",IF(COUNTIF($E$2:$E3825,$E3825)=1,1,0))</f>
        <v/>
      </c>
      <c r="AO3825">
        <f>IF($AN3825=1,SUMPRODUCT(--($AR$2:$AR$4001&lt;$AR3825))+1,"")</f>
        <v/>
      </c>
      <c r="AP3825">
        <f>IF($E3825="","",IF(OR($U3825=TRUE(),$U3825="TRUE"),1,0))</f>
        <v/>
      </c>
      <c r="AQ3825">
        <f>IF($E3825="","",IF($AA3825="Yes",1,0))</f>
        <v/>
      </c>
      <c r="AR3825">
        <f>IF($AN3825=1,IFERROR(VALUE(MID($E3825,2,20)),1000000000)+ROW()/100000,"")</f>
        <v/>
      </c>
    </row>
    <row r="3826">
      <c r="G3826" s="11" t="n"/>
      <c r="Q3826" s="7">
        <f>IF($E3826="","",P3826*Y3826/100)</f>
        <v/>
      </c>
      <c r="R3826" s="7" t="n"/>
      <c r="X3826" s="7" t="n"/>
      <c r="Y3826" s="7" t="n"/>
      <c r="AB3826">
        <f>IF($E3826="","",IF($AQ3826=1,0,IF($AP3826=1,Settings!$C$6,Settings!$C$7))*100)</f>
        <v/>
      </c>
      <c r="AC3826" s="7">
        <f>IF($E3826="","",Y3826*AB3826/100)</f>
        <v/>
      </c>
      <c r="AD3826" s="7">
        <f>IF($E3826="","",Y3826-AC3826)</f>
        <v/>
      </c>
      <c r="AE3826" s="7">
        <f>IF($E3826="","",AD3826-Q3826)</f>
        <v/>
      </c>
      <c r="AI3826" s="7" t="n"/>
      <c r="AL3826" s="11" t="n"/>
      <c r="AN3826">
        <f>IF($E3826="","",IF(COUNTIF($E$2:$E3826,$E3826)=1,1,0))</f>
        <v/>
      </c>
      <c r="AO3826">
        <f>IF($AN3826=1,SUMPRODUCT(--($AR$2:$AR$4001&lt;$AR3826))+1,"")</f>
        <v/>
      </c>
      <c r="AP3826">
        <f>IF($E3826="","",IF(OR($U3826=TRUE(),$U3826="TRUE"),1,0))</f>
        <v/>
      </c>
      <c r="AQ3826">
        <f>IF($E3826="","",IF($AA3826="Yes",1,0))</f>
        <v/>
      </c>
      <c r="AR3826">
        <f>IF($AN3826=1,IFERROR(VALUE(MID($E3826,2,20)),1000000000)+ROW()/100000,"")</f>
        <v/>
      </c>
    </row>
    <row r="3827">
      <c r="G3827" s="11" t="n"/>
      <c r="Q3827" s="7">
        <f>IF($E3827="","",P3827*Y3827/100)</f>
        <v/>
      </c>
      <c r="R3827" s="7" t="n"/>
      <c r="X3827" s="7" t="n"/>
      <c r="Y3827" s="7" t="n"/>
      <c r="AB3827">
        <f>IF($E3827="","",IF($AQ3827=1,0,IF($AP3827=1,Settings!$C$6,Settings!$C$7))*100)</f>
        <v/>
      </c>
      <c r="AC3827" s="7">
        <f>IF($E3827="","",Y3827*AB3827/100)</f>
        <v/>
      </c>
      <c r="AD3827" s="7">
        <f>IF($E3827="","",Y3827-AC3827)</f>
        <v/>
      </c>
      <c r="AE3827" s="7">
        <f>IF($E3827="","",AD3827-Q3827)</f>
        <v/>
      </c>
      <c r="AI3827" s="7" t="n"/>
      <c r="AL3827" s="11" t="n"/>
      <c r="AN3827">
        <f>IF($E3827="","",IF(COUNTIF($E$2:$E3827,$E3827)=1,1,0))</f>
        <v/>
      </c>
      <c r="AO3827">
        <f>IF($AN3827=1,SUMPRODUCT(--($AR$2:$AR$4001&lt;$AR3827))+1,"")</f>
        <v/>
      </c>
      <c r="AP3827">
        <f>IF($E3827="","",IF(OR($U3827=TRUE(),$U3827="TRUE"),1,0))</f>
        <v/>
      </c>
      <c r="AQ3827">
        <f>IF($E3827="","",IF($AA3827="Yes",1,0))</f>
        <v/>
      </c>
      <c r="AR3827">
        <f>IF($AN3827=1,IFERROR(VALUE(MID($E3827,2,20)),1000000000)+ROW()/100000,"")</f>
        <v/>
      </c>
    </row>
    <row r="3828">
      <c r="G3828" s="11" t="n"/>
      <c r="Q3828" s="7">
        <f>IF($E3828="","",P3828*Y3828/100)</f>
        <v/>
      </c>
      <c r="R3828" s="7" t="n"/>
      <c r="X3828" s="7" t="n"/>
      <c r="Y3828" s="7" t="n"/>
      <c r="AB3828">
        <f>IF($E3828="","",IF($AQ3828=1,0,IF($AP3828=1,Settings!$C$6,Settings!$C$7))*100)</f>
        <v/>
      </c>
      <c r="AC3828" s="7">
        <f>IF($E3828="","",Y3828*AB3828/100)</f>
        <v/>
      </c>
      <c r="AD3828" s="7">
        <f>IF($E3828="","",Y3828-AC3828)</f>
        <v/>
      </c>
      <c r="AE3828" s="7">
        <f>IF($E3828="","",AD3828-Q3828)</f>
        <v/>
      </c>
      <c r="AI3828" s="7" t="n"/>
      <c r="AL3828" s="11" t="n"/>
      <c r="AN3828">
        <f>IF($E3828="","",IF(COUNTIF($E$2:$E3828,$E3828)=1,1,0))</f>
        <v/>
      </c>
      <c r="AO3828">
        <f>IF($AN3828=1,SUMPRODUCT(--($AR$2:$AR$4001&lt;$AR3828))+1,"")</f>
        <v/>
      </c>
      <c r="AP3828">
        <f>IF($E3828="","",IF(OR($U3828=TRUE(),$U3828="TRUE"),1,0))</f>
        <v/>
      </c>
      <c r="AQ3828">
        <f>IF($E3828="","",IF($AA3828="Yes",1,0))</f>
        <v/>
      </c>
      <c r="AR3828">
        <f>IF($AN3828=1,IFERROR(VALUE(MID($E3828,2,20)),1000000000)+ROW()/100000,"")</f>
        <v/>
      </c>
    </row>
    <row r="3829">
      <c r="G3829" s="11" t="n"/>
      <c r="Q3829" s="7">
        <f>IF($E3829="","",P3829*Y3829/100)</f>
        <v/>
      </c>
      <c r="R3829" s="7" t="n"/>
      <c r="X3829" s="7" t="n"/>
      <c r="Y3829" s="7" t="n"/>
      <c r="AB3829">
        <f>IF($E3829="","",IF($AQ3829=1,0,IF($AP3829=1,Settings!$C$6,Settings!$C$7))*100)</f>
        <v/>
      </c>
      <c r="AC3829" s="7">
        <f>IF($E3829="","",Y3829*AB3829/100)</f>
        <v/>
      </c>
      <c r="AD3829" s="7">
        <f>IF($E3829="","",Y3829-AC3829)</f>
        <v/>
      </c>
      <c r="AE3829" s="7">
        <f>IF($E3829="","",AD3829-Q3829)</f>
        <v/>
      </c>
      <c r="AI3829" s="7" t="n"/>
      <c r="AL3829" s="11" t="n"/>
      <c r="AN3829">
        <f>IF($E3829="","",IF(COUNTIF($E$2:$E3829,$E3829)=1,1,0))</f>
        <v/>
      </c>
      <c r="AO3829">
        <f>IF($AN3829=1,SUMPRODUCT(--($AR$2:$AR$4001&lt;$AR3829))+1,"")</f>
        <v/>
      </c>
      <c r="AP3829">
        <f>IF($E3829="","",IF(OR($U3829=TRUE(),$U3829="TRUE"),1,0))</f>
        <v/>
      </c>
      <c r="AQ3829">
        <f>IF($E3829="","",IF($AA3829="Yes",1,0))</f>
        <v/>
      </c>
      <c r="AR3829">
        <f>IF($AN3829=1,IFERROR(VALUE(MID($E3829,2,20)),1000000000)+ROW()/100000,"")</f>
        <v/>
      </c>
    </row>
    <row r="3830">
      <c r="G3830" s="11" t="n"/>
      <c r="Q3830" s="7">
        <f>IF($E3830="","",P3830*Y3830/100)</f>
        <v/>
      </c>
      <c r="R3830" s="7" t="n"/>
      <c r="X3830" s="7" t="n"/>
      <c r="Y3830" s="7" t="n"/>
      <c r="AB3830">
        <f>IF($E3830="","",IF($AQ3830=1,0,IF($AP3830=1,Settings!$C$6,Settings!$C$7))*100)</f>
        <v/>
      </c>
      <c r="AC3830" s="7">
        <f>IF($E3830="","",Y3830*AB3830/100)</f>
        <v/>
      </c>
      <c r="AD3830" s="7">
        <f>IF($E3830="","",Y3830-AC3830)</f>
        <v/>
      </c>
      <c r="AE3830" s="7">
        <f>IF($E3830="","",AD3830-Q3830)</f>
        <v/>
      </c>
      <c r="AI3830" s="7" t="n"/>
      <c r="AL3830" s="11" t="n"/>
      <c r="AN3830">
        <f>IF($E3830="","",IF(COUNTIF($E$2:$E3830,$E3830)=1,1,0))</f>
        <v/>
      </c>
      <c r="AO3830">
        <f>IF($AN3830=1,SUMPRODUCT(--($AR$2:$AR$4001&lt;$AR3830))+1,"")</f>
        <v/>
      </c>
      <c r="AP3830">
        <f>IF($E3830="","",IF(OR($U3830=TRUE(),$U3830="TRUE"),1,0))</f>
        <v/>
      </c>
      <c r="AQ3830">
        <f>IF($E3830="","",IF($AA3830="Yes",1,0))</f>
        <v/>
      </c>
      <c r="AR3830">
        <f>IF($AN3830=1,IFERROR(VALUE(MID($E3830,2,20)),1000000000)+ROW()/100000,"")</f>
        <v/>
      </c>
    </row>
    <row r="3831">
      <c r="G3831" s="11" t="n"/>
      <c r="Q3831" s="7">
        <f>IF($E3831="","",P3831*Y3831/100)</f>
        <v/>
      </c>
      <c r="R3831" s="7" t="n"/>
      <c r="X3831" s="7" t="n"/>
      <c r="Y3831" s="7" t="n"/>
      <c r="AB3831">
        <f>IF($E3831="","",IF($AQ3831=1,0,IF($AP3831=1,Settings!$C$6,Settings!$C$7))*100)</f>
        <v/>
      </c>
      <c r="AC3831" s="7">
        <f>IF($E3831="","",Y3831*AB3831/100)</f>
        <v/>
      </c>
      <c r="AD3831" s="7">
        <f>IF($E3831="","",Y3831-AC3831)</f>
        <v/>
      </c>
      <c r="AE3831" s="7">
        <f>IF($E3831="","",AD3831-Q3831)</f>
        <v/>
      </c>
      <c r="AI3831" s="7" t="n"/>
      <c r="AL3831" s="11" t="n"/>
      <c r="AN3831">
        <f>IF($E3831="","",IF(COUNTIF($E$2:$E3831,$E3831)=1,1,0))</f>
        <v/>
      </c>
      <c r="AO3831">
        <f>IF($AN3831=1,SUMPRODUCT(--($AR$2:$AR$4001&lt;$AR3831))+1,"")</f>
        <v/>
      </c>
      <c r="AP3831">
        <f>IF($E3831="","",IF(OR($U3831=TRUE(),$U3831="TRUE"),1,0))</f>
        <v/>
      </c>
      <c r="AQ3831">
        <f>IF($E3831="","",IF($AA3831="Yes",1,0))</f>
        <v/>
      </c>
      <c r="AR3831">
        <f>IF($AN3831=1,IFERROR(VALUE(MID($E3831,2,20)),1000000000)+ROW()/100000,"")</f>
        <v/>
      </c>
    </row>
    <row r="3832">
      <c r="G3832" s="11" t="n"/>
      <c r="Q3832" s="7">
        <f>IF($E3832="","",P3832*Y3832/100)</f>
        <v/>
      </c>
      <c r="R3832" s="7" t="n"/>
      <c r="X3832" s="7" t="n"/>
      <c r="Y3832" s="7" t="n"/>
      <c r="AB3832">
        <f>IF($E3832="","",IF($AQ3832=1,0,IF($AP3832=1,Settings!$C$6,Settings!$C$7))*100)</f>
        <v/>
      </c>
      <c r="AC3832" s="7">
        <f>IF($E3832="","",Y3832*AB3832/100)</f>
        <v/>
      </c>
      <c r="AD3832" s="7">
        <f>IF($E3832="","",Y3832-AC3832)</f>
        <v/>
      </c>
      <c r="AE3832" s="7">
        <f>IF($E3832="","",AD3832-Q3832)</f>
        <v/>
      </c>
      <c r="AI3832" s="7" t="n"/>
      <c r="AL3832" s="11" t="n"/>
      <c r="AN3832">
        <f>IF($E3832="","",IF(COUNTIF($E$2:$E3832,$E3832)=1,1,0))</f>
        <v/>
      </c>
      <c r="AO3832">
        <f>IF($AN3832=1,SUMPRODUCT(--($AR$2:$AR$4001&lt;$AR3832))+1,"")</f>
        <v/>
      </c>
      <c r="AP3832">
        <f>IF($E3832="","",IF(OR($U3832=TRUE(),$U3832="TRUE"),1,0))</f>
        <v/>
      </c>
      <c r="AQ3832">
        <f>IF($E3832="","",IF($AA3832="Yes",1,0))</f>
        <v/>
      </c>
      <c r="AR3832">
        <f>IF($AN3832=1,IFERROR(VALUE(MID($E3832,2,20)),1000000000)+ROW()/100000,"")</f>
        <v/>
      </c>
    </row>
    <row r="3833">
      <c r="G3833" s="11" t="n"/>
      <c r="Q3833" s="7">
        <f>IF($E3833="","",P3833*Y3833/100)</f>
        <v/>
      </c>
      <c r="R3833" s="7" t="n"/>
      <c r="X3833" s="7" t="n"/>
      <c r="Y3833" s="7" t="n"/>
      <c r="AB3833">
        <f>IF($E3833="","",IF($AQ3833=1,0,IF($AP3833=1,Settings!$C$6,Settings!$C$7))*100)</f>
        <v/>
      </c>
      <c r="AC3833" s="7">
        <f>IF($E3833="","",Y3833*AB3833/100)</f>
        <v/>
      </c>
      <c r="AD3833" s="7">
        <f>IF($E3833="","",Y3833-AC3833)</f>
        <v/>
      </c>
      <c r="AE3833" s="7">
        <f>IF($E3833="","",AD3833-Q3833)</f>
        <v/>
      </c>
      <c r="AI3833" s="7" t="n"/>
      <c r="AL3833" s="11" t="n"/>
      <c r="AN3833">
        <f>IF($E3833="","",IF(COUNTIF($E$2:$E3833,$E3833)=1,1,0))</f>
        <v/>
      </c>
      <c r="AO3833">
        <f>IF($AN3833=1,SUMPRODUCT(--($AR$2:$AR$4001&lt;$AR3833))+1,"")</f>
        <v/>
      </c>
      <c r="AP3833">
        <f>IF($E3833="","",IF(OR($U3833=TRUE(),$U3833="TRUE"),1,0))</f>
        <v/>
      </c>
      <c r="AQ3833">
        <f>IF($E3833="","",IF($AA3833="Yes",1,0))</f>
        <v/>
      </c>
      <c r="AR3833">
        <f>IF($AN3833=1,IFERROR(VALUE(MID($E3833,2,20)),1000000000)+ROW()/100000,"")</f>
        <v/>
      </c>
    </row>
    <row r="3834">
      <c r="G3834" s="11" t="n"/>
      <c r="Q3834" s="7">
        <f>IF($E3834="","",P3834*Y3834/100)</f>
        <v/>
      </c>
      <c r="R3834" s="7" t="n"/>
      <c r="X3834" s="7" t="n"/>
      <c r="Y3834" s="7" t="n"/>
      <c r="AB3834">
        <f>IF($E3834="","",IF($AQ3834=1,0,IF($AP3834=1,Settings!$C$6,Settings!$C$7))*100)</f>
        <v/>
      </c>
      <c r="AC3834" s="7">
        <f>IF($E3834="","",Y3834*AB3834/100)</f>
        <v/>
      </c>
      <c r="AD3834" s="7">
        <f>IF($E3834="","",Y3834-AC3834)</f>
        <v/>
      </c>
      <c r="AE3834" s="7">
        <f>IF($E3834="","",AD3834-Q3834)</f>
        <v/>
      </c>
      <c r="AI3834" s="7" t="n"/>
      <c r="AL3834" s="11" t="n"/>
      <c r="AN3834">
        <f>IF($E3834="","",IF(COUNTIF($E$2:$E3834,$E3834)=1,1,0))</f>
        <v/>
      </c>
      <c r="AO3834">
        <f>IF($AN3834=1,SUMPRODUCT(--($AR$2:$AR$4001&lt;$AR3834))+1,"")</f>
        <v/>
      </c>
      <c r="AP3834">
        <f>IF($E3834="","",IF(OR($U3834=TRUE(),$U3834="TRUE"),1,0))</f>
        <v/>
      </c>
      <c r="AQ3834">
        <f>IF($E3834="","",IF($AA3834="Yes",1,0))</f>
        <v/>
      </c>
      <c r="AR3834">
        <f>IF($AN3834=1,IFERROR(VALUE(MID($E3834,2,20)),1000000000)+ROW()/100000,"")</f>
        <v/>
      </c>
    </row>
    <row r="3835">
      <c r="G3835" s="11" t="n"/>
      <c r="Q3835" s="7">
        <f>IF($E3835="","",P3835*Y3835/100)</f>
        <v/>
      </c>
      <c r="R3835" s="7" t="n"/>
      <c r="X3835" s="7" t="n"/>
      <c r="Y3835" s="7" t="n"/>
      <c r="AB3835">
        <f>IF($E3835="","",IF($AQ3835=1,0,IF($AP3835=1,Settings!$C$6,Settings!$C$7))*100)</f>
        <v/>
      </c>
      <c r="AC3835" s="7">
        <f>IF($E3835="","",Y3835*AB3835/100)</f>
        <v/>
      </c>
      <c r="AD3835" s="7">
        <f>IF($E3835="","",Y3835-AC3835)</f>
        <v/>
      </c>
      <c r="AE3835" s="7">
        <f>IF($E3835="","",AD3835-Q3835)</f>
        <v/>
      </c>
      <c r="AI3835" s="7" t="n"/>
      <c r="AL3835" s="11" t="n"/>
      <c r="AN3835">
        <f>IF($E3835="","",IF(COUNTIF($E$2:$E3835,$E3835)=1,1,0))</f>
        <v/>
      </c>
      <c r="AO3835">
        <f>IF($AN3835=1,SUMPRODUCT(--($AR$2:$AR$4001&lt;$AR3835))+1,"")</f>
        <v/>
      </c>
      <c r="AP3835">
        <f>IF($E3835="","",IF(OR($U3835=TRUE(),$U3835="TRUE"),1,0))</f>
        <v/>
      </c>
      <c r="AQ3835">
        <f>IF($E3835="","",IF($AA3835="Yes",1,0))</f>
        <v/>
      </c>
      <c r="AR3835">
        <f>IF($AN3835=1,IFERROR(VALUE(MID($E3835,2,20)),1000000000)+ROW()/100000,"")</f>
        <v/>
      </c>
    </row>
    <row r="3836">
      <c r="G3836" s="11" t="n"/>
      <c r="Q3836" s="7">
        <f>IF($E3836="","",P3836*Y3836/100)</f>
        <v/>
      </c>
      <c r="R3836" s="7" t="n"/>
      <c r="X3836" s="7" t="n"/>
      <c r="Y3836" s="7" t="n"/>
      <c r="AB3836">
        <f>IF($E3836="","",IF($AQ3836=1,0,IF($AP3836=1,Settings!$C$6,Settings!$C$7))*100)</f>
        <v/>
      </c>
      <c r="AC3836" s="7">
        <f>IF($E3836="","",Y3836*AB3836/100)</f>
        <v/>
      </c>
      <c r="AD3836" s="7">
        <f>IF($E3836="","",Y3836-AC3836)</f>
        <v/>
      </c>
      <c r="AE3836" s="7">
        <f>IF($E3836="","",AD3836-Q3836)</f>
        <v/>
      </c>
      <c r="AI3836" s="7" t="n"/>
      <c r="AL3836" s="11" t="n"/>
      <c r="AN3836">
        <f>IF($E3836="","",IF(COUNTIF($E$2:$E3836,$E3836)=1,1,0))</f>
        <v/>
      </c>
      <c r="AO3836">
        <f>IF($AN3836=1,SUMPRODUCT(--($AR$2:$AR$4001&lt;$AR3836))+1,"")</f>
        <v/>
      </c>
      <c r="AP3836">
        <f>IF($E3836="","",IF(OR($U3836=TRUE(),$U3836="TRUE"),1,0))</f>
        <v/>
      </c>
      <c r="AQ3836">
        <f>IF($E3836="","",IF($AA3836="Yes",1,0))</f>
        <v/>
      </c>
      <c r="AR3836">
        <f>IF($AN3836=1,IFERROR(VALUE(MID($E3836,2,20)),1000000000)+ROW()/100000,"")</f>
        <v/>
      </c>
    </row>
    <row r="3837">
      <c r="G3837" s="11" t="n"/>
      <c r="Q3837" s="7">
        <f>IF($E3837="","",P3837*Y3837/100)</f>
        <v/>
      </c>
      <c r="R3837" s="7" t="n"/>
      <c r="X3837" s="7" t="n"/>
      <c r="Y3837" s="7" t="n"/>
      <c r="AB3837">
        <f>IF($E3837="","",IF($AQ3837=1,0,IF($AP3837=1,Settings!$C$6,Settings!$C$7))*100)</f>
        <v/>
      </c>
      <c r="AC3837" s="7">
        <f>IF($E3837="","",Y3837*AB3837/100)</f>
        <v/>
      </c>
      <c r="AD3837" s="7">
        <f>IF($E3837="","",Y3837-AC3837)</f>
        <v/>
      </c>
      <c r="AE3837" s="7">
        <f>IF($E3837="","",AD3837-Q3837)</f>
        <v/>
      </c>
      <c r="AI3837" s="7" t="n"/>
      <c r="AL3837" s="11" t="n"/>
      <c r="AN3837">
        <f>IF($E3837="","",IF(COUNTIF($E$2:$E3837,$E3837)=1,1,0))</f>
        <v/>
      </c>
      <c r="AO3837">
        <f>IF($AN3837=1,SUMPRODUCT(--($AR$2:$AR$4001&lt;$AR3837))+1,"")</f>
        <v/>
      </c>
      <c r="AP3837">
        <f>IF($E3837="","",IF(OR($U3837=TRUE(),$U3837="TRUE"),1,0))</f>
        <v/>
      </c>
      <c r="AQ3837">
        <f>IF($E3837="","",IF($AA3837="Yes",1,0))</f>
        <v/>
      </c>
      <c r="AR3837">
        <f>IF($AN3837=1,IFERROR(VALUE(MID($E3837,2,20)),1000000000)+ROW()/100000,"")</f>
        <v/>
      </c>
    </row>
    <row r="3838">
      <c r="G3838" s="11" t="n"/>
      <c r="Q3838" s="7">
        <f>IF($E3838="","",P3838*Y3838/100)</f>
        <v/>
      </c>
      <c r="R3838" s="7" t="n"/>
      <c r="X3838" s="7" t="n"/>
      <c r="Y3838" s="7" t="n"/>
      <c r="AB3838">
        <f>IF($E3838="","",IF($AQ3838=1,0,IF($AP3838=1,Settings!$C$6,Settings!$C$7))*100)</f>
        <v/>
      </c>
      <c r="AC3838" s="7">
        <f>IF($E3838="","",Y3838*AB3838/100)</f>
        <v/>
      </c>
      <c r="AD3838" s="7">
        <f>IF($E3838="","",Y3838-AC3838)</f>
        <v/>
      </c>
      <c r="AE3838" s="7">
        <f>IF($E3838="","",AD3838-Q3838)</f>
        <v/>
      </c>
      <c r="AI3838" s="7" t="n"/>
      <c r="AL3838" s="11" t="n"/>
      <c r="AN3838">
        <f>IF($E3838="","",IF(COUNTIF($E$2:$E3838,$E3838)=1,1,0))</f>
        <v/>
      </c>
      <c r="AO3838">
        <f>IF($AN3838=1,SUMPRODUCT(--($AR$2:$AR$4001&lt;$AR3838))+1,"")</f>
        <v/>
      </c>
      <c r="AP3838">
        <f>IF($E3838="","",IF(OR($U3838=TRUE(),$U3838="TRUE"),1,0))</f>
        <v/>
      </c>
      <c r="AQ3838">
        <f>IF($E3838="","",IF($AA3838="Yes",1,0))</f>
        <v/>
      </c>
      <c r="AR3838">
        <f>IF($AN3838=1,IFERROR(VALUE(MID($E3838,2,20)),1000000000)+ROW()/100000,"")</f>
        <v/>
      </c>
    </row>
    <row r="3839">
      <c r="G3839" s="11" t="n"/>
      <c r="Q3839" s="7">
        <f>IF($E3839="","",P3839*Y3839/100)</f>
        <v/>
      </c>
      <c r="R3839" s="7" t="n"/>
      <c r="X3839" s="7" t="n"/>
      <c r="Y3839" s="7" t="n"/>
      <c r="AB3839">
        <f>IF($E3839="","",IF($AQ3839=1,0,IF($AP3839=1,Settings!$C$6,Settings!$C$7))*100)</f>
        <v/>
      </c>
      <c r="AC3839" s="7">
        <f>IF($E3839="","",Y3839*AB3839/100)</f>
        <v/>
      </c>
      <c r="AD3839" s="7">
        <f>IF($E3839="","",Y3839-AC3839)</f>
        <v/>
      </c>
      <c r="AE3839" s="7">
        <f>IF($E3839="","",AD3839-Q3839)</f>
        <v/>
      </c>
      <c r="AI3839" s="7" t="n"/>
      <c r="AL3839" s="11" t="n"/>
      <c r="AN3839">
        <f>IF($E3839="","",IF(COUNTIF($E$2:$E3839,$E3839)=1,1,0))</f>
        <v/>
      </c>
      <c r="AO3839">
        <f>IF($AN3839=1,SUMPRODUCT(--($AR$2:$AR$4001&lt;$AR3839))+1,"")</f>
        <v/>
      </c>
      <c r="AP3839">
        <f>IF($E3839="","",IF(OR($U3839=TRUE(),$U3839="TRUE"),1,0))</f>
        <v/>
      </c>
      <c r="AQ3839">
        <f>IF($E3839="","",IF($AA3839="Yes",1,0))</f>
        <v/>
      </c>
      <c r="AR3839">
        <f>IF($AN3839=1,IFERROR(VALUE(MID($E3839,2,20)),1000000000)+ROW()/100000,"")</f>
        <v/>
      </c>
    </row>
    <row r="3840">
      <c r="G3840" s="11" t="n"/>
      <c r="Q3840" s="7">
        <f>IF($E3840="","",P3840*Y3840/100)</f>
        <v/>
      </c>
      <c r="R3840" s="7" t="n"/>
      <c r="X3840" s="7" t="n"/>
      <c r="Y3840" s="7" t="n"/>
      <c r="AB3840">
        <f>IF($E3840="","",IF($AQ3840=1,0,IF($AP3840=1,Settings!$C$6,Settings!$C$7))*100)</f>
        <v/>
      </c>
      <c r="AC3840" s="7">
        <f>IF($E3840="","",Y3840*AB3840/100)</f>
        <v/>
      </c>
      <c r="AD3840" s="7">
        <f>IF($E3840="","",Y3840-AC3840)</f>
        <v/>
      </c>
      <c r="AE3840" s="7">
        <f>IF($E3840="","",AD3840-Q3840)</f>
        <v/>
      </c>
      <c r="AI3840" s="7" t="n"/>
      <c r="AL3840" s="11" t="n"/>
      <c r="AN3840">
        <f>IF($E3840="","",IF(COUNTIF($E$2:$E3840,$E3840)=1,1,0))</f>
        <v/>
      </c>
      <c r="AO3840">
        <f>IF($AN3840=1,SUMPRODUCT(--($AR$2:$AR$4001&lt;$AR3840))+1,"")</f>
        <v/>
      </c>
      <c r="AP3840">
        <f>IF($E3840="","",IF(OR($U3840=TRUE(),$U3840="TRUE"),1,0))</f>
        <v/>
      </c>
      <c r="AQ3840">
        <f>IF($E3840="","",IF($AA3840="Yes",1,0))</f>
        <v/>
      </c>
      <c r="AR3840">
        <f>IF($AN3840=1,IFERROR(VALUE(MID($E3840,2,20)),1000000000)+ROW()/100000,"")</f>
        <v/>
      </c>
    </row>
    <row r="3841">
      <c r="G3841" s="11" t="n"/>
      <c r="Q3841" s="7">
        <f>IF($E3841="","",P3841*Y3841/100)</f>
        <v/>
      </c>
      <c r="R3841" s="7" t="n"/>
      <c r="X3841" s="7" t="n"/>
      <c r="Y3841" s="7" t="n"/>
      <c r="AB3841">
        <f>IF($E3841="","",IF($AQ3841=1,0,IF($AP3841=1,Settings!$C$6,Settings!$C$7))*100)</f>
        <v/>
      </c>
      <c r="AC3841" s="7">
        <f>IF($E3841="","",Y3841*AB3841/100)</f>
        <v/>
      </c>
      <c r="AD3841" s="7">
        <f>IF($E3841="","",Y3841-AC3841)</f>
        <v/>
      </c>
      <c r="AE3841" s="7">
        <f>IF($E3841="","",AD3841-Q3841)</f>
        <v/>
      </c>
      <c r="AI3841" s="7" t="n"/>
      <c r="AL3841" s="11" t="n"/>
      <c r="AN3841">
        <f>IF($E3841="","",IF(COUNTIF($E$2:$E3841,$E3841)=1,1,0))</f>
        <v/>
      </c>
      <c r="AO3841">
        <f>IF($AN3841=1,SUMPRODUCT(--($AR$2:$AR$4001&lt;$AR3841))+1,"")</f>
        <v/>
      </c>
      <c r="AP3841">
        <f>IF($E3841="","",IF(OR($U3841=TRUE(),$U3841="TRUE"),1,0))</f>
        <v/>
      </c>
      <c r="AQ3841">
        <f>IF($E3841="","",IF($AA3841="Yes",1,0))</f>
        <v/>
      </c>
      <c r="AR3841">
        <f>IF($AN3841=1,IFERROR(VALUE(MID($E3841,2,20)),1000000000)+ROW()/100000,"")</f>
        <v/>
      </c>
    </row>
    <row r="3842">
      <c r="G3842" s="11" t="n"/>
      <c r="Q3842" s="7">
        <f>IF($E3842="","",P3842*Y3842/100)</f>
        <v/>
      </c>
      <c r="R3842" s="7" t="n"/>
      <c r="X3842" s="7" t="n"/>
      <c r="Y3842" s="7" t="n"/>
      <c r="AB3842">
        <f>IF($E3842="","",IF($AQ3842=1,0,IF($AP3842=1,Settings!$C$6,Settings!$C$7))*100)</f>
        <v/>
      </c>
      <c r="AC3842" s="7">
        <f>IF($E3842="","",Y3842*AB3842/100)</f>
        <v/>
      </c>
      <c r="AD3842" s="7">
        <f>IF($E3842="","",Y3842-AC3842)</f>
        <v/>
      </c>
      <c r="AE3842" s="7">
        <f>IF($E3842="","",AD3842-Q3842)</f>
        <v/>
      </c>
      <c r="AI3842" s="7" t="n"/>
      <c r="AL3842" s="11" t="n"/>
      <c r="AN3842">
        <f>IF($E3842="","",IF(COUNTIF($E$2:$E3842,$E3842)=1,1,0))</f>
        <v/>
      </c>
      <c r="AO3842">
        <f>IF($AN3842=1,SUMPRODUCT(--($AR$2:$AR$4001&lt;$AR3842))+1,"")</f>
        <v/>
      </c>
      <c r="AP3842">
        <f>IF($E3842="","",IF(OR($U3842=TRUE(),$U3842="TRUE"),1,0))</f>
        <v/>
      </c>
      <c r="AQ3842">
        <f>IF($E3842="","",IF($AA3842="Yes",1,0))</f>
        <v/>
      </c>
      <c r="AR3842">
        <f>IF($AN3842=1,IFERROR(VALUE(MID($E3842,2,20)),1000000000)+ROW()/100000,"")</f>
        <v/>
      </c>
    </row>
    <row r="3843">
      <c r="G3843" s="11" t="n"/>
      <c r="Q3843" s="7">
        <f>IF($E3843="","",P3843*Y3843/100)</f>
        <v/>
      </c>
      <c r="R3843" s="7" t="n"/>
      <c r="X3843" s="7" t="n"/>
      <c r="Y3843" s="7" t="n"/>
      <c r="AB3843">
        <f>IF($E3843="","",IF($AQ3843=1,0,IF($AP3843=1,Settings!$C$6,Settings!$C$7))*100)</f>
        <v/>
      </c>
      <c r="AC3843" s="7">
        <f>IF($E3843="","",Y3843*AB3843/100)</f>
        <v/>
      </c>
      <c r="AD3843" s="7">
        <f>IF($E3843="","",Y3843-AC3843)</f>
        <v/>
      </c>
      <c r="AE3843" s="7">
        <f>IF($E3843="","",AD3843-Q3843)</f>
        <v/>
      </c>
      <c r="AI3843" s="7" t="n"/>
      <c r="AL3843" s="11" t="n"/>
      <c r="AN3843">
        <f>IF($E3843="","",IF(COUNTIF($E$2:$E3843,$E3843)=1,1,0))</f>
        <v/>
      </c>
      <c r="AO3843">
        <f>IF($AN3843=1,SUMPRODUCT(--($AR$2:$AR$4001&lt;$AR3843))+1,"")</f>
        <v/>
      </c>
      <c r="AP3843">
        <f>IF($E3843="","",IF(OR($U3843=TRUE(),$U3843="TRUE"),1,0))</f>
        <v/>
      </c>
      <c r="AQ3843">
        <f>IF($E3843="","",IF($AA3843="Yes",1,0))</f>
        <v/>
      </c>
      <c r="AR3843">
        <f>IF($AN3843=1,IFERROR(VALUE(MID($E3843,2,20)),1000000000)+ROW()/100000,"")</f>
        <v/>
      </c>
    </row>
    <row r="3844">
      <c r="G3844" s="11" t="n"/>
      <c r="Q3844" s="7">
        <f>IF($E3844="","",P3844*Y3844/100)</f>
        <v/>
      </c>
      <c r="R3844" s="7" t="n"/>
      <c r="X3844" s="7" t="n"/>
      <c r="Y3844" s="7" t="n"/>
      <c r="AB3844">
        <f>IF($E3844="","",IF($AQ3844=1,0,IF($AP3844=1,Settings!$C$6,Settings!$C$7))*100)</f>
        <v/>
      </c>
      <c r="AC3844" s="7">
        <f>IF($E3844="","",Y3844*AB3844/100)</f>
        <v/>
      </c>
      <c r="AD3844" s="7">
        <f>IF($E3844="","",Y3844-AC3844)</f>
        <v/>
      </c>
      <c r="AE3844" s="7">
        <f>IF($E3844="","",AD3844-Q3844)</f>
        <v/>
      </c>
      <c r="AI3844" s="7" t="n"/>
      <c r="AL3844" s="11" t="n"/>
      <c r="AN3844">
        <f>IF($E3844="","",IF(COUNTIF($E$2:$E3844,$E3844)=1,1,0))</f>
        <v/>
      </c>
      <c r="AO3844">
        <f>IF($AN3844=1,SUMPRODUCT(--($AR$2:$AR$4001&lt;$AR3844))+1,"")</f>
        <v/>
      </c>
      <c r="AP3844">
        <f>IF($E3844="","",IF(OR($U3844=TRUE(),$U3844="TRUE"),1,0))</f>
        <v/>
      </c>
      <c r="AQ3844">
        <f>IF($E3844="","",IF($AA3844="Yes",1,0))</f>
        <v/>
      </c>
      <c r="AR3844">
        <f>IF($AN3844=1,IFERROR(VALUE(MID($E3844,2,20)),1000000000)+ROW()/100000,"")</f>
        <v/>
      </c>
    </row>
    <row r="3845">
      <c r="G3845" s="11" t="n"/>
      <c r="Q3845" s="7">
        <f>IF($E3845="","",P3845*Y3845/100)</f>
        <v/>
      </c>
      <c r="R3845" s="7" t="n"/>
      <c r="X3845" s="7" t="n"/>
      <c r="Y3845" s="7" t="n"/>
      <c r="AB3845">
        <f>IF($E3845="","",IF($AQ3845=1,0,IF($AP3845=1,Settings!$C$6,Settings!$C$7))*100)</f>
        <v/>
      </c>
      <c r="AC3845" s="7">
        <f>IF($E3845="","",Y3845*AB3845/100)</f>
        <v/>
      </c>
      <c r="AD3845" s="7">
        <f>IF($E3845="","",Y3845-AC3845)</f>
        <v/>
      </c>
      <c r="AE3845" s="7">
        <f>IF($E3845="","",AD3845-Q3845)</f>
        <v/>
      </c>
      <c r="AI3845" s="7" t="n"/>
      <c r="AL3845" s="11" t="n"/>
      <c r="AN3845">
        <f>IF($E3845="","",IF(COUNTIF($E$2:$E3845,$E3845)=1,1,0))</f>
        <v/>
      </c>
      <c r="AO3845">
        <f>IF($AN3845=1,SUMPRODUCT(--($AR$2:$AR$4001&lt;$AR3845))+1,"")</f>
        <v/>
      </c>
      <c r="AP3845">
        <f>IF($E3845="","",IF(OR($U3845=TRUE(),$U3845="TRUE"),1,0))</f>
        <v/>
      </c>
      <c r="AQ3845">
        <f>IF($E3845="","",IF($AA3845="Yes",1,0))</f>
        <v/>
      </c>
      <c r="AR3845">
        <f>IF($AN3845=1,IFERROR(VALUE(MID($E3845,2,20)),1000000000)+ROW()/100000,"")</f>
        <v/>
      </c>
    </row>
    <row r="3846">
      <c r="G3846" s="11" t="n"/>
      <c r="Q3846" s="7">
        <f>IF($E3846="","",P3846*Y3846/100)</f>
        <v/>
      </c>
      <c r="R3846" s="7" t="n"/>
      <c r="X3846" s="7" t="n"/>
      <c r="Y3846" s="7" t="n"/>
      <c r="AB3846">
        <f>IF($E3846="","",IF($AQ3846=1,0,IF($AP3846=1,Settings!$C$6,Settings!$C$7))*100)</f>
        <v/>
      </c>
      <c r="AC3846" s="7">
        <f>IF($E3846="","",Y3846*AB3846/100)</f>
        <v/>
      </c>
      <c r="AD3846" s="7">
        <f>IF($E3846="","",Y3846-AC3846)</f>
        <v/>
      </c>
      <c r="AE3846" s="7">
        <f>IF($E3846="","",AD3846-Q3846)</f>
        <v/>
      </c>
      <c r="AI3846" s="7" t="n"/>
      <c r="AL3846" s="11" t="n"/>
      <c r="AN3846">
        <f>IF($E3846="","",IF(COUNTIF($E$2:$E3846,$E3846)=1,1,0))</f>
        <v/>
      </c>
      <c r="AO3846">
        <f>IF($AN3846=1,SUMPRODUCT(--($AR$2:$AR$4001&lt;$AR3846))+1,"")</f>
        <v/>
      </c>
      <c r="AP3846">
        <f>IF($E3846="","",IF(OR($U3846=TRUE(),$U3846="TRUE"),1,0))</f>
        <v/>
      </c>
      <c r="AQ3846">
        <f>IF($E3846="","",IF($AA3846="Yes",1,0))</f>
        <v/>
      </c>
      <c r="AR3846">
        <f>IF($AN3846=1,IFERROR(VALUE(MID($E3846,2,20)),1000000000)+ROW()/100000,"")</f>
        <v/>
      </c>
    </row>
    <row r="3847">
      <c r="G3847" s="11" t="n"/>
      <c r="Q3847" s="7">
        <f>IF($E3847="","",P3847*Y3847/100)</f>
        <v/>
      </c>
      <c r="R3847" s="7" t="n"/>
      <c r="X3847" s="7" t="n"/>
      <c r="Y3847" s="7" t="n"/>
      <c r="AB3847">
        <f>IF($E3847="","",IF($AQ3847=1,0,IF($AP3847=1,Settings!$C$6,Settings!$C$7))*100)</f>
        <v/>
      </c>
      <c r="AC3847" s="7">
        <f>IF($E3847="","",Y3847*AB3847/100)</f>
        <v/>
      </c>
      <c r="AD3847" s="7">
        <f>IF($E3847="","",Y3847-AC3847)</f>
        <v/>
      </c>
      <c r="AE3847" s="7">
        <f>IF($E3847="","",AD3847-Q3847)</f>
        <v/>
      </c>
      <c r="AI3847" s="7" t="n"/>
      <c r="AL3847" s="11" t="n"/>
      <c r="AN3847">
        <f>IF($E3847="","",IF(COUNTIF($E$2:$E3847,$E3847)=1,1,0))</f>
        <v/>
      </c>
      <c r="AO3847">
        <f>IF($AN3847=1,SUMPRODUCT(--($AR$2:$AR$4001&lt;$AR3847))+1,"")</f>
        <v/>
      </c>
      <c r="AP3847">
        <f>IF($E3847="","",IF(OR($U3847=TRUE(),$U3847="TRUE"),1,0))</f>
        <v/>
      </c>
      <c r="AQ3847">
        <f>IF($E3847="","",IF($AA3847="Yes",1,0))</f>
        <v/>
      </c>
      <c r="AR3847">
        <f>IF($AN3847=1,IFERROR(VALUE(MID($E3847,2,20)),1000000000)+ROW()/100000,"")</f>
        <v/>
      </c>
    </row>
    <row r="3848">
      <c r="G3848" s="11" t="n"/>
      <c r="Q3848" s="7">
        <f>IF($E3848="","",P3848*Y3848/100)</f>
        <v/>
      </c>
      <c r="R3848" s="7" t="n"/>
      <c r="X3848" s="7" t="n"/>
      <c r="Y3848" s="7" t="n"/>
      <c r="AB3848">
        <f>IF($E3848="","",IF($AQ3848=1,0,IF($AP3848=1,Settings!$C$6,Settings!$C$7))*100)</f>
        <v/>
      </c>
      <c r="AC3848" s="7">
        <f>IF($E3848="","",Y3848*AB3848/100)</f>
        <v/>
      </c>
      <c r="AD3848" s="7">
        <f>IF($E3848="","",Y3848-AC3848)</f>
        <v/>
      </c>
      <c r="AE3848" s="7">
        <f>IF($E3848="","",AD3848-Q3848)</f>
        <v/>
      </c>
      <c r="AI3848" s="7" t="n"/>
      <c r="AL3848" s="11" t="n"/>
      <c r="AN3848">
        <f>IF($E3848="","",IF(COUNTIF($E$2:$E3848,$E3848)=1,1,0))</f>
        <v/>
      </c>
      <c r="AO3848">
        <f>IF($AN3848=1,SUMPRODUCT(--($AR$2:$AR$4001&lt;$AR3848))+1,"")</f>
        <v/>
      </c>
      <c r="AP3848">
        <f>IF($E3848="","",IF(OR($U3848=TRUE(),$U3848="TRUE"),1,0))</f>
        <v/>
      </c>
      <c r="AQ3848">
        <f>IF($E3848="","",IF($AA3848="Yes",1,0))</f>
        <v/>
      </c>
      <c r="AR3848">
        <f>IF($AN3848=1,IFERROR(VALUE(MID($E3848,2,20)),1000000000)+ROW()/100000,"")</f>
        <v/>
      </c>
    </row>
    <row r="3849">
      <c r="G3849" s="11" t="n"/>
      <c r="Q3849" s="7">
        <f>IF($E3849="","",P3849*Y3849/100)</f>
        <v/>
      </c>
      <c r="R3849" s="7" t="n"/>
      <c r="X3849" s="7" t="n"/>
      <c r="Y3849" s="7" t="n"/>
      <c r="AB3849">
        <f>IF($E3849="","",IF($AQ3849=1,0,IF($AP3849=1,Settings!$C$6,Settings!$C$7))*100)</f>
        <v/>
      </c>
      <c r="AC3849" s="7">
        <f>IF($E3849="","",Y3849*AB3849/100)</f>
        <v/>
      </c>
      <c r="AD3849" s="7">
        <f>IF($E3849="","",Y3849-AC3849)</f>
        <v/>
      </c>
      <c r="AE3849" s="7">
        <f>IF($E3849="","",AD3849-Q3849)</f>
        <v/>
      </c>
      <c r="AI3849" s="7" t="n"/>
      <c r="AL3849" s="11" t="n"/>
      <c r="AN3849">
        <f>IF($E3849="","",IF(COUNTIF($E$2:$E3849,$E3849)=1,1,0))</f>
        <v/>
      </c>
      <c r="AO3849">
        <f>IF($AN3849=1,SUMPRODUCT(--($AR$2:$AR$4001&lt;$AR3849))+1,"")</f>
        <v/>
      </c>
      <c r="AP3849">
        <f>IF($E3849="","",IF(OR($U3849=TRUE(),$U3849="TRUE"),1,0))</f>
        <v/>
      </c>
      <c r="AQ3849">
        <f>IF($E3849="","",IF($AA3849="Yes",1,0))</f>
        <v/>
      </c>
      <c r="AR3849">
        <f>IF($AN3849=1,IFERROR(VALUE(MID($E3849,2,20)),1000000000)+ROW()/100000,"")</f>
        <v/>
      </c>
    </row>
    <row r="3850">
      <c r="G3850" s="11" t="n"/>
      <c r="Q3850" s="7">
        <f>IF($E3850="","",P3850*Y3850/100)</f>
        <v/>
      </c>
      <c r="R3850" s="7" t="n"/>
      <c r="X3850" s="7" t="n"/>
      <c r="Y3850" s="7" t="n"/>
      <c r="AB3850">
        <f>IF($E3850="","",IF($AQ3850=1,0,IF($AP3850=1,Settings!$C$6,Settings!$C$7))*100)</f>
        <v/>
      </c>
      <c r="AC3850" s="7">
        <f>IF($E3850="","",Y3850*AB3850/100)</f>
        <v/>
      </c>
      <c r="AD3850" s="7">
        <f>IF($E3850="","",Y3850-AC3850)</f>
        <v/>
      </c>
      <c r="AE3850" s="7">
        <f>IF($E3850="","",AD3850-Q3850)</f>
        <v/>
      </c>
      <c r="AI3850" s="7" t="n"/>
      <c r="AL3850" s="11" t="n"/>
      <c r="AN3850">
        <f>IF($E3850="","",IF(COUNTIF($E$2:$E3850,$E3850)=1,1,0))</f>
        <v/>
      </c>
      <c r="AO3850">
        <f>IF($AN3850=1,SUMPRODUCT(--($AR$2:$AR$4001&lt;$AR3850))+1,"")</f>
        <v/>
      </c>
      <c r="AP3850">
        <f>IF($E3850="","",IF(OR($U3850=TRUE(),$U3850="TRUE"),1,0))</f>
        <v/>
      </c>
      <c r="AQ3850">
        <f>IF($E3850="","",IF($AA3850="Yes",1,0))</f>
        <v/>
      </c>
      <c r="AR3850">
        <f>IF($AN3850=1,IFERROR(VALUE(MID($E3850,2,20)),1000000000)+ROW()/100000,"")</f>
        <v/>
      </c>
    </row>
    <row r="3851">
      <c r="G3851" s="11" t="n"/>
      <c r="Q3851" s="7">
        <f>IF($E3851="","",P3851*Y3851/100)</f>
        <v/>
      </c>
      <c r="R3851" s="7" t="n"/>
      <c r="X3851" s="7" t="n"/>
      <c r="Y3851" s="7" t="n"/>
      <c r="AB3851">
        <f>IF($E3851="","",IF($AQ3851=1,0,IF($AP3851=1,Settings!$C$6,Settings!$C$7))*100)</f>
        <v/>
      </c>
      <c r="AC3851" s="7">
        <f>IF($E3851="","",Y3851*AB3851/100)</f>
        <v/>
      </c>
      <c r="AD3851" s="7">
        <f>IF($E3851="","",Y3851-AC3851)</f>
        <v/>
      </c>
      <c r="AE3851" s="7">
        <f>IF($E3851="","",AD3851-Q3851)</f>
        <v/>
      </c>
      <c r="AI3851" s="7" t="n"/>
      <c r="AL3851" s="11" t="n"/>
      <c r="AN3851">
        <f>IF($E3851="","",IF(COUNTIF($E$2:$E3851,$E3851)=1,1,0))</f>
        <v/>
      </c>
      <c r="AO3851">
        <f>IF($AN3851=1,SUMPRODUCT(--($AR$2:$AR$4001&lt;$AR3851))+1,"")</f>
        <v/>
      </c>
      <c r="AP3851">
        <f>IF($E3851="","",IF(OR($U3851=TRUE(),$U3851="TRUE"),1,0))</f>
        <v/>
      </c>
      <c r="AQ3851">
        <f>IF($E3851="","",IF($AA3851="Yes",1,0))</f>
        <v/>
      </c>
      <c r="AR3851">
        <f>IF($AN3851=1,IFERROR(VALUE(MID($E3851,2,20)),1000000000)+ROW()/100000,"")</f>
        <v/>
      </c>
    </row>
    <row r="3852">
      <c r="G3852" s="11" t="n"/>
      <c r="Q3852" s="7">
        <f>IF($E3852="","",P3852*Y3852/100)</f>
        <v/>
      </c>
      <c r="R3852" s="7" t="n"/>
      <c r="X3852" s="7" t="n"/>
      <c r="Y3852" s="7" t="n"/>
      <c r="AB3852">
        <f>IF($E3852="","",IF($AQ3852=1,0,IF($AP3852=1,Settings!$C$6,Settings!$C$7))*100)</f>
        <v/>
      </c>
      <c r="AC3852" s="7">
        <f>IF($E3852="","",Y3852*AB3852/100)</f>
        <v/>
      </c>
      <c r="AD3852" s="7">
        <f>IF($E3852="","",Y3852-AC3852)</f>
        <v/>
      </c>
      <c r="AE3852" s="7">
        <f>IF($E3852="","",AD3852-Q3852)</f>
        <v/>
      </c>
      <c r="AI3852" s="7" t="n"/>
      <c r="AL3852" s="11" t="n"/>
      <c r="AN3852">
        <f>IF($E3852="","",IF(COUNTIF($E$2:$E3852,$E3852)=1,1,0))</f>
        <v/>
      </c>
      <c r="AO3852">
        <f>IF($AN3852=1,SUMPRODUCT(--($AR$2:$AR$4001&lt;$AR3852))+1,"")</f>
        <v/>
      </c>
      <c r="AP3852">
        <f>IF($E3852="","",IF(OR($U3852=TRUE(),$U3852="TRUE"),1,0))</f>
        <v/>
      </c>
      <c r="AQ3852">
        <f>IF($E3852="","",IF($AA3852="Yes",1,0))</f>
        <v/>
      </c>
      <c r="AR3852">
        <f>IF($AN3852=1,IFERROR(VALUE(MID($E3852,2,20)),1000000000)+ROW()/100000,"")</f>
        <v/>
      </c>
    </row>
    <row r="3853">
      <c r="G3853" s="11" t="n"/>
      <c r="Q3853" s="7">
        <f>IF($E3853="","",P3853*Y3853/100)</f>
        <v/>
      </c>
      <c r="R3853" s="7" t="n"/>
      <c r="X3853" s="7" t="n"/>
      <c r="Y3853" s="7" t="n"/>
      <c r="AB3853">
        <f>IF($E3853="","",IF($AQ3853=1,0,IF($AP3853=1,Settings!$C$6,Settings!$C$7))*100)</f>
        <v/>
      </c>
      <c r="AC3853" s="7">
        <f>IF($E3853="","",Y3853*AB3853/100)</f>
        <v/>
      </c>
      <c r="AD3853" s="7">
        <f>IF($E3853="","",Y3853-AC3853)</f>
        <v/>
      </c>
      <c r="AE3853" s="7">
        <f>IF($E3853="","",AD3853-Q3853)</f>
        <v/>
      </c>
      <c r="AI3853" s="7" t="n"/>
      <c r="AL3853" s="11" t="n"/>
      <c r="AN3853">
        <f>IF($E3853="","",IF(COUNTIF($E$2:$E3853,$E3853)=1,1,0))</f>
        <v/>
      </c>
      <c r="AO3853">
        <f>IF($AN3853=1,SUMPRODUCT(--($AR$2:$AR$4001&lt;$AR3853))+1,"")</f>
        <v/>
      </c>
      <c r="AP3853">
        <f>IF($E3853="","",IF(OR($U3853=TRUE(),$U3853="TRUE"),1,0))</f>
        <v/>
      </c>
      <c r="AQ3853">
        <f>IF($E3853="","",IF($AA3853="Yes",1,0))</f>
        <v/>
      </c>
      <c r="AR3853">
        <f>IF($AN3853=1,IFERROR(VALUE(MID($E3853,2,20)),1000000000)+ROW()/100000,"")</f>
        <v/>
      </c>
    </row>
    <row r="3854">
      <c r="G3854" s="11" t="n"/>
      <c r="Q3854" s="7">
        <f>IF($E3854="","",P3854*Y3854/100)</f>
        <v/>
      </c>
      <c r="R3854" s="7" t="n"/>
      <c r="X3854" s="7" t="n"/>
      <c r="Y3854" s="7" t="n"/>
      <c r="AB3854">
        <f>IF($E3854="","",IF($AQ3854=1,0,IF($AP3854=1,Settings!$C$6,Settings!$C$7))*100)</f>
        <v/>
      </c>
      <c r="AC3854" s="7">
        <f>IF($E3854="","",Y3854*AB3854/100)</f>
        <v/>
      </c>
      <c r="AD3854" s="7">
        <f>IF($E3854="","",Y3854-AC3854)</f>
        <v/>
      </c>
      <c r="AE3854" s="7">
        <f>IF($E3854="","",AD3854-Q3854)</f>
        <v/>
      </c>
      <c r="AI3854" s="7" t="n"/>
      <c r="AL3854" s="11" t="n"/>
      <c r="AN3854">
        <f>IF($E3854="","",IF(COUNTIF($E$2:$E3854,$E3854)=1,1,0))</f>
        <v/>
      </c>
      <c r="AO3854">
        <f>IF($AN3854=1,SUMPRODUCT(--($AR$2:$AR$4001&lt;$AR3854))+1,"")</f>
        <v/>
      </c>
      <c r="AP3854">
        <f>IF($E3854="","",IF(OR($U3854=TRUE(),$U3854="TRUE"),1,0))</f>
        <v/>
      </c>
      <c r="AQ3854">
        <f>IF($E3854="","",IF($AA3854="Yes",1,0))</f>
        <v/>
      </c>
      <c r="AR3854">
        <f>IF($AN3854=1,IFERROR(VALUE(MID($E3854,2,20)),1000000000)+ROW()/100000,"")</f>
        <v/>
      </c>
    </row>
    <row r="3855">
      <c r="G3855" s="11" t="n"/>
      <c r="Q3855" s="7">
        <f>IF($E3855="","",P3855*Y3855/100)</f>
        <v/>
      </c>
      <c r="R3855" s="7" t="n"/>
      <c r="X3855" s="7" t="n"/>
      <c r="Y3855" s="7" t="n"/>
      <c r="AB3855">
        <f>IF($E3855="","",IF($AQ3855=1,0,IF($AP3855=1,Settings!$C$6,Settings!$C$7))*100)</f>
        <v/>
      </c>
      <c r="AC3855" s="7">
        <f>IF($E3855="","",Y3855*AB3855/100)</f>
        <v/>
      </c>
      <c r="AD3855" s="7">
        <f>IF($E3855="","",Y3855-AC3855)</f>
        <v/>
      </c>
      <c r="AE3855" s="7">
        <f>IF($E3855="","",AD3855-Q3855)</f>
        <v/>
      </c>
      <c r="AI3855" s="7" t="n"/>
      <c r="AL3855" s="11" t="n"/>
      <c r="AN3855">
        <f>IF($E3855="","",IF(COUNTIF($E$2:$E3855,$E3855)=1,1,0))</f>
        <v/>
      </c>
      <c r="AO3855">
        <f>IF($AN3855=1,SUMPRODUCT(--($AR$2:$AR$4001&lt;$AR3855))+1,"")</f>
        <v/>
      </c>
      <c r="AP3855">
        <f>IF($E3855="","",IF(OR($U3855=TRUE(),$U3855="TRUE"),1,0))</f>
        <v/>
      </c>
      <c r="AQ3855">
        <f>IF($E3855="","",IF($AA3855="Yes",1,0))</f>
        <v/>
      </c>
      <c r="AR3855">
        <f>IF($AN3855=1,IFERROR(VALUE(MID($E3855,2,20)),1000000000)+ROW()/100000,"")</f>
        <v/>
      </c>
    </row>
    <row r="3856">
      <c r="G3856" s="11" t="n"/>
      <c r="Q3856" s="7">
        <f>IF($E3856="","",P3856*Y3856/100)</f>
        <v/>
      </c>
      <c r="R3856" s="7" t="n"/>
      <c r="X3856" s="7" t="n"/>
      <c r="Y3856" s="7" t="n"/>
      <c r="AB3856">
        <f>IF($E3856="","",IF($AQ3856=1,0,IF($AP3856=1,Settings!$C$6,Settings!$C$7))*100)</f>
        <v/>
      </c>
      <c r="AC3856" s="7">
        <f>IF($E3856="","",Y3856*AB3856/100)</f>
        <v/>
      </c>
      <c r="AD3856" s="7">
        <f>IF($E3856="","",Y3856-AC3856)</f>
        <v/>
      </c>
      <c r="AE3856" s="7">
        <f>IF($E3856="","",AD3856-Q3856)</f>
        <v/>
      </c>
      <c r="AI3856" s="7" t="n"/>
      <c r="AL3856" s="11" t="n"/>
      <c r="AN3856">
        <f>IF($E3856="","",IF(COUNTIF($E$2:$E3856,$E3856)=1,1,0))</f>
        <v/>
      </c>
      <c r="AO3856">
        <f>IF($AN3856=1,SUMPRODUCT(--($AR$2:$AR$4001&lt;$AR3856))+1,"")</f>
        <v/>
      </c>
      <c r="AP3856">
        <f>IF($E3856="","",IF(OR($U3856=TRUE(),$U3856="TRUE"),1,0))</f>
        <v/>
      </c>
      <c r="AQ3856">
        <f>IF($E3856="","",IF($AA3856="Yes",1,0))</f>
        <v/>
      </c>
      <c r="AR3856">
        <f>IF($AN3856=1,IFERROR(VALUE(MID($E3856,2,20)),1000000000)+ROW()/100000,"")</f>
        <v/>
      </c>
    </row>
    <row r="3857">
      <c r="G3857" s="11" t="n"/>
      <c r="Q3857" s="7">
        <f>IF($E3857="","",P3857*Y3857/100)</f>
        <v/>
      </c>
      <c r="R3857" s="7" t="n"/>
      <c r="X3857" s="7" t="n"/>
      <c r="Y3857" s="7" t="n"/>
      <c r="AB3857">
        <f>IF($E3857="","",IF($AQ3857=1,0,IF($AP3857=1,Settings!$C$6,Settings!$C$7))*100)</f>
        <v/>
      </c>
      <c r="AC3857" s="7">
        <f>IF($E3857="","",Y3857*AB3857/100)</f>
        <v/>
      </c>
      <c r="AD3857" s="7">
        <f>IF($E3857="","",Y3857-AC3857)</f>
        <v/>
      </c>
      <c r="AE3857" s="7">
        <f>IF($E3857="","",AD3857-Q3857)</f>
        <v/>
      </c>
      <c r="AI3857" s="7" t="n"/>
      <c r="AL3857" s="11" t="n"/>
      <c r="AN3857">
        <f>IF($E3857="","",IF(COUNTIF($E$2:$E3857,$E3857)=1,1,0))</f>
        <v/>
      </c>
      <c r="AO3857">
        <f>IF($AN3857=1,SUMPRODUCT(--($AR$2:$AR$4001&lt;$AR3857))+1,"")</f>
        <v/>
      </c>
      <c r="AP3857">
        <f>IF($E3857="","",IF(OR($U3857=TRUE(),$U3857="TRUE"),1,0))</f>
        <v/>
      </c>
      <c r="AQ3857">
        <f>IF($E3857="","",IF($AA3857="Yes",1,0))</f>
        <v/>
      </c>
      <c r="AR3857">
        <f>IF($AN3857=1,IFERROR(VALUE(MID($E3857,2,20)),1000000000)+ROW()/100000,"")</f>
        <v/>
      </c>
    </row>
    <row r="3858">
      <c r="G3858" s="11" t="n"/>
      <c r="Q3858" s="7">
        <f>IF($E3858="","",P3858*Y3858/100)</f>
        <v/>
      </c>
      <c r="R3858" s="7" t="n"/>
      <c r="X3858" s="7" t="n"/>
      <c r="Y3858" s="7" t="n"/>
      <c r="AB3858">
        <f>IF($E3858="","",IF($AQ3858=1,0,IF($AP3858=1,Settings!$C$6,Settings!$C$7))*100)</f>
        <v/>
      </c>
      <c r="AC3858" s="7">
        <f>IF($E3858="","",Y3858*AB3858/100)</f>
        <v/>
      </c>
      <c r="AD3858" s="7">
        <f>IF($E3858="","",Y3858-AC3858)</f>
        <v/>
      </c>
      <c r="AE3858" s="7">
        <f>IF($E3858="","",AD3858-Q3858)</f>
        <v/>
      </c>
      <c r="AI3858" s="7" t="n"/>
      <c r="AL3858" s="11" t="n"/>
      <c r="AN3858">
        <f>IF($E3858="","",IF(COUNTIF($E$2:$E3858,$E3858)=1,1,0))</f>
        <v/>
      </c>
      <c r="AO3858">
        <f>IF($AN3858=1,SUMPRODUCT(--($AR$2:$AR$4001&lt;$AR3858))+1,"")</f>
        <v/>
      </c>
      <c r="AP3858">
        <f>IF($E3858="","",IF(OR($U3858=TRUE(),$U3858="TRUE"),1,0))</f>
        <v/>
      </c>
      <c r="AQ3858">
        <f>IF($E3858="","",IF($AA3858="Yes",1,0))</f>
        <v/>
      </c>
      <c r="AR3858">
        <f>IF($AN3858=1,IFERROR(VALUE(MID($E3858,2,20)),1000000000)+ROW()/100000,"")</f>
        <v/>
      </c>
    </row>
    <row r="3859">
      <c r="G3859" s="11" t="n"/>
      <c r="Q3859" s="7">
        <f>IF($E3859="","",P3859*Y3859/100)</f>
        <v/>
      </c>
      <c r="R3859" s="7" t="n"/>
      <c r="X3859" s="7" t="n"/>
      <c r="Y3859" s="7" t="n"/>
      <c r="AB3859">
        <f>IF($E3859="","",IF($AQ3859=1,0,IF($AP3859=1,Settings!$C$6,Settings!$C$7))*100)</f>
        <v/>
      </c>
      <c r="AC3859" s="7">
        <f>IF($E3859="","",Y3859*AB3859/100)</f>
        <v/>
      </c>
      <c r="AD3859" s="7">
        <f>IF($E3859="","",Y3859-AC3859)</f>
        <v/>
      </c>
      <c r="AE3859" s="7">
        <f>IF($E3859="","",AD3859-Q3859)</f>
        <v/>
      </c>
      <c r="AI3859" s="7" t="n"/>
      <c r="AL3859" s="11" t="n"/>
      <c r="AN3859">
        <f>IF($E3859="","",IF(COUNTIF($E$2:$E3859,$E3859)=1,1,0))</f>
        <v/>
      </c>
      <c r="AO3859">
        <f>IF($AN3859=1,SUMPRODUCT(--($AR$2:$AR$4001&lt;$AR3859))+1,"")</f>
        <v/>
      </c>
      <c r="AP3859">
        <f>IF($E3859="","",IF(OR($U3859=TRUE(),$U3859="TRUE"),1,0))</f>
        <v/>
      </c>
      <c r="AQ3859">
        <f>IF($E3859="","",IF($AA3859="Yes",1,0))</f>
        <v/>
      </c>
      <c r="AR3859">
        <f>IF($AN3859=1,IFERROR(VALUE(MID($E3859,2,20)),1000000000)+ROW()/100000,"")</f>
        <v/>
      </c>
    </row>
    <row r="3860">
      <c r="G3860" s="11" t="n"/>
      <c r="Q3860" s="7">
        <f>IF($E3860="","",P3860*Y3860/100)</f>
        <v/>
      </c>
      <c r="R3860" s="7" t="n"/>
      <c r="X3860" s="7" t="n"/>
      <c r="Y3860" s="7" t="n"/>
      <c r="AB3860">
        <f>IF($E3860="","",IF($AQ3860=1,0,IF($AP3860=1,Settings!$C$6,Settings!$C$7))*100)</f>
        <v/>
      </c>
      <c r="AC3860" s="7">
        <f>IF($E3860="","",Y3860*AB3860/100)</f>
        <v/>
      </c>
      <c r="AD3860" s="7">
        <f>IF($E3860="","",Y3860-AC3860)</f>
        <v/>
      </c>
      <c r="AE3860" s="7">
        <f>IF($E3860="","",AD3860-Q3860)</f>
        <v/>
      </c>
      <c r="AI3860" s="7" t="n"/>
      <c r="AL3860" s="11" t="n"/>
      <c r="AN3860">
        <f>IF($E3860="","",IF(COUNTIF($E$2:$E3860,$E3860)=1,1,0))</f>
        <v/>
      </c>
      <c r="AO3860">
        <f>IF($AN3860=1,SUMPRODUCT(--($AR$2:$AR$4001&lt;$AR3860))+1,"")</f>
        <v/>
      </c>
      <c r="AP3860">
        <f>IF($E3860="","",IF(OR($U3860=TRUE(),$U3860="TRUE"),1,0))</f>
        <v/>
      </c>
      <c r="AQ3860">
        <f>IF($E3860="","",IF($AA3860="Yes",1,0))</f>
        <v/>
      </c>
      <c r="AR3860">
        <f>IF($AN3860=1,IFERROR(VALUE(MID($E3860,2,20)),1000000000)+ROW()/100000,"")</f>
        <v/>
      </c>
    </row>
    <row r="3861">
      <c r="G3861" s="11" t="n"/>
      <c r="Q3861" s="7">
        <f>IF($E3861="","",P3861*Y3861/100)</f>
        <v/>
      </c>
      <c r="R3861" s="7" t="n"/>
      <c r="X3861" s="7" t="n"/>
      <c r="Y3861" s="7" t="n"/>
      <c r="AB3861">
        <f>IF($E3861="","",IF($AQ3861=1,0,IF($AP3861=1,Settings!$C$6,Settings!$C$7))*100)</f>
        <v/>
      </c>
      <c r="AC3861" s="7">
        <f>IF($E3861="","",Y3861*AB3861/100)</f>
        <v/>
      </c>
      <c r="AD3861" s="7">
        <f>IF($E3861="","",Y3861-AC3861)</f>
        <v/>
      </c>
      <c r="AE3861" s="7">
        <f>IF($E3861="","",AD3861-Q3861)</f>
        <v/>
      </c>
      <c r="AI3861" s="7" t="n"/>
      <c r="AL3861" s="11" t="n"/>
      <c r="AN3861">
        <f>IF($E3861="","",IF(COUNTIF($E$2:$E3861,$E3861)=1,1,0))</f>
        <v/>
      </c>
      <c r="AO3861">
        <f>IF($AN3861=1,SUMPRODUCT(--($AR$2:$AR$4001&lt;$AR3861))+1,"")</f>
        <v/>
      </c>
      <c r="AP3861">
        <f>IF($E3861="","",IF(OR($U3861=TRUE(),$U3861="TRUE"),1,0))</f>
        <v/>
      </c>
      <c r="AQ3861">
        <f>IF($E3861="","",IF($AA3861="Yes",1,0))</f>
        <v/>
      </c>
      <c r="AR3861">
        <f>IF($AN3861=1,IFERROR(VALUE(MID($E3861,2,20)),1000000000)+ROW()/100000,"")</f>
        <v/>
      </c>
    </row>
    <row r="3862">
      <c r="G3862" s="11" t="n"/>
      <c r="Q3862" s="7">
        <f>IF($E3862="","",P3862*Y3862/100)</f>
        <v/>
      </c>
      <c r="R3862" s="7" t="n"/>
      <c r="X3862" s="7" t="n"/>
      <c r="Y3862" s="7" t="n"/>
      <c r="AB3862">
        <f>IF($E3862="","",IF($AQ3862=1,0,IF($AP3862=1,Settings!$C$6,Settings!$C$7))*100)</f>
        <v/>
      </c>
      <c r="AC3862" s="7">
        <f>IF($E3862="","",Y3862*AB3862/100)</f>
        <v/>
      </c>
      <c r="AD3862" s="7">
        <f>IF($E3862="","",Y3862-AC3862)</f>
        <v/>
      </c>
      <c r="AE3862" s="7">
        <f>IF($E3862="","",AD3862-Q3862)</f>
        <v/>
      </c>
      <c r="AI3862" s="7" t="n"/>
      <c r="AL3862" s="11" t="n"/>
      <c r="AN3862">
        <f>IF($E3862="","",IF(COUNTIF($E$2:$E3862,$E3862)=1,1,0))</f>
        <v/>
      </c>
      <c r="AO3862">
        <f>IF($AN3862=1,SUMPRODUCT(--($AR$2:$AR$4001&lt;$AR3862))+1,"")</f>
        <v/>
      </c>
      <c r="AP3862">
        <f>IF($E3862="","",IF(OR($U3862=TRUE(),$U3862="TRUE"),1,0))</f>
        <v/>
      </c>
      <c r="AQ3862">
        <f>IF($E3862="","",IF($AA3862="Yes",1,0))</f>
        <v/>
      </c>
      <c r="AR3862">
        <f>IF($AN3862=1,IFERROR(VALUE(MID($E3862,2,20)),1000000000)+ROW()/100000,"")</f>
        <v/>
      </c>
    </row>
    <row r="3863">
      <c r="G3863" s="11" t="n"/>
      <c r="Q3863" s="7">
        <f>IF($E3863="","",P3863*Y3863/100)</f>
        <v/>
      </c>
      <c r="R3863" s="7" t="n"/>
      <c r="X3863" s="7" t="n"/>
      <c r="Y3863" s="7" t="n"/>
      <c r="AB3863">
        <f>IF($E3863="","",IF($AQ3863=1,0,IF($AP3863=1,Settings!$C$6,Settings!$C$7))*100)</f>
        <v/>
      </c>
      <c r="AC3863" s="7">
        <f>IF($E3863="","",Y3863*AB3863/100)</f>
        <v/>
      </c>
      <c r="AD3863" s="7">
        <f>IF($E3863="","",Y3863-AC3863)</f>
        <v/>
      </c>
      <c r="AE3863" s="7">
        <f>IF($E3863="","",AD3863-Q3863)</f>
        <v/>
      </c>
      <c r="AI3863" s="7" t="n"/>
      <c r="AL3863" s="11" t="n"/>
      <c r="AN3863">
        <f>IF($E3863="","",IF(COUNTIF($E$2:$E3863,$E3863)=1,1,0))</f>
        <v/>
      </c>
      <c r="AO3863">
        <f>IF($AN3863=1,SUMPRODUCT(--($AR$2:$AR$4001&lt;$AR3863))+1,"")</f>
        <v/>
      </c>
      <c r="AP3863">
        <f>IF($E3863="","",IF(OR($U3863=TRUE(),$U3863="TRUE"),1,0))</f>
        <v/>
      </c>
      <c r="AQ3863">
        <f>IF($E3863="","",IF($AA3863="Yes",1,0))</f>
        <v/>
      </c>
      <c r="AR3863">
        <f>IF($AN3863=1,IFERROR(VALUE(MID($E3863,2,20)),1000000000)+ROW()/100000,"")</f>
        <v/>
      </c>
    </row>
    <row r="3864">
      <c r="G3864" s="11" t="n"/>
      <c r="Q3864" s="7">
        <f>IF($E3864="","",P3864*Y3864/100)</f>
        <v/>
      </c>
      <c r="R3864" s="7" t="n"/>
      <c r="X3864" s="7" t="n"/>
      <c r="Y3864" s="7" t="n"/>
      <c r="AB3864">
        <f>IF($E3864="","",IF($AQ3864=1,0,IF($AP3864=1,Settings!$C$6,Settings!$C$7))*100)</f>
        <v/>
      </c>
      <c r="AC3864" s="7">
        <f>IF($E3864="","",Y3864*AB3864/100)</f>
        <v/>
      </c>
      <c r="AD3864" s="7">
        <f>IF($E3864="","",Y3864-AC3864)</f>
        <v/>
      </c>
      <c r="AE3864" s="7">
        <f>IF($E3864="","",AD3864-Q3864)</f>
        <v/>
      </c>
      <c r="AI3864" s="7" t="n"/>
      <c r="AL3864" s="11" t="n"/>
      <c r="AN3864">
        <f>IF($E3864="","",IF(COUNTIF($E$2:$E3864,$E3864)=1,1,0))</f>
        <v/>
      </c>
      <c r="AO3864">
        <f>IF($AN3864=1,SUMPRODUCT(--($AR$2:$AR$4001&lt;$AR3864))+1,"")</f>
        <v/>
      </c>
      <c r="AP3864">
        <f>IF($E3864="","",IF(OR($U3864=TRUE(),$U3864="TRUE"),1,0))</f>
        <v/>
      </c>
      <c r="AQ3864">
        <f>IF($E3864="","",IF($AA3864="Yes",1,0))</f>
        <v/>
      </c>
      <c r="AR3864">
        <f>IF($AN3864=1,IFERROR(VALUE(MID($E3864,2,20)),1000000000)+ROW()/100000,"")</f>
        <v/>
      </c>
    </row>
    <row r="3865">
      <c r="G3865" s="11" t="n"/>
      <c r="Q3865" s="7">
        <f>IF($E3865="","",P3865*Y3865/100)</f>
        <v/>
      </c>
      <c r="R3865" s="7" t="n"/>
      <c r="X3865" s="7" t="n"/>
      <c r="Y3865" s="7" t="n"/>
      <c r="AB3865">
        <f>IF($E3865="","",IF($AQ3865=1,0,IF($AP3865=1,Settings!$C$6,Settings!$C$7))*100)</f>
        <v/>
      </c>
      <c r="AC3865" s="7">
        <f>IF($E3865="","",Y3865*AB3865/100)</f>
        <v/>
      </c>
      <c r="AD3865" s="7">
        <f>IF($E3865="","",Y3865-AC3865)</f>
        <v/>
      </c>
      <c r="AE3865" s="7">
        <f>IF($E3865="","",AD3865-Q3865)</f>
        <v/>
      </c>
      <c r="AI3865" s="7" t="n"/>
      <c r="AL3865" s="11" t="n"/>
      <c r="AN3865">
        <f>IF($E3865="","",IF(COUNTIF($E$2:$E3865,$E3865)=1,1,0))</f>
        <v/>
      </c>
      <c r="AO3865">
        <f>IF($AN3865=1,SUMPRODUCT(--($AR$2:$AR$4001&lt;$AR3865))+1,"")</f>
        <v/>
      </c>
      <c r="AP3865">
        <f>IF($E3865="","",IF(OR($U3865=TRUE(),$U3865="TRUE"),1,0))</f>
        <v/>
      </c>
      <c r="AQ3865">
        <f>IF($E3865="","",IF($AA3865="Yes",1,0))</f>
        <v/>
      </c>
      <c r="AR3865">
        <f>IF($AN3865=1,IFERROR(VALUE(MID($E3865,2,20)),1000000000)+ROW()/100000,"")</f>
        <v/>
      </c>
    </row>
    <row r="3866">
      <c r="G3866" s="11" t="n"/>
      <c r="Q3866" s="7">
        <f>IF($E3866="","",P3866*Y3866/100)</f>
        <v/>
      </c>
      <c r="R3866" s="7" t="n"/>
      <c r="X3866" s="7" t="n"/>
      <c r="Y3866" s="7" t="n"/>
      <c r="AB3866">
        <f>IF($E3866="","",IF($AQ3866=1,0,IF($AP3866=1,Settings!$C$6,Settings!$C$7))*100)</f>
        <v/>
      </c>
      <c r="AC3866" s="7">
        <f>IF($E3866="","",Y3866*AB3866/100)</f>
        <v/>
      </c>
      <c r="AD3866" s="7">
        <f>IF($E3866="","",Y3866-AC3866)</f>
        <v/>
      </c>
      <c r="AE3866" s="7">
        <f>IF($E3866="","",AD3866-Q3866)</f>
        <v/>
      </c>
      <c r="AI3866" s="7" t="n"/>
      <c r="AL3866" s="11" t="n"/>
      <c r="AN3866">
        <f>IF($E3866="","",IF(COUNTIF($E$2:$E3866,$E3866)=1,1,0))</f>
        <v/>
      </c>
      <c r="AO3866">
        <f>IF($AN3866=1,SUMPRODUCT(--($AR$2:$AR$4001&lt;$AR3866))+1,"")</f>
        <v/>
      </c>
      <c r="AP3866">
        <f>IF($E3866="","",IF(OR($U3866=TRUE(),$U3866="TRUE"),1,0))</f>
        <v/>
      </c>
      <c r="AQ3866">
        <f>IF($E3866="","",IF($AA3866="Yes",1,0))</f>
        <v/>
      </c>
      <c r="AR3866">
        <f>IF($AN3866=1,IFERROR(VALUE(MID($E3866,2,20)),1000000000)+ROW()/100000,"")</f>
        <v/>
      </c>
    </row>
    <row r="3867">
      <c r="G3867" s="11" t="n"/>
      <c r="Q3867" s="7">
        <f>IF($E3867="","",P3867*Y3867/100)</f>
        <v/>
      </c>
      <c r="R3867" s="7" t="n"/>
      <c r="X3867" s="7" t="n"/>
      <c r="Y3867" s="7" t="n"/>
      <c r="AB3867">
        <f>IF($E3867="","",IF($AQ3867=1,0,IF($AP3867=1,Settings!$C$6,Settings!$C$7))*100)</f>
        <v/>
      </c>
      <c r="AC3867" s="7">
        <f>IF($E3867="","",Y3867*AB3867/100)</f>
        <v/>
      </c>
      <c r="AD3867" s="7">
        <f>IF($E3867="","",Y3867-AC3867)</f>
        <v/>
      </c>
      <c r="AE3867" s="7">
        <f>IF($E3867="","",AD3867-Q3867)</f>
        <v/>
      </c>
      <c r="AI3867" s="7" t="n"/>
      <c r="AL3867" s="11" t="n"/>
      <c r="AN3867">
        <f>IF($E3867="","",IF(COUNTIF($E$2:$E3867,$E3867)=1,1,0))</f>
        <v/>
      </c>
      <c r="AO3867">
        <f>IF($AN3867=1,SUMPRODUCT(--($AR$2:$AR$4001&lt;$AR3867))+1,"")</f>
        <v/>
      </c>
      <c r="AP3867">
        <f>IF($E3867="","",IF(OR($U3867=TRUE(),$U3867="TRUE"),1,0))</f>
        <v/>
      </c>
      <c r="AQ3867">
        <f>IF($E3867="","",IF($AA3867="Yes",1,0))</f>
        <v/>
      </c>
      <c r="AR3867">
        <f>IF($AN3867=1,IFERROR(VALUE(MID($E3867,2,20)),1000000000)+ROW()/100000,"")</f>
        <v/>
      </c>
    </row>
    <row r="3868">
      <c r="G3868" s="11" t="n"/>
      <c r="Q3868" s="7">
        <f>IF($E3868="","",P3868*Y3868/100)</f>
        <v/>
      </c>
      <c r="R3868" s="7" t="n"/>
      <c r="X3868" s="7" t="n"/>
      <c r="Y3868" s="7" t="n"/>
      <c r="AB3868">
        <f>IF($E3868="","",IF($AQ3868=1,0,IF($AP3868=1,Settings!$C$6,Settings!$C$7))*100)</f>
        <v/>
      </c>
      <c r="AC3868" s="7">
        <f>IF($E3868="","",Y3868*AB3868/100)</f>
        <v/>
      </c>
      <c r="AD3868" s="7">
        <f>IF($E3868="","",Y3868-AC3868)</f>
        <v/>
      </c>
      <c r="AE3868" s="7">
        <f>IF($E3868="","",AD3868-Q3868)</f>
        <v/>
      </c>
      <c r="AI3868" s="7" t="n"/>
      <c r="AL3868" s="11" t="n"/>
      <c r="AN3868">
        <f>IF($E3868="","",IF(COUNTIF($E$2:$E3868,$E3868)=1,1,0))</f>
        <v/>
      </c>
      <c r="AO3868">
        <f>IF($AN3868=1,SUMPRODUCT(--($AR$2:$AR$4001&lt;$AR3868))+1,"")</f>
        <v/>
      </c>
      <c r="AP3868">
        <f>IF($E3868="","",IF(OR($U3868=TRUE(),$U3868="TRUE"),1,0))</f>
        <v/>
      </c>
      <c r="AQ3868">
        <f>IF($E3868="","",IF($AA3868="Yes",1,0))</f>
        <v/>
      </c>
      <c r="AR3868">
        <f>IF($AN3868=1,IFERROR(VALUE(MID($E3868,2,20)),1000000000)+ROW()/100000,"")</f>
        <v/>
      </c>
    </row>
    <row r="3869">
      <c r="G3869" s="11" t="n"/>
      <c r="Q3869" s="7">
        <f>IF($E3869="","",P3869*Y3869/100)</f>
        <v/>
      </c>
      <c r="R3869" s="7" t="n"/>
      <c r="X3869" s="7" t="n"/>
      <c r="Y3869" s="7" t="n"/>
      <c r="AB3869">
        <f>IF($E3869="","",IF($AQ3869=1,0,IF($AP3869=1,Settings!$C$6,Settings!$C$7))*100)</f>
        <v/>
      </c>
      <c r="AC3869" s="7">
        <f>IF($E3869="","",Y3869*AB3869/100)</f>
        <v/>
      </c>
      <c r="AD3869" s="7">
        <f>IF($E3869="","",Y3869-AC3869)</f>
        <v/>
      </c>
      <c r="AE3869" s="7">
        <f>IF($E3869="","",AD3869-Q3869)</f>
        <v/>
      </c>
      <c r="AI3869" s="7" t="n"/>
      <c r="AL3869" s="11" t="n"/>
      <c r="AN3869">
        <f>IF($E3869="","",IF(COUNTIF($E$2:$E3869,$E3869)=1,1,0))</f>
        <v/>
      </c>
      <c r="AO3869">
        <f>IF($AN3869=1,SUMPRODUCT(--($AR$2:$AR$4001&lt;$AR3869))+1,"")</f>
        <v/>
      </c>
      <c r="AP3869">
        <f>IF($E3869="","",IF(OR($U3869=TRUE(),$U3869="TRUE"),1,0))</f>
        <v/>
      </c>
      <c r="AQ3869">
        <f>IF($E3869="","",IF($AA3869="Yes",1,0))</f>
        <v/>
      </c>
      <c r="AR3869">
        <f>IF($AN3869=1,IFERROR(VALUE(MID($E3869,2,20)),1000000000)+ROW()/100000,"")</f>
        <v/>
      </c>
    </row>
    <row r="3870">
      <c r="G3870" s="11" t="n"/>
      <c r="Q3870" s="7">
        <f>IF($E3870="","",P3870*Y3870/100)</f>
        <v/>
      </c>
      <c r="R3870" s="7" t="n"/>
      <c r="X3870" s="7" t="n"/>
      <c r="Y3870" s="7" t="n"/>
      <c r="AB3870">
        <f>IF($E3870="","",IF($AQ3870=1,0,IF($AP3870=1,Settings!$C$6,Settings!$C$7))*100)</f>
        <v/>
      </c>
      <c r="AC3870" s="7">
        <f>IF($E3870="","",Y3870*AB3870/100)</f>
        <v/>
      </c>
      <c r="AD3870" s="7">
        <f>IF($E3870="","",Y3870-AC3870)</f>
        <v/>
      </c>
      <c r="AE3870" s="7">
        <f>IF($E3870="","",AD3870-Q3870)</f>
        <v/>
      </c>
      <c r="AI3870" s="7" t="n"/>
      <c r="AL3870" s="11" t="n"/>
      <c r="AN3870">
        <f>IF($E3870="","",IF(COUNTIF($E$2:$E3870,$E3870)=1,1,0))</f>
        <v/>
      </c>
      <c r="AO3870">
        <f>IF($AN3870=1,SUMPRODUCT(--($AR$2:$AR$4001&lt;$AR3870))+1,"")</f>
        <v/>
      </c>
      <c r="AP3870">
        <f>IF($E3870="","",IF(OR($U3870=TRUE(),$U3870="TRUE"),1,0))</f>
        <v/>
      </c>
      <c r="AQ3870">
        <f>IF($E3870="","",IF($AA3870="Yes",1,0))</f>
        <v/>
      </c>
      <c r="AR3870">
        <f>IF($AN3870=1,IFERROR(VALUE(MID($E3870,2,20)),1000000000)+ROW()/100000,"")</f>
        <v/>
      </c>
    </row>
    <row r="3871">
      <c r="G3871" s="11" t="n"/>
      <c r="Q3871" s="7">
        <f>IF($E3871="","",P3871*Y3871/100)</f>
        <v/>
      </c>
      <c r="R3871" s="7" t="n"/>
      <c r="X3871" s="7" t="n"/>
      <c r="Y3871" s="7" t="n"/>
      <c r="AB3871">
        <f>IF($E3871="","",IF($AQ3871=1,0,IF($AP3871=1,Settings!$C$6,Settings!$C$7))*100)</f>
        <v/>
      </c>
      <c r="AC3871" s="7">
        <f>IF($E3871="","",Y3871*AB3871/100)</f>
        <v/>
      </c>
      <c r="AD3871" s="7">
        <f>IF($E3871="","",Y3871-AC3871)</f>
        <v/>
      </c>
      <c r="AE3871" s="7">
        <f>IF($E3871="","",AD3871-Q3871)</f>
        <v/>
      </c>
      <c r="AI3871" s="7" t="n"/>
      <c r="AL3871" s="11" t="n"/>
      <c r="AN3871">
        <f>IF($E3871="","",IF(COUNTIF($E$2:$E3871,$E3871)=1,1,0))</f>
        <v/>
      </c>
      <c r="AO3871">
        <f>IF($AN3871=1,SUMPRODUCT(--($AR$2:$AR$4001&lt;$AR3871))+1,"")</f>
        <v/>
      </c>
      <c r="AP3871">
        <f>IF($E3871="","",IF(OR($U3871=TRUE(),$U3871="TRUE"),1,0))</f>
        <v/>
      </c>
      <c r="AQ3871">
        <f>IF($E3871="","",IF($AA3871="Yes",1,0))</f>
        <v/>
      </c>
      <c r="AR3871">
        <f>IF($AN3871=1,IFERROR(VALUE(MID($E3871,2,20)),1000000000)+ROW()/100000,"")</f>
        <v/>
      </c>
    </row>
    <row r="3872">
      <c r="G3872" s="11" t="n"/>
      <c r="Q3872" s="7">
        <f>IF($E3872="","",P3872*Y3872/100)</f>
        <v/>
      </c>
      <c r="R3872" s="7" t="n"/>
      <c r="X3872" s="7" t="n"/>
      <c r="Y3872" s="7" t="n"/>
      <c r="AB3872">
        <f>IF($E3872="","",IF($AQ3872=1,0,IF($AP3872=1,Settings!$C$6,Settings!$C$7))*100)</f>
        <v/>
      </c>
      <c r="AC3872" s="7">
        <f>IF($E3872="","",Y3872*AB3872/100)</f>
        <v/>
      </c>
      <c r="AD3872" s="7">
        <f>IF($E3872="","",Y3872-AC3872)</f>
        <v/>
      </c>
      <c r="AE3872" s="7">
        <f>IF($E3872="","",AD3872-Q3872)</f>
        <v/>
      </c>
      <c r="AI3872" s="7" t="n"/>
      <c r="AL3872" s="11" t="n"/>
      <c r="AN3872">
        <f>IF($E3872="","",IF(COUNTIF($E$2:$E3872,$E3872)=1,1,0))</f>
        <v/>
      </c>
      <c r="AO3872">
        <f>IF($AN3872=1,SUMPRODUCT(--($AR$2:$AR$4001&lt;$AR3872))+1,"")</f>
        <v/>
      </c>
      <c r="AP3872">
        <f>IF($E3872="","",IF(OR($U3872=TRUE(),$U3872="TRUE"),1,0))</f>
        <v/>
      </c>
      <c r="AQ3872">
        <f>IF($E3872="","",IF($AA3872="Yes",1,0))</f>
        <v/>
      </c>
      <c r="AR3872">
        <f>IF($AN3872=1,IFERROR(VALUE(MID($E3872,2,20)),1000000000)+ROW()/100000,"")</f>
        <v/>
      </c>
    </row>
    <row r="3873">
      <c r="G3873" s="11" t="n"/>
      <c r="Q3873" s="7">
        <f>IF($E3873="","",P3873*Y3873/100)</f>
        <v/>
      </c>
      <c r="R3873" s="7" t="n"/>
      <c r="X3873" s="7" t="n"/>
      <c r="Y3873" s="7" t="n"/>
      <c r="AB3873">
        <f>IF($E3873="","",IF($AQ3873=1,0,IF($AP3873=1,Settings!$C$6,Settings!$C$7))*100)</f>
        <v/>
      </c>
      <c r="AC3873" s="7">
        <f>IF($E3873="","",Y3873*AB3873/100)</f>
        <v/>
      </c>
      <c r="AD3873" s="7">
        <f>IF($E3873="","",Y3873-AC3873)</f>
        <v/>
      </c>
      <c r="AE3873" s="7">
        <f>IF($E3873="","",AD3873-Q3873)</f>
        <v/>
      </c>
      <c r="AI3873" s="7" t="n"/>
      <c r="AL3873" s="11" t="n"/>
      <c r="AN3873">
        <f>IF($E3873="","",IF(COUNTIF($E$2:$E3873,$E3873)=1,1,0))</f>
        <v/>
      </c>
      <c r="AO3873">
        <f>IF($AN3873=1,SUMPRODUCT(--($AR$2:$AR$4001&lt;$AR3873))+1,"")</f>
        <v/>
      </c>
      <c r="AP3873">
        <f>IF($E3873="","",IF(OR($U3873=TRUE(),$U3873="TRUE"),1,0))</f>
        <v/>
      </c>
      <c r="AQ3873">
        <f>IF($E3873="","",IF($AA3873="Yes",1,0))</f>
        <v/>
      </c>
      <c r="AR3873">
        <f>IF($AN3873=1,IFERROR(VALUE(MID($E3873,2,20)),1000000000)+ROW()/100000,"")</f>
        <v/>
      </c>
    </row>
    <row r="3874">
      <c r="G3874" s="11" t="n"/>
      <c r="Q3874" s="7">
        <f>IF($E3874="","",P3874*Y3874/100)</f>
        <v/>
      </c>
      <c r="R3874" s="7" t="n"/>
      <c r="X3874" s="7" t="n"/>
      <c r="Y3874" s="7" t="n"/>
      <c r="AB3874">
        <f>IF($E3874="","",IF($AQ3874=1,0,IF($AP3874=1,Settings!$C$6,Settings!$C$7))*100)</f>
        <v/>
      </c>
      <c r="AC3874" s="7">
        <f>IF($E3874="","",Y3874*AB3874/100)</f>
        <v/>
      </c>
      <c r="AD3874" s="7">
        <f>IF($E3874="","",Y3874-AC3874)</f>
        <v/>
      </c>
      <c r="AE3874" s="7">
        <f>IF($E3874="","",AD3874-Q3874)</f>
        <v/>
      </c>
      <c r="AI3874" s="7" t="n"/>
      <c r="AL3874" s="11" t="n"/>
      <c r="AN3874">
        <f>IF($E3874="","",IF(COUNTIF($E$2:$E3874,$E3874)=1,1,0))</f>
        <v/>
      </c>
      <c r="AO3874">
        <f>IF($AN3874=1,SUMPRODUCT(--($AR$2:$AR$4001&lt;$AR3874))+1,"")</f>
        <v/>
      </c>
      <c r="AP3874">
        <f>IF($E3874="","",IF(OR($U3874=TRUE(),$U3874="TRUE"),1,0))</f>
        <v/>
      </c>
      <c r="AQ3874">
        <f>IF($E3874="","",IF($AA3874="Yes",1,0))</f>
        <v/>
      </c>
      <c r="AR3874">
        <f>IF($AN3874=1,IFERROR(VALUE(MID($E3874,2,20)),1000000000)+ROW()/100000,"")</f>
        <v/>
      </c>
    </row>
    <row r="3875">
      <c r="G3875" s="11" t="n"/>
      <c r="Q3875" s="7">
        <f>IF($E3875="","",P3875*Y3875/100)</f>
        <v/>
      </c>
      <c r="R3875" s="7" t="n"/>
      <c r="X3875" s="7" t="n"/>
      <c r="Y3875" s="7" t="n"/>
      <c r="AB3875">
        <f>IF($E3875="","",IF($AQ3875=1,0,IF($AP3875=1,Settings!$C$6,Settings!$C$7))*100)</f>
        <v/>
      </c>
      <c r="AC3875" s="7">
        <f>IF($E3875="","",Y3875*AB3875/100)</f>
        <v/>
      </c>
      <c r="AD3875" s="7">
        <f>IF($E3875="","",Y3875-AC3875)</f>
        <v/>
      </c>
      <c r="AE3875" s="7">
        <f>IF($E3875="","",AD3875-Q3875)</f>
        <v/>
      </c>
      <c r="AI3875" s="7" t="n"/>
      <c r="AL3875" s="11" t="n"/>
      <c r="AN3875">
        <f>IF($E3875="","",IF(COUNTIF($E$2:$E3875,$E3875)=1,1,0))</f>
        <v/>
      </c>
      <c r="AO3875">
        <f>IF($AN3875=1,SUMPRODUCT(--($AR$2:$AR$4001&lt;$AR3875))+1,"")</f>
        <v/>
      </c>
      <c r="AP3875">
        <f>IF($E3875="","",IF(OR($U3875=TRUE(),$U3875="TRUE"),1,0))</f>
        <v/>
      </c>
      <c r="AQ3875">
        <f>IF($E3875="","",IF($AA3875="Yes",1,0))</f>
        <v/>
      </c>
      <c r="AR3875">
        <f>IF($AN3875=1,IFERROR(VALUE(MID($E3875,2,20)),1000000000)+ROW()/100000,"")</f>
        <v/>
      </c>
    </row>
    <row r="3876">
      <c r="G3876" s="11" t="n"/>
      <c r="Q3876" s="7">
        <f>IF($E3876="","",P3876*Y3876/100)</f>
        <v/>
      </c>
      <c r="R3876" s="7" t="n"/>
      <c r="X3876" s="7" t="n"/>
      <c r="Y3876" s="7" t="n"/>
      <c r="AB3876">
        <f>IF($E3876="","",IF($AQ3876=1,0,IF($AP3876=1,Settings!$C$6,Settings!$C$7))*100)</f>
        <v/>
      </c>
      <c r="AC3876" s="7">
        <f>IF($E3876="","",Y3876*AB3876/100)</f>
        <v/>
      </c>
      <c r="AD3876" s="7">
        <f>IF($E3876="","",Y3876-AC3876)</f>
        <v/>
      </c>
      <c r="AE3876" s="7">
        <f>IF($E3876="","",AD3876-Q3876)</f>
        <v/>
      </c>
      <c r="AI3876" s="7" t="n"/>
      <c r="AL3876" s="11" t="n"/>
      <c r="AN3876">
        <f>IF($E3876="","",IF(COUNTIF($E$2:$E3876,$E3876)=1,1,0))</f>
        <v/>
      </c>
      <c r="AO3876">
        <f>IF($AN3876=1,SUMPRODUCT(--($AR$2:$AR$4001&lt;$AR3876))+1,"")</f>
        <v/>
      </c>
      <c r="AP3876">
        <f>IF($E3876="","",IF(OR($U3876=TRUE(),$U3876="TRUE"),1,0))</f>
        <v/>
      </c>
      <c r="AQ3876">
        <f>IF($E3876="","",IF($AA3876="Yes",1,0))</f>
        <v/>
      </c>
      <c r="AR3876">
        <f>IF($AN3876=1,IFERROR(VALUE(MID($E3876,2,20)),1000000000)+ROW()/100000,"")</f>
        <v/>
      </c>
    </row>
    <row r="3877">
      <c r="G3877" s="11" t="n"/>
      <c r="Q3877" s="7">
        <f>IF($E3877="","",P3877*Y3877/100)</f>
        <v/>
      </c>
      <c r="R3877" s="7" t="n"/>
      <c r="X3877" s="7" t="n"/>
      <c r="Y3877" s="7" t="n"/>
      <c r="AB3877">
        <f>IF($E3877="","",IF($AQ3877=1,0,IF($AP3877=1,Settings!$C$6,Settings!$C$7))*100)</f>
        <v/>
      </c>
      <c r="AC3877" s="7">
        <f>IF($E3877="","",Y3877*AB3877/100)</f>
        <v/>
      </c>
      <c r="AD3877" s="7">
        <f>IF($E3877="","",Y3877-AC3877)</f>
        <v/>
      </c>
      <c r="AE3877" s="7">
        <f>IF($E3877="","",AD3877-Q3877)</f>
        <v/>
      </c>
      <c r="AI3877" s="7" t="n"/>
      <c r="AL3877" s="11" t="n"/>
      <c r="AN3877">
        <f>IF($E3877="","",IF(COUNTIF($E$2:$E3877,$E3877)=1,1,0))</f>
        <v/>
      </c>
      <c r="AO3877">
        <f>IF($AN3877=1,SUMPRODUCT(--($AR$2:$AR$4001&lt;$AR3877))+1,"")</f>
        <v/>
      </c>
      <c r="AP3877">
        <f>IF($E3877="","",IF(OR($U3877=TRUE(),$U3877="TRUE"),1,0))</f>
        <v/>
      </c>
      <c r="AQ3877">
        <f>IF($E3877="","",IF($AA3877="Yes",1,0))</f>
        <v/>
      </c>
      <c r="AR3877">
        <f>IF($AN3877=1,IFERROR(VALUE(MID($E3877,2,20)),1000000000)+ROW()/100000,"")</f>
        <v/>
      </c>
    </row>
    <row r="3878">
      <c r="G3878" s="11" t="n"/>
      <c r="Q3878" s="7">
        <f>IF($E3878="","",P3878*Y3878/100)</f>
        <v/>
      </c>
      <c r="R3878" s="7" t="n"/>
      <c r="X3878" s="7" t="n"/>
      <c r="Y3878" s="7" t="n"/>
      <c r="AB3878">
        <f>IF($E3878="","",IF($AQ3878=1,0,IF($AP3878=1,Settings!$C$6,Settings!$C$7))*100)</f>
        <v/>
      </c>
      <c r="AC3878" s="7">
        <f>IF($E3878="","",Y3878*AB3878/100)</f>
        <v/>
      </c>
      <c r="AD3878" s="7">
        <f>IF($E3878="","",Y3878-AC3878)</f>
        <v/>
      </c>
      <c r="AE3878" s="7">
        <f>IF($E3878="","",AD3878-Q3878)</f>
        <v/>
      </c>
      <c r="AI3878" s="7" t="n"/>
      <c r="AL3878" s="11" t="n"/>
      <c r="AN3878">
        <f>IF($E3878="","",IF(COUNTIF($E$2:$E3878,$E3878)=1,1,0))</f>
        <v/>
      </c>
      <c r="AO3878">
        <f>IF($AN3878=1,SUMPRODUCT(--($AR$2:$AR$4001&lt;$AR3878))+1,"")</f>
        <v/>
      </c>
      <c r="AP3878">
        <f>IF($E3878="","",IF(OR($U3878=TRUE(),$U3878="TRUE"),1,0))</f>
        <v/>
      </c>
      <c r="AQ3878">
        <f>IF($E3878="","",IF($AA3878="Yes",1,0))</f>
        <v/>
      </c>
      <c r="AR3878">
        <f>IF($AN3878=1,IFERROR(VALUE(MID($E3878,2,20)),1000000000)+ROW()/100000,"")</f>
        <v/>
      </c>
    </row>
    <row r="3879">
      <c r="G3879" s="11" t="n"/>
      <c r="Q3879" s="7">
        <f>IF($E3879="","",P3879*Y3879/100)</f>
        <v/>
      </c>
      <c r="R3879" s="7" t="n"/>
      <c r="X3879" s="7" t="n"/>
      <c r="Y3879" s="7" t="n"/>
      <c r="AB3879">
        <f>IF($E3879="","",IF($AQ3879=1,0,IF($AP3879=1,Settings!$C$6,Settings!$C$7))*100)</f>
        <v/>
      </c>
      <c r="AC3879" s="7">
        <f>IF($E3879="","",Y3879*AB3879/100)</f>
        <v/>
      </c>
      <c r="AD3879" s="7">
        <f>IF($E3879="","",Y3879-AC3879)</f>
        <v/>
      </c>
      <c r="AE3879" s="7">
        <f>IF($E3879="","",AD3879-Q3879)</f>
        <v/>
      </c>
      <c r="AI3879" s="7" t="n"/>
      <c r="AL3879" s="11" t="n"/>
      <c r="AN3879">
        <f>IF($E3879="","",IF(COUNTIF($E$2:$E3879,$E3879)=1,1,0))</f>
        <v/>
      </c>
      <c r="AO3879">
        <f>IF($AN3879=1,SUMPRODUCT(--($AR$2:$AR$4001&lt;$AR3879))+1,"")</f>
        <v/>
      </c>
      <c r="AP3879">
        <f>IF($E3879="","",IF(OR($U3879=TRUE(),$U3879="TRUE"),1,0))</f>
        <v/>
      </c>
      <c r="AQ3879">
        <f>IF($E3879="","",IF($AA3879="Yes",1,0))</f>
        <v/>
      </c>
      <c r="AR3879">
        <f>IF($AN3879=1,IFERROR(VALUE(MID($E3879,2,20)),1000000000)+ROW()/100000,"")</f>
        <v/>
      </c>
    </row>
    <row r="3880">
      <c r="G3880" s="11" t="n"/>
      <c r="Q3880" s="7">
        <f>IF($E3880="","",P3880*Y3880/100)</f>
        <v/>
      </c>
      <c r="R3880" s="7" t="n"/>
      <c r="X3880" s="7" t="n"/>
      <c r="Y3880" s="7" t="n"/>
      <c r="AB3880">
        <f>IF($E3880="","",IF($AQ3880=1,0,IF($AP3880=1,Settings!$C$6,Settings!$C$7))*100)</f>
        <v/>
      </c>
      <c r="AC3880" s="7">
        <f>IF($E3880="","",Y3880*AB3880/100)</f>
        <v/>
      </c>
      <c r="AD3880" s="7">
        <f>IF($E3880="","",Y3880-AC3880)</f>
        <v/>
      </c>
      <c r="AE3880" s="7">
        <f>IF($E3880="","",AD3880-Q3880)</f>
        <v/>
      </c>
      <c r="AI3880" s="7" t="n"/>
      <c r="AL3880" s="11" t="n"/>
      <c r="AN3880">
        <f>IF($E3880="","",IF(COUNTIF($E$2:$E3880,$E3880)=1,1,0))</f>
        <v/>
      </c>
      <c r="AO3880">
        <f>IF($AN3880=1,SUMPRODUCT(--($AR$2:$AR$4001&lt;$AR3880))+1,"")</f>
        <v/>
      </c>
      <c r="AP3880">
        <f>IF($E3880="","",IF(OR($U3880=TRUE(),$U3880="TRUE"),1,0))</f>
        <v/>
      </c>
      <c r="AQ3880">
        <f>IF($E3880="","",IF($AA3880="Yes",1,0))</f>
        <v/>
      </c>
      <c r="AR3880">
        <f>IF($AN3880=1,IFERROR(VALUE(MID($E3880,2,20)),1000000000)+ROW()/100000,"")</f>
        <v/>
      </c>
    </row>
    <row r="3881">
      <c r="G3881" s="11" t="n"/>
      <c r="Q3881" s="7">
        <f>IF($E3881="","",P3881*Y3881/100)</f>
        <v/>
      </c>
      <c r="R3881" s="7" t="n"/>
      <c r="X3881" s="7" t="n"/>
      <c r="Y3881" s="7" t="n"/>
      <c r="AB3881">
        <f>IF($E3881="","",IF($AQ3881=1,0,IF($AP3881=1,Settings!$C$6,Settings!$C$7))*100)</f>
        <v/>
      </c>
      <c r="AC3881" s="7">
        <f>IF($E3881="","",Y3881*AB3881/100)</f>
        <v/>
      </c>
      <c r="AD3881" s="7">
        <f>IF($E3881="","",Y3881-AC3881)</f>
        <v/>
      </c>
      <c r="AE3881" s="7">
        <f>IF($E3881="","",AD3881-Q3881)</f>
        <v/>
      </c>
      <c r="AI3881" s="7" t="n"/>
      <c r="AL3881" s="11" t="n"/>
      <c r="AN3881">
        <f>IF($E3881="","",IF(COUNTIF($E$2:$E3881,$E3881)=1,1,0))</f>
        <v/>
      </c>
      <c r="AO3881">
        <f>IF($AN3881=1,SUMPRODUCT(--($AR$2:$AR$4001&lt;$AR3881))+1,"")</f>
        <v/>
      </c>
      <c r="AP3881">
        <f>IF($E3881="","",IF(OR($U3881=TRUE(),$U3881="TRUE"),1,0))</f>
        <v/>
      </c>
      <c r="AQ3881">
        <f>IF($E3881="","",IF($AA3881="Yes",1,0))</f>
        <v/>
      </c>
      <c r="AR3881">
        <f>IF($AN3881=1,IFERROR(VALUE(MID($E3881,2,20)),1000000000)+ROW()/100000,"")</f>
        <v/>
      </c>
    </row>
    <row r="3882">
      <c r="G3882" s="11" t="n"/>
      <c r="Q3882" s="7">
        <f>IF($E3882="","",P3882*Y3882/100)</f>
        <v/>
      </c>
      <c r="R3882" s="7" t="n"/>
      <c r="X3882" s="7" t="n"/>
      <c r="Y3882" s="7" t="n"/>
      <c r="AB3882">
        <f>IF($E3882="","",IF($AQ3882=1,0,IF($AP3882=1,Settings!$C$6,Settings!$C$7))*100)</f>
        <v/>
      </c>
      <c r="AC3882" s="7">
        <f>IF($E3882="","",Y3882*AB3882/100)</f>
        <v/>
      </c>
      <c r="AD3882" s="7">
        <f>IF($E3882="","",Y3882-AC3882)</f>
        <v/>
      </c>
      <c r="AE3882" s="7">
        <f>IF($E3882="","",AD3882-Q3882)</f>
        <v/>
      </c>
      <c r="AI3882" s="7" t="n"/>
      <c r="AL3882" s="11" t="n"/>
      <c r="AN3882">
        <f>IF($E3882="","",IF(COUNTIF($E$2:$E3882,$E3882)=1,1,0))</f>
        <v/>
      </c>
      <c r="AO3882">
        <f>IF($AN3882=1,SUMPRODUCT(--($AR$2:$AR$4001&lt;$AR3882))+1,"")</f>
        <v/>
      </c>
      <c r="AP3882">
        <f>IF($E3882="","",IF(OR($U3882=TRUE(),$U3882="TRUE"),1,0))</f>
        <v/>
      </c>
      <c r="AQ3882">
        <f>IF($E3882="","",IF($AA3882="Yes",1,0))</f>
        <v/>
      </c>
      <c r="AR3882">
        <f>IF($AN3882=1,IFERROR(VALUE(MID($E3882,2,20)),1000000000)+ROW()/100000,"")</f>
        <v/>
      </c>
    </row>
    <row r="3883">
      <c r="G3883" s="11" t="n"/>
      <c r="Q3883" s="7">
        <f>IF($E3883="","",P3883*Y3883/100)</f>
        <v/>
      </c>
      <c r="R3883" s="7" t="n"/>
      <c r="X3883" s="7" t="n"/>
      <c r="Y3883" s="7" t="n"/>
      <c r="AB3883">
        <f>IF($E3883="","",IF($AQ3883=1,0,IF($AP3883=1,Settings!$C$6,Settings!$C$7))*100)</f>
        <v/>
      </c>
      <c r="AC3883" s="7">
        <f>IF($E3883="","",Y3883*AB3883/100)</f>
        <v/>
      </c>
      <c r="AD3883" s="7">
        <f>IF($E3883="","",Y3883-AC3883)</f>
        <v/>
      </c>
      <c r="AE3883" s="7">
        <f>IF($E3883="","",AD3883-Q3883)</f>
        <v/>
      </c>
      <c r="AI3883" s="7" t="n"/>
      <c r="AL3883" s="11" t="n"/>
      <c r="AN3883">
        <f>IF($E3883="","",IF(COUNTIF($E$2:$E3883,$E3883)=1,1,0))</f>
        <v/>
      </c>
      <c r="AO3883">
        <f>IF($AN3883=1,SUMPRODUCT(--($AR$2:$AR$4001&lt;$AR3883))+1,"")</f>
        <v/>
      </c>
      <c r="AP3883">
        <f>IF($E3883="","",IF(OR($U3883=TRUE(),$U3883="TRUE"),1,0))</f>
        <v/>
      </c>
      <c r="AQ3883">
        <f>IF($E3883="","",IF($AA3883="Yes",1,0))</f>
        <v/>
      </c>
      <c r="AR3883">
        <f>IF($AN3883=1,IFERROR(VALUE(MID($E3883,2,20)),1000000000)+ROW()/100000,"")</f>
        <v/>
      </c>
    </row>
    <row r="3884">
      <c r="G3884" s="11" t="n"/>
      <c r="Q3884" s="7">
        <f>IF($E3884="","",P3884*Y3884/100)</f>
        <v/>
      </c>
      <c r="R3884" s="7" t="n"/>
      <c r="X3884" s="7" t="n"/>
      <c r="Y3884" s="7" t="n"/>
      <c r="AB3884">
        <f>IF($E3884="","",IF($AQ3884=1,0,IF($AP3884=1,Settings!$C$6,Settings!$C$7))*100)</f>
        <v/>
      </c>
      <c r="AC3884" s="7">
        <f>IF($E3884="","",Y3884*AB3884/100)</f>
        <v/>
      </c>
      <c r="AD3884" s="7">
        <f>IF($E3884="","",Y3884-AC3884)</f>
        <v/>
      </c>
      <c r="AE3884" s="7">
        <f>IF($E3884="","",AD3884-Q3884)</f>
        <v/>
      </c>
      <c r="AI3884" s="7" t="n"/>
      <c r="AL3884" s="11" t="n"/>
      <c r="AN3884">
        <f>IF($E3884="","",IF(COUNTIF($E$2:$E3884,$E3884)=1,1,0))</f>
        <v/>
      </c>
      <c r="AO3884">
        <f>IF($AN3884=1,SUMPRODUCT(--($AR$2:$AR$4001&lt;$AR3884))+1,"")</f>
        <v/>
      </c>
      <c r="AP3884">
        <f>IF($E3884="","",IF(OR($U3884=TRUE(),$U3884="TRUE"),1,0))</f>
        <v/>
      </c>
      <c r="AQ3884">
        <f>IF($E3884="","",IF($AA3884="Yes",1,0))</f>
        <v/>
      </c>
      <c r="AR3884">
        <f>IF($AN3884=1,IFERROR(VALUE(MID($E3884,2,20)),1000000000)+ROW()/100000,"")</f>
        <v/>
      </c>
    </row>
    <row r="3885">
      <c r="G3885" s="11" t="n"/>
      <c r="Q3885" s="7">
        <f>IF($E3885="","",P3885*Y3885/100)</f>
        <v/>
      </c>
      <c r="R3885" s="7" t="n"/>
      <c r="X3885" s="7" t="n"/>
      <c r="Y3885" s="7" t="n"/>
      <c r="AB3885">
        <f>IF($E3885="","",IF($AQ3885=1,0,IF($AP3885=1,Settings!$C$6,Settings!$C$7))*100)</f>
        <v/>
      </c>
      <c r="AC3885" s="7">
        <f>IF($E3885="","",Y3885*AB3885/100)</f>
        <v/>
      </c>
      <c r="AD3885" s="7">
        <f>IF($E3885="","",Y3885-AC3885)</f>
        <v/>
      </c>
      <c r="AE3885" s="7">
        <f>IF($E3885="","",AD3885-Q3885)</f>
        <v/>
      </c>
      <c r="AI3885" s="7" t="n"/>
      <c r="AL3885" s="11" t="n"/>
      <c r="AN3885">
        <f>IF($E3885="","",IF(COUNTIF($E$2:$E3885,$E3885)=1,1,0))</f>
        <v/>
      </c>
      <c r="AO3885">
        <f>IF($AN3885=1,SUMPRODUCT(--($AR$2:$AR$4001&lt;$AR3885))+1,"")</f>
        <v/>
      </c>
      <c r="AP3885">
        <f>IF($E3885="","",IF(OR($U3885=TRUE(),$U3885="TRUE"),1,0))</f>
        <v/>
      </c>
      <c r="AQ3885">
        <f>IF($E3885="","",IF($AA3885="Yes",1,0))</f>
        <v/>
      </c>
      <c r="AR3885">
        <f>IF($AN3885=1,IFERROR(VALUE(MID($E3885,2,20)),1000000000)+ROW()/100000,"")</f>
        <v/>
      </c>
    </row>
    <row r="3886">
      <c r="G3886" s="11" t="n"/>
      <c r="Q3886" s="7">
        <f>IF($E3886="","",P3886*Y3886/100)</f>
        <v/>
      </c>
      <c r="R3886" s="7" t="n"/>
      <c r="X3886" s="7" t="n"/>
      <c r="Y3886" s="7" t="n"/>
      <c r="AB3886">
        <f>IF($E3886="","",IF($AQ3886=1,0,IF($AP3886=1,Settings!$C$6,Settings!$C$7))*100)</f>
        <v/>
      </c>
      <c r="AC3886" s="7">
        <f>IF($E3886="","",Y3886*AB3886/100)</f>
        <v/>
      </c>
      <c r="AD3886" s="7">
        <f>IF($E3886="","",Y3886-AC3886)</f>
        <v/>
      </c>
      <c r="AE3886" s="7">
        <f>IF($E3886="","",AD3886-Q3886)</f>
        <v/>
      </c>
      <c r="AI3886" s="7" t="n"/>
      <c r="AL3886" s="11" t="n"/>
      <c r="AN3886">
        <f>IF($E3886="","",IF(COUNTIF($E$2:$E3886,$E3886)=1,1,0))</f>
        <v/>
      </c>
      <c r="AO3886">
        <f>IF($AN3886=1,SUMPRODUCT(--($AR$2:$AR$4001&lt;$AR3886))+1,"")</f>
        <v/>
      </c>
      <c r="AP3886">
        <f>IF($E3886="","",IF(OR($U3886=TRUE(),$U3886="TRUE"),1,0))</f>
        <v/>
      </c>
      <c r="AQ3886">
        <f>IF($E3886="","",IF($AA3886="Yes",1,0))</f>
        <v/>
      </c>
      <c r="AR3886">
        <f>IF($AN3886=1,IFERROR(VALUE(MID($E3886,2,20)),1000000000)+ROW()/100000,"")</f>
        <v/>
      </c>
    </row>
    <row r="3887">
      <c r="G3887" s="11" t="n"/>
      <c r="Q3887" s="7">
        <f>IF($E3887="","",P3887*Y3887/100)</f>
        <v/>
      </c>
      <c r="R3887" s="7" t="n"/>
      <c r="X3887" s="7" t="n"/>
      <c r="Y3887" s="7" t="n"/>
      <c r="AB3887">
        <f>IF($E3887="","",IF($AQ3887=1,0,IF($AP3887=1,Settings!$C$6,Settings!$C$7))*100)</f>
        <v/>
      </c>
      <c r="AC3887" s="7">
        <f>IF($E3887="","",Y3887*AB3887/100)</f>
        <v/>
      </c>
      <c r="AD3887" s="7">
        <f>IF($E3887="","",Y3887-AC3887)</f>
        <v/>
      </c>
      <c r="AE3887" s="7">
        <f>IF($E3887="","",AD3887-Q3887)</f>
        <v/>
      </c>
      <c r="AI3887" s="7" t="n"/>
      <c r="AL3887" s="11" t="n"/>
      <c r="AN3887">
        <f>IF($E3887="","",IF(COUNTIF($E$2:$E3887,$E3887)=1,1,0))</f>
        <v/>
      </c>
      <c r="AO3887">
        <f>IF($AN3887=1,SUMPRODUCT(--($AR$2:$AR$4001&lt;$AR3887))+1,"")</f>
        <v/>
      </c>
      <c r="AP3887">
        <f>IF($E3887="","",IF(OR($U3887=TRUE(),$U3887="TRUE"),1,0))</f>
        <v/>
      </c>
      <c r="AQ3887">
        <f>IF($E3887="","",IF($AA3887="Yes",1,0))</f>
        <v/>
      </c>
      <c r="AR3887">
        <f>IF($AN3887=1,IFERROR(VALUE(MID($E3887,2,20)),1000000000)+ROW()/100000,"")</f>
        <v/>
      </c>
    </row>
    <row r="3888">
      <c r="G3888" s="11" t="n"/>
      <c r="Q3888" s="7">
        <f>IF($E3888="","",P3888*Y3888/100)</f>
        <v/>
      </c>
      <c r="R3888" s="7" t="n"/>
      <c r="X3888" s="7" t="n"/>
      <c r="Y3888" s="7" t="n"/>
      <c r="AB3888">
        <f>IF($E3888="","",IF($AQ3888=1,0,IF($AP3888=1,Settings!$C$6,Settings!$C$7))*100)</f>
        <v/>
      </c>
      <c r="AC3888" s="7">
        <f>IF($E3888="","",Y3888*AB3888/100)</f>
        <v/>
      </c>
      <c r="AD3888" s="7">
        <f>IF($E3888="","",Y3888-AC3888)</f>
        <v/>
      </c>
      <c r="AE3888" s="7">
        <f>IF($E3888="","",AD3888-Q3888)</f>
        <v/>
      </c>
      <c r="AI3888" s="7" t="n"/>
      <c r="AL3888" s="11" t="n"/>
      <c r="AN3888">
        <f>IF($E3888="","",IF(COUNTIF($E$2:$E3888,$E3888)=1,1,0))</f>
        <v/>
      </c>
      <c r="AO3888">
        <f>IF($AN3888=1,SUMPRODUCT(--($AR$2:$AR$4001&lt;$AR3888))+1,"")</f>
        <v/>
      </c>
      <c r="AP3888">
        <f>IF($E3888="","",IF(OR($U3888=TRUE(),$U3888="TRUE"),1,0))</f>
        <v/>
      </c>
      <c r="AQ3888">
        <f>IF($E3888="","",IF($AA3888="Yes",1,0))</f>
        <v/>
      </c>
      <c r="AR3888">
        <f>IF($AN3888=1,IFERROR(VALUE(MID($E3888,2,20)),1000000000)+ROW()/100000,"")</f>
        <v/>
      </c>
    </row>
    <row r="3889">
      <c r="G3889" s="11" t="n"/>
      <c r="Q3889" s="7">
        <f>IF($E3889="","",P3889*Y3889/100)</f>
        <v/>
      </c>
      <c r="R3889" s="7" t="n"/>
      <c r="X3889" s="7" t="n"/>
      <c r="Y3889" s="7" t="n"/>
      <c r="AB3889">
        <f>IF($E3889="","",IF($AQ3889=1,0,IF($AP3889=1,Settings!$C$6,Settings!$C$7))*100)</f>
        <v/>
      </c>
      <c r="AC3889" s="7">
        <f>IF($E3889="","",Y3889*AB3889/100)</f>
        <v/>
      </c>
      <c r="AD3889" s="7">
        <f>IF($E3889="","",Y3889-AC3889)</f>
        <v/>
      </c>
      <c r="AE3889" s="7">
        <f>IF($E3889="","",AD3889-Q3889)</f>
        <v/>
      </c>
      <c r="AI3889" s="7" t="n"/>
      <c r="AL3889" s="11" t="n"/>
      <c r="AN3889">
        <f>IF($E3889="","",IF(COUNTIF($E$2:$E3889,$E3889)=1,1,0))</f>
        <v/>
      </c>
      <c r="AO3889">
        <f>IF($AN3889=1,SUMPRODUCT(--($AR$2:$AR$4001&lt;$AR3889))+1,"")</f>
        <v/>
      </c>
      <c r="AP3889">
        <f>IF($E3889="","",IF(OR($U3889=TRUE(),$U3889="TRUE"),1,0))</f>
        <v/>
      </c>
      <c r="AQ3889">
        <f>IF($E3889="","",IF($AA3889="Yes",1,0))</f>
        <v/>
      </c>
      <c r="AR3889">
        <f>IF($AN3889=1,IFERROR(VALUE(MID($E3889,2,20)),1000000000)+ROW()/100000,"")</f>
        <v/>
      </c>
    </row>
    <row r="3890">
      <c r="G3890" s="11" t="n"/>
      <c r="Q3890" s="7">
        <f>IF($E3890="","",P3890*Y3890/100)</f>
        <v/>
      </c>
      <c r="R3890" s="7" t="n"/>
      <c r="X3890" s="7" t="n"/>
      <c r="Y3890" s="7" t="n"/>
      <c r="AB3890">
        <f>IF($E3890="","",IF($AQ3890=1,0,IF($AP3890=1,Settings!$C$6,Settings!$C$7))*100)</f>
        <v/>
      </c>
      <c r="AC3890" s="7">
        <f>IF($E3890="","",Y3890*AB3890/100)</f>
        <v/>
      </c>
      <c r="AD3890" s="7">
        <f>IF($E3890="","",Y3890-AC3890)</f>
        <v/>
      </c>
      <c r="AE3890" s="7">
        <f>IF($E3890="","",AD3890-Q3890)</f>
        <v/>
      </c>
      <c r="AI3890" s="7" t="n"/>
      <c r="AL3890" s="11" t="n"/>
      <c r="AN3890">
        <f>IF($E3890="","",IF(COUNTIF($E$2:$E3890,$E3890)=1,1,0))</f>
        <v/>
      </c>
      <c r="AO3890">
        <f>IF($AN3890=1,SUMPRODUCT(--($AR$2:$AR$4001&lt;$AR3890))+1,"")</f>
        <v/>
      </c>
      <c r="AP3890">
        <f>IF($E3890="","",IF(OR($U3890=TRUE(),$U3890="TRUE"),1,0))</f>
        <v/>
      </c>
      <c r="AQ3890">
        <f>IF($E3890="","",IF($AA3890="Yes",1,0))</f>
        <v/>
      </c>
      <c r="AR3890">
        <f>IF($AN3890=1,IFERROR(VALUE(MID($E3890,2,20)),1000000000)+ROW()/100000,"")</f>
        <v/>
      </c>
    </row>
    <row r="3891">
      <c r="G3891" s="11" t="n"/>
      <c r="Q3891" s="7">
        <f>IF($E3891="","",P3891*Y3891/100)</f>
        <v/>
      </c>
      <c r="R3891" s="7" t="n"/>
      <c r="X3891" s="7" t="n"/>
      <c r="Y3891" s="7" t="n"/>
      <c r="AB3891">
        <f>IF($E3891="","",IF($AQ3891=1,0,IF($AP3891=1,Settings!$C$6,Settings!$C$7))*100)</f>
        <v/>
      </c>
      <c r="AC3891" s="7">
        <f>IF($E3891="","",Y3891*AB3891/100)</f>
        <v/>
      </c>
      <c r="AD3891" s="7">
        <f>IF($E3891="","",Y3891-AC3891)</f>
        <v/>
      </c>
      <c r="AE3891" s="7">
        <f>IF($E3891="","",AD3891-Q3891)</f>
        <v/>
      </c>
      <c r="AI3891" s="7" t="n"/>
      <c r="AL3891" s="11" t="n"/>
      <c r="AN3891">
        <f>IF($E3891="","",IF(COUNTIF($E$2:$E3891,$E3891)=1,1,0))</f>
        <v/>
      </c>
      <c r="AO3891">
        <f>IF($AN3891=1,SUMPRODUCT(--($AR$2:$AR$4001&lt;$AR3891))+1,"")</f>
        <v/>
      </c>
      <c r="AP3891">
        <f>IF($E3891="","",IF(OR($U3891=TRUE(),$U3891="TRUE"),1,0))</f>
        <v/>
      </c>
      <c r="AQ3891">
        <f>IF($E3891="","",IF($AA3891="Yes",1,0))</f>
        <v/>
      </c>
      <c r="AR3891">
        <f>IF($AN3891=1,IFERROR(VALUE(MID($E3891,2,20)),1000000000)+ROW()/100000,"")</f>
        <v/>
      </c>
    </row>
    <row r="3892">
      <c r="G3892" s="11" t="n"/>
      <c r="Q3892" s="7">
        <f>IF($E3892="","",P3892*Y3892/100)</f>
        <v/>
      </c>
      <c r="R3892" s="7" t="n"/>
      <c r="X3892" s="7" t="n"/>
      <c r="Y3892" s="7" t="n"/>
      <c r="AB3892">
        <f>IF($E3892="","",IF($AQ3892=1,0,IF($AP3892=1,Settings!$C$6,Settings!$C$7))*100)</f>
        <v/>
      </c>
      <c r="AC3892" s="7">
        <f>IF($E3892="","",Y3892*AB3892/100)</f>
        <v/>
      </c>
      <c r="AD3892" s="7">
        <f>IF($E3892="","",Y3892-AC3892)</f>
        <v/>
      </c>
      <c r="AE3892" s="7">
        <f>IF($E3892="","",AD3892-Q3892)</f>
        <v/>
      </c>
      <c r="AI3892" s="7" t="n"/>
      <c r="AL3892" s="11" t="n"/>
      <c r="AN3892">
        <f>IF($E3892="","",IF(COUNTIF($E$2:$E3892,$E3892)=1,1,0))</f>
        <v/>
      </c>
      <c r="AO3892">
        <f>IF($AN3892=1,SUMPRODUCT(--($AR$2:$AR$4001&lt;$AR3892))+1,"")</f>
        <v/>
      </c>
      <c r="AP3892">
        <f>IF($E3892="","",IF(OR($U3892=TRUE(),$U3892="TRUE"),1,0))</f>
        <v/>
      </c>
      <c r="AQ3892">
        <f>IF($E3892="","",IF($AA3892="Yes",1,0))</f>
        <v/>
      </c>
      <c r="AR3892">
        <f>IF($AN3892=1,IFERROR(VALUE(MID($E3892,2,20)),1000000000)+ROW()/100000,"")</f>
        <v/>
      </c>
    </row>
    <row r="3893">
      <c r="G3893" s="11" t="n"/>
      <c r="Q3893" s="7">
        <f>IF($E3893="","",P3893*Y3893/100)</f>
        <v/>
      </c>
      <c r="R3893" s="7" t="n"/>
      <c r="X3893" s="7" t="n"/>
      <c r="Y3893" s="7" t="n"/>
      <c r="AB3893">
        <f>IF($E3893="","",IF($AQ3893=1,0,IF($AP3893=1,Settings!$C$6,Settings!$C$7))*100)</f>
        <v/>
      </c>
      <c r="AC3893" s="7">
        <f>IF($E3893="","",Y3893*AB3893/100)</f>
        <v/>
      </c>
      <c r="AD3893" s="7">
        <f>IF($E3893="","",Y3893-AC3893)</f>
        <v/>
      </c>
      <c r="AE3893" s="7">
        <f>IF($E3893="","",AD3893-Q3893)</f>
        <v/>
      </c>
      <c r="AI3893" s="7" t="n"/>
      <c r="AL3893" s="11" t="n"/>
      <c r="AN3893">
        <f>IF($E3893="","",IF(COUNTIF($E$2:$E3893,$E3893)=1,1,0))</f>
        <v/>
      </c>
      <c r="AO3893">
        <f>IF($AN3893=1,SUMPRODUCT(--($AR$2:$AR$4001&lt;$AR3893))+1,"")</f>
        <v/>
      </c>
      <c r="AP3893">
        <f>IF($E3893="","",IF(OR($U3893=TRUE(),$U3893="TRUE"),1,0))</f>
        <v/>
      </c>
      <c r="AQ3893">
        <f>IF($E3893="","",IF($AA3893="Yes",1,0))</f>
        <v/>
      </c>
      <c r="AR3893">
        <f>IF($AN3893=1,IFERROR(VALUE(MID($E3893,2,20)),1000000000)+ROW()/100000,"")</f>
        <v/>
      </c>
    </row>
    <row r="3894">
      <c r="G3894" s="11" t="n"/>
      <c r="Q3894" s="7">
        <f>IF($E3894="","",P3894*Y3894/100)</f>
        <v/>
      </c>
      <c r="R3894" s="7" t="n"/>
      <c r="X3894" s="7" t="n"/>
      <c r="Y3894" s="7" t="n"/>
      <c r="AB3894">
        <f>IF($E3894="","",IF($AQ3894=1,0,IF($AP3894=1,Settings!$C$6,Settings!$C$7))*100)</f>
        <v/>
      </c>
      <c r="AC3894" s="7">
        <f>IF($E3894="","",Y3894*AB3894/100)</f>
        <v/>
      </c>
      <c r="AD3894" s="7">
        <f>IF($E3894="","",Y3894-AC3894)</f>
        <v/>
      </c>
      <c r="AE3894" s="7">
        <f>IF($E3894="","",AD3894-Q3894)</f>
        <v/>
      </c>
      <c r="AI3894" s="7" t="n"/>
      <c r="AL3894" s="11" t="n"/>
      <c r="AN3894">
        <f>IF($E3894="","",IF(COUNTIF($E$2:$E3894,$E3894)=1,1,0))</f>
        <v/>
      </c>
      <c r="AO3894">
        <f>IF($AN3894=1,SUMPRODUCT(--($AR$2:$AR$4001&lt;$AR3894))+1,"")</f>
        <v/>
      </c>
      <c r="AP3894">
        <f>IF($E3894="","",IF(OR($U3894=TRUE(),$U3894="TRUE"),1,0))</f>
        <v/>
      </c>
      <c r="AQ3894">
        <f>IF($E3894="","",IF($AA3894="Yes",1,0))</f>
        <v/>
      </c>
      <c r="AR3894">
        <f>IF($AN3894=1,IFERROR(VALUE(MID($E3894,2,20)),1000000000)+ROW()/100000,"")</f>
        <v/>
      </c>
    </row>
    <row r="3895">
      <c r="G3895" s="11" t="n"/>
      <c r="Q3895" s="7">
        <f>IF($E3895="","",P3895*Y3895/100)</f>
        <v/>
      </c>
      <c r="R3895" s="7" t="n"/>
      <c r="X3895" s="7" t="n"/>
      <c r="Y3895" s="7" t="n"/>
      <c r="AB3895">
        <f>IF($E3895="","",IF($AQ3895=1,0,IF($AP3895=1,Settings!$C$6,Settings!$C$7))*100)</f>
        <v/>
      </c>
      <c r="AC3895" s="7">
        <f>IF($E3895="","",Y3895*AB3895/100)</f>
        <v/>
      </c>
      <c r="AD3895" s="7">
        <f>IF($E3895="","",Y3895-AC3895)</f>
        <v/>
      </c>
      <c r="AE3895" s="7">
        <f>IF($E3895="","",AD3895-Q3895)</f>
        <v/>
      </c>
      <c r="AI3895" s="7" t="n"/>
      <c r="AL3895" s="11" t="n"/>
      <c r="AN3895">
        <f>IF($E3895="","",IF(COUNTIF($E$2:$E3895,$E3895)=1,1,0))</f>
        <v/>
      </c>
      <c r="AO3895">
        <f>IF($AN3895=1,SUMPRODUCT(--($AR$2:$AR$4001&lt;$AR3895))+1,"")</f>
        <v/>
      </c>
      <c r="AP3895">
        <f>IF($E3895="","",IF(OR($U3895=TRUE(),$U3895="TRUE"),1,0))</f>
        <v/>
      </c>
      <c r="AQ3895">
        <f>IF($E3895="","",IF($AA3895="Yes",1,0))</f>
        <v/>
      </c>
      <c r="AR3895">
        <f>IF($AN3895=1,IFERROR(VALUE(MID($E3895,2,20)),1000000000)+ROW()/100000,"")</f>
        <v/>
      </c>
    </row>
    <row r="3896">
      <c r="G3896" s="11" t="n"/>
      <c r="Q3896" s="7">
        <f>IF($E3896="","",P3896*Y3896/100)</f>
        <v/>
      </c>
      <c r="R3896" s="7" t="n"/>
      <c r="X3896" s="7" t="n"/>
      <c r="Y3896" s="7" t="n"/>
      <c r="AB3896">
        <f>IF($E3896="","",IF($AQ3896=1,0,IF($AP3896=1,Settings!$C$6,Settings!$C$7))*100)</f>
        <v/>
      </c>
      <c r="AC3896" s="7">
        <f>IF($E3896="","",Y3896*AB3896/100)</f>
        <v/>
      </c>
      <c r="AD3896" s="7">
        <f>IF($E3896="","",Y3896-AC3896)</f>
        <v/>
      </c>
      <c r="AE3896" s="7">
        <f>IF($E3896="","",AD3896-Q3896)</f>
        <v/>
      </c>
      <c r="AI3896" s="7" t="n"/>
      <c r="AL3896" s="11" t="n"/>
      <c r="AN3896">
        <f>IF($E3896="","",IF(COUNTIF($E$2:$E3896,$E3896)=1,1,0))</f>
        <v/>
      </c>
      <c r="AO3896">
        <f>IF($AN3896=1,SUMPRODUCT(--($AR$2:$AR$4001&lt;$AR3896))+1,"")</f>
        <v/>
      </c>
      <c r="AP3896">
        <f>IF($E3896="","",IF(OR($U3896=TRUE(),$U3896="TRUE"),1,0))</f>
        <v/>
      </c>
      <c r="AQ3896">
        <f>IF($E3896="","",IF($AA3896="Yes",1,0))</f>
        <v/>
      </c>
      <c r="AR3896">
        <f>IF($AN3896=1,IFERROR(VALUE(MID($E3896,2,20)),1000000000)+ROW()/100000,"")</f>
        <v/>
      </c>
    </row>
    <row r="3897">
      <c r="G3897" s="11" t="n"/>
      <c r="Q3897" s="7">
        <f>IF($E3897="","",P3897*Y3897/100)</f>
        <v/>
      </c>
      <c r="R3897" s="7" t="n"/>
      <c r="X3897" s="7" t="n"/>
      <c r="Y3897" s="7" t="n"/>
      <c r="AB3897">
        <f>IF($E3897="","",IF($AQ3897=1,0,IF($AP3897=1,Settings!$C$6,Settings!$C$7))*100)</f>
        <v/>
      </c>
      <c r="AC3897" s="7">
        <f>IF($E3897="","",Y3897*AB3897/100)</f>
        <v/>
      </c>
      <c r="AD3897" s="7">
        <f>IF($E3897="","",Y3897-AC3897)</f>
        <v/>
      </c>
      <c r="AE3897" s="7">
        <f>IF($E3897="","",AD3897-Q3897)</f>
        <v/>
      </c>
      <c r="AI3897" s="7" t="n"/>
      <c r="AL3897" s="11" t="n"/>
      <c r="AN3897">
        <f>IF($E3897="","",IF(COUNTIF($E$2:$E3897,$E3897)=1,1,0))</f>
        <v/>
      </c>
      <c r="AO3897">
        <f>IF($AN3897=1,SUMPRODUCT(--($AR$2:$AR$4001&lt;$AR3897))+1,"")</f>
        <v/>
      </c>
      <c r="AP3897">
        <f>IF($E3897="","",IF(OR($U3897=TRUE(),$U3897="TRUE"),1,0))</f>
        <v/>
      </c>
      <c r="AQ3897">
        <f>IF($E3897="","",IF($AA3897="Yes",1,0))</f>
        <v/>
      </c>
      <c r="AR3897">
        <f>IF($AN3897=1,IFERROR(VALUE(MID($E3897,2,20)),1000000000)+ROW()/100000,"")</f>
        <v/>
      </c>
    </row>
    <row r="3898">
      <c r="G3898" s="11" t="n"/>
      <c r="Q3898" s="7">
        <f>IF($E3898="","",P3898*Y3898/100)</f>
        <v/>
      </c>
      <c r="R3898" s="7" t="n"/>
      <c r="X3898" s="7" t="n"/>
      <c r="Y3898" s="7" t="n"/>
      <c r="AB3898">
        <f>IF($E3898="","",IF($AQ3898=1,0,IF($AP3898=1,Settings!$C$6,Settings!$C$7))*100)</f>
        <v/>
      </c>
      <c r="AC3898" s="7">
        <f>IF($E3898="","",Y3898*AB3898/100)</f>
        <v/>
      </c>
      <c r="AD3898" s="7">
        <f>IF($E3898="","",Y3898-AC3898)</f>
        <v/>
      </c>
      <c r="AE3898" s="7">
        <f>IF($E3898="","",AD3898-Q3898)</f>
        <v/>
      </c>
      <c r="AI3898" s="7" t="n"/>
      <c r="AL3898" s="11" t="n"/>
      <c r="AN3898">
        <f>IF($E3898="","",IF(COUNTIF($E$2:$E3898,$E3898)=1,1,0))</f>
        <v/>
      </c>
      <c r="AO3898">
        <f>IF($AN3898=1,SUMPRODUCT(--($AR$2:$AR$4001&lt;$AR3898))+1,"")</f>
        <v/>
      </c>
      <c r="AP3898">
        <f>IF($E3898="","",IF(OR($U3898=TRUE(),$U3898="TRUE"),1,0))</f>
        <v/>
      </c>
      <c r="AQ3898">
        <f>IF($E3898="","",IF($AA3898="Yes",1,0))</f>
        <v/>
      </c>
      <c r="AR3898">
        <f>IF($AN3898=1,IFERROR(VALUE(MID($E3898,2,20)),1000000000)+ROW()/100000,"")</f>
        <v/>
      </c>
    </row>
    <row r="3899">
      <c r="G3899" s="11" t="n"/>
      <c r="Q3899" s="7">
        <f>IF($E3899="","",P3899*Y3899/100)</f>
        <v/>
      </c>
      <c r="R3899" s="7" t="n"/>
      <c r="X3899" s="7" t="n"/>
      <c r="Y3899" s="7" t="n"/>
      <c r="AB3899">
        <f>IF($E3899="","",IF($AQ3899=1,0,IF($AP3899=1,Settings!$C$6,Settings!$C$7))*100)</f>
        <v/>
      </c>
      <c r="AC3899" s="7">
        <f>IF($E3899="","",Y3899*AB3899/100)</f>
        <v/>
      </c>
      <c r="AD3899" s="7">
        <f>IF($E3899="","",Y3899-AC3899)</f>
        <v/>
      </c>
      <c r="AE3899" s="7">
        <f>IF($E3899="","",AD3899-Q3899)</f>
        <v/>
      </c>
      <c r="AI3899" s="7" t="n"/>
      <c r="AL3899" s="11" t="n"/>
      <c r="AN3899">
        <f>IF($E3899="","",IF(COUNTIF($E$2:$E3899,$E3899)=1,1,0))</f>
        <v/>
      </c>
      <c r="AO3899">
        <f>IF($AN3899=1,SUMPRODUCT(--($AR$2:$AR$4001&lt;$AR3899))+1,"")</f>
        <v/>
      </c>
      <c r="AP3899">
        <f>IF($E3899="","",IF(OR($U3899=TRUE(),$U3899="TRUE"),1,0))</f>
        <v/>
      </c>
      <c r="AQ3899">
        <f>IF($E3899="","",IF($AA3899="Yes",1,0))</f>
        <v/>
      </c>
      <c r="AR3899">
        <f>IF($AN3899=1,IFERROR(VALUE(MID($E3899,2,20)),1000000000)+ROW()/100000,"")</f>
        <v/>
      </c>
    </row>
    <row r="3900">
      <c r="G3900" s="11" t="n"/>
      <c r="Q3900" s="7">
        <f>IF($E3900="","",P3900*Y3900/100)</f>
        <v/>
      </c>
      <c r="R3900" s="7" t="n"/>
      <c r="X3900" s="7" t="n"/>
      <c r="Y3900" s="7" t="n"/>
      <c r="AB3900">
        <f>IF($E3900="","",IF($AQ3900=1,0,IF($AP3900=1,Settings!$C$6,Settings!$C$7))*100)</f>
        <v/>
      </c>
      <c r="AC3900" s="7">
        <f>IF($E3900="","",Y3900*AB3900/100)</f>
        <v/>
      </c>
      <c r="AD3900" s="7">
        <f>IF($E3900="","",Y3900-AC3900)</f>
        <v/>
      </c>
      <c r="AE3900" s="7">
        <f>IF($E3900="","",AD3900-Q3900)</f>
        <v/>
      </c>
      <c r="AI3900" s="7" t="n"/>
      <c r="AL3900" s="11" t="n"/>
      <c r="AN3900">
        <f>IF($E3900="","",IF(COUNTIF($E$2:$E3900,$E3900)=1,1,0))</f>
        <v/>
      </c>
      <c r="AO3900">
        <f>IF($AN3900=1,SUMPRODUCT(--($AR$2:$AR$4001&lt;$AR3900))+1,"")</f>
        <v/>
      </c>
      <c r="AP3900">
        <f>IF($E3900="","",IF(OR($U3900=TRUE(),$U3900="TRUE"),1,0))</f>
        <v/>
      </c>
      <c r="AQ3900">
        <f>IF($E3900="","",IF($AA3900="Yes",1,0))</f>
        <v/>
      </c>
      <c r="AR3900">
        <f>IF($AN3900=1,IFERROR(VALUE(MID($E3900,2,20)),1000000000)+ROW()/100000,"")</f>
        <v/>
      </c>
    </row>
    <row r="3901">
      <c r="G3901" s="11" t="n"/>
      <c r="Q3901" s="7">
        <f>IF($E3901="","",P3901*Y3901/100)</f>
        <v/>
      </c>
      <c r="R3901" s="7" t="n"/>
      <c r="X3901" s="7" t="n"/>
      <c r="Y3901" s="7" t="n"/>
      <c r="AB3901">
        <f>IF($E3901="","",IF($AQ3901=1,0,IF($AP3901=1,Settings!$C$6,Settings!$C$7))*100)</f>
        <v/>
      </c>
      <c r="AC3901" s="7">
        <f>IF($E3901="","",Y3901*AB3901/100)</f>
        <v/>
      </c>
      <c r="AD3901" s="7">
        <f>IF($E3901="","",Y3901-AC3901)</f>
        <v/>
      </c>
      <c r="AE3901" s="7">
        <f>IF($E3901="","",AD3901-Q3901)</f>
        <v/>
      </c>
      <c r="AI3901" s="7" t="n"/>
      <c r="AL3901" s="11" t="n"/>
      <c r="AN3901">
        <f>IF($E3901="","",IF(COUNTIF($E$2:$E3901,$E3901)=1,1,0))</f>
        <v/>
      </c>
      <c r="AO3901">
        <f>IF($AN3901=1,SUMPRODUCT(--($AR$2:$AR$4001&lt;$AR3901))+1,"")</f>
        <v/>
      </c>
      <c r="AP3901">
        <f>IF($E3901="","",IF(OR($U3901=TRUE(),$U3901="TRUE"),1,0))</f>
        <v/>
      </c>
      <c r="AQ3901">
        <f>IF($E3901="","",IF($AA3901="Yes",1,0))</f>
        <v/>
      </c>
      <c r="AR3901">
        <f>IF($AN3901=1,IFERROR(VALUE(MID($E3901,2,20)),1000000000)+ROW()/100000,"")</f>
        <v/>
      </c>
    </row>
    <row r="3902">
      <c r="G3902" s="11" t="n"/>
      <c r="Q3902" s="7">
        <f>IF($E3902="","",P3902*Y3902/100)</f>
        <v/>
      </c>
      <c r="R3902" s="7" t="n"/>
      <c r="X3902" s="7" t="n"/>
      <c r="Y3902" s="7" t="n"/>
      <c r="AB3902">
        <f>IF($E3902="","",IF($AQ3902=1,0,IF($AP3902=1,Settings!$C$6,Settings!$C$7))*100)</f>
        <v/>
      </c>
      <c r="AC3902" s="7">
        <f>IF($E3902="","",Y3902*AB3902/100)</f>
        <v/>
      </c>
      <c r="AD3902" s="7">
        <f>IF($E3902="","",Y3902-AC3902)</f>
        <v/>
      </c>
      <c r="AE3902" s="7">
        <f>IF($E3902="","",AD3902-Q3902)</f>
        <v/>
      </c>
      <c r="AI3902" s="7" t="n"/>
      <c r="AL3902" s="11" t="n"/>
      <c r="AN3902">
        <f>IF($E3902="","",IF(COUNTIF($E$2:$E3902,$E3902)=1,1,0))</f>
        <v/>
      </c>
      <c r="AO3902">
        <f>IF($AN3902=1,SUMPRODUCT(--($AR$2:$AR$4001&lt;$AR3902))+1,"")</f>
        <v/>
      </c>
      <c r="AP3902">
        <f>IF($E3902="","",IF(OR($U3902=TRUE(),$U3902="TRUE"),1,0))</f>
        <v/>
      </c>
      <c r="AQ3902">
        <f>IF($E3902="","",IF($AA3902="Yes",1,0))</f>
        <v/>
      </c>
      <c r="AR3902">
        <f>IF($AN3902=1,IFERROR(VALUE(MID($E3902,2,20)),1000000000)+ROW()/100000,"")</f>
        <v/>
      </c>
    </row>
    <row r="3903">
      <c r="G3903" s="11" t="n"/>
      <c r="Q3903" s="7">
        <f>IF($E3903="","",P3903*Y3903/100)</f>
        <v/>
      </c>
      <c r="R3903" s="7" t="n"/>
      <c r="X3903" s="7" t="n"/>
      <c r="Y3903" s="7" t="n"/>
      <c r="AB3903">
        <f>IF($E3903="","",IF($AQ3903=1,0,IF($AP3903=1,Settings!$C$6,Settings!$C$7))*100)</f>
        <v/>
      </c>
      <c r="AC3903" s="7">
        <f>IF($E3903="","",Y3903*AB3903/100)</f>
        <v/>
      </c>
      <c r="AD3903" s="7">
        <f>IF($E3903="","",Y3903-AC3903)</f>
        <v/>
      </c>
      <c r="AE3903" s="7">
        <f>IF($E3903="","",AD3903-Q3903)</f>
        <v/>
      </c>
      <c r="AI3903" s="7" t="n"/>
      <c r="AL3903" s="11" t="n"/>
      <c r="AN3903">
        <f>IF($E3903="","",IF(COUNTIF($E$2:$E3903,$E3903)=1,1,0))</f>
        <v/>
      </c>
      <c r="AO3903">
        <f>IF($AN3903=1,SUMPRODUCT(--($AR$2:$AR$4001&lt;$AR3903))+1,"")</f>
        <v/>
      </c>
      <c r="AP3903">
        <f>IF($E3903="","",IF(OR($U3903=TRUE(),$U3903="TRUE"),1,0))</f>
        <v/>
      </c>
      <c r="AQ3903">
        <f>IF($E3903="","",IF($AA3903="Yes",1,0))</f>
        <v/>
      </c>
      <c r="AR3903">
        <f>IF($AN3903=1,IFERROR(VALUE(MID($E3903,2,20)),1000000000)+ROW()/100000,"")</f>
        <v/>
      </c>
    </row>
    <row r="3904">
      <c r="G3904" s="11" t="n"/>
      <c r="Q3904" s="7">
        <f>IF($E3904="","",P3904*Y3904/100)</f>
        <v/>
      </c>
      <c r="R3904" s="7" t="n"/>
      <c r="X3904" s="7" t="n"/>
      <c r="Y3904" s="7" t="n"/>
      <c r="AB3904">
        <f>IF($E3904="","",IF($AQ3904=1,0,IF($AP3904=1,Settings!$C$6,Settings!$C$7))*100)</f>
        <v/>
      </c>
      <c r="AC3904" s="7">
        <f>IF($E3904="","",Y3904*AB3904/100)</f>
        <v/>
      </c>
      <c r="AD3904" s="7">
        <f>IF($E3904="","",Y3904-AC3904)</f>
        <v/>
      </c>
      <c r="AE3904" s="7">
        <f>IF($E3904="","",AD3904-Q3904)</f>
        <v/>
      </c>
      <c r="AI3904" s="7" t="n"/>
      <c r="AL3904" s="11" t="n"/>
      <c r="AN3904">
        <f>IF($E3904="","",IF(COUNTIF($E$2:$E3904,$E3904)=1,1,0))</f>
        <v/>
      </c>
      <c r="AO3904">
        <f>IF($AN3904=1,SUMPRODUCT(--($AR$2:$AR$4001&lt;$AR3904))+1,"")</f>
        <v/>
      </c>
      <c r="AP3904">
        <f>IF($E3904="","",IF(OR($U3904=TRUE(),$U3904="TRUE"),1,0))</f>
        <v/>
      </c>
      <c r="AQ3904">
        <f>IF($E3904="","",IF($AA3904="Yes",1,0))</f>
        <v/>
      </c>
      <c r="AR3904">
        <f>IF($AN3904=1,IFERROR(VALUE(MID($E3904,2,20)),1000000000)+ROW()/100000,"")</f>
        <v/>
      </c>
    </row>
    <row r="3905">
      <c r="G3905" s="11" t="n"/>
      <c r="Q3905" s="7">
        <f>IF($E3905="","",P3905*Y3905/100)</f>
        <v/>
      </c>
      <c r="R3905" s="7" t="n"/>
      <c r="X3905" s="7" t="n"/>
      <c r="Y3905" s="7" t="n"/>
      <c r="AB3905">
        <f>IF($E3905="","",IF($AQ3905=1,0,IF($AP3905=1,Settings!$C$6,Settings!$C$7))*100)</f>
        <v/>
      </c>
      <c r="AC3905" s="7">
        <f>IF($E3905="","",Y3905*AB3905/100)</f>
        <v/>
      </c>
      <c r="AD3905" s="7">
        <f>IF($E3905="","",Y3905-AC3905)</f>
        <v/>
      </c>
      <c r="AE3905" s="7">
        <f>IF($E3905="","",AD3905-Q3905)</f>
        <v/>
      </c>
      <c r="AI3905" s="7" t="n"/>
      <c r="AL3905" s="11" t="n"/>
      <c r="AN3905">
        <f>IF($E3905="","",IF(COUNTIF($E$2:$E3905,$E3905)=1,1,0))</f>
        <v/>
      </c>
      <c r="AO3905">
        <f>IF($AN3905=1,SUMPRODUCT(--($AR$2:$AR$4001&lt;$AR3905))+1,"")</f>
        <v/>
      </c>
      <c r="AP3905">
        <f>IF($E3905="","",IF(OR($U3905=TRUE(),$U3905="TRUE"),1,0))</f>
        <v/>
      </c>
      <c r="AQ3905">
        <f>IF($E3905="","",IF($AA3905="Yes",1,0))</f>
        <v/>
      </c>
      <c r="AR3905">
        <f>IF($AN3905=1,IFERROR(VALUE(MID($E3905,2,20)),1000000000)+ROW()/100000,"")</f>
        <v/>
      </c>
    </row>
    <row r="3906">
      <c r="G3906" s="11" t="n"/>
      <c r="Q3906" s="7">
        <f>IF($E3906="","",P3906*Y3906/100)</f>
        <v/>
      </c>
      <c r="R3906" s="7" t="n"/>
      <c r="X3906" s="7" t="n"/>
      <c r="Y3906" s="7" t="n"/>
      <c r="AB3906">
        <f>IF($E3906="","",IF($AQ3906=1,0,IF($AP3906=1,Settings!$C$6,Settings!$C$7))*100)</f>
        <v/>
      </c>
      <c r="AC3906" s="7">
        <f>IF($E3906="","",Y3906*AB3906/100)</f>
        <v/>
      </c>
      <c r="AD3906" s="7">
        <f>IF($E3906="","",Y3906-AC3906)</f>
        <v/>
      </c>
      <c r="AE3906" s="7">
        <f>IF($E3906="","",AD3906-Q3906)</f>
        <v/>
      </c>
      <c r="AI3906" s="7" t="n"/>
      <c r="AL3906" s="11" t="n"/>
      <c r="AN3906">
        <f>IF($E3906="","",IF(COUNTIF($E$2:$E3906,$E3906)=1,1,0))</f>
        <v/>
      </c>
      <c r="AO3906">
        <f>IF($AN3906=1,SUMPRODUCT(--($AR$2:$AR$4001&lt;$AR3906))+1,"")</f>
        <v/>
      </c>
      <c r="AP3906">
        <f>IF($E3906="","",IF(OR($U3906=TRUE(),$U3906="TRUE"),1,0))</f>
        <v/>
      </c>
      <c r="AQ3906">
        <f>IF($E3906="","",IF($AA3906="Yes",1,0))</f>
        <v/>
      </c>
      <c r="AR3906">
        <f>IF($AN3906=1,IFERROR(VALUE(MID($E3906,2,20)),1000000000)+ROW()/100000,"")</f>
        <v/>
      </c>
    </row>
    <row r="3907">
      <c r="G3907" s="11" t="n"/>
      <c r="Q3907" s="7">
        <f>IF($E3907="","",P3907*Y3907/100)</f>
        <v/>
      </c>
      <c r="R3907" s="7" t="n"/>
      <c r="X3907" s="7" t="n"/>
      <c r="Y3907" s="7" t="n"/>
      <c r="AB3907">
        <f>IF($E3907="","",IF($AQ3907=1,0,IF($AP3907=1,Settings!$C$6,Settings!$C$7))*100)</f>
        <v/>
      </c>
      <c r="AC3907" s="7">
        <f>IF($E3907="","",Y3907*AB3907/100)</f>
        <v/>
      </c>
      <c r="AD3907" s="7">
        <f>IF($E3907="","",Y3907-AC3907)</f>
        <v/>
      </c>
      <c r="AE3907" s="7">
        <f>IF($E3907="","",AD3907-Q3907)</f>
        <v/>
      </c>
      <c r="AI3907" s="7" t="n"/>
      <c r="AL3907" s="11" t="n"/>
      <c r="AN3907">
        <f>IF($E3907="","",IF(COUNTIF($E$2:$E3907,$E3907)=1,1,0))</f>
        <v/>
      </c>
      <c r="AO3907">
        <f>IF($AN3907=1,SUMPRODUCT(--($AR$2:$AR$4001&lt;$AR3907))+1,"")</f>
        <v/>
      </c>
      <c r="AP3907">
        <f>IF($E3907="","",IF(OR($U3907=TRUE(),$U3907="TRUE"),1,0))</f>
        <v/>
      </c>
      <c r="AQ3907">
        <f>IF($E3907="","",IF($AA3907="Yes",1,0))</f>
        <v/>
      </c>
      <c r="AR3907">
        <f>IF($AN3907=1,IFERROR(VALUE(MID($E3907,2,20)),1000000000)+ROW()/100000,"")</f>
        <v/>
      </c>
    </row>
    <row r="3908">
      <c r="G3908" s="11" t="n"/>
      <c r="Q3908" s="7">
        <f>IF($E3908="","",P3908*Y3908/100)</f>
        <v/>
      </c>
      <c r="R3908" s="7" t="n"/>
      <c r="X3908" s="7" t="n"/>
      <c r="Y3908" s="7" t="n"/>
      <c r="AB3908">
        <f>IF($E3908="","",IF($AQ3908=1,0,IF($AP3908=1,Settings!$C$6,Settings!$C$7))*100)</f>
        <v/>
      </c>
      <c r="AC3908" s="7">
        <f>IF($E3908="","",Y3908*AB3908/100)</f>
        <v/>
      </c>
      <c r="AD3908" s="7">
        <f>IF($E3908="","",Y3908-AC3908)</f>
        <v/>
      </c>
      <c r="AE3908" s="7">
        <f>IF($E3908="","",AD3908-Q3908)</f>
        <v/>
      </c>
      <c r="AI3908" s="7" t="n"/>
      <c r="AL3908" s="11" t="n"/>
      <c r="AN3908">
        <f>IF($E3908="","",IF(COUNTIF($E$2:$E3908,$E3908)=1,1,0))</f>
        <v/>
      </c>
      <c r="AO3908">
        <f>IF($AN3908=1,SUMPRODUCT(--($AR$2:$AR$4001&lt;$AR3908))+1,"")</f>
        <v/>
      </c>
      <c r="AP3908">
        <f>IF($E3908="","",IF(OR($U3908=TRUE(),$U3908="TRUE"),1,0))</f>
        <v/>
      </c>
      <c r="AQ3908">
        <f>IF($E3908="","",IF($AA3908="Yes",1,0))</f>
        <v/>
      </c>
      <c r="AR3908">
        <f>IF($AN3908=1,IFERROR(VALUE(MID($E3908,2,20)),1000000000)+ROW()/100000,"")</f>
        <v/>
      </c>
    </row>
    <row r="3909">
      <c r="G3909" s="11" t="n"/>
      <c r="Q3909" s="7">
        <f>IF($E3909="","",P3909*Y3909/100)</f>
        <v/>
      </c>
      <c r="R3909" s="7" t="n"/>
      <c r="X3909" s="7" t="n"/>
      <c r="Y3909" s="7" t="n"/>
      <c r="AB3909">
        <f>IF($E3909="","",IF($AQ3909=1,0,IF($AP3909=1,Settings!$C$6,Settings!$C$7))*100)</f>
        <v/>
      </c>
      <c r="AC3909" s="7">
        <f>IF($E3909="","",Y3909*AB3909/100)</f>
        <v/>
      </c>
      <c r="AD3909" s="7">
        <f>IF($E3909="","",Y3909-AC3909)</f>
        <v/>
      </c>
      <c r="AE3909" s="7">
        <f>IF($E3909="","",AD3909-Q3909)</f>
        <v/>
      </c>
      <c r="AI3909" s="7" t="n"/>
      <c r="AL3909" s="11" t="n"/>
      <c r="AN3909">
        <f>IF($E3909="","",IF(COUNTIF($E$2:$E3909,$E3909)=1,1,0))</f>
        <v/>
      </c>
      <c r="AO3909">
        <f>IF($AN3909=1,SUMPRODUCT(--($AR$2:$AR$4001&lt;$AR3909))+1,"")</f>
        <v/>
      </c>
      <c r="AP3909">
        <f>IF($E3909="","",IF(OR($U3909=TRUE(),$U3909="TRUE"),1,0))</f>
        <v/>
      </c>
      <c r="AQ3909">
        <f>IF($E3909="","",IF($AA3909="Yes",1,0))</f>
        <v/>
      </c>
      <c r="AR3909">
        <f>IF($AN3909=1,IFERROR(VALUE(MID($E3909,2,20)),1000000000)+ROW()/100000,"")</f>
        <v/>
      </c>
    </row>
    <row r="3910">
      <c r="G3910" s="11" t="n"/>
      <c r="Q3910" s="7">
        <f>IF($E3910="","",P3910*Y3910/100)</f>
        <v/>
      </c>
      <c r="R3910" s="7" t="n"/>
      <c r="X3910" s="7" t="n"/>
      <c r="Y3910" s="7" t="n"/>
      <c r="AB3910">
        <f>IF($E3910="","",IF($AQ3910=1,0,IF($AP3910=1,Settings!$C$6,Settings!$C$7))*100)</f>
        <v/>
      </c>
      <c r="AC3910" s="7">
        <f>IF($E3910="","",Y3910*AB3910/100)</f>
        <v/>
      </c>
      <c r="AD3910" s="7">
        <f>IF($E3910="","",Y3910-AC3910)</f>
        <v/>
      </c>
      <c r="AE3910" s="7">
        <f>IF($E3910="","",AD3910-Q3910)</f>
        <v/>
      </c>
      <c r="AI3910" s="7" t="n"/>
      <c r="AL3910" s="11" t="n"/>
      <c r="AN3910">
        <f>IF($E3910="","",IF(COUNTIF($E$2:$E3910,$E3910)=1,1,0))</f>
        <v/>
      </c>
      <c r="AO3910">
        <f>IF($AN3910=1,SUMPRODUCT(--($AR$2:$AR$4001&lt;$AR3910))+1,"")</f>
        <v/>
      </c>
      <c r="AP3910">
        <f>IF($E3910="","",IF(OR($U3910=TRUE(),$U3910="TRUE"),1,0))</f>
        <v/>
      </c>
      <c r="AQ3910">
        <f>IF($E3910="","",IF($AA3910="Yes",1,0))</f>
        <v/>
      </c>
      <c r="AR3910">
        <f>IF($AN3910=1,IFERROR(VALUE(MID($E3910,2,20)),1000000000)+ROW()/100000,"")</f>
        <v/>
      </c>
    </row>
    <row r="3911">
      <c r="G3911" s="11" t="n"/>
      <c r="Q3911" s="7">
        <f>IF($E3911="","",P3911*Y3911/100)</f>
        <v/>
      </c>
      <c r="R3911" s="7" t="n"/>
      <c r="X3911" s="7" t="n"/>
      <c r="Y3911" s="7" t="n"/>
      <c r="AB3911">
        <f>IF($E3911="","",IF($AQ3911=1,0,IF($AP3911=1,Settings!$C$6,Settings!$C$7))*100)</f>
        <v/>
      </c>
      <c r="AC3911" s="7">
        <f>IF($E3911="","",Y3911*AB3911/100)</f>
        <v/>
      </c>
      <c r="AD3911" s="7">
        <f>IF($E3911="","",Y3911-AC3911)</f>
        <v/>
      </c>
      <c r="AE3911" s="7">
        <f>IF($E3911="","",AD3911-Q3911)</f>
        <v/>
      </c>
      <c r="AI3911" s="7" t="n"/>
      <c r="AL3911" s="11" t="n"/>
      <c r="AN3911">
        <f>IF($E3911="","",IF(COUNTIF($E$2:$E3911,$E3911)=1,1,0))</f>
        <v/>
      </c>
      <c r="AO3911">
        <f>IF($AN3911=1,SUMPRODUCT(--($AR$2:$AR$4001&lt;$AR3911))+1,"")</f>
        <v/>
      </c>
      <c r="AP3911">
        <f>IF($E3911="","",IF(OR($U3911=TRUE(),$U3911="TRUE"),1,0))</f>
        <v/>
      </c>
      <c r="AQ3911">
        <f>IF($E3911="","",IF($AA3911="Yes",1,0))</f>
        <v/>
      </c>
      <c r="AR3911">
        <f>IF($AN3911=1,IFERROR(VALUE(MID($E3911,2,20)),1000000000)+ROW()/100000,"")</f>
        <v/>
      </c>
    </row>
    <row r="3912">
      <c r="G3912" s="11" t="n"/>
      <c r="Q3912" s="7">
        <f>IF($E3912="","",P3912*Y3912/100)</f>
        <v/>
      </c>
      <c r="R3912" s="7" t="n"/>
      <c r="X3912" s="7" t="n"/>
      <c r="Y3912" s="7" t="n"/>
      <c r="AB3912">
        <f>IF($E3912="","",IF($AQ3912=1,0,IF($AP3912=1,Settings!$C$6,Settings!$C$7))*100)</f>
        <v/>
      </c>
      <c r="AC3912" s="7">
        <f>IF($E3912="","",Y3912*AB3912/100)</f>
        <v/>
      </c>
      <c r="AD3912" s="7">
        <f>IF($E3912="","",Y3912-AC3912)</f>
        <v/>
      </c>
      <c r="AE3912" s="7">
        <f>IF($E3912="","",AD3912-Q3912)</f>
        <v/>
      </c>
      <c r="AI3912" s="7" t="n"/>
      <c r="AL3912" s="11" t="n"/>
      <c r="AN3912">
        <f>IF($E3912="","",IF(COUNTIF($E$2:$E3912,$E3912)=1,1,0))</f>
        <v/>
      </c>
      <c r="AO3912">
        <f>IF($AN3912=1,SUMPRODUCT(--($AR$2:$AR$4001&lt;$AR3912))+1,"")</f>
        <v/>
      </c>
      <c r="AP3912">
        <f>IF($E3912="","",IF(OR($U3912=TRUE(),$U3912="TRUE"),1,0))</f>
        <v/>
      </c>
      <c r="AQ3912">
        <f>IF($E3912="","",IF($AA3912="Yes",1,0))</f>
        <v/>
      </c>
      <c r="AR3912">
        <f>IF($AN3912=1,IFERROR(VALUE(MID($E3912,2,20)),1000000000)+ROW()/100000,"")</f>
        <v/>
      </c>
    </row>
    <row r="3913">
      <c r="G3913" s="11" t="n"/>
      <c r="Q3913" s="7">
        <f>IF($E3913="","",P3913*Y3913/100)</f>
        <v/>
      </c>
      <c r="R3913" s="7" t="n"/>
      <c r="X3913" s="7" t="n"/>
      <c r="Y3913" s="7" t="n"/>
      <c r="AB3913">
        <f>IF($E3913="","",IF($AQ3913=1,0,IF($AP3913=1,Settings!$C$6,Settings!$C$7))*100)</f>
        <v/>
      </c>
      <c r="AC3913" s="7">
        <f>IF($E3913="","",Y3913*AB3913/100)</f>
        <v/>
      </c>
      <c r="AD3913" s="7">
        <f>IF($E3913="","",Y3913-AC3913)</f>
        <v/>
      </c>
      <c r="AE3913" s="7">
        <f>IF($E3913="","",AD3913-Q3913)</f>
        <v/>
      </c>
      <c r="AI3913" s="7" t="n"/>
      <c r="AL3913" s="11" t="n"/>
      <c r="AN3913">
        <f>IF($E3913="","",IF(COUNTIF($E$2:$E3913,$E3913)=1,1,0))</f>
        <v/>
      </c>
      <c r="AO3913">
        <f>IF($AN3913=1,SUMPRODUCT(--($AR$2:$AR$4001&lt;$AR3913))+1,"")</f>
        <v/>
      </c>
      <c r="AP3913">
        <f>IF($E3913="","",IF(OR($U3913=TRUE(),$U3913="TRUE"),1,0))</f>
        <v/>
      </c>
      <c r="AQ3913">
        <f>IF($E3913="","",IF($AA3913="Yes",1,0))</f>
        <v/>
      </c>
      <c r="AR3913">
        <f>IF($AN3913=1,IFERROR(VALUE(MID($E3913,2,20)),1000000000)+ROW()/100000,"")</f>
        <v/>
      </c>
    </row>
    <row r="3914">
      <c r="G3914" s="11" t="n"/>
      <c r="Q3914" s="7">
        <f>IF($E3914="","",P3914*Y3914/100)</f>
        <v/>
      </c>
      <c r="R3914" s="7" t="n"/>
      <c r="X3914" s="7" t="n"/>
      <c r="Y3914" s="7" t="n"/>
      <c r="AB3914">
        <f>IF($E3914="","",IF($AQ3914=1,0,IF($AP3914=1,Settings!$C$6,Settings!$C$7))*100)</f>
        <v/>
      </c>
      <c r="AC3914" s="7">
        <f>IF($E3914="","",Y3914*AB3914/100)</f>
        <v/>
      </c>
      <c r="AD3914" s="7">
        <f>IF($E3914="","",Y3914-AC3914)</f>
        <v/>
      </c>
      <c r="AE3914" s="7">
        <f>IF($E3914="","",AD3914-Q3914)</f>
        <v/>
      </c>
      <c r="AI3914" s="7" t="n"/>
      <c r="AL3914" s="11" t="n"/>
      <c r="AN3914">
        <f>IF($E3914="","",IF(COUNTIF($E$2:$E3914,$E3914)=1,1,0))</f>
        <v/>
      </c>
      <c r="AO3914">
        <f>IF($AN3914=1,SUMPRODUCT(--($AR$2:$AR$4001&lt;$AR3914))+1,"")</f>
        <v/>
      </c>
      <c r="AP3914">
        <f>IF($E3914="","",IF(OR($U3914=TRUE(),$U3914="TRUE"),1,0))</f>
        <v/>
      </c>
      <c r="AQ3914">
        <f>IF($E3914="","",IF($AA3914="Yes",1,0))</f>
        <v/>
      </c>
      <c r="AR3914">
        <f>IF($AN3914=1,IFERROR(VALUE(MID($E3914,2,20)),1000000000)+ROW()/100000,"")</f>
        <v/>
      </c>
    </row>
    <row r="3915">
      <c r="G3915" s="11" t="n"/>
      <c r="Q3915" s="7">
        <f>IF($E3915="","",P3915*Y3915/100)</f>
        <v/>
      </c>
      <c r="R3915" s="7" t="n"/>
      <c r="X3915" s="7" t="n"/>
      <c r="Y3915" s="7" t="n"/>
      <c r="AB3915">
        <f>IF($E3915="","",IF($AQ3915=1,0,IF($AP3915=1,Settings!$C$6,Settings!$C$7))*100)</f>
        <v/>
      </c>
      <c r="AC3915" s="7">
        <f>IF($E3915="","",Y3915*AB3915/100)</f>
        <v/>
      </c>
      <c r="AD3915" s="7">
        <f>IF($E3915="","",Y3915-AC3915)</f>
        <v/>
      </c>
      <c r="AE3915" s="7">
        <f>IF($E3915="","",AD3915-Q3915)</f>
        <v/>
      </c>
      <c r="AI3915" s="7" t="n"/>
      <c r="AL3915" s="11" t="n"/>
      <c r="AN3915">
        <f>IF($E3915="","",IF(COUNTIF($E$2:$E3915,$E3915)=1,1,0))</f>
        <v/>
      </c>
      <c r="AO3915">
        <f>IF($AN3915=1,SUMPRODUCT(--($AR$2:$AR$4001&lt;$AR3915))+1,"")</f>
        <v/>
      </c>
      <c r="AP3915">
        <f>IF($E3915="","",IF(OR($U3915=TRUE(),$U3915="TRUE"),1,0))</f>
        <v/>
      </c>
      <c r="AQ3915">
        <f>IF($E3915="","",IF($AA3915="Yes",1,0))</f>
        <v/>
      </c>
      <c r="AR3915">
        <f>IF($AN3915=1,IFERROR(VALUE(MID($E3915,2,20)),1000000000)+ROW()/100000,"")</f>
        <v/>
      </c>
    </row>
    <row r="3916">
      <c r="G3916" s="11" t="n"/>
      <c r="Q3916" s="7">
        <f>IF($E3916="","",P3916*Y3916/100)</f>
        <v/>
      </c>
      <c r="R3916" s="7" t="n"/>
      <c r="X3916" s="7" t="n"/>
      <c r="Y3916" s="7" t="n"/>
      <c r="AB3916">
        <f>IF($E3916="","",IF($AQ3916=1,0,IF($AP3916=1,Settings!$C$6,Settings!$C$7))*100)</f>
        <v/>
      </c>
      <c r="AC3916" s="7">
        <f>IF($E3916="","",Y3916*AB3916/100)</f>
        <v/>
      </c>
      <c r="AD3916" s="7">
        <f>IF($E3916="","",Y3916-AC3916)</f>
        <v/>
      </c>
      <c r="AE3916" s="7">
        <f>IF($E3916="","",AD3916-Q3916)</f>
        <v/>
      </c>
      <c r="AI3916" s="7" t="n"/>
      <c r="AL3916" s="11" t="n"/>
      <c r="AN3916">
        <f>IF($E3916="","",IF(COUNTIF($E$2:$E3916,$E3916)=1,1,0))</f>
        <v/>
      </c>
      <c r="AO3916">
        <f>IF($AN3916=1,SUMPRODUCT(--($AR$2:$AR$4001&lt;$AR3916))+1,"")</f>
        <v/>
      </c>
      <c r="AP3916">
        <f>IF($E3916="","",IF(OR($U3916=TRUE(),$U3916="TRUE"),1,0))</f>
        <v/>
      </c>
      <c r="AQ3916">
        <f>IF($E3916="","",IF($AA3916="Yes",1,0))</f>
        <v/>
      </c>
      <c r="AR3916">
        <f>IF($AN3916=1,IFERROR(VALUE(MID($E3916,2,20)),1000000000)+ROW()/100000,"")</f>
        <v/>
      </c>
    </row>
    <row r="3917">
      <c r="G3917" s="11" t="n"/>
      <c r="Q3917" s="7">
        <f>IF($E3917="","",P3917*Y3917/100)</f>
        <v/>
      </c>
      <c r="R3917" s="7" t="n"/>
      <c r="X3917" s="7" t="n"/>
      <c r="Y3917" s="7" t="n"/>
      <c r="AB3917">
        <f>IF($E3917="","",IF($AQ3917=1,0,IF($AP3917=1,Settings!$C$6,Settings!$C$7))*100)</f>
        <v/>
      </c>
      <c r="AC3917" s="7">
        <f>IF($E3917="","",Y3917*AB3917/100)</f>
        <v/>
      </c>
      <c r="AD3917" s="7">
        <f>IF($E3917="","",Y3917-AC3917)</f>
        <v/>
      </c>
      <c r="AE3917" s="7">
        <f>IF($E3917="","",AD3917-Q3917)</f>
        <v/>
      </c>
      <c r="AI3917" s="7" t="n"/>
      <c r="AL3917" s="11" t="n"/>
      <c r="AN3917">
        <f>IF($E3917="","",IF(COUNTIF($E$2:$E3917,$E3917)=1,1,0))</f>
        <v/>
      </c>
      <c r="AO3917">
        <f>IF($AN3917=1,SUMPRODUCT(--($AR$2:$AR$4001&lt;$AR3917))+1,"")</f>
        <v/>
      </c>
      <c r="AP3917">
        <f>IF($E3917="","",IF(OR($U3917=TRUE(),$U3917="TRUE"),1,0))</f>
        <v/>
      </c>
      <c r="AQ3917">
        <f>IF($E3917="","",IF($AA3917="Yes",1,0))</f>
        <v/>
      </c>
      <c r="AR3917">
        <f>IF($AN3917=1,IFERROR(VALUE(MID($E3917,2,20)),1000000000)+ROW()/100000,"")</f>
        <v/>
      </c>
    </row>
    <row r="3918">
      <c r="G3918" s="11" t="n"/>
      <c r="Q3918" s="7">
        <f>IF($E3918="","",P3918*Y3918/100)</f>
        <v/>
      </c>
      <c r="R3918" s="7" t="n"/>
      <c r="X3918" s="7" t="n"/>
      <c r="Y3918" s="7" t="n"/>
      <c r="AB3918">
        <f>IF($E3918="","",IF($AQ3918=1,0,IF($AP3918=1,Settings!$C$6,Settings!$C$7))*100)</f>
        <v/>
      </c>
      <c r="AC3918" s="7">
        <f>IF($E3918="","",Y3918*AB3918/100)</f>
        <v/>
      </c>
      <c r="AD3918" s="7">
        <f>IF($E3918="","",Y3918-AC3918)</f>
        <v/>
      </c>
      <c r="AE3918" s="7">
        <f>IF($E3918="","",AD3918-Q3918)</f>
        <v/>
      </c>
      <c r="AI3918" s="7" t="n"/>
      <c r="AL3918" s="11" t="n"/>
      <c r="AN3918">
        <f>IF($E3918="","",IF(COUNTIF($E$2:$E3918,$E3918)=1,1,0))</f>
        <v/>
      </c>
      <c r="AO3918">
        <f>IF($AN3918=1,SUMPRODUCT(--($AR$2:$AR$4001&lt;$AR3918))+1,"")</f>
        <v/>
      </c>
      <c r="AP3918">
        <f>IF($E3918="","",IF(OR($U3918=TRUE(),$U3918="TRUE"),1,0))</f>
        <v/>
      </c>
      <c r="AQ3918">
        <f>IF($E3918="","",IF($AA3918="Yes",1,0))</f>
        <v/>
      </c>
      <c r="AR3918">
        <f>IF($AN3918=1,IFERROR(VALUE(MID($E3918,2,20)),1000000000)+ROW()/100000,"")</f>
        <v/>
      </c>
    </row>
    <row r="3919">
      <c r="G3919" s="11" t="n"/>
      <c r="Q3919" s="7">
        <f>IF($E3919="","",P3919*Y3919/100)</f>
        <v/>
      </c>
      <c r="R3919" s="7" t="n"/>
      <c r="X3919" s="7" t="n"/>
      <c r="Y3919" s="7" t="n"/>
      <c r="AB3919">
        <f>IF($E3919="","",IF($AQ3919=1,0,IF($AP3919=1,Settings!$C$6,Settings!$C$7))*100)</f>
        <v/>
      </c>
      <c r="AC3919" s="7">
        <f>IF($E3919="","",Y3919*AB3919/100)</f>
        <v/>
      </c>
      <c r="AD3919" s="7">
        <f>IF($E3919="","",Y3919-AC3919)</f>
        <v/>
      </c>
      <c r="AE3919" s="7">
        <f>IF($E3919="","",AD3919-Q3919)</f>
        <v/>
      </c>
      <c r="AI3919" s="7" t="n"/>
      <c r="AL3919" s="11" t="n"/>
      <c r="AN3919">
        <f>IF($E3919="","",IF(COUNTIF($E$2:$E3919,$E3919)=1,1,0))</f>
        <v/>
      </c>
      <c r="AO3919">
        <f>IF($AN3919=1,SUMPRODUCT(--($AR$2:$AR$4001&lt;$AR3919))+1,"")</f>
        <v/>
      </c>
      <c r="AP3919">
        <f>IF($E3919="","",IF(OR($U3919=TRUE(),$U3919="TRUE"),1,0))</f>
        <v/>
      </c>
      <c r="AQ3919">
        <f>IF($E3919="","",IF($AA3919="Yes",1,0))</f>
        <v/>
      </c>
      <c r="AR3919">
        <f>IF($AN3919=1,IFERROR(VALUE(MID($E3919,2,20)),1000000000)+ROW()/100000,"")</f>
        <v/>
      </c>
    </row>
    <row r="3920">
      <c r="G3920" s="11" t="n"/>
      <c r="Q3920" s="7">
        <f>IF($E3920="","",P3920*Y3920/100)</f>
        <v/>
      </c>
      <c r="R3920" s="7" t="n"/>
      <c r="X3920" s="7" t="n"/>
      <c r="Y3920" s="7" t="n"/>
      <c r="AB3920">
        <f>IF($E3920="","",IF($AQ3920=1,0,IF($AP3920=1,Settings!$C$6,Settings!$C$7))*100)</f>
        <v/>
      </c>
      <c r="AC3920" s="7">
        <f>IF($E3920="","",Y3920*AB3920/100)</f>
        <v/>
      </c>
      <c r="AD3920" s="7">
        <f>IF($E3920="","",Y3920-AC3920)</f>
        <v/>
      </c>
      <c r="AE3920" s="7">
        <f>IF($E3920="","",AD3920-Q3920)</f>
        <v/>
      </c>
      <c r="AI3920" s="7" t="n"/>
      <c r="AL3920" s="11" t="n"/>
      <c r="AN3920">
        <f>IF($E3920="","",IF(COUNTIF($E$2:$E3920,$E3920)=1,1,0))</f>
        <v/>
      </c>
      <c r="AO3920">
        <f>IF($AN3920=1,SUMPRODUCT(--($AR$2:$AR$4001&lt;$AR3920))+1,"")</f>
        <v/>
      </c>
      <c r="AP3920">
        <f>IF($E3920="","",IF(OR($U3920=TRUE(),$U3920="TRUE"),1,0))</f>
        <v/>
      </c>
      <c r="AQ3920">
        <f>IF($E3920="","",IF($AA3920="Yes",1,0))</f>
        <v/>
      </c>
      <c r="AR3920">
        <f>IF($AN3920=1,IFERROR(VALUE(MID($E3920,2,20)),1000000000)+ROW()/100000,"")</f>
        <v/>
      </c>
    </row>
    <row r="3921">
      <c r="G3921" s="11" t="n"/>
      <c r="Q3921" s="7">
        <f>IF($E3921="","",P3921*Y3921/100)</f>
        <v/>
      </c>
      <c r="R3921" s="7" t="n"/>
      <c r="X3921" s="7" t="n"/>
      <c r="Y3921" s="7" t="n"/>
      <c r="AB3921">
        <f>IF($E3921="","",IF($AQ3921=1,0,IF($AP3921=1,Settings!$C$6,Settings!$C$7))*100)</f>
        <v/>
      </c>
      <c r="AC3921" s="7">
        <f>IF($E3921="","",Y3921*AB3921/100)</f>
        <v/>
      </c>
      <c r="AD3921" s="7">
        <f>IF($E3921="","",Y3921-AC3921)</f>
        <v/>
      </c>
      <c r="AE3921" s="7">
        <f>IF($E3921="","",AD3921-Q3921)</f>
        <v/>
      </c>
      <c r="AI3921" s="7" t="n"/>
      <c r="AL3921" s="11" t="n"/>
      <c r="AN3921">
        <f>IF($E3921="","",IF(COUNTIF($E$2:$E3921,$E3921)=1,1,0))</f>
        <v/>
      </c>
      <c r="AO3921">
        <f>IF($AN3921=1,SUMPRODUCT(--($AR$2:$AR$4001&lt;$AR3921))+1,"")</f>
        <v/>
      </c>
      <c r="AP3921">
        <f>IF($E3921="","",IF(OR($U3921=TRUE(),$U3921="TRUE"),1,0))</f>
        <v/>
      </c>
      <c r="AQ3921">
        <f>IF($E3921="","",IF($AA3921="Yes",1,0))</f>
        <v/>
      </c>
      <c r="AR3921">
        <f>IF($AN3921=1,IFERROR(VALUE(MID($E3921,2,20)),1000000000)+ROW()/100000,"")</f>
        <v/>
      </c>
    </row>
    <row r="3922">
      <c r="G3922" s="11" t="n"/>
      <c r="Q3922" s="7">
        <f>IF($E3922="","",P3922*Y3922/100)</f>
        <v/>
      </c>
      <c r="R3922" s="7" t="n"/>
      <c r="X3922" s="7" t="n"/>
      <c r="Y3922" s="7" t="n"/>
      <c r="AB3922">
        <f>IF($E3922="","",IF($AQ3922=1,0,IF($AP3922=1,Settings!$C$6,Settings!$C$7))*100)</f>
        <v/>
      </c>
      <c r="AC3922" s="7">
        <f>IF($E3922="","",Y3922*AB3922/100)</f>
        <v/>
      </c>
      <c r="AD3922" s="7">
        <f>IF($E3922="","",Y3922-AC3922)</f>
        <v/>
      </c>
      <c r="AE3922" s="7">
        <f>IF($E3922="","",AD3922-Q3922)</f>
        <v/>
      </c>
      <c r="AI3922" s="7" t="n"/>
      <c r="AL3922" s="11" t="n"/>
      <c r="AN3922">
        <f>IF($E3922="","",IF(COUNTIF($E$2:$E3922,$E3922)=1,1,0))</f>
        <v/>
      </c>
      <c r="AO3922">
        <f>IF($AN3922=1,SUMPRODUCT(--($AR$2:$AR$4001&lt;$AR3922))+1,"")</f>
        <v/>
      </c>
      <c r="AP3922">
        <f>IF($E3922="","",IF(OR($U3922=TRUE(),$U3922="TRUE"),1,0))</f>
        <v/>
      </c>
      <c r="AQ3922">
        <f>IF($E3922="","",IF($AA3922="Yes",1,0))</f>
        <v/>
      </c>
      <c r="AR3922">
        <f>IF($AN3922=1,IFERROR(VALUE(MID($E3922,2,20)),1000000000)+ROW()/100000,"")</f>
        <v/>
      </c>
    </row>
    <row r="3923">
      <c r="G3923" s="11" t="n"/>
      <c r="Q3923" s="7">
        <f>IF($E3923="","",P3923*Y3923/100)</f>
        <v/>
      </c>
      <c r="R3923" s="7" t="n"/>
      <c r="X3923" s="7" t="n"/>
      <c r="Y3923" s="7" t="n"/>
      <c r="AB3923">
        <f>IF($E3923="","",IF($AQ3923=1,0,IF($AP3923=1,Settings!$C$6,Settings!$C$7))*100)</f>
        <v/>
      </c>
      <c r="AC3923" s="7">
        <f>IF($E3923="","",Y3923*AB3923/100)</f>
        <v/>
      </c>
      <c r="AD3923" s="7">
        <f>IF($E3923="","",Y3923-AC3923)</f>
        <v/>
      </c>
      <c r="AE3923" s="7">
        <f>IF($E3923="","",AD3923-Q3923)</f>
        <v/>
      </c>
      <c r="AI3923" s="7" t="n"/>
      <c r="AL3923" s="11" t="n"/>
      <c r="AN3923">
        <f>IF($E3923="","",IF(COUNTIF($E$2:$E3923,$E3923)=1,1,0))</f>
        <v/>
      </c>
      <c r="AO3923">
        <f>IF($AN3923=1,SUMPRODUCT(--($AR$2:$AR$4001&lt;$AR3923))+1,"")</f>
        <v/>
      </c>
      <c r="AP3923">
        <f>IF($E3923="","",IF(OR($U3923=TRUE(),$U3923="TRUE"),1,0))</f>
        <v/>
      </c>
      <c r="AQ3923">
        <f>IF($E3923="","",IF($AA3923="Yes",1,0))</f>
        <v/>
      </c>
      <c r="AR3923">
        <f>IF($AN3923=1,IFERROR(VALUE(MID($E3923,2,20)),1000000000)+ROW()/100000,"")</f>
        <v/>
      </c>
    </row>
    <row r="3924">
      <c r="G3924" s="11" t="n"/>
      <c r="Q3924" s="7">
        <f>IF($E3924="","",P3924*Y3924/100)</f>
        <v/>
      </c>
      <c r="R3924" s="7" t="n"/>
      <c r="X3924" s="7" t="n"/>
      <c r="Y3924" s="7" t="n"/>
      <c r="AB3924">
        <f>IF($E3924="","",IF($AQ3924=1,0,IF($AP3924=1,Settings!$C$6,Settings!$C$7))*100)</f>
        <v/>
      </c>
      <c r="AC3924" s="7">
        <f>IF($E3924="","",Y3924*AB3924/100)</f>
        <v/>
      </c>
      <c r="AD3924" s="7">
        <f>IF($E3924="","",Y3924-AC3924)</f>
        <v/>
      </c>
      <c r="AE3924" s="7">
        <f>IF($E3924="","",AD3924-Q3924)</f>
        <v/>
      </c>
      <c r="AI3924" s="7" t="n"/>
      <c r="AL3924" s="11" t="n"/>
      <c r="AN3924">
        <f>IF($E3924="","",IF(COUNTIF($E$2:$E3924,$E3924)=1,1,0))</f>
        <v/>
      </c>
      <c r="AO3924">
        <f>IF($AN3924=1,SUMPRODUCT(--($AR$2:$AR$4001&lt;$AR3924))+1,"")</f>
        <v/>
      </c>
      <c r="AP3924">
        <f>IF($E3924="","",IF(OR($U3924=TRUE(),$U3924="TRUE"),1,0))</f>
        <v/>
      </c>
      <c r="AQ3924">
        <f>IF($E3924="","",IF($AA3924="Yes",1,0))</f>
        <v/>
      </c>
      <c r="AR3924">
        <f>IF($AN3924=1,IFERROR(VALUE(MID($E3924,2,20)),1000000000)+ROW()/100000,"")</f>
        <v/>
      </c>
    </row>
    <row r="3925">
      <c r="G3925" s="11" t="n"/>
      <c r="Q3925" s="7">
        <f>IF($E3925="","",P3925*Y3925/100)</f>
        <v/>
      </c>
      <c r="R3925" s="7" t="n"/>
      <c r="X3925" s="7" t="n"/>
      <c r="Y3925" s="7" t="n"/>
      <c r="AB3925">
        <f>IF($E3925="","",IF($AQ3925=1,0,IF($AP3925=1,Settings!$C$6,Settings!$C$7))*100)</f>
        <v/>
      </c>
      <c r="AC3925" s="7">
        <f>IF($E3925="","",Y3925*AB3925/100)</f>
        <v/>
      </c>
      <c r="AD3925" s="7">
        <f>IF($E3925="","",Y3925-AC3925)</f>
        <v/>
      </c>
      <c r="AE3925" s="7">
        <f>IF($E3925="","",AD3925-Q3925)</f>
        <v/>
      </c>
      <c r="AI3925" s="7" t="n"/>
      <c r="AL3925" s="11" t="n"/>
      <c r="AN3925">
        <f>IF($E3925="","",IF(COUNTIF($E$2:$E3925,$E3925)=1,1,0))</f>
        <v/>
      </c>
      <c r="AO3925">
        <f>IF($AN3925=1,SUMPRODUCT(--($AR$2:$AR$4001&lt;$AR3925))+1,"")</f>
        <v/>
      </c>
      <c r="AP3925">
        <f>IF($E3925="","",IF(OR($U3925=TRUE(),$U3925="TRUE"),1,0))</f>
        <v/>
      </c>
      <c r="AQ3925">
        <f>IF($E3925="","",IF($AA3925="Yes",1,0))</f>
        <v/>
      </c>
      <c r="AR3925">
        <f>IF($AN3925=1,IFERROR(VALUE(MID($E3925,2,20)),1000000000)+ROW()/100000,"")</f>
        <v/>
      </c>
    </row>
    <row r="3926">
      <c r="G3926" s="11" t="n"/>
      <c r="Q3926" s="7">
        <f>IF($E3926="","",P3926*Y3926/100)</f>
        <v/>
      </c>
      <c r="R3926" s="7" t="n"/>
      <c r="X3926" s="7" t="n"/>
      <c r="Y3926" s="7" t="n"/>
      <c r="AB3926">
        <f>IF($E3926="","",IF($AQ3926=1,0,IF($AP3926=1,Settings!$C$6,Settings!$C$7))*100)</f>
        <v/>
      </c>
      <c r="AC3926" s="7">
        <f>IF($E3926="","",Y3926*AB3926/100)</f>
        <v/>
      </c>
      <c r="AD3926" s="7">
        <f>IF($E3926="","",Y3926-AC3926)</f>
        <v/>
      </c>
      <c r="AE3926" s="7">
        <f>IF($E3926="","",AD3926-Q3926)</f>
        <v/>
      </c>
      <c r="AI3926" s="7" t="n"/>
      <c r="AL3926" s="11" t="n"/>
      <c r="AN3926">
        <f>IF($E3926="","",IF(COUNTIF($E$2:$E3926,$E3926)=1,1,0))</f>
        <v/>
      </c>
      <c r="AO3926">
        <f>IF($AN3926=1,SUMPRODUCT(--($AR$2:$AR$4001&lt;$AR3926))+1,"")</f>
        <v/>
      </c>
      <c r="AP3926">
        <f>IF($E3926="","",IF(OR($U3926=TRUE(),$U3926="TRUE"),1,0))</f>
        <v/>
      </c>
      <c r="AQ3926">
        <f>IF($E3926="","",IF($AA3926="Yes",1,0))</f>
        <v/>
      </c>
      <c r="AR3926">
        <f>IF($AN3926=1,IFERROR(VALUE(MID($E3926,2,20)),1000000000)+ROW()/100000,"")</f>
        <v/>
      </c>
    </row>
    <row r="3927">
      <c r="G3927" s="11" t="n"/>
      <c r="Q3927" s="7">
        <f>IF($E3927="","",P3927*Y3927/100)</f>
        <v/>
      </c>
      <c r="R3927" s="7" t="n"/>
      <c r="X3927" s="7" t="n"/>
      <c r="Y3927" s="7" t="n"/>
      <c r="AB3927">
        <f>IF($E3927="","",IF($AQ3927=1,0,IF($AP3927=1,Settings!$C$6,Settings!$C$7))*100)</f>
        <v/>
      </c>
      <c r="AC3927" s="7">
        <f>IF($E3927="","",Y3927*AB3927/100)</f>
        <v/>
      </c>
      <c r="AD3927" s="7">
        <f>IF($E3927="","",Y3927-AC3927)</f>
        <v/>
      </c>
      <c r="AE3927" s="7">
        <f>IF($E3927="","",AD3927-Q3927)</f>
        <v/>
      </c>
      <c r="AI3927" s="7" t="n"/>
      <c r="AL3927" s="11" t="n"/>
      <c r="AN3927">
        <f>IF($E3927="","",IF(COUNTIF($E$2:$E3927,$E3927)=1,1,0))</f>
        <v/>
      </c>
      <c r="AO3927">
        <f>IF($AN3927=1,SUMPRODUCT(--($AR$2:$AR$4001&lt;$AR3927))+1,"")</f>
        <v/>
      </c>
      <c r="AP3927">
        <f>IF($E3927="","",IF(OR($U3927=TRUE(),$U3927="TRUE"),1,0))</f>
        <v/>
      </c>
      <c r="AQ3927">
        <f>IF($E3927="","",IF($AA3927="Yes",1,0))</f>
        <v/>
      </c>
      <c r="AR3927">
        <f>IF($AN3927=1,IFERROR(VALUE(MID($E3927,2,20)),1000000000)+ROW()/100000,"")</f>
        <v/>
      </c>
    </row>
    <row r="3928">
      <c r="G3928" s="11" t="n"/>
      <c r="Q3928" s="7">
        <f>IF($E3928="","",P3928*Y3928/100)</f>
        <v/>
      </c>
      <c r="R3928" s="7" t="n"/>
      <c r="X3928" s="7" t="n"/>
      <c r="Y3928" s="7" t="n"/>
      <c r="AB3928">
        <f>IF($E3928="","",IF($AQ3928=1,0,IF($AP3928=1,Settings!$C$6,Settings!$C$7))*100)</f>
        <v/>
      </c>
      <c r="AC3928" s="7">
        <f>IF($E3928="","",Y3928*AB3928/100)</f>
        <v/>
      </c>
      <c r="AD3928" s="7">
        <f>IF($E3928="","",Y3928-AC3928)</f>
        <v/>
      </c>
      <c r="AE3928" s="7">
        <f>IF($E3928="","",AD3928-Q3928)</f>
        <v/>
      </c>
      <c r="AI3928" s="7" t="n"/>
      <c r="AL3928" s="11" t="n"/>
      <c r="AN3928">
        <f>IF($E3928="","",IF(COUNTIF($E$2:$E3928,$E3928)=1,1,0))</f>
        <v/>
      </c>
      <c r="AO3928">
        <f>IF($AN3928=1,SUMPRODUCT(--($AR$2:$AR$4001&lt;$AR3928))+1,"")</f>
        <v/>
      </c>
      <c r="AP3928">
        <f>IF($E3928="","",IF(OR($U3928=TRUE(),$U3928="TRUE"),1,0))</f>
        <v/>
      </c>
      <c r="AQ3928">
        <f>IF($E3928="","",IF($AA3928="Yes",1,0))</f>
        <v/>
      </c>
      <c r="AR3928">
        <f>IF($AN3928=1,IFERROR(VALUE(MID($E3928,2,20)),1000000000)+ROW()/100000,"")</f>
        <v/>
      </c>
    </row>
    <row r="3929">
      <c r="G3929" s="11" t="n"/>
      <c r="Q3929" s="7">
        <f>IF($E3929="","",P3929*Y3929/100)</f>
        <v/>
      </c>
      <c r="R3929" s="7" t="n"/>
      <c r="X3929" s="7" t="n"/>
      <c r="Y3929" s="7" t="n"/>
      <c r="AB3929">
        <f>IF($E3929="","",IF($AQ3929=1,0,IF($AP3929=1,Settings!$C$6,Settings!$C$7))*100)</f>
        <v/>
      </c>
      <c r="AC3929" s="7">
        <f>IF($E3929="","",Y3929*AB3929/100)</f>
        <v/>
      </c>
      <c r="AD3929" s="7">
        <f>IF($E3929="","",Y3929-AC3929)</f>
        <v/>
      </c>
      <c r="AE3929" s="7">
        <f>IF($E3929="","",AD3929-Q3929)</f>
        <v/>
      </c>
      <c r="AI3929" s="7" t="n"/>
      <c r="AL3929" s="11" t="n"/>
      <c r="AN3929">
        <f>IF($E3929="","",IF(COUNTIF($E$2:$E3929,$E3929)=1,1,0))</f>
        <v/>
      </c>
      <c r="AO3929">
        <f>IF($AN3929=1,SUMPRODUCT(--($AR$2:$AR$4001&lt;$AR3929))+1,"")</f>
        <v/>
      </c>
      <c r="AP3929">
        <f>IF($E3929="","",IF(OR($U3929=TRUE(),$U3929="TRUE"),1,0))</f>
        <v/>
      </c>
      <c r="AQ3929">
        <f>IF($E3929="","",IF($AA3929="Yes",1,0))</f>
        <v/>
      </c>
      <c r="AR3929">
        <f>IF($AN3929=1,IFERROR(VALUE(MID($E3929,2,20)),1000000000)+ROW()/100000,"")</f>
        <v/>
      </c>
    </row>
    <row r="3930">
      <c r="G3930" s="11" t="n"/>
      <c r="Q3930" s="7">
        <f>IF($E3930="","",P3930*Y3930/100)</f>
        <v/>
      </c>
      <c r="R3930" s="7" t="n"/>
      <c r="X3930" s="7" t="n"/>
      <c r="Y3930" s="7" t="n"/>
      <c r="AB3930">
        <f>IF($E3930="","",IF($AQ3930=1,0,IF($AP3930=1,Settings!$C$6,Settings!$C$7))*100)</f>
        <v/>
      </c>
      <c r="AC3930" s="7">
        <f>IF($E3930="","",Y3930*AB3930/100)</f>
        <v/>
      </c>
      <c r="AD3930" s="7">
        <f>IF($E3930="","",Y3930-AC3930)</f>
        <v/>
      </c>
      <c r="AE3930" s="7">
        <f>IF($E3930="","",AD3930-Q3930)</f>
        <v/>
      </c>
      <c r="AI3930" s="7" t="n"/>
      <c r="AL3930" s="11" t="n"/>
      <c r="AN3930">
        <f>IF($E3930="","",IF(COUNTIF($E$2:$E3930,$E3930)=1,1,0))</f>
        <v/>
      </c>
      <c r="AO3930">
        <f>IF($AN3930=1,SUMPRODUCT(--($AR$2:$AR$4001&lt;$AR3930))+1,"")</f>
        <v/>
      </c>
      <c r="AP3930">
        <f>IF($E3930="","",IF(OR($U3930=TRUE(),$U3930="TRUE"),1,0))</f>
        <v/>
      </c>
      <c r="AQ3930">
        <f>IF($E3930="","",IF($AA3930="Yes",1,0))</f>
        <v/>
      </c>
      <c r="AR3930">
        <f>IF($AN3930=1,IFERROR(VALUE(MID($E3930,2,20)),1000000000)+ROW()/100000,"")</f>
        <v/>
      </c>
    </row>
    <row r="3931">
      <c r="G3931" s="11" t="n"/>
      <c r="Q3931" s="7">
        <f>IF($E3931="","",P3931*Y3931/100)</f>
        <v/>
      </c>
      <c r="R3931" s="7" t="n"/>
      <c r="X3931" s="7" t="n"/>
      <c r="Y3931" s="7" t="n"/>
      <c r="AB3931">
        <f>IF($E3931="","",IF($AQ3931=1,0,IF($AP3931=1,Settings!$C$6,Settings!$C$7))*100)</f>
        <v/>
      </c>
      <c r="AC3931" s="7">
        <f>IF($E3931="","",Y3931*AB3931/100)</f>
        <v/>
      </c>
      <c r="AD3931" s="7">
        <f>IF($E3931="","",Y3931-AC3931)</f>
        <v/>
      </c>
      <c r="AE3931" s="7">
        <f>IF($E3931="","",AD3931-Q3931)</f>
        <v/>
      </c>
      <c r="AI3931" s="7" t="n"/>
      <c r="AL3931" s="11" t="n"/>
      <c r="AN3931">
        <f>IF($E3931="","",IF(COUNTIF($E$2:$E3931,$E3931)=1,1,0))</f>
        <v/>
      </c>
      <c r="AO3931">
        <f>IF($AN3931=1,SUMPRODUCT(--($AR$2:$AR$4001&lt;$AR3931))+1,"")</f>
        <v/>
      </c>
      <c r="AP3931">
        <f>IF($E3931="","",IF(OR($U3931=TRUE(),$U3931="TRUE"),1,0))</f>
        <v/>
      </c>
      <c r="AQ3931">
        <f>IF($E3931="","",IF($AA3931="Yes",1,0))</f>
        <v/>
      </c>
      <c r="AR3931">
        <f>IF($AN3931=1,IFERROR(VALUE(MID($E3931,2,20)),1000000000)+ROW()/100000,"")</f>
        <v/>
      </c>
    </row>
    <row r="3932">
      <c r="G3932" s="11" t="n"/>
      <c r="Q3932" s="7">
        <f>IF($E3932="","",P3932*Y3932/100)</f>
        <v/>
      </c>
      <c r="R3932" s="7" t="n"/>
      <c r="X3932" s="7" t="n"/>
      <c r="Y3932" s="7" t="n"/>
      <c r="AB3932">
        <f>IF($E3932="","",IF($AQ3932=1,0,IF($AP3932=1,Settings!$C$6,Settings!$C$7))*100)</f>
        <v/>
      </c>
      <c r="AC3932" s="7">
        <f>IF($E3932="","",Y3932*AB3932/100)</f>
        <v/>
      </c>
      <c r="AD3932" s="7">
        <f>IF($E3932="","",Y3932-AC3932)</f>
        <v/>
      </c>
      <c r="AE3932" s="7">
        <f>IF($E3932="","",AD3932-Q3932)</f>
        <v/>
      </c>
      <c r="AI3932" s="7" t="n"/>
      <c r="AL3932" s="11" t="n"/>
      <c r="AN3932">
        <f>IF($E3932="","",IF(COUNTIF($E$2:$E3932,$E3932)=1,1,0))</f>
        <v/>
      </c>
      <c r="AO3932">
        <f>IF($AN3932=1,SUMPRODUCT(--($AR$2:$AR$4001&lt;$AR3932))+1,"")</f>
        <v/>
      </c>
      <c r="AP3932">
        <f>IF($E3932="","",IF(OR($U3932=TRUE(),$U3932="TRUE"),1,0))</f>
        <v/>
      </c>
      <c r="AQ3932">
        <f>IF($E3932="","",IF($AA3932="Yes",1,0))</f>
        <v/>
      </c>
      <c r="AR3932">
        <f>IF($AN3932=1,IFERROR(VALUE(MID($E3932,2,20)),1000000000)+ROW()/100000,"")</f>
        <v/>
      </c>
    </row>
    <row r="3933">
      <c r="G3933" s="11" t="n"/>
      <c r="Q3933" s="7">
        <f>IF($E3933="","",P3933*Y3933/100)</f>
        <v/>
      </c>
      <c r="R3933" s="7" t="n"/>
      <c r="X3933" s="7" t="n"/>
      <c r="Y3933" s="7" t="n"/>
      <c r="AB3933">
        <f>IF($E3933="","",IF($AQ3933=1,0,IF($AP3933=1,Settings!$C$6,Settings!$C$7))*100)</f>
        <v/>
      </c>
      <c r="AC3933" s="7">
        <f>IF($E3933="","",Y3933*AB3933/100)</f>
        <v/>
      </c>
      <c r="AD3933" s="7">
        <f>IF($E3933="","",Y3933-AC3933)</f>
        <v/>
      </c>
      <c r="AE3933" s="7">
        <f>IF($E3933="","",AD3933-Q3933)</f>
        <v/>
      </c>
      <c r="AI3933" s="7" t="n"/>
      <c r="AL3933" s="11" t="n"/>
      <c r="AN3933">
        <f>IF($E3933="","",IF(COUNTIF($E$2:$E3933,$E3933)=1,1,0))</f>
        <v/>
      </c>
      <c r="AO3933">
        <f>IF($AN3933=1,SUMPRODUCT(--($AR$2:$AR$4001&lt;$AR3933))+1,"")</f>
        <v/>
      </c>
      <c r="AP3933">
        <f>IF($E3933="","",IF(OR($U3933=TRUE(),$U3933="TRUE"),1,0))</f>
        <v/>
      </c>
      <c r="AQ3933">
        <f>IF($E3933="","",IF($AA3933="Yes",1,0))</f>
        <v/>
      </c>
      <c r="AR3933">
        <f>IF($AN3933=1,IFERROR(VALUE(MID($E3933,2,20)),1000000000)+ROW()/100000,"")</f>
        <v/>
      </c>
    </row>
    <row r="3934">
      <c r="G3934" s="11" t="n"/>
      <c r="Q3934" s="7">
        <f>IF($E3934="","",P3934*Y3934/100)</f>
        <v/>
      </c>
      <c r="R3934" s="7" t="n"/>
      <c r="X3934" s="7" t="n"/>
      <c r="Y3934" s="7" t="n"/>
      <c r="AB3934">
        <f>IF($E3934="","",IF($AQ3934=1,0,IF($AP3934=1,Settings!$C$6,Settings!$C$7))*100)</f>
        <v/>
      </c>
      <c r="AC3934" s="7">
        <f>IF($E3934="","",Y3934*AB3934/100)</f>
        <v/>
      </c>
      <c r="AD3934" s="7">
        <f>IF($E3934="","",Y3934-AC3934)</f>
        <v/>
      </c>
      <c r="AE3934" s="7">
        <f>IF($E3934="","",AD3934-Q3934)</f>
        <v/>
      </c>
      <c r="AI3934" s="7" t="n"/>
      <c r="AL3934" s="11" t="n"/>
      <c r="AN3934">
        <f>IF($E3934="","",IF(COUNTIF($E$2:$E3934,$E3934)=1,1,0))</f>
        <v/>
      </c>
      <c r="AO3934">
        <f>IF($AN3934=1,SUMPRODUCT(--($AR$2:$AR$4001&lt;$AR3934))+1,"")</f>
        <v/>
      </c>
      <c r="AP3934">
        <f>IF($E3934="","",IF(OR($U3934=TRUE(),$U3934="TRUE"),1,0))</f>
        <v/>
      </c>
      <c r="AQ3934">
        <f>IF($E3934="","",IF($AA3934="Yes",1,0))</f>
        <v/>
      </c>
      <c r="AR3934">
        <f>IF($AN3934=1,IFERROR(VALUE(MID($E3934,2,20)),1000000000)+ROW()/100000,"")</f>
        <v/>
      </c>
    </row>
    <row r="3935">
      <c r="G3935" s="11" t="n"/>
      <c r="Q3935" s="7">
        <f>IF($E3935="","",P3935*Y3935/100)</f>
        <v/>
      </c>
      <c r="R3935" s="7" t="n"/>
      <c r="X3935" s="7" t="n"/>
      <c r="Y3935" s="7" t="n"/>
      <c r="AB3935">
        <f>IF($E3935="","",IF($AQ3935=1,0,IF($AP3935=1,Settings!$C$6,Settings!$C$7))*100)</f>
        <v/>
      </c>
      <c r="AC3935" s="7">
        <f>IF($E3935="","",Y3935*AB3935/100)</f>
        <v/>
      </c>
      <c r="AD3935" s="7">
        <f>IF($E3935="","",Y3935-AC3935)</f>
        <v/>
      </c>
      <c r="AE3935" s="7">
        <f>IF($E3935="","",AD3935-Q3935)</f>
        <v/>
      </c>
      <c r="AI3935" s="7" t="n"/>
      <c r="AL3935" s="11" t="n"/>
      <c r="AN3935">
        <f>IF($E3935="","",IF(COUNTIF($E$2:$E3935,$E3935)=1,1,0))</f>
        <v/>
      </c>
      <c r="AO3935">
        <f>IF($AN3935=1,SUMPRODUCT(--($AR$2:$AR$4001&lt;$AR3935))+1,"")</f>
        <v/>
      </c>
      <c r="AP3935">
        <f>IF($E3935="","",IF(OR($U3935=TRUE(),$U3935="TRUE"),1,0))</f>
        <v/>
      </c>
      <c r="AQ3935">
        <f>IF($E3935="","",IF($AA3935="Yes",1,0))</f>
        <v/>
      </c>
      <c r="AR3935">
        <f>IF($AN3935=1,IFERROR(VALUE(MID($E3935,2,20)),1000000000)+ROW()/100000,"")</f>
        <v/>
      </c>
    </row>
    <row r="3936">
      <c r="G3936" s="11" t="n"/>
      <c r="Q3936" s="7">
        <f>IF($E3936="","",P3936*Y3936/100)</f>
        <v/>
      </c>
      <c r="R3936" s="7" t="n"/>
      <c r="X3936" s="7" t="n"/>
      <c r="Y3936" s="7" t="n"/>
      <c r="AB3936">
        <f>IF($E3936="","",IF($AQ3936=1,0,IF($AP3936=1,Settings!$C$6,Settings!$C$7))*100)</f>
        <v/>
      </c>
      <c r="AC3936" s="7">
        <f>IF($E3936="","",Y3936*AB3936/100)</f>
        <v/>
      </c>
      <c r="AD3936" s="7">
        <f>IF($E3936="","",Y3936-AC3936)</f>
        <v/>
      </c>
      <c r="AE3936" s="7">
        <f>IF($E3936="","",AD3936-Q3936)</f>
        <v/>
      </c>
      <c r="AI3936" s="7" t="n"/>
      <c r="AL3936" s="11" t="n"/>
      <c r="AN3936">
        <f>IF($E3936="","",IF(COUNTIF($E$2:$E3936,$E3936)=1,1,0))</f>
        <v/>
      </c>
      <c r="AO3936">
        <f>IF($AN3936=1,SUMPRODUCT(--($AR$2:$AR$4001&lt;$AR3936))+1,"")</f>
        <v/>
      </c>
      <c r="AP3936">
        <f>IF($E3936="","",IF(OR($U3936=TRUE(),$U3936="TRUE"),1,0))</f>
        <v/>
      </c>
      <c r="AQ3936">
        <f>IF($E3936="","",IF($AA3936="Yes",1,0))</f>
        <v/>
      </c>
      <c r="AR3936">
        <f>IF($AN3936=1,IFERROR(VALUE(MID($E3936,2,20)),1000000000)+ROW()/100000,"")</f>
        <v/>
      </c>
    </row>
    <row r="3937">
      <c r="G3937" s="11" t="n"/>
      <c r="Q3937" s="7">
        <f>IF($E3937="","",P3937*Y3937/100)</f>
        <v/>
      </c>
      <c r="R3937" s="7" t="n"/>
      <c r="X3937" s="7" t="n"/>
      <c r="Y3937" s="7" t="n"/>
      <c r="AB3937">
        <f>IF($E3937="","",IF($AQ3937=1,0,IF($AP3937=1,Settings!$C$6,Settings!$C$7))*100)</f>
        <v/>
      </c>
      <c r="AC3937" s="7">
        <f>IF($E3937="","",Y3937*AB3937/100)</f>
        <v/>
      </c>
      <c r="AD3937" s="7">
        <f>IF($E3937="","",Y3937-AC3937)</f>
        <v/>
      </c>
      <c r="AE3937" s="7">
        <f>IF($E3937="","",AD3937-Q3937)</f>
        <v/>
      </c>
      <c r="AI3937" s="7" t="n"/>
      <c r="AL3937" s="11" t="n"/>
      <c r="AN3937">
        <f>IF($E3937="","",IF(COUNTIF($E$2:$E3937,$E3937)=1,1,0))</f>
        <v/>
      </c>
      <c r="AO3937">
        <f>IF($AN3937=1,SUMPRODUCT(--($AR$2:$AR$4001&lt;$AR3937))+1,"")</f>
        <v/>
      </c>
      <c r="AP3937">
        <f>IF($E3937="","",IF(OR($U3937=TRUE(),$U3937="TRUE"),1,0))</f>
        <v/>
      </c>
      <c r="AQ3937">
        <f>IF($E3937="","",IF($AA3937="Yes",1,0))</f>
        <v/>
      </c>
      <c r="AR3937">
        <f>IF($AN3937=1,IFERROR(VALUE(MID($E3937,2,20)),1000000000)+ROW()/100000,"")</f>
        <v/>
      </c>
    </row>
    <row r="3938">
      <c r="G3938" s="11" t="n"/>
      <c r="Q3938" s="7">
        <f>IF($E3938="","",P3938*Y3938/100)</f>
        <v/>
      </c>
      <c r="R3938" s="7" t="n"/>
      <c r="X3938" s="7" t="n"/>
      <c r="Y3938" s="7" t="n"/>
      <c r="AB3938">
        <f>IF($E3938="","",IF($AQ3938=1,0,IF($AP3938=1,Settings!$C$6,Settings!$C$7))*100)</f>
        <v/>
      </c>
      <c r="AC3938" s="7">
        <f>IF($E3938="","",Y3938*AB3938/100)</f>
        <v/>
      </c>
      <c r="AD3938" s="7">
        <f>IF($E3938="","",Y3938-AC3938)</f>
        <v/>
      </c>
      <c r="AE3938" s="7">
        <f>IF($E3938="","",AD3938-Q3938)</f>
        <v/>
      </c>
      <c r="AI3938" s="7" t="n"/>
      <c r="AL3938" s="11" t="n"/>
      <c r="AN3938">
        <f>IF($E3938="","",IF(COUNTIF($E$2:$E3938,$E3938)=1,1,0))</f>
        <v/>
      </c>
      <c r="AO3938">
        <f>IF($AN3938=1,SUMPRODUCT(--($AR$2:$AR$4001&lt;$AR3938))+1,"")</f>
        <v/>
      </c>
      <c r="AP3938">
        <f>IF($E3938="","",IF(OR($U3938=TRUE(),$U3938="TRUE"),1,0))</f>
        <v/>
      </c>
      <c r="AQ3938">
        <f>IF($E3938="","",IF($AA3938="Yes",1,0))</f>
        <v/>
      </c>
      <c r="AR3938">
        <f>IF($AN3938=1,IFERROR(VALUE(MID($E3938,2,20)),1000000000)+ROW()/100000,"")</f>
        <v/>
      </c>
    </row>
    <row r="3939">
      <c r="G3939" s="11" t="n"/>
      <c r="Q3939" s="7">
        <f>IF($E3939="","",P3939*Y3939/100)</f>
        <v/>
      </c>
      <c r="R3939" s="7" t="n"/>
      <c r="X3939" s="7" t="n"/>
      <c r="Y3939" s="7" t="n"/>
      <c r="AB3939">
        <f>IF($E3939="","",IF($AQ3939=1,0,IF($AP3939=1,Settings!$C$6,Settings!$C$7))*100)</f>
        <v/>
      </c>
      <c r="AC3939" s="7">
        <f>IF($E3939="","",Y3939*AB3939/100)</f>
        <v/>
      </c>
      <c r="AD3939" s="7">
        <f>IF($E3939="","",Y3939-AC3939)</f>
        <v/>
      </c>
      <c r="AE3939" s="7">
        <f>IF($E3939="","",AD3939-Q3939)</f>
        <v/>
      </c>
      <c r="AI3939" s="7" t="n"/>
      <c r="AL3939" s="11" t="n"/>
      <c r="AN3939">
        <f>IF($E3939="","",IF(COUNTIF($E$2:$E3939,$E3939)=1,1,0))</f>
        <v/>
      </c>
      <c r="AO3939">
        <f>IF($AN3939=1,SUMPRODUCT(--($AR$2:$AR$4001&lt;$AR3939))+1,"")</f>
        <v/>
      </c>
      <c r="AP3939">
        <f>IF($E3939="","",IF(OR($U3939=TRUE(),$U3939="TRUE"),1,0))</f>
        <v/>
      </c>
      <c r="AQ3939">
        <f>IF($E3939="","",IF($AA3939="Yes",1,0))</f>
        <v/>
      </c>
      <c r="AR3939">
        <f>IF($AN3939=1,IFERROR(VALUE(MID($E3939,2,20)),1000000000)+ROW()/100000,"")</f>
        <v/>
      </c>
    </row>
    <row r="3940">
      <c r="G3940" s="11" t="n"/>
      <c r="Q3940" s="7">
        <f>IF($E3940="","",P3940*Y3940/100)</f>
        <v/>
      </c>
      <c r="R3940" s="7" t="n"/>
      <c r="X3940" s="7" t="n"/>
      <c r="Y3940" s="7" t="n"/>
      <c r="AB3940">
        <f>IF($E3940="","",IF($AQ3940=1,0,IF($AP3940=1,Settings!$C$6,Settings!$C$7))*100)</f>
        <v/>
      </c>
      <c r="AC3940" s="7">
        <f>IF($E3940="","",Y3940*AB3940/100)</f>
        <v/>
      </c>
      <c r="AD3940" s="7">
        <f>IF($E3940="","",Y3940-AC3940)</f>
        <v/>
      </c>
      <c r="AE3940" s="7">
        <f>IF($E3940="","",AD3940-Q3940)</f>
        <v/>
      </c>
      <c r="AI3940" s="7" t="n"/>
      <c r="AL3940" s="11" t="n"/>
      <c r="AN3940">
        <f>IF($E3940="","",IF(COUNTIF($E$2:$E3940,$E3940)=1,1,0))</f>
        <v/>
      </c>
      <c r="AO3940">
        <f>IF($AN3940=1,SUMPRODUCT(--($AR$2:$AR$4001&lt;$AR3940))+1,"")</f>
        <v/>
      </c>
      <c r="AP3940">
        <f>IF($E3940="","",IF(OR($U3940=TRUE(),$U3940="TRUE"),1,0))</f>
        <v/>
      </c>
      <c r="AQ3940">
        <f>IF($E3940="","",IF($AA3940="Yes",1,0))</f>
        <v/>
      </c>
      <c r="AR3940">
        <f>IF($AN3940=1,IFERROR(VALUE(MID($E3940,2,20)),1000000000)+ROW()/100000,"")</f>
        <v/>
      </c>
    </row>
    <row r="3941">
      <c r="G3941" s="11" t="n"/>
      <c r="Q3941" s="7">
        <f>IF($E3941="","",P3941*Y3941/100)</f>
        <v/>
      </c>
      <c r="R3941" s="7" t="n"/>
      <c r="X3941" s="7" t="n"/>
      <c r="Y3941" s="7" t="n"/>
      <c r="AB3941">
        <f>IF($E3941="","",IF($AQ3941=1,0,IF($AP3941=1,Settings!$C$6,Settings!$C$7))*100)</f>
        <v/>
      </c>
      <c r="AC3941" s="7">
        <f>IF($E3941="","",Y3941*AB3941/100)</f>
        <v/>
      </c>
      <c r="AD3941" s="7">
        <f>IF($E3941="","",Y3941-AC3941)</f>
        <v/>
      </c>
      <c r="AE3941" s="7">
        <f>IF($E3941="","",AD3941-Q3941)</f>
        <v/>
      </c>
      <c r="AI3941" s="7" t="n"/>
      <c r="AL3941" s="11" t="n"/>
      <c r="AN3941">
        <f>IF($E3941="","",IF(COUNTIF($E$2:$E3941,$E3941)=1,1,0))</f>
        <v/>
      </c>
      <c r="AO3941">
        <f>IF($AN3941=1,SUMPRODUCT(--($AR$2:$AR$4001&lt;$AR3941))+1,"")</f>
        <v/>
      </c>
      <c r="AP3941">
        <f>IF($E3941="","",IF(OR($U3941=TRUE(),$U3941="TRUE"),1,0))</f>
        <v/>
      </c>
      <c r="AQ3941">
        <f>IF($E3941="","",IF($AA3941="Yes",1,0))</f>
        <v/>
      </c>
      <c r="AR3941">
        <f>IF($AN3941=1,IFERROR(VALUE(MID($E3941,2,20)),1000000000)+ROW()/100000,"")</f>
        <v/>
      </c>
    </row>
    <row r="3942">
      <c r="G3942" s="11" t="n"/>
      <c r="Q3942" s="7">
        <f>IF($E3942="","",P3942*Y3942/100)</f>
        <v/>
      </c>
      <c r="R3942" s="7" t="n"/>
      <c r="X3942" s="7" t="n"/>
      <c r="Y3942" s="7" t="n"/>
      <c r="AB3942">
        <f>IF($E3942="","",IF($AQ3942=1,0,IF($AP3942=1,Settings!$C$6,Settings!$C$7))*100)</f>
        <v/>
      </c>
      <c r="AC3942" s="7">
        <f>IF($E3942="","",Y3942*AB3942/100)</f>
        <v/>
      </c>
      <c r="AD3942" s="7">
        <f>IF($E3942="","",Y3942-AC3942)</f>
        <v/>
      </c>
      <c r="AE3942" s="7">
        <f>IF($E3942="","",AD3942-Q3942)</f>
        <v/>
      </c>
      <c r="AI3942" s="7" t="n"/>
      <c r="AL3942" s="11" t="n"/>
      <c r="AN3942">
        <f>IF($E3942="","",IF(COUNTIF($E$2:$E3942,$E3942)=1,1,0))</f>
        <v/>
      </c>
      <c r="AO3942">
        <f>IF($AN3942=1,SUMPRODUCT(--($AR$2:$AR$4001&lt;$AR3942))+1,"")</f>
        <v/>
      </c>
      <c r="AP3942">
        <f>IF($E3942="","",IF(OR($U3942=TRUE(),$U3942="TRUE"),1,0))</f>
        <v/>
      </c>
      <c r="AQ3942">
        <f>IF($E3942="","",IF($AA3942="Yes",1,0))</f>
        <v/>
      </c>
      <c r="AR3942">
        <f>IF($AN3942=1,IFERROR(VALUE(MID($E3942,2,20)),1000000000)+ROW()/100000,"")</f>
        <v/>
      </c>
    </row>
    <row r="3943">
      <c r="G3943" s="11" t="n"/>
      <c r="Q3943" s="7">
        <f>IF($E3943="","",P3943*Y3943/100)</f>
        <v/>
      </c>
      <c r="R3943" s="7" t="n"/>
      <c r="X3943" s="7" t="n"/>
      <c r="Y3943" s="7" t="n"/>
      <c r="AB3943">
        <f>IF($E3943="","",IF($AQ3943=1,0,IF($AP3943=1,Settings!$C$6,Settings!$C$7))*100)</f>
        <v/>
      </c>
      <c r="AC3943" s="7">
        <f>IF($E3943="","",Y3943*AB3943/100)</f>
        <v/>
      </c>
      <c r="AD3943" s="7">
        <f>IF($E3943="","",Y3943-AC3943)</f>
        <v/>
      </c>
      <c r="AE3943" s="7">
        <f>IF($E3943="","",AD3943-Q3943)</f>
        <v/>
      </c>
      <c r="AI3943" s="7" t="n"/>
      <c r="AL3943" s="11" t="n"/>
      <c r="AN3943">
        <f>IF($E3943="","",IF(COUNTIF($E$2:$E3943,$E3943)=1,1,0))</f>
        <v/>
      </c>
      <c r="AO3943">
        <f>IF($AN3943=1,SUMPRODUCT(--($AR$2:$AR$4001&lt;$AR3943))+1,"")</f>
        <v/>
      </c>
      <c r="AP3943">
        <f>IF($E3943="","",IF(OR($U3943=TRUE(),$U3943="TRUE"),1,0))</f>
        <v/>
      </c>
      <c r="AQ3943">
        <f>IF($E3943="","",IF($AA3943="Yes",1,0))</f>
        <v/>
      </c>
      <c r="AR3943">
        <f>IF($AN3943=1,IFERROR(VALUE(MID($E3943,2,20)),1000000000)+ROW()/100000,"")</f>
        <v/>
      </c>
    </row>
    <row r="3944">
      <c r="G3944" s="11" t="n"/>
      <c r="Q3944" s="7">
        <f>IF($E3944="","",P3944*Y3944/100)</f>
        <v/>
      </c>
      <c r="R3944" s="7" t="n"/>
      <c r="X3944" s="7" t="n"/>
      <c r="Y3944" s="7" t="n"/>
      <c r="AB3944">
        <f>IF($E3944="","",IF($AQ3944=1,0,IF($AP3944=1,Settings!$C$6,Settings!$C$7))*100)</f>
        <v/>
      </c>
      <c r="AC3944" s="7">
        <f>IF($E3944="","",Y3944*AB3944/100)</f>
        <v/>
      </c>
      <c r="AD3944" s="7">
        <f>IF($E3944="","",Y3944-AC3944)</f>
        <v/>
      </c>
      <c r="AE3944" s="7">
        <f>IF($E3944="","",AD3944-Q3944)</f>
        <v/>
      </c>
      <c r="AI3944" s="7" t="n"/>
      <c r="AL3944" s="11" t="n"/>
      <c r="AN3944">
        <f>IF($E3944="","",IF(COUNTIF($E$2:$E3944,$E3944)=1,1,0))</f>
        <v/>
      </c>
      <c r="AO3944">
        <f>IF($AN3944=1,SUMPRODUCT(--($AR$2:$AR$4001&lt;$AR3944))+1,"")</f>
        <v/>
      </c>
      <c r="AP3944">
        <f>IF($E3944="","",IF(OR($U3944=TRUE(),$U3944="TRUE"),1,0))</f>
        <v/>
      </c>
      <c r="AQ3944">
        <f>IF($E3944="","",IF($AA3944="Yes",1,0))</f>
        <v/>
      </c>
      <c r="AR3944">
        <f>IF($AN3944=1,IFERROR(VALUE(MID($E3944,2,20)),1000000000)+ROW()/100000,"")</f>
        <v/>
      </c>
    </row>
    <row r="3945">
      <c r="G3945" s="11" t="n"/>
      <c r="Q3945" s="7">
        <f>IF($E3945="","",P3945*Y3945/100)</f>
        <v/>
      </c>
      <c r="R3945" s="7" t="n"/>
      <c r="X3945" s="7" t="n"/>
      <c r="Y3945" s="7" t="n"/>
      <c r="AB3945">
        <f>IF($E3945="","",IF($AQ3945=1,0,IF($AP3945=1,Settings!$C$6,Settings!$C$7))*100)</f>
        <v/>
      </c>
      <c r="AC3945" s="7">
        <f>IF($E3945="","",Y3945*AB3945/100)</f>
        <v/>
      </c>
      <c r="AD3945" s="7">
        <f>IF($E3945="","",Y3945-AC3945)</f>
        <v/>
      </c>
      <c r="AE3945" s="7">
        <f>IF($E3945="","",AD3945-Q3945)</f>
        <v/>
      </c>
      <c r="AI3945" s="7" t="n"/>
      <c r="AL3945" s="11" t="n"/>
      <c r="AN3945">
        <f>IF($E3945="","",IF(COUNTIF($E$2:$E3945,$E3945)=1,1,0))</f>
        <v/>
      </c>
      <c r="AO3945">
        <f>IF($AN3945=1,SUMPRODUCT(--($AR$2:$AR$4001&lt;$AR3945))+1,"")</f>
        <v/>
      </c>
      <c r="AP3945">
        <f>IF($E3945="","",IF(OR($U3945=TRUE(),$U3945="TRUE"),1,0))</f>
        <v/>
      </c>
      <c r="AQ3945">
        <f>IF($E3945="","",IF($AA3945="Yes",1,0))</f>
        <v/>
      </c>
      <c r="AR3945">
        <f>IF($AN3945=1,IFERROR(VALUE(MID($E3945,2,20)),1000000000)+ROW()/100000,"")</f>
        <v/>
      </c>
    </row>
    <row r="3946">
      <c r="G3946" s="11" t="n"/>
      <c r="Q3946" s="7">
        <f>IF($E3946="","",P3946*Y3946/100)</f>
        <v/>
      </c>
      <c r="R3946" s="7" t="n"/>
      <c r="X3946" s="7" t="n"/>
      <c r="Y3946" s="7" t="n"/>
      <c r="AB3946">
        <f>IF($E3946="","",IF($AQ3946=1,0,IF($AP3946=1,Settings!$C$6,Settings!$C$7))*100)</f>
        <v/>
      </c>
      <c r="AC3946" s="7">
        <f>IF($E3946="","",Y3946*AB3946/100)</f>
        <v/>
      </c>
      <c r="AD3946" s="7">
        <f>IF($E3946="","",Y3946-AC3946)</f>
        <v/>
      </c>
      <c r="AE3946" s="7">
        <f>IF($E3946="","",AD3946-Q3946)</f>
        <v/>
      </c>
      <c r="AI3946" s="7" t="n"/>
      <c r="AL3946" s="11" t="n"/>
      <c r="AN3946">
        <f>IF($E3946="","",IF(COUNTIF($E$2:$E3946,$E3946)=1,1,0))</f>
        <v/>
      </c>
      <c r="AO3946">
        <f>IF($AN3946=1,SUMPRODUCT(--($AR$2:$AR$4001&lt;$AR3946))+1,"")</f>
        <v/>
      </c>
      <c r="AP3946">
        <f>IF($E3946="","",IF(OR($U3946=TRUE(),$U3946="TRUE"),1,0))</f>
        <v/>
      </c>
      <c r="AQ3946">
        <f>IF($E3946="","",IF($AA3946="Yes",1,0))</f>
        <v/>
      </c>
      <c r="AR3946">
        <f>IF($AN3946=1,IFERROR(VALUE(MID($E3946,2,20)),1000000000)+ROW()/100000,"")</f>
        <v/>
      </c>
    </row>
    <row r="3947">
      <c r="G3947" s="11" t="n"/>
      <c r="Q3947" s="7">
        <f>IF($E3947="","",P3947*Y3947/100)</f>
        <v/>
      </c>
      <c r="R3947" s="7" t="n"/>
      <c r="X3947" s="7" t="n"/>
      <c r="Y3947" s="7" t="n"/>
      <c r="AB3947">
        <f>IF($E3947="","",IF($AQ3947=1,0,IF($AP3947=1,Settings!$C$6,Settings!$C$7))*100)</f>
        <v/>
      </c>
      <c r="AC3947" s="7">
        <f>IF($E3947="","",Y3947*AB3947/100)</f>
        <v/>
      </c>
      <c r="AD3947" s="7">
        <f>IF($E3947="","",Y3947-AC3947)</f>
        <v/>
      </c>
      <c r="AE3947" s="7">
        <f>IF($E3947="","",AD3947-Q3947)</f>
        <v/>
      </c>
      <c r="AI3947" s="7" t="n"/>
      <c r="AL3947" s="11" t="n"/>
      <c r="AN3947">
        <f>IF($E3947="","",IF(COUNTIF($E$2:$E3947,$E3947)=1,1,0))</f>
        <v/>
      </c>
      <c r="AO3947">
        <f>IF($AN3947=1,SUMPRODUCT(--($AR$2:$AR$4001&lt;$AR3947))+1,"")</f>
        <v/>
      </c>
      <c r="AP3947">
        <f>IF($E3947="","",IF(OR($U3947=TRUE(),$U3947="TRUE"),1,0))</f>
        <v/>
      </c>
      <c r="AQ3947">
        <f>IF($E3947="","",IF($AA3947="Yes",1,0))</f>
        <v/>
      </c>
      <c r="AR3947">
        <f>IF($AN3947=1,IFERROR(VALUE(MID($E3947,2,20)),1000000000)+ROW()/100000,"")</f>
        <v/>
      </c>
    </row>
    <row r="3948">
      <c r="G3948" s="11" t="n"/>
      <c r="Q3948" s="7">
        <f>IF($E3948="","",P3948*Y3948/100)</f>
        <v/>
      </c>
      <c r="R3948" s="7" t="n"/>
      <c r="X3948" s="7" t="n"/>
      <c r="Y3948" s="7" t="n"/>
      <c r="AB3948">
        <f>IF($E3948="","",IF($AQ3948=1,0,IF($AP3948=1,Settings!$C$6,Settings!$C$7))*100)</f>
        <v/>
      </c>
      <c r="AC3948" s="7">
        <f>IF($E3948="","",Y3948*AB3948/100)</f>
        <v/>
      </c>
      <c r="AD3948" s="7">
        <f>IF($E3948="","",Y3948-AC3948)</f>
        <v/>
      </c>
      <c r="AE3948" s="7">
        <f>IF($E3948="","",AD3948-Q3948)</f>
        <v/>
      </c>
      <c r="AI3948" s="7" t="n"/>
      <c r="AL3948" s="11" t="n"/>
      <c r="AN3948">
        <f>IF($E3948="","",IF(COUNTIF($E$2:$E3948,$E3948)=1,1,0))</f>
        <v/>
      </c>
      <c r="AO3948">
        <f>IF($AN3948=1,SUMPRODUCT(--($AR$2:$AR$4001&lt;$AR3948))+1,"")</f>
        <v/>
      </c>
      <c r="AP3948">
        <f>IF($E3948="","",IF(OR($U3948=TRUE(),$U3948="TRUE"),1,0))</f>
        <v/>
      </c>
      <c r="AQ3948">
        <f>IF($E3948="","",IF($AA3948="Yes",1,0))</f>
        <v/>
      </c>
      <c r="AR3948">
        <f>IF($AN3948=1,IFERROR(VALUE(MID($E3948,2,20)),1000000000)+ROW()/100000,"")</f>
        <v/>
      </c>
    </row>
    <row r="3949">
      <c r="G3949" s="11" t="n"/>
      <c r="Q3949" s="7">
        <f>IF($E3949="","",P3949*Y3949/100)</f>
        <v/>
      </c>
      <c r="R3949" s="7" t="n"/>
      <c r="X3949" s="7" t="n"/>
      <c r="Y3949" s="7" t="n"/>
      <c r="AB3949">
        <f>IF($E3949="","",IF($AQ3949=1,0,IF($AP3949=1,Settings!$C$6,Settings!$C$7))*100)</f>
        <v/>
      </c>
      <c r="AC3949" s="7">
        <f>IF($E3949="","",Y3949*AB3949/100)</f>
        <v/>
      </c>
      <c r="AD3949" s="7">
        <f>IF($E3949="","",Y3949-AC3949)</f>
        <v/>
      </c>
      <c r="AE3949" s="7">
        <f>IF($E3949="","",AD3949-Q3949)</f>
        <v/>
      </c>
      <c r="AI3949" s="7" t="n"/>
      <c r="AL3949" s="11" t="n"/>
      <c r="AN3949">
        <f>IF($E3949="","",IF(COUNTIF($E$2:$E3949,$E3949)=1,1,0))</f>
        <v/>
      </c>
      <c r="AO3949">
        <f>IF($AN3949=1,SUMPRODUCT(--($AR$2:$AR$4001&lt;$AR3949))+1,"")</f>
        <v/>
      </c>
      <c r="AP3949">
        <f>IF($E3949="","",IF(OR($U3949=TRUE(),$U3949="TRUE"),1,0))</f>
        <v/>
      </c>
      <c r="AQ3949">
        <f>IF($E3949="","",IF($AA3949="Yes",1,0))</f>
        <v/>
      </c>
      <c r="AR3949">
        <f>IF($AN3949=1,IFERROR(VALUE(MID($E3949,2,20)),1000000000)+ROW()/100000,"")</f>
        <v/>
      </c>
    </row>
    <row r="3950">
      <c r="G3950" s="11" t="n"/>
      <c r="Q3950" s="7">
        <f>IF($E3950="","",P3950*Y3950/100)</f>
        <v/>
      </c>
      <c r="R3950" s="7" t="n"/>
      <c r="X3950" s="7" t="n"/>
      <c r="Y3950" s="7" t="n"/>
      <c r="AB3950">
        <f>IF($E3950="","",IF($AQ3950=1,0,IF($AP3950=1,Settings!$C$6,Settings!$C$7))*100)</f>
        <v/>
      </c>
      <c r="AC3950" s="7">
        <f>IF($E3950="","",Y3950*AB3950/100)</f>
        <v/>
      </c>
      <c r="AD3950" s="7">
        <f>IF($E3950="","",Y3950-AC3950)</f>
        <v/>
      </c>
      <c r="AE3950" s="7">
        <f>IF($E3950="","",AD3950-Q3950)</f>
        <v/>
      </c>
      <c r="AI3950" s="7" t="n"/>
      <c r="AL3950" s="11" t="n"/>
      <c r="AN3950">
        <f>IF($E3950="","",IF(COUNTIF($E$2:$E3950,$E3950)=1,1,0))</f>
        <v/>
      </c>
      <c r="AO3950">
        <f>IF($AN3950=1,SUMPRODUCT(--($AR$2:$AR$4001&lt;$AR3950))+1,"")</f>
        <v/>
      </c>
      <c r="AP3950">
        <f>IF($E3950="","",IF(OR($U3950=TRUE(),$U3950="TRUE"),1,0))</f>
        <v/>
      </c>
      <c r="AQ3950">
        <f>IF($E3950="","",IF($AA3950="Yes",1,0))</f>
        <v/>
      </c>
      <c r="AR3950">
        <f>IF($AN3950=1,IFERROR(VALUE(MID($E3950,2,20)),1000000000)+ROW()/100000,"")</f>
        <v/>
      </c>
    </row>
    <row r="3951">
      <c r="G3951" s="11" t="n"/>
      <c r="Q3951" s="7">
        <f>IF($E3951="","",P3951*Y3951/100)</f>
        <v/>
      </c>
      <c r="R3951" s="7" t="n"/>
      <c r="X3951" s="7" t="n"/>
      <c r="Y3951" s="7" t="n"/>
      <c r="AB3951">
        <f>IF($E3951="","",IF($AQ3951=1,0,IF($AP3951=1,Settings!$C$6,Settings!$C$7))*100)</f>
        <v/>
      </c>
      <c r="AC3951" s="7">
        <f>IF($E3951="","",Y3951*AB3951/100)</f>
        <v/>
      </c>
      <c r="AD3951" s="7">
        <f>IF($E3951="","",Y3951-AC3951)</f>
        <v/>
      </c>
      <c r="AE3951" s="7">
        <f>IF($E3951="","",AD3951-Q3951)</f>
        <v/>
      </c>
      <c r="AI3951" s="7" t="n"/>
      <c r="AL3951" s="11" t="n"/>
      <c r="AN3951">
        <f>IF($E3951="","",IF(COUNTIF($E$2:$E3951,$E3951)=1,1,0))</f>
        <v/>
      </c>
      <c r="AO3951">
        <f>IF($AN3951=1,SUMPRODUCT(--($AR$2:$AR$4001&lt;$AR3951))+1,"")</f>
        <v/>
      </c>
      <c r="AP3951">
        <f>IF($E3951="","",IF(OR($U3951=TRUE(),$U3951="TRUE"),1,0))</f>
        <v/>
      </c>
      <c r="AQ3951">
        <f>IF($E3951="","",IF($AA3951="Yes",1,0))</f>
        <v/>
      </c>
      <c r="AR3951">
        <f>IF($AN3951=1,IFERROR(VALUE(MID($E3951,2,20)),1000000000)+ROW()/100000,"")</f>
        <v/>
      </c>
    </row>
    <row r="3952">
      <c r="G3952" s="11" t="n"/>
      <c r="Q3952" s="7">
        <f>IF($E3952="","",P3952*Y3952/100)</f>
        <v/>
      </c>
      <c r="R3952" s="7" t="n"/>
      <c r="X3952" s="7" t="n"/>
      <c r="Y3952" s="7" t="n"/>
      <c r="AB3952">
        <f>IF($E3952="","",IF($AQ3952=1,0,IF($AP3952=1,Settings!$C$6,Settings!$C$7))*100)</f>
        <v/>
      </c>
      <c r="AC3952" s="7">
        <f>IF($E3952="","",Y3952*AB3952/100)</f>
        <v/>
      </c>
      <c r="AD3952" s="7">
        <f>IF($E3952="","",Y3952-AC3952)</f>
        <v/>
      </c>
      <c r="AE3952" s="7">
        <f>IF($E3952="","",AD3952-Q3952)</f>
        <v/>
      </c>
      <c r="AI3952" s="7" t="n"/>
      <c r="AL3952" s="11" t="n"/>
      <c r="AN3952">
        <f>IF($E3952="","",IF(COUNTIF($E$2:$E3952,$E3952)=1,1,0))</f>
        <v/>
      </c>
      <c r="AO3952">
        <f>IF($AN3952=1,SUMPRODUCT(--($AR$2:$AR$4001&lt;$AR3952))+1,"")</f>
        <v/>
      </c>
      <c r="AP3952">
        <f>IF($E3952="","",IF(OR($U3952=TRUE(),$U3952="TRUE"),1,0))</f>
        <v/>
      </c>
      <c r="AQ3952">
        <f>IF($E3952="","",IF($AA3952="Yes",1,0))</f>
        <v/>
      </c>
      <c r="AR3952">
        <f>IF($AN3952=1,IFERROR(VALUE(MID($E3952,2,20)),1000000000)+ROW()/100000,"")</f>
        <v/>
      </c>
    </row>
    <row r="3953">
      <c r="G3953" s="11" t="n"/>
      <c r="Q3953" s="7">
        <f>IF($E3953="","",P3953*Y3953/100)</f>
        <v/>
      </c>
      <c r="R3953" s="7" t="n"/>
      <c r="X3953" s="7" t="n"/>
      <c r="Y3953" s="7" t="n"/>
      <c r="AB3953">
        <f>IF($E3953="","",IF($AQ3953=1,0,IF($AP3953=1,Settings!$C$6,Settings!$C$7))*100)</f>
        <v/>
      </c>
      <c r="AC3953" s="7">
        <f>IF($E3953="","",Y3953*AB3953/100)</f>
        <v/>
      </c>
      <c r="AD3953" s="7">
        <f>IF($E3953="","",Y3953-AC3953)</f>
        <v/>
      </c>
      <c r="AE3953" s="7">
        <f>IF($E3953="","",AD3953-Q3953)</f>
        <v/>
      </c>
      <c r="AI3953" s="7" t="n"/>
      <c r="AL3953" s="11" t="n"/>
      <c r="AN3953">
        <f>IF($E3953="","",IF(COUNTIF($E$2:$E3953,$E3953)=1,1,0))</f>
        <v/>
      </c>
      <c r="AO3953">
        <f>IF($AN3953=1,SUMPRODUCT(--($AR$2:$AR$4001&lt;$AR3953))+1,"")</f>
        <v/>
      </c>
      <c r="AP3953">
        <f>IF($E3953="","",IF(OR($U3953=TRUE(),$U3953="TRUE"),1,0))</f>
        <v/>
      </c>
      <c r="AQ3953">
        <f>IF($E3953="","",IF($AA3953="Yes",1,0))</f>
        <v/>
      </c>
      <c r="AR3953">
        <f>IF($AN3953=1,IFERROR(VALUE(MID($E3953,2,20)),1000000000)+ROW()/100000,"")</f>
        <v/>
      </c>
    </row>
    <row r="3954">
      <c r="G3954" s="11" t="n"/>
      <c r="Q3954" s="7">
        <f>IF($E3954="","",P3954*Y3954/100)</f>
        <v/>
      </c>
      <c r="R3954" s="7" t="n"/>
      <c r="X3954" s="7" t="n"/>
      <c r="Y3954" s="7" t="n"/>
      <c r="AB3954">
        <f>IF($E3954="","",IF($AQ3954=1,0,IF($AP3954=1,Settings!$C$6,Settings!$C$7))*100)</f>
        <v/>
      </c>
      <c r="AC3954" s="7">
        <f>IF($E3954="","",Y3954*AB3954/100)</f>
        <v/>
      </c>
      <c r="AD3954" s="7">
        <f>IF($E3954="","",Y3954-AC3954)</f>
        <v/>
      </c>
      <c r="AE3954" s="7">
        <f>IF($E3954="","",AD3954-Q3954)</f>
        <v/>
      </c>
      <c r="AI3954" s="7" t="n"/>
      <c r="AL3954" s="11" t="n"/>
      <c r="AN3954">
        <f>IF($E3954="","",IF(COUNTIF($E$2:$E3954,$E3954)=1,1,0))</f>
        <v/>
      </c>
      <c r="AO3954">
        <f>IF($AN3954=1,SUMPRODUCT(--($AR$2:$AR$4001&lt;$AR3954))+1,"")</f>
        <v/>
      </c>
      <c r="AP3954">
        <f>IF($E3954="","",IF(OR($U3954=TRUE(),$U3954="TRUE"),1,0))</f>
        <v/>
      </c>
      <c r="AQ3954">
        <f>IF($E3954="","",IF($AA3954="Yes",1,0))</f>
        <v/>
      </c>
      <c r="AR3954">
        <f>IF($AN3954=1,IFERROR(VALUE(MID($E3954,2,20)),1000000000)+ROW()/100000,"")</f>
        <v/>
      </c>
    </row>
    <row r="3955">
      <c r="G3955" s="11" t="n"/>
      <c r="Q3955" s="7">
        <f>IF($E3955="","",P3955*Y3955/100)</f>
        <v/>
      </c>
      <c r="R3955" s="7" t="n"/>
      <c r="X3955" s="7" t="n"/>
      <c r="Y3955" s="7" t="n"/>
      <c r="AB3955">
        <f>IF($E3955="","",IF($AQ3955=1,0,IF($AP3955=1,Settings!$C$6,Settings!$C$7))*100)</f>
        <v/>
      </c>
      <c r="AC3955" s="7">
        <f>IF($E3955="","",Y3955*AB3955/100)</f>
        <v/>
      </c>
      <c r="AD3955" s="7">
        <f>IF($E3955="","",Y3955-AC3955)</f>
        <v/>
      </c>
      <c r="AE3955" s="7">
        <f>IF($E3955="","",AD3955-Q3955)</f>
        <v/>
      </c>
      <c r="AI3955" s="7" t="n"/>
      <c r="AL3955" s="11" t="n"/>
      <c r="AN3955">
        <f>IF($E3955="","",IF(COUNTIF($E$2:$E3955,$E3955)=1,1,0))</f>
        <v/>
      </c>
      <c r="AO3955">
        <f>IF($AN3955=1,SUMPRODUCT(--($AR$2:$AR$4001&lt;$AR3955))+1,"")</f>
        <v/>
      </c>
      <c r="AP3955">
        <f>IF($E3955="","",IF(OR($U3955=TRUE(),$U3955="TRUE"),1,0))</f>
        <v/>
      </c>
      <c r="AQ3955">
        <f>IF($E3955="","",IF($AA3955="Yes",1,0))</f>
        <v/>
      </c>
      <c r="AR3955">
        <f>IF($AN3955=1,IFERROR(VALUE(MID($E3955,2,20)),1000000000)+ROW()/100000,"")</f>
        <v/>
      </c>
    </row>
    <row r="3956">
      <c r="G3956" s="11" t="n"/>
      <c r="Q3956" s="7">
        <f>IF($E3956="","",P3956*Y3956/100)</f>
        <v/>
      </c>
      <c r="R3956" s="7" t="n"/>
      <c r="X3956" s="7" t="n"/>
      <c r="Y3956" s="7" t="n"/>
      <c r="AB3956">
        <f>IF($E3956="","",IF($AQ3956=1,0,IF($AP3956=1,Settings!$C$6,Settings!$C$7))*100)</f>
        <v/>
      </c>
      <c r="AC3956" s="7">
        <f>IF($E3956="","",Y3956*AB3956/100)</f>
        <v/>
      </c>
      <c r="AD3956" s="7">
        <f>IF($E3956="","",Y3956-AC3956)</f>
        <v/>
      </c>
      <c r="AE3956" s="7">
        <f>IF($E3956="","",AD3956-Q3956)</f>
        <v/>
      </c>
      <c r="AI3956" s="7" t="n"/>
      <c r="AL3956" s="11" t="n"/>
      <c r="AN3956">
        <f>IF($E3956="","",IF(COUNTIF($E$2:$E3956,$E3956)=1,1,0))</f>
        <v/>
      </c>
      <c r="AO3956">
        <f>IF($AN3956=1,SUMPRODUCT(--($AR$2:$AR$4001&lt;$AR3956))+1,"")</f>
        <v/>
      </c>
      <c r="AP3956">
        <f>IF($E3956="","",IF(OR($U3956=TRUE(),$U3956="TRUE"),1,0))</f>
        <v/>
      </c>
      <c r="AQ3956">
        <f>IF($E3956="","",IF($AA3956="Yes",1,0))</f>
        <v/>
      </c>
      <c r="AR3956">
        <f>IF($AN3956=1,IFERROR(VALUE(MID($E3956,2,20)),1000000000)+ROW()/100000,"")</f>
        <v/>
      </c>
    </row>
    <row r="3957">
      <c r="G3957" s="11" t="n"/>
      <c r="Q3957" s="7">
        <f>IF($E3957="","",P3957*Y3957/100)</f>
        <v/>
      </c>
      <c r="R3957" s="7" t="n"/>
      <c r="X3957" s="7" t="n"/>
      <c r="Y3957" s="7" t="n"/>
      <c r="AB3957">
        <f>IF($E3957="","",IF($AQ3957=1,0,IF($AP3957=1,Settings!$C$6,Settings!$C$7))*100)</f>
        <v/>
      </c>
      <c r="AC3957" s="7">
        <f>IF($E3957="","",Y3957*AB3957/100)</f>
        <v/>
      </c>
      <c r="AD3957" s="7">
        <f>IF($E3957="","",Y3957-AC3957)</f>
        <v/>
      </c>
      <c r="AE3957" s="7">
        <f>IF($E3957="","",AD3957-Q3957)</f>
        <v/>
      </c>
      <c r="AI3957" s="7" t="n"/>
      <c r="AL3957" s="11" t="n"/>
      <c r="AN3957">
        <f>IF($E3957="","",IF(COUNTIF($E$2:$E3957,$E3957)=1,1,0))</f>
        <v/>
      </c>
      <c r="AO3957">
        <f>IF($AN3957=1,SUMPRODUCT(--($AR$2:$AR$4001&lt;$AR3957))+1,"")</f>
        <v/>
      </c>
      <c r="AP3957">
        <f>IF($E3957="","",IF(OR($U3957=TRUE(),$U3957="TRUE"),1,0))</f>
        <v/>
      </c>
      <c r="AQ3957">
        <f>IF($E3957="","",IF($AA3957="Yes",1,0))</f>
        <v/>
      </c>
      <c r="AR3957">
        <f>IF($AN3957=1,IFERROR(VALUE(MID($E3957,2,20)),1000000000)+ROW()/100000,"")</f>
        <v/>
      </c>
    </row>
    <row r="3958">
      <c r="G3958" s="11" t="n"/>
      <c r="Q3958" s="7">
        <f>IF($E3958="","",P3958*Y3958/100)</f>
        <v/>
      </c>
      <c r="R3958" s="7" t="n"/>
      <c r="X3958" s="7" t="n"/>
      <c r="Y3958" s="7" t="n"/>
      <c r="AB3958">
        <f>IF($E3958="","",IF($AQ3958=1,0,IF($AP3958=1,Settings!$C$6,Settings!$C$7))*100)</f>
        <v/>
      </c>
      <c r="AC3958" s="7">
        <f>IF($E3958="","",Y3958*AB3958/100)</f>
        <v/>
      </c>
      <c r="AD3958" s="7">
        <f>IF($E3958="","",Y3958-AC3958)</f>
        <v/>
      </c>
      <c r="AE3958" s="7">
        <f>IF($E3958="","",AD3958-Q3958)</f>
        <v/>
      </c>
      <c r="AI3958" s="7" t="n"/>
      <c r="AL3958" s="11" t="n"/>
      <c r="AN3958">
        <f>IF($E3958="","",IF(COUNTIF($E$2:$E3958,$E3958)=1,1,0))</f>
        <v/>
      </c>
      <c r="AO3958">
        <f>IF($AN3958=1,SUMPRODUCT(--($AR$2:$AR$4001&lt;$AR3958))+1,"")</f>
        <v/>
      </c>
      <c r="AP3958">
        <f>IF($E3958="","",IF(OR($U3958=TRUE(),$U3958="TRUE"),1,0))</f>
        <v/>
      </c>
      <c r="AQ3958">
        <f>IF($E3958="","",IF($AA3958="Yes",1,0))</f>
        <v/>
      </c>
      <c r="AR3958">
        <f>IF($AN3958=1,IFERROR(VALUE(MID($E3958,2,20)),1000000000)+ROW()/100000,"")</f>
        <v/>
      </c>
    </row>
    <row r="3959">
      <c r="G3959" s="11" t="n"/>
      <c r="Q3959" s="7">
        <f>IF($E3959="","",P3959*Y3959/100)</f>
        <v/>
      </c>
      <c r="R3959" s="7" t="n"/>
      <c r="X3959" s="7" t="n"/>
      <c r="Y3959" s="7" t="n"/>
      <c r="AB3959">
        <f>IF($E3959="","",IF($AQ3959=1,0,IF($AP3959=1,Settings!$C$6,Settings!$C$7))*100)</f>
        <v/>
      </c>
      <c r="AC3959" s="7">
        <f>IF($E3959="","",Y3959*AB3959/100)</f>
        <v/>
      </c>
      <c r="AD3959" s="7">
        <f>IF($E3959="","",Y3959-AC3959)</f>
        <v/>
      </c>
      <c r="AE3959" s="7">
        <f>IF($E3959="","",AD3959-Q3959)</f>
        <v/>
      </c>
      <c r="AI3959" s="7" t="n"/>
      <c r="AL3959" s="11" t="n"/>
      <c r="AN3959">
        <f>IF($E3959="","",IF(COUNTIF($E$2:$E3959,$E3959)=1,1,0))</f>
        <v/>
      </c>
      <c r="AO3959">
        <f>IF($AN3959=1,SUMPRODUCT(--($AR$2:$AR$4001&lt;$AR3959))+1,"")</f>
        <v/>
      </c>
      <c r="AP3959">
        <f>IF($E3959="","",IF(OR($U3959=TRUE(),$U3959="TRUE"),1,0))</f>
        <v/>
      </c>
      <c r="AQ3959">
        <f>IF($E3959="","",IF($AA3959="Yes",1,0))</f>
        <v/>
      </c>
      <c r="AR3959">
        <f>IF($AN3959=1,IFERROR(VALUE(MID($E3959,2,20)),1000000000)+ROW()/100000,"")</f>
        <v/>
      </c>
    </row>
    <row r="3960">
      <c r="G3960" s="11" t="n"/>
      <c r="Q3960" s="7">
        <f>IF($E3960="","",P3960*Y3960/100)</f>
        <v/>
      </c>
      <c r="R3960" s="7" t="n"/>
      <c r="X3960" s="7" t="n"/>
      <c r="Y3960" s="7" t="n"/>
      <c r="AB3960">
        <f>IF($E3960="","",IF($AQ3960=1,0,IF($AP3960=1,Settings!$C$6,Settings!$C$7))*100)</f>
        <v/>
      </c>
      <c r="AC3960" s="7">
        <f>IF($E3960="","",Y3960*AB3960/100)</f>
        <v/>
      </c>
      <c r="AD3960" s="7">
        <f>IF($E3960="","",Y3960-AC3960)</f>
        <v/>
      </c>
      <c r="AE3960" s="7">
        <f>IF($E3960="","",AD3960-Q3960)</f>
        <v/>
      </c>
      <c r="AI3960" s="7" t="n"/>
      <c r="AL3960" s="11" t="n"/>
      <c r="AN3960">
        <f>IF($E3960="","",IF(COUNTIF($E$2:$E3960,$E3960)=1,1,0))</f>
        <v/>
      </c>
      <c r="AO3960">
        <f>IF($AN3960=1,SUMPRODUCT(--($AR$2:$AR$4001&lt;$AR3960))+1,"")</f>
        <v/>
      </c>
      <c r="AP3960">
        <f>IF($E3960="","",IF(OR($U3960=TRUE(),$U3960="TRUE"),1,0))</f>
        <v/>
      </c>
      <c r="AQ3960">
        <f>IF($E3960="","",IF($AA3960="Yes",1,0))</f>
        <v/>
      </c>
      <c r="AR3960">
        <f>IF($AN3960=1,IFERROR(VALUE(MID($E3960,2,20)),1000000000)+ROW()/100000,"")</f>
        <v/>
      </c>
    </row>
    <row r="3961">
      <c r="G3961" s="11" t="n"/>
      <c r="Q3961" s="7">
        <f>IF($E3961="","",P3961*Y3961/100)</f>
        <v/>
      </c>
      <c r="R3961" s="7" t="n"/>
      <c r="X3961" s="7" t="n"/>
      <c r="Y3961" s="7" t="n"/>
      <c r="AB3961">
        <f>IF($E3961="","",IF($AQ3961=1,0,IF($AP3961=1,Settings!$C$6,Settings!$C$7))*100)</f>
        <v/>
      </c>
      <c r="AC3961" s="7">
        <f>IF($E3961="","",Y3961*AB3961/100)</f>
        <v/>
      </c>
      <c r="AD3961" s="7">
        <f>IF($E3961="","",Y3961-AC3961)</f>
        <v/>
      </c>
      <c r="AE3961" s="7">
        <f>IF($E3961="","",AD3961-Q3961)</f>
        <v/>
      </c>
      <c r="AI3961" s="7" t="n"/>
      <c r="AL3961" s="11" t="n"/>
      <c r="AN3961">
        <f>IF($E3961="","",IF(COUNTIF($E$2:$E3961,$E3961)=1,1,0))</f>
        <v/>
      </c>
      <c r="AO3961">
        <f>IF($AN3961=1,SUMPRODUCT(--($AR$2:$AR$4001&lt;$AR3961))+1,"")</f>
        <v/>
      </c>
      <c r="AP3961">
        <f>IF($E3961="","",IF(OR($U3961=TRUE(),$U3961="TRUE"),1,0))</f>
        <v/>
      </c>
      <c r="AQ3961">
        <f>IF($E3961="","",IF($AA3961="Yes",1,0))</f>
        <v/>
      </c>
      <c r="AR3961">
        <f>IF($AN3961=1,IFERROR(VALUE(MID($E3961,2,20)),1000000000)+ROW()/100000,"")</f>
        <v/>
      </c>
    </row>
    <row r="3962">
      <c r="G3962" s="11" t="n"/>
      <c r="Q3962" s="7">
        <f>IF($E3962="","",P3962*Y3962/100)</f>
        <v/>
      </c>
      <c r="R3962" s="7" t="n"/>
      <c r="X3962" s="7" t="n"/>
      <c r="Y3962" s="7" t="n"/>
      <c r="AB3962">
        <f>IF($E3962="","",IF($AQ3962=1,0,IF($AP3962=1,Settings!$C$6,Settings!$C$7))*100)</f>
        <v/>
      </c>
      <c r="AC3962" s="7">
        <f>IF($E3962="","",Y3962*AB3962/100)</f>
        <v/>
      </c>
      <c r="AD3962" s="7">
        <f>IF($E3962="","",Y3962-AC3962)</f>
        <v/>
      </c>
      <c r="AE3962" s="7">
        <f>IF($E3962="","",AD3962-Q3962)</f>
        <v/>
      </c>
      <c r="AI3962" s="7" t="n"/>
      <c r="AL3962" s="11" t="n"/>
      <c r="AN3962">
        <f>IF($E3962="","",IF(COUNTIF($E$2:$E3962,$E3962)=1,1,0))</f>
        <v/>
      </c>
      <c r="AO3962">
        <f>IF($AN3962=1,SUMPRODUCT(--($AR$2:$AR$4001&lt;$AR3962))+1,"")</f>
        <v/>
      </c>
      <c r="AP3962">
        <f>IF($E3962="","",IF(OR($U3962=TRUE(),$U3962="TRUE"),1,0))</f>
        <v/>
      </c>
      <c r="AQ3962">
        <f>IF($E3962="","",IF($AA3962="Yes",1,0))</f>
        <v/>
      </c>
      <c r="AR3962">
        <f>IF($AN3962=1,IFERROR(VALUE(MID($E3962,2,20)),1000000000)+ROW()/100000,"")</f>
        <v/>
      </c>
    </row>
    <row r="3963">
      <c r="G3963" s="11" t="n"/>
      <c r="Q3963" s="7">
        <f>IF($E3963="","",P3963*Y3963/100)</f>
        <v/>
      </c>
      <c r="R3963" s="7" t="n"/>
      <c r="X3963" s="7" t="n"/>
      <c r="Y3963" s="7" t="n"/>
      <c r="AB3963">
        <f>IF($E3963="","",IF($AQ3963=1,0,IF($AP3963=1,Settings!$C$6,Settings!$C$7))*100)</f>
        <v/>
      </c>
      <c r="AC3963" s="7">
        <f>IF($E3963="","",Y3963*AB3963/100)</f>
        <v/>
      </c>
      <c r="AD3963" s="7">
        <f>IF($E3963="","",Y3963-AC3963)</f>
        <v/>
      </c>
      <c r="AE3963" s="7">
        <f>IF($E3963="","",AD3963-Q3963)</f>
        <v/>
      </c>
      <c r="AI3963" s="7" t="n"/>
      <c r="AL3963" s="11" t="n"/>
      <c r="AN3963">
        <f>IF($E3963="","",IF(COUNTIF($E$2:$E3963,$E3963)=1,1,0))</f>
        <v/>
      </c>
      <c r="AO3963">
        <f>IF($AN3963=1,SUMPRODUCT(--($AR$2:$AR$4001&lt;$AR3963))+1,"")</f>
        <v/>
      </c>
      <c r="AP3963">
        <f>IF($E3963="","",IF(OR($U3963=TRUE(),$U3963="TRUE"),1,0))</f>
        <v/>
      </c>
      <c r="AQ3963">
        <f>IF($E3963="","",IF($AA3963="Yes",1,0))</f>
        <v/>
      </c>
      <c r="AR3963">
        <f>IF($AN3963=1,IFERROR(VALUE(MID($E3963,2,20)),1000000000)+ROW()/100000,"")</f>
        <v/>
      </c>
    </row>
    <row r="3964">
      <c r="G3964" s="11" t="n"/>
      <c r="Q3964" s="7">
        <f>IF($E3964="","",P3964*Y3964/100)</f>
        <v/>
      </c>
      <c r="R3964" s="7" t="n"/>
      <c r="X3964" s="7" t="n"/>
      <c r="Y3964" s="7" t="n"/>
      <c r="AB3964">
        <f>IF($E3964="","",IF($AQ3964=1,0,IF($AP3964=1,Settings!$C$6,Settings!$C$7))*100)</f>
        <v/>
      </c>
      <c r="AC3964" s="7">
        <f>IF($E3964="","",Y3964*AB3964/100)</f>
        <v/>
      </c>
      <c r="AD3964" s="7">
        <f>IF($E3964="","",Y3964-AC3964)</f>
        <v/>
      </c>
      <c r="AE3964" s="7">
        <f>IF($E3964="","",AD3964-Q3964)</f>
        <v/>
      </c>
      <c r="AI3964" s="7" t="n"/>
      <c r="AL3964" s="11" t="n"/>
      <c r="AN3964">
        <f>IF($E3964="","",IF(COUNTIF($E$2:$E3964,$E3964)=1,1,0))</f>
        <v/>
      </c>
      <c r="AO3964">
        <f>IF($AN3964=1,SUMPRODUCT(--($AR$2:$AR$4001&lt;$AR3964))+1,"")</f>
        <v/>
      </c>
      <c r="AP3964">
        <f>IF($E3964="","",IF(OR($U3964=TRUE(),$U3964="TRUE"),1,0))</f>
        <v/>
      </c>
      <c r="AQ3964">
        <f>IF($E3964="","",IF($AA3964="Yes",1,0))</f>
        <v/>
      </c>
      <c r="AR3964">
        <f>IF($AN3964=1,IFERROR(VALUE(MID($E3964,2,20)),1000000000)+ROW()/100000,"")</f>
        <v/>
      </c>
    </row>
    <row r="3965">
      <c r="G3965" s="11" t="n"/>
      <c r="Q3965" s="7">
        <f>IF($E3965="","",P3965*Y3965/100)</f>
        <v/>
      </c>
      <c r="R3965" s="7" t="n"/>
      <c r="X3965" s="7" t="n"/>
      <c r="Y3965" s="7" t="n"/>
      <c r="AB3965">
        <f>IF($E3965="","",IF($AQ3965=1,0,IF($AP3965=1,Settings!$C$6,Settings!$C$7))*100)</f>
        <v/>
      </c>
      <c r="AC3965" s="7">
        <f>IF($E3965="","",Y3965*AB3965/100)</f>
        <v/>
      </c>
      <c r="AD3965" s="7">
        <f>IF($E3965="","",Y3965-AC3965)</f>
        <v/>
      </c>
      <c r="AE3965" s="7">
        <f>IF($E3965="","",AD3965-Q3965)</f>
        <v/>
      </c>
      <c r="AI3965" s="7" t="n"/>
      <c r="AL3965" s="11" t="n"/>
      <c r="AN3965">
        <f>IF($E3965="","",IF(COUNTIF($E$2:$E3965,$E3965)=1,1,0))</f>
        <v/>
      </c>
      <c r="AO3965">
        <f>IF($AN3965=1,SUMPRODUCT(--($AR$2:$AR$4001&lt;$AR3965))+1,"")</f>
        <v/>
      </c>
      <c r="AP3965">
        <f>IF($E3965="","",IF(OR($U3965=TRUE(),$U3965="TRUE"),1,0))</f>
        <v/>
      </c>
      <c r="AQ3965">
        <f>IF($E3965="","",IF($AA3965="Yes",1,0))</f>
        <v/>
      </c>
      <c r="AR3965">
        <f>IF($AN3965=1,IFERROR(VALUE(MID($E3965,2,20)),1000000000)+ROW()/100000,"")</f>
        <v/>
      </c>
    </row>
    <row r="3966">
      <c r="G3966" s="11" t="n"/>
      <c r="Q3966" s="7">
        <f>IF($E3966="","",P3966*Y3966/100)</f>
        <v/>
      </c>
      <c r="R3966" s="7" t="n"/>
      <c r="X3966" s="7" t="n"/>
      <c r="Y3966" s="7" t="n"/>
      <c r="AB3966">
        <f>IF($E3966="","",IF($AQ3966=1,0,IF($AP3966=1,Settings!$C$6,Settings!$C$7))*100)</f>
        <v/>
      </c>
      <c r="AC3966" s="7">
        <f>IF($E3966="","",Y3966*AB3966/100)</f>
        <v/>
      </c>
      <c r="AD3966" s="7">
        <f>IF($E3966="","",Y3966-AC3966)</f>
        <v/>
      </c>
      <c r="AE3966" s="7">
        <f>IF($E3966="","",AD3966-Q3966)</f>
        <v/>
      </c>
      <c r="AI3966" s="7" t="n"/>
      <c r="AL3966" s="11" t="n"/>
      <c r="AN3966">
        <f>IF($E3966="","",IF(COUNTIF($E$2:$E3966,$E3966)=1,1,0))</f>
        <v/>
      </c>
      <c r="AO3966">
        <f>IF($AN3966=1,SUMPRODUCT(--($AR$2:$AR$4001&lt;$AR3966))+1,"")</f>
        <v/>
      </c>
      <c r="AP3966">
        <f>IF($E3966="","",IF(OR($U3966=TRUE(),$U3966="TRUE"),1,0))</f>
        <v/>
      </c>
      <c r="AQ3966">
        <f>IF($E3966="","",IF($AA3966="Yes",1,0))</f>
        <v/>
      </c>
      <c r="AR3966">
        <f>IF($AN3966=1,IFERROR(VALUE(MID($E3966,2,20)),1000000000)+ROW()/100000,"")</f>
        <v/>
      </c>
    </row>
    <row r="3967">
      <c r="G3967" s="11" t="n"/>
      <c r="Q3967" s="7">
        <f>IF($E3967="","",P3967*Y3967/100)</f>
        <v/>
      </c>
      <c r="R3967" s="7" t="n"/>
      <c r="X3967" s="7" t="n"/>
      <c r="Y3967" s="7" t="n"/>
      <c r="AB3967">
        <f>IF($E3967="","",IF($AQ3967=1,0,IF($AP3967=1,Settings!$C$6,Settings!$C$7))*100)</f>
        <v/>
      </c>
      <c r="AC3967" s="7">
        <f>IF($E3967="","",Y3967*AB3967/100)</f>
        <v/>
      </c>
      <c r="AD3967" s="7">
        <f>IF($E3967="","",Y3967-AC3967)</f>
        <v/>
      </c>
      <c r="AE3967" s="7">
        <f>IF($E3967="","",AD3967-Q3967)</f>
        <v/>
      </c>
      <c r="AI3967" s="7" t="n"/>
      <c r="AL3967" s="11" t="n"/>
      <c r="AN3967">
        <f>IF($E3967="","",IF(COUNTIF($E$2:$E3967,$E3967)=1,1,0))</f>
        <v/>
      </c>
      <c r="AO3967">
        <f>IF($AN3967=1,SUMPRODUCT(--($AR$2:$AR$4001&lt;$AR3967))+1,"")</f>
        <v/>
      </c>
      <c r="AP3967">
        <f>IF($E3967="","",IF(OR($U3967=TRUE(),$U3967="TRUE"),1,0))</f>
        <v/>
      </c>
      <c r="AQ3967">
        <f>IF($E3967="","",IF($AA3967="Yes",1,0))</f>
        <v/>
      </c>
      <c r="AR3967">
        <f>IF($AN3967=1,IFERROR(VALUE(MID($E3967,2,20)),1000000000)+ROW()/100000,"")</f>
        <v/>
      </c>
    </row>
    <row r="3968">
      <c r="G3968" s="11" t="n"/>
      <c r="Q3968" s="7">
        <f>IF($E3968="","",P3968*Y3968/100)</f>
        <v/>
      </c>
      <c r="R3968" s="7" t="n"/>
      <c r="X3968" s="7" t="n"/>
      <c r="Y3968" s="7" t="n"/>
      <c r="AB3968">
        <f>IF($E3968="","",IF($AQ3968=1,0,IF($AP3968=1,Settings!$C$6,Settings!$C$7))*100)</f>
        <v/>
      </c>
      <c r="AC3968" s="7">
        <f>IF($E3968="","",Y3968*AB3968/100)</f>
        <v/>
      </c>
      <c r="AD3968" s="7">
        <f>IF($E3968="","",Y3968-AC3968)</f>
        <v/>
      </c>
      <c r="AE3968" s="7">
        <f>IF($E3968="","",AD3968-Q3968)</f>
        <v/>
      </c>
      <c r="AI3968" s="7" t="n"/>
      <c r="AL3968" s="11" t="n"/>
      <c r="AN3968">
        <f>IF($E3968="","",IF(COUNTIF($E$2:$E3968,$E3968)=1,1,0))</f>
        <v/>
      </c>
      <c r="AO3968">
        <f>IF($AN3968=1,SUMPRODUCT(--($AR$2:$AR$4001&lt;$AR3968))+1,"")</f>
        <v/>
      </c>
      <c r="AP3968">
        <f>IF($E3968="","",IF(OR($U3968=TRUE(),$U3968="TRUE"),1,0))</f>
        <v/>
      </c>
      <c r="AQ3968">
        <f>IF($E3968="","",IF($AA3968="Yes",1,0))</f>
        <v/>
      </c>
      <c r="AR3968">
        <f>IF($AN3968=1,IFERROR(VALUE(MID($E3968,2,20)),1000000000)+ROW()/100000,"")</f>
        <v/>
      </c>
    </row>
    <row r="3969">
      <c r="G3969" s="11" t="n"/>
      <c r="Q3969" s="7">
        <f>IF($E3969="","",P3969*Y3969/100)</f>
        <v/>
      </c>
      <c r="R3969" s="7" t="n"/>
      <c r="X3969" s="7" t="n"/>
      <c r="Y3969" s="7" t="n"/>
      <c r="AB3969">
        <f>IF($E3969="","",IF($AQ3969=1,0,IF($AP3969=1,Settings!$C$6,Settings!$C$7))*100)</f>
        <v/>
      </c>
      <c r="AC3969" s="7">
        <f>IF($E3969="","",Y3969*AB3969/100)</f>
        <v/>
      </c>
      <c r="AD3969" s="7">
        <f>IF($E3969="","",Y3969-AC3969)</f>
        <v/>
      </c>
      <c r="AE3969" s="7">
        <f>IF($E3969="","",AD3969-Q3969)</f>
        <v/>
      </c>
      <c r="AI3969" s="7" t="n"/>
      <c r="AL3969" s="11" t="n"/>
      <c r="AN3969">
        <f>IF($E3969="","",IF(COUNTIF($E$2:$E3969,$E3969)=1,1,0))</f>
        <v/>
      </c>
      <c r="AO3969">
        <f>IF($AN3969=1,SUMPRODUCT(--($AR$2:$AR$4001&lt;$AR3969))+1,"")</f>
        <v/>
      </c>
      <c r="AP3969">
        <f>IF($E3969="","",IF(OR($U3969=TRUE(),$U3969="TRUE"),1,0))</f>
        <v/>
      </c>
      <c r="AQ3969">
        <f>IF($E3969="","",IF($AA3969="Yes",1,0))</f>
        <v/>
      </c>
      <c r="AR3969">
        <f>IF($AN3969=1,IFERROR(VALUE(MID($E3969,2,20)),1000000000)+ROW()/100000,"")</f>
        <v/>
      </c>
    </row>
    <row r="3970">
      <c r="G3970" s="11" t="n"/>
      <c r="Q3970" s="7">
        <f>IF($E3970="","",P3970*Y3970/100)</f>
        <v/>
      </c>
      <c r="R3970" s="7" t="n"/>
      <c r="X3970" s="7" t="n"/>
      <c r="Y3970" s="7" t="n"/>
      <c r="AB3970">
        <f>IF($E3970="","",IF($AQ3970=1,0,IF($AP3970=1,Settings!$C$6,Settings!$C$7))*100)</f>
        <v/>
      </c>
      <c r="AC3970" s="7">
        <f>IF($E3970="","",Y3970*AB3970/100)</f>
        <v/>
      </c>
      <c r="AD3970" s="7">
        <f>IF($E3970="","",Y3970-AC3970)</f>
        <v/>
      </c>
      <c r="AE3970" s="7">
        <f>IF($E3970="","",AD3970-Q3970)</f>
        <v/>
      </c>
      <c r="AI3970" s="7" t="n"/>
      <c r="AL3970" s="11" t="n"/>
      <c r="AN3970">
        <f>IF($E3970="","",IF(COUNTIF($E$2:$E3970,$E3970)=1,1,0))</f>
        <v/>
      </c>
      <c r="AO3970">
        <f>IF($AN3970=1,SUMPRODUCT(--($AR$2:$AR$4001&lt;$AR3970))+1,"")</f>
        <v/>
      </c>
      <c r="AP3970">
        <f>IF($E3970="","",IF(OR($U3970=TRUE(),$U3970="TRUE"),1,0))</f>
        <v/>
      </c>
      <c r="AQ3970">
        <f>IF($E3970="","",IF($AA3970="Yes",1,0))</f>
        <v/>
      </c>
      <c r="AR3970">
        <f>IF($AN3970=1,IFERROR(VALUE(MID($E3970,2,20)),1000000000)+ROW()/100000,"")</f>
        <v/>
      </c>
    </row>
    <row r="3971">
      <c r="G3971" s="11" t="n"/>
      <c r="Q3971" s="7">
        <f>IF($E3971="","",P3971*Y3971/100)</f>
        <v/>
      </c>
      <c r="R3971" s="7" t="n"/>
      <c r="X3971" s="7" t="n"/>
      <c r="Y3971" s="7" t="n"/>
      <c r="AB3971">
        <f>IF($E3971="","",IF($AQ3971=1,0,IF($AP3971=1,Settings!$C$6,Settings!$C$7))*100)</f>
        <v/>
      </c>
      <c r="AC3971" s="7">
        <f>IF($E3971="","",Y3971*AB3971/100)</f>
        <v/>
      </c>
      <c r="AD3971" s="7">
        <f>IF($E3971="","",Y3971-AC3971)</f>
        <v/>
      </c>
      <c r="AE3971" s="7">
        <f>IF($E3971="","",AD3971-Q3971)</f>
        <v/>
      </c>
      <c r="AI3971" s="7" t="n"/>
      <c r="AL3971" s="11" t="n"/>
      <c r="AN3971">
        <f>IF($E3971="","",IF(COUNTIF($E$2:$E3971,$E3971)=1,1,0))</f>
        <v/>
      </c>
      <c r="AO3971">
        <f>IF($AN3971=1,SUMPRODUCT(--($AR$2:$AR$4001&lt;$AR3971))+1,"")</f>
        <v/>
      </c>
      <c r="AP3971">
        <f>IF($E3971="","",IF(OR($U3971=TRUE(),$U3971="TRUE"),1,0))</f>
        <v/>
      </c>
      <c r="AQ3971">
        <f>IF($E3971="","",IF($AA3971="Yes",1,0))</f>
        <v/>
      </c>
      <c r="AR3971">
        <f>IF($AN3971=1,IFERROR(VALUE(MID($E3971,2,20)),1000000000)+ROW()/100000,"")</f>
        <v/>
      </c>
    </row>
    <row r="3972">
      <c r="G3972" s="11" t="n"/>
      <c r="Q3972" s="7">
        <f>IF($E3972="","",P3972*Y3972/100)</f>
        <v/>
      </c>
      <c r="R3972" s="7" t="n"/>
      <c r="X3972" s="7" t="n"/>
      <c r="Y3972" s="7" t="n"/>
      <c r="AB3972">
        <f>IF($E3972="","",IF($AQ3972=1,0,IF($AP3972=1,Settings!$C$6,Settings!$C$7))*100)</f>
        <v/>
      </c>
      <c r="AC3972" s="7">
        <f>IF($E3972="","",Y3972*AB3972/100)</f>
        <v/>
      </c>
      <c r="AD3972" s="7">
        <f>IF($E3972="","",Y3972-AC3972)</f>
        <v/>
      </c>
      <c r="AE3972" s="7">
        <f>IF($E3972="","",AD3972-Q3972)</f>
        <v/>
      </c>
      <c r="AI3972" s="7" t="n"/>
      <c r="AL3972" s="11" t="n"/>
      <c r="AN3972">
        <f>IF($E3972="","",IF(COUNTIF($E$2:$E3972,$E3972)=1,1,0))</f>
        <v/>
      </c>
      <c r="AO3972">
        <f>IF($AN3972=1,SUMPRODUCT(--($AR$2:$AR$4001&lt;$AR3972))+1,"")</f>
        <v/>
      </c>
      <c r="AP3972">
        <f>IF($E3972="","",IF(OR($U3972=TRUE(),$U3972="TRUE"),1,0))</f>
        <v/>
      </c>
      <c r="AQ3972">
        <f>IF($E3972="","",IF($AA3972="Yes",1,0))</f>
        <v/>
      </c>
      <c r="AR3972">
        <f>IF($AN3972=1,IFERROR(VALUE(MID($E3972,2,20)),1000000000)+ROW()/100000,"")</f>
        <v/>
      </c>
    </row>
    <row r="3973">
      <c r="G3973" s="11" t="n"/>
      <c r="Q3973" s="7">
        <f>IF($E3973="","",P3973*Y3973/100)</f>
        <v/>
      </c>
      <c r="R3973" s="7" t="n"/>
      <c r="X3973" s="7" t="n"/>
      <c r="Y3973" s="7" t="n"/>
      <c r="AB3973">
        <f>IF($E3973="","",IF($AQ3973=1,0,IF($AP3973=1,Settings!$C$6,Settings!$C$7))*100)</f>
        <v/>
      </c>
      <c r="AC3973" s="7">
        <f>IF($E3973="","",Y3973*AB3973/100)</f>
        <v/>
      </c>
      <c r="AD3973" s="7">
        <f>IF($E3973="","",Y3973-AC3973)</f>
        <v/>
      </c>
      <c r="AE3973" s="7">
        <f>IF($E3973="","",AD3973-Q3973)</f>
        <v/>
      </c>
      <c r="AI3973" s="7" t="n"/>
      <c r="AL3973" s="11" t="n"/>
      <c r="AN3973">
        <f>IF($E3973="","",IF(COUNTIF($E$2:$E3973,$E3973)=1,1,0))</f>
        <v/>
      </c>
      <c r="AO3973">
        <f>IF($AN3973=1,SUMPRODUCT(--($AR$2:$AR$4001&lt;$AR3973))+1,"")</f>
        <v/>
      </c>
      <c r="AP3973">
        <f>IF($E3973="","",IF(OR($U3973=TRUE(),$U3973="TRUE"),1,0))</f>
        <v/>
      </c>
      <c r="AQ3973">
        <f>IF($E3973="","",IF($AA3973="Yes",1,0))</f>
        <v/>
      </c>
      <c r="AR3973">
        <f>IF($AN3973=1,IFERROR(VALUE(MID($E3973,2,20)),1000000000)+ROW()/100000,"")</f>
        <v/>
      </c>
    </row>
    <row r="3974">
      <c r="G3974" s="11" t="n"/>
      <c r="Q3974" s="7">
        <f>IF($E3974="","",P3974*Y3974/100)</f>
        <v/>
      </c>
      <c r="R3974" s="7" t="n"/>
      <c r="X3974" s="7" t="n"/>
      <c r="Y3974" s="7" t="n"/>
      <c r="AB3974">
        <f>IF($E3974="","",IF($AQ3974=1,0,IF($AP3974=1,Settings!$C$6,Settings!$C$7))*100)</f>
        <v/>
      </c>
      <c r="AC3974" s="7">
        <f>IF($E3974="","",Y3974*AB3974/100)</f>
        <v/>
      </c>
      <c r="AD3974" s="7">
        <f>IF($E3974="","",Y3974-AC3974)</f>
        <v/>
      </c>
      <c r="AE3974" s="7">
        <f>IF($E3974="","",AD3974-Q3974)</f>
        <v/>
      </c>
      <c r="AI3974" s="7" t="n"/>
      <c r="AL3974" s="11" t="n"/>
      <c r="AN3974">
        <f>IF($E3974="","",IF(COUNTIF($E$2:$E3974,$E3974)=1,1,0))</f>
        <v/>
      </c>
      <c r="AO3974">
        <f>IF($AN3974=1,SUMPRODUCT(--($AR$2:$AR$4001&lt;$AR3974))+1,"")</f>
        <v/>
      </c>
      <c r="AP3974">
        <f>IF($E3974="","",IF(OR($U3974=TRUE(),$U3974="TRUE"),1,0))</f>
        <v/>
      </c>
      <c r="AQ3974">
        <f>IF($E3974="","",IF($AA3974="Yes",1,0))</f>
        <v/>
      </c>
      <c r="AR3974">
        <f>IF($AN3974=1,IFERROR(VALUE(MID($E3974,2,20)),1000000000)+ROW()/100000,"")</f>
        <v/>
      </c>
    </row>
    <row r="3975">
      <c r="G3975" s="11" t="n"/>
      <c r="Q3975" s="7">
        <f>IF($E3975="","",P3975*Y3975/100)</f>
        <v/>
      </c>
      <c r="R3975" s="7" t="n"/>
      <c r="X3975" s="7" t="n"/>
      <c r="Y3975" s="7" t="n"/>
      <c r="AB3975">
        <f>IF($E3975="","",IF($AQ3975=1,0,IF($AP3975=1,Settings!$C$6,Settings!$C$7))*100)</f>
        <v/>
      </c>
      <c r="AC3975" s="7">
        <f>IF($E3975="","",Y3975*AB3975/100)</f>
        <v/>
      </c>
      <c r="AD3975" s="7">
        <f>IF($E3975="","",Y3975-AC3975)</f>
        <v/>
      </c>
      <c r="AE3975" s="7">
        <f>IF($E3975="","",AD3975-Q3975)</f>
        <v/>
      </c>
      <c r="AI3975" s="7" t="n"/>
      <c r="AL3975" s="11" t="n"/>
      <c r="AN3975">
        <f>IF($E3975="","",IF(COUNTIF($E$2:$E3975,$E3975)=1,1,0))</f>
        <v/>
      </c>
      <c r="AO3975">
        <f>IF($AN3975=1,SUMPRODUCT(--($AR$2:$AR$4001&lt;$AR3975))+1,"")</f>
        <v/>
      </c>
      <c r="AP3975">
        <f>IF($E3975="","",IF(OR($U3975=TRUE(),$U3975="TRUE"),1,0))</f>
        <v/>
      </c>
      <c r="AQ3975">
        <f>IF($E3975="","",IF($AA3975="Yes",1,0))</f>
        <v/>
      </c>
      <c r="AR3975">
        <f>IF($AN3975=1,IFERROR(VALUE(MID($E3975,2,20)),1000000000)+ROW()/100000,"")</f>
        <v/>
      </c>
    </row>
    <row r="3976">
      <c r="G3976" s="11" t="n"/>
      <c r="Q3976" s="7">
        <f>IF($E3976="","",P3976*Y3976/100)</f>
        <v/>
      </c>
      <c r="R3976" s="7" t="n"/>
      <c r="X3976" s="7" t="n"/>
      <c r="Y3976" s="7" t="n"/>
      <c r="AB3976">
        <f>IF($E3976="","",IF($AQ3976=1,0,IF($AP3976=1,Settings!$C$6,Settings!$C$7))*100)</f>
        <v/>
      </c>
      <c r="AC3976" s="7">
        <f>IF($E3976="","",Y3976*AB3976/100)</f>
        <v/>
      </c>
      <c r="AD3976" s="7">
        <f>IF($E3976="","",Y3976-AC3976)</f>
        <v/>
      </c>
      <c r="AE3976" s="7">
        <f>IF($E3976="","",AD3976-Q3976)</f>
        <v/>
      </c>
      <c r="AI3976" s="7" t="n"/>
      <c r="AL3976" s="11" t="n"/>
      <c r="AN3976">
        <f>IF($E3976="","",IF(COUNTIF($E$2:$E3976,$E3976)=1,1,0))</f>
        <v/>
      </c>
      <c r="AO3976">
        <f>IF($AN3976=1,SUMPRODUCT(--($AR$2:$AR$4001&lt;$AR3976))+1,"")</f>
        <v/>
      </c>
      <c r="AP3976">
        <f>IF($E3976="","",IF(OR($U3976=TRUE(),$U3976="TRUE"),1,0))</f>
        <v/>
      </c>
      <c r="AQ3976">
        <f>IF($E3976="","",IF($AA3976="Yes",1,0))</f>
        <v/>
      </c>
      <c r="AR3976">
        <f>IF($AN3976=1,IFERROR(VALUE(MID($E3976,2,20)),1000000000)+ROW()/100000,"")</f>
        <v/>
      </c>
    </row>
    <row r="3977">
      <c r="G3977" s="11" t="n"/>
      <c r="Q3977" s="7">
        <f>IF($E3977="","",P3977*Y3977/100)</f>
        <v/>
      </c>
      <c r="R3977" s="7" t="n"/>
      <c r="X3977" s="7" t="n"/>
      <c r="Y3977" s="7" t="n"/>
      <c r="AB3977">
        <f>IF($E3977="","",IF($AQ3977=1,0,IF($AP3977=1,Settings!$C$6,Settings!$C$7))*100)</f>
        <v/>
      </c>
      <c r="AC3977" s="7">
        <f>IF($E3977="","",Y3977*AB3977/100)</f>
        <v/>
      </c>
      <c r="AD3977" s="7">
        <f>IF($E3977="","",Y3977-AC3977)</f>
        <v/>
      </c>
      <c r="AE3977" s="7">
        <f>IF($E3977="","",AD3977-Q3977)</f>
        <v/>
      </c>
      <c r="AI3977" s="7" t="n"/>
      <c r="AL3977" s="11" t="n"/>
      <c r="AN3977">
        <f>IF($E3977="","",IF(COUNTIF($E$2:$E3977,$E3977)=1,1,0))</f>
        <v/>
      </c>
      <c r="AO3977">
        <f>IF($AN3977=1,SUMPRODUCT(--($AR$2:$AR$4001&lt;$AR3977))+1,"")</f>
        <v/>
      </c>
      <c r="AP3977">
        <f>IF($E3977="","",IF(OR($U3977=TRUE(),$U3977="TRUE"),1,0))</f>
        <v/>
      </c>
      <c r="AQ3977">
        <f>IF($E3977="","",IF($AA3977="Yes",1,0))</f>
        <v/>
      </c>
      <c r="AR3977">
        <f>IF($AN3977=1,IFERROR(VALUE(MID($E3977,2,20)),1000000000)+ROW()/100000,"")</f>
        <v/>
      </c>
    </row>
    <row r="3978">
      <c r="G3978" s="11" t="n"/>
      <c r="Q3978" s="7">
        <f>IF($E3978="","",P3978*Y3978/100)</f>
        <v/>
      </c>
      <c r="R3978" s="7" t="n"/>
      <c r="X3978" s="7" t="n"/>
      <c r="Y3978" s="7" t="n"/>
      <c r="AB3978">
        <f>IF($E3978="","",IF($AQ3978=1,0,IF($AP3978=1,Settings!$C$6,Settings!$C$7))*100)</f>
        <v/>
      </c>
      <c r="AC3978" s="7">
        <f>IF($E3978="","",Y3978*AB3978/100)</f>
        <v/>
      </c>
      <c r="AD3978" s="7">
        <f>IF($E3978="","",Y3978-AC3978)</f>
        <v/>
      </c>
      <c r="AE3978" s="7">
        <f>IF($E3978="","",AD3978-Q3978)</f>
        <v/>
      </c>
      <c r="AI3978" s="7" t="n"/>
      <c r="AL3978" s="11" t="n"/>
      <c r="AN3978">
        <f>IF($E3978="","",IF(COUNTIF($E$2:$E3978,$E3978)=1,1,0))</f>
        <v/>
      </c>
      <c r="AO3978">
        <f>IF($AN3978=1,SUMPRODUCT(--($AR$2:$AR$4001&lt;$AR3978))+1,"")</f>
        <v/>
      </c>
      <c r="AP3978">
        <f>IF($E3978="","",IF(OR($U3978=TRUE(),$U3978="TRUE"),1,0))</f>
        <v/>
      </c>
      <c r="AQ3978">
        <f>IF($E3978="","",IF($AA3978="Yes",1,0))</f>
        <v/>
      </c>
      <c r="AR3978">
        <f>IF($AN3978=1,IFERROR(VALUE(MID($E3978,2,20)),1000000000)+ROW()/100000,"")</f>
        <v/>
      </c>
    </row>
    <row r="3979">
      <c r="G3979" s="11" t="n"/>
      <c r="Q3979" s="7">
        <f>IF($E3979="","",P3979*Y3979/100)</f>
        <v/>
      </c>
      <c r="R3979" s="7" t="n"/>
      <c r="X3979" s="7" t="n"/>
      <c r="Y3979" s="7" t="n"/>
      <c r="AB3979">
        <f>IF($E3979="","",IF($AQ3979=1,0,IF($AP3979=1,Settings!$C$6,Settings!$C$7))*100)</f>
        <v/>
      </c>
      <c r="AC3979" s="7">
        <f>IF($E3979="","",Y3979*AB3979/100)</f>
        <v/>
      </c>
      <c r="AD3979" s="7">
        <f>IF($E3979="","",Y3979-AC3979)</f>
        <v/>
      </c>
      <c r="AE3979" s="7">
        <f>IF($E3979="","",AD3979-Q3979)</f>
        <v/>
      </c>
      <c r="AI3979" s="7" t="n"/>
      <c r="AL3979" s="11" t="n"/>
      <c r="AN3979">
        <f>IF($E3979="","",IF(COUNTIF($E$2:$E3979,$E3979)=1,1,0))</f>
        <v/>
      </c>
      <c r="AO3979">
        <f>IF($AN3979=1,SUMPRODUCT(--($AR$2:$AR$4001&lt;$AR3979))+1,"")</f>
        <v/>
      </c>
      <c r="AP3979">
        <f>IF($E3979="","",IF(OR($U3979=TRUE(),$U3979="TRUE"),1,0))</f>
        <v/>
      </c>
      <c r="AQ3979">
        <f>IF($E3979="","",IF($AA3979="Yes",1,0))</f>
        <v/>
      </c>
      <c r="AR3979">
        <f>IF($AN3979=1,IFERROR(VALUE(MID($E3979,2,20)),1000000000)+ROW()/100000,"")</f>
        <v/>
      </c>
    </row>
    <row r="3980">
      <c r="G3980" s="11" t="n"/>
      <c r="Q3980" s="7">
        <f>IF($E3980="","",P3980*Y3980/100)</f>
        <v/>
      </c>
      <c r="R3980" s="7" t="n"/>
      <c r="X3980" s="7" t="n"/>
      <c r="Y3980" s="7" t="n"/>
      <c r="AB3980">
        <f>IF($E3980="","",IF($AQ3980=1,0,IF($AP3980=1,Settings!$C$6,Settings!$C$7))*100)</f>
        <v/>
      </c>
      <c r="AC3980" s="7">
        <f>IF($E3980="","",Y3980*AB3980/100)</f>
        <v/>
      </c>
      <c r="AD3980" s="7">
        <f>IF($E3980="","",Y3980-AC3980)</f>
        <v/>
      </c>
      <c r="AE3980" s="7">
        <f>IF($E3980="","",AD3980-Q3980)</f>
        <v/>
      </c>
      <c r="AI3980" s="7" t="n"/>
      <c r="AL3980" s="11" t="n"/>
      <c r="AN3980">
        <f>IF($E3980="","",IF(COUNTIF($E$2:$E3980,$E3980)=1,1,0))</f>
        <v/>
      </c>
      <c r="AO3980">
        <f>IF($AN3980=1,SUMPRODUCT(--($AR$2:$AR$4001&lt;$AR3980))+1,"")</f>
        <v/>
      </c>
      <c r="AP3980">
        <f>IF($E3980="","",IF(OR($U3980=TRUE(),$U3980="TRUE"),1,0))</f>
        <v/>
      </c>
      <c r="AQ3980">
        <f>IF($E3980="","",IF($AA3980="Yes",1,0))</f>
        <v/>
      </c>
      <c r="AR3980">
        <f>IF($AN3980=1,IFERROR(VALUE(MID($E3980,2,20)),1000000000)+ROW()/100000,"")</f>
        <v/>
      </c>
    </row>
    <row r="3981">
      <c r="G3981" s="11" t="n"/>
      <c r="Q3981" s="7">
        <f>IF($E3981="","",P3981*Y3981/100)</f>
        <v/>
      </c>
      <c r="R3981" s="7" t="n"/>
      <c r="X3981" s="7" t="n"/>
      <c r="Y3981" s="7" t="n"/>
      <c r="AB3981">
        <f>IF($E3981="","",IF($AQ3981=1,0,IF($AP3981=1,Settings!$C$6,Settings!$C$7))*100)</f>
        <v/>
      </c>
      <c r="AC3981" s="7">
        <f>IF($E3981="","",Y3981*AB3981/100)</f>
        <v/>
      </c>
      <c r="AD3981" s="7">
        <f>IF($E3981="","",Y3981-AC3981)</f>
        <v/>
      </c>
      <c r="AE3981" s="7">
        <f>IF($E3981="","",AD3981-Q3981)</f>
        <v/>
      </c>
      <c r="AI3981" s="7" t="n"/>
      <c r="AL3981" s="11" t="n"/>
      <c r="AN3981">
        <f>IF($E3981="","",IF(COUNTIF($E$2:$E3981,$E3981)=1,1,0))</f>
        <v/>
      </c>
      <c r="AO3981">
        <f>IF($AN3981=1,SUMPRODUCT(--($AR$2:$AR$4001&lt;$AR3981))+1,"")</f>
        <v/>
      </c>
      <c r="AP3981">
        <f>IF($E3981="","",IF(OR($U3981=TRUE(),$U3981="TRUE"),1,0))</f>
        <v/>
      </c>
      <c r="AQ3981">
        <f>IF($E3981="","",IF($AA3981="Yes",1,0))</f>
        <v/>
      </c>
      <c r="AR3981">
        <f>IF($AN3981=1,IFERROR(VALUE(MID($E3981,2,20)),1000000000)+ROW()/100000,"")</f>
        <v/>
      </c>
    </row>
    <row r="3982">
      <c r="G3982" s="11" t="n"/>
      <c r="Q3982" s="7">
        <f>IF($E3982="","",P3982*Y3982/100)</f>
        <v/>
      </c>
      <c r="R3982" s="7" t="n"/>
      <c r="X3982" s="7" t="n"/>
      <c r="Y3982" s="7" t="n"/>
      <c r="AB3982">
        <f>IF($E3982="","",IF($AQ3982=1,0,IF($AP3982=1,Settings!$C$6,Settings!$C$7))*100)</f>
        <v/>
      </c>
      <c r="AC3982" s="7">
        <f>IF($E3982="","",Y3982*AB3982/100)</f>
        <v/>
      </c>
      <c r="AD3982" s="7">
        <f>IF($E3982="","",Y3982-AC3982)</f>
        <v/>
      </c>
      <c r="AE3982" s="7">
        <f>IF($E3982="","",AD3982-Q3982)</f>
        <v/>
      </c>
      <c r="AI3982" s="7" t="n"/>
      <c r="AL3982" s="11" t="n"/>
      <c r="AN3982">
        <f>IF($E3982="","",IF(COUNTIF($E$2:$E3982,$E3982)=1,1,0))</f>
        <v/>
      </c>
      <c r="AO3982">
        <f>IF($AN3982=1,SUMPRODUCT(--($AR$2:$AR$4001&lt;$AR3982))+1,"")</f>
        <v/>
      </c>
      <c r="AP3982">
        <f>IF($E3982="","",IF(OR($U3982=TRUE(),$U3982="TRUE"),1,0))</f>
        <v/>
      </c>
      <c r="AQ3982">
        <f>IF($E3982="","",IF($AA3982="Yes",1,0))</f>
        <v/>
      </c>
      <c r="AR3982">
        <f>IF($AN3982=1,IFERROR(VALUE(MID($E3982,2,20)),1000000000)+ROW()/100000,"")</f>
        <v/>
      </c>
    </row>
    <row r="3983">
      <c r="G3983" s="11" t="n"/>
      <c r="Q3983" s="7">
        <f>IF($E3983="","",P3983*Y3983/100)</f>
        <v/>
      </c>
      <c r="R3983" s="7" t="n"/>
      <c r="X3983" s="7" t="n"/>
      <c r="Y3983" s="7" t="n"/>
      <c r="AB3983">
        <f>IF($E3983="","",IF($AQ3983=1,0,IF($AP3983=1,Settings!$C$6,Settings!$C$7))*100)</f>
        <v/>
      </c>
      <c r="AC3983" s="7">
        <f>IF($E3983="","",Y3983*AB3983/100)</f>
        <v/>
      </c>
      <c r="AD3983" s="7">
        <f>IF($E3983="","",Y3983-AC3983)</f>
        <v/>
      </c>
      <c r="AE3983" s="7">
        <f>IF($E3983="","",AD3983-Q3983)</f>
        <v/>
      </c>
      <c r="AI3983" s="7" t="n"/>
      <c r="AL3983" s="11" t="n"/>
      <c r="AN3983">
        <f>IF($E3983="","",IF(COUNTIF($E$2:$E3983,$E3983)=1,1,0))</f>
        <v/>
      </c>
      <c r="AO3983">
        <f>IF($AN3983=1,SUMPRODUCT(--($AR$2:$AR$4001&lt;$AR3983))+1,"")</f>
        <v/>
      </c>
      <c r="AP3983">
        <f>IF($E3983="","",IF(OR($U3983=TRUE(),$U3983="TRUE"),1,0))</f>
        <v/>
      </c>
      <c r="AQ3983">
        <f>IF($E3983="","",IF($AA3983="Yes",1,0))</f>
        <v/>
      </c>
      <c r="AR3983">
        <f>IF($AN3983=1,IFERROR(VALUE(MID($E3983,2,20)),1000000000)+ROW()/100000,"")</f>
        <v/>
      </c>
    </row>
    <row r="3984">
      <c r="G3984" s="11" t="n"/>
      <c r="Q3984" s="7">
        <f>IF($E3984="","",P3984*Y3984/100)</f>
        <v/>
      </c>
      <c r="R3984" s="7" t="n"/>
      <c r="X3984" s="7" t="n"/>
      <c r="Y3984" s="7" t="n"/>
      <c r="AB3984">
        <f>IF($E3984="","",IF($AQ3984=1,0,IF($AP3984=1,Settings!$C$6,Settings!$C$7))*100)</f>
        <v/>
      </c>
      <c r="AC3984" s="7">
        <f>IF($E3984="","",Y3984*AB3984/100)</f>
        <v/>
      </c>
      <c r="AD3984" s="7">
        <f>IF($E3984="","",Y3984-AC3984)</f>
        <v/>
      </c>
      <c r="AE3984" s="7">
        <f>IF($E3984="","",AD3984-Q3984)</f>
        <v/>
      </c>
      <c r="AI3984" s="7" t="n"/>
      <c r="AL3984" s="11" t="n"/>
      <c r="AN3984">
        <f>IF($E3984="","",IF(COUNTIF($E$2:$E3984,$E3984)=1,1,0))</f>
        <v/>
      </c>
      <c r="AO3984">
        <f>IF($AN3984=1,SUMPRODUCT(--($AR$2:$AR$4001&lt;$AR3984))+1,"")</f>
        <v/>
      </c>
      <c r="AP3984">
        <f>IF($E3984="","",IF(OR($U3984=TRUE(),$U3984="TRUE"),1,0))</f>
        <v/>
      </c>
      <c r="AQ3984">
        <f>IF($E3984="","",IF($AA3984="Yes",1,0))</f>
        <v/>
      </c>
      <c r="AR3984">
        <f>IF($AN3984=1,IFERROR(VALUE(MID($E3984,2,20)),1000000000)+ROW()/100000,"")</f>
        <v/>
      </c>
    </row>
    <row r="3985">
      <c r="G3985" s="11" t="n"/>
      <c r="Q3985" s="7">
        <f>IF($E3985="","",P3985*Y3985/100)</f>
        <v/>
      </c>
      <c r="R3985" s="7" t="n"/>
      <c r="X3985" s="7" t="n"/>
      <c r="Y3985" s="7" t="n"/>
      <c r="AB3985">
        <f>IF($E3985="","",IF($AQ3985=1,0,IF($AP3985=1,Settings!$C$6,Settings!$C$7))*100)</f>
        <v/>
      </c>
      <c r="AC3985" s="7">
        <f>IF($E3985="","",Y3985*AB3985/100)</f>
        <v/>
      </c>
      <c r="AD3985" s="7">
        <f>IF($E3985="","",Y3985-AC3985)</f>
        <v/>
      </c>
      <c r="AE3985" s="7">
        <f>IF($E3985="","",AD3985-Q3985)</f>
        <v/>
      </c>
      <c r="AI3985" s="7" t="n"/>
      <c r="AL3985" s="11" t="n"/>
      <c r="AN3985">
        <f>IF($E3985="","",IF(COUNTIF($E$2:$E3985,$E3985)=1,1,0))</f>
        <v/>
      </c>
      <c r="AO3985">
        <f>IF($AN3985=1,SUMPRODUCT(--($AR$2:$AR$4001&lt;$AR3985))+1,"")</f>
        <v/>
      </c>
      <c r="AP3985">
        <f>IF($E3985="","",IF(OR($U3985=TRUE(),$U3985="TRUE"),1,0))</f>
        <v/>
      </c>
      <c r="AQ3985">
        <f>IF($E3985="","",IF($AA3985="Yes",1,0))</f>
        <v/>
      </c>
      <c r="AR3985">
        <f>IF($AN3985=1,IFERROR(VALUE(MID($E3985,2,20)),1000000000)+ROW()/100000,"")</f>
        <v/>
      </c>
    </row>
    <row r="3986">
      <c r="G3986" s="11" t="n"/>
      <c r="Q3986" s="7">
        <f>IF($E3986="","",P3986*Y3986/100)</f>
        <v/>
      </c>
      <c r="R3986" s="7" t="n"/>
      <c r="X3986" s="7" t="n"/>
      <c r="Y3986" s="7" t="n"/>
      <c r="AB3986">
        <f>IF($E3986="","",IF($AQ3986=1,0,IF($AP3986=1,Settings!$C$6,Settings!$C$7))*100)</f>
        <v/>
      </c>
      <c r="AC3986" s="7">
        <f>IF($E3986="","",Y3986*AB3986/100)</f>
        <v/>
      </c>
      <c r="AD3986" s="7">
        <f>IF($E3986="","",Y3986-AC3986)</f>
        <v/>
      </c>
      <c r="AE3986" s="7">
        <f>IF($E3986="","",AD3986-Q3986)</f>
        <v/>
      </c>
      <c r="AI3986" s="7" t="n"/>
      <c r="AL3986" s="11" t="n"/>
      <c r="AN3986">
        <f>IF($E3986="","",IF(COUNTIF($E$2:$E3986,$E3986)=1,1,0))</f>
        <v/>
      </c>
      <c r="AO3986">
        <f>IF($AN3986=1,SUMPRODUCT(--($AR$2:$AR$4001&lt;$AR3986))+1,"")</f>
        <v/>
      </c>
      <c r="AP3986">
        <f>IF($E3986="","",IF(OR($U3986=TRUE(),$U3986="TRUE"),1,0))</f>
        <v/>
      </c>
      <c r="AQ3986">
        <f>IF($E3986="","",IF($AA3986="Yes",1,0))</f>
        <v/>
      </c>
      <c r="AR3986">
        <f>IF($AN3986=1,IFERROR(VALUE(MID($E3986,2,20)),1000000000)+ROW()/100000,"")</f>
        <v/>
      </c>
    </row>
    <row r="3987">
      <c r="G3987" s="11" t="n"/>
      <c r="Q3987" s="7">
        <f>IF($E3987="","",P3987*Y3987/100)</f>
        <v/>
      </c>
      <c r="R3987" s="7" t="n"/>
      <c r="X3987" s="7" t="n"/>
      <c r="Y3987" s="7" t="n"/>
      <c r="AB3987">
        <f>IF($E3987="","",IF($AQ3987=1,0,IF($AP3987=1,Settings!$C$6,Settings!$C$7))*100)</f>
        <v/>
      </c>
      <c r="AC3987" s="7">
        <f>IF($E3987="","",Y3987*AB3987/100)</f>
        <v/>
      </c>
      <c r="AD3987" s="7">
        <f>IF($E3987="","",Y3987-AC3987)</f>
        <v/>
      </c>
      <c r="AE3987" s="7">
        <f>IF($E3987="","",AD3987-Q3987)</f>
        <v/>
      </c>
      <c r="AI3987" s="7" t="n"/>
      <c r="AL3987" s="11" t="n"/>
      <c r="AN3987">
        <f>IF($E3987="","",IF(COUNTIF($E$2:$E3987,$E3987)=1,1,0))</f>
        <v/>
      </c>
      <c r="AO3987">
        <f>IF($AN3987=1,SUMPRODUCT(--($AR$2:$AR$4001&lt;$AR3987))+1,"")</f>
        <v/>
      </c>
      <c r="AP3987">
        <f>IF($E3987="","",IF(OR($U3987=TRUE(),$U3987="TRUE"),1,0))</f>
        <v/>
      </c>
      <c r="AQ3987">
        <f>IF($E3987="","",IF($AA3987="Yes",1,0))</f>
        <v/>
      </c>
      <c r="AR3987">
        <f>IF($AN3987=1,IFERROR(VALUE(MID($E3987,2,20)),1000000000)+ROW()/100000,"")</f>
        <v/>
      </c>
    </row>
    <row r="3988">
      <c r="G3988" s="11" t="n"/>
      <c r="Q3988" s="7">
        <f>IF($E3988="","",P3988*Y3988/100)</f>
        <v/>
      </c>
      <c r="R3988" s="7" t="n"/>
      <c r="X3988" s="7" t="n"/>
      <c r="Y3988" s="7" t="n"/>
      <c r="AB3988">
        <f>IF($E3988="","",IF($AQ3988=1,0,IF($AP3988=1,Settings!$C$6,Settings!$C$7))*100)</f>
        <v/>
      </c>
      <c r="AC3988" s="7">
        <f>IF($E3988="","",Y3988*AB3988/100)</f>
        <v/>
      </c>
      <c r="AD3988" s="7">
        <f>IF($E3988="","",Y3988-AC3988)</f>
        <v/>
      </c>
      <c r="AE3988" s="7">
        <f>IF($E3988="","",AD3988-Q3988)</f>
        <v/>
      </c>
      <c r="AI3988" s="7" t="n"/>
      <c r="AL3988" s="11" t="n"/>
      <c r="AN3988">
        <f>IF($E3988="","",IF(COUNTIF($E$2:$E3988,$E3988)=1,1,0))</f>
        <v/>
      </c>
      <c r="AO3988">
        <f>IF($AN3988=1,SUMPRODUCT(--($AR$2:$AR$4001&lt;$AR3988))+1,"")</f>
        <v/>
      </c>
      <c r="AP3988">
        <f>IF($E3988="","",IF(OR($U3988=TRUE(),$U3988="TRUE"),1,0))</f>
        <v/>
      </c>
      <c r="AQ3988">
        <f>IF($E3988="","",IF($AA3988="Yes",1,0))</f>
        <v/>
      </c>
      <c r="AR3988">
        <f>IF($AN3988=1,IFERROR(VALUE(MID($E3988,2,20)),1000000000)+ROW()/100000,"")</f>
        <v/>
      </c>
    </row>
    <row r="3989">
      <c r="G3989" s="11" t="n"/>
      <c r="Q3989" s="7">
        <f>IF($E3989="","",P3989*Y3989/100)</f>
        <v/>
      </c>
      <c r="R3989" s="7" t="n"/>
      <c r="X3989" s="7" t="n"/>
      <c r="Y3989" s="7" t="n"/>
      <c r="AB3989">
        <f>IF($E3989="","",IF($AQ3989=1,0,IF($AP3989=1,Settings!$C$6,Settings!$C$7))*100)</f>
        <v/>
      </c>
      <c r="AC3989" s="7">
        <f>IF($E3989="","",Y3989*AB3989/100)</f>
        <v/>
      </c>
      <c r="AD3989" s="7">
        <f>IF($E3989="","",Y3989-AC3989)</f>
        <v/>
      </c>
      <c r="AE3989" s="7">
        <f>IF($E3989="","",AD3989-Q3989)</f>
        <v/>
      </c>
      <c r="AI3989" s="7" t="n"/>
      <c r="AL3989" s="11" t="n"/>
      <c r="AN3989">
        <f>IF($E3989="","",IF(COUNTIF($E$2:$E3989,$E3989)=1,1,0))</f>
        <v/>
      </c>
      <c r="AO3989">
        <f>IF($AN3989=1,SUMPRODUCT(--($AR$2:$AR$4001&lt;$AR3989))+1,"")</f>
        <v/>
      </c>
      <c r="AP3989">
        <f>IF($E3989="","",IF(OR($U3989=TRUE(),$U3989="TRUE"),1,0))</f>
        <v/>
      </c>
      <c r="AQ3989">
        <f>IF($E3989="","",IF($AA3989="Yes",1,0))</f>
        <v/>
      </c>
      <c r="AR3989">
        <f>IF($AN3989=1,IFERROR(VALUE(MID($E3989,2,20)),1000000000)+ROW()/100000,"")</f>
        <v/>
      </c>
    </row>
    <row r="3990">
      <c r="G3990" s="11" t="n"/>
      <c r="Q3990" s="7">
        <f>IF($E3990="","",P3990*Y3990/100)</f>
        <v/>
      </c>
      <c r="R3990" s="7" t="n"/>
      <c r="X3990" s="7" t="n"/>
      <c r="Y3990" s="7" t="n"/>
      <c r="AB3990">
        <f>IF($E3990="","",IF($AQ3990=1,0,IF($AP3990=1,Settings!$C$6,Settings!$C$7))*100)</f>
        <v/>
      </c>
      <c r="AC3990" s="7">
        <f>IF($E3990="","",Y3990*AB3990/100)</f>
        <v/>
      </c>
      <c r="AD3990" s="7">
        <f>IF($E3990="","",Y3990-AC3990)</f>
        <v/>
      </c>
      <c r="AE3990" s="7">
        <f>IF($E3990="","",AD3990-Q3990)</f>
        <v/>
      </c>
      <c r="AI3990" s="7" t="n"/>
      <c r="AL3990" s="11" t="n"/>
      <c r="AN3990">
        <f>IF($E3990="","",IF(COUNTIF($E$2:$E3990,$E3990)=1,1,0))</f>
        <v/>
      </c>
      <c r="AO3990">
        <f>IF($AN3990=1,SUMPRODUCT(--($AR$2:$AR$4001&lt;$AR3990))+1,"")</f>
        <v/>
      </c>
      <c r="AP3990">
        <f>IF($E3990="","",IF(OR($U3990=TRUE(),$U3990="TRUE"),1,0))</f>
        <v/>
      </c>
      <c r="AQ3990">
        <f>IF($E3990="","",IF($AA3990="Yes",1,0))</f>
        <v/>
      </c>
      <c r="AR3990">
        <f>IF($AN3990=1,IFERROR(VALUE(MID($E3990,2,20)),1000000000)+ROW()/100000,"")</f>
        <v/>
      </c>
    </row>
    <row r="3991">
      <c r="G3991" s="11" t="n"/>
      <c r="Q3991" s="7">
        <f>IF($E3991="","",P3991*Y3991/100)</f>
        <v/>
      </c>
      <c r="R3991" s="7" t="n"/>
      <c r="X3991" s="7" t="n"/>
      <c r="Y3991" s="7" t="n"/>
      <c r="AB3991">
        <f>IF($E3991="","",IF($AQ3991=1,0,IF($AP3991=1,Settings!$C$6,Settings!$C$7))*100)</f>
        <v/>
      </c>
      <c r="AC3991" s="7">
        <f>IF($E3991="","",Y3991*AB3991/100)</f>
        <v/>
      </c>
      <c r="AD3991" s="7">
        <f>IF($E3991="","",Y3991-AC3991)</f>
        <v/>
      </c>
      <c r="AE3991" s="7">
        <f>IF($E3991="","",AD3991-Q3991)</f>
        <v/>
      </c>
      <c r="AI3991" s="7" t="n"/>
      <c r="AL3991" s="11" t="n"/>
      <c r="AN3991">
        <f>IF($E3991="","",IF(COUNTIF($E$2:$E3991,$E3991)=1,1,0))</f>
        <v/>
      </c>
      <c r="AO3991">
        <f>IF($AN3991=1,SUMPRODUCT(--($AR$2:$AR$4001&lt;$AR3991))+1,"")</f>
        <v/>
      </c>
      <c r="AP3991">
        <f>IF($E3991="","",IF(OR($U3991=TRUE(),$U3991="TRUE"),1,0))</f>
        <v/>
      </c>
      <c r="AQ3991">
        <f>IF($E3991="","",IF($AA3991="Yes",1,0))</f>
        <v/>
      </c>
      <c r="AR3991">
        <f>IF($AN3991=1,IFERROR(VALUE(MID($E3991,2,20)),1000000000)+ROW()/100000,"")</f>
        <v/>
      </c>
    </row>
    <row r="3992">
      <c r="G3992" s="11" t="n"/>
      <c r="Q3992" s="7">
        <f>IF($E3992="","",P3992*Y3992/100)</f>
        <v/>
      </c>
      <c r="R3992" s="7" t="n"/>
      <c r="X3992" s="7" t="n"/>
      <c r="Y3992" s="7" t="n"/>
      <c r="AB3992">
        <f>IF($E3992="","",IF($AQ3992=1,0,IF($AP3992=1,Settings!$C$6,Settings!$C$7))*100)</f>
        <v/>
      </c>
      <c r="AC3992" s="7">
        <f>IF($E3992="","",Y3992*AB3992/100)</f>
        <v/>
      </c>
      <c r="AD3992" s="7">
        <f>IF($E3992="","",Y3992-AC3992)</f>
        <v/>
      </c>
      <c r="AE3992" s="7">
        <f>IF($E3992="","",AD3992-Q3992)</f>
        <v/>
      </c>
      <c r="AI3992" s="7" t="n"/>
      <c r="AL3992" s="11" t="n"/>
      <c r="AN3992">
        <f>IF($E3992="","",IF(COUNTIF($E$2:$E3992,$E3992)=1,1,0))</f>
        <v/>
      </c>
      <c r="AO3992">
        <f>IF($AN3992=1,SUMPRODUCT(--($AR$2:$AR$4001&lt;$AR3992))+1,"")</f>
        <v/>
      </c>
      <c r="AP3992">
        <f>IF($E3992="","",IF(OR($U3992=TRUE(),$U3992="TRUE"),1,0))</f>
        <v/>
      </c>
      <c r="AQ3992">
        <f>IF($E3992="","",IF($AA3992="Yes",1,0))</f>
        <v/>
      </c>
      <c r="AR3992">
        <f>IF($AN3992=1,IFERROR(VALUE(MID($E3992,2,20)),1000000000)+ROW()/100000,"")</f>
        <v/>
      </c>
    </row>
    <row r="3993">
      <c r="G3993" s="11" t="n"/>
      <c r="Q3993" s="7">
        <f>IF($E3993="","",P3993*Y3993/100)</f>
        <v/>
      </c>
      <c r="R3993" s="7" t="n"/>
      <c r="X3993" s="7" t="n"/>
      <c r="Y3993" s="7" t="n"/>
      <c r="AB3993">
        <f>IF($E3993="","",IF($AQ3993=1,0,IF($AP3993=1,Settings!$C$6,Settings!$C$7))*100)</f>
        <v/>
      </c>
      <c r="AC3993" s="7">
        <f>IF($E3993="","",Y3993*AB3993/100)</f>
        <v/>
      </c>
      <c r="AD3993" s="7">
        <f>IF($E3993="","",Y3993-AC3993)</f>
        <v/>
      </c>
      <c r="AE3993" s="7">
        <f>IF($E3993="","",AD3993-Q3993)</f>
        <v/>
      </c>
      <c r="AI3993" s="7" t="n"/>
      <c r="AL3993" s="11" t="n"/>
      <c r="AN3993">
        <f>IF($E3993="","",IF(COUNTIF($E$2:$E3993,$E3993)=1,1,0))</f>
        <v/>
      </c>
      <c r="AO3993">
        <f>IF($AN3993=1,SUMPRODUCT(--($AR$2:$AR$4001&lt;$AR3993))+1,"")</f>
        <v/>
      </c>
      <c r="AP3993">
        <f>IF($E3993="","",IF(OR($U3993=TRUE(),$U3993="TRUE"),1,0))</f>
        <v/>
      </c>
      <c r="AQ3993">
        <f>IF($E3993="","",IF($AA3993="Yes",1,0))</f>
        <v/>
      </c>
      <c r="AR3993">
        <f>IF($AN3993=1,IFERROR(VALUE(MID($E3993,2,20)),1000000000)+ROW()/100000,"")</f>
        <v/>
      </c>
    </row>
    <row r="3994">
      <c r="G3994" s="11" t="n"/>
      <c r="Q3994" s="7">
        <f>IF($E3994="","",P3994*Y3994/100)</f>
        <v/>
      </c>
      <c r="R3994" s="7" t="n"/>
      <c r="X3994" s="7" t="n"/>
      <c r="Y3994" s="7" t="n"/>
      <c r="AB3994">
        <f>IF($E3994="","",IF($AQ3994=1,0,IF($AP3994=1,Settings!$C$6,Settings!$C$7))*100)</f>
        <v/>
      </c>
      <c r="AC3994" s="7">
        <f>IF($E3994="","",Y3994*AB3994/100)</f>
        <v/>
      </c>
      <c r="AD3994" s="7">
        <f>IF($E3994="","",Y3994-AC3994)</f>
        <v/>
      </c>
      <c r="AE3994" s="7">
        <f>IF($E3994="","",AD3994-Q3994)</f>
        <v/>
      </c>
      <c r="AI3994" s="7" t="n"/>
      <c r="AL3994" s="11" t="n"/>
      <c r="AN3994">
        <f>IF($E3994="","",IF(COUNTIF($E$2:$E3994,$E3994)=1,1,0))</f>
        <v/>
      </c>
      <c r="AO3994">
        <f>IF($AN3994=1,SUMPRODUCT(--($AR$2:$AR$4001&lt;$AR3994))+1,"")</f>
        <v/>
      </c>
      <c r="AP3994">
        <f>IF($E3994="","",IF(OR($U3994=TRUE(),$U3994="TRUE"),1,0))</f>
        <v/>
      </c>
      <c r="AQ3994">
        <f>IF($E3994="","",IF($AA3994="Yes",1,0))</f>
        <v/>
      </c>
      <c r="AR3994">
        <f>IF($AN3994=1,IFERROR(VALUE(MID($E3994,2,20)),1000000000)+ROW()/100000,"")</f>
        <v/>
      </c>
    </row>
    <row r="3995">
      <c r="G3995" s="11" t="n"/>
      <c r="Q3995" s="7">
        <f>IF($E3995="","",P3995*Y3995/100)</f>
        <v/>
      </c>
      <c r="R3995" s="7" t="n"/>
      <c r="X3995" s="7" t="n"/>
      <c r="Y3995" s="7" t="n"/>
      <c r="AB3995">
        <f>IF($E3995="","",IF($AQ3995=1,0,IF($AP3995=1,Settings!$C$6,Settings!$C$7))*100)</f>
        <v/>
      </c>
      <c r="AC3995" s="7">
        <f>IF($E3995="","",Y3995*AB3995/100)</f>
        <v/>
      </c>
      <c r="AD3995" s="7">
        <f>IF($E3995="","",Y3995-AC3995)</f>
        <v/>
      </c>
      <c r="AE3995" s="7">
        <f>IF($E3995="","",AD3995-Q3995)</f>
        <v/>
      </c>
      <c r="AI3995" s="7" t="n"/>
      <c r="AL3995" s="11" t="n"/>
      <c r="AN3995">
        <f>IF($E3995="","",IF(COUNTIF($E$2:$E3995,$E3995)=1,1,0))</f>
        <v/>
      </c>
      <c r="AO3995">
        <f>IF($AN3995=1,SUMPRODUCT(--($AR$2:$AR$4001&lt;$AR3995))+1,"")</f>
        <v/>
      </c>
      <c r="AP3995">
        <f>IF($E3995="","",IF(OR($U3995=TRUE(),$U3995="TRUE"),1,0))</f>
        <v/>
      </c>
      <c r="AQ3995">
        <f>IF($E3995="","",IF($AA3995="Yes",1,0))</f>
        <v/>
      </c>
      <c r="AR3995">
        <f>IF($AN3995=1,IFERROR(VALUE(MID($E3995,2,20)),1000000000)+ROW()/100000,"")</f>
        <v/>
      </c>
    </row>
    <row r="3996">
      <c r="G3996" s="11" t="n"/>
      <c r="Q3996" s="7">
        <f>IF($E3996="","",P3996*Y3996/100)</f>
        <v/>
      </c>
      <c r="R3996" s="7" t="n"/>
      <c r="X3996" s="7" t="n"/>
      <c r="Y3996" s="7" t="n"/>
      <c r="AB3996">
        <f>IF($E3996="","",IF($AQ3996=1,0,IF($AP3996=1,Settings!$C$6,Settings!$C$7))*100)</f>
        <v/>
      </c>
      <c r="AC3996" s="7">
        <f>IF($E3996="","",Y3996*AB3996/100)</f>
        <v/>
      </c>
      <c r="AD3996" s="7">
        <f>IF($E3996="","",Y3996-AC3996)</f>
        <v/>
      </c>
      <c r="AE3996" s="7">
        <f>IF($E3996="","",AD3996-Q3996)</f>
        <v/>
      </c>
      <c r="AI3996" s="7" t="n"/>
      <c r="AL3996" s="11" t="n"/>
      <c r="AN3996">
        <f>IF($E3996="","",IF(COUNTIF($E$2:$E3996,$E3996)=1,1,0))</f>
        <v/>
      </c>
      <c r="AO3996">
        <f>IF($AN3996=1,SUMPRODUCT(--($AR$2:$AR$4001&lt;$AR3996))+1,"")</f>
        <v/>
      </c>
      <c r="AP3996">
        <f>IF($E3996="","",IF(OR($U3996=TRUE(),$U3996="TRUE"),1,0))</f>
        <v/>
      </c>
      <c r="AQ3996">
        <f>IF($E3996="","",IF($AA3996="Yes",1,0))</f>
        <v/>
      </c>
      <c r="AR3996">
        <f>IF($AN3996=1,IFERROR(VALUE(MID($E3996,2,20)),1000000000)+ROW()/100000,"")</f>
        <v/>
      </c>
    </row>
    <row r="3997">
      <c r="G3997" s="11" t="n"/>
      <c r="Q3997" s="7">
        <f>IF($E3997="","",P3997*Y3997/100)</f>
        <v/>
      </c>
      <c r="R3997" s="7" t="n"/>
      <c r="X3997" s="7" t="n"/>
      <c r="Y3997" s="7" t="n"/>
      <c r="AB3997">
        <f>IF($E3997="","",IF($AQ3997=1,0,IF($AP3997=1,Settings!$C$6,Settings!$C$7))*100)</f>
        <v/>
      </c>
      <c r="AC3997" s="7">
        <f>IF($E3997="","",Y3997*AB3997/100)</f>
        <v/>
      </c>
      <c r="AD3997" s="7">
        <f>IF($E3997="","",Y3997-AC3997)</f>
        <v/>
      </c>
      <c r="AE3997" s="7">
        <f>IF($E3997="","",AD3997-Q3997)</f>
        <v/>
      </c>
      <c r="AI3997" s="7" t="n"/>
      <c r="AL3997" s="11" t="n"/>
      <c r="AN3997">
        <f>IF($E3997="","",IF(COUNTIF($E$2:$E3997,$E3997)=1,1,0))</f>
        <v/>
      </c>
      <c r="AO3997">
        <f>IF($AN3997=1,SUMPRODUCT(--($AR$2:$AR$4001&lt;$AR3997))+1,"")</f>
        <v/>
      </c>
      <c r="AP3997">
        <f>IF($E3997="","",IF(OR($U3997=TRUE(),$U3997="TRUE"),1,0))</f>
        <v/>
      </c>
      <c r="AQ3997">
        <f>IF($E3997="","",IF($AA3997="Yes",1,0))</f>
        <v/>
      </c>
      <c r="AR3997">
        <f>IF($AN3997=1,IFERROR(VALUE(MID($E3997,2,20)),1000000000)+ROW()/100000,"")</f>
        <v/>
      </c>
    </row>
    <row r="3998">
      <c r="G3998" s="11" t="n"/>
      <c r="Q3998" s="7">
        <f>IF($E3998="","",P3998*Y3998/100)</f>
        <v/>
      </c>
      <c r="R3998" s="7" t="n"/>
      <c r="X3998" s="7" t="n"/>
      <c r="Y3998" s="7" t="n"/>
      <c r="AB3998">
        <f>IF($E3998="","",IF($AQ3998=1,0,IF($AP3998=1,Settings!$C$6,Settings!$C$7))*100)</f>
        <v/>
      </c>
      <c r="AC3998" s="7">
        <f>IF($E3998="","",Y3998*AB3998/100)</f>
        <v/>
      </c>
      <c r="AD3998" s="7">
        <f>IF($E3998="","",Y3998-AC3998)</f>
        <v/>
      </c>
      <c r="AE3998" s="7">
        <f>IF($E3998="","",AD3998-Q3998)</f>
        <v/>
      </c>
      <c r="AI3998" s="7" t="n"/>
      <c r="AL3998" s="11" t="n"/>
      <c r="AN3998">
        <f>IF($E3998="","",IF(COUNTIF($E$2:$E3998,$E3998)=1,1,0))</f>
        <v/>
      </c>
      <c r="AO3998">
        <f>IF($AN3998=1,SUMPRODUCT(--($AR$2:$AR$4001&lt;$AR3998))+1,"")</f>
        <v/>
      </c>
      <c r="AP3998">
        <f>IF($E3998="","",IF(OR($U3998=TRUE(),$U3998="TRUE"),1,0))</f>
        <v/>
      </c>
      <c r="AQ3998">
        <f>IF($E3998="","",IF($AA3998="Yes",1,0))</f>
        <v/>
      </c>
      <c r="AR3998">
        <f>IF($AN3998=1,IFERROR(VALUE(MID($E3998,2,20)),1000000000)+ROW()/100000,"")</f>
        <v/>
      </c>
    </row>
    <row r="3999">
      <c r="G3999" s="11" t="n"/>
      <c r="Q3999" s="7">
        <f>IF($E3999="","",P3999*Y3999/100)</f>
        <v/>
      </c>
      <c r="R3999" s="7" t="n"/>
      <c r="X3999" s="7" t="n"/>
      <c r="Y3999" s="7" t="n"/>
      <c r="AB3999">
        <f>IF($E3999="","",IF($AQ3999=1,0,IF($AP3999=1,Settings!$C$6,Settings!$C$7))*100)</f>
        <v/>
      </c>
      <c r="AC3999" s="7">
        <f>IF($E3999="","",Y3999*AB3999/100)</f>
        <v/>
      </c>
      <c r="AD3999" s="7">
        <f>IF($E3999="","",Y3999-AC3999)</f>
        <v/>
      </c>
      <c r="AE3999" s="7">
        <f>IF($E3999="","",AD3999-Q3999)</f>
        <v/>
      </c>
      <c r="AI3999" s="7" t="n"/>
      <c r="AL3999" s="11" t="n"/>
      <c r="AN3999">
        <f>IF($E3999="","",IF(COUNTIF($E$2:$E3999,$E3999)=1,1,0))</f>
        <v/>
      </c>
      <c r="AO3999">
        <f>IF($AN3999=1,SUMPRODUCT(--($AR$2:$AR$4001&lt;$AR3999))+1,"")</f>
        <v/>
      </c>
      <c r="AP3999">
        <f>IF($E3999="","",IF(OR($U3999=TRUE(),$U3999="TRUE"),1,0))</f>
        <v/>
      </c>
      <c r="AQ3999">
        <f>IF($E3999="","",IF($AA3999="Yes",1,0))</f>
        <v/>
      </c>
      <c r="AR3999">
        <f>IF($AN3999=1,IFERROR(VALUE(MID($E3999,2,20)),1000000000)+ROW()/100000,"")</f>
        <v/>
      </c>
    </row>
    <row r="4000">
      <c r="G4000" s="11" t="n"/>
      <c r="Q4000" s="7">
        <f>IF($E4000="","",P4000*Y4000/100)</f>
        <v/>
      </c>
      <c r="R4000" s="7" t="n"/>
      <c r="X4000" s="7" t="n"/>
      <c r="Y4000" s="7" t="n"/>
      <c r="AB4000">
        <f>IF($E4000="","",IF($AQ4000=1,0,IF($AP4000=1,Settings!$C$6,Settings!$C$7))*100)</f>
        <v/>
      </c>
      <c r="AC4000" s="7">
        <f>IF($E4000="","",Y4000*AB4000/100)</f>
        <v/>
      </c>
      <c r="AD4000" s="7">
        <f>IF($E4000="","",Y4000-AC4000)</f>
        <v/>
      </c>
      <c r="AE4000" s="7">
        <f>IF($E4000="","",AD4000-Q4000)</f>
        <v/>
      </c>
      <c r="AI4000" s="7" t="n"/>
      <c r="AL4000" s="11" t="n"/>
      <c r="AN4000">
        <f>IF($E4000="","",IF(COUNTIF($E$2:$E4000,$E4000)=1,1,0))</f>
        <v/>
      </c>
      <c r="AO4000">
        <f>IF($AN4000=1,SUMPRODUCT(--($AR$2:$AR$4001&lt;$AR4000))+1,"")</f>
        <v/>
      </c>
      <c r="AP4000">
        <f>IF($E4000="","",IF(OR($U4000=TRUE(),$U4000="TRUE"),1,0))</f>
        <v/>
      </c>
      <c r="AQ4000">
        <f>IF($E4000="","",IF($AA4000="Yes",1,0))</f>
        <v/>
      </c>
      <c r="AR4000">
        <f>IF($AN4000=1,IFERROR(VALUE(MID($E4000,2,20)),1000000000)+ROW()/100000,"")</f>
        <v/>
      </c>
    </row>
    <row r="4001">
      <c r="G4001" s="11" t="n"/>
      <c r="Q4001" s="7">
        <f>IF($E4001="","",P4001*Y4001/100)</f>
        <v/>
      </c>
      <c r="R4001" s="7" t="n"/>
      <c r="X4001" s="7" t="n"/>
      <c r="Y4001" s="7" t="n"/>
      <c r="AB4001">
        <f>IF($E4001="","",IF($AQ4001=1,0,IF($AP4001=1,Settings!$C$6,Settings!$C$7))*100)</f>
        <v/>
      </c>
      <c r="AC4001" s="7">
        <f>IF($E4001="","",Y4001*AB4001/100)</f>
        <v/>
      </c>
      <c r="AD4001" s="7">
        <f>IF($E4001="","",Y4001-AC4001)</f>
        <v/>
      </c>
      <c r="AE4001" s="7">
        <f>IF($E4001="","",AD4001-Q4001)</f>
        <v/>
      </c>
      <c r="AI4001" s="7" t="n"/>
      <c r="AL4001" s="11" t="n"/>
      <c r="AN4001">
        <f>IF($E4001="","",IF(COUNTIF($E$2:$E4001,$E4001)=1,1,0))</f>
        <v/>
      </c>
      <c r="AO4001">
        <f>IF($AN4001=1,SUMPRODUCT(--($AR$2:$AR$4001&lt;$AR4001))+1,"")</f>
        <v/>
      </c>
      <c r="AP4001">
        <f>IF($E4001="","",IF(OR($U4001=TRUE(),$U4001="TRUE"),1,0))</f>
        <v/>
      </c>
      <c r="AQ4001">
        <f>IF($E4001="","",IF($AA4001="Yes",1,0))</f>
        <v/>
      </c>
      <c r="AR4001">
        <f>IF($AN4001=1,IFERROR(VALUE(MID($E4001,2,20)),1000000000)+ROW()/100000,"")</f>
        <v/>
      </c>
    </row>
  </sheetData>
  <autoFilter ref="A1:AR4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7" customWidth="1" min="5" max="5"/>
    <col width="18" customWidth="1" min="6" max="6"/>
    <col width="12" customWidth="1" min="7" max="7"/>
    <col width="24" customWidth="1" min="8" max="8"/>
    <col width="12" customWidth="1" min="9" max="9"/>
    <col width="26" customWidth="1" min="10" max="10"/>
    <col width="12" customWidth="1" min="11" max="11"/>
    <col width="12" customWidth="1" min="12" max="12"/>
    <col width="3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4" customWidth="1" min="28" max="28"/>
  </cols>
  <sheetData>
    <row r="1" ht="32" customHeight="1">
      <c r="A1" s="8" t="inlineStr">
        <is>
          <t>Invoice</t>
        </is>
      </c>
      <c r="B1" s="9" t="inlineStr">
        <is>
          <t>Order #</t>
        </is>
      </c>
      <c r="C1" s="9" t="inlineStr">
        <is>
          <t>Cycle</t>
        </is>
      </c>
      <c r="D1" s="9" t="inlineStr">
        <is>
          <t>Approval Ref</t>
        </is>
      </c>
      <c r="E1" s="9" t="inlineStr">
        <is>
          <t>Create At</t>
        </is>
      </c>
      <c r="F1" s="9" t="inlineStr">
        <is>
          <t>Insurance Company</t>
        </is>
      </c>
      <c r="G1" s="9" t="inlineStr">
        <is>
          <t>Country Portal ID</t>
        </is>
      </c>
      <c r="H1" s="9" t="inlineStr">
        <is>
          <t>Corporate</t>
        </is>
      </c>
      <c r="I1" s="9" t="inlineStr">
        <is>
          <t>Card</t>
        </is>
      </c>
      <c r="J1" s="9" t="inlineStr">
        <is>
          <t>Name</t>
        </is>
      </c>
      <c r="K1" s="9" t="inlineStr">
        <is>
          <t>Order Co Payment</t>
        </is>
      </c>
      <c r="L1" s="9" t="inlineStr">
        <is>
          <t>Co val</t>
        </is>
      </c>
      <c r="M1" s="9" t="inlineStr">
        <is>
          <t>ERX ID</t>
        </is>
      </c>
      <c r="N1" s="9" t="inlineStr">
        <is>
          <t>Max Limit</t>
        </is>
      </c>
      <c r="O1" s="9" t="inlineStr">
        <is>
          <t>Exceeding Limit</t>
        </is>
      </c>
      <c r="P1" s="9" t="inlineStr">
        <is>
          <t>Special</t>
        </is>
      </c>
      <c r="Q1" s="9" t="inlineStr">
        <is>
          <t>IMP %</t>
        </is>
      </c>
      <c r="R1" s="9" t="inlineStr">
        <is>
          <t>IMP</t>
        </is>
      </c>
      <c r="S1" s="9" t="inlineStr">
        <is>
          <t>IMP VAL</t>
        </is>
      </c>
      <c r="T1" s="9" t="inlineStr">
        <is>
          <t>LOCAL</t>
        </is>
      </c>
      <c r="U1" s="9" t="inlineStr">
        <is>
          <t>LOCAL</t>
        </is>
      </c>
      <c r="V1" s="9" t="inlineStr">
        <is>
          <t>LOCAL VAL</t>
        </is>
      </c>
      <c r="W1" s="9" t="inlineStr">
        <is>
          <t>TOTAL VAL</t>
        </is>
      </c>
      <c r="X1" s="9" t="inlineStr">
        <is>
          <t>SUBTOTAL</t>
        </is>
      </c>
      <c r="Y1" s="9" t="inlineStr">
        <is>
          <t>Grand Total</t>
        </is>
      </c>
      <c r="Z1" s="9" t="inlineStr">
        <is>
          <t>NET</t>
        </is>
      </c>
      <c r="AA1" s="10" t="inlineStr">
        <is>
          <t>Src Row (helper)</t>
        </is>
      </c>
      <c r="AB1" s="10" t="inlineStr">
        <is>
          <t>Limit Adj (helper)</t>
        </is>
      </c>
    </row>
    <row r="2">
      <c r="A2" s="12" t="n"/>
      <c r="B2">
        <f>IF($AA2="","",INDEX('Per Line'!$E$2:$E$4001,$AA2)&amp;"")</f>
        <v/>
      </c>
      <c r="C2">
        <f>IF($AA2="","",INDEX('Per Line'!$A$2:$A$4001,$AA2)&amp;"")</f>
        <v/>
      </c>
      <c r="D2">
        <f>IF($AA2="","",INDEX('Per Line'!$D$2:$D$4001,$AA2)&amp;"")</f>
        <v/>
      </c>
      <c r="E2" s="11">
        <f>IF($AA2="","",INDEX('Per Line'!$G$2:$G$4001,$AA2))</f>
        <v/>
      </c>
      <c r="F2">
        <f>IF($AA2="","",INDEX('Per Line'!$H$2:$H$4001,$AA2)&amp;"")</f>
        <v/>
      </c>
      <c r="G2">
        <f>IF($AA2="","",INDEX('Per Line'!$I$2:$I$4001,$AA2)&amp;"")</f>
        <v/>
      </c>
      <c r="H2">
        <f>IF($AA2="","",INDEX('Per Line'!$J$2:$J$4001,$AA2)&amp;"")</f>
        <v/>
      </c>
      <c r="I2">
        <f>IF($AA2="","",INDEX('Per Line'!$K$2:$K$4001,$AA2)&amp;"")</f>
        <v/>
      </c>
      <c r="J2">
        <f>IF($AA2="","",INDEX('Per Line'!$L$2:$L$4001,$AA2)&amp;"")</f>
        <v/>
      </c>
      <c r="K2">
        <f>IF($AA2="","",INDEX('Per Line'!$P$2:$P$4001,$AA2))</f>
        <v/>
      </c>
      <c r="L2" s="7">
        <f>IF($AA2="","",IF(AND(ISNUMBER(N2),N2&gt;0,Y2&gt;N2),K2*N2/100+(Y2-N2),K2*Y2/100))</f>
        <v/>
      </c>
      <c r="M2">
        <f>IF($AA2="","",INDEX('Per Line'!$Z$2:$Z$4001,$AA2)&amp;"")</f>
        <v/>
      </c>
      <c r="N2">
        <f>IF($AA2="","",INDEX('Per Line'!$AG$2:$AG$4001,$AA2))</f>
        <v/>
      </c>
      <c r="O2">
        <f>IF($AA2="","",IF(AND(ISNUMBER(N2),N2&gt;0),Y2&gt;N2,FALSE))</f>
        <v/>
      </c>
      <c r="P2" s="7">
        <f>IF($AA2="","",SUMIFS('Per Line'!$Y$2:$Y$4001,'Per Line'!$E$2:$E$4001,$B2,'Per Line'!$AQ$2:$AQ$4001,1))</f>
        <v/>
      </c>
      <c r="Q2">
        <f>IF($AA2="","",Settings!$C$7)</f>
        <v/>
      </c>
      <c r="R2" s="7">
        <f>IF($AA2="","",SUMIFS('Per Line'!$Y$2:$Y$4001,'Per Line'!$E$2:$E$4001,$B2,'Per Line'!$AP$2:$AP$4001,0,'Per Line'!$AQ$2:$AQ$4001,0))</f>
        <v/>
      </c>
      <c r="S2" s="7">
        <f>IF($AA2="","",R2*Q2)</f>
        <v/>
      </c>
      <c r="T2">
        <f>IF($AA2="","",Settings!$C$6)</f>
        <v/>
      </c>
      <c r="U2" s="7">
        <f>IF($AA2="","",SUMIFS('Per Line'!$Y$2:$Y$4001,'Per Line'!$E$2:$E$4001,$B2,'Per Line'!$AP$2:$AP$4001,1,'Per Line'!$AQ$2:$AQ$4001,0))</f>
        <v/>
      </c>
      <c r="V2" s="7">
        <f>IF($AA2="","",U2*T2)</f>
        <v/>
      </c>
      <c r="W2" s="7">
        <f>IF($AA2="","",V2+S2)</f>
        <v/>
      </c>
      <c r="X2" s="7">
        <f>IF($AA2="","",Y2-W2)</f>
        <v/>
      </c>
      <c r="Y2" s="7">
        <f>IF($AA2="","",R2+U2+P2)</f>
        <v/>
      </c>
      <c r="Z2" s="7">
        <f>IF($AA2="","",Y2-W2-L2)</f>
        <v/>
      </c>
      <c r="AA2" s="13">
        <f>IF(ROWS($AA$2:$AA2)&lt;=MAX('Per Line'!$AO$2:$AO$4001),MATCH(ROWS($AA$2:$AA2),'Per Line'!$AO$2:$AO$4001,0),"")</f>
        <v/>
      </c>
      <c r="AB2" s="14">
        <f>IF($AA2="","",L2-K2*Y2/100)</f>
        <v/>
      </c>
    </row>
    <row r="3">
      <c r="A3" s="12" t="n"/>
      <c r="B3">
        <f>IF($AA3="","",INDEX('Per Line'!$E$2:$E$4001,$AA3)&amp;"")</f>
        <v/>
      </c>
      <c r="C3">
        <f>IF($AA3="","",INDEX('Per Line'!$A$2:$A$4001,$AA3)&amp;"")</f>
        <v/>
      </c>
      <c r="D3">
        <f>IF($AA3="","",INDEX('Per Line'!$D$2:$D$4001,$AA3)&amp;"")</f>
        <v/>
      </c>
      <c r="E3" s="11">
        <f>IF($AA3="","",INDEX('Per Line'!$G$2:$G$4001,$AA3))</f>
        <v/>
      </c>
      <c r="F3">
        <f>IF($AA3="","",INDEX('Per Line'!$H$2:$H$4001,$AA3)&amp;"")</f>
        <v/>
      </c>
      <c r="G3">
        <f>IF($AA3="","",INDEX('Per Line'!$I$2:$I$4001,$AA3)&amp;"")</f>
        <v/>
      </c>
      <c r="H3">
        <f>IF($AA3="","",INDEX('Per Line'!$J$2:$J$4001,$AA3)&amp;"")</f>
        <v/>
      </c>
      <c r="I3">
        <f>IF($AA3="","",INDEX('Per Line'!$K$2:$K$4001,$AA3)&amp;"")</f>
        <v/>
      </c>
      <c r="J3">
        <f>IF($AA3="","",INDEX('Per Line'!$L$2:$L$4001,$AA3)&amp;"")</f>
        <v/>
      </c>
      <c r="K3">
        <f>IF($AA3="","",INDEX('Per Line'!$P$2:$P$4001,$AA3))</f>
        <v/>
      </c>
      <c r="L3" s="7">
        <f>IF($AA3="","",IF(AND(ISNUMBER(N3),N3&gt;0,Y3&gt;N3),K3*N3/100+(Y3-N3),K3*Y3/100))</f>
        <v/>
      </c>
      <c r="M3">
        <f>IF($AA3="","",INDEX('Per Line'!$Z$2:$Z$4001,$AA3)&amp;"")</f>
        <v/>
      </c>
      <c r="N3">
        <f>IF($AA3="","",INDEX('Per Line'!$AG$2:$AG$4001,$AA3))</f>
        <v/>
      </c>
      <c r="O3">
        <f>IF($AA3="","",IF(AND(ISNUMBER(N3),N3&gt;0),Y3&gt;N3,FALSE))</f>
        <v/>
      </c>
      <c r="P3" s="7">
        <f>IF($AA3="","",SUMIFS('Per Line'!$Y$2:$Y$4001,'Per Line'!$E$2:$E$4001,$B3,'Per Line'!$AQ$2:$AQ$4001,1))</f>
        <v/>
      </c>
      <c r="Q3">
        <f>IF($AA3="","",Settings!$C$7)</f>
        <v/>
      </c>
      <c r="R3" s="7">
        <f>IF($AA3="","",SUMIFS('Per Line'!$Y$2:$Y$4001,'Per Line'!$E$2:$E$4001,$B3,'Per Line'!$AP$2:$AP$4001,0,'Per Line'!$AQ$2:$AQ$4001,0))</f>
        <v/>
      </c>
      <c r="S3" s="7">
        <f>IF($AA3="","",R3*Q3)</f>
        <v/>
      </c>
      <c r="T3">
        <f>IF($AA3="","",Settings!$C$6)</f>
        <v/>
      </c>
      <c r="U3" s="7">
        <f>IF($AA3="","",SUMIFS('Per Line'!$Y$2:$Y$4001,'Per Line'!$E$2:$E$4001,$B3,'Per Line'!$AP$2:$AP$4001,1,'Per Line'!$AQ$2:$AQ$4001,0))</f>
        <v/>
      </c>
      <c r="V3" s="7">
        <f>IF($AA3="","",U3*T3)</f>
        <v/>
      </c>
      <c r="W3" s="7">
        <f>IF($AA3="","",V3+S3)</f>
        <v/>
      </c>
      <c r="X3" s="7">
        <f>IF($AA3="","",Y3-W3)</f>
        <v/>
      </c>
      <c r="Y3" s="7">
        <f>IF($AA3="","",R3+U3+P3)</f>
        <v/>
      </c>
      <c r="Z3" s="7">
        <f>IF($AA3="","",Y3-W3-L3)</f>
        <v/>
      </c>
      <c r="AA3" s="13">
        <f>IF(ROWS($AA$2:$AA3)&lt;=MAX('Per Line'!$AO$2:$AO$4001),MATCH(ROWS($AA$2:$AA3),'Per Line'!$AO$2:$AO$4001,0),"")</f>
        <v/>
      </c>
      <c r="AB3" s="14">
        <f>IF($AA3="","",L3-K3*Y3/100)</f>
        <v/>
      </c>
    </row>
    <row r="4">
      <c r="A4" s="12" t="n"/>
      <c r="B4">
        <f>IF($AA4="","",INDEX('Per Line'!$E$2:$E$4001,$AA4)&amp;"")</f>
        <v/>
      </c>
      <c r="C4">
        <f>IF($AA4="","",INDEX('Per Line'!$A$2:$A$4001,$AA4)&amp;"")</f>
        <v/>
      </c>
      <c r="D4">
        <f>IF($AA4="","",INDEX('Per Line'!$D$2:$D$4001,$AA4)&amp;"")</f>
        <v/>
      </c>
      <c r="E4" s="11">
        <f>IF($AA4="","",INDEX('Per Line'!$G$2:$G$4001,$AA4))</f>
        <v/>
      </c>
      <c r="F4">
        <f>IF($AA4="","",INDEX('Per Line'!$H$2:$H$4001,$AA4)&amp;"")</f>
        <v/>
      </c>
      <c r="G4">
        <f>IF($AA4="","",INDEX('Per Line'!$I$2:$I$4001,$AA4)&amp;"")</f>
        <v/>
      </c>
      <c r="H4">
        <f>IF($AA4="","",INDEX('Per Line'!$J$2:$J$4001,$AA4)&amp;"")</f>
        <v/>
      </c>
      <c r="I4">
        <f>IF($AA4="","",INDEX('Per Line'!$K$2:$K$4001,$AA4)&amp;"")</f>
        <v/>
      </c>
      <c r="J4">
        <f>IF($AA4="","",INDEX('Per Line'!$L$2:$L$4001,$AA4)&amp;"")</f>
        <v/>
      </c>
      <c r="K4">
        <f>IF($AA4="","",INDEX('Per Line'!$P$2:$P$4001,$AA4))</f>
        <v/>
      </c>
      <c r="L4" s="7">
        <f>IF($AA4="","",IF(AND(ISNUMBER(N4),N4&gt;0,Y4&gt;N4),K4*N4/100+(Y4-N4),K4*Y4/100))</f>
        <v/>
      </c>
      <c r="M4">
        <f>IF($AA4="","",INDEX('Per Line'!$Z$2:$Z$4001,$AA4)&amp;"")</f>
        <v/>
      </c>
      <c r="N4">
        <f>IF($AA4="","",INDEX('Per Line'!$AG$2:$AG$4001,$AA4))</f>
        <v/>
      </c>
      <c r="O4">
        <f>IF($AA4="","",IF(AND(ISNUMBER(N4),N4&gt;0),Y4&gt;N4,FALSE))</f>
        <v/>
      </c>
      <c r="P4" s="7">
        <f>IF($AA4="","",SUMIFS('Per Line'!$Y$2:$Y$4001,'Per Line'!$E$2:$E$4001,$B4,'Per Line'!$AQ$2:$AQ$4001,1))</f>
        <v/>
      </c>
      <c r="Q4">
        <f>IF($AA4="","",Settings!$C$7)</f>
        <v/>
      </c>
      <c r="R4" s="7">
        <f>IF($AA4="","",SUMIFS('Per Line'!$Y$2:$Y$4001,'Per Line'!$E$2:$E$4001,$B4,'Per Line'!$AP$2:$AP$4001,0,'Per Line'!$AQ$2:$AQ$4001,0))</f>
        <v/>
      </c>
      <c r="S4" s="7">
        <f>IF($AA4="","",R4*Q4)</f>
        <v/>
      </c>
      <c r="T4">
        <f>IF($AA4="","",Settings!$C$6)</f>
        <v/>
      </c>
      <c r="U4" s="7">
        <f>IF($AA4="","",SUMIFS('Per Line'!$Y$2:$Y$4001,'Per Line'!$E$2:$E$4001,$B4,'Per Line'!$AP$2:$AP$4001,1,'Per Line'!$AQ$2:$AQ$4001,0))</f>
        <v/>
      </c>
      <c r="V4" s="7">
        <f>IF($AA4="","",U4*T4)</f>
        <v/>
      </c>
      <c r="W4" s="7">
        <f>IF($AA4="","",V4+S4)</f>
        <v/>
      </c>
      <c r="X4" s="7">
        <f>IF($AA4="","",Y4-W4)</f>
        <v/>
      </c>
      <c r="Y4" s="7">
        <f>IF($AA4="","",R4+U4+P4)</f>
        <v/>
      </c>
      <c r="Z4" s="7">
        <f>IF($AA4="","",Y4-W4-L4)</f>
        <v/>
      </c>
      <c r="AA4" s="13">
        <f>IF(ROWS($AA$2:$AA4)&lt;=MAX('Per Line'!$AO$2:$AO$4001),MATCH(ROWS($AA$2:$AA4),'Per Line'!$AO$2:$AO$4001,0),"")</f>
        <v/>
      </c>
      <c r="AB4" s="14">
        <f>IF($AA4="","",L4-K4*Y4/100)</f>
        <v/>
      </c>
    </row>
    <row r="5">
      <c r="A5" s="12" t="n"/>
      <c r="B5">
        <f>IF($AA5="","",INDEX('Per Line'!$E$2:$E$4001,$AA5)&amp;"")</f>
        <v/>
      </c>
      <c r="C5">
        <f>IF($AA5="","",INDEX('Per Line'!$A$2:$A$4001,$AA5)&amp;"")</f>
        <v/>
      </c>
      <c r="D5">
        <f>IF($AA5="","",INDEX('Per Line'!$D$2:$D$4001,$AA5)&amp;"")</f>
        <v/>
      </c>
      <c r="E5" s="11">
        <f>IF($AA5="","",INDEX('Per Line'!$G$2:$G$4001,$AA5))</f>
        <v/>
      </c>
      <c r="F5">
        <f>IF($AA5="","",INDEX('Per Line'!$H$2:$H$4001,$AA5)&amp;"")</f>
        <v/>
      </c>
      <c r="G5">
        <f>IF($AA5="","",INDEX('Per Line'!$I$2:$I$4001,$AA5)&amp;"")</f>
        <v/>
      </c>
      <c r="H5">
        <f>IF($AA5="","",INDEX('Per Line'!$J$2:$J$4001,$AA5)&amp;"")</f>
        <v/>
      </c>
      <c r="I5">
        <f>IF($AA5="","",INDEX('Per Line'!$K$2:$K$4001,$AA5)&amp;"")</f>
        <v/>
      </c>
      <c r="J5">
        <f>IF($AA5="","",INDEX('Per Line'!$L$2:$L$4001,$AA5)&amp;"")</f>
        <v/>
      </c>
      <c r="K5">
        <f>IF($AA5="","",INDEX('Per Line'!$P$2:$P$4001,$AA5))</f>
        <v/>
      </c>
      <c r="L5" s="7">
        <f>IF($AA5="","",IF(AND(ISNUMBER(N5),N5&gt;0,Y5&gt;N5),K5*N5/100+(Y5-N5),K5*Y5/100))</f>
        <v/>
      </c>
      <c r="M5">
        <f>IF($AA5="","",INDEX('Per Line'!$Z$2:$Z$4001,$AA5)&amp;"")</f>
        <v/>
      </c>
      <c r="N5">
        <f>IF($AA5="","",INDEX('Per Line'!$AG$2:$AG$4001,$AA5))</f>
        <v/>
      </c>
      <c r="O5">
        <f>IF($AA5="","",IF(AND(ISNUMBER(N5),N5&gt;0),Y5&gt;N5,FALSE))</f>
        <v/>
      </c>
      <c r="P5" s="7">
        <f>IF($AA5="","",SUMIFS('Per Line'!$Y$2:$Y$4001,'Per Line'!$E$2:$E$4001,$B5,'Per Line'!$AQ$2:$AQ$4001,1))</f>
        <v/>
      </c>
      <c r="Q5">
        <f>IF($AA5="","",Settings!$C$7)</f>
        <v/>
      </c>
      <c r="R5" s="7">
        <f>IF($AA5="","",SUMIFS('Per Line'!$Y$2:$Y$4001,'Per Line'!$E$2:$E$4001,$B5,'Per Line'!$AP$2:$AP$4001,0,'Per Line'!$AQ$2:$AQ$4001,0))</f>
        <v/>
      </c>
      <c r="S5" s="7">
        <f>IF($AA5="","",R5*Q5)</f>
        <v/>
      </c>
      <c r="T5">
        <f>IF($AA5="","",Settings!$C$6)</f>
        <v/>
      </c>
      <c r="U5" s="7">
        <f>IF($AA5="","",SUMIFS('Per Line'!$Y$2:$Y$4001,'Per Line'!$E$2:$E$4001,$B5,'Per Line'!$AP$2:$AP$4001,1,'Per Line'!$AQ$2:$AQ$4001,0))</f>
        <v/>
      </c>
      <c r="V5" s="7">
        <f>IF($AA5="","",U5*T5)</f>
        <v/>
      </c>
      <c r="W5" s="7">
        <f>IF($AA5="","",V5+S5)</f>
        <v/>
      </c>
      <c r="X5" s="7">
        <f>IF($AA5="","",Y5-W5)</f>
        <v/>
      </c>
      <c r="Y5" s="7">
        <f>IF($AA5="","",R5+U5+P5)</f>
        <v/>
      </c>
      <c r="Z5" s="7">
        <f>IF($AA5="","",Y5-W5-L5)</f>
        <v/>
      </c>
      <c r="AA5" s="13">
        <f>IF(ROWS($AA$2:$AA5)&lt;=MAX('Per Line'!$AO$2:$AO$4001),MATCH(ROWS($AA$2:$AA5),'Per Line'!$AO$2:$AO$4001,0),"")</f>
        <v/>
      </c>
      <c r="AB5" s="14">
        <f>IF($AA5="","",L5-K5*Y5/100)</f>
        <v/>
      </c>
    </row>
    <row r="6">
      <c r="A6" s="12" t="n"/>
      <c r="B6">
        <f>IF($AA6="","",INDEX('Per Line'!$E$2:$E$4001,$AA6)&amp;"")</f>
        <v/>
      </c>
      <c r="C6">
        <f>IF($AA6="","",INDEX('Per Line'!$A$2:$A$4001,$AA6)&amp;"")</f>
        <v/>
      </c>
      <c r="D6">
        <f>IF($AA6="","",INDEX('Per Line'!$D$2:$D$4001,$AA6)&amp;"")</f>
        <v/>
      </c>
      <c r="E6" s="11">
        <f>IF($AA6="","",INDEX('Per Line'!$G$2:$G$4001,$AA6))</f>
        <v/>
      </c>
      <c r="F6">
        <f>IF($AA6="","",INDEX('Per Line'!$H$2:$H$4001,$AA6)&amp;"")</f>
        <v/>
      </c>
      <c r="G6">
        <f>IF($AA6="","",INDEX('Per Line'!$I$2:$I$4001,$AA6)&amp;"")</f>
        <v/>
      </c>
      <c r="H6">
        <f>IF($AA6="","",INDEX('Per Line'!$J$2:$J$4001,$AA6)&amp;"")</f>
        <v/>
      </c>
      <c r="I6">
        <f>IF($AA6="","",INDEX('Per Line'!$K$2:$K$4001,$AA6)&amp;"")</f>
        <v/>
      </c>
      <c r="J6">
        <f>IF($AA6="","",INDEX('Per Line'!$L$2:$L$4001,$AA6)&amp;"")</f>
        <v/>
      </c>
      <c r="K6">
        <f>IF($AA6="","",INDEX('Per Line'!$P$2:$P$4001,$AA6))</f>
        <v/>
      </c>
      <c r="L6" s="7">
        <f>IF($AA6="","",IF(AND(ISNUMBER(N6),N6&gt;0,Y6&gt;N6),K6*N6/100+(Y6-N6),K6*Y6/100))</f>
        <v/>
      </c>
      <c r="M6">
        <f>IF($AA6="","",INDEX('Per Line'!$Z$2:$Z$4001,$AA6)&amp;"")</f>
        <v/>
      </c>
      <c r="N6">
        <f>IF($AA6="","",INDEX('Per Line'!$AG$2:$AG$4001,$AA6))</f>
        <v/>
      </c>
      <c r="O6">
        <f>IF($AA6="","",IF(AND(ISNUMBER(N6),N6&gt;0),Y6&gt;N6,FALSE))</f>
        <v/>
      </c>
      <c r="P6" s="7">
        <f>IF($AA6="","",SUMIFS('Per Line'!$Y$2:$Y$4001,'Per Line'!$E$2:$E$4001,$B6,'Per Line'!$AQ$2:$AQ$4001,1))</f>
        <v/>
      </c>
      <c r="Q6">
        <f>IF($AA6="","",Settings!$C$7)</f>
        <v/>
      </c>
      <c r="R6" s="7">
        <f>IF($AA6="","",SUMIFS('Per Line'!$Y$2:$Y$4001,'Per Line'!$E$2:$E$4001,$B6,'Per Line'!$AP$2:$AP$4001,0,'Per Line'!$AQ$2:$AQ$4001,0))</f>
        <v/>
      </c>
      <c r="S6" s="7">
        <f>IF($AA6="","",R6*Q6)</f>
        <v/>
      </c>
      <c r="T6">
        <f>IF($AA6="","",Settings!$C$6)</f>
        <v/>
      </c>
      <c r="U6" s="7">
        <f>IF($AA6="","",SUMIFS('Per Line'!$Y$2:$Y$4001,'Per Line'!$E$2:$E$4001,$B6,'Per Line'!$AP$2:$AP$4001,1,'Per Line'!$AQ$2:$AQ$4001,0))</f>
        <v/>
      </c>
      <c r="V6" s="7">
        <f>IF($AA6="","",U6*T6)</f>
        <v/>
      </c>
      <c r="W6" s="7">
        <f>IF($AA6="","",V6+S6)</f>
        <v/>
      </c>
      <c r="X6" s="7">
        <f>IF($AA6="","",Y6-W6)</f>
        <v/>
      </c>
      <c r="Y6" s="7">
        <f>IF($AA6="","",R6+U6+P6)</f>
        <v/>
      </c>
      <c r="Z6" s="7">
        <f>IF($AA6="","",Y6-W6-L6)</f>
        <v/>
      </c>
      <c r="AA6" s="13">
        <f>IF(ROWS($AA$2:$AA6)&lt;=MAX('Per Line'!$AO$2:$AO$4001),MATCH(ROWS($AA$2:$AA6),'Per Line'!$AO$2:$AO$4001,0),"")</f>
        <v/>
      </c>
      <c r="AB6" s="14">
        <f>IF($AA6="","",L6-K6*Y6/100)</f>
        <v/>
      </c>
    </row>
    <row r="7">
      <c r="A7" s="12" t="n"/>
      <c r="B7">
        <f>IF($AA7="","",INDEX('Per Line'!$E$2:$E$4001,$AA7)&amp;"")</f>
        <v/>
      </c>
      <c r="C7">
        <f>IF($AA7="","",INDEX('Per Line'!$A$2:$A$4001,$AA7)&amp;"")</f>
        <v/>
      </c>
      <c r="D7">
        <f>IF($AA7="","",INDEX('Per Line'!$D$2:$D$4001,$AA7)&amp;"")</f>
        <v/>
      </c>
      <c r="E7" s="11">
        <f>IF($AA7="","",INDEX('Per Line'!$G$2:$G$4001,$AA7))</f>
        <v/>
      </c>
      <c r="F7">
        <f>IF($AA7="","",INDEX('Per Line'!$H$2:$H$4001,$AA7)&amp;"")</f>
        <v/>
      </c>
      <c r="G7">
        <f>IF($AA7="","",INDEX('Per Line'!$I$2:$I$4001,$AA7)&amp;"")</f>
        <v/>
      </c>
      <c r="H7">
        <f>IF($AA7="","",INDEX('Per Line'!$J$2:$J$4001,$AA7)&amp;"")</f>
        <v/>
      </c>
      <c r="I7">
        <f>IF($AA7="","",INDEX('Per Line'!$K$2:$K$4001,$AA7)&amp;"")</f>
        <v/>
      </c>
      <c r="J7">
        <f>IF($AA7="","",INDEX('Per Line'!$L$2:$L$4001,$AA7)&amp;"")</f>
        <v/>
      </c>
      <c r="K7">
        <f>IF($AA7="","",INDEX('Per Line'!$P$2:$P$4001,$AA7))</f>
        <v/>
      </c>
      <c r="L7" s="7">
        <f>IF($AA7="","",IF(AND(ISNUMBER(N7),N7&gt;0,Y7&gt;N7),K7*N7/100+(Y7-N7),K7*Y7/100))</f>
        <v/>
      </c>
      <c r="M7">
        <f>IF($AA7="","",INDEX('Per Line'!$Z$2:$Z$4001,$AA7)&amp;"")</f>
        <v/>
      </c>
      <c r="N7">
        <f>IF($AA7="","",INDEX('Per Line'!$AG$2:$AG$4001,$AA7))</f>
        <v/>
      </c>
      <c r="O7">
        <f>IF($AA7="","",IF(AND(ISNUMBER(N7),N7&gt;0),Y7&gt;N7,FALSE))</f>
        <v/>
      </c>
      <c r="P7" s="7">
        <f>IF($AA7="","",SUMIFS('Per Line'!$Y$2:$Y$4001,'Per Line'!$E$2:$E$4001,$B7,'Per Line'!$AQ$2:$AQ$4001,1))</f>
        <v/>
      </c>
      <c r="Q7">
        <f>IF($AA7="","",Settings!$C$7)</f>
        <v/>
      </c>
      <c r="R7" s="7">
        <f>IF($AA7="","",SUMIFS('Per Line'!$Y$2:$Y$4001,'Per Line'!$E$2:$E$4001,$B7,'Per Line'!$AP$2:$AP$4001,0,'Per Line'!$AQ$2:$AQ$4001,0))</f>
        <v/>
      </c>
      <c r="S7" s="7">
        <f>IF($AA7="","",R7*Q7)</f>
        <v/>
      </c>
      <c r="T7">
        <f>IF($AA7="","",Settings!$C$6)</f>
        <v/>
      </c>
      <c r="U7" s="7">
        <f>IF($AA7="","",SUMIFS('Per Line'!$Y$2:$Y$4001,'Per Line'!$E$2:$E$4001,$B7,'Per Line'!$AP$2:$AP$4001,1,'Per Line'!$AQ$2:$AQ$4001,0))</f>
        <v/>
      </c>
      <c r="V7" s="7">
        <f>IF($AA7="","",U7*T7)</f>
        <v/>
      </c>
      <c r="W7" s="7">
        <f>IF($AA7="","",V7+S7)</f>
        <v/>
      </c>
      <c r="X7" s="7">
        <f>IF($AA7="","",Y7-W7)</f>
        <v/>
      </c>
      <c r="Y7" s="7">
        <f>IF($AA7="","",R7+U7+P7)</f>
        <v/>
      </c>
      <c r="Z7" s="7">
        <f>IF($AA7="","",Y7-W7-L7)</f>
        <v/>
      </c>
      <c r="AA7" s="13">
        <f>IF(ROWS($AA$2:$AA7)&lt;=MAX('Per Line'!$AO$2:$AO$4001),MATCH(ROWS($AA$2:$AA7),'Per Line'!$AO$2:$AO$4001,0),"")</f>
        <v/>
      </c>
      <c r="AB7" s="14">
        <f>IF($AA7="","",L7-K7*Y7/100)</f>
        <v/>
      </c>
    </row>
    <row r="8">
      <c r="A8" s="12" t="n"/>
      <c r="B8">
        <f>IF($AA8="","",INDEX('Per Line'!$E$2:$E$4001,$AA8)&amp;"")</f>
        <v/>
      </c>
      <c r="C8">
        <f>IF($AA8="","",INDEX('Per Line'!$A$2:$A$4001,$AA8)&amp;"")</f>
        <v/>
      </c>
      <c r="D8">
        <f>IF($AA8="","",INDEX('Per Line'!$D$2:$D$4001,$AA8)&amp;"")</f>
        <v/>
      </c>
      <c r="E8" s="11">
        <f>IF($AA8="","",INDEX('Per Line'!$G$2:$G$4001,$AA8))</f>
        <v/>
      </c>
      <c r="F8">
        <f>IF($AA8="","",INDEX('Per Line'!$H$2:$H$4001,$AA8)&amp;"")</f>
        <v/>
      </c>
      <c r="G8">
        <f>IF($AA8="","",INDEX('Per Line'!$I$2:$I$4001,$AA8)&amp;"")</f>
        <v/>
      </c>
      <c r="H8">
        <f>IF($AA8="","",INDEX('Per Line'!$J$2:$J$4001,$AA8)&amp;"")</f>
        <v/>
      </c>
      <c r="I8">
        <f>IF($AA8="","",INDEX('Per Line'!$K$2:$K$4001,$AA8)&amp;"")</f>
        <v/>
      </c>
      <c r="J8">
        <f>IF($AA8="","",INDEX('Per Line'!$L$2:$L$4001,$AA8)&amp;"")</f>
        <v/>
      </c>
      <c r="K8">
        <f>IF($AA8="","",INDEX('Per Line'!$P$2:$P$4001,$AA8))</f>
        <v/>
      </c>
      <c r="L8" s="7">
        <f>IF($AA8="","",IF(AND(ISNUMBER(N8),N8&gt;0,Y8&gt;N8),K8*N8/100+(Y8-N8),K8*Y8/100))</f>
        <v/>
      </c>
      <c r="M8">
        <f>IF($AA8="","",INDEX('Per Line'!$Z$2:$Z$4001,$AA8)&amp;"")</f>
        <v/>
      </c>
      <c r="N8">
        <f>IF($AA8="","",INDEX('Per Line'!$AG$2:$AG$4001,$AA8))</f>
        <v/>
      </c>
      <c r="O8">
        <f>IF($AA8="","",IF(AND(ISNUMBER(N8),N8&gt;0),Y8&gt;N8,FALSE))</f>
        <v/>
      </c>
      <c r="P8" s="7">
        <f>IF($AA8="","",SUMIFS('Per Line'!$Y$2:$Y$4001,'Per Line'!$E$2:$E$4001,$B8,'Per Line'!$AQ$2:$AQ$4001,1))</f>
        <v/>
      </c>
      <c r="Q8">
        <f>IF($AA8="","",Settings!$C$7)</f>
        <v/>
      </c>
      <c r="R8" s="7">
        <f>IF($AA8="","",SUMIFS('Per Line'!$Y$2:$Y$4001,'Per Line'!$E$2:$E$4001,$B8,'Per Line'!$AP$2:$AP$4001,0,'Per Line'!$AQ$2:$AQ$4001,0))</f>
        <v/>
      </c>
      <c r="S8" s="7">
        <f>IF($AA8="","",R8*Q8)</f>
        <v/>
      </c>
      <c r="T8">
        <f>IF($AA8="","",Settings!$C$6)</f>
        <v/>
      </c>
      <c r="U8" s="7">
        <f>IF($AA8="","",SUMIFS('Per Line'!$Y$2:$Y$4001,'Per Line'!$E$2:$E$4001,$B8,'Per Line'!$AP$2:$AP$4001,1,'Per Line'!$AQ$2:$AQ$4001,0))</f>
        <v/>
      </c>
      <c r="V8" s="7">
        <f>IF($AA8="","",U8*T8)</f>
        <v/>
      </c>
      <c r="W8" s="7">
        <f>IF($AA8="","",V8+S8)</f>
        <v/>
      </c>
      <c r="X8" s="7">
        <f>IF($AA8="","",Y8-W8)</f>
        <v/>
      </c>
      <c r="Y8" s="7">
        <f>IF($AA8="","",R8+U8+P8)</f>
        <v/>
      </c>
      <c r="Z8" s="7">
        <f>IF($AA8="","",Y8-W8-L8)</f>
        <v/>
      </c>
      <c r="AA8" s="13">
        <f>IF(ROWS($AA$2:$AA8)&lt;=MAX('Per Line'!$AO$2:$AO$4001),MATCH(ROWS($AA$2:$AA8),'Per Line'!$AO$2:$AO$4001,0),"")</f>
        <v/>
      </c>
      <c r="AB8" s="14">
        <f>IF($AA8="","",L8-K8*Y8/100)</f>
        <v/>
      </c>
    </row>
    <row r="9">
      <c r="A9" s="12" t="n"/>
      <c r="B9">
        <f>IF($AA9="","",INDEX('Per Line'!$E$2:$E$4001,$AA9)&amp;"")</f>
        <v/>
      </c>
      <c r="C9">
        <f>IF($AA9="","",INDEX('Per Line'!$A$2:$A$4001,$AA9)&amp;"")</f>
        <v/>
      </c>
      <c r="D9">
        <f>IF($AA9="","",INDEX('Per Line'!$D$2:$D$4001,$AA9)&amp;"")</f>
        <v/>
      </c>
      <c r="E9" s="11">
        <f>IF($AA9="","",INDEX('Per Line'!$G$2:$G$4001,$AA9))</f>
        <v/>
      </c>
      <c r="F9">
        <f>IF($AA9="","",INDEX('Per Line'!$H$2:$H$4001,$AA9)&amp;"")</f>
        <v/>
      </c>
      <c r="G9">
        <f>IF($AA9="","",INDEX('Per Line'!$I$2:$I$4001,$AA9)&amp;"")</f>
        <v/>
      </c>
      <c r="H9">
        <f>IF($AA9="","",INDEX('Per Line'!$J$2:$J$4001,$AA9)&amp;"")</f>
        <v/>
      </c>
      <c r="I9">
        <f>IF($AA9="","",INDEX('Per Line'!$K$2:$K$4001,$AA9)&amp;"")</f>
        <v/>
      </c>
      <c r="J9">
        <f>IF($AA9="","",INDEX('Per Line'!$L$2:$L$4001,$AA9)&amp;"")</f>
        <v/>
      </c>
      <c r="K9">
        <f>IF($AA9="","",INDEX('Per Line'!$P$2:$P$4001,$AA9))</f>
        <v/>
      </c>
      <c r="L9" s="7">
        <f>IF($AA9="","",IF(AND(ISNUMBER(N9),N9&gt;0,Y9&gt;N9),K9*N9/100+(Y9-N9),K9*Y9/100))</f>
        <v/>
      </c>
      <c r="M9">
        <f>IF($AA9="","",INDEX('Per Line'!$Z$2:$Z$4001,$AA9)&amp;"")</f>
        <v/>
      </c>
      <c r="N9">
        <f>IF($AA9="","",INDEX('Per Line'!$AG$2:$AG$4001,$AA9))</f>
        <v/>
      </c>
      <c r="O9">
        <f>IF($AA9="","",IF(AND(ISNUMBER(N9),N9&gt;0),Y9&gt;N9,FALSE))</f>
        <v/>
      </c>
      <c r="P9" s="7">
        <f>IF($AA9="","",SUMIFS('Per Line'!$Y$2:$Y$4001,'Per Line'!$E$2:$E$4001,$B9,'Per Line'!$AQ$2:$AQ$4001,1))</f>
        <v/>
      </c>
      <c r="Q9">
        <f>IF($AA9="","",Settings!$C$7)</f>
        <v/>
      </c>
      <c r="R9" s="7">
        <f>IF($AA9="","",SUMIFS('Per Line'!$Y$2:$Y$4001,'Per Line'!$E$2:$E$4001,$B9,'Per Line'!$AP$2:$AP$4001,0,'Per Line'!$AQ$2:$AQ$4001,0))</f>
        <v/>
      </c>
      <c r="S9" s="7">
        <f>IF($AA9="","",R9*Q9)</f>
        <v/>
      </c>
      <c r="T9">
        <f>IF($AA9="","",Settings!$C$6)</f>
        <v/>
      </c>
      <c r="U9" s="7">
        <f>IF($AA9="","",SUMIFS('Per Line'!$Y$2:$Y$4001,'Per Line'!$E$2:$E$4001,$B9,'Per Line'!$AP$2:$AP$4001,1,'Per Line'!$AQ$2:$AQ$4001,0))</f>
        <v/>
      </c>
      <c r="V9" s="7">
        <f>IF($AA9="","",U9*T9)</f>
        <v/>
      </c>
      <c r="W9" s="7">
        <f>IF($AA9="","",V9+S9)</f>
        <v/>
      </c>
      <c r="X9" s="7">
        <f>IF($AA9="","",Y9-W9)</f>
        <v/>
      </c>
      <c r="Y9" s="7">
        <f>IF($AA9="","",R9+U9+P9)</f>
        <v/>
      </c>
      <c r="Z9" s="7">
        <f>IF($AA9="","",Y9-W9-L9)</f>
        <v/>
      </c>
      <c r="AA9" s="13">
        <f>IF(ROWS($AA$2:$AA9)&lt;=MAX('Per Line'!$AO$2:$AO$4001),MATCH(ROWS($AA$2:$AA9),'Per Line'!$AO$2:$AO$4001,0),"")</f>
        <v/>
      </c>
      <c r="AB9" s="14">
        <f>IF($AA9="","",L9-K9*Y9/100)</f>
        <v/>
      </c>
    </row>
    <row r="10">
      <c r="A10" s="12" t="n"/>
      <c r="B10">
        <f>IF($AA10="","",INDEX('Per Line'!$E$2:$E$4001,$AA10)&amp;"")</f>
        <v/>
      </c>
      <c r="C10">
        <f>IF($AA10="","",INDEX('Per Line'!$A$2:$A$4001,$AA10)&amp;"")</f>
        <v/>
      </c>
      <c r="D10">
        <f>IF($AA10="","",INDEX('Per Line'!$D$2:$D$4001,$AA10)&amp;"")</f>
        <v/>
      </c>
      <c r="E10" s="11">
        <f>IF($AA10="","",INDEX('Per Line'!$G$2:$G$4001,$AA10))</f>
        <v/>
      </c>
      <c r="F10">
        <f>IF($AA10="","",INDEX('Per Line'!$H$2:$H$4001,$AA10)&amp;"")</f>
        <v/>
      </c>
      <c r="G10">
        <f>IF($AA10="","",INDEX('Per Line'!$I$2:$I$4001,$AA10)&amp;"")</f>
        <v/>
      </c>
      <c r="H10">
        <f>IF($AA10="","",INDEX('Per Line'!$J$2:$J$4001,$AA10)&amp;"")</f>
        <v/>
      </c>
      <c r="I10">
        <f>IF($AA10="","",INDEX('Per Line'!$K$2:$K$4001,$AA10)&amp;"")</f>
        <v/>
      </c>
      <c r="J10">
        <f>IF($AA10="","",INDEX('Per Line'!$L$2:$L$4001,$AA10)&amp;"")</f>
        <v/>
      </c>
      <c r="K10">
        <f>IF($AA10="","",INDEX('Per Line'!$P$2:$P$4001,$AA10))</f>
        <v/>
      </c>
      <c r="L10" s="7">
        <f>IF($AA10="","",IF(AND(ISNUMBER(N10),N10&gt;0,Y10&gt;N10),K10*N10/100+(Y10-N10),K10*Y10/100))</f>
        <v/>
      </c>
      <c r="M10">
        <f>IF($AA10="","",INDEX('Per Line'!$Z$2:$Z$4001,$AA10)&amp;"")</f>
        <v/>
      </c>
      <c r="N10">
        <f>IF($AA10="","",INDEX('Per Line'!$AG$2:$AG$4001,$AA10))</f>
        <v/>
      </c>
      <c r="O10">
        <f>IF($AA10="","",IF(AND(ISNUMBER(N10),N10&gt;0),Y10&gt;N10,FALSE))</f>
        <v/>
      </c>
      <c r="P10" s="7">
        <f>IF($AA10="","",SUMIFS('Per Line'!$Y$2:$Y$4001,'Per Line'!$E$2:$E$4001,$B10,'Per Line'!$AQ$2:$AQ$4001,1))</f>
        <v/>
      </c>
      <c r="Q10">
        <f>IF($AA10="","",Settings!$C$7)</f>
        <v/>
      </c>
      <c r="R10" s="7">
        <f>IF($AA10="","",SUMIFS('Per Line'!$Y$2:$Y$4001,'Per Line'!$E$2:$E$4001,$B10,'Per Line'!$AP$2:$AP$4001,0,'Per Line'!$AQ$2:$AQ$4001,0))</f>
        <v/>
      </c>
      <c r="S10" s="7">
        <f>IF($AA10="","",R10*Q10)</f>
        <v/>
      </c>
      <c r="T10">
        <f>IF($AA10="","",Settings!$C$6)</f>
        <v/>
      </c>
      <c r="U10" s="7">
        <f>IF($AA10="","",SUMIFS('Per Line'!$Y$2:$Y$4001,'Per Line'!$E$2:$E$4001,$B10,'Per Line'!$AP$2:$AP$4001,1,'Per Line'!$AQ$2:$AQ$4001,0))</f>
        <v/>
      </c>
      <c r="V10" s="7">
        <f>IF($AA10="","",U10*T10)</f>
        <v/>
      </c>
      <c r="W10" s="7">
        <f>IF($AA10="","",V10+S10)</f>
        <v/>
      </c>
      <c r="X10" s="7">
        <f>IF($AA10="","",Y10-W10)</f>
        <v/>
      </c>
      <c r="Y10" s="7">
        <f>IF($AA10="","",R10+U10+P10)</f>
        <v/>
      </c>
      <c r="Z10" s="7">
        <f>IF($AA10="","",Y10-W10-L10)</f>
        <v/>
      </c>
      <c r="AA10" s="13">
        <f>IF(ROWS($AA$2:$AA10)&lt;=MAX('Per Line'!$AO$2:$AO$4001),MATCH(ROWS($AA$2:$AA10),'Per Line'!$AO$2:$AO$4001,0),"")</f>
        <v/>
      </c>
      <c r="AB10" s="14">
        <f>IF($AA10="","",L10-K10*Y10/100)</f>
        <v/>
      </c>
    </row>
    <row r="11">
      <c r="A11" s="12" t="n"/>
      <c r="B11">
        <f>IF($AA11="","",INDEX('Per Line'!$E$2:$E$4001,$AA11)&amp;"")</f>
        <v/>
      </c>
      <c r="C11">
        <f>IF($AA11="","",INDEX('Per Line'!$A$2:$A$4001,$AA11)&amp;"")</f>
        <v/>
      </c>
      <c r="D11">
        <f>IF($AA11="","",INDEX('Per Line'!$D$2:$D$4001,$AA11)&amp;"")</f>
        <v/>
      </c>
      <c r="E11" s="11">
        <f>IF($AA11="","",INDEX('Per Line'!$G$2:$G$4001,$AA11))</f>
        <v/>
      </c>
      <c r="F11">
        <f>IF($AA11="","",INDEX('Per Line'!$H$2:$H$4001,$AA11)&amp;"")</f>
        <v/>
      </c>
      <c r="G11">
        <f>IF($AA11="","",INDEX('Per Line'!$I$2:$I$4001,$AA11)&amp;"")</f>
        <v/>
      </c>
      <c r="H11">
        <f>IF($AA11="","",INDEX('Per Line'!$J$2:$J$4001,$AA11)&amp;"")</f>
        <v/>
      </c>
      <c r="I11">
        <f>IF($AA11="","",INDEX('Per Line'!$K$2:$K$4001,$AA11)&amp;"")</f>
        <v/>
      </c>
      <c r="J11">
        <f>IF($AA11="","",INDEX('Per Line'!$L$2:$L$4001,$AA11)&amp;"")</f>
        <v/>
      </c>
      <c r="K11">
        <f>IF($AA11="","",INDEX('Per Line'!$P$2:$P$4001,$AA11))</f>
        <v/>
      </c>
      <c r="L11" s="7">
        <f>IF($AA11="","",IF(AND(ISNUMBER(N11),N11&gt;0,Y11&gt;N11),K11*N11/100+(Y11-N11),K11*Y11/100))</f>
        <v/>
      </c>
      <c r="M11">
        <f>IF($AA11="","",INDEX('Per Line'!$Z$2:$Z$4001,$AA11)&amp;"")</f>
        <v/>
      </c>
      <c r="N11">
        <f>IF($AA11="","",INDEX('Per Line'!$AG$2:$AG$4001,$AA11))</f>
        <v/>
      </c>
      <c r="O11">
        <f>IF($AA11="","",IF(AND(ISNUMBER(N11),N11&gt;0),Y11&gt;N11,FALSE))</f>
        <v/>
      </c>
      <c r="P11" s="7">
        <f>IF($AA11="","",SUMIFS('Per Line'!$Y$2:$Y$4001,'Per Line'!$E$2:$E$4001,$B11,'Per Line'!$AQ$2:$AQ$4001,1))</f>
        <v/>
      </c>
      <c r="Q11">
        <f>IF($AA11="","",Settings!$C$7)</f>
        <v/>
      </c>
      <c r="R11" s="7">
        <f>IF($AA11="","",SUMIFS('Per Line'!$Y$2:$Y$4001,'Per Line'!$E$2:$E$4001,$B11,'Per Line'!$AP$2:$AP$4001,0,'Per Line'!$AQ$2:$AQ$4001,0))</f>
        <v/>
      </c>
      <c r="S11" s="7">
        <f>IF($AA11="","",R11*Q11)</f>
        <v/>
      </c>
      <c r="T11">
        <f>IF($AA11="","",Settings!$C$6)</f>
        <v/>
      </c>
      <c r="U11" s="7">
        <f>IF($AA11="","",SUMIFS('Per Line'!$Y$2:$Y$4001,'Per Line'!$E$2:$E$4001,$B11,'Per Line'!$AP$2:$AP$4001,1,'Per Line'!$AQ$2:$AQ$4001,0))</f>
        <v/>
      </c>
      <c r="V11" s="7">
        <f>IF($AA11="","",U11*T11)</f>
        <v/>
      </c>
      <c r="W11" s="7">
        <f>IF($AA11="","",V11+S11)</f>
        <v/>
      </c>
      <c r="X11" s="7">
        <f>IF($AA11="","",Y11-W11)</f>
        <v/>
      </c>
      <c r="Y11" s="7">
        <f>IF($AA11="","",R11+U11+P11)</f>
        <v/>
      </c>
      <c r="Z11" s="7">
        <f>IF($AA11="","",Y11-W11-L11)</f>
        <v/>
      </c>
      <c r="AA11" s="13">
        <f>IF(ROWS($AA$2:$AA11)&lt;=MAX('Per Line'!$AO$2:$AO$4001),MATCH(ROWS($AA$2:$AA11),'Per Line'!$AO$2:$AO$4001,0),"")</f>
        <v/>
      </c>
      <c r="AB11" s="14">
        <f>IF($AA11="","",L11-K11*Y11/100)</f>
        <v/>
      </c>
    </row>
    <row r="12">
      <c r="A12" s="12" t="n"/>
      <c r="B12">
        <f>IF($AA12="","",INDEX('Per Line'!$E$2:$E$4001,$AA12)&amp;"")</f>
        <v/>
      </c>
      <c r="C12">
        <f>IF($AA12="","",INDEX('Per Line'!$A$2:$A$4001,$AA12)&amp;"")</f>
        <v/>
      </c>
      <c r="D12">
        <f>IF($AA12="","",INDEX('Per Line'!$D$2:$D$4001,$AA12)&amp;"")</f>
        <v/>
      </c>
      <c r="E12" s="11">
        <f>IF($AA12="","",INDEX('Per Line'!$G$2:$G$4001,$AA12))</f>
        <v/>
      </c>
      <c r="F12">
        <f>IF($AA12="","",INDEX('Per Line'!$H$2:$H$4001,$AA12)&amp;"")</f>
        <v/>
      </c>
      <c r="G12">
        <f>IF($AA12="","",INDEX('Per Line'!$I$2:$I$4001,$AA12)&amp;"")</f>
        <v/>
      </c>
      <c r="H12">
        <f>IF($AA12="","",INDEX('Per Line'!$J$2:$J$4001,$AA12)&amp;"")</f>
        <v/>
      </c>
      <c r="I12">
        <f>IF($AA12="","",INDEX('Per Line'!$K$2:$K$4001,$AA12)&amp;"")</f>
        <v/>
      </c>
      <c r="J12">
        <f>IF($AA12="","",INDEX('Per Line'!$L$2:$L$4001,$AA12)&amp;"")</f>
        <v/>
      </c>
      <c r="K12">
        <f>IF($AA12="","",INDEX('Per Line'!$P$2:$P$4001,$AA12))</f>
        <v/>
      </c>
      <c r="L12" s="7">
        <f>IF($AA12="","",IF(AND(ISNUMBER(N12),N12&gt;0,Y12&gt;N12),K12*N12/100+(Y12-N12),K12*Y12/100))</f>
        <v/>
      </c>
      <c r="M12">
        <f>IF($AA12="","",INDEX('Per Line'!$Z$2:$Z$4001,$AA12)&amp;"")</f>
        <v/>
      </c>
      <c r="N12">
        <f>IF($AA12="","",INDEX('Per Line'!$AG$2:$AG$4001,$AA12))</f>
        <v/>
      </c>
      <c r="O12">
        <f>IF($AA12="","",IF(AND(ISNUMBER(N12),N12&gt;0),Y12&gt;N12,FALSE))</f>
        <v/>
      </c>
      <c r="P12" s="7">
        <f>IF($AA12="","",SUMIFS('Per Line'!$Y$2:$Y$4001,'Per Line'!$E$2:$E$4001,$B12,'Per Line'!$AQ$2:$AQ$4001,1))</f>
        <v/>
      </c>
      <c r="Q12">
        <f>IF($AA12="","",Settings!$C$7)</f>
        <v/>
      </c>
      <c r="R12" s="7">
        <f>IF($AA12="","",SUMIFS('Per Line'!$Y$2:$Y$4001,'Per Line'!$E$2:$E$4001,$B12,'Per Line'!$AP$2:$AP$4001,0,'Per Line'!$AQ$2:$AQ$4001,0))</f>
        <v/>
      </c>
      <c r="S12" s="7">
        <f>IF($AA12="","",R12*Q12)</f>
        <v/>
      </c>
      <c r="T12">
        <f>IF($AA12="","",Settings!$C$6)</f>
        <v/>
      </c>
      <c r="U12" s="7">
        <f>IF($AA12="","",SUMIFS('Per Line'!$Y$2:$Y$4001,'Per Line'!$E$2:$E$4001,$B12,'Per Line'!$AP$2:$AP$4001,1,'Per Line'!$AQ$2:$AQ$4001,0))</f>
        <v/>
      </c>
      <c r="V12" s="7">
        <f>IF($AA12="","",U12*T12)</f>
        <v/>
      </c>
      <c r="W12" s="7">
        <f>IF($AA12="","",V12+S12)</f>
        <v/>
      </c>
      <c r="X12" s="7">
        <f>IF($AA12="","",Y12-W12)</f>
        <v/>
      </c>
      <c r="Y12" s="7">
        <f>IF($AA12="","",R12+U12+P12)</f>
        <v/>
      </c>
      <c r="Z12" s="7">
        <f>IF($AA12="","",Y12-W12-L12)</f>
        <v/>
      </c>
      <c r="AA12" s="13">
        <f>IF(ROWS($AA$2:$AA12)&lt;=MAX('Per Line'!$AO$2:$AO$4001),MATCH(ROWS($AA$2:$AA12),'Per Line'!$AO$2:$AO$4001,0),"")</f>
        <v/>
      </c>
      <c r="AB12" s="14">
        <f>IF($AA12="","",L12-K12*Y12/100)</f>
        <v/>
      </c>
    </row>
    <row r="13">
      <c r="A13" s="12" t="n"/>
      <c r="B13">
        <f>IF($AA13="","",INDEX('Per Line'!$E$2:$E$4001,$AA13)&amp;"")</f>
        <v/>
      </c>
      <c r="C13">
        <f>IF($AA13="","",INDEX('Per Line'!$A$2:$A$4001,$AA13)&amp;"")</f>
        <v/>
      </c>
      <c r="D13">
        <f>IF($AA13="","",INDEX('Per Line'!$D$2:$D$4001,$AA13)&amp;"")</f>
        <v/>
      </c>
      <c r="E13" s="11">
        <f>IF($AA13="","",INDEX('Per Line'!$G$2:$G$4001,$AA13))</f>
        <v/>
      </c>
      <c r="F13">
        <f>IF($AA13="","",INDEX('Per Line'!$H$2:$H$4001,$AA13)&amp;"")</f>
        <v/>
      </c>
      <c r="G13">
        <f>IF($AA13="","",INDEX('Per Line'!$I$2:$I$4001,$AA13)&amp;"")</f>
        <v/>
      </c>
      <c r="H13">
        <f>IF($AA13="","",INDEX('Per Line'!$J$2:$J$4001,$AA13)&amp;"")</f>
        <v/>
      </c>
      <c r="I13">
        <f>IF($AA13="","",INDEX('Per Line'!$K$2:$K$4001,$AA13)&amp;"")</f>
        <v/>
      </c>
      <c r="J13">
        <f>IF($AA13="","",INDEX('Per Line'!$L$2:$L$4001,$AA13)&amp;"")</f>
        <v/>
      </c>
      <c r="K13">
        <f>IF($AA13="","",INDEX('Per Line'!$P$2:$P$4001,$AA13))</f>
        <v/>
      </c>
      <c r="L13" s="7">
        <f>IF($AA13="","",IF(AND(ISNUMBER(N13),N13&gt;0,Y13&gt;N13),K13*N13/100+(Y13-N13),K13*Y13/100))</f>
        <v/>
      </c>
      <c r="M13">
        <f>IF($AA13="","",INDEX('Per Line'!$Z$2:$Z$4001,$AA13)&amp;"")</f>
        <v/>
      </c>
      <c r="N13">
        <f>IF($AA13="","",INDEX('Per Line'!$AG$2:$AG$4001,$AA13))</f>
        <v/>
      </c>
      <c r="O13">
        <f>IF($AA13="","",IF(AND(ISNUMBER(N13),N13&gt;0),Y13&gt;N13,FALSE))</f>
        <v/>
      </c>
      <c r="P13" s="7">
        <f>IF($AA13="","",SUMIFS('Per Line'!$Y$2:$Y$4001,'Per Line'!$E$2:$E$4001,$B13,'Per Line'!$AQ$2:$AQ$4001,1))</f>
        <v/>
      </c>
      <c r="Q13">
        <f>IF($AA13="","",Settings!$C$7)</f>
        <v/>
      </c>
      <c r="R13" s="7">
        <f>IF($AA13="","",SUMIFS('Per Line'!$Y$2:$Y$4001,'Per Line'!$E$2:$E$4001,$B13,'Per Line'!$AP$2:$AP$4001,0,'Per Line'!$AQ$2:$AQ$4001,0))</f>
        <v/>
      </c>
      <c r="S13" s="7">
        <f>IF($AA13="","",R13*Q13)</f>
        <v/>
      </c>
      <c r="T13">
        <f>IF($AA13="","",Settings!$C$6)</f>
        <v/>
      </c>
      <c r="U13" s="7">
        <f>IF($AA13="","",SUMIFS('Per Line'!$Y$2:$Y$4001,'Per Line'!$E$2:$E$4001,$B13,'Per Line'!$AP$2:$AP$4001,1,'Per Line'!$AQ$2:$AQ$4001,0))</f>
        <v/>
      </c>
      <c r="V13" s="7">
        <f>IF($AA13="","",U13*T13)</f>
        <v/>
      </c>
      <c r="W13" s="7">
        <f>IF($AA13="","",V13+S13)</f>
        <v/>
      </c>
      <c r="X13" s="7">
        <f>IF($AA13="","",Y13-W13)</f>
        <v/>
      </c>
      <c r="Y13" s="7">
        <f>IF($AA13="","",R13+U13+P13)</f>
        <v/>
      </c>
      <c r="Z13" s="7">
        <f>IF($AA13="","",Y13-W13-L13)</f>
        <v/>
      </c>
      <c r="AA13" s="13">
        <f>IF(ROWS($AA$2:$AA13)&lt;=MAX('Per Line'!$AO$2:$AO$4001),MATCH(ROWS($AA$2:$AA13),'Per Line'!$AO$2:$AO$4001,0),"")</f>
        <v/>
      </c>
      <c r="AB13" s="14">
        <f>IF($AA13="","",L13-K13*Y13/100)</f>
        <v/>
      </c>
    </row>
    <row r="14">
      <c r="A14" s="12" t="n"/>
      <c r="B14">
        <f>IF($AA14="","",INDEX('Per Line'!$E$2:$E$4001,$AA14)&amp;"")</f>
        <v/>
      </c>
      <c r="C14">
        <f>IF($AA14="","",INDEX('Per Line'!$A$2:$A$4001,$AA14)&amp;"")</f>
        <v/>
      </c>
      <c r="D14">
        <f>IF($AA14="","",INDEX('Per Line'!$D$2:$D$4001,$AA14)&amp;"")</f>
        <v/>
      </c>
      <c r="E14" s="11">
        <f>IF($AA14="","",INDEX('Per Line'!$G$2:$G$4001,$AA14))</f>
        <v/>
      </c>
      <c r="F14">
        <f>IF($AA14="","",INDEX('Per Line'!$H$2:$H$4001,$AA14)&amp;"")</f>
        <v/>
      </c>
      <c r="G14">
        <f>IF($AA14="","",INDEX('Per Line'!$I$2:$I$4001,$AA14)&amp;"")</f>
        <v/>
      </c>
      <c r="H14">
        <f>IF($AA14="","",INDEX('Per Line'!$J$2:$J$4001,$AA14)&amp;"")</f>
        <v/>
      </c>
      <c r="I14">
        <f>IF($AA14="","",INDEX('Per Line'!$K$2:$K$4001,$AA14)&amp;"")</f>
        <v/>
      </c>
      <c r="J14">
        <f>IF($AA14="","",INDEX('Per Line'!$L$2:$L$4001,$AA14)&amp;"")</f>
        <v/>
      </c>
      <c r="K14">
        <f>IF($AA14="","",INDEX('Per Line'!$P$2:$P$4001,$AA14))</f>
        <v/>
      </c>
      <c r="L14" s="7">
        <f>IF($AA14="","",IF(AND(ISNUMBER(N14),N14&gt;0,Y14&gt;N14),K14*N14/100+(Y14-N14),K14*Y14/100))</f>
        <v/>
      </c>
      <c r="M14">
        <f>IF($AA14="","",INDEX('Per Line'!$Z$2:$Z$4001,$AA14)&amp;"")</f>
        <v/>
      </c>
      <c r="N14">
        <f>IF($AA14="","",INDEX('Per Line'!$AG$2:$AG$4001,$AA14))</f>
        <v/>
      </c>
      <c r="O14">
        <f>IF($AA14="","",IF(AND(ISNUMBER(N14),N14&gt;0),Y14&gt;N14,FALSE))</f>
        <v/>
      </c>
      <c r="P14" s="7">
        <f>IF($AA14="","",SUMIFS('Per Line'!$Y$2:$Y$4001,'Per Line'!$E$2:$E$4001,$B14,'Per Line'!$AQ$2:$AQ$4001,1))</f>
        <v/>
      </c>
      <c r="Q14">
        <f>IF($AA14="","",Settings!$C$7)</f>
        <v/>
      </c>
      <c r="R14" s="7">
        <f>IF($AA14="","",SUMIFS('Per Line'!$Y$2:$Y$4001,'Per Line'!$E$2:$E$4001,$B14,'Per Line'!$AP$2:$AP$4001,0,'Per Line'!$AQ$2:$AQ$4001,0))</f>
        <v/>
      </c>
      <c r="S14" s="7">
        <f>IF($AA14="","",R14*Q14)</f>
        <v/>
      </c>
      <c r="T14">
        <f>IF($AA14="","",Settings!$C$6)</f>
        <v/>
      </c>
      <c r="U14" s="7">
        <f>IF($AA14="","",SUMIFS('Per Line'!$Y$2:$Y$4001,'Per Line'!$E$2:$E$4001,$B14,'Per Line'!$AP$2:$AP$4001,1,'Per Line'!$AQ$2:$AQ$4001,0))</f>
        <v/>
      </c>
      <c r="V14" s="7">
        <f>IF($AA14="","",U14*T14)</f>
        <v/>
      </c>
      <c r="W14" s="7">
        <f>IF($AA14="","",V14+S14)</f>
        <v/>
      </c>
      <c r="X14" s="7">
        <f>IF($AA14="","",Y14-W14)</f>
        <v/>
      </c>
      <c r="Y14" s="7">
        <f>IF($AA14="","",R14+U14+P14)</f>
        <v/>
      </c>
      <c r="Z14" s="7">
        <f>IF($AA14="","",Y14-W14-L14)</f>
        <v/>
      </c>
      <c r="AA14" s="13">
        <f>IF(ROWS($AA$2:$AA14)&lt;=MAX('Per Line'!$AO$2:$AO$4001),MATCH(ROWS($AA$2:$AA14),'Per Line'!$AO$2:$AO$4001,0),"")</f>
        <v/>
      </c>
      <c r="AB14" s="14">
        <f>IF($AA14="","",L14-K14*Y14/100)</f>
        <v/>
      </c>
    </row>
    <row r="15">
      <c r="A15" s="12" t="n"/>
      <c r="B15">
        <f>IF($AA15="","",INDEX('Per Line'!$E$2:$E$4001,$AA15)&amp;"")</f>
        <v/>
      </c>
      <c r="C15">
        <f>IF($AA15="","",INDEX('Per Line'!$A$2:$A$4001,$AA15)&amp;"")</f>
        <v/>
      </c>
      <c r="D15">
        <f>IF($AA15="","",INDEX('Per Line'!$D$2:$D$4001,$AA15)&amp;"")</f>
        <v/>
      </c>
      <c r="E15" s="11">
        <f>IF($AA15="","",INDEX('Per Line'!$G$2:$G$4001,$AA15))</f>
        <v/>
      </c>
      <c r="F15">
        <f>IF($AA15="","",INDEX('Per Line'!$H$2:$H$4001,$AA15)&amp;"")</f>
        <v/>
      </c>
      <c r="G15">
        <f>IF($AA15="","",INDEX('Per Line'!$I$2:$I$4001,$AA15)&amp;"")</f>
        <v/>
      </c>
      <c r="H15">
        <f>IF($AA15="","",INDEX('Per Line'!$J$2:$J$4001,$AA15)&amp;"")</f>
        <v/>
      </c>
      <c r="I15">
        <f>IF($AA15="","",INDEX('Per Line'!$K$2:$K$4001,$AA15)&amp;"")</f>
        <v/>
      </c>
      <c r="J15">
        <f>IF($AA15="","",INDEX('Per Line'!$L$2:$L$4001,$AA15)&amp;"")</f>
        <v/>
      </c>
      <c r="K15">
        <f>IF($AA15="","",INDEX('Per Line'!$P$2:$P$4001,$AA15))</f>
        <v/>
      </c>
      <c r="L15" s="7">
        <f>IF($AA15="","",IF(AND(ISNUMBER(N15),N15&gt;0,Y15&gt;N15),K15*N15/100+(Y15-N15),K15*Y15/100))</f>
        <v/>
      </c>
      <c r="M15">
        <f>IF($AA15="","",INDEX('Per Line'!$Z$2:$Z$4001,$AA15)&amp;"")</f>
        <v/>
      </c>
      <c r="N15">
        <f>IF($AA15="","",INDEX('Per Line'!$AG$2:$AG$4001,$AA15))</f>
        <v/>
      </c>
      <c r="O15">
        <f>IF($AA15="","",IF(AND(ISNUMBER(N15),N15&gt;0),Y15&gt;N15,FALSE))</f>
        <v/>
      </c>
      <c r="P15" s="7">
        <f>IF($AA15="","",SUMIFS('Per Line'!$Y$2:$Y$4001,'Per Line'!$E$2:$E$4001,$B15,'Per Line'!$AQ$2:$AQ$4001,1))</f>
        <v/>
      </c>
      <c r="Q15">
        <f>IF($AA15="","",Settings!$C$7)</f>
        <v/>
      </c>
      <c r="R15" s="7">
        <f>IF($AA15="","",SUMIFS('Per Line'!$Y$2:$Y$4001,'Per Line'!$E$2:$E$4001,$B15,'Per Line'!$AP$2:$AP$4001,0,'Per Line'!$AQ$2:$AQ$4001,0))</f>
        <v/>
      </c>
      <c r="S15" s="7">
        <f>IF($AA15="","",R15*Q15)</f>
        <v/>
      </c>
      <c r="T15">
        <f>IF($AA15="","",Settings!$C$6)</f>
        <v/>
      </c>
      <c r="U15" s="7">
        <f>IF($AA15="","",SUMIFS('Per Line'!$Y$2:$Y$4001,'Per Line'!$E$2:$E$4001,$B15,'Per Line'!$AP$2:$AP$4001,1,'Per Line'!$AQ$2:$AQ$4001,0))</f>
        <v/>
      </c>
      <c r="V15" s="7">
        <f>IF($AA15="","",U15*T15)</f>
        <v/>
      </c>
      <c r="W15" s="7">
        <f>IF($AA15="","",V15+S15)</f>
        <v/>
      </c>
      <c r="X15" s="7">
        <f>IF($AA15="","",Y15-W15)</f>
        <v/>
      </c>
      <c r="Y15" s="7">
        <f>IF($AA15="","",R15+U15+P15)</f>
        <v/>
      </c>
      <c r="Z15" s="7">
        <f>IF($AA15="","",Y15-W15-L15)</f>
        <v/>
      </c>
      <c r="AA15" s="13">
        <f>IF(ROWS($AA$2:$AA15)&lt;=MAX('Per Line'!$AO$2:$AO$4001),MATCH(ROWS($AA$2:$AA15),'Per Line'!$AO$2:$AO$4001,0),"")</f>
        <v/>
      </c>
      <c r="AB15" s="14">
        <f>IF($AA15="","",L15-K15*Y15/100)</f>
        <v/>
      </c>
    </row>
    <row r="16">
      <c r="A16" s="12" t="n"/>
      <c r="B16">
        <f>IF($AA16="","",INDEX('Per Line'!$E$2:$E$4001,$AA16)&amp;"")</f>
        <v/>
      </c>
      <c r="C16">
        <f>IF($AA16="","",INDEX('Per Line'!$A$2:$A$4001,$AA16)&amp;"")</f>
        <v/>
      </c>
      <c r="D16">
        <f>IF($AA16="","",INDEX('Per Line'!$D$2:$D$4001,$AA16)&amp;"")</f>
        <v/>
      </c>
      <c r="E16" s="11">
        <f>IF($AA16="","",INDEX('Per Line'!$G$2:$G$4001,$AA16))</f>
        <v/>
      </c>
      <c r="F16">
        <f>IF($AA16="","",INDEX('Per Line'!$H$2:$H$4001,$AA16)&amp;"")</f>
        <v/>
      </c>
      <c r="G16">
        <f>IF($AA16="","",INDEX('Per Line'!$I$2:$I$4001,$AA16)&amp;"")</f>
        <v/>
      </c>
      <c r="H16">
        <f>IF($AA16="","",INDEX('Per Line'!$J$2:$J$4001,$AA16)&amp;"")</f>
        <v/>
      </c>
      <c r="I16">
        <f>IF($AA16="","",INDEX('Per Line'!$K$2:$K$4001,$AA16)&amp;"")</f>
        <v/>
      </c>
      <c r="J16">
        <f>IF($AA16="","",INDEX('Per Line'!$L$2:$L$4001,$AA16)&amp;"")</f>
        <v/>
      </c>
      <c r="K16">
        <f>IF($AA16="","",INDEX('Per Line'!$P$2:$P$4001,$AA16))</f>
        <v/>
      </c>
      <c r="L16" s="7">
        <f>IF($AA16="","",IF(AND(ISNUMBER(N16),N16&gt;0,Y16&gt;N16),K16*N16/100+(Y16-N16),K16*Y16/100))</f>
        <v/>
      </c>
      <c r="M16">
        <f>IF($AA16="","",INDEX('Per Line'!$Z$2:$Z$4001,$AA16)&amp;"")</f>
        <v/>
      </c>
      <c r="N16">
        <f>IF($AA16="","",INDEX('Per Line'!$AG$2:$AG$4001,$AA16))</f>
        <v/>
      </c>
      <c r="O16">
        <f>IF($AA16="","",IF(AND(ISNUMBER(N16),N16&gt;0),Y16&gt;N16,FALSE))</f>
        <v/>
      </c>
      <c r="P16" s="7">
        <f>IF($AA16="","",SUMIFS('Per Line'!$Y$2:$Y$4001,'Per Line'!$E$2:$E$4001,$B16,'Per Line'!$AQ$2:$AQ$4001,1))</f>
        <v/>
      </c>
      <c r="Q16">
        <f>IF($AA16="","",Settings!$C$7)</f>
        <v/>
      </c>
      <c r="R16" s="7">
        <f>IF($AA16="","",SUMIFS('Per Line'!$Y$2:$Y$4001,'Per Line'!$E$2:$E$4001,$B16,'Per Line'!$AP$2:$AP$4001,0,'Per Line'!$AQ$2:$AQ$4001,0))</f>
        <v/>
      </c>
      <c r="S16" s="7">
        <f>IF($AA16="","",R16*Q16)</f>
        <v/>
      </c>
      <c r="T16">
        <f>IF($AA16="","",Settings!$C$6)</f>
        <v/>
      </c>
      <c r="U16" s="7">
        <f>IF($AA16="","",SUMIFS('Per Line'!$Y$2:$Y$4001,'Per Line'!$E$2:$E$4001,$B16,'Per Line'!$AP$2:$AP$4001,1,'Per Line'!$AQ$2:$AQ$4001,0))</f>
        <v/>
      </c>
      <c r="V16" s="7">
        <f>IF($AA16="","",U16*T16)</f>
        <v/>
      </c>
      <c r="W16" s="7">
        <f>IF($AA16="","",V16+S16)</f>
        <v/>
      </c>
      <c r="X16" s="7">
        <f>IF($AA16="","",Y16-W16)</f>
        <v/>
      </c>
      <c r="Y16" s="7">
        <f>IF($AA16="","",R16+U16+P16)</f>
        <v/>
      </c>
      <c r="Z16" s="7">
        <f>IF($AA16="","",Y16-W16-L16)</f>
        <v/>
      </c>
      <c r="AA16" s="13">
        <f>IF(ROWS($AA$2:$AA16)&lt;=MAX('Per Line'!$AO$2:$AO$4001),MATCH(ROWS($AA$2:$AA16),'Per Line'!$AO$2:$AO$4001,0),"")</f>
        <v/>
      </c>
      <c r="AB16" s="14">
        <f>IF($AA16="","",L16-K16*Y16/100)</f>
        <v/>
      </c>
    </row>
    <row r="17">
      <c r="A17" s="12" t="n"/>
      <c r="B17">
        <f>IF($AA17="","",INDEX('Per Line'!$E$2:$E$4001,$AA17)&amp;"")</f>
        <v/>
      </c>
      <c r="C17">
        <f>IF($AA17="","",INDEX('Per Line'!$A$2:$A$4001,$AA17)&amp;"")</f>
        <v/>
      </c>
      <c r="D17">
        <f>IF($AA17="","",INDEX('Per Line'!$D$2:$D$4001,$AA17)&amp;"")</f>
        <v/>
      </c>
      <c r="E17" s="11">
        <f>IF($AA17="","",INDEX('Per Line'!$G$2:$G$4001,$AA17))</f>
        <v/>
      </c>
      <c r="F17">
        <f>IF($AA17="","",INDEX('Per Line'!$H$2:$H$4001,$AA17)&amp;"")</f>
        <v/>
      </c>
      <c r="G17">
        <f>IF($AA17="","",INDEX('Per Line'!$I$2:$I$4001,$AA17)&amp;"")</f>
        <v/>
      </c>
      <c r="H17">
        <f>IF($AA17="","",INDEX('Per Line'!$J$2:$J$4001,$AA17)&amp;"")</f>
        <v/>
      </c>
      <c r="I17">
        <f>IF($AA17="","",INDEX('Per Line'!$K$2:$K$4001,$AA17)&amp;"")</f>
        <v/>
      </c>
      <c r="J17">
        <f>IF($AA17="","",INDEX('Per Line'!$L$2:$L$4001,$AA17)&amp;"")</f>
        <v/>
      </c>
      <c r="K17">
        <f>IF($AA17="","",INDEX('Per Line'!$P$2:$P$4001,$AA17))</f>
        <v/>
      </c>
      <c r="L17" s="7">
        <f>IF($AA17="","",IF(AND(ISNUMBER(N17),N17&gt;0,Y17&gt;N17),K17*N17/100+(Y17-N17),K17*Y17/100))</f>
        <v/>
      </c>
      <c r="M17">
        <f>IF($AA17="","",INDEX('Per Line'!$Z$2:$Z$4001,$AA17)&amp;"")</f>
        <v/>
      </c>
      <c r="N17">
        <f>IF($AA17="","",INDEX('Per Line'!$AG$2:$AG$4001,$AA17))</f>
        <v/>
      </c>
      <c r="O17">
        <f>IF($AA17="","",IF(AND(ISNUMBER(N17),N17&gt;0),Y17&gt;N17,FALSE))</f>
        <v/>
      </c>
      <c r="P17" s="7">
        <f>IF($AA17="","",SUMIFS('Per Line'!$Y$2:$Y$4001,'Per Line'!$E$2:$E$4001,$B17,'Per Line'!$AQ$2:$AQ$4001,1))</f>
        <v/>
      </c>
      <c r="Q17">
        <f>IF($AA17="","",Settings!$C$7)</f>
        <v/>
      </c>
      <c r="R17" s="7">
        <f>IF($AA17="","",SUMIFS('Per Line'!$Y$2:$Y$4001,'Per Line'!$E$2:$E$4001,$B17,'Per Line'!$AP$2:$AP$4001,0,'Per Line'!$AQ$2:$AQ$4001,0))</f>
        <v/>
      </c>
      <c r="S17" s="7">
        <f>IF($AA17="","",R17*Q17)</f>
        <v/>
      </c>
      <c r="T17">
        <f>IF($AA17="","",Settings!$C$6)</f>
        <v/>
      </c>
      <c r="U17" s="7">
        <f>IF($AA17="","",SUMIFS('Per Line'!$Y$2:$Y$4001,'Per Line'!$E$2:$E$4001,$B17,'Per Line'!$AP$2:$AP$4001,1,'Per Line'!$AQ$2:$AQ$4001,0))</f>
        <v/>
      </c>
      <c r="V17" s="7">
        <f>IF($AA17="","",U17*T17)</f>
        <v/>
      </c>
      <c r="W17" s="7">
        <f>IF($AA17="","",V17+S17)</f>
        <v/>
      </c>
      <c r="X17" s="7">
        <f>IF($AA17="","",Y17-W17)</f>
        <v/>
      </c>
      <c r="Y17" s="7">
        <f>IF($AA17="","",R17+U17+P17)</f>
        <v/>
      </c>
      <c r="Z17" s="7">
        <f>IF($AA17="","",Y17-W17-L17)</f>
        <v/>
      </c>
      <c r="AA17" s="13">
        <f>IF(ROWS($AA$2:$AA17)&lt;=MAX('Per Line'!$AO$2:$AO$4001),MATCH(ROWS($AA$2:$AA17),'Per Line'!$AO$2:$AO$4001,0),"")</f>
        <v/>
      </c>
      <c r="AB17" s="14">
        <f>IF($AA17="","",L17-K17*Y17/100)</f>
        <v/>
      </c>
    </row>
    <row r="18">
      <c r="A18" s="12" t="n"/>
      <c r="B18">
        <f>IF($AA18="","",INDEX('Per Line'!$E$2:$E$4001,$AA18)&amp;"")</f>
        <v/>
      </c>
      <c r="C18">
        <f>IF($AA18="","",INDEX('Per Line'!$A$2:$A$4001,$AA18)&amp;"")</f>
        <v/>
      </c>
      <c r="D18">
        <f>IF($AA18="","",INDEX('Per Line'!$D$2:$D$4001,$AA18)&amp;"")</f>
        <v/>
      </c>
      <c r="E18" s="11">
        <f>IF($AA18="","",INDEX('Per Line'!$G$2:$G$4001,$AA18))</f>
        <v/>
      </c>
      <c r="F18">
        <f>IF($AA18="","",INDEX('Per Line'!$H$2:$H$4001,$AA18)&amp;"")</f>
        <v/>
      </c>
      <c r="G18">
        <f>IF($AA18="","",INDEX('Per Line'!$I$2:$I$4001,$AA18)&amp;"")</f>
        <v/>
      </c>
      <c r="H18">
        <f>IF($AA18="","",INDEX('Per Line'!$J$2:$J$4001,$AA18)&amp;"")</f>
        <v/>
      </c>
      <c r="I18">
        <f>IF($AA18="","",INDEX('Per Line'!$K$2:$K$4001,$AA18)&amp;"")</f>
        <v/>
      </c>
      <c r="J18">
        <f>IF($AA18="","",INDEX('Per Line'!$L$2:$L$4001,$AA18)&amp;"")</f>
        <v/>
      </c>
      <c r="K18">
        <f>IF($AA18="","",INDEX('Per Line'!$P$2:$P$4001,$AA18))</f>
        <v/>
      </c>
      <c r="L18" s="7">
        <f>IF($AA18="","",IF(AND(ISNUMBER(N18),N18&gt;0,Y18&gt;N18),K18*N18/100+(Y18-N18),K18*Y18/100))</f>
        <v/>
      </c>
      <c r="M18">
        <f>IF($AA18="","",INDEX('Per Line'!$Z$2:$Z$4001,$AA18)&amp;"")</f>
        <v/>
      </c>
      <c r="N18">
        <f>IF($AA18="","",INDEX('Per Line'!$AG$2:$AG$4001,$AA18))</f>
        <v/>
      </c>
      <c r="O18">
        <f>IF($AA18="","",IF(AND(ISNUMBER(N18),N18&gt;0),Y18&gt;N18,FALSE))</f>
        <v/>
      </c>
      <c r="P18" s="7">
        <f>IF($AA18="","",SUMIFS('Per Line'!$Y$2:$Y$4001,'Per Line'!$E$2:$E$4001,$B18,'Per Line'!$AQ$2:$AQ$4001,1))</f>
        <v/>
      </c>
      <c r="Q18">
        <f>IF($AA18="","",Settings!$C$7)</f>
        <v/>
      </c>
      <c r="R18" s="7">
        <f>IF($AA18="","",SUMIFS('Per Line'!$Y$2:$Y$4001,'Per Line'!$E$2:$E$4001,$B18,'Per Line'!$AP$2:$AP$4001,0,'Per Line'!$AQ$2:$AQ$4001,0))</f>
        <v/>
      </c>
      <c r="S18" s="7">
        <f>IF($AA18="","",R18*Q18)</f>
        <v/>
      </c>
      <c r="T18">
        <f>IF($AA18="","",Settings!$C$6)</f>
        <v/>
      </c>
      <c r="U18" s="7">
        <f>IF($AA18="","",SUMIFS('Per Line'!$Y$2:$Y$4001,'Per Line'!$E$2:$E$4001,$B18,'Per Line'!$AP$2:$AP$4001,1,'Per Line'!$AQ$2:$AQ$4001,0))</f>
        <v/>
      </c>
      <c r="V18" s="7">
        <f>IF($AA18="","",U18*T18)</f>
        <v/>
      </c>
      <c r="W18" s="7">
        <f>IF($AA18="","",V18+S18)</f>
        <v/>
      </c>
      <c r="X18" s="7">
        <f>IF($AA18="","",Y18-W18)</f>
        <v/>
      </c>
      <c r="Y18" s="7">
        <f>IF($AA18="","",R18+U18+P18)</f>
        <v/>
      </c>
      <c r="Z18" s="7">
        <f>IF($AA18="","",Y18-W18-L18)</f>
        <v/>
      </c>
      <c r="AA18" s="13">
        <f>IF(ROWS($AA$2:$AA18)&lt;=MAX('Per Line'!$AO$2:$AO$4001),MATCH(ROWS($AA$2:$AA18),'Per Line'!$AO$2:$AO$4001,0),"")</f>
        <v/>
      </c>
      <c r="AB18" s="14">
        <f>IF($AA18="","",L18-K18*Y18/100)</f>
        <v/>
      </c>
    </row>
    <row r="19">
      <c r="A19" s="12" t="n"/>
      <c r="B19">
        <f>IF($AA19="","",INDEX('Per Line'!$E$2:$E$4001,$AA19)&amp;"")</f>
        <v/>
      </c>
      <c r="C19">
        <f>IF($AA19="","",INDEX('Per Line'!$A$2:$A$4001,$AA19)&amp;"")</f>
        <v/>
      </c>
      <c r="D19">
        <f>IF($AA19="","",INDEX('Per Line'!$D$2:$D$4001,$AA19)&amp;"")</f>
        <v/>
      </c>
      <c r="E19" s="11">
        <f>IF($AA19="","",INDEX('Per Line'!$G$2:$G$4001,$AA19))</f>
        <v/>
      </c>
      <c r="F19">
        <f>IF($AA19="","",INDEX('Per Line'!$H$2:$H$4001,$AA19)&amp;"")</f>
        <v/>
      </c>
      <c r="G19">
        <f>IF($AA19="","",INDEX('Per Line'!$I$2:$I$4001,$AA19)&amp;"")</f>
        <v/>
      </c>
      <c r="H19">
        <f>IF($AA19="","",INDEX('Per Line'!$J$2:$J$4001,$AA19)&amp;"")</f>
        <v/>
      </c>
      <c r="I19">
        <f>IF($AA19="","",INDEX('Per Line'!$K$2:$K$4001,$AA19)&amp;"")</f>
        <v/>
      </c>
      <c r="J19">
        <f>IF($AA19="","",INDEX('Per Line'!$L$2:$L$4001,$AA19)&amp;"")</f>
        <v/>
      </c>
      <c r="K19">
        <f>IF($AA19="","",INDEX('Per Line'!$P$2:$P$4001,$AA19))</f>
        <v/>
      </c>
      <c r="L19" s="7">
        <f>IF($AA19="","",IF(AND(ISNUMBER(N19),N19&gt;0,Y19&gt;N19),K19*N19/100+(Y19-N19),K19*Y19/100))</f>
        <v/>
      </c>
      <c r="M19">
        <f>IF($AA19="","",INDEX('Per Line'!$Z$2:$Z$4001,$AA19)&amp;"")</f>
        <v/>
      </c>
      <c r="N19">
        <f>IF($AA19="","",INDEX('Per Line'!$AG$2:$AG$4001,$AA19))</f>
        <v/>
      </c>
      <c r="O19">
        <f>IF($AA19="","",IF(AND(ISNUMBER(N19),N19&gt;0),Y19&gt;N19,FALSE))</f>
        <v/>
      </c>
      <c r="P19" s="7">
        <f>IF($AA19="","",SUMIFS('Per Line'!$Y$2:$Y$4001,'Per Line'!$E$2:$E$4001,$B19,'Per Line'!$AQ$2:$AQ$4001,1))</f>
        <v/>
      </c>
      <c r="Q19">
        <f>IF($AA19="","",Settings!$C$7)</f>
        <v/>
      </c>
      <c r="R19" s="7">
        <f>IF($AA19="","",SUMIFS('Per Line'!$Y$2:$Y$4001,'Per Line'!$E$2:$E$4001,$B19,'Per Line'!$AP$2:$AP$4001,0,'Per Line'!$AQ$2:$AQ$4001,0))</f>
        <v/>
      </c>
      <c r="S19" s="7">
        <f>IF($AA19="","",R19*Q19)</f>
        <v/>
      </c>
      <c r="T19">
        <f>IF($AA19="","",Settings!$C$6)</f>
        <v/>
      </c>
      <c r="U19" s="7">
        <f>IF($AA19="","",SUMIFS('Per Line'!$Y$2:$Y$4001,'Per Line'!$E$2:$E$4001,$B19,'Per Line'!$AP$2:$AP$4001,1,'Per Line'!$AQ$2:$AQ$4001,0))</f>
        <v/>
      </c>
      <c r="V19" s="7">
        <f>IF($AA19="","",U19*T19)</f>
        <v/>
      </c>
      <c r="W19" s="7">
        <f>IF($AA19="","",V19+S19)</f>
        <v/>
      </c>
      <c r="X19" s="7">
        <f>IF($AA19="","",Y19-W19)</f>
        <v/>
      </c>
      <c r="Y19" s="7">
        <f>IF($AA19="","",R19+U19+P19)</f>
        <v/>
      </c>
      <c r="Z19" s="7">
        <f>IF($AA19="","",Y19-W19-L19)</f>
        <v/>
      </c>
      <c r="AA19" s="13">
        <f>IF(ROWS($AA$2:$AA19)&lt;=MAX('Per Line'!$AO$2:$AO$4001),MATCH(ROWS($AA$2:$AA19),'Per Line'!$AO$2:$AO$4001,0),"")</f>
        <v/>
      </c>
      <c r="AB19" s="14">
        <f>IF($AA19="","",L19-K19*Y19/100)</f>
        <v/>
      </c>
    </row>
    <row r="20">
      <c r="A20" s="12" t="n"/>
      <c r="B20">
        <f>IF($AA20="","",INDEX('Per Line'!$E$2:$E$4001,$AA20)&amp;"")</f>
        <v/>
      </c>
      <c r="C20">
        <f>IF($AA20="","",INDEX('Per Line'!$A$2:$A$4001,$AA20)&amp;"")</f>
        <v/>
      </c>
      <c r="D20">
        <f>IF($AA20="","",INDEX('Per Line'!$D$2:$D$4001,$AA20)&amp;"")</f>
        <v/>
      </c>
      <c r="E20" s="11">
        <f>IF($AA20="","",INDEX('Per Line'!$G$2:$G$4001,$AA20))</f>
        <v/>
      </c>
      <c r="F20">
        <f>IF($AA20="","",INDEX('Per Line'!$H$2:$H$4001,$AA20)&amp;"")</f>
        <v/>
      </c>
      <c r="G20">
        <f>IF($AA20="","",INDEX('Per Line'!$I$2:$I$4001,$AA20)&amp;"")</f>
        <v/>
      </c>
      <c r="H20">
        <f>IF($AA20="","",INDEX('Per Line'!$J$2:$J$4001,$AA20)&amp;"")</f>
        <v/>
      </c>
      <c r="I20">
        <f>IF($AA20="","",INDEX('Per Line'!$K$2:$K$4001,$AA20)&amp;"")</f>
        <v/>
      </c>
      <c r="J20">
        <f>IF($AA20="","",INDEX('Per Line'!$L$2:$L$4001,$AA20)&amp;"")</f>
        <v/>
      </c>
      <c r="K20">
        <f>IF($AA20="","",INDEX('Per Line'!$P$2:$P$4001,$AA20))</f>
        <v/>
      </c>
      <c r="L20" s="7">
        <f>IF($AA20="","",IF(AND(ISNUMBER(N20),N20&gt;0,Y20&gt;N20),K20*N20/100+(Y20-N20),K20*Y20/100))</f>
        <v/>
      </c>
      <c r="M20">
        <f>IF($AA20="","",INDEX('Per Line'!$Z$2:$Z$4001,$AA20)&amp;"")</f>
        <v/>
      </c>
      <c r="N20">
        <f>IF($AA20="","",INDEX('Per Line'!$AG$2:$AG$4001,$AA20))</f>
        <v/>
      </c>
      <c r="O20">
        <f>IF($AA20="","",IF(AND(ISNUMBER(N20),N20&gt;0),Y20&gt;N20,FALSE))</f>
        <v/>
      </c>
      <c r="P20" s="7">
        <f>IF($AA20="","",SUMIFS('Per Line'!$Y$2:$Y$4001,'Per Line'!$E$2:$E$4001,$B20,'Per Line'!$AQ$2:$AQ$4001,1))</f>
        <v/>
      </c>
      <c r="Q20">
        <f>IF($AA20="","",Settings!$C$7)</f>
        <v/>
      </c>
      <c r="R20" s="7">
        <f>IF($AA20="","",SUMIFS('Per Line'!$Y$2:$Y$4001,'Per Line'!$E$2:$E$4001,$B20,'Per Line'!$AP$2:$AP$4001,0,'Per Line'!$AQ$2:$AQ$4001,0))</f>
        <v/>
      </c>
      <c r="S20" s="7">
        <f>IF($AA20="","",R20*Q20)</f>
        <v/>
      </c>
      <c r="T20">
        <f>IF($AA20="","",Settings!$C$6)</f>
        <v/>
      </c>
      <c r="U20" s="7">
        <f>IF($AA20="","",SUMIFS('Per Line'!$Y$2:$Y$4001,'Per Line'!$E$2:$E$4001,$B20,'Per Line'!$AP$2:$AP$4001,1,'Per Line'!$AQ$2:$AQ$4001,0))</f>
        <v/>
      </c>
      <c r="V20" s="7">
        <f>IF($AA20="","",U20*T20)</f>
        <v/>
      </c>
      <c r="W20" s="7">
        <f>IF($AA20="","",V20+S20)</f>
        <v/>
      </c>
      <c r="X20" s="7">
        <f>IF($AA20="","",Y20-W20)</f>
        <v/>
      </c>
      <c r="Y20" s="7">
        <f>IF($AA20="","",R20+U20+P20)</f>
        <v/>
      </c>
      <c r="Z20" s="7">
        <f>IF($AA20="","",Y20-W20-L20)</f>
        <v/>
      </c>
      <c r="AA20" s="13">
        <f>IF(ROWS($AA$2:$AA20)&lt;=MAX('Per Line'!$AO$2:$AO$4001),MATCH(ROWS($AA$2:$AA20),'Per Line'!$AO$2:$AO$4001,0),"")</f>
        <v/>
      </c>
      <c r="AB20" s="14">
        <f>IF($AA20="","",L20-K20*Y20/100)</f>
        <v/>
      </c>
    </row>
    <row r="21">
      <c r="A21" s="12" t="n"/>
      <c r="B21">
        <f>IF($AA21="","",INDEX('Per Line'!$E$2:$E$4001,$AA21)&amp;"")</f>
        <v/>
      </c>
      <c r="C21">
        <f>IF($AA21="","",INDEX('Per Line'!$A$2:$A$4001,$AA21)&amp;"")</f>
        <v/>
      </c>
      <c r="D21">
        <f>IF($AA21="","",INDEX('Per Line'!$D$2:$D$4001,$AA21)&amp;"")</f>
        <v/>
      </c>
      <c r="E21" s="11">
        <f>IF($AA21="","",INDEX('Per Line'!$G$2:$G$4001,$AA21))</f>
        <v/>
      </c>
      <c r="F21">
        <f>IF($AA21="","",INDEX('Per Line'!$H$2:$H$4001,$AA21)&amp;"")</f>
        <v/>
      </c>
      <c r="G21">
        <f>IF($AA21="","",INDEX('Per Line'!$I$2:$I$4001,$AA21)&amp;"")</f>
        <v/>
      </c>
      <c r="H21">
        <f>IF($AA21="","",INDEX('Per Line'!$J$2:$J$4001,$AA21)&amp;"")</f>
        <v/>
      </c>
      <c r="I21">
        <f>IF($AA21="","",INDEX('Per Line'!$K$2:$K$4001,$AA21)&amp;"")</f>
        <v/>
      </c>
      <c r="J21">
        <f>IF($AA21="","",INDEX('Per Line'!$L$2:$L$4001,$AA21)&amp;"")</f>
        <v/>
      </c>
      <c r="K21">
        <f>IF($AA21="","",INDEX('Per Line'!$P$2:$P$4001,$AA21))</f>
        <v/>
      </c>
      <c r="L21" s="7">
        <f>IF($AA21="","",IF(AND(ISNUMBER(N21),N21&gt;0,Y21&gt;N21),K21*N21/100+(Y21-N21),K21*Y21/100))</f>
        <v/>
      </c>
      <c r="M21">
        <f>IF($AA21="","",INDEX('Per Line'!$Z$2:$Z$4001,$AA21)&amp;"")</f>
        <v/>
      </c>
      <c r="N21">
        <f>IF($AA21="","",INDEX('Per Line'!$AG$2:$AG$4001,$AA21))</f>
        <v/>
      </c>
      <c r="O21">
        <f>IF($AA21="","",IF(AND(ISNUMBER(N21),N21&gt;0),Y21&gt;N21,FALSE))</f>
        <v/>
      </c>
      <c r="P21" s="7">
        <f>IF($AA21="","",SUMIFS('Per Line'!$Y$2:$Y$4001,'Per Line'!$E$2:$E$4001,$B21,'Per Line'!$AQ$2:$AQ$4001,1))</f>
        <v/>
      </c>
      <c r="Q21">
        <f>IF($AA21="","",Settings!$C$7)</f>
        <v/>
      </c>
      <c r="R21" s="7">
        <f>IF($AA21="","",SUMIFS('Per Line'!$Y$2:$Y$4001,'Per Line'!$E$2:$E$4001,$B21,'Per Line'!$AP$2:$AP$4001,0,'Per Line'!$AQ$2:$AQ$4001,0))</f>
        <v/>
      </c>
      <c r="S21" s="7">
        <f>IF($AA21="","",R21*Q21)</f>
        <v/>
      </c>
      <c r="T21">
        <f>IF($AA21="","",Settings!$C$6)</f>
        <v/>
      </c>
      <c r="U21" s="7">
        <f>IF($AA21="","",SUMIFS('Per Line'!$Y$2:$Y$4001,'Per Line'!$E$2:$E$4001,$B21,'Per Line'!$AP$2:$AP$4001,1,'Per Line'!$AQ$2:$AQ$4001,0))</f>
        <v/>
      </c>
      <c r="V21" s="7">
        <f>IF($AA21="","",U21*T21)</f>
        <v/>
      </c>
      <c r="W21" s="7">
        <f>IF($AA21="","",V21+S21)</f>
        <v/>
      </c>
      <c r="X21" s="7">
        <f>IF($AA21="","",Y21-W21)</f>
        <v/>
      </c>
      <c r="Y21" s="7">
        <f>IF($AA21="","",R21+U21+P21)</f>
        <v/>
      </c>
      <c r="Z21" s="7">
        <f>IF($AA21="","",Y21-W21-L21)</f>
        <v/>
      </c>
      <c r="AA21" s="13">
        <f>IF(ROWS($AA$2:$AA21)&lt;=MAX('Per Line'!$AO$2:$AO$4001),MATCH(ROWS($AA$2:$AA21),'Per Line'!$AO$2:$AO$4001,0),"")</f>
        <v/>
      </c>
      <c r="AB21" s="14">
        <f>IF($AA21="","",L21-K21*Y21/100)</f>
        <v/>
      </c>
    </row>
    <row r="22">
      <c r="A22" s="12" t="n"/>
      <c r="B22">
        <f>IF($AA22="","",INDEX('Per Line'!$E$2:$E$4001,$AA22)&amp;"")</f>
        <v/>
      </c>
      <c r="C22">
        <f>IF($AA22="","",INDEX('Per Line'!$A$2:$A$4001,$AA22)&amp;"")</f>
        <v/>
      </c>
      <c r="D22">
        <f>IF($AA22="","",INDEX('Per Line'!$D$2:$D$4001,$AA22)&amp;"")</f>
        <v/>
      </c>
      <c r="E22" s="11">
        <f>IF($AA22="","",INDEX('Per Line'!$G$2:$G$4001,$AA22))</f>
        <v/>
      </c>
      <c r="F22">
        <f>IF($AA22="","",INDEX('Per Line'!$H$2:$H$4001,$AA22)&amp;"")</f>
        <v/>
      </c>
      <c r="G22">
        <f>IF($AA22="","",INDEX('Per Line'!$I$2:$I$4001,$AA22)&amp;"")</f>
        <v/>
      </c>
      <c r="H22">
        <f>IF($AA22="","",INDEX('Per Line'!$J$2:$J$4001,$AA22)&amp;"")</f>
        <v/>
      </c>
      <c r="I22">
        <f>IF($AA22="","",INDEX('Per Line'!$K$2:$K$4001,$AA22)&amp;"")</f>
        <v/>
      </c>
      <c r="J22">
        <f>IF($AA22="","",INDEX('Per Line'!$L$2:$L$4001,$AA22)&amp;"")</f>
        <v/>
      </c>
      <c r="K22">
        <f>IF($AA22="","",INDEX('Per Line'!$P$2:$P$4001,$AA22))</f>
        <v/>
      </c>
      <c r="L22" s="7">
        <f>IF($AA22="","",IF(AND(ISNUMBER(N22),N22&gt;0,Y22&gt;N22),K22*N22/100+(Y22-N22),K22*Y22/100))</f>
        <v/>
      </c>
      <c r="M22">
        <f>IF($AA22="","",INDEX('Per Line'!$Z$2:$Z$4001,$AA22)&amp;"")</f>
        <v/>
      </c>
      <c r="N22">
        <f>IF($AA22="","",INDEX('Per Line'!$AG$2:$AG$4001,$AA22))</f>
        <v/>
      </c>
      <c r="O22">
        <f>IF($AA22="","",IF(AND(ISNUMBER(N22),N22&gt;0),Y22&gt;N22,FALSE))</f>
        <v/>
      </c>
      <c r="P22" s="7">
        <f>IF($AA22="","",SUMIFS('Per Line'!$Y$2:$Y$4001,'Per Line'!$E$2:$E$4001,$B22,'Per Line'!$AQ$2:$AQ$4001,1))</f>
        <v/>
      </c>
      <c r="Q22">
        <f>IF($AA22="","",Settings!$C$7)</f>
        <v/>
      </c>
      <c r="R22" s="7">
        <f>IF($AA22="","",SUMIFS('Per Line'!$Y$2:$Y$4001,'Per Line'!$E$2:$E$4001,$B22,'Per Line'!$AP$2:$AP$4001,0,'Per Line'!$AQ$2:$AQ$4001,0))</f>
        <v/>
      </c>
      <c r="S22" s="7">
        <f>IF($AA22="","",R22*Q22)</f>
        <v/>
      </c>
      <c r="T22">
        <f>IF($AA22="","",Settings!$C$6)</f>
        <v/>
      </c>
      <c r="U22" s="7">
        <f>IF($AA22="","",SUMIFS('Per Line'!$Y$2:$Y$4001,'Per Line'!$E$2:$E$4001,$B22,'Per Line'!$AP$2:$AP$4001,1,'Per Line'!$AQ$2:$AQ$4001,0))</f>
        <v/>
      </c>
      <c r="V22" s="7">
        <f>IF($AA22="","",U22*T22)</f>
        <v/>
      </c>
      <c r="W22" s="7">
        <f>IF($AA22="","",V22+S22)</f>
        <v/>
      </c>
      <c r="X22" s="7">
        <f>IF($AA22="","",Y22-W22)</f>
        <v/>
      </c>
      <c r="Y22" s="7">
        <f>IF($AA22="","",R22+U22+P22)</f>
        <v/>
      </c>
      <c r="Z22" s="7">
        <f>IF($AA22="","",Y22-W22-L22)</f>
        <v/>
      </c>
      <c r="AA22" s="13">
        <f>IF(ROWS($AA$2:$AA22)&lt;=MAX('Per Line'!$AO$2:$AO$4001),MATCH(ROWS($AA$2:$AA22),'Per Line'!$AO$2:$AO$4001,0),"")</f>
        <v/>
      </c>
      <c r="AB22" s="14">
        <f>IF($AA22="","",L22-K22*Y22/100)</f>
        <v/>
      </c>
    </row>
    <row r="23">
      <c r="A23" s="12" t="n"/>
      <c r="B23">
        <f>IF($AA23="","",INDEX('Per Line'!$E$2:$E$4001,$AA23)&amp;"")</f>
        <v/>
      </c>
      <c r="C23">
        <f>IF($AA23="","",INDEX('Per Line'!$A$2:$A$4001,$AA23)&amp;"")</f>
        <v/>
      </c>
      <c r="D23">
        <f>IF($AA23="","",INDEX('Per Line'!$D$2:$D$4001,$AA23)&amp;"")</f>
        <v/>
      </c>
      <c r="E23" s="11">
        <f>IF($AA23="","",INDEX('Per Line'!$G$2:$G$4001,$AA23))</f>
        <v/>
      </c>
      <c r="F23">
        <f>IF($AA23="","",INDEX('Per Line'!$H$2:$H$4001,$AA23)&amp;"")</f>
        <v/>
      </c>
      <c r="G23">
        <f>IF($AA23="","",INDEX('Per Line'!$I$2:$I$4001,$AA23)&amp;"")</f>
        <v/>
      </c>
      <c r="H23">
        <f>IF($AA23="","",INDEX('Per Line'!$J$2:$J$4001,$AA23)&amp;"")</f>
        <v/>
      </c>
      <c r="I23">
        <f>IF($AA23="","",INDEX('Per Line'!$K$2:$K$4001,$AA23)&amp;"")</f>
        <v/>
      </c>
      <c r="J23">
        <f>IF($AA23="","",INDEX('Per Line'!$L$2:$L$4001,$AA23)&amp;"")</f>
        <v/>
      </c>
      <c r="K23">
        <f>IF($AA23="","",INDEX('Per Line'!$P$2:$P$4001,$AA23))</f>
        <v/>
      </c>
      <c r="L23" s="7">
        <f>IF($AA23="","",IF(AND(ISNUMBER(N23),N23&gt;0,Y23&gt;N23),K23*N23/100+(Y23-N23),K23*Y23/100))</f>
        <v/>
      </c>
      <c r="M23">
        <f>IF($AA23="","",INDEX('Per Line'!$Z$2:$Z$4001,$AA23)&amp;"")</f>
        <v/>
      </c>
      <c r="N23">
        <f>IF($AA23="","",INDEX('Per Line'!$AG$2:$AG$4001,$AA23))</f>
        <v/>
      </c>
      <c r="O23">
        <f>IF($AA23="","",IF(AND(ISNUMBER(N23),N23&gt;0),Y23&gt;N23,FALSE))</f>
        <v/>
      </c>
      <c r="P23" s="7">
        <f>IF($AA23="","",SUMIFS('Per Line'!$Y$2:$Y$4001,'Per Line'!$E$2:$E$4001,$B23,'Per Line'!$AQ$2:$AQ$4001,1))</f>
        <v/>
      </c>
      <c r="Q23">
        <f>IF($AA23="","",Settings!$C$7)</f>
        <v/>
      </c>
      <c r="R23" s="7">
        <f>IF($AA23="","",SUMIFS('Per Line'!$Y$2:$Y$4001,'Per Line'!$E$2:$E$4001,$B23,'Per Line'!$AP$2:$AP$4001,0,'Per Line'!$AQ$2:$AQ$4001,0))</f>
        <v/>
      </c>
      <c r="S23" s="7">
        <f>IF($AA23="","",R23*Q23)</f>
        <v/>
      </c>
      <c r="T23">
        <f>IF($AA23="","",Settings!$C$6)</f>
        <v/>
      </c>
      <c r="U23" s="7">
        <f>IF($AA23="","",SUMIFS('Per Line'!$Y$2:$Y$4001,'Per Line'!$E$2:$E$4001,$B23,'Per Line'!$AP$2:$AP$4001,1,'Per Line'!$AQ$2:$AQ$4001,0))</f>
        <v/>
      </c>
      <c r="V23" s="7">
        <f>IF($AA23="","",U23*T23)</f>
        <v/>
      </c>
      <c r="W23" s="7">
        <f>IF($AA23="","",V23+S23)</f>
        <v/>
      </c>
      <c r="X23" s="7">
        <f>IF($AA23="","",Y23-W23)</f>
        <v/>
      </c>
      <c r="Y23" s="7">
        <f>IF($AA23="","",R23+U23+P23)</f>
        <v/>
      </c>
      <c r="Z23" s="7">
        <f>IF($AA23="","",Y23-W23-L23)</f>
        <v/>
      </c>
      <c r="AA23" s="13">
        <f>IF(ROWS($AA$2:$AA23)&lt;=MAX('Per Line'!$AO$2:$AO$4001),MATCH(ROWS($AA$2:$AA23),'Per Line'!$AO$2:$AO$4001,0),"")</f>
        <v/>
      </c>
      <c r="AB23" s="14">
        <f>IF($AA23="","",L23-K23*Y23/100)</f>
        <v/>
      </c>
    </row>
    <row r="24">
      <c r="A24" s="12" t="n"/>
      <c r="B24">
        <f>IF($AA24="","",INDEX('Per Line'!$E$2:$E$4001,$AA24)&amp;"")</f>
        <v/>
      </c>
      <c r="C24">
        <f>IF($AA24="","",INDEX('Per Line'!$A$2:$A$4001,$AA24)&amp;"")</f>
        <v/>
      </c>
      <c r="D24">
        <f>IF($AA24="","",INDEX('Per Line'!$D$2:$D$4001,$AA24)&amp;"")</f>
        <v/>
      </c>
      <c r="E24" s="11">
        <f>IF($AA24="","",INDEX('Per Line'!$G$2:$G$4001,$AA24))</f>
        <v/>
      </c>
      <c r="F24">
        <f>IF($AA24="","",INDEX('Per Line'!$H$2:$H$4001,$AA24)&amp;"")</f>
        <v/>
      </c>
      <c r="G24">
        <f>IF($AA24="","",INDEX('Per Line'!$I$2:$I$4001,$AA24)&amp;"")</f>
        <v/>
      </c>
      <c r="H24">
        <f>IF($AA24="","",INDEX('Per Line'!$J$2:$J$4001,$AA24)&amp;"")</f>
        <v/>
      </c>
      <c r="I24">
        <f>IF($AA24="","",INDEX('Per Line'!$K$2:$K$4001,$AA24)&amp;"")</f>
        <v/>
      </c>
      <c r="J24">
        <f>IF($AA24="","",INDEX('Per Line'!$L$2:$L$4001,$AA24)&amp;"")</f>
        <v/>
      </c>
      <c r="K24">
        <f>IF($AA24="","",INDEX('Per Line'!$P$2:$P$4001,$AA24))</f>
        <v/>
      </c>
      <c r="L24" s="7">
        <f>IF($AA24="","",IF(AND(ISNUMBER(N24),N24&gt;0,Y24&gt;N24),K24*N24/100+(Y24-N24),K24*Y24/100))</f>
        <v/>
      </c>
      <c r="M24">
        <f>IF($AA24="","",INDEX('Per Line'!$Z$2:$Z$4001,$AA24)&amp;"")</f>
        <v/>
      </c>
      <c r="N24">
        <f>IF($AA24="","",INDEX('Per Line'!$AG$2:$AG$4001,$AA24))</f>
        <v/>
      </c>
      <c r="O24">
        <f>IF($AA24="","",IF(AND(ISNUMBER(N24),N24&gt;0),Y24&gt;N24,FALSE))</f>
        <v/>
      </c>
      <c r="P24" s="7">
        <f>IF($AA24="","",SUMIFS('Per Line'!$Y$2:$Y$4001,'Per Line'!$E$2:$E$4001,$B24,'Per Line'!$AQ$2:$AQ$4001,1))</f>
        <v/>
      </c>
      <c r="Q24">
        <f>IF($AA24="","",Settings!$C$7)</f>
        <v/>
      </c>
      <c r="R24" s="7">
        <f>IF($AA24="","",SUMIFS('Per Line'!$Y$2:$Y$4001,'Per Line'!$E$2:$E$4001,$B24,'Per Line'!$AP$2:$AP$4001,0,'Per Line'!$AQ$2:$AQ$4001,0))</f>
        <v/>
      </c>
      <c r="S24" s="7">
        <f>IF($AA24="","",R24*Q24)</f>
        <v/>
      </c>
      <c r="T24">
        <f>IF($AA24="","",Settings!$C$6)</f>
        <v/>
      </c>
      <c r="U24" s="7">
        <f>IF($AA24="","",SUMIFS('Per Line'!$Y$2:$Y$4001,'Per Line'!$E$2:$E$4001,$B24,'Per Line'!$AP$2:$AP$4001,1,'Per Line'!$AQ$2:$AQ$4001,0))</f>
        <v/>
      </c>
      <c r="V24" s="7">
        <f>IF($AA24="","",U24*T24)</f>
        <v/>
      </c>
      <c r="W24" s="7">
        <f>IF($AA24="","",V24+S24)</f>
        <v/>
      </c>
      <c r="X24" s="7">
        <f>IF($AA24="","",Y24-W24)</f>
        <v/>
      </c>
      <c r="Y24" s="7">
        <f>IF($AA24="","",R24+U24+P24)</f>
        <v/>
      </c>
      <c r="Z24" s="7">
        <f>IF($AA24="","",Y24-W24-L24)</f>
        <v/>
      </c>
      <c r="AA24" s="13">
        <f>IF(ROWS($AA$2:$AA24)&lt;=MAX('Per Line'!$AO$2:$AO$4001),MATCH(ROWS($AA$2:$AA24),'Per Line'!$AO$2:$AO$4001,0),"")</f>
        <v/>
      </c>
      <c r="AB24" s="14">
        <f>IF($AA24="","",L24-K24*Y24/100)</f>
        <v/>
      </c>
    </row>
    <row r="25">
      <c r="A25" s="12" t="n"/>
      <c r="B25">
        <f>IF($AA25="","",INDEX('Per Line'!$E$2:$E$4001,$AA25)&amp;"")</f>
        <v/>
      </c>
      <c r="C25">
        <f>IF($AA25="","",INDEX('Per Line'!$A$2:$A$4001,$AA25)&amp;"")</f>
        <v/>
      </c>
      <c r="D25">
        <f>IF($AA25="","",INDEX('Per Line'!$D$2:$D$4001,$AA25)&amp;"")</f>
        <v/>
      </c>
      <c r="E25" s="11">
        <f>IF($AA25="","",INDEX('Per Line'!$G$2:$G$4001,$AA25))</f>
        <v/>
      </c>
      <c r="F25">
        <f>IF($AA25="","",INDEX('Per Line'!$H$2:$H$4001,$AA25)&amp;"")</f>
        <v/>
      </c>
      <c r="G25">
        <f>IF($AA25="","",INDEX('Per Line'!$I$2:$I$4001,$AA25)&amp;"")</f>
        <v/>
      </c>
      <c r="H25">
        <f>IF($AA25="","",INDEX('Per Line'!$J$2:$J$4001,$AA25)&amp;"")</f>
        <v/>
      </c>
      <c r="I25">
        <f>IF($AA25="","",INDEX('Per Line'!$K$2:$K$4001,$AA25)&amp;"")</f>
        <v/>
      </c>
      <c r="J25">
        <f>IF($AA25="","",INDEX('Per Line'!$L$2:$L$4001,$AA25)&amp;"")</f>
        <v/>
      </c>
      <c r="K25">
        <f>IF($AA25="","",INDEX('Per Line'!$P$2:$P$4001,$AA25))</f>
        <v/>
      </c>
      <c r="L25" s="7">
        <f>IF($AA25="","",IF(AND(ISNUMBER(N25),N25&gt;0,Y25&gt;N25),K25*N25/100+(Y25-N25),K25*Y25/100))</f>
        <v/>
      </c>
      <c r="M25">
        <f>IF($AA25="","",INDEX('Per Line'!$Z$2:$Z$4001,$AA25)&amp;"")</f>
        <v/>
      </c>
      <c r="N25">
        <f>IF($AA25="","",INDEX('Per Line'!$AG$2:$AG$4001,$AA25))</f>
        <v/>
      </c>
      <c r="O25">
        <f>IF($AA25="","",IF(AND(ISNUMBER(N25),N25&gt;0),Y25&gt;N25,FALSE))</f>
        <v/>
      </c>
      <c r="P25" s="7">
        <f>IF($AA25="","",SUMIFS('Per Line'!$Y$2:$Y$4001,'Per Line'!$E$2:$E$4001,$B25,'Per Line'!$AQ$2:$AQ$4001,1))</f>
        <v/>
      </c>
      <c r="Q25">
        <f>IF($AA25="","",Settings!$C$7)</f>
        <v/>
      </c>
      <c r="R25" s="7">
        <f>IF($AA25="","",SUMIFS('Per Line'!$Y$2:$Y$4001,'Per Line'!$E$2:$E$4001,$B25,'Per Line'!$AP$2:$AP$4001,0,'Per Line'!$AQ$2:$AQ$4001,0))</f>
        <v/>
      </c>
      <c r="S25" s="7">
        <f>IF($AA25="","",R25*Q25)</f>
        <v/>
      </c>
      <c r="T25">
        <f>IF($AA25="","",Settings!$C$6)</f>
        <v/>
      </c>
      <c r="U25" s="7">
        <f>IF($AA25="","",SUMIFS('Per Line'!$Y$2:$Y$4001,'Per Line'!$E$2:$E$4001,$B25,'Per Line'!$AP$2:$AP$4001,1,'Per Line'!$AQ$2:$AQ$4001,0))</f>
        <v/>
      </c>
      <c r="V25" s="7">
        <f>IF($AA25="","",U25*T25)</f>
        <v/>
      </c>
      <c r="W25" s="7">
        <f>IF($AA25="","",V25+S25)</f>
        <v/>
      </c>
      <c r="X25" s="7">
        <f>IF($AA25="","",Y25-W25)</f>
        <v/>
      </c>
      <c r="Y25" s="7">
        <f>IF($AA25="","",R25+U25+P25)</f>
        <v/>
      </c>
      <c r="Z25" s="7">
        <f>IF($AA25="","",Y25-W25-L25)</f>
        <v/>
      </c>
      <c r="AA25" s="13">
        <f>IF(ROWS($AA$2:$AA25)&lt;=MAX('Per Line'!$AO$2:$AO$4001),MATCH(ROWS($AA$2:$AA25),'Per Line'!$AO$2:$AO$4001,0),"")</f>
        <v/>
      </c>
      <c r="AB25" s="14">
        <f>IF($AA25="","",L25-K25*Y25/100)</f>
        <v/>
      </c>
    </row>
    <row r="26">
      <c r="A26" s="12" t="n"/>
      <c r="B26">
        <f>IF($AA26="","",INDEX('Per Line'!$E$2:$E$4001,$AA26)&amp;"")</f>
        <v/>
      </c>
      <c r="C26">
        <f>IF($AA26="","",INDEX('Per Line'!$A$2:$A$4001,$AA26)&amp;"")</f>
        <v/>
      </c>
      <c r="D26">
        <f>IF($AA26="","",INDEX('Per Line'!$D$2:$D$4001,$AA26)&amp;"")</f>
        <v/>
      </c>
      <c r="E26" s="11">
        <f>IF($AA26="","",INDEX('Per Line'!$G$2:$G$4001,$AA26))</f>
        <v/>
      </c>
      <c r="F26">
        <f>IF($AA26="","",INDEX('Per Line'!$H$2:$H$4001,$AA26)&amp;"")</f>
        <v/>
      </c>
      <c r="G26">
        <f>IF($AA26="","",INDEX('Per Line'!$I$2:$I$4001,$AA26)&amp;"")</f>
        <v/>
      </c>
      <c r="H26">
        <f>IF($AA26="","",INDEX('Per Line'!$J$2:$J$4001,$AA26)&amp;"")</f>
        <v/>
      </c>
      <c r="I26">
        <f>IF($AA26="","",INDEX('Per Line'!$K$2:$K$4001,$AA26)&amp;"")</f>
        <v/>
      </c>
      <c r="J26">
        <f>IF($AA26="","",INDEX('Per Line'!$L$2:$L$4001,$AA26)&amp;"")</f>
        <v/>
      </c>
      <c r="K26">
        <f>IF($AA26="","",INDEX('Per Line'!$P$2:$P$4001,$AA26))</f>
        <v/>
      </c>
      <c r="L26" s="7">
        <f>IF($AA26="","",IF(AND(ISNUMBER(N26),N26&gt;0,Y26&gt;N26),K26*N26/100+(Y26-N26),K26*Y26/100))</f>
        <v/>
      </c>
      <c r="M26">
        <f>IF($AA26="","",INDEX('Per Line'!$Z$2:$Z$4001,$AA26)&amp;"")</f>
        <v/>
      </c>
      <c r="N26">
        <f>IF($AA26="","",INDEX('Per Line'!$AG$2:$AG$4001,$AA26))</f>
        <v/>
      </c>
      <c r="O26">
        <f>IF($AA26="","",IF(AND(ISNUMBER(N26),N26&gt;0),Y26&gt;N26,FALSE))</f>
        <v/>
      </c>
      <c r="P26" s="7">
        <f>IF($AA26="","",SUMIFS('Per Line'!$Y$2:$Y$4001,'Per Line'!$E$2:$E$4001,$B26,'Per Line'!$AQ$2:$AQ$4001,1))</f>
        <v/>
      </c>
      <c r="Q26">
        <f>IF($AA26="","",Settings!$C$7)</f>
        <v/>
      </c>
      <c r="R26" s="7">
        <f>IF($AA26="","",SUMIFS('Per Line'!$Y$2:$Y$4001,'Per Line'!$E$2:$E$4001,$B26,'Per Line'!$AP$2:$AP$4001,0,'Per Line'!$AQ$2:$AQ$4001,0))</f>
        <v/>
      </c>
      <c r="S26" s="7">
        <f>IF($AA26="","",R26*Q26)</f>
        <v/>
      </c>
      <c r="T26">
        <f>IF($AA26="","",Settings!$C$6)</f>
        <v/>
      </c>
      <c r="U26" s="7">
        <f>IF($AA26="","",SUMIFS('Per Line'!$Y$2:$Y$4001,'Per Line'!$E$2:$E$4001,$B26,'Per Line'!$AP$2:$AP$4001,1,'Per Line'!$AQ$2:$AQ$4001,0))</f>
        <v/>
      </c>
      <c r="V26" s="7">
        <f>IF($AA26="","",U26*T26)</f>
        <v/>
      </c>
      <c r="W26" s="7">
        <f>IF($AA26="","",V26+S26)</f>
        <v/>
      </c>
      <c r="X26" s="7">
        <f>IF($AA26="","",Y26-W26)</f>
        <v/>
      </c>
      <c r="Y26" s="7">
        <f>IF($AA26="","",R26+U26+P26)</f>
        <v/>
      </c>
      <c r="Z26" s="7">
        <f>IF($AA26="","",Y26-W26-L26)</f>
        <v/>
      </c>
      <c r="AA26" s="13">
        <f>IF(ROWS($AA$2:$AA26)&lt;=MAX('Per Line'!$AO$2:$AO$4001),MATCH(ROWS($AA$2:$AA26),'Per Line'!$AO$2:$AO$4001,0),"")</f>
        <v/>
      </c>
      <c r="AB26" s="14">
        <f>IF($AA26="","",L26-K26*Y26/100)</f>
        <v/>
      </c>
    </row>
    <row r="27">
      <c r="A27" s="12" t="n"/>
      <c r="B27">
        <f>IF($AA27="","",INDEX('Per Line'!$E$2:$E$4001,$AA27)&amp;"")</f>
        <v/>
      </c>
      <c r="C27">
        <f>IF($AA27="","",INDEX('Per Line'!$A$2:$A$4001,$AA27)&amp;"")</f>
        <v/>
      </c>
      <c r="D27">
        <f>IF($AA27="","",INDEX('Per Line'!$D$2:$D$4001,$AA27)&amp;"")</f>
        <v/>
      </c>
      <c r="E27" s="11">
        <f>IF($AA27="","",INDEX('Per Line'!$G$2:$G$4001,$AA27))</f>
        <v/>
      </c>
      <c r="F27">
        <f>IF($AA27="","",INDEX('Per Line'!$H$2:$H$4001,$AA27)&amp;"")</f>
        <v/>
      </c>
      <c r="G27">
        <f>IF($AA27="","",INDEX('Per Line'!$I$2:$I$4001,$AA27)&amp;"")</f>
        <v/>
      </c>
      <c r="H27">
        <f>IF($AA27="","",INDEX('Per Line'!$J$2:$J$4001,$AA27)&amp;"")</f>
        <v/>
      </c>
      <c r="I27">
        <f>IF($AA27="","",INDEX('Per Line'!$K$2:$K$4001,$AA27)&amp;"")</f>
        <v/>
      </c>
      <c r="J27">
        <f>IF($AA27="","",INDEX('Per Line'!$L$2:$L$4001,$AA27)&amp;"")</f>
        <v/>
      </c>
      <c r="K27">
        <f>IF($AA27="","",INDEX('Per Line'!$P$2:$P$4001,$AA27))</f>
        <v/>
      </c>
      <c r="L27" s="7">
        <f>IF($AA27="","",IF(AND(ISNUMBER(N27),N27&gt;0,Y27&gt;N27),K27*N27/100+(Y27-N27),K27*Y27/100))</f>
        <v/>
      </c>
      <c r="M27">
        <f>IF($AA27="","",INDEX('Per Line'!$Z$2:$Z$4001,$AA27)&amp;"")</f>
        <v/>
      </c>
      <c r="N27">
        <f>IF($AA27="","",INDEX('Per Line'!$AG$2:$AG$4001,$AA27))</f>
        <v/>
      </c>
      <c r="O27">
        <f>IF($AA27="","",IF(AND(ISNUMBER(N27),N27&gt;0),Y27&gt;N27,FALSE))</f>
        <v/>
      </c>
      <c r="P27" s="7">
        <f>IF($AA27="","",SUMIFS('Per Line'!$Y$2:$Y$4001,'Per Line'!$E$2:$E$4001,$B27,'Per Line'!$AQ$2:$AQ$4001,1))</f>
        <v/>
      </c>
      <c r="Q27">
        <f>IF($AA27="","",Settings!$C$7)</f>
        <v/>
      </c>
      <c r="R27" s="7">
        <f>IF($AA27="","",SUMIFS('Per Line'!$Y$2:$Y$4001,'Per Line'!$E$2:$E$4001,$B27,'Per Line'!$AP$2:$AP$4001,0,'Per Line'!$AQ$2:$AQ$4001,0))</f>
        <v/>
      </c>
      <c r="S27" s="7">
        <f>IF($AA27="","",R27*Q27)</f>
        <v/>
      </c>
      <c r="T27">
        <f>IF($AA27="","",Settings!$C$6)</f>
        <v/>
      </c>
      <c r="U27" s="7">
        <f>IF($AA27="","",SUMIFS('Per Line'!$Y$2:$Y$4001,'Per Line'!$E$2:$E$4001,$B27,'Per Line'!$AP$2:$AP$4001,1,'Per Line'!$AQ$2:$AQ$4001,0))</f>
        <v/>
      </c>
      <c r="V27" s="7">
        <f>IF($AA27="","",U27*T27)</f>
        <v/>
      </c>
      <c r="W27" s="7">
        <f>IF($AA27="","",V27+S27)</f>
        <v/>
      </c>
      <c r="X27" s="7">
        <f>IF($AA27="","",Y27-W27)</f>
        <v/>
      </c>
      <c r="Y27" s="7">
        <f>IF($AA27="","",R27+U27+P27)</f>
        <v/>
      </c>
      <c r="Z27" s="7">
        <f>IF($AA27="","",Y27-W27-L27)</f>
        <v/>
      </c>
      <c r="AA27" s="13">
        <f>IF(ROWS($AA$2:$AA27)&lt;=MAX('Per Line'!$AO$2:$AO$4001),MATCH(ROWS($AA$2:$AA27),'Per Line'!$AO$2:$AO$4001,0),"")</f>
        <v/>
      </c>
      <c r="AB27" s="14">
        <f>IF($AA27="","",L27-K27*Y27/100)</f>
        <v/>
      </c>
    </row>
    <row r="28">
      <c r="A28" s="12" t="n"/>
      <c r="B28">
        <f>IF($AA28="","",INDEX('Per Line'!$E$2:$E$4001,$AA28)&amp;"")</f>
        <v/>
      </c>
      <c r="C28">
        <f>IF($AA28="","",INDEX('Per Line'!$A$2:$A$4001,$AA28)&amp;"")</f>
        <v/>
      </c>
      <c r="D28">
        <f>IF($AA28="","",INDEX('Per Line'!$D$2:$D$4001,$AA28)&amp;"")</f>
        <v/>
      </c>
      <c r="E28" s="11">
        <f>IF($AA28="","",INDEX('Per Line'!$G$2:$G$4001,$AA28))</f>
        <v/>
      </c>
      <c r="F28">
        <f>IF($AA28="","",INDEX('Per Line'!$H$2:$H$4001,$AA28)&amp;"")</f>
        <v/>
      </c>
      <c r="G28">
        <f>IF($AA28="","",INDEX('Per Line'!$I$2:$I$4001,$AA28)&amp;"")</f>
        <v/>
      </c>
      <c r="H28">
        <f>IF($AA28="","",INDEX('Per Line'!$J$2:$J$4001,$AA28)&amp;"")</f>
        <v/>
      </c>
      <c r="I28">
        <f>IF($AA28="","",INDEX('Per Line'!$K$2:$K$4001,$AA28)&amp;"")</f>
        <v/>
      </c>
      <c r="J28">
        <f>IF($AA28="","",INDEX('Per Line'!$L$2:$L$4001,$AA28)&amp;"")</f>
        <v/>
      </c>
      <c r="K28">
        <f>IF($AA28="","",INDEX('Per Line'!$P$2:$P$4001,$AA28))</f>
        <v/>
      </c>
      <c r="L28" s="7">
        <f>IF($AA28="","",IF(AND(ISNUMBER(N28),N28&gt;0,Y28&gt;N28),K28*N28/100+(Y28-N28),K28*Y28/100))</f>
        <v/>
      </c>
      <c r="M28">
        <f>IF($AA28="","",INDEX('Per Line'!$Z$2:$Z$4001,$AA28)&amp;"")</f>
        <v/>
      </c>
      <c r="N28">
        <f>IF($AA28="","",INDEX('Per Line'!$AG$2:$AG$4001,$AA28))</f>
        <v/>
      </c>
      <c r="O28">
        <f>IF($AA28="","",IF(AND(ISNUMBER(N28),N28&gt;0),Y28&gt;N28,FALSE))</f>
        <v/>
      </c>
      <c r="P28" s="7">
        <f>IF($AA28="","",SUMIFS('Per Line'!$Y$2:$Y$4001,'Per Line'!$E$2:$E$4001,$B28,'Per Line'!$AQ$2:$AQ$4001,1))</f>
        <v/>
      </c>
      <c r="Q28">
        <f>IF($AA28="","",Settings!$C$7)</f>
        <v/>
      </c>
      <c r="R28" s="7">
        <f>IF($AA28="","",SUMIFS('Per Line'!$Y$2:$Y$4001,'Per Line'!$E$2:$E$4001,$B28,'Per Line'!$AP$2:$AP$4001,0,'Per Line'!$AQ$2:$AQ$4001,0))</f>
        <v/>
      </c>
      <c r="S28" s="7">
        <f>IF($AA28="","",R28*Q28)</f>
        <v/>
      </c>
      <c r="T28">
        <f>IF($AA28="","",Settings!$C$6)</f>
        <v/>
      </c>
      <c r="U28" s="7">
        <f>IF($AA28="","",SUMIFS('Per Line'!$Y$2:$Y$4001,'Per Line'!$E$2:$E$4001,$B28,'Per Line'!$AP$2:$AP$4001,1,'Per Line'!$AQ$2:$AQ$4001,0))</f>
        <v/>
      </c>
      <c r="V28" s="7">
        <f>IF($AA28="","",U28*T28)</f>
        <v/>
      </c>
      <c r="W28" s="7">
        <f>IF($AA28="","",V28+S28)</f>
        <v/>
      </c>
      <c r="X28" s="7">
        <f>IF($AA28="","",Y28-W28)</f>
        <v/>
      </c>
      <c r="Y28" s="7">
        <f>IF($AA28="","",R28+U28+P28)</f>
        <v/>
      </c>
      <c r="Z28" s="7">
        <f>IF($AA28="","",Y28-W28-L28)</f>
        <v/>
      </c>
      <c r="AA28" s="13">
        <f>IF(ROWS($AA$2:$AA28)&lt;=MAX('Per Line'!$AO$2:$AO$4001),MATCH(ROWS($AA$2:$AA28),'Per Line'!$AO$2:$AO$4001,0),"")</f>
        <v/>
      </c>
      <c r="AB28" s="14">
        <f>IF($AA28="","",L28-K28*Y28/100)</f>
        <v/>
      </c>
    </row>
    <row r="29">
      <c r="A29" s="12" t="n"/>
      <c r="B29">
        <f>IF($AA29="","",INDEX('Per Line'!$E$2:$E$4001,$AA29)&amp;"")</f>
        <v/>
      </c>
      <c r="C29">
        <f>IF($AA29="","",INDEX('Per Line'!$A$2:$A$4001,$AA29)&amp;"")</f>
        <v/>
      </c>
      <c r="D29">
        <f>IF($AA29="","",INDEX('Per Line'!$D$2:$D$4001,$AA29)&amp;"")</f>
        <v/>
      </c>
      <c r="E29" s="11">
        <f>IF($AA29="","",INDEX('Per Line'!$G$2:$G$4001,$AA29))</f>
        <v/>
      </c>
      <c r="F29">
        <f>IF($AA29="","",INDEX('Per Line'!$H$2:$H$4001,$AA29)&amp;"")</f>
        <v/>
      </c>
      <c r="G29">
        <f>IF($AA29="","",INDEX('Per Line'!$I$2:$I$4001,$AA29)&amp;"")</f>
        <v/>
      </c>
      <c r="H29">
        <f>IF($AA29="","",INDEX('Per Line'!$J$2:$J$4001,$AA29)&amp;"")</f>
        <v/>
      </c>
      <c r="I29">
        <f>IF($AA29="","",INDEX('Per Line'!$K$2:$K$4001,$AA29)&amp;"")</f>
        <v/>
      </c>
      <c r="J29">
        <f>IF($AA29="","",INDEX('Per Line'!$L$2:$L$4001,$AA29)&amp;"")</f>
        <v/>
      </c>
      <c r="K29">
        <f>IF($AA29="","",INDEX('Per Line'!$P$2:$P$4001,$AA29))</f>
        <v/>
      </c>
      <c r="L29" s="7">
        <f>IF($AA29="","",IF(AND(ISNUMBER(N29),N29&gt;0,Y29&gt;N29),K29*N29/100+(Y29-N29),K29*Y29/100))</f>
        <v/>
      </c>
      <c r="M29">
        <f>IF($AA29="","",INDEX('Per Line'!$Z$2:$Z$4001,$AA29)&amp;"")</f>
        <v/>
      </c>
      <c r="N29">
        <f>IF($AA29="","",INDEX('Per Line'!$AG$2:$AG$4001,$AA29))</f>
        <v/>
      </c>
      <c r="O29">
        <f>IF($AA29="","",IF(AND(ISNUMBER(N29),N29&gt;0),Y29&gt;N29,FALSE))</f>
        <v/>
      </c>
      <c r="P29" s="7">
        <f>IF($AA29="","",SUMIFS('Per Line'!$Y$2:$Y$4001,'Per Line'!$E$2:$E$4001,$B29,'Per Line'!$AQ$2:$AQ$4001,1))</f>
        <v/>
      </c>
      <c r="Q29">
        <f>IF($AA29="","",Settings!$C$7)</f>
        <v/>
      </c>
      <c r="R29" s="7">
        <f>IF($AA29="","",SUMIFS('Per Line'!$Y$2:$Y$4001,'Per Line'!$E$2:$E$4001,$B29,'Per Line'!$AP$2:$AP$4001,0,'Per Line'!$AQ$2:$AQ$4001,0))</f>
        <v/>
      </c>
      <c r="S29" s="7">
        <f>IF($AA29="","",R29*Q29)</f>
        <v/>
      </c>
      <c r="T29">
        <f>IF($AA29="","",Settings!$C$6)</f>
        <v/>
      </c>
      <c r="U29" s="7">
        <f>IF($AA29="","",SUMIFS('Per Line'!$Y$2:$Y$4001,'Per Line'!$E$2:$E$4001,$B29,'Per Line'!$AP$2:$AP$4001,1,'Per Line'!$AQ$2:$AQ$4001,0))</f>
        <v/>
      </c>
      <c r="V29" s="7">
        <f>IF($AA29="","",U29*T29)</f>
        <v/>
      </c>
      <c r="W29" s="7">
        <f>IF($AA29="","",V29+S29)</f>
        <v/>
      </c>
      <c r="X29" s="7">
        <f>IF($AA29="","",Y29-W29)</f>
        <v/>
      </c>
      <c r="Y29" s="7">
        <f>IF($AA29="","",R29+U29+P29)</f>
        <v/>
      </c>
      <c r="Z29" s="7">
        <f>IF($AA29="","",Y29-W29-L29)</f>
        <v/>
      </c>
      <c r="AA29" s="13">
        <f>IF(ROWS($AA$2:$AA29)&lt;=MAX('Per Line'!$AO$2:$AO$4001),MATCH(ROWS($AA$2:$AA29),'Per Line'!$AO$2:$AO$4001,0),"")</f>
        <v/>
      </c>
      <c r="AB29" s="14">
        <f>IF($AA29="","",L29-K29*Y29/100)</f>
        <v/>
      </c>
    </row>
    <row r="30">
      <c r="A30" s="12" t="n"/>
      <c r="B30">
        <f>IF($AA30="","",INDEX('Per Line'!$E$2:$E$4001,$AA30)&amp;"")</f>
        <v/>
      </c>
      <c r="C30">
        <f>IF($AA30="","",INDEX('Per Line'!$A$2:$A$4001,$AA30)&amp;"")</f>
        <v/>
      </c>
      <c r="D30">
        <f>IF($AA30="","",INDEX('Per Line'!$D$2:$D$4001,$AA30)&amp;"")</f>
        <v/>
      </c>
      <c r="E30" s="11">
        <f>IF($AA30="","",INDEX('Per Line'!$G$2:$G$4001,$AA30))</f>
        <v/>
      </c>
      <c r="F30">
        <f>IF($AA30="","",INDEX('Per Line'!$H$2:$H$4001,$AA30)&amp;"")</f>
        <v/>
      </c>
      <c r="G30">
        <f>IF($AA30="","",INDEX('Per Line'!$I$2:$I$4001,$AA30)&amp;"")</f>
        <v/>
      </c>
      <c r="H30">
        <f>IF($AA30="","",INDEX('Per Line'!$J$2:$J$4001,$AA30)&amp;"")</f>
        <v/>
      </c>
      <c r="I30">
        <f>IF($AA30="","",INDEX('Per Line'!$K$2:$K$4001,$AA30)&amp;"")</f>
        <v/>
      </c>
      <c r="J30">
        <f>IF($AA30="","",INDEX('Per Line'!$L$2:$L$4001,$AA30)&amp;"")</f>
        <v/>
      </c>
      <c r="K30">
        <f>IF($AA30="","",INDEX('Per Line'!$P$2:$P$4001,$AA30))</f>
        <v/>
      </c>
      <c r="L30" s="7">
        <f>IF($AA30="","",IF(AND(ISNUMBER(N30),N30&gt;0,Y30&gt;N30),K30*N30/100+(Y30-N30),K30*Y30/100))</f>
        <v/>
      </c>
      <c r="M30">
        <f>IF($AA30="","",INDEX('Per Line'!$Z$2:$Z$4001,$AA30)&amp;"")</f>
        <v/>
      </c>
      <c r="N30">
        <f>IF($AA30="","",INDEX('Per Line'!$AG$2:$AG$4001,$AA30))</f>
        <v/>
      </c>
      <c r="O30">
        <f>IF($AA30="","",IF(AND(ISNUMBER(N30),N30&gt;0),Y30&gt;N30,FALSE))</f>
        <v/>
      </c>
      <c r="P30" s="7">
        <f>IF($AA30="","",SUMIFS('Per Line'!$Y$2:$Y$4001,'Per Line'!$E$2:$E$4001,$B30,'Per Line'!$AQ$2:$AQ$4001,1))</f>
        <v/>
      </c>
      <c r="Q30">
        <f>IF($AA30="","",Settings!$C$7)</f>
        <v/>
      </c>
      <c r="R30" s="7">
        <f>IF($AA30="","",SUMIFS('Per Line'!$Y$2:$Y$4001,'Per Line'!$E$2:$E$4001,$B30,'Per Line'!$AP$2:$AP$4001,0,'Per Line'!$AQ$2:$AQ$4001,0))</f>
        <v/>
      </c>
      <c r="S30" s="7">
        <f>IF($AA30="","",R30*Q30)</f>
        <v/>
      </c>
      <c r="T30">
        <f>IF($AA30="","",Settings!$C$6)</f>
        <v/>
      </c>
      <c r="U30" s="7">
        <f>IF($AA30="","",SUMIFS('Per Line'!$Y$2:$Y$4001,'Per Line'!$E$2:$E$4001,$B30,'Per Line'!$AP$2:$AP$4001,1,'Per Line'!$AQ$2:$AQ$4001,0))</f>
        <v/>
      </c>
      <c r="V30" s="7">
        <f>IF($AA30="","",U30*T30)</f>
        <v/>
      </c>
      <c r="W30" s="7">
        <f>IF($AA30="","",V30+S30)</f>
        <v/>
      </c>
      <c r="X30" s="7">
        <f>IF($AA30="","",Y30-W30)</f>
        <v/>
      </c>
      <c r="Y30" s="7">
        <f>IF($AA30="","",R30+U30+P30)</f>
        <v/>
      </c>
      <c r="Z30" s="7">
        <f>IF($AA30="","",Y30-W30-L30)</f>
        <v/>
      </c>
      <c r="AA30" s="13">
        <f>IF(ROWS($AA$2:$AA30)&lt;=MAX('Per Line'!$AO$2:$AO$4001),MATCH(ROWS($AA$2:$AA30),'Per Line'!$AO$2:$AO$4001,0),"")</f>
        <v/>
      </c>
      <c r="AB30" s="14">
        <f>IF($AA30="","",L30-K30*Y30/100)</f>
        <v/>
      </c>
    </row>
    <row r="31">
      <c r="A31" s="12" t="n"/>
      <c r="B31">
        <f>IF($AA31="","",INDEX('Per Line'!$E$2:$E$4001,$AA31)&amp;"")</f>
        <v/>
      </c>
      <c r="C31">
        <f>IF($AA31="","",INDEX('Per Line'!$A$2:$A$4001,$AA31)&amp;"")</f>
        <v/>
      </c>
      <c r="D31">
        <f>IF($AA31="","",INDEX('Per Line'!$D$2:$D$4001,$AA31)&amp;"")</f>
        <v/>
      </c>
      <c r="E31" s="11">
        <f>IF($AA31="","",INDEX('Per Line'!$G$2:$G$4001,$AA31))</f>
        <v/>
      </c>
      <c r="F31">
        <f>IF($AA31="","",INDEX('Per Line'!$H$2:$H$4001,$AA31)&amp;"")</f>
        <v/>
      </c>
      <c r="G31">
        <f>IF($AA31="","",INDEX('Per Line'!$I$2:$I$4001,$AA31)&amp;"")</f>
        <v/>
      </c>
      <c r="H31">
        <f>IF($AA31="","",INDEX('Per Line'!$J$2:$J$4001,$AA31)&amp;"")</f>
        <v/>
      </c>
      <c r="I31">
        <f>IF($AA31="","",INDEX('Per Line'!$K$2:$K$4001,$AA31)&amp;"")</f>
        <v/>
      </c>
      <c r="J31">
        <f>IF($AA31="","",INDEX('Per Line'!$L$2:$L$4001,$AA31)&amp;"")</f>
        <v/>
      </c>
      <c r="K31">
        <f>IF($AA31="","",INDEX('Per Line'!$P$2:$P$4001,$AA31))</f>
        <v/>
      </c>
      <c r="L31" s="7">
        <f>IF($AA31="","",IF(AND(ISNUMBER(N31),N31&gt;0,Y31&gt;N31),K31*N31/100+(Y31-N31),K31*Y31/100))</f>
        <v/>
      </c>
      <c r="M31">
        <f>IF($AA31="","",INDEX('Per Line'!$Z$2:$Z$4001,$AA31)&amp;"")</f>
        <v/>
      </c>
      <c r="N31">
        <f>IF($AA31="","",INDEX('Per Line'!$AG$2:$AG$4001,$AA31))</f>
        <v/>
      </c>
      <c r="O31">
        <f>IF($AA31="","",IF(AND(ISNUMBER(N31),N31&gt;0),Y31&gt;N31,FALSE))</f>
        <v/>
      </c>
      <c r="P31" s="7">
        <f>IF($AA31="","",SUMIFS('Per Line'!$Y$2:$Y$4001,'Per Line'!$E$2:$E$4001,$B31,'Per Line'!$AQ$2:$AQ$4001,1))</f>
        <v/>
      </c>
      <c r="Q31">
        <f>IF($AA31="","",Settings!$C$7)</f>
        <v/>
      </c>
      <c r="R31" s="7">
        <f>IF($AA31="","",SUMIFS('Per Line'!$Y$2:$Y$4001,'Per Line'!$E$2:$E$4001,$B31,'Per Line'!$AP$2:$AP$4001,0,'Per Line'!$AQ$2:$AQ$4001,0))</f>
        <v/>
      </c>
      <c r="S31" s="7">
        <f>IF($AA31="","",R31*Q31)</f>
        <v/>
      </c>
      <c r="T31">
        <f>IF($AA31="","",Settings!$C$6)</f>
        <v/>
      </c>
      <c r="U31" s="7">
        <f>IF($AA31="","",SUMIFS('Per Line'!$Y$2:$Y$4001,'Per Line'!$E$2:$E$4001,$B31,'Per Line'!$AP$2:$AP$4001,1,'Per Line'!$AQ$2:$AQ$4001,0))</f>
        <v/>
      </c>
      <c r="V31" s="7">
        <f>IF($AA31="","",U31*T31)</f>
        <v/>
      </c>
      <c r="W31" s="7">
        <f>IF($AA31="","",V31+S31)</f>
        <v/>
      </c>
      <c r="X31" s="7">
        <f>IF($AA31="","",Y31-W31)</f>
        <v/>
      </c>
      <c r="Y31" s="7">
        <f>IF($AA31="","",R31+U31+P31)</f>
        <v/>
      </c>
      <c r="Z31" s="7">
        <f>IF($AA31="","",Y31-W31-L31)</f>
        <v/>
      </c>
      <c r="AA31" s="13">
        <f>IF(ROWS($AA$2:$AA31)&lt;=MAX('Per Line'!$AO$2:$AO$4001),MATCH(ROWS($AA$2:$AA31),'Per Line'!$AO$2:$AO$4001,0),"")</f>
        <v/>
      </c>
      <c r="AB31" s="14">
        <f>IF($AA31="","",L31-K31*Y31/100)</f>
        <v/>
      </c>
    </row>
    <row r="32">
      <c r="A32" s="12" t="n"/>
      <c r="B32">
        <f>IF($AA32="","",INDEX('Per Line'!$E$2:$E$4001,$AA32)&amp;"")</f>
        <v/>
      </c>
      <c r="C32">
        <f>IF($AA32="","",INDEX('Per Line'!$A$2:$A$4001,$AA32)&amp;"")</f>
        <v/>
      </c>
      <c r="D32">
        <f>IF($AA32="","",INDEX('Per Line'!$D$2:$D$4001,$AA32)&amp;"")</f>
        <v/>
      </c>
      <c r="E32" s="11">
        <f>IF($AA32="","",INDEX('Per Line'!$G$2:$G$4001,$AA32))</f>
        <v/>
      </c>
      <c r="F32">
        <f>IF($AA32="","",INDEX('Per Line'!$H$2:$H$4001,$AA32)&amp;"")</f>
        <v/>
      </c>
      <c r="G32">
        <f>IF($AA32="","",INDEX('Per Line'!$I$2:$I$4001,$AA32)&amp;"")</f>
        <v/>
      </c>
      <c r="H32">
        <f>IF($AA32="","",INDEX('Per Line'!$J$2:$J$4001,$AA32)&amp;"")</f>
        <v/>
      </c>
      <c r="I32">
        <f>IF($AA32="","",INDEX('Per Line'!$K$2:$K$4001,$AA32)&amp;"")</f>
        <v/>
      </c>
      <c r="J32">
        <f>IF($AA32="","",INDEX('Per Line'!$L$2:$L$4001,$AA32)&amp;"")</f>
        <v/>
      </c>
      <c r="K32">
        <f>IF($AA32="","",INDEX('Per Line'!$P$2:$P$4001,$AA32))</f>
        <v/>
      </c>
      <c r="L32" s="7">
        <f>IF($AA32="","",IF(AND(ISNUMBER(N32),N32&gt;0,Y32&gt;N32),K32*N32/100+(Y32-N32),K32*Y32/100))</f>
        <v/>
      </c>
      <c r="M32">
        <f>IF($AA32="","",INDEX('Per Line'!$Z$2:$Z$4001,$AA32)&amp;"")</f>
        <v/>
      </c>
      <c r="N32">
        <f>IF($AA32="","",INDEX('Per Line'!$AG$2:$AG$4001,$AA32))</f>
        <v/>
      </c>
      <c r="O32">
        <f>IF($AA32="","",IF(AND(ISNUMBER(N32),N32&gt;0),Y32&gt;N32,FALSE))</f>
        <v/>
      </c>
      <c r="P32" s="7">
        <f>IF($AA32="","",SUMIFS('Per Line'!$Y$2:$Y$4001,'Per Line'!$E$2:$E$4001,$B32,'Per Line'!$AQ$2:$AQ$4001,1))</f>
        <v/>
      </c>
      <c r="Q32">
        <f>IF($AA32="","",Settings!$C$7)</f>
        <v/>
      </c>
      <c r="R32" s="7">
        <f>IF($AA32="","",SUMIFS('Per Line'!$Y$2:$Y$4001,'Per Line'!$E$2:$E$4001,$B32,'Per Line'!$AP$2:$AP$4001,0,'Per Line'!$AQ$2:$AQ$4001,0))</f>
        <v/>
      </c>
      <c r="S32" s="7">
        <f>IF($AA32="","",R32*Q32)</f>
        <v/>
      </c>
      <c r="T32">
        <f>IF($AA32="","",Settings!$C$6)</f>
        <v/>
      </c>
      <c r="U32" s="7">
        <f>IF($AA32="","",SUMIFS('Per Line'!$Y$2:$Y$4001,'Per Line'!$E$2:$E$4001,$B32,'Per Line'!$AP$2:$AP$4001,1,'Per Line'!$AQ$2:$AQ$4001,0))</f>
        <v/>
      </c>
      <c r="V32" s="7">
        <f>IF($AA32="","",U32*T32)</f>
        <v/>
      </c>
      <c r="W32" s="7">
        <f>IF($AA32="","",V32+S32)</f>
        <v/>
      </c>
      <c r="X32" s="7">
        <f>IF($AA32="","",Y32-W32)</f>
        <v/>
      </c>
      <c r="Y32" s="7">
        <f>IF($AA32="","",R32+U32+P32)</f>
        <v/>
      </c>
      <c r="Z32" s="7">
        <f>IF($AA32="","",Y32-W32-L32)</f>
        <v/>
      </c>
      <c r="AA32" s="13">
        <f>IF(ROWS($AA$2:$AA32)&lt;=MAX('Per Line'!$AO$2:$AO$4001),MATCH(ROWS($AA$2:$AA32),'Per Line'!$AO$2:$AO$4001,0),"")</f>
        <v/>
      </c>
      <c r="AB32" s="14">
        <f>IF($AA32="","",L32-K32*Y32/100)</f>
        <v/>
      </c>
    </row>
    <row r="33">
      <c r="A33" s="12" t="n"/>
      <c r="B33">
        <f>IF($AA33="","",INDEX('Per Line'!$E$2:$E$4001,$AA33)&amp;"")</f>
        <v/>
      </c>
      <c r="C33">
        <f>IF($AA33="","",INDEX('Per Line'!$A$2:$A$4001,$AA33)&amp;"")</f>
        <v/>
      </c>
      <c r="D33">
        <f>IF($AA33="","",INDEX('Per Line'!$D$2:$D$4001,$AA33)&amp;"")</f>
        <v/>
      </c>
      <c r="E33" s="11">
        <f>IF($AA33="","",INDEX('Per Line'!$G$2:$G$4001,$AA33))</f>
        <v/>
      </c>
      <c r="F33">
        <f>IF($AA33="","",INDEX('Per Line'!$H$2:$H$4001,$AA33)&amp;"")</f>
        <v/>
      </c>
      <c r="G33">
        <f>IF($AA33="","",INDEX('Per Line'!$I$2:$I$4001,$AA33)&amp;"")</f>
        <v/>
      </c>
      <c r="H33">
        <f>IF($AA33="","",INDEX('Per Line'!$J$2:$J$4001,$AA33)&amp;"")</f>
        <v/>
      </c>
      <c r="I33">
        <f>IF($AA33="","",INDEX('Per Line'!$K$2:$K$4001,$AA33)&amp;"")</f>
        <v/>
      </c>
      <c r="J33">
        <f>IF($AA33="","",INDEX('Per Line'!$L$2:$L$4001,$AA33)&amp;"")</f>
        <v/>
      </c>
      <c r="K33">
        <f>IF($AA33="","",INDEX('Per Line'!$P$2:$P$4001,$AA33))</f>
        <v/>
      </c>
      <c r="L33" s="7">
        <f>IF($AA33="","",IF(AND(ISNUMBER(N33),N33&gt;0,Y33&gt;N33),K33*N33/100+(Y33-N33),K33*Y33/100))</f>
        <v/>
      </c>
      <c r="M33">
        <f>IF($AA33="","",INDEX('Per Line'!$Z$2:$Z$4001,$AA33)&amp;"")</f>
        <v/>
      </c>
      <c r="N33">
        <f>IF($AA33="","",INDEX('Per Line'!$AG$2:$AG$4001,$AA33))</f>
        <v/>
      </c>
      <c r="O33">
        <f>IF($AA33="","",IF(AND(ISNUMBER(N33),N33&gt;0),Y33&gt;N33,FALSE))</f>
        <v/>
      </c>
      <c r="P33" s="7">
        <f>IF($AA33="","",SUMIFS('Per Line'!$Y$2:$Y$4001,'Per Line'!$E$2:$E$4001,$B33,'Per Line'!$AQ$2:$AQ$4001,1))</f>
        <v/>
      </c>
      <c r="Q33">
        <f>IF($AA33="","",Settings!$C$7)</f>
        <v/>
      </c>
      <c r="R33" s="7">
        <f>IF($AA33="","",SUMIFS('Per Line'!$Y$2:$Y$4001,'Per Line'!$E$2:$E$4001,$B33,'Per Line'!$AP$2:$AP$4001,0,'Per Line'!$AQ$2:$AQ$4001,0))</f>
        <v/>
      </c>
      <c r="S33" s="7">
        <f>IF($AA33="","",R33*Q33)</f>
        <v/>
      </c>
      <c r="T33">
        <f>IF($AA33="","",Settings!$C$6)</f>
        <v/>
      </c>
      <c r="U33" s="7">
        <f>IF($AA33="","",SUMIFS('Per Line'!$Y$2:$Y$4001,'Per Line'!$E$2:$E$4001,$B33,'Per Line'!$AP$2:$AP$4001,1,'Per Line'!$AQ$2:$AQ$4001,0))</f>
        <v/>
      </c>
      <c r="V33" s="7">
        <f>IF($AA33="","",U33*T33)</f>
        <v/>
      </c>
      <c r="W33" s="7">
        <f>IF($AA33="","",V33+S33)</f>
        <v/>
      </c>
      <c r="X33" s="7">
        <f>IF($AA33="","",Y33-W33)</f>
        <v/>
      </c>
      <c r="Y33" s="7">
        <f>IF($AA33="","",R33+U33+P33)</f>
        <v/>
      </c>
      <c r="Z33" s="7">
        <f>IF($AA33="","",Y33-W33-L33)</f>
        <v/>
      </c>
      <c r="AA33" s="13">
        <f>IF(ROWS($AA$2:$AA33)&lt;=MAX('Per Line'!$AO$2:$AO$4001),MATCH(ROWS($AA$2:$AA33),'Per Line'!$AO$2:$AO$4001,0),"")</f>
        <v/>
      </c>
      <c r="AB33" s="14">
        <f>IF($AA33="","",L33-K33*Y33/100)</f>
        <v/>
      </c>
    </row>
    <row r="34">
      <c r="A34" s="12" t="n"/>
      <c r="B34">
        <f>IF($AA34="","",INDEX('Per Line'!$E$2:$E$4001,$AA34)&amp;"")</f>
        <v/>
      </c>
      <c r="C34">
        <f>IF($AA34="","",INDEX('Per Line'!$A$2:$A$4001,$AA34)&amp;"")</f>
        <v/>
      </c>
      <c r="D34">
        <f>IF($AA34="","",INDEX('Per Line'!$D$2:$D$4001,$AA34)&amp;"")</f>
        <v/>
      </c>
      <c r="E34" s="11">
        <f>IF($AA34="","",INDEX('Per Line'!$G$2:$G$4001,$AA34))</f>
        <v/>
      </c>
      <c r="F34">
        <f>IF($AA34="","",INDEX('Per Line'!$H$2:$H$4001,$AA34)&amp;"")</f>
        <v/>
      </c>
      <c r="G34">
        <f>IF($AA34="","",INDEX('Per Line'!$I$2:$I$4001,$AA34)&amp;"")</f>
        <v/>
      </c>
      <c r="H34">
        <f>IF($AA34="","",INDEX('Per Line'!$J$2:$J$4001,$AA34)&amp;"")</f>
        <v/>
      </c>
      <c r="I34">
        <f>IF($AA34="","",INDEX('Per Line'!$K$2:$K$4001,$AA34)&amp;"")</f>
        <v/>
      </c>
      <c r="J34">
        <f>IF($AA34="","",INDEX('Per Line'!$L$2:$L$4001,$AA34)&amp;"")</f>
        <v/>
      </c>
      <c r="K34">
        <f>IF($AA34="","",INDEX('Per Line'!$P$2:$P$4001,$AA34))</f>
        <v/>
      </c>
      <c r="L34" s="7">
        <f>IF($AA34="","",IF(AND(ISNUMBER(N34),N34&gt;0,Y34&gt;N34),K34*N34/100+(Y34-N34),K34*Y34/100))</f>
        <v/>
      </c>
      <c r="M34">
        <f>IF($AA34="","",INDEX('Per Line'!$Z$2:$Z$4001,$AA34)&amp;"")</f>
        <v/>
      </c>
      <c r="N34">
        <f>IF($AA34="","",INDEX('Per Line'!$AG$2:$AG$4001,$AA34))</f>
        <v/>
      </c>
      <c r="O34">
        <f>IF($AA34="","",IF(AND(ISNUMBER(N34),N34&gt;0),Y34&gt;N34,FALSE))</f>
        <v/>
      </c>
      <c r="P34" s="7">
        <f>IF($AA34="","",SUMIFS('Per Line'!$Y$2:$Y$4001,'Per Line'!$E$2:$E$4001,$B34,'Per Line'!$AQ$2:$AQ$4001,1))</f>
        <v/>
      </c>
      <c r="Q34">
        <f>IF($AA34="","",Settings!$C$7)</f>
        <v/>
      </c>
      <c r="R34" s="7">
        <f>IF($AA34="","",SUMIFS('Per Line'!$Y$2:$Y$4001,'Per Line'!$E$2:$E$4001,$B34,'Per Line'!$AP$2:$AP$4001,0,'Per Line'!$AQ$2:$AQ$4001,0))</f>
        <v/>
      </c>
      <c r="S34" s="7">
        <f>IF($AA34="","",R34*Q34)</f>
        <v/>
      </c>
      <c r="T34">
        <f>IF($AA34="","",Settings!$C$6)</f>
        <v/>
      </c>
      <c r="U34" s="7">
        <f>IF($AA34="","",SUMIFS('Per Line'!$Y$2:$Y$4001,'Per Line'!$E$2:$E$4001,$B34,'Per Line'!$AP$2:$AP$4001,1,'Per Line'!$AQ$2:$AQ$4001,0))</f>
        <v/>
      </c>
      <c r="V34" s="7">
        <f>IF($AA34="","",U34*T34)</f>
        <v/>
      </c>
      <c r="W34" s="7">
        <f>IF($AA34="","",V34+S34)</f>
        <v/>
      </c>
      <c r="X34" s="7">
        <f>IF($AA34="","",Y34-W34)</f>
        <v/>
      </c>
      <c r="Y34" s="7">
        <f>IF($AA34="","",R34+U34+P34)</f>
        <v/>
      </c>
      <c r="Z34" s="7">
        <f>IF($AA34="","",Y34-W34-L34)</f>
        <v/>
      </c>
      <c r="AA34" s="13">
        <f>IF(ROWS($AA$2:$AA34)&lt;=MAX('Per Line'!$AO$2:$AO$4001),MATCH(ROWS($AA$2:$AA34),'Per Line'!$AO$2:$AO$4001,0),"")</f>
        <v/>
      </c>
      <c r="AB34" s="14">
        <f>IF($AA34="","",L34-K34*Y34/100)</f>
        <v/>
      </c>
    </row>
    <row r="35">
      <c r="A35" s="12" t="n"/>
      <c r="B35">
        <f>IF($AA35="","",INDEX('Per Line'!$E$2:$E$4001,$AA35)&amp;"")</f>
        <v/>
      </c>
      <c r="C35">
        <f>IF($AA35="","",INDEX('Per Line'!$A$2:$A$4001,$AA35)&amp;"")</f>
        <v/>
      </c>
      <c r="D35">
        <f>IF($AA35="","",INDEX('Per Line'!$D$2:$D$4001,$AA35)&amp;"")</f>
        <v/>
      </c>
      <c r="E35" s="11">
        <f>IF($AA35="","",INDEX('Per Line'!$G$2:$G$4001,$AA35))</f>
        <v/>
      </c>
      <c r="F35">
        <f>IF($AA35="","",INDEX('Per Line'!$H$2:$H$4001,$AA35)&amp;"")</f>
        <v/>
      </c>
      <c r="G35">
        <f>IF($AA35="","",INDEX('Per Line'!$I$2:$I$4001,$AA35)&amp;"")</f>
        <v/>
      </c>
      <c r="H35">
        <f>IF($AA35="","",INDEX('Per Line'!$J$2:$J$4001,$AA35)&amp;"")</f>
        <v/>
      </c>
      <c r="I35">
        <f>IF($AA35="","",INDEX('Per Line'!$K$2:$K$4001,$AA35)&amp;"")</f>
        <v/>
      </c>
      <c r="J35">
        <f>IF($AA35="","",INDEX('Per Line'!$L$2:$L$4001,$AA35)&amp;"")</f>
        <v/>
      </c>
      <c r="K35">
        <f>IF($AA35="","",INDEX('Per Line'!$P$2:$P$4001,$AA35))</f>
        <v/>
      </c>
      <c r="L35" s="7">
        <f>IF($AA35="","",IF(AND(ISNUMBER(N35),N35&gt;0,Y35&gt;N35),K35*N35/100+(Y35-N35),K35*Y35/100))</f>
        <v/>
      </c>
      <c r="M35">
        <f>IF($AA35="","",INDEX('Per Line'!$Z$2:$Z$4001,$AA35)&amp;"")</f>
        <v/>
      </c>
      <c r="N35">
        <f>IF($AA35="","",INDEX('Per Line'!$AG$2:$AG$4001,$AA35))</f>
        <v/>
      </c>
      <c r="O35">
        <f>IF($AA35="","",IF(AND(ISNUMBER(N35),N35&gt;0),Y35&gt;N35,FALSE))</f>
        <v/>
      </c>
      <c r="P35" s="7">
        <f>IF($AA35="","",SUMIFS('Per Line'!$Y$2:$Y$4001,'Per Line'!$E$2:$E$4001,$B35,'Per Line'!$AQ$2:$AQ$4001,1))</f>
        <v/>
      </c>
      <c r="Q35">
        <f>IF($AA35="","",Settings!$C$7)</f>
        <v/>
      </c>
      <c r="R35" s="7">
        <f>IF($AA35="","",SUMIFS('Per Line'!$Y$2:$Y$4001,'Per Line'!$E$2:$E$4001,$B35,'Per Line'!$AP$2:$AP$4001,0,'Per Line'!$AQ$2:$AQ$4001,0))</f>
        <v/>
      </c>
      <c r="S35" s="7">
        <f>IF($AA35="","",R35*Q35)</f>
        <v/>
      </c>
      <c r="T35">
        <f>IF($AA35="","",Settings!$C$6)</f>
        <v/>
      </c>
      <c r="U35" s="7">
        <f>IF($AA35="","",SUMIFS('Per Line'!$Y$2:$Y$4001,'Per Line'!$E$2:$E$4001,$B35,'Per Line'!$AP$2:$AP$4001,1,'Per Line'!$AQ$2:$AQ$4001,0))</f>
        <v/>
      </c>
      <c r="V35" s="7">
        <f>IF($AA35="","",U35*T35)</f>
        <v/>
      </c>
      <c r="W35" s="7">
        <f>IF($AA35="","",V35+S35)</f>
        <v/>
      </c>
      <c r="X35" s="7">
        <f>IF($AA35="","",Y35-W35)</f>
        <v/>
      </c>
      <c r="Y35" s="7">
        <f>IF($AA35="","",R35+U35+P35)</f>
        <v/>
      </c>
      <c r="Z35" s="7">
        <f>IF($AA35="","",Y35-W35-L35)</f>
        <v/>
      </c>
      <c r="AA35" s="13">
        <f>IF(ROWS($AA$2:$AA35)&lt;=MAX('Per Line'!$AO$2:$AO$4001),MATCH(ROWS($AA$2:$AA35),'Per Line'!$AO$2:$AO$4001,0),"")</f>
        <v/>
      </c>
      <c r="AB35" s="14">
        <f>IF($AA35="","",L35-K35*Y35/100)</f>
        <v/>
      </c>
    </row>
    <row r="36">
      <c r="A36" s="12" t="n"/>
      <c r="B36">
        <f>IF($AA36="","",INDEX('Per Line'!$E$2:$E$4001,$AA36)&amp;"")</f>
        <v/>
      </c>
      <c r="C36">
        <f>IF($AA36="","",INDEX('Per Line'!$A$2:$A$4001,$AA36)&amp;"")</f>
        <v/>
      </c>
      <c r="D36">
        <f>IF($AA36="","",INDEX('Per Line'!$D$2:$D$4001,$AA36)&amp;"")</f>
        <v/>
      </c>
      <c r="E36" s="11">
        <f>IF($AA36="","",INDEX('Per Line'!$G$2:$G$4001,$AA36))</f>
        <v/>
      </c>
      <c r="F36">
        <f>IF($AA36="","",INDEX('Per Line'!$H$2:$H$4001,$AA36)&amp;"")</f>
        <v/>
      </c>
      <c r="G36">
        <f>IF($AA36="","",INDEX('Per Line'!$I$2:$I$4001,$AA36)&amp;"")</f>
        <v/>
      </c>
      <c r="H36">
        <f>IF($AA36="","",INDEX('Per Line'!$J$2:$J$4001,$AA36)&amp;"")</f>
        <v/>
      </c>
      <c r="I36">
        <f>IF($AA36="","",INDEX('Per Line'!$K$2:$K$4001,$AA36)&amp;"")</f>
        <v/>
      </c>
      <c r="J36">
        <f>IF($AA36="","",INDEX('Per Line'!$L$2:$L$4001,$AA36)&amp;"")</f>
        <v/>
      </c>
      <c r="K36">
        <f>IF($AA36="","",INDEX('Per Line'!$P$2:$P$4001,$AA36))</f>
        <v/>
      </c>
      <c r="L36" s="7">
        <f>IF($AA36="","",IF(AND(ISNUMBER(N36),N36&gt;0,Y36&gt;N36),K36*N36/100+(Y36-N36),K36*Y36/100))</f>
        <v/>
      </c>
      <c r="M36">
        <f>IF($AA36="","",INDEX('Per Line'!$Z$2:$Z$4001,$AA36)&amp;"")</f>
        <v/>
      </c>
      <c r="N36">
        <f>IF($AA36="","",INDEX('Per Line'!$AG$2:$AG$4001,$AA36))</f>
        <v/>
      </c>
      <c r="O36">
        <f>IF($AA36="","",IF(AND(ISNUMBER(N36),N36&gt;0),Y36&gt;N36,FALSE))</f>
        <v/>
      </c>
      <c r="P36" s="7">
        <f>IF($AA36="","",SUMIFS('Per Line'!$Y$2:$Y$4001,'Per Line'!$E$2:$E$4001,$B36,'Per Line'!$AQ$2:$AQ$4001,1))</f>
        <v/>
      </c>
      <c r="Q36">
        <f>IF($AA36="","",Settings!$C$7)</f>
        <v/>
      </c>
      <c r="R36" s="7">
        <f>IF($AA36="","",SUMIFS('Per Line'!$Y$2:$Y$4001,'Per Line'!$E$2:$E$4001,$B36,'Per Line'!$AP$2:$AP$4001,0,'Per Line'!$AQ$2:$AQ$4001,0))</f>
        <v/>
      </c>
      <c r="S36" s="7">
        <f>IF($AA36="","",R36*Q36)</f>
        <v/>
      </c>
      <c r="T36">
        <f>IF($AA36="","",Settings!$C$6)</f>
        <v/>
      </c>
      <c r="U36" s="7">
        <f>IF($AA36="","",SUMIFS('Per Line'!$Y$2:$Y$4001,'Per Line'!$E$2:$E$4001,$B36,'Per Line'!$AP$2:$AP$4001,1,'Per Line'!$AQ$2:$AQ$4001,0))</f>
        <v/>
      </c>
      <c r="V36" s="7">
        <f>IF($AA36="","",U36*T36)</f>
        <v/>
      </c>
      <c r="W36" s="7">
        <f>IF($AA36="","",V36+S36)</f>
        <v/>
      </c>
      <c r="X36" s="7">
        <f>IF($AA36="","",Y36-W36)</f>
        <v/>
      </c>
      <c r="Y36" s="7">
        <f>IF($AA36="","",R36+U36+P36)</f>
        <v/>
      </c>
      <c r="Z36" s="7">
        <f>IF($AA36="","",Y36-W36-L36)</f>
        <v/>
      </c>
      <c r="AA36" s="13">
        <f>IF(ROWS($AA$2:$AA36)&lt;=MAX('Per Line'!$AO$2:$AO$4001),MATCH(ROWS($AA$2:$AA36),'Per Line'!$AO$2:$AO$4001,0),"")</f>
        <v/>
      </c>
      <c r="AB36" s="14">
        <f>IF($AA36="","",L36-K36*Y36/100)</f>
        <v/>
      </c>
    </row>
    <row r="37">
      <c r="A37" s="12" t="n"/>
      <c r="B37">
        <f>IF($AA37="","",INDEX('Per Line'!$E$2:$E$4001,$AA37)&amp;"")</f>
        <v/>
      </c>
      <c r="C37">
        <f>IF($AA37="","",INDEX('Per Line'!$A$2:$A$4001,$AA37)&amp;"")</f>
        <v/>
      </c>
      <c r="D37">
        <f>IF($AA37="","",INDEX('Per Line'!$D$2:$D$4001,$AA37)&amp;"")</f>
        <v/>
      </c>
      <c r="E37" s="11">
        <f>IF($AA37="","",INDEX('Per Line'!$G$2:$G$4001,$AA37))</f>
        <v/>
      </c>
      <c r="F37">
        <f>IF($AA37="","",INDEX('Per Line'!$H$2:$H$4001,$AA37)&amp;"")</f>
        <v/>
      </c>
      <c r="G37">
        <f>IF($AA37="","",INDEX('Per Line'!$I$2:$I$4001,$AA37)&amp;"")</f>
        <v/>
      </c>
      <c r="H37">
        <f>IF($AA37="","",INDEX('Per Line'!$J$2:$J$4001,$AA37)&amp;"")</f>
        <v/>
      </c>
      <c r="I37">
        <f>IF($AA37="","",INDEX('Per Line'!$K$2:$K$4001,$AA37)&amp;"")</f>
        <v/>
      </c>
      <c r="J37">
        <f>IF($AA37="","",INDEX('Per Line'!$L$2:$L$4001,$AA37)&amp;"")</f>
        <v/>
      </c>
      <c r="K37">
        <f>IF($AA37="","",INDEX('Per Line'!$P$2:$P$4001,$AA37))</f>
        <v/>
      </c>
      <c r="L37" s="7">
        <f>IF($AA37="","",IF(AND(ISNUMBER(N37),N37&gt;0,Y37&gt;N37),K37*N37/100+(Y37-N37),K37*Y37/100))</f>
        <v/>
      </c>
      <c r="M37">
        <f>IF($AA37="","",INDEX('Per Line'!$Z$2:$Z$4001,$AA37)&amp;"")</f>
        <v/>
      </c>
      <c r="N37">
        <f>IF($AA37="","",INDEX('Per Line'!$AG$2:$AG$4001,$AA37))</f>
        <v/>
      </c>
      <c r="O37">
        <f>IF($AA37="","",IF(AND(ISNUMBER(N37),N37&gt;0),Y37&gt;N37,FALSE))</f>
        <v/>
      </c>
      <c r="P37" s="7">
        <f>IF($AA37="","",SUMIFS('Per Line'!$Y$2:$Y$4001,'Per Line'!$E$2:$E$4001,$B37,'Per Line'!$AQ$2:$AQ$4001,1))</f>
        <v/>
      </c>
      <c r="Q37">
        <f>IF($AA37="","",Settings!$C$7)</f>
        <v/>
      </c>
      <c r="R37" s="7">
        <f>IF($AA37="","",SUMIFS('Per Line'!$Y$2:$Y$4001,'Per Line'!$E$2:$E$4001,$B37,'Per Line'!$AP$2:$AP$4001,0,'Per Line'!$AQ$2:$AQ$4001,0))</f>
        <v/>
      </c>
      <c r="S37" s="7">
        <f>IF($AA37="","",R37*Q37)</f>
        <v/>
      </c>
      <c r="T37">
        <f>IF($AA37="","",Settings!$C$6)</f>
        <v/>
      </c>
      <c r="U37" s="7">
        <f>IF($AA37="","",SUMIFS('Per Line'!$Y$2:$Y$4001,'Per Line'!$E$2:$E$4001,$B37,'Per Line'!$AP$2:$AP$4001,1,'Per Line'!$AQ$2:$AQ$4001,0))</f>
        <v/>
      </c>
      <c r="V37" s="7">
        <f>IF($AA37="","",U37*T37)</f>
        <v/>
      </c>
      <c r="W37" s="7">
        <f>IF($AA37="","",V37+S37)</f>
        <v/>
      </c>
      <c r="X37" s="7">
        <f>IF($AA37="","",Y37-W37)</f>
        <v/>
      </c>
      <c r="Y37" s="7">
        <f>IF($AA37="","",R37+U37+P37)</f>
        <v/>
      </c>
      <c r="Z37" s="7">
        <f>IF($AA37="","",Y37-W37-L37)</f>
        <v/>
      </c>
      <c r="AA37" s="13">
        <f>IF(ROWS($AA$2:$AA37)&lt;=MAX('Per Line'!$AO$2:$AO$4001),MATCH(ROWS($AA$2:$AA37),'Per Line'!$AO$2:$AO$4001,0),"")</f>
        <v/>
      </c>
      <c r="AB37" s="14">
        <f>IF($AA37="","",L37-K37*Y37/100)</f>
        <v/>
      </c>
    </row>
    <row r="38">
      <c r="A38" s="12" t="n"/>
      <c r="B38">
        <f>IF($AA38="","",INDEX('Per Line'!$E$2:$E$4001,$AA38)&amp;"")</f>
        <v/>
      </c>
      <c r="C38">
        <f>IF($AA38="","",INDEX('Per Line'!$A$2:$A$4001,$AA38)&amp;"")</f>
        <v/>
      </c>
      <c r="D38">
        <f>IF($AA38="","",INDEX('Per Line'!$D$2:$D$4001,$AA38)&amp;"")</f>
        <v/>
      </c>
      <c r="E38" s="11">
        <f>IF($AA38="","",INDEX('Per Line'!$G$2:$G$4001,$AA38))</f>
        <v/>
      </c>
      <c r="F38">
        <f>IF($AA38="","",INDEX('Per Line'!$H$2:$H$4001,$AA38)&amp;"")</f>
        <v/>
      </c>
      <c r="G38">
        <f>IF($AA38="","",INDEX('Per Line'!$I$2:$I$4001,$AA38)&amp;"")</f>
        <v/>
      </c>
      <c r="H38">
        <f>IF($AA38="","",INDEX('Per Line'!$J$2:$J$4001,$AA38)&amp;"")</f>
        <v/>
      </c>
      <c r="I38">
        <f>IF($AA38="","",INDEX('Per Line'!$K$2:$K$4001,$AA38)&amp;"")</f>
        <v/>
      </c>
      <c r="J38">
        <f>IF($AA38="","",INDEX('Per Line'!$L$2:$L$4001,$AA38)&amp;"")</f>
        <v/>
      </c>
      <c r="K38">
        <f>IF($AA38="","",INDEX('Per Line'!$P$2:$P$4001,$AA38))</f>
        <v/>
      </c>
      <c r="L38" s="7">
        <f>IF($AA38="","",IF(AND(ISNUMBER(N38),N38&gt;0,Y38&gt;N38),K38*N38/100+(Y38-N38),K38*Y38/100))</f>
        <v/>
      </c>
      <c r="M38">
        <f>IF($AA38="","",INDEX('Per Line'!$Z$2:$Z$4001,$AA38)&amp;"")</f>
        <v/>
      </c>
      <c r="N38">
        <f>IF($AA38="","",INDEX('Per Line'!$AG$2:$AG$4001,$AA38))</f>
        <v/>
      </c>
      <c r="O38">
        <f>IF($AA38="","",IF(AND(ISNUMBER(N38),N38&gt;0),Y38&gt;N38,FALSE))</f>
        <v/>
      </c>
      <c r="P38" s="7">
        <f>IF($AA38="","",SUMIFS('Per Line'!$Y$2:$Y$4001,'Per Line'!$E$2:$E$4001,$B38,'Per Line'!$AQ$2:$AQ$4001,1))</f>
        <v/>
      </c>
      <c r="Q38">
        <f>IF($AA38="","",Settings!$C$7)</f>
        <v/>
      </c>
      <c r="R38" s="7">
        <f>IF($AA38="","",SUMIFS('Per Line'!$Y$2:$Y$4001,'Per Line'!$E$2:$E$4001,$B38,'Per Line'!$AP$2:$AP$4001,0,'Per Line'!$AQ$2:$AQ$4001,0))</f>
        <v/>
      </c>
      <c r="S38" s="7">
        <f>IF($AA38="","",R38*Q38)</f>
        <v/>
      </c>
      <c r="T38">
        <f>IF($AA38="","",Settings!$C$6)</f>
        <v/>
      </c>
      <c r="U38" s="7">
        <f>IF($AA38="","",SUMIFS('Per Line'!$Y$2:$Y$4001,'Per Line'!$E$2:$E$4001,$B38,'Per Line'!$AP$2:$AP$4001,1,'Per Line'!$AQ$2:$AQ$4001,0))</f>
        <v/>
      </c>
      <c r="V38" s="7">
        <f>IF($AA38="","",U38*T38)</f>
        <v/>
      </c>
      <c r="W38" s="7">
        <f>IF($AA38="","",V38+S38)</f>
        <v/>
      </c>
      <c r="X38" s="7">
        <f>IF($AA38="","",Y38-W38)</f>
        <v/>
      </c>
      <c r="Y38" s="7">
        <f>IF($AA38="","",R38+U38+P38)</f>
        <v/>
      </c>
      <c r="Z38" s="7">
        <f>IF($AA38="","",Y38-W38-L38)</f>
        <v/>
      </c>
      <c r="AA38" s="13">
        <f>IF(ROWS($AA$2:$AA38)&lt;=MAX('Per Line'!$AO$2:$AO$4001),MATCH(ROWS($AA$2:$AA38),'Per Line'!$AO$2:$AO$4001,0),"")</f>
        <v/>
      </c>
      <c r="AB38" s="14">
        <f>IF($AA38="","",L38-K38*Y38/100)</f>
        <v/>
      </c>
    </row>
    <row r="39">
      <c r="A39" s="12" t="n"/>
      <c r="B39">
        <f>IF($AA39="","",INDEX('Per Line'!$E$2:$E$4001,$AA39)&amp;"")</f>
        <v/>
      </c>
      <c r="C39">
        <f>IF($AA39="","",INDEX('Per Line'!$A$2:$A$4001,$AA39)&amp;"")</f>
        <v/>
      </c>
      <c r="D39">
        <f>IF($AA39="","",INDEX('Per Line'!$D$2:$D$4001,$AA39)&amp;"")</f>
        <v/>
      </c>
      <c r="E39" s="11">
        <f>IF($AA39="","",INDEX('Per Line'!$G$2:$G$4001,$AA39))</f>
        <v/>
      </c>
      <c r="F39">
        <f>IF($AA39="","",INDEX('Per Line'!$H$2:$H$4001,$AA39)&amp;"")</f>
        <v/>
      </c>
      <c r="G39">
        <f>IF($AA39="","",INDEX('Per Line'!$I$2:$I$4001,$AA39)&amp;"")</f>
        <v/>
      </c>
      <c r="H39">
        <f>IF($AA39="","",INDEX('Per Line'!$J$2:$J$4001,$AA39)&amp;"")</f>
        <v/>
      </c>
      <c r="I39">
        <f>IF($AA39="","",INDEX('Per Line'!$K$2:$K$4001,$AA39)&amp;"")</f>
        <v/>
      </c>
      <c r="J39">
        <f>IF($AA39="","",INDEX('Per Line'!$L$2:$L$4001,$AA39)&amp;"")</f>
        <v/>
      </c>
      <c r="K39">
        <f>IF($AA39="","",INDEX('Per Line'!$P$2:$P$4001,$AA39))</f>
        <v/>
      </c>
      <c r="L39" s="7">
        <f>IF($AA39="","",IF(AND(ISNUMBER(N39),N39&gt;0,Y39&gt;N39),K39*N39/100+(Y39-N39),K39*Y39/100))</f>
        <v/>
      </c>
      <c r="M39">
        <f>IF($AA39="","",INDEX('Per Line'!$Z$2:$Z$4001,$AA39)&amp;"")</f>
        <v/>
      </c>
      <c r="N39">
        <f>IF($AA39="","",INDEX('Per Line'!$AG$2:$AG$4001,$AA39))</f>
        <v/>
      </c>
      <c r="O39">
        <f>IF($AA39="","",IF(AND(ISNUMBER(N39),N39&gt;0),Y39&gt;N39,FALSE))</f>
        <v/>
      </c>
      <c r="P39" s="7">
        <f>IF($AA39="","",SUMIFS('Per Line'!$Y$2:$Y$4001,'Per Line'!$E$2:$E$4001,$B39,'Per Line'!$AQ$2:$AQ$4001,1))</f>
        <v/>
      </c>
      <c r="Q39">
        <f>IF($AA39="","",Settings!$C$7)</f>
        <v/>
      </c>
      <c r="R39" s="7">
        <f>IF($AA39="","",SUMIFS('Per Line'!$Y$2:$Y$4001,'Per Line'!$E$2:$E$4001,$B39,'Per Line'!$AP$2:$AP$4001,0,'Per Line'!$AQ$2:$AQ$4001,0))</f>
        <v/>
      </c>
      <c r="S39" s="7">
        <f>IF($AA39="","",R39*Q39)</f>
        <v/>
      </c>
      <c r="T39">
        <f>IF($AA39="","",Settings!$C$6)</f>
        <v/>
      </c>
      <c r="U39" s="7">
        <f>IF($AA39="","",SUMIFS('Per Line'!$Y$2:$Y$4001,'Per Line'!$E$2:$E$4001,$B39,'Per Line'!$AP$2:$AP$4001,1,'Per Line'!$AQ$2:$AQ$4001,0))</f>
        <v/>
      </c>
      <c r="V39" s="7">
        <f>IF($AA39="","",U39*T39)</f>
        <v/>
      </c>
      <c r="W39" s="7">
        <f>IF($AA39="","",V39+S39)</f>
        <v/>
      </c>
      <c r="X39" s="7">
        <f>IF($AA39="","",Y39-W39)</f>
        <v/>
      </c>
      <c r="Y39" s="7">
        <f>IF($AA39="","",R39+U39+P39)</f>
        <v/>
      </c>
      <c r="Z39" s="7">
        <f>IF($AA39="","",Y39-W39-L39)</f>
        <v/>
      </c>
      <c r="AA39" s="13">
        <f>IF(ROWS($AA$2:$AA39)&lt;=MAX('Per Line'!$AO$2:$AO$4001),MATCH(ROWS($AA$2:$AA39),'Per Line'!$AO$2:$AO$4001,0),"")</f>
        <v/>
      </c>
      <c r="AB39" s="14">
        <f>IF($AA39="","",L39-K39*Y39/100)</f>
        <v/>
      </c>
    </row>
    <row r="40">
      <c r="A40" s="12" t="n"/>
      <c r="B40">
        <f>IF($AA40="","",INDEX('Per Line'!$E$2:$E$4001,$AA40)&amp;"")</f>
        <v/>
      </c>
      <c r="C40">
        <f>IF($AA40="","",INDEX('Per Line'!$A$2:$A$4001,$AA40)&amp;"")</f>
        <v/>
      </c>
      <c r="D40">
        <f>IF($AA40="","",INDEX('Per Line'!$D$2:$D$4001,$AA40)&amp;"")</f>
        <v/>
      </c>
      <c r="E40" s="11">
        <f>IF($AA40="","",INDEX('Per Line'!$G$2:$G$4001,$AA40))</f>
        <v/>
      </c>
      <c r="F40">
        <f>IF($AA40="","",INDEX('Per Line'!$H$2:$H$4001,$AA40)&amp;"")</f>
        <v/>
      </c>
      <c r="G40">
        <f>IF($AA40="","",INDEX('Per Line'!$I$2:$I$4001,$AA40)&amp;"")</f>
        <v/>
      </c>
      <c r="H40">
        <f>IF($AA40="","",INDEX('Per Line'!$J$2:$J$4001,$AA40)&amp;"")</f>
        <v/>
      </c>
      <c r="I40">
        <f>IF($AA40="","",INDEX('Per Line'!$K$2:$K$4001,$AA40)&amp;"")</f>
        <v/>
      </c>
      <c r="J40">
        <f>IF($AA40="","",INDEX('Per Line'!$L$2:$L$4001,$AA40)&amp;"")</f>
        <v/>
      </c>
      <c r="K40">
        <f>IF($AA40="","",INDEX('Per Line'!$P$2:$P$4001,$AA40))</f>
        <v/>
      </c>
      <c r="L40" s="7">
        <f>IF($AA40="","",IF(AND(ISNUMBER(N40),N40&gt;0,Y40&gt;N40),K40*N40/100+(Y40-N40),K40*Y40/100))</f>
        <v/>
      </c>
      <c r="M40">
        <f>IF($AA40="","",INDEX('Per Line'!$Z$2:$Z$4001,$AA40)&amp;"")</f>
        <v/>
      </c>
      <c r="N40">
        <f>IF($AA40="","",INDEX('Per Line'!$AG$2:$AG$4001,$AA40))</f>
        <v/>
      </c>
      <c r="O40">
        <f>IF($AA40="","",IF(AND(ISNUMBER(N40),N40&gt;0),Y40&gt;N40,FALSE))</f>
        <v/>
      </c>
      <c r="P40" s="7">
        <f>IF($AA40="","",SUMIFS('Per Line'!$Y$2:$Y$4001,'Per Line'!$E$2:$E$4001,$B40,'Per Line'!$AQ$2:$AQ$4001,1))</f>
        <v/>
      </c>
      <c r="Q40">
        <f>IF($AA40="","",Settings!$C$7)</f>
        <v/>
      </c>
      <c r="R40" s="7">
        <f>IF($AA40="","",SUMIFS('Per Line'!$Y$2:$Y$4001,'Per Line'!$E$2:$E$4001,$B40,'Per Line'!$AP$2:$AP$4001,0,'Per Line'!$AQ$2:$AQ$4001,0))</f>
        <v/>
      </c>
      <c r="S40" s="7">
        <f>IF($AA40="","",R40*Q40)</f>
        <v/>
      </c>
      <c r="T40">
        <f>IF($AA40="","",Settings!$C$6)</f>
        <v/>
      </c>
      <c r="U40" s="7">
        <f>IF($AA40="","",SUMIFS('Per Line'!$Y$2:$Y$4001,'Per Line'!$E$2:$E$4001,$B40,'Per Line'!$AP$2:$AP$4001,1,'Per Line'!$AQ$2:$AQ$4001,0))</f>
        <v/>
      </c>
      <c r="V40" s="7">
        <f>IF($AA40="","",U40*T40)</f>
        <v/>
      </c>
      <c r="W40" s="7">
        <f>IF($AA40="","",V40+S40)</f>
        <v/>
      </c>
      <c r="X40" s="7">
        <f>IF($AA40="","",Y40-W40)</f>
        <v/>
      </c>
      <c r="Y40" s="7">
        <f>IF($AA40="","",R40+U40+P40)</f>
        <v/>
      </c>
      <c r="Z40" s="7">
        <f>IF($AA40="","",Y40-W40-L40)</f>
        <v/>
      </c>
      <c r="AA40" s="13">
        <f>IF(ROWS($AA$2:$AA40)&lt;=MAX('Per Line'!$AO$2:$AO$4001),MATCH(ROWS($AA$2:$AA40),'Per Line'!$AO$2:$AO$4001,0),"")</f>
        <v/>
      </c>
      <c r="AB40" s="14">
        <f>IF($AA40="","",L40-K40*Y40/100)</f>
        <v/>
      </c>
    </row>
    <row r="41">
      <c r="A41" s="12" t="n"/>
      <c r="B41">
        <f>IF($AA41="","",INDEX('Per Line'!$E$2:$E$4001,$AA41)&amp;"")</f>
        <v/>
      </c>
      <c r="C41">
        <f>IF($AA41="","",INDEX('Per Line'!$A$2:$A$4001,$AA41)&amp;"")</f>
        <v/>
      </c>
      <c r="D41">
        <f>IF($AA41="","",INDEX('Per Line'!$D$2:$D$4001,$AA41)&amp;"")</f>
        <v/>
      </c>
      <c r="E41" s="11">
        <f>IF($AA41="","",INDEX('Per Line'!$G$2:$G$4001,$AA41))</f>
        <v/>
      </c>
      <c r="F41">
        <f>IF($AA41="","",INDEX('Per Line'!$H$2:$H$4001,$AA41)&amp;"")</f>
        <v/>
      </c>
      <c r="G41">
        <f>IF($AA41="","",INDEX('Per Line'!$I$2:$I$4001,$AA41)&amp;"")</f>
        <v/>
      </c>
      <c r="H41">
        <f>IF($AA41="","",INDEX('Per Line'!$J$2:$J$4001,$AA41)&amp;"")</f>
        <v/>
      </c>
      <c r="I41">
        <f>IF($AA41="","",INDEX('Per Line'!$K$2:$K$4001,$AA41)&amp;"")</f>
        <v/>
      </c>
      <c r="J41">
        <f>IF($AA41="","",INDEX('Per Line'!$L$2:$L$4001,$AA41)&amp;"")</f>
        <v/>
      </c>
      <c r="K41">
        <f>IF($AA41="","",INDEX('Per Line'!$P$2:$P$4001,$AA41))</f>
        <v/>
      </c>
      <c r="L41" s="7">
        <f>IF($AA41="","",IF(AND(ISNUMBER(N41),N41&gt;0,Y41&gt;N41),K41*N41/100+(Y41-N41),K41*Y41/100))</f>
        <v/>
      </c>
      <c r="M41">
        <f>IF($AA41="","",INDEX('Per Line'!$Z$2:$Z$4001,$AA41)&amp;"")</f>
        <v/>
      </c>
      <c r="N41">
        <f>IF($AA41="","",INDEX('Per Line'!$AG$2:$AG$4001,$AA41))</f>
        <v/>
      </c>
      <c r="O41">
        <f>IF($AA41="","",IF(AND(ISNUMBER(N41),N41&gt;0),Y41&gt;N41,FALSE))</f>
        <v/>
      </c>
      <c r="P41" s="7">
        <f>IF($AA41="","",SUMIFS('Per Line'!$Y$2:$Y$4001,'Per Line'!$E$2:$E$4001,$B41,'Per Line'!$AQ$2:$AQ$4001,1))</f>
        <v/>
      </c>
      <c r="Q41">
        <f>IF($AA41="","",Settings!$C$7)</f>
        <v/>
      </c>
      <c r="R41" s="7">
        <f>IF($AA41="","",SUMIFS('Per Line'!$Y$2:$Y$4001,'Per Line'!$E$2:$E$4001,$B41,'Per Line'!$AP$2:$AP$4001,0,'Per Line'!$AQ$2:$AQ$4001,0))</f>
        <v/>
      </c>
      <c r="S41" s="7">
        <f>IF($AA41="","",R41*Q41)</f>
        <v/>
      </c>
      <c r="T41">
        <f>IF($AA41="","",Settings!$C$6)</f>
        <v/>
      </c>
      <c r="U41" s="7">
        <f>IF($AA41="","",SUMIFS('Per Line'!$Y$2:$Y$4001,'Per Line'!$E$2:$E$4001,$B41,'Per Line'!$AP$2:$AP$4001,1,'Per Line'!$AQ$2:$AQ$4001,0))</f>
        <v/>
      </c>
      <c r="V41" s="7">
        <f>IF($AA41="","",U41*T41)</f>
        <v/>
      </c>
      <c r="W41" s="7">
        <f>IF($AA41="","",V41+S41)</f>
        <v/>
      </c>
      <c r="X41" s="7">
        <f>IF($AA41="","",Y41-W41)</f>
        <v/>
      </c>
      <c r="Y41" s="7">
        <f>IF($AA41="","",R41+U41+P41)</f>
        <v/>
      </c>
      <c r="Z41" s="7">
        <f>IF($AA41="","",Y41-W41-L41)</f>
        <v/>
      </c>
      <c r="AA41" s="13">
        <f>IF(ROWS($AA$2:$AA41)&lt;=MAX('Per Line'!$AO$2:$AO$4001),MATCH(ROWS($AA$2:$AA41),'Per Line'!$AO$2:$AO$4001,0),"")</f>
        <v/>
      </c>
      <c r="AB41" s="14">
        <f>IF($AA41="","",L41-K41*Y41/100)</f>
        <v/>
      </c>
    </row>
    <row r="42">
      <c r="A42" s="12" t="n"/>
      <c r="B42">
        <f>IF($AA42="","",INDEX('Per Line'!$E$2:$E$4001,$AA42)&amp;"")</f>
        <v/>
      </c>
      <c r="C42">
        <f>IF($AA42="","",INDEX('Per Line'!$A$2:$A$4001,$AA42)&amp;"")</f>
        <v/>
      </c>
      <c r="D42">
        <f>IF($AA42="","",INDEX('Per Line'!$D$2:$D$4001,$AA42)&amp;"")</f>
        <v/>
      </c>
      <c r="E42" s="11">
        <f>IF($AA42="","",INDEX('Per Line'!$G$2:$G$4001,$AA42))</f>
        <v/>
      </c>
      <c r="F42">
        <f>IF($AA42="","",INDEX('Per Line'!$H$2:$H$4001,$AA42)&amp;"")</f>
        <v/>
      </c>
      <c r="G42">
        <f>IF($AA42="","",INDEX('Per Line'!$I$2:$I$4001,$AA42)&amp;"")</f>
        <v/>
      </c>
      <c r="H42">
        <f>IF($AA42="","",INDEX('Per Line'!$J$2:$J$4001,$AA42)&amp;"")</f>
        <v/>
      </c>
      <c r="I42">
        <f>IF($AA42="","",INDEX('Per Line'!$K$2:$K$4001,$AA42)&amp;"")</f>
        <v/>
      </c>
      <c r="J42">
        <f>IF($AA42="","",INDEX('Per Line'!$L$2:$L$4001,$AA42)&amp;"")</f>
        <v/>
      </c>
      <c r="K42">
        <f>IF($AA42="","",INDEX('Per Line'!$P$2:$P$4001,$AA42))</f>
        <v/>
      </c>
      <c r="L42" s="7">
        <f>IF($AA42="","",IF(AND(ISNUMBER(N42),N42&gt;0,Y42&gt;N42),K42*N42/100+(Y42-N42),K42*Y42/100))</f>
        <v/>
      </c>
      <c r="M42">
        <f>IF($AA42="","",INDEX('Per Line'!$Z$2:$Z$4001,$AA42)&amp;"")</f>
        <v/>
      </c>
      <c r="N42">
        <f>IF($AA42="","",INDEX('Per Line'!$AG$2:$AG$4001,$AA42))</f>
        <v/>
      </c>
      <c r="O42">
        <f>IF($AA42="","",IF(AND(ISNUMBER(N42),N42&gt;0),Y42&gt;N42,FALSE))</f>
        <v/>
      </c>
      <c r="P42" s="7">
        <f>IF($AA42="","",SUMIFS('Per Line'!$Y$2:$Y$4001,'Per Line'!$E$2:$E$4001,$B42,'Per Line'!$AQ$2:$AQ$4001,1))</f>
        <v/>
      </c>
      <c r="Q42">
        <f>IF($AA42="","",Settings!$C$7)</f>
        <v/>
      </c>
      <c r="R42" s="7">
        <f>IF($AA42="","",SUMIFS('Per Line'!$Y$2:$Y$4001,'Per Line'!$E$2:$E$4001,$B42,'Per Line'!$AP$2:$AP$4001,0,'Per Line'!$AQ$2:$AQ$4001,0))</f>
        <v/>
      </c>
      <c r="S42" s="7">
        <f>IF($AA42="","",R42*Q42)</f>
        <v/>
      </c>
      <c r="T42">
        <f>IF($AA42="","",Settings!$C$6)</f>
        <v/>
      </c>
      <c r="U42" s="7">
        <f>IF($AA42="","",SUMIFS('Per Line'!$Y$2:$Y$4001,'Per Line'!$E$2:$E$4001,$B42,'Per Line'!$AP$2:$AP$4001,1,'Per Line'!$AQ$2:$AQ$4001,0))</f>
        <v/>
      </c>
      <c r="V42" s="7">
        <f>IF($AA42="","",U42*T42)</f>
        <v/>
      </c>
      <c r="W42" s="7">
        <f>IF($AA42="","",V42+S42)</f>
        <v/>
      </c>
      <c r="X42" s="7">
        <f>IF($AA42="","",Y42-W42)</f>
        <v/>
      </c>
      <c r="Y42" s="7">
        <f>IF($AA42="","",R42+U42+P42)</f>
        <v/>
      </c>
      <c r="Z42" s="7">
        <f>IF($AA42="","",Y42-W42-L42)</f>
        <v/>
      </c>
      <c r="AA42" s="13">
        <f>IF(ROWS($AA$2:$AA42)&lt;=MAX('Per Line'!$AO$2:$AO$4001),MATCH(ROWS($AA$2:$AA42),'Per Line'!$AO$2:$AO$4001,0),"")</f>
        <v/>
      </c>
      <c r="AB42" s="14">
        <f>IF($AA42="","",L42-K42*Y42/100)</f>
        <v/>
      </c>
    </row>
    <row r="43">
      <c r="A43" s="12" t="n"/>
      <c r="B43">
        <f>IF($AA43="","",INDEX('Per Line'!$E$2:$E$4001,$AA43)&amp;"")</f>
        <v/>
      </c>
      <c r="C43">
        <f>IF($AA43="","",INDEX('Per Line'!$A$2:$A$4001,$AA43)&amp;"")</f>
        <v/>
      </c>
      <c r="D43">
        <f>IF($AA43="","",INDEX('Per Line'!$D$2:$D$4001,$AA43)&amp;"")</f>
        <v/>
      </c>
      <c r="E43" s="11">
        <f>IF($AA43="","",INDEX('Per Line'!$G$2:$G$4001,$AA43))</f>
        <v/>
      </c>
      <c r="F43">
        <f>IF($AA43="","",INDEX('Per Line'!$H$2:$H$4001,$AA43)&amp;"")</f>
        <v/>
      </c>
      <c r="G43">
        <f>IF($AA43="","",INDEX('Per Line'!$I$2:$I$4001,$AA43)&amp;"")</f>
        <v/>
      </c>
      <c r="H43">
        <f>IF($AA43="","",INDEX('Per Line'!$J$2:$J$4001,$AA43)&amp;"")</f>
        <v/>
      </c>
      <c r="I43">
        <f>IF($AA43="","",INDEX('Per Line'!$K$2:$K$4001,$AA43)&amp;"")</f>
        <v/>
      </c>
      <c r="J43">
        <f>IF($AA43="","",INDEX('Per Line'!$L$2:$L$4001,$AA43)&amp;"")</f>
        <v/>
      </c>
      <c r="K43">
        <f>IF($AA43="","",INDEX('Per Line'!$P$2:$P$4001,$AA43))</f>
        <v/>
      </c>
      <c r="L43" s="7">
        <f>IF($AA43="","",IF(AND(ISNUMBER(N43),N43&gt;0,Y43&gt;N43),K43*N43/100+(Y43-N43),K43*Y43/100))</f>
        <v/>
      </c>
      <c r="M43">
        <f>IF($AA43="","",INDEX('Per Line'!$Z$2:$Z$4001,$AA43)&amp;"")</f>
        <v/>
      </c>
      <c r="N43">
        <f>IF($AA43="","",INDEX('Per Line'!$AG$2:$AG$4001,$AA43))</f>
        <v/>
      </c>
      <c r="O43">
        <f>IF($AA43="","",IF(AND(ISNUMBER(N43),N43&gt;0),Y43&gt;N43,FALSE))</f>
        <v/>
      </c>
      <c r="P43" s="7">
        <f>IF($AA43="","",SUMIFS('Per Line'!$Y$2:$Y$4001,'Per Line'!$E$2:$E$4001,$B43,'Per Line'!$AQ$2:$AQ$4001,1))</f>
        <v/>
      </c>
      <c r="Q43">
        <f>IF($AA43="","",Settings!$C$7)</f>
        <v/>
      </c>
      <c r="R43" s="7">
        <f>IF($AA43="","",SUMIFS('Per Line'!$Y$2:$Y$4001,'Per Line'!$E$2:$E$4001,$B43,'Per Line'!$AP$2:$AP$4001,0,'Per Line'!$AQ$2:$AQ$4001,0))</f>
        <v/>
      </c>
      <c r="S43" s="7">
        <f>IF($AA43="","",R43*Q43)</f>
        <v/>
      </c>
      <c r="T43">
        <f>IF($AA43="","",Settings!$C$6)</f>
        <v/>
      </c>
      <c r="U43" s="7">
        <f>IF($AA43="","",SUMIFS('Per Line'!$Y$2:$Y$4001,'Per Line'!$E$2:$E$4001,$B43,'Per Line'!$AP$2:$AP$4001,1,'Per Line'!$AQ$2:$AQ$4001,0))</f>
        <v/>
      </c>
      <c r="V43" s="7">
        <f>IF($AA43="","",U43*T43)</f>
        <v/>
      </c>
      <c r="W43" s="7">
        <f>IF($AA43="","",V43+S43)</f>
        <v/>
      </c>
      <c r="X43" s="7">
        <f>IF($AA43="","",Y43-W43)</f>
        <v/>
      </c>
      <c r="Y43" s="7">
        <f>IF($AA43="","",R43+U43+P43)</f>
        <v/>
      </c>
      <c r="Z43" s="7">
        <f>IF($AA43="","",Y43-W43-L43)</f>
        <v/>
      </c>
      <c r="AA43" s="13">
        <f>IF(ROWS($AA$2:$AA43)&lt;=MAX('Per Line'!$AO$2:$AO$4001),MATCH(ROWS($AA$2:$AA43),'Per Line'!$AO$2:$AO$4001,0),"")</f>
        <v/>
      </c>
      <c r="AB43" s="14">
        <f>IF($AA43="","",L43-K43*Y43/100)</f>
        <v/>
      </c>
    </row>
    <row r="44">
      <c r="A44" s="12" t="n"/>
      <c r="B44">
        <f>IF($AA44="","",INDEX('Per Line'!$E$2:$E$4001,$AA44)&amp;"")</f>
        <v/>
      </c>
      <c r="C44">
        <f>IF($AA44="","",INDEX('Per Line'!$A$2:$A$4001,$AA44)&amp;"")</f>
        <v/>
      </c>
      <c r="D44">
        <f>IF($AA44="","",INDEX('Per Line'!$D$2:$D$4001,$AA44)&amp;"")</f>
        <v/>
      </c>
      <c r="E44" s="11">
        <f>IF($AA44="","",INDEX('Per Line'!$G$2:$G$4001,$AA44))</f>
        <v/>
      </c>
      <c r="F44">
        <f>IF($AA44="","",INDEX('Per Line'!$H$2:$H$4001,$AA44)&amp;"")</f>
        <v/>
      </c>
      <c r="G44">
        <f>IF($AA44="","",INDEX('Per Line'!$I$2:$I$4001,$AA44)&amp;"")</f>
        <v/>
      </c>
      <c r="H44">
        <f>IF($AA44="","",INDEX('Per Line'!$J$2:$J$4001,$AA44)&amp;"")</f>
        <v/>
      </c>
      <c r="I44">
        <f>IF($AA44="","",INDEX('Per Line'!$K$2:$K$4001,$AA44)&amp;"")</f>
        <v/>
      </c>
      <c r="J44">
        <f>IF($AA44="","",INDEX('Per Line'!$L$2:$L$4001,$AA44)&amp;"")</f>
        <v/>
      </c>
      <c r="K44">
        <f>IF($AA44="","",INDEX('Per Line'!$P$2:$P$4001,$AA44))</f>
        <v/>
      </c>
      <c r="L44" s="7">
        <f>IF($AA44="","",IF(AND(ISNUMBER(N44),N44&gt;0,Y44&gt;N44),K44*N44/100+(Y44-N44),K44*Y44/100))</f>
        <v/>
      </c>
      <c r="M44">
        <f>IF($AA44="","",INDEX('Per Line'!$Z$2:$Z$4001,$AA44)&amp;"")</f>
        <v/>
      </c>
      <c r="N44">
        <f>IF($AA44="","",INDEX('Per Line'!$AG$2:$AG$4001,$AA44))</f>
        <v/>
      </c>
      <c r="O44">
        <f>IF($AA44="","",IF(AND(ISNUMBER(N44),N44&gt;0),Y44&gt;N44,FALSE))</f>
        <v/>
      </c>
      <c r="P44" s="7">
        <f>IF($AA44="","",SUMIFS('Per Line'!$Y$2:$Y$4001,'Per Line'!$E$2:$E$4001,$B44,'Per Line'!$AQ$2:$AQ$4001,1))</f>
        <v/>
      </c>
      <c r="Q44">
        <f>IF($AA44="","",Settings!$C$7)</f>
        <v/>
      </c>
      <c r="R44" s="7">
        <f>IF($AA44="","",SUMIFS('Per Line'!$Y$2:$Y$4001,'Per Line'!$E$2:$E$4001,$B44,'Per Line'!$AP$2:$AP$4001,0,'Per Line'!$AQ$2:$AQ$4001,0))</f>
        <v/>
      </c>
      <c r="S44" s="7">
        <f>IF($AA44="","",R44*Q44)</f>
        <v/>
      </c>
      <c r="T44">
        <f>IF($AA44="","",Settings!$C$6)</f>
        <v/>
      </c>
      <c r="U44" s="7">
        <f>IF($AA44="","",SUMIFS('Per Line'!$Y$2:$Y$4001,'Per Line'!$E$2:$E$4001,$B44,'Per Line'!$AP$2:$AP$4001,1,'Per Line'!$AQ$2:$AQ$4001,0))</f>
        <v/>
      </c>
      <c r="V44" s="7">
        <f>IF($AA44="","",U44*T44)</f>
        <v/>
      </c>
      <c r="W44" s="7">
        <f>IF($AA44="","",V44+S44)</f>
        <v/>
      </c>
      <c r="X44" s="7">
        <f>IF($AA44="","",Y44-W44)</f>
        <v/>
      </c>
      <c r="Y44" s="7">
        <f>IF($AA44="","",R44+U44+P44)</f>
        <v/>
      </c>
      <c r="Z44" s="7">
        <f>IF($AA44="","",Y44-W44-L44)</f>
        <v/>
      </c>
      <c r="AA44" s="13">
        <f>IF(ROWS($AA$2:$AA44)&lt;=MAX('Per Line'!$AO$2:$AO$4001),MATCH(ROWS($AA$2:$AA44),'Per Line'!$AO$2:$AO$4001,0),"")</f>
        <v/>
      </c>
      <c r="AB44" s="14">
        <f>IF($AA44="","",L44-K44*Y44/100)</f>
        <v/>
      </c>
    </row>
    <row r="45">
      <c r="A45" s="12" t="n"/>
      <c r="B45">
        <f>IF($AA45="","",INDEX('Per Line'!$E$2:$E$4001,$AA45)&amp;"")</f>
        <v/>
      </c>
      <c r="C45">
        <f>IF($AA45="","",INDEX('Per Line'!$A$2:$A$4001,$AA45)&amp;"")</f>
        <v/>
      </c>
      <c r="D45">
        <f>IF($AA45="","",INDEX('Per Line'!$D$2:$D$4001,$AA45)&amp;"")</f>
        <v/>
      </c>
      <c r="E45" s="11">
        <f>IF($AA45="","",INDEX('Per Line'!$G$2:$G$4001,$AA45))</f>
        <v/>
      </c>
      <c r="F45">
        <f>IF($AA45="","",INDEX('Per Line'!$H$2:$H$4001,$AA45)&amp;"")</f>
        <v/>
      </c>
      <c r="G45">
        <f>IF($AA45="","",INDEX('Per Line'!$I$2:$I$4001,$AA45)&amp;"")</f>
        <v/>
      </c>
      <c r="H45">
        <f>IF($AA45="","",INDEX('Per Line'!$J$2:$J$4001,$AA45)&amp;"")</f>
        <v/>
      </c>
      <c r="I45">
        <f>IF($AA45="","",INDEX('Per Line'!$K$2:$K$4001,$AA45)&amp;"")</f>
        <v/>
      </c>
      <c r="J45">
        <f>IF($AA45="","",INDEX('Per Line'!$L$2:$L$4001,$AA45)&amp;"")</f>
        <v/>
      </c>
      <c r="K45">
        <f>IF($AA45="","",INDEX('Per Line'!$P$2:$P$4001,$AA45))</f>
        <v/>
      </c>
      <c r="L45" s="7">
        <f>IF($AA45="","",IF(AND(ISNUMBER(N45),N45&gt;0,Y45&gt;N45),K45*N45/100+(Y45-N45),K45*Y45/100))</f>
        <v/>
      </c>
      <c r="M45">
        <f>IF($AA45="","",INDEX('Per Line'!$Z$2:$Z$4001,$AA45)&amp;"")</f>
        <v/>
      </c>
      <c r="N45">
        <f>IF($AA45="","",INDEX('Per Line'!$AG$2:$AG$4001,$AA45))</f>
        <v/>
      </c>
      <c r="O45">
        <f>IF($AA45="","",IF(AND(ISNUMBER(N45),N45&gt;0),Y45&gt;N45,FALSE))</f>
        <v/>
      </c>
      <c r="P45" s="7">
        <f>IF($AA45="","",SUMIFS('Per Line'!$Y$2:$Y$4001,'Per Line'!$E$2:$E$4001,$B45,'Per Line'!$AQ$2:$AQ$4001,1))</f>
        <v/>
      </c>
      <c r="Q45">
        <f>IF($AA45="","",Settings!$C$7)</f>
        <v/>
      </c>
      <c r="R45" s="7">
        <f>IF($AA45="","",SUMIFS('Per Line'!$Y$2:$Y$4001,'Per Line'!$E$2:$E$4001,$B45,'Per Line'!$AP$2:$AP$4001,0,'Per Line'!$AQ$2:$AQ$4001,0))</f>
        <v/>
      </c>
      <c r="S45" s="7">
        <f>IF($AA45="","",R45*Q45)</f>
        <v/>
      </c>
      <c r="T45">
        <f>IF($AA45="","",Settings!$C$6)</f>
        <v/>
      </c>
      <c r="U45" s="7">
        <f>IF($AA45="","",SUMIFS('Per Line'!$Y$2:$Y$4001,'Per Line'!$E$2:$E$4001,$B45,'Per Line'!$AP$2:$AP$4001,1,'Per Line'!$AQ$2:$AQ$4001,0))</f>
        <v/>
      </c>
      <c r="V45" s="7">
        <f>IF($AA45="","",U45*T45)</f>
        <v/>
      </c>
      <c r="W45" s="7">
        <f>IF($AA45="","",V45+S45)</f>
        <v/>
      </c>
      <c r="X45" s="7">
        <f>IF($AA45="","",Y45-W45)</f>
        <v/>
      </c>
      <c r="Y45" s="7">
        <f>IF($AA45="","",R45+U45+P45)</f>
        <v/>
      </c>
      <c r="Z45" s="7">
        <f>IF($AA45="","",Y45-W45-L45)</f>
        <v/>
      </c>
      <c r="AA45" s="13">
        <f>IF(ROWS($AA$2:$AA45)&lt;=MAX('Per Line'!$AO$2:$AO$4001),MATCH(ROWS($AA$2:$AA45),'Per Line'!$AO$2:$AO$4001,0),"")</f>
        <v/>
      </c>
      <c r="AB45" s="14">
        <f>IF($AA45="","",L45-K45*Y45/100)</f>
        <v/>
      </c>
    </row>
    <row r="46">
      <c r="A46" s="12" t="n"/>
      <c r="B46">
        <f>IF($AA46="","",INDEX('Per Line'!$E$2:$E$4001,$AA46)&amp;"")</f>
        <v/>
      </c>
      <c r="C46">
        <f>IF($AA46="","",INDEX('Per Line'!$A$2:$A$4001,$AA46)&amp;"")</f>
        <v/>
      </c>
      <c r="D46">
        <f>IF($AA46="","",INDEX('Per Line'!$D$2:$D$4001,$AA46)&amp;"")</f>
        <v/>
      </c>
      <c r="E46" s="11">
        <f>IF($AA46="","",INDEX('Per Line'!$G$2:$G$4001,$AA46))</f>
        <v/>
      </c>
      <c r="F46">
        <f>IF($AA46="","",INDEX('Per Line'!$H$2:$H$4001,$AA46)&amp;"")</f>
        <v/>
      </c>
      <c r="G46">
        <f>IF($AA46="","",INDEX('Per Line'!$I$2:$I$4001,$AA46)&amp;"")</f>
        <v/>
      </c>
      <c r="H46">
        <f>IF($AA46="","",INDEX('Per Line'!$J$2:$J$4001,$AA46)&amp;"")</f>
        <v/>
      </c>
      <c r="I46">
        <f>IF($AA46="","",INDEX('Per Line'!$K$2:$K$4001,$AA46)&amp;"")</f>
        <v/>
      </c>
      <c r="J46">
        <f>IF($AA46="","",INDEX('Per Line'!$L$2:$L$4001,$AA46)&amp;"")</f>
        <v/>
      </c>
      <c r="K46">
        <f>IF($AA46="","",INDEX('Per Line'!$P$2:$P$4001,$AA46))</f>
        <v/>
      </c>
      <c r="L46" s="7">
        <f>IF($AA46="","",IF(AND(ISNUMBER(N46),N46&gt;0,Y46&gt;N46),K46*N46/100+(Y46-N46),K46*Y46/100))</f>
        <v/>
      </c>
      <c r="M46">
        <f>IF($AA46="","",INDEX('Per Line'!$Z$2:$Z$4001,$AA46)&amp;"")</f>
        <v/>
      </c>
      <c r="N46">
        <f>IF($AA46="","",INDEX('Per Line'!$AG$2:$AG$4001,$AA46))</f>
        <v/>
      </c>
      <c r="O46">
        <f>IF($AA46="","",IF(AND(ISNUMBER(N46),N46&gt;0),Y46&gt;N46,FALSE))</f>
        <v/>
      </c>
      <c r="P46" s="7">
        <f>IF($AA46="","",SUMIFS('Per Line'!$Y$2:$Y$4001,'Per Line'!$E$2:$E$4001,$B46,'Per Line'!$AQ$2:$AQ$4001,1))</f>
        <v/>
      </c>
      <c r="Q46">
        <f>IF($AA46="","",Settings!$C$7)</f>
        <v/>
      </c>
      <c r="R46" s="7">
        <f>IF($AA46="","",SUMIFS('Per Line'!$Y$2:$Y$4001,'Per Line'!$E$2:$E$4001,$B46,'Per Line'!$AP$2:$AP$4001,0,'Per Line'!$AQ$2:$AQ$4001,0))</f>
        <v/>
      </c>
      <c r="S46" s="7">
        <f>IF($AA46="","",R46*Q46)</f>
        <v/>
      </c>
      <c r="T46">
        <f>IF($AA46="","",Settings!$C$6)</f>
        <v/>
      </c>
      <c r="U46" s="7">
        <f>IF($AA46="","",SUMIFS('Per Line'!$Y$2:$Y$4001,'Per Line'!$E$2:$E$4001,$B46,'Per Line'!$AP$2:$AP$4001,1,'Per Line'!$AQ$2:$AQ$4001,0))</f>
        <v/>
      </c>
      <c r="V46" s="7">
        <f>IF($AA46="","",U46*T46)</f>
        <v/>
      </c>
      <c r="W46" s="7">
        <f>IF($AA46="","",V46+S46)</f>
        <v/>
      </c>
      <c r="X46" s="7">
        <f>IF($AA46="","",Y46-W46)</f>
        <v/>
      </c>
      <c r="Y46" s="7">
        <f>IF($AA46="","",R46+U46+P46)</f>
        <v/>
      </c>
      <c r="Z46" s="7">
        <f>IF($AA46="","",Y46-W46-L46)</f>
        <v/>
      </c>
      <c r="AA46" s="13">
        <f>IF(ROWS($AA$2:$AA46)&lt;=MAX('Per Line'!$AO$2:$AO$4001),MATCH(ROWS($AA$2:$AA46),'Per Line'!$AO$2:$AO$4001,0),"")</f>
        <v/>
      </c>
      <c r="AB46" s="14">
        <f>IF($AA46="","",L46-K46*Y46/100)</f>
        <v/>
      </c>
    </row>
    <row r="47">
      <c r="A47" s="12" t="n"/>
      <c r="B47">
        <f>IF($AA47="","",INDEX('Per Line'!$E$2:$E$4001,$AA47)&amp;"")</f>
        <v/>
      </c>
      <c r="C47">
        <f>IF($AA47="","",INDEX('Per Line'!$A$2:$A$4001,$AA47)&amp;"")</f>
        <v/>
      </c>
      <c r="D47">
        <f>IF($AA47="","",INDEX('Per Line'!$D$2:$D$4001,$AA47)&amp;"")</f>
        <v/>
      </c>
      <c r="E47" s="11">
        <f>IF($AA47="","",INDEX('Per Line'!$G$2:$G$4001,$AA47))</f>
        <v/>
      </c>
      <c r="F47">
        <f>IF($AA47="","",INDEX('Per Line'!$H$2:$H$4001,$AA47)&amp;"")</f>
        <v/>
      </c>
      <c r="G47">
        <f>IF($AA47="","",INDEX('Per Line'!$I$2:$I$4001,$AA47)&amp;"")</f>
        <v/>
      </c>
      <c r="H47">
        <f>IF($AA47="","",INDEX('Per Line'!$J$2:$J$4001,$AA47)&amp;"")</f>
        <v/>
      </c>
      <c r="I47">
        <f>IF($AA47="","",INDEX('Per Line'!$K$2:$K$4001,$AA47)&amp;"")</f>
        <v/>
      </c>
      <c r="J47">
        <f>IF($AA47="","",INDEX('Per Line'!$L$2:$L$4001,$AA47)&amp;"")</f>
        <v/>
      </c>
      <c r="K47">
        <f>IF($AA47="","",INDEX('Per Line'!$P$2:$P$4001,$AA47))</f>
        <v/>
      </c>
      <c r="L47" s="7">
        <f>IF($AA47="","",IF(AND(ISNUMBER(N47),N47&gt;0,Y47&gt;N47),K47*N47/100+(Y47-N47),K47*Y47/100))</f>
        <v/>
      </c>
      <c r="M47">
        <f>IF($AA47="","",INDEX('Per Line'!$Z$2:$Z$4001,$AA47)&amp;"")</f>
        <v/>
      </c>
      <c r="N47">
        <f>IF($AA47="","",INDEX('Per Line'!$AG$2:$AG$4001,$AA47))</f>
        <v/>
      </c>
      <c r="O47">
        <f>IF($AA47="","",IF(AND(ISNUMBER(N47),N47&gt;0),Y47&gt;N47,FALSE))</f>
        <v/>
      </c>
      <c r="P47" s="7">
        <f>IF($AA47="","",SUMIFS('Per Line'!$Y$2:$Y$4001,'Per Line'!$E$2:$E$4001,$B47,'Per Line'!$AQ$2:$AQ$4001,1))</f>
        <v/>
      </c>
      <c r="Q47">
        <f>IF($AA47="","",Settings!$C$7)</f>
        <v/>
      </c>
      <c r="R47" s="7">
        <f>IF($AA47="","",SUMIFS('Per Line'!$Y$2:$Y$4001,'Per Line'!$E$2:$E$4001,$B47,'Per Line'!$AP$2:$AP$4001,0,'Per Line'!$AQ$2:$AQ$4001,0))</f>
        <v/>
      </c>
      <c r="S47" s="7">
        <f>IF($AA47="","",R47*Q47)</f>
        <v/>
      </c>
      <c r="T47">
        <f>IF($AA47="","",Settings!$C$6)</f>
        <v/>
      </c>
      <c r="U47" s="7">
        <f>IF($AA47="","",SUMIFS('Per Line'!$Y$2:$Y$4001,'Per Line'!$E$2:$E$4001,$B47,'Per Line'!$AP$2:$AP$4001,1,'Per Line'!$AQ$2:$AQ$4001,0))</f>
        <v/>
      </c>
      <c r="V47" s="7">
        <f>IF($AA47="","",U47*T47)</f>
        <v/>
      </c>
      <c r="W47" s="7">
        <f>IF($AA47="","",V47+S47)</f>
        <v/>
      </c>
      <c r="X47" s="7">
        <f>IF($AA47="","",Y47-W47)</f>
        <v/>
      </c>
      <c r="Y47" s="7">
        <f>IF($AA47="","",R47+U47+P47)</f>
        <v/>
      </c>
      <c r="Z47" s="7">
        <f>IF($AA47="","",Y47-W47-L47)</f>
        <v/>
      </c>
      <c r="AA47" s="13">
        <f>IF(ROWS($AA$2:$AA47)&lt;=MAX('Per Line'!$AO$2:$AO$4001),MATCH(ROWS($AA$2:$AA47),'Per Line'!$AO$2:$AO$4001,0),"")</f>
        <v/>
      </c>
      <c r="AB47" s="14">
        <f>IF($AA47="","",L47-K47*Y47/100)</f>
        <v/>
      </c>
    </row>
    <row r="48">
      <c r="A48" s="12" t="n"/>
      <c r="B48">
        <f>IF($AA48="","",INDEX('Per Line'!$E$2:$E$4001,$AA48)&amp;"")</f>
        <v/>
      </c>
      <c r="C48">
        <f>IF($AA48="","",INDEX('Per Line'!$A$2:$A$4001,$AA48)&amp;"")</f>
        <v/>
      </c>
      <c r="D48">
        <f>IF($AA48="","",INDEX('Per Line'!$D$2:$D$4001,$AA48)&amp;"")</f>
        <v/>
      </c>
      <c r="E48" s="11">
        <f>IF($AA48="","",INDEX('Per Line'!$G$2:$G$4001,$AA48))</f>
        <v/>
      </c>
      <c r="F48">
        <f>IF($AA48="","",INDEX('Per Line'!$H$2:$H$4001,$AA48)&amp;"")</f>
        <v/>
      </c>
      <c r="G48">
        <f>IF($AA48="","",INDEX('Per Line'!$I$2:$I$4001,$AA48)&amp;"")</f>
        <v/>
      </c>
      <c r="H48">
        <f>IF($AA48="","",INDEX('Per Line'!$J$2:$J$4001,$AA48)&amp;"")</f>
        <v/>
      </c>
      <c r="I48">
        <f>IF($AA48="","",INDEX('Per Line'!$K$2:$K$4001,$AA48)&amp;"")</f>
        <v/>
      </c>
      <c r="J48">
        <f>IF($AA48="","",INDEX('Per Line'!$L$2:$L$4001,$AA48)&amp;"")</f>
        <v/>
      </c>
      <c r="K48">
        <f>IF($AA48="","",INDEX('Per Line'!$P$2:$P$4001,$AA48))</f>
        <v/>
      </c>
      <c r="L48" s="7">
        <f>IF($AA48="","",IF(AND(ISNUMBER(N48),N48&gt;0,Y48&gt;N48),K48*N48/100+(Y48-N48),K48*Y48/100))</f>
        <v/>
      </c>
      <c r="M48">
        <f>IF($AA48="","",INDEX('Per Line'!$Z$2:$Z$4001,$AA48)&amp;"")</f>
        <v/>
      </c>
      <c r="N48">
        <f>IF($AA48="","",INDEX('Per Line'!$AG$2:$AG$4001,$AA48))</f>
        <v/>
      </c>
      <c r="O48">
        <f>IF($AA48="","",IF(AND(ISNUMBER(N48),N48&gt;0),Y48&gt;N48,FALSE))</f>
        <v/>
      </c>
      <c r="P48" s="7">
        <f>IF($AA48="","",SUMIFS('Per Line'!$Y$2:$Y$4001,'Per Line'!$E$2:$E$4001,$B48,'Per Line'!$AQ$2:$AQ$4001,1))</f>
        <v/>
      </c>
      <c r="Q48">
        <f>IF($AA48="","",Settings!$C$7)</f>
        <v/>
      </c>
      <c r="R48" s="7">
        <f>IF($AA48="","",SUMIFS('Per Line'!$Y$2:$Y$4001,'Per Line'!$E$2:$E$4001,$B48,'Per Line'!$AP$2:$AP$4001,0,'Per Line'!$AQ$2:$AQ$4001,0))</f>
        <v/>
      </c>
      <c r="S48" s="7">
        <f>IF($AA48="","",R48*Q48)</f>
        <v/>
      </c>
      <c r="T48">
        <f>IF($AA48="","",Settings!$C$6)</f>
        <v/>
      </c>
      <c r="U48" s="7">
        <f>IF($AA48="","",SUMIFS('Per Line'!$Y$2:$Y$4001,'Per Line'!$E$2:$E$4001,$B48,'Per Line'!$AP$2:$AP$4001,1,'Per Line'!$AQ$2:$AQ$4001,0))</f>
        <v/>
      </c>
      <c r="V48" s="7">
        <f>IF($AA48="","",U48*T48)</f>
        <v/>
      </c>
      <c r="W48" s="7">
        <f>IF($AA48="","",V48+S48)</f>
        <v/>
      </c>
      <c r="X48" s="7">
        <f>IF($AA48="","",Y48-W48)</f>
        <v/>
      </c>
      <c r="Y48" s="7">
        <f>IF($AA48="","",R48+U48+P48)</f>
        <v/>
      </c>
      <c r="Z48" s="7">
        <f>IF($AA48="","",Y48-W48-L48)</f>
        <v/>
      </c>
      <c r="AA48" s="13">
        <f>IF(ROWS($AA$2:$AA48)&lt;=MAX('Per Line'!$AO$2:$AO$4001),MATCH(ROWS($AA$2:$AA48),'Per Line'!$AO$2:$AO$4001,0),"")</f>
        <v/>
      </c>
      <c r="AB48" s="14">
        <f>IF($AA48="","",L48-K48*Y48/100)</f>
        <v/>
      </c>
    </row>
    <row r="49">
      <c r="A49" s="12" t="n"/>
      <c r="B49">
        <f>IF($AA49="","",INDEX('Per Line'!$E$2:$E$4001,$AA49)&amp;"")</f>
        <v/>
      </c>
      <c r="C49">
        <f>IF($AA49="","",INDEX('Per Line'!$A$2:$A$4001,$AA49)&amp;"")</f>
        <v/>
      </c>
      <c r="D49">
        <f>IF($AA49="","",INDEX('Per Line'!$D$2:$D$4001,$AA49)&amp;"")</f>
        <v/>
      </c>
      <c r="E49" s="11">
        <f>IF($AA49="","",INDEX('Per Line'!$G$2:$G$4001,$AA49))</f>
        <v/>
      </c>
      <c r="F49">
        <f>IF($AA49="","",INDEX('Per Line'!$H$2:$H$4001,$AA49)&amp;"")</f>
        <v/>
      </c>
      <c r="G49">
        <f>IF($AA49="","",INDEX('Per Line'!$I$2:$I$4001,$AA49)&amp;"")</f>
        <v/>
      </c>
      <c r="H49">
        <f>IF($AA49="","",INDEX('Per Line'!$J$2:$J$4001,$AA49)&amp;"")</f>
        <v/>
      </c>
      <c r="I49">
        <f>IF($AA49="","",INDEX('Per Line'!$K$2:$K$4001,$AA49)&amp;"")</f>
        <v/>
      </c>
      <c r="J49">
        <f>IF($AA49="","",INDEX('Per Line'!$L$2:$L$4001,$AA49)&amp;"")</f>
        <v/>
      </c>
      <c r="K49">
        <f>IF($AA49="","",INDEX('Per Line'!$P$2:$P$4001,$AA49))</f>
        <v/>
      </c>
      <c r="L49" s="7">
        <f>IF($AA49="","",IF(AND(ISNUMBER(N49),N49&gt;0,Y49&gt;N49),K49*N49/100+(Y49-N49),K49*Y49/100))</f>
        <v/>
      </c>
      <c r="M49">
        <f>IF($AA49="","",INDEX('Per Line'!$Z$2:$Z$4001,$AA49)&amp;"")</f>
        <v/>
      </c>
      <c r="N49">
        <f>IF($AA49="","",INDEX('Per Line'!$AG$2:$AG$4001,$AA49))</f>
        <v/>
      </c>
      <c r="O49">
        <f>IF($AA49="","",IF(AND(ISNUMBER(N49),N49&gt;0),Y49&gt;N49,FALSE))</f>
        <v/>
      </c>
      <c r="P49" s="7">
        <f>IF($AA49="","",SUMIFS('Per Line'!$Y$2:$Y$4001,'Per Line'!$E$2:$E$4001,$B49,'Per Line'!$AQ$2:$AQ$4001,1))</f>
        <v/>
      </c>
      <c r="Q49">
        <f>IF($AA49="","",Settings!$C$7)</f>
        <v/>
      </c>
      <c r="R49" s="7">
        <f>IF($AA49="","",SUMIFS('Per Line'!$Y$2:$Y$4001,'Per Line'!$E$2:$E$4001,$B49,'Per Line'!$AP$2:$AP$4001,0,'Per Line'!$AQ$2:$AQ$4001,0))</f>
        <v/>
      </c>
      <c r="S49" s="7">
        <f>IF($AA49="","",R49*Q49)</f>
        <v/>
      </c>
      <c r="T49">
        <f>IF($AA49="","",Settings!$C$6)</f>
        <v/>
      </c>
      <c r="U49" s="7">
        <f>IF($AA49="","",SUMIFS('Per Line'!$Y$2:$Y$4001,'Per Line'!$E$2:$E$4001,$B49,'Per Line'!$AP$2:$AP$4001,1,'Per Line'!$AQ$2:$AQ$4001,0))</f>
        <v/>
      </c>
      <c r="V49" s="7">
        <f>IF($AA49="","",U49*T49)</f>
        <v/>
      </c>
      <c r="W49" s="7">
        <f>IF($AA49="","",V49+S49)</f>
        <v/>
      </c>
      <c r="X49" s="7">
        <f>IF($AA49="","",Y49-W49)</f>
        <v/>
      </c>
      <c r="Y49" s="7">
        <f>IF($AA49="","",R49+U49+P49)</f>
        <v/>
      </c>
      <c r="Z49" s="7">
        <f>IF($AA49="","",Y49-W49-L49)</f>
        <v/>
      </c>
      <c r="AA49" s="13">
        <f>IF(ROWS($AA$2:$AA49)&lt;=MAX('Per Line'!$AO$2:$AO$4001),MATCH(ROWS($AA$2:$AA49),'Per Line'!$AO$2:$AO$4001,0),"")</f>
        <v/>
      </c>
      <c r="AB49" s="14">
        <f>IF($AA49="","",L49-K49*Y49/100)</f>
        <v/>
      </c>
    </row>
    <row r="50">
      <c r="A50" s="12" t="n"/>
      <c r="B50">
        <f>IF($AA50="","",INDEX('Per Line'!$E$2:$E$4001,$AA50)&amp;"")</f>
        <v/>
      </c>
      <c r="C50">
        <f>IF($AA50="","",INDEX('Per Line'!$A$2:$A$4001,$AA50)&amp;"")</f>
        <v/>
      </c>
      <c r="D50">
        <f>IF($AA50="","",INDEX('Per Line'!$D$2:$D$4001,$AA50)&amp;"")</f>
        <v/>
      </c>
      <c r="E50" s="11">
        <f>IF($AA50="","",INDEX('Per Line'!$G$2:$G$4001,$AA50))</f>
        <v/>
      </c>
      <c r="F50">
        <f>IF($AA50="","",INDEX('Per Line'!$H$2:$H$4001,$AA50)&amp;"")</f>
        <v/>
      </c>
      <c r="G50">
        <f>IF($AA50="","",INDEX('Per Line'!$I$2:$I$4001,$AA50)&amp;"")</f>
        <v/>
      </c>
      <c r="H50">
        <f>IF($AA50="","",INDEX('Per Line'!$J$2:$J$4001,$AA50)&amp;"")</f>
        <v/>
      </c>
      <c r="I50">
        <f>IF($AA50="","",INDEX('Per Line'!$K$2:$K$4001,$AA50)&amp;"")</f>
        <v/>
      </c>
      <c r="J50">
        <f>IF($AA50="","",INDEX('Per Line'!$L$2:$L$4001,$AA50)&amp;"")</f>
        <v/>
      </c>
      <c r="K50">
        <f>IF($AA50="","",INDEX('Per Line'!$P$2:$P$4001,$AA50))</f>
        <v/>
      </c>
      <c r="L50" s="7">
        <f>IF($AA50="","",IF(AND(ISNUMBER(N50),N50&gt;0,Y50&gt;N50),K50*N50/100+(Y50-N50),K50*Y50/100))</f>
        <v/>
      </c>
      <c r="M50">
        <f>IF($AA50="","",INDEX('Per Line'!$Z$2:$Z$4001,$AA50)&amp;"")</f>
        <v/>
      </c>
      <c r="N50">
        <f>IF($AA50="","",INDEX('Per Line'!$AG$2:$AG$4001,$AA50))</f>
        <v/>
      </c>
      <c r="O50">
        <f>IF($AA50="","",IF(AND(ISNUMBER(N50),N50&gt;0),Y50&gt;N50,FALSE))</f>
        <v/>
      </c>
      <c r="P50" s="7">
        <f>IF($AA50="","",SUMIFS('Per Line'!$Y$2:$Y$4001,'Per Line'!$E$2:$E$4001,$B50,'Per Line'!$AQ$2:$AQ$4001,1))</f>
        <v/>
      </c>
      <c r="Q50">
        <f>IF($AA50="","",Settings!$C$7)</f>
        <v/>
      </c>
      <c r="R50" s="7">
        <f>IF($AA50="","",SUMIFS('Per Line'!$Y$2:$Y$4001,'Per Line'!$E$2:$E$4001,$B50,'Per Line'!$AP$2:$AP$4001,0,'Per Line'!$AQ$2:$AQ$4001,0))</f>
        <v/>
      </c>
      <c r="S50" s="7">
        <f>IF($AA50="","",R50*Q50)</f>
        <v/>
      </c>
      <c r="T50">
        <f>IF($AA50="","",Settings!$C$6)</f>
        <v/>
      </c>
      <c r="U50" s="7">
        <f>IF($AA50="","",SUMIFS('Per Line'!$Y$2:$Y$4001,'Per Line'!$E$2:$E$4001,$B50,'Per Line'!$AP$2:$AP$4001,1,'Per Line'!$AQ$2:$AQ$4001,0))</f>
        <v/>
      </c>
      <c r="V50" s="7">
        <f>IF($AA50="","",U50*T50)</f>
        <v/>
      </c>
      <c r="W50" s="7">
        <f>IF($AA50="","",V50+S50)</f>
        <v/>
      </c>
      <c r="X50" s="7">
        <f>IF($AA50="","",Y50-W50)</f>
        <v/>
      </c>
      <c r="Y50" s="7">
        <f>IF($AA50="","",R50+U50+P50)</f>
        <v/>
      </c>
      <c r="Z50" s="7">
        <f>IF($AA50="","",Y50-W50-L50)</f>
        <v/>
      </c>
      <c r="AA50" s="13">
        <f>IF(ROWS($AA$2:$AA50)&lt;=MAX('Per Line'!$AO$2:$AO$4001),MATCH(ROWS($AA$2:$AA50),'Per Line'!$AO$2:$AO$4001,0),"")</f>
        <v/>
      </c>
      <c r="AB50" s="14">
        <f>IF($AA50="","",L50-K50*Y50/100)</f>
        <v/>
      </c>
    </row>
    <row r="51">
      <c r="A51" s="12" t="n"/>
      <c r="B51">
        <f>IF($AA51="","",INDEX('Per Line'!$E$2:$E$4001,$AA51)&amp;"")</f>
        <v/>
      </c>
      <c r="C51">
        <f>IF($AA51="","",INDEX('Per Line'!$A$2:$A$4001,$AA51)&amp;"")</f>
        <v/>
      </c>
      <c r="D51">
        <f>IF($AA51="","",INDEX('Per Line'!$D$2:$D$4001,$AA51)&amp;"")</f>
        <v/>
      </c>
      <c r="E51" s="11">
        <f>IF($AA51="","",INDEX('Per Line'!$G$2:$G$4001,$AA51))</f>
        <v/>
      </c>
      <c r="F51">
        <f>IF($AA51="","",INDEX('Per Line'!$H$2:$H$4001,$AA51)&amp;"")</f>
        <v/>
      </c>
      <c r="G51">
        <f>IF($AA51="","",INDEX('Per Line'!$I$2:$I$4001,$AA51)&amp;"")</f>
        <v/>
      </c>
      <c r="H51">
        <f>IF($AA51="","",INDEX('Per Line'!$J$2:$J$4001,$AA51)&amp;"")</f>
        <v/>
      </c>
      <c r="I51">
        <f>IF($AA51="","",INDEX('Per Line'!$K$2:$K$4001,$AA51)&amp;"")</f>
        <v/>
      </c>
      <c r="J51">
        <f>IF($AA51="","",INDEX('Per Line'!$L$2:$L$4001,$AA51)&amp;"")</f>
        <v/>
      </c>
      <c r="K51">
        <f>IF($AA51="","",INDEX('Per Line'!$P$2:$P$4001,$AA51))</f>
        <v/>
      </c>
      <c r="L51" s="7">
        <f>IF($AA51="","",IF(AND(ISNUMBER(N51),N51&gt;0,Y51&gt;N51),K51*N51/100+(Y51-N51),K51*Y51/100))</f>
        <v/>
      </c>
      <c r="M51">
        <f>IF($AA51="","",INDEX('Per Line'!$Z$2:$Z$4001,$AA51)&amp;"")</f>
        <v/>
      </c>
      <c r="N51">
        <f>IF($AA51="","",INDEX('Per Line'!$AG$2:$AG$4001,$AA51))</f>
        <v/>
      </c>
      <c r="O51">
        <f>IF($AA51="","",IF(AND(ISNUMBER(N51),N51&gt;0),Y51&gt;N51,FALSE))</f>
        <v/>
      </c>
      <c r="P51" s="7">
        <f>IF($AA51="","",SUMIFS('Per Line'!$Y$2:$Y$4001,'Per Line'!$E$2:$E$4001,$B51,'Per Line'!$AQ$2:$AQ$4001,1))</f>
        <v/>
      </c>
      <c r="Q51">
        <f>IF($AA51="","",Settings!$C$7)</f>
        <v/>
      </c>
      <c r="R51" s="7">
        <f>IF($AA51="","",SUMIFS('Per Line'!$Y$2:$Y$4001,'Per Line'!$E$2:$E$4001,$B51,'Per Line'!$AP$2:$AP$4001,0,'Per Line'!$AQ$2:$AQ$4001,0))</f>
        <v/>
      </c>
      <c r="S51" s="7">
        <f>IF($AA51="","",R51*Q51)</f>
        <v/>
      </c>
      <c r="T51">
        <f>IF($AA51="","",Settings!$C$6)</f>
        <v/>
      </c>
      <c r="U51" s="7">
        <f>IF($AA51="","",SUMIFS('Per Line'!$Y$2:$Y$4001,'Per Line'!$E$2:$E$4001,$B51,'Per Line'!$AP$2:$AP$4001,1,'Per Line'!$AQ$2:$AQ$4001,0))</f>
        <v/>
      </c>
      <c r="V51" s="7">
        <f>IF($AA51="","",U51*T51)</f>
        <v/>
      </c>
      <c r="W51" s="7">
        <f>IF($AA51="","",V51+S51)</f>
        <v/>
      </c>
      <c r="X51" s="7">
        <f>IF($AA51="","",Y51-W51)</f>
        <v/>
      </c>
      <c r="Y51" s="7">
        <f>IF($AA51="","",R51+U51+P51)</f>
        <v/>
      </c>
      <c r="Z51" s="7">
        <f>IF($AA51="","",Y51-W51-L51)</f>
        <v/>
      </c>
      <c r="AA51" s="13">
        <f>IF(ROWS($AA$2:$AA51)&lt;=MAX('Per Line'!$AO$2:$AO$4001),MATCH(ROWS($AA$2:$AA51),'Per Line'!$AO$2:$AO$4001,0),"")</f>
        <v/>
      </c>
      <c r="AB51" s="14">
        <f>IF($AA51="","",L51-K51*Y51/100)</f>
        <v/>
      </c>
    </row>
    <row r="52">
      <c r="A52" s="12" t="n"/>
      <c r="B52">
        <f>IF($AA52="","",INDEX('Per Line'!$E$2:$E$4001,$AA52)&amp;"")</f>
        <v/>
      </c>
      <c r="C52">
        <f>IF($AA52="","",INDEX('Per Line'!$A$2:$A$4001,$AA52)&amp;"")</f>
        <v/>
      </c>
      <c r="D52">
        <f>IF($AA52="","",INDEX('Per Line'!$D$2:$D$4001,$AA52)&amp;"")</f>
        <v/>
      </c>
      <c r="E52" s="11">
        <f>IF($AA52="","",INDEX('Per Line'!$G$2:$G$4001,$AA52))</f>
        <v/>
      </c>
      <c r="F52">
        <f>IF($AA52="","",INDEX('Per Line'!$H$2:$H$4001,$AA52)&amp;"")</f>
        <v/>
      </c>
      <c r="G52">
        <f>IF($AA52="","",INDEX('Per Line'!$I$2:$I$4001,$AA52)&amp;"")</f>
        <v/>
      </c>
      <c r="H52">
        <f>IF($AA52="","",INDEX('Per Line'!$J$2:$J$4001,$AA52)&amp;"")</f>
        <v/>
      </c>
      <c r="I52">
        <f>IF($AA52="","",INDEX('Per Line'!$K$2:$K$4001,$AA52)&amp;"")</f>
        <v/>
      </c>
      <c r="J52">
        <f>IF($AA52="","",INDEX('Per Line'!$L$2:$L$4001,$AA52)&amp;"")</f>
        <v/>
      </c>
      <c r="K52">
        <f>IF($AA52="","",INDEX('Per Line'!$P$2:$P$4001,$AA52))</f>
        <v/>
      </c>
      <c r="L52" s="7">
        <f>IF($AA52="","",IF(AND(ISNUMBER(N52),N52&gt;0,Y52&gt;N52),K52*N52/100+(Y52-N52),K52*Y52/100))</f>
        <v/>
      </c>
      <c r="M52">
        <f>IF($AA52="","",INDEX('Per Line'!$Z$2:$Z$4001,$AA52)&amp;"")</f>
        <v/>
      </c>
      <c r="N52">
        <f>IF($AA52="","",INDEX('Per Line'!$AG$2:$AG$4001,$AA52))</f>
        <v/>
      </c>
      <c r="O52">
        <f>IF($AA52="","",IF(AND(ISNUMBER(N52),N52&gt;0),Y52&gt;N52,FALSE))</f>
        <v/>
      </c>
      <c r="P52" s="7">
        <f>IF($AA52="","",SUMIFS('Per Line'!$Y$2:$Y$4001,'Per Line'!$E$2:$E$4001,$B52,'Per Line'!$AQ$2:$AQ$4001,1))</f>
        <v/>
      </c>
      <c r="Q52">
        <f>IF($AA52="","",Settings!$C$7)</f>
        <v/>
      </c>
      <c r="R52" s="7">
        <f>IF($AA52="","",SUMIFS('Per Line'!$Y$2:$Y$4001,'Per Line'!$E$2:$E$4001,$B52,'Per Line'!$AP$2:$AP$4001,0,'Per Line'!$AQ$2:$AQ$4001,0))</f>
        <v/>
      </c>
      <c r="S52" s="7">
        <f>IF($AA52="","",R52*Q52)</f>
        <v/>
      </c>
      <c r="T52">
        <f>IF($AA52="","",Settings!$C$6)</f>
        <v/>
      </c>
      <c r="U52" s="7">
        <f>IF($AA52="","",SUMIFS('Per Line'!$Y$2:$Y$4001,'Per Line'!$E$2:$E$4001,$B52,'Per Line'!$AP$2:$AP$4001,1,'Per Line'!$AQ$2:$AQ$4001,0))</f>
        <v/>
      </c>
      <c r="V52" s="7">
        <f>IF($AA52="","",U52*T52)</f>
        <v/>
      </c>
      <c r="W52" s="7">
        <f>IF($AA52="","",V52+S52)</f>
        <v/>
      </c>
      <c r="X52" s="7">
        <f>IF($AA52="","",Y52-W52)</f>
        <v/>
      </c>
      <c r="Y52" s="7">
        <f>IF($AA52="","",R52+U52+P52)</f>
        <v/>
      </c>
      <c r="Z52" s="7">
        <f>IF($AA52="","",Y52-W52-L52)</f>
        <v/>
      </c>
      <c r="AA52" s="13">
        <f>IF(ROWS($AA$2:$AA52)&lt;=MAX('Per Line'!$AO$2:$AO$4001),MATCH(ROWS($AA$2:$AA52),'Per Line'!$AO$2:$AO$4001,0),"")</f>
        <v/>
      </c>
      <c r="AB52" s="14">
        <f>IF($AA52="","",L52-K52*Y52/100)</f>
        <v/>
      </c>
    </row>
    <row r="53">
      <c r="A53" s="12" t="n"/>
      <c r="B53">
        <f>IF($AA53="","",INDEX('Per Line'!$E$2:$E$4001,$AA53)&amp;"")</f>
        <v/>
      </c>
      <c r="C53">
        <f>IF($AA53="","",INDEX('Per Line'!$A$2:$A$4001,$AA53)&amp;"")</f>
        <v/>
      </c>
      <c r="D53">
        <f>IF($AA53="","",INDEX('Per Line'!$D$2:$D$4001,$AA53)&amp;"")</f>
        <v/>
      </c>
      <c r="E53" s="11">
        <f>IF($AA53="","",INDEX('Per Line'!$G$2:$G$4001,$AA53))</f>
        <v/>
      </c>
      <c r="F53">
        <f>IF($AA53="","",INDEX('Per Line'!$H$2:$H$4001,$AA53)&amp;"")</f>
        <v/>
      </c>
      <c r="G53">
        <f>IF($AA53="","",INDEX('Per Line'!$I$2:$I$4001,$AA53)&amp;"")</f>
        <v/>
      </c>
      <c r="H53">
        <f>IF($AA53="","",INDEX('Per Line'!$J$2:$J$4001,$AA53)&amp;"")</f>
        <v/>
      </c>
      <c r="I53">
        <f>IF($AA53="","",INDEX('Per Line'!$K$2:$K$4001,$AA53)&amp;"")</f>
        <v/>
      </c>
      <c r="J53">
        <f>IF($AA53="","",INDEX('Per Line'!$L$2:$L$4001,$AA53)&amp;"")</f>
        <v/>
      </c>
      <c r="K53">
        <f>IF($AA53="","",INDEX('Per Line'!$P$2:$P$4001,$AA53))</f>
        <v/>
      </c>
      <c r="L53" s="7">
        <f>IF($AA53="","",IF(AND(ISNUMBER(N53),N53&gt;0,Y53&gt;N53),K53*N53/100+(Y53-N53),K53*Y53/100))</f>
        <v/>
      </c>
      <c r="M53">
        <f>IF($AA53="","",INDEX('Per Line'!$Z$2:$Z$4001,$AA53)&amp;"")</f>
        <v/>
      </c>
      <c r="N53">
        <f>IF($AA53="","",INDEX('Per Line'!$AG$2:$AG$4001,$AA53))</f>
        <v/>
      </c>
      <c r="O53">
        <f>IF($AA53="","",IF(AND(ISNUMBER(N53),N53&gt;0),Y53&gt;N53,FALSE))</f>
        <v/>
      </c>
      <c r="P53" s="7">
        <f>IF($AA53="","",SUMIFS('Per Line'!$Y$2:$Y$4001,'Per Line'!$E$2:$E$4001,$B53,'Per Line'!$AQ$2:$AQ$4001,1))</f>
        <v/>
      </c>
      <c r="Q53">
        <f>IF($AA53="","",Settings!$C$7)</f>
        <v/>
      </c>
      <c r="R53" s="7">
        <f>IF($AA53="","",SUMIFS('Per Line'!$Y$2:$Y$4001,'Per Line'!$E$2:$E$4001,$B53,'Per Line'!$AP$2:$AP$4001,0,'Per Line'!$AQ$2:$AQ$4001,0))</f>
        <v/>
      </c>
      <c r="S53" s="7">
        <f>IF($AA53="","",R53*Q53)</f>
        <v/>
      </c>
      <c r="T53">
        <f>IF($AA53="","",Settings!$C$6)</f>
        <v/>
      </c>
      <c r="U53" s="7">
        <f>IF($AA53="","",SUMIFS('Per Line'!$Y$2:$Y$4001,'Per Line'!$E$2:$E$4001,$B53,'Per Line'!$AP$2:$AP$4001,1,'Per Line'!$AQ$2:$AQ$4001,0))</f>
        <v/>
      </c>
      <c r="V53" s="7">
        <f>IF($AA53="","",U53*T53)</f>
        <v/>
      </c>
      <c r="W53" s="7">
        <f>IF($AA53="","",V53+S53)</f>
        <v/>
      </c>
      <c r="X53" s="7">
        <f>IF($AA53="","",Y53-W53)</f>
        <v/>
      </c>
      <c r="Y53" s="7">
        <f>IF($AA53="","",R53+U53+P53)</f>
        <v/>
      </c>
      <c r="Z53" s="7">
        <f>IF($AA53="","",Y53-W53-L53)</f>
        <v/>
      </c>
      <c r="AA53" s="13">
        <f>IF(ROWS($AA$2:$AA53)&lt;=MAX('Per Line'!$AO$2:$AO$4001),MATCH(ROWS($AA$2:$AA53),'Per Line'!$AO$2:$AO$4001,0),"")</f>
        <v/>
      </c>
      <c r="AB53" s="14">
        <f>IF($AA53="","",L53-K53*Y53/100)</f>
        <v/>
      </c>
    </row>
    <row r="54">
      <c r="A54" s="12" t="n"/>
      <c r="B54">
        <f>IF($AA54="","",INDEX('Per Line'!$E$2:$E$4001,$AA54)&amp;"")</f>
        <v/>
      </c>
      <c r="C54">
        <f>IF($AA54="","",INDEX('Per Line'!$A$2:$A$4001,$AA54)&amp;"")</f>
        <v/>
      </c>
      <c r="D54">
        <f>IF($AA54="","",INDEX('Per Line'!$D$2:$D$4001,$AA54)&amp;"")</f>
        <v/>
      </c>
      <c r="E54" s="11">
        <f>IF($AA54="","",INDEX('Per Line'!$G$2:$G$4001,$AA54))</f>
        <v/>
      </c>
      <c r="F54">
        <f>IF($AA54="","",INDEX('Per Line'!$H$2:$H$4001,$AA54)&amp;"")</f>
        <v/>
      </c>
      <c r="G54">
        <f>IF($AA54="","",INDEX('Per Line'!$I$2:$I$4001,$AA54)&amp;"")</f>
        <v/>
      </c>
      <c r="H54">
        <f>IF($AA54="","",INDEX('Per Line'!$J$2:$J$4001,$AA54)&amp;"")</f>
        <v/>
      </c>
      <c r="I54">
        <f>IF($AA54="","",INDEX('Per Line'!$K$2:$K$4001,$AA54)&amp;"")</f>
        <v/>
      </c>
      <c r="J54">
        <f>IF($AA54="","",INDEX('Per Line'!$L$2:$L$4001,$AA54)&amp;"")</f>
        <v/>
      </c>
      <c r="K54">
        <f>IF($AA54="","",INDEX('Per Line'!$P$2:$P$4001,$AA54))</f>
        <v/>
      </c>
      <c r="L54" s="7">
        <f>IF($AA54="","",IF(AND(ISNUMBER(N54),N54&gt;0,Y54&gt;N54),K54*N54/100+(Y54-N54),K54*Y54/100))</f>
        <v/>
      </c>
      <c r="M54">
        <f>IF($AA54="","",INDEX('Per Line'!$Z$2:$Z$4001,$AA54)&amp;"")</f>
        <v/>
      </c>
      <c r="N54">
        <f>IF($AA54="","",INDEX('Per Line'!$AG$2:$AG$4001,$AA54))</f>
        <v/>
      </c>
      <c r="O54">
        <f>IF($AA54="","",IF(AND(ISNUMBER(N54),N54&gt;0),Y54&gt;N54,FALSE))</f>
        <v/>
      </c>
      <c r="P54" s="7">
        <f>IF($AA54="","",SUMIFS('Per Line'!$Y$2:$Y$4001,'Per Line'!$E$2:$E$4001,$B54,'Per Line'!$AQ$2:$AQ$4001,1))</f>
        <v/>
      </c>
      <c r="Q54">
        <f>IF($AA54="","",Settings!$C$7)</f>
        <v/>
      </c>
      <c r="R54" s="7">
        <f>IF($AA54="","",SUMIFS('Per Line'!$Y$2:$Y$4001,'Per Line'!$E$2:$E$4001,$B54,'Per Line'!$AP$2:$AP$4001,0,'Per Line'!$AQ$2:$AQ$4001,0))</f>
        <v/>
      </c>
      <c r="S54" s="7">
        <f>IF($AA54="","",R54*Q54)</f>
        <v/>
      </c>
      <c r="T54">
        <f>IF($AA54="","",Settings!$C$6)</f>
        <v/>
      </c>
      <c r="U54" s="7">
        <f>IF($AA54="","",SUMIFS('Per Line'!$Y$2:$Y$4001,'Per Line'!$E$2:$E$4001,$B54,'Per Line'!$AP$2:$AP$4001,1,'Per Line'!$AQ$2:$AQ$4001,0))</f>
        <v/>
      </c>
      <c r="V54" s="7">
        <f>IF($AA54="","",U54*T54)</f>
        <v/>
      </c>
      <c r="W54" s="7">
        <f>IF($AA54="","",V54+S54)</f>
        <v/>
      </c>
      <c r="X54" s="7">
        <f>IF($AA54="","",Y54-W54)</f>
        <v/>
      </c>
      <c r="Y54" s="7">
        <f>IF($AA54="","",R54+U54+P54)</f>
        <v/>
      </c>
      <c r="Z54" s="7">
        <f>IF($AA54="","",Y54-W54-L54)</f>
        <v/>
      </c>
      <c r="AA54" s="13">
        <f>IF(ROWS($AA$2:$AA54)&lt;=MAX('Per Line'!$AO$2:$AO$4001),MATCH(ROWS($AA$2:$AA54),'Per Line'!$AO$2:$AO$4001,0),"")</f>
        <v/>
      </c>
      <c r="AB54" s="14">
        <f>IF($AA54="","",L54-K54*Y54/100)</f>
        <v/>
      </c>
    </row>
    <row r="55">
      <c r="A55" s="12" t="n"/>
      <c r="B55">
        <f>IF($AA55="","",INDEX('Per Line'!$E$2:$E$4001,$AA55)&amp;"")</f>
        <v/>
      </c>
      <c r="C55">
        <f>IF($AA55="","",INDEX('Per Line'!$A$2:$A$4001,$AA55)&amp;"")</f>
        <v/>
      </c>
      <c r="D55">
        <f>IF($AA55="","",INDEX('Per Line'!$D$2:$D$4001,$AA55)&amp;"")</f>
        <v/>
      </c>
      <c r="E55" s="11">
        <f>IF($AA55="","",INDEX('Per Line'!$G$2:$G$4001,$AA55))</f>
        <v/>
      </c>
      <c r="F55">
        <f>IF($AA55="","",INDEX('Per Line'!$H$2:$H$4001,$AA55)&amp;"")</f>
        <v/>
      </c>
      <c r="G55">
        <f>IF($AA55="","",INDEX('Per Line'!$I$2:$I$4001,$AA55)&amp;"")</f>
        <v/>
      </c>
      <c r="H55">
        <f>IF($AA55="","",INDEX('Per Line'!$J$2:$J$4001,$AA55)&amp;"")</f>
        <v/>
      </c>
      <c r="I55">
        <f>IF($AA55="","",INDEX('Per Line'!$K$2:$K$4001,$AA55)&amp;"")</f>
        <v/>
      </c>
      <c r="J55">
        <f>IF($AA55="","",INDEX('Per Line'!$L$2:$L$4001,$AA55)&amp;"")</f>
        <v/>
      </c>
      <c r="K55">
        <f>IF($AA55="","",INDEX('Per Line'!$P$2:$P$4001,$AA55))</f>
        <v/>
      </c>
      <c r="L55" s="7">
        <f>IF($AA55="","",IF(AND(ISNUMBER(N55),N55&gt;0,Y55&gt;N55),K55*N55/100+(Y55-N55),K55*Y55/100))</f>
        <v/>
      </c>
      <c r="M55">
        <f>IF($AA55="","",INDEX('Per Line'!$Z$2:$Z$4001,$AA55)&amp;"")</f>
        <v/>
      </c>
      <c r="N55">
        <f>IF($AA55="","",INDEX('Per Line'!$AG$2:$AG$4001,$AA55))</f>
        <v/>
      </c>
      <c r="O55">
        <f>IF($AA55="","",IF(AND(ISNUMBER(N55),N55&gt;0),Y55&gt;N55,FALSE))</f>
        <v/>
      </c>
      <c r="P55" s="7">
        <f>IF($AA55="","",SUMIFS('Per Line'!$Y$2:$Y$4001,'Per Line'!$E$2:$E$4001,$B55,'Per Line'!$AQ$2:$AQ$4001,1))</f>
        <v/>
      </c>
      <c r="Q55">
        <f>IF($AA55="","",Settings!$C$7)</f>
        <v/>
      </c>
      <c r="R55" s="7">
        <f>IF($AA55="","",SUMIFS('Per Line'!$Y$2:$Y$4001,'Per Line'!$E$2:$E$4001,$B55,'Per Line'!$AP$2:$AP$4001,0,'Per Line'!$AQ$2:$AQ$4001,0))</f>
        <v/>
      </c>
      <c r="S55" s="7">
        <f>IF($AA55="","",R55*Q55)</f>
        <v/>
      </c>
      <c r="T55">
        <f>IF($AA55="","",Settings!$C$6)</f>
        <v/>
      </c>
      <c r="U55" s="7">
        <f>IF($AA55="","",SUMIFS('Per Line'!$Y$2:$Y$4001,'Per Line'!$E$2:$E$4001,$B55,'Per Line'!$AP$2:$AP$4001,1,'Per Line'!$AQ$2:$AQ$4001,0))</f>
        <v/>
      </c>
      <c r="V55" s="7">
        <f>IF($AA55="","",U55*T55)</f>
        <v/>
      </c>
      <c r="W55" s="7">
        <f>IF($AA55="","",V55+S55)</f>
        <v/>
      </c>
      <c r="X55" s="7">
        <f>IF($AA55="","",Y55-W55)</f>
        <v/>
      </c>
      <c r="Y55" s="7">
        <f>IF($AA55="","",R55+U55+P55)</f>
        <v/>
      </c>
      <c r="Z55" s="7">
        <f>IF($AA55="","",Y55-W55-L55)</f>
        <v/>
      </c>
      <c r="AA55" s="13">
        <f>IF(ROWS($AA$2:$AA55)&lt;=MAX('Per Line'!$AO$2:$AO$4001),MATCH(ROWS($AA$2:$AA55),'Per Line'!$AO$2:$AO$4001,0),"")</f>
        <v/>
      </c>
      <c r="AB55" s="14">
        <f>IF($AA55="","",L55-K55*Y55/100)</f>
        <v/>
      </c>
    </row>
    <row r="56">
      <c r="A56" s="12" t="n"/>
      <c r="B56">
        <f>IF($AA56="","",INDEX('Per Line'!$E$2:$E$4001,$AA56)&amp;"")</f>
        <v/>
      </c>
      <c r="C56">
        <f>IF($AA56="","",INDEX('Per Line'!$A$2:$A$4001,$AA56)&amp;"")</f>
        <v/>
      </c>
      <c r="D56">
        <f>IF($AA56="","",INDEX('Per Line'!$D$2:$D$4001,$AA56)&amp;"")</f>
        <v/>
      </c>
      <c r="E56" s="11">
        <f>IF($AA56="","",INDEX('Per Line'!$G$2:$G$4001,$AA56))</f>
        <v/>
      </c>
      <c r="F56">
        <f>IF($AA56="","",INDEX('Per Line'!$H$2:$H$4001,$AA56)&amp;"")</f>
        <v/>
      </c>
      <c r="G56">
        <f>IF($AA56="","",INDEX('Per Line'!$I$2:$I$4001,$AA56)&amp;"")</f>
        <v/>
      </c>
      <c r="H56">
        <f>IF($AA56="","",INDEX('Per Line'!$J$2:$J$4001,$AA56)&amp;"")</f>
        <v/>
      </c>
      <c r="I56">
        <f>IF($AA56="","",INDEX('Per Line'!$K$2:$K$4001,$AA56)&amp;"")</f>
        <v/>
      </c>
      <c r="J56">
        <f>IF($AA56="","",INDEX('Per Line'!$L$2:$L$4001,$AA56)&amp;"")</f>
        <v/>
      </c>
      <c r="K56">
        <f>IF($AA56="","",INDEX('Per Line'!$P$2:$P$4001,$AA56))</f>
        <v/>
      </c>
      <c r="L56" s="7">
        <f>IF($AA56="","",IF(AND(ISNUMBER(N56),N56&gt;0,Y56&gt;N56),K56*N56/100+(Y56-N56),K56*Y56/100))</f>
        <v/>
      </c>
      <c r="M56">
        <f>IF($AA56="","",INDEX('Per Line'!$Z$2:$Z$4001,$AA56)&amp;"")</f>
        <v/>
      </c>
      <c r="N56">
        <f>IF($AA56="","",INDEX('Per Line'!$AG$2:$AG$4001,$AA56))</f>
        <v/>
      </c>
      <c r="O56">
        <f>IF($AA56="","",IF(AND(ISNUMBER(N56),N56&gt;0),Y56&gt;N56,FALSE))</f>
        <v/>
      </c>
      <c r="P56" s="7">
        <f>IF($AA56="","",SUMIFS('Per Line'!$Y$2:$Y$4001,'Per Line'!$E$2:$E$4001,$B56,'Per Line'!$AQ$2:$AQ$4001,1))</f>
        <v/>
      </c>
      <c r="Q56">
        <f>IF($AA56="","",Settings!$C$7)</f>
        <v/>
      </c>
      <c r="R56" s="7">
        <f>IF($AA56="","",SUMIFS('Per Line'!$Y$2:$Y$4001,'Per Line'!$E$2:$E$4001,$B56,'Per Line'!$AP$2:$AP$4001,0,'Per Line'!$AQ$2:$AQ$4001,0))</f>
        <v/>
      </c>
      <c r="S56" s="7">
        <f>IF($AA56="","",R56*Q56)</f>
        <v/>
      </c>
      <c r="T56">
        <f>IF($AA56="","",Settings!$C$6)</f>
        <v/>
      </c>
      <c r="U56" s="7">
        <f>IF($AA56="","",SUMIFS('Per Line'!$Y$2:$Y$4001,'Per Line'!$E$2:$E$4001,$B56,'Per Line'!$AP$2:$AP$4001,1,'Per Line'!$AQ$2:$AQ$4001,0))</f>
        <v/>
      </c>
      <c r="V56" s="7">
        <f>IF($AA56="","",U56*T56)</f>
        <v/>
      </c>
      <c r="W56" s="7">
        <f>IF($AA56="","",V56+S56)</f>
        <v/>
      </c>
      <c r="X56" s="7">
        <f>IF($AA56="","",Y56-W56)</f>
        <v/>
      </c>
      <c r="Y56" s="7">
        <f>IF($AA56="","",R56+U56+P56)</f>
        <v/>
      </c>
      <c r="Z56" s="7">
        <f>IF($AA56="","",Y56-W56-L56)</f>
        <v/>
      </c>
      <c r="AA56" s="13">
        <f>IF(ROWS($AA$2:$AA56)&lt;=MAX('Per Line'!$AO$2:$AO$4001),MATCH(ROWS($AA$2:$AA56),'Per Line'!$AO$2:$AO$4001,0),"")</f>
        <v/>
      </c>
      <c r="AB56" s="14">
        <f>IF($AA56="","",L56-K56*Y56/100)</f>
        <v/>
      </c>
    </row>
    <row r="57">
      <c r="A57" s="12" t="n"/>
      <c r="B57">
        <f>IF($AA57="","",INDEX('Per Line'!$E$2:$E$4001,$AA57)&amp;"")</f>
        <v/>
      </c>
      <c r="C57">
        <f>IF($AA57="","",INDEX('Per Line'!$A$2:$A$4001,$AA57)&amp;"")</f>
        <v/>
      </c>
      <c r="D57">
        <f>IF($AA57="","",INDEX('Per Line'!$D$2:$D$4001,$AA57)&amp;"")</f>
        <v/>
      </c>
      <c r="E57" s="11">
        <f>IF($AA57="","",INDEX('Per Line'!$G$2:$G$4001,$AA57))</f>
        <v/>
      </c>
      <c r="F57">
        <f>IF($AA57="","",INDEX('Per Line'!$H$2:$H$4001,$AA57)&amp;"")</f>
        <v/>
      </c>
      <c r="G57">
        <f>IF($AA57="","",INDEX('Per Line'!$I$2:$I$4001,$AA57)&amp;"")</f>
        <v/>
      </c>
      <c r="H57">
        <f>IF($AA57="","",INDEX('Per Line'!$J$2:$J$4001,$AA57)&amp;"")</f>
        <v/>
      </c>
      <c r="I57">
        <f>IF($AA57="","",INDEX('Per Line'!$K$2:$K$4001,$AA57)&amp;"")</f>
        <v/>
      </c>
      <c r="J57">
        <f>IF($AA57="","",INDEX('Per Line'!$L$2:$L$4001,$AA57)&amp;"")</f>
        <v/>
      </c>
      <c r="K57">
        <f>IF($AA57="","",INDEX('Per Line'!$P$2:$P$4001,$AA57))</f>
        <v/>
      </c>
      <c r="L57" s="7">
        <f>IF($AA57="","",IF(AND(ISNUMBER(N57),N57&gt;0,Y57&gt;N57),K57*N57/100+(Y57-N57),K57*Y57/100))</f>
        <v/>
      </c>
      <c r="M57">
        <f>IF($AA57="","",INDEX('Per Line'!$Z$2:$Z$4001,$AA57)&amp;"")</f>
        <v/>
      </c>
      <c r="N57">
        <f>IF($AA57="","",INDEX('Per Line'!$AG$2:$AG$4001,$AA57))</f>
        <v/>
      </c>
      <c r="O57">
        <f>IF($AA57="","",IF(AND(ISNUMBER(N57),N57&gt;0),Y57&gt;N57,FALSE))</f>
        <v/>
      </c>
      <c r="P57" s="7">
        <f>IF($AA57="","",SUMIFS('Per Line'!$Y$2:$Y$4001,'Per Line'!$E$2:$E$4001,$B57,'Per Line'!$AQ$2:$AQ$4001,1))</f>
        <v/>
      </c>
      <c r="Q57">
        <f>IF($AA57="","",Settings!$C$7)</f>
        <v/>
      </c>
      <c r="R57" s="7">
        <f>IF($AA57="","",SUMIFS('Per Line'!$Y$2:$Y$4001,'Per Line'!$E$2:$E$4001,$B57,'Per Line'!$AP$2:$AP$4001,0,'Per Line'!$AQ$2:$AQ$4001,0))</f>
        <v/>
      </c>
      <c r="S57" s="7">
        <f>IF($AA57="","",R57*Q57)</f>
        <v/>
      </c>
      <c r="T57">
        <f>IF($AA57="","",Settings!$C$6)</f>
        <v/>
      </c>
      <c r="U57" s="7">
        <f>IF($AA57="","",SUMIFS('Per Line'!$Y$2:$Y$4001,'Per Line'!$E$2:$E$4001,$B57,'Per Line'!$AP$2:$AP$4001,1,'Per Line'!$AQ$2:$AQ$4001,0))</f>
        <v/>
      </c>
      <c r="V57" s="7">
        <f>IF($AA57="","",U57*T57)</f>
        <v/>
      </c>
      <c r="W57" s="7">
        <f>IF($AA57="","",V57+S57)</f>
        <v/>
      </c>
      <c r="X57" s="7">
        <f>IF($AA57="","",Y57-W57)</f>
        <v/>
      </c>
      <c r="Y57" s="7">
        <f>IF($AA57="","",R57+U57+P57)</f>
        <v/>
      </c>
      <c r="Z57" s="7">
        <f>IF($AA57="","",Y57-W57-L57)</f>
        <v/>
      </c>
      <c r="AA57" s="13">
        <f>IF(ROWS($AA$2:$AA57)&lt;=MAX('Per Line'!$AO$2:$AO$4001),MATCH(ROWS($AA$2:$AA57),'Per Line'!$AO$2:$AO$4001,0),"")</f>
        <v/>
      </c>
      <c r="AB57" s="14">
        <f>IF($AA57="","",L57-K57*Y57/100)</f>
        <v/>
      </c>
    </row>
    <row r="58">
      <c r="A58" s="12" t="n"/>
      <c r="B58">
        <f>IF($AA58="","",INDEX('Per Line'!$E$2:$E$4001,$AA58)&amp;"")</f>
        <v/>
      </c>
      <c r="C58">
        <f>IF($AA58="","",INDEX('Per Line'!$A$2:$A$4001,$AA58)&amp;"")</f>
        <v/>
      </c>
      <c r="D58">
        <f>IF($AA58="","",INDEX('Per Line'!$D$2:$D$4001,$AA58)&amp;"")</f>
        <v/>
      </c>
      <c r="E58" s="11">
        <f>IF($AA58="","",INDEX('Per Line'!$G$2:$G$4001,$AA58))</f>
        <v/>
      </c>
      <c r="F58">
        <f>IF($AA58="","",INDEX('Per Line'!$H$2:$H$4001,$AA58)&amp;"")</f>
        <v/>
      </c>
      <c r="G58">
        <f>IF($AA58="","",INDEX('Per Line'!$I$2:$I$4001,$AA58)&amp;"")</f>
        <v/>
      </c>
      <c r="H58">
        <f>IF($AA58="","",INDEX('Per Line'!$J$2:$J$4001,$AA58)&amp;"")</f>
        <v/>
      </c>
      <c r="I58">
        <f>IF($AA58="","",INDEX('Per Line'!$K$2:$K$4001,$AA58)&amp;"")</f>
        <v/>
      </c>
      <c r="J58">
        <f>IF($AA58="","",INDEX('Per Line'!$L$2:$L$4001,$AA58)&amp;"")</f>
        <v/>
      </c>
      <c r="K58">
        <f>IF($AA58="","",INDEX('Per Line'!$P$2:$P$4001,$AA58))</f>
        <v/>
      </c>
      <c r="L58" s="7">
        <f>IF($AA58="","",IF(AND(ISNUMBER(N58),N58&gt;0,Y58&gt;N58),K58*N58/100+(Y58-N58),K58*Y58/100))</f>
        <v/>
      </c>
      <c r="M58">
        <f>IF($AA58="","",INDEX('Per Line'!$Z$2:$Z$4001,$AA58)&amp;"")</f>
        <v/>
      </c>
      <c r="N58">
        <f>IF($AA58="","",INDEX('Per Line'!$AG$2:$AG$4001,$AA58))</f>
        <v/>
      </c>
      <c r="O58">
        <f>IF($AA58="","",IF(AND(ISNUMBER(N58),N58&gt;0),Y58&gt;N58,FALSE))</f>
        <v/>
      </c>
      <c r="P58" s="7">
        <f>IF($AA58="","",SUMIFS('Per Line'!$Y$2:$Y$4001,'Per Line'!$E$2:$E$4001,$B58,'Per Line'!$AQ$2:$AQ$4001,1))</f>
        <v/>
      </c>
      <c r="Q58">
        <f>IF($AA58="","",Settings!$C$7)</f>
        <v/>
      </c>
      <c r="R58" s="7">
        <f>IF($AA58="","",SUMIFS('Per Line'!$Y$2:$Y$4001,'Per Line'!$E$2:$E$4001,$B58,'Per Line'!$AP$2:$AP$4001,0,'Per Line'!$AQ$2:$AQ$4001,0))</f>
        <v/>
      </c>
      <c r="S58" s="7">
        <f>IF($AA58="","",R58*Q58)</f>
        <v/>
      </c>
      <c r="T58">
        <f>IF($AA58="","",Settings!$C$6)</f>
        <v/>
      </c>
      <c r="U58" s="7">
        <f>IF($AA58="","",SUMIFS('Per Line'!$Y$2:$Y$4001,'Per Line'!$E$2:$E$4001,$B58,'Per Line'!$AP$2:$AP$4001,1,'Per Line'!$AQ$2:$AQ$4001,0))</f>
        <v/>
      </c>
      <c r="V58" s="7">
        <f>IF($AA58="","",U58*T58)</f>
        <v/>
      </c>
      <c r="W58" s="7">
        <f>IF($AA58="","",V58+S58)</f>
        <v/>
      </c>
      <c r="X58" s="7">
        <f>IF($AA58="","",Y58-W58)</f>
        <v/>
      </c>
      <c r="Y58" s="7">
        <f>IF($AA58="","",R58+U58+P58)</f>
        <v/>
      </c>
      <c r="Z58" s="7">
        <f>IF($AA58="","",Y58-W58-L58)</f>
        <v/>
      </c>
      <c r="AA58" s="13">
        <f>IF(ROWS($AA$2:$AA58)&lt;=MAX('Per Line'!$AO$2:$AO$4001),MATCH(ROWS($AA$2:$AA58),'Per Line'!$AO$2:$AO$4001,0),"")</f>
        <v/>
      </c>
      <c r="AB58" s="14">
        <f>IF($AA58="","",L58-K58*Y58/100)</f>
        <v/>
      </c>
    </row>
    <row r="59">
      <c r="A59" s="12" t="n"/>
      <c r="B59">
        <f>IF($AA59="","",INDEX('Per Line'!$E$2:$E$4001,$AA59)&amp;"")</f>
        <v/>
      </c>
      <c r="C59">
        <f>IF($AA59="","",INDEX('Per Line'!$A$2:$A$4001,$AA59)&amp;"")</f>
        <v/>
      </c>
      <c r="D59">
        <f>IF($AA59="","",INDEX('Per Line'!$D$2:$D$4001,$AA59)&amp;"")</f>
        <v/>
      </c>
      <c r="E59" s="11">
        <f>IF($AA59="","",INDEX('Per Line'!$G$2:$G$4001,$AA59))</f>
        <v/>
      </c>
      <c r="F59">
        <f>IF($AA59="","",INDEX('Per Line'!$H$2:$H$4001,$AA59)&amp;"")</f>
        <v/>
      </c>
      <c r="G59">
        <f>IF($AA59="","",INDEX('Per Line'!$I$2:$I$4001,$AA59)&amp;"")</f>
        <v/>
      </c>
      <c r="H59">
        <f>IF($AA59="","",INDEX('Per Line'!$J$2:$J$4001,$AA59)&amp;"")</f>
        <v/>
      </c>
      <c r="I59">
        <f>IF($AA59="","",INDEX('Per Line'!$K$2:$K$4001,$AA59)&amp;"")</f>
        <v/>
      </c>
      <c r="J59">
        <f>IF($AA59="","",INDEX('Per Line'!$L$2:$L$4001,$AA59)&amp;"")</f>
        <v/>
      </c>
      <c r="K59">
        <f>IF($AA59="","",INDEX('Per Line'!$P$2:$P$4001,$AA59))</f>
        <v/>
      </c>
      <c r="L59" s="7">
        <f>IF($AA59="","",IF(AND(ISNUMBER(N59),N59&gt;0,Y59&gt;N59),K59*N59/100+(Y59-N59),K59*Y59/100))</f>
        <v/>
      </c>
      <c r="M59">
        <f>IF($AA59="","",INDEX('Per Line'!$Z$2:$Z$4001,$AA59)&amp;"")</f>
        <v/>
      </c>
      <c r="N59">
        <f>IF($AA59="","",INDEX('Per Line'!$AG$2:$AG$4001,$AA59))</f>
        <v/>
      </c>
      <c r="O59">
        <f>IF($AA59="","",IF(AND(ISNUMBER(N59),N59&gt;0),Y59&gt;N59,FALSE))</f>
        <v/>
      </c>
      <c r="P59" s="7">
        <f>IF($AA59="","",SUMIFS('Per Line'!$Y$2:$Y$4001,'Per Line'!$E$2:$E$4001,$B59,'Per Line'!$AQ$2:$AQ$4001,1))</f>
        <v/>
      </c>
      <c r="Q59">
        <f>IF($AA59="","",Settings!$C$7)</f>
        <v/>
      </c>
      <c r="R59" s="7">
        <f>IF($AA59="","",SUMIFS('Per Line'!$Y$2:$Y$4001,'Per Line'!$E$2:$E$4001,$B59,'Per Line'!$AP$2:$AP$4001,0,'Per Line'!$AQ$2:$AQ$4001,0))</f>
        <v/>
      </c>
      <c r="S59" s="7">
        <f>IF($AA59="","",R59*Q59)</f>
        <v/>
      </c>
      <c r="T59">
        <f>IF($AA59="","",Settings!$C$6)</f>
        <v/>
      </c>
      <c r="U59" s="7">
        <f>IF($AA59="","",SUMIFS('Per Line'!$Y$2:$Y$4001,'Per Line'!$E$2:$E$4001,$B59,'Per Line'!$AP$2:$AP$4001,1,'Per Line'!$AQ$2:$AQ$4001,0))</f>
        <v/>
      </c>
      <c r="V59" s="7">
        <f>IF($AA59="","",U59*T59)</f>
        <v/>
      </c>
      <c r="W59" s="7">
        <f>IF($AA59="","",V59+S59)</f>
        <v/>
      </c>
      <c r="X59" s="7">
        <f>IF($AA59="","",Y59-W59)</f>
        <v/>
      </c>
      <c r="Y59" s="7">
        <f>IF($AA59="","",R59+U59+P59)</f>
        <v/>
      </c>
      <c r="Z59" s="7">
        <f>IF($AA59="","",Y59-W59-L59)</f>
        <v/>
      </c>
      <c r="AA59" s="13">
        <f>IF(ROWS($AA$2:$AA59)&lt;=MAX('Per Line'!$AO$2:$AO$4001),MATCH(ROWS($AA$2:$AA59),'Per Line'!$AO$2:$AO$4001,0),"")</f>
        <v/>
      </c>
      <c r="AB59" s="14">
        <f>IF($AA59="","",L59-K59*Y59/100)</f>
        <v/>
      </c>
    </row>
    <row r="60">
      <c r="A60" s="12" t="n"/>
      <c r="B60">
        <f>IF($AA60="","",INDEX('Per Line'!$E$2:$E$4001,$AA60)&amp;"")</f>
        <v/>
      </c>
      <c r="C60">
        <f>IF($AA60="","",INDEX('Per Line'!$A$2:$A$4001,$AA60)&amp;"")</f>
        <v/>
      </c>
      <c r="D60">
        <f>IF($AA60="","",INDEX('Per Line'!$D$2:$D$4001,$AA60)&amp;"")</f>
        <v/>
      </c>
      <c r="E60" s="11">
        <f>IF($AA60="","",INDEX('Per Line'!$G$2:$G$4001,$AA60))</f>
        <v/>
      </c>
      <c r="F60">
        <f>IF($AA60="","",INDEX('Per Line'!$H$2:$H$4001,$AA60)&amp;"")</f>
        <v/>
      </c>
      <c r="G60">
        <f>IF($AA60="","",INDEX('Per Line'!$I$2:$I$4001,$AA60)&amp;"")</f>
        <v/>
      </c>
      <c r="H60">
        <f>IF($AA60="","",INDEX('Per Line'!$J$2:$J$4001,$AA60)&amp;"")</f>
        <v/>
      </c>
      <c r="I60">
        <f>IF($AA60="","",INDEX('Per Line'!$K$2:$K$4001,$AA60)&amp;"")</f>
        <v/>
      </c>
      <c r="J60">
        <f>IF($AA60="","",INDEX('Per Line'!$L$2:$L$4001,$AA60)&amp;"")</f>
        <v/>
      </c>
      <c r="K60">
        <f>IF($AA60="","",INDEX('Per Line'!$P$2:$P$4001,$AA60))</f>
        <v/>
      </c>
      <c r="L60" s="7">
        <f>IF($AA60="","",IF(AND(ISNUMBER(N60),N60&gt;0,Y60&gt;N60),K60*N60/100+(Y60-N60),K60*Y60/100))</f>
        <v/>
      </c>
      <c r="M60">
        <f>IF($AA60="","",INDEX('Per Line'!$Z$2:$Z$4001,$AA60)&amp;"")</f>
        <v/>
      </c>
      <c r="N60">
        <f>IF($AA60="","",INDEX('Per Line'!$AG$2:$AG$4001,$AA60))</f>
        <v/>
      </c>
      <c r="O60">
        <f>IF($AA60="","",IF(AND(ISNUMBER(N60),N60&gt;0),Y60&gt;N60,FALSE))</f>
        <v/>
      </c>
      <c r="P60" s="7">
        <f>IF($AA60="","",SUMIFS('Per Line'!$Y$2:$Y$4001,'Per Line'!$E$2:$E$4001,$B60,'Per Line'!$AQ$2:$AQ$4001,1))</f>
        <v/>
      </c>
      <c r="Q60">
        <f>IF($AA60="","",Settings!$C$7)</f>
        <v/>
      </c>
      <c r="R60" s="7">
        <f>IF($AA60="","",SUMIFS('Per Line'!$Y$2:$Y$4001,'Per Line'!$E$2:$E$4001,$B60,'Per Line'!$AP$2:$AP$4001,0,'Per Line'!$AQ$2:$AQ$4001,0))</f>
        <v/>
      </c>
      <c r="S60" s="7">
        <f>IF($AA60="","",R60*Q60)</f>
        <v/>
      </c>
      <c r="T60">
        <f>IF($AA60="","",Settings!$C$6)</f>
        <v/>
      </c>
      <c r="U60" s="7">
        <f>IF($AA60="","",SUMIFS('Per Line'!$Y$2:$Y$4001,'Per Line'!$E$2:$E$4001,$B60,'Per Line'!$AP$2:$AP$4001,1,'Per Line'!$AQ$2:$AQ$4001,0))</f>
        <v/>
      </c>
      <c r="V60" s="7">
        <f>IF($AA60="","",U60*T60)</f>
        <v/>
      </c>
      <c r="W60" s="7">
        <f>IF($AA60="","",V60+S60)</f>
        <v/>
      </c>
      <c r="X60" s="7">
        <f>IF($AA60="","",Y60-W60)</f>
        <v/>
      </c>
      <c r="Y60" s="7">
        <f>IF($AA60="","",R60+U60+P60)</f>
        <v/>
      </c>
      <c r="Z60" s="7">
        <f>IF($AA60="","",Y60-W60-L60)</f>
        <v/>
      </c>
      <c r="AA60" s="13">
        <f>IF(ROWS($AA$2:$AA60)&lt;=MAX('Per Line'!$AO$2:$AO$4001),MATCH(ROWS($AA$2:$AA60),'Per Line'!$AO$2:$AO$4001,0),"")</f>
        <v/>
      </c>
      <c r="AB60" s="14">
        <f>IF($AA60="","",L60-K60*Y60/100)</f>
        <v/>
      </c>
    </row>
    <row r="61">
      <c r="A61" s="12" t="n"/>
      <c r="B61">
        <f>IF($AA61="","",INDEX('Per Line'!$E$2:$E$4001,$AA61)&amp;"")</f>
        <v/>
      </c>
      <c r="C61">
        <f>IF($AA61="","",INDEX('Per Line'!$A$2:$A$4001,$AA61)&amp;"")</f>
        <v/>
      </c>
      <c r="D61">
        <f>IF($AA61="","",INDEX('Per Line'!$D$2:$D$4001,$AA61)&amp;"")</f>
        <v/>
      </c>
      <c r="E61" s="11">
        <f>IF($AA61="","",INDEX('Per Line'!$G$2:$G$4001,$AA61))</f>
        <v/>
      </c>
      <c r="F61">
        <f>IF($AA61="","",INDEX('Per Line'!$H$2:$H$4001,$AA61)&amp;"")</f>
        <v/>
      </c>
      <c r="G61">
        <f>IF($AA61="","",INDEX('Per Line'!$I$2:$I$4001,$AA61)&amp;"")</f>
        <v/>
      </c>
      <c r="H61">
        <f>IF($AA61="","",INDEX('Per Line'!$J$2:$J$4001,$AA61)&amp;"")</f>
        <v/>
      </c>
      <c r="I61">
        <f>IF($AA61="","",INDEX('Per Line'!$K$2:$K$4001,$AA61)&amp;"")</f>
        <v/>
      </c>
      <c r="J61">
        <f>IF($AA61="","",INDEX('Per Line'!$L$2:$L$4001,$AA61)&amp;"")</f>
        <v/>
      </c>
      <c r="K61">
        <f>IF($AA61="","",INDEX('Per Line'!$P$2:$P$4001,$AA61))</f>
        <v/>
      </c>
      <c r="L61" s="7">
        <f>IF($AA61="","",IF(AND(ISNUMBER(N61),N61&gt;0,Y61&gt;N61),K61*N61/100+(Y61-N61),K61*Y61/100))</f>
        <v/>
      </c>
      <c r="M61">
        <f>IF($AA61="","",INDEX('Per Line'!$Z$2:$Z$4001,$AA61)&amp;"")</f>
        <v/>
      </c>
      <c r="N61">
        <f>IF($AA61="","",INDEX('Per Line'!$AG$2:$AG$4001,$AA61))</f>
        <v/>
      </c>
      <c r="O61">
        <f>IF($AA61="","",IF(AND(ISNUMBER(N61),N61&gt;0),Y61&gt;N61,FALSE))</f>
        <v/>
      </c>
      <c r="P61" s="7">
        <f>IF($AA61="","",SUMIFS('Per Line'!$Y$2:$Y$4001,'Per Line'!$E$2:$E$4001,$B61,'Per Line'!$AQ$2:$AQ$4001,1))</f>
        <v/>
      </c>
      <c r="Q61">
        <f>IF($AA61="","",Settings!$C$7)</f>
        <v/>
      </c>
      <c r="R61" s="7">
        <f>IF($AA61="","",SUMIFS('Per Line'!$Y$2:$Y$4001,'Per Line'!$E$2:$E$4001,$B61,'Per Line'!$AP$2:$AP$4001,0,'Per Line'!$AQ$2:$AQ$4001,0))</f>
        <v/>
      </c>
      <c r="S61" s="7">
        <f>IF($AA61="","",R61*Q61)</f>
        <v/>
      </c>
      <c r="T61">
        <f>IF($AA61="","",Settings!$C$6)</f>
        <v/>
      </c>
      <c r="U61" s="7">
        <f>IF($AA61="","",SUMIFS('Per Line'!$Y$2:$Y$4001,'Per Line'!$E$2:$E$4001,$B61,'Per Line'!$AP$2:$AP$4001,1,'Per Line'!$AQ$2:$AQ$4001,0))</f>
        <v/>
      </c>
      <c r="V61" s="7">
        <f>IF($AA61="","",U61*T61)</f>
        <v/>
      </c>
      <c r="W61" s="7">
        <f>IF($AA61="","",V61+S61)</f>
        <v/>
      </c>
      <c r="X61" s="7">
        <f>IF($AA61="","",Y61-W61)</f>
        <v/>
      </c>
      <c r="Y61" s="7">
        <f>IF($AA61="","",R61+U61+P61)</f>
        <v/>
      </c>
      <c r="Z61" s="7">
        <f>IF($AA61="","",Y61-W61-L61)</f>
        <v/>
      </c>
      <c r="AA61" s="13">
        <f>IF(ROWS($AA$2:$AA61)&lt;=MAX('Per Line'!$AO$2:$AO$4001),MATCH(ROWS($AA$2:$AA61),'Per Line'!$AO$2:$AO$4001,0),"")</f>
        <v/>
      </c>
      <c r="AB61" s="14">
        <f>IF($AA61="","",L61-K61*Y61/100)</f>
        <v/>
      </c>
    </row>
    <row r="62">
      <c r="A62" s="12" t="n"/>
      <c r="B62">
        <f>IF($AA62="","",INDEX('Per Line'!$E$2:$E$4001,$AA62)&amp;"")</f>
        <v/>
      </c>
      <c r="C62">
        <f>IF($AA62="","",INDEX('Per Line'!$A$2:$A$4001,$AA62)&amp;"")</f>
        <v/>
      </c>
      <c r="D62">
        <f>IF($AA62="","",INDEX('Per Line'!$D$2:$D$4001,$AA62)&amp;"")</f>
        <v/>
      </c>
      <c r="E62" s="11">
        <f>IF($AA62="","",INDEX('Per Line'!$G$2:$G$4001,$AA62))</f>
        <v/>
      </c>
      <c r="F62">
        <f>IF($AA62="","",INDEX('Per Line'!$H$2:$H$4001,$AA62)&amp;"")</f>
        <v/>
      </c>
      <c r="G62">
        <f>IF($AA62="","",INDEX('Per Line'!$I$2:$I$4001,$AA62)&amp;"")</f>
        <v/>
      </c>
      <c r="H62">
        <f>IF($AA62="","",INDEX('Per Line'!$J$2:$J$4001,$AA62)&amp;"")</f>
        <v/>
      </c>
      <c r="I62">
        <f>IF($AA62="","",INDEX('Per Line'!$K$2:$K$4001,$AA62)&amp;"")</f>
        <v/>
      </c>
      <c r="J62">
        <f>IF($AA62="","",INDEX('Per Line'!$L$2:$L$4001,$AA62)&amp;"")</f>
        <v/>
      </c>
      <c r="K62">
        <f>IF($AA62="","",INDEX('Per Line'!$P$2:$P$4001,$AA62))</f>
        <v/>
      </c>
      <c r="L62" s="7">
        <f>IF($AA62="","",IF(AND(ISNUMBER(N62),N62&gt;0,Y62&gt;N62),K62*N62/100+(Y62-N62),K62*Y62/100))</f>
        <v/>
      </c>
      <c r="M62">
        <f>IF($AA62="","",INDEX('Per Line'!$Z$2:$Z$4001,$AA62)&amp;"")</f>
        <v/>
      </c>
      <c r="N62">
        <f>IF($AA62="","",INDEX('Per Line'!$AG$2:$AG$4001,$AA62))</f>
        <v/>
      </c>
      <c r="O62">
        <f>IF($AA62="","",IF(AND(ISNUMBER(N62),N62&gt;0),Y62&gt;N62,FALSE))</f>
        <v/>
      </c>
      <c r="P62" s="7">
        <f>IF($AA62="","",SUMIFS('Per Line'!$Y$2:$Y$4001,'Per Line'!$E$2:$E$4001,$B62,'Per Line'!$AQ$2:$AQ$4001,1))</f>
        <v/>
      </c>
      <c r="Q62">
        <f>IF($AA62="","",Settings!$C$7)</f>
        <v/>
      </c>
      <c r="R62" s="7">
        <f>IF($AA62="","",SUMIFS('Per Line'!$Y$2:$Y$4001,'Per Line'!$E$2:$E$4001,$B62,'Per Line'!$AP$2:$AP$4001,0,'Per Line'!$AQ$2:$AQ$4001,0))</f>
        <v/>
      </c>
      <c r="S62" s="7">
        <f>IF($AA62="","",R62*Q62)</f>
        <v/>
      </c>
      <c r="T62">
        <f>IF($AA62="","",Settings!$C$6)</f>
        <v/>
      </c>
      <c r="U62" s="7">
        <f>IF($AA62="","",SUMIFS('Per Line'!$Y$2:$Y$4001,'Per Line'!$E$2:$E$4001,$B62,'Per Line'!$AP$2:$AP$4001,1,'Per Line'!$AQ$2:$AQ$4001,0))</f>
        <v/>
      </c>
      <c r="V62" s="7">
        <f>IF($AA62="","",U62*T62)</f>
        <v/>
      </c>
      <c r="W62" s="7">
        <f>IF($AA62="","",V62+S62)</f>
        <v/>
      </c>
      <c r="X62" s="7">
        <f>IF($AA62="","",Y62-W62)</f>
        <v/>
      </c>
      <c r="Y62" s="7">
        <f>IF($AA62="","",R62+U62+P62)</f>
        <v/>
      </c>
      <c r="Z62" s="7">
        <f>IF($AA62="","",Y62-W62-L62)</f>
        <v/>
      </c>
      <c r="AA62" s="13">
        <f>IF(ROWS($AA$2:$AA62)&lt;=MAX('Per Line'!$AO$2:$AO$4001),MATCH(ROWS($AA$2:$AA62),'Per Line'!$AO$2:$AO$4001,0),"")</f>
        <v/>
      </c>
      <c r="AB62" s="14">
        <f>IF($AA62="","",L62-K62*Y62/100)</f>
        <v/>
      </c>
    </row>
    <row r="63">
      <c r="A63" s="12" t="n"/>
      <c r="B63">
        <f>IF($AA63="","",INDEX('Per Line'!$E$2:$E$4001,$AA63)&amp;"")</f>
        <v/>
      </c>
      <c r="C63">
        <f>IF($AA63="","",INDEX('Per Line'!$A$2:$A$4001,$AA63)&amp;"")</f>
        <v/>
      </c>
      <c r="D63">
        <f>IF($AA63="","",INDEX('Per Line'!$D$2:$D$4001,$AA63)&amp;"")</f>
        <v/>
      </c>
      <c r="E63" s="11">
        <f>IF($AA63="","",INDEX('Per Line'!$G$2:$G$4001,$AA63))</f>
        <v/>
      </c>
      <c r="F63">
        <f>IF($AA63="","",INDEX('Per Line'!$H$2:$H$4001,$AA63)&amp;"")</f>
        <v/>
      </c>
      <c r="G63">
        <f>IF($AA63="","",INDEX('Per Line'!$I$2:$I$4001,$AA63)&amp;"")</f>
        <v/>
      </c>
      <c r="H63">
        <f>IF($AA63="","",INDEX('Per Line'!$J$2:$J$4001,$AA63)&amp;"")</f>
        <v/>
      </c>
      <c r="I63">
        <f>IF($AA63="","",INDEX('Per Line'!$K$2:$K$4001,$AA63)&amp;"")</f>
        <v/>
      </c>
      <c r="J63">
        <f>IF($AA63="","",INDEX('Per Line'!$L$2:$L$4001,$AA63)&amp;"")</f>
        <v/>
      </c>
      <c r="K63">
        <f>IF($AA63="","",INDEX('Per Line'!$P$2:$P$4001,$AA63))</f>
        <v/>
      </c>
      <c r="L63" s="7">
        <f>IF($AA63="","",IF(AND(ISNUMBER(N63),N63&gt;0,Y63&gt;N63),K63*N63/100+(Y63-N63),K63*Y63/100))</f>
        <v/>
      </c>
      <c r="M63">
        <f>IF($AA63="","",INDEX('Per Line'!$Z$2:$Z$4001,$AA63)&amp;"")</f>
        <v/>
      </c>
      <c r="N63">
        <f>IF($AA63="","",INDEX('Per Line'!$AG$2:$AG$4001,$AA63))</f>
        <v/>
      </c>
      <c r="O63">
        <f>IF($AA63="","",IF(AND(ISNUMBER(N63),N63&gt;0),Y63&gt;N63,FALSE))</f>
        <v/>
      </c>
      <c r="P63" s="7">
        <f>IF($AA63="","",SUMIFS('Per Line'!$Y$2:$Y$4001,'Per Line'!$E$2:$E$4001,$B63,'Per Line'!$AQ$2:$AQ$4001,1))</f>
        <v/>
      </c>
      <c r="Q63">
        <f>IF($AA63="","",Settings!$C$7)</f>
        <v/>
      </c>
      <c r="R63" s="7">
        <f>IF($AA63="","",SUMIFS('Per Line'!$Y$2:$Y$4001,'Per Line'!$E$2:$E$4001,$B63,'Per Line'!$AP$2:$AP$4001,0,'Per Line'!$AQ$2:$AQ$4001,0))</f>
        <v/>
      </c>
      <c r="S63" s="7">
        <f>IF($AA63="","",R63*Q63)</f>
        <v/>
      </c>
      <c r="T63">
        <f>IF($AA63="","",Settings!$C$6)</f>
        <v/>
      </c>
      <c r="U63" s="7">
        <f>IF($AA63="","",SUMIFS('Per Line'!$Y$2:$Y$4001,'Per Line'!$E$2:$E$4001,$B63,'Per Line'!$AP$2:$AP$4001,1,'Per Line'!$AQ$2:$AQ$4001,0))</f>
        <v/>
      </c>
      <c r="V63" s="7">
        <f>IF($AA63="","",U63*T63)</f>
        <v/>
      </c>
      <c r="W63" s="7">
        <f>IF($AA63="","",V63+S63)</f>
        <v/>
      </c>
      <c r="X63" s="7">
        <f>IF($AA63="","",Y63-W63)</f>
        <v/>
      </c>
      <c r="Y63" s="7">
        <f>IF($AA63="","",R63+U63+P63)</f>
        <v/>
      </c>
      <c r="Z63" s="7">
        <f>IF($AA63="","",Y63-W63-L63)</f>
        <v/>
      </c>
      <c r="AA63" s="13">
        <f>IF(ROWS($AA$2:$AA63)&lt;=MAX('Per Line'!$AO$2:$AO$4001),MATCH(ROWS($AA$2:$AA63),'Per Line'!$AO$2:$AO$4001,0),"")</f>
        <v/>
      </c>
      <c r="AB63" s="14">
        <f>IF($AA63="","",L63-K63*Y63/100)</f>
        <v/>
      </c>
    </row>
    <row r="64">
      <c r="A64" s="12" t="n"/>
      <c r="B64">
        <f>IF($AA64="","",INDEX('Per Line'!$E$2:$E$4001,$AA64)&amp;"")</f>
        <v/>
      </c>
      <c r="C64">
        <f>IF($AA64="","",INDEX('Per Line'!$A$2:$A$4001,$AA64)&amp;"")</f>
        <v/>
      </c>
      <c r="D64">
        <f>IF($AA64="","",INDEX('Per Line'!$D$2:$D$4001,$AA64)&amp;"")</f>
        <v/>
      </c>
      <c r="E64" s="11">
        <f>IF($AA64="","",INDEX('Per Line'!$G$2:$G$4001,$AA64))</f>
        <v/>
      </c>
      <c r="F64">
        <f>IF($AA64="","",INDEX('Per Line'!$H$2:$H$4001,$AA64)&amp;"")</f>
        <v/>
      </c>
      <c r="G64">
        <f>IF($AA64="","",INDEX('Per Line'!$I$2:$I$4001,$AA64)&amp;"")</f>
        <v/>
      </c>
      <c r="H64">
        <f>IF($AA64="","",INDEX('Per Line'!$J$2:$J$4001,$AA64)&amp;"")</f>
        <v/>
      </c>
      <c r="I64">
        <f>IF($AA64="","",INDEX('Per Line'!$K$2:$K$4001,$AA64)&amp;"")</f>
        <v/>
      </c>
      <c r="J64">
        <f>IF($AA64="","",INDEX('Per Line'!$L$2:$L$4001,$AA64)&amp;"")</f>
        <v/>
      </c>
      <c r="K64">
        <f>IF($AA64="","",INDEX('Per Line'!$P$2:$P$4001,$AA64))</f>
        <v/>
      </c>
      <c r="L64" s="7">
        <f>IF($AA64="","",IF(AND(ISNUMBER(N64),N64&gt;0,Y64&gt;N64),K64*N64/100+(Y64-N64),K64*Y64/100))</f>
        <v/>
      </c>
      <c r="M64">
        <f>IF($AA64="","",INDEX('Per Line'!$Z$2:$Z$4001,$AA64)&amp;"")</f>
        <v/>
      </c>
      <c r="N64">
        <f>IF($AA64="","",INDEX('Per Line'!$AG$2:$AG$4001,$AA64))</f>
        <v/>
      </c>
      <c r="O64">
        <f>IF($AA64="","",IF(AND(ISNUMBER(N64),N64&gt;0),Y64&gt;N64,FALSE))</f>
        <v/>
      </c>
      <c r="P64" s="7">
        <f>IF($AA64="","",SUMIFS('Per Line'!$Y$2:$Y$4001,'Per Line'!$E$2:$E$4001,$B64,'Per Line'!$AQ$2:$AQ$4001,1))</f>
        <v/>
      </c>
      <c r="Q64">
        <f>IF($AA64="","",Settings!$C$7)</f>
        <v/>
      </c>
      <c r="R64" s="7">
        <f>IF($AA64="","",SUMIFS('Per Line'!$Y$2:$Y$4001,'Per Line'!$E$2:$E$4001,$B64,'Per Line'!$AP$2:$AP$4001,0,'Per Line'!$AQ$2:$AQ$4001,0))</f>
        <v/>
      </c>
      <c r="S64" s="7">
        <f>IF($AA64="","",R64*Q64)</f>
        <v/>
      </c>
      <c r="T64">
        <f>IF($AA64="","",Settings!$C$6)</f>
        <v/>
      </c>
      <c r="U64" s="7">
        <f>IF($AA64="","",SUMIFS('Per Line'!$Y$2:$Y$4001,'Per Line'!$E$2:$E$4001,$B64,'Per Line'!$AP$2:$AP$4001,1,'Per Line'!$AQ$2:$AQ$4001,0))</f>
        <v/>
      </c>
      <c r="V64" s="7">
        <f>IF($AA64="","",U64*T64)</f>
        <v/>
      </c>
      <c r="W64" s="7">
        <f>IF($AA64="","",V64+S64)</f>
        <v/>
      </c>
      <c r="X64" s="7">
        <f>IF($AA64="","",Y64-W64)</f>
        <v/>
      </c>
      <c r="Y64" s="7">
        <f>IF($AA64="","",R64+U64+P64)</f>
        <v/>
      </c>
      <c r="Z64" s="7">
        <f>IF($AA64="","",Y64-W64-L64)</f>
        <v/>
      </c>
      <c r="AA64" s="13">
        <f>IF(ROWS($AA$2:$AA64)&lt;=MAX('Per Line'!$AO$2:$AO$4001),MATCH(ROWS($AA$2:$AA64),'Per Line'!$AO$2:$AO$4001,0),"")</f>
        <v/>
      </c>
      <c r="AB64" s="14">
        <f>IF($AA64="","",L64-K64*Y64/100)</f>
        <v/>
      </c>
    </row>
    <row r="65">
      <c r="A65" s="12" t="n"/>
      <c r="B65">
        <f>IF($AA65="","",INDEX('Per Line'!$E$2:$E$4001,$AA65)&amp;"")</f>
        <v/>
      </c>
      <c r="C65">
        <f>IF($AA65="","",INDEX('Per Line'!$A$2:$A$4001,$AA65)&amp;"")</f>
        <v/>
      </c>
      <c r="D65">
        <f>IF($AA65="","",INDEX('Per Line'!$D$2:$D$4001,$AA65)&amp;"")</f>
        <v/>
      </c>
      <c r="E65" s="11">
        <f>IF($AA65="","",INDEX('Per Line'!$G$2:$G$4001,$AA65))</f>
        <v/>
      </c>
      <c r="F65">
        <f>IF($AA65="","",INDEX('Per Line'!$H$2:$H$4001,$AA65)&amp;"")</f>
        <v/>
      </c>
      <c r="G65">
        <f>IF($AA65="","",INDEX('Per Line'!$I$2:$I$4001,$AA65)&amp;"")</f>
        <v/>
      </c>
      <c r="H65">
        <f>IF($AA65="","",INDEX('Per Line'!$J$2:$J$4001,$AA65)&amp;"")</f>
        <v/>
      </c>
      <c r="I65">
        <f>IF($AA65="","",INDEX('Per Line'!$K$2:$K$4001,$AA65)&amp;"")</f>
        <v/>
      </c>
      <c r="J65">
        <f>IF($AA65="","",INDEX('Per Line'!$L$2:$L$4001,$AA65)&amp;"")</f>
        <v/>
      </c>
      <c r="K65">
        <f>IF($AA65="","",INDEX('Per Line'!$P$2:$P$4001,$AA65))</f>
        <v/>
      </c>
      <c r="L65" s="7">
        <f>IF($AA65="","",IF(AND(ISNUMBER(N65),N65&gt;0,Y65&gt;N65),K65*N65/100+(Y65-N65),K65*Y65/100))</f>
        <v/>
      </c>
      <c r="M65">
        <f>IF($AA65="","",INDEX('Per Line'!$Z$2:$Z$4001,$AA65)&amp;"")</f>
        <v/>
      </c>
      <c r="N65">
        <f>IF($AA65="","",INDEX('Per Line'!$AG$2:$AG$4001,$AA65))</f>
        <v/>
      </c>
      <c r="O65">
        <f>IF($AA65="","",IF(AND(ISNUMBER(N65),N65&gt;0),Y65&gt;N65,FALSE))</f>
        <v/>
      </c>
      <c r="P65" s="7">
        <f>IF($AA65="","",SUMIFS('Per Line'!$Y$2:$Y$4001,'Per Line'!$E$2:$E$4001,$B65,'Per Line'!$AQ$2:$AQ$4001,1))</f>
        <v/>
      </c>
      <c r="Q65">
        <f>IF($AA65="","",Settings!$C$7)</f>
        <v/>
      </c>
      <c r="R65" s="7">
        <f>IF($AA65="","",SUMIFS('Per Line'!$Y$2:$Y$4001,'Per Line'!$E$2:$E$4001,$B65,'Per Line'!$AP$2:$AP$4001,0,'Per Line'!$AQ$2:$AQ$4001,0))</f>
        <v/>
      </c>
      <c r="S65" s="7">
        <f>IF($AA65="","",R65*Q65)</f>
        <v/>
      </c>
      <c r="T65">
        <f>IF($AA65="","",Settings!$C$6)</f>
        <v/>
      </c>
      <c r="U65" s="7">
        <f>IF($AA65="","",SUMIFS('Per Line'!$Y$2:$Y$4001,'Per Line'!$E$2:$E$4001,$B65,'Per Line'!$AP$2:$AP$4001,1,'Per Line'!$AQ$2:$AQ$4001,0))</f>
        <v/>
      </c>
      <c r="V65" s="7">
        <f>IF($AA65="","",U65*T65)</f>
        <v/>
      </c>
      <c r="W65" s="7">
        <f>IF($AA65="","",V65+S65)</f>
        <v/>
      </c>
      <c r="X65" s="7">
        <f>IF($AA65="","",Y65-W65)</f>
        <v/>
      </c>
      <c r="Y65" s="7">
        <f>IF($AA65="","",R65+U65+P65)</f>
        <v/>
      </c>
      <c r="Z65" s="7">
        <f>IF($AA65="","",Y65-W65-L65)</f>
        <v/>
      </c>
      <c r="AA65" s="13">
        <f>IF(ROWS($AA$2:$AA65)&lt;=MAX('Per Line'!$AO$2:$AO$4001),MATCH(ROWS($AA$2:$AA65),'Per Line'!$AO$2:$AO$4001,0),"")</f>
        <v/>
      </c>
      <c r="AB65" s="14">
        <f>IF($AA65="","",L65-K65*Y65/100)</f>
        <v/>
      </c>
    </row>
    <row r="66">
      <c r="A66" s="12" t="n"/>
      <c r="B66">
        <f>IF($AA66="","",INDEX('Per Line'!$E$2:$E$4001,$AA66)&amp;"")</f>
        <v/>
      </c>
      <c r="C66">
        <f>IF($AA66="","",INDEX('Per Line'!$A$2:$A$4001,$AA66)&amp;"")</f>
        <v/>
      </c>
      <c r="D66">
        <f>IF($AA66="","",INDEX('Per Line'!$D$2:$D$4001,$AA66)&amp;"")</f>
        <v/>
      </c>
      <c r="E66" s="11">
        <f>IF($AA66="","",INDEX('Per Line'!$G$2:$G$4001,$AA66))</f>
        <v/>
      </c>
      <c r="F66">
        <f>IF($AA66="","",INDEX('Per Line'!$H$2:$H$4001,$AA66)&amp;"")</f>
        <v/>
      </c>
      <c r="G66">
        <f>IF($AA66="","",INDEX('Per Line'!$I$2:$I$4001,$AA66)&amp;"")</f>
        <v/>
      </c>
      <c r="H66">
        <f>IF($AA66="","",INDEX('Per Line'!$J$2:$J$4001,$AA66)&amp;"")</f>
        <v/>
      </c>
      <c r="I66">
        <f>IF($AA66="","",INDEX('Per Line'!$K$2:$K$4001,$AA66)&amp;"")</f>
        <v/>
      </c>
      <c r="J66">
        <f>IF($AA66="","",INDEX('Per Line'!$L$2:$L$4001,$AA66)&amp;"")</f>
        <v/>
      </c>
      <c r="K66">
        <f>IF($AA66="","",INDEX('Per Line'!$P$2:$P$4001,$AA66))</f>
        <v/>
      </c>
      <c r="L66" s="7">
        <f>IF($AA66="","",IF(AND(ISNUMBER(N66),N66&gt;0,Y66&gt;N66),K66*N66/100+(Y66-N66),K66*Y66/100))</f>
        <v/>
      </c>
      <c r="M66">
        <f>IF($AA66="","",INDEX('Per Line'!$Z$2:$Z$4001,$AA66)&amp;"")</f>
        <v/>
      </c>
      <c r="N66">
        <f>IF($AA66="","",INDEX('Per Line'!$AG$2:$AG$4001,$AA66))</f>
        <v/>
      </c>
      <c r="O66">
        <f>IF($AA66="","",IF(AND(ISNUMBER(N66),N66&gt;0),Y66&gt;N66,FALSE))</f>
        <v/>
      </c>
      <c r="P66" s="7">
        <f>IF($AA66="","",SUMIFS('Per Line'!$Y$2:$Y$4001,'Per Line'!$E$2:$E$4001,$B66,'Per Line'!$AQ$2:$AQ$4001,1))</f>
        <v/>
      </c>
      <c r="Q66">
        <f>IF($AA66="","",Settings!$C$7)</f>
        <v/>
      </c>
      <c r="R66" s="7">
        <f>IF($AA66="","",SUMIFS('Per Line'!$Y$2:$Y$4001,'Per Line'!$E$2:$E$4001,$B66,'Per Line'!$AP$2:$AP$4001,0,'Per Line'!$AQ$2:$AQ$4001,0))</f>
        <v/>
      </c>
      <c r="S66" s="7">
        <f>IF($AA66="","",R66*Q66)</f>
        <v/>
      </c>
      <c r="T66">
        <f>IF($AA66="","",Settings!$C$6)</f>
        <v/>
      </c>
      <c r="U66" s="7">
        <f>IF($AA66="","",SUMIFS('Per Line'!$Y$2:$Y$4001,'Per Line'!$E$2:$E$4001,$B66,'Per Line'!$AP$2:$AP$4001,1,'Per Line'!$AQ$2:$AQ$4001,0))</f>
        <v/>
      </c>
      <c r="V66" s="7">
        <f>IF($AA66="","",U66*T66)</f>
        <v/>
      </c>
      <c r="W66" s="7">
        <f>IF($AA66="","",V66+S66)</f>
        <v/>
      </c>
      <c r="X66" s="7">
        <f>IF($AA66="","",Y66-W66)</f>
        <v/>
      </c>
      <c r="Y66" s="7">
        <f>IF($AA66="","",R66+U66+P66)</f>
        <v/>
      </c>
      <c r="Z66" s="7">
        <f>IF($AA66="","",Y66-W66-L66)</f>
        <v/>
      </c>
      <c r="AA66" s="13">
        <f>IF(ROWS($AA$2:$AA66)&lt;=MAX('Per Line'!$AO$2:$AO$4001),MATCH(ROWS($AA$2:$AA66),'Per Line'!$AO$2:$AO$4001,0),"")</f>
        <v/>
      </c>
      <c r="AB66" s="14">
        <f>IF($AA66="","",L66-K66*Y66/100)</f>
        <v/>
      </c>
    </row>
    <row r="67">
      <c r="A67" s="12" t="n"/>
      <c r="B67">
        <f>IF($AA67="","",INDEX('Per Line'!$E$2:$E$4001,$AA67)&amp;"")</f>
        <v/>
      </c>
      <c r="C67">
        <f>IF($AA67="","",INDEX('Per Line'!$A$2:$A$4001,$AA67)&amp;"")</f>
        <v/>
      </c>
      <c r="D67">
        <f>IF($AA67="","",INDEX('Per Line'!$D$2:$D$4001,$AA67)&amp;"")</f>
        <v/>
      </c>
      <c r="E67" s="11">
        <f>IF($AA67="","",INDEX('Per Line'!$G$2:$G$4001,$AA67))</f>
        <v/>
      </c>
      <c r="F67">
        <f>IF($AA67="","",INDEX('Per Line'!$H$2:$H$4001,$AA67)&amp;"")</f>
        <v/>
      </c>
      <c r="G67">
        <f>IF($AA67="","",INDEX('Per Line'!$I$2:$I$4001,$AA67)&amp;"")</f>
        <v/>
      </c>
      <c r="H67">
        <f>IF($AA67="","",INDEX('Per Line'!$J$2:$J$4001,$AA67)&amp;"")</f>
        <v/>
      </c>
      <c r="I67">
        <f>IF($AA67="","",INDEX('Per Line'!$K$2:$K$4001,$AA67)&amp;"")</f>
        <v/>
      </c>
      <c r="J67">
        <f>IF($AA67="","",INDEX('Per Line'!$L$2:$L$4001,$AA67)&amp;"")</f>
        <v/>
      </c>
      <c r="K67">
        <f>IF($AA67="","",INDEX('Per Line'!$P$2:$P$4001,$AA67))</f>
        <v/>
      </c>
      <c r="L67" s="7">
        <f>IF($AA67="","",IF(AND(ISNUMBER(N67),N67&gt;0,Y67&gt;N67),K67*N67/100+(Y67-N67),K67*Y67/100))</f>
        <v/>
      </c>
      <c r="M67">
        <f>IF($AA67="","",INDEX('Per Line'!$Z$2:$Z$4001,$AA67)&amp;"")</f>
        <v/>
      </c>
      <c r="N67">
        <f>IF($AA67="","",INDEX('Per Line'!$AG$2:$AG$4001,$AA67))</f>
        <v/>
      </c>
      <c r="O67">
        <f>IF($AA67="","",IF(AND(ISNUMBER(N67),N67&gt;0),Y67&gt;N67,FALSE))</f>
        <v/>
      </c>
      <c r="P67" s="7">
        <f>IF($AA67="","",SUMIFS('Per Line'!$Y$2:$Y$4001,'Per Line'!$E$2:$E$4001,$B67,'Per Line'!$AQ$2:$AQ$4001,1))</f>
        <v/>
      </c>
      <c r="Q67">
        <f>IF($AA67="","",Settings!$C$7)</f>
        <v/>
      </c>
      <c r="R67" s="7">
        <f>IF($AA67="","",SUMIFS('Per Line'!$Y$2:$Y$4001,'Per Line'!$E$2:$E$4001,$B67,'Per Line'!$AP$2:$AP$4001,0,'Per Line'!$AQ$2:$AQ$4001,0))</f>
        <v/>
      </c>
      <c r="S67" s="7">
        <f>IF($AA67="","",R67*Q67)</f>
        <v/>
      </c>
      <c r="T67">
        <f>IF($AA67="","",Settings!$C$6)</f>
        <v/>
      </c>
      <c r="U67" s="7">
        <f>IF($AA67="","",SUMIFS('Per Line'!$Y$2:$Y$4001,'Per Line'!$E$2:$E$4001,$B67,'Per Line'!$AP$2:$AP$4001,1,'Per Line'!$AQ$2:$AQ$4001,0))</f>
        <v/>
      </c>
      <c r="V67" s="7">
        <f>IF($AA67="","",U67*T67)</f>
        <v/>
      </c>
      <c r="W67" s="7">
        <f>IF($AA67="","",V67+S67)</f>
        <v/>
      </c>
      <c r="X67" s="7">
        <f>IF($AA67="","",Y67-W67)</f>
        <v/>
      </c>
      <c r="Y67" s="7">
        <f>IF($AA67="","",R67+U67+P67)</f>
        <v/>
      </c>
      <c r="Z67" s="7">
        <f>IF($AA67="","",Y67-W67-L67)</f>
        <v/>
      </c>
      <c r="AA67" s="13">
        <f>IF(ROWS($AA$2:$AA67)&lt;=MAX('Per Line'!$AO$2:$AO$4001),MATCH(ROWS($AA$2:$AA67),'Per Line'!$AO$2:$AO$4001,0),"")</f>
        <v/>
      </c>
      <c r="AB67" s="14">
        <f>IF($AA67="","",L67-K67*Y67/100)</f>
        <v/>
      </c>
    </row>
    <row r="68">
      <c r="A68" s="12" t="n"/>
      <c r="B68">
        <f>IF($AA68="","",INDEX('Per Line'!$E$2:$E$4001,$AA68)&amp;"")</f>
        <v/>
      </c>
      <c r="C68">
        <f>IF($AA68="","",INDEX('Per Line'!$A$2:$A$4001,$AA68)&amp;"")</f>
        <v/>
      </c>
      <c r="D68">
        <f>IF($AA68="","",INDEX('Per Line'!$D$2:$D$4001,$AA68)&amp;"")</f>
        <v/>
      </c>
      <c r="E68" s="11">
        <f>IF($AA68="","",INDEX('Per Line'!$G$2:$G$4001,$AA68))</f>
        <v/>
      </c>
      <c r="F68">
        <f>IF($AA68="","",INDEX('Per Line'!$H$2:$H$4001,$AA68)&amp;"")</f>
        <v/>
      </c>
      <c r="G68">
        <f>IF($AA68="","",INDEX('Per Line'!$I$2:$I$4001,$AA68)&amp;"")</f>
        <v/>
      </c>
      <c r="H68">
        <f>IF($AA68="","",INDEX('Per Line'!$J$2:$J$4001,$AA68)&amp;"")</f>
        <v/>
      </c>
      <c r="I68">
        <f>IF($AA68="","",INDEX('Per Line'!$K$2:$K$4001,$AA68)&amp;"")</f>
        <v/>
      </c>
      <c r="J68">
        <f>IF($AA68="","",INDEX('Per Line'!$L$2:$L$4001,$AA68)&amp;"")</f>
        <v/>
      </c>
      <c r="K68">
        <f>IF($AA68="","",INDEX('Per Line'!$P$2:$P$4001,$AA68))</f>
        <v/>
      </c>
      <c r="L68" s="7">
        <f>IF($AA68="","",IF(AND(ISNUMBER(N68),N68&gt;0,Y68&gt;N68),K68*N68/100+(Y68-N68),K68*Y68/100))</f>
        <v/>
      </c>
      <c r="M68">
        <f>IF($AA68="","",INDEX('Per Line'!$Z$2:$Z$4001,$AA68)&amp;"")</f>
        <v/>
      </c>
      <c r="N68">
        <f>IF($AA68="","",INDEX('Per Line'!$AG$2:$AG$4001,$AA68))</f>
        <v/>
      </c>
      <c r="O68">
        <f>IF($AA68="","",IF(AND(ISNUMBER(N68),N68&gt;0),Y68&gt;N68,FALSE))</f>
        <v/>
      </c>
      <c r="P68" s="7">
        <f>IF($AA68="","",SUMIFS('Per Line'!$Y$2:$Y$4001,'Per Line'!$E$2:$E$4001,$B68,'Per Line'!$AQ$2:$AQ$4001,1))</f>
        <v/>
      </c>
      <c r="Q68">
        <f>IF($AA68="","",Settings!$C$7)</f>
        <v/>
      </c>
      <c r="R68" s="7">
        <f>IF($AA68="","",SUMIFS('Per Line'!$Y$2:$Y$4001,'Per Line'!$E$2:$E$4001,$B68,'Per Line'!$AP$2:$AP$4001,0,'Per Line'!$AQ$2:$AQ$4001,0))</f>
        <v/>
      </c>
      <c r="S68" s="7">
        <f>IF($AA68="","",R68*Q68)</f>
        <v/>
      </c>
      <c r="T68">
        <f>IF($AA68="","",Settings!$C$6)</f>
        <v/>
      </c>
      <c r="U68" s="7">
        <f>IF($AA68="","",SUMIFS('Per Line'!$Y$2:$Y$4001,'Per Line'!$E$2:$E$4001,$B68,'Per Line'!$AP$2:$AP$4001,1,'Per Line'!$AQ$2:$AQ$4001,0))</f>
        <v/>
      </c>
      <c r="V68" s="7">
        <f>IF($AA68="","",U68*T68)</f>
        <v/>
      </c>
      <c r="W68" s="7">
        <f>IF($AA68="","",V68+S68)</f>
        <v/>
      </c>
      <c r="X68" s="7">
        <f>IF($AA68="","",Y68-W68)</f>
        <v/>
      </c>
      <c r="Y68" s="7">
        <f>IF($AA68="","",R68+U68+P68)</f>
        <v/>
      </c>
      <c r="Z68" s="7">
        <f>IF($AA68="","",Y68-W68-L68)</f>
        <v/>
      </c>
      <c r="AA68" s="13">
        <f>IF(ROWS($AA$2:$AA68)&lt;=MAX('Per Line'!$AO$2:$AO$4001),MATCH(ROWS($AA$2:$AA68),'Per Line'!$AO$2:$AO$4001,0),"")</f>
        <v/>
      </c>
      <c r="AB68" s="14">
        <f>IF($AA68="","",L68-K68*Y68/100)</f>
        <v/>
      </c>
    </row>
    <row r="69">
      <c r="A69" s="12" t="n"/>
      <c r="B69">
        <f>IF($AA69="","",INDEX('Per Line'!$E$2:$E$4001,$AA69)&amp;"")</f>
        <v/>
      </c>
      <c r="C69">
        <f>IF($AA69="","",INDEX('Per Line'!$A$2:$A$4001,$AA69)&amp;"")</f>
        <v/>
      </c>
      <c r="D69">
        <f>IF($AA69="","",INDEX('Per Line'!$D$2:$D$4001,$AA69)&amp;"")</f>
        <v/>
      </c>
      <c r="E69" s="11">
        <f>IF($AA69="","",INDEX('Per Line'!$G$2:$G$4001,$AA69))</f>
        <v/>
      </c>
      <c r="F69">
        <f>IF($AA69="","",INDEX('Per Line'!$H$2:$H$4001,$AA69)&amp;"")</f>
        <v/>
      </c>
      <c r="G69">
        <f>IF($AA69="","",INDEX('Per Line'!$I$2:$I$4001,$AA69)&amp;"")</f>
        <v/>
      </c>
      <c r="H69">
        <f>IF($AA69="","",INDEX('Per Line'!$J$2:$J$4001,$AA69)&amp;"")</f>
        <v/>
      </c>
      <c r="I69">
        <f>IF($AA69="","",INDEX('Per Line'!$K$2:$K$4001,$AA69)&amp;"")</f>
        <v/>
      </c>
      <c r="J69">
        <f>IF($AA69="","",INDEX('Per Line'!$L$2:$L$4001,$AA69)&amp;"")</f>
        <v/>
      </c>
      <c r="K69">
        <f>IF($AA69="","",INDEX('Per Line'!$P$2:$P$4001,$AA69))</f>
        <v/>
      </c>
      <c r="L69" s="7">
        <f>IF($AA69="","",IF(AND(ISNUMBER(N69),N69&gt;0,Y69&gt;N69),K69*N69/100+(Y69-N69),K69*Y69/100))</f>
        <v/>
      </c>
      <c r="M69">
        <f>IF($AA69="","",INDEX('Per Line'!$Z$2:$Z$4001,$AA69)&amp;"")</f>
        <v/>
      </c>
      <c r="N69">
        <f>IF($AA69="","",INDEX('Per Line'!$AG$2:$AG$4001,$AA69))</f>
        <v/>
      </c>
      <c r="O69">
        <f>IF($AA69="","",IF(AND(ISNUMBER(N69),N69&gt;0),Y69&gt;N69,FALSE))</f>
        <v/>
      </c>
      <c r="P69" s="7">
        <f>IF($AA69="","",SUMIFS('Per Line'!$Y$2:$Y$4001,'Per Line'!$E$2:$E$4001,$B69,'Per Line'!$AQ$2:$AQ$4001,1))</f>
        <v/>
      </c>
      <c r="Q69">
        <f>IF($AA69="","",Settings!$C$7)</f>
        <v/>
      </c>
      <c r="R69" s="7">
        <f>IF($AA69="","",SUMIFS('Per Line'!$Y$2:$Y$4001,'Per Line'!$E$2:$E$4001,$B69,'Per Line'!$AP$2:$AP$4001,0,'Per Line'!$AQ$2:$AQ$4001,0))</f>
        <v/>
      </c>
      <c r="S69" s="7">
        <f>IF($AA69="","",R69*Q69)</f>
        <v/>
      </c>
      <c r="T69">
        <f>IF($AA69="","",Settings!$C$6)</f>
        <v/>
      </c>
      <c r="U69" s="7">
        <f>IF($AA69="","",SUMIFS('Per Line'!$Y$2:$Y$4001,'Per Line'!$E$2:$E$4001,$B69,'Per Line'!$AP$2:$AP$4001,1,'Per Line'!$AQ$2:$AQ$4001,0))</f>
        <v/>
      </c>
      <c r="V69" s="7">
        <f>IF($AA69="","",U69*T69)</f>
        <v/>
      </c>
      <c r="W69" s="7">
        <f>IF($AA69="","",V69+S69)</f>
        <v/>
      </c>
      <c r="X69" s="7">
        <f>IF($AA69="","",Y69-W69)</f>
        <v/>
      </c>
      <c r="Y69" s="7">
        <f>IF($AA69="","",R69+U69+P69)</f>
        <v/>
      </c>
      <c r="Z69" s="7">
        <f>IF($AA69="","",Y69-W69-L69)</f>
        <v/>
      </c>
      <c r="AA69" s="13">
        <f>IF(ROWS($AA$2:$AA69)&lt;=MAX('Per Line'!$AO$2:$AO$4001),MATCH(ROWS($AA$2:$AA69),'Per Line'!$AO$2:$AO$4001,0),"")</f>
        <v/>
      </c>
      <c r="AB69" s="14">
        <f>IF($AA69="","",L69-K69*Y69/100)</f>
        <v/>
      </c>
    </row>
    <row r="70">
      <c r="A70" s="12" t="n"/>
      <c r="B70">
        <f>IF($AA70="","",INDEX('Per Line'!$E$2:$E$4001,$AA70)&amp;"")</f>
        <v/>
      </c>
      <c r="C70">
        <f>IF($AA70="","",INDEX('Per Line'!$A$2:$A$4001,$AA70)&amp;"")</f>
        <v/>
      </c>
      <c r="D70">
        <f>IF($AA70="","",INDEX('Per Line'!$D$2:$D$4001,$AA70)&amp;"")</f>
        <v/>
      </c>
      <c r="E70" s="11">
        <f>IF($AA70="","",INDEX('Per Line'!$G$2:$G$4001,$AA70))</f>
        <v/>
      </c>
      <c r="F70">
        <f>IF($AA70="","",INDEX('Per Line'!$H$2:$H$4001,$AA70)&amp;"")</f>
        <v/>
      </c>
      <c r="G70">
        <f>IF($AA70="","",INDEX('Per Line'!$I$2:$I$4001,$AA70)&amp;"")</f>
        <v/>
      </c>
      <c r="H70">
        <f>IF($AA70="","",INDEX('Per Line'!$J$2:$J$4001,$AA70)&amp;"")</f>
        <v/>
      </c>
      <c r="I70">
        <f>IF($AA70="","",INDEX('Per Line'!$K$2:$K$4001,$AA70)&amp;"")</f>
        <v/>
      </c>
      <c r="J70">
        <f>IF($AA70="","",INDEX('Per Line'!$L$2:$L$4001,$AA70)&amp;"")</f>
        <v/>
      </c>
      <c r="K70">
        <f>IF($AA70="","",INDEX('Per Line'!$P$2:$P$4001,$AA70))</f>
        <v/>
      </c>
      <c r="L70" s="7">
        <f>IF($AA70="","",IF(AND(ISNUMBER(N70),N70&gt;0,Y70&gt;N70),K70*N70/100+(Y70-N70),K70*Y70/100))</f>
        <v/>
      </c>
      <c r="M70">
        <f>IF($AA70="","",INDEX('Per Line'!$Z$2:$Z$4001,$AA70)&amp;"")</f>
        <v/>
      </c>
      <c r="N70">
        <f>IF($AA70="","",INDEX('Per Line'!$AG$2:$AG$4001,$AA70))</f>
        <v/>
      </c>
      <c r="O70">
        <f>IF($AA70="","",IF(AND(ISNUMBER(N70),N70&gt;0),Y70&gt;N70,FALSE))</f>
        <v/>
      </c>
      <c r="P70" s="7">
        <f>IF($AA70="","",SUMIFS('Per Line'!$Y$2:$Y$4001,'Per Line'!$E$2:$E$4001,$B70,'Per Line'!$AQ$2:$AQ$4001,1))</f>
        <v/>
      </c>
      <c r="Q70">
        <f>IF($AA70="","",Settings!$C$7)</f>
        <v/>
      </c>
      <c r="R70" s="7">
        <f>IF($AA70="","",SUMIFS('Per Line'!$Y$2:$Y$4001,'Per Line'!$E$2:$E$4001,$B70,'Per Line'!$AP$2:$AP$4001,0,'Per Line'!$AQ$2:$AQ$4001,0))</f>
        <v/>
      </c>
      <c r="S70" s="7">
        <f>IF($AA70="","",R70*Q70)</f>
        <v/>
      </c>
      <c r="T70">
        <f>IF($AA70="","",Settings!$C$6)</f>
        <v/>
      </c>
      <c r="U70" s="7">
        <f>IF($AA70="","",SUMIFS('Per Line'!$Y$2:$Y$4001,'Per Line'!$E$2:$E$4001,$B70,'Per Line'!$AP$2:$AP$4001,1,'Per Line'!$AQ$2:$AQ$4001,0))</f>
        <v/>
      </c>
      <c r="V70" s="7">
        <f>IF($AA70="","",U70*T70)</f>
        <v/>
      </c>
      <c r="W70" s="7">
        <f>IF($AA70="","",V70+S70)</f>
        <v/>
      </c>
      <c r="X70" s="7">
        <f>IF($AA70="","",Y70-W70)</f>
        <v/>
      </c>
      <c r="Y70" s="7">
        <f>IF($AA70="","",R70+U70+P70)</f>
        <v/>
      </c>
      <c r="Z70" s="7">
        <f>IF($AA70="","",Y70-W70-L70)</f>
        <v/>
      </c>
      <c r="AA70" s="13">
        <f>IF(ROWS($AA$2:$AA70)&lt;=MAX('Per Line'!$AO$2:$AO$4001),MATCH(ROWS($AA$2:$AA70),'Per Line'!$AO$2:$AO$4001,0),"")</f>
        <v/>
      </c>
      <c r="AB70" s="14">
        <f>IF($AA70="","",L70-K70*Y70/100)</f>
        <v/>
      </c>
    </row>
    <row r="71">
      <c r="A71" s="12" t="n"/>
      <c r="B71">
        <f>IF($AA71="","",INDEX('Per Line'!$E$2:$E$4001,$AA71)&amp;"")</f>
        <v/>
      </c>
      <c r="C71">
        <f>IF($AA71="","",INDEX('Per Line'!$A$2:$A$4001,$AA71)&amp;"")</f>
        <v/>
      </c>
      <c r="D71">
        <f>IF($AA71="","",INDEX('Per Line'!$D$2:$D$4001,$AA71)&amp;"")</f>
        <v/>
      </c>
      <c r="E71" s="11">
        <f>IF($AA71="","",INDEX('Per Line'!$G$2:$G$4001,$AA71))</f>
        <v/>
      </c>
      <c r="F71">
        <f>IF($AA71="","",INDEX('Per Line'!$H$2:$H$4001,$AA71)&amp;"")</f>
        <v/>
      </c>
      <c r="G71">
        <f>IF($AA71="","",INDEX('Per Line'!$I$2:$I$4001,$AA71)&amp;"")</f>
        <v/>
      </c>
      <c r="H71">
        <f>IF($AA71="","",INDEX('Per Line'!$J$2:$J$4001,$AA71)&amp;"")</f>
        <v/>
      </c>
      <c r="I71">
        <f>IF($AA71="","",INDEX('Per Line'!$K$2:$K$4001,$AA71)&amp;"")</f>
        <v/>
      </c>
      <c r="J71">
        <f>IF($AA71="","",INDEX('Per Line'!$L$2:$L$4001,$AA71)&amp;"")</f>
        <v/>
      </c>
      <c r="K71">
        <f>IF($AA71="","",INDEX('Per Line'!$P$2:$P$4001,$AA71))</f>
        <v/>
      </c>
      <c r="L71" s="7">
        <f>IF($AA71="","",IF(AND(ISNUMBER(N71),N71&gt;0,Y71&gt;N71),K71*N71/100+(Y71-N71),K71*Y71/100))</f>
        <v/>
      </c>
      <c r="M71">
        <f>IF($AA71="","",INDEX('Per Line'!$Z$2:$Z$4001,$AA71)&amp;"")</f>
        <v/>
      </c>
      <c r="N71">
        <f>IF($AA71="","",INDEX('Per Line'!$AG$2:$AG$4001,$AA71))</f>
        <v/>
      </c>
      <c r="O71">
        <f>IF($AA71="","",IF(AND(ISNUMBER(N71),N71&gt;0),Y71&gt;N71,FALSE))</f>
        <v/>
      </c>
      <c r="P71" s="7">
        <f>IF($AA71="","",SUMIFS('Per Line'!$Y$2:$Y$4001,'Per Line'!$E$2:$E$4001,$B71,'Per Line'!$AQ$2:$AQ$4001,1))</f>
        <v/>
      </c>
      <c r="Q71">
        <f>IF($AA71="","",Settings!$C$7)</f>
        <v/>
      </c>
      <c r="R71" s="7">
        <f>IF($AA71="","",SUMIFS('Per Line'!$Y$2:$Y$4001,'Per Line'!$E$2:$E$4001,$B71,'Per Line'!$AP$2:$AP$4001,0,'Per Line'!$AQ$2:$AQ$4001,0))</f>
        <v/>
      </c>
      <c r="S71" s="7">
        <f>IF($AA71="","",R71*Q71)</f>
        <v/>
      </c>
      <c r="T71">
        <f>IF($AA71="","",Settings!$C$6)</f>
        <v/>
      </c>
      <c r="U71" s="7">
        <f>IF($AA71="","",SUMIFS('Per Line'!$Y$2:$Y$4001,'Per Line'!$E$2:$E$4001,$B71,'Per Line'!$AP$2:$AP$4001,1,'Per Line'!$AQ$2:$AQ$4001,0))</f>
        <v/>
      </c>
      <c r="V71" s="7">
        <f>IF($AA71="","",U71*T71)</f>
        <v/>
      </c>
      <c r="W71" s="7">
        <f>IF($AA71="","",V71+S71)</f>
        <v/>
      </c>
      <c r="X71" s="7">
        <f>IF($AA71="","",Y71-W71)</f>
        <v/>
      </c>
      <c r="Y71" s="7">
        <f>IF($AA71="","",R71+U71+P71)</f>
        <v/>
      </c>
      <c r="Z71" s="7">
        <f>IF($AA71="","",Y71-W71-L71)</f>
        <v/>
      </c>
      <c r="AA71" s="13">
        <f>IF(ROWS($AA$2:$AA71)&lt;=MAX('Per Line'!$AO$2:$AO$4001),MATCH(ROWS($AA$2:$AA71),'Per Line'!$AO$2:$AO$4001,0),"")</f>
        <v/>
      </c>
      <c r="AB71" s="14">
        <f>IF($AA71="","",L71-K71*Y71/100)</f>
        <v/>
      </c>
    </row>
    <row r="72">
      <c r="A72" s="12" t="n"/>
      <c r="B72">
        <f>IF($AA72="","",INDEX('Per Line'!$E$2:$E$4001,$AA72)&amp;"")</f>
        <v/>
      </c>
      <c r="C72">
        <f>IF($AA72="","",INDEX('Per Line'!$A$2:$A$4001,$AA72)&amp;"")</f>
        <v/>
      </c>
      <c r="D72">
        <f>IF($AA72="","",INDEX('Per Line'!$D$2:$D$4001,$AA72)&amp;"")</f>
        <v/>
      </c>
      <c r="E72" s="11">
        <f>IF($AA72="","",INDEX('Per Line'!$G$2:$G$4001,$AA72))</f>
        <v/>
      </c>
      <c r="F72">
        <f>IF($AA72="","",INDEX('Per Line'!$H$2:$H$4001,$AA72)&amp;"")</f>
        <v/>
      </c>
      <c r="G72">
        <f>IF($AA72="","",INDEX('Per Line'!$I$2:$I$4001,$AA72)&amp;"")</f>
        <v/>
      </c>
      <c r="H72">
        <f>IF($AA72="","",INDEX('Per Line'!$J$2:$J$4001,$AA72)&amp;"")</f>
        <v/>
      </c>
      <c r="I72">
        <f>IF($AA72="","",INDEX('Per Line'!$K$2:$K$4001,$AA72)&amp;"")</f>
        <v/>
      </c>
      <c r="J72">
        <f>IF($AA72="","",INDEX('Per Line'!$L$2:$L$4001,$AA72)&amp;"")</f>
        <v/>
      </c>
      <c r="K72">
        <f>IF($AA72="","",INDEX('Per Line'!$P$2:$P$4001,$AA72))</f>
        <v/>
      </c>
      <c r="L72" s="7">
        <f>IF($AA72="","",IF(AND(ISNUMBER(N72),N72&gt;0,Y72&gt;N72),K72*N72/100+(Y72-N72),K72*Y72/100))</f>
        <v/>
      </c>
      <c r="M72">
        <f>IF($AA72="","",INDEX('Per Line'!$Z$2:$Z$4001,$AA72)&amp;"")</f>
        <v/>
      </c>
      <c r="N72">
        <f>IF($AA72="","",INDEX('Per Line'!$AG$2:$AG$4001,$AA72))</f>
        <v/>
      </c>
      <c r="O72">
        <f>IF($AA72="","",IF(AND(ISNUMBER(N72),N72&gt;0),Y72&gt;N72,FALSE))</f>
        <v/>
      </c>
      <c r="P72" s="7">
        <f>IF($AA72="","",SUMIFS('Per Line'!$Y$2:$Y$4001,'Per Line'!$E$2:$E$4001,$B72,'Per Line'!$AQ$2:$AQ$4001,1))</f>
        <v/>
      </c>
      <c r="Q72">
        <f>IF($AA72="","",Settings!$C$7)</f>
        <v/>
      </c>
      <c r="R72" s="7">
        <f>IF($AA72="","",SUMIFS('Per Line'!$Y$2:$Y$4001,'Per Line'!$E$2:$E$4001,$B72,'Per Line'!$AP$2:$AP$4001,0,'Per Line'!$AQ$2:$AQ$4001,0))</f>
        <v/>
      </c>
      <c r="S72" s="7">
        <f>IF($AA72="","",R72*Q72)</f>
        <v/>
      </c>
      <c r="T72">
        <f>IF($AA72="","",Settings!$C$6)</f>
        <v/>
      </c>
      <c r="U72" s="7">
        <f>IF($AA72="","",SUMIFS('Per Line'!$Y$2:$Y$4001,'Per Line'!$E$2:$E$4001,$B72,'Per Line'!$AP$2:$AP$4001,1,'Per Line'!$AQ$2:$AQ$4001,0))</f>
        <v/>
      </c>
      <c r="V72" s="7">
        <f>IF($AA72="","",U72*T72)</f>
        <v/>
      </c>
      <c r="W72" s="7">
        <f>IF($AA72="","",V72+S72)</f>
        <v/>
      </c>
      <c r="X72" s="7">
        <f>IF($AA72="","",Y72-W72)</f>
        <v/>
      </c>
      <c r="Y72" s="7">
        <f>IF($AA72="","",R72+U72+P72)</f>
        <v/>
      </c>
      <c r="Z72" s="7">
        <f>IF($AA72="","",Y72-W72-L72)</f>
        <v/>
      </c>
      <c r="AA72" s="13">
        <f>IF(ROWS($AA$2:$AA72)&lt;=MAX('Per Line'!$AO$2:$AO$4001),MATCH(ROWS($AA$2:$AA72),'Per Line'!$AO$2:$AO$4001,0),"")</f>
        <v/>
      </c>
      <c r="AB72" s="14">
        <f>IF($AA72="","",L72-K72*Y72/100)</f>
        <v/>
      </c>
    </row>
    <row r="73">
      <c r="A73" s="12" t="n"/>
      <c r="B73">
        <f>IF($AA73="","",INDEX('Per Line'!$E$2:$E$4001,$AA73)&amp;"")</f>
        <v/>
      </c>
      <c r="C73">
        <f>IF($AA73="","",INDEX('Per Line'!$A$2:$A$4001,$AA73)&amp;"")</f>
        <v/>
      </c>
      <c r="D73">
        <f>IF($AA73="","",INDEX('Per Line'!$D$2:$D$4001,$AA73)&amp;"")</f>
        <v/>
      </c>
      <c r="E73" s="11">
        <f>IF($AA73="","",INDEX('Per Line'!$G$2:$G$4001,$AA73))</f>
        <v/>
      </c>
      <c r="F73">
        <f>IF($AA73="","",INDEX('Per Line'!$H$2:$H$4001,$AA73)&amp;"")</f>
        <v/>
      </c>
      <c r="G73">
        <f>IF($AA73="","",INDEX('Per Line'!$I$2:$I$4001,$AA73)&amp;"")</f>
        <v/>
      </c>
      <c r="H73">
        <f>IF($AA73="","",INDEX('Per Line'!$J$2:$J$4001,$AA73)&amp;"")</f>
        <v/>
      </c>
      <c r="I73">
        <f>IF($AA73="","",INDEX('Per Line'!$K$2:$K$4001,$AA73)&amp;"")</f>
        <v/>
      </c>
      <c r="J73">
        <f>IF($AA73="","",INDEX('Per Line'!$L$2:$L$4001,$AA73)&amp;"")</f>
        <v/>
      </c>
      <c r="K73">
        <f>IF($AA73="","",INDEX('Per Line'!$P$2:$P$4001,$AA73))</f>
        <v/>
      </c>
      <c r="L73" s="7">
        <f>IF($AA73="","",IF(AND(ISNUMBER(N73),N73&gt;0,Y73&gt;N73),K73*N73/100+(Y73-N73),K73*Y73/100))</f>
        <v/>
      </c>
      <c r="M73">
        <f>IF($AA73="","",INDEX('Per Line'!$Z$2:$Z$4001,$AA73)&amp;"")</f>
        <v/>
      </c>
      <c r="N73">
        <f>IF($AA73="","",INDEX('Per Line'!$AG$2:$AG$4001,$AA73))</f>
        <v/>
      </c>
      <c r="O73">
        <f>IF($AA73="","",IF(AND(ISNUMBER(N73),N73&gt;0),Y73&gt;N73,FALSE))</f>
        <v/>
      </c>
      <c r="P73" s="7">
        <f>IF($AA73="","",SUMIFS('Per Line'!$Y$2:$Y$4001,'Per Line'!$E$2:$E$4001,$B73,'Per Line'!$AQ$2:$AQ$4001,1))</f>
        <v/>
      </c>
      <c r="Q73">
        <f>IF($AA73="","",Settings!$C$7)</f>
        <v/>
      </c>
      <c r="R73" s="7">
        <f>IF($AA73="","",SUMIFS('Per Line'!$Y$2:$Y$4001,'Per Line'!$E$2:$E$4001,$B73,'Per Line'!$AP$2:$AP$4001,0,'Per Line'!$AQ$2:$AQ$4001,0))</f>
        <v/>
      </c>
      <c r="S73" s="7">
        <f>IF($AA73="","",R73*Q73)</f>
        <v/>
      </c>
      <c r="T73">
        <f>IF($AA73="","",Settings!$C$6)</f>
        <v/>
      </c>
      <c r="U73" s="7">
        <f>IF($AA73="","",SUMIFS('Per Line'!$Y$2:$Y$4001,'Per Line'!$E$2:$E$4001,$B73,'Per Line'!$AP$2:$AP$4001,1,'Per Line'!$AQ$2:$AQ$4001,0))</f>
        <v/>
      </c>
      <c r="V73" s="7">
        <f>IF($AA73="","",U73*T73)</f>
        <v/>
      </c>
      <c r="W73" s="7">
        <f>IF($AA73="","",V73+S73)</f>
        <v/>
      </c>
      <c r="X73" s="7">
        <f>IF($AA73="","",Y73-W73)</f>
        <v/>
      </c>
      <c r="Y73" s="7">
        <f>IF($AA73="","",R73+U73+P73)</f>
        <v/>
      </c>
      <c r="Z73" s="7">
        <f>IF($AA73="","",Y73-W73-L73)</f>
        <v/>
      </c>
      <c r="AA73" s="13">
        <f>IF(ROWS($AA$2:$AA73)&lt;=MAX('Per Line'!$AO$2:$AO$4001),MATCH(ROWS($AA$2:$AA73),'Per Line'!$AO$2:$AO$4001,0),"")</f>
        <v/>
      </c>
      <c r="AB73" s="14">
        <f>IF($AA73="","",L73-K73*Y73/100)</f>
        <v/>
      </c>
    </row>
    <row r="74">
      <c r="A74" s="12" t="n"/>
      <c r="B74">
        <f>IF($AA74="","",INDEX('Per Line'!$E$2:$E$4001,$AA74)&amp;"")</f>
        <v/>
      </c>
      <c r="C74">
        <f>IF($AA74="","",INDEX('Per Line'!$A$2:$A$4001,$AA74)&amp;"")</f>
        <v/>
      </c>
      <c r="D74">
        <f>IF($AA74="","",INDEX('Per Line'!$D$2:$D$4001,$AA74)&amp;"")</f>
        <v/>
      </c>
      <c r="E74" s="11">
        <f>IF($AA74="","",INDEX('Per Line'!$G$2:$G$4001,$AA74))</f>
        <v/>
      </c>
      <c r="F74">
        <f>IF($AA74="","",INDEX('Per Line'!$H$2:$H$4001,$AA74)&amp;"")</f>
        <v/>
      </c>
      <c r="G74">
        <f>IF($AA74="","",INDEX('Per Line'!$I$2:$I$4001,$AA74)&amp;"")</f>
        <v/>
      </c>
      <c r="H74">
        <f>IF($AA74="","",INDEX('Per Line'!$J$2:$J$4001,$AA74)&amp;"")</f>
        <v/>
      </c>
      <c r="I74">
        <f>IF($AA74="","",INDEX('Per Line'!$K$2:$K$4001,$AA74)&amp;"")</f>
        <v/>
      </c>
      <c r="J74">
        <f>IF($AA74="","",INDEX('Per Line'!$L$2:$L$4001,$AA74)&amp;"")</f>
        <v/>
      </c>
      <c r="K74">
        <f>IF($AA74="","",INDEX('Per Line'!$P$2:$P$4001,$AA74))</f>
        <v/>
      </c>
      <c r="L74" s="7">
        <f>IF($AA74="","",IF(AND(ISNUMBER(N74),N74&gt;0,Y74&gt;N74),K74*N74/100+(Y74-N74),K74*Y74/100))</f>
        <v/>
      </c>
      <c r="M74">
        <f>IF($AA74="","",INDEX('Per Line'!$Z$2:$Z$4001,$AA74)&amp;"")</f>
        <v/>
      </c>
      <c r="N74">
        <f>IF($AA74="","",INDEX('Per Line'!$AG$2:$AG$4001,$AA74))</f>
        <v/>
      </c>
      <c r="O74">
        <f>IF($AA74="","",IF(AND(ISNUMBER(N74),N74&gt;0),Y74&gt;N74,FALSE))</f>
        <v/>
      </c>
      <c r="P74" s="7">
        <f>IF($AA74="","",SUMIFS('Per Line'!$Y$2:$Y$4001,'Per Line'!$E$2:$E$4001,$B74,'Per Line'!$AQ$2:$AQ$4001,1))</f>
        <v/>
      </c>
      <c r="Q74">
        <f>IF($AA74="","",Settings!$C$7)</f>
        <v/>
      </c>
      <c r="R74" s="7">
        <f>IF($AA74="","",SUMIFS('Per Line'!$Y$2:$Y$4001,'Per Line'!$E$2:$E$4001,$B74,'Per Line'!$AP$2:$AP$4001,0,'Per Line'!$AQ$2:$AQ$4001,0))</f>
        <v/>
      </c>
      <c r="S74" s="7">
        <f>IF($AA74="","",R74*Q74)</f>
        <v/>
      </c>
      <c r="T74">
        <f>IF($AA74="","",Settings!$C$6)</f>
        <v/>
      </c>
      <c r="U74" s="7">
        <f>IF($AA74="","",SUMIFS('Per Line'!$Y$2:$Y$4001,'Per Line'!$E$2:$E$4001,$B74,'Per Line'!$AP$2:$AP$4001,1,'Per Line'!$AQ$2:$AQ$4001,0))</f>
        <v/>
      </c>
      <c r="V74" s="7">
        <f>IF($AA74="","",U74*T74)</f>
        <v/>
      </c>
      <c r="W74" s="7">
        <f>IF($AA74="","",V74+S74)</f>
        <v/>
      </c>
      <c r="X74" s="7">
        <f>IF($AA74="","",Y74-W74)</f>
        <v/>
      </c>
      <c r="Y74" s="7">
        <f>IF($AA74="","",R74+U74+P74)</f>
        <v/>
      </c>
      <c r="Z74" s="7">
        <f>IF($AA74="","",Y74-W74-L74)</f>
        <v/>
      </c>
      <c r="AA74" s="13">
        <f>IF(ROWS($AA$2:$AA74)&lt;=MAX('Per Line'!$AO$2:$AO$4001),MATCH(ROWS($AA$2:$AA74),'Per Line'!$AO$2:$AO$4001,0),"")</f>
        <v/>
      </c>
      <c r="AB74" s="14">
        <f>IF($AA74="","",L74-K74*Y74/100)</f>
        <v/>
      </c>
    </row>
    <row r="75">
      <c r="A75" s="12" t="n"/>
      <c r="B75">
        <f>IF($AA75="","",INDEX('Per Line'!$E$2:$E$4001,$AA75)&amp;"")</f>
        <v/>
      </c>
      <c r="C75">
        <f>IF($AA75="","",INDEX('Per Line'!$A$2:$A$4001,$AA75)&amp;"")</f>
        <v/>
      </c>
      <c r="D75">
        <f>IF($AA75="","",INDEX('Per Line'!$D$2:$D$4001,$AA75)&amp;"")</f>
        <v/>
      </c>
      <c r="E75" s="11">
        <f>IF($AA75="","",INDEX('Per Line'!$G$2:$G$4001,$AA75))</f>
        <v/>
      </c>
      <c r="F75">
        <f>IF($AA75="","",INDEX('Per Line'!$H$2:$H$4001,$AA75)&amp;"")</f>
        <v/>
      </c>
      <c r="G75">
        <f>IF($AA75="","",INDEX('Per Line'!$I$2:$I$4001,$AA75)&amp;"")</f>
        <v/>
      </c>
      <c r="H75">
        <f>IF($AA75="","",INDEX('Per Line'!$J$2:$J$4001,$AA75)&amp;"")</f>
        <v/>
      </c>
      <c r="I75">
        <f>IF($AA75="","",INDEX('Per Line'!$K$2:$K$4001,$AA75)&amp;"")</f>
        <v/>
      </c>
      <c r="J75">
        <f>IF($AA75="","",INDEX('Per Line'!$L$2:$L$4001,$AA75)&amp;"")</f>
        <v/>
      </c>
      <c r="K75">
        <f>IF($AA75="","",INDEX('Per Line'!$P$2:$P$4001,$AA75))</f>
        <v/>
      </c>
      <c r="L75" s="7">
        <f>IF($AA75="","",IF(AND(ISNUMBER(N75),N75&gt;0,Y75&gt;N75),K75*N75/100+(Y75-N75),K75*Y75/100))</f>
        <v/>
      </c>
      <c r="M75">
        <f>IF($AA75="","",INDEX('Per Line'!$Z$2:$Z$4001,$AA75)&amp;"")</f>
        <v/>
      </c>
      <c r="N75">
        <f>IF($AA75="","",INDEX('Per Line'!$AG$2:$AG$4001,$AA75))</f>
        <v/>
      </c>
      <c r="O75">
        <f>IF($AA75="","",IF(AND(ISNUMBER(N75),N75&gt;0),Y75&gt;N75,FALSE))</f>
        <v/>
      </c>
      <c r="P75" s="7">
        <f>IF($AA75="","",SUMIFS('Per Line'!$Y$2:$Y$4001,'Per Line'!$E$2:$E$4001,$B75,'Per Line'!$AQ$2:$AQ$4001,1))</f>
        <v/>
      </c>
      <c r="Q75">
        <f>IF($AA75="","",Settings!$C$7)</f>
        <v/>
      </c>
      <c r="R75" s="7">
        <f>IF($AA75="","",SUMIFS('Per Line'!$Y$2:$Y$4001,'Per Line'!$E$2:$E$4001,$B75,'Per Line'!$AP$2:$AP$4001,0,'Per Line'!$AQ$2:$AQ$4001,0))</f>
        <v/>
      </c>
      <c r="S75" s="7">
        <f>IF($AA75="","",R75*Q75)</f>
        <v/>
      </c>
      <c r="T75">
        <f>IF($AA75="","",Settings!$C$6)</f>
        <v/>
      </c>
      <c r="U75" s="7">
        <f>IF($AA75="","",SUMIFS('Per Line'!$Y$2:$Y$4001,'Per Line'!$E$2:$E$4001,$B75,'Per Line'!$AP$2:$AP$4001,1,'Per Line'!$AQ$2:$AQ$4001,0))</f>
        <v/>
      </c>
      <c r="V75" s="7">
        <f>IF($AA75="","",U75*T75)</f>
        <v/>
      </c>
      <c r="W75" s="7">
        <f>IF($AA75="","",V75+S75)</f>
        <v/>
      </c>
      <c r="X75" s="7">
        <f>IF($AA75="","",Y75-W75)</f>
        <v/>
      </c>
      <c r="Y75" s="7">
        <f>IF($AA75="","",R75+U75+P75)</f>
        <v/>
      </c>
      <c r="Z75" s="7">
        <f>IF($AA75="","",Y75-W75-L75)</f>
        <v/>
      </c>
      <c r="AA75" s="13">
        <f>IF(ROWS($AA$2:$AA75)&lt;=MAX('Per Line'!$AO$2:$AO$4001),MATCH(ROWS($AA$2:$AA75),'Per Line'!$AO$2:$AO$4001,0),"")</f>
        <v/>
      </c>
      <c r="AB75" s="14">
        <f>IF($AA75="","",L75-K75*Y75/100)</f>
        <v/>
      </c>
    </row>
    <row r="76">
      <c r="A76" s="12" t="n"/>
      <c r="B76">
        <f>IF($AA76="","",INDEX('Per Line'!$E$2:$E$4001,$AA76)&amp;"")</f>
        <v/>
      </c>
      <c r="C76">
        <f>IF($AA76="","",INDEX('Per Line'!$A$2:$A$4001,$AA76)&amp;"")</f>
        <v/>
      </c>
      <c r="D76">
        <f>IF($AA76="","",INDEX('Per Line'!$D$2:$D$4001,$AA76)&amp;"")</f>
        <v/>
      </c>
      <c r="E76" s="11">
        <f>IF($AA76="","",INDEX('Per Line'!$G$2:$G$4001,$AA76))</f>
        <v/>
      </c>
      <c r="F76">
        <f>IF($AA76="","",INDEX('Per Line'!$H$2:$H$4001,$AA76)&amp;"")</f>
        <v/>
      </c>
      <c r="G76">
        <f>IF($AA76="","",INDEX('Per Line'!$I$2:$I$4001,$AA76)&amp;"")</f>
        <v/>
      </c>
      <c r="H76">
        <f>IF($AA76="","",INDEX('Per Line'!$J$2:$J$4001,$AA76)&amp;"")</f>
        <v/>
      </c>
      <c r="I76">
        <f>IF($AA76="","",INDEX('Per Line'!$K$2:$K$4001,$AA76)&amp;"")</f>
        <v/>
      </c>
      <c r="J76">
        <f>IF($AA76="","",INDEX('Per Line'!$L$2:$L$4001,$AA76)&amp;"")</f>
        <v/>
      </c>
      <c r="K76">
        <f>IF($AA76="","",INDEX('Per Line'!$P$2:$P$4001,$AA76))</f>
        <v/>
      </c>
      <c r="L76" s="7">
        <f>IF($AA76="","",IF(AND(ISNUMBER(N76),N76&gt;0,Y76&gt;N76),K76*N76/100+(Y76-N76),K76*Y76/100))</f>
        <v/>
      </c>
      <c r="M76">
        <f>IF($AA76="","",INDEX('Per Line'!$Z$2:$Z$4001,$AA76)&amp;"")</f>
        <v/>
      </c>
      <c r="N76">
        <f>IF($AA76="","",INDEX('Per Line'!$AG$2:$AG$4001,$AA76))</f>
        <v/>
      </c>
      <c r="O76">
        <f>IF($AA76="","",IF(AND(ISNUMBER(N76),N76&gt;0),Y76&gt;N76,FALSE))</f>
        <v/>
      </c>
      <c r="P76" s="7">
        <f>IF($AA76="","",SUMIFS('Per Line'!$Y$2:$Y$4001,'Per Line'!$E$2:$E$4001,$B76,'Per Line'!$AQ$2:$AQ$4001,1))</f>
        <v/>
      </c>
      <c r="Q76">
        <f>IF($AA76="","",Settings!$C$7)</f>
        <v/>
      </c>
      <c r="R76" s="7">
        <f>IF($AA76="","",SUMIFS('Per Line'!$Y$2:$Y$4001,'Per Line'!$E$2:$E$4001,$B76,'Per Line'!$AP$2:$AP$4001,0,'Per Line'!$AQ$2:$AQ$4001,0))</f>
        <v/>
      </c>
      <c r="S76" s="7">
        <f>IF($AA76="","",R76*Q76)</f>
        <v/>
      </c>
      <c r="T76">
        <f>IF($AA76="","",Settings!$C$6)</f>
        <v/>
      </c>
      <c r="U76" s="7">
        <f>IF($AA76="","",SUMIFS('Per Line'!$Y$2:$Y$4001,'Per Line'!$E$2:$E$4001,$B76,'Per Line'!$AP$2:$AP$4001,1,'Per Line'!$AQ$2:$AQ$4001,0))</f>
        <v/>
      </c>
      <c r="V76" s="7">
        <f>IF($AA76="","",U76*T76)</f>
        <v/>
      </c>
      <c r="W76" s="7">
        <f>IF($AA76="","",V76+S76)</f>
        <v/>
      </c>
      <c r="X76" s="7">
        <f>IF($AA76="","",Y76-W76)</f>
        <v/>
      </c>
      <c r="Y76" s="7">
        <f>IF($AA76="","",R76+U76+P76)</f>
        <v/>
      </c>
      <c r="Z76" s="7">
        <f>IF($AA76="","",Y76-W76-L76)</f>
        <v/>
      </c>
      <c r="AA76" s="13">
        <f>IF(ROWS($AA$2:$AA76)&lt;=MAX('Per Line'!$AO$2:$AO$4001),MATCH(ROWS($AA$2:$AA76),'Per Line'!$AO$2:$AO$4001,0),"")</f>
        <v/>
      </c>
      <c r="AB76" s="14">
        <f>IF($AA76="","",L76-K76*Y76/100)</f>
        <v/>
      </c>
    </row>
    <row r="77">
      <c r="A77" s="12" t="n"/>
      <c r="B77">
        <f>IF($AA77="","",INDEX('Per Line'!$E$2:$E$4001,$AA77)&amp;"")</f>
        <v/>
      </c>
      <c r="C77">
        <f>IF($AA77="","",INDEX('Per Line'!$A$2:$A$4001,$AA77)&amp;"")</f>
        <v/>
      </c>
      <c r="D77">
        <f>IF($AA77="","",INDEX('Per Line'!$D$2:$D$4001,$AA77)&amp;"")</f>
        <v/>
      </c>
      <c r="E77" s="11">
        <f>IF($AA77="","",INDEX('Per Line'!$G$2:$G$4001,$AA77))</f>
        <v/>
      </c>
      <c r="F77">
        <f>IF($AA77="","",INDEX('Per Line'!$H$2:$H$4001,$AA77)&amp;"")</f>
        <v/>
      </c>
      <c r="G77">
        <f>IF($AA77="","",INDEX('Per Line'!$I$2:$I$4001,$AA77)&amp;"")</f>
        <v/>
      </c>
      <c r="H77">
        <f>IF($AA77="","",INDEX('Per Line'!$J$2:$J$4001,$AA77)&amp;"")</f>
        <v/>
      </c>
      <c r="I77">
        <f>IF($AA77="","",INDEX('Per Line'!$K$2:$K$4001,$AA77)&amp;"")</f>
        <v/>
      </c>
      <c r="J77">
        <f>IF($AA77="","",INDEX('Per Line'!$L$2:$L$4001,$AA77)&amp;"")</f>
        <v/>
      </c>
      <c r="K77">
        <f>IF($AA77="","",INDEX('Per Line'!$P$2:$P$4001,$AA77))</f>
        <v/>
      </c>
      <c r="L77" s="7">
        <f>IF($AA77="","",IF(AND(ISNUMBER(N77),N77&gt;0,Y77&gt;N77),K77*N77/100+(Y77-N77),K77*Y77/100))</f>
        <v/>
      </c>
      <c r="M77">
        <f>IF($AA77="","",INDEX('Per Line'!$Z$2:$Z$4001,$AA77)&amp;"")</f>
        <v/>
      </c>
      <c r="N77">
        <f>IF($AA77="","",INDEX('Per Line'!$AG$2:$AG$4001,$AA77))</f>
        <v/>
      </c>
      <c r="O77">
        <f>IF($AA77="","",IF(AND(ISNUMBER(N77),N77&gt;0),Y77&gt;N77,FALSE))</f>
        <v/>
      </c>
      <c r="P77" s="7">
        <f>IF($AA77="","",SUMIFS('Per Line'!$Y$2:$Y$4001,'Per Line'!$E$2:$E$4001,$B77,'Per Line'!$AQ$2:$AQ$4001,1))</f>
        <v/>
      </c>
      <c r="Q77">
        <f>IF($AA77="","",Settings!$C$7)</f>
        <v/>
      </c>
      <c r="R77" s="7">
        <f>IF($AA77="","",SUMIFS('Per Line'!$Y$2:$Y$4001,'Per Line'!$E$2:$E$4001,$B77,'Per Line'!$AP$2:$AP$4001,0,'Per Line'!$AQ$2:$AQ$4001,0))</f>
        <v/>
      </c>
      <c r="S77" s="7">
        <f>IF($AA77="","",R77*Q77)</f>
        <v/>
      </c>
      <c r="T77">
        <f>IF($AA77="","",Settings!$C$6)</f>
        <v/>
      </c>
      <c r="U77" s="7">
        <f>IF($AA77="","",SUMIFS('Per Line'!$Y$2:$Y$4001,'Per Line'!$E$2:$E$4001,$B77,'Per Line'!$AP$2:$AP$4001,1,'Per Line'!$AQ$2:$AQ$4001,0))</f>
        <v/>
      </c>
      <c r="V77" s="7">
        <f>IF($AA77="","",U77*T77)</f>
        <v/>
      </c>
      <c r="W77" s="7">
        <f>IF($AA77="","",V77+S77)</f>
        <v/>
      </c>
      <c r="X77" s="7">
        <f>IF($AA77="","",Y77-W77)</f>
        <v/>
      </c>
      <c r="Y77" s="7">
        <f>IF($AA77="","",R77+U77+P77)</f>
        <v/>
      </c>
      <c r="Z77" s="7">
        <f>IF($AA77="","",Y77-W77-L77)</f>
        <v/>
      </c>
      <c r="AA77" s="13">
        <f>IF(ROWS($AA$2:$AA77)&lt;=MAX('Per Line'!$AO$2:$AO$4001),MATCH(ROWS($AA$2:$AA77),'Per Line'!$AO$2:$AO$4001,0),"")</f>
        <v/>
      </c>
      <c r="AB77" s="14">
        <f>IF($AA77="","",L77-K77*Y77/100)</f>
        <v/>
      </c>
    </row>
    <row r="78">
      <c r="A78" s="12" t="n"/>
      <c r="B78">
        <f>IF($AA78="","",INDEX('Per Line'!$E$2:$E$4001,$AA78)&amp;"")</f>
        <v/>
      </c>
      <c r="C78">
        <f>IF($AA78="","",INDEX('Per Line'!$A$2:$A$4001,$AA78)&amp;"")</f>
        <v/>
      </c>
      <c r="D78">
        <f>IF($AA78="","",INDEX('Per Line'!$D$2:$D$4001,$AA78)&amp;"")</f>
        <v/>
      </c>
      <c r="E78" s="11">
        <f>IF($AA78="","",INDEX('Per Line'!$G$2:$G$4001,$AA78))</f>
        <v/>
      </c>
      <c r="F78">
        <f>IF($AA78="","",INDEX('Per Line'!$H$2:$H$4001,$AA78)&amp;"")</f>
        <v/>
      </c>
      <c r="G78">
        <f>IF($AA78="","",INDEX('Per Line'!$I$2:$I$4001,$AA78)&amp;"")</f>
        <v/>
      </c>
      <c r="H78">
        <f>IF($AA78="","",INDEX('Per Line'!$J$2:$J$4001,$AA78)&amp;"")</f>
        <v/>
      </c>
      <c r="I78">
        <f>IF($AA78="","",INDEX('Per Line'!$K$2:$K$4001,$AA78)&amp;"")</f>
        <v/>
      </c>
      <c r="J78">
        <f>IF($AA78="","",INDEX('Per Line'!$L$2:$L$4001,$AA78)&amp;"")</f>
        <v/>
      </c>
      <c r="K78">
        <f>IF($AA78="","",INDEX('Per Line'!$P$2:$P$4001,$AA78))</f>
        <v/>
      </c>
      <c r="L78" s="7">
        <f>IF($AA78="","",IF(AND(ISNUMBER(N78),N78&gt;0,Y78&gt;N78),K78*N78/100+(Y78-N78),K78*Y78/100))</f>
        <v/>
      </c>
      <c r="M78">
        <f>IF($AA78="","",INDEX('Per Line'!$Z$2:$Z$4001,$AA78)&amp;"")</f>
        <v/>
      </c>
      <c r="N78">
        <f>IF($AA78="","",INDEX('Per Line'!$AG$2:$AG$4001,$AA78))</f>
        <v/>
      </c>
      <c r="O78">
        <f>IF($AA78="","",IF(AND(ISNUMBER(N78),N78&gt;0),Y78&gt;N78,FALSE))</f>
        <v/>
      </c>
      <c r="P78" s="7">
        <f>IF($AA78="","",SUMIFS('Per Line'!$Y$2:$Y$4001,'Per Line'!$E$2:$E$4001,$B78,'Per Line'!$AQ$2:$AQ$4001,1))</f>
        <v/>
      </c>
      <c r="Q78">
        <f>IF($AA78="","",Settings!$C$7)</f>
        <v/>
      </c>
      <c r="R78" s="7">
        <f>IF($AA78="","",SUMIFS('Per Line'!$Y$2:$Y$4001,'Per Line'!$E$2:$E$4001,$B78,'Per Line'!$AP$2:$AP$4001,0,'Per Line'!$AQ$2:$AQ$4001,0))</f>
        <v/>
      </c>
      <c r="S78" s="7">
        <f>IF($AA78="","",R78*Q78)</f>
        <v/>
      </c>
      <c r="T78">
        <f>IF($AA78="","",Settings!$C$6)</f>
        <v/>
      </c>
      <c r="U78" s="7">
        <f>IF($AA78="","",SUMIFS('Per Line'!$Y$2:$Y$4001,'Per Line'!$E$2:$E$4001,$B78,'Per Line'!$AP$2:$AP$4001,1,'Per Line'!$AQ$2:$AQ$4001,0))</f>
        <v/>
      </c>
      <c r="V78" s="7">
        <f>IF($AA78="","",U78*T78)</f>
        <v/>
      </c>
      <c r="W78" s="7">
        <f>IF($AA78="","",V78+S78)</f>
        <v/>
      </c>
      <c r="X78" s="7">
        <f>IF($AA78="","",Y78-W78)</f>
        <v/>
      </c>
      <c r="Y78" s="7">
        <f>IF($AA78="","",R78+U78+P78)</f>
        <v/>
      </c>
      <c r="Z78" s="7">
        <f>IF($AA78="","",Y78-W78-L78)</f>
        <v/>
      </c>
      <c r="AA78" s="13">
        <f>IF(ROWS($AA$2:$AA78)&lt;=MAX('Per Line'!$AO$2:$AO$4001),MATCH(ROWS($AA$2:$AA78),'Per Line'!$AO$2:$AO$4001,0),"")</f>
        <v/>
      </c>
      <c r="AB78" s="14">
        <f>IF($AA78="","",L78-K78*Y78/100)</f>
        <v/>
      </c>
    </row>
    <row r="79">
      <c r="A79" s="12" t="n"/>
      <c r="B79">
        <f>IF($AA79="","",INDEX('Per Line'!$E$2:$E$4001,$AA79)&amp;"")</f>
        <v/>
      </c>
      <c r="C79">
        <f>IF($AA79="","",INDEX('Per Line'!$A$2:$A$4001,$AA79)&amp;"")</f>
        <v/>
      </c>
      <c r="D79">
        <f>IF($AA79="","",INDEX('Per Line'!$D$2:$D$4001,$AA79)&amp;"")</f>
        <v/>
      </c>
      <c r="E79" s="11">
        <f>IF($AA79="","",INDEX('Per Line'!$G$2:$G$4001,$AA79))</f>
        <v/>
      </c>
      <c r="F79">
        <f>IF($AA79="","",INDEX('Per Line'!$H$2:$H$4001,$AA79)&amp;"")</f>
        <v/>
      </c>
      <c r="G79">
        <f>IF($AA79="","",INDEX('Per Line'!$I$2:$I$4001,$AA79)&amp;"")</f>
        <v/>
      </c>
      <c r="H79">
        <f>IF($AA79="","",INDEX('Per Line'!$J$2:$J$4001,$AA79)&amp;"")</f>
        <v/>
      </c>
      <c r="I79">
        <f>IF($AA79="","",INDEX('Per Line'!$K$2:$K$4001,$AA79)&amp;"")</f>
        <v/>
      </c>
      <c r="J79">
        <f>IF($AA79="","",INDEX('Per Line'!$L$2:$L$4001,$AA79)&amp;"")</f>
        <v/>
      </c>
      <c r="K79">
        <f>IF($AA79="","",INDEX('Per Line'!$P$2:$P$4001,$AA79))</f>
        <v/>
      </c>
      <c r="L79" s="7">
        <f>IF($AA79="","",IF(AND(ISNUMBER(N79),N79&gt;0,Y79&gt;N79),K79*N79/100+(Y79-N79),K79*Y79/100))</f>
        <v/>
      </c>
      <c r="M79">
        <f>IF($AA79="","",INDEX('Per Line'!$Z$2:$Z$4001,$AA79)&amp;"")</f>
        <v/>
      </c>
      <c r="N79">
        <f>IF($AA79="","",INDEX('Per Line'!$AG$2:$AG$4001,$AA79))</f>
        <v/>
      </c>
      <c r="O79">
        <f>IF($AA79="","",IF(AND(ISNUMBER(N79),N79&gt;0),Y79&gt;N79,FALSE))</f>
        <v/>
      </c>
      <c r="P79" s="7">
        <f>IF($AA79="","",SUMIFS('Per Line'!$Y$2:$Y$4001,'Per Line'!$E$2:$E$4001,$B79,'Per Line'!$AQ$2:$AQ$4001,1))</f>
        <v/>
      </c>
      <c r="Q79">
        <f>IF($AA79="","",Settings!$C$7)</f>
        <v/>
      </c>
      <c r="R79" s="7">
        <f>IF($AA79="","",SUMIFS('Per Line'!$Y$2:$Y$4001,'Per Line'!$E$2:$E$4001,$B79,'Per Line'!$AP$2:$AP$4001,0,'Per Line'!$AQ$2:$AQ$4001,0))</f>
        <v/>
      </c>
      <c r="S79" s="7">
        <f>IF($AA79="","",R79*Q79)</f>
        <v/>
      </c>
      <c r="T79">
        <f>IF($AA79="","",Settings!$C$6)</f>
        <v/>
      </c>
      <c r="U79" s="7">
        <f>IF($AA79="","",SUMIFS('Per Line'!$Y$2:$Y$4001,'Per Line'!$E$2:$E$4001,$B79,'Per Line'!$AP$2:$AP$4001,1,'Per Line'!$AQ$2:$AQ$4001,0))</f>
        <v/>
      </c>
      <c r="V79" s="7">
        <f>IF($AA79="","",U79*T79)</f>
        <v/>
      </c>
      <c r="W79" s="7">
        <f>IF($AA79="","",V79+S79)</f>
        <v/>
      </c>
      <c r="X79" s="7">
        <f>IF($AA79="","",Y79-W79)</f>
        <v/>
      </c>
      <c r="Y79" s="7">
        <f>IF($AA79="","",R79+U79+P79)</f>
        <v/>
      </c>
      <c r="Z79" s="7">
        <f>IF($AA79="","",Y79-W79-L79)</f>
        <v/>
      </c>
      <c r="AA79" s="13">
        <f>IF(ROWS($AA$2:$AA79)&lt;=MAX('Per Line'!$AO$2:$AO$4001),MATCH(ROWS($AA$2:$AA79),'Per Line'!$AO$2:$AO$4001,0),"")</f>
        <v/>
      </c>
      <c r="AB79" s="14">
        <f>IF($AA79="","",L79-K79*Y79/100)</f>
        <v/>
      </c>
    </row>
    <row r="80">
      <c r="A80" s="12" t="n"/>
      <c r="B80">
        <f>IF($AA80="","",INDEX('Per Line'!$E$2:$E$4001,$AA80)&amp;"")</f>
        <v/>
      </c>
      <c r="C80">
        <f>IF($AA80="","",INDEX('Per Line'!$A$2:$A$4001,$AA80)&amp;"")</f>
        <v/>
      </c>
      <c r="D80">
        <f>IF($AA80="","",INDEX('Per Line'!$D$2:$D$4001,$AA80)&amp;"")</f>
        <v/>
      </c>
      <c r="E80" s="11">
        <f>IF($AA80="","",INDEX('Per Line'!$G$2:$G$4001,$AA80))</f>
        <v/>
      </c>
      <c r="F80">
        <f>IF($AA80="","",INDEX('Per Line'!$H$2:$H$4001,$AA80)&amp;"")</f>
        <v/>
      </c>
      <c r="G80">
        <f>IF($AA80="","",INDEX('Per Line'!$I$2:$I$4001,$AA80)&amp;"")</f>
        <v/>
      </c>
      <c r="H80">
        <f>IF($AA80="","",INDEX('Per Line'!$J$2:$J$4001,$AA80)&amp;"")</f>
        <v/>
      </c>
      <c r="I80">
        <f>IF($AA80="","",INDEX('Per Line'!$K$2:$K$4001,$AA80)&amp;"")</f>
        <v/>
      </c>
      <c r="J80">
        <f>IF($AA80="","",INDEX('Per Line'!$L$2:$L$4001,$AA80)&amp;"")</f>
        <v/>
      </c>
      <c r="K80">
        <f>IF($AA80="","",INDEX('Per Line'!$P$2:$P$4001,$AA80))</f>
        <v/>
      </c>
      <c r="L80" s="7">
        <f>IF($AA80="","",IF(AND(ISNUMBER(N80),N80&gt;0,Y80&gt;N80),K80*N80/100+(Y80-N80),K80*Y80/100))</f>
        <v/>
      </c>
      <c r="M80">
        <f>IF($AA80="","",INDEX('Per Line'!$Z$2:$Z$4001,$AA80)&amp;"")</f>
        <v/>
      </c>
      <c r="N80">
        <f>IF($AA80="","",INDEX('Per Line'!$AG$2:$AG$4001,$AA80))</f>
        <v/>
      </c>
      <c r="O80">
        <f>IF($AA80="","",IF(AND(ISNUMBER(N80),N80&gt;0),Y80&gt;N80,FALSE))</f>
        <v/>
      </c>
      <c r="P80" s="7">
        <f>IF($AA80="","",SUMIFS('Per Line'!$Y$2:$Y$4001,'Per Line'!$E$2:$E$4001,$B80,'Per Line'!$AQ$2:$AQ$4001,1))</f>
        <v/>
      </c>
      <c r="Q80">
        <f>IF($AA80="","",Settings!$C$7)</f>
        <v/>
      </c>
      <c r="R80" s="7">
        <f>IF($AA80="","",SUMIFS('Per Line'!$Y$2:$Y$4001,'Per Line'!$E$2:$E$4001,$B80,'Per Line'!$AP$2:$AP$4001,0,'Per Line'!$AQ$2:$AQ$4001,0))</f>
        <v/>
      </c>
      <c r="S80" s="7">
        <f>IF($AA80="","",R80*Q80)</f>
        <v/>
      </c>
      <c r="T80">
        <f>IF($AA80="","",Settings!$C$6)</f>
        <v/>
      </c>
      <c r="U80" s="7">
        <f>IF($AA80="","",SUMIFS('Per Line'!$Y$2:$Y$4001,'Per Line'!$E$2:$E$4001,$B80,'Per Line'!$AP$2:$AP$4001,1,'Per Line'!$AQ$2:$AQ$4001,0))</f>
        <v/>
      </c>
      <c r="V80" s="7">
        <f>IF($AA80="","",U80*T80)</f>
        <v/>
      </c>
      <c r="W80" s="7">
        <f>IF($AA80="","",V80+S80)</f>
        <v/>
      </c>
      <c r="X80" s="7">
        <f>IF($AA80="","",Y80-W80)</f>
        <v/>
      </c>
      <c r="Y80" s="7">
        <f>IF($AA80="","",R80+U80+P80)</f>
        <v/>
      </c>
      <c r="Z80" s="7">
        <f>IF($AA80="","",Y80-W80-L80)</f>
        <v/>
      </c>
      <c r="AA80" s="13">
        <f>IF(ROWS($AA$2:$AA80)&lt;=MAX('Per Line'!$AO$2:$AO$4001),MATCH(ROWS($AA$2:$AA80),'Per Line'!$AO$2:$AO$4001,0),"")</f>
        <v/>
      </c>
      <c r="AB80" s="14">
        <f>IF($AA80="","",L80-K80*Y80/100)</f>
        <v/>
      </c>
    </row>
    <row r="81">
      <c r="A81" s="12" t="n"/>
      <c r="B81">
        <f>IF($AA81="","",INDEX('Per Line'!$E$2:$E$4001,$AA81)&amp;"")</f>
        <v/>
      </c>
      <c r="C81">
        <f>IF($AA81="","",INDEX('Per Line'!$A$2:$A$4001,$AA81)&amp;"")</f>
        <v/>
      </c>
      <c r="D81">
        <f>IF($AA81="","",INDEX('Per Line'!$D$2:$D$4001,$AA81)&amp;"")</f>
        <v/>
      </c>
      <c r="E81" s="11">
        <f>IF($AA81="","",INDEX('Per Line'!$G$2:$G$4001,$AA81))</f>
        <v/>
      </c>
      <c r="F81">
        <f>IF($AA81="","",INDEX('Per Line'!$H$2:$H$4001,$AA81)&amp;"")</f>
        <v/>
      </c>
      <c r="G81">
        <f>IF($AA81="","",INDEX('Per Line'!$I$2:$I$4001,$AA81)&amp;"")</f>
        <v/>
      </c>
      <c r="H81">
        <f>IF($AA81="","",INDEX('Per Line'!$J$2:$J$4001,$AA81)&amp;"")</f>
        <v/>
      </c>
      <c r="I81">
        <f>IF($AA81="","",INDEX('Per Line'!$K$2:$K$4001,$AA81)&amp;"")</f>
        <v/>
      </c>
      <c r="J81">
        <f>IF($AA81="","",INDEX('Per Line'!$L$2:$L$4001,$AA81)&amp;"")</f>
        <v/>
      </c>
      <c r="K81">
        <f>IF($AA81="","",INDEX('Per Line'!$P$2:$P$4001,$AA81))</f>
        <v/>
      </c>
      <c r="L81" s="7">
        <f>IF($AA81="","",IF(AND(ISNUMBER(N81),N81&gt;0,Y81&gt;N81),K81*N81/100+(Y81-N81),K81*Y81/100))</f>
        <v/>
      </c>
      <c r="M81">
        <f>IF($AA81="","",INDEX('Per Line'!$Z$2:$Z$4001,$AA81)&amp;"")</f>
        <v/>
      </c>
      <c r="N81">
        <f>IF($AA81="","",INDEX('Per Line'!$AG$2:$AG$4001,$AA81))</f>
        <v/>
      </c>
      <c r="O81">
        <f>IF($AA81="","",IF(AND(ISNUMBER(N81),N81&gt;0),Y81&gt;N81,FALSE))</f>
        <v/>
      </c>
      <c r="P81" s="7">
        <f>IF($AA81="","",SUMIFS('Per Line'!$Y$2:$Y$4001,'Per Line'!$E$2:$E$4001,$B81,'Per Line'!$AQ$2:$AQ$4001,1))</f>
        <v/>
      </c>
      <c r="Q81">
        <f>IF($AA81="","",Settings!$C$7)</f>
        <v/>
      </c>
      <c r="R81" s="7">
        <f>IF($AA81="","",SUMIFS('Per Line'!$Y$2:$Y$4001,'Per Line'!$E$2:$E$4001,$B81,'Per Line'!$AP$2:$AP$4001,0,'Per Line'!$AQ$2:$AQ$4001,0))</f>
        <v/>
      </c>
      <c r="S81" s="7">
        <f>IF($AA81="","",R81*Q81)</f>
        <v/>
      </c>
      <c r="T81">
        <f>IF($AA81="","",Settings!$C$6)</f>
        <v/>
      </c>
      <c r="U81" s="7">
        <f>IF($AA81="","",SUMIFS('Per Line'!$Y$2:$Y$4001,'Per Line'!$E$2:$E$4001,$B81,'Per Line'!$AP$2:$AP$4001,1,'Per Line'!$AQ$2:$AQ$4001,0))</f>
        <v/>
      </c>
      <c r="V81" s="7">
        <f>IF($AA81="","",U81*T81)</f>
        <v/>
      </c>
      <c r="W81" s="7">
        <f>IF($AA81="","",V81+S81)</f>
        <v/>
      </c>
      <c r="X81" s="7">
        <f>IF($AA81="","",Y81-W81)</f>
        <v/>
      </c>
      <c r="Y81" s="7">
        <f>IF($AA81="","",R81+U81+P81)</f>
        <v/>
      </c>
      <c r="Z81" s="7">
        <f>IF($AA81="","",Y81-W81-L81)</f>
        <v/>
      </c>
      <c r="AA81" s="13">
        <f>IF(ROWS($AA$2:$AA81)&lt;=MAX('Per Line'!$AO$2:$AO$4001),MATCH(ROWS($AA$2:$AA81),'Per Line'!$AO$2:$AO$4001,0),"")</f>
        <v/>
      </c>
      <c r="AB81" s="14">
        <f>IF($AA81="","",L81-K81*Y81/100)</f>
        <v/>
      </c>
    </row>
    <row r="82">
      <c r="A82" s="12" t="n"/>
      <c r="B82">
        <f>IF($AA82="","",INDEX('Per Line'!$E$2:$E$4001,$AA82)&amp;"")</f>
        <v/>
      </c>
      <c r="C82">
        <f>IF($AA82="","",INDEX('Per Line'!$A$2:$A$4001,$AA82)&amp;"")</f>
        <v/>
      </c>
      <c r="D82">
        <f>IF($AA82="","",INDEX('Per Line'!$D$2:$D$4001,$AA82)&amp;"")</f>
        <v/>
      </c>
      <c r="E82" s="11">
        <f>IF($AA82="","",INDEX('Per Line'!$G$2:$G$4001,$AA82))</f>
        <v/>
      </c>
      <c r="F82">
        <f>IF($AA82="","",INDEX('Per Line'!$H$2:$H$4001,$AA82)&amp;"")</f>
        <v/>
      </c>
      <c r="G82">
        <f>IF($AA82="","",INDEX('Per Line'!$I$2:$I$4001,$AA82)&amp;"")</f>
        <v/>
      </c>
      <c r="H82">
        <f>IF($AA82="","",INDEX('Per Line'!$J$2:$J$4001,$AA82)&amp;"")</f>
        <v/>
      </c>
      <c r="I82">
        <f>IF($AA82="","",INDEX('Per Line'!$K$2:$K$4001,$AA82)&amp;"")</f>
        <v/>
      </c>
      <c r="J82">
        <f>IF($AA82="","",INDEX('Per Line'!$L$2:$L$4001,$AA82)&amp;"")</f>
        <v/>
      </c>
      <c r="K82">
        <f>IF($AA82="","",INDEX('Per Line'!$P$2:$P$4001,$AA82))</f>
        <v/>
      </c>
      <c r="L82" s="7">
        <f>IF($AA82="","",IF(AND(ISNUMBER(N82),N82&gt;0,Y82&gt;N82),K82*N82/100+(Y82-N82),K82*Y82/100))</f>
        <v/>
      </c>
      <c r="M82">
        <f>IF($AA82="","",INDEX('Per Line'!$Z$2:$Z$4001,$AA82)&amp;"")</f>
        <v/>
      </c>
      <c r="N82">
        <f>IF($AA82="","",INDEX('Per Line'!$AG$2:$AG$4001,$AA82))</f>
        <v/>
      </c>
      <c r="O82">
        <f>IF($AA82="","",IF(AND(ISNUMBER(N82),N82&gt;0),Y82&gt;N82,FALSE))</f>
        <v/>
      </c>
      <c r="P82" s="7">
        <f>IF($AA82="","",SUMIFS('Per Line'!$Y$2:$Y$4001,'Per Line'!$E$2:$E$4001,$B82,'Per Line'!$AQ$2:$AQ$4001,1))</f>
        <v/>
      </c>
      <c r="Q82">
        <f>IF($AA82="","",Settings!$C$7)</f>
        <v/>
      </c>
      <c r="R82" s="7">
        <f>IF($AA82="","",SUMIFS('Per Line'!$Y$2:$Y$4001,'Per Line'!$E$2:$E$4001,$B82,'Per Line'!$AP$2:$AP$4001,0,'Per Line'!$AQ$2:$AQ$4001,0))</f>
        <v/>
      </c>
      <c r="S82" s="7">
        <f>IF($AA82="","",R82*Q82)</f>
        <v/>
      </c>
      <c r="T82">
        <f>IF($AA82="","",Settings!$C$6)</f>
        <v/>
      </c>
      <c r="U82" s="7">
        <f>IF($AA82="","",SUMIFS('Per Line'!$Y$2:$Y$4001,'Per Line'!$E$2:$E$4001,$B82,'Per Line'!$AP$2:$AP$4001,1,'Per Line'!$AQ$2:$AQ$4001,0))</f>
        <v/>
      </c>
      <c r="V82" s="7">
        <f>IF($AA82="","",U82*T82)</f>
        <v/>
      </c>
      <c r="W82" s="7">
        <f>IF($AA82="","",V82+S82)</f>
        <v/>
      </c>
      <c r="X82" s="7">
        <f>IF($AA82="","",Y82-W82)</f>
        <v/>
      </c>
      <c r="Y82" s="7">
        <f>IF($AA82="","",R82+U82+P82)</f>
        <v/>
      </c>
      <c r="Z82" s="7">
        <f>IF($AA82="","",Y82-W82-L82)</f>
        <v/>
      </c>
      <c r="AA82" s="13">
        <f>IF(ROWS($AA$2:$AA82)&lt;=MAX('Per Line'!$AO$2:$AO$4001),MATCH(ROWS($AA$2:$AA82),'Per Line'!$AO$2:$AO$4001,0),"")</f>
        <v/>
      </c>
      <c r="AB82" s="14">
        <f>IF($AA82="","",L82-K82*Y82/100)</f>
        <v/>
      </c>
    </row>
    <row r="83">
      <c r="A83" s="12" t="n"/>
      <c r="B83">
        <f>IF($AA83="","",INDEX('Per Line'!$E$2:$E$4001,$AA83)&amp;"")</f>
        <v/>
      </c>
      <c r="C83">
        <f>IF($AA83="","",INDEX('Per Line'!$A$2:$A$4001,$AA83)&amp;"")</f>
        <v/>
      </c>
      <c r="D83">
        <f>IF($AA83="","",INDEX('Per Line'!$D$2:$D$4001,$AA83)&amp;"")</f>
        <v/>
      </c>
      <c r="E83" s="11">
        <f>IF($AA83="","",INDEX('Per Line'!$G$2:$G$4001,$AA83))</f>
        <v/>
      </c>
      <c r="F83">
        <f>IF($AA83="","",INDEX('Per Line'!$H$2:$H$4001,$AA83)&amp;"")</f>
        <v/>
      </c>
      <c r="G83">
        <f>IF($AA83="","",INDEX('Per Line'!$I$2:$I$4001,$AA83)&amp;"")</f>
        <v/>
      </c>
      <c r="H83">
        <f>IF($AA83="","",INDEX('Per Line'!$J$2:$J$4001,$AA83)&amp;"")</f>
        <v/>
      </c>
      <c r="I83">
        <f>IF($AA83="","",INDEX('Per Line'!$K$2:$K$4001,$AA83)&amp;"")</f>
        <v/>
      </c>
      <c r="J83">
        <f>IF($AA83="","",INDEX('Per Line'!$L$2:$L$4001,$AA83)&amp;"")</f>
        <v/>
      </c>
      <c r="K83">
        <f>IF($AA83="","",INDEX('Per Line'!$P$2:$P$4001,$AA83))</f>
        <v/>
      </c>
      <c r="L83" s="7">
        <f>IF($AA83="","",IF(AND(ISNUMBER(N83),N83&gt;0,Y83&gt;N83),K83*N83/100+(Y83-N83),K83*Y83/100))</f>
        <v/>
      </c>
      <c r="M83">
        <f>IF($AA83="","",INDEX('Per Line'!$Z$2:$Z$4001,$AA83)&amp;"")</f>
        <v/>
      </c>
      <c r="N83">
        <f>IF($AA83="","",INDEX('Per Line'!$AG$2:$AG$4001,$AA83))</f>
        <v/>
      </c>
      <c r="O83">
        <f>IF($AA83="","",IF(AND(ISNUMBER(N83),N83&gt;0),Y83&gt;N83,FALSE))</f>
        <v/>
      </c>
      <c r="P83" s="7">
        <f>IF($AA83="","",SUMIFS('Per Line'!$Y$2:$Y$4001,'Per Line'!$E$2:$E$4001,$B83,'Per Line'!$AQ$2:$AQ$4001,1))</f>
        <v/>
      </c>
      <c r="Q83">
        <f>IF($AA83="","",Settings!$C$7)</f>
        <v/>
      </c>
      <c r="R83" s="7">
        <f>IF($AA83="","",SUMIFS('Per Line'!$Y$2:$Y$4001,'Per Line'!$E$2:$E$4001,$B83,'Per Line'!$AP$2:$AP$4001,0,'Per Line'!$AQ$2:$AQ$4001,0))</f>
        <v/>
      </c>
      <c r="S83" s="7">
        <f>IF($AA83="","",R83*Q83)</f>
        <v/>
      </c>
      <c r="T83">
        <f>IF($AA83="","",Settings!$C$6)</f>
        <v/>
      </c>
      <c r="U83" s="7">
        <f>IF($AA83="","",SUMIFS('Per Line'!$Y$2:$Y$4001,'Per Line'!$E$2:$E$4001,$B83,'Per Line'!$AP$2:$AP$4001,1,'Per Line'!$AQ$2:$AQ$4001,0))</f>
        <v/>
      </c>
      <c r="V83" s="7">
        <f>IF($AA83="","",U83*T83)</f>
        <v/>
      </c>
      <c r="W83" s="7">
        <f>IF($AA83="","",V83+S83)</f>
        <v/>
      </c>
      <c r="X83" s="7">
        <f>IF($AA83="","",Y83-W83)</f>
        <v/>
      </c>
      <c r="Y83" s="7">
        <f>IF($AA83="","",R83+U83+P83)</f>
        <v/>
      </c>
      <c r="Z83" s="7">
        <f>IF($AA83="","",Y83-W83-L83)</f>
        <v/>
      </c>
      <c r="AA83" s="13">
        <f>IF(ROWS($AA$2:$AA83)&lt;=MAX('Per Line'!$AO$2:$AO$4001),MATCH(ROWS($AA$2:$AA83),'Per Line'!$AO$2:$AO$4001,0),"")</f>
        <v/>
      </c>
      <c r="AB83" s="14">
        <f>IF($AA83="","",L83-K83*Y83/100)</f>
        <v/>
      </c>
    </row>
    <row r="84">
      <c r="A84" s="12" t="n"/>
      <c r="B84">
        <f>IF($AA84="","",INDEX('Per Line'!$E$2:$E$4001,$AA84)&amp;"")</f>
        <v/>
      </c>
      <c r="C84">
        <f>IF($AA84="","",INDEX('Per Line'!$A$2:$A$4001,$AA84)&amp;"")</f>
        <v/>
      </c>
      <c r="D84">
        <f>IF($AA84="","",INDEX('Per Line'!$D$2:$D$4001,$AA84)&amp;"")</f>
        <v/>
      </c>
      <c r="E84" s="11">
        <f>IF($AA84="","",INDEX('Per Line'!$G$2:$G$4001,$AA84))</f>
        <v/>
      </c>
      <c r="F84">
        <f>IF($AA84="","",INDEX('Per Line'!$H$2:$H$4001,$AA84)&amp;"")</f>
        <v/>
      </c>
      <c r="G84">
        <f>IF($AA84="","",INDEX('Per Line'!$I$2:$I$4001,$AA84)&amp;"")</f>
        <v/>
      </c>
      <c r="H84">
        <f>IF($AA84="","",INDEX('Per Line'!$J$2:$J$4001,$AA84)&amp;"")</f>
        <v/>
      </c>
      <c r="I84">
        <f>IF($AA84="","",INDEX('Per Line'!$K$2:$K$4001,$AA84)&amp;"")</f>
        <v/>
      </c>
      <c r="J84">
        <f>IF($AA84="","",INDEX('Per Line'!$L$2:$L$4001,$AA84)&amp;"")</f>
        <v/>
      </c>
      <c r="K84">
        <f>IF($AA84="","",INDEX('Per Line'!$P$2:$P$4001,$AA84))</f>
        <v/>
      </c>
      <c r="L84" s="7">
        <f>IF($AA84="","",IF(AND(ISNUMBER(N84),N84&gt;0,Y84&gt;N84),K84*N84/100+(Y84-N84),K84*Y84/100))</f>
        <v/>
      </c>
      <c r="M84">
        <f>IF($AA84="","",INDEX('Per Line'!$Z$2:$Z$4001,$AA84)&amp;"")</f>
        <v/>
      </c>
      <c r="N84">
        <f>IF($AA84="","",INDEX('Per Line'!$AG$2:$AG$4001,$AA84))</f>
        <v/>
      </c>
      <c r="O84">
        <f>IF($AA84="","",IF(AND(ISNUMBER(N84),N84&gt;0),Y84&gt;N84,FALSE))</f>
        <v/>
      </c>
      <c r="P84" s="7">
        <f>IF($AA84="","",SUMIFS('Per Line'!$Y$2:$Y$4001,'Per Line'!$E$2:$E$4001,$B84,'Per Line'!$AQ$2:$AQ$4001,1))</f>
        <v/>
      </c>
      <c r="Q84">
        <f>IF($AA84="","",Settings!$C$7)</f>
        <v/>
      </c>
      <c r="R84" s="7">
        <f>IF($AA84="","",SUMIFS('Per Line'!$Y$2:$Y$4001,'Per Line'!$E$2:$E$4001,$B84,'Per Line'!$AP$2:$AP$4001,0,'Per Line'!$AQ$2:$AQ$4001,0))</f>
        <v/>
      </c>
      <c r="S84" s="7">
        <f>IF($AA84="","",R84*Q84)</f>
        <v/>
      </c>
      <c r="T84">
        <f>IF($AA84="","",Settings!$C$6)</f>
        <v/>
      </c>
      <c r="U84" s="7">
        <f>IF($AA84="","",SUMIFS('Per Line'!$Y$2:$Y$4001,'Per Line'!$E$2:$E$4001,$B84,'Per Line'!$AP$2:$AP$4001,1,'Per Line'!$AQ$2:$AQ$4001,0))</f>
        <v/>
      </c>
      <c r="V84" s="7">
        <f>IF($AA84="","",U84*T84)</f>
        <v/>
      </c>
      <c r="W84" s="7">
        <f>IF($AA84="","",V84+S84)</f>
        <v/>
      </c>
      <c r="X84" s="7">
        <f>IF($AA84="","",Y84-W84)</f>
        <v/>
      </c>
      <c r="Y84" s="7">
        <f>IF($AA84="","",R84+U84+P84)</f>
        <v/>
      </c>
      <c r="Z84" s="7">
        <f>IF($AA84="","",Y84-W84-L84)</f>
        <v/>
      </c>
      <c r="AA84" s="13">
        <f>IF(ROWS($AA$2:$AA84)&lt;=MAX('Per Line'!$AO$2:$AO$4001),MATCH(ROWS($AA$2:$AA84),'Per Line'!$AO$2:$AO$4001,0),"")</f>
        <v/>
      </c>
      <c r="AB84" s="14">
        <f>IF($AA84="","",L84-K84*Y84/100)</f>
        <v/>
      </c>
    </row>
    <row r="85">
      <c r="A85" s="12" t="n"/>
      <c r="B85">
        <f>IF($AA85="","",INDEX('Per Line'!$E$2:$E$4001,$AA85)&amp;"")</f>
        <v/>
      </c>
      <c r="C85">
        <f>IF($AA85="","",INDEX('Per Line'!$A$2:$A$4001,$AA85)&amp;"")</f>
        <v/>
      </c>
      <c r="D85">
        <f>IF($AA85="","",INDEX('Per Line'!$D$2:$D$4001,$AA85)&amp;"")</f>
        <v/>
      </c>
      <c r="E85" s="11">
        <f>IF($AA85="","",INDEX('Per Line'!$G$2:$G$4001,$AA85))</f>
        <v/>
      </c>
      <c r="F85">
        <f>IF($AA85="","",INDEX('Per Line'!$H$2:$H$4001,$AA85)&amp;"")</f>
        <v/>
      </c>
      <c r="G85">
        <f>IF($AA85="","",INDEX('Per Line'!$I$2:$I$4001,$AA85)&amp;"")</f>
        <v/>
      </c>
      <c r="H85">
        <f>IF($AA85="","",INDEX('Per Line'!$J$2:$J$4001,$AA85)&amp;"")</f>
        <v/>
      </c>
      <c r="I85">
        <f>IF($AA85="","",INDEX('Per Line'!$K$2:$K$4001,$AA85)&amp;"")</f>
        <v/>
      </c>
      <c r="J85">
        <f>IF($AA85="","",INDEX('Per Line'!$L$2:$L$4001,$AA85)&amp;"")</f>
        <v/>
      </c>
      <c r="K85">
        <f>IF($AA85="","",INDEX('Per Line'!$P$2:$P$4001,$AA85))</f>
        <v/>
      </c>
      <c r="L85" s="7">
        <f>IF($AA85="","",IF(AND(ISNUMBER(N85),N85&gt;0,Y85&gt;N85),K85*N85/100+(Y85-N85),K85*Y85/100))</f>
        <v/>
      </c>
      <c r="M85">
        <f>IF($AA85="","",INDEX('Per Line'!$Z$2:$Z$4001,$AA85)&amp;"")</f>
        <v/>
      </c>
      <c r="N85">
        <f>IF($AA85="","",INDEX('Per Line'!$AG$2:$AG$4001,$AA85))</f>
        <v/>
      </c>
      <c r="O85">
        <f>IF($AA85="","",IF(AND(ISNUMBER(N85),N85&gt;0),Y85&gt;N85,FALSE))</f>
        <v/>
      </c>
      <c r="P85" s="7">
        <f>IF($AA85="","",SUMIFS('Per Line'!$Y$2:$Y$4001,'Per Line'!$E$2:$E$4001,$B85,'Per Line'!$AQ$2:$AQ$4001,1))</f>
        <v/>
      </c>
      <c r="Q85">
        <f>IF($AA85="","",Settings!$C$7)</f>
        <v/>
      </c>
      <c r="R85" s="7">
        <f>IF($AA85="","",SUMIFS('Per Line'!$Y$2:$Y$4001,'Per Line'!$E$2:$E$4001,$B85,'Per Line'!$AP$2:$AP$4001,0,'Per Line'!$AQ$2:$AQ$4001,0))</f>
        <v/>
      </c>
      <c r="S85" s="7">
        <f>IF($AA85="","",R85*Q85)</f>
        <v/>
      </c>
      <c r="T85">
        <f>IF($AA85="","",Settings!$C$6)</f>
        <v/>
      </c>
      <c r="U85" s="7">
        <f>IF($AA85="","",SUMIFS('Per Line'!$Y$2:$Y$4001,'Per Line'!$E$2:$E$4001,$B85,'Per Line'!$AP$2:$AP$4001,1,'Per Line'!$AQ$2:$AQ$4001,0))</f>
        <v/>
      </c>
      <c r="V85" s="7">
        <f>IF($AA85="","",U85*T85)</f>
        <v/>
      </c>
      <c r="W85" s="7">
        <f>IF($AA85="","",V85+S85)</f>
        <v/>
      </c>
      <c r="X85" s="7">
        <f>IF($AA85="","",Y85-W85)</f>
        <v/>
      </c>
      <c r="Y85" s="7">
        <f>IF($AA85="","",R85+U85+P85)</f>
        <v/>
      </c>
      <c r="Z85" s="7">
        <f>IF($AA85="","",Y85-W85-L85)</f>
        <v/>
      </c>
      <c r="AA85" s="13">
        <f>IF(ROWS($AA$2:$AA85)&lt;=MAX('Per Line'!$AO$2:$AO$4001),MATCH(ROWS($AA$2:$AA85),'Per Line'!$AO$2:$AO$4001,0),"")</f>
        <v/>
      </c>
      <c r="AB85" s="14">
        <f>IF($AA85="","",L85-K85*Y85/100)</f>
        <v/>
      </c>
    </row>
    <row r="86">
      <c r="A86" s="12" t="n"/>
      <c r="B86">
        <f>IF($AA86="","",INDEX('Per Line'!$E$2:$E$4001,$AA86)&amp;"")</f>
        <v/>
      </c>
      <c r="C86">
        <f>IF($AA86="","",INDEX('Per Line'!$A$2:$A$4001,$AA86)&amp;"")</f>
        <v/>
      </c>
      <c r="D86">
        <f>IF($AA86="","",INDEX('Per Line'!$D$2:$D$4001,$AA86)&amp;"")</f>
        <v/>
      </c>
      <c r="E86" s="11">
        <f>IF($AA86="","",INDEX('Per Line'!$G$2:$G$4001,$AA86))</f>
        <v/>
      </c>
      <c r="F86">
        <f>IF($AA86="","",INDEX('Per Line'!$H$2:$H$4001,$AA86)&amp;"")</f>
        <v/>
      </c>
      <c r="G86">
        <f>IF($AA86="","",INDEX('Per Line'!$I$2:$I$4001,$AA86)&amp;"")</f>
        <v/>
      </c>
      <c r="H86">
        <f>IF($AA86="","",INDEX('Per Line'!$J$2:$J$4001,$AA86)&amp;"")</f>
        <v/>
      </c>
      <c r="I86">
        <f>IF($AA86="","",INDEX('Per Line'!$K$2:$K$4001,$AA86)&amp;"")</f>
        <v/>
      </c>
      <c r="J86">
        <f>IF($AA86="","",INDEX('Per Line'!$L$2:$L$4001,$AA86)&amp;"")</f>
        <v/>
      </c>
      <c r="K86">
        <f>IF($AA86="","",INDEX('Per Line'!$P$2:$P$4001,$AA86))</f>
        <v/>
      </c>
      <c r="L86" s="7">
        <f>IF($AA86="","",IF(AND(ISNUMBER(N86),N86&gt;0,Y86&gt;N86),K86*N86/100+(Y86-N86),K86*Y86/100))</f>
        <v/>
      </c>
      <c r="M86">
        <f>IF($AA86="","",INDEX('Per Line'!$Z$2:$Z$4001,$AA86)&amp;"")</f>
        <v/>
      </c>
      <c r="N86">
        <f>IF($AA86="","",INDEX('Per Line'!$AG$2:$AG$4001,$AA86))</f>
        <v/>
      </c>
      <c r="O86">
        <f>IF($AA86="","",IF(AND(ISNUMBER(N86),N86&gt;0),Y86&gt;N86,FALSE))</f>
        <v/>
      </c>
      <c r="P86" s="7">
        <f>IF($AA86="","",SUMIFS('Per Line'!$Y$2:$Y$4001,'Per Line'!$E$2:$E$4001,$B86,'Per Line'!$AQ$2:$AQ$4001,1))</f>
        <v/>
      </c>
      <c r="Q86">
        <f>IF($AA86="","",Settings!$C$7)</f>
        <v/>
      </c>
      <c r="R86" s="7">
        <f>IF($AA86="","",SUMIFS('Per Line'!$Y$2:$Y$4001,'Per Line'!$E$2:$E$4001,$B86,'Per Line'!$AP$2:$AP$4001,0,'Per Line'!$AQ$2:$AQ$4001,0))</f>
        <v/>
      </c>
      <c r="S86" s="7">
        <f>IF($AA86="","",R86*Q86)</f>
        <v/>
      </c>
      <c r="T86">
        <f>IF($AA86="","",Settings!$C$6)</f>
        <v/>
      </c>
      <c r="U86" s="7">
        <f>IF($AA86="","",SUMIFS('Per Line'!$Y$2:$Y$4001,'Per Line'!$E$2:$E$4001,$B86,'Per Line'!$AP$2:$AP$4001,1,'Per Line'!$AQ$2:$AQ$4001,0))</f>
        <v/>
      </c>
      <c r="V86" s="7">
        <f>IF($AA86="","",U86*T86)</f>
        <v/>
      </c>
      <c r="W86" s="7">
        <f>IF($AA86="","",V86+S86)</f>
        <v/>
      </c>
      <c r="X86" s="7">
        <f>IF($AA86="","",Y86-W86)</f>
        <v/>
      </c>
      <c r="Y86" s="7">
        <f>IF($AA86="","",R86+U86+P86)</f>
        <v/>
      </c>
      <c r="Z86" s="7">
        <f>IF($AA86="","",Y86-W86-L86)</f>
        <v/>
      </c>
      <c r="AA86" s="13">
        <f>IF(ROWS($AA$2:$AA86)&lt;=MAX('Per Line'!$AO$2:$AO$4001),MATCH(ROWS($AA$2:$AA86),'Per Line'!$AO$2:$AO$4001,0),"")</f>
        <v/>
      </c>
      <c r="AB86" s="14">
        <f>IF($AA86="","",L86-K86*Y86/100)</f>
        <v/>
      </c>
    </row>
    <row r="87">
      <c r="A87" s="12" t="n"/>
      <c r="B87">
        <f>IF($AA87="","",INDEX('Per Line'!$E$2:$E$4001,$AA87)&amp;"")</f>
        <v/>
      </c>
      <c r="C87">
        <f>IF($AA87="","",INDEX('Per Line'!$A$2:$A$4001,$AA87)&amp;"")</f>
        <v/>
      </c>
      <c r="D87">
        <f>IF($AA87="","",INDEX('Per Line'!$D$2:$D$4001,$AA87)&amp;"")</f>
        <v/>
      </c>
      <c r="E87" s="11">
        <f>IF($AA87="","",INDEX('Per Line'!$G$2:$G$4001,$AA87))</f>
        <v/>
      </c>
      <c r="F87">
        <f>IF($AA87="","",INDEX('Per Line'!$H$2:$H$4001,$AA87)&amp;"")</f>
        <v/>
      </c>
      <c r="G87">
        <f>IF($AA87="","",INDEX('Per Line'!$I$2:$I$4001,$AA87)&amp;"")</f>
        <v/>
      </c>
      <c r="H87">
        <f>IF($AA87="","",INDEX('Per Line'!$J$2:$J$4001,$AA87)&amp;"")</f>
        <v/>
      </c>
      <c r="I87">
        <f>IF($AA87="","",INDEX('Per Line'!$K$2:$K$4001,$AA87)&amp;"")</f>
        <v/>
      </c>
      <c r="J87">
        <f>IF($AA87="","",INDEX('Per Line'!$L$2:$L$4001,$AA87)&amp;"")</f>
        <v/>
      </c>
      <c r="K87">
        <f>IF($AA87="","",INDEX('Per Line'!$P$2:$P$4001,$AA87))</f>
        <v/>
      </c>
      <c r="L87" s="7">
        <f>IF($AA87="","",IF(AND(ISNUMBER(N87),N87&gt;0,Y87&gt;N87),K87*N87/100+(Y87-N87),K87*Y87/100))</f>
        <v/>
      </c>
      <c r="M87">
        <f>IF($AA87="","",INDEX('Per Line'!$Z$2:$Z$4001,$AA87)&amp;"")</f>
        <v/>
      </c>
      <c r="N87">
        <f>IF($AA87="","",INDEX('Per Line'!$AG$2:$AG$4001,$AA87))</f>
        <v/>
      </c>
      <c r="O87">
        <f>IF($AA87="","",IF(AND(ISNUMBER(N87),N87&gt;0),Y87&gt;N87,FALSE))</f>
        <v/>
      </c>
      <c r="P87" s="7">
        <f>IF($AA87="","",SUMIFS('Per Line'!$Y$2:$Y$4001,'Per Line'!$E$2:$E$4001,$B87,'Per Line'!$AQ$2:$AQ$4001,1))</f>
        <v/>
      </c>
      <c r="Q87">
        <f>IF($AA87="","",Settings!$C$7)</f>
        <v/>
      </c>
      <c r="R87" s="7">
        <f>IF($AA87="","",SUMIFS('Per Line'!$Y$2:$Y$4001,'Per Line'!$E$2:$E$4001,$B87,'Per Line'!$AP$2:$AP$4001,0,'Per Line'!$AQ$2:$AQ$4001,0))</f>
        <v/>
      </c>
      <c r="S87" s="7">
        <f>IF($AA87="","",R87*Q87)</f>
        <v/>
      </c>
      <c r="T87">
        <f>IF($AA87="","",Settings!$C$6)</f>
        <v/>
      </c>
      <c r="U87" s="7">
        <f>IF($AA87="","",SUMIFS('Per Line'!$Y$2:$Y$4001,'Per Line'!$E$2:$E$4001,$B87,'Per Line'!$AP$2:$AP$4001,1,'Per Line'!$AQ$2:$AQ$4001,0))</f>
        <v/>
      </c>
      <c r="V87" s="7">
        <f>IF($AA87="","",U87*T87)</f>
        <v/>
      </c>
      <c r="W87" s="7">
        <f>IF($AA87="","",V87+S87)</f>
        <v/>
      </c>
      <c r="X87" s="7">
        <f>IF($AA87="","",Y87-W87)</f>
        <v/>
      </c>
      <c r="Y87" s="7">
        <f>IF($AA87="","",R87+U87+P87)</f>
        <v/>
      </c>
      <c r="Z87" s="7">
        <f>IF($AA87="","",Y87-W87-L87)</f>
        <v/>
      </c>
      <c r="AA87" s="13">
        <f>IF(ROWS($AA$2:$AA87)&lt;=MAX('Per Line'!$AO$2:$AO$4001),MATCH(ROWS($AA$2:$AA87),'Per Line'!$AO$2:$AO$4001,0),"")</f>
        <v/>
      </c>
      <c r="AB87" s="14">
        <f>IF($AA87="","",L87-K87*Y87/100)</f>
        <v/>
      </c>
    </row>
    <row r="88">
      <c r="A88" s="12" t="n"/>
      <c r="B88">
        <f>IF($AA88="","",INDEX('Per Line'!$E$2:$E$4001,$AA88)&amp;"")</f>
        <v/>
      </c>
      <c r="C88">
        <f>IF($AA88="","",INDEX('Per Line'!$A$2:$A$4001,$AA88)&amp;"")</f>
        <v/>
      </c>
      <c r="D88">
        <f>IF($AA88="","",INDEX('Per Line'!$D$2:$D$4001,$AA88)&amp;"")</f>
        <v/>
      </c>
      <c r="E88" s="11">
        <f>IF($AA88="","",INDEX('Per Line'!$G$2:$G$4001,$AA88))</f>
        <v/>
      </c>
      <c r="F88">
        <f>IF($AA88="","",INDEX('Per Line'!$H$2:$H$4001,$AA88)&amp;"")</f>
        <v/>
      </c>
      <c r="G88">
        <f>IF($AA88="","",INDEX('Per Line'!$I$2:$I$4001,$AA88)&amp;"")</f>
        <v/>
      </c>
      <c r="H88">
        <f>IF($AA88="","",INDEX('Per Line'!$J$2:$J$4001,$AA88)&amp;"")</f>
        <v/>
      </c>
      <c r="I88">
        <f>IF($AA88="","",INDEX('Per Line'!$K$2:$K$4001,$AA88)&amp;"")</f>
        <v/>
      </c>
      <c r="J88">
        <f>IF($AA88="","",INDEX('Per Line'!$L$2:$L$4001,$AA88)&amp;"")</f>
        <v/>
      </c>
      <c r="K88">
        <f>IF($AA88="","",INDEX('Per Line'!$P$2:$P$4001,$AA88))</f>
        <v/>
      </c>
      <c r="L88" s="7">
        <f>IF($AA88="","",IF(AND(ISNUMBER(N88),N88&gt;0,Y88&gt;N88),K88*N88/100+(Y88-N88),K88*Y88/100))</f>
        <v/>
      </c>
      <c r="M88">
        <f>IF($AA88="","",INDEX('Per Line'!$Z$2:$Z$4001,$AA88)&amp;"")</f>
        <v/>
      </c>
      <c r="N88">
        <f>IF($AA88="","",INDEX('Per Line'!$AG$2:$AG$4001,$AA88))</f>
        <v/>
      </c>
      <c r="O88">
        <f>IF($AA88="","",IF(AND(ISNUMBER(N88),N88&gt;0),Y88&gt;N88,FALSE))</f>
        <v/>
      </c>
      <c r="P88" s="7">
        <f>IF($AA88="","",SUMIFS('Per Line'!$Y$2:$Y$4001,'Per Line'!$E$2:$E$4001,$B88,'Per Line'!$AQ$2:$AQ$4001,1))</f>
        <v/>
      </c>
      <c r="Q88">
        <f>IF($AA88="","",Settings!$C$7)</f>
        <v/>
      </c>
      <c r="R88" s="7">
        <f>IF($AA88="","",SUMIFS('Per Line'!$Y$2:$Y$4001,'Per Line'!$E$2:$E$4001,$B88,'Per Line'!$AP$2:$AP$4001,0,'Per Line'!$AQ$2:$AQ$4001,0))</f>
        <v/>
      </c>
      <c r="S88" s="7">
        <f>IF($AA88="","",R88*Q88)</f>
        <v/>
      </c>
      <c r="T88">
        <f>IF($AA88="","",Settings!$C$6)</f>
        <v/>
      </c>
      <c r="U88" s="7">
        <f>IF($AA88="","",SUMIFS('Per Line'!$Y$2:$Y$4001,'Per Line'!$E$2:$E$4001,$B88,'Per Line'!$AP$2:$AP$4001,1,'Per Line'!$AQ$2:$AQ$4001,0))</f>
        <v/>
      </c>
      <c r="V88" s="7">
        <f>IF($AA88="","",U88*T88)</f>
        <v/>
      </c>
      <c r="W88" s="7">
        <f>IF($AA88="","",V88+S88)</f>
        <v/>
      </c>
      <c r="X88" s="7">
        <f>IF($AA88="","",Y88-W88)</f>
        <v/>
      </c>
      <c r="Y88" s="7">
        <f>IF($AA88="","",R88+U88+P88)</f>
        <v/>
      </c>
      <c r="Z88" s="7">
        <f>IF($AA88="","",Y88-W88-L88)</f>
        <v/>
      </c>
      <c r="AA88" s="13">
        <f>IF(ROWS($AA$2:$AA88)&lt;=MAX('Per Line'!$AO$2:$AO$4001),MATCH(ROWS($AA$2:$AA88),'Per Line'!$AO$2:$AO$4001,0),"")</f>
        <v/>
      </c>
      <c r="AB88" s="14">
        <f>IF($AA88="","",L88-K88*Y88/100)</f>
        <v/>
      </c>
    </row>
    <row r="89">
      <c r="A89" s="12" t="n"/>
      <c r="B89">
        <f>IF($AA89="","",INDEX('Per Line'!$E$2:$E$4001,$AA89)&amp;"")</f>
        <v/>
      </c>
      <c r="C89">
        <f>IF($AA89="","",INDEX('Per Line'!$A$2:$A$4001,$AA89)&amp;"")</f>
        <v/>
      </c>
      <c r="D89">
        <f>IF($AA89="","",INDEX('Per Line'!$D$2:$D$4001,$AA89)&amp;"")</f>
        <v/>
      </c>
      <c r="E89" s="11">
        <f>IF($AA89="","",INDEX('Per Line'!$G$2:$G$4001,$AA89))</f>
        <v/>
      </c>
      <c r="F89">
        <f>IF($AA89="","",INDEX('Per Line'!$H$2:$H$4001,$AA89)&amp;"")</f>
        <v/>
      </c>
      <c r="G89">
        <f>IF($AA89="","",INDEX('Per Line'!$I$2:$I$4001,$AA89)&amp;"")</f>
        <v/>
      </c>
      <c r="H89">
        <f>IF($AA89="","",INDEX('Per Line'!$J$2:$J$4001,$AA89)&amp;"")</f>
        <v/>
      </c>
      <c r="I89">
        <f>IF($AA89="","",INDEX('Per Line'!$K$2:$K$4001,$AA89)&amp;"")</f>
        <v/>
      </c>
      <c r="J89">
        <f>IF($AA89="","",INDEX('Per Line'!$L$2:$L$4001,$AA89)&amp;"")</f>
        <v/>
      </c>
      <c r="K89">
        <f>IF($AA89="","",INDEX('Per Line'!$P$2:$P$4001,$AA89))</f>
        <v/>
      </c>
      <c r="L89" s="7">
        <f>IF($AA89="","",IF(AND(ISNUMBER(N89),N89&gt;0,Y89&gt;N89),K89*N89/100+(Y89-N89),K89*Y89/100))</f>
        <v/>
      </c>
      <c r="M89">
        <f>IF($AA89="","",INDEX('Per Line'!$Z$2:$Z$4001,$AA89)&amp;"")</f>
        <v/>
      </c>
      <c r="N89">
        <f>IF($AA89="","",INDEX('Per Line'!$AG$2:$AG$4001,$AA89))</f>
        <v/>
      </c>
      <c r="O89">
        <f>IF($AA89="","",IF(AND(ISNUMBER(N89),N89&gt;0),Y89&gt;N89,FALSE))</f>
        <v/>
      </c>
      <c r="P89" s="7">
        <f>IF($AA89="","",SUMIFS('Per Line'!$Y$2:$Y$4001,'Per Line'!$E$2:$E$4001,$B89,'Per Line'!$AQ$2:$AQ$4001,1))</f>
        <v/>
      </c>
      <c r="Q89">
        <f>IF($AA89="","",Settings!$C$7)</f>
        <v/>
      </c>
      <c r="R89" s="7">
        <f>IF($AA89="","",SUMIFS('Per Line'!$Y$2:$Y$4001,'Per Line'!$E$2:$E$4001,$B89,'Per Line'!$AP$2:$AP$4001,0,'Per Line'!$AQ$2:$AQ$4001,0))</f>
        <v/>
      </c>
      <c r="S89" s="7">
        <f>IF($AA89="","",R89*Q89)</f>
        <v/>
      </c>
      <c r="T89">
        <f>IF($AA89="","",Settings!$C$6)</f>
        <v/>
      </c>
      <c r="U89" s="7">
        <f>IF($AA89="","",SUMIFS('Per Line'!$Y$2:$Y$4001,'Per Line'!$E$2:$E$4001,$B89,'Per Line'!$AP$2:$AP$4001,1,'Per Line'!$AQ$2:$AQ$4001,0))</f>
        <v/>
      </c>
      <c r="V89" s="7">
        <f>IF($AA89="","",U89*T89)</f>
        <v/>
      </c>
      <c r="W89" s="7">
        <f>IF($AA89="","",V89+S89)</f>
        <v/>
      </c>
      <c r="X89" s="7">
        <f>IF($AA89="","",Y89-W89)</f>
        <v/>
      </c>
      <c r="Y89" s="7">
        <f>IF($AA89="","",R89+U89+P89)</f>
        <v/>
      </c>
      <c r="Z89" s="7">
        <f>IF($AA89="","",Y89-W89-L89)</f>
        <v/>
      </c>
      <c r="AA89" s="13">
        <f>IF(ROWS($AA$2:$AA89)&lt;=MAX('Per Line'!$AO$2:$AO$4001),MATCH(ROWS($AA$2:$AA89),'Per Line'!$AO$2:$AO$4001,0),"")</f>
        <v/>
      </c>
      <c r="AB89" s="14">
        <f>IF($AA89="","",L89-K89*Y89/100)</f>
        <v/>
      </c>
    </row>
    <row r="90">
      <c r="A90" s="12" t="n"/>
      <c r="B90">
        <f>IF($AA90="","",INDEX('Per Line'!$E$2:$E$4001,$AA90)&amp;"")</f>
        <v/>
      </c>
      <c r="C90">
        <f>IF($AA90="","",INDEX('Per Line'!$A$2:$A$4001,$AA90)&amp;"")</f>
        <v/>
      </c>
      <c r="D90">
        <f>IF($AA90="","",INDEX('Per Line'!$D$2:$D$4001,$AA90)&amp;"")</f>
        <v/>
      </c>
      <c r="E90" s="11">
        <f>IF($AA90="","",INDEX('Per Line'!$G$2:$G$4001,$AA90))</f>
        <v/>
      </c>
      <c r="F90">
        <f>IF($AA90="","",INDEX('Per Line'!$H$2:$H$4001,$AA90)&amp;"")</f>
        <v/>
      </c>
      <c r="G90">
        <f>IF($AA90="","",INDEX('Per Line'!$I$2:$I$4001,$AA90)&amp;"")</f>
        <v/>
      </c>
      <c r="H90">
        <f>IF($AA90="","",INDEX('Per Line'!$J$2:$J$4001,$AA90)&amp;"")</f>
        <v/>
      </c>
      <c r="I90">
        <f>IF($AA90="","",INDEX('Per Line'!$K$2:$K$4001,$AA90)&amp;"")</f>
        <v/>
      </c>
      <c r="J90">
        <f>IF($AA90="","",INDEX('Per Line'!$L$2:$L$4001,$AA90)&amp;"")</f>
        <v/>
      </c>
      <c r="K90">
        <f>IF($AA90="","",INDEX('Per Line'!$P$2:$P$4001,$AA90))</f>
        <v/>
      </c>
      <c r="L90" s="7">
        <f>IF($AA90="","",IF(AND(ISNUMBER(N90),N90&gt;0,Y90&gt;N90),K90*N90/100+(Y90-N90),K90*Y90/100))</f>
        <v/>
      </c>
      <c r="M90">
        <f>IF($AA90="","",INDEX('Per Line'!$Z$2:$Z$4001,$AA90)&amp;"")</f>
        <v/>
      </c>
      <c r="N90">
        <f>IF($AA90="","",INDEX('Per Line'!$AG$2:$AG$4001,$AA90))</f>
        <v/>
      </c>
      <c r="O90">
        <f>IF($AA90="","",IF(AND(ISNUMBER(N90),N90&gt;0),Y90&gt;N90,FALSE))</f>
        <v/>
      </c>
      <c r="P90" s="7">
        <f>IF($AA90="","",SUMIFS('Per Line'!$Y$2:$Y$4001,'Per Line'!$E$2:$E$4001,$B90,'Per Line'!$AQ$2:$AQ$4001,1))</f>
        <v/>
      </c>
      <c r="Q90">
        <f>IF($AA90="","",Settings!$C$7)</f>
        <v/>
      </c>
      <c r="R90" s="7">
        <f>IF($AA90="","",SUMIFS('Per Line'!$Y$2:$Y$4001,'Per Line'!$E$2:$E$4001,$B90,'Per Line'!$AP$2:$AP$4001,0,'Per Line'!$AQ$2:$AQ$4001,0))</f>
        <v/>
      </c>
      <c r="S90" s="7">
        <f>IF($AA90="","",R90*Q90)</f>
        <v/>
      </c>
      <c r="T90">
        <f>IF($AA90="","",Settings!$C$6)</f>
        <v/>
      </c>
      <c r="U90" s="7">
        <f>IF($AA90="","",SUMIFS('Per Line'!$Y$2:$Y$4001,'Per Line'!$E$2:$E$4001,$B90,'Per Line'!$AP$2:$AP$4001,1,'Per Line'!$AQ$2:$AQ$4001,0))</f>
        <v/>
      </c>
      <c r="V90" s="7">
        <f>IF($AA90="","",U90*T90)</f>
        <v/>
      </c>
      <c r="W90" s="7">
        <f>IF($AA90="","",V90+S90)</f>
        <v/>
      </c>
      <c r="X90" s="7">
        <f>IF($AA90="","",Y90-W90)</f>
        <v/>
      </c>
      <c r="Y90" s="7">
        <f>IF($AA90="","",R90+U90+P90)</f>
        <v/>
      </c>
      <c r="Z90" s="7">
        <f>IF($AA90="","",Y90-W90-L90)</f>
        <v/>
      </c>
      <c r="AA90" s="13">
        <f>IF(ROWS($AA$2:$AA90)&lt;=MAX('Per Line'!$AO$2:$AO$4001),MATCH(ROWS($AA$2:$AA90),'Per Line'!$AO$2:$AO$4001,0),"")</f>
        <v/>
      </c>
      <c r="AB90" s="14">
        <f>IF($AA90="","",L90-K90*Y90/100)</f>
        <v/>
      </c>
    </row>
    <row r="91">
      <c r="A91" s="12" t="n"/>
      <c r="B91">
        <f>IF($AA91="","",INDEX('Per Line'!$E$2:$E$4001,$AA91)&amp;"")</f>
        <v/>
      </c>
      <c r="C91">
        <f>IF($AA91="","",INDEX('Per Line'!$A$2:$A$4001,$AA91)&amp;"")</f>
        <v/>
      </c>
      <c r="D91">
        <f>IF($AA91="","",INDEX('Per Line'!$D$2:$D$4001,$AA91)&amp;"")</f>
        <v/>
      </c>
      <c r="E91" s="11">
        <f>IF($AA91="","",INDEX('Per Line'!$G$2:$G$4001,$AA91))</f>
        <v/>
      </c>
      <c r="F91">
        <f>IF($AA91="","",INDEX('Per Line'!$H$2:$H$4001,$AA91)&amp;"")</f>
        <v/>
      </c>
      <c r="G91">
        <f>IF($AA91="","",INDEX('Per Line'!$I$2:$I$4001,$AA91)&amp;"")</f>
        <v/>
      </c>
      <c r="H91">
        <f>IF($AA91="","",INDEX('Per Line'!$J$2:$J$4001,$AA91)&amp;"")</f>
        <v/>
      </c>
      <c r="I91">
        <f>IF($AA91="","",INDEX('Per Line'!$K$2:$K$4001,$AA91)&amp;"")</f>
        <v/>
      </c>
      <c r="J91">
        <f>IF($AA91="","",INDEX('Per Line'!$L$2:$L$4001,$AA91)&amp;"")</f>
        <v/>
      </c>
      <c r="K91">
        <f>IF($AA91="","",INDEX('Per Line'!$P$2:$P$4001,$AA91))</f>
        <v/>
      </c>
      <c r="L91" s="7">
        <f>IF($AA91="","",IF(AND(ISNUMBER(N91),N91&gt;0,Y91&gt;N91),K91*N91/100+(Y91-N91),K91*Y91/100))</f>
        <v/>
      </c>
      <c r="M91">
        <f>IF($AA91="","",INDEX('Per Line'!$Z$2:$Z$4001,$AA91)&amp;"")</f>
        <v/>
      </c>
      <c r="N91">
        <f>IF($AA91="","",INDEX('Per Line'!$AG$2:$AG$4001,$AA91))</f>
        <v/>
      </c>
      <c r="O91">
        <f>IF($AA91="","",IF(AND(ISNUMBER(N91),N91&gt;0),Y91&gt;N91,FALSE))</f>
        <v/>
      </c>
      <c r="P91" s="7">
        <f>IF($AA91="","",SUMIFS('Per Line'!$Y$2:$Y$4001,'Per Line'!$E$2:$E$4001,$B91,'Per Line'!$AQ$2:$AQ$4001,1))</f>
        <v/>
      </c>
      <c r="Q91">
        <f>IF($AA91="","",Settings!$C$7)</f>
        <v/>
      </c>
      <c r="R91" s="7">
        <f>IF($AA91="","",SUMIFS('Per Line'!$Y$2:$Y$4001,'Per Line'!$E$2:$E$4001,$B91,'Per Line'!$AP$2:$AP$4001,0,'Per Line'!$AQ$2:$AQ$4001,0))</f>
        <v/>
      </c>
      <c r="S91" s="7">
        <f>IF($AA91="","",R91*Q91)</f>
        <v/>
      </c>
      <c r="T91">
        <f>IF($AA91="","",Settings!$C$6)</f>
        <v/>
      </c>
      <c r="U91" s="7">
        <f>IF($AA91="","",SUMIFS('Per Line'!$Y$2:$Y$4001,'Per Line'!$E$2:$E$4001,$B91,'Per Line'!$AP$2:$AP$4001,1,'Per Line'!$AQ$2:$AQ$4001,0))</f>
        <v/>
      </c>
      <c r="V91" s="7">
        <f>IF($AA91="","",U91*T91)</f>
        <v/>
      </c>
      <c r="W91" s="7">
        <f>IF($AA91="","",V91+S91)</f>
        <v/>
      </c>
      <c r="X91" s="7">
        <f>IF($AA91="","",Y91-W91)</f>
        <v/>
      </c>
      <c r="Y91" s="7">
        <f>IF($AA91="","",R91+U91+P91)</f>
        <v/>
      </c>
      <c r="Z91" s="7">
        <f>IF($AA91="","",Y91-W91-L91)</f>
        <v/>
      </c>
      <c r="AA91" s="13">
        <f>IF(ROWS($AA$2:$AA91)&lt;=MAX('Per Line'!$AO$2:$AO$4001),MATCH(ROWS($AA$2:$AA91),'Per Line'!$AO$2:$AO$4001,0),"")</f>
        <v/>
      </c>
      <c r="AB91" s="14">
        <f>IF($AA91="","",L91-K91*Y91/100)</f>
        <v/>
      </c>
    </row>
    <row r="92">
      <c r="A92" s="12" t="n"/>
      <c r="B92">
        <f>IF($AA92="","",INDEX('Per Line'!$E$2:$E$4001,$AA92)&amp;"")</f>
        <v/>
      </c>
      <c r="C92">
        <f>IF($AA92="","",INDEX('Per Line'!$A$2:$A$4001,$AA92)&amp;"")</f>
        <v/>
      </c>
      <c r="D92">
        <f>IF($AA92="","",INDEX('Per Line'!$D$2:$D$4001,$AA92)&amp;"")</f>
        <v/>
      </c>
      <c r="E92" s="11">
        <f>IF($AA92="","",INDEX('Per Line'!$G$2:$G$4001,$AA92))</f>
        <v/>
      </c>
      <c r="F92">
        <f>IF($AA92="","",INDEX('Per Line'!$H$2:$H$4001,$AA92)&amp;"")</f>
        <v/>
      </c>
      <c r="G92">
        <f>IF($AA92="","",INDEX('Per Line'!$I$2:$I$4001,$AA92)&amp;"")</f>
        <v/>
      </c>
      <c r="H92">
        <f>IF($AA92="","",INDEX('Per Line'!$J$2:$J$4001,$AA92)&amp;"")</f>
        <v/>
      </c>
      <c r="I92">
        <f>IF($AA92="","",INDEX('Per Line'!$K$2:$K$4001,$AA92)&amp;"")</f>
        <v/>
      </c>
      <c r="J92">
        <f>IF($AA92="","",INDEX('Per Line'!$L$2:$L$4001,$AA92)&amp;"")</f>
        <v/>
      </c>
      <c r="K92">
        <f>IF($AA92="","",INDEX('Per Line'!$P$2:$P$4001,$AA92))</f>
        <v/>
      </c>
      <c r="L92" s="7">
        <f>IF($AA92="","",IF(AND(ISNUMBER(N92),N92&gt;0,Y92&gt;N92),K92*N92/100+(Y92-N92),K92*Y92/100))</f>
        <v/>
      </c>
      <c r="M92">
        <f>IF($AA92="","",INDEX('Per Line'!$Z$2:$Z$4001,$AA92)&amp;"")</f>
        <v/>
      </c>
      <c r="N92">
        <f>IF($AA92="","",INDEX('Per Line'!$AG$2:$AG$4001,$AA92))</f>
        <v/>
      </c>
      <c r="O92">
        <f>IF($AA92="","",IF(AND(ISNUMBER(N92),N92&gt;0),Y92&gt;N92,FALSE))</f>
        <v/>
      </c>
      <c r="P92" s="7">
        <f>IF($AA92="","",SUMIFS('Per Line'!$Y$2:$Y$4001,'Per Line'!$E$2:$E$4001,$B92,'Per Line'!$AQ$2:$AQ$4001,1))</f>
        <v/>
      </c>
      <c r="Q92">
        <f>IF($AA92="","",Settings!$C$7)</f>
        <v/>
      </c>
      <c r="R92" s="7">
        <f>IF($AA92="","",SUMIFS('Per Line'!$Y$2:$Y$4001,'Per Line'!$E$2:$E$4001,$B92,'Per Line'!$AP$2:$AP$4001,0,'Per Line'!$AQ$2:$AQ$4001,0))</f>
        <v/>
      </c>
      <c r="S92" s="7">
        <f>IF($AA92="","",R92*Q92)</f>
        <v/>
      </c>
      <c r="T92">
        <f>IF($AA92="","",Settings!$C$6)</f>
        <v/>
      </c>
      <c r="U92" s="7">
        <f>IF($AA92="","",SUMIFS('Per Line'!$Y$2:$Y$4001,'Per Line'!$E$2:$E$4001,$B92,'Per Line'!$AP$2:$AP$4001,1,'Per Line'!$AQ$2:$AQ$4001,0))</f>
        <v/>
      </c>
      <c r="V92" s="7">
        <f>IF($AA92="","",U92*T92)</f>
        <v/>
      </c>
      <c r="W92" s="7">
        <f>IF($AA92="","",V92+S92)</f>
        <v/>
      </c>
      <c r="X92" s="7">
        <f>IF($AA92="","",Y92-W92)</f>
        <v/>
      </c>
      <c r="Y92" s="7">
        <f>IF($AA92="","",R92+U92+P92)</f>
        <v/>
      </c>
      <c r="Z92" s="7">
        <f>IF($AA92="","",Y92-W92-L92)</f>
        <v/>
      </c>
      <c r="AA92" s="13">
        <f>IF(ROWS($AA$2:$AA92)&lt;=MAX('Per Line'!$AO$2:$AO$4001),MATCH(ROWS($AA$2:$AA92),'Per Line'!$AO$2:$AO$4001,0),"")</f>
        <v/>
      </c>
      <c r="AB92" s="14">
        <f>IF($AA92="","",L92-K92*Y92/100)</f>
        <v/>
      </c>
    </row>
    <row r="93">
      <c r="A93" s="12" t="n"/>
      <c r="B93">
        <f>IF($AA93="","",INDEX('Per Line'!$E$2:$E$4001,$AA93)&amp;"")</f>
        <v/>
      </c>
      <c r="C93">
        <f>IF($AA93="","",INDEX('Per Line'!$A$2:$A$4001,$AA93)&amp;"")</f>
        <v/>
      </c>
      <c r="D93">
        <f>IF($AA93="","",INDEX('Per Line'!$D$2:$D$4001,$AA93)&amp;"")</f>
        <v/>
      </c>
      <c r="E93" s="11">
        <f>IF($AA93="","",INDEX('Per Line'!$G$2:$G$4001,$AA93))</f>
        <v/>
      </c>
      <c r="F93">
        <f>IF($AA93="","",INDEX('Per Line'!$H$2:$H$4001,$AA93)&amp;"")</f>
        <v/>
      </c>
      <c r="G93">
        <f>IF($AA93="","",INDEX('Per Line'!$I$2:$I$4001,$AA93)&amp;"")</f>
        <v/>
      </c>
      <c r="H93">
        <f>IF($AA93="","",INDEX('Per Line'!$J$2:$J$4001,$AA93)&amp;"")</f>
        <v/>
      </c>
      <c r="I93">
        <f>IF($AA93="","",INDEX('Per Line'!$K$2:$K$4001,$AA93)&amp;"")</f>
        <v/>
      </c>
      <c r="J93">
        <f>IF($AA93="","",INDEX('Per Line'!$L$2:$L$4001,$AA93)&amp;"")</f>
        <v/>
      </c>
      <c r="K93">
        <f>IF($AA93="","",INDEX('Per Line'!$P$2:$P$4001,$AA93))</f>
        <v/>
      </c>
      <c r="L93" s="7">
        <f>IF($AA93="","",IF(AND(ISNUMBER(N93),N93&gt;0,Y93&gt;N93),K93*N93/100+(Y93-N93),K93*Y93/100))</f>
        <v/>
      </c>
      <c r="M93">
        <f>IF($AA93="","",INDEX('Per Line'!$Z$2:$Z$4001,$AA93)&amp;"")</f>
        <v/>
      </c>
      <c r="N93">
        <f>IF($AA93="","",INDEX('Per Line'!$AG$2:$AG$4001,$AA93))</f>
        <v/>
      </c>
      <c r="O93">
        <f>IF($AA93="","",IF(AND(ISNUMBER(N93),N93&gt;0),Y93&gt;N93,FALSE))</f>
        <v/>
      </c>
      <c r="P93" s="7">
        <f>IF($AA93="","",SUMIFS('Per Line'!$Y$2:$Y$4001,'Per Line'!$E$2:$E$4001,$B93,'Per Line'!$AQ$2:$AQ$4001,1))</f>
        <v/>
      </c>
      <c r="Q93">
        <f>IF($AA93="","",Settings!$C$7)</f>
        <v/>
      </c>
      <c r="R93" s="7">
        <f>IF($AA93="","",SUMIFS('Per Line'!$Y$2:$Y$4001,'Per Line'!$E$2:$E$4001,$B93,'Per Line'!$AP$2:$AP$4001,0,'Per Line'!$AQ$2:$AQ$4001,0))</f>
        <v/>
      </c>
      <c r="S93" s="7">
        <f>IF($AA93="","",R93*Q93)</f>
        <v/>
      </c>
      <c r="T93">
        <f>IF($AA93="","",Settings!$C$6)</f>
        <v/>
      </c>
      <c r="U93" s="7">
        <f>IF($AA93="","",SUMIFS('Per Line'!$Y$2:$Y$4001,'Per Line'!$E$2:$E$4001,$B93,'Per Line'!$AP$2:$AP$4001,1,'Per Line'!$AQ$2:$AQ$4001,0))</f>
        <v/>
      </c>
      <c r="V93" s="7">
        <f>IF($AA93="","",U93*T93)</f>
        <v/>
      </c>
      <c r="W93" s="7">
        <f>IF($AA93="","",V93+S93)</f>
        <v/>
      </c>
      <c r="X93" s="7">
        <f>IF($AA93="","",Y93-W93)</f>
        <v/>
      </c>
      <c r="Y93" s="7">
        <f>IF($AA93="","",R93+U93+P93)</f>
        <v/>
      </c>
      <c r="Z93" s="7">
        <f>IF($AA93="","",Y93-W93-L93)</f>
        <v/>
      </c>
      <c r="AA93" s="13">
        <f>IF(ROWS($AA$2:$AA93)&lt;=MAX('Per Line'!$AO$2:$AO$4001),MATCH(ROWS($AA$2:$AA93),'Per Line'!$AO$2:$AO$4001,0),"")</f>
        <v/>
      </c>
      <c r="AB93" s="14">
        <f>IF($AA93="","",L93-K93*Y93/100)</f>
        <v/>
      </c>
    </row>
    <row r="94">
      <c r="A94" s="12" t="n"/>
      <c r="B94">
        <f>IF($AA94="","",INDEX('Per Line'!$E$2:$E$4001,$AA94)&amp;"")</f>
        <v/>
      </c>
      <c r="C94">
        <f>IF($AA94="","",INDEX('Per Line'!$A$2:$A$4001,$AA94)&amp;"")</f>
        <v/>
      </c>
      <c r="D94">
        <f>IF($AA94="","",INDEX('Per Line'!$D$2:$D$4001,$AA94)&amp;"")</f>
        <v/>
      </c>
      <c r="E94" s="11">
        <f>IF($AA94="","",INDEX('Per Line'!$G$2:$G$4001,$AA94))</f>
        <v/>
      </c>
      <c r="F94">
        <f>IF($AA94="","",INDEX('Per Line'!$H$2:$H$4001,$AA94)&amp;"")</f>
        <v/>
      </c>
      <c r="G94">
        <f>IF($AA94="","",INDEX('Per Line'!$I$2:$I$4001,$AA94)&amp;"")</f>
        <v/>
      </c>
      <c r="H94">
        <f>IF($AA94="","",INDEX('Per Line'!$J$2:$J$4001,$AA94)&amp;"")</f>
        <v/>
      </c>
      <c r="I94">
        <f>IF($AA94="","",INDEX('Per Line'!$K$2:$K$4001,$AA94)&amp;"")</f>
        <v/>
      </c>
      <c r="J94">
        <f>IF($AA94="","",INDEX('Per Line'!$L$2:$L$4001,$AA94)&amp;"")</f>
        <v/>
      </c>
      <c r="K94">
        <f>IF($AA94="","",INDEX('Per Line'!$P$2:$P$4001,$AA94))</f>
        <v/>
      </c>
      <c r="L94" s="7">
        <f>IF($AA94="","",IF(AND(ISNUMBER(N94),N94&gt;0,Y94&gt;N94),K94*N94/100+(Y94-N94),K94*Y94/100))</f>
        <v/>
      </c>
      <c r="M94">
        <f>IF($AA94="","",INDEX('Per Line'!$Z$2:$Z$4001,$AA94)&amp;"")</f>
        <v/>
      </c>
      <c r="N94">
        <f>IF($AA94="","",INDEX('Per Line'!$AG$2:$AG$4001,$AA94))</f>
        <v/>
      </c>
      <c r="O94">
        <f>IF($AA94="","",IF(AND(ISNUMBER(N94),N94&gt;0),Y94&gt;N94,FALSE))</f>
        <v/>
      </c>
      <c r="P94" s="7">
        <f>IF($AA94="","",SUMIFS('Per Line'!$Y$2:$Y$4001,'Per Line'!$E$2:$E$4001,$B94,'Per Line'!$AQ$2:$AQ$4001,1))</f>
        <v/>
      </c>
      <c r="Q94">
        <f>IF($AA94="","",Settings!$C$7)</f>
        <v/>
      </c>
      <c r="R94" s="7">
        <f>IF($AA94="","",SUMIFS('Per Line'!$Y$2:$Y$4001,'Per Line'!$E$2:$E$4001,$B94,'Per Line'!$AP$2:$AP$4001,0,'Per Line'!$AQ$2:$AQ$4001,0))</f>
        <v/>
      </c>
      <c r="S94" s="7">
        <f>IF($AA94="","",R94*Q94)</f>
        <v/>
      </c>
      <c r="T94">
        <f>IF($AA94="","",Settings!$C$6)</f>
        <v/>
      </c>
      <c r="U94" s="7">
        <f>IF($AA94="","",SUMIFS('Per Line'!$Y$2:$Y$4001,'Per Line'!$E$2:$E$4001,$B94,'Per Line'!$AP$2:$AP$4001,1,'Per Line'!$AQ$2:$AQ$4001,0))</f>
        <v/>
      </c>
      <c r="V94" s="7">
        <f>IF($AA94="","",U94*T94)</f>
        <v/>
      </c>
      <c r="W94" s="7">
        <f>IF($AA94="","",V94+S94)</f>
        <v/>
      </c>
      <c r="X94" s="7">
        <f>IF($AA94="","",Y94-W94)</f>
        <v/>
      </c>
      <c r="Y94" s="7">
        <f>IF($AA94="","",R94+U94+P94)</f>
        <v/>
      </c>
      <c r="Z94" s="7">
        <f>IF($AA94="","",Y94-W94-L94)</f>
        <v/>
      </c>
      <c r="AA94" s="13">
        <f>IF(ROWS($AA$2:$AA94)&lt;=MAX('Per Line'!$AO$2:$AO$4001),MATCH(ROWS($AA$2:$AA94),'Per Line'!$AO$2:$AO$4001,0),"")</f>
        <v/>
      </c>
      <c r="AB94" s="14">
        <f>IF($AA94="","",L94-K94*Y94/100)</f>
        <v/>
      </c>
    </row>
    <row r="95">
      <c r="A95" s="12" t="n"/>
      <c r="B95">
        <f>IF($AA95="","",INDEX('Per Line'!$E$2:$E$4001,$AA95)&amp;"")</f>
        <v/>
      </c>
      <c r="C95">
        <f>IF($AA95="","",INDEX('Per Line'!$A$2:$A$4001,$AA95)&amp;"")</f>
        <v/>
      </c>
      <c r="D95">
        <f>IF($AA95="","",INDEX('Per Line'!$D$2:$D$4001,$AA95)&amp;"")</f>
        <v/>
      </c>
      <c r="E95" s="11">
        <f>IF($AA95="","",INDEX('Per Line'!$G$2:$G$4001,$AA95))</f>
        <v/>
      </c>
      <c r="F95">
        <f>IF($AA95="","",INDEX('Per Line'!$H$2:$H$4001,$AA95)&amp;"")</f>
        <v/>
      </c>
      <c r="G95">
        <f>IF($AA95="","",INDEX('Per Line'!$I$2:$I$4001,$AA95)&amp;"")</f>
        <v/>
      </c>
      <c r="H95">
        <f>IF($AA95="","",INDEX('Per Line'!$J$2:$J$4001,$AA95)&amp;"")</f>
        <v/>
      </c>
      <c r="I95">
        <f>IF($AA95="","",INDEX('Per Line'!$K$2:$K$4001,$AA95)&amp;"")</f>
        <v/>
      </c>
      <c r="J95">
        <f>IF($AA95="","",INDEX('Per Line'!$L$2:$L$4001,$AA95)&amp;"")</f>
        <v/>
      </c>
      <c r="K95">
        <f>IF($AA95="","",INDEX('Per Line'!$P$2:$P$4001,$AA95))</f>
        <v/>
      </c>
      <c r="L95" s="7">
        <f>IF($AA95="","",IF(AND(ISNUMBER(N95),N95&gt;0,Y95&gt;N95),K95*N95/100+(Y95-N95),K95*Y95/100))</f>
        <v/>
      </c>
      <c r="M95">
        <f>IF($AA95="","",INDEX('Per Line'!$Z$2:$Z$4001,$AA95)&amp;"")</f>
        <v/>
      </c>
      <c r="N95">
        <f>IF($AA95="","",INDEX('Per Line'!$AG$2:$AG$4001,$AA95))</f>
        <v/>
      </c>
      <c r="O95">
        <f>IF($AA95="","",IF(AND(ISNUMBER(N95),N95&gt;0),Y95&gt;N95,FALSE))</f>
        <v/>
      </c>
      <c r="P95" s="7">
        <f>IF($AA95="","",SUMIFS('Per Line'!$Y$2:$Y$4001,'Per Line'!$E$2:$E$4001,$B95,'Per Line'!$AQ$2:$AQ$4001,1))</f>
        <v/>
      </c>
      <c r="Q95">
        <f>IF($AA95="","",Settings!$C$7)</f>
        <v/>
      </c>
      <c r="R95" s="7">
        <f>IF($AA95="","",SUMIFS('Per Line'!$Y$2:$Y$4001,'Per Line'!$E$2:$E$4001,$B95,'Per Line'!$AP$2:$AP$4001,0,'Per Line'!$AQ$2:$AQ$4001,0))</f>
        <v/>
      </c>
      <c r="S95" s="7">
        <f>IF($AA95="","",R95*Q95)</f>
        <v/>
      </c>
      <c r="T95">
        <f>IF($AA95="","",Settings!$C$6)</f>
        <v/>
      </c>
      <c r="U95" s="7">
        <f>IF($AA95="","",SUMIFS('Per Line'!$Y$2:$Y$4001,'Per Line'!$E$2:$E$4001,$B95,'Per Line'!$AP$2:$AP$4001,1,'Per Line'!$AQ$2:$AQ$4001,0))</f>
        <v/>
      </c>
      <c r="V95" s="7">
        <f>IF($AA95="","",U95*T95)</f>
        <v/>
      </c>
      <c r="W95" s="7">
        <f>IF($AA95="","",V95+S95)</f>
        <v/>
      </c>
      <c r="X95" s="7">
        <f>IF($AA95="","",Y95-W95)</f>
        <v/>
      </c>
      <c r="Y95" s="7">
        <f>IF($AA95="","",R95+U95+P95)</f>
        <v/>
      </c>
      <c r="Z95" s="7">
        <f>IF($AA95="","",Y95-W95-L95)</f>
        <v/>
      </c>
      <c r="AA95" s="13">
        <f>IF(ROWS($AA$2:$AA95)&lt;=MAX('Per Line'!$AO$2:$AO$4001),MATCH(ROWS($AA$2:$AA95),'Per Line'!$AO$2:$AO$4001,0),"")</f>
        <v/>
      </c>
      <c r="AB95" s="14">
        <f>IF($AA95="","",L95-K95*Y95/100)</f>
        <v/>
      </c>
    </row>
    <row r="96">
      <c r="A96" s="12" t="n"/>
      <c r="B96">
        <f>IF($AA96="","",INDEX('Per Line'!$E$2:$E$4001,$AA96)&amp;"")</f>
        <v/>
      </c>
      <c r="C96">
        <f>IF($AA96="","",INDEX('Per Line'!$A$2:$A$4001,$AA96)&amp;"")</f>
        <v/>
      </c>
      <c r="D96">
        <f>IF($AA96="","",INDEX('Per Line'!$D$2:$D$4001,$AA96)&amp;"")</f>
        <v/>
      </c>
      <c r="E96" s="11">
        <f>IF($AA96="","",INDEX('Per Line'!$G$2:$G$4001,$AA96))</f>
        <v/>
      </c>
      <c r="F96">
        <f>IF($AA96="","",INDEX('Per Line'!$H$2:$H$4001,$AA96)&amp;"")</f>
        <v/>
      </c>
      <c r="G96">
        <f>IF($AA96="","",INDEX('Per Line'!$I$2:$I$4001,$AA96)&amp;"")</f>
        <v/>
      </c>
      <c r="H96">
        <f>IF($AA96="","",INDEX('Per Line'!$J$2:$J$4001,$AA96)&amp;"")</f>
        <v/>
      </c>
      <c r="I96">
        <f>IF($AA96="","",INDEX('Per Line'!$K$2:$K$4001,$AA96)&amp;"")</f>
        <v/>
      </c>
      <c r="J96">
        <f>IF($AA96="","",INDEX('Per Line'!$L$2:$L$4001,$AA96)&amp;"")</f>
        <v/>
      </c>
      <c r="K96">
        <f>IF($AA96="","",INDEX('Per Line'!$P$2:$P$4001,$AA96))</f>
        <v/>
      </c>
      <c r="L96" s="7">
        <f>IF($AA96="","",IF(AND(ISNUMBER(N96),N96&gt;0,Y96&gt;N96),K96*N96/100+(Y96-N96),K96*Y96/100))</f>
        <v/>
      </c>
      <c r="M96">
        <f>IF($AA96="","",INDEX('Per Line'!$Z$2:$Z$4001,$AA96)&amp;"")</f>
        <v/>
      </c>
      <c r="N96">
        <f>IF($AA96="","",INDEX('Per Line'!$AG$2:$AG$4001,$AA96))</f>
        <v/>
      </c>
      <c r="O96">
        <f>IF($AA96="","",IF(AND(ISNUMBER(N96),N96&gt;0),Y96&gt;N96,FALSE))</f>
        <v/>
      </c>
      <c r="P96" s="7">
        <f>IF($AA96="","",SUMIFS('Per Line'!$Y$2:$Y$4001,'Per Line'!$E$2:$E$4001,$B96,'Per Line'!$AQ$2:$AQ$4001,1))</f>
        <v/>
      </c>
      <c r="Q96">
        <f>IF($AA96="","",Settings!$C$7)</f>
        <v/>
      </c>
      <c r="R96" s="7">
        <f>IF($AA96="","",SUMIFS('Per Line'!$Y$2:$Y$4001,'Per Line'!$E$2:$E$4001,$B96,'Per Line'!$AP$2:$AP$4001,0,'Per Line'!$AQ$2:$AQ$4001,0))</f>
        <v/>
      </c>
      <c r="S96" s="7">
        <f>IF($AA96="","",R96*Q96)</f>
        <v/>
      </c>
      <c r="T96">
        <f>IF($AA96="","",Settings!$C$6)</f>
        <v/>
      </c>
      <c r="U96" s="7">
        <f>IF($AA96="","",SUMIFS('Per Line'!$Y$2:$Y$4001,'Per Line'!$E$2:$E$4001,$B96,'Per Line'!$AP$2:$AP$4001,1,'Per Line'!$AQ$2:$AQ$4001,0))</f>
        <v/>
      </c>
      <c r="V96" s="7">
        <f>IF($AA96="","",U96*T96)</f>
        <v/>
      </c>
      <c r="W96" s="7">
        <f>IF($AA96="","",V96+S96)</f>
        <v/>
      </c>
      <c r="X96" s="7">
        <f>IF($AA96="","",Y96-W96)</f>
        <v/>
      </c>
      <c r="Y96" s="7">
        <f>IF($AA96="","",R96+U96+P96)</f>
        <v/>
      </c>
      <c r="Z96" s="7">
        <f>IF($AA96="","",Y96-W96-L96)</f>
        <v/>
      </c>
      <c r="AA96" s="13">
        <f>IF(ROWS($AA$2:$AA96)&lt;=MAX('Per Line'!$AO$2:$AO$4001),MATCH(ROWS($AA$2:$AA96),'Per Line'!$AO$2:$AO$4001,0),"")</f>
        <v/>
      </c>
      <c r="AB96" s="14">
        <f>IF($AA96="","",L96-K96*Y96/100)</f>
        <v/>
      </c>
    </row>
    <row r="97">
      <c r="A97" s="12" t="n"/>
      <c r="B97">
        <f>IF($AA97="","",INDEX('Per Line'!$E$2:$E$4001,$AA97)&amp;"")</f>
        <v/>
      </c>
      <c r="C97">
        <f>IF($AA97="","",INDEX('Per Line'!$A$2:$A$4001,$AA97)&amp;"")</f>
        <v/>
      </c>
      <c r="D97">
        <f>IF($AA97="","",INDEX('Per Line'!$D$2:$D$4001,$AA97)&amp;"")</f>
        <v/>
      </c>
      <c r="E97" s="11">
        <f>IF($AA97="","",INDEX('Per Line'!$G$2:$G$4001,$AA97))</f>
        <v/>
      </c>
      <c r="F97">
        <f>IF($AA97="","",INDEX('Per Line'!$H$2:$H$4001,$AA97)&amp;"")</f>
        <v/>
      </c>
      <c r="G97">
        <f>IF($AA97="","",INDEX('Per Line'!$I$2:$I$4001,$AA97)&amp;"")</f>
        <v/>
      </c>
      <c r="H97">
        <f>IF($AA97="","",INDEX('Per Line'!$J$2:$J$4001,$AA97)&amp;"")</f>
        <v/>
      </c>
      <c r="I97">
        <f>IF($AA97="","",INDEX('Per Line'!$K$2:$K$4001,$AA97)&amp;"")</f>
        <v/>
      </c>
      <c r="J97">
        <f>IF($AA97="","",INDEX('Per Line'!$L$2:$L$4001,$AA97)&amp;"")</f>
        <v/>
      </c>
      <c r="K97">
        <f>IF($AA97="","",INDEX('Per Line'!$P$2:$P$4001,$AA97))</f>
        <v/>
      </c>
      <c r="L97" s="7">
        <f>IF($AA97="","",IF(AND(ISNUMBER(N97),N97&gt;0,Y97&gt;N97),K97*N97/100+(Y97-N97),K97*Y97/100))</f>
        <v/>
      </c>
      <c r="M97">
        <f>IF($AA97="","",INDEX('Per Line'!$Z$2:$Z$4001,$AA97)&amp;"")</f>
        <v/>
      </c>
      <c r="N97">
        <f>IF($AA97="","",INDEX('Per Line'!$AG$2:$AG$4001,$AA97))</f>
        <v/>
      </c>
      <c r="O97">
        <f>IF($AA97="","",IF(AND(ISNUMBER(N97),N97&gt;0),Y97&gt;N97,FALSE))</f>
        <v/>
      </c>
      <c r="P97" s="7">
        <f>IF($AA97="","",SUMIFS('Per Line'!$Y$2:$Y$4001,'Per Line'!$E$2:$E$4001,$B97,'Per Line'!$AQ$2:$AQ$4001,1))</f>
        <v/>
      </c>
      <c r="Q97">
        <f>IF($AA97="","",Settings!$C$7)</f>
        <v/>
      </c>
      <c r="R97" s="7">
        <f>IF($AA97="","",SUMIFS('Per Line'!$Y$2:$Y$4001,'Per Line'!$E$2:$E$4001,$B97,'Per Line'!$AP$2:$AP$4001,0,'Per Line'!$AQ$2:$AQ$4001,0))</f>
        <v/>
      </c>
      <c r="S97" s="7">
        <f>IF($AA97="","",R97*Q97)</f>
        <v/>
      </c>
      <c r="T97">
        <f>IF($AA97="","",Settings!$C$6)</f>
        <v/>
      </c>
      <c r="U97" s="7">
        <f>IF($AA97="","",SUMIFS('Per Line'!$Y$2:$Y$4001,'Per Line'!$E$2:$E$4001,$B97,'Per Line'!$AP$2:$AP$4001,1,'Per Line'!$AQ$2:$AQ$4001,0))</f>
        <v/>
      </c>
      <c r="V97" s="7">
        <f>IF($AA97="","",U97*T97)</f>
        <v/>
      </c>
      <c r="W97" s="7">
        <f>IF($AA97="","",V97+S97)</f>
        <v/>
      </c>
      <c r="X97" s="7">
        <f>IF($AA97="","",Y97-W97)</f>
        <v/>
      </c>
      <c r="Y97" s="7">
        <f>IF($AA97="","",R97+U97+P97)</f>
        <v/>
      </c>
      <c r="Z97" s="7">
        <f>IF($AA97="","",Y97-W97-L97)</f>
        <v/>
      </c>
      <c r="AA97" s="13">
        <f>IF(ROWS($AA$2:$AA97)&lt;=MAX('Per Line'!$AO$2:$AO$4001),MATCH(ROWS($AA$2:$AA97),'Per Line'!$AO$2:$AO$4001,0),"")</f>
        <v/>
      </c>
      <c r="AB97" s="14">
        <f>IF($AA97="","",L97-K97*Y97/100)</f>
        <v/>
      </c>
    </row>
    <row r="98">
      <c r="A98" s="12" t="n"/>
      <c r="B98">
        <f>IF($AA98="","",INDEX('Per Line'!$E$2:$E$4001,$AA98)&amp;"")</f>
        <v/>
      </c>
      <c r="C98">
        <f>IF($AA98="","",INDEX('Per Line'!$A$2:$A$4001,$AA98)&amp;"")</f>
        <v/>
      </c>
      <c r="D98">
        <f>IF($AA98="","",INDEX('Per Line'!$D$2:$D$4001,$AA98)&amp;"")</f>
        <v/>
      </c>
      <c r="E98" s="11">
        <f>IF($AA98="","",INDEX('Per Line'!$G$2:$G$4001,$AA98))</f>
        <v/>
      </c>
      <c r="F98">
        <f>IF($AA98="","",INDEX('Per Line'!$H$2:$H$4001,$AA98)&amp;"")</f>
        <v/>
      </c>
      <c r="G98">
        <f>IF($AA98="","",INDEX('Per Line'!$I$2:$I$4001,$AA98)&amp;"")</f>
        <v/>
      </c>
      <c r="H98">
        <f>IF($AA98="","",INDEX('Per Line'!$J$2:$J$4001,$AA98)&amp;"")</f>
        <v/>
      </c>
      <c r="I98">
        <f>IF($AA98="","",INDEX('Per Line'!$K$2:$K$4001,$AA98)&amp;"")</f>
        <v/>
      </c>
      <c r="J98">
        <f>IF($AA98="","",INDEX('Per Line'!$L$2:$L$4001,$AA98)&amp;"")</f>
        <v/>
      </c>
      <c r="K98">
        <f>IF($AA98="","",INDEX('Per Line'!$P$2:$P$4001,$AA98))</f>
        <v/>
      </c>
      <c r="L98" s="7">
        <f>IF($AA98="","",IF(AND(ISNUMBER(N98),N98&gt;0,Y98&gt;N98),K98*N98/100+(Y98-N98),K98*Y98/100))</f>
        <v/>
      </c>
      <c r="M98">
        <f>IF($AA98="","",INDEX('Per Line'!$Z$2:$Z$4001,$AA98)&amp;"")</f>
        <v/>
      </c>
      <c r="N98">
        <f>IF($AA98="","",INDEX('Per Line'!$AG$2:$AG$4001,$AA98))</f>
        <v/>
      </c>
      <c r="O98">
        <f>IF($AA98="","",IF(AND(ISNUMBER(N98),N98&gt;0),Y98&gt;N98,FALSE))</f>
        <v/>
      </c>
      <c r="P98" s="7">
        <f>IF($AA98="","",SUMIFS('Per Line'!$Y$2:$Y$4001,'Per Line'!$E$2:$E$4001,$B98,'Per Line'!$AQ$2:$AQ$4001,1))</f>
        <v/>
      </c>
      <c r="Q98">
        <f>IF($AA98="","",Settings!$C$7)</f>
        <v/>
      </c>
      <c r="R98" s="7">
        <f>IF($AA98="","",SUMIFS('Per Line'!$Y$2:$Y$4001,'Per Line'!$E$2:$E$4001,$B98,'Per Line'!$AP$2:$AP$4001,0,'Per Line'!$AQ$2:$AQ$4001,0))</f>
        <v/>
      </c>
      <c r="S98" s="7">
        <f>IF($AA98="","",R98*Q98)</f>
        <v/>
      </c>
      <c r="T98">
        <f>IF($AA98="","",Settings!$C$6)</f>
        <v/>
      </c>
      <c r="U98" s="7">
        <f>IF($AA98="","",SUMIFS('Per Line'!$Y$2:$Y$4001,'Per Line'!$E$2:$E$4001,$B98,'Per Line'!$AP$2:$AP$4001,1,'Per Line'!$AQ$2:$AQ$4001,0))</f>
        <v/>
      </c>
      <c r="V98" s="7">
        <f>IF($AA98="","",U98*T98)</f>
        <v/>
      </c>
      <c r="W98" s="7">
        <f>IF($AA98="","",V98+S98)</f>
        <v/>
      </c>
      <c r="X98" s="7">
        <f>IF($AA98="","",Y98-W98)</f>
        <v/>
      </c>
      <c r="Y98" s="7">
        <f>IF($AA98="","",R98+U98+P98)</f>
        <v/>
      </c>
      <c r="Z98" s="7">
        <f>IF($AA98="","",Y98-W98-L98)</f>
        <v/>
      </c>
      <c r="AA98" s="13">
        <f>IF(ROWS($AA$2:$AA98)&lt;=MAX('Per Line'!$AO$2:$AO$4001),MATCH(ROWS($AA$2:$AA98),'Per Line'!$AO$2:$AO$4001,0),"")</f>
        <v/>
      </c>
      <c r="AB98" s="14">
        <f>IF($AA98="","",L98-K98*Y98/100)</f>
        <v/>
      </c>
    </row>
    <row r="99">
      <c r="A99" s="12" t="n"/>
      <c r="B99">
        <f>IF($AA99="","",INDEX('Per Line'!$E$2:$E$4001,$AA99)&amp;"")</f>
        <v/>
      </c>
      <c r="C99">
        <f>IF($AA99="","",INDEX('Per Line'!$A$2:$A$4001,$AA99)&amp;"")</f>
        <v/>
      </c>
      <c r="D99">
        <f>IF($AA99="","",INDEX('Per Line'!$D$2:$D$4001,$AA99)&amp;"")</f>
        <v/>
      </c>
      <c r="E99" s="11">
        <f>IF($AA99="","",INDEX('Per Line'!$G$2:$G$4001,$AA99))</f>
        <v/>
      </c>
      <c r="F99">
        <f>IF($AA99="","",INDEX('Per Line'!$H$2:$H$4001,$AA99)&amp;"")</f>
        <v/>
      </c>
      <c r="G99">
        <f>IF($AA99="","",INDEX('Per Line'!$I$2:$I$4001,$AA99)&amp;"")</f>
        <v/>
      </c>
      <c r="H99">
        <f>IF($AA99="","",INDEX('Per Line'!$J$2:$J$4001,$AA99)&amp;"")</f>
        <v/>
      </c>
      <c r="I99">
        <f>IF($AA99="","",INDEX('Per Line'!$K$2:$K$4001,$AA99)&amp;"")</f>
        <v/>
      </c>
      <c r="J99">
        <f>IF($AA99="","",INDEX('Per Line'!$L$2:$L$4001,$AA99)&amp;"")</f>
        <v/>
      </c>
      <c r="K99">
        <f>IF($AA99="","",INDEX('Per Line'!$P$2:$P$4001,$AA99))</f>
        <v/>
      </c>
      <c r="L99" s="7">
        <f>IF($AA99="","",IF(AND(ISNUMBER(N99),N99&gt;0,Y99&gt;N99),K99*N99/100+(Y99-N99),K99*Y99/100))</f>
        <v/>
      </c>
      <c r="M99">
        <f>IF($AA99="","",INDEX('Per Line'!$Z$2:$Z$4001,$AA99)&amp;"")</f>
        <v/>
      </c>
      <c r="N99">
        <f>IF($AA99="","",INDEX('Per Line'!$AG$2:$AG$4001,$AA99))</f>
        <v/>
      </c>
      <c r="O99">
        <f>IF($AA99="","",IF(AND(ISNUMBER(N99),N99&gt;0),Y99&gt;N99,FALSE))</f>
        <v/>
      </c>
      <c r="P99" s="7">
        <f>IF($AA99="","",SUMIFS('Per Line'!$Y$2:$Y$4001,'Per Line'!$E$2:$E$4001,$B99,'Per Line'!$AQ$2:$AQ$4001,1))</f>
        <v/>
      </c>
      <c r="Q99">
        <f>IF($AA99="","",Settings!$C$7)</f>
        <v/>
      </c>
      <c r="R99" s="7">
        <f>IF($AA99="","",SUMIFS('Per Line'!$Y$2:$Y$4001,'Per Line'!$E$2:$E$4001,$B99,'Per Line'!$AP$2:$AP$4001,0,'Per Line'!$AQ$2:$AQ$4001,0))</f>
        <v/>
      </c>
      <c r="S99" s="7">
        <f>IF($AA99="","",R99*Q99)</f>
        <v/>
      </c>
      <c r="T99">
        <f>IF($AA99="","",Settings!$C$6)</f>
        <v/>
      </c>
      <c r="U99" s="7">
        <f>IF($AA99="","",SUMIFS('Per Line'!$Y$2:$Y$4001,'Per Line'!$E$2:$E$4001,$B99,'Per Line'!$AP$2:$AP$4001,1,'Per Line'!$AQ$2:$AQ$4001,0))</f>
        <v/>
      </c>
      <c r="V99" s="7">
        <f>IF($AA99="","",U99*T99)</f>
        <v/>
      </c>
      <c r="W99" s="7">
        <f>IF($AA99="","",V99+S99)</f>
        <v/>
      </c>
      <c r="X99" s="7">
        <f>IF($AA99="","",Y99-W99)</f>
        <v/>
      </c>
      <c r="Y99" s="7">
        <f>IF($AA99="","",R99+U99+P99)</f>
        <v/>
      </c>
      <c r="Z99" s="7">
        <f>IF($AA99="","",Y99-W99-L99)</f>
        <v/>
      </c>
      <c r="AA99" s="13">
        <f>IF(ROWS($AA$2:$AA99)&lt;=MAX('Per Line'!$AO$2:$AO$4001),MATCH(ROWS($AA$2:$AA99),'Per Line'!$AO$2:$AO$4001,0),"")</f>
        <v/>
      </c>
      <c r="AB99" s="14">
        <f>IF($AA99="","",L99-K99*Y99/100)</f>
        <v/>
      </c>
    </row>
    <row r="100">
      <c r="A100" s="12" t="n"/>
      <c r="B100">
        <f>IF($AA100="","",INDEX('Per Line'!$E$2:$E$4001,$AA100)&amp;"")</f>
        <v/>
      </c>
      <c r="C100">
        <f>IF($AA100="","",INDEX('Per Line'!$A$2:$A$4001,$AA100)&amp;"")</f>
        <v/>
      </c>
      <c r="D100">
        <f>IF($AA100="","",INDEX('Per Line'!$D$2:$D$4001,$AA100)&amp;"")</f>
        <v/>
      </c>
      <c r="E100" s="11">
        <f>IF($AA100="","",INDEX('Per Line'!$G$2:$G$4001,$AA100))</f>
        <v/>
      </c>
      <c r="F100">
        <f>IF($AA100="","",INDEX('Per Line'!$H$2:$H$4001,$AA100)&amp;"")</f>
        <v/>
      </c>
      <c r="G100">
        <f>IF($AA100="","",INDEX('Per Line'!$I$2:$I$4001,$AA100)&amp;"")</f>
        <v/>
      </c>
      <c r="H100">
        <f>IF($AA100="","",INDEX('Per Line'!$J$2:$J$4001,$AA100)&amp;"")</f>
        <v/>
      </c>
      <c r="I100">
        <f>IF($AA100="","",INDEX('Per Line'!$K$2:$K$4001,$AA100)&amp;"")</f>
        <v/>
      </c>
      <c r="J100">
        <f>IF($AA100="","",INDEX('Per Line'!$L$2:$L$4001,$AA100)&amp;"")</f>
        <v/>
      </c>
      <c r="K100">
        <f>IF($AA100="","",INDEX('Per Line'!$P$2:$P$4001,$AA100))</f>
        <v/>
      </c>
      <c r="L100" s="7">
        <f>IF($AA100="","",IF(AND(ISNUMBER(N100),N100&gt;0,Y100&gt;N100),K100*N100/100+(Y100-N100),K100*Y100/100))</f>
        <v/>
      </c>
      <c r="M100">
        <f>IF($AA100="","",INDEX('Per Line'!$Z$2:$Z$4001,$AA100)&amp;"")</f>
        <v/>
      </c>
      <c r="N100">
        <f>IF($AA100="","",INDEX('Per Line'!$AG$2:$AG$4001,$AA100))</f>
        <v/>
      </c>
      <c r="O100">
        <f>IF($AA100="","",IF(AND(ISNUMBER(N100),N100&gt;0),Y100&gt;N100,FALSE))</f>
        <v/>
      </c>
      <c r="P100" s="7">
        <f>IF($AA100="","",SUMIFS('Per Line'!$Y$2:$Y$4001,'Per Line'!$E$2:$E$4001,$B100,'Per Line'!$AQ$2:$AQ$4001,1))</f>
        <v/>
      </c>
      <c r="Q100">
        <f>IF($AA100="","",Settings!$C$7)</f>
        <v/>
      </c>
      <c r="R100" s="7">
        <f>IF($AA100="","",SUMIFS('Per Line'!$Y$2:$Y$4001,'Per Line'!$E$2:$E$4001,$B100,'Per Line'!$AP$2:$AP$4001,0,'Per Line'!$AQ$2:$AQ$4001,0))</f>
        <v/>
      </c>
      <c r="S100" s="7">
        <f>IF($AA100="","",R100*Q100)</f>
        <v/>
      </c>
      <c r="T100">
        <f>IF($AA100="","",Settings!$C$6)</f>
        <v/>
      </c>
      <c r="U100" s="7">
        <f>IF($AA100="","",SUMIFS('Per Line'!$Y$2:$Y$4001,'Per Line'!$E$2:$E$4001,$B100,'Per Line'!$AP$2:$AP$4001,1,'Per Line'!$AQ$2:$AQ$4001,0))</f>
        <v/>
      </c>
      <c r="V100" s="7">
        <f>IF($AA100="","",U100*T100)</f>
        <v/>
      </c>
      <c r="W100" s="7">
        <f>IF($AA100="","",V100+S100)</f>
        <v/>
      </c>
      <c r="X100" s="7">
        <f>IF($AA100="","",Y100-W100)</f>
        <v/>
      </c>
      <c r="Y100" s="7">
        <f>IF($AA100="","",R100+U100+P100)</f>
        <v/>
      </c>
      <c r="Z100" s="7">
        <f>IF($AA100="","",Y100-W100-L100)</f>
        <v/>
      </c>
      <c r="AA100" s="13">
        <f>IF(ROWS($AA$2:$AA100)&lt;=MAX('Per Line'!$AO$2:$AO$4001),MATCH(ROWS($AA$2:$AA100),'Per Line'!$AO$2:$AO$4001,0),"")</f>
        <v/>
      </c>
      <c r="AB100" s="14">
        <f>IF($AA100="","",L100-K100*Y100/100)</f>
        <v/>
      </c>
    </row>
    <row r="101">
      <c r="A101" s="12" t="n"/>
      <c r="B101">
        <f>IF($AA101="","",INDEX('Per Line'!$E$2:$E$4001,$AA101)&amp;"")</f>
        <v/>
      </c>
      <c r="C101">
        <f>IF($AA101="","",INDEX('Per Line'!$A$2:$A$4001,$AA101)&amp;"")</f>
        <v/>
      </c>
      <c r="D101">
        <f>IF($AA101="","",INDEX('Per Line'!$D$2:$D$4001,$AA101)&amp;"")</f>
        <v/>
      </c>
      <c r="E101" s="11">
        <f>IF($AA101="","",INDEX('Per Line'!$G$2:$G$4001,$AA101))</f>
        <v/>
      </c>
      <c r="F101">
        <f>IF($AA101="","",INDEX('Per Line'!$H$2:$H$4001,$AA101)&amp;"")</f>
        <v/>
      </c>
      <c r="G101">
        <f>IF($AA101="","",INDEX('Per Line'!$I$2:$I$4001,$AA101)&amp;"")</f>
        <v/>
      </c>
      <c r="H101">
        <f>IF($AA101="","",INDEX('Per Line'!$J$2:$J$4001,$AA101)&amp;"")</f>
        <v/>
      </c>
      <c r="I101">
        <f>IF($AA101="","",INDEX('Per Line'!$K$2:$K$4001,$AA101)&amp;"")</f>
        <v/>
      </c>
      <c r="J101">
        <f>IF($AA101="","",INDEX('Per Line'!$L$2:$L$4001,$AA101)&amp;"")</f>
        <v/>
      </c>
      <c r="K101">
        <f>IF($AA101="","",INDEX('Per Line'!$P$2:$P$4001,$AA101))</f>
        <v/>
      </c>
      <c r="L101" s="7">
        <f>IF($AA101="","",IF(AND(ISNUMBER(N101),N101&gt;0,Y101&gt;N101),K101*N101/100+(Y101-N101),K101*Y101/100))</f>
        <v/>
      </c>
      <c r="M101">
        <f>IF($AA101="","",INDEX('Per Line'!$Z$2:$Z$4001,$AA101)&amp;"")</f>
        <v/>
      </c>
      <c r="N101">
        <f>IF($AA101="","",INDEX('Per Line'!$AG$2:$AG$4001,$AA101))</f>
        <v/>
      </c>
      <c r="O101">
        <f>IF($AA101="","",IF(AND(ISNUMBER(N101),N101&gt;0),Y101&gt;N101,FALSE))</f>
        <v/>
      </c>
      <c r="P101" s="7">
        <f>IF($AA101="","",SUMIFS('Per Line'!$Y$2:$Y$4001,'Per Line'!$E$2:$E$4001,$B101,'Per Line'!$AQ$2:$AQ$4001,1))</f>
        <v/>
      </c>
      <c r="Q101">
        <f>IF($AA101="","",Settings!$C$7)</f>
        <v/>
      </c>
      <c r="R101" s="7">
        <f>IF($AA101="","",SUMIFS('Per Line'!$Y$2:$Y$4001,'Per Line'!$E$2:$E$4001,$B101,'Per Line'!$AP$2:$AP$4001,0,'Per Line'!$AQ$2:$AQ$4001,0))</f>
        <v/>
      </c>
      <c r="S101" s="7">
        <f>IF($AA101="","",R101*Q101)</f>
        <v/>
      </c>
      <c r="T101">
        <f>IF($AA101="","",Settings!$C$6)</f>
        <v/>
      </c>
      <c r="U101" s="7">
        <f>IF($AA101="","",SUMIFS('Per Line'!$Y$2:$Y$4001,'Per Line'!$E$2:$E$4001,$B101,'Per Line'!$AP$2:$AP$4001,1,'Per Line'!$AQ$2:$AQ$4001,0))</f>
        <v/>
      </c>
      <c r="V101" s="7">
        <f>IF($AA101="","",U101*T101)</f>
        <v/>
      </c>
      <c r="W101" s="7">
        <f>IF($AA101="","",V101+S101)</f>
        <v/>
      </c>
      <c r="X101" s="7">
        <f>IF($AA101="","",Y101-W101)</f>
        <v/>
      </c>
      <c r="Y101" s="7">
        <f>IF($AA101="","",R101+U101+P101)</f>
        <v/>
      </c>
      <c r="Z101" s="7">
        <f>IF($AA101="","",Y101-W101-L101)</f>
        <v/>
      </c>
      <c r="AA101" s="13">
        <f>IF(ROWS($AA$2:$AA101)&lt;=MAX('Per Line'!$AO$2:$AO$4001),MATCH(ROWS($AA$2:$AA101),'Per Line'!$AO$2:$AO$4001,0),"")</f>
        <v/>
      </c>
      <c r="AB101" s="14">
        <f>IF($AA101="","",L101-K101*Y101/100)</f>
        <v/>
      </c>
    </row>
    <row r="102">
      <c r="A102" s="12" t="n"/>
      <c r="B102">
        <f>IF($AA102="","",INDEX('Per Line'!$E$2:$E$4001,$AA102)&amp;"")</f>
        <v/>
      </c>
      <c r="C102">
        <f>IF($AA102="","",INDEX('Per Line'!$A$2:$A$4001,$AA102)&amp;"")</f>
        <v/>
      </c>
      <c r="D102">
        <f>IF($AA102="","",INDEX('Per Line'!$D$2:$D$4001,$AA102)&amp;"")</f>
        <v/>
      </c>
      <c r="E102" s="11">
        <f>IF($AA102="","",INDEX('Per Line'!$G$2:$G$4001,$AA102))</f>
        <v/>
      </c>
      <c r="F102">
        <f>IF($AA102="","",INDEX('Per Line'!$H$2:$H$4001,$AA102)&amp;"")</f>
        <v/>
      </c>
      <c r="G102">
        <f>IF($AA102="","",INDEX('Per Line'!$I$2:$I$4001,$AA102)&amp;"")</f>
        <v/>
      </c>
      <c r="H102">
        <f>IF($AA102="","",INDEX('Per Line'!$J$2:$J$4001,$AA102)&amp;"")</f>
        <v/>
      </c>
      <c r="I102">
        <f>IF($AA102="","",INDEX('Per Line'!$K$2:$K$4001,$AA102)&amp;"")</f>
        <v/>
      </c>
      <c r="J102">
        <f>IF($AA102="","",INDEX('Per Line'!$L$2:$L$4001,$AA102)&amp;"")</f>
        <v/>
      </c>
      <c r="K102">
        <f>IF($AA102="","",INDEX('Per Line'!$P$2:$P$4001,$AA102))</f>
        <v/>
      </c>
      <c r="L102" s="7">
        <f>IF($AA102="","",IF(AND(ISNUMBER(N102),N102&gt;0,Y102&gt;N102),K102*N102/100+(Y102-N102),K102*Y102/100))</f>
        <v/>
      </c>
      <c r="M102">
        <f>IF($AA102="","",INDEX('Per Line'!$Z$2:$Z$4001,$AA102)&amp;"")</f>
        <v/>
      </c>
      <c r="N102">
        <f>IF($AA102="","",INDEX('Per Line'!$AG$2:$AG$4001,$AA102))</f>
        <v/>
      </c>
      <c r="O102">
        <f>IF($AA102="","",IF(AND(ISNUMBER(N102),N102&gt;0),Y102&gt;N102,FALSE))</f>
        <v/>
      </c>
      <c r="P102" s="7">
        <f>IF($AA102="","",SUMIFS('Per Line'!$Y$2:$Y$4001,'Per Line'!$E$2:$E$4001,$B102,'Per Line'!$AQ$2:$AQ$4001,1))</f>
        <v/>
      </c>
      <c r="Q102">
        <f>IF($AA102="","",Settings!$C$7)</f>
        <v/>
      </c>
      <c r="R102" s="7">
        <f>IF($AA102="","",SUMIFS('Per Line'!$Y$2:$Y$4001,'Per Line'!$E$2:$E$4001,$B102,'Per Line'!$AP$2:$AP$4001,0,'Per Line'!$AQ$2:$AQ$4001,0))</f>
        <v/>
      </c>
      <c r="S102" s="7">
        <f>IF($AA102="","",R102*Q102)</f>
        <v/>
      </c>
      <c r="T102">
        <f>IF($AA102="","",Settings!$C$6)</f>
        <v/>
      </c>
      <c r="U102" s="7">
        <f>IF($AA102="","",SUMIFS('Per Line'!$Y$2:$Y$4001,'Per Line'!$E$2:$E$4001,$B102,'Per Line'!$AP$2:$AP$4001,1,'Per Line'!$AQ$2:$AQ$4001,0))</f>
        <v/>
      </c>
      <c r="V102" s="7">
        <f>IF($AA102="","",U102*T102)</f>
        <v/>
      </c>
      <c r="W102" s="7">
        <f>IF($AA102="","",V102+S102)</f>
        <v/>
      </c>
      <c r="X102" s="7">
        <f>IF($AA102="","",Y102-W102)</f>
        <v/>
      </c>
      <c r="Y102" s="7">
        <f>IF($AA102="","",R102+U102+P102)</f>
        <v/>
      </c>
      <c r="Z102" s="7">
        <f>IF($AA102="","",Y102-W102-L102)</f>
        <v/>
      </c>
      <c r="AA102" s="13">
        <f>IF(ROWS($AA$2:$AA102)&lt;=MAX('Per Line'!$AO$2:$AO$4001),MATCH(ROWS($AA$2:$AA102),'Per Line'!$AO$2:$AO$4001,0),"")</f>
        <v/>
      </c>
      <c r="AB102" s="14">
        <f>IF($AA102="","",L102-K102*Y102/100)</f>
        <v/>
      </c>
    </row>
    <row r="103">
      <c r="A103" s="12" t="n"/>
      <c r="B103">
        <f>IF($AA103="","",INDEX('Per Line'!$E$2:$E$4001,$AA103)&amp;"")</f>
        <v/>
      </c>
      <c r="C103">
        <f>IF($AA103="","",INDEX('Per Line'!$A$2:$A$4001,$AA103)&amp;"")</f>
        <v/>
      </c>
      <c r="D103">
        <f>IF($AA103="","",INDEX('Per Line'!$D$2:$D$4001,$AA103)&amp;"")</f>
        <v/>
      </c>
      <c r="E103" s="11">
        <f>IF($AA103="","",INDEX('Per Line'!$G$2:$G$4001,$AA103))</f>
        <v/>
      </c>
      <c r="F103">
        <f>IF($AA103="","",INDEX('Per Line'!$H$2:$H$4001,$AA103)&amp;"")</f>
        <v/>
      </c>
      <c r="G103">
        <f>IF($AA103="","",INDEX('Per Line'!$I$2:$I$4001,$AA103)&amp;"")</f>
        <v/>
      </c>
      <c r="H103">
        <f>IF($AA103="","",INDEX('Per Line'!$J$2:$J$4001,$AA103)&amp;"")</f>
        <v/>
      </c>
      <c r="I103">
        <f>IF($AA103="","",INDEX('Per Line'!$K$2:$K$4001,$AA103)&amp;"")</f>
        <v/>
      </c>
      <c r="J103">
        <f>IF($AA103="","",INDEX('Per Line'!$L$2:$L$4001,$AA103)&amp;"")</f>
        <v/>
      </c>
      <c r="K103">
        <f>IF($AA103="","",INDEX('Per Line'!$P$2:$P$4001,$AA103))</f>
        <v/>
      </c>
      <c r="L103" s="7">
        <f>IF($AA103="","",IF(AND(ISNUMBER(N103),N103&gt;0,Y103&gt;N103),K103*N103/100+(Y103-N103),K103*Y103/100))</f>
        <v/>
      </c>
      <c r="M103">
        <f>IF($AA103="","",INDEX('Per Line'!$Z$2:$Z$4001,$AA103)&amp;"")</f>
        <v/>
      </c>
      <c r="N103">
        <f>IF($AA103="","",INDEX('Per Line'!$AG$2:$AG$4001,$AA103))</f>
        <v/>
      </c>
      <c r="O103">
        <f>IF($AA103="","",IF(AND(ISNUMBER(N103),N103&gt;0),Y103&gt;N103,FALSE))</f>
        <v/>
      </c>
      <c r="P103" s="7">
        <f>IF($AA103="","",SUMIFS('Per Line'!$Y$2:$Y$4001,'Per Line'!$E$2:$E$4001,$B103,'Per Line'!$AQ$2:$AQ$4001,1))</f>
        <v/>
      </c>
      <c r="Q103">
        <f>IF($AA103="","",Settings!$C$7)</f>
        <v/>
      </c>
      <c r="R103" s="7">
        <f>IF($AA103="","",SUMIFS('Per Line'!$Y$2:$Y$4001,'Per Line'!$E$2:$E$4001,$B103,'Per Line'!$AP$2:$AP$4001,0,'Per Line'!$AQ$2:$AQ$4001,0))</f>
        <v/>
      </c>
      <c r="S103" s="7">
        <f>IF($AA103="","",R103*Q103)</f>
        <v/>
      </c>
      <c r="T103">
        <f>IF($AA103="","",Settings!$C$6)</f>
        <v/>
      </c>
      <c r="U103" s="7">
        <f>IF($AA103="","",SUMIFS('Per Line'!$Y$2:$Y$4001,'Per Line'!$E$2:$E$4001,$B103,'Per Line'!$AP$2:$AP$4001,1,'Per Line'!$AQ$2:$AQ$4001,0))</f>
        <v/>
      </c>
      <c r="V103" s="7">
        <f>IF($AA103="","",U103*T103)</f>
        <v/>
      </c>
      <c r="W103" s="7">
        <f>IF($AA103="","",V103+S103)</f>
        <v/>
      </c>
      <c r="X103" s="7">
        <f>IF($AA103="","",Y103-W103)</f>
        <v/>
      </c>
      <c r="Y103" s="7">
        <f>IF($AA103="","",R103+U103+P103)</f>
        <v/>
      </c>
      <c r="Z103" s="7">
        <f>IF($AA103="","",Y103-W103-L103)</f>
        <v/>
      </c>
      <c r="AA103" s="13">
        <f>IF(ROWS($AA$2:$AA103)&lt;=MAX('Per Line'!$AO$2:$AO$4001),MATCH(ROWS($AA$2:$AA103),'Per Line'!$AO$2:$AO$4001,0),"")</f>
        <v/>
      </c>
      <c r="AB103" s="14">
        <f>IF($AA103="","",L103-K103*Y103/100)</f>
        <v/>
      </c>
    </row>
    <row r="104">
      <c r="A104" s="12" t="n"/>
      <c r="B104">
        <f>IF($AA104="","",INDEX('Per Line'!$E$2:$E$4001,$AA104)&amp;"")</f>
        <v/>
      </c>
      <c r="C104">
        <f>IF($AA104="","",INDEX('Per Line'!$A$2:$A$4001,$AA104)&amp;"")</f>
        <v/>
      </c>
      <c r="D104">
        <f>IF($AA104="","",INDEX('Per Line'!$D$2:$D$4001,$AA104)&amp;"")</f>
        <v/>
      </c>
      <c r="E104" s="11">
        <f>IF($AA104="","",INDEX('Per Line'!$G$2:$G$4001,$AA104))</f>
        <v/>
      </c>
      <c r="F104">
        <f>IF($AA104="","",INDEX('Per Line'!$H$2:$H$4001,$AA104)&amp;"")</f>
        <v/>
      </c>
      <c r="G104">
        <f>IF($AA104="","",INDEX('Per Line'!$I$2:$I$4001,$AA104)&amp;"")</f>
        <v/>
      </c>
      <c r="H104">
        <f>IF($AA104="","",INDEX('Per Line'!$J$2:$J$4001,$AA104)&amp;"")</f>
        <v/>
      </c>
      <c r="I104">
        <f>IF($AA104="","",INDEX('Per Line'!$K$2:$K$4001,$AA104)&amp;"")</f>
        <v/>
      </c>
      <c r="J104">
        <f>IF($AA104="","",INDEX('Per Line'!$L$2:$L$4001,$AA104)&amp;"")</f>
        <v/>
      </c>
      <c r="K104">
        <f>IF($AA104="","",INDEX('Per Line'!$P$2:$P$4001,$AA104))</f>
        <v/>
      </c>
      <c r="L104" s="7">
        <f>IF($AA104="","",IF(AND(ISNUMBER(N104),N104&gt;0,Y104&gt;N104),K104*N104/100+(Y104-N104),K104*Y104/100))</f>
        <v/>
      </c>
      <c r="M104">
        <f>IF($AA104="","",INDEX('Per Line'!$Z$2:$Z$4001,$AA104)&amp;"")</f>
        <v/>
      </c>
      <c r="N104">
        <f>IF($AA104="","",INDEX('Per Line'!$AG$2:$AG$4001,$AA104))</f>
        <v/>
      </c>
      <c r="O104">
        <f>IF($AA104="","",IF(AND(ISNUMBER(N104),N104&gt;0),Y104&gt;N104,FALSE))</f>
        <v/>
      </c>
      <c r="P104" s="7">
        <f>IF($AA104="","",SUMIFS('Per Line'!$Y$2:$Y$4001,'Per Line'!$E$2:$E$4001,$B104,'Per Line'!$AQ$2:$AQ$4001,1))</f>
        <v/>
      </c>
      <c r="Q104">
        <f>IF($AA104="","",Settings!$C$7)</f>
        <v/>
      </c>
      <c r="R104" s="7">
        <f>IF($AA104="","",SUMIFS('Per Line'!$Y$2:$Y$4001,'Per Line'!$E$2:$E$4001,$B104,'Per Line'!$AP$2:$AP$4001,0,'Per Line'!$AQ$2:$AQ$4001,0))</f>
        <v/>
      </c>
      <c r="S104" s="7">
        <f>IF($AA104="","",R104*Q104)</f>
        <v/>
      </c>
      <c r="T104">
        <f>IF($AA104="","",Settings!$C$6)</f>
        <v/>
      </c>
      <c r="U104" s="7">
        <f>IF($AA104="","",SUMIFS('Per Line'!$Y$2:$Y$4001,'Per Line'!$E$2:$E$4001,$B104,'Per Line'!$AP$2:$AP$4001,1,'Per Line'!$AQ$2:$AQ$4001,0))</f>
        <v/>
      </c>
      <c r="V104" s="7">
        <f>IF($AA104="","",U104*T104)</f>
        <v/>
      </c>
      <c r="W104" s="7">
        <f>IF($AA104="","",V104+S104)</f>
        <v/>
      </c>
      <c r="X104" s="7">
        <f>IF($AA104="","",Y104-W104)</f>
        <v/>
      </c>
      <c r="Y104" s="7">
        <f>IF($AA104="","",R104+U104+P104)</f>
        <v/>
      </c>
      <c r="Z104" s="7">
        <f>IF($AA104="","",Y104-W104-L104)</f>
        <v/>
      </c>
      <c r="AA104" s="13">
        <f>IF(ROWS($AA$2:$AA104)&lt;=MAX('Per Line'!$AO$2:$AO$4001),MATCH(ROWS($AA$2:$AA104),'Per Line'!$AO$2:$AO$4001,0),"")</f>
        <v/>
      </c>
      <c r="AB104" s="14">
        <f>IF($AA104="","",L104-K104*Y104/100)</f>
        <v/>
      </c>
    </row>
    <row r="105">
      <c r="A105" s="12" t="n"/>
      <c r="B105">
        <f>IF($AA105="","",INDEX('Per Line'!$E$2:$E$4001,$AA105)&amp;"")</f>
        <v/>
      </c>
      <c r="C105">
        <f>IF($AA105="","",INDEX('Per Line'!$A$2:$A$4001,$AA105)&amp;"")</f>
        <v/>
      </c>
      <c r="D105">
        <f>IF($AA105="","",INDEX('Per Line'!$D$2:$D$4001,$AA105)&amp;"")</f>
        <v/>
      </c>
      <c r="E105" s="11">
        <f>IF($AA105="","",INDEX('Per Line'!$G$2:$G$4001,$AA105))</f>
        <v/>
      </c>
      <c r="F105">
        <f>IF($AA105="","",INDEX('Per Line'!$H$2:$H$4001,$AA105)&amp;"")</f>
        <v/>
      </c>
      <c r="G105">
        <f>IF($AA105="","",INDEX('Per Line'!$I$2:$I$4001,$AA105)&amp;"")</f>
        <v/>
      </c>
      <c r="H105">
        <f>IF($AA105="","",INDEX('Per Line'!$J$2:$J$4001,$AA105)&amp;"")</f>
        <v/>
      </c>
      <c r="I105">
        <f>IF($AA105="","",INDEX('Per Line'!$K$2:$K$4001,$AA105)&amp;"")</f>
        <v/>
      </c>
      <c r="J105">
        <f>IF($AA105="","",INDEX('Per Line'!$L$2:$L$4001,$AA105)&amp;"")</f>
        <v/>
      </c>
      <c r="K105">
        <f>IF($AA105="","",INDEX('Per Line'!$P$2:$P$4001,$AA105))</f>
        <v/>
      </c>
      <c r="L105" s="7">
        <f>IF($AA105="","",IF(AND(ISNUMBER(N105),N105&gt;0,Y105&gt;N105),K105*N105/100+(Y105-N105),K105*Y105/100))</f>
        <v/>
      </c>
      <c r="M105">
        <f>IF($AA105="","",INDEX('Per Line'!$Z$2:$Z$4001,$AA105)&amp;"")</f>
        <v/>
      </c>
      <c r="N105">
        <f>IF($AA105="","",INDEX('Per Line'!$AG$2:$AG$4001,$AA105))</f>
        <v/>
      </c>
      <c r="O105">
        <f>IF($AA105="","",IF(AND(ISNUMBER(N105),N105&gt;0),Y105&gt;N105,FALSE))</f>
        <v/>
      </c>
      <c r="P105" s="7">
        <f>IF($AA105="","",SUMIFS('Per Line'!$Y$2:$Y$4001,'Per Line'!$E$2:$E$4001,$B105,'Per Line'!$AQ$2:$AQ$4001,1))</f>
        <v/>
      </c>
      <c r="Q105">
        <f>IF($AA105="","",Settings!$C$7)</f>
        <v/>
      </c>
      <c r="R105" s="7">
        <f>IF($AA105="","",SUMIFS('Per Line'!$Y$2:$Y$4001,'Per Line'!$E$2:$E$4001,$B105,'Per Line'!$AP$2:$AP$4001,0,'Per Line'!$AQ$2:$AQ$4001,0))</f>
        <v/>
      </c>
      <c r="S105" s="7">
        <f>IF($AA105="","",R105*Q105)</f>
        <v/>
      </c>
      <c r="T105">
        <f>IF($AA105="","",Settings!$C$6)</f>
        <v/>
      </c>
      <c r="U105" s="7">
        <f>IF($AA105="","",SUMIFS('Per Line'!$Y$2:$Y$4001,'Per Line'!$E$2:$E$4001,$B105,'Per Line'!$AP$2:$AP$4001,1,'Per Line'!$AQ$2:$AQ$4001,0))</f>
        <v/>
      </c>
      <c r="V105" s="7">
        <f>IF($AA105="","",U105*T105)</f>
        <v/>
      </c>
      <c r="W105" s="7">
        <f>IF($AA105="","",V105+S105)</f>
        <v/>
      </c>
      <c r="X105" s="7">
        <f>IF($AA105="","",Y105-W105)</f>
        <v/>
      </c>
      <c r="Y105" s="7">
        <f>IF($AA105="","",R105+U105+P105)</f>
        <v/>
      </c>
      <c r="Z105" s="7">
        <f>IF($AA105="","",Y105-W105-L105)</f>
        <v/>
      </c>
      <c r="AA105" s="13">
        <f>IF(ROWS($AA$2:$AA105)&lt;=MAX('Per Line'!$AO$2:$AO$4001),MATCH(ROWS($AA$2:$AA105),'Per Line'!$AO$2:$AO$4001,0),"")</f>
        <v/>
      </c>
      <c r="AB105" s="14">
        <f>IF($AA105="","",L105-K105*Y105/100)</f>
        <v/>
      </c>
    </row>
    <row r="106">
      <c r="A106" s="12" t="n"/>
      <c r="B106">
        <f>IF($AA106="","",INDEX('Per Line'!$E$2:$E$4001,$AA106)&amp;"")</f>
        <v/>
      </c>
      <c r="C106">
        <f>IF($AA106="","",INDEX('Per Line'!$A$2:$A$4001,$AA106)&amp;"")</f>
        <v/>
      </c>
      <c r="D106">
        <f>IF($AA106="","",INDEX('Per Line'!$D$2:$D$4001,$AA106)&amp;"")</f>
        <v/>
      </c>
      <c r="E106" s="11">
        <f>IF($AA106="","",INDEX('Per Line'!$G$2:$G$4001,$AA106))</f>
        <v/>
      </c>
      <c r="F106">
        <f>IF($AA106="","",INDEX('Per Line'!$H$2:$H$4001,$AA106)&amp;"")</f>
        <v/>
      </c>
      <c r="G106">
        <f>IF($AA106="","",INDEX('Per Line'!$I$2:$I$4001,$AA106)&amp;"")</f>
        <v/>
      </c>
      <c r="H106">
        <f>IF($AA106="","",INDEX('Per Line'!$J$2:$J$4001,$AA106)&amp;"")</f>
        <v/>
      </c>
      <c r="I106">
        <f>IF($AA106="","",INDEX('Per Line'!$K$2:$K$4001,$AA106)&amp;"")</f>
        <v/>
      </c>
      <c r="J106">
        <f>IF($AA106="","",INDEX('Per Line'!$L$2:$L$4001,$AA106)&amp;"")</f>
        <v/>
      </c>
      <c r="K106">
        <f>IF($AA106="","",INDEX('Per Line'!$P$2:$P$4001,$AA106))</f>
        <v/>
      </c>
      <c r="L106" s="7">
        <f>IF($AA106="","",IF(AND(ISNUMBER(N106),N106&gt;0,Y106&gt;N106),K106*N106/100+(Y106-N106),K106*Y106/100))</f>
        <v/>
      </c>
      <c r="M106">
        <f>IF($AA106="","",INDEX('Per Line'!$Z$2:$Z$4001,$AA106)&amp;"")</f>
        <v/>
      </c>
      <c r="N106">
        <f>IF($AA106="","",INDEX('Per Line'!$AG$2:$AG$4001,$AA106))</f>
        <v/>
      </c>
      <c r="O106">
        <f>IF($AA106="","",IF(AND(ISNUMBER(N106),N106&gt;0),Y106&gt;N106,FALSE))</f>
        <v/>
      </c>
      <c r="P106" s="7">
        <f>IF($AA106="","",SUMIFS('Per Line'!$Y$2:$Y$4001,'Per Line'!$E$2:$E$4001,$B106,'Per Line'!$AQ$2:$AQ$4001,1))</f>
        <v/>
      </c>
      <c r="Q106">
        <f>IF($AA106="","",Settings!$C$7)</f>
        <v/>
      </c>
      <c r="R106" s="7">
        <f>IF($AA106="","",SUMIFS('Per Line'!$Y$2:$Y$4001,'Per Line'!$E$2:$E$4001,$B106,'Per Line'!$AP$2:$AP$4001,0,'Per Line'!$AQ$2:$AQ$4001,0))</f>
        <v/>
      </c>
      <c r="S106" s="7">
        <f>IF($AA106="","",R106*Q106)</f>
        <v/>
      </c>
      <c r="T106">
        <f>IF($AA106="","",Settings!$C$6)</f>
        <v/>
      </c>
      <c r="U106" s="7">
        <f>IF($AA106="","",SUMIFS('Per Line'!$Y$2:$Y$4001,'Per Line'!$E$2:$E$4001,$B106,'Per Line'!$AP$2:$AP$4001,1,'Per Line'!$AQ$2:$AQ$4001,0))</f>
        <v/>
      </c>
      <c r="V106" s="7">
        <f>IF($AA106="","",U106*T106)</f>
        <v/>
      </c>
      <c r="W106" s="7">
        <f>IF($AA106="","",V106+S106)</f>
        <v/>
      </c>
      <c r="X106" s="7">
        <f>IF($AA106="","",Y106-W106)</f>
        <v/>
      </c>
      <c r="Y106" s="7">
        <f>IF($AA106="","",R106+U106+P106)</f>
        <v/>
      </c>
      <c r="Z106" s="7">
        <f>IF($AA106="","",Y106-W106-L106)</f>
        <v/>
      </c>
      <c r="AA106" s="13">
        <f>IF(ROWS($AA$2:$AA106)&lt;=MAX('Per Line'!$AO$2:$AO$4001),MATCH(ROWS($AA$2:$AA106),'Per Line'!$AO$2:$AO$4001,0),"")</f>
        <v/>
      </c>
      <c r="AB106" s="14">
        <f>IF($AA106="","",L106-K106*Y106/100)</f>
        <v/>
      </c>
    </row>
    <row r="107">
      <c r="A107" s="12" t="n"/>
      <c r="B107">
        <f>IF($AA107="","",INDEX('Per Line'!$E$2:$E$4001,$AA107)&amp;"")</f>
        <v/>
      </c>
      <c r="C107">
        <f>IF($AA107="","",INDEX('Per Line'!$A$2:$A$4001,$AA107)&amp;"")</f>
        <v/>
      </c>
      <c r="D107">
        <f>IF($AA107="","",INDEX('Per Line'!$D$2:$D$4001,$AA107)&amp;"")</f>
        <v/>
      </c>
      <c r="E107" s="11">
        <f>IF($AA107="","",INDEX('Per Line'!$G$2:$G$4001,$AA107))</f>
        <v/>
      </c>
      <c r="F107">
        <f>IF($AA107="","",INDEX('Per Line'!$H$2:$H$4001,$AA107)&amp;"")</f>
        <v/>
      </c>
      <c r="G107">
        <f>IF($AA107="","",INDEX('Per Line'!$I$2:$I$4001,$AA107)&amp;"")</f>
        <v/>
      </c>
      <c r="H107">
        <f>IF($AA107="","",INDEX('Per Line'!$J$2:$J$4001,$AA107)&amp;"")</f>
        <v/>
      </c>
      <c r="I107">
        <f>IF($AA107="","",INDEX('Per Line'!$K$2:$K$4001,$AA107)&amp;"")</f>
        <v/>
      </c>
      <c r="J107">
        <f>IF($AA107="","",INDEX('Per Line'!$L$2:$L$4001,$AA107)&amp;"")</f>
        <v/>
      </c>
      <c r="K107">
        <f>IF($AA107="","",INDEX('Per Line'!$P$2:$P$4001,$AA107))</f>
        <v/>
      </c>
      <c r="L107" s="7">
        <f>IF($AA107="","",IF(AND(ISNUMBER(N107),N107&gt;0,Y107&gt;N107),K107*N107/100+(Y107-N107),K107*Y107/100))</f>
        <v/>
      </c>
      <c r="M107">
        <f>IF($AA107="","",INDEX('Per Line'!$Z$2:$Z$4001,$AA107)&amp;"")</f>
        <v/>
      </c>
      <c r="N107">
        <f>IF($AA107="","",INDEX('Per Line'!$AG$2:$AG$4001,$AA107))</f>
        <v/>
      </c>
      <c r="O107">
        <f>IF($AA107="","",IF(AND(ISNUMBER(N107),N107&gt;0),Y107&gt;N107,FALSE))</f>
        <v/>
      </c>
      <c r="P107" s="7">
        <f>IF($AA107="","",SUMIFS('Per Line'!$Y$2:$Y$4001,'Per Line'!$E$2:$E$4001,$B107,'Per Line'!$AQ$2:$AQ$4001,1))</f>
        <v/>
      </c>
      <c r="Q107">
        <f>IF($AA107="","",Settings!$C$7)</f>
        <v/>
      </c>
      <c r="R107" s="7">
        <f>IF($AA107="","",SUMIFS('Per Line'!$Y$2:$Y$4001,'Per Line'!$E$2:$E$4001,$B107,'Per Line'!$AP$2:$AP$4001,0,'Per Line'!$AQ$2:$AQ$4001,0))</f>
        <v/>
      </c>
      <c r="S107" s="7">
        <f>IF($AA107="","",R107*Q107)</f>
        <v/>
      </c>
      <c r="T107">
        <f>IF($AA107="","",Settings!$C$6)</f>
        <v/>
      </c>
      <c r="U107" s="7">
        <f>IF($AA107="","",SUMIFS('Per Line'!$Y$2:$Y$4001,'Per Line'!$E$2:$E$4001,$B107,'Per Line'!$AP$2:$AP$4001,1,'Per Line'!$AQ$2:$AQ$4001,0))</f>
        <v/>
      </c>
      <c r="V107" s="7">
        <f>IF($AA107="","",U107*T107)</f>
        <v/>
      </c>
      <c r="W107" s="7">
        <f>IF($AA107="","",V107+S107)</f>
        <v/>
      </c>
      <c r="X107" s="7">
        <f>IF($AA107="","",Y107-W107)</f>
        <v/>
      </c>
      <c r="Y107" s="7">
        <f>IF($AA107="","",R107+U107+P107)</f>
        <v/>
      </c>
      <c r="Z107" s="7">
        <f>IF($AA107="","",Y107-W107-L107)</f>
        <v/>
      </c>
      <c r="AA107" s="13">
        <f>IF(ROWS($AA$2:$AA107)&lt;=MAX('Per Line'!$AO$2:$AO$4001),MATCH(ROWS($AA$2:$AA107),'Per Line'!$AO$2:$AO$4001,0),"")</f>
        <v/>
      </c>
      <c r="AB107" s="14">
        <f>IF($AA107="","",L107-K107*Y107/100)</f>
        <v/>
      </c>
    </row>
    <row r="108">
      <c r="A108" s="12" t="n"/>
      <c r="B108">
        <f>IF($AA108="","",INDEX('Per Line'!$E$2:$E$4001,$AA108)&amp;"")</f>
        <v/>
      </c>
      <c r="C108">
        <f>IF($AA108="","",INDEX('Per Line'!$A$2:$A$4001,$AA108)&amp;"")</f>
        <v/>
      </c>
      <c r="D108">
        <f>IF($AA108="","",INDEX('Per Line'!$D$2:$D$4001,$AA108)&amp;"")</f>
        <v/>
      </c>
      <c r="E108" s="11">
        <f>IF($AA108="","",INDEX('Per Line'!$G$2:$G$4001,$AA108))</f>
        <v/>
      </c>
      <c r="F108">
        <f>IF($AA108="","",INDEX('Per Line'!$H$2:$H$4001,$AA108)&amp;"")</f>
        <v/>
      </c>
      <c r="G108">
        <f>IF($AA108="","",INDEX('Per Line'!$I$2:$I$4001,$AA108)&amp;"")</f>
        <v/>
      </c>
      <c r="H108">
        <f>IF($AA108="","",INDEX('Per Line'!$J$2:$J$4001,$AA108)&amp;"")</f>
        <v/>
      </c>
      <c r="I108">
        <f>IF($AA108="","",INDEX('Per Line'!$K$2:$K$4001,$AA108)&amp;"")</f>
        <v/>
      </c>
      <c r="J108">
        <f>IF($AA108="","",INDEX('Per Line'!$L$2:$L$4001,$AA108)&amp;"")</f>
        <v/>
      </c>
      <c r="K108">
        <f>IF($AA108="","",INDEX('Per Line'!$P$2:$P$4001,$AA108))</f>
        <v/>
      </c>
      <c r="L108" s="7">
        <f>IF($AA108="","",IF(AND(ISNUMBER(N108),N108&gt;0,Y108&gt;N108),K108*N108/100+(Y108-N108),K108*Y108/100))</f>
        <v/>
      </c>
      <c r="M108">
        <f>IF($AA108="","",INDEX('Per Line'!$Z$2:$Z$4001,$AA108)&amp;"")</f>
        <v/>
      </c>
      <c r="N108">
        <f>IF($AA108="","",INDEX('Per Line'!$AG$2:$AG$4001,$AA108))</f>
        <v/>
      </c>
      <c r="O108">
        <f>IF($AA108="","",IF(AND(ISNUMBER(N108),N108&gt;0),Y108&gt;N108,FALSE))</f>
        <v/>
      </c>
      <c r="P108" s="7">
        <f>IF($AA108="","",SUMIFS('Per Line'!$Y$2:$Y$4001,'Per Line'!$E$2:$E$4001,$B108,'Per Line'!$AQ$2:$AQ$4001,1))</f>
        <v/>
      </c>
      <c r="Q108">
        <f>IF($AA108="","",Settings!$C$7)</f>
        <v/>
      </c>
      <c r="R108" s="7">
        <f>IF($AA108="","",SUMIFS('Per Line'!$Y$2:$Y$4001,'Per Line'!$E$2:$E$4001,$B108,'Per Line'!$AP$2:$AP$4001,0,'Per Line'!$AQ$2:$AQ$4001,0))</f>
        <v/>
      </c>
      <c r="S108" s="7">
        <f>IF($AA108="","",R108*Q108)</f>
        <v/>
      </c>
      <c r="T108">
        <f>IF($AA108="","",Settings!$C$6)</f>
        <v/>
      </c>
      <c r="U108" s="7">
        <f>IF($AA108="","",SUMIFS('Per Line'!$Y$2:$Y$4001,'Per Line'!$E$2:$E$4001,$B108,'Per Line'!$AP$2:$AP$4001,1,'Per Line'!$AQ$2:$AQ$4001,0))</f>
        <v/>
      </c>
      <c r="V108" s="7">
        <f>IF($AA108="","",U108*T108)</f>
        <v/>
      </c>
      <c r="W108" s="7">
        <f>IF($AA108="","",V108+S108)</f>
        <v/>
      </c>
      <c r="X108" s="7">
        <f>IF($AA108="","",Y108-W108)</f>
        <v/>
      </c>
      <c r="Y108" s="7">
        <f>IF($AA108="","",R108+U108+P108)</f>
        <v/>
      </c>
      <c r="Z108" s="7">
        <f>IF($AA108="","",Y108-W108-L108)</f>
        <v/>
      </c>
      <c r="AA108" s="13">
        <f>IF(ROWS($AA$2:$AA108)&lt;=MAX('Per Line'!$AO$2:$AO$4001),MATCH(ROWS($AA$2:$AA108),'Per Line'!$AO$2:$AO$4001,0),"")</f>
        <v/>
      </c>
      <c r="AB108" s="14">
        <f>IF($AA108="","",L108-K108*Y108/100)</f>
        <v/>
      </c>
    </row>
    <row r="109">
      <c r="A109" s="12" t="n"/>
      <c r="B109">
        <f>IF($AA109="","",INDEX('Per Line'!$E$2:$E$4001,$AA109)&amp;"")</f>
        <v/>
      </c>
      <c r="C109">
        <f>IF($AA109="","",INDEX('Per Line'!$A$2:$A$4001,$AA109)&amp;"")</f>
        <v/>
      </c>
      <c r="D109">
        <f>IF($AA109="","",INDEX('Per Line'!$D$2:$D$4001,$AA109)&amp;"")</f>
        <v/>
      </c>
      <c r="E109" s="11">
        <f>IF($AA109="","",INDEX('Per Line'!$G$2:$G$4001,$AA109))</f>
        <v/>
      </c>
      <c r="F109">
        <f>IF($AA109="","",INDEX('Per Line'!$H$2:$H$4001,$AA109)&amp;"")</f>
        <v/>
      </c>
      <c r="G109">
        <f>IF($AA109="","",INDEX('Per Line'!$I$2:$I$4001,$AA109)&amp;"")</f>
        <v/>
      </c>
      <c r="H109">
        <f>IF($AA109="","",INDEX('Per Line'!$J$2:$J$4001,$AA109)&amp;"")</f>
        <v/>
      </c>
      <c r="I109">
        <f>IF($AA109="","",INDEX('Per Line'!$K$2:$K$4001,$AA109)&amp;"")</f>
        <v/>
      </c>
      <c r="J109">
        <f>IF($AA109="","",INDEX('Per Line'!$L$2:$L$4001,$AA109)&amp;"")</f>
        <v/>
      </c>
      <c r="K109">
        <f>IF($AA109="","",INDEX('Per Line'!$P$2:$P$4001,$AA109))</f>
        <v/>
      </c>
      <c r="L109" s="7">
        <f>IF($AA109="","",IF(AND(ISNUMBER(N109),N109&gt;0,Y109&gt;N109),K109*N109/100+(Y109-N109),K109*Y109/100))</f>
        <v/>
      </c>
      <c r="M109">
        <f>IF($AA109="","",INDEX('Per Line'!$Z$2:$Z$4001,$AA109)&amp;"")</f>
        <v/>
      </c>
      <c r="N109">
        <f>IF($AA109="","",INDEX('Per Line'!$AG$2:$AG$4001,$AA109))</f>
        <v/>
      </c>
      <c r="O109">
        <f>IF($AA109="","",IF(AND(ISNUMBER(N109),N109&gt;0),Y109&gt;N109,FALSE))</f>
        <v/>
      </c>
      <c r="P109" s="7">
        <f>IF($AA109="","",SUMIFS('Per Line'!$Y$2:$Y$4001,'Per Line'!$E$2:$E$4001,$B109,'Per Line'!$AQ$2:$AQ$4001,1))</f>
        <v/>
      </c>
      <c r="Q109">
        <f>IF($AA109="","",Settings!$C$7)</f>
        <v/>
      </c>
      <c r="R109" s="7">
        <f>IF($AA109="","",SUMIFS('Per Line'!$Y$2:$Y$4001,'Per Line'!$E$2:$E$4001,$B109,'Per Line'!$AP$2:$AP$4001,0,'Per Line'!$AQ$2:$AQ$4001,0))</f>
        <v/>
      </c>
      <c r="S109" s="7">
        <f>IF($AA109="","",R109*Q109)</f>
        <v/>
      </c>
      <c r="T109">
        <f>IF($AA109="","",Settings!$C$6)</f>
        <v/>
      </c>
      <c r="U109" s="7">
        <f>IF($AA109="","",SUMIFS('Per Line'!$Y$2:$Y$4001,'Per Line'!$E$2:$E$4001,$B109,'Per Line'!$AP$2:$AP$4001,1,'Per Line'!$AQ$2:$AQ$4001,0))</f>
        <v/>
      </c>
      <c r="V109" s="7">
        <f>IF($AA109="","",U109*T109)</f>
        <v/>
      </c>
      <c r="W109" s="7">
        <f>IF($AA109="","",V109+S109)</f>
        <v/>
      </c>
      <c r="X109" s="7">
        <f>IF($AA109="","",Y109-W109)</f>
        <v/>
      </c>
      <c r="Y109" s="7">
        <f>IF($AA109="","",R109+U109+P109)</f>
        <v/>
      </c>
      <c r="Z109" s="7">
        <f>IF($AA109="","",Y109-W109-L109)</f>
        <v/>
      </c>
      <c r="AA109" s="13">
        <f>IF(ROWS($AA$2:$AA109)&lt;=MAX('Per Line'!$AO$2:$AO$4001),MATCH(ROWS($AA$2:$AA109),'Per Line'!$AO$2:$AO$4001,0),"")</f>
        <v/>
      </c>
      <c r="AB109" s="14">
        <f>IF($AA109="","",L109-K109*Y109/100)</f>
        <v/>
      </c>
    </row>
    <row r="110">
      <c r="A110" s="12" t="n"/>
      <c r="B110">
        <f>IF($AA110="","",INDEX('Per Line'!$E$2:$E$4001,$AA110)&amp;"")</f>
        <v/>
      </c>
      <c r="C110">
        <f>IF($AA110="","",INDEX('Per Line'!$A$2:$A$4001,$AA110)&amp;"")</f>
        <v/>
      </c>
      <c r="D110">
        <f>IF($AA110="","",INDEX('Per Line'!$D$2:$D$4001,$AA110)&amp;"")</f>
        <v/>
      </c>
      <c r="E110" s="11">
        <f>IF($AA110="","",INDEX('Per Line'!$G$2:$G$4001,$AA110))</f>
        <v/>
      </c>
      <c r="F110">
        <f>IF($AA110="","",INDEX('Per Line'!$H$2:$H$4001,$AA110)&amp;"")</f>
        <v/>
      </c>
      <c r="G110">
        <f>IF($AA110="","",INDEX('Per Line'!$I$2:$I$4001,$AA110)&amp;"")</f>
        <v/>
      </c>
      <c r="H110">
        <f>IF($AA110="","",INDEX('Per Line'!$J$2:$J$4001,$AA110)&amp;"")</f>
        <v/>
      </c>
      <c r="I110">
        <f>IF($AA110="","",INDEX('Per Line'!$K$2:$K$4001,$AA110)&amp;"")</f>
        <v/>
      </c>
      <c r="J110">
        <f>IF($AA110="","",INDEX('Per Line'!$L$2:$L$4001,$AA110)&amp;"")</f>
        <v/>
      </c>
      <c r="K110">
        <f>IF($AA110="","",INDEX('Per Line'!$P$2:$P$4001,$AA110))</f>
        <v/>
      </c>
      <c r="L110" s="7">
        <f>IF($AA110="","",IF(AND(ISNUMBER(N110),N110&gt;0,Y110&gt;N110),K110*N110/100+(Y110-N110),K110*Y110/100))</f>
        <v/>
      </c>
      <c r="M110">
        <f>IF($AA110="","",INDEX('Per Line'!$Z$2:$Z$4001,$AA110)&amp;"")</f>
        <v/>
      </c>
      <c r="N110">
        <f>IF($AA110="","",INDEX('Per Line'!$AG$2:$AG$4001,$AA110))</f>
        <v/>
      </c>
      <c r="O110">
        <f>IF($AA110="","",IF(AND(ISNUMBER(N110),N110&gt;0),Y110&gt;N110,FALSE))</f>
        <v/>
      </c>
      <c r="P110" s="7">
        <f>IF($AA110="","",SUMIFS('Per Line'!$Y$2:$Y$4001,'Per Line'!$E$2:$E$4001,$B110,'Per Line'!$AQ$2:$AQ$4001,1))</f>
        <v/>
      </c>
      <c r="Q110">
        <f>IF($AA110="","",Settings!$C$7)</f>
        <v/>
      </c>
      <c r="R110" s="7">
        <f>IF($AA110="","",SUMIFS('Per Line'!$Y$2:$Y$4001,'Per Line'!$E$2:$E$4001,$B110,'Per Line'!$AP$2:$AP$4001,0,'Per Line'!$AQ$2:$AQ$4001,0))</f>
        <v/>
      </c>
      <c r="S110" s="7">
        <f>IF($AA110="","",R110*Q110)</f>
        <v/>
      </c>
      <c r="T110">
        <f>IF($AA110="","",Settings!$C$6)</f>
        <v/>
      </c>
      <c r="U110" s="7">
        <f>IF($AA110="","",SUMIFS('Per Line'!$Y$2:$Y$4001,'Per Line'!$E$2:$E$4001,$B110,'Per Line'!$AP$2:$AP$4001,1,'Per Line'!$AQ$2:$AQ$4001,0))</f>
        <v/>
      </c>
      <c r="V110" s="7">
        <f>IF($AA110="","",U110*T110)</f>
        <v/>
      </c>
      <c r="W110" s="7">
        <f>IF($AA110="","",V110+S110)</f>
        <v/>
      </c>
      <c r="X110" s="7">
        <f>IF($AA110="","",Y110-W110)</f>
        <v/>
      </c>
      <c r="Y110" s="7">
        <f>IF($AA110="","",R110+U110+P110)</f>
        <v/>
      </c>
      <c r="Z110" s="7">
        <f>IF($AA110="","",Y110-W110-L110)</f>
        <v/>
      </c>
      <c r="AA110" s="13">
        <f>IF(ROWS($AA$2:$AA110)&lt;=MAX('Per Line'!$AO$2:$AO$4001),MATCH(ROWS($AA$2:$AA110),'Per Line'!$AO$2:$AO$4001,0),"")</f>
        <v/>
      </c>
      <c r="AB110" s="14">
        <f>IF($AA110="","",L110-K110*Y110/100)</f>
        <v/>
      </c>
    </row>
    <row r="111">
      <c r="A111" s="12" t="n"/>
      <c r="B111">
        <f>IF($AA111="","",INDEX('Per Line'!$E$2:$E$4001,$AA111)&amp;"")</f>
        <v/>
      </c>
      <c r="C111">
        <f>IF($AA111="","",INDEX('Per Line'!$A$2:$A$4001,$AA111)&amp;"")</f>
        <v/>
      </c>
      <c r="D111">
        <f>IF($AA111="","",INDEX('Per Line'!$D$2:$D$4001,$AA111)&amp;"")</f>
        <v/>
      </c>
      <c r="E111" s="11">
        <f>IF($AA111="","",INDEX('Per Line'!$G$2:$G$4001,$AA111))</f>
        <v/>
      </c>
      <c r="F111">
        <f>IF($AA111="","",INDEX('Per Line'!$H$2:$H$4001,$AA111)&amp;"")</f>
        <v/>
      </c>
      <c r="G111">
        <f>IF($AA111="","",INDEX('Per Line'!$I$2:$I$4001,$AA111)&amp;"")</f>
        <v/>
      </c>
      <c r="H111">
        <f>IF($AA111="","",INDEX('Per Line'!$J$2:$J$4001,$AA111)&amp;"")</f>
        <v/>
      </c>
      <c r="I111">
        <f>IF($AA111="","",INDEX('Per Line'!$K$2:$K$4001,$AA111)&amp;"")</f>
        <v/>
      </c>
      <c r="J111">
        <f>IF($AA111="","",INDEX('Per Line'!$L$2:$L$4001,$AA111)&amp;"")</f>
        <v/>
      </c>
      <c r="K111">
        <f>IF($AA111="","",INDEX('Per Line'!$P$2:$P$4001,$AA111))</f>
        <v/>
      </c>
      <c r="L111" s="7">
        <f>IF($AA111="","",IF(AND(ISNUMBER(N111),N111&gt;0,Y111&gt;N111),K111*N111/100+(Y111-N111),K111*Y111/100))</f>
        <v/>
      </c>
      <c r="M111">
        <f>IF($AA111="","",INDEX('Per Line'!$Z$2:$Z$4001,$AA111)&amp;"")</f>
        <v/>
      </c>
      <c r="N111">
        <f>IF($AA111="","",INDEX('Per Line'!$AG$2:$AG$4001,$AA111))</f>
        <v/>
      </c>
      <c r="O111">
        <f>IF($AA111="","",IF(AND(ISNUMBER(N111),N111&gt;0),Y111&gt;N111,FALSE))</f>
        <v/>
      </c>
      <c r="P111" s="7">
        <f>IF($AA111="","",SUMIFS('Per Line'!$Y$2:$Y$4001,'Per Line'!$E$2:$E$4001,$B111,'Per Line'!$AQ$2:$AQ$4001,1))</f>
        <v/>
      </c>
      <c r="Q111">
        <f>IF($AA111="","",Settings!$C$7)</f>
        <v/>
      </c>
      <c r="R111" s="7">
        <f>IF($AA111="","",SUMIFS('Per Line'!$Y$2:$Y$4001,'Per Line'!$E$2:$E$4001,$B111,'Per Line'!$AP$2:$AP$4001,0,'Per Line'!$AQ$2:$AQ$4001,0))</f>
        <v/>
      </c>
      <c r="S111" s="7">
        <f>IF($AA111="","",R111*Q111)</f>
        <v/>
      </c>
      <c r="T111">
        <f>IF($AA111="","",Settings!$C$6)</f>
        <v/>
      </c>
      <c r="U111" s="7">
        <f>IF($AA111="","",SUMIFS('Per Line'!$Y$2:$Y$4001,'Per Line'!$E$2:$E$4001,$B111,'Per Line'!$AP$2:$AP$4001,1,'Per Line'!$AQ$2:$AQ$4001,0))</f>
        <v/>
      </c>
      <c r="V111" s="7">
        <f>IF($AA111="","",U111*T111)</f>
        <v/>
      </c>
      <c r="W111" s="7">
        <f>IF($AA111="","",V111+S111)</f>
        <v/>
      </c>
      <c r="X111" s="7">
        <f>IF($AA111="","",Y111-W111)</f>
        <v/>
      </c>
      <c r="Y111" s="7">
        <f>IF($AA111="","",R111+U111+P111)</f>
        <v/>
      </c>
      <c r="Z111" s="7">
        <f>IF($AA111="","",Y111-W111-L111)</f>
        <v/>
      </c>
      <c r="AA111" s="13">
        <f>IF(ROWS($AA$2:$AA111)&lt;=MAX('Per Line'!$AO$2:$AO$4001),MATCH(ROWS($AA$2:$AA111),'Per Line'!$AO$2:$AO$4001,0),"")</f>
        <v/>
      </c>
      <c r="AB111" s="14">
        <f>IF($AA111="","",L111-K111*Y111/100)</f>
        <v/>
      </c>
    </row>
    <row r="112">
      <c r="A112" s="12" t="n"/>
      <c r="B112">
        <f>IF($AA112="","",INDEX('Per Line'!$E$2:$E$4001,$AA112)&amp;"")</f>
        <v/>
      </c>
      <c r="C112">
        <f>IF($AA112="","",INDEX('Per Line'!$A$2:$A$4001,$AA112)&amp;"")</f>
        <v/>
      </c>
      <c r="D112">
        <f>IF($AA112="","",INDEX('Per Line'!$D$2:$D$4001,$AA112)&amp;"")</f>
        <v/>
      </c>
      <c r="E112" s="11">
        <f>IF($AA112="","",INDEX('Per Line'!$G$2:$G$4001,$AA112))</f>
        <v/>
      </c>
      <c r="F112">
        <f>IF($AA112="","",INDEX('Per Line'!$H$2:$H$4001,$AA112)&amp;"")</f>
        <v/>
      </c>
      <c r="G112">
        <f>IF($AA112="","",INDEX('Per Line'!$I$2:$I$4001,$AA112)&amp;"")</f>
        <v/>
      </c>
      <c r="H112">
        <f>IF($AA112="","",INDEX('Per Line'!$J$2:$J$4001,$AA112)&amp;"")</f>
        <v/>
      </c>
      <c r="I112">
        <f>IF($AA112="","",INDEX('Per Line'!$K$2:$K$4001,$AA112)&amp;"")</f>
        <v/>
      </c>
      <c r="J112">
        <f>IF($AA112="","",INDEX('Per Line'!$L$2:$L$4001,$AA112)&amp;"")</f>
        <v/>
      </c>
      <c r="K112">
        <f>IF($AA112="","",INDEX('Per Line'!$P$2:$P$4001,$AA112))</f>
        <v/>
      </c>
      <c r="L112" s="7">
        <f>IF($AA112="","",IF(AND(ISNUMBER(N112),N112&gt;0,Y112&gt;N112),K112*N112/100+(Y112-N112),K112*Y112/100))</f>
        <v/>
      </c>
      <c r="M112">
        <f>IF($AA112="","",INDEX('Per Line'!$Z$2:$Z$4001,$AA112)&amp;"")</f>
        <v/>
      </c>
      <c r="N112">
        <f>IF($AA112="","",INDEX('Per Line'!$AG$2:$AG$4001,$AA112))</f>
        <v/>
      </c>
      <c r="O112">
        <f>IF($AA112="","",IF(AND(ISNUMBER(N112),N112&gt;0),Y112&gt;N112,FALSE))</f>
        <v/>
      </c>
      <c r="P112" s="7">
        <f>IF($AA112="","",SUMIFS('Per Line'!$Y$2:$Y$4001,'Per Line'!$E$2:$E$4001,$B112,'Per Line'!$AQ$2:$AQ$4001,1))</f>
        <v/>
      </c>
      <c r="Q112">
        <f>IF($AA112="","",Settings!$C$7)</f>
        <v/>
      </c>
      <c r="R112" s="7">
        <f>IF($AA112="","",SUMIFS('Per Line'!$Y$2:$Y$4001,'Per Line'!$E$2:$E$4001,$B112,'Per Line'!$AP$2:$AP$4001,0,'Per Line'!$AQ$2:$AQ$4001,0))</f>
        <v/>
      </c>
      <c r="S112" s="7">
        <f>IF($AA112="","",R112*Q112)</f>
        <v/>
      </c>
      <c r="T112">
        <f>IF($AA112="","",Settings!$C$6)</f>
        <v/>
      </c>
      <c r="U112" s="7">
        <f>IF($AA112="","",SUMIFS('Per Line'!$Y$2:$Y$4001,'Per Line'!$E$2:$E$4001,$B112,'Per Line'!$AP$2:$AP$4001,1,'Per Line'!$AQ$2:$AQ$4001,0))</f>
        <v/>
      </c>
      <c r="V112" s="7">
        <f>IF($AA112="","",U112*T112)</f>
        <v/>
      </c>
      <c r="W112" s="7">
        <f>IF($AA112="","",V112+S112)</f>
        <v/>
      </c>
      <c r="X112" s="7">
        <f>IF($AA112="","",Y112-W112)</f>
        <v/>
      </c>
      <c r="Y112" s="7">
        <f>IF($AA112="","",R112+U112+P112)</f>
        <v/>
      </c>
      <c r="Z112" s="7">
        <f>IF($AA112="","",Y112-W112-L112)</f>
        <v/>
      </c>
      <c r="AA112" s="13">
        <f>IF(ROWS($AA$2:$AA112)&lt;=MAX('Per Line'!$AO$2:$AO$4001),MATCH(ROWS($AA$2:$AA112),'Per Line'!$AO$2:$AO$4001,0),"")</f>
        <v/>
      </c>
      <c r="AB112" s="14">
        <f>IF($AA112="","",L112-K112*Y112/100)</f>
        <v/>
      </c>
    </row>
    <row r="113">
      <c r="A113" s="12" t="n"/>
      <c r="B113">
        <f>IF($AA113="","",INDEX('Per Line'!$E$2:$E$4001,$AA113)&amp;"")</f>
        <v/>
      </c>
      <c r="C113">
        <f>IF($AA113="","",INDEX('Per Line'!$A$2:$A$4001,$AA113)&amp;"")</f>
        <v/>
      </c>
      <c r="D113">
        <f>IF($AA113="","",INDEX('Per Line'!$D$2:$D$4001,$AA113)&amp;"")</f>
        <v/>
      </c>
      <c r="E113" s="11">
        <f>IF($AA113="","",INDEX('Per Line'!$G$2:$G$4001,$AA113))</f>
        <v/>
      </c>
      <c r="F113">
        <f>IF($AA113="","",INDEX('Per Line'!$H$2:$H$4001,$AA113)&amp;"")</f>
        <v/>
      </c>
      <c r="G113">
        <f>IF($AA113="","",INDEX('Per Line'!$I$2:$I$4001,$AA113)&amp;"")</f>
        <v/>
      </c>
      <c r="H113">
        <f>IF($AA113="","",INDEX('Per Line'!$J$2:$J$4001,$AA113)&amp;"")</f>
        <v/>
      </c>
      <c r="I113">
        <f>IF($AA113="","",INDEX('Per Line'!$K$2:$K$4001,$AA113)&amp;"")</f>
        <v/>
      </c>
      <c r="J113">
        <f>IF($AA113="","",INDEX('Per Line'!$L$2:$L$4001,$AA113)&amp;"")</f>
        <v/>
      </c>
      <c r="K113">
        <f>IF($AA113="","",INDEX('Per Line'!$P$2:$P$4001,$AA113))</f>
        <v/>
      </c>
      <c r="L113" s="7">
        <f>IF($AA113="","",IF(AND(ISNUMBER(N113),N113&gt;0,Y113&gt;N113),K113*N113/100+(Y113-N113),K113*Y113/100))</f>
        <v/>
      </c>
      <c r="M113">
        <f>IF($AA113="","",INDEX('Per Line'!$Z$2:$Z$4001,$AA113)&amp;"")</f>
        <v/>
      </c>
      <c r="N113">
        <f>IF($AA113="","",INDEX('Per Line'!$AG$2:$AG$4001,$AA113))</f>
        <v/>
      </c>
      <c r="O113">
        <f>IF($AA113="","",IF(AND(ISNUMBER(N113),N113&gt;0),Y113&gt;N113,FALSE))</f>
        <v/>
      </c>
      <c r="P113" s="7">
        <f>IF($AA113="","",SUMIFS('Per Line'!$Y$2:$Y$4001,'Per Line'!$E$2:$E$4001,$B113,'Per Line'!$AQ$2:$AQ$4001,1))</f>
        <v/>
      </c>
      <c r="Q113">
        <f>IF($AA113="","",Settings!$C$7)</f>
        <v/>
      </c>
      <c r="R113" s="7">
        <f>IF($AA113="","",SUMIFS('Per Line'!$Y$2:$Y$4001,'Per Line'!$E$2:$E$4001,$B113,'Per Line'!$AP$2:$AP$4001,0,'Per Line'!$AQ$2:$AQ$4001,0))</f>
        <v/>
      </c>
      <c r="S113" s="7">
        <f>IF($AA113="","",R113*Q113)</f>
        <v/>
      </c>
      <c r="T113">
        <f>IF($AA113="","",Settings!$C$6)</f>
        <v/>
      </c>
      <c r="U113" s="7">
        <f>IF($AA113="","",SUMIFS('Per Line'!$Y$2:$Y$4001,'Per Line'!$E$2:$E$4001,$B113,'Per Line'!$AP$2:$AP$4001,1,'Per Line'!$AQ$2:$AQ$4001,0))</f>
        <v/>
      </c>
      <c r="V113" s="7">
        <f>IF($AA113="","",U113*T113)</f>
        <v/>
      </c>
      <c r="W113" s="7">
        <f>IF($AA113="","",V113+S113)</f>
        <v/>
      </c>
      <c r="X113" s="7">
        <f>IF($AA113="","",Y113-W113)</f>
        <v/>
      </c>
      <c r="Y113" s="7">
        <f>IF($AA113="","",R113+U113+P113)</f>
        <v/>
      </c>
      <c r="Z113" s="7">
        <f>IF($AA113="","",Y113-W113-L113)</f>
        <v/>
      </c>
      <c r="AA113" s="13">
        <f>IF(ROWS($AA$2:$AA113)&lt;=MAX('Per Line'!$AO$2:$AO$4001),MATCH(ROWS($AA$2:$AA113),'Per Line'!$AO$2:$AO$4001,0),"")</f>
        <v/>
      </c>
      <c r="AB113" s="14">
        <f>IF($AA113="","",L113-K113*Y113/100)</f>
        <v/>
      </c>
    </row>
    <row r="114">
      <c r="A114" s="12" t="n"/>
      <c r="B114">
        <f>IF($AA114="","",INDEX('Per Line'!$E$2:$E$4001,$AA114)&amp;"")</f>
        <v/>
      </c>
      <c r="C114">
        <f>IF($AA114="","",INDEX('Per Line'!$A$2:$A$4001,$AA114)&amp;"")</f>
        <v/>
      </c>
      <c r="D114">
        <f>IF($AA114="","",INDEX('Per Line'!$D$2:$D$4001,$AA114)&amp;"")</f>
        <v/>
      </c>
      <c r="E114" s="11">
        <f>IF($AA114="","",INDEX('Per Line'!$G$2:$G$4001,$AA114))</f>
        <v/>
      </c>
      <c r="F114">
        <f>IF($AA114="","",INDEX('Per Line'!$H$2:$H$4001,$AA114)&amp;"")</f>
        <v/>
      </c>
      <c r="G114">
        <f>IF($AA114="","",INDEX('Per Line'!$I$2:$I$4001,$AA114)&amp;"")</f>
        <v/>
      </c>
      <c r="H114">
        <f>IF($AA114="","",INDEX('Per Line'!$J$2:$J$4001,$AA114)&amp;"")</f>
        <v/>
      </c>
      <c r="I114">
        <f>IF($AA114="","",INDEX('Per Line'!$K$2:$K$4001,$AA114)&amp;"")</f>
        <v/>
      </c>
      <c r="J114">
        <f>IF($AA114="","",INDEX('Per Line'!$L$2:$L$4001,$AA114)&amp;"")</f>
        <v/>
      </c>
      <c r="K114">
        <f>IF($AA114="","",INDEX('Per Line'!$P$2:$P$4001,$AA114))</f>
        <v/>
      </c>
      <c r="L114" s="7">
        <f>IF($AA114="","",IF(AND(ISNUMBER(N114),N114&gt;0,Y114&gt;N114),K114*N114/100+(Y114-N114),K114*Y114/100))</f>
        <v/>
      </c>
      <c r="M114">
        <f>IF($AA114="","",INDEX('Per Line'!$Z$2:$Z$4001,$AA114)&amp;"")</f>
        <v/>
      </c>
      <c r="N114">
        <f>IF($AA114="","",INDEX('Per Line'!$AG$2:$AG$4001,$AA114))</f>
        <v/>
      </c>
      <c r="O114">
        <f>IF($AA114="","",IF(AND(ISNUMBER(N114),N114&gt;0),Y114&gt;N114,FALSE))</f>
        <v/>
      </c>
      <c r="P114" s="7">
        <f>IF($AA114="","",SUMIFS('Per Line'!$Y$2:$Y$4001,'Per Line'!$E$2:$E$4001,$B114,'Per Line'!$AQ$2:$AQ$4001,1))</f>
        <v/>
      </c>
      <c r="Q114">
        <f>IF($AA114="","",Settings!$C$7)</f>
        <v/>
      </c>
      <c r="R114" s="7">
        <f>IF($AA114="","",SUMIFS('Per Line'!$Y$2:$Y$4001,'Per Line'!$E$2:$E$4001,$B114,'Per Line'!$AP$2:$AP$4001,0,'Per Line'!$AQ$2:$AQ$4001,0))</f>
        <v/>
      </c>
      <c r="S114" s="7">
        <f>IF($AA114="","",R114*Q114)</f>
        <v/>
      </c>
      <c r="T114">
        <f>IF($AA114="","",Settings!$C$6)</f>
        <v/>
      </c>
      <c r="U114" s="7">
        <f>IF($AA114="","",SUMIFS('Per Line'!$Y$2:$Y$4001,'Per Line'!$E$2:$E$4001,$B114,'Per Line'!$AP$2:$AP$4001,1,'Per Line'!$AQ$2:$AQ$4001,0))</f>
        <v/>
      </c>
      <c r="V114" s="7">
        <f>IF($AA114="","",U114*T114)</f>
        <v/>
      </c>
      <c r="W114" s="7">
        <f>IF($AA114="","",V114+S114)</f>
        <v/>
      </c>
      <c r="X114" s="7">
        <f>IF($AA114="","",Y114-W114)</f>
        <v/>
      </c>
      <c r="Y114" s="7">
        <f>IF($AA114="","",R114+U114+P114)</f>
        <v/>
      </c>
      <c r="Z114" s="7">
        <f>IF($AA114="","",Y114-W114-L114)</f>
        <v/>
      </c>
      <c r="AA114" s="13">
        <f>IF(ROWS($AA$2:$AA114)&lt;=MAX('Per Line'!$AO$2:$AO$4001),MATCH(ROWS($AA$2:$AA114),'Per Line'!$AO$2:$AO$4001,0),"")</f>
        <v/>
      </c>
      <c r="AB114" s="14">
        <f>IF($AA114="","",L114-K114*Y114/100)</f>
        <v/>
      </c>
    </row>
    <row r="115">
      <c r="A115" s="12" t="n"/>
      <c r="B115">
        <f>IF($AA115="","",INDEX('Per Line'!$E$2:$E$4001,$AA115)&amp;"")</f>
        <v/>
      </c>
      <c r="C115">
        <f>IF($AA115="","",INDEX('Per Line'!$A$2:$A$4001,$AA115)&amp;"")</f>
        <v/>
      </c>
      <c r="D115">
        <f>IF($AA115="","",INDEX('Per Line'!$D$2:$D$4001,$AA115)&amp;"")</f>
        <v/>
      </c>
      <c r="E115" s="11">
        <f>IF($AA115="","",INDEX('Per Line'!$G$2:$G$4001,$AA115))</f>
        <v/>
      </c>
      <c r="F115">
        <f>IF($AA115="","",INDEX('Per Line'!$H$2:$H$4001,$AA115)&amp;"")</f>
        <v/>
      </c>
      <c r="G115">
        <f>IF($AA115="","",INDEX('Per Line'!$I$2:$I$4001,$AA115)&amp;"")</f>
        <v/>
      </c>
      <c r="H115">
        <f>IF($AA115="","",INDEX('Per Line'!$J$2:$J$4001,$AA115)&amp;"")</f>
        <v/>
      </c>
      <c r="I115">
        <f>IF($AA115="","",INDEX('Per Line'!$K$2:$K$4001,$AA115)&amp;"")</f>
        <v/>
      </c>
      <c r="J115">
        <f>IF($AA115="","",INDEX('Per Line'!$L$2:$L$4001,$AA115)&amp;"")</f>
        <v/>
      </c>
      <c r="K115">
        <f>IF($AA115="","",INDEX('Per Line'!$P$2:$P$4001,$AA115))</f>
        <v/>
      </c>
      <c r="L115" s="7">
        <f>IF($AA115="","",IF(AND(ISNUMBER(N115),N115&gt;0,Y115&gt;N115),K115*N115/100+(Y115-N115),K115*Y115/100))</f>
        <v/>
      </c>
      <c r="M115">
        <f>IF($AA115="","",INDEX('Per Line'!$Z$2:$Z$4001,$AA115)&amp;"")</f>
        <v/>
      </c>
      <c r="N115">
        <f>IF($AA115="","",INDEX('Per Line'!$AG$2:$AG$4001,$AA115))</f>
        <v/>
      </c>
      <c r="O115">
        <f>IF($AA115="","",IF(AND(ISNUMBER(N115),N115&gt;0),Y115&gt;N115,FALSE))</f>
        <v/>
      </c>
      <c r="P115" s="7">
        <f>IF($AA115="","",SUMIFS('Per Line'!$Y$2:$Y$4001,'Per Line'!$E$2:$E$4001,$B115,'Per Line'!$AQ$2:$AQ$4001,1))</f>
        <v/>
      </c>
      <c r="Q115">
        <f>IF($AA115="","",Settings!$C$7)</f>
        <v/>
      </c>
      <c r="R115" s="7">
        <f>IF($AA115="","",SUMIFS('Per Line'!$Y$2:$Y$4001,'Per Line'!$E$2:$E$4001,$B115,'Per Line'!$AP$2:$AP$4001,0,'Per Line'!$AQ$2:$AQ$4001,0))</f>
        <v/>
      </c>
      <c r="S115" s="7">
        <f>IF($AA115="","",R115*Q115)</f>
        <v/>
      </c>
      <c r="T115">
        <f>IF($AA115="","",Settings!$C$6)</f>
        <v/>
      </c>
      <c r="U115" s="7">
        <f>IF($AA115="","",SUMIFS('Per Line'!$Y$2:$Y$4001,'Per Line'!$E$2:$E$4001,$B115,'Per Line'!$AP$2:$AP$4001,1,'Per Line'!$AQ$2:$AQ$4001,0))</f>
        <v/>
      </c>
      <c r="V115" s="7">
        <f>IF($AA115="","",U115*T115)</f>
        <v/>
      </c>
      <c r="W115" s="7">
        <f>IF($AA115="","",V115+S115)</f>
        <v/>
      </c>
      <c r="X115" s="7">
        <f>IF($AA115="","",Y115-W115)</f>
        <v/>
      </c>
      <c r="Y115" s="7">
        <f>IF($AA115="","",R115+U115+P115)</f>
        <v/>
      </c>
      <c r="Z115" s="7">
        <f>IF($AA115="","",Y115-W115-L115)</f>
        <v/>
      </c>
      <c r="AA115" s="13">
        <f>IF(ROWS($AA$2:$AA115)&lt;=MAX('Per Line'!$AO$2:$AO$4001),MATCH(ROWS($AA$2:$AA115),'Per Line'!$AO$2:$AO$4001,0),"")</f>
        <v/>
      </c>
      <c r="AB115" s="14">
        <f>IF($AA115="","",L115-K115*Y115/100)</f>
        <v/>
      </c>
    </row>
    <row r="116">
      <c r="A116" s="12" t="n"/>
      <c r="B116">
        <f>IF($AA116="","",INDEX('Per Line'!$E$2:$E$4001,$AA116)&amp;"")</f>
        <v/>
      </c>
      <c r="C116">
        <f>IF($AA116="","",INDEX('Per Line'!$A$2:$A$4001,$AA116)&amp;"")</f>
        <v/>
      </c>
      <c r="D116">
        <f>IF($AA116="","",INDEX('Per Line'!$D$2:$D$4001,$AA116)&amp;"")</f>
        <v/>
      </c>
      <c r="E116" s="11">
        <f>IF($AA116="","",INDEX('Per Line'!$G$2:$G$4001,$AA116))</f>
        <v/>
      </c>
      <c r="F116">
        <f>IF($AA116="","",INDEX('Per Line'!$H$2:$H$4001,$AA116)&amp;"")</f>
        <v/>
      </c>
      <c r="G116">
        <f>IF($AA116="","",INDEX('Per Line'!$I$2:$I$4001,$AA116)&amp;"")</f>
        <v/>
      </c>
      <c r="H116">
        <f>IF($AA116="","",INDEX('Per Line'!$J$2:$J$4001,$AA116)&amp;"")</f>
        <v/>
      </c>
      <c r="I116">
        <f>IF($AA116="","",INDEX('Per Line'!$K$2:$K$4001,$AA116)&amp;"")</f>
        <v/>
      </c>
      <c r="J116">
        <f>IF($AA116="","",INDEX('Per Line'!$L$2:$L$4001,$AA116)&amp;"")</f>
        <v/>
      </c>
      <c r="K116">
        <f>IF($AA116="","",INDEX('Per Line'!$P$2:$P$4001,$AA116))</f>
        <v/>
      </c>
      <c r="L116" s="7">
        <f>IF($AA116="","",IF(AND(ISNUMBER(N116),N116&gt;0,Y116&gt;N116),K116*N116/100+(Y116-N116),K116*Y116/100))</f>
        <v/>
      </c>
      <c r="M116">
        <f>IF($AA116="","",INDEX('Per Line'!$Z$2:$Z$4001,$AA116)&amp;"")</f>
        <v/>
      </c>
      <c r="N116">
        <f>IF($AA116="","",INDEX('Per Line'!$AG$2:$AG$4001,$AA116))</f>
        <v/>
      </c>
      <c r="O116">
        <f>IF($AA116="","",IF(AND(ISNUMBER(N116),N116&gt;0),Y116&gt;N116,FALSE))</f>
        <v/>
      </c>
      <c r="P116" s="7">
        <f>IF($AA116="","",SUMIFS('Per Line'!$Y$2:$Y$4001,'Per Line'!$E$2:$E$4001,$B116,'Per Line'!$AQ$2:$AQ$4001,1))</f>
        <v/>
      </c>
      <c r="Q116">
        <f>IF($AA116="","",Settings!$C$7)</f>
        <v/>
      </c>
      <c r="R116" s="7">
        <f>IF($AA116="","",SUMIFS('Per Line'!$Y$2:$Y$4001,'Per Line'!$E$2:$E$4001,$B116,'Per Line'!$AP$2:$AP$4001,0,'Per Line'!$AQ$2:$AQ$4001,0))</f>
        <v/>
      </c>
      <c r="S116" s="7">
        <f>IF($AA116="","",R116*Q116)</f>
        <v/>
      </c>
      <c r="T116">
        <f>IF($AA116="","",Settings!$C$6)</f>
        <v/>
      </c>
      <c r="U116" s="7">
        <f>IF($AA116="","",SUMIFS('Per Line'!$Y$2:$Y$4001,'Per Line'!$E$2:$E$4001,$B116,'Per Line'!$AP$2:$AP$4001,1,'Per Line'!$AQ$2:$AQ$4001,0))</f>
        <v/>
      </c>
      <c r="V116" s="7">
        <f>IF($AA116="","",U116*T116)</f>
        <v/>
      </c>
      <c r="W116" s="7">
        <f>IF($AA116="","",V116+S116)</f>
        <v/>
      </c>
      <c r="X116" s="7">
        <f>IF($AA116="","",Y116-W116)</f>
        <v/>
      </c>
      <c r="Y116" s="7">
        <f>IF($AA116="","",R116+U116+P116)</f>
        <v/>
      </c>
      <c r="Z116" s="7">
        <f>IF($AA116="","",Y116-W116-L116)</f>
        <v/>
      </c>
      <c r="AA116" s="13">
        <f>IF(ROWS($AA$2:$AA116)&lt;=MAX('Per Line'!$AO$2:$AO$4001),MATCH(ROWS($AA$2:$AA116),'Per Line'!$AO$2:$AO$4001,0),"")</f>
        <v/>
      </c>
      <c r="AB116" s="14">
        <f>IF($AA116="","",L116-K116*Y116/100)</f>
        <v/>
      </c>
    </row>
    <row r="117">
      <c r="A117" s="12" t="n"/>
      <c r="B117">
        <f>IF($AA117="","",INDEX('Per Line'!$E$2:$E$4001,$AA117)&amp;"")</f>
        <v/>
      </c>
      <c r="C117">
        <f>IF($AA117="","",INDEX('Per Line'!$A$2:$A$4001,$AA117)&amp;"")</f>
        <v/>
      </c>
      <c r="D117">
        <f>IF($AA117="","",INDEX('Per Line'!$D$2:$D$4001,$AA117)&amp;"")</f>
        <v/>
      </c>
      <c r="E117" s="11">
        <f>IF($AA117="","",INDEX('Per Line'!$G$2:$G$4001,$AA117))</f>
        <v/>
      </c>
      <c r="F117">
        <f>IF($AA117="","",INDEX('Per Line'!$H$2:$H$4001,$AA117)&amp;"")</f>
        <v/>
      </c>
      <c r="G117">
        <f>IF($AA117="","",INDEX('Per Line'!$I$2:$I$4001,$AA117)&amp;"")</f>
        <v/>
      </c>
      <c r="H117">
        <f>IF($AA117="","",INDEX('Per Line'!$J$2:$J$4001,$AA117)&amp;"")</f>
        <v/>
      </c>
      <c r="I117">
        <f>IF($AA117="","",INDEX('Per Line'!$K$2:$K$4001,$AA117)&amp;"")</f>
        <v/>
      </c>
      <c r="J117">
        <f>IF($AA117="","",INDEX('Per Line'!$L$2:$L$4001,$AA117)&amp;"")</f>
        <v/>
      </c>
      <c r="K117">
        <f>IF($AA117="","",INDEX('Per Line'!$P$2:$P$4001,$AA117))</f>
        <v/>
      </c>
      <c r="L117" s="7">
        <f>IF($AA117="","",IF(AND(ISNUMBER(N117),N117&gt;0,Y117&gt;N117),K117*N117/100+(Y117-N117),K117*Y117/100))</f>
        <v/>
      </c>
      <c r="M117">
        <f>IF($AA117="","",INDEX('Per Line'!$Z$2:$Z$4001,$AA117)&amp;"")</f>
        <v/>
      </c>
      <c r="N117">
        <f>IF($AA117="","",INDEX('Per Line'!$AG$2:$AG$4001,$AA117))</f>
        <v/>
      </c>
      <c r="O117">
        <f>IF($AA117="","",IF(AND(ISNUMBER(N117),N117&gt;0),Y117&gt;N117,FALSE))</f>
        <v/>
      </c>
      <c r="P117" s="7">
        <f>IF($AA117="","",SUMIFS('Per Line'!$Y$2:$Y$4001,'Per Line'!$E$2:$E$4001,$B117,'Per Line'!$AQ$2:$AQ$4001,1))</f>
        <v/>
      </c>
      <c r="Q117">
        <f>IF($AA117="","",Settings!$C$7)</f>
        <v/>
      </c>
      <c r="R117" s="7">
        <f>IF($AA117="","",SUMIFS('Per Line'!$Y$2:$Y$4001,'Per Line'!$E$2:$E$4001,$B117,'Per Line'!$AP$2:$AP$4001,0,'Per Line'!$AQ$2:$AQ$4001,0))</f>
        <v/>
      </c>
      <c r="S117" s="7">
        <f>IF($AA117="","",R117*Q117)</f>
        <v/>
      </c>
      <c r="T117">
        <f>IF($AA117="","",Settings!$C$6)</f>
        <v/>
      </c>
      <c r="U117" s="7">
        <f>IF($AA117="","",SUMIFS('Per Line'!$Y$2:$Y$4001,'Per Line'!$E$2:$E$4001,$B117,'Per Line'!$AP$2:$AP$4001,1,'Per Line'!$AQ$2:$AQ$4001,0))</f>
        <v/>
      </c>
      <c r="V117" s="7">
        <f>IF($AA117="","",U117*T117)</f>
        <v/>
      </c>
      <c r="W117" s="7">
        <f>IF($AA117="","",V117+S117)</f>
        <v/>
      </c>
      <c r="X117" s="7">
        <f>IF($AA117="","",Y117-W117)</f>
        <v/>
      </c>
      <c r="Y117" s="7">
        <f>IF($AA117="","",R117+U117+P117)</f>
        <v/>
      </c>
      <c r="Z117" s="7">
        <f>IF($AA117="","",Y117-W117-L117)</f>
        <v/>
      </c>
      <c r="AA117" s="13">
        <f>IF(ROWS($AA$2:$AA117)&lt;=MAX('Per Line'!$AO$2:$AO$4001),MATCH(ROWS($AA$2:$AA117),'Per Line'!$AO$2:$AO$4001,0),"")</f>
        <v/>
      </c>
      <c r="AB117" s="14">
        <f>IF($AA117="","",L117-K117*Y117/100)</f>
        <v/>
      </c>
    </row>
    <row r="118">
      <c r="A118" s="12" t="n"/>
      <c r="B118">
        <f>IF($AA118="","",INDEX('Per Line'!$E$2:$E$4001,$AA118)&amp;"")</f>
        <v/>
      </c>
      <c r="C118">
        <f>IF($AA118="","",INDEX('Per Line'!$A$2:$A$4001,$AA118)&amp;"")</f>
        <v/>
      </c>
      <c r="D118">
        <f>IF($AA118="","",INDEX('Per Line'!$D$2:$D$4001,$AA118)&amp;"")</f>
        <v/>
      </c>
      <c r="E118" s="11">
        <f>IF($AA118="","",INDEX('Per Line'!$G$2:$G$4001,$AA118))</f>
        <v/>
      </c>
      <c r="F118">
        <f>IF($AA118="","",INDEX('Per Line'!$H$2:$H$4001,$AA118)&amp;"")</f>
        <v/>
      </c>
      <c r="G118">
        <f>IF($AA118="","",INDEX('Per Line'!$I$2:$I$4001,$AA118)&amp;"")</f>
        <v/>
      </c>
      <c r="H118">
        <f>IF($AA118="","",INDEX('Per Line'!$J$2:$J$4001,$AA118)&amp;"")</f>
        <v/>
      </c>
      <c r="I118">
        <f>IF($AA118="","",INDEX('Per Line'!$K$2:$K$4001,$AA118)&amp;"")</f>
        <v/>
      </c>
      <c r="J118">
        <f>IF($AA118="","",INDEX('Per Line'!$L$2:$L$4001,$AA118)&amp;"")</f>
        <v/>
      </c>
      <c r="K118">
        <f>IF($AA118="","",INDEX('Per Line'!$P$2:$P$4001,$AA118))</f>
        <v/>
      </c>
      <c r="L118" s="7">
        <f>IF($AA118="","",IF(AND(ISNUMBER(N118),N118&gt;0,Y118&gt;N118),K118*N118/100+(Y118-N118),K118*Y118/100))</f>
        <v/>
      </c>
      <c r="M118">
        <f>IF($AA118="","",INDEX('Per Line'!$Z$2:$Z$4001,$AA118)&amp;"")</f>
        <v/>
      </c>
      <c r="N118">
        <f>IF($AA118="","",INDEX('Per Line'!$AG$2:$AG$4001,$AA118))</f>
        <v/>
      </c>
      <c r="O118">
        <f>IF($AA118="","",IF(AND(ISNUMBER(N118),N118&gt;0),Y118&gt;N118,FALSE))</f>
        <v/>
      </c>
      <c r="P118" s="7">
        <f>IF($AA118="","",SUMIFS('Per Line'!$Y$2:$Y$4001,'Per Line'!$E$2:$E$4001,$B118,'Per Line'!$AQ$2:$AQ$4001,1))</f>
        <v/>
      </c>
      <c r="Q118">
        <f>IF($AA118="","",Settings!$C$7)</f>
        <v/>
      </c>
      <c r="R118" s="7">
        <f>IF($AA118="","",SUMIFS('Per Line'!$Y$2:$Y$4001,'Per Line'!$E$2:$E$4001,$B118,'Per Line'!$AP$2:$AP$4001,0,'Per Line'!$AQ$2:$AQ$4001,0))</f>
        <v/>
      </c>
      <c r="S118" s="7">
        <f>IF($AA118="","",R118*Q118)</f>
        <v/>
      </c>
      <c r="T118">
        <f>IF($AA118="","",Settings!$C$6)</f>
        <v/>
      </c>
      <c r="U118" s="7">
        <f>IF($AA118="","",SUMIFS('Per Line'!$Y$2:$Y$4001,'Per Line'!$E$2:$E$4001,$B118,'Per Line'!$AP$2:$AP$4001,1,'Per Line'!$AQ$2:$AQ$4001,0))</f>
        <v/>
      </c>
      <c r="V118" s="7">
        <f>IF($AA118="","",U118*T118)</f>
        <v/>
      </c>
      <c r="W118" s="7">
        <f>IF($AA118="","",V118+S118)</f>
        <v/>
      </c>
      <c r="X118" s="7">
        <f>IF($AA118="","",Y118-W118)</f>
        <v/>
      </c>
      <c r="Y118" s="7">
        <f>IF($AA118="","",R118+U118+P118)</f>
        <v/>
      </c>
      <c r="Z118" s="7">
        <f>IF($AA118="","",Y118-W118-L118)</f>
        <v/>
      </c>
      <c r="AA118" s="13">
        <f>IF(ROWS($AA$2:$AA118)&lt;=MAX('Per Line'!$AO$2:$AO$4001),MATCH(ROWS($AA$2:$AA118),'Per Line'!$AO$2:$AO$4001,0),"")</f>
        <v/>
      </c>
      <c r="AB118" s="14">
        <f>IF($AA118="","",L118-K118*Y118/100)</f>
        <v/>
      </c>
    </row>
    <row r="119">
      <c r="A119" s="12" t="n"/>
      <c r="B119">
        <f>IF($AA119="","",INDEX('Per Line'!$E$2:$E$4001,$AA119)&amp;"")</f>
        <v/>
      </c>
      <c r="C119">
        <f>IF($AA119="","",INDEX('Per Line'!$A$2:$A$4001,$AA119)&amp;"")</f>
        <v/>
      </c>
      <c r="D119">
        <f>IF($AA119="","",INDEX('Per Line'!$D$2:$D$4001,$AA119)&amp;"")</f>
        <v/>
      </c>
      <c r="E119" s="11">
        <f>IF($AA119="","",INDEX('Per Line'!$G$2:$G$4001,$AA119))</f>
        <v/>
      </c>
      <c r="F119">
        <f>IF($AA119="","",INDEX('Per Line'!$H$2:$H$4001,$AA119)&amp;"")</f>
        <v/>
      </c>
      <c r="G119">
        <f>IF($AA119="","",INDEX('Per Line'!$I$2:$I$4001,$AA119)&amp;"")</f>
        <v/>
      </c>
      <c r="H119">
        <f>IF($AA119="","",INDEX('Per Line'!$J$2:$J$4001,$AA119)&amp;"")</f>
        <v/>
      </c>
      <c r="I119">
        <f>IF($AA119="","",INDEX('Per Line'!$K$2:$K$4001,$AA119)&amp;"")</f>
        <v/>
      </c>
      <c r="J119">
        <f>IF($AA119="","",INDEX('Per Line'!$L$2:$L$4001,$AA119)&amp;"")</f>
        <v/>
      </c>
      <c r="K119">
        <f>IF($AA119="","",INDEX('Per Line'!$P$2:$P$4001,$AA119))</f>
        <v/>
      </c>
      <c r="L119" s="7">
        <f>IF($AA119="","",IF(AND(ISNUMBER(N119),N119&gt;0,Y119&gt;N119),K119*N119/100+(Y119-N119),K119*Y119/100))</f>
        <v/>
      </c>
      <c r="M119">
        <f>IF($AA119="","",INDEX('Per Line'!$Z$2:$Z$4001,$AA119)&amp;"")</f>
        <v/>
      </c>
      <c r="N119">
        <f>IF($AA119="","",INDEX('Per Line'!$AG$2:$AG$4001,$AA119))</f>
        <v/>
      </c>
      <c r="O119">
        <f>IF($AA119="","",IF(AND(ISNUMBER(N119),N119&gt;0),Y119&gt;N119,FALSE))</f>
        <v/>
      </c>
      <c r="P119" s="7">
        <f>IF($AA119="","",SUMIFS('Per Line'!$Y$2:$Y$4001,'Per Line'!$E$2:$E$4001,$B119,'Per Line'!$AQ$2:$AQ$4001,1))</f>
        <v/>
      </c>
      <c r="Q119">
        <f>IF($AA119="","",Settings!$C$7)</f>
        <v/>
      </c>
      <c r="R119" s="7">
        <f>IF($AA119="","",SUMIFS('Per Line'!$Y$2:$Y$4001,'Per Line'!$E$2:$E$4001,$B119,'Per Line'!$AP$2:$AP$4001,0,'Per Line'!$AQ$2:$AQ$4001,0))</f>
        <v/>
      </c>
      <c r="S119" s="7">
        <f>IF($AA119="","",R119*Q119)</f>
        <v/>
      </c>
      <c r="T119">
        <f>IF($AA119="","",Settings!$C$6)</f>
        <v/>
      </c>
      <c r="U119" s="7">
        <f>IF($AA119="","",SUMIFS('Per Line'!$Y$2:$Y$4001,'Per Line'!$E$2:$E$4001,$B119,'Per Line'!$AP$2:$AP$4001,1,'Per Line'!$AQ$2:$AQ$4001,0))</f>
        <v/>
      </c>
      <c r="V119" s="7">
        <f>IF($AA119="","",U119*T119)</f>
        <v/>
      </c>
      <c r="W119" s="7">
        <f>IF($AA119="","",V119+S119)</f>
        <v/>
      </c>
      <c r="X119" s="7">
        <f>IF($AA119="","",Y119-W119)</f>
        <v/>
      </c>
      <c r="Y119" s="7">
        <f>IF($AA119="","",R119+U119+P119)</f>
        <v/>
      </c>
      <c r="Z119" s="7">
        <f>IF($AA119="","",Y119-W119-L119)</f>
        <v/>
      </c>
      <c r="AA119" s="13">
        <f>IF(ROWS($AA$2:$AA119)&lt;=MAX('Per Line'!$AO$2:$AO$4001),MATCH(ROWS($AA$2:$AA119),'Per Line'!$AO$2:$AO$4001,0),"")</f>
        <v/>
      </c>
      <c r="AB119" s="14">
        <f>IF($AA119="","",L119-K119*Y119/100)</f>
        <v/>
      </c>
    </row>
    <row r="120">
      <c r="A120" s="12" t="n"/>
      <c r="B120">
        <f>IF($AA120="","",INDEX('Per Line'!$E$2:$E$4001,$AA120)&amp;"")</f>
        <v/>
      </c>
      <c r="C120">
        <f>IF($AA120="","",INDEX('Per Line'!$A$2:$A$4001,$AA120)&amp;"")</f>
        <v/>
      </c>
      <c r="D120">
        <f>IF($AA120="","",INDEX('Per Line'!$D$2:$D$4001,$AA120)&amp;"")</f>
        <v/>
      </c>
      <c r="E120" s="11">
        <f>IF($AA120="","",INDEX('Per Line'!$G$2:$G$4001,$AA120))</f>
        <v/>
      </c>
      <c r="F120">
        <f>IF($AA120="","",INDEX('Per Line'!$H$2:$H$4001,$AA120)&amp;"")</f>
        <v/>
      </c>
      <c r="G120">
        <f>IF($AA120="","",INDEX('Per Line'!$I$2:$I$4001,$AA120)&amp;"")</f>
        <v/>
      </c>
      <c r="H120">
        <f>IF($AA120="","",INDEX('Per Line'!$J$2:$J$4001,$AA120)&amp;"")</f>
        <v/>
      </c>
      <c r="I120">
        <f>IF($AA120="","",INDEX('Per Line'!$K$2:$K$4001,$AA120)&amp;"")</f>
        <v/>
      </c>
      <c r="J120">
        <f>IF($AA120="","",INDEX('Per Line'!$L$2:$L$4001,$AA120)&amp;"")</f>
        <v/>
      </c>
      <c r="K120">
        <f>IF($AA120="","",INDEX('Per Line'!$P$2:$P$4001,$AA120))</f>
        <v/>
      </c>
      <c r="L120" s="7">
        <f>IF($AA120="","",IF(AND(ISNUMBER(N120),N120&gt;0,Y120&gt;N120),K120*N120/100+(Y120-N120),K120*Y120/100))</f>
        <v/>
      </c>
      <c r="M120">
        <f>IF($AA120="","",INDEX('Per Line'!$Z$2:$Z$4001,$AA120)&amp;"")</f>
        <v/>
      </c>
      <c r="N120">
        <f>IF($AA120="","",INDEX('Per Line'!$AG$2:$AG$4001,$AA120))</f>
        <v/>
      </c>
      <c r="O120">
        <f>IF($AA120="","",IF(AND(ISNUMBER(N120),N120&gt;0),Y120&gt;N120,FALSE))</f>
        <v/>
      </c>
      <c r="P120" s="7">
        <f>IF($AA120="","",SUMIFS('Per Line'!$Y$2:$Y$4001,'Per Line'!$E$2:$E$4001,$B120,'Per Line'!$AQ$2:$AQ$4001,1))</f>
        <v/>
      </c>
      <c r="Q120">
        <f>IF($AA120="","",Settings!$C$7)</f>
        <v/>
      </c>
      <c r="R120" s="7">
        <f>IF($AA120="","",SUMIFS('Per Line'!$Y$2:$Y$4001,'Per Line'!$E$2:$E$4001,$B120,'Per Line'!$AP$2:$AP$4001,0,'Per Line'!$AQ$2:$AQ$4001,0))</f>
        <v/>
      </c>
      <c r="S120" s="7">
        <f>IF($AA120="","",R120*Q120)</f>
        <v/>
      </c>
      <c r="T120">
        <f>IF($AA120="","",Settings!$C$6)</f>
        <v/>
      </c>
      <c r="U120" s="7">
        <f>IF($AA120="","",SUMIFS('Per Line'!$Y$2:$Y$4001,'Per Line'!$E$2:$E$4001,$B120,'Per Line'!$AP$2:$AP$4001,1,'Per Line'!$AQ$2:$AQ$4001,0))</f>
        <v/>
      </c>
      <c r="V120" s="7">
        <f>IF($AA120="","",U120*T120)</f>
        <v/>
      </c>
      <c r="W120" s="7">
        <f>IF($AA120="","",V120+S120)</f>
        <v/>
      </c>
      <c r="X120" s="7">
        <f>IF($AA120="","",Y120-W120)</f>
        <v/>
      </c>
      <c r="Y120" s="7">
        <f>IF($AA120="","",R120+U120+P120)</f>
        <v/>
      </c>
      <c r="Z120" s="7">
        <f>IF($AA120="","",Y120-W120-L120)</f>
        <v/>
      </c>
      <c r="AA120" s="13">
        <f>IF(ROWS($AA$2:$AA120)&lt;=MAX('Per Line'!$AO$2:$AO$4001),MATCH(ROWS($AA$2:$AA120),'Per Line'!$AO$2:$AO$4001,0),"")</f>
        <v/>
      </c>
      <c r="AB120" s="14">
        <f>IF($AA120="","",L120-K120*Y120/100)</f>
        <v/>
      </c>
    </row>
    <row r="121">
      <c r="A121" s="12" t="n"/>
      <c r="B121">
        <f>IF($AA121="","",INDEX('Per Line'!$E$2:$E$4001,$AA121)&amp;"")</f>
        <v/>
      </c>
      <c r="C121">
        <f>IF($AA121="","",INDEX('Per Line'!$A$2:$A$4001,$AA121)&amp;"")</f>
        <v/>
      </c>
      <c r="D121">
        <f>IF($AA121="","",INDEX('Per Line'!$D$2:$D$4001,$AA121)&amp;"")</f>
        <v/>
      </c>
      <c r="E121" s="11">
        <f>IF($AA121="","",INDEX('Per Line'!$G$2:$G$4001,$AA121))</f>
        <v/>
      </c>
      <c r="F121">
        <f>IF($AA121="","",INDEX('Per Line'!$H$2:$H$4001,$AA121)&amp;"")</f>
        <v/>
      </c>
      <c r="G121">
        <f>IF($AA121="","",INDEX('Per Line'!$I$2:$I$4001,$AA121)&amp;"")</f>
        <v/>
      </c>
      <c r="H121">
        <f>IF($AA121="","",INDEX('Per Line'!$J$2:$J$4001,$AA121)&amp;"")</f>
        <v/>
      </c>
      <c r="I121">
        <f>IF($AA121="","",INDEX('Per Line'!$K$2:$K$4001,$AA121)&amp;"")</f>
        <v/>
      </c>
      <c r="J121">
        <f>IF($AA121="","",INDEX('Per Line'!$L$2:$L$4001,$AA121)&amp;"")</f>
        <v/>
      </c>
      <c r="K121">
        <f>IF($AA121="","",INDEX('Per Line'!$P$2:$P$4001,$AA121))</f>
        <v/>
      </c>
      <c r="L121" s="7">
        <f>IF($AA121="","",IF(AND(ISNUMBER(N121),N121&gt;0,Y121&gt;N121),K121*N121/100+(Y121-N121),K121*Y121/100))</f>
        <v/>
      </c>
      <c r="M121">
        <f>IF($AA121="","",INDEX('Per Line'!$Z$2:$Z$4001,$AA121)&amp;"")</f>
        <v/>
      </c>
      <c r="N121">
        <f>IF($AA121="","",INDEX('Per Line'!$AG$2:$AG$4001,$AA121))</f>
        <v/>
      </c>
      <c r="O121">
        <f>IF($AA121="","",IF(AND(ISNUMBER(N121),N121&gt;0),Y121&gt;N121,FALSE))</f>
        <v/>
      </c>
      <c r="P121" s="7">
        <f>IF($AA121="","",SUMIFS('Per Line'!$Y$2:$Y$4001,'Per Line'!$E$2:$E$4001,$B121,'Per Line'!$AQ$2:$AQ$4001,1))</f>
        <v/>
      </c>
      <c r="Q121">
        <f>IF($AA121="","",Settings!$C$7)</f>
        <v/>
      </c>
      <c r="R121" s="7">
        <f>IF($AA121="","",SUMIFS('Per Line'!$Y$2:$Y$4001,'Per Line'!$E$2:$E$4001,$B121,'Per Line'!$AP$2:$AP$4001,0,'Per Line'!$AQ$2:$AQ$4001,0))</f>
        <v/>
      </c>
      <c r="S121" s="7">
        <f>IF($AA121="","",R121*Q121)</f>
        <v/>
      </c>
      <c r="T121">
        <f>IF($AA121="","",Settings!$C$6)</f>
        <v/>
      </c>
      <c r="U121" s="7">
        <f>IF($AA121="","",SUMIFS('Per Line'!$Y$2:$Y$4001,'Per Line'!$E$2:$E$4001,$B121,'Per Line'!$AP$2:$AP$4001,1,'Per Line'!$AQ$2:$AQ$4001,0))</f>
        <v/>
      </c>
      <c r="V121" s="7">
        <f>IF($AA121="","",U121*T121)</f>
        <v/>
      </c>
      <c r="W121" s="7">
        <f>IF($AA121="","",V121+S121)</f>
        <v/>
      </c>
      <c r="X121" s="7">
        <f>IF($AA121="","",Y121-W121)</f>
        <v/>
      </c>
      <c r="Y121" s="7">
        <f>IF($AA121="","",R121+U121+P121)</f>
        <v/>
      </c>
      <c r="Z121" s="7">
        <f>IF($AA121="","",Y121-W121-L121)</f>
        <v/>
      </c>
      <c r="AA121" s="13">
        <f>IF(ROWS($AA$2:$AA121)&lt;=MAX('Per Line'!$AO$2:$AO$4001),MATCH(ROWS($AA$2:$AA121),'Per Line'!$AO$2:$AO$4001,0),"")</f>
        <v/>
      </c>
      <c r="AB121" s="14">
        <f>IF($AA121="","",L121-K121*Y121/100)</f>
        <v/>
      </c>
    </row>
    <row r="122">
      <c r="A122" s="12" t="n"/>
      <c r="B122">
        <f>IF($AA122="","",INDEX('Per Line'!$E$2:$E$4001,$AA122)&amp;"")</f>
        <v/>
      </c>
      <c r="C122">
        <f>IF($AA122="","",INDEX('Per Line'!$A$2:$A$4001,$AA122)&amp;"")</f>
        <v/>
      </c>
      <c r="D122">
        <f>IF($AA122="","",INDEX('Per Line'!$D$2:$D$4001,$AA122)&amp;"")</f>
        <v/>
      </c>
      <c r="E122" s="11">
        <f>IF($AA122="","",INDEX('Per Line'!$G$2:$G$4001,$AA122))</f>
        <v/>
      </c>
      <c r="F122">
        <f>IF($AA122="","",INDEX('Per Line'!$H$2:$H$4001,$AA122)&amp;"")</f>
        <v/>
      </c>
      <c r="G122">
        <f>IF($AA122="","",INDEX('Per Line'!$I$2:$I$4001,$AA122)&amp;"")</f>
        <v/>
      </c>
      <c r="H122">
        <f>IF($AA122="","",INDEX('Per Line'!$J$2:$J$4001,$AA122)&amp;"")</f>
        <v/>
      </c>
      <c r="I122">
        <f>IF($AA122="","",INDEX('Per Line'!$K$2:$K$4001,$AA122)&amp;"")</f>
        <v/>
      </c>
      <c r="J122">
        <f>IF($AA122="","",INDEX('Per Line'!$L$2:$L$4001,$AA122)&amp;"")</f>
        <v/>
      </c>
      <c r="K122">
        <f>IF($AA122="","",INDEX('Per Line'!$P$2:$P$4001,$AA122))</f>
        <v/>
      </c>
      <c r="L122" s="7">
        <f>IF($AA122="","",IF(AND(ISNUMBER(N122),N122&gt;0,Y122&gt;N122),K122*N122/100+(Y122-N122),K122*Y122/100))</f>
        <v/>
      </c>
      <c r="M122">
        <f>IF($AA122="","",INDEX('Per Line'!$Z$2:$Z$4001,$AA122)&amp;"")</f>
        <v/>
      </c>
      <c r="N122">
        <f>IF($AA122="","",INDEX('Per Line'!$AG$2:$AG$4001,$AA122))</f>
        <v/>
      </c>
      <c r="O122">
        <f>IF($AA122="","",IF(AND(ISNUMBER(N122),N122&gt;0),Y122&gt;N122,FALSE))</f>
        <v/>
      </c>
      <c r="P122" s="7">
        <f>IF($AA122="","",SUMIFS('Per Line'!$Y$2:$Y$4001,'Per Line'!$E$2:$E$4001,$B122,'Per Line'!$AQ$2:$AQ$4001,1))</f>
        <v/>
      </c>
      <c r="Q122">
        <f>IF($AA122="","",Settings!$C$7)</f>
        <v/>
      </c>
      <c r="R122" s="7">
        <f>IF($AA122="","",SUMIFS('Per Line'!$Y$2:$Y$4001,'Per Line'!$E$2:$E$4001,$B122,'Per Line'!$AP$2:$AP$4001,0,'Per Line'!$AQ$2:$AQ$4001,0))</f>
        <v/>
      </c>
      <c r="S122" s="7">
        <f>IF($AA122="","",R122*Q122)</f>
        <v/>
      </c>
      <c r="T122">
        <f>IF($AA122="","",Settings!$C$6)</f>
        <v/>
      </c>
      <c r="U122" s="7">
        <f>IF($AA122="","",SUMIFS('Per Line'!$Y$2:$Y$4001,'Per Line'!$E$2:$E$4001,$B122,'Per Line'!$AP$2:$AP$4001,1,'Per Line'!$AQ$2:$AQ$4001,0))</f>
        <v/>
      </c>
      <c r="V122" s="7">
        <f>IF($AA122="","",U122*T122)</f>
        <v/>
      </c>
      <c r="W122" s="7">
        <f>IF($AA122="","",V122+S122)</f>
        <v/>
      </c>
      <c r="X122" s="7">
        <f>IF($AA122="","",Y122-W122)</f>
        <v/>
      </c>
      <c r="Y122" s="7">
        <f>IF($AA122="","",R122+U122+P122)</f>
        <v/>
      </c>
      <c r="Z122" s="7">
        <f>IF($AA122="","",Y122-W122-L122)</f>
        <v/>
      </c>
      <c r="AA122" s="13">
        <f>IF(ROWS($AA$2:$AA122)&lt;=MAX('Per Line'!$AO$2:$AO$4001),MATCH(ROWS($AA$2:$AA122),'Per Line'!$AO$2:$AO$4001,0),"")</f>
        <v/>
      </c>
      <c r="AB122" s="14">
        <f>IF($AA122="","",L122-K122*Y122/100)</f>
        <v/>
      </c>
    </row>
    <row r="123">
      <c r="A123" s="12" t="n"/>
      <c r="B123">
        <f>IF($AA123="","",INDEX('Per Line'!$E$2:$E$4001,$AA123)&amp;"")</f>
        <v/>
      </c>
      <c r="C123">
        <f>IF($AA123="","",INDEX('Per Line'!$A$2:$A$4001,$AA123)&amp;"")</f>
        <v/>
      </c>
      <c r="D123">
        <f>IF($AA123="","",INDEX('Per Line'!$D$2:$D$4001,$AA123)&amp;"")</f>
        <v/>
      </c>
      <c r="E123" s="11">
        <f>IF($AA123="","",INDEX('Per Line'!$G$2:$G$4001,$AA123))</f>
        <v/>
      </c>
      <c r="F123">
        <f>IF($AA123="","",INDEX('Per Line'!$H$2:$H$4001,$AA123)&amp;"")</f>
        <v/>
      </c>
      <c r="G123">
        <f>IF($AA123="","",INDEX('Per Line'!$I$2:$I$4001,$AA123)&amp;"")</f>
        <v/>
      </c>
      <c r="H123">
        <f>IF($AA123="","",INDEX('Per Line'!$J$2:$J$4001,$AA123)&amp;"")</f>
        <v/>
      </c>
      <c r="I123">
        <f>IF($AA123="","",INDEX('Per Line'!$K$2:$K$4001,$AA123)&amp;"")</f>
        <v/>
      </c>
      <c r="J123">
        <f>IF($AA123="","",INDEX('Per Line'!$L$2:$L$4001,$AA123)&amp;"")</f>
        <v/>
      </c>
      <c r="K123">
        <f>IF($AA123="","",INDEX('Per Line'!$P$2:$P$4001,$AA123))</f>
        <v/>
      </c>
      <c r="L123" s="7">
        <f>IF($AA123="","",IF(AND(ISNUMBER(N123),N123&gt;0,Y123&gt;N123),K123*N123/100+(Y123-N123),K123*Y123/100))</f>
        <v/>
      </c>
      <c r="M123">
        <f>IF($AA123="","",INDEX('Per Line'!$Z$2:$Z$4001,$AA123)&amp;"")</f>
        <v/>
      </c>
      <c r="N123">
        <f>IF($AA123="","",INDEX('Per Line'!$AG$2:$AG$4001,$AA123))</f>
        <v/>
      </c>
      <c r="O123">
        <f>IF($AA123="","",IF(AND(ISNUMBER(N123),N123&gt;0),Y123&gt;N123,FALSE))</f>
        <v/>
      </c>
      <c r="P123" s="7">
        <f>IF($AA123="","",SUMIFS('Per Line'!$Y$2:$Y$4001,'Per Line'!$E$2:$E$4001,$B123,'Per Line'!$AQ$2:$AQ$4001,1))</f>
        <v/>
      </c>
      <c r="Q123">
        <f>IF($AA123="","",Settings!$C$7)</f>
        <v/>
      </c>
      <c r="R123" s="7">
        <f>IF($AA123="","",SUMIFS('Per Line'!$Y$2:$Y$4001,'Per Line'!$E$2:$E$4001,$B123,'Per Line'!$AP$2:$AP$4001,0,'Per Line'!$AQ$2:$AQ$4001,0))</f>
        <v/>
      </c>
      <c r="S123" s="7">
        <f>IF($AA123="","",R123*Q123)</f>
        <v/>
      </c>
      <c r="T123">
        <f>IF($AA123="","",Settings!$C$6)</f>
        <v/>
      </c>
      <c r="U123" s="7">
        <f>IF($AA123="","",SUMIFS('Per Line'!$Y$2:$Y$4001,'Per Line'!$E$2:$E$4001,$B123,'Per Line'!$AP$2:$AP$4001,1,'Per Line'!$AQ$2:$AQ$4001,0))</f>
        <v/>
      </c>
      <c r="V123" s="7">
        <f>IF($AA123="","",U123*T123)</f>
        <v/>
      </c>
      <c r="W123" s="7">
        <f>IF($AA123="","",V123+S123)</f>
        <v/>
      </c>
      <c r="X123" s="7">
        <f>IF($AA123="","",Y123-W123)</f>
        <v/>
      </c>
      <c r="Y123" s="7">
        <f>IF($AA123="","",R123+U123+P123)</f>
        <v/>
      </c>
      <c r="Z123" s="7">
        <f>IF($AA123="","",Y123-W123-L123)</f>
        <v/>
      </c>
      <c r="AA123" s="13">
        <f>IF(ROWS($AA$2:$AA123)&lt;=MAX('Per Line'!$AO$2:$AO$4001),MATCH(ROWS($AA$2:$AA123),'Per Line'!$AO$2:$AO$4001,0),"")</f>
        <v/>
      </c>
      <c r="AB123" s="14">
        <f>IF($AA123="","",L123-K123*Y123/100)</f>
        <v/>
      </c>
    </row>
    <row r="124">
      <c r="A124" s="12" t="n"/>
      <c r="B124">
        <f>IF($AA124="","",INDEX('Per Line'!$E$2:$E$4001,$AA124)&amp;"")</f>
        <v/>
      </c>
      <c r="C124">
        <f>IF($AA124="","",INDEX('Per Line'!$A$2:$A$4001,$AA124)&amp;"")</f>
        <v/>
      </c>
      <c r="D124">
        <f>IF($AA124="","",INDEX('Per Line'!$D$2:$D$4001,$AA124)&amp;"")</f>
        <v/>
      </c>
      <c r="E124" s="11">
        <f>IF($AA124="","",INDEX('Per Line'!$G$2:$G$4001,$AA124))</f>
        <v/>
      </c>
      <c r="F124">
        <f>IF($AA124="","",INDEX('Per Line'!$H$2:$H$4001,$AA124)&amp;"")</f>
        <v/>
      </c>
      <c r="G124">
        <f>IF($AA124="","",INDEX('Per Line'!$I$2:$I$4001,$AA124)&amp;"")</f>
        <v/>
      </c>
      <c r="H124">
        <f>IF($AA124="","",INDEX('Per Line'!$J$2:$J$4001,$AA124)&amp;"")</f>
        <v/>
      </c>
      <c r="I124">
        <f>IF($AA124="","",INDEX('Per Line'!$K$2:$K$4001,$AA124)&amp;"")</f>
        <v/>
      </c>
      <c r="J124">
        <f>IF($AA124="","",INDEX('Per Line'!$L$2:$L$4001,$AA124)&amp;"")</f>
        <v/>
      </c>
      <c r="K124">
        <f>IF($AA124="","",INDEX('Per Line'!$P$2:$P$4001,$AA124))</f>
        <v/>
      </c>
      <c r="L124" s="7">
        <f>IF($AA124="","",IF(AND(ISNUMBER(N124),N124&gt;0,Y124&gt;N124),K124*N124/100+(Y124-N124),K124*Y124/100))</f>
        <v/>
      </c>
      <c r="M124">
        <f>IF($AA124="","",INDEX('Per Line'!$Z$2:$Z$4001,$AA124)&amp;"")</f>
        <v/>
      </c>
      <c r="N124">
        <f>IF($AA124="","",INDEX('Per Line'!$AG$2:$AG$4001,$AA124))</f>
        <v/>
      </c>
      <c r="O124">
        <f>IF($AA124="","",IF(AND(ISNUMBER(N124),N124&gt;0),Y124&gt;N124,FALSE))</f>
        <v/>
      </c>
      <c r="P124" s="7">
        <f>IF($AA124="","",SUMIFS('Per Line'!$Y$2:$Y$4001,'Per Line'!$E$2:$E$4001,$B124,'Per Line'!$AQ$2:$AQ$4001,1))</f>
        <v/>
      </c>
      <c r="Q124">
        <f>IF($AA124="","",Settings!$C$7)</f>
        <v/>
      </c>
      <c r="R124" s="7">
        <f>IF($AA124="","",SUMIFS('Per Line'!$Y$2:$Y$4001,'Per Line'!$E$2:$E$4001,$B124,'Per Line'!$AP$2:$AP$4001,0,'Per Line'!$AQ$2:$AQ$4001,0))</f>
        <v/>
      </c>
      <c r="S124" s="7">
        <f>IF($AA124="","",R124*Q124)</f>
        <v/>
      </c>
      <c r="T124">
        <f>IF($AA124="","",Settings!$C$6)</f>
        <v/>
      </c>
      <c r="U124" s="7">
        <f>IF($AA124="","",SUMIFS('Per Line'!$Y$2:$Y$4001,'Per Line'!$E$2:$E$4001,$B124,'Per Line'!$AP$2:$AP$4001,1,'Per Line'!$AQ$2:$AQ$4001,0))</f>
        <v/>
      </c>
      <c r="V124" s="7">
        <f>IF($AA124="","",U124*T124)</f>
        <v/>
      </c>
      <c r="W124" s="7">
        <f>IF($AA124="","",V124+S124)</f>
        <v/>
      </c>
      <c r="X124" s="7">
        <f>IF($AA124="","",Y124-W124)</f>
        <v/>
      </c>
      <c r="Y124" s="7">
        <f>IF($AA124="","",R124+U124+P124)</f>
        <v/>
      </c>
      <c r="Z124" s="7">
        <f>IF($AA124="","",Y124-W124-L124)</f>
        <v/>
      </c>
      <c r="AA124" s="13">
        <f>IF(ROWS($AA$2:$AA124)&lt;=MAX('Per Line'!$AO$2:$AO$4001),MATCH(ROWS($AA$2:$AA124),'Per Line'!$AO$2:$AO$4001,0),"")</f>
        <v/>
      </c>
      <c r="AB124" s="14">
        <f>IF($AA124="","",L124-K124*Y124/100)</f>
        <v/>
      </c>
    </row>
    <row r="125">
      <c r="A125" s="12" t="n"/>
      <c r="B125">
        <f>IF($AA125="","",INDEX('Per Line'!$E$2:$E$4001,$AA125)&amp;"")</f>
        <v/>
      </c>
      <c r="C125">
        <f>IF($AA125="","",INDEX('Per Line'!$A$2:$A$4001,$AA125)&amp;"")</f>
        <v/>
      </c>
      <c r="D125">
        <f>IF($AA125="","",INDEX('Per Line'!$D$2:$D$4001,$AA125)&amp;"")</f>
        <v/>
      </c>
      <c r="E125" s="11">
        <f>IF($AA125="","",INDEX('Per Line'!$G$2:$G$4001,$AA125))</f>
        <v/>
      </c>
      <c r="F125">
        <f>IF($AA125="","",INDEX('Per Line'!$H$2:$H$4001,$AA125)&amp;"")</f>
        <v/>
      </c>
      <c r="G125">
        <f>IF($AA125="","",INDEX('Per Line'!$I$2:$I$4001,$AA125)&amp;"")</f>
        <v/>
      </c>
      <c r="H125">
        <f>IF($AA125="","",INDEX('Per Line'!$J$2:$J$4001,$AA125)&amp;"")</f>
        <v/>
      </c>
      <c r="I125">
        <f>IF($AA125="","",INDEX('Per Line'!$K$2:$K$4001,$AA125)&amp;"")</f>
        <v/>
      </c>
      <c r="J125">
        <f>IF($AA125="","",INDEX('Per Line'!$L$2:$L$4001,$AA125)&amp;"")</f>
        <v/>
      </c>
      <c r="K125">
        <f>IF($AA125="","",INDEX('Per Line'!$P$2:$P$4001,$AA125))</f>
        <v/>
      </c>
      <c r="L125" s="7">
        <f>IF($AA125="","",IF(AND(ISNUMBER(N125),N125&gt;0,Y125&gt;N125),K125*N125/100+(Y125-N125),K125*Y125/100))</f>
        <v/>
      </c>
      <c r="M125">
        <f>IF($AA125="","",INDEX('Per Line'!$Z$2:$Z$4001,$AA125)&amp;"")</f>
        <v/>
      </c>
      <c r="N125">
        <f>IF($AA125="","",INDEX('Per Line'!$AG$2:$AG$4001,$AA125))</f>
        <v/>
      </c>
      <c r="O125">
        <f>IF($AA125="","",IF(AND(ISNUMBER(N125),N125&gt;0),Y125&gt;N125,FALSE))</f>
        <v/>
      </c>
      <c r="P125" s="7">
        <f>IF($AA125="","",SUMIFS('Per Line'!$Y$2:$Y$4001,'Per Line'!$E$2:$E$4001,$B125,'Per Line'!$AQ$2:$AQ$4001,1))</f>
        <v/>
      </c>
      <c r="Q125">
        <f>IF($AA125="","",Settings!$C$7)</f>
        <v/>
      </c>
      <c r="R125" s="7">
        <f>IF($AA125="","",SUMIFS('Per Line'!$Y$2:$Y$4001,'Per Line'!$E$2:$E$4001,$B125,'Per Line'!$AP$2:$AP$4001,0,'Per Line'!$AQ$2:$AQ$4001,0))</f>
        <v/>
      </c>
      <c r="S125" s="7">
        <f>IF($AA125="","",R125*Q125)</f>
        <v/>
      </c>
      <c r="T125">
        <f>IF($AA125="","",Settings!$C$6)</f>
        <v/>
      </c>
      <c r="U125" s="7">
        <f>IF($AA125="","",SUMIFS('Per Line'!$Y$2:$Y$4001,'Per Line'!$E$2:$E$4001,$B125,'Per Line'!$AP$2:$AP$4001,1,'Per Line'!$AQ$2:$AQ$4001,0))</f>
        <v/>
      </c>
      <c r="V125" s="7">
        <f>IF($AA125="","",U125*T125)</f>
        <v/>
      </c>
      <c r="W125" s="7">
        <f>IF($AA125="","",V125+S125)</f>
        <v/>
      </c>
      <c r="X125" s="7">
        <f>IF($AA125="","",Y125-W125)</f>
        <v/>
      </c>
      <c r="Y125" s="7">
        <f>IF($AA125="","",R125+U125+P125)</f>
        <v/>
      </c>
      <c r="Z125" s="7">
        <f>IF($AA125="","",Y125-W125-L125)</f>
        <v/>
      </c>
      <c r="AA125" s="13">
        <f>IF(ROWS($AA$2:$AA125)&lt;=MAX('Per Line'!$AO$2:$AO$4001),MATCH(ROWS($AA$2:$AA125),'Per Line'!$AO$2:$AO$4001,0),"")</f>
        <v/>
      </c>
      <c r="AB125" s="14">
        <f>IF($AA125="","",L125-K125*Y125/100)</f>
        <v/>
      </c>
    </row>
    <row r="126">
      <c r="A126" s="12" t="n"/>
      <c r="B126">
        <f>IF($AA126="","",INDEX('Per Line'!$E$2:$E$4001,$AA126)&amp;"")</f>
        <v/>
      </c>
      <c r="C126">
        <f>IF($AA126="","",INDEX('Per Line'!$A$2:$A$4001,$AA126)&amp;"")</f>
        <v/>
      </c>
      <c r="D126">
        <f>IF($AA126="","",INDEX('Per Line'!$D$2:$D$4001,$AA126)&amp;"")</f>
        <v/>
      </c>
      <c r="E126" s="11">
        <f>IF($AA126="","",INDEX('Per Line'!$G$2:$G$4001,$AA126))</f>
        <v/>
      </c>
      <c r="F126">
        <f>IF($AA126="","",INDEX('Per Line'!$H$2:$H$4001,$AA126)&amp;"")</f>
        <v/>
      </c>
      <c r="G126">
        <f>IF($AA126="","",INDEX('Per Line'!$I$2:$I$4001,$AA126)&amp;"")</f>
        <v/>
      </c>
      <c r="H126">
        <f>IF($AA126="","",INDEX('Per Line'!$J$2:$J$4001,$AA126)&amp;"")</f>
        <v/>
      </c>
      <c r="I126">
        <f>IF($AA126="","",INDEX('Per Line'!$K$2:$K$4001,$AA126)&amp;"")</f>
        <v/>
      </c>
      <c r="J126">
        <f>IF($AA126="","",INDEX('Per Line'!$L$2:$L$4001,$AA126)&amp;"")</f>
        <v/>
      </c>
      <c r="K126">
        <f>IF($AA126="","",INDEX('Per Line'!$P$2:$P$4001,$AA126))</f>
        <v/>
      </c>
      <c r="L126" s="7">
        <f>IF($AA126="","",IF(AND(ISNUMBER(N126),N126&gt;0,Y126&gt;N126),K126*N126/100+(Y126-N126),K126*Y126/100))</f>
        <v/>
      </c>
      <c r="M126">
        <f>IF($AA126="","",INDEX('Per Line'!$Z$2:$Z$4001,$AA126)&amp;"")</f>
        <v/>
      </c>
      <c r="N126">
        <f>IF($AA126="","",INDEX('Per Line'!$AG$2:$AG$4001,$AA126))</f>
        <v/>
      </c>
      <c r="O126">
        <f>IF($AA126="","",IF(AND(ISNUMBER(N126),N126&gt;0),Y126&gt;N126,FALSE))</f>
        <v/>
      </c>
      <c r="P126" s="7">
        <f>IF($AA126="","",SUMIFS('Per Line'!$Y$2:$Y$4001,'Per Line'!$E$2:$E$4001,$B126,'Per Line'!$AQ$2:$AQ$4001,1))</f>
        <v/>
      </c>
      <c r="Q126">
        <f>IF($AA126="","",Settings!$C$7)</f>
        <v/>
      </c>
      <c r="R126" s="7">
        <f>IF($AA126="","",SUMIFS('Per Line'!$Y$2:$Y$4001,'Per Line'!$E$2:$E$4001,$B126,'Per Line'!$AP$2:$AP$4001,0,'Per Line'!$AQ$2:$AQ$4001,0))</f>
        <v/>
      </c>
      <c r="S126" s="7">
        <f>IF($AA126="","",R126*Q126)</f>
        <v/>
      </c>
      <c r="T126">
        <f>IF($AA126="","",Settings!$C$6)</f>
        <v/>
      </c>
      <c r="U126" s="7">
        <f>IF($AA126="","",SUMIFS('Per Line'!$Y$2:$Y$4001,'Per Line'!$E$2:$E$4001,$B126,'Per Line'!$AP$2:$AP$4001,1,'Per Line'!$AQ$2:$AQ$4001,0))</f>
        <v/>
      </c>
      <c r="V126" s="7">
        <f>IF($AA126="","",U126*T126)</f>
        <v/>
      </c>
      <c r="W126" s="7">
        <f>IF($AA126="","",V126+S126)</f>
        <v/>
      </c>
      <c r="X126" s="7">
        <f>IF($AA126="","",Y126-W126)</f>
        <v/>
      </c>
      <c r="Y126" s="7">
        <f>IF($AA126="","",R126+U126+P126)</f>
        <v/>
      </c>
      <c r="Z126" s="7">
        <f>IF($AA126="","",Y126-W126-L126)</f>
        <v/>
      </c>
      <c r="AA126" s="13">
        <f>IF(ROWS($AA$2:$AA126)&lt;=MAX('Per Line'!$AO$2:$AO$4001),MATCH(ROWS($AA$2:$AA126),'Per Line'!$AO$2:$AO$4001,0),"")</f>
        <v/>
      </c>
      <c r="AB126" s="14">
        <f>IF($AA126="","",L126-K126*Y126/100)</f>
        <v/>
      </c>
    </row>
    <row r="127">
      <c r="A127" s="12" t="n"/>
      <c r="B127">
        <f>IF($AA127="","",INDEX('Per Line'!$E$2:$E$4001,$AA127)&amp;"")</f>
        <v/>
      </c>
      <c r="C127">
        <f>IF($AA127="","",INDEX('Per Line'!$A$2:$A$4001,$AA127)&amp;"")</f>
        <v/>
      </c>
      <c r="D127">
        <f>IF($AA127="","",INDEX('Per Line'!$D$2:$D$4001,$AA127)&amp;"")</f>
        <v/>
      </c>
      <c r="E127" s="11">
        <f>IF($AA127="","",INDEX('Per Line'!$G$2:$G$4001,$AA127))</f>
        <v/>
      </c>
      <c r="F127">
        <f>IF($AA127="","",INDEX('Per Line'!$H$2:$H$4001,$AA127)&amp;"")</f>
        <v/>
      </c>
      <c r="G127">
        <f>IF($AA127="","",INDEX('Per Line'!$I$2:$I$4001,$AA127)&amp;"")</f>
        <v/>
      </c>
      <c r="H127">
        <f>IF($AA127="","",INDEX('Per Line'!$J$2:$J$4001,$AA127)&amp;"")</f>
        <v/>
      </c>
      <c r="I127">
        <f>IF($AA127="","",INDEX('Per Line'!$K$2:$K$4001,$AA127)&amp;"")</f>
        <v/>
      </c>
      <c r="J127">
        <f>IF($AA127="","",INDEX('Per Line'!$L$2:$L$4001,$AA127)&amp;"")</f>
        <v/>
      </c>
      <c r="K127">
        <f>IF($AA127="","",INDEX('Per Line'!$P$2:$P$4001,$AA127))</f>
        <v/>
      </c>
      <c r="L127" s="7">
        <f>IF($AA127="","",IF(AND(ISNUMBER(N127),N127&gt;0,Y127&gt;N127),K127*N127/100+(Y127-N127),K127*Y127/100))</f>
        <v/>
      </c>
      <c r="M127">
        <f>IF($AA127="","",INDEX('Per Line'!$Z$2:$Z$4001,$AA127)&amp;"")</f>
        <v/>
      </c>
      <c r="N127">
        <f>IF($AA127="","",INDEX('Per Line'!$AG$2:$AG$4001,$AA127))</f>
        <v/>
      </c>
      <c r="O127">
        <f>IF($AA127="","",IF(AND(ISNUMBER(N127),N127&gt;0),Y127&gt;N127,FALSE))</f>
        <v/>
      </c>
      <c r="P127" s="7">
        <f>IF($AA127="","",SUMIFS('Per Line'!$Y$2:$Y$4001,'Per Line'!$E$2:$E$4001,$B127,'Per Line'!$AQ$2:$AQ$4001,1))</f>
        <v/>
      </c>
      <c r="Q127">
        <f>IF($AA127="","",Settings!$C$7)</f>
        <v/>
      </c>
      <c r="R127" s="7">
        <f>IF($AA127="","",SUMIFS('Per Line'!$Y$2:$Y$4001,'Per Line'!$E$2:$E$4001,$B127,'Per Line'!$AP$2:$AP$4001,0,'Per Line'!$AQ$2:$AQ$4001,0))</f>
        <v/>
      </c>
      <c r="S127" s="7">
        <f>IF($AA127="","",R127*Q127)</f>
        <v/>
      </c>
      <c r="T127">
        <f>IF($AA127="","",Settings!$C$6)</f>
        <v/>
      </c>
      <c r="U127" s="7">
        <f>IF($AA127="","",SUMIFS('Per Line'!$Y$2:$Y$4001,'Per Line'!$E$2:$E$4001,$B127,'Per Line'!$AP$2:$AP$4001,1,'Per Line'!$AQ$2:$AQ$4001,0))</f>
        <v/>
      </c>
      <c r="V127" s="7">
        <f>IF($AA127="","",U127*T127)</f>
        <v/>
      </c>
      <c r="W127" s="7">
        <f>IF($AA127="","",V127+S127)</f>
        <v/>
      </c>
      <c r="X127" s="7">
        <f>IF($AA127="","",Y127-W127)</f>
        <v/>
      </c>
      <c r="Y127" s="7">
        <f>IF($AA127="","",R127+U127+P127)</f>
        <v/>
      </c>
      <c r="Z127" s="7">
        <f>IF($AA127="","",Y127-W127-L127)</f>
        <v/>
      </c>
      <c r="AA127" s="13">
        <f>IF(ROWS($AA$2:$AA127)&lt;=MAX('Per Line'!$AO$2:$AO$4001),MATCH(ROWS($AA$2:$AA127),'Per Line'!$AO$2:$AO$4001,0),"")</f>
        <v/>
      </c>
      <c r="AB127" s="14">
        <f>IF($AA127="","",L127-K127*Y127/100)</f>
        <v/>
      </c>
    </row>
    <row r="128">
      <c r="A128" s="12" t="n"/>
      <c r="B128">
        <f>IF($AA128="","",INDEX('Per Line'!$E$2:$E$4001,$AA128)&amp;"")</f>
        <v/>
      </c>
      <c r="C128">
        <f>IF($AA128="","",INDEX('Per Line'!$A$2:$A$4001,$AA128)&amp;"")</f>
        <v/>
      </c>
      <c r="D128">
        <f>IF($AA128="","",INDEX('Per Line'!$D$2:$D$4001,$AA128)&amp;"")</f>
        <v/>
      </c>
      <c r="E128" s="11">
        <f>IF($AA128="","",INDEX('Per Line'!$G$2:$G$4001,$AA128))</f>
        <v/>
      </c>
      <c r="F128">
        <f>IF($AA128="","",INDEX('Per Line'!$H$2:$H$4001,$AA128)&amp;"")</f>
        <v/>
      </c>
      <c r="G128">
        <f>IF($AA128="","",INDEX('Per Line'!$I$2:$I$4001,$AA128)&amp;"")</f>
        <v/>
      </c>
      <c r="H128">
        <f>IF($AA128="","",INDEX('Per Line'!$J$2:$J$4001,$AA128)&amp;"")</f>
        <v/>
      </c>
      <c r="I128">
        <f>IF($AA128="","",INDEX('Per Line'!$K$2:$K$4001,$AA128)&amp;"")</f>
        <v/>
      </c>
      <c r="J128">
        <f>IF($AA128="","",INDEX('Per Line'!$L$2:$L$4001,$AA128)&amp;"")</f>
        <v/>
      </c>
      <c r="K128">
        <f>IF($AA128="","",INDEX('Per Line'!$P$2:$P$4001,$AA128))</f>
        <v/>
      </c>
      <c r="L128" s="7">
        <f>IF($AA128="","",IF(AND(ISNUMBER(N128),N128&gt;0,Y128&gt;N128),K128*N128/100+(Y128-N128),K128*Y128/100))</f>
        <v/>
      </c>
      <c r="M128">
        <f>IF($AA128="","",INDEX('Per Line'!$Z$2:$Z$4001,$AA128)&amp;"")</f>
        <v/>
      </c>
      <c r="N128">
        <f>IF($AA128="","",INDEX('Per Line'!$AG$2:$AG$4001,$AA128))</f>
        <v/>
      </c>
      <c r="O128">
        <f>IF($AA128="","",IF(AND(ISNUMBER(N128),N128&gt;0),Y128&gt;N128,FALSE))</f>
        <v/>
      </c>
      <c r="P128" s="7">
        <f>IF($AA128="","",SUMIFS('Per Line'!$Y$2:$Y$4001,'Per Line'!$E$2:$E$4001,$B128,'Per Line'!$AQ$2:$AQ$4001,1))</f>
        <v/>
      </c>
      <c r="Q128">
        <f>IF($AA128="","",Settings!$C$7)</f>
        <v/>
      </c>
      <c r="R128" s="7">
        <f>IF($AA128="","",SUMIFS('Per Line'!$Y$2:$Y$4001,'Per Line'!$E$2:$E$4001,$B128,'Per Line'!$AP$2:$AP$4001,0,'Per Line'!$AQ$2:$AQ$4001,0))</f>
        <v/>
      </c>
      <c r="S128" s="7">
        <f>IF($AA128="","",R128*Q128)</f>
        <v/>
      </c>
      <c r="T128">
        <f>IF($AA128="","",Settings!$C$6)</f>
        <v/>
      </c>
      <c r="U128" s="7">
        <f>IF($AA128="","",SUMIFS('Per Line'!$Y$2:$Y$4001,'Per Line'!$E$2:$E$4001,$B128,'Per Line'!$AP$2:$AP$4001,1,'Per Line'!$AQ$2:$AQ$4001,0))</f>
        <v/>
      </c>
      <c r="V128" s="7">
        <f>IF($AA128="","",U128*T128)</f>
        <v/>
      </c>
      <c r="W128" s="7">
        <f>IF($AA128="","",V128+S128)</f>
        <v/>
      </c>
      <c r="X128" s="7">
        <f>IF($AA128="","",Y128-W128)</f>
        <v/>
      </c>
      <c r="Y128" s="7">
        <f>IF($AA128="","",R128+U128+P128)</f>
        <v/>
      </c>
      <c r="Z128" s="7">
        <f>IF($AA128="","",Y128-W128-L128)</f>
        <v/>
      </c>
      <c r="AA128" s="13">
        <f>IF(ROWS($AA$2:$AA128)&lt;=MAX('Per Line'!$AO$2:$AO$4001),MATCH(ROWS($AA$2:$AA128),'Per Line'!$AO$2:$AO$4001,0),"")</f>
        <v/>
      </c>
      <c r="AB128" s="14">
        <f>IF($AA128="","",L128-K128*Y128/100)</f>
        <v/>
      </c>
    </row>
    <row r="129">
      <c r="A129" s="12" t="n"/>
      <c r="B129">
        <f>IF($AA129="","",INDEX('Per Line'!$E$2:$E$4001,$AA129)&amp;"")</f>
        <v/>
      </c>
      <c r="C129">
        <f>IF($AA129="","",INDEX('Per Line'!$A$2:$A$4001,$AA129)&amp;"")</f>
        <v/>
      </c>
      <c r="D129">
        <f>IF($AA129="","",INDEX('Per Line'!$D$2:$D$4001,$AA129)&amp;"")</f>
        <v/>
      </c>
      <c r="E129" s="11">
        <f>IF($AA129="","",INDEX('Per Line'!$G$2:$G$4001,$AA129))</f>
        <v/>
      </c>
      <c r="F129">
        <f>IF($AA129="","",INDEX('Per Line'!$H$2:$H$4001,$AA129)&amp;"")</f>
        <v/>
      </c>
      <c r="G129">
        <f>IF($AA129="","",INDEX('Per Line'!$I$2:$I$4001,$AA129)&amp;"")</f>
        <v/>
      </c>
      <c r="H129">
        <f>IF($AA129="","",INDEX('Per Line'!$J$2:$J$4001,$AA129)&amp;"")</f>
        <v/>
      </c>
      <c r="I129">
        <f>IF($AA129="","",INDEX('Per Line'!$K$2:$K$4001,$AA129)&amp;"")</f>
        <v/>
      </c>
      <c r="J129">
        <f>IF($AA129="","",INDEX('Per Line'!$L$2:$L$4001,$AA129)&amp;"")</f>
        <v/>
      </c>
      <c r="K129">
        <f>IF($AA129="","",INDEX('Per Line'!$P$2:$P$4001,$AA129))</f>
        <v/>
      </c>
      <c r="L129" s="7">
        <f>IF($AA129="","",IF(AND(ISNUMBER(N129),N129&gt;0,Y129&gt;N129),K129*N129/100+(Y129-N129),K129*Y129/100))</f>
        <v/>
      </c>
      <c r="M129">
        <f>IF($AA129="","",INDEX('Per Line'!$Z$2:$Z$4001,$AA129)&amp;"")</f>
        <v/>
      </c>
      <c r="N129">
        <f>IF($AA129="","",INDEX('Per Line'!$AG$2:$AG$4001,$AA129))</f>
        <v/>
      </c>
      <c r="O129">
        <f>IF($AA129="","",IF(AND(ISNUMBER(N129),N129&gt;0),Y129&gt;N129,FALSE))</f>
        <v/>
      </c>
      <c r="P129" s="7">
        <f>IF($AA129="","",SUMIFS('Per Line'!$Y$2:$Y$4001,'Per Line'!$E$2:$E$4001,$B129,'Per Line'!$AQ$2:$AQ$4001,1))</f>
        <v/>
      </c>
      <c r="Q129">
        <f>IF($AA129="","",Settings!$C$7)</f>
        <v/>
      </c>
      <c r="R129" s="7">
        <f>IF($AA129="","",SUMIFS('Per Line'!$Y$2:$Y$4001,'Per Line'!$E$2:$E$4001,$B129,'Per Line'!$AP$2:$AP$4001,0,'Per Line'!$AQ$2:$AQ$4001,0))</f>
        <v/>
      </c>
      <c r="S129" s="7">
        <f>IF($AA129="","",R129*Q129)</f>
        <v/>
      </c>
      <c r="T129">
        <f>IF($AA129="","",Settings!$C$6)</f>
        <v/>
      </c>
      <c r="U129" s="7">
        <f>IF($AA129="","",SUMIFS('Per Line'!$Y$2:$Y$4001,'Per Line'!$E$2:$E$4001,$B129,'Per Line'!$AP$2:$AP$4001,1,'Per Line'!$AQ$2:$AQ$4001,0))</f>
        <v/>
      </c>
      <c r="V129" s="7">
        <f>IF($AA129="","",U129*T129)</f>
        <v/>
      </c>
      <c r="W129" s="7">
        <f>IF($AA129="","",V129+S129)</f>
        <v/>
      </c>
      <c r="X129" s="7">
        <f>IF($AA129="","",Y129-W129)</f>
        <v/>
      </c>
      <c r="Y129" s="7">
        <f>IF($AA129="","",R129+U129+P129)</f>
        <v/>
      </c>
      <c r="Z129" s="7">
        <f>IF($AA129="","",Y129-W129-L129)</f>
        <v/>
      </c>
      <c r="AA129" s="13">
        <f>IF(ROWS($AA$2:$AA129)&lt;=MAX('Per Line'!$AO$2:$AO$4001),MATCH(ROWS($AA$2:$AA129),'Per Line'!$AO$2:$AO$4001,0),"")</f>
        <v/>
      </c>
      <c r="AB129" s="14">
        <f>IF($AA129="","",L129-K129*Y129/100)</f>
        <v/>
      </c>
    </row>
    <row r="130">
      <c r="A130" s="12" t="n"/>
      <c r="B130">
        <f>IF($AA130="","",INDEX('Per Line'!$E$2:$E$4001,$AA130)&amp;"")</f>
        <v/>
      </c>
      <c r="C130">
        <f>IF($AA130="","",INDEX('Per Line'!$A$2:$A$4001,$AA130)&amp;"")</f>
        <v/>
      </c>
      <c r="D130">
        <f>IF($AA130="","",INDEX('Per Line'!$D$2:$D$4001,$AA130)&amp;"")</f>
        <v/>
      </c>
      <c r="E130" s="11">
        <f>IF($AA130="","",INDEX('Per Line'!$G$2:$G$4001,$AA130))</f>
        <v/>
      </c>
      <c r="F130">
        <f>IF($AA130="","",INDEX('Per Line'!$H$2:$H$4001,$AA130)&amp;"")</f>
        <v/>
      </c>
      <c r="G130">
        <f>IF($AA130="","",INDEX('Per Line'!$I$2:$I$4001,$AA130)&amp;"")</f>
        <v/>
      </c>
      <c r="H130">
        <f>IF($AA130="","",INDEX('Per Line'!$J$2:$J$4001,$AA130)&amp;"")</f>
        <v/>
      </c>
      <c r="I130">
        <f>IF($AA130="","",INDEX('Per Line'!$K$2:$K$4001,$AA130)&amp;"")</f>
        <v/>
      </c>
      <c r="J130">
        <f>IF($AA130="","",INDEX('Per Line'!$L$2:$L$4001,$AA130)&amp;"")</f>
        <v/>
      </c>
      <c r="K130">
        <f>IF($AA130="","",INDEX('Per Line'!$P$2:$P$4001,$AA130))</f>
        <v/>
      </c>
      <c r="L130" s="7">
        <f>IF($AA130="","",IF(AND(ISNUMBER(N130),N130&gt;0,Y130&gt;N130),K130*N130/100+(Y130-N130),K130*Y130/100))</f>
        <v/>
      </c>
      <c r="M130">
        <f>IF($AA130="","",INDEX('Per Line'!$Z$2:$Z$4001,$AA130)&amp;"")</f>
        <v/>
      </c>
      <c r="N130">
        <f>IF($AA130="","",INDEX('Per Line'!$AG$2:$AG$4001,$AA130))</f>
        <v/>
      </c>
      <c r="O130">
        <f>IF($AA130="","",IF(AND(ISNUMBER(N130),N130&gt;0),Y130&gt;N130,FALSE))</f>
        <v/>
      </c>
      <c r="P130" s="7">
        <f>IF($AA130="","",SUMIFS('Per Line'!$Y$2:$Y$4001,'Per Line'!$E$2:$E$4001,$B130,'Per Line'!$AQ$2:$AQ$4001,1))</f>
        <v/>
      </c>
      <c r="Q130">
        <f>IF($AA130="","",Settings!$C$7)</f>
        <v/>
      </c>
      <c r="R130" s="7">
        <f>IF($AA130="","",SUMIFS('Per Line'!$Y$2:$Y$4001,'Per Line'!$E$2:$E$4001,$B130,'Per Line'!$AP$2:$AP$4001,0,'Per Line'!$AQ$2:$AQ$4001,0))</f>
        <v/>
      </c>
      <c r="S130" s="7">
        <f>IF($AA130="","",R130*Q130)</f>
        <v/>
      </c>
      <c r="T130">
        <f>IF($AA130="","",Settings!$C$6)</f>
        <v/>
      </c>
      <c r="U130" s="7">
        <f>IF($AA130="","",SUMIFS('Per Line'!$Y$2:$Y$4001,'Per Line'!$E$2:$E$4001,$B130,'Per Line'!$AP$2:$AP$4001,1,'Per Line'!$AQ$2:$AQ$4001,0))</f>
        <v/>
      </c>
      <c r="V130" s="7">
        <f>IF($AA130="","",U130*T130)</f>
        <v/>
      </c>
      <c r="W130" s="7">
        <f>IF($AA130="","",V130+S130)</f>
        <v/>
      </c>
      <c r="X130" s="7">
        <f>IF($AA130="","",Y130-W130)</f>
        <v/>
      </c>
      <c r="Y130" s="7">
        <f>IF($AA130="","",R130+U130+P130)</f>
        <v/>
      </c>
      <c r="Z130" s="7">
        <f>IF($AA130="","",Y130-W130-L130)</f>
        <v/>
      </c>
      <c r="AA130" s="13">
        <f>IF(ROWS($AA$2:$AA130)&lt;=MAX('Per Line'!$AO$2:$AO$4001),MATCH(ROWS($AA$2:$AA130),'Per Line'!$AO$2:$AO$4001,0),"")</f>
        <v/>
      </c>
      <c r="AB130" s="14">
        <f>IF($AA130="","",L130-K130*Y130/100)</f>
        <v/>
      </c>
    </row>
    <row r="131">
      <c r="A131" s="12" t="n"/>
      <c r="B131">
        <f>IF($AA131="","",INDEX('Per Line'!$E$2:$E$4001,$AA131)&amp;"")</f>
        <v/>
      </c>
      <c r="C131">
        <f>IF($AA131="","",INDEX('Per Line'!$A$2:$A$4001,$AA131)&amp;"")</f>
        <v/>
      </c>
      <c r="D131">
        <f>IF($AA131="","",INDEX('Per Line'!$D$2:$D$4001,$AA131)&amp;"")</f>
        <v/>
      </c>
      <c r="E131" s="11">
        <f>IF($AA131="","",INDEX('Per Line'!$G$2:$G$4001,$AA131))</f>
        <v/>
      </c>
      <c r="F131">
        <f>IF($AA131="","",INDEX('Per Line'!$H$2:$H$4001,$AA131)&amp;"")</f>
        <v/>
      </c>
      <c r="G131">
        <f>IF($AA131="","",INDEX('Per Line'!$I$2:$I$4001,$AA131)&amp;"")</f>
        <v/>
      </c>
      <c r="H131">
        <f>IF($AA131="","",INDEX('Per Line'!$J$2:$J$4001,$AA131)&amp;"")</f>
        <v/>
      </c>
      <c r="I131">
        <f>IF($AA131="","",INDEX('Per Line'!$K$2:$K$4001,$AA131)&amp;"")</f>
        <v/>
      </c>
      <c r="J131">
        <f>IF($AA131="","",INDEX('Per Line'!$L$2:$L$4001,$AA131)&amp;"")</f>
        <v/>
      </c>
      <c r="K131">
        <f>IF($AA131="","",INDEX('Per Line'!$P$2:$P$4001,$AA131))</f>
        <v/>
      </c>
      <c r="L131" s="7">
        <f>IF($AA131="","",IF(AND(ISNUMBER(N131),N131&gt;0,Y131&gt;N131),K131*N131/100+(Y131-N131),K131*Y131/100))</f>
        <v/>
      </c>
      <c r="M131">
        <f>IF($AA131="","",INDEX('Per Line'!$Z$2:$Z$4001,$AA131)&amp;"")</f>
        <v/>
      </c>
      <c r="N131">
        <f>IF($AA131="","",INDEX('Per Line'!$AG$2:$AG$4001,$AA131))</f>
        <v/>
      </c>
      <c r="O131">
        <f>IF($AA131="","",IF(AND(ISNUMBER(N131),N131&gt;0),Y131&gt;N131,FALSE))</f>
        <v/>
      </c>
      <c r="P131" s="7">
        <f>IF($AA131="","",SUMIFS('Per Line'!$Y$2:$Y$4001,'Per Line'!$E$2:$E$4001,$B131,'Per Line'!$AQ$2:$AQ$4001,1))</f>
        <v/>
      </c>
      <c r="Q131">
        <f>IF($AA131="","",Settings!$C$7)</f>
        <v/>
      </c>
      <c r="R131" s="7">
        <f>IF($AA131="","",SUMIFS('Per Line'!$Y$2:$Y$4001,'Per Line'!$E$2:$E$4001,$B131,'Per Line'!$AP$2:$AP$4001,0,'Per Line'!$AQ$2:$AQ$4001,0))</f>
        <v/>
      </c>
      <c r="S131" s="7">
        <f>IF($AA131="","",R131*Q131)</f>
        <v/>
      </c>
      <c r="T131">
        <f>IF($AA131="","",Settings!$C$6)</f>
        <v/>
      </c>
      <c r="U131" s="7">
        <f>IF($AA131="","",SUMIFS('Per Line'!$Y$2:$Y$4001,'Per Line'!$E$2:$E$4001,$B131,'Per Line'!$AP$2:$AP$4001,1,'Per Line'!$AQ$2:$AQ$4001,0))</f>
        <v/>
      </c>
      <c r="V131" s="7">
        <f>IF($AA131="","",U131*T131)</f>
        <v/>
      </c>
      <c r="W131" s="7">
        <f>IF($AA131="","",V131+S131)</f>
        <v/>
      </c>
      <c r="X131" s="7">
        <f>IF($AA131="","",Y131-W131)</f>
        <v/>
      </c>
      <c r="Y131" s="7">
        <f>IF($AA131="","",R131+U131+P131)</f>
        <v/>
      </c>
      <c r="Z131" s="7">
        <f>IF($AA131="","",Y131-W131-L131)</f>
        <v/>
      </c>
      <c r="AA131" s="13">
        <f>IF(ROWS($AA$2:$AA131)&lt;=MAX('Per Line'!$AO$2:$AO$4001),MATCH(ROWS($AA$2:$AA131),'Per Line'!$AO$2:$AO$4001,0),"")</f>
        <v/>
      </c>
      <c r="AB131" s="14">
        <f>IF($AA131="","",L131-K131*Y131/100)</f>
        <v/>
      </c>
    </row>
    <row r="132">
      <c r="A132" s="12" t="n"/>
      <c r="B132">
        <f>IF($AA132="","",INDEX('Per Line'!$E$2:$E$4001,$AA132)&amp;"")</f>
        <v/>
      </c>
      <c r="C132">
        <f>IF($AA132="","",INDEX('Per Line'!$A$2:$A$4001,$AA132)&amp;"")</f>
        <v/>
      </c>
      <c r="D132">
        <f>IF($AA132="","",INDEX('Per Line'!$D$2:$D$4001,$AA132)&amp;"")</f>
        <v/>
      </c>
      <c r="E132" s="11">
        <f>IF($AA132="","",INDEX('Per Line'!$G$2:$G$4001,$AA132))</f>
        <v/>
      </c>
      <c r="F132">
        <f>IF($AA132="","",INDEX('Per Line'!$H$2:$H$4001,$AA132)&amp;"")</f>
        <v/>
      </c>
      <c r="G132">
        <f>IF($AA132="","",INDEX('Per Line'!$I$2:$I$4001,$AA132)&amp;"")</f>
        <v/>
      </c>
      <c r="H132">
        <f>IF($AA132="","",INDEX('Per Line'!$J$2:$J$4001,$AA132)&amp;"")</f>
        <v/>
      </c>
      <c r="I132">
        <f>IF($AA132="","",INDEX('Per Line'!$K$2:$K$4001,$AA132)&amp;"")</f>
        <v/>
      </c>
      <c r="J132">
        <f>IF($AA132="","",INDEX('Per Line'!$L$2:$L$4001,$AA132)&amp;"")</f>
        <v/>
      </c>
      <c r="K132">
        <f>IF($AA132="","",INDEX('Per Line'!$P$2:$P$4001,$AA132))</f>
        <v/>
      </c>
      <c r="L132" s="7">
        <f>IF($AA132="","",IF(AND(ISNUMBER(N132),N132&gt;0,Y132&gt;N132),K132*N132/100+(Y132-N132),K132*Y132/100))</f>
        <v/>
      </c>
      <c r="M132">
        <f>IF($AA132="","",INDEX('Per Line'!$Z$2:$Z$4001,$AA132)&amp;"")</f>
        <v/>
      </c>
      <c r="N132">
        <f>IF($AA132="","",INDEX('Per Line'!$AG$2:$AG$4001,$AA132))</f>
        <v/>
      </c>
      <c r="O132">
        <f>IF($AA132="","",IF(AND(ISNUMBER(N132),N132&gt;0),Y132&gt;N132,FALSE))</f>
        <v/>
      </c>
      <c r="P132" s="7">
        <f>IF($AA132="","",SUMIFS('Per Line'!$Y$2:$Y$4001,'Per Line'!$E$2:$E$4001,$B132,'Per Line'!$AQ$2:$AQ$4001,1))</f>
        <v/>
      </c>
      <c r="Q132">
        <f>IF($AA132="","",Settings!$C$7)</f>
        <v/>
      </c>
      <c r="R132" s="7">
        <f>IF($AA132="","",SUMIFS('Per Line'!$Y$2:$Y$4001,'Per Line'!$E$2:$E$4001,$B132,'Per Line'!$AP$2:$AP$4001,0,'Per Line'!$AQ$2:$AQ$4001,0))</f>
        <v/>
      </c>
      <c r="S132" s="7">
        <f>IF($AA132="","",R132*Q132)</f>
        <v/>
      </c>
      <c r="T132">
        <f>IF($AA132="","",Settings!$C$6)</f>
        <v/>
      </c>
      <c r="U132" s="7">
        <f>IF($AA132="","",SUMIFS('Per Line'!$Y$2:$Y$4001,'Per Line'!$E$2:$E$4001,$B132,'Per Line'!$AP$2:$AP$4001,1,'Per Line'!$AQ$2:$AQ$4001,0))</f>
        <v/>
      </c>
      <c r="V132" s="7">
        <f>IF($AA132="","",U132*T132)</f>
        <v/>
      </c>
      <c r="W132" s="7">
        <f>IF($AA132="","",V132+S132)</f>
        <v/>
      </c>
      <c r="X132" s="7">
        <f>IF($AA132="","",Y132-W132)</f>
        <v/>
      </c>
      <c r="Y132" s="7">
        <f>IF($AA132="","",R132+U132+P132)</f>
        <v/>
      </c>
      <c r="Z132" s="7">
        <f>IF($AA132="","",Y132-W132-L132)</f>
        <v/>
      </c>
      <c r="AA132" s="13">
        <f>IF(ROWS($AA$2:$AA132)&lt;=MAX('Per Line'!$AO$2:$AO$4001),MATCH(ROWS($AA$2:$AA132),'Per Line'!$AO$2:$AO$4001,0),"")</f>
        <v/>
      </c>
      <c r="AB132" s="14">
        <f>IF($AA132="","",L132-K132*Y132/100)</f>
        <v/>
      </c>
    </row>
    <row r="133">
      <c r="A133" s="12" t="n"/>
      <c r="B133">
        <f>IF($AA133="","",INDEX('Per Line'!$E$2:$E$4001,$AA133)&amp;"")</f>
        <v/>
      </c>
      <c r="C133">
        <f>IF($AA133="","",INDEX('Per Line'!$A$2:$A$4001,$AA133)&amp;"")</f>
        <v/>
      </c>
      <c r="D133">
        <f>IF($AA133="","",INDEX('Per Line'!$D$2:$D$4001,$AA133)&amp;"")</f>
        <v/>
      </c>
      <c r="E133" s="11">
        <f>IF($AA133="","",INDEX('Per Line'!$G$2:$G$4001,$AA133))</f>
        <v/>
      </c>
      <c r="F133">
        <f>IF($AA133="","",INDEX('Per Line'!$H$2:$H$4001,$AA133)&amp;"")</f>
        <v/>
      </c>
      <c r="G133">
        <f>IF($AA133="","",INDEX('Per Line'!$I$2:$I$4001,$AA133)&amp;"")</f>
        <v/>
      </c>
      <c r="H133">
        <f>IF($AA133="","",INDEX('Per Line'!$J$2:$J$4001,$AA133)&amp;"")</f>
        <v/>
      </c>
      <c r="I133">
        <f>IF($AA133="","",INDEX('Per Line'!$K$2:$K$4001,$AA133)&amp;"")</f>
        <v/>
      </c>
      <c r="J133">
        <f>IF($AA133="","",INDEX('Per Line'!$L$2:$L$4001,$AA133)&amp;"")</f>
        <v/>
      </c>
      <c r="K133">
        <f>IF($AA133="","",INDEX('Per Line'!$P$2:$P$4001,$AA133))</f>
        <v/>
      </c>
      <c r="L133" s="7">
        <f>IF($AA133="","",IF(AND(ISNUMBER(N133),N133&gt;0,Y133&gt;N133),K133*N133/100+(Y133-N133),K133*Y133/100))</f>
        <v/>
      </c>
      <c r="M133">
        <f>IF($AA133="","",INDEX('Per Line'!$Z$2:$Z$4001,$AA133)&amp;"")</f>
        <v/>
      </c>
      <c r="N133">
        <f>IF($AA133="","",INDEX('Per Line'!$AG$2:$AG$4001,$AA133))</f>
        <v/>
      </c>
      <c r="O133">
        <f>IF($AA133="","",IF(AND(ISNUMBER(N133),N133&gt;0),Y133&gt;N133,FALSE))</f>
        <v/>
      </c>
      <c r="P133" s="7">
        <f>IF($AA133="","",SUMIFS('Per Line'!$Y$2:$Y$4001,'Per Line'!$E$2:$E$4001,$B133,'Per Line'!$AQ$2:$AQ$4001,1))</f>
        <v/>
      </c>
      <c r="Q133">
        <f>IF($AA133="","",Settings!$C$7)</f>
        <v/>
      </c>
      <c r="R133" s="7">
        <f>IF($AA133="","",SUMIFS('Per Line'!$Y$2:$Y$4001,'Per Line'!$E$2:$E$4001,$B133,'Per Line'!$AP$2:$AP$4001,0,'Per Line'!$AQ$2:$AQ$4001,0))</f>
        <v/>
      </c>
      <c r="S133" s="7">
        <f>IF($AA133="","",R133*Q133)</f>
        <v/>
      </c>
      <c r="T133">
        <f>IF($AA133="","",Settings!$C$6)</f>
        <v/>
      </c>
      <c r="U133" s="7">
        <f>IF($AA133="","",SUMIFS('Per Line'!$Y$2:$Y$4001,'Per Line'!$E$2:$E$4001,$B133,'Per Line'!$AP$2:$AP$4001,1,'Per Line'!$AQ$2:$AQ$4001,0))</f>
        <v/>
      </c>
      <c r="V133" s="7">
        <f>IF($AA133="","",U133*T133)</f>
        <v/>
      </c>
      <c r="W133" s="7">
        <f>IF($AA133="","",V133+S133)</f>
        <v/>
      </c>
      <c r="X133" s="7">
        <f>IF($AA133="","",Y133-W133)</f>
        <v/>
      </c>
      <c r="Y133" s="7">
        <f>IF($AA133="","",R133+U133+P133)</f>
        <v/>
      </c>
      <c r="Z133" s="7">
        <f>IF($AA133="","",Y133-W133-L133)</f>
        <v/>
      </c>
      <c r="AA133" s="13">
        <f>IF(ROWS($AA$2:$AA133)&lt;=MAX('Per Line'!$AO$2:$AO$4001),MATCH(ROWS($AA$2:$AA133),'Per Line'!$AO$2:$AO$4001,0),"")</f>
        <v/>
      </c>
      <c r="AB133" s="14">
        <f>IF($AA133="","",L133-K133*Y133/100)</f>
        <v/>
      </c>
    </row>
    <row r="134">
      <c r="A134" s="12" t="n"/>
      <c r="B134">
        <f>IF($AA134="","",INDEX('Per Line'!$E$2:$E$4001,$AA134)&amp;"")</f>
        <v/>
      </c>
      <c r="C134">
        <f>IF($AA134="","",INDEX('Per Line'!$A$2:$A$4001,$AA134)&amp;"")</f>
        <v/>
      </c>
      <c r="D134">
        <f>IF($AA134="","",INDEX('Per Line'!$D$2:$D$4001,$AA134)&amp;"")</f>
        <v/>
      </c>
      <c r="E134" s="11">
        <f>IF($AA134="","",INDEX('Per Line'!$G$2:$G$4001,$AA134))</f>
        <v/>
      </c>
      <c r="F134">
        <f>IF($AA134="","",INDEX('Per Line'!$H$2:$H$4001,$AA134)&amp;"")</f>
        <v/>
      </c>
      <c r="G134">
        <f>IF($AA134="","",INDEX('Per Line'!$I$2:$I$4001,$AA134)&amp;"")</f>
        <v/>
      </c>
      <c r="H134">
        <f>IF($AA134="","",INDEX('Per Line'!$J$2:$J$4001,$AA134)&amp;"")</f>
        <v/>
      </c>
      <c r="I134">
        <f>IF($AA134="","",INDEX('Per Line'!$K$2:$K$4001,$AA134)&amp;"")</f>
        <v/>
      </c>
      <c r="J134">
        <f>IF($AA134="","",INDEX('Per Line'!$L$2:$L$4001,$AA134)&amp;"")</f>
        <v/>
      </c>
      <c r="K134">
        <f>IF($AA134="","",INDEX('Per Line'!$P$2:$P$4001,$AA134))</f>
        <v/>
      </c>
      <c r="L134" s="7">
        <f>IF($AA134="","",IF(AND(ISNUMBER(N134),N134&gt;0,Y134&gt;N134),K134*N134/100+(Y134-N134),K134*Y134/100))</f>
        <v/>
      </c>
      <c r="M134">
        <f>IF($AA134="","",INDEX('Per Line'!$Z$2:$Z$4001,$AA134)&amp;"")</f>
        <v/>
      </c>
      <c r="N134">
        <f>IF($AA134="","",INDEX('Per Line'!$AG$2:$AG$4001,$AA134))</f>
        <v/>
      </c>
      <c r="O134">
        <f>IF($AA134="","",IF(AND(ISNUMBER(N134),N134&gt;0),Y134&gt;N134,FALSE))</f>
        <v/>
      </c>
      <c r="P134" s="7">
        <f>IF($AA134="","",SUMIFS('Per Line'!$Y$2:$Y$4001,'Per Line'!$E$2:$E$4001,$B134,'Per Line'!$AQ$2:$AQ$4001,1))</f>
        <v/>
      </c>
      <c r="Q134">
        <f>IF($AA134="","",Settings!$C$7)</f>
        <v/>
      </c>
      <c r="R134" s="7">
        <f>IF($AA134="","",SUMIFS('Per Line'!$Y$2:$Y$4001,'Per Line'!$E$2:$E$4001,$B134,'Per Line'!$AP$2:$AP$4001,0,'Per Line'!$AQ$2:$AQ$4001,0))</f>
        <v/>
      </c>
      <c r="S134" s="7">
        <f>IF($AA134="","",R134*Q134)</f>
        <v/>
      </c>
      <c r="T134">
        <f>IF($AA134="","",Settings!$C$6)</f>
        <v/>
      </c>
      <c r="U134" s="7">
        <f>IF($AA134="","",SUMIFS('Per Line'!$Y$2:$Y$4001,'Per Line'!$E$2:$E$4001,$B134,'Per Line'!$AP$2:$AP$4001,1,'Per Line'!$AQ$2:$AQ$4001,0))</f>
        <v/>
      </c>
      <c r="V134" s="7">
        <f>IF($AA134="","",U134*T134)</f>
        <v/>
      </c>
      <c r="W134" s="7">
        <f>IF($AA134="","",V134+S134)</f>
        <v/>
      </c>
      <c r="X134" s="7">
        <f>IF($AA134="","",Y134-W134)</f>
        <v/>
      </c>
      <c r="Y134" s="7">
        <f>IF($AA134="","",R134+U134+P134)</f>
        <v/>
      </c>
      <c r="Z134" s="7">
        <f>IF($AA134="","",Y134-W134-L134)</f>
        <v/>
      </c>
      <c r="AA134" s="13">
        <f>IF(ROWS($AA$2:$AA134)&lt;=MAX('Per Line'!$AO$2:$AO$4001),MATCH(ROWS($AA$2:$AA134),'Per Line'!$AO$2:$AO$4001,0),"")</f>
        <v/>
      </c>
      <c r="AB134" s="14">
        <f>IF($AA134="","",L134-K134*Y134/100)</f>
        <v/>
      </c>
    </row>
    <row r="135">
      <c r="A135" s="12" t="n"/>
      <c r="B135">
        <f>IF($AA135="","",INDEX('Per Line'!$E$2:$E$4001,$AA135)&amp;"")</f>
        <v/>
      </c>
      <c r="C135">
        <f>IF($AA135="","",INDEX('Per Line'!$A$2:$A$4001,$AA135)&amp;"")</f>
        <v/>
      </c>
      <c r="D135">
        <f>IF($AA135="","",INDEX('Per Line'!$D$2:$D$4001,$AA135)&amp;"")</f>
        <v/>
      </c>
      <c r="E135" s="11">
        <f>IF($AA135="","",INDEX('Per Line'!$G$2:$G$4001,$AA135))</f>
        <v/>
      </c>
      <c r="F135">
        <f>IF($AA135="","",INDEX('Per Line'!$H$2:$H$4001,$AA135)&amp;"")</f>
        <v/>
      </c>
      <c r="G135">
        <f>IF($AA135="","",INDEX('Per Line'!$I$2:$I$4001,$AA135)&amp;"")</f>
        <v/>
      </c>
      <c r="H135">
        <f>IF($AA135="","",INDEX('Per Line'!$J$2:$J$4001,$AA135)&amp;"")</f>
        <v/>
      </c>
      <c r="I135">
        <f>IF($AA135="","",INDEX('Per Line'!$K$2:$K$4001,$AA135)&amp;"")</f>
        <v/>
      </c>
      <c r="J135">
        <f>IF($AA135="","",INDEX('Per Line'!$L$2:$L$4001,$AA135)&amp;"")</f>
        <v/>
      </c>
      <c r="K135">
        <f>IF($AA135="","",INDEX('Per Line'!$P$2:$P$4001,$AA135))</f>
        <v/>
      </c>
      <c r="L135" s="7">
        <f>IF($AA135="","",IF(AND(ISNUMBER(N135),N135&gt;0,Y135&gt;N135),K135*N135/100+(Y135-N135),K135*Y135/100))</f>
        <v/>
      </c>
      <c r="M135">
        <f>IF($AA135="","",INDEX('Per Line'!$Z$2:$Z$4001,$AA135)&amp;"")</f>
        <v/>
      </c>
      <c r="N135">
        <f>IF($AA135="","",INDEX('Per Line'!$AG$2:$AG$4001,$AA135))</f>
        <v/>
      </c>
      <c r="O135">
        <f>IF($AA135="","",IF(AND(ISNUMBER(N135),N135&gt;0),Y135&gt;N135,FALSE))</f>
        <v/>
      </c>
      <c r="P135" s="7">
        <f>IF($AA135="","",SUMIFS('Per Line'!$Y$2:$Y$4001,'Per Line'!$E$2:$E$4001,$B135,'Per Line'!$AQ$2:$AQ$4001,1))</f>
        <v/>
      </c>
      <c r="Q135">
        <f>IF($AA135="","",Settings!$C$7)</f>
        <v/>
      </c>
      <c r="R135" s="7">
        <f>IF($AA135="","",SUMIFS('Per Line'!$Y$2:$Y$4001,'Per Line'!$E$2:$E$4001,$B135,'Per Line'!$AP$2:$AP$4001,0,'Per Line'!$AQ$2:$AQ$4001,0))</f>
        <v/>
      </c>
      <c r="S135" s="7">
        <f>IF($AA135="","",R135*Q135)</f>
        <v/>
      </c>
      <c r="T135">
        <f>IF($AA135="","",Settings!$C$6)</f>
        <v/>
      </c>
      <c r="U135" s="7">
        <f>IF($AA135="","",SUMIFS('Per Line'!$Y$2:$Y$4001,'Per Line'!$E$2:$E$4001,$B135,'Per Line'!$AP$2:$AP$4001,1,'Per Line'!$AQ$2:$AQ$4001,0))</f>
        <v/>
      </c>
      <c r="V135" s="7">
        <f>IF($AA135="","",U135*T135)</f>
        <v/>
      </c>
      <c r="W135" s="7">
        <f>IF($AA135="","",V135+S135)</f>
        <v/>
      </c>
      <c r="X135" s="7">
        <f>IF($AA135="","",Y135-W135)</f>
        <v/>
      </c>
      <c r="Y135" s="7">
        <f>IF($AA135="","",R135+U135+P135)</f>
        <v/>
      </c>
      <c r="Z135" s="7">
        <f>IF($AA135="","",Y135-W135-L135)</f>
        <v/>
      </c>
      <c r="AA135" s="13">
        <f>IF(ROWS($AA$2:$AA135)&lt;=MAX('Per Line'!$AO$2:$AO$4001),MATCH(ROWS($AA$2:$AA135),'Per Line'!$AO$2:$AO$4001,0),"")</f>
        <v/>
      </c>
      <c r="AB135" s="14">
        <f>IF($AA135="","",L135-K135*Y135/100)</f>
        <v/>
      </c>
    </row>
    <row r="136">
      <c r="A136" s="12" t="n"/>
      <c r="B136">
        <f>IF($AA136="","",INDEX('Per Line'!$E$2:$E$4001,$AA136)&amp;"")</f>
        <v/>
      </c>
      <c r="C136">
        <f>IF($AA136="","",INDEX('Per Line'!$A$2:$A$4001,$AA136)&amp;"")</f>
        <v/>
      </c>
      <c r="D136">
        <f>IF($AA136="","",INDEX('Per Line'!$D$2:$D$4001,$AA136)&amp;"")</f>
        <v/>
      </c>
      <c r="E136" s="11">
        <f>IF($AA136="","",INDEX('Per Line'!$G$2:$G$4001,$AA136))</f>
        <v/>
      </c>
      <c r="F136">
        <f>IF($AA136="","",INDEX('Per Line'!$H$2:$H$4001,$AA136)&amp;"")</f>
        <v/>
      </c>
      <c r="G136">
        <f>IF($AA136="","",INDEX('Per Line'!$I$2:$I$4001,$AA136)&amp;"")</f>
        <v/>
      </c>
      <c r="H136">
        <f>IF($AA136="","",INDEX('Per Line'!$J$2:$J$4001,$AA136)&amp;"")</f>
        <v/>
      </c>
      <c r="I136">
        <f>IF($AA136="","",INDEX('Per Line'!$K$2:$K$4001,$AA136)&amp;"")</f>
        <v/>
      </c>
      <c r="J136">
        <f>IF($AA136="","",INDEX('Per Line'!$L$2:$L$4001,$AA136)&amp;"")</f>
        <v/>
      </c>
      <c r="K136">
        <f>IF($AA136="","",INDEX('Per Line'!$P$2:$P$4001,$AA136))</f>
        <v/>
      </c>
      <c r="L136" s="7">
        <f>IF($AA136="","",IF(AND(ISNUMBER(N136),N136&gt;0,Y136&gt;N136),K136*N136/100+(Y136-N136),K136*Y136/100))</f>
        <v/>
      </c>
      <c r="M136">
        <f>IF($AA136="","",INDEX('Per Line'!$Z$2:$Z$4001,$AA136)&amp;"")</f>
        <v/>
      </c>
      <c r="N136">
        <f>IF($AA136="","",INDEX('Per Line'!$AG$2:$AG$4001,$AA136))</f>
        <v/>
      </c>
      <c r="O136">
        <f>IF($AA136="","",IF(AND(ISNUMBER(N136),N136&gt;0),Y136&gt;N136,FALSE))</f>
        <v/>
      </c>
      <c r="P136" s="7">
        <f>IF($AA136="","",SUMIFS('Per Line'!$Y$2:$Y$4001,'Per Line'!$E$2:$E$4001,$B136,'Per Line'!$AQ$2:$AQ$4001,1))</f>
        <v/>
      </c>
      <c r="Q136">
        <f>IF($AA136="","",Settings!$C$7)</f>
        <v/>
      </c>
      <c r="R136" s="7">
        <f>IF($AA136="","",SUMIFS('Per Line'!$Y$2:$Y$4001,'Per Line'!$E$2:$E$4001,$B136,'Per Line'!$AP$2:$AP$4001,0,'Per Line'!$AQ$2:$AQ$4001,0))</f>
        <v/>
      </c>
      <c r="S136" s="7">
        <f>IF($AA136="","",R136*Q136)</f>
        <v/>
      </c>
      <c r="T136">
        <f>IF($AA136="","",Settings!$C$6)</f>
        <v/>
      </c>
      <c r="U136" s="7">
        <f>IF($AA136="","",SUMIFS('Per Line'!$Y$2:$Y$4001,'Per Line'!$E$2:$E$4001,$B136,'Per Line'!$AP$2:$AP$4001,1,'Per Line'!$AQ$2:$AQ$4001,0))</f>
        <v/>
      </c>
      <c r="V136" s="7">
        <f>IF($AA136="","",U136*T136)</f>
        <v/>
      </c>
      <c r="W136" s="7">
        <f>IF($AA136="","",V136+S136)</f>
        <v/>
      </c>
      <c r="X136" s="7">
        <f>IF($AA136="","",Y136-W136)</f>
        <v/>
      </c>
      <c r="Y136" s="7">
        <f>IF($AA136="","",R136+U136+P136)</f>
        <v/>
      </c>
      <c r="Z136" s="7">
        <f>IF($AA136="","",Y136-W136-L136)</f>
        <v/>
      </c>
      <c r="AA136" s="13">
        <f>IF(ROWS($AA$2:$AA136)&lt;=MAX('Per Line'!$AO$2:$AO$4001),MATCH(ROWS($AA$2:$AA136),'Per Line'!$AO$2:$AO$4001,0),"")</f>
        <v/>
      </c>
      <c r="AB136" s="14">
        <f>IF($AA136="","",L136-K136*Y136/100)</f>
        <v/>
      </c>
    </row>
    <row r="137">
      <c r="A137" s="12" t="n"/>
      <c r="B137">
        <f>IF($AA137="","",INDEX('Per Line'!$E$2:$E$4001,$AA137)&amp;"")</f>
        <v/>
      </c>
      <c r="C137">
        <f>IF($AA137="","",INDEX('Per Line'!$A$2:$A$4001,$AA137)&amp;"")</f>
        <v/>
      </c>
      <c r="D137">
        <f>IF($AA137="","",INDEX('Per Line'!$D$2:$D$4001,$AA137)&amp;"")</f>
        <v/>
      </c>
      <c r="E137" s="11">
        <f>IF($AA137="","",INDEX('Per Line'!$G$2:$G$4001,$AA137))</f>
        <v/>
      </c>
      <c r="F137">
        <f>IF($AA137="","",INDEX('Per Line'!$H$2:$H$4001,$AA137)&amp;"")</f>
        <v/>
      </c>
      <c r="G137">
        <f>IF($AA137="","",INDEX('Per Line'!$I$2:$I$4001,$AA137)&amp;"")</f>
        <v/>
      </c>
      <c r="H137">
        <f>IF($AA137="","",INDEX('Per Line'!$J$2:$J$4001,$AA137)&amp;"")</f>
        <v/>
      </c>
      <c r="I137">
        <f>IF($AA137="","",INDEX('Per Line'!$K$2:$K$4001,$AA137)&amp;"")</f>
        <v/>
      </c>
      <c r="J137">
        <f>IF($AA137="","",INDEX('Per Line'!$L$2:$L$4001,$AA137)&amp;"")</f>
        <v/>
      </c>
      <c r="K137">
        <f>IF($AA137="","",INDEX('Per Line'!$P$2:$P$4001,$AA137))</f>
        <v/>
      </c>
      <c r="L137" s="7">
        <f>IF($AA137="","",IF(AND(ISNUMBER(N137),N137&gt;0,Y137&gt;N137),K137*N137/100+(Y137-N137),K137*Y137/100))</f>
        <v/>
      </c>
      <c r="M137">
        <f>IF($AA137="","",INDEX('Per Line'!$Z$2:$Z$4001,$AA137)&amp;"")</f>
        <v/>
      </c>
      <c r="N137">
        <f>IF($AA137="","",INDEX('Per Line'!$AG$2:$AG$4001,$AA137))</f>
        <v/>
      </c>
      <c r="O137">
        <f>IF($AA137="","",IF(AND(ISNUMBER(N137),N137&gt;0),Y137&gt;N137,FALSE))</f>
        <v/>
      </c>
      <c r="P137" s="7">
        <f>IF($AA137="","",SUMIFS('Per Line'!$Y$2:$Y$4001,'Per Line'!$E$2:$E$4001,$B137,'Per Line'!$AQ$2:$AQ$4001,1))</f>
        <v/>
      </c>
      <c r="Q137">
        <f>IF($AA137="","",Settings!$C$7)</f>
        <v/>
      </c>
      <c r="R137" s="7">
        <f>IF($AA137="","",SUMIFS('Per Line'!$Y$2:$Y$4001,'Per Line'!$E$2:$E$4001,$B137,'Per Line'!$AP$2:$AP$4001,0,'Per Line'!$AQ$2:$AQ$4001,0))</f>
        <v/>
      </c>
      <c r="S137" s="7">
        <f>IF($AA137="","",R137*Q137)</f>
        <v/>
      </c>
      <c r="T137">
        <f>IF($AA137="","",Settings!$C$6)</f>
        <v/>
      </c>
      <c r="U137" s="7">
        <f>IF($AA137="","",SUMIFS('Per Line'!$Y$2:$Y$4001,'Per Line'!$E$2:$E$4001,$B137,'Per Line'!$AP$2:$AP$4001,1,'Per Line'!$AQ$2:$AQ$4001,0))</f>
        <v/>
      </c>
      <c r="V137" s="7">
        <f>IF($AA137="","",U137*T137)</f>
        <v/>
      </c>
      <c r="W137" s="7">
        <f>IF($AA137="","",V137+S137)</f>
        <v/>
      </c>
      <c r="X137" s="7">
        <f>IF($AA137="","",Y137-W137)</f>
        <v/>
      </c>
      <c r="Y137" s="7">
        <f>IF($AA137="","",R137+U137+P137)</f>
        <v/>
      </c>
      <c r="Z137" s="7">
        <f>IF($AA137="","",Y137-W137-L137)</f>
        <v/>
      </c>
      <c r="AA137" s="13">
        <f>IF(ROWS($AA$2:$AA137)&lt;=MAX('Per Line'!$AO$2:$AO$4001),MATCH(ROWS($AA$2:$AA137),'Per Line'!$AO$2:$AO$4001,0),"")</f>
        <v/>
      </c>
      <c r="AB137" s="14">
        <f>IF($AA137="","",L137-K137*Y137/100)</f>
        <v/>
      </c>
    </row>
    <row r="138">
      <c r="A138" s="12" t="n"/>
      <c r="B138">
        <f>IF($AA138="","",INDEX('Per Line'!$E$2:$E$4001,$AA138)&amp;"")</f>
        <v/>
      </c>
      <c r="C138">
        <f>IF($AA138="","",INDEX('Per Line'!$A$2:$A$4001,$AA138)&amp;"")</f>
        <v/>
      </c>
      <c r="D138">
        <f>IF($AA138="","",INDEX('Per Line'!$D$2:$D$4001,$AA138)&amp;"")</f>
        <v/>
      </c>
      <c r="E138" s="11">
        <f>IF($AA138="","",INDEX('Per Line'!$G$2:$G$4001,$AA138))</f>
        <v/>
      </c>
      <c r="F138">
        <f>IF($AA138="","",INDEX('Per Line'!$H$2:$H$4001,$AA138)&amp;"")</f>
        <v/>
      </c>
      <c r="G138">
        <f>IF($AA138="","",INDEX('Per Line'!$I$2:$I$4001,$AA138)&amp;"")</f>
        <v/>
      </c>
      <c r="H138">
        <f>IF($AA138="","",INDEX('Per Line'!$J$2:$J$4001,$AA138)&amp;"")</f>
        <v/>
      </c>
      <c r="I138">
        <f>IF($AA138="","",INDEX('Per Line'!$K$2:$K$4001,$AA138)&amp;"")</f>
        <v/>
      </c>
      <c r="J138">
        <f>IF($AA138="","",INDEX('Per Line'!$L$2:$L$4001,$AA138)&amp;"")</f>
        <v/>
      </c>
      <c r="K138">
        <f>IF($AA138="","",INDEX('Per Line'!$P$2:$P$4001,$AA138))</f>
        <v/>
      </c>
      <c r="L138" s="7">
        <f>IF($AA138="","",IF(AND(ISNUMBER(N138),N138&gt;0,Y138&gt;N138),K138*N138/100+(Y138-N138),K138*Y138/100))</f>
        <v/>
      </c>
      <c r="M138">
        <f>IF($AA138="","",INDEX('Per Line'!$Z$2:$Z$4001,$AA138)&amp;"")</f>
        <v/>
      </c>
      <c r="N138">
        <f>IF($AA138="","",INDEX('Per Line'!$AG$2:$AG$4001,$AA138))</f>
        <v/>
      </c>
      <c r="O138">
        <f>IF($AA138="","",IF(AND(ISNUMBER(N138),N138&gt;0),Y138&gt;N138,FALSE))</f>
        <v/>
      </c>
      <c r="P138" s="7">
        <f>IF($AA138="","",SUMIFS('Per Line'!$Y$2:$Y$4001,'Per Line'!$E$2:$E$4001,$B138,'Per Line'!$AQ$2:$AQ$4001,1))</f>
        <v/>
      </c>
      <c r="Q138">
        <f>IF($AA138="","",Settings!$C$7)</f>
        <v/>
      </c>
      <c r="R138" s="7">
        <f>IF($AA138="","",SUMIFS('Per Line'!$Y$2:$Y$4001,'Per Line'!$E$2:$E$4001,$B138,'Per Line'!$AP$2:$AP$4001,0,'Per Line'!$AQ$2:$AQ$4001,0))</f>
        <v/>
      </c>
      <c r="S138" s="7">
        <f>IF($AA138="","",R138*Q138)</f>
        <v/>
      </c>
      <c r="T138">
        <f>IF($AA138="","",Settings!$C$6)</f>
        <v/>
      </c>
      <c r="U138" s="7">
        <f>IF($AA138="","",SUMIFS('Per Line'!$Y$2:$Y$4001,'Per Line'!$E$2:$E$4001,$B138,'Per Line'!$AP$2:$AP$4001,1,'Per Line'!$AQ$2:$AQ$4001,0))</f>
        <v/>
      </c>
      <c r="V138" s="7">
        <f>IF($AA138="","",U138*T138)</f>
        <v/>
      </c>
      <c r="W138" s="7">
        <f>IF($AA138="","",V138+S138)</f>
        <v/>
      </c>
      <c r="X138" s="7">
        <f>IF($AA138="","",Y138-W138)</f>
        <v/>
      </c>
      <c r="Y138" s="7">
        <f>IF($AA138="","",R138+U138+P138)</f>
        <v/>
      </c>
      <c r="Z138" s="7">
        <f>IF($AA138="","",Y138-W138-L138)</f>
        <v/>
      </c>
      <c r="AA138" s="13">
        <f>IF(ROWS($AA$2:$AA138)&lt;=MAX('Per Line'!$AO$2:$AO$4001),MATCH(ROWS($AA$2:$AA138),'Per Line'!$AO$2:$AO$4001,0),"")</f>
        <v/>
      </c>
      <c r="AB138" s="14">
        <f>IF($AA138="","",L138-K138*Y138/100)</f>
        <v/>
      </c>
    </row>
    <row r="139">
      <c r="A139" s="12" t="n"/>
      <c r="B139">
        <f>IF($AA139="","",INDEX('Per Line'!$E$2:$E$4001,$AA139)&amp;"")</f>
        <v/>
      </c>
      <c r="C139">
        <f>IF($AA139="","",INDEX('Per Line'!$A$2:$A$4001,$AA139)&amp;"")</f>
        <v/>
      </c>
      <c r="D139">
        <f>IF($AA139="","",INDEX('Per Line'!$D$2:$D$4001,$AA139)&amp;"")</f>
        <v/>
      </c>
      <c r="E139" s="11">
        <f>IF($AA139="","",INDEX('Per Line'!$G$2:$G$4001,$AA139))</f>
        <v/>
      </c>
      <c r="F139">
        <f>IF($AA139="","",INDEX('Per Line'!$H$2:$H$4001,$AA139)&amp;"")</f>
        <v/>
      </c>
      <c r="G139">
        <f>IF($AA139="","",INDEX('Per Line'!$I$2:$I$4001,$AA139)&amp;"")</f>
        <v/>
      </c>
      <c r="H139">
        <f>IF($AA139="","",INDEX('Per Line'!$J$2:$J$4001,$AA139)&amp;"")</f>
        <v/>
      </c>
      <c r="I139">
        <f>IF($AA139="","",INDEX('Per Line'!$K$2:$K$4001,$AA139)&amp;"")</f>
        <v/>
      </c>
      <c r="J139">
        <f>IF($AA139="","",INDEX('Per Line'!$L$2:$L$4001,$AA139)&amp;"")</f>
        <v/>
      </c>
      <c r="K139">
        <f>IF($AA139="","",INDEX('Per Line'!$P$2:$P$4001,$AA139))</f>
        <v/>
      </c>
      <c r="L139" s="7">
        <f>IF($AA139="","",IF(AND(ISNUMBER(N139),N139&gt;0,Y139&gt;N139),K139*N139/100+(Y139-N139),K139*Y139/100))</f>
        <v/>
      </c>
      <c r="M139">
        <f>IF($AA139="","",INDEX('Per Line'!$Z$2:$Z$4001,$AA139)&amp;"")</f>
        <v/>
      </c>
      <c r="N139">
        <f>IF($AA139="","",INDEX('Per Line'!$AG$2:$AG$4001,$AA139))</f>
        <v/>
      </c>
      <c r="O139">
        <f>IF($AA139="","",IF(AND(ISNUMBER(N139),N139&gt;0),Y139&gt;N139,FALSE))</f>
        <v/>
      </c>
      <c r="P139" s="7">
        <f>IF($AA139="","",SUMIFS('Per Line'!$Y$2:$Y$4001,'Per Line'!$E$2:$E$4001,$B139,'Per Line'!$AQ$2:$AQ$4001,1))</f>
        <v/>
      </c>
      <c r="Q139">
        <f>IF($AA139="","",Settings!$C$7)</f>
        <v/>
      </c>
      <c r="R139" s="7">
        <f>IF($AA139="","",SUMIFS('Per Line'!$Y$2:$Y$4001,'Per Line'!$E$2:$E$4001,$B139,'Per Line'!$AP$2:$AP$4001,0,'Per Line'!$AQ$2:$AQ$4001,0))</f>
        <v/>
      </c>
      <c r="S139" s="7">
        <f>IF($AA139="","",R139*Q139)</f>
        <v/>
      </c>
      <c r="T139">
        <f>IF($AA139="","",Settings!$C$6)</f>
        <v/>
      </c>
      <c r="U139" s="7">
        <f>IF($AA139="","",SUMIFS('Per Line'!$Y$2:$Y$4001,'Per Line'!$E$2:$E$4001,$B139,'Per Line'!$AP$2:$AP$4001,1,'Per Line'!$AQ$2:$AQ$4001,0))</f>
        <v/>
      </c>
      <c r="V139" s="7">
        <f>IF($AA139="","",U139*T139)</f>
        <v/>
      </c>
      <c r="W139" s="7">
        <f>IF($AA139="","",V139+S139)</f>
        <v/>
      </c>
      <c r="X139" s="7">
        <f>IF($AA139="","",Y139-W139)</f>
        <v/>
      </c>
      <c r="Y139" s="7">
        <f>IF($AA139="","",R139+U139+P139)</f>
        <v/>
      </c>
      <c r="Z139" s="7">
        <f>IF($AA139="","",Y139-W139-L139)</f>
        <v/>
      </c>
      <c r="AA139" s="13">
        <f>IF(ROWS($AA$2:$AA139)&lt;=MAX('Per Line'!$AO$2:$AO$4001),MATCH(ROWS($AA$2:$AA139),'Per Line'!$AO$2:$AO$4001,0),"")</f>
        <v/>
      </c>
      <c r="AB139" s="14">
        <f>IF($AA139="","",L139-K139*Y139/100)</f>
        <v/>
      </c>
    </row>
    <row r="140">
      <c r="A140" s="12" t="n"/>
      <c r="B140">
        <f>IF($AA140="","",INDEX('Per Line'!$E$2:$E$4001,$AA140)&amp;"")</f>
        <v/>
      </c>
      <c r="C140">
        <f>IF($AA140="","",INDEX('Per Line'!$A$2:$A$4001,$AA140)&amp;"")</f>
        <v/>
      </c>
      <c r="D140">
        <f>IF($AA140="","",INDEX('Per Line'!$D$2:$D$4001,$AA140)&amp;"")</f>
        <v/>
      </c>
      <c r="E140" s="11">
        <f>IF($AA140="","",INDEX('Per Line'!$G$2:$G$4001,$AA140))</f>
        <v/>
      </c>
      <c r="F140">
        <f>IF($AA140="","",INDEX('Per Line'!$H$2:$H$4001,$AA140)&amp;"")</f>
        <v/>
      </c>
      <c r="G140">
        <f>IF($AA140="","",INDEX('Per Line'!$I$2:$I$4001,$AA140)&amp;"")</f>
        <v/>
      </c>
      <c r="H140">
        <f>IF($AA140="","",INDEX('Per Line'!$J$2:$J$4001,$AA140)&amp;"")</f>
        <v/>
      </c>
      <c r="I140">
        <f>IF($AA140="","",INDEX('Per Line'!$K$2:$K$4001,$AA140)&amp;"")</f>
        <v/>
      </c>
      <c r="J140">
        <f>IF($AA140="","",INDEX('Per Line'!$L$2:$L$4001,$AA140)&amp;"")</f>
        <v/>
      </c>
      <c r="K140">
        <f>IF($AA140="","",INDEX('Per Line'!$P$2:$P$4001,$AA140))</f>
        <v/>
      </c>
      <c r="L140" s="7">
        <f>IF($AA140="","",IF(AND(ISNUMBER(N140),N140&gt;0,Y140&gt;N140),K140*N140/100+(Y140-N140),K140*Y140/100))</f>
        <v/>
      </c>
      <c r="M140">
        <f>IF($AA140="","",INDEX('Per Line'!$Z$2:$Z$4001,$AA140)&amp;"")</f>
        <v/>
      </c>
      <c r="N140">
        <f>IF($AA140="","",INDEX('Per Line'!$AG$2:$AG$4001,$AA140))</f>
        <v/>
      </c>
      <c r="O140">
        <f>IF($AA140="","",IF(AND(ISNUMBER(N140),N140&gt;0),Y140&gt;N140,FALSE))</f>
        <v/>
      </c>
      <c r="P140" s="7">
        <f>IF($AA140="","",SUMIFS('Per Line'!$Y$2:$Y$4001,'Per Line'!$E$2:$E$4001,$B140,'Per Line'!$AQ$2:$AQ$4001,1))</f>
        <v/>
      </c>
      <c r="Q140">
        <f>IF($AA140="","",Settings!$C$7)</f>
        <v/>
      </c>
      <c r="R140" s="7">
        <f>IF($AA140="","",SUMIFS('Per Line'!$Y$2:$Y$4001,'Per Line'!$E$2:$E$4001,$B140,'Per Line'!$AP$2:$AP$4001,0,'Per Line'!$AQ$2:$AQ$4001,0))</f>
        <v/>
      </c>
      <c r="S140" s="7">
        <f>IF($AA140="","",R140*Q140)</f>
        <v/>
      </c>
      <c r="T140">
        <f>IF($AA140="","",Settings!$C$6)</f>
        <v/>
      </c>
      <c r="U140" s="7">
        <f>IF($AA140="","",SUMIFS('Per Line'!$Y$2:$Y$4001,'Per Line'!$E$2:$E$4001,$B140,'Per Line'!$AP$2:$AP$4001,1,'Per Line'!$AQ$2:$AQ$4001,0))</f>
        <v/>
      </c>
      <c r="V140" s="7">
        <f>IF($AA140="","",U140*T140)</f>
        <v/>
      </c>
      <c r="W140" s="7">
        <f>IF($AA140="","",V140+S140)</f>
        <v/>
      </c>
      <c r="X140" s="7">
        <f>IF($AA140="","",Y140-W140)</f>
        <v/>
      </c>
      <c r="Y140" s="7">
        <f>IF($AA140="","",R140+U140+P140)</f>
        <v/>
      </c>
      <c r="Z140" s="7">
        <f>IF($AA140="","",Y140-W140-L140)</f>
        <v/>
      </c>
      <c r="AA140" s="13">
        <f>IF(ROWS($AA$2:$AA140)&lt;=MAX('Per Line'!$AO$2:$AO$4001),MATCH(ROWS($AA$2:$AA140),'Per Line'!$AO$2:$AO$4001,0),"")</f>
        <v/>
      </c>
      <c r="AB140" s="14">
        <f>IF($AA140="","",L140-K140*Y140/100)</f>
        <v/>
      </c>
    </row>
    <row r="141">
      <c r="A141" s="12" t="n"/>
      <c r="B141">
        <f>IF($AA141="","",INDEX('Per Line'!$E$2:$E$4001,$AA141)&amp;"")</f>
        <v/>
      </c>
      <c r="C141">
        <f>IF($AA141="","",INDEX('Per Line'!$A$2:$A$4001,$AA141)&amp;"")</f>
        <v/>
      </c>
      <c r="D141">
        <f>IF($AA141="","",INDEX('Per Line'!$D$2:$D$4001,$AA141)&amp;"")</f>
        <v/>
      </c>
      <c r="E141" s="11">
        <f>IF($AA141="","",INDEX('Per Line'!$G$2:$G$4001,$AA141))</f>
        <v/>
      </c>
      <c r="F141">
        <f>IF($AA141="","",INDEX('Per Line'!$H$2:$H$4001,$AA141)&amp;"")</f>
        <v/>
      </c>
      <c r="G141">
        <f>IF($AA141="","",INDEX('Per Line'!$I$2:$I$4001,$AA141)&amp;"")</f>
        <v/>
      </c>
      <c r="H141">
        <f>IF($AA141="","",INDEX('Per Line'!$J$2:$J$4001,$AA141)&amp;"")</f>
        <v/>
      </c>
      <c r="I141">
        <f>IF($AA141="","",INDEX('Per Line'!$K$2:$K$4001,$AA141)&amp;"")</f>
        <v/>
      </c>
      <c r="J141">
        <f>IF($AA141="","",INDEX('Per Line'!$L$2:$L$4001,$AA141)&amp;"")</f>
        <v/>
      </c>
      <c r="K141">
        <f>IF($AA141="","",INDEX('Per Line'!$P$2:$P$4001,$AA141))</f>
        <v/>
      </c>
      <c r="L141" s="7">
        <f>IF($AA141="","",IF(AND(ISNUMBER(N141),N141&gt;0,Y141&gt;N141),K141*N141/100+(Y141-N141),K141*Y141/100))</f>
        <v/>
      </c>
      <c r="M141">
        <f>IF($AA141="","",INDEX('Per Line'!$Z$2:$Z$4001,$AA141)&amp;"")</f>
        <v/>
      </c>
      <c r="N141">
        <f>IF($AA141="","",INDEX('Per Line'!$AG$2:$AG$4001,$AA141))</f>
        <v/>
      </c>
      <c r="O141">
        <f>IF($AA141="","",IF(AND(ISNUMBER(N141),N141&gt;0),Y141&gt;N141,FALSE))</f>
        <v/>
      </c>
      <c r="P141" s="7">
        <f>IF($AA141="","",SUMIFS('Per Line'!$Y$2:$Y$4001,'Per Line'!$E$2:$E$4001,$B141,'Per Line'!$AQ$2:$AQ$4001,1))</f>
        <v/>
      </c>
      <c r="Q141">
        <f>IF($AA141="","",Settings!$C$7)</f>
        <v/>
      </c>
      <c r="R141" s="7">
        <f>IF($AA141="","",SUMIFS('Per Line'!$Y$2:$Y$4001,'Per Line'!$E$2:$E$4001,$B141,'Per Line'!$AP$2:$AP$4001,0,'Per Line'!$AQ$2:$AQ$4001,0))</f>
        <v/>
      </c>
      <c r="S141" s="7">
        <f>IF($AA141="","",R141*Q141)</f>
        <v/>
      </c>
      <c r="T141">
        <f>IF($AA141="","",Settings!$C$6)</f>
        <v/>
      </c>
      <c r="U141" s="7">
        <f>IF($AA141="","",SUMIFS('Per Line'!$Y$2:$Y$4001,'Per Line'!$E$2:$E$4001,$B141,'Per Line'!$AP$2:$AP$4001,1,'Per Line'!$AQ$2:$AQ$4001,0))</f>
        <v/>
      </c>
      <c r="V141" s="7">
        <f>IF($AA141="","",U141*T141)</f>
        <v/>
      </c>
      <c r="W141" s="7">
        <f>IF($AA141="","",V141+S141)</f>
        <v/>
      </c>
      <c r="X141" s="7">
        <f>IF($AA141="","",Y141-W141)</f>
        <v/>
      </c>
      <c r="Y141" s="7">
        <f>IF($AA141="","",R141+U141+P141)</f>
        <v/>
      </c>
      <c r="Z141" s="7">
        <f>IF($AA141="","",Y141-W141-L141)</f>
        <v/>
      </c>
      <c r="AA141" s="13">
        <f>IF(ROWS($AA$2:$AA141)&lt;=MAX('Per Line'!$AO$2:$AO$4001),MATCH(ROWS($AA$2:$AA141),'Per Line'!$AO$2:$AO$4001,0),"")</f>
        <v/>
      </c>
      <c r="AB141" s="14">
        <f>IF($AA141="","",L141-K141*Y141/100)</f>
        <v/>
      </c>
    </row>
    <row r="142">
      <c r="A142" s="12" t="n"/>
      <c r="B142">
        <f>IF($AA142="","",INDEX('Per Line'!$E$2:$E$4001,$AA142)&amp;"")</f>
        <v/>
      </c>
      <c r="C142">
        <f>IF($AA142="","",INDEX('Per Line'!$A$2:$A$4001,$AA142)&amp;"")</f>
        <v/>
      </c>
      <c r="D142">
        <f>IF($AA142="","",INDEX('Per Line'!$D$2:$D$4001,$AA142)&amp;"")</f>
        <v/>
      </c>
      <c r="E142" s="11">
        <f>IF($AA142="","",INDEX('Per Line'!$G$2:$G$4001,$AA142))</f>
        <v/>
      </c>
      <c r="F142">
        <f>IF($AA142="","",INDEX('Per Line'!$H$2:$H$4001,$AA142)&amp;"")</f>
        <v/>
      </c>
      <c r="G142">
        <f>IF($AA142="","",INDEX('Per Line'!$I$2:$I$4001,$AA142)&amp;"")</f>
        <v/>
      </c>
      <c r="H142">
        <f>IF($AA142="","",INDEX('Per Line'!$J$2:$J$4001,$AA142)&amp;"")</f>
        <v/>
      </c>
      <c r="I142">
        <f>IF($AA142="","",INDEX('Per Line'!$K$2:$K$4001,$AA142)&amp;"")</f>
        <v/>
      </c>
      <c r="J142">
        <f>IF($AA142="","",INDEX('Per Line'!$L$2:$L$4001,$AA142)&amp;"")</f>
        <v/>
      </c>
      <c r="K142">
        <f>IF($AA142="","",INDEX('Per Line'!$P$2:$P$4001,$AA142))</f>
        <v/>
      </c>
      <c r="L142" s="7">
        <f>IF($AA142="","",IF(AND(ISNUMBER(N142),N142&gt;0,Y142&gt;N142),K142*N142/100+(Y142-N142),K142*Y142/100))</f>
        <v/>
      </c>
      <c r="M142">
        <f>IF($AA142="","",INDEX('Per Line'!$Z$2:$Z$4001,$AA142)&amp;"")</f>
        <v/>
      </c>
      <c r="N142">
        <f>IF($AA142="","",INDEX('Per Line'!$AG$2:$AG$4001,$AA142))</f>
        <v/>
      </c>
      <c r="O142">
        <f>IF($AA142="","",IF(AND(ISNUMBER(N142),N142&gt;0),Y142&gt;N142,FALSE))</f>
        <v/>
      </c>
      <c r="P142" s="7">
        <f>IF($AA142="","",SUMIFS('Per Line'!$Y$2:$Y$4001,'Per Line'!$E$2:$E$4001,$B142,'Per Line'!$AQ$2:$AQ$4001,1))</f>
        <v/>
      </c>
      <c r="Q142">
        <f>IF($AA142="","",Settings!$C$7)</f>
        <v/>
      </c>
      <c r="R142" s="7">
        <f>IF($AA142="","",SUMIFS('Per Line'!$Y$2:$Y$4001,'Per Line'!$E$2:$E$4001,$B142,'Per Line'!$AP$2:$AP$4001,0,'Per Line'!$AQ$2:$AQ$4001,0))</f>
        <v/>
      </c>
      <c r="S142" s="7">
        <f>IF($AA142="","",R142*Q142)</f>
        <v/>
      </c>
      <c r="T142">
        <f>IF($AA142="","",Settings!$C$6)</f>
        <v/>
      </c>
      <c r="U142" s="7">
        <f>IF($AA142="","",SUMIFS('Per Line'!$Y$2:$Y$4001,'Per Line'!$E$2:$E$4001,$B142,'Per Line'!$AP$2:$AP$4001,1,'Per Line'!$AQ$2:$AQ$4001,0))</f>
        <v/>
      </c>
      <c r="V142" s="7">
        <f>IF($AA142="","",U142*T142)</f>
        <v/>
      </c>
      <c r="W142" s="7">
        <f>IF($AA142="","",V142+S142)</f>
        <v/>
      </c>
      <c r="X142" s="7">
        <f>IF($AA142="","",Y142-W142)</f>
        <v/>
      </c>
      <c r="Y142" s="7">
        <f>IF($AA142="","",R142+U142+P142)</f>
        <v/>
      </c>
      <c r="Z142" s="7">
        <f>IF($AA142="","",Y142-W142-L142)</f>
        <v/>
      </c>
      <c r="AA142" s="13">
        <f>IF(ROWS($AA$2:$AA142)&lt;=MAX('Per Line'!$AO$2:$AO$4001),MATCH(ROWS($AA$2:$AA142),'Per Line'!$AO$2:$AO$4001,0),"")</f>
        <v/>
      </c>
      <c r="AB142" s="14">
        <f>IF($AA142="","",L142-K142*Y142/100)</f>
        <v/>
      </c>
    </row>
    <row r="143">
      <c r="A143" s="12" t="n"/>
      <c r="B143">
        <f>IF($AA143="","",INDEX('Per Line'!$E$2:$E$4001,$AA143)&amp;"")</f>
        <v/>
      </c>
      <c r="C143">
        <f>IF($AA143="","",INDEX('Per Line'!$A$2:$A$4001,$AA143)&amp;"")</f>
        <v/>
      </c>
      <c r="D143">
        <f>IF($AA143="","",INDEX('Per Line'!$D$2:$D$4001,$AA143)&amp;"")</f>
        <v/>
      </c>
      <c r="E143" s="11">
        <f>IF($AA143="","",INDEX('Per Line'!$G$2:$G$4001,$AA143))</f>
        <v/>
      </c>
      <c r="F143">
        <f>IF($AA143="","",INDEX('Per Line'!$H$2:$H$4001,$AA143)&amp;"")</f>
        <v/>
      </c>
      <c r="G143">
        <f>IF($AA143="","",INDEX('Per Line'!$I$2:$I$4001,$AA143)&amp;"")</f>
        <v/>
      </c>
      <c r="H143">
        <f>IF($AA143="","",INDEX('Per Line'!$J$2:$J$4001,$AA143)&amp;"")</f>
        <v/>
      </c>
      <c r="I143">
        <f>IF($AA143="","",INDEX('Per Line'!$K$2:$K$4001,$AA143)&amp;"")</f>
        <v/>
      </c>
      <c r="J143">
        <f>IF($AA143="","",INDEX('Per Line'!$L$2:$L$4001,$AA143)&amp;"")</f>
        <v/>
      </c>
      <c r="K143">
        <f>IF($AA143="","",INDEX('Per Line'!$P$2:$P$4001,$AA143))</f>
        <v/>
      </c>
      <c r="L143" s="7">
        <f>IF($AA143="","",IF(AND(ISNUMBER(N143),N143&gt;0,Y143&gt;N143),K143*N143/100+(Y143-N143),K143*Y143/100))</f>
        <v/>
      </c>
      <c r="M143">
        <f>IF($AA143="","",INDEX('Per Line'!$Z$2:$Z$4001,$AA143)&amp;"")</f>
        <v/>
      </c>
      <c r="N143">
        <f>IF($AA143="","",INDEX('Per Line'!$AG$2:$AG$4001,$AA143))</f>
        <v/>
      </c>
      <c r="O143">
        <f>IF($AA143="","",IF(AND(ISNUMBER(N143),N143&gt;0),Y143&gt;N143,FALSE))</f>
        <v/>
      </c>
      <c r="P143" s="7">
        <f>IF($AA143="","",SUMIFS('Per Line'!$Y$2:$Y$4001,'Per Line'!$E$2:$E$4001,$B143,'Per Line'!$AQ$2:$AQ$4001,1))</f>
        <v/>
      </c>
      <c r="Q143">
        <f>IF($AA143="","",Settings!$C$7)</f>
        <v/>
      </c>
      <c r="R143" s="7">
        <f>IF($AA143="","",SUMIFS('Per Line'!$Y$2:$Y$4001,'Per Line'!$E$2:$E$4001,$B143,'Per Line'!$AP$2:$AP$4001,0,'Per Line'!$AQ$2:$AQ$4001,0))</f>
        <v/>
      </c>
      <c r="S143" s="7">
        <f>IF($AA143="","",R143*Q143)</f>
        <v/>
      </c>
      <c r="T143">
        <f>IF($AA143="","",Settings!$C$6)</f>
        <v/>
      </c>
      <c r="U143" s="7">
        <f>IF($AA143="","",SUMIFS('Per Line'!$Y$2:$Y$4001,'Per Line'!$E$2:$E$4001,$B143,'Per Line'!$AP$2:$AP$4001,1,'Per Line'!$AQ$2:$AQ$4001,0))</f>
        <v/>
      </c>
      <c r="V143" s="7">
        <f>IF($AA143="","",U143*T143)</f>
        <v/>
      </c>
      <c r="W143" s="7">
        <f>IF($AA143="","",V143+S143)</f>
        <v/>
      </c>
      <c r="X143" s="7">
        <f>IF($AA143="","",Y143-W143)</f>
        <v/>
      </c>
      <c r="Y143" s="7">
        <f>IF($AA143="","",R143+U143+P143)</f>
        <v/>
      </c>
      <c r="Z143" s="7">
        <f>IF($AA143="","",Y143-W143-L143)</f>
        <v/>
      </c>
      <c r="AA143" s="13">
        <f>IF(ROWS($AA$2:$AA143)&lt;=MAX('Per Line'!$AO$2:$AO$4001),MATCH(ROWS($AA$2:$AA143),'Per Line'!$AO$2:$AO$4001,0),"")</f>
        <v/>
      </c>
      <c r="AB143" s="14">
        <f>IF($AA143="","",L143-K143*Y143/100)</f>
        <v/>
      </c>
    </row>
    <row r="144">
      <c r="A144" s="12" t="n"/>
      <c r="B144">
        <f>IF($AA144="","",INDEX('Per Line'!$E$2:$E$4001,$AA144)&amp;"")</f>
        <v/>
      </c>
      <c r="C144">
        <f>IF($AA144="","",INDEX('Per Line'!$A$2:$A$4001,$AA144)&amp;"")</f>
        <v/>
      </c>
      <c r="D144">
        <f>IF($AA144="","",INDEX('Per Line'!$D$2:$D$4001,$AA144)&amp;"")</f>
        <v/>
      </c>
      <c r="E144" s="11">
        <f>IF($AA144="","",INDEX('Per Line'!$G$2:$G$4001,$AA144))</f>
        <v/>
      </c>
      <c r="F144">
        <f>IF($AA144="","",INDEX('Per Line'!$H$2:$H$4001,$AA144)&amp;"")</f>
        <v/>
      </c>
      <c r="G144">
        <f>IF($AA144="","",INDEX('Per Line'!$I$2:$I$4001,$AA144)&amp;"")</f>
        <v/>
      </c>
      <c r="H144">
        <f>IF($AA144="","",INDEX('Per Line'!$J$2:$J$4001,$AA144)&amp;"")</f>
        <v/>
      </c>
      <c r="I144">
        <f>IF($AA144="","",INDEX('Per Line'!$K$2:$K$4001,$AA144)&amp;"")</f>
        <v/>
      </c>
      <c r="J144">
        <f>IF($AA144="","",INDEX('Per Line'!$L$2:$L$4001,$AA144)&amp;"")</f>
        <v/>
      </c>
      <c r="K144">
        <f>IF($AA144="","",INDEX('Per Line'!$P$2:$P$4001,$AA144))</f>
        <v/>
      </c>
      <c r="L144" s="7">
        <f>IF($AA144="","",IF(AND(ISNUMBER(N144),N144&gt;0,Y144&gt;N144),K144*N144/100+(Y144-N144),K144*Y144/100))</f>
        <v/>
      </c>
      <c r="M144">
        <f>IF($AA144="","",INDEX('Per Line'!$Z$2:$Z$4001,$AA144)&amp;"")</f>
        <v/>
      </c>
      <c r="N144">
        <f>IF($AA144="","",INDEX('Per Line'!$AG$2:$AG$4001,$AA144))</f>
        <v/>
      </c>
      <c r="O144">
        <f>IF($AA144="","",IF(AND(ISNUMBER(N144),N144&gt;0),Y144&gt;N144,FALSE))</f>
        <v/>
      </c>
      <c r="P144" s="7">
        <f>IF($AA144="","",SUMIFS('Per Line'!$Y$2:$Y$4001,'Per Line'!$E$2:$E$4001,$B144,'Per Line'!$AQ$2:$AQ$4001,1))</f>
        <v/>
      </c>
      <c r="Q144">
        <f>IF($AA144="","",Settings!$C$7)</f>
        <v/>
      </c>
      <c r="R144" s="7">
        <f>IF($AA144="","",SUMIFS('Per Line'!$Y$2:$Y$4001,'Per Line'!$E$2:$E$4001,$B144,'Per Line'!$AP$2:$AP$4001,0,'Per Line'!$AQ$2:$AQ$4001,0))</f>
        <v/>
      </c>
      <c r="S144" s="7">
        <f>IF($AA144="","",R144*Q144)</f>
        <v/>
      </c>
      <c r="T144">
        <f>IF($AA144="","",Settings!$C$6)</f>
        <v/>
      </c>
      <c r="U144" s="7">
        <f>IF($AA144="","",SUMIFS('Per Line'!$Y$2:$Y$4001,'Per Line'!$E$2:$E$4001,$B144,'Per Line'!$AP$2:$AP$4001,1,'Per Line'!$AQ$2:$AQ$4001,0))</f>
        <v/>
      </c>
      <c r="V144" s="7">
        <f>IF($AA144="","",U144*T144)</f>
        <v/>
      </c>
      <c r="W144" s="7">
        <f>IF($AA144="","",V144+S144)</f>
        <v/>
      </c>
      <c r="X144" s="7">
        <f>IF($AA144="","",Y144-W144)</f>
        <v/>
      </c>
      <c r="Y144" s="7">
        <f>IF($AA144="","",R144+U144+P144)</f>
        <v/>
      </c>
      <c r="Z144" s="7">
        <f>IF($AA144="","",Y144-W144-L144)</f>
        <v/>
      </c>
      <c r="AA144" s="13">
        <f>IF(ROWS($AA$2:$AA144)&lt;=MAX('Per Line'!$AO$2:$AO$4001),MATCH(ROWS($AA$2:$AA144),'Per Line'!$AO$2:$AO$4001,0),"")</f>
        <v/>
      </c>
      <c r="AB144" s="14">
        <f>IF($AA144="","",L144-K144*Y144/100)</f>
        <v/>
      </c>
    </row>
    <row r="145">
      <c r="A145" s="12" t="n"/>
      <c r="B145">
        <f>IF($AA145="","",INDEX('Per Line'!$E$2:$E$4001,$AA145)&amp;"")</f>
        <v/>
      </c>
      <c r="C145">
        <f>IF($AA145="","",INDEX('Per Line'!$A$2:$A$4001,$AA145)&amp;"")</f>
        <v/>
      </c>
      <c r="D145">
        <f>IF($AA145="","",INDEX('Per Line'!$D$2:$D$4001,$AA145)&amp;"")</f>
        <v/>
      </c>
      <c r="E145" s="11">
        <f>IF($AA145="","",INDEX('Per Line'!$G$2:$G$4001,$AA145))</f>
        <v/>
      </c>
      <c r="F145">
        <f>IF($AA145="","",INDEX('Per Line'!$H$2:$H$4001,$AA145)&amp;"")</f>
        <v/>
      </c>
      <c r="G145">
        <f>IF($AA145="","",INDEX('Per Line'!$I$2:$I$4001,$AA145)&amp;"")</f>
        <v/>
      </c>
      <c r="H145">
        <f>IF($AA145="","",INDEX('Per Line'!$J$2:$J$4001,$AA145)&amp;"")</f>
        <v/>
      </c>
      <c r="I145">
        <f>IF($AA145="","",INDEX('Per Line'!$K$2:$K$4001,$AA145)&amp;"")</f>
        <v/>
      </c>
      <c r="J145">
        <f>IF($AA145="","",INDEX('Per Line'!$L$2:$L$4001,$AA145)&amp;"")</f>
        <v/>
      </c>
      <c r="K145">
        <f>IF($AA145="","",INDEX('Per Line'!$P$2:$P$4001,$AA145))</f>
        <v/>
      </c>
      <c r="L145" s="7">
        <f>IF($AA145="","",IF(AND(ISNUMBER(N145),N145&gt;0,Y145&gt;N145),K145*N145/100+(Y145-N145),K145*Y145/100))</f>
        <v/>
      </c>
      <c r="M145">
        <f>IF($AA145="","",INDEX('Per Line'!$Z$2:$Z$4001,$AA145)&amp;"")</f>
        <v/>
      </c>
      <c r="N145">
        <f>IF($AA145="","",INDEX('Per Line'!$AG$2:$AG$4001,$AA145))</f>
        <v/>
      </c>
      <c r="O145">
        <f>IF($AA145="","",IF(AND(ISNUMBER(N145),N145&gt;0),Y145&gt;N145,FALSE))</f>
        <v/>
      </c>
      <c r="P145" s="7">
        <f>IF($AA145="","",SUMIFS('Per Line'!$Y$2:$Y$4001,'Per Line'!$E$2:$E$4001,$B145,'Per Line'!$AQ$2:$AQ$4001,1))</f>
        <v/>
      </c>
      <c r="Q145">
        <f>IF($AA145="","",Settings!$C$7)</f>
        <v/>
      </c>
      <c r="R145" s="7">
        <f>IF($AA145="","",SUMIFS('Per Line'!$Y$2:$Y$4001,'Per Line'!$E$2:$E$4001,$B145,'Per Line'!$AP$2:$AP$4001,0,'Per Line'!$AQ$2:$AQ$4001,0))</f>
        <v/>
      </c>
      <c r="S145" s="7">
        <f>IF($AA145="","",R145*Q145)</f>
        <v/>
      </c>
      <c r="T145">
        <f>IF($AA145="","",Settings!$C$6)</f>
        <v/>
      </c>
      <c r="U145" s="7">
        <f>IF($AA145="","",SUMIFS('Per Line'!$Y$2:$Y$4001,'Per Line'!$E$2:$E$4001,$B145,'Per Line'!$AP$2:$AP$4001,1,'Per Line'!$AQ$2:$AQ$4001,0))</f>
        <v/>
      </c>
      <c r="V145" s="7">
        <f>IF($AA145="","",U145*T145)</f>
        <v/>
      </c>
      <c r="W145" s="7">
        <f>IF($AA145="","",V145+S145)</f>
        <v/>
      </c>
      <c r="X145" s="7">
        <f>IF($AA145="","",Y145-W145)</f>
        <v/>
      </c>
      <c r="Y145" s="7">
        <f>IF($AA145="","",R145+U145+P145)</f>
        <v/>
      </c>
      <c r="Z145" s="7">
        <f>IF($AA145="","",Y145-W145-L145)</f>
        <v/>
      </c>
      <c r="AA145" s="13">
        <f>IF(ROWS($AA$2:$AA145)&lt;=MAX('Per Line'!$AO$2:$AO$4001),MATCH(ROWS($AA$2:$AA145),'Per Line'!$AO$2:$AO$4001,0),"")</f>
        <v/>
      </c>
      <c r="AB145" s="14">
        <f>IF($AA145="","",L145-K145*Y145/100)</f>
        <v/>
      </c>
    </row>
    <row r="146">
      <c r="A146" s="12" t="n"/>
      <c r="B146">
        <f>IF($AA146="","",INDEX('Per Line'!$E$2:$E$4001,$AA146)&amp;"")</f>
        <v/>
      </c>
      <c r="C146">
        <f>IF($AA146="","",INDEX('Per Line'!$A$2:$A$4001,$AA146)&amp;"")</f>
        <v/>
      </c>
      <c r="D146">
        <f>IF($AA146="","",INDEX('Per Line'!$D$2:$D$4001,$AA146)&amp;"")</f>
        <v/>
      </c>
      <c r="E146" s="11">
        <f>IF($AA146="","",INDEX('Per Line'!$G$2:$G$4001,$AA146))</f>
        <v/>
      </c>
      <c r="F146">
        <f>IF($AA146="","",INDEX('Per Line'!$H$2:$H$4001,$AA146)&amp;"")</f>
        <v/>
      </c>
      <c r="G146">
        <f>IF($AA146="","",INDEX('Per Line'!$I$2:$I$4001,$AA146)&amp;"")</f>
        <v/>
      </c>
      <c r="H146">
        <f>IF($AA146="","",INDEX('Per Line'!$J$2:$J$4001,$AA146)&amp;"")</f>
        <v/>
      </c>
      <c r="I146">
        <f>IF($AA146="","",INDEX('Per Line'!$K$2:$K$4001,$AA146)&amp;"")</f>
        <v/>
      </c>
      <c r="J146">
        <f>IF($AA146="","",INDEX('Per Line'!$L$2:$L$4001,$AA146)&amp;"")</f>
        <v/>
      </c>
      <c r="K146">
        <f>IF($AA146="","",INDEX('Per Line'!$P$2:$P$4001,$AA146))</f>
        <v/>
      </c>
      <c r="L146" s="7">
        <f>IF($AA146="","",IF(AND(ISNUMBER(N146),N146&gt;0,Y146&gt;N146),K146*N146/100+(Y146-N146),K146*Y146/100))</f>
        <v/>
      </c>
      <c r="M146">
        <f>IF($AA146="","",INDEX('Per Line'!$Z$2:$Z$4001,$AA146)&amp;"")</f>
        <v/>
      </c>
      <c r="N146">
        <f>IF($AA146="","",INDEX('Per Line'!$AG$2:$AG$4001,$AA146))</f>
        <v/>
      </c>
      <c r="O146">
        <f>IF($AA146="","",IF(AND(ISNUMBER(N146),N146&gt;0),Y146&gt;N146,FALSE))</f>
        <v/>
      </c>
      <c r="P146" s="7">
        <f>IF($AA146="","",SUMIFS('Per Line'!$Y$2:$Y$4001,'Per Line'!$E$2:$E$4001,$B146,'Per Line'!$AQ$2:$AQ$4001,1))</f>
        <v/>
      </c>
      <c r="Q146">
        <f>IF($AA146="","",Settings!$C$7)</f>
        <v/>
      </c>
      <c r="R146" s="7">
        <f>IF($AA146="","",SUMIFS('Per Line'!$Y$2:$Y$4001,'Per Line'!$E$2:$E$4001,$B146,'Per Line'!$AP$2:$AP$4001,0,'Per Line'!$AQ$2:$AQ$4001,0))</f>
        <v/>
      </c>
      <c r="S146" s="7">
        <f>IF($AA146="","",R146*Q146)</f>
        <v/>
      </c>
      <c r="T146">
        <f>IF($AA146="","",Settings!$C$6)</f>
        <v/>
      </c>
      <c r="U146" s="7">
        <f>IF($AA146="","",SUMIFS('Per Line'!$Y$2:$Y$4001,'Per Line'!$E$2:$E$4001,$B146,'Per Line'!$AP$2:$AP$4001,1,'Per Line'!$AQ$2:$AQ$4001,0))</f>
        <v/>
      </c>
      <c r="V146" s="7">
        <f>IF($AA146="","",U146*T146)</f>
        <v/>
      </c>
      <c r="W146" s="7">
        <f>IF($AA146="","",V146+S146)</f>
        <v/>
      </c>
      <c r="X146" s="7">
        <f>IF($AA146="","",Y146-W146)</f>
        <v/>
      </c>
      <c r="Y146" s="7">
        <f>IF($AA146="","",R146+U146+P146)</f>
        <v/>
      </c>
      <c r="Z146" s="7">
        <f>IF($AA146="","",Y146-W146-L146)</f>
        <v/>
      </c>
      <c r="AA146" s="13">
        <f>IF(ROWS($AA$2:$AA146)&lt;=MAX('Per Line'!$AO$2:$AO$4001),MATCH(ROWS($AA$2:$AA146),'Per Line'!$AO$2:$AO$4001,0),"")</f>
        <v/>
      </c>
      <c r="AB146" s="14">
        <f>IF($AA146="","",L146-K146*Y146/100)</f>
        <v/>
      </c>
    </row>
    <row r="147">
      <c r="A147" s="12" t="n"/>
      <c r="B147">
        <f>IF($AA147="","",INDEX('Per Line'!$E$2:$E$4001,$AA147)&amp;"")</f>
        <v/>
      </c>
      <c r="C147">
        <f>IF($AA147="","",INDEX('Per Line'!$A$2:$A$4001,$AA147)&amp;"")</f>
        <v/>
      </c>
      <c r="D147">
        <f>IF($AA147="","",INDEX('Per Line'!$D$2:$D$4001,$AA147)&amp;"")</f>
        <v/>
      </c>
      <c r="E147" s="11">
        <f>IF($AA147="","",INDEX('Per Line'!$G$2:$G$4001,$AA147))</f>
        <v/>
      </c>
      <c r="F147">
        <f>IF($AA147="","",INDEX('Per Line'!$H$2:$H$4001,$AA147)&amp;"")</f>
        <v/>
      </c>
      <c r="G147">
        <f>IF($AA147="","",INDEX('Per Line'!$I$2:$I$4001,$AA147)&amp;"")</f>
        <v/>
      </c>
      <c r="H147">
        <f>IF($AA147="","",INDEX('Per Line'!$J$2:$J$4001,$AA147)&amp;"")</f>
        <v/>
      </c>
      <c r="I147">
        <f>IF($AA147="","",INDEX('Per Line'!$K$2:$K$4001,$AA147)&amp;"")</f>
        <v/>
      </c>
      <c r="J147">
        <f>IF($AA147="","",INDEX('Per Line'!$L$2:$L$4001,$AA147)&amp;"")</f>
        <v/>
      </c>
      <c r="K147">
        <f>IF($AA147="","",INDEX('Per Line'!$P$2:$P$4001,$AA147))</f>
        <v/>
      </c>
      <c r="L147" s="7">
        <f>IF($AA147="","",IF(AND(ISNUMBER(N147),N147&gt;0,Y147&gt;N147),K147*N147/100+(Y147-N147),K147*Y147/100))</f>
        <v/>
      </c>
      <c r="M147">
        <f>IF($AA147="","",INDEX('Per Line'!$Z$2:$Z$4001,$AA147)&amp;"")</f>
        <v/>
      </c>
      <c r="N147">
        <f>IF($AA147="","",INDEX('Per Line'!$AG$2:$AG$4001,$AA147))</f>
        <v/>
      </c>
      <c r="O147">
        <f>IF($AA147="","",IF(AND(ISNUMBER(N147),N147&gt;0),Y147&gt;N147,FALSE))</f>
        <v/>
      </c>
      <c r="P147" s="7">
        <f>IF($AA147="","",SUMIFS('Per Line'!$Y$2:$Y$4001,'Per Line'!$E$2:$E$4001,$B147,'Per Line'!$AQ$2:$AQ$4001,1))</f>
        <v/>
      </c>
      <c r="Q147">
        <f>IF($AA147="","",Settings!$C$7)</f>
        <v/>
      </c>
      <c r="R147" s="7">
        <f>IF($AA147="","",SUMIFS('Per Line'!$Y$2:$Y$4001,'Per Line'!$E$2:$E$4001,$B147,'Per Line'!$AP$2:$AP$4001,0,'Per Line'!$AQ$2:$AQ$4001,0))</f>
        <v/>
      </c>
      <c r="S147" s="7">
        <f>IF($AA147="","",R147*Q147)</f>
        <v/>
      </c>
      <c r="T147">
        <f>IF($AA147="","",Settings!$C$6)</f>
        <v/>
      </c>
      <c r="U147" s="7">
        <f>IF($AA147="","",SUMIFS('Per Line'!$Y$2:$Y$4001,'Per Line'!$E$2:$E$4001,$B147,'Per Line'!$AP$2:$AP$4001,1,'Per Line'!$AQ$2:$AQ$4001,0))</f>
        <v/>
      </c>
      <c r="V147" s="7">
        <f>IF($AA147="","",U147*T147)</f>
        <v/>
      </c>
      <c r="W147" s="7">
        <f>IF($AA147="","",V147+S147)</f>
        <v/>
      </c>
      <c r="X147" s="7">
        <f>IF($AA147="","",Y147-W147)</f>
        <v/>
      </c>
      <c r="Y147" s="7">
        <f>IF($AA147="","",R147+U147+P147)</f>
        <v/>
      </c>
      <c r="Z147" s="7">
        <f>IF($AA147="","",Y147-W147-L147)</f>
        <v/>
      </c>
      <c r="AA147" s="13">
        <f>IF(ROWS($AA$2:$AA147)&lt;=MAX('Per Line'!$AO$2:$AO$4001),MATCH(ROWS($AA$2:$AA147),'Per Line'!$AO$2:$AO$4001,0),"")</f>
        <v/>
      </c>
      <c r="AB147" s="14">
        <f>IF($AA147="","",L147-K147*Y147/100)</f>
        <v/>
      </c>
    </row>
    <row r="148">
      <c r="A148" s="12" t="n"/>
      <c r="B148">
        <f>IF($AA148="","",INDEX('Per Line'!$E$2:$E$4001,$AA148)&amp;"")</f>
        <v/>
      </c>
      <c r="C148">
        <f>IF($AA148="","",INDEX('Per Line'!$A$2:$A$4001,$AA148)&amp;"")</f>
        <v/>
      </c>
      <c r="D148">
        <f>IF($AA148="","",INDEX('Per Line'!$D$2:$D$4001,$AA148)&amp;"")</f>
        <v/>
      </c>
      <c r="E148" s="11">
        <f>IF($AA148="","",INDEX('Per Line'!$G$2:$G$4001,$AA148))</f>
        <v/>
      </c>
      <c r="F148">
        <f>IF($AA148="","",INDEX('Per Line'!$H$2:$H$4001,$AA148)&amp;"")</f>
        <v/>
      </c>
      <c r="G148">
        <f>IF($AA148="","",INDEX('Per Line'!$I$2:$I$4001,$AA148)&amp;"")</f>
        <v/>
      </c>
      <c r="H148">
        <f>IF($AA148="","",INDEX('Per Line'!$J$2:$J$4001,$AA148)&amp;"")</f>
        <v/>
      </c>
      <c r="I148">
        <f>IF($AA148="","",INDEX('Per Line'!$K$2:$K$4001,$AA148)&amp;"")</f>
        <v/>
      </c>
      <c r="J148">
        <f>IF($AA148="","",INDEX('Per Line'!$L$2:$L$4001,$AA148)&amp;"")</f>
        <v/>
      </c>
      <c r="K148">
        <f>IF($AA148="","",INDEX('Per Line'!$P$2:$P$4001,$AA148))</f>
        <v/>
      </c>
      <c r="L148" s="7">
        <f>IF($AA148="","",IF(AND(ISNUMBER(N148),N148&gt;0,Y148&gt;N148),K148*N148/100+(Y148-N148),K148*Y148/100))</f>
        <v/>
      </c>
      <c r="M148">
        <f>IF($AA148="","",INDEX('Per Line'!$Z$2:$Z$4001,$AA148)&amp;"")</f>
        <v/>
      </c>
      <c r="N148">
        <f>IF($AA148="","",INDEX('Per Line'!$AG$2:$AG$4001,$AA148))</f>
        <v/>
      </c>
      <c r="O148">
        <f>IF($AA148="","",IF(AND(ISNUMBER(N148),N148&gt;0),Y148&gt;N148,FALSE))</f>
        <v/>
      </c>
      <c r="P148" s="7">
        <f>IF($AA148="","",SUMIFS('Per Line'!$Y$2:$Y$4001,'Per Line'!$E$2:$E$4001,$B148,'Per Line'!$AQ$2:$AQ$4001,1))</f>
        <v/>
      </c>
      <c r="Q148">
        <f>IF($AA148="","",Settings!$C$7)</f>
        <v/>
      </c>
      <c r="R148" s="7">
        <f>IF($AA148="","",SUMIFS('Per Line'!$Y$2:$Y$4001,'Per Line'!$E$2:$E$4001,$B148,'Per Line'!$AP$2:$AP$4001,0,'Per Line'!$AQ$2:$AQ$4001,0))</f>
        <v/>
      </c>
      <c r="S148" s="7">
        <f>IF($AA148="","",R148*Q148)</f>
        <v/>
      </c>
      <c r="T148">
        <f>IF($AA148="","",Settings!$C$6)</f>
        <v/>
      </c>
      <c r="U148" s="7">
        <f>IF($AA148="","",SUMIFS('Per Line'!$Y$2:$Y$4001,'Per Line'!$E$2:$E$4001,$B148,'Per Line'!$AP$2:$AP$4001,1,'Per Line'!$AQ$2:$AQ$4001,0))</f>
        <v/>
      </c>
      <c r="V148" s="7">
        <f>IF($AA148="","",U148*T148)</f>
        <v/>
      </c>
      <c r="W148" s="7">
        <f>IF($AA148="","",V148+S148)</f>
        <v/>
      </c>
      <c r="X148" s="7">
        <f>IF($AA148="","",Y148-W148)</f>
        <v/>
      </c>
      <c r="Y148" s="7">
        <f>IF($AA148="","",R148+U148+P148)</f>
        <v/>
      </c>
      <c r="Z148" s="7">
        <f>IF($AA148="","",Y148-W148-L148)</f>
        <v/>
      </c>
      <c r="AA148" s="13">
        <f>IF(ROWS($AA$2:$AA148)&lt;=MAX('Per Line'!$AO$2:$AO$4001),MATCH(ROWS($AA$2:$AA148),'Per Line'!$AO$2:$AO$4001,0),"")</f>
        <v/>
      </c>
      <c r="AB148" s="14">
        <f>IF($AA148="","",L148-K148*Y148/100)</f>
        <v/>
      </c>
    </row>
    <row r="149">
      <c r="A149" s="12" t="n"/>
      <c r="B149">
        <f>IF($AA149="","",INDEX('Per Line'!$E$2:$E$4001,$AA149)&amp;"")</f>
        <v/>
      </c>
      <c r="C149">
        <f>IF($AA149="","",INDEX('Per Line'!$A$2:$A$4001,$AA149)&amp;"")</f>
        <v/>
      </c>
      <c r="D149">
        <f>IF($AA149="","",INDEX('Per Line'!$D$2:$D$4001,$AA149)&amp;"")</f>
        <v/>
      </c>
      <c r="E149" s="11">
        <f>IF($AA149="","",INDEX('Per Line'!$G$2:$G$4001,$AA149))</f>
        <v/>
      </c>
      <c r="F149">
        <f>IF($AA149="","",INDEX('Per Line'!$H$2:$H$4001,$AA149)&amp;"")</f>
        <v/>
      </c>
      <c r="G149">
        <f>IF($AA149="","",INDEX('Per Line'!$I$2:$I$4001,$AA149)&amp;"")</f>
        <v/>
      </c>
      <c r="H149">
        <f>IF($AA149="","",INDEX('Per Line'!$J$2:$J$4001,$AA149)&amp;"")</f>
        <v/>
      </c>
      <c r="I149">
        <f>IF($AA149="","",INDEX('Per Line'!$K$2:$K$4001,$AA149)&amp;"")</f>
        <v/>
      </c>
      <c r="J149">
        <f>IF($AA149="","",INDEX('Per Line'!$L$2:$L$4001,$AA149)&amp;"")</f>
        <v/>
      </c>
      <c r="K149">
        <f>IF($AA149="","",INDEX('Per Line'!$P$2:$P$4001,$AA149))</f>
        <v/>
      </c>
      <c r="L149" s="7">
        <f>IF($AA149="","",IF(AND(ISNUMBER(N149),N149&gt;0,Y149&gt;N149),K149*N149/100+(Y149-N149),K149*Y149/100))</f>
        <v/>
      </c>
      <c r="M149">
        <f>IF($AA149="","",INDEX('Per Line'!$Z$2:$Z$4001,$AA149)&amp;"")</f>
        <v/>
      </c>
      <c r="N149">
        <f>IF($AA149="","",INDEX('Per Line'!$AG$2:$AG$4001,$AA149))</f>
        <v/>
      </c>
      <c r="O149">
        <f>IF($AA149="","",IF(AND(ISNUMBER(N149),N149&gt;0),Y149&gt;N149,FALSE))</f>
        <v/>
      </c>
      <c r="P149" s="7">
        <f>IF($AA149="","",SUMIFS('Per Line'!$Y$2:$Y$4001,'Per Line'!$E$2:$E$4001,$B149,'Per Line'!$AQ$2:$AQ$4001,1))</f>
        <v/>
      </c>
      <c r="Q149">
        <f>IF($AA149="","",Settings!$C$7)</f>
        <v/>
      </c>
      <c r="R149" s="7">
        <f>IF($AA149="","",SUMIFS('Per Line'!$Y$2:$Y$4001,'Per Line'!$E$2:$E$4001,$B149,'Per Line'!$AP$2:$AP$4001,0,'Per Line'!$AQ$2:$AQ$4001,0))</f>
        <v/>
      </c>
      <c r="S149" s="7">
        <f>IF($AA149="","",R149*Q149)</f>
        <v/>
      </c>
      <c r="T149">
        <f>IF($AA149="","",Settings!$C$6)</f>
        <v/>
      </c>
      <c r="U149" s="7">
        <f>IF($AA149="","",SUMIFS('Per Line'!$Y$2:$Y$4001,'Per Line'!$E$2:$E$4001,$B149,'Per Line'!$AP$2:$AP$4001,1,'Per Line'!$AQ$2:$AQ$4001,0))</f>
        <v/>
      </c>
      <c r="V149" s="7">
        <f>IF($AA149="","",U149*T149)</f>
        <v/>
      </c>
      <c r="W149" s="7">
        <f>IF($AA149="","",V149+S149)</f>
        <v/>
      </c>
      <c r="X149" s="7">
        <f>IF($AA149="","",Y149-W149)</f>
        <v/>
      </c>
      <c r="Y149" s="7">
        <f>IF($AA149="","",R149+U149+P149)</f>
        <v/>
      </c>
      <c r="Z149" s="7">
        <f>IF($AA149="","",Y149-W149-L149)</f>
        <v/>
      </c>
      <c r="AA149" s="13">
        <f>IF(ROWS($AA$2:$AA149)&lt;=MAX('Per Line'!$AO$2:$AO$4001),MATCH(ROWS($AA$2:$AA149),'Per Line'!$AO$2:$AO$4001,0),"")</f>
        <v/>
      </c>
      <c r="AB149" s="14">
        <f>IF($AA149="","",L149-K149*Y149/100)</f>
        <v/>
      </c>
    </row>
    <row r="150">
      <c r="A150" s="12" t="n"/>
      <c r="B150">
        <f>IF($AA150="","",INDEX('Per Line'!$E$2:$E$4001,$AA150)&amp;"")</f>
        <v/>
      </c>
      <c r="C150">
        <f>IF($AA150="","",INDEX('Per Line'!$A$2:$A$4001,$AA150)&amp;"")</f>
        <v/>
      </c>
      <c r="D150">
        <f>IF($AA150="","",INDEX('Per Line'!$D$2:$D$4001,$AA150)&amp;"")</f>
        <v/>
      </c>
      <c r="E150" s="11">
        <f>IF($AA150="","",INDEX('Per Line'!$G$2:$G$4001,$AA150))</f>
        <v/>
      </c>
      <c r="F150">
        <f>IF($AA150="","",INDEX('Per Line'!$H$2:$H$4001,$AA150)&amp;"")</f>
        <v/>
      </c>
      <c r="G150">
        <f>IF($AA150="","",INDEX('Per Line'!$I$2:$I$4001,$AA150)&amp;"")</f>
        <v/>
      </c>
      <c r="H150">
        <f>IF($AA150="","",INDEX('Per Line'!$J$2:$J$4001,$AA150)&amp;"")</f>
        <v/>
      </c>
      <c r="I150">
        <f>IF($AA150="","",INDEX('Per Line'!$K$2:$K$4001,$AA150)&amp;"")</f>
        <v/>
      </c>
      <c r="J150">
        <f>IF($AA150="","",INDEX('Per Line'!$L$2:$L$4001,$AA150)&amp;"")</f>
        <v/>
      </c>
      <c r="K150">
        <f>IF($AA150="","",INDEX('Per Line'!$P$2:$P$4001,$AA150))</f>
        <v/>
      </c>
      <c r="L150" s="7">
        <f>IF($AA150="","",IF(AND(ISNUMBER(N150),N150&gt;0,Y150&gt;N150),K150*N150/100+(Y150-N150),K150*Y150/100))</f>
        <v/>
      </c>
      <c r="M150">
        <f>IF($AA150="","",INDEX('Per Line'!$Z$2:$Z$4001,$AA150)&amp;"")</f>
        <v/>
      </c>
      <c r="N150">
        <f>IF($AA150="","",INDEX('Per Line'!$AG$2:$AG$4001,$AA150))</f>
        <v/>
      </c>
      <c r="O150">
        <f>IF($AA150="","",IF(AND(ISNUMBER(N150),N150&gt;0),Y150&gt;N150,FALSE))</f>
        <v/>
      </c>
      <c r="P150" s="7">
        <f>IF($AA150="","",SUMIFS('Per Line'!$Y$2:$Y$4001,'Per Line'!$E$2:$E$4001,$B150,'Per Line'!$AQ$2:$AQ$4001,1))</f>
        <v/>
      </c>
      <c r="Q150">
        <f>IF($AA150="","",Settings!$C$7)</f>
        <v/>
      </c>
      <c r="R150" s="7">
        <f>IF($AA150="","",SUMIFS('Per Line'!$Y$2:$Y$4001,'Per Line'!$E$2:$E$4001,$B150,'Per Line'!$AP$2:$AP$4001,0,'Per Line'!$AQ$2:$AQ$4001,0))</f>
        <v/>
      </c>
      <c r="S150" s="7">
        <f>IF($AA150="","",R150*Q150)</f>
        <v/>
      </c>
      <c r="T150">
        <f>IF($AA150="","",Settings!$C$6)</f>
        <v/>
      </c>
      <c r="U150" s="7">
        <f>IF($AA150="","",SUMIFS('Per Line'!$Y$2:$Y$4001,'Per Line'!$E$2:$E$4001,$B150,'Per Line'!$AP$2:$AP$4001,1,'Per Line'!$AQ$2:$AQ$4001,0))</f>
        <v/>
      </c>
      <c r="V150" s="7">
        <f>IF($AA150="","",U150*T150)</f>
        <v/>
      </c>
      <c r="W150" s="7">
        <f>IF($AA150="","",V150+S150)</f>
        <v/>
      </c>
      <c r="X150" s="7">
        <f>IF($AA150="","",Y150-W150)</f>
        <v/>
      </c>
      <c r="Y150" s="7">
        <f>IF($AA150="","",R150+U150+P150)</f>
        <v/>
      </c>
      <c r="Z150" s="7">
        <f>IF($AA150="","",Y150-W150-L150)</f>
        <v/>
      </c>
      <c r="AA150" s="13">
        <f>IF(ROWS($AA$2:$AA150)&lt;=MAX('Per Line'!$AO$2:$AO$4001),MATCH(ROWS($AA$2:$AA150),'Per Line'!$AO$2:$AO$4001,0),"")</f>
        <v/>
      </c>
      <c r="AB150" s="14">
        <f>IF($AA150="","",L150-K150*Y150/100)</f>
        <v/>
      </c>
    </row>
    <row r="151">
      <c r="A151" s="12" t="n"/>
      <c r="B151">
        <f>IF($AA151="","",INDEX('Per Line'!$E$2:$E$4001,$AA151)&amp;"")</f>
        <v/>
      </c>
      <c r="C151">
        <f>IF($AA151="","",INDEX('Per Line'!$A$2:$A$4001,$AA151)&amp;"")</f>
        <v/>
      </c>
      <c r="D151">
        <f>IF($AA151="","",INDEX('Per Line'!$D$2:$D$4001,$AA151)&amp;"")</f>
        <v/>
      </c>
      <c r="E151" s="11">
        <f>IF($AA151="","",INDEX('Per Line'!$G$2:$G$4001,$AA151))</f>
        <v/>
      </c>
      <c r="F151">
        <f>IF($AA151="","",INDEX('Per Line'!$H$2:$H$4001,$AA151)&amp;"")</f>
        <v/>
      </c>
      <c r="G151">
        <f>IF($AA151="","",INDEX('Per Line'!$I$2:$I$4001,$AA151)&amp;"")</f>
        <v/>
      </c>
      <c r="H151">
        <f>IF($AA151="","",INDEX('Per Line'!$J$2:$J$4001,$AA151)&amp;"")</f>
        <v/>
      </c>
      <c r="I151">
        <f>IF($AA151="","",INDEX('Per Line'!$K$2:$K$4001,$AA151)&amp;"")</f>
        <v/>
      </c>
      <c r="J151">
        <f>IF($AA151="","",INDEX('Per Line'!$L$2:$L$4001,$AA151)&amp;"")</f>
        <v/>
      </c>
      <c r="K151">
        <f>IF($AA151="","",INDEX('Per Line'!$P$2:$P$4001,$AA151))</f>
        <v/>
      </c>
      <c r="L151" s="7">
        <f>IF($AA151="","",IF(AND(ISNUMBER(N151),N151&gt;0,Y151&gt;N151),K151*N151/100+(Y151-N151),K151*Y151/100))</f>
        <v/>
      </c>
      <c r="M151">
        <f>IF($AA151="","",INDEX('Per Line'!$Z$2:$Z$4001,$AA151)&amp;"")</f>
        <v/>
      </c>
      <c r="N151">
        <f>IF($AA151="","",INDEX('Per Line'!$AG$2:$AG$4001,$AA151))</f>
        <v/>
      </c>
      <c r="O151">
        <f>IF($AA151="","",IF(AND(ISNUMBER(N151),N151&gt;0),Y151&gt;N151,FALSE))</f>
        <v/>
      </c>
      <c r="P151" s="7">
        <f>IF($AA151="","",SUMIFS('Per Line'!$Y$2:$Y$4001,'Per Line'!$E$2:$E$4001,$B151,'Per Line'!$AQ$2:$AQ$4001,1))</f>
        <v/>
      </c>
      <c r="Q151">
        <f>IF($AA151="","",Settings!$C$7)</f>
        <v/>
      </c>
      <c r="R151" s="7">
        <f>IF($AA151="","",SUMIFS('Per Line'!$Y$2:$Y$4001,'Per Line'!$E$2:$E$4001,$B151,'Per Line'!$AP$2:$AP$4001,0,'Per Line'!$AQ$2:$AQ$4001,0))</f>
        <v/>
      </c>
      <c r="S151" s="7">
        <f>IF($AA151="","",R151*Q151)</f>
        <v/>
      </c>
      <c r="T151">
        <f>IF($AA151="","",Settings!$C$6)</f>
        <v/>
      </c>
      <c r="U151" s="7">
        <f>IF($AA151="","",SUMIFS('Per Line'!$Y$2:$Y$4001,'Per Line'!$E$2:$E$4001,$B151,'Per Line'!$AP$2:$AP$4001,1,'Per Line'!$AQ$2:$AQ$4001,0))</f>
        <v/>
      </c>
      <c r="V151" s="7">
        <f>IF($AA151="","",U151*T151)</f>
        <v/>
      </c>
      <c r="W151" s="7">
        <f>IF($AA151="","",V151+S151)</f>
        <v/>
      </c>
      <c r="X151" s="7">
        <f>IF($AA151="","",Y151-W151)</f>
        <v/>
      </c>
      <c r="Y151" s="7">
        <f>IF($AA151="","",R151+U151+P151)</f>
        <v/>
      </c>
      <c r="Z151" s="7">
        <f>IF($AA151="","",Y151-W151-L151)</f>
        <v/>
      </c>
      <c r="AA151" s="13">
        <f>IF(ROWS($AA$2:$AA151)&lt;=MAX('Per Line'!$AO$2:$AO$4001),MATCH(ROWS($AA$2:$AA151),'Per Line'!$AO$2:$AO$4001,0),"")</f>
        <v/>
      </c>
      <c r="AB151" s="14">
        <f>IF($AA151="","",L151-K151*Y151/100)</f>
        <v/>
      </c>
    </row>
    <row r="152">
      <c r="A152" s="12" t="n"/>
      <c r="B152">
        <f>IF($AA152="","",INDEX('Per Line'!$E$2:$E$4001,$AA152)&amp;"")</f>
        <v/>
      </c>
      <c r="C152">
        <f>IF($AA152="","",INDEX('Per Line'!$A$2:$A$4001,$AA152)&amp;"")</f>
        <v/>
      </c>
      <c r="D152">
        <f>IF($AA152="","",INDEX('Per Line'!$D$2:$D$4001,$AA152)&amp;"")</f>
        <v/>
      </c>
      <c r="E152" s="11">
        <f>IF($AA152="","",INDEX('Per Line'!$G$2:$G$4001,$AA152))</f>
        <v/>
      </c>
      <c r="F152">
        <f>IF($AA152="","",INDEX('Per Line'!$H$2:$H$4001,$AA152)&amp;"")</f>
        <v/>
      </c>
      <c r="G152">
        <f>IF($AA152="","",INDEX('Per Line'!$I$2:$I$4001,$AA152)&amp;"")</f>
        <v/>
      </c>
      <c r="H152">
        <f>IF($AA152="","",INDEX('Per Line'!$J$2:$J$4001,$AA152)&amp;"")</f>
        <v/>
      </c>
      <c r="I152">
        <f>IF($AA152="","",INDEX('Per Line'!$K$2:$K$4001,$AA152)&amp;"")</f>
        <v/>
      </c>
      <c r="J152">
        <f>IF($AA152="","",INDEX('Per Line'!$L$2:$L$4001,$AA152)&amp;"")</f>
        <v/>
      </c>
      <c r="K152">
        <f>IF($AA152="","",INDEX('Per Line'!$P$2:$P$4001,$AA152))</f>
        <v/>
      </c>
      <c r="L152" s="7">
        <f>IF($AA152="","",IF(AND(ISNUMBER(N152),N152&gt;0,Y152&gt;N152),K152*N152/100+(Y152-N152),K152*Y152/100))</f>
        <v/>
      </c>
      <c r="M152">
        <f>IF($AA152="","",INDEX('Per Line'!$Z$2:$Z$4001,$AA152)&amp;"")</f>
        <v/>
      </c>
      <c r="N152">
        <f>IF($AA152="","",INDEX('Per Line'!$AG$2:$AG$4001,$AA152))</f>
        <v/>
      </c>
      <c r="O152">
        <f>IF($AA152="","",IF(AND(ISNUMBER(N152),N152&gt;0),Y152&gt;N152,FALSE))</f>
        <v/>
      </c>
      <c r="P152" s="7">
        <f>IF($AA152="","",SUMIFS('Per Line'!$Y$2:$Y$4001,'Per Line'!$E$2:$E$4001,$B152,'Per Line'!$AQ$2:$AQ$4001,1))</f>
        <v/>
      </c>
      <c r="Q152">
        <f>IF($AA152="","",Settings!$C$7)</f>
        <v/>
      </c>
      <c r="R152" s="7">
        <f>IF($AA152="","",SUMIFS('Per Line'!$Y$2:$Y$4001,'Per Line'!$E$2:$E$4001,$B152,'Per Line'!$AP$2:$AP$4001,0,'Per Line'!$AQ$2:$AQ$4001,0))</f>
        <v/>
      </c>
      <c r="S152" s="7">
        <f>IF($AA152="","",R152*Q152)</f>
        <v/>
      </c>
      <c r="T152">
        <f>IF($AA152="","",Settings!$C$6)</f>
        <v/>
      </c>
      <c r="U152" s="7">
        <f>IF($AA152="","",SUMIFS('Per Line'!$Y$2:$Y$4001,'Per Line'!$E$2:$E$4001,$B152,'Per Line'!$AP$2:$AP$4001,1,'Per Line'!$AQ$2:$AQ$4001,0))</f>
        <v/>
      </c>
      <c r="V152" s="7">
        <f>IF($AA152="","",U152*T152)</f>
        <v/>
      </c>
      <c r="W152" s="7">
        <f>IF($AA152="","",V152+S152)</f>
        <v/>
      </c>
      <c r="X152" s="7">
        <f>IF($AA152="","",Y152-W152)</f>
        <v/>
      </c>
      <c r="Y152" s="7">
        <f>IF($AA152="","",R152+U152+P152)</f>
        <v/>
      </c>
      <c r="Z152" s="7">
        <f>IF($AA152="","",Y152-W152-L152)</f>
        <v/>
      </c>
      <c r="AA152" s="13">
        <f>IF(ROWS($AA$2:$AA152)&lt;=MAX('Per Line'!$AO$2:$AO$4001),MATCH(ROWS($AA$2:$AA152),'Per Line'!$AO$2:$AO$4001,0),"")</f>
        <v/>
      </c>
      <c r="AB152" s="14">
        <f>IF($AA152="","",L152-K152*Y152/100)</f>
        <v/>
      </c>
    </row>
    <row r="153">
      <c r="A153" s="12" t="n"/>
      <c r="B153">
        <f>IF($AA153="","",INDEX('Per Line'!$E$2:$E$4001,$AA153)&amp;"")</f>
        <v/>
      </c>
      <c r="C153">
        <f>IF($AA153="","",INDEX('Per Line'!$A$2:$A$4001,$AA153)&amp;"")</f>
        <v/>
      </c>
      <c r="D153">
        <f>IF($AA153="","",INDEX('Per Line'!$D$2:$D$4001,$AA153)&amp;"")</f>
        <v/>
      </c>
      <c r="E153" s="11">
        <f>IF($AA153="","",INDEX('Per Line'!$G$2:$G$4001,$AA153))</f>
        <v/>
      </c>
      <c r="F153">
        <f>IF($AA153="","",INDEX('Per Line'!$H$2:$H$4001,$AA153)&amp;"")</f>
        <v/>
      </c>
      <c r="G153">
        <f>IF($AA153="","",INDEX('Per Line'!$I$2:$I$4001,$AA153)&amp;"")</f>
        <v/>
      </c>
      <c r="H153">
        <f>IF($AA153="","",INDEX('Per Line'!$J$2:$J$4001,$AA153)&amp;"")</f>
        <v/>
      </c>
      <c r="I153">
        <f>IF($AA153="","",INDEX('Per Line'!$K$2:$K$4001,$AA153)&amp;"")</f>
        <v/>
      </c>
      <c r="J153">
        <f>IF($AA153="","",INDEX('Per Line'!$L$2:$L$4001,$AA153)&amp;"")</f>
        <v/>
      </c>
      <c r="K153">
        <f>IF($AA153="","",INDEX('Per Line'!$P$2:$P$4001,$AA153))</f>
        <v/>
      </c>
      <c r="L153" s="7">
        <f>IF($AA153="","",IF(AND(ISNUMBER(N153),N153&gt;0,Y153&gt;N153),K153*N153/100+(Y153-N153),K153*Y153/100))</f>
        <v/>
      </c>
      <c r="M153">
        <f>IF($AA153="","",INDEX('Per Line'!$Z$2:$Z$4001,$AA153)&amp;"")</f>
        <v/>
      </c>
      <c r="N153">
        <f>IF($AA153="","",INDEX('Per Line'!$AG$2:$AG$4001,$AA153))</f>
        <v/>
      </c>
      <c r="O153">
        <f>IF($AA153="","",IF(AND(ISNUMBER(N153),N153&gt;0),Y153&gt;N153,FALSE))</f>
        <v/>
      </c>
      <c r="P153" s="7">
        <f>IF($AA153="","",SUMIFS('Per Line'!$Y$2:$Y$4001,'Per Line'!$E$2:$E$4001,$B153,'Per Line'!$AQ$2:$AQ$4001,1))</f>
        <v/>
      </c>
      <c r="Q153">
        <f>IF($AA153="","",Settings!$C$7)</f>
        <v/>
      </c>
      <c r="R153" s="7">
        <f>IF($AA153="","",SUMIFS('Per Line'!$Y$2:$Y$4001,'Per Line'!$E$2:$E$4001,$B153,'Per Line'!$AP$2:$AP$4001,0,'Per Line'!$AQ$2:$AQ$4001,0))</f>
        <v/>
      </c>
      <c r="S153" s="7">
        <f>IF($AA153="","",R153*Q153)</f>
        <v/>
      </c>
      <c r="T153">
        <f>IF($AA153="","",Settings!$C$6)</f>
        <v/>
      </c>
      <c r="U153" s="7">
        <f>IF($AA153="","",SUMIFS('Per Line'!$Y$2:$Y$4001,'Per Line'!$E$2:$E$4001,$B153,'Per Line'!$AP$2:$AP$4001,1,'Per Line'!$AQ$2:$AQ$4001,0))</f>
        <v/>
      </c>
      <c r="V153" s="7">
        <f>IF($AA153="","",U153*T153)</f>
        <v/>
      </c>
      <c r="W153" s="7">
        <f>IF($AA153="","",V153+S153)</f>
        <v/>
      </c>
      <c r="X153" s="7">
        <f>IF($AA153="","",Y153-W153)</f>
        <v/>
      </c>
      <c r="Y153" s="7">
        <f>IF($AA153="","",R153+U153+P153)</f>
        <v/>
      </c>
      <c r="Z153" s="7">
        <f>IF($AA153="","",Y153-W153-L153)</f>
        <v/>
      </c>
      <c r="AA153" s="13">
        <f>IF(ROWS($AA$2:$AA153)&lt;=MAX('Per Line'!$AO$2:$AO$4001),MATCH(ROWS($AA$2:$AA153),'Per Line'!$AO$2:$AO$4001,0),"")</f>
        <v/>
      </c>
      <c r="AB153" s="14">
        <f>IF($AA153="","",L153-K153*Y153/100)</f>
        <v/>
      </c>
    </row>
    <row r="154">
      <c r="A154" s="12" t="n"/>
      <c r="B154">
        <f>IF($AA154="","",INDEX('Per Line'!$E$2:$E$4001,$AA154)&amp;"")</f>
        <v/>
      </c>
      <c r="C154">
        <f>IF($AA154="","",INDEX('Per Line'!$A$2:$A$4001,$AA154)&amp;"")</f>
        <v/>
      </c>
      <c r="D154">
        <f>IF($AA154="","",INDEX('Per Line'!$D$2:$D$4001,$AA154)&amp;"")</f>
        <v/>
      </c>
      <c r="E154" s="11">
        <f>IF($AA154="","",INDEX('Per Line'!$G$2:$G$4001,$AA154))</f>
        <v/>
      </c>
      <c r="F154">
        <f>IF($AA154="","",INDEX('Per Line'!$H$2:$H$4001,$AA154)&amp;"")</f>
        <v/>
      </c>
      <c r="G154">
        <f>IF($AA154="","",INDEX('Per Line'!$I$2:$I$4001,$AA154)&amp;"")</f>
        <v/>
      </c>
      <c r="H154">
        <f>IF($AA154="","",INDEX('Per Line'!$J$2:$J$4001,$AA154)&amp;"")</f>
        <v/>
      </c>
      <c r="I154">
        <f>IF($AA154="","",INDEX('Per Line'!$K$2:$K$4001,$AA154)&amp;"")</f>
        <v/>
      </c>
      <c r="J154">
        <f>IF($AA154="","",INDEX('Per Line'!$L$2:$L$4001,$AA154)&amp;"")</f>
        <v/>
      </c>
      <c r="K154">
        <f>IF($AA154="","",INDEX('Per Line'!$P$2:$P$4001,$AA154))</f>
        <v/>
      </c>
      <c r="L154" s="7">
        <f>IF($AA154="","",IF(AND(ISNUMBER(N154),N154&gt;0,Y154&gt;N154),K154*N154/100+(Y154-N154),K154*Y154/100))</f>
        <v/>
      </c>
      <c r="M154">
        <f>IF($AA154="","",INDEX('Per Line'!$Z$2:$Z$4001,$AA154)&amp;"")</f>
        <v/>
      </c>
      <c r="N154">
        <f>IF($AA154="","",INDEX('Per Line'!$AG$2:$AG$4001,$AA154))</f>
        <v/>
      </c>
      <c r="O154">
        <f>IF($AA154="","",IF(AND(ISNUMBER(N154),N154&gt;0),Y154&gt;N154,FALSE))</f>
        <v/>
      </c>
      <c r="P154" s="7">
        <f>IF($AA154="","",SUMIFS('Per Line'!$Y$2:$Y$4001,'Per Line'!$E$2:$E$4001,$B154,'Per Line'!$AQ$2:$AQ$4001,1))</f>
        <v/>
      </c>
      <c r="Q154">
        <f>IF($AA154="","",Settings!$C$7)</f>
        <v/>
      </c>
      <c r="R154" s="7">
        <f>IF($AA154="","",SUMIFS('Per Line'!$Y$2:$Y$4001,'Per Line'!$E$2:$E$4001,$B154,'Per Line'!$AP$2:$AP$4001,0,'Per Line'!$AQ$2:$AQ$4001,0))</f>
        <v/>
      </c>
      <c r="S154" s="7">
        <f>IF($AA154="","",R154*Q154)</f>
        <v/>
      </c>
      <c r="T154">
        <f>IF($AA154="","",Settings!$C$6)</f>
        <v/>
      </c>
      <c r="U154" s="7">
        <f>IF($AA154="","",SUMIFS('Per Line'!$Y$2:$Y$4001,'Per Line'!$E$2:$E$4001,$B154,'Per Line'!$AP$2:$AP$4001,1,'Per Line'!$AQ$2:$AQ$4001,0))</f>
        <v/>
      </c>
      <c r="V154" s="7">
        <f>IF($AA154="","",U154*T154)</f>
        <v/>
      </c>
      <c r="W154" s="7">
        <f>IF($AA154="","",V154+S154)</f>
        <v/>
      </c>
      <c r="X154" s="7">
        <f>IF($AA154="","",Y154-W154)</f>
        <v/>
      </c>
      <c r="Y154" s="7">
        <f>IF($AA154="","",R154+U154+P154)</f>
        <v/>
      </c>
      <c r="Z154" s="7">
        <f>IF($AA154="","",Y154-W154-L154)</f>
        <v/>
      </c>
      <c r="AA154" s="13">
        <f>IF(ROWS($AA$2:$AA154)&lt;=MAX('Per Line'!$AO$2:$AO$4001),MATCH(ROWS($AA$2:$AA154),'Per Line'!$AO$2:$AO$4001,0),"")</f>
        <v/>
      </c>
      <c r="AB154" s="14">
        <f>IF($AA154="","",L154-K154*Y154/100)</f>
        <v/>
      </c>
    </row>
    <row r="155">
      <c r="A155" s="12" t="n"/>
      <c r="B155">
        <f>IF($AA155="","",INDEX('Per Line'!$E$2:$E$4001,$AA155)&amp;"")</f>
        <v/>
      </c>
      <c r="C155">
        <f>IF($AA155="","",INDEX('Per Line'!$A$2:$A$4001,$AA155)&amp;"")</f>
        <v/>
      </c>
      <c r="D155">
        <f>IF($AA155="","",INDEX('Per Line'!$D$2:$D$4001,$AA155)&amp;"")</f>
        <v/>
      </c>
      <c r="E155" s="11">
        <f>IF($AA155="","",INDEX('Per Line'!$G$2:$G$4001,$AA155))</f>
        <v/>
      </c>
      <c r="F155">
        <f>IF($AA155="","",INDEX('Per Line'!$H$2:$H$4001,$AA155)&amp;"")</f>
        <v/>
      </c>
      <c r="G155">
        <f>IF($AA155="","",INDEX('Per Line'!$I$2:$I$4001,$AA155)&amp;"")</f>
        <v/>
      </c>
      <c r="H155">
        <f>IF($AA155="","",INDEX('Per Line'!$J$2:$J$4001,$AA155)&amp;"")</f>
        <v/>
      </c>
      <c r="I155">
        <f>IF($AA155="","",INDEX('Per Line'!$K$2:$K$4001,$AA155)&amp;"")</f>
        <v/>
      </c>
      <c r="J155">
        <f>IF($AA155="","",INDEX('Per Line'!$L$2:$L$4001,$AA155)&amp;"")</f>
        <v/>
      </c>
      <c r="K155">
        <f>IF($AA155="","",INDEX('Per Line'!$P$2:$P$4001,$AA155))</f>
        <v/>
      </c>
      <c r="L155" s="7">
        <f>IF($AA155="","",IF(AND(ISNUMBER(N155),N155&gt;0,Y155&gt;N155),K155*N155/100+(Y155-N155),K155*Y155/100))</f>
        <v/>
      </c>
      <c r="M155">
        <f>IF($AA155="","",INDEX('Per Line'!$Z$2:$Z$4001,$AA155)&amp;"")</f>
        <v/>
      </c>
      <c r="N155">
        <f>IF($AA155="","",INDEX('Per Line'!$AG$2:$AG$4001,$AA155))</f>
        <v/>
      </c>
      <c r="O155">
        <f>IF($AA155="","",IF(AND(ISNUMBER(N155),N155&gt;0),Y155&gt;N155,FALSE))</f>
        <v/>
      </c>
      <c r="P155" s="7">
        <f>IF($AA155="","",SUMIFS('Per Line'!$Y$2:$Y$4001,'Per Line'!$E$2:$E$4001,$B155,'Per Line'!$AQ$2:$AQ$4001,1))</f>
        <v/>
      </c>
      <c r="Q155">
        <f>IF($AA155="","",Settings!$C$7)</f>
        <v/>
      </c>
      <c r="R155" s="7">
        <f>IF($AA155="","",SUMIFS('Per Line'!$Y$2:$Y$4001,'Per Line'!$E$2:$E$4001,$B155,'Per Line'!$AP$2:$AP$4001,0,'Per Line'!$AQ$2:$AQ$4001,0))</f>
        <v/>
      </c>
      <c r="S155" s="7">
        <f>IF($AA155="","",R155*Q155)</f>
        <v/>
      </c>
      <c r="T155">
        <f>IF($AA155="","",Settings!$C$6)</f>
        <v/>
      </c>
      <c r="U155" s="7">
        <f>IF($AA155="","",SUMIFS('Per Line'!$Y$2:$Y$4001,'Per Line'!$E$2:$E$4001,$B155,'Per Line'!$AP$2:$AP$4001,1,'Per Line'!$AQ$2:$AQ$4001,0))</f>
        <v/>
      </c>
      <c r="V155" s="7">
        <f>IF($AA155="","",U155*T155)</f>
        <v/>
      </c>
      <c r="W155" s="7">
        <f>IF($AA155="","",V155+S155)</f>
        <v/>
      </c>
      <c r="X155" s="7">
        <f>IF($AA155="","",Y155-W155)</f>
        <v/>
      </c>
      <c r="Y155" s="7">
        <f>IF($AA155="","",R155+U155+P155)</f>
        <v/>
      </c>
      <c r="Z155" s="7">
        <f>IF($AA155="","",Y155-W155-L155)</f>
        <v/>
      </c>
      <c r="AA155" s="13">
        <f>IF(ROWS($AA$2:$AA155)&lt;=MAX('Per Line'!$AO$2:$AO$4001),MATCH(ROWS($AA$2:$AA155),'Per Line'!$AO$2:$AO$4001,0),"")</f>
        <v/>
      </c>
      <c r="AB155" s="14">
        <f>IF($AA155="","",L155-K155*Y155/100)</f>
        <v/>
      </c>
    </row>
    <row r="156">
      <c r="A156" s="12" t="n"/>
      <c r="B156">
        <f>IF($AA156="","",INDEX('Per Line'!$E$2:$E$4001,$AA156)&amp;"")</f>
        <v/>
      </c>
      <c r="C156">
        <f>IF($AA156="","",INDEX('Per Line'!$A$2:$A$4001,$AA156)&amp;"")</f>
        <v/>
      </c>
      <c r="D156">
        <f>IF($AA156="","",INDEX('Per Line'!$D$2:$D$4001,$AA156)&amp;"")</f>
        <v/>
      </c>
      <c r="E156" s="11">
        <f>IF($AA156="","",INDEX('Per Line'!$G$2:$G$4001,$AA156))</f>
        <v/>
      </c>
      <c r="F156">
        <f>IF($AA156="","",INDEX('Per Line'!$H$2:$H$4001,$AA156)&amp;"")</f>
        <v/>
      </c>
      <c r="G156">
        <f>IF($AA156="","",INDEX('Per Line'!$I$2:$I$4001,$AA156)&amp;"")</f>
        <v/>
      </c>
      <c r="H156">
        <f>IF($AA156="","",INDEX('Per Line'!$J$2:$J$4001,$AA156)&amp;"")</f>
        <v/>
      </c>
      <c r="I156">
        <f>IF($AA156="","",INDEX('Per Line'!$K$2:$K$4001,$AA156)&amp;"")</f>
        <v/>
      </c>
      <c r="J156">
        <f>IF($AA156="","",INDEX('Per Line'!$L$2:$L$4001,$AA156)&amp;"")</f>
        <v/>
      </c>
      <c r="K156">
        <f>IF($AA156="","",INDEX('Per Line'!$P$2:$P$4001,$AA156))</f>
        <v/>
      </c>
      <c r="L156" s="7">
        <f>IF($AA156="","",IF(AND(ISNUMBER(N156),N156&gt;0,Y156&gt;N156),K156*N156/100+(Y156-N156),K156*Y156/100))</f>
        <v/>
      </c>
      <c r="M156">
        <f>IF($AA156="","",INDEX('Per Line'!$Z$2:$Z$4001,$AA156)&amp;"")</f>
        <v/>
      </c>
      <c r="N156">
        <f>IF($AA156="","",INDEX('Per Line'!$AG$2:$AG$4001,$AA156))</f>
        <v/>
      </c>
      <c r="O156">
        <f>IF($AA156="","",IF(AND(ISNUMBER(N156),N156&gt;0),Y156&gt;N156,FALSE))</f>
        <v/>
      </c>
      <c r="P156" s="7">
        <f>IF($AA156="","",SUMIFS('Per Line'!$Y$2:$Y$4001,'Per Line'!$E$2:$E$4001,$B156,'Per Line'!$AQ$2:$AQ$4001,1))</f>
        <v/>
      </c>
      <c r="Q156">
        <f>IF($AA156="","",Settings!$C$7)</f>
        <v/>
      </c>
      <c r="R156" s="7">
        <f>IF($AA156="","",SUMIFS('Per Line'!$Y$2:$Y$4001,'Per Line'!$E$2:$E$4001,$B156,'Per Line'!$AP$2:$AP$4001,0,'Per Line'!$AQ$2:$AQ$4001,0))</f>
        <v/>
      </c>
      <c r="S156" s="7">
        <f>IF($AA156="","",R156*Q156)</f>
        <v/>
      </c>
      <c r="T156">
        <f>IF($AA156="","",Settings!$C$6)</f>
        <v/>
      </c>
      <c r="U156" s="7">
        <f>IF($AA156="","",SUMIFS('Per Line'!$Y$2:$Y$4001,'Per Line'!$E$2:$E$4001,$B156,'Per Line'!$AP$2:$AP$4001,1,'Per Line'!$AQ$2:$AQ$4001,0))</f>
        <v/>
      </c>
      <c r="V156" s="7">
        <f>IF($AA156="","",U156*T156)</f>
        <v/>
      </c>
      <c r="W156" s="7">
        <f>IF($AA156="","",V156+S156)</f>
        <v/>
      </c>
      <c r="X156" s="7">
        <f>IF($AA156="","",Y156-W156)</f>
        <v/>
      </c>
      <c r="Y156" s="7">
        <f>IF($AA156="","",R156+U156+P156)</f>
        <v/>
      </c>
      <c r="Z156" s="7">
        <f>IF($AA156="","",Y156-W156-L156)</f>
        <v/>
      </c>
      <c r="AA156" s="13">
        <f>IF(ROWS($AA$2:$AA156)&lt;=MAX('Per Line'!$AO$2:$AO$4001),MATCH(ROWS($AA$2:$AA156),'Per Line'!$AO$2:$AO$4001,0),"")</f>
        <v/>
      </c>
      <c r="AB156" s="14">
        <f>IF($AA156="","",L156-K156*Y156/100)</f>
        <v/>
      </c>
    </row>
    <row r="157">
      <c r="A157" s="12" t="n"/>
      <c r="B157">
        <f>IF($AA157="","",INDEX('Per Line'!$E$2:$E$4001,$AA157)&amp;"")</f>
        <v/>
      </c>
      <c r="C157">
        <f>IF($AA157="","",INDEX('Per Line'!$A$2:$A$4001,$AA157)&amp;"")</f>
        <v/>
      </c>
      <c r="D157">
        <f>IF($AA157="","",INDEX('Per Line'!$D$2:$D$4001,$AA157)&amp;"")</f>
        <v/>
      </c>
      <c r="E157" s="11">
        <f>IF($AA157="","",INDEX('Per Line'!$G$2:$G$4001,$AA157))</f>
        <v/>
      </c>
      <c r="F157">
        <f>IF($AA157="","",INDEX('Per Line'!$H$2:$H$4001,$AA157)&amp;"")</f>
        <v/>
      </c>
      <c r="G157">
        <f>IF($AA157="","",INDEX('Per Line'!$I$2:$I$4001,$AA157)&amp;"")</f>
        <v/>
      </c>
      <c r="H157">
        <f>IF($AA157="","",INDEX('Per Line'!$J$2:$J$4001,$AA157)&amp;"")</f>
        <v/>
      </c>
      <c r="I157">
        <f>IF($AA157="","",INDEX('Per Line'!$K$2:$K$4001,$AA157)&amp;"")</f>
        <v/>
      </c>
      <c r="J157">
        <f>IF($AA157="","",INDEX('Per Line'!$L$2:$L$4001,$AA157)&amp;"")</f>
        <v/>
      </c>
      <c r="K157">
        <f>IF($AA157="","",INDEX('Per Line'!$P$2:$P$4001,$AA157))</f>
        <v/>
      </c>
      <c r="L157" s="7">
        <f>IF($AA157="","",IF(AND(ISNUMBER(N157),N157&gt;0,Y157&gt;N157),K157*N157/100+(Y157-N157),K157*Y157/100))</f>
        <v/>
      </c>
      <c r="M157">
        <f>IF($AA157="","",INDEX('Per Line'!$Z$2:$Z$4001,$AA157)&amp;"")</f>
        <v/>
      </c>
      <c r="N157">
        <f>IF($AA157="","",INDEX('Per Line'!$AG$2:$AG$4001,$AA157))</f>
        <v/>
      </c>
      <c r="O157">
        <f>IF($AA157="","",IF(AND(ISNUMBER(N157),N157&gt;0),Y157&gt;N157,FALSE))</f>
        <v/>
      </c>
      <c r="P157" s="7">
        <f>IF($AA157="","",SUMIFS('Per Line'!$Y$2:$Y$4001,'Per Line'!$E$2:$E$4001,$B157,'Per Line'!$AQ$2:$AQ$4001,1))</f>
        <v/>
      </c>
      <c r="Q157">
        <f>IF($AA157="","",Settings!$C$7)</f>
        <v/>
      </c>
      <c r="R157" s="7">
        <f>IF($AA157="","",SUMIFS('Per Line'!$Y$2:$Y$4001,'Per Line'!$E$2:$E$4001,$B157,'Per Line'!$AP$2:$AP$4001,0,'Per Line'!$AQ$2:$AQ$4001,0))</f>
        <v/>
      </c>
      <c r="S157" s="7">
        <f>IF($AA157="","",R157*Q157)</f>
        <v/>
      </c>
      <c r="T157">
        <f>IF($AA157="","",Settings!$C$6)</f>
        <v/>
      </c>
      <c r="U157" s="7">
        <f>IF($AA157="","",SUMIFS('Per Line'!$Y$2:$Y$4001,'Per Line'!$E$2:$E$4001,$B157,'Per Line'!$AP$2:$AP$4001,1,'Per Line'!$AQ$2:$AQ$4001,0))</f>
        <v/>
      </c>
      <c r="V157" s="7">
        <f>IF($AA157="","",U157*T157)</f>
        <v/>
      </c>
      <c r="W157" s="7">
        <f>IF($AA157="","",V157+S157)</f>
        <v/>
      </c>
      <c r="X157" s="7">
        <f>IF($AA157="","",Y157-W157)</f>
        <v/>
      </c>
      <c r="Y157" s="7">
        <f>IF($AA157="","",R157+U157+P157)</f>
        <v/>
      </c>
      <c r="Z157" s="7">
        <f>IF($AA157="","",Y157-W157-L157)</f>
        <v/>
      </c>
      <c r="AA157" s="13">
        <f>IF(ROWS($AA$2:$AA157)&lt;=MAX('Per Line'!$AO$2:$AO$4001),MATCH(ROWS($AA$2:$AA157),'Per Line'!$AO$2:$AO$4001,0),"")</f>
        <v/>
      </c>
      <c r="AB157" s="14">
        <f>IF($AA157="","",L157-K157*Y157/100)</f>
        <v/>
      </c>
    </row>
    <row r="158">
      <c r="A158" s="12" t="n"/>
      <c r="B158">
        <f>IF($AA158="","",INDEX('Per Line'!$E$2:$E$4001,$AA158)&amp;"")</f>
        <v/>
      </c>
      <c r="C158">
        <f>IF($AA158="","",INDEX('Per Line'!$A$2:$A$4001,$AA158)&amp;"")</f>
        <v/>
      </c>
      <c r="D158">
        <f>IF($AA158="","",INDEX('Per Line'!$D$2:$D$4001,$AA158)&amp;"")</f>
        <v/>
      </c>
      <c r="E158" s="11">
        <f>IF($AA158="","",INDEX('Per Line'!$G$2:$G$4001,$AA158))</f>
        <v/>
      </c>
      <c r="F158">
        <f>IF($AA158="","",INDEX('Per Line'!$H$2:$H$4001,$AA158)&amp;"")</f>
        <v/>
      </c>
      <c r="G158">
        <f>IF($AA158="","",INDEX('Per Line'!$I$2:$I$4001,$AA158)&amp;"")</f>
        <v/>
      </c>
      <c r="H158">
        <f>IF($AA158="","",INDEX('Per Line'!$J$2:$J$4001,$AA158)&amp;"")</f>
        <v/>
      </c>
      <c r="I158">
        <f>IF($AA158="","",INDEX('Per Line'!$K$2:$K$4001,$AA158)&amp;"")</f>
        <v/>
      </c>
      <c r="J158">
        <f>IF($AA158="","",INDEX('Per Line'!$L$2:$L$4001,$AA158)&amp;"")</f>
        <v/>
      </c>
      <c r="K158">
        <f>IF($AA158="","",INDEX('Per Line'!$P$2:$P$4001,$AA158))</f>
        <v/>
      </c>
      <c r="L158" s="7">
        <f>IF($AA158="","",IF(AND(ISNUMBER(N158),N158&gt;0,Y158&gt;N158),K158*N158/100+(Y158-N158),K158*Y158/100))</f>
        <v/>
      </c>
      <c r="M158">
        <f>IF($AA158="","",INDEX('Per Line'!$Z$2:$Z$4001,$AA158)&amp;"")</f>
        <v/>
      </c>
      <c r="N158">
        <f>IF($AA158="","",INDEX('Per Line'!$AG$2:$AG$4001,$AA158))</f>
        <v/>
      </c>
      <c r="O158">
        <f>IF($AA158="","",IF(AND(ISNUMBER(N158),N158&gt;0),Y158&gt;N158,FALSE))</f>
        <v/>
      </c>
      <c r="P158" s="7">
        <f>IF($AA158="","",SUMIFS('Per Line'!$Y$2:$Y$4001,'Per Line'!$E$2:$E$4001,$B158,'Per Line'!$AQ$2:$AQ$4001,1))</f>
        <v/>
      </c>
      <c r="Q158">
        <f>IF($AA158="","",Settings!$C$7)</f>
        <v/>
      </c>
      <c r="R158" s="7">
        <f>IF($AA158="","",SUMIFS('Per Line'!$Y$2:$Y$4001,'Per Line'!$E$2:$E$4001,$B158,'Per Line'!$AP$2:$AP$4001,0,'Per Line'!$AQ$2:$AQ$4001,0))</f>
        <v/>
      </c>
      <c r="S158" s="7">
        <f>IF($AA158="","",R158*Q158)</f>
        <v/>
      </c>
      <c r="T158">
        <f>IF($AA158="","",Settings!$C$6)</f>
        <v/>
      </c>
      <c r="U158" s="7">
        <f>IF($AA158="","",SUMIFS('Per Line'!$Y$2:$Y$4001,'Per Line'!$E$2:$E$4001,$B158,'Per Line'!$AP$2:$AP$4001,1,'Per Line'!$AQ$2:$AQ$4001,0))</f>
        <v/>
      </c>
      <c r="V158" s="7">
        <f>IF($AA158="","",U158*T158)</f>
        <v/>
      </c>
      <c r="W158" s="7">
        <f>IF($AA158="","",V158+S158)</f>
        <v/>
      </c>
      <c r="X158" s="7">
        <f>IF($AA158="","",Y158-W158)</f>
        <v/>
      </c>
      <c r="Y158" s="7">
        <f>IF($AA158="","",R158+U158+P158)</f>
        <v/>
      </c>
      <c r="Z158" s="7">
        <f>IF($AA158="","",Y158-W158-L158)</f>
        <v/>
      </c>
      <c r="AA158" s="13">
        <f>IF(ROWS($AA$2:$AA158)&lt;=MAX('Per Line'!$AO$2:$AO$4001),MATCH(ROWS($AA$2:$AA158),'Per Line'!$AO$2:$AO$4001,0),"")</f>
        <v/>
      </c>
      <c r="AB158" s="14">
        <f>IF($AA158="","",L158-K158*Y158/100)</f>
        <v/>
      </c>
    </row>
    <row r="159">
      <c r="A159" s="12" t="n"/>
      <c r="B159">
        <f>IF($AA159="","",INDEX('Per Line'!$E$2:$E$4001,$AA159)&amp;"")</f>
        <v/>
      </c>
      <c r="C159">
        <f>IF($AA159="","",INDEX('Per Line'!$A$2:$A$4001,$AA159)&amp;"")</f>
        <v/>
      </c>
      <c r="D159">
        <f>IF($AA159="","",INDEX('Per Line'!$D$2:$D$4001,$AA159)&amp;"")</f>
        <v/>
      </c>
      <c r="E159" s="11">
        <f>IF($AA159="","",INDEX('Per Line'!$G$2:$G$4001,$AA159))</f>
        <v/>
      </c>
      <c r="F159">
        <f>IF($AA159="","",INDEX('Per Line'!$H$2:$H$4001,$AA159)&amp;"")</f>
        <v/>
      </c>
      <c r="G159">
        <f>IF($AA159="","",INDEX('Per Line'!$I$2:$I$4001,$AA159)&amp;"")</f>
        <v/>
      </c>
      <c r="H159">
        <f>IF($AA159="","",INDEX('Per Line'!$J$2:$J$4001,$AA159)&amp;"")</f>
        <v/>
      </c>
      <c r="I159">
        <f>IF($AA159="","",INDEX('Per Line'!$K$2:$K$4001,$AA159)&amp;"")</f>
        <v/>
      </c>
      <c r="J159">
        <f>IF($AA159="","",INDEX('Per Line'!$L$2:$L$4001,$AA159)&amp;"")</f>
        <v/>
      </c>
      <c r="K159">
        <f>IF($AA159="","",INDEX('Per Line'!$P$2:$P$4001,$AA159))</f>
        <v/>
      </c>
      <c r="L159" s="7">
        <f>IF($AA159="","",IF(AND(ISNUMBER(N159),N159&gt;0,Y159&gt;N159),K159*N159/100+(Y159-N159),K159*Y159/100))</f>
        <v/>
      </c>
      <c r="M159">
        <f>IF($AA159="","",INDEX('Per Line'!$Z$2:$Z$4001,$AA159)&amp;"")</f>
        <v/>
      </c>
      <c r="N159">
        <f>IF($AA159="","",INDEX('Per Line'!$AG$2:$AG$4001,$AA159))</f>
        <v/>
      </c>
      <c r="O159">
        <f>IF($AA159="","",IF(AND(ISNUMBER(N159),N159&gt;0),Y159&gt;N159,FALSE))</f>
        <v/>
      </c>
      <c r="P159" s="7">
        <f>IF($AA159="","",SUMIFS('Per Line'!$Y$2:$Y$4001,'Per Line'!$E$2:$E$4001,$B159,'Per Line'!$AQ$2:$AQ$4001,1))</f>
        <v/>
      </c>
      <c r="Q159">
        <f>IF($AA159="","",Settings!$C$7)</f>
        <v/>
      </c>
      <c r="R159" s="7">
        <f>IF($AA159="","",SUMIFS('Per Line'!$Y$2:$Y$4001,'Per Line'!$E$2:$E$4001,$B159,'Per Line'!$AP$2:$AP$4001,0,'Per Line'!$AQ$2:$AQ$4001,0))</f>
        <v/>
      </c>
      <c r="S159" s="7">
        <f>IF($AA159="","",R159*Q159)</f>
        <v/>
      </c>
      <c r="T159">
        <f>IF($AA159="","",Settings!$C$6)</f>
        <v/>
      </c>
      <c r="U159" s="7">
        <f>IF($AA159="","",SUMIFS('Per Line'!$Y$2:$Y$4001,'Per Line'!$E$2:$E$4001,$B159,'Per Line'!$AP$2:$AP$4001,1,'Per Line'!$AQ$2:$AQ$4001,0))</f>
        <v/>
      </c>
      <c r="V159" s="7">
        <f>IF($AA159="","",U159*T159)</f>
        <v/>
      </c>
      <c r="W159" s="7">
        <f>IF($AA159="","",V159+S159)</f>
        <v/>
      </c>
      <c r="X159" s="7">
        <f>IF($AA159="","",Y159-W159)</f>
        <v/>
      </c>
      <c r="Y159" s="7">
        <f>IF($AA159="","",R159+U159+P159)</f>
        <v/>
      </c>
      <c r="Z159" s="7">
        <f>IF($AA159="","",Y159-W159-L159)</f>
        <v/>
      </c>
      <c r="AA159" s="13">
        <f>IF(ROWS($AA$2:$AA159)&lt;=MAX('Per Line'!$AO$2:$AO$4001),MATCH(ROWS($AA$2:$AA159),'Per Line'!$AO$2:$AO$4001,0),"")</f>
        <v/>
      </c>
      <c r="AB159" s="14">
        <f>IF($AA159="","",L159-K159*Y159/100)</f>
        <v/>
      </c>
    </row>
    <row r="160">
      <c r="A160" s="12" t="n"/>
      <c r="B160">
        <f>IF($AA160="","",INDEX('Per Line'!$E$2:$E$4001,$AA160)&amp;"")</f>
        <v/>
      </c>
      <c r="C160">
        <f>IF($AA160="","",INDEX('Per Line'!$A$2:$A$4001,$AA160)&amp;"")</f>
        <v/>
      </c>
      <c r="D160">
        <f>IF($AA160="","",INDEX('Per Line'!$D$2:$D$4001,$AA160)&amp;"")</f>
        <v/>
      </c>
      <c r="E160" s="11">
        <f>IF($AA160="","",INDEX('Per Line'!$G$2:$G$4001,$AA160))</f>
        <v/>
      </c>
      <c r="F160">
        <f>IF($AA160="","",INDEX('Per Line'!$H$2:$H$4001,$AA160)&amp;"")</f>
        <v/>
      </c>
      <c r="G160">
        <f>IF($AA160="","",INDEX('Per Line'!$I$2:$I$4001,$AA160)&amp;"")</f>
        <v/>
      </c>
      <c r="H160">
        <f>IF($AA160="","",INDEX('Per Line'!$J$2:$J$4001,$AA160)&amp;"")</f>
        <v/>
      </c>
      <c r="I160">
        <f>IF($AA160="","",INDEX('Per Line'!$K$2:$K$4001,$AA160)&amp;"")</f>
        <v/>
      </c>
      <c r="J160">
        <f>IF($AA160="","",INDEX('Per Line'!$L$2:$L$4001,$AA160)&amp;"")</f>
        <v/>
      </c>
      <c r="K160">
        <f>IF($AA160="","",INDEX('Per Line'!$P$2:$P$4001,$AA160))</f>
        <v/>
      </c>
      <c r="L160" s="7">
        <f>IF($AA160="","",IF(AND(ISNUMBER(N160),N160&gt;0,Y160&gt;N160),K160*N160/100+(Y160-N160),K160*Y160/100))</f>
        <v/>
      </c>
      <c r="M160">
        <f>IF($AA160="","",INDEX('Per Line'!$Z$2:$Z$4001,$AA160)&amp;"")</f>
        <v/>
      </c>
      <c r="N160">
        <f>IF($AA160="","",INDEX('Per Line'!$AG$2:$AG$4001,$AA160))</f>
        <v/>
      </c>
      <c r="O160">
        <f>IF($AA160="","",IF(AND(ISNUMBER(N160),N160&gt;0),Y160&gt;N160,FALSE))</f>
        <v/>
      </c>
      <c r="P160" s="7">
        <f>IF($AA160="","",SUMIFS('Per Line'!$Y$2:$Y$4001,'Per Line'!$E$2:$E$4001,$B160,'Per Line'!$AQ$2:$AQ$4001,1))</f>
        <v/>
      </c>
      <c r="Q160">
        <f>IF($AA160="","",Settings!$C$7)</f>
        <v/>
      </c>
      <c r="R160" s="7">
        <f>IF($AA160="","",SUMIFS('Per Line'!$Y$2:$Y$4001,'Per Line'!$E$2:$E$4001,$B160,'Per Line'!$AP$2:$AP$4001,0,'Per Line'!$AQ$2:$AQ$4001,0))</f>
        <v/>
      </c>
      <c r="S160" s="7">
        <f>IF($AA160="","",R160*Q160)</f>
        <v/>
      </c>
      <c r="T160">
        <f>IF($AA160="","",Settings!$C$6)</f>
        <v/>
      </c>
      <c r="U160" s="7">
        <f>IF($AA160="","",SUMIFS('Per Line'!$Y$2:$Y$4001,'Per Line'!$E$2:$E$4001,$B160,'Per Line'!$AP$2:$AP$4001,1,'Per Line'!$AQ$2:$AQ$4001,0))</f>
        <v/>
      </c>
      <c r="V160" s="7">
        <f>IF($AA160="","",U160*T160)</f>
        <v/>
      </c>
      <c r="W160" s="7">
        <f>IF($AA160="","",V160+S160)</f>
        <v/>
      </c>
      <c r="X160" s="7">
        <f>IF($AA160="","",Y160-W160)</f>
        <v/>
      </c>
      <c r="Y160" s="7">
        <f>IF($AA160="","",R160+U160+P160)</f>
        <v/>
      </c>
      <c r="Z160" s="7">
        <f>IF($AA160="","",Y160-W160-L160)</f>
        <v/>
      </c>
      <c r="AA160" s="13">
        <f>IF(ROWS($AA$2:$AA160)&lt;=MAX('Per Line'!$AO$2:$AO$4001),MATCH(ROWS($AA$2:$AA160),'Per Line'!$AO$2:$AO$4001,0),"")</f>
        <v/>
      </c>
      <c r="AB160" s="14">
        <f>IF($AA160="","",L160-K160*Y160/100)</f>
        <v/>
      </c>
    </row>
    <row r="161">
      <c r="A161" s="12" t="n"/>
      <c r="B161">
        <f>IF($AA161="","",INDEX('Per Line'!$E$2:$E$4001,$AA161)&amp;"")</f>
        <v/>
      </c>
      <c r="C161">
        <f>IF($AA161="","",INDEX('Per Line'!$A$2:$A$4001,$AA161)&amp;"")</f>
        <v/>
      </c>
      <c r="D161">
        <f>IF($AA161="","",INDEX('Per Line'!$D$2:$D$4001,$AA161)&amp;"")</f>
        <v/>
      </c>
      <c r="E161" s="11">
        <f>IF($AA161="","",INDEX('Per Line'!$G$2:$G$4001,$AA161))</f>
        <v/>
      </c>
      <c r="F161">
        <f>IF($AA161="","",INDEX('Per Line'!$H$2:$H$4001,$AA161)&amp;"")</f>
        <v/>
      </c>
      <c r="G161">
        <f>IF($AA161="","",INDEX('Per Line'!$I$2:$I$4001,$AA161)&amp;"")</f>
        <v/>
      </c>
      <c r="H161">
        <f>IF($AA161="","",INDEX('Per Line'!$J$2:$J$4001,$AA161)&amp;"")</f>
        <v/>
      </c>
      <c r="I161">
        <f>IF($AA161="","",INDEX('Per Line'!$K$2:$K$4001,$AA161)&amp;"")</f>
        <v/>
      </c>
      <c r="J161">
        <f>IF($AA161="","",INDEX('Per Line'!$L$2:$L$4001,$AA161)&amp;"")</f>
        <v/>
      </c>
      <c r="K161">
        <f>IF($AA161="","",INDEX('Per Line'!$P$2:$P$4001,$AA161))</f>
        <v/>
      </c>
      <c r="L161" s="7">
        <f>IF($AA161="","",IF(AND(ISNUMBER(N161),N161&gt;0,Y161&gt;N161),K161*N161/100+(Y161-N161),K161*Y161/100))</f>
        <v/>
      </c>
      <c r="M161">
        <f>IF($AA161="","",INDEX('Per Line'!$Z$2:$Z$4001,$AA161)&amp;"")</f>
        <v/>
      </c>
      <c r="N161">
        <f>IF($AA161="","",INDEX('Per Line'!$AG$2:$AG$4001,$AA161))</f>
        <v/>
      </c>
      <c r="O161">
        <f>IF($AA161="","",IF(AND(ISNUMBER(N161),N161&gt;0),Y161&gt;N161,FALSE))</f>
        <v/>
      </c>
      <c r="P161" s="7">
        <f>IF($AA161="","",SUMIFS('Per Line'!$Y$2:$Y$4001,'Per Line'!$E$2:$E$4001,$B161,'Per Line'!$AQ$2:$AQ$4001,1))</f>
        <v/>
      </c>
      <c r="Q161">
        <f>IF($AA161="","",Settings!$C$7)</f>
        <v/>
      </c>
      <c r="R161" s="7">
        <f>IF($AA161="","",SUMIFS('Per Line'!$Y$2:$Y$4001,'Per Line'!$E$2:$E$4001,$B161,'Per Line'!$AP$2:$AP$4001,0,'Per Line'!$AQ$2:$AQ$4001,0))</f>
        <v/>
      </c>
      <c r="S161" s="7">
        <f>IF($AA161="","",R161*Q161)</f>
        <v/>
      </c>
      <c r="T161">
        <f>IF($AA161="","",Settings!$C$6)</f>
        <v/>
      </c>
      <c r="U161" s="7">
        <f>IF($AA161="","",SUMIFS('Per Line'!$Y$2:$Y$4001,'Per Line'!$E$2:$E$4001,$B161,'Per Line'!$AP$2:$AP$4001,1,'Per Line'!$AQ$2:$AQ$4001,0))</f>
        <v/>
      </c>
      <c r="V161" s="7">
        <f>IF($AA161="","",U161*T161)</f>
        <v/>
      </c>
      <c r="W161" s="7">
        <f>IF($AA161="","",V161+S161)</f>
        <v/>
      </c>
      <c r="X161" s="7">
        <f>IF($AA161="","",Y161-W161)</f>
        <v/>
      </c>
      <c r="Y161" s="7">
        <f>IF($AA161="","",R161+U161+P161)</f>
        <v/>
      </c>
      <c r="Z161" s="7">
        <f>IF($AA161="","",Y161-W161-L161)</f>
        <v/>
      </c>
      <c r="AA161" s="13">
        <f>IF(ROWS($AA$2:$AA161)&lt;=MAX('Per Line'!$AO$2:$AO$4001),MATCH(ROWS($AA$2:$AA161),'Per Line'!$AO$2:$AO$4001,0),"")</f>
        <v/>
      </c>
      <c r="AB161" s="14">
        <f>IF($AA161="","",L161-K161*Y161/100)</f>
        <v/>
      </c>
    </row>
    <row r="162">
      <c r="A162" s="12" t="n"/>
      <c r="B162">
        <f>IF($AA162="","",INDEX('Per Line'!$E$2:$E$4001,$AA162)&amp;"")</f>
        <v/>
      </c>
      <c r="C162">
        <f>IF($AA162="","",INDEX('Per Line'!$A$2:$A$4001,$AA162)&amp;"")</f>
        <v/>
      </c>
      <c r="D162">
        <f>IF($AA162="","",INDEX('Per Line'!$D$2:$D$4001,$AA162)&amp;"")</f>
        <v/>
      </c>
      <c r="E162" s="11">
        <f>IF($AA162="","",INDEX('Per Line'!$G$2:$G$4001,$AA162))</f>
        <v/>
      </c>
      <c r="F162">
        <f>IF($AA162="","",INDEX('Per Line'!$H$2:$H$4001,$AA162)&amp;"")</f>
        <v/>
      </c>
      <c r="G162">
        <f>IF($AA162="","",INDEX('Per Line'!$I$2:$I$4001,$AA162)&amp;"")</f>
        <v/>
      </c>
      <c r="H162">
        <f>IF($AA162="","",INDEX('Per Line'!$J$2:$J$4001,$AA162)&amp;"")</f>
        <v/>
      </c>
      <c r="I162">
        <f>IF($AA162="","",INDEX('Per Line'!$K$2:$K$4001,$AA162)&amp;"")</f>
        <v/>
      </c>
      <c r="J162">
        <f>IF($AA162="","",INDEX('Per Line'!$L$2:$L$4001,$AA162)&amp;"")</f>
        <v/>
      </c>
      <c r="K162">
        <f>IF($AA162="","",INDEX('Per Line'!$P$2:$P$4001,$AA162))</f>
        <v/>
      </c>
      <c r="L162" s="7">
        <f>IF($AA162="","",IF(AND(ISNUMBER(N162),N162&gt;0,Y162&gt;N162),K162*N162/100+(Y162-N162),K162*Y162/100))</f>
        <v/>
      </c>
      <c r="M162">
        <f>IF($AA162="","",INDEX('Per Line'!$Z$2:$Z$4001,$AA162)&amp;"")</f>
        <v/>
      </c>
      <c r="N162">
        <f>IF($AA162="","",INDEX('Per Line'!$AG$2:$AG$4001,$AA162))</f>
        <v/>
      </c>
      <c r="O162">
        <f>IF($AA162="","",IF(AND(ISNUMBER(N162),N162&gt;0),Y162&gt;N162,FALSE))</f>
        <v/>
      </c>
      <c r="P162" s="7">
        <f>IF($AA162="","",SUMIFS('Per Line'!$Y$2:$Y$4001,'Per Line'!$E$2:$E$4001,$B162,'Per Line'!$AQ$2:$AQ$4001,1))</f>
        <v/>
      </c>
      <c r="Q162">
        <f>IF($AA162="","",Settings!$C$7)</f>
        <v/>
      </c>
      <c r="R162" s="7">
        <f>IF($AA162="","",SUMIFS('Per Line'!$Y$2:$Y$4001,'Per Line'!$E$2:$E$4001,$B162,'Per Line'!$AP$2:$AP$4001,0,'Per Line'!$AQ$2:$AQ$4001,0))</f>
        <v/>
      </c>
      <c r="S162" s="7">
        <f>IF($AA162="","",R162*Q162)</f>
        <v/>
      </c>
      <c r="T162">
        <f>IF($AA162="","",Settings!$C$6)</f>
        <v/>
      </c>
      <c r="U162" s="7">
        <f>IF($AA162="","",SUMIFS('Per Line'!$Y$2:$Y$4001,'Per Line'!$E$2:$E$4001,$B162,'Per Line'!$AP$2:$AP$4001,1,'Per Line'!$AQ$2:$AQ$4001,0))</f>
        <v/>
      </c>
      <c r="V162" s="7">
        <f>IF($AA162="","",U162*T162)</f>
        <v/>
      </c>
      <c r="W162" s="7">
        <f>IF($AA162="","",V162+S162)</f>
        <v/>
      </c>
      <c r="X162" s="7">
        <f>IF($AA162="","",Y162-W162)</f>
        <v/>
      </c>
      <c r="Y162" s="7">
        <f>IF($AA162="","",R162+U162+P162)</f>
        <v/>
      </c>
      <c r="Z162" s="7">
        <f>IF($AA162="","",Y162-W162-L162)</f>
        <v/>
      </c>
      <c r="AA162" s="13">
        <f>IF(ROWS($AA$2:$AA162)&lt;=MAX('Per Line'!$AO$2:$AO$4001),MATCH(ROWS($AA$2:$AA162),'Per Line'!$AO$2:$AO$4001,0),"")</f>
        <v/>
      </c>
      <c r="AB162" s="14">
        <f>IF($AA162="","",L162-K162*Y162/100)</f>
        <v/>
      </c>
    </row>
    <row r="163">
      <c r="A163" s="12" t="n"/>
      <c r="B163">
        <f>IF($AA163="","",INDEX('Per Line'!$E$2:$E$4001,$AA163)&amp;"")</f>
        <v/>
      </c>
      <c r="C163">
        <f>IF($AA163="","",INDEX('Per Line'!$A$2:$A$4001,$AA163)&amp;"")</f>
        <v/>
      </c>
      <c r="D163">
        <f>IF($AA163="","",INDEX('Per Line'!$D$2:$D$4001,$AA163)&amp;"")</f>
        <v/>
      </c>
      <c r="E163" s="11">
        <f>IF($AA163="","",INDEX('Per Line'!$G$2:$G$4001,$AA163))</f>
        <v/>
      </c>
      <c r="F163">
        <f>IF($AA163="","",INDEX('Per Line'!$H$2:$H$4001,$AA163)&amp;"")</f>
        <v/>
      </c>
      <c r="G163">
        <f>IF($AA163="","",INDEX('Per Line'!$I$2:$I$4001,$AA163)&amp;"")</f>
        <v/>
      </c>
      <c r="H163">
        <f>IF($AA163="","",INDEX('Per Line'!$J$2:$J$4001,$AA163)&amp;"")</f>
        <v/>
      </c>
      <c r="I163">
        <f>IF($AA163="","",INDEX('Per Line'!$K$2:$K$4001,$AA163)&amp;"")</f>
        <v/>
      </c>
      <c r="J163">
        <f>IF($AA163="","",INDEX('Per Line'!$L$2:$L$4001,$AA163)&amp;"")</f>
        <v/>
      </c>
      <c r="K163">
        <f>IF($AA163="","",INDEX('Per Line'!$P$2:$P$4001,$AA163))</f>
        <v/>
      </c>
      <c r="L163" s="7">
        <f>IF($AA163="","",IF(AND(ISNUMBER(N163),N163&gt;0,Y163&gt;N163),K163*N163/100+(Y163-N163),K163*Y163/100))</f>
        <v/>
      </c>
      <c r="M163">
        <f>IF($AA163="","",INDEX('Per Line'!$Z$2:$Z$4001,$AA163)&amp;"")</f>
        <v/>
      </c>
      <c r="N163">
        <f>IF($AA163="","",INDEX('Per Line'!$AG$2:$AG$4001,$AA163))</f>
        <v/>
      </c>
      <c r="O163">
        <f>IF($AA163="","",IF(AND(ISNUMBER(N163),N163&gt;0),Y163&gt;N163,FALSE))</f>
        <v/>
      </c>
      <c r="P163" s="7">
        <f>IF($AA163="","",SUMIFS('Per Line'!$Y$2:$Y$4001,'Per Line'!$E$2:$E$4001,$B163,'Per Line'!$AQ$2:$AQ$4001,1))</f>
        <v/>
      </c>
      <c r="Q163">
        <f>IF($AA163="","",Settings!$C$7)</f>
        <v/>
      </c>
      <c r="R163" s="7">
        <f>IF($AA163="","",SUMIFS('Per Line'!$Y$2:$Y$4001,'Per Line'!$E$2:$E$4001,$B163,'Per Line'!$AP$2:$AP$4001,0,'Per Line'!$AQ$2:$AQ$4001,0))</f>
        <v/>
      </c>
      <c r="S163" s="7">
        <f>IF($AA163="","",R163*Q163)</f>
        <v/>
      </c>
      <c r="T163">
        <f>IF($AA163="","",Settings!$C$6)</f>
        <v/>
      </c>
      <c r="U163" s="7">
        <f>IF($AA163="","",SUMIFS('Per Line'!$Y$2:$Y$4001,'Per Line'!$E$2:$E$4001,$B163,'Per Line'!$AP$2:$AP$4001,1,'Per Line'!$AQ$2:$AQ$4001,0))</f>
        <v/>
      </c>
      <c r="V163" s="7">
        <f>IF($AA163="","",U163*T163)</f>
        <v/>
      </c>
      <c r="W163" s="7">
        <f>IF($AA163="","",V163+S163)</f>
        <v/>
      </c>
      <c r="X163" s="7">
        <f>IF($AA163="","",Y163-W163)</f>
        <v/>
      </c>
      <c r="Y163" s="7">
        <f>IF($AA163="","",R163+U163+P163)</f>
        <v/>
      </c>
      <c r="Z163" s="7">
        <f>IF($AA163="","",Y163-W163-L163)</f>
        <v/>
      </c>
      <c r="AA163" s="13">
        <f>IF(ROWS($AA$2:$AA163)&lt;=MAX('Per Line'!$AO$2:$AO$4001),MATCH(ROWS($AA$2:$AA163),'Per Line'!$AO$2:$AO$4001,0),"")</f>
        <v/>
      </c>
      <c r="AB163" s="14">
        <f>IF($AA163="","",L163-K163*Y163/100)</f>
        <v/>
      </c>
    </row>
    <row r="164">
      <c r="A164" s="12" t="n"/>
      <c r="B164">
        <f>IF($AA164="","",INDEX('Per Line'!$E$2:$E$4001,$AA164)&amp;"")</f>
        <v/>
      </c>
      <c r="C164">
        <f>IF($AA164="","",INDEX('Per Line'!$A$2:$A$4001,$AA164)&amp;"")</f>
        <v/>
      </c>
      <c r="D164">
        <f>IF($AA164="","",INDEX('Per Line'!$D$2:$D$4001,$AA164)&amp;"")</f>
        <v/>
      </c>
      <c r="E164" s="11">
        <f>IF($AA164="","",INDEX('Per Line'!$G$2:$G$4001,$AA164))</f>
        <v/>
      </c>
      <c r="F164">
        <f>IF($AA164="","",INDEX('Per Line'!$H$2:$H$4001,$AA164)&amp;"")</f>
        <v/>
      </c>
      <c r="G164">
        <f>IF($AA164="","",INDEX('Per Line'!$I$2:$I$4001,$AA164)&amp;"")</f>
        <v/>
      </c>
      <c r="H164">
        <f>IF($AA164="","",INDEX('Per Line'!$J$2:$J$4001,$AA164)&amp;"")</f>
        <v/>
      </c>
      <c r="I164">
        <f>IF($AA164="","",INDEX('Per Line'!$K$2:$K$4001,$AA164)&amp;"")</f>
        <v/>
      </c>
      <c r="J164">
        <f>IF($AA164="","",INDEX('Per Line'!$L$2:$L$4001,$AA164)&amp;"")</f>
        <v/>
      </c>
      <c r="K164">
        <f>IF($AA164="","",INDEX('Per Line'!$P$2:$P$4001,$AA164))</f>
        <v/>
      </c>
      <c r="L164" s="7">
        <f>IF($AA164="","",IF(AND(ISNUMBER(N164),N164&gt;0,Y164&gt;N164),K164*N164/100+(Y164-N164),K164*Y164/100))</f>
        <v/>
      </c>
      <c r="M164">
        <f>IF($AA164="","",INDEX('Per Line'!$Z$2:$Z$4001,$AA164)&amp;"")</f>
        <v/>
      </c>
      <c r="N164">
        <f>IF($AA164="","",INDEX('Per Line'!$AG$2:$AG$4001,$AA164))</f>
        <v/>
      </c>
      <c r="O164">
        <f>IF($AA164="","",IF(AND(ISNUMBER(N164),N164&gt;0),Y164&gt;N164,FALSE))</f>
        <v/>
      </c>
      <c r="P164" s="7">
        <f>IF($AA164="","",SUMIFS('Per Line'!$Y$2:$Y$4001,'Per Line'!$E$2:$E$4001,$B164,'Per Line'!$AQ$2:$AQ$4001,1))</f>
        <v/>
      </c>
      <c r="Q164">
        <f>IF($AA164="","",Settings!$C$7)</f>
        <v/>
      </c>
      <c r="R164" s="7">
        <f>IF($AA164="","",SUMIFS('Per Line'!$Y$2:$Y$4001,'Per Line'!$E$2:$E$4001,$B164,'Per Line'!$AP$2:$AP$4001,0,'Per Line'!$AQ$2:$AQ$4001,0))</f>
        <v/>
      </c>
      <c r="S164" s="7">
        <f>IF($AA164="","",R164*Q164)</f>
        <v/>
      </c>
      <c r="T164">
        <f>IF($AA164="","",Settings!$C$6)</f>
        <v/>
      </c>
      <c r="U164" s="7">
        <f>IF($AA164="","",SUMIFS('Per Line'!$Y$2:$Y$4001,'Per Line'!$E$2:$E$4001,$B164,'Per Line'!$AP$2:$AP$4001,1,'Per Line'!$AQ$2:$AQ$4001,0))</f>
        <v/>
      </c>
      <c r="V164" s="7">
        <f>IF($AA164="","",U164*T164)</f>
        <v/>
      </c>
      <c r="W164" s="7">
        <f>IF($AA164="","",V164+S164)</f>
        <v/>
      </c>
      <c r="X164" s="7">
        <f>IF($AA164="","",Y164-W164)</f>
        <v/>
      </c>
      <c r="Y164" s="7">
        <f>IF($AA164="","",R164+U164+P164)</f>
        <v/>
      </c>
      <c r="Z164" s="7">
        <f>IF($AA164="","",Y164-W164-L164)</f>
        <v/>
      </c>
      <c r="AA164" s="13">
        <f>IF(ROWS($AA$2:$AA164)&lt;=MAX('Per Line'!$AO$2:$AO$4001),MATCH(ROWS($AA$2:$AA164),'Per Line'!$AO$2:$AO$4001,0),"")</f>
        <v/>
      </c>
      <c r="AB164" s="14">
        <f>IF($AA164="","",L164-K164*Y164/100)</f>
        <v/>
      </c>
    </row>
    <row r="165">
      <c r="A165" s="12" t="n"/>
      <c r="B165">
        <f>IF($AA165="","",INDEX('Per Line'!$E$2:$E$4001,$AA165)&amp;"")</f>
        <v/>
      </c>
      <c r="C165">
        <f>IF($AA165="","",INDEX('Per Line'!$A$2:$A$4001,$AA165)&amp;"")</f>
        <v/>
      </c>
      <c r="D165">
        <f>IF($AA165="","",INDEX('Per Line'!$D$2:$D$4001,$AA165)&amp;"")</f>
        <v/>
      </c>
      <c r="E165" s="11">
        <f>IF($AA165="","",INDEX('Per Line'!$G$2:$G$4001,$AA165))</f>
        <v/>
      </c>
      <c r="F165">
        <f>IF($AA165="","",INDEX('Per Line'!$H$2:$H$4001,$AA165)&amp;"")</f>
        <v/>
      </c>
      <c r="G165">
        <f>IF($AA165="","",INDEX('Per Line'!$I$2:$I$4001,$AA165)&amp;"")</f>
        <v/>
      </c>
      <c r="H165">
        <f>IF($AA165="","",INDEX('Per Line'!$J$2:$J$4001,$AA165)&amp;"")</f>
        <v/>
      </c>
      <c r="I165">
        <f>IF($AA165="","",INDEX('Per Line'!$K$2:$K$4001,$AA165)&amp;"")</f>
        <v/>
      </c>
      <c r="J165">
        <f>IF($AA165="","",INDEX('Per Line'!$L$2:$L$4001,$AA165)&amp;"")</f>
        <v/>
      </c>
      <c r="K165">
        <f>IF($AA165="","",INDEX('Per Line'!$P$2:$P$4001,$AA165))</f>
        <v/>
      </c>
      <c r="L165" s="7">
        <f>IF($AA165="","",IF(AND(ISNUMBER(N165),N165&gt;0,Y165&gt;N165),K165*N165/100+(Y165-N165),K165*Y165/100))</f>
        <v/>
      </c>
      <c r="M165">
        <f>IF($AA165="","",INDEX('Per Line'!$Z$2:$Z$4001,$AA165)&amp;"")</f>
        <v/>
      </c>
      <c r="N165">
        <f>IF($AA165="","",INDEX('Per Line'!$AG$2:$AG$4001,$AA165))</f>
        <v/>
      </c>
      <c r="O165">
        <f>IF($AA165="","",IF(AND(ISNUMBER(N165),N165&gt;0),Y165&gt;N165,FALSE))</f>
        <v/>
      </c>
      <c r="P165" s="7">
        <f>IF($AA165="","",SUMIFS('Per Line'!$Y$2:$Y$4001,'Per Line'!$E$2:$E$4001,$B165,'Per Line'!$AQ$2:$AQ$4001,1))</f>
        <v/>
      </c>
      <c r="Q165">
        <f>IF($AA165="","",Settings!$C$7)</f>
        <v/>
      </c>
      <c r="R165" s="7">
        <f>IF($AA165="","",SUMIFS('Per Line'!$Y$2:$Y$4001,'Per Line'!$E$2:$E$4001,$B165,'Per Line'!$AP$2:$AP$4001,0,'Per Line'!$AQ$2:$AQ$4001,0))</f>
        <v/>
      </c>
      <c r="S165" s="7">
        <f>IF($AA165="","",R165*Q165)</f>
        <v/>
      </c>
      <c r="T165">
        <f>IF($AA165="","",Settings!$C$6)</f>
        <v/>
      </c>
      <c r="U165" s="7">
        <f>IF($AA165="","",SUMIFS('Per Line'!$Y$2:$Y$4001,'Per Line'!$E$2:$E$4001,$B165,'Per Line'!$AP$2:$AP$4001,1,'Per Line'!$AQ$2:$AQ$4001,0))</f>
        <v/>
      </c>
      <c r="V165" s="7">
        <f>IF($AA165="","",U165*T165)</f>
        <v/>
      </c>
      <c r="W165" s="7">
        <f>IF($AA165="","",V165+S165)</f>
        <v/>
      </c>
      <c r="X165" s="7">
        <f>IF($AA165="","",Y165-W165)</f>
        <v/>
      </c>
      <c r="Y165" s="7">
        <f>IF($AA165="","",R165+U165+P165)</f>
        <v/>
      </c>
      <c r="Z165" s="7">
        <f>IF($AA165="","",Y165-W165-L165)</f>
        <v/>
      </c>
      <c r="AA165" s="13">
        <f>IF(ROWS($AA$2:$AA165)&lt;=MAX('Per Line'!$AO$2:$AO$4001),MATCH(ROWS($AA$2:$AA165),'Per Line'!$AO$2:$AO$4001,0),"")</f>
        <v/>
      </c>
      <c r="AB165" s="14">
        <f>IF($AA165="","",L165-K165*Y165/100)</f>
        <v/>
      </c>
    </row>
    <row r="166">
      <c r="A166" s="12" t="n"/>
      <c r="B166">
        <f>IF($AA166="","",INDEX('Per Line'!$E$2:$E$4001,$AA166)&amp;"")</f>
        <v/>
      </c>
      <c r="C166">
        <f>IF($AA166="","",INDEX('Per Line'!$A$2:$A$4001,$AA166)&amp;"")</f>
        <v/>
      </c>
      <c r="D166">
        <f>IF($AA166="","",INDEX('Per Line'!$D$2:$D$4001,$AA166)&amp;"")</f>
        <v/>
      </c>
      <c r="E166" s="11">
        <f>IF($AA166="","",INDEX('Per Line'!$G$2:$G$4001,$AA166))</f>
        <v/>
      </c>
      <c r="F166">
        <f>IF($AA166="","",INDEX('Per Line'!$H$2:$H$4001,$AA166)&amp;"")</f>
        <v/>
      </c>
      <c r="G166">
        <f>IF($AA166="","",INDEX('Per Line'!$I$2:$I$4001,$AA166)&amp;"")</f>
        <v/>
      </c>
      <c r="H166">
        <f>IF($AA166="","",INDEX('Per Line'!$J$2:$J$4001,$AA166)&amp;"")</f>
        <v/>
      </c>
      <c r="I166">
        <f>IF($AA166="","",INDEX('Per Line'!$K$2:$K$4001,$AA166)&amp;"")</f>
        <v/>
      </c>
      <c r="J166">
        <f>IF($AA166="","",INDEX('Per Line'!$L$2:$L$4001,$AA166)&amp;"")</f>
        <v/>
      </c>
      <c r="K166">
        <f>IF($AA166="","",INDEX('Per Line'!$P$2:$P$4001,$AA166))</f>
        <v/>
      </c>
      <c r="L166" s="7">
        <f>IF($AA166="","",IF(AND(ISNUMBER(N166),N166&gt;0,Y166&gt;N166),K166*N166/100+(Y166-N166),K166*Y166/100))</f>
        <v/>
      </c>
      <c r="M166">
        <f>IF($AA166="","",INDEX('Per Line'!$Z$2:$Z$4001,$AA166)&amp;"")</f>
        <v/>
      </c>
      <c r="N166">
        <f>IF($AA166="","",INDEX('Per Line'!$AG$2:$AG$4001,$AA166))</f>
        <v/>
      </c>
      <c r="O166">
        <f>IF($AA166="","",IF(AND(ISNUMBER(N166),N166&gt;0),Y166&gt;N166,FALSE))</f>
        <v/>
      </c>
      <c r="P166" s="7">
        <f>IF($AA166="","",SUMIFS('Per Line'!$Y$2:$Y$4001,'Per Line'!$E$2:$E$4001,$B166,'Per Line'!$AQ$2:$AQ$4001,1))</f>
        <v/>
      </c>
      <c r="Q166">
        <f>IF($AA166="","",Settings!$C$7)</f>
        <v/>
      </c>
      <c r="R166" s="7">
        <f>IF($AA166="","",SUMIFS('Per Line'!$Y$2:$Y$4001,'Per Line'!$E$2:$E$4001,$B166,'Per Line'!$AP$2:$AP$4001,0,'Per Line'!$AQ$2:$AQ$4001,0))</f>
        <v/>
      </c>
      <c r="S166" s="7">
        <f>IF($AA166="","",R166*Q166)</f>
        <v/>
      </c>
      <c r="T166">
        <f>IF($AA166="","",Settings!$C$6)</f>
        <v/>
      </c>
      <c r="U166" s="7">
        <f>IF($AA166="","",SUMIFS('Per Line'!$Y$2:$Y$4001,'Per Line'!$E$2:$E$4001,$B166,'Per Line'!$AP$2:$AP$4001,1,'Per Line'!$AQ$2:$AQ$4001,0))</f>
        <v/>
      </c>
      <c r="V166" s="7">
        <f>IF($AA166="","",U166*T166)</f>
        <v/>
      </c>
      <c r="W166" s="7">
        <f>IF($AA166="","",V166+S166)</f>
        <v/>
      </c>
      <c r="X166" s="7">
        <f>IF($AA166="","",Y166-W166)</f>
        <v/>
      </c>
      <c r="Y166" s="7">
        <f>IF($AA166="","",R166+U166+P166)</f>
        <v/>
      </c>
      <c r="Z166" s="7">
        <f>IF($AA166="","",Y166-W166-L166)</f>
        <v/>
      </c>
      <c r="AA166" s="13">
        <f>IF(ROWS($AA$2:$AA166)&lt;=MAX('Per Line'!$AO$2:$AO$4001),MATCH(ROWS($AA$2:$AA166),'Per Line'!$AO$2:$AO$4001,0),"")</f>
        <v/>
      </c>
      <c r="AB166" s="14">
        <f>IF($AA166="","",L166-K166*Y166/100)</f>
        <v/>
      </c>
    </row>
    <row r="167">
      <c r="A167" s="12" t="n"/>
      <c r="B167">
        <f>IF($AA167="","",INDEX('Per Line'!$E$2:$E$4001,$AA167)&amp;"")</f>
        <v/>
      </c>
      <c r="C167">
        <f>IF($AA167="","",INDEX('Per Line'!$A$2:$A$4001,$AA167)&amp;"")</f>
        <v/>
      </c>
      <c r="D167">
        <f>IF($AA167="","",INDEX('Per Line'!$D$2:$D$4001,$AA167)&amp;"")</f>
        <v/>
      </c>
      <c r="E167" s="11">
        <f>IF($AA167="","",INDEX('Per Line'!$G$2:$G$4001,$AA167))</f>
        <v/>
      </c>
      <c r="F167">
        <f>IF($AA167="","",INDEX('Per Line'!$H$2:$H$4001,$AA167)&amp;"")</f>
        <v/>
      </c>
      <c r="G167">
        <f>IF($AA167="","",INDEX('Per Line'!$I$2:$I$4001,$AA167)&amp;"")</f>
        <v/>
      </c>
      <c r="H167">
        <f>IF($AA167="","",INDEX('Per Line'!$J$2:$J$4001,$AA167)&amp;"")</f>
        <v/>
      </c>
      <c r="I167">
        <f>IF($AA167="","",INDEX('Per Line'!$K$2:$K$4001,$AA167)&amp;"")</f>
        <v/>
      </c>
      <c r="J167">
        <f>IF($AA167="","",INDEX('Per Line'!$L$2:$L$4001,$AA167)&amp;"")</f>
        <v/>
      </c>
      <c r="K167">
        <f>IF($AA167="","",INDEX('Per Line'!$P$2:$P$4001,$AA167))</f>
        <v/>
      </c>
      <c r="L167" s="7">
        <f>IF($AA167="","",IF(AND(ISNUMBER(N167),N167&gt;0,Y167&gt;N167),K167*N167/100+(Y167-N167),K167*Y167/100))</f>
        <v/>
      </c>
      <c r="M167">
        <f>IF($AA167="","",INDEX('Per Line'!$Z$2:$Z$4001,$AA167)&amp;"")</f>
        <v/>
      </c>
      <c r="N167">
        <f>IF($AA167="","",INDEX('Per Line'!$AG$2:$AG$4001,$AA167))</f>
        <v/>
      </c>
      <c r="O167">
        <f>IF($AA167="","",IF(AND(ISNUMBER(N167),N167&gt;0),Y167&gt;N167,FALSE))</f>
        <v/>
      </c>
      <c r="P167" s="7">
        <f>IF($AA167="","",SUMIFS('Per Line'!$Y$2:$Y$4001,'Per Line'!$E$2:$E$4001,$B167,'Per Line'!$AQ$2:$AQ$4001,1))</f>
        <v/>
      </c>
      <c r="Q167">
        <f>IF($AA167="","",Settings!$C$7)</f>
        <v/>
      </c>
      <c r="R167" s="7">
        <f>IF($AA167="","",SUMIFS('Per Line'!$Y$2:$Y$4001,'Per Line'!$E$2:$E$4001,$B167,'Per Line'!$AP$2:$AP$4001,0,'Per Line'!$AQ$2:$AQ$4001,0))</f>
        <v/>
      </c>
      <c r="S167" s="7">
        <f>IF($AA167="","",R167*Q167)</f>
        <v/>
      </c>
      <c r="T167">
        <f>IF($AA167="","",Settings!$C$6)</f>
        <v/>
      </c>
      <c r="U167" s="7">
        <f>IF($AA167="","",SUMIFS('Per Line'!$Y$2:$Y$4001,'Per Line'!$E$2:$E$4001,$B167,'Per Line'!$AP$2:$AP$4001,1,'Per Line'!$AQ$2:$AQ$4001,0))</f>
        <v/>
      </c>
      <c r="V167" s="7">
        <f>IF($AA167="","",U167*T167)</f>
        <v/>
      </c>
      <c r="W167" s="7">
        <f>IF($AA167="","",V167+S167)</f>
        <v/>
      </c>
      <c r="X167" s="7">
        <f>IF($AA167="","",Y167-W167)</f>
        <v/>
      </c>
      <c r="Y167" s="7">
        <f>IF($AA167="","",R167+U167+P167)</f>
        <v/>
      </c>
      <c r="Z167" s="7">
        <f>IF($AA167="","",Y167-W167-L167)</f>
        <v/>
      </c>
      <c r="AA167" s="13">
        <f>IF(ROWS($AA$2:$AA167)&lt;=MAX('Per Line'!$AO$2:$AO$4001),MATCH(ROWS($AA$2:$AA167),'Per Line'!$AO$2:$AO$4001,0),"")</f>
        <v/>
      </c>
      <c r="AB167" s="14">
        <f>IF($AA167="","",L167-K167*Y167/100)</f>
        <v/>
      </c>
    </row>
    <row r="168">
      <c r="A168" s="12" t="n"/>
      <c r="B168">
        <f>IF($AA168="","",INDEX('Per Line'!$E$2:$E$4001,$AA168)&amp;"")</f>
        <v/>
      </c>
      <c r="C168">
        <f>IF($AA168="","",INDEX('Per Line'!$A$2:$A$4001,$AA168)&amp;"")</f>
        <v/>
      </c>
      <c r="D168">
        <f>IF($AA168="","",INDEX('Per Line'!$D$2:$D$4001,$AA168)&amp;"")</f>
        <v/>
      </c>
      <c r="E168" s="11">
        <f>IF($AA168="","",INDEX('Per Line'!$G$2:$G$4001,$AA168))</f>
        <v/>
      </c>
      <c r="F168">
        <f>IF($AA168="","",INDEX('Per Line'!$H$2:$H$4001,$AA168)&amp;"")</f>
        <v/>
      </c>
      <c r="G168">
        <f>IF($AA168="","",INDEX('Per Line'!$I$2:$I$4001,$AA168)&amp;"")</f>
        <v/>
      </c>
      <c r="H168">
        <f>IF($AA168="","",INDEX('Per Line'!$J$2:$J$4001,$AA168)&amp;"")</f>
        <v/>
      </c>
      <c r="I168">
        <f>IF($AA168="","",INDEX('Per Line'!$K$2:$K$4001,$AA168)&amp;"")</f>
        <v/>
      </c>
      <c r="J168">
        <f>IF($AA168="","",INDEX('Per Line'!$L$2:$L$4001,$AA168)&amp;"")</f>
        <v/>
      </c>
      <c r="K168">
        <f>IF($AA168="","",INDEX('Per Line'!$P$2:$P$4001,$AA168))</f>
        <v/>
      </c>
      <c r="L168" s="7">
        <f>IF($AA168="","",IF(AND(ISNUMBER(N168),N168&gt;0,Y168&gt;N168),K168*N168/100+(Y168-N168),K168*Y168/100))</f>
        <v/>
      </c>
      <c r="M168">
        <f>IF($AA168="","",INDEX('Per Line'!$Z$2:$Z$4001,$AA168)&amp;"")</f>
        <v/>
      </c>
      <c r="N168">
        <f>IF($AA168="","",INDEX('Per Line'!$AG$2:$AG$4001,$AA168))</f>
        <v/>
      </c>
      <c r="O168">
        <f>IF($AA168="","",IF(AND(ISNUMBER(N168),N168&gt;0),Y168&gt;N168,FALSE))</f>
        <v/>
      </c>
      <c r="P168" s="7">
        <f>IF($AA168="","",SUMIFS('Per Line'!$Y$2:$Y$4001,'Per Line'!$E$2:$E$4001,$B168,'Per Line'!$AQ$2:$AQ$4001,1))</f>
        <v/>
      </c>
      <c r="Q168">
        <f>IF($AA168="","",Settings!$C$7)</f>
        <v/>
      </c>
      <c r="R168" s="7">
        <f>IF($AA168="","",SUMIFS('Per Line'!$Y$2:$Y$4001,'Per Line'!$E$2:$E$4001,$B168,'Per Line'!$AP$2:$AP$4001,0,'Per Line'!$AQ$2:$AQ$4001,0))</f>
        <v/>
      </c>
      <c r="S168" s="7">
        <f>IF($AA168="","",R168*Q168)</f>
        <v/>
      </c>
      <c r="T168">
        <f>IF($AA168="","",Settings!$C$6)</f>
        <v/>
      </c>
      <c r="U168" s="7">
        <f>IF($AA168="","",SUMIFS('Per Line'!$Y$2:$Y$4001,'Per Line'!$E$2:$E$4001,$B168,'Per Line'!$AP$2:$AP$4001,1,'Per Line'!$AQ$2:$AQ$4001,0))</f>
        <v/>
      </c>
      <c r="V168" s="7">
        <f>IF($AA168="","",U168*T168)</f>
        <v/>
      </c>
      <c r="W168" s="7">
        <f>IF($AA168="","",V168+S168)</f>
        <v/>
      </c>
      <c r="X168" s="7">
        <f>IF($AA168="","",Y168-W168)</f>
        <v/>
      </c>
      <c r="Y168" s="7">
        <f>IF($AA168="","",R168+U168+P168)</f>
        <v/>
      </c>
      <c r="Z168" s="7">
        <f>IF($AA168="","",Y168-W168-L168)</f>
        <v/>
      </c>
      <c r="AA168" s="13">
        <f>IF(ROWS($AA$2:$AA168)&lt;=MAX('Per Line'!$AO$2:$AO$4001),MATCH(ROWS($AA$2:$AA168),'Per Line'!$AO$2:$AO$4001,0),"")</f>
        <v/>
      </c>
      <c r="AB168" s="14">
        <f>IF($AA168="","",L168-K168*Y168/100)</f>
        <v/>
      </c>
    </row>
    <row r="169">
      <c r="A169" s="12" t="n"/>
      <c r="B169">
        <f>IF($AA169="","",INDEX('Per Line'!$E$2:$E$4001,$AA169)&amp;"")</f>
        <v/>
      </c>
      <c r="C169">
        <f>IF($AA169="","",INDEX('Per Line'!$A$2:$A$4001,$AA169)&amp;"")</f>
        <v/>
      </c>
      <c r="D169">
        <f>IF($AA169="","",INDEX('Per Line'!$D$2:$D$4001,$AA169)&amp;"")</f>
        <v/>
      </c>
      <c r="E169" s="11">
        <f>IF($AA169="","",INDEX('Per Line'!$G$2:$G$4001,$AA169))</f>
        <v/>
      </c>
      <c r="F169">
        <f>IF($AA169="","",INDEX('Per Line'!$H$2:$H$4001,$AA169)&amp;"")</f>
        <v/>
      </c>
      <c r="G169">
        <f>IF($AA169="","",INDEX('Per Line'!$I$2:$I$4001,$AA169)&amp;"")</f>
        <v/>
      </c>
      <c r="H169">
        <f>IF($AA169="","",INDEX('Per Line'!$J$2:$J$4001,$AA169)&amp;"")</f>
        <v/>
      </c>
      <c r="I169">
        <f>IF($AA169="","",INDEX('Per Line'!$K$2:$K$4001,$AA169)&amp;"")</f>
        <v/>
      </c>
      <c r="J169">
        <f>IF($AA169="","",INDEX('Per Line'!$L$2:$L$4001,$AA169)&amp;"")</f>
        <v/>
      </c>
      <c r="K169">
        <f>IF($AA169="","",INDEX('Per Line'!$P$2:$P$4001,$AA169))</f>
        <v/>
      </c>
      <c r="L169" s="7">
        <f>IF($AA169="","",IF(AND(ISNUMBER(N169),N169&gt;0,Y169&gt;N169),K169*N169/100+(Y169-N169),K169*Y169/100))</f>
        <v/>
      </c>
      <c r="M169">
        <f>IF($AA169="","",INDEX('Per Line'!$Z$2:$Z$4001,$AA169)&amp;"")</f>
        <v/>
      </c>
      <c r="N169">
        <f>IF($AA169="","",INDEX('Per Line'!$AG$2:$AG$4001,$AA169))</f>
        <v/>
      </c>
      <c r="O169">
        <f>IF($AA169="","",IF(AND(ISNUMBER(N169),N169&gt;0),Y169&gt;N169,FALSE))</f>
        <v/>
      </c>
      <c r="P169" s="7">
        <f>IF($AA169="","",SUMIFS('Per Line'!$Y$2:$Y$4001,'Per Line'!$E$2:$E$4001,$B169,'Per Line'!$AQ$2:$AQ$4001,1))</f>
        <v/>
      </c>
      <c r="Q169">
        <f>IF($AA169="","",Settings!$C$7)</f>
        <v/>
      </c>
      <c r="R169" s="7">
        <f>IF($AA169="","",SUMIFS('Per Line'!$Y$2:$Y$4001,'Per Line'!$E$2:$E$4001,$B169,'Per Line'!$AP$2:$AP$4001,0,'Per Line'!$AQ$2:$AQ$4001,0))</f>
        <v/>
      </c>
      <c r="S169" s="7">
        <f>IF($AA169="","",R169*Q169)</f>
        <v/>
      </c>
      <c r="T169">
        <f>IF($AA169="","",Settings!$C$6)</f>
        <v/>
      </c>
      <c r="U169" s="7">
        <f>IF($AA169="","",SUMIFS('Per Line'!$Y$2:$Y$4001,'Per Line'!$E$2:$E$4001,$B169,'Per Line'!$AP$2:$AP$4001,1,'Per Line'!$AQ$2:$AQ$4001,0))</f>
        <v/>
      </c>
      <c r="V169" s="7">
        <f>IF($AA169="","",U169*T169)</f>
        <v/>
      </c>
      <c r="W169" s="7">
        <f>IF($AA169="","",V169+S169)</f>
        <v/>
      </c>
      <c r="X169" s="7">
        <f>IF($AA169="","",Y169-W169)</f>
        <v/>
      </c>
      <c r="Y169" s="7">
        <f>IF($AA169="","",R169+U169+P169)</f>
        <v/>
      </c>
      <c r="Z169" s="7">
        <f>IF($AA169="","",Y169-W169-L169)</f>
        <v/>
      </c>
      <c r="AA169" s="13">
        <f>IF(ROWS($AA$2:$AA169)&lt;=MAX('Per Line'!$AO$2:$AO$4001),MATCH(ROWS($AA$2:$AA169),'Per Line'!$AO$2:$AO$4001,0),"")</f>
        <v/>
      </c>
      <c r="AB169" s="14">
        <f>IF($AA169="","",L169-K169*Y169/100)</f>
        <v/>
      </c>
    </row>
    <row r="170">
      <c r="A170" s="12" t="n"/>
      <c r="B170">
        <f>IF($AA170="","",INDEX('Per Line'!$E$2:$E$4001,$AA170)&amp;"")</f>
        <v/>
      </c>
      <c r="C170">
        <f>IF($AA170="","",INDEX('Per Line'!$A$2:$A$4001,$AA170)&amp;"")</f>
        <v/>
      </c>
      <c r="D170">
        <f>IF($AA170="","",INDEX('Per Line'!$D$2:$D$4001,$AA170)&amp;"")</f>
        <v/>
      </c>
      <c r="E170" s="11">
        <f>IF($AA170="","",INDEX('Per Line'!$G$2:$G$4001,$AA170))</f>
        <v/>
      </c>
      <c r="F170">
        <f>IF($AA170="","",INDEX('Per Line'!$H$2:$H$4001,$AA170)&amp;"")</f>
        <v/>
      </c>
      <c r="G170">
        <f>IF($AA170="","",INDEX('Per Line'!$I$2:$I$4001,$AA170)&amp;"")</f>
        <v/>
      </c>
      <c r="H170">
        <f>IF($AA170="","",INDEX('Per Line'!$J$2:$J$4001,$AA170)&amp;"")</f>
        <v/>
      </c>
      <c r="I170">
        <f>IF($AA170="","",INDEX('Per Line'!$K$2:$K$4001,$AA170)&amp;"")</f>
        <v/>
      </c>
      <c r="J170">
        <f>IF($AA170="","",INDEX('Per Line'!$L$2:$L$4001,$AA170)&amp;"")</f>
        <v/>
      </c>
      <c r="K170">
        <f>IF($AA170="","",INDEX('Per Line'!$P$2:$P$4001,$AA170))</f>
        <v/>
      </c>
      <c r="L170" s="7">
        <f>IF($AA170="","",IF(AND(ISNUMBER(N170),N170&gt;0,Y170&gt;N170),K170*N170/100+(Y170-N170),K170*Y170/100))</f>
        <v/>
      </c>
      <c r="M170">
        <f>IF($AA170="","",INDEX('Per Line'!$Z$2:$Z$4001,$AA170)&amp;"")</f>
        <v/>
      </c>
      <c r="N170">
        <f>IF($AA170="","",INDEX('Per Line'!$AG$2:$AG$4001,$AA170))</f>
        <v/>
      </c>
      <c r="O170">
        <f>IF($AA170="","",IF(AND(ISNUMBER(N170),N170&gt;0),Y170&gt;N170,FALSE))</f>
        <v/>
      </c>
      <c r="P170" s="7">
        <f>IF($AA170="","",SUMIFS('Per Line'!$Y$2:$Y$4001,'Per Line'!$E$2:$E$4001,$B170,'Per Line'!$AQ$2:$AQ$4001,1))</f>
        <v/>
      </c>
      <c r="Q170">
        <f>IF($AA170="","",Settings!$C$7)</f>
        <v/>
      </c>
      <c r="R170" s="7">
        <f>IF($AA170="","",SUMIFS('Per Line'!$Y$2:$Y$4001,'Per Line'!$E$2:$E$4001,$B170,'Per Line'!$AP$2:$AP$4001,0,'Per Line'!$AQ$2:$AQ$4001,0))</f>
        <v/>
      </c>
      <c r="S170" s="7">
        <f>IF($AA170="","",R170*Q170)</f>
        <v/>
      </c>
      <c r="T170">
        <f>IF($AA170="","",Settings!$C$6)</f>
        <v/>
      </c>
      <c r="U170" s="7">
        <f>IF($AA170="","",SUMIFS('Per Line'!$Y$2:$Y$4001,'Per Line'!$E$2:$E$4001,$B170,'Per Line'!$AP$2:$AP$4001,1,'Per Line'!$AQ$2:$AQ$4001,0))</f>
        <v/>
      </c>
      <c r="V170" s="7">
        <f>IF($AA170="","",U170*T170)</f>
        <v/>
      </c>
      <c r="W170" s="7">
        <f>IF($AA170="","",V170+S170)</f>
        <v/>
      </c>
      <c r="X170" s="7">
        <f>IF($AA170="","",Y170-W170)</f>
        <v/>
      </c>
      <c r="Y170" s="7">
        <f>IF($AA170="","",R170+U170+P170)</f>
        <v/>
      </c>
      <c r="Z170" s="7">
        <f>IF($AA170="","",Y170-W170-L170)</f>
        <v/>
      </c>
      <c r="AA170" s="13">
        <f>IF(ROWS($AA$2:$AA170)&lt;=MAX('Per Line'!$AO$2:$AO$4001),MATCH(ROWS($AA$2:$AA170),'Per Line'!$AO$2:$AO$4001,0),"")</f>
        <v/>
      </c>
      <c r="AB170" s="14">
        <f>IF($AA170="","",L170-K170*Y170/100)</f>
        <v/>
      </c>
    </row>
    <row r="171">
      <c r="A171" s="12" t="n"/>
      <c r="B171">
        <f>IF($AA171="","",INDEX('Per Line'!$E$2:$E$4001,$AA171)&amp;"")</f>
        <v/>
      </c>
      <c r="C171">
        <f>IF($AA171="","",INDEX('Per Line'!$A$2:$A$4001,$AA171)&amp;"")</f>
        <v/>
      </c>
      <c r="D171">
        <f>IF($AA171="","",INDEX('Per Line'!$D$2:$D$4001,$AA171)&amp;"")</f>
        <v/>
      </c>
      <c r="E171" s="11">
        <f>IF($AA171="","",INDEX('Per Line'!$G$2:$G$4001,$AA171))</f>
        <v/>
      </c>
      <c r="F171">
        <f>IF($AA171="","",INDEX('Per Line'!$H$2:$H$4001,$AA171)&amp;"")</f>
        <v/>
      </c>
      <c r="G171">
        <f>IF($AA171="","",INDEX('Per Line'!$I$2:$I$4001,$AA171)&amp;"")</f>
        <v/>
      </c>
      <c r="H171">
        <f>IF($AA171="","",INDEX('Per Line'!$J$2:$J$4001,$AA171)&amp;"")</f>
        <v/>
      </c>
      <c r="I171">
        <f>IF($AA171="","",INDEX('Per Line'!$K$2:$K$4001,$AA171)&amp;"")</f>
        <v/>
      </c>
      <c r="J171">
        <f>IF($AA171="","",INDEX('Per Line'!$L$2:$L$4001,$AA171)&amp;"")</f>
        <v/>
      </c>
      <c r="K171">
        <f>IF($AA171="","",INDEX('Per Line'!$P$2:$P$4001,$AA171))</f>
        <v/>
      </c>
      <c r="L171" s="7">
        <f>IF($AA171="","",IF(AND(ISNUMBER(N171),N171&gt;0,Y171&gt;N171),K171*N171/100+(Y171-N171),K171*Y171/100))</f>
        <v/>
      </c>
      <c r="M171">
        <f>IF($AA171="","",INDEX('Per Line'!$Z$2:$Z$4001,$AA171)&amp;"")</f>
        <v/>
      </c>
      <c r="N171">
        <f>IF($AA171="","",INDEX('Per Line'!$AG$2:$AG$4001,$AA171))</f>
        <v/>
      </c>
      <c r="O171">
        <f>IF($AA171="","",IF(AND(ISNUMBER(N171),N171&gt;0),Y171&gt;N171,FALSE))</f>
        <v/>
      </c>
      <c r="P171" s="7">
        <f>IF($AA171="","",SUMIFS('Per Line'!$Y$2:$Y$4001,'Per Line'!$E$2:$E$4001,$B171,'Per Line'!$AQ$2:$AQ$4001,1))</f>
        <v/>
      </c>
      <c r="Q171">
        <f>IF($AA171="","",Settings!$C$7)</f>
        <v/>
      </c>
      <c r="R171" s="7">
        <f>IF($AA171="","",SUMIFS('Per Line'!$Y$2:$Y$4001,'Per Line'!$E$2:$E$4001,$B171,'Per Line'!$AP$2:$AP$4001,0,'Per Line'!$AQ$2:$AQ$4001,0))</f>
        <v/>
      </c>
      <c r="S171" s="7">
        <f>IF($AA171="","",R171*Q171)</f>
        <v/>
      </c>
      <c r="T171">
        <f>IF($AA171="","",Settings!$C$6)</f>
        <v/>
      </c>
      <c r="U171" s="7">
        <f>IF($AA171="","",SUMIFS('Per Line'!$Y$2:$Y$4001,'Per Line'!$E$2:$E$4001,$B171,'Per Line'!$AP$2:$AP$4001,1,'Per Line'!$AQ$2:$AQ$4001,0))</f>
        <v/>
      </c>
      <c r="V171" s="7">
        <f>IF($AA171="","",U171*T171)</f>
        <v/>
      </c>
      <c r="W171" s="7">
        <f>IF($AA171="","",V171+S171)</f>
        <v/>
      </c>
      <c r="X171" s="7">
        <f>IF($AA171="","",Y171-W171)</f>
        <v/>
      </c>
      <c r="Y171" s="7">
        <f>IF($AA171="","",R171+U171+P171)</f>
        <v/>
      </c>
      <c r="Z171" s="7">
        <f>IF($AA171="","",Y171-W171-L171)</f>
        <v/>
      </c>
      <c r="AA171" s="13">
        <f>IF(ROWS($AA$2:$AA171)&lt;=MAX('Per Line'!$AO$2:$AO$4001),MATCH(ROWS($AA$2:$AA171),'Per Line'!$AO$2:$AO$4001,0),"")</f>
        <v/>
      </c>
      <c r="AB171" s="14">
        <f>IF($AA171="","",L171-K171*Y171/100)</f>
        <v/>
      </c>
    </row>
    <row r="172">
      <c r="A172" s="12" t="n"/>
      <c r="B172">
        <f>IF($AA172="","",INDEX('Per Line'!$E$2:$E$4001,$AA172)&amp;"")</f>
        <v/>
      </c>
      <c r="C172">
        <f>IF($AA172="","",INDEX('Per Line'!$A$2:$A$4001,$AA172)&amp;"")</f>
        <v/>
      </c>
      <c r="D172">
        <f>IF($AA172="","",INDEX('Per Line'!$D$2:$D$4001,$AA172)&amp;"")</f>
        <v/>
      </c>
      <c r="E172" s="11">
        <f>IF($AA172="","",INDEX('Per Line'!$G$2:$G$4001,$AA172))</f>
        <v/>
      </c>
      <c r="F172">
        <f>IF($AA172="","",INDEX('Per Line'!$H$2:$H$4001,$AA172)&amp;"")</f>
        <v/>
      </c>
      <c r="G172">
        <f>IF($AA172="","",INDEX('Per Line'!$I$2:$I$4001,$AA172)&amp;"")</f>
        <v/>
      </c>
      <c r="H172">
        <f>IF($AA172="","",INDEX('Per Line'!$J$2:$J$4001,$AA172)&amp;"")</f>
        <v/>
      </c>
      <c r="I172">
        <f>IF($AA172="","",INDEX('Per Line'!$K$2:$K$4001,$AA172)&amp;"")</f>
        <v/>
      </c>
      <c r="J172">
        <f>IF($AA172="","",INDEX('Per Line'!$L$2:$L$4001,$AA172)&amp;"")</f>
        <v/>
      </c>
      <c r="K172">
        <f>IF($AA172="","",INDEX('Per Line'!$P$2:$P$4001,$AA172))</f>
        <v/>
      </c>
      <c r="L172" s="7">
        <f>IF($AA172="","",IF(AND(ISNUMBER(N172),N172&gt;0,Y172&gt;N172),K172*N172/100+(Y172-N172),K172*Y172/100))</f>
        <v/>
      </c>
      <c r="M172">
        <f>IF($AA172="","",INDEX('Per Line'!$Z$2:$Z$4001,$AA172)&amp;"")</f>
        <v/>
      </c>
      <c r="N172">
        <f>IF($AA172="","",INDEX('Per Line'!$AG$2:$AG$4001,$AA172))</f>
        <v/>
      </c>
      <c r="O172">
        <f>IF($AA172="","",IF(AND(ISNUMBER(N172),N172&gt;0),Y172&gt;N172,FALSE))</f>
        <v/>
      </c>
      <c r="P172" s="7">
        <f>IF($AA172="","",SUMIFS('Per Line'!$Y$2:$Y$4001,'Per Line'!$E$2:$E$4001,$B172,'Per Line'!$AQ$2:$AQ$4001,1))</f>
        <v/>
      </c>
      <c r="Q172">
        <f>IF($AA172="","",Settings!$C$7)</f>
        <v/>
      </c>
      <c r="R172" s="7">
        <f>IF($AA172="","",SUMIFS('Per Line'!$Y$2:$Y$4001,'Per Line'!$E$2:$E$4001,$B172,'Per Line'!$AP$2:$AP$4001,0,'Per Line'!$AQ$2:$AQ$4001,0))</f>
        <v/>
      </c>
      <c r="S172" s="7">
        <f>IF($AA172="","",R172*Q172)</f>
        <v/>
      </c>
      <c r="T172">
        <f>IF($AA172="","",Settings!$C$6)</f>
        <v/>
      </c>
      <c r="U172" s="7">
        <f>IF($AA172="","",SUMIFS('Per Line'!$Y$2:$Y$4001,'Per Line'!$E$2:$E$4001,$B172,'Per Line'!$AP$2:$AP$4001,1,'Per Line'!$AQ$2:$AQ$4001,0))</f>
        <v/>
      </c>
      <c r="V172" s="7">
        <f>IF($AA172="","",U172*T172)</f>
        <v/>
      </c>
      <c r="W172" s="7">
        <f>IF($AA172="","",V172+S172)</f>
        <v/>
      </c>
      <c r="X172" s="7">
        <f>IF($AA172="","",Y172-W172)</f>
        <v/>
      </c>
      <c r="Y172" s="7">
        <f>IF($AA172="","",R172+U172+P172)</f>
        <v/>
      </c>
      <c r="Z172" s="7">
        <f>IF($AA172="","",Y172-W172-L172)</f>
        <v/>
      </c>
      <c r="AA172" s="13">
        <f>IF(ROWS($AA$2:$AA172)&lt;=MAX('Per Line'!$AO$2:$AO$4001),MATCH(ROWS($AA$2:$AA172),'Per Line'!$AO$2:$AO$4001,0),"")</f>
        <v/>
      </c>
      <c r="AB172" s="14">
        <f>IF($AA172="","",L172-K172*Y172/100)</f>
        <v/>
      </c>
    </row>
    <row r="173">
      <c r="A173" s="12" t="n"/>
      <c r="B173">
        <f>IF($AA173="","",INDEX('Per Line'!$E$2:$E$4001,$AA173)&amp;"")</f>
        <v/>
      </c>
      <c r="C173">
        <f>IF($AA173="","",INDEX('Per Line'!$A$2:$A$4001,$AA173)&amp;"")</f>
        <v/>
      </c>
      <c r="D173">
        <f>IF($AA173="","",INDEX('Per Line'!$D$2:$D$4001,$AA173)&amp;"")</f>
        <v/>
      </c>
      <c r="E173" s="11">
        <f>IF($AA173="","",INDEX('Per Line'!$G$2:$G$4001,$AA173))</f>
        <v/>
      </c>
      <c r="F173">
        <f>IF($AA173="","",INDEX('Per Line'!$H$2:$H$4001,$AA173)&amp;"")</f>
        <v/>
      </c>
      <c r="G173">
        <f>IF($AA173="","",INDEX('Per Line'!$I$2:$I$4001,$AA173)&amp;"")</f>
        <v/>
      </c>
      <c r="H173">
        <f>IF($AA173="","",INDEX('Per Line'!$J$2:$J$4001,$AA173)&amp;"")</f>
        <v/>
      </c>
      <c r="I173">
        <f>IF($AA173="","",INDEX('Per Line'!$K$2:$K$4001,$AA173)&amp;"")</f>
        <v/>
      </c>
      <c r="J173">
        <f>IF($AA173="","",INDEX('Per Line'!$L$2:$L$4001,$AA173)&amp;"")</f>
        <v/>
      </c>
      <c r="K173">
        <f>IF($AA173="","",INDEX('Per Line'!$P$2:$P$4001,$AA173))</f>
        <v/>
      </c>
      <c r="L173" s="7">
        <f>IF($AA173="","",IF(AND(ISNUMBER(N173),N173&gt;0,Y173&gt;N173),K173*N173/100+(Y173-N173),K173*Y173/100))</f>
        <v/>
      </c>
      <c r="M173">
        <f>IF($AA173="","",INDEX('Per Line'!$Z$2:$Z$4001,$AA173)&amp;"")</f>
        <v/>
      </c>
      <c r="N173">
        <f>IF($AA173="","",INDEX('Per Line'!$AG$2:$AG$4001,$AA173))</f>
        <v/>
      </c>
      <c r="O173">
        <f>IF($AA173="","",IF(AND(ISNUMBER(N173),N173&gt;0),Y173&gt;N173,FALSE))</f>
        <v/>
      </c>
      <c r="P173" s="7">
        <f>IF($AA173="","",SUMIFS('Per Line'!$Y$2:$Y$4001,'Per Line'!$E$2:$E$4001,$B173,'Per Line'!$AQ$2:$AQ$4001,1))</f>
        <v/>
      </c>
      <c r="Q173">
        <f>IF($AA173="","",Settings!$C$7)</f>
        <v/>
      </c>
      <c r="R173" s="7">
        <f>IF($AA173="","",SUMIFS('Per Line'!$Y$2:$Y$4001,'Per Line'!$E$2:$E$4001,$B173,'Per Line'!$AP$2:$AP$4001,0,'Per Line'!$AQ$2:$AQ$4001,0))</f>
        <v/>
      </c>
      <c r="S173" s="7">
        <f>IF($AA173="","",R173*Q173)</f>
        <v/>
      </c>
      <c r="T173">
        <f>IF($AA173="","",Settings!$C$6)</f>
        <v/>
      </c>
      <c r="U173" s="7">
        <f>IF($AA173="","",SUMIFS('Per Line'!$Y$2:$Y$4001,'Per Line'!$E$2:$E$4001,$B173,'Per Line'!$AP$2:$AP$4001,1,'Per Line'!$AQ$2:$AQ$4001,0))</f>
        <v/>
      </c>
      <c r="V173" s="7">
        <f>IF($AA173="","",U173*T173)</f>
        <v/>
      </c>
      <c r="W173" s="7">
        <f>IF($AA173="","",V173+S173)</f>
        <v/>
      </c>
      <c r="X173" s="7">
        <f>IF($AA173="","",Y173-W173)</f>
        <v/>
      </c>
      <c r="Y173" s="7">
        <f>IF($AA173="","",R173+U173+P173)</f>
        <v/>
      </c>
      <c r="Z173" s="7">
        <f>IF($AA173="","",Y173-W173-L173)</f>
        <v/>
      </c>
      <c r="AA173" s="13">
        <f>IF(ROWS($AA$2:$AA173)&lt;=MAX('Per Line'!$AO$2:$AO$4001),MATCH(ROWS($AA$2:$AA173),'Per Line'!$AO$2:$AO$4001,0),"")</f>
        <v/>
      </c>
      <c r="AB173" s="14">
        <f>IF($AA173="","",L173-K173*Y173/100)</f>
        <v/>
      </c>
    </row>
    <row r="174">
      <c r="A174" s="12" t="n"/>
      <c r="B174">
        <f>IF($AA174="","",INDEX('Per Line'!$E$2:$E$4001,$AA174)&amp;"")</f>
        <v/>
      </c>
      <c r="C174">
        <f>IF($AA174="","",INDEX('Per Line'!$A$2:$A$4001,$AA174)&amp;"")</f>
        <v/>
      </c>
      <c r="D174">
        <f>IF($AA174="","",INDEX('Per Line'!$D$2:$D$4001,$AA174)&amp;"")</f>
        <v/>
      </c>
      <c r="E174" s="11">
        <f>IF($AA174="","",INDEX('Per Line'!$G$2:$G$4001,$AA174))</f>
        <v/>
      </c>
      <c r="F174">
        <f>IF($AA174="","",INDEX('Per Line'!$H$2:$H$4001,$AA174)&amp;"")</f>
        <v/>
      </c>
      <c r="G174">
        <f>IF($AA174="","",INDEX('Per Line'!$I$2:$I$4001,$AA174)&amp;"")</f>
        <v/>
      </c>
      <c r="H174">
        <f>IF($AA174="","",INDEX('Per Line'!$J$2:$J$4001,$AA174)&amp;"")</f>
        <v/>
      </c>
      <c r="I174">
        <f>IF($AA174="","",INDEX('Per Line'!$K$2:$K$4001,$AA174)&amp;"")</f>
        <v/>
      </c>
      <c r="J174">
        <f>IF($AA174="","",INDEX('Per Line'!$L$2:$L$4001,$AA174)&amp;"")</f>
        <v/>
      </c>
      <c r="K174">
        <f>IF($AA174="","",INDEX('Per Line'!$P$2:$P$4001,$AA174))</f>
        <v/>
      </c>
      <c r="L174" s="7">
        <f>IF($AA174="","",IF(AND(ISNUMBER(N174),N174&gt;0,Y174&gt;N174),K174*N174/100+(Y174-N174),K174*Y174/100))</f>
        <v/>
      </c>
      <c r="M174">
        <f>IF($AA174="","",INDEX('Per Line'!$Z$2:$Z$4001,$AA174)&amp;"")</f>
        <v/>
      </c>
      <c r="N174">
        <f>IF($AA174="","",INDEX('Per Line'!$AG$2:$AG$4001,$AA174))</f>
        <v/>
      </c>
      <c r="O174">
        <f>IF($AA174="","",IF(AND(ISNUMBER(N174),N174&gt;0),Y174&gt;N174,FALSE))</f>
        <v/>
      </c>
      <c r="P174" s="7">
        <f>IF($AA174="","",SUMIFS('Per Line'!$Y$2:$Y$4001,'Per Line'!$E$2:$E$4001,$B174,'Per Line'!$AQ$2:$AQ$4001,1))</f>
        <v/>
      </c>
      <c r="Q174">
        <f>IF($AA174="","",Settings!$C$7)</f>
        <v/>
      </c>
      <c r="R174" s="7">
        <f>IF($AA174="","",SUMIFS('Per Line'!$Y$2:$Y$4001,'Per Line'!$E$2:$E$4001,$B174,'Per Line'!$AP$2:$AP$4001,0,'Per Line'!$AQ$2:$AQ$4001,0))</f>
        <v/>
      </c>
      <c r="S174" s="7">
        <f>IF($AA174="","",R174*Q174)</f>
        <v/>
      </c>
      <c r="T174">
        <f>IF($AA174="","",Settings!$C$6)</f>
        <v/>
      </c>
      <c r="U174" s="7">
        <f>IF($AA174="","",SUMIFS('Per Line'!$Y$2:$Y$4001,'Per Line'!$E$2:$E$4001,$B174,'Per Line'!$AP$2:$AP$4001,1,'Per Line'!$AQ$2:$AQ$4001,0))</f>
        <v/>
      </c>
      <c r="V174" s="7">
        <f>IF($AA174="","",U174*T174)</f>
        <v/>
      </c>
      <c r="W174" s="7">
        <f>IF($AA174="","",V174+S174)</f>
        <v/>
      </c>
      <c r="X174" s="7">
        <f>IF($AA174="","",Y174-W174)</f>
        <v/>
      </c>
      <c r="Y174" s="7">
        <f>IF($AA174="","",R174+U174+P174)</f>
        <v/>
      </c>
      <c r="Z174" s="7">
        <f>IF($AA174="","",Y174-W174-L174)</f>
        <v/>
      </c>
      <c r="AA174" s="13">
        <f>IF(ROWS($AA$2:$AA174)&lt;=MAX('Per Line'!$AO$2:$AO$4001),MATCH(ROWS($AA$2:$AA174),'Per Line'!$AO$2:$AO$4001,0),"")</f>
        <v/>
      </c>
      <c r="AB174" s="14">
        <f>IF($AA174="","",L174-K174*Y174/100)</f>
        <v/>
      </c>
    </row>
    <row r="175">
      <c r="A175" s="12" t="n"/>
      <c r="B175">
        <f>IF($AA175="","",INDEX('Per Line'!$E$2:$E$4001,$AA175)&amp;"")</f>
        <v/>
      </c>
      <c r="C175">
        <f>IF($AA175="","",INDEX('Per Line'!$A$2:$A$4001,$AA175)&amp;"")</f>
        <v/>
      </c>
      <c r="D175">
        <f>IF($AA175="","",INDEX('Per Line'!$D$2:$D$4001,$AA175)&amp;"")</f>
        <v/>
      </c>
      <c r="E175" s="11">
        <f>IF($AA175="","",INDEX('Per Line'!$G$2:$G$4001,$AA175))</f>
        <v/>
      </c>
      <c r="F175">
        <f>IF($AA175="","",INDEX('Per Line'!$H$2:$H$4001,$AA175)&amp;"")</f>
        <v/>
      </c>
      <c r="G175">
        <f>IF($AA175="","",INDEX('Per Line'!$I$2:$I$4001,$AA175)&amp;"")</f>
        <v/>
      </c>
      <c r="H175">
        <f>IF($AA175="","",INDEX('Per Line'!$J$2:$J$4001,$AA175)&amp;"")</f>
        <v/>
      </c>
      <c r="I175">
        <f>IF($AA175="","",INDEX('Per Line'!$K$2:$K$4001,$AA175)&amp;"")</f>
        <v/>
      </c>
      <c r="J175">
        <f>IF($AA175="","",INDEX('Per Line'!$L$2:$L$4001,$AA175)&amp;"")</f>
        <v/>
      </c>
      <c r="K175">
        <f>IF($AA175="","",INDEX('Per Line'!$P$2:$P$4001,$AA175))</f>
        <v/>
      </c>
      <c r="L175" s="7">
        <f>IF($AA175="","",IF(AND(ISNUMBER(N175),N175&gt;0,Y175&gt;N175),K175*N175/100+(Y175-N175),K175*Y175/100))</f>
        <v/>
      </c>
      <c r="M175">
        <f>IF($AA175="","",INDEX('Per Line'!$Z$2:$Z$4001,$AA175)&amp;"")</f>
        <v/>
      </c>
      <c r="N175">
        <f>IF($AA175="","",INDEX('Per Line'!$AG$2:$AG$4001,$AA175))</f>
        <v/>
      </c>
      <c r="O175">
        <f>IF($AA175="","",IF(AND(ISNUMBER(N175),N175&gt;0),Y175&gt;N175,FALSE))</f>
        <v/>
      </c>
      <c r="P175" s="7">
        <f>IF($AA175="","",SUMIFS('Per Line'!$Y$2:$Y$4001,'Per Line'!$E$2:$E$4001,$B175,'Per Line'!$AQ$2:$AQ$4001,1))</f>
        <v/>
      </c>
      <c r="Q175">
        <f>IF($AA175="","",Settings!$C$7)</f>
        <v/>
      </c>
      <c r="R175" s="7">
        <f>IF($AA175="","",SUMIFS('Per Line'!$Y$2:$Y$4001,'Per Line'!$E$2:$E$4001,$B175,'Per Line'!$AP$2:$AP$4001,0,'Per Line'!$AQ$2:$AQ$4001,0))</f>
        <v/>
      </c>
      <c r="S175" s="7">
        <f>IF($AA175="","",R175*Q175)</f>
        <v/>
      </c>
      <c r="T175">
        <f>IF($AA175="","",Settings!$C$6)</f>
        <v/>
      </c>
      <c r="U175" s="7">
        <f>IF($AA175="","",SUMIFS('Per Line'!$Y$2:$Y$4001,'Per Line'!$E$2:$E$4001,$B175,'Per Line'!$AP$2:$AP$4001,1,'Per Line'!$AQ$2:$AQ$4001,0))</f>
        <v/>
      </c>
      <c r="V175" s="7">
        <f>IF($AA175="","",U175*T175)</f>
        <v/>
      </c>
      <c r="W175" s="7">
        <f>IF($AA175="","",V175+S175)</f>
        <v/>
      </c>
      <c r="X175" s="7">
        <f>IF($AA175="","",Y175-W175)</f>
        <v/>
      </c>
      <c r="Y175" s="7">
        <f>IF($AA175="","",R175+U175+P175)</f>
        <v/>
      </c>
      <c r="Z175" s="7">
        <f>IF($AA175="","",Y175-W175-L175)</f>
        <v/>
      </c>
      <c r="AA175" s="13">
        <f>IF(ROWS($AA$2:$AA175)&lt;=MAX('Per Line'!$AO$2:$AO$4001),MATCH(ROWS($AA$2:$AA175),'Per Line'!$AO$2:$AO$4001,0),"")</f>
        <v/>
      </c>
      <c r="AB175" s="14">
        <f>IF($AA175="","",L175-K175*Y175/100)</f>
        <v/>
      </c>
    </row>
    <row r="176">
      <c r="A176" s="12" t="n"/>
      <c r="B176">
        <f>IF($AA176="","",INDEX('Per Line'!$E$2:$E$4001,$AA176)&amp;"")</f>
        <v/>
      </c>
      <c r="C176">
        <f>IF($AA176="","",INDEX('Per Line'!$A$2:$A$4001,$AA176)&amp;"")</f>
        <v/>
      </c>
      <c r="D176">
        <f>IF($AA176="","",INDEX('Per Line'!$D$2:$D$4001,$AA176)&amp;"")</f>
        <v/>
      </c>
      <c r="E176" s="11">
        <f>IF($AA176="","",INDEX('Per Line'!$G$2:$G$4001,$AA176))</f>
        <v/>
      </c>
      <c r="F176">
        <f>IF($AA176="","",INDEX('Per Line'!$H$2:$H$4001,$AA176)&amp;"")</f>
        <v/>
      </c>
      <c r="G176">
        <f>IF($AA176="","",INDEX('Per Line'!$I$2:$I$4001,$AA176)&amp;"")</f>
        <v/>
      </c>
      <c r="H176">
        <f>IF($AA176="","",INDEX('Per Line'!$J$2:$J$4001,$AA176)&amp;"")</f>
        <v/>
      </c>
      <c r="I176">
        <f>IF($AA176="","",INDEX('Per Line'!$K$2:$K$4001,$AA176)&amp;"")</f>
        <v/>
      </c>
      <c r="J176">
        <f>IF($AA176="","",INDEX('Per Line'!$L$2:$L$4001,$AA176)&amp;"")</f>
        <v/>
      </c>
      <c r="K176">
        <f>IF($AA176="","",INDEX('Per Line'!$P$2:$P$4001,$AA176))</f>
        <v/>
      </c>
      <c r="L176" s="7">
        <f>IF($AA176="","",IF(AND(ISNUMBER(N176),N176&gt;0,Y176&gt;N176),K176*N176/100+(Y176-N176),K176*Y176/100))</f>
        <v/>
      </c>
      <c r="M176">
        <f>IF($AA176="","",INDEX('Per Line'!$Z$2:$Z$4001,$AA176)&amp;"")</f>
        <v/>
      </c>
      <c r="N176">
        <f>IF($AA176="","",INDEX('Per Line'!$AG$2:$AG$4001,$AA176))</f>
        <v/>
      </c>
      <c r="O176">
        <f>IF($AA176="","",IF(AND(ISNUMBER(N176),N176&gt;0),Y176&gt;N176,FALSE))</f>
        <v/>
      </c>
      <c r="P176" s="7">
        <f>IF($AA176="","",SUMIFS('Per Line'!$Y$2:$Y$4001,'Per Line'!$E$2:$E$4001,$B176,'Per Line'!$AQ$2:$AQ$4001,1))</f>
        <v/>
      </c>
      <c r="Q176">
        <f>IF($AA176="","",Settings!$C$7)</f>
        <v/>
      </c>
      <c r="R176" s="7">
        <f>IF($AA176="","",SUMIFS('Per Line'!$Y$2:$Y$4001,'Per Line'!$E$2:$E$4001,$B176,'Per Line'!$AP$2:$AP$4001,0,'Per Line'!$AQ$2:$AQ$4001,0))</f>
        <v/>
      </c>
      <c r="S176" s="7">
        <f>IF($AA176="","",R176*Q176)</f>
        <v/>
      </c>
      <c r="T176">
        <f>IF($AA176="","",Settings!$C$6)</f>
        <v/>
      </c>
      <c r="U176" s="7">
        <f>IF($AA176="","",SUMIFS('Per Line'!$Y$2:$Y$4001,'Per Line'!$E$2:$E$4001,$B176,'Per Line'!$AP$2:$AP$4001,1,'Per Line'!$AQ$2:$AQ$4001,0))</f>
        <v/>
      </c>
      <c r="V176" s="7">
        <f>IF($AA176="","",U176*T176)</f>
        <v/>
      </c>
      <c r="W176" s="7">
        <f>IF($AA176="","",V176+S176)</f>
        <v/>
      </c>
      <c r="X176" s="7">
        <f>IF($AA176="","",Y176-W176)</f>
        <v/>
      </c>
      <c r="Y176" s="7">
        <f>IF($AA176="","",R176+U176+P176)</f>
        <v/>
      </c>
      <c r="Z176" s="7">
        <f>IF($AA176="","",Y176-W176-L176)</f>
        <v/>
      </c>
      <c r="AA176" s="13">
        <f>IF(ROWS($AA$2:$AA176)&lt;=MAX('Per Line'!$AO$2:$AO$4001),MATCH(ROWS($AA$2:$AA176),'Per Line'!$AO$2:$AO$4001,0),"")</f>
        <v/>
      </c>
      <c r="AB176" s="14">
        <f>IF($AA176="","",L176-K176*Y176/100)</f>
        <v/>
      </c>
    </row>
    <row r="177">
      <c r="A177" s="12" t="n"/>
      <c r="B177">
        <f>IF($AA177="","",INDEX('Per Line'!$E$2:$E$4001,$AA177)&amp;"")</f>
        <v/>
      </c>
      <c r="C177">
        <f>IF($AA177="","",INDEX('Per Line'!$A$2:$A$4001,$AA177)&amp;"")</f>
        <v/>
      </c>
      <c r="D177">
        <f>IF($AA177="","",INDEX('Per Line'!$D$2:$D$4001,$AA177)&amp;"")</f>
        <v/>
      </c>
      <c r="E177" s="11">
        <f>IF($AA177="","",INDEX('Per Line'!$G$2:$G$4001,$AA177))</f>
        <v/>
      </c>
      <c r="F177">
        <f>IF($AA177="","",INDEX('Per Line'!$H$2:$H$4001,$AA177)&amp;"")</f>
        <v/>
      </c>
      <c r="G177">
        <f>IF($AA177="","",INDEX('Per Line'!$I$2:$I$4001,$AA177)&amp;"")</f>
        <v/>
      </c>
      <c r="H177">
        <f>IF($AA177="","",INDEX('Per Line'!$J$2:$J$4001,$AA177)&amp;"")</f>
        <v/>
      </c>
      <c r="I177">
        <f>IF($AA177="","",INDEX('Per Line'!$K$2:$K$4001,$AA177)&amp;"")</f>
        <v/>
      </c>
      <c r="J177">
        <f>IF($AA177="","",INDEX('Per Line'!$L$2:$L$4001,$AA177)&amp;"")</f>
        <v/>
      </c>
      <c r="K177">
        <f>IF($AA177="","",INDEX('Per Line'!$P$2:$P$4001,$AA177))</f>
        <v/>
      </c>
      <c r="L177" s="7">
        <f>IF($AA177="","",IF(AND(ISNUMBER(N177),N177&gt;0,Y177&gt;N177),K177*N177/100+(Y177-N177),K177*Y177/100))</f>
        <v/>
      </c>
      <c r="M177">
        <f>IF($AA177="","",INDEX('Per Line'!$Z$2:$Z$4001,$AA177)&amp;"")</f>
        <v/>
      </c>
      <c r="N177">
        <f>IF($AA177="","",INDEX('Per Line'!$AG$2:$AG$4001,$AA177))</f>
        <v/>
      </c>
      <c r="O177">
        <f>IF($AA177="","",IF(AND(ISNUMBER(N177),N177&gt;0),Y177&gt;N177,FALSE))</f>
        <v/>
      </c>
      <c r="P177" s="7">
        <f>IF($AA177="","",SUMIFS('Per Line'!$Y$2:$Y$4001,'Per Line'!$E$2:$E$4001,$B177,'Per Line'!$AQ$2:$AQ$4001,1))</f>
        <v/>
      </c>
      <c r="Q177">
        <f>IF($AA177="","",Settings!$C$7)</f>
        <v/>
      </c>
      <c r="R177" s="7">
        <f>IF($AA177="","",SUMIFS('Per Line'!$Y$2:$Y$4001,'Per Line'!$E$2:$E$4001,$B177,'Per Line'!$AP$2:$AP$4001,0,'Per Line'!$AQ$2:$AQ$4001,0))</f>
        <v/>
      </c>
      <c r="S177" s="7">
        <f>IF($AA177="","",R177*Q177)</f>
        <v/>
      </c>
      <c r="T177">
        <f>IF($AA177="","",Settings!$C$6)</f>
        <v/>
      </c>
      <c r="U177" s="7">
        <f>IF($AA177="","",SUMIFS('Per Line'!$Y$2:$Y$4001,'Per Line'!$E$2:$E$4001,$B177,'Per Line'!$AP$2:$AP$4001,1,'Per Line'!$AQ$2:$AQ$4001,0))</f>
        <v/>
      </c>
      <c r="V177" s="7">
        <f>IF($AA177="","",U177*T177)</f>
        <v/>
      </c>
      <c r="W177" s="7">
        <f>IF($AA177="","",V177+S177)</f>
        <v/>
      </c>
      <c r="X177" s="7">
        <f>IF($AA177="","",Y177-W177)</f>
        <v/>
      </c>
      <c r="Y177" s="7">
        <f>IF($AA177="","",R177+U177+P177)</f>
        <v/>
      </c>
      <c r="Z177" s="7">
        <f>IF($AA177="","",Y177-W177-L177)</f>
        <v/>
      </c>
      <c r="AA177" s="13">
        <f>IF(ROWS($AA$2:$AA177)&lt;=MAX('Per Line'!$AO$2:$AO$4001),MATCH(ROWS($AA$2:$AA177),'Per Line'!$AO$2:$AO$4001,0),"")</f>
        <v/>
      </c>
      <c r="AB177" s="14">
        <f>IF($AA177="","",L177-K177*Y177/100)</f>
        <v/>
      </c>
    </row>
    <row r="178">
      <c r="A178" s="12" t="n"/>
      <c r="B178">
        <f>IF($AA178="","",INDEX('Per Line'!$E$2:$E$4001,$AA178)&amp;"")</f>
        <v/>
      </c>
      <c r="C178">
        <f>IF($AA178="","",INDEX('Per Line'!$A$2:$A$4001,$AA178)&amp;"")</f>
        <v/>
      </c>
      <c r="D178">
        <f>IF($AA178="","",INDEX('Per Line'!$D$2:$D$4001,$AA178)&amp;"")</f>
        <v/>
      </c>
      <c r="E178" s="11">
        <f>IF($AA178="","",INDEX('Per Line'!$G$2:$G$4001,$AA178))</f>
        <v/>
      </c>
      <c r="F178">
        <f>IF($AA178="","",INDEX('Per Line'!$H$2:$H$4001,$AA178)&amp;"")</f>
        <v/>
      </c>
      <c r="G178">
        <f>IF($AA178="","",INDEX('Per Line'!$I$2:$I$4001,$AA178)&amp;"")</f>
        <v/>
      </c>
      <c r="H178">
        <f>IF($AA178="","",INDEX('Per Line'!$J$2:$J$4001,$AA178)&amp;"")</f>
        <v/>
      </c>
      <c r="I178">
        <f>IF($AA178="","",INDEX('Per Line'!$K$2:$K$4001,$AA178)&amp;"")</f>
        <v/>
      </c>
      <c r="J178">
        <f>IF($AA178="","",INDEX('Per Line'!$L$2:$L$4001,$AA178)&amp;"")</f>
        <v/>
      </c>
      <c r="K178">
        <f>IF($AA178="","",INDEX('Per Line'!$P$2:$P$4001,$AA178))</f>
        <v/>
      </c>
      <c r="L178" s="7">
        <f>IF($AA178="","",IF(AND(ISNUMBER(N178),N178&gt;0,Y178&gt;N178),K178*N178/100+(Y178-N178),K178*Y178/100))</f>
        <v/>
      </c>
      <c r="M178">
        <f>IF($AA178="","",INDEX('Per Line'!$Z$2:$Z$4001,$AA178)&amp;"")</f>
        <v/>
      </c>
      <c r="N178">
        <f>IF($AA178="","",INDEX('Per Line'!$AG$2:$AG$4001,$AA178))</f>
        <v/>
      </c>
      <c r="O178">
        <f>IF($AA178="","",IF(AND(ISNUMBER(N178),N178&gt;0),Y178&gt;N178,FALSE))</f>
        <v/>
      </c>
      <c r="P178" s="7">
        <f>IF($AA178="","",SUMIFS('Per Line'!$Y$2:$Y$4001,'Per Line'!$E$2:$E$4001,$B178,'Per Line'!$AQ$2:$AQ$4001,1))</f>
        <v/>
      </c>
      <c r="Q178">
        <f>IF($AA178="","",Settings!$C$7)</f>
        <v/>
      </c>
      <c r="R178" s="7">
        <f>IF($AA178="","",SUMIFS('Per Line'!$Y$2:$Y$4001,'Per Line'!$E$2:$E$4001,$B178,'Per Line'!$AP$2:$AP$4001,0,'Per Line'!$AQ$2:$AQ$4001,0))</f>
        <v/>
      </c>
      <c r="S178" s="7">
        <f>IF($AA178="","",R178*Q178)</f>
        <v/>
      </c>
      <c r="T178">
        <f>IF($AA178="","",Settings!$C$6)</f>
        <v/>
      </c>
      <c r="U178" s="7">
        <f>IF($AA178="","",SUMIFS('Per Line'!$Y$2:$Y$4001,'Per Line'!$E$2:$E$4001,$B178,'Per Line'!$AP$2:$AP$4001,1,'Per Line'!$AQ$2:$AQ$4001,0))</f>
        <v/>
      </c>
      <c r="V178" s="7">
        <f>IF($AA178="","",U178*T178)</f>
        <v/>
      </c>
      <c r="W178" s="7">
        <f>IF($AA178="","",V178+S178)</f>
        <v/>
      </c>
      <c r="X178" s="7">
        <f>IF($AA178="","",Y178-W178)</f>
        <v/>
      </c>
      <c r="Y178" s="7">
        <f>IF($AA178="","",R178+U178+P178)</f>
        <v/>
      </c>
      <c r="Z178" s="7">
        <f>IF($AA178="","",Y178-W178-L178)</f>
        <v/>
      </c>
      <c r="AA178" s="13">
        <f>IF(ROWS($AA$2:$AA178)&lt;=MAX('Per Line'!$AO$2:$AO$4001),MATCH(ROWS($AA$2:$AA178),'Per Line'!$AO$2:$AO$4001,0),"")</f>
        <v/>
      </c>
      <c r="AB178" s="14">
        <f>IF($AA178="","",L178-K178*Y178/100)</f>
        <v/>
      </c>
    </row>
    <row r="179">
      <c r="A179" s="12" t="n"/>
      <c r="B179">
        <f>IF($AA179="","",INDEX('Per Line'!$E$2:$E$4001,$AA179)&amp;"")</f>
        <v/>
      </c>
      <c r="C179">
        <f>IF($AA179="","",INDEX('Per Line'!$A$2:$A$4001,$AA179)&amp;"")</f>
        <v/>
      </c>
      <c r="D179">
        <f>IF($AA179="","",INDEX('Per Line'!$D$2:$D$4001,$AA179)&amp;"")</f>
        <v/>
      </c>
      <c r="E179" s="11">
        <f>IF($AA179="","",INDEX('Per Line'!$G$2:$G$4001,$AA179))</f>
        <v/>
      </c>
      <c r="F179">
        <f>IF($AA179="","",INDEX('Per Line'!$H$2:$H$4001,$AA179)&amp;"")</f>
        <v/>
      </c>
      <c r="G179">
        <f>IF($AA179="","",INDEX('Per Line'!$I$2:$I$4001,$AA179)&amp;"")</f>
        <v/>
      </c>
      <c r="H179">
        <f>IF($AA179="","",INDEX('Per Line'!$J$2:$J$4001,$AA179)&amp;"")</f>
        <v/>
      </c>
      <c r="I179">
        <f>IF($AA179="","",INDEX('Per Line'!$K$2:$K$4001,$AA179)&amp;"")</f>
        <v/>
      </c>
      <c r="J179">
        <f>IF($AA179="","",INDEX('Per Line'!$L$2:$L$4001,$AA179)&amp;"")</f>
        <v/>
      </c>
      <c r="K179">
        <f>IF($AA179="","",INDEX('Per Line'!$P$2:$P$4001,$AA179))</f>
        <v/>
      </c>
      <c r="L179" s="7">
        <f>IF($AA179="","",IF(AND(ISNUMBER(N179),N179&gt;0,Y179&gt;N179),K179*N179/100+(Y179-N179),K179*Y179/100))</f>
        <v/>
      </c>
      <c r="M179">
        <f>IF($AA179="","",INDEX('Per Line'!$Z$2:$Z$4001,$AA179)&amp;"")</f>
        <v/>
      </c>
      <c r="N179">
        <f>IF($AA179="","",INDEX('Per Line'!$AG$2:$AG$4001,$AA179))</f>
        <v/>
      </c>
      <c r="O179">
        <f>IF($AA179="","",IF(AND(ISNUMBER(N179),N179&gt;0),Y179&gt;N179,FALSE))</f>
        <v/>
      </c>
      <c r="P179" s="7">
        <f>IF($AA179="","",SUMIFS('Per Line'!$Y$2:$Y$4001,'Per Line'!$E$2:$E$4001,$B179,'Per Line'!$AQ$2:$AQ$4001,1))</f>
        <v/>
      </c>
      <c r="Q179">
        <f>IF($AA179="","",Settings!$C$7)</f>
        <v/>
      </c>
      <c r="R179" s="7">
        <f>IF($AA179="","",SUMIFS('Per Line'!$Y$2:$Y$4001,'Per Line'!$E$2:$E$4001,$B179,'Per Line'!$AP$2:$AP$4001,0,'Per Line'!$AQ$2:$AQ$4001,0))</f>
        <v/>
      </c>
      <c r="S179" s="7">
        <f>IF($AA179="","",R179*Q179)</f>
        <v/>
      </c>
      <c r="T179">
        <f>IF($AA179="","",Settings!$C$6)</f>
        <v/>
      </c>
      <c r="U179" s="7">
        <f>IF($AA179="","",SUMIFS('Per Line'!$Y$2:$Y$4001,'Per Line'!$E$2:$E$4001,$B179,'Per Line'!$AP$2:$AP$4001,1,'Per Line'!$AQ$2:$AQ$4001,0))</f>
        <v/>
      </c>
      <c r="V179" s="7">
        <f>IF($AA179="","",U179*T179)</f>
        <v/>
      </c>
      <c r="W179" s="7">
        <f>IF($AA179="","",V179+S179)</f>
        <v/>
      </c>
      <c r="X179" s="7">
        <f>IF($AA179="","",Y179-W179)</f>
        <v/>
      </c>
      <c r="Y179" s="7">
        <f>IF($AA179="","",R179+U179+P179)</f>
        <v/>
      </c>
      <c r="Z179" s="7">
        <f>IF($AA179="","",Y179-W179-L179)</f>
        <v/>
      </c>
      <c r="AA179" s="13">
        <f>IF(ROWS($AA$2:$AA179)&lt;=MAX('Per Line'!$AO$2:$AO$4001),MATCH(ROWS($AA$2:$AA179),'Per Line'!$AO$2:$AO$4001,0),"")</f>
        <v/>
      </c>
      <c r="AB179" s="14">
        <f>IF($AA179="","",L179-K179*Y179/100)</f>
        <v/>
      </c>
    </row>
    <row r="180">
      <c r="A180" s="12" t="n"/>
      <c r="B180">
        <f>IF($AA180="","",INDEX('Per Line'!$E$2:$E$4001,$AA180)&amp;"")</f>
        <v/>
      </c>
      <c r="C180">
        <f>IF($AA180="","",INDEX('Per Line'!$A$2:$A$4001,$AA180)&amp;"")</f>
        <v/>
      </c>
      <c r="D180">
        <f>IF($AA180="","",INDEX('Per Line'!$D$2:$D$4001,$AA180)&amp;"")</f>
        <v/>
      </c>
      <c r="E180" s="11">
        <f>IF($AA180="","",INDEX('Per Line'!$G$2:$G$4001,$AA180))</f>
        <v/>
      </c>
      <c r="F180">
        <f>IF($AA180="","",INDEX('Per Line'!$H$2:$H$4001,$AA180)&amp;"")</f>
        <v/>
      </c>
      <c r="G180">
        <f>IF($AA180="","",INDEX('Per Line'!$I$2:$I$4001,$AA180)&amp;"")</f>
        <v/>
      </c>
      <c r="H180">
        <f>IF($AA180="","",INDEX('Per Line'!$J$2:$J$4001,$AA180)&amp;"")</f>
        <v/>
      </c>
      <c r="I180">
        <f>IF($AA180="","",INDEX('Per Line'!$K$2:$K$4001,$AA180)&amp;"")</f>
        <v/>
      </c>
      <c r="J180">
        <f>IF($AA180="","",INDEX('Per Line'!$L$2:$L$4001,$AA180)&amp;"")</f>
        <v/>
      </c>
      <c r="K180">
        <f>IF($AA180="","",INDEX('Per Line'!$P$2:$P$4001,$AA180))</f>
        <v/>
      </c>
      <c r="L180" s="7">
        <f>IF($AA180="","",IF(AND(ISNUMBER(N180),N180&gt;0,Y180&gt;N180),K180*N180/100+(Y180-N180),K180*Y180/100))</f>
        <v/>
      </c>
      <c r="M180">
        <f>IF($AA180="","",INDEX('Per Line'!$Z$2:$Z$4001,$AA180)&amp;"")</f>
        <v/>
      </c>
      <c r="N180">
        <f>IF($AA180="","",INDEX('Per Line'!$AG$2:$AG$4001,$AA180))</f>
        <v/>
      </c>
      <c r="O180">
        <f>IF($AA180="","",IF(AND(ISNUMBER(N180),N180&gt;0),Y180&gt;N180,FALSE))</f>
        <v/>
      </c>
      <c r="P180" s="7">
        <f>IF($AA180="","",SUMIFS('Per Line'!$Y$2:$Y$4001,'Per Line'!$E$2:$E$4001,$B180,'Per Line'!$AQ$2:$AQ$4001,1))</f>
        <v/>
      </c>
      <c r="Q180">
        <f>IF($AA180="","",Settings!$C$7)</f>
        <v/>
      </c>
      <c r="R180" s="7">
        <f>IF($AA180="","",SUMIFS('Per Line'!$Y$2:$Y$4001,'Per Line'!$E$2:$E$4001,$B180,'Per Line'!$AP$2:$AP$4001,0,'Per Line'!$AQ$2:$AQ$4001,0))</f>
        <v/>
      </c>
      <c r="S180" s="7">
        <f>IF($AA180="","",R180*Q180)</f>
        <v/>
      </c>
      <c r="T180">
        <f>IF($AA180="","",Settings!$C$6)</f>
        <v/>
      </c>
      <c r="U180" s="7">
        <f>IF($AA180="","",SUMIFS('Per Line'!$Y$2:$Y$4001,'Per Line'!$E$2:$E$4001,$B180,'Per Line'!$AP$2:$AP$4001,1,'Per Line'!$AQ$2:$AQ$4001,0))</f>
        <v/>
      </c>
      <c r="V180" s="7">
        <f>IF($AA180="","",U180*T180)</f>
        <v/>
      </c>
      <c r="W180" s="7">
        <f>IF($AA180="","",V180+S180)</f>
        <v/>
      </c>
      <c r="X180" s="7">
        <f>IF($AA180="","",Y180-W180)</f>
        <v/>
      </c>
      <c r="Y180" s="7">
        <f>IF($AA180="","",R180+U180+P180)</f>
        <v/>
      </c>
      <c r="Z180" s="7">
        <f>IF($AA180="","",Y180-W180-L180)</f>
        <v/>
      </c>
      <c r="AA180" s="13">
        <f>IF(ROWS($AA$2:$AA180)&lt;=MAX('Per Line'!$AO$2:$AO$4001),MATCH(ROWS($AA$2:$AA180),'Per Line'!$AO$2:$AO$4001,0),"")</f>
        <v/>
      </c>
      <c r="AB180" s="14">
        <f>IF($AA180="","",L180-K180*Y180/100)</f>
        <v/>
      </c>
    </row>
    <row r="181">
      <c r="A181" s="12" t="n"/>
      <c r="B181">
        <f>IF($AA181="","",INDEX('Per Line'!$E$2:$E$4001,$AA181)&amp;"")</f>
        <v/>
      </c>
      <c r="C181">
        <f>IF($AA181="","",INDEX('Per Line'!$A$2:$A$4001,$AA181)&amp;"")</f>
        <v/>
      </c>
      <c r="D181">
        <f>IF($AA181="","",INDEX('Per Line'!$D$2:$D$4001,$AA181)&amp;"")</f>
        <v/>
      </c>
      <c r="E181" s="11">
        <f>IF($AA181="","",INDEX('Per Line'!$G$2:$G$4001,$AA181))</f>
        <v/>
      </c>
      <c r="F181">
        <f>IF($AA181="","",INDEX('Per Line'!$H$2:$H$4001,$AA181)&amp;"")</f>
        <v/>
      </c>
      <c r="G181">
        <f>IF($AA181="","",INDEX('Per Line'!$I$2:$I$4001,$AA181)&amp;"")</f>
        <v/>
      </c>
      <c r="H181">
        <f>IF($AA181="","",INDEX('Per Line'!$J$2:$J$4001,$AA181)&amp;"")</f>
        <v/>
      </c>
      <c r="I181">
        <f>IF($AA181="","",INDEX('Per Line'!$K$2:$K$4001,$AA181)&amp;"")</f>
        <v/>
      </c>
      <c r="J181">
        <f>IF($AA181="","",INDEX('Per Line'!$L$2:$L$4001,$AA181)&amp;"")</f>
        <v/>
      </c>
      <c r="K181">
        <f>IF($AA181="","",INDEX('Per Line'!$P$2:$P$4001,$AA181))</f>
        <v/>
      </c>
      <c r="L181" s="7">
        <f>IF($AA181="","",IF(AND(ISNUMBER(N181),N181&gt;0,Y181&gt;N181),K181*N181/100+(Y181-N181),K181*Y181/100))</f>
        <v/>
      </c>
      <c r="M181">
        <f>IF($AA181="","",INDEX('Per Line'!$Z$2:$Z$4001,$AA181)&amp;"")</f>
        <v/>
      </c>
      <c r="N181">
        <f>IF($AA181="","",INDEX('Per Line'!$AG$2:$AG$4001,$AA181))</f>
        <v/>
      </c>
      <c r="O181">
        <f>IF($AA181="","",IF(AND(ISNUMBER(N181),N181&gt;0),Y181&gt;N181,FALSE))</f>
        <v/>
      </c>
      <c r="P181" s="7">
        <f>IF($AA181="","",SUMIFS('Per Line'!$Y$2:$Y$4001,'Per Line'!$E$2:$E$4001,$B181,'Per Line'!$AQ$2:$AQ$4001,1))</f>
        <v/>
      </c>
      <c r="Q181">
        <f>IF($AA181="","",Settings!$C$7)</f>
        <v/>
      </c>
      <c r="R181" s="7">
        <f>IF($AA181="","",SUMIFS('Per Line'!$Y$2:$Y$4001,'Per Line'!$E$2:$E$4001,$B181,'Per Line'!$AP$2:$AP$4001,0,'Per Line'!$AQ$2:$AQ$4001,0))</f>
        <v/>
      </c>
      <c r="S181" s="7">
        <f>IF($AA181="","",R181*Q181)</f>
        <v/>
      </c>
      <c r="T181">
        <f>IF($AA181="","",Settings!$C$6)</f>
        <v/>
      </c>
      <c r="U181" s="7">
        <f>IF($AA181="","",SUMIFS('Per Line'!$Y$2:$Y$4001,'Per Line'!$E$2:$E$4001,$B181,'Per Line'!$AP$2:$AP$4001,1,'Per Line'!$AQ$2:$AQ$4001,0))</f>
        <v/>
      </c>
      <c r="V181" s="7">
        <f>IF($AA181="","",U181*T181)</f>
        <v/>
      </c>
      <c r="W181" s="7">
        <f>IF($AA181="","",V181+S181)</f>
        <v/>
      </c>
      <c r="X181" s="7">
        <f>IF($AA181="","",Y181-W181)</f>
        <v/>
      </c>
      <c r="Y181" s="7">
        <f>IF($AA181="","",R181+U181+P181)</f>
        <v/>
      </c>
      <c r="Z181" s="7">
        <f>IF($AA181="","",Y181-W181-L181)</f>
        <v/>
      </c>
      <c r="AA181" s="13">
        <f>IF(ROWS($AA$2:$AA181)&lt;=MAX('Per Line'!$AO$2:$AO$4001),MATCH(ROWS($AA$2:$AA181),'Per Line'!$AO$2:$AO$4001,0),"")</f>
        <v/>
      </c>
      <c r="AB181" s="14">
        <f>IF($AA181="","",L181-K181*Y181/100)</f>
        <v/>
      </c>
    </row>
    <row r="182">
      <c r="A182" s="12" t="n"/>
      <c r="B182">
        <f>IF($AA182="","",INDEX('Per Line'!$E$2:$E$4001,$AA182)&amp;"")</f>
        <v/>
      </c>
      <c r="C182">
        <f>IF($AA182="","",INDEX('Per Line'!$A$2:$A$4001,$AA182)&amp;"")</f>
        <v/>
      </c>
      <c r="D182">
        <f>IF($AA182="","",INDEX('Per Line'!$D$2:$D$4001,$AA182)&amp;"")</f>
        <v/>
      </c>
      <c r="E182" s="11">
        <f>IF($AA182="","",INDEX('Per Line'!$G$2:$G$4001,$AA182))</f>
        <v/>
      </c>
      <c r="F182">
        <f>IF($AA182="","",INDEX('Per Line'!$H$2:$H$4001,$AA182)&amp;"")</f>
        <v/>
      </c>
      <c r="G182">
        <f>IF($AA182="","",INDEX('Per Line'!$I$2:$I$4001,$AA182)&amp;"")</f>
        <v/>
      </c>
      <c r="H182">
        <f>IF($AA182="","",INDEX('Per Line'!$J$2:$J$4001,$AA182)&amp;"")</f>
        <v/>
      </c>
      <c r="I182">
        <f>IF($AA182="","",INDEX('Per Line'!$K$2:$K$4001,$AA182)&amp;"")</f>
        <v/>
      </c>
      <c r="J182">
        <f>IF($AA182="","",INDEX('Per Line'!$L$2:$L$4001,$AA182)&amp;"")</f>
        <v/>
      </c>
      <c r="K182">
        <f>IF($AA182="","",INDEX('Per Line'!$P$2:$P$4001,$AA182))</f>
        <v/>
      </c>
      <c r="L182" s="7">
        <f>IF($AA182="","",IF(AND(ISNUMBER(N182),N182&gt;0,Y182&gt;N182),K182*N182/100+(Y182-N182),K182*Y182/100))</f>
        <v/>
      </c>
      <c r="M182">
        <f>IF($AA182="","",INDEX('Per Line'!$Z$2:$Z$4001,$AA182)&amp;"")</f>
        <v/>
      </c>
      <c r="N182">
        <f>IF($AA182="","",INDEX('Per Line'!$AG$2:$AG$4001,$AA182))</f>
        <v/>
      </c>
      <c r="O182">
        <f>IF($AA182="","",IF(AND(ISNUMBER(N182),N182&gt;0),Y182&gt;N182,FALSE))</f>
        <v/>
      </c>
      <c r="P182" s="7">
        <f>IF($AA182="","",SUMIFS('Per Line'!$Y$2:$Y$4001,'Per Line'!$E$2:$E$4001,$B182,'Per Line'!$AQ$2:$AQ$4001,1))</f>
        <v/>
      </c>
      <c r="Q182">
        <f>IF($AA182="","",Settings!$C$7)</f>
        <v/>
      </c>
      <c r="R182" s="7">
        <f>IF($AA182="","",SUMIFS('Per Line'!$Y$2:$Y$4001,'Per Line'!$E$2:$E$4001,$B182,'Per Line'!$AP$2:$AP$4001,0,'Per Line'!$AQ$2:$AQ$4001,0))</f>
        <v/>
      </c>
      <c r="S182" s="7">
        <f>IF($AA182="","",R182*Q182)</f>
        <v/>
      </c>
      <c r="T182">
        <f>IF($AA182="","",Settings!$C$6)</f>
        <v/>
      </c>
      <c r="U182" s="7">
        <f>IF($AA182="","",SUMIFS('Per Line'!$Y$2:$Y$4001,'Per Line'!$E$2:$E$4001,$B182,'Per Line'!$AP$2:$AP$4001,1,'Per Line'!$AQ$2:$AQ$4001,0))</f>
        <v/>
      </c>
      <c r="V182" s="7">
        <f>IF($AA182="","",U182*T182)</f>
        <v/>
      </c>
      <c r="W182" s="7">
        <f>IF($AA182="","",V182+S182)</f>
        <v/>
      </c>
      <c r="X182" s="7">
        <f>IF($AA182="","",Y182-W182)</f>
        <v/>
      </c>
      <c r="Y182" s="7">
        <f>IF($AA182="","",R182+U182+P182)</f>
        <v/>
      </c>
      <c r="Z182" s="7">
        <f>IF($AA182="","",Y182-W182-L182)</f>
        <v/>
      </c>
      <c r="AA182" s="13">
        <f>IF(ROWS($AA$2:$AA182)&lt;=MAX('Per Line'!$AO$2:$AO$4001),MATCH(ROWS($AA$2:$AA182),'Per Line'!$AO$2:$AO$4001,0),"")</f>
        <v/>
      </c>
      <c r="AB182" s="14">
        <f>IF($AA182="","",L182-K182*Y182/100)</f>
        <v/>
      </c>
    </row>
    <row r="183">
      <c r="A183" s="12" t="n"/>
      <c r="B183">
        <f>IF($AA183="","",INDEX('Per Line'!$E$2:$E$4001,$AA183)&amp;"")</f>
        <v/>
      </c>
      <c r="C183">
        <f>IF($AA183="","",INDEX('Per Line'!$A$2:$A$4001,$AA183)&amp;"")</f>
        <v/>
      </c>
      <c r="D183">
        <f>IF($AA183="","",INDEX('Per Line'!$D$2:$D$4001,$AA183)&amp;"")</f>
        <v/>
      </c>
      <c r="E183" s="11">
        <f>IF($AA183="","",INDEX('Per Line'!$G$2:$G$4001,$AA183))</f>
        <v/>
      </c>
      <c r="F183">
        <f>IF($AA183="","",INDEX('Per Line'!$H$2:$H$4001,$AA183)&amp;"")</f>
        <v/>
      </c>
      <c r="G183">
        <f>IF($AA183="","",INDEX('Per Line'!$I$2:$I$4001,$AA183)&amp;"")</f>
        <v/>
      </c>
      <c r="H183">
        <f>IF($AA183="","",INDEX('Per Line'!$J$2:$J$4001,$AA183)&amp;"")</f>
        <v/>
      </c>
      <c r="I183">
        <f>IF($AA183="","",INDEX('Per Line'!$K$2:$K$4001,$AA183)&amp;"")</f>
        <v/>
      </c>
      <c r="J183">
        <f>IF($AA183="","",INDEX('Per Line'!$L$2:$L$4001,$AA183)&amp;"")</f>
        <v/>
      </c>
      <c r="K183">
        <f>IF($AA183="","",INDEX('Per Line'!$P$2:$P$4001,$AA183))</f>
        <v/>
      </c>
      <c r="L183" s="7">
        <f>IF($AA183="","",IF(AND(ISNUMBER(N183),N183&gt;0,Y183&gt;N183),K183*N183/100+(Y183-N183),K183*Y183/100))</f>
        <v/>
      </c>
      <c r="M183">
        <f>IF($AA183="","",INDEX('Per Line'!$Z$2:$Z$4001,$AA183)&amp;"")</f>
        <v/>
      </c>
      <c r="N183">
        <f>IF($AA183="","",INDEX('Per Line'!$AG$2:$AG$4001,$AA183))</f>
        <v/>
      </c>
      <c r="O183">
        <f>IF($AA183="","",IF(AND(ISNUMBER(N183),N183&gt;0),Y183&gt;N183,FALSE))</f>
        <v/>
      </c>
      <c r="P183" s="7">
        <f>IF($AA183="","",SUMIFS('Per Line'!$Y$2:$Y$4001,'Per Line'!$E$2:$E$4001,$B183,'Per Line'!$AQ$2:$AQ$4001,1))</f>
        <v/>
      </c>
      <c r="Q183">
        <f>IF($AA183="","",Settings!$C$7)</f>
        <v/>
      </c>
      <c r="R183" s="7">
        <f>IF($AA183="","",SUMIFS('Per Line'!$Y$2:$Y$4001,'Per Line'!$E$2:$E$4001,$B183,'Per Line'!$AP$2:$AP$4001,0,'Per Line'!$AQ$2:$AQ$4001,0))</f>
        <v/>
      </c>
      <c r="S183" s="7">
        <f>IF($AA183="","",R183*Q183)</f>
        <v/>
      </c>
      <c r="T183">
        <f>IF($AA183="","",Settings!$C$6)</f>
        <v/>
      </c>
      <c r="U183" s="7">
        <f>IF($AA183="","",SUMIFS('Per Line'!$Y$2:$Y$4001,'Per Line'!$E$2:$E$4001,$B183,'Per Line'!$AP$2:$AP$4001,1,'Per Line'!$AQ$2:$AQ$4001,0))</f>
        <v/>
      </c>
      <c r="V183" s="7">
        <f>IF($AA183="","",U183*T183)</f>
        <v/>
      </c>
      <c r="W183" s="7">
        <f>IF($AA183="","",V183+S183)</f>
        <v/>
      </c>
      <c r="X183" s="7">
        <f>IF($AA183="","",Y183-W183)</f>
        <v/>
      </c>
      <c r="Y183" s="7">
        <f>IF($AA183="","",R183+U183+P183)</f>
        <v/>
      </c>
      <c r="Z183" s="7">
        <f>IF($AA183="","",Y183-W183-L183)</f>
        <v/>
      </c>
      <c r="AA183" s="13">
        <f>IF(ROWS($AA$2:$AA183)&lt;=MAX('Per Line'!$AO$2:$AO$4001),MATCH(ROWS($AA$2:$AA183),'Per Line'!$AO$2:$AO$4001,0),"")</f>
        <v/>
      </c>
      <c r="AB183" s="14">
        <f>IF($AA183="","",L183-K183*Y183/100)</f>
        <v/>
      </c>
    </row>
    <row r="184">
      <c r="A184" s="12" t="n"/>
      <c r="B184">
        <f>IF($AA184="","",INDEX('Per Line'!$E$2:$E$4001,$AA184)&amp;"")</f>
        <v/>
      </c>
      <c r="C184">
        <f>IF($AA184="","",INDEX('Per Line'!$A$2:$A$4001,$AA184)&amp;"")</f>
        <v/>
      </c>
      <c r="D184">
        <f>IF($AA184="","",INDEX('Per Line'!$D$2:$D$4001,$AA184)&amp;"")</f>
        <v/>
      </c>
      <c r="E184" s="11">
        <f>IF($AA184="","",INDEX('Per Line'!$G$2:$G$4001,$AA184))</f>
        <v/>
      </c>
      <c r="F184">
        <f>IF($AA184="","",INDEX('Per Line'!$H$2:$H$4001,$AA184)&amp;"")</f>
        <v/>
      </c>
      <c r="G184">
        <f>IF($AA184="","",INDEX('Per Line'!$I$2:$I$4001,$AA184)&amp;"")</f>
        <v/>
      </c>
      <c r="H184">
        <f>IF($AA184="","",INDEX('Per Line'!$J$2:$J$4001,$AA184)&amp;"")</f>
        <v/>
      </c>
      <c r="I184">
        <f>IF($AA184="","",INDEX('Per Line'!$K$2:$K$4001,$AA184)&amp;"")</f>
        <v/>
      </c>
      <c r="J184">
        <f>IF($AA184="","",INDEX('Per Line'!$L$2:$L$4001,$AA184)&amp;"")</f>
        <v/>
      </c>
      <c r="K184">
        <f>IF($AA184="","",INDEX('Per Line'!$P$2:$P$4001,$AA184))</f>
        <v/>
      </c>
      <c r="L184" s="7">
        <f>IF($AA184="","",IF(AND(ISNUMBER(N184),N184&gt;0,Y184&gt;N184),K184*N184/100+(Y184-N184),K184*Y184/100))</f>
        <v/>
      </c>
      <c r="M184">
        <f>IF($AA184="","",INDEX('Per Line'!$Z$2:$Z$4001,$AA184)&amp;"")</f>
        <v/>
      </c>
      <c r="N184">
        <f>IF($AA184="","",INDEX('Per Line'!$AG$2:$AG$4001,$AA184))</f>
        <v/>
      </c>
      <c r="O184">
        <f>IF($AA184="","",IF(AND(ISNUMBER(N184),N184&gt;0),Y184&gt;N184,FALSE))</f>
        <v/>
      </c>
      <c r="P184" s="7">
        <f>IF($AA184="","",SUMIFS('Per Line'!$Y$2:$Y$4001,'Per Line'!$E$2:$E$4001,$B184,'Per Line'!$AQ$2:$AQ$4001,1))</f>
        <v/>
      </c>
      <c r="Q184">
        <f>IF($AA184="","",Settings!$C$7)</f>
        <v/>
      </c>
      <c r="R184" s="7">
        <f>IF($AA184="","",SUMIFS('Per Line'!$Y$2:$Y$4001,'Per Line'!$E$2:$E$4001,$B184,'Per Line'!$AP$2:$AP$4001,0,'Per Line'!$AQ$2:$AQ$4001,0))</f>
        <v/>
      </c>
      <c r="S184" s="7">
        <f>IF($AA184="","",R184*Q184)</f>
        <v/>
      </c>
      <c r="T184">
        <f>IF($AA184="","",Settings!$C$6)</f>
        <v/>
      </c>
      <c r="U184" s="7">
        <f>IF($AA184="","",SUMIFS('Per Line'!$Y$2:$Y$4001,'Per Line'!$E$2:$E$4001,$B184,'Per Line'!$AP$2:$AP$4001,1,'Per Line'!$AQ$2:$AQ$4001,0))</f>
        <v/>
      </c>
      <c r="V184" s="7">
        <f>IF($AA184="","",U184*T184)</f>
        <v/>
      </c>
      <c r="W184" s="7">
        <f>IF($AA184="","",V184+S184)</f>
        <v/>
      </c>
      <c r="X184" s="7">
        <f>IF($AA184="","",Y184-W184)</f>
        <v/>
      </c>
      <c r="Y184" s="7">
        <f>IF($AA184="","",R184+U184+P184)</f>
        <v/>
      </c>
      <c r="Z184" s="7">
        <f>IF($AA184="","",Y184-W184-L184)</f>
        <v/>
      </c>
      <c r="AA184" s="13">
        <f>IF(ROWS($AA$2:$AA184)&lt;=MAX('Per Line'!$AO$2:$AO$4001),MATCH(ROWS($AA$2:$AA184),'Per Line'!$AO$2:$AO$4001,0),"")</f>
        <v/>
      </c>
      <c r="AB184" s="14">
        <f>IF($AA184="","",L184-K184*Y184/100)</f>
        <v/>
      </c>
    </row>
    <row r="185">
      <c r="A185" s="12" t="n"/>
      <c r="B185">
        <f>IF($AA185="","",INDEX('Per Line'!$E$2:$E$4001,$AA185)&amp;"")</f>
        <v/>
      </c>
      <c r="C185">
        <f>IF($AA185="","",INDEX('Per Line'!$A$2:$A$4001,$AA185)&amp;"")</f>
        <v/>
      </c>
      <c r="D185">
        <f>IF($AA185="","",INDEX('Per Line'!$D$2:$D$4001,$AA185)&amp;"")</f>
        <v/>
      </c>
      <c r="E185" s="11">
        <f>IF($AA185="","",INDEX('Per Line'!$G$2:$G$4001,$AA185))</f>
        <v/>
      </c>
      <c r="F185">
        <f>IF($AA185="","",INDEX('Per Line'!$H$2:$H$4001,$AA185)&amp;"")</f>
        <v/>
      </c>
      <c r="G185">
        <f>IF($AA185="","",INDEX('Per Line'!$I$2:$I$4001,$AA185)&amp;"")</f>
        <v/>
      </c>
      <c r="H185">
        <f>IF($AA185="","",INDEX('Per Line'!$J$2:$J$4001,$AA185)&amp;"")</f>
        <v/>
      </c>
      <c r="I185">
        <f>IF($AA185="","",INDEX('Per Line'!$K$2:$K$4001,$AA185)&amp;"")</f>
        <v/>
      </c>
      <c r="J185">
        <f>IF($AA185="","",INDEX('Per Line'!$L$2:$L$4001,$AA185)&amp;"")</f>
        <v/>
      </c>
      <c r="K185">
        <f>IF($AA185="","",INDEX('Per Line'!$P$2:$P$4001,$AA185))</f>
        <v/>
      </c>
      <c r="L185" s="7">
        <f>IF($AA185="","",IF(AND(ISNUMBER(N185),N185&gt;0,Y185&gt;N185),K185*N185/100+(Y185-N185),K185*Y185/100))</f>
        <v/>
      </c>
      <c r="M185">
        <f>IF($AA185="","",INDEX('Per Line'!$Z$2:$Z$4001,$AA185)&amp;"")</f>
        <v/>
      </c>
      <c r="N185">
        <f>IF($AA185="","",INDEX('Per Line'!$AG$2:$AG$4001,$AA185))</f>
        <v/>
      </c>
      <c r="O185">
        <f>IF($AA185="","",IF(AND(ISNUMBER(N185),N185&gt;0),Y185&gt;N185,FALSE))</f>
        <v/>
      </c>
      <c r="P185" s="7">
        <f>IF($AA185="","",SUMIFS('Per Line'!$Y$2:$Y$4001,'Per Line'!$E$2:$E$4001,$B185,'Per Line'!$AQ$2:$AQ$4001,1))</f>
        <v/>
      </c>
      <c r="Q185">
        <f>IF($AA185="","",Settings!$C$7)</f>
        <v/>
      </c>
      <c r="R185" s="7">
        <f>IF($AA185="","",SUMIFS('Per Line'!$Y$2:$Y$4001,'Per Line'!$E$2:$E$4001,$B185,'Per Line'!$AP$2:$AP$4001,0,'Per Line'!$AQ$2:$AQ$4001,0))</f>
        <v/>
      </c>
      <c r="S185" s="7">
        <f>IF($AA185="","",R185*Q185)</f>
        <v/>
      </c>
      <c r="T185">
        <f>IF($AA185="","",Settings!$C$6)</f>
        <v/>
      </c>
      <c r="U185" s="7">
        <f>IF($AA185="","",SUMIFS('Per Line'!$Y$2:$Y$4001,'Per Line'!$E$2:$E$4001,$B185,'Per Line'!$AP$2:$AP$4001,1,'Per Line'!$AQ$2:$AQ$4001,0))</f>
        <v/>
      </c>
      <c r="V185" s="7">
        <f>IF($AA185="","",U185*T185)</f>
        <v/>
      </c>
      <c r="W185" s="7">
        <f>IF($AA185="","",V185+S185)</f>
        <v/>
      </c>
      <c r="X185" s="7">
        <f>IF($AA185="","",Y185-W185)</f>
        <v/>
      </c>
      <c r="Y185" s="7">
        <f>IF($AA185="","",R185+U185+P185)</f>
        <v/>
      </c>
      <c r="Z185" s="7">
        <f>IF($AA185="","",Y185-W185-L185)</f>
        <v/>
      </c>
      <c r="AA185" s="13">
        <f>IF(ROWS($AA$2:$AA185)&lt;=MAX('Per Line'!$AO$2:$AO$4001),MATCH(ROWS($AA$2:$AA185),'Per Line'!$AO$2:$AO$4001,0),"")</f>
        <v/>
      </c>
      <c r="AB185" s="14">
        <f>IF($AA185="","",L185-K185*Y185/100)</f>
        <v/>
      </c>
    </row>
    <row r="186">
      <c r="A186" s="12" t="n"/>
      <c r="B186">
        <f>IF($AA186="","",INDEX('Per Line'!$E$2:$E$4001,$AA186)&amp;"")</f>
        <v/>
      </c>
      <c r="C186">
        <f>IF($AA186="","",INDEX('Per Line'!$A$2:$A$4001,$AA186)&amp;"")</f>
        <v/>
      </c>
      <c r="D186">
        <f>IF($AA186="","",INDEX('Per Line'!$D$2:$D$4001,$AA186)&amp;"")</f>
        <v/>
      </c>
      <c r="E186" s="11">
        <f>IF($AA186="","",INDEX('Per Line'!$G$2:$G$4001,$AA186))</f>
        <v/>
      </c>
      <c r="F186">
        <f>IF($AA186="","",INDEX('Per Line'!$H$2:$H$4001,$AA186)&amp;"")</f>
        <v/>
      </c>
      <c r="G186">
        <f>IF($AA186="","",INDEX('Per Line'!$I$2:$I$4001,$AA186)&amp;"")</f>
        <v/>
      </c>
      <c r="H186">
        <f>IF($AA186="","",INDEX('Per Line'!$J$2:$J$4001,$AA186)&amp;"")</f>
        <v/>
      </c>
      <c r="I186">
        <f>IF($AA186="","",INDEX('Per Line'!$K$2:$K$4001,$AA186)&amp;"")</f>
        <v/>
      </c>
      <c r="J186">
        <f>IF($AA186="","",INDEX('Per Line'!$L$2:$L$4001,$AA186)&amp;"")</f>
        <v/>
      </c>
      <c r="K186">
        <f>IF($AA186="","",INDEX('Per Line'!$P$2:$P$4001,$AA186))</f>
        <v/>
      </c>
      <c r="L186" s="7">
        <f>IF($AA186="","",IF(AND(ISNUMBER(N186),N186&gt;0,Y186&gt;N186),K186*N186/100+(Y186-N186),K186*Y186/100))</f>
        <v/>
      </c>
      <c r="M186">
        <f>IF($AA186="","",INDEX('Per Line'!$Z$2:$Z$4001,$AA186)&amp;"")</f>
        <v/>
      </c>
      <c r="N186">
        <f>IF($AA186="","",INDEX('Per Line'!$AG$2:$AG$4001,$AA186))</f>
        <v/>
      </c>
      <c r="O186">
        <f>IF($AA186="","",IF(AND(ISNUMBER(N186),N186&gt;0),Y186&gt;N186,FALSE))</f>
        <v/>
      </c>
      <c r="P186" s="7">
        <f>IF($AA186="","",SUMIFS('Per Line'!$Y$2:$Y$4001,'Per Line'!$E$2:$E$4001,$B186,'Per Line'!$AQ$2:$AQ$4001,1))</f>
        <v/>
      </c>
      <c r="Q186">
        <f>IF($AA186="","",Settings!$C$7)</f>
        <v/>
      </c>
      <c r="R186" s="7">
        <f>IF($AA186="","",SUMIFS('Per Line'!$Y$2:$Y$4001,'Per Line'!$E$2:$E$4001,$B186,'Per Line'!$AP$2:$AP$4001,0,'Per Line'!$AQ$2:$AQ$4001,0))</f>
        <v/>
      </c>
      <c r="S186" s="7">
        <f>IF($AA186="","",R186*Q186)</f>
        <v/>
      </c>
      <c r="T186">
        <f>IF($AA186="","",Settings!$C$6)</f>
        <v/>
      </c>
      <c r="U186" s="7">
        <f>IF($AA186="","",SUMIFS('Per Line'!$Y$2:$Y$4001,'Per Line'!$E$2:$E$4001,$B186,'Per Line'!$AP$2:$AP$4001,1,'Per Line'!$AQ$2:$AQ$4001,0))</f>
        <v/>
      </c>
      <c r="V186" s="7">
        <f>IF($AA186="","",U186*T186)</f>
        <v/>
      </c>
      <c r="W186" s="7">
        <f>IF($AA186="","",V186+S186)</f>
        <v/>
      </c>
      <c r="X186" s="7">
        <f>IF($AA186="","",Y186-W186)</f>
        <v/>
      </c>
      <c r="Y186" s="7">
        <f>IF($AA186="","",R186+U186+P186)</f>
        <v/>
      </c>
      <c r="Z186" s="7">
        <f>IF($AA186="","",Y186-W186-L186)</f>
        <v/>
      </c>
      <c r="AA186" s="13">
        <f>IF(ROWS($AA$2:$AA186)&lt;=MAX('Per Line'!$AO$2:$AO$4001),MATCH(ROWS($AA$2:$AA186),'Per Line'!$AO$2:$AO$4001,0),"")</f>
        <v/>
      </c>
      <c r="AB186" s="14">
        <f>IF($AA186="","",L186-K186*Y186/100)</f>
        <v/>
      </c>
    </row>
    <row r="187">
      <c r="A187" s="12" t="n"/>
      <c r="B187">
        <f>IF($AA187="","",INDEX('Per Line'!$E$2:$E$4001,$AA187)&amp;"")</f>
        <v/>
      </c>
      <c r="C187">
        <f>IF($AA187="","",INDEX('Per Line'!$A$2:$A$4001,$AA187)&amp;"")</f>
        <v/>
      </c>
      <c r="D187">
        <f>IF($AA187="","",INDEX('Per Line'!$D$2:$D$4001,$AA187)&amp;"")</f>
        <v/>
      </c>
      <c r="E187" s="11">
        <f>IF($AA187="","",INDEX('Per Line'!$G$2:$G$4001,$AA187))</f>
        <v/>
      </c>
      <c r="F187">
        <f>IF($AA187="","",INDEX('Per Line'!$H$2:$H$4001,$AA187)&amp;"")</f>
        <v/>
      </c>
      <c r="G187">
        <f>IF($AA187="","",INDEX('Per Line'!$I$2:$I$4001,$AA187)&amp;"")</f>
        <v/>
      </c>
      <c r="H187">
        <f>IF($AA187="","",INDEX('Per Line'!$J$2:$J$4001,$AA187)&amp;"")</f>
        <v/>
      </c>
      <c r="I187">
        <f>IF($AA187="","",INDEX('Per Line'!$K$2:$K$4001,$AA187)&amp;"")</f>
        <v/>
      </c>
      <c r="J187">
        <f>IF($AA187="","",INDEX('Per Line'!$L$2:$L$4001,$AA187)&amp;"")</f>
        <v/>
      </c>
      <c r="K187">
        <f>IF($AA187="","",INDEX('Per Line'!$P$2:$P$4001,$AA187))</f>
        <v/>
      </c>
      <c r="L187" s="7">
        <f>IF($AA187="","",IF(AND(ISNUMBER(N187),N187&gt;0,Y187&gt;N187),K187*N187/100+(Y187-N187),K187*Y187/100))</f>
        <v/>
      </c>
      <c r="M187">
        <f>IF($AA187="","",INDEX('Per Line'!$Z$2:$Z$4001,$AA187)&amp;"")</f>
        <v/>
      </c>
      <c r="N187">
        <f>IF($AA187="","",INDEX('Per Line'!$AG$2:$AG$4001,$AA187))</f>
        <v/>
      </c>
      <c r="O187">
        <f>IF($AA187="","",IF(AND(ISNUMBER(N187),N187&gt;0),Y187&gt;N187,FALSE))</f>
        <v/>
      </c>
      <c r="P187" s="7">
        <f>IF($AA187="","",SUMIFS('Per Line'!$Y$2:$Y$4001,'Per Line'!$E$2:$E$4001,$B187,'Per Line'!$AQ$2:$AQ$4001,1))</f>
        <v/>
      </c>
      <c r="Q187">
        <f>IF($AA187="","",Settings!$C$7)</f>
        <v/>
      </c>
      <c r="R187" s="7">
        <f>IF($AA187="","",SUMIFS('Per Line'!$Y$2:$Y$4001,'Per Line'!$E$2:$E$4001,$B187,'Per Line'!$AP$2:$AP$4001,0,'Per Line'!$AQ$2:$AQ$4001,0))</f>
        <v/>
      </c>
      <c r="S187" s="7">
        <f>IF($AA187="","",R187*Q187)</f>
        <v/>
      </c>
      <c r="T187">
        <f>IF($AA187="","",Settings!$C$6)</f>
        <v/>
      </c>
      <c r="U187" s="7">
        <f>IF($AA187="","",SUMIFS('Per Line'!$Y$2:$Y$4001,'Per Line'!$E$2:$E$4001,$B187,'Per Line'!$AP$2:$AP$4001,1,'Per Line'!$AQ$2:$AQ$4001,0))</f>
        <v/>
      </c>
      <c r="V187" s="7">
        <f>IF($AA187="","",U187*T187)</f>
        <v/>
      </c>
      <c r="W187" s="7">
        <f>IF($AA187="","",V187+S187)</f>
        <v/>
      </c>
      <c r="X187" s="7">
        <f>IF($AA187="","",Y187-W187)</f>
        <v/>
      </c>
      <c r="Y187" s="7">
        <f>IF($AA187="","",R187+U187+P187)</f>
        <v/>
      </c>
      <c r="Z187" s="7">
        <f>IF($AA187="","",Y187-W187-L187)</f>
        <v/>
      </c>
      <c r="AA187" s="13">
        <f>IF(ROWS($AA$2:$AA187)&lt;=MAX('Per Line'!$AO$2:$AO$4001),MATCH(ROWS($AA$2:$AA187),'Per Line'!$AO$2:$AO$4001,0),"")</f>
        <v/>
      </c>
      <c r="AB187" s="14">
        <f>IF($AA187="","",L187-K187*Y187/100)</f>
        <v/>
      </c>
    </row>
    <row r="188">
      <c r="A188" s="12" t="n"/>
      <c r="B188">
        <f>IF($AA188="","",INDEX('Per Line'!$E$2:$E$4001,$AA188)&amp;"")</f>
        <v/>
      </c>
      <c r="C188">
        <f>IF($AA188="","",INDEX('Per Line'!$A$2:$A$4001,$AA188)&amp;"")</f>
        <v/>
      </c>
      <c r="D188">
        <f>IF($AA188="","",INDEX('Per Line'!$D$2:$D$4001,$AA188)&amp;"")</f>
        <v/>
      </c>
      <c r="E188" s="11">
        <f>IF($AA188="","",INDEX('Per Line'!$G$2:$G$4001,$AA188))</f>
        <v/>
      </c>
      <c r="F188">
        <f>IF($AA188="","",INDEX('Per Line'!$H$2:$H$4001,$AA188)&amp;"")</f>
        <v/>
      </c>
      <c r="G188">
        <f>IF($AA188="","",INDEX('Per Line'!$I$2:$I$4001,$AA188)&amp;"")</f>
        <v/>
      </c>
      <c r="H188">
        <f>IF($AA188="","",INDEX('Per Line'!$J$2:$J$4001,$AA188)&amp;"")</f>
        <v/>
      </c>
      <c r="I188">
        <f>IF($AA188="","",INDEX('Per Line'!$K$2:$K$4001,$AA188)&amp;"")</f>
        <v/>
      </c>
      <c r="J188">
        <f>IF($AA188="","",INDEX('Per Line'!$L$2:$L$4001,$AA188)&amp;"")</f>
        <v/>
      </c>
      <c r="K188">
        <f>IF($AA188="","",INDEX('Per Line'!$P$2:$P$4001,$AA188))</f>
        <v/>
      </c>
      <c r="L188" s="7">
        <f>IF($AA188="","",IF(AND(ISNUMBER(N188),N188&gt;0,Y188&gt;N188),K188*N188/100+(Y188-N188),K188*Y188/100))</f>
        <v/>
      </c>
      <c r="M188">
        <f>IF($AA188="","",INDEX('Per Line'!$Z$2:$Z$4001,$AA188)&amp;"")</f>
        <v/>
      </c>
      <c r="N188">
        <f>IF($AA188="","",INDEX('Per Line'!$AG$2:$AG$4001,$AA188))</f>
        <v/>
      </c>
      <c r="O188">
        <f>IF($AA188="","",IF(AND(ISNUMBER(N188),N188&gt;0),Y188&gt;N188,FALSE))</f>
        <v/>
      </c>
      <c r="P188" s="7">
        <f>IF($AA188="","",SUMIFS('Per Line'!$Y$2:$Y$4001,'Per Line'!$E$2:$E$4001,$B188,'Per Line'!$AQ$2:$AQ$4001,1))</f>
        <v/>
      </c>
      <c r="Q188">
        <f>IF($AA188="","",Settings!$C$7)</f>
        <v/>
      </c>
      <c r="R188" s="7">
        <f>IF($AA188="","",SUMIFS('Per Line'!$Y$2:$Y$4001,'Per Line'!$E$2:$E$4001,$B188,'Per Line'!$AP$2:$AP$4001,0,'Per Line'!$AQ$2:$AQ$4001,0))</f>
        <v/>
      </c>
      <c r="S188" s="7">
        <f>IF($AA188="","",R188*Q188)</f>
        <v/>
      </c>
      <c r="T188">
        <f>IF($AA188="","",Settings!$C$6)</f>
        <v/>
      </c>
      <c r="U188" s="7">
        <f>IF($AA188="","",SUMIFS('Per Line'!$Y$2:$Y$4001,'Per Line'!$E$2:$E$4001,$B188,'Per Line'!$AP$2:$AP$4001,1,'Per Line'!$AQ$2:$AQ$4001,0))</f>
        <v/>
      </c>
      <c r="V188" s="7">
        <f>IF($AA188="","",U188*T188)</f>
        <v/>
      </c>
      <c r="W188" s="7">
        <f>IF($AA188="","",V188+S188)</f>
        <v/>
      </c>
      <c r="X188" s="7">
        <f>IF($AA188="","",Y188-W188)</f>
        <v/>
      </c>
      <c r="Y188" s="7">
        <f>IF($AA188="","",R188+U188+P188)</f>
        <v/>
      </c>
      <c r="Z188" s="7">
        <f>IF($AA188="","",Y188-W188-L188)</f>
        <v/>
      </c>
      <c r="AA188" s="13">
        <f>IF(ROWS($AA$2:$AA188)&lt;=MAX('Per Line'!$AO$2:$AO$4001),MATCH(ROWS($AA$2:$AA188),'Per Line'!$AO$2:$AO$4001,0),"")</f>
        <v/>
      </c>
      <c r="AB188" s="14">
        <f>IF($AA188="","",L188-K188*Y188/100)</f>
        <v/>
      </c>
    </row>
    <row r="189">
      <c r="A189" s="12" t="n"/>
      <c r="B189">
        <f>IF($AA189="","",INDEX('Per Line'!$E$2:$E$4001,$AA189)&amp;"")</f>
        <v/>
      </c>
      <c r="C189">
        <f>IF($AA189="","",INDEX('Per Line'!$A$2:$A$4001,$AA189)&amp;"")</f>
        <v/>
      </c>
      <c r="D189">
        <f>IF($AA189="","",INDEX('Per Line'!$D$2:$D$4001,$AA189)&amp;"")</f>
        <v/>
      </c>
      <c r="E189" s="11">
        <f>IF($AA189="","",INDEX('Per Line'!$G$2:$G$4001,$AA189))</f>
        <v/>
      </c>
      <c r="F189">
        <f>IF($AA189="","",INDEX('Per Line'!$H$2:$H$4001,$AA189)&amp;"")</f>
        <v/>
      </c>
      <c r="G189">
        <f>IF($AA189="","",INDEX('Per Line'!$I$2:$I$4001,$AA189)&amp;"")</f>
        <v/>
      </c>
      <c r="H189">
        <f>IF($AA189="","",INDEX('Per Line'!$J$2:$J$4001,$AA189)&amp;"")</f>
        <v/>
      </c>
      <c r="I189">
        <f>IF($AA189="","",INDEX('Per Line'!$K$2:$K$4001,$AA189)&amp;"")</f>
        <v/>
      </c>
      <c r="J189">
        <f>IF($AA189="","",INDEX('Per Line'!$L$2:$L$4001,$AA189)&amp;"")</f>
        <v/>
      </c>
      <c r="K189">
        <f>IF($AA189="","",INDEX('Per Line'!$P$2:$P$4001,$AA189))</f>
        <v/>
      </c>
      <c r="L189" s="7">
        <f>IF($AA189="","",IF(AND(ISNUMBER(N189),N189&gt;0,Y189&gt;N189),K189*N189/100+(Y189-N189),K189*Y189/100))</f>
        <v/>
      </c>
      <c r="M189">
        <f>IF($AA189="","",INDEX('Per Line'!$Z$2:$Z$4001,$AA189)&amp;"")</f>
        <v/>
      </c>
      <c r="N189">
        <f>IF($AA189="","",INDEX('Per Line'!$AG$2:$AG$4001,$AA189))</f>
        <v/>
      </c>
      <c r="O189">
        <f>IF($AA189="","",IF(AND(ISNUMBER(N189),N189&gt;0),Y189&gt;N189,FALSE))</f>
        <v/>
      </c>
      <c r="P189" s="7">
        <f>IF($AA189="","",SUMIFS('Per Line'!$Y$2:$Y$4001,'Per Line'!$E$2:$E$4001,$B189,'Per Line'!$AQ$2:$AQ$4001,1))</f>
        <v/>
      </c>
      <c r="Q189">
        <f>IF($AA189="","",Settings!$C$7)</f>
        <v/>
      </c>
      <c r="R189" s="7">
        <f>IF($AA189="","",SUMIFS('Per Line'!$Y$2:$Y$4001,'Per Line'!$E$2:$E$4001,$B189,'Per Line'!$AP$2:$AP$4001,0,'Per Line'!$AQ$2:$AQ$4001,0))</f>
        <v/>
      </c>
      <c r="S189" s="7">
        <f>IF($AA189="","",R189*Q189)</f>
        <v/>
      </c>
      <c r="T189">
        <f>IF($AA189="","",Settings!$C$6)</f>
        <v/>
      </c>
      <c r="U189" s="7">
        <f>IF($AA189="","",SUMIFS('Per Line'!$Y$2:$Y$4001,'Per Line'!$E$2:$E$4001,$B189,'Per Line'!$AP$2:$AP$4001,1,'Per Line'!$AQ$2:$AQ$4001,0))</f>
        <v/>
      </c>
      <c r="V189" s="7">
        <f>IF($AA189="","",U189*T189)</f>
        <v/>
      </c>
      <c r="W189" s="7">
        <f>IF($AA189="","",V189+S189)</f>
        <v/>
      </c>
      <c r="X189" s="7">
        <f>IF($AA189="","",Y189-W189)</f>
        <v/>
      </c>
      <c r="Y189" s="7">
        <f>IF($AA189="","",R189+U189+P189)</f>
        <v/>
      </c>
      <c r="Z189" s="7">
        <f>IF($AA189="","",Y189-W189-L189)</f>
        <v/>
      </c>
      <c r="AA189" s="13">
        <f>IF(ROWS($AA$2:$AA189)&lt;=MAX('Per Line'!$AO$2:$AO$4001),MATCH(ROWS($AA$2:$AA189),'Per Line'!$AO$2:$AO$4001,0),"")</f>
        <v/>
      </c>
      <c r="AB189" s="14">
        <f>IF($AA189="","",L189-K189*Y189/100)</f>
        <v/>
      </c>
    </row>
    <row r="190">
      <c r="A190" s="12" t="n"/>
      <c r="B190">
        <f>IF($AA190="","",INDEX('Per Line'!$E$2:$E$4001,$AA190)&amp;"")</f>
        <v/>
      </c>
      <c r="C190">
        <f>IF($AA190="","",INDEX('Per Line'!$A$2:$A$4001,$AA190)&amp;"")</f>
        <v/>
      </c>
      <c r="D190">
        <f>IF($AA190="","",INDEX('Per Line'!$D$2:$D$4001,$AA190)&amp;"")</f>
        <v/>
      </c>
      <c r="E190" s="11">
        <f>IF($AA190="","",INDEX('Per Line'!$G$2:$G$4001,$AA190))</f>
        <v/>
      </c>
      <c r="F190">
        <f>IF($AA190="","",INDEX('Per Line'!$H$2:$H$4001,$AA190)&amp;"")</f>
        <v/>
      </c>
      <c r="G190">
        <f>IF($AA190="","",INDEX('Per Line'!$I$2:$I$4001,$AA190)&amp;"")</f>
        <v/>
      </c>
      <c r="H190">
        <f>IF($AA190="","",INDEX('Per Line'!$J$2:$J$4001,$AA190)&amp;"")</f>
        <v/>
      </c>
      <c r="I190">
        <f>IF($AA190="","",INDEX('Per Line'!$K$2:$K$4001,$AA190)&amp;"")</f>
        <v/>
      </c>
      <c r="J190">
        <f>IF($AA190="","",INDEX('Per Line'!$L$2:$L$4001,$AA190)&amp;"")</f>
        <v/>
      </c>
      <c r="K190">
        <f>IF($AA190="","",INDEX('Per Line'!$P$2:$P$4001,$AA190))</f>
        <v/>
      </c>
      <c r="L190" s="7">
        <f>IF($AA190="","",IF(AND(ISNUMBER(N190),N190&gt;0,Y190&gt;N190),K190*N190/100+(Y190-N190),K190*Y190/100))</f>
        <v/>
      </c>
      <c r="M190">
        <f>IF($AA190="","",INDEX('Per Line'!$Z$2:$Z$4001,$AA190)&amp;"")</f>
        <v/>
      </c>
      <c r="N190">
        <f>IF($AA190="","",INDEX('Per Line'!$AG$2:$AG$4001,$AA190))</f>
        <v/>
      </c>
      <c r="O190">
        <f>IF($AA190="","",IF(AND(ISNUMBER(N190),N190&gt;0),Y190&gt;N190,FALSE))</f>
        <v/>
      </c>
      <c r="P190" s="7">
        <f>IF($AA190="","",SUMIFS('Per Line'!$Y$2:$Y$4001,'Per Line'!$E$2:$E$4001,$B190,'Per Line'!$AQ$2:$AQ$4001,1))</f>
        <v/>
      </c>
      <c r="Q190">
        <f>IF($AA190="","",Settings!$C$7)</f>
        <v/>
      </c>
      <c r="R190" s="7">
        <f>IF($AA190="","",SUMIFS('Per Line'!$Y$2:$Y$4001,'Per Line'!$E$2:$E$4001,$B190,'Per Line'!$AP$2:$AP$4001,0,'Per Line'!$AQ$2:$AQ$4001,0))</f>
        <v/>
      </c>
      <c r="S190" s="7">
        <f>IF($AA190="","",R190*Q190)</f>
        <v/>
      </c>
      <c r="T190">
        <f>IF($AA190="","",Settings!$C$6)</f>
        <v/>
      </c>
      <c r="U190" s="7">
        <f>IF($AA190="","",SUMIFS('Per Line'!$Y$2:$Y$4001,'Per Line'!$E$2:$E$4001,$B190,'Per Line'!$AP$2:$AP$4001,1,'Per Line'!$AQ$2:$AQ$4001,0))</f>
        <v/>
      </c>
      <c r="V190" s="7">
        <f>IF($AA190="","",U190*T190)</f>
        <v/>
      </c>
      <c r="W190" s="7">
        <f>IF($AA190="","",V190+S190)</f>
        <v/>
      </c>
      <c r="X190" s="7">
        <f>IF($AA190="","",Y190-W190)</f>
        <v/>
      </c>
      <c r="Y190" s="7">
        <f>IF($AA190="","",R190+U190+P190)</f>
        <v/>
      </c>
      <c r="Z190" s="7">
        <f>IF($AA190="","",Y190-W190-L190)</f>
        <v/>
      </c>
      <c r="AA190" s="13">
        <f>IF(ROWS($AA$2:$AA190)&lt;=MAX('Per Line'!$AO$2:$AO$4001),MATCH(ROWS($AA$2:$AA190),'Per Line'!$AO$2:$AO$4001,0),"")</f>
        <v/>
      </c>
      <c r="AB190" s="14">
        <f>IF($AA190="","",L190-K190*Y190/100)</f>
        <v/>
      </c>
    </row>
    <row r="191">
      <c r="A191" s="12" t="n"/>
      <c r="B191">
        <f>IF($AA191="","",INDEX('Per Line'!$E$2:$E$4001,$AA191)&amp;"")</f>
        <v/>
      </c>
      <c r="C191">
        <f>IF($AA191="","",INDEX('Per Line'!$A$2:$A$4001,$AA191)&amp;"")</f>
        <v/>
      </c>
      <c r="D191">
        <f>IF($AA191="","",INDEX('Per Line'!$D$2:$D$4001,$AA191)&amp;"")</f>
        <v/>
      </c>
      <c r="E191" s="11">
        <f>IF($AA191="","",INDEX('Per Line'!$G$2:$G$4001,$AA191))</f>
        <v/>
      </c>
      <c r="F191">
        <f>IF($AA191="","",INDEX('Per Line'!$H$2:$H$4001,$AA191)&amp;"")</f>
        <v/>
      </c>
      <c r="G191">
        <f>IF($AA191="","",INDEX('Per Line'!$I$2:$I$4001,$AA191)&amp;"")</f>
        <v/>
      </c>
      <c r="H191">
        <f>IF($AA191="","",INDEX('Per Line'!$J$2:$J$4001,$AA191)&amp;"")</f>
        <v/>
      </c>
      <c r="I191">
        <f>IF($AA191="","",INDEX('Per Line'!$K$2:$K$4001,$AA191)&amp;"")</f>
        <v/>
      </c>
      <c r="J191">
        <f>IF($AA191="","",INDEX('Per Line'!$L$2:$L$4001,$AA191)&amp;"")</f>
        <v/>
      </c>
      <c r="K191">
        <f>IF($AA191="","",INDEX('Per Line'!$P$2:$P$4001,$AA191))</f>
        <v/>
      </c>
      <c r="L191" s="7">
        <f>IF($AA191="","",IF(AND(ISNUMBER(N191),N191&gt;0,Y191&gt;N191),K191*N191/100+(Y191-N191),K191*Y191/100))</f>
        <v/>
      </c>
      <c r="M191">
        <f>IF($AA191="","",INDEX('Per Line'!$Z$2:$Z$4001,$AA191)&amp;"")</f>
        <v/>
      </c>
      <c r="N191">
        <f>IF($AA191="","",INDEX('Per Line'!$AG$2:$AG$4001,$AA191))</f>
        <v/>
      </c>
      <c r="O191">
        <f>IF($AA191="","",IF(AND(ISNUMBER(N191),N191&gt;0),Y191&gt;N191,FALSE))</f>
        <v/>
      </c>
      <c r="P191" s="7">
        <f>IF($AA191="","",SUMIFS('Per Line'!$Y$2:$Y$4001,'Per Line'!$E$2:$E$4001,$B191,'Per Line'!$AQ$2:$AQ$4001,1))</f>
        <v/>
      </c>
      <c r="Q191">
        <f>IF($AA191="","",Settings!$C$7)</f>
        <v/>
      </c>
      <c r="R191" s="7">
        <f>IF($AA191="","",SUMIFS('Per Line'!$Y$2:$Y$4001,'Per Line'!$E$2:$E$4001,$B191,'Per Line'!$AP$2:$AP$4001,0,'Per Line'!$AQ$2:$AQ$4001,0))</f>
        <v/>
      </c>
      <c r="S191" s="7">
        <f>IF($AA191="","",R191*Q191)</f>
        <v/>
      </c>
      <c r="T191">
        <f>IF($AA191="","",Settings!$C$6)</f>
        <v/>
      </c>
      <c r="U191" s="7">
        <f>IF($AA191="","",SUMIFS('Per Line'!$Y$2:$Y$4001,'Per Line'!$E$2:$E$4001,$B191,'Per Line'!$AP$2:$AP$4001,1,'Per Line'!$AQ$2:$AQ$4001,0))</f>
        <v/>
      </c>
      <c r="V191" s="7">
        <f>IF($AA191="","",U191*T191)</f>
        <v/>
      </c>
      <c r="W191" s="7">
        <f>IF($AA191="","",V191+S191)</f>
        <v/>
      </c>
      <c r="X191" s="7">
        <f>IF($AA191="","",Y191-W191)</f>
        <v/>
      </c>
      <c r="Y191" s="7">
        <f>IF($AA191="","",R191+U191+P191)</f>
        <v/>
      </c>
      <c r="Z191" s="7">
        <f>IF($AA191="","",Y191-W191-L191)</f>
        <v/>
      </c>
      <c r="AA191" s="13">
        <f>IF(ROWS($AA$2:$AA191)&lt;=MAX('Per Line'!$AO$2:$AO$4001),MATCH(ROWS($AA$2:$AA191),'Per Line'!$AO$2:$AO$4001,0),"")</f>
        <v/>
      </c>
      <c r="AB191" s="14">
        <f>IF($AA191="","",L191-K191*Y191/100)</f>
        <v/>
      </c>
    </row>
    <row r="192">
      <c r="A192" s="12" t="n"/>
      <c r="B192">
        <f>IF($AA192="","",INDEX('Per Line'!$E$2:$E$4001,$AA192)&amp;"")</f>
        <v/>
      </c>
      <c r="C192">
        <f>IF($AA192="","",INDEX('Per Line'!$A$2:$A$4001,$AA192)&amp;"")</f>
        <v/>
      </c>
      <c r="D192">
        <f>IF($AA192="","",INDEX('Per Line'!$D$2:$D$4001,$AA192)&amp;"")</f>
        <v/>
      </c>
      <c r="E192" s="11">
        <f>IF($AA192="","",INDEX('Per Line'!$G$2:$G$4001,$AA192))</f>
        <v/>
      </c>
      <c r="F192">
        <f>IF($AA192="","",INDEX('Per Line'!$H$2:$H$4001,$AA192)&amp;"")</f>
        <v/>
      </c>
      <c r="G192">
        <f>IF($AA192="","",INDEX('Per Line'!$I$2:$I$4001,$AA192)&amp;"")</f>
        <v/>
      </c>
      <c r="H192">
        <f>IF($AA192="","",INDEX('Per Line'!$J$2:$J$4001,$AA192)&amp;"")</f>
        <v/>
      </c>
      <c r="I192">
        <f>IF($AA192="","",INDEX('Per Line'!$K$2:$K$4001,$AA192)&amp;"")</f>
        <v/>
      </c>
      <c r="J192">
        <f>IF($AA192="","",INDEX('Per Line'!$L$2:$L$4001,$AA192)&amp;"")</f>
        <v/>
      </c>
      <c r="K192">
        <f>IF($AA192="","",INDEX('Per Line'!$P$2:$P$4001,$AA192))</f>
        <v/>
      </c>
      <c r="L192" s="7">
        <f>IF($AA192="","",IF(AND(ISNUMBER(N192),N192&gt;0,Y192&gt;N192),K192*N192/100+(Y192-N192),K192*Y192/100))</f>
        <v/>
      </c>
      <c r="M192">
        <f>IF($AA192="","",INDEX('Per Line'!$Z$2:$Z$4001,$AA192)&amp;"")</f>
        <v/>
      </c>
      <c r="N192">
        <f>IF($AA192="","",INDEX('Per Line'!$AG$2:$AG$4001,$AA192))</f>
        <v/>
      </c>
      <c r="O192">
        <f>IF($AA192="","",IF(AND(ISNUMBER(N192),N192&gt;0),Y192&gt;N192,FALSE))</f>
        <v/>
      </c>
      <c r="P192" s="7">
        <f>IF($AA192="","",SUMIFS('Per Line'!$Y$2:$Y$4001,'Per Line'!$E$2:$E$4001,$B192,'Per Line'!$AQ$2:$AQ$4001,1))</f>
        <v/>
      </c>
      <c r="Q192">
        <f>IF($AA192="","",Settings!$C$7)</f>
        <v/>
      </c>
      <c r="R192" s="7">
        <f>IF($AA192="","",SUMIFS('Per Line'!$Y$2:$Y$4001,'Per Line'!$E$2:$E$4001,$B192,'Per Line'!$AP$2:$AP$4001,0,'Per Line'!$AQ$2:$AQ$4001,0))</f>
        <v/>
      </c>
      <c r="S192" s="7">
        <f>IF($AA192="","",R192*Q192)</f>
        <v/>
      </c>
      <c r="T192">
        <f>IF($AA192="","",Settings!$C$6)</f>
        <v/>
      </c>
      <c r="U192" s="7">
        <f>IF($AA192="","",SUMIFS('Per Line'!$Y$2:$Y$4001,'Per Line'!$E$2:$E$4001,$B192,'Per Line'!$AP$2:$AP$4001,1,'Per Line'!$AQ$2:$AQ$4001,0))</f>
        <v/>
      </c>
      <c r="V192" s="7">
        <f>IF($AA192="","",U192*T192)</f>
        <v/>
      </c>
      <c r="W192" s="7">
        <f>IF($AA192="","",V192+S192)</f>
        <v/>
      </c>
      <c r="X192" s="7">
        <f>IF($AA192="","",Y192-W192)</f>
        <v/>
      </c>
      <c r="Y192" s="7">
        <f>IF($AA192="","",R192+U192+P192)</f>
        <v/>
      </c>
      <c r="Z192" s="7">
        <f>IF($AA192="","",Y192-W192-L192)</f>
        <v/>
      </c>
      <c r="AA192" s="13">
        <f>IF(ROWS($AA$2:$AA192)&lt;=MAX('Per Line'!$AO$2:$AO$4001),MATCH(ROWS($AA$2:$AA192),'Per Line'!$AO$2:$AO$4001,0),"")</f>
        <v/>
      </c>
      <c r="AB192" s="14">
        <f>IF($AA192="","",L192-K192*Y192/100)</f>
        <v/>
      </c>
    </row>
    <row r="193">
      <c r="A193" s="12" t="n"/>
      <c r="B193">
        <f>IF($AA193="","",INDEX('Per Line'!$E$2:$E$4001,$AA193)&amp;"")</f>
        <v/>
      </c>
      <c r="C193">
        <f>IF($AA193="","",INDEX('Per Line'!$A$2:$A$4001,$AA193)&amp;"")</f>
        <v/>
      </c>
      <c r="D193">
        <f>IF($AA193="","",INDEX('Per Line'!$D$2:$D$4001,$AA193)&amp;"")</f>
        <v/>
      </c>
      <c r="E193" s="11">
        <f>IF($AA193="","",INDEX('Per Line'!$G$2:$G$4001,$AA193))</f>
        <v/>
      </c>
      <c r="F193">
        <f>IF($AA193="","",INDEX('Per Line'!$H$2:$H$4001,$AA193)&amp;"")</f>
        <v/>
      </c>
      <c r="G193">
        <f>IF($AA193="","",INDEX('Per Line'!$I$2:$I$4001,$AA193)&amp;"")</f>
        <v/>
      </c>
      <c r="H193">
        <f>IF($AA193="","",INDEX('Per Line'!$J$2:$J$4001,$AA193)&amp;"")</f>
        <v/>
      </c>
      <c r="I193">
        <f>IF($AA193="","",INDEX('Per Line'!$K$2:$K$4001,$AA193)&amp;"")</f>
        <v/>
      </c>
      <c r="J193">
        <f>IF($AA193="","",INDEX('Per Line'!$L$2:$L$4001,$AA193)&amp;"")</f>
        <v/>
      </c>
      <c r="K193">
        <f>IF($AA193="","",INDEX('Per Line'!$P$2:$P$4001,$AA193))</f>
        <v/>
      </c>
      <c r="L193" s="7">
        <f>IF($AA193="","",IF(AND(ISNUMBER(N193),N193&gt;0,Y193&gt;N193),K193*N193/100+(Y193-N193),K193*Y193/100))</f>
        <v/>
      </c>
      <c r="M193">
        <f>IF($AA193="","",INDEX('Per Line'!$Z$2:$Z$4001,$AA193)&amp;"")</f>
        <v/>
      </c>
      <c r="N193">
        <f>IF($AA193="","",INDEX('Per Line'!$AG$2:$AG$4001,$AA193))</f>
        <v/>
      </c>
      <c r="O193">
        <f>IF($AA193="","",IF(AND(ISNUMBER(N193),N193&gt;0),Y193&gt;N193,FALSE))</f>
        <v/>
      </c>
      <c r="P193" s="7">
        <f>IF($AA193="","",SUMIFS('Per Line'!$Y$2:$Y$4001,'Per Line'!$E$2:$E$4001,$B193,'Per Line'!$AQ$2:$AQ$4001,1))</f>
        <v/>
      </c>
      <c r="Q193">
        <f>IF($AA193="","",Settings!$C$7)</f>
        <v/>
      </c>
      <c r="R193" s="7">
        <f>IF($AA193="","",SUMIFS('Per Line'!$Y$2:$Y$4001,'Per Line'!$E$2:$E$4001,$B193,'Per Line'!$AP$2:$AP$4001,0,'Per Line'!$AQ$2:$AQ$4001,0))</f>
        <v/>
      </c>
      <c r="S193" s="7">
        <f>IF($AA193="","",R193*Q193)</f>
        <v/>
      </c>
      <c r="T193">
        <f>IF($AA193="","",Settings!$C$6)</f>
        <v/>
      </c>
      <c r="U193" s="7">
        <f>IF($AA193="","",SUMIFS('Per Line'!$Y$2:$Y$4001,'Per Line'!$E$2:$E$4001,$B193,'Per Line'!$AP$2:$AP$4001,1,'Per Line'!$AQ$2:$AQ$4001,0))</f>
        <v/>
      </c>
      <c r="V193" s="7">
        <f>IF($AA193="","",U193*T193)</f>
        <v/>
      </c>
      <c r="W193" s="7">
        <f>IF($AA193="","",V193+S193)</f>
        <v/>
      </c>
      <c r="X193" s="7">
        <f>IF($AA193="","",Y193-W193)</f>
        <v/>
      </c>
      <c r="Y193" s="7">
        <f>IF($AA193="","",R193+U193+P193)</f>
        <v/>
      </c>
      <c r="Z193" s="7">
        <f>IF($AA193="","",Y193-W193-L193)</f>
        <v/>
      </c>
      <c r="AA193" s="13">
        <f>IF(ROWS($AA$2:$AA193)&lt;=MAX('Per Line'!$AO$2:$AO$4001),MATCH(ROWS($AA$2:$AA193),'Per Line'!$AO$2:$AO$4001,0),"")</f>
        <v/>
      </c>
      <c r="AB193" s="14">
        <f>IF($AA193="","",L193-K193*Y193/100)</f>
        <v/>
      </c>
    </row>
    <row r="194">
      <c r="A194" s="12" t="n"/>
      <c r="B194">
        <f>IF($AA194="","",INDEX('Per Line'!$E$2:$E$4001,$AA194)&amp;"")</f>
        <v/>
      </c>
      <c r="C194">
        <f>IF($AA194="","",INDEX('Per Line'!$A$2:$A$4001,$AA194)&amp;"")</f>
        <v/>
      </c>
      <c r="D194">
        <f>IF($AA194="","",INDEX('Per Line'!$D$2:$D$4001,$AA194)&amp;"")</f>
        <v/>
      </c>
      <c r="E194" s="11">
        <f>IF($AA194="","",INDEX('Per Line'!$G$2:$G$4001,$AA194))</f>
        <v/>
      </c>
      <c r="F194">
        <f>IF($AA194="","",INDEX('Per Line'!$H$2:$H$4001,$AA194)&amp;"")</f>
        <v/>
      </c>
      <c r="G194">
        <f>IF($AA194="","",INDEX('Per Line'!$I$2:$I$4001,$AA194)&amp;"")</f>
        <v/>
      </c>
      <c r="H194">
        <f>IF($AA194="","",INDEX('Per Line'!$J$2:$J$4001,$AA194)&amp;"")</f>
        <v/>
      </c>
      <c r="I194">
        <f>IF($AA194="","",INDEX('Per Line'!$K$2:$K$4001,$AA194)&amp;"")</f>
        <v/>
      </c>
      <c r="J194">
        <f>IF($AA194="","",INDEX('Per Line'!$L$2:$L$4001,$AA194)&amp;"")</f>
        <v/>
      </c>
      <c r="K194">
        <f>IF($AA194="","",INDEX('Per Line'!$P$2:$P$4001,$AA194))</f>
        <v/>
      </c>
      <c r="L194" s="7">
        <f>IF($AA194="","",IF(AND(ISNUMBER(N194),N194&gt;0,Y194&gt;N194),K194*N194/100+(Y194-N194),K194*Y194/100))</f>
        <v/>
      </c>
      <c r="M194">
        <f>IF($AA194="","",INDEX('Per Line'!$Z$2:$Z$4001,$AA194)&amp;"")</f>
        <v/>
      </c>
      <c r="N194">
        <f>IF($AA194="","",INDEX('Per Line'!$AG$2:$AG$4001,$AA194))</f>
        <v/>
      </c>
      <c r="O194">
        <f>IF($AA194="","",IF(AND(ISNUMBER(N194),N194&gt;0),Y194&gt;N194,FALSE))</f>
        <v/>
      </c>
      <c r="P194" s="7">
        <f>IF($AA194="","",SUMIFS('Per Line'!$Y$2:$Y$4001,'Per Line'!$E$2:$E$4001,$B194,'Per Line'!$AQ$2:$AQ$4001,1))</f>
        <v/>
      </c>
      <c r="Q194">
        <f>IF($AA194="","",Settings!$C$7)</f>
        <v/>
      </c>
      <c r="R194" s="7">
        <f>IF($AA194="","",SUMIFS('Per Line'!$Y$2:$Y$4001,'Per Line'!$E$2:$E$4001,$B194,'Per Line'!$AP$2:$AP$4001,0,'Per Line'!$AQ$2:$AQ$4001,0))</f>
        <v/>
      </c>
      <c r="S194" s="7">
        <f>IF($AA194="","",R194*Q194)</f>
        <v/>
      </c>
      <c r="T194">
        <f>IF($AA194="","",Settings!$C$6)</f>
        <v/>
      </c>
      <c r="U194" s="7">
        <f>IF($AA194="","",SUMIFS('Per Line'!$Y$2:$Y$4001,'Per Line'!$E$2:$E$4001,$B194,'Per Line'!$AP$2:$AP$4001,1,'Per Line'!$AQ$2:$AQ$4001,0))</f>
        <v/>
      </c>
      <c r="V194" s="7">
        <f>IF($AA194="","",U194*T194)</f>
        <v/>
      </c>
      <c r="W194" s="7">
        <f>IF($AA194="","",V194+S194)</f>
        <v/>
      </c>
      <c r="X194" s="7">
        <f>IF($AA194="","",Y194-W194)</f>
        <v/>
      </c>
      <c r="Y194" s="7">
        <f>IF($AA194="","",R194+U194+P194)</f>
        <v/>
      </c>
      <c r="Z194" s="7">
        <f>IF($AA194="","",Y194-W194-L194)</f>
        <v/>
      </c>
      <c r="AA194" s="13">
        <f>IF(ROWS($AA$2:$AA194)&lt;=MAX('Per Line'!$AO$2:$AO$4001),MATCH(ROWS($AA$2:$AA194),'Per Line'!$AO$2:$AO$4001,0),"")</f>
        <v/>
      </c>
      <c r="AB194" s="14">
        <f>IF($AA194="","",L194-K194*Y194/100)</f>
        <v/>
      </c>
    </row>
    <row r="195">
      <c r="A195" s="12" t="n"/>
      <c r="B195">
        <f>IF($AA195="","",INDEX('Per Line'!$E$2:$E$4001,$AA195)&amp;"")</f>
        <v/>
      </c>
      <c r="C195">
        <f>IF($AA195="","",INDEX('Per Line'!$A$2:$A$4001,$AA195)&amp;"")</f>
        <v/>
      </c>
      <c r="D195">
        <f>IF($AA195="","",INDEX('Per Line'!$D$2:$D$4001,$AA195)&amp;"")</f>
        <v/>
      </c>
      <c r="E195" s="11">
        <f>IF($AA195="","",INDEX('Per Line'!$G$2:$G$4001,$AA195))</f>
        <v/>
      </c>
      <c r="F195">
        <f>IF($AA195="","",INDEX('Per Line'!$H$2:$H$4001,$AA195)&amp;"")</f>
        <v/>
      </c>
      <c r="G195">
        <f>IF($AA195="","",INDEX('Per Line'!$I$2:$I$4001,$AA195)&amp;"")</f>
        <v/>
      </c>
      <c r="H195">
        <f>IF($AA195="","",INDEX('Per Line'!$J$2:$J$4001,$AA195)&amp;"")</f>
        <v/>
      </c>
      <c r="I195">
        <f>IF($AA195="","",INDEX('Per Line'!$K$2:$K$4001,$AA195)&amp;"")</f>
        <v/>
      </c>
      <c r="J195">
        <f>IF($AA195="","",INDEX('Per Line'!$L$2:$L$4001,$AA195)&amp;"")</f>
        <v/>
      </c>
      <c r="K195">
        <f>IF($AA195="","",INDEX('Per Line'!$P$2:$P$4001,$AA195))</f>
        <v/>
      </c>
      <c r="L195" s="7">
        <f>IF($AA195="","",IF(AND(ISNUMBER(N195),N195&gt;0,Y195&gt;N195),K195*N195/100+(Y195-N195),K195*Y195/100))</f>
        <v/>
      </c>
      <c r="M195">
        <f>IF($AA195="","",INDEX('Per Line'!$Z$2:$Z$4001,$AA195)&amp;"")</f>
        <v/>
      </c>
      <c r="N195">
        <f>IF($AA195="","",INDEX('Per Line'!$AG$2:$AG$4001,$AA195))</f>
        <v/>
      </c>
      <c r="O195">
        <f>IF($AA195="","",IF(AND(ISNUMBER(N195),N195&gt;0),Y195&gt;N195,FALSE))</f>
        <v/>
      </c>
      <c r="P195" s="7">
        <f>IF($AA195="","",SUMIFS('Per Line'!$Y$2:$Y$4001,'Per Line'!$E$2:$E$4001,$B195,'Per Line'!$AQ$2:$AQ$4001,1))</f>
        <v/>
      </c>
      <c r="Q195">
        <f>IF($AA195="","",Settings!$C$7)</f>
        <v/>
      </c>
      <c r="R195" s="7">
        <f>IF($AA195="","",SUMIFS('Per Line'!$Y$2:$Y$4001,'Per Line'!$E$2:$E$4001,$B195,'Per Line'!$AP$2:$AP$4001,0,'Per Line'!$AQ$2:$AQ$4001,0))</f>
        <v/>
      </c>
      <c r="S195" s="7">
        <f>IF($AA195="","",R195*Q195)</f>
        <v/>
      </c>
      <c r="T195">
        <f>IF($AA195="","",Settings!$C$6)</f>
        <v/>
      </c>
      <c r="U195" s="7">
        <f>IF($AA195="","",SUMIFS('Per Line'!$Y$2:$Y$4001,'Per Line'!$E$2:$E$4001,$B195,'Per Line'!$AP$2:$AP$4001,1,'Per Line'!$AQ$2:$AQ$4001,0))</f>
        <v/>
      </c>
      <c r="V195" s="7">
        <f>IF($AA195="","",U195*T195)</f>
        <v/>
      </c>
      <c r="W195" s="7">
        <f>IF($AA195="","",V195+S195)</f>
        <v/>
      </c>
      <c r="X195" s="7">
        <f>IF($AA195="","",Y195-W195)</f>
        <v/>
      </c>
      <c r="Y195" s="7">
        <f>IF($AA195="","",R195+U195+P195)</f>
        <v/>
      </c>
      <c r="Z195" s="7">
        <f>IF($AA195="","",Y195-W195-L195)</f>
        <v/>
      </c>
      <c r="AA195" s="13">
        <f>IF(ROWS($AA$2:$AA195)&lt;=MAX('Per Line'!$AO$2:$AO$4001),MATCH(ROWS($AA$2:$AA195),'Per Line'!$AO$2:$AO$4001,0),"")</f>
        <v/>
      </c>
      <c r="AB195" s="14">
        <f>IF($AA195="","",L195-K195*Y195/100)</f>
        <v/>
      </c>
    </row>
    <row r="196">
      <c r="A196" s="12" t="n"/>
      <c r="B196">
        <f>IF($AA196="","",INDEX('Per Line'!$E$2:$E$4001,$AA196)&amp;"")</f>
        <v/>
      </c>
      <c r="C196">
        <f>IF($AA196="","",INDEX('Per Line'!$A$2:$A$4001,$AA196)&amp;"")</f>
        <v/>
      </c>
      <c r="D196">
        <f>IF($AA196="","",INDEX('Per Line'!$D$2:$D$4001,$AA196)&amp;"")</f>
        <v/>
      </c>
      <c r="E196" s="11">
        <f>IF($AA196="","",INDEX('Per Line'!$G$2:$G$4001,$AA196))</f>
        <v/>
      </c>
      <c r="F196">
        <f>IF($AA196="","",INDEX('Per Line'!$H$2:$H$4001,$AA196)&amp;"")</f>
        <v/>
      </c>
      <c r="G196">
        <f>IF($AA196="","",INDEX('Per Line'!$I$2:$I$4001,$AA196)&amp;"")</f>
        <v/>
      </c>
      <c r="H196">
        <f>IF($AA196="","",INDEX('Per Line'!$J$2:$J$4001,$AA196)&amp;"")</f>
        <v/>
      </c>
      <c r="I196">
        <f>IF($AA196="","",INDEX('Per Line'!$K$2:$K$4001,$AA196)&amp;"")</f>
        <v/>
      </c>
      <c r="J196">
        <f>IF($AA196="","",INDEX('Per Line'!$L$2:$L$4001,$AA196)&amp;"")</f>
        <v/>
      </c>
      <c r="K196">
        <f>IF($AA196="","",INDEX('Per Line'!$P$2:$P$4001,$AA196))</f>
        <v/>
      </c>
      <c r="L196" s="7">
        <f>IF($AA196="","",IF(AND(ISNUMBER(N196),N196&gt;0,Y196&gt;N196),K196*N196/100+(Y196-N196),K196*Y196/100))</f>
        <v/>
      </c>
      <c r="M196">
        <f>IF($AA196="","",INDEX('Per Line'!$Z$2:$Z$4001,$AA196)&amp;"")</f>
        <v/>
      </c>
      <c r="N196">
        <f>IF($AA196="","",INDEX('Per Line'!$AG$2:$AG$4001,$AA196))</f>
        <v/>
      </c>
      <c r="O196">
        <f>IF($AA196="","",IF(AND(ISNUMBER(N196),N196&gt;0),Y196&gt;N196,FALSE))</f>
        <v/>
      </c>
      <c r="P196" s="7">
        <f>IF($AA196="","",SUMIFS('Per Line'!$Y$2:$Y$4001,'Per Line'!$E$2:$E$4001,$B196,'Per Line'!$AQ$2:$AQ$4001,1))</f>
        <v/>
      </c>
      <c r="Q196">
        <f>IF($AA196="","",Settings!$C$7)</f>
        <v/>
      </c>
      <c r="R196" s="7">
        <f>IF($AA196="","",SUMIFS('Per Line'!$Y$2:$Y$4001,'Per Line'!$E$2:$E$4001,$B196,'Per Line'!$AP$2:$AP$4001,0,'Per Line'!$AQ$2:$AQ$4001,0))</f>
        <v/>
      </c>
      <c r="S196" s="7">
        <f>IF($AA196="","",R196*Q196)</f>
        <v/>
      </c>
      <c r="T196">
        <f>IF($AA196="","",Settings!$C$6)</f>
        <v/>
      </c>
      <c r="U196" s="7">
        <f>IF($AA196="","",SUMIFS('Per Line'!$Y$2:$Y$4001,'Per Line'!$E$2:$E$4001,$B196,'Per Line'!$AP$2:$AP$4001,1,'Per Line'!$AQ$2:$AQ$4001,0))</f>
        <v/>
      </c>
      <c r="V196" s="7">
        <f>IF($AA196="","",U196*T196)</f>
        <v/>
      </c>
      <c r="W196" s="7">
        <f>IF($AA196="","",V196+S196)</f>
        <v/>
      </c>
      <c r="X196" s="7">
        <f>IF($AA196="","",Y196-W196)</f>
        <v/>
      </c>
      <c r="Y196" s="7">
        <f>IF($AA196="","",R196+U196+P196)</f>
        <v/>
      </c>
      <c r="Z196" s="7">
        <f>IF($AA196="","",Y196-W196-L196)</f>
        <v/>
      </c>
      <c r="AA196" s="13">
        <f>IF(ROWS($AA$2:$AA196)&lt;=MAX('Per Line'!$AO$2:$AO$4001),MATCH(ROWS($AA$2:$AA196),'Per Line'!$AO$2:$AO$4001,0),"")</f>
        <v/>
      </c>
      <c r="AB196" s="14">
        <f>IF($AA196="","",L196-K196*Y196/100)</f>
        <v/>
      </c>
    </row>
    <row r="197">
      <c r="A197" s="12" t="n"/>
      <c r="B197">
        <f>IF($AA197="","",INDEX('Per Line'!$E$2:$E$4001,$AA197)&amp;"")</f>
        <v/>
      </c>
      <c r="C197">
        <f>IF($AA197="","",INDEX('Per Line'!$A$2:$A$4001,$AA197)&amp;"")</f>
        <v/>
      </c>
      <c r="D197">
        <f>IF($AA197="","",INDEX('Per Line'!$D$2:$D$4001,$AA197)&amp;"")</f>
        <v/>
      </c>
      <c r="E197" s="11">
        <f>IF($AA197="","",INDEX('Per Line'!$G$2:$G$4001,$AA197))</f>
        <v/>
      </c>
      <c r="F197">
        <f>IF($AA197="","",INDEX('Per Line'!$H$2:$H$4001,$AA197)&amp;"")</f>
        <v/>
      </c>
      <c r="G197">
        <f>IF($AA197="","",INDEX('Per Line'!$I$2:$I$4001,$AA197)&amp;"")</f>
        <v/>
      </c>
      <c r="H197">
        <f>IF($AA197="","",INDEX('Per Line'!$J$2:$J$4001,$AA197)&amp;"")</f>
        <v/>
      </c>
      <c r="I197">
        <f>IF($AA197="","",INDEX('Per Line'!$K$2:$K$4001,$AA197)&amp;"")</f>
        <v/>
      </c>
      <c r="J197">
        <f>IF($AA197="","",INDEX('Per Line'!$L$2:$L$4001,$AA197)&amp;"")</f>
        <v/>
      </c>
      <c r="K197">
        <f>IF($AA197="","",INDEX('Per Line'!$P$2:$P$4001,$AA197))</f>
        <v/>
      </c>
      <c r="L197" s="7">
        <f>IF($AA197="","",IF(AND(ISNUMBER(N197),N197&gt;0,Y197&gt;N197),K197*N197/100+(Y197-N197),K197*Y197/100))</f>
        <v/>
      </c>
      <c r="M197">
        <f>IF($AA197="","",INDEX('Per Line'!$Z$2:$Z$4001,$AA197)&amp;"")</f>
        <v/>
      </c>
      <c r="N197">
        <f>IF($AA197="","",INDEX('Per Line'!$AG$2:$AG$4001,$AA197))</f>
        <v/>
      </c>
      <c r="O197">
        <f>IF($AA197="","",IF(AND(ISNUMBER(N197),N197&gt;0),Y197&gt;N197,FALSE))</f>
        <v/>
      </c>
      <c r="P197" s="7">
        <f>IF($AA197="","",SUMIFS('Per Line'!$Y$2:$Y$4001,'Per Line'!$E$2:$E$4001,$B197,'Per Line'!$AQ$2:$AQ$4001,1))</f>
        <v/>
      </c>
      <c r="Q197">
        <f>IF($AA197="","",Settings!$C$7)</f>
        <v/>
      </c>
      <c r="R197" s="7">
        <f>IF($AA197="","",SUMIFS('Per Line'!$Y$2:$Y$4001,'Per Line'!$E$2:$E$4001,$B197,'Per Line'!$AP$2:$AP$4001,0,'Per Line'!$AQ$2:$AQ$4001,0))</f>
        <v/>
      </c>
      <c r="S197" s="7">
        <f>IF($AA197="","",R197*Q197)</f>
        <v/>
      </c>
      <c r="T197">
        <f>IF($AA197="","",Settings!$C$6)</f>
        <v/>
      </c>
      <c r="U197" s="7">
        <f>IF($AA197="","",SUMIFS('Per Line'!$Y$2:$Y$4001,'Per Line'!$E$2:$E$4001,$B197,'Per Line'!$AP$2:$AP$4001,1,'Per Line'!$AQ$2:$AQ$4001,0))</f>
        <v/>
      </c>
      <c r="V197" s="7">
        <f>IF($AA197="","",U197*T197)</f>
        <v/>
      </c>
      <c r="W197" s="7">
        <f>IF($AA197="","",V197+S197)</f>
        <v/>
      </c>
      <c r="X197" s="7">
        <f>IF($AA197="","",Y197-W197)</f>
        <v/>
      </c>
      <c r="Y197" s="7">
        <f>IF($AA197="","",R197+U197+P197)</f>
        <v/>
      </c>
      <c r="Z197" s="7">
        <f>IF($AA197="","",Y197-W197-L197)</f>
        <v/>
      </c>
      <c r="AA197" s="13">
        <f>IF(ROWS($AA$2:$AA197)&lt;=MAX('Per Line'!$AO$2:$AO$4001),MATCH(ROWS($AA$2:$AA197),'Per Line'!$AO$2:$AO$4001,0),"")</f>
        <v/>
      </c>
      <c r="AB197" s="14">
        <f>IF($AA197="","",L197-K197*Y197/100)</f>
        <v/>
      </c>
    </row>
    <row r="198">
      <c r="A198" s="12" t="n"/>
      <c r="B198">
        <f>IF($AA198="","",INDEX('Per Line'!$E$2:$E$4001,$AA198)&amp;"")</f>
        <v/>
      </c>
      <c r="C198">
        <f>IF($AA198="","",INDEX('Per Line'!$A$2:$A$4001,$AA198)&amp;"")</f>
        <v/>
      </c>
      <c r="D198">
        <f>IF($AA198="","",INDEX('Per Line'!$D$2:$D$4001,$AA198)&amp;"")</f>
        <v/>
      </c>
      <c r="E198" s="11">
        <f>IF($AA198="","",INDEX('Per Line'!$G$2:$G$4001,$AA198))</f>
        <v/>
      </c>
      <c r="F198">
        <f>IF($AA198="","",INDEX('Per Line'!$H$2:$H$4001,$AA198)&amp;"")</f>
        <v/>
      </c>
      <c r="G198">
        <f>IF($AA198="","",INDEX('Per Line'!$I$2:$I$4001,$AA198)&amp;"")</f>
        <v/>
      </c>
      <c r="H198">
        <f>IF($AA198="","",INDEX('Per Line'!$J$2:$J$4001,$AA198)&amp;"")</f>
        <v/>
      </c>
      <c r="I198">
        <f>IF($AA198="","",INDEX('Per Line'!$K$2:$K$4001,$AA198)&amp;"")</f>
        <v/>
      </c>
      <c r="J198">
        <f>IF($AA198="","",INDEX('Per Line'!$L$2:$L$4001,$AA198)&amp;"")</f>
        <v/>
      </c>
      <c r="K198">
        <f>IF($AA198="","",INDEX('Per Line'!$P$2:$P$4001,$AA198))</f>
        <v/>
      </c>
      <c r="L198" s="7">
        <f>IF($AA198="","",IF(AND(ISNUMBER(N198),N198&gt;0,Y198&gt;N198),K198*N198/100+(Y198-N198),K198*Y198/100))</f>
        <v/>
      </c>
      <c r="M198">
        <f>IF($AA198="","",INDEX('Per Line'!$Z$2:$Z$4001,$AA198)&amp;"")</f>
        <v/>
      </c>
      <c r="N198">
        <f>IF($AA198="","",INDEX('Per Line'!$AG$2:$AG$4001,$AA198))</f>
        <v/>
      </c>
      <c r="O198">
        <f>IF($AA198="","",IF(AND(ISNUMBER(N198),N198&gt;0),Y198&gt;N198,FALSE))</f>
        <v/>
      </c>
      <c r="P198" s="7">
        <f>IF($AA198="","",SUMIFS('Per Line'!$Y$2:$Y$4001,'Per Line'!$E$2:$E$4001,$B198,'Per Line'!$AQ$2:$AQ$4001,1))</f>
        <v/>
      </c>
      <c r="Q198">
        <f>IF($AA198="","",Settings!$C$7)</f>
        <v/>
      </c>
      <c r="R198" s="7">
        <f>IF($AA198="","",SUMIFS('Per Line'!$Y$2:$Y$4001,'Per Line'!$E$2:$E$4001,$B198,'Per Line'!$AP$2:$AP$4001,0,'Per Line'!$AQ$2:$AQ$4001,0))</f>
        <v/>
      </c>
      <c r="S198" s="7">
        <f>IF($AA198="","",R198*Q198)</f>
        <v/>
      </c>
      <c r="T198">
        <f>IF($AA198="","",Settings!$C$6)</f>
        <v/>
      </c>
      <c r="U198" s="7">
        <f>IF($AA198="","",SUMIFS('Per Line'!$Y$2:$Y$4001,'Per Line'!$E$2:$E$4001,$B198,'Per Line'!$AP$2:$AP$4001,1,'Per Line'!$AQ$2:$AQ$4001,0))</f>
        <v/>
      </c>
      <c r="V198" s="7">
        <f>IF($AA198="","",U198*T198)</f>
        <v/>
      </c>
      <c r="W198" s="7">
        <f>IF($AA198="","",V198+S198)</f>
        <v/>
      </c>
      <c r="X198" s="7">
        <f>IF($AA198="","",Y198-W198)</f>
        <v/>
      </c>
      <c r="Y198" s="7">
        <f>IF($AA198="","",R198+U198+P198)</f>
        <v/>
      </c>
      <c r="Z198" s="7">
        <f>IF($AA198="","",Y198-W198-L198)</f>
        <v/>
      </c>
      <c r="AA198" s="13">
        <f>IF(ROWS($AA$2:$AA198)&lt;=MAX('Per Line'!$AO$2:$AO$4001),MATCH(ROWS($AA$2:$AA198),'Per Line'!$AO$2:$AO$4001,0),"")</f>
        <v/>
      </c>
      <c r="AB198" s="14">
        <f>IF($AA198="","",L198-K198*Y198/100)</f>
        <v/>
      </c>
    </row>
    <row r="199">
      <c r="A199" s="12" t="n"/>
      <c r="B199">
        <f>IF($AA199="","",INDEX('Per Line'!$E$2:$E$4001,$AA199)&amp;"")</f>
        <v/>
      </c>
      <c r="C199">
        <f>IF($AA199="","",INDEX('Per Line'!$A$2:$A$4001,$AA199)&amp;"")</f>
        <v/>
      </c>
      <c r="D199">
        <f>IF($AA199="","",INDEX('Per Line'!$D$2:$D$4001,$AA199)&amp;"")</f>
        <v/>
      </c>
      <c r="E199" s="11">
        <f>IF($AA199="","",INDEX('Per Line'!$G$2:$G$4001,$AA199))</f>
        <v/>
      </c>
      <c r="F199">
        <f>IF($AA199="","",INDEX('Per Line'!$H$2:$H$4001,$AA199)&amp;"")</f>
        <v/>
      </c>
      <c r="G199">
        <f>IF($AA199="","",INDEX('Per Line'!$I$2:$I$4001,$AA199)&amp;"")</f>
        <v/>
      </c>
      <c r="H199">
        <f>IF($AA199="","",INDEX('Per Line'!$J$2:$J$4001,$AA199)&amp;"")</f>
        <v/>
      </c>
      <c r="I199">
        <f>IF($AA199="","",INDEX('Per Line'!$K$2:$K$4001,$AA199)&amp;"")</f>
        <v/>
      </c>
      <c r="J199">
        <f>IF($AA199="","",INDEX('Per Line'!$L$2:$L$4001,$AA199)&amp;"")</f>
        <v/>
      </c>
      <c r="K199">
        <f>IF($AA199="","",INDEX('Per Line'!$P$2:$P$4001,$AA199))</f>
        <v/>
      </c>
      <c r="L199" s="7">
        <f>IF($AA199="","",IF(AND(ISNUMBER(N199),N199&gt;0,Y199&gt;N199),K199*N199/100+(Y199-N199),K199*Y199/100))</f>
        <v/>
      </c>
      <c r="M199">
        <f>IF($AA199="","",INDEX('Per Line'!$Z$2:$Z$4001,$AA199)&amp;"")</f>
        <v/>
      </c>
      <c r="N199">
        <f>IF($AA199="","",INDEX('Per Line'!$AG$2:$AG$4001,$AA199))</f>
        <v/>
      </c>
      <c r="O199">
        <f>IF($AA199="","",IF(AND(ISNUMBER(N199),N199&gt;0),Y199&gt;N199,FALSE))</f>
        <v/>
      </c>
      <c r="P199" s="7">
        <f>IF($AA199="","",SUMIFS('Per Line'!$Y$2:$Y$4001,'Per Line'!$E$2:$E$4001,$B199,'Per Line'!$AQ$2:$AQ$4001,1))</f>
        <v/>
      </c>
      <c r="Q199">
        <f>IF($AA199="","",Settings!$C$7)</f>
        <v/>
      </c>
      <c r="R199" s="7">
        <f>IF($AA199="","",SUMIFS('Per Line'!$Y$2:$Y$4001,'Per Line'!$E$2:$E$4001,$B199,'Per Line'!$AP$2:$AP$4001,0,'Per Line'!$AQ$2:$AQ$4001,0))</f>
        <v/>
      </c>
      <c r="S199" s="7">
        <f>IF($AA199="","",R199*Q199)</f>
        <v/>
      </c>
      <c r="T199">
        <f>IF($AA199="","",Settings!$C$6)</f>
        <v/>
      </c>
      <c r="U199" s="7">
        <f>IF($AA199="","",SUMIFS('Per Line'!$Y$2:$Y$4001,'Per Line'!$E$2:$E$4001,$B199,'Per Line'!$AP$2:$AP$4001,1,'Per Line'!$AQ$2:$AQ$4001,0))</f>
        <v/>
      </c>
      <c r="V199" s="7">
        <f>IF($AA199="","",U199*T199)</f>
        <v/>
      </c>
      <c r="W199" s="7">
        <f>IF($AA199="","",V199+S199)</f>
        <v/>
      </c>
      <c r="X199" s="7">
        <f>IF($AA199="","",Y199-W199)</f>
        <v/>
      </c>
      <c r="Y199" s="7">
        <f>IF($AA199="","",R199+U199+P199)</f>
        <v/>
      </c>
      <c r="Z199" s="7">
        <f>IF($AA199="","",Y199-W199-L199)</f>
        <v/>
      </c>
      <c r="AA199" s="13">
        <f>IF(ROWS($AA$2:$AA199)&lt;=MAX('Per Line'!$AO$2:$AO$4001),MATCH(ROWS($AA$2:$AA199),'Per Line'!$AO$2:$AO$4001,0),"")</f>
        <v/>
      </c>
      <c r="AB199" s="14">
        <f>IF($AA199="","",L199-K199*Y199/100)</f>
        <v/>
      </c>
    </row>
    <row r="200">
      <c r="A200" s="12" t="n"/>
      <c r="B200">
        <f>IF($AA200="","",INDEX('Per Line'!$E$2:$E$4001,$AA200)&amp;"")</f>
        <v/>
      </c>
      <c r="C200">
        <f>IF($AA200="","",INDEX('Per Line'!$A$2:$A$4001,$AA200)&amp;"")</f>
        <v/>
      </c>
      <c r="D200">
        <f>IF($AA200="","",INDEX('Per Line'!$D$2:$D$4001,$AA200)&amp;"")</f>
        <v/>
      </c>
      <c r="E200" s="11">
        <f>IF($AA200="","",INDEX('Per Line'!$G$2:$G$4001,$AA200))</f>
        <v/>
      </c>
      <c r="F200">
        <f>IF($AA200="","",INDEX('Per Line'!$H$2:$H$4001,$AA200)&amp;"")</f>
        <v/>
      </c>
      <c r="G200">
        <f>IF($AA200="","",INDEX('Per Line'!$I$2:$I$4001,$AA200)&amp;"")</f>
        <v/>
      </c>
      <c r="H200">
        <f>IF($AA200="","",INDEX('Per Line'!$J$2:$J$4001,$AA200)&amp;"")</f>
        <v/>
      </c>
      <c r="I200">
        <f>IF($AA200="","",INDEX('Per Line'!$K$2:$K$4001,$AA200)&amp;"")</f>
        <v/>
      </c>
      <c r="J200">
        <f>IF($AA200="","",INDEX('Per Line'!$L$2:$L$4001,$AA200)&amp;"")</f>
        <v/>
      </c>
      <c r="K200">
        <f>IF($AA200="","",INDEX('Per Line'!$P$2:$P$4001,$AA200))</f>
        <v/>
      </c>
      <c r="L200" s="7">
        <f>IF($AA200="","",IF(AND(ISNUMBER(N200),N200&gt;0,Y200&gt;N200),K200*N200/100+(Y200-N200),K200*Y200/100))</f>
        <v/>
      </c>
      <c r="M200">
        <f>IF($AA200="","",INDEX('Per Line'!$Z$2:$Z$4001,$AA200)&amp;"")</f>
        <v/>
      </c>
      <c r="N200">
        <f>IF($AA200="","",INDEX('Per Line'!$AG$2:$AG$4001,$AA200))</f>
        <v/>
      </c>
      <c r="O200">
        <f>IF($AA200="","",IF(AND(ISNUMBER(N200),N200&gt;0),Y200&gt;N200,FALSE))</f>
        <v/>
      </c>
      <c r="P200" s="7">
        <f>IF($AA200="","",SUMIFS('Per Line'!$Y$2:$Y$4001,'Per Line'!$E$2:$E$4001,$B200,'Per Line'!$AQ$2:$AQ$4001,1))</f>
        <v/>
      </c>
      <c r="Q200">
        <f>IF($AA200="","",Settings!$C$7)</f>
        <v/>
      </c>
      <c r="R200" s="7">
        <f>IF($AA200="","",SUMIFS('Per Line'!$Y$2:$Y$4001,'Per Line'!$E$2:$E$4001,$B200,'Per Line'!$AP$2:$AP$4001,0,'Per Line'!$AQ$2:$AQ$4001,0))</f>
        <v/>
      </c>
      <c r="S200" s="7">
        <f>IF($AA200="","",R200*Q200)</f>
        <v/>
      </c>
      <c r="T200">
        <f>IF($AA200="","",Settings!$C$6)</f>
        <v/>
      </c>
      <c r="U200" s="7">
        <f>IF($AA200="","",SUMIFS('Per Line'!$Y$2:$Y$4001,'Per Line'!$E$2:$E$4001,$B200,'Per Line'!$AP$2:$AP$4001,1,'Per Line'!$AQ$2:$AQ$4001,0))</f>
        <v/>
      </c>
      <c r="V200" s="7">
        <f>IF($AA200="","",U200*T200)</f>
        <v/>
      </c>
      <c r="W200" s="7">
        <f>IF($AA200="","",V200+S200)</f>
        <v/>
      </c>
      <c r="X200" s="7">
        <f>IF($AA200="","",Y200-W200)</f>
        <v/>
      </c>
      <c r="Y200" s="7">
        <f>IF($AA200="","",R200+U200+P200)</f>
        <v/>
      </c>
      <c r="Z200" s="7">
        <f>IF($AA200="","",Y200-W200-L200)</f>
        <v/>
      </c>
      <c r="AA200" s="13">
        <f>IF(ROWS($AA$2:$AA200)&lt;=MAX('Per Line'!$AO$2:$AO$4001),MATCH(ROWS($AA$2:$AA200),'Per Line'!$AO$2:$AO$4001,0),"")</f>
        <v/>
      </c>
      <c r="AB200" s="14">
        <f>IF($AA200="","",L200-K200*Y200/100)</f>
        <v/>
      </c>
    </row>
    <row r="201">
      <c r="A201" s="12" t="n"/>
      <c r="B201">
        <f>IF($AA201="","",INDEX('Per Line'!$E$2:$E$4001,$AA201)&amp;"")</f>
        <v/>
      </c>
      <c r="C201">
        <f>IF($AA201="","",INDEX('Per Line'!$A$2:$A$4001,$AA201)&amp;"")</f>
        <v/>
      </c>
      <c r="D201">
        <f>IF($AA201="","",INDEX('Per Line'!$D$2:$D$4001,$AA201)&amp;"")</f>
        <v/>
      </c>
      <c r="E201" s="11">
        <f>IF($AA201="","",INDEX('Per Line'!$G$2:$G$4001,$AA201))</f>
        <v/>
      </c>
      <c r="F201">
        <f>IF($AA201="","",INDEX('Per Line'!$H$2:$H$4001,$AA201)&amp;"")</f>
        <v/>
      </c>
      <c r="G201">
        <f>IF($AA201="","",INDEX('Per Line'!$I$2:$I$4001,$AA201)&amp;"")</f>
        <v/>
      </c>
      <c r="H201">
        <f>IF($AA201="","",INDEX('Per Line'!$J$2:$J$4001,$AA201)&amp;"")</f>
        <v/>
      </c>
      <c r="I201">
        <f>IF($AA201="","",INDEX('Per Line'!$K$2:$K$4001,$AA201)&amp;"")</f>
        <v/>
      </c>
      <c r="J201">
        <f>IF($AA201="","",INDEX('Per Line'!$L$2:$L$4001,$AA201)&amp;"")</f>
        <v/>
      </c>
      <c r="K201">
        <f>IF($AA201="","",INDEX('Per Line'!$P$2:$P$4001,$AA201))</f>
        <v/>
      </c>
      <c r="L201" s="7">
        <f>IF($AA201="","",IF(AND(ISNUMBER(N201),N201&gt;0,Y201&gt;N201),K201*N201/100+(Y201-N201),K201*Y201/100))</f>
        <v/>
      </c>
      <c r="M201">
        <f>IF($AA201="","",INDEX('Per Line'!$Z$2:$Z$4001,$AA201)&amp;"")</f>
        <v/>
      </c>
      <c r="N201">
        <f>IF($AA201="","",INDEX('Per Line'!$AG$2:$AG$4001,$AA201))</f>
        <v/>
      </c>
      <c r="O201">
        <f>IF($AA201="","",IF(AND(ISNUMBER(N201),N201&gt;0),Y201&gt;N201,FALSE))</f>
        <v/>
      </c>
      <c r="P201" s="7">
        <f>IF($AA201="","",SUMIFS('Per Line'!$Y$2:$Y$4001,'Per Line'!$E$2:$E$4001,$B201,'Per Line'!$AQ$2:$AQ$4001,1))</f>
        <v/>
      </c>
      <c r="Q201">
        <f>IF($AA201="","",Settings!$C$7)</f>
        <v/>
      </c>
      <c r="R201" s="7">
        <f>IF($AA201="","",SUMIFS('Per Line'!$Y$2:$Y$4001,'Per Line'!$E$2:$E$4001,$B201,'Per Line'!$AP$2:$AP$4001,0,'Per Line'!$AQ$2:$AQ$4001,0))</f>
        <v/>
      </c>
      <c r="S201" s="7">
        <f>IF($AA201="","",R201*Q201)</f>
        <v/>
      </c>
      <c r="T201">
        <f>IF($AA201="","",Settings!$C$6)</f>
        <v/>
      </c>
      <c r="U201" s="7">
        <f>IF($AA201="","",SUMIFS('Per Line'!$Y$2:$Y$4001,'Per Line'!$E$2:$E$4001,$B201,'Per Line'!$AP$2:$AP$4001,1,'Per Line'!$AQ$2:$AQ$4001,0))</f>
        <v/>
      </c>
      <c r="V201" s="7">
        <f>IF($AA201="","",U201*T201)</f>
        <v/>
      </c>
      <c r="W201" s="7">
        <f>IF($AA201="","",V201+S201)</f>
        <v/>
      </c>
      <c r="X201" s="7">
        <f>IF($AA201="","",Y201-W201)</f>
        <v/>
      </c>
      <c r="Y201" s="7">
        <f>IF($AA201="","",R201+U201+P201)</f>
        <v/>
      </c>
      <c r="Z201" s="7">
        <f>IF($AA201="","",Y201-W201-L201)</f>
        <v/>
      </c>
      <c r="AA201" s="13">
        <f>IF(ROWS($AA$2:$AA201)&lt;=MAX('Per Line'!$AO$2:$AO$4001),MATCH(ROWS($AA$2:$AA201),'Per Line'!$AO$2:$AO$4001,0),"")</f>
        <v/>
      </c>
      <c r="AB201" s="14">
        <f>IF($AA201="","",L201-K201*Y201/100)</f>
        <v/>
      </c>
    </row>
    <row r="202">
      <c r="A202" s="12" t="n"/>
      <c r="B202">
        <f>IF($AA202="","",INDEX('Per Line'!$E$2:$E$4001,$AA202)&amp;"")</f>
        <v/>
      </c>
      <c r="C202">
        <f>IF($AA202="","",INDEX('Per Line'!$A$2:$A$4001,$AA202)&amp;"")</f>
        <v/>
      </c>
      <c r="D202">
        <f>IF($AA202="","",INDEX('Per Line'!$D$2:$D$4001,$AA202)&amp;"")</f>
        <v/>
      </c>
      <c r="E202" s="11">
        <f>IF($AA202="","",INDEX('Per Line'!$G$2:$G$4001,$AA202))</f>
        <v/>
      </c>
      <c r="F202">
        <f>IF($AA202="","",INDEX('Per Line'!$H$2:$H$4001,$AA202)&amp;"")</f>
        <v/>
      </c>
      <c r="G202">
        <f>IF($AA202="","",INDEX('Per Line'!$I$2:$I$4001,$AA202)&amp;"")</f>
        <v/>
      </c>
      <c r="H202">
        <f>IF($AA202="","",INDEX('Per Line'!$J$2:$J$4001,$AA202)&amp;"")</f>
        <v/>
      </c>
      <c r="I202">
        <f>IF($AA202="","",INDEX('Per Line'!$K$2:$K$4001,$AA202)&amp;"")</f>
        <v/>
      </c>
      <c r="J202">
        <f>IF($AA202="","",INDEX('Per Line'!$L$2:$L$4001,$AA202)&amp;"")</f>
        <v/>
      </c>
      <c r="K202">
        <f>IF($AA202="","",INDEX('Per Line'!$P$2:$P$4001,$AA202))</f>
        <v/>
      </c>
      <c r="L202" s="7">
        <f>IF($AA202="","",IF(AND(ISNUMBER(N202),N202&gt;0,Y202&gt;N202),K202*N202/100+(Y202-N202),K202*Y202/100))</f>
        <v/>
      </c>
      <c r="M202">
        <f>IF($AA202="","",INDEX('Per Line'!$Z$2:$Z$4001,$AA202)&amp;"")</f>
        <v/>
      </c>
      <c r="N202">
        <f>IF($AA202="","",INDEX('Per Line'!$AG$2:$AG$4001,$AA202))</f>
        <v/>
      </c>
      <c r="O202">
        <f>IF($AA202="","",IF(AND(ISNUMBER(N202),N202&gt;0),Y202&gt;N202,FALSE))</f>
        <v/>
      </c>
      <c r="P202" s="7">
        <f>IF($AA202="","",SUMIFS('Per Line'!$Y$2:$Y$4001,'Per Line'!$E$2:$E$4001,$B202,'Per Line'!$AQ$2:$AQ$4001,1))</f>
        <v/>
      </c>
      <c r="Q202">
        <f>IF($AA202="","",Settings!$C$7)</f>
        <v/>
      </c>
      <c r="R202" s="7">
        <f>IF($AA202="","",SUMIFS('Per Line'!$Y$2:$Y$4001,'Per Line'!$E$2:$E$4001,$B202,'Per Line'!$AP$2:$AP$4001,0,'Per Line'!$AQ$2:$AQ$4001,0))</f>
        <v/>
      </c>
      <c r="S202" s="7">
        <f>IF($AA202="","",R202*Q202)</f>
        <v/>
      </c>
      <c r="T202">
        <f>IF($AA202="","",Settings!$C$6)</f>
        <v/>
      </c>
      <c r="U202" s="7">
        <f>IF($AA202="","",SUMIFS('Per Line'!$Y$2:$Y$4001,'Per Line'!$E$2:$E$4001,$B202,'Per Line'!$AP$2:$AP$4001,1,'Per Line'!$AQ$2:$AQ$4001,0))</f>
        <v/>
      </c>
      <c r="V202" s="7">
        <f>IF($AA202="","",U202*T202)</f>
        <v/>
      </c>
      <c r="W202" s="7">
        <f>IF($AA202="","",V202+S202)</f>
        <v/>
      </c>
      <c r="X202" s="7">
        <f>IF($AA202="","",Y202-W202)</f>
        <v/>
      </c>
      <c r="Y202" s="7">
        <f>IF($AA202="","",R202+U202+P202)</f>
        <v/>
      </c>
      <c r="Z202" s="7">
        <f>IF($AA202="","",Y202-W202-L202)</f>
        <v/>
      </c>
      <c r="AA202" s="13">
        <f>IF(ROWS($AA$2:$AA202)&lt;=MAX('Per Line'!$AO$2:$AO$4001),MATCH(ROWS($AA$2:$AA202),'Per Line'!$AO$2:$AO$4001,0),"")</f>
        <v/>
      </c>
      <c r="AB202" s="14">
        <f>IF($AA202="","",L202-K202*Y202/100)</f>
        <v/>
      </c>
    </row>
    <row r="203">
      <c r="A203" s="12" t="n"/>
      <c r="B203">
        <f>IF($AA203="","",INDEX('Per Line'!$E$2:$E$4001,$AA203)&amp;"")</f>
        <v/>
      </c>
      <c r="C203">
        <f>IF($AA203="","",INDEX('Per Line'!$A$2:$A$4001,$AA203)&amp;"")</f>
        <v/>
      </c>
      <c r="D203">
        <f>IF($AA203="","",INDEX('Per Line'!$D$2:$D$4001,$AA203)&amp;"")</f>
        <v/>
      </c>
      <c r="E203" s="11">
        <f>IF($AA203="","",INDEX('Per Line'!$G$2:$G$4001,$AA203))</f>
        <v/>
      </c>
      <c r="F203">
        <f>IF($AA203="","",INDEX('Per Line'!$H$2:$H$4001,$AA203)&amp;"")</f>
        <v/>
      </c>
      <c r="G203">
        <f>IF($AA203="","",INDEX('Per Line'!$I$2:$I$4001,$AA203)&amp;"")</f>
        <v/>
      </c>
      <c r="H203">
        <f>IF($AA203="","",INDEX('Per Line'!$J$2:$J$4001,$AA203)&amp;"")</f>
        <v/>
      </c>
      <c r="I203">
        <f>IF($AA203="","",INDEX('Per Line'!$K$2:$K$4001,$AA203)&amp;"")</f>
        <v/>
      </c>
      <c r="J203">
        <f>IF($AA203="","",INDEX('Per Line'!$L$2:$L$4001,$AA203)&amp;"")</f>
        <v/>
      </c>
      <c r="K203">
        <f>IF($AA203="","",INDEX('Per Line'!$P$2:$P$4001,$AA203))</f>
        <v/>
      </c>
      <c r="L203" s="7">
        <f>IF($AA203="","",IF(AND(ISNUMBER(N203),N203&gt;0,Y203&gt;N203),K203*N203/100+(Y203-N203),K203*Y203/100))</f>
        <v/>
      </c>
      <c r="M203">
        <f>IF($AA203="","",INDEX('Per Line'!$Z$2:$Z$4001,$AA203)&amp;"")</f>
        <v/>
      </c>
      <c r="N203">
        <f>IF($AA203="","",INDEX('Per Line'!$AG$2:$AG$4001,$AA203))</f>
        <v/>
      </c>
      <c r="O203">
        <f>IF($AA203="","",IF(AND(ISNUMBER(N203),N203&gt;0),Y203&gt;N203,FALSE))</f>
        <v/>
      </c>
      <c r="P203" s="7">
        <f>IF($AA203="","",SUMIFS('Per Line'!$Y$2:$Y$4001,'Per Line'!$E$2:$E$4001,$B203,'Per Line'!$AQ$2:$AQ$4001,1))</f>
        <v/>
      </c>
      <c r="Q203">
        <f>IF($AA203="","",Settings!$C$7)</f>
        <v/>
      </c>
      <c r="R203" s="7">
        <f>IF($AA203="","",SUMIFS('Per Line'!$Y$2:$Y$4001,'Per Line'!$E$2:$E$4001,$B203,'Per Line'!$AP$2:$AP$4001,0,'Per Line'!$AQ$2:$AQ$4001,0))</f>
        <v/>
      </c>
      <c r="S203" s="7">
        <f>IF($AA203="","",R203*Q203)</f>
        <v/>
      </c>
      <c r="T203">
        <f>IF($AA203="","",Settings!$C$6)</f>
        <v/>
      </c>
      <c r="U203" s="7">
        <f>IF($AA203="","",SUMIFS('Per Line'!$Y$2:$Y$4001,'Per Line'!$E$2:$E$4001,$B203,'Per Line'!$AP$2:$AP$4001,1,'Per Line'!$AQ$2:$AQ$4001,0))</f>
        <v/>
      </c>
      <c r="V203" s="7">
        <f>IF($AA203="","",U203*T203)</f>
        <v/>
      </c>
      <c r="W203" s="7">
        <f>IF($AA203="","",V203+S203)</f>
        <v/>
      </c>
      <c r="X203" s="7">
        <f>IF($AA203="","",Y203-W203)</f>
        <v/>
      </c>
      <c r="Y203" s="7">
        <f>IF($AA203="","",R203+U203+P203)</f>
        <v/>
      </c>
      <c r="Z203" s="7">
        <f>IF($AA203="","",Y203-W203-L203)</f>
        <v/>
      </c>
      <c r="AA203" s="13">
        <f>IF(ROWS($AA$2:$AA203)&lt;=MAX('Per Line'!$AO$2:$AO$4001),MATCH(ROWS($AA$2:$AA203),'Per Line'!$AO$2:$AO$4001,0),"")</f>
        <v/>
      </c>
      <c r="AB203" s="14">
        <f>IF($AA203="","",L203-K203*Y203/100)</f>
        <v/>
      </c>
    </row>
    <row r="204">
      <c r="A204" s="12" t="n"/>
      <c r="B204">
        <f>IF($AA204="","",INDEX('Per Line'!$E$2:$E$4001,$AA204)&amp;"")</f>
        <v/>
      </c>
      <c r="C204">
        <f>IF($AA204="","",INDEX('Per Line'!$A$2:$A$4001,$AA204)&amp;"")</f>
        <v/>
      </c>
      <c r="D204">
        <f>IF($AA204="","",INDEX('Per Line'!$D$2:$D$4001,$AA204)&amp;"")</f>
        <v/>
      </c>
      <c r="E204" s="11">
        <f>IF($AA204="","",INDEX('Per Line'!$G$2:$G$4001,$AA204))</f>
        <v/>
      </c>
      <c r="F204">
        <f>IF($AA204="","",INDEX('Per Line'!$H$2:$H$4001,$AA204)&amp;"")</f>
        <v/>
      </c>
      <c r="G204">
        <f>IF($AA204="","",INDEX('Per Line'!$I$2:$I$4001,$AA204)&amp;"")</f>
        <v/>
      </c>
      <c r="H204">
        <f>IF($AA204="","",INDEX('Per Line'!$J$2:$J$4001,$AA204)&amp;"")</f>
        <v/>
      </c>
      <c r="I204">
        <f>IF($AA204="","",INDEX('Per Line'!$K$2:$K$4001,$AA204)&amp;"")</f>
        <v/>
      </c>
      <c r="J204">
        <f>IF($AA204="","",INDEX('Per Line'!$L$2:$L$4001,$AA204)&amp;"")</f>
        <v/>
      </c>
      <c r="K204">
        <f>IF($AA204="","",INDEX('Per Line'!$P$2:$P$4001,$AA204))</f>
        <v/>
      </c>
      <c r="L204" s="7">
        <f>IF($AA204="","",IF(AND(ISNUMBER(N204),N204&gt;0,Y204&gt;N204),K204*N204/100+(Y204-N204),K204*Y204/100))</f>
        <v/>
      </c>
      <c r="M204">
        <f>IF($AA204="","",INDEX('Per Line'!$Z$2:$Z$4001,$AA204)&amp;"")</f>
        <v/>
      </c>
      <c r="N204">
        <f>IF($AA204="","",INDEX('Per Line'!$AG$2:$AG$4001,$AA204))</f>
        <v/>
      </c>
      <c r="O204">
        <f>IF($AA204="","",IF(AND(ISNUMBER(N204),N204&gt;0),Y204&gt;N204,FALSE))</f>
        <v/>
      </c>
      <c r="P204" s="7">
        <f>IF($AA204="","",SUMIFS('Per Line'!$Y$2:$Y$4001,'Per Line'!$E$2:$E$4001,$B204,'Per Line'!$AQ$2:$AQ$4001,1))</f>
        <v/>
      </c>
      <c r="Q204">
        <f>IF($AA204="","",Settings!$C$7)</f>
        <v/>
      </c>
      <c r="R204" s="7">
        <f>IF($AA204="","",SUMIFS('Per Line'!$Y$2:$Y$4001,'Per Line'!$E$2:$E$4001,$B204,'Per Line'!$AP$2:$AP$4001,0,'Per Line'!$AQ$2:$AQ$4001,0))</f>
        <v/>
      </c>
      <c r="S204" s="7">
        <f>IF($AA204="","",R204*Q204)</f>
        <v/>
      </c>
      <c r="T204">
        <f>IF($AA204="","",Settings!$C$6)</f>
        <v/>
      </c>
      <c r="U204" s="7">
        <f>IF($AA204="","",SUMIFS('Per Line'!$Y$2:$Y$4001,'Per Line'!$E$2:$E$4001,$B204,'Per Line'!$AP$2:$AP$4001,1,'Per Line'!$AQ$2:$AQ$4001,0))</f>
        <v/>
      </c>
      <c r="V204" s="7">
        <f>IF($AA204="","",U204*T204)</f>
        <v/>
      </c>
      <c r="W204" s="7">
        <f>IF($AA204="","",V204+S204)</f>
        <v/>
      </c>
      <c r="X204" s="7">
        <f>IF($AA204="","",Y204-W204)</f>
        <v/>
      </c>
      <c r="Y204" s="7">
        <f>IF($AA204="","",R204+U204+P204)</f>
        <v/>
      </c>
      <c r="Z204" s="7">
        <f>IF($AA204="","",Y204-W204-L204)</f>
        <v/>
      </c>
      <c r="AA204" s="13">
        <f>IF(ROWS($AA$2:$AA204)&lt;=MAX('Per Line'!$AO$2:$AO$4001),MATCH(ROWS($AA$2:$AA204),'Per Line'!$AO$2:$AO$4001,0),"")</f>
        <v/>
      </c>
      <c r="AB204" s="14">
        <f>IF($AA204="","",L204-K204*Y204/100)</f>
        <v/>
      </c>
    </row>
    <row r="205">
      <c r="A205" s="12" t="n"/>
      <c r="B205">
        <f>IF($AA205="","",INDEX('Per Line'!$E$2:$E$4001,$AA205)&amp;"")</f>
        <v/>
      </c>
      <c r="C205">
        <f>IF($AA205="","",INDEX('Per Line'!$A$2:$A$4001,$AA205)&amp;"")</f>
        <v/>
      </c>
      <c r="D205">
        <f>IF($AA205="","",INDEX('Per Line'!$D$2:$D$4001,$AA205)&amp;"")</f>
        <v/>
      </c>
      <c r="E205" s="11">
        <f>IF($AA205="","",INDEX('Per Line'!$G$2:$G$4001,$AA205))</f>
        <v/>
      </c>
      <c r="F205">
        <f>IF($AA205="","",INDEX('Per Line'!$H$2:$H$4001,$AA205)&amp;"")</f>
        <v/>
      </c>
      <c r="G205">
        <f>IF($AA205="","",INDEX('Per Line'!$I$2:$I$4001,$AA205)&amp;"")</f>
        <v/>
      </c>
      <c r="H205">
        <f>IF($AA205="","",INDEX('Per Line'!$J$2:$J$4001,$AA205)&amp;"")</f>
        <v/>
      </c>
      <c r="I205">
        <f>IF($AA205="","",INDEX('Per Line'!$K$2:$K$4001,$AA205)&amp;"")</f>
        <v/>
      </c>
      <c r="J205">
        <f>IF($AA205="","",INDEX('Per Line'!$L$2:$L$4001,$AA205)&amp;"")</f>
        <v/>
      </c>
      <c r="K205">
        <f>IF($AA205="","",INDEX('Per Line'!$P$2:$P$4001,$AA205))</f>
        <v/>
      </c>
      <c r="L205" s="7">
        <f>IF($AA205="","",IF(AND(ISNUMBER(N205),N205&gt;0,Y205&gt;N205),K205*N205/100+(Y205-N205),K205*Y205/100))</f>
        <v/>
      </c>
      <c r="M205">
        <f>IF($AA205="","",INDEX('Per Line'!$Z$2:$Z$4001,$AA205)&amp;"")</f>
        <v/>
      </c>
      <c r="N205">
        <f>IF($AA205="","",INDEX('Per Line'!$AG$2:$AG$4001,$AA205))</f>
        <v/>
      </c>
      <c r="O205">
        <f>IF($AA205="","",IF(AND(ISNUMBER(N205),N205&gt;0),Y205&gt;N205,FALSE))</f>
        <v/>
      </c>
      <c r="P205" s="7">
        <f>IF($AA205="","",SUMIFS('Per Line'!$Y$2:$Y$4001,'Per Line'!$E$2:$E$4001,$B205,'Per Line'!$AQ$2:$AQ$4001,1))</f>
        <v/>
      </c>
      <c r="Q205">
        <f>IF($AA205="","",Settings!$C$7)</f>
        <v/>
      </c>
      <c r="R205" s="7">
        <f>IF($AA205="","",SUMIFS('Per Line'!$Y$2:$Y$4001,'Per Line'!$E$2:$E$4001,$B205,'Per Line'!$AP$2:$AP$4001,0,'Per Line'!$AQ$2:$AQ$4001,0))</f>
        <v/>
      </c>
      <c r="S205" s="7">
        <f>IF($AA205="","",R205*Q205)</f>
        <v/>
      </c>
      <c r="T205">
        <f>IF($AA205="","",Settings!$C$6)</f>
        <v/>
      </c>
      <c r="U205" s="7">
        <f>IF($AA205="","",SUMIFS('Per Line'!$Y$2:$Y$4001,'Per Line'!$E$2:$E$4001,$B205,'Per Line'!$AP$2:$AP$4001,1,'Per Line'!$AQ$2:$AQ$4001,0))</f>
        <v/>
      </c>
      <c r="V205" s="7">
        <f>IF($AA205="","",U205*T205)</f>
        <v/>
      </c>
      <c r="W205" s="7">
        <f>IF($AA205="","",V205+S205)</f>
        <v/>
      </c>
      <c r="X205" s="7">
        <f>IF($AA205="","",Y205-W205)</f>
        <v/>
      </c>
      <c r="Y205" s="7">
        <f>IF($AA205="","",R205+U205+P205)</f>
        <v/>
      </c>
      <c r="Z205" s="7">
        <f>IF($AA205="","",Y205-W205-L205)</f>
        <v/>
      </c>
      <c r="AA205" s="13">
        <f>IF(ROWS($AA$2:$AA205)&lt;=MAX('Per Line'!$AO$2:$AO$4001),MATCH(ROWS($AA$2:$AA205),'Per Line'!$AO$2:$AO$4001,0),"")</f>
        <v/>
      </c>
      <c r="AB205" s="14">
        <f>IF($AA205="","",L205-K205*Y205/100)</f>
        <v/>
      </c>
    </row>
    <row r="206">
      <c r="A206" s="12" t="n"/>
      <c r="B206">
        <f>IF($AA206="","",INDEX('Per Line'!$E$2:$E$4001,$AA206)&amp;"")</f>
        <v/>
      </c>
      <c r="C206">
        <f>IF($AA206="","",INDEX('Per Line'!$A$2:$A$4001,$AA206)&amp;"")</f>
        <v/>
      </c>
      <c r="D206">
        <f>IF($AA206="","",INDEX('Per Line'!$D$2:$D$4001,$AA206)&amp;"")</f>
        <v/>
      </c>
      <c r="E206" s="11">
        <f>IF($AA206="","",INDEX('Per Line'!$G$2:$G$4001,$AA206))</f>
        <v/>
      </c>
      <c r="F206">
        <f>IF($AA206="","",INDEX('Per Line'!$H$2:$H$4001,$AA206)&amp;"")</f>
        <v/>
      </c>
      <c r="G206">
        <f>IF($AA206="","",INDEX('Per Line'!$I$2:$I$4001,$AA206)&amp;"")</f>
        <v/>
      </c>
      <c r="H206">
        <f>IF($AA206="","",INDEX('Per Line'!$J$2:$J$4001,$AA206)&amp;"")</f>
        <v/>
      </c>
      <c r="I206">
        <f>IF($AA206="","",INDEX('Per Line'!$K$2:$K$4001,$AA206)&amp;"")</f>
        <v/>
      </c>
      <c r="J206">
        <f>IF($AA206="","",INDEX('Per Line'!$L$2:$L$4001,$AA206)&amp;"")</f>
        <v/>
      </c>
      <c r="K206">
        <f>IF($AA206="","",INDEX('Per Line'!$P$2:$P$4001,$AA206))</f>
        <v/>
      </c>
      <c r="L206" s="7">
        <f>IF($AA206="","",IF(AND(ISNUMBER(N206),N206&gt;0,Y206&gt;N206),K206*N206/100+(Y206-N206),K206*Y206/100))</f>
        <v/>
      </c>
      <c r="M206">
        <f>IF($AA206="","",INDEX('Per Line'!$Z$2:$Z$4001,$AA206)&amp;"")</f>
        <v/>
      </c>
      <c r="N206">
        <f>IF($AA206="","",INDEX('Per Line'!$AG$2:$AG$4001,$AA206))</f>
        <v/>
      </c>
      <c r="O206">
        <f>IF($AA206="","",IF(AND(ISNUMBER(N206),N206&gt;0),Y206&gt;N206,FALSE))</f>
        <v/>
      </c>
      <c r="P206" s="7">
        <f>IF($AA206="","",SUMIFS('Per Line'!$Y$2:$Y$4001,'Per Line'!$E$2:$E$4001,$B206,'Per Line'!$AQ$2:$AQ$4001,1))</f>
        <v/>
      </c>
      <c r="Q206">
        <f>IF($AA206="","",Settings!$C$7)</f>
        <v/>
      </c>
      <c r="R206" s="7">
        <f>IF($AA206="","",SUMIFS('Per Line'!$Y$2:$Y$4001,'Per Line'!$E$2:$E$4001,$B206,'Per Line'!$AP$2:$AP$4001,0,'Per Line'!$AQ$2:$AQ$4001,0))</f>
        <v/>
      </c>
      <c r="S206" s="7">
        <f>IF($AA206="","",R206*Q206)</f>
        <v/>
      </c>
      <c r="T206">
        <f>IF($AA206="","",Settings!$C$6)</f>
        <v/>
      </c>
      <c r="U206" s="7">
        <f>IF($AA206="","",SUMIFS('Per Line'!$Y$2:$Y$4001,'Per Line'!$E$2:$E$4001,$B206,'Per Line'!$AP$2:$AP$4001,1,'Per Line'!$AQ$2:$AQ$4001,0))</f>
        <v/>
      </c>
      <c r="V206" s="7">
        <f>IF($AA206="","",U206*T206)</f>
        <v/>
      </c>
      <c r="W206" s="7">
        <f>IF($AA206="","",V206+S206)</f>
        <v/>
      </c>
      <c r="X206" s="7">
        <f>IF($AA206="","",Y206-W206)</f>
        <v/>
      </c>
      <c r="Y206" s="7">
        <f>IF($AA206="","",R206+U206+P206)</f>
        <v/>
      </c>
      <c r="Z206" s="7">
        <f>IF($AA206="","",Y206-W206-L206)</f>
        <v/>
      </c>
      <c r="AA206" s="13">
        <f>IF(ROWS($AA$2:$AA206)&lt;=MAX('Per Line'!$AO$2:$AO$4001),MATCH(ROWS($AA$2:$AA206),'Per Line'!$AO$2:$AO$4001,0),"")</f>
        <v/>
      </c>
      <c r="AB206" s="14">
        <f>IF($AA206="","",L206-K206*Y206/100)</f>
        <v/>
      </c>
    </row>
    <row r="207">
      <c r="A207" s="12" t="n"/>
      <c r="B207">
        <f>IF($AA207="","",INDEX('Per Line'!$E$2:$E$4001,$AA207)&amp;"")</f>
        <v/>
      </c>
      <c r="C207">
        <f>IF($AA207="","",INDEX('Per Line'!$A$2:$A$4001,$AA207)&amp;"")</f>
        <v/>
      </c>
      <c r="D207">
        <f>IF($AA207="","",INDEX('Per Line'!$D$2:$D$4001,$AA207)&amp;"")</f>
        <v/>
      </c>
      <c r="E207" s="11">
        <f>IF($AA207="","",INDEX('Per Line'!$G$2:$G$4001,$AA207))</f>
        <v/>
      </c>
      <c r="F207">
        <f>IF($AA207="","",INDEX('Per Line'!$H$2:$H$4001,$AA207)&amp;"")</f>
        <v/>
      </c>
      <c r="G207">
        <f>IF($AA207="","",INDEX('Per Line'!$I$2:$I$4001,$AA207)&amp;"")</f>
        <v/>
      </c>
      <c r="H207">
        <f>IF($AA207="","",INDEX('Per Line'!$J$2:$J$4001,$AA207)&amp;"")</f>
        <v/>
      </c>
      <c r="I207">
        <f>IF($AA207="","",INDEX('Per Line'!$K$2:$K$4001,$AA207)&amp;"")</f>
        <v/>
      </c>
      <c r="J207">
        <f>IF($AA207="","",INDEX('Per Line'!$L$2:$L$4001,$AA207)&amp;"")</f>
        <v/>
      </c>
      <c r="K207">
        <f>IF($AA207="","",INDEX('Per Line'!$P$2:$P$4001,$AA207))</f>
        <v/>
      </c>
      <c r="L207" s="7">
        <f>IF($AA207="","",IF(AND(ISNUMBER(N207),N207&gt;0,Y207&gt;N207),K207*N207/100+(Y207-N207),K207*Y207/100))</f>
        <v/>
      </c>
      <c r="M207">
        <f>IF($AA207="","",INDEX('Per Line'!$Z$2:$Z$4001,$AA207)&amp;"")</f>
        <v/>
      </c>
      <c r="N207">
        <f>IF($AA207="","",INDEX('Per Line'!$AG$2:$AG$4001,$AA207))</f>
        <v/>
      </c>
      <c r="O207">
        <f>IF($AA207="","",IF(AND(ISNUMBER(N207),N207&gt;0),Y207&gt;N207,FALSE))</f>
        <v/>
      </c>
      <c r="P207" s="7">
        <f>IF($AA207="","",SUMIFS('Per Line'!$Y$2:$Y$4001,'Per Line'!$E$2:$E$4001,$B207,'Per Line'!$AQ$2:$AQ$4001,1))</f>
        <v/>
      </c>
      <c r="Q207">
        <f>IF($AA207="","",Settings!$C$7)</f>
        <v/>
      </c>
      <c r="R207" s="7">
        <f>IF($AA207="","",SUMIFS('Per Line'!$Y$2:$Y$4001,'Per Line'!$E$2:$E$4001,$B207,'Per Line'!$AP$2:$AP$4001,0,'Per Line'!$AQ$2:$AQ$4001,0))</f>
        <v/>
      </c>
      <c r="S207" s="7">
        <f>IF($AA207="","",R207*Q207)</f>
        <v/>
      </c>
      <c r="T207">
        <f>IF($AA207="","",Settings!$C$6)</f>
        <v/>
      </c>
      <c r="U207" s="7">
        <f>IF($AA207="","",SUMIFS('Per Line'!$Y$2:$Y$4001,'Per Line'!$E$2:$E$4001,$B207,'Per Line'!$AP$2:$AP$4001,1,'Per Line'!$AQ$2:$AQ$4001,0))</f>
        <v/>
      </c>
      <c r="V207" s="7">
        <f>IF($AA207="","",U207*T207)</f>
        <v/>
      </c>
      <c r="W207" s="7">
        <f>IF($AA207="","",V207+S207)</f>
        <v/>
      </c>
      <c r="X207" s="7">
        <f>IF($AA207="","",Y207-W207)</f>
        <v/>
      </c>
      <c r="Y207" s="7">
        <f>IF($AA207="","",R207+U207+P207)</f>
        <v/>
      </c>
      <c r="Z207" s="7">
        <f>IF($AA207="","",Y207-W207-L207)</f>
        <v/>
      </c>
      <c r="AA207" s="13">
        <f>IF(ROWS($AA$2:$AA207)&lt;=MAX('Per Line'!$AO$2:$AO$4001),MATCH(ROWS($AA$2:$AA207),'Per Line'!$AO$2:$AO$4001,0),"")</f>
        <v/>
      </c>
      <c r="AB207" s="14">
        <f>IF($AA207="","",L207-K207*Y207/100)</f>
        <v/>
      </c>
    </row>
    <row r="208">
      <c r="A208" s="12" t="n"/>
      <c r="B208">
        <f>IF($AA208="","",INDEX('Per Line'!$E$2:$E$4001,$AA208)&amp;"")</f>
        <v/>
      </c>
      <c r="C208">
        <f>IF($AA208="","",INDEX('Per Line'!$A$2:$A$4001,$AA208)&amp;"")</f>
        <v/>
      </c>
      <c r="D208">
        <f>IF($AA208="","",INDEX('Per Line'!$D$2:$D$4001,$AA208)&amp;"")</f>
        <v/>
      </c>
      <c r="E208" s="11">
        <f>IF($AA208="","",INDEX('Per Line'!$G$2:$G$4001,$AA208))</f>
        <v/>
      </c>
      <c r="F208">
        <f>IF($AA208="","",INDEX('Per Line'!$H$2:$H$4001,$AA208)&amp;"")</f>
        <v/>
      </c>
      <c r="G208">
        <f>IF($AA208="","",INDEX('Per Line'!$I$2:$I$4001,$AA208)&amp;"")</f>
        <v/>
      </c>
      <c r="H208">
        <f>IF($AA208="","",INDEX('Per Line'!$J$2:$J$4001,$AA208)&amp;"")</f>
        <v/>
      </c>
      <c r="I208">
        <f>IF($AA208="","",INDEX('Per Line'!$K$2:$K$4001,$AA208)&amp;"")</f>
        <v/>
      </c>
      <c r="J208">
        <f>IF($AA208="","",INDEX('Per Line'!$L$2:$L$4001,$AA208)&amp;"")</f>
        <v/>
      </c>
      <c r="K208">
        <f>IF($AA208="","",INDEX('Per Line'!$P$2:$P$4001,$AA208))</f>
        <v/>
      </c>
      <c r="L208" s="7">
        <f>IF($AA208="","",IF(AND(ISNUMBER(N208),N208&gt;0,Y208&gt;N208),K208*N208/100+(Y208-N208),K208*Y208/100))</f>
        <v/>
      </c>
      <c r="M208">
        <f>IF($AA208="","",INDEX('Per Line'!$Z$2:$Z$4001,$AA208)&amp;"")</f>
        <v/>
      </c>
      <c r="N208">
        <f>IF($AA208="","",INDEX('Per Line'!$AG$2:$AG$4001,$AA208))</f>
        <v/>
      </c>
      <c r="O208">
        <f>IF($AA208="","",IF(AND(ISNUMBER(N208),N208&gt;0),Y208&gt;N208,FALSE))</f>
        <v/>
      </c>
      <c r="P208" s="7">
        <f>IF($AA208="","",SUMIFS('Per Line'!$Y$2:$Y$4001,'Per Line'!$E$2:$E$4001,$B208,'Per Line'!$AQ$2:$AQ$4001,1))</f>
        <v/>
      </c>
      <c r="Q208">
        <f>IF($AA208="","",Settings!$C$7)</f>
        <v/>
      </c>
      <c r="R208" s="7">
        <f>IF($AA208="","",SUMIFS('Per Line'!$Y$2:$Y$4001,'Per Line'!$E$2:$E$4001,$B208,'Per Line'!$AP$2:$AP$4001,0,'Per Line'!$AQ$2:$AQ$4001,0))</f>
        <v/>
      </c>
      <c r="S208" s="7">
        <f>IF($AA208="","",R208*Q208)</f>
        <v/>
      </c>
      <c r="T208">
        <f>IF($AA208="","",Settings!$C$6)</f>
        <v/>
      </c>
      <c r="U208" s="7">
        <f>IF($AA208="","",SUMIFS('Per Line'!$Y$2:$Y$4001,'Per Line'!$E$2:$E$4001,$B208,'Per Line'!$AP$2:$AP$4001,1,'Per Line'!$AQ$2:$AQ$4001,0))</f>
        <v/>
      </c>
      <c r="V208" s="7">
        <f>IF($AA208="","",U208*T208)</f>
        <v/>
      </c>
      <c r="W208" s="7">
        <f>IF($AA208="","",V208+S208)</f>
        <v/>
      </c>
      <c r="X208" s="7">
        <f>IF($AA208="","",Y208-W208)</f>
        <v/>
      </c>
      <c r="Y208" s="7">
        <f>IF($AA208="","",R208+U208+P208)</f>
        <v/>
      </c>
      <c r="Z208" s="7">
        <f>IF($AA208="","",Y208-W208-L208)</f>
        <v/>
      </c>
      <c r="AA208" s="13">
        <f>IF(ROWS($AA$2:$AA208)&lt;=MAX('Per Line'!$AO$2:$AO$4001),MATCH(ROWS($AA$2:$AA208),'Per Line'!$AO$2:$AO$4001,0),"")</f>
        <v/>
      </c>
      <c r="AB208" s="14">
        <f>IF($AA208="","",L208-K208*Y208/100)</f>
        <v/>
      </c>
    </row>
    <row r="209">
      <c r="A209" s="12" t="n"/>
      <c r="B209">
        <f>IF($AA209="","",INDEX('Per Line'!$E$2:$E$4001,$AA209)&amp;"")</f>
        <v/>
      </c>
      <c r="C209">
        <f>IF($AA209="","",INDEX('Per Line'!$A$2:$A$4001,$AA209)&amp;"")</f>
        <v/>
      </c>
      <c r="D209">
        <f>IF($AA209="","",INDEX('Per Line'!$D$2:$D$4001,$AA209)&amp;"")</f>
        <v/>
      </c>
      <c r="E209" s="11">
        <f>IF($AA209="","",INDEX('Per Line'!$G$2:$G$4001,$AA209))</f>
        <v/>
      </c>
      <c r="F209">
        <f>IF($AA209="","",INDEX('Per Line'!$H$2:$H$4001,$AA209)&amp;"")</f>
        <v/>
      </c>
      <c r="G209">
        <f>IF($AA209="","",INDEX('Per Line'!$I$2:$I$4001,$AA209)&amp;"")</f>
        <v/>
      </c>
      <c r="H209">
        <f>IF($AA209="","",INDEX('Per Line'!$J$2:$J$4001,$AA209)&amp;"")</f>
        <v/>
      </c>
      <c r="I209">
        <f>IF($AA209="","",INDEX('Per Line'!$K$2:$K$4001,$AA209)&amp;"")</f>
        <v/>
      </c>
      <c r="J209">
        <f>IF($AA209="","",INDEX('Per Line'!$L$2:$L$4001,$AA209)&amp;"")</f>
        <v/>
      </c>
      <c r="K209">
        <f>IF($AA209="","",INDEX('Per Line'!$P$2:$P$4001,$AA209))</f>
        <v/>
      </c>
      <c r="L209" s="7">
        <f>IF($AA209="","",IF(AND(ISNUMBER(N209),N209&gt;0,Y209&gt;N209),K209*N209/100+(Y209-N209),K209*Y209/100))</f>
        <v/>
      </c>
      <c r="M209">
        <f>IF($AA209="","",INDEX('Per Line'!$Z$2:$Z$4001,$AA209)&amp;"")</f>
        <v/>
      </c>
      <c r="N209">
        <f>IF($AA209="","",INDEX('Per Line'!$AG$2:$AG$4001,$AA209))</f>
        <v/>
      </c>
      <c r="O209">
        <f>IF($AA209="","",IF(AND(ISNUMBER(N209),N209&gt;0),Y209&gt;N209,FALSE))</f>
        <v/>
      </c>
      <c r="P209" s="7">
        <f>IF($AA209="","",SUMIFS('Per Line'!$Y$2:$Y$4001,'Per Line'!$E$2:$E$4001,$B209,'Per Line'!$AQ$2:$AQ$4001,1))</f>
        <v/>
      </c>
      <c r="Q209">
        <f>IF($AA209="","",Settings!$C$7)</f>
        <v/>
      </c>
      <c r="R209" s="7">
        <f>IF($AA209="","",SUMIFS('Per Line'!$Y$2:$Y$4001,'Per Line'!$E$2:$E$4001,$B209,'Per Line'!$AP$2:$AP$4001,0,'Per Line'!$AQ$2:$AQ$4001,0))</f>
        <v/>
      </c>
      <c r="S209" s="7">
        <f>IF($AA209="","",R209*Q209)</f>
        <v/>
      </c>
      <c r="T209">
        <f>IF($AA209="","",Settings!$C$6)</f>
        <v/>
      </c>
      <c r="U209" s="7">
        <f>IF($AA209="","",SUMIFS('Per Line'!$Y$2:$Y$4001,'Per Line'!$E$2:$E$4001,$B209,'Per Line'!$AP$2:$AP$4001,1,'Per Line'!$AQ$2:$AQ$4001,0))</f>
        <v/>
      </c>
      <c r="V209" s="7">
        <f>IF($AA209="","",U209*T209)</f>
        <v/>
      </c>
      <c r="W209" s="7">
        <f>IF($AA209="","",V209+S209)</f>
        <v/>
      </c>
      <c r="X209" s="7">
        <f>IF($AA209="","",Y209-W209)</f>
        <v/>
      </c>
      <c r="Y209" s="7">
        <f>IF($AA209="","",R209+U209+P209)</f>
        <v/>
      </c>
      <c r="Z209" s="7">
        <f>IF($AA209="","",Y209-W209-L209)</f>
        <v/>
      </c>
      <c r="AA209" s="13">
        <f>IF(ROWS($AA$2:$AA209)&lt;=MAX('Per Line'!$AO$2:$AO$4001),MATCH(ROWS($AA$2:$AA209),'Per Line'!$AO$2:$AO$4001,0),"")</f>
        <v/>
      </c>
      <c r="AB209" s="14">
        <f>IF($AA209="","",L209-K209*Y209/100)</f>
        <v/>
      </c>
    </row>
    <row r="210">
      <c r="A210" s="12" t="n"/>
      <c r="B210">
        <f>IF($AA210="","",INDEX('Per Line'!$E$2:$E$4001,$AA210)&amp;"")</f>
        <v/>
      </c>
      <c r="C210">
        <f>IF($AA210="","",INDEX('Per Line'!$A$2:$A$4001,$AA210)&amp;"")</f>
        <v/>
      </c>
      <c r="D210">
        <f>IF($AA210="","",INDEX('Per Line'!$D$2:$D$4001,$AA210)&amp;"")</f>
        <v/>
      </c>
      <c r="E210" s="11">
        <f>IF($AA210="","",INDEX('Per Line'!$G$2:$G$4001,$AA210))</f>
        <v/>
      </c>
      <c r="F210">
        <f>IF($AA210="","",INDEX('Per Line'!$H$2:$H$4001,$AA210)&amp;"")</f>
        <v/>
      </c>
      <c r="G210">
        <f>IF($AA210="","",INDEX('Per Line'!$I$2:$I$4001,$AA210)&amp;"")</f>
        <v/>
      </c>
      <c r="H210">
        <f>IF($AA210="","",INDEX('Per Line'!$J$2:$J$4001,$AA210)&amp;"")</f>
        <v/>
      </c>
      <c r="I210">
        <f>IF($AA210="","",INDEX('Per Line'!$K$2:$K$4001,$AA210)&amp;"")</f>
        <v/>
      </c>
      <c r="J210">
        <f>IF($AA210="","",INDEX('Per Line'!$L$2:$L$4001,$AA210)&amp;"")</f>
        <v/>
      </c>
      <c r="K210">
        <f>IF($AA210="","",INDEX('Per Line'!$P$2:$P$4001,$AA210))</f>
        <v/>
      </c>
      <c r="L210" s="7">
        <f>IF($AA210="","",IF(AND(ISNUMBER(N210),N210&gt;0,Y210&gt;N210),K210*N210/100+(Y210-N210),K210*Y210/100))</f>
        <v/>
      </c>
      <c r="M210">
        <f>IF($AA210="","",INDEX('Per Line'!$Z$2:$Z$4001,$AA210)&amp;"")</f>
        <v/>
      </c>
      <c r="N210">
        <f>IF($AA210="","",INDEX('Per Line'!$AG$2:$AG$4001,$AA210))</f>
        <v/>
      </c>
      <c r="O210">
        <f>IF($AA210="","",IF(AND(ISNUMBER(N210),N210&gt;0),Y210&gt;N210,FALSE))</f>
        <v/>
      </c>
      <c r="P210" s="7">
        <f>IF($AA210="","",SUMIFS('Per Line'!$Y$2:$Y$4001,'Per Line'!$E$2:$E$4001,$B210,'Per Line'!$AQ$2:$AQ$4001,1))</f>
        <v/>
      </c>
      <c r="Q210">
        <f>IF($AA210="","",Settings!$C$7)</f>
        <v/>
      </c>
      <c r="R210" s="7">
        <f>IF($AA210="","",SUMIFS('Per Line'!$Y$2:$Y$4001,'Per Line'!$E$2:$E$4001,$B210,'Per Line'!$AP$2:$AP$4001,0,'Per Line'!$AQ$2:$AQ$4001,0))</f>
        <v/>
      </c>
      <c r="S210" s="7">
        <f>IF($AA210="","",R210*Q210)</f>
        <v/>
      </c>
      <c r="T210">
        <f>IF($AA210="","",Settings!$C$6)</f>
        <v/>
      </c>
      <c r="U210" s="7">
        <f>IF($AA210="","",SUMIFS('Per Line'!$Y$2:$Y$4001,'Per Line'!$E$2:$E$4001,$B210,'Per Line'!$AP$2:$AP$4001,1,'Per Line'!$AQ$2:$AQ$4001,0))</f>
        <v/>
      </c>
      <c r="V210" s="7">
        <f>IF($AA210="","",U210*T210)</f>
        <v/>
      </c>
      <c r="W210" s="7">
        <f>IF($AA210="","",V210+S210)</f>
        <v/>
      </c>
      <c r="X210" s="7">
        <f>IF($AA210="","",Y210-W210)</f>
        <v/>
      </c>
      <c r="Y210" s="7">
        <f>IF($AA210="","",R210+U210+P210)</f>
        <v/>
      </c>
      <c r="Z210" s="7">
        <f>IF($AA210="","",Y210-W210-L210)</f>
        <v/>
      </c>
      <c r="AA210" s="13">
        <f>IF(ROWS($AA$2:$AA210)&lt;=MAX('Per Line'!$AO$2:$AO$4001),MATCH(ROWS($AA$2:$AA210),'Per Line'!$AO$2:$AO$4001,0),"")</f>
        <v/>
      </c>
      <c r="AB210" s="14">
        <f>IF($AA210="","",L210-K210*Y210/100)</f>
        <v/>
      </c>
    </row>
    <row r="211">
      <c r="A211" s="12" t="n"/>
      <c r="B211">
        <f>IF($AA211="","",INDEX('Per Line'!$E$2:$E$4001,$AA211)&amp;"")</f>
        <v/>
      </c>
      <c r="C211">
        <f>IF($AA211="","",INDEX('Per Line'!$A$2:$A$4001,$AA211)&amp;"")</f>
        <v/>
      </c>
      <c r="D211">
        <f>IF($AA211="","",INDEX('Per Line'!$D$2:$D$4001,$AA211)&amp;"")</f>
        <v/>
      </c>
      <c r="E211" s="11">
        <f>IF($AA211="","",INDEX('Per Line'!$G$2:$G$4001,$AA211))</f>
        <v/>
      </c>
      <c r="F211">
        <f>IF($AA211="","",INDEX('Per Line'!$H$2:$H$4001,$AA211)&amp;"")</f>
        <v/>
      </c>
      <c r="G211">
        <f>IF($AA211="","",INDEX('Per Line'!$I$2:$I$4001,$AA211)&amp;"")</f>
        <v/>
      </c>
      <c r="H211">
        <f>IF($AA211="","",INDEX('Per Line'!$J$2:$J$4001,$AA211)&amp;"")</f>
        <v/>
      </c>
      <c r="I211">
        <f>IF($AA211="","",INDEX('Per Line'!$K$2:$K$4001,$AA211)&amp;"")</f>
        <v/>
      </c>
      <c r="J211">
        <f>IF($AA211="","",INDEX('Per Line'!$L$2:$L$4001,$AA211)&amp;"")</f>
        <v/>
      </c>
      <c r="K211">
        <f>IF($AA211="","",INDEX('Per Line'!$P$2:$P$4001,$AA211))</f>
        <v/>
      </c>
      <c r="L211" s="7">
        <f>IF($AA211="","",IF(AND(ISNUMBER(N211),N211&gt;0,Y211&gt;N211),K211*N211/100+(Y211-N211),K211*Y211/100))</f>
        <v/>
      </c>
      <c r="M211">
        <f>IF($AA211="","",INDEX('Per Line'!$Z$2:$Z$4001,$AA211)&amp;"")</f>
        <v/>
      </c>
      <c r="N211">
        <f>IF($AA211="","",INDEX('Per Line'!$AG$2:$AG$4001,$AA211))</f>
        <v/>
      </c>
      <c r="O211">
        <f>IF($AA211="","",IF(AND(ISNUMBER(N211),N211&gt;0),Y211&gt;N211,FALSE))</f>
        <v/>
      </c>
      <c r="P211" s="7">
        <f>IF($AA211="","",SUMIFS('Per Line'!$Y$2:$Y$4001,'Per Line'!$E$2:$E$4001,$B211,'Per Line'!$AQ$2:$AQ$4001,1))</f>
        <v/>
      </c>
      <c r="Q211">
        <f>IF($AA211="","",Settings!$C$7)</f>
        <v/>
      </c>
      <c r="R211" s="7">
        <f>IF($AA211="","",SUMIFS('Per Line'!$Y$2:$Y$4001,'Per Line'!$E$2:$E$4001,$B211,'Per Line'!$AP$2:$AP$4001,0,'Per Line'!$AQ$2:$AQ$4001,0))</f>
        <v/>
      </c>
      <c r="S211" s="7">
        <f>IF($AA211="","",R211*Q211)</f>
        <v/>
      </c>
      <c r="T211">
        <f>IF($AA211="","",Settings!$C$6)</f>
        <v/>
      </c>
      <c r="U211" s="7">
        <f>IF($AA211="","",SUMIFS('Per Line'!$Y$2:$Y$4001,'Per Line'!$E$2:$E$4001,$B211,'Per Line'!$AP$2:$AP$4001,1,'Per Line'!$AQ$2:$AQ$4001,0))</f>
        <v/>
      </c>
      <c r="V211" s="7">
        <f>IF($AA211="","",U211*T211)</f>
        <v/>
      </c>
      <c r="W211" s="7">
        <f>IF($AA211="","",V211+S211)</f>
        <v/>
      </c>
      <c r="X211" s="7">
        <f>IF($AA211="","",Y211-W211)</f>
        <v/>
      </c>
      <c r="Y211" s="7">
        <f>IF($AA211="","",R211+U211+P211)</f>
        <v/>
      </c>
      <c r="Z211" s="7">
        <f>IF($AA211="","",Y211-W211-L211)</f>
        <v/>
      </c>
      <c r="AA211" s="13">
        <f>IF(ROWS($AA$2:$AA211)&lt;=MAX('Per Line'!$AO$2:$AO$4001),MATCH(ROWS($AA$2:$AA211),'Per Line'!$AO$2:$AO$4001,0),"")</f>
        <v/>
      </c>
      <c r="AB211" s="14">
        <f>IF($AA211="","",L211-K211*Y211/100)</f>
        <v/>
      </c>
    </row>
    <row r="212">
      <c r="A212" s="12" t="n"/>
      <c r="B212">
        <f>IF($AA212="","",INDEX('Per Line'!$E$2:$E$4001,$AA212)&amp;"")</f>
        <v/>
      </c>
      <c r="C212">
        <f>IF($AA212="","",INDEX('Per Line'!$A$2:$A$4001,$AA212)&amp;"")</f>
        <v/>
      </c>
      <c r="D212">
        <f>IF($AA212="","",INDEX('Per Line'!$D$2:$D$4001,$AA212)&amp;"")</f>
        <v/>
      </c>
      <c r="E212" s="11">
        <f>IF($AA212="","",INDEX('Per Line'!$G$2:$G$4001,$AA212))</f>
        <v/>
      </c>
      <c r="F212">
        <f>IF($AA212="","",INDEX('Per Line'!$H$2:$H$4001,$AA212)&amp;"")</f>
        <v/>
      </c>
      <c r="G212">
        <f>IF($AA212="","",INDEX('Per Line'!$I$2:$I$4001,$AA212)&amp;"")</f>
        <v/>
      </c>
      <c r="H212">
        <f>IF($AA212="","",INDEX('Per Line'!$J$2:$J$4001,$AA212)&amp;"")</f>
        <v/>
      </c>
      <c r="I212">
        <f>IF($AA212="","",INDEX('Per Line'!$K$2:$K$4001,$AA212)&amp;"")</f>
        <v/>
      </c>
      <c r="J212">
        <f>IF($AA212="","",INDEX('Per Line'!$L$2:$L$4001,$AA212)&amp;"")</f>
        <v/>
      </c>
      <c r="K212">
        <f>IF($AA212="","",INDEX('Per Line'!$P$2:$P$4001,$AA212))</f>
        <v/>
      </c>
      <c r="L212" s="7">
        <f>IF($AA212="","",IF(AND(ISNUMBER(N212),N212&gt;0,Y212&gt;N212),K212*N212/100+(Y212-N212),K212*Y212/100))</f>
        <v/>
      </c>
      <c r="M212">
        <f>IF($AA212="","",INDEX('Per Line'!$Z$2:$Z$4001,$AA212)&amp;"")</f>
        <v/>
      </c>
      <c r="N212">
        <f>IF($AA212="","",INDEX('Per Line'!$AG$2:$AG$4001,$AA212))</f>
        <v/>
      </c>
      <c r="O212">
        <f>IF($AA212="","",IF(AND(ISNUMBER(N212),N212&gt;0),Y212&gt;N212,FALSE))</f>
        <v/>
      </c>
      <c r="P212" s="7">
        <f>IF($AA212="","",SUMIFS('Per Line'!$Y$2:$Y$4001,'Per Line'!$E$2:$E$4001,$B212,'Per Line'!$AQ$2:$AQ$4001,1))</f>
        <v/>
      </c>
      <c r="Q212">
        <f>IF($AA212="","",Settings!$C$7)</f>
        <v/>
      </c>
      <c r="R212" s="7">
        <f>IF($AA212="","",SUMIFS('Per Line'!$Y$2:$Y$4001,'Per Line'!$E$2:$E$4001,$B212,'Per Line'!$AP$2:$AP$4001,0,'Per Line'!$AQ$2:$AQ$4001,0))</f>
        <v/>
      </c>
      <c r="S212" s="7">
        <f>IF($AA212="","",R212*Q212)</f>
        <v/>
      </c>
      <c r="T212">
        <f>IF($AA212="","",Settings!$C$6)</f>
        <v/>
      </c>
      <c r="U212" s="7">
        <f>IF($AA212="","",SUMIFS('Per Line'!$Y$2:$Y$4001,'Per Line'!$E$2:$E$4001,$B212,'Per Line'!$AP$2:$AP$4001,1,'Per Line'!$AQ$2:$AQ$4001,0))</f>
        <v/>
      </c>
      <c r="V212" s="7">
        <f>IF($AA212="","",U212*T212)</f>
        <v/>
      </c>
      <c r="W212" s="7">
        <f>IF($AA212="","",V212+S212)</f>
        <v/>
      </c>
      <c r="X212" s="7">
        <f>IF($AA212="","",Y212-W212)</f>
        <v/>
      </c>
      <c r="Y212" s="7">
        <f>IF($AA212="","",R212+U212+P212)</f>
        <v/>
      </c>
      <c r="Z212" s="7">
        <f>IF($AA212="","",Y212-W212-L212)</f>
        <v/>
      </c>
      <c r="AA212" s="13">
        <f>IF(ROWS($AA$2:$AA212)&lt;=MAX('Per Line'!$AO$2:$AO$4001),MATCH(ROWS($AA$2:$AA212),'Per Line'!$AO$2:$AO$4001,0),"")</f>
        <v/>
      </c>
      <c r="AB212" s="14">
        <f>IF($AA212="","",L212-K212*Y212/100)</f>
        <v/>
      </c>
    </row>
    <row r="213">
      <c r="A213" s="12" t="n"/>
      <c r="B213">
        <f>IF($AA213="","",INDEX('Per Line'!$E$2:$E$4001,$AA213)&amp;"")</f>
        <v/>
      </c>
      <c r="C213">
        <f>IF($AA213="","",INDEX('Per Line'!$A$2:$A$4001,$AA213)&amp;"")</f>
        <v/>
      </c>
      <c r="D213">
        <f>IF($AA213="","",INDEX('Per Line'!$D$2:$D$4001,$AA213)&amp;"")</f>
        <v/>
      </c>
      <c r="E213" s="11">
        <f>IF($AA213="","",INDEX('Per Line'!$G$2:$G$4001,$AA213))</f>
        <v/>
      </c>
      <c r="F213">
        <f>IF($AA213="","",INDEX('Per Line'!$H$2:$H$4001,$AA213)&amp;"")</f>
        <v/>
      </c>
      <c r="G213">
        <f>IF($AA213="","",INDEX('Per Line'!$I$2:$I$4001,$AA213)&amp;"")</f>
        <v/>
      </c>
      <c r="H213">
        <f>IF($AA213="","",INDEX('Per Line'!$J$2:$J$4001,$AA213)&amp;"")</f>
        <v/>
      </c>
      <c r="I213">
        <f>IF($AA213="","",INDEX('Per Line'!$K$2:$K$4001,$AA213)&amp;"")</f>
        <v/>
      </c>
      <c r="J213">
        <f>IF($AA213="","",INDEX('Per Line'!$L$2:$L$4001,$AA213)&amp;"")</f>
        <v/>
      </c>
      <c r="K213">
        <f>IF($AA213="","",INDEX('Per Line'!$P$2:$P$4001,$AA213))</f>
        <v/>
      </c>
      <c r="L213" s="7">
        <f>IF($AA213="","",IF(AND(ISNUMBER(N213),N213&gt;0,Y213&gt;N213),K213*N213/100+(Y213-N213),K213*Y213/100))</f>
        <v/>
      </c>
      <c r="M213">
        <f>IF($AA213="","",INDEX('Per Line'!$Z$2:$Z$4001,$AA213)&amp;"")</f>
        <v/>
      </c>
      <c r="N213">
        <f>IF($AA213="","",INDEX('Per Line'!$AG$2:$AG$4001,$AA213))</f>
        <v/>
      </c>
      <c r="O213">
        <f>IF($AA213="","",IF(AND(ISNUMBER(N213),N213&gt;0),Y213&gt;N213,FALSE))</f>
        <v/>
      </c>
      <c r="P213" s="7">
        <f>IF($AA213="","",SUMIFS('Per Line'!$Y$2:$Y$4001,'Per Line'!$E$2:$E$4001,$B213,'Per Line'!$AQ$2:$AQ$4001,1))</f>
        <v/>
      </c>
      <c r="Q213">
        <f>IF($AA213="","",Settings!$C$7)</f>
        <v/>
      </c>
      <c r="R213" s="7">
        <f>IF($AA213="","",SUMIFS('Per Line'!$Y$2:$Y$4001,'Per Line'!$E$2:$E$4001,$B213,'Per Line'!$AP$2:$AP$4001,0,'Per Line'!$AQ$2:$AQ$4001,0))</f>
        <v/>
      </c>
      <c r="S213" s="7">
        <f>IF($AA213="","",R213*Q213)</f>
        <v/>
      </c>
      <c r="T213">
        <f>IF($AA213="","",Settings!$C$6)</f>
        <v/>
      </c>
      <c r="U213" s="7">
        <f>IF($AA213="","",SUMIFS('Per Line'!$Y$2:$Y$4001,'Per Line'!$E$2:$E$4001,$B213,'Per Line'!$AP$2:$AP$4001,1,'Per Line'!$AQ$2:$AQ$4001,0))</f>
        <v/>
      </c>
      <c r="V213" s="7">
        <f>IF($AA213="","",U213*T213)</f>
        <v/>
      </c>
      <c r="W213" s="7">
        <f>IF($AA213="","",V213+S213)</f>
        <v/>
      </c>
      <c r="X213" s="7">
        <f>IF($AA213="","",Y213-W213)</f>
        <v/>
      </c>
      <c r="Y213" s="7">
        <f>IF($AA213="","",R213+U213+P213)</f>
        <v/>
      </c>
      <c r="Z213" s="7">
        <f>IF($AA213="","",Y213-W213-L213)</f>
        <v/>
      </c>
      <c r="AA213" s="13">
        <f>IF(ROWS($AA$2:$AA213)&lt;=MAX('Per Line'!$AO$2:$AO$4001),MATCH(ROWS($AA$2:$AA213),'Per Line'!$AO$2:$AO$4001,0),"")</f>
        <v/>
      </c>
      <c r="AB213" s="14">
        <f>IF($AA213="","",L213-K213*Y213/100)</f>
        <v/>
      </c>
    </row>
    <row r="214">
      <c r="A214" s="12" t="n"/>
      <c r="B214">
        <f>IF($AA214="","",INDEX('Per Line'!$E$2:$E$4001,$AA214)&amp;"")</f>
        <v/>
      </c>
      <c r="C214">
        <f>IF($AA214="","",INDEX('Per Line'!$A$2:$A$4001,$AA214)&amp;"")</f>
        <v/>
      </c>
      <c r="D214">
        <f>IF($AA214="","",INDEX('Per Line'!$D$2:$D$4001,$AA214)&amp;"")</f>
        <v/>
      </c>
      <c r="E214" s="11">
        <f>IF($AA214="","",INDEX('Per Line'!$G$2:$G$4001,$AA214))</f>
        <v/>
      </c>
      <c r="F214">
        <f>IF($AA214="","",INDEX('Per Line'!$H$2:$H$4001,$AA214)&amp;"")</f>
        <v/>
      </c>
      <c r="G214">
        <f>IF($AA214="","",INDEX('Per Line'!$I$2:$I$4001,$AA214)&amp;"")</f>
        <v/>
      </c>
      <c r="H214">
        <f>IF($AA214="","",INDEX('Per Line'!$J$2:$J$4001,$AA214)&amp;"")</f>
        <v/>
      </c>
      <c r="I214">
        <f>IF($AA214="","",INDEX('Per Line'!$K$2:$K$4001,$AA214)&amp;"")</f>
        <v/>
      </c>
      <c r="J214">
        <f>IF($AA214="","",INDEX('Per Line'!$L$2:$L$4001,$AA214)&amp;"")</f>
        <v/>
      </c>
      <c r="K214">
        <f>IF($AA214="","",INDEX('Per Line'!$P$2:$P$4001,$AA214))</f>
        <v/>
      </c>
      <c r="L214" s="7">
        <f>IF($AA214="","",IF(AND(ISNUMBER(N214),N214&gt;0,Y214&gt;N214),K214*N214/100+(Y214-N214),K214*Y214/100))</f>
        <v/>
      </c>
      <c r="M214">
        <f>IF($AA214="","",INDEX('Per Line'!$Z$2:$Z$4001,$AA214)&amp;"")</f>
        <v/>
      </c>
      <c r="N214">
        <f>IF($AA214="","",INDEX('Per Line'!$AG$2:$AG$4001,$AA214))</f>
        <v/>
      </c>
      <c r="O214">
        <f>IF($AA214="","",IF(AND(ISNUMBER(N214),N214&gt;0),Y214&gt;N214,FALSE))</f>
        <v/>
      </c>
      <c r="P214" s="7">
        <f>IF($AA214="","",SUMIFS('Per Line'!$Y$2:$Y$4001,'Per Line'!$E$2:$E$4001,$B214,'Per Line'!$AQ$2:$AQ$4001,1))</f>
        <v/>
      </c>
      <c r="Q214">
        <f>IF($AA214="","",Settings!$C$7)</f>
        <v/>
      </c>
      <c r="R214" s="7">
        <f>IF($AA214="","",SUMIFS('Per Line'!$Y$2:$Y$4001,'Per Line'!$E$2:$E$4001,$B214,'Per Line'!$AP$2:$AP$4001,0,'Per Line'!$AQ$2:$AQ$4001,0))</f>
        <v/>
      </c>
      <c r="S214" s="7">
        <f>IF($AA214="","",R214*Q214)</f>
        <v/>
      </c>
      <c r="T214">
        <f>IF($AA214="","",Settings!$C$6)</f>
        <v/>
      </c>
      <c r="U214" s="7">
        <f>IF($AA214="","",SUMIFS('Per Line'!$Y$2:$Y$4001,'Per Line'!$E$2:$E$4001,$B214,'Per Line'!$AP$2:$AP$4001,1,'Per Line'!$AQ$2:$AQ$4001,0))</f>
        <v/>
      </c>
      <c r="V214" s="7">
        <f>IF($AA214="","",U214*T214)</f>
        <v/>
      </c>
      <c r="W214" s="7">
        <f>IF($AA214="","",V214+S214)</f>
        <v/>
      </c>
      <c r="X214" s="7">
        <f>IF($AA214="","",Y214-W214)</f>
        <v/>
      </c>
      <c r="Y214" s="7">
        <f>IF($AA214="","",R214+U214+P214)</f>
        <v/>
      </c>
      <c r="Z214" s="7">
        <f>IF($AA214="","",Y214-W214-L214)</f>
        <v/>
      </c>
      <c r="AA214" s="13">
        <f>IF(ROWS($AA$2:$AA214)&lt;=MAX('Per Line'!$AO$2:$AO$4001),MATCH(ROWS($AA$2:$AA214),'Per Line'!$AO$2:$AO$4001,0),"")</f>
        <v/>
      </c>
      <c r="AB214" s="14">
        <f>IF($AA214="","",L214-K214*Y214/100)</f>
        <v/>
      </c>
    </row>
    <row r="215">
      <c r="A215" s="12" t="n"/>
      <c r="B215">
        <f>IF($AA215="","",INDEX('Per Line'!$E$2:$E$4001,$AA215)&amp;"")</f>
        <v/>
      </c>
      <c r="C215">
        <f>IF($AA215="","",INDEX('Per Line'!$A$2:$A$4001,$AA215)&amp;"")</f>
        <v/>
      </c>
      <c r="D215">
        <f>IF($AA215="","",INDEX('Per Line'!$D$2:$D$4001,$AA215)&amp;"")</f>
        <v/>
      </c>
      <c r="E215" s="11">
        <f>IF($AA215="","",INDEX('Per Line'!$G$2:$G$4001,$AA215))</f>
        <v/>
      </c>
      <c r="F215">
        <f>IF($AA215="","",INDEX('Per Line'!$H$2:$H$4001,$AA215)&amp;"")</f>
        <v/>
      </c>
      <c r="G215">
        <f>IF($AA215="","",INDEX('Per Line'!$I$2:$I$4001,$AA215)&amp;"")</f>
        <v/>
      </c>
      <c r="H215">
        <f>IF($AA215="","",INDEX('Per Line'!$J$2:$J$4001,$AA215)&amp;"")</f>
        <v/>
      </c>
      <c r="I215">
        <f>IF($AA215="","",INDEX('Per Line'!$K$2:$K$4001,$AA215)&amp;"")</f>
        <v/>
      </c>
      <c r="J215">
        <f>IF($AA215="","",INDEX('Per Line'!$L$2:$L$4001,$AA215)&amp;"")</f>
        <v/>
      </c>
      <c r="K215">
        <f>IF($AA215="","",INDEX('Per Line'!$P$2:$P$4001,$AA215))</f>
        <v/>
      </c>
      <c r="L215" s="7">
        <f>IF($AA215="","",IF(AND(ISNUMBER(N215),N215&gt;0,Y215&gt;N215),K215*N215/100+(Y215-N215),K215*Y215/100))</f>
        <v/>
      </c>
      <c r="M215">
        <f>IF($AA215="","",INDEX('Per Line'!$Z$2:$Z$4001,$AA215)&amp;"")</f>
        <v/>
      </c>
      <c r="N215">
        <f>IF($AA215="","",INDEX('Per Line'!$AG$2:$AG$4001,$AA215))</f>
        <v/>
      </c>
      <c r="O215">
        <f>IF($AA215="","",IF(AND(ISNUMBER(N215),N215&gt;0),Y215&gt;N215,FALSE))</f>
        <v/>
      </c>
      <c r="P215" s="7">
        <f>IF($AA215="","",SUMIFS('Per Line'!$Y$2:$Y$4001,'Per Line'!$E$2:$E$4001,$B215,'Per Line'!$AQ$2:$AQ$4001,1))</f>
        <v/>
      </c>
      <c r="Q215">
        <f>IF($AA215="","",Settings!$C$7)</f>
        <v/>
      </c>
      <c r="R215" s="7">
        <f>IF($AA215="","",SUMIFS('Per Line'!$Y$2:$Y$4001,'Per Line'!$E$2:$E$4001,$B215,'Per Line'!$AP$2:$AP$4001,0,'Per Line'!$AQ$2:$AQ$4001,0))</f>
        <v/>
      </c>
      <c r="S215" s="7">
        <f>IF($AA215="","",R215*Q215)</f>
        <v/>
      </c>
      <c r="T215">
        <f>IF($AA215="","",Settings!$C$6)</f>
        <v/>
      </c>
      <c r="U215" s="7">
        <f>IF($AA215="","",SUMIFS('Per Line'!$Y$2:$Y$4001,'Per Line'!$E$2:$E$4001,$B215,'Per Line'!$AP$2:$AP$4001,1,'Per Line'!$AQ$2:$AQ$4001,0))</f>
        <v/>
      </c>
      <c r="V215" s="7">
        <f>IF($AA215="","",U215*T215)</f>
        <v/>
      </c>
      <c r="W215" s="7">
        <f>IF($AA215="","",V215+S215)</f>
        <v/>
      </c>
      <c r="X215" s="7">
        <f>IF($AA215="","",Y215-W215)</f>
        <v/>
      </c>
      <c r="Y215" s="7">
        <f>IF($AA215="","",R215+U215+P215)</f>
        <v/>
      </c>
      <c r="Z215" s="7">
        <f>IF($AA215="","",Y215-W215-L215)</f>
        <v/>
      </c>
      <c r="AA215" s="13">
        <f>IF(ROWS($AA$2:$AA215)&lt;=MAX('Per Line'!$AO$2:$AO$4001),MATCH(ROWS($AA$2:$AA215),'Per Line'!$AO$2:$AO$4001,0),"")</f>
        <v/>
      </c>
      <c r="AB215" s="14">
        <f>IF($AA215="","",L215-K215*Y215/100)</f>
        <v/>
      </c>
    </row>
    <row r="216">
      <c r="A216" s="12" t="n"/>
      <c r="B216">
        <f>IF($AA216="","",INDEX('Per Line'!$E$2:$E$4001,$AA216)&amp;"")</f>
        <v/>
      </c>
      <c r="C216">
        <f>IF($AA216="","",INDEX('Per Line'!$A$2:$A$4001,$AA216)&amp;"")</f>
        <v/>
      </c>
      <c r="D216">
        <f>IF($AA216="","",INDEX('Per Line'!$D$2:$D$4001,$AA216)&amp;"")</f>
        <v/>
      </c>
      <c r="E216" s="11">
        <f>IF($AA216="","",INDEX('Per Line'!$G$2:$G$4001,$AA216))</f>
        <v/>
      </c>
      <c r="F216">
        <f>IF($AA216="","",INDEX('Per Line'!$H$2:$H$4001,$AA216)&amp;"")</f>
        <v/>
      </c>
      <c r="G216">
        <f>IF($AA216="","",INDEX('Per Line'!$I$2:$I$4001,$AA216)&amp;"")</f>
        <v/>
      </c>
      <c r="H216">
        <f>IF($AA216="","",INDEX('Per Line'!$J$2:$J$4001,$AA216)&amp;"")</f>
        <v/>
      </c>
      <c r="I216">
        <f>IF($AA216="","",INDEX('Per Line'!$K$2:$K$4001,$AA216)&amp;"")</f>
        <v/>
      </c>
      <c r="J216">
        <f>IF($AA216="","",INDEX('Per Line'!$L$2:$L$4001,$AA216)&amp;"")</f>
        <v/>
      </c>
      <c r="K216">
        <f>IF($AA216="","",INDEX('Per Line'!$P$2:$P$4001,$AA216))</f>
        <v/>
      </c>
      <c r="L216" s="7">
        <f>IF($AA216="","",IF(AND(ISNUMBER(N216),N216&gt;0,Y216&gt;N216),K216*N216/100+(Y216-N216),K216*Y216/100))</f>
        <v/>
      </c>
      <c r="M216">
        <f>IF($AA216="","",INDEX('Per Line'!$Z$2:$Z$4001,$AA216)&amp;"")</f>
        <v/>
      </c>
      <c r="N216">
        <f>IF($AA216="","",INDEX('Per Line'!$AG$2:$AG$4001,$AA216))</f>
        <v/>
      </c>
      <c r="O216">
        <f>IF($AA216="","",IF(AND(ISNUMBER(N216),N216&gt;0),Y216&gt;N216,FALSE))</f>
        <v/>
      </c>
      <c r="P216" s="7">
        <f>IF($AA216="","",SUMIFS('Per Line'!$Y$2:$Y$4001,'Per Line'!$E$2:$E$4001,$B216,'Per Line'!$AQ$2:$AQ$4001,1))</f>
        <v/>
      </c>
      <c r="Q216">
        <f>IF($AA216="","",Settings!$C$7)</f>
        <v/>
      </c>
      <c r="R216" s="7">
        <f>IF($AA216="","",SUMIFS('Per Line'!$Y$2:$Y$4001,'Per Line'!$E$2:$E$4001,$B216,'Per Line'!$AP$2:$AP$4001,0,'Per Line'!$AQ$2:$AQ$4001,0))</f>
        <v/>
      </c>
      <c r="S216" s="7">
        <f>IF($AA216="","",R216*Q216)</f>
        <v/>
      </c>
      <c r="T216">
        <f>IF($AA216="","",Settings!$C$6)</f>
        <v/>
      </c>
      <c r="U216" s="7">
        <f>IF($AA216="","",SUMIFS('Per Line'!$Y$2:$Y$4001,'Per Line'!$E$2:$E$4001,$B216,'Per Line'!$AP$2:$AP$4001,1,'Per Line'!$AQ$2:$AQ$4001,0))</f>
        <v/>
      </c>
      <c r="V216" s="7">
        <f>IF($AA216="","",U216*T216)</f>
        <v/>
      </c>
      <c r="W216" s="7">
        <f>IF($AA216="","",V216+S216)</f>
        <v/>
      </c>
      <c r="X216" s="7">
        <f>IF($AA216="","",Y216-W216)</f>
        <v/>
      </c>
      <c r="Y216" s="7">
        <f>IF($AA216="","",R216+U216+P216)</f>
        <v/>
      </c>
      <c r="Z216" s="7">
        <f>IF($AA216="","",Y216-W216-L216)</f>
        <v/>
      </c>
      <c r="AA216" s="13">
        <f>IF(ROWS($AA$2:$AA216)&lt;=MAX('Per Line'!$AO$2:$AO$4001),MATCH(ROWS($AA$2:$AA216),'Per Line'!$AO$2:$AO$4001,0),"")</f>
        <v/>
      </c>
      <c r="AB216" s="14">
        <f>IF($AA216="","",L216-K216*Y216/100)</f>
        <v/>
      </c>
    </row>
    <row r="217">
      <c r="A217" s="12" t="n"/>
      <c r="B217">
        <f>IF($AA217="","",INDEX('Per Line'!$E$2:$E$4001,$AA217)&amp;"")</f>
        <v/>
      </c>
      <c r="C217">
        <f>IF($AA217="","",INDEX('Per Line'!$A$2:$A$4001,$AA217)&amp;"")</f>
        <v/>
      </c>
      <c r="D217">
        <f>IF($AA217="","",INDEX('Per Line'!$D$2:$D$4001,$AA217)&amp;"")</f>
        <v/>
      </c>
      <c r="E217" s="11">
        <f>IF($AA217="","",INDEX('Per Line'!$G$2:$G$4001,$AA217))</f>
        <v/>
      </c>
      <c r="F217">
        <f>IF($AA217="","",INDEX('Per Line'!$H$2:$H$4001,$AA217)&amp;"")</f>
        <v/>
      </c>
      <c r="G217">
        <f>IF($AA217="","",INDEX('Per Line'!$I$2:$I$4001,$AA217)&amp;"")</f>
        <v/>
      </c>
      <c r="H217">
        <f>IF($AA217="","",INDEX('Per Line'!$J$2:$J$4001,$AA217)&amp;"")</f>
        <v/>
      </c>
      <c r="I217">
        <f>IF($AA217="","",INDEX('Per Line'!$K$2:$K$4001,$AA217)&amp;"")</f>
        <v/>
      </c>
      <c r="J217">
        <f>IF($AA217="","",INDEX('Per Line'!$L$2:$L$4001,$AA217)&amp;"")</f>
        <v/>
      </c>
      <c r="K217">
        <f>IF($AA217="","",INDEX('Per Line'!$P$2:$P$4001,$AA217))</f>
        <v/>
      </c>
      <c r="L217" s="7">
        <f>IF($AA217="","",IF(AND(ISNUMBER(N217),N217&gt;0,Y217&gt;N217),K217*N217/100+(Y217-N217),K217*Y217/100))</f>
        <v/>
      </c>
      <c r="M217">
        <f>IF($AA217="","",INDEX('Per Line'!$Z$2:$Z$4001,$AA217)&amp;"")</f>
        <v/>
      </c>
      <c r="N217">
        <f>IF($AA217="","",INDEX('Per Line'!$AG$2:$AG$4001,$AA217))</f>
        <v/>
      </c>
      <c r="O217">
        <f>IF($AA217="","",IF(AND(ISNUMBER(N217),N217&gt;0),Y217&gt;N217,FALSE))</f>
        <v/>
      </c>
      <c r="P217" s="7">
        <f>IF($AA217="","",SUMIFS('Per Line'!$Y$2:$Y$4001,'Per Line'!$E$2:$E$4001,$B217,'Per Line'!$AQ$2:$AQ$4001,1))</f>
        <v/>
      </c>
      <c r="Q217">
        <f>IF($AA217="","",Settings!$C$7)</f>
        <v/>
      </c>
      <c r="R217" s="7">
        <f>IF($AA217="","",SUMIFS('Per Line'!$Y$2:$Y$4001,'Per Line'!$E$2:$E$4001,$B217,'Per Line'!$AP$2:$AP$4001,0,'Per Line'!$AQ$2:$AQ$4001,0))</f>
        <v/>
      </c>
      <c r="S217" s="7">
        <f>IF($AA217="","",R217*Q217)</f>
        <v/>
      </c>
      <c r="T217">
        <f>IF($AA217="","",Settings!$C$6)</f>
        <v/>
      </c>
      <c r="U217" s="7">
        <f>IF($AA217="","",SUMIFS('Per Line'!$Y$2:$Y$4001,'Per Line'!$E$2:$E$4001,$B217,'Per Line'!$AP$2:$AP$4001,1,'Per Line'!$AQ$2:$AQ$4001,0))</f>
        <v/>
      </c>
      <c r="V217" s="7">
        <f>IF($AA217="","",U217*T217)</f>
        <v/>
      </c>
      <c r="W217" s="7">
        <f>IF($AA217="","",V217+S217)</f>
        <v/>
      </c>
      <c r="X217" s="7">
        <f>IF($AA217="","",Y217-W217)</f>
        <v/>
      </c>
      <c r="Y217" s="7">
        <f>IF($AA217="","",R217+U217+P217)</f>
        <v/>
      </c>
      <c r="Z217" s="7">
        <f>IF($AA217="","",Y217-W217-L217)</f>
        <v/>
      </c>
      <c r="AA217" s="13">
        <f>IF(ROWS($AA$2:$AA217)&lt;=MAX('Per Line'!$AO$2:$AO$4001),MATCH(ROWS($AA$2:$AA217),'Per Line'!$AO$2:$AO$4001,0),"")</f>
        <v/>
      </c>
      <c r="AB217" s="14">
        <f>IF($AA217="","",L217-K217*Y217/100)</f>
        <v/>
      </c>
    </row>
    <row r="218">
      <c r="A218" s="12" t="n"/>
      <c r="B218">
        <f>IF($AA218="","",INDEX('Per Line'!$E$2:$E$4001,$AA218)&amp;"")</f>
        <v/>
      </c>
      <c r="C218">
        <f>IF($AA218="","",INDEX('Per Line'!$A$2:$A$4001,$AA218)&amp;"")</f>
        <v/>
      </c>
      <c r="D218">
        <f>IF($AA218="","",INDEX('Per Line'!$D$2:$D$4001,$AA218)&amp;"")</f>
        <v/>
      </c>
      <c r="E218" s="11">
        <f>IF($AA218="","",INDEX('Per Line'!$G$2:$G$4001,$AA218))</f>
        <v/>
      </c>
      <c r="F218">
        <f>IF($AA218="","",INDEX('Per Line'!$H$2:$H$4001,$AA218)&amp;"")</f>
        <v/>
      </c>
      <c r="G218">
        <f>IF($AA218="","",INDEX('Per Line'!$I$2:$I$4001,$AA218)&amp;"")</f>
        <v/>
      </c>
      <c r="H218">
        <f>IF($AA218="","",INDEX('Per Line'!$J$2:$J$4001,$AA218)&amp;"")</f>
        <v/>
      </c>
      <c r="I218">
        <f>IF($AA218="","",INDEX('Per Line'!$K$2:$K$4001,$AA218)&amp;"")</f>
        <v/>
      </c>
      <c r="J218">
        <f>IF($AA218="","",INDEX('Per Line'!$L$2:$L$4001,$AA218)&amp;"")</f>
        <v/>
      </c>
      <c r="K218">
        <f>IF($AA218="","",INDEX('Per Line'!$P$2:$P$4001,$AA218))</f>
        <v/>
      </c>
      <c r="L218" s="7">
        <f>IF($AA218="","",IF(AND(ISNUMBER(N218),N218&gt;0,Y218&gt;N218),K218*N218/100+(Y218-N218),K218*Y218/100))</f>
        <v/>
      </c>
      <c r="M218">
        <f>IF($AA218="","",INDEX('Per Line'!$Z$2:$Z$4001,$AA218)&amp;"")</f>
        <v/>
      </c>
      <c r="N218">
        <f>IF($AA218="","",INDEX('Per Line'!$AG$2:$AG$4001,$AA218))</f>
        <v/>
      </c>
      <c r="O218">
        <f>IF($AA218="","",IF(AND(ISNUMBER(N218),N218&gt;0),Y218&gt;N218,FALSE))</f>
        <v/>
      </c>
      <c r="P218" s="7">
        <f>IF($AA218="","",SUMIFS('Per Line'!$Y$2:$Y$4001,'Per Line'!$E$2:$E$4001,$B218,'Per Line'!$AQ$2:$AQ$4001,1))</f>
        <v/>
      </c>
      <c r="Q218">
        <f>IF($AA218="","",Settings!$C$7)</f>
        <v/>
      </c>
      <c r="R218" s="7">
        <f>IF($AA218="","",SUMIFS('Per Line'!$Y$2:$Y$4001,'Per Line'!$E$2:$E$4001,$B218,'Per Line'!$AP$2:$AP$4001,0,'Per Line'!$AQ$2:$AQ$4001,0))</f>
        <v/>
      </c>
      <c r="S218" s="7">
        <f>IF($AA218="","",R218*Q218)</f>
        <v/>
      </c>
      <c r="T218">
        <f>IF($AA218="","",Settings!$C$6)</f>
        <v/>
      </c>
      <c r="U218" s="7">
        <f>IF($AA218="","",SUMIFS('Per Line'!$Y$2:$Y$4001,'Per Line'!$E$2:$E$4001,$B218,'Per Line'!$AP$2:$AP$4001,1,'Per Line'!$AQ$2:$AQ$4001,0))</f>
        <v/>
      </c>
      <c r="V218" s="7">
        <f>IF($AA218="","",U218*T218)</f>
        <v/>
      </c>
      <c r="W218" s="7">
        <f>IF($AA218="","",V218+S218)</f>
        <v/>
      </c>
      <c r="X218" s="7">
        <f>IF($AA218="","",Y218-W218)</f>
        <v/>
      </c>
      <c r="Y218" s="7">
        <f>IF($AA218="","",R218+U218+P218)</f>
        <v/>
      </c>
      <c r="Z218" s="7">
        <f>IF($AA218="","",Y218-W218-L218)</f>
        <v/>
      </c>
      <c r="AA218" s="13">
        <f>IF(ROWS($AA$2:$AA218)&lt;=MAX('Per Line'!$AO$2:$AO$4001),MATCH(ROWS($AA$2:$AA218),'Per Line'!$AO$2:$AO$4001,0),"")</f>
        <v/>
      </c>
      <c r="AB218" s="14">
        <f>IF($AA218="","",L218-K218*Y218/100)</f>
        <v/>
      </c>
    </row>
    <row r="219">
      <c r="A219" s="12" t="n"/>
      <c r="B219">
        <f>IF($AA219="","",INDEX('Per Line'!$E$2:$E$4001,$AA219)&amp;"")</f>
        <v/>
      </c>
      <c r="C219">
        <f>IF($AA219="","",INDEX('Per Line'!$A$2:$A$4001,$AA219)&amp;"")</f>
        <v/>
      </c>
      <c r="D219">
        <f>IF($AA219="","",INDEX('Per Line'!$D$2:$D$4001,$AA219)&amp;"")</f>
        <v/>
      </c>
      <c r="E219" s="11">
        <f>IF($AA219="","",INDEX('Per Line'!$G$2:$G$4001,$AA219))</f>
        <v/>
      </c>
      <c r="F219">
        <f>IF($AA219="","",INDEX('Per Line'!$H$2:$H$4001,$AA219)&amp;"")</f>
        <v/>
      </c>
      <c r="G219">
        <f>IF($AA219="","",INDEX('Per Line'!$I$2:$I$4001,$AA219)&amp;"")</f>
        <v/>
      </c>
      <c r="H219">
        <f>IF($AA219="","",INDEX('Per Line'!$J$2:$J$4001,$AA219)&amp;"")</f>
        <v/>
      </c>
      <c r="I219">
        <f>IF($AA219="","",INDEX('Per Line'!$K$2:$K$4001,$AA219)&amp;"")</f>
        <v/>
      </c>
      <c r="J219">
        <f>IF($AA219="","",INDEX('Per Line'!$L$2:$L$4001,$AA219)&amp;"")</f>
        <v/>
      </c>
      <c r="K219">
        <f>IF($AA219="","",INDEX('Per Line'!$P$2:$P$4001,$AA219))</f>
        <v/>
      </c>
      <c r="L219" s="7">
        <f>IF($AA219="","",IF(AND(ISNUMBER(N219),N219&gt;0,Y219&gt;N219),K219*N219/100+(Y219-N219),K219*Y219/100))</f>
        <v/>
      </c>
      <c r="M219">
        <f>IF($AA219="","",INDEX('Per Line'!$Z$2:$Z$4001,$AA219)&amp;"")</f>
        <v/>
      </c>
      <c r="N219">
        <f>IF($AA219="","",INDEX('Per Line'!$AG$2:$AG$4001,$AA219))</f>
        <v/>
      </c>
      <c r="O219">
        <f>IF($AA219="","",IF(AND(ISNUMBER(N219),N219&gt;0),Y219&gt;N219,FALSE))</f>
        <v/>
      </c>
      <c r="P219" s="7">
        <f>IF($AA219="","",SUMIFS('Per Line'!$Y$2:$Y$4001,'Per Line'!$E$2:$E$4001,$B219,'Per Line'!$AQ$2:$AQ$4001,1))</f>
        <v/>
      </c>
      <c r="Q219">
        <f>IF($AA219="","",Settings!$C$7)</f>
        <v/>
      </c>
      <c r="R219" s="7">
        <f>IF($AA219="","",SUMIFS('Per Line'!$Y$2:$Y$4001,'Per Line'!$E$2:$E$4001,$B219,'Per Line'!$AP$2:$AP$4001,0,'Per Line'!$AQ$2:$AQ$4001,0))</f>
        <v/>
      </c>
      <c r="S219" s="7">
        <f>IF($AA219="","",R219*Q219)</f>
        <v/>
      </c>
      <c r="T219">
        <f>IF($AA219="","",Settings!$C$6)</f>
        <v/>
      </c>
      <c r="U219" s="7">
        <f>IF($AA219="","",SUMIFS('Per Line'!$Y$2:$Y$4001,'Per Line'!$E$2:$E$4001,$B219,'Per Line'!$AP$2:$AP$4001,1,'Per Line'!$AQ$2:$AQ$4001,0))</f>
        <v/>
      </c>
      <c r="V219" s="7">
        <f>IF($AA219="","",U219*T219)</f>
        <v/>
      </c>
      <c r="W219" s="7">
        <f>IF($AA219="","",V219+S219)</f>
        <v/>
      </c>
      <c r="X219" s="7">
        <f>IF($AA219="","",Y219-W219)</f>
        <v/>
      </c>
      <c r="Y219" s="7">
        <f>IF($AA219="","",R219+U219+P219)</f>
        <v/>
      </c>
      <c r="Z219" s="7">
        <f>IF($AA219="","",Y219-W219-L219)</f>
        <v/>
      </c>
      <c r="AA219" s="13">
        <f>IF(ROWS($AA$2:$AA219)&lt;=MAX('Per Line'!$AO$2:$AO$4001),MATCH(ROWS($AA$2:$AA219),'Per Line'!$AO$2:$AO$4001,0),"")</f>
        <v/>
      </c>
      <c r="AB219" s="14">
        <f>IF($AA219="","",L219-K219*Y219/100)</f>
        <v/>
      </c>
    </row>
    <row r="220">
      <c r="A220" s="12" t="n"/>
      <c r="B220">
        <f>IF($AA220="","",INDEX('Per Line'!$E$2:$E$4001,$AA220)&amp;"")</f>
        <v/>
      </c>
      <c r="C220">
        <f>IF($AA220="","",INDEX('Per Line'!$A$2:$A$4001,$AA220)&amp;"")</f>
        <v/>
      </c>
      <c r="D220">
        <f>IF($AA220="","",INDEX('Per Line'!$D$2:$D$4001,$AA220)&amp;"")</f>
        <v/>
      </c>
      <c r="E220" s="11">
        <f>IF($AA220="","",INDEX('Per Line'!$G$2:$G$4001,$AA220))</f>
        <v/>
      </c>
      <c r="F220">
        <f>IF($AA220="","",INDEX('Per Line'!$H$2:$H$4001,$AA220)&amp;"")</f>
        <v/>
      </c>
      <c r="G220">
        <f>IF($AA220="","",INDEX('Per Line'!$I$2:$I$4001,$AA220)&amp;"")</f>
        <v/>
      </c>
      <c r="H220">
        <f>IF($AA220="","",INDEX('Per Line'!$J$2:$J$4001,$AA220)&amp;"")</f>
        <v/>
      </c>
      <c r="I220">
        <f>IF($AA220="","",INDEX('Per Line'!$K$2:$K$4001,$AA220)&amp;"")</f>
        <v/>
      </c>
      <c r="J220">
        <f>IF($AA220="","",INDEX('Per Line'!$L$2:$L$4001,$AA220)&amp;"")</f>
        <v/>
      </c>
      <c r="K220">
        <f>IF($AA220="","",INDEX('Per Line'!$P$2:$P$4001,$AA220))</f>
        <v/>
      </c>
      <c r="L220" s="7">
        <f>IF($AA220="","",IF(AND(ISNUMBER(N220),N220&gt;0,Y220&gt;N220),K220*N220/100+(Y220-N220),K220*Y220/100))</f>
        <v/>
      </c>
      <c r="M220">
        <f>IF($AA220="","",INDEX('Per Line'!$Z$2:$Z$4001,$AA220)&amp;"")</f>
        <v/>
      </c>
      <c r="N220">
        <f>IF($AA220="","",INDEX('Per Line'!$AG$2:$AG$4001,$AA220))</f>
        <v/>
      </c>
      <c r="O220">
        <f>IF($AA220="","",IF(AND(ISNUMBER(N220),N220&gt;0),Y220&gt;N220,FALSE))</f>
        <v/>
      </c>
      <c r="P220" s="7">
        <f>IF($AA220="","",SUMIFS('Per Line'!$Y$2:$Y$4001,'Per Line'!$E$2:$E$4001,$B220,'Per Line'!$AQ$2:$AQ$4001,1))</f>
        <v/>
      </c>
      <c r="Q220">
        <f>IF($AA220="","",Settings!$C$7)</f>
        <v/>
      </c>
      <c r="R220" s="7">
        <f>IF($AA220="","",SUMIFS('Per Line'!$Y$2:$Y$4001,'Per Line'!$E$2:$E$4001,$B220,'Per Line'!$AP$2:$AP$4001,0,'Per Line'!$AQ$2:$AQ$4001,0))</f>
        <v/>
      </c>
      <c r="S220" s="7">
        <f>IF($AA220="","",R220*Q220)</f>
        <v/>
      </c>
      <c r="T220">
        <f>IF($AA220="","",Settings!$C$6)</f>
        <v/>
      </c>
      <c r="U220" s="7">
        <f>IF($AA220="","",SUMIFS('Per Line'!$Y$2:$Y$4001,'Per Line'!$E$2:$E$4001,$B220,'Per Line'!$AP$2:$AP$4001,1,'Per Line'!$AQ$2:$AQ$4001,0))</f>
        <v/>
      </c>
      <c r="V220" s="7">
        <f>IF($AA220="","",U220*T220)</f>
        <v/>
      </c>
      <c r="W220" s="7">
        <f>IF($AA220="","",V220+S220)</f>
        <v/>
      </c>
      <c r="X220" s="7">
        <f>IF($AA220="","",Y220-W220)</f>
        <v/>
      </c>
      <c r="Y220" s="7">
        <f>IF($AA220="","",R220+U220+P220)</f>
        <v/>
      </c>
      <c r="Z220" s="7">
        <f>IF($AA220="","",Y220-W220-L220)</f>
        <v/>
      </c>
      <c r="AA220" s="13">
        <f>IF(ROWS($AA$2:$AA220)&lt;=MAX('Per Line'!$AO$2:$AO$4001),MATCH(ROWS($AA$2:$AA220),'Per Line'!$AO$2:$AO$4001,0),"")</f>
        <v/>
      </c>
      <c r="AB220" s="14">
        <f>IF($AA220="","",L220-K220*Y220/100)</f>
        <v/>
      </c>
    </row>
    <row r="221">
      <c r="A221" s="12" t="n"/>
      <c r="B221">
        <f>IF($AA221="","",INDEX('Per Line'!$E$2:$E$4001,$AA221)&amp;"")</f>
        <v/>
      </c>
      <c r="C221">
        <f>IF($AA221="","",INDEX('Per Line'!$A$2:$A$4001,$AA221)&amp;"")</f>
        <v/>
      </c>
      <c r="D221">
        <f>IF($AA221="","",INDEX('Per Line'!$D$2:$D$4001,$AA221)&amp;"")</f>
        <v/>
      </c>
      <c r="E221" s="11">
        <f>IF($AA221="","",INDEX('Per Line'!$G$2:$G$4001,$AA221))</f>
        <v/>
      </c>
      <c r="F221">
        <f>IF($AA221="","",INDEX('Per Line'!$H$2:$H$4001,$AA221)&amp;"")</f>
        <v/>
      </c>
      <c r="G221">
        <f>IF($AA221="","",INDEX('Per Line'!$I$2:$I$4001,$AA221)&amp;"")</f>
        <v/>
      </c>
      <c r="H221">
        <f>IF($AA221="","",INDEX('Per Line'!$J$2:$J$4001,$AA221)&amp;"")</f>
        <v/>
      </c>
      <c r="I221">
        <f>IF($AA221="","",INDEX('Per Line'!$K$2:$K$4001,$AA221)&amp;"")</f>
        <v/>
      </c>
      <c r="J221">
        <f>IF($AA221="","",INDEX('Per Line'!$L$2:$L$4001,$AA221)&amp;"")</f>
        <v/>
      </c>
      <c r="K221">
        <f>IF($AA221="","",INDEX('Per Line'!$P$2:$P$4001,$AA221))</f>
        <v/>
      </c>
      <c r="L221" s="7">
        <f>IF($AA221="","",IF(AND(ISNUMBER(N221),N221&gt;0,Y221&gt;N221),K221*N221/100+(Y221-N221),K221*Y221/100))</f>
        <v/>
      </c>
      <c r="M221">
        <f>IF($AA221="","",INDEX('Per Line'!$Z$2:$Z$4001,$AA221)&amp;"")</f>
        <v/>
      </c>
      <c r="N221">
        <f>IF($AA221="","",INDEX('Per Line'!$AG$2:$AG$4001,$AA221))</f>
        <v/>
      </c>
      <c r="O221">
        <f>IF($AA221="","",IF(AND(ISNUMBER(N221),N221&gt;0),Y221&gt;N221,FALSE))</f>
        <v/>
      </c>
      <c r="P221" s="7">
        <f>IF($AA221="","",SUMIFS('Per Line'!$Y$2:$Y$4001,'Per Line'!$E$2:$E$4001,$B221,'Per Line'!$AQ$2:$AQ$4001,1))</f>
        <v/>
      </c>
      <c r="Q221">
        <f>IF($AA221="","",Settings!$C$7)</f>
        <v/>
      </c>
      <c r="R221" s="7">
        <f>IF($AA221="","",SUMIFS('Per Line'!$Y$2:$Y$4001,'Per Line'!$E$2:$E$4001,$B221,'Per Line'!$AP$2:$AP$4001,0,'Per Line'!$AQ$2:$AQ$4001,0))</f>
        <v/>
      </c>
      <c r="S221" s="7">
        <f>IF($AA221="","",R221*Q221)</f>
        <v/>
      </c>
      <c r="T221">
        <f>IF($AA221="","",Settings!$C$6)</f>
        <v/>
      </c>
      <c r="U221" s="7">
        <f>IF($AA221="","",SUMIFS('Per Line'!$Y$2:$Y$4001,'Per Line'!$E$2:$E$4001,$B221,'Per Line'!$AP$2:$AP$4001,1,'Per Line'!$AQ$2:$AQ$4001,0))</f>
        <v/>
      </c>
      <c r="V221" s="7">
        <f>IF($AA221="","",U221*T221)</f>
        <v/>
      </c>
      <c r="W221" s="7">
        <f>IF($AA221="","",V221+S221)</f>
        <v/>
      </c>
      <c r="X221" s="7">
        <f>IF($AA221="","",Y221-W221)</f>
        <v/>
      </c>
      <c r="Y221" s="7">
        <f>IF($AA221="","",R221+U221+P221)</f>
        <v/>
      </c>
      <c r="Z221" s="7">
        <f>IF($AA221="","",Y221-W221-L221)</f>
        <v/>
      </c>
      <c r="AA221" s="13">
        <f>IF(ROWS($AA$2:$AA221)&lt;=MAX('Per Line'!$AO$2:$AO$4001),MATCH(ROWS($AA$2:$AA221),'Per Line'!$AO$2:$AO$4001,0),"")</f>
        <v/>
      </c>
      <c r="AB221" s="14">
        <f>IF($AA221="","",L221-K221*Y221/100)</f>
        <v/>
      </c>
    </row>
    <row r="222">
      <c r="A222" s="12" t="n"/>
      <c r="B222">
        <f>IF($AA222="","",INDEX('Per Line'!$E$2:$E$4001,$AA222)&amp;"")</f>
        <v/>
      </c>
      <c r="C222">
        <f>IF($AA222="","",INDEX('Per Line'!$A$2:$A$4001,$AA222)&amp;"")</f>
        <v/>
      </c>
      <c r="D222">
        <f>IF($AA222="","",INDEX('Per Line'!$D$2:$D$4001,$AA222)&amp;"")</f>
        <v/>
      </c>
      <c r="E222" s="11">
        <f>IF($AA222="","",INDEX('Per Line'!$G$2:$G$4001,$AA222))</f>
        <v/>
      </c>
      <c r="F222">
        <f>IF($AA222="","",INDEX('Per Line'!$H$2:$H$4001,$AA222)&amp;"")</f>
        <v/>
      </c>
      <c r="G222">
        <f>IF($AA222="","",INDEX('Per Line'!$I$2:$I$4001,$AA222)&amp;"")</f>
        <v/>
      </c>
      <c r="H222">
        <f>IF($AA222="","",INDEX('Per Line'!$J$2:$J$4001,$AA222)&amp;"")</f>
        <v/>
      </c>
      <c r="I222">
        <f>IF($AA222="","",INDEX('Per Line'!$K$2:$K$4001,$AA222)&amp;"")</f>
        <v/>
      </c>
      <c r="J222">
        <f>IF($AA222="","",INDEX('Per Line'!$L$2:$L$4001,$AA222)&amp;"")</f>
        <v/>
      </c>
      <c r="K222">
        <f>IF($AA222="","",INDEX('Per Line'!$P$2:$P$4001,$AA222))</f>
        <v/>
      </c>
      <c r="L222" s="7">
        <f>IF($AA222="","",IF(AND(ISNUMBER(N222),N222&gt;0,Y222&gt;N222),K222*N222/100+(Y222-N222),K222*Y222/100))</f>
        <v/>
      </c>
      <c r="M222">
        <f>IF($AA222="","",INDEX('Per Line'!$Z$2:$Z$4001,$AA222)&amp;"")</f>
        <v/>
      </c>
      <c r="N222">
        <f>IF($AA222="","",INDEX('Per Line'!$AG$2:$AG$4001,$AA222))</f>
        <v/>
      </c>
      <c r="O222">
        <f>IF($AA222="","",IF(AND(ISNUMBER(N222),N222&gt;0),Y222&gt;N222,FALSE))</f>
        <v/>
      </c>
      <c r="P222" s="7">
        <f>IF($AA222="","",SUMIFS('Per Line'!$Y$2:$Y$4001,'Per Line'!$E$2:$E$4001,$B222,'Per Line'!$AQ$2:$AQ$4001,1))</f>
        <v/>
      </c>
      <c r="Q222">
        <f>IF($AA222="","",Settings!$C$7)</f>
        <v/>
      </c>
      <c r="R222" s="7">
        <f>IF($AA222="","",SUMIFS('Per Line'!$Y$2:$Y$4001,'Per Line'!$E$2:$E$4001,$B222,'Per Line'!$AP$2:$AP$4001,0,'Per Line'!$AQ$2:$AQ$4001,0))</f>
        <v/>
      </c>
      <c r="S222" s="7">
        <f>IF($AA222="","",R222*Q222)</f>
        <v/>
      </c>
      <c r="T222">
        <f>IF($AA222="","",Settings!$C$6)</f>
        <v/>
      </c>
      <c r="U222" s="7">
        <f>IF($AA222="","",SUMIFS('Per Line'!$Y$2:$Y$4001,'Per Line'!$E$2:$E$4001,$B222,'Per Line'!$AP$2:$AP$4001,1,'Per Line'!$AQ$2:$AQ$4001,0))</f>
        <v/>
      </c>
      <c r="V222" s="7">
        <f>IF($AA222="","",U222*T222)</f>
        <v/>
      </c>
      <c r="W222" s="7">
        <f>IF($AA222="","",V222+S222)</f>
        <v/>
      </c>
      <c r="X222" s="7">
        <f>IF($AA222="","",Y222-W222)</f>
        <v/>
      </c>
      <c r="Y222" s="7">
        <f>IF($AA222="","",R222+U222+P222)</f>
        <v/>
      </c>
      <c r="Z222" s="7">
        <f>IF($AA222="","",Y222-W222-L222)</f>
        <v/>
      </c>
      <c r="AA222" s="13">
        <f>IF(ROWS($AA$2:$AA222)&lt;=MAX('Per Line'!$AO$2:$AO$4001),MATCH(ROWS($AA$2:$AA222),'Per Line'!$AO$2:$AO$4001,0),"")</f>
        <v/>
      </c>
      <c r="AB222" s="14">
        <f>IF($AA222="","",L222-K222*Y222/100)</f>
        <v/>
      </c>
    </row>
    <row r="223">
      <c r="A223" s="12" t="n"/>
      <c r="B223">
        <f>IF($AA223="","",INDEX('Per Line'!$E$2:$E$4001,$AA223)&amp;"")</f>
        <v/>
      </c>
      <c r="C223">
        <f>IF($AA223="","",INDEX('Per Line'!$A$2:$A$4001,$AA223)&amp;"")</f>
        <v/>
      </c>
      <c r="D223">
        <f>IF($AA223="","",INDEX('Per Line'!$D$2:$D$4001,$AA223)&amp;"")</f>
        <v/>
      </c>
      <c r="E223" s="11">
        <f>IF($AA223="","",INDEX('Per Line'!$G$2:$G$4001,$AA223))</f>
        <v/>
      </c>
      <c r="F223">
        <f>IF($AA223="","",INDEX('Per Line'!$H$2:$H$4001,$AA223)&amp;"")</f>
        <v/>
      </c>
      <c r="G223">
        <f>IF($AA223="","",INDEX('Per Line'!$I$2:$I$4001,$AA223)&amp;"")</f>
        <v/>
      </c>
      <c r="H223">
        <f>IF($AA223="","",INDEX('Per Line'!$J$2:$J$4001,$AA223)&amp;"")</f>
        <v/>
      </c>
      <c r="I223">
        <f>IF($AA223="","",INDEX('Per Line'!$K$2:$K$4001,$AA223)&amp;"")</f>
        <v/>
      </c>
      <c r="J223">
        <f>IF($AA223="","",INDEX('Per Line'!$L$2:$L$4001,$AA223)&amp;"")</f>
        <v/>
      </c>
      <c r="K223">
        <f>IF($AA223="","",INDEX('Per Line'!$P$2:$P$4001,$AA223))</f>
        <v/>
      </c>
      <c r="L223" s="7">
        <f>IF($AA223="","",IF(AND(ISNUMBER(N223),N223&gt;0,Y223&gt;N223),K223*N223/100+(Y223-N223),K223*Y223/100))</f>
        <v/>
      </c>
      <c r="M223">
        <f>IF($AA223="","",INDEX('Per Line'!$Z$2:$Z$4001,$AA223)&amp;"")</f>
        <v/>
      </c>
      <c r="N223">
        <f>IF($AA223="","",INDEX('Per Line'!$AG$2:$AG$4001,$AA223))</f>
        <v/>
      </c>
      <c r="O223">
        <f>IF($AA223="","",IF(AND(ISNUMBER(N223),N223&gt;0),Y223&gt;N223,FALSE))</f>
        <v/>
      </c>
      <c r="P223" s="7">
        <f>IF($AA223="","",SUMIFS('Per Line'!$Y$2:$Y$4001,'Per Line'!$E$2:$E$4001,$B223,'Per Line'!$AQ$2:$AQ$4001,1))</f>
        <v/>
      </c>
      <c r="Q223">
        <f>IF($AA223="","",Settings!$C$7)</f>
        <v/>
      </c>
      <c r="R223" s="7">
        <f>IF($AA223="","",SUMIFS('Per Line'!$Y$2:$Y$4001,'Per Line'!$E$2:$E$4001,$B223,'Per Line'!$AP$2:$AP$4001,0,'Per Line'!$AQ$2:$AQ$4001,0))</f>
        <v/>
      </c>
      <c r="S223" s="7">
        <f>IF($AA223="","",R223*Q223)</f>
        <v/>
      </c>
      <c r="T223">
        <f>IF($AA223="","",Settings!$C$6)</f>
        <v/>
      </c>
      <c r="U223" s="7">
        <f>IF($AA223="","",SUMIFS('Per Line'!$Y$2:$Y$4001,'Per Line'!$E$2:$E$4001,$B223,'Per Line'!$AP$2:$AP$4001,1,'Per Line'!$AQ$2:$AQ$4001,0))</f>
        <v/>
      </c>
      <c r="V223" s="7">
        <f>IF($AA223="","",U223*T223)</f>
        <v/>
      </c>
      <c r="W223" s="7">
        <f>IF($AA223="","",V223+S223)</f>
        <v/>
      </c>
      <c r="X223" s="7">
        <f>IF($AA223="","",Y223-W223)</f>
        <v/>
      </c>
      <c r="Y223" s="7">
        <f>IF($AA223="","",R223+U223+P223)</f>
        <v/>
      </c>
      <c r="Z223" s="7">
        <f>IF($AA223="","",Y223-W223-L223)</f>
        <v/>
      </c>
      <c r="AA223" s="13">
        <f>IF(ROWS($AA$2:$AA223)&lt;=MAX('Per Line'!$AO$2:$AO$4001),MATCH(ROWS($AA$2:$AA223),'Per Line'!$AO$2:$AO$4001,0),"")</f>
        <v/>
      </c>
      <c r="AB223" s="14">
        <f>IF($AA223="","",L223-K223*Y223/100)</f>
        <v/>
      </c>
    </row>
    <row r="224">
      <c r="A224" s="12" t="n"/>
      <c r="B224">
        <f>IF($AA224="","",INDEX('Per Line'!$E$2:$E$4001,$AA224)&amp;"")</f>
        <v/>
      </c>
      <c r="C224">
        <f>IF($AA224="","",INDEX('Per Line'!$A$2:$A$4001,$AA224)&amp;"")</f>
        <v/>
      </c>
      <c r="D224">
        <f>IF($AA224="","",INDEX('Per Line'!$D$2:$D$4001,$AA224)&amp;"")</f>
        <v/>
      </c>
      <c r="E224" s="11">
        <f>IF($AA224="","",INDEX('Per Line'!$G$2:$G$4001,$AA224))</f>
        <v/>
      </c>
      <c r="F224">
        <f>IF($AA224="","",INDEX('Per Line'!$H$2:$H$4001,$AA224)&amp;"")</f>
        <v/>
      </c>
      <c r="G224">
        <f>IF($AA224="","",INDEX('Per Line'!$I$2:$I$4001,$AA224)&amp;"")</f>
        <v/>
      </c>
      <c r="H224">
        <f>IF($AA224="","",INDEX('Per Line'!$J$2:$J$4001,$AA224)&amp;"")</f>
        <v/>
      </c>
      <c r="I224">
        <f>IF($AA224="","",INDEX('Per Line'!$K$2:$K$4001,$AA224)&amp;"")</f>
        <v/>
      </c>
      <c r="J224">
        <f>IF($AA224="","",INDEX('Per Line'!$L$2:$L$4001,$AA224)&amp;"")</f>
        <v/>
      </c>
      <c r="K224">
        <f>IF($AA224="","",INDEX('Per Line'!$P$2:$P$4001,$AA224))</f>
        <v/>
      </c>
      <c r="L224" s="7">
        <f>IF($AA224="","",IF(AND(ISNUMBER(N224),N224&gt;0,Y224&gt;N224),K224*N224/100+(Y224-N224),K224*Y224/100))</f>
        <v/>
      </c>
      <c r="M224">
        <f>IF($AA224="","",INDEX('Per Line'!$Z$2:$Z$4001,$AA224)&amp;"")</f>
        <v/>
      </c>
      <c r="N224">
        <f>IF($AA224="","",INDEX('Per Line'!$AG$2:$AG$4001,$AA224))</f>
        <v/>
      </c>
      <c r="O224">
        <f>IF($AA224="","",IF(AND(ISNUMBER(N224),N224&gt;0),Y224&gt;N224,FALSE))</f>
        <v/>
      </c>
      <c r="P224" s="7">
        <f>IF($AA224="","",SUMIFS('Per Line'!$Y$2:$Y$4001,'Per Line'!$E$2:$E$4001,$B224,'Per Line'!$AQ$2:$AQ$4001,1))</f>
        <v/>
      </c>
      <c r="Q224">
        <f>IF($AA224="","",Settings!$C$7)</f>
        <v/>
      </c>
      <c r="R224" s="7">
        <f>IF($AA224="","",SUMIFS('Per Line'!$Y$2:$Y$4001,'Per Line'!$E$2:$E$4001,$B224,'Per Line'!$AP$2:$AP$4001,0,'Per Line'!$AQ$2:$AQ$4001,0))</f>
        <v/>
      </c>
      <c r="S224" s="7">
        <f>IF($AA224="","",R224*Q224)</f>
        <v/>
      </c>
      <c r="T224">
        <f>IF($AA224="","",Settings!$C$6)</f>
        <v/>
      </c>
      <c r="U224" s="7">
        <f>IF($AA224="","",SUMIFS('Per Line'!$Y$2:$Y$4001,'Per Line'!$E$2:$E$4001,$B224,'Per Line'!$AP$2:$AP$4001,1,'Per Line'!$AQ$2:$AQ$4001,0))</f>
        <v/>
      </c>
      <c r="V224" s="7">
        <f>IF($AA224="","",U224*T224)</f>
        <v/>
      </c>
      <c r="W224" s="7">
        <f>IF($AA224="","",V224+S224)</f>
        <v/>
      </c>
      <c r="X224" s="7">
        <f>IF($AA224="","",Y224-W224)</f>
        <v/>
      </c>
      <c r="Y224" s="7">
        <f>IF($AA224="","",R224+U224+P224)</f>
        <v/>
      </c>
      <c r="Z224" s="7">
        <f>IF($AA224="","",Y224-W224-L224)</f>
        <v/>
      </c>
      <c r="AA224" s="13">
        <f>IF(ROWS($AA$2:$AA224)&lt;=MAX('Per Line'!$AO$2:$AO$4001),MATCH(ROWS($AA$2:$AA224),'Per Line'!$AO$2:$AO$4001,0),"")</f>
        <v/>
      </c>
      <c r="AB224" s="14">
        <f>IF($AA224="","",L224-K224*Y224/100)</f>
        <v/>
      </c>
    </row>
    <row r="225">
      <c r="A225" s="12" t="n"/>
      <c r="B225">
        <f>IF($AA225="","",INDEX('Per Line'!$E$2:$E$4001,$AA225)&amp;"")</f>
        <v/>
      </c>
      <c r="C225">
        <f>IF($AA225="","",INDEX('Per Line'!$A$2:$A$4001,$AA225)&amp;"")</f>
        <v/>
      </c>
      <c r="D225">
        <f>IF($AA225="","",INDEX('Per Line'!$D$2:$D$4001,$AA225)&amp;"")</f>
        <v/>
      </c>
      <c r="E225" s="11">
        <f>IF($AA225="","",INDEX('Per Line'!$G$2:$G$4001,$AA225))</f>
        <v/>
      </c>
      <c r="F225">
        <f>IF($AA225="","",INDEX('Per Line'!$H$2:$H$4001,$AA225)&amp;"")</f>
        <v/>
      </c>
      <c r="G225">
        <f>IF($AA225="","",INDEX('Per Line'!$I$2:$I$4001,$AA225)&amp;"")</f>
        <v/>
      </c>
      <c r="H225">
        <f>IF($AA225="","",INDEX('Per Line'!$J$2:$J$4001,$AA225)&amp;"")</f>
        <v/>
      </c>
      <c r="I225">
        <f>IF($AA225="","",INDEX('Per Line'!$K$2:$K$4001,$AA225)&amp;"")</f>
        <v/>
      </c>
      <c r="J225">
        <f>IF($AA225="","",INDEX('Per Line'!$L$2:$L$4001,$AA225)&amp;"")</f>
        <v/>
      </c>
      <c r="K225">
        <f>IF($AA225="","",INDEX('Per Line'!$P$2:$P$4001,$AA225))</f>
        <v/>
      </c>
      <c r="L225" s="7">
        <f>IF($AA225="","",IF(AND(ISNUMBER(N225),N225&gt;0,Y225&gt;N225),K225*N225/100+(Y225-N225),K225*Y225/100))</f>
        <v/>
      </c>
      <c r="M225">
        <f>IF($AA225="","",INDEX('Per Line'!$Z$2:$Z$4001,$AA225)&amp;"")</f>
        <v/>
      </c>
      <c r="N225">
        <f>IF($AA225="","",INDEX('Per Line'!$AG$2:$AG$4001,$AA225))</f>
        <v/>
      </c>
      <c r="O225">
        <f>IF($AA225="","",IF(AND(ISNUMBER(N225),N225&gt;0),Y225&gt;N225,FALSE))</f>
        <v/>
      </c>
      <c r="P225" s="7">
        <f>IF($AA225="","",SUMIFS('Per Line'!$Y$2:$Y$4001,'Per Line'!$E$2:$E$4001,$B225,'Per Line'!$AQ$2:$AQ$4001,1))</f>
        <v/>
      </c>
      <c r="Q225">
        <f>IF($AA225="","",Settings!$C$7)</f>
        <v/>
      </c>
      <c r="R225" s="7">
        <f>IF($AA225="","",SUMIFS('Per Line'!$Y$2:$Y$4001,'Per Line'!$E$2:$E$4001,$B225,'Per Line'!$AP$2:$AP$4001,0,'Per Line'!$AQ$2:$AQ$4001,0))</f>
        <v/>
      </c>
      <c r="S225" s="7">
        <f>IF($AA225="","",R225*Q225)</f>
        <v/>
      </c>
      <c r="T225">
        <f>IF($AA225="","",Settings!$C$6)</f>
        <v/>
      </c>
      <c r="U225" s="7">
        <f>IF($AA225="","",SUMIFS('Per Line'!$Y$2:$Y$4001,'Per Line'!$E$2:$E$4001,$B225,'Per Line'!$AP$2:$AP$4001,1,'Per Line'!$AQ$2:$AQ$4001,0))</f>
        <v/>
      </c>
      <c r="V225" s="7">
        <f>IF($AA225="","",U225*T225)</f>
        <v/>
      </c>
      <c r="W225" s="7">
        <f>IF($AA225="","",V225+S225)</f>
        <v/>
      </c>
      <c r="X225" s="7">
        <f>IF($AA225="","",Y225-W225)</f>
        <v/>
      </c>
      <c r="Y225" s="7">
        <f>IF($AA225="","",R225+U225+P225)</f>
        <v/>
      </c>
      <c r="Z225" s="7">
        <f>IF($AA225="","",Y225-W225-L225)</f>
        <v/>
      </c>
      <c r="AA225" s="13">
        <f>IF(ROWS($AA$2:$AA225)&lt;=MAX('Per Line'!$AO$2:$AO$4001),MATCH(ROWS($AA$2:$AA225),'Per Line'!$AO$2:$AO$4001,0),"")</f>
        <v/>
      </c>
      <c r="AB225" s="14">
        <f>IF($AA225="","",L225-K225*Y225/100)</f>
        <v/>
      </c>
    </row>
    <row r="226">
      <c r="A226" s="12" t="n"/>
      <c r="B226">
        <f>IF($AA226="","",INDEX('Per Line'!$E$2:$E$4001,$AA226)&amp;"")</f>
        <v/>
      </c>
      <c r="C226">
        <f>IF($AA226="","",INDEX('Per Line'!$A$2:$A$4001,$AA226)&amp;"")</f>
        <v/>
      </c>
      <c r="D226">
        <f>IF($AA226="","",INDEX('Per Line'!$D$2:$D$4001,$AA226)&amp;"")</f>
        <v/>
      </c>
      <c r="E226" s="11">
        <f>IF($AA226="","",INDEX('Per Line'!$G$2:$G$4001,$AA226))</f>
        <v/>
      </c>
      <c r="F226">
        <f>IF($AA226="","",INDEX('Per Line'!$H$2:$H$4001,$AA226)&amp;"")</f>
        <v/>
      </c>
      <c r="G226">
        <f>IF($AA226="","",INDEX('Per Line'!$I$2:$I$4001,$AA226)&amp;"")</f>
        <v/>
      </c>
      <c r="H226">
        <f>IF($AA226="","",INDEX('Per Line'!$J$2:$J$4001,$AA226)&amp;"")</f>
        <v/>
      </c>
      <c r="I226">
        <f>IF($AA226="","",INDEX('Per Line'!$K$2:$K$4001,$AA226)&amp;"")</f>
        <v/>
      </c>
      <c r="J226">
        <f>IF($AA226="","",INDEX('Per Line'!$L$2:$L$4001,$AA226)&amp;"")</f>
        <v/>
      </c>
      <c r="K226">
        <f>IF($AA226="","",INDEX('Per Line'!$P$2:$P$4001,$AA226))</f>
        <v/>
      </c>
      <c r="L226" s="7">
        <f>IF($AA226="","",IF(AND(ISNUMBER(N226),N226&gt;0,Y226&gt;N226),K226*N226/100+(Y226-N226),K226*Y226/100))</f>
        <v/>
      </c>
      <c r="M226">
        <f>IF($AA226="","",INDEX('Per Line'!$Z$2:$Z$4001,$AA226)&amp;"")</f>
        <v/>
      </c>
      <c r="N226">
        <f>IF($AA226="","",INDEX('Per Line'!$AG$2:$AG$4001,$AA226))</f>
        <v/>
      </c>
      <c r="O226">
        <f>IF($AA226="","",IF(AND(ISNUMBER(N226),N226&gt;0),Y226&gt;N226,FALSE))</f>
        <v/>
      </c>
      <c r="P226" s="7">
        <f>IF($AA226="","",SUMIFS('Per Line'!$Y$2:$Y$4001,'Per Line'!$E$2:$E$4001,$B226,'Per Line'!$AQ$2:$AQ$4001,1))</f>
        <v/>
      </c>
      <c r="Q226">
        <f>IF($AA226="","",Settings!$C$7)</f>
        <v/>
      </c>
      <c r="R226" s="7">
        <f>IF($AA226="","",SUMIFS('Per Line'!$Y$2:$Y$4001,'Per Line'!$E$2:$E$4001,$B226,'Per Line'!$AP$2:$AP$4001,0,'Per Line'!$AQ$2:$AQ$4001,0))</f>
        <v/>
      </c>
      <c r="S226" s="7">
        <f>IF($AA226="","",R226*Q226)</f>
        <v/>
      </c>
      <c r="T226">
        <f>IF($AA226="","",Settings!$C$6)</f>
        <v/>
      </c>
      <c r="U226" s="7">
        <f>IF($AA226="","",SUMIFS('Per Line'!$Y$2:$Y$4001,'Per Line'!$E$2:$E$4001,$B226,'Per Line'!$AP$2:$AP$4001,1,'Per Line'!$AQ$2:$AQ$4001,0))</f>
        <v/>
      </c>
      <c r="V226" s="7">
        <f>IF($AA226="","",U226*T226)</f>
        <v/>
      </c>
      <c r="W226" s="7">
        <f>IF($AA226="","",V226+S226)</f>
        <v/>
      </c>
      <c r="X226" s="7">
        <f>IF($AA226="","",Y226-W226)</f>
        <v/>
      </c>
      <c r="Y226" s="7">
        <f>IF($AA226="","",R226+U226+P226)</f>
        <v/>
      </c>
      <c r="Z226" s="7">
        <f>IF($AA226="","",Y226-W226-L226)</f>
        <v/>
      </c>
      <c r="AA226" s="13">
        <f>IF(ROWS($AA$2:$AA226)&lt;=MAX('Per Line'!$AO$2:$AO$4001),MATCH(ROWS($AA$2:$AA226),'Per Line'!$AO$2:$AO$4001,0),"")</f>
        <v/>
      </c>
      <c r="AB226" s="14">
        <f>IF($AA226="","",L226-K226*Y226/100)</f>
        <v/>
      </c>
    </row>
    <row r="227">
      <c r="A227" s="12" t="n"/>
      <c r="B227">
        <f>IF($AA227="","",INDEX('Per Line'!$E$2:$E$4001,$AA227)&amp;"")</f>
        <v/>
      </c>
      <c r="C227">
        <f>IF($AA227="","",INDEX('Per Line'!$A$2:$A$4001,$AA227)&amp;"")</f>
        <v/>
      </c>
      <c r="D227">
        <f>IF($AA227="","",INDEX('Per Line'!$D$2:$D$4001,$AA227)&amp;"")</f>
        <v/>
      </c>
      <c r="E227" s="11">
        <f>IF($AA227="","",INDEX('Per Line'!$G$2:$G$4001,$AA227))</f>
        <v/>
      </c>
      <c r="F227">
        <f>IF($AA227="","",INDEX('Per Line'!$H$2:$H$4001,$AA227)&amp;"")</f>
        <v/>
      </c>
      <c r="G227">
        <f>IF($AA227="","",INDEX('Per Line'!$I$2:$I$4001,$AA227)&amp;"")</f>
        <v/>
      </c>
      <c r="H227">
        <f>IF($AA227="","",INDEX('Per Line'!$J$2:$J$4001,$AA227)&amp;"")</f>
        <v/>
      </c>
      <c r="I227">
        <f>IF($AA227="","",INDEX('Per Line'!$K$2:$K$4001,$AA227)&amp;"")</f>
        <v/>
      </c>
      <c r="J227">
        <f>IF($AA227="","",INDEX('Per Line'!$L$2:$L$4001,$AA227)&amp;"")</f>
        <v/>
      </c>
      <c r="K227">
        <f>IF($AA227="","",INDEX('Per Line'!$P$2:$P$4001,$AA227))</f>
        <v/>
      </c>
      <c r="L227" s="7">
        <f>IF($AA227="","",IF(AND(ISNUMBER(N227),N227&gt;0,Y227&gt;N227),K227*N227/100+(Y227-N227),K227*Y227/100))</f>
        <v/>
      </c>
      <c r="M227">
        <f>IF($AA227="","",INDEX('Per Line'!$Z$2:$Z$4001,$AA227)&amp;"")</f>
        <v/>
      </c>
      <c r="N227">
        <f>IF($AA227="","",INDEX('Per Line'!$AG$2:$AG$4001,$AA227))</f>
        <v/>
      </c>
      <c r="O227">
        <f>IF($AA227="","",IF(AND(ISNUMBER(N227),N227&gt;0),Y227&gt;N227,FALSE))</f>
        <v/>
      </c>
      <c r="P227" s="7">
        <f>IF($AA227="","",SUMIFS('Per Line'!$Y$2:$Y$4001,'Per Line'!$E$2:$E$4001,$B227,'Per Line'!$AQ$2:$AQ$4001,1))</f>
        <v/>
      </c>
      <c r="Q227">
        <f>IF($AA227="","",Settings!$C$7)</f>
        <v/>
      </c>
      <c r="R227" s="7">
        <f>IF($AA227="","",SUMIFS('Per Line'!$Y$2:$Y$4001,'Per Line'!$E$2:$E$4001,$B227,'Per Line'!$AP$2:$AP$4001,0,'Per Line'!$AQ$2:$AQ$4001,0))</f>
        <v/>
      </c>
      <c r="S227" s="7">
        <f>IF($AA227="","",R227*Q227)</f>
        <v/>
      </c>
      <c r="T227">
        <f>IF($AA227="","",Settings!$C$6)</f>
        <v/>
      </c>
      <c r="U227" s="7">
        <f>IF($AA227="","",SUMIFS('Per Line'!$Y$2:$Y$4001,'Per Line'!$E$2:$E$4001,$B227,'Per Line'!$AP$2:$AP$4001,1,'Per Line'!$AQ$2:$AQ$4001,0))</f>
        <v/>
      </c>
      <c r="V227" s="7">
        <f>IF($AA227="","",U227*T227)</f>
        <v/>
      </c>
      <c r="W227" s="7">
        <f>IF($AA227="","",V227+S227)</f>
        <v/>
      </c>
      <c r="X227" s="7">
        <f>IF($AA227="","",Y227-W227)</f>
        <v/>
      </c>
      <c r="Y227" s="7">
        <f>IF($AA227="","",R227+U227+P227)</f>
        <v/>
      </c>
      <c r="Z227" s="7">
        <f>IF($AA227="","",Y227-W227-L227)</f>
        <v/>
      </c>
      <c r="AA227" s="13">
        <f>IF(ROWS($AA$2:$AA227)&lt;=MAX('Per Line'!$AO$2:$AO$4001),MATCH(ROWS($AA$2:$AA227),'Per Line'!$AO$2:$AO$4001,0),"")</f>
        <v/>
      </c>
      <c r="AB227" s="14">
        <f>IF($AA227="","",L227-K227*Y227/100)</f>
        <v/>
      </c>
    </row>
    <row r="228">
      <c r="A228" s="12" t="n"/>
      <c r="B228">
        <f>IF($AA228="","",INDEX('Per Line'!$E$2:$E$4001,$AA228)&amp;"")</f>
        <v/>
      </c>
      <c r="C228">
        <f>IF($AA228="","",INDEX('Per Line'!$A$2:$A$4001,$AA228)&amp;"")</f>
        <v/>
      </c>
      <c r="D228">
        <f>IF($AA228="","",INDEX('Per Line'!$D$2:$D$4001,$AA228)&amp;"")</f>
        <v/>
      </c>
      <c r="E228" s="11">
        <f>IF($AA228="","",INDEX('Per Line'!$G$2:$G$4001,$AA228))</f>
        <v/>
      </c>
      <c r="F228">
        <f>IF($AA228="","",INDEX('Per Line'!$H$2:$H$4001,$AA228)&amp;"")</f>
        <v/>
      </c>
      <c r="G228">
        <f>IF($AA228="","",INDEX('Per Line'!$I$2:$I$4001,$AA228)&amp;"")</f>
        <v/>
      </c>
      <c r="H228">
        <f>IF($AA228="","",INDEX('Per Line'!$J$2:$J$4001,$AA228)&amp;"")</f>
        <v/>
      </c>
      <c r="I228">
        <f>IF($AA228="","",INDEX('Per Line'!$K$2:$K$4001,$AA228)&amp;"")</f>
        <v/>
      </c>
      <c r="J228">
        <f>IF($AA228="","",INDEX('Per Line'!$L$2:$L$4001,$AA228)&amp;"")</f>
        <v/>
      </c>
      <c r="K228">
        <f>IF($AA228="","",INDEX('Per Line'!$P$2:$P$4001,$AA228))</f>
        <v/>
      </c>
      <c r="L228" s="7">
        <f>IF($AA228="","",IF(AND(ISNUMBER(N228),N228&gt;0,Y228&gt;N228),K228*N228/100+(Y228-N228),K228*Y228/100))</f>
        <v/>
      </c>
      <c r="M228">
        <f>IF($AA228="","",INDEX('Per Line'!$Z$2:$Z$4001,$AA228)&amp;"")</f>
        <v/>
      </c>
      <c r="N228">
        <f>IF($AA228="","",INDEX('Per Line'!$AG$2:$AG$4001,$AA228))</f>
        <v/>
      </c>
      <c r="O228">
        <f>IF($AA228="","",IF(AND(ISNUMBER(N228),N228&gt;0),Y228&gt;N228,FALSE))</f>
        <v/>
      </c>
      <c r="P228" s="7">
        <f>IF($AA228="","",SUMIFS('Per Line'!$Y$2:$Y$4001,'Per Line'!$E$2:$E$4001,$B228,'Per Line'!$AQ$2:$AQ$4001,1))</f>
        <v/>
      </c>
      <c r="Q228">
        <f>IF($AA228="","",Settings!$C$7)</f>
        <v/>
      </c>
      <c r="R228" s="7">
        <f>IF($AA228="","",SUMIFS('Per Line'!$Y$2:$Y$4001,'Per Line'!$E$2:$E$4001,$B228,'Per Line'!$AP$2:$AP$4001,0,'Per Line'!$AQ$2:$AQ$4001,0))</f>
        <v/>
      </c>
      <c r="S228" s="7">
        <f>IF($AA228="","",R228*Q228)</f>
        <v/>
      </c>
      <c r="T228">
        <f>IF($AA228="","",Settings!$C$6)</f>
        <v/>
      </c>
      <c r="U228" s="7">
        <f>IF($AA228="","",SUMIFS('Per Line'!$Y$2:$Y$4001,'Per Line'!$E$2:$E$4001,$B228,'Per Line'!$AP$2:$AP$4001,1,'Per Line'!$AQ$2:$AQ$4001,0))</f>
        <v/>
      </c>
      <c r="V228" s="7">
        <f>IF($AA228="","",U228*T228)</f>
        <v/>
      </c>
      <c r="W228" s="7">
        <f>IF($AA228="","",V228+S228)</f>
        <v/>
      </c>
      <c r="X228" s="7">
        <f>IF($AA228="","",Y228-W228)</f>
        <v/>
      </c>
      <c r="Y228" s="7">
        <f>IF($AA228="","",R228+U228+P228)</f>
        <v/>
      </c>
      <c r="Z228" s="7">
        <f>IF($AA228="","",Y228-W228-L228)</f>
        <v/>
      </c>
      <c r="AA228" s="13">
        <f>IF(ROWS($AA$2:$AA228)&lt;=MAX('Per Line'!$AO$2:$AO$4001),MATCH(ROWS($AA$2:$AA228),'Per Line'!$AO$2:$AO$4001,0),"")</f>
        <v/>
      </c>
      <c r="AB228" s="14">
        <f>IF($AA228="","",L228-K228*Y228/100)</f>
        <v/>
      </c>
    </row>
    <row r="229">
      <c r="A229" s="12" t="n"/>
      <c r="B229">
        <f>IF($AA229="","",INDEX('Per Line'!$E$2:$E$4001,$AA229)&amp;"")</f>
        <v/>
      </c>
      <c r="C229">
        <f>IF($AA229="","",INDEX('Per Line'!$A$2:$A$4001,$AA229)&amp;"")</f>
        <v/>
      </c>
      <c r="D229">
        <f>IF($AA229="","",INDEX('Per Line'!$D$2:$D$4001,$AA229)&amp;"")</f>
        <v/>
      </c>
      <c r="E229" s="11">
        <f>IF($AA229="","",INDEX('Per Line'!$G$2:$G$4001,$AA229))</f>
        <v/>
      </c>
      <c r="F229">
        <f>IF($AA229="","",INDEX('Per Line'!$H$2:$H$4001,$AA229)&amp;"")</f>
        <v/>
      </c>
      <c r="G229">
        <f>IF($AA229="","",INDEX('Per Line'!$I$2:$I$4001,$AA229)&amp;"")</f>
        <v/>
      </c>
      <c r="H229">
        <f>IF($AA229="","",INDEX('Per Line'!$J$2:$J$4001,$AA229)&amp;"")</f>
        <v/>
      </c>
      <c r="I229">
        <f>IF($AA229="","",INDEX('Per Line'!$K$2:$K$4001,$AA229)&amp;"")</f>
        <v/>
      </c>
      <c r="J229">
        <f>IF($AA229="","",INDEX('Per Line'!$L$2:$L$4001,$AA229)&amp;"")</f>
        <v/>
      </c>
      <c r="K229">
        <f>IF($AA229="","",INDEX('Per Line'!$P$2:$P$4001,$AA229))</f>
        <v/>
      </c>
      <c r="L229" s="7">
        <f>IF($AA229="","",IF(AND(ISNUMBER(N229),N229&gt;0,Y229&gt;N229),K229*N229/100+(Y229-N229),K229*Y229/100))</f>
        <v/>
      </c>
      <c r="M229">
        <f>IF($AA229="","",INDEX('Per Line'!$Z$2:$Z$4001,$AA229)&amp;"")</f>
        <v/>
      </c>
      <c r="N229">
        <f>IF($AA229="","",INDEX('Per Line'!$AG$2:$AG$4001,$AA229))</f>
        <v/>
      </c>
      <c r="O229">
        <f>IF($AA229="","",IF(AND(ISNUMBER(N229),N229&gt;0),Y229&gt;N229,FALSE))</f>
        <v/>
      </c>
      <c r="P229" s="7">
        <f>IF($AA229="","",SUMIFS('Per Line'!$Y$2:$Y$4001,'Per Line'!$E$2:$E$4001,$B229,'Per Line'!$AQ$2:$AQ$4001,1))</f>
        <v/>
      </c>
      <c r="Q229">
        <f>IF($AA229="","",Settings!$C$7)</f>
        <v/>
      </c>
      <c r="R229" s="7">
        <f>IF($AA229="","",SUMIFS('Per Line'!$Y$2:$Y$4001,'Per Line'!$E$2:$E$4001,$B229,'Per Line'!$AP$2:$AP$4001,0,'Per Line'!$AQ$2:$AQ$4001,0))</f>
        <v/>
      </c>
      <c r="S229" s="7">
        <f>IF($AA229="","",R229*Q229)</f>
        <v/>
      </c>
      <c r="T229">
        <f>IF($AA229="","",Settings!$C$6)</f>
        <v/>
      </c>
      <c r="U229" s="7">
        <f>IF($AA229="","",SUMIFS('Per Line'!$Y$2:$Y$4001,'Per Line'!$E$2:$E$4001,$B229,'Per Line'!$AP$2:$AP$4001,1,'Per Line'!$AQ$2:$AQ$4001,0))</f>
        <v/>
      </c>
      <c r="V229" s="7">
        <f>IF($AA229="","",U229*T229)</f>
        <v/>
      </c>
      <c r="W229" s="7">
        <f>IF($AA229="","",V229+S229)</f>
        <v/>
      </c>
      <c r="X229" s="7">
        <f>IF($AA229="","",Y229-W229)</f>
        <v/>
      </c>
      <c r="Y229" s="7">
        <f>IF($AA229="","",R229+U229+P229)</f>
        <v/>
      </c>
      <c r="Z229" s="7">
        <f>IF($AA229="","",Y229-W229-L229)</f>
        <v/>
      </c>
      <c r="AA229" s="13">
        <f>IF(ROWS($AA$2:$AA229)&lt;=MAX('Per Line'!$AO$2:$AO$4001),MATCH(ROWS($AA$2:$AA229),'Per Line'!$AO$2:$AO$4001,0),"")</f>
        <v/>
      </c>
      <c r="AB229" s="14">
        <f>IF($AA229="","",L229-K229*Y229/100)</f>
        <v/>
      </c>
    </row>
    <row r="230">
      <c r="A230" s="12" t="n"/>
      <c r="B230">
        <f>IF($AA230="","",INDEX('Per Line'!$E$2:$E$4001,$AA230)&amp;"")</f>
        <v/>
      </c>
      <c r="C230">
        <f>IF($AA230="","",INDEX('Per Line'!$A$2:$A$4001,$AA230)&amp;"")</f>
        <v/>
      </c>
      <c r="D230">
        <f>IF($AA230="","",INDEX('Per Line'!$D$2:$D$4001,$AA230)&amp;"")</f>
        <v/>
      </c>
      <c r="E230" s="11">
        <f>IF($AA230="","",INDEX('Per Line'!$G$2:$G$4001,$AA230))</f>
        <v/>
      </c>
      <c r="F230">
        <f>IF($AA230="","",INDEX('Per Line'!$H$2:$H$4001,$AA230)&amp;"")</f>
        <v/>
      </c>
      <c r="G230">
        <f>IF($AA230="","",INDEX('Per Line'!$I$2:$I$4001,$AA230)&amp;"")</f>
        <v/>
      </c>
      <c r="H230">
        <f>IF($AA230="","",INDEX('Per Line'!$J$2:$J$4001,$AA230)&amp;"")</f>
        <v/>
      </c>
      <c r="I230">
        <f>IF($AA230="","",INDEX('Per Line'!$K$2:$K$4001,$AA230)&amp;"")</f>
        <v/>
      </c>
      <c r="J230">
        <f>IF($AA230="","",INDEX('Per Line'!$L$2:$L$4001,$AA230)&amp;"")</f>
        <v/>
      </c>
      <c r="K230">
        <f>IF($AA230="","",INDEX('Per Line'!$P$2:$P$4001,$AA230))</f>
        <v/>
      </c>
      <c r="L230" s="7">
        <f>IF($AA230="","",IF(AND(ISNUMBER(N230),N230&gt;0,Y230&gt;N230),K230*N230/100+(Y230-N230),K230*Y230/100))</f>
        <v/>
      </c>
      <c r="M230">
        <f>IF($AA230="","",INDEX('Per Line'!$Z$2:$Z$4001,$AA230)&amp;"")</f>
        <v/>
      </c>
      <c r="N230">
        <f>IF($AA230="","",INDEX('Per Line'!$AG$2:$AG$4001,$AA230))</f>
        <v/>
      </c>
      <c r="O230">
        <f>IF($AA230="","",IF(AND(ISNUMBER(N230),N230&gt;0),Y230&gt;N230,FALSE))</f>
        <v/>
      </c>
      <c r="P230" s="7">
        <f>IF($AA230="","",SUMIFS('Per Line'!$Y$2:$Y$4001,'Per Line'!$E$2:$E$4001,$B230,'Per Line'!$AQ$2:$AQ$4001,1))</f>
        <v/>
      </c>
      <c r="Q230">
        <f>IF($AA230="","",Settings!$C$7)</f>
        <v/>
      </c>
      <c r="R230" s="7">
        <f>IF($AA230="","",SUMIFS('Per Line'!$Y$2:$Y$4001,'Per Line'!$E$2:$E$4001,$B230,'Per Line'!$AP$2:$AP$4001,0,'Per Line'!$AQ$2:$AQ$4001,0))</f>
        <v/>
      </c>
      <c r="S230" s="7">
        <f>IF($AA230="","",R230*Q230)</f>
        <v/>
      </c>
      <c r="T230">
        <f>IF($AA230="","",Settings!$C$6)</f>
        <v/>
      </c>
      <c r="U230" s="7">
        <f>IF($AA230="","",SUMIFS('Per Line'!$Y$2:$Y$4001,'Per Line'!$E$2:$E$4001,$B230,'Per Line'!$AP$2:$AP$4001,1,'Per Line'!$AQ$2:$AQ$4001,0))</f>
        <v/>
      </c>
      <c r="V230" s="7">
        <f>IF($AA230="","",U230*T230)</f>
        <v/>
      </c>
      <c r="W230" s="7">
        <f>IF($AA230="","",V230+S230)</f>
        <v/>
      </c>
      <c r="X230" s="7">
        <f>IF($AA230="","",Y230-W230)</f>
        <v/>
      </c>
      <c r="Y230" s="7">
        <f>IF($AA230="","",R230+U230+P230)</f>
        <v/>
      </c>
      <c r="Z230" s="7">
        <f>IF($AA230="","",Y230-W230-L230)</f>
        <v/>
      </c>
      <c r="AA230" s="13">
        <f>IF(ROWS($AA$2:$AA230)&lt;=MAX('Per Line'!$AO$2:$AO$4001),MATCH(ROWS($AA$2:$AA230),'Per Line'!$AO$2:$AO$4001,0),"")</f>
        <v/>
      </c>
      <c r="AB230" s="14">
        <f>IF($AA230="","",L230-K230*Y230/100)</f>
        <v/>
      </c>
    </row>
    <row r="231">
      <c r="A231" s="12" t="n"/>
      <c r="B231">
        <f>IF($AA231="","",INDEX('Per Line'!$E$2:$E$4001,$AA231)&amp;"")</f>
        <v/>
      </c>
      <c r="C231">
        <f>IF($AA231="","",INDEX('Per Line'!$A$2:$A$4001,$AA231)&amp;"")</f>
        <v/>
      </c>
      <c r="D231">
        <f>IF($AA231="","",INDEX('Per Line'!$D$2:$D$4001,$AA231)&amp;"")</f>
        <v/>
      </c>
      <c r="E231" s="11">
        <f>IF($AA231="","",INDEX('Per Line'!$G$2:$G$4001,$AA231))</f>
        <v/>
      </c>
      <c r="F231">
        <f>IF($AA231="","",INDEX('Per Line'!$H$2:$H$4001,$AA231)&amp;"")</f>
        <v/>
      </c>
      <c r="G231">
        <f>IF($AA231="","",INDEX('Per Line'!$I$2:$I$4001,$AA231)&amp;"")</f>
        <v/>
      </c>
      <c r="H231">
        <f>IF($AA231="","",INDEX('Per Line'!$J$2:$J$4001,$AA231)&amp;"")</f>
        <v/>
      </c>
      <c r="I231">
        <f>IF($AA231="","",INDEX('Per Line'!$K$2:$K$4001,$AA231)&amp;"")</f>
        <v/>
      </c>
      <c r="J231">
        <f>IF($AA231="","",INDEX('Per Line'!$L$2:$L$4001,$AA231)&amp;"")</f>
        <v/>
      </c>
      <c r="K231">
        <f>IF($AA231="","",INDEX('Per Line'!$P$2:$P$4001,$AA231))</f>
        <v/>
      </c>
      <c r="L231" s="7">
        <f>IF($AA231="","",IF(AND(ISNUMBER(N231),N231&gt;0,Y231&gt;N231),K231*N231/100+(Y231-N231),K231*Y231/100))</f>
        <v/>
      </c>
      <c r="M231">
        <f>IF($AA231="","",INDEX('Per Line'!$Z$2:$Z$4001,$AA231)&amp;"")</f>
        <v/>
      </c>
      <c r="N231">
        <f>IF($AA231="","",INDEX('Per Line'!$AG$2:$AG$4001,$AA231))</f>
        <v/>
      </c>
      <c r="O231">
        <f>IF($AA231="","",IF(AND(ISNUMBER(N231),N231&gt;0),Y231&gt;N231,FALSE))</f>
        <v/>
      </c>
      <c r="P231" s="7">
        <f>IF($AA231="","",SUMIFS('Per Line'!$Y$2:$Y$4001,'Per Line'!$E$2:$E$4001,$B231,'Per Line'!$AQ$2:$AQ$4001,1))</f>
        <v/>
      </c>
      <c r="Q231">
        <f>IF($AA231="","",Settings!$C$7)</f>
        <v/>
      </c>
      <c r="R231" s="7">
        <f>IF($AA231="","",SUMIFS('Per Line'!$Y$2:$Y$4001,'Per Line'!$E$2:$E$4001,$B231,'Per Line'!$AP$2:$AP$4001,0,'Per Line'!$AQ$2:$AQ$4001,0))</f>
        <v/>
      </c>
      <c r="S231" s="7">
        <f>IF($AA231="","",R231*Q231)</f>
        <v/>
      </c>
      <c r="T231">
        <f>IF($AA231="","",Settings!$C$6)</f>
        <v/>
      </c>
      <c r="U231" s="7">
        <f>IF($AA231="","",SUMIFS('Per Line'!$Y$2:$Y$4001,'Per Line'!$E$2:$E$4001,$B231,'Per Line'!$AP$2:$AP$4001,1,'Per Line'!$AQ$2:$AQ$4001,0))</f>
        <v/>
      </c>
      <c r="V231" s="7">
        <f>IF($AA231="","",U231*T231)</f>
        <v/>
      </c>
      <c r="W231" s="7">
        <f>IF($AA231="","",V231+S231)</f>
        <v/>
      </c>
      <c r="X231" s="7">
        <f>IF($AA231="","",Y231-W231)</f>
        <v/>
      </c>
      <c r="Y231" s="7">
        <f>IF($AA231="","",R231+U231+P231)</f>
        <v/>
      </c>
      <c r="Z231" s="7">
        <f>IF($AA231="","",Y231-W231-L231)</f>
        <v/>
      </c>
      <c r="AA231" s="13">
        <f>IF(ROWS($AA$2:$AA231)&lt;=MAX('Per Line'!$AO$2:$AO$4001),MATCH(ROWS($AA$2:$AA231),'Per Line'!$AO$2:$AO$4001,0),"")</f>
        <v/>
      </c>
      <c r="AB231" s="14">
        <f>IF($AA231="","",L231-K231*Y231/100)</f>
        <v/>
      </c>
    </row>
    <row r="232">
      <c r="A232" s="12" t="n"/>
      <c r="B232">
        <f>IF($AA232="","",INDEX('Per Line'!$E$2:$E$4001,$AA232)&amp;"")</f>
        <v/>
      </c>
      <c r="C232">
        <f>IF($AA232="","",INDEX('Per Line'!$A$2:$A$4001,$AA232)&amp;"")</f>
        <v/>
      </c>
      <c r="D232">
        <f>IF($AA232="","",INDEX('Per Line'!$D$2:$D$4001,$AA232)&amp;"")</f>
        <v/>
      </c>
      <c r="E232" s="11">
        <f>IF($AA232="","",INDEX('Per Line'!$G$2:$G$4001,$AA232))</f>
        <v/>
      </c>
      <c r="F232">
        <f>IF($AA232="","",INDEX('Per Line'!$H$2:$H$4001,$AA232)&amp;"")</f>
        <v/>
      </c>
      <c r="G232">
        <f>IF($AA232="","",INDEX('Per Line'!$I$2:$I$4001,$AA232)&amp;"")</f>
        <v/>
      </c>
      <c r="H232">
        <f>IF($AA232="","",INDEX('Per Line'!$J$2:$J$4001,$AA232)&amp;"")</f>
        <v/>
      </c>
      <c r="I232">
        <f>IF($AA232="","",INDEX('Per Line'!$K$2:$K$4001,$AA232)&amp;"")</f>
        <v/>
      </c>
      <c r="J232">
        <f>IF($AA232="","",INDEX('Per Line'!$L$2:$L$4001,$AA232)&amp;"")</f>
        <v/>
      </c>
      <c r="K232">
        <f>IF($AA232="","",INDEX('Per Line'!$P$2:$P$4001,$AA232))</f>
        <v/>
      </c>
      <c r="L232" s="7">
        <f>IF($AA232="","",IF(AND(ISNUMBER(N232),N232&gt;0,Y232&gt;N232),K232*N232/100+(Y232-N232),K232*Y232/100))</f>
        <v/>
      </c>
      <c r="M232">
        <f>IF($AA232="","",INDEX('Per Line'!$Z$2:$Z$4001,$AA232)&amp;"")</f>
        <v/>
      </c>
      <c r="N232">
        <f>IF($AA232="","",INDEX('Per Line'!$AG$2:$AG$4001,$AA232))</f>
        <v/>
      </c>
      <c r="O232">
        <f>IF($AA232="","",IF(AND(ISNUMBER(N232),N232&gt;0),Y232&gt;N232,FALSE))</f>
        <v/>
      </c>
      <c r="P232" s="7">
        <f>IF($AA232="","",SUMIFS('Per Line'!$Y$2:$Y$4001,'Per Line'!$E$2:$E$4001,$B232,'Per Line'!$AQ$2:$AQ$4001,1))</f>
        <v/>
      </c>
      <c r="Q232">
        <f>IF($AA232="","",Settings!$C$7)</f>
        <v/>
      </c>
      <c r="R232" s="7">
        <f>IF($AA232="","",SUMIFS('Per Line'!$Y$2:$Y$4001,'Per Line'!$E$2:$E$4001,$B232,'Per Line'!$AP$2:$AP$4001,0,'Per Line'!$AQ$2:$AQ$4001,0))</f>
        <v/>
      </c>
      <c r="S232" s="7">
        <f>IF($AA232="","",R232*Q232)</f>
        <v/>
      </c>
      <c r="T232">
        <f>IF($AA232="","",Settings!$C$6)</f>
        <v/>
      </c>
      <c r="U232" s="7">
        <f>IF($AA232="","",SUMIFS('Per Line'!$Y$2:$Y$4001,'Per Line'!$E$2:$E$4001,$B232,'Per Line'!$AP$2:$AP$4001,1,'Per Line'!$AQ$2:$AQ$4001,0))</f>
        <v/>
      </c>
      <c r="V232" s="7">
        <f>IF($AA232="","",U232*T232)</f>
        <v/>
      </c>
      <c r="W232" s="7">
        <f>IF($AA232="","",V232+S232)</f>
        <v/>
      </c>
      <c r="X232" s="7">
        <f>IF($AA232="","",Y232-W232)</f>
        <v/>
      </c>
      <c r="Y232" s="7">
        <f>IF($AA232="","",R232+U232+P232)</f>
        <v/>
      </c>
      <c r="Z232" s="7">
        <f>IF($AA232="","",Y232-W232-L232)</f>
        <v/>
      </c>
      <c r="AA232" s="13">
        <f>IF(ROWS($AA$2:$AA232)&lt;=MAX('Per Line'!$AO$2:$AO$4001),MATCH(ROWS($AA$2:$AA232),'Per Line'!$AO$2:$AO$4001,0),"")</f>
        <v/>
      </c>
      <c r="AB232" s="14">
        <f>IF($AA232="","",L232-K232*Y232/100)</f>
        <v/>
      </c>
    </row>
    <row r="233">
      <c r="A233" s="12" t="n"/>
      <c r="B233">
        <f>IF($AA233="","",INDEX('Per Line'!$E$2:$E$4001,$AA233)&amp;"")</f>
        <v/>
      </c>
      <c r="C233">
        <f>IF($AA233="","",INDEX('Per Line'!$A$2:$A$4001,$AA233)&amp;"")</f>
        <v/>
      </c>
      <c r="D233">
        <f>IF($AA233="","",INDEX('Per Line'!$D$2:$D$4001,$AA233)&amp;"")</f>
        <v/>
      </c>
      <c r="E233" s="11">
        <f>IF($AA233="","",INDEX('Per Line'!$G$2:$G$4001,$AA233))</f>
        <v/>
      </c>
      <c r="F233">
        <f>IF($AA233="","",INDEX('Per Line'!$H$2:$H$4001,$AA233)&amp;"")</f>
        <v/>
      </c>
      <c r="G233">
        <f>IF($AA233="","",INDEX('Per Line'!$I$2:$I$4001,$AA233)&amp;"")</f>
        <v/>
      </c>
      <c r="H233">
        <f>IF($AA233="","",INDEX('Per Line'!$J$2:$J$4001,$AA233)&amp;"")</f>
        <v/>
      </c>
      <c r="I233">
        <f>IF($AA233="","",INDEX('Per Line'!$K$2:$K$4001,$AA233)&amp;"")</f>
        <v/>
      </c>
      <c r="J233">
        <f>IF($AA233="","",INDEX('Per Line'!$L$2:$L$4001,$AA233)&amp;"")</f>
        <v/>
      </c>
      <c r="K233">
        <f>IF($AA233="","",INDEX('Per Line'!$P$2:$P$4001,$AA233))</f>
        <v/>
      </c>
      <c r="L233" s="7">
        <f>IF($AA233="","",IF(AND(ISNUMBER(N233),N233&gt;0,Y233&gt;N233),K233*N233/100+(Y233-N233),K233*Y233/100))</f>
        <v/>
      </c>
      <c r="M233">
        <f>IF($AA233="","",INDEX('Per Line'!$Z$2:$Z$4001,$AA233)&amp;"")</f>
        <v/>
      </c>
      <c r="N233">
        <f>IF($AA233="","",INDEX('Per Line'!$AG$2:$AG$4001,$AA233))</f>
        <v/>
      </c>
      <c r="O233">
        <f>IF($AA233="","",IF(AND(ISNUMBER(N233),N233&gt;0),Y233&gt;N233,FALSE))</f>
        <v/>
      </c>
      <c r="P233" s="7">
        <f>IF($AA233="","",SUMIFS('Per Line'!$Y$2:$Y$4001,'Per Line'!$E$2:$E$4001,$B233,'Per Line'!$AQ$2:$AQ$4001,1))</f>
        <v/>
      </c>
      <c r="Q233">
        <f>IF($AA233="","",Settings!$C$7)</f>
        <v/>
      </c>
      <c r="R233" s="7">
        <f>IF($AA233="","",SUMIFS('Per Line'!$Y$2:$Y$4001,'Per Line'!$E$2:$E$4001,$B233,'Per Line'!$AP$2:$AP$4001,0,'Per Line'!$AQ$2:$AQ$4001,0))</f>
        <v/>
      </c>
      <c r="S233" s="7">
        <f>IF($AA233="","",R233*Q233)</f>
        <v/>
      </c>
      <c r="T233">
        <f>IF($AA233="","",Settings!$C$6)</f>
        <v/>
      </c>
      <c r="U233" s="7">
        <f>IF($AA233="","",SUMIFS('Per Line'!$Y$2:$Y$4001,'Per Line'!$E$2:$E$4001,$B233,'Per Line'!$AP$2:$AP$4001,1,'Per Line'!$AQ$2:$AQ$4001,0))</f>
        <v/>
      </c>
      <c r="V233" s="7">
        <f>IF($AA233="","",U233*T233)</f>
        <v/>
      </c>
      <c r="W233" s="7">
        <f>IF($AA233="","",V233+S233)</f>
        <v/>
      </c>
      <c r="X233" s="7">
        <f>IF($AA233="","",Y233-W233)</f>
        <v/>
      </c>
      <c r="Y233" s="7">
        <f>IF($AA233="","",R233+U233+P233)</f>
        <v/>
      </c>
      <c r="Z233" s="7">
        <f>IF($AA233="","",Y233-W233-L233)</f>
        <v/>
      </c>
      <c r="AA233" s="13">
        <f>IF(ROWS($AA$2:$AA233)&lt;=MAX('Per Line'!$AO$2:$AO$4001),MATCH(ROWS($AA$2:$AA233),'Per Line'!$AO$2:$AO$4001,0),"")</f>
        <v/>
      </c>
      <c r="AB233" s="14">
        <f>IF($AA233="","",L233-K233*Y233/100)</f>
        <v/>
      </c>
    </row>
    <row r="234">
      <c r="A234" s="12" t="n"/>
      <c r="B234">
        <f>IF($AA234="","",INDEX('Per Line'!$E$2:$E$4001,$AA234)&amp;"")</f>
        <v/>
      </c>
      <c r="C234">
        <f>IF($AA234="","",INDEX('Per Line'!$A$2:$A$4001,$AA234)&amp;"")</f>
        <v/>
      </c>
      <c r="D234">
        <f>IF($AA234="","",INDEX('Per Line'!$D$2:$D$4001,$AA234)&amp;"")</f>
        <v/>
      </c>
      <c r="E234" s="11">
        <f>IF($AA234="","",INDEX('Per Line'!$G$2:$G$4001,$AA234))</f>
        <v/>
      </c>
      <c r="F234">
        <f>IF($AA234="","",INDEX('Per Line'!$H$2:$H$4001,$AA234)&amp;"")</f>
        <v/>
      </c>
      <c r="G234">
        <f>IF($AA234="","",INDEX('Per Line'!$I$2:$I$4001,$AA234)&amp;"")</f>
        <v/>
      </c>
      <c r="H234">
        <f>IF($AA234="","",INDEX('Per Line'!$J$2:$J$4001,$AA234)&amp;"")</f>
        <v/>
      </c>
      <c r="I234">
        <f>IF($AA234="","",INDEX('Per Line'!$K$2:$K$4001,$AA234)&amp;"")</f>
        <v/>
      </c>
      <c r="J234">
        <f>IF($AA234="","",INDEX('Per Line'!$L$2:$L$4001,$AA234)&amp;"")</f>
        <v/>
      </c>
      <c r="K234">
        <f>IF($AA234="","",INDEX('Per Line'!$P$2:$P$4001,$AA234))</f>
        <v/>
      </c>
      <c r="L234" s="7">
        <f>IF($AA234="","",IF(AND(ISNUMBER(N234),N234&gt;0,Y234&gt;N234),K234*N234/100+(Y234-N234),K234*Y234/100))</f>
        <v/>
      </c>
      <c r="M234">
        <f>IF($AA234="","",INDEX('Per Line'!$Z$2:$Z$4001,$AA234)&amp;"")</f>
        <v/>
      </c>
      <c r="N234">
        <f>IF($AA234="","",INDEX('Per Line'!$AG$2:$AG$4001,$AA234))</f>
        <v/>
      </c>
      <c r="O234">
        <f>IF($AA234="","",IF(AND(ISNUMBER(N234),N234&gt;0),Y234&gt;N234,FALSE))</f>
        <v/>
      </c>
      <c r="P234" s="7">
        <f>IF($AA234="","",SUMIFS('Per Line'!$Y$2:$Y$4001,'Per Line'!$E$2:$E$4001,$B234,'Per Line'!$AQ$2:$AQ$4001,1))</f>
        <v/>
      </c>
      <c r="Q234">
        <f>IF($AA234="","",Settings!$C$7)</f>
        <v/>
      </c>
      <c r="R234" s="7">
        <f>IF($AA234="","",SUMIFS('Per Line'!$Y$2:$Y$4001,'Per Line'!$E$2:$E$4001,$B234,'Per Line'!$AP$2:$AP$4001,0,'Per Line'!$AQ$2:$AQ$4001,0))</f>
        <v/>
      </c>
      <c r="S234" s="7">
        <f>IF($AA234="","",R234*Q234)</f>
        <v/>
      </c>
      <c r="T234">
        <f>IF($AA234="","",Settings!$C$6)</f>
        <v/>
      </c>
      <c r="U234" s="7">
        <f>IF($AA234="","",SUMIFS('Per Line'!$Y$2:$Y$4001,'Per Line'!$E$2:$E$4001,$B234,'Per Line'!$AP$2:$AP$4001,1,'Per Line'!$AQ$2:$AQ$4001,0))</f>
        <v/>
      </c>
      <c r="V234" s="7">
        <f>IF($AA234="","",U234*T234)</f>
        <v/>
      </c>
      <c r="W234" s="7">
        <f>IF($AA234="","",V234+S234)</f>
        <v/>
      </c>
      <c r="X234" s="7">
        <f>IF($AA234="","",Y234-W234)</f>
        <v/>
      </c>
      <c r="Y234" s="7">
        <f>IF($AA234="","",R234+U234+P234)</f>
        <v/>
      </c>
      <c r="Z234" s="7">
        <f>IF($AA234="","",Y234-W234-L234)</f>
        <v/>
      </c>
      <c r="AA234" s="13">
        <f>IF(ROWS($AA$2:$AA234)&lt;=MAX('Per Line'!$AO$2:$AO$4001),MATCH(ROWS($AA$2:$AA234),'Per Line'!$AO$2:$AO$4001,0),"")</f>
        <v/>
      </c>
      <c r="AB234" s="14">
        <f>IF($AA234="","",L234-K234*Y234/100)</f>
        <v/>
      </c>
    </row>
    <row r="235">
      <c r="A235" s="12" t="n"/>
      <c r="B235">
        <f>IF($AA235="","",INDEX('Per Line'!$E$2:$E$4001,$AA235)&amp;"")</f>
        <v/>
      </c>
      <c r="C235">
        <f>IF($AA235="","",INDEX('Per Line'!$A$2:$A$4001,$AA235)&amp;"")</f>
        <v/>
      </c>
      <c r="D235">
        <f>IF($AA235="","",INDEX('Per Line'!$D$2:$D$4001,$AA235)&amp;"")</f>
        <v/>
      </c>
      <c r="E235" s="11">
        <f>IF($AA235="","",INDEX('Per Line'!$G$2:$G$4001,$AA235))</f>
        <v/>
      </c>
      <c r="F235">
        <f>IF($AA235="","",INDEX('Per Line'!$H$2:$H$4001,$AA235)&amp;"")</f>
        <v/>
      </c>
      <c r="G235">
        <f>IF($AA235="","",INDEX('Per Line'!$I$2:$I$4001,$AA235)&amp;"")</f>
        <v/>
      </c>
      <c r="H235">
        <f>IF($AA235="","",INDEX('Per Line'!$J$2:$J$4001,$AA235)&amp;"")</f>
        <v/>
      </c>
      <c r="I235">
        <f>IF($AA235="","",INDEX('Per Line'!$K$2:$K$4001,$AA235)&amp;"")</f>
        <v/>
      </c>
      <c r="J235">
        <f>IF($AA235="","",INDEX('Per Line'!$L$2:$L$4001,$AA235)&amp;"")</f>
        <v/>
      </c>
      <c r="K235">
        <f>IF($AA235="","",INDEX('Per Line'!$P$2:$P$4001,$AA235))</f>
        <v/>
      </c>
      <c r="L235" s="7">
        <f>IF($AA235="","",IF(AND(ISNUMBER(N235),N235&gt;0,Y235&gt;N235),K235*N235/100+(Y235-N235),K235*Y235/100))</f>
        <v/>
      </c>
      <c r="M235">
        <f>IF($AA235="","",INDEX('Per Line'!$Z$2:$Z$4001,$AA235)&amp;"")</f>
        <v/>
      </c>
      <c r="N235">
        <f>IF($AA235="","",INDEX('Per Line'!$AG$2:$AG$4001,$AA235))</f>
        <v/>
      </c>
      <c r="O235">
        <f>IF($AA235="","",IF(AND(ISNUMBER(N235),N235&gt;0),Y235&gt;N235,FALSE))</f>
        <v/>
      </c>
      <c r="P235" s="7">
        <f>IF($AA235="","",SUMIFS('Per Line'!$Y$2:$Y$4001,'Per Line'!$E$2:$E$4001,$B235,'Per Line'!$AQ$2:$AQ$4001,1))</f>
        <v/>
      </c>
      <c r="Q235">
        <f>IF($AA235="","",Settings!$C$7)</f>
        <v/>
      </c>
      <c r="R235" s="7">
        <f>IF($AA235="","",SUMIFS('Per Line'!$Y$2:$Y$4001,'Per Line'!$E$2:$E$4001,$B235,'Per Line'!$AP$2:$AP$4001,0,'Per Line'!$AQ$2:$AQ$4001,0))</f>
        <v/>
      </c>
      <c r="S235" s="7">
        <f>IF($AA235="","",R235*Q235)</f>
        <v/>
      </c>
      <c r="T235">
        <f>IF($AA235="","",Settings!$C$6)</f>
        <v/>
      </c>
      <c r="U235" s="7">
        <f>IF($AA235="","",SUMIFS('Per Line'!$Y$2:$Y$4001,'Per Line'!$E$2:$E$4001,$B235,'Per Line'!$AP$2:$AP$4001,1,'Per Line'!$AQ$2:$AQ$4001,0))</f>
        <v/>
      </c>
      <c r="V235" s="7">
        <f>IF($AA235="","",U235*T235)</f>
        <v/>
      </c>
      <c r="W235" s="7">
        <f>IF($AA235="","",V235+S235)</f>
        <v/>
      </c>
      <c r="X235" s="7">
        <f>IF($AA235="","",Y235-W235)</f>
        <v/>
      </c>
      <c r="Y235" s="7">
        <f>IF($AA235="","",R235+U235+P235)</f>
        <v/>
      </c>
      <c r="Z235" s="7">
        <f>IF($AA235="","",Y235-W235-L235)</f>
        <v/>
      </c>
      <c r="AA235" s="13">
        <f>IF(ROWS($AA$2:$AA235)&lt;=MAX('Per Line'!$AO$2:$AO$4001),MATCH(ROWS($AA$2:$AA235),'Per Line'!$AO$2:$AO$4001,0),"")</f>
        <v/>
      </c>
      <c r="AB235" s="14">
        <f>IF($AA235="","",L235-K235*Y235/100)</f>
        <v/>
      </c>
    </row>
    <row r="236">
      <c r="A236" s="12" t="n"/>
      <c r="B236">
        <f>IF($AA236="","",INDEX('Per Line'!$E$2:$E$4001,$AA236)&amp;"")</f>
        <v/>
      </c>
      <c r="C236">
        <f>IF($AA236="","",INDEX('Per Line'!$A$2:$A$4001,$AA236)&amp;"")</f>
        <v/>
      </c>
      <c r="D236">
        <f>IF($AA236="","",INDEX('Per Line'!$D$2:$D$4001,$AA236)&amp;"")</f>
        <v/>
      </c>
      <c r="E236" s="11">
        <f>IF($AA236="","",INDEX('Per Line'!$G$2:$G$4001,$AA236))</f>
        <v/>
      </c>
      <c r="F236">
        <f>IF($AA236="","",INDEX('Per Line'!$H$2:$H$4001,$AA236)&amp;"")</f>
        <v/>
      </c>
      <c r="G236">
        <f>IF($AA236="","",INDEX('Per Line'!$I$2:$I$4001,$AA236)&amp;"")</f>
        <v/>
      </c>
      <c r="H236">
        <f>IF($AA236="","",INDEX('Per Line'!$J$2:$J$4001,$AA236)&amp;"")</f>
        <v/>
      </c>
      <c r="I236">
        <f>IF($AA236="","",INDEX('Per Line'!$K$2:$K$4001,$AA236)&amp;"")</f>
        <v/>
      </c>
      <c r="J236">
        <f>IF($AA236="","",INDEX('Per Line'!$L$2:$L$4001,$AA236)&amp;"")</f>
        <v/>
      </c>
      <c r="K236">
        <f>IF($AA236="","",INDEX('Per Line'!$P$2:$P$4001,$AA236))</f>
        <v/>
      </c>
      <c r="L236" s="7">
        <f>IF($AA236="","",IF(AND(ISNUMBER(N236),N236&gt;0,Y236&gt;N236),K236*N236/100+(Y236-N236),K236*Y236/100))</f>
        <v/>
      </c>
      <c r="M236">
        <f>IF($AA236="","",INDEX('Per Line'!$Z$2:$Z$4001,$AA236)&amp;"")</f>
        <v/>
      </c>
      <c r="N236">
        <f>IF($AA236="","",INDEX('Per Line'!$AG$2:$AG$4001,$AA236))</f>
        <v/>
      </c>
      <c r="O236">
        <f>IF($AA236="","",IF(AND(ISNUMBER(N236),N236&gt;0),Y236&gt;N236,FALSE))</f>
        <v/>
      </c>
      <c r="P236" s="7">
        <f>IF($AA236="","",SUMIFS('Per Line'!$Y$2:$Y$4001,'Per Line'!$E$2:$E$4001,$B236,'Per Line'!$AQ$2:$AQ$4001,1))</f>
        <v/>
      </c>
      <c r="Q236">
        <f>IF($AA236="","",Settings!$C$7)</f>
        <v/>
      </c>
      <c r="R236" s="7">
        <f>IF($AA236="","",SUMIFS('Per Line'!$Y$2:$Y$4001,'Per Line'!$E$2:$E$4001,$B236,'Per Line'!$AP$2:$AP$4001,0,'Per Line'!$AQ$2:$AQ$4001,0))</f>
        <v/>
      </c>
      <c r="S236" s="7">
        <f>IF($AA236="","",R236*Q236)</f>
        <v/>
      </c>
      <c r="T236">
        <f>IF($AA236="","",Settings!$C$6)</f>
        <v/>
      </c>
      <c r="U236" s="7">
        <f>IF($AA236="","",SUMIFS('Per Line'!$Y$2:$Y$4001,'Per Line'!$E$2:$E$4001,$B236,'Per Line'!$AP$2:$AP$4001,1,'Per Line'!$AQ$2:$AQ$4001,0))</f>
        <v/>
      </c>
      <c r="V236" s="7">
        <f>IF($AA236="","",U236*T236)</f>
        <v/>
      </c>
      <c r="W236" s="7">
        <f>IF($AA236="","",V236+S236)</f>
        <v/>
      </c>
      <c r="X236" s="7">
        <f>IF($AA236="","",Y236-W236)</f>
        <v/>
      </c>
      <c r="Y236" s="7">
        <f>IF($AA236="","",R236+U236+P236)</f>
        <v/>
      </c>
      <c r="Z236" s="7">
        <f>IF($AA236="","",Y236-W236-L236)</f>
        <v/>
      </c>
      <c r="AA236" s="13">
        <f>IF(ROWS($AA$2:$AA236)&lt;=MAX('Per Line'!$AO$2:$AO$4001),MATCH(ROWS($AA$2:$AA236),'Per Line'!$AO$2:$AO$4001,0),"")</f>
        <v/>
      </c>
      <c r="AB236" s="14">
        <f>IF($AA236="","",L236-K236*Y236/100)</f>
        <v/>
      </c>
    </row>
    <row r="237">
      <c r="A237" s="12" t="n"/>
      <c r="B237">
        <f>IF($AA237="","",INDEX('Per Line'!$E$2:$E$4001,$AA237)&amp;"")</f>
        <v/>
      </c>
      <c r="C237">
        <f>IF($AA237="","",INDEX('Per Line'!$A$2:$A$4001,$AA237)&amp;"")</f>
        <v/>
      </c>
      <c r="D237">
        <f>IF($AA237="","",INDEX('Per Line'!$D$2:$D$4001,$AA237)&amp;"")</f>
        <v/>
      </c>
      <c r="E237" s="11">
        <f>IF($AA237="","",INDEX('Per Line'!$G$2:$G$4001,$AA237))</f>
        <v/>
      </c>
      <c r="F237">
        <f>IF($AA237="","",INDEX('Per Line'!$H$2:$H$4001,$AA237)&amp;"")</f>
        <v/>
      </c>
      <c r="G237">
        <f>IF($AA237="","",INDEX('Per Line'!$I$2:$I$4001,$AA237)&amp;"")</f>
        <v/>
      </c>
      <c r="H237">
        <f>IF($AA237="","",INDEX('Per Line'!$J$2:$J$4001,$AA237)&amp;"")</f>
        <v/>
      </c>
      <c r="I237">
        <f>IF($AA237="","",INDEX('Per Line'!$K$2:$K$4001,$AA237)&amp;"")</f>
        <v/>
      </c>
      <c r="J237">
        <f>IF($AA237="","",INDEX('Per Line'!$L$2:$L$4001,$AA237)&amp;"")</f>
        <v/>
      </c>
      <c r="K237">
        <f>IF($AA237="","",INDEX('Per Line'!$P$2:$P$4001,$AA237))</f>
        <v/>
      </c>
      <c r="L237" s="7">
        <f>IF($AA237="","",IF(AND(ISNUMBER(N237),N237&gt;0,Y237&gt;N237),K237*N237/100+(Y237-N237),K237*Y237/100))</f>
        <v/>
      </c>
      <c r="M237">
        <f>IF($AA237="","",INDEX('Per Line'!$Z$2:$Z$4001,$AA237)&amp;"")</f>
        <v/>
      </c>
      <c r="N237">
        <f>IF($AA237="","",INDEX('Per Line'!$AG$2:$AG$4001,$AA237))</f>
        <v/>
      </c>
      <c r="O237">
        <f>IF($AA237="","",IF(AND(ISNUMBER(N237),N237&gt;0),Y237&gt;N237,FALSE))</f>
        <v/>
      </c>
      <c r="P237" s="7">
        <f>IF($AA237="","",SUMIFS('Per Line'!$Y$2:$Y$4001,'Per Line'!$E$2:$E$4001,$B237,'Per Line'!$AQ$2:$AQ$4001,1))</f>
        <v/>
      </c>
      <c r="Q237">
        <f>IF($AA237="","",Settings!$C$7)</f>
        <v/>
      </c>
      <c r="R237" s="7">
        <f>IF($AA237="","",SUMIFS('Per Line'!$Y$2:$Y$4001,'Per Line'!$E$2:$E$4001,$B237,'Per Line'!$AP$2:$AP$4001,0,'Per Line'!$AQ$2:$AQ$4001,0))</f>
        <v/>
      </c>
      <c r="S237" s="7">
        <f>IF($AA237="","",R237*Q237)</f>
        <v/>
      </c>
      <c r="T237">
        <f>IF($AA237="","",Settings!$C$6)</f>
        <v/>
      </c>
      <c r="U237" s="7">
        <f>IF($AA237="","",SUMIFS('Per Line'!$Y$2:$Y$4001,'Per Line'!$E$2:$E$4001,$B237,'Per Line'!$AP$2:$AP$4001,1,'Per Line'!$AQ$2:$AQ$4001,0))</f>
        <v/>
      </c>
      <c r="V237" s="7">
        <f>IF($AA237="","",U237*T237)</f>
        <v/>
      </c>
      <c r="W237" s="7">
        <f>IF($AA237="","",V237+S237)</f>
        <v/>
      </c>
      <c r="X237" s="7">
        <f>IF($AA237="","",Y237-W237)</f>
        <v/>
      </c>
      <c r="Y237" s="7">
        <f>IF($AA237="","",R237+U237+P237)</f>
        <v/>
      </c>
      <c r="Z237" s="7">
        <f>IF($AA237="","",Y237-W237-L237)</f>
        <v/>
      </c>
      <c r="AA237" s="13">
        <f>IF(ROWS($AA$2:$AA237)&lt;=MAX('Per Line'!$AO$2:$AO$4001),MATCH(ROWS($AA$2:$AA237),'Per Line'!$AO$2:$AO$4001,0),"")</f>
        <v/>
      </c>
      <c r="AB237" s="14">
        <f>IF($AA237="","",L237-K237*Y237/100)</f>
        <v/>
      </c>
    </row>
    <row r="238">
      <c r="A238" s="12" t="n"/>
      <c r="B238">
        <f>IF($AA238="","",INDEX('Per Line'!$E$2:$E$4001,$AA238)&amp;"")</f>
        <v/>
      </c>
      <c r="C238">
        <f>IF($AA238="","",INDEX('Per Line'!$A$2:$A$4001,$AA238)&amp;"")</f>
        <v/>
      </c>
      <c r="D238">
        <f>IF($AA238="","",INDEX('Per Line'!$D$2:$D$4001,$AA238)&amp;"")</f>
        <v/>
      </c>
      <c r="E238" s="11">
        <f>IF($AA238="","",INDEX('Per Line'!$G$2:$G$4001,$AA238))</f>
        <v/>
      </c>
      <c r="F238">
        <f>IF($AA238="","",INDEX('Per Line'!$H$2:$H$4001,$AA238)&amp;"")</f>
        <v/>
      </c>
      <c r="G238">
        <f>IF($AA238="","",INDEX('Per Line'!$I$2:$I$4001,$AA238)&amp;"")</f>
        <v/>
      </c>
      <c r="H238">
        <f>IF($AA238="","",INDEX('Per Line'!$J$2:$J$4001,$AA238)&amp;"")</f>
        <v/>
      </c>
      <c r="I238">
        <f>IF($AA238="","",INDEX('Per Line'!$K$2:$K$4001,$AA238)&amp;"")</f>
        <v/>
      </c>
      <c r="J238">
        <f>IF($AA238="","",INDEX('Per Line'!$L$2:$L$4001,$AA238)&amp;"")</f>
        <v/>
      </c>
      <c r="K238">
        <f>IF($AA238="","",INDEX('Per Line'!$P$2:$P$4001,$AA238))</f>
        <v/>
      </c>
      <c r="L238" s="7">
        <f>IF($AA238="","",IF(AND(ISNUMBER(N238),N238&gt;0,Y238&gt;N238),K238*N238/100+(Y238-N238),K238*Y238/100))</f>
        <v/>
      </c>
      <c r="M238">
        <f>IF($AA238="","",INDEX('Per Line'!$Z$2:$Z$4001,$AA238)&amp;"")</f>
        <v/>
      </c>
      <c r="N238">
        <f>IF($AA238="","",INDEX('Per Line'!$AG$2:$AG$4001,$AA238))</f>
        <v/>
      </c>
      <c r="O238">
        <f>IF($AA238="","",IF(AND(ISNUMBER(N238),N238&gt;0),Y238&gt;N238,FALSE))</f>
        <v/>
      </c>
      <c r="P238" s="7">
        <f>IF($AA238="","",SUMIFS('Per Line'!$Y$2:$Y$4001,'Per Line'!$E$2:$E$4001,$B238,'Per Line'!$AQ$2:$AQ$4001,1))</f>
        <v/>
      </c>
      <c r="Q238">
        <f>IF($AA238="","",Settings!$C$7)</f>
        <v/>
      </c>
      <c r="R238" s="7">
        <f>IF($AA238="","",SUMIFS('Per Line'!$Y$2:$Y$4001,'Per Line'!$E$2:$E$4001,$B238,'Per Line'!$AP$2:$AP$4001,0,'Per Line'!$AQ$2:$AQ$4001,0))</f>
        <v/>
      </c>
      <c r="S238" s="7">
        <f>IF($AA238="","",R238*Q238)</f>
        <v/>
      </c>
      <c r="T238">
        <f>IF($AA238="","",Settings!$C$6)</f>
        <v/>
      </c>
      <c r="U238" s="7">
        <f>IF($AA238="","",SUMIFS('Per Line'!$Y$2:$Y$4001,'Per Line'!$E$2:$E$4001,$B238,'Per Line'!$AP$2:$AP$4001,1,'Per Line'!$AQ$2:$AQ$4001,0))</f>
        <v/>
      </c>
      <c r="V238" s="7">
        <f>IF($AA238="","",U238*T238)</f>
        <v/>
      </c>
      <c r="W238" s="7">
        <f>IF($AA238="","",V238+S238)</f>
        <v/>
      </c>
      <c r="X238" s="7">
        <f>IF($AA238="","",Y238-W238)</f>
        <v/>
      </c>
      <c r="Y238" s="7">
        <f>IF($AA238="","",R238+U238+P238)</f>
        <v/>
      </c>
      <c r="Z238" s="7">
        <f>IF($AA238="","",Y238-W238-L238)</f>
        <v/>
      </c>
      <c r="AA238" s="13">
        <f>IF(ROWS($AA$2:$AA238)&lt;=MAX('Per Line'!$AO$2:$AO$4001),MATCH(ROWS($AA$2:$AA238),'Per Line'!$AO$2:$AO$4001,0),"")</f>
        <v/>
      </c>
      <c r="AB238" s="14">
        <f>IF($AA238="","",L238-K238*Y238/100)</f>
        <v/>
      </c>
    </row>
    <row r="239">
      <c r="A239" s="12" t="n"/>
      <c r="B239">
        <f>IF($AA239="","",INDEX('Per Line'!$E$2:$E$4001,$AA239)&amp;"")</f>
        <v/>
      </c>
      <c r="C239">
        <f>IF($AA239="","",INDEX('Per Line'!$A$2:$A$4001,$AA239)&amp;"")</f>
        <v/>
      </c>
      <c r="D239">
        <f>IF($AA239="","",INDEX('Per Line'!$D$2:$D$4001,$AA239)&amp;"")</f>
        <v/>
      </c>
      <c r="E239" s="11">
        <f>IF($AA239="","",INDEX('Per Line'!$G$2:$G$4001,$AA239))</f>
        <v/>
      </c>
      <c r="F239">
        <f>IF($AA239="","",INDEX('Per Line'!$H$2:$H$4001,$AA239)&amp;"")</f>
        <v/>
      </c>
      <c r="G239">
        <f>IF($AA239="","",INDEX('Per Line'!$I$2:$I$4001,$AA239)&amp;"")</f>
        <v/>
      </c>
      <c r="H239">
        <f>IF($AA239="","",INDEX('Per Line'!$J$2:$J$4001,$AA239)&amp;"")</f>
        <v/>
      </c>
      <c r="I239">
        <f>IF($AA239="","",INDEX('Per Line'!$K$2:$K$4001,$AA239)&amp;"")</f>
        <v/>
      </c>
      <c r="J239">
        <f>IF($AA239="","",INDEX('Per Line'!$L$2:$L$4001,$AA239)&amp;"")</f>
        <v/>
      </c>
      <c r="K239">
        <f>IF($AA239="","",INDEX('Per Line'!$P$2:$P$4001,$AA239))</f>
        <v/>
      </c>
      <c r="L239" s="7">
        <f>IF($AA239="","",IF(AND(ISNUMBER(N239),N239&gt;0,Y239&gt;N239),K239*N239/100+(Y239-N239),K239*Y239/100))</f>
        <v/>
      </c>
      <c r="M239">
        <f>IF($AA239="","",INDEX('Per Line'!$Z$2:$Z$4001,$AA239)&amp;"")</f>
        <v/>
      </c>
      <c r="N239">
        <f>IF($AA239="","",INDEX('Per Line'!$AG$2:$AG$4001,$AA239))</f>
        <v/>
      </c>
      <c r="O239">
        <f>IF($AA239="","",IF(AND(ISNUMBER(N239),N239&gt;0),Y239&gt;N239,FALSE))</f>
        <v/>
      </c>
      <c r="P239" s="7">
        <f>IF($AA239="","",SUMIFS('Per Line'!$Y$2:$Y$4001,'Per Line'!$E$2:$E$4001,$B239,'Per Line'!$AQ$2:$AQ$4001,1))</f>
        <v/>
      </c>
      <c r="Q239">
        <f>IF($AA239="","",Settings!$C$7)</f>
        <v/>
      </c>
      <c r="R239" s="7">
        <f>IF($AA239="","",SUMIFS('Per Line'!$Y$2:$Y$4001,'Per Line'!$E$2:$E$4001,$B239,'Per Line'!$AP$2:$AP$4001,0,'Per Line'!$AQ$2:$AQ$4001,0))</f>
        <v/>
      </c>
      <c r="S239" s="7">
        <f>IF($AA239="","",R239*Q239)</f>
        <v/>
      </c>
      <c r="T239">
        <f>IF($AA239="","",Settings!$C$6)</f>
        <v/>
      </c>
      <c r="U239" s="7">
        <f>IF($AA239="","",SUMIFS('Per Line'!$Y$2:$Y$4001,'Per Line'!$E$2:$E$4001,$B239,'Per Line'!$AP$2:$AP$4001,1,'Per Line'!$AQ$2:$AQ$4001,0))</f>
        <v/>
      </c>
      <c r="V239" s="7">
        <f>IF($AA239="","",U239*T239)</f>
        <v/>
      </c>
      <c r="W239" s="7">
        <f>IF($AA239="","",V239+S239)</f>
        <v/>
      </c>
      <c r="X239" s="7">
        <f>IF($AA239="","",Y239-W239)</f>
        <v/>
      </c>
      <c r="Y239" s="7">
        <f>IF($AA239="","",R239+U239+P239)</f>
        <v/>
      </c>
      <c r="Z239" s="7">
        <f>IF($AA239="","",Y239-W239-L239)</f>
        <v/>
      </c>
      <c r="AA239" s="13">
        <f>IF(ROWS($AA$2:$AA239)&lt;=MAX('Per Line'!$AO$2:$AO$4001),MATCH(ROWS($AA$2:$AA239),'Per Line'!$AO$2:$AO$4001,0),"")</f>
        <v/>
      </c>
      <c r="AB239" s="14">
        <f>IF($AA239="","",L239-K239*Y239/100)</f>
        <v/>
      </c>
    </row>
    <row r="240">
      <c r="A240" s="12" t="n"/>
      <c r="B240">
        <f>IF($AA240="","",INDEX('Per Line'!$E$2:$E$4001,$AA240)&amp;"")</f>
        <v/>
      </c>
      <c r="C240">
        <f>IF($AA240="","",INDEX('Per Line'!$A$2:$A$4001,$AA240)&amp;"")</f>
        <v/>
      </c>
      <c r="D240">
        <f>IF($AA240="","",INDEX('Per Line'!$D$2:$D$4001,$AA240)&amp;"")</f>
        <v/>
      </c>
      <c r="E240" s="11">
        <f>IF($AA240="","",INDEX('Per Line'!$G$2:$G$4001,$AA240))</f>
        <v/>
      </c>
      <c r="F240">
        <f>IF($AA240="","",INDEX('Per Line'!$H$2:$H$4001,$AA240)&amp;"")</f>
        <v/>
      </c>
      <c r="G240">
        <f>IF($AA240="","",INDEX('Per Line'!$I$2:$I$4001,$AA240)&amp;"")</f>
        <v/>
      </c>
      <c r="H240">
        <f>IF($AA240="","",INDEX('Per Line'!$J$2:$J$4001,$AA240)&amp;"")</f>
        <v/>
      </c>
      <c r="I240">
        <f>IF($AA240="","",INDEX('Per Line'!$K$2:$K$4001,$AA240)&amp;"")</f>
        <v/>
      </c>
      <c r="J240">
        <f>IF($AA240="","",INDEX('Per Line'!$L$2:$L$4001,$AA240)&amp;"")</f>
        <v/>
      </c>
      <c r="K240">
        <f>IF($AA240="","",INDEX('Per Line'!$P$2:$P$4001,$AA240))</f>
        <v/>
      </c>
      <c r="L240" s="7">
        <f>IF($AA240="","",IF(AND(ISNUMBER(N240),N240&gt;0,Y240&gt;N240),K240*N240/100+(Y240-N240),K240*Y240/100))</f>
        <v/>
      </c>
      <c r="M240">
        <f>IF($AA240="","",INDEX('Per Line'!$Z$2:$Z$4001,$AA240)&amp;"")</f>
        <v/>
      </c>
      <c r="N240">
        <f>IF($AA240="","",INDEX('Per Line'!$AG$2:$AG$4001,$AA240))</f>
        <v/>
      </c>
      <c r="O240">
        <f>IF($AA240="","",IF(AND(ISNUMBER(N240),N240&gt;0),Y240&gt;N240,FALSE))</f>
        <v/>
      </c>
      <c r="P240" s="7">
        <f>IF($AA240="","",SUMIFS('Per Line'!$Y$2:$Y$4001,'Per Line'!$E$2:$E$4001,$B240,'Per Line'!$AQ$2:$AQ$4001,1))</f>
        <v/>
      </c>
      <c r="Q240">
        <f>IF($AA240="","",Settings!$C$7)</f>
        <v/>
      </c>
      <c r="R240" s="7">
        <f>IF($AA240="","",SUMIFS('Per Line'!$Y$2:$Y$4001,'Per Line'!$E$2:$E$4001,$B240,'Per Line'!$AP$2:$AP$4001,0,'Per Line'!$AQ$2:$AQ$4001,0))</f>
        <v/>
      </c>
      <c r="S240" s="7">
        <f>IF($AA240="","",R240*Q240)</f>
        <v/>
      </c>
      <c r="T240">
        <f>IF($AA240="","",Settings!$C$6)</f>
        <v/>
      </c>
      <c r="U240" s="7">
        <f>IF($AA240="","",SUMIFS('Per Line'!$Y$2:$Y$4001,'Per Line'!$E$2:$E$4001,$B240,'Per Line'!$AP$2:$AP$4001,1,'Per Line'!$AQ$2:$AQ$4001,0))</f>
        <v/>
      </c>
      <c r="V240" s="7">
        <f>IF($AA240="","",U240*T240)</f>
        <v/>
      </c>
      <c r="W240" s="7">
        <f>IF($AA240="","",V240+S240)</f>
        <v/>
      </c>
      <c r="X240" s="7">
        <f>IF($AA240="","",Y240-W240)</f>
        <v/>
      </c>
      <c r="Y240" s="7">
        <f>IF($AA240="","",R240+U240+P240)</f>
        <v/>
      </c>
      <c r="Z240" s="7">
        <f>IF($AA240="","",Y240-W240-L240)</f>
        <v/>
      </c>
      <c r="AA240" s="13">
        <f>IF(ROWS($AA$2:$AA240)&lt;=MAX('Per Line'!$AO$2:$AO$4001),MATCH(ROWS($AA$2:$AA240),'Per Line'!$AO$2:$AO$4001,0),"")</f>
        <v/>
      </c>
      <c r="AB240" s="14">
        <f>IF($AA240="","",L240-K240*Y240/100)</f>
        <v/>
      </c>
    </row>
    <row r="241">
      <c r="A241" s="12" t="n"/>
      <c r="B241">
        <f>IF($AA241="","",INDEX('Per Line'!$E$2:$E$4001,$AA241)&amp;"")</f>
        <v/>
      </c>
      <c r="C241">
        <f>IF($AA241="","",INDEX('Per Line'!$A$2:$A$4001,$AA241)&amp;"")</f>
        <v/>
      </c>
      <c r="D241">
        <f>IF($AA241="","",INDEX('Per Line'!$D$2:$D$4001,$AA241)&amp;"")</f>
        <v/>
      </c>
      <c r="E241" s="11">
        <f>IF($AA241="","",INDEX('Per Line'!$G$2:$G$4001,$AA241))</f>
        <v/>
      </c>
      <c r="F241">
        <f>IF($AA241="","",INDEX('Per Line'!$H$2:$H$4001,$AA241)&amp;"")</f>
        <v/>
      </c>
      <c r="G241">
        <f>IF($AA241="","",INDEX('Per Line'!$I$2:$I$4001,$AA241)&amp;"")</f>
        <v/>
      </c>
      <c r="H241">
        <f>IF($AA241="","",INDEX('Per Line'!$J$2:$J$4001,$AA241)&amp;"")</f>
        <v/>
      </c>
      <c r="I241">
        <f>IF($AA241="","",INDEX('Per Line'!$K$2:$K$4001,$AA241)&amp;"")</f>
        <v/>
      </c>
      <c r="J241">
        <f>IF($AA241="","",INDEX('Per Line'!$L$2:$L$4001,$AA241)&amp;"")</f>
        <v/>
      </c>
      <c r="K241">
        <f>IF($AA241="","",INDEX('Per Line'!$P$2:$P$4001,$AA241))</f>
        <v/>
      </c>
      <c r="L241" s="7">
        <f>IF($AA241="","",IF(AND(ISNUMBER(N241),N241&gt;0,Y241&gt;N241),K241*N241/100+(Y241-N241),K241*Y241/100))</f>
        <v/>
      </c>
      <c r="M241">
        <f>IF($AA241="","",INDEX('Per Line'!$Z$2:$Z$4001,$AA241)&amp;"")</f>
        <v/>
      </c>
      <c r="N241">
        <f>IF($AA241="","",INDEX('Per Line'!$AG$2:$AG$4001,$AA241))</f>
        <v/>
      </c>
      <c r="O241">
        <f>IF($AA241="","",IF(AND(ISNUMBER(N241),N241&gt;0),Y241&gt;N241,FALSE))</f>
        <v/>
      </c>
      <c r="P241" s="7">
        <f>IF($AA241="","",SUMIFS('Per Line'!$Y$2:$Y$4001,'Per Line'!$E$2:$E$4001,$B241,'Per Line'!$AQ$2:$AQ$4001,1))</f>
        <v/>
      </c>
      <c r="Q241">
        <f>IF($AA241="","",Settings!$C$7)</f>
        <v/>
      </c>
      <c r="R241" s="7">
        <f>IF($AA241="","",SUMIFS('Per Line'!$Y$2:$Y$4001,'Per Line'!$E$2:$E$4001,$B241,'Per Line'!$AP$2:$AP$4001,0,'Per Line'!$AQ$2:$AQ$4001,0))</f>
        <v/>
      </c>
      <c r="S241" s="7">
        <f>IF($AA241="","",R241*Q241)</f>
        <v/>
      </c>
      <c r="T241">
        <f>IF($AA241="","",Settings!$C$6)</f>
        <v/>
      </c>
      <c r="U241" s="7">
        <f>IF($AA241="","",SUMIFS('Per Line'!$Y$2:$Y$4001,'Per Line'!$E$2:$E$4001,$B241,'Per Line'!$AP$2:$AP$4001,1,'Per Line'!$AQ$2:$AQ$4001,0))</f>
        <v/>
      </c>
      <c r="V241" s="7">
        <f>IF($AA241="","",U241*T241)</f>
        <v/>
      </c>
      <c r="W241" s="7">
        <f>IF($AA241="","",V241+S241)</f>
        <v/>
      </c>
      <c r="X241" s="7">
        <f>IF($AA241="","",Y241-W241)</f>
        <v/>
      </c>
      <c r="Y241" s="7">
        <f>IF($AA241="","",R241+U241+P241)</f>
        <v/>
      </c>
      <c r="Z241" s="7">
        <f>IF($AA241="","",Y241-W241-L241)</f>
        <v/>
      </c>
      <c r="AA241" s="13">
        <f>IF(ROWS($AA$2:$AA241)&lt;=MAX('Per Line'!$AO$2:$AO$4001),MATCH(ROWS($AA$2:$AA241),'Per Line'!$AO$2:$AO$4001,0),"")</f>
        <v/>
      </c>
      <c r="AB241" s="14">
        <f>IF($AA241="","",L241-K241*Y241/100)</f>
        <v/>
      </c>
    </row>
    <row r="242">
      <c r="A242" s="12" t="n"/>
      <c r="B242">
        <f>IF($AA242="","",INDEX('Per Line'!$E$2:$E$4001,$AA242)&amp;"")</f>
        <v/>
      </c>
      <c r="C242">
        <f>IF($AA242="","",INDEX('Per Line'!$A$2:$A$4001,$AA242)&amp;"")</f>
        <v/>
      </c>
      <c r="D242">
        <f>IF($AA242="","",INDEX('Per Line'!$D$2:$D$4001,$AA242)&amp;"")</f>
        <v/>
      </c>
      <c r="E242" s="11">
        <f>IF($AA242="","",INDEX('Per Line'!$G$2:$G$4001,$AA242))</f>
        <v/>
      </c>
      <c r="F242">
        <f>IF($AA242="","",INDEX('Per Line'!$H$2:$H$4001,$AA242)&amp;"")</f>
        <v/>
      </c>
      <c r="G242">
        <f>IF($AA242="","",INDEX('Per Line'!$I$2:$I$4001,$AA242)&amp;"")</f>
        <v/>
      </c>
      <c r="H242">
        <f>IF($AA242="","",INDEX('Per Line'!$J$2:$J$4001,$AA242)&amp;"")</f>
        <v/>
      </c>
      <c r="I242">
        <f>IF($AA242="","",INDEX('Per Line'!$K$2:$K$4001,$AA242)&amp;"")</f>
        <v/>
      </c>
      <c r="J242">
        <f>IF($AA242="","",INDEX('Per Line'!$L$2:$L$4001,$AA242)&amp;"")</f>
        <v/>
      </c>
      <c r="K242">
        <f>IF($AA242="","",INDEX('Per Line'!$P$2:$P$4001,$AA242))</f>
        <v/>
      </c>
      <c r="L242" s="7">
        <f>IF($AA242="","",IF(AND(ISNUMBER(N242),N242&gt;0,Y242&gt;N242),K242*N242/100+(Y242-N242),K242*Y242/100))</f>
        <v/>
      </c>
      <c r="M242">
        <f>IF($AA242="","",INDEX('Per Line'!$Z$2:$Z$4001,$AA242)&amp;"")</f>
        <v/>
      </c>
      <c r="N242">
        <f>IF($AA242="","",INDEX('Per Line'!$AG$2:$AG$4001,$AA242))</f>
        <v/>
      </c>
      <c r="O242">
        <f>IF($AA242="","",IF(AND(ISNUMBER(N242),N242&gt;0),Y242&gt;N242,FALSE))</f>
        <v/>
      </c>
      <c r="P242" s="7">
        <f>IF($AA242="","",SUMIFS('Per Line'!$Y$2:$Y$4001,'Per Line'!$E$2:$E$4001,$B242,'Per Line'!$AQ$2:$AQ$4001,1))</f>
        <v/>
      </c>
      <c r="Q242">
        <f>IF($AA242="","",Settings!$C$7)</f>
        <v/>
      </c>
      <c r="R242" s="7">
        <f>IF($AA242="","",SUMIFS('Per Line'!$Y$2:$Y$4001,'Per Line'!$E$2:$E$4001,$B242,'Per Line'!$AP$2:$AP$4001,0,'Per Line'!$AQ$2:$AQ$4001,0))</f>
        <v/>
      </c>
      <c r="S242" s="7">
        <f>IF($AA242="","",R242*Q242)</f>
        <v/>
      </c>
      <c r="T242">
        <f>IF($AA242="","",Settings!$C$6)</f>
        <v/>
      </c>
      <c r="U242" s="7">
        <f>IF($AA242="","",SUMIFS('Per Line'!$Y$2:$Y$4001,'Per Line'!$E$2:$E$4001,$B242,'Per Line'!$AP$2:$AP$4001,1,'Per Line'!$AQ$2:$AQ$4001,0))</f>
        <v/>
      </c>
      <c r="V242" s="7">
        <f>IF($AA242="","",U242*T242)</f>
        <v/>
      </c>
      <c r="W242" s="7">
        <f>IF($AA242="","",V242+S242)</f>
        <v/>
      </c>
      <c r="X242" s="7">
        <f>IF($AA242="","",Y242-W242)</f>
        <v/>
      </c>
      <c r="Y242" s="7">
        <f>IF($AA242="","",R242+U242+P242)</f>
        <v/>
      </c>
      <c r="Z242" s="7">
        <f>IF($AA242="","",Y242-W242-L242)</f>
        <v/>
      </c>
      <c r="AA242" s="13">
        <f>IF(ROWS($AA$2:$AA242)&lt;=MAX('Per Line'!$AO$2:$AO$4001),MATCH(ROWS($AA$2:$AA242),'Per Line'!$AO$2:$AO$4001,0),"")</f>
        <v/>
      </c>
      <c r="AB242" s="14">
        <f>IF($AA242="","",L242-K242*Y242/100)</f>
        <v/>
      </c>
    </row>
    <row r="243">
      <c r="A243" s="12" t="n"/>
      <c r="B243">
        <f>IF($AA243="","",INDEX('Per Line'!$E$2:$E$4001,$AA243)&amp;"")</f>
        <v/>
      </c>
      <c r="C243">
        <f>IF($AA243="","",INDEX('Per Line'!$A$2:$A$4001,$AA243)&amp;"")</f>
        <v/>
      </c>
      <c r="D243">
        <f>IF($AA243="","",INDEX('Per Line'!$D$2:$D$4001,$AA243)&amp;"")</f>
        <v/>
      </c>
      <c r="E243" s="11">
        <f>IF($AA243="","",INDEX('Per Line'!$G$2:$G$4001,$AA243))</f>
        <v/>
      </c>
      <c r="F243">
        <f>IF($AA243="","",INDEX('Per Line'!$H$2:$H$4001,$AA243)&amp;"")</f>
        <v/>
      </c>
      <c r="G243">
        <f>IF($AA243="","",INDEX('Per Line'!$I$2:$I$4001,$AA243)&amp;"")</f>
        <v/>
      </c>
      <c r="H243">
        <f>IF($AA243="","",INDEX('Per Line'!$J$2:$J$4001,$AA243)&amp;"")</f>
        <v/>
      </c>
      <c r="I243">
        <f>IF($AA243="","",INDEX('Per Line'!$K$2:$K$4001,$AA243)&amp;"")</f>
        <v/>
      </c>
      <c r="J243">
        <f>IF($AA243="","",INDEX('Per Line'!$L$2:$L$4001,$AA243)&amp;"")</f>
        <v/>
      </c>
      <c r="K243">
        <f>IF($AA243="","",INDEX('Per Line'!$P$2:$P$4001,$AA243))</f>
        <v/>
      </c>
      <c r="L243" s="7">
        <f>IF($AA243="","",IF(AND(ISNUMBER(N243),N243&gt;0,Y243&gt;N243),K243*N243/100+(Y243-N243),K243*Y243/100))</f>
        <v/>
      </c>
      <c r="M243">
        <f>IF($AA243="","",INDEX('Per Line'!$Z$2:$Z$4001,$AA243)&amp;"")</f>
        <v/>
      </c>
      <c r="N243">
        <f>IF($AA243="","",INDEX('Per Line'!$AG$2:$AG$4001,$AA243))</f>
        <v/>
      </c>
      <c r="O243">
        <f>IF($AA243="","",IF(AND(ISNUMBER(N243),N243&gt;0),Y243&gt;N243,FALSE))</f>
        <v/>
      </c>
      <c r="P243" s="7">
        <f>IF($AA243="","",SUMIFS('Per Line'!$Y$2:$Y$4001,'Per Line'!$E$2:$E$4001,$B243,'Per Line'!$AQ$2:$AQ$4001,1))</f>
        <v/>
      </c>
      <c r="Q243">
        <f>IF($AA243="","",Settings!$C$7)</f>
        <v/>
      </c>
      <c r="R243" s="7">
        <f>IF($AA243="","",SUMIFS('Per Line'!$Y$2:$Y$4001,'Per Line'!$E$2:$E$4001,$B243,'Per Line'!$AP$2:$AP$4001,0,'Per Line'!$AQ$2:$AQ$4001,0))</f>
        <v/>
      </c>
      <c r="S243" s="7">
        <f>IF($AA243="","",R243*Q243)</f>
        <v/>
      </c>
      <c r="T243">
        <f>IF($AA243="","",Settings!$C$6)</f>
        <v/>
      </c>
      <c r="U243" s="7">
        <f>IF($AA243="","",SUMIFS('Per Line'!$Y$2:$Y$4001,'Per Line'!$E$2:$E$4001,$B243,'Per Line'!$AP$2:$AP$4001,1,'Per Line'!$AQ$2:$AQ$4001,0))</f>
        <v/>
      </c>
      <c r="V243" s="7">
        <f>IF($AA243="","",U243*T243)</f>
        <v/>
      </c>
      <c r="W243" s="7">
        <f>IF($AA243="","",V243+S243)</f>
        <v/>
      </c>
      <c r="X243" s="7">
        <f>IF($AA243="","",Y243-W243)</f>
        <v/>
      </c>
      <c r="Y243" s="7">
        <f>IF($AA243="","",R243+U243+P243)</f>
        <v/>
      </c>
      <c r="Z243" s="7">
        <f>IF($AA243="","",Y243-W243-L243)</f>
        <v/>
      </c>
      <c r="AA243" s="13">
        <f>IF(ROWS($AA$2:$AA243)&lt;=MAX('Per Line'!$AO$2:$AO$4001),MATCH(ROWS($AA$2:$AA243),'Per Line'!$AO$2:$AO$4001,0),"")</f>
        <v/>
      </c>
      <c r="AB243" s="14">
        <f>IF($AA243="","",L243-K243*Y243/100)</f>
        <v/>
      </c>
    </row>
    <row r="244">
      <c r="A244" s="12" t="n"/>
      <c r="B244">
        <f>IF($AA244="","",INDEX('Per Line'!$E$2:$E$4001,$AA244)&amp;"")</f>
        <v/>
      </c>
      <c r="C244">
        <f>IF($AA244="","",INDEX('Per Line'!$A$2:$A$4001,$AA244)&amp;"")</f>
        <v/>
      </c>
      <c r="D244">
        <f>IF($AA244="","",INDEX('Per Line'!$D$2:$D$4001,$AA244)&amp;"")</f>
        <v/>
      </c>
      <c r="E244" s="11">
        <f>IF($AA244="","",INDEX('Per Line'!$G$2:$G$4001,$AA244))</f>
        <v/>
      </c>
      <c r="F244">
        <f>IF($AA244="","",INDEX('Per Line'!$H$2:$H$4001,$AA244)&amp;"")</f>
        <v/>
      </c>
      <c r="G244">
        <f>IF($AA244="","",INDEX('Per Line'!$I$2:$I$4001,$AA244)&amp;"")</f>
        <v/>
      </c>
      <c r="H244">
        <f>IF($AA244="","",INDEX('Per Line'!$J$2:$J$4001,$AA244)&amp;"")</f>
        <v/>
      </c>
      <c r="I244">
        <f>IF($AA244="","",INDEX('Per Line'!$K$2:$K$4001,$AA244)&amp;"")</f>
        <v/>
      </c>
      <c r="J244">
        <f>IF($AA244="","",INDEX('Per Line'!$L$2:$L$4001,$AA244)&amp;"")</f>
        <v/>
      </c>
      <c r="K244">
        <f>IF($AA244="","",INDEX('Per Line'!$P$2:$P$4001,$AA244))</f>
        <v/>
      </c>
      <c r="L244" s="7">
        <f>IF($AA244="","",IF(AND(ISNUMBER(N244),N244&gt;0,Y244&gt;N244),K244*N244/100+(Y244-N244),K244*Y244/100))</f>
        <v/>
      </c>
      <c r="M244">
        <f>IF($AA244="","",INDEX('Per Line'!$Z$2:$Z$4001,$AA244)&amp;"")</f>
        <v/>
      </c>
      <c r="N244">
        <f>IF($AA244="","",INDEX('Per Line'!$AG$2:$AG$4001,$AA244))</f>
        <v/>
      </c>
      <c r="O244">
        <f>IF($AA244="","",IF(AND(ISNUMBER(N244),N244&gt;0),Y244&gt;N244,FALSE))</f>
        <v/>
      </c>
      <c r="P244" s="7">
        <f>IF($AA244="","",SUMIFS('Per Line'!$Y$2:$Y$4001,'Per Line'!$E$2:$E$4001,$B244,'Per Line'!$AQ$2:$AQ$4001,1))</f>
        <v/>
      </c>
      <c r="Q244">
        <f>IF($AA244="","",Settings!$C$7)</f>
        <v/>
      </c>
      <c r="R244" s="7">
        <f>IF($AA244="","",SUMIFS('Per Line'!$Y$2:$Y$4001,'Per Line'!$E$2:$E$4001,$B244,'Per Line'!$AP$2:$AP$4001,0,'Per Line'!$AQ$2:$AQ$4001,0))</f>
        <v/>
      </c>
      <c r="S244" s="7">
        <f>IF($AA244="","",R244*Q244)</f>
        <v/>
      </c>
      <c r="T244">
        <f>IF($AA244="","",Settings!$C$6)</f>
        <v/>
      </c>
      <c r="U244" s="7">
        <f>IF($AA244="","",SUMIFS('Per Line'!$Y$2:$Y$4001,'Per Line'!$E$2:$E$4001,$B244,'Per Line'!$AP$2:$AP$4001,1,'Per Line'!$AQ$2:$AQ$4001,0))</f>
        <v/>
      </c>
      <c r="V244" s="7">
        <f>IF($AA244="","",U244*T244)</f>
        <v/>
      </c>
      <c r="W244" s="7">
        <f>IF($AA244="","",V244+S244)</f>
        <v/>
      </c>
      <c r="X244" s="7">
        <f>IF($AA244="","",Y244-W244)</f>
        <v/>
      </c>
      <c r="Y244" s="7">
        <f>IF($AA244="","",R244+U244+P244)</f>
        <v/>
      </c>
      <c r="Z244" s="7">
        <f>IF($AA244="","",Y244-W244-L244)</f>
        <v/>
      </c>
      <c r="AA244" s="13">
        <f>IF(ROWS($AA$2:$AA244)&lt;=MAX('Per Line'!$AO$2:$AO$4001),MATCH(ROWS($AA$2:$AA244),'Per Line'!$AO$2:$AO$4001,0),"")</f>
        <v/>
      </c>
      <c r="AB244" s="14">
        <f>IF($AA244="","",L244-K244*Y244/100)</f>
        <v/>
      </c>
    </row>
    <row r="245">
      <c r="A245" s="12" t="n"/>
      <c r="B245">
        <f>IF($AA245="","",INDEX('Per Line'!$E$2:$E$4001,$AA245)&amp;"")</f>
        <v/>
      </c>
      <c r="C245">
        <f>IF($AA245="","",INDEX('Per Line'!$A$2:$A$4001,$AA245)&amp;"")</f>
        <v/>
      </c>
      <c r="D245">
        <f>IF($AA245="","",INDEX('Per Line'!$D$2:$D$4001,$AA245)&amp;"")</f>
        <v/>
      </c>
      <c r="E245" s="11">
        <f>IF($AA245="","",INDEX('Per Line'!$G$2:$G$4001,$AA245))</f>
        <v/>
      </c>
      <c r="F245">
        <f>IF($AA245="","",INDEX('Per Line'!$H$2:$H$4001,$AA245)&amp;"")</f>
        <v/>
      </c>
      <c r="G245">
        <f>IF($AA245="","",INDEX('Per Line'!$I$2:$I$4001,$AA245)&amp;"")</f>
        <v/>
      </c>
      <c r="H245">
        <f>IF($AA245="","",INDEX('Per Line'!$J$2:$J$4001,$AA245)&amp;"")</f>
        <v/>
      </c>
      <c r="I245">
        <f>IF($AA245="","",INDEX('Per Line'!$K$2:$K$4001,$AA245)&amp;"")</f>
        <v/>
      </c>
      <c r="J245">
        <f>IF($AA245="","",INDEX('Per Line'!$L$2:$L$4001,$AA245)&amp;"")</f>
        <v/>
      </c>
      <c r="K245">
        <f>IF($AA245="","",INDEX('Per Line'!$P$2:$P$4001,$AA245))</f>
        <v/>
      </c>
      <c r="L245" s="7">
        <f>IF($AA245="","",IF(AND(ISNUMBER(N245),N245&gt;0,Y245&gt;N245),K245*N245/100+(Y245-N245),K245*Y245/100))</f>
        <v/>
      </c>
      <c r="M245">
        <f>IF($AA245="","",INDEX('Per Line'!$Z$2:$Z$4001,$AA245)&amp;"")</f>
        <v/>
      </c>
      <c r="N245">
        <f>IF($AA245="","",INDEX('Per Line'!$AG$2:$AG$4001,$AA245))</f>
        <v/>
      </c>
      <c r="O245">
        <f>IF($AA245="","",IF(AND(ISNUMBER(N245),N245&gt;0),Y245&gt;N245,FALSE))</f>
        <v/>
      </c>
      <c r="P245" s="7">
        <f>IF($AA245="","",SUMIFS('Per Line'!$Y$2:$Y$4001,'Per Line'!$E$2:$E$4001,$B245,'Per Line'!$AQ$2:$AQ$4001,1))</f>
        <v/>
      </c>
      <c r="Q245">
        <f>IF($AA245="","",Settings!$C$7)</f>
        <v/>
      </c>
      <c r="R245" s="7">
        <f>IF($AA245="","",SUMIFS('Per Line'!$Y$2:$Y$4001,'Per Line'!$E$2:$E$4001,$B245,'Per Line'!$AP$2:$AP$4001,0,'Per Line'!$AQ$2:$AQ$4001,0))</f>
        <v/>
      </c>
      <c r="S245" s="7">
        <f>IF($AA245="","",R245*Q245)</f>
        <v/>
      </c>
      <c r="T245">
        <f>IF($AA245="","",Settings!$C$6)</f>
        <v/>
      </c>
      <c r="U245" s="7">
        <f>IF($AA245="","",SUMIFS('Per Line'!$Y$2:$Y$4001,'Per Line'!$E$2:$E$4001,$B245,'Per Line'!$AP$2:$AP$4001,1,'Per Line'!$AQ$2:$AQ$4001,0))</f>
        <v/>
      </c>
      <c r="V245" s="7">
        <f>IF($AA245="","",U245*T245)</f>
        <v/>
      </c>
      <c r="W245" s="7">
        <f>IF($AA245="","",V245+S245)</f>
        <v/>
      </c>
      <c r="X245" s="7">
        <f>IF($AA245="","",Y245-W245)</f>
        <v/>
      </c>
      <c r="Y245" s="7">
        <f>IF($AA245="","",R245+U245+P245)</f>
        <v/>
      </c>
      <c r="Z245" s="7">
        <f>IF($AA245="","",Y245-W245-L245)</f>
        <v/>
      </c>
      <c r="AA245" s="13">
        <f>IF(ROWS($AA$2:$AA245)&lt;=MAX('Per Line'!$AO$2:$AO$4001),MATCH(ROWS($AA$2:$AA245),'Per Line'!$AO$2:$AO$4001,0),"")</f>
        <v/>
      </c>
      <c r="AB245" s="14">
        <f>IF($AA245="","",L245-K245*Y245/100)</f>
        <v/>
      </c>
    </row>
    <row r="246">
      <c r="A246" s="12" t="n"/>
      <c r="B246">
        <f>IF($AA246="","",INDEX('Per Line'!$E$2:$E$4001,$AA246)&amp;"")</f>
        <v/>
      </c>
      <c r="C246">
        <f>IF($AA246="","",INDEX('Per Line'!$A$2:$A$4001,$AA246)&amp;"")</f>
        <v/>
      </c>
      <c r="D246">
        <f>IF($AA246="","",INDEX('Per Line'!$D$2:$D$4001,$AA246)&amp;"")</f>
        <v/>
      </c>
      <c r="E246" s="11">
        <f>IF($AA246="","",INDEX('Per Line'!$G$2:$G$4001,$AA246))</f>
        <v/>
      </c>
      <c r="F246">
        <f>IF($AA246="","",INDEX('Per Line'!$H$2:$H$4001,$AA246)&amp;"")</f>
        <v/>
      </c>
      <c r="G246">
        <f>IF($AA246="","",INDEX('Per Line'!$I$2:$I$4001,$AA246)&amp;"")</f>
        <v/>
      </c>
      <c r="H246">
        <f>IF($AA246="","",INDEX('Per Line'!$J$2:$J$4001,$AA246)&amp;"")</f>
        <v/>
      </c>
      <c r="I246">
        <f>IF($AA246="","",INDEX('Per Line'!$K$2:$K$4001,$AA246)&amp;"")</f>
        <v/>
      </c>
      <c r="J246">
        <f>IF($AA246="","",INDEX('Per Line'!$L$2:$L$4001,$AA246)&amp;"")</f>
        <v/>
      </c>
      <c r="K246">
        <f>IF($AA246="","",INDEX('Per Line'!$P$2:$P$4001,$AA246))</f>
        <v/>
      </c>
      <c r="L246" s="7">
        <f>IF($AA246="","",IF(AND(ISNUMBER(N246),N246&gt;0,Y246&gt;N246),K246*N246/100+(Y246-N246),K246*Y246/100))</f>
        <v/>
      </c>
      <c r="M246">
        <f>IF($AA246="","",INDEX('Per Line'!$Z$2:$Z$4001,$AA246)&amp;"")</f>
        <v/>
      </c>
      <c r="N246">
        <f>IF($AA246="","",INDEX('Per Line'!$AG$2:$AG$4001,$AA246))</f>
        <v/>
      </c>
      <c r="O246">
        <f>IF($AA246="","",IF(AND(ISNUMBER(N246),N246&gt;0),Y246&gt;N246,FALSE))</f>
        <v/>
      </c>
      <c r="P246" s="7">
        <f>IF($AA246="","",SUMIFS('Per Line'!$Y$2:$Y$4001,'Per Line'!$E$2:$E$4001,$B246,'Per Line'!$AQ$2:$AQ$4001,1))</f>
        <v/>
      </c>
      <c r="Q246">
        <f>IF($AA246="","",Settings!$C$7)</f>
        <v/>
      </c>
      <c r="R246" s="7">
        <f>IF($AA246="","",SUMIFS('Per Line'!$Y$2:$Y$4001,'Per Line'!$E$2:$E$4001,$B246,'Per Line'!$AP$2:$AP$4001,0,'Per Line'!$AQ$2:$AQ$4001,0))</f>
        <v/>
      </c>
      <c r="S246" s="7">
        <f>IF($AA246="","",R246*Q246)</f>
        <v/>
      </c>
      <c r="T246">
        <f>IF($AA246="","",Settings!$C$6)</f>
        <v/>
      </c>
      <c r="U246" s="7">
        <f>IF($AA246="","",SUMIFS('Per Line'!$Y$2:$Y$4001,'Per Line'!$E$2:$E$4001,$B246,'Per Line'!$AP$2:$AP$4001,1,'Per Line'!$AQ$2:$AQ$4001,0))</f>
        <v/>
      </c>
      <c r="V246" s="7">
        <f>IF($AA246="","",U246*T246)</f>
        <v/>
      </c>
      <c r="W246" s="7">
        <f>IF($AA246="","",V246+S246)</f>
        <v/>
      </c>
      <c r="X246" s="7">
        <f>IF($AA246="","",Y246-W246)</f>
        <v/>
      </c>
      <c r="Y246" s="7">
        <f>IF($AA246="","",R246+U246+P246)</f>
        <v/>
      </c>
      <c r="Z246" s="7">
        <f>IF($AA246="","",Y246-W246-L246)</f>
        <v/>
      </c>
      <c r="AA246" s="13">
        <f>IF(ROWS($AA$2:$AA246)&lt;=MAX('Per Line'!$AO$2:$AO$4001),MATCH(ROWS($AA$2:$AA246),'Per Line'!$AO$2:$AO$4001,0),"")</f>
        <v/>
      </c>
      <c r="AB246" s="14">
        <f>IF($AA246="","",L246-K246*Y246/100)</f>
        <v/>
      </c>
    </row>
    <row r="247">
      <c r="A247" s="12" t="n"/>
      <c r="B247">
        <f>IF($AA247="","",INDEX('Per Line'!$E$2:$E$4001,$AA247)&amp;"")</f>
        <v/>
      </c>
      <c r="C247">
        <f>IF($AA247="","",INDEX('Per Line'!$A$2:$A$4001,$AA247)&amp;"")</f>
        <v/>
      </c>
      <c r="D247">
        <f>IF($AA247="","",INDEX('Per Line'!$D$2:$D$4001,$AA247)&amp;"")</f>
        <v/>
      </c>
      <c r="E247" s="11">
        <f>IF($AA247="","",INDEX('Per Line'!$G$2:$G$4001,$AA247))</f>
        <v/>
      </c>
      <c r="F247">
        <f>IF($AA247="","",INDEX('Per Line'!$H$2:$H$4001,$AA247)&amp;"")</f>
        <v/>
      </c>
      <c r="G247">
        <f>IF($AA247="","",INDEX('Per Line'!$I$2:$I$4001,$AA247)&amp;"")</f>
        <v/>
      </c>
      <c r="H247">
        <f>IF($AA247="","",INDEX('Per Line'!$J$2:$J$4001,$AA247)&amp;"")</f>
        <v/>
      </c>
      <c r="I247">
        <f>IF($AA247="","",INDEX('Per Line'!$K$2:$K$4001,$AA247)&amp;"")</f>
        <v/>
      </c>
      <c r="J247">
        <f>IF($AA247="","",INDEX('Per Line'!$L$2:$L$4001,$AA247)&amp;"")</f>
        <v/>
      </c>
      <c r="K247">
        <f>IF($AA247="","",INDEX('Per Line'!$P$2:$P$4001,$AA247))</f>
        <v/>
      </c>
      <c r="L247" s="7">
        <f>IF($AA247="","",IF(AND(ISNUMBER(N247),N247&gt;0,Y247&gt;N247),K247*N247/100+(Y247-N247),K247*Y247/100))</f>
        <v/>
      </c>
      <c r="M247">
        <f>IF($AA247="","",INDEX('Per Line'!$Z$2:$Z$4001,$AA247)&amp;"")</f>
        <v/>
      </c>
      <c r="N247">
        <f>IF($AA247="","",INDEX('Per Line'!$AG$2:$AG$4001,$AA247))</f>
        <v/>
      </c>
      <c r="O247">
        <f>IF($AA247="","",IF(AND(ISNUMBER(N247),N247&gt;0),Y247&gt;N247,FALSE))</f>
        <v/>
      </c>
      <c r="P247" s="7">
        <f>IF($AA247="","",SUMIFS('Per Line'!$Y$2:$Y$4001,'Per Line'!$E$2:$E$4001,$B247,'Per Line'!$AQ$2:$AQ$4001,1))</f>
        <v/>
      </c>
      <c r="Q247">
        <f>IF($AA247="","",Settings!$C$7)</f>
        <v/>
      </c>
      <c r="R247" s="7">
        <f>IF($AA247="","",SUMIFS('Per Line'!$Y$2:$Y$4001,'Per Line'!$E$2:$E$4001,$B247,'Per Line'!$AP$2:$AP$4001,0,'Per Line'!$AQ$2:$AQ$4001,0))</f>
        <v/>
      </c>
      <c r="S247" s="7">
        <f>IF($AA247="","",R247*Q247)</f>
        <v/>
      </c>
      <c r="T247">
        <f>IF($AA247="","",Settings!$C$6)</f>
        <v/>
      </c>
      <c r="U247" s="7">
        <f>IF($AA247="","",SUMIFS('Per Line'!$Y$2:$Y$4001,'Per Line'!$E$2:$E$4001,$B247,'Per Line'!$AP$2:$AP$4001,1,'Per Line'!$AQ$2:$AQ$4001,0))</f>
        <v/>
      </c>
      <c r="V247" s="7">
        <f>IF($AA247="","",U247*T247)</f>
        <v/>
      </c>
      <c r="W247" s="7">
        <f>IF($AA247="","",V247+S247)</f>
        <v/>
      </c>
      <c r="X247" s="7">
        <f>IF($AA247="","",Y247-W247)</f>
        <v/>
      </c>
      <c r="Y247" s="7">
        <f>IF($AA247="","",R247+U247+P247)</f>
        <v/>
      </c>
      <c r="Z247" s="7">
        <f>IF($AA247="","",Y247-W247-L247)</f>
        <v/>
      </c>
      <c r="AA247" s="13">
        <f>IF(ROWS($AA$2:$AA247)&lt;=MAX('Per Line'!$AO$2:$AO$4001),MATCH(ROWS($AA$2:$AA247),'Per Line'!$AO$2:$AO$4001,0),"")</f>
        <v/>
      </c>
      <c r="AB247" s="14">
        <f>IF($AA247="","",L247-K247*Y247/100)</f>
        <v/>
      </c>
    </row>
    <row r="248">
      <c r="A248" s="12" t="n"/>
      <c r="B248">
        <f>IF($AA248="","",INDEX('Per Line'!$E$2:$E$4001,$AA248)&amp;"")</f>
        <v/>
      </c>
      <c r="C248">
        <f>IF($AA248="","",INDEX('Per Line'!$A$2:$A$4001,$AA248)&amp;"")</f>
        <v/>
      </c>
      <c r="D248">
        <f>IF($AA248="","",INDEX('Per Line'!$D$2:$D$4001,$AA248)&amp;"")</f>
        <v/>
      </c>
      <c r="E248" s="11">
        <f>IF($AA248="","",INDEX('Per Line'!$G$2:$G$4001,$AA248))</f>
        <v/>
      </c>
      <c r="F248">
        <f>IF($AA248="","",INDEX('Per Line'!$H$2:$H$4001,$AA248)&amp;"")</f>
        <v/>
      </c>
      <c r="G248">
        <f>IF($AA248="","",INDEX('Per Line'!$I$2:$I$4001,$AA248)&amp;"")</f>
        <v/>
      </c>
      <c r="H248">
        <f>IF($AA248="","",INDEX('Per Line'!$J$2:$J$4001,$AA248)&amp;"")</f>
        <v/>
      </c>
      <c r="I248">
        <f>IF($AA248="","",INDEX('Per Line'!$K$2:$K$4001,$AA248)&amp;"")</f>
        <v/>
      </c>
      <c r="J248">
        <f>IF($AA248="","",INDEX('Per Line'!$L$2:$L$4001,$AA248)&amp;"")</f>
        <v/>
      </c>
      <c r="K248">
        <f>IF($AA248="","",INDEX('Per Line'!$P$2:$P$4001,$AA248))</f>
        <v/>
      </c>
      <c r="L248" s="7">
        <f>IF($AA248="","",IF(AND(ISNUMBER(N248),N248&gt;0,Y248&gt;N248),K248*N248/100+(Y248-N248),K248*Y248/100))</f>
        <v/>
      </c>
      <c r="M248">
        <f>IF($AA248="","",INDEX('Per Line'!$Z$2:$Z$4001,$AA248)&amp;"")</f>
        <v/>
      </c>
      <c r="N248">
        <f>IF($AA248="","",INDEX('Per Line'!$AG$2:$AG$4001,$AA248))</f>
        <v/>
      </c>
      <c r="O248">
        <f>IF($AA248="","",IF(AND(ISNUMBER(N248),N248&gt;0),Y248&gt;N248,FALSE))</f>
        <v/>
      </c>
      <c r="P248" s="7">
        <f>IF($AA248="","",SUMIFS('Per Line'!$Y$2:$Y$4001,'Per Line'!$E$2:$E$4001,$B248,'Per Line'!$AQ$2:$AQ$4001,1))</f>
        <v/>
      </c>
      <c r="Q248">
        <f>IF($AA248="","",Settings!$C$7)</f>
        <v/>
      </c>
      <c r="R248" s="7">
        <f>IF($AA248="","",SUMIFS('Per Line'!$Y$2:$Y$4001,'Per Line'!$E$2:$E$4001,$B248,'Per Line'!$AP$2:$AP$4001,0,'Per Line'!$AQ$2:$AQ$4001,0))</f>
        <v/>
      </c>
      <c r="S248" s="7">
        <f>IF($AA248="","",R248*Q248)</f>
        <v/>
      </c>
      <c r="T248">
        <f>IF($AA248="","",Settings!$C$6)</f>
        <v/>
      </c>
      <c r="U248" s="7">
        <f>IF($AA248="","",SUMIFS('Per Line'!$Y$2:$Y$4001,'Per Line'!$E$2:$E$4001,$B248,'Per Line'!$AP$2:$AP$4001,1,'Per Line'!$AQ$2:$AQ$4001,0))</f>
        <v/>
      </c>
      <c r="V248" s="7">
        <f>IF($AA248="","",U248*T248)</f>
        <v/>
      </c>
      <c r="W248" s="7">
        <f>IF($AA248="","",V248+S248)</f>
        <v/>
      </c>
      <c r="X248" s="7">
        <f>IF($AA248="","",Y248-W248)</f>
        <v/>
      </c>
      <c r="Y248" s="7">
        <f>IF($AA248="","",R248+U248+P248)</f>
        <v/>
      </c>
      <c r="Z248" s="7">
        <f>IF($AA248="","",Y248-W248-L248)</f>
        <v/>
      </c>
      <c r="AA248" s="13">
        <f>IF(ROWS($AA$2:$AA248)&lt;=MAX('Per Line'!$AO$2:$AO$4001),MATCH(ROWS($AA$2:$AA248),'Per Line'!$AO$2:$AO$4001,0),"")</f>
        <v/>
      </c>
      <c r="AB248" s="14">
        <f>IF($AA248="","",L248-K248*Y248/100)</f>
        <v/>
      </c>
    </row>
    <row r="249">
      <c r="A249" s="12" t="n"/>
      <c r="B249">
        <f>IF($AA249="","",INDEX('Per Line'!$E$2:$E$4001,$AA249)&amp;"")</f>
        <v/>
      </c>
      <c r="C249">
        <f>IF($AA249="","",INDEX('Per Line'!$A$2:$A$4001,$AA249)&amp;"")</f>
        <v/>
      </c>
      <c r="D249">
        <f>IF($AA249="","",INDEX('Per Line'!$D$2:$D$4001,$AA249)&amp;"")</f>
        <v/>
      </c>
      <c r="E249" s="11">
        <f>IF($AA249="","",INDEX('Per Line'!$G$2:$G$4001,$AA249))</f>
        <v/>
      </c>
      <c r="F249">
        <f>IF($AA249="","",INDEX('Per Line'!$H$2:$H$4001,$AA249)&amp;"")</f>
        <v/>
      </c>
      <c r="G249">
        <f>IF($AA249="","",INDEX('Per Line'!$I$2:$I$4001,$AA249)&amp;"")</f>
        <v/>
      </c>
      <c r="H249">
        <f>IF($AA249="","",INDEX('Per Line'!$J$2:$J$4001,$AA249)&amp;"")</f>
        <v/>
      </c>
      <c r="I249">
        <f>IF($AA249="","",INDEX('Per Line'!$K$2:$K$4001,$AA249)&amp;"")</f>
        <v/>
      </c>
      <c r="J249">
        <f>IF($AA249="","",INDEX('Per Line'!$L$2:$L$4001,$AA249)&amp;"")</f>
        <v/>
      </c>
      <c r="K249">
        <f>IF($AA249="","",INDEX('Per Line'!$P$2:$P$4001,$AA249))</f>
        <v/>
      </c>
      <c r="L249" s="7">
        <f>IF($AA249="","",IF(AND(ISNUMBER(N249),N249&gt;0,Y249&gt;N249),K249*N249/100+(Y249-N249),K249*Y249/100))</f>
        <v/>
      </c>
      <c r="M249">
        <f>IF($AA249="","",INDEX('Per Line'!$Z$2:$Z$4001,$AA249)&amp;"")</f>
        <v/>
      </c>
      <c r="N249">
        <f>IF($AA249="","",INDEX('Per Line'!$AG$2:$AG$4001,$AA249))</f>
        <v/>
      </c>
      <c r="O249">
        <f>IF($AA249="","",IF(AND(ISNUMBER(N249),N249&gt;0),Y249&gt;N249,FALSE))</f>
        <v/>
      </c>
      <c r="P249" s="7">
        <f>IF($AA249="","",SUMIFS('Per Line'!$Y$2:$Y$4001,'Per Line'!$E$2:$E$4001,$B249,'Per Line'!$AQ$2:$AQ$4001,1))</f>
        <v/>
      </c>
      <c r="Q249">
        <f>IF($AA249="","",Settings!$C$7)</f>
        <v/>
      </c>
      <c r="R249" s="7">
        <f>IF($AA249="","",SUMIFS('Per Line'!$Y$2:$Y$4001,'Per Line'!$E$2:$E$4001,$B249,'Per Line'!$AP$2:$AP$4001,0,'Per Line'!$AQ$2:$AQ$4001,0))</f>
        <v/>
      </c>
      <c r="S249" s="7">
        <f>IF($AA249="","",R249*Q249)</f>
        <v/>
      </c>
      <c r="T249">
        <f>IF($AA249="","",Settings!$C$6)</f>
        <v/>
      </c>
      <c r="U249" s="7">
        <f>IF($AA249="","",SUMIFS('Per Line'!$Y$2:$Y$4001,'Per Line'!$E$2:$E$4001,$B249,'Per Line'!$AP$2:$AP$4001,1,'Per Line'!$AQ$2:$AQ$4001,0))</f>
        <v/>
      </c>
      <c r="V249" s="7">
        <f>IF($AA249="","",U249*T249)</f>
        <v/>
      </c>
      <c r="W249" s="7">
        <f>IF($AA249="","",V249+S249)</f>
        <v/>
      </c>
      <c r="X249" s="7">
        <f>IF($AA249="","",Y249-W249)</f>
        <v/>
      </c>
      <c r="Y249" s="7">
        <f>IF($AA249="","",R249+U249+P249)</f>
        <v/>
      </c>
      <c r="Z249" s="7">
        <f>IF($AA249="","",Y249-W249-L249)</f>
        <v/>
      </c>
      <c r="AA249" s="13">
        <f>IF(ROWS($AA$2:$AA249)&lt;=MAX('Per Line'!$AO$2:$AO$4001),MATCH(ROWS($AA$2:$AA249),'Per Line'!$AO$2:$AO$4001,0),"")</f>
        <v/>
      </c>
      <c r="AB249" s="14">
        <f>IF($AA249="","",L249-K249*Y249/100)</f>
        <v/>
      </c>
    </row>
    <row r="250">
      <c r="A250" s="12" t="n"/>
      <c r="B250">
        <f>IF($AA250="","",INDEX('Per Line'!$E$2:$E$4001,$AA250)&amp;"")</f>
        <v/>
      </c>
      <c r="C250">
        <f>IF($AA250="","",INDEX('Per Line'!$A$2:$A$4001,$AA250)&amp;"")</f>
        <v/>
      </c>
      <c r="D250">
        <f>IF($AA250="","",INDEX('Per Line'!$D$2:$D$4001,$AA250)&amp;"")</f>
        <v/>
      </c>
      <c r="E250" s="11">
        <f>IF($AA250="","",INDEX('Per Line'!$G$2:$G$4001,$AA250))</f>
        <v/>
      </c>
      <c r="F250">
        <f>IF($AA250="","",INDEX('Per Line'!$H$2:$H$4001,$AA250)&amp;"")</f>
        <v/>
      </c>
      <c r="G250">
        <f>IF($AA250="","",INDEX('Per Line'!$I$2:$I$4001,$AA250)&amp;"")</f>
        <v/>
      </c>
      <c r="H250">
        <f>IF($AA250="","",INDEX('Per Line'!$J$2:$J$4001,$AA250)&amp;"")</f>
        <v/>
      </c>
      <c r="I250">
        <f>IF($AA250="","",INDEX('Per Line'!$K$2:$K$4001,$AA250)&amp;"")</f>
        <v/>
      </c>
      <c r="J250">
        <f>IF($AA250="","",INDEX('Per Line'!$L$2:$L$4001,$AA250)&amp;"")</f>
        <v/>
      </c>
      <c r="K250">
        <f>IF($AA250="","",INDEX('Per Line'!$P$2:$P$4001,$AA250))</f>
        <v/>
      </c>
      <c r="L250" s="7">
        <f>IF($AA250="","",IF(AND(ISNUMBER(N250),N250&gt;0,Y250&gt;N250),K250*N250/100+(Y250-N250),K250*Y250/100))</f>
        <v/>
      </c>
      <c r="M250">
        <f>IF($AA250="","",INDEX('Per Line'!$Z$2:$Z$4001,$AA250)&amp;"")</f>
        <v/>
      </c>
      <c r="N250">
        <f>IF($AA250="","",INDEX('Per Line'!$AG$2:$AG$4001,$AA250))</f>
        <v/>
      </c>
      <c r="O250">
        <f>IF($AA250="","",IF(AND(ISNUMBER(N250),N250&gt;0),Y250&gt;N250,FALSE))</f>
        <v/>
      </c>
      <c r="P250" s="7">
        <f>IF($AA250="","",SUMIFS('Per Line'!$Y$2:$Y$4001,'Per Line'!$E$2:$E$4001,$B250,'Per Line'!$AQ$2:$AQ$4001,1))</f>
        <v/>
      </c>
      <c r="Q250">
        <f>IF($AA250="","",Settings!$C$7)</f>
        <v/>
      </c>
      <c r="R250" s="7">
        <f>IF($AA250="","",SUMIFS('Per Line'!$Y$2:$Y$4001,'Per Line'!$E$2:$E$4001,$B250,'Per Line'!$AP$2:$AP$4001,0,'Per Line'!$AQ$2:$AQ$4001,0))</f>
        <v/>
      </c>
      <c r="S250" s="7">
        <f>IF($AA250="","",R250*Q250)</f>
        <v/>
      </c>
      <c r="T250">
        <f>IF($AA250="","",Settings!$C$6)</f>
        <v/>
      </c>
      <c r="U250" s="7">
        <f>IF($AA250="","",SUMIFS('Per Line'!$Y$2:$Y$4001,'Per Line'!$E$2:$E$4001,$B250,'Per Line'!$AP$2:$AP$4001,1,'Per Line'!$AQ$2:$AQ$4001,0))</f>
        <v/>
      </c>
      <c r="V250" s="7">
        <f>IF($AA250="","",U250*T250)</f>
        <v/>
      </c>
      <c r="W250" s="7">
        <f>IF($AA250="","",V250+S250)</f>
        <v/>
      </c>
      <c r="X250" s="7">
        <f>IF($AA250="","",Y250-W250)</f>
        <v/>
      </c>
      <c r="Y250" s="7">
        <f>IF($AA250="","",R250+U250+P250)</f>
        <v/>
      </c>
      <c r="Z250" s="7">
        <f>IF($AA250="","",Y250-W250-L250)</f>
        <v/>
      </c>
      <c r="AA250" s="13">
        <f>IF(ROWS($AA$2:$AA250)&lt;=MAX('Per Line'!$AO$2:$AO$4001),MATCH(ROWS($AA$2:$AA250),'Per Line'!$AO$2:$AO$4001,0),"")</f>
        <v/>
      </c>
      <c r="AB250" s="14">
        <f>IF($AA250="","",L250-K250*Y250/100)</f>
        <v/>
      </c>
    </row>
    <row r="251">
      <c r="A251" s="12" t="n"/>
      <c r="B251">
        <f>IF($AA251="","",INDEX('Per Line'!$E$2:$E$4001,$AA251)&amp;"")</f>
        <v/>
      </c>
      <c r="C251">
        <f>IF($AA251="","",INDEX('Per Line'!$A$2:$A$4001,$AA251)&amp;"")</f>
        <v/>
      </c>
      <c r="D251">
        <f>IF($AA251="","",INDEX('Per Line'!$D$2:$D$4001,$AA251)&amp;"")</f>
        <v/>
      </c>
      <c r="E251" s="11">
        <f>IF($AA251="","",INDEX('Per Line'!$G$2:$G$4001,$AA251))</f>
        <v/>
      </c>
      <c r="F251">
        <f>IF($AA251="","",INDEX('Per Line'!$H$2:$H$4001,$AA251)&amp;"")</f>
        <v/>
      </c>
      <c r="G251">
        <f>IF($AA251="","",INDEX('Per Line'!$I$2:$I$4001,$AA251)&amp;"")</f>
        <v/>
      </c>
      <c r="H251">
        <f>IF($AA251="","",INDEX('Per Line'!$J$2:$J$4001,$AA251)&amp;"")</f>
        <v/>
      </c>
      <c r="I251">
        <f>IF($AA251="","",INDEX('Per Line'!$K$2:$K$4001,$AA251)&amp;"")</f>
        <v/>
      </c>
      <c r="J251">
        <f>IF($AA251="","",INDEX('Per Line'!$L$2:$L$4001,$AA251)&amp;"")</f>
        <v/>
      </c>
      <c r="K251">
        <f>IF($AA251="","",INDEX('Per Line'!$P$2:$P$4001,$AA251))</f>
        <v/>
      </c>
      <c r="L251" s="7">
        <f>IF($AA251="","",IF(AND(ISNUMBER(N251),N251&gt;0,Y251&gt;N251),K251*N251/100+(Y251-N251),K251*Y251/100))</f>
        <v/>
      </c>
      <c r="M251">
        <f>IF($AA251="","",INDEX('Per Line'!$Z$2:$Z$4001,$AA251)&amp;"")</f>
        <v/>
      </c>
      <c r="N251">
        <f>IF($AA251="","",INDEX('Per Line'!$AG$2:$AG$4001,$AA251))</f>
        <v/>
      </c>
      <c r="O251">
        <f>IF($AA251="","",IF(AND(ISNUMBER(N251),N251&gt;0),Y251&gt;N251,FALSE))</f>
        <v/>
      </c>
      <c r="P251" s="7">
        <f>IF($AA251="","",SUMIFS('Per Line'!$Y$2:$Y$4001,'Per Line'!$E$2:$E$4001,$B251,'Per Line'!$AQ$2:$AQ$4001,1))</f>
        <v/>
      </c>
      <c r="Q251">
        <f>IF($AA251="","",Settings!$C$7)</f>
        <v/>
      </c>
      <c r="R251" s="7">
        <f>IF($AA251="","",SUMIFS('Per Line'!$Y$2:$Y$4001,'Per Line'!$E$2:$E$4001,$B251,'Per Line'!$AP$2:$AP$4001,0,'Per Line'!$AQ$2:$AQ$4001,0))</f>
        <v/>
      </c>
      <c r="S251" s="7">
        <f>IF($AA251="","",R251*Q251)</f>
        <v/>
      </c>
      <c r="T251">
        <f>IF($AA251="","",Settings!$C$6)</f>
        <v/>
      </c>
      <c r="U251" s="7">
        <f>IF($AA251="","",SUMIFS('Per Line'!$Y$2:$Y$4001,'Per Line'!$E$2:$E$4001,$B251,'Per Line'!$AP$2:$AP$4001,1,'Per Line'!$AQ$2:$AQ$4001,0))</f>
        <v/>
      </c>
      <c r="V251" s="7">
        <f>IF($AA251="","",U251*T251)</f>
        <v/>
      </c>
      <c r="W251" s="7">
        <f>IF($AA251="","",V251+S251)</f>
        <v/>
      </c>
      <c r="X251" s="7">
        <f>IF($AA251="","",Y251-W251)</f>
        <v/>
      </c>
      <c r="Y251" s="7">
        <f>IF($AA251="","",R251+U251+P251)</f>
        <v/>
      </c>
      <c r="Z251" s="7">
        <f>IF($AA251="","",Y251-W251-L251)</f>
        <v/>
      </c>
      <c r="AA251" s="13">
        <f>IF(ROWS($AA$2:$AA251)&lt;=MAX('Per Line'!$AO$2:$AO$4001),MATCH(ROWS($AA$2:$AA251),'Per Line'!$AO$2:$AO$4001,0),"")</f>
        <v/>
      </c>
      <c r="AB251" s="14">
        <f>IF($AA251="","",L251-K251*Y251/100)</f>
        <v/>
      </c>
    </row>
    <row r="252">
      <c r="A252" s="12" t="n"/>
      <c r="B252">
        <f>IF($AA252="","",INDEX('Per Line'!$E$2:$E$4001,$AA252)&amp;"")</f>
        <v/>
      </c>
      <c r="C252">
        <f>IF($AA252="","",INDEX('Per Line'!$A$2:$A$4001,$AA252)&amp;"")</f>
        <v/>
      </c>
      <c r="D252">
        <f>IF($AA252="","",INDEX('Per Line'!$D$2:$D$4001,$AA252)&amp;"")</f>
        <v/>
      </c>
      <c r="E252" s="11">
        <f>IF($AA252="","",INDEX('Per Line'!$G$2:$G$4001,$AA252))</f>
        <v/>
      </c>
      <c r="F252">
        <f>IF($AA252="","",INDEX('Per Line'!$H$2:$H$4001,$AA252)&amp;"")</f>
        <v/>
      </c>
      <c r="G252">
        <f>IF($AA252="","",INDEX('Per Line'!$I$2:$I$4001,$AA252)&amp;"")</f>
        <v/>
      </c>
      <c r="H252">
        <f>IF($AA252="","",INDEX('Per Line'!$J$2:$J$4001,$AA252)&amp;"")</f>
        <v/>
      </c>
      <c r="I252">
        <f>IF($AA252="","",INDEX('Per Line'!$K$2:$K$4001,$AA252)&amp;"")</f>
        <v/>
      </c>
      <c r="J252">
        <f>IF($AA252="","",INDEX('Per Line'!$L$2:$L$4001,$AA252)&amp;"")</f>
        <v/>
      </c>
      <c r="K252">
        <f>IF($AA252="","",INDEX('Per Line'!$P$2:$P$4001,$AA252))</f>
        <v/>
      </c>
      <c r="L252" s="7">
        <f>IF($AA252="","",IF(AND(ISNUMBER(N252),N252&gt;0,Y252&gt;N252),K252*N252/100+(Y252-N252),K252*Y252/100))</f>
        <v/>
      </c>
      <c r="M252">
        <f>IF($AA252="","",INDEX('Per Line'!$Z$2:$Z$4001,$AA252)&amp;"")</f>
        <v/>
      </c>
      <c r="N252">
        <f>IF($AA252="","",INDEX('Per Line'!$AG$2:$AG$4001,$AA252))</f>
        <v/>
      </c>
      <c r="O252">
        <f>IF($AA252="","",IF(AND(ISNUMBER(N252),N252&gt;0),Y252&gt;N252,FALSE))</f>
        <v/>
      </c>
      <c r="P252" s="7">
        <f>IF($AA252="","",SUMIFS('Per Line'!$Y$2:$Y$4001,'Per Line'!$E$2:$E$4001,$B252,'Per Line'!$AQ$2:$AQ$4001,1))</f>
        <v/>
      </c>
      <c r="Q252">
        <f>IF($AA252="","",Settings!$C$7)</f>
        <v/>
      </c>
      <c r="R252" s="7">
        <f>IF($AA252="","",SUMIFS('Per Line'!$Y$2:$Y$4001,'Per Line'!$E$2:$E$4001,$B252,'Per Line'!$AP$2:$AP$4001,0,'Per Line'!$AQ$2:$AQ$4001,0))</f>
        <v/>
      </c>
      <c r="S252" s="7">
        <f>IF($AA252="","",R252*Q252)</f>
        <v/>
      </c>
      <c r="T252">
        <f>IF($AA252="","",Settings!$C$6)</f>
        <v/>
      </c>
      <c r="U252" s="7">
        <f>IF($AA252="","",SUMIFS('Per Line'!$Y$2:$Y$4001,'Per Line'!$E$2:$E$4001,$B252,'Per Line'!$AP$2:$AP$4001,1,'Per Line'!$AQ$2:$AQ$4001,0))</f>
        <v/>
      </c>
      <c r="V252" s="7">
        <f>IF($AA252="","",U252*T252)</f>
        <v/>
      </c>
      <c r="W252" s="7">
        <f>IF($AA252="","",V252+S252)</f>
        <v/>
      </c>
      <c r="X252" s="7">
        <f>IF($AA252="","",Y252-W252)</f>
        <v/>
      </c>
      <c r="Y252" s="7">
        <f>IF($AA252="","",R252+U252+P252)</f>
        <v/>
      </c>
      <c r="Z252" s="7">
        <f>IF($AA252="","",Y252-W252-L252)</f>
        <v/>
      </c>
      <c r="AA252" s="13">
        <f>IF(ROWS($AA$2:$AA252)&lt;=MAX('Per Line'!$AO$2:$AO$4001),MATCH(ROWS($AA$2:$AA252),'Per Line'!$AO$2:$AO$4001,0),"")</f>
        <v/>
      </c>
      <c r="AB252" s="14">
        <f>IF($AA252="","",L252-K252*Y252/100)</f>
        <v/>
      </c>
    </row>
    <row r="253">
      <c r="A253" s="12" t="n"/>
      <c r="B253">
        <f>IF($AA253="","",INDEX('Per Line'!$E$2:$E$4001,$AA253)&amp;"")</f>
        <v/>
      </c>
      <c r="C253">
        <f>IF($AA253="","",INDEX('Per Line'!$A$2:$A$4001,$AA253)&amp;"")</f>
        <v/>
      </c>
      <c r="D253">
        <f>IF($AA253="","",INDEX('Per Line'!$D$2:$D$4001,$AA253)&amp;"")</f>
        <v/>
      </c>
      <c r="E253" s="11">
        <f>IF($AA253="","",INDEX('Per Line'!$G$2:$G$4001,$AA253))</f>
        <v/>
      </c>
      <c r="F253">
        <f>IF($AA253="","",INDEX('Per Line'!$H$2:$H$4001,$AA253)&amp;"")</f>
        <v/>
      </c>
      <c r="G253">
        <f>IF($AA253="","",INDEX('Per Line'!$I$2:$I$4001,$AA253)&amp;"")</f>
        <v/>
      </c>
      <c r="H253">
        <f>IF($AA253="","",INDEX('Per Line'!$J$2:$J$4001,$AA253)&amp;"")</f>
        <v/>
      </c>
      <c r="I253">
        <f>IF($AA253="","",INDEX('Per Line'!$K$2:$K$4001,$AA253)&amp;"")</f>
        <v/>
      </c>
      <c r="J253">
        <f>IF($AA253="","",INDEX('Per Line'!$L$2:$L$4001,$AA253)&amp;"")</f>
        <v/>
      </c>
      <c r="K253">
        <f>IF($AA253="","",INDEX('Per Line'!$P$2:$P$4001,$AA253))</f>
        <v/>
      </c>
      <c r="L253" s="7">
        <f>IF($AA253="","",IF(AND(ISNUMBER(N253),N253&gt;0,Y253&gt;N253),K253*N253/100+(Y253-N253),K253*Y253/100))</f>
        <v/>
      </c>
      <c r="M253">
        <f>IF($AA253="","",INDEX('Per Line'!$Z$2:$Z$4001,$AA253)&amp;"")</f>
        <v/>
      </c>
      <c r="N253">
        <f>IF($AA253="","",INDEX('Per Line'!$AG$2:$AG$4001,$AA253))</f>
        <v/>
      </c>
      <c r="O253">
        <f>IF($AA253="","",IF(AND(ISNUMBER(N253),N253&gt;0),Y253&gt;N253,FALSE))</f>
        <v/>
      </c>
      <c r="P253" s="7">
        <f>IF($AA253="","",SUMIFS('Per Line'!$Y$2:$Y$4001,'Per Line'!$E$2:$E$4001,$B253,'Per Line'!$AQ$2:$AQ$4001,1))</f>
        <v/>
      </c>
      <c r="Q253">
        <f>IF($AA253="","",Settings!$C$7)</f>
        <v/>
      </c>
      <c r="R253" s="7">
        <f>IF($AA253="","",SUMIFS('Per Line'!$Y$2:$Y$4001,'Per Line'!$E$2:$E$4001,$B253,'Per Line'!$AP$2:$AP$4001,0,'Per Line'!$AQ$2:$AQ$4001,0))</f>
        <v/>
      </c>
      <c r="S253" s="7">
        <f>IF($AA253="","",R253*Q253)</f>
        <v/>
      </c>
      <c r="T253">
        <f>IF($AA253="","",Settings!$C$6)</f>
        <v/>
      </c>
      <c r="U253" s="7">
        <f>IF($AA253="","",SUMIFS('Per Line'!$Y$2:$Y$4001,'Per Line'!$E$2:$E$4001,$B253,'Per Line'!$AP$2:$AP$4001,1,'Per Line'!$AQ$2:$AQ$4001,0))</f>
        <v/>
      </c>
      <c r="V253" s="7">
        <f>IF($AA253="","",U253*T253)</f>
        <v/>
      </c>
      <c r="W253" s="7">
        <f>IF($AA253="","",V253+S253)</f>
        <v/>
      </c>
      <c r="X253" s="7">
        <f>IF($AA253="","",Y253-W253)</f>
        <v/>
      </c>
      <c r="Y253" s="7">
        <f>IF($AA253="","",R253+U253+P253)</f>
        <v/>
      </c>
      <c r="Z253" s="7">
        <f>IF($AA253="","",Y253-W253-L253)</f>
        <v/>
      </c>
      <c r="AA253" s="13">
        <f>IF(ROWS($AA$2:$AA253)&lt;=MAX('Per Line'!$AO$2:$AO$4001),MATCH(ROWS($AA$2:$AA253),'Per Line'!$AO$2:$AO$4001,0),"")</f>
        <v/>
      </c>
      <c r="AB253" s="14">
        <f>IF($AA253="","",L253-K253*Y253/100)</f>
        <v/>
      </c>
    </row>
    <row r="254">
      <c r="A254" s="12" t="n"/>
      <c r="B254">
        <f>IF($AA254="","",INDEX('Per Line'!$E$2:$E$4001,$AA254)&amp;"")</f>
        <v/>
      </c>
      <c r="C254">
        <f>IF($AA254="","",INDEX('Per Line'!$A$2:$A$4001,$AA254)&amp;"")</f>
        <v/>
      </c>
      <c r="D254">
        <f>IF($AA254="","",INDEX('Per Line'!$D$2:$D$4001,$AA254)&amp;"")</f>
        <v/>
      </c>
      <c r="E254" s="11">
        <f>IF($AA254="","",INDEX('Per Line'!$G$2:$G$4001,$AA254))</f>
        <v/>
      </c>
      <c r="F254">
        <f>IF($AA254="","",INDEX('Per Line'!$H$2:$H$4001,$AA254)&amp;"")</f>
        <v/>
      </c>
      <c r="G254">
        <f>IF($AA254="","",INDEX('Per Line'!$I$2:$I$4001,$AA254)&amp;"")</f>
        <v/>
      </c>
      <c r="H254">
        <f>IF($AA254="","",INDEX('Per Line'!$J$2:$J$4001,$AA254)&amp;"")</f>
        <v/>
      </c>
      <c r="I254">
        <f>IF($AA254="","",INDEX('Per Line'!$K$2:$K$4001,$AA254)&amp;"")</f>
        <v/>
      </c>
      <c r="J254">
        <f>IF($AA254="","",INDEX('Per Line'!$L$2:$L$4001,$AA254)&amp;"")</f>
        <v/>
      </c>
      <c r="K254">
        <f>IF($AA254="","",INDEX('Per Line'!$P$2:$P$4001,$AA254))</f>
        <v/>
      </c>
      <c r="L254" s="7">
        <f>IF($AA254="","",IF(AND(ISNUMBER(N254),N254&gt;0,Y254&gt;N254),K254*N254/100+(Y254-N254),K254*Y254/100))</f>
        <v/>
      </c>
      <c r="M254">
        <f>IF($AA254="","",INDEX('Per Line'!$Z$2:$Z$4001,$AA254)&amp;"")</f>
        <v/>
      </c>
      <c r="N254">
        <f>IF($AA254="","",INDEX('Per Line'!$AG$2:$AG$4001,$AA254))</f>
        <v/>
      </c>
      <c r="O254">
        <f>IF($AA254="","",IF(AND(ISNUMBER(N254),N254&gt;0),Y254&gt;N254,FALSE))</f>
        <v/>
      </c>
      <c r="P254" s="7">
        <f>IF($AA254="","",SUMIFS('Per Line'!$Y$2:$Y$4001,'Per Line'!$E$2:$E$4001,$B254,'Per Line'!$AQ$2:$AQ$4001,1))</f>
        <v/>
      </c>
      <c r="Q254">
        <f>IF($AA254="","",Settings!$C$7)</f>
        <v/>
      </c>
      <c r="R254" s="7">
        <f>IF($AA254="","",SUMIFS('Per Line'!$Y$2:$Y$4001,'Per Line'!$E$2:$E$4001,$B254,'Per Line'!$AP$2:$AP$4001,0,'Per Line'!$AQ$2:$AQ$4001,0))</f>
        <v/>
      </c>
      <c r="S254" s="7">
        <f>IF($AA254="","",R254*Q254)</f>
        <v/>
      </c>
      <c r="T254">
        <f>IF($AA254="","",Settings!$C$6)</f>
        <v/>
      </c>
      <c r="U254" s="7">
        <f>IF($AA254="","",SUMIFS('Per Line'!$Y$2:$Y$4001,'Per Line'!$E$2:$E$4001,$B254,'Per Line'!$AP$2:$AP$4001,1,'Per Line'!$AQ$2:$AQ$4001,0))</f>
        <v/>
      </c>
      <c r="V254" s="7">
        <f>IF($AA254="","",U254*T254)</f>
        <v/>
      </c>
      <c r="W254" s="7">
        <f>IF($AA254="","",V254+S254)</f>
        <v/>
      </c>
      <c r="X254" s="7">
        <f>IF($AA254="","",Y254-W254)</f>
        <v/>
      </c>
      <c r="Y254" s="7">
        <f>IF($AA254="","",R254+U254+P254)</f>
        <v/>
      </c>
      <c r="Z254" s="7">
        <f>IF($AA254="","",Y254-W254-L254)</f>
        <v/>
      </c>
      <c r="AA254" s="13">
        <f>IF(ROWS($AA$2:$AA254)&lt;=MAX('Per Line'!$AO$2:$AO$4001),MATCH(ROWS($AA$2:$AA254),'Per Line'!$AO$2:$AO$4001,0),"")</f>
        <v/>
      </c>
      <c r="AB254" s="14">
        <f>IF($AA254="","",L254-K254*Y254/100)</f>
        <v/>
      </c>
    </row>
    <row r="255">
      <c r="A255" s="12" t="n"/>
      <c r="B255">
        <f>IF($AA255="","",INDEX('Per Line'!$E$2:$E$4001,$AA255)&amp;"")</f>
        <v/>
      </c>
      <c r="C255">
        <f>IF($AA255="","",INDEX('Per Line'!$A$2:$A$4001,$AA255)&amp;"")</f>
        <v/>
      </c>
      <c r="D255">
        <f>IF($AA255="","",INDEX('Per Line'!$D$2:$D$4001,$AA255)&amp;"")</f>
        <v/>
      </c>
      <c r="E255" s="11">
        <f>IF($AA255="","",INDEX('Per Line'!$G$2:$G$4001,$AA255))</f>
        <v/>
      </c>
      <c r="F255">
        <f>IF($AA255="","",INDEX('Per Line'!$H$2:$H$4001,$AA255)&amp;"")</f>
        <v/>
      </c>
      <c r="G255">
        <f>IF($AA255="","",INDEX('Per Line'!$I$2:$I$4001,$AA255)&amp;"")</f>
        <v/>
      </c>
      <c r="H255">
        <f>IF($AA255="","",INDEX('Per Line'!$J$2:$J$4001,$AA255)&amp;"")</f>
        <v/>
      </c>
      <c r="I255">
        <f>IF($AA255="","",INDEX('Per Line'!$K$2:$K$4001,$AA255)&amp;"")</f>
        <v/>
      </c>
      <c r="J255">
        <f>IF($AA255="","",INDEX('Per Line'!$L$2:$L$4001,$AA255)&amp;"")</f>
        <v/>
      </c>
      <c r="K255">
        <f>IF($AA255="","",INDEX('Per Line'!$P$2:$P$4001,$AA255))</f>
        <v/>
      </c>
      <c r="L255" s="7">
        <f>IF($AA255="","",IF(AND(ISNUMBER(N255),N255&gt;0,Y255&gt;N255),K255*N255/100+(Y255-N255),K255*Y255/100))</f>
        <v/>
      </c>
      <c r="M255">
        <f>IF($AA255="","",INDEX('Per Line'!$Z$2:$Z$4001,$AA255)&amp;"")</f>
        <v/>
      </c>
      <c r="N255">
        <f>IF($AA255="","",INDEX('Per Line'!$AG$2:$AG$4001,$AA255))</f>
        <v/>
      </c>
      <c r="O255">
        <f>IF($AA255="","",IF(AND(ISNUMBER(N255),N255&gt;0),Y255&gt;N255,FALSE))</f>
        <v/>
      </c>
      <c r="P255" s="7">
        <f>IF($AA255="","",SUMIFS('Per Line'!$Y$2:$Y$4001,'Per Line'!$E$2:$E$4001,$B255,'Per Line'!$AQ$2:$AQ$4001,1))</f>
        <v/>
      </c>
      <c r="Q255">
        <f>IF($AA255="","",Settings!$C$7)</f>
        <v/>
      </c>
      <c r="R255" s="7">
        <f>IF($AA255="","",SUMIFS('Per Line'!$Y$2:$Y$4001,'Per Line'!$E$2:$E$4001,$B255,'Per Line'!$AP$2:$AP$4001,0,'Per Line'!$AQ$2:$AQ$4001,0))</f>
        <v/>
      </c>
      <c r="S255" s="7">
        <f>IF($AA255="","",R255*Q255)</f>
        <v/>
      </c>
      <c r="T255">
        <f>IF($AA255="","",Settings!$C$6)</f>
        <v/>
      </c>
      <c r="U255" s="7">
        <f>IF($AA255="","",SUMIFS('Per Line'!$Y$2:$Y$4001,'Per Line'!$E$2:$E$4001,$B255,'Per Line'!$AP$2:$AP$4001,1,'Per Line'!$AQ$2:$AQ$4001,0))</f>
        <v/>
      </c>
      <c r="V255" s="7">
        <f>IF($AA255="","",U255*T255)</f>
        <v/>
      </c>
      <c r="W255" s="7">
        <f>IF($AA255="","",V255+S255)</f>
        <v/>
      </c>
      <c r="X255" s="7">
        <f>IF($AA255="","",Y255-W255)</f>
        <v/>
      </c>
      <c r="Y255" s="7">
        <f>IF($AA255="","",R255+U255+P255)</f>
        <v/>
      </c>
      <c r="Z255" s="7">
        <f>IF($AA255="","",Y255-W255-L255)</f>
        <v/>
      </c>
      <c r="AA255" s="13">
        <f>IF(ROWS($AA$2:$AA255)&lt;=MAX('Per Line'!$AO$2:$AO$4001),MATCH(ROWS($AA$2:$AA255),'Per Line'!$AO$2:$AO$4001,0),"")</f>
        <v/>
      </c>
      <c r="AB255" s="14">
        <f>IF($AA255="","",L255-K255*Y255/100)</f>
        <v/>
      </c>
    </row>
    <row r="256">
      <c r="A256" s="12" t="n"/>
      <c r="B256">
        <f>IF($AA256="","",INDEX('Per Line'!$E$2:$E$4001,$AA256)&amp;"")</f>
        <v/>
      </c>
      <c r="C256">
        <f>IF($AA256="","",INDEX('Per Line'!$A$2:$A$4001,$AA256)&amp;"")</f>
        <v/>
      </c>
      <c r="D256">
        <f>IF($AA256="","",INDEX('Per Line'!$D$2:$D$4001,$AA256)&amp;"")</f>
        <v/>
      </c>
      <c r="E256" s="11">
        <f>IF($AA256="","",INDEX('Per Line'!$G$2:$G$4001,$AA256))</f>
        <v/>
      </c>
      <c r="F256">
        <f>IF($AA256="","",INDEX('Per Line'!$H$2:$H$4001,$AA256)&amp;"")</f>
        <v/>
      </c>
      <c r="G256">
        <f>IF($AA256="","",INDEX('Per Line'!$I$2:$I$4001,$AA256)&amp;"")</f>
        <v/>
      </c>
      <c r="H256">
        <f>IF($AA256="","",INDEX('Per Line'!$J$2:$J$4001,$AA256)&amp;"")</f>
        <v/>
      </c>
      <c r="I256">
        <f>IF($AA256="","",INDEX('Per Line'!$K$2:$K$4001,$AA256)&amp;"")</f>
        <v/>
      </c>
      <c r="J256">
        <f>IF($AA256="","",INDEX('Per Line'!$L$2:$L$4001,$AA256)&amp;"")</f>
        <v/>
      </c>
      <c r="K256">
        <f>IF($AA256="","",INDEX('Per Line'!$P$2:$P$4001,$AA256))</f>
        <v/>
      </c>
      <c r="L256" s="7">
        <f>IF($AA256="","",IF(AND(ISNUMBER(N256),N256&gt;0,Y256&gt;N256),K256*N256/100+(Y256-N256),K256*Y256/100))</f>
        <v/>
      </c>
      <c r="M256">
        <f>IF($AA256="","",INDEX('Per Line'!$Z$2:$Z$4001,$AA256)&amp;"")</f>
        <v/>
      </c>
      <c r="N256">
        <f>IF($AA256="","",INDEX('Per Line'!$AG$2:$AG$4001,$AA256))</f>
        <v/>
      </c>
      <c r="O256">
        <f>IF($AA256="","",IF(AND(ISNUMBER(N256),N256&gt;0),Y256&gt;N256,FALSE))</f>
        <v/>
      </c>
      <c r="P256" s="7">
        <f>IF($AA256="","",SUMIFS('Per Line'!$Y$2:$Y$4001,'Per Line'!$E$2:$E$4001,$B256,'Per Line'!$AQ$2:$AQ$4001,1))</f>
        <v/>
      </c>
      <c r="Q256">
        <f>IF($AA256="","",Settings!$C$7)</f>
        <v/>
      </c>
      <c r="R256" s="7">
        <f>IF($AA256="","",SUMIFS('Per Line'!$Y$2:$Y$4001,'Per Line'!$E$2:$E$4001,$B256,'Per Line'!$AP$2:$AP$4001,0,'Per Line'!$AQ$2:$AQ$4001,0))</f>
        <v/>
      </c>
      <c r="S256" s="7">
        <f>IF($AA256="","",R256*Q256)</f>
        <v/>
      </c>
      <c r="T256">
        <f>IF($AA256="","",Settings!$C$6)</f>
        <v/>
      </c>
      <c r="U256" s="7">
        <f>IF($AA256="","",SUMIFS('Per Line'!$Y$2:$Y$4001,'Per Line'!$E$2:$E$4001,$B256,'Per Line'!$AP$2:$AP$4001,1,'Per Line'!$AQ$2:$AQ$4001,0))</f>
        <v/>
      </c>
      <c r="V256" s="7">
        <f>IF($AA256="","",U256*T256)</f>
        <v/>
      </c>
      <c r="W256" s="7">
        <f>IF($AA256="","",V256+S256)</f>
        <v/>
      </c>
      <c r="X256" s="7">
        <f>IF($AA256="","",Y256-W256)</f>
        <v/>
      </c>
      <c r="Y256" s="7">
        <f>IF($AA256="","",R256+U256+P256)</f>
        <v/>
      </c>
      <c r="Z256" s="7">
        <f>IF($AA256="","",Y256-W256-L256)</f>
        <v/>
      </c>
      <c r="AA256" s="13">
        <f>IF(ROWS($AA$2:$AA256)&lt;=MAX('Per Line'!$AO$2:$AO$4001),MATCH(ROWS($AA$2:$AA256),'Per Line'!$AO$2:$AO$4001,0),"")</f>
        <v/>
      </c>
      <c r="AB256" s="14">
        <f>IF($AA256="","",L256-K256*Y256/100)</f>
        <v/>
      </c>
    </row>
    <row r="257">
      <c r="A257" s="12" t="n"/>
      <c r="B257">
        <f>IF($AA257="","",INDEX('Per Line'!$E$2:$E$4001,$AA257)&amp;"")</f>
        <v/>
      </c>
      <c r="C257">
        <f>IF($AA257="","",INDEX('Per Line'!$A$2:$A$4001,$AA257)&amp;"")</f>
        <v/>
      </c>
      <c r="D257">
        <f>IF($AA257="","",INDEX('Per Line'!$D$2:$D$4001,$AA257)&amp;"")</f>
        <v/>
      </c>
      <c r="E257" s="11">
        <f>IF($AA257="","",INDEX('Per Line'!$G$2:$G$4001,$AA257))</f>
        <v/>
      </c>
      <c r="F257">
        <f>IF($AA257="","",INDEX('Per Line'!$H$2:$H$4001,$AA257)&amp;"")</f>
        <v/>
      </c>
      <c r="G257">
        <f>IF($AA257="","",INDEX('Per Line'!$I$2:$I$4001,$AA257)&amp;"")</f>
        <v/>
      </c>
      <c r="H257">
        <f>IF($AA257="","",INDEX('Per Line'!$J$2:$J$4001,$AA257)&amp;"")</f>
        <v/>
      </c>
      <c r="I257">
        <f>IF($AA257="","",INDEX('Per Line'!$K$2:$K$4001,$AA257)&amp;"")</f>
        <v/>
      </c>
      <c r="J257">
        <f>IF($AA257="","",INDEX('Per Line'!$L$2:$L$4001,$AA257)&amp;"")</f>
        <v/>
      </c>
      <c r="K257">
        <f>IF($AA257="","",INDEX('Per Line'!$P$2:$P$4001,$AA257))</f>
        <v/>
      </c>
      <c r="L257" s="7">
        <f>IF($AA257="","",IF(AND(ISNUMBER(N257),N257&gt;0,Y257&gt;N257),K257*N257/100+(Y257-N257),K257*Y257/100))</f>
        <v/>
      </c>
      <c r="M257">
        <f>IF($AA257="","",INDEX('Per Line'!$Z$2:$Z$4001,$AA257)&amp;"")</f>
        <v/>
      </c>
      <c r="N257">
        <f>IF($AA257="","",INDEX('Per Line'!$AG$2:$AG$4001,$AA257))</f>
        <v/>
      </c>
      <c r="O257">
        <f>IF($AA257="","",IF(AND(ISNUMBER(N257),N257&gt;0),Y257&gt;N257,FALSE))</f>
        <v/>
      </c>
      <c r="P257" s="7">
        <f>IF($AA257="","",SUMIFS('Per Line'!$Y$2:$Y$4001,'Per Line'!$E$2:$E$4001,$B257,'Per Line'!$AQ$2:$AQ$4001,1))</f>
        <v/>
      </c>
      <c r="Q257">
        <f>IF($AA257="","",Settings!$C$7)</f>
        <v/>
      </c>
      <c r="R257" s="7">
        <f>IF($AA257="","",SUMIFS('Per Line'!$Y$2:$Y$4001,'Per Line'!$E$2:$E$4001,$B257,'Per Line'!$AP$2:$AP$4001,0,'Per Line'!$AQ$2:$AQ$4001,0))</f>
        <v/>
      </c>
      <c r="S257" s="7">
        <f>IF($AA257="","",R257*Q257)</f>
        <v/>
      </c>
      <c r="T257">
        <f>IF($AA257="","",Settings!$C$6)</f>
        <v/>
      </c>
      <c r="U257" s="7">
        <f>IF($AA257="","",SUMIFS('Per Line'!$Y$2:$Y$4001,'Per Line'!$E$2:$E$4001,$B257,'Per Line'!$AP$2:$AP$4001,1,'Per Line'!$AQ$2:$AQ$4001,0))</f>
        <v/>
      </c>
      <c r="V257" s="7">
        <f>IF($AA257="","",U257*T257)</f>
        <v/>
      </c>
      <c r="W257" s="7">
        <f>IF($AA257="","",V257+S257)</f>
        <v/>
      </c>
      <c r="X257" s="7">
        <f>IF($AA257="","",Y257-W257)</f>
        <v/>
      </c>
      <c r="Y257" s="7">
        <f>IF($AA257="","",R257+U257+P257)</f>
        <v/>
      </c>
      <c r="Z257" s="7">
        <f>IF($AA257="","",Y257-W257-L257)</f>
        <v/>
      </c>
      <c r="AA257" s="13">
        <f>IF(ROWS($AA$2:$AA257)&lt;=MAX('Per Line'!$AO$2:$AO$4001),MATCH(ROWS($AA$2:$AA257),'Per Line'!$AO$2:$AO$4001,0),"")</f>
        <v/>
      </c>
      <c r="AB257" s="14">
        <f>IF($AA257="","",L257-K257*Y257/100)</f>
        <v/>
      </c>
    </row>
    <row r="258">
      <c r="A258" s="12" t="n"/>
      <c r="B258">
        <f>IF($AA258="","",INDEX('Per Line'!$E$2:$E$4001,$AA258)&amp;"")</f>
        <v/>
      </c>
      <c r="C258">
        <f>IF($AA258="","",INDEX('Per Line'!$A$2:$A$4001,$AA258)&amp;"")</f>
        <v/>
      </c>
      <c r="D258">
        <f>IF($AA258="","",INDEX('Per Line'!$D$2:$D$4001,$AA258)&amp;"")</f>
        <v/>
      </c>
      <c r="E258" s="11">
        <f>IF($AA258="","",INDEX('Per Line'!$G$2:$G$4001,$AA258))</f>
        <v/>
      </c>
      <c r="F258">
        <f>IF($AA258="","",INDEX('Per Line'!$H$2:$H$4001,$AA258)&amp;"")</f>
        <v/>
      </c>
      <c r="G258">
        <f>IF($AA258="","",INDEX('Per Line'!$I$2:$I$4001,$AA258)&amp;"")</f>
        <v/>
      </c>
      <c r="H258">
        <f>IF($AA258="","",INDEX('Per Line'!$J$2:$J$4001,$AA258)&amp;"")</f>
        <v/>
      </c>
      <c r="I258">
        <f>IF($AA258="","",INDEX('Per Line'!$K$2:$K$4001,$AA258)&amp;"")</f>
        <v/>
      </c>
      <c r="J258">
        <f>IF($AA258="","",INDEX('Per Line'!$L$2:$L$4001,$AA258)&amp;"")</f>
        <v/>
      </c>
      <c r="K258">
        <f>IF($AA258="","",INDEX('Per Line'!$P$2:$P$4001,$AA258))</f>
        <v/>
      </c>
      <c r="L258" s="7">
        <f>IF($AA258="","",IF(AND(ISNUMBER(N258),N258&gt;0,Y258&gt;N258),K258*N258/100+(Y258-N258),K258*Y258/100))</f>
        <v/>
      </c>
      <c r="M258">
        <f>IF($AA258="","",INDEX('Per Line'!$Z$2:$Z$4001,$AA258)&amp;"")</f>
        <v/>
      </c>
      <c r="N258">
        <f>IF($AA258="","",INDEX('Per Line'!$AG$2:$AG$4001,$AA258))</f>
        <v/>
      </c>
      <c r="O258">
        <f>IF($AA258="","",IF(AND(ISNUMBER(N258),N258&gt;0),Y258&gt;N258,FALSE))</f>
        <v/>
      </c>
      <c r="P258" s="7">
        <f>IF($AA258="","",SUMIFS('Per Line'!$Y$2:$Y$4001,'Per Line'!$E$2:$E$4001,$B258,'Per Line'!$AQ$2:$AQ$4001,1))</f>
        <v/>
      </c>
      <c r="Q258">
        <f>IF($AA258="","",Settings!$C$7)</f>
        <v/>
      </c>
      <c r="R258" s="7">
        <f>IF($AA258="","",SUMIFS('Per Line'!$Y$2:$Y$4001,'Per Line'!$E$2:$E$4001,$B258,'Per Line'!$AP$2:$AP$4001,0,'Per Line'!$AQ$2:$AQ$4001,0))</f>
        <v/>
      </c>
      <c r="S258" s="7">
        <f>IF($AA258="","",R258*Q258)</f>
        <v/>
      </c>
      <c r="T258">
        <f>IF($AA258="","",Settings!$C$6)</f>
        <v/>
      </c>
      <c r="U258" s="7">
        <f>IF($AA258="","",SUMIFS('Per Line'!$Y$2:$Y$4001,'Per Line'!$E$2:$E$4001,$B258,'Per Line'!$AP$2:$AP$4001,1,'Per Line'!$AQ$2:$AQ$4001,0))</f>
        <v/>
      </c>
      <c r="V258" s="7">
        <f>IF($AA258="","",U258*T258)</f>
        <v/>
      </c>
      <c r="W258" s="7">
        <f>IF($AA258="","",V258+S258)</f>
        <v/>
      </c>
      <c r="X258" s="7">
        <f>IF($AA258="","",Y258-W258)</f>
        <v/>
      </c>
      <c r="Y258" s="7">
        <f>IF($AA258="","",R258+U258+P258)</f>
        <v/>
      </c>
      <c r="Z258" s="7">
        <f>IF($AA258="","",Y258-W258-L258)</f>
        <v/>
      </c>
      <c r="AA258" s="13">
        <f>IF(ROWS($AA$2:$AA258)&lt;=MAX('Per Line'!$AO$2:$AO$4001),MATCH(ROWS($AA$2:$AA258),'Per Line'!$AO$2:$AO$4001,0),"")</f>
        <v/>
      </c>
      <c r="AB258" s="14">
        <f>IF($AA258="","",L258-K258*Y258/100)</f>
        <v/>
      </c>
    </row>
    <row r="259">
      <c r="A259" s="12" t="n"/>
      <c r="B259">
        <f>IF($AA259="","",INDEX('Per Line'!$E$2:$E$4001,$AA259)&amp;"")</f>
        <v/>
      </c>
      <c r="C259">
        <f>IF($AA259="","",INDEX('Per Line'!$A$2:$A$4001,$AA259)&amp;"")</f>
        <v/>
      </c>
      <c r="D259">
        <f>IF($AA259="","",INDEX('Per Line'!$D$2:$D$4001,$AA259)&amp;"")</f>
        <v/>
      </c>
      <c r="E259" s="11">
        <f>IF($AA259="","",INDEX('Per Line'!$G$2:$G$4001,$AA259))</f>
        <v/>
      </c>
      <c r="F259">
        <f>IF($AA259="","",INDEX('Per Line'!$H$2:$H$4001,$AA259)&amp;"")</f>
        <v/>
      </c>
      <c r="G259">
        <f>IF($AA259="","",INDEX('Per Line'!$I$2:$I$4001,$AA259)&amp;"")</f>
        <v/>
      </c>
      <c r="H259">
        <f>IF($AA259="","",INDEX('Per Line'!$J$2:$J$4001,$AA259)&amp;"")</f>
        <v/>
      </c>
      <c r="I259">
        <f>IF($AA259="","",INDEX('Per Line'!$K$2:$K$4001,$AA259)&amp;"")</f>
        <v/>
      </c>
      <c r="J259">
        <f>IF($AA259="","",INDEX('Per Line'!$L$2:$L$4001,$AA259)&amp;"")</f>
        <v/>
      </c>
      <c r="K259">
        <f>IF($AA259="","",INDEX('Per Line'!$P$2:$P$4001,$AA259))</f>
        <v/>
      </c>
      <c r="L259" s="7">
        <f>IF($AA259="","",IF(AND(ISNUMBER(N259),N259&gt;0,Y259&gt;N259),K259*N259/100+(Y259-N259),K259*Y259/100))</f>
        <v/>
      </c>
      <c r="M259">
        <f>IF($AA259="","",INDEX('Per Line'!$Z$2:$Z$4001,$AA259)&amp;"")</f>
        <v/>
      </c>
      <c r="N259">
        <f>IF($AA259="","",INDEX('Per Line'!$AG$2:$AG$4001,$AA259))</f>
        <v/>
      </c>
      <c r="O259">
        <f>IF($AA259="","",IF(AND(ISNUMBER(N259),N259&gt;0),Y259&gt;N259,FALSE))</f>
        <v/>
      </c>
      <c r="P259" s="7">
        <f>IF($AA259="","",SUMIFS('Per Line'!$Y$2:$Y$4001,'Per Line'!$E$2:$E$4001,$B259,'Per Line'!$AQ$2:$AQ$4001,1))</f>
        <v/>
      </c>
      <c r="Q259">
        <f>IF($AA259="","",Settings!$C$7)</f>
        <v/>
      </c>
      <c r="R259" s="7">
        <f>IF($AA259="","",SUMIFS('Per Line'!$Y$2:$Y$4001,'Per Line'!$E$2:$E$4001,$B259,'Per Line'!$AP$2:$AP$4001,0,'Per Line'!$AQ$2:$AQ$4001,0))</f>
        <v/>
      </c>
      <c r="S259" s="7">
        <f>IF($AA259="","",R259*Q259)</f>
        <v/>
      </c>
      <c r="T259">
        <f>IF($AA259="","",Settings!$C$6)</f>
        <v/>
      </c>
      <c r="U259" s="7">
        <f>IF($AA259="","",SUMIFS('Per Line'!$Y$2:$Y$4001,'Per Line'!$E$2:$E$4001,$B259,'Per Line'!$AP$2:$AP$4001,1,'Per Line'!$AQ$2:$AQ$4001,0))</f>
        <v/>
      </c>
      <c r="V259" s="7">
        <f>IF($AA259="","",U259*T259)</f>
        <v/>
      </c>
      <c r="W259" s="7">
        <f>IF($AA259="","",V259+S259)</f>
        <v/>
      </c>
      <c r="X259" s="7">
        <f>IF($AA259="","",Y259-W259)</f>
        <v/>
      </c>
      <c r="Y259" s="7">
        <f>IF($AA259="","",R259+U259+P259)</f>
        <v/>
      </c>
      <c r="Z259" s="7">
        <f>IF($AA259="","",Y259-W259-L259)</f>
        <v/>
      </c>
      <c r="AA259" s="13">
        <f>IF(ROWS($AA$2:$AA259)&lt;=MAX('Per Line'!$AO$2:$AO$4001),MATCH(ROWS($AA$2:$AA259),'Per Line'!$AO$2:$AO$4001,0),"")</f>
        <v/>
      </c>
      <c r="AB259" s="14">
        <f>IF($AA259="","",L259-K259*Y259/100)</f>
        <v/>
      </c>
    </row>
    <row r="260">
      <c r="A260" s="12" t="n"/>
      <c r="B260">
        <f>IF($AA260="","",INDEX('Per Line'!$E$2:$E$4001,$AA260)&amp;"")</f>
        <v/>
      </c>
      <c r="C260">
        <f>IF($AA260="","",INDEX('Per Line'!$A$2:$A$4001,$AA260)&amp;"")</f>
        <v/>
      </c>
      <c r="D260">
        <f>IF($AA260="","",INDEX('Per Line'!$D$2:$D$4001,$AA260)&amp;"")</f>
        <v/>
      </c>
      <c r="E260" s="11">
        <f>IF($AA260="","",INDEX('Per Line'!$G$2:$G$4001,$AA260))</f>
        <v/>
      </c>
      <c r="F260">
        <f>IF($AA260="","",INDEX('Per Line'!$H$2:$H$4001,$AA260)&amp;"")</f>
        <v/>
      </c>
      <c r="G260">
        <f>IF($AA260="","",INDEX('Per Line'!$I$2:$I$4001,$AA260)&amp;"")</f>
        <v/>
      </c>
      <c r="H260">
        <f>IF($AA260="","",INDEX('Per Line'!$J$2:$J$4001,$AA260)&amp;"")</f>
        <v/>
      </c>
      <c r="I260">
        <f>IF($AA260="","",INDEX('Per Line'!$K$2:$K$4001,$AA260)&amp;"")</f>
        <v/>
      </c>
      <c r="J260">
        <f>IF($AA260="","",INDEX('Per Line'!$L$2:$L$4001,$AA260)&amp;"")</f>
        <v/>
      </c>
      <c r="K260">
        <f>IF($AA260="","",INDEX('Per Line'!$P$2:$P$4001,$AA260))</f>
        <v/>
      </c>
      <c r="L260" s="7">
        <f>IF($AA260="","",IF(AND(ISNUMBER(N260),N260&gt;0,Y260&gt;N260),K260*N260/100+(Y260-N260),K260*Y260/100))</f>
        <v/>
      </c>
      <c r="M260">
        <f>IF($AA260="","",INDEX('Per Line'!$Z$2:$Z$4001,$AA260)&amp;"")</f>
        <v/>
      </c>
      <c r="N260">
        <f>IF($AA260="","",INDEX('Per Line'!$AG$2:$AG$4001,$AA260))</f>
        <v/>
      </c>
      <c r="O260">
        <f>IF($AA260="","",IF(AND(ISNUMBER(N260),N260&gt;0),Y260&gt;N260,FALSE))</f>
        <v/>
      </c>
      <c r="P260" s="7">
        <f>IF($AA260="","",SUMIFS('Per Line'!$Y$2:$Y$4001,'Per Line'!$E$2:$E$4001,$B260,'Per Line'!$AQ$2:$AQ$4001,1))</f>
        <v/>
      </c>
      <c r="Q260">
        <f>IF($AA260="","",Settings!$C$7)</f>
        <v/>
      </c>
      <c r="R260" s="7">
        <f>IF($AA260="","",SUMIFS('Per Line'!$Y$2:$Y$4001,'Per Line'!$E$2:$E$4001,$B260,'Per Line'!$AP$2:$AP$4001,0,'Per Line'!$AQ$2:$AQ$4001,0))</f>
        <v/>
      </c>
      <c r="S260" s="7">
        <f>IF($AA260="","",R260*Q260)</f>
        <v/>
      </c>
      <c r="T260">
        <f>IF($AA260="","",Settings!$C$6)</f>
        <v/>
      </c>
      <c r="U260" s="7">
        <f>IF($AA260="","",SUMIFS('Per Line'!$Y$2:$Y$4001,'Per Line'!$E$2:$E$4001,$B260,'Per Line'!$AP$2:$AP$4001,1,'Per Line'!$AQ$2:$AQ$4001,0))</f>
        <v/>
      </c>
      <c r="V260" s="7">
        <f>IF($AA260="","",U260*T260)</f>
        <v/>
      </c>
      <c r="W260" s="7">
        <f>IF($AA260="","",V260+S260)</f>
        <v/>
      </c>
      <c r="X260" s="7">
        <f>IF($AA260="","",Y260-W260)</f>
        <v/>
      </c>
      <c r="Y260" s="7">
        <f>IF($AA260="","",R260+U260+P260)</f>
        <v/>
      </c>
      <c r="Z260" s="7">
        <f>IF($AA260="","",Y260-W260-L260)</f>
        <v/>
      </c>
      <c r="AA260" s="13">
        <f>IF(ROWS($AA$2:$AA260)&lt;=MAX('Per Line'!$AO$2:$AO$4001),MATCH(ROWS($AA$2:$AA260),'Per Line'!$AO$2:$AO$4001,0),"")</f>
        <v/>
      </c>
      <c r="AB260" s="14">
        <f>IF($AA260="","",L260-K260*Y260/100)</f>
        <v/>
      </c>
    </row>
    <row r="261">
      <c r="A261" s="12" t="n"/>
      <c r="B261">
        <f>IF($AA261="","",INDEX('Per Line'!$E$2:$E$4001,$AA261)&amp;"")</f>
        <v/>
      </c>
      <c r="C261">
        <f>IF($AA261="","",INDEX('Per Line'!$A$2:$A$4001,$AA261)&amp;"")</f>
        <v/>
      </c>
      <c r="D261">
        <f>IF($AA261="","",INDEX('Per Line'!$D$2:$D$4001,$AA261)&amp;"")</f>
        <v/>
      </c>
      <c r="E261" s="11">
        <f>IF($AA261="","",INDEX('Per Line'!$G$2:$G$4001,$AA261))</f>
        <v/>
      </c>
      <c r="F261">
        <f>IF($AA261="","",INDEX('Per Line'!$H$2:$H$4001,$AA261)&amp;"")</f>
        <v/>
      </c>
      <c r="G261">
        <f>IF($AA261="","",INDEX('Per Line'!$I$2:$I$4001,$AA261)&amp;"")</f>
        <v/>
      </c>
      <c r="H261">
        <f>IF($AA261="","",INDEX('Per Line'!$J$2:$J$4001,$AA261)&amp;"")</f>
        <v/>
      </c>
      <c r="I261">
        <f>IF($AA261="","",INDEX('Per Line'!$K$2:$K$4001,$AA261)&amp;"")</f>
        <v/>
      </c>
      <c r="J261">
        <f>IF($AA261="","",INDEX('Per Line'!$L$2:$L$4001,$AA261)&amp;"")</f>
        <v/>
      </c>
      <c r="K261">
        <f>IF($AA261="","",INDEX('Per Line'!$P$2:$P$4001,$AA261))</f>
        <v/>
      </c>
      <c r="L261" s="7">
        <f>IF($AA261="","",IF(AND(ISNUMBER(N261),N261&gt;0,Y261&gt;N261),K261*N261/100+(Y261-N261),K261*Y261/100))</f>
        <v/>
      </c>
      <c r="M261">
        <f>IF($AA261="","",INDEX('Per Line'!$Z$2:$Z$4001,$AA261)&amp;"")</f>
        <v/>
      </c>
      <c r="N261">
        <f>IF($AA261="","",INDEX('Per Line'!$AG$2:$AG$4001,$AA261))</f>
        <v/>
      </c>
      <c r="O261">
        <f>IF($AA261="","",IF(AND(ISNUMBER(N261),N261&gt;0),Y261&gt;N261,FALSE))</f>
        <v/>
      </c>
      <c r="P261" s="7">
        <f>IF($AA261="","",SUMIFS('Per Line'!$Y$2:$Y$4001,'Per Line'!$E$2:$E$4001,$B261,'Per Line'!$AQ$2:$AQ$4001,1))</f>
        <v/>
      </c>
      <c r="Q261">
        <f>IF($AA261="","",Settings!$C$7)</f>
        <v/>
      </c>
      <c r="R261" s="7">
        <f>IF($AA261="","",SUMIFS('Per Line'!$Y$2:$Y$4001,'Per Line'!$E$2:$E$4001,$B261,'Per Line'!$AP$2:$AP$4001,0,'Per Line'!$AQ$2:$AQ$4001,0))</f>
        <v/>
      </c>
      <c r="S261" s="7">
        <f>IF($AA261="","",R261*Q261)</f>
        <v/>
      </c>
      <c r="T261">
        <f>IF($AA261="","",Settings!$C$6)</f>
        <v/>
      </c>
      <c r="U261" s="7">
        <f>IF($AA261="","",SUMIFS('Per Line'!$Y$2:$Y$4001,'Per Line'!$E$2:$E$4001,$B261,'Per Line'!$AP$2:$AP$4001,1,'Per Line'!$AQ$2:$AQ$4001,0))</f>
        <v/>
      </c>
      <c r="V261" s="7">
        <f>IF($AA261="","",U261*T261)</f>
        <v/>
      </c>
      <c r="W261" s="7">
        <f>IF($AA261="","",V261+S261)</f>
        <v/>
      </c>
      <c r="X261" s="7">
        <f>IF($AA261="","",Y261-W261)</f>
        <v/>
      </c>
      <c r="Y261" s="7">
        <f>IF($AA261="","",R261+U261+P261)</f>
        <v/>
      </c>
      <c r="Z261" s="7">
        <f>IF($AA261="","",Y261-W261-L261)</f>
        <v/>
      </c>
      <c r="AA261" s="13">
        <f>IF(ROWS($AA$2:$AA261)&lt;=MAX('Per Line'!$AO$2:$AO$4001),MATCH(ROWS($AA$2:$AA261),'Per Line'!$AO$2:$AO$4001,0),"")</f>
        <v/>
      </c>
      <c r="AB261" s="14">
        <f>IF($AA261="","",L261-K261*Y261/100)</f>
        <v/>
      </c>
    </row>
    <row r="262">
      <c r="A262" s="12" t="n"/>
      <c r="B262">
        <f>IF($AA262="","",INDEX('Per Line'!$E$2:$E$4001,$AA262)&amp;"")</f>
        <v/>
      </c>
      <c r="C262">
        <f>IF($AA262="","",INDEX('Per Line'!$A$2:$A$4001,$AA262)&amp;"")</f>
        <v/>
      </c>
      <c r="D262">
        <f>IF($AA262="","",INDEX('Per Line'!$D$2:$D$4001,$AA262)&amp;"")</f>
        <v/>
      </c>
      <c r="E262" s="11">
        <f>IF($AA262="","",INDEX('Per Line'!$G$2:$G$4001,$AA262))</f>
        <v/>
      </c>
      <c r="F262">
        <f>IF($AA262="","",INDEX('Per Line'!$H$2:$H$4001,$AA262)&amp;"")</f>
        <v/>
      </c>
      <c r="G262">
        <f>IF($AA262="","",INDEX('Per Line'!$I$2:$I$4001,$AA262)&amp;"")</f>
        <v/>
      </c>
      <c r="H262">
        <f>IF($AA262="","",INDEX('Per Line'!$J$2:$J$4001,$AA262)&amp;"")</f>
        <v/>
      </c>
      <c r="I262">
        <f>IF($AA262="","",INDEX('Per Line'!$K$2:$K$4001,$AA262)&amp;"")</f>
        <v/>
      </c>
      <c r="J262">
        <f>IF($AA262="","",INDEX('Per Line'!$L$2:$L$4001,$AA262)&amp;"")</f>
        <v/>
      </c>
      <c r="K262">
        <f>IF($AA262="","",INDEX('Per Line'!$P$2:$P$4001,$AA262))</f>
        <v/>
      </c>
      <c r="L262" s="7">
        <f>IF($AA262="","",IF(AND(ISNUMBER(N262),N262&gt;0,Y262&gt;N262),K262*N262/100+(Y262-N262),K262*Y262/100))</f>
        <v/>
      </c>
      <c r="M262">
        <f>IF($AA262="","",INDEX('Per Line'!$Z$2:$Z$4001,$AA262)&amp;"")</f>
        <v/>
      </c>
      <c r="N262">
        <f>IF($AA262="","",INDEX('Per Line'!$AG$2:$AG$4001,$AA262))</f>
        <v/>
      </c>
      <c r="O262">
        <f>IF($AA262="","",IF(AND(ISNUMBER(N262),N262&gt;0),Y262&gt;N262,FALSE))</f>
        <v/>
      </c>
      <c r="P262" s="7">
        <f>IF($AA262="","",SUMIFS('Per Line'!$Y$2:$Y$4001,'Per Line'!$E$2:$E$4001,$B262,'Per Line'!$AQ$2:$AQ$4001,1))</f>
        <v/>
      </c>
      <c r="Q262">
        <f>IF($AA262="","",Settings!$C$7)</f>
        <v/>
      </c>
      <c r="R262" s="7">
        <f>IF($AA262="","",SUMIFS('Per Line'!$Y$2:$Y$4001,'Per Line'!$E$2:$E$4001,$B262,'Per Line'!$AP$2:$AP$4001,0,'Per Line'!$AQ$2:$AQ$4001,0))</f>
        <v/>
      </c>
      <c r="S262" s="7">
        <f>IF($AA262="","",R262*Q262)</f>
        <v/>
      </c>
      <c r="T262">
        <f>IF($AA262="","",Settings!$C$6)</f>
        <v/>
      </c>
      <c r="U262" s="7">
        <f>IF($AA262="","",SUMIFS('Per Line'!$Y$2:$Y$4001,'Per Line'!$E$2:$E$4001,$B262,'Per Line'!$AP$2:$AP$4001,1,'Per Line'!$AQ$2:$AQ$4001,0))</f>
        <v/>
      </c>
      <c r="V262" s="7">
        <f>IF($AA262="","",U262*T262)</f>
        <v/>
      </c>
      <c r="W262" s="7">
        <f>IF($AA262="","",V262+S262)</f>
        <v/>
      </c>
      <c r="X262" s="7">
        <f>IF($AA262="","",Y262-W262)</f>
        <v/>
      </c>
      <c r="Y262" s="7">
        <f>IF($AA262="","",R262+U262+P262)</f>
        <v/>
      </c>
      <c r="Z262" s="7">
        <f>IF($AA262="","",Y262-W262-L262)</f>
        <v/>
      </c>
      <c r="AA262" s="13">
        <f>IF(ROWS($AA$2:$AA262)&lt;=MAX('Per Line'!$AO$2:$AO$4001),MATCH(ROWS($AA$2:$AA262),'Per Line'!$AO$2:$AO$4001,0),"")</f>
        <v/>
      </c>
      <c r="AB262" s="14">
        <f>IF($AA262="","",L262-K262*Y262/100)</f>
        <v/>
      </c>
    </row>
    <row r="263">
      <c r="A263" s="12" t="n"/>
      <c r="B263">
        <f>IF($AA263="","",INDEX('Per Line'!$E$2:$E$4001,$AA263)&amp;"")</f>
        <v/>
      </c>
      <c r="C263">
        <f>IF($AA263="","",INDEX('Per Line'!$A$2:$A$4001,$AA263)&amp;"")</f>
        <v/>
      </c>
      <c r="D263">
        <f>IF($AA263="","",INDEX('Per Line'!$D$2:$D$4001,$AA263)&amp;"")</f>
        <v/>
      </c>
      <c r="E263" s="11">
        <f>IF($AA263="","",INDEX('Per Line'!$G$2:$G$4001,$AA263))</f>
        <v/>
      </c>
      <c r="F263">
        <f>IF($AA263="","",INDEX('Per Line'!$H$2:$H$4001,$AA263)&amp;"")</f>
        <v/>
      </c>
      <c r="G263">
        <f>IF($AA263="","",INDEX('Per Line'!$I$2:$I$4001,$AA263)&amp;"")</f>
        <v/>
      </c>
      <c r="H263">
        <f>IF($AA263="","",INDEX('Per Line'!$J$2:$J$4001,$AA263)&amp;"")</f>
        <v/>
      </c>
      <c r="I263">
        <f>IF($AA263="","",INDEX('Per Line'!$K$2:$K$4001,$AA263)&amp;"")</f>
        <v/>
      </c>
      <c r="J263">
        <f>IF($AA263="","",INDEX('Per Line'!$L$2:$L$4001,$AA263)&amp;"")</f>
        <v/>
      </c>
      <c r="K263">
        <f>IF($AA263="","",INDEX('Per Line'!$P$2:$P$4001,$AA263))</f>
        <v/>
      </c>
      <c r="L263" s="7">
        <f>IF($AA263="","",IF(AND(ISNUMBER(N263),N263&gt;0,Y263&gt;N263),K263*N263/100+(Y263-N263),K263*Y263/100))</f>
        <v/>
      </c>
      <c r="M263">
        <f>IF($AA263="","",INDEX('Per Line'!$Z$2:$Z$4001,$AA263)&amp;"")</f>
        <v/>
      </c>
      <c r="N263">
        <f>IF($AA263="","",INDEX('Per Line'!$AG$2:$AG$4001,$AA263))</f>
        <v/>
      </c>
      <c r="O263">
        <f>IF($AA263="","",IF(AND(ISNUMBER(N263),N263&gt;0),Y263&gt;N263,FALSE))</f>
        <v/>
      </c>
      <c r="P263" s="7">
        <f>IF($AA263="","",SUMIFS('Per Line'!$Y$2:$Y$4001,'Per Line'!$E$2:$E$4001,$B263,'Per Line'!$AQ$2:$AQ$4001,1))</f>
        <v/>
      </c>
      <c r="Q263">
        <f>IF($AA263="","",Settings!$C$7)</f>
        <v/>
      </c>
      <c r="R263" s="7">
        <f>IF($AA263="","",SUMIFS('Per Line'!$Y$2:$Y$4001,'Per Line'!$E$2:$E$4001,$B263,'Per Line'!$AP$2:$AP$4001,0,'Per Line'!$AQ$2:$AQ$4001,0))</f>
        <v/>
      </c>
      <c r="S263" s="7">
        <f>IF($AA263="","",R263*Q263)</f>
        <v/>
      </c>
      <c r="T263">
        <f>IF($AA263="","",Settings!$C$6)</f>
        <v/>
      </c>
      <c r="U263" s="7">
        <f>IF($AA263="","",SUMIFS('Per Line'!$Y$2:$Y$4001,'Per Line'!$E$2:$E$4001,$B263,'Per Line'!$AP$2:$AP$4001,1,'Per Line'!$AQ$2:$AQ$4001,0))</f>
        <v/>
      </c>
      <c r="V263" s="7">
        <f>IF($AA263="","",U263*T263)</f>
        <v/>
      </c>
      <c r="W263" s="7">
        <f>IF($AA263="","",V263+S263)</f>
        <v/>
      </c>
      <c r="X263" s="7">
        <f>IF($AA263="","",Y263-W263)</f>
        <v/>
      </c>
      <c r="Y263" s="7">
        <f>IF($AA263="","",R263+U263+P263)</f>
        <v/>
      </c>
      <c r="Z263" s="7">
        <f>IF($AA263="","",Y263-W263-L263)</f>
        <v/>
      </c>
      <c r="AA263" s="13">
        <f>IF(ROWS($AA$2:$AA263)&lt;=MAX('Per Line'!$AO$2:$AO$4001),MATCH(ROWS($AA$2:$AA263),'Per Line'!$AO$2:$AO$4001,0),"")</f>
        <v/>
      </c>
      <c r="AB263" s="14">
        <f>IF($AA263="","",L263-K263*Y263/100)</f>
        <v/>
      </c>
    </row>
    <row r="264">
      <c r="A264" s="12" t="n"/>
      <c r="B264">
        <f>IF($AA264="","",INDEX('Per Line'!$E$2:$E$4001,$AA264)&amp;"")</f>
        <v/>
      </c>
      <c r="C264">
        <f>IF($AA264="","",INDEX('Per Line'!$A$2:$A$4001,$AA264)&amp;"")</f>
        <v/>
      </c>
      <c r="D264">
        <f>IF($AA264="","",INDEX('Per Line'!$D$2:$D$4001,$AA264)&amp;"")</f>
        <v/>
      </c>
      <c r="E264" s="11">
        <f>IF($AA264="","",INDEX('Per Line'!$G$2:$G$4001,$AA264))</f>
        <v/>
      </c>
      <c r="F264">
        <f>IF($AA264="","",INDEX('Per Line'!$H$2:$H$4001,$AA264)&amp;"")</f>
        <v/>
      </c>
      <c r="G264">
        <f>IF($AA264="","",INDEX('Per Line'!$I$2:$I$4001,$AA264)&amp;"")</f>
        <v/>
      </c>
      <c r="H264">
        <f>IF($AA264="","",INDEX('Per Line'!$J$2:$J$4001,$AA264)&amp;"")</f>
        <v/>
      </c>
      <c r="I264">
        <f>IF($AA264="","",INDEX('Per Line'!$K$2:$K$4001,$AA264)&amp;"")</f>
        <v/>
      </c>
      <c r="J264">
        <f>IF($AA264="","",INDEX('Per Line'!$L$2:$L$4001,$AA264)&amp;"")</f>
        <v/>
      </c>
      <c r="K264">
        <f>IF($AA264="","",INDEX('Per Line'!$P$2:$P$4001,$AA264))</f>
        <v/>
      </c>
      <c r="L264" s="7">
        <f>IF($AA264="","",IF(AND(ISNUMBER(N264),N264&gt;0,Y264&gt;N264),K264*N264/100+(Y264-N264),K264*Y264/100))</f>
        <v/>
      </c>
      <c r="M264">
        <f>IF($AA264="","",INDEX('Per Line'!$Z$2:$Z$4001,$AA264)&amp;"")</f>
        <v/>
      </c>
      <c r="N264">
        <f>IF($AA264="","",INDEX('Per Line'!$AG$2:$AG$4001,$AA264))</f>
        <v/>
      </c>
      <c r="O264">
        <f>IF($AA264="","",IF(AND(ISNUMBER(N264),N264&gt;0),Y264&gt;N264,FALSE))</f>
        <v/>
      </c>
      <c r="P264" s="7">
        <f>IF($AA264="","",SUMIFS('Per Line'!$Y$2:$Y$4001,'Per Line'!$E$2:$E$4001,$B264,'Per Line'!$AQ$2:$AQ$4001,1))</f>
        <v/>
      </c>
      <c r="Q264">
        <f>IF($AA264="","",Settings!$C$7)</f>
        <v/>
      </c>
      <c r="R264" s="7">
        <f>IF($AA264="","",SUMIFS('Per Line'!$Y$2:$Y$4001,'Per Line'!$E$2:$E$4001,$B264,'Per Line'!$AP$2:$AP$4001,0,'Per Line'!$AQ$2:$AQ$4001,0))</f>
        <v/>
      </c>
      <c r="S264" s="7">
        <f>IF($AA264="","",R264*Q264)</f>
        <v/>
      </c>
      <c r="T264">
        <f>IF($AA264="","",Settings!$C$6)</f>
        <v/>
      </c>
      <c r="U264" s="7">
        <f>IF($AA264="","",SUMIFS('Per Line'!$Y$2:$Y$4001,'Per Line'!$E$2:$E$4001,$B264,'Per Line'!$AP$2:$AP$4001,1,'Per Line'!$AQ$2:$AQ$4001,0))</f>
        <v/>
      </c>
      <c r="V264" s="7">
        <f>IF($AA264="","",U264*T264)</f>
        <v/>
      </c>
      <c r="W264" s="7">
        <f>IF($AA264="","",V264+S264)</f>
        <v/>
      </c>
      <c r="X264" s="7">
        <f>IF($AA264="","",Y264-W264)</f>
        <v/>
      </c>
      <c r="Y264" s="7">
        <f>IF($AA264="","",R264+U264+P264)</f>
        <v/>
      </c>
      <c r="Z264" s="7">
        <f>IF($AA264="","",Y264-W264-L264)</f>
        <v/>
      </c>
      <c r="AA264" s="13">
        <f>IF(ROWS($AA$2:$AA264)&lt;=MAX('Per Line'!$AO$2:$AO$4001),MATCH(ROWS($AA$2:$AA264),'Per Line'!$AO$2:$AO$4001,0),"")</f>
        <v/>
      </c>
      <c r="AB264" s="14">
        <f>IF($AA264="","",L264-K264*Y264/100)</f>
        <v/>
      </c>
    </row>
    <row r="265">
      <c r="A265" s="12" t="n"/>
      <c r="B265">
        <f>IF($AA265="","",INDEX('Per Line'!$E$2:$E$4001,$AA265)&amp;"")</f>
        <v/>
      </c>
      <c r="C265">
        <f>IF($AA265="","",INDEX('Per Line'!$A$2:$A$4001,$AA265)&amp;"")</f>
        <v/>
      </c>
      <c r="D265">
        <f>IF($AA265="","",INDEX('Per Line'!$D$2:$D$4001,$AA265)&amp;"")</f>
        <v/>
      </c>
      <c r="E265" s="11">
        <f>IF($AA265="","",INDEX('Per Line'!$G$2:$G$4001,$AA265))</f>
        <v/>
      </c>
      <c r="F265">
        <f>IF($AA265="","",INDEX('Per Line'!$H$2:$H$4001,$AA265)&amp;"")</f>
        <v/>
      </c>
      <c r="G265">
        <f>IF($AA265="","",INDEX('Per Line'!$I$2:$I$4001,$AA265)&amp;"")</f>
        <v/>
      </c>
      <c r="H265">
        <f>IF($AA265="","",INDEX('Per Line'!$J$2:$J$4001,$AA265)&amp;"")</f>
        <v/>
      </c>
      <c r="I265">
        <f>IF($AA265="","",INDEX('Per Line'!$K$2:$K$4001,$AA265)&amp;"")</f>
        <v/>
      </c>
      <c r="J265">
        <f>IF($AA265="","",INDEX('Per Line'!$L$2:$L$4001,$AA265)&amp;"")</f>
        <v/>
      </c>
      <c r="K265">
        <f>IF($AA265="","",INDEX('Per Line'!$P$2:$P$4001,$AA265))</f>
        <v/>
      </c>
      <c r="L265" s="7">
        <f>IF($AA265="","",IF(AND(ISNUMBER(N265),N265&gt;0,Y265&gt;N265),K265*N265/100+(Y265-N265),K265*Y265/100))</f>
        <v/>
      </c>
      <c r="M265">
        <f>IF($AA265="","",INDEX('Per Line'!$Z$2:$Z$4001,$AA265)&amp;"")</f>
        <v/>
      </c>
      <c r="N265">
        <f>IF($AA265="","",INDEX('Per Line'!$AG$2:$AG$4001,$AA265))</f>
        <v/>
      </c>
      <c r="O265">
        <f>IF($AA265="","",IF(AND(ISNUMBER(N265),N265&gt;0),Y265&gt;N265,FALSE))</f>
        <v/>
      </c>
      <c r="P265" s="7">
        <f>IF($AA265="","",SUMIFS('Per Line'!$Y$2:$Y$4001,'Per Line'!$E$2:$E$4001,$B265,'Per Line'!$AQ$2:$AQ$4001,1))</f>
        <v/>
      </c>
      <c r="Q265">
        <f>IF($AA265="","",Settings!$C$7)</f>
        <v/>
      </c>
      <c r="R265" s="7">
        <f>IF($AA265="","",SUMIFS('Per Line'!$Y$2:$Y$4001,'Per Line'!$E$2:$E$4001,$B265,'Per Line'!$AP$2:$AP$4001,0,'Per Line'!$AQ$2:$AQ$4001,0))</f>
        <v/>
      </c>
      <c r="S265" s="7">
        <f>IF($AA265="","",R265*Q265)</f>
        <v/>
      </c>
      <c r="T265">
        <f>IF($AA265="","",Settings!$C$6)</f>
        <v/>
      </c>
      <c r="U265" s="7">
        <f>IF($AA265="","",SUMIFS('Per Line'!$Y$2:$Y$4001,'Per Line'!$E$2:$E$4001,$B265,'Per Line'!$AP$2:$AP$4001,1,'Per Line'!$AQ$2:$AQ$4001,0))</f>
        <v/>
      </c>
      <c r="V265" s="7">
        <f>IF($AA265="","",U265*T265)</f>
        <v/>
      </c>
      <c r="W265" s="7">
        <f>IF($AA265="","",V265+S265)</f>
        <v/>
      </c>
      <c r="X265" s="7">
        <f>IF($AA265="","",Y265-W265)</f>
        <v/>
      </c>
      <c r="Y265" s="7">
        <f>IF($AA265="","",R265+U265+P265)</f>
        <v/>
      </c>
      <c r="Z265" s="7">
        <f>IF($AA265="","",Y265-W265-L265)</f>
        <v/>
      </c>
      <c r="AA265" s="13">
        <f>IF(ROWS($AA$2:$AA265)&lt;=MAX('Per Line'!$AO$2:$AO$4001),MATCH(ROWS($AA$2:$AA265),'Per Line'!$AO$2:$AO$4001,0),"")</f>
        <v/>
      </c>
      <c r="AB265" s="14">
        <f>IF($AA265="","",L265-K265*Y265/100)</f>
        <v/>
      </c>
    </row>
    <row r="266">
      <c r="A266" s="12" t="n"/>
      <c r="B266">
        <f>IF($AA266="","",INDEX('Per Line'!$E$2:$E$4001,$AA266)&amp;"")</f>
        <v/>
      </c>
      <c r="C266">
        <f>IF($AA266="","",INDEX('Per Line'!$A$2:$A$4001,$AA266)&amp;"")</f>
        <v/>
      </c>
      <c r="D266">
        <f>IF($AA266="","",INDEX('Per Line'!$D$2:$D$4001,$AA266)&amp;"")</f>
        <v/>
      </c>
      <c r="E266" s="11">
        <f>IF($AA266="","",INDEX('Per Line'!$G$2:$G$4001,$AA266))</f>
        <v/>
      </c>
      <c r="F266">
        <f>IF($AA266="","",INDEX('Per Line'!$H$2:$H$4001,$AA266)&amp;"")</f>
        <v/>
      </c>
      <c r="G266">
        <f>IF($AA266="","",INDEX('Per Line'!$I$2:$I$4001,$AA266)&amp;"")</f>
        <v/>
      </c>
      <c r="H266">
        <f>IF($AA266="","",INDEX('Per Line'!$J$2:$J$4001,$AA266)&amp;"")</f>
        <v/>
      </c>
      <c r="I266">
        <f>IF($AA266="","",INDEX('Per Line'!$K$2:$K$4001,$AA266)&amp;"")</f>
        <v/>
      </c>
      <c r="J266">
        <f>IF($AA266="","",INDEX('Per Line'!$L$2:$L$4001,$AA266)&amp;"")</f>
        <v/>
      </c>
      <c r="K266">
        <f>IF($AA266="","",INDEX('Per Line'!$P$2:$P$4001,$AA266))</f>
        <v/>
      </c>
      <c r="L266" s="7">
        <f>IF($AA266="","",IF(AND(ISNUMBER(N266),N266&gt;0,Y266&gt;N266),K266*N266/100+(Y266-N266),K266*Y266/100))</f>
        <v/>
      </c>
      <c r="M266">
        <f>IF($AA266="","",INDEX('Per Line'!$Z$2:$Z$4001,$AA266)&amp;"")</f>
        <v/>
      </c>
      <c r="N266">
        <f>IF($AA266="","",INDEX('Per Line'!$AG$2:$AG$4001,$AA266))</f>
        <v/>
      </c>
      <c r="O266">
        <f>IF($AA266="","",IF(AND(ISNUMBER(N266),N266&gt;0),Y266&gt;N266,FALSE))</f>
        <v/>
      </c>
      <c r="P266" s="7">
        <f>IF($AA266="","",SUMIFS('Per Line'!$Y$2:$Y$4001,'Per Line'!$E$2:$E$4001,$B266,'Per Line'!$AQ$2:$AQ$4001,1))</f>
        <v/>
      </c>
      <c r="Q266">
        <f>IF($AA266="","",Settings!$C$7)</f>
        <v/>
      </c>
      <c r="R266" s="7">
        <f>IF($AA266="","",SUMIFS('Per Line'!$Y$2:$Y$4001,'Per Line'!$E$2:$E$4001,$B266,'Per Line'!$AP$2:$AP$4001,0,'Per Line'!$AQ$2:$AQ$4001,0))</f>
        <v/>
      </c>
      <c r="S266" s="7">
        <f>IF($AA266="","",R266*Q266)</f>
        <v/>
      </c>
      <c r="T266">
        <f>IF($AA266="","",Settings!$C$6)</f>
        <v/>
      </c>
      <c r="U266" s="7">
        <f>IF($AA266="","",SUMIFS('Per Line'!$Y$2:$Y$4001,'Per Line'!$E$2:$E$4001,$B266,'Per Line'!$AP$2:$AP$4001,1,'Per Line'!$AQ$2:$AQ$4001,0))</f>
        <v/>
      </c>
      <c r="V266" s="7">
        <f>IF($AA266="","",U266*T266)</f>
        <v/>
      </c>
      <c r="W266" s="7">
        <f>IF($AA266="","",V266+S266)</f>
        <v/>
      </c>
      <c r="X266" s="7">
        <f>IF($AA266="","",Y266-W266)</f>
        <v/>
      </c>
      <c r="Y266" s="7">
        <f>IF($AA266="","",R266+U266+P266)</f>
        <v/>
      </c>
      <c r="Z266" s="7">
        <f>IF($AA266="","",Y266-W266-L266)</f>
        <v/>
      </c>
      <c r="AA266" s="13">
        <f>IF(ROWS($AA$2:$AA266)&lt;=MAX('Per Line'!$AO$2:$AO$4001),MATCH(ROWS($AA$2:$AA266),'Per Line'!$AO$2:$AO$4001,0),"")</f>
        <v/>
      </c>
      <c r="AB266" s="14">
        <f>IF($AA266="","",L266-K266*Y266/100)</f>
        <v/>
      </c>
    </row>
    <row r="267">
      <c r="A267" s="12" t="n"/>
      <c r="B267">
        <f>IF($AA267="","",INDEX('Per Line'!$E$2:$E$4001,$AA267)&amp;"")</f>
        <v/>
      </c>
      <c r="C267">
        <f>IF($AA267="","",INDEX('Per Line'!$A$2:$A$4001,$AA267)&amp;"")</f>
        <v/>
      </c>
      <c r="D267">
        <f>IF($AA267="","",INDEX('Per Line'!$D$2:$D$4001,$AA267)&amp;"")</f>
        <v/>
      </c>
      <c r="E267" s="11">
        <f>IF($AA267="","",INDEX('Per Line'!$G$2:$G$4001,$AA267))</f>
        <v/>
      </c>
      <c r="F267">
        <f>IF($AA267="","",INDEX('Per Line'!$H$2:$H$4001,$AA267)&amp;"")</f>
        <v/>
      </c>
      <c r="G267">
        <f>IF($AA267="","",INDEX('Per Line'!$I$2:$I$4001,$AA267)&amp;"")</f>
        <v/>
      </c>
      <c r="H267">
        <f>IF($AA267="","",INDEX('Per Line'!$J$2:$J$4001,$AA267)&amp;"")</f>
        <v/>
      </c>
      <c r="I267">
        <f>IF($AA267="","",INDEX('Per Line'!$K$2:$K$4001,$AA267)&amp;"")</f>
        <v/>
      </c>
      <c r="J267">
        <f>IF($AA267="","",INDEX('Per Line'!$L$2:$L$4001,$AA267)&amp;"")</f>
        <v/>
      </c>
      <c r="K267">
        <f>IF($AA267="","",INDEX('Per Line'!$P$2:$P$4001,$AA267))</f>
        <v/>
      </c>
      <c r="L267" s="7">
        <f>IF($AA267="","",IF(AND(ISNUMBER(N267),N267&gt;0,Y267&gt;N267),K267*N267/100+(Y267-N267),K267*Y267/100))</f>
        <v/>
      </c>
      <c r="M267">
        <f>IF($AA267="","",INDEX('Per Line'!$Z$2:$Z$4001,$AA267)&amp;"")</f>
        <v/>
      </c>
      <c r="N267">
        <f>IF($AA267="","",INDEX('Per Line'!$AG$2:$AG$4001,$AA267))</f>
        <v/>
      </c>
      <c r="O267">
        <f>IF($AA267="","",IF(AND(ISNUMBER(N267),N267&gt;0),Y267&gt;N267,FALSE))</f>
        <v/>
      </c>
      <c r="P267" s="7">
        <f>IF($AA267="","",SUMIFS('Per Line'!$Y$2:$Y$4001,'Per Line'!$E$2:$E$4001,$B267,'Per Line'!$AQ$2:$AQ$4001,1))</f>
        <v/>
      </c>
      <c r="Q267">
        <f>IF($AA267="","",Settings!$C$7)</f>
        <v/>
      </c>
      <c r="R267" s="7">
        <f>IF($AA267="","",SUMIFS('Per Line'!$Y$2:$Y$4001,'Per Line'!$E$2:$E$4001,$B267,'Per Line'!$AP$2:$AP$4001,0,'Per Line'!$AQ$2:$AQ$4001,0))</f>
        <v/>
      </c>
      <c r="S267" s="7">
        <f>IF($AA267="","",R267*Q267)</f>
        <v/>
      </c>
      <c r="T267">
        <f>IF($AA267="","",Settings!$C$6)</f>
        <v/>
      </c>
      <c r="U267" s="7">
        <f>IF($AA267="","",SUMIFS('Per Line'!$Y$2:$Y$4001,'Per Line'!$E$2:$E$4001,$B267,'Per Line'!$AP$2:$AP$4001,1,'Per Line'!$AQ$2:$AQ$4001,0))</f>
        <v/>
      </c>
      <c r="V267" s="7">
        <f>IF($AA267="","",U267*T267)</f>
        <v/>
      </c>
      <c r="W267" s="7">
        <f>IF($AA267="","",V267+S267)</f>
        <v/>
      </c>
      <c r="X267" s="7">
        <f>IF($AA267="","",Y267-W267)</f>
        <v/>
      </c>
      <c r="Y267" s="7">
        <f>IF($AA267="","",R267+U267+P267)</f>
        <v/>
      </c>
      <c r="Z267" s="7">
        <f>IF($AA267="","",Y267-W267-L267)</f>
        <v/>
      </c>
      <c r="AA267" s="13">
        <f>IF(ROWS($AA$2:$AA267)&lt;=MAX('Per Line'!$AO$2:$AO$4001),MATCH(ROWS($AA$2:$AA267),'Per Line'!$AO$2:$AO$4001,0),"")</f>
        <v/>
      </c>
      <c r="AB267" s="14">
        <f>IF($AA267="","",L267-K267*Y267/100)</f>
        <v/>
      </c>
    </row>
    <row r="268">
      <c r="A268" s="12" t="n"/>
      <c r="B268">
        <f>IF($AA268="","",INDEX('Per Line'!$E$2:$E$4001,$AA268)&amp;"")</f>
        <v/>
      </c>
      <c r="C268">
        <f>IF($AA268="","",INDEX('Per Line'!$A$2:$A$4001,$AA268)&amp;"")</f>
        <v/>
      </c>
      <c r="D268">
        <f>IF($AA268="","",INDEX('Per Line'!$D$2:$D$4001,$AA268)&amp;"")</f>
        <v/>
      </c>
      <c r="E268" s="11">
        <f>IF($AA268="","",INDEX('Per Line'!$G$2:$G$4001,$AA268))</f>
        <v/>
      </c>
      <c r="F268">
        <f>IF($AA268="","",INDEX('Per Line'!$H$2:$H$4001,$AA268)&amp;"")</f>
        <v/>
      </c>
      <c r="G268">
        <f>IF($AA268="","",INDEX('Per Line'!$I$2:$I$4001,$AA268)&amp;"")</f>
        <v/>
      </c>
      <c r="H268">
        <f>IF($AA268="","",INDEX('Per Line'!$J$2:$J$4001,$AA268)&amp;"")</f>
        <v/>
      </c>
      <c r="I268">
        <f>IF($AA268="","",INDEX('Per Line'!$K$2:$K$4001,$AA268)&amp;"")</f>
        <v/>
      </c>
      <c r="J268">
        <f>IF($AA268="","",INDEX('Per Line'!$L$2:$L$4001,$AA268)&amp;"")</f>
        <v/>
      </c>
      <c r="K268">
        <f>IF($AA268="","",INDEX('Per Line'!$P$2:$P$4001,$AA268))</f>
        <v/>
      </c>
      <c r="L268" s="7">
        <f>IF($AA268="","",IF(AND(ISNUMBER(N268),N268&gt;0,Y268&gt;N268),K268*N268/100+(Y268-N268),K268*Y268/100))</f>
        <v/>
      </c>
      <c r="M268">
        <f>IF($AA268="","",INDEX('Per Line'!$Z$2:$Z$4001,$AA268)&amp;"")</f>
        <v/>
      </c>
      <c r="N268">
        <f>IF($AA268="","",INDEX('Per Line'!$AG$2:$AG$4001,$AA268))</f>
        <v/>
      </c>
      <c r="O268">
        <f>IF($AA268="","",IF(AND(ISNUMBER(N268),N268&gt;0),Y268&gt;N268,FALSE))</f>
        <v/>
      </c>
      <c r="P268" s="7">
        <f>IF($AA268="","",SUMIFS('Per Line'!$Y$2:$Y$4001,'Per Line'!$E$2:$E$4001,$B268,'Per Line'!$AQ$2:$AQ$4001,1))</f>
        <v/>
      </c>
      <c r="Q268">
        <f>IF($AA268="","",Settings!$C$7)</f>
        <v/>
      </c>
      <c r="R268" s="7">
        <f>IF($AA268="","",SUMIFS('Per Line'!$Y$2:$Y$4001,'Per Line'!$E$2:$E$4001,$B268,'Per Line'!$AP$2:$AP$4001,0,'Per Line'!$AQ$2:$AQ$4001,0))</f>
        <v/>
      </c>
      <c r="S268" s="7">
        <f>IF($AA268="","",R268*Q268)</f>
        <v/>
      </c>
      <c r="T268">
        <f>IF($AA268="","",Settings!$C$6)</f>
        <v/>
      </c>
      <c r="U268" s="7">
        <f>IF($AA268="","",SUMIFS('Per Line'!$Y$2:$Y$4001,'Per Line'!$E$2:$E$4001,$B268,'Per Line'!$AP$2:$AP$4001,1,'Per Line'!$AQ$2:$AQ$4001,0))</f>
        <v/>
      </c>
      <c r="V268" s="7">
        <f>IF($AA268="","",U268*T268)</f>
        <v/>
      </c>
      <c r="W268" s="7">
        <f>IF($AA268="","",V268+S268)</f>
        <v/>
      </c>
      <c r="X268" s="7">
        <f>IF($AA268="","",Y268-W268)</f>
        <v/>
      </c>
      <c r="Y268" s="7">
        <f>IF($AA268="","",R268+U268+P268)</f>
        <v/>
      </c>
      <c r="Z268" s="7">
        <f>IF($AA268="","",Y268-W268-L268)</f>
        <v/>
      </c>
      <c r="AA268" s="13">
        <f>IF(ROWS($AA$2:$AA268)&lt;=MAX('Per Line'!$AO$2:$AO$4001),MATCH(ROWS($AA$2:$AA268),'Per Line'!$AO$2:$AO$4001,0),"")</f>
        <v/>
      </c>
      <c r="AB268" s="14">
        <f>IF($AA268="","",L268-K268*Y268/100)</f>
        <v/>
      </c>
    </row>
    <row r="269">
      <c r="A269" s="12" t="n"/>
      <c r="B269">
        <f>IF($AA269="","",INDEX('Per Line'!$E$2:$E$4001,$AA269)&amp;"")</f>
        <v/>
      </c>
      <c r="C269">
        <f>IF($AA269="","",INDEX('Per Line'!$A$2:$A$4001,$AA269)&amp;"")</f>
        <v/>
      </c>
      <c r="D269">
        <f>IF($AA269="","",INDEX('Per Line'!$D$2:$D$4001,$AA269)&amp;"")</f>
        <v/>
      </c>
      <c r="E269" s="11">
        <f>IF($AA269="","",INDEX('Per Line'!$G$2:$G$4001,$AA269))</f>
        <v/>
      </c>
      <c r="F269">
        <f>IF($AA269="","",INDEX('Per Line'!$H$2:$H$4001,$AA269)&amp;"")</f>
        <v/>
      </c>
      <c r="G269">
        <f>IF($AA269="","",INDEX('Per Line'!$I$2:$I$4001,$AA269)&amp;"")</f>
        <v/>
      </c>
      <c r="H269">
        <f>IF($AA269="","",INDEX('Per Line'!$J$2:$J$4001,$AA269)&amp;"")</f>
        <v/>
      </c>
      <c r="I269">
        <f>IF($AA269="","",INDEX('Per Line'!$K$2:$K$4001,$AA269)&amp;"")</f>
        <v/>
      </c>
      <c r="J269">
        <f>IF($AA269="","",INDEX('Per Line'!$L$2:$L$4001,$AA269)&amp;"")</f>
        <v/>
      </c>
      <c r="K269">
        <f>IF($AA269="","",INDEX('Per Line'!$P$2:$P$4001,$AA269))</f>
        <v/>
      </c>
      <c r="L269" s="7">
        <f>IF($AA269="","",IF(AND(ISNUMBER(N269),N269&gt;0,Y269&gt;N269),K269*N269/100+(Y269-N269),K269*Y269/100))</f>
        <v/>
      </c>
      <c r="M269">
        <f>IF($AA269="","",INDEX('Per Line'!$Z$2:$Z$4001,$AA269)&amp;"")</f>
        <v/>
      </c>
      <c r="N269">
        <f>IF($AA269="","",INDEX('Per Line'!$AG$2:$AG$4001,$AA269))</f>
        <v/>
      </c>
      <c r="O269">
        <f>IF($AA269="","",IF(AND(ISNUMBER(N269),N269&gt;0),Y269&gt;N269,FALSE))</f>
        <v/>
      </c>
      <c r="P269" s="7">
        <f>IF($AA269="","",SUMIFS('Per Line'!$Y$2:$Y$4001,'Per Line'!$E$2:$E$4001,$B269,'Per Line'!$AQ$2:$AQ$4001,1))</f>
        <v/>
      </c>
      <c r="Q269">
        <f>IF($AA269="","",Settings!$C$7)</f>
        <v/>
      </c>
      <c r="R269" s="7">
        <f>IF($AA269="","",SUMIFS('Per Line'!$Y$2:$Y$4001,'Per Line'!$E$2:$E$4001,$B269,'Per Line'!$AP$2:$AP$4001,0,'Per Line'!$AQ$2:$AQ$4001,0))</f>
        <v/>
      </c>
      <c r="S269" s="7">
        <f>IF($AA269="","",R269*Q269)</f>
        <v/>
      </c>
      <c r="T269">
        <f>IF($AA269="","",Settings!$C$6)</f>
        <v/>
      </c>
      <c r="U269" s="7">
        <f>IF($AA269="","",SUMIFS('Per Line'!$Y$2:$Y$4001,'Per Line'!$E$2:$E$4001,$B269,'Per Line'!$AP$2:$AP$4001,1,'Per Line'!$AQ$2:$AQ$4001,0))</f>
        <v/>
      </c>
      <c r="V269" s="7">
        <f>IF($AA269="","",U269*T269)</f>
        <v/>
      </c>
      <c r="W269" s="7">
        <f>IF($AA269="","",V269+S269)</f>
        <v/>
      </c>
      <c r="X269" s="7">
        <f>IF($AA269="","",Y269-W269)</f>
        <v/>
      </c>
      <c r="Y269" s="7">
        <f>IF($AA269="","",R269+U269+P269)</f>
        <v/>
      </c>
      <c r="Z269" s="7">
        <f>IF($AA269="","",Y269-W269-L269)</f>
        <v/>
      </c>
      <c r="AA269" s="13">
        <f>IF(ROWS($AA$2:$AA269)&lt;=MAX('Per Line'!$AO$2:$AO$4001),MATCH(ROWS($AA$2:$AA269),'Per Line'!$AO$2:$AO$4001,0),"")</f>
        <v/>
      </c>
      <c r="AB269" s="14">
        <f>IF($AA269="","",L269-K269*Y269/100)</f>
        <v/>
      </c>
    </row>
    <row r="270">
      <c r="A270" s="12" t="n"/>
      <c r="B270">
        <f>IF($AA270="","",INDEX('Per Line'!$E$2:$E$4001,$AA270)&amp;"")</f>
        <v/>
      </c>
      <c r="C270">
        <f>IF($AA270="","",INDEX('Per Line'!$A$2:$A$4001,$AA270)&amp;"")</f>
        <v/>
      </c>
      <c r="D270">
        <f>IF($AA270="","",INDEX('Per Line'!$D$2:$D$4001,$AA270)&amp;"")</f>
        <v/>
      </c>
      <c r="E270" s="11">
        <f>IF($AA270="","",INDEX('Per Line'!$G$2:$G$4001,$AA270))</f>
        <v/>
      </c>
      <c r="F270">
        <f>IF($AA270="","",INDEX('Per Line'!$H$2:$H$4001,$AA270)&amp;"")</f>
        <v/>
      </c>
      <c r="G270">
        <f>IF($AA270="","",INDEX('Per Line'!$I$2:$I$4001,$AA270)&amp;"")</f>
        <v/>
      </c>
      <c r="H270">
        <f>IF($AA270="","",INDEX('Per Line'!$J$2:$J$4001,$AA270)&amp;"")</f>
        <v/>
      </c>
      <c r="I270">
        <f>IF($AA270="","",INDEX('Per Line'!$K$2:$K$4001,$AA270)&amp;"")</f>
        <v/>
      </c>
      <c r="J270">
        <f>IF($AA270="","",INDEX('Per Line'!$L$2:$L$4001,$AA270)&amp;"")</f>
        <v/>
      </c>
      <c r="K270">
        <f>IF($AA270="","",INDEX('Per Line'!$P$2:$P$4001,$AA270))</f>
        <v/>
      </c>
      <c r="L270" s="7">
        <f>IF($AA270="","",IF(AND(ISNUMBER(N270),N270&gt;0,Y270&gt;N270),K270*N270/100+(Y270-N270),K270*Y270/100))</f>
        <v/>
      </c>
      <c r="M270">
        <f>IF($AA270="","",INDEX('Per Line'!$Z$2:$Z$4001,$AA270)&amp;"")</f>
        <v/>
      </c>
      <c r="N270">
        <f>IF($AA270="","",INDEX('Per Line'!$AG$2:$AG$4001,$AA270))</f>
        <v/>
      </c>
      <c r="O270">
        <f>IF($AA270="","",IF(AND(ISNUMBER(N270),N270&gt;0),Y270&gt;N270,FALSE))</f>
        <v/>
      </c>
      <c r="P270" s="7">
        <f>IF($AA270="","",SUMIFS('Per Line'!$Y$2:$Y$4001,'Per Line'!$E$2:$E$4001,$B270,'Per Line'!$AQ$2:$AQ$4001,1))</f>
        <v/>
      </c>
      <c r="Q270">
        <f>IF($AA270="","",Settings!$C$7)</f>
        <v/>
      </c>
      <c r="R270" s="7">
        <f>IF($AA270="","",SUMIFS('Per Line'!$Y$2:$Y$4001,'Per Line'!$E$2:$E$4001,$B270,'Per Line'!$AP$2:$AP$4001,0,'Per Line'!$AQ$2:$AQ$4001,0))</f>
        <v/>
      </c>
      <c r="S270" s="7">
        <f>IF($AA270="","",R270*Q270)</f>
        <v/>
      </c>
      <c r="T270">
        <f>IF($AA270="","",Settings!$C$6)</f>
        <v/>
      </c>
      <c r="U270" s="7">
        <f>IF($AA270="","",SUMIFS('Per Line'!$Y$2:$Y$4001,'Per Line'!$E$2:$E$4001,$B270,'Per Line'!$AP$2:$AP$4001,1,'Per Line'!$AQ$2:$AQ$4001,0))</f>
        <v/>
      </c>
      <c r="V270" s="7">
        <f>IF($AA270="","",U270*T270)</f>
        <v/>
      </c>
      <c r="W270" s="7">
        <f>IF($AA270="","",V270+S270)</f>
        <v/>
      </c>
      <c r="X270" s="7">
        <f>IF($AA270="","",Y270-W270)</f>
        <v/>
      </c>
      <c r="Y270" s="7">
        <f>IF($AA270="","",R270+U270+P270)</f>
        <v/>
      </c>
      <c r="Z270" s="7">
        <f>IF($AA270="","",Y270-W270-L270)</f>
        <v/>
      </c>
      <c r="AA270" s="13">
        <f>IF(ROWS($AA$2:$AA270)&lt;=MAX('Per Line'!$AO$2:$AO$4001),MATCH(ROWS($AA$2:$AA270),'Per Line'!$AO$2:$AO$4001,0),"")</f>
        <v/>
      </c>
      <c r="AB270" s="14">
        <f>IF($AA270="","",L270-K270*Y270/100)</f>
        <v/>
      </c>
    </row>
    <row r="271">
      <c r="A271" s="12" t="n"/>
      <c r="B271">
        <f>IF($AA271="","",INDEX('Per Line'!$E$2:$E$4001,$AA271)&amp;"")</f>
        <v/>
      </c>
      <c r="C271">
        <f>IF($AA271="","",INDEX('Per Line'!$A$2:$A$4001,$AA271)&amp;"")</f>
        <v/>
      </c>
      <c r="D271">
        <f>IF($AA271="","",INDEX('Per Line'!$D$2:$D$4001,$AA271)&amp;"")</f>
        <v/>
      </c>
      <c r="E271" s="11">
        <f>IF($AA271="","",INDEX('Per Line'!$G$2:$G$4001,$AA271))</f>
        <v/>
      </c>
      <c r="F271">
        <f>IF($AA271="","",INDEX('Per Line'!$H$2:$H$4001,$AA271)&amp;"")</f>
        <v/>
      </c>
      <c r="G271">
        <f>IF($AA271="","",INDEX('Per Line'!$I$2:$I$4001,$AA271)&amp;"")</f>
        <v/>
      </c>
      <c r="H271">
        <f>IF($AA271="","",INDEX('Per Line'!$J$2:$J$4001,$AA271)&amp;"")</f>
        <v/>
      </c>
      <c r="I271">
        <f>IF($AA271="","",INDEX('Per Line'!$K$2:$K$4001,$AA271)&amp;"")</f>
        <v/>
      </c>
      <c r="J271">
        <f>IF($AA271="","",INDEX('Per Line'!$L$2:$L$4001,$AA271)&amp;"")</f>
        <v/>
      </c>
      <c r="K271">
        <f>IF($AA271="","",INDEX('Per Line'!$P$2:$P$4001,$AA271))</f>
        <v/>
      </c>
      <c r="L271" s="7">
        <f>IF($AA271="","",IF(AND(ISNUMBER(N271),N271&gt;0,Y271&gt;N271),K271*N271/100+(Y271-N271),K271*Y271/100))</f>
        <v/>
      </c>
      <c r="M271">
        <f>IF($AA271="","",INDEX('Per Line'!$Z$2:$Z$4001,$AA271)&amp;"")</f>
        <v/>
      </c>
      <c r="N271">
        <f>IF($AA271="","",INDEX('Per Line'!$AG$2:$AG$4001,$AA271))</f>
        <v/>
      </c>
      <c r="O271">
        <f>IF($AA271="","",IF(AND(ISNUMBER(N271),N271&gt;0),Y271&gt;N271,FALSE))</f>
        <v/>
      </c>
      <c r="P271" s="7">
        <f>IF($AA271="","",SUMIFS('Per Line'!$Y$2:$Y$4001,'Per Line'!$E$2:$E$4001,$B271,'Per Line'!$AQ$2:$AQ$4001,1))</f>
        <v/>
      </c>
      <c r="Q271">
        <f>IF($AA271="","",Settings!$C$7)</f>
        <v/>
      </c>
      <c r="R271" s="7">
        <f>IF($AA271="","",SUMIFS('Per Line'!$Y$2:$Y$4001,'Per Line'!$E$2:$E$4001,$B271,'Per Line'!$AP$2:$AP$4001,0,'Per Line'!$AQ$2:$AQ$4001,0))</f>
        <v/>
      </c>
      <c r="S271" s="7">
        <f>IF($AA271="","",R271*Q271)</f>
        <v/>
      </c>
      <c r="T271">
        <f>IF($AA271="","",Settings!$C$6)</f>
        <v/>
      </c>
      <c r="U271" s="7">
        <f>IF($AA271="","",SUMIFS('Per Line'!$Y$2:$Y$4001,'Per Line'!$E$2:$E$4001,$B271,'Per Line'!$AP$2:$AP$4001,1,'Per Line'!$AQ$2:$AQ$4001,0))</f>
        <v/>
      </c>
      <c r="V271" s="7">
        <f>IF($AA271="","",U271*T271)</f>
        <v/>
      </c>
      <c r="W271" s="7">
        <f>IF($AA271="","",V271+S271)</f>
        <v/>
      </c>
      <c r="X271" s="7">
        <f>IF($AA271="","",Y271-W271)</f>
        <v/>
      </c>
      <c r="Y271" s="7">
        <f>IF($AA271="","",R271+U271+P271)</f>
        <v/>
      </c>
      <c r="Z271" s="7">
        <f>IF($AA271="","",Y271-W271-L271)</f>
        <v/>
      </c>
      <c r="AA271" s="13">
        <f>IF(ROWS($AA$2:$AA271)&lt;=MAX('Per Line'!$AO$2:$AO$4001),MATCH(ROWS($AA$2:$AA271),'Per Line'!$AO$2:$AO$4001,0),"")</f>
        <v/>
      </c>
      <c r="AB271" s="14">
        <f>IF($AA271="","",L271-K271*Y271/100)</f>
        <v/>
      </c>
    </row>
    <row r="272">
      <c r="A272" s="12" t="n"/>
      <c r="B272">
        <f>IF($AA272="","",INDEX('Per Line'!$E$2:$E$4001,$AA272)&amp;"")</f>
        <v/>
      </c>
      <c r="C272">
        <f>IF($AA272="","",INDEX('Per Line'!$A$2:$A$4001,$AA272)&amp;"")</f>
        <v/>
      </c>
      <c r="D272">
        <f>IF($AA272="","",INDEX('Per Line'!$D$2:$D$4001,$AA272)&amp;"")</f>
        <v/>
      </c>
      <c r="E272" s="11">
        <f>IF($AA272="","",INDEX('Per Line'!$G$2:$G$4001,$AA272))</f>
        <v/>
      </c>
      <c r="F272">
        <f>IF($AA272="","",INDEX('Per Line'!$H$2:$H$4001,$AA272)&amp;"")</f>
        <v/>
      </c>
      <c r="G272">
        <f>IF($AA272="","",INDEX('Per Line'!$I$2:$I$4001,$AA272)&amp;"")</f>
        <v/>
      </c>
      <c r="H272">
        <f>IF($AA272="","",INDEX('Per Line'!$J$2:$J$4001,$AA272)&amp;"")</f>
        <v/>
      </c>
      <c r="I272">
        <f>IF($AA272="","",INDEX('Per Line'!$K$2:$K$4001,$AA272)&amp;"")</f>
        <v/>
      </c>
      <c r="J272">
        <f>IF($AA272="","",INDEX('Per Line'!$L$2:$L$4001,$AA272)&amp;"")</f>
        <v/>
      </c>
      <c r="K272">
        <f>IF($AA272="","",INDEX('Per Line'!$P$2:$P$4001,$AA272))</f>
        <v/>
      </c>
      <c r="L272" s="7">
        <f>IF($AA272="","",IF(AND(ISNUMBER(N272),N272&gt;0,Y272&gt;N272),K272*N272/100+(Y272-N272),K272*Y272/100))</f>
        <v/>
      </c>
      <c r="M272">
        <f>IF($AA272="","",INDEX('Per Line'!$Z$2:$Z$4001,$AA272)&amp;"")</f>
        <v/>
      </c>
      <c r="N272">
        <f>IF($AA272="","",INDEX('Per Line'!$AG$2:$AG$4001,$AA272))</f>
        <v/>
      </c>
      <c r="O272">
        <f>IF($AA272="","",IF(AND(ISNUMBER(N272),N272&gt;0),Y272&gt;N272,FALSE))</f>
        <v/>
      </c>
      <c r="P272" s="7">
        <f>IF($AA272="","",SUMIFS('Per Line'!$Y$2:$Y$4001,'Per Line'!$E$2:$E$4001,$B272,'Per Line'!$AQ$2:$AQ$4001,1))</f>
        <v/>
      </c>
      <c r="Q272">
        <f>IF($AA272="","",Settings!$C$7)</f>
        <v/>
      </c>
      <c r="R272" s="7">
        <f>IF($AA272="","",SUMIFS('Per Line'!$Y$2:$Y$4001,'Per Line'!$E$2:$E$4001,$B272,'Per Line'!$AP$2:$AP$4001,0,'Per Line'!$AQ$2:$AQ$4001,0))</f>
        <v/>
      </c>
      <c r="S272" s="7">
        <f>IF($AA272="","",R272*Q272)</f>
        <v/>
      </c>
      <c r="T272">
        <f>IF($AA272="","",Settings!$C$6)</f>
        <v/>
      </c>
      <c r="U272" s="7">
        <f>IF($AA272="","",SUMIFS('Per Line'!$Y$2:$Y$4001,'Per Line'!$E$2:$E$4001,$B272,'Per Line'!$AP$2:$AP$4001,1,'Per Line'!$AQ$2:$AQ$4001,0))</f>
        <v/>
      </c>
      <c r="V272" s="7">
        <f>IF($AA272="","",U272*T272)</f>
        <v/>
      </c>
      <c r="W272" s="7">
        <f>IF($AA272="","",V272+S272)</f>
        <v/>
      </c>
      <c r="X272" s="7">
        <f>IF($AA272="","",Y272-W272)</f>
        <v/>
      </c>
      <c r="Y272" s="7">
        <f>IF($AA272="","",R272+U272+P272)</f>
        <v/>
      </c>
      <c r="Z272" s="7">
        <f>IF($AA272="","",Y272-W272-L272)</f>
        <v/>
      </c>
      <c r="AA272" s="13">
        <f>IF(ROWS($AA$2:$AA272)&lt;=MAX('Per Line'!$AO$2:$AO$4001),MATCH(ROWS($AA$2:$AA272),'Per Line'!$AO$2:$AO$4001,0),"")</f>
        <v/>
      </c>
      <c r="AB272" s="14">
        <f>IF($AA272="","",L272-K272*Y272/100)</f>
        <v/>
      </c>
    </row>
    <row r="273">
      <c r="A273" s="12" t="n"/>
      <c r="B273">
        <f>IF($AA273="","",INDEX('Per Line'!$E$2:$E$4001,$AA273)&amp;"")</f>
        <v/>
      </c>
      <c r="C273">
        <f>IF($AA273="","",INDEX('Per Line'!$A$2:$A$4001,$AA273)&amp;"")</f>
        <v/>
      </c>
      <c r="D273">
        <f>IF($AA273="","",INDEX('Per Line'!$D$2:$D$4001,$AA273)&amp;"")</f>
        <v/>
      </c>
      <c r="E273" s="11">
        <f>IF($AA273="","",INDEX('Per Line'!$G$2:$G$4001,$AA273))</f>
        <v/>
      </c>
      <c r="F273">
        <f>IF($AA273="","",INDEX('Per Line'!$H$2:$H$4001,$AA273)&amp;"")</f>
        <v/>
      </c>
      <c r="G273">
        <f>IF($AA273="","",INDEX('Per Line'!$I$2:$I$4001,$AA273)&amp;"")</f>
        <v/>
      </c>
      <c r="H273">
        <f>IF($AA273="","",INDEX('Per Line'!$J$2:$J$4001,$AA273)&amp;"")</f>
        <v/>
      </c>
      <c r="I273">
        <f>IF($AA273="","",INDEX('Per Line'!$K$2:$K$4001,$AA273)&amp;"")</f>
        <v/>
      </c>
      <c r="J273">
        <f>IF($AA273="","",INDEX('Per Line'!$L$2:$L$4001,$AA273)&amp;"")</f>
        <v/>
      </c>
      <c r="K273">
        <f>IF($AA273="","",INDEX('Per Line'!$P$2:$P$4001,$AA273))</f>
        <v/>
      </c>
      <c r="L273" s="7">
        <f>IF($AA273="","",IF(AND(ISNUMBER(N273),N273&gt;0,Y273&gt;N273),K273*N273/100+(Y273-N273),K273*Y273/100))</f>
        <v/>
      </c>
      <c r="M273">
        <f>IF($AA273="","",INDEX('Per Line'!$Z$2:$Z$4001,$AA273)&amp;"")</f>
        <v/>
      </c>
      <c r="N273">
        <f>IF($AA273="","",INDEX('Per Line'!$AG$2:$AG$4001,$AA273))</f>
        <v/>
      </c>
      <c r="O273">
        <f>IF($AA273="","",IF(AND(ISNUMBER(N273),N273&gt;0),Y273&gt;N273,FALSE))</f>
        <v/>
      </c>
      <c r="P273" s="7">
        <f>IF($AA273="","",SUMIFS('Per Line'!$Y$2:$Y$4001,'Per Line'!$E$2:$E$4001,$B273,'Per Line'!$AQ$2:$AQ$4001,1))</f>
        <v/>
      </c>
      <c r="Q273">
        <f>IF($AA273="","",Settings!$C$7)</f>
        <v/>
      </c>
      <c r="R273" s="7">
        <f>IF($AA273="","",SUMIFS('Per Line'!$Y$2:$Y$4001,'Per Line'!$E$2:$E$4001,$B273,'Per Line'!$AP$2:$AP$4001,0,'Per Line'!$AQ$2:$AQ$4001,0))</f>
        <v/>
      </c>
      <c r="S273" s="7">
        <f>IF($AA273="","",R273*Q273)</f>
        <v/>
      </c>
      <c r="T273">
        <f>IF($AA273="","",Settings!$C$6)</f>
        <v/>
      </c>
      <c r="U273" s="7">
        <f>IF($AA273="","",SUMIFS('Per Line'!$Y$2:$Y$4001,'Per Line'!$E$2:$E$4001,$B273,'Per Line'!$AP$2:$AP$4001,1,'Per Line'!$AQ$2:$AQ$4001,0))</f>
        <v/>
      </c>
      <c r="V273" s="7">
        <f>IF($AA273="","",U273*T273)</f>
        <v/>
      </c>
      <c r="W273" s="7">
        <f>IF($AA273="","",V273+S273)</f>
        <v/>
      </c>
      <c r="X273" s="7">
        <f>IF($AA273="","",Y273-W273)</f>
        <v/>
      </c>
      <c r="Y273" s="7">
        <f>IF($AA273="","",R273+U273+P273)</f>
        <v/>
      </c>
      <c r="Z273" s="7">
        <f>IF($AA273="","",Y273-W273-L273)</f>
        <v/>
      </c>
      <c r="AA273" s="13">
        <f>IF(ROWS($AA$2:$AA273)&lt;=MAX('Per Line'!$AO$2:$AO$4001),MATCH(ROWS($AA$2:$AA273),'Per Line'!$AO$2:$AO$4001,0),"")</f>
        <v/>
      </c>
      <c r="AB273" s="14">
        <f>IF($AA273="","",L273-K273*Y273/100)</f>
        <v/>
      </c>
    </row>
    <row r="274">
      <c r="A274" s="12" t="n"/>
      <c r="B274">
        <f>IF($AA274="","",INDEX('Per Line'!$E$2:$E$4001,$AA274)&amp;"")</f>
        <v/>
      </c>
      <c r="C274">
        <f>IF($AA274="","",INDEX('Per Line'!$A$2:$A$4001,$AA274)&amp;"")</f>
        <v/>
      </c>
      <c r="D274">
        <f>IF($AA274="","",INDEX('Per Line'!$D$2:$D$4001,$AA274)&amp;"")</f>
        <v/>
      </c>
      <c r="E274" s="11">
        <f>IF($AA274="","",INDEX('Per Line'!$G$2:$G$4001,$AA274))</f>
        <v/>
      </c>
      <c r="F274">
        <f>IF($AA274="","",INDEX('Per Line'!$H$2:$H$4001,$AA274)&amp;"")</f>
        <v/>
      </c>
      <c r="G274">
        <f>IF($AA274="","",INDEX('Per Line'!$I$2:$I$4001,$AA274)&amp;"")</f>
        <v/>
      </c>
      <c r="H274">
        <f>IF($AA274="","",INDEX('Per Line'!$J$2:$J$4001,$AA274)&amp;"")</f>
        <v/>
      </c>
      <c r="I274">
        <f>IF($AA274="","",INDEX('Per Line'!$K$2:$K$4001,$AA274)&amp;"")</f>
        <v/>
      </c>
      <c r="J274">
        <f>IF($AA274="","",INDEX('Per Line'!$L$2:$L$4001,$AA274)&amp;"")</f>
        <v/>
      </c>
      <c r="K274">
        <f>IF($AA274="","",INDEX('Per Line'!$P$2:$P$4001,$AA274))</f>
        <v/>
      </c>
      <c r="L274" s="7">
        <f>IF($AA274="","",IF(AND(ISNUMBER(N274),N274&gt;0,Y274&gt;N274),K274*N274/100+(Y274-N274),K274*Y274/100))</f>
        <v/>
      </c>
      <c r="M274">
        <f>IF($AA274="","",INDEX('Per Line'!$Z$2:$Z$4001,$AA274)&amp;"")</f>
        <v/>
      </c>
      <c r="N274">
        <f>IF($AA274="","",INDEX('Per Line'!$AG$2:$AG$4001,$AA274))</f>
        <v/>
      </c>
      <c r="O274">
        <f>IF($AA274="","",IF(AND(ISNUMBER(N274),N274&gt;0),Y274&gt;N274,FALSE))</f>
        <v/>
      </c>
      <c r="P274" s="7">
        <f>IF($AA274="","",SUMIFS('Per Line'!$Y$2:$Y$4001,'Per Line'!$E$2:$E$4001,$B274,'Per Line'!$AQ$2:$AQ$4001,1))</f>
        <v/>
      </c>
      <c r="Q274">
        <f>IF($AA274="","",Settings!$C$7)</f>
        <v/>
      </c>
      <c r="R274" s="7">
        <f>IF($AA274="","",SUMIFS('Per Line'!$Y$2:$Y$4001,'Per Line'!$E$2:$E$4001,$B274,'Per Line'!$AP$2:$AP$4001,0,'Per Line'!$AQ$2:$AQ$4001,0))</f>
        <v/>
      </c>
      <c r="S274" s="7">
        <f>IF($AA274="","",R274*Q274)</f>
        <v/>
      </c>
      <c r="T274">
        <f>IF($AA274="","",Settings!$C$6)</f>
        <v/>
      </c>
      <c r="U274" s="7">
        <f>IF($AA274="","",SUMIFS('Per Line'!$Y$2:$Y$4001,'Per Line'!$E$2:$E$4001,$B274,'Per Line'!$AP$2:$AP$4001,1,'Per Line'!$AQ$2:$AQ$4001,0))</f>
        <v/>
      </c>
      <c r="V274" s="7">
        <f>IF($AA274="","",U274*T274)</f>
        <v/>
      </c>
      <c r="W274" s="7">
        <f>IF($AA274="","",V274+S274)</f>
        <v/>
      </c>
      <c r="X274" s="7">
        <f>IF($AA274="","",Y274-W274)</f>
        <v/>
      </c>
      <c r="Y274" s="7">
        <f>IF($AA274="","",R274+U274+P274)</f>
        <v/>
      </c>
      <c r="Z274" s="7">
        <f>IF($AA274="","",Y274-W274-L274)</f>
        <v/>
      </c>
      <c r="AA274" s="13">
        <f>IF(ROWS($AA$2:$AA274)&lt;=MAX('Per Line'!$AO$2:$AO$4001),MATCH(ROWS($AA$2:$AA274),'Per Line'!$AO$2:$AO$4001,0),"")</f>
        <v/>
      </c>
      <c r="AB274" s="14">
        <f>IF($AA274="","",L274-K274*Y274/100)</f>
        <v/>
      </c>
    </row>
    <row r="275">
      <c r="A275" s="12" t="n"/>
      <c r="B275">
        <f>IF($AA275="","",INDEX('Per Line'!$E$2:$E$4001,$AA275)&amp;"")</f>
        <v/>
      </c>
      <c r="C275">
        <f>IF($AA275="","",INDEX('Per Line'!$A$2:$A$4001,$AA275)&amp;"")</f>
        <v/>
      </c>
      <c r="D275">
        <f>IF($AA275="","",INDEX('Per Line'!$D$2:$D$4001,$AA275)&amp;"")</f>
        <v/>
      </c>
      <c r="E275" s="11">
        <f>IF($AA275="","",INDEX('Per Line'!$G$2:$G$4001,$AA275))</f>
        <v/>
      </c>
      <c r="F275">
        <f>IF($AA275="","",INDEX('Per Line'!$H$2:$H$4001,$AA275)&amp;"")</f>
        <v/>
      </c>
      <c r="G275">
        <f>IF($AA275="","",INDEX('Per Line'!$I$2:$I$4001,$AA275)&amp;"")</f>
        <v/>
      </c>
      <c r="H275">
        <f>IF($AA275="","",INDEX('Per Line'!$J$2:$J$4001,$AA275)&amp;"")</f>
        <v/>
      </c>
      <c r="I275">
        <f>IF($AA275="","",INDEX('Per Line'!$K$2:$K$4001,$AA275)&amp;"")</f>
        <v/>
      </c>
      <c r="J275">
        <f>IF($AA275="","",INDEX('Per Line'!$L$2:$L$4001,$AA275)&amp;"")</f>
        <v/>
      </c>
      <c r="K275">
        <f>IF($AA275="","",INDEX('Per Line'!$P$2:$P$4001,$AA275))</f>
        <v/>
      </c>
      <c r="L275" s="7">
        <f>IF($AA275="","",IF(AND(ISNUMBER(N275),N275&gt;0,Y275&gt;N275),K275*N275/100+(Y275-N275),K275*Y275/100))</f>
        <v/>
      </c>
      <c r="M275">
        <f>IF($AA275="","",INDEX('Per Line'!$Z$2:$Z$4001,$AA275)&amp;"")</f>
        <v/>
      </c>
      <c r="N275">
        <f>IF($AA275="","",INDEX('Per Line'!$AG$2:$AG$4001,$AA275))</f>
        <v/>
      </c>
      <c r="O275">
        <f>IF($AA275="","",IF(AND(ISNUMBER(N275),N275&gt;0),Y275&gt;N275,FALSE))</f>
        <v/>
      </c>
      <c r="P275" s="7">
        <f>IF($AA275="","",SUMIFS('Per Line'!$Y$2:$Y$4001,'Per Line'!$E$2:$E$4001,$B275,'Per Line'!$AQ$2:$AQ$4001,1))</f>
        <v/>
      </c>
      <c r="Q275">
        <f>IF($AA275="","",Settings!$C$7)</f>
        <v/>
      </c>
      <c r="R275" s="7">
        <f>IF($AA275="","",SUMIFS('Per Line'!$Y$2:$Y$4001,'Per Line'!$E$2:$E$4001,$B275,'Per Line'!$AP$2:$AP$4001,0,'Per Line'!$AQ$2:$AQ$4001,0))</f>
        <v/>
      </c>
      <c r="S275" s="7">
        <f>IF($AA275="","",R275*Q275)</f>
        <v/>
      </c>
      <c r="T275">
        <f>IF($AA275="","",Settings!$C$6)</f>
        <v/>
      </c>
      <c r="U275" s="7">
        <f>IF($AA275="","",SUMIFS('Per Line'!$Y$2:$Y$4001,'Per Line'!$E$2:$E$4001,$B275,'Per Line'!$AP$2:$AP$4001,1,'Per Line'!$AQ$2:$AQ$4001,0))</f>
        <v/>
      </c>
      <c r="V275" s="7">
        <f>IF($AA275="","",U275*T275)</f>
        <v/>
      </c>
      <c r="W275" s="7">
        <f>IF($AA275="","",V275+S275)</f>
        <v/>
      </c>
      <c r="X275" s="7">
        <f>IF($AA275="","",Y275-W275)</f>
        <v/>
      </c>
      <c r="Y275" s="7">
        <f>IF($AA275="","",R275+U275+P275)</f>
        <v/>
      </c>
      <c r="Z275" s="7">
        <f>IF($AA275="","",Y275-W275-L275)</f>
        <v/>
      </c>
      <c r="AA275" s="13">
        <f>IF(ROWS($AA$2:$AA275)&lt;=MAX('Per Line'!$AO$2:$AO$4001),MATCH(ROWS($AA$2:$AA275),'Per Line'!$AO$2:$AO$4001,0),"")</f>
        <v/>
      </c>
      <c r="AB275" s="14">
        <f>IF($AA275="","",L275-K275*Y275/100)</f>
        <v/>
      </c>
    </row>
    <row r="276">
      <c r="A276" s="12" t="n"/>
      <c r="B276">
        <f>IF($AA276="","",INDEX('Per Line'!$E$2:$E$4001,$AA276)&amp;"")</f>
        <v/>
      </c>
      <c r="C276">
        <f>IF($AA276="","",INDEX('Per Line'!$A$2:$A$4001,$AA276)&amp;"")</f>
        <v/>
      </c>
      <c r="D276">
        <f>IF($AA276="","",INDEX('Per Line'!$D$2:$D$4001,$AA276)&amp;"")</f>
        <v/>
      </c>
      <c r="E276" s="11">
        <f>IF($AA276="","",INDEX('Per Line'!$G$2:$G$4001,$AA276))</f>
        <v/>
      </c>
      <c r="F276">
        <f>IF($AA276="","",INDEX('Per Line'!$H$2:$H$4001,$AA276)&amp;"")</f>
        <v/>
      </c>
      <c r="G276">
        <f>IF($AA276="","",INDEX('Per Line'!$I$2:$I$4001,$AA276)&amp;"")</f>
        <v/>
      </c>
      <c r="H276">
        <f>IF($AA276="","",INDEX('Per Line'!$J$2:$J$4001,$AA276)&amp;"")</f>
        <v/>
      </c>
      <c r="I276">
        <f>IF($AA276="","",INDEX('Per Line'!$K$2:$K$4001,$AA276)&amp;"")</f>
        <v/>
      </c>
      <c r="J276">
        <f>IF($AA276="","",INDEX('Per Line'!$L$2:$L$4001,$AA276)&amp;"")</f>
        <v/>
      </c>
      <c r="K276">
        <f>IF($AA276="","",INDEX('Per Line'!$P$2:$P$4001,$AA276))</f>
        <v/>
      </c>
      <c r="L276" s="7">
        <f>IF($AA276="","",IF(AND(ISNUMBER(N276),N276&gt;0,Y276&gt;N276),K276*N276/100+(Y276-N276),K276*Y276/100))</f>
        <v/>
      </c>
      <c r="M276">
        <f>IF($AA276="","",INDEX('Per Line'!$Z$2:$Z$4001,$AA276)&amp;"")</f>
        <v/>
      </c>
      <c r="N276">
        <f>IF($AA276="","",INDEX('Per Line'!$AG$2:$AG$4001,$AA276))</f>
        <v/>
      </c>
      <c r="O276">
        <f>IF($AA276="","",IF(AND(ISNUMBER(N276),N276&gt;0),Y276&gt;N276,FALSE))</f>
        <v/>
      </c>
      <c r="P276" s="7">
        <f>IF($AA276="","",SUMIFS('Per Line'!$Y$2:$Y$4001,'Per Line'!$E$2:$E$4001,$B276,'Per Line'!$AQ$2:$AQ$4001,1))</f>
        <v/>
      </c>
      <c r="Q276">
        <f>IF($AA276="","",Settings!$C$7)</f>
        <v/>
      </c>
      <c r="R276" s="7">
        <f>IF($AA276="","",SUMIFS('Per Line'!$Y$2:$Y$4001,'Per Line'!$E$2:$E$4001,$B276,'Per Line'!$AP$2:$AP$4001,0,'Per Line'!$AQ$2:$AQ$4001,0))</f>
        <v/>
      </c>
      <c r="S276" s="7">
        <f>IF($AA276="","",R276*Q276)</f>
        <v/>
      </c>
      <c r="T276">
        <f>IF($AA276="","",Settings!$C$6)</f>
        <v/>
      </c>
      <c r="U276" s="7">
        <f>IF($AA276="","",SUMIFS('Per Line'!$Y$2:$Y$4001,'Per Line'!$E$2:$E$4001,$B276,'Per Line'!$AP$2:$AP$4001,1,'Per Line'!$AQ$2:$AQ$4001,0))</f>
        <v/>
      </c>
      <c r="V276" s="7">
        <f>IF($AA276="","",U276*T276)</f>
        <v/>
      </c>
      <c r="W276" s="7">
        <f>IF($AA276="","",V276+S276)</f>
        <v/>
      </c>
      <c r="X276" s="7">
        <f>IF($AA276="","",Y276-W276)</f>
        <v/>
      </c>
      <c r="Y276" s="7">
        <f>IF($AA276="","",R276+U276+P276)</f>
        <v/>
      </c>
      <c r="Z276" s="7">
        <f>IF($AA276="","",Y276-W276-L276)</f>
        <v/>
      </c>
      <c r="AA276" s="13">
        <f>IF(ROWS($AA$2:$AA276)&lt;=MAX('Per Line'!$AO$2:$AO$4001),MATCH(ROWS($AA$2:$AA276),'Per Line'!$AO$2:$AO$4001,0),"")</f>
        <v/>
      </c>
      <c r="AB276" s="14">
        <f>IF($AA276="","",L276-K276*Y276/100)</f>
        <v/>
      </c>
    </row>
    <row r="277">
      <c r="A277" s="12" t="n"/>
      <c r="B277">
        <f>IF($AA277="","",INDEX('Per Line'!$E$2:$E$4001,$AA277)&amp;"")</f>
        <v/>
      </c>
      <c r="C277">
        <f>IF($AA277="","",INDEX('Per Line'!$A$2:$A$4001,$AA277)&amp;"")</f>
        <v/>
      </c>
      <c r="D277">
        <f>IF($AA277="","",INDEX('Per Line'!$D$2:$D$4001,$AA277)&amp;"")</f>
        <v/>
      </c>
      <c r="E277" s="11">
        <f>IF($AA277="","",INDEX('Per Line'!$G$2:$G$4001,$AA277))</f>
        <v/>
      </c>
      <c r="F277">
        <f>IF($AA277="","",INDEX('Per Line'!$H$2:$H$4001,$AA277)&amp;"")</f>
        <v/>
      </c>
      <c r="G277">
        <f>IF($AA277="","",INDEX('Per Line'!$I$2:$I$4001,$AA277)&amp;"")</f>
        <v/>
      </c>
      <c r="H277">
        <f>IF($AA277="","",INDEX('Per Line'!$J$2:$J$4001,$AA277)&amp;"")</f>
        <v/>
      </c>
      <c r="I277">
        <f>IF($AA277="","",INDEX('Per Line'!$K$2:$K$4001,$AA277)&amp;"")</f>
        <v/>
      </c>
      <c r="J277">
        <f>IF($AA277="","",INDEX('Per Line'!$L$2:$L$4001,$AA277)&amp;"")</f>
        <v/>
      </c>
      <c r="K277">
        <f>IF($AA277="","",INDEX('Per Line'!$P$2:$P$4001,$AA277))</f>
        <v/>
      </c>
      <c r="L277" s="7">
        <f>IF($AA277="","",IF(AND(ISNUMBER(N277),N277&gt;0,Y277&gt;N277),K277*N277/100+(Y277-N277),K277*Y277/100))</f>
        <v/>
      </c>
      <c r="M277">
        <f>IF($AA277="","",INDEX('Per Line'!$Z$2:$Z$4001,$AA277)&amp;"")</f>
        <v/>
      </c>
      <c r="N277">
        <f>IF($AA277="","",INDEX('Per Line'!$AG$2:$AG$4001,$AA277))</f>
        <v/>
      </c>
      <c r="O277">
        <f>IF($AA277="","",IF(AND(ISNUMBER(N277),N277&gt;0),Y277&gt;N277,FALSE))</f>
        <v/>
      </c>
      <c r="P277" s="7">
        <f>IF($AA277="","",SUMIFS('Per Line'!$Y$2:$Y$4001,'Per Line'!$E$2:$E$4001,$B277,'Per Line'!$AQ$2:$AQ$4001,1))</f>
        <v/>
      </c>
      <c r="Q277">
        <f>IF($AA277="","",Settings!$C$7)</f>
        <v/>
      </c>
      <c r="R277" s="7">
        <f>IF($AA277="","",SUMIFS('Per Line'!$Y$2:$Y$4001,'Per Line'!$E$2:$E$4001,$B277,'Per Line'!$AP$2:$AP$4001,0,'Per Line'!$AQ$2:$AQ$4001,0))</f>
        <v/>
      </c>
      <c r="S277" s="7">
        <f>IF($AA277="","",R277*Q277)</f>
        <v/>
      </c>
      <c r="T277">
        <f>IF($AA277="","",Settings!$C$6)</f>
        <v/>
      </c>
      <c r="U277" s="7">
        <f>IF($AA277="","",SUMIFS('Per Line'!$Y$2:$Y$4001,'Per Line'!$E$2:$E$4001,$B277,'Per Line'!$AP$2:$AP$4001,1,'Per Line'!$AQ$2:$AQ$4001,0))</f>
        <v/>
      </c>
      <c r="V277" s="7">
        <f>IF($AA277="","",U277*T277)</f>
        <v/>
      </c>
      <c r="W277" s="7">
        <f>IF($AA277="","",V277+S277)</f>
        <v/>
      </c>
      <c r="X277" s="7">
        <f>IF($AA277="","",Y277-W277)</f>
        <v/>
      </c>
      <c r="Y277" s="7">
        <f>IF($AA277="","",R277+U277+P277)</f>
        <v/>
      </c>
      <c r="Z277" s="7">
        <f>IF($AA277="","",Y277-W277-L277)</f>
        <v/>
      </c>
      <c r="AA277" s="13">
        <f>IF(ROWS($AA$2:$AA277)&lt;=MAX('Per Line'!$AO$2:$AO$4001),MATCH(ROWS($AA$2:$AA277),'Per Line'!$AO$2:$AO$4001,0),"")</f>
        <v/>
      </c>
      <c r="AB277" s="14">
        <f>IF($AA277="","",L277-K277*Y277/100)</f>
        <v/>
      </c>
    </row>
    <row r="278">
      <c r="A278" s="12" t="n"/>
      <c r="B278">
        <f>IF($AA278="","",INDEX('Per Line'!$E$2:$E$4001,$AA278)&amp;"")</f>
        <v/>
      </c>
      <c r="C278">
        <f>IF($AA278="","",INDEX('Per Line'!$A$2:$A$4001,$AA278)&amp;"")</f>
        <v/>
      </c>
      <c r="D278">
        <f>IF($AA278="","",INDEX('Per Line'!$D$2:$D$4001,$AA278)&amp;"")</f>
        <v/>
      </c>
      <c r="E278" s="11">
        <f>IF($AA278="","",INDEX('Per Line'!$G$2:$G$4001,$AA278))</f>
        <v/>
      </c>
      <c r="F278">
        <f>IF($AA278="","",INDEX('Per Line'!$H$2:$H$4001,$AA278)&amp;"")</f>
        <v/>
      </c>
      <c r="G278">
        <f>IF($AA278="","",INDEX('Per Line'!$I$2:$I$4001,$AA278)&amp;"")</f>
        <v/>
      </c>
      <c r="H278">
        <f>IF($AA278="","",INDEX('Per Line'!$J$2:$J$4001,$AA278)&amp;"")</f>
        <v/>
      </c>
      <c r="I278">
        <f>IF($AA278="","",INDEX('Per Line'!$K$2:$K$4001,$AA278)&amp;"")</f>
        <v/>
      </c>
      <c r="J278">
        <f>IF($AA278="","",INDEX('Per Line'!$L$2:$L$4001,$AA278)&amp;"")</f>
        <v/>
      </c>
      <c r="K278">
        <f>IF($AA278="","",INDEX('Per Line'!$P$2:$P$4001,$AA278))</f>
        <v/>
      </c>
      <c r="L278" s="7">
        <f>IF($AA278="","",IF(AND(ISNUMBER(N278),N278&gt;0,Y278&gt;N278),K278*N278/100+(Y278-N278),K278*Y278/100))</f>
        <v/>
      </c>
      <c r="M278">
        <f>IF($AA278="","",INDEX('Per Line'!$Z$2:$Z$4001,$AA278)&amp;"")</f>
        <v/>
      </c>
      <c r="N278">
        <f>IF($AA278="","",INDEX('Per Line'!$AG$2:$AG$4001,$AA278))</f>
        <v/>
      </c>
      <c r="O278">
        <f>IF($AA278="","",IF(AND(ISNUMBER(N278),N278&gt;0),Y278&gt;N278,FALSE))</f>
        <v/>
      </c>
      <c r="P278" s="7">
        <f>IF($AA278="","",SUMIFS('Per Line'!$Y$2:$Y$4001,'Per Line'!$E$2:$E$4001,$B278,'Per Line'!$AQ$2:$AQ$4001,1))</f>
        <v/>
      </c>
      <c r="Q278">
        <f>IF($AA278="","",Settings!$C$7)</f>
        <v/>
      </c>
      <c r="R278" s="7">
        <f>IF($AA278="","",SUMIFS('Per Line'!$Y$2:$Y$4001,'Per Line'!$E$2:$E$4001,$B278,'Per Line'!$AP$2:$AP$4001,0,'Per Line'!$AQ$2:$AQ$4001,0))</f>
        <v/>
      </c>
      <c r="S278" s="7">
        <f>IF($AA278="","",R278*Q278)</f>
        <v/>
      </c>
      <c r="T278">
        <f>IF($AA278="","",Settings!$C$6)</f>
        <v/>
      </c>
      <c r="U278" s="7">
        <f>IF($AA278="","",SUMIFS('Per Line'!$Y$2:$Y$4001,'Per Line'!$E$2:$E$4001,$B278,'Per Line'!$AP$2:$AP$4001,1,'Per Line'!$AQ$2:$AQ$4001,0))</f>
        <v/>
      </c>
      <c r="V278" s="7">
        <f>IF($AA278="","",U278*T278)</f>
        <v/>
      </c>
      <c r="W278" s="7">
        <f>IF($AA278="","",V278+S278)</f>
        <v/>
      </c>
      <c r="X278" s="7">
        <f>IF($AA278="","",Y278-W278)</f>
        <v/>
      </c>
      <c r="Y278" s="7">
        <f>IF($AA278="","",R278+U278+P278)</f>
        <v/>
      </c>
      <c r="Z278" s="7">
        <f>IF($AA278="","",Y278-W278-L278)</f>
        <v/>
      </c>
      <c r="AA278" s="13">
        <f>IF(ROWS($AA$2:$AA278)&lt;=MAX('Per Line'!$AO$2:$AO$4001),MATCH(ROWS($AA$2:$AA278),'Per Line'!$AO$2:$AO$4001,0),"")</f>
        <v/>
      </c>
      <c r="AB278" s="14">
        <f>IF($AA278="","",L278-K278*Y278/100)</f>
        <v/>
      </c>
    </row>
    <row r="279">
      <c r="A279" s="12" t="n"/>
      <c r="B279">
        <f>IF($AA279="","",INDEX('Per Line'!$E$2:$E$4001,$AA279)&amp;"")</f>
        <v/>
      </c>
      <c r="C279">
        <f>IF($AA279="","",INDEX('Per Line'!$A$2:$A$4001,$AA279)&amp;"")</f>
        <v/>
      </c>
      <c r="D279">
        <f>IF($AA279="","",INDEX('Per Line'!$D$2:$D$4001,$AA279)&amp;"")</f>
        <v/>
      </c>
      <c r="E279" s="11">
        <f>IF($AA279="","",INDEX('Per Line'!$G$2:$G$4001,$AA279))</f>
        <v/>
      </c>
      <c r="F279">
        <f>IF($AA279="","",INDEX('Per Line'!$H$2:$H$4001,$AA279)&amp;"")</f>
        <v/>
      </c>
      <c r="G279">
        <f>IF($AA279="","",INDEX('Per Line'!$I$2:$I$4001,$AA279)&amp;"")</f>
        <v/>
      </c>
      <c r="H279">
        <f>IF($AA279="","",INDEX('Per Line'!$J$2:$J$4001,$AA279)&amp;"")</f>
        <v/>
      </c>
      <c r="I279">
        <f>IF($AA279="","",INDEX('Per Line'!$K$2:$K$4001,$AA279)&amp;"")</f>
        <v/>
      </c>
      <c r="J279">
        <f>IF($AA279="","",INDEX('Per Line'!$L$2:$L$4001,$AA279)&amp;"")</f>
        <v/>
      </c>
      <c r="K279">
        <f>IF($AA279="","",INDEX('Per Line'!$P$2:$P$4001,$AA279))</f>
        <v/>
      </c>
      <c r="L279" s="7">
        <f>IF($AA279="","",IF(AND(ISNUMBER(N279),N279&gt;0,Y279&gt;N279),K279*N279/100+(Y279-N279),K279*Y279/100))</f>
        <v/>
      </c>
      <c r="M279">
        <f>IF($AA279="","",INDEX('Per Line'!$Z$2:$Z$4001,$AA279)&amp;"")</f>
        <v/>
      </c>
      <c r="N279">
        <f>IF($AA279="","",INDEX('Per Line'!$AG$2:$AG$4001,$AA279))</f>
        <v/>
      </c>
      <c r="O279">
        <f>IF($AA279="","",IF(AND(ISNUMBER(N279),N279&gt;0),Y279&gt;N279,FALSE))</f>
        <v/>
      </c>
      <c r="P279" s="7">
        <f>IF($AA279="","",SUMIFS('Per Line'!$Y$2:$Y$4001,'Per Line'!$E$2:$E$4001,$B279,'Per Line'!$AQ$2:$AQ$4001,1))</f>
        <v/>
      </c>
      <c r="Q279">
        <f>IF($AA279="","",Settings!$C$7)</f>
        <v/>
      </c>
      <c r="R279" s="7">
        <f>IF($AA279="","",SUMIFS('Per Line'!$Y$2:$Y$4001,'Per Line'!$E$2:$E$4001,$B279,'Per Line'!$AP$2:$AP$4001,0,'Per Line'!$AQ$2:$AQ$4001,0))</f>
        <v/>
      </c>
      <c r="S279" s="7">
        <f>IF($AA279="","",R279*Q279)</f>
        <v/>
      </c>
      <c r="T279">
        <f>IF($AA279="","",Settings!$C$6)</f>
        <v/>
      </c>
      <c r="U279" s="7">
        <f>IF($AA279="","",SUMIFS('Per Line'!$Y$2:$Y$4001,'Per Line'!$E$2:$E$4001,$B279,'Per Line'!$AP$2:$AP$4001,1,'Per Line'!$AQ$2:$AQ$4001,0))</f>
        <v/>
      </c>
      <c r="V279" s="7">
        <f>IF($AA279="","",U279*T279)</f>
        <v/>
      </c>
      <c r="W279" s="7">
        <f>IF($AA279="","",V279+S279)</f>
        <v/>
      </c>
      <c r="X279" s="7">
        <f>IF($AA279="","",Y279-W279)</f>
        <v/>
      </c>
      <c r="Y279" s="7">
        <f>IF($AA279="","",R279+U279+P279)</f>
        <v/>
      </c>
      <c r="Z279" s="7">
        <f>IF($AA279="","",Y279-W279-L279)</f>
        <v/>
      </c>
      <c r="AA279" s="13">
        <f>IF(ROWS($AA$2:$AA279)&lt;=MAX('Per Line'!$AO$2:$AO$4001),MATCH(ROWS($AA$2:$AA279),'Per Line'!$AO$2:$AO$4001,0),"")</f>
        <v/>
      </c>
      <c r="AB279" s="14">
        <f>IF($AA279="","",L279-K279*Y279/100)</f>
        <v/>
      </c>
    </row>
    <row r="280">
      <c r="A280" s="12" t="n"/>
      <c r="B280">
        <f>IF($AA280="","",INDEX('Per Line'!$E$2:$E$4001,$AA280)&amp;"")</f>
        <v/>
      </c>
      <c r="C280">
        <f>IF($AA280="","",INDEX('Per Line'!$A$2:$A$4001,$AA280)&amp;"")</f>
        <v/>
      </c>
      <c r="D280">
        <f>IF($AA280="","",INDEX('Per Line'!$D$2:$D$4001,$AA280)&amp;"")</f>
        <v/>
      </c>
      <c r="E280" s="11">
        <f>IF($AA280="","",INDEX('Per Line'!$G$2:$G$4001,$AA280))</f>
        <v/>
      </c>
      <c r="F280">
        <f>IF($AA280="","",INDEX('Per Line'!$H$2:$H$4001,$AA280)&amp;"")</f>
        <v/>
      </c>
      <c r="G280">
        <f>IF($AA280="","",INDEX('Per Line'!$I$2:$I$4001,$AA280)&amp;"")</f>
        <v/>
      </c>
      <c r="H280">
        <f>IF($AA280="","",INDEX('Per Line'!$J$2:$J$4001,$AA280)&amp;"")</f>
        <v/>
      </c>
      <c r="I280">
        <f>IF($AA280="","",INDEX('Per Line'!$K$2:$K$4001,$AA280)&amp;"")</f>
        <v/>
      </c>
      <c r="J280">
        <f>IF($AA280="","",INDEX('Per Line'!$L$2:$L$4001,$AA280)&amp;"")</f>
        <v/>
      </c>
      <c r="K280">
        <f>IF($AA280="","",INDEX('Per Line'!$P$2:$P$4001,$AA280))</f>
        <v/>
      </c>
      <c r="L280" s="7">
        <f>IF($AA280="","",IF(AND(ISNUMBER(N280),N280&gt;0,Y280&gt;N280),K280*N280/100+(Y280-N280),K280*Y280/100))</f>
        <v/>
      </c>
      <c r="M280">
        <f>IF($AA280="","",INDEX('Per Line'!$Z$2:$Z$4001,$AA280)&amp;"")</f>
        <v/>
      </c>
      <c r="N280">
        <f>IF($AA280="","",INDEX('Per Line'!$AG$2:$AG$4001,$AA280))</f>
        <v/>
      </c>
      <c r="O280">
        <f>IF($AA280="","",IF(AND(ISNUMBER(N280),N280&gt;0),Y280&gt;N280,FALSE))</f>
        <v/>
      </c>
      <c r="P280" s="7">
        <f>IF($AA280="","",SUMIFS('Per Line'!$Y$2:$Y$4001,'Per Line'!$E$2:$E$4001,$B280,'Per Line'!$AQ$2:$AQ$4001,1))</f>
        <v/>
      </c>
      <c r="Q280">
        <f>IF($AA280="","",Settings!$C$7)</f>
        <v/>
      </c>
      <c r="R280" s="7">
        <f>IF($AA280="","",SUMIFS('Per Line'!$Y$2:$Y$4001,'Per Line'!$E$2:$E$4001,$B280,'Per Line'!$AP$2:$AP$4001,0,'Per Line'!$AQ$2:$AQ$4001,0))</f>
        <v/>
      </c>
      <c r="S280" s="7">
        <f>IF($AA280="","",R280*Q280)</f>
        <v/>
      </c>
      <c r="T280">
        <f>IF($AA280="","",Settings!$C$6)</f>
        <v/>
      </c>
      <c r="U280" s="7">
        <f>IF($AA280="","",SUMIFS('Per Line'!$Y$2:$Y$4001,'Per Line'!$E$2:$E$4001,$B280,'Per Line'!$AP$2:$AP$4001,1,'Per Line'!$AQ$2:$AQ$4001,0))</f>
        <v/>
      </c>
      <c r="V280" s="7">
        <f>IF($AA280="","",U280*T280)</f>
        <v/>
      </c>
      <c r="W280" s="7">
        <f>IF($AA280="","",V280+S280)</f>
        <v/>
      </c>
      <c r="X280" s="7">
        <f>IF($AA280="","",Y280-W280)</f>
        <v/>
      </c>
      <c r="Y280" s="7">
        <f>IF($AA280="","",R280+U280+P280)</f>
        <v/>
      </c>
      <c r="Z280" s="7">
        <f>IF($AA280="","",Y280-W280-L280)</f>
        <v/>
      </c>
      <c r="AA280" s="13">
        <f>IF(ROWS($AA$2:$AA280)&lt;=MAX('Per Line'!$AO$2:$AO$4001),MATCH(ROWS($AA$2:$AA280),'Per Line'!$AO$2:$AO$4001,0),"")</f>
        <v/>
      </c>
      <c r="AB280" s="14">
        <f>IF($AA280="","",L280-K280*Y280/100)</f>
        <v/>
      </c>
    </row>
    <row r="281">
      <c r="A281" s="12" t="n"/>
      <c r="B281">
        <f>IF($AA281="","",INDEX('Per Line'!$E$2:$E$4001,$AA281)&amp;"")</f>
        <v/>
      </c>
      <c r="C281">
        <f>IF($AA281="","",INDEX('Per Line'!$A$2:$A$4001,$AA281)&amp;"")</f>
        <v/>
      </c>
      <c r="D281">
        <f>IF($AA281="","",INDEX('Per Line'!$D$2:$D$4001,$AA281)&amp;"")</f>
        <v/>
      </c>
      <c r="E281" s="11">
        <f>IF($AA281="","",INDEX('Per Line'!$G$2:$G$4001,$AA281))</f>
        <v/>
      </c>
      <c r="F281">
        <f>IF($AA281="","",INDEX('Per Line'!$H$2:$H$4001,$AA281)&amp;"")</f>
        <v/>
      </c>
      <c r="G281">
        <f>IF($AA281="","",INDEX('Per Line'!$I$2:$I$4001,$AA281)&amp;"")</f>
        <v/>
      </c>
      <c r="H281">
        <f>IF($AA281="","",INDEX('Per Line'!$J$2:$J$4001,$AA281)&amp;"")</f>
        <v/>
      </c>
      <c r="I281">
        <f>IF($AA281="","",INDEX('Per Line'!$K$2:$K$4001,$AA281)&amp;"")</f>
        <v/>
      </c>
      <c r="J281">
        <f>IF($AA281="","",INDEX('Per Line'!$L$2:$L$4001,$AA281)&amp;"")</f>
        <v/>
      </c>
      <c r="K281">
        <f>IF($AA281="","",INDEX('Per Line'!$P$2:$P$4001,$AA281))</f>
        <v/>
      </c>
      <c r="L281" s="7">
        <f>IF($AA281="","",IF(AND(ISNUMBER(N281),N281&gt;0,Y281&gt;N281),K281*N281/100+(Y281-N281),K281*Y281/100))</f>
        <v/>
      </c>
      <c r="M281">
        <f>IF($AA281="","",INDEX('Per Line'!$Z$2:$Z$4001,$AA281)&amp;"")</f>
        <v/>
      </c>
      <c r="N281">
        <f>IF($AA281="","",INDEX('Per Line'!$AG$2:$AG$4001,$AA281))</f>
        <v/>
      </c>
      <c r="O281">
        <f>IF($AA281="","",IF(AND(ISNUMBER(N281),N281&gt;0),Y281&gt;N281,FALSE))</f>
        <v/>
      </c>
      <c r="P281" s="7">
        <f>IF($AA281="","",SUMIFS('Per Line'!$Y$2:$Y$4001,'Per Line'!$E$2:$E$4001,$B281,'Per Line'!$AQ$2:$AQ$4001,1))</f>
        <v/>
      </c>
      <c r="Q281">
        <f>IF($AA281="","",Settings!$C$7)</f>
        <v/>
      </c>
      <c r="R281" s="7">
        <f>IF($AA281="","",SUMIFS('Per Line'!$Y$2:$Y$4001,'Per Line'!$E$2:$E$4001,$B281,'Per Line'!$AP$2:$AP$4001,0,'Per Line'!$AQ$2:$AQ$4001,0))</f>
        <v/>
      </c>
      <c r="S281" s="7">
        <f>IF($AA281="","",R281*Q281)</f>
        <v/>
      </c>
      <c r="T281">
        <f>IF($AA281="","",Settings!$C$6)</f>
        <v/>
      </c>
      <c r="U281" s="7">
        <f>IF($AA281="","",SUMIFS('Per Line'!$Y$2:$Y$4001,'Per Line'!$E$2:$E$4001,$B281,'Per Line'!$AP$2:$AP$4001,1,'Per Line'!$AQ$2:$AQ$4001,0))</f>
        <v/>
      </c>
      <c r="V281" s="7">
        <f>IF($AA281="","",U281*T281)</f>
        <v/>
      </c>
      <c r="W281" s="7">
        <f>IF($AA281="","",V281+S281)</f>
        <v/>
      </c>
      <c r="X281" s="7">
        <f>IF($AA281="","",Y281-W281)</f>
        <v/>
      </c>
      <c r="Y281" s="7">
        <f>IF($AA281="","",R281+U281+P281)</f>
        <v/>
      </c>
      <c r="Z281" s="7">
        <f>IF($AA281="","",Y281-W281-L281)</f>
        <v/>
      </c>
      <c r="AA281" s="13">
        <f>IF(ROWS($AA$2:$AA281)&lt;=MAX('Per Line'!$AO$2:$AO$4001),MATCH(ROWS($AA$2:$AA281),'Per Line'!$AO$2:$AO$4001,0),"")</f>
        <v/>
      </c>
      <c r="AB281" s="14">
        <f>IF($AA281="","",L281-K281*Y281/100)</f>
        <v/>
      </c>
    </row>
    <row r="282">
      <c r="A282" s="12" t="n"/>
      <c r="B282">
        <f>IF($AA282="","",INDEX('Per Line'!$E$2:$E$4001,$AA282)&amp;"")</f>
        <v/>
      </c>
      <c r="C282">
        <f>IF($AA282="","",INDEX('Per Line'!$A$2:$A$4001,$AA282)&amp;"")</f>
        <v/>
      </c>
      <c r="D282">
        <f>IF($AA282="","",INDEX('Per Line'!$D$2:$D$4001,$AA282)&amp;"")</f>
        <v/>
      </c>
      <c r="E282" s="11">
        <f>IF($AA282="","",INDEX('Per Line'!$G$2:$G$4001,$AA282))</f>
        <v/>
      </c>
      <c r="F282">
        <f>IF($AA282="","",INDEX('Per Line'!$H$2:$H$4001,$AA282)&amp;"")</f>
        <v/>
      </c>
      <c r="G282">
        <f>IF($AA282="","",INDEX('Per Line'!$I$2:$I$4001,$AA282)&amp;"")</f>
        <v/>
      </c>
      <c r="H282">
        <f>IF($AA282="","",INDEX('Per Line'!$J$2:$J$4001,$AA282)&amp;"")</f>
        <v/>
      </c>
      <c r="I282">
        <f>IF($AA282="","",INDEX('Per Line'!$K$2:$K$4001,$AA282)&amp;"")</f>
        <v/>
      </c>
      <c r="J282">
        <f>IF($AA282="","",INDEX('Per Line'!$L$2:$L$4001,$AA282)&amp;"")</f>
        <v/>
      </c>
      <c r="K282">
        <f>IF($AA282="","",INDEX('Per Line'!$P$2:$P$4001,$AA282))</f>
        <v/>
      </c>
      <c r="L282" s="7">
        <f>IF($AA282="","",IF(AND(ISNUMBER(N282),N282&gt;0,Y282&gt;N282),K282*N282/100+(Y282-N282),K282*Y282/100))</f>
        <v/>
      </c>
      <c r="M282">
        <f>IF($AA282="","",INDEX('Per Line'!$Z$2:$Z$4001,$AA282)&amp;"")</f>
        <v/>
      </c>
      <c r="N282">
        <f>IF($AA282="","",INDEX('Per Line'!$AG$2:$AG$4001,$AA282))</f>
        <v/>
      </c>
      <c r="O282">
        <f>IF($AA282="","",IF(AND(ISNUMBER(N282),N282&gt;0),Y282&gt;N282,FALSE))</f>
        <v/>
      </c>
      <c r="P282" s="7">
        <f>IF($AA282="","",SUMIFS('Per Line'!$Y$2:$Y$4001,'Per Line'!$E$2:$E$4001,$B282,'Per Line'!$AQ$2:$AQ$4001,1))</f>
        <v/>
      </c>
      <c r="Q282">
        <f>IF($AA282="","",Settings!$C$7)</f>
        <v/>
      </c>
      <c r="R282" s="7">
        <f>IF($AA282="","",SUMIFS('Per Line'!$Y$2:$Y$4001,'Per Line'!$E$2:$E$4001,$B282,'Per Line'!$AP$2:$AP$4001,0,'Per Line'!$AQ$2:$AQ$4001,0))</f>
        <v/>
      </c>
      <c r="S282" s="7">
        <f>IF($AA282="","",R282*Q282)</f>
        <v/>
      </c>
      <c r="T282">
        <f>IF($AA282="","",Settings!$C$6)</f>
        <v/>
      </c>
      <c r="U282" s="7">
        <f>IF($AA282="","",SUMIFS('Per Line'!$Y$2:$Y$4001,'Per Line'!$E$2:$E$4001,$B282,'Per Line'!$AP$2:$AP$4001,1,'Per Line'!$AQ$2:$AQ$4001,0))</f>
        <v/>
      </c>
      <c r="V282" s="7">
        <f>IF($AA282="","",U282*T282)</f>
        <v/>
      </c>
      <c r="W282" s="7">
        <f>IF($AA282="","",V282+S282)</f>
        <v/>
      </c>
      <c r="X282" s="7">
        <f>IF($AA282="","",Y282-W282)</f>
        <v/>
      </c>
      <c r="Y282" s="7">
        <f>IF($AA282="","",R282+U282+P282)</f>
        <v/>
      </c>
      <c r="Z282" s="7">
        <f>IF($AA282="","",Y282-W282-L282)</f>
        <v/>
      </c>
      <c r="AA282" s="13">
        <f>IF(ROWS($AA$2:$AA282)&lt;=MAX('Per Line'!$AO$2:$AO$4001),MATCH(ROWS($AA$2:$AA282),'Per Line'!$AO$2:$AO$4001,0),"")</f>
        <v/>
      </c>
      <c r="AB282" s="14">
        <f>IF($AA282="","",L282-K282*Y282/100)</f>
        <v/>
      </c>
    </row>
    <row r="283">
      <c r="A283" s="12" t="n"/>
      <c r="B283">
        <f>IF($AA283="","",INDEX('Per Line'!$E$2:$E$4001,$AA283)&amp;"")</f>
        <v/>
      </c>
      <c r="C283">
        <f>IF($AA283="","",INDEX('Per Line'!$A$2:$A$4001,$AA283)&amp;"")</f>
        <v/>
      </c>
      <c r="D283">
        <f>IF($AA283="","",INDEX('Per Line'!$D$2:$D$4001,$AA283)&amp;"")</f>
        <v/>
      </c>
      <c r="E283" s="11">
        <f>IF($AA283="","",INDEX('Per Line'!$G$2:$G$4001,$AA283))</f>
        <v/>
      </c>
      <c r="F283">
        <f>IF($AA283="","",INDEX('Per Line'!$H$2:$H$4001,$AA283)&amp;"")</f>
        <v/>
      </c>
      <c r="G283">
        <f>IF($AA283="","",INDEX('Per Line'!$I$2:$I$4001,$AA283)&amp;"")</f>
        <v/>
      </c>
      <c r="H283">
        <f>IF($AA283="","",INDEX('Per Line'!$J$2:$J$4001,$AA283)&amp;"")</f>
        <v/>
      </c>
      <c r="I283">
        <f>IF($AA283="","",INDEX('Per Line'!$K$2:$K$4001,$AA283)&amp;"")</f>
        <v/>
      </c>
      <c r="J283">
        <f>IF($AA283="","",INDEX('Per Line'!$L$2:$L$4001,$AA283)&amp;"")</f>
        <v/>
      </c>
      <c r="K283">
        <f>IF($AA283="","",INDEX('Per Line'!$P$2:$P$4001,$AA283))</f>
        <v/>
      </c>
      <c r="L283" s="7">
        <f>IF($AA283="","",IF(AND(ISNUMBER(N283),N283&gt;0,Y283&gt;N283),K283*N283/100+(Y283-N283),K283*Y283/100))</f>
        <v/>
      </c>
      <c r="M283">
        <f>IF($AA283="","",INDEX('Per Line'!$Z$2:$Z$4001,$AA283)&amp;"")</f>
        <v/>
      </c>
      <c r="N283">
        <f>IF($AA283="","",INDEX('Per Line'!$AG$2:$AG$4001,$AA283))</f>
        <v/>
      </c>
      <c r="O283">
        <f>IF($AA283="","",IF(AND(ISNUMBER(N283),N283&gt;0),Y283&gt;N283,FALSE))</f>
        <v/>
      </c>
      <c r="P283" s="7">
        <f>IF($AA283="","",SUMIFS('Per Line'!$Y$2:$Y$4001,'Per Line'!$E$2:$E$4001,$B283,'Per Line'!$AQ$2:$AQ$4001,1))</f>
        <v/>
      </c>
      <c r="Q283">
        <f>IF($AA283="","",Settings!$C$7)</f>
        <v/>
      </c>
      <c r="R283" s="7">
        <f>IF($AA283="","",SUMIFS('Per Line'!$Y$2:$Y$4001,'Per Line'!$E$2:$E$4001,$B283,'Per Line'!$AP$2:$AP$4001,0,'Per Line'!$AQ$2:$AQ$4001,0))</f>
        <v/>
      </c>
      <c r="S283" s="7">
        <f>IF($AA283="","",R283*Q283)</f>
        <v/>
      </c>
      <c r="T283">
        <f>IF($AA283="","",Settings!$C$6)</f>
        <v/>
      </c>
      <c r="U283" s="7">
        <f>IF($AA283="","",SUMIFS('Per Line'!$Y$2:$Y$4001,'Per Line'!$E$2:$E$4001,$B283,'Per Line'!$AP$2:$AP$4001,1,'Per Line'!$AQ$2:$AQ$4001,0))</f>
        <v/>
      </c>
      <c r="V283" s="7">
        <f>IF($AA283="","",U283*T283)</f>
        <v/>
      </c>
      <c r="W283" s="7">
        <f>IF($AA283="","",V283+S283)</f>
        <v/>
      </c>
      <c r="X283" s="7">
        <f>IF($AA283="","",Y283-W283)</f>
        <v/>
      </c>
      <c r="Y283" s="7">
        <f>IF($AA283="","",R283+U283+P283)</f>
        <v/>
      </c>
      <c r="Z283" s="7">
        <f>IF($AA283="","",Y283-W283-L283)</f>
        <v/>
      </c>
      <c r="AA283" s="13">
        <f>IF(ROWS($AA$2:$AA283)&lt;=MAX('Per Line'!$AO$2:$AO$4001),MATCH(ROWS($AA$2:$AA283),'Per Line'!$AO$2:$AO$4001,0),"")</f>
        <v/>
      </c>
      <c r="AB283" s="14">
        <f>IF($AA283="","",L283-K283*Y283/100)</f>
        <v/>
      </c>
    </row>
    <row r="284">
      <c r="A284" s="12" t="n"/>
      <c r="B284">
        <f>IF($AA284="","",INDEX('Per Line'!$E$2:$E$4001,$AA284)&amp;"")</f>
        <v/>
      </c>
      <c r="C284">
        <f>IF($AA284="","",INDEX('Per Line'!$A$2:$A$4001,$AA284)&amp;"")</f>
        <v/>
      </c>
      <c r="D284">
        <f>IF($AA284="","",INDEX('Per Line'!$D$2:$D$4001,$AA284)&amp;"")</f>
        <v/>
      </c>
      <c r="E284" s="11">
        <f>IF($AA284="","",INDEX('Per Line'!$G$2:$G$4001,$AA284))</f>
        <v/>
      </c>
      <c r="F284">
        <f>IF($AA284="","",INDEX('Per Line'!$H$2:$H$4001,$AA284)&amp;"")</f>
        <v/>
      </c>
      <c r="G284">
        <f>IF($AA284="","",INDEX('Per Line'!$I$2:$I$4001,$AA284)&amp;"")</f>
        <v/>
      </c>
      <c r="H284">
        <f>IF($AA284="","",INDEX('Per Line'!$J$2:$J$4001,$AA284)&amp;"")</f>
        <v/>
      </c>
      <c r="I284">
        <f>IF($AA284="","",INDEX('Per Line'!$K$2:$K$4001,$AA284)&amp;"")</f>
        <v/>
      </c>
      <c r="J284">
        <f>IF($AA284="","",INDEX('Per Line'!$L$2:$L$4001,$AA284)&amp;"")</f>
        <v/>
      </c>
      <c r="K284">
        <f>IF($AA284="","",INDEX('Per Line'!$P$2:$P$4001,$AA284))</f>
        <v/>
      </c>
      <c r="L284" s="7">
        <f>IF($AA284="","",IF(AND(ISNUMBER(N284),N284&gt;0,Y284&gt;N284),K284*N284/100+(Y284-N284),K284*Y284/100))</f>
        <v/>
      </c>
      <c r="M284">
        <f>IF($AA284="","",INDEX('Per Line'!$Z$2:$Z$4001,$AA284)&amp;"")</f>
        <v/>
      </c>
      <c r="N284">
        <f>IF($AA284="","",INDEX('Per Line'!$AG$2:$AG$4001,$AA284))</f>
        <v/>
      </c>
      <c r="O284">
        <f>IF($AA284="","",IF(AND(ISNUMBER(N284),N284&gt;0),Y284&gt;N284,FALSE))</f>
        <v/>
      </c>
      <c r="P284" s="7">
        <f>IF($AA284="","",SUMIFS('Per Line'!$Y$2:$Y$4001,'Per Line'!$E$2:$E$4001,$B284,'Per Line'!$AQ$2:$AQ$4001,1))</f>
        <v/>
      </c>
      <c r="Q284">
        <f>IF($AA284="","",Settings!$C$7)</f>
        <v/>
      </c>
      <c r="R284" s="7">
        <f>IF($AA284="","",SUMIFS('Per Line'!$Y$2:$Y$4001,'Per Line'!$E$2:$E$4001,$B284,'Per Line'!$AP$2:$AP$4001,0,'Per Line'!$AQ$2:$AQ$4001,0))</f>
        <v/>
      </c>
      <c r="S284" s="7">
        <f>IF($AA284="","",R284*Q284)</f>
        <v/>
      </c>
      <c r="T284">
        <f>IF($AA284="","",Settings!$C$6)</f>
        <v/>
      </c>
      <c r="U284" s="7">
        <f>IF($AA284="","",SUMIFS('Per Line'!$Y$2:$Y$4001,'Per Line'!$E$2:$E$4001,$B284,'Per Line'!$AP$2:$AP$4001,1,'Per Line'!$AQ$2:$AQ$4001,0))</f>
        <v/>
      </c>
      <c r="V284" s="7">
        <f>IF($AA284="","",U284*T284)</f>
        <v/>
      </c>
      <c r="W284" s="7">
        <f>IF($AA284="","",V284+S284)</f>
        <v/>
      </c>
      <c r="X284" s="7">
        <f>IF($AA284="","",Y284-W284)</f>
        <v/>
      </c>
      <c r="Y284" s="7">
        <f>IF($AA284="","",R284+U284+P284)</f>
        <v/>
      </c>
      <c r="Z284" s="7">
        <f>IF($AA284="","",Y284-W284-L284)</f>
        <v/>
      </c>
      <c r="AA284" s="13">
        <f>IF(ROWS($AA$2:$AA284)&lt;=MAX('Per Line'!$AO$2:$AO$4001),MATCH(ROWS($AA$2:$AA284),'Per Line'!$AO$2:$AO$4001,0),"")</f>
        <v/>
      </c>
      <c r="AB284" s="14">
        <f>IF($AA284="","",L284-K284*Y284/100)</f>
        <v/>
      </c>
    </row>
    <row r="285">
      <c r="A285" s="12" t="n"/>
      <c r="B285">
        <f>IF($AA285="","",INDEX('Per Line'!$E$2:$E$4001,$AA285)&amp;"")</f>
        <v/>
      </c>
      <c r="C285">
        <f>IF($AA285="","",INDEX('Per Line'!$A$2:$A$4001,$AA285)&amp;"")</f>
        <v/>
      </c>
      <c r="D285">
        <f>IF($AA285="","",INDEX('Per Line'!$D$2:$D$4001,$AA285)&amp;"")</f>
        <v/>
      </c>
      <c r="E285" s="11">
        <f>IF($AA285="","",INDEX('Per Line'!$G$2:$G$4001,$AA285))</f>
        <v/>
      </c>
      <c r="F285">
        <f>IF($AA285="","",INDEX('Per Line'!$H$2:$H$4001,$AA285)&amp;"")</f>
        <v/>
      </c>
      <c r="G285">
        <f>IF($AA285="","",INDEX('Per Line'!$I$2:$I$4001,$AA285)&amp;"")</f>
        <v/>
      </c>
      <c r="H285">
        <f>IF($AA285="","",INDEX('Per Line'!$J$2:$J$4001,$AA285)&amp;"")</f>
        <v/>
      </c>
      <c r="I285">
        <f>IF($AA285="","",INDEX('Per Line'!$K$2:$K$4001,$AA285)&amp;"")</f>
        <v/>
      </c>
      <c r="J285">
        <f>IF($AA285="","",INDEX('Per Line'!$L$2:$L$4001,$AA285)&amp;"")</f>
        <v/>
      </c>
      <c r="K285">
        <f>IF($AA285="","",INDEX('Per Line'!$P$2:$P$4001,$AA285))</f>
        <v/>
      </c>
      <c r="L285" s="7">
        <f>IF($AA285="","",IF(AND(ISNUMBER(N285),N285&gt;0,Y285&gt;N285),K285*N285/100+(Y285-N285),K285*Y285/100))</f>
        <v/>
      </c>
      <c r="M285">
        <f>IF($AA285="","",INDEX('Per Line'!$Z$2:$Z$4001,$AA285)&amp;"")</f>
        <v/>
      </c>
      <c r="N285">
        <f>IF($AA285="","",INDEX('Per Line'!$AG$2:$AG$4001,$AA285))</f>
        <v/>
      </c>
      <c r="O285">
        <f>IF($AA285="","",IF(AND(ISNUMBER(N285),N285&gt;0),Y285&gt;N285,FALSE))</f>
        <v/>
      </c>
      <c r="P285" s="7">
        <f>IF($AA285="","",SUMIFS('Per Line'!$Y$2:$Y$4001,'Per Line'!$E$2:$E$4001,$B285,'Per Line'!$AQ$2:$AQ$4001,1))</f>
        <v/>
      </c>
      <c r="Q285">
        <f>IF($AA285="","",Settings!$C$7)</f>
        <v/>
      </c>
      <c r="R285" s="7">
        <f>IF($AA285="","",SUMIFS('Per Line'!$Y$2:$Y$4001,'Per Line'!$E$2:$E$4001,$B285,'Per Line'!$AP$2:$AP$4001,0,'Per Line'!$AQ$2:$AQ$4001,0))</f>
        <v/>
      </c>
      <c r="S285" s="7">
        <f>IF($AA285="","",R285*Q285)</f>
        <v/>
      </c>
      <c r="T285">
        <f>IF($AA285="","",Settings!$C$6)</f>
        <v/>
      </c>
      <c r="U285" s="7">
        <f>IF($AA285="","",SUMIFS('Per Line'!$Y$2:$Y$4001,'Per Line'!$E$2:$E$4001,$B285,'Per Line'!$AP$2:$AP$4001,1,'Per Line'!$AQ$2:$AQ$4001,0))</f>
        <v/>
      </c>
      <c r="V285" s="7">
        <f>IF($AA285="","",U285*T285)</f>
        <v/>
      </c>
      <c r="W285" s="7">
        <f>IF($AA285="","",V285+S285)</f>
        <v/>
      </c>
      <c r="X285" s="7">
        <f>IF($AA285="","",Y285-W285)</f>
        <v/>
      </c>
      <c r="Y285" s="7">
        <f>IF($AA285="","",R285+U285+P285)</f>
        <v/>
      </c>
      <c r="Z285" s="7">
        <f>IF($AA285="","",Y285-W285-L285)</f>
        <v/>
      </c>
      <c r="AA285" s="13">
        <f>IF(ROWS($AA$2:$AA285)&lt;=MAX('Per Line'!$AO$2:$AO$4001),MATCH(ROWS($AA$2:$AA285),'Per Line'!$AO$2:$AO$4001,0),"")</f>
        <v/>
      </c>
      <c r="AB285" s="14">
        <f>IF($AA285="","",L285-K285*Y285/100)</f>
        <v/>
      </c>
    </row>
    <row r="286">
      <c r="A286" s="12" t="n"/>
      <c r="B286">
        <f>IF($AA286="","",INDEX('Per Line'!$E$2:$E$4001,$AA286)&amp;"")</f>
        <v/>
      </c>
      <c r="C286">
        <f>IF($AA286="","",INDEX('Per Line'!$A$2:$A$4001,$AA286)&amp;"")</f>
        <v/>
      </c>
      <c r="D286">
        <f>IF($AA286="","",INDEX('Per Line'!$D$2:$D$4001,$AA286)&amp;"")</f>
        <v/>
      </c>
      <c r="E286" s="11">
        <f>IF($AA286="","",INDEX('Per Line'!$G$2:$G$4001,$AA286))</f>
        <v/>
      </c>
      <c r="F286">
        <f>IF($AA286="","",INDEX('Per Line'!$H$2:$H$4001,$AA286)&amp;"")</f>
        <v/>
      </c>
      <c r="G286">
        <f>IF($AA286="","",INDEX('Per Line'!$I$2:$I$4001,$AA286)&amp;"")</f>
        <v/>
      </c>
      <c r="H286">
        <f>IF($AA286="","",INDEX('Per Line'!$J$2:$J$4001,$AA286)&amp;"")</f>
        <v/>
      </c>
      <c r="I286">
        <f>IF($AA286="","",INDEX('Per Line'!$K$2:$K$4001,$AA286)&amp;"")</f>
        <v/>
      </c>
      <c r="J286">
        <f>IF($AA286="","",INDEX('Per Line'!$L$2:$L$4001,$AA286)&amp;"")</f>
        <v/>
      </c>
      <c r="K286">
        <f>IF($AA286="","",INDEX('Per Line'!$P$2:$P$4001,$AA286))</f>
        <v/>
      </c>
      <c r="L286" s="7">
        <f>IF($AA286="","",IF(AND(ISNUMBER(N286),N286&gt;0,Y286&gt;N286),K286*N286/100+(Y286-N286),K286*Y286/100))</f>
        <v/>
      </c>
      <c r="M286">
        <f>IF($AA286="","",INDEX('Per Line'!$Z$2:$Z$4001,$AA286)&amp;"")</f>
        <v/>
      </c>
      <c r="N286">
        <f>IF($AA286="","",INDEX('Per Line'!$AG$2:$AG$4001,$AA286))</f>
        <v/>
      </c>
      <c r="O286">
        <f>IF($AA286="","",IF(AND(ISNUMBER(N286),N286&gt;0),Y286&gt;N286,FALSE))</f>
        <v/>
      </c>
      <c r="P286" s="7">
        <f>IF($AA286="","",SUMIFS('Per Line'!$Y$2:$Y$4001,'Per Line'!$E$2:$E$4001,$B286,'Per Line'!$AQ$2:$AQ$4001,1))</f>
        <v/>
      </c>
      <c r="Q286">
        <f>IF($AA286="","",Settings!$C$7)</f>
        <v/>
      </c>
      <c r="R286" s="7">
        <f>IF($AA286="","",SUMIFS('Per Line'!$Y$2:$Y$4001,'Per Line'!$E$2:$E$4001,$B286,'Per Line'!$AP$2:$AP$4001,0,'Per Line'!$AQ$2:$AQ$4001,0))</f>
        <v/>
      </c>
      <c r="S286" s="7">
        <f>IF($AA286="","",R286*Q286)</f>
        <v/>
      </c>
      <c r="T286">
        <f>IF($AA286="","",Settings!$C$6)</f>
        <v/>
      </c>
      <c r="U286" s="7">
        <f>IF($AA286="","",SUMIFS('Per Line'!$Y$2:$Y$4001,'Per Line'!$E$2:$E$4001,$B286,'Per Line'!$AP$2:$AP$4001,1,'Per Line'!$AQ$2:$AQ$4001,0))</f>
        <v/>
      </c>
      <c r="V286" s="7">
        <f>IF($AA286="","",U286*T286)</f>
        <v/>
      </c>
      <c r="W286" s="7">
        <f>IF($AA286="","",V286+S286)</f>
        <v/>
      </c>
      <c r="X286" s="7">
        <f>IF($AA286="","",Y286-W286)</f>
        <v/>
      </c>
      <c r="Y286" s="7">
        <f>IF($AA286="","",R286+U286+P286)</f>
        <v/>
      </c>
      <c r="Z286" s="7">
        <f>IF($AA286="","",Y286-W286-L286)</f>
        <v/>
      </c>
      <c r="AA286" s="13">
        <f>IF(ROWS($AA$2:$AA286)&lt;=MAX('Per Line'!$AO$2:$AO$4001),MATCH(ROWS($AA$2:$AA286),'Per Line'!$AO$2:$AO$4001,0),"")</f>
        <v/>
      </c>
      <c r="AB286" s="14">
        <f>IF($AA286="","",L286-K286*Y286/100)</f>
        <v/>
      </c>
    </row>
    <row r="287">
      <c r="A287" s="12" t="n"/>
      <c r="B287">
        <f>IF($AA287="","",INDEX('Per Line'!$E$2:$E$4001,$AA287)&amp;"")</f>
        <v/>
      </c>
      <c r="C287">
        <f>IF($AA287="","",INDEX('Per Line'!$A$2:$A$4001,$AA287)&amp;"")</f>
        <v/>
      </c>
      <c r="D287">
        <f>IF($AA287="","",INDEX('Per Line'!$D$2:$D$4001,$AA287)&amp;"")</f>
        <v/>
      </c>
      <c r="E287" s="11">
        <f>IF($AA287="","",INDEX('Per Line'!$G$2:$G$4001,$AA287))</f>
        <v/>
      </c>
      <c r="F287">
        <f>IF($AA287="","",INDEX('Per Line'!$H$2:$H$4001,$AA287)&amp;"")</f>
        <v/>
      </c>
      <c r="G287">
        <f>IF($AA287="","",INDEX('Per Line'!$I$2:$I$4001,$AA287)&amp;"")</f>
        <v/>
      </c>
      <c r="H287">
        <f>IF($AA287="","",INDEX('Per Line'!$J$2:$J$4001,$AA287)&amp;"")</f>
        <v/>
      </c>
      <c r="I287">
        <f>IF($AA287="","",INDEX('Per Line'!$K$2:$K$4001,$AA287)&amp;"")</f>
        <v/>
      </c>
      <c r="J287">
        <f>IF($AA287="","",INDEX('Per Line'!$L$2:$L$4001,$AA287)&amp;"")</f>
        <v/>
      </c>
      <c r="K287">
        <f>IF($AA287="","",INDEX('Per Line'!$P$2:$P$4001,$AA287))</f>
        <v/>
      </c>
      <c r="L287" s="7">
        <f>IF($AA287="","",IF(AND(ISNUMBER(N287),N287&gt;0,Y287&gt;N287),K287*N287/100+(Y287-N287),K287*Y287/100))</f>
        <v/>
      </c>
      <c r="M287">
        <f>IF($AA287="","",INDEX('Per Line'!$Z$2:$Z$4001,$AA287)&amp;"")</f>
        <v/>
      </c>
      <c r="N287">
        <f>IF($AA287="","",INDEX('Per Line'!$AG$2:$AG$4001,$AA287))</f>
        <v/>
      </c>
      <c r="O287">
        <f>IF($AA287="","",IF(AND(ISNUMBER(N287),N287&gt;0),Y287&gt;N287,FALSE))</f>
        <v/>
      </c>
      <c r="P287" s="7">
        <f>IF($AA287="","",SUMIFS('Per Line'!$Y$2:$Y$4001,'Per Line'!$E$2:$E$4001,$B287,'Per Line'!$AQ$2:$AQ$4001,1))</f>
        <v/>
      </c>
      <c r="Q287">
        <f>IF($AA287="","",Settings!$C$7)</f>
        <v/>
      </c>
      <c r="R287" s="7">
        <f>IF($AA287="","",SUMIFS('Per Line'!$Y$2:$Y$4001,'Per Line'!$E$2:$E$4001,$B287,'Per Line'!$AP$2:$AP$4001,0,'Per Line'!$AQ$2:$AQ$4001,0))</f>
        <v/>
      </c>
      <c r="S287" s="7">
        <f>IF($AA287="","",R287*Q287)</f>
        <v/>
      </c>
      <c r="T287">
        <f>IF($AA287="","",Settings!$C$6)</f>
        <v/>
      </c>
      <c r="U287" s="7">
        <f>IF($AA287="","",SUMIFS('Per Line'!$Y$2:$Y$4001,'Per Line'!$E$2:$E$4001,$B287,'Per Line'!$AP$2:$AP$4001,1,'Per Line'!$AQ$2:$AQ$4001,0))</f>
        <v/>
      </c>
      <c r="V287" s="7">
        <f>IF($AA287="","",U287*T287)</f>
        <v/>
      </c>
      <c r="W287" s="7">
        <f>IF($AA287="","",V287+S287)</f>
        <v/>
      </c>
      <c r="X287" s="7">
        <f>IF($AA287="","",Y287-W287)</f>
        <v/>
      </c>
      <c r="Y287" s="7">
        <f>IF($AA287="","",R287+U287+P287)</f>
        <v/>
      </c>
      <c r="Z287" s="7">
        <f>IF($AA287="","",Y287-W287-L287)</f>
        <v/>
      </c>
      <c r="AA287" s="13">
        <f>IF(ROWS($AA$2:$AA287)&lt;=MAX('Per Line'!$AO$2:$AO$4001),MATCH(ROWS($AA$2:$AA287),'Per Line'!$AO$2:$AO$4001,0),"")</f>
        <v/>
      </c>
      <c r="AB287" s="14">
        <f>IF($AA287="","",L287-K287*Y287/100)</f>
        <v/>
      </c>
    </row>
    <row r="288">
      <c r="A288" s="12" t="n"/>
      <c r="B288">
        <f>IF($AA288="","",INDEX('Per Line'!$E$2:$E$4001,$AA288)&amp;"")</f>
        <v/>
      </c>
      <c r="C288">
        <f>IF($AA288="","",INDEX('Per Line'!$A$2:$A$4001,$AA288)&amp;"")</f>
        <v/>
      </c>
      <c r="D288">
        <f>IF($AA288="","",INDEX('Per Line'!$D$2:$D$4001,$AA288)&amp;"")</f>
        <v/>
      </c>
      <c r="E288" s="11">
        <f>IF($AA288="","",INDEX('Per Line'!$G$2:$G$4001,$AA288))</f>
        <v/>
      </c>
      <c r="F288">
        <f>IF($AA288="","",INDEX('Per Line'!$H$2:$H$4001,$AA288)&amp;"")</f>
        <v/>
      </c>
      <c r="G288">
        <f>IF($AA288="","",INDEX('Per Line'!$I$2:$I$4001,$AA288)&amp;"")</f>
        <v/>
      </c>
      <c r="H288">
        <f>IF($AA288="","",INDEX('Per Line'!$J$2:$J$4001,$AA288)&amp;"")</f>
        <v/>
      </c>
      <c r="I288">
        <f>IF($AA288="","",INDEX('Per Line'!$K$2:$K$4001,$AA288)&amp;"")</f>
        <v/>
      </c>
      <c r="J288">
        <f>IF($AA288="","",INDEX('Per Line'!$L$2:$L$4001,$AA288)&amp;"")</f>
        <v/>
      </c>
      <c r="K288">
        <f>IF($AA288="","",INDEX('Per Line'!$P$2:$P$4001,$AA288))</f>
        <v/>
      </c>
      <c r="L288" s="7">
        <f>IF($AA288="","",IF(AND(ISNUMBER(N288),N288&gt;0,Y288&gt;N288),K288*N288/100+(Y288-N288),K288*Y288/100))</f>
        <v/>
      </c>
      <c r="M288">
        <f>IF($AA288="","",INDEX('Per Line'!$Z$2:$Z$4001,$AA288)&amp;"")</f>
        <v/>
      </c>
      <c r="N288">
        <f>IF($AA288="","",INDEX('Per Line'!$AG$2:$AG$4001,$AA288))</f>
        <v/>
      </c>
      <c r="O288">
        <f>IF($AA288="","",IF(AND(ISNUMBER(N288),N288&gt;0),Y288&gt;N288,FALSE))</f>
        <v/>
      </c>
      <c r="P288" s="7">
        <f>IF($AA288="","",SUMIFS('Per Line'!$Y$2:$Y$4001,'Per Line'!$E$2:$E$4001,$B288,'Per Line'!$AQ$2:$AQ$4001,1))</f>
        <v/>
      </c>
      <c r="Q288">
        <f>IF($AA288="","",Settings!$C$7)</f>
        <v/>
      </c>
      <c r="R288" s="7">
        <f>IF($AA288="","",SUMIFS('Per Line'!$Y$2:$Y$4001,'Per Line'!$E$2:$E$4001,$B288,'Per Line'!$AP$2:$AP$4001,0,'Per Line'!$AQ$2:$AQ$4001,0))</f>
        <v/>
      </c>
      <c r="S288" s="7">
        <f>IF($AA288="","",R288*Q288)</f>
        <v/>
      </c>
      <c r="T288">
        <f>IF($AA288="","",Settings!$C$6)</f>
        <v/>
      </c>
      <c r="U288" s="7">
        <f>IF($AA288="","",SUMIFS('Per Line'!$Y$2:$Y$4001,'Per Line'!$E$2:$E$4001,$B288,'Per Line'!$AP$2:$AP$4001,1,'Per Line'!$AQ$2:$AQ$4001,0))</f>
        <v/>
      </c>
      <c r="V288" s="7">
        <f>IF($AA288="","",U288*T288)</f>
        <v/>
      </c>
      <c r="W288" s="7">
        <f>IF($AA288="","",V288+S288)</f>
        <v/>
      </c>
      <c r="X288" s="7">
        <f>IF($AA288="","",Y288-W288)</f>
        <v/>
      </c>
      <c r="Y288" s="7">
        <f>IF($AA288="","",R288+U288+P288)</f>
        <v/>
      </c>
      <c r="Z288" s="7">
        <f>IF($AA288="","",Y288-W288-L288)</f>
        <v/>
      </c>
      <c r="AA288" s="13">
        <f>IF(ROWS($AA$2:$AA288)&lt;=MAX('Per Line'!$AO$2:$AO$4001),MATCH(ROWS($AA$2:$AA288),'Per Line'!$AO$2:$AO$4001,0),"")</f>
        <v/>
      </c>
      <c r="AB288" s="14">
        <f>IF($AA288="","",L288-K288*Y288/100)</f>
        <v/>
      </c>
    </row>
    <row r="289">
      <c r="A289" s="12" t="n"/>
      <c r="B289">
        <f>IF($AA289="","",INDEX('Per Line'!$E$2:$E$4001,$AA289)&amp;"")</f>
        <v/>
      </c>
      <c r="C289">
        <f>IF($AA289="","",INDEX('Per Line'!$A$2:$A$4001,$AA289)&amp;"")</f>
        <v/>
      </c>
      <c r="D289">
        <f>IF($AA289="","",INDEX('Per Line'!$D$2:$D$4001,$AA289)&amp;"")</f>
        <v/>
      </c>
      <c r="E289" s="11">
        <f>IF($AA289="","",INDEX('Per Line'!$G$2:$G$4001,$AA289))</f>
        <v/>
      </c>
      <c r="F289">
        <f>IF($AA289="","",INDEX('Per Line'!$H$2:$H$4001,$AA289)&amp;"")</f>
        <v/>
      </c>
      <c r="G289">
        <f>IF($AA289="","",INDEX('Per Line'!$I$2:$I$4001,$AA289)&amp;"")</f>
        <v/>
      </c>
      <c r="H289">
        <f>IF($AA289="","",INDEX('Per Line'!$J$2:$J$4001,$AA289)&amp;"")</f>
        <v/>
      </c>
      <c r="I289">
        <f>IF($AA289="","",INDEX('Per Line'!$K$2:$K$4001,$AA289)&amp;"")</f>
        <v/>
      </c>
      <c r="J289">
        <f>IF($AA289="","",INDEX('Per Line'!$L$2:$L$4001,$AA289)&amp;"")</f>
        <v/>
      </c>
      <c r="K289">
        <f>IF($AA289="","",INDEX('Per Line'!$P$2:$P$4001,$AA289))</f>
        <v/>
      </c>
      <c r="L289" s="7">
        <f>IF($AA289="","",IF(AND(ISNUMBER(N289),N289&gt;0,Y289&gt;N289),K289*N289/100+(Y289-N289),K289*Y289/100))</f>
        <v/>
      </c>
      <c r="M289">
        <f>IF($AA289="","",INDEX('Per Line'!$Z$2:$Z$4001,$AA289)&amp;"")</f>
        <v/>
      </c>
      <c r="N289">
        <f>IF($AA289="","",INDEX('Per Line'!$AG$2:$AG$4001,$AA289))</f>
        <v/>
      </c>
      <c r="O289">
        <f>IF($AA289="","",IF(AND(ISNUMBER(N289),N289&gt;0),Y289&gt;N289,FALSE))</f>
        <v/>
      </c>
      <c r="P289" s="7">
        <f>IF($AA289="","",SUMIFS('Per Line'!$Y$2:$Y$4001,'Per Line'!$E$2:$E$4001,$B289,'Per Line'!$AQ$2:$AQ$4001,1))</f>
        <v/>
      </c>
      <c r="Q289">
        <f>IF($AA289="","",Settings!$C$7)</f>
        <v/>
      </c>
      <c r="R289" s="7">
        <f>IF($AA289="","",SUMIFS('Per Line'!$Y$2:$Y$4001,'Per Line'!$E$2:$E$4001,$B289,'Per Line'!$AP$2:$AP$4001,0,'Per Line'!$AQ$2:$AQ$4001,0))</f>
        <v/>
      </c>
      <c r="S289" s="7">
        <f>IF($AA289="","",R289*Q289)</f>
        <v/>
      </c>
      <c r="T289">
        <f>IF($AA289="","",Settings!$C$6)</f>
        <v/>
      </c>
      <c r="U289" s="7">
        <f>IF($AA289="","",SUMIFS('Per Line'!$Y$2:$Y$4001,'Per Line'!$E$2:$E$4001,$B289,'Per Line'!$AP$2:$AP$4001,1,'Per Line'!$AQ$2:$AQ$4001,0))</f>
        <v/>
      </c>
      <c r="V289" s="7">
        <f>IF($AA289="","",U289*T289)</f>
        <v/>
      </c>
      <c r="W289" s="7">
        <f>IF($AA289="","",V289+S289)</f>
        <v/>
      </c>
      <c r="X289" s="7">
        <f>IF($AA289="","",Y289-W289)</f>
        <v/>
      </c>
      <c r="Y289" s="7">
        <f>IF($AA289="","",R289+U289+P289)</f>
        <v/>
      </c>
      <c r="Z289" s="7">
        <f>IF($AA289="","",Y289-W289-L289)</f>
        <v/>
      </c>
      <c r="AA289" s="13">
        <f>IF(ROWS($AA$2:$AA289)&lt;=MAX('Per Line'!$AO$2:$AO$4001),MATCH(ROWS($AA$2:$AA289),'Per Line'!$AO$2:$AO$4001,0),"")</f>
        <v/>
      </c>
      <c r="AB289" s="14">
        <f>IF($AA289="","",L289-K289*Y289/100)</f>
        <v/>
      </c>
    </row>
    <row r="290">
      <c r="A290" s="12" t="n"/>
      <c r="B290">
        <f>IF($AA290="","",INDEX('Per Line'!$E$2:$E$4001,$AA290)&amp;"")</f>
        <v/>
      </c>
      <c r="C290">
        <f>IF($AA290="","",INDEX('Per Line'!$A$2:$A$4001,$AA290)&amp;"")</f>
        <v/>
      </c>
      <c r="D290">
        <f>IF($AA290="","",INDEX('Per Line'!$D$2:$D$4001,$AA290)&amp;"")</f>
        <v/>
      </c>
      <c r="E290" s="11">
        <f>IF($AA290="","",INDEX('Per Line'!$G$2:$G$4001,$AA290))</f>
        <v/>
      </c>
      <c r="F290">
        <f>IF($AA290="","",INDEX('Per Line'!$H$2:$H$4001,$AA290)&amp;"")</f>
        <v/>
      </c>
      <c r="G290">
        <f>IF($AA290="","",INDEX('Per Line'!$I$2:$I$4001,$AA290)&amp;"")</f>
        <v/>
      </c>
      <c r="H290">
        <f>IF($AA290="","",INDEX('Per Line'!$J$2:$J$4001,$AA290)&amp;"")</f>
        <v/>
      </c>
      <c r="I290">
        <f>IF($AA290="","",INDEX('Per Line'!$K$2:$K$4001,$AA290)&amp;"")</f>
        <v/>
      </c>
      <c r="J290">
        <f>IF($AA290="","",INDEX('Per Line'!$L$2:$L$4001,$AA290)&amp;"")</f>
        <v/>
      </c>
      <c r="K290">
        <f>IF($AA290="","",INDEX('Per Line'!$P$2:$P$4001,$AA290))</f>
        <v/>
      </c>
      <c r="L290" s="7">
        <f>IF($AA290="","",IF(AND(ISNUMBER(N290),N290&gt;0,Y290&gt;N290),K290*N290/100+(Y290-N290),K290*Y290/100))</f>
        <v/>
      </c>
      <c r="M290">
        <f>IF($AA290="","",INDEX('Per Line'!$Z$2:$Z$4001,$AA290)&amp;"")</f>
        <v/>
      </c>
      <c r="N290">
        <f>IF($AA290="","",INDEX('Per Line'!$AG$2:$AG$4001,$AA290))</f>
        <v/>
      </c>
      <c r="O290">
        <f>IF($AA290="","",IF(AND(ISNUMBER(N290),N290&gt;0),Y290&gt;N290,FALSE))</f>
        <v/>
      </c>
      <c r="P290" s="7">
        <f>IF($AA290="","",SUMIFS('Per Line'!$Y$2:$Y$4001,'Per Line'!$E$2:$E$4001,$B290,'Per Line'!$AQ$2:$AQ$4001,1))</f>
        <v/>
      </c>
      <c r="Q290">
        <f>IF($AA290="","",Settings!$C$7)</f>
        <v/>
      </c>
      <c r="R290" s="7">
        <f>IF($AA290="","",SUMIFS('Per Line'!$Y$2:$Y$4001,'Per Line'!$E$2:$E$4001,$B290,'Per Line'!$AP$2:$AP$4001,0,'Per Line'!$AQ$2:$AQ$4001,0))</f>
        <v/>
      </c>
      <c r="S290" s="7">
        <f>IF($AA290="","",R290*Q290)</f>
        <v/>
      </c>
      <c r="T290">
        <f>IF($AA290="","",Settings!$C$6)</f>
        <v/>
      </c>
      <c r="U290" s="7">
        <f>IF($AA290="","",SUMIFS('Per Line'!$Y$2:$Y$4001,'Per Line'!$E$2:$E$4001,$B290,'Per Line'!$AP$2:$AP$4001,1,'Per Line'!$AQ$2:$AQ$4001,0))</f>
        <v/>
      </c>
      <c r="V290" s="7">
        <f>IF($AA290="","",U290*T290)</f>
        <v/>
      </c>
      <c r="W290" s="7">
        <f>IF($AA290="","",V290+S290)</f>
        <v/>
      </c>
      <c r="X290" s="7">
        <f>IF($AA290="","",Y290-W290)</f>
        <v/>
      </c>
      <c r="Y290" s="7">
        <f>IF($AA290="","",R290+U290+P290)</f>
        <v/>
      </c>
      <c r="Z290" s="7">
        <f>IF($AA290="","",Y290-W290-L290)</f>
        <v/>
      </c>
      <c r="AA290" s="13">
        <f>IF(ROWS($AA$2:$AA290)&lt;=MAX('Per Line'!$AO$2:$AO$4001),MATCH(ROWS($AA$2:$AA290),'Per Line'!$AO$2:$AO$4001,0),"")</f>
        <v/>
      </c>
      <c r="AB290" s="14">
        <f>IF($AA290="","",L290-K290*Y290/100)</f>
        <v/>
      </c>
    </row>
    <row r="291">
      <c r="A291" s="12" t="n"/>
      <c r="B291">
        <f>IF($AA291="","",INDEX('Per Line'!$E$2:$E$4001,$AA291)&amp;"")</f>
        <v/>
      </c>
      <c r="C291">
        <f>IF($AA291="","",INDEX('Per Line'!$A$2:$A$4001,$AA291)&amp;"")</f>
        <v/>
      </c>
      <c r="D291">
        <f>IF($AA291="","",INDEX('Per Line'!$D$2:$D$4001,$AA291)&amp;"")</f>
        <v/>
      </c>
      <c r="E291" s="11">
        <f>IF($AA291="","",INDEX('Per Line'!$G$2:$G$4001,$AA291))</f>
        <v/>
      </c>
      <c r="F291">
        <f>IF($AA291="","",INDEX('Per Line'!$H$2:$H$4001,$AA291)&amp;"")</f>
        <v/>
      </c>
      <c r="G291">
        <f>IF($AA291="","",INDEX('Per Line'!$I$2:$I$4001,$AA291)&amp;"")</f>
        <v/>
      </c>
      <c r="H291">
        <f>IF($AA291="","",INDEX('Per Line'!$J$2:$J$4001,$AA291)&amp;"")</f>
        <v/>
      </c>
      <c r="I291">
        <f>IF($AA291="","",INDEX('Per Line'!$K$2:$K$4001,$AA291)&amp;"")</f>
        <v/>
      </c>
      <c r="J291">
        <f>IF($AA291="","",INDEX('Per Line'!$L$2:$L$4001,$AA291)&amp;"")</f>
        <v/>
      </c>
      <c r="K291">
        <f>IF($AA291="","",INDEX('Per Line'!$P$2:$P$4001,$AA291))</f>
        <v/>
      </c>
      <c r="L291" s="7">
        <f>IF($AA291="","",IF(AND(ISNUMBER(N291),N291&gt;0,Y291&gt;N291),K291*N291/100+(Y291-N291),K291*Y291/100))</f>
        <v/>
      </c>
      <c r="M291">
        <f>IF($AA291="","",INDEX('Per Line'!$Z$2:$Z$4001,$AA291)&amp;"")</f>
        <v/>
      </c>
      <c r="N291">
        <f>IF($AA291="","",INDEX('Per Line'!$AG$2:$AG$4001,$AA291))</f>
        <v/>
      </c>
      <c r="O291">
        <f>IF($AA291="","",IF(AND(ISNUMBER(N291),N291&gt;0),Y291&gt;N291,FALSE))</f>
        <v/>
      </c>
      <c r="P291" s="7">
        <f>IF($AA291="","",SUMIFS('Per Line'!$Y$2:$Y$4001,'Per Line'!$E$2:$E$4001,$B291,'Per Line'!$AQ$2:$AQ$4001,1))</f>
        <v/>
      </c>
      <c r="Q291">
        <f>IF($AA291="","",Settings!$C$7)</f>
        <v/>
      </c>
      <c r="R291" s="7">
        <f>IF($AA291="","",SUMIFS('Per Line'!$Y$2:$Y$4001,'Per Line'!$E$2:$E$4001,$B291,'Per Line'!$AP$2:$AP$4001,0,'Per Line'!$AQ$2:$AQ$4001,0))</f>
        <v/>
      </c>
      <c r="S291" s="7">
        <f>IF($AA291="","",R291*Q291)</f>
        <v/>
      </c>
      <c r="T291">
        <f>IF($AA291="","",Settings!$C$6)</f>
        <v/>
      </c>
      <c r="U291" s="7">
        <f>IF($AA291="","",SUMIFS('Per Line'!$Y$2:$Y$4001,'Per Line'!$E$2:$E$4001,$B291,'Per Line'!$AP$2:$AP$4001,1,'Per Line'!$AQ$2:$AQ$4001,0))</f>
        <v/>
      </c>
      <c r="V291" s="7">
        <f>IF($AA291="","",U291*T291)</f>
        <v/>
      </c>
      <c r="W291" s="7">
        <f>IF($AA291="","",V291+S291)</f>
        <v/>
      </c>
      <c r="X291" s="7">
        <f>IF($AA291="","",Y291-W291)</f>
        <v/>
      </c>
      <c r="Y291" s="7">
        <f>IF($AA291="","",R291+U291+P291)</f>
        <v/>
      </c>
      <c r="Z291" s="7">
        <f>IF($AA291="","",Y291-W291-L291)</f>
        <v/>
      </c>
      <c r="AA291" s="13">
        <f>IF(ROWS($AA$2:$AA291)&lt;=MAX('Per Line'!$AO$2:$AO$4001),MATCH(ROWS($AA$2:$AA291),'Per Line'!$AO$2:$AO$4001,0),"")</f>
        <v/>
      </c>
      <c r="AB291" s="14">
        <f>IF($AA291="","",L291-K291*Y291/100)</f>
        <v/>
      </c>
    </row>
    <row r="292">
      <c r="A292" s="12" t="n"/>
      <c r="B292">
        <f>IF($AA292="","",INDEX('Per Line'!$E$2:$E$4001,$AA292)&amp;"")</f>
        <v/>
      </c>
      <c r="C292">
        <f>IF($AA292="","",INDEX('Per Line'!$A$2:$A$4001,$AA292)&amp;"")</f>
        <v/>
      </c>
      <c r="D292">
        <f>IF($AA292="","",INDEX('Per Line'!$D$2:$D$4001,$AA292)&amp;"")</f>
        <v/>
      </c>
      <c r="E292" s="11">
        <f>IF($AA292="","",INDEX('Per Line'!$G$2:$G$4001,$AA292))</f>
        <v/>
      </c>
      <c r="F292">
        <f>IF($AA292="","",INDEX('Per Line'!$H$2:$H$4001,$AA292)&amp;"")</f>
        <v/>
      </c>
      <c r="G292">
        <f>IF($AA292="","",INDEX('Per Line'!$I$2:$I$4001,$AA292)&amp;"")</f>
        <v/>
      </c>
      <c r="H292">
        <f>IF($AA292="","",INDEX('Per Line'!$J$2:$J$4001,$AA292)&amp;"")</f>
        <v/>
      </c>
      <c r="I292">
        <f>IF($AA292="","",INDEX('Per Line'!$K$2:$K$4001,$AA292)&amp;"")</f>
        <v/>
      </c>
      <c r="J292">
        <f>IF($AA292="","",INDEX('Per Line'!$L$2:$L$4001,$AA292)&amp;"")</f>
        <v/>
      </c>
      <c r="K292">
        <f>IF($AA292="","",INDEX('Per Line'!$P$2:$P$4001,$AA292))</f>
        <v/>
      </c>
      <c r="L292" s="7">
        <f>IF($AA292="","",IF(AND(ISNUMBER(N292),N292&gt;0,Y292&gt;N292),K292*N292/100+(Y292-N292),K292*Y292/100))</f>
        <v/>
      </c>
      <c r="M292">
        <f>IF($AA292="","",INDEX('Per Line'!$Z$2:$Z$4001,$AA292)&amp;"")</f>
        <v/>
      </c>
      <c r="N292">
        <f>IF($AA292="","",INDEX('Per Line'!$AG$2:$AG$4001,$AA292))</f>
        <v/>
      </c>
      <c r="O292">
        <f>IF($AA292="","",IF(AND(ISNUMBER(N292),N292&gt;0),Y292&gt;N292,FALSE))</f>
        <v/>
      </c>
      <c r="P292" s="7">
        <f>IF($AA292="","",SUMIFS('Per Line'!$Y$2:$Y$4001,'Per Line'!$E$2:$E$4001,$B292,'Per Line'!$AQ$2:$AQ$4001,1))</f>
        <v/>
      </c>
      <c r="Q292">
        <f>IF($AA292="","",Settings!$C$7)</f>
        <v/>
      </c>
      <c r="R292" s="7">
        <f>IF($AA292="","",SUMIFS('Per Line'!$Y$2:$Y$4001,'Per Line'!$E$2:$E$4001,$B292,'Per Line'!$AP$2:$AP$4001,0,'Per Line'!$AQ$2:$AQ$4001,0))</f>
        <v/>
      </c>
      <c r="S292" s="7">
        <f>IF($AA292="","",R292*Q292)</f>
        <v/>
      </c>
      <c r="T292">
        <f>IF($AA292="","",Settings!$C$6)</f>
        <v/>
      </c>
      <c r="U292" s="7">
        <f>IF($AA292="","",SUMIFS('Per Line'!$Y$2:$Y$4001,'Per Line'!$E$2:$E$4001,$B292,'Per Line'!$AP$2:$AP$4001,1,'Per Line'!$AQ$2:$AQ$4001,0))</f>
        <v/>
      </c>
      <c r="V292" s="7">
        <f>IF($AA292="","",U292*T292)</f>
        <v/>
      </c>
      <c r="W292" s="7">
        <f>IF($AA292="","",V292+S292)</f>
        <v/>
      </c>
      <c r="X292" s="7">
        <f>IF($AA292="","",Y292-W292)</f>
        <v/>
      </c>
      <c r="Y292" s="7">
        <f>IF($AA292="","",R292+U292+P292)</f>
        <v/>
      </c>
      <c r="Z292" s="7">
        <f>IF($AA292="","",Y292-W292-L292)</f>
        <v/>
      </c>
      <c r="AA292" s="13">
        <f>IF(ROWS($AA$2:$AA292)&lt;=MAX('Per Line'!$AO$2:$AO$4001),MATCH(ROWS($AA$2:$AA292),'Per Line'!$AO$2:$AO$4001,0),"")</f>
        <v/>
      </c>
      <c r="AB292" s="14">
        <f>IF($AA292="","",L292-K292*Y292/100)</f>
        <v/>
      </c>
    </row>
    <row r="293">
      <c r="A293" s="12" t="n"/>
      <c r="B293">
        <f>IF($AA293="","",INDEX('Per Line'!$E$2:$E$4001,$AA293)&amp;"")</f>
        <v/>
      </c>
      <c r="C293">
        <f>IF($AA293="","",INDEX('Per Line'!$A$2:$A$4001,$AA293)&amp;"")</f>
        <v/>
      </c>
      <c r="D293">
        <f>IF($AA293="","",INDEX('Per Line'!$D$2:$D$4001,$AA293)&amp;"")</f>
        <v/>
      </c>
      <c r="E293" s="11">
        <f>IF($AA293="","",INDEX('Per Line'!$G$2:$G$4001,$AA293))</f>
        <v/>
      </c>
      <c r="F293">
        <f>IF($AA293="","",INDEX('Per Line'!$H$2:$H$4001,$AA293)&amp;"")</f>
        <v/>
      </c>
      <c r="G293">
        <f>IF($AA293="","",INDEX('Per Line'!$I$2:$I$4001,$AA293)&amp;"")</f>
        <v/>
      </c>
      <c r="H293">
        <f>IF($AA293="","",INDEX('Per Line'!$J$2:$J$4001,$AA293)&amp;"")</f>
        <v/>
      </c>
      <c r="I293">
        <f>IF($AA293="","",INDEX('Per Line'!$K$2:$K$4001,$AA293)&amp;"")</f>
        <v/>
      </c>
      <c r="J293">
        <f>IF($AA293="","",INDEX('Per Line'!$L$2:$L$4001,$AA293)&amp;"")</f>
        <v/>
      </c>
      <c r="K293">
        <f>IF($AA293="","",INDEX('Per Line'!$P$2:$P$4001,$AA293))</f>
        <v/>
      </c>
      <c r="L293" s="7">
        <f>IF($AA293="","",IF(AND(ISNUMBER(N293),N293&gt;0,Y293&gt;N293),K293*N293/100+(Y293-N293),K293*Y293/100))</f>
        <v/>
      </c>
      <c r="M293">
        <f>IF($AA293="","",INDEX('Per Line'!$Z$2:$Z$4001,$AA293)&amp;"")</f>
        <v/>
      </c>
      <c r="N293">
        <f>IF($AA293="","",INDEX('Per Line'!$AG$2:$AG$4001,$AA293))</f>
        <v/>
      </c>
      <c r="O293">
        <f>IF($AA293="","",IF(AND(ISNUMBER(N293),N293&gt;0),Y293&gt;N293,FALSE))</f>
        <v/>
      </c>
      <c r="P293" s="7">
        <f>IF($AA293="","",SUMIFS('Per Line'!$Y$2:$Y$4001,'Per Line'!$E$2:$E$4001,$B293,'Per Line'!$AQ$2:$AQ$4001,1))</f>
        <v/>
      </c>
      <c r="Q293">
        <f>IF($AA293="","",Settings!$C$7)</f>
        <v/>
      </c>
      <c r="R293" s="7">
        <f>IF($AA293="","",SUMIFS('Per Line'!$Y$2:$Y$4001,'Per Line'!$E$2:$E$4001,$B293,'Per Line'!$AP$2:$AP$4001,0,'Per Line'!$AQ$2:$AQ$4001,0))</f>
        <v/>
      </c>
      <c r="S293" s="7">
        <f>IF($AA293="","",R293*Q293)</f>
        <v/>
      </c>
      <c r="T293">
        <f>IF($AA293="","",Settings!$C$6)</f>
        <v/>
      </c>
      <c r="U293" s="7">
        <f>IF($AA293="","",SUMIFS('Per Line'!$Y$2:$Y$4001,'Per Line'!$E$2:$E$4001,$B293,'Per Line'!$AP$2:$AP$4001,1,'Per Line'!$AQ$2:$AQ$4001,0))</f>
        <v/>
      </c>
      <c r="V293" s="7">
        <f>IF($AA293="","",U293*T293)</f>
        <v/>
      </c>
      <c r="W293" s="7">
        <f>IF($AA293="","",V293+S293)</f>
        <v/>
      </c>
      <c r="X293" s="7">
        <f>IF($AA293="","",Y293-W293)</f>
        <v/>
      </c>
      <c r="Y293" s="7">
        <f>IF($AA293="","",R293+U293+P293)</f>
        <v/>
      </c>
      <c r="Z293" s="7">
        <f>IF($AA293="","",Y293-W293-L293)</f>
        <v/>
      </c>
      <c r="AA293" s="13">
        <f>IF(ROWS($AA$2:$AA293)&lt;=MAX('Per Line'!$AO$2:$AO$4001),MATCH(ROWS($AA$2:$AA293),'Per Line'!$AO$2:$AO$4001,0),"")</f>
        <v/>
      </c>
      <c r="AB293" s="14">
        <f>IF($AA293="","",L293-K293*Y293/100)</f>
        <v/>
      </c>
    </row>
    <row r="294">
      <c r="A294" s="12" t="n"/>
      <c r="B294">
        <f>IF($AA294="","",INDEX('Per Line'!$E$2:$E$4001,$AA294)&amp;"")</f>
        <v/>
      </c>
      <c r="C294">
        <f>IF($AA294="","",INDEX('Per Line'!$A$2:$A$4001,$AA294)&amp;"")</f>
        <v/>
      </c>
      <c r="D294">
        <f>IF($AA294="","",INDEX('Per Line'!$D$2:$D$4001,$AA294)&amp;"")</f>
        <v/>
      </c>
      <c r="E294" s="11">
        <f>IF($AA294="","",INDEX('Per Line'!$G$2:$G$4001,$AA294))</f>
        <v/>
      </c>
      <c r="F294">
        <f>IF($AA294="","",INDEX('Per Line'!$H$2:$H$4001,$AA294)&amp;"")</f>
        <v/>
      </c>
      <c r="G294">
        <f>IF($AA294="","",INDEX('Per Line'!$I$2:$I$4001,$AA294)&amp;"")</f>
        <v/>
      </c>
      <c r="H294">
        <f>IF($AA294="","",INDEX('Per Line'!$J$2:$J$4001,$AA294)&amp;"")</f>
        <v/>
      </c>
      <c r="I294">
        <f>IF($AA294="","",INDEX('Per Line'!$K$2:$K$4001,$AA294)&amp;"")</f>
        <v/>
      </c>
      <c r="J294">
        <f>IF($AA294="","",INDEX('Per Line'!$L$2:$L$4001,$AA294)&amp;"")</f>
        <v/>
      </c>
      <c r="K294">
        <f>IF($AA294="","",INDEX('Per Line'!$P$2:$P$4001,$AA294))</f>
        <v/>
      </c>
      <c r="L294" s="7">
        <f>IF($AA294="","",IF(AND(ISNUMBER(N294),N294&gt;0,Y294&gt;N294),K294*N294/100+(Y294-N294),K294*Y294/100))</f>
        <v/>
      </c>
      <c r="M294">
        <f>IF($AA294="","",INDEX('Per Line'!$Z$2:$Z$4001,$AA294)&amp;"")</f>
        <v/>
      </c>
      <c r="N294">
        <f>IF($AA294="","",INDEX('Per Line'!$AG$2:$AG$4001,$AA294))</f>
        <v/>
      </c>
      <c r="O294">
        <f>IF($AA294="","",IF(AND(ISNUMBER(N294),N294&gt;0),Y294&gt;N294,FALSE))</f>
        <v/>
      </c>
      <c r="P294" s="7">
        <f>IF($AA294="","",SUMIFS('Per Line'!$Y$2:$Y$4001,'Per Line'!$E$2:$E$4001,$B294,'Per Line'!$AQ$2:$AQ$4001,1))</f>
        <v/>
      </c>
      <c r="Q294">
        <f>IF($AA294="","",Settings!$C$7)</f>
        <v/>
      </c>
      <c r="R294" s="7">
        <f>IF($AA294="","",SUMIFS('Per Line'!$Y$2:$Y$4001,'Per Line'!$E$2:$E$4001,$B294,'Per Line'!$AP$2:$AP$4001,0,'Per Line'!$AQ$2:$AQ$4001,0))</f>
        <v/>
      </c>
      <c r="S294" s="7">
        <f>IF($AA294="","",R294*Q294)</f>
        <v/>
      </c>
      <c r="T294">
        <f>IF($AA294="","",Settings!$C$6)</f>
        <v/>
      </c>
      <c r="U294" s="7">
        <f>IF($AA294="","",SUMIFS('Per Line'!$Y$2:$Y$4001,'Per Line'!$E$2:$E$4001,$B294,'Per Line'!$AP$2:$AP$4001,1,'Per Line'!$AQ$2:$AQ$4001,0))</f>
        <v/>
      </c>
      <c r="V294" s="7">
        <f>IF($AA294="","",U294*T294)</f>
        <v/>
      </c>
      <c r="W294" s="7">
        <f>IF($AA294="","",V294+S294)</f>
        <v/>
      </c>
      <c r="X294" s="7">
        <f>IF($AA294="","",Y294-W294)</f>
        <v/>
      </c>
      <c r="Y294" s="7">
        <f>IF($AA294="","",R294+U294+P294)</f>
        <v/>
      </c>
      <c r="Z294" s="7">
        <f>IF($AA294="","",Y294-W294-L294)</f>
        <v/>
      </c>
      <c r="AA294" s="13">
        <f>IF(ROWS($AA$2:$AA294)&lt;=MAX('Per Line'!$AO$2:$AO$4001),MATCH(ROWS($AA$2:$AA294),'Per Line'!$AO$2:$AO$4001,0),"")</f>
        <v/>
      </c>
      <c r="AB294" s="14">
        <f>IF($AA294="","",L294-K294*Y294/100)</f>
        <v/>
      </c>
    </row>
    <row r="295">
      <c r="A295" s="12" t="n"/>
      <c r="B295">
        <f>IF($AA295="","",INDEX('Per Line'!$E$2:$E$4001,$AA295)&amp;"")</f>
        <v/>
      </c>
      <c r="C295">
        <f>IF($AA295="","",INDEX('Per Line'!$A$2:$A$4001,$AA295)&amp;"")</f>
        <v/>
      </c>
      <c r="D295">
        <f>IF($AA295="","",INDEX('Per Line'!$D$2:$D$4001,$AA295)&amp;"")</f>
        <v/>
      </c>
      <c r="E295" s="11">
        <f>IF($AA295="","",INDEX('Per Line'!$G$2:$G$4001,$AA295))</f>
        <v/>
      </c>
      <c r="F295">
        <f>IF($AA295="","",INDEX('Per Line'!$H$2:$H$4001,$AA295)&amp;"")</f>
        <v/>
      </c>
      <c r="G295">
        <f>IF($AA295="","",INDEX('Per Line'!$I$2:$I$4001,$AA295)&amp;"")</f>
        <v/>
      </c>
      <c r="H295">
        <f>IF($AA295="","",INDEX('Per Line'!$J$2:$J$4001,$AA295)&amp;"")</f>
        <v/>
      </c>
      <c r="I295">
        <f>IF($AA295="","",INDEX('Per Line'!$K$2:$K$4001,$AA295)&amp;"")</f>
        <v/>
      </c>
      <c r="J295">
        <f>IF($AA295="","",INDEX('Per Line'!$L$2:$L$4001,$AA295)&amp;"")</f>
        <v/>
      </c>
      <c r="K295">
        <f>IF($AA295="","",INDEX('Per Line'!$P$2:$P$4001,$AA295))</f>
        <v/>
      </c>
      <c r="L295" s="7">
        <f>IF($AA295="","",IF(AND(ISNUMBER(N295),N295&gt;0,Y295&gt;N295),K295*N295/100+(Y295-N295),K295*Y295/100))</f>
        <v/>
      </c>
      <c r="M295">
        <f>IF($AA295="","",INDEX('Per Line'!$Z$2:$Z$4001,$AA295)&amp;"")</f>
        <v/>
      </c>
      <c r="N295">
        <f>IF($AA295="","",INDEX('Per Line'!$AG$2:$AG$4001,$AA295))</f>
        <v/>
      </c>
      <c r="O295">
        <f>IF($AA295="","",IF(AND(ISNUMBER(N295),N295&gt;0),Y295&gt;N295,FALSE))</f>
        <v/>
      </c>
      <c r="P295" s="7">
        <f>IF($AA295="","",SUMIFS('Per Line'!$Y$2:$Y$4001,'Per Line'!$E$2:$E$4001,$B295,'Per Line'!$AQ$2:$AQ$4001,1))</f>
        <v/>
      </c>
      <c r="Q295">
        <f>IF($AA295="","",Settings!$C$7)</f>
        <v/>
      </c>
      <c r="R295" s="7">
        <f>IF($AA295="","",SUMIFS('Per Line'!$Y$2:$Y$4001,'Per Line'!$E$2:$E$4001,$B295,'Per Line'!$AP$2:$AP$4001,0,'Per Line'!$AQ$2:$AQ$4001,0))</f>
        <v/>
      </c>
      <c r="S295" s="7">
        <f>IF($AA295="","",R295*Q295)</f>
        <v/>
      </c>
      <c r="T295">
        <f>IF($AA295="","",Settings!$C$6)</f>
        <v/>
      </c>
      <c r="U295" s="7">
        <f>IF($AA295="","",SUMIFS('Per Line'!$Y$2:$Y$4001,'Per Line'!$E$2:$E$4001,$B295,'Per Line'!$AP$2:$AP$4001,1,'Per Line'!$AQ$2:$AQ$4001,0))</f>
        <v/>
      </c>
      <c r="V295" s="7">
        <f>IF($AA295="","",U295*T295)</f>
        <v/>
      </c>
      <c r="W295" s="7">
        <f>IF($AA295="","",V295+S295)</f>
        <v/>
      </c>
      <c r="X295" s="7">
        <f>IF($AA295="","",Y295-W295)</f>
        <v/>
      </c>
      <c r="Y295" s="7">
        <f>IF($AA295="","",R295+U295+P295)</f>
        <v/>
      </c>
      <c r="Z295" s="7">
        <f>IF($AA295="","",Y295-W295-L295)</f>
        <v/>
      </c>
      <c r="AA295" s="13">
        <f>IF(ROWS($AA$2:$AA295)&lt;=MAX('Per Line'!$AO$2:$AO$4001),MATCH(ROWS($AA$2:$AA295),'Per Line'!$AO$2:$AO$4001,0),"")</f>
        <v/>
      </c>
      <c r="AB295" s="14">
        <f>IF($AA295="","",L295-K295*Y295/100)</f>
        <v/>
      </c>
    </row>
    <row r="296">
      <c r="A296" s="12" t="n"/>
      <c r="B296">
        <f>IF($AA296="","",INDEX('Per Line'!$E$2:$E$4001,$AA296)&amp;"")</f>
        <v/>
      </c>
      <c r="C296">
        <f>IF($AA296="","",INDEX('Per Line'!$A$2:$A$4001,$AA296)&amp;"")</f>
        <v/>
      </c>
      <c r="D296">
        <f>IF($AA296="","",INDEX('Per Line'!$D$2:$D$4001,$AA296)&amp;"")</f>
        <v/>
      </c>
      <c r="E296" s="11">
        <f>IF($AA296="","",INDEX('Per Line'!$G$2:$G$4001,$AA296))</f>
        <v/>
      </c>
      <c r="F296">
        <f>IF($AA296="","",INDEX('Per Line'!$H$2:$H$4001,$AA296)&amp;"")</f>
        <v/>
      </c>
      <c r="G296">
        <f>IF($AA296="","",INDEX('Per Line'!$I$2:$I$4001,$AA296)&amp;"")</f>
        <v/>
      </c>
      <c r="H296">
        <f>IF($AA296="","",INDEX('Per Line'!$J$2:$J$4001,$AA296)&amp;"")</f>
        <v/>
      </c>
      <c r="I296">
        <f>IF($AA296="","",INDEX('Per Line'!$K$2:$K$4001,$AA296)&amp;"")</f>
        <v/>
      </c>
      <c r="J296">
        <f>IF($AA296="","",INDEX('Per Line'!$L$2:$L$4001,$AA296)&amp;"")</f>
        <v/>
      </c>
      <c r="K296">
        <f>IF($AA296="","",INDEX('Per Line'!$P$2:$P$4001,$AA296))</f>
        <v/>
      </c>
      <c r="L296" s="7">
        <f>IF($AA296="","",IF(AND(ISNUMBER(N296),N296&gt;0,Y296&gt;N296),K296*N296/100+(Y296-N296),K296*Y296/100))</f>
        <v/>
      </c>
      <c r="M296">
        <f>IF($AA296="","",INDEX('Per Line'!$Z$2:$Z$4001,$AA296)&amp;"")</f>
        <v/>
      </c>
      <c r="N296">
        <f>IF($AA296="","",INDEX('Per Line'!$AG$2:$AG$4001,$AA296))</f>
        <v/>
      </c>
      <c r="O296">
        <f>IF($AA296="","",IF(AND(ISNUMBER(N296),N296&gt;0),Y296&gt;N296,FALSE))</f>
        <v/>
      </c>
      <c r="P296" s="7">
        <f>IF($AA296="","",SUMIFS('Per Line'!$Y$2:$Y$4001,'Per Line'!$E$2:$E$4001,$B296,'Per Line'!$AQ$2:$AQ$4001,1))</f>
        <v/>
      </c>
      <c r="Q296">
        <f>IF($AA296="","",Settings!$C$7)</f>
        <v/>
      </c>
      <c r="R296" s="7">
        <f>IF($AA296="","",SUMIFS('Per Line'!$Y$2:$Y$4001,'Per Line'!$E$2:$E$4001,$B296,'Per Line'!$AP$2:$AP$4001,0,'Per Line'!$AQ$2:$AQ$4001,0))</f>
        <v/>
      </c>
      <c r="S296" s="7">
        <f>IF($AA296="","",R296*Q296)</f>
        <v/>
      </c>
      <c r="T296">
        <f>IF($AA296="","",Settings!$C$6)</f>
        <v/>
      </c>
      <c r="U296" s="7">
        <f>IF($AA296="","",SUMIFS('Per Line'!$Y$2:$Y$4001,'Per Line'!$E$2:$E$4001,$B296,'Per Line'!$AP$2:$AP$4001,1,'Per Line'!$AQ$2:$AQ$4001,0))</f>
        <v/>
      </c>
      <c r="V296" s="7">
        <f>IF($AA296="","",U296*T296)</f>
        <v/>
      </c>
      <c r="W296" s="7">
        <f>IF($AA296="","",V296+S296)</f>
        <v/>
      </c>
      <c r="X296" s="7">
        <f>IF($AA296="","",Y296-W296)</f>
        <v/>
      </c>
      <c r="Y296" s="7">
        <f>IF($AA296="","",R296+U296+P296)</f>
        <v/>
      </c>
      <c r="Z296" s="7">
        <f>IF($AA296="","",Y296-W296-L296)</f>
        <v/>
      </c>
      <c r="AA296" s="13">
        <f>IF(ROWS($AA$2:$AA296)&lt;=MAX('Per Line'!$AO$2:$AO$4001),MATCH(ROWS($AA$2:$AA296),'Per Line'!$AO$2:$AO$4001,0),"")</f>
        <v/>
      </c>
      <c r="AB296" s="14">
        <f>IF($AA296="","",L296-K296*Y296/100)</f>
        <v/>
      </c>
    </row>
    <row r="297">
      <c r="A297" s="12" t="n"/>
      <c r="B297">
        <f>IF($AA297="","",INDEX('Per Line'!$E$2:$E$4001,$AA297)&amp;"")</f>
        <v/>
      </c>
      <c r="C297">
        <f>IF($AA297="","",INDEX('Per Line'!$A$2:$A$4001,$AA297)&amp;"")</f>
        <v/>
      </c>
      <c r="D297">
        <f>IF($AA297="","",INDEX('Per Line'!$D$2:$D$4001,$AA297)&amp;"")</f>
        <v/>
      </c>
      <c r="E297" s="11">
        <f>IF($AA297="","",INDEX('Per Line'!$G$2:$G$4001,$AA297))</f>
        <v/>
      </c>
      <c r="F297">
        <f>IF($AA297="","",INDEX('Per Line'!$H$2:$H$4001,$AA297)&amp;"")</f>
        <v/>
      </c>
      <c r="G297">
        <f>IF($AA297="","",INDEX('Per Line'!$I$2:$I$4001,$AA297)&amp;"")</f>
        <v/>
      </c>
      <c r="H297">
        <f>IF($AA297="","",INDEX('Per Line'!$J$2:$J$4001,$AA297)&amp;"")</f>
        <v/>
      </c>
      <c r="I297">
        <f>IF($AA297="","",INDEX('Per Line'!$K$2:$K$4001,$AA297)&amp;"")</f>
        <v/>
      </c>
      <c r="J297">
        <f>IF($AA297="","",INDEX('Per Line'!$L$2:$L$4001,$AA297)&amp;"")</f>
        <v/>
      </c>
      <c r="K297">
        <f>IF($AA297="","",INDEX('Per Line'!$P$2:$P$4001,$AA297))</f>
        <v/>
      </c>
      <c r="L297" s="7">
        <f>IF($AA297="","",IF(AND(ISNUMBER(N297),N297&gt;0,Y297&gt;N297),K297*N297/100+(Y297-N297),K297*Y297/100))</f>
        <v/>
      </c>
      <c r="M297">
        <f>IF($AA297="","",INDEX('Per Line'!$Z$2:$Z$4001,$AA297)&amp;"")</f>
        <v/>
      </c>
      <c r="N297">
        <f>IF($AA297="","",INDEX('Per Line'!$AG$2:$AG$4001,$AA297))</f>
        <v/>
      </c>
      <c r="O297">
        <f>IF($AA297="","",IF(AND(ISNUMBER(N297),N297&gt;0),Y297&gt;N297,FALSE))</f>
        <v/>
      </c>
      <c r="P297" s="7">
        <f>IF($AA297="","",SUMIFS('Per Line'!$Y$2:$Y$4001,'Per Line'!$E$2:$E$4001,$B297,'Per Line'!$AQ$2:$AQ$4001,1))</f>
        <v/>
      </c>
      <c r="Q297">
        <f>IF($AA297="","",Settings!$C$7)</f>
        <v/>
      </c>
      <c r="R297" s="7">
        <f>IF($AA297="","",SUMIFS('Per Line'!$Y$2:$Y$4001,'Per Line'!$E$2:$E$4001,$B297,'Per Line'!$AP$2:$AP$4001,0,'Per Line'!$AQ$2:$AQ$4001,0))</f>
        <v/>
      </c>
      <c r="S297" s="7">
        <f>IF($AA297="","",R297*Q297)</f>
        <v/>
      </c>
      <c r="T297">
        <f>IF($AA297="","",Settings!$C$6)</f>
        <v/>
      </c>
      <c r="U297" s="7">
        <f>IF($AA297="","",SUMIFS('Per Line'!$Y$2:$Y$4001,'Per Line'!$E$2:$E$4001,$B297,'Per Line'!$AP$2:$AP$4001,1,'Per Line'!$AQ$2:$AQ$4001,0))</f>
        <v/>
      </c>
      <c r="V297" s="7">
        <f>IF($AA297="","",U297*T297)</f>
        <v/>
      </c>
      <c r="W297" s="7">
        <f>IF($AA297="","",V297+S297)</f>
        <v/>
      </c>
      <c r="X297" s="7">
        <f>IF($AA297="","",Y297-W297)</f>
        <v/>
      </c>
      <c r="Y297" s="7">
        <f>IF($AA297="","",R297+U297+P297)</f>
        <v/>
      </c>
      <c r="Z297" s="7">
        <f>IF($AA297="","",Y297-W297-L297)</f>
        <v/>
      </c>
      <c r="AA297" s="13">
        <f>IF(ROWS($AA$2:$AA297)&lt;=MAX('Per Line'!$AO$2:$AO$4001),MATCH(ROWS($AA$2:$AA297),'Per Line'!$AO$2:$AO$4001,0),"")</f>
        <v/>
      </c>
      <c r="AB297" s="14">
        <f>IF($AA297="","",L297-K297*Y297/100)</f>
        <v/>
      </c>
    </row>
    <row r="298">
      <c r="A298" s="12" t="n"/>
      <c r="B298">
        <f>IF($AA298="","",INDEX('Per Line'!$E$2:$E$4001,$AA298)&amp;"")</f>
        <v/>
      </c>
      <c r="C298">
        <f>IF($AA298="","",INDEX('Per Line'!$A$2:$A$4001,$AA298)&amp;"")</f>
        <v/>
      </c>
      <c r="D298">
        <f>IF($AA298="","",INDEX('Per Line'!$D$2:$D$4001,$AA298)&amp;"")</f>
        <v/>
      </c>
      <c r="E298" s="11">
        <f>IF($AA298="","",INDEX('Per Line'!$G$2:$G$4001,$AA298))</f>
        <v/>
      </c>
      <c r="F298">
        <f>IF($AA298="","",INDEX('Per Line'!$H$2:$H$4001,$AA298)&amp;"")</f>
        <v/>
      </c>
      <c r="G298">
        <f>IF($AA298="","",INDEX('Per Line'!$I$2:$I$4001,$AA298)&amp;"")</f>
        <v/>
      </c>
      <c r="H298">
        <f>IF($AA298="","",INDEX('Per Line'!$J$2:$J$4001,$AA298)&amp;"")</f>
        <v/>
      </c>
      <c r="I298">
        <f>IF($AA298="","",INDEX('Per Line'!$K$2:$K$4001,$AA298)&amp;"")</f>
        <v/>
      </c>
      <c r="J298">
        <f>IF($AA298="","",INDEX('Per Line'!$L$2:$L$4001,$AA298)&amp;"")</f>
        <v/>
      </c>
      <c r="K298">
        <f>IF($AA298="","",INDEX('Per Line'!$P$2:$P$4001,$AA298))</f>
        <v/>
      </c>
      <c r="L298" s="7">
        <f>IF($AA298="","",IF(AND(ISNUMBER(N298),N298&gt;0,Y298&gt;N298),K298*N298/100+(Y298-N298),K298*Y298/100))</f>
        <v/>
      </c>
      <c r="M298">
        <f>IF($AA298="","",INDEX('Per Line'!$Z$2:$Z$4001,$AA298)&amp;"")</f>
        <v/>
      </c>
      <c r="N298">
        <f>IF($AA298="","",INDEX('Per Line'!$AG$2:$AG$4001,$AA298))</f>
        <v/>
      </c>
      <c r="O298">
        <f>IF($AA298="","",IF(AND(ISNUMBER(N298),N298&gt;0),Y298&gt;N298,FALSE))</f>
        <v/>
      </c>
      <c r="P298" s="7">
        <f>IF($AA298="","",SUMIFS('Per Line'!$Y$2:$Y$4001,'Per Line'!$E$2:$E$4001,$B298,'Per Line'!$AQ$2:$AQ$4001,1))</f>
        <v/>
      </c>
      <c r="Q298">
        <f>IF($AA298="","",Settings!$C$7)</f>
        <v/>
      </c>
      <c r="R298" s="7">
        <f>IF($AA298="","",SUMIFS('Per Line'!$Y$2:$Y$4001,'Per Line'!$E$2:$E$4001,$B298,'Per Line'!$AP$2:$AP$4001,0,'Per Line'!$AQ$2:$AQ$4001,0))</f>
        <v/>
      </c>
      <c r="S298" s="7">
        <f>IF($AA298="","",R298*Q298)</f>
        <v/>
      </c>
      <c r="T298">
        <f>IF($AA298="","",Settings!$C$6)</f>
        <v/>
      </c>
      <c r="U298" s="7">
        <f>IF($AA298="","",SUMIFS('Per Line'!$Y$2:$Y$4001,'Per Line'!$E$2:$E$4001,$B298,'Per Line'!$AP$2:$AP$4001,1,'Per Line'!$AQ$2:$AQ$4001,0))</f>
        <v/>
      </c>
      <c r="V298" s="7">
        <f>IF($AA298="","",U298*T298)</f>
        <v/>
      </c>
      <c r="W298" s="7">
        <f>IF($AA298="","",V298+S298)</f>
        <v/>
      </c>
      <c r="X298" s="7">
        <f>IF($AA298="","",Y298-W298)</f>
        <v/>
      </c>
      <c r="Y298" s="7">
        <f>IF($AA298="","",R298+U298+P298)</f>
        <v/>
      </c>
      <c r="Z298" s="7">
        <f>IF($AA298="","",Y298-W298-L298)</f>
        <v/>
      </c>
      <c r="AA298" s="13">
        <f>IF(ROWS($AA$2:$AA298)&lt;=MAX('Per Line'!$AO$2:$AO$4001),MATCH(ROWS($AA$2:$AA298),'Per Line'!$AO$2:$AO$4001,0),"")</f>
        <v/>
      </c>
      <c r="AB298" s="14">
        <f>IF($AA298="","",L298-K298*Y298/100)</f>
        <v/>
      </c>
    </row>
    <row r="299">
      <c r="A299" s="12" t="n"/>
      <c r="B299">
        <f>IF($AA299="","",INDEX('Per Line'!$E$2:$E$4001,$AA299)&amp;"")</f>
        <v/>
      </c>
      <c r="C299">
        <f>IF($AA299="","",INDEX('Per Line'!$A$2:$A$4001,$AA299)&amp;"")</f>
        <v/>
      </c>
      <c r="D299">
        <f>IF($AA299="","",INDEX('Per Line'!$D$2:$D$4001,$AA299)&amp;"")</f>
        <v/>
      </c>
      <c r="E299" s="11">
        <f>IF($AA299="","",INDEX('Per Line'!$G$2:$G$4001,$AA299))</f>
        <v/>
      </c>
      <c r="F299">
        <f>IF($AA299="","",INDEX('Per Line'!$H$2:$H$4001,$AA299)&amp;"")</f>
        <v/>
      </c>
      <c r="G299">
        <f>IF($AA299="","",INDEX('Per Line'!$I$2:$I$4001,$AA299)&amp;"")</f>
        <v/>
      </c>
      <c r="H299">
        <f>IF($AA299="","",INDEX('Per Line'!$J$2:$J$4001,$AA299)&amp;"")</f>
        <v/>
      </c>
      <c r="I299">
        <f>IF($AA299="","",INDEX('Per Line'!$K$2:$K$4001,$AA299)&amp;"")</f>
        <v/>
      </c>
      <c r="J299">
        <f>IF($AA299="","",INDEX('Per Line'!$L$2:$L$4001,$AA299)&amp;"")</f>
        <v/>
      </c>
      <c r="K299">
        <f>IF($AA299="","",INDEX('Per Line'!$P$2:$P$4001,$AA299))</f>
        <v/>
      </c>
      <c r="L299" s="7">
        <f>IF($AA299="","",IF(AND(ISNUMBER(N299),N299&gt;0,Y299&gt;N299),K299*N299/100+(Y299-N299),K299*Y299/100))</f>
        <v/>
      </c>
      <c r="M299">
        <f>IF($AA299="","",INDEX('Per Line'!$Z$2:$Z$4001,$AA299)&amp;"")</f>
        <v/>
      </c>
      <c r="N299">
        <f>IF($AA299="","",INDEX('Per Line'!$AG$2:$AG$4001,$AA299))</f>
        <v/>
      </c>
      <c r="O299">
        <f>IF($AA299="","",IF(AND(ISNUMBER(N299),N299&gt;0),Y299&gt;N299,FALSE))</f>
        <v/>
      </c>
      <c r="P299" s="7">
        <f>IF($AA299="","",SUMIFS('Per Line'!$Y$2:$Y$4001,'Per Line'!$E$2:$E$4001,$B299,'Per Line'!$AQ$2:$AQ$4001,1))</f>
        <v/>
      </c>
      <c r="Q299">
        <f>IF($AA299="","",Settings!$C$7)</f>
        <v/>
      </c>
      <c r="R299" s="7">
        <f>IF($AA299="","",SUMIFS('Per Line'!$Y$2:$Y$4001,'Per Line'!$E$2:$E$4001,$B299,'Per Line'!$AP$2:$AP$4001,0,'Per Line'!$AQ$2:$AQ$4001,0))</f>
        <v/>
      </c>
      <c r="S299" s="7">
        <f>IF($AA299="","",R299*Q299)</f>
        <v/>
      </c>
      <c r="T299">
        <f>IF($AA299="","",Settings!$C$6)</f>
        <v/>
      </c>
      <c r="U299" s="7">
        <f>IF($AA299="","",SUMIFS('Per Line'!$Y$2:$Y$4001,'Per Line'!$E$2:$E$4001,$B299,'Per Line'!$AP$2:$AP$4001,1,'Per Line'!$AQ$2:$AQ$4001,0))</f>
        <v/>
      </c>
      <c r="V299" s="7">
        <f>IF($AA299="","",U299*T299)</f>
        <v/>
      </c>
      <c r="W299" s="7">
        <f>IF($AA299="","",V299+S299)</f>
        <v/>
      </c>
      <c r="X299" s="7">
        <f>IF($AA299="","",Y299-W299)</f>
        <v/>
      </c>
      <c r="Y299" s="7">
        <f>IF($AA299="","",R299+U299+P299)</f>
        <v/>
      </c>
      <c r="Z299" s="7">
        <f>IF($AA299="","",Y299-W299-L299)</f>
        <v/>
      </c>
      <c r="AA299" s="13">
        <f>IF(ROWS($AA$2:$AA299)&lt;=MAX('Per Line'!$AO$2:$AO$4001),MATCH(ROWS($AA$2:$AA299),'Per Line'!$AO$2:$AO$4001,0),"")</f>
        <v/>
      </c>
      <c r="AB299" s="14">
        <f>IF($AA299="","",L299-K299*Y299/100)</f>
        <v/>
      </c>
    </row>
    <row r="300">
      <c r="A300" s="12" t="n"/>
      <c r="B300">
        <f>IF($AA300="","",INDEX('Per Line'!$E$2:$E$4001,$AA300)&amp;"")</f>
        <v/>
      </c>
      <c r="C300">
        <f>IF($AA300="","",INDEX('Per Line'!$A$2:$A$4001,$AA300)&amp;"")</f>
        <v/>
      </c>
      <c r="D300">
        <f>IF($AA300="","",INDEX('Per Line'!$D$2:$D$4001,$AA300)&amp;"")</f>
        <v/>
      </c>
      <c r="E300" s="11">
        <f>IF($AA300="","",INDEX('Per Line'!$G$2:$G$4001,$AA300))</f>
        <v/>
      </c>
      <c r="F300">
        <f>IF($AA300="","",INDEX('Per Line'!$H$2:$H$4001,$AA300)&amp;"")</f>
        <v/>
      </c>
      <c r="G300">
        <f>IF($AA300="","",INDEX('Per Line'!$I$2:$I$4001,$AA300)&amp;"")</f>
        <v/>
      </c>
      <c r="H300">
        <f>IF($AA300="","",INDEX('Per Line'!$J$2:$J$4001,$AA300)&amp;"")</f>
        <v/>
      </c>
      <c r="I300">
        <f>IF($AA300="","",INDEX('Per Line'!$K$2:$K$4001,$AA300)&amp;"")</f>
        <v/>
      </c>
      <c r="J300">
        <f>IF($AA300="","",INDEX('Per Line'!$L$2:$L$4001,$AA300)&amp;"")</f>
        <v/>
      </c>
      <c r="K300">
        <f>IF($AA300="","",INDEX('Per Line'!$P$2:$P$4001,$AA300))</f>
        <v/>
      </c>
      <c r="L300" s="7">
        <f>IF($AA300="","",IF(AND(ISNUMBER(N300),N300&gt;0,Y300&gt;N300),K300*N300/100+(Y300-N300),K300*Y300/100))</f>
        <v/>
      </c>
      <c r="M300">
        <f>IF($AA300="","",INDEX('Per Line'!$Z$2:$Z$4001,$AA300)&amp;"")</f>
        <v/>
      </c>
      <c r="N300">
        <f>IF($AA300="","",INDEX('Per Line'!$AG$2:$AG$4001,$AA300))</f>
        <v/>
      </c>
      <c r="O300">
        <f>IF($AA300="","",IF(AND(ISNUMBER(N300),N300&gt;0),Y300&gt;N300,FALSE))</f>
        <v/>
      </c>
      <c r="P300" s="7">
        <f>IF($AA300="","",SUMIFS('Per Line'!$Y$2:$Y$4001,'Per Line'!$E$2:$E$4001,$B300,'Per Line'!$AQ$2:$AQ$4001,1))</f>
        <v/>
      </c>
      <c r="Q300">
        <f>IF($AA300="","",Settings!$C$7)</f>
        <v/>
      </c>
      <c r="R300" s="7">
        <f>IF($AA300="","",SUMIFS('Per Line'!$Y$2:$Y$4001,'Per Line'!$E$2:$E$4001,$B300,'Per Line'!$AP$2:$AP$4001,0,'Per Line'!$AQ$2:$AQ$4001,0))</f>
        <v/>
      </c>
      <c r="S300" s="7">
        <f>IF($AA300="","",R300*Q300)</f>
        <v/>
      </c>
      <c r="T300">
        <f>IF($AA300="","",Settings!$C$6)</f>
        <v/>
      </c>
      <c r="U300" s="7">
        <f>IF($AA300="","",SUMIFS('Per Line'!$Y$2:$Y$4001,'Per Line'!$E$2:$E$4001,$B300,'Per Line'!$AP$2:$AP$4001,1,'Per Line'!$AQ$2:$AQ$4001,0))</f>
        <v/>
      </c>
      <c r="V300" s="7">
        <f>IF($AA300="","",U300*T300)</f>
        <v/>
      </c>
      <c r="W300" s="7">
        <f>IF($AA300="","",V300+S300)</f>
        <v/>
      </c>
      <c r="X300" s="7">
        <f>IF($AA300="","",Y300-W300)</f>
        <v/>
      </c>
      <c r="Y300" s="7">
        <f>IF($AA300="","",R300+U300+P300)</f>
        <v/>
      </c>
      <c r="Z300" s="7">
        <f>IF($AA300="","",Y300-W300-L300)</f>
        <v/>
      </c>
      <c r="AA300" s="13">
        <f>IF(ROWS($AA$2:$AA300)&lt;=MAX('Per Line'!$AO$2:$AO$4001),MATCH(ROWS($AA$2:$AA300),'Per Line'!$AO$2:$AO$4001,0),"")</f>
        <v/>
      </c>
      <c r="AB300" s="14">
        <f>IF($AA300="","",L300-K300*Y300/100)</f>
        <v/>
      </c>
    </row>
    <row r="301">
      <c r="A301" s="12" t="n"/>
      <c r="B301">
        <f>IF($AA301="","",INDEX('Per Line'!$E$2:$E$4001,$AA301)&amp;"")</f>
        <v/>
      </c>
      <c r="C301">
        <f>IF($AA301="","",INDEX('Per Line'!$A$2:$A$4001,$AA301)&amp;"")</f>
        <v/>
      </c>
      <c r="D301">
        <f>IF($AA301="","",INDEX('Per Line'!$D$2:$D$4001,$AA301)&amp;"")</f>
        <v/>
      </c>
      <c r="E301" s="11">
        <f>IF($AA301="","",INDEX('Per Line'!$G$2:$G$4001,$AA301))</f>
        <v/>
      </c>
      <c r="F301">
        <f>IF($AA301="","",INDEX('Per Line'!$H$2:$H$4001,$AA301)&amp;"")</f>
        <v/>
      </c>
      <c r="G301">
        <f>IF($AA301="","",INDEX('Per Line'!$I$2:$I$4001,$AA301)&amp;"")</f>
        <v/>
      </c>
      <c r="H301">
        <f>IF($AA301="","",INDEX('Per Line'!$J$2:$J$4001,$AA301)&amp;"")</f>
        <v/>
      </c>
      <c r="I301">
        <f>IF($AA301="","",INDEX('Per Line'!$K$2:$K$4001,$AA301)&amp;"")</f>
        <v/>
      </c>
      <c r="J301">
        <f>IF($AA301="","",INDEX('Per Line'!$L$2:$L$4001,$AA301)&amp;"")</f>
        <v/>
      </c>
      <c r="K301">
        <f>IF($AA301="","",INDEX('Per Line'!$P$2:$P$4001,$AA301))</f>
        <v/>
      </c>
      <c r="L301" s="7">
        <f>IF($AA301="","",IF(AND(ISNUMBER(N301),N301&gt;0,Y301&gt;N301),K301*N301/100+(Y301-N301),K301*Y301/100))</f>
        <v/>
      </c>
      <c r="M301">
        <f>IF($AA301="","",INDEX('Per Line'!$Z$2:$Z$4001,$AA301)&amp;"")</f>
        <v/>
      </c>
      <c r="N301">
        <f>IF($AA301="","",INDEX('Per Line'!$AG$2:$AG$4001,$AA301))</f>
        <v/>
      </c>
      <c r="O301">
        <f>IF($AA301="","",IF(AND(ISNUMBER(N301),N301&gt;0),Y301&gt;N301,FALSE))</f>
        <v/>
      </c>
      <c r="P301" s="7">
        <f>IF($AA301="","",SUMIFS('Per Line'!$Y$2:$Y$4001,'Per Line'!$E$2:$E$4001,$B301,'Per Line'!$AQ$2:$AQ$4001,1))</f>
        <v/>
      </c>
      <c r="Q301">
        <f>IF($AA301="","",Settings!$C$7)</f>
        <v/>
      </c>
      <c r="R301" s="7">
        <f>IF($AA301="","",SUMIFS('Per Line'!$Y$2:$Y$4001,'Per Line'!$E$2:$E$4001,$B301,'Per Line'!$AP$2:$AP$4001,0,'Per Line'!$AQ$2:$AQ$4001,0))</f>
        <v/>
      </c>
      <c r="S301" s="7">
        <f>IF($AA301="","",R301*Q301)</f>
        <v/>
      </c>
      <c r="T301">
        <f>IF($AA301="","",Settings!$C$6)</f>
        <v/>
      </c>
      <c r="U301" s="7">
        <f>IF($AA301="","",SUMIFS('Per Line'!$Y$2:$Y$4001,'Per Line'!$E$2:$E$4001,$B301,'Per Line'!$AP$2:$AP$4001,1,'Per Line'!$AQ$2:$AQ$4001,0))</f>
        <v/>
      </c>
      <c r="V301" s="7">
        <f>IF($AA301="","",U301*T301)</f>
        <v/>
      </c>
      <c r="W301" s="7">
        <f>IF($AA301="","",V301+S301)</f>
        <v/>
      </c>
      <c r="X301" s="7">
        <f>IF($AA301="","",Y301-W301)</f>
        <v/>
      </c>
      <c r="Y301" s="7">
        <f>IF($AA301="","",R301+U301+P301)</f>
        <v/>
      </c>
      <c r="Z301" s="7">
        <f>IF($AA301="","",Y301-W301-L301)</f>
        <v/>
      </c>
      <c r="AA301" s="13">
        <f>IF(ROWS($AA$2:$AA301)&lt;=MAX('Per Line'!$AO$2:$AO$4001),MATCH(ROWS($AA$2:$AA301),'Per Line'!$AO$2:$AO$4001,0),"")</f>
        <v/>
      </c>
      <c r="AB301" s="14">
        <f>IF($AA301="","",L301-K301*Y301/100)</f>
        <v/>
      </c>
    </row>
    <row r="302">
      <c r="A302" s="12" t="n"/>
      <c r="B302">
        <f>IF($AA302="","",INDEX('Per Line'!$E$2:$E$4001,$AA302)&amp;"")</f>
        <v/>
      </c>
      <c r="C302">
        <f>IF($AA302="","",INDEX('Per Line'!$A$2:$A$4001,$AA302)&amp;"")</f>
        <v/>
      </c>
      <c r="D302">
        <f>IF($AA302="","",INDEX('Per Line'!$D$2:$D$4001,$AA302)&amp;"")</f>
        <v/>
      </c>
      <c r="E302" s="11">
        <f>IF($AA302="","",INDEX('Per Line'!$G$2:$G$4001,$AA302))</f>
        <v/>
      </c>
      <c r="F302">
        <f>IF($AA302="","",INDEX('Per Line'!$H$2:$H$4001,$AA302)&amp;"")</f>
        <v/>
      </c>
      <c r="G302">
        <f>IF($AA302="","",INDEX('Per Line'!$I$2:$I$4001,$AA302)&amp;"")</f>
        <v/>
      </c>
      <c r="H302">
        <f>IF($AA302="","",INDEX('Per Line'!$J$2:$J$4001,$AA302)&amp;"")</f>
        <v/>
      </c>
      <c r="I302">
        <f>IF($AA302="","",INDEX('Per Line'!$K$2:$K$4001,$AA302)&amp;"")</f>
        <v/>
      </c>
      <c r="J302">
        <f>IF($AA302="","",INDEX('Per Line'!$L$2:$L$4001,$AA302)&amp;"")</f>
        <v/>
      </c>
      <c r="K302">
        <f>IF($AA302="","",INDEX('Per Line'!$P$2:$P$4001,$AA302))</f>
        <v/>
      </c>
      <c r="L302" s="7">
        <f>IF($AA302="","",IF(AND(ISNUMBER(N302),N302&gt;0,Y302&gt;N302),K302*N302/100+(Y302-N302),K302*Y302/100))</f>
        <v/>
      </c>
      <c r="M302">
        <f>IF($AA302="","",INDEX('Per Line'!$Z$2:$Z$4001,$AA302)&amp;"")</f>
        <v/>
      </c>
      <c r="N302">
        <f>IF($AA302="","",INDEX('Per Line'!$AG$2:$AG$4001,$AA302))</f>
        <v/>
      </c>
      <c r="O302">
        <f>IF($AA302="","",IF(AND(ISNUMBER(N302),N302&gt;0),Y302&gt;N302,FALSE))</f>
        <v/>
      </c>
      <c r="P302" s="7">
        <f>IF($AA302="","",SUMIFS('Per Line'!$Y$2:$Y$4001,'Per Line'!$E$2:$E$4001,$B302,'Per Line'!$AQ$2:$AQ$4001,1))</f>
        <v/>
      </c>
      <c r="Q302">
        <f>IF($AA302="","",Settings!$C$7)</f>
        <v/>
      </c>
      <c r="R302" s="7">
        <f>IF($AA302="","",SUMIFS('Per Line'!$Y$2:$Y$4001,'Per Line'!$E$2:$E$4001,$B302,'Per Line'!$AP$2:$AP$4001,0,'Per Line'!$AQ$2:$AQ$4001,0))</f>
        <v/>
      </c>
      <c r="S302" s="7">
        <f>IF($AA302="","",R302*Q302)</f>
        <v/>
      </c>
      <c r="T302">
        <f>IF($AA302="","",Settings!$C$6)</f>
        <v/>
      </c>
      <c r="U302" s="7">
        <f>IF($AA302="","",SUMIFS('Per Line'!$Y$2:$Y$4001,'Per Line'!$E$2:$E$4001,$B302,'Per Line'!$AP$2:$AP$4001,1,'Per Line'!$AQ$2:$AQ$4001,0))</f>
        <v/>
      </c>
      <c r="V302" s="7">
        <f>IF($AA302="","",U302*T302)</f>
        <v/>
      </c>
      <c r="W302" s="7">
        <f>IF($AA302="","",V302+S302)</f>
        <v/>
      </c>
      <c r="X302" s="7">
        <f>IF($AA302="","",Y302-W302)</f>
        <v/>
      </c>
      <c r="Y302" s="7">
        <f>IF($AA302="","",R302+U302+P302)</f>
        <v/>
      </c>
      <c r="Z302" s="7">
        <f>IF($AA302="","",Y302-W302-L302)</f>
        <v/>
      </c>
      <c r="AA302" s="13">
        <f>IF(ROWS($AA$2:$AA302)&lt;=MAX('Per Line'!$AO$2:$AO$4001),MATCH(ROWS($AA$2:$AA302),'Per Line'!$AO$2:$AO$4001,0),"")</f>
        <v/>
      </c>
      <c r="AB302" s="14">
        <f>IF($AA302="","",L302-K302*Y302/100)</f>
        <v/>
      </c>
    </row>
    <row r="303">
      <c r="A303" s="12" t="n"/>
      <c r="B303">
        <f>IF($AA303="","",INDEX('Per Line'!$E$2:$E$4001,$AA303)&amp;"")</f>
        <v/>
      </c>
      <c r="C303">
        <f>IF($AA303="","",INDEX('Per Line'!$A$2:$A$4001,$AA303)&amp;"")</f>
        <v/>
      </c>
      <c r="D303">
        <f>IF($AA303="","",INDEX('Per Line'!$D$2:$D$4001,$AA303)&amp;"")</f>
        <v/>
      </c>
      <c r="E303" s="11">
        <f>IF($AA303="","",INDEX('Per Line'!$G$2:$G$4001,$AA303))</f>
        <v/>
      </c>
      <c r="F303">
        <f>IF($AA303="","",INDEX('Per Line'!$H$2:$H$4001,$AA303)&amp;"")</f>
        <v/>
      </c>
      <c r="G303">
        <f>IF($AA303="","",INDEX('Per Line'!$I$2:$I$4001,$AA303)&amp;"")</f>
        <v/>
      </c>
      <c r="H303">
        <f>IF($AA303="","",INDEX('Per Line'!$J$2:$J$4001,$AA303)&amp;"")</f>
        <v/>
      </c>
      <c r="I303">
        <f>IF($AA303="","",INDEX('Per Line'!$K$2:$K$4001,$AA303)&amp;"")</f>
        <v/>
      </c>
      <c r="J303">
        <f>IF($AA303="","",INDEX('Per Line'!$L$2:$L$4001,$AA303)&amp;"")</f>
        <v/>
      </c>
      <c r="K303">
        <f>IF($AA303="","",INDEX('Per Line'!$P$2:$P$4001,$AA303))</f>
        <v/>
      </c>
      <c r="L303" s="7">
        <f>IF($AA303="","",IF(AND(ISNUMBER(N303),N303&gt;0,Y303&gt;N303),K303*N303/100+(Y303-N303),K303*Y303/100))</f>
        <v/>
      </c>
      <c r="M303">
        <f>IF($AA303="","",INDEX('Per Line'!$Z$2:$Z$4001,$AA303)&amp;"")</f>
        <v/>
      </c>
      <c r="N303">
        <f>IF($AA303="","",INDEX('Per Line'!$AG$2:$AG$4001,$AA303))</f>
        <v/>
      </c>
      <c r="O303">
        <f>IF($AA303="","",IF(AND(ISNUMBER(N303),N303&gt;0),Y303&gt;N303,FALSE))</f>
        <v/>
      </c>
      <c r="P303" s="7">
        <f>IF($AA303="","",SUMIFS('Per Line'!$Y$2:$Y$4001,'Per Line'!$E$2:$E$4001,$B303,'Per Line'!$AQ$2:$AQ$4001,1))</f>
        <v/>
      </c>
      <c r="Q303">
        <f>IF($AA303="","",Settings!$C$7)</f>
        <v/>
      </c>
      <c r="R303" s="7">
        <f>IF($AA303="","",SUMIFS('Per Line'!$Y$2:$Y$4001,'Per Line'!$E$2:$E$4001,$B303,'Per Line'!$AP$2:$AP$4001,0,'Per Line'!$AQ$2:$AQ$4001,0))</f>
        <v/>
      </c>
      <c r="S303" s="7">
        <f>IF($AA303="","",R303*Q303)</f>
        <v/>
      </c>
      <c r="T303">
        <f>IF($AA303="","",Settings!$C$6)</f>
        <v/>
      </c>
      <c r="U303" s="7">
        <f>IF($AA303="","",SUMIFS('Per Line'!$Y$2:$Y$4001,'Per Line'!$E$2:$E$4001,$B303,'Per Line'!$AP$2:$AP$4001,1,'Per Line'!$AQ$2:$AQ$4001,0))</f>
        <v/>
      </c>
      <c r="V303" s="7">
        <f>IF($AA303="","",U303*T303)</f>
        <v/>
      </c>
      <c r="W303" s="7">
        <f>IF($AA303="","",V303+S303)</f>
        <v/>
      </c>
      <c r="X303" s="7">
        <f>IF($AA303="","",Y303-W303)</f>
        <v/>
      </c>
      <c r="Y303" s="7">
        <f>IF($AA303="","",R303+U303+P303)</f>
        <v/>
      </c>
      <c r="Z303" s="7">
        <f>IF($AA303="","",Y303-W303-L303)</f>
        <v/>
      </c>
      <c r="AA303" s="13">
        <f>IF(ROWS($AA$2:$AA303)&lt;=MAX('Per Line'!$AO$2:$AO$4001),MATCH(ROWS($AA$2:$AA303),'Per Line'!$AO$2:$AO$4001,0),"")</f>
        <v/>
      </c>
      <c r="AB303" s="14">
        <f>IF($AA303="","",L303-K303*Y303/100)</f>
        <v/>
      </c>
    </row>
    <row r="304">
      <c r="A304" s="12" t="n"/>
      <c r="B304">
        <f>IF($AA304="","",INDEX('Per Line'!$E$2:$E$4001,$AA304)&amp;"")</f>
        <v/>
      </c>
      <c r="C304">
        <f>IF($AA304="","",INDEX('Per Line'!$A$2:$A$4001,$AA304)&amp;"")</f>
        <v/>
      </c>
      <c r="D304">
        <f>IF($AA304="","",INDEX('Per Line'!$D$2:$D$4001,$AA304)&amp;"")</f>
        <v/>
      </c>
      <c r="E304" s="11">
        <f>IF($AA304="","",INDEX('Per Line'!$G$2:$G$4001,$AA304))</f>
        <v/>
      </c>
      <c r="F304">
        <f>IF($AA304="","",INDEX('Per Line'!$H$2:$H$4001,$AA304)&amp;"")</f>
        <v/>
      </c>
      <c r="G304">
        <f>IF($AA304="","",INDEX('Per Line'!$I$2:$I$4001,$AA304)&amp;"")</f>
        <v/>
      </c>
      <c r="H304">
        <f>IF($AA304="","",INDEX('Per Line'!$J$2:$J$4001,$AA304)&amp;"")</f>
        <v/>
      </c>
      <c r="I304">
        <f>IF($AA304="","",INDEX('Per Line'!$K$2:$K$4001,$AA304)&amp;"")</f>
        <v/>
      </c>
      <c r="J304">
        <f>IF($AA304="","",INDEX('Per Line'!$L$2:$L$4001,$AA304)&amp;"")</f>
        <v/>
      </c>
      <c r="K304">
        <f>IF($AA304="","",INDEX('Per Line'!$P$2:$P$4001,$AA304))</f>
        <v/>
      </c>
      <c r="L304" s="7">
        <f>IF($AA304="","",IF(AND(ISNUMBER(N304),N304&gt;0,Y304&gt;N304),K304*N304/100+(Y304-N304),K304*Y304/100))</f>
        <v/>
      </c>
      <c r="M304">
        <f>IF($AA304="","",INDEX('Per Line'!$Z$2:$Z$4001,$AA304)&amp;"")</f>
        <v/>
      </c>
      <c r="N304">
        <f>IF($AA304="","",INDEX('Per Line'!$AG$2:$AG$4001,$AA304))</f>
        <v/>
      </c>
      <c r="O304">
        <f>IF($AA304="","",IF(AND(ISNUMBER(N304),N304&gt;0),Y304&gt;N304,FALSE))</f>
        <v/>
      </c>
      <c r="P304" s="7">
        <f>IF($AA304="","",SUMIFS('Per Line'!$Y$2:$Y$4001,'Per Line'!$E$2:$E$4001,$B304,'Per Line'!$AQ$2:$AQ$4001,1))</f>
        <v/>
      </c>
      <c r="Q304">
        <f>IF($AA304="","",Settings!$C$7)</f>
        <v/>
      </c>
      <c r="R304" s="7">
        <f>IF($AA304="","",SUMIFS('Per Line'!$Y$2:$Y$4001,'Per Line'!$E$2:$E$4001,$B304,'Per Line'!$AP$2:$AP$4001,0,'Per Line'!$AQ$2:$AQ$4001,0))</f>
        <v/>
      </c>
      <c r="S304" s="7">
        <f>IF($AA304="","",R304*Q304)</f>
        <v/>
      </c>
      <c r="T304">
        <f>IF($AA304="","",Settings!$C$6)</f>
        <v/>
      </c>
      <c r="U304" s="7">
        <f>IF($AA304="","",SUMIFS('Per Line'!$Y$2:$Y$4001,'Per Line'!$E$2:$E$4001,$B304,'Per Line'!$AP$2:$AP$4001,1,'Per Line'!$AQ$2:$AQ$4001,0))</f>
        <v/>
      </c>
      <c r="V304" s="7">
        <f>IF($AA304="","",U304*T304)</f>
        <v/>
      </c>
      <c r="W304" s="7">
        <f>IF($AA304="","",V304+S304)</f>
        <v/>
      </c>
      <c r="X304" s="7">
        <f>IF($AA304="","",Y304-W304)</f>
        <v/>
      </c>
      <c r="Y304" s="7">
        <f>IF($AA304="","",R304+U304+P304)</f>
        <v/>
      </c>
      <c r="Z304" s="7">
        <f>IF($AA304="","",Y304-W304-L304)</f>
        <v/>
      </c>
      <c r="AA304" s="13">
        <f>IF(ROWS($AA$2:$AA304)&lt;=MAX('Per Line'!$AO$2:$AO$4001),MATCH(ROWS($AA$2:$AA304),'Per Line'!$AO$2:$AO$4001,0),"")</f>
        <v/>
      </c>
      <c r="AB304" s="14">
        <f>IF($AA304="","",L304-K304*Y304/100)</f>
        <v/>
      </c>
    </row>
    <row r="305">
      <c r="A305" s="12" t="n"/>
      <c r="B305">
        <f>IF($AA305="","",INDEX('Per Line'!$E$2:$E$4001,$AA305)&amp;"")</f>
        <v/>
      </c>
      <c r="C305">
        <f>IF($AA305="","",INDEX('Per Line'!$A$2:$A$4001,$AA305)&amp;"")</f>
        <v/>
      </c>
      <c r="D305">
        <f>IF($AA305="","",INDEX('Per Line'!$D$2:$D$4001,$AA305)&amp;"")</f>
        <v/>
      </c>
      <c r="E305" s="11">
        <f>IF($AA305="","",INDEX('Per Line'!$G$2:$G$4001,$AA305))</f>
        <v/>
      </c>
      <c r="F305">
        <f>IF($AA305="","",INDEX('Per Line'!$H$2:$H$4001,$AA305)&amp;"")</f>
        <v/>
      </c>
      <c r="G305">
        <f>IF($AA305="","",INDEX('Per Line'!$I$2:$I$4001,$AA305)&amp;"")</f>
        <v/>
      </c>
      <c r="H305">
        <f>IF($AA305="","",INDEX('Per Line'!$J$2:$J$4001,$AA305)&amp;"")</f>
        <v/>
      </c>
      <c r="I305">
        <f>IF($AA305="","",INDEX('Per Line'!$K$2:$K$4001,$AA305)&amp;"")</f>
        <v/>
      </c>
      <c r="J305">
        <f>IF($AA305="","",INDEX('Per Line'!$L$2:$L$4001,$AA305)&amp;"")</f>
        <v/>
      </c>
      <c r="K305">
        <f>IF($AA305="","",INDEX('Per Line'!$P$2:$P$4001,$AA305))</f>
        <v/>
      </c>
      <c r="L305" s="7">
        <f>IF($AA305="","",IF(AND(ISNUMBER(N305),N305&gt;0,Y305&gt;N305),K305*N305/100+(Y305-N305),K305*Y305/100))</f>
        <v/>
      </c>
      <c r="M305">
        <f>IF($AA305="","",INDEX('Per Line'!$Z$2:$Z$4001,$AA305)&amp;"")</f>
        <v/>
      </c>
      <c r="N305">
        <f>IF($AA305="","",INDEX('Per Line'!$AG$2:$AG$4001,$AA305))</f>
        <v/>
      </c>
      <c r="O305">
        <f>IF($AA305="","",IF(AND(ISNUMBER(N305),N305&gt;0),Y305&gt;N305,FALSE))</f>
        <v/>
      </c>
      <c r="P305" s="7">
        <f>IF($AA305="","",SUMIFS('Per Line'!$Y$2:$Y$4001,'Per Line'!$E$2:$E$4001,$B305,'Per Line'!$AQ$2:$AQ$4001,1))</f>
        <v/>
      </c>
      <c r="Q305">
        <f>IF($AA305="","",Settings!$C$7)</f>
        <v/>
      </c>
      <c r="R305" s="7">
        <f>IF($AA305="","",SUMIFS('Per Line'!$Y$2:$Y$4001,'Per Line'!$E$2:$E$4001,$B305,'Per Line'!$AP$2:$AP$4001,0,'Per Line'!$AQ$2:$AQ$4001,0))</f>
        <v/>
      </c>
      <c r="S305" s="7">
        <f>IF($AA305="","",R305*Q305)</f>
        <v/>
      </c>
      <c r="T305">
        <f>IF($AA305="","",Settings!$C$6)</f>
        <v/>
      </c>
      <c r="U305" s="7">
        <f>IF($AA305="","",SUMIFS('Per Line'!$Y$2:$Y$4001,'Per Line'!$E$2:$E$4001,$B305,'Per Line'!$AP$2:$AP$4001,1,'Per Line'!$AQ$2:$AQ$4001,0))</f>
        <v/>
      </c>
      <c r="V305" s="7">
        <f>IF($AA305="","",U305*T305)</f>
        <v/>
      </c>
      <c r="W305" s="7">
        <f>IF($AA305="","",V305+S305)</f>
        <v/>
      </c>
      <c r="X305" s="7">
        <f>IF($AA305="","",Y305-W305)</f>
        <v/>
      </c>
      <c r="Y305" s="7">
        <f>IF($AA305="","",R305+U305+P305)</f>
        <v/>
      </c>
      <c r="Z305" s="7">
        <f>IF($AA305="","",Y305-W305-L305)</f>
        <v/>
      </c>
      <c r="AA305" s="13">
        <f>IF(ROWS($AA$2:$AA305)&lt;=MAX('Per Line'!$AO$2:$AO$4001),MATCH(ROWS($AA$2:$AA305),'Per Line'!$AO$2:$AO$4001,0),"")</f>
        <v/>
      </c>
      <c r="AB305" s="14">
        <f>IF($AA305="","",L305-K305*Y305/100)</f>
        <v/>
      </c>
    </row>
    <row r="306">
      <c r="A306" s="12" t="n"/>
      <c r="B306">
        <f>IF($AA306="","",INDEX('Per Line'!$E$2:$E$4001,$AA306)&amp;"")</f>
        <v/>
      </c>
      <c r="C306">
        <f>IF($AA306="","",INDEX('Per Line'!$A$2:$A$4001,$AA306)&amp;"")</f>
        <v/>
      </c>
      <c r="D306">
        <f>IF($AA306="","",INDEX('Per Line'!$D$2:$D$4001,$AA306)&amp;"")</f>
        <v/>
      </c>
      <c r="E306" s="11">
        <f>IF($AA306="","",INDEX('Per Line'!$G$2:$G$4001,$AA306))</f>
        <v/>
      </c>
      <c r="F306">
        <f>IF($AA306="","",INDEX('Per Line'!$H$2:$H$4001,$AA306)&amp;"")</f>
        <v/>
      </c>
      <c r="G306">
        <f>IF($AA306="","",INDEX('Per Line'!$I$2:$I$4001,$AA306)&amp;"")</f>
        <v/>
      </c>
      <c r="H306">
        <f>IF($AA306="","",INDEX('Per Line'!$J$2:$J$4001,$AA306)&amp;"")</f>
        <v/>
      </c>
      <c r="I306">
        <f>IF($AA306="","",INDEX('Per Line'!$K$2:$K$4001,$AA306)&amp;"")</f>
        <v/>
      </c>
      <c r="J306">
        <f>IF($AA306="","",INDEX('Per Line'!$L$2:$L$4001,$AA306)&amp;"")</f>
        <v/>
      </c>
      <c r="K306">
        <f>IF($AA306="","",INDEX('Per Line'!$P$2:$P$4001,$AA306))</f>
        <v/>
      </c>
      <c r="L306" s="7">
        <f>IF($AA306="","",IF(AND(ISNUMBER(N306),N306&gt;0,Y306&gt;N306),K306*N306/100+(Y306-N306),K306*Y306/100))</f>
        <v/>
      </c>
      <c r="M306">
        <f>IF($AA306="","",INDEX('Per Line'!$Z$2:$Z$4001,$AA306)&amp;"")</f>
        <v/>
      </c>
      <c r="N306">
        <f>IF($AA306="","",INDEX('Per Line'!$AG$2:$AG$4001,$AA306))</f>
        <v/>
      </c>
      <c r="O306">
        <f>IF($AA306="","",IF(AND(ISNUMBER(N306),N306&gt;0),Y306&gt;N306,FALSE))</f>
        <v/>
      </c>
      <c r="P306" s="7">
        <f>IF($AA306="","",SUMIFS('Per Line'!$Y$2:$Y$4001,'Per Line'!$E$2:$E$4001,$B306,'Per Line'!$AQ$2:$AQ$4001,1))</f>
        <v/>
      </c>
      <c r="Q306">
        <f>IF($AA306="","",Settings!$C$7)</f>
        <v/>
      </c>
      <c r="R306" s="7">
        <f>IF($AA306="","",SUMIFS('Per Line'!$Y$2:$Y$4001,'Per Line'!$E$2:$E$4001,$B306,'Per Line'!$AP$2:$AP$4001,0,'Per Line'!$AQ$2:$AQ$4001,0))</f>
        <v/>
      </c>
      <c r="S306" s="7">
        <f>IF($AA306="","",R306*Q306)</f>
        <v/>
      </c>
      <c r="T306">
        <f>IF($AA306="","",Settings!$C$6)</f>
        <v/>
      </c>
      <c r="U306" s="7">
        <f>IF($AA306="","",SUMIFS('Per Line'!$Y$2:$Y$4001,'Per Line'!$E$2:$E$4001,$B306,'Per Line'!$AP$2:$AP$4001,1,'Per Line'!$AQ$2:$AQ$4001,0))</f>
        <v/>
      </c>
      <c r="V306" s="7">
        <f>IF($AA306="","",U306*T306)</f>
        <v/>
      </c>
      <c r="W306" s="7">
        <f>IF($AA306="","",V306+S306)</f>
        <v/>
      </c>
      <c r="X306" s="7">
        <f>IF($AA306="","",Y306-W306)</f>
        <v/>
      </c>
      <c r="Y306" s="7">
        <f>IF($AA306="","",R306+U306+P306)</f>
        <v/>
      </c>
      <c r="Z306" s="7">
        <f>IF($AA306="","",Y306-W306-L306)</f>
        <v/>
      </c>
      <c r="AA306" s="13">
        <f>IF(ROWS($AA$2:$AA306)&lt;=MAX('Per Line'!$AO$2:$AO$4001),MATCH(ROWS($AA$2:$AA306),'Per Line'!$AO$2:$AO$4001,0),"")</f>
        <v/>
      </c>
      <c r="AB306" s="14">
        <f>IF($AA306="","",L306-K306*Y306/100)</f>
        <v/>
      </c>
    </row>
    <row r="307">
      <c r="A307" s="12" t="n"/>
      <c r="B307">
        <f>IF($AA307="","",INDEX('Per Line'!$E$2:$E$4001,$AA307)&amp;"")</f>
        <v/>
      </c>
      <c r="C307">
        <f>IF($AA307="","",INDEX('Per Line'!$A$2:$A$4001,$AA307)&amp;"")</f>
        <v/>
      </c>
      <c r="D307">
        <f>IF($AA307="","",INDEX('Per Line'!$D$2:$D$4001,$AA307)&amp;"")</f>
        <v/>
      </c>
      <c r="E307" s="11">
        <f>IF($AA307="","",INDEX('Per Line'!$G$2:$G$4001,$AA307))</f>
        <v/>
      </c>
      <c r="F307">
        <f>IF($AA307="","",INDEX('Per Line'!$H$2:$H$4001,$AA307)&amp;"")</f>
        <v/>
      </c>
      <c r="G307">
        <f>IF($AA307="","",INDEX('Per Line'!$I$2:$I$4001,$AA307)&amp;"")</f>
        <v/>
      </c>
      <c r="H307">
        <f>IF($AA307="","",INDEX('Per Line'!$J$2:$J$4001,$AA307)&amp;"")</f>
        <v/>
      </c>
      <c r="I307">
        <f>IF($AA307="","",INDEX('Per Line'!$K$2:$K$4001,$AA307)&amp;"")</f>
        <v/>
      </c>
      <c r="J307">
        <f>IF($AA307="","",INDEX('Per Line'!$L$2:$L$4001,$AA307)&amp;"")</f>
        <v/>
      </c>
      <c r="K307">
        <f>IF($AA307="","",INDEX('Per Line'!$P$2:$P$4001,$AA307))</f>
        <v/>
      </c>
      <c r="L307" s="7">
        <f>IF($AA307="","",IF(AND(ISNUMBER(N307),N307&gt;0,Y307&gt;N307),K307*N307/100+(Y307-N307),K307*Y307/100))</f>
        <v/>
      </c>
      <c r="M307">
        <f>IF($AA307="","",INDEX('Per Line'!$Z$2:$Z$4001,$AA307)&amp;"")</f>
        <v/>
      </c>
      <c r="N307">
        <f>IF($AA307="","",INDEX('Per Line'!$AG$2:$AG$4001,$AA307))</f>
        <v/>
      </c>
      <c r="O307">
        <f>IF($AA307="","",IF(AND(ISNUMBER(N307),N307&gt;0),Y307&gt;N307,FALSE))</f>
        <v/>
      </c>
      <c r="P307" s="7">
        <f>IF($AA307="","",SUMIFS('Per Line'!$Y$2:$Y$4001,'Per Line'!$E$2:$E$4001,$B307,'Per Line'!$AQ$2:$AQ$4001,1))</f>
        <v/>
      </c>
      <c r="Q307">
        <f>IF($AA307="","",Settings!$C$7)</f>
        <v/>
      </c>
      <c r="R307" s="7">
        <f>IF($AA307="","",SUMIFS('Per Line'!$Y$2:$Y$4001,'Per Line'!$E$2:$E$4001,$B307,'Per Line'!$AP$2:$AP$4001,0,'Per Line'!$AQ$2:$AQ$4001,0))</f>
        <v/>
      </c>
      <c r="S307" s="7">
        <f>IF($AA307="","",R307*Q307)</f>
        <v/>
      </c>
      <c r="T307">
        <f>IF($AA307="","",Settings!$C$6)</f>
        <v/>
      </c>
      <c r="U307" s="7">
        <f>IF($AA307="","",SUMIFS('Per Line'!$Y$2:$Y$4001,'Per Line'!$E$2:$E$4001,$B307,'Per Line'!$AP$2:$AP$4001,1,'Per Line'!$AQ$2:$AQ$4001,0))</f>
        <v/>
      </c>
      <c r="V307" s="7">
        <f>IF($AA307="","",U307*T307)</f>
        <v/>
      </c>
      <c r="W307" s="7">
        <f>IF($AA307="","",V307+S307)</f>
        <v/>
      </c>
      <c r="X307" s="7">
        <f>IF($AA307="","",Y307-W307)</f>
        <v/>
      </c>
      <c r="Y307" s="7">
        <f>IF($AA307="","",R307+U307+P307)</f>
        <v/>
      </c>
      <c r="Z307" s="7">
        <f>IF($AA307="","",Y307-W307-L307)</f>
        <v/>
      </c>
      <c r="AA307" s="13">
        <f>IF(ROWS($AA$2:$AA307)&lt;=MAX('Per Line'!$AO$2:$AO$4001),MATCH(ROWS($AA$2:$AA307),'Per Line'!$AO$2:$AO$4001,0),"")</f>
        <v/>
      </c>
      <c r="AB307" s="14">
        <f>IF($AA307="","",L307-K307*Y307/100)</f>
        <v/>
      </c>
    </row>
    <row r="308">
      <c r="A308" s="12" t="n"/>
      <c r="B308">
        <f>IF($AA308="","",INDEX('Per Line'!$E$2:$E$4001,$AA308)&amp;"")</f>
        <v/>
      </c>
      <c r="C308">
        <f>IF($AA308="","",INDEX('Per Line'!$A$2:$A$4001,$AA308)&amp;"")</f>
        <v/>
      </c>
      <c r="D308">
        <f>IF($AA308="","",INDEX('Per Line'!$D$2:$D$4001,$AA308)&amp;"")</f>
        <v/>
      </c>
      <c r="E308" s="11">
        <f>IF($AA308="","",INDEX('Per Line'!$G$2:$G$4001,$AA308))</f>
        <v/>
      </c>
      <c r="F308">
        <f>IF($AA308="","",INDEX('Per Line'!$H$2:$H$4001,$AA308)&amp;"")</f>
        <v/>
      </c>
      <c r="G308">
        <f>IF($AA308="","",INDEX('Per Line'!$I$2:$I$4001,$AA308)&amp;"")</f>
        <v/>
      </c>
      <c r="H308">
        <f>IF($AA308="","",INDEX('Per Line'!$J$2:$J$4001,$AA308)&amp;"")</f>
        <v/>
      </c>
      <c r="I308">
        <f>IF($AA308="","",INDEX('Per Line'!$K$2:$K$4001,$AA308)&amp;"")</f>
        <v/>
      </c>
      <c r="J308">
        <f>IF($AA308="","",INDEX('Per Line'!$L$2:$L$4001,$AA308)&amp;"")</f>
        <v/>
      </c>
      <c r="K308">
        <f>IF($AA308="","",INDEX('Per Line'!$P$2:$P$4001,$AA308))</f>
        <v/>
      </c>
      <c r="L308" s="7">
        <f>IF($AA308="","",IF(AND(ISNUMBER(N308),N308&gt;0,Y308&gt;N308),K308*N308/100+(Y308-N308),K308*Y308/100))</f>
        <v/>
      </c>
      <c r="M308">
        <f>IF($AA308="","",INDEX('Per Line'!$Z$2:$Z$4001,$AA308)&amp;"")</f>
        <v/>
      </c>
      <c r="N308">
        <f>IF($AA308="","",INDEX('Per Line'!$AG$2:$AG$4001,$AA308))</f>
        <v/>
      </c>
      <c r="O308">
        <f>IF($AA308="","",IF(AND(ISNUMBER(N308),N308&gt;0),Y308&gt;N308,FALSE))</f>
        <v/>
      </c>
      <c r="P308" s="7">
        <f>IF($AA308="","",SUMIFS('Per Line'!$Y$2:$Y$4001,'Per Line'!$E$2:$E$4001,$B308,'Per Line'!$AQ$2:$AQ$4001,1))</f>
        <v/>
      </c>
      <c r="Q308">
        <f>IF($AA308="","",Settings!$C$7)</f>
        <v/>
      </c>
      <c r="R308" s="7">
        <f>IF($AA308="","",SUMIFS('Per Line'!$Y$2:$Y$4001,'Per Line'!$E$2:$E$4001,$B308,'Per Line'!$AP$2:$AP$4001,0,'Per Line'!$AQ$2:$AQ$4001,0))</f>
        <v/>
      </c>
      <c r="S308" s="7">
        <f>IF($AA308="","",R308*Q308)</f>
        <v/>
      </c>
      <c r="T308">
        <f>IF($AA308="","",Settings!$C$6)</f>
        <v/>
      </c>
      <c r="U308" s="7">
        <f>IF($AA308="","",SUMIFS('Per Line'!$Y$2:$Y$4001,'Per Line'!$E$2:$E$4001,$B308,'Per Line'!$AP$2:$AP$4001,1,'Per Line'!$AQ$2:$AQ$4001,0))</f>
        <v/>
      </c>
      <c r="V308" s="7">
        <f>IF($AA308="","",U308*T308)</f>
        <v/>
      </c>
      <c r="W308" s="7">
        <f>IF($AA308="","",V308+S308)</f>
        <v/>
      </c>
      <c r="X308" s="7">
        <f>IF($AA308="","",Y308-W308)</f>
        <v/>
      </c>
      <c r="Y308" s="7">
        <f>IF($AA308="","",R308+U308+P308)</f>
        <v/>
      </c>
      <c r="Z308" s="7">
        <f>IF($AA308="","",Y308-W308-L308)</f>
        <v/>
      </c>
      <c r="AA308" s="13">
        <f>IF(ROWS($AA$2:$AA308)&lt;=MAX('Per Line'!$AO$2:$AO$4001),MATCH(ROWS($AA$2:$AA308),'Per Line'!$AO$2:$AO$4001,0),"")</f>
        <v/>
      </c>
      <c r="AB308" s="14">
        <f>IF($AA308="","",L308-K308*Y308/100)</f>
        <v/>
      </c>
    </row>
    <row r="309">
      <c r="A309" s="12" t="n"/>
      <c r="B309">
        <f>IF($AA309="","",INDEX('Per Line'!$E$2:$E$4001,$AA309)&amp;"")</f>
        <v/>
      </c>
      <c r="C309">
        <f>IF($AA309="","",INDEX('Per Line'!$A$2:$A$4001,$AA309)&amp;"")</f>
        <v/>
      </c>
      <c r="D309">
        <f>IF($AA309="","",INDEX('Per Line'!$D$2:$D$4001,$AA309)&amp;"")</f>
        <v/>
      </c>
      <c r="E309" s="11">
        <f>IF($AA309="","",INDEX('Per Line'!$G$2:$G$4001,$AA309))</f>
        <v/>
      </c>
      <c r="F309">
        <f>IF($AA309="","",INDEX('Per Line'!$H$2:$H$4001,$AA309)&amp;"")</f>
        <v/>
      </c>
      <c r="G309">
        <f>IF($AA309="","",INDEX('Per Line'!$I$2:$I$4001,$AA309)&amp;"")</f>
        <v/>
      </c>
      <c r="H309">
        <f>IF($AA309="","",INDEX('Per Line'!$J$2:$J$4001,$AA309)&amp;"")</f>
        <v/>
      </c>
      <c r="I309">
        <f>IF($AA309="","",INDEX('Per Line'!$K$2:$K$4001,$AA309)&amp;"")</f>
        <v/>
      </c>
      <c r="J309">
        <f>IF($AA309="","",INDEX('Per Line'!$L$2:$L$4001,$AA309)&amp;"")</f>
        <v/>
      </c>
      <c r="K309">
        <f>IF($AA309="","",INDEX('Per Line'!$P$2:$P$4001,$AA309))</f>
        <v/>
      </c>
      <c r="L309" s="7">
        <f>IF($AA309="","",IF(AND(ISNUMBER(N309),N309&gt;0,Y309&gt;N309),K309*N309/100+(Y309-N309),K309*Y309/100))</f>
        <v/>
      </c>
      <c r="M309">
        <f>IF($AA309="","",INDEX('Per Line'!$Z$2:$Z$4001,$AA309)&amp;"")</f>
        <v/>
      </c>
      <c r="N309">
        <f>IF($AA309="","",INDEX('Per Line'!$AG$2:$AG$4001,$AA309))</f>
        <v/>
      </c>
      <c r="O309">
        <f>IF($AA309="","",IF(AND(ISNUMBER(N309),N309&gt;0),Y309&gt;N309,FALSE))</f>
        <v/>
      </c>
      <c r="P309" s="7">
        <f>IF($AA309="","",SUMIFS('Per Line'!$Y$2:$Y$4001,'Per Line'!$E$2:$E$4001,$B309,'Per Line'!$AQ$2:$AQ$4001,1))</f>
        <v/>
      </c>
      <c r="Q309">
        <f>IF($AA309="","",Settings!$C$7)</f>
        <v/>
      </c>
      <c r="R309" s="7">
        <f>IF($AA309="","",SUMIFS('Per Line'!$Y$2:$Y$4001,'Per Line'!$E$2:$E$4001,$B309,'Per Line'!$AP$2:$AP$4001,0,'Per Line'!$AQ$2:$AQ$4001,0))</f>
        <v/>
      </c>
      <c r="S309" s="7">
        <f>IF($AA309="","",R309*Q309)</f>
        <v/>
      </c>
      <c r="T309">
        <f>IF($AA309="","",Settings!$C$6)</f>
        <v/>
      </c>
      <c r="U309" s="7">
        <f>IF($AA309="","",SUMIFS('Per Line'!$Y$2:$Y$4001,'Per Line'!$E$2:$E$4001,$B309,'Per Line'!$AP$2:$AP$4001,1,'Per Line'!$AQ$2:$AQ$4001,0))</f>
        <v/>
      </c>
      <c r="V309" s="7">
        <f>IF($AA309="","",U309*T309)</f>
        <v/>
      </c>
      <c r="W309" s="7">
        <f>IF($AA309="","",V309+S309)</f>
        <v/>
      </c>
      <c r="X309" s="7">
        <f>IF($AA309="","",Y309-W309)</f>
        <v/>
      </c>
      <c r="Y309" s="7">
        <f>IF($AA309="","",R309+U309+P309)</f>
        <v/>
      </c>
      <c r="Z309" s="7">
        <f>IF($AA309="","",Y309-W309-L309)</f>
        <v/>
      </c>
      <c r="AA309" s="13">
        <f>IF(ROWS($AA$2:$AA309)&lt;=MAX('Per Line'!$AO$2:$AO$4001),MATCH(ROWS($AA$2:$AA309),'Per Line'!$AO$2:$AO$4001,0),"")</f>
        <v/>
      </c>
      <c r="AB309" s="14">
        <f>IF($AA309="","",L309-K309*Y309/100)</f>
        <v/>
      </c>
    </row>
    <row r="310">
      <c r="A310" s="12" t="n"/>
      <c r="B310">
        <f>IF($AA310="","",INDEX('Per Line'!$E$2:$E$4001,$AA310)&amp;"")</f>
        <v/>
      </c>
      <c r="C310">
        <f>IF($AA310="","",INDEX('Per Line'!$A$2:$A$4001,$AA310)&amp;"")</f>
        <v/>
      </c>
      <c r="D310">
        <f>IF($AA310="","",INDEX('Per Line'!$D$2:$D$4001,$AA310)&amp;"")</f>
        <v/>
      </c>
      <c r="E310" s="11">
        <f>IF($AA310="","",INDEX('Per Line'!$G$2:$G$4001,$AA310))</f>
        <v/>
      </c>
      <c r="F310">
        <f>IF($AA310="","",INDEX('Per Line'!$H$2:$H$4001,$AA310)&amp;"")</f>
        <v/>
      </c>
      <c r="G310">
        <f>IF($AA310="","",INDEX('Per Line'!$I$2:$I$4001,$AA310)&amp;"")</f>
        <v/>
      </c>
      <c r="H310">
        <f>IF($AA310="","",INDEX('Per Line'!$J$2:$J$4001,$AA310)&amp;"")</f>
        <v/>
      </c>
      <c r="I310">
        <f>IF($AA310="","",INDEX('Per Line'!$K$2:$K$4001,$AA310)&amp;"")</f>
        <v/>
      </c>
      <c r="J310">
        <f>IF($AA310="","",INDEX('Per Line'!$L$2:$L$4001,$AA310)&amp;"")</f>
        <v/>
      </c>
      <c r="K310">
        <f>IF($AA310="","",INDEX('Per Line'!$P$2:$P$4001,$AA310))</f>
        <v/>
      </c>
      <c r="L310" s="7">
        <f>IF($AA310="","",IF(AND(ISNUMBER(N310),N310&gt;0,Y310&gt;N310),K310*N310/100+(Y310-N310),K310*Y310/100))</f>
        <v/>
      </c>
      <c r="M310">
        <f>IF($AA310="","",INDEX('Per Line'!$Z$2:$Z$4001,$AA310)&amp;"")</f>
        <v/>
      </c>
      <c r="N310">
        <f>IF($AA310="","",INDEX('Per Line'!$AG$2:$AG$4001,$AA310))</f>
        <v/>
      </c>
      <c r="O310">
        <f>IF($AA310="","",IF(AND(ISNUMBER(N310),N310&gt;0),Y310&gt;N310,FALSE))</f>
        <v/>
      </c>
      <c r="P310" s="7">
        <f>IF($AA310="","",SUMIFS('Per Line'!$Y$2:$Y$4001,'Per Line'!$E$2:$E$4001,$B310,'Per Line'!$AQ$2:$AQ$4001,1))</f>
        <v/>
      </c>
      <c r="Q310">
        <f>IF($AA310="","",Settings!$C$7)</f>
        <v/>
      </c>
      <c r="R310" s="7">
        <f>IF($AA310="","",SUMIFS('Per Line'!$Y$2:$Y$4001,'Per Line'!$E$2:$E$4001,$B310,'Per Line'!$AP$2:$AP$4001,0,'Per Line'!$AQ$2:$AQ$4001,0))</f>
        <v/>
      </c>
      <c r="S310" s="7">
        <f>IF($AA310="","",R310*Q310)</f>
        <v/>
      </c>
      <c r="T310">
        <f>IF($AA310="","",Settings!$C$6)</f>
        <v/>
      </c>
      <c r="U310" s="7">
        <f>IF($AA310="","",SUMIFS('Per Line'!$Y$2:$Y$4001,'Per Line'!$E$2:$E$4001,$B310,'Per Line'!$AP$2:$AP$4001,1,'Per Line'!$AQ$2:$AQ$4001,0))</f>
        <v/>
      </c>
      <c r="V310" s="7">
        <f>IF($AA310="","",U310*T310)</f>
        <v/>
      </c>
      <c r="W310" s="7">
        <f>IF($AA310="","",V310+S310)</f>
        <v/>
      </c>
      <c r="X310" s="7">
        <f>IF($AA310="","",Y310-W310)</f>
        <v/>
      </c>
      <c r="Y310" s="7">
        <f>IF($AA310="","",R310+U310+P310)</f>
        <v/>
      </c>
      <c r="Z310" s="7">
        <f>IF($AA310="","",Y310-W310-L310)</f>
        <v/>
      </c>
      <c r="AA310" s="13">
        <f>IF(ROWS($AA$2:$AA310)&lt;=MAX('Per Line'!$AO$2:$AO$4001),MATCH(ROWS($AA$2:$AA310),'Per Line'!$AO$2:$AO$4001,0),"")</f>
        <v/>
      </c>
      <c r="AB310" s="14">
        <f>IF($AA310="","",L310-K310*Y310/100)</f>
        <v/>
      </c>
    </row>
    <row r="311">
      <c r="A311" s="12" t="n"/>
      <c r="B311">
        <f>IF($AA311="","",INDEX('Per Line'!$E$2:$E$4001,$AA311)&amp;"")</f>
        <v/>
      </c>
      <c r="C311">
        <f>IF($AA311="","",INDEX('Per Line'!$A$2:$A$4001,$AA311)&amp;"")</f>
        <v/>
      </c>
      <c r="D311">
        <f>IF($AA311="","",INDEX('Per Line'!$D$2:$D$4001,$AA311)&amp;"")</f>
        <v/>
      </c>
      <c r="E311" s="11">
        <f>IF($AA311="","",INDEX('Per Line'!$G$2:$G$4001,$AA311))</f>
        <v/>
      </c>
      <c r="F311">
        <f>IF($AA311="","",INDEX('Per Line'!$H$2:$H$4001,$AA311)&amp;"")</f>
        <v/>
      </c>
      <c r="G311">
        <f>IF($AA311="","",INDEX('Per Line'!$I$2:$I$4001,$AA311)&amp;"")</f>
        <v/>
      </c>
      <c r="H311">
        <f>IF($AA311="","",INDEX('Per Line'!$J$2:$J$4001,$AA311)&amp;"")</f>
        <v/>
      </c>
      <c r="I311">
        <f>IF($AA311="","",INDEX('Per Line'!$K$2:$K$4001,$AA311)&amp;"")</f>
        <v/>
      </c>
      <c r="J311">
        <f>IF($AA311="","",INDEX('Per Line'!$L$2:$L$4001,$AA311)&amp;"")</f>
        <v/>
      </c>
      <c r="K311">
        <f>IF($AA311="","",INDEX('Per Line'!$P$2:$P$4001,$AA311))</f>
        <v/>
      </c>
      <c r="L311" s="7">
        <f>IF($AA311="","",IF(AND(ISNUMBER(N311),N311&gt;0,Y311&gt;N311),K311*N311/100+(Y311-N311),K311*Y311/100))</f>
        <v/>
      </c>
      <c r="M311">
        <f>IF($AA311="","",INDEX('Per Line'!$Z$2:$Z$4001,$AA311)&amp;"")</f>
        <v/>
      </c>
      <c r="N311">
        <f>IF($AA311="","",INDEX('Per Line'!$AG$2:$AG$4001,$AA311))</f>
        <v/>
      </c>
      <c r="O311">
        <f>IF($AA311="","",IF(AND(ISNUMBER(N311),N311&gt;0),Y311&gt;N311,FALSE))</f>
        <v/>
      </c>
      <c r="P311" s="7">
        <f>IF($AA311="","",SUMIFS('Per Line'!$Y$2:$Y$4001,'Per Line'!$E$2:$E$4001,$B311,'Per Line'!$AQ$2:$AQ$4001,1))</f>
        <v/>
      </c>
      <c r="Q311">
        <f>IF($AA311="","",Settings!$C$7)</f>
        <v/>
      </c>
      <c r="R311" s="7">
        <f>IF($AA311="","",SUMIFS('Per Line'!$Y$2:$Y$4001,'Per Line'!$E$2:$E$4001,$B311,'Per Line'!$AP$2:$AP$4001,0,'Per Line'!$AQ$2:$AQ$4001,0))</f>
        <v/>
      </c>
      <c r="S311" s="7">
        <f>IF($AA311="","",R311*Q311)</f>
        <v/>
      </c>
      <c r="T311">
        <f>IF($AA311="","",Settings!$C$6)</f>
        <v/>
      </c>
      <c r="U311" s="7">
        <f>IF($AA311="","",SUMIFS('Per Line'!$Y$2:$Y$4001,'Per Line'!$E$2:$E$4001,$B311,'Per Line'!$AP$2:$AP$4001,1,'Per Line'!$AQ$2:$AQ$4001,0))</f>
        <v/>
      </c>
      <c r="V311" s="7">
        <f>IF($AA311="","",U311*T311)</f>
        <v/>
      </c>
      <c r="W311" s="7">
        <f>IF($AA311="","",V311+S311)</f>
        <v/>
      </c>
      <c r="X311" s="7">
        <f>IF($AA311="","",Y311-W311)</f>
        <v/>
      </c>
      <c r="Y311" s="7">
        <f>IF($AA311="","",R311+U311+P311)</f>
        <v/>
      </c>
      <c r="Z311" s="7">
        <f>IF($AA311="","",Y311-W311-L311)</f>
        <v/>
      </c>
      <c r="AA311" s="13">
        <f>IF(ROWS($AA$2:$AA311)&lt;=MAX('Per Line'!$AO$2:$AO$4001),MATCH(ROWS($AA$2:$AA311),'Per Line'!$AO$2:$AO$4001,0),"")</f>
        <v/>
      </c>
      <c r="AB311" s="14">
        <f>IF($AA311="","",L311-K311*Y311/100)</f>
        <v/>
      </c>
    </row>
    <row r="312">
      <c r="A312" s="12" t="n"/>
      <c r="B312">
        <f>IF($AA312="","",INDEX('Per Line'!$E$2:$E$4001,$AA312)&amp;"")</f>
        <v/>
      </c>
      <c r="C312">
        <f>IF($AA312="","",INDEX('Per Line'!$A$2:$A$4001,$AA312)&amp;"")</f>
        <v/>
      </c>
      <c r="D312">
        <f>IF($AA312="","",INDEX('Per Line'!$D$2:$D$4001,$AA312)&amp;"")</f>
        <v/>
      </c>
      <c r="E312" s="11">
        <f>IF($AA312="","",INDEX('Per Line'!$G$2:$G$4001,$AA312))</f>
        <v/>
      </c>
      <c r="F312">
        <f>IF($AA312="","",INDEX('Per Line'!$H$2:$H$4001,$AA312)&amp;"")</f>
        <v/>
      </c>
      <c r="G312">
        <f>IF($AA312="","",INDEX('Per Line'!$I$2:$I$4001,$AA312)&amp;"")</f>
        <v/>
      </c>
      <c r="H312">
        <f>IF($AA312="","",INDEX('Per Line'!$J$2:$J$4001,$AA312)&amp;"")</f>
        <v/>
      </c>
      <c r="I312">
        <f>IF($AA312="","",INDEX('Per Line'!$K$2:$K$4001,$AA312)&amp;"")</f>
        <v/>
      </c>
      <c r="J312">
        <f>IF($AA312="","",INDEX('Per Line'!$L$2:$L$4001,$AA312)&amp;"")</f>
        <v/>
      </c>
      <c r="K312">
        <f>IF($AA312="","",INDEX('Per Line'!$P$2:$P$4001,$AA312))</f>
        <v/>
      </c>
      <c r="L312" s="7">
        <f>IF($AA312="","",IF(AND(ISNUMBER(N312),N312&gt;0,Y312&gt;N312),K312*N312/100+(Y312-N312),K312*Y312/100))</f>
        <v/>
      </c>
      <c r="M312">
        <f>IF($AA312="","",INDEX('Per Line'!$Z$2:$Z$4001,$AA312)&amp;"")</f>
        <v/>
      </c>
      <c r="N312">
        <f>IF($AA312="","",INDEX('Per Line'!$AG$2:$AG$4001,$AA312))</f>
        <v/>
      </c>
      <c r="O312">
        <f>IF($AA312="","",IF(AND(ISNUMBER(N312),N312&gt;0),Y312&gt;N312,FALSE))</f>
        <v/>
      </c>
      <c r="P312" s="7">
        <f>IF($AA312="","",SUMIFS('Per Line'!$Y$2:$Y$4001,'Per Line'!$E$2:$E$4001,$B312,'Per Line'!$AQ$2:$AQ$4001,1))</f>
        <v/>
      </c>
      <c r="Q312">
        <f>IF($AA312="","",Settings!$C$7)</f>
        <v/>
      </c>
      <c r="R312" s="7">
        <f>IF($AA312="","",SUMIFS('Per Line'!$Y$2:$Y$4001,'Per Line'!$E$2:$E$4001,$B312,'Per Line'!$AP$2:$AP$4001,0,'Per Line'!$AQ$2:$AQ$4001,0))</f>
        <v/>
      </c>
      <c r="S312" s="7">
        <f>IF($AA312="","",R312*Q312)</f>
        <v/>
      </c>
      <c r="T312">
        <f>IF($AA312="","",Settings!$C$6)</f>
        <v/>
      </c>
      <c r="U312" s="7">
        <f>IF($AA312="","",SUMIFS('Per Line'!$Y$2:$Y$4001,'Per Line'!$E$2:$E$4001,$B312,'Per Line'!$AP$2:$AP$4001,1,'Per Line'!$AQ$2:$AQ$4001,0))</f>
        <v/>
      </c>
      <c r="V312" s="7">
        <f>IF($AA312="","",U312*T312)</f>
        <v/>
      </c>
      <c r="W312" s="7">
        <f>IF($AA312="","",V312+S312)</f>
        <v/>
      </c>
      <c r="X312" s="7">
        <f>IF($AA312="","",Y312-W312)</f>
        <v/>
      </c>
      <c r="Y312" s="7">
        <f>IF($AA312="","",R312+U312+P312)</f>
        <v/>
      </c>
      <c r="Z312" s="7">
        <f>IF($AA312="","",Y312-W312-L312)</f>
        <v/>
      </c>
      <c r="AA312" s="13">
        <f>IF(ROWS($AA$2:$AA312)&lt;=MAX('Per Line'!$AO$2:$AO$4001),MATCH(ROWS($AA$2:$AA312),'Per Line'!$AO$2:$AO$4001,0),"")</f>
        <v/>
      </c>
      <c r="AB312" s="14">
        <f>IF($AA312="","",L312-K312*Y312/100)</f>
        <v/>
      </c>
    </row>
    <row r="313">
      <c r="A313" s="12" t="n"/>
      <c r="B313">
        <f>IF($AA313="","",INDEX('Per Line'!$E$2:$E$4001,$AA313)&amp;"")</f>
        <v/>
      </c>
      <c r="C313">
        <f>IF($AA313="","",INDEX('Per Line'!$A$2:$A$4001,$AA313)&amp;"")</f>
        <v/>
      </c>
      <c r="D313">
        <f>IF($AA313="","",INDEX('Per Line'!$D$2:$D$4001,$AA313)&amp;"")</f>
        <v/>
      </c>
      <c r="E313" s="11">
        <f>IF($AA313="","",INDEX('Per Line'!$G$2:$G$4001,$AA313))</f>
        <v/>
      </c>
      <c r="F313">
        <f>IF($AA313="","",INDEX('Per Line'!$H$2:$H$4001,$AA313)&amp;"")</f>
        <v/>
      </c>
      <c r="G313">
        <f>IF($AA313="","",INDEX('Per Line'!$I$2:$I$4001,$AA313)&amp;"")</f>
        <v/>
      </c>
      <c r="H313">
        <f>IF($AA313="","",INDEX('Per Line'!$J$2:$J$4001,$AA313)&amp;"")</f>
        <v/>
      </c>
      <c r="I313">
        <f>IF($AA313="","",INDEX('Per Line'!$K$2:$K$4001,$AA313)&amp;"")</f>
        <v/>
      </c>
      <c r="J313">
        <f>IF($AA313="","",INDEX('Per Line'!$L$2:$L$4001,$AA313)&amp;"")</f>
        <v/>
      </c>
      <c r="K313">
        <f>IF($AA313="","",INDEX('Per Line'!$P$2:$P$4001,$AA313))</f>
        <v/>
      </c>
      <c r="L313" s="7">
        <f>IF($AA313="","",IF(AND(ISNUMBER(N313),N313&gt;0,Y313&gt;N313),K313*N313/100+(Y313-N313),K313*Y313/100))</f>
        <v/>
      </c>
      <c r="M313">
        <f>IF($AA313="","",INDEX('Per Line'!$Z$2:$Z$4001,$AA313)&amp;"")</f>
        <v/>
      </c>
      <c r="N313">
        <f>IF($AA313="","",INDEX('Per Line'!$AG$2:$AG$4001,$AA313))</f>
        <v/>
      </c>
      <c r="O313">
        <f>IF($AA313="","",IF(AND(ISNUMBER(N313),N313&gt;0),Y313&gt;N313,FALSE))</f>
        <v/>
      </c>
      <c r="P313" s="7">
        <f>IF($AA313="","",SUMIFS('Per Line'!$Y$2:$Y$4001,'Per Line'!$E$2:$E$4001,$B313,'Per Line'!$AQ$2:$AQ$4001,1))</f>
        <v/>
      </c>
      <c r="Q313">
        <f>IF($AA313="","",Settings!$C$7)</f>
        <v/>
      </c>
      <c r="R313" s="7">
        <f>IF($AA313="","",SUMIFS('Per Line'!$Y$2:$Y$4001,'Per Line'!$E$2:$E$4001,$B313,'Per Line'!$AP$2:$AP$4001,0,'Per Line'!$AQ$2:$AQ$4001,0))</f>
        <v/>
      </c>
      <c r="S313" s="7">
        <f>IF($AA313="","",R313*Q313)</f>
        <v/>
      </c>
      <c r="T313">
        <f>IF($AA313="","",Settings!$C$6)</f>
        <v/>
      </c>
      <c r="U313" s="7">
        <f>IF($AA313="","",SUMIFS('Per Line'!$Y$2:$Y$4001,'Per Line'!$E$2:$E$4001,$B313,'Per Line'!$AP$2:$AP$4001,1,'Per Line'!$AQ$2:$AQ$4001,0))</f>
        <v/>
      </c>
      <c r="V313" s="7">
        <f>IF($AA313="","",U313*T313)</f>
        <v/>
      </c>
      <c r="W313" s="7">
        <f>IF($AA313="","",V313+S313)</f>
        <v/>
      </c>
      <c r="X313" s="7">
        <f>IF($AA313="","",Y313-W313)</f>
        <v/>
      </c>
      <c r="Y313" s="7">
        <f>IF($AA313="","",R313+U313+P313)</f>
        <v/>
      </c>
      <c r="Z313" s="7">
        <f>IF($AA313="","",Y313-W313-L313)</f>
        <v/>
      </c>
      <c r="AA313" s="13">
        <f>IF(ROWS($AA$2:$AA313)&lt;=MAX('Per Line'!$AO$2:$AO$4001),MATCH(ROWS($AA$2:$AA313),'Per Line'!$AO$2:$AO$4001,0),"")</f>
        <v/>
      </c>
      <c r="AB313" s="14">
        <f>IF($AA313="","",L313-K313*Y313/100)</f>
        <v/>
      </c>
    </row>
    <row r="314">
      <c r="A314" s="12" t="n"/>
      <c r="B314">
        <f>IF($AA314="","",INDEX('Per Line'!$E$2:$E$4001,$AA314)&amp;"")</f>
        <v/>
      </c>
      <c r="C314">
        <f>IF($AA314="","",INDEX('Per Line'!$A$2:$A$4001,$AA314)&amp;"")</f>
        <v/>
      </c>
      <c r="D314">
        <f>IF($AA314="","",INDEX('Per Line'!$D$2:$D$4001,$AA314)&amp;"")</f>
        <v/>
      </c>
      <c r="E314" s="11">
        <f>IF($AA314="","",INDEX('Per Line'!$G$2:$G$4001,$AA314))</f>
        <v/>
      </c>
      <c r="F314">
        <f>IF($AA314="","",INDEX('Per Line'!$H$2:$H$4001,$AA314)&amp;"")</f>
        <v/>
      </c>
      <c r="G314">
        <f>IF($AA314="","",INDEX('Per Line'!$I$2:$I$4001,$AA314)&amp;"")</f>
        <v/>
      </c>
      <c r="H314">
        <f>IF($AA314="","",INDEX('Per Line'!$J$2:$J$4001,$AA314)&amp;"")</f>
        <v/>
      </c>
      <c r="I314">
        <f>IF($AA314="","",INDEX('Per Line'!$K$2:$K$4001,$AA314)&amp;"")</f>
        <v/>
      </c>
      <c r="J314">
        <f>IF($AA314="","",INDEX('Per Line'!$L$2:$L$4001,$AA314)&amp;"")</f>
        <v/>
      </c>
      <c r="K314">
        <f>IF($AA314="","",INDEX('Per Line'!$P$2:$P$4001,$AA314))</f>
        <v/>
      </c>
      <c r="L314" s="7">
        <f>IF($AA314="","",IF(AND(ISNUMBER(N314),N314&gt;0,Y314&gt;N314),K314*N314/100+(Y314-N314),K314*Y314/100))</f>
        <v/>
      </c>
      <c r="M314">
        <f>IF($AA314="","",INDEX('Per Line'!$Z$2:$Z$4001,$AA314)&amp;"")</f>
        <v/>
      </c>
      <c r="N314">
        <f>IF($AA314="","",INDEX('Per Line'!$AG$2:$AG$4001,$AA314))</f>
        <v/>
      </c>
      <c r="O314">
        <f>IF($AA314="","",IF(AND(ISNUMBER(N314),N314&gt;0),Y314&gt;N314,FALSE))</f>
        <v/>
      </c>
      <c r="P314" s="7">
        <f>IF($AA314="","",SUMIFS('Per Line'!$Y$2:$Y$4001,'Per Line'!$E$2:$E$4001,$B314,'Per Line'!$AQ$2:$AQ$4001,1))</f>
        <v/>
      </c>
      <c r="Q314">
        <f>IF($AA314="","",Settings!$C$7)</f>
        <v/>
      </c>
      <c r="R314" s="7">
        <f>IF($AA314="","",SUMIFS('Per Line'!$Y$2:$Y$4001,'Per Line'!$E$2:$E$4001,$B314,'Per Line'!$AP$2:$AP$4001,0,'Per Line'!$AQ$2:$AQ$4001,0))</f>
        <v/>
      </c>
      <c r="S314" s="7">
        <f>IF($AA314="","",R314*Q314)</f>
        <v/>
      </c>
      <c r="T314">
        <f>IF($AA314="","",Settings!$C$6)</f>
        <v/>
      </c>
      <c r="U314" s="7">
        <f>IF($AA314="","",SUMIFS('Per Line'!$Y$2:$Y$4001,'Per Line'!$E$2:$E$4001,$B314,'Per Line'!$AP$2:$AP$4001,1,'Per Line'!$AQ$2:$AQ$4001,0))</f>
        <v/>
      </c>
      <c r="V314" s="7">
        <f>IF($AA314="","",U314*T314)</f>
        <v/>
      </c>
      <c r="W314" s="7">
        <f>IF($AA314="","",V314+S314)</f>
        <v/>
      </c>
      <c r="X314" s="7">
        <f>IF($AA314="","",Y314-W314)</f>
        <v/>
      </c>
      <c r="Y314" s="7">
        <f>IF($AA314="","",R314+U314+P314)</f>
        <v/>
      </c>
      <c r="Z314" s="7">
        <f>IF($AA314="","",Y314-W314-L314)</f>
        <v/>
      </c>
      <c r="AA314" s="13">
        <f>IF(ROWS($AA$2:$AA314)&lt;=MAX('Per Line'!$AO$2:$AO$4001),MATCH(ROWS($AA$2:$AA314),'Per Line'!$AO$2:$AO$4001,0),"")</f>
        <v/>
      </c>
      <c r="AB314" s="14">
        <f>IF($AA314="","",L314-K314*Y314/100)</f>
        <v/>
      </c>
    </row>
    <row r="315">
      <c r="A315" s="12" t="n"/>
      <c r="B315">
        <f>IF($AA315="","",INDEX('Per Line'!$E$2:$E$4001,$AA315)&amp;"")</f>
        <v/>
      </c>
      <c r="C315">
        <f>IF($AA315="","",INDEX('Per Line'!$A$2:$A$4001,$AA315)&amp;"")</f>
        <v/>
      </c>
      <c r="D315">
        <f>IF($AA315="","",INDEX('Per Line'!$D$2:$D$4001,$AA315)&amp;"")</f>
        <v/>
      </c>
      <c r="E315" s="11">
        <f>IF($AA315="","",INDEX('Per Line'!$G$2:$G$4001,$AA315))</f>
        <v/>
      </c>
      <c r="F315">
        <f>IF($AA315="","",INDEX('Per Line'!$H$2:$H$4001,$AA315)&amp;"")</f>
        <v/>
      </c>
      <c r="G315">
        <f>IF($AA315="","",INDEX('Per Line'!$I$2:$I$4001,$AA315)&amp;"")</f>
        <v/>
      </c>
      <c r="H315">
        <f>IF($AA315="","",INDEX('Per Line'!$J$2:$J$4001,$AA315)&amp;"")</f>
        <v/>
      </c>
      <c r="I315">
        <f>IF($AA315="","",INDEX('Per Line'!$K$2:$K$4001,$AA315)&amp;"")</f>
        <v/>
      </c>
      <c r="J315">
        <f>IF($AA315="","",INDEX('Per Line'!$L$2:$L$4001,$AA315)&amp;"")</f>
        <v/>
      </c>
      <c r="K315">
        <f>IF($AA315="","",INDEX('Per Line'!$P$2:$P$4001,$AA315))</f>
        <v/>
      </c>
      <c r="L315" s="7">
        <f>IF($AA315="","",IF(AND(ISNUMBER(N315),N315&gt;0,Y315&gt;N315),K315*N315/100+(Y315-N315),K315*Y315/100))</f>
        <v/>
      </c>
      <c r="M315">
        <f>IF($AA315="","",INDEX('Per Line'!$Z$2:$Z$4001,$AA315)&amp;"")</f>
        <v/>
      </c>
      <c r="N315">
        <f>IF($AA315="","",INDEX('Per Line'!$AG$2:$AG$4001,$AA315))</f>
        <v/>
      </c>
      <c r="O315">
        <f>IF($AA315="","",IF(AND(ISNUMBER(N315),N315&gt;0),Y315&gt;N315,FALSE))</f>
        <v/>
      </c>
      <c r="P315" s="7">
        <f>IF($AA315="","",SUMIFS('Per Line'!$Y$2:$Y$4001,'Per Line'!$E$2:$E$4001,$B315,'Per Line'!$AQ$2:$AQ$4001,1))</f>
        <v/>
      </c>
      <c r="Q315">
        <f>IF($AA315="","",Settings!$C$7)</f>
        <v/>
      </c>
      <c r="R315" s="7">
        <f>IF($AA315="","",SUMIFS('Per Line'!$Y$2:$Y$4001,'Per Line'!$E$2:$E$4001,$B315,'Per Line'!$AP$2:$AP$4001,0,'Per Line'!$AQ$2:$AQ$4001,0))</f>
        <v/>
      </c>
      <c r="S315" s="7">
        <f>IF($AA315="","",R315*Q315)</f>
        <v/>
      </c>
      <c r="T315">
        <f>IF($AA315="","",Settings!$C$6)</f>
        <v/>
      </c>
      <c r="U315" s="7">
        <f>IF($AA315="","",SUMIFS('Per Line'!$Y$2:$Y$4001,'Per Line'!$E$2:$E$4001,$B315,'Per Line'!$AP$2:$AP$4001,1,'Per Line'!$AQ$2:$AQ$4001,0))</f>
        <v/>
      </c>
      <c r="V315" s="7">
        <f>IF($AA315="","",U315*T315)</f>
        <v/>
      </c>
      <c r="W315" s="7">
        <f>IF($AA315="","",V315+S315)</f>
        <v/>
      </c>
      <c r="X315" s="7">
        <f>IF($AA315="","",Y315-W315)</f>
        <v/>
      </c>
      <c r="Y315" s="7">
        <f>IF($AA315="","",R315+U315+P315)</f>
        <v/>
      </c>
      <c r="Z315" s="7">
        <f>IF($AA315="","",Y315-W315-L315)</f>
        <v/>
      </c>
      <c r="AA315" s="13">
        <f>IF(ROWS($AA$2:$AA315)&lt;=MAX('Per Line'!$AO$2:$AO$4001),MATCH(ROWS($AA$2:$AA315),'Per Line'!$AO$2:$AO$4001,0),"")</f>
        <v/>
      </c>
      <c r="AB315" s="14">
        <f>IF($AA315="","",L315-K315*Y315/100)</f>
        <v/>
      </c>
    </row>
    <row r="316">
      <c r="A316" s="12" t="n"/>
      <c r="B316">
        <f>IF($AA316="","",INDEX('Per Line'!$E$2:$E$4001,$AA316)&amp;"")</f>
        <v/>
      </c>
      <c r="C316">
        <f>IF($AA316="","",INDEX('Per Line'!$A$2:$A$4001,$AA316)&amp;"")</f>
        <v/>
      </c>
      <c r="D316">
        <f>IF($AA316="","",INDEX('Per Line'!$D$2:$D$4001,$AA316)&amp;"")</f>
        <v/>
      </c>
      <c r="E316" s="11">
        <f>IF($AA316="","",INDEX('Per Line'!$G$2:$G$4001,$AA316))</f>
        <v/>
      </c>
      <c r="F316">
        <f>IF($AA316="","",INDEX('Per Line'!$H$2:$H$4001,$AA316)&amp;"")</f>
        <v/>
      </c>
      <c r="G316">
        <f>IF($AA316="","",INDEX('Per Line'!$I$2:$I$4001,$AA316)&amp;"")</f>
        <v/>
      </c>
      <c r="H316">
        <f>IF($AA316="","",INDEX('Per Line'!$J$2:$J$4001,$AA316)&amp;"")</f>
        <v/>
      </c>
      <c r="I316">
        <f>IF($AA316="","",INDEX('Per Line'!$K$2:$K$4001,$AA316)&amp;"")</f>
        <v/>
      </c>
      <c r="J316">
        <f>IF($AA316="","",INDEX('Per Line'!$L$2:$L$4001,$AA316)&amp;"")</f>
        <v/>
      </c>
      <c r="K316">
        <f>IF($AA316="","",INDEX('Per Line'!$P$2:$P$4001,$AA316))</f>
        <v/>
      </c>
      <c r="L316" s="7">
        <f>IF($AA316="","",IF(AND(ISNUMBER(N316),N316&gt;0,Y316&gt;N316),K316*N316/100+(Y316-N316),K316*Y316/100))</f>
        <v/>
      </c>
      <c r="M316">
        <f>IF($AA316="","",INDEX('Per Line'!$Z$2:$Z$4001,$AA316)&amp;"")</f>
        <v/>
      </c>
      <c r="N316">
        <f>IF($AA316="","",INDEX('Per Line'!$AG$2:$AG$4001,$AA316))</f>
        <v/>
      </c>
      <c r="O316">
        <f>IF($AA316="","",IF(AND(ISNUMBER(N316),N316&gt;0),Y316&gt;N316,FALSE))</f>
        <v/>
      </c>
      <c r="P316" s="7">
        <f>IF($AA316="","",SUMIFS('Per Line'!$Y$2:$Y$4001,'Per Line'!$E$2:$E$4001,$B316,'Per Line'!$AQ$2:$AQ$4001,1))</f>
        <v/>
      </c>
      <c r="Q316">
        <f>IF($AA316="","",Settings!$C$7)</f>
        <v/>
      </c>
      <c r="R316" s="7">
        <f>IF($AA316="","",SUMIFS('Per Line'!$Y$2:$Y$4001,'Per Line'!$E$2:$E$4001,$B316,'Per Line'!$AP$2:$AP$4001,0,'Per Line'!$AQ$2:$AQ$4001,0))</f>
        <v/>
      </c>
      <c r="S316" s="7">
        <f>IF($AA316="","",R316*Q316)</f>
        <v/>
      </c>
      <c r="T316">
        <f>IF($AA316="","",Settings!$C$6)</f>
        <v/>
      </c>
      <c r="U316" s="7">
        <f>IF($AA316="","",SUMIFS('Per Line'!$Y$2:$Y$4001,'Per Line'!$E$2:$E$4001,$B316,'Per Line'!$AP$2:$AP$4001,1,'Per Line'!$AQ$2:$AQ$4001,0))</f>
        <v/>
      </c>
      <c r="V316" s="7">
        <f>IF($AA316="","",U316*T316)</f>
        <v/>
      </c>
      <c r="W316" s="7">
        <f>IF($AA316="","",V316+S316)</f>
        <v/>
      </c>
      <c r="X316" s="7">
        <f>IF($AA316="","",Y316-W316)</f>
        <v/>
      </c>
      <c r="Y316" s="7">
        <f>IF($AA316="","",R316+U316+P316)</f>
        <v/>
      </c>
      <c r="Z316" s="7">
        <f>IF($AA316="","",Y316-W316-L316)</f>
        <v/>
      </c>
      <c r="AA316" s="13">
        <f>IF(ROWS($AA$2:$AA316)&lt;=MAX('Per Line'!$AO$2:$AO$4001),MATCH(ROWS($AA$2:$AA316),'Per Line'!$AO$2:$AO$4001,0),"")</f>
        <v/>
      </c>
      <c r="AB316" s="14">
        <f>IF($AA316="","",L316-K316*Y316/100)</f>
        <v/>
      </c>
    </row>
    <row r="317">
      <c r="A317" s="12" t="n"/>
      <c r="B317">
        <f>IF($AA317="","",INDEX('Per Line'!$E$2:$E$4001,$AA317)&amp;"")</f>
        <v/>
      </c>
      <c r="C317">
        <f>IF($AA317="","",INDEX('Per Line'!$A$2:$A$4001,$AA317)&amp;"")</f>
        <v/>
      </c>
      <c r="D317">
        <f>IF($AA317="","",INDEX('Per Line'!$D$2:$D$4001,$AA317)&amp;"")</f>
        <v/>
      </c>
      <c r="E317" s="11">
        <f>IF($AA317="","",INDEX('Per Line'!$G$2:$G$4001,$AA317))</f>
        <v/>
      </c>
      <c r="F317">
        <f>IF($AA317="","",INDEX('Per Line'!$H$2:$H$4001,$AA317)&amp;"")</f>
        <v/>
      </c>
      <c r="G317">
        <f>IF($AA317="","",INDEX('Per Line'!$I$2:$I$4001,$AA317)&amp;"")</f>
        <v/>
      </c>
      <c r="H317">
        <f>IF($AA317="","",INDEX('Per Line'!$J$2:$J$4001,$AA317)&amp;"")</f>
        <v/>
      </c>
      <c r="I317">
        <f>IF($AA317="","",INDEX('Per Line'!$K$2:$K$4001,$AA317)&amp;"")</f>
        <v/>
      </c>
      <c r="J317">
        <f>IF($AA317="","",INDEX('Per Line'!$L$2:$L$4001,$AA317)&amp;"")</f>
        <v/>
      </c>
      <c r="K317">
        <f>IF($AA317="","",INDEX('Per Line'!$P$2:$P$4001,$AA317))</f>
        <v/>
      </c>
      <c r="L317" s="7">
        <f>IF($AA317="","",IF(AND(ISNUMBER(N317),N317&gt;0,Y317&gt;N317),K317*N317/100+(Y317-N317),K317*Y317/100))</f>
        <v/>
      </c>
      <c r="M317">
        <f>IF($AA317="","",INDEX('Per Line'!$Z$2:$Z$4001,$AA317)&amp;"")</f>
        <v/>
      </c>
      <c r="N317">
        <f>IF($AA317="","",INDEX('Per Line'!$AG$2:$AG$4001,$AA317))</f>
        <v/>
      </c>
      <c r="O317">
        <f>IF($AA317="","",IF(AND(ISNUMBER(N317),N317&gt;0),Y317&gt;N317,FALSE))</f>
        <v/>
      </c>
      <c r="P317" s="7">
        <f>IF($AA317="","",SUMIFS('Per Line'!$Y$2:$Y$4001,'Per Line'!$E$2:$E$4001,$B317,'Per Line'!$AQ$2:$AQ$4001,1))</f>
        <v/>
      </c>
      <c r="Q317">
        <f>IF($AA317="","",Settings!$C$7)</f>
        <v/>
      </c>
      <c r="R317" s="7">
        <f>IF($AA317="","",SUMIFS('Per Line'!$Y$2:$Y$4001,'Per Line'!$E$2:$E$4001,$B317,'Per Line'!$AP$2:$AP$4001,0,'Per Line'!$AQ$2:$AQ$4001,0))</f>
        <v/>
      </c>
      <c r="S317" s="7">
        <f>IF($AA317="","",R317*Q317)</f>
        <v/>
      </c>
      <c r="T317">
        <f>IF($AA317="","",Settings!$C$6)</f>
        <v/>
      </c>
      <c r="U317" s="7">
        <f>IF($AA317="","",SUMIFS('Per Line'!$Y$2:$Y$4001,'Per Line'!$E$2:$E$4001,$B317,'Per Line'!$AP$2:$AP$4001,1,'Per Line'!$AQ$2:$AQ$4001,0))</f>
        <v/>
      </c>
      <c r="V317" s="7">
        <f>IF($AA317="","",U317*T317)</f>
        <v/>
      </c>
      <c r="W317" s="7">
        <f>IF($AA317="","",V317+S317)</f>
        <v/>
      </c>
      <c r="X317" s="7">
        <f>IF($AA317="","",Y317-W317)</f>
        <v/>
      </c>
      <c r="Y317" s="7">
        <f>IF($AA317="","",R317+U317+P317)</f>
        <v/>
      </c>
      <c r="Z317" s="7">
        <f>IF($AA317="","",Y317-W317-L317)</f>
        <v/>
      </c>
      <c r="AA317" s="13">
        <f>IF(ROWS($AA$2:$AA317)&lt;=MAX('Per Line'!$AO$2:$AO$4001),MATCH(ROWS($AA$2:$AA317),'Per Line'!$AO$2:$AO$4001,0),"")</f>
        <v/>
      </c>
      <c r="AB317" s="14">
        <f>IF($AA317="","",L317-K317*Y317/100)</f>
        <v/>
      </c>
    </row>
    <row r="318">
      <c r="A318" s="12" t="n"/>
      <c r="B318">
        <f>IF($AA318="","",INDEX('Per Line'!$E$2:$E$4001,$AA318)&amp;"")</f>
        <v/>
      </c>
      <c r="C318">
        <f>IF($AA318="","",INDEX('Per Line'!$A$2:$A$4001,$AA318)&amp;"")</f>
        <v/>
      </c>
      <c r="D318">
        <f>IF($AA318="","",INDEX('Per Line'!$D$2:$D$4001,$AA318)&amp;"")</f>
        <v/>
      </c>
      <c r="E318" s="11">
        <f>IF($AA318="","",INDEX('Per Line'!$G$2:$G$4001,$AA318))</f>
        <v/>
      </c>
      <c r="F318">
        <f>IF($AA318="","",INDEX('Per Line'!$H$2:$H$4001,$AA318)&amp;"")</f>
        <v/>
      </c>
      <c r="G318">
        <f>IF($AA318="","",INDEX('Per Line'!$I$2:$I$4001,$AA318)&amp;"")</f>
        <v/>
      </c>
      <c r="H318">
        <f>IF($AA318="","",INDEX('Per Line'!$J$2:$J$4001,$AA318)&amp;"")</f>
        <v/>
      </c>
      <c r="I318">
        <f>IF($AA318="","",INDEX('Per Line'!$K$2:$K$4001,$AA318)&amp;"")</f>
        <v/>
      </c>
      <c r="J318">
        <f>IF($AA318="","",INDEX('Per Line'!$L$2:$L$4001,$AA318)&amp;"")</f>
        <v/>
      </c>
      <c r="K318">
        <f>IF($AA318="","",INDEX('Per Line'!$P$2:$P$4001,$AA318))</f>
        <v/>
      </c>
      <c r="L318" s="7">
        <f>IF($AA318="","",IF(AND(ISNUMBER(N318),N318&gt;0,Y318&gt;N318),K318*N318/100+(Y318-N318),K318*Y318/100))</f>
        <v/>
      </c>
      <c r="M318">
        <f>IF($AA318="","",INDEX('Per Line'!$Z$2:$Z$4001,$AA318)&amp;"")</f>
        <v/>
      </c>
      <c r="N318">
        <f>IF($AA318="","",INDEX('Per Line'!$AG$2:$AG$4001,$AA318))</f>
        <v/>
      </c>
      <c r="O318">
        <f>IF($AA318="","",IF(AND(ISNUMBER(N318),N318&gt;0),Y318&gt;N318,FALSE))</f>
        <v/>
      </c>
      <c r="P318" s="7">
        <f>IF($AA318="","",SUMIFS('Per Line'!$Y$2:$Y$4001,'Per Line'!$E$2:$E$4001,$B318,'Per Line'!$AQ$2:$AQ$4001,1))</f>
        <v/>
      </c>
      <c r="Q318">
        <f>IF($AA318="","",Settings!$C$7)</f>
        <v/>
      </c>
      <c r="R318" s="7">
        <f>IF($AA318="","",SUMIFS('Per Line'!$Y$2:$Y$4001,'Per Line'!$E$2:$E$4001,$B318,'Per Line'!$AP$2:$AP$4001,0,'Per Line'!$AQ$2:$AQ$4001,0))</f>
        <v/>
      </c>
      <c r="S318" s="7">
        <f>IF($AA318="","",R318*Q318)</f>
        <v/>
      </c>
      <c r="T318">
        <f>IF($AA318="","",Settings!$C$6)</f>
        <v/>
      </c>
      <c r="U318" s="7">
        <f>IF($AA318="","",SUMIFS('Per Line'!$Y$2:$Y$4001,'Per Line'!$E$2:$E$4001,$B318,'Per Line'!$AP$2:$AP$4001,1,'Per Line'!$AQ$2:$AQ$4001,0))</f>
        <v/>
      </c>
      <c r="V318" s="7">
        <f>IF($AA318="","",U318*T318)</f>
        <v/>
      </c>
      <c r="W318" s="7">
        <f>IF($AA318="","",V318+S318)</f>
        <v/>
      </c>
      <c r="X318" s="7">
        <f>IF($AA318="","",Y318-W318)</f>
        <v/>
      </c>
      <c r="Y318" s="7">
        <f>IF($AA318="","",R318+U318+P318)</f>
        <v/>
      </c>
      <c r="Z318" s="7">
        <f>IF($AA318="","",Y318-W318-L318)</f>
        <v/>
      </c>
      <c r="AA318" s="13">
        <f>IF(ROWS($AA$2:$AA318)&lt;=MAX('Per Line'!$AO$2:$AO$4001),MATCH(ROWS($AA$2:$AA318),'Per Line'!$AO$2:$AO$4001,0),"")</f>
        <v/>
      </c>
      <c r="AB318" s="14">
        <f>IF($AA318="","",L318-K318*Y318/100)</f>
        <v/>
      </c>
    </row>
    <row r="319">
      <c r="A319" s="12" t="n"/>
      <c r="B319">
        <f>IF($AA319="","",INDEX('Per Line'!$E$2:$E$4001,$AA319)&amp;"")</f>
        <v/>
      </c>
      <c r="C319">
        <f>IF($AA319="","",INDEX('Per Line'!$A$2:$A$4001,$AA319)&amp;"")</f>
        <v/>
      </c>
      <c r="D319">
        <f>IF($AA319="","",INDEX('Per Line'!$D$2:$D$4001,$AA319)&amp;"")</f>
        <v/>
      </c>
      <c r="E319" s="11">
        <f>IF($AA319="","",INDEX('Per Line'!$G$2:$G$4001,$AA319))</f>
        <v/>
      </c>
      <c r="F319">
        <f>IF($AA319="","",INDEX('Per Line'!$H$2:$H$4001,$AA319)&amp;"")</f>
        <v/>
      </c>
      <c r="G319">
        <f>IF($AA319="","",INDEX('Per Line'!$I$2:$I$4001,$AA319)&amp;"")</f>
        <v/>
      </c>
      <c r="H319">
        <f>IF($AA319="","",INDEX('Per Line'!$J$2:$J$4001,$AA319)&amp;"")</f>
        <v/>
      </c>
      <c r="I319">
        <f>IF($AA319="","",INDEX('Per Line'!$K$2:$K$4001,$AA319)&amp;"")</f>
        <v/>
      </c>
      <c r="J319">
        <f>IF($AA319="","",INDEX('Per Line'!$L$2:$L$4001,$AA319)&amp;"")</f>
        <v/>
      </c>
      <c r="K319">
        <f>IF($AA319="","",INDEX('Per Line'!$P$2:$P$4001,$AA319))</f>
        <v/>
      </c>
      <c r="L319" s="7">
        <f>IF($AA319="","",IF(AND(ISNUMBER(N319),N319&gt;0,Y319&gt;N319),K319*N319/100+(Y319-N319),K319*Y319/100))</f>
        <v/>
      </c>
      <c r="M319">
        <f>IF($AA319="","",INDEX('Per Line'!$Z$2:$Z$4001,$AA319)&amp;"")</f>
        <v/>
      </c>
      <c r="N319">
        <f>IF($AA319="","",INDEX('Per Line'!$AG$2:$AG$4001,$AA319))</f>
        <v/>
      </c>
      <c r="O319">
        <f>IF($AA319="","",IF(AND(ISNUMBER(N319),N319&gt;0),Y319&gt;N319,FALSE))</f>
        <v/>
      </c>
      <c r="P319" s="7">
        <f>IF($AA319="","",SUMIFS('Per Line'!$Y$2:$Y$4001,'Per Line'!$E$2:$E$4001,$B319,'Per Line'!$AQ$2:$AQ$4001,1))</f>
        <v/>
      </c>
      <c r="Q319">
        <f>IF($AA319="","",Settings!$C$7)</f>
        <v/>
      </c>
      <c r="R319" s="7">
        <f>IF($AA319="","",SUMIFS('Per Line'!$Y$2:$Y$4001,'Per Line'!$E$2:$E$4001,$B319,'Per Line'!$AP$2:$AP$4001,0,'Per Line'!$AQ$2:$AQ$4001,0))</f>
        <v/>
      </c>
      <c r="S319" s="7">
        <f>IF($AA319="","",R319*Q319)</f>
        <v/>
      </c>
      <c r="T319">
        <f>IF($AA319="","",Settings!$C$6)</f>
        <v/>
      </c>
      <c r="U319" s="7">
        <f>IF($AA319="","",SUMIFS('Per Line'!$Y$2:$Y$4001,'Per Line'!$E$2:$E$4001,$B319,'Per Line'!$AP$2:$AP$4001,1,'Per Line'!$AQ$2:$AQ$4001,0))</f>
        <v/>
      </c>
      <c r="V319" s="7">
        <f>IF($AA319="","",U319*T319)</f>
        <v/>
      </c>
      <c r="W319" s="7">
        <f>IF($AA319="","",V319+S319)</f>
        <v/>
      </c>
      <c r="X319" s="7">
        <f>IF($AA319="","",Y319-W319)</f>
        <v/>
      </c>
      <c r="Y319" s="7">
        <f>IF($AA319="","",R319+U319+P319)</f>
        <v/>
      </c>
      <c r="Z319" s="7">
        <f>IF($AA319="","",Y319-W319-L319)</f>
        <v/>
      </c>
      <c r="AA319" s="13">
        <f>IF(ROWS($AA$2:$AA319)&lt;=MAX('Per Line'!$AO$2:$AO$4001),MATCH(ROWS($AA$2:$AA319),'Per Line'!$AO$2:$AO$4001,0),"")</f>
        <v/>
      </c>
      <c r="AB319" s="14">
        <f>IF($AA319="","",L319-K319*Y319/100)</f>
        <v/>
      </c>
    </row>
    <row r="320">
      <c r="A320" s="12" t="n"/>
      <c r="B320">
        <f>IF($AA320="","",INDEX('Per Line'!$E$2:$E$4001,$AA320)&amp;"")</f>
        <v/>
      </c>
      <c r="C320">
        <f>IF($AA320="","",INDEX('Per Line'!$A$2:$A$4001,$AA320)&amp;"")</f>
        <v/>
      </c>
      <c r="D320">
        <f>IF($AA320="","",INDEX('Per Line'!$D$2:$D$4001,$AA320)&amp;"")</f>
        <v/>
      </c>
      <c r="E320" s="11">
        <f>IF($AA320="","",INDEX('Per Line'!$G$2:$G$4001,$AA320))</f>
        <v/>
      </c>
      <c r="F320">
        <f>IF($AA320="","",INDEX('Per Line'!$H$2:$H$4001,$AA320)&amp;"")</f>
        <v/>
      </c>
      <c r="G320">
        <f>IF($AA320="","",INDEX('Per Line'!$I$2:$I$4001,$AA320)&amp;"")</f>
        <v/>
      </c>
      <c r="H320">
        <f>IF($AA320="","",INDEX('Per Line'!$J$2:$J$4001,$AA320)&amp;"")</f>
        <v/>
      </c>
      <c r="I320">
        <f>IF($AA320="","",INDEX('Per Line'!$K$2:$K$4001,$AA320)&amp;"")</f>
        <v/>
      </c>
      <c r="J320">
        <f>IF($AA320="","",INDEX('Per Line'!$L$2:$L$4001,$AA320)&amp;"")</f>
        <v/>
      </c>
      <c r="K320">
        <f>IF($AA320="","",INDEX('Per Line'!$P$2:$P$4001,$AA320))</f>
        <v/>
      </c>
      <c r="L320" s="7">
        <f>IF($AA320="","",IF(AND(ISNUMBER(N320),N320&gt;0,Y320&gt;N320),K320*N320/100+(Y320-N320),K320*Y320/100))</f>
        <v/>
      </c>
      <c r="M320">
        <f>IF($AA320="","",INDEX('Per Line'!$Z$2:$Z$4001,$AA320)&amp;"")</f>
        <v/>
      </c>
      <c r="N320">
        <f>IF($AA320="","",INDEX('Per Line'!$AG$2:$AG$4001,$AA320))</f>
        <v/>
      </c>
      <c r="O320">
        <f>IF($AA320="","",IF(AND(ISNUMBER(N320),N320&gt;0),Y320&gt;N320,FALSE))</f>
        <v/>
      </c>
      <c r="P320" s="7">
        <f>IF($AA320="","",SUMIFS('Per Line'!$Y$2:$Y$4001,'Per Line'!$E$2:$E$4001,$B320,'Per Line'!$AQ$2:$AQ$4001,1))</f>
        <v/>
      </c>
      <c r="Q320">
        <f>IF($AA320="","",Settings!$C$7)</f>
        <v/>
      </c>
      <c r="R320" s="7">
        <f>IF($AA320="","",SUMIFS('Per Line'!$Y$2:$Y$4001,'Per Line'!$E$2:$E$4001,$B320,'Per Line'!$AP$2:$AP$4001,0,'Per Line'!$AQ$2:$AQ$4001,0))</f>
        <v/>
      </c>
      <c r="S320" s="7">
        <f>IF($AA320="","",R320*Q320)</f>
        <v/>
      </c>
      <c r="T320">
        <f>IF($AA320="","",Settings!$C$6)</f>
        <v/>
      </c>
      <c r="U320" s="7">
        <f>IF($AA320="","",SUMIFS('Per Line'!$Y$2:$Y$4001,'Per Line'!$E$2:$E$4001,$B320,'Per Line'!$AP$2:$AP$4001,1,'Per Line'!$AQ$2:$AQ$4001,0))</f>
        <v/>
      </c>
      <c r="V320" s="7">
        <f>IF($AA320="","",U320*T320)</f>
        <v/>
      </c>
      <c r="W320" s="7">
        <f>IF($AA320="","",V320+S320)</f>
        <v/>
      </c>
      <c r="X320" s="7">
        <f>IF($AA320="","",Y320-W320)</f>
        <v/>
      </c>
      <c r="Y320" s="7">
        <f>IF($AA320="","",R320+U320+P320)</f>
        <v/>
      </c>
      <c r="Z320" s="7">
        <f>IF($AA320="","",Y320-W320-L320)</f>
        <v/>
      </c>
      <c r="AA320" s="13">
        <f>IF(ROWS($AA$2:$AA320)&lt;=MAX('Per Line'!$AO$2:$AO$4001),MATCH(ROWS($AA$2:$AA320),'Per Line'!$AO$2:$AO$4001,0),"")</f>
        <v/>
      </c>
      <c r="AB320" s="14">
        <f>IF($AA320="","",L320-K320*Y320/100)</f>
        <v/>
      </c>
    </row>
    <row r="321">
      <c r="A321" s="12" t="n"/>
      <c r="B321">
        <f>IF($AA321="","",INDEX('Per Line'!$E$2:$E$4001,$AA321)&amp;"")</f>
        <v/>
      </c>
      <c r="C321">
        <f>IF($AA321="","",INDEX('Per Line'!$A$2:$A$4001,$AA321)&amp;"")</f>
        <v/>
      </c>
      <c r="D321">
        <f>IF($AA321="","",INDEX('Per Line'!$D$2:$D$4001,$AA321)&amp;"")</f>
        <v/>
      </c>
      <c r="E321" s="11">
        <f>IF($AA321="","",INDEX('Per Line'!$G$2:$G$4001,$AA321))</f>
        <v/>
      </c>
      <c r="F321">
        <f>IF($AA321="","",INDEX('Per Line'!$H$2:$H$4001,$AA321)&amp;"")</f>
        <v/>
      </c>
      <c r="G321">
        <f>IF($AA321="","",INDEX('Per Line'!$I$2:$I$4001,$AA321)&amp;"")</f>
        <v/>
      </c>
      <c r="H321">
        <f>IF($AA321="","",INDEX('Per Line'!$J$2:$J$4001,$AA321)&amp;"")</f>
        <v/>
      </c>
      <c r="I321">
        <f>IF($AA321="","",INDEX('Per Line'!$K$2:$K$4001,$AA321)&amp;"")</f>
        <v/>
      </c>
      <c r="J321">
        <f>IF($AA321="","",INDEX('Per Line'!$L$2:$L$4001,$AA321)&amp;"")</f>
        <v/>
      </c>
      <c r="K321">
        <f>IF($AA321="","",INDEX('Per Line'!$P$2:$P$4001,$AA321))</f>
        <v/>
      </c>
      <c r="L321" s="7">
        <f>IF($AA321="","",IF(AND(ISNUMBER(N321),N321&gt;0,Y321&gt;N321),K321*N321/100+(Y321-N321),K321*Y321/100))</f>
        <v/>
      </c>
      <c r="M321">
        <f>IF($AA321="","",INDEX('Per Line'!$Z$2:$Z$4001,$AA321)&amp;"")</f>
        <v/>
      </c>
      <c r="N321">
        <f>IF($AA321="","",INDEX('Per Line'!$AG$2:$AG$4001,$AA321))</f>
        <v/>
      </c>
      <c r="O321">
        <f>IF($AA321="","",IF(AND(ISNUMBER(N321),N321&gt;0),Y321&gt;N321,FALSE))</f>
        <v/>
      </c>
      <c r="P321" s="7">
        <f>IF($AA321="","",SUMIFS('Per Line'!$Y$2:$Y$4001,'Per Line'!$E$2:$E$4001,$B321,'Per Line'!$AQ$2:$AQ$4001,1))</f>
        <v/>
      </c>
      <c r="Q321">
        <f>IF($AA321="","",Settings!$C$7)</f>
        <v/>
      </c>
      <c r="R321" s="7">
        <f>IF($AA321="","",SUMIFS('Per Line'!$Y$2:$Y$4001,'Per Line'!$E$2:$E$4001,$B321,'Per Line'!$AP$2:$AP$4001,0,'Per Line'!$AQ$2:$AQ$4001,0))</f>
        <v/>
      </c>
      <c r="S321" s="7">
        <f>IF($AA321="","",R321*Q321)</f>
        <v/>
      </c>
      <c r="T321">
        <f>IF($AA321="","",Settings!$C$6)</f>
        <v/>
      </c>
      <c r="U321" s="7">
        <f>IF($AA321="","",SUMIFS('Per Line'!$Y$2:$Y$4001,'Per Line'!$E$2:$E$4001,$B321,'Per Line'!$AP$2:$AP$4001,1,'Per Line'!$AQ$2:$AQ$4001,0))</f>
        <v/>
      </c>
      <c r="V321" s="7">
        <f>IF($AA321="","",U321*T321)</f>
        <v/>
      </c>
      <c r="W321" s="7">
        <f>IF($AA321="","",V321+S321)</f>
        <v/>
      </c>
      <c r="X321" s="7">
        <f>IF($AA321="","",Y321-W321)</f>
        <v/>
      </c>
      <c r="Y321" s="7">
        <f>IF($AA321="","",R321+U321+P321)</f>
        <v/>
      </c>
      <c r="Z321" s="7">
        <f>IF($AA321="","",Y321-W321-L321)</f>
        <v/>
      </c>
      <c r="AA321" s="13">
        <f>IF(ROWS($AA$2:$AA321)&lt;=MAX('Per Line'!$AO$2:$AO$4001),MATCH(ROWS($AA$2:$AA321),'Per Line'!$AO$2:$AO$4001,0),"")</f>
        <v/>
      </c>
      <c r="AB321" s="14">
        <f>IF($AA321="","",L321-K321*Y321/100)</f>
        <v/>
      </c>
    </row>
    <row r="322">
      <c r="A322" s="12" t="n"/>
      <c r="B322">
        <f>IF($AA322="","",INDEX('Per Line'!$E$2:$E$4001,$AA322)&amp;"")</f>
        <v/>
      </c>
      <c r="C322">
        <f>IF($AA322="","",INDEX('Per Line'!$A$2:$A$4001,$AA322)&amp;"")</f>
        <v/>
      </c>
      <c r="D322">
        <f>IF($AA322="","",INDEX('Per Line'!$D$2:$D$4001,$AA322)&amp;"")</f>
        <v/>
      </c>
      <c r="E322" s="11">
        <f>IF($AA322="","",INDEX('Per Line'!$G$2:$G$4001,$AA322))</f>
        <v/>
      </c>
      <c r="F322">
        <f>IF($AA322="","",INDEX('Per Line'!$H$2:$H$4001,$AA322)&amp;"")</f>
        <v/>
      </c>
      <c r="G322">
        <f>IF($AA322="","",INDEX('Per Line'!$I$2:$I$4001,$AA322)&amp;"")</f>
        <v/>
      </c>
      <c r="H322">
        <f>IF($AA322="","",INDEX('Per Line'!$J$2:$J$4001,$AA322)&amp;"")</f>
        <v/>
      </c>
      <c r="I322">
        <f>IF($AA322="","",INDEX('Per Line'!$K$2:$K$4001,$AA322)&amp;"")</f>
        <v/>
      </c>
      <c r="J322">
        <f>IF($AA322="","",INDEX('Per Line'!$L$2:$L$4001,$AA322)&amp;"")</f>
        <v/>
      </c>
      <c r="K322">
        <f>IF($AA322="","",INDEX('Per Line'!$P$2:$P$4001,$AA322))</f>
        <v/>
      </c>
      <c r="L322" s="7">
        <f>IF($AA322="","",IF(AND(ISNUMBER(N322),N322&gt;0,Y322&gt;N322),K322*N322/100+(Y322-N322),K322*Y322/100))</f>
        <v/>
      </c>
      <c r="M322">
        <f>IF($AA322="","",INDEX('Per Line'!$Z$2:$Z$4001,$AA322)&amp;"")</f>
        <v/>
      </c>
      <c r="N322">
        <f>IF($AA322="","",INDEX('Per Line'!$AG$2:$AG$4001,$AA322))</f>
        <v/>
      </c>
      <c r="O322">
        <f>IF($AA322="","",IF(AND(ISNUMBER(N322),N322&gt;0),Y322&gt;N322,FALSE))</f>
        <v/>
      </c>
      <c r="P322" s="7">
        <f>IF($AA322="","",SUMIFS('Per Line'!$Y$2:$Y$4001,'Per Line'!$E$2:$E$4001,$B322,'Per Line'!$AQ$2:$AQ$4001,1))</f>
        <v/>
      </c>
      <c r="Q322">
        <f>IF($AA322="","",Settings!$C$7)</f>
        <v/>
      </c>
      <c r="R322" s="7">
        <f>IF($AA322="","",SUMIFS('Per Line'!$Y$2:$Y$4001,'Per Line'!$E$2:$E$4001,$B322,'Per Line'!$AP$2:$AP$4001,0,'Per Line'!$AQ$2:$AQ$4001,0))</f>
        <v/>
      </c>
      <c r="S322" s="7">
        <f>IF($AA322="","",R322*Q322)</f>
        <v/>
      </c>
      <c r="T322">
        <f>IF($AA322="","",Settings!$C$6)</f>
        <v/>
      </c>
      <c r="U322" s="7">
        <f>IF($AA322="","",SUMIFS('Per Line'!$Y$2:$Y$4001,'Per Line'!$E$2:$E$4001,$B322,'Per Line'!$AP$2:$AP$4001,1,'Per Line'!$AQ$2:$AQ$4001,0))</f>
        <v/>
      </c>
      <c r="V322" s="7">
        <f>IF($AA322="","",U322*T322)</f>
        <v/>
      </c>
      <c r="W322" s="7">
        <f>IF($AA322="","",V322+S322)</f>
        <v/>
      </c>
      <c r="X322" s="7">
        <f>IF($AA322="","",Y322-W322)</f>
        <v/>
      </c>
      <c r="Y322" s="7">
        <f>IF($AA322="","",R322+U322+P322)</f>
        <v/>
      </c>
      <c r="Z322" s="7">
        <f>IF($AA322="","",Y322-W322-L322)</f>
        <v/>
      </c>
      <c r="AA322" s="13">
        <f>IF(ROWS($AA$2:$AA322)&lt;=MAX('Per Line'!$AO$2:$AO$4001),MATCH(ROWS($AA$2:$AA322),'Per Line'!$AO$2:$AO$4001,0),"")</f>
        <v/>
      </c>
      <c r="AB322" s="14">
        <f>IF($AA322="","",L322-K322*Y322/100)</f>
        <v/>
      </c>
    </row>
    <row r="323">
      <c r="A323" s="12" t="n"/>
      <c r="B323">
        <f>IF($AA323="","",INDEX('Per Line'!$E$2:$E$4001,$AA323)&amp;"")</f>
        <v/>
      </c>
      <c r="C323">
        <f>IF($AA323="","",INDEX('Per Line'!$A$2:$A$4001,$AA323)&amp;"")</f>
        <v/>
      </c>
      <c r="D323">
        <f>IF($AA323="","",INDEX('Per Line'!$D$2:$D$4001,$AA323)&amp;"")</f>
        <v/>
      </c>
      <c r="E323" s="11">
        <f>IF($AA323="","",INDEX('Per Line'!$G$2:$G$4001,$AA323))</f>
        <v/>
      </c>
      <c r="F323">
        <f>IF($AA323="","",INDEX('Per Line'!$H$2:$H$4001,$AA323)&amp;"")</f>
        <v/>
      </c>
      <c r="G323">
        <f>IF($AA323="","",INDEX('Per Line'!$I$2:$I$4001,$AA323)&amp;"")</f>
        <v/>
      </c>
      <c r="H323">
        <f>IF($AA323="","",INDEX('Per Line'!$J$2:$J$4001,$AA323)&amp;"")</f>
        <v/>
      </c>
      <c r="I323">
        <f>IF($AA323="","",INDEX('Per Line'!$K$2:$K$4001,$AA323)&amp;"")</f>
        <v/>
      </c>
      <c r="J323">
        <f>IF($AA323="","",INDEX('Per Line'!$L$2:$L$4001,$AA323)&amp;"")</f>
        <v/>
      </c>
      <c r="K323">
        <f>IF($AA323="","",INDEX('Per Line'!$P$2:$P$4001,$AA323))</f>
        <v/>
      </c>
      <c r="L323" s="7">
        <f>IF($AA323="","",IF(AND(ISNUMBER(N323),N323&gt;0,Y323&gt;N323),K323*N323/100+(Y323-N323),K323*Y323/100))</f>
        <v/>
      </c>
      <c r="M323">
        <f>IF($AA323="","",INDEX('Per Line'!$Z$2:$Z$4001,$AA323)&amp;"")</f>
        <v/>
      </c>
      <c r="N323">
        <f>IF($AA323="","",INDEX('Per Line'!$AG$2:$AG$4001,$AA323))</f>
        <v/>
      </c>
      <c r="O323">
        <f>IF($AA323="","",IF(AND(ISNUMBER(N323),N323&gt;0),Y323&gt;N323,FALSE))</f>
        <v/>
      </c>
      <c r="P323" s="7">
        <f>IF($AA323="","",SUMIFS('Per Line'!$Y$2:$Y$4001,'Per Line'!$E$2:$E$4001,$B323,'Per Line'!$AQ$2:$AQ$4001,1))</f>
        <v/>
      </c>
      <c r="Q323">
        <f>IF($AA323="","",Settings!$C$7)</f>
        <v/>
      </c>
      <c r="R323" s="7">
        <f>IF($AA323="","",SUMIFS('Per Line'!$Y$2:$Y$4001,'Per Line'!$E$2:$E$4001,$B323,'Per Line'!$AP$2:$AP$4001,0,'Per Line'!$AQ$2:$AQ$4001,0))</f>
        <v/>
      </c>
      <c r="S323" s="7">
        <f>IF($AA323="","",R323*Q323)</f>
        <v/>
      </c>
      <c r="T323">
        <f>IF($AA323="","",Settings!$C$6)</f>
        <v/>
      </c>
      <c r="U323" s="7">
        <f>IF($AA323="","",SUMIFS('Per Line'!$Y$2:$Y$4001,'Per Line'!$E$2:$E$4001,$B323,'Per Line'!$AP$2:$AP$4001,1,'Per Line'!$AQ$2:$AQ$4001,0))</f>
        <v/>
      </c>
      <c r="V323" s="7">
        <f>IF($AA323="","",U323*T323)</f>
        <v/>
      </c>
      <c r="W323" s="7">
        <f>IF($AA323="","",V323+S323)</f>
        <v/>
      </c>
      <c r="X323" s="7">
        <f>IF($AA323="","",Y323-W323)</f>
        <v/>
      </c>
      <c r="Y323" s="7">
        <f>IF($AA323="","",R323+U323+P323)</f>
        <v/>
      </c>
      <c r="Z323" s="7">
        <f>IF($AA323="","",Y323-W323-L323)</f>
        <v/>
      </c>
      <c r="AA323" s="13">
        <f>IF(ROWS($AA$2:$AA323)&lt;=MAX('Per Line'!$AO$2:$AO$4001),MATCH(ROWS($AA$2:$AA323),'Per Line'!$AO$2:$AO$4001,0),"")</f>
        <v/>
      </c>
      <c r="AB323" s="14">
        <f>IF($AA323="","",L323-K323*Y323/100)</f>
        <v/>
      </c>
    </row>
    <row r="324">
      <c r="A324" s="12" t="n"/>
      <c r="B324">
        <f>IF($AA324="","",INDEX('Per Line'!$E$2:$E$4001,$AA324)&amp;"")</f>
        <v/>
      </c>
      <c r="C324">
        <f>IF($AA324="","",INDEX('Per Line'!$A$2:$A$4001,$AA324)&amp;"")</f>
        <v/>
      </c>
      <c r="D324">
        <f>IF($AA324="","",INDEX('Per Line'!$D$2:$D$4001,$AA324)&amp;"")</f>
        <v/>
      </c>
      <c r="E324" s="11">
        <f>IF($AA324="","",INDEX('Per Line'!$G$2:$G$4001,$AA324))</f>
        <v/>
      </c>
      <c r="F324">
        <f>IF($AA324="","",INDEX('Per Line'!$H$2:$H$4001,$AA324)&amp;"")</f>
        <v/>
      </c>
      <c r="G324">
        <f>IF($AA324="","",INDEX('Per Line'!$I$2:$I$4001,$AA324)&amp;"")</f>
        <v/>
      </c>
      <c r="H324">
        <f>IF($AA324="","",INDEX('Per Line'!$J$2:$J$4001,$AA324)&amp;"")</f>
        <v/>
      </c>
      <c r="I324">
        <f>IF($AA324="","",INDEX('Per Line'!$K$2:$K$4001,$AA324)&amp;"")</f>
        <v/>
      </c>
      <c r="J324">
        <f>IF($AA324="","",INDEX('Per Line'!$L$2:$L$4001,$AA324)&amp;"")</f>
        <v/>
      </c>
      <c r="K324">
        <f>IF($AA324="","",INDEX('Per Line'!$P$2:$P$4001,$AA324))</f>
        <v/>
      </c>
      <c r="L324" s="7">
        <f>IF($AA324="","",IF(AND(ISNUMBER(N324),N324&gt;0,Y324&gt;N324),K324*N324/100+(Y324-N324),K324*Y324/100))</f>
        <v/>
      </c>
      <c r="M324">
        <f>IF($AA324="","",INDEX('Per Line'!$Z$2:$Z$4001,$AA324)&amp;"")</f>
        <v/>
      </c>
      <c r="N324">
        <f>IF($AA324="","",INDEX('Per Line'!$AG$2:$AG$4001,$AA324))</f>
        <v/>
      </c>
      <c r="O324">
        <f>IF($AA324="","",IF(AND(ISNUMBER(N324),N324&gt;0),Y324&gt;N324,FALSE))</f>
        <v/>
      </c>
      <c r="P324" s="7">
        <f>IF($AA324="","",SUMIFS('Per Line'!$Y$2:$Y$4001,'Per Line'!$E$2:$E$4001,$B324,'Per Line'!$AQ$2:$AQ$4001,1))</f>
        <v/>
      </c>
      <c r="Q324">
        <f>IF($AA324="","",Settings!$C$7)</f>
        <v/>
      </c>
      <c r="R324" s="7">
        <f>IF($AA324="","",SUMIFS('Per Line'!$Y$2:$Y$4001,'Per Line'!$E$2:$E$4001,$B324,'Per Line'!$AP$2:$AP$4001,0,'Per Line'!$AQ$2:$AQ$4001,0))</f>
        <v/>
      </c>
      <c r="S324" s="7">
        <f>IF($AA324="","",R324*Q324)</f>
        <v/>
      </c>
      <c r="T324">
        <f>IF($AA324="","",Settings!$C$6)</f>
        <v/>
      </c>
      <c r="U324" s="7">
        <f>IF($AA324="","",SUMIFS('Per Line'!$Y$2:$Y$4001,'Per Line'!$E$2:$E$4001,$B324,'Per Line'!$AP$2:$AP$4001,1,'Per Line'!$AQ$2:$AQ$4001,0))</f>
        <v/>
      </c>
      <c r="V324" s="7">
        <f>IF($AA324="","",U324*T324)</f>
        <v/>
      </c>
      <c r="W324" s="7">
        <f>IF($AA324="","",V324+S324)</f>
        <v/>
      </c>
      <c r="X324" s="7">
        <f>IF($AA324="","",Y324-W324)</f>
        <v/>
      </c>
      <c r="Y324" s="7">
        <f>IF($AA324="","",R324+U324+P324)</f>
        <v/>
      </c>
      <c r="Z324" s="7">
        <f>IF($AA324="","",Y324-W324-L324)</f>
        <v/>
      </c>
      <c r="AA324" s="13">
        <f>IF(ROWS($AA$2:$AA324)&lt;=MAX('Per Line'!$AO$2:$AO$4001),MATCH(ROWS($AA$2:$AA324),'Per Line'!$AO$2:$AO$4001,0),"")</f>
        <v/>
      </c>
      <c r="AB324" s="14">
        <f>IF($AA324="","",L324-K324*Y324/100)</f>
        <v/>
      </c>
    </row>
    <row r="325">
      <c r="A325" s="12" t="n"/>
      <c r="B325">
        <f>IF($AA325="","",INDEX('Per Line'!$E$2:$E$4001,$AA325)&amp;"")</f>
        <v/>
      </c>
      <c r="C325">
        <f>IF($AA325="","",INDEX('Per Line'!$A$2:$A$4001,$AA325)&amp;"")</f>
        <v/>
      </c>
      <c r="D325">
        <f>IF($AA325="","",INDEX('Per Line'!$D$2:$D$4001,$AA325)&amp;"")</f>
        <v/>
      </c>
      <c r="E325" s="11">
        <f>IF($AA325="","",INDEX('Per Line'!$G$2:$G$4001,$AA325))</f>
        <v/>
      </c>
      <c r="F325">
        <f>IF($AA325="","",INDEX('Per Line'!$H$2:$H$4001,$AA325)&amp;"")</f>
        <v/>
      </c>
      <c r="G325">
        <f>IF($AA325="","",INDEX('Per Line'!$I$2:$I$4001,$AA325)&amp;"")</f>
        <v/>
      </c>
      <c r="H325">
        <f>IF($AA325="","",INDEX('Per Line'!$J$2:$J$4001,$AA325)&amp;"")</f>
        <v/>
      </c>
      <c r="I325">
        <f>IF($AA325="","",INDEX('Per Line'!$K$2:$K$4001,$AA325)&amp;"")</f>
        <v/>
      </c>
      <c r="J325">
        <f>IF($AA325="","",INDEX('Per Line'!$L$2:$L$4001,$AA325)&amp;"")</f>
        <v/>
      </c>
      <c r="K325">
        <f>IF($AA325="","",INDEX('Per Line'!$P$2:$P$4001,$AA325))</f>
        <v/>
      </c>
      <c r="L325" s="7">
        <f>IF($AA325="","",IF(AND(ISNUMBER(N325),N325&gt;0,Y325&gt;N325),K325*N325/100+(Y325-N325),K325*Y325/100))</f>
        <v/>
      </c>
      <c r="M325">
        <f>IF($AA325="","",INDEX('Per Line'!$Z$2:$Z$4001,$AA325)&amp;"")</f>
        <v/>
      </c>
      <c r="N325">
        <f>IF($AA325="","",INDEX('Per Line'!$AG$2:$AG$4001,$AA325))</f>
        <v/>
      </c>
      <c r="O325">
        <f>IF($AA325="","",IF(AND(ISNUMBER(N325),N325&gt;0),Y325&gt;N325,FALSE))</f>
        <v/>
      </c>
      <c r="P325" s="7">
        <f>IF($AA325="","",SUMIFS('Per Line'!$Y$2:$Y$4001,'Per Line'!$E$2:$E$4001,$B325,'Per Line'!$AQ$2:$AQ$4001,1))</f>
        <v/>
      </c>
      <c r="Q325">
        <f>IF($AA325="","",Settings!$C$7)</f>
        <v/>
      </c>
      <c r="R325" s="7">
        <f>IF($AA325="","",SUMIFS('Per Line'!$Y$2:$Y$4001,'Per Line'!$E$2:$E$4001,$B325,'Per Line'!$AP$2:$AP$4001,0,'Per Line'!$AQ$2:$AQ$4001,0))</f>
        <v/>
      </c>
      <c r="S325" s="7">
        <f>IF($AA325="","",R325*Q325)</f>
        <v/>
      </c>
      <c r="T325">
        <f>IF($AA325="","",Settings!$C$6)</f>
        <v/>
      </c>
      <c r="U325" s="7">
        <f>IF($AA325="","",SUMIFS('Per Line'!$Y$2:$Y$4001,'Per Line'!$E$2:$E$4001,$B325,'Per Line'!$AP$2:$AP$4001,1,'Per Line'!$AQ$2:$AQ$4001,0))</f>
        <v/>
      </c>
      <c r="V325" s="7">
        <f>IF($AA325="","",U325*T325)</f>
        <v/>
      </c>
      <c r="W325" s="7">
        <f>IF($AA325="","",V325+S325)</f>
        <v/>
      </c>
      <c r="X325" s="7">
        <f>IF($AA325="","",Y325-W325)</f>
        <v/>
      </c>
      <c r="Y325" s="7">
        <f>IF($AA325="","",R325+U325+P325)</f>
        <v/>
      </c>
      <c r="Z325" s="7">
        <f>IF($AA325="","",Y325-W325-L325)</f>
        <v/>
      </c>
      <c r="AA325" s="13">
        <f>IF(ROWS($AA$2:$AA325)&lt;=MAX('Per Line'!$AO$2:$AO$4001),MATCH(ROWS($AA$2:$AA325),'Per Line'!$AO$2:$AO$4001,0),"")</f>
        <v/>
      </c>
      <c r="AB325" s="14">
        <f>IF($AA325="","",L325-K325*Y325/100)</f>
        <v/>
      </c>
    </row>
    <row r="326">
      <c r="A326" s="12" t="n"/>
      <c r="B326">
        <f>IF($AA326="","",INDEX('Per Line'!$E$2:$E$4001,$AA326)&amp;"")</f>
        <v/>
      </c>
      <c r="C326">
        <f>IF($AA326="","",INDEX('Per Line'!$A$2:$A$4001,$AA326)&amp;"")</f>
        <v/>
      </c>
      <c r="D326">
        <f>IF($AA326="","",INDEX('Per Line'!$D$2:$D$4001,$AA326)&amp;"")</f>
        <v/>
      </c>
      <c r="E326" s="11">
        <f>IF($AA326="","",INDEX('Per Line'!$G$2:$G$4001,$AA326))</f>
        <v/>
      </c>
      <c r="F326">
        <f>IF($AA326="","",INDEX('Per Line'!$H$2:$H$4001,$AA326)&amp;"")</f>
        <v/>
      </c>
      <c r="G326">
        <f>IF($AA326="","",INDEX('Per Line'!$I$2:$I$4001,$AA326)&amp;"")</f>
        <v/>
      </c>
      <c r="H326">
        <f>IF($AA326="","",INDEX('Per Line'!$J$2:$J$4001,$AA326)&amp;"")</f>
        <v/>
      </c>
      <c r="I326">
        <f>IF($AA326="","",INDEX('Per Line'!$K$2:$K$4001,$AA326)&amp;"")</f>
        <v/>
      </c>
      <c r="J326">
        <f>IF($AA326="","",INDEX('Per Line'!$L$2:$L$4001,$AA326)&amp;"")</f>
        <v/>
      </c>
      <c r="K326">
        <f>IF($AA326="","",INDEX('Per Line'!$P$2:$P$4001,$AA326))</f>
        <v/>
      </c>
      <c r="L326" s="7">
        <f>IF($AA326="","",IF(AND(ISNUMBER(N326),N326&gt;0,Y326&gt;N326),K326*N326/100+(Y326-N326),K326*Y326/100))</f>
        <v/>
      </c>
      <c r="M326">
        <f>IF($AA326="","",INDEX('Per Line'!$Z$2:$Z$4001,$AA326)&amp;"")</f>
        <v/>
      </c>
      <c r="N326">
        <f>IF($AA326="","",INDEX('Per Line'!$AG$2:$AG$4001,$AA326))</f>
        <v/>
      </c>
      <c r="O326">
        <f>IF($AA326="","",IF(AND(ISNUMBER(N326),N326&gt;0),Y326&gt;N326,FALSE))</f>
        <v/>
      </c>
      <c r="P326" s="7">
        <f>IF($AA326="","",SUMIFS('Per Line'!$Y$2:$Y$4001,'Per Line'!$E$2:$E$4001,$B326,'Per Line'!$AQ$2:$AQ$4001,1))</f>
        <v/>
      </c>
      <c r="Q326">
        <f>IF($AA326="","",Settings!$C$7)</f>
        <v/>
      </c>
      <c r="R326" s="7">
        <f>IF($AA326="","",SUMIFS('Per Line'!$Y$2:$Y$4001,'Per Line'!$E$2:$E$4001,$B326,'Per Line'!$AP$2:$AP$4001,0,'Per Line'!$AQ$2:$AQ$4001,0))</f>
        <v/>
      </c>
      <c r="S326" s="7">
        <f>IF($AA326="","",R326*Q326)</f>
        <v/>
      </c>
      <c r="T326">
        <f>IF($AA326="","",Settings!$C$6)</f>
        <v/>
      </c>
      <c r="U326" s="7">
        <f>IF($AA326="","",SUMIFS('Per Line'!$Y$2:$Y$4001,'Per Line'!$E$2:$E$4001,$B326,'Per Line'!$AP$2:$AP$4001,1,'Per Line'!$AQ$2:$AQ$4001,0))</f>
        <v/>
      </c>
      <c r="V326" s="7">
        <f>IF($AA326="","",U326*T326)</f>
        <v/>
      </c>
      <c r="W326" s="7">
        <f>IF($AA326="","",V326+S326)</f>
        <v/>
      </c>
      <c r="X326" s="7">
        <f>IF($AA326="","",Y326-W326)</f>
        <v/>
      </c>
      <c r="Y326" s="7">
        <f>IF($AA326="","",R326+U326+P326)</f>
        <v/>
      </c>
      <c r="Z326" s="7">
        <f>IF($AA326="","",Y326-W326-L326)</f>
        <v/>
      </c>
      <c r="AA326" s="13">
        <f>IF(ROWS($AA$2:$AA326)&lt;=MAX('Per Line'!$AO$2:$AO$4001),MATCH(ROWS($AA$2:$AA326),'Per Line'!$AO$2:$AO$4001,0),"")</f>
        <v/>
      </c>
      <c r="AB326" s="14">
        <f>IF($AA326="","",L326-K326*Y326/100)</f>
        <v/>
      </c>
    </row>
    <row r="327">
      <c r="A327" s="12" t="n"/>
      <c r="B327">
        <f>IF($AA327="","",INDEX('Per Line'!$E$2:$E$4001,$AA327)&amp;"")</f>
        <v/>
      </c>
      <c r="C327">
        <f>IF($AA327="","",INDEX('Per Line'!$A$2:$A$4001,$AA327)&amp;"")</f>
        <v/>
      </c>
      <c r="D327">
        <f>IF($AA327="","",INDEX('Per Line'!$D$2:$D$4001,$AA327)&amp;"")</f>
        <v/>
      </c>
      <c r="E327" s="11">
        <f>IF($AA327="","",INDEX('Per Line'!$G$2:$G$4001,$AA327))</f>
        <v/>
      </c>
      <c r="F327">
        <f>IF($AA327="","",INDEX('Per Line'!$H$2:$H$4001,$AA327)&amp;"")</f>
        <v/>
      </c>
      <c r="G327">
        <f>IF($AA327="","",INDEX('Per Line'!$I$2:$I$4001,$AA327)&amp;"")</f>
        <v/>
      </c>
      <c r="H327">
        <f>IF($AA327="","",INDEX('Per Line'!$J$2:$J$4001,$AA327)&amp;"")</f>
        <v/>
      </c>
      <c r="I327">
        <f>IF($AA327="","",INDEX('Per Line'!$K$2:$K$4001,$AA327)&amp;"")</f>
        <v/>
      </c>
      <c r="J327">
        <f>IF($AA327="","",INDEX('Per Line'!$L$2:$L$4001,$AA327)&amp;"")</f>
        <v/>
      </c>
      <c r="K327">
        <f>IF($AA327="","",INDEX('Per Line'!$P$2:$P$4001,$AA327))</f>
        <v/>
      </c>
      <c r="L327" s="7">
        <f>IF($AA327="","",IF(AND(ISNUMBER(N327),N327&gt;0,Y327&gt;N327),K327*N327/100+(Y327-N327),K327*Y327/100))</f>
        <v/>
      </c>
      <c r="M327">
        <f>IF($AA327="","",INDEX('Per Line'!$Z$2:$Z$4001,$AA327)&amp;"")</f>
        <v/>
      </c>
      <c r="N327">
        <f>IF($AA327="","",INDEX('Per Line'!$AG$2:$AG$4001,$AA327))</f>
        <v/>
      </c>
      <c r="O327">
        <f>IF($AA327="","",IF(AND(ISNUMBER(N327),N327&gt;0),Y327&gt;N327,FALSE))</f>
        <v/>
      </c>
      <c r="P327" s="7">
        <f>IF($AA327="","",SUMIFS('Per Line'!$Y$2:$Y$4001,'Per Line'!$E$2:$E$4001,$B327,'Per Line'!$AQ$2:$AQ$4001,1))</f>
        <v/>
      </c>
      <c r="Q327">
        <f>IF($AA327="","",Settings!$C$7)</f>
        <v/>
      </c>
      <c r="R327" s="7">
        <f>IF($AA327="","",SUMIFS('Per Line'!$Y$2:$Y$4001,'Per Line'!$E$2:$E$4001,$B327,'Per Line'!$AP$2:$AP$4001,0,'Per Line'!$AQ$2:$AQ$4001,0))</f>
        <v/>
      </c>
      <c r="S327" s="7">
        <f>IF($AA327="","",R327*Q327)</f>
        <v/>
      </c>
      <c r="T327">
        <f>IF($AA327="","",Settings!$C$6)</f>
        <v/>
      </c>
      <c r="U327" s="7">
        <f>IF($AA327="","",SUMIFS('Per Line'!$Y$2:$Y$4001,'Per Line'!$E$2:$E$4001,$B327,'Per Line'!$AP$2:$AP$4001,1,'Per Line'!$AQ$2:$AQ$4001,0))</f>
        <v/>
      </c>
      <c r="V327" s="7">
        <f>IF($AA327="","",U327*T327)</f>
        <v/>
      </c>
      <c r="W327" s="7">
        <f>IF($AA327="","",V327+S327)</f>
        <v/>
      </c>
      <c r="X327" s="7">
        <f>IF($AA327="","",Y327-W327)</f>
        <v/>
      </c>
      <c r="Y327" s="7">
        <f>IF($AA327="","",R327+U327+P327)</f>
        <v/>
      </c>
      <c r="Z327" s="7">
        <f>IF($AA327="","",Y327-W327-L327)</f>
        <v/>
      </c>
      <c r="AA327" s="13">
        <f>IF(ROWS($AA$2:$AA327)&lt;=MAX('Per Line'!$AO$2:$AO$4001),MATCH(ROWS($AA$2:$AA327),'Per Line'!$AO$2:$AO$4001,0),"")</f>
        <v/>
      </c>
      <c r="AB327" s="14">
        <f>IF($AA327="","",L327-K327*Y327/100)</f>
        <v/>
      </c>
    </row>
    <row r="328">
      <c r="A328" s="12" t="n"/>
      <c r="B328">
        <f>IF($AA328="","",INDEX('Per Line'!$E$2:$E$4001,$AA328)&amp;"")</f>
        <v/>
      </c>
      <c r="C328">
        <f>IF($AA328="","",INDEX('Per Line'!$A$2:$A$4001,$AA328)&amp;"")</f>
        <v/>
      </c>
      <c r="D328">
        <f>IF($AA328="","",INDEX('Per Line'!$D$2:$D$4001,$AA328)&amp;"")</f>
        <v/>
      </c>
      <c r="E328" s="11">
        <f>IF($AA328="","",INDEX('Per Line'!$G$2:$G$4001,$AA328))</f>
        <v/>
      </c>
      <c r="F328">
        <f>IF($AA328="","",INDEX('Per Line'!$H$2:$H$4001,$AA328)&amp;"")</f>
        <v/>
      </c>
      <c r="G328">
        <f>IF($AA328="","",INDEX('Per Line'!$I$2:$I$4001,$AA328)&amp;"")</f>
        <v/>
      </c>
      <c r="H328">
        <f>IF($AA328="","",INDEX('Per Line'!$J$2:$J$4001,$AA328)&amp;"")</f>
        <v/>
      </c>
      <c r="I328">
        <f>IF($AA328="","",INDEX('Per Line'!$K$2:$K$4001,$AA328)&amp;"")</f>
        <v/>
      </c>
      <c r="J328">
        <f>IF($AA328="","",INDEX('Per Line'!$L$2:$L$4001,$AA328)&amp;"")</f>
        <v/>
      </c>
      <c r="K328">
        <f>IF($AA328="","",INDEX('Per Line'!$P$2:$P$4001,$AA328))</f>
        <v/>
      </c>
      <c r="L328" s="7">
        <f>IF($AA328="","",IF(AND(ISNUMBER(N328),N328&gt;0,Y328&gt;N328),K328*N328/100+(Y328-N328),K328*Y328/100))</f>
        <v/>
      </c>
      <c r="M328">
        <f>IF($AA328="","",INDEX('Per Line'!$Z$2:$Z$4001,$AA328)&amp;"")</f>
        <v/>
      </c>
      <c r="N328">
        <f>IF($AA328="","",INDEX('Per Line'!$AG$2:$AG$4001,$AA328))</f>
        <v/>
      </c>
      <c r="O328">
        <f>IF($AA328="","",IF(AND(ISNUMBER(N328),N328&gt;0),Y328&gt;N328,FALSE))</f>
        <v/>
      </c>
      <c r="P328" s="7">
        <f>IF($AA328="","",SUMIFS('Per Line'!$Y$2:$Y$4001,'Per Line'!$E$2:$E$4001,$B328,'Per Line'!$AQ$2:$AQ$4001,1))</f>
        <v/>
      </c>
      <c r="Q328">
        <f>IF($AA328="","",Settings!$C$7)</f>
        <v/>
      </c>
      <c r="R328" s="7">
        <f>IF($AA328="","",SUMIFS('Per Line'!$Y$2:$Y$4001,'Per Line'!$E$2:$E$4001,$B328,'Per Line'!$AP$2:$AP$4001,0,'Per Line'!$AQ$2:$AQ$4001,0))</f>
        <v/>
      </c>
      <c r="S328" s="7">
        <f>IF($AA328="","",R328*Q328)</f>
        <v/>
      </c>
      <c r="T328">
        <f>IF($AA328="","",Settings!$C$6)</f>
        <v/>
      </c>
      <c r="U328" s="7">
        <f>IF($AA328="","",SUMIFS('Per Line'!$Y$2:$Y$4001,'Per Line'!$E$2:$E$4001,$B328,'Per Line'!$AP$2:$AP$4001,1,'Per Line'!$AQ$2:$AQ$4001,0))</f>
        <v/>
      </c>
      <c r="V328" s="7">
        <f>IF($AA328="","",U328*T328)</f>
        <v/>
      </c>
      <c r="W328" s="7">
        <f>IF($AA328="","",V328+S328)</f>
        <v/>
      </c>
      <c r="X328" s="7">
        <f>IF($AA328="","",Y328-W328)</f>
        <v/>
      </c>
      <c r="Y328" s="7">
        <f>IF($AA328="","",R328+U328+P328)</f>
        <v/>
      </c>
      <c r="Z328" s="7">
        <f>IF($AA328="","",Y328-W328-L328)</f>
        <v/>
      </c>
      <c r="AA328" s="13">
        <f>IF(ROWS($AA$2:$AA328)&lt;=MAX('Per Line'!$AO$2:$AO$4001),MATCH(ROWS($AA$2:$AA328),'Per Line'!$AO$2:$AO$4001,0),"")</f>
        <v/>
      </c>
      <c r="AB328" s="14">
        <f>IF($AA328="","",L328-K328*Y328/100)</f>
        <v/>
      </c>
    </row>
    <row r="329">
      <c r="A329" s="12" t="n"/>
      <c r="B329">
        <f>IF($AA329="","",INDEX('Per Line'!$E$2:$E$4001,$AA329)&amp;"")</f>
        <v/>
      </c>
      <c r="C329">
        <f>IF($AA329="","",INDEX('Per Line'!$A$2:$A$4001,$AA329)&amp;"")</f>
        <v/>
      </c>
      <c r="D329">
        <f>IF($AA329="","",INDEX('Per Line'!$D$2:$D$4001,$AA329)&amp;"")</f>
        <v/>
      </c>
      <c r="E329" s="11">
        <f>IF($AA329="","",INDEX('Per Line'!$G$2:$G$4001,$AA329))</f>
        <v/>
      </c>
      <c r="F329">
        <f>IF($AA329="","",INDEX('Per Line'!$H$2:$H$4001,$AA329)&amp;"")</f>
        <v/>
      </c>
      <c r="G329">
        <f>IF($AA329="","",INDEX('Per Line'!$I$2:$I$4001,$AA329)&amp;"")</f>
        <v/>
      </c>
      <c r="H329">
        <f>IF($AA329="","",INDEX('Per Line'!$J$2:$J$4001,$AA329)&amp;"")</f>
        <v/>
      </c>
      <c r="I329">
        <f>IF($AA329="","",INDEX('Per Line'!$K$2:$K$4001,$AA329)&amp;"")</f>
        <v/>
      </c>
      <c r="J329">
        <f>IF($AA329="","",INDEX('Per Line'!$L$2:$L$4001,$AA329)&amp;"")</f>
        <v/>
      </c>
      <c r="K329">
        <f>IF($AA329="","",INDEX('Per Line'!$P$2:$P$4001,$AA329))</f>
        <v/>
      </c>
      <c r="L329" s="7">
        <f>IF($AA329="","",IF(AND(ISNUMBER(N329),N329&gt;0,Y329&gt;N329),K329*N329/100+(Y329-N329),K329*Y329/100))</f>
        <v/>
      </c>
      <c r="M329">
        <f>IF($AA329="","",INDEX('Per Line'!$Z$2:$Z$4001,$AA329)&amp;"")</f>
        <v/>
      </c>
      <c r="N329">
        <f>IF($AA329="","",INDEX('Per Line'!$AG$2:$AG$4001,$AA329))</f>
        <v/>
      </c>
      <c r="O329">
        <f>IF($AA329="","",IF(AND(ISNUMBER(N329),N329&gt;0),Y329&gt;N329,FALSE))</f>
        <v/>
      </c>
      <c r="P329" s="7">
        <f>IF($AA329="","",SUMIFS('Per Line'!$Y$2:$Y$4001,'Per Line'!$E$2:$E$4001,$B329,'Per Line'!$AQ$2:$AQ$4001,1))</f>
        <v/>
      </c>
      <c r="Q329">
        <f>IF($AA329="","",Settings!$C$7)</f>
        <v/>
      </c>
      <c r="R329" s="7">
        <f>IF($AA329="","",SUMIFS('Per Line'!$Y$2:$Y$4001,'Per Line'!$E$2:$E$4001,$B329,'Per Line'!$AP$2:$AP$4001,0,'Per Line'!$AQ$2:$AQ$4001,0))</f>
        <v/>
      </c>
      <c r="S329" s="7">
        <f>IF($AA329="","",R329*Q329)</f>
        <v/>
      </c>
      <c r="T329">
        <f>IF($AA329="","",Settings!$C$6)</f>
        <v/>
      </c>
      <c r="U329" s="7">
        <f>IF($AA329="","",SUMIFS('Per Line'!$Y$2:$Y$4001,'Per Line'!$E$2:$E$4001,$B329,'Per Line'!$AP$2:$AP$4001,1,'Per Line'!$AQ$2:$AQ$4001,0))</f>
        <v/>
      </c>
      <c r="V329" s="7">
        <f>IF($AA329="","",U329*T329)</f>
        <v/>
      </c>
      <c r="W329" s="7">
        <f>IF($AA329="","",V329+S329)</f>
        <v/>
      </c>
      <c r="X329" s="7">
        <f>IF($AA329="","",Y329-W329)</f>
        <v/>
      </c>
      <c r="Y329" s="7">
        <f>IF($AA329="","",R329+U329+P329)</f>
        <v/>
      </c>
      <c r="Z329" s="7">
        <f>IF($AA329="","",Y329-W329-L329)</f>
        <v/>
      </c>
      <c r="AA329" s="13">
        <f>IF(ROWS($AA$2:$AA329)&lt;=MAX('Per Line'!$AO$2:$AO$4001),MATCH(ROWS($AA$2:$AA329),'Per Line'!$AO$2:$AO$4001,0),"")</f>
        <v/>
      </c>
      <c r="AB329" s="14">
        <f>IF($AA329="","",L329-K329*Y329/100)</f>
        <v/>
      </c>
    </row>
    <row r="330">
      <c r="A330" s="12" t="n"/>
      <c r="B330">
        <f>IF($AA330="","",INDEX('Per Line'!$E$2:$E$4001,$AA330)&amp;"")</f>
        <v/>
      </c>
      <c r="C330">
        <f>IF($AA330="","",INDEX('Per Line'!$A$2:$A$4001,$AA330)&amp;"")</f>
        <v/>
      </c>
      <c r="D330">
        <f>IF($AA330="","",INDEX('Per Line'!$D$2:$D$4001,$AA330)&amp;"")</f>
        <v/>
      </c>
      <c r="E330" s="11">
        <f>IF($AA330="","",INDEX('Per Line'!$G$2:$G$4001,$AA330))</f>
        <v/>
      </c>
      <c r="F330">
        <f>IF($AA330="","",INDEX('Per Line'!$H$2:$H$4001,$AA330)&amp;"")</f>
        <v/>
      </c>
      <c r="G330">
        <f>IF($AA330="","",INDEX('Per Line'!$I$2:$I$4001,$AA330)&amp;"")</f>
        <v/>
      </c>
      <c r="H330">
        <f>IF($AA330="","",INDEX('Per Line'!$J$2:$J$4001,$AA330)&amp;"")</f>
        <v/>
      </c>
      <c r="I330">
        <f>IF($AA330="","",INDEX('Per Line'!$K$2:$K$4001,$AA330)&amp;"")</f>
        <v/>
      </c>
      <c r="J330">
        <f>IF($AA330="","",INDEX('Per Line'!$L$2:$L$4001,$AA330)&amp;"")</f>
        <v/>
      </c>
      <c r="K330">
        <f>IF($AA330="","",INDEX('Per Line'!$P$2:$P$4001,$AA330))</f>
        <v/>
      </c>
      <c r="L330" s="7">
        <f>IF($AA330="","",IF(AND(ISNUMBER(N330),N330&gt;0,Y330&gt;N330),K330*N330/100+(Y330-N330),K330*Y330/100))</f>
        <v/>
      </c>
      <c r="M330">
        <f>IF($AA330="","",INDEX('Per Line'!$Z$2:$Z$4001,$AA330)&amp;"")</f>
        <v/>
      </c>
      <c r="N330">
        <f>IF($AA330="","",INDEX('Per Line'!$AG$2:$AG$4001,$AA330))</f>
        <v/>
      </c>
      <c r="O330">
        <f>IF($AA330="","",IF(AND(ISNUMBER(N330),N330&gt;0),Y330&gt;N330,FALSE))</f>
        <v/>
      </c>
      <c r="P330" s="7">
        <f>IF($AA330="","",SUMIFS('Per Line'!$Y$2:$Y$4001,'Per Line'!$E$2:$E$4001,$B330,'Per Line'!$AQ$2:$AQ$4001,1))</f>
        <v/>
      </c>
      <c r="Q330">
        <f>IF($AA330="","",Settings!$C$7)</f>
        <v/>
      </c>
      <c r="R330" s="7">
        <f>IF($AA330="","",SUMIFS('Per Line'!$Y$2:$Y$4001,'Per Line'!$E$2:$E$4001,$B330,'Per Line'!$AP$2:$AP$4001,0,'Per Line'!$AQ$2:$AQ$4001,0))</f>
        <v/>
      </c>
      <c r="S330" s="7">
        <f>IF($AA330="","",R330*Q330)</f>
        <v/>
      </c>
      <c r="T330">
        <f>IF($AA330="","",Settings!$C$6)</f>
        <v/>
      </c>
      <c r="U330" s="7">
        <f>IF($AA330="","",SUMIFS('Per Line'!$Y$2:$Y$4001,'Per Line'!$E$2:$E$4001,$B330,'Per Line'!$AP$2:$AP$4001,1,'Per Line'!$AQ$2:$AQ$4001,0))</f>
        <v/>
      </c>
      <c r="V330" s="7">
        <f>IF($AA330="","",U330*T330)</f>
        <v/>
      </c>
      <c r="W330" s="7">
        <f>IF($AA330="","",V330+S330)</f>
        <v/>
      </c>
      <c r="X330" s="7">
        <f>IF($AA330="","",Y330-W330)</f>
        <v/>
      </c>
      <c r="Y330" s="7">
        <f>IF($AA330="","",R330+U330+P330)</f>
        <v/>
      </c>
      <c r="Z330" s="7">
        <f>IF($AA330="","",Y330-W330-L330)</f>
        <v/>
      </c>
      <c r="AA330" s="13">
        <f>IF(ROWS($AA$2:$AA330)&lt;=MAX('Per Line'!$AO$2:$AO$4001),MATCH(ROWS($AA$2:$AA330),'Per Line'!$AO$2:$AO$4001,0),"")</f>
        <v/>
      </c>
      <c r="AB330" s="14">
        <f>IF($AA330="","",L330-K330*Y330/100)</f>
        <v/>
      </c>
    </row>
    <row r="331">
      <c r="A331" s="12" t="n"/>
      <c r="B331">
        <f>IF($AA331="","",INDEX('Per Line'!$E$2:$E$4001,$AA331)&amp;"")</f>
        <v/>
      </c>
      <c r="C331">
        <f>IF($AA331="","",INDEX('Per Line'!$A$2:$A$4001,$AA331)&amp;"")</f>
        <v/>
      </c>
      <c r="D331">
        <f>IF($AA331="","",INDEX('Per Line'!$D$2:$D$4001,$AA331)&amp;"")</f>
        <v/>
      </c>
      <c r="E331" s="11">
        <f>IF($AA331="","",INDEX('Per Line'!$G$2:$G$4001,$AA331))</f>
        <v/>
      </c>
      <c r="F331">
        <f>IF($AA331="","",INDEX('Per Line'!$H$2:$H$4001,$AA331)&amp;"")</f>
        <v/>
      </c>
      <c r="G331">
        <f>IF($AA331="","",INDEX('Per Line'!$I$2:$I$4001,$AA331)&amp;"")</f>
        <v/>
      </c>
      <c r="H331">
        <f>IF($AA331="","",INDEX('Per Line'!$J$2:$J$4001,$AA331)&amp;"")</f>
        <v/>
      </c>
      <c r="I331">
        <f>IF($AA331="","",INDEX('Per Line'!$K$2:$K$4001,$AA331)&amp;"")</f>
        <v/>
      </c>
      <c r="J331">
        <f>IF($AA331="","",INDEX('Per Line'!$L$2:$L$4001,$AA331)&amp;"")</f>
        <v/>
      </c>
      <c r="K331">
        <f>IF($AA331="","",INDEX('Per Line'!$P$2:$P$4001,$AA331))</f>
        <v/>
      </c>
      <c r="L331" s="7">
        <f>IF($AA331="","",IF(AND(ISNUMBER(N331),N331&gt;0,Y331&gt;N331),K331*N331/100+(Y331-N331),K331*Y331/100))</f>
        <v/>
      </c>
      <c r="M331">
        <f>IF($AA331="","",INDEX('Per Line'!$Z$2:$Z$4001,$AA331)&amp;"")</f>
        <v/>
      </c>
      <c r="N331">
        <f>IF($AA331="","",INDEX('Per Line'!$AG$2:$AG$4001,$AA331))</f>
        <v/>
      </c>
      <c r="O331">
        <f>IF($AA331="","",IF(AND(ISNUMBER(N331),N331&gt;0),Y331&gt;N331,FALSE))</f>
        <v/>
      </c>
      <c r="P331" s="7">
        <f>IF($AA331="","",SUMIFS('Per Line'!$Y$2:$Y$4001,'Per Line'!$E$2:$E$4001,$B331,'Per Line'!$AQ$2:$AQ$4001,1))</f>
        <v/>
      </c>
      <c r="Q331">
        <f>IF($AA331="","",Settings!$C$7)</f>
        <v/>
      </c>
      <c r="R331" s="7">
        <f>IF($AA331="","",SUMIFS('Per Line'!$Y$2:$Y$4001,'Per Line'!$E$2:$E$4001,$B331,'Per Line'!$AP$2:$AP$4001,0,'Per Line'!$AQ$2:$AQ$4001,0))</f>
        <v/>
      </c>
      <c r="S331" s="7">
        <f>IF($AA331="","",R331*Q331)</f>
        <v/>
      </c>
      <c r="T331">
        <f>IF($AA331="","",Settings!$C$6)</f>
        <v/>
      </c>
      <c r="U331" s="7">
        <f>IF($AA331="","",SUMIFS('Per Line'!$Y$2:$Y$4001,'Per Line'!$E$2:$E$4001,$B331,'Per Line'!$AP$2:$AP$4001,1,'Per Line'!$AQ$2:$AQ$4001,0))</f>
        <v/>
      </c>
      <c r="V331" s="7">
        <f>IF($AA331="","",U331*T331)</f>
        <v/>
      </c>
      <c r="W331" s="7">
        <f>IF($AA331="","",V331+S331)</f>
        <v/>
      </c>
      <c r="X331" s="7">
        <f>IF($AA331="","",Y331-W331)</f>
        <v/>
      </c>
      <c r="Y331" s="7">
        <f>IF($AA331="","",R331+U331+P331)</f>
        <v/>
      </c>
      <c r="Z331" s="7">
        <f>IF($AA331="","",Y331-W331-L331)</f>
        <v/>
      </c>
      <c r="AA331" s="13">
        <f>IF(ROWS($AA$2:$AA331)&lt;=MAX('Per Line'!$AO$2:$AO$4001),MATCH(ROWS($AA$2:$AA331),'Per Line'!$AO$2:$AO$4001,0),"")</f>
        <v/>
      </c>
      <c r="AB331" s="14">
        <f>IF($AA331="","",L331-K331*Y331/100)</f>
        <v/>
      </c>
    </row>
    <row r="332">
      <c r="A332" s="12" t="n"/>
      <c r="B332">
        <f>IF($AA332="","",INDEX('Per Line'!$E$2:$E$4001,$AA332)&amp;"")</f>
        <v/>
      </c>
      <c r="C332">
        <f>IF($AA332="","",INDEX('Per Line'!$A$2:$A$4001,$AA332)&amp;"")</f>
        <v/>
      </c>
      <c r="D332">
        <f>IF($AA332="","",INDEX('Per Line'!$D$2:$D$4001,$AA332)&amp;"")</f>
        <v/>
      </c>
      <c r="E332" s="11">
        <f>IF($AA332="","",INDEX('Per Line'!$G$2:$G$4001,$AA332))</f>
        <v/>
      </c>
      <c r="F332">
        <f>IF($AA332="","",INDEX('Per Line'!$H$2:$H$4001,$AA332)&amp;"")</f>
        <v/>
      </c>
      <c r="G332">
        <f>IF($AA332="","",INDEX('Per Line'!$I$2:$I$4001,$AA332)&amp;"")</f>
        <v/>
      </c>
      <c r="H332">
        <f>IF($AA332="","",INDEX('Per Line'!$J$2:$J$4001,$AA332)&amp;"")</f>
        <v/>
      </c>
      <c r="I332">
        <f>IF($AA332="","",INDEX('Per Line'!$K$2:$K$4001,$AA332)&amp;"")</f>
        <v/>
      </c>
      <c r="J332">
        <f>IF($AA332="","",INDEX('Per Line'!$L$2:$L$4001,$AA332)&amp;"")</f>
        <v/>
      </c>
      <c r="K332">
        <f>IF($AA332="","",INDEX('Per Line'!$P$2:$P$4001,$AA332))</f>
        <v/>
      </c>
      <c r="L332" s="7">
        <f>IF($AA332="","",IF(AND(ISNUMBER(N332),N332&gt;0,Y332&gt;N332),K332*N332/100+(Y332-N332),K332*Y332/100))</f>
        <v/>
      </c>
      <c r="M332">
        <f>IF($AA332="","",INDEX('Per Line'!$Z$2:$Z$4001,$AA332)&amp;"")</f>
        <v/>
      </c>
      <c r="N332">
        <f>IF($AA332="","",INDEX('Per Line'!$AG$2:$AG$4001,$AA332))</f>
        <v/>
      </c>
      <c r="O332">
        <f>IF($AA332="","",IF(AND(ISNUMBER(N332),N332&gt;0),Y332&gt;N332,FALSE))</f>
        <v/>
      </c>
      <c r="P332" s="7">
        <f>IF($AA332="","",SUMIFS('Per Line'!$Y$2:$Y$4001,'Per Line'!$E$2:$E$4001,$B332,'Per Line'!$AQ$2:$AQ$4001,1))</f>
        <v/>
      </c>
      <c r="Q332">
        <f>IF($AA332="","",Settings!$C$7)</f>
        <v/>
      </c>
      <c r="R332" s="7">
        <f>IF($AA332="","",SUMIFS('Per Line'!$Y$2:$Y$4001,'Per Line'!$E$2:$E$4001,$B332,'Per Line'!$AP$2:$AP$4001,0,'Per Line'!$AQ$2:$AQ$4001,0))</f>
        <v/>
      </c>
      <c r="S332" s="7">
        <f>IF($AA332="","",R332*Q332)</f>
        <v/>
      </c>
      <c r="T332">
        <f>IF($AA332="","",Settings!$C$6)</f>
        <v/>
      </c>
      <c r="U332" s="7">
        <f>IF($AA332="","",SUMIFS('Per Line'!$Y$2:$Y$4001,'Per Line'!$E$2:$E$4001,$B332,'Per Line'!$AP$2:$AP$4001,1,'Per Line'!$AQ$2:$AQ$4001,0))</f>
        <v/>
      </c>
      <c r="V332" s="7">
        <f>IF($AA332="","",U332*T332)</f>
        <v/>
      </c>
      <c r="W332" s="7">
        <f>IF($AA332="","",V332+S332)</f>
        <v/>
      </c>
      <c r="X332" s="7">
        <f>IF($AA332="","",Y332-W332)</f>
        <v/>
      </c>
      <c r="Y332" s="7">
        <f>IF($AA332="","",R332+U332+P332)</f>
        <v/>
      </c>
      <c r="Z332" s="7">
        <f>IF($AA332="","",Y332-W332-L332)</f>
        <v/>
      </c>
      <c r="AA332" s="13">
        <f>IF(ROWS($AA$2:$AA332)&lt;=MAX('Per Line'!$AO$2:$AO$4001),MATCH(ROWS($AA$2:$AA332),'Per Line'!$AO$2:$AO$4001,0),"")</f>
        <v/>
      </c>
      <c r="AB332" s="14">
        <f>IF($AA332="","",L332-K332*Y332/100)</f>
        <v/>
      </c>
    </row>
    <row r="333">
      <c r="A333" s="12" t="n"/>
      <c r="B333">
        <f>IF($AA333="","",INDEX('Per Line'!$E$2:$E$4001,$AA333)&amp;"")</f>
        <v/>
      </c>
      <c r="C333">
        <f>IF($AA333="","",INDEX('Per Line'!$A$2:$A$4001,$AA333)&amp;"")</f>
        <v/>
      </c>
      <c r="D333">
        <f>IF($AA333="","",INDEX('Per Line'!$D$2:$D$4001,$AA333)&amp;"")</f>
        <v/>
      </c>
      <c r="E333" s="11">
        <f>IF($AA333="","",INDEX('Per Line'!$G$2:$G$4001,$AA333))</f>
        <v/>
      </c>
      <c r="F333">
        <f>IF($AA333="","",INDEX('Per Line'!$H$2:$H$4001,$AA333)&amp;"")</f>
        <v/>
      </c>
      <c r="G333">
        <f>IF($AA333="","",INDEX('Per Line'!$I$2:$I$4001,$AA333)&amp;"")</f>
        <v/>
      </c>
      <c r="H333">
        <f>IF($AA333="","",INDEX('Per Line'!$J$2:$J$4001,$AA333)&amp;"")</f>
        <v/>
      </c>
      <c r="I333">
        <f>IF($AA333="","",INDEX('Per Line'!$K$2:$K$4001,$AA333)&amp;"")</f>
        <v/>
      </c>
      <c r="J333">
        <f>IF($AA333="","",INDEX('Per Line'!$L$2:$L$4001,$AA333)&amp;"")</f>
        <v/>
      </c>
      <c r="K333">
        <f>IF($AA333="","",INDEX('Per Line'!$P$2:$P$4001,$AA333))</f>
        <v/>
      </c>
      <c r="L333" s="7">
        <f>IF($AA333="","",IF(AND(ISNUMBER(N333),N333&gt;0,Y333&gt;N333),K333*N333/100+(Y333-N333),K333*Y333/100))</f>
        <v/>
      </c>
      <c r="M333">
        <f>IF($AA333="","",INDEX('Per Line'!$Z$2:$Z$4001,$AA333)&amp;"")</f>
        <v/>
      </c>
      <c r="N333">
        <f>IF($AA333="","",INDEX('Per Line'!$AG$2:$AG$4001,$AA333))</f>
        <v/>
      </c>
      <c r="O333">
        <f>IF($AA333="","",IF(AND(ISNUMBER(N333),N333&gt;0),Y333&gt;N333,FALSE))</f>
        <v/>
      </c>
      <c r="P333" s="7">
        <f>IF($AA333="","",SUMIFS('Per Line'!$Y$2:$Y$4001,'Per Line'!$E$2:$E$4001,$B333,'Per Line'!$AQ$2:$AQ$4001,1))</f>
        <v/>
      </c>
      <c r="Q333">
        <f>IF($AA333="","",Settings!$C$7)</f>
        <v/>
      </c>
      <c r="R333" s="7">
        <f>IF($AA333="","",SUMIFS('Per Line'!$Y$2:$Y$4001,'Per Line'!$E$2:$E$4001,$B333,'Per Line'!$AP$2:$AP$4001,0,'Per Line'!$AQ$2:$AQ$4001,0))</f>
        <v/>
      </c>
      <c r="S333" s="7">
        <f>IF($AA333="","",R333*Q333)</f>
        <v/>
      </c>
      <c r="T333">
        <f>IF($AA333="","",Settings!$C$6)</f>
        <v/>
      </c>
      <c r="U333" s="7">
        <f>IF($AA333="","",SUMIFS('Per Line'!$Y$2:$Y$4001,'Per Line'!$E$2:$E$4001,$B333,'Per Line'!$AP$2:$AP$4001,1,'Per Line'!$AQ$2:$AQ$4001,0))</f>
        <v/>
      </c>
      <c r="V333" s="7">
        <f>IF($AA333="","",U333*T333)</f>
        <v/>
      </c>
      <c r="W333" s="7">
        <f>IF($AA333="","",V333+S333)</f>
        <v/>
      </c>
      <c r="X333" s="7">
        <f>IF($AA333="","",Y333-W333)</f>
        <v/>
      </c>
      <c r="Y333" s="7">
        <f>IF($AA333="","",R333+U333+P333)</f>
        <v/>
      </c>
      <c r="Z333" s="7">
        <f>IF($AA333="","",Y333-W333-L333)</f>
        <v/>
      </c>
      <c r="AA333" s="13">
        <f>IF(ROWS($AA$2:$AA333)&lt;=MAX('Per Line'!$AO$2:$AO$4001),MATCH(ROWS($AA$2:$AA333),'Per Line'!$AO$2:$AO$4001,0),"")</f>
        <v/>
      </c>
      <c r="AB333" s="14">
        <f>IF($AA333="","",L333-K333*Y333/100)</f>
        <v/>
      </c>
    </row>
    <row r="334">
      <c r="A334" s="12" t="n"/>
      <c r="B334">
        <f>IF($AA334="","",INDEX('Per Line'!$E$2:$E$4001,$AA334)&amp;"")</f>
        <v/>
      </c>
      <c r="C334">
        <f>IF($AA334="","",INDEX('Per Line'!$A$2:$A$4001,$AA334)&amp;"")</f>
        <v/>
      </c>
      <c r="D334">
        <f>IF($AA334="","",INDEX('Per Line'!$D$2:$D$4001,$AA334)&amp;"")</f>
        <v/>
      </c>
      <c r="E334" s="11">
        <f>IF($AA334="","",INDEX('Per Line'!$G$2:$G$4001,$AA334))</f>
        <v/>
      </c>
      <c r="F334">
        <f>IF($AA334="","",INDEX('Per Line'!$H$2:$H$4001,$AA334)&amp;"")</f>
        <v/>
      </c>
      <c r="G334">
        <f>IF($AA334="","",INDEX('Per Line'!$I$2:$I$4001,$AA334)&amp;"")</f>
        <v/>
      </c>
      <c r="H334">
        <f>IF($AA334="","",INDEX('Per Line'!$J$2:$J$4001,$AA334)&amp;"")</f>
        <v/>
      </c>
      <c r="I334">
        <f>IF($AA334="","",INDEX('Per Line'!$K$2:$K$4001,$AA334)&amp;"")</f>
        <v/>
      </c>
      <c r="J334">
        <f>IF($AA334="","",INDEX('Per Line'!$L$2:$L$4001,$AA334)&amp;"")</f>
        <v/>
      </c>
      <c r="K334">
        <f>IF($AA334="","",INDEX('Per Line'!$P$2:$P$4001,$AA334))</f>
        <v/>
      </c>
      <c r="L334" s="7">
        <f>IF($AA334="","",IF(AND(ISNUMBER(N334),N334&gt;0,Y334&gt;N334),K334*N334/100+(Y334-N334),K334*Y334/100))</f>
        <v/>
      </c>
      <c r="M334">
        <f>IF($AA334="","",INDEX('Per Line'!$Z$2:$Z$4001,$AA334)&amp;"")</f>
        <v/>
      </c>
      <c r="N334">
        <f>IF($AA334="","",INDEX('Per Line'!$AG$2:$AG$4001,$AA334))</f>
        <v/>
      </c>
      <c r="O334">
        <f>IF($AA334="","",IF(AND(ISNUMBER(N334),N334&gt;0),Y334&gt;N334,FALSE))</f>
        <v/>
      </c>
      <c r="P334" s="7">
        <f>IF($AA334="","",SUMIFS('Per Line'!$Y$2:$Y$4001,'Per Line'!$E$2:$E$4001,$B334,'Per Line'!$AQ$2:$AQ$4001,1))</f>
        <v/>
      </c>
      <c r="Q334">
        <f>IF($AA334="","",Settings!$C$7)</f>
        <v/>
      </c>
      <c r="R334" s="7">
        <f>IF($AA334="","",SUMIFS('Per Line'!$Y$2:$Y$4001,'Per Line'!$E$2:$E$4001,$B334,'Per Line'!$AP$2:$AP$4001,0,'Per Line'!$AQ$2:$AQ$4001,0))</f>
        <v/>
      </c>
      <c r="S334" s="7">
        <f>IF($AA334="","",R334*Q334)</f>
        <v/>
      </c>
      <c r="T334">
        <f>IF($AA334="","",Settings!$C$6)</f>
        <v/>
      </c>
      <c r="U334" s="7">
        <f>IF($AA334="","",SUMIFS('Per Line'!$Y$2:$Y$4001,'Per Line'!$E$2:$E$4001,$B334,'Per Line'!$AP$2:$AP$4001,1,'Per Line'!$AQ$2:$AQ$4001,0))</f>
        <v/>
      </c>
      <c r="V334" s="7">
        <f>IF($AA334="","",U334*T334)</f>
        <v/>
      </c>
      <c r="W334" s="7">
        <f>IF($AA334="","",V334+S334)</f>
        <v/>
      </c>
      <c r="X334" s="7">
        <f>IF($AA334="","",Y334-W334)</f>
        <v/>
      </c>
      <c r="Y334" s="7">
        <f>IF($AA334="","",R334+U334+P334)</f>
        <v/>
      </c>
      <c r="Z334" s="7">
        <f>IF($AA334="","",Y334-W334-L334)</f>
        <v/>
      </c>
      <c r="AA334" s="13">
        <f>IF(ROWS($AA$2:$AA334)&lt;=MAX('Per Line'!$AO$2:$AO$4001),MATCH(ROWS($AA$2:$AA334),'Per Line'!$AO$2:$AO$4001,0),"")</f>
        <v/>
      </c>
      <c r="AB334" s="14">
        <f>IF($AA334="","",L334-K334*Y334/100)</f>
        <v/>
      </c>
    </row>
    <row r="335">
      <c r="A335" s="12" t="n"/>
      <c r="B335">
        <f>IF($AA335="","",INDEX('Per Line'!$E$2:$E$4001,$AA335)&amp;"")</f>
        <v/>
      </c>
      <c r="C335">
        <f>IF($AA335="","",INDEX('Per Line'!$A$2:$A$4001,$AA335)&amp;"")</f>
        <v/>
      </c>
      <c r="D335">
        <f>IF($AA335="","",INDEX('Per Line'!$D$2:$D$4001,$AA335)&amp;"")</f>
        <v/>
      </c>
      <c r="E335" s="11">
        <f>IF($AA335="","",INDEX('Per Line'!$G$2:$G$4001,$AA335))</f>
        <v/>
      </c>
      <c r="F335">
        <f>IF($AA335="","",INDEX('Per Line'!$H$2:$H$4001,$AA335)&amp;"")</f>
        <v/>
      </c>
      <c r="G335">
        <f>IF($AA335="","",INDEX('Per Line'!$I$2:$I$4001,$AA335)&amp;"")</f>
        <v/>
      </c>
      <c r="H335">
        <f>IF($AA335="","",INDEX('Per Line'!$J$2:$J$4001,$AA335)&amp;"")</f>
        <v/>
      </c>
      <c r="I335">
        <f>IF($AA335="","",INDEX('Per Line'!$K$2:$K$4001,$AA335)&amp;"")</f>
        <v/>
      </c>
      <c r="J335">
        <f>IF($AA335="","",INDEX('Per Line'!$L$2:$L$4001,$AA335)&amp;"")</f>
        <v/>
      </c>
      <c r="K335">
        <f>IF($AA335="","",INDEX('Per Line'!$P$2:$P$4001,$AA335))</f>
        <v/>
      </c>
      <c r="L335" s="7">
        <f>IF($AA335="","",IF(AND(ISNUMBER(N335),N335&gt;0,Y335&gt;N335),K335*N335/100+(Y335-N335),K335*Y335/100))</f>
        <v/>
      </c>
      <c r="M335">
        <f>IF($AA335="","",INDEX('Per Line'!$Z$2:$Z$4001,$AA335)&amp;"")</f>
        <v/>
      </c>
      <c r="N335">
        <f>IF($AA335="","",INDEX('Per Line'!$AG$2:$AG$4001,$AA335))</f>
        <v/>
      </c>
      <c r="O335">
        <f>IF($AA335="","",IF(AND(ISNUMBER(N335),N335&gt;0),Y335&gt;N335,FALSE))</f>
        <v/>
      </c>
      <c r="P335" s="7">
        <f>IF($AA335="","",SUMIFS('Per Line'!$Y$2:$Y$4001,'Per Line'!$E$2:$E$4001,$B335,'Per Line'!$AQ$2:$AQ$4001,1))</f>
        <v/>
      </c>
      <c r="Q335">
        <f>IF($AA335="","",Settings!$C$7)</f>
        <v/>
      </c>
      <c r="R335" s="7">
        <f>IF($AA335="","",SUMIFS('Per Line'!$Y$2:$Y$4001,'Per Line'!$E$2:$E$4001,$B335,'Per Line'!$AP$2:$AP$4001,0,'Per Line'!$AQ$2:$AQ$4001,0))</f>
        <v/>
      </c>
      <c r="S335" s="7">
        <f>IF($AA335="","",R335*Q335)</f>
        <v/>
      </c>
      <c r="T335">
        <f>IF($AA335="","",Settings!$C$6)</f>
        <v/>
      </c>
      <c r="U335" s="7">
        <f>IF($AA335="","",SUMIFS('Per Line'!$Y$2:$Y$4001,'Per Line'!$E$2:$E$4001,$B335,'Per Line'!$AP$2:$AP$4001,1,'Per Line'!$AQ$2:$AQ$4001,0))</f>
        <v/>
      </c>
      <c r="V335" s="7">
        <f>IF($AA335="","",U335*T335)</f>
        <v/>
      </c>
      <c r="W335" s="7">
        <f>IF($AA335="","",V335+S335)</f>
        <v/>
      </c>
      <c r="X335" s="7">
        <f>IF($AA335="","",Y335-W335)</f>
        <v/>
      </c>
      <c r="Y335" s="7">
        <f>IF($AA335="","",R335+U335+P335)</f>
        <v/>
      </c>
      <c r="Z335" s="7">
        <f>IF($AA335="","",Y335-W335-L335)</f>
        <v/>
      </c>
      <c r="AA335" s="13">
        <f>IF(ROWS($AA$2:$AA335)&lt;=MAX('Per Line'!$AO$2:$AO$4001),MATCH(ROWS($AA$2:$AA335),'Per Line'!$AO$2:$AO$4001,0),"")</f>
        <v/>
      </c>
      <c r="AB335" s="14">
        <f>IF($AA335="","",L335-K335*Y335/100)</f>
        <v/>
      </c>
    </row>
    <row r="336">
      <c r="A336" s="12" t="n"/>
      <c r="B336">
        <f>IF($AA336="","",INDEX('Per Line'!$E$2:$E$4001,$AA336)&amp;"")</f>
        <v/>
      </c>
      <c r="C336">
        <f>IF($AA336="","",INDEX('Per Line'!$A$2:$A$4001,$AA336)&amp;"")</f>
        <v/>
      </c>
      <c r="D336">
        <f>IF($AA336="","",INDEX('Per Line'!$D$2:$D$4001,$AA336)&amp;"")</f>
        <v/>
      </c>
      <c r="E336" s="11">
        <f>IF($AA336="","",INDEX('Per Line'!$G$2:$G$4001,$AA336))</f>
        <v/>
      </c>
      <c r="F336">
        <f>IF($AA336="","",INDEX('Per Line'!$H$2:$H$4001,$AA336)&amp;"")</f>
        <v/>
      </c>
      <c r="G336">
        <f>IF($AA336="","",INDEX('Per Line'!$I$2:$I$4001,$AA336)&amp;"")</f>
        <v/>
      </c>
      <c r="H336">
        <f>IF($AA336="","",INDEX('Per Line'!$J$2:$J$4001,$AA336)&amp;"")</f>
        <v/>
      </c>
      <c r="I336">
        <f>IF($AA336="","",INDEX('Per Line'!$K$2:$K$4001,$AA336)&amp;"")</f>
        <v/>
      </c>
      <c r="J336">
        <f>IF($AA336="","",INDEX('Per Line'!$L$2:$L$4001,$AA336)&amp;"")</f>
        <v/>
      </c>
      <c r="K336">
        <f>IF($AA336="","",INDEX('Per Line'!$P$2:$P$4001,$AA336))</f>
        <v/>
      </c>
      <c r="L336" s="7">
        <f>IF($AA336="","",IF(AND(ISNUMBER(N336),N336&gt;0,Y336&gt;N336),K336*N336/100+(Y336-N336),K336*Y336/100))</f>
        <v/>
      </c>
      <c r="M336">
        <f>IF($AA336="","",INDEX('Per Line'!$Z$2:$Z$4001,$AA336)&amp;"")</f>
        <v/>
      </c>
      <c r="N336">
        <f>IF($AA336="","",INDEX('Per Line'!$AG$2:$AG$4001,$AA336))</f>
        <v/>
      </c>
      <c r="O336">
        <f>IF($AA336="","",IF(AND(ISNUMBER(N336),N336&gt;0),Y336&gt;N336,FALSE))</f>
        <v/>
      </c>
      <c r="P336" s="7">
        <f>IF($AA336="","",SUMIFS('Per Line'!$Y$2:$Y$4001,'Per Line'!$E$2:$E$4001,$B336,'Per Line'!$AQ$2:$AQ$4001,1))</f>
        <v/>
      </c>
      <c r="Q336">
        <f>IF($AA336="","",Settings!$C$7)</f>
        <v/>
      </c>
      <c r="R336" s="7">
        <f>IF($AA336="","",SUMIFS('Per Line'!$Y$2:$Y$4001,'Per Line'!$E$2:$E$4001,$B336,'Per Line'!$AP$2:$AP$4001,0,'Per Line'!$AQ$2:$AQ$4001,0))</f>
        <v/>
      </c>
      <c r="S336" s="7">
        <f>IF($AA336="","",R336*Q336)</f>
        <v/>
      </c>
      <c r="T336">
        <f>IF($AA336="","",Settings!$C$6)</f>
        <v/>
      </c>
      <c r="U336" s="7">
        <f>IF($AA336="","",SUMIFS('Per Line'!$Y$2:$Y$4001,'Per Line'!$E$2:$E$4001,$B336,'Per Line'!$AP$2:$AP$4001,1,'Per Line'!$AQ$2:$AQ$4001,0))</f>
        <v/>
      </c>
      <c r="V336" s="7">
        <f>IF($AA336="","",U336*T336)</f>
        <v/>
      </c>
      <c r="W336" s="7">
        <f>IF($AA336="","",V336+S336)</f>
        <v/>
      </c>
      <c r="X336" s="7">
        <f>IF($AA336="","",Y336-W336)</f>
        <v/>
      </c>
      <c r="Y336" s="7">
        <f>IF($AA336="","",R336+U336+P336)</f>
        <v/>
      </c>
      <c r="Z336" s="7">
        <f>IF($AA336="","",Y336-W336-L336)</f>
        <v/>
      </c>
      <c r="AA336" s="13">
        <f>IF(ROWS($AA$2:$AA336)&lt;=MAX('Per Line'!$AO$2:$AO$4001),MATCH(ROWS($AA$2:$AA336),'Per Line'!$AO$2:$AO$4001,0),"")</f>
        <v/>
      </c>
      <c r="AB336" s="14">
        <f>IF($AA336="","",L336-K336*Y336/100)</f>
        <v/>
      </c>
    </row>
    <row r="337">
      <c r="A337" s="12" t="n"/>
      <c r="B337">
        <f>IF($AA337="","",INDEX('Per Line'!$E$2:$E$4001,$AA337)&amp;"")</f>
        <v/>
      </c>
      <c r="C337">
        <f>IF($AA337="","",INDEX('Per Line'!$A$2:$A$4001,$AA337)&amp;"")</f>
        <v/>
      </c>
      <c r="D337">
        <f>IF($AA337="","",INDEX('Per Line'!$D$2:$D$4001,$AA337)&amp;"")</f>
        <v/>
      </c>
      <c r="E337" s="11">
        <f>IF($AA337="","",INDEX('Per Line'!$G$2:$G$4001,$AA337))</f>
        <v/>
      </c>
      <c r="F337">
        <f>IF($AA337="","",INDEX('Per Line'!$H$2:$H$4001,$AA337)&amp;"")</f>
        <v/>
      </c>
      <c r="G337">
        <f>IF($AA337="","",INDEX('Per Line'!$I$2:$I$4001,$AA337)&amp;"")</f>
        <v/>
      </c>
      <c r="H337">
        <f>IF($AA337="","",INDEX('Per Line'!$J$2:$J$4001,$AA337)&amp;"")</f>
        <v/>
      </c>
      <c r="I337">
        <f>IF($AA337="","",INDEX('Per Line'!$K$2:$K$4001,$AA337)&amp;"")</f>
        <v/>
      </c>
      <c r="J337">
        <f>IF($AA337="","",INDEX('Per Line'!$L$2:$L$4001,$AA337)&amp;"")</f>
        <v/>
      </c>
      <c r="K337">
        <f>IF($AA337="","",INDEX('Per Line'!$P$2:$P$4001,$AA337))</f>
        <v/>
      </c>
      <c r="L337" s="7">
        <f>IF($AA337="","",IF(AND(ISNUMBER(N337),N337&gt;0,Y337&gt;N337),K337*N337/100+(Y337-N337),K337*Y337/100))</f>
        <v/>
      </c>
      <c r="M337">
        <f>IF($AA337="","",INDEX('Per Line'!$Z$2:$Z$4001,$AA337)&amp;"")</f>
        <v/>
      </c>
      <c r="N337">
        <f>IF($AA337="","",INDEX('Per Line'!$AG$2:$AG$4001,$AA337))</f>
        <v/>
      </c>
      <c r="O337">
        <f>IF($AA337="","",IF(AND(ISNUMBER(N337),N337&gt;0),Y337&gt;N337,FALSE))</f>
        <v/>
      </c>
      <c r="P337" s="7">
        <f>IF($AA337="","",SUMIFS('Per Line'!$Y$2:$Y$4001,'Per Line'!$E$2:$E$4001,$B337,'Per Line'!$AQ$2:$AQ$4001,1))</f>
        <v/>
      </c>
      <c r="Q337">
        <f>IF($AA337="","",Settings!$C$7)</f>
        <v/>
      </c>
      <c r="R337" s="7">
        <f>IF($AA337="","",SUMIFS('Per Line'!$Y$2:$Y$4001,'Per Line'!$E$2:$E$4001,$B337,'Per Line'!$AP$2:$AP$4001,0,'Per Line'!$AQ$2:$AQ$4001,0))</f>
        <v/>
      </c>
      <c r="S337" s="7">
        <f>IF($AA337="","",R337*Q337)</f>
        <v/>
      </c>
      <c r="T337">
        <f>IF($AA337="","",Settings!$C$6)</f>
        <v/>
      </c>
      <c r="U337" s="7">
        <f>IF($AA337="","",SUMIFS('Per Line'!$Y$2:$Y$4001,'Per Line'!$E$2:$E$4001,$B337,'Per Line'!$AP$2:$AP$4001,1,'Per Line'!$AQ$2:$AQ$4001,0))</f>
        <v/>
      </c>
      <c r="V337" s="7">
        <f>IF($AA337="","",U337*T337)</f>
        <v/>
      </c>
      <c r="W337" s="7">
        <f>IF($AA337="","",V337+S337)</f>
        <v/>
      </c>
      <c r="X337" s="7">
        <f>IF($AA337="","",Y337-W337)</f>
        <v/>
      </c>
      <c r="Y337" s="7">
        <f>IF($AA337="","",R337+U337+P337)</f>
        <v/>
      </c>
      <c r="Z337" s="7">
        <f>IF($AA337="","",Y337-W337-L337)</f>
        <v/>
      </c>
      <c r="AA337" s="13">
        <f>IF(ROWS($AA$2:$AA337)&lt;=MAX('Per Line'!$AO$2:$AO$4001),MATCH(ROWS($AA$2:$AA337),'Per Line'!$AO$2:$AO$4001,0),"")</f>
        <v/>
      </c>
      <c r="AB337" s="14">
        <f>IF($AA337="","",L337-K337*Y337/100)</f>
        <v/>
      </c>
    </row>
    <row r="338">
      <c r="A338" s="12" t="n"/>
      <c r="B338">
        <f>IF($AA338="","",INDEX('Per Line'!$E$2:$E$4001,$AA338)&amp;"")</f>
        <v/>
      </c>
      <c r="C338">
        <f>IF($AA338="","",INDEX('Per Line'!$A$2:$A$4001,$AA338)&amp;"")</f>
        <v/>
      </c>
      <c r="D338">
        <f>IF($AA338="","",INDEX('Per Line'!$D$2:$D$4001,$AA338)&amp;"")</f>
        <v/>
      </c>
      <c r="E338" s="11">
        <f>IF($AA338="","",INDEX('Per Line'!$G$2:$G$4001,$AA338))</f>
        <v/>
      </c>
      <c r="F338">
        <f>IF($AA338="","",INDEX('Per Line'!$H$2:$H$4001,$AA338)&amp;"")</f>
        <v/>
      </c>
      <c r="G338">
        <f>IF($AA338="","",INDEX('Per Line'!$I$2:$I$4001,$AA338)&amp;"")</f>
        <v/>
      </c>
      <c r="H338">
        <f>IF($AA338="","",INDEX('Per Line'!$J$2:$J$4001,$AA338)&amp;"")</f>
        <v/>
      </c>
      <c r="I338">
        <f>IF($AA338="","",INDEX('Per Line'!$K$2:$K$4001,$AA338)&amp;"")</f>
        <v/>
      </c>
      <c r="J338">
        <f>IF($AA338="","",INDEX('Per Line'!$L$2:$L$4001,$AA338)&amp;"")</f>
        <v/>
      </c>
      <c r="K338">
        <f>IF($AA338="","",INDEX('Per Line'!$P$2:$P$4001,$AA338))</f>
        <v/>
      </c>
      <c r="L338" s="7">
        <f>IF($AA338="","",IF(AND(ISNUMBER(N338),N338&gt;0,Y338&gt;N338),K338*N338/100+(Y338-N338),K338*Y338/100))</f>
        <v/>
      </c>
      <c r="M338">
        <f>IF($AA338="","",INDEX('Per Line'!$Z$2:$Z$4001,$AA338)&amp;"")</f>
        <v/>
      </c>
      <c r="N338">
        <f>IF($AA338="","",INDEX('Per Line'!$AG$2:$AG$4001,$AA338))</f>
        <v/>
      </c>
      <c r="O338">
        <f>IF($AA338="","",IF(AND(ISNUMBER(N338),N338&gt;0),Y338&gt;N338,FALSE))</f>
        <v/>
      </c>
      <c r="P338" s="7">
        <f>IF($AA338="","",SUMIFS('Per Line'!$Y$2:$Y$4001,'Per Line'!$E$2:$E$4001,$B338,'Per Line'!$AQ$2:$AQ$4001,1))</f>
        <v/>
      </c>
      <c r="Q338">
        <f>IF($AA338="","",Settings!$C$7)</f>
        <v/>
      </c>
      <c r="R338" s="7">
        <f>IF($AA338="","",SUMIFS('Per Line'!$Y$2:$Y$4001,'Per Line'!$E$2:$E$4001,$B338,'Per Line'!$AP$2:$AP$4001,0,'Per Line'!$AQ$2:$AQ$4001,0))</f>
        <v/>
      </c>
      <c r="S338" s="7">
        <f>IF($AA338="","",R338*Q338)</f>
        <v/>
      </c>
      <c r="T338">
        <f>IF($AA338="","",Settings!$C$6)</f>
        <v/>
      </c>
      <c r="U338" s="7">
        <f>IF($AA338="","",SUMIFS('Per Line'!$Y$2:$Y$4001,'Per Line'!$E$2:$E$4001,$B338,'Per Line'!$AP$2:$AP$4001,1,'Per Line'!$AQ$2:$AQ$4001,0))</f>
        <v/>
      </c>
      <c r="V338" s="7">
        <f>IF($AA338="","",U338*T338)</f>
        <v/>
      </c>
      <c r="W338" s="7">
        <f>IF($AA338="","",V338+S338)</f>
        <v/>
      </c>
      <c r="X338" s="7">
        <f>IF($AA338="","",Y338-W338)</f>
        <v/>
      </c>
      <c r="Y338" s="7">
        <f>IF($AA338="","",R338+U338+P338)</f>
        <v/>
      </c>
      <c r="Z338" s="7">
        <f>IF($AA338="","",Y338-W338-L338)</f>
        <v/>
      </c>
      <c r="AA338" s="13">
        <f>IF(ROWS($AA$2:$AA338)&lt;=MAX('Per Line'!$AO$2:$AO$4001),MATCH(ROWS($AA$2:$AA338),'Per Line'!$AO$2:$AO$4001,0),"")</f>
        <v/>
      </c>
      <c r="AB338" s="14">
        <f>IF($AA338="","",L338-K338*Y338/100)</f>
        <v/>
      </c>
    </row>
    <row r="339">
      <c r="A339" s="12" t="n"/>
      <c r="B339">
        <f>IF($AA339="","",INDEX('Per Line'!$E$2:$E$4001,$AA339)&amp;"")</f>
        <v/>
      </c>
      <c r="C339">
        <f>IF($AA339="","",INDEX('Per Line'!$A$2:$A$4001,$AA339)&amp;"")</f>
        <v/>
      </c>
      <c r="D339">
        <f>IF($AA339="","",INDEX('Per Line'!$D$2:$D$4001,$AA339)&amp;"")</f>
        <v/>
      </c>
      <c r="E339" s="11">
        <f>IF($AA339="","",INDEX('Per Line'!$G$2:$G$4001,$AA339))</f>
        <v/>
      </c>
      <c r="F339">
        <f>IF($AA339="","",INDEX('Per Line'!$H$2:$H$4001,$AA339)&amp;"")</f>
        <v/>
      </c>
      <c r="G339">
        <f>IF($AA339="","",INDEX('Per Line'!$I$2:$I$4001,$AA339)&amp;"")</f>
        <v/>
      </c>
      <c r="H339">
        <f>IF($AA339="","",INDEX('Per Line'!$J$2:$J$4001,$AA339)&amp;"")</f>
        <v/>
      </c>
      <c r="I339">
        <f>IF($AA339="","",INDEX('Per Line'!$K$2:$K$4001,$AA339)&amp;"")</f>
        <v/>
      </c>
      <c r="J339">
        <f>IF($AA339="","",INDEX('Per Line'!$L$2:$L$4001,$AA339)&amp;"")</f>
        <v/>
      </c>
      <c r="K339">
        <f>IF($AA339="","",INDEX('Per Line'!$P$2:$P$4001,$AA339))</f>
        <v/>
      </c>
      <c r="L339" s="7">
        <f>IF($AA339="","",IF(AND(ISNUMBER(N339),N339&gt;0,Y339&gt;N339),K339*N339/100+(Y339-N339),K339*Y339/100))</f>
        <v/>
      </c>
      <c r="M339">
        <f>IF($AA339="","",INDEX('Per Line'!$Z$2:$Z$4001,$AA339)&amp;"")</f>
        <v/>
      </c>
      <c r="N339">
        <f>IF($AA339="","",INDEX('Per Line'!$AG$2:$AG$4001,$AA339))</f>
        <v/>
      </c>
      <c r="O339">
        <f>IF($AA339="","",IF(AND(ISNUMBER(N339),N339&gt;0),Y339&gt;N339,FALSE))</f>
        <v/>
      </c>
      <c r="P339" s="7">
        <f>IF($AA339="","",SUMIFS('Per Line'!$Y$2:$Y$4001,'Per Line'!$E$2:$E$4001,$B339,'Per Line'!$AQ$2:$AQ$4001,1))</f>
        <v/>
      </c>
      <c r="Q339">
        <f>IF($AA339="","",Settings!$C$7)</f>
        <v/>
      </c>
      <c r="R339" s="7">
        <f>IF($AA339="","",SUMIFS('Per Line'!$Y$2:$Y$4001,'Per Line'!$E$2:$E$4001,$B339,'Per Line'!$AP$2:$AP$4001,0,'Per Line'!$AQ$2:$AQ$4001,0))</f>
        <v/>
      </c>
      <c r="S339" s="7">
        <f>IF($AA339="","",R339*Q339)</f>
        <v/>
      </c>
      <c r="T339">
        <f>IF($AA339="","",Settings!$C$6)</f>
        <v/>
      </c>
      <c r="U339" s="7">
        <f>IF($AA339="","",SUMIFS('Per Line'!$Y$2:$Y$4001,'Per Line'!$E$2:$E$4001,$B339,'Per Line'!$AP$2:$AP$4001,1,'Per Line'!$AQ$2:$AQ$4001,0))</f>
        <v/>
      </c>
      <c r="V339" s="7">
        <f>IF($AA339="","",U339*T339)</f>
        <v/>
      </c>
      <c r="W339" s="7">
        <f>IF($AA339="","",V339+S339)</f>
        <v/>
      </c>
      <c r="X339" s="7">
        <f>IF($AA339="","",Y339-W339)</f>
        <v/>
      </c>
      <c r="Y339" s="7">
        <f>IF($AA339="","",R339+U339+P339)</f>
        <v/>
      </c>
      <c r="Z339" s="7">
        <f>IF($AA339="","",Y339-W339-L339)</f>
        <v/>
      </c>
      <c r="AA339" s="13">
        <f>IF(ROWS($AA$2:$AA339)&lt;=MAX('Per Line'!$AO$2:$AO$4001),MATCH(ROWS($AA$2:$AA339),'Per Line'!$AO$2:$AO$4001,0),"")</f>
        <v/>
      </c>
      <c r="AB339" s="14">
        <f>IF($AA339="","",L339-K339*Y339/100)</f>
        <v/>
      </c>
    </row>
    <row r="340">
      <c r="A340" s="12" t="n"/>
      <c r="B340">
        <f>IF($AA340="","",INDEX('Per Line'!$E$2:$E$4001,$AA340)&amp;"")</f>
        <v/>
      </c>
      <c r="C340">
        <f>IF($AA340="","",INDEX('Per Line'!$A$2:$A$4001,$AA340)&amp;"")</f>
        <v/>
      </c>
      <c r="D340">
        <f>IF($AA340="","",INDEX('Per Line'!$D$2:$D$4001,$AA340)&amp;"")</f>
        <v/>
      </c>
      <c r="E340" s="11">
        <f>IF($AA340="","",INDEX('Per Line'!$G$2:$G$4001,$AA340))</f>
        <v/>
      </c>
      <c r="F340">
        <f>IF($AA340="","",INDEX('Per Line'!$H$2:$H$4001,$AA340)&amp;"")</f>
        <v/>
      </c>
      <c r="G340">
        <f>IF($AA340="","",INDEX('Per Line'!$I$2:$I$4001,$AA340)&amp;"")</f>
        <v/>
      </c>
      <c r="H340">
        <f>IF($AA340="","",INDEX('Per Line'!$J$2:$J$4001,$AA340)&amp;"")</f>
        <v/>
      </c>
      <c r="I340">
        <f>IF($AA340="","",INDEX('Per Line'!$K$2:$K$4001,$AA340)&amp;"")</f>
        <v/>
      </c>
      <c r="J340">
        <f>IF($AA340="","",INDEX('Per Line'!$L$2:$L$4001,$AA340)&amp;"")</f>
        <v/>
      </c>
      <c r="K340">
        <f>IF($AA340="","",INDEX('Per Line'!$P$2:$P$4001,$AA340))</f>
        <v/>
      </c>
      <c r="L340" s="7">
        <f>IF($AA340="","",IF(AND(ISNUMBER(N340),N340&gt;0,Y340&gt;N340),K340*N340/100+(Y340-N340),K340*Y340/100))</f>
        <v/>
      </c>
      <c r="M340">
        <f>IF($AA340="","",INDEX('Per Line'!$Z$2:$Z$4001,$AA340)&amp;"")</f>
        <v/>
      </c>
      <c r="N340">
        <f>IF($AA340="","",INDEX('Per Line'!$AG$2:$AG$4001,$AA340))</f>
        <v/>
      </c>
      <c r="O340">
        <f>IF($AA340="","",IF(AND(ISNUMBER(N340),N340&gt;0),Y340&gt;N340,FALSE))</f>
        <v/>
      </c>
      <c r="P340" s="7">
        <f>IF($AA340="","",SUMIFS('Per Line'!$Y$2:$Y$4001,'Per Line'!$E$2:$E$4001,$B340,'Per Line'!$AQ$2:$AQ$4001,1))</f>
        <v/>
      </c>
      <c r="Q340">
        <f>IF($AA340="","",Settings!$C$7)</f>
        <v/>
      </c>
      <c r="R340" s="7">
        <f>IF($AA340="","",SUMIFS('Per Line'!$Y$2:$Y$4001,'Per Line'!$E$2:$E$4001,$B340,'Per Line'!$AP$2:$AP$4001,0,'Per Line'!$AQ$2:$AQ$4001,0))</f>
        <v/>
      </c>
      <c r="S340" s="7">
        <f>IF($AA340="","",R340*Q340)</f>
        <v/>
      </c>
      <c r="T340">
        <f>IF($AA340="","",Settings!$C$6)</f>
        <v/>
      </c>
      <c r="U340" s="7">
        <f>IF($AA340="","",SUMIFS('Per Line'!$Y$2:$Y$4001,'Per Line'!$E$2:$E$4001,$B340,'Per Line'!$AP$2:$AP$4001,1,'Per Line'!$AQ$2:$AQ$4001,0))</f>
        <v/>
      </c>
      <c r="V340" s="7">
        <f>IF($AA340="","",U340*T340)</f>
        <v/>
      </c>
      <c r="W340" s="7">
        <f>IF($AA340="","",V340+S340)</f>
        <v/>
      </c>
      <c r="X340" s="7">
        <f>IF($AA340="","",Y340-W340)</f>
        <v/>
      </c>
      <c r="Y340" s="7">
        <f>IF($AA340="","",R340+U340+P340)</f>
        <v/>
      </c>
      <c r="Z340" s="7">
        <f>IF($AA340="","",Y340-W340-L340)</f>
        <v/>
      </c>
      <c r="AA340" s="13">
        <f>IF(ROWS($AA$2:$AA340)&lt;=MAX('Per Line'!$AO$2:$AO$4001),MATCH(ROWS($AA$2:$AA340),'Per Line'!$AO$2:$AO$4001,0),"")</f>
        <v/>
      </c>
      <c r="AB340" s="14">
        <f>IF($AA340="","",L340-K340*Y340/100)</f>
        <v/>
      </c>
    </row>
    <row r="341">
      <c r="A341" s="12" t="n"/>
      <c r="B341">
        <f>IF($AA341="","",INDEX('Per Line'!$E$2:$E$4001,$AA341)&amp;"")</f>
        <v/>
      </c>
      <c r="C341">
        <f>IF($AA341="","",INDEX('Per Line'!$A$2:$A$4001,$AA341)&amp;"")</f>
        <v/>
      </c>
      <c r="D341">
        <f>IF($AA341="","",INDEX('Per Line'!$D$2:$D$4001,$AA341)&amp;"")</f>
        <v/>
      </c>
      <c r="E341" s="11">
        <f>IF($AA341="","",INDEX('Per Line'!$G$2:$G$4001,$AA341))</f>
        <v/>
      </c>
      <c r="F341">
        <f>IF($AA341="","",INDEX('Per Line'!$H$2:$H$4001,$AA341)&amp;"")</f>
        <v/>
      </c>
      <c r="G341">
        <f>IF($AA341="","",INDEX('Per Line'!$I$2:$I$4001,$AA341)&amp;"")</f>
        <v/>
      </c>
      <c r="H341">
        <f>IF($AA341="","",INDEX('Per Line'!$J$2:$J$4001,$AA341)&amp;"")</f>
        <v/>
      </c>
      <c r="I341">
        <f>IF($AA341="","",INDEX('Per Line'!$K$2:$K$4001,$AA341)&amp;"")</f>
        <v/>
      </c>
      <c r="J341">
        <f>IF($AA341="","",INDEX('Per Line'!$L$2:$L$4001,$AA341)&amp;"")</f>
        <v/>
      </c>
      <c r="K341">
        <f>IF($AA341="","",INDEX('Per Line'!$P$2:$P$4001,$AA341))</f>
        <v/>
      </c>
      <c r="L341" s="7">
        <f>IF($AA341="","",IF(AND(ISNUMBER(N341),N341&gt;0,Y341&gt;N341),K341*N341/100+(Y341-N341),K341*Y341/100))</f>
        <v/>
      </c>
      <c r="M341">
        <f>IF($AA341="","",INDEX('Per Line'!$Z$2:$Z$4001,$AA341)&amp;"")</f>
        <v/>
      </c>
      <c r="N341">
        <f>IF($AA341="","",INDEX('Per Line'!$AG$2:$AG$4001,$AA341))</f>
        <v/>
      </c>
      <c r="O341">
        <f>IF($AA341="","",IF(AND(ISNUMBER(N341),N341&gt;0),Y341&gt;N341,FALSE))</f>
        <v/>
      </c>
      <c r="P341" s="7">
        <f>IF($AA341="","",SUMIFS('Per Line'!$Y$2:$Y$4001,'Per Line'!$E$2:$E$4001,$B341,'Per Line'!$AQ$2:$AQ$4001,1))</f>
        <v/>
      </c>
      <c r="Q341">
        <f>IF($AA341="","",Settings!$C$7)</f>
        <v/>
      </c>
      <c r="R341" s="7">
        <f>IF($AA341="","",SUMIFS('Per Line'!$Y$2:$Y$4001,'Per Line'!$E$2:$E$4001,$B341,'Per Line'!$AP$2:$AP$4001,0,'Per Line'!$AQ$2:$AQ$4001,0))</f>
        <v/>
      </c>
      <c r="S341" s="7">
        <f>IF($AA341="","",R341*Q341)</f>
        <v/>
      </c>
      <c r="T341">
        <f>IF($AA341="","",Settings!$C$6)</f>
        <v/>
      </c>
      <c r="U341" s="7">
        <f>IF($AA341="","",SUMIFS('Per Line'!$Y$2:$Y$4001,'Per Line'!$E$2:$E$4001,$B341,'Per Line'!$AP$2:$AP$4001,1,'Per Line'!$AQ$2:$AQ$4001,0))</f>
        <v/>
      </c>
      <c r="V341" s="7">
        <f>IF($AA341="","",U341*T341)</f>
        <v/>
      </c>
      <c r="W341" s="7">
        <f>IF($AA341="","",V341+S341)</f>
        <v/>
      </c>
      <c r="X341" s="7">
        <f>IF($AA341="","",Y341-W341)</f>
        <v/>
      </c>
      <c r="Y341" s="7">
        <f>IF($AA341="","",R341+U341+P341)</f>
        <v/>
      </c>
      <c r="Z341" s="7">
        <f>IF($AA341="","",Y341-W341-L341)</f>
        <v/>
      </c>
      <c r="AA341" s="13">
        <f>IF(ROWS($AA$2:$AA341)&lt;=MAX('Per Line'!$AO$2:$AO$4001),MATCH(ROWS($AA$2:$AA341),'Per Line'!$AO$2:$AO$4001,0),"")</f>
        <v/>
      </c>
      <c r="AB341" s="14">
        <f>IF($AA341="","",L341-K341*Y341/100)</f>
        <v/>
      </c>
    </row>
    <row r="342">
      <c r="A342" s="12" t="n"/>
      <c r="B342">
        <f>IF($AA342="","",INDEX('Per Line'!$E$2:$E$4001,$AA342)&amp;"")</f>
        <v/>
      </c>
      <c r="C342">
        <f>IF($AA342="","",INDEX('Per Line'!$A$2:$A$4001,$AA342)&amp;"")</f>
        <v/>
      </c>
      <c r="D342">
        <f>IF($AA342="","",INDEX('Per Line'!$D$2:$D$4001,$AA342)&amp;"")</f>
        <v/>
      </c>
      <c r="E342" s="11">
        <f>IF($AA342="","",INDEX('Per Line'!$G$2:$G$4001,$AA342))</f>
        <v/>
      </c>
      <c r="F342">
        <f>IF($AA342="","",INDEX('Per Line'!$H$2:$H$4001,$AA342)&amp;"")</f>
        <v/>
      </c>
      <c r="G342">
        <f>IF($AA342="","",INDEX('Per Line'!$I$2:$I$4001,$AA342)&amp;"")</f>
        <v/>
      </c>
      <c r="H342">
        <f>IF($AA342="","",INDEX('Per Line'!$J$2:$J$4001,$AA342)&amp;"")</f>
        <v/>
      </c>
      <c r="I342">
        <f>IF($AA342="","",INDEX('Per Line'!$K$2:$K$4001,$AA342)&amp;"")</f>
        <v/>
      </c>
      <c r="J342">
        <f>IF($AA342="","",INDEX('Per Line'!$L$2:$L$4001,$AA342)&amp;"")</f>
        <v/>
      </c>
      <c r="K342">
        <f>IF($AA342="","",INDEX('Per Line'!$P$2:$P$4001,$AA342))</f>
        <v/>
      </c>
      <c r="L342" s="7">
        <f>IF($AA342="","",IF(AND(ISNUMBER(N342),N342&gt;0,Y342&gt;N342),K342*N342/100+(Y342-N342),K342*Y342/100))</f>
        <v/>
      </c>
      <c r="M342">
        <f>IF($AA342="","",INDEX('Per Line'!$Z$2:$Z$4001,$AA342)&amp;"")</f>
        <v/>
      </c>
      <c r="N342">
        <f>IF($AA342="","",INDEX('Per Line'!$AG$2:$AG$4001,$AA342))</f>
        <v/>
      </c>
      <c r="O342">
        <f>IF($AA342="","",IF(AND(ISNUMBER(N342),N342&gt;0),Y342&gt;N342,FALSE))</f>
        <v/>
      </c>
      <c r="P342" s="7">
        <f>IF($AA342="","",SUMIFS('Per Line'!$Y$2:$Y$4001,'Per Line'!$E$2:$E$4001,$B342,'Per Line'!$AQ$2:$AQ$4001,1))</f>
        <v/>
      </c>
      <c r="Q342">
        <f>IF($AA342="","",Settings!$C$7)</f>
        <v/>
      </c>
      <c r="R342" s="7">
        <f>IF($AA342="","",SUMIFS('Per Line'!$Y$2:$Y$4001,'Per Line'!$E$2:$E$4001,$B342,'Per Line'!$AP$2:$AP$4001,0,'Per Line'!$AQ$2:$AQ$4001,0))</f>
        <v/>
      </c>
      <c r="S342" s="7">
        <f>IF($AA342="","",R342*Q342)</f>
        <v/>
      </c>
      <c r="T342">
        <f>IF($AA342="","",Settings!$C$6)</f>
        <v/>
      </c>
      <c r="U342" s="7">
        <f>IF($AA342="","",SUMIFS('Per Line'!$Y$2:$Y$4001,'Per Line'!$E$2:$E$4001,$B342,'Per Line'!$AP$2:$AP$4001,1,'Per Line'!$AQ$2:$AQ$4001,0))</f>
        <v/>
      </c>
      <c r="V342" s="7">
        <f>IF($AA342="","",U342*T342)</f>
        <v/>
      </c>
      <c r="W342" s="7">
        <f>IF($AA342="","",V342+S342)</f>
        <v/>
      </c>
      <c r="X342" s="7">
        <f>IF($AA342="","",Y342-W342)</f>
        <v/>
      </c>
      <c r="Y342" s="7">
        <f>IF($AA342="","",R342+U342+P342)</f>
        <v/>
      </c>
      <c r="Z342" s="7">
        <f>IF($AA342="","",Y342-W342-L342)</f>
        <v/>
      </c>
      <c r="AA342" s="13">
        <f>IF(ROWS($AA$2:$AA342)&lt;=MAX('Per Line'!$AO$2:$AO$4001),MATCH(ROWS($AA$2:$AA342),'Per Line'!$AO$2:$AO$4001,0),"")</f>
        <v/>
      </c>
      <c r="AB342" s="14">
        <f>IF($AA342="","",L342-K342*Y342/100)</f>
        <v/>
      </c>
    </row>
    <row r="343">
      <c r="A343" s="12" t="n"/>
      <c r="B343">
        <f>IF($AA343="","",INDEX('Per Line'!$E$2:$E$4001,$AA343)&amp;"")</f>
        <v/>
      </c>
      <c r="C343">
        <f>IF($AA343="","",INDEX('Per Line'!$A$2:$A$4001,$AA343)&amp;"")</f>
        <v/>
      </c>
      <c r="D343">
        <f>IF($AA343="","",INDEX('Per Line'!$D$2:$D$4001,$AA343)&amp;"")</f>
        <v/>
      </c>
      <c r="E343" s="11">
        <f>IF($AA343="","",INDEX('Per Line'!$G$2:$G$4001,$AA343))</f>
        <v/>
      </c>
      <c r="F343">
        <f>IF($AA343="","",INDEX('Per Line'!$H$2:$H$4001,$AA343)&amp;"")</f>
        <v/>
      </c>
      <c r="G343">
        <f>IF($AA343="","",INDEX('Per Line'!$I$2:$I$4001,$AA343)&amp;"")</f>
        <v/>
      </c>
      <c r="H343">
        <f>IF($AA343="","",INDEX('Per Line'!$J$2:$J$4001,$AA343)&amp;"")</f>
        <v/>
      </c>
      <c r="I343">
        <f>IF($AA343="","",INDEX('Per Line'!$K$2:$K$4001,$AA343)&amp;"")</f>
        <v/>
      </c>
      <c r="J343">
        <f>IF($AA343="","",INDEX('Per Line'!$L$2:$L$4001,$AA343)&amp;"")</f>
        <v/>
      </c>
      <c r="K343">
        <f>IF($AA343="","",INDEX('Per Line'!$P$2:$P$4001,$AA343))</f>
        <v/>
      </c>
      <c r="L343" s="7">
        <f>IF($AA343="","",IF(AND(ISNUMBER(N343),N343&gt;0,Y343&gt;N343),K343*N343/100+(Y343-N343),K343*Y343/100))</f>
        <v/>
      </c>
      <c r="M343">
        <f>IF($AA343="","",INDEX('Per Line'!$Z$2:$Z$4001,$AA343)&amp;"")</f>
        <v/>
      </c>
      <c r="N343">
        <f>IF($AA343="","",INDEX('Per Line'!$AG$2:$AG$4001,$AA343))</f>
        <v/>
      </c>
      <c r="O343">
        <f>IF($AA343="","",IF(AND(ISNUMBER(N343),N343&gt;0),Y343&gt;N343,FALSE))</f>
        <v/>
      </c>
      <c r="P343" s="7">
        <f>IF($AA343="","",SUMIFS('Per Line'!$Y$2:$Y$4001,'Per Line'!$E$2:$E$4001,$B343,'Per Line'!$AQ$2:$AQ$4001,1))</f>
        <v/>
      </c>
      <c r="Q343">
        <f>IF($AA343="","",Settings!$C$7)</f>
        <v/>
      </c>
      <c r="R343" s="7">
        <f>IF($AA343="","",SUMIFS('Per Line'!$Y$2:$Y$4001,'Per Line'!$E$2:$E$4001,$B343,'Per Line'!$AP$2:$AP$4001,0,'Per Line'!$AQ$2:$AQ$4001,0))</f>
        <v/>
      </c>
      <c r="S343" s="7">
        <f>IF($AA343="","",R343*Q343)</f>
        <v/>
      </c>
      <c r="T343">
        <f>IF($AA343="","",Settings!$C$6)</f>
        <v/>
      </c>
      <c r="U343" s="7">
        <f>IF($AA343="","",SUMIFS('Per Line'!$Y$2:$Y$4001,'Per Line'!$E$2:$E$4001,$B343,'Per Line'!$AP$2:$AP$4001,1,'Per Line'!$AQ$2:$AQ$4001,0))</f>
        <v/>
      </c>
      <c r="V343" s="7">
        <f>IF($AA343="","",U343*T343)</f>
        <v/>
      </c>
      <c r="W343" s="7">
        <f>IF($AA343="","",V343+S343)</f>
        <v/>
      </c>
      <c r="X343" s="7">
        <f>IF($AA343="","",Y343-W343)</f>
        <v/>
      </c>
      <c r="Y343" s="7">
        <f>IF($AA343="","",R343+U343+P343)</f>
        <v/>
      </c>
      <c r="Z343" s="7">
        <f>IF($AA343="","",Y343-W343-L343)</f>
        <v/>
      </c>
      <c r="AA343" s="13">
        <f>IF(ROWS($AA$2:$AA343)&lt;=MAX('Per Line'!$AO$2:$AO$4001),MATCH(ROWS($AA$2:$AA343),'Per Line'!$AO$2:$AO$4001,0),"")</f>
        <v/>
      </c>
      <c r="AB343" s="14">
        <f>IF($AA343="","",L343-K343*Y343/100)</f>
        <v/>
      </c>
    </row>
    <row r="344">
      <c r="A344" s="12" t="n"/>
      <c r="B344">
        <f>IF($AA344="","",INDEX('Per Line'!$E$2:$E$4001,$AA344)&amp;"")</f>
        <v/>
      </c>
      <c r="C344">
        <f>IF($AA344="","",INDEX('Per Line'!$A$2:$A$4001,$AA344)&amp;"")</f>
        <v/>
      </c>
      <c r="D344">
        <f>IF($AA344="","",INDEX('Per Line'!$D$2:$D$4001,$AA344)&amp;"")</f>
        <v/>
      </c>
      <c r="E344" s="11">
        <f>IF($AA344="","",INDEX('Per Line'!$G$2:$G$4001,$AA344))</f>
        <v/>
      </c>
      <c r="F344">
        <f>IF($AA344="","",INDEX('Per Line'!$H$2:$H$4001,$AA344)&amp;"")</f>
        <v/>
      </c>
      <c r="G344">
        <f>IF($AA344="","",INDEX('Per Line'!$I$2:$I$4001,$AA344)&amp;"")</f>
        <v/>
      </c>
      <c r="H344">
        <f>IF($AA344="","",INDEX('Per Line'!$J$2:$J$4001,$AA344)&amp;"")</f>
        <v/>
      </c>
      <c r="I344">
        <f>IF($AA344="","",INDEX('Per Line'!$K$2:$K$4001,$AA344)&amp;"")</f>
        <v/>
      </c>
      <c r="J344">
        <f>IF($AA344="","",INDEX('Per Line'!$L$2:$L$4001,$AA344)&amp;"")</f>
        <v/>
      </c>
      <c r="K344">
        <f>IF($AA344="","",INDEX('Per Line'!$P$2:$P$4001,$AA344))</f>
        <v/>
      </c>
      <c r="L344" s="7">
        <f>IF($AA344="","",IF(AND(ISNUMBER(N344),N344&gt;0,Y344&gt;N344),K344*N344/100+(Y344-N344),K344*Y344/100))</f>
        <v/>
      </c>
      <c r="M344">
        <f>IF($AA344="","",INDEX('Per Line'!$Z$2:$Z$4001,$AA344)&amp;"")</f>
        <v/>
      </c>
      <c r="N344">
        <f>IF($AA344="","",INDEX('Per Line'!$AG$2:$AG$4001,$AA344))</f>
        <v/>
      </c>
      <c r="O344">
        <f>IF($AA344="","",IF(AND(ISNUMBER(N344),N344&gt;0),Y344&gt;N344,FALSE))</f>
        <v/>
      </c>
      <c r="P344" s="7">
        <f>IF($AA344="","",SUMIFS('Per Line'!$Y$2:$Y$4001,'Per Line'!$E$2:$E$4001,$B344,'Per Line'!$AQ$2:$AQ$4001,1))</f>
        <v/>
      </c>
      <c r="Q344">
        <f>IF($AA344="","",Settings!$C$7)</f>
        <v/>
      </c>
      <c r="R344" s="7">
        <f>IF($AA344="","",SUMIFS('Per Line'!$Y$2:$Y$4001,'Per Line'!$E$2:$E$4001,$B344,'Per Line'!$AP$2:$AP$4001,0,'Per Line'!$AQ$2:$AQ$4001,0))</f>
        <v/>
      </c>
      <c r="S344" s="7">
        <f>IF($AA344="","",R344*Q344)</f>
        <v/>
      </c>
      <c r="T344">
        <f>IF($AA344="","",Settings!$C$6)</f>
        <v/>
      </c>
      <c r="U344" s="7">
        <f>IF($AA344="","",SUMIFS('Per Line'!$Y$2:$Y$4001,'Per Line'!$E$2:$E$4001,$B344,'Per Line'!$AP$2:$AP$4001,1,'Per Line'!$AQ$2:$AQ$4001,0))</f>
        <v/>
      </c>
      <c r="V344" s="7">
        <f>IF($AA344="","",U344*T344)</f>
        <v/>
      </c>
      <c r="W344" s="7">
        <f>IF($AA344="","",V344+S344)</f>
        <v/>
      </c>
      <c r="X344" s="7">
        <f>IF($AA344="","",Y344-W344)</f>
        <v/>
      </c>
      <c r="Y344" s="7">
        <f>IF($AA344="","",R344+U344+P344)</f>
        <v/>
      </c>
      <c r="Z344" s="7">
        <f>IF($AA344="","",Y344-W344-L344)</f>
        <v/>
      </c>
      <c r="AA344" s="13">
        <f>IF(ROWS($AA$2:$AA344)&lt;=MAX('Per Line'!$AO$2:$AO$4001),MATCH(ROWS($AA$2:$AA344),'Per Line'!$AO$2:$AO$4001,0),"")</f>
        <v/>
      </c>
      <c r="AB344" s="14">
        <f>IF($AA344="","",L344-K344*Y344/100)</f>
        <v/>
      </c>
    </row>
    <row r="345">
      <c r="A345" s="12" t="n"/>
      <c r="B345">
        <f>IF($AA345="","",INDEX('Per Line'!$E$2:$E$4001,$AA345)&amp;"")</f>
        <v/>
      </c>
      <c r="C345">
        <f>IF($AA345="","",INDEX('Per Line'!$A$2:$A$4001,$AA345)&amp;"")</f>
        <v/>
      </c>
      <c r="D345">
        <f>IF($AA345="","",INDEX('Per Line'!$D$2:$D$4001,$AA345)&amp;"")</f>
        <v/>
      </c>
      <c r="E345" s="11">
        <f>IF($AA345="","",INDEX('Per Line'!$G$2:$G$4001,$AA345))</f>
        <v/>
      </c>
      <c r="F345">
        <f>IF($AA345="","",INDEX('Per Line'!$H$2:$H$4001,$AA345)&amp;"")</f>
        <v/>
      </c>
      <c r="G345">
        <f>IF($AA345="","",INDEX('Per Line'!$I$2:$I$4001,$AA345)&amp;"")</f>
        <v/>
      </c>
      <c r="H345">
        <f>IF($AA345="","",INDEX('Per Line'!$J$2:$J$4001,$AA345)&amp;"")</f>
        <v/>
      </c>
      <c r="I345">
        <f>IF($AA345="","",INDEX('Per Line'!$K$2:$K$4001,$AA345)&amp;"")</f>
        <v/>
      </c>
      <c r="J345">
        <f>IF($AA345="","",INDEX('Per Line'!$L$2:$L$4001,$AA345)&amp;"")</f>
        <v/>
      </c>
      <c r="K345">
        <f>IF($AA345="","",INDEX('Per Line'!$P$2:$P$4001,$AA345))</f>
        <v/>
      </c>
      <c r="L345" s="7">
        <f>IF($AA345="","",IF(AND(ISNUMBER(N345),N345&gt;0,Y345&gt;N345),K345*N345/100+(Y345-N345),K345*Y345/100))</f>
        <v/>
      </c>
      <c r="M345">
        <f>IF($AA345="","",INDEX('Per Line'!$Z$2:$Z$4001,$AA345)&amp;"")</f>
        <v/>
      </c>
      <c r="N345">
        <f>IF($AA345="","",INDEX('Per Line'!$AG$2:$AG$4001,$AA345))</f>
        <v/>
      </c>
      <c r="O345">
        <f>IF($AA345="","",IF(AND(ISNUMBER(N345),N345&gt;0),Y345&gt;N345,FALSE))</f>
        <v/>
      </c>
      <c r="P345" s="7">
        <f>IF($AA345="","",SUMIFS('Per Line'!$Y$2:$Y$4001,'Per Line'!$E$2:$E$4001,$B345,'Per Line'!$AQ$2:$AQ$4001,1))</f>
        <v/>
      </c>
      <c r="Q345">
        <f>IF($AA345="","",Settings!$C$7)</f>
        <v/>
      </c>
      <c r="R345" s="7">
        <f>IF($AA345="","",SUMIFS('Per Line'!$Y$2:$Y$4001,'Per Line'!$E$2:$E$4001,$B345,'Per Line'!$AP$2:$AP$4001,0,'Per Line'!$AQ$2:$AQ$4001,0))</f>
        <v/>
      </c>
      <c r="S345" s="7">
        <f>IF($AA345="","",R345*Q345)</f>
        <v/>
      </c>
      <c r="T345">
        <f>IF($AA345="","",Settings!$C$6)</f>
        <v/>
      </c>
      <c r="U345" s="7">
        <f>IF($AA345="","",SUMIFS('Per Line'!$Y$2:$Y$4001,'Per Line'!$E$2:$E$4001,$B345,'Per Line'!$AP$2:$AP$4001,1,'Per Line'!$AQ$2:$AQ$4001,0))</f>
        <v/>
      </c>
      <c r="V345" s="7">
        <f>IF($AA345="","",U345*T345)</f>
        <v/>
      </c>
      <c r="W345" s="7">
        <f>IF($AA345="","",V345+S345)</f>
        <v/>
      </c>
      <c r="X345" s="7">
        <f>IF($AA345="","",Y345-W345)</f>
        <v/>
      </c>
      <c r="Y345" s="7">
        <f>IF($AA345="","",R345+U345+P345)</f>
        <v/>
      </c>
      <c r="Z345" s="7">
        <f>IF($AA345="","",Y345-W345-L345)</f>
        <v/>
      </c>
      <c r="AA345" s="13">
        <f>IF(ROWS($AA$2:$AA345)&lt;=MAX('Per Line'!$AO$2:$AO$4001),MATCH(ROWS($AA$2:$AA345),'Per Line'!$AO$2:$AO$4001,0),"")</f>
        <v/>
      </c>
      <c r="AB345" s="14">
        <f>IF($AA345="","",L345-K345*Y345/100)</f>
        <v/>
      </c>
    </row>
    <row r="346">
      <c r="A346" s="12" t="n"/>
      <c r="B346">
        <f>IF($AA346="","",INDEX('Per Line'!$E$2:$E$4001,$AA346)&amp;"")</f>
        <v/>
      </c>
      <c r="C346">
        <f>IF($AA346="","",INDEX('Per Line'!$A$2:$A$4001,$AA346)&amp;"")</f>
        <v/>
      </c>
      <c r="D346">
        <f>IF($AA346="","",INDEX('Per Line'!$D$2:$D$4001,$AA346)&amp;"")</f>
        <v/>
      </c>
      <c r="E346" s="11">
        <f>IF($AA346="","",INDEX('Per Line'!$G$2:$G$4001,$AA346))</f>
        <v/>
      </c>
      <c r="F346">
        <f>IF($AA346="","",INDEX('Per Line'!$H$2:$H$4001,$AA346)&amp;"")</f>
        <v/>
      </c>
      <c r="G346">
        <f>IF($AA346="","",INDEX('Per Line'!$I$2:$I$4001,$AA346)&amp;"")</f>
        <v/>
      </c>
      <c r="H346">
        <f>IF($AA346="","",INDEX('Per Line'!$J$2:$J$4001,$AA346)&amp;"")</f>
        <v/>
      </c>
      <c r="I346">
        <f>IF($AA346="","",INDEX('Per Line'!$K$2:$K$4001,$AA346)&amp;"")</f>
        <v/>
      </c>
      <c r="J346">
        <f>IF($AA346="","",INDEX('Per Line'!$L$2:$L$4001,$AA346)&amp;"")</f>
        <v/>
      </c>
      <c r="K346">
        <f>IF($AA346="","",INDEX('Per Line'!$P$2:$P$4001,$AA346))</f>
        <v/>
      </c>
      <c r="L346" s="7">
        <f>IF($AA346="","",IF(AND(ISNUMBER(N346),N346&gt;0,Y346&gt;N346),K346*N346/100+(Y346-N346),K346*Y346/100))</f>
        <v/>
      </c>
      <c r="M346">
        <f>IF($AA346="","",INDEX('Per Line'!$Z$2:$Z$4001,$AA346)&amp;"")</f>
        <v/>
      </c>
      <c r="N346">
        <f>IF($AA346="","",INDEX('Per Line'!$AG$2:$AG$4001,$AA346))</f>
        <v/>
      </c>
      <c r="O346">
        <f>IF($AA346="","",IF(AND(ISNUMBER(N346),N346&gt;0),Y346&gt;N346,FALSE))</f>
        <v/>
      </c>
      <c r="P346" s="7">
        <f>IF($AA346="","",SUMIFS('Per Line'!$Y$2:$Y$4001,'Per Line'!$E$2:$E$4001,$B346,'Per Line'!$AQ$2:$AQ$4001,1))</f>
        <v/>
      </c>
      <c r="Q346">
        <f>IF($AA346="","",Settings!$C$7)</f>
        <v/>
      </c>
      <c r="R346" s="7">
        <f>IF($AA346="","",SUMIFS('Per Line'!$Y$2:$Y$4001,'Per Line'!$E$2:$E$4001,$B346,'Per Line'!$AP$2:$AP$4001,0,'Per Line'!$AQ$2:$AQ$4001,0))</f>
        <v/>
      </c>
      <c r="S346" s="7">
        <f>IF($AA346="","",R346*Q346)</f>
        <v/>
      </c>
      <c r="T346">
        <f>IF($AA346="","",Settings!$C$6)</f>
        <v/>
      </c>
      <c r="U346" s="7">
        <f>IF($AA346="","",SUMIFS('Per Line'!$Y$2:$Y$4001,'Per Line'!$E$2:$E$4001,$B346,'Per Line'!$AP$2:$AP$4001,1,'Per Line'!$AQ$2:$AQ$4001,0))</f>
        <v/>
      </c>
      <c r="V346" s="7">
        <f>IF($AA346="","",U346*T346)</f>
        <v/>
      </c>
      <c r="W346" s="7">
        <f>IF($AA346="","",V346+S346)</f>
        <v/>
      </c>
      <c r="X346" s="7">
        <f>IF($AA346="","",Y346-W346)</f>
        <v/>
      </c>
      <c r="Y346" s="7">
        <f>IF($AA346="","",R346+U346+P346)</f>
        <v/>
      </c>
      <c r="Z346" s="7">
        <f>IF($AA346="","",Y346-W346-L346)</f>
        <v/>
      </c>
      <c r="AA346" s="13">
        <f>IF(ROWS($AA$2:$AA346)&lt;=MAX('Per Line'!$AO$2:$AO$4001),MATCH(ROWS($AA$2:$AA346),'Per Line'!$AO$2:$AO$4001,0),"")</f>
        <v/>
      </c>
      <c r="AB346" s="14">
        <f>IF($AA346="","",L346-K346*Y346/100)</f>
        <v/>
      </c>
    </row>
    <row r="347">
      <c r="A347" s="12" t="n"/>
      <c r="B347">
        <f>IF($AA347="","",INDEX('Per Line'!$E$2:$E$4001,$AA347)&amp;"")</f>
        <v/>
      </c>
      <c r="C347">
        <f>IF($AA347="","",INDEX('Per Line'!$A$2:$A$4001,$AA347)&amp;"")</f>
        <v/>
      </c>
      <c r="D347">
        <f>IF($AA347="","",INDEX('Per Line'!$D$2:$D$4001,$AA347)&amp;"")</f>
        <v/>
      </c>
      <c r="E347" s="11">
        <f>IF($AA347="","",INDEX('Per Line'!$G$2:$G$4001,$AA347))</f>
        <v/>
      </c>
      <c r="F347">
        <f>IF($AA347="","",INDEX('Per Line'!$H$2:$H$4001,$AA347)&amp;"")</f>
        <v/>
      </c>
      <c r="G347">
        <f>IF($AA347="","",INDEX('Per Line'!$I$2:$I$4001,$AA347)&amp;"")</f>
        <v/>
      </c>
      <c r="H347">
        <f>IF($AA347="","",INDEX('Per Line'!$J$2:$J$4001,$AA347)&amp;"")</f>
        <v/>
      </c>
      <c r="I347">
        <f>IF($AA347="","",INDEX('Per Line'!$K$2:$K$4001,$AA347)&amp;"")</f>
        <v/>
      </c>
      <c r="J347">
        <f>IF($AA347="","",INDEX('Per Line'!$L$2:$L$4001,$AA347)&amp;"")</f>
        <v/>
      </c>
      <c r="K347">
        <f>IF($AA347="","",INDEX('Per Line'!$P$2:$P$4001,$AA347))</f>
        <v/>
      </c>
      <c r="L347" s="7">
        <f>IF($AA347="","",IF(AND(ISNUMBER(N347),N347&gt;0,Y347&gt;N347),K347*N347/100+(Y347-N347),K347*Y347/100))</f>
        <v/>
      </c>
      <c r="M347">
        <f>IF($AA347="","",INDEX('Per Line'!$Z$2:$Z$4001,$AA347)&amp;"")</f>
        <v/>
      </c>
      <c r="N347">
        <f>IF($AA347="","",INDEX('Per Line'!$AG$2:$AG$4001,$AA347))</f>
        <v/>
      </c>
      <c r="O347">
        <f>IF($AA347="","",IF(AND(ISNUMBER(N347),N347&gt;0),Y347&gt;N347,FALSE))</f>
        <v/>
      </c>
      <c r="P347" s="7">
        <f>IF($AA347="","",SUMIFS('Per Line'!$Y$2:$Y$4001,'Per Line'!$E$2:$E$4001,$B347,'Per Line'!$AQ$2:$AQ$4001,1))</f>
        <v/>
      </c>
      <c r="Q347">
        <f>IF($AA347="","",Settings!$C$7)</f>
        <v/>
      </c>
      <c r="R347" s="7">
        <f>IF($AA347="","",SUMIFS('Per Line'!$Y$2:$Y$4001,'Per Line'!$E$2:$E$4001,$B347,'Per Line'!$AP$2:$AP$4001,0,'Per Line'!$AQ$2:$AQ$4001,0))</f>
        <v/>
      </c>
      <c r="S347" s="7">
        <f>IF($AA347="","",R347*Q347)</f>
        <v/>
      </c>
      <c r="T347">
        <f>IF($AA347="","",Settings!$C$6)</f>
        <v/>
      </c>
      <c r="U347" s="7">
        <f>IF($AA347="","",SUMIFS('Per Line'!$Y$2:$Y$4001,'Per Line'!$E$2:$E$4001,$B347,'Per Line'!$AP$2:$AP$4001,1,'Per Line'!$AQ$2:$AQ$4001,0))</f>
        <v/>
      </c>
      <c r="V347" s="7">
        <f>IF($AA347="","",U347*T347)</f>
        <v/>
      </c>
      <c r="W347" s="7">
        <f>IF($AA347="","",V347+S347)</f>
        <v/>
      </c>
      <c r="X347" s="7">
        <f>IF($AA347="","",Y347-W347)</f>
        <v/>
      </c>
      <c r="Y347" s="7">
        <f>IF($AA347="","",R347+U347+P347)</f>
        <v/>
      </c>
      <c r="Z347" s="7">
        <f>IF($AA347="","",Y347-W347-L347)</f>
        <v/>
      </c>
      <c r="AA347" s="13">
        <f>IF(ROWS($AA$2:$AA347)&lt;=MAX('Per Line'!$AO$2:$AO$4001),MATCH(ROWS($AA$2:$AA347),'Per Line'!$AO$2:$AO$4001,0),"")</f>
        <v/>
      </c>
      <c r="AB347" s="14">
        <f>IF($AA347="","",L347-K347*Y347/100)</f>
        <v/>
      </c>
    </row>
    <row r="348">
      <c r="A348" s="12" t="n"/>
      <c r="B348">
        <f>IF($AA348="","",INDEX('Per Line'!$E$2:$E$4001,$AA348)&amp;"")</f>
        <v/>
      </c>
      <c r="C348">
        <f>IF($AA348="","",INDEX('Per Line'!$A$2:$A$4001,$AA348)&amp;"")</f>
        <v/>
      </c>
      <c r="D348">
        <f>IF($AA348="","",INDEX('Per Line'!$D$2:$D$4001,$AA348)&amp;"")</f>
        <v/>
      </c>
      <c r="E348" s="11">
        <f>IF($AA348="","",INDEX('Per Line'!$G$2:$G$4001,$AA348))</f>
        <v/>
      </c>
      <c r="F348">
        <f>IF($AA348="","",INDEX('Per Line'!$H$2:$H$4001,$AA348)&amp;"")</f>
        <v/>
      </c>
      <c r="G348">
        <f>IF($AA348="","",INDEX('Per Line'!$I$2:$I$4001,$AA348)&amp;"")</f>
        <v/>
      </c>
      <c r="H348">
        <f>IF($AA348="","",INDEX('Per Line'!$J$2:$J$4001,$AA348)&amp;"")</f>
        <v/>
      </c>
      <c r="I348">
        <f>IF($AA348="","",INDEX('Per Line'!$K$2:$K$4001,$AA348)&amp;"")</f>
        <v/>
      </c>
      <c r="J348">
        <f>IF($AA348="","",INDEX('Per Line'!$L$2:$L$4001,$AA348)&amp;"")</f>
        <v/>
      </c>
      <c r="K348">
        <f>IF($AA348="","",INDEX('Per Line'!$P$2:$P$4001,$AA348))</f>
        <v/>
      </c>
      <c r="L348" s="7">
        <f>IF($AA348="","",IF(AND(ISNUMBER(N348),N348&gt;0,Y348&gt;N348),K348*N348/100+(Y348-N348),K348*Y348/100))</f>
        <v/>
      </c>
      <c r="M348">
        <f>IF($AA348="","",INDEX('Per Line'!$Z$2:$Z$4001,$AA348)&amp;"")</f>
        <v/>
      </c>
      <c r="N348">
        <f>IF($AA348="","",INDEX('Per Line'!$AG$2:$AG$4001,$AA348))</f>
        <v/>
      </c>
      <c r="O348">
        <f>IF($AA348="","",IF(AND(ISNUMBER(N348),N348&gt;0),Y348&gt;N348,FALSE))</f>
        <v/>
      </c>
      <c r="P348" s="7">
        <f>IF($AA348="","",SUMIFS('Per Line'!$Y$2:$Y$4001,'Per Line'!$E$2:$E$4001,$B348,'Per Line'!$AQ$2:$AQ$4001,1))</f>
        <v/>
      </c>
      <c r="Q348">
        <f>IF($AA348="","",Settings!$C$7)</f>
        <v/>
      </c>
      <c r="R348" s="7">
        <f>IF($AA348="","",SUMIFS('Per Line'!$Y$2:$Y$4001,'Per Line'!$E$2:$E$4001,$B348,'Per Line'!$AP$2:$AP$4001,0,'Per Line'!$AQ$2:$AQ$4001,0))</f>
        <v/>
      </c>
      <c r="S348" s="7">
        <f>IF($AA348="","",R348*Q348)</f>
        <v/>
      </c>
      <c r="T348">
        <f>IF($AA348="","",Settings!$C$6)</f>
        <v/>
      </c>
      <c r="U348" s="7">
        <f>IF($AA348="","",SUMIFS('Per Line'!$Y$2:$Y$4001,'Per Line'!$E$2:$E$4001,$B348,'Per Line'!$AP$2:$AP$4001,1,'Per Line'!$AQ$2:$AQ$4001,0))</f>
        <v/>
      </c>
      <c r="V348" s="7">
        <f>IF($AA348="","",U348*T348)</f>
        <v/>
      </c>
      <c r="W348" s="7">
        <f>IF($AA348="","",V348+S348)</f>
        <v/>
      </c>
      <c r="X348" s="7">
        <f>IF($AA348="","",Y348-W348)</f>
        <v/>
      </c>
      <c r="Y348" s="7">
        <f>IF($AA348="","",R348+U348+P348)</f>
        <v/>
      </c>
      <c r="Z348" s="7">
        <f>IF($AA348="","",Y348-W348-L348)</f>
        <v/>
      </c>
      <c r="AA348" s="13">
        <f>IF(ROWS($AA$2:$AA348)&lt;=MAX('Per Line'!$AO$2:$AO$4001),MATCH(ROWS($AA$2:$AA348),'Per Line'!$AO$2:$AO$4001,0),"")</f>
        <v/>
      </c>
      <c r="AB348" s="14">
        <f>IF($AA348="","",L348-K348*Y348/100)</f>
        <v/>
      </c>
    </row>
    <row r="349">
      <c r="A349" s="12" t="n"/>
      <c r="B349">
        <f>IF($AA349="","",INDEX('Per Line'!$E$2:$E$4001,$AA349)&amp;"")</f>
        <v/>
      </c>
      <c r="C349">
        <f>IF($AA349="","",INDEX('Per Line'!$A$2:$A$4001,$AA349)&amp;"")</f>
        <v/>
      </c>
      <c r="D349">
        <f>IF($AA349="","",INDEX('Per Line'!$D$2:$D$4001,$AA349)&amp;"")</f>
        <v/>
      </c>
      <c r="E349" s="11">
        <f>IF($AA349="","",INDEX('Per Line'!$G$2:$G$4001,$AA349))</f>
        <v/>
      </c>
      <c r="F349">
        <f>IF($AA349="","",INDEX('Per Line'!$H$2:$H$4001,$AA349)&amp;"")</f>
        <v/>
      </c>
      <c r="G349">
        <f>IF($AA349="","",INDEX('Per Line'!$I$2:$I$4001,$AA349)&amp;"")</f>
        <v/>
      </c>
      <c r="H349">
        <f>IF($AA349="","",INDEX('Per Line'!$J$2:$J$4001,$AA349)&amp;"")</f>
        <v/>
      </c>
      <c r="I349">
        <f>IF($AA349="","",INDEX('Per Line'!$K$2:$K$4001,$AA349)&amp;"")</f>
        <v/>
      </c>
      <c r="J349">
        <f>IF($AA349="","",INDEX('Per Line'!$L$2:$L$4001,$AA349)&amp;"")</f>
        <v/>
      </c>
      <c r="K349">
        <f>IF($AA349="","",INDEX('Per Line'!$P$2:$P$4001,$AA349))</f>
        <v/>
      </c>
      <c r="L349" s="7">
        <f>IF($AA349="","",IF(AND(ISNUMBER(N349),N349&gt;0,Y349&gt;N349),K349*N349/100+(Y349-N349),K349*Y349/100))</f>
        <v/>
      </c>
      <c r="M349">
        <f>IF($AA349="","",INDEX('Per Line'!$Z$2:$Z$4001,$AA349)&amp;"")</f>
        <v/>
      </c>
      <c r="N349">
        <f>IF($AA349="","",INDEX('Per Line'!$AG$2:$AG$4001,$AA349))</f>
        <v/>
      </c>
      <c r="O349">
        <f>IF($AA349="","",IF(AND(ISNUMBER(N349),N349&gt;0),Y349&gt;N349,FALSE))</f>
        <v/>
      </c>
      <c r="P349" s="7">
        <f>IF($AA349="","",SUMIFS('Per Line'!$Y$2:$Y$4001,'Per Line'!$E$2:$E$4001,$B349,'Per Line'!$AQ$2:$AQ$4001,1))</f>
        <v/>
      </c>
      <c r="Q349">
        <f>IF($AA349="","",Settings!$C$7)</f>
        <v/>
      </c>
      <c r="R349" s="7">
        <f>IF($AA349="","",SUMIFS('Per Line'!$Y$2:$Y$4001,'Per Line'!$E$2:$E$4001,$B349,'Per Line'!$AP$2:$AP$4001,0,'Per Line'!$AQ$2:$AQ$4001,0))</f>
        <v/>
      </c>
      <c r="S349" s="7">
        <f>IF($AA349="","",R349*Q349)</f>
        <v/>
      </c>
      <c r="T349">
        <f>IF($AA349="","",Settings!$C$6)</f>
        <v/>
      </c>
      <c r="U349" s="7">
        <f>IF($AA349="","",SUMIFS('Per Line'!$Y$2:$Y$4001,'Per Line'!$E$2:$E$4001,$B349,'Per Line'!$AP$2:$AP$4001,1,'Per Line'!$AQ$2:$AQ$4001,0))</f>
        <v/>
      </c>
      <c r="V349" s="7">
        <f>IF($AA349="","",U349*T349)</f>
        <v/>
      </c>
      <c r="W349" s="7">
        <f>IF($AA349="","",V349+S349)</f>
        <v/>
      </c>
      <c r="X349" s="7">
        <f>IF($AA349="","",Y349-W349)</f>
        <v/>
      </c>
      <c r="Y349" s="7">
        <f>IF($AA349="","",R349+U349+P349)</f>
        <v/>
      </c>
      <c r="Z349" s="7">
        <f>IF($AA349="","",Y349-W349-L349)</f>
        <v/>
      </c>
      <c r="AA349" s="13">
        <f>IF(ROWS($AA$2:$AA349)&lt;=MAX('Per Line'!$AO$2:$AO$4001),MATCH(ROWS($AA$2:$AA349),'Per Line'!$AO$2:$AO$4001,0),"")</f>
        <v/>
      </c>
      <c r="AB349" s="14">
        <f>IF($AA349="","",L349-K349*Y349/100)</f>
        <v/>
      </c>
    </row>
    <row r="350">
      <c r="A350" s="12" t="n"/>
      <c r="B350">
        <f>IF($AA350="","",INDEX('Per Line'!$E$2:$E$4001,$AA350)&amp;"")</f>
        <v/>
      </c>
      <c r="C350">
        <f>IF($AA350="","",INDEX('Per Line'!$A$2:$A$4001,$AA350)&amp;"")</f>
        <v/>
      </c>
      <c r="D350">
        <f>IF($AA350="","",INDEX('Per Line'!$D$2:$D$4001,$AA350)&amp;"")</f>
        <v/>
      </c>
      <c r="E350" s="11">
        <f>IF($AA350="","",INDEX('Per Line'!$G$2:$G$4001,$AA350))</f>
        <v/>
      </c>
      <c r="F350">
        <f>IF($AA350="","",INDEX('Per Line'!$H$2:$H$4001,$AA350)&amp;"")</f>
        <v/>
      </c>
      <c r="G350">
        <f>IF($AA350="","",INDEX('Per Line'!$I$2:$I$4001,$AA350)&amp;"")</f>
        <v/>
      </c>
      <c r="H350">
        <f>IF($AA350="","",INDEX('Per Line'!$J$2:$J$4001,$AA350)&amp;"")</f>
        <v/>
      </c>
      <c r="I350">
        <f>IF($AA350="","",INDEX('Per Line'!$K$2:$K$4001,$AA350)&amp;"")</f>
        <v/>
      </c>
      <c r="J350">
        <f>IF($AA350="","",INDEX('Per Line'!$L$2:$L$4001,$AA350)&amp;"")</f>
        <v/>
      </c>
      <c r="K350">
        <f>IF($AA350="","",INDEX('Per Line'!$P$2:$P$4001,$AA350))</f>
        <v/>
      </c>
      <c r="L350" s="7">
        <f>IF($AA350="","",IF(AND(ISNUMBER(N350),N350&gt;0,Y350&gt;N350),K350*N350/100+(Y350-N350),K350*Y350/100))</f>
        <v/>
      </c>
      <c r="M350">
        <f>IF($AA350="","",INDEX('Per Line'!$Z$2:$Z$4001,$AA350)&amp;"")</f>
        <v/>
      </c>
      <c r="N350">
        <f>IF($AA350="","",INDEX('Per Line'!$AG$2:$AG$4001,$AA350))</f>
        <v/>
      </c>
      <c r="O350">
        <f>IF($AA350="","",IF(AND(ISNUMBER(N350),N350&gt;0),Y350&gt;N350,FALSE))</f>
        <v/>
      </c>
      <c r="P350" s="7">
        <f>IF($AA350="","",SUMIFS('Per Line'!$Y$2:$Y$4001,'Per Line'!$E$2:$E$4001,$B350,'Per Line'!$AQ$2:$AQ$4001,1))</f>
        <v/>
      </c>
      <c r="Q350">
        <f>IF($AA350="","",Settings!$C$7)</f>
        <v/>
      </c>
      <c r="R350" s="7">
        <f>IF($AA350="","",SUMIFS('Per Line'!$Y$2:$Y$4001,'Per Line'!$E$2:$E$4001,$B350,'Per Line'!$AP$2:$AP$4001,0,'Per Line'!$AQ$2:$AQ$4001,0))</f>
        <v/>
      </c>
      <c r="S350" s="7">
        <f>IF($AA350="","",R350*Q350)</f>
        <v/>
      </c>
      <c r="T350">
        <f>IF($AA350="","",Settings!$C$6)</f>
        <v/>
      </c>
      <c r="U350" s="7">
        <f>IF($AA350="","",SUMIFS('Per Line'!$Y$2:$Y$4001,'Per Line'!$E$2:$E$4001,$B350,'Per Line'!$AP$2:$AP$4001,1,'Per Line'!$AQ$2:$AQ$4001,0))</f>
        <v/>
      </c>
      <c r="V350" s="7">
        <f>IF($AA350="","",U350*T350)</f>
        <v/>
      </c>
      <c r="W350" s="7">
        <f>IF($AA350="","",V350+S350)</f>
        <v/>
      </c>
      <c r="X350" s="7">
        <f>IF($AA350="","",Y350-W350)</f>
        <v/>
      </c>
      <c r="Y350" s="7">
        <f>IF($AA350="","",R350+U350+P350)</f>
        <v/>
      </c>
      <c r="Z350" s="7">
        <f>IF($AA350="","",Y350-W350-L350)</f>
        <v/>
      </c>
      <c r="AA350" s="13">
        <f>IF(ROWS($AA$2:$AA350)&lt;=MAX('Per Line'!$AO$2:$AO$4001),MATCH(ROWS($AA$2:$AA350),'Per Line'!$AO$2:$AO$4001,0),"")</f>
        <v/>
      </c>
      <c r="AB350" s="14">
        <f>IF($AA350="","",L350-K350*Y350/100)</f>
        <v/>
      </c>
    </row>
    <row r="351">
      <c r="A351" s="12" t="n"/>
      <c r="B351">
        <f>IF($AA351="","",INDEX('Per Line'!$E$2:$E$4001,$AA351)&amp;"")</f>
        <v/>
      </c>
      <c r="C351">
        <f>IF($AA351="","",INDEX('Per Line'!$A$2:$A$4001,$AA351)&amp;"")</f>
        <v/>
      </c>
      <c r="D351">
        <f>IF($AA351="","",INDEX('Per Line'!$D$2:$D$4001,$AA351)&amp;"")</f>
        <v/>
      </c>
      <c r="E351" s="11">
        <f>IF($AA351="","",INDEX('Per Line'!$G$2:$G$4001,$AA351))</f>
        <v/>
      </c>
      <c r="F351">
        <f>IF($AA351="","",INDEX('Per Line'!$H$2:$H$4001,$AA351)&amp;"")</f>
        <v/>
      </c>
      <c r="G351">
        <f>IF($AA351="","",INDEX('Per Line'!$I$2:$I$4001,$AA351)&amp;"")</f>
        <v/>
      </c>
      <c r="H351">
        <f>IF($AA351="","",INDEX('Per Line'!$J$2:$J$4001,$AA351)&amp;"")</f>
        <v/>
      </c>
      <c r="I351">
        <f>IF($AA351="","",INDEX('Per Line'!$K$2:$K$4001,$AA351)&amp;"")</f>
        <v/>
      </c>
      <c r="J351">
        <f>IF($AA351="","",INDEX('Per Line'!$L$2:$L$4001,$AA351)&amp;"")</f>
        <v/>
      </c>
      <c r="K351">
        <f>IF($AA351="","",INDEX('Per Line'!$P$2:$P$4001,$AA351))</f>
        <v/>
      </c>
      <c r="L351" s="7">
        <f>IF($AA351="","",IF(AND(ISNUMBER(N351),N351&gt;0,Y351&gt;N351),K351*N351/100+(Y351-N351),K351*Y351/100))</f>
        <v/>
      </c>
      <c r="M351">
        <f>IF($AA351="","",INDEX('Per Line'!$Z$2:$Z$4001,$AA351)&amp;"")</f>
        <v/>
      </c>
      <c r="N351">
        <f>IF($AA351="","",INDEX('Per Line'!$AG$2:$AG$4001,$AA351))</f>
        <v/>
      </c>
      <c r="O351">
        <f>IF($AA351="","",IF(AND(ISNUMBER(N351),N351&gt;0),Y351&gt;N351,FALSE))</f>
        <v/>
      </c>
      <c r="P351" s="7">
        <f>IF($AA351="","",SUMIFS('Per Line'!$Y$2:$Y$4001,'Per Line'!$E$2:$E$4001,$B351,'Per Line'!$AQ$2:$AQ$4001,1))</f>
        <v/>
      </c>
      <c r="Q351">
        <f>IF($AA351="","",Settings!$C$7)</f>
        <v/>
      </c>
      <c r="R351" s="7">
        <f>IF($AA351="","",SUMIFS('Per Line'!$Y$2:$Y$4001,'Per Line'!$E$2:$E$4001,$B351,'Per Line'!$AP$2:$AP$4001,0,'Per Line'!$AQ$2:$AQ$4001,0))</f>
        <v/>
      </c>
      <c r="S351" s="7">
        <f>IF($AA351="","",R351*Q351)</f>
        <v/>
      </c>
      <c r="T351">
        <f>IF($AA351="","",Settings!$C$6)</f>
        <v/>
      </c>
      <c r="U351" s="7">
        <f>IF($AA351="","",SUMIFS('Per Line'!$Y$2:$Y$4001,'Per Line'!$E$2:$E$4001,$B351,'Per Line'!$AP$2:$AP$4001,1,'Per Line'!$AQ$2:$AQ$4001,0))</f>
        <v/>
      </c>
      <c r="V351" s="7">
        <f>IF($AA351="","",U351*T351)</f>
        <v/>
      </c>
      <c r="W351" s="7">
        <f>IF($AA351="","",V351+S351)</f>
        <v/>
      </c>
      <c r="X351" s="7">
        <f>IF($AA351="","",Y351-W351)</f>
        <v/>
      </c>
      <c r="Y351" s="7">
        <f>IF($AA351="","",R351+U351+P351)</f>
        <v/>
      </c>
      <c r="Z351" s="7">
        <f>IF($AA351="","",Y351-W351-L351)</f>
        <v/>
      </c>
      <c r="AA351" s="13">
        <f>IF(ROWS($AA$2:$AA351)&lt;=MAX('Per Line'!$AO$2:$AO$4001),MATCH(ROWS($AA$2:$AA351),'Per Line'!$AO$2:$AO$4001,0),"")</f>
        <v/>
      </c>
      <c r="AB351" s="14">
        <f>IF($AA351="","",L351-K351*Y351/100)</f>
        <v/>
      </c>
    </row>
    <row r="352">
      <c r="A352" s="12" t="n"/>
      <c r="B352">
        <f>IF($AA352="","",INDEX('Per Line'!$E$2:$E$4001,$AA352)&amp;"")</f>
        <v/>
      </c>
      <c r="C352">
        <f>IF($AA352="","",INDEX('Per Line'!$A$2:$A$4001,$AA352)&amp;"")</f>
        <v/>
      </c>
      <c r="D352">
        <f>IF($AA352="","",INDEX('Per Line'!$D$2:$D$4001,$AA352)&amp;"")</f>
        <v/>
      </c>
      <c r="E352" s="11">
        <f>IF($AA352="","",INDEX('Per Line'!$G$2:$G$4001,$AA352))</f>
        <v/>
      </c>
      <c r="F352">
        <f>IF($AA352="","",INDEX('Per Line'!$H$2:$H$4001,$AA352)&amp;"")</f>
        <v/>
      </c>
      <c r="G352">
        <f>IF($AA352="","",INDEX('Per Line'!$I$2:$I$4001,$AA352)&amp;"")</f>
        <v/>
      </c>
      <c r="H352">
        <f>IF($AA352="","",INDEX('Per Line'!$J$2:$J$4001,$AA352)&amp;"")</f>
        <v/>
      </c>
      <c r="I352">
        <f>IF($AA352="","",INDEX('Per Line'!$K$2:$K$4001,$AA352)&amp;"")</f>
        <v/>
      </c>
      <c r="J352">
        <f>IF($AA352="","",INDEX('Per Line'!$L$2:$L$4001,$AA352)&amp;"")</f>
        <v/>
      </c>
      <c r="K352">
        <f>IF($AA352="","",INDEX('Per Line'!$P$2:$P$4001,$AA352))</f>
        <v/>
      </c>
      <c r="L352" s="7">
        <f>IF($AA352="","",IF(AND(ISNUMBER(N352),N352&gt;0,Y352&gt;N352),K352*N352/100+(Y352-N352),K352*Y352/100))</f>
        <v/>
      </c>
      <c r="M352">
        <f>IF($AA352="","",INDEX('Per Line'!$Z$2:$Z$4001,$AA352)&amp;"")</f>
        <v/>
      </c>
      <c r="N352">
        <f>IF($AA352="","",INDEX('Per Line'!$AG$2:$AG$4001,$AA352))</f>
        <v/>
      </c>
      <c r="O352">
        <f>IF($AA352="","",IF(AND(ISNUMBER(N352),N352&gt;0),Y352&gt;N352,FALSE))</f>
        <v/>
      </c>
      <c r="P352" s="7">
        <f>IF($AA352="","",SUMIFS('Per Line'!$Y$2:$Y$4001,'Per Line'!$E$2:$E$4001,$B352,'Per Line'!$AQ$2:$AQ$4001,1))</f>
        <v/>
      </c>
      <c r="Q352">
        <f>IF($AA352="","",Settings!$C$7)</f>
        <v/>
      </c>
      <c r="R352" s="7">
        <f>IF($AA352="","",SUMIFS('Per Line'!$Y$2:$Y$4001,'Per Line'!$E$2:$E$4001,$B352,'Per Line'!$AP$2:$AP$4001,0,'Per Line'!$AQ$2:$AQ$4001,0))</f>
        <v/>
      </c>
      <c r="S352" s="7">
        <f>IF($AA352="","",R352*Q352)</f>
        <v/>
      </c>
      <c r="T352">
        <f>IF($AA352="","",Settings!$C$6)</f>
        <v/>
      </c>
      <c r="U352" s="7">
        <f>IF($AA352="","",SUMIFS('Per Line'!$Y$2:$Y$4001,'Per Line'!$E$2:$E$4001,$B352,'Per Line'!$AP$2:$AP$4001,1,'Per Line'!$AQ$2:$AQ$4001,0))</f>
        <v/>
      </c>
      <c r="V352" s="7">
        <f>IF($AA352="","",U352*T352)</f>
        <v/>
      </c>
      <c r="W352" s="7">
        <f>IF($AA352="","",V352+S352)</f>
        <v/>
      </c>
      <c r="X352" s="7">
        <f>IF($AA352="","",Y352-W352)</f>
        <v/>
      </c>
      <c r="Y352" s="7">
        <f>IF($AA352="","",R352+U352+P352)</f>
        <v/>
      </c>
      <c r="Z352" s="7">
        <f>IF($AA352="","",Y352-W352-L352)</f>
        <v/>
      </c>
      <c r="AA352" s="13">
        <f>IF(ROWS($AA$2:$AA352)&lt;=MAX('Per Line'!$AO$2:$AO$4001),MATCH(ROWS($AA$2:$AA352),'Per Line'!$AO$2:$AO$4001,0),"")</f>
        <v/>
      </c>
      <c r="AB352" s="14">
        <f>IF($AA352="","",L352-K352*Y352/100)</f>
        <v/>
      </c>
    </row>
    <row r="353">
      <c r="A353" s="12" t="n"/>
      <c r="B353">
        <f>IF($AA353="","",INDEX('Per Line'!$E$2:$E$4001,$AA353)&amp;"")</f>
        <v/>
      </c>
      <c r="C353">
        <f>IF($AA353="","",INDEX('Per Line'!$A$2:$A$4001,$AA353)&amp;"")</f>
        <v/>
      </c>
      <c r="D353">
        <f>IF($AA353="","",INDEX('Per Line'!$D$2:$D$4001,$AA353)&amp;"")</f>
        <v/>
      </c>
      <c r="E353" s="11">
        <f>IF($AA353="","",INDEX('Per Line'!$G$2:$G$4001,$AA353))</f>
        <v/>
      </c>
      <c r="F353">
        <f>IF($AA353="","",INDEX('Per Line'!$H$2:$H$4001,$AA353)&amp;"")</f>
        <v/>
      </c>
      <c r="G353">
        <f>IF($AA353="","",INDEX('Per Line'!$I$2:$I$4001,$AA353)&amp;"")</f>
        <v/>
      </c>
      <c r="H353">
        <f>IF($AA353="","",INDEX('Per Line'!$J$2:$J$4001,$AA353)&amp;"")</f>
        <v/>
      </c>
      <c r="I353">
        <f>IF($AA353="","",INDEX('Per Line'!$K$2:$K$4001,$AA353)&amp;"")</f>
        <v/>
      </c>
      <c r="J353">
        <f>IF($AA353="","",INDEX('Per Line'!$L$2:$L$4001,$AA353)&amp;"")</f>
        <v/>
      </c>
      <c r="K353">
        <f>IF($AA353="","",INDEX('Per Line'!$P$2:$P$4001,$AA353))</f>
        <v/>
      </c>
      <c r="L353" s="7">
        <f>IF($AA353="","",IF(AND(ISNUMBER(N353),N353&gt;0,Y353&gt;N353),K353*N353/100+(Y353-N353),K353*Y353/100))</f>
        <v/>
      </c>
      <c r="M353">
        <f>IF($AA353="","",INDEX('Per Line'!$Z$2:$Z$4001,$AA353)&amp;"")</f>
        <v/>
      </c>
      <c r="N353">
        <f>IF($AA353="","",INDEX('Per Line'!$AG$2:$AG$4001,$AA353))</f>
        <v/>
      </c>
      <c r="O353">
        <f>IF($AA353="","",IF(AND(ISNUMBER(N353),N353&gt;0),Y353&gt;N353,FALSE))</f>
        <v/>
      </c>
      <c r="P353" s="7">
        <f>IF($AA353="","",SUMIFS('Per Line'!$Y$2:$Y$4001,'Per Line'!$E$2:$E$4001,$B353,'Per Line'!$AQ$2:$AQ$4001,1))</f>
        <v/>
      </c>
      <c r="Q353">
        <f>IF($AA353="","",Settings!$C$7)</f>
        <v/>
      </c>
      <c r="R353" s="7">
        <f>IF($AA353="","",SUMIFS('Per Line'!$Y$2:$Y$4001,'Per Line'!$E$2:$E$4001,$B353,'Per Line'!$AP$2:$AP$4001,0,'Per Line'!$AQ$2:$AQ$4001,0))</f>
        <v/>
      </c>
      <c r="S353" s="7">
        <f>IF($AA353="","",R353*Q353)</f>
        <v/>
      </c>
      <c r="T353">
        <f>IF($AA353="","",Settings!$C$6)</f>
        <v/>
      </c>
      <c r="U353" s="7">
        <f>IF($AA353="","",SUMIFS('Per Line'!$Y$2:$Y$4001,'Per Line'!$E$2:$E$4001,$B353,'Per Line'!$AP$2:$AP$4001,1,'Per Line'!$AQ$2:$AQ$4001,0))</f>
        <v/>
      </c>
      <c r="V353" s="7">
        <f>IF($AA353="","",U353*T353)</f>
        <v/>
      </c>
      <c r="W353" s="7">
        <f>IF($AA353="","",V353+S353)</f>
        <v/>
      </c>
      <c r="X353" s="7">
        <f>IF($AA353="","",Y353-W353)</f>
        <v/>
      </c>
      <c r="Y353" s="7">
        <f>IF($AA353="","",R353+U353+P353)</f>
        <v/>
      </c>
      <c r="Z353" s="7">
        <f>IF($AA353="","",Y353-W353-L353)</f>
        <v/>
      </c>
      <c r="AA353" s="13">
        <f>IF(ROWS($AA$2:$AA353)&lt;=MAX('Per Line'!$AO$2:$AO$4001),MATCH(ROWS($AA$2:$AA353),'Per Line'!$AO$2:$AO$4001,0),"")</f>
        <v/>
      </c>
      <c r="AB353" s="14">
        <f>IF($AA353="","",L353-K353*Y353/100)</f>
        <v/>
      </c>
    </row>
    <row r="354">
      <c r="A354" s="12" t="n"/>
      <c r="B354">
        <f>IF($AA354="","",INDEX('Per Line'!$E$2:$E$4001,$AA354)&amp;"")</f>
        <v/>
      </c>
      <c r="C354">
        <f>IF($AA354="","",INDEX('Per Line'!$A$2:$A$4001,$AA354)&amp;"")</f>
        <v/>
      </c>
      <c r="D354">
        <f>IF($AA354="","",INDEX('Per Line'!$D$2:$D$4001,$AA354)&amp;"")</f>
        <v/>
      </c>
      <c r="E354" s="11">
        <f>IF($AA354="","",INDEX('Per Line'!$G$2:$G$4001,$AA354))</f>
        <v/>
      </c>
      <c r="F354">
        <f>IF($AA354="","",INDEX('Per Line'!$H$2:$H$4001,$AA354)&amp;"")</f>
        <v/>
      </c>
      <c r="G354">
        <f>IF($AA354="","",INDEX('Per Line'!$I$2:$I$4001,$AA354)&amp;"")</f>
        <v/>
      </c>
      <c r="H354">
        <f>IF($AA354="","",INDEX('Per Line'!$J$2:$J$4001,$AA354)&amp;"")</f>
        <v/>
      </c>
      <c r="I354">
        <f>IF($AA354="","",INDEX('Per Line'!$K$2:$K$4001,$AA354)&amp;"")</f>
        <v/>
      </c>
      <c r="J354">
        <f>IF($AA354="","",INDEX('Per Line'!$L$2:$L$4001,$AA354)&amp;"")</f>
        <v/>
      </c>
      <c r="K354">
        <f>IF($AA354="","",INDEX('Per Line'!$P$2:$P$4001,$AA354))</f>
        <v/>
      </c>
      <c r="L354" s="7">
        <f>IF($AA354="","",IF(AND(ISNUMBER(N354),N354&gt;0,Y354&gt;N354),K354*N354/100+(Y354-N354),K354*Y354/100))</f>
        <v/>
      </c>
      <c r="M354">
        <f>IF($AA354="","",INDEX('Per Line'!$Z$2:$Z$4001,$AA354)&amp;"")</f>
        <v/>
      </c>
      <c r="N354">
        <f>IF($AA354="","",INDEX('Per Line'!$AG$2:$AG$4001,$AA354))</f>
        <v/>
      </c>
      <c r="O354">
        <f>IF($AA354="","",IF(AND(ISNUMBER(N354),N354&gt;0),Y354&gt;N354,FALSE))</f>
        <v/>
      </c>
      <c r="P354" s="7">
        <f>IF($AA354="","",SUMIFS('Per Line'!$Y$2:$Y$4001,'Per Line'!$E$2:$E$4001,$B354,'Per Line'!$AQ$2:$AQ$4001,1))</f>
        <v/>
      </c>
      <c r="Q354">
        <f>IF($AA354="","",Settings!$C$7)</f>
        <v/>
      </c>
      <c r="R354" s="7">
        <f>IF($AA354="","",SUMIFS('Per Line'!$Y$2:$Y$4001,'Per Line'!$E$2:$E$4001,$B354,'Per Line'!$AP$2:$AP$4001,0,'Per Line'!$AQ$2:$AQ$4001,0))</f>
        <v/>
      </c>
      <c r="S354" s="7">
        <f>IF($AA354="","",R354*Q354)</f>
        <v/>
      </c>
      <c r="T354">
        <f>IF($AA354="","",Settings!$C$6)</f>
        <v/>
      </c>
      <c r="U354" s="7">
        <f>IF($AA354="","",SUMIFS('Per Line'!$Y$2:$Y$4001,'Per Line'!$E$2:$E$4001,$B354,'Per Line'!$AP$2:$AP$4001,1,'Per Line'!$AQ$2:$AQ$4001,0))</f>
        <v/>
      </c>
      <c r="V354" s="7">
        <f>IF($AA354="","",U354*T354)</f>
        <v/>
      </c>
      <c r="W354" s="7">
        <f>IF($AA354="","",V354+S354)</f>
        <v/>
      </c>
      <c r="X354" s="7">
        <f>IF($AA354="","",Y354-W354)</f>
        <v/>
      </c>
      <c r="Y354" s="7">
        <f>IF($AA354="","",R354+U354+P354)</f>
        <v/>
      </c>
      <c r="Z354" s="7">
        <f>IF($AA354="","",Y354-W354-L354)</f>
        <v/>
      </c>
      <c r="AA354" s="13">
        <f>IF(ROWS($AA$2:$AA354)&lt;=MAX('Per Line'!$AO$2:$AO$4001),MATCH(ROWS($AA$2:$AA354),'Per Line'!$AO$2:$AO$4001,0),"")</f>
        <v/>
      </c>
      <c r="AB354" s="14">
        <f>IF($AA354="","",L354-K354*Y354/100)</f>
        <v/>
      </c>
    </row>
    <row r="355">
      <c r="A355" s="12" t="n"/>
      <c r="B355">
        <f>IF($AA355="","",INDEX('Per Line'!$E$2:$E$4001,$AA355)&amp;"")</f>
        <v/>
      </c>
      <c r="C355">
        <f>IF($AA355="","",INDEX('Per Line'!$A$2:$A$4001,$AA355)&amp;"")</f>
        <v/>
      </c>
      <c r="D355">
        <f>IF($AA355="","",INDEX('Per Line'!$D$2:$D$4001,$AA355)&amp;"")</f>
        <v/>
      </c>
      <c r="E355" s="11">
        <f>IF($AA355="","",INDEX('Per Line'!$G$2:$G$4001,$AA355))</f>
        <v/>
      </c>
      <c r="F355">
        <f>IF($AA355="","",INDEX('Per Line'!$H$2:$H$4001,$AA355)&amp;"")</f>
        <v/>
      </c>
      <c r="G355">
        <f>IF($AA355="","",INDEX('Per Line'!$I$2:$I$4001,$AA355)&amp;"")</f>
        <v/>
      </c>
      <c r="H355">
        <f>IF($AA355="","",INDEX('Per Line'!$J$2:$J$4001,$AA355)&amp;"")</f>
        <v/>
      </c>
      <c r="I355">
        <f>IF($AA355="","",INDEX('Per Line'!$K$2:$K$4001,$AA355)&amp;"")</f>
        <v/>
      </c>
      <c r="J355">
        <f>IF($AA355="","",INDEX('Per Line'!$L$2:$L$4001,$AA355)&amp;"")</f>
        <v/>
      </c>
      <c r="K355">
        <f>IF($AA355="","",INDEX('Per Line'!$P$2:$P$4001,$AA355))</f>
        <v/>
      </c>
      <c r="L355" s="7">
        <f>IF($AA355="","",IF(AND(ISNUMBER(N355),N355&gt;0,Y355&gt;N355),K355*N355/100+(Y355-N355),K355*Y355/100))</f>
        <v/>
      </c>
      <c r="M355">
        <f>IF($AA355="","",INDEX('Per Line'!$Z$2:$Z$4001,$AA355)&amp;"")</f>
        <v/>
      </c>
      <c r="N355">
        <f>IF($AA355="","",INDEX('Per Line'!$AG$2:$AG$4001,$AA355))</f>
        <v/>
      </c>
      <c r="O355">
        <f>IF($AA355="","",IF(AND(ISNUMBER(N355),N355&gt;0),Y355&gt;N355,FALSE))</f>
        <v/>
      </c>
      <c r="P355" s="7">
        <f>IF($AA355="","",SUMIFS('Per Line'!$Y$2:$Y$4001,'Per Line'!$E$2:$E$4001,$B355,'Per Line'!$AQ$2:$AQ$4001,1))</f>
        <v/>
      </c>
      <c r="Q355">
        <f>IF($AA355="","",Settings!$C$7)</f>
        <v/>
      </c>
      <c r="R355" s="7">
        <f>IF($AA355="","",SUMIFS('Per Line'!$Y$2:$Y$4001,'Per Line'!$E$2:$E$4001,$B355,'Per Line'!$AP$2:$AP$4001,0,'Per Line'!$AQ$2:$AQ$4001,0))</f>
        <v/>
      </c>
      <c r="S355" s="7">
        <f>IF($AA355="","",R355*Q355)</f>
        <v/>
      </c>
      <c r="T355">
        <f>IF($AA355="","",Settings!$C$6)</f>
        <v/>
      </c>
      <c r="U355" s="7">
        <f>IF($AA355="","",SUMIFS('Per Line'!$Y$2:$Y$4001,'Per Line'!$E$2:$E$4001,$B355,'Per Line'!$AP$2:$AP$4001,1,'Per Line'!$AQ$2:$AQ$4001,0))</f>
        <v/>
      </c>
      <c r="V355" s="7">
        <f>IF($AA355="","",U355*T355)</f>
        <v/>
      </c>
      <c r="W355" s="7">
        <f>IF($AA355="","",V355+S355)</f>
        <v/>
      </c>
      <c r="X355" s="7">
        <f>IF($AA355="","",Y355-W355)</f>
        <v/>
      </c>
      <c r="Y355" s="7">
        <f>IF($AA355="","",R355+U355+P355)</f>
        <v/>
      </c>
      <c r="Z355" s="7">
        <f>IF($AA355="","",Y355-W355-L355)</f>
        <v/>
      </c>
      <c r="AA355" s="13">
        <f>IF(ROWS($AA$2:$AA355)&lt;=MAX('Per Line'!$AO$2:$AO$4001),MATCH(ROWS($AA$2:$AA355),'Per Line'!$AO$2:$AO$4001,0),"")</f>
        <v/>
      </c>
      <c r="AB355" s="14">
        <f>IF($AA355="","",L355-K355*Y355/100)</f>
        <v/>
      </c>
    </row>
    <row r="356">
      <c r="A356" s="12" t="n"/>
      <c r="B356">
        <f>IF($AA356="","",INDEX('Per Line'!$E$2:$E$4001,$AA356)&amp;"")</f>
        <v/>
      </c>
      <c r="C356">
        <f>IF($AA356="","",INDEX('Per Line'!$A$2:$A$4001,$AA356)&amp;"")</f>
        <v/>
      </c>
      <c r="D356">
        <f>IF($AA356="","",INDEX('Per Line'!$D$2:$D$4001,$AA356)&amp;"")</f>
        <v/>
      </c>
      <c r="E356" s="11">
        <f>IF($AA356="","",INDEX('Per Line'!$G$2:$G$4001,$AA356))</f>
        <v/>
      </c>
      <c r="F356">
        <f>IF($AA356="","",INDEX('Per Line'!$H$2:$H$4001,$AA356)&amp;"")</f>
        <v/>
      </c>
      <c r="G356">
        <f>IF($AA356="","",INDEX('Per Line'!$I$2:$I$4001,$AA356)&amp;"")</f>
        <v/>
      </c>
      <c r="H356">
        <f>IF($AA356="","",INDEX('Per Line'!$J$2:$J$4001,$AA356)&amp;"")</f>
        <v/>
      </c>
      <c r="I356">
        <f>IF($AA356="","",INDEX('Per Line'!$K$2:$K$4001,$AA356)&amp;"")</f>
        <v/>
      </c>
      <c r="J356">
        <f>IF($AA356="","",INDEX('Per Line'!$L$2:$L$4001,$AA356)&amp;"")</f>
        <v/>
      </c>
      <c r="K356">
        <f>IF($AA356="","",INDEX('Per Line'!$P$2:$P$4001,$AA356))</f>
        <v/>
      </c>
      <c r="L356" s="7">
        <f>IF($AA356="","",IF(AND(ISNUMBER(N356),N356&gt;0,Y356&gt;N356),K356*N356/100+(Y356-N356),K356*Y356/100))</f>
        <v/>
      </c>
      <c r="M356">
        <f>IF($AA356="","",INDEX('Per Line'!$Z$2:$Z$4001,$AA356)&amp;"")</f>
        <v/>
      </c>
      <c r="N356">
        <f>IF($AA356="","",INDEX('Per Line'!$AG$2:$AG$4001,$AA356))</f>
        <v/>
      </c>
      <c r="O356">
        <f>IF($AA356="","",IF(AND(ISNUMBER(N356),N356&gt;0),Y356&gt;N356,FALSE))</f>
        <v/>
      </c>
      <c r="P356" s="7">
        <f>IF($AA356="","",SUMIFS('Per Line'!$Y$2:$Y$4001,'Per Line'!$E$2:$E$4001,$B356,'Per Line'!$AQ$2:$AQ$4001,1))</f>
        <v/>
      </c>
      <c r="Q356">
        <f>IF($AA356="","",Settings!$C$7)</f>
        <v/>
      </c>
      <c r="R356" s="7">
        <f>IF($AA356="","",SUMIFS('Per Line'!$Y$2:$Y$4001,'Per Line'!$E$2:$E$4001,$B356,'Per Line'!$AP$2:$AP$4001,0,'Per Line'!$AQ$2:$AQ$4001,0))</f>
        <v/>
      </c>
      <c r="S356" s="7">
        <f>IF($AA356="","",R356*Q356)</f>
        <v/>
      </c>
      <c r="T356">
        <f>IF($AA356="","",Settings!$C$6)</f>
        <v/>
      </c>
      <c r="U356" s="7">
        <f>IF($AA356="","",SUMIFS('Per Line'!$Y$2:$Y$4001,'Per Line'!$E$2:$E$4001,$B356,'Per Line'!$AP$2:$AP$4001,1,'Per Line'!$AQ$2:$AQ$4001,0))</f>
        <v/>
      </c>
      <c r="V356" s="7">
        <f>IF($AA356="","",U356*T356)</f>
        <v/>
      </c>
      <c r="W356" s="7">
        <f>IF($AA356="","",V356+S356)</f>
        <v/>
      </c>
      <c r="X356" s="7">
        <f>IF($AA356="","",Y356-W356)</f>
        <v/>
      </c>
      <c r="Y356" s="7">
        <f>IF($AA356="","",R356+U356+P356)</f>
        <v/>
      </c>
      <c r="Z356" s="7">
        <f>IF($AA356="","",Y356-W356-L356)</f>
        <v/>
      </c>
      <c r="AA356" s="13">
        <f>IF(ROWS($AA$2:$AA356)&lt;=MAX('Per Line'!$AO$2:$AO$4001),MATCH(ROWS($AA$2:$AA356),'Per Line'!$AO$2:$AO$4001,0),"")</f>
        <v/>
      </c>
      <c r="AB356" s="14">
        <f>IF($AA356="","",L356-K356*Y356/100)</f>
        <v/>
      </c>
    </row>
    <row r="357">
      <c r="A357" s="12" t="n"/>
      <c r="B357">
        <f>IF($AA357="","",INDEX('Per Line'!$E$2:$E$4001,$AA357)&amp;"")</f>
        <v/>
      </c>
      <c r="C357">
        <f>IF($AA357="","",INDEX('Per Line'!$A$2:$A$4001,$AA357)&amp;"")</f>
        <v/>
      </c>
      <c r="D357">
        <f>IF($AA357="","",INDEX('Per Line'!$D$2:$D$4001,$AA357)&amp;"")</f>
        <v/>
      </c>
      <c r="E357" s="11">
        <f>IF($AA357="","",INDEX('Per Line'!$G$2:$G$4001,$AA357))</f>
        <v/>
      </c>
      <c r="F357">
        <f>IF($AA357="","",INDEX('Per Line'!$H$2:$H$4001,$AA357)&amp;"")</f>
        <v/>
      </c>
      <c r="G357">
        <f>IF($AA357="","",INDEX('Per Line'!$I$2:$I$4001,$AA357)&amp;"")</f>
        <v/>
      </c>
      <c r="H357">
        <f>IF($AA357="","",INDEX('Per Line'!$J$2:$J$4001,$AA357)&amp;"")</f>
        <v/>
      </c>
      <c r="I357">
        <f>IF($AA357="","",INDEX('Per Line'!$K$2:$K$4001,$AA357)&amp;"")</f>
        <v/>
      </c>
      <c r="J357">
        <f>IF($AA357="","",INDEX('Per Line'!$L$2:$L$4001,$AA357)&amp;"")</f>
        <v/>
      </c>
      <c r="K357">
        <f>IF($AA357="","",INDEX('Per Line'!$P$2:$P$4001,$AA357))</f>
        <v/>
      </c>
      <c r="L357" s="7">
        <f>IF($AA357="","",IF(AND(ISNUMBER(N357),N357&gt;0,Y357&gt;N357),K357*N357/100+(Y357-N357),K357*Y357/100))</f>
        <v/>
      </c>
      <c r="M357">
        <f>IF($AA357="","",INDEX('Per Line'!$Z$2:$Z$4001,$AA357)&amp;"")</f>
        <v/>
      </c>
      <c r="N357">
        <f>IF($AA357="","",INDEX('Per Line'!$AG$2:$AG$4001,$AA357))</f>
        <v/>
      </c>
      <c r="O357">
        <f>IF($AA357="","",IF(AND(ISNUMBER(N357),N357&gt;0),Y357&gt;N357,FALSE))</f>
        <v/>
      </c>
      <c r="P357" s="7">
        <f>IF($AA357="","",SUMIFS('Per Line'!$Y$2:$Y$4001,'Per Line'!$E$2:$E$4001,$B357,'Per Line'!$AQ$2:$AQ$4001,1))</f>
        <v/>
      </c>
      <c r="Q357">
        <f>IF($AA357="","",Settings!$C$7)</f>
        <v/>
      </c>
      <c r="R357" s="7">
        <f>IF($AA357="","",SUMIFS('Per Line'!$Y$2:$Y$4001,'Per Line'!$E$2:$E$4001,$B357,'Per Line'!$AP$2:$AP$4001,0,'Per Line'!$AQ$2:$AQ$4001,0))</f>
        <v/>
      </c>
      <c r="S357" s="7">
        <f>IF($AA357="","",R357*Q357)</f>
        <v/>
      </c>
      <c r="T357">
        <f>IF($AA357="","",Settings!$C$6)</f>
        <v/>
      </c>
      <c r="U357" s="7">
        <f>IF($AA357="","",SUMIFS('Per Line'!$Y$2:$Y$4001,'Per Line'!$E$2:$E$4001,$B357,'Per Line'!$AP$2:$AP$4001,1,'Per Line'!$AQ$2:$AQ$4001,0))</f>
        <v/>
      </c>
      <c r="V357" s="7">
        <f>IF($AA357="","",U357*T357)</f>
        <v/>
      </c>
      <c r="W357" s="7">
        <f>IF($AA357="","",V357+S357)</f>
        <v/>
      </c>
      <c r="X357" s="7">
        <f>IF($AA357="","",Y357-W357)</f>
        <v/>
      </c>
      <c r="Y357" s="7">
        <f>IF($AA357="","",R357+U357+P357)</f>
        <v/>
      </c>
      <c r="Z357" s="7">
        <f>IF($AA357="","",Y357-W357-L357)</f>
        <v/>
      </c>
      <c r="AA357" s="13">
        <f>IF(ROWS($AA$2:$AA357)&lt;=MAX('Per Line'!$AO$2:$AO$4001),MATCH(ROWS($AA$2:$AA357),'Per Line'!$AO$2:$AO$4001,0),"")</f>
        <v/>
      </c>
      <c r="AB357" s="14">
        <f>IF($AA357="","",L357-K357*Y357/100)</f>
        <v/>
      </c>
    </row>
    <row r="358">
      <c r="A358" s="12" t="n"/>
      <c r="B358">
        <f>IF($AA358="","",INDEX('Per Line'!$E$2:$E$4001,$AA358)&amp;"")</f>
        <v/>
      </c>
      <c r="C358">
        <f>IF($AA358="","",INDEX('Per Line'!$A$2:$A$4001,$AA358)&amp;"")</f>
        <v/>
      </c>
      <c r="D358">
        <f>IF($AA358="","",INDEX('Per Line'!$D$2:$D$4001,$AA358)&amp;"")</f>
        <v/>
      </c>
      <c r="E358" s="11">
        <f>IF($AA358="","",INDEX('Per Line'!$G$2:$G$4001,$AA358))</f>
        <v/>
      </c>
      <c r="F358">
        <f>IF($AA358="","",INDEX('Per Line'!$H$2:$H$4001,$AA358)&amp;"")</f>
        <v/>
      </c>
      <c r="G358">
        <f>IF($AA358="","",INDEX('Per Line'!$I$2:$I$4001,$AA358)&amp;"")</f>
        <v/>
      </c>
      <c r="H358">
        <f>IF($AA358="","",INDEX('Per Line'!$J$2:$J$4001,$AA358)&amp;"")</f>
        <v/>
      </c>
      <c r="I358">
        <f>IF($AA358="","",INDEX('Per Line'!$K$2:$K$4001,$AA358)&amp;"")</f>
        <v/>
      </c>
      <c r="J358">
        <f>IF($AA358="","",INDEX('Per Line'!$L$2:$L$4001,$AA358)&amp;"")</f>
        <v/>
      </c>
      <c r="K358">
        <f>IF($AA358="","",INDEX('Per Line'!$P$2:$P$4001,$AA358))</f>
        <v/>
      </c>
      <c r="L358" s="7">
        <f>IF($AA358="","",IF(AND(ISNUMBER(N358),N358&gt;0,Y358&gt;N358),K358*N358/100+(Y358-N358),K358*Y358/100))</f>
        <v/>
      </c>
      <c r="M358">
        <f>IF($AA358="","",INDEX('Per Line'!$Z$2:$Z$4001,$AA358)&amp;"")</f>
        <v/>
      </c>
      <c r="N358">
        <f>IF($AA358="","",INDEX('Per Line'!$AG$2:$AG$4001,$AA358))</f>
        <v/>
      </c>
      <c r="O358">
        <f>IF($AA358="","",IF(AND(ISNUMBER(N358),N358&gt;0),Y358&gt;N358,FALSE))</f>
        <v/>
      </c>
      <c r="P358" s="7">
        <f>IF($AA358="","",SUMIFS('Per Line'!$Y$2:$Y$4001,'Per Line'!$E$2:$E$4001,$B358,'Per Line'!$AQ$2:$AQ$4001,1))</f>
        <v/>
      </c>
      <c r="Q358">
        <f>IF($AA358="","",Settings!$C$7)</f>
        <v/>
      </c>
      <c r="R358" s="7">
        <f>IF($AA358="","",SUMIFS('Per Line'!$Y$2:$Y$4001,'Per Line'!$E$2:$E$4001,$B358,'Per Line'!$AP$2:$AP$4001,0,'Per Line'!$AQ$2:$AQ$4001,0))</f>
        <v/>
      </c>
      <c r="S358" s="7">
        <f>IF($AA358="","",R358*Q358)</f>
        <v/>
      </c>
      <c r="T358">
        <f>IF($AA358="","",Settings!$C$6)</f>
        <v/>
      </c>
      <c r="U358" s="7">
        <f>IF($AA358="","",SUMIFS('Per Line'!$Y$2:$Y$4001,'Per Line'!$E$2:$E$4001,$B358,'Per Line'!$AP$2:$AP$4001,1,'Per Line'!$AQ$2:$AQ$4001,0))</f>
        <v/>
      </c>
      <c r="V358" s="7">
        <f>IF($AA358="","",U358*T358)</f>
        <v/>
      </c>
      <c r="W358" s="7">
        <f>IF($AA358="","",V358+S358)</f>
        <v/>
      </c>
      <c r="X358" s="7">
        <f>IF($AA358="","",Y358-W358)</f>
        <v/>
      </c>
      <c r="Y358" s="7">
        <f>IF($AA358="","",R358+U358+P358)</f>
        <v/>
      </c>
      <c r="Z358" s="7">
        <f>IF($AA358="","",Y358-W358-L358)</f>
        <v/>
      </c>
      <c r="AA358" s="13">
        <f>IF(ROWS($AA$2:$AA358)&lt;=MAX('Per Line'!$AO$2:$AO$4001),MATCH(ROWS($AA$2:$AA358),'Per Line'!$AO$2:$AO$4001,0),"")</f>
        <v/>
      </c>
      <c r="AB358" s="14">
        <f>IF($AA358="","",L358-K358*Y358/100)</f>
        <v/>
      </c>
    </row>
    <row r="359">
      <c r="A359" s="12" t="n"/>
      <c r="B359">
        <f>IF($AA359="","",INDEX('Per Line'!$E$2:$E$4001,$AA359)&amp;"")</f>
        <v/>
      </c>
      <c r="C359">
        <f>IF($AA359="","",INDEX('Per Line'!$A$2:$A$4001,$AA359)&amp;"")</f>
        <v/>
      </c>
      <c r="D359">
        <f>IF($AA359="","",INDEX('Per Line'!$D$2:$D$4001,$AA359)&amp;"")</f>
        <v/>
      </c>
      <c r="E359" s="11">
        <f>IF($AA359="","",INDEX('Per Line'!$G$2:$G$4001,$AA359))</f>
        <v/>
      </c>
      <c r="F359">
        <f>IF($AA359="","",INDEX('Per Line'!$H$2:$H$4001,$AA359)&amp;"")</f>
        <v/>
      </c>
      <c r="G359">
        <f>IF($AA359="","",INDEX('Per Line'!$I$2:$I$4001,$AA359)&amp;"")</f>
        <v/>
      </c>
      <c r="H359">
        <f>IF($AA359="","",INDEX('Per Line'!$J$2:$J$4001,$AA359)&amp;"")</f>
        <v/>
      </c>
      <c r="I359">
        <f>IF($AA359="","",INDEX('Per Line'!$K$2:$K$4001,$AA359)&amp;"")</f>
        <v/>
      </c>
      <c r="J359">
        <f>IF($AA359="","",INDEX('Per Line'!$L$2:$L$4001,$AA359)&amp;"")</f>
        <v/>
      </c>
      <c r="K359">
        <f>IF($AA359="","",INDEX('Per Line'!$P$2:$P$4001,$AA359))</f>
        <v/>
      </c>
      <c r="L359" s="7">
        <f>IF($AA359="","",IF(AND(ISNUMBER(N359),N359&gt;0,Y359&gt;N359),K359*N359/100+(Y359-N359),K359*Y359/100))</f>
        <v/>
      </c>
      <c r="M359">
        <f>IF($AA359="","",INDEX('Per Line'!$Z$2:$Z$4001,$AA359)&amp;"")</f>
        <v/>
      </c>
      <c r="N359">
        <f>IF($AA359="","",INDEX('Per Line'!$AG$2:$AG$4001,$AA359))</f>
        <v/>
      </c>
      <c r="O359">
        <f>IF($AA359="","",IF(AND(ISNUMBER(N359),N359&gt;0),Y359&gt;N359,FALSE))</f>
        <v/>
      </c>
      <c r="P359" s="7">
        <f>IF($AA359="","",SUMIFS('Per Line'!$Y$2:$Y$4001,'Per Line'!$E$2:$E$4001,$B359,'Per Line'!$AQ$2:$AQ$4001,1))</f>
        <v/>
      </c>
      <c r="Q359">
        <f>IF($AA359="","",Settings!$C$7)</f>
        <v/>
      </c>
      <c r="R359" s="7">
        <f>IF($AA359="","",SUMIFS('Per Line'!$Y$2:$Y$4001,'Per Line'!$E$2:$E$4001,$B359,'Per Line'!$AP$2:$AP$4001,0,'Per Line'!$AQ$2:$AQ$4001,0))</f>
        <v/>
      </c>
      <c r="S359" s="7">
        <f>IF($AA359="","",R359*Q359)</f>
        <v/>
      </c>
      <c r="T359">
        <f>IF($AA359="","",Settings!$C$6)</f>
        <v/>
      </c>
      <c r="U359" s="7">
        <f>IF($AA359="","",SUMIFS('Per Line'!$Y$2:$Y$4001,'Per Line'!$E$2:$E$4001,$B359,'Per Line'!$AP$2:$AP$4001,1,'Per Line'!$AQ$2:$AQ$4001,0))</f>
        <v/>
      </c>
      <c r="V359" s="7">
        <f>IF($AA359="","",U359*T359)</f>
        <v/>
      </c>
      <c r="W359" s="7">
        <f>IF($AA359="","",V359+S359)</f>
        <v/>
      </c>
      <c r="X359" s="7">
        <f>IF($AA359="","",Y359-W359)</f>
        <v/>
      </c>
      <c r="Y359" s="7">
        <f>IF($AA359="","",R359+U359+P359)</f>
        <v/>
      </c>
      <c r="Z359" s="7">
        <f>IF($AA359="","",Y359-W359-L359)</f>
        <v/>
      </c>
      <c r="AA359" s="13">
        <f>IF(ROWS($AA$2:$AA359)&lt;=MAX('Per Line'!$AO$2:$AO$4001),MATCH(ROWS($AA$2:$AA359),'Per Line'!$AO$2:$AO$4001,0),"")</f>
        <v/>
      </c>
      <c r="AB359" s="14">
        <f>IF($AA359="","",L359-K359*Y359/100)</f>
        <v/>
      </c>
    </row>
    <row r="360">
      <c r="A360" s="12" t="n"/>
      <c r="B360">
        <f>IF($AA360="","",INDEX('Per Line'!$E$2:$E$4001,$AA360)&amp;"")</f>
        <v/>
      </c>
      <c r="C360">
        <f>IF($AA360="","",INDEX('Per Line'!$A$2:$A$4001,$AA360)&amp;"")</f>
        <v/>
      </c>
      <c r="D360">
        <f>IF($AA360="","",INDEX('Per Line'!$D$2:$D$4001,$AA360)&amp;"")</f>
        <v/>
      </c>
      <c r="E360" s="11">
        <f>IF($AA360="","",INDEX('Per Line'!$G$2:$G$4001,$AA360))</f>
        <v/>
      </c>
      <c r="F360">
        <f>IF($AA360="","",INDEX('Per Line'!$H$2:$H$4001,$AA360)&amp;"")</f>
        <v/>
      </c>
      <c r="G360">
        <f>IF($AA360="","",INDEX('Per Line'!$I$2:$I$4001,$AA360)&amp;"")</f>
        <v/>
      </c>
      <c r="H360">
        <f>IF($AA360="","",INDEX('Per Line'!$J$2:$J$4001,$AA360)&amp;"")</f>
        <v/>
      </c>
      <c r="I360">
        <f>IF($AA360="","",INDEX('Per Line'!$K$2:$K$4001,$AA360)&amp;"")</f>
        <v/>
      </c>
      <c r="J360">
        <f>IF($AA360="","",INDEX('Per Line'!$L$2:$L$4001,$AA360)&amp;"")</f>
        <v/>
      </c>
      <c r="K360">
        <f>IF($AA360="","",INDEX('Per Line'!$P$2:$P$4001,$AA360))</f>
        <v/>
      </c>
      <c r="L360" s="7">
        <f>IF($AA360="","",IF(AND(ISNUMBER(N360),N360&gt;0,Y360&gt;N360),K360*N360/100+(Y360-N360),K360*Y360/100))</f>
        <v/>
      </c>
      <c r="M360">
        <f>IF($AA360="","",INDEX('Per Line'!$Z$2:$Z$4001,$AA360)&amp;"")</f>
        <v/>
      </c>
      <c r="N360">
        <f>IF($AA360="","",INDEX('Per Line'!$AG$2:$AG$4001,$AA360))</f>
        <v/>
      </c>
      <c r="O360">
        <f>IF($AA360="","",IF(AND(ISNUMBER(N360),N360&gt;0),Y360&gt;N360,FALSE))</f>
        <v/>
      </c>
      <c r="P360" s="7">
        <f>IF($AA360="","",SUMIFS('Per Line'!$Y$2:$Y$4001,'Per Line'!$E$2:$E$4001,$B360,'Per Line'!$AQ$2:$AQ$4001,1))</f>
        <v/>
      </c>
      <c r="Q360">
        <f>IF($AA360="","",Settings!$C$7)</f>
        <v/>
      </c>
      <c r="R360" s="7">
        <f>IF($AA360="","",SUMIFS('Per Line'!$Y$2:$Y$4001,'Per Line'!$E$2:$E$4001,$B360,'Per Line'!$AP$2:$AP$4001,0,'Per Line'!$AQ$2:$AQ$4001,0))</f>
        <v/>
      </c>
      <c r="S360" s="7">
        <f>IF($AA360="","",R360*Q360)</f>
        <v/>
      </c>
      <c r="T360">
        <f>IF($AA360="","",Settings!$C$6)</f>
        <v/>
      </c>
      <c r="U360" s="7">
        <f>IF($AA360="","",SUMIFS('Per Line'!$Y$2:$Y$4001,'Per Line'!$E$2:$E$4001,$B360,'Per Line'!$AP$2:$AP$4001,1,'Per Line'!$AQ$2:$AQ$4001,0))</f>
        <v/>
      </c>
      <c r="V360" s="7">
        <f>IF($AA360="","",U360*T360)</f>
        <v/>
      </c>
      <c r="W360" s="7">
        <f>IF($AA360="","",V360+S360)</f>
        <v/>
      </c>
      <c r="X360" s="7">
        <f>IF($AA360="","",Y360-W360)</f>
        <v/>
      </c>
      <c r="Y360" s="7">
        <f>IF($AA360="","",R360+U360+P360)</f>
        <v/>
      </c>
      <c r="Z360" s="7">
        <f>IF($AA360="","",Y360-W360-L360)</f>
        <v/>
      </c>
      <c r="AA360" s="13">
        <f>IF(ROWS($AA$2:$AA360)&lt;=MAX('Per Line'!$AO$2:$AO$4001),MATCH(ROWS($AA$2:$AA360),'Per Line'!$AO$2:$AO$4001,0),"")</f>
        <v/>
      </c>
      <c r="AB360" s="14">
        <f>IF($AA360="","",L360-K360*Y360/100)</f>
        <v/>
      </c>
    </row>
    <row r="361">
      <c r="A361" s="12" t="n"/>
      <c r="B361">
        <f>IF($AA361="","",INDEX('Per Line'!$E$2:$E$4001,$AA361)&amp;"")</f>
        <v/>
      </c>
      <c r="C361">
        <f>IF($AA361="","",INDEX('Per Line'!$A$2:$A$4001,$AA361)&amp;"")</f>
        <v/>
      </c>
      <c r="D361">
        <f>IF($AA361="","",INDEX('Per Line'!$D$2:$D$4001,$AA361)&amp;"")</f>
        <v/>
      </c>
      <c r="E361" s="11">
        <f>IF($AA361="","",INDEX('Per Line'!$G$2:$G$4001,$AA361))</f>
        <v/>
      </c>
      <c r="F361">
        <f>IF($AA361="","",INDEX('Per Line'!$H$2:$H$4001,$AA361)&amp;"")</f>
        <v/>
      </c>
      <c r="G361">
        <f>IF($AA361="","",INDEX('Per Line'!$I$2:$I$4001,$AA361)&amp;"")</f>
        <v/>
      </c>
      <c r="H361">
        <f>IF($AA361="","",INDEX('Per Line'!$J$2:$J$4001,$AA361)&amp;"")</f>
        <v/>
      </c>
      <c r="I361">
        <f>IF($AA361="","",INDEX('Per Line'!$K$2:$K$4001,$AA361)&amp;"")</f>
        <v/>
      </c>
      <c r="J361">
        <f>IF($AA361="","",INDEX('Per Line'!$L$2:$L$4001,$AA361)&amp;"")</f>
        <v/>
      </c>
      <c r="K361">
        <f>IF($AA361="","",INDEX('Per Line'!$P$2:$P$4001,$AA361))</f>
        <v/>
      </c>
      <c r="L361" s="7">
        <f>IF($AA361="","",IF(AND(ISNUMBER(N361),N361&gt;0,Y361&gt;N361),K361*N361/100+(Y361-N361),K361*Y361/100))</f>
        <v/>
      </c>
      <c r="M361">
        <f>IF($AA361="","",INDEX('Per Line'!$Z$2:$Z$4001,$AA361)&amp;"")</f>
        <v/>
      </c>
      <c r="N361">
        <f>IF($AA361="","",INDEX('Per Line'!$AG$2:$AG$4001,$AA361))</f>
        <v/>
      </c>
      <c r="O361">
        <f>IF($AA361="","",IF(AND(ISNUMBER(N361),N361&gt;0),Y361&gt;N361,FALSE))</f>
        <v/>
      </c>
      <c r="P361" s="7">
        <f>IF($AA361="","",SUMIFS('Per Line'!$Y$2:$Y$4001,'Per Line'!$E$2:$E$4001,$B361,'Per Line'!$AQ$2:$AQ$4001,1))</f>
        <v/>
      </c>
      <c r="Q361">
        <f>IF($AA361="","",Settings!$C$7)</f>
        <v/>
      </c>
      <c r="R361" s="7">
        <f>IF($AA361="","",SUMIFS('Per Line'!$Y$2:$Y$4001,'Per Line'!$E$2:$E$4001,$B361,'Per Line'!$AP$2:$AP$4001,0,'Per Line'!$AQ$2:$AQ$4001,0))</f>
        <v/>
      </c>
      <c r="S361" s="7">
        <f>IF($AA361="","",R361*Q361)</f>
        <v/>
      </c>
      <c r="T361">
        <f>IF($AA361="","",Settings!$C$6)</f>
        <v/>
      </c>
      <c r="U361" s="7">
        <f>IF($AA361="","",SUMIFS('Per Line'!$Y$2:$Y$4001,'Per Line'!$E$2:$E$4001,$B361,'Per Line'!$AP$2:$AP$4001,1,'Per Line'!$AQ$2:$AQ$4001,0))</f>
        <v/>
      </c>
      <c r="V361" s="7">
        <f>IF($AA361="","",U361*T361)</f>
        <v/>
      </c>
      <c r="W361" s="7">
        <f>IF($AA361="","",V361+S361)</f>
        <v/>
      </c>
      <c r="X361" s="7">
        <f>IF($AA361="","",Y361-W361)</f>
        <v/>
      </c>
      <c r="Y361" s="7">
        <f>IF($AA361="","",R361+U361+P361)</f>
        <v/>
      </c>
      <c r="Z361" s="7">
        <f>IF($AA361="","",Y361-W361-L361)</f>
        <v/>
      </c>
      <c r="AA361" s="13">
        <f>IF(ROWS($AA$2:$AA361)&lt;=MAX('Per Line'!$AO$2:$AO$4001),MATCH(ROWS($AA$2:$AA361),'Per Line'!$AO$2:$AO$4001,0),"")</f>
        <v/>
      </c>
      <c r="AB361" s="14">
        <f>IF($AA361="","",L361-K361*Y361/100)</f>
        <v/>
      </c>
    </row>
    <row r="362">
      <c r="A362" s="12" t="n"/>
      <c r="B362">
        <f>IF($AA362="","",INDEX('Per Line'!$E$2:$E$4001,$AA362)&amp;"")</f>
        <v/>
      </c>
      <c r="C362">
        <f>IF($AA362="","",INDEX('Per Line'!$A$2:$A$4001,$AA362)&amp;"")</f>
        <v/>
      </c>
      <c r="D362">
        <f>IF($AA362="","",INDEX('Per Line'!$D$2:$D$4001,$AA362)&amp;"")</f>
        <v/>
      </c>
      <c r="E362" s="11">
        <f>IF($AA362="","",INDEX('Per Line'!$G$2:$G$4001,$AA362))</f>
        <v/>
      </c>
      <c r="F362">
        <f>IF($AA362="","",INDEX('Per Line'!$H$2:$H$4001,$AA362)&amp;"")</f>
        <v/>
      </c>
      <c r="G362">
        <f>IF($AA362="","",INDEX('Per Line'!$I$2:$I$4001,$AA362)&amp;"")</f>
        <v/>
      </c>
      <c r="H362">
        <f>IF($AA362="","",INDEX('Per Line'!$J$2:$J$4001,$AA362)&amp;"")</f>
        <v/>
      </c>
      <c r="I362">
        <f>IF($AA362="","",INDEX('Per Line'!$K$2:$K$4001,$AA362)&amp;"")</f>
        <v/>
      </c>
      <c r="J362">
        <f>IF($AA362="","",INDEX('Per Line'!$L$2:$L$4001,$AA362)&amp;"")</f>
        <v/>
      </c>
      <c r="K362">
        <f>IF($AA362="","",INDEX('Per Line'!$P$2:$P$4001,$AA362))</f>
        <v/>
      </c>
      <c r="L362" s="7">
        <f>IF($AA362="","",IF(AND(ISNUMBER(N362),N362&gt;0,Y362&gt;N362),K362*N362/100+(Y362-N362),K362*Y362/100))</f>
        <v/>
      </c>
      <c r="M362">
        <f>IF($AA362="","",INDEX('Per Line'!$Z$2:$Z$4001,$AA362)&amp;"")</f>
        <v/>
      </c>
      <c r="N362">
        <f>IF($AA362="","",INDEX('Per Line'!$AG$2:$AG$4001,$AA362))</f>
        <v/>
      </c>
      <c r="O362">
        <f>IF($AA362="","",IF(AND(ISNUMBER(N362),N362&gt;0),Y362&gt;N362,FALSE))</f>
        <v/>
      </c>
      <c r="P362" s="7">
        <f>IF($AA362="","",SUMIFS('Per Line'!$Y$2:$Y$4001,'Per Line'!$E$2:$E$4001,$B362,'Per Line'!$AQ$2:$AQ$4001,1))</f>
        <v/>
      </c>
      <c r="Q362">
        <f>IF($AA362="","",Settings!$C$7)</f>
        <v/>
      </c>
      <c r="R362" s="7">
        <f>IF($AA362="","",SUMIFS('Per Line'!$Y$2:$Y$4001,'Per Line'!$E$2:$E$4001,$B362,'Per Line'!$AP$2:$AP$4001,0,'Per Line'!$AQ$2:$AQ$4001,0))</f>
        <v/>
      </c>
      <c r="S362" s="7">
        <f>IF($AA362="","",R362*Q362)</f>
        <v/>
      </c>
      <c r="T362">
        <f>IF($AA362="","",Settings!$C$6)</f>
        <v/>
      </c>
      <c r="U362" s="7">
        <f>IF($AA362="","",SUMIFS('Per Line'!$Y$2:$Y$4001,'Per Line'!$E$2:$E$4001,$B362,'Per Line'!$AP$2:$AP$4001,1,'Per Line'!$AQ$2:$AQ$4001,0))</f>
        <v/>
      </c>
      <c r="V362" s="7">
        <f>IF($AA362="","",U362*T362)</f>
        <v/>
      </c>
      <c r="W362" s="7">
        <f>IF($AA362="","",V362+S362)</f>
        <v/>
      </c>
      <c r="X362" s="7">
        <f>IF($AA362="","",Y362-W362)</f>
        <v/>
      </c>
      <c r="Y362" s="7">
        <f>IF($AA362="","",R362+U362+P362)</f>
        <v/>
      </c>
      <c r="Z362" s="7">
        <f>IF($AA362="","",Y362-W362-L362)</f>
        <v/>
      </c>
      <c r="AA362" s="13">
        <f>IF(ROWS($AA$2:$AA362)&lt;=MAX('Per Line'!$AO$2:$AO$4001),MATCH(ROWS($AA$2:$AA362),'Per Line'!$AO$2:$AO$4001,0),"")</f>
        <v/>
      </c>
      <c r="AB362" s="14">
        <f>IF($AA362="","",L362-K362*Y362/100)</f>
        <v/>
      </c>
    </row>
    <row r="363">
      <c r="A363" s="12" t="n"/>
      <c r="B363">
        <f>IF($AA363="","",INDEX('Per Line'!$E$2:$E$4001,$AA363)&amp;"")</f>
        <v/>
      </c>
      <c r="C363">
        <f>IF($AA363="","",INDEX('Per Line'!$A$2:$A$4001,$AA363)&amp;"")</f>
        <v/>
      </c>
      <c r="D363">
        <f>IF($AA363="","",INDEX('Per Line'!$D$2:$D$4001,$AA363)&amp;"")</f>
        <v/>
      </c>
      <c r="E363" s="11">
        <f>IF($AA363="","",INDEX('Per Line'!$G$2:$G$4001,$AA363))</f>
        <v/>
      </c>
      <c r="F363">
        <f>IF($AA363="","",INDEX('Per Line'!$H$2:$H$4001,$AA363)&amp;"")</f>
        <v/>
      </c>
      <c r="G363">
        <f>IF($AA363="","",INDEX('Per Line'!$I$2:$I$4001,$AA363)&amp;"")</f>
        <v/>
      </c>
      <c r="H363">
        <f>IF($AA363="","",INDEX('Per Line'!$J$2:$J$4001,$AA363)&amp;"")</f>
        <v/>
      </c>
      <c r="I363">
        <f>IF($AA363="","",INDEX('Per Line'!$K$2:$K$4001,$AA363)&amp;"")</f>
        <v/>
      </c>
      <c r="J363">
        <f>IF($AA363="","",INDEX('Per Line'!$L$2:$L$4001,$AA363)&amp;"")</f>
        <v/>
      </c>
      <c r="K363">
        <f>IF($AA363="","",INDEX('Per Line'!$P$2:$P$4001,$AA363))</f>
        <v/>
      </c>
      <c r="L363" s="7">
        <f>IF($AA363="","",IF(AND(ISNUMBER(N363),N363&gt;0,Y363&gt;N363),K363*N363/100+(Y363-N363),K363*Y363/100))</f>
        <v/>
      </c>
      <c r="M363">
        <f>IF($AA363="","",INDEX('Per Line'!$Z$2:$Z$4001,$AA363)&amp;"")</f>
        <v/>
      </c>
      <c r="N363">
        <f>IF($AA363="","",INDEX('Per Line'!$AG$2:$AG$4001,$AA363))</f>
        <v/>
      </c>
      <c r="O363">
        <f>IF($AA363="","",IF(AND(ISNUMBER(N363),N363&gt;0),Y363&gt;N363,FALSE))</f>
        <v/>
      </c>
      <c r="P363" s="7">
        <f>IF($AA363="","",SUMIFS('Per Line'!$Y$2:$Y$4001,'Per Line'!$E$2:$E$4001,$B363,'Per Line'!$AQ$2:$AQ$4001,1))</f>
        <v/>
      </c>
      <c r="Q363">
        <f>IF($AA363="","",Settings!$C$7)</f>
        <v/>
      </c>
      <c r="R363" s="7">
        <f>IF($AA363="","",SUMIFS('Per Line'!$Y$2:$Y$4001,'Per Line'!$E$2:$E$4001,$B363,'Per Line'!$AP$2:$AP$4001,0,'Per Line'!$AQ$2:$AQ$4001,0))</f>
        <v/>
      </c>
      <c r="S363" s="7">
        <f>IF($AA363="","",R363*Q363)</f>
        <v/>
      </c>
      <c r="T363">
        <f>IF($AA363="","",Settings!$C$6)</f>
        <v/>
      </c>
      <c r="U363" s="7">
        <f>IF($AA363="","",SUMIFS('Per Line'!$Y$2:$Y$4001,'Per Line'!$E$2:$E$4001,$B363,'Per Line'!$AP$2:$AP$4001,1,'Per Line'!$AQ$2:$AQ$4001,0))</f>
        <v/>
      </c>
      <c r="V363" s="7">
        <f>IF($AA363="","",U363*T363)</f>
        <v/>
      </c>
      <c r="W363" s="7">
        <f>IF($AA363="","",V363+S363)</f>
        <v/>
      </c>
      <c r="X363" s="7">
        <f>IF($AA363="","",Y363-W363)</f>
        <v/>
      </c>
      <c r="Y363" s="7">
        <f>IF($AA363="","",R363+U363+P363)</f>
        <v/>
      </c>
      <c r="Z363" s="7">
        <f>IF($AA363="","",Y363-W363-L363)</f>
        <v/>
      </c>
      <c r="AA363" s="13">
        <f>IF(ROWS($AA$2:$AA363)&lt;=MAX('Per Line'!$AO$2:$AO$4001),MATCH(ROWS($AA$2:$AA363),'Per Line'!$AO$2:$AO$4001,0),"")</f>
        <v/>
      </c>
      <c r="AB363" s="14">
        <f>IF($AA363="","",L363-K363*Y363/100)</f>
        <v/>
      </c>
    </row>
    <row r="364">
      <c r="A364" s="12" t="n"/>
      <c r="B364">
        <f>IF($AA364="","",INDEX('Per Line'!$E$2:$E$4001,$AA364)&amp;"")</f>
        <v/>
      </c>
      <c r="C364">
        <f>IF($AA364="","",INDEX('Per Line'!$A$2:$A$4001,$AA364)&amp;"")</f>
        <v/>
      </c>
      <c r="D364">
        <f>IF($AA364="","",INDEX('Per Line'!$D$2:$D$4001,$AA364)&amp;"")</f>
        <v/>
      </c>
      <c r="E364" s="11">
        <f>IF($AA364="","",INDEX('Per Line'!$G$2:$G$4001,$AA364))</f>
        <v/>
      </c>
      <c r="F364">
        <f>IF($AA364="","",INDEX('Per Line'!$H$2:$H$4001,$AA364)&amp;"")</f>
        <v/>
      </c>
      <c r="G364">
        <f>IF($AA364="","",INDEX('Per Line'!$I$2:$I$4001,$AA364)&amp;"")</f>
        <v/>
      </c>
      <c r="H364">
        <f>IF($AA364="","",INDEX('Per Line'!$J$2:$J$4001,$AA364)&amp;"")</f>
        <v/>
      </c>
      <c r="I364">
        <f>IF($AA364="","",INDEX('Per Line'!$K$2:$K$4001,$AA364)&amp;"")</f>
        <v/>
      </c>
      <c r="J364">
        <f>IF($AA364="","",INDEX('Per Line'!$L$2:$L$4001,$AA364)&amp;"")</f>
        <v/>
      </c>
      <c r="K364">
        <f>IF($AA364="","",INDEX('Per Line'!$P$2:$P$4001,$AA364))</f>
        <v/>
      </c>
      <c r="L364" s="7">
        <f>IF($AA364="","",IF(AND(ISNUMBER(N364),N364&gt;0,Y364&gt;N364),K364*N364/100+(Y364-N364),K364*Y364/100))</f>
        <v/>
      </c>
      <c r="M364">
        <f>IF($AA364="","",INDEX('Per Line'!$Z$2:$Z$4001,$AA364)&amp;"")</f>
        <v/>
      </c>
      <c r="N364">
        <f>IF($AA364="","",INDEX('Per Line'!$AG$2:$AG$4001,$AA364))</f>
        <v/>
      </c>
      <c r="O364">
        <f>IF($AA364="","",IF(AND(ISNUMBER(N364),N364&gt;0),Y364&gt;N364,FALSE))</f>
        <v/>
      </c>
      <c r="P364" s="7">
        <f>IF($AA364="","",SUMIFS('Per Line'!$Y$2:$Y$4001,'Per Line'!$E$2:$E$4001,$B364,'Per Line'!$AQ$2:$AQ$4001,1))</f>
        <v/>
      </c>
      <c r="Q364">
        <f>IF($AA364="","",Settings!$C$7)</f>
        <v/>
      </c>
      <c r="R364" s="7">
        <f>IF($AA364="","",SUMIFS('Per Line'!$Y$2:$Y$4001,'Per Line'!$E$2:$E$4001,$B364,'Per Line'!$AP$2:$AP$4001,0,'Per Line'!$AQ$2:$AQ$4001,0))</f>
        <v/>
      </c>
      <c r="S364" s="7">
        <f>IF($AA364="","",R364*Q364)</f>
        <v/>
      </c>
      <c r="T364">
        <f>IF($AA364="","",Settings!$C$6)</f>
        <v/>
      </c>
      <c r="U364" s="7">
        <f>IF($AA364="","",SUMIFS('Per Line'!$Y$2:$Y$4001,'Per Line'!$E$2:$E$4001,$B364,'Per Line'!$AP$2:$AP$4001,1,'Per Line'!$AQ$2:$AQ$4001,0))</f>
        <v/>
      </c>
      <c r="V364" s="7">
        <f>IF($AA364="","",U364*T364)</f>
        <v/>
      </c>
      <c r="W364" s="7">
        <f>IF($AA364="","",V364+S364)</f>
        <v/>
      </c>
      <c r="X364" s="7">
        <f>IF($AA364="","",Y364-W364)</f>
        <v/>
      </c>
      <c r="Y364" s="7">
        <f>IF($AA364="","",R364+U364+P364)</f>
        <v/>
      </c>
      <c r="Z364" s="7">
        <f>IF($AA364="","",Y364-W364-L364)</f>
        <v/>
      </c>
      <c r="AA364" s="13">
        <f>IF(ROWS($AA$2:$AA364)&lt;=MAX('Per Line'!$AO$2:$AO$4001),MATCH(ROWS($AA$2:$AA364),'Per Line'!$AO$2:$AO$4001,0),"")</f>
        <v/>
      </c>
      <c r="AB364" s="14">
        <f>IF($AA364="","",L364-K364*Y364/100)</f>
        <v/>
      </c>
    </row>
    <row r="365">
      <c r="A365" s="12" t="n"/>
      <c r="B365">
        <f>IF($AA365="","",INDEX('Per Line'!$E$2:$E$4001,$AA365)&amp;"")</f>
        <v/>
      </c>
      <c r="C365">
        <f>IF($AA365="","",INDEX('Per Line'!$A$2:$A$4001,$AA365)&amp;"")</f>
        <v/>
      </c>
      <c r="D365">
        <f>IF($AA365="","",INDEX('Per Line'!$D$2:$D$4001,$AA365)&amp;"")</f>
        <v/>
      </c>
      <c r="E365" s="11">
        <f>IF($AA365="","",INDEX('Per Line'!$G$2:$G$4001,$AA365))</f>
        <v/>
      </c>
      <c r="F365">
        <f>IF($AA365="","",INDEX('Per Line'!$H$2:$H$4001,$AA365)&amp;"")</f>
        <v/>
      </c>
      <c r="G365">
        <f>IF($AA365="","",INDEX('Per Line'!$I$2:$I$4001,$AA365)&amp;"")</f>
        <v/>
      </c>
      <c r="H365">
        <f>IF($AA365="","",INDEX('Per Line'!$J$2:$J$4001,$AA365)&amp;"")</f>
        <v/>
      </c>
      <c r="I365">
        <f>IF($AA365="","",INDEX('Per Line'!$K$2:$K$4001,$AA365)&amp;"")</f>
        <v/>
      </c>
      <c r="J365">
        <f>IF($AA365="","",INDEX('Per Line'!$L$2:$L$4001,$AA365)&amp;"")</f>
        <v/>
      </c>
      <c r="K365">
        <f>IF($AA365="","",INDEX('Per Line'!$P$2:$P$4001,$AA365))</f>
        <v/>
      </c>
      <c r="L365" s="7">
        <f>IF($AA365="","",IF(AND(ISNUMBER(N365),N365&gt;0,Y365&gt;N365),K365*N365/100+(Y365-N365),K365*Y365/100))</f>
        <v/>
      </c>
      <c r="M365">
        <f>IF($AA365="","",INDEX('Per Line'!$Z$2:$Z$4001,$AA365)&amp;"")</f>
        <v/>
      </c>
      <c r="N365">
        <f>IF($AA365="","",INDEX('Per Line'!$AG$2:$AG$4001,$AA365))</f>
        <v/>
      </c>
      <c r="O365">
        <f>IF($AA365="","",IF(AND(ISNUMBER(N365),N365&gt;0),Y365&gt;N365,FALSE))</f>
        <v/>
      </c>
      <c r="P365" s="7">
        <f>IF($AA365="","",SUMIFS('Per Line'!$Y$2:$Y$4001,'Per Line'!$E$2:$E$4001,$B365,'Per Line'!$AQ$2:$AQ$4001,1))</f>
        <v/>
      </c>
      <c r="Q365">
        <f>IF($AA365="","",Settings!$C$7)</f>
        <v/>
      </c>
      <c r="R365" s="7">
        <f>IF($AA365="","",SUMIFS('Per Line'!$Y$2:$Y$4001,'Per Line'!$E$2:$E$4001,$B365,'Per Line'!$AP$2:$AP$4001,0,'Per Line'!$AQ$2:$AQ$4001,0))</f>
        <v/>
      </c>
      <c r="S365" s="7">
        <f>IF($AA365="","",R365*Q365)</f>
        <v/>
      </c>
      <c r="T365">
        <f>IF($AA365="","",Settings!$C$6)</f>
        <v/>
      </c>
      <c r="U365" s="7">
        <f>IF($AA365="","",SUMIFS('Per Line'!$Y$2:$Y$4001,'Per Line'!$E$2:$E$4001,$B365,'Per Line'!$AP$2:$AP$4001,1,'Per Line'!$AQ$2:$AQ$4001,0))</f>
        <v/>
      </c>
      <c r="V365" s="7">
        <f>IF($AA365="","",U365*T365)</f>
        <v/>
      </c>
      <c r="W365" s="7">
        <f>IF($AA365="","",V365+S365)</f>
        <v/>
      </c>
      <c r="X365" s="7">
        <f>IF($AA365="","",Y365-W365)</f>
        <v/>
      </c>
      <c r="Y365" s="7">
        <f>IF($AA365="","",R365+U365+P365)</f>
        <v/>
      </c>
      <c r="Z365" s="7">
        <f>IF($AA365="","",Y365-W365-L365)</f>
        <v/>
      </c>
      <c r="AA365" s="13">
        <f>IF(ROWS($AA$2:$AA365)&lt;=MAX('Per Line'!$AO$2:$AO$4001),MATCH(ROWS($AA$2:$AA365),'Per Line'!$AO$2:$AO$4001,0),"")</f>
        <v/>
      </c>
      <c r="AB365" s="14">
        <f>IF($AA365="","",L365-K365*Y365/100)</f>
        <v/>
      </c>
    </row>
    <row r="366">
      <c r="A366" s="12" t="n"/>
      <c r="B366">
        <f>IF($AA366="","",INDEX('Per Line'!$E$2:$E$4001,$AA366)&amp;"")</f>
        <v/>
      </c>
      <c r="C366">
        <f>IF($AA366="","",INDEX('Per Line'!$A$2:$A$4001,$AA366)&amp;"")</f>
        <v/>
      </c>
      <c r="D366">
        <f>IF($AA366="","",INDEX('Per Line'!$D$2:$D$4001,$AA366)&amp;"")</f>
        <v/>
      </c>
      <c r="E366" s="11">
        <f>IF($AA366="","",INDEX('Per Line'!$G$2:$G$4001,$AA366))</f>
        <v/>
      </c>
      <c r="F366">
        <f>IF($AA366="","",INDEX('Per Line'!$H$2:$H$4001,$AA366)&amp;"")</f>
        <v/>
      </c>
      <c r="G366">
        <f>IF($AA366="","",INDEX('Per Line'!$I$2:$I$4001,$AA366)&amp;"")</f>
        <v/>
      </c>
      <c r="H366">
        <f>IF($AA366="","",INDEX('Per Line'!$J$2:$J$4001,$AA366)&amp;"")</f>
        <v/>
      </c>
      <c r="I366">
        <f>IF($AA366="","",INDEX('Per Line'!$K$2:$K$4001,$AA366)&amp;"")</f>
        <v/>
      </c>
      <c r="J366">
        <f>IF($AA366="","",INDEX('Per Line'!$L$2:$L$4001,$AA366)&amp;"")</f>
        <v/>
      </c>
      <c r="K366">
        <f>IF($AA366="","",INDEX('Per Line'!$P$2:$P$4001,$AA366))</f>
        <v/>
      </c>
      <c r="L366" s="7">
        <f>IF($AA366="","",IF(AND(ISNUMBER(N366),N366&gt;0,Y366&gt;N366),K366*N366/100+(Y366-N366),K366*Y366/100))</f>
        <v/>
      </c>
      <c r="M366">
        <f>IF($AA366="","",INDEX('Per Line'!$Z$2:$Z$4001,$AA366)&amp;"")</f>
        <v/>
      </c>
      <c r="N366">
        <f>IF($AA366="","",INDEX('Per Line'!$AG$2:$AG$4001,$AA366))</f>
        <v/>
      </c>
      <c r="O366">
        <f>IF($AA366="","",IF(AND(ISNUMBER(N366),N366&gt;0),Y366&gt;N366,FALSE))</f>
        <v/>
      </c>
      <c r="P366" s="7">
        <f>IF($AA366="","",SUMIFS('Per Line'!$Y$2:$Y$4001,'Per Line'!$E$2:$E$4001,$B366,'Per Line'!$AQ$2:$AQ$4001,1))</f>
        <v/>
      </c>
      <c r="Q366">
        <f>IF($AA366="","",Settings!$C$7)</f>
        <v/>
      </c>
      <c r="R366" s="7">
        <f>IF($AA366="","",SUMIFS('Per Line'!$Y$2:$Y$4001,'Per Line'!$E$2:$E$4001,$B366,'Per Line'!$AP$2:$AP$4001,0,'Per Line'!$AQ$2:$AQ$4001,0))</f>
        <v/>
      </c>
      <c r="S366" s="7">
        <f>IF($AA366="","",R366*Q366)</f>
        <v/>
      </c>
      <c r="T366">
        <f>IF($AA366="","",Settings!$C$6)</f>
        <v/>
      </c>
      <c r="U366" s="7">
        <f>IF($AA366="","",SUMIFS('Per Line'!$Y$2:$Y$4001,'Per Line'!$E$2:$E$4001,$B366,'Per Line'!$AP$2:$AP$4001,1,'Per Line'!$AQ$2:$AQ$4001,0))</f>
        <v/>
      </c>
      <c r="V366" s="7">
        <f>IF($AA366="","",U366*T366)</f>
        <v/>
      </c>
      <c r="W366" s="7">
        <f>IF($AA366="","",V366+S366)</f>
        <v/>
      </c>
      <c r="X366" s="7">
        <f>IF($AA366="","",Y366-W366)</f>
        <v/>
      </c>
      <c r="Y366" s="7">
        <f>IF($AA366="","",R366+U366+P366)</f>
        <v/>
      </c>
      <c r="Z366" s="7">
        <f>IF($AA366="","",Y366-W366-L366)</f>
        <v/>
      </c>
      <c r="AA366" s="13">
        <f>IF(ROWS($AA$2:$AA366)&lt;=MAX('Per Line'!$AO$2:$AO$4001),MATCH(ROWS($AA$2:$AA366),'Per Line'!$AO$2:$AO$4001,0),"")</f>
        <v/>
      </c>
      <c r="AB366" s="14">
        <f>IF($AA366="","",L366-K366*Y366/100)</f>
        <v/>
      </c>
    </row>
    <row r="367">
      <c r="A367" s="12" t="n"/>
      <c r="B367">
        <f>IF($AA367="","",INDEX('Per Line'!$E$2:$E$4001,$AA367)&amp;"")</f>
        <v/>
      </c>
      <c r="C367">
        <f>IF($AA367="","",INDEX('Per Line'!$A$2:$A$4001,$AA367)&amp;"")</f>
        <v/>
      </c>
      <c r="D367">
        <f>IF($AA367="","",INDEX('Per Line'!$D$2:$D$4001,$AA367)&amp;"")</f>
        <v/>
      </c>
      <c r="E367" s="11">
        <f>IF($AA367="","",INDEX('Per Line'!$G$2:$G$4001,$AA367))</f>
        <v/>
      </c>
      <c r="F367">
        <f>IF($AA367="","",INDEX('Per Line'!$H$2:$H$4001,$AA367)&amp;"")</f>
        <v/>
      </c>
      <c r="G367">
        <f>IF($AA367="","",INDEX('Per Line'!$I$2:$I$4001,$AA367)&amp;"")</f>
        <v/>
      </c>
      <c r="H367">
        <f>IF($AA367="","",INDEX('Per Line'!$J$2:$J$4001,$AA367)&amp;"")</f>
        <v/>
      </c>
      <c r="I367">
        <f>IF($AA367="","",INDEX('Per Line'!$K$2:$K$4001,$AA367)&amp;"")</f>
        <v/>
      </c>
      <c r="J367">
        <f>IF($AA367="","",INDEX('Per Line'!$L$2:$L$4001,$AA367)&amp;"")</f>
        <v/>
      </c>
      <c r="K367">
        <f>IF($AA367="","",INDEX('Per Line'!$P$2:$P$4001,$AA367))</f>
        <v/>
      </c>
      <c r="L367" s="7">
        <f>IF($AA367="","",IF(AND(ISNUMBER(N367),N367&gt;0,Y367&gt;N367),K367*N367/100+(Y367-N367),K367*Y367/100))</f>
        <v/>
      </c>
      <c r="M367">
        <f>IF($AA367="","",INDEX('Per Line'!$Z$2:$Z$4001,$AA367)&amp;"")</f>
        <v/>
      </c>
      <c r="N367">
        <f>IF($AA367="","",INDEX('Per Line'!$AG$2:$AG$4001,$AA367))</f>
        <v/>
      </c>
      <c r="O367">
        <f>IF($AA367="","",IF(AND(ISNUMBER(N367),N367&gt;0),Y367&gt;N367,FALSE))</f>
        <v/>
      </c>
      <c r="P367" s="7">
        <f>IF($AA367="","",SUMIFS('Per Line'!$Y$2:$Y$4001,'Per Line'!$E$2:$E$4001,$B367,'Per Line'!$AQ$2:$AQ$4001,1))</f>
        <v/>
      </c>
      <c r="Q367">
        <f>IF($AA367="","",Settings!$C$7)</f>
        <v/>
      </c>
      <c r="R367" s="7">
        <f>IF($AA367="","",SUMIFS('Per Line'!$Y$2:$Y$4001,'Per Line'!$E$2:$E$4001,$B367,'Per Line'!$AP$2:$AP$4001,0,'Per Line'!$AQ$2:$AQ$4001,0))</f>
        <v/>
      </c>
      <c r="S367" s="7">
        <f>IF($AA367="","",R367*Q367)</f>
        <v/>
      </c>
      <c r="T367">
        <f>IF($AA367="","",Settings!$C$6)</f>
        <v/>
      </c>
      <c r="U367" s="7">
        <f>IF($AA367="","",SUMIFS('Per Line'!$Y$2:$Y$4001,'Per Line'!$E$2:$E$4001,$B367,'Per Line'!$AP$2:$AP$4001,1,'Per Line'!$AQ$2:$AQ$4001,0))</f>
        <v/>
      </c>
      <c r="V367" s="7">
        <f>IF($AA367="","",U367*T367)</f>
        <v/>
      </c>
      <c r="W367" s="7">
        <f>IF($AA367="","",V367+S367)</f>
        <v/>
      </c>
      <c r="X367" s="7">
        <f>IF($AA367="","",Y367-W367)</f>
        <v/>
      </c>
      <c r="Y367" s="7">
        <f>IF($AA367="","",R367+U367+P367)</f>
        <v/>
      </c>
      <c r="Z367" s="7">
        <f>IF($AA367="","",Y367-W367-L367)</f>
        <v/>
      </c>
      <c r="AA367" s="13">
        <f>IF(ROWS($AA$2:$AA367)&lt;=MAX('Per Line'!$AO$2:$AO$4001),MATCH(ROWS($AA$2:$AA367),'Per Line'!$AO$2:$AO$4001,0),"")</f>
        <v/>
      </c>
      <c r="AB367" s="14">
        <f>IF($AA367="","",L367-K367*Y367/100)</f>
        <v/>
      </c>
    </row>
    <row r="368">
      <c r="A368" s="12" t="n"/>
      <c r="B368">
        <f>IF($AA368="","",INDEX('Per Line'!$E$2:$E$4001,$AA368)&amp;"")</f>
        <v/>
      </c>
      <c r="C368">
        <f>IF($AA368="","",INDEX('Per Line'!$A$2:$A$4001,$AA368)&amp;"")</f>
        <v/>
      </c>
      <c r="D368">
        <f>IF($AA368="","",INDEX('Per Line'!$D$2:$D$4001,$AA368)&amp;"")</f>
        <v/>
      </c>
      <c r="E368" s="11">
        <f>IF($AA368="","",INDEX('Per Line'!$G$2:$G$4001,$AA368))</f>
        <v/>
      </c>
      <c r="F368">
        <f>IF($AA368="","",INDEX('Per Line'!$H$2:$H$4001,$AA368)&amp;"")</f>
        <v/>
      </c>
      <c r="G368">
        <f>IF($AA368="","",INDEX('Per Line'!$I$2:$I$4001,$AA368)&amp;"")</f>
        <v/>
      </c>
      <c r="H368">
        <f>IF($AA368="","",INDEX('Per Line'!$J$2:$J$4001,$AA368)&amp;"")</f>
        <v/>
      </c>
      <c r="I368">
        <f>IF($AA368="","",INDEX('Per Line'!$K$2:$K$4001,$AA368)&amp;"")</f>
        <v/>
      </c>
      <c r="J368">
        <f>IF($AA368="","",INDEX('Per Line'!$L$2:$L$4001,$AA368)&amp;"")</f>
        <v/>
      </c>
      <c r="K368">
        <f>IF($AA368="","",INDEX('Per Line'!$P$2:$P$4001,$AA368))</f>
        <v/>
      </c>
      <c r="L368" s="7">
        <f>IF($AA368="","",IF(AND(ISNUMBER(N368),N368&gt;0,Y368&gt;N368),K368*N368/100+(Y368-N368),K368*Y368/100))</f>
        <v/>
      </c>
      <c r="M368">
        <f>IF($AA368="","",INDEX('Per Line'!$Z$2:$Z$4001,$AA368)&amp;"")</f>
        <v/>
      </c>
      <c r="N368">
        <f>IF($AA368="","",INDEX('Per Line'!$AG$2:$AG$4001,$AA368))</f>
        <v/>
      </c>
      <c r="O368">
        <f>IF($AA368="","",IF(AND(ISNUMBER(N368),N368&gt;0),Y368&gt;N368,FALSE))</f>
        <v/>
      </c>
      <c r="P368" s="7">
        <f>IF($AA368="","",SUMIFS('Per Line'!$Y$2:$Y$4001,'Per Line'!$E$2:$E$4001,$B368,'Per Line'!$AQ$2:$AQ$4001,1))</f>
        <v/>
      </c>
      <c r="Q368">
        <f>IF($AA368="","",Settings!$C$7)</f>
        <v/>
      </c>
      <c r="R368" s="7">
        <f>IF($AA368="","",SUMIFS('Per Line'!$Y$2:$Y$4001,'Per Line'!$E$2:$E$4001,$B368,'Per Line'!$AP$2:$AP$4001,0,'Per Line'!$AQ$2:$AQ$4001,0))</f>
        <v/>
      </c>
      <c r="S368" s="7">
        <f>IF($AA368="","",R368*Q368)</f>
        <v/>
      </c>
      <c r="T368">
        <f>IF($AA368="","",Settings!$C$6)</f>
        <v/>
      </c>
      <c r="U368" s="7">
        <f>IF($AA368="","",SUMIFS('Per Line'!$Y$2:$Y$4001,'Per Line'!$E$2:$E$4001,$B368,'Per Line'!$AP$2:$AP$4001,1,'Per Line'!$AQ$2:$AQ$4001,0))</f>
        <v/>
      </c>
      <c r="V368" s="7">
        <f>IF($AA368="","",U368*T368)</f>
        <v/>
      </c>
      <c r="W368" s="7">
        <f>IF($AA368="","",V368+S368)</f>
        <v/>
      </c>
      <c r="X368" s="7">
        <f>IF($AA368="","",Y368-W368)</f>
        <v/>
      </c>
      <c r="Y368" s="7">
        <f>IF($AA368="","",R368+U368+P368)</f>
        <v/>
      </c>
      <c r="Z368" s="7">
        <f>IF($AA368="","",Y368-W368-L368)</f>
        <v/>
      </c>
      <c r="AA368" s="13">
        <f>IF(ROWS($AA$2:$AA368)&lt;=MAX('Per Line'!$AO$2:$AO$4001),MATCH(ROWS($AA$2:$AA368),'Per Line'!$AO$2:$AO$4001,0),"")</f>
        <v/>
      </c>
      <c r="AB368" s="14">
        <f>IF($AA368="","",L368-K368*Y368/100)</f>
        <v/>
      </c>
    </row>
    <row r="369">
      <c r="A369" s="12" t="n"/>
      <c r="B369">
        <f>IF($AA369="","",INDEX('Per Line'!$E$2:$E$4001,$AA369)&amp;"")</f>
        <v/>
      </c>
      <c r="C369">
        <f>IF($AA369="","",INDEX('Per Line'!$A$2:$A$4001,$AA369)&amp;"")</f>
        <v/>
      </c>
      <c r="D369">
        <f>IF($AA369="","",INDEX('Per Line'!$D$2:$D$4001,$AA369)&amp;"")</f>
        <v/>
      </c>
      <c r="E369" s="11">
        <f>IF($AA369="","",INDEX('Per Line'!$G$2:$G$4001,$AA369))</f>
        <v/>
      </c>
      <c r="F369">
        <f>IF($AA369="","",INDEX('Per Line'!$H$2:$H$4001,$AA369)&amp;"")</f>
        <v/>
      </c>
      <c r="G369">
        <f>IF($AA369="","",INDEX('Per Line'!$I$2:$I$4001,$AA369)&amp;"")</f>
        <v/>
      </c>
      <c r="H369">
        <f>IF($AA369="","",INDEX('Per Line'!$J$2:$J$4001,$AA369)&amp;"")</f>
        <v/>
      </c>
      <c r="I369">
        <f>IF($AA369="","",INDEX('Per Line'!$K$2:$K$4001,$AA369)&amp;"")</f>
        <v/>
      </c>
      <c r="J369">
        <f>IF($AA369="","",INDEX('Per Line'!$L$2:$L$4001,$AA369)&amp;"")</f>
        <v/>
      </c>
      <c r="K369">
        <f>IF($AA369="","",INDEX('Per Line'!$P$2:$P$4001,$AA369))</f>
        <v/>
      </c>
      <c r="L369" s="7">
        <f>IF($AA369="","",IF(AND(ISNUMBER(N369),N369&gt;0,Y369&gt;N369),K369*N369/100+(Y369-N369),K369*Y369/100))</f>
        <v/>
      </c>
      <c r="M369">
        <f>IF($AA369="","",INDEX('Per Line'!$Z$2:$Z$4001,$AA369)&amp;"")</f>
        <v/>
      </c>
      <c r="N369">
        <f>IF($AA369="","",INDEX('Per Line'!$AG$2:$AG$4001,$AA369))</f>
        <v/>
      </c>
      <c r="O369">
        <f>IF($AA369="","",IF(AND(ISNUMBER(N369),N369&gt;0),Y369&gt;N369,FALSE))</f>
        <v/>
      </c>
      <c r="P369" s="7">
        <f>IF($AA369="","",SUMIFS('Per Line'!$Y$2:$Y$4001,'Per Line'!$E$2:$E$4001,$B369,'Per Line'!$AQ$2:$AQ$4001,1))</f>
        <v/>
      </c>
      <c r="Q369">
        <f>IF($AA369="","",Settings!$C$7)</f>
        <v/>
      </c>
      <c r="R369" s="7">
        <f>IF($AA369="","",SUMIFS('Per Line'!$Y$2:$Y$4001,'Per Line'!$E$2:$E$4001,$B369,'Per Line'!$AP$2:$AP$4001,0,'Per Line'!$AQ$2:$AQ$4001,0))</f>
        <v/>
      </c>
      <c r="S369" s="7">
        <f>IF($AA369="","",R369*Q369)</f>
        <v/>
      </c>
      <c r="T369">
        <f>IF($AA369="","",Settings!$C$6)</f>
        <v/>
      </c>
      <c r="U369" s="7">
        <f>IF($AA369="","",SUMIFS('Per Line'!$Y$2:$Y$4001,'Per Line'!$E$2:$E$4001,$B369,'Per Line'!$AP$2:$AP$4001,1,'Per Line'!$AQ$2:$AQ$4001,0))</f>
        <v/>
      </c>
      <c r="V369" s="7">
        <f>IF($AA369="","",U369*T369)</f>
        <v/>
      </c>
      <c r="W369" s="7">
        <f>IF($AA369="","",V369+S369)</f>
        <v/>
      </c>
      <c r="X369" s="7">
        <f>IF($AA369="","",Y369-W369)</f>
        <v/>
      </c>
      <c r="Y369" s="7">
        <f>IF($AA369="","",R369+U369+P369)</f>
        <v/>
      </c>
      <c r="Z369" s="7">
        <f>IF($AA369="","",Y369-W369-L369)</f>
        <v/>
      </c>
      <c r="AA369" s="13">
        <f>IF(ROWS($AA$2:$AA369)&lt;=MAX('Per Line'!$AO$2:$AO$4001),MATCH(ROWS($AA$2:$AA369),'Per Line'!$AO$2:$AO$4001,0),"")</f>
        <v/>
      </c>
      <c r="AB369" s="14">
        <f>IF($AA369="","",L369-K369*Y369/100)</f>
        <v/>
      </c>
    </row>
    <row r="370">
      <c r="A370" s="12" t="n"/>
      <c r="B370">
        <f>IF($AA370="","",INDEX('Per Line'!$E$2:$E$4001,$AA370)&amp;"")</f>
        <v/>
      </c>
      <c r="C370">
        <f>IF($AA370="","",INDEX('Per Line'!$A$2:$A$4001,$AA370)&amp;"")</f>
        <v/>
      </c>
      <c r="D370">
        <f>IF($AA370="","",INDEX('Per Line'!$D$2:$D$4001,$AA370)&amp;"")</f>
        <v/>
      </c>
      <c r="E370" s="11">
        <f>IF($AA370="","",INDEX('Per Line'!$G$2:$G$4001,$AA370))</f>
        <v/>
      </c>
      <c r="F370">
        <f>IF($AA370="","",INDEX('Per Line'!$H$2:$H$4001,$AA370)&amp;"")</f>
        <v/>
      </c>
      <c r="G370">
        <f>IF($AA370="","",INDEX('Per Line'!$I$2:$I$4001,$AA370)&amp;"")</f>
        <v/>
      </c>
      <c r="H370">
        <f>IF($AA370="","",INDEX('Per Line'!$J$2:$J$4001,$AA370)&amp;"")</f>
        <v/>
      </c>
      <c r="I370">
        <f>IF($AA370="","",INDEX('Per Line'!$K$2:$K$4001,$AA370)&amp;"")</f>
        <v/>
      </c>
      <c r="J370">
        <f>IF($AA370="","",INDEX('Per Line'!$L$2:$L$4001,$AA370)&amp;"")</f>
        <v/>
      </c>
      <c r="K370">
        <f>IF($AA370="","",INDEX('Per Line'!$P$2:$P$4001,$AA370))</f>
        <v/>
      </c>
      <c r="L370" s="7">
        <f>IF($AA370="","",IF(AND(ISNUMBER(N370),N370&gt;0,Y370&gt;N370),K370*N370/100+(Y370-N370),K370*Y370/100))</f>
        <v/>
      </c>
      <c r="M370">
        <f>IF($AA370="","",INDEX('Per Line'!$Z$2:$Z$4001,$AA370)&amp;"")</f>
        <v/>
      </c>
      <c r="N370">
        <f>IF($AA370="","",INDEX('Per Line'!$AG$2:$AG$4001,$AA370))</f>
        <v/>
      </c>
      <c r="O370">
        <f>IF($AA370="","",IF(AND(ISNUMBER(N370),N370&gt;0),Y370&gt;N370,FALSE))</f>
        <v/>
      </c>
      <c r="P370" s="7">
        <f>IF($AA370="","",SUMIFS('Per Line'!$Y$2:$Y$4001,'Per Line'!$E$2:$E$4001,$B370,'Per Line'!$AQ$2:$AQ$4001,1))</f>
        <v/>
      </c>
      <c r="Q370">
        <f>IF($AA370="","",Settings!$C$7)</f>
        <v/>
      </c>
      <c r="R370" s="7">
        <f>IF($AA370="","",SUMIFS('Per Line'!$Y$2:$Y$4001,'Per Line'!$E$2:$E$4001,$B370,'Per Line'!$AP$2:$AP$4001,0,'Per Line'!$AQ$2:$AQ$4001,0))</f>
        <v/>
      </c>
      <c r="S370" s="7">
        <f>IF($AA370="","",R370*Q370)</f>
        <v/>
      </c>
      <c r="T370">
        <f>IF($AA370="","",Settings!$C$6)</f>
        <v/>
      </c>
      <c r="U370" s="7">
        <f>IF($AA370="","",SUMIFS('Per Line'!$Y$2:$Y$4001,'Per Line'!$E$2:$E$4001,$B370,'Per Line'!$AP$2:$AP$4001,1,'Per Line'!$AQ$2:$AQ$4001,0))</f>
        <v/>
      </c>
      <c r="V370" s="7">
        <f>IF($AA370="","",U370*T370)</f>
        <v/>
      </c>
      <c r="W370" s="7">
        <f>IF($AA370="","",V370+S370)</f>
        <v/>
      </c>
      <c r="X370" s="7">
        <f>IF($AA370="","",Y370-W370)</f>
        <v/>
      </c>
      <c r="Y370" s="7">
        <f>IF($AA370="","",R370+U370+P370)</f>
        <v/>
      </c>
      <c r="Z370" s="7">
        <f>IF($AA370="","",Y370-W370-L370)</f>
        <v/>
      </c>
      <c r="AA370" s="13">
        <f>IF(ROWS($AA$2:$AA370)&lt;=MAX('Per Line'!$AO$2:$AO$4001),MATCH(ROWS($AA$2:$AA370),'Per Line'!$AO$2:$AO$4001,0),"")</f>
        <v/>
      </c>
      <c r="AB370" s="14">
        <f>IF($AA370="","",L370-K370*Y370/100)</f>
        <v/>
      </c>
    </row>
    <row r="371">
      <c r="A371" s="12" t="n"/>
      <c r="B371">
        <f>IF($AA371="","",INDEX('Per Line'!$E$2:$E$4001,$AA371)&amp;"")</f>
        <v/>
      </c>
      <c r="C371">
        <f>IF($AA371="","",INDEX('Per Line'!$A$2:$A$4001,$AA371)&amp;"")</f>
        <v/>
      </c>
      <c r="D371">
        <f>IF($AA371="","",INDEX('Per Line'!$D$2:$D$4001,$AA371)&amp;"")</f>
        <v/>
      </c>
      <c r="E371" s="11">
        <f>IF($AA371="","",INDEX('Per Line'!$G$2:$G$4001,$AA371))</f>
        <v/>
      </c>
      <c r="F371">
        <f>IF($AA371="","",INDEX('Per Line'!$H$2:$H$4001,$AA371)&amp;"")</f>
        <v/>
      </c>
      <c r="G371">
        <f>IF($AA371="","",INDEX('Per Line'!$I$2:$I$4001,$AA371)&amp;"")</f>
        <v/>
      </c>
      <c r="H371">
        <f>IF($AA371="","",INDEX('Per Line'!$J$2:$J$4001,$AA371)&amp;"")</f>
        <v/>
      </c>
      <c r="I371">
        <f>IF($AA371="","",INDEX('Per Line'!$K$2:$K$4001,$AA371)&amp;"")</f>
        <v/>
      </c>
      <c r="J371">
        <f>IF($AA371="","",INDEX('Per Line'!$L$2:$L$4001,$AA371)&amp;"")</f>
        <v/>
      </c>
      <c r="K371">
        <f>IF($AA371="","",INDEX('Per Line'!$P$2:$P$4001,$AA371))</f>
        <v/>
      </c>
      <c r="L371" s="7">
        <f>IF($AA371="","",IF(AND(ISNUMBER(N371),N371&gt;0,Y371&gt;N371),K371*N371/100+(Y371-N371),K371*Y371/100))</f>
        <v/>
      </c>
      <c r="M371">
        <f>IF($AA371="","",INDEX('Per Line'!$Z$2:$Z$4001,$AA371)&amp;"")</f>
        <v/>
      </c>
      <c r="N371">
        <f>IF($AA371="","",INDEX('Per Line'!$AG$2:$AG$4001,$AA371))</f>
        <v/>
      </c>
      <c r="O371">
        <f>IF($AA371="","",IF(AND(ISNUMBER(N371),N371&gt;0),Y371&gt;N371,FALSE))</f>
        <v/>
      </c>
      <c r="P371" s="7">
        <f>IF($AA371="","",SUMIFS('Per Line'!$Y$2:$Y$4001,'Per Line'!$E$2:$E$4001,$B371,'Per Line'!$AQ$2:$AQ$4001,1))</f>
        <v/>
      </c>
      <c r="Q371">
        <f>IF($AA371="","",Settings!$C$7)</f>
        <v/>
      </c>
      <c r="R371" s="7">
        <f>IF($AA371="","",SUMIFS('Per Line'!$Y$2:$Y$4001,'Per Line'!$E$2:$E$4001,$B371,'Per Line'!$AP$2:$AP$4001,0,'Per Line'!$AQ$2:$AQ$4001,0))</f>
        <v/>
      </c>
      <c r="S371" s="7">
        <f>IF($AA371="","",R371*Q371)</f>
        <v/>
      </c>
      <c r="T371">
        <f>IF($AA371="","",Settings!$C$6)</f>
        <v/>
      </c>
      <c r="U371" s="7">
        <f>IF($AA371="","",SUMIFS('Per Line'!$Y$2:$Y$4001,'Per Line'!$E$2:$E$4001,$B371,'Per Line'!$AP$2:$AP$4001,1,'Per Line'!$AQ$2:$AQ$4001,0))</f>
        <v/>
      </c>
      <c r="V371" s="7">
        <f>IF($AA371="","",U371*T371)</f>
        <v/>
      </c>
      <c r="W371" s="7">
        <f>IF($AA371="","",V371+S371)</f>
        <v/>
      </c>
      <c r="X371" s="7">
        <f>IF($AA371="","",Y371-W371)</f>
        <v/>
      </c>
      <c r="Y371" s="7">
        <f>IF($AA371="","",R371+U371+P371)</f>
        <v/>
      </c>
      <c r="Z371" s="7">
        <f>IF($AA371="","",Y371-W371-L371)</f>
        <v/>
      </c>
      <c r="AA371" s="13">
        <f>IF(ROWS($AA$2:$AA371)&lt;=MAX('Per Line'!$AO$2:$AO$4001),MATCH(ROWS($AA$2:$AA371),'Per Line'!$AO$2:$AO$4001,0),"")</f>
        <v/>
      </c>
      <c r="AB371" s="14">
        <f>IF($AA371="","",L371-K371*Y371/100)</f>
        <v/>
      </c>
    </row>
    <row r="372">
      <c r="A372" s="12" t="n"/>
      <c r="B372">
        <f>IF($AA372="","",INDEX('Per Line'!$E$2:$E$4001,$AA372)&amp;"")</f>
        <v/>
      </c>
      <c r="C372">
        <f>IF($AA372="","",INDEX('Per Line'!$A$2:$A$4001,$AA372)&amp;"")</f>
        <v/>
      </c>
      <c r="D372">
        <f>IF($AA372="","",INDEX('Per Line'!$D$2:$D$4001,$AA372)&amp;"")</f>
        <v/>
      </c>
      <c r="E372" s="11">
        <f>IF($AA372="","",INDEX('Per Line'!$G$2:$G$4001,$AA372))</f>
        <v/>
      </c>
      <c r="F372">
        <f>IF($AA372="","",INDEX('Per Line'!$H$2:$H$4001,$AA372)&amp;"")</f>
        <v/>
      </c>
      <c r="G372">
        <f>IF($AA372="","",INDEX('Per Line'!$I$2:$I$4001,$AA372)&amp;"")</f>
        <v/>
      </c>
      <c r="H372">
        <f>IF($AA372="","",INDEX('Per Line'!$J$2:$J$4001,$AA372)&amp;"")</f>
        <v/>
      </c>
      <c r="I372">
        <f>IF($AA372="","",INDEX('Per Line'!$K$2:$K$4001,$AA372)&amp;"")</f>
        <v/>
      </c>
      <c r="J372">
        <f>IF($AA372="","",INDEX('Per Line'!$L$2:$L$4001,$AA372)&amp;"")</f>
        <v/>
      </c>
      <c r="K372">
        <f>IF($AA372="","",INDEX('Per Line'!$P$2:$P$4001,$AA372))</f>
        <v/>
      </c>
      <c r="L372" s="7">
        <f>IF($AA372="","",IF(AND(ISNUMBER(N372),N372&gt;0,Y372&gt;N372),K372*N372/100+(Y372-N372),K372*Y372/100))</f>
        <v/>
      </c>
      <c r="M372">
        <f>IF($AA372="","",INDEX('Per Line'!$Z$2:$Z$4001,$AA372)&amp;"")</f>
        <v/>
      </c>
      <c r="N372">
        <f>IF($AA372="","",INDEX('Per Line'!$AG$2:$AG$4001,$AA372))</f>
        <v/>
      </c>
      <c r="O372">
        <f>IF($AA372="","",IF(AND(ISNUMBER(N372),N372&gt;0),Y372&gt;N372,FALSE))</f>
        <v/>
      </c>
      <c r="P372" s="7">
        <f>IF($AA372="","",SUMIFS('Per Line'!$Y$2:$Y$4001,'Per Line'!$E$2:$E$4001,$B372,'Per Line'!$AQ$2:$AQ$4001,1))</f>
        <v/>
      </c>
      <c r="Q372">
        <f>IF($AA372="","",Settings!$C$7)</f>
        <v/>
      </c>
      <c r="R372" s="7">
        <f>IF($AA372="","",SUMIFS('Per Line'!$Y$2:$Y$4001,'Per Line'!$E$2:$E$4001,$B372,'Per Line'!$AP$2:$AP$4001,0,'Per Line'!$AQ$2:$AQ$4001,0))</f>
        <v/>
      </c>
      <c r="S372" s="7">
        <f>IF($AA372="","",R372*Q372)</f>
        <v/>
      </c>
      <c r="T372">
        <f>IF($AA372="","",Settings!$C$6)</f>
        <v/>
      </c>
      <c r="U372" s="7">
        <f>IF($AA372="","",SUMIFS('Per Line'!$Y$2:$Y$4001,'Per Line'!$E$2:$E$4001,$B372,'Per Line'!$AP$2:$AP$4001,1,'Per Line'!$AQ$2:$AQ$4001,0))</f>
        <v/>
      </c>
      <c r="V372" s="7">
        <f>IF($AA372="","",U372*T372)</f>
        <v/>
      </c>
      <c r="W372" s="7">
        <f>IF($AA372="","",V372+S372)</f>
        <v/>
      </c>
      <c r="X372" s="7">
        <f>IF($AA372="","",Y372-W372)</f>
        <v/>
      </c>
      <c r="Y372" s="7">
        <f>IF($AA372="","",R372+U372+P372)</f>
        <v/>
      </c>
      <c r="Z372" s="7">
        <f>IF($AA372="","",Y372-W372-L372)</f>
        <v/>
      </c>
      <c r="AA372" s="13">
        <f>IF(ROWS($AA$2:$AA372)&lt;=MAX('Per Line'!$AO$2:$AO$4001),MATCH(ROWS($AA$2:$AA372),'Per Line'!$AO$2:$AO$4001,0),"")</f>
        <v/>
      </c>
      <c r="AB372" s="14">
        <f>IF($AA372="","",L372-K372*Y372/100)</f>
        <v/>
      </c>
    </row>
    <row r="373">
      <c r="A373" s="12" t="n"/>
      <c r="B373">
        <f>IF($AA373="","",INDEX('Per Line'!$E$2:$E$4001,$AA373)&amp;"")</f>
        <v/>
      </c>
      <c r="C373">
        <f>IF($AA373="","",INDEX('Per Line'!$A$2:$A$4001,$AA373)&amp;"")</f>
        <v/>
      </c>
      <c r="D373">
        <f>IF($AA373="","",INDEX('Per Line'!$D$2:$D$4001,$AA373)&amp;"")</f>
        <v/>
      </c>
      <c r="E373" s="11">
        <f>IF($AA373="","",INDEX('Per Line'!$G$2:$G$4001,$AA373))</f>
        <v/>
      </c>
      <c r="F373">
        <f>IF($AA373="","",INDEX('Per Line'!$H$2:$H$4001,$AA373)&amp;"")</f>
        <v/>
      </c>
      <c r="G373">
        <f>IF($AA373="","",INDEX('Per Line'!$I$2:$I$4001,$AA373)&amp;"")</f>
        <v/>
      </c>
      <c r="H373">
        <f>IF($AA373="","",INDEX('Per Line'!$J$2:$J$4001,$AA373)&amp;"")</f>
        <v/>
      </c>
      <c r="I373">
        <f>IF($AA373="","",INDEX('Per Line'!$K$2:$K$4001,$AA373)&amp;"")</f>
        <v/>
      </c>
      <c r="J373">
        <f>IF($AA373="","",INDEX('Per Line'!$L$2:$L$4001,$AA373)&amp;"")</f>
        <v/>
      </c>
      <c r="K373">
        <f>IF($AA373="","",INDEX('Per Line'!$P$2:$P$4001,$AA373))</f>
        <v/>
      </c>
      <c r="L373" s="7">
        <f>IF($AA373="","",IF(AND(ISNUMBER(N373),N373&gt;0,Y373&gt;N373),K373*N373/100+(Y373-N373),K373*Y373/100))</f>
        <v/>
      </c>
      <c r="M373">
        <f>IF($AA373="","",INDEX('Per Line'!$Z$2:$Z$4001,$AA373)&amp;"")</f>
        <v/>
      </c>
      <c r="N373">
        <f>IF($AA373="","",INDEX('Per Line'!$AG$2:$AG$4001,$AA373))</f>
        <v/>
      </c>
      <c r="O373">
        <f>IF($AA373="","",IF(AND(ISNUMBER(N373),N373&gt;0),Y373&gt;N373,FALSE))</f>
        <v/>
      </c>
      <c r="P373" s="7">
        <f>IF($AA373="","",SUMIFS('Per Line'!$Y$2:$Y$4001,'Per Line'!$E$2:$E$4001,$B373,'Per Line'!$AQ$2:$AQ$4001,1))</f>
        <v/>
      </c>
      <c r="Q373">
        <f>IF($AA373="","",Settings!$C$7)</f>
        <v/>
      </c>
      <c r="R373" s="7">
        <f>IF($AA373="","",SUMIFS('Per Line'!$Y$2:$Y$4001,'Per Line'!$E$2:$E$4001,$B373,'Per Line'!$AP$2:$AP$4001,0,'Per Line'!$AQ$2:$AQ$4001,0))</f>
        <v/>
      </c>
      <c r="S373" s="7">
        <f>IF($AA373="","",R373*Q373)</f>
        <v/>
      </c>
      <c r="T373">
        <f>IF($AA373="","",Settings!$C$6)</f>
        <v/>
      </c>
      <c r="U373" s="7">
        <f>IF($AA373="","",SUMIFS('Per Line'!$Y$2:$Y$4001,'Per Line'!$E$2:$E$4001,$B373,'Per Line'!$AP$2:$AP$4001,1,'Per Line'!$AQ$2:$AQ$4001,0))</f>
        <v/>
      </c>
      <c r="V373" s="7">
        <f>IF($AA373="","",U373*T373)</f>
        <v/>
      </c>
      <c r="W373" s="7">
        <f>IF($AA373="","",V373+S373)</f>
        <v/>
      </c>
      <c r="X373" s="7">
        <f>IF($AA373="","",Y373-W373)</f>
        <v/>
      </c>
      <c r="Y373" s="7">
        <f>IF($AA373="","",R373+U373+P373)</f>
        <v/>
      </c>
      <c r="Z373" s="7">
        <f>IF($AA373="","",Y373-W373-L373)</f>
        <v/>
      </c>
      <c r="AA373" s="13">
        <f>IF(ROWS($AA$2:$AA373)&lt;=MAX('Per Line'!$AO$2:$AO$4001),MATCH(ROWS($AA$2:$AA373),'Per Line'!$AO$2:$AO$4001,0),"")</f>
        <v/>
      </c>
      <c r="AB373" s="14">
        <f>IF($AA373="","",L373-K373*Y373/100)</f>
        <v/>
      </c>
    </row>
    <row r="374">
      <c r="A374" s="12" t="n"/>
      <c r="B374">
        <f>IF($AA374="","",INDEX('Per Line'!$E$2:$E$4001,$AA374)&amp;"")</f>
        <v/>
      </c>
      <c r="C374">
        <f>IF($AA374="","",INDEX('Per Line'!$A$2:$A$4001,$AA374)&amp;"")</f>
        <v/>
      </c>
      <c r="D374">
        <f>IF($AA374="","",INDEX('Per Line'!$D$2:$D$4001,$AA374)&amp;"")</f>
        <v/>
      </c>
      <c r="E374" s="11">
        <f>IF($AA374="","",INDEX('Per Line'!$G$2:$G$4001,$AA374))</f>
        <v/>
      </c>
      <c r="F374">
        <f>IF($AA374="","",INDEX('Per Line'!$H$2:$H$4001,$AA374)&amp;"")</f>
        <v/>
      </c>
      <c r="G374">
        <f>IF($AA374="","",INDEX('Per Line'!$I$2:$I$4001,$AA374)&amp;"")</f>
        <v/>
      </c>
      <c r="H374">
        <f>IF($AA374="","",INDEX('Per Line'!$J$2:$J$4001,$AA374)&amp;"")</f>
        <v/>
      </c>
      <c r="I374">
        <f>IF($AA374="","",INDEX('Per Line'!$K$2:$K$4001,$AA374)&amp;"")</f>
        <v/>
      </c>
      <c r="J374">
        <f>IF($AA374="","",INDEX('Per Line'!$L$2:$L$4001,$AA374)&amp;"")</f>
        <v/>
      </c>
      <c r="K374">
        <f>IF($AA374="","",INDEX('Per Line'!$P$2:$P$4001,$AA374))</f>
        <v/>
      </c>
      <c r="L374" s="7">
        <f>IF($AA374="","",IF(AND(ISNUMBER(N374),N374&gt;0,Y374&gt;N374),K374*N374/100+(Y374-N374),K374*Y374/100))</f>
        <v/>
      </c>
      <c r="M374">
        <f>IF($AA374="","",INDEX('Per Line'!$Z$2:$Z$4001,$AA374)&amp;"")</f>
        <v/>
      </c>
      <c r="N374">
        <f>IF($AA374="","",INDEX('Per Line'!$AG$2:$AG$4001,$AA374))</f>
        <v/>
      </c>
      <c r="O374">
        <f>IF($AA374="","",IF(AND(ISNUMBER(N374),N374&gt;0),Y374&gt;N374,FALSE))</f>
        <v/>
      </c>
      <c r="P374" s="7">
        <f>IF($AA374="","",SUMIFS('Per Line'!$Y$2:$Y$4001,'Per Line'!$E$2:$E$4001,$B374,'Per Line'!$AQ$2:$AQ$4001,1))</f>
        <v/>
      </c>
      <c r="Q374">
        <f>IF($AA374="","",Settings!$C$7)</f>
        <v/>
      </c>
      <c r="R374" s="7">
        <f>IF($AA374="","",SUMIFS('Per Line'!$Y$2:$Y$4001,'Per Line'!$E$2:$E$4001,$B374,'Per Line'!$AP$2:$AP$4001,0,'Per Line'!$AQ$2:$AQ$4001,0))</f>
        <v/>
      </c>
      <c r="S374" s="7">
        <f>IF($AA374="","",R374*Q374)</f>
        <v/>
      </c>
      <c r="T374">
        <f>IF($AA374="","",Settings!$C$6)</f>
        <v/>
      </c>
      <c r="U374" s="7">
        <f>IF($AA374="","",SUMIFS('Per Line'!$Y$2:$Y$4001,'Per Line'!$E$2:$E$4001,$B374,'Per Line'!$AP$2:$AP$4001,1,'Per Line'!$AQ$2:$AQ$4001,0))</f>
        <v/>
      </c>
      <c r="V374" s="7">
        <f>IF($AA374="","",U374*T374)</f>
        <v/>
      </c>
      <c r="W374" s="7">
        <f>IF($AA374="","",V374+S374)</f>
        <v/>
      </c>
      <c r="X374" s="7">
        <f>IF($AA374="","",Y374-W374)</f>
        <v/>
      </c>
      <c r="Y374" s="7">
        <f>IF($AA374="","",R374+U374+P374)</f>
        <v/>
      </c>
      <c r="Z374" s="7">
        <f>IF($AA374="","",Y374-W374-L374)</f>
        <v/>
      </c>
      <c r="AA374" s="13">
        <f>IF(ROWS($AA$2:$AA374)&lt;=MAX('Per Line'!$AO$2:$AO$4001),MATCH(ROWS($AA$2:$AA374),'Per Line'!$AO$2:$AO$4001,0),"")</f>
        <v/>
      </c>
      <c r="AB374" s="14">
        <f>IF($AA374="","",L374-K374*Y374/100)</f>
        <v/>
      </c>
    </row>
    <row r="375">
      <c r="A375" s="12" t="n"/>
      <c r="B375">
        <f>IF($AA375="","",INDEX('Per Line'!$E$2:$E$4001,$AA375)&amp;"")</f>
        <v/>
      </c>
      <c r="C375">
        <f>IF($AA375="","",INDEX('Per Line'!$A$2:$A$4001,$AA375)&amp;"")</f>
        <v/>
      </c>
      <c r="D375">
        <f>IF($AA375="","",INDEX('Per Line'!$D$2:$D$4001,$AA375)&amp;"")</f>
        <v/>
      </c>
      <c r="E375" s="11">
        <f>IF($AA375="","",INDEX('Per Line'!$G$2:$G$4001,$AA375))</f>
        <v/>
      </c>
      <c r="F375">
        <f>IF($AA375="","",INDEX('Per Line'!$H$2:$H$4001,$AA375)&amp;"")</f>
        <v/>
      </c>
      <c r="G375">
        <f>IF($AA375="","",INDEX('Per Line'!$I$2:$I$4001,$AA375)&amp;"")</f>
        <v/>
      </c>
      <c r="H375">
        <f>IF($AA375="","",INDEX('Per Line'!$J$2:$J$4001,$AA375)&amp;"")</f>
        <v/>
      </c>
      <c r="I375">
        <f>IF($AA375="","",INDEX('Per Line'!$K$2:$K$4001,$AA375)&amp;"")</f>
        <v/>
      </c>
      <c r="J375">
        <f>IF($AA375="","",INDEX('Per Line'!$L$2:$L$4001,$AA375)&amp;"")</f>
        <v/>
      </c>
      <c r="K375">
        <f>IF($AA375="","",INDEX('Per Line'!$P$2:$P$4001,$AA375))</f>
        <v/>
      </c>
      <c r="L375" s="7">
        <f>IF($AA375="","",IF(AND(ISNUMBER(N375),N375&gt;0,Y375&gt;N375),K375*N375/100+(Y375-N375),K375*Y375/100))</f>
        <v/>
      </c>
      <c r="M375">
        <f>IF($AA375="","",INDEX('Per Line'!$Z$2:$Z$4001,$AA375)&amp;"")</f>
        <v/>
      </c>
      <c r="N375">
        <f>IF($AA375="","",INDEX('Per Line'!$AG$2:$AG$4001,$AA375))</f>
        <v/>
      </c>
      <c r="O375">
        <f>IF($AA375="","",IF(AND(ISNUMBER(N375),N375&gt;0),Y375&gt;N375,FALSE))</f>
        <v/>
      </c>
      <c r="P375" s="7">
        <f>IF($AA375="","",SUMIFS('Per Line'!$Y$2:$Y$4001,'Per Line'!$E$2:$E$4001,$B375,'Per Line'!$AQ$2:$AQ$4001,1))</f>
        <v/>
      </c>
      <c r="Q375">
        <f>IF($AA375="","",Settings!$C$7)</f>
        <v/>
      </c>
      <c r="R375" s="7">
        <f>IF($AA375="","",SUMIFS('Per Line'!$Y$2:$Y$4001,'Per Line'!$E$2:$E$4001,$B375,'Per Line'!$AP$2:$AP$4001,0,'Per Line'!$AQ$2:$AQ$4001,0))</f>
        <v/>
      </c>
      <c r="S375" s="7">
        <f>IF($AA375="","",R375*Q375)</f>
        <v/>
      </c>
      <c r="T375">
        <f>IF($AA375="","",Settings!$C$6)</f>
        <v/>
      </c>
      <c r="U375" s="7">
        <f>IF($AA375="","",SUMIFS('Per Line'!$Y$2:$Y$4001,'Per Line'!$E$2:$E$4001,$B375,'Per Line'!$AP$2:$AP$4001,1,'Per Line'!$AQ$2:$AQ$4001,0))</f>
        <v/>
      </c>
      <c r="V375" s="7">
        <f>IF($AA375="","",U375*T375)</f>
        <v/>
      </c>
      <c r="W375" s="7">
        <f>IF($AA375="","",V375+S375)</f>
        <v/>
      </c>
      <c r="X375" s="7">
        <f>IF($AA375="","",Y375-W375)</f>
        <v/>
      </c>
      <c r="Y375" s="7">
        <f>IF($AA375="","",R375+U375+P375)</f>
        <v/>
      </c>
      <c r="Z375" s="7">
        <f>IF($AA375="","",Y375-W375-L375)</f>
        <v/>
      </c>
      <c r="AA375" s="13">
        <f>IF(ROWS($AA$2:$AA375)&lt;=MAX('Per Line'!$AO$2:$AO$4001),MATCH(ROWS($AA$2:$AA375),'Per Line'!$AO$2:$AO$4001,0),"")</f>
        <v/>
      </c>
      <c r="AB375" s="14">
        <f>IF($AA375="","",L375-K375*Y375/100)</f>
        <v/>
      </c>
    </row>
    <row r="376">
      <c r="A376" s="12" t="n"/>
      <c r="B376">
        <f>IF($AA376="","",INDEX('Per Line'!$E$2:$E$4001,$AA376)&amp;"")</f>
        <v/>
      </c>
      <c r="C376">
        <f>IF($AA376="","",INDEX('Per Line'!$A$2:$A$4001,$AA376)&amp;"")</f>
        <v/>
      </c>
      <c r="D376">
        <f>IF($AA376="","",INDEX('Per Line'!$D$2:$D$4001,$AA376)&amp;"")</f>
        <v/>
      </c>
      <c r="E376" s="11">
        <f>IF($AA376="","",INDEX('Per Line'!$G$2:$G$4001,$AA376))</f>
        <v/>
      </c>
      <c r="F376">
        <f>IF($AA376="","",INDEX('Per Line'!$H$2:$H$4001,$AA376)&amp;"")</f>
        <v/>
      </c>
      <c r="G376">
        <f>IF($AA376="","",INDEX('Per Line'!$I$2:$I$4001,$AA376)&amp;"")</f>
        <v/>
      </c>
      <c r="H376">
        <f>IF($AA376="","",INDEX('Per Line'!$J$2:$J$4001,$AA376)&amp;"")</f>
        <v/>
      </c>
      <c r="I376">
        <f>IF($AA376="","",INDEX('Per Line'!$K$2:$K$4001,$AA376)&amp;"")</f>
        <v/>
      </c>
      <c r="J376">
        <f>IF($AA376="","",INDEX('Per Line'!$L$2:$L$4001,$AA376)&amp;"")</f>
        <v/>
      </c>
      <c r="K376">
        <f>IF($AA376="","",INDEX('Per Line'!$P$2:$P$4001,$AA376))</f>
        <v/>
      </c>
      <c r="L376" s="7">
        <f>IF($AA376="","",IF(AND(ISNUMBER(N376),N376&gt;0,Y376&gt;N376),K376*N376/100+(Y376-N376),K376*Y376/100))</f>
        <v/>
      </c>
      <c r="M376">
        <f>IF($AA376="","",INDEX('Per Line'!$Z$2:$Z$4001,$AA376)&amp;"")</f>
        <v/>
      </c>
      <c r="N376">
        <f>IF($AA376="","",INDEX('Per Line'!$AG$2:$AG$4001,$AA376))</f>
        <v/>
      </c>
      <c r="O376">
        <f>IF($AA376="","",IF(AND(ISNUMBER(N376),N376&gt;0),Y376&gt;N376,FALSE))</f>
        <v/>
      </c>
      <c r="P376" s="7">
        <f>IF($AA376="","",SUMIFS('Per Line'!$Y$2:$Y$4001,'Per Line'!$E$2:$E$4001,$B376,'Per Line'!$AQ$2:$AQ$4001,1))</f>
        <v/>
      </c>
      <c r="Q376">
        <f>IF($AA376="","",Settings!$C$7)</f>
        <v/>
      </c>
      <c r="R376" s="7">
        <f>IF($AA376="","",SUMIFS('Per Line'!$Y$2:$Y$4001,'Per Line'!$E$2:$E$4001,$B376,'Per Line'!$AP$2:$AP$4001,0,'Per Line'!$AQ$2:$AQ$4001,0))</f>
        <v/>
      </c>
      <c r="S376" s="7">
        <f>IF($AA376="","",R376*Q376)</f>
        <v/>
      </c>
      <c r="T376">
        <f>IF($AA376="","",Settings!$C$6)</f>
        <v/>
      </c>
      <c r="U376" s="7">
        <f>IF($AA376="","",SUMIFS('Per Line'!$Y$2:$Y$4001,'Per Line'!$E$2:$E$4001,$B376,'Per Line'!$AP$2:$AP$4001,1,'Per Line'!$AQ$2:$AQ$4001,0))</f>
        <v/>
      </c>
      <c r="V376" s="7">
        <f>IF($AA376="","",U376*T376)</f>
        <v/>
      </c>
      <c r="W376" s="7">
        <f>IF($AA376="","",V376+S376)</f>
        <v/>
      </c>
      <c r="X376" s="7">
        <f>IF($AA376="","",Y376-W376)</f>
        <v/>
      </c>
      <c r="Y376" s="7">
        <f>IF($AA376="","",R376+U376+P376)</f>
        <v/>
      </c>
      <c r="Z376" s="7">
        <f>IF($AA376="","",Y376-W376-L376)</f>
        <v/>
      </c>
      <c r="AA376" s="13">
        <f>IF(ROWS($AA$2:$AA376)&lt;=MAX('Per Line'!$AO$2:$AO$4001),MATCH(ROWS($AA$2:$AA376),'Per Line'!$AO$2:$AO$4001,0),"")</f>
        <v/>
      </c>
      <c r="AB376" s="14">
        <f>IF($AA376="","",L376-K376*Y376/100)</f>
        <v/>
      </c>
    </row>
    <row r="377">
      <c r="A377" s="12" t="n"/>
      <c r="B377">
        <f>IF($AA377="","",INDEX('Per Line'!$E$2:$E$4001,$AA377)&amp;"")</f>
        <v/>
      </c>
      <c r="C377">
        <f>IF($AA377="","",INDEX('Per Line'!$A$2:$A$4001,$AA377)&amp;"")</f>
        <v/>
      </c>
      <c r="D377">
        <f>IF($AA377="","",INDEX('Per Line'!$D$2:$D$4001,$AA377)&amp;"")</f>
        <v/>
      </c>
      <c r="E377" s="11">
        <f>IF($AA377="","",INDEX('Per Line'!$G$2:$G$4001,$AA377))</f>
        <v/>
      </c>
      <c r="F377">
        <f>IF($AA377="","",INDEX('Per Line'!$H$2:$H$4001,$AA377)&amp;"")</f>
        <v/>
      </c>
      <c r="G377">
        <f>IF($AA377="","",INDEX('Per Line'!$I$2:$I$4001,$AA377)&amp;"")</f>
        <v/>
      </c>
      <c r="H377">
        <f>IF($AA377="","",INDEX('Per Line'!$J$2:$J$4001,$AA377)&amp;"")</f>
        <v/>
      </c>
      <c r="I377">
        <f>IF($AA377="","",INDEX('Per Line'!$K$2:$K$4001,$AA377)&amp;"")</f>
        <v/>
      </c>
      <c r="J377">
        <f>IF($AA377="","",INDEX('Per Line'!$L$2:$L$4001,$AA377)&amp;"")</f>
        <v/>
      </c>
      <c r="K377">
        <f>IF($AA377="","",INDEX('Per Line'!$P$2:$P$4001,$AA377))</f>
        <v/>
      </c>
      <c r="L377" s="7">
        <f>IF($AA377="","",IF(AND(ISNUMBER(N377),N377&gt;0,Y377&gt;N377),K377*N377/100+(Y377-N377),K377*Y377/100))</f>
        <v/>
      </c>
      <c r="M377">
        <f>IF($AA377="","",INDEX('Per Line'!$Z$2:$Z$4001,$AA377)&amp;"")</f>
        <v/>
      </c>
      <c r="N377">
        <f>IF($AA377="","",INDEX('Per Line'!$AG$2:$AG$4001,$AA377))</f>
        <v/>
      </c>
      <c r="O377">
        <f>IF($AA377="","",IF(AND(ISNUMBER(N377),N377&gt;0),Y377&gt;N377,FALSE))</f>
        <v/>
      </c>
      <c r="P377" s="7">
        <f>IF($AA377="","",SUMIFS('Per Line'!$Y$2:$Y$4001,'Per Line'!$E$2:$E$4001,$B377,'Per Line'!$AQ$2:$AQ$4001,1))</f>
        <v/>
      </c>
      <c r="Q377">
        <f>IF($AA377="","",Settings!$C$7)</f>
        <v/>
      </c>
      <c r="R377" s="7">
        <f>IF($AA377="","",SUMIFS('Per Line'!$Y$2:$Y$4001,'Per Line'!$E$2:$E$4001,$B377,'Per Line'!$AP$2:$AP$4001,0,'Per Line'!$AQ$2:$AQ$4001,0))</f>
        <v/>
      </c>
      <c r="S377" s="7">
        <f>IF($AA377="","",R377*Q377)</f>
        <v/>
      </c>
      <c r="T377">
        <f>IF($AA377="","",Settings!$C$6)</f>
        <v/>
      </c>
      <c r="U377" s="7">
        <f>IF($AA377="","",SUMIFS('Per Line'!$Y$2:$Y$4001,'Per Line'!$E$2:$E$4001,$B377,'Per Line'!$AP$2:$AP$4001,1,'Per Line'!$AQ$2:$AQ$4001,0))</f>
        <v/>
      </c>
      <c r="V377" s="7">
        <f>IF($AA377="","",U377*T377)</f>
        <v/>
      </c>
      <c r="W377" s="7">
        <f>IF($AA377="","",V377+S377)</f>
        <v/>
      </c>
      <c r="X377" s="7">
        <f>IF($AA377="","",Y377-W377)</f>
        <v/>
      </c>
      <c r="Y377" s="7">
        <f>IF($AA377="","",R377+U377+P377)</f>
        <v/>
      </c>
      <c r="Z377" s="7">
        <f>IF($AA377="","",Y377-W377-L377)</f>
        <v/>
      </c>
      <c r="AA377" s="13">
        <f>IF(ROWS($AA$2:$AA377)&lt;=MAX('Per Line'!$AO$2:$AO$4001),MATCH(ROWS($AA$2:$AA377),'Per Line'!$AO$2:$AO$4001,0),"")</f>
        <v/>
      </c>
      <c r="AB377" s="14">
        <f>IF($AA377="","",L377-K377*Y377/100)</f>
        <v/>
      </c>
    </row>
    <row r="378">
      <c r="A378" s="12" t="n"/>
      <c r="B378">
        <f>IF($AA378="","",INDEX('Per Line'!$E$2:$E$4001,$AA378)&amp;"")</f>
        <v/>
      </c>
      <c r="C378">
        <f>IF($AA378="","",INDEX('Per Line'!$A$2:$A$4001,$AA378)&amp;"")</f>
        <v/>
      </c>
      <c r="D378">
        <f>IF($AA378="","",INDEX('Per Line'!$D$2:$D$4001,$AA378)&amp;"")</f>
        <v/>
      </c>
      <c r="E378" s="11">
        <f>IF($AA378="","",INDEX('Per Line'!$G$2:$G$4001,$AA378))</f>
        <v/>
      </c>
      <c r="F378">
        <f>IF($AA378="","",INDEX('Per Line'!$H$2:$H$4001,$AA378)&amp;"")</f>
        <v/>
      </c>
      <c r="G378">
        <f>IF($AA378="","",INDEX('Per Line'!$I$2:$I$4001,$AA378)&amp;"")</f>
        <v/>
      </c>
      <c r="H378">
        <f>IF($AA378="","",INDEX('Per Line'!$J$2:$J$4001,$AA378)&amp;"")</f>
        <v/>
      </c>
      <c r="I378">
        <f>IF($AA378="","",INDEX('Per Line'!$K$2:$K$4001,$AA378)&amp;"")</f>
        <v/>
      </c>
      <c r="J378">
        <f>IF($AA378="","",INDEX('Per Line'!$L$2:$L$4001,$AA378)&amp;"")</f>
        <v/>
      </c>
      <c r="K378">
        <f>IF($AA378="","",INDEX('Per Line'!$P$2:$P$4001,$AA378))</f>
        <v/>
      </c>
      <c r="L378" s="7">
        <f>IF($AA378="","",IF(AND(ISNUMBER(N378),N378&gt;0,Y378&gt;N378),K378*N378/100+(Y378-N378),K378*Y378/100))</f>
        <v/>
      </c>
      <c r="M378">
        <f>IF($AA378="","",INDEX('Per Line'!$Z$2:$Z$4001,$AA378)&amp;"")</f>
        <v/>
      </c>
      <c r="N378">
        <f>IF($AA378="","",INDEX('Per Line'!$AG$2:$AG$4001,$AA378))</f>
        <v/>
      </c>
      <c r="O378">
        <f>IF($AA378="","",IF(AND(ISNUMBER(N378),N378&gt;0),Y378&gt;N378,FALSE))</f>
        <v/>
      </c>
      <c r="P378" s="7">
        <f>IF($AA378="","",SUMIFS('Per Line'!$Y$2:$Y$4001,'Per Line'!$E$2:$E$4001,$B378,'Per Line'!$AQ$2:$AQ$4001,1))</f>
        <v/>
      </c>
      <c r="Q378">
        <f>IF($AA378="","",Settings!$C$7)</f>
        <v/>
      </c>
      <c r="R378" s="7">
        <f>IF($AA378="","",SUMIFS('Per Line'!$Y$2:$Y$4001,'Per Line'!$E$2:$E$4001,$B378,'Per Line'!$AP$2:$AP$4001,0,'Per Line'!$AQ$2:$AQ$4001,0))</f>
        <v/>
      </c>
      <c r="S378" s="7">
        <f>IF($AA378="","",R378*Q378)</f>
        <v/>
      </c>
      <c r="T378">
        <f>IF($AA378="","",Settings!$C$6)</f>
        <v/>
      </c>
      <c r="U378" s="7">
        <f>IF($AA378="","",SUMIFS('Per Line'!$Y$2:$Y$4001,'Per Line'!$E$2:$E$4001,$B378,'Per Line'!$AP$2:$AP$4001,1,'Per Line'!$AQ$2:$AQ$4001,0))</f>
        <v/>
      </c>
      <c r="V378" s="7">
        <f>IF($AA378="","",U378*T378)</f>
        <v/>
      </c>
      <c r="W378" s="7">
        <f>IF($AA378="","",V378+S378)</f>
        <v/>
      </c>
      <c r="X378" s="7">
        <f>IF($AA378="","",Y378-W378)</f>
        <v/>
      </c>
      <c r="Y378" s="7">
        <f>IF($AA378="","",R378+U378+P378)</f>
        <v/>
      </c>
      <c r="Z378" s="7">
        <f>IF($AA378="","",Y378-W378-L378)</f>
        <v/>
      </c>
      <c r="AA378" s="13">
        <f>IF(ROWS($AA$2:$AA378)&lt;=MAX('Per Line'!$AO$2:$AO$4001),MATCH(ROWS($AA$2:$AA378),'Per Line'!$AO$2:$AO$4001,0),"")</f>
        <v/>
      </c>
      <c r="AB378" s="14">
        <f>IF($AA378="","",L378-K378*Y378/100)</f>
        <v/>
      </c>
    </row>
    <row r="379">
      <c r="A379" s="12" t="n"/>
      <c r="B379">
        <f>IF($AA379="","",INDEX('Per Line'!$E$2:$E$4001,$AA379)&amp;"")</f>
        <v/>
      </c>
      <c r="C379">
        <f>IF($AA379="","",INDEX('Per Line'!$A$2:$A$4001,$AA379)&amp;"")</f>
        <v/>
      </c>
      <c r="D379">
        <f>IF($AA379="","",INDEX('Per Line'!$D$2:$D$4001,$AA379)&amp;"")</f>
        <v/>
      </c>
      <c r="E379" s="11">
        <f>IF($AA379="","",INDEX('Per Line'!$G$2:$G$4001,$AA379))</f>
        <v/>
      </c>
      <c r="F379">
        <f>IF($AA379="","",INDEX('Per Line'!$H$2:$H$4001,$AA379)&amp;"")</f>
        <v/>
      </c>
      <c r="G379">
        <f>IF($AA379="","",INDEX('Per Line'!$I$2:$I$4001,$AA379)&amp;"")</f>
        <v/>
      </c>
      <c r="H379">
        <f>IF($AA379="","",INDEX('Per Line'!$J$2:$J$4001,$AA379)&amp;"")</f>
        <v/>
      </c>
      <c r="I379">
        <f>IF($AA379="","",INDEX('Per Line'!$K$2:$K$4001,$AA379)&amp;"")</f>
        <v/>
      </c>
      <c r="J379">
        <f>IF($AA379="","",INDEX('Per Line'!$L$2:$L$4001,$AA379)&amp;"")</f>
        <v/>
      </c>
      <c r="K379">
        <f>IF($AA379="","",INDEX('Per Line'!$P$2:$P$4001,$AA379))</f>
        <v/>
      </c>
      <c r="L379" s="7">
        <f>IF($AA379="","",IF(AND(ISNUMBER(N379),N379&gt;0,Y379&gt;N379),K379*N379/100+(Y379-N379),K379*Y379/100))</f>
        <v/>
      </c>
      <c r="M379">
        <f>IF($AA379="","",INDEX('Per Line'!$Z$2:$Z$4001,$AA379)&amp;"")</f>
        <v/>
      </c>
      <c r="N379">
        <f>IF($AA379="","",INDEX('Per Line'!$AG$2:$AG$4001,$AA379))</f>
        <v/>
      </c>
      <c r="O379">
        <f>IF($AA379="","",IF(AND(ISNUMBER(N379),N379&gt;0),Y379&gt;N379,FALSE))</f>
        <v/>
      </c>
      <c r="P379" s="7">
        <f>IF($AA379="","",SUMIFS('Per Line'!$Y$2:$Y$4001,'Per Line'!$E$2:$E$4001,$B379,'Per Line'!$AQ$2:$AQ$4001,1))</f>
        <v/>
      </c>
      <c r="Q379">
        <f>IF($AA379="","",Settings!$C$7)</f>
        <v/>
      </c>
      <c r="R379" s="7">
        <f>IF($AA379="","",SUMIFS('Per Line'!$Y$2:$Y$4001,'Per Line'!$E$2:$E$4001,$B379,'Per Line'!$AP$2:$AP$4001,0,'Per Line'!$AQ$2:$AQ$4001,0))</f>
        <v/>
      </c>
      <c r="S379" s="7">
        <f>IF($AA379="","",R379*Q379)</f>
        <v/>
      </c>
      <c r="T379">
        <f>IF($AA379="","",Settings!$C$6)</f>
        <v/>
      </c>
      <c r="U379" s="7">
        <f>IF($AA379="","",SUMIFS('Per Line'!$Y$2:$Y$4001,'Per Line'!$E$2:$E$4001,$B379,'Per Line'!$AP$2:$AP$4001,1,'Per Line'!$AQ$2:$AQ$4001,0))</f>
        <v/>
      </c>
      <c r="V379" s="7">
        <f>IF($AA379="","",U379*T379)</f>
        <v/>
      </c>
      <c r="W379" s="7">
        <f>IF($AA379="","",V379+S379)</f>
        <v/>
      </c>
      <c r="X379" s="7">
        <f>IF($AA379="","",Y379-W379)</f>
        <v/>
      </c>
      <c r="Y379" s="7">
        <f>IF($AA379="","",R379+U379+P379)</f>
        <v/>
      </c>
      <c r="Z379" s="7">
        <f>IF($AA379="","",Y379-W379-L379)</f>
        <v/>
      </c>
      <c r="AA379" s="13">
        <f>IF(ROWS($AA$2:$AA379)&lt;=MAX('Per Line'!$AO$2:$AO$4001),MATCH(ROWS($AA$2:$AA379),'Per Line'!$AO$2:$AO$4001,0),"")</f>
        <v/>
      </c>
      <c r="AB379" s="14">
        <f>IF($AA379="","",L379-K379*Y379/100)</f>
        <v/>
      </c>
    </row>
    <row r="380">
      <c r="A380" s="12" t="n"/>
      <c r="B380">
        <f>IF($AA380="","",INDEX('Per Line'!$E$2:$E$4001,$AA380)&amp;"")</f>
        <v/>
      </c>
      <c r="C380">
        <f>IF($AA380="","",INDEX('Per Line'!$A$2:$A$4001,$AA380)&amp;"")</f>
        <v/>
      </c>
      <c r="D380">
        <f>IF($AA380="","",INDEX('Per Line'!$D$2:$D$4001,$AA380)&amp;"")</f>
        <v/>
      </c>
      <c r="E380" s="11">
        <f>IF($AA380="","",INDEX('Per Line'!$G$2:$G$4001,$AA380))</f>
        <v/>
      </c>
      <c r="F380">
        <f>IF($AA380="","",INDEX('Per Line'!$H$2:$H$4001,$AA380)&amp;"")</f>
        <v/>
      </c>
      <c r="G380">
        <f>IF($AA380="","",INDEX('Per Line'!$I$2:$I$4001,$AA380)&amp;"")</f>
        <v/>
      </c>
      <c r="H380">
        <f>IF($AA380="","",INDEX('Per Line'!$J$2:$J$4001,$AA380)&amp;"")</f>
        <v/>
      </c>
      <c r="I380">
        <f>IF($AA380="","",INDEX('Per Line'!$K$2:$K$4001,$AA380)&amp;"")</f>
        <v/>
      </c>
      <c r="J380">
        <f>IF($AA380="","",INDEX('Per Line'!$L$2:$L$4001,$AA380)&amp;"")</f>
        <v/>
      </c>
      <c r="K380">
        <f>IF($AA380="","",INDEX('Per Line'!$P$2:$P$4001,$AA380))</f>
        <v/>
      </c>
      <c r="L380" s="7">
        <f>IF($AA380="","",IF(AND(ISNUMBER(N380),N380&gt;0,Y380&gt;N380),K380*N380/100+(Y380-N380),K380*Y380/100))</f>
        <v/>
      </c>
      <c r="M380">
        <f>IF($AA380="","",INDEX('Per Line'!$Z$2:$Z$4001,$AA380)&amp;"")</f>
        <v/>
      </c>
      <c r="N380">
        <f>IF($AA380="","",INDEX('Per Line'!$AG$2:$AG$4001,$AA380))</f>
        <v/>
      </c>
      <c r="O380">
        <f>IF($AA380="","",IF(AND(ISNUMBER(N380),N380&gt;0),Y380&gt;N380,FALSE))</f>
        <v/>
      </c>
      <c r="P380" s="7">
        <f>IF($AA380="","",SUMIFS('Per Line'!$Y$2:$Y$4001,'Per Line'!$E$2:$E$4001,$B380,'Per Line'!$AQ$2:$AQ$4001,1))</f>
        <v/>
      </c>
      <c r="Q380">
        <f>IF($AA380="","",Settings!$C$7)</f>
        <v/>
      </c>
      <c r="R380" s="7">
        <f>IF($AA380="","",SUMIFS('Per Line'!$Y$2:$Y$4001,'Per Line'!$E$2:$E$4001,$B380,'Per Line'!$AP$2:$AP$4001,0,'Per Line'!$AQ$2:$AQ$4001,0))</f>
        <v/>
      </c>
      <c r="S380" s="7">
        <f>IF($AA380="","",R380*Q380)</f>
        <v/>
      </c>
      <c r="T380">
        <f>IF($AA380="","",Settings!$C$6)</f>
        <v/>
      </c>
      <c r="U380" s="7">
        <f>IF($AA380="","",SUMIFS('Per Line'!$Y$2:$Y$4001,'Per Line'!$E$2:$E$4001,$B380,'Per Line'!$AP$2:$AP$4001,1,'Per Line'!$AQ$2:$AQ$4001,0))</f>
        <v/>
      </c>
      <c r="V380" s="7">
        <f>IF($AA380="","",U380*T380)</f>
        <v/>
      </c>
      <c r="W380" s="7">
        <f>IF($AA380="","",V380+S380)</f>
        <v/>
      </c>
      <c r="X380" s="7">
        <f>IF($AA380="","",Y380-W380)</f>
        <v/>
      </c>
      <c r="Y380" s="7">
        <f>IF($AA380="","",R380+U380+P380)</f>
        <v/>
      </c>
      <c r="Z380" s="7">
        <f>IF($AA380="","",Y380-W380-L380)</f>
        <v/>
      </c>
      <c r="AA380" s="13">
        <f>IF(ROWS($AA$2:$AA380)&lt;=MAX('Per Line'!$AO$2:$AO$4001),MATCH(ROWS($AA$2:$AA380),'Per Line'!$AO$2:$AO$4001,0),"")</f>
        <v/>
      </c>
      <c r="AB380" s="14">
        <f>IF($AA380="","",L380-K380*Y380/100)</f>
        <v/>
      </c>
    </row>
    <row r="381">
      <c r="A381" s="12" t="n"/>
      <c r="B381">
        <f>IF($AA381="","",INDEX('Per Line'!$E$2:$E$4001,$AA381)&amp;"")</f>
        <v/>
      </c>
      <c r="C381">
        <f>IF($AA381="","",INDEX('Per Line'!$A$2:$A$4001,$AA381)&amp;"")</f>
        <v/>
      </c>
      <c r="D381">
        <f>IF($AA381="","",INDEX('Per Line'!$D$2:$D$4001,$AA381)&amp;"")</f>
        <v/>
      </c>
      <c r="E381" s="11">
        <f>IF($AA381="","",INDEX('Per Line'!$G$2:$G$4001,$AA381))</f>
        <v/>
      </c>
      <c r="F381">
        <f>IF($AA381="","",INDEX('Per Line'!$H$2:$H$4001,$AA381)&amp;"")</f>
        <v/>
      </c>
      <c r="G381">
        <f>IF($AA381="","",INDEX('Per Line'!$I$2:$I$4001,$AA381)&amp;"")</f>
        <v/>
      </c>
      <c r="H381">
        <f>IF($AA381="","",INDEX('Per Line'!$J$2:$J$4001,$AA381)&amp;"")</f>
        <v/>
      </c>
      <c r="I381">
        <f>IF($AA381="","",INDEX('Per Line'!$K$2:$K$4001,$AA381)&amp;"")</f>
        <v/>
      </c>
      <c r="J381">
        <f>IF($AA381="","",INDEX('Per Line'!$L$2:$L$4001,$AA381)&amp;"")</f>
        <v/>
      </c>
      <c r="K381">
        <f>IF($AA381="","",INDEX('Per Line'!$P$2:$P$4001,$AA381))</f>
        <v/>
      </c>
      <c r="L381" s="7">
        <f>IF($AA381="","",IF(AND(ISNUMBER(N381),N381&gt;0,Y381&gt;N381),K381*N381/100+(Y381-N381),K381*Y381/100))</f>
        <v/>
      </c>
      <c r="M381">
        <f>IF($AA381="","",INDEX('Per Line'!$Z$2:$Z$4001,$AA381)&amp;"")</f>
        <v/>
      </c>
      <c r="N381">
        <f>IF($AA381="","",INDEX('Per Line'!$AG$2:$AG$4001,$AA381))</f>
        <v/>
      </c>
      <c r="O381">
        <f>IF($AA381="","",IF(AND(ISNUMBER(N381),N381&gt;0),Y381&gt;N381,FALSE))</f>
        <v/>
      </c>
      <c r="P381" s="7">
        <f>IF($AA381="","",SUMIFS('Per Line'!$Y$2:$Y$4001,'Per Line'!$E$2:$E$4001,$B381,'Per Line'!$AQ$2:$AQ$4001,1))</f>
        <v/>
      </c>
      <c r="Q381">
        <f>IF($AA381="","",Settings!$C$7)</f>
        <v/>
      </c>
      <c r="R381" s="7">
        <f>IF($AA381="","",SUMIFS('Per Line'!$Y$2:$Y$4001,'Per Line'!$E$2:$E$4001,$B381,'Per Line'!$AP$2:$AP$4001,0,'Per Line'!$AQ$2:$AQ$4001,0))</f>
        <v/>
      </c>
      <c r="S381" s="7">
        <f>IF($AA381="","",R381*Q381)</f>
        <v/>
      </c>
      <c r="T381">
        <f>IF($AA381="","",Settings!$C$6)</f>
        <v/>
      </c>
      <c r="U381" s="7">
        <f>IF($AA381="","",SUMIFS('Per Line'!$Y$2:$Y$4001,'Per Line'!$E$2:$E$4001,$B381,'Per Line'!$AP$2:$AP$4001,1,'Per Line'!$AQ$2:$AQ$4001,0))</f>
        <v/>
      </c>
      <c r="V381" s="7">
        <f>IF($AA381="","",U381*T381)</f>
        <v/>
      </c>
      <c r="W381" s="7">
        <f>IF($AA381="","",V381+S381)</f>
        <v/>
      </c>
      <c r="X381" s="7">
        <f>IF($AA381="","",Y381-W381)</f>
        <v/>
      </c>
      <c r="Y381" s="7">
        <f>IF($AA381="","",R381+U381+P381)</f>
        <v/>
      </c>
      <c r="Z381" s="7">
        <f>IF($AA381="","",Y381-W381-L381)</f>
        <v/>
      </c>
      <c r="AA381" s="13">
        <f>IF(ROWS($AA$2:$AA381)&lt;=MAX('Per Line'!$AO$2:$AO$4001),MATCH(ROWS($AA$2:$AA381),'Per Line'!$AO$2:$AO$4001,0),"")</f>
        <v/>
      </c>
      <c r="AB381" s="14">
        <f>IF($AA381="","",L381-K381*Y381/100)</f>
        <v/>
      </c>
    </row>
    <row r="382">
      <c r="A382" s="12" t="n"/>
      <c r="B382">
        <f>IF($AA382="","",INDEX('Per Line'!$E$2:$E$4001,$AA382)&amp;"")</f>
        <v/>
      </c>
      <c r="C382">
        <f>IF($AA382="","",INDEX('Per Line'!$A$2:$A$4001,$AA382)&amp;"")</f>
        <v/>
      </c>
      <c r="D382">
        <f>IF($AA382="","",INDEX('Per Line'!$D$2:$D$4001,$AA382)&amp;"")</f>
        <v/>
      </c>
      <c r="E382" s="11">
        <f>IF($AA382="","",INDEX('Per Line'!$G$2:$G$4001,$AA382))</f>
        <v/>
      </c>
      <c r="F382">
        <f>IF($AA382="","",INDEX('Per Line'!$H$2:$H$4001,$AA382)&amp;"")</f>
        <v/>
      </c>
      <c r="G382">
        <f>IF($AA382="","",INDEX('Per Line'!$I$2:$I$4001,$AA382)&amp;"")</f>
        <v/>
      </c>
      <c r="H382">
        <f>IF($AA382="","",INDEX('Per Line'!$J$2:$J$4001,$AA382)&amp;"")</f>
        <v/>
      </c>
      <c r="I382">
        <f>IF($AA382="","",INDEX('Per Line'!$K$2:$K$4001,$AA382)&amp;"")</f>
        <v/>
      </c>
      <c r="J382">
        <f>IF($AA382="","",INDEX('Per Line'!$L$2:$L$4001,$AA382)&amp;"")</f>
        <v/>
      </c>
      <c r="K382">
        <f>IF($AA382="","",INDEX('Per Line'!$P$2:$P$4001,$AA382))</f>
        <v/>
      </c>
      <c r="L382" s="7">
        <f>IF($AA382="","",IF(AND(ISNUMBER(N382),N382&gt;0,Y382&gt;N382),K382*N382/100+(Y382-N382),K382*Y382/100))</f>
        <v/>
      </c>
      <c r="M382">
        <f>IF($AA382="","",INDEX('Per Line'!$Z$2:$Z$4001,$AA382)&amp;"")</f>
        <v/>
      </c>
      <c r="N382">
        <f>IF($AA382="","",INDEX('Per Line'!$AG$2:$AG$4001,$AA382))</f>
        <v/>
      </c>
      <c r="O382">
        <f>IF($AA382="","",IF(AND(ISNUMBER(N382),N382&gt;0),Y382&gt;N382,FALSE))</f>
        <v/>
      </c>
      <c r="P382" s="7">
        <f>IF($AA382="","",SUMIFS('Per Line'!$Y$2:$Y$4001,'Per Line'!$E$2:$E$4001,$B382,'Per Line'!$AQ$2:$AQ$4001,1))</f>
        <v/>
      </c>
      <c r="Q382">
        <f>IF($AA382="","",Settings!$C$7)</f>
        <v/>
      </c>
      <c r="R382" s="7">
        <f>IF($AA382="","",SUMIFS('Per Line'!$Y$2:$Y$4001,'Per Line'!$E$2:$E$4001,$B382,'Per Line'!$AP$2:$AP$4001,0,'Per Line'!$AQ$2:$AQ$4001,0))</f>
        <v/>
      </c>
      <c r="S382" s="7">
        <f>IF($AA382="","",R382*Q382)</f>
        <v/>
      </c>
      <c r="T382">
        <f>IF($AA382="","",Settings!$C$6)</f>
        <v/>
      </c>
      <c r="U382" s="7">
        <f>IF($AA382="","",SUMIFS('Per Line'!$Y$2:$Y$4001,'Per Line'!$E$2:$E$4001,$B382,'Per Line'!$AP$2:$AP$4001,1,'Per Line'!$AQ$2:$AQ$4001,0))</f>
        <v/>
      </c>
      <c r="V382" s="7">
        <f>IF($AA382="","",U382*T382)</f>
        <v/>
      </c>
      <c r="W382" s="7">
        <f>IF($AA382="","",V382+S382)</f>
        <v/>
      </c>
      <c r="X382" s="7">
        <f>IF($AA382="","",Y382-W382)</f>
        <v/>
      </c>
      <c r="Y382" s="7">
        <f>IF($AA382="","",R382+U382+P382)</f>
        <v/>
      </c>
      <c r="Z382" s="7">
        <f>IF($AA382="","",Y382-W382-L382)</f>
        <v/>
      </c>
      <c r="AA382" s="13">
        <f>IF(ROWS($AA$2:$AA382)&lt;=MAX('Per Line'!$AO$2:$AO$4001),MATCH(ROWS($AA$2:$AA382),'Per Line'!$AO$2:$AO$4001,0),"")</f>
        <v/>
      </c>
      <c r="AB382" s="14">
        <f>IF($AA382="","",L382-K382*Y382/100)</f>
        <v/>
      </c>
    </row>
    <row r="383">
      <c r="A383" s="12" t="n"/>
      <c r="B383">
        <f>IF($AA383="","",INDEX('Per Line'!$E$2:$E$4001,$AA383)&amp;"")</f>
        <v/>
      </c>
      <c r="C383">
        <f>IF($AA383="","",INDEX('Per Line'!$A$2:$A$4001,$AA383)&amp;"")</f>
        <v/>
      </c>
      <c r="D383">
        <f>IF($AA383="","",INDEX('Per Line'!$D$2:$D$4001,$AA383)&amp;"")</f>
        <v/>
      </c>
      <c r="E383" s="11">
        <f>IF($AA383="","",INDEX('Per Line'!$G$2:$G$4001,$AA383))</f>
        <v/>
      </c>
      <c r="F383">
        <f>IF($AA383="","",INDEX('Per Line'!$H$2:$H$4001,$AA383)&amp;"")</f>
        <v/>
      </c>
      <c r="G383">
        <f>IF($AA383="","",INDEX('Per Line'!$I$2:$I$4001,$AA383)&amp;"")</f>
        <v/>
      </c>
      <c r="H383">
        <f>IF($AA383="","",INDEX('Per Line'!$J$2:$J$4001,$AA383)&amp;"")</f>
        <v/>
      </c>
      <c r="I383">
        <f>IF($AA383="","",INDEX('Per Line'!$K$2:$K$4001,$AA383)&amp;"")</f>
        <v/>
      </c>
      <c r="J383">
        <f>IF($AA383="","",INDEX('Per Line'!$L$2:$L$4001,$AA383)&amp;"")</f>
        <v/>
      </c>
      <c r="K383">
        <f>IF($AA383="","",INDEX('Per Line'!$P$2:$P$4001,$AA383))</f>
        <v/>
      </c>
      <c r="L383" s="7">
        <f>IF($AA383="","",IF(AND(ISNUMBER(N383),N383&gt;0,Y383&gt;N383),K383*N383/100+(Y383-N383),K383*Y383/100))</f>
        <v/>
      </c>
      <c r="M383">
        <f>IF($AA383="","",INDEX('Per Line'!$Z$2:$Z$4001,$AA383)&amp;"")</f>
        <v/>
      </c>
      <c r="N383">
        <f>IF($AA383="","",INDEX('Per Line'!$AG$2:$AG$4001,$AA383))</f>
        <v/>
      </c>
      <c r="O383">
        <f>IF($AA383="","",IF(AND(ISNUMBER(N383),N383&gt;0),Y383&gt;N383,FALSE))</f>
        <v/>
      </c>
      <c r="P383" s="7">
        <f>IF($AA383="","",SUMIFS('Per Line'!$Y$2:$Y$4001,'Per Line'!$E$2:$E$4001,$B383,'Per Line'!$AQ$2:$AQ$4001,1))</f>
        <v/>
      </c>
      <c r="Q383">
        <f>IF($AA383="","",Settings!$C$7)</f>
        <v/>
      </c>
      <c r="R383" s="7">
        <f>IF($AA383="","",SUMIFS('Per Line'!$Y$2:$Y$4001,'Per Line'!$E$2:$E$4001,$B383,'Per Line'!$AP$2:$AP$4001,0,'Per Line'!$AQ$2:$AQ$4001,0))</f>
        <v/>
      </c>
      <c r="S383" s="7">
        <f>IF($AA383="","",R383*Q383)</f>
        <v/>
      </c>
      <c r="T383">
        <f>IF($AA383="","",Settings!$C$6)</f>
        <v/>
      </c>
      <c r="U383" s="7">
        <f>IF($AA383="","",SUMIFS('Per Line'!$Y$2:$Y$4001,'Per Line'!$E$2:$E$4001,$B383,'Per Line'!$AP$2:$AP$4001,1,'Per Line'!$AQ$2:$AQ$4001,0))</f>
        <v/>
      </c>
      <c r="V383" s="7">
        <f>IF($AA383="","",U383*T383)</f>
        <v/>
      </c>
      <c r="W383" s="7">
        <f>IF($AA383="","",V383+S383)</f>
        <v/>
      </c>
      <c r="X383" s="7">
        <f>IF($AA383="","",Y383-W383)</f>
        <v/>
      </c>
      <c r="Y383" s="7">
        <f>IF($AA383="","",R383+U383+P383)</f>
        <v/>
      </c>
      <c r="Z383" s="7">
        <f>IF($AA383="","",Y383-W383-L383)</f>
        <v/>
      </c>
      <c r="AA383" s="13">
        <f>IF(ROWS($AA$2:$AA383)&lt;=MAX('Per Line'!$AO$2:$AO$4001),MATCH(ROWS($AA$2:$AA383),'Per Line'!$AO$2:$AO$4001,0),"")</f>
        <v/>
      </c>
      <c r="AB383" s="14">
        <f>IF($AA383="","",L383-K383*Y383/100)</f>
        <v/>
      </c>
    </row>
    <row r="384">
      <c r="A384" s="12" t="n"/>
      <c r="B384">
        <f>IF($AA384="","",INDEX('Per Line'!$E$2:$E$4001,$AA384)&amp;"")</f>
        <v/>
      </c>
      <c r="C384">
        <f>IF($AA384="","",INDEX('Per Line'!$A$2:$A$4001,$AA384)&amp;"")</f>
        <v/>
      </c>
      <c r="D384">
        <f>IF($AA384="","",INDEX('Per Line'!$D$2:$D$4001,$AA384)&amp;"")</f>
        <v/>
      </c>
      <c r="E384" s="11">
        <f>IF($AA384="","",INDEX('Per Line'!$G$2:$G$4001,$AA384))</f>
        <v/>
      </c>
      <c r="F384">
        <f>IF($AA384="","",INDEX('Per Line'!$H$2:$H$4001,$AA384)&amp;"")</f>
        <v/>
      </c>
      <c r="G384">
        <f>IF($AA384="","",INDEX('Per Line'!$I$2:$I$4001,$AA384)&amp;"")</f>
        <v/>
      </c>
      <c r="H384">
        <f>IF($AA384="","",INDEX('Per Line'!$J$2:$J$4001,$AA384)&amp;"")</f>
        <v/>
      </c>
      <c r="I384">
        <f>IF($AA384="","",INDEX('Per Line'!$K$2:$K$4001,$AA384)&amp;"")</f>
        <v/>
      </c>
      <c r="J384">
        <f>IF($AA384="","",INDEX('Per Line'!$L$2:$L$4001,$AA384)&amp;"")</f>
        <v/>
      </c>
      <c r="K384">
        <f>IF($AA384="","",INDEX('Per Line'!$P$2:$P$4001,$AA384))</f>
        <v/>
      </c>
      <c r="L384" s="7">
        <f>IF($AA384="","",IF(AND(ISNUMBER(N384),N384&gt;0,Y384&gt;N384),K384*N384/100+(Y384-N384),K384*Y384/100))</f>
        <v/>
      </c>
      <c r="M384">
        <f>IF($AA384="","",INDEX('Per Line'!$Z$2:$Z$4001,$AA384)&amp;"")</f>
        <v/>
      </c>
      <c r="N384">
        <f>IF($AA384="","",INDEX('Per Line'!$AG$2:$AG$4001,$AA384))</f>
        <v/>
      </c>
      <c r="O384">
        <f>IF($AA384="","",IF(AND(ISNUMBER(N384),N384&gt;0),Y384&gt;N384,FALSE))</f>
        <v/>
      </c>
      <c r="P384" s="7">
        <f>IF($AA384="","",SUMIFS('Per Line'!$Y$2:$Y$4001,'Per Line'!$E$2:$E$4001,$B384,'Per Line'!$AQ$2:$AQ$4001,1))</f>
        <v/>
      </c>
      <c r="Q384">
        <f>IF($AA384="","",Settings!$C$7)</f>
        <v/>
      </c>
      <c r="R384" s="7">
        <f>IF($AA384="","",SUMIFS('Per Line'!$Y$2:$Y$4001,'Per Line'!$E$2:$E$4001,$B384,'Per Line'!$AP$2:$AP$4001,0,'Per Line'!$AQ$2:$AQ$4001,0))</f>
        <v/>
      </c>
      <c r="S384" s="7">
        <f>IF($AA384="","",R384*Q384)</f>
        <v/>
      </c>
      <c r="T384">
        <f>IF($AA384="","",Settings!$C$6)</f>
        <v/>
      </c>
      <c r="U384" s="7">
        <f>IF($AA384="","",SUMIFS('Per Line'!$Y$2:$Y$4001,'Per Line'!$E$2:$E$4001,$B384,'Per Line'!$AP$2:$AP$4001,1,'Per Line'!$AQ$2:$AQ$4001,0))</f>
        <v/>
      </c>
      <c r="V384" s="7">
        <f>IF($AA384="","",U384*T384)</f>
        <v/>
      </c>
      <c r="W384" s="7">
        <f>IF($AA384="","",V384+S384)</f>
        <v/>
      </c>
      <c r="X384" s="7">
        <f>IF($AA384="","",Y384-W384)</f>
        <v/>
      </c>
      <c r="Y384" s="7">
        <f>IF($AA384="","",R384+U384+P384)</f>
        <v/>
      </c>
      <c r="Z384" s="7">
        <f>IF($AA384="","",Y384-W384-L384)</f>
        <v/>
      </c>
      <c r="AA384" s="13">
        <f>IF(ROWS($AA$2:$AA384)&lt;=MAX('Per Line'!$AO$2:$AO$4001),MATCH(ROWS($AA$2:$AA384),'Per Line'!$AO$2:$AO$4001,0),"")</f>
        <v/>
      </c>
      <c r="AB384" s="14">
        <f>IF($AA384="","",L384-K384*Y384/100)</f>
        <v/>
      </c>
    </row>
    <row r="385">
      <c r="A385" s="12" t="n"/>
      <c r="B385">
        <f>IF($AA385="","",INDEX('Per Line'!$E$2:$E$4001,$AA385)&amp;"")</f>
        <v/>
      </c>
      <c r="C385">
        <f>IF($AA385="","",INDEX('Per Line'!$A$2:$A$4001,$AA385)&amp;"")</f>
        <v/>
      </c>
      <c r="D385">
        <f>IF($AA385="","",INDEX('Per Line'!$D$2:$D$4001,$AA385)&amp;"")</f>
        <v/>
      </c>
      <c r="E385" s="11">
        <f>IF($AA385="","",INDEX('Per Line'!$G$2:$G$4001,$AA385))</f>
        <v/>
      </c>
      <c r="F385">
        <f>IF($AA385="","",INDEX('Per Line'!$H$2:$H$4001,$AA385)&amp;"")</f>
        <v/>
      </c>
      <c r="G385">
        <f>IF($AA385="","",INDEX('Per Line'!$I$2:$I$4001,$AA385)&amp;"")</f>
        <v/>
      </c>
      <c r="H385">
        <f>IF($AA385="","",INDEX('Per Line'!$J$2:$J$4001,$AA385)&amp;"")</f>
        <v/>
      </c>
      <c r="I385">
        <f>IF($AA385="","",INDEX('Per Line'!$K$2:$K$4001,$AA385)&amp;"")</f>
        <v/>
      </c>
      <c r="J385">
        <f>IF($AA385="","",INDEX('Per Line'!$L$2:$L$4001,$AA385)&amp;"")</f>
        <v/>
      </c>
      <c r="K385">
        <f>IF($AA385="","",INDEX('Per Line'!$P$2:$P$4001,$AA385))</f>
        <v/>
      </c>
      <c r="L385" s="7">
        <f>IF($AA385="","",IF(AND(ISNUMBER(N385),N385&gt;0,Y385&gt;N385),K385*N385/100+(Y385-N385),K385*Y385/100))</f>
        <v/>
      </c>
      <c r="M385">
        <f>IF($AA385="","",INDEX('Per Line'!$Z$2:$Z$4001,$AA385)&amp;"")</f>
        <v/>
      </c>
      <c r="N385">
        <f>IF($AA385="","",INDEX('Per Line'!$AG$2:$AG$4001,$AA385))</f>
        <v/>
      </c>
      <c r="O385">
        <f>IF($AA385="","",IF(AND(ISNUMBER(N385),N385&gt;0),Y385&gt;N385,FALSE))</f>
        <v/>
      </c>
      <c r="P385" s="7">
        <f>IF($AA385="","",SUMIFS('Per Line'!$Y$2:$Y$4001,'Per Line'!$E$2:$E$4001,$B385,'Per Line'!$AQ$2:$AQ$4001,1))</f>
        <v/>
      </c>
      <c r="Q385">
        <f>IF($AA385="","",Settings!$C$7)</f>
        <v/>
      </c>
      <c r="R385" s="7">
        <f>IF($AA385="","",SUMIFS('Per Line'!$Y$2:$Y$4001,'Per Line'!$E$2:$E$4001,$B385,'Per Line'!$AP$2:$AP$4001,0,'Per Line'!$AQ$2:$AQ$4001,0))</f>
        <v/>
      </c>
      <c r="S385" s="7">
        <f>IF($AA385="","",R385*Q385)</f>
        <v/>
      </c>
      <c r="T385">
        <f>IF($AA385="","",Settings!$C$6)</f>
        <v/>
      </c>
      <c r="U385" s="7">
        <f>IF($AA385="","",SUMIFS('Per Line'!$Y$2:$Y$4001,'Per Line'!$E$2:$E$4001,$B385,'Per Line'!$AP$2:$AP$4001,1,'Per Line'!$AQ$2:$AQ$4001,0))</f>
        <v/>
      </c>
      <c r="V385" s="7">
        <f>IF($AA385="","",U385*T385)</f>
        <v/>
      </c>
      <c r="W385" s="7">
        <f>IF($AA385="","",V385+S385)</f>
        <v/>
      </c>
      <c r="X385" s="7">
        <f>IF($AA385="","",Y385-W385)</f>
        <v/>
      </c>
      <c r="Y385" s="7">
        <f>IF($AA385="","",R385+U385+P385)</f>
        <v/>
      </c>
      <c r="Z385" s="7">
        <f>IF($AA385="","",Y385-W385-L385)</f>
        <v/>
      </c>
      <c r="AA385" s="13">
        <f>IF(ROWS($AA$2:$AA385)&lt;=MAX('Per Line'!$AO$2:$AO$4001),MATCH(ROWS($AA$2:$AA385),'Per Line'!$AO$2:$AO$4001,0),"")</f>
        <v/>
      </c>
      <c r="AB385" s="14">
        <f>IF($AA385="","",L385-K385*Y385/100)</f>
        <v/>
      </c>
    </row>
    <row r="386">
      <c r="A386" s="12" t="n"/>
      <c r="B386">
        <f>IF($AA386="","",INDEX('Per Line'!$E$2:$E$4001,$AA386)&amp;"")</f>
        <v/>
      </c>
      <c r="C386">
        <f>IF($AA386="","",INDEX('Per Line'!$A$2:$A$4001,$AA386)&amp;"")</f>
        <v/>
      </c>
      <c r="D386">
        <f>IF($AA386="","",INDEX('Per Line'!$D$2:$D$4001,$AA386)&amp;"")</f>
        <v/>
      </c>
      <c r="E386" s="11">
        <f>IF($AA386="","",INDEX('Per Line'!$G$2:$G$4001,$AA386))</f>
        <v/>
      </c>
      <c r="F386">
        <f>IF($AA386="","",INDEX('Per Line'!$H$2:$H$4001,$AA386)&amp;"")</f>
        <v/>
      </c>
      <c r="G386">
        <f>IF($AA386="","",INDEX('Per Line'!$I$2:$I$4001,$AA386)&amp;"")</f>
        <v/>
      </c>
      <c r="H386">
        <f>IF($AA386="","",INDEX('Per Line'!$J$2:$J$4001,$AA386)&amp;"")</f>
        <v/>
      </c>
      <c r="I386">
        <f>IF($AA386="","",INDEX('Per Line'!$K$2:$K$4001,$AA386)&amp;"")</f>
        <v/>
      </c>
      <c r="J386">
        <f>IF($AA386="","",INDEX('Per Line'!$L$2:$L$4001,$AA386)&amp;"")</f>
        <v/>
      </c>
      <c r="K386">
        <f>IF($AA386="","",INDEX('Per Line'!$P$2:$P$4001,$AA386))</f>
        <v/>
      </c>
      <c r="L386" s="7">
        <f>IF($AA386="","",IF(AND(ISNUMBER(N386),N386&gt;0,Y386&gt;N386),K386*N386/100+(Y386-N386),K386*Y386/100))</f>
        <v/>
      </c>
      <c r="M386">
        <f>IF($AA386="","",INDEX('Per Line'!$Z$2:$Z$4001,$AA386)&amp;"")</f>
        <v/>
      </c>
      <c r="N386">
        <f>IF($AA386="","",INDEX('Per Line'!$AG$2:$AG$4001,$AA386))</f>
        <v/>
      </c>
      <c r="O386">
        <f>IF($AA386="","",IF(AND(ISNUMBER(N386),N386&gt;0),Y386&gt;N386,FALSE))</f>
        <v/>
      </c>
      <c r="P386" s="7">
        <f>IF($AA386="","",SUMIFS('Per Line'!$Y$2:$Y$4001,'Per Line'!$E$2:$E$4001,$B386,'Per Line'!$AQ$2:$AQ$4001,1))</f>
        <v/>
      </c>
      <c r="Q386">
        <f>IF($AA386="","",Settings!$C$7)</f>
        <v/>
      </c>
      <c r="R386" s="7">
        <f>IF($AA386="","",SUMIFS('Per Line'!$Y$2:$Y$4001,'Per Line'!$E$2:$E$4001,$B386,'Per Line'!$AP$2:$AP$4001,0,'Per Line'!$AQ$2:$AQ$4001,0))</f>
        <v/>
      </c>
      <c r="S386" s="7">
        <f>IF($AA386="","",R386*Q386)</f>
        <v/>
      </c>
      <c r="T386">
        <f>IF($AA386="","",Settings!$C$6)</f>
        <v/>
      </c>
      <c r="U386" s="7">
        <f>IF($AA386="","",SUMIFS('Per Line'!$Y$2:$Y$4001,'Per Line'!$E$2:$E$4001,$B386,'Per Line'!$AP$2:$AP$4001,1,'Per Line'!$AQ$2:$AQ$4001,0))</f>
        <v/>
      </c>
      <c r="V386" s="7">
        <f>IF($AA386="","",U386*T386)</f>
        <v/>
      </c>
      <c r="W386" s="7">
        <f>IF($AA386="","",V386+S386)</f>
        <v/>
      </c>
      <c r="X386" s="7">
        <f>IF($AA386="","",Y386-W386)</f>
        <v/>
      </c>
      <c r="Y386" s="7">
        <f>IF($AA386="","",R386+U386+P386)</f>
        <v/>
      </c>
      <c r="Z386" s="7">
        <f>IF($AA386="","",Y386-W386-L386)</f>
        <v/>
      </c>
      <c r="AA386" s="13">
        <f>IF(ROWS($AA$2:$AA386)&lt;=MAX('Per Line'!$AO$2:$AO$4001),MATCH(ROWS($AA$2:$AA386),'Per Line'!$AO$2:$AO$4001,0),"")</f>
        <v/>
      </c>
      <c r="AB386" s="14">
        <f>IF($AA386="","",L386-K386*Y386/100)</f>
        <v/>
      </c>
    </row>
    <row r="387">
      <c r="A387" s="12" t="n"/>
      <c r="B387">
        <f>IF($AA387="","",INDEX('Per Line'!$E$2:$E$4001,$AA387)&amp;"")</f>
        <v/>
      </c>
      <c r="C387">
        <f>IF($AA387="","",INDEX('Per Line'!$A$2:$A$4001,$AA387)&amp;"")</f>
        <v/>
      </c>
      <c r="D387">
        <f>IF($AA387="","",INDEX('Per Line'!$D$2:$D$4001,$AA387)&amp;"")</f>
        <v/>
      </c>
      <c r="E387" s="11">
        <f>IF($AA387="","",INDEX('Per Line'!$G$2:$G$4001,$AA387))</f>
        <v/>
      </c>
      <c r="F387">
        <f>IF($AA387="","",INDEX('Per Line'!$H$2:$H$4001,$AA387)&amp;"")</f>
        <v/>
      </c>
      <c r="G387">
        <f>IF($AA387="","",INDEX('Per Line'!$I$2:$I$4001,$AA387)&amp;"")</f>
        <v/>
      </c>
      <c r="H387">
        <f>IF($AA387="","",INDEX('Per Line'!$J$2:$J$4001,$AA387)&amp;"")</f>
        <v/>
      </c>
      <c r="I387">
        <f>IF($AA387="","",INDEX('Per Line'!$K$2:$K$4001,$AA387)&amp;"")</f>
        <v/>
      </c>
      <c r="J387">
        <f>IF($AA387="","",INDEX('Per Line'!$L$2:$L$4001,$AA387)&amp;"")</f>
        <v/>
      </c>
      <c r="K387">
        <f>IF($AA387="","",INDEX('Per Line'!$P$2:$P$4001,$AA387))</f>
        <v/>
      </c>
      <c r="L387" s="7">
        <f>IF($AA387="","",IF(AND(ISNUMBER(N387),N387&gt;0,Y387&gt;N387),K387*N387/100+(Y387-N387),K387*Y387/100))</f>
        <v/>
      </c>
      <c r="M387">
        <f>IF($AA387="","",INDEX('Per Line'!$Z$2:$Z$4001,$AA387)&amp;"")</f>
        <v/>
      </c>
      <c r="N387">
        <f>IF($AA387="","",INDEX('Per Line'!$AG$2:$AG$4001,$AA387))</f>
        <v/>
      </c>
      <c r="O387">
        <f>IF($AA387="","",IF(AND(ISNUMBER(N387),N387&gt;0),Y387&gt;N387,FALSE))</f>
        <v/>
      </c>
      <c r="P387" s="7">
        <f>IF($AA387="","",SUMIFS('Per Line'!$Y$2:$Y$4001,'Per Line'!$E$2:$E$4001,$B387,'Per Line'!$AQ$2:$AQ$4001,1))</f>
        <v/>
      </c>
      <c r="Q387">
        <f>IF($AA387="","",Settings!$C$7)</f>
        <v/>
      </c>
      <c r="R387" s="7">
        <f>IF($AA387="","",SUMIFS('Per Line'!$Y$2:$Y$4001,'Per Line'!$E$2:$E$4001,$B387,'Per Line'!$AP$2:$AP$4001,0,'Per Line'!$AQ$2:$AQ$4001,0))</f>
        <v/>
      </c>
      <c r="S387" s="7">
        <f>IF($AA387="","",R387*Q387)</f>
        <v/>
      </c>
      <c r="T387">
        <f>IF($AA387="","",Settings!$C$6)</f>
        <v/>
      </c>
      <c r="U387" s="7">
        <f>IF($AA387="","",SUMIFS('Per Line'!$Y$2:$Y$4001,'Per Line'!$E$2:$E$4001,$B387,'Per Line'!$AP$2:$AP$4001,1,'Per Line'!$AQ$2:$AQ$4001,0))</f>
        <v/>
      </c>
      <c r="V387" s="7">
        <f>IF($AA387="","",U387*T387)</f>
        <v/>
      </c>
      <c r="W387" s="7">
        <f>IF($AA387="","",V387+S387)</f>
        <v/>
      </c>
      <c r="X387" s="7">
        <f>IF($AA387="","",Y387-W387)</f>
        <v/>
      </c>
      <c r="Y387" s="7">
        <f>IF($AA387="","",R387+U387+P387)</f>
        <v/>
      </c>
      <c r="Z387" s="7">
        <f>IF($AA387="","",Y387-W387-L387)</f>
        <v/>
      </c>
      <c r="AA387" s="13">
        <f>IF(ROWS($AA$2:$AA387)&lt;=MAX('Per Line'!$AO$2:$AO$4001),MATCH(ROWS($AA$2:$AA387),'Per Line'!$AO$2:$AO$4001,0),"")</f>
        <v/>
      </c>
      <c r="AB387" s="14">
        <f>IF($AA387="","",L387-K387*Y387/100)</f>
        <v/>
      </c>
    </row>
    <row r="388">
      <c r="A388" s="12" t="n"/>
      <c r="B388">
        <f>IF($AA388="","",INDEX('Per Line'!$E$2:$E$4001,$AA388)&amp;"")</f>
        <v/>
      </c>
      <c r="C388">
        <f>IF($AA388="","",INDEX('Per Line'!$A$2:$A$4001,$AA388)&amp;"")</f>
        <v/>
      </c>
      <c r="D388">
        <f>IF($AA388="","",INDEX('Per Line'!$D$2:$D$4001,$AA388)&amp;"")</f>
        <v/>
      </c>
      <c r="E388" s="11">
        <f>IF($AA388="","",INDEX('Per Line'!$G$2:$G$4001,$AA388))</f>
        <v/>
      </c>
      <c r="F388">
        <f>IF($AA388="","",INDEX('Per Line'!$H$2:$H$4001,$AA388)&amp;"")</f>
        <v/>
      </c>
      <c r="G388">
        <f>IF($AA388="","",INDEX('Per Line'!$I$2:$I$4001,$AA388)&amp;"")</f>
        <v/>
      </c>
      <c r="H388">
        <f>IF($AA388="","",INDEX('Per Line'!$J$2:$J$4001,$AA388)&amp;"")</f>
        <v/>
      </c>
      <c r="I388">
        <f>IF($AA388="","",INDEX('Per Line'!$K$2:$K$4001,$AA388)&amp;"")</f>
        <v/>
      </c>
      <c r="J388">
        <f>IF($AA388="","",INDEX('Per Line'!$L$2:$L$4001,$AA388)&amp;"")</f>
        <v/>
      </c>
      <c r="K388">
        <f>IF($AA388="","",INDEX('Per Line'!$P$2:$P$4001,$AA388))</f>
        <v/>
      </c>
      <c r="L388" s="7">
        <f>IF($AA388="","",IF(AND(ISNUMBER(N388),N388&gt;0,Y388&gt;N388),K388*N388/100+(Y388-N388),K388*Y388/100))</f>
        <v/>
      </c>
      <c r="M388">
        <f>IF($AA388="","",INDEX('Per Line'!$Z$2:$Z$4001,$AA388)&amp;"")</f>
        <v/>
      </c>
      <c r="N388">
        <f>IF($AA388="","",INDEX('Per Line'!$AG$2:$AG$4001,$AA388))</f>
        <v/>
      </c>
      <c r="O388">
        <f>IF($AA388="","",IF(AND(ISNUMBER(N388),N388&gt;0),Y388&gt;N388,FALSE))</f>
        <v/>
      </c>
      <c r="P388" s="7">
        <f>IF($AA388="","",SUMIFS('Per Line'!$Y$2:$Y$4001,'Per Line'!$E$2:$E$4001,$B388,'Per Line'!$AQ$2:$AQ$4001,1))</f>
        <v/>
      </c>
      <c r="Q388">
        <f>IF($AA388="","",Settings!$C$7)</f>
        <v/>
      </c>
      <c r="R388" s="7">
        <f>IF($AA388="","",SUMIFS('Per Line'!$Y$2:$Y$4001,'Per Line'!$E$2:$E$4001,$B388,'Per Line'!$AP$2:$AP$4001,0,'Per Line'!$AQ$2:$AQ$4001,0))</f>
        <v/>
      </c>
      <c r="S388" s="7">
        <f>IF($AA388="","",R388*Q388)</f>
        <v/>
      </c>
      <c r="T388">
        <f>IF($AA388="","",Settings!$C$6)</f>
        <v/>
      </c>
      <c r="U388" s="7">
        <f>IF($AA388="","",SUMIFS('Per Line'!$Y$2:$Y$4001,'Per Line'!$E$2:$E$4001,$B388,'Per Line'!$AP$2:$AP$4001,1,'Per Line'!$AQ$2:$AQ$4001,0))</f>
        <v/>
      </c>
      <c r="V388" s="7">
        <f>IF($AA388="","",U388*T388)</f>
        <v/>
      </c>
      <c r="W388" s="7">
        <f>IF($AA388="","",V388+S388)</f>
        <v/>
      </c>
      <c r="X388" s="7">
        <f>IF($AA388="","",Y388-W388)</f>
        <v/>
      </c>
      <c r="Y388" s="7">
        <f>IF($AA388="","",R388+U388+P388)</f>
        <v/>
      </c>
      <c r="Z388" s="7">
        <f>IF($AA388="","",Y388-W388-L388)</f>
        <v/>
      </c>
      <c r="AA388" s="13">
        <f>IF(ROWS($AA$2:$AA388)&lt;=MAX('Per Line'!$AO$2:$AO$4001),MATCH(ROWS($AA$2:$AA388),'Per Line'!$AO$2:$AO$4001,0),"")</f>
        <v/>
      </c>
      <c r="AB388" s="14">
        <f>IF($AA388="","",L388-K388*Y388/100)</f>
        <v/>
      </c>
    </row>
    <row r="389">
      <c r="A389" s="12" t="n"/>
      <c r="B389">
        <f>IF($AA389="","",INDEX('Per Line'!$E$2:$E$4001,$AA389)&amp;"")</f>
        <v/>
      </c>
      <c r="C389">
        <f>IF($AA389="","",INDEX('Per Line'!$A$2:$A$4001,$AA389)&amp;"")</f>
        <v/>
      </c>
      <c r="D389">
        <f>IF($AA389="","",INDEX('Per Line'!$D$2:$D$4001,$AA389)&amp;"")</f>
        <v/>
      </c>
      <c r="E389" s="11">
        <f>IF($AA389="","",INDEX('Per Line'!$G$2:$G$4001,$AA389))</f>
        <v/>
      </c>
      <c r="F389">
        <f>IF($AA389="","",INDEX('Per Line'!$H$2:$H$4001,$AA389)&amp;"")</f>
        <v/>
      </c>
      <c r="G389">
        <f>IF($AA389="","",INDEX('Per Line'!$I$2:$I$4001,$AA389)&amp;"")</f>
        <v/>
      </c>
      <c r="H389">
        <f>IF($AA389="","",INDEX('Per Line'!$J$2:$J$4001,$AA389)&amp;"")</f>
        <v/>
      </c>
      <c r="I389">
        <f>IF($AA389="","",INDEX('Per Line'!$K$2:$K$4001,$AA389)&amp;"")</f>
        <v/>
      </c>
      <c r="J389">
        <f>IF($AA389="","",INDEX('Per Line'!$L$2:$L$4001,$AA389)&amp;"")</f>
        <v/>
      </c>
      <c r="K389">
        <f>IF($AA389="","",INDEX('Per Line'!$P$2:$P$4001,$AA389))</f>
        <v/>
      </c>
      <c r="L389" s="7">
        <f>IF($AA389="","",IF(AND(ISNUMBER(N389),N389&gt;0,Y389&gt;N389),K389*N389/100+(Y389-N389),K389*Y389/100))</f>
        <v/>
      </c>
      <c r="M389">
        <f>IF($AA389="","",INDEX('Per Line'!$Z$2:$Z$4001,$AA389)&amp;"")</f>
        <v/>
      </c>
      <c r="N389">
        <f>IF($AA389="","",INDEX('Per Line'!$AG$2:$AG$4001,$AA389))</f>
        <v/>
      </c>
      <c r="O389">
        <f>IF($AA389="","",IF(AND(ISNUMBER(N389),N389&gt;0),Y389&gt;N389,FALSE))</f>
        <v/>
      </c>
      <c r="P389" s="7">
        <f>IF($AA389="","",SUMIFS('Per Line'!$Y$2:$Y$4001,'Per Line'!$E$2:$E$4001,$B389,'Per Line'!$AQ$2:$AQ$4001,1))</f>
        <v/>
      </c>
      <c r="Q389">
        <f>IF($AA389="","",Settings!$C$7)</f>
        <v/>
      </c>
      <c r="R389" s="7">
        <f>IF($AA389="","",SUMIFS('Per Line'!$Y$2:$Y$4001,'Per Line'!$E$2:$E$4001,$B389,'Per Line'!$AP$2:$AP$4001,0,'Per Line'!$AQ$2:$AQ$4001,0))</f>
        <v/>
      </c>
      <c r="S389" s="7">
        <f>IF($AA389="","",R389*Q389)</f>
        <v/>
      </c>
      <c r="T389">
        <f>IF($AA389="","",Settings!$C$6)</f>
        <v/>
      </c>
      <c r="U389" s="7">
        <f>IF($AA389="","",SUMIFS('Per Line'!$Y$2:$Y$4001,'Per Line'!$E$2:$E$4001,$B389,'Per Line'!$AP$2:$AP$4001,1,'Per Line'!$AQ$2:$AQ$4001,0))</f>
        <v/>
      </c>
      <c r="V389" s="7">
        <f>IF($AA389="","",U389*T389)</f>
        <v/>
      </c>
      <c r="W389" s="7">
        <f>IF($AA389="","",V389+S389)</f>
        <v/>
      </c>
      <c r="X389" s="7">
        <f>IF($AA389="","",Y389-W389)</f>
        <v/>
      </c>
      <c r="Y389" s="7">
        <f>IF($AA389="","",R389+U389+P389)</f>
        <v/>
      </c>
      <c r="Z389" s="7">
        <f>IF($AA389="","",Y389-W389-L389)</f>
        <v/>
      </c>
      <c r="AA389" s="13">
        <f>IF(ROWS($AA$2:$AA389)&lt;=MAX('Per Line'!$AO$2:$AO$4001),MATCH(ROWS($AA$2:$AA389),'Per Line'!$AO$2:$AO$4001,0),"")</f>
        <v/>
      </c>
      <c r="AB389" s="14">
        <f>IF($AA389="","",L389-K389*Y389/100)</f>
        <v/>
      </c>
    </row>
    <row r="390">
      <c r="A390" s="12" t="n"/>
      <c r="B390">
        <f>IF($AA390="","",INDEX('Per Line'!$E$2:$E$4001,$AA390)&amp;"")</f>
        <v/>
      </c>
      <c r="C390">
        <f>IF($AA390="","",INDEX('Per Line'!$A$2:$A$4001,$AA390)&amp;"")</f>
        <v/>
      </c>
      <c r="D390">
        <f>IF($AA390="","",INDEX('Per Line'!$D$2:$D$4001,$AA390)&amp;"")</f>
        <v/>
      </c>
      <c r="E390" s="11">
        <f>IF($AA390="","",INDEX('Per Line'!$G$2:$G$4001,$AA390))</f>
        <v/>
      </c>
      <c r="F390">
        <f>IF($AA390="","",INDEX('Per Line'!$H$2:$H$4001,$AA390)&amp;"")</f>
        <v/>
      </c>
      <c r="G390">
        <f>IF($AA390="","",INDEX('Per Line'!$I$2:$I$4001,$AA390)&amp;"")</f>
        <v/>
      </c>
      <c r="H390">
        <f>IF($AA390="","",INDEX('Per Line'!$J$2:$J$4001,$AA390)&amp;"")</f>
        <v/>
      </c>
      <c r="I390">
        <f>IF($AA390="","",INDEX('Per Line'!$K$2:$K$4001,$AA390)&amp;"")</f>
        <v/>
      </c>
      <c r="J390">
        <f>IF($AA390="","",INDEX('Per Line'!$L$2:$L$4001,$AA390)&amp;"")</f>
        <v/>
      </c>
      <c r="K390">
        <f>IF($AA390="","",INDEX('Per Line'!$P$2:$P$4001,$AA390))</f>
        <v/>
      </c>
      <c r="L390" s="7">
        <f>IF($AA390="","",IF(AND(ISNUMBER(N390),N390&gt;0,Y390&gt;N390),K390*N390/100+(Y390-N390),K390*Y390/100))</f>
        <v/>
      </c>
      <c r="M390">
        <f>IF($AA390="","",INDEX('Per Line'!$Z$2:$Z$4001,$AA390)&amp;"")</f>
        <v/>
      </c>
      <c r="N390">
        <f>IF($AA390="","",INDEX('Per Line'!$AG$2:$AG$4001,$AA390))</f>
        <v/>
      </c>
      <c r="O390">
        <f>IF($AA390="","",IF(AND(ISNUMBER(N390),N390&gt;0),Y390&gt;N390,FALSE))</f>
        <v/>
      </c>
      <c r="P390" s="7">
        <f>IF($AA390="","",SUMIFS('Per Line'!$Y$2:$Y$4001,'Per Line'!$E$2:$E$4001,$B390,'Per Line'!$AQ$2:$AQ$4001,1))</f>
        <v/>
      </c>
      <c r="Q390">
        <f>IF($AA390="","",Settings!$C$7)</f>
        <v/>
      </c>
      <c r="R390" s="7">
        <f>IF($AA390="","",SUMIFS('Per Line'!$Y$2:$Y$4001,'Per Line'!$E$2:$E$4001,$B390,'Per Line'!$AP$2:$AP$4001,0,'Per Line'!$AQ$2:$AQ$4001,0))</f>
        <v/>
      </c>
      <c r="S390" s="7">
        <f>IF($AA390="","",R390*Q390)</f>
        <v/>
      </c>
      <c r="T390">
        <f>IF($AA390="","",Settings!$C$6)</f>
        <v/>
      </c>
      <c r="U390" s="7">
        <f>IF($AA390="","",SUMIFS('Per Line'!$Y$2:$Y$4001,'Per Line'!$E$2:$E$4001,$B390,'Per Line'!$AP$2:$AP$4001,1,'Per Line'!$AQ$2:$AQ$4001,0))</f>
        <v/>
      </c>
      <c r="V390" s="7">
        <f>IF($AA390="","",U390*T390)</f>
        <v/>
      </c>
      <c r="W390" s="7">
        <f>IF($AA390="","",V390+S390)</f>
        <v/>
      </c>
      <c r="X390" s="7">
        <f>IF($AA390="","",Y390-W390)</f>
        <v/>
      </c>
      <c r="Y390" s="7">
        <f>IF($AA390="","",R390+U390+P390)</f>
        <v/>
      </c>
      <c r="Z390" s="7">
        <f>IF($AA390="","",Y390-W390-L390)</f>
        <v/>
      </c>
      <c r="AA390" s="13">
        <f>IF(ROWS($AA$2:$AA390)&lt;=MAX('Per Line'!$AO$2:$AO$4001),MATCH(ROWS($AA$2:$AA390),'Per Line'!$AO$2:$AO$4001,0),"")</f>
        <v/>
      </c>
      <c r="AB390" s="14">
        <f>IF($AA390="","",L390-K390*Y390/100)</f>
        <v/>
      </c>
    </row>
    <row r="391">
      <c r="A391" s="12" t="n"/>
      <c r="B391">
        <f>IF($AA391="","",INDEX('Per Line'!$E$2:$E$4001,$AA391)&amp;"")</f>
        <v/>
      </c>
      <c r="C391">
        <f>IF($AA391="","",INDEX('Per Line'!$A$2:$A$4001,$AA391)&amp;"")</f>
        <v/>
      </c>
      <c r="D391">
        <f>IF($AA391="","",INDEX('Per Line'!$D$2:$D$4001,$AA391)&amp;"")</f>
        <v/>
      </c>
      <c r="E391" s="11">
        <f>IF($AA391="","",INDEX('Per Line'!$G$2:$G$4001,$AA391))</f>
        <v/>
      </c>
      <c r="F391">
        <f>IF($AA391="","",INDEX('Per Line'!$H$2:$H$4001,$AA391)&amp;"")</f>
        <v/>
      </c>
      <c r="G391">
        <f>IF($AA391="","",INDEX('Per Line'!$I$2:$I$4001,$AA391)&amp;"")</f>
        <v/>
      </c>
      <c r="H391">
        <f>IF($AA391="","",INDEX('Per Line'!$J$2:$J$4001,$AA391)&amp;"")</f>
        <v/>
      </c>
      <c r="I391">
        <f>IF($AA391="","",INDEX('Per Line'!$K$2:$K$4001,$AA391)&amp;"")</f>
        <v/>
      </c>
      <c r="J391">
        <f>IF($AA391="","",INDEX('Per Line'!$L$2:$L$4001,$AA391)&amp;"")</f>
        <v/>
      </c>
      <c r="K391">
        <f>IF($AA391="","",INDEX('Per Line'!$P$2:$P$4001,$AA391))</f>
        <v/>
      </c>
      <c r="L391" s="7">
        <f>IF($AA391="","",IF(AND(ISNUMBER(N391),N391&gt;0,Y391&gt;N391),K391*N391/100+(Y391-N391),K391*Y391/100))</f>
        <v/>
      </c>
      <c r="M391">
        <f>IF($AA391="","",INDEX('Per Line'!$Z$2:$Z$4001,$AA391)&amp;"")</f>
        <v/>
      </c>
      <c r="N391">
        <f>IF($AA391="","",INDEX('Per Line'!$AG$2:$AG$4001,$AA391))</f>
        <v/>
      </c>
      <c r="O391">
        <f>IF($AA391="","",IF(AND(ISNUMBER(N391),N391&gt;0),Y391&gt;N391,FALSE))</f>
        <v/>
      </c>
      <c r="P391" s="7">
        <f>IF($AA391="","",SUMIFS('Per Line'!$Y$2:$Y$4001,'Per Line'!$E$2:$E$4001,$B391,'Per Line'!$AQ$2:$AQ$4001,1))</f>
        <v/>
      </c>
      <c r="Q391">
        <f>IF($AA391="","",Settings!$C$7)</f>
        <v/>
      </c>
      <c r="R391" s="7">
        <f>IF($AA391="","",SUMIFS('Per Line'!$Y$2:$Y$4001,'Per Line'!$E$2:$E$4001,$B391,'Per Line'!$AP$2:$AP$4001,0,'Per Line'!$AQ$2:$AQ$4001,0))</f>
        <v/>
      </c>
      <c r="S391" s="7">
        <f>IF($AA391="","",R391*Q391)</f>
        <v/>
      </c>
      <c r="T391">
        <f>IF($AA391="","",Settings!$C$6)</f>
        <v/>
      </c>
      <c r="U391" s="7">
        <f>IF($AA391="","",SUMIFS('Per Line'!$Y$2:$Y$4001,'Per Line'!$E$2:$E$4001,$B391,'Per Line'!$AP$2:$AP$4001,1,'Per Line'!$AQ$2:$AQ$4001,0))</f>
        <v/>
      </c>
      <c r="V391" s="7">
        <f>IF($AA391="","",U391*T391)</f>
        <v/>
      </c>
      <c r="W391" s="7">
        <f>IF($AA391="","",V391+S391)</f>
        <v/>
      </c>
      <c r="X391" s="7">
        <f>IF($AA391="","",Y391-W391)</f>
        <v/>
      </c>
      <c r="Y391" s="7">
        <f>IF($AA391="","",R391+U391+P391)</f>
        <v/>
      </c>
      <c r="Z391" s="7">
        <f>IF($AA391="","",Y391-W391-L391)</f>
        <v/>
      </c>
      <c r="AA391" s="13">
        <f>IF(ROWS($AA$2:$AA391)&lt;=MAX('Per Line'!$AO$2:$AO$4001),MATCH(ROWS($AA$2:$AA391),'Per Line'!$AO$2:$AO$4001,0),"")</f>
        <v/>
      </c>
      <c r="AB391" s="14">
        <f>IF($AA391="","",L391-K391*Y391/100)</f>
        <v/>
      </c>
    </row>
    <row r="392">
      <c r="A392" s="12" t="n"/>
      <c r="B392">
        <f>IF($AA392="","",INDEX('Per Line'!$E$2:$E$4001,$AA392)&amp;"")</f>
        <v/>
      </c>
      <c r="C392">
        <f>IF($AA392="","",INDEX('Per Line'!$A$2:$A$4001,$AA392)&amp;"")</f>
        <v/>
      </c>
      <c r="D392">
        <f>IF($AA392="","",INDEX('Per Line'!$D$2:$D$4001,$AA392)&amp;"")</f>
        <v/>
      </c>
      <c r="E392" s="11">
        <f>IF($AA392="","",INDEX('Per Line'!$G$2:$G$4001,$AA392))</f>
        <v/>
      </c>
      <c r="F392">
        <f>IF($AA392="","",INDEX('Per Line'!$H$2:$H$4001,$AA392)&amp;"")</f>
        <v/>
      </c>
      <c r="G392">
        <f>IF($AA392="","",INDEX('Per Line'!$I$2:$I$4001,$AA392)&amp;"")</f>
        <v/>
      </c>
      <c r="H392">
        <f>IF($AA392="","",INDEX('Per Line'!$J$2:$J$4001,$AA392)&amp;"")</f>
        <v/>
      </c>
      <c r="I392">
        <f>IF($AA392="","",INDEX('Per Line'!$K$2:$K$4001,$AA392)&amp;"")</f>
        <v/>
      </c>
      <c r="J392">
        <f>IF($AA392="","",INDEX('Per Line'!$L$2:$L$4001,$AA392)&amp;"")</f>
        <v/>
      </c>
      <c r="K392">
        <f>IF($AA392="","",INDEX('Per Line'!$P$2:$P$4001,$AA392))</f>
        <v/>
      </c>
      <c r="L392" s="7">
        <f>IF($AA392="","",IF(AND(ISNUMBER(N392),N392&gt;0,Y392&gt;N392),K392*N392/100+(Y392-N392),K392*Y392/100))</f>
        <v/>
      </c>
      <c r="M392">
        <f>IF($AA392="","",INDEX('Per Line'!$Z$2:$Z$4001,$AA392)&amp;"")</f>
        <v/>
      </c>
      <c r="N392">
        <f>IF($AA392="","",INDEX('Per Line'!$AG$2:$AG$4001,$AA392))</f>
        <v/>
      </c>
      <c r="O392">
        <f>IF($AA392="","",IF(AND(ISNUMBER(N392),N392&gt;0),Y392&gt;N392,FALSE))</f>
        <v/>
      </c>
      <c r="P392" s="7">
        <f>IF($AA392="","",SUMIFS('Per Line'!$Y$2:$Y$4001,'Per Line'!$E$2:$E$4001,$B392,'Per Line'!$AQ$2:$AQ$4001,1))</f>
        <v/>
      </c>
      <c r="Q392">
        <f>IF($AA392="","",Settings!$C$7)</f>
        <v/>
      </c>
      <c r="R392" s="7">
        <f>IF($AA392="","",SUMIFS('Per Line'!$Y$2:$Y$4001,'Per Line'!$E$2:$E$4001,$B392,'Per Line'!$AP$2:$AP$4001,0,'Per Line'!$AQ$2:$AQ$4001,0))</f>
        <v/>
      </c>
      <c r="S392" s="7">
        <f>IF($AA392="","",R392*Q392)</f>
        <v/>
      </c>
      <c r="T392">
        <f>IF($AA392="","",Settings!$C$6)</f>
        <v/>
      </c>
      <c r="U392" s="7">
        <f>IF($AA392="","",SUMIFS('Per Line'!$Y$2:$Y$4001,'Per Line'!$E$2:$E$4001,$B392,'Per Line'!$AP$2:$AP$4001,1,'Per Line'!$AQ$2:$AQ$4001,0))</f>
        <v/>
      </c>
      <c r="V392" s="7">
        <f>IF($AA392="","",U392*T392)</f>
        <v/>
      </c>
      <c r="W392" s="7">
        <f>IF($AA392="","",V392+S392)</f>
        <v/>
      </c>
      <c r="X392" s="7">
        <f>IF($AA392="","",Y392-W392)</f>
        <v/>
      </c>
      <c r="Y392" s="7">
        <f>IF($AA392="","",R392+U392+P392)</f>
        <v/>
      </c>
      <c r="Z392" s="7">
        <f>IF($AA392="","",Y392-W392-L392)</f>
        <v/>
      </c>
      <c r="AA392" s="13">
        <f>IF(ROWS($AA$2:$AA392)&lt;=MAX('Per Line'!$AO$2:$AO$4001),MATCH(ROWS($AA$2:$AA392),'Per Line'!$AO$2:$AO$4001,0),"")</f>
        <v/>
      </c>
      <c r="AB392" s="14">
        <f>IF($AA392="","",L392-K392*Y392/100)</f>
        <v/>
      </c>
    </row>
    <row r="393">
      <c r="A393" s="12" t="n"/>
      <c r="B393">
        <f>IF($AA393="","",INDEX('Per Line'!$E$2:$E$4001,$AA393)&amp;"")</f>
        <v/>
      </c>
      <c r="C393">
        <f>IF($AA393="","",INDEX('Per Line'!$A$2:$A$4001,$AA393)&amp;"")</f>
        <v/>
      </c>
      <c r="D393">
        <f>IF($AA393="","",INDEX('Per Line'!$D$2:$D$4001,$AA393)&amp;"")</f>
        <v/>
      </c>
      <c r="E393" s="11">
        <f>IF($AA393="","",INDEX('Per Line'!$G$2:$G$4001,$AA393))</f>
        <v/>
      </c>
      <c r="F393">
        <f>IF($AA393="","",INDEX('Per Line'!$H$2:$H$4001,$AA393)&amp;"")</f>
        <v/>
      </c>
      <c r="G393">
        <f>IF($AA393="","",INDEX('Per Line'!$I$2:$I$4001,$AA393)&amp;"")</f>
        <v/>
      </c>
      <c r="H393">
        <f>IF($AA393="","",INDEX('Per Line'!$J$2:$J$4001,$AA393)&amp;"")</f>
        <v/>
      </c>
      <c r="I393">
        <f>IF($AA393="","",INDEX('Per Line'!$K$2:$K$4001,$AA393)&amp;"")</f>
        <v/>
      </c>
      <c r="J393">
        <f>IF($AA393="","",INDEX('Per Line'!$L$2:$L$4001,$AA393)&amp;"")</f>
        <v/>
      </c>
      <c r="K393">
        <f>IF($AA393="","",INDEX('Per Line'!$P$2:$P$4001,$AA393))</f>
        <v/>
      </c>
      <c r="L393" s="7">
        <f>IF($AA393="","",IF(AND(ISNUMBER(N393),N393&gt;0,Y393&gt;N393),K393*N393/100+(Y393-N393),K393*Y393/100))</f>
        <v/>
      </c>
      <c r="M393">
        <f>IF($AA393="","",INDEX('Per Line'!$Z$2:$Z$4001,$AA393)&amp;"")</f>
        <v/>
      </c>
      <c r="N393">
        <f>IF($AA393="","",INDEX('Per Line'!$AG$2:$AG$4001,$AA393))</f>
        <v/>
      </c>
      <c r="O393">
        <f>IF($AA393="","",IF(AND(ISNUMBER(N393),N393&gt;0),Y393&gt;N393,FALSE))</f>
        <v/>
      </c>
      <c r="P393" s="7">
        <f>IF($AA393="","",SUMIFS('Per Line'!$Y$2:$Y$4001,'Per Line'!$E$2:$E$4001,$B393,'Per Line'!$AQ$2:$AQ$4001,1))</f>
        <v/>
      </c>
      <c r="Q393">
        <f>IF($AA393="","",Settings!$C$7)</f>
        <v/>
      </c>
      <c r="R393" s="7">
        <f>IF($AA393="","",SUMIFS('Per Line'!$Y$2:$Y$4001,'Per Line'!$E$2:$E$4001,$B393,'Per Line'!$AP$2:$AP$4001,0,'Per Line'!$AQ$2:$AQ$4001,0))</f>
        <v/>
      </c>
      <c r="S393" s="7">
        <f>IF($AA393="","",R393*Q393)</f>
        <v/>
      </c>
      <c r="T393">
        <f>IF($AA393="","",Settings!$C$6)</f>
        <v/>
      </c>
      <c r="U393" s="7">
        <f>IF($AA393="","",SUMIFS('Per Line'!$Y$2:$Y$4001,'Per Line'!$E$2:$E$4001,$B393,'Per Line'!$AP$2:$AP$4001,1,'Per Line'!$AQ$2:$AQ$4001,0))</f>
        <v/>
      </c>
      <c r="V393" s="7">
        <f>IF($AA393="","",U393*T393)</f>
        <v/>
      </c>
      <c r="W393" s="7">
        <f>IF($AA393="","",V393+S393)</f>
        <v/>
      </c>
      <c r="X393" s="7">
        <f>IF($AA393="","",Y393-W393)</f>
        <v/>
      </c>
      <c r="Y393" s="7">
        <f>IF($AA393="","",R393+U393+P393)</f>
        <v/>
      </c>
      <c r="Z393" s="7">
        <f>IF($AA393="","",Y393-W393-L393)</f>
        <v/>
      </c>
      <c r="AA393" s="13">
        <f>IF(ROWS($AA$2:$AA393)&lt;=MAX('Per Line'!$AO$2:$AO$4001),MATCH(ROWS($AA$2:$AA393),'Per Line'!$AO$2:$AO$4001,0),"")</f>
        <v/>
      </c>
      <c r="AB393" s="14">
        <f>IF($AA393="","",L393-K393*Y393/100)</f>
        <v/>
      </c>
    </row>
    <row r="394">
      <c r="A394" s="12" t="n"/>
      <c r="B394">
        <f>IF($AA394="","",INDEX('Per Line'!$E$2:$E$4001,$AA394)&amp;"")</f>
        <v/>
      </c>
      <c r="C394">
        <f>IF($AA394="","",INDEX('Per Line'!$A$2:$A$4001,$AA394)&amp;"")</f>
        <v/>
      </c>
      <c r="D394">
        <f>IF($AA394="","",INDEX('Per Line'!$D$2:$D$4001,$AA394)&amp;"")</f>
        <v/>
      </c>
      <c r="E394" s="11">
        <f>IF($AA394="","",INDEX('Per Line'!$G$2:$G$4001,$AA394))</f>
        <v/>
      </c>
      <c r="F394">
        <f>IF($AA394="","",INDEX('Per Line'!$H$2:$H$4001,$AA394)&amp;"")</f>
        <v/>
      </c>
      <c r="G394">
        <f>IF($AA394="","",INDEX('Per Line'!$I$2:$I$4001,$AA394)&amp;"")</f>
        <v/>
      </c>
      <c r="H394">
        <f>IF($AA394="","",INDEX('Per Line'!$J$2:$J$4001,$AA394)&amp;"")</f>
        <v/>
      </c>
      <c r="I394">
        <f>IF($AA394="","",INDEX('Per Line'!$K$2:$K$4001,$AA394)&amp;"")</f>
        <v/>
      </c>
      <c r="J394">
        <f>IF($AA394="","",INDEX('Per Line'!$L$2:$L$4001,$AA394)&amp;"")</f>
        <v/>
      </c>
      <c r="K394">
        <f>IF($AA394="","",INDEX('Per Line'!$P$2:$P$4001,$AA394))</f>
        <v/>
      </c>
      <c r="L394" s="7">
        <f>IF($AA394="","",IF(AND(ISNUMBER(N394),N394&gt;0,Y394&gt;N394),K394*N394/100+(Y394-N394),K394*Y394/100))</f>
        <v/>
      </c>
      <c r="M394">
        <f>IF($AA394="","",INDEX('Per Line'!$Z$2:$Z$4001,$AA394)&amp;"")</f>
        <v/>
      </c>
      <c r="N394">
        <f>IF($AA394="","",INDEX('Per Line'!$AG$2:$AG$4001,$AA394))</f>
        <v/>
      </c>
      <c r="O394">
        <f>IF($AA394="","",IF(AND(ISNUMBER(N394),N394&gt;0),Y394&gt;N394,FALSE))</f>
        <v/>
      </c>
      <c r="P394" s="7">
        <f>IF($AA394="","",SUMIFS('Per Line'!$Y$2:$Y$4001,'Per Line'!$E$2:$E$4001,$B394,'Per Line'!$AQ$2:$AQ$4001,1))</f>
        <v/>
      </c>
      <c r="Q394">
        <f>IF($AA394="","",Settings!$C$7)</f>
        <v/>
      </c>
      <c r="R394" s="7">
        <f>IF($AA394="","",SUMIFS('Per Line'!$Y$2:$Y$4001,'Per Line'!$E$2:$E$4001,$B394,'Per Line'!$AP$2:$AP$4001,0,'Per Line'!$AQ$2:$AQ$4001,0))</f>
        <v/>
      </c>
      <c r="S394" s="7">
        <f>IF($AA394="","",R394*Q394)</f>
        <v/>
      </c>
      <c r="T394">
        <f>IF($AA394="","",Settings!$C$6)</f>
        <v/>
      </c>
      <c r="U394" s="7">
        <f>IF($AA394="","",SUMIFS('Per Line'!$Y$2:$Y$4001,'Per Line'!$E$2:$E$4001,$B394,'Per Line'!$AP$2:$AP$4001,1,'Per Line'!$AQ$2:$AQ$4001,0))</f>
        <v/>
      </c>
      <c r="V394" s="7">
        <f>IF($AA394="","",U394*T394)</f>
        <v/>
      </c>
      <c r="W394" s="7">
        <f>IF($AA394="","",V394+S394)</f>
        <v/>
      </c>
      <c r="X394" s="7">
        <f>IF($AA394="","",Y394-W394)</f>
        <v/>
      </c>
      <c r="Y394" s="7">
        <f>IF($AA394="","",R394+U394+P394)</f>
        <v/>
      </c>
      <c r="Z394" s="7">
        <f>IF($AA394="","",Y394-W394-L394)</f>
        <v/>
      </c>
      <c r="AA394" s="13">
        <f>IF(ROWS($AA$2:$AA394)&lt;=MAX('Per Line'!$AO$2:$AO$4001),MATCH(ROWS($AA$2:$AA394),'Per Line'!$AO$2:$AO$4001,0),"")</f>
        <v/>
      </c>
      <c r="AB394" s="14">
        <f>IF($AA394="","",L394-K394*Y394/100)</f>
        <v/>
      </c>
    </row>
    <row r="395">
      <c r="A395" s="12" t="n"/>
      <c r="B395">
        <f>IF($AA395="","",INDEX('Per Line'!$E$2:$E$4001,$AA395)&amp;"")</f>
        <v/>
      </c>
      <c r="C395">
        <f>IF($AA395="","",INDEX('Per Line'!$A$2:$A$4001,$AA395)&amp;"")</f>
        <v/>
      </c>
      <c r="D395">
        <f>IF($AA395="","",INDEX('Per Line'!$D$2:$D$4001,$AA395)&amp;"")</f>
        <v/>
      </c>
      <c r="E395" s="11">
        <f>IF($AA395="","",INDEX('Per Line'!$G$2:$G$4001,$AA395))</f>
        <v/>
      </c>
      <c r="F395">
        <f>IF($AA395="","",INDEX('Per Line'!$H$2:$H$4001,$AA395)&amp;"")</f>
        <v/>
      </c>
      <c r="G395">
        <f>IF($AA395="","",INDEX('Per Line'!$I$2:$I$4001,$AA395)&amp;"")</f>
        <v/>
      </c>
      <c r="H395">
        <f>IF($AA395="","",INDEX('Per Line'!$J$2:$J$4001,$AA395)&amp;"")</f>
        <v/>
      </c>
      <c r="I395">
        <f>IF($AA395="","",INDEX('Per Line'!$K$2:$K$4001,$AA395)&amp;"")</f>
        <v/>
      </c>
      <c r="J395">
        <f>IF($AA395="","",INDEX('Per Line'!$L$2:$L$4001,$AA395)&amp;"")</f>
        <v/>
      </c>
      <c r="K395">
        <f>IF($AA395="","",INDEX('Per Line'!$P$2:$P$4001,$AA395))</f>
        <v/>
      </c>
      <c r="L395" s="7">
        <f>IF($AA395="","",IF(AND(ISNUMBER(N395),N395&gt;0,Y395&gt;N395),K395*N395/100+(Y395-N395),K395*Y395/100))</f>
        <v/>
      </c>
      <c r="M395">
        <f>IF($AA395="","",INDEX('Per Line'!$Z$2:$Z$4001,$AA395)&amp;"")</f>
        <v/>
      </c>
      <c r="N395">
        <f>IF($AA395="","",INDEX('Per Line'!$AG$2:$AG$4001,$AA395))</f>
        <v/>
      </c>
      <c r="O395">
        <f>IF($AA395="","",IF(AND(ISNUMBER(N395),N395&gt;0),Y395&gt;N395,FALSE))</f>
        <v/>
      </c>
      <c r="P395" s="7">
        <f>IF($AA395="","",SUMIFS('Per Line'!$Y$2:$Y$4001,'Per Line'!$E$2:$E$4001,$B395,'Per Line'!$AQ$2:$AQ$4001,1))</f>
        <v/>
      </c>
      <c r="Q395">
        <f>IF($AA395="","",Settings!$C$7)</f>
        <v/>
      </c>
      <c r="R395" s="7">
        <f>IF($AA395="","",SUMIFS('Per Line'!$Y$2:$Y$4001,'Per Line'!$E$2:$E$4001,$B395,'Per Line'!$AP$2:$AP$4001,0,'Per Line'!$AQ$2:$AQ$4001,0))</f>
        <v/>
      </c>
      <c r="S395" s="7">
        <f>IF($AA395="","",R395*Q395)</f>
        <v/>
      </c>
      <c r="T395">
        <f>IF($AA395="","",Settings!$C$6)</f>
        <v/>
      </c>
      <c r="U395" s="7">
        <f>IF($AA395="","",SUMIFS('Per Line'!$Y$2:$Y$4001,'Per Line'!$E$2:$E$4001,$B395,'Per Line'!$AP$2:$AP$4001,1,'Per Line'!$AQ$2:$AQ$4001,0))</f>
        <v/>
      </c>
      <c r="V395" s="7">
        <f>IF($AA395="","",U395*T395)</f>
        <v/>
      </c>
      <c r="W395" s="7">
        <f>IF($AA395="","",V395+S395)</f>
        <v/>
      </c>
      <c r="X395" s="7">
        <f>IF($AA395="","",Y395-W395)</f>
        <v/>
      </c>
      <c r="Y395" s="7">
        <f>IF($AA395="","",R395+U395+P395)</f>
        <v/>
      </c>
      <c r="Z395" s="7">
        <f>IF($AA395="","",Y395-W395-L395)</f>
        <v/>
      </c>
      <c r="AA395" s="13">
        <f>IF(ROWS($AA$2:$AA395)&lt;=MAX('Per Line'!$AO$2:$AO$4001),MATCH(ROWS($AA$2:$AA395),'Per Line'!$AO$2:$AO$4001,0),"")</f>
        <v/>
      </c>
      <c r="AB395" s="14">
        <f>IF($AA395="","",L395-K395*Y395/100)</f>
        <v/>
      </c>
    </row>
    <row r="396">
      <c r="A396" s="12" t="n"/>
      <c r="B396">
        <f>IF($AA396="","",INDEX('Per Line'!$E$2:$E$4001,$AA396)&amp;"")</f>
        <v/>
      </c>
      <c r="C396">
        <f>IF($AA396="","",INDEX('Per Line'!$A$2:$A$4001,$AA396)&amp;"")</f>
        <v/>
      </c>
      <c r="D396">
        <f>IF($AA396="","",INDEX('Per Line'!$D$2:$D$4001,$AA396)&amp;"")</f>
        <v/>
      </c>
      <c r="E396" s="11">
        <f>IF($AA396="","",INDEX('Per Line'!$G$2:$G$4001,$AA396))</f>
        <v/>
      </c>
      <c r="F396">
        <f>IF($AA396="","",INDEX('Per Line'!$H$2:$H$4001,$AA396)&amp;"")</f>
        <v/>
      </c>
      <c r="G396">
        <f>IF($AA396="","",INDEX('Per Line'!$I$2:$I$4001,$AA396)&amp;"")</f>
        <v/>
      </c>
      <c r="H396">
        <f>IF($AA396="","",INDEX('Per Line'!$J$2:$J$4001,$AA396)&amp;"")</f>
        <v/>
      </c>
      <c r="I396">
        <f>IF($AA396="","",INDEX('Per Line'!$K$2:$K$4001,$AA396)&amp;"")</f>
        <v/>
      </c>
      <c r="J396">
        <f>IF($AA396="","",INDEX('Per Line'!$L$2:$L$4001,$AA396)&amp;"")</f>
        <v/>
      </c>
      <c r="K396">
        <f>IF($AA396="","",INDEX('Per Line'!$P$2:$P$4001,$AA396))</f>
        <v/>
      </c>
      <c r="L396" s="7">
        <f>IF($AA396="","",IF(AND(ISNUMBER(N396),N396&gt;0,Y396&gt;N396),K396*N396/100+(Y396-N396),K396*Y396/100))</f>
        <v/>
      </c>
      <c r="M396">
        <f>IF($AA396="","",INDEX('Per Line'!$Z$2:$Z$4001,$AA396)&amp;"")</f>
        <v/>
      </c>
      <c r="N396">
        <f>IF($AA396="","",INDEX('Per Line'!$AG$2:$AG$4001,$AA396))</f>
        <v/>
      </c>
      <c r="O396">
        <f>IF($AA396="","",IF(AND(ISNUMBER(N396),N396&gt;0),Y396&gt;N396,FALSE))</f>
        <v/>
      </c>
      <c r="P396" s="7">
        <f>IF($AA396="","",SUMIFS('Per Line'!$Y$2:$Y$4001,'Per Line'!$E$2:$E$4001,$B396,'Per Line'!$AQ$2:$AQ$4001,1))</f>
        <v/>
      </c>
      <c r="Q396">
        <f>IF($AA396="","",Settings!$C$7)</f>
        <v/>
      </c>
      <c r="R396" s="7">
        <f>IF($AA396="","",SUMIFS('Per Line'!$Y$2:$Y$4001,'Per Line'!$E$2:$E$4001,$B396,'Per Line'!$AP$2:$AP$4001,0,'Per Line'!$AQ$2:$AQ$4001,0))</f>
        <v/>
      </c>
      <c r="S396" s="7">
        <f>IF($AA396="","",R396*Q396)</f>
        <v/>
      </c>
      <c r="T396">
        <f>IF($AA396="","",Settings!$C$6)</f>
        <v/>
      </c>
      <c r="U396" s="7">
        <f>IF($AA396="","",SUMIFS('Per Line'!$Y$2:$Y$4001,'Per Line'!$E$2:$E$4001,$B396,'Per Line'!$AP$2:$AP$4001,1,'Per Line'!$AQ$2:$AQ$4001,0))</f>
        <v/>
      </c>
      <c r="V396" s="7">
        <f>IF($AA396="","",U396*T396)</f>
        <v/>
      </c>
      <c r="W396" s="7">
        <f>IF($AA396="","",V396+S396)</f>
        <v/>
      </c>
      <c r="X396" s="7">
        <f>IF($AA396="","",Y396-W396)</f>
        <v/>
      </c>
      <c r="Y396" s="7">
        <f>IF($AA396="","",R396+U396+P396)</f>
        <v/>
      </c>
      <c r="Z396" s="7">
        <f>IF($AA396="","",Y396-W396-L396)</f>
        <v/>
      </c>
      <c r="AA396" s="13">
        <f>IF(ROWS($AA$2:$AA396)&lt;=MAX('Per Line'!$AO$2:$AO$4001),MATCH(ROWS($AA$2:$AA396),'Per Line'!$AO$2:$AO$4001,0),"")</f>
        <v/>
      </c>
      <c r="AB396" s="14">
        <f>IF($AA396="","",L396-K396*Y396/100)</f>
        <v/>
      </c>
    </row>
    <row r="397">
      <c r="A397" s="12" t="n"/>
      <c r="B397">
        <f>IF($AA397="","",INDEX('Per Line'!$E$2:$E$4001,$AA397)&amp;"")</f>
        <v/>
      </c>
      <c r="C397">
        <f>IF($AA397="","",INDEX('Per Line'!$A$2:$A$4001,$AA397)&amp;"")</f>
        <v/>
      </c>
      <c r="D397">
        <f>IF($AA397="","",INDEX('Per Line'!$D$2:$D$4001,$AA397)&amp;"")</f>
        <v/>
      </c>
      <c r="E397" s="11">
        <f>IF($AA397="","",INDEX('Per Line'!$G$2:$G$4001,$AA397))</f>
        <v/>
      </c>
      <c r="F397">
        <f>IF($AA397="","",INDEX('Per Line'!$H$2:$H$4001,$AA397)&amp;"")</f>
        <v/>
      </c>
      <c r="G397">
        <f>IF($AA397="","",INDEX('Per Line'!$I$2:$I$4001,$AA397)&amp;"")</f>
        <v/>
      </c>
      <c r="H397">
        <f>IF($AA397="","",INDEX('Per Line'!$J$2:$J$4001,$AA397)&amp;"")</f>
        <v/>
      </c>
      <c r="I397">
        <f>IF($AA397="","",INDEX('Per Line'!$K$2:$K$4001,$AA397)&amp;"")</f>
        <v/>
      </c>
      <c r="J397">
        <f>IF($AA397="","",INDEX('Per Line'!$L$2:$L$4001,$AA397)&amp;"")</f>
        <v/>
      </c>
      <c r="K397">
        <f>IF($AA397="","",INDEX('Per Line'!$P$2:$P$4001,$AA397))</f>
        <v/>
      </c>
      <c r="L397" s="7">
        <f>IF($AA397="","",IF(AND(ISNUMBER(N397),N397&gt;0,Y397&gt;N397),K397*N397/100+(Y397-N397),K397*Y397/100))</f>
        <v/>
      </c>
      <c r="M397">
        <f>IF($AA397="","",INDEX('Per Line'!$Z$2:$Z$4001,$AA397)&amp;"")</f>
        <v/>
      </c>
      <c r="N397">
        <f>IF($AA397="","",INDEX('Per Line'!$AG$2:$AG$4001,$AA397))</f>
        <v/>
      </c>
      <c r="O397">
        <f>IF($AA397="","",IF(AND(ISNUMBER(N397),N397&gt;0),Y397&gt;N397,FALSE))</f>
        <v/>
      </c>
      <c r="P397" s="7">
        <f>IF($AA397="","",SUMIFS('Per Line'!$Y$2:$Y$4001,'Per Line'!$E$2:$E$4001,$B397,'Per Line'!$AQ$2:$AQ$4001,1))</f>
        <v/>
      </c>
      <c r="Q397">
        <f>IF($AA397="","",Settings!$C$7)</f>
        <v/>
      </c>
      <c r="R397" s="7">
        <f>IF($AA397="","",SUMIFS('Per Line'!$Y$2:$Y$4001,'Per Line'!$E$2:$E$4001,$B397,'Per Line'!$AP$2:$AP$4001,0,'Per Line'!$AQ$2:$AQ$4001,0))</f>
        <v/>
      </c>
      <c r="S397" s="7">
        <f>IF($AA397="","",R397*Q397)</f>
        <v/>
      </c>
      <c r="T397">
        <f>IF($AA397="","",Settings!$C$6)</f>
        <v/>
      </c>
      <c r="U397" s="7">
        <f>IF($AA397="","",SUMIFS('Per Line'!$Y$2:$Y$4001,'Per Line'!$E$2:$E$4001,$B397,'Per Line'!$AP$2:$AP$4001,1,'Per Line'!$AQ$2:$AQ$4001,0))</f>
        <v/>
      </c>
      <c r="V397" s="7">
        <f>IF($AA397="","",U397*T397)</f>
        <v/>
      </c>
      <c r="W397" s="7">
        <f>IF($AA397="","",V397+S397)</f>
        <v/>
      </c>
      <c r="X397" s="7">
        <f>IF($AA397="","",Y397-W397)</f>
        <v/>
      </c>
      <c r="Y397" s="7">
        <f>IF($AA397="","",R397+U397+P397)</f>
        <v/>
      </c>
      <c r="Z397" s="7">
        <f>IF($AA397="","",Y397-W397-L397)</f>
        <v/>
      </c>
      <c r="AA397" s="13">
        <f>IF(ROWS($AA$2:$AA397)&lt;=MAX('Per Line'!$AO$2:$AO$4001),MATCH(ROWS($AA$2:$AA397),'Per Line'!$AO$2:$AO$4001,0),"")</f>
        <v/>
      </c>
      <c r="AB397" s="14">
        <f>IF($AA397="","",L397-K397*Y397/100)</f>
        <v/>
      </c>
    </row>
    <row r="398">
      <c r="A398" s="12" t="n"/>
      <c r="B398">
        <f>IF($AA398="","",INDEX('Per Line'!$E$2:$E$4001,$AA398)&amp;"")</f>
        <v/>
      </c>
      <c r="C398">
        <f>IF($AA398="","",INDEX('Per Line'!$A$2:$A$4001,$AA398)&amp;"")</f>
        <v/>
      </c>
      <c r="D398">
        <f>IF($AA398="","",INDEX('Per Line'!$D$2:$D$4001,$AA398)&amp;"")</f>
        <v/>
      </c>
      <c r="E398" s="11">
        <f>IF($AA398="","",INDEX('Per Line'!$G$2:$G$4001,$AA398))</f>
        <v/>
      </c>
      <c r="F398">
        <f>IF($AA398="","",INDEX('Per Line'!$H$2:$H$4001,$AA398)&amp;"")</f>
        <v/>
      </c>
      <c r="G398">
        <f>IF($AA398="","",INDEX('Per Line'!$I$2:$I$4001,$AA398)&amp;"")</f>
        <v/>
      </c>
      <c r="H398">
        <f>IF($AA398="","",INDEX('Per Line'!$J$2:$J$4001,$AA398)&amp;"")</f>
        <v/>
      </c>
      <c r="I398">
        <f>IF($AA398="","",INDEX('Per Line'!$K$2:$K$4001,$AA398)&amp;"")</f>
        <v/>
      </c>
      <c r="J398">
        <f>IF($AA398="","",INDEX('Per Line'!$L$2:$L$4001,$AA398)&amp;"")</f>
        <v/>
      </c>
      <c r="K398">
        <f>IF($AA398="","",INDEX('Per Line'!$P$2:$P$4001,$AA398))</f>
        <v/>
      </c>
      <c r="L398" s="7">
        <f>IF($AA398="","",IF(AND(ISNUMBER(N398),N398&gt;0,Y398&gt;N398),K398*N398/100+(Y398-N398),K398*Y398/100))</f>
        <v/>
      </c>
      <c r="M398">
        <f>IF($AA398="","",INDEX('Per Line'!$Z$2:$Z$4001,$AA398)&amp;"")</f>
        <v/>
      </c>
      <c r="N398">
        <f>IF($AA398="","",INDEX('Per Line'!$AG$2:$AG$4001,$AA398))</f>
        <v/>
      </c>
      <c r="O398">
        <f>IF($AA398="","",IF(AND(ISNUMBER(N398),N398&gt;0),Y398&gt;N398,FALSE))</f>
        <v/>
      </c>
      <c r="P398" s="7">
        <f>IF($AA398="","",SUMIFS('Per Line'!$Y$2:$Y$4001,'Per Line'!$E$2:$E$4001,$B398,'Per Line'!$AQ$2:$AQ$4001,1))</f>
        <v/>
      </c>
      <c r="Q398">
        <f>IF($AA398="","",Settings!$C$7)</f>
        <v/>
      </c>
      <c r="R398" s="7">
        <f>IF($AA398="","",SUMIFS('Per Line'!$Y$2:$Y$4001,'Per Line'!$E$2:$E$4001,$B398,'Per Line'!$AP$2:$AP$4001,0,'Per Line'!$AQ$2:$AQ$4001,0))</f>
        <v/>
      </c>
      <c r="S398" s="7">
        <f>IF($AA398="","",R398*Q398)</f>
        <v/>
      </c>
      <c r="T398">
        <f>IF($AA398="","",Settings!$C$6)</f>
        <v/>
      </c>
      <c r="U398" s="7">
        <f>IF($AA398="","",SUMIFS('Per Line'!$Y$2:$Y$4001,'Per Line'!$E$2:$E$4001,$B398,'Per Line'!$AP$2:$AP$4001,1,'Per Line'!$AQ$2:$AQ$4001,0))</f>
        <v/>
      </c>
      <c r="V398" s="7">
        <f>IF($AA398="","",U398*T398)</f>
        <v/>
      </c>
      <c r="W398" s="7">
        <f>IF($AA398="","",V398+S398)</f>
        <v/>
      </c>
      <c r="X398" s="7">
        <f>IF($AA398="","",Y398-W398)</f>
        <v/>
      </c>
      <c r="Y398" s="7">
        <f>IF($AA398="","",R398+U398+P398)</f>
        <v/>
      </c>
      <c r="Z398" s="7">
        <f>IF($AA398="","",Y398-W398-L398)</f>
        <v/>
      </c>
      <c r="AA398" s="13">
        <f>IF(ROWS($AA$2:$AA398)&lt;=MAX('Per Line'!$AO$2:$AO$4001),MATCH(ROWS($AA$2:$AA398),'Per Line'!$AO$2:$AO$4001,0),"")</f>
        <v/>
      </c>
      <c r="AB398" s="14">
        <f>IF($AA398="","",L398-K398*Y398/100)</f>
        <v/>
      </c>
    </row>
    <row r="399">
      <c r="A399" s="12" t="n"/>
      <c r="B399">
        <f>IF($AA399="","",INDEX('Per Line'!$E$2:$E$4001,$AA399)&amp;"")</f>
        <v/>
      </c>
      <c r="C399">
        <f>IF($AA399="","",INDEX('Per Line'!$A$2:$A$4001,$AA399)&amp;"")</f>
        <v/>
      </c>
      <c r="D399">
        <f>IF($AA399="","",INDEX('Per Line'!$D$2:$D$4001,$AA399)&amp;"")</f>
        <v/>
      </c>
      <c r="E399" s="11">
        <f>IF($AA399="","",INDEX('Per Line'!$G$2:$G$4001,$AA399))</f>
        <v/>
      </c>
      <c r="F399">
        <f>IF($AA399="","",INDEX('Per Line'!$H$2:$H$4001,$AA399)&amp;"")</f>
        <v/>
      </c>
      <c r="G399">
        <f>IF($AA399="","",INDEX('Per Line'!$I$2:$I$4001,$AA399)&amp;"")</f>
        <v/>
      </c>
      <c r="H399">
        <f>IF($AA399="","",INDEX('Per Line'!$J$2:$J$4001,$AA399)&amp;"")</f>
        <v/>
      </c>
      <c r="I399">
        <f>IF($AA399="","",INDEX('Per Line'!$K$2:$K$4001,$AA399)&amp;"")</f>
        <v/>
      </c>
      <c r="J399">
        <f>IF($AA399="","",INDEX('Per Line'!$L$2:$L$4001,$AA399)&amp;"")</f>
        <v/>
      </c>
      <c r="K399">
        <f>IF($AA399="","",INDEX('Per Line'!$P$2:$P$4001,$AA399))</f>
        <v/>
      </c>
      <c r="L399" s="7">
        <f>IF($AA399="","",IF(AND(ISNUMBER(N399),N399&gt;0,Y399&gt;N399),K399*N399/100+(Y399-N399),K399*Y399/100))</f>
        <v/>
      </c>
      <c r="M399">
        <f>IF($AA399="","",INDEX('Per Line'!$Z$2:$Z$4001,$AA399)&amp;"")</f>
        <v/>
      </c>
      <c r="N399">
        <f>IF($AA399="","",INDEX('Per Line'!$AG$2:$AG$4001,$AA399))</f>
        <v/>
      </c>
      <c r="O399">
        <f>IF($AA399="","",IF(AND(ISNUMBER(N399),N399&gt;0),Y399&gt;N399,FALSE))</f>
        <v/>
      </c>
      <c r="P399" s="7">
        <f>IF($AA399="","",SUMIFS('Per Line'!$Y$2:$Y$4001,'Per Line'!$E$2:$E$4001,$B399,'Per Line'!$AQ$2:$AQ$4001,1))</f>
        <v/>
      </c>
      <c r="Q399">
        <f>IF($AA399="","",Settings!$C$7)</f>
        <v/>
      </c>
      <c r="R399" s="7">
        <f>IF($AA399="","",SUMIFS('Per Line'!$Y$2:$Y$4001,'Per Line'!$E$2:$E$4001,$B399,'Per Line'!$AP$2:$AP$4001,0,'Per Line'!$AQ$2:$AQ$4001,0))</f>
        <v/>
      </c>
      <c r="S399" s="7">
        <f>IF($AA399="","",R399*Q399)</f>
        <v/>
      </c>
      <c r="T399">
        <f>IF($AA399="","",Settings!$C$6)</f>
        <v/>
      </c>
      <c r="U399" s="7">
        <f>IF($AA399="","",SUMIFS('Per Line'!$Y$2:$Y$4001,'Per Line'!$E$2:$E$4001,$B399,'Per Line'!$AP$2:$AP$4001,1,'Per Line'!$AQ$2:$AQ$4001,0))</f>
        <v/>
      </c>
      <c r="V399" s="7">
        <f>IF($AA399="","",U399*T399)</f>
        <v/>
      </c>
      <c r="W399" s="7">
        <f>IF($AA399="","",V399+S399)</f>
        <v/>
      </c>
      <c r="X399" s="7">
        <f>IF($AA399="","",Y399-W399)</f>
        <v/>
      </c>
      <c r="Y399" s="7">
        <f>IF($AA399="","",R399+U399+P399)</f>
        <v/>
      </c>
      <c r="Z399" s="7">
        <f>IF($AA399="","",Y399-W399-L399)</f>
        <v/>
      </c>
      <c r="AA399" s="13">
        <f>IF(ROWS($AA$2:$AA399)&lt;=MAX('Per Line'!$AO$2:$AO$4001),MATCH(ROWS($AA$2:$AA399),'Per Line'!$AO$2:$AO$4001,0),"")</f>
        <v/>
      </c>
      <c r="AB399" s="14">
        <f>IF($AA399="","",L399-K399*Y399/100)</f>
        <v/>
      </c>
    </row>
    <row r="400">
      <c r="A400" s="12" t="n"/>
      <c r="B400">
        <f>IF($AA400="","",INDEX('Per Line'!$E$2:$E$4001,$AA400)&amp;"")</f>
        <v/>
      </c>
      <c r="C400">
        <f>IF($AA400="","",INDEX('Per Line'!$A$2:$A$4001,$AA400)&amp;"")</f>
        <v/>
      </c>
      <c r="D400">
        <f>IF($AA400="","",INDEX('Per Line'!$D$2:$D$4001,$AA400)&amp;"")</f>
        <v/>
      </c>
      <c r="E400" s="11">
        <f>IF($AA400="","",INDEX('Per Line'!$G$2:$G$4001,$AA400))</f>
        <v/>
      </c>
      <c r="F400">
        <f>IF($AA400="","",INDEX('Per Line'!$H$2:$H$4001,$AA400)&amp;"")</f>
        <v/>
      </c>
      <c r="G400">
        <f>IF($AA400="","",INDEX('Per Line'!$I$2:$I$4001,$AA400)&amp;"")</f>
        <v/>
      </c>
      <c r="H400">
        <f>IF($AA400="","",INDEX('Per Line'!$J$2:$J$4001,$AA400)&amp;"")</f>
        <v/>
      </c>
      <c r="I400">
        <f>IF($AA400="","",INDEX('Per Line'!$K$2:$K$4001,$AA400)&amp;"")</f>
        <v/>
      </c>
      <c r="J400">
        <f>IF($AA400="","",INDEX('Per Line'!$L$2:$L$4001,$AA400)&amp;"")</f>
        <v/>
      </c>
      <c r="K400">
        <f>IF($AA400="","",INDEX('Per Line'!$P$2:$P$4001,$AA400))</f>
        <v/>
      </c>
      <c r="L400" s="7">
        <f>IF($AA400="","",IF(AND(ISNUMBER(N400),N400&gt;0,Y400&gt;N400),K400*N400/100+(Y400-N400),K400*Y400/100))</f>
        <v/>
      </c>
      <c r="M400">
        <f>IF($AA400="","",INDEX('Per Line'!$Z$2:$Z$4001,$AA400)&amp;"")</f>
        <v/>
      </c>
      <c r="N400">
        <f>IF($AA400="","",INDEX('Per Line'!$AG$2:$AG$4001,$AA400))</f>
        <v/>
      </c>
      <c r="O400">
        <f>IF($AA400="","",IF(AND(ISNUMBER(N400),N400&gt;0),Y400&gt;N400,FALSE))</f>
        <v/>
      </c>
      <c r="P400" s="7">
        <f>IF($AA400="","",SUMIFS('Per Line'!$Y$2:$Y$4001,'Per Line'!$E$2:$E$4001,$B400,'Per Line'!$AQ$2:$AQ$4001,1))</f>
        <v/>
      </c>
      <c r="Q400">
        <f>IF($AA400="","",Settings!$C$7)</f>
        <v/>
      </c>
      <c r="R400" s="7">
        <f>IF($AA400="","",SUMIFS('Per Line'!$Y$2:$Y$4001,'Per Line'!$E$2:$E$4001,$B400,'Per Line'!$AP$2:$AP$4001,0,'Per Line'!$AQ$2:$AQ$4001,0))</f>
        <v/>
      </c>
      <c r="S400" s="7">
        <f>IF($AA400="","",R400*Q400)</f>
        <v/>
      </c>
      <c r="T400">
        <f>IF($AA400="","",Settings!$C$6)</f>
        <v/>
      </c>
      <c r="U400" s="7">
        <f>IF($AA400="","",SUMIFS('Per Line'!$Y$2:$Y$4001,'Per Line'!$E$2:$E$4001,$B400,'Per Line'!$AP$2:$AP$4001,1,'Per Line'!$AQ$2:$AQ$4001,0))</f>
        <v/>
      </c>
      <c r="V400" s="7">
        <f>IF($AA400="","",U400*T400)</f>
        <v/>
      </c>
      <c r="W400" s="7">
        <f>IF($AA400="","",V400+S400)</f>
        <v/>
      </c>
      <c r="X400" s="7">
        <f>IF($AA400="","",Y400-W400)</f>
        <v/>
      </c>
      <c r="Y400" s="7">
        <f>IF($AA400="","",R400+U400+P400)</f>
        <v/>
      </c>
      <c r="Z400" s="7">
        <f>IF($AA400="","",Y400-W400-L400)</f>
        <v/>
      </c>
      <c r="AA400" s="13">
        <f>IF(ROWS($AA$2:$AA400)&lt;=MAX('Per Line'!$AO$2:$AO$4001),MATCH(ROWS($AA$2:$AA400),'Per Line'!$AO$2:$AO$4001,0),"")</f>
        <v/>
      </c>
      <c r="AB400" s="14">
        <f>IF($AA400="","",L400-K400*Y400/100)</f>
        <v/>
      </c>
    </row>
    <row r="401">
      <c r="A401" s="12" t="n"/>
      <c r="B401">
        <f>IF($AA401="","",INDEX('Per Line'!$E$2:$E$4001,$AA401)&amp;"")</f>
        <v/>
      </c>
      <c r="C401">
        <f>IF($AA401="","",INDEX('Per Line'!$A$2:$A$4001,$AA401)&amp;"")</f>
        <v/>
      </c>
      <c r="D401">
        <f>IF($AA401="","",INDEX('Per Line'!$D$2:$D$4001,$AA401)&amp;"")</f>
        <v/>
      </c>
      <c r="E401" s="11">
        <f>IF($AA401="","",INDEX('Per Line'!$G$2:$G$4001,$AA401))</f>
        <v/>
      </c>
      <c r="F401">
        <f>IF($AA401="","",INDEX('Per Line'!$H$2:$H$4001,$AA401)&amp;"")</f>
        <v/>
      </c>
      <c r="G401">
        <f>IF($AA401="","",INDEX('Per Line'!$I$2:$I$4001,$AA401)&amp;"")</f>
        <v/>
      </c>
      <c r="H401">
        <f>IF($AA401="","",INDEX('Per Line'!$J$2:$J$4001,$AA401)&amp;"")</f>
        <v/>
      </c>
      <c r="I401">
        <f>IF($AA401="","",INDEX('Per Line'!$K$2:$K$4001,$AA401)&amp;"")</f>
        <v/>
      </c>
      <c r="J401">
        <f>IF($AA401="","",INDEX('Per Line'!$L$2:$L$4001,$AA401)&amp;"")</f>
        <v/>
      </c>
      <c r="K401">
        <f>IF($AA401="","",INDEX('Per Line'!$P$2:$P$4001,$AA401))</f>
        <v/>
      </c>
      <c r="L401" s="7">
        <f>IF($AA401="","",IF(AND(ISNUMBER(N401),N401&gt;0,Y401&gt;N401),K401*N401/100+(Y401-N401),K401*Y401/100))</f>
        <v/>
      </c>
      <c r="M401">
        <f>IF($AA401="","",INDEX('Per Line'!$Z$2:$Z$4001,$AA401)&amp;"")</f>
        <v/>
      </c>
      <c r="N401">
        <f>IF($AA401="","",INDEX('Per Line'!$AG$2:$AG$4001,$AA401))</f>
        <v/>
      </c>
      <c r="O401">
        <f>IF($AA401="","",IF(AND(ISNUMBER(N401),N401&gt;0),Y401&gt;N401,FALSE))</f>
        <v/>
      </c>
      <c r="P401" s="7">
        <f>IF($AA401="","",SUMIFS('Per Line'!$Y$2:$Y$4001,'Per Line'!$E$2:$E$4001,$B401,'Per Line'!$AQ$2:$AQ$4001,1))</f>
        <v/>
      </c>
      <c r="Q401">
        <f>IF($AA401="","",Settings!$C$7)</f>
        <v/>
      </c>
      <c r="R401" s="7">
        <f>IF($AA401="","",SUMIFS('Per Line'!$Y$2:$Y$4001,'Per Line'!$E$2:$E$4001,$B401,'Per Line'!$AP$2:$AP$4001,0,'Per Line'!$AQ$2:$AQ$4001,0))</f>
        <v/>
      </c>
      <c r="S401" s="7">
        <f>IF($AA401="","",R401*Q401)</f>
        <v/>
      </c>
      <c r="T401">
        <f>IF($AA401="","",Settings!$C$6)</f>
        <v/>
      </c>
      <c r="U401" s="7">
        <f>IF($AA401="","",SUMIFS('Per Line'!$Y$2:$Y$4001,'Per Line'!$E$2:$E$4001,$B401,'Per Line'!$AP$2:$AP$4001,1,'Per Line'!$AQ$2:$AQ$4001,0))</f>
        <v/>
      </c>
      <c r="V401" s="7">
        <f>IF($AA401="","",U401*T401)</f>
        <v/>
      </c>
      <c r="W401" s="7">
        <f>IF($AA401="","",V401+S401)</f>
        <v/>
      </c>
      <c r="X401" s="7">
        <f>IF($AA401="","",Y401-W401)</f>
        <v/>
      </c>
      <c r="Y401" s="7">
        <f>IF($AA401="","",R401+U401+P401)</f>
        <v/>
      </c>
      <c r="Z401" s="7">
        <f>IF($AA401="","",Y401-W401-L401)</f>
        <v/>
      </c>
      <c r="AA401" s="13">
        <f>IF(ROWS($AA$2:$AA401)&lt;=MAX('Per Line'!$AO$2:$AO$4001),MATCH(ROWS($AA$2:$AA401),'Per Line'!$AO$2:$AO$4001,0),"")</f>
        <v/>
      </c>
      <c r="AB401" s="14">
        <f>IF($AA401="","",L401-K401*Y401/100)</f>
        <v/>
      </c>
    </row>
    <row r="402">
      <c r="A402" s="12" t="n"/>
      <c r="B402">
        <f>IF($AA402="","",INDEX('Per Line'!$E$2:$E$4001,$AA402)&amp;"")</f>
        <v/>
      </c>
      <c r="C402">
        <f>IF($AA402="","",INDEX('Per Line'!$A$2:$A$4001,$AA402)&amp;"")</f>
        <v/>
      </c>
      <c r="D402">
        <f>IF($AA402="","",INDEX('Per Line'!$D$2:$D$4001,$AA402)&amp;"")</f>
        <v/>
      </c>
      <c r="E402" s="11">
        <f>IF($AA402="","",INDEX('Per Line'!$G$2:$G$4001,$AA402))</f>
        <v/>
      </c>
      <c r="F402">
        <f>IF($AA402="","",INDEX('Per Line'!$H$2:$H$4001,$AA402)&amp;"")</f>
        <v/>
      </c>
      <c r="G402">
        <f>IF($AA402="","",INDEX('Per Line'!$I$2:$I$4001,$AA402)&amp;"")</f>
        <v/>
      </c>
      <c r="H402">
        <f>IF($AA402="","",INDEX('Per Line'!$J$2:$J$4001,$AA402)&amp;"")</f>
        <v/>
      </c>
      <c r="I402">
        <f>IF($AA402="","",INDEX('Per Line'!$K$2:$K$4001,$AA402)&amp;"")</f>
        <v/>
      </c>
      <c r="J402">
        <f>IF($AA402="","",INDEX('Per Line'!$L$2:$L$4001,$AA402)&amp;"")</f>
        <v/>
      </c>
      <c r="K402">
        <f>IF($AA402="","",INDEX('Per Line'!$P$2:$P$4001,$AA402))</f>
        <v/>
      </c>
      <c r="L402" s="7">
        <f>IF($AA402="","",IF(AND(ISNUMBER(N402),N402&gt;0,Y402&gt;N402),K402*N402/100+(Y402-N402),K402*Y402/100))</f>
        <v/>
      </c>
      <c r="M402">
        <f>IF($AA402="","",INDEX('Per Line'!$Z$2:$Z$4001,$AA402)&amp;"")</f>
        <v/>
      </c>
      <c r="N402">
        <f>IF($AA402="","",INDEX('Per Line'!$AG$2:$AG$4001,$AA402))</f>
        <v/>
      </c>
      <c r="O402">
        <f>IF($AA402="","",IF(AND(ISNUMBER(N402),N402&gt;0),Y402&gt;N402,FALSE))</f>
        <v/>
      </c>
      <c r="P402" s="7">
        <f>IF($AA402="","",SUMIFS('Per Line'!$Y$2:$Y$4001,'Per Line'!$E$2:$E$4001,$B402,'Per Line'!$AQ$2:$AQ$4001,1))</f>
        <v/>
      </c>
      <c r="Q402">
        <f>IF($AA402="","",Settings!$C$7)</f>
        <v/>
      </c>
      <c r="R402" s="7">
        <f>IF($AA402="","",SUMIFS('Per Line'!$Y$2:$Y$4001,'Per Line'!$E$2:$E$4001,$B402,'Per Line'!$AP$2:$AP$4001,0,'Per Line'!$AQ$2:$AQ$4001,0))</f>
        <v/>
      </c>
      <c r="S402" s="7">
        <f>IF($AA402="","",R402*Q402)</f>
        <v/>
      </c>
      <c r="T402">
        <f>IF($AA402="","",Settings!$C$6)</f>
        <v/>
      </c>
      <c r="U402" s="7">
        <f>IF($AA402="","",SUMIFS('Per Line'!$Y$2:$Y$4001,'Per Line'!$E$2:$E$4001,$B402,'Per Line'!$AP$2:$AP$4001,1,'Per Line'!$AQ$2:$AQ$4001,0))</f>
        <v/>
      </c>
      <c r="V402" s="7">
        <f>IF($AA402="","",U402*T402)</f>
        <v/>
      </c>
      <c r="W402" s="7">
        <f>IF($AA402="","",V402+S402)</f>
        <v/>
      </c>
      <c r="X402" s="7">
        <f>IF($AA402="","",Y402-W402)</f>
        <v/>
      </c>
      <c r="Y402" s="7">
        <f>IF($AA402="","",R402+U402+P402)</f>
        <v/>
      </c>
      <c r="Z402" s="7">
        <f>IF($AA402="","",Y402-W402-L402)</f>
        <v/>
      </c>
      <c r="AA402" s="13">
        <f>IF(ROWS($AA$2:$AA402)&lt;=MAX('Per Line'!$AO$2:$AO$4001),MATCH(ROWS($AA$2:$AA402),'Per Line'!$AO$2:$AO$4001,0),"")</f>
        <v/>
      </c>
      <c r="AB402" s="14">
        <f>IF($AA402="","",L402-K402*Y402/100)</f>
        <v/>
      </c>
    </row>
    <row r="403">
      <c r="A403" s="12" t="n"/>
      <c r="B403">
        <f>IF($AA403="","",INDEX('Per Line'!$E$2:$E$4001,$AA403)&amp;"")</f>
        <v/>
      </c>
      <c r="C403">
        <f>IF($AA403="","",INDEX('Per Line'!$A$2:$A$4001,$AA403)&amp;"")</f>
        <v/>
      </c>
      <c r="D403">
        <f>IF($AA403="","",INDEX('Per Line'!$D$2:$D$4001,$AA403)&amp;"")</f>
        <v/>
      </c>
      <c r="E403" s="11">
        <f>IF($AA403="","",INDEX('Per Line'!$G$2:$G$4001,$AA403))</f>
        <v/>
      </c>
      <c r="F403">
        <f>IF($AA403="","",INDEX('Per Line'!$H$2:$H$4001,$AA403)&amp;"")</f>
        <v/>
      </c>
      <c r="G403">
        <f>IF($AA403="","",INDEX('Per Line'!$I$2:$I$4001,$AA403)&amp;"")</f>
        <v/>
      </c>
      <c r="H403">
        <f>IF($AA403="","",INDEX('Per Line'!$J$2:$J$4001,$AA403)&amp;"")</f>
        <v/>
      </c>
      <c r="I403">
        <f>IF($AA403="","",INDEX('Per Line'!$K$2:$K$4001,$AA403)&amp;"")</f>
        <v/>
      </c>
      <c r="J403">
        <f>IF($AA403="","",INDEX('Per Line'!$L$2:$L$4001,$AA403)&amp;"")</f>
        <v/>
      </c>
      <c r="K403">
        <f>IF($AA403="","",INDEX('Per Line'!$P$2:$P$4001,$AA403))</f>
        <v/>
      </c>
      <c r="L403" s="7">
        <f>IF($AA403="","",IF(AND(ISNUMBER(N403),N403&gt;0,Y403&gt;N403),K403*N403/100+(Y403-N403),K403*Y403/100))</f>
        <v/>
      </c>
      <c r="M403">
        <f>IF($AA403="","",INDEX('Per Line'!$Z$2:$Z$4001,$AA403)&amp;"")</f>
        <v/>
      </c>
      <c r="N403">
        <f>IF($AA403="","",INDEX('Per Line'!$AG$2:$AG$4001,$AA403))</f>
        <v/>
      </c>
      <c r="O403">
        <f>IF($AA403="","",IF(AND(ISNUMBER(N403),N403&gt;0),Y403&gt;N403,FALSE))</f>
        <v/>
      </c>
      <c r="P403" s="7">
        <f>IF($AA403="","",SUMIFS('Per Line'!$Y$2:$Y$4001,'Per Line'!$E$2:$E$4001,$B403,'Per Line'!$AQ$2:$AQ$4001,1))</f>
        <v/>
      </c>
      <c r="Q403">
        <f>IF($AA403="","",Settings!$C$7)</f>
        <v/>
      </c>
      <c r="R403" s="7">
        <f>IF($AA403="","",SUMIFS('Per Line'!$Y$2:$Y$4001,'Per Line'!$E$2:$E$4001,$B403,'Per Line'!$AP$2:$AP$4001,0,'Per Line'!$AQ$2:$AQ$4001,0))</f>
        <v/>
      </c>
      <c r="S403" s="7">
        <f>IF($AA403="","",R403*Q403)</f>
        <v/>
      </c>
      <c r="T403">
        <f>IF($AA403="","",Settings!$C$6)</f>
        <v/>
      </c>
      <c r="U403" s="7">
        <f>IF($AA403="","",SUMIFS('Per Line'!$Y$2:$Y$4001,'Per Line'!$E$2:$E$4001,$B403,'Per Line'!$AP$2:$AP$4001,1,'Per Line'!$AQ$2:$AQ$4001,0))</f>
        <v/>
      </c>
      <c r="V403" s="7">
        <f>IF($AA403="","",U403*T403)</f>
        <v/>
      </c>
      <c r="W403" s="7">
        <f>IF($AA403="","",V403+S403)</f>
        <v/>
      </c>
      <c r="X403" s="7">
        <f>IF($AA403="","",Y403-W403)</f>
        <v/>
      </c>
      <c r="Y403" s="7">
        <f>IF($AA403="","",R403+U403+P403)</f>
        <v/>
      </c>
      <c r="Z403" s="7">
        <f>IF($AA403="","",Y403-W403-L403)</f>
        <v/>
      </c>
      <c r="AA403" s="13">
        <f>IF(ROWS($AA$2:$AA403)&lt;=MAX('Per Line'!$AO$2:$AO$4001),MATCH(ROWS($AA$2:$AA403),'Per Line'!$AO$2:$AO$4001,0),"")</f>
        <v/>
      </c>
      <c r="AB403" s="14">
        <f>IF($AA403="","",L403-K403*Y403/100)</f>
        <v/>
      </c>
    </row>
    <row r="404">
      <c r="A404" s="12" t="n"/>
      <c r="B404">
        <f>IF($AA404="","",INDEX('Per Line'!$E$2:$E$4001,$AA404)&amp;"")</f>
        <v/>
      </c>
      <c r="C404">
        <f>IF($AA404="","",INDEX('Per Line'!$A$2:$A$4001,$AA404)&amp;"")</f>
        <v/>
      </c>
      <c r="D404">
        <f>IF($AA404="","",INDEX('Per Line'!$D$2:$D$4001,$AA404)&amp;"")</f>
        <v/>
      </c>
      <c r="E404" s="11">
        <f>IF($AA404="","",INDEX('Per Line'!$G$2:$G$4001,$AA404))</f>
        <v/>
      </c>
      <c r="F404">
        <f>IF($AA404="","",INDEX('Per Line'!$H$2:$H$4001,$AA404)&amp;"")</f>
        <v/>
      </c>
      <c r="G404">
        <f>IF($AA404="","",INDEX('Per Line'!$I$2:$I$4001,$AA404)&amp;"")</f>
        <v/>
      </c>
      <c r="H404">
        <f>IF($AA404="","",INDEX('Per Line'!$J$2:$J$4001,$AA404)&amp;"")</f>
        <v/>
      </c>
      <c r="I404">
        <f>IF($AA404="","",INDEX('Per Line'!$K$2:$K$4001,$AA404)&amp;"")</f>
        <v/>
      </c>
      <c r="J404">
        <f>IF($AA404="","",INDEX('Per Line'!$L$2:$L$4001,$AA404)&amp;"")</f>
        <v/>
      </c>
      <c r="K404">
        <f>IF($AA404="","",INDEX('Per Line'!$P$2:$P$4001,$AA404))</f>
        <v/>
      </c>
      <c r="L404" s="7">
        <f>IF($AA404="","",IF(AND(ISNUMBER(N404),N404&gt;0,Y404&gt;N404),K404*N404/100+(Y404-N404),K404*Y404/100))</f>
        <v/>
      </c>
      <c r="M404">
        <f>IF($AA404="","",INDEX('Per Line'!$Z$2:$Z$4001,$AA404)&amp;"")</f>
        <v/>
      </c>
      <c r="N404">
        <f>IF($AA404="","",INDEX('Per Line'!$AG$2:$AG$4001,$AA404))</f>
        <v/>
      </c>
      <c r="O404">
        <f>IF($AA404="","",IF(AND(ISNUMBER(N404),N404&gt;0),Y404&gt;N404,FALSE))</f>
        <v/>
      </c>
      <c r="P404" s="7">
        <f>IF($AA404="","",SUMIFS('Per Line'!$Y$2:$Y$4001,'Per Line'!$E$2:$E$4001,$B404,'Per Line'!$AQ$2:$AQ$4001,1))</f>
        <v/>
      </c>
      <c r="Q404">
        <f>IF($AA404="","",Settings!$C$7)</f>
        <v/>
      </c>
      <c r="R404" s="7">
        <f>IF($AA404="","",SUMIFS('Per Line'!$Y$2:$Y$4001,'Per Line'!$E$2:$E$4001,$B404,'Per Line'!$AP$2:$AP$4001,0,'Per Line'!$AQ$2:$AQ$4001,0))</f>
        <v/>
      </c>
      <c r="S404" s="7">
        <f>IF($AA404="","",R404*Q404)</f>
        <v/>
      </c>
      <c r="T404">
        <f>IF($AA404="","",Settings!$C$6)</f>
        <v/>
      </c>
      <c r="U404" s="7">
        <f>IF($AA404="","",SUMIFS('Per Line'!$Y$2:$Y$4001,'Per Line'!$E$2:$E$4001,$B404,'Per Line'!$AP$2:$AP$4001,1,'Per Line'!$AQ$2:$AQ$4001,0))</f>
        <v/>
      </c>
      <c r="V404" s="7">
        <f>IF($AA404="","",U404*T404)</f>
        <v/>
      </c>
      <c r="W404" s="7">
        <f>IF($AA404="","",V404+S404)</f>
        <v/>
      </c>
      <c r="X404" s="7">
        <f>IF($AA404="","",Y404-W404)</f>
        <v/>
      </c>
      <c r="Y404" s="7">
        <f>IF($AA404="","",R404+U404+P404)</f>
        <v/>
      </c>
      <c r="Z404" s="7">
        <f>IF($AA404="","",Y404-W404-L404)</f>
        <v/>
      </c>
      <c r="AA404" s="13">
        <f>IF(ROWS($AA$2:$AA404)&lt;=MAX('Per Line'!$AO$2:$AO$4001),MATCH(ROWS($AA$2:$AA404),'Per Line'!$AO$2:$AO$4001,0),"")</f>
        <v/>
      </c>
      <c r="AB404" s="14">
        <f>IF($AA404="","",L404-K404*Y404/100)</f>
        <v/>
      </c>
    </row>
    <row r="405">
      <c r="A405" s="12" t="n"/>
      <c r="B405">
        <f>IF($AA405="","",INDEX('Per Line'!$E$2:$E$4001,$AA405)&amp;"")</f>
        <v/>
      </c>
      <c r="C405">
        <f>IF($AA405="","",INDEX('Per Line'!$A$2:$A$4001,$AA405)&amp;"")</f>
        <v/>
      </c>
      <c r="D405">
        <f>IF($AA405="","",INDEX('Per Line'!$D$2:$D$4001,$AA405)&amp;"")</f>
        <v/>
      </c>
      <c r="E405" s="11">
        <f>IF($AA405="","",INDEX('Per Line'!$G$2:$G$4001,$AA405))</f>
        <v/>
      </c>
      <c r="F405">
        <f>IF($AA405="","",INDEX('Per Line'!$H$2:$H$4001,$AA405)&amp;"")</f>
        <v/>
      </c>
      <c r="G405">
        <f>IF($AA405="","",INDEX('Per Line'!$I$2:$I$4001,$AA405)&amp;"")</f>
        <v/>
      </c>
      <c r="H405">
        <f>IF($AA405="","",INDEX('Per Line'!$J$2:$J$4001,$AA405)&amp;"")</f>
        <v/>
      </c>
      <c r="I405">
        <f>IF($AA405="","",INDEX('Per Line'!$K$2:$K$4001,$AA405)&amp;"")</f>
        <v/>
      </c>
      <c r="J405">
        <f>IF($AA405="","",INDEX('Per Line'!$L$2:$L$4001,$AA405)&amp;"")</f>
        <v/>
      </c>
      <c r="K405">
        <f>IF($AA405="","",INDEX('Per Line'!$P$2:$P$4001,$AA405))</f>
        <v/>
      </c>
      <c r="L405" s="7">
        <f>IF($AA405="","",IF(AND(ISNUMBER(N405),N405&gt;0,Y405&gt;N405),K405*N405/100+(Y405-N405),K405*Y405/100))</f>
        <v/>
      </c>
      <c r="M405">
        <f>IF($AA405="","",INDEX('Per Line'!$Z$2:$Z$4001,$AA405)&amp;"")</f>
        <v/>
      </c>
      <c r="N405">
        <f>IF($AA405="","",INDEX('Per Line'!$AG$2:$AG$4001,$AA405))</f>
        <v/>
      </c>
      <c r="O405">
        <f>IF($AA405="","",IF(AND(ISNUMBER(N405),N405&gt;0),Y405&gt;N405,FALSE))</f>
        <v/>
      </c>
      <c r="P405" s="7">
        <f>IF($AA405="","",SUMIFS('Per Line'!$Y$2:$Y$4001,'Per Line'!$E$2:$E$4001,$B405,'Per Line'!$AQ$2:$AQ$4001,1))</f>
        <v/>
      </c>
      <c r="Q405">
        <f>IF($AA405="","",Settings!$C$7)</f>
        <v/>
      </c>
      <c r="R405" s="7">
        <f>IF($AA405="","",SUMIFS('Per Line'!$Y$2:$Y$4001,'Per Line'!$E$2:$E$4001,$B405,'Per Line'!$AP$2:$AP$4001,0,'Per Line'!$AQ$2:$AQ$4001,0))</f>
        <v/>
      </c>
      <c r="S405" s="7">
        <f>IF($AA405="","",R405*Q405)</f>
        <v/>
      </c>
      <c r="T405">
        <f>IF($AA405="","",Settings!$C$6)</f>
        <v/>
      </c>
      <c r="U405" s="7">
        <f>IF($AA405="","",SUMIFS('Per Line'!$Y$2:$Y$4001,'Per Line'!$E$2:$E$4001,$B405,'Per Line'!$AP$2:$AP$4001,1,'Per Line'!$AQ$2:$AQ$4001,0))</f>
        <v/>
      </c>
      <c r="V405" s="7">
        <f>IF($AA405="","",U405*T405)</f>
        <v/>
      </c>
      <c r="W405" s="7">
        <f>IF($AA405="","",V405+S405)</f>
        <v/>
      </c>
      <c r="X405" s="7">
        <f>IF($AA405="","",Y405-W405)</f>
        <v/>
      </c>
      <c r="Y405" s="7">
        <f>IF($AA405="","",R405+U405+P405)</f>
        <v/>
      </c>
      <c r="Z405" s="7">
        <f>IF($AA405="","",Y405-W405-L405)</f>
        <v/>
      </c>
      <c r="AA405" s="13">
        <f>IF(ROWS($AA$2:$AA405)&lt;=MAX('Per Line'!$AO$2:$AO$4001),MATCH(ROWS($AA$2:$AA405),'Per Line'!$AO$2:$AO$4001,0),"")</f>
        <v/>
      </c>
      <c r="AB405" s="14">
        <f>IF($AA405="","",L405-K405*Y405/100)</f>
        <v/>
      </c>
    </row>
    <row r="406">
      <c r="A406" s="12" t="n"/>
      <c r="B406">
        <f>IF($AA406="","",INDEX('Per Line'!$E$2:$E$4001,$AA406)&amp;"")</f>
        <v/>
      </c>
      <c r="C406">
        <f>IF($AA406="","",INDEX('Per Line'!$A$2:$A$4001,$AA406)&amp;"")</f>
        <v/>
      </c>
      <c r="D406">
        <f>IF($AA406="","",INDEX('Per Line'!$D$2:$D$4001,$AA406)&amp;"")</f>
        <v/>
      </c>
      <c r="E406" s="11">
        <f>IF($AA406="","",INDEX('Per Line'!$G$2:$G$4001,$AA406))</f>
        <v/>
      </c>
      <c r="F406">
        <f>IF($AA406="","",INDEX('Per Line'!$H$2:$H$4001,$AA406)&amp;"")</f>
        <v/>
      </c>
      <c r="G406">
        <f>IF($AA406="","",INDEX('Per Line'!$I$2:$I$4001,$AA406)&amp;"")</f>
        <v/>
      </c>
      <c r="H406">
        <f>IF($AA406="","",INDEX('Per Line'!$J$2:$J$4001,$AA406)&amp;"")</f>
        <v/>
      </c>
      <c r="I406">
        <f>IF($AA406="","",INDEX('Per Line'!$K$2:$K$4001,$AA406)&amp;"")</f>
        <v/>
      </c>
      <c r="J406">
        <f>IF($AA406="","",INDEX('Per Line'!$L$2:$L$4001,$AA406)&amp;"")</f>
        <v/>
      </c>
      <c r="K406">
        <f>IF($AA406="","",INDEX('Per Line'!$P$2:$P$4001,$AA406))</f>
        <v/>
      </c>
      <c r="L406" s="7">
        <f>IF($AA406="","",IF(AND(ISNUMBER(N406),N406&gt;0,Y406&gt;N406),K406*N406/100+(Y406-N406),K406*Y406/100))</f>
        <v/>
      </c>
      <c r="M406">
        <f>IF($AA406="","",INDEX('Per Line'!$Z$2:$Z$4001,$AA406)&amp;"")</f>
        <v/>
      </c>
      <c r="N406">
        <f>IF($AA406="","",INDEX('Per Line'!$AG$2:$AG$4001,$AA406))</f>
        <v/>
      </c>
      <c r="O406">
        <f>IF($AA406="","",IF(AND(ISNUMBER(N406),N406&gt;0),Y406&gt;N406,FALSE))</f>
        <v/>
      </c>
      <c r="P406" s="7">
        <f>IF($AA406="","",SUMIFS('Per Line'!$Y$2:$Y$4001,'Per Line'!$E$2:$E$4001,$B406,'Per Line'!$AQ$2:$AQ$4001,1))</f>
        <v/>
      </c>
      <c r="Q406">
        <f>IF($AA406="","",Settings!$C$7)</f>
        <v/>
      </c>
      <c r="R406" s="7">
        <f>IF($AA406="","",SUMIFS('Per Line'!$Y$2:$Y$4001,'Per Line'!$E$2:$E$4001,$B406,'Per Line'!$AP$2:$AP$4001,0,'Per Line'!$AQ$2:$AQ$4001,0))</f>
        <v/>
      </c>
      <c r="S406" s="7">
        <f>IF($AA406="","",R406*Q406)</f>
        <v/>
      </c>
      <c r="T406">
        <f>IF($AA406="","",Settings!$C$6)</f>
        <v/>
      </c>
      <c r="U406" s="7">
        <f>IF($AA406="","",SUMIFS('Per Line'!$Y$2:$Y$4001,'Per Line'!$E$2:$E$4001,$B406,'Per Line'!$AP$2:$AP$4001,1,'Per Line'!$AQ$2:$AQ$4001,0))</f>
        <v/>
      </c>
      <c r="V406" s="7">
        <f>IF($AA406="","",U406*T406)</f>
        <v/>
      </c>
      <c r="W406" s="7">
        <f>IF($AA406="","",V406+S406)</f>
        <v/>
      </c>
      <c r="X406" s="7">
        <f>IF($AA406="","",Y406-W406)</f>
        <v/>
      </c>
      <c r="Y406" s="7">
        <f>IF($AA406="","",R406+U406+P406)</f>
        <v/>
      </c>
      <c r="Z406" s="7">
        <f>IF($AA406="","",Y406-W406-L406)</f>
        <v/>
      </c>
      <c r="AA406" s="13">
        <f>IF(ROWS($AA$2:$AA406)&lt;=MAX('Per Line'!$AO$2:$AO$4001),MATCH(ROWS($AA$2:$AA406),'Per Line'!$AO$2:$AO$4001,0),"")</f>
        <v/>
      </c>
      <c r="AB406" s="14">
        <f>IF($AA406="","",L406-K406*Y406/100)</f>
        <v/>
      </c>
    </row>
    <row r="407">
      <c r="A407" s="12" t="n"/>
      <c r="B407">
        <f>IF($AA407="","",INDEX('Per Line'!$E$2:$E$4001,$AA407)&amp;"")</f>
        <v/>
      </c>
      <c r="C407">
        <f>IF($AA407="","",INDEX('Per Line'!$A$2:$A$4001,$AA407)&amp;"")</f>
        <v/>
      </c>
      <c r="D407">
        <f>IF($AA407="","",INDEX('Per Line'!$D$2:$D$4001,$AA407)&amp;"")</f>
        <v/>
      </c>
      <c r="E407" s="11">
        <f>IF($AA407="","",INDEX('Per Line'!$G$2:$G$4001,$AA407))</f>
        <v/>
      </c>
      <c r="F407">
        <f>IF($AA407="","",INDEX('Per Line'!$H$2:$H$4001,$AA407)&amp;"")</f>
        <v/>
      </c>
      <c r="G407">
        <f>IF($AA407="","",INDEX('Per Line'!$I$2:$I$4001,$AA407)&amp;"")</f>
        <v/>
      </c>
      <c r="H407">
        <f>IF($AA407="","",INDEX('Per Line'!$J$2:$J$4001,$AA407)&amp;"")</f>
        <v/>
      </c>
      <c r="I407">
        <f>IF($AA407="","",INDEX('Per Line'!$K$2:$K$4001,$AA407)&amp;"")</f>
        <v/>
      </c>
      <c r="J407">
        <f>IF($AA407="","",INDEX('Per Line'!$L$2:$L$4001,$AA407)&amp;"")</f>
        <v/>
      </c>
      <c r="K407">
        <f>IF($AA407="","",INDEX('Per Line'!$P$2:$P$4001,$AA407))</f>
        <v/>
      </c>
      <c r="L407" s="7">
        <f>IF($AA407="","",IF(AND(ISNUMBER(N407),N407&gt;0,Y407&gt;N407),K407*N407/100+(Y407-N407),K407*Y407/100))</f>
        <v/>
      </c>
      <c r="M407">
        <f>IF($AA407="","",INDEX('Per Line'!$Z$2:$Z$4001,$AA407)&amp;"")</f>
        <v/>
      </c>
      <c r="N407">
        <f>IF($AA407="","",INDEX('Per Line'!$AG$2:$AG$4001,$AA407))</f>
        <v/>
      </c>
      <c r="O407">
        <f>IF($AA407="","",IF(AND(ISNUMBER(N407),N407&gt;0),Y407&gt;N407,FALSE))</f>
        <v/>
      </c>
      <c r="P407" s="7">
        <f>IF($AA407="","",SUMIFS('Per Line'!$Y$2:$Y$4001,'Per Line'!$E$2:$E$4001,$B407,'Per Line'!$AQ$2:$AQ$4001,1))</f>
        <v/>
      </c>
      <c r="Q407">
        <f>IF($AA407="","",Settings!$C$7)</f>
        <v/>
      </c>
      <c r="R407" s="7">
        <f>IF($AA407="","",SUMIFS('Per Line'!$Y$2:$Y$4001,'Per Line'!$E$2:$E$4001,$B407,'Per Line'!$AP$2:$AP$4001,0,'Per Line'!$AQ$2:$AQ$4001,0))</f>
        <v/>
      </c>
      <c r="S407" s="7">
        <f>IF($AA407="","",R407*Q407)</f>
        <v/>
      </c>
      <c r="T407">
        <f>IF($AA407="","",Settings!$C$6)</f>
        <v/>
      </c>
      <c r="U407" s="7">
        <f>IF($AA407="","",SUMIFS('Per Line'!$Y$2:$Y$4001,'Per Line'!$E$2:$E$4001,$B407,'Per Line'!$AP$2:$AP$4001,1,'Per Line'!$AQ$2:$AQ$4001,0))</f>
        <v/>
      </c>
      <c r="V407" s="7">
        <f>IF($AA407="","",U407*T407)</f>
        <v/>
      </c>
      <c r="W407" s="7">
        <f>IF($AA407="","",V407+S407)</f>
        <v/>
      </c>
      <c r="X407" s="7">
        <f>IF($AA407="","",Y407-W407)</f>
        <v/>
      </c>
      <c r="Y407" s="7">
        <f>IF($AA407="","",R407+U407+P407)</f>
        <v/>
      </c>
      <c r="Z407" s="7">
        <f>IF($AA407="","",Y407-W407-L407)</f>
        <v/>
      </c>
      <c r="AA407" s="13">
        <f>IF(ROWS($AA$2:$AA407)&lt;=MAX('Per Line'!$AO$2:$AO$4001),MATCH(ROWS($AA$2:$AA407),'Per Line'!$AO$2:$AO$4001,0),"")</f>
        <v/>
      </c>
      <c r="AB407" s="14">
        <f>IF($AA407="","",L407-K407*Y407/100)</f>
        <v/>
      </c>
    </row>
    <row r="408">
      <c r="A408" s="12" t="n"/>
      <c r="B408">
        <f>IF($AA408="","",INDEX('Per Line'!$E$2:$E$4001,$AA408)&amp;"")</f>
        <v/>
      </c>
      <c r="C408">
        <f>IF($AA408="","",INDEX('Per Line'!$A$2:$A$4001,$AA408)&amp;"")</f>
        <v/>
      </c>
      <c r="D408">
        <f>IF($AA408="","",INDEX('Per Line'!$D$2:$D$4001,$AA408)&amp;"")</f>
        <v/>
      </c>
      <c r="E408" s="11">
        <f>IF($AA408="","",INDEX('Per Line'!$G$2:$G$4001,$AA408))</f>
        <v/>
      </c>
      <c r="F408">
        <f>IF($AA408="","",INDEX('Per Line'!$H$2:$H$4001,$AA408)&amp;"")</f>
        <v/>
      </c>
      <c r="G408">
        <f>IF($AA408="","",INDEX('Per Line'!$I$2:$I$4001,$AA408)&amp;"")</f>
        <v/>
      </c>
      <c r="H408">
        <f>IF($AA408="","",INDEX('Per Line'!$J$2:$J$4001,$AA408)&amp;"")</f>
        <v/>
      </c>
      <c r="I408">
        <f>IF($AA408="","",INDEX('Per Line'!$K$2:$K$4001,$AA408)&amp;"")</f>
        <v/>
      </c>
      <c r="J408">
        <f>IF($AA408="","",INDEX('Per Line'!$L$2:$L$4001,$AA408)&amp;"")</f>
        <v/>
      </c>
      <c r="K408">
        <f>IF($AA408="","",INDEX('Per Line'!$P$2:$P$4001,$AA408))</f>
        <v/>
      </c>
      <c r="L408" s="7">
        <f>IF($AA408="","",IF(AND(ISNUMBER(N408),N408&gt;0,Y408&gt;N408),K408*N408/100+(Y408-N408),K408*Y408/100))</f>
        <v/>
      </c>
      <c r="M408">
        <f>IF($AA408="","",INDEX('Per Line'!$Z$2:$Z$4001,$AA408)&amp;"")</f>
        <v/>
      </c>
      <c r="N408">
        <f>IF($AA408="","",INDEX('Per Line'!$AG$2:$AG$4001,$AA408))</f>
        <v/>
      </c>
      <c r="O408">
        <f>IF($AA408="","",IF(AND(ISNUMBER(N408),N408&gt;0),Y408&gt;N408,FALSE))</f>
        <v/>
      </c>
      <c r="P408" s="7">
        <f>IF($AA408="","",SUMIFS('Per Line'!$Y$2:$Y$4001,'Per Line'!$E$2:$E$4001,$B408,'Per Line'!$AQ$2:$AQ$4001,1))</f>
        <v/>
      </c>
      <c r="Q408">
        <f>IF($AA408="","",Settings!$C$7)</f>
        <v/>
      </c>
      <c r="R408" s="7">
        <f>IF($AA408="","",SUMIFS('Per Line'!$Y$2:$Y$4001,'Per Line'!$E$2:$E$4001,$B408,'Per Line'!$AP$2:$AP$4001,0,'Per Line'!$AQ$2:$AQ$4001,0))</f>
        <v/>
      </c>
      <c r="S408" s="7">
        <f>IF($AA408="","",R408*Q408)</f>
        <v/>
      </c>
      <c r="T408">
        <f>IF($AA408="","",Settings!$C$6)</f>
        <v/>
      </c>
      <c r="U408" s="7">
        <f>IF($AA408="","",SUMIFS('Per Line'!$Y$2:$Y$4001,'Per Line'!$E$2:$E$4001,$B408,'Per Line'!$AP$2:$AP$4001,1,'Per Line'!$AQ$2:$AQ$4001,0))</f>
        <v/>
      </c>
      <c r="V408" s="7">
        <f>IF($AA408="","",U408*T408)</f>
        <v/>
      </c>
      <c r="W408" s="7">
        <f>IF($AA408="","",V408+S408)</f>
        <v/>
      </c>
      <c r="X408" s="7">
        <f>IF($AA408="","",Y408-W408)</f>
        <v/>
      </c>
      <c r="Y408" s="7">
        <f>IF($AA408="","",R408+U408+P408)</f>
        <v/>
      </c>
      <c r="Z408" s="7">
        <f>IF($AA408="","",Y408-W408-L408)</f>
        <v/>
      </c>
      <c r="AA408" s="13">
        <f>IF(ROWS($AA$2:$AA408)&lt;=MAX('Per Line'!$AO$2:$AO$4001),MATCH(ROWS($AA$2:$AA408),'Per Line'!$AO$2:$AO$4001,0),"")</f>
        <v/>
      </c>
      <c r="AB408" s="14">
        <f>IF($AA408="","",L408-K408*Y408/100)</f>
        <v/>
      </c>
    </row>
    <row r="409">
      <c r="A409" s="12" t="n"/>
      <c r="B409">
        <f>IF($AA409="","",INDEX('Per Line'!$E$2:$E$4001,$AA409)&amp;"")</f>
        <v/>
      </c>
      <c r="C409">
        <f>IF($AA409="","",INDEX('Per Line'!$A$2:$A$4001,$AA409)&amp;"")</f>
        <v/>
      </c>
      <c r="D409">
        <f>IF($AA409="","",INDEX('Per Line'!$D$2:$D$4001,$AA409)&amp;"")</f>
        <v/>
      </c>
      <c r="E409" s="11">
        <f>IF($AA409="","",INDEX('Per Line'!$G$2:$G$4001,$AA409))</f>
        <v/>
      </c>
      <c r="F409">
        <f>IF($AA409="","",INDEX('Per Line'!$H$2:$H$4001,$AA409)&amp;"")</f>
        <v/>
      </c>
      <c r="G409">
        <f>IF($AA409="","",INDEX('Per Line'!$I$2:$I$4001,$AA409)&amp;"")</f>
        <v/>
      </c>
      <c r="H409">
        <f>IF($AA409="","",INDEX('Per Line'!$J$2:$J$4001,$AA409)&amp;"")</f>
        <v/>
      </c>
      <c r="I409">
        <f>IF($AA409="","",INDEX('Per Line'!$K$2:$K$4001,$AA409)&amp;"")</f>
        <v/>
      </c>
      <c r="J409">
        <f>IF($AA409="","",INDEX('Per Line'!$L$2:$L$4001,$AA409)&amp;"")</f>
        <v/>
      </c>
      <c r="K409">
        <f>IF($AA409="","",INDEX('Per Line'!$P$2:$P$4001,$AA409))</f>
        <v/>
      </c>
      <c r="L409" s="7">
        <f>IF($AA409="","",IF(AND(ISNUMBER(N409),N409&gt;0,Y409&gt;N409),K409*N409/100+(Y409-N409),K409*Y409/100))</f>
        <v/>
      </c>
      <c r="M409">
        <f>IF($AA409="","",INDEX('Per Line'!$Z$2:$Z$4001,$AA409)&amp;"")</f>
        <v/>
      </c>
      <c r="N409">
        <f>IF($AA409="","",INDEX('Per Line'!$AG$2:$AG$4001,$AA409))</f>
        <v/>
      </c>
      <c r="O409">
        <f>IF($AA409="","",IF(AND(ISNUMBER(N409),N409&gt;0),Y409&gt;N409,FALSE))</f>
        <v/>
      </c>
      <c r="P409" s="7">
        <f>IF($AA409="","",SUMIFS('Per Line'!$Y$2:$Y$4001,'Per Line'!$E$2:$E$4001,$B409,'Per Line'!$AQ$2:$AQ$4001,1))</f>
        <v/>
      </c>
      <c r="Q409">
        <f>IF($AA409="","",Settings!$C$7)</f>
        <v/>
      </c>
      <c r="R409" s="7">
        <f>IF($AA409="","",SUMIFS('Per Line'!$Y$2:$Y$4001,'Per Line'!$E$2:$E$4001,$B409,'Per Line'!$AP$2:$AP$4001,0,'Per Line'!$AQ$2:$AQ$4001,0))</f>
        <v/>
      </c>
      <c r="S409" s="7">
        <f>IF($AA409="","",R409*Q409)</f>
        <v/>
      </c>
      <c r="T409">
        <f>IF($AA409="","",Settings!$C$6)</f>
        <v/>
      </c>
      <c r="U409" s="7">
        <f>IF($AA409="","",SUMIFS('Per Line'!$Y$2:$Y$4001,'Per Line'!$E$2:$E$4001,$B409,'Per Line'!$AP$2:$AP$4001,1,'Per Line'!$AQ$2:$AQ$4001,0))</f>
        <v/>
      </c>
      <c r="V409" s="7">
        <f>IF($AA409="","",U409*T409)</f>
        <v/>
      </c>
      <c r="W409" s="7">
        <f>IF($AA409="","",V409+S409)</f>
        <v/>
      </c>
      <c r="X409" s="7">
        <f>IF($AA409="","",Y409-W409)</f>
        <v/>
      </c>
      <c r="Y409" s="7">
        <f>IF($AA409="","",R409+U409+P409)</f>
        <v/>
      </c>
      <c r="Z409" s="7">
        <f>IF($AA409="","",Y409-W409-L409)</f>
        <v/>
      </c>
      <c r="AA409" s="13">
        <f>IF(ROWS($AA$2:$AA409)&lt;=MAX('Per Line'!$AO$2:$AO$4001),MATCH(ROWS($AA$2:$AA409),'Per Line'!$AO$2:$AO$4001,0),"")</f>
        <v/>
      </c>
      <c r="AB409" s="14">
        <f>IF($AA409="","",L409-K409*Y409/100)</f>
        <v/>
      </c>
    </row>
    <row r="410">
      <c r="A410" s="12" t="n"/>
      <c r="B410">
        <f>IF($AA410="","",INDEX('Per Line'!$E$2:$E$4001,$AA410)&amp;"")</f>
        <v/>
      </c>
      <c r="C410">
        <f>IF($AA410="","",INDEX('Per Line'!$A$2:$A$4001,$AA410)&amp;"")</f>
        <v/>
      </c>
      <c r="D410">
        <f>IF($AA410="","",INDEX('Per Line'!$D$2:$D$4001,$AA410)&amp;"")</f>
        <v/>
      </c>
      <c r="E410" s="11">
        <f>IF($AA410="","",INDEX('Per Line'!$G$2:$G$4001,$AA410))</f>
        <v/>
      </c>
      <c r="F410">
        <f>IF($AA410="","",INDEX('Per Line'!$H$2:$H$4001,$AA410)&amp;"")</f>
        <v/>
      </c>
      <c r="G410">
        <f>IF($AA410="","",INDEX('Per Line'!$I$2:$I$4001,$AA410)&amp;"")</f>
        <v/>
      </c>
      <c r="H410">
        <f>IF($AA410="","",INDEX('Per Line'!$J$2:$J$4001,$AA410)&amp;"")</f>
        <v/>
      </c>
      <c r="I410">
        <f>IF($AA410="","",INDEX('Per Line'!$K$2:$K$4001,$AA410)&amp;"")</f>
        <v/>
      </c>
      <c r="J410">
        <f>IF($AA410="","",INDEX('Per Line'!$L$2:$L$4001,$AA410)&amp;"")</f>
        <v/>
      </c>
      <c r="K410">
        <f>IF($AA410="","",INDEX('Per Line'!$P$2:$P$4001,$AA410))</f>
        <v/>
      </c>
      <c r="L410" s="7">
        <f>IF($AA410="","",IF(AND(ISNUMBER(N410),N410&gt;0,Y410&gt;N410),K410*N410/100+(Y410-N410),K410*Y410/100))</f>
        <v/>
      </c>
      <c r="M410">
        <f>IF($AA410="","",INDEX('Per Line'!$Z$2:$Z$4001,$AA410)&amp;"")</f>
        <v/>
      </c>
      <c r="N410">
        <f>IF($AA410="","",INDEX('Per Line'!$AG$2:$AG$4001,$AA410))</f>
        <v/>
      </c>
      <c r="O410">
        <f>IF($AA410="","",IF(AND(ISNUMBER(N410),N410&gt;0),Y410&gt;N410,FALSE))</f>
        <v/>
      </c>
      <c r="P410" s="7">
        <f>IF($AA410="","",SUMIFS('Per Line'!$Y$2:$Y$4001,'Per Line'!$E$2:$E$4001,$B410,'Per Line'!$AQ$2:$AQ$4001,1))</f>
        <v/>
      </c>
      <c r="Q410">
        <f>IF($AA410="","",Settings!$C$7)</f>
        <v/>
      </c>
      <c r="R410" s="7">
        <f>IF($AA410="","",SUMIFS('Per Line'!$Y$2:$Y$4001,'Per Line'!$E$2:$E$4001,$B410,'Per Line'!$AP$2:$AP$4001,0,'Per Line'!$AQ$2:$AQ$4001,0))</f>
        <v/>
      </c>
      <c r="S410" s="7">
        <f>IF($AA410="","",R410*Q410)</f>
        <v/>
      </c>
      <c r="T410">
        <f>IF($AA410="","",Settings!$C$6)</f>
        <v/>
      </c>
      <c r="U410" s="7">
        <f>IF($AA410="","",SUMIFS('Per Line'!$Y$2:$Y$4001,'Per Line'!$E$2:$E$4001,$B410,'Per Line'!$AP$2:$AP$4001,1,'Per Line'!$AQ$2:$AQ$4001,0))</f>
        <v/>
      </c>
      <c r="V410" s="7">
        <f>IF($AA410="","",U410*T410)</f>
        <v/>
      </c>
      <c r="W410" s="7">
        <f>IF($AA410="","",V410+S410)</f>
        <v/>
      </c>
      <c r="X410" s="7">
        <f>IF($AA410="","",Y410-W410)</f>
        <v/>
      </c>
      <c r="Y410" s="7">
        <f>IF($AA410="","",R410+U410+P410)</f>
        <v/>
      </c>
      <c r="Z410" s="7">
        <f>IF($AA410="","",Y410-W410-L410)</f>
        <v/>
      </c>
      <c r="AA410" s="13">
        <f>IF(ROWS($AA$2:$AA410)&lt;=MAX('Per Line'!$AO$2:$AO$4001),MATCH(ROWS($AA$2:$AA410),'Per Line'!$AO$2:$AO$4001,0),"")</f>
        <v/>
      </c>
      <c r="AB410" s="14">
        <f>IF($AA410="","",L410-K410*Y410/100)</f>
        <v/>
      </c>
    </row>
    <row r="411">
      <c r="A411" s="12" t="n"/>
      <c r="B411">
        <f>IF($AA411="","",INDEX('Per Line'!$E$2:$E$4001,$AA411)&amp;"")</f>
        <v/>
      </c>
      <c r="C411">
        <f>IF($AA411="","",INDEX('Per Line'!$A$2:$A$4001,$AA411)&amp;"")</f>
        <v/>
      </c>
      <c r="D411">
        <f>IF($AA411="","",INDEX('Per Line'!$D$2:$D$4001,$AA411)&amp;"")</f>
        <v/>
      </c>
      <c r="E411" s="11">
        <f>IF($AA411="","",INDEX('Per Line'!$G$2:$G$4001,$AA411))</f>
        <v/>
      </c>
      <c r="F411">
        <f>IF($AA411="","",INDEX('Per Line'!$H$2:$H$4001,$AA411)&amp;"")</f>
        <v/>
      </c>
      <c r="G411">
        <f>IF($AA411="","",INDEX('Per Line'!$I$2:$I$4001,$AA411)&amp;"")</f>
        <v/>
      </c>
      <c r="H411">
        <f>IF($AA411="","",INDEX('Per Line'!$J$2:$J$4001,$AA411)&amp;"")</f>
        <v/>
      </c>
      <c r="I411">
        <f>IF($AA411="","",INDEX('Per Line'!$K$2:$K$4001,$AA411)&amp;"")</f>
        <v/>
      </c>
      <c r="J411">
        <f>IF($AA411="","",INDEX('Per Line'!$L$2:$L$4001,$AA411)&amp;"")</f>
        <v/>
      </c>
      <c r="K411">
        <f>IF($AA411="","",INDEX('Per Line'!$P$2:$P$4001,$AA411))</f>
        <v/>
      </c>
      <c r="L411" s="7">
        <f>IF($AA411="","",IF(AND(ISNUMBER(N411),N411&gt;0,Y411&gt;N411),K411*N411/100+(Y411-N411),K411*Y411/100))</f>
        <v/>
      </c>
      <c r="M411">
        <f>IF($AA411="","",INDEX('Per Line'!$Z$2:$Z$4001,$AA411)&amp;"")</f>
        <v/>
      </c>
      <c r="N411">
        <f>IF($AA411="","",INDEX('Per Line'!$AG$2:$AG$4001,$AA411))</f>
        <v/>
      </c>
      <c r="O411">
        <f>IF($AA411="","",IF(AND(ISNUMBER(N411),N411&gt;0),Y411&gt;N411,FALSE))</f>
        <v/>
      </c>
      <c r="P411" s="7">
        <f>IF($AA411="","",SUMIFS('Per Line'!$Y$2:$Y$4001,'Per Line'!$E$2:$E$4001,$B411,'Per Line'!$AQ$2:$AQ$4001,1))</f>
        <v/>
      </c>
      <c r="Q411">
        <f>IF($AA411="","",Settings!$C$7)</f>
        <v/>
      </c>
      <c r="R411" s="7">
        <f>IF($AA411="","",SUMIFS('Per Line'!$Y$2:$Y$4001,'Per Line'!$E$2:$E$4001,$B411,'Per Line'!$AP$2:$AP$4001,0,'Per Line'!$AQ$2:$AQ$4001,0))</f>
        <v/>
      </c>
      <c r="S411" s="7">
        <f>IF($AA411="","",R411*Q411)</f>
        <v/>
      </c>
      <c r="T411">
        <f>IF($AA411="","",Settings!$C$6)</f>
        <v/>
      </c>
      <c r="U411" s="7">
        <f>IF($AA411="","",SUMIFS('Per Line'!$Y$2:$Y$4001,'Per Line'!$E$2:$E$4001,$B411,'Per Line'!$AP$2:$AP$4001,1,'Per Line'!$AQ$2:$AQ$4001,0))</f>
        <v/>
      </c>
      <c r="V411" s="7">
        <f>IF($AA411="","",U411*T411)</f>
        <v/>
      </c>
      <c r="W411" s="7">
        <f>IF($AA411="","",V411+S411)</f>
        <v/>
      </c>
      <c r="X411" s="7">
        <f>IF($AA411="","",Y411-W411)</f>
        <v/>
      </c>
      <c r="Y411" s="7">
        <f>IF($AA411="","",R411+U411+P411)</f>
        <v/>
      </c>
      <c r="Z411" s="7">
        <f>IF($AA411="","",Y411-W411-L411)</f>
        <v/>
      </c>
      <c r="AA411" s="13">
        <f>IF(ROWS($AA$2:$AA411)&lt;=MAX('Per Line'!$AO$2:$AO$4001),MATCH(ROWS($AA$2:$AA411),'Per Line'!$AO$2:$AO$4001,0),"")</f>
        <v/>
      </c>
      <c r="AB411" s="14">
        <f>IF($AA411="","",L411-K411*Y411/100)</f>
        <v/>
      </c>
    </row>
    <row r="412">
      <c r="A412" s="12" t="n"/>
      <c r="B412">
        <f>IF($AA412="","",INDEX('Per Line'!$E$2:$E$4001,$AA412)&amp;"")</f>
        <v/>
      </c>
      <c r="C412">
        <f>IF($AA412="","",INDEX('Per Line'!$A$2:$A$4001,$AA412)&amp;"")</f>
        <v/>
      </c>
      <c r="D412">
        <f>IF($AA412="","",INDEX('Per Line'!$D$2:$D$4001,$AA412)&amp;"")</f>
        <v/>
      </c>
      <c r="E412" s="11">
        <f>IF($AA412="","",INDEX('Per Line'!$G$2:$G$4001,$AA412))</f>
        <v/>
      </c>
      <c r="F412">
        <f>IF($AA412="","",INDEX('Per Line'!$H$2:$H$4001,$AA412)&amp;"")</f>
        <v/>
      </c>
      <c r="G412">
        <f>IF($AA412="","",INDEX('Per Line'!$I$2:$I$4001,$AA412)&amp;"")</f>
        <v/>
      </c>
      <c r="H412">
        <f>IF($AA412="","",INDEX('Per Line'!$J$2:$J$4001,$AA412)&amp;"")</f>
        <v/>
      </c>
      <c r="I412">
        <f>IF($AA412="","",INDEX('Per Line'!$K$2:$K$4001,$AA412)&amp;"")</f>
        <v/>
      </c>
      <c r="J412">
        <f>IF($AA412="","",INDEX('Per Line'!$L$2:$L$4001,$AA412)&amp;"")</f>
        <v/>
      </c>
      <c r="K412">
        <f>IF($AA412="","",INDEX('Per Line'!$P$2:$P$4001,$AA412))</f>
        <v/>
      </c>
      <c r="L412" s="7">
        <f>IF($AA412="","",IF(AND(ISNUMBER(N412),N412&gt;0,Y412&gt;N412),K412*N412/100+(Y412-N412),K412*Y412/100))</f>
        <v/>
      </c>
      <c r="M412">
        <f>IF($AA412="","",INDEX('Per Line'!$Z$2:$Z$4001,$AA412)&amp;"")</f>
        <v/>
      </c>
      <c r="N412">
        <f>IF($AA412="","",INDEX('Per Line'!$AG$2:$AG$4001,$AA412))</f>
        <v/>
      </c>
      <c r="O412">
        <f>IF($AA412="","",IF(AND(ISNUMBER(N412),N412&gt;0),Y412&gt;N412,FALSE))</f>
        <v/>
      </c>
      <c r="P412" s="7">
        <f>IF($AA412="","",SUMIFS('Per Line'!$Y$2:$Y$4001,'Per Line'!$E$2:$E$4001,$B412,'Per Line'!$AQ$2:$AQ$4001,1))</f>
        <v/>
      </c>
      <c r="Q412">
        <f>IF($AA412="","",Settings!$C$7)</f>
        <v/>
      </c>
      <c r="R412" s="7">
        <f>IF($AA412="","",SUMIFS('Per Line'!$Y$2:$Y$4001,'Per Line'!$E$2:$E$4001,$B412,'Per Line'!$AP$2:$AP$4001,0,'Per Line'!$AQ$2:$AQ$4001,0))</f>
        <v/>
      </c>
      <c r="S412" s="7">
        <f>IF($AA412="","",R412*Q412)</f>
        <v/>
      </c>
      <c r="T412">
        <f>IF($AA412="","",Settings!$C$6)</f>
        <v/>
      </c>
      <c r="U412" s="7">
        <f>IF($AA412="","",SUMIFS('Per Line'!$Y$2:$Y$4001,'Per Line'!$E$2:$E$4001,$B412,'Per Line'!$AP$2:$AP$4001,1,'Per Line'!$AQ$2:$AQ$4001,0))</f>
        <v/>
      </c>
      <c r="V412" s="7">
        <f>IF($AA412="","",U412*T412)</f>
        <v/>
      </c>
      <c r="W412" s="7">
        <f>IF($AA412="","",V412+S412)</f>
        <v/>
      </c>
      <c r="X412" s="7">
        <f>IF($AA412="","",Y412-W412)</f>
        <v/>
      </c>
      <c r="Y412" s="7">
        <f>IF($AA412="","",R412+U412+P412)</f>
        <v/>
      </c>
      <c r="Z412" s="7">
        <f>IF($AA412="","",Y412-W412-L412)</f>
        <v/>
      </c>
      <c r="AA412" s="13">
        <f>IF(ROWS($AA$2:$AA412)&lt;=MAX('Per Line'!$AO$2:$AO$4001),MATCH(ROWS($AA$2:$AA412),'Per Line'!$AO$2:$AO$4001,0),"")</f>
        <v/>
      </c>
      <c r="AB412" s="14">
        <f>IF($AA412="","",L412-K412*Y412/100)</f>
        <v/>
      </c>
    </row>
    <row r="413">
      <c r="A413" s="12" t="n"/>
      <c r="B413">
        <f>IF($AA413="","",INDEX('Per Line'!$E$2:$E$4001,$AA413)&amp;"")</f>
        <v/>
      </c>
      <c r="C413">
        <f>IF($AA413="","",INDEX('Per Line'!$A$2:$A$4001,$AA413)&amp;"")</f>
        <v/>
      </c>
      <c r="D413">
        <f>IF($AA413="","",INDEX('Per Line'!$D$2:$D$4001,$AA413)&amp;"")</f>
        <v/>
      </c>
      <c r="E413" s="11">
        <f>IF($AA413="","",INDEX('Per Line'!$G$2:$G$4001,$AA413))</f>
        <v/>
      </c>
      <c r="F413">
        <f>IF($AA413="","",INDEX('Per Line'!$H$2:$H$4001,$AA413)&amp;"")</f>
        <v/>
      </c>
      <c r="G413">
        <f>IF($AA413="","",INDEX('Per Line'!$I$2:$I$4001,$AA413)&amp;"")</f>
        <v/>
      </c>
      <c r="H413">
        <f>IF($AA413="","",INDEX('Per Line'!$J$2:$J$4001,$AA413)&amp;"")</f>
        <v/>
      </c>
      <c r="I413">
        <f>IF($AA413="","",INDEX('Per Line'!$K$2:$K$4001,$AA413)&amp;"")</f>
        <v/>
      </c>
      <c r="J413">
        <f>IF($AA413="","",INDEX('Per Line'!$L$2:$L$4001,$AA413)&amp;"")</f>
        <v/>
      </c>
      <c r="K413">
        <f>IF($AA413="","",INDEX('Per Line'!$P$2:$P$4001,$AA413))</f>
        <v/>
      </c>
      <c r="L413" s="7">
        <f>IF($AA413="","",IF(AND(ISNUMBER(N413),N413&gt;0,Y413&gt;N413),K413*N413/100+(Y413-N413),K413*Y413/100))</f>
        <v/>
      </c>
      <c r="M413">
        <f>IF($AA413="","",INDEX('Per Line'!$Z$2:$Z$4001,$AA413)&amp;"")</f>
        <v/>
      </c>
      <c r="N413">
        <f>IF($AA413="","",INDEX('Per Line'!$AG$2:$AG$4001,$AA413))</f>
        <v/>
      </c>
      <c r="O413">
        <f>IF($AA413="","",IF(AND(ISNUMBER(N413),N413&gt;0),Y413&gt;N413,FALSE))</f>
        <v/>
      </c>
      <c r="P413" s="7">
        <f>IF($AA413="","",SUMIFS('Per Line'!$Y$2:$Y$4001,'Per Line'!$E$2:$E$4001,$B413,'Per Line'!$AQ$2:$AQ$4001,1))</f>
        <v/>
      </c>
      <c r="Q413">
        <f>IF($AA413="","",Settings!$C$7)</f>
        <v/>
      </c>
      <c r="R413" s="7">
        <f>IF($AA413="","",SUMIFS('Per Line'!$Y$2:$Y$4001,'Per Line'!$E$2:$E$4001,$B413,'Per Line'!$AP$2:$AP$4001,0,'Per Line'!$AQ$2:$AQ$4001,0))</f>
        <v/>
      </c>
      <c r="S413" s="7">
        <f>IF($AA413="","",R413*Q413)</f>
        <v/>
      </c>
      <c r="T413">
        <f>IF($AA413="","",Settings!$C$6)</f>
        <v/>
      </c>
      <c r="U413" s="7">
        <f>IF($AA413="","",SUMIFS('Per Line'!$Y$2:$Y$4001,'Per Line'!$E$2:$E$4001,$B413,'Per Line'!$AP$2:$AP$4001,1,'Per Line'!$AQ$2:$AQ$4001,0))</f>
        <v/>
      </c>
      <c r="V413" s="7">
        <f>IF($AA413="","",U413*T413)</f>
        <v/>
      </c>
      <c r="W413" s="7">
        <f>IF($AA413="","",V413+S413)</f>
        <v/>
      </c>
      <c r="X413" s="7">
        <f>IF($AA413="","",Y413-W413)</f>
        <v/>
      </c>
      <c r="Y413" s="7">
        <f>IF($AA413="","",R413+U413+P413)</f>
        <v/>
      </c>
      <c r="Z413" s="7">
        <f>IF($AA413="","",Y413-W413-L413)</f>
        <v/>
      </c>
      <c r="AA413" s="13">
        <f>IF(ROWS($AA$2:$AA413)&lt;=MAX('Per Line'!$AO$2:$AO$4001),MATCH(ROWS($AA$2:$AA413),'Per Line'!$AO$2:$AO$4001,0),"")</f>
        <v/>
      </c>
      <c r="AB413" s="14">
        <f>IF($AA413="","",L413-K413*Y413/100)</f>
        <v/>
      </c>
    </row>
    <row r="414">
      <c r="A414" s="12" t="n"/>
      <c r="B414">
        <f>IF($AA414="","",INDEX('Per Line'!$E$2:$E$4001,$AA414)&amp;"")</f>
        <v/>
      </c>
      <c r="C414">
        <f>IF($AA414="","",INDEX('Per Line'!$A$2:$A$4001,$AA414)&amp;"")</f>
        <v/>
      </c>
      <c r="D414">
        <f>IF($AA414="","",INDEX('Per Line'!$D$2:$D$4001,$AA414)&amp;"")</f>
        <v/>
      </c>
      <c r="E414" s="11">
        <f>IF($AA414="","",INDEX('Per Line'!$G$2:$G$4001,$AA414))</f>
        <v/>
      </c>
      <c r="F414">
        <f>IF($AA414="","",INDEX('Per Line'!$H$2:$H$4001,$AA414)&amp;"")</f>
        <v/>
      </c>
      <c r="G414">
        <f>IF($AA414="","",INDEX('Per Line'!$I$2:$I$4001,$AA414)&amp;"")</f>
        <v/>
      </c>
      <c r="H414">
        <f>IF($AA414="","",INDEX('Per Line'!$J$2:$J$4001,$AA414)&amp;"")</f>
        <v/>
      </c>
      <c r="I414">
        <f>IF($AA414="","",INDEX('Per Line'!$K$2:$K$4001,$AA414)&amp;"")</f>
        <v/>
      </c>
      <c r="J414">
        <f>IF($AA414="","",INDEX('Per Line'!$L$2:$L$4001,$AA414)&amp;"")</f>
        <v/>
      </c>
      <c r="K414">
        <f>IF($AA414="","",INDEX('Per Line'!$P$2:$P$4001,$AA414))</f>
        <v/>
      </c>
      <c r="L414" s="7">
        <f>IF($AA414="","",IF(AND(ISNUMBER(N414),N414&gt;0,Y414&gt;N414),K414*N414/100+(Y414-N414),K414*Y414/100))</f>
        <v/>
      </c>
      <c r="M414">
        <f>IF($AA414="","",INDEX('Per Line'!$Z$2:$Z$4001,$AA414)&amp;"")</f>
        <v/>
      </c>
      <c r="N414">
        <f>IF($AA414="","",INDEX('Per Line'!$AG$2:$AG$4001,$AA414))</f>
        <v/>
      </c>
      <c r="O414">
        <f>IF($AA414="","",IF(AND(ISNUMBER(N414),N414&gt;0),Y414&gt;N414,FALSE))</f>
        <v/>
      </c>
      <c r="P414" s="7">
        <f>IF($AA414="","",SUMIFS('Per Line'!$Y$2:$Y$4001,'Per Line'!$E$2:$E$4001,$B414,'Per Line'!$AQ$2:$AQ$4001,1))</f>
        <v/>
      </c>
      <c r="Q414">
        <f>IF($AA414="","",Settings!$C$7)</f>
        <v/>
      </c>
      <c r="R414" s="7">
        <f>IF($AA414="","",SUMIFS('Per Line'!$Y$2:$Y$4001,'Per Line'!$E$2:$E$4001,$B414,'Per Line'!$AP$2:$AP$4001,0,'Per Line'!$AQ$2:$AQ$4001,0))</f>
        <v/>
      </c>
      <c r="S414" s="7">
        <f>IF($AA414="","",R414*Q414)</f>
        <v/>
      </c>
      <c r="T414">
        <f>IF($AA414="","",Settings!$C$6)</f>
        <v/>
      </c>
      <c r="U414" s="7">
        <f>IF($AA414="","",SUMIFS('Per Line'!$Y$2:$Y$4001,'Per Line'!$E$2:$E$4001,$B414,'Per Line'!$AP$2:$AP$4001,1,'Per Line'!$AQ$2:$AQ$4001,0))</f>
        <v/>
      </c>
      <c r="V414" s="7">
        <f>IF($AA414="","",U414*T414)</f>
        <v/>
      </c>
      <c r="W414" s="7">
        <f>IF($AA414="","",V414+S414)</f>
        <v/>
      </c>
      <c r="X414" s="7">
        <f>IF($AA414="","",Y414-W414)</f>
        <v/>
      </c>
      <c r="Y414" s="7">
        <f>IF($AA414="","",R414+U414+P414)</f>
        <v/>
      </c>
      <c r="Z414" s="7">
        <f>IF($AA414="","",Y414-W414-L414)</f>
        <v/>
      </c>
      <c r="AA414" s="13">
        <f>IF(ROWS($AA$2:$AA414)&lt;=MAX('Per Line'!$AO$2:$AO$4001),MATCH(ROWS($AA$2:$AA414),'Per Line'!$AO$2:$AO$4001,0),"")</f>
        <v/>
      </c>
      <c r="AB414" s="14">
        <f>IF($AA414="","",L414-K414*Y414/100)</f>
        <v/>
      </c>
    </row>
    <row r="415">
      <c r="A415" s="12" t="n"/>
      <c r="B415">
        <f>IF($AA415="","",INDEX('Per Line'!$E$2:$E$4001,$AA415)&amp;"")</f>
        <v/>
      </c>
      <c r="C415">
        <f>IF($AA415="","",INDEX('Per Line'!$A$2:$A$4001,$AA415)&amp;"")</f>
        <v/>
      </c>
      <c r="D415">
        <f>IF($AA415="","",INDEX('Per Line'!$D$2:$D$4001,$AA415)&amp;"")</f>
        <v/>
      </c>
      <c r="E415" s="11">
        <f>IF($AA415="","",INDEX('Per Line'!$G$2:$G$4001,$AA415))</f>
        <v/>
      </c>
      <c r="F415">
        <f>IF($AA415="","",INDEX('Per Line'!$H$2:$H$4001,$AA415)&amp;"")</f>
        <v/>
      </c>
      <c r="G415">
        <f>IF($AA415="","",INDEX('Per Line'!$I$2:$I$4001,$AA415)&amp;"")</f>
        <v/>
      </c>
      <c r="H415">
        <f>IF($AA415="","",INDEX('Per Line'!$J$2:$J$4001,$AA415)&amp;"")</f>
        <v/>
      </c>
      <c r="I415">
        <f>IF($AA415="","",INDEX('Per Line'!$K$2:$K$4001,$AA415)&amp;"")</f>
        <v/>
      </c>
      <c r="J415">
        <f>IF($AA415="","",INDEX('Per Line'!$L$2:$L$4001,$AA415)&amp;"")</f>
        <v/>
      </c>
      <c r="K415">
        <f>IF($AA415="","",INDEX('Per Line'!$P$2:$P$4001,$AA415))</f>
        <v/>
      </c>
      <c r="L415" s="7">
        <f>IF($AA415="","",IF(AND(ISNUMBER(N415),N415&gt;0,Y415&gt;N415),K415*N415/100+(Y415-N415),K415*Y415/100))</f>
        <v/>
      </c>
      <c r="M415">
        <f>IF($AA415="","",INDEX('Per Line'!$Z$2:$Z$4001,$AA415)&amp;"")</f>
        <v/>
      </c>
      <c r="N415">
        <f>IF($AA415="","",INDEX('Per Line'!$AG$2:$AG$4001,$AA415))</f>
        <v/>
      </c>
      <c r="O415">
        <f>IF($AA415="","",IF(AND(ISNUMBER(N415),N415&gt;0),Y415&gt;N415,FALSE))</f>
        <v/>
      </c>
      <c r="P415" s="7">
        <f>IF($AA415="","",SUMIFS('Per Line'!$Y$2:$Y$4001,'Per Line'!$E$2:$E$4001,$B415,'Per Line'!$AQ$2:$AQ$4001,1))</f>
        <v/>
      </c>
      <c r="Q415">
        <f>IF($AA415="","",Settings!$C$7)</f>
        <v/>
      </c>
      <c r="R415" s="7">
        <f>IF($AA415="","",SUMIFS('Per Line'!$Y$2:$Y$4001,'Per Line'!$E$2:$E$4001,$B415,'Per Line'!$AP$2:$AP$4001,0,'Per Line'!$AQ$2:$AQ$4001,0))</f>
        <v/>
      </c>
      <c r="S415" s="7">
        <f>IF($AA415="","",R415*Q415)</f>
        <v/>
      </c>
      <c r="T415">
        <f>IF($AA415="","",Settings!$C$6)</f>
        <v/>
      </c>
      <c r="U415" s="7">
        <f>IF($AA415="","",SUMIFS('Per Line'!$Y$2:$Y$4001,'Per Line'!$E$2:$E$4001,$B415,'Per Line'!$AP$2:$AP$4001,1,'Per Line'!$AQ$2:$AQ$4001,0))</f>
        <v/>
      </c>
      <c r="V415" s="7">
        <f>IF($AA415="","",U415*T415)</f>
        <v/>
      </c>
      <c r="W415" s="7">
        <f>IF($AA415="","",V415+S415)</f>
        <v/>
      </c>
      <c r="X415" s="7">
        <f>IF($AA415="","",Y415-W415)</f>
        <v/>
      </c>
      <c r="Y415" s="7">
        <f>IF($AA415="","",R415+U415+P415)</f>
        <v/>
      </c>
      <c r="Z415" s="7">
        <f>IF($AA415="","",Y415-W415-L415)</f>
        <v/>
      </c>
      <c r="AA415" s="13">
        <f>IF(ROWS($AA$2:$AA415)&lt;=MAX('Per Line'!$AO$2:$AO$4001),MATCH(ROWS($AA$2:$AA415),'Per Line'!$AO$2:$AO$4001,0),"")</f>
        <v/>
      </c>
      <c r="AB415" s="14">
        <f>IF($AA415="","",L415-K415*Y415/100)</f>
        <v/>
      </c>
    </row>
    <row r="416">
      <c r="A416" s="12" t="n"/>
      <c r="B416">
        <f>IF($AA416="","",INDEX('Per Line'!$E$2:$E$4001,$AA416)&amp;"")</f>
        <v/>
      </c>
      <c r="C416">
        <f>IF($AA416="","",INDEX('Per Line'!$A$2:$A$4001,$AA416)&amp;"")</f>
        <v/>
      </c>
      <c r="D416">
        <f>IF($AA416="","",INDEX('Per Line'!$D$2:$D$4001,$AA416)&amp;"")</f>
        <v/>
      </c>
      <c r="E416" s="11">
        <f>IF($AA416="","",INDEX('Per Line'!$G$2:$G$4001,$AA416))</f>
        <v/>
      </c>
      <c r="F416">
        <f>IF($AA416="","",INDEX('Per Line'!$H$2:$H$4001,$AA416)&amp;"")</f>
        <v/>
      </c>
      <c r="G416">
        <f>IF($AA416="","",INDEX('Per Line'!$I$2:$I$4001,$AA416)&amp;"")</f>
        <v/>
      </c>
      <c r="H416">
        <f>IF($AA416="","",INDEX('Per Line'!$J$2:$J$4001,$AA416)&amp;"")</f>
        <v/>
      </c>
      <c r="I416">
        <f>IF($AA416="","",INDEX('Per Line'!$K$2:$K$4001,$AA416)&amp;"")</f>
        <v/>
      </c>
      <c r="J416">
        <f>IF($AA416="","",INDEX('Per Line'!$L$2:$L$4001,$AA416)&amp;"")</f>
        <v/>
      </c>
      <c r="K416">
        <f>IF($AA416="","",INDEX('Per Line'!$P$2:$P$4001,$AA416))</f>
        <v/>
      </c>
      <c r="L416" s="7">
        <f>IF($AA416="","",IF(AND(ISNUMBER(N416),N416&gt;0,Y416&gt;N416),K416*N416/100+(Y416-N416),K416*Y416/100))</f>
        <v/>
      </c>
      <c r="M416">
        <f>IF($AA416="","",INDEX('Per Line'!$Z$2:$Z$4001,$AA416)&amp;"")</f>
        <v/>
      </c>
      <c r="N416">
        <f>IF($AA416="","",INDEX('Per Line'!$AG$2:$AG$4001,$AA416))</f>
        <v/>
      </c>
      <c r="O416">
        <f>IF($AA416="","",IF(AND(ISNUMBER(N416),N416&gt;0),Y416&gt;N416,FALSE))</f>
        <v/>
      </c>
      <c r="P416" s="7">
        <f>IF($AA416="","",SUMIFS('Per Line'!$Y$2:$Y$4001,'Per Line'!$E$2:$E$4001,$B416,'Per Line'!$AQ$2:$AQ$4001,1))</f>
        <v/>
      </c>
      <c r="Q416">
        <f>IF($AA416="","",Settings!$C$7)</f>
        <v/>
      </c>
      <c r="R416" s="7">
        <f>IF($AA416="","",SUMIFS('Per Line'!$Y$2:$Y$4001,'Per Line'!$E$2:$E$4001,$B416,'Per Line'!$AP$2:$AP$4001,0,'Per Line'!$AQ$2:$AQ$4001,0))</f>
        <v/>
      </c>
      <c r="S416" s="7">
        <f>IF($AA416="","",R416*Q416)</f>
        <v/>
      </c>
      <c r="T416">
        <f>IF($AA416="","",Settings!$C$6)</f>
        <v/>
      </c>
      <c r="U416" s="7">
        <f>IF($AA416="","",SUMIFS('Per Line'!$Y$2:$Y$4001,'Per Line'!$E$2:$E$4001,$B416,'Per Line'!$AP$2:$AP$4001,1,'Per Line'!$AQ$2:$AQ$4001,0))</f>
        <v/>
      </c>
      <c r="V416" s="7">
        <f>IF($AA416="","",U416*T416)</f>
        <v/>
      </c>
      <c r="W416" s="7">
        <f>IF($AA416="","",V416+S416)</f>
        <v/>
      </c>
      <c r="X416" s="7">
        <f>IF($AA416="","",Y416-W416)</f>
        <v/>
      </c>
      <c r="Y416" s="7">
        <f>IF($AA416="","",R416+U416+P416)</f>
        <v/>
      </c>
      <c r="Z416" s="7">
        <f>IF($AA416="","",Y416-W416-L416)</f>
        <v/>
      </c>
      <c r="AA416" s="13">
        <f>IF(ROWS($AA$2:$AA416)&lt;=MAX('Per Line'!$AO$2:$AO$4001),MATCH(ROWS($AA$2:$AA416),'Per Line'!$AO$2:$AO$4001,0),"")</f>
        <v/>
      </c>
      <c r="AB416" s="14">
        <f>IF($AA416="","",L416-K416*Y416/100)</f>
        <v/>
      </c>
    </row>
    <row r="417">
      <c r="A417" s="12" t="n"/>
      <c r="B417">
        <f>IF($AA417="","",INDEX('Per Line'!$E$2:$E$4001,$AA417)&amp;"")</f>
        <v/>
      </c>
      <c r="C417">
        <f>IF($AA417="","",INDEX('Per Line'!$A$2:$A$4001,$AA417)&amp;"")</f>
        <v/>
      </c>
      <c r="D417">
        <f>IF($AA417="","",INDEX('Per Line'!$D$2:$D$4001,$AA417)&amp;"")</f>
        <v/>
      </c>
      <c r="E417" s="11">
        <f>IF($AA417="","",INDEX('Per Line'!$G$2:$G$4001,$AA417))</f>
        <v/>
      </c>
      <c r="F417">
        <f>IF($AA417="","",INDEX('Per Line'!$H$2:$H$4001,$AA417)&amp;"")</f>
        <v/>
      </c>
      <c r="G417">
        <f>IF($AA417="","",INDEX('Per Line'!$I$2:$I$4001,$AA417)&amp;"")</f>
        <v/>
      </c>
      <c r="H417">
        <f>IF($AA417="","",INDEX('Per Line'!$J$2:$J$4001,$AA417)&amp;"")</f>
        <v/>
      </c>
      <c r="I417">
        <f>IF($AA417="","",INDEX('Per Line'!$K$2:$K$4001,$AA417)&amp;"")</f>
        <v/>
      </c>
      <c r="J417">
        <f>IF($AA417="","",INDEX('Per Line'!$L$2:$L$4001,$AA417)&amp;"")</f>
        <v/>
      </c>
      <c r="K417">
        <f>IF($AA417="","",INDEX('Per Line'!$P$2:$P$4001,$AA417))</f>
        <v/>
      </c>
      <c r="L417" s="7">
        <f>IF($AA417="","",IF(AND(ISNUMBER(N417),N417&gt;0,Y417&gt;N417),K417*N417/100+(Y417-N417),K417*Y417/100))</f>
        <v/>
      </c>
      <c r="M417">
        <f>IF($AA417="","",INDEX('Per Line'!$Z$2:$Z$4001,$AA417)&amp;"")</f>
        <v/>
      </c>
      <c r="N417">
        <f>IF($AA417="","",INDEX('Per Line'!$AG$2:$AG$4001,$AA417))</f>
        <v/>
      </c>
      <c r="O417">
        <f>IF($AA417="","",IF(AND(ISNUMBER(N417),N417&gt;0),Y417&gt;N417,FALSE))</f>
        <v/>
      </c>
      <c r="P417" s="7">
        <f>IF($AA417="","",SUMIFS('Per Line'!$Y$2:$Y$4001,'Per Line'!$E$2:$E$4001,$B417,'Per Line'!$AQ$2:$AQ$4001,1))</f>
        <v/>
      </c>
      <c r="Q417">
        <f>IF($AA417="","",Settings!$C$7)</f>
        <v/>
      </c>
      <c r="R417" s="7">
        <f>IF($AA417="","",SUMIFS('Per Line'!$Y$2:$Y$4001,'Per Line'!$E$2:$E$4001,$B417,'Per Line'!$AP$2:$AP$4001,0,'Per Line'!$AQ$2:$AQ$4001,0))</f>
        <v/>
      </c>
      <c r="S417" s="7">
        <f>IF($AA417="","",R417*Q417)</f>
        <v/>
      </c>
      <c r="T417">
        <f>IF($AA417="","",Settings!$C$6)</f>
        <v/>
      </c>
      <c r="U417" s="7">
        <f>IF($AA417="","",SUMIFS('Per Line'!$Y$2:$Y$4001,'Per Line'!$E$2:$E$4001,$B417,'Per Line'!$AP$2:$AP$4001,1,'Per Line'!$AQ$2:$AQ$4001,0))</f>
        <v/>
      </c>
      <c r="V417" s="7">
        <f>IF($AA417="","",U417*T417)</f>
        <v/>
      </c>
      <c r="W417" s="7">
        <f>IF($AA417="","",V417+S417)</f>
        <v/>
      </c>
      <c r="X417" s="7">
        <f>IF($AA417="","",Y417-W417)</f>
        <v/>
      </c>
      <c r="Y417" s="7">
        <f>IF($AA417="","",R417+U417+P417)</f>
        <v/>
      </c>
      <c r="Z417" s="7">
        <f>IF($AA417="","",Y417-W417-L417)</f>
        <v/>
      </c>
      <c r="AA417" s="13">
        <f>IF(ROWS($AA$2:$AA417)&lt;=MAX('Per Line'!$AO$2:$AO$4001),MATCH(ROWS($AA$2:$AA417),'Per Line'!$AO$2:$AO$4001,0),"")</f>
        <v/>
      </c>
      <c r="AB417" s="14">
        <f>IF($AA417="","",L417-K417*Y417/100)</f>
        <v/>
      </c>
    </row>
    <row r="418">
      <c r="A418" s="12" t="n"/>
      <c r="B418">
        <f>IF($AA418="","",INDEX('Per Line'!$E$2:$E$4001,$AA418)&amp;"")</f>
        <v/>
      </c>
      <c r="C418">
        <f>IF($AA418="","",INDEX('Per Line'!$A$2:$A$4001,$AA418)&amp;"")</f>
        <v/>
      </c>
      <c r="D418">
        <f>IF($AA418="","",INDEX('Per Line'!$D$2:$D$4001,$AA418)&amp;"")</f>
        <v/>
      </c>
      <c r="E418" s="11">
        <f>IF($AA418="","",INDEX('Per Line'!$G$2:$G$4001,$AA418))</f>
        <v/>
      </c>
      <c r="F418">
        <f>IF($AA418="","",INDEX('Per Line'!$H$2:$H$4001,$AA418)&amp;"")</f>
        <v/>
      </c>
      <c r="G418">
        <f>IF($AA418="","",INDEX('Per Line'!$I$2:$I$4001,$AA418)&amp;"")</f>
        <v/>
      </c>
      <c r="H418">
        <f>IF($AA418="","",INDEX('Per Line'!$J$2:$J$4001,$AA418)&amp;"")</f>
        <v/>
      </c>
      <c r="I418">
        <f>IF($AA418="","",INDEX('Per Line'!$K$2:$K$4001,$AA418)&amp;"")</f>
        <v/>
      </c>
      <c r="J418">
        <f>IF($AA418="","",INDEX('Per Line'!$L$2:$L$4001,$AA418)&amp;"")</f>
        <v/>
      </c>
      <c r="K418">
        <f>IF($AA418="","",INDEX('Per Line'!$P$2:$P$4001,$AA418))</f>
        <v/>
      </c>
      <c r="L418" s="7">
        <f>IF($AA418="","",IF(AND(ISNUMBER(N418),N418&gt;0,Y418&gt;N418),K418*N418/100+(Y418-N418),K418*Y418/100))</f>
        <v/>
      </c>
      <c r="M418">
        <f>IF($AA418="","",INDEX('Per Line'!$Z$2:$Z$4001,$AA418)&amp;"")</f>
        <v/>
      </c>
      <c r="N418">
        <f>IF($AA418="","",INDEX('Per Line'!$AG$2:$AG$4001,$AA418))</f>
        <v/>
      </c>
      <c r="O418">
        <f>IF($AA418="","",IF(AND(ISNUMBER(N418),N418&gt;0),Y418&gt;N418,FALSE))</f>
        <v/>
      </c>
      <c r="P418" s="7">
        <f>IF($AA418="","",SUMIFS('Per Line'!$Y$2:$Y$4001,'Per Line'!$E$2:$E$4001,$B418,'Per Line'!$AQ$2:$AQ$4001,1))</f>
        <v/>
      </c>
      <c r="Q418">
        <f>IF($AA418="","",Settings!$C$7)</f>
        <v/>
      </c>
      <c r="R418" s="7">
        <f>IF($AA418="","",SUMIFS('Per Line'!$Y$2:$Y$4001,'Per Line'!$E$2:$E$4001,$B418,'Per Line'!$AP$2:$AP$4001,0,'Per Line'!$AQ$2:$AQ$4001,0))</f>
        <v/>
      </c>
      <c r="S418" s="7">
        <f>IF($AA418="","",R418*Q418)</f>
        <v/>
      </c>
      <c r="T418">
        <f>IF($AA418="","",Settings!$C$6)</f>
        <v/>
      </c>
      <c r="U418" s="7">
        <f>IF($AA418="","",SUMIFS('Per Line'!$Y$2:$Y$4001,'Per Line'!$E$2:$E$4001,$B418,'Per Line'!$AP$2:$AP$4001,1,'Per Line'!$AQ$2:$AQ$4001,0))</f>
        <v/>
      </c>
      <c r="V418" s="7">
        <f>IF($AA418="","",U418*T418)</f>
        <v/>
      </c>
      <c r="W418" s="7">
        <f>IF($AA418="","",V418+S418)</f>
        <v/>
      </c>
      <c r="X418" s="7">
        <f>IF($AA418="","",Y418-W418)</f>
        <v/>
      </c>
      <c r="Y418" s="7">
        <f>IF($AA418="","",R418+U418+P418)</f>
        <v/>
      </c>
      <c r="Z418" s="7">
        <f>IF($AA418="","",Y418-W418-L418)</f>
        <v/>
      </c>
      <c r="AA418" s="13">
        <f>IF(ROWS($AA$2:$AA418)&lt;=MAX('Per Line'!$AO$2:$AO$4001),MATCH(ROWS($AA$2:$AA418),'Per Line'!$AO$2:$AO$4001,0),"")</f>
        <v/>
      </c>
      <c r="AB418" s="14">
        <f>IF($AA418="","",L418-K418*Y418/100)</f>
        <v/>
      </c>
    </row>
    <row r="419">
      <c r="A419" s="12" t="n"/>
      <c r="B419">
        <f>IF($AA419="","",INDEX('Per Line'!$E$2:$E$4001,$AA419)&amp;"")</f>
        <v/>
      </c>
      <c r="C419">
        <f>IF($AA419="","",INDEX('Per Line'!$A$2:$A$4001,$AA419)&amp;"")</f>
        <v/>
      </c>
      <c r="D419">
        <f>IF($AA419="","",INDEX('Per Line'!$D$2:$D$4001,$AA419)&amp;"")</f>
        <v/>
      </c>
      <c r="E419" s="11">
        <f>IF($AA419="","",INDEX('Per Line'!$G$2:$G$4001,$AA419))</f>
        <v/>
      </c>
      <c r="F419">
        <f>IF($AA419="","",INDEX('Per Line'!$H$2:$H$4001,$AA419)&amp;"")</f>
        <v/>
      </c>
      <c r="G419">
        <f>IF($AA419="","",INDEX('Per Line'!$I$2:$I$4001,$AA419)&amp;"")</f>
        <v/>
      </c>
      <c r="H419">
        <f>IF($AA419="","",INDEX('Per Line'!$J$2:$J$4001,$AA419)&amp;"")</f>
        <v/>
      </c>
      <c r="I419">
        <f>IF($AA419="","",INDEX('Per Line'!$K$2:$K$4001,$AA419)&amp;"")</f>
        <v/>
      </c>
      <c r="J419">
        <f>IF($AA419="","",INDEX('Per Line'!$L$2:$L$4001,$AA419)&amp;"")</f>
        <v/>
      </c>
      <c r="K419">
        <f>IF($AA419="","",INDEX('Per Line'!$P$2:$P$4001,$AA419))</f>
        <v/>
      </c>
      <c r="L419" s="7">
        <f>IF($AA419="","",IF(AND(ISNUMBER(N419),N419&gt;0,Y419&gt;N419),K419*N419/100+(Y419-N419),K419*Y419/100))</f>
        <v/>
      </c>
      <c r="M419">
        <f>IF($AA419="","",INDEX('Per Line'!$Z$2:$Z$4001,$AA419)&amp;"")</f>
        <v/>
      </c>
      <c r="N419">
        <f>IF($AA419="","",INDEX('Per Line'!$AG$2:$AG$4001,$AA419))</f>
        <v/>
      </c>
      <c r="O419">
        <f>IF($AA419="","",IF(AND(ISNUMBER(N419),N419&gt;0),Y419&gt;N419,FALSE))</f>
        <v/>
      </c>
      <c r="P419" s="7">
        <f>IF($AA419="","",SUMIFS('Per Line'!$Y$2:$Y$4001,'Per Line'!$E$2:$E$4001,$B419,'Per Line'!$AQ$2:$AQ$4001,1))</f>
        <v/>
      </c>
      <c r="Q419">
        <f>IF($AA419="","",Settings!$C$7)</f>
        <v/>
      </c>
      <c r="R419" s="7">
        <f>IF($AA419="","",SUMIFS('Per Line'!$Y$2:$Y$4001,'Per Line'!$E$2:$E$4001,$B419,'Per Line'!$AP$2:$AP$4001,0,'Per Line'!$AQ$2:$AQ$4001,0))</f>
        <v/>
      </c>
      <c r="S419" s="7">
        <f>IF($AA419="","",R419*Q419)</f>
        <v/>
      </c>
      <c r="T419">
        <f>IF($AA419="","",Settings!$C$6)</f>
        <v/>
      </c>
      <c r="U419" s="7">
        <f>IF($AA419="","",SUMIFS('Per Line'!$Y$2:$Y$4001,'Per Line'!$E$2:$E$4001,$B419,'Per Line'!$AP$2:$AP$4001,1,'Per Line'!$AQ$2:$AQ$4001,0))</f>
        <v/>
      </c>
      <c r="V419" s="7">
        <f>IF($AA419="","",U419*T419)</f>
        <v/>
      </c>
      <c r="W419" s="7">
        <f>IF($AA419="","",V419+S419)</f>
        <v/>
      </c>
      <c r="X419" s="7">
        <f>IF($AA419="","",Y419-W419)</f>
        <v/>
      </c>
      <c r="Y419" s="7">
        <f>IF($AA419="","",R419+U419+P419)</f>
        <v/>
      </c>
      <c r="Z419" s="7">
        <f>IF($AA419="","",Y419-W419-L419)</f>
        <v/>
      </c>
      <c r="AA419" s="13">
        <f>IF(ROWS($AA$2:$AA419)&lt;=MAX('Per Line'!$AO$2:$AO$4001),MATCH(ROWS($AA$2:$AA419),'Per Line'!$AO$2:$AO$4001,0),"")</f>
        <v/>
      </c>
      <c r="AB419" s="14">
        <f>IF($AA419="","",L419-K419*Y419/100)</f>
        <v/>
      </c>
    </row>
    <row r="420">
      <c r="A420" s="12" t="n"/>
      <c r="B420">
        <f>IF($AA420="","",INDEX('Per Line'!$E$2:$E$4001,$AA420)&amp;"")</f>
        <v/>
      </c>
      <c r="C420">
        <f>IF($AA420="","",INDEX('Per Line'!$A$2:$A$4001,$AA420)&amp;"")</f>
        <v/>
      </c>
      <c r="D420">
        <f>IF($AA420="","",INDEX('Per Line'!$D$2:$D$4001,$AA420)&amp;"")</f>
        <v/>
      </c>
      <c r="E420" s="11">
        <f>IF($AA420="","",INDEX('Per Line'!$G$2:$G$4001,$AA420))</f>
        <v/>
      </c>
      <c r="F420">
        <f>IF($AA420="","",INDEX('Per Line'!$H$2:$H$4001,$AA420)&amp;"")</f>
        <v/>
      </c>
      <c r="G420">
        <f>IF($AA420="","",INDEX('Per Line'!$I$2:$I$4001,$AA420)&amp;"")</f>
        <v/>
      </c>
      <c r="H420">
        <f>IF($AA420="","",INDEX('Per Line'!$J$2:$J$4001,$AA420)&amp;"")</f>
        <v/>
      </c>
      <c r="I420">
        <f>IF($AA420="","",INDEX('Per Line'!$K$2:$K$4001,$AA420)&amp;"")</f>
        <v/>
      </c>
      <c r="J420">
        <f>IF($AA420="","",INDEX('Per Line'!$L$2:$L$4001,$AA420)&amp;"")</f>
        <v/>
      </c>
      <c r="K420">
        <f>IF($AA420="","",INDEX('Per Line'!$P$2:$P$4001,$AA420))</f>
        <v/>
      </c>
      <c r="L420" s="7">
        <f>IF($AA420="","",IF(AND(ISNUMBER(N420),N420&gt;0,Y420&gt;N420),K420*N420/100+(Y420-N420),K420*Y420/100))</f>
        <v/>
      </c>
      <c r="M420">
        <f>IF($AA420="","",INDEX('Per Line'!$Z$2:$Z$4001,$AA420)&amp;"")</f>
        <v/>
      </c>
      <c r="N420">
        <f>IF($AA420="","",INDEX('Per Line'!$AG$2:$AG$4001,$AA420))</f>
        <v/>
      </c>
      <c r="O420">
        <f>IF($AA420="","",IF(AND(ISNUMBER(N420),N420&gt;0),Y420&gt;N420,FALSE))</f>
        <v/>
      </c>
      <c r="P420" s="7">
        <f>IF($AA420="","",SUMIFS('Per Line'!$Y$2:$Y$4001,'Per Line'!$E$2:$E$4001,$B420,'Per Line'!$AQ$2:$AQ$4001,1))</f>
        <v/>
      </c>
      <c r="Q420">
        <f>IF($AA420="","",Settings!$C$7)</f>
        <v/>
      </c>
      <c r="R420" s="7">
        <f>IF($AA420="","",SUMIFS('Per Line'!$Y$2:$Y$4001,'Per Line'!$E$2:$E$4001,$B420,'Per Line'!$AP$2:$AP$4001,0,'Per Line'!$AQ$2:$AQ$4001,0))</f>
        <v/>
      </c>
      <c r="S420" s="7">
        <f>IF($AA420="","",R420*Q420)</f>
        <v/>
      </c>
      <c r="T420">
        <f>IF($AA420="","",Settings!$C$6)</f>
        <v/>
      </c>
      <c r="U420" s="7">
        <f>IF($AA420="","",SUMIFS('Per Line'!$Y$2:$Y$4001,'Per Line'!$E$2:$E$4001,$B420,'Per Line'!$AP$2:$AP$4001,1,'Per Line'!$AQ$2:$AQ$4001,0))</f>
        <v/>
      </c>
      <c r="V420" s="7">
        <f>IF($AA420="","",U420*T420)</f>
        <v/>
      </c>
      <c r="W420" s="7">
        <f>IF($AA420="","",V420+S420)</f>
        <v/>
      </c>
      <c r="X420" s="7">
        <f>IF($AA420="","",Y420-W420)</f>
        <v/>
      </c>
      <c r="Y420" s="7">
        <f>IF($AA420="","",R420+U420+P420)</f>
        <v/>
      </c>
      <c r="Z420" s="7">
        <f>IF($AA420="","",Y420-W420-L420)</f>
        <v/>
      </c>
      <c r="AA420" s="13">
        <f>IF(ROWS($AA$2:$AA420)&lt;=MAX('Per Line'!$AO$2:$AO$4001),MATCH(ROWS($AA$2:$AA420),'Per Line'!$AO$2:$AO$4001,0),"")</f>
        <v/>
      </c>
      <c r="AB420" s="14">
        <f>IF($AA420="","",L420-K420*Y420/100)</f>
        <v/>
      </c>
    </row>
    <row r="421">
      <c r="A421" s="12" t="n"/>
      <c r="B421">
        <f>IF($AA421="","",INDEX('Per Line'!$E$2:$E$4001,$AA421)&amp;"")</f>
        <v/>
      </c>
      <c r="C421">
        <f>IF($AA421="","",INDEX('Per Line'!$A$2:$A$4001,$AA421)&amp;"")</f>
        <v/>
      </c>
      <c r="D421">
        <f>IF($AA421="","",INDEX('Per Line'!$D$2:$D$4001,$AA421)&amp;"")</f>
        <v/>
      </c>
      <c r="E421" s="11">
        <f>IF($AA421="","",INDEX('Per Line'!$G$2:$G$4001,$AA421))</f>
        <v/>
      </c>
      <c r="F421">
        <f>IF($AA421="","",INDEX('Per Line'!$H$2:$H$4001,$AA421)&amp;"")</f>
        <v/>
      </c>
      <c r="G421">
        <f>IF($AA421="","",INDEX('Per Line'!$I$2:$I$4001,$AA421)&amp;"")</f>
        <v/>
      </c>
      <c r="H421">
        <f>IF($AA421="","",INDEX('Per Line'!$J$2:$J$4001,$AA421)&amp;"")</f>
        <v/>
      </c>
      <c r="I421">
        <f>IF($AA421="","",INDEX('Per Line'!$K$2:$K$4001,$AA421)&amp;"")</f>
        <v/>
      </c>
      <c r="J421">
        <f>IF($AA421="","",INDEX('Per Line'!$L$2:$L$4001,$AA421)&amp;"")</f>
        <v/>
      </c>
      <c r="K421">
        <f>IF($AA421="","",INDEX('Per Line'!$P$2:$P$4001,$AA421))</f>
        <v/>
      </c>
      <c r="L421" s="7">
        <f>IF($AA421="","",IF(AND(ISNUMBER(N421),N421&gt;0,Y421&gt;N421),K421*N421/100+(Y421-N421),K421*Y421/100))</f>
        <v/>
      </c>
      <c r="M421">
        <f>IF($AA421="","",INDEX('Per Line'!$Z$2:$Z$4001,$AA421)&amp;"")</f>
        <v/>
      </c>
      <c r="N421">
        <f>IF($AA421="","",INDEX('Per Line'!$AG$2:$AG$4001,$AA421))</f>
        <v/>
      </c>
      <c r="O421">
        <f>IF($AA421="","",IF(AND(ISNUMBER(N421),N421&gt;0),Y421&gt;N421,FALSE))</f>
        <v/>
      </c>
      <c r="P421" s="7">
        <f>IF($AA421="","",SUMIFS('Per Line'!$Y$2:$Y$4001,'Per Line'!$E$2:$E$4001,$B421,'Per Line'!$AQ$2:$AQ$4001,1))</f>
        <v/>
      </c>
      <c r="Q421">
        <f>IF($AA421="","",Settings!$C$7)</f>
        <v/>
      </c>
      <c r="R421" s="7">
        <f>IF($AA421="","",SUMIFS('Per Line'!$Y$2:$Y$4001,'Per Line'!$E$2:$E$4001,$B421,'Per Line'!$AP$2:$AP$4001,0,'Per Line'!$AQ$2:$AQ$4001,0))</f>
        <v/>
      </c>
      <c r="S421" s="7">
        <f>IF($AA421="","",R421*Q421)</f>
        <v/>
      </c>
      <c r="T421">
        <f>IF($AA421="","",Settings!$C$6)</f>
        <v/>
      </c>
      <c r="U421" s="7">
        <f>IF($AA421="","",SUMIFS('Per Line'!$Y$2:$Y$4001,'Per Line'!$E$2:$E$4001,$B421,'Per Line'!$AP$2:$AP$4001,1,'Per Line'!$AQ$2:$AQ$4001,0))</f>
        <v/>
      </c>
      <c r="V421" s="7">
        <f>IF($AA421="","",U421*T421)</f>
        <v/>
      </c>
      <c r="W421" s="7">
        <f>IF($AA421="","",V421+S421)</f>
        <v/>
      </c>
      <c r="X421" s="7">
        <f>IF($AA421="","",Y421-W421)</f>
        <v/>
      </c>
      <c r="Y421" s="7">
        <f>IF($AA421="","",R421+U421+P421)</f>
        <v/>
      </c>
      <c r="Z421" s="7">
        <f>IF($AA421="","",Y421-W421-L421)</f>
        <v/>
      </c>
      <c r="AA421" s="13">
        <f>IF(ROWS($AA$2:$AA421)&lt;=MAX('Per Line'!$AO$2:$AO$4001),MATCH(ROWS($AA$2:$AA421),'Per Line'!$AO$2:$AO$4001,0),"")</f>
        <v/>
      </c>
      <c r="AB421" s="14">
        <f>IF($AA421="","",L421-K421*Y421/100)</f>
        <v/>
      </c>
    </row>
    <row r="422">
      <c r="A422" s="12" t="n"/>
      <c r="B422">
        <f>IF($AA422="","",INDEX('Per Line'!$E$2:$E$4001,$AA422)&amp;"")</f>
        <v/>
      </c>
      <c r="C422">
        <f>IF($AA422="","",INDEX('Per Line'!$A$2:$A$4001,$AA422)&amp;"")</f>
        <v/>
      </c>
      <c r="D422">
        <f>IF($AA422="","",INDEX('Per Line'!$D$2:$D$4001,$AA422)&amp;"")</f>
        <v/>
      </c>
      <c r="E422" s="11">
        <f>IF($AA422="","",INDEX('Per Line'!$G$2:$G$4001,$AA422))</f>
        <v/>
      </c>
      <c r="F422">
        <f>IF($AA422="","",INDEX('Per Line'!$H$2:$H$4001,$AA422)&amp;"")</f>
        <v/>
      </c>
      <c r="G422">
        <f>IF($AA422="","",INDEX('Per Line'!$I$2:$I$4001,$AA422)&amp;"")</f>
        <v/>
      </c>
      <c r="H422">
        <f>IF($AA422="","",INDEX('Per Line'!$J$2:$J$4001,$AA422)&amp;"")</f>
        <v/>
      </c>
      <c r="I422">
        <f>IF($AA422="","",INDEX('Per Line'!$K$2:$K$4001,$AA422)&amp;"")</f>
        <v/>
      </c>
      <c r="J422">
        <f>IF($AA422="","",INDEX('Per Line'!$L$2:$L$4001,$AA422)&amp;"")</f>
        <v/>
      </c>
      <c r="K422">
        <f>IF($AA422="","",INDEX('Per Line'!$P$2:$P$4001,$AA422))</f>
        <v/>
      </c>
      <c r="L422" s="7">
        <f>IF($AA422="","",IF(AND(ISNUMBER(N422),N422&gt;0,Y422&gt;N422),K422*N422/100+(Y422-N422),K422*Y422/100))</f>
        <v/>
      </c>
      <c r="M422">
        <f>IF($AA422="","",INDEX('Per Line'!$Z$2:$Z$4001,$AA422)&amp;"")</f>
        <v/>
      </c>
      <c r="N422">
        <f>IF($AA422="","",INDEX('Per Line'!$AG$2:$AG$4001,$AA422))</f>
        <v/>
      </c>
      <c r="O422">
        <f>IF($AA422="","",IF(AND(ISNUMBER(N422),N422&gt;0),Y422&gt;N422,FALSE))</f>
        <v/>
      </c>
      <c r="P422" s="7">
        <f>IF($AA422="","",SUMIFS('Per Line'!$Y$2:$Y$4001,'Per Line'!$E$2:$E$4001,$B422,'Per Line'!$AQ$2:$AQ$4001,1))</f>
        <v/>
      </c>
      <c r="Q422">
        <f>IF($AA422="","",Settings!$C$7)</f>
        <v/>
      </c>
      <c r="R422" s="7">
        <f>IF($AA422="","",SUMIFS('Per Line'!$Y$2:$Y$4001,'Per Line'!$E$2:$E$4001,$B422,'Per Line'!$AP$2:$AP$4001,0,'Per Line'!$AQ$2:$AQ$4001,0))</f>
        <v/>
      </c>
      <c r="S422" s="7">
        <f>IF($AA422="","",R422*Q422)</f>
        <v/>
      </c>
      <c r="T422">
        <f>IF($AA422="","",Settings!$C$6)</f>
        <v/>
      </c>
      <c r="U422" s="7">
        <f>IF($AA422="","",SUMIFS('Per Line'!$Y$2:$Y$4001,'Per Line'!$E$2:$E$4001,$B422,'Per Line'!$AP$2:$AP$4001,1,'Per Line'!$AQ$2:$AQ$4001,0))</f>
        <v/>
      </c>
      <c r="V422" s="7">
        <f>IF($AA422="","",U422*T422)</f>
        <v/>
      </c>
      <c r="W422" s="7">
        <f>IF($AA422="","",V422+S422)</f>
        <v/>
      </c>
      <c r="X422" s="7">
        <f>IF($AA422="","",Y422-W422)</f>
        <v/>
      </c>
      <c r="Y422" s="7">
        <f>IF($AA422="","",R422+U422+P422)</f>
        <v/>
      </c>
      <c r="Z422" s="7">
        <f>IF($AA422="","",Y422-W422-L422)</f>
        <v/>
      </c>
      <c r="AA422" s="13">
        <f>IF(ROWS($AA$2:$AA422)&lt;=MAX('Per Line'!$AO$2:$AO$4001),MATCH(ROWS($AA$2:$AA422),'Per Line'!$AO$2:$AO$4001,0),"")</f>
        <v/>
      </c>
      <c r="AB422" s="14">
        <f>IF($AA422="","",L422-K422*Y422/100)</f>
        <v/>
      </c>
    </row>
    <row r="423">
      <c r="A423" s="12" t="n"/>
      <c r="B423">
        <f>IF($AA423="","",INDEX('Per Line'!$E$2:$E$4001,$AA423)&amp;"")</f>
        <v/>
      </c>
      <c r="C423">
        <f>IF($AA423="","",INDEX('Per Line'!$A$2:$A$4001,$AA423)&amp;"")</f>
        <v/>
      </c>
      <c r="D423">
        <f>IF($AA423="","",INDEX('Per Line'!$D$2:$D$4001,$AA423)&amp;"")</f>
        <v/>
      </c>
      <c r="E423" s="11">
        <f>IF($AA423="","",INDEX('Per Line'!$G$2:$G$4001,$AA423))</f>
        <v/>
      </c>
      <c r="F423">
        <f>IF($AA423="","",INDEX('Per Line'!$H$2:$H$4001,$AA423)&amp;"")</f>
        <v/>
      </c>
      <c r="G423">
        <f>IF($AA423="","",INDEX('Per Line'!$I$2:$I$4001,$AA423)&amp;"")</f>
        <v/>
      </c>
      <c r="H423">
        <f>IF($AA423="","",INDEX('Per Line'!$J$2:$J$4001,$AA423)&amp;"")</f>
        <v/>
      </c>
      <c r="I423">
        <f>IF($AA423="","",INDEX('Per Line'!$K$2:$K$4001,$AA423)&amp;"")</f>
        <v/>
      </c>
      <c r="J423">
        <f>IF($AA423="","",INDEX('Per Line'!$L$2:$L$4001,$AA423)&amp;"")</f>
        <v/>
      </c>
      <c r="K423">
        <f>IF($AA423="","",INDEX('Per Line'!$P$2:$P$4001,$AA423))</f>
        <v/>
      </c>
      <c r="L423" s="7">
        <f>IF($AA423="","",IF(AND(ISNUMBER(N423),N423&gt;0,Y423&gt;N423),K423*N423/100+(Y423-N423),K423*Y423/100))</f>
        <v/>
      </c>
      <c r="M423">
        <f>IF($AA423="","",INDEX('Per Line'!$Z$2:$Z$4001,$AA423)&amp;"")</f>
        <v/>
      </c>
      <c r="N423">
        <f>IF($AA423="","",INDEX('Per Line'!$AG$2:$AG$4001,$AA423))</f>
        <v/>
      </c>
      <c r="O423">
        <f>IF($AA423="","",IF(AND(ISNUMBER(N423),N423&gt;0),Y423&gt;N423,FALSE))</f>
        <v/>
      </c>
      <c r="P423" s="7">
        <f>IF($AA423="","",SUMIFS('Per Line'!$Y$2:$Y$4001,'Per Line'!$E$2:$E$4001,$B423,'Per Line'!$AQ$2:$AQ$4001,1))</f>
        <v/>
      </c>
      <c r="Q423">
        <f>IF($AA423="","",Settings!$C$7)</f>
        <v/>
      </c>
      <c r="R423" s="7">
        <f>IF($AA423="","",SUMIFS('Per Line'!$Y$2:$Y$4001,'Per Line'!$E$2:$E$4001,$B423,'Per Line'!$AP$2:$AP$4001,0,'Per Line'!$AQ$2:$AQ$4001,0))</f>
        <v/>
      </c>
      <c r="S423" s="7">
        <f>IF($AA423="","",R423*Q423)</f>
        <v/>
      </c>
      <c r="T423">
        <f>IF($AA423="","",Settings!$C$6)</f>
        <v/>
      </c>
      <c r="U423" s="7">
        <f>IF($AA423="","",SUMIFS('Per Line'!$Y$2:$Y$4001,'Per Line'!$E$2:$E$4001,$B423,'Per Line'!$AP$2:$AP$4001,1,'Per Line'!$AQ$2:$AQ$4001,0))</f>
        <v/>
      </c>
      <c r="V423" s="7">
        <f>IF($AA423="","",U423*T423)</f>
        <v/>
      </c>
      <c r="W423" s="7">
        <f>IF($AA423="","",V423+S423)</f>
        <v/>
      </c>
      <c r="X423" s="7">
        <f>IF($AA423="","",Y423-W423)</f>
        <v/>
      </c>
      <c r="Y423" s="7">
        <f>IF($AA423="","",R423+U423+P423)</f>
        <v/>
      </c>
      <c r="Z423" s="7">
        <f>IF($AA423="","",Y423-W423-L423)</f>
        <v/>
      </c>
      <c r="AA423" s="13">
        <f>IF(ROWS($AA$2:$AA423)&lt;=MAX('Per Line'!$AO$2:$AO$4001),MATCH(ROWS($AA$2:$AA423),'Per Line'!$AO$2:$AO$4001,0),"")</f>
        <v/>
      </c>
      <c r="AB423" s="14">
        <f>IF($AA423="","",L423-K423*Y423/100)</f>
        <v/>
      </c>
    </row>
    <row r="424">
      <c r="A424" s="12" t="n"/>
      <c r="B424">
        <f>IF($AA424="","",INDEX('Per Line'!$E$2:$E$4001,$AA424)&amp;"")</f>
        <v/>
      </c>
      <c r="C424">
        <f>IF($AA424="","",INDEX('Per Line'!$A$2:$A$4001,$AA424)&amp;"")</f>
        <v/>
      </c>
      <c r="D424">
        <f>IF($AA424="","",INDEX('Per Line'!$D$2:$D$4001,$AA424)&amp;"")</f>
        <v/>
      </c>
      <c r="E424" s="11">
        <f>IF($AA424="","",INDEX('Per Line'!$G$2:$G$4001,$AA424))</f>
        <v/>
      </c>
      <c r="F424">
        <f>IF($AA424="","",INDEX('Per Line'!$H$2:$H$4001,$AA424)&amp;"")</f>
        <v/>
      </c>
      <c r="G424">
        <f>IF($AA424="","",INDEX('Per Line'!$I$2:$I$4001,$AA424)&amp;"")</f>
        <v/>
      </c>
      <c r="H424">
        <f>IF($AA424="","",INDEX('Per Line'!$J$2:$J$4001,$AA424)&amp;"")</f>
        <v/>
      </c>
      <c r="I424">
        <f>IF($AA424="","",INDEX('Per Line'!$K$2:$K$4001,$AA424)&amp;"")</f>
        <v/>
      </c>
      <c r="J424">
        <f>IF($AA424="","",INDEX('Per Line'!$L$2:$L$4001,$AA424)&amp;"")</f>
        <v/>
      </c>
      <c r="K424">
        <f>IF($AA424="","",INDEX('Per Line'!$P$2:$P$4001,$AA424))</f>
        <v/>
      </c>
      <c r="L424" s="7">
        <f>IF($AA424="","",IF(AND(ISNUMBER(N424),N424&gt;0,Y424&gt;N424),K424*N424/100+(Y424-N424),K424*Y424/100))</f>
        <v/>
      </c>
      <c r="M424">
        <f>IF($AA424="","",INDEX('Per Line'!$Z$2:$Z$4001,$AA424)&amp;"")</f>
        <v/>
      </c>
      <c r="N424">
        <f>IF($AA424="","",INDEX('Per Line'!$AG$2:$AG$4001,$AA424))</f>
        <v/>
      </c>
      <c r="O424">
        <f>IF($AA424="","",IF(AND(ISNUMBER(N424),N424&gt;0),Y424&gt;N424,FALSE))</f>
        <v/>
      </c>
      <c r="P424" s="7">
        <f>IF($AA424="","",SUMIFS('Per Line'!$Y$2:$Y$4001,'Per Line'!$E$2:$E$4001,$B424,'Per Line'!$AQ$2:$AQ$4001,1))</f>
        <v/>
      </c>
      <c r="Q424">
        <f>IF($AA424="","",Settings!$C$7)</f>
        <v/>
      </c>
      <c r="R424" s="7">
        <f>IF($AA424="","",SUMIFS('Per Line'!$Y$2:$Y$4001,'Per Line'!$E$2:$E$4001,$B424,'Per Line'!$AP$2:$AP$4001,0,'Per Line'!$AQ$2:$AQ$4001,0))</f>
        <v/>
      </c>
      <c r="S424" s="7">
        <f>IF($AA424="","",R424*Q424)</f>
        <v/>
      </c>
      <c r="T424">
        <f>IF($AA424="","",Settings!$C$6)</f>
        <v/>
      </c>
      <c r="U424" s="7">
        <f>IF($AA424="","",SUMIFS('Per Line'!$Y$2:$Y$4001,'Per Line'!$E$2:$E$4001,$B424,'Per Line'!$AP$2:$AP$4001,1,'Per Line'!$AQ$2:$AQ$4001,0))</f>
        <v/>
      </c>
      <c r="V424" s="7">
        <f>IF($AA424="","",U424*T424)</f>
        <v/>
      </c>
      <c r="W424" s="7">
        <f>IF($AA424="","",V424+S424)</f>
        <v/>
      </c>
      <c r="X424" s="7">
        <f>IF($AA424="","",Y424-W424)</f>
        <v/>
      </c>
      <c r="Y424" s="7">
        <f>IF($AA424="","",R424+U424+P424)</f>
        <v/>
      </c>
      <c r="Z424" s="7">
        <f>IF($AA424="","",Y424-W424-L424)</f>
        <v/>
      </c>
      <c r="AA424" s="13">
        <f>IF(ROWS($AA$2:$AA424)&lt;=MAX('Per Line'!$AO$2:$AO$4001),MATCH(ROWS($AA$2:$AA424),'Per Line'!$AO$2:$AO$4001,0),"")</f>
        <v/>
      </c>
      <c r="AB424" s="14">
        <f>IF($AA424="","",L424-K424*Y424/100)</f>
        <v/>
      </c>
    </row>
    <row r="425">
      <c r="A425" s="12" t="n"/>
      <c r="B425">
        <f>IF($AA425="","",INDEX('Per Line'!$E$2:$E$4001,$AA425)&amp;"")</f>
        <v/>
      </c>
      <c r="C425">
        <f>IF($AA425="","",INDEX('Per Line'!$A$2:$A$4001,$AA425)&amp;"")</f>
        <v/>
      </c>
      <c r="D425">
        <f>IF($AA425="","",INDEX('Per Line'!$D$2:$D$4001,$AA425)&amp;"")</f>
        <v/>
      </c>
      <c r="E425" s="11">
        <f>IF($AA425="","",INDEX('Per Line'!$G$2:$G$4001,$AA425))</f>
        <v/>
      </c>
      <c r="F425">
        <f>IF($AA425="","",INDEX('Per Line'!$H$2:$H$4001,$AA425)&amp;"")</f>
        <v/>
      </c>
      <c r="G425">
        <f>IF($AA425="","",INDEX('Per Line'!$I$2:$I$4001,$AA425)&amp;"")</f>
        <v/>
      </c>
      <c r="H425">
        <f>IF($AA425="","",INDEX('Per Line'!$J$2:$J$4001,$AA425)&amp;"")</f>
        <v/>
      </c>
      <c r="I425">
        <f>IF($AA425="","",INDEX('Per Line'!$K$2:$K$4001,$AA425)&amp;"")</f>
        <v/>
      </c>
      <c r="J425">
        <f>IF($AA425="","",INDEX('Per Line'!$L$2:$L$4001,$AA425)&amp;"")</f>
        <v/>
      </c>
      <c r="K425">
        <f>IF($AA425="","",INDEX('Per Line'!$P$2:$P$4001,$AA425))</f>
        <v/>
      </c>
      <c r="L425" s="7">
        <f>IF($AA425="","",IF(AND(ISNUMBER(N425),N425&gt;0,Y425&gt;N425),K425*N425/100+(Y425-N425),K425*Y425/100))</f>
        <v/>
      </c>
      <c r="M425">
        <f>IF($AA425="","",INDEX('Per Line'!$Z$2:$Z$4001,$AA425)&amp;"")</f>
        <v/>
      </c>
      <c r="N425">
        <f>IF($AA425="","",INDEX('Per Line'!$AG$2:$AG$4001,$AA425))</f>
        <v/>
      </c>
      <c r="O425">
        <f>IF($AA425="","",IF(AND(ISNUMBER(N425),N425&gt;0),Y425&gt;N425,FALSE))</f>
        <v/>
      </c>
      <c r="P425" s="7">
        <f>IF($AA425="","",SUMIFS('Per Line'!$Y$2:$Y$4001,'Per Line'!$E$2:$E$4001,$B425,'Per Line'!$AQ$2:$AQ$4001,1))</f>
        <v/>
      </c>
      <c r="Q425">
        <f>IF($AA425="","",Settings!$C$7)</f>
        <v/>
      </c>
      <c r="R425" s="7">
        <f>IF($AA425="","",SUMIFS('Per Line'!$Y$2:$Y$4001,'Per Line'!$E$2:$E$4001,$B425,'Per Line'!$AP$2:$AP$4001,0,'Per Line'!$AQ$2:$AQ$4001,0))</f>
        <v/>
      </c>
      <c r="S425" s="7">
        <f>IF($AA425="","",R425*Q425)</f>
        <v/>
      </c>
      <c r="T425">
        <f>IF($AA425="","",Settings!$C$6)</f>
        <v/>
      </c>
      <c r="U425" s="7">
        <f>IF($AA425="","",SUMIFS('Per Line'!$Y$2:$Y$4001,'Per Line'!$E$2:$E$4001,$B425,'Per Line'!$AP$2:$AP$4001,1,'Per Line'!$AQ$2:$AQ$4001,0))</f>
        <v/>
      </c>
      <c r="V425" s="7">
        <f>IF($AA425="","",U425*T425)</f>
        <v/>
      </c>
      <c r="W425" s="7">
        <f>IF($AA425="","",V425+S425)</f>
        <v/>
      </c>
      <c r="X425" s="7">
        <f>IF($AA425="","",Y425-W425)</f>
        <v/>
      </c>
      <c r="Y425" s="7">
        <f>IF($AA425="","",R425+U425+P425)</f>
        <v/>
      </c>
      <c r="Z425" s="7">
        <f>IF($AA425="","",Y425-W425-L425)</f>
        <v/>
      </c>
      <c r="AA425" s="13">
        <f>IF(ROWS($AA$2:$AA425)&lt;=MAX('Per Line'!$AO$2:$AO$4001),MATCH(ROWS($AA$2:$AA425),'Per Line'!$AO$2:$AO$4001,0),"")</f>
        <v/>
      </c>
      <c r="AB425" s="14">
        <f>IF($AA425="","",L425-K425*Y425/100)</f>
        <v/>
      </c>
    </row>
    <row r="426">
      <c r="A426" s="12" t="n"/>
      <c r="B426">
        <f>IF($AA426="","",INDEX('Per Line'!$E$2:$E$4001,$AA426)&amp;"")</f>
        <v/>
      </c>
      <c r="C426">
        <f>IF($AA426="","",INDEX('Per Line'!$A$2:$A$4001,$AA426)&amp;"")</f>
        <v/>
      </c>
      <c r="D426">
        <f>IF($AA426="","",INDEX('Per Line'!$D$2:$D$4001,$AA426)&amp;"")</f>
        <v/>
      </c>
      <c r="E426" s="11">
        <f>IF($AA426="","",INDEX('Per Line'!$G$2:$G$4001,$AA426))</f>
        <v/>
      </c>
      <c r="F426">
        <f>IF($AA426="","",INDEX('Per Line'!$H$2:$H$4001,$AA426)&amp;"")</f>
        <v/>
      </c>
      <c r="G426">
        <f>IF($AA426="","",INDEX('Per Line'!$I$2:$I$4001,$AA426)&amp;"")</f>
        <v/>
      </c>
      <c r="H426">
        <f>IF($AA426="","",INDEX('Per Line'!$J$2:$J$4001,$AA426)&amp;"")</f>
        <v/>
      </c>
      <c r="I426">
        <f>IF($AA426="","",INDEX('Per Line'!$K$2:$K$4001,$AA426)&amp;"")</f>
        <v/>
      </c>
      <c r="J426">
        <f>IF($AA426="","",INDEX('Per Line'!$L$2:$L$4001,$AA426)&amp;"")</f>
        <v/>
      </c>
      <c r="K426">
        <f>IF($AA426="","",INDEX('Per Line'!$P$2:$P$4001,$AA426))</f>
        <v/>
      </c>
      <c r="L426" s="7">
        <f>IF($AA426="","",IF(AND(ISNUMBER(N426),N426&gt;0,Y426&gt;N426),K426*N426/100+(Y426-N426),K426*Y426/100))</f>
        <v/>
      </c>
      <c r="M426">
        <f>IF($AA426="","",INDEX('Per Line'!$Z$2:$Z$4001,$AA426)&amp;"")</f>
        <v/>
      </c>
      <c r="N426">
        <f>IF($AA426="","",INDEX('Per Line'!$AG$2:$AG$4001,$AA426))</f>
        <v/>
      </c>
      <c r="O426">
        <f>IF($AA426="","",IF(AND(ISNUMBER(N426),N426&gt;0),Y426&gt;N426,FALSE))</f>
        <v/>
      </c>
      <c r="P426" s="7">
        <f>IF($AA426="","",SUMIFS('Per Line'!$Y$2:$Y$4001,'Per Line'!$E$2:$E$4001,$B426,'Per Line'!$AQ$2:$AQ$4001,1))</f>
        <v/>
      </c>
      <c r="Q426">
        <f>IF($AA426="","",Settings!$C$7)</f>
        <v/>
      </c>
      <c r="R426" s="7">
        <f>IF($AA426="","",SUMIFS('Per Line'!$Y$2:$Y$4001,'Per Line'!$E$2:$E$4001,$B426,'Per Line'!$AP$2:$AP$4001,0,'Per Line'!$AQ$2:$AQ$4001,0))</f>
        <v/>
      </c>
      <c r="S426" s="7">
        <f>IF($AA426="","",R426*Q426)</f>
        <v/>
      </c>
      <c r="T426">
        <f>IF($AA426="","",Settings!$C$6)</f>
        <v/>
      </c>
      <c r="U426" s="7">
        <f>IF($AA426="","",SUMIFS('Per Line'!$Y$2:$Y$4001,'Per Line'!$E$2:$E$4001,$B426,'Per Line'!$AP$2:$AP$4001,1,'Per Line'!$AQ$2:$AQ$4001,0))</f>
        <v/>
      </c>
      <c r="V426" s="7">
        <f>IF($AA426="","",U426*T426)</f>
        <v/>
      </c>
      <c r="W426" s="7">
        <f>IF($AA426="","",V426+S426)</f>
        <v/>
      </c>
      <c r="X426" s="7">
        <f>IF($AA426="","",Y426-W426)</f>
        <v/>
      </c>
      <c r="Y426" s="7">
        <f>IF($AA426="","",R426+U426+P426)</f>
        <v/>
      </c>
      <c r="Z426" s="7">
        <f>IF($AA426="","",Y426-W426-L426)</f>
        <v/>
      </c>
      <c r="AA426" s="13">
        <f>IF(ROWS($AA$2:$AA426)&lt;=MAX('Per Line'!$AO$2:$AO$4001),MATCH(ROWS($AA$2:$AA426),'Per Line'!$AO$2:$AO$4001,0),"")</f>
        <v/>
      </c>
      <c r="AB426" s="14">
        <f>IF($AA426="","",L426-K426*Y426/100)</f>
        <v/>
      </c>
    </row>
    <row r="427">
      <c r="A427" s="12" t="n"/>
      <c r="B427">
        <f>IF($AA427="","",INDEX('Per Line'!$E$2:$E$4001,$AA427)&amp;"")</f>
        <v/>
      </c>
      <c r="C427">
        <f>IF($AA427="","",INDEX('Per Line'!$A$2:$A$4001,$AA427)&amp;"")</f>
        <v/>
      </c>
      <c r="D427">
        <f>IF($AA427="","",INDEX('Per Line'!$D$2:$D$4001,$AA427)&amp;"")</f>
        <v/>
      </c>
      <c r="E427" s="11">
        <f>IF($AA427="","",INDEX('Per Line'!$G$2:$G$4001,$AA427))</f>
        <v/>
      </c>
      <c r="F427">
        <f>IF($AA427="","",INDEX('Per Line'!$H$2:$H$4001,$AA427)&amp;"")</f>
        <v/>
      </c>
      <c r="G427">
        <f>IF($AA427="","",INDEX('Per Line'!$I$2:$I$4001,$AA427)&amp;"")</f>
        <v/>
      </c>
      <c r="H427">
        <f>IF($AA427="","",INDEX('Per Line'!$J$2:$J$4001,$AA427)&amp;"")</f>
        <v/>
      </c>
      <c r="I427">
        <f>IF($AA427="","",INDEX('Per Line'!$K$2:$K$4001,$AA427)&amp;"")</f>
        <v/>
      </c>
      <c r="J427">
        <f>IF($AA427="","",INDEX('Per Line'!$L$2:$L$4001,$AA427)&amp;"")</f>
        <v/>
      </c>
      <c r="K427">
        <f>IF($AA427="","",INDEX('Per Line'!$P$2:$P$4001,$AA427))</f>
        <v/>
      </c>
      <c r="L427" s="7">
        <f>IF($AA427="","",IF(AND(ISNUMBER(N427),N427&gt;0,Y427&gt;N427),K427*N427/100+(Y427-N427),K427*Y427/100))</f>
        <v/>
      </c>
      <c r="M427">
        <f>IF($AA427="","",INDEX('Per Line'!$Z$2:$Z$4001,$AA427)&amp;"")</f>
        <v/>
      </c>
      <c r="N427">
        <f>IF($AA427="","",INDEX('Per Line'!$AG$2:$AG$4001,$AA427))</f>
        <v/>
      </c>
      <c r="O427">
        <f>IF($AA427="","",IF(AND(ISNUMBER(N427),N427&gt;0),Y427&gt;N427,FALSE))</f>
        <v/>
      </c>
      <c r="P427" s="7">
        <f>IF($AA427="","",SUMIFS('Per Line'!$Y$2:$Y$4001,'Per Line'!$E$2:$E$4001,$B427,'Per Line'!$AQ$2:$AQ$4001,1))</f>
        <v/>
      </c>
      <c r="Q427">
        <f>IF($AA427="","",Settings!$C$7)</f>
        <v/>
      </c>
      <c r="R427" s="7">
        <f>IF($AA427="","",SUMIFS('Per Line'!$Y$2:$Y$4001,'Per Line'!$E$2:$E$4001,$B427,'Per Line'!$AP$2:$AP$4001,0,'Per Line'!$AQ$2:$AQ$4001,0))</f>
        <v/>
      </c>
      <c r="S427" s="7">
        <f>IF($AA427="","",R427*Q427)</f>
        <v/>
      </c>
      <c r="T427">
        <f>IF($AA427="","",Settings!$C$6)</f>
        <v/>
      </c>
      <c r="U427" s="7">
        <f>IF($AA427="","",SUMIFS('Per Line'!$Y$2:$Y$4001,'Per Line'!$E$2:$E$4001,$B427,'Per Line'!$AP$2:$AP$4001,1,'Per Line'!$AQ$2:$AQ$4001,0))</f>
        <v/>
      </c>
      <c r="V427" s="7">
        <f>IF($AA427="","",U427*T427)</f>
        <v/>
      </c>
      <c r="W427" s="7">
        <f>IF($AA427="","",V427+S427)</f>
        <v/>
      </c>
      <c r="X427" s="7">
        <f>IF($AA427="","",Y427-W427)</f>
        <v/>
      </c>
      <c r="Y427" s="7">
        <f>IF($AA427="","",R427+U427+P427)</f>
        <v/>
      </c>
      <c r="Z427" s="7">
        <f>IF($AA427="","",Y427-W427-L427)</f>
        <v/>
      </c>
      <c r="AA427" s="13">
        <f>IF(ROWS($AA$2:$AA427)&lt;=MAX('Per Line'!$AO$2:$AO$4001),MATCH(ROWS($AA$2:$AA427),'Per Line'!$AO$2:$AO$4001,0),"")</f>
        <v/>
      </c>
      <c r="AB427" s="14">
        <f>IF($AA427="","",L427-K427*Y427/100)</f>
        <v/>
      </c>
    </row>
    <row r="428">
      <c r="A428" s="12" t="n"/>
      <c r="B428">
        <f>IF($AA428="","",INDEX('Per Line'!$E$2:$E$4001,$AA428)&amp;"")</f>
        <v/>
      </c>
      <c r="C428">
        <f>IF($AA428="","",INDEX('Per Line'!$A$2:$A$4001,$AA428)&amp;"")</f>
        <v/>
      </c>
      <c r="D428">
        <f>IF($AA428="","",INDEX('Per Line'!$D$2:$D$4001,$AA428)&amp;"")</f>
        <v/>
      </c>
      <c r="E428" s="11">
        <f>IF($AA428="","",INDEX('Per Line'!$G$2:$G$4001,$AA428))</f>
        <v/>
      </c>
      <c r="F428">
        <f>IF($AA428="","",INDEX('Per Line'!$H$2:$H$4001,$AA428)&amp;"")</f>
        <v/>
      </c>
      <c r="G428">
        <f>IF($AA428="","",INDEX('Per Line'!$I$2:$I$4001,$AA428)&amp;"")</f>
        <v/>
      </c>
      <c r="H428">
        <f>IF($AA428="","",INDEX('Per Line'!$J$2:$J$4001,$AA428)&amp;"")</f>
        <v/>
      </c>
      <c r="I428">
        <f>IF($AA428="","",INDEX('Per Line'!$K$2:$K$4001,$AA428)&amp;"")</f>
        <v/>
      </c>
      <c r="J428">
        <f>IF($AA428="","",INDEX('Per Line'!$L$2:$L$4001,$AA428)&amp;"")</f>
        <v/>
      </c>
      <c r="K428">
        <f>IF($AA428="","",INDEX('Per Line'!$P$2:$P$4001,$AA428))</f>
        <v/>
      </c>
      <c r="L428" s="7">
        <f>IF($AA428="","",IF(AND(ISNUMBER(N428),N428&gt;0,Y428&gt;N428),K428*N428/100+(Y428-N428),K428*Y428/100))</f>
        <v/>
      </c>
      <c r="M428">
        <f>IF($AA428="","",INDEX('Per Line'!$Z$2:$Z$4001,$AA428)&amp;"")</f>
        <v/>
      </c>
      <c r="N428">
        <f>IF($AA428="","",INDEX('Per Line'!$AG$2:$AG$4001,$AA428))</f>
        <v/>
      </c>
      <c r="O428">
        <f>IF($AA428="","",IF(AND(ISNUMBER(N428),N428&gt;0),Y428&gt;N428,FALSE))</f>
        <v/>
      </c>
      <c r="P428" s="7">
        <f>IF($AA428="","",SUMIFS('Per Line'!$Y$2:$Y$4001,'Per Line'!$E$2:$E$4001,$B428,'Per Line'!$AQ$2:$AQ$4001,1))</f>
        <v/>
      </c>
      <c r="Q428">
        <f>IF($AA428="","",Settings!$C$7)</f>
        <v/>
      </c>
      <c r="R428" s="7">
        <f>IF($AA428="","",SUMIFS('Per Line'!$Y$2:$Y$4001,'Per Line'!$E$2:$E$4001,$B428,'Per Line'!$AP$2:$AP$4001,0,'Per Line'!$AQ$2:$AQ$4001,0))</f>
        <v/>
      </c>
      <c r="S428" s="7">
        <f>IF($AA428="","",R428*Q428)</f>
        <v/>
      </c>
      <c r="T428">
        <f>IF($AA428="","",Settings!$C$6)</f>
        <v/>
      </c>
      <c r="U428" s="7">
        <f>IF($AA428="","",SUMIFS('Per Line'!$Y$2:$Y$4001,'Per Line'!$E$2:$E$4001,$B428,'Per Line'!$AP$2:$AP$4001,1,'Per Line'!$AQ$2:$AQ$4001,0))</f>
        <v/>
      </c>
      <c r="V428" s="7">
        <f>IF($AA428="","",U428*T428)</f>
        <v/>
      </c>
      <c r="W428" s="7">
        <f>IF($AA428="","",V428+S428)</f>
        <v/>
      </c>
      <c r="X428" s="7">
        <f>IF($AA428="","",Y428-W428)</f>
        <v/>
      </c>
      <c r="Y428" s="7">
        <f>IF($AA428="","",R428+U428+P428)</f>
        <v/>
      </c>
      <c r="Z428" s="7">
        <f>IF($AA428="","",Y428-W428-L428)</f>
        <v/>
      </c>
      <c r="AA428" s="13">
        <f>IF(ROWS($AA$2:$AA428)&lt;=MAX('Per Line'!$AO$2:$AO$4001),MATCH(ROWS($AA$2:$AA428),'Per Line'!$AO$2:$AO$4001,0),"")</f>
        <v/>
      </c>
      <c r="AB428" s="14">
        <f>IF($AA428="","",L428-K428*Y428/100)</f>
        <v/>
      </c>
    </row>
    <row r="429">
      <c r="A429" s="12" t="n"/>
      <c r="B429">
        <f>IF($AA429="","",INDEX('Per Line'!$E$2:$E$4001,$AA429)&amp;"")</f>
        <v/>
      </c>
      <c r="C429">
        <f>IF($AA429="","",INDEX('Per Line'!$A$2:$A$4001,$AA429)&amp;"")</f>
        <v/>
      </c>
      <c r="D429">
        <f>IF($AA429="","",INDEX('Per Line'!$D$2:$D$4001,$AA429)&amp;"")</f>
        <v/>
      </c>
      <c r="E429" s="11">
        <f>IF($AA429="","",INDEX('Per Line'!$G$2:$G$4001,$AA429))</f>
        <v/>
      </c>
      <c r="F429">
        <f>IF($AA429="","",INDEX('Per Line'!$H$2:$H$4001,$AA429)&amp;"")</f>
        <v/>
      </c>
      <c r="G429">
        <f>IF($AA429="","",INDEX('Per Line'!$I$2:$I$4001,$AA429)&amp;"")</f>
        <v/>
      </c>
      <c r="H429">
        <f>IF($AA429="","",INDEX('Per Line'!$J$2:$J$4001,$AA429)&amp;"")</f>
        <v/>
      </c>
      <c r="I429">
        <f>IF($AA429="","",INDEX('Per Line'!$K$2:$K$4001,$AA429)&amp;"")</f>
        <v/>
      </c>
      <c r="J429">
        <f>IF($AA429="","",INDEX('Per Line'!$L$2:$L$4001,$AA429)&amp;"")</f>
        <v/>
      </c>
      <c r="K429">
        <f>IF($AA429="","",INDEX('Per Line'!$P$2:$P$4001,$AA429))</f>
        <v/>
      </c>
      <c r="L429" s="7">
        <f>IF($AA429="","",IF(AND(ISNUMBER(N429),N429&gt;0,Y429&gt;N429),K429*N429/100+(Y429-N429),K429*Y429/100))</f>
        <v/>
      </c>
      <c r="M429">
        <f>IF($AA429="","",INDEX('Per Line'!$Z$2:$Z$4001,$AA429)&amp;"")</f>
        <v/>
      </c>
      <c r="N429">
        <f>IF($AA429="","",INDEX('Per Line'!$AG$2:$AG$4001,$AA429))</f>
        <v/>
      </c>
      <c r="O429">
        <f>IF($AA429="","",IF(AND(ISNUMBER(N429),N429&gt;0),Y429&gt;N429,FALSE))</f>
        <v/>
      </c>
      <c r="P429" s="7">
        <f>IF($AA429="","",SUMIFS('Per Line'!$Y$2:$Y$4001,'Per Line'!$E$2:$E$4001,$B429,'Per Line'!$AQ$2:$AQ$4001,1))</f>
        <v/>
      </c>
      <c r="Q429">
        <f>IF($AA429="","",Settings!$C$7)</f>
        <v/>
      </c>
      <c r="R429" s="7">
        <f>IF($AA429="","",SUMIFS('Per Line'!$Y$2:$Y$4001,'Per Line'!$E$2:$E$4001,$B429,'Per Line'!$AP$2:$AP$4001,0,'Per Line'!$AQ$2:$AQ$4001,0))</f>
        <v/>
      </c>
      <c r="S429" s="7">
        <f>IF($AA429="","",R429*Q429)</f>
        <v/>
      </c>
      <c r="T429">
        <f>IF($AA429="","",Settings!$C$6)</f>
        <v/>
      </c>
      <c r="U429" s="7">
        <f>IF($AA429="","",SUMIFS('Per Line'!$Y$2:$Y$4001,'Per Line'!$E$2:$E$4001,$B429,'Per Line'!$AP$2:$AP$4001,1,'Per Line'!$AQ$2:$AQ$4001,0))</f>
        <v/>
      </c>
      <c r="V429" s="7">
        <f>IF($AA429="","",U429*T429)</f>
        <v/>
      </c>
      <c r="W429" s="7">
        <f>IF($AA429="","",V429+S429)</f>
        <v/>
      </c>
      <c r="X429" s="7">
        <f>IF($AA429="","",Y429-W429)</f>
        <v/>
      </c>
      <c r="Y429" s="7">
        <f>IF($AA429="","",R429+U429+P429)</f>
        <v/>
      </c>
      <c r="Z429" s="7">
        <f>IF($AA429="","",Y429-W429-L429)</f>
        <v/>
      </c>
      <c r="AA429" s="13">
        <f>IF(ROWS($AA$2:$AA429)&lt;=MAX('Per Line'!$AO$2:$AO$4001),MATCH(ROWS($AA$2:$AA429),'Per Line'!$AO$2:$AO$4001,0),"")</f>
        <v/>
      </c>
      <c r="AB429" s="14">
        <f>IF($AA429="","",L429-K429*Y429/100)</f>
        <v/>
      </c>
    </row>
    <row r="430">
      <c r="A430" s="12" t="n"/>
      <c r="B430">
        <f>IF($AA430="","",INDEX('Per Line'!$E$2:$E$4001,$AA430)&amp;"")</f>
        <v/>
      </c>
      <c r="C430">
        <f>IF($AA430="","",INDEX('Per Line'!$A$2:$A$4001,$AA430)&amp;"")</f>
        <v/>
      </c>
      <c r="D430">
        <f>IF($AA430="","",INDEX('Per Line'!$D$2:$D$4001,$AA430)&amp;"")</f>
        <v/>
      </c>
      <c r="E430" s="11">
        <f>IF($AA430="","",INDEX('Per Line'!$G$2:$G$4001,$AA430))</f>
        <v/>
      </c>
      <c r="F430">
        <f>IF($AA430="","",INDEX('Per Line'!$H$2:$H$4001,$AA430)&amp;"")</f>
        <v/>
      </c>
      <c r="G430">
        <f>IF($AA430="","",INDEX('Per Line'!$I$2:$I$4001,$AA430)&amp;"")</f>
        <v/>
      </c>
      <c r="H430">
        <f>IF($AA430="","",INDEX('Per Line'!$J$2:$J$4001,$AA430)&amp;"")</f>
        <v/>
      </c>
      <c r="I430">
        <f>IF($AA430="","",INDEX('Per Line'!$K$2:$K$4001,$AA430)&amp;"")</f>
        <v/>
      </c>
      <c r="J430">
        <f>IF($AA430="","",INDEX('Per Line'!$L$2:$L$4001,$AA430)&amp;"")</f>
        <v/>
      </c>
      <c r="K430">
        <f>IF($AA430="","",INDEX('Per Line'!$P$2:$P$4001,$AA430))</f>
        <v/>
      </c>
      <c r="L430" s="7">
        <f>IF($AA430="","",IF(AND(ISNUMBER(N430),N430&gt;0,Y430&gt;N430),K430*N430/100+(Y430-N430),K430*Y430/100))</f>
        <v/>
      </c>
      <c r="M430">
        <f>IF($AA430="","",INDEX('Per Line'!$Z$2:$Z$4001,$AA430)&amp;"")</f>
        <v/>
      </c>
      <c r="N430">
        <f>IF($AA430="","",INDEX('Per Line'!$AG$2:$AG$4001,$AA430))</f>
        <v/>
      </c>
      <c r="O430">
        <f>IF($AA430="","",IF(AND(ISNUMBER(N430),N430&gt;0),Y430&gt;N430,FALSE))</f>
        <v/>
      </c>
      <c r="P430" s="7">
        <f>IF($AA430="","",SUMIFS('Per Line'!$Y$2:$Y$4001,'Per Line'!$E$2:$E$4001,$B430,'Per Line'!$AQ$2:$AQ$4001,1))</f>
        <v/>
      </c>
      <c r="Q430">
        <f>IF($AA430="","",Settings!$C$7)</f>
        <v/>
      </c>
      <c r="R430" s="7">
        <f>IF($AA430="","",SUMIFS('Per Line'!$Y$2:$Y$4001,'Per Line'!$E$2:$E$4001,$B430,'Per Line'!$AP$2:$AP$4001,0,'Per Line'!$AQ$2:$AQ$4001,0))</f>
        <v/>
      </c>
      <c r="S430" s="7">
        <f>IF($AA430="","",R430*Q430)</f>
        <v/>
      </c>
      <c r="T430">
        <f>IF($AA430="","",Settings!$C$6)</f>
        <v/>
      </c>
      <c r="U430" s="7">
        <f>IF($AA430="","",SUMIFS('Per Line'!$Y$2:$Y$4001,'Per Line'!$E$2:$E$4001,$B430,'Per Line'!$AP$2:$AP$4001,1,'Per Line'!$AQ$2:$AQ$4001,0))</f>
        <v/>
      </c>
      <c r="V430" s="7">
        <f>IF($AA430="","",U430*T430)</f>
        <v/>
      </c>
      <c r="W430" s="7">
        <f>IF($AA430="","",V430+S430)</f>
        <v/>
      </c>
      <c r="X430" s="7">
        <f>IF($AA430="","",Y430-W430)</f>
        <v/>
      </c>
      <c r="Y430" s="7">
        <f>IF($AA430="","",R430+U430+P430)</f>
        <v/>
      </c>
      <c r="Z430" s="7">
        <f>IF($AA430="","",Y430-W430-L430)</f>
        <v/>
      </c>
      <c r="AA430" s="13">
        <f>IF(ROWS($AA$2:$AA430)&lt;=MAX('Per Line'!$AO$2:$AO$4001),MATCH(ROWS($AA$2:$AA430),'Per Line'!$AO$2:$AO$4001,0),"")</f>
        <v/>
      </c>
      <c r="AB430" s="14">
        <f>IF($AA430="","",L430-K430*Y430/100)</f>
        <v/>
      </c>
    </row>
    <row r="431">
      <c r="A431" s="12" t="n"/>
      <c r="B431">
        <f>IF($AA431="","",INDEX('Per Line'!$E$2:$E$4001,$AA431)&amp;"")</f>
        <v/>
      </c>
      <c r="C431">
        <f>IF($AA431="","",INDEX('Per Line'!$A$2:$A$4001,$AA431)&amp;"")</f>
        <v/>
      </c>
      <c r="D431">
        <f>IF($AA431="","",INDEX('Per Line'!$D$2:$D$4001,$AA431)&amp;"")</f>
        <v/>
      </c>
      <c r="E431" s="11">
        <f>IF($AA431="","",INDEX('Per Line'!$G$2:$G$4001,$AA431))</f>
        <v/>
      </c>
      <c r="F431">
        <f>IF($AA431="","",INDEX('Per Line'!$H$2:$H$4001,$AA431)&amp;"")</f>
        <v/>
      </c>
      <c r="G431">
        <f>IF($AA431="","",INDEX('Per Line'!$I$2:$I$4001,$AA431)&amp;"")</f>
        <v/>
      </c>
      <c r="H431">
        <f>IF($AA431="","",INDEX('Per Line'!$J$2:$J$4001,$AA431)&amp;"")</f>
        <v/>
      </c>
      <c r="I431">
        <f>IF($AA431="","",INDEX('Per Line'!$K$2:$K$4001,$AA431)&amp;"")</f>
        <v/>
      </c>
      <c r="J431">
        <f>IF($AA431="","",INDEX('Per Line'!$L$2:$L$4001,$AA431)&amp;"")</f>
        <v/>
      </c>
      <c r="K431">
        <f>IF($AA431="","",INDEX('Per Line'!$P$2:$P$4001,$AA431))</f>
        <v/>
      </c>
      <c r="L431" s="7">
        <f>IF($AA431="","",IF(AND(ISNUMBER(N431),N431&gt;0,Y431&gt;N431),K431*N431/100+(Y431-N431),K431*Y431/100))</f>
        <v/>
      </c>
      <c r="M431">
        <f>IF($AA431="","",INDEX('Per Line'!$Z$2:$Z$4001,$AA431)&amp;"")</f>
        <v/>
      </c>
      <c r="N431">
        <f>IF($AA431="","",INDEX('Per Line'!$AG$2:$AG$4001,$AA431))</f>
        <v/>
      </c>
      <c r="O431">
        <f>IF($AA431="","",IF(AND(ISNUMBER(N431),N431&gt;0),Y431&gt;N431,FALSE))</f>
        <v/>
      </c>
      <c r="P431" s="7">
        <f>IF($AA431="","",SUMIFS('Per Line'!$Y$2:$Y$4001,'Per Line'!$E$2:$E$4001,$B431,'Per Line'!$AQ$2:$AQ$4001,1))</f>
        <v/>
      </c>
      <c r="Q431">
        <f>IF($AA431="","",Settings!$C$7)</f>
        <v/>
      </c>
      <c r="R431" s="7">
        <f>IF($AA431="","",SUMIFS('Per Line'!$Y$2:$Y$4001,'Per Line'!$E$2:$E$4001,$B431,'Per Line'!$AP$2:$AP$4001,0,'Per Line'!$AQ$2:$AQ$4001,0))</f>
        <v/>
      </c>
      <c r="S431" s="7">
        <f>IF($AA431="","",R431*Q431)</f>
        <v/>
      </c>
      <c r="T431">
        <f>IF($AA431="","",Settings!$C$6)</f>
        <v/>
      </c>
      <c r="U431" s="7">
        <f>IF($AA431="","",SUMIFS('Per Line'!$Y$2:$Y$4001,'Per Line'!$E$2:$E$4001,$B431,'Per Line'!$AP$2:$AP$4001,1,'Per Line'!$AQ$2:$AQ$4001,0))</f>
        <v/>
      </c>
      <c r="V431" s="7">
        <f>IF($AA431="","",U431*T431)</f>
        <v/>
      </c>
      <c r="W431" s="7">
        <f>IF($AA431="","",V431+S431)</f>
        <v/>
      </c>
      <c r="X431" s="7">
        <f>IF($AA431="","",Y431-W431)</f>
        <v/>
      </c>
      <c r="Y431" s="7">
        <f>IF($AA431="","",R431+U431+P431)</f>
        <v/>
      </c>
      <c r="Z431" s="7">
        <f>IF($AA431="","",Y431-W431-L431)</f>
        <v/>
      </c>
      <c r="AA431" s="13">
        <f>IF(ROWS($AA$2:$AA431)&lt;=MAX('Per Line'!$AO$2:$AO$4001),MATCH(ROWS($AA$2:$AA431),'Per Line'!$AO$2:$AO$4001,0),"")</f>
        <v/>
      </c>
      <c r="AB431" s="14">
        <f>IF($AA431="","",L431-K431*Y431/100)</f>
        <v/>
      </c>
    </row>
    <row r="432">
      <c r="A432" s="12" t="n"/>
      <c r="B432">
        <f>IF($AA432="","",INDEX('Per Line'!$E$2:$E$4001,$AA432)&amp;"")</f>
        <v/>
      </c>
      <c r="C432">
        <f>IF($AA432="","",INDEX('Per Line'!$A$2:$A$4001,$AA432)&amp;"")</f>
        <v/>
      </c>
      <c r="D432">
        <f>IF($AA432="","",INDEX('Per Line'!$D$2:$D$4001,$AA432)&amp;"")</f>
        <v/>
      </c>
      <c r="E432" s="11">
        <f>IF($AA432="","",INDEX('Per Line'!$G$2:$G$4001,$AA432))</f>
        <v/>
      </c>
      <c r="F432">
        <f>IF($AA432="","",INDEX('Per Line'!$H$2:$H$4001,$AA432)&amp;"")</f>
        <v/>
      </c>
      <c r="G432">
        <f>IF($AA432="","",INDEX('Per Line'!$I$2:$I$4001,$AA432)&amp;"")</f>
        <v/>
      </c>
      <c r="H432">
        <f>IF($AA432="","",INDEX('Per Line'!$J$2:$J$4001,$AA432)&amp;"")</f>
        <v/>
      </c>
      <c r="I432">
        <f>IF($AA432="","",INDEX('Per Line'!$K$2:$K$4001,$AA432)&amp;"")</f>
        <v/>
      </c>
      <c r="J432">
        <f>IF($AA432="","",INDEX('Per Line'!$L$2:$L$4001,$AA432)&amp;"")</f>
        <v/>
      </c>
      <c r="K432">
        <f>IF($AA432="","",INDEX('Per Line'!$P$2:$P$4001,$AA432))</f>
        <v/>
      </c>
      <c r="L432" s="7">
        <f>IF($AA432="","",IF(AND(ISNUMBER(N432),N432&gt;0,Y432&gt;N432),K432*N432/100+(Y432-N432),K432*Y432/100))</f>
        <v/>
      </c>
      <c r="M432">
        <f>IF($AA432="","",INDEX('Per Line'!$Z$2:$Z$4001,$AA432)&amp;"")</f>
        <v/>
      </c>
      <c r="N432">
        <f>IF($AA432="","",INDEX('Per Line'!$AG$2:$AG$4001,$AA432))</f>
        <v/>
      </c>
      <c r="O432">
        <f>IF($AA432="","",IF(AND(ISNUMBER(N432),N432&gt;0),Y432&gt;N432,FALSE))</f>
        <v/>
      </c>
      <c r="P432" s="7">
        <f>IF($AA432="","",SUMIFS('Per Line'!$Y$2:$Y$4001,'Per Line'!$E$2:$E$4001,$B432,'Per Line'!$AQ$2:$AQ$4001,1))</f>
        <v/>
      </c>
      <c r="Q432">
        <f>IF($AA432="","",Settings!$C$7)</f>
        <v/>
      </c>
      <c r="R432" s="7">
        <f>IF($AA432="","",SUMIFS('Per Line'!$Y$2:$Y$4001,'Per Line'!$E$2:$E$4001,$B432,'Per Line'!$AP$2:$AP$4001,0,'Per Line'!$AQ$2:$AQ$4001,0))</f>
        <v/>
      </c>
      <c r="S432" s="7">
        <f>IF($AA432="","",R432*Q432)</f>
        <v/>
      </c>
      <c r="T432">
        <f>IF($AA432="","",Settings!$C$6)</f>
        <v/>
      </c>
      <c r="U432" s="7">
        <f>IF($AA432="","",SUMIFS('Per Line'!$Y$2:$Y$4001,'Per Line'!$E$2:$E$4001,$B432,'Per Line'!$AP$2:$AP$4001,1,'Per Line'!$AQ$2:$AQ$4001,0))</f>
        <v/>
      </c>
      <c r="V432" s="7">
        <f>IF($AA432="","",U432*T432)</f>
        <v/>
      </c>
      <c r="W432" s="7">
        <f>IF($AA432="","",V432+S432)</f>
        <v/>
      </c>
      <c r="X432" s="7">
        <f>IF($AA432="","",Y432-W432)</f>
        <v/>
      </c>
      <c r="Y432" s="7">
        <f>IF($AA432="","",R432+U432+P432)</f>
        <v/>
      </c>
      <c r="Z432" s="7">
        <f>IF($AA432="","",Y432-W432-L432)</f>
        <v/>
      </c>
      <c r="AA432" s="13">
        <f>IF(ROWS($AA$2:$AA432)&lt;=MAX('Per Line'!$AO$2:$AO$4001),MATCH(ROWS($AA$2:$AA432),'Per Line'!$AO$2:$AO$4001,0),"")</f>
        <v/>
      </c>
      <c r="AB432" s="14">
        <f>IF($AA432="","",L432-K432*Y432/100)</f>
        <v/>
      </c>
    </row>
    <row r="433">
      <c r="A433" s="12" t="n"/>
      <c r="B433">
        <f>IF($AA433="","",INDEX('Per Line'!$E$2:$E$4001,$AA433)&amp;"")</f>
        <v/>
      </c>
      <c r="C433">
        <f>IF($AA433="","",INDEX('Per Line'!$A$2:$A$4001,$AA433)&amp;"")</f>
        <v/>
      </c>
      <c r="D433">
        <f>IF($AA433="","",INDEX('Per Line'!$D$2:$D$4001,$AA433)&amp;"")</f>
        <v/>
      </c>
      <c r="E433" s="11">
        <f>IF($AA433="","",INDEX('Per Line'!$G$2:$G$4001,$AA433))</f>
        <v/>
      </c>
      <c r="F433">
        <f>IF($AA433="","",INDEX('Per Line'!$H$2:$H$4001,$AA433)&amp;"")</f>
        <v/>
      </c>
      <c r="G433">
        <f>IF($AA433="","",INDEX('Per Line'!$I$2:$I$4001,$AA433)&amp;"")</f>
        <v/>
      </c>
      <c r="H433">
        <f>IF($AA433="","",INDEX('Per Line'!$J$2:$J$4001,$AA433)&amp;"")</f>
        <v/>
      </c>
      <c r="I433">
        <f>IF($AA433="","",INDEX('Per Line'!$K$2:$K$4001,$AA433)&amp;"")</f>
        <v/>
      </c>
      <c r="J433">
        <f>IF($AA433="","",INDEX('Per Line'!$L$2:$L$4001,$AA433)&amp;"")</f>
        <v/>
      </c>
      <c r="K433">
        <f>IF($AA433="","",INDEX('Per Line'!$P$2:$P$4001,$AA433))</f>
        <v/>
      </c>
      <c r="L433" s="7">
        <f>IF($AA433="","",IF(AND(ISNUMBER(N433),N433&gt;0,Y433&gt;N433),K433*N433/100+(Y433-N433),K433*Y433/100))</f>
        <v/>
      </c>
      <c r="M433">
        <f>IF($AA433="","",INDEX('Per Line'!$Z$2:$Z$4001,$AA433)&amp;"")</f>
        <v/>
      </c>
      <c r="N433">
        <f>IF($AA433="","",INDEX('Per Line'!$AG$2:$AG$4001,$AA433))</f>
        <v/>
      </c>
      <c r="O433">
        <f>IF($AA433="","",IF(AND(ISNUMBER(N433),N433&gt;0),Y433&gt;N433,FALSE))</f>
        <v/>
      </c>
      <c r="P433" s="7">
        <f>IF($AA433="","",SUMIFS('Per Line'!$Y$2:$Y$4001,'Per Line'!$E$2:$E$4001,$B433,'Per Line'!$AQ$2:$AQ$4001,1))</f>
        <v/>
      </c>
      <c r="Q433">
        <f>IF($AA433="","",Settings!$C$7)</f>
        <v/>
      </c>
      <c r="R433" s="7">
        <f>IF($AA433="","",SUMIFS('Per Line'!$Y$2:$Y$4001,'Per Line'!$E$2:$E$4001,$B433,'Per Line'!$AP$2:$AP$4001,0,'Per Line'!$AQ$2:$AQ$4001,0))</f>
        <v/>
      </c>
      <c r="S433" s="7">
        <f>IF($AA433="","",R433*Q433)</f>
        <v/>
      </c>
      <c r="T433">
        <f>IF($AA433="","",Settings!$C$6)</f>
        <v/>
      </c>
      <c r="U433" s="7">
        <f>IF($AA433="","",SUMIFS('Per Line'!$Y$2:$Y$4001,'Per Line'!$E$2:$E$4001,$B433,'Per Line'!$AP$2:$AP$4001,1,'Per Line'!$AQ$2:$AQ$4001,0))</f>
        <v/>
      </c>
      <c r="V433" s="7">
        <f>IF($AA433="","",U433*T433)</f>
        <v/>
      </c>
      <c r="W433" s="7">
        <f>IF($AA433="","",V433+S433)</f>
        <v/>
      </c>
      <c r="X433" s="7">
        <f>IF($AA433="","",Y433-W433)</f>
        <v/>
      </c>
      <c r="Y433" s="7">
        <f>IF($AA433="","",R433+U433+P433)</f>
        <v/>
      </c>
      <c r="Z433" s="7">
        <f>IF($AA433="","",Y433-W433-L433)</f>
        <v/>
      </c>
      <c r="AA433" s="13">
        <f>IF(ROWS($AA$2:$AA433)&lt;=MAX('Per Line'!$AO$2:$AO$4001),MATCH(ROWS($AA$2:$AA433),'Per Line'!$AO$2:$AO$4001,0),"")</f>
        <v/>
      </c>
      <c r="AB433" s="14">
        <f>IF($AA433="","",L433-K433*Y433/100)</f>
        <v/>
      </c>
    </row>
    <row r="434">
      <c r="A434" s="12" t="n"/>
      <c r="B434">
        <f>IF($AA434="","",INDEX('Per Line'!$E$2:$E$4001,$AA434)&amp;"")</f>
        <v/>
      </c>
      <c r="C434">
        <f>IF($AA434="","",INDEX('Per Line'!$A$2:$A$4001,$AA434)&amp;"")</f>
        <v/>
      </c>
      <c r="D434">
        <f>IF($AA434="","",INDEX('Per Line'!$D$2:$D$4001,$AA434)&amp;"")</f>
        <v/>
      </c>
      <c r="E434" s="11">
        <f>IF($AA434="","",INDEX('Per Line'!$G$2:$G$4001,$AA434))</f>
        <v/>
      </c>
      <c r="F434">
        <f>IF($AA434="","",INDEX('Per Line'!$H$2:$H$4001,$AA434)&amp;"")</f>
        <v/>
      </c>
      <c r="G434">
        <f>IF($AA434="","",INDEX('Per Line'!$I$2:$I$4001,$AA434)&amp;"")</f>
        <v/>
      </c>
      <c r="H434">
        <f>IF($AA434="","",INDEX('Per Line'!$J$2:$J$4001,$AA434)&amp;"")</f>
        <v/>
      </c>
      <c r="I434">
        <f>IF($AA434="","",INDEX('Per Line'!$K$2:$K$4001,$AA434)&amp;"")</f>
        <v/>
      </c>
      <c r="J434">
        <f>IF($AA434="","",INDEX('Per Line'!$L$2:$L$4001,$AA434)&amp;"")</f>
        <v/>
      </c>
      <c r="K434">
        <f>IF($AA434="","",INDEX('Per Line'!$P$2:$P$4001,$AA434))</f>
        <v/>
      </c>
      <c r="L434" s="7">
        <f>IF($AA434="","",IF(AND(ISNUMBER(N434),N434&gt;0,Y434&gt;N434),K434*N434/100+(Y434-N434),K434*Y434/100))</f>
        <v/>
      </c>
      <c r="M434">
        <f>IF($AA434="","",INDEX('Per Line'!$Z$2:$Z$4001,$AA434)&amp;"")</f>
        <v/>
      </c>
      <c r="N434">
        <f>IF($AA434="","",INDEX('Per Line'!$AG$2:$AG$4001,$AA434))</f>
        <v/>
      </c>
      <c r="O434">
        <f>IF($AA434="","",IF(AND(ISNUMBER(N434),N434&gt;0),Y434&gt;N434,FALSE))</f>
        <v/>
      </c>
      <c r="P434" s="7">
        <f>IF($AA434="","",SUMIFS('Per Line'!$Y$2:$Y$4001,'Per Line'!$E$2:$E$4001,$B434,'Per Line'!$AQ$2:$AQ$4001,1))</f>
        <v/>
      </c>
      <c r="Q434">
        <f>IF($AA434="","",Settings!$C$7)</f>
        <v/>
      </c>
      <c r="R434" s="7">
        <f>IF($AA434="","",SUMIFS('Per Line'!$Y$2:$Y$4001,'Per Line'!$E$2:$E$4001,$B434,'Per Line'!$AP$2:$AP$4001,0,'Per Line'!$AQ$2:$AQ$4001,0))</f>
        <v/>
      </c>
      <c r="S434" s="7">
        <f>IF($AA434="","",R434*Q434)</f>
        <v/>
      </c>
      <c r="T434">
        <f>IF($AA434="","",Settings!$C$6)</f>
        <v/>
      </c>
      <c r="U434" s="7">
        <f>IF($AA434="","",SUMIFS('Per Line'!$Y$2:$Y$4001,'Per Line'!$E$2:$E$4001,$B434,'Per Line'!$AP$2:$AP$4001,1,'Per Line'!$AQ$2:$AQ$4001,0))</f>
        <v/>
      </c>
      <c r="V434" s="7">
        <f>IF($AA434="","",U434*T434)</f>
        <v/>
      </c>
      <c r="W434" s="7">
        <f>IF($AA434="","",V434+S434)</f>
        <v/>
      </c>
      <c r="X434" s="7">
        <f>IF($AA434="","",Y434-W434)</f>
        <v/>
      </c>
      <c r="Y434" s="7">
        <f>IF($AA434="","",R434+U434+P434)</f>
        <v/>
      </c>
      <c r="Z434" s="7">
        <f>IF($AA434="","",Y434-W434-L434)</f>
        <v/>
      </c>
      <c r="AA434" s="13">
        <f>IF(ROWS($AA$2:$AA434)&lt;=MAX('Per Line'!$AO$2:$AO$4001),MATCH(ROWS($AA$2:$AA434),'Per Line'!$AO$2:$AO$4001,0),"")</f>
        <v/>
      </c>
      <c r="AB434" s="14">
        <f>IF($AA434="","",L434-K434*Y434/100)</f>
        <v/>
      </c>
    </row>
    <row r="435">
      <c r="A435" s="12" t="n"/>
      <c r="B435">
        <f>IF($AA435="","",INDEX('Per Line'!$E$2:$E$4001,$AA435)&amp;"")</f>
        <v/>
      </c>
      <c r="C435">
        <f>IF($AA435="","",INDEX('Per Line'!$A$2:$A$4001,$AA435)&amp;"")</f>
        <v/>
      </c>
      <c r="D435">
        <f>IF($AA435="","",INDEX('Per Line'!$D$2:$D$4001,$AA435)&amp;"")</f>
        <v/>
      </c>
      <c r="E435" s="11">
        <f>IF($AA435="","",INDEX('Per Line'!$G$2:$G$4001,$AA435))</f>
        <v/>
      </c>
      <c r="F435">
        <f>IF($AA435="","",INDEX('Per Line'!$H$2:$H$4001,$AA435)&amp;"")</f>
        <v/>
      </c>
      <c r="G435">
        <f>IF($AA435="","",INDEX('Per Line'!$I$2:$I$4001,$AA435)&amp;"")</f>
        <v/>
      </c>
      <c r="H435">
        <f>IF($AA435="","",INDEX('Per Line'!$J$2:$J$4001,$AA435)&amp;"")</f>
        <v/>
      </c>
      <c r="I435">
        <f>IF($AA435="","",INDEX('Per Line'!$K$2:$K$4001,$AA435)&amp;"")</f>
        <v/>
      </c>
      <c r="J435">
        <f>IF($AA435="","",INDEX('Per Line'!$L$2:$L$4001,$AA435)&amp;"")</f>
        <v/>
      </c>
      <c r="K435">
        <f>IF($AA435="","",INDEX('Per Line'!$P$2:$P$4001,$AA435))</f>
        <v/>
      </c>
      <c r="L435" s="7">
        <f>IF($AA435="","",IF(AND(ISNUMBER(N435),N435&gt;0,Y435&gt;N435),K435*N435/100+(Y435-N435),K435*Y435/100))</f>
        <v/>
      </c>
      <c r="M435">
        <f>IF($AA435="","",INDEX('Per Line'!$Z$2:$Z$4001,$AA435)&amp;"")</f>
        <v/>
      </c>
      <c r="N435">
        <f>IF($AA435="","",INDEX('Per Line'!$AG$2:$AG$4001,$AA435))</f>
        <v/>
      </c>
      <c r="O435">
        <f>IF($AA435="","",IF(AND(ISNUMBER(N435),N435&gt;0),Y435&gt;N435,FALSE))</f>
        <v/>
      </c>
      <c r="P435" s="7">
        <f>IF($AA435="","",SUMIFS('Per Line'!$Y$2:$Y$4001,'Per Line'!$E$2:$E$4001,$B435,'Per Line'!$AQ$2:$AQ$4001,1))</f>
        <v/>
      </c>
      <c r="Q435">
        <f>IF($AA435="","",Settings!$C$7)</f>
        <v/>
      </c>
      <c r="R435" s="7">
        <f>IF($AA435="","",SUMIFS('Per Line'!$Y$2:$Y$4001,'Per Line'!$E$2:$E$4001,$B435,'Per Line'!$AP$2:$AP$4001,0,'Per Line'!$AQ$2:$AQ$4001,0))</f>
        <v/>
      </c>
      <c r="S435" s="7">
        <f>IF($AA435="","",R435*Q435)</f>
        <v/>
      </c>
      <c r="T435">
        <f>IF($AA435="","",Settings!$C$6)</f>
        <v/>
      </c>
      <c r="U435" s="7">
        <f>IF($AA435="","",SUMIFS('Per Line'!$Y$2:$Y$4001,'Per Line'!$E$2:$E$4001,$B435,'Per Line'!$AP$2:$AP$4001,1,'Per Line'!$AQ$2:$AQ$4001,0))</f>
        <v/>
      </c>
      <c r="V435" s="7">
        <f>IF($AA435="","",U435*T435)</f>
        <v/>
      </c>
      <c r="W435" s="7">
        <f>IF($AA435="","",V435+S435)</f>
        <v/>
      </c>
      <c r="X435" s="7">
        <f>IF($AA435="","",Y435-W435)</f>
        <v/>
      </c>
      <c r="Y435" s="7">
        <f>IF($AA435="","",R435+U435+P435)</f>
        <v/>
      </c>
      <c r="Z435" s="7">
        <f>IF($AA435="","",Y435-W435-L435)</f>
        <v/>
      </c>
      <c r="AA435" s="13">
        <f>IF(ROWS($AA$2:$AA435)&lt;=MAX('Per Line'!$AO$2:$AO$4001),MATCH(ROWS($AA$2:$AA435),'Per Line'!$AO$2:$AO$4001,0),"")</f>
        <v/>
      </c>
      <c r="AB435" s="14">
        <f>IF($AA435="","",L435-K435*Y435/100)</f>
        <v/>
      </c>
    </row>
    <row r="436">
      <c r="A436" s="12" t="n"/>
      <c r="B436">
        <f>IF($AA436="","",INDEX('Per Line'!$E$2:$E$4001,$AA436)&amp;"")</f>
        <v/>
      </c>
      <c r="C436">
        <f>IF($AA436="","",INDEX('Per Line'!$A$2:$A$4001,$AA436)&amp;"")</f>
        <v/>
      </c>
      <c r="D436">
        <f>IF($AA436="","",INDEX('Per Line'!$D$2:$D$4001,$AA436)&amp;"")</f>
        <v/>
      </c>
      <c r="E436" s="11">
        <f>IF($AA436="","",INDEX('Per Line'!$G$2:$G$4001,$AA436))</f>
        <v/>
      </c>
      <c r="F436">
        <f>IF($AA436="","",INDEX('Per Line'!$H$2:$H$4001,$AA436)&amp;"")</f>
        <v/>
      </c>
      <c r="G436">
        <f>IF($AA436="","",INDEX('Per Line'!$I$2:$I$4001,$AA436)&amp;"")</f>
        <v/>
      </c>
      <c r="H436">
        <f>IF($AA436="","",INDEX('Per Line'!$J$2:$J$4001,$AA436)&amp;"")</f>
        <v/>
      </c>
      <c r="I436">
        <f>IF($AA436="","",INDEX('Per Line'!$K$2:$K$4001,$AA436)&amp;"")</f>
        <v/>
      </c>
      <c r="J436">
        <f>IF($AA436="","",INDEX('Per Line'!$L$2:$L$4001,$AA436)&amp;"")</f>
        <v/>
      </c>
      <c r="K436">
        <f>IF($AA436="","",INDEX('Per Line'!$P$2:$P$4001,$AA436))</f>
        <v/>
      </c>
      <c r="L436" s="7">
        <f>IF($AA436="","",IF(AND(ISNUMBER(N436),N436&gt;0,Y436&gt;N436),K436*N436/100+(Y436-N436),K436*Y436/100))</f>
        <v/>
      </c>
      <c r="M436">
        <f>IF($AA436="","",INDEX('Per Line'!$Z$2:$Z$4001,$AA436)&amp;"")</f>
        <v/>
      </c>
      <c r="N436">
        <f>IF($AA436="","",INDEX('Per Line'!$AG$2:$AG$4001,$AA436))</f>
        <v/>
      </c>
      <c r="O436">
        <f>IF($AA436="","",IF(AND(ISNUMBER(N436),N436&gt;0),Y436&gt;N436,FALSE))</f>
        <v/>
      </c>
      <c r="P436" s="7">
        <f>IF($AA436="","",SUMIFS('Per Line'!$Y$2:$Y$4001,'Per Line'!$E$2:$E$4001,$B436,'Per Line'!$AQ$2:$AQ$4001,1))</f>
        <v/>
      </c>
      <c r="Q436">
        <f>IF($AA436="","",Settings!$C$7)</f>
        <v/>
      </c>
      <c r="R436" s="7">
        <f>IF($AA436="","",SUMIFS('Per Line'!$Y$2:$Y$4001,'Per Line'!$E$2:$E$4001,$B436,'Per Line'!$AP$2:$AP$4001,0,'Per Line'!$AQ$2:$AQ$4001,0))</f>
        <v/>
      </c>
      <c r="S436" s="7">
        <f>IF($AA436="","",R436*Q436)</f>
        <v/>
      </c>
      <c r="T436">
        <f>IF($AA436="","",Settings!$C$6)</f>
        <v/>
      </c>
      <c r="U436" s="7">
        <f>IF($AA436="","",SUMIFS('Per Line'!$Y$2:$Y$4001,'Per Line'!$E$2:$E$4001,$B436,'Per Line'!$AP$2:$AP$4001,1,'Per Line'!$AQ$2:$AQ$4001,0))</f>
        <v/>
      </c>
      <c r="V436" s="7">
        <f>IF($AA436="","",U436*T436)</f>
        <v/>
      </c>
      <c r="W436" s="7">
        <f>IF($AA436="","",V436+S436)</f>
        <v/>
      </c>
      <c r="X436" s="7">
        <f>IF($AA436="","",Y436-W436)</f>
        <v/>
      </c>
      <c r="Y436" s="7">
        <f>IF($AA436="","",R436+U436+P436)</f>
        <v/>
      </c>
      <c r="Z436" s="7">
        <f>IF($AA436="","",Y436-W436-L436)</f>
        <v/>
      </c>
      <c r="AA436" s="13">
        <f>IF(ROWS($AA$2:$AA436)&lt;=MAX('Per Line'!$AO$2:$AO$4001),MATCH(ROWS($AA$2:$AA436),'Per Line'!$AO$2:$AO$4001,0),"")</f>
        <v/>
      </c>
      <c r="AB436" s="14">
        <f>IF($AA436="","",L436-K436*Y436/100)</f>
        <v/>
      </c>
    </row>
    <row r="437">
      <c r="A437" s="12" t="n"/>
      <c r="B437">
        <f>IF($AA437="","",INDEX('Per Line'!$E$2:$E$4001,$AA437)&amp;"")</f>
        <v/>
      </c>
      <c r="C437">
        <f>IF($AA437="","",INDEX('Per Line'!$A$2:$A$4001,$AA437)&amp;"")</f>
        <v/>
      </c>
      <c r="D437">
        <f>IF($AA437="","",INDEX('Per Line'!$D$2:$D$4001,$AA437)&amp;"")</f>
        <v/>
      </c>
      <c r="E437" s="11">
        <f>IF($AA437="","",INDEX('Per Line'!$G$2:$G$4001,$AA437))</f>
        <v/>
      </c>
      <c r="F437">
        <f>IF($AA437="","",INDEX('Per Line'!$H$2:$H$4001,$AA437)&amp;"")</f>
        <v/>
      </c>
      <c r="G437">
        <f>IF($AA437="","",INDEX('Per Line'!$I$2:$I$4001,$AA437)&amp;"")</f>
        <v/>
      </c>
      <c r="H437">
        <f>IF($AA437="","",INDEX('Per Line'!$J$2:$J$4001,$AA437)&amp;"")</f>
        <v/>
      </c>
      <c r="I437">
        <f>IF($AA437="","",INDEX('Per Line'!$K$2:$K$4001,$AA437)&amp;"")</f>
        <v/>
      </c>
      <c r="J437">
        <f>IF($AA437="","",INDEX('Per Line'!$L$2:$L$4001,$AA437)&amp;"")</f>
        <v/>
      </c>
      <c r="K437">
        <f>IF($AA437="","",INDEX('Per Line'!$P$2:$P$4001,$AA437))</f>
        <v/>
      </c>
      <c r="L437" s="7">
        <f>IF($AA437="","",IF(AND(ISNUMBER(N437),N437&gt;0,Y437&gt;N437),K437*N437/100+(Y437-N437),K437*Y437/100))</f>
        <v/>
      </c>
      <c r="M437">
        <f>IF($AA437="","",INDEX('Per Line'!$Z$2:$Z$4001,$AA437)&amp;"")</f>
        <v/>
      </c>
      <c r="N437">
        <f>IF($AA437="","",INDEX('Per Line'!$AG$2:$AG$4001,$AA437))</f>
        <v/>
      </c>
      <c r="O437">
        <f>IF($AA437="","",IF(AND(ISNUMBER(N437),N437&gt;0),Y437&gt;N437,FALSE))</f>
        <v/>
      </c>
      <c r="P437" s="7">
        <f>IF($AA437="","",SUMIFS('Per Line'!$Y$2:$Y$4001,'Per Line'!$E$2:$E$4001,$B437,'Per Line'!$AQ$2:$AQ$4001,1))</f>
        <v/>
      </c>
      <c r="Q437">
        <f>IF($AA437="","",Settings!$C$7)</f>
        <v/>
      </c>
      <c r="R437" s="7">
        <f>IF($AA437="","",SUMIFS('Per Line'!$Y$2:$Y$4001,'Per Line'!$E$2:$E$4001,$B437,'Per Line'!$AP$2:$AP$4001,0,'Per Line'!$AQ$2:$AQ$4001,0))</f>
        <v/>
      </c>
      <c r="S437" s="7">
        <f>IF($AA437="","",R437*Q437)</f>
        <v/>
      </c>
      <c r="T437">
        <f>IF($AA437="","",Settings!$C$6)</f>
        <v/>
      </c>
      <c r="U437" s="7">
        <f>IF($AA437="","",SUMIFS('Per Line'!$Y$2:$Y$4001,'Per Line'!$E$2:$E$4001,$B437,'Per Line'!$AP$2:$AP$4001,1,'Per Line'!$AQ$2:$AQ$4001,0))</f>
        <v/>
      </c>
      <c r="V437" s="7">
        <f>IF($AA437="","",U437*T437)</f>
        <v/>
      </c>
      <c r="W437" s="7">
        <f>IF($AA437="","",V437+S437)</f>
        <v/>
      </c>
      <c r="X437" s="7">
        <f>IF($AA437="","",Y437-W437)</f>
        <v/>
      </c>
      <c r="Y437" s="7">
        <f>IF($AA437="","",R437+U437+P437)</f>
        <v/>
      </c>
      <c r="Z437" s="7">
        <f>IF($AA437="","",Y437-W437-L437)</f>
        <v/>
      </c>
      <c r="AA437" s="13">
        <f>IF(ROWS($AA$2:$AA437)&lt;=MAX('Per Line'!$AO$2:$AO$4001),MATCH(ROWS($AA$2:$AA437),'Per Line'!$AO$2:$AO$4001,0),"")</f>
        <v/>
      </c>
      <c r="AB437" s="14">
        <f>IF($AA437="","",L437-K437*Y437/100)</f>
        <v/>
      </c>
    </row>
    <row r="438">
      <c r="A438" s="12" t="n"/>
      <c r="B438">
        <f>IF($AA438="","",INDEX('Per Line'!$E$2:$E$4001,$AA438)&amp;"")</f>
        <v/>
      </c>
      <c r="C438">
        <f>IF($AA438="","",INDEX('Per Line'!$A$2:$A$4001,$AA438)&amp;"")</f>
        <v/>
      </c>
      <c r="D438">
        <f>IF($AA438="","",INDEX('Per Line'!$D$2:$D$4001,$AA438)&amp;"")</f>
        <v/>
      </c>
      <c r="E438" s="11">
        <f>IF($AA438="","",INDEX('Per Line'!$G$2:$G$4001,$AA438))</f>
        <v/>
      </c>
      <c r="F438">
        <f>IF($AA438="","",INDEX('Per Line'!$H$2:$H$4001,$AA438)&amp;"")</f>
        <v/>
      </c>
      <c r="G438">
        <f>IF($AA438="","",INDEX('Per Line'!$I$2:$I$4001,$AA438)&amp;"")</f>
        <v/>
      </c>
      <c r="H438">
        <f>IF($AA438="","",INDEX('Per Line'!$J$2:$J$4001,$AA438)&amp;"")</f>
        <v/>
      </c>
      <c r="I438">
        <f>IF($AA438="","",INDEX('Per Line'!$K$2:$K$4001,$AA438)&amp;"")</f>
        <v/>
      </c>
      <c r="J438">
        <f>IF($AA438="","",INDEX('Per Line'!$L$2:$L$4001,$AA438)&amp;"")</f>
        <v/>
      </c>
      <c r="K438">
        <f>IF($AA438="","",INDEX('Per Line'!$P$2:$P$4001,$AA438))</f>
        <v/>
      </c>
      <c r="L438" s="7">
        <f>IF($AA438="","",IF(AND(ISNUMBER(N438),N438&gt;0,Y438&gt;N438),K438*N438/100+(Y438-N438),K438*Y438/100))</f>
        <v/>
      </c>
      <c r="M438">
        <f>IF($AA438="","",INDEX('Per Line'!$Z$2:$Z$4001,$AA438)&amp;"")</f>
        <v/>
      </c>
      <c r="N438">
        <f>IF($AA438="","",INDEX('Per Line'!$AG$2:$AG$4001,$AA438))</f>
        <v/>
      </c>
      <c r="O438">
        <f>IF($AA438="","",IF(AND(ISNUMBER(N438),N438&gt;0),Y438&gt;N438,FALSE))</f>
        <v/>
      </c>
      <c r="P438" s="7">
        <f>IF($AA438="","",SUMIFS('Per Line'!$Y$2:$Y$4001,'Per Line'!$E$2:$E$4001,$B438,'Per Line'!$AQ$2:$AQ$4001,1))</f>
        <v/>
      </c>
      <c r="Q438">
        <f>IF($AA438="","",Settings!$C$7)</f>
        <v/>
      </c>
      <c r="R438" s="7">
        <f>IF($AA438="","",SUMIFS('Per Line'!$Y$2:$Y$4001,'Per Line'!$E$2:$E$4001,$B438,'Per Line'!$AP$2:$AP$4001,0,'Per Line'!$AQ$2:$AQ$4001,0))</f>
        <v/>
      </c>
      <c r="S438" s="7">
        <f>IF($AA438="","",R438*Q438)</f>
        <v/>
      </c>
      <c r="T438">
        <f>IF($AA438="","",Settings!$C$6)</f>
        <v/>
      </c>
      <c r="U438" s="7">
        <f>IF($AA438="","",SUMIFS('Per Line'!$Y$2:$Y$4001,'Per Line'!$E$2:$E$4001,$B438,'Per Line'!$AP$2:$AP$4001,1,'Per Line'!$AQ$2:$AQ$4001,0))</f>
        <v/>
      </c>
      <c r="V438" s="7">
        <f>IF($AA438="","",U438*T438)</f>
        <v/>
      </c>
      <c r="W438" s="7">
        <f>IF($AA438="","",V438+S438)</f>
        <v/>
      </c>
      <c r="X438" s="7">
        <f>IF($AA438="","",Y438-W438)</f>
        <v/>
      </c>
      <c r="Y438" s="7">
        <f>IF($AA438="","",R438+U438+P438)</f>
        <v/>
      </c>
      <c r="Z438" s="7">
        <f>IF($AA438="","",Y438-W438-L438)</f>
        <v/>
      </c>
      <c r="AA438" s="13">
        <f>IF(ROWS($AA$2:$AA438)&lt;=MAX('Per Line'!$AO$2:$AO$4001),MATCH(ROWS($AA$2:$AA438),'Per Line'!$AO$2:$AO$4001,0),"")</f>
        <v/>
      </c>
      <c r="AB438" s="14">
        <f>IF($AA438="","",L438-K438*Y438/100)</f>
        <v/>
      </c>
    </row>
    <row r="439">
      <c r="A439" s="12" t="n"/>
      <c r="B439">
        <f>IF($AA439="","",INDEX('Per Line'!$E$2:$E$4001,$AA439)&amp;"")</f>
        <v/>
      </c>
      <c r="C439">
        <f>IF($AA439="","",INDEX('Per Line'!$A$2:$A$4001,$AA439)&amp;"")</f>
        <v/>
      </c>
      <c r="D439">
        <f>IF($AA439="","",INDEX('Per Line'!$D$2:$D$4001,$AA439)&amp;"")</f>
        <v/>
      </c>
      <c r="E439" s="11">
        <f>IF($AA439="","",INDEX('Per Line'!$G$2:$G$4001,$AA439))</f>
        <v/>
      </c>
      <c r="F439">
        <f>IF($AA439="","",INDEX('Per Line'!$H$2:$H$4001,$AA439)&amp;"")</f>
        <v/>
      </c>
      <c r="G439">
        <f>IF($AA439="","",INDEX('Per Line'!$I$2:$I$4001,$AA439)&amp;"")</f>
        <v/>
      </c>
      <c r="H439">
        <f>IF($AA439="","",INDEX('Per Line'!$J$2:$J$4001,$AA439)&amp;"")</f>
        <v/>
      </c>
      <c r="I439">
        <f>IF($AA439="","",INDEX('Per Line'!$K$2:$K$4001,$AA439)&amp;"")</f>
        <v/>
      </c>
      <c r="J439">
        <f>IF($AA439="","",INDEX('Per Line'!$L$2:$L$4001,$AA439)&amp;"")</f>
        <v/>
      </c>
      <c r="K439">
        <f>IF($AA439="","",INDEX('Per Line'!$P$2:$P$4001,$AA439))</f>
        <v/>
      </c>
      <c r="L439" s="7">
        <f>IF($AA439="","",IF(AND(ISNUMBER(N439),N439&gt;0,Y439&gt;N439),K439*N439/100+(Y439-N439),K439*Y439/100))</f>
        <v/>
      </c>
      <c r="M439">
        <f>IF($AA439="","",INDEX('Per Line'!$Z$2:$Z$4001,$AA439)&amp;"")</f>
        <v/>
      </c>
      <c r="N439">
        <f>IF($AA439="","",INDEX('Per Line'!$AG$2:$AG$4001,$AA439))</f>
        <v/>
      </c>
      <c r="O439">
        <f>IF($AA439="","",IF(AND(ISNUMBER(N439),N439&gt;0),Y439&gt;N439,FALSE))</f>
        <v/>
      </c>
      <c r="P439" s="7">
        <f>IF($AA439="","",SUMIFS('Per Line'!$Y$2:$Y$4001,'Per Line'!$E$2:$E$4001,$B439,'Per Line'!$AQ$2:$AQ$4001,1))</f>
        <v/>
      </c>
      <c r="Q439">
        <f>IF($AA439="","",Settings!$C$7)</f>
        <v/>
      </c>
      <c r="R439" s="7">
        <f>IF($AA439="","",SUMIFS('Per Line'!$Y$2:$Y$4001,'Per Line'!$E$2:$E$4001,$B439,'Per Line'!$AP$2:$AP$4001,0,'Per Line'!$AQ$2:$AQ$4001,0))</f>
        <v/>
      </c>
      <c r="S439" s="7">
        <f>IF($AA439="","",R439*Q439)</f>
        <v/>
      </c>
      <c r="T439">
        <f>IF($AA439="","",Settings!$C$6)</f>
        <v/>
      </c>
      <c r="U439" s="7">
        <f>IF($AA439="","",SUMIFS('Per Line'!$Y$2:$Y$4001,'Per Line'!$E$2:$E$4001,$B439,'Per Line'!$AP$2:$AP$4001,1,'Per Line'!$AQ$2:$AQ$4001,0))</f>
        <v/>
      </c>
      <c r="V439" s="7">
        <f>IF($AA439="","",U439*T439)</f>
        <v/>
      </c>
      <c r="W439" s="7">
        <f>IF($AA439="","",V439+S439)</f>
        <v/>
      </c>
      <c r="X439" s="7">
        <f>IF($AA439="","",Y439-W439)</f>
        <v/>
      </c>
      <c r="Y439" s="7">
        <f>IF($AA439="","",R439+U439+P439)</f>
        <v/>
      </c>
      <c r="Z439" s="7">
        <f>IF($AA439="","",Y439-W439-L439)</f>
        <v/>
      </c>
      <c r="AA439" s="13">
        <f>IF(ROWS($AA$2:$AA439)&lt;=MAX('Per Line'!$AO$2:$AO$4001),MATCH(ROWS($AA$2:$AA439),'Per Line'!$AO$2:$AO$4001,0),"")</f>
        <v/>
      </c>
      <c r="AB439" s="14">
        <f>IF($AA439="","",L439-K439*Y439/100)</f>
        <v/>
      </c>
    </row>
    <row r="440">
      <c r="A440" s="12" t="n"/>
      <c r="B440">
        <f>IF($AA440="","",INDEX('Per Line'!$E$2:$E$4001,$AA440)&amp;"")</f>
        <v/>
      </c>
      <c r="C440">
        <f>IF($AA440="","",INDEX('Per Line'!$A$2:$A$4001,$AA440)&amp;"")</f>
        <v/>
      </c>
      <c r="D440">
        <f>IF($AA440="","",INDEX('Per Line'!$D$2:$D$4001,$AA440)&amp;"")</f>
        <v/>
      </c>
      <c r="E440" s="11">
        <f>IF($AA440="","",INDEX('Per Line'!$G$2:$G$4001,$AA440))</f>
        <v/>
      </c>
      <c r="F440">
        <f>IF($AA440="","",INDEX('Per Line'!$H$2:$H$4001,$AA440)&amp;"")</f>
        <v/>
      </c>
      <c r="G440">
        <f>IF($AA440="","",INDEX('Per Line'!$I$2:$I$4001,$AA440)&amp;"")</f>
        <v/>
      </c>
      <c r="H440">
        <f>IF($AA440="","",INDEX('Per Line'!$J$2:$J$4001,$AA440)&amp;"")</f>
        <v/>
      </c>
      <c r="I440">
        <f>IF($AA440="","",INDEX('Per Line'!$K$2:$K$4001,$AA440)&amp;"")</f>
        <v/>
      </c>
      <c r="J440">
        <f>IF($AA440="","",INDEX('Per Line'!$L$2:$L$4001,$AA440)&amp;"")</f>
        <v/>
      </c>
      <c r="K440">
        <f>IF($AA440="","",INDEX('Per Line'!$P$2:$P$4001,$AA440))</f>
        <v/>
      </c>
      <c r="L440" s="7">
        <f>IF($AA440="","",IF(AND(ISNUMBER(N440),N440&gt;0,Y440&gt;N440),K440*N440/100+(Y440-N440),K440*Y440/100))</f>
        <v/>
      </c>
      <c r="M440">
        <f>IF($AA440="","",INDEX('Per Line'!$Z$2:$Z$4001,$AA440)&amp;"")</f>
        <v/>
      </c>
      <c r="N440">
        <f>IF($AA440="","",INDEX('Per Line'!$AG$2:$AG$4001,$AA440))</f>
        <v/>
      </c>
      <c r="O440">
        <f>IF($AA440="","",IF(AND(ISNUMBER(N440),N440&gt;0),Y440&gt;N440,FALSE))</f>
        <v/>
      </c>
      <c r="P440" s="7">
        <f>IF($AA440="","",SUMIFS('Per Line'!$Y$2:$Y$4001,'Per Line'!$E$2:$E$4001,$B440,'Per Line'!$AQ$2:$AQ$4001,1))</f>
        <v/>
      </c>
      <c r="Q440">
        <f>IF($AA440="","",Settings!$C$7)</f>
        <v/>
      </c>
      <c r="R440" s="7">
        <f>IF($AA440="","",SUMIFS('Per Line'!$Y$2:$Y$4001,'Per Line'!$E$2:$E$4001,$B440,'Per Line'!$AP$2:$AP$4001,0,'Per Line'!$AQ$2:$AQ$4001,0))</f>
        <v/>
      </c>
      <c r="S440" s="7">
        <f>IF($AA440="","",R440*Q440)</f>
        <v/>
      </c>
      <c r="T440">
        <f>IF($AA440="","",Settings!$C$6)</f>
        <v/>
      </c>
      <c r="U440" s="7">
        <f>IF($AA440="","",SUMIFS('Per Line'!$Y$2:$Y$4001,'Per Line'!$E$2:$E$4001,$B440,'Per Line'!$AP$2:$AP$4001,1,'Per Line'!$AQ$2:$AQ$4001,0))</f>
        <v/>
      </c>
      <c r="V440" s="7">
        <f>IF($AA440="","",U440*T440)</f>
        <v/>
      </c>
      <c r="W440" s="7">
        <f>IF($AA440="","",V440+S440)</f>
        <v/>
      </c>
      <c r="X440" s="7">
        <f>IF($AA440="","",Y440-W440)</f>
        <v/>
      </c>
      <c r="Y440" s="7">
        <f>IF($AA440="","",R440+U440+P440)</f>
        <v/>
      </c>
      <c r="Z440" s="7">
        <f>IF($AA440="","",Y440-W440-L440)</f>
        <v/>
      </c>
      <c r="AA440" s="13">
        <f>IF(ROWS($AA$2:$AA440)&lt;=MAX('Per Line'!$AO$2:$AO$4001),MATCH(ROWS($AA$2:$AA440),'Per Line'!$AO$2:$AO$4001,0),"")</f>
        <v/>
      </c>
      <c r="AB440" s="14">
        <f>IF($AA440="","",L440-K440*Y440/100)</f>
        <v/>
      </c>
    </row>
    <row r="441">
      <c r="A441" s="12" t="n"/>
      <c r="B441">
        <f>IF($AA441="","",INDEX('Per Line'!$E$2:$E$4001,$AA441)&amp;"")</f>
        <v/>
      </c>
      <c r="C441">
        <f>IF($AA441="","",INDEX('Per Line'!$A$2:$A$4001,$AA441)&amp;"")</f>
        <v/>
      </c>
      <c r="D441">
        <f>IF($AA441="","",INDEX('Per Line'!$D$2:$D$4001,$AA441)&amp;"")</f>
        <v/>
      </c>
      <c r="E441" s="11">
        <f>IF($AA441="","",INDEX('Per Line'!$G$2:$G$4001,$AA441))</f>
        <v/>
      </c>
      <c r="F441">
        <f>IF($AA441="","",INDEX('Per Line'!$H$2:$H$4001,$AA441)&amp;"")</f>
        <v/>
      </c>
      <c r="G441">
        <f>IF($AA441="","",INDEX('Per Line'!$I$2:$I$4001,$AA441)&amp;"")</f>
        <v/>
      </c>
      <c r="H441">
        <f>IF($AA441="","",INDEX('Per Line'!$J$2:$J$4001,$AA441)&amp;"")</f>
        <v/>
      </c>
      <c r="I441">
        <f>IF($AA441="","",INDEX('Per Line'!$K$2:$K$4001,$AA441)&amp;"")</f>
        <v/>
      </c>
      <c r="J441">
        <f>IF($AA441="","",INDEX('Per Line'!$L$2:$L$4001,$AA441)&amp;"")</f>
        <v/>
      </c>
      <c r="K441">
        <f>IF($AA441="","",INDEX('Per Line'!$P$2:$P$4001,$AA441))</f>
        <v/>
      </c>
      <c r="L441" s="7">
        <f>IF($AA441="","",IF(AND(ISNUMBER(N441),N441&gt;0,Y441&gt;N441),K441*N441/100+(Y441-N441),K441*Y441/100))</f>
        <v/>
      </c>
      <c r="M441">
        <f>IF($AA441="","",INDEX('Per Line'!$Z$2:$Z$4001,$AA441)&amp;"")</f>
        <v/>
      </c>
      <c r="N441">
        <f>IF($AA441="","",INDEX('Per Line'!$AG$2:$AG$4001,$AA441))</f>
        <v/>
      </c>
      <c r="O441">
        <f>IF($AA441="","",IF(AND(ISNUMBER(N441),N441&gt;0),Y441&gt;N441,FALSE))</f>
        <v/>
      </c>
      <c r="P441" s="7">
        <f>IF($AA441="","",SUMIFS('Per Line'!$Y$2:$Y$4001,'Per Line'!$E$2:$E$4001,$B441,'Per Line'!$AQ$2:$AQ$4001,1))</f>
        <v/>
      </c>
      <c r="Q441">
        <f>IF($AA441="","",Settings!$C$7)</f>
        <v/>
      </c>
      <c r="R441" s="7">
        <f>IF($AA441="","",SUMIFS('Per Line'!$Y$2:$Y$4001,'Per Line'!$E$2:$E$4001,$B441,'Per Line'!$AP$2:$AP$4001,0,'Per Line'!$AQ$2:$AQ$4001,0))</f>
        <v/>
      </c>
      <c r="S441" s="7">
        <f>IF($AA441="","",R441*Q441)</f>
        <v/>
      </c>
      <c r="T441">
        <f>IF($AA441="","",Settings!$C$6)</f>
        <v/>
      </c>
      <c r="U441" s="7">
        <f>IF($AA441="","",SUMIFS('Per Line'!$Y$2:$Y$4001,'Per Line'!$E$2:$E$4001,$B441,'Per Line'!$AP$2:$AP$4001,1,'Per Line'!$AQ$2:$AQ$4001,0))</f>
        <v/>
      </c>
      <c r="V441" s="7">
        <f>IF($AA441="","",U441*T441)</f>
        <v/>
      </c>
      <c r="W441" s="7">
        <f>IF($AA441="","",V441+S441)</f>
        <v/>
      </c>
      <c r="X441" s="7">
        <f>IF($AA441="","",Y441-W441)</f>
        <v/>
      </c>
      <c r="Y441" s="7">
        <f>IF($AA441="","",R441+U441+P441)</f>
        <v/>
      </c>
      <c r="Z441" s="7">
        <f>IF($AA441="","",Y441-W441-L441)</f>
        <v/>
      </c>
      <c r="AA441" s="13">
        <f>IF(ROWS($AA$2:$AA441)&lt;=MAX('Per Line'!$AO$2:$AO$4001),MATCH(ROWS($AA$2:$AA441),'Per Line'!$AO$2:$AO$4001,0),"")</f>
        <v/>
      </c>
      <c r="AB441" s="14">
        <f>IF($AA441="","",L441-K441*Y441/100)</f>
        <v/>
      </c>
    </row>
    <row r="442">
      <c r="A442" s="12" t="n"/>
      <c r="B442">
        <f>IF($AA442="","",INDEX('Per Line'!$E$2:$E$4001,$AA442)&amp;"")</f>
        <v/>
      </c>
      <c r="C442">
        <f>IF($AA442="","",INDEX('Per Line'!$A$2:$A$4001,$AA442)&amp;"")</f>
        <v/>
      </c>
      <c r="D442">
        <f>IF($AA442="","",INDEX('Per Line'!$D$2:$D$4001,$AA442)&amp;"")</f>
        <v/>
      </c>
      <c r="E442" s="11">
        <f>IF($AA442="","",INDEX('Per Line'!$G$2:$G$4001,$AA442))</f>
        <v/>
      </c>
      <c r="F442">
        <f>IF($AA442="","",INDEX('Per Line'!$H$2:$H$4001,$AA442)&amp;"")</f>
        <v/>
      </c>
      <c r="G442">
        <f>IF($AA442="","",INDEX('Per Line'!$I$2:$I$4001,$AA442)&amp;"")</f>
        <v/>
      </c>
      <c r="H442">
        <f>IF($AA442="","",INDEX('Per Line'!$J$2:$J$4001,$AA442)&amp;"")</f>
        <v/>
      </c>
      <c r="I442">
        <f>IF($AA442="","",INDEX('Per Line'!$K$2:$K$4001,$AA442)&amp;"")</f>
        <v/>
      </c>
      <c r="J442">
        <f>IF($AA442="","",INDEX('Per Line'!$L$2:$L$4001,$AA442)&amp;"")</f>
        <v/>
      </c>
      <c r="K442">
        <f>IF($AA442="","",INDEX('Per Line'!$P$2:$P$4001,$AA442))</f>
        <v/>
      </c>
      <c r="L442" s="7">
        <f>IF($AA442="","",IF(AND(ISNUMBER(N442),N442&gt;0,Y442&gt;N442),K442*N442/100+(Y442-N442),K442*Y442/100))</f>
        <v/>
      </c>
      <c r="M442">
        <f>IF($AA442="","",INDEX('Per Line'!$Z$2:$Z$4001,$AA442)&amp;"")</f>
        <v/>
      </c>
      <c r="N442">
        <f>IF($AA442="","",INDEX('Per Line'!$AG$2:$AG$4001,$AA442))</f>
        <v/>
      </c>
      <c r="O442">
        <f>IF($AA442="","",IF(AND(ISNUMBER(N442),N442&gt;0),Y442&gt;N442,FALSE))</f>
        <v/>
      </c>
      <c r="P442" s="7">
        <f>IF($AA442="","",SUMIFS('Per Line'!$Y$2:$Y$4001,'Per Line'!$E$2:$E$4001,$B442,'Per Line'!$AQ$2:$AQ$4001,1))</f>
        <v/>
      </c>
      <c r="Q442">
        <f>IF($AA442="","",Settings!$C$7)</f>
        <v/>
      </c>
      <c r="R442" s="7">
        <f>IF($AA442="","",SUMIFS('Per Line'!$Y$2:$Y$4001,'Per Line'!$E$2:$E$4001,$B442,'Per Line'!$AP$2:$AP$4001,0,'Per Line'!$AQ$2:$AQ$4001,0))</f>
        <v/>
      </c>
      <c r="S442" s="7">
        <f>IF($AA442="","",R442*Q442)</f>
        <v/>
      </c>
      <c r="T442">
        <f>IF($AA442="","",Settings!$C$6)</f>
        <v/>
      </c>
      <c r="U442" s="7">
        <f>IF($AA442="","",SUMIFS('Per Line'!$Y$2:$Y$4001,'Per Line'!$E$2:$E$4001,$B442,'Per Line'!$AP$2:$AP$4001,1,'Per Line'!$AQ$2:$AQ$4001,0))</f>
        <v/>
      </c>
      <c r="V442" s="7">
        <f>IF($AA442="","",U442*T442)</f>
        <v/>
      </c>
      <c r="W442" s="7">
        <f>IF($AA442="","",V442+S442)</f>
        <v/>
      </c>
      <c r="X442" s="7">
        <f>IF($AA442="","",Y442-W442)</f>
        <v/>
      </c>
      <c r="Y442" s="7">
        <f>IF($AA442="","",R442+U442+P442)</f>
        <v/>
      </c>
      <c r="Z442" s="7">
        <f>IF($AA442="","",Y442-W442-L442)</f>
        <v/>
      </c>
      <c r="AA442" s="13">
        <f>IF(ROWS($AA$2:$AA442)&lt;=MAX('Per Line'!$AO$2:$AO$4001),MATCH(ROWS($AA$2:$AA442),'Per Line'!$AO$2:$AO$4001,0),"")</f>
        <v/>
      </c>
      <c r="AB442" s="14">
        <f>IF($AA442="","",L442-K442*Y442/100)</f>
        <v/>
      </c>
    </row>
    <row r="443">
      <c r="A443" s="12" t="n"/>
      <c r="B443">
        <f>IF($AA443="","",INDEX('Per Line'!$E$2:$E$4001,$AA443)&amp;"")</f>
        <v/>
      </c>
      <c r="C443">
        <f>IF($AA443="","",INDEX('Per Line'!$A$2:$A$4001,$AA443)&amp;"")</f>
        <v/>
      </c>
      <c r="D443">
        <f>IF($AA443="","",INDEX('Per Line'!$D$2:$D$4001,$AA443)&amp;"")</f>
        <v/>
      </c>
      <c r="E443" s="11">
        <f>IF($AA443="","",INDEX('Per Line'!$G$2:$G$4001,$AA443))</f>
        <v/>
      </c>
      <c r="F443">
        <f>IF($AA443="","",INDEX('Per Line'!$H$2:$H$4001,$AA443)&amp;"")</f>
        <v/>
      </c>
      <c r="G443">
        <f>IF($AA443="","",INDEX('Per Line'!$I$2:$I$4001,$AA443)&amp;"")</f>
        <v/>
      </c>
      <c r="H443">
        <f>IF($AA443="","",INDEX('Per Line'!$J$2:$J$4001,$AA443)&amp;"")</f>
        <v/>
      </c>
      <c r="I443">
        <f>IF($AA443="","",INDEX('Per Line'!$K$2:$K$4001,$AA443)&amp;"")</f>
        <v/>
      </c>
      <c r="J443">
        <f>IF($AA443="","",INDEX('Per Line'!$L$2:$L$4001,$AA443)&amp;"")</f>
        <v/>
      </c>
      <c r="K443">
        <f>IF($AA443="","",INDEX('Per Line'!$P$2:$P$4001,$AA443))</f>
        <v/>
      </c>
      <c r="L443" s="7">
        <f>IF($AA443="","",IF(AND(ISNUMBER(N443),N443&gt;0,Y443&gt;N443),K443*N443/100+(Y443-N443),K443*Y443/100))</f>
        <v/>
      </c>
      <c r="M443">
        <f>IF($AA443="","",INDEX('Per Line'!$Z$2:$Z$4001,$AA443)&amp;"")</f>
        <v/>
      </c>
      <c r="N443">
        <f>IF($AA443="","",INDEX('Per Line'!$AG$2:$AG$4001,$AA443))</f>
        <v/>
      </c>
      <c r="O443">
        <f>IF($AA443="","",IF(AND(ISNUMBER(N443),N443&gt;0),Y443&gt;N443,FALSE))</f>
        <v/>
      </c>
      <c r="P443" s="7">
        <f>IF($AA443="","",SUMIFS('Per Line'!$Y$2:$Y$4001,'Per Line'!$E$2:$E$4001,$B443,'Per Line'!$AQ$2:$AQ$4001,1))</f>
        <v/>
      </c>
      <c r="Q443">
        <f>IF($AA443="","",Settings!$C$7)</f>
        <v/>
      </c>
      <c r="R443" s="7">
        <f>IF($AA443="","",SUMIFS('Per Line'!$Y$2:$Y$4001,'Per Line'!$E$2:$E$4001,$B443,'Per Line'!$AP$2:$AP$4001,0,'Per Line'!$AQ$2:$AQ$4001,0))</f>
        <v/>
      </c>
      <c r="S443" s="7">
        <f>IF($AA443="","",R443*Q443)</f>
        <v/>
      </c>
      <c r="T443">
        <f>IF($AA443="","",Settings!$C$6)</f>
        <v/>
      </c>
      <c r="U443" s="7">
        <f>IF($AA443="","",SUMIFS('Per Line'!$Y$2:$Y$4001,'Per Line'!$E$2:$E$4001,$B443,'Per Line'!$AP$2:$AP$4001,1,'Per Line'!$AQ$2:$AQ$4001,0))</f>
        <v/>
      </c>
      <c r="V443" s="7">
        <f>IF($AA443="","",U443*T443)</f>
        <v/>
      </c>
      <c r="W443" s="7">
        <f>IF($AA443="","",V443+S443)</f>
        <v/>
      </c>
      <c r="X443" s="7">
        <f>IF($AA443="","",Y443-W443)</f>
        <v/>
      </c>
      <c r="Y443" s="7">
        <f>IF($AA443="","",R443+U443+P443)</f>
        <v/>
      </c>
      <c r="Z443" s="7">
        <f>IF($AA443="","",Y443-W443-L443)</f>
        <v/>
      </c>
      <c r="AA443" s="13">
        <f>IF(ROWS($AA$2:$AA443)&lt;=MAX('Per Line'!$AO$2:$AO$4001),MATCH(ROWS($AA$2:$AA443),'Per Line'!$AO$2:$AO$4001,0),"")</f>
        <v/>
      </c>
      <c r="AB443" s="14">
        <f>IF($AA443="","",L443-K443*Y443/100)</f>
        <v/>
      </c>
    </row>
    <row r="444">
      <c r="A444" s="12" t="n"/>
      <c r="B444">
        <f>IF($AA444="","",INDEX('Per Line'!$E$2:$E$4001,$AA444)&amp;"")</f>
        <v/>
      </c>
      <c r="C444">
        <f>IF($AA444="","",INDEX('Per Line'!$A$2:$A$4001,$AA444)&amp;"")</f>
        <v/>
      </c>
      <c r="D444">
        <f>IF($AA444="","",INDEX('Per Line'!$D$2:$D$4001,$AA444)&amp;"")</f>
        <v/>
      </c>
      <c r="E444" s="11">
        <f>IF($AA444="","",INDEX('Per Line'!$G$2:$G$4001,$AA444))</f>
        <v/>
      </c>
      <c r="F444">
        <f>IF($AA444="","",INDEX('Per Line'!$H$2:$H$4001,$AA444)&amp;"")</f>
        <v/>
      </c>
      <c r="G444">
        <f>IF($AA444="","",INDEX('Per Line'!$I$2:$I$4001,$AA444)&amp;"")</f>
        <v/>
      </c>
      <c r="H444">
        <f>IF($AA444="","",INDEX('Per Line'!$J$2:$J$4001,$AA444)&amp;"")</f>
        <v/>
      </c>
      <c r="I444">
        <f>IF($AA444="","",INDEX('Per Line'!$K$2:$K$4001,$AA444)&amp;"")</f>
        <v/>
      </c>
      <c r="J444">
        <f>IF($AA444="","",INDEX('Per Line'!$L$2:$L$4001,$AA444)&amp;"")</f>
        <v/>
      </c>
      <c r="K444">
        <f>IF($AA444="","",INDEX('Per Line'!$P$2:$P$4001,$AA444))</f>
        <v/>
      </c>
      <c r="L444" s="7">
        <f>IF($AA444="","",IF(AND(ISNUMBER(N444),N444&gt;0,Y444&gt;N444),K444*N444/100+(Y444-N444),K444*Y444/100))</f>
        <v/>
      </c>
      <c r="M444">
        <f>IF($AA444="","",INDEX('Per Line'!$Z$2:$Z$4001,$AA444)&amp;"")</f>
        <v/>
      </c>
      <c r="N444">
        <f>IF($AA444="","",INDEX('Per Line'!$AG$2:$AG$4001,$AA444))</f>
        <v/>
      </c>
      <c r="O444">
        <f>IF($AA444="","",IF(AND(ISNUMBER(N444),N444&gt;0),Y444&gt;N444,FALSE))</f>
        <v/>
      </c>
      <c r="P444" s="7">
        <f>IF($AA444="","",SUMIFS('Per Line'!$Y$2:$Y$4001,'Per Line'!$E$2:$E$4001,$B444,'Per Line'!$AQ$2:$AQ$4001,1))</f>
        <v/>
      </c>
      <c r="Q444">
        <f>IF($AA444="","",Settings!$C$7)</f>
        <v/>
      </c>
      <c r="R444" s="7">
        <f>IF($AA444="","",SUMIFS('Per Line'!$Y$2:$Y$4001,'Per Line'!$E$2:$E$4001,$B444,'Per Line'!$AP$2:$AP$4001,0,'Per Line'!$AQ$2:$AQ$4001,0))</f>
        <v/>
      </c>
      <c r="S444" s="7">
        <f>IF($AA444="","",R444*Q444)</f>
        <v/>
      </c>
      <c r="T444">
        <f>IF($AA444="","",Settings!$C$6)</f>
        <v/>
      </c>
      <c r="U444" s="7">
        <f>IF($AA444="","",SUMIFS('Per Line'!$Y$2:$Y$4001,'Per Line'!$E$2:$E$4001,$B444,'Per Line'!$AP$2:$AP$4001,1,'Per Line'!$AQ$2:$AQ$4001,0))</f>
        <v/>
      </c>
      <c r="V444" s="7">
        <f>IF($AA444="","",U444*T444)</f>
        <v/>
      </c>
      <c r="W444" s="7">
        <f>IF($AA444="","",V444+S444)</f>
        <v/>
      </c>
      <c r="X444" s="7">
        <f>IF($AA444="","",Y444-W444)</f>
        <v/>
      </c>
      <c r="Y444" s="7">
        <f>IF($AA444="","",R444+U444+P444)</f>
        <v/>
      </c>
      <c r="Z444" s="7">
        <f>IF($AA444="","",Y444-W444-L444)</f>
        <v/>
      </c>
      <c r="AA444" s="13">
        <f>IF(ROWS($AA$2:$AA444)&lt;=MAX('Per Line'!$AO$2:$AO$4001),MATCH(ROWS($AA$2:$AA444),'Per Line'!$AO$2:$AO$4001,0),"")</f>
        <v/>
      </c>
      <c r="AB444" s="14">
        <f>IF($AA444="","",L444-K444*Y444/100)</f>
        <v/>
      </c>
    </row>
    <row r="445">
      <c r="A445" s="12" t="n"/>
      <c r="B445">
        <f>IF($AA445="","",INDEX('Per Line'!$E$2:$E$4001,$AA445)&amp;"")</f>
        <v/>
      </c>
      <c r="C445">
        <f>IF($AA445="","",INDEX('Per Line'!$A$2:$A$4001,$AA445)&amp;"")</f>
        <v/>
      </c>
      <c r="D445">
        <f>IF($AA445="","",INDEX('Per Line'!$D$2:$D$4001,$AA445)&amp;"")</f>
        <v/>
      </c>
      <c r="E445" s="11">
        <f>IF($AA445="","",INDEX('Per Line'!$G$2:$G$4001,$AA445))</f>
        <v/>
      </c>
      <c r="F445">
        <f>IF($AA445="","",INDEX('Per Line'!$H$2:$H$4001,$AA445)&amp;"")</f>
        <v/>
      </c>
      <c r="G445">
        <f>IF($AA445="","",INDEX('Per Line'!$I$2:$I$4001,$AA445)&amp;"")</f>
        <v/>
      </c>
      <c r="H445">
        <f>IF($AA445="","",INDEX('Per Line'!$J$2:$J$4001,$AA445)&amp;"")</f>
        <v/>
      </c>
      <c r="I445">
        <f>IF($AA445="","",INDEX('Per Line'!$K$2:$K$4001,$AA445)&amp;"")</f>
        <v/>
      </c>
      <c r="J445">
        <f>IF($AA445="","",INDEX('Per Line'!$L$2:$L$4001,$AA445)&amp;"")</f>
        <v/>
      </c>
      <c r="K445">
        <f>IF($AA445="","",INDEX('Per Line'!$P$2:$P$4001,$AA445))</f>
        <v/>
      </c>
      <c r="L445" s="7">
        <f>IF($AA445="","",IF(AND(ISNUMBER(N445),N445&gt;0,Y445&gt;N445),K445*N445/100+(Y445-N445),K445*Y445/100))</f>
        <v/>
      </c>
      <c r="M445">
        <f>IF($AA445="","",INDEX('Per Line'!$Z$2:$Z$4001,$AA445)&amp;"")</f>
        <v/>
      </c>
      <c r="N445">
        <f>IF($AA445="","",INDEX('Per Line'!$AG$2:$AG$4001,$AA445))</f>
        <v/>
      </c>
      <c r="O445">
        <f>IF($AA445="","",IF(AND(ISNUMBER(N445),N445&gt;0),Y445&gt;N445,FALSE))</f>
        <v/>
      </c>
      <c r="P445" s="7">
        <f>IF($AA445="","",SUMIFS('Per Line'!$Y$2:$Y$4001,'Per Line'!$E$2:$E$4001,$B445,'Per Line'!$AQ$2:$AQ$4001,1))</f>
        <v/>
      </c>
      <c r="Q445">
        <f>IF($AA445="","",Settings!$C$7)</f>
        <v/>
      </c>
      <c r="R445" s="7">
        <f>IF($AA445="","",SUMIFS('Per Line'!$Y$2:$Y$4001,'Per Line'!$E$2:$E$4001,$B445,'Per Line'!$AP$2:$AP$4001,0,'Per Line'!$AQ$2:$AQ$4001,0))</f>
        <v/>
      </c>
      <c r="S445" s="7">
        <f>IF($AA445="","",R445*Q445)</f>
        <v/>
      </c>
      <c r="T445">
        <f>IF($AA445="","",Settings!$C$6)</f>
        <v/>
      </c>
      <c r="U445" s="7">
        <f>IF($AA445="","",SUMIFS('Per Line'!$Y$2:$Y$4001,'Per Line'!$E$2:$E$4001,$B445,'Per Line'!$AP$2:$AP$4001,1,'Per Line'!$AQ$2:$AQ$4001,0))</f>
        <v/>
      </c>
      <c r="V445" s="7">
        <f>IF($AA445="","",U445*T445)</f>
        <v/>
      </c>
      <c r="W445" s="7">
        <f>IF($AA445="","",V445+S445)</f>
        <v/>
      </c>
      <c r="X445" s="7">
        <f>IF($AA445="","",Y445-W445)</f>
        <v/>
      </c>
      <c r="Y445" s="7">
        <f>IF($AA445="","",R445+U445+P445)</f>
        <v/>
      </c>
      <c r="Z445" s="7">
        <f>IF($AA445="","",Y445-W445-L445)</f>
        <v/>
      </c>
      <c r="AA445" s="13">
        <f>IF(ROWS($AA$2:$AA445)&lt;=MAX('Per Line'!$AO$2:$AO$4001),MATCH(ROWS($AA$2:$AA445),'Per Line'!$AO$2:$AO$4001,0),"")</f>
        <v/>
      </c>
      <c r="AB445" s="14">
        <f>IF($AA445="","",L445-K445*Y445/100)</f>
        <v/>
      </c>
    </row>
    <row r="446">
      <c r="A446" s="12" t="n"/>
      <c r="B446">
        <f>IF($AA446="","",INDEX('Per Line'!$E$2:$E$4001,$AA446)&amp;"")</f>
        <v/>
      </c>
      <c r="C446">
        <f>IF($AA446="","",INDEX('Per Line'!$A$2:$A$4001,$AA446)&amp;"")</f>
        <v/>
      </c>
      <c r="D446">
        <f>IF($AA446="","",INDEX('Per Line'!$D$2:$D$4001,$AA446)&amp;"")</f>
        <v/>
      </c>
      <c r="E446" s="11">
        <f>IF($AA446="","",INDEX('Per Line'!$G$2:$G$4001,$AA446))</f>
        <v/>
      </c>
      <c r="F446">
        <f>IF($AA446="","",INDEX('Per Line'!$H$2:$H$4001,$AA446)&amp;"")</f>
        <v/>
      </c>
      <c r="G446">
        <f>IF($AA446="","",INDEX('Per Line'!$I$2:$I$4001,$AA446)&amp;"")</f>
        <v/>
      </c>
      <c r="H446">
        <f>IF($AA446="","",INDEX('Per Line'!$J$2:$J$4001,$AA446)&amp;"")</f>
        <v/>
      </c>
      <c r="I446">
        <f>IF($AA446="","",INDEX('Per Line'!$K$2:$K$4001,$AA446)&amp;"")</f>
        <v/>
      </c>
      <c r="J446">
        <f>IF($AA446="","",INDEX('Per Line'!$L$2:$L$4001,$AA446)&amp;"")</f>
        <v/>
      </c>
      <c r="K446">
        <f>IF($AA446="","",INDEX('Per Line'!$P$2:$P$4001,$AA446))</f>
        <v/>
      </c>
      <c r="L446" s="7">
        <f>IF($AA446="","",IF(AND(ISNUMBER(N446),N446&gt;0,Y446&gt;N446),K446*N446/100+(Y446-N446),K446*Y446/100))</f>
        <v/>
      </c>
      <c r="M446">
        <f>IF($AA446="","",INDEX('Per Line'!$Z$2:$Z$4001,$AA446)&amp;"")</f>
        <v/>
      </c>
      <c r="N446">
        <f>IF($AA446="","",INDEX('Per Line'!$AG$2:$AG$4001,$AA446))</f>
        <v/>
      </c>
      <c r="O446">
        <f>IF($AA446="","",IF(AND(ISNUMBER(N446),N446&gt;0),Y446&gt;N446,FALSE))</f>
        <v/>
      </c>
      <c r="P446" s="7">
        <f>IF($AA446="","",SUMIFS('Per Line'!$Y$2:$Y$4001,'Per Line'!$E$2:$E$4001,$B446,'Per Line'!$AQ$2:$AQ$4001,1))</f>
        <v/>
      </c>
      <c r="Q446">
        <f>IF($AA446="","",Settings!$C$7)</f>
        <v/>
      </c>
      <c r="R446" s="7">
        <f>IF($AA446="","",SUMIFS('Per Line'!$Y$2:$Y$4001,'Per Line'!$E$2:$E$4001,$B446,'Per Line'!$AP$2:$AP$4001,0,'Per Line'!$AQ$2:$AQ$4001,0))</f>
        <v/>
      </c>
      <c r="S446" s="7">
        <f>IF($AA446="","",R446*Q446)</f>
        <v/>
      </c>
      <c r="T446">
        <f>IF($AA446="","",Settings!$C$6)</f>
        <v/>
      </c>
      <c r="U446" s="7">
        <f>IF($AA446="","",SUMIFS('Per Line'!$Y$2:$Y$4001,'Per Line'!$E$2:$E$4001,$B446,'Per Line'!$AP$2:$AP$4001,1,'Per Line'!$AQ$2:$AQ$4001,0))</f>
        <v/>
      </c>
      <c r="V446" s="7">
        <f>IF($AA446="","",U446*T446)</f>
        <v/>
      </c>
      <c r="W446" s="7">
        <f>IF($AA446="","",V446+S446)</f>
        <v/>
      </c>
      <c r="X446" s="7">
        <f>IF($AA446="","",Y446-W446)</f>
        <v/>
      </c>
      <c r="Y446" s="7">
        <f>IF($AA446="","",R446+U446+P446)</f>
        <v/>
      </c>
      <c r="Z446" s="7">
        <f>IF($AA446="","",Y446-W446-L446)</f>
        <v/>
      </c>
      <c r="AA446" s="13">
        <f>IF(ROWS($AA$2:$AA446)&lt;=MAX('Per Line'!$AO$2:$AO$4001),MATCH(ROWS($AA$2:$AA446),'Per Line'!$AO$2:$AO$4001,0),"")</f>
        <v/>
      </c>
      <c r="AB446" s="14">
        <f>IF($AA446="","",L446-K446*Y446/100)</f>
        <v/>
      </c>
    </row>
    <row r="447">
      <c r="A447" s="12" t="n"/>
      <c r="B447">
        <f>IF($AA447="","",INDEX('Per Line'!$E$2:$E$4001,$AA447)&amp;"")</f>
        <v/>
      </c>
      <c r="C447">
        <f>IF($AA447="","",INDEX('Per Line'!$A$2:$A$4001,$AA447)&amp;"")</f>
        <v/>
      </c>
      <c r="D447">
        <f>IF($AA447="","",INDEX('Per Line'!$D$2:$D$4001,$AA447)&amp;"")</f>
        <v/>
      </c>
      <c r="E447" s="11">
        <f>IF($AA447="","",INDEX('Per Line'!$G$2:$G$4001,$AA447))</f>
        <v/>
      </c>
      <c r="F447">
        <f>IF($AA447="","",INDEX('Per Line'!$H$2:$H$4001,$AA447)&amp;"")</f>
        <v/>
      </c>
      <c r="G447">
        <f>IF($AA447="","",INDEX('Per Line'!$I$2:$I$4001,$AA447)&amp;"")</f>
        <v/>
      </c>
      <c r="H447">
        <f>IF($AA447="","",INDEX('Per Line'!$J$2:$J$4001,$AA447)&amp;"")</f>
        <v/>
      </c>
      <c r="I447">
        <f>IF($AA447="","",INDEX('Per Line'!$K$2:$K$4001,$AA447)&amp;"")</f>
        <v/>
      </c>
      <c r="J447">
        <f>IF($AA447="","",INDEX('Per Line'!$L$2:$L$4001,$AA447)&amp;"")</f>
        <v/>
      </c>
      <c r="K447">
        <f>IF($AA447="","",INDEX('Per Line'!$P$2:$P$4001,$AA447))</f>
        <v/>
      </c>
      <c r="L447" s="7">
        <f>IF($AA447="","",IF(AND(ISNUMBER(N447),N447&gt;0,Y447&gt;N447),K447*N447/100+(Y447-N447),K447*Y447/100))</f>
        <v/>
      </c>
      <c r="M447">
        <f>IF($AA447="","",INDEX('Per Line'!$Z$2:$Z$4001,$AA447)&amp;"")</f>
        <v/>
      </c>
      <c r="N447">
        <f>IF($AA447="","",INDEX('Per Line'!$AG$2:$AG$4001,$AA447))</f>
        <v/>
      </c>
      <c r="O447">
        <f>IF($AA447="","",IF(AND(ISNUMBER(N447),N447&gt;0),Y447&gt;N447,FALSE))</f>
        <v/>
      </c>
      <c r="P447" s="7">
        <f>IF($AA447="","",SUMIFS('Per Line'!$Y$2:$Y$4001,'Per Line'!$E$2:$E$4001,$B447,'Per Line'!$AQ$2:$AQ$4001,1))</f>
        <v/>
      </c>
      <c r="Q447">
        <f>IF($AA447="","",Settings!$C$7)</f>
        <v/>
      </c>
      <c r="R447" s="7">
        <f>IF($AA447="","",SUMIFS('Per Line'!$Y$2:$Y$4001,'Per Line'!$E$2:$E$4001,$B447,'Per Line'!$AP$2:$AP$4001,0,'Per Line'!$AQ$2:$AQ$4001,0))</f>
        <v/>
      </c>
      <c r="S447" s="7">
        <f>IF($AA447="","",R447*Q447)</f>
        <v/>
      </c>
      <c r="T447">
        <f>IF($AA447="","",Settings!$C$6)</f>
        <v/>
      </c>
      <c r="U447" s="7">
        <f>IF($AA447="","",SUMIFS('Per Line'!$Y$2:$Y$4001,'Per Line'!$E$2:$E$4001,$B447,'Per Line'!$AP$2:$AP$4001,1,'Per Line'!$AQ$2:$AQ$4001,0))</f>
        <v/>
      </c>
      <c r="V447" s="7">
        <f>IF($AA447="","",U447*T447)</f>
        <v/>
      </c>
      <c r="W447" s="7">
        <f>IF($AA447="","",V447+S447)</f>
        <v/>
      </c>
      <c r="X447" s="7">
        <f>IF($AA447="","",Y447-W447)</f>
        <v/>
      </c>
      <c r="Y447" s="7">
        <f>IF($AA447="","",R447+U447+P447)</f>
        <v/>
      </c>
      <c r="Z447" s="7">
        <f>IF($AA447="","",Y447-W447-L447)</f>
        <v/>
      </c>
      <c r="AA447" s="13">
        <f>IF(ROWS($AA$2:$AA447)&lt;=MAX('Per Line'!$AO$2:$AO$4001),MATCH(ROWS($AA$2:$AA447),'Per Line'!$AO$2:$AO$4001,0),"")</f>
        <v/>
      </c>
      <c r="AB447" s="14">
        <f>IF($AA447="","",L447-K447*Y447/100)</f>
        <v/>
      </c>
    </row>
    <row r="448">
      <c r="A448" s="12" t="n"/>
      <c r="B448">
        <f>IF($AA448="","",INDEX('Per Line'!$E$2:$E$4001,$AA448)&amp;"")</f>
        <v/>
      </c>
      <c r="C448">
        <f>IF($AA448="","",INDEX('Per Line'!$A$2:$A$4001,$AA448)&amp;"")</f>
        <v/>
      </c>
      <c r="D448">
        <f>IF($AA448="","",INDEX('Per Line'!$D$2:$D$4001,$AA448)&amp;"")</f>
        <v/>
      </c>
      <c r="E448" s="11">
        <f>IF($AA448="","",INDEX('Per Line'!$G$2:$G$4001,$AA448))</f>
        <v/>
      </c>
      <c r="F448">
        <f>IF($AA448="","",INDEX('Per Line'!$H$2:$H$4001,$AA448)&amp;"")</f>
        <v/>
      </c>
      <c r="G448">
        <f>IF($AA448="","",INDEX('Per Line'!$I$2:$I$4001,$AA448)&amp;"")</f>
        <v/>
      </c>
      <c r="H448">
        <f>IF($AA448="","",INDEX('Per Line'!$J$2:$J$4001,$AA448)&amp;"")</f>
        <v/>
      </c>
      <c r="I448">
        <f>IF($AA448="","",INDEX('Per Line'!$K$2:$K$4001,$AA448)&amp;"")</f>
        <v/>
      </c>
      <c r="J448">
        <f>IF($AA448="","",INDEX('Per Line'!$L$2:$L$4001,$AA448)&amp;"")</f>
        <v/>
      </c>
      <c r="K448">
        <f>IF($AA448="","",INDEX('Per Line'!$P$2:$P$4001,$AA448))</f>
        <v/>
      </c>
      <c r="L448" s="7">
        <f>IF($AA448="","",IF(AND(ISNUMBER(N448),N448&gt;0,Y448&gt;N448),K448*N448/100+(Y448-N448),K448*Y448/100))</f>
        <v/>
      </c>
      <c r="M448">
        <f>IF($AA448="","",INDEX('Per Line'!$Z$2:$Z$4001,$AA448)&amp;"")</f>
        <v/>
      </c>
      <c r="N448">
        <f>IF($AA448="","",INDEX('Per Line'!$AG$2:$AG$4001,$AA448))</f>
        <v/>
      </c>
      <c r="O448">
        <f>IF($AA448="","",IF(AND(ISNUMBER(N448),N448&gt;0),Y448&gt;N448,FALSE))</f>
        <v/>
      </c>
      <c r="P448" s="7">
        <f>IF($AA448="","",SUMIFS('Per Line'!$Y$2:$Y$4001,'Per Line'!$E$2:$E$4001,$B448,'Per Line'!$AQ$2:$AQ$4001,1))</f>
        <v/>
      </c>
      <c r="Q448">
        <f>IF($AA448="","",Settings!$C$7)</f>
        <v/>
      </c>
      <c r="R448" s="7">
        <f>IF($AA448="","",SUMIFS('Per Line'!$Y$2:$Y$4001,'Per Line'!$E$2:$E$4001,$B448,'Per Line'!$AP$2:$AP$4001,0,'Per Line'!$AQ$2:$AQ$4001,0))</f>
        <v/>
      </c>
      <c r="S448" s="7">
        <f>IF($AA448="","",R448*Q448)</f>
        <v/>
      </c>
      <c r="T448">
        <f>IF($AA448="","",Settings!$C$6)</f>
        <v/>
      </c>
      <c r="U448" s="7">
        <f>IF($AA448="","",SUMIFS('Per Line'!$Y$2:$Y$4001,'Per Line'!$E$2:$E$4001,$B448,'Per Line'!$AP$2:$AP$4001,1,'Per Line'!$AQ$2:$AQ$4001,0))</f>
        <v/>
      </c>
      <c r="V448" s="7">
        <f>IF($AA448="","",U448*T448)</f>
        <v/>
      </c>
      <c r="W448" s="7">
        <f>IF($AA448="","",V448+S448)</f>
        <v/>
      </c>
      <c r="X448" s="7">
        <f>IF($AA448="","",Y448-W448)</f>
        <v/>
      </c>
      <c r="Y448" s="7">
        <f>IF($AA448="","",R448+U448+P448)</f>
        <v/>
      </c>
      <c r="Z448" s="7">
        <f>IF($AA448="","",Y448-W448-L448)</f>
        <v/>
      </c>
      <c r="AA448" s="13">
        <f>IF(ROWS($AA$2:$AA448)&lt;=MAX('Per Line'!$AO$2:$AO$4001),MATCH(ROWS($AA$2:$AA448),'Per Line'!$AO$2:$AO$4001,0),"")</f>
        <v/>
      </c>
      <c r="AB448" s="14">
        <f>IF($AA448="","",L448-K448*Y448/100)</f>
        <v/>
      </c>
    </row>
    <row r="449">
      <c r="A449" s="12" t="n"/>
      <c r="B449">
        <f>IF($AA449="","",INDEX('Per Line'!$E$2:$E$4001,$AA449)&amp;"")</f>
        <v/>
      </c>
      <c r="C449">
        <f>IF($AA449="","",INDEX('Per Line'!$A$2:$A$4001,$AA449)&amp;"")</f>
        <v/>
      </c>
      <c r="D449">
        <f>IF($AA449="","",INDEX('Per Line'!$D$2:$D$4001,$AA449)&amp;"")</f>
        <v/>
      </c>
      <c r="E449" s="11">
        <f>IF($AA449="","",INDEX('Per Line'!$G$2:$G$4001,$AA449))</f>
        <v/>
      </c>
      <c r="F449">
        <f>IF($AA449="","",INDEX('Per Line'!$H$2:$H$4001,$AA449)&amp;"")</f>
        <v/>
      </c>
      <c r="G449">
        <f>IF($AA449="","",INDEX('Per Line'!$I$2:$I$4001,$AA449)&amp;"")</f>
        <v/>
      </c>
      <c r="H449">
        <f>IF($AA449="","",INDEX('Per Line'!$J$2:$J$4001,$AA449)&amp;"")</f>
        <v/>
      </c>
      <c r="I449">
        <f>IF($AA449="","",INDEX('Per Line'!$K$2:$K$4001,$AA449)&amp;"")</f>
        <v/>
      </c>
      <c r="J449">
        <f>IF($AA449="","",INDEX('Per Line'!$L$2:$L$4001,$AA449)&amp;"")</f>
        <v/>
      </c>
      <c r="K449">
        <f>IF($AA449="","",INDEX('Per Line'!$P$2:$P$4001,$AA449))</f>
        <v/>
      </c>
      <c r="L449" s="7">
        <f>IF($AA449="","",IF(AND(ISNUMBER(N449),N449&gt;0,Y449&gt;N449),K449*N449/100+(Y449-N449),K449*Y449/100))</f>
        <v/>
      </c>
      <c r="M449">
        <f>IF($AA449="","",INDEX('Per Line'!$Z$2:$Z$4001,$AA449)&amp;"")</f>
        <v/>
      </c>
      <c r="N449">
        <f>IF($AA449="","",INDEX('Per Line'!$AG$2:$AG$4001,$AA449))</f>
        <v/>
      </c>
      <c r="O449">
        <f>IF($AA449="","",IF(AND(ISNUMBER(N449),N449&gt;0),Y449&gt;N449,FALSE))</f>
        <v/>
      </c>
      <c r="P449" s="7">
        <f>IF($AA449="","",SUMIFS('Per Line'!$Y$2:$Y$4001,'Per Line'!$E$2:$E$4001,$B449,'Per Line'!$AQ$2:$AQ$4001,1))</f>
        <v/>
      </c>
      <c r="Q449">
        <f>IF($AA449="","",Settings!$C$7)</f>
        <v/>
      </c>
      <c r="R449" s="7">
        <f>IF($AA449="","",SUMIFS('Per Line'!$Y$2:$Y$4001,'Per Line'!$E$2:$E$4001,$B449,'Per Line'!$AP$2:$AP$4001,0,'Per Line'!$AQ$2:$AQ$4001,0))</f>
        <v/>
      </c>
      <c r="S449" s="7">
        <f>IF($AA449="","",R449*Q449)</f>
        <v/>
      </c>
      <c r="T449">
        <f>IF($AA449="","",Settings!$C$6)</f>
        <v/>
      </c>
      <c r="U449" s="7">
        <f>IF($AA449="","",SUMIFS('Per Line'!$Y$2:$Y$4001,'Per Line'!$E$2:$E$4001,$B449,'Per Line'!$AP$2:$AP$4001,1,'Per Line'!$AQ$2:$AQ$4001,0))</f>
        <v/>
      </c>
      <c r="V449" s="7">
        <f>IF($AA449="","",U449*T449)</f>
        <v/>
      </c>
      <c r="W449" s="7">
        <f>IF($AA449="","",V449+S449)</f>
        <v/>
      </c>
      <c r="X449" s="7">
        <f>IF($AA449="","",Y449-W449)</f>
        <v/>
      </c>
      <c r="Y449" s="7">
        <f>IF($AA449="","",R449+U449+P449)</f>
        <v/>
      </c>
      <c r="Z449" s="7">
        <f>IF($AA449="","",Y449-W449-L449)</f>
        <v/>
      </c>
      <c r="AA449" s="13">
        <f>IF(ROWS($AA$2:$AA449)&lt;=MAX('Per Line'!$AO$2:$AO$4001),MATCH(ROWS($AA$2:$AA449),'Per Line'!$AO$2:$AO$4001,0),"")</f>
        <v/>
      </c>
      <c r="AB449" s="14">
        <f>IF($AA449="","",L449-K449*Y449/100)</f>
        <v/>
      </c>
    </row>
    <row r="450">
      <c r="A450" s="12" t="n"/>
      <c r="B450">
        <f>IF($AA450="","",INDEX('Per Line'!$E$2:$E$4001,$AA450)&amp;"")</f>
        <v/>
      </c>
      <c r="C450">
        <f>IF($AA450="","",INDEX('Per Line'!$A$2:$A$4001,$AA450)&amp;"")</f>
        <v/>
      </c>
      <c r="D450">
        <f>IF($AA450="","",INDEX('Per Line'!$D$2:$D$4001,$AA450)&amp;"")</f>
        <v/>
      </c>
      <c r="E450" s="11">
        <f>IF($AA450="","",INDEX('Per Line'!$G$2:$G$4001,$AA450))</f>
        <v/>
      </c>
      <c r="F450">
        <f>IF($AA450="","",INDEX('Per Line'!$H$2:$H$4001,$AA450)&amp;"")</f>
        <v/>
      </c>
      <c r="G450">
        <f>IF($AA450="","",INDEX('Per Line'!$I$2:$I$4001,$AA450)&amp;"")</f>
        <v/>
      </c>
      <c r="H450">
        <f>IF($AA450="","",INDEX('Per Line'!$J$2:$J$4001,$AA450)&amp;"")</f>
        <v/>
      </c>
      <c r="I450">
        <f>IF($AA450="","",INDEX('Per Line'!$K$2:$K$4001,$AA450)&amp;"")</f>
        <v/>
      </c>
      <c r="J450">
        <f>IF($AA450="","",INDEX('Per Line'!$L$2:$L$4001,$AA450)&amp;"")</f>
        <v/>
      </c>
      <c r="K450">
        <f>IF($AA450="","",INDEX('Per Line'!$P$2:$P$4001,$AA450))</f>
        <v/>
      </c>
      <c r="L450" s="7">
        <f>IF($AA450="","",IF(AND(ISNUMBER(N450),N450&gt;0,Y450&gt;N450),K450*N450/100+(Y450-N450),K450*Y450/100))</f>
        <v/>
      </c>
      <c r="M450">
        <f>IF($AA450="","",INDEX('Per Line'!$Z$2:$Z$4001,$AA450)&amp;"")</f>
        <v/>
      </c>
      <c r="N450">
        <f>IF($AA450="","",INDEX('Per Line'!$AG$2:$AG$4001,$AA450))</f>
        <v/>
      </c>
      <c r="O450">
        <f>IF($AA450="","",IF(AND(ISNUMBER(N450),N450&gt;0),Y450&gt;N450,FALSE))</f>
        <v/>
      </c>
      <c r="P450" s="7">
        <f>IF($AA450="","",SUMIFS('Per Line'!$Y$2:$Y$4001,'Per Line'!$E$2:$E$4001,$B450,'Per Line'!$AQ$2:$AQ$4001,1))</f>
        <v/>
      </c>
      <c r="Q450">
        <f>IF($AA450="","",Settings!$C$7)</f>
        <v/>
      </c>
      <c r="R450" s="7">
        <f>IF($AA450="","",SUMIFS('Per Line'!$Y$2:$Y$4001,'Per Line'!$E$2:$E$4001,$B450,'Per Line'!$AP$2:$AP$4001,0,'Per Line'!$AQ$2:$AQ$4001,0))</f>
        <v/>
      </c>
      <c r="S450" s="7">
        <f>IF($AA450="","",R450*Q450)</f>
        <v/>
      </c>
      <c r="T450">
        <f>IF($AA450="","",Settings!$C$6)</f>
        <v/>
      </c>
      <c r="U450" s="7">
        <f>IF($AA450="","",SUMIFS('Per Line'!$Y$2:$Y$4001,'Per Line'!$E$2:$E$4001,$B450,'Per Line'!$AP$2:$AP$4001,1,'Per Line'!$AQ$2:$AQ$4001,0))</f>
        <v/>
      </c>
      <c r="V450" s="7">
        <f>IF($AA450="","",U450*T450)</f>
        <v/>
      </c>
      <c r="W450" s="7">
        <f>IF($AA450="","",V450+S450)</f>
        <v/>
      </c>
      <c r="X450" s="7">
        <f>IF($AA450="","",Y450-W450)</f>
        <v/>
      </c>
      <c r="Y450" s="7">
        <f>IF($AA450="","",R450+U450+P450)</f>
        <v/>
      </c>
      <c r="Z450" s="7">
        <f>IF($AA450="","",Y450-W450-L450)</f>
        <v/>
      </c>
      <c r="AA450" s="13">
        <f>IF(ROWS($AA$2:$AA450)&lt;=MAX('Per Line'!$AO$2:$AO$4001),MATCH(ROWS($AA$2:$AA450),'Per Line'!$AO$2:$AO$4001,0),"")</f>
        <v/>
      </c>
      <c r="AB450" s="14">
        <f>IF($AA450="","",L450-K450*Y450/100)</f>
        <v/>
      </c>
    </row>
    <row r="451">
      <c r="A451" s="12" t="n"/>
      <c r="B451">
        <f>IF($AA451="","",INDEX('Per Line'!$E$2:$E$4001,$AA451)&amp;"")</f>
        <v/>
      </c>
      <c r="C451">
        <f>IF($AA451="","",INDEX('Per Line'!$A$2:$A$4001,$AA451)&amp;"")</f>
        <v/>
      </c>
      <c r="D451">
        <f>IF($AA451="","",INDEX('Per Line'!$D$2:$D$4001,$AA451)&amp;"")</f>
        <v/>
      </c>
      <c r="E451" s="11">
        <f>IF($AA451="","",INDEX('Per Line'!$G$2:$G$4001,$AA451))</f>
        <v/>
      </c>
      <c r="F451">
        <f>IF($AA451="","",INDEX('Per Line'!$H$2:$H$4001,$AA451)&amp;"")</f>
        <v/>
      </c>
      <c r="G451">
        <f>IF($AA451="","",INDEX('Per Line'!$I$2:$I$4001,$AA451)&amp;"")</f>
        <v/>
      </c>
      <c r="H451">
        <f>IF($AA451="","",INDEX('Per Line'!$J$2:$J$4001,$AA451)&amp;"")</f>
        <v/>
      </c>
      <c r="I451">
        <f>IF($AA451="","",INDEX('Per Line'!$K$2:$K$4001,$AA451)&amp;"")</f>
        <v/>
      </c>
      <c r="J451">
        <f>IF($AA451="","",INDEX('Per Line'!$L$2:$L$4001,$AA451)&amp;"")</f>
        <v/>
      </c>
      <c r="K451">
        <f>IF($AA451="","",INDEX('Per Line'!$P$2:$P$4001,$AA451))</f>
        <v/>
      </c>
      <c r="L451" s="7">
        <f>IF($AA451="","",IF(AND(ISNUMBER(N451),N451&gt;0,Y451&gt;N451),K451*N451/100+(Y451-N451),K451*Y451/100))</f>
        <v/>
      </c>
      <c r="M451">
        <f>IF($AA451="","",INDEX('Per Line'!$Z$2:$Z$4001,$AA451)&amp;"")</f>
        <v/>
      </c>
      <c r="N451">
        <f>IF($AA451="","",INDEX('Per Line'!$AG$2:$AG$4001,$AA451))</f>
        <v/>
      </c>
      <c r="O451">
        <f>IF($AA451="","",IF(AND(ISNUMBER(N451),N451&gt;0),Y451&gt;N451,FALSE))</f>
        <v/>
      </c>
      <c r="P451" s="7">
        <f>IF($AA451="","",SUMIFS('Per Line'!$Y$2:$Y$4001,'Per Line'!$E$2:$E$4001,$B451,'Per Line'!$AQ$2:$AQ$4001,1))</f>
        <v/>
      </c>
      <c r="Q451">
        <f>IF($AA451="","",Settings!$C$7)</f>
        <v/>
      </c>
      <c r="R451" s="7">
        <f>IF($AA451="","",SUMIFS('Per Line'!$Y$2:$Y$4001,'Per Line'!$E$2:$E$4001,$B451,'Per Line'!$AP$2:$AP$4001,0,'Per Line'!$AQ$2:$AQ$4001,0))</f>
        <v/>
      </c>
      <c r="S451" s="7">
        <f>IF($AA451="","",R451*Q451)</f>
        <v/>
      </c>
      <c r="T451">
        <f>IF($AA451="","",Settings!$C$6)</f>
        <v/>
      </c>
      <c r="U451" s="7">
        <f>IF($AA451="","",SUMIFS('Per Line'!$Y$2:$Y$4001,'Per Line'!$E$2:$E$4001,$B451,'Per Line'!$AP$2:$AP$4001,1,'Per Line'!$AQ$2:$AQ$4001,0))</f>
        <v/>
      </c>
      <c r="V451" s="7">
        <f>IF($AA451="","",U451*T451)</f>
        <v/>
      </c>
      <c r="W451" s="7">
        <f>IF($AA451="","",V451+S451)</f>
        <v/>
      </c>
      <c r="X451" s="7">
        <f>IF($AA451="","",Y451-W451)</f>
        <v/>
      </c>
      <c r="Y451" s="7">
        <f>IF($AA451="","",R451+U451+P451)</f>
        <v/>
      </c>
      <c r="Z451" s="7">
        <f>IF($AA451="","",Y451-W451-L451)</f>
        <v/>
      </c>
      <c r="AA451" s="13">
        <f>IF(ROWS($AA$2:$AA451)&lt;=MAX('Per Line'!$AO$2:$AO$4001),MATCH(ROWS($AA$2:$AA451),'Per Line'!$AO$2:$AO$4001,0),"")</f>
        <v/>
      </c>
      <c r="AB451" s="14">
        <f>IF($AA451="","",L451-K451*Y451/100)</f>
        <v/>
      </c>
    </row>
    <row r="452">
      <c r="A452" s="12" t="n"/>
      <c r="B452">
        <f>IF($AA452="","",INDEX('Per Line'!$E$2:$E$4001,$AA452)&amp;"")</f>
        <v/>
      </c>
      <c r="C452">
        <f>IF($AA452="","",INDEX('Per Line'!$A$2:$A$4001,$AA452)&amp;"")</f>
        <v/>
      </c>
      <c r="D452">
        <f>IF($AA452="","",INDEX('Per Line'!$D$2:$D$4001,$AA452)&amp;"")</f>
        <v/>
      </c>
      <c r="E452" s="11">
        <f>IF($AA452="","",INDEX('Per Line'!$G$2:$G$4001,$AA452))</f>
        <v/>
      </c>
      <c r="F452">
        <f>IF($AA452="","",INDEX('Per Line'!$H$2:$H$4001,$AA452)&amp;"")</f>
        <v/>
      </c>
      <c r="G452">
        <f>IF($AA452="","",INDEX('Per Line'!$I$2:$I$4001,$AA452)&amp;"")</f>
        <v/>
      </c>
      <c r="H452">
        <f>IF($AA452="","",INDEX('Per Line'!$J$2:$J$4001,$AA452)&amp;"")</f>
        <v/>
      </c>
      <c r="I452">
        <f>IF($AA452="","",INDEX('Per Line'!$K$2:$K$4001,$AA452)&amp;"")</f>
        <v/>
      </c>
      <c r="J452">
        <f>IF($AA452="","",INDEX('Per Line'!$L$2:$L$4001,$AA452)&amp;"")</f>
        <v/>
      </c>
      <c r="K452">
        <f>IF($AA452="","",INDEX('Per Line'!$P$2:$P$4001,$AA452))</f>
        <v/>
      </c>
      <c r="L452" s="7">
        <f>IF($AA452="","",IF(AND(ISNUMBER(N452),N452&gt;0,Y452&gt;N452),K452*N452/100+(Y452-N452),K452*Y452/100))</f>
        <v/>
      </c>
      <c r="M452">
        <f>IF($AA452="","",INDEX('Per Line'!$Z$2:$Z$4001,$AA452)&amp;"")</f>
        <v/>
      </c>
      <c r="N452">
        <f>IF($AA452="","",INDEX('Per Line'!$AG$2:$AG$4001,$AA452))</f>
        <v/>
      </c>
      <c r="O452">
        <f>IF($AA452="","",IF(AND(ISNUMBER(N452),N452&gt;0),Y452&gt;N452,FALSE))</f>
        <v/>
      </c>
      <c r="P452" s="7">
        <f>IF($AA452="","",SUMIFS('Per Line'!$Y$2:$Y$4001,'Per Line'!$E$2:$E$4001,$B452,'Per Line'!$AQ$2:$AQ$4001,1))</f>
        <v/>
      </c>
      <c r="Q452">
        <f>IF($AA452="","",Settings!$C$7)</f>
        <v/>
      </c>
      <c r="R452" s="7">
        <f>IF($AA452="","",SUMIFS('Per Line'!$Y$2:$Y$4001,'Per Line'!$E$2:$E$4001,$B452,'Per Line'!$AP$2:$AP$4001,0,'Per Line'!$AQ$2:$AQ$4001,0))</f>
        <v/>
      </c>
      <c r="S452" s="7">
        <f>IF($AA452="","",R452*Q452)</f>
        <v/>
      </c>
      <c r="T452">
        <f>IF($AA452="","",Settings!$C$6)</f>
        <v/>
      </c>
      <c r="U452" s="7">
        <f>IF($AA452="","",SUMIFS('Per Line'!$Y$2:$Y$4001,'Per Line'!$E$2:$E$4001,$B452,'Per Line'!$AP$2:$AP$4001,1,'Per Line'!$AQ$2:$AQ$4001,0))</f>
        <v/>
      </c>
      <c r="V452" s="7">
        <f>IF($AA452="","",U452*T452)</f>
        <v/>
      </c>
      <c r="W452" s="7">
        <f>IF($AA452="","",V452+S452)</f>
        <v/>
      </c>
      <c r="X452" s="7">
        <f>IF($AA452="","",Y452-W452)</f>
        <v/>
      </c>
      <c r="Y452" s="7">
        <f>IF($AA452="","",R452+U452+P452)</f>
        <v/>
      </c>
      <c r="Z452" s="7">
        <f>IF($AA452="","",Y452-W452-L452)</f>
        <v/>
      </c>
      <c r="AA452" s="13">
        <f>IF(ROWS($AA$2:$AA452)&lt;=MAX('Per Line'!$AO$2:$AO$4001),MATCH(ROWS($AA$2:$AA452),'Per Line'!$AO$2:$AO$4001,0),"")</f>
        <v/>
      </c>
      <c r="AB452" s="14">
        <f>IF($AA452="","",L452-K452*Y452/100)</f>
        <v/>
      </c>
    </row>
    <row r="453">
      <c r="A453" s="12" t="n"/>
      <c r="B453">
        <f>IF($AA453="","",INDEX('Per Line'!$E$2:$E$4001,$AA453)&amp;"")</f>
        <v/>
      </c>
      <c r="C453">
        <f>IF($AA453="","",INDEX('Per Line'!$A$2:$A$4001,$AA453)&amp;"")</f>
        <v/>
      </c>
      <c r="D453">
        <f>IF($AA453="","",INDEX('Per Line'!$D$2:$D$4001,$AA453)&amp;"")</f>
        <v/>
      </c>
      <c r="E453" s="11">
        <f>IF($AA453="","",INDEX('Per Line'!$G$2:$G$4001,$AA453))</f>
        <v/>
      </c>
      <c r="F453">
        <f>IF($AA453="","",INDEX('Per Line'!$H$2:$H$4001,$AA453)&amp;"")</f>
        <v/>
      </c>
      <c r="G453">
        <f>IF($AA453="","",INDEX('Per Line'!$I$2:$I$4001,$AA453)&amp;"")</f>
        <v/>
      </c>
      <c r="H453">
        <f>IF($AA453="","",INDEX('Per Line'!$J$2:$J$4001,$AA453)&amp;"")</f>
        <v/>
      </c>
      <c r="I453">
        <f>IF($AA453="","",INDEX('Per Line'!$K$2:$K$4001,$AA453)&amp;"")</f>
        <v/>
      </c>
      <c r="J453">
        <f>IF($AA453="","",INDEX('Per Line'!$L$2:$L$4001,$AA453)&amp;"")</f>
        <v/>
      </c>
      <c r="K453">
        <f>IF($AA453="","",INDEX('Per Line'!$P$2:$P$4001,$AA453))</f>
        <v/>
      </c>
      <c r="L453" s="7">
        <f>IF($AA453="","",IF(AND(ISNUMBER(N453),N453&gt;0,Y453&gt;N453),K453*N453/100+(Y453-N453),K453*Y453/100))</f>
        <v/>
      </c>
      <c r="M453">
        <f>IF($AA453="","",INDEX('Per Line'!$Z$2:$Z$4001,$AA453)&amp;"")</f>
        <v/>
      </c>
      <c r="N453">
        <f>IF($AA453="","",INDEX('Per Line'!$AG$2:$AG$4001,$AA453))</f>
        <v/>
      </c>
      <c r="O453">
        <f>IF($AA453="","",IF(AND(ISNUMBER(N453),N453&gt;0),Y453&gt;N453,FALSE))</f>
        <v/>
      </c>
      <c r="P453" s="7">
        <f>IF($AA453="","",SUMIFS('Per Line'!$Y$2:$Y$4001,'Per Line'!$E$2:$E$4001,$B453,'Per Line'!$AQ$2:$AQ$4001,1))</f>
        <v/>
      </c>
      <c r="Q453">
        <f>IF($AA453="","",Settings!$C$7)</f>
        <v/>
      </c>
      <c r="R453" s="7">
        <f>IF($AA453="","",SUMIFS('Per Line'!$Y$2:$Y$4001,'Per Line'!$E$2:$E$4001,$B453,'Per Line'!$AP$2:$AP$4001,0,'Per Line'!$AQ$2:$AQ$4001,0))</f>
        <v/>
      </c>
      <c r="S453" s="7">
        <f>IF($AA453="","",R453*Q453)</f>
        <v/>
      </c>
      <c r="T453">
        <f>IF($AA453="","",Settings!$C$6)</f>
        <v/>
      </c>
      <c r="U453" s="7">
        <f>IF($AA453="","",SUMIFS('Per Line'!$Y$2:$Y$4001,'Per Line'!$E$2:$E$4001,$B453,'Per Line'!$AP$2:$AP$4001,1,'Per Line'!$AQ$2:$AQ$4001,0))</f>
        <v/>
      </c>
      <c r="V453" s="7">
        <f>IF($AA453="","",U453*T453)</f>
        <v/>
      </c>
      <c r="W453" s="7">
        <f>IF($AA453="","",V453+S453)</f>
        <v/>
      </c>
      <c r="X453" s="7">
        <f>IF($AA453="","",Y453-W453)</f>
        <v/>
      </c>
      <c r="Y453" s="7">
        <f>IF($AA453="","",R453+U453+P453)</f>
        <v/>
      </c>
      <c r="Z453" s="7">
        <f>IF($AA453="","",Y453-W453-L453)</f>
        <v/>
      </c>
      <c r="AA453" s="13">
        <f>IF(ROWS($AA$2:$AA453)&lt;=MAX('Per Line'!$AO$2:$AO$4001),MATCH(ROWS($AA$2:$AA453),'Per Line'!$AO$2:$AO$4001,0),"")</f>
        <v/>
      </c>
      <c r="AB453" s="14">
        <f>IF($AA453="","",L453-K453*Y453/100)</f>
        <v/>
      </c>
    </row>
    <row r="454">
      <c r="A454" s="12" t="n"/>
      <c r="B454">
        <f>IF($AA454="","",INDEX('Per Line'!$E$2:$E$4001,$AA454)&amp;"")</f>
        <v/>
      </c>
      <c r="C454">
        <f>IF($AA454="","",INDEX('Per Line'!$A$2:$A$4001,$AA454)&amp;"")</f>
        <v/>
      </c>
      <c r="D454">
        <f>IF($AA454="","",INDEX('Per Line'!$D$2:$D$4001,$AA454)&amp;"")</f>
        <v/>
      </c>
      <c r="E454" s="11">
        <f>IF($AA454="","",INDEX('Per Line'!$G$2:$G$4001,$AA454))</f>
        <v/>
      </c>
      <c r="F454">
        <f>IF($AA454="","",INDEX('Per Line'!$H$2:$H$4001,$AA454)&amp;"")</f>
        <v/>
      </c>
      <c r="G454">
        <f>IF($AA454="","",INDEX('Per Line'!$I$2:$I$4001,$AA454)&amp;"")</f>
        <v/>
      </c>
      <c r="H454">
        <f>IF($AA454="","",INDEX('Per Line'!$J$2:$J$4001,$AA454)&amp;"")</f>
        <v/>
      </c>
      <c r="I454">
        <f>IF($AA454="","",INDEX('Per Line'!$K$2:$K$4001,$AA454)&amp;"")</f>
        <v/>
      </c>
      <c r="J454">
        <f>IF($AA454="","",INDEX('Per Line'!$L$2:$L$4001,$AA454)&amp;"")</f>
        <v/>
      </c>
      <c r="K454">
        <f>IF($AA454="","",INDEX('Per Line'!$P$2:$P$4001,$AA454))</f>
        <v/>
      </c>
      <c r="L454" s="7">
        <f>IF($AA454="","",IF(AND(ISNUMBER(N454),N454&gt;0,Y454&gt;N454),K454*N454/100+(Y454-N454),K454*Y454/100))</f>
        <v/>
      </c>
      <c r="M454">
        <f>IF($AA454="","",INDEX('Per Line'!$Z$2:$Z$4001,$AA454)&amp;"")</f>
        <v/>
      </c>
      <c r="N454">
        <f>IF($AA454="","",INDEX('Per Line'!$AG$2:$AG$4001,$AA454))</f>
        <v/>
      </c>
      <c r="O454">
        <f>IF($AA454="","",IF(AND(ISNUMBER(N454),N454&gt;0),Y454&gt;N454,FALSE))</f>
        <v/>
      </c>
      <c r="P454" s="7">
        <f>IF($AA454="","",SUMIFS('Per Line'!$Y$2:$Y$4001,'Per Line'!$E$2:$E$4001,$B454,'Per Line'!$AQ$2:$AQ$4001,1))</f>
        <v/>
      </c>
      <c r="Q454">
        <f>IF($AA454="","",Settings!$C$7)</f>
        <v/>
      </c>
      <c r="R454" s="7">
        <f>IF($AA454="","",SUMIFS('Per Line'!$Y$2:$Y$4001,'Per Line'!$E$2:$E$4001,$B454,'Per Line'!$AP$2:$AP$4001,0,'Per Line'!$AQ$2:$AQ$4001,0))</f>
        <v/>
      </c>
      <c r="S454" s="7">
        <f>IF($AA454="","",R454*Q454)</f>
        <v/>
      </c>
      <c r="T454">
        <f>IF($AA454="","",Settings!$C$6)</f>
        <v/>
      </c>
      <c r="U454" s="7">
        <f>IF($AA454="","",SUMIFS('Per Line'!$Y$2:$Y$4001,'Per Line'!$E$2:$E$4001,$B454,'Per Line'!$AP$2:$AP$4001,1,'Per Line'!$AQ$2:$AQ$4001,0))</f>
        <v/>
      </c>
      <c r="V454" s="7">
        <f>IF($AA454="","",U454*T454)</f>
        <v/>
      </c>
      <c r="W454" s="7">
        <f>IF($AA454="","",V454+S454)</f>
        <v/>
      </c>
      <c r="X454" s="7">
        <f>IF($AA454="","",Y454-W454)</f>
        <v/>
      </c>
      <c r="Y454" s="7">
        <f>IF($AA454="","",R454+U454+P454)</f>
        <v/>
      </c>
      <c r="Z454" s="7">
        <f>IF($AA454="","",Y454-W454-L454)</f>
        <v/>
      </c>
      <c r="AA454" s="13">
        <f>IF(ROWS($AA$2:$AA454)&lt;=MAX('Per Line'!$AO$2:$AO$4001),MATCH(ROWS($AA$2:$AA454),'Per Line'!$AO$2:$AO$4001,0),"")</f>
        <v/>
      </c>
      <c r="AB454" s="14">
        <f>IF($AA454="","",L454-K454*Y454/100)</f>
        <v/>
      </c>
    </row>
    <row r="455">
      <c r="A455" s="12" t="n"/>
      <c r="B455">
        <f>IF($AA455="","",INDEX('Per Line'!$E$2:$E$4001,$AA455)&amp;"")</f>
        <v/>
      </c>
      <c r="C455">
        <f>IF($AA455="","",INDEX('Per Line'!$A$2:$A$4001,$AA455)&amp;"")</f>
        <v/>
      </c>
      <c r="D455">
        <f>IF($AA455="","",INDEX('Per Line'!$D$2:$D$4001,$AA455)&amp;"")</f>
        <v/>
      </c>
      <c r="E455" s="11">
        <f>IF($AA455="","",INDEX('Per Line'!$G$2:$G$4001,$AA455))</f>
        <v/>
      </c>
      <c r="F455">
        <f>IF($AA455="","",INDEX('Per Line'!$H$2:$H$4001,$AA455)&amp;"")</f>
        <v/>
      </c>
      <c r="G455">
        <f>IF($AA455="","",INDEX('Per Line'!$I$2:$I$4001,$AA455)&amp;"")</f>
        <v/>
      </c>
      <c r="H455">
        <f>IF($AA455="","",INDEX('Per Line'!$J$2:$J$4001,$AA455)&amp;"")</f>
        <v/>
      </c>
      <c r="I455">
        <f>IF($AA455="","",INDEX('Per Line'!$K$2:$K$4001,$AA455)&amp;"")</f>
        <v/>
      </c>
      <c r="J455">
        <f>IF($AA455="","",INDEX('Per Line'!$L$2:$L$4001,$AA455)&amp;"")</f>
        <v/>
      </c>
      <c r="K455">
        <f>IF($AA455="","",INDEX('Per Line'!$P$2:$P$4001,$AA455))</f>
        <v/>
      </c>
      <c r="L455" s="7">
        <f>IF($AA455="","",IF(AND(ISNUMBER(N455),N455&gt;0,Y455&gt;N455),K455*N455/100+(Y455-N455),K455*Y455/100))</f>
        <v/>
      </c>
      <c r="M455">
        <f>IF($AA455="","",INDEX('Per Line'!$Z$2:$Z$4001,$AA455)&amp;"")</f>
        <v/>
      </c>
      <c r="N455">
        <f>IF($AA455="","",INDEX('Per Line'!$AG$2:$AG$4001,$AA455))</f>
        <v/>
      </c>
      <c r="O455">
        <f>IF($AA455="","",IF(AND(ISNUMBER(N455),N455&gt;0),Y455&gt;N455,FALSE))</f>
        <v/>
      </c>
      <c r="P455" s="7">
        <f>IF($AA455="","",SUMIFS('Per Line'!$Y$2:$Y$4001,'Per Line'!$E$2:$E$4001,$B455,'Per Line'!$AQ$2:$AQ$4001,1))</f>
        <v/>
      </c>
      <c r="Q455">
        <f>IF($AA455="","",Settings!$C$7)</f>
        <v/>
      </c>
      <c r="R455" s="7">
        <f>IF($AA455="","",SUMIFS('Per Line'!$Y$2:$Y$4001,'Per Line'!$E$2:$E$4001,$B455,'Per Line'!$AP$2:$AP$4001,0,'Per Line'!$AQ$2:$AQ$4001,0))</f>
        <v/>
      </c>
      <c r="S455" s="7">
        <f>IF($AA455="","",R455*Q455)</f>
        <v/>
      </c>
      <c r="T455">
        <f>IF($AA455="","",Settings!$C$6)</f>
        <v/>
      </c>
      <c r="U455" s="7">
        <f>IF($AA455="","",SUMIFS('Per Line'!$Y$2:$Y$4001,'Per Line'!$E$2:$E$4001,$B455,'Per Line'!$AP$2:$AP$4001,1,'Per Line'!$AQ$2:$AQ$4001,0))</f>
        <v/>
      </c>
      <c r="V455" s="7">
        <f>IF($AA455="","",U455*T455)</f>
        <v/>
      </c>
      <c r="W455" s="7">
        <f>IF($AA455="","",V455+S455)</f>
        <v/>
      </c>
      <c r="X455" s="7">
        <f>IF($AA455="","",Y455-W455)</f>
        <v/>
      </c>
      <c r="Y455" s="7">
        <f>IF($AA455="","",R455+U455+P455)</f>
        <v/>
      </c>
      <c r="Z455" s="7">
        <f>IF($AA455="","",Y455-W455-L455)</f>
        <v/>
      </c>
      <c r="AA455" s="13">
        <f>IF(ROWS($AA$2:$AA455)&lt;=MAX('Per Line'!$AO$2:$AO$4001),MATCH(ROWS($AA$2:$AA455),'Per Line'!$AO$2:$AO$4001,0),"")</f>
        <v/>
      </c>
      <c r="AB455" s="14">
        <f>IF($AA455="","",L455-K455*Y455/100)</f>
        <v/>
      </c>
    </row>
    <row r="456">
      <c r="A456" s="12" t="n"/>
      <c r="B456">
        <f>IF($AA456="","",INDEX('Per Line'!$E$2:$E$4001,$AA456)&amp;"")</f>
        <v/>
      </c>
      <c r="C456">
        <f>IF($AA456="","",INDEX('Per Line'!$A$2:$A$4001,$AA456)&amp;"")</f>
        <v/>
      </c>
      <c r="D456">
        <f>IF($AA456="","",INDEX('Per Line'!$D$2:$D$4001,$AA456)&amp;"")</f>
        <v/>
      </c>
      <c r="E456" s="11">
        <f>IF($AA456="","",INDEX('Per Line'!$G$2:$G$4001,$AA456))</f>
        <v/>
      </c>
      <c r="F456">
        <f>IF($AA456="","",INDEX('Per Line'!$H$2:$H$4001,$AA456)&amp;"")</f>
        <v/>
      </c>
      <c r="G456">
        <f>IF($AA456="","",INDEX('Per Line'!$I$2:$I$4001,$AA456)&amp;"")</f>
        <v/>
      </c>
      <c r="H456">
        <f>IF($AA456="","",INDEX('Per Line'!$J$2:$J$4001,$AA456)&amp;"")</f>
        <v/>
      </c>
      <c r="I456">
        <f>IF($AA456="","",INDEX('Per Line'!$K$2:$K$4001,$AA456)&amp;"")</f>
        <v/>
      </c>
      <c r="J456">
        <f>IF($AA456="","",INDEX('Per Line'!$L$2:$L$4001,$AA456)&amp;"")</f>
        <v/>
      </c>
      <c r="K456">
        <f>IF($AA456="","",INDEX('Per Line'!$P$2:$P$4001,$AA456))</f>
        <v/>
      </c>
      <c r="L456" s="7">
        <f>IF($AA456="","",IF(AND(ISNUMBER(N456),N456&gt;0,Y456&gt;N456),K456*N456/100+(Y456-N456),K456*Y456/100))</f>
        <v/>
      </c>
      <c r="M456">
        <f>IF($AA456="","",INDEX('Per Line'!$Z$2:$Z$4001,$AA456)&amp;"")</f>
        <v/>
      </c>
      <c r="N456">
        <f>IF($AA456="","",INDEX('Per Line'!$AG$2:$AG$4001,$AA456))</f>
        <v/>
      </c>
      <c r="O456">
        <f>IF($AA456="","",IF(AND(ISNUMBER(N456),N456&gt;0),Y456&gt;N456,FALSE))</f>
        <v/>
      </c>
      <c r="P456" s="7">
        <f>IF($AA456="","",SUMIFS('Per Line'!$Y$2:$Y$4001,'Per Line'!$E$2:$E$4001,$B456,'Per Line'!$AQ$2:$AQ$4001,1))</f>
        <v/>
      </c>
      <c r="Q456">
        <f>IF($AA456="","",Settings!$C$7)</f>
        <v/>
      </c>
      <c r="R456" s="7">
        <f>IF($AA456="","",SUMIFS('Per Line'!$Y$2:$Y$4001,'Per Line'!$E$2:$E$4001,$B456,'Per Line'!$AP$2:$AP$4001,0,'Per Line'!$AQ$2:$AQ$4001,0))</f>
        <v/>
      </c>
      <c r="S456" s="7">
        <f>IF($AA456="","",R456*Q456)</f>
        <v/>
      </c>
      <c r="T456">
        <f>IF($AA456="","",Settings!$C$6)</f>
        <v/>
      </c>
      <c r="U456" s="7">
        <f>IF($AA456="","",SUMIFS('Per Line'!$Y$2:$Y$4001,'Per Line'!$E$2:$E$4001,$B456,'Per Line'!$AP$2:$AP$4001,1,'Per Line'!$AQ$2:$AQ$4001,0))</f>
        <v/>
      </c>
      <c r="V456" s="7">
        <f>IF($AA456="","",U456*T456)</f>
        <v/>
      </c>
      <c r="W456" s="7">
        <f>IF($AA456="","",V456+S456)</f>
        <v/>
      </c>
      <c r="X456" s="7">
        <f>IF($AA456="","",Y456-W456)</f>
        <v/>
      </c>
      <c r="Y456" s="7">
        <f>IF($AA456="","",R456+U456+P456)</f>
        <v/>
      </c>
      <c r="Z456" s="7">
        <f>IF($AA456="","",Y456-W456-L456)</f>
        <v/>
      </c>
      <c r="AA456" s="13">
        <f>IF(ROWS($AA$2:$AA456)&lt;=MAX('Per Line'!$AO$2:$AO$4001),MATCH(ROWS($AA$2:$AA456),'Per Line'!$AO$2:$AO$4001,0),"")</f>
        <v/>
      </c>
      <c r="AB456" s="14">
        <f>IF($AA456="","",L456-K456*Y456/100)</f>
        <v/>
      </c>
    </row>
    <row r="457">
      <c r="A457" s="12" t="n"/>
      <c r="B457">
        <f>IF($AA457="","",INDEX('Per Line'!$E$2:$E$4001,$AA457)&amp;"")</f>
        <v/>
      </c>
      <c r="C457">
        <f>IF($AA457="","",INDEX('Per Line'!$A$2:$A$4001,$AA457)&amp;"")</f>
        <v/>
      </c>
      <c r="D457">
        <f>IF($AA457="","",INDEX('Per Line'!$D$2:$D$4001,$AA457)&amp;"")</f>
        <v/>
      </c>
      <c r="E457" s="11">
        <f>IF($AA457="","",INDEX('Per Line'!$G$2:$G$4001,$AA457))</f>
        <v/>
      </c>
      <c r="F457">
        <f>IF($AA457="","",INDEX('Per Line'!$H$2:$H$4001,$AA457)&amp;"")</f>
        <v/>
      </c>
      <c r="G457">
        <f>IF($AA457="","",INDEX('Per Line'!$I$2:$I$4001,$AA457)&amp;"")</f>
        <v/>
      </c>
      <c r="H457">
        <f>IF($AA457="","",INDEX('Per Line'!$J$2:$J$4001,$AA457)&amp;"")</f>
        <v/>
      </c>
      <c r="I457">
        <f>IF($AA457="","",INDEX('Per Line'!$K$2:$K$4001,$AA457)&amp;"")</f>
        <v/>
      </c>
      <c r="J457">
        <f>IF($AA457="","",INDEX('Per Line'!$L$2:$L$4001,$AA457)&amp;"")</f>
        <v/>
      </c>
      <c r="K457">
        <f>IF($AA457="","",INDEX('Per Line'!$P$2:$P$4001,$AA457))</f>
        <v/>
      </c>
      <c r="L457" s="7">
        <f>IF($AA457="","",IF(AND(ISNUMBER(N457),N457&gt;0,Y457&gt;N457),K457*N457/100+(Y457-N457),K457*Y457/100))</f>
        <v/>
      </c>
      <c r="M457">
        <f>IF($AA457="","",INDEX('Per Line'!$Z$2:$Z$4001,$AA457)&amp;"")</f>
        <v/>
      </c>
      <c r="N457">
        <f>IF($AA457="","",INDEX('Per Line'!$AG$2:$AG$4001,$AA457))</f>
        <v/>
      </c>
      <c r="O457">
        <f>IF($AA457="","",IF(AND(ISNUMBER(N457),N457&gt;0),Y457&gt;N457,FALSE))</f>
        <v/>
      </c>
      <c r="P457" s="7">
        <f>IF($AA457="","",SUMIFS('Per Line'!$Y$2:$Y$4001,'Per Line'!$E$2:$E$4001,$B457,'Per Line'!$AQ$2:$AQ$4001,1))</f>
        <v/>
      </c>
      <c r="Q457">
        <f>IF($AA457="","",Settings!$C$7)</f>
        <v/>
      </c>
      <c r="R457" s="7">
        <f>IF($AA457="","",SUMIFS('Per Line'!$Y$2:$Y$4001,'Per Line'!$E$2:$E$4001,$B457,'Per Line'!$AP$2:$AP$4001,0,'Per Line'!$AQ$2:$AQ$4001,0))</f>
        <v/>
      </c>
      <c r="S457" s="7">
        <f>IF($AA457="","",R457*Q457)</f>
        <v/>
      </c>
      <c r="T457">
        <f>IF($AA457="","",Settings!$C$6)</f>
        <v/>
      </c>
      <c r="U457" s="7">
        <f>IF($AA457="","",SUMIFS('Per Line'!$Y$2:$Y$4001,'Per Line'!$E$2:$E$4001,$B457,'Per Line'!$AP$2:$AP$4001,1,'Per Line'!$AQ$2:$AQ$4001,0))</f>
        <v/>
      </c>
      <c r="V457" s="7">
        <f>IF($AA457="","",U457*T457)</f>
        <v/>
      </c>
      <c r="W457" s="7">
        <f>IF($AA457="","",V457+S457)</f>
        <v/>
      </c>
      <c r="X457" s="7">
        <f>IF($AA457="","",Y457-W457)</f>
        <v/>
      </c>
      <c r="Y457" s="7">
        <f>IF($AA457="","",R457+U457+P457)</f>
        <v/>
      </c>
      <c r="Z457" s="7">
        <f>IF($AA457="","",Y457-W457-L457)</f>
        <v/>
      </c>
      <c r="AA457" s="13">
        <f>IF(ROWS($AA$2:$AA457)&lt;=MAX('Per Line'!$AO$2:$AO$4001),MATCH(ROWS($AA$2:$AA457),'Per Line'!$AO$2:$AO$4001,0),"")</f>
        <v/>
      </c>
      <c r="AB457" s="14">
        <f>IF($AA457="","",L457-K457*Y457/100)</f>
        <v/>
      </c>
    </row>
    <row r="458">
      <c r="A458" s="12" t="n"/>
      <c r="B458">
        <f>IF($AA458="","",INDEX('Per Line'!$E$2:$E$4001,$AA458)&amp;"")</f>
        <v/>
      </c>
      <c r="C458">
        <f>IF($AA458="","",INDEX('Per Line'!$A$2:$A$4001,$AA458)&amp;"")</f>
        <v/>
      </c>
      <c r="D458">
        <f>IF($AA458="","",INDEX('Per Line'!$D$2:$D$4001,$AA458)&amp;"")</f>
        <v/>
      </c>
      <c r="E458" s="11">
        <f>IF($AA458="","",INDEX('Per Line'!$G$2:$G$4001,$AA458))</f>
        <v/>
      </c>
      <c r="F458">
        <f>IF($AA458="","",INDEX('Per Line'!$H$2:$H$4001,$AA458)&amp;"")</f>
        <v/>
      </c>
      <c r="G458">
        <f>IF($AA458="","",INDEX('Per Line'!$I$2:$I$4001,$AA458)&amp;"")</f>
        <v/>
      </c>
      <c r="H458">
        <f>IF($AA458="","",INDEX('Per Line'!$J$2:$J$4001,$AA458)&amp;"")</f>
        <v/>
      </c>
      <c r="I458">
        <f>IF($AA458="","",INDEX('Per Line'!$K$2:$K$4001,$AA458)&amp;"")</f>
        <v/>
      </c>
      <c r="J458">
        <f>IF($AA458="","",INDEX('Per Line'!$L$2:$L$4001,$AA458)&amp;"")</f>
        <v/>
      </c>
      <c r="K458">
        <f>IF($AA458="","",INDEX('Per Line'!$P$2:$P$4001,$AA458))</f>
        <v/>
      </c>
      <c r="L458" s="7">
        <f>IF($AA458="","",IF(AND(ISNUMBER(N458),N458&gt;0,Y458&gt;N458),K458*N458/100+(Y458-N458),K458*Y458/100))</f>
        <v/>
      </c>
      <c r="M458">
        <f>IF($AA458="","",INDEX('Per Line'!$Z$2:$Z$4001,$AA458)&amp;"")</f>
        <v/>
      </c>
      <c r="N458">
        <f>IF($AA458="","",INDEX('Per Line'!$AG$2:$AG$4001,$AA458))</f>
        <v/>
      </c>
      <c r="O458">
        <f>IF($AA458="","",IF(AND(ISNUMBER(N458),N458&gt;0),Y458&gt;N458,FALSE))</f>
        <v/>
      </c>
      <c r="P458" s="7">
        <f>IF($AA458="","",SUMIFS('Per Line'!$Y$2:$Y$4001,'Per Line'!$E$2:$E$4001,$B458,'Per Line'!$AQ$2:$AQ$4001,1))</f>
        <v/>
      </c>
      <c r="Q458">
        <f>IF($AA458="","",Settings!$C$7)</f>
        <v/>
      </c>
      <c r="R458" s="7">
        <f>IF($AA458="","",SUMIFS('Per Line'!$Y$2:$Y$4001,'Per Line'!$E$2:$E$4001,$B458,'Per Line'!$AP$2:$AP$4001,0,'Per Line'!$AQ$2:$AQ$4001,0))</f>
        <v/>
      </c>
      <c r="S458" s="7">
        <f>IF($AA458="","",R458*Q458)</f>
        <v/>
      </c>
      <c r="T458">
        <f>IF($AA458="","",Settings!$C$6)</f>
        <v/>
      </c>
      <c r="U458" s="7">
        <f>IF($AA458="","",SUMIFS('Per Line'!$Y$2:$Y$4001,'Per Line'!$E$2:$E$4001,$B458,'Per Line'!$AP$2:$AP$4001,1,'Per Line'!$AQ$2:$AQ$4001,0))</f>
        <v/>
      </c>
      <c r="V458" s="7">
        <f>IF($AA458="","",U458*T458)</f>
        <v/>
      </c>
      <c r="W458" s="7">
        <f>IF($AA458="","",V458+S458)</f>
        <v/>
      </c>
      <c r="X458" s="7">
        <f>IF($AA458="","",Y458-W458)</f>
        <v/>
      </c>
      <c r="Y458" s="7">
        <f>IF($AA458="","",R458+U458+P458)</f>
        <v/>
      </c>
      <c r="Z458" s="7">
        <f>IF($AA458="","",Y458-W458-L458)</f>
        <v/>
      </c>
      <c r="AA458" s="13">
        <f>IF(ROWS($AA$2:$AA458)&lt;=MAX('Per Line'!$AO$2:$AO$4001),MATCH(ROWS($AA$2:$AA458),'Per Line'!$AO$2:$AO$4001,0),"")</f>
        <v/>
      </c>
      <c r="AB458" s="14">
        <f>IF($AA458="","",L458-K458*Y458/100)</f>
        <v/>
      </c>
    </row>
    <row r="459">
      <c r="A459" s="12" t="n"/>
      <c r="B459">
        <f>IF($AA459="","",INDEX('Per Line'!$E$2:$E$4001,$AA459)&amp;"")</f>
        <v/>
      </c>
      <c r="C459">
        <f>IF($AA459="","",INDEX('Per Line'!$A$2:$A$4001,$AA459)&amp;"")</f>
        <v/>
      </c>
      <c r="D459">
        <f>IF($AA459="","",INDEX('Per Line'!$D$2:$D$4001,$AA459)&amp;"")</f>
        <v/>
      </c>
      <c r="E459" s="11">
        <f>IF($AA459="","",INDEX('Per Line'!$G$2:$G$4001,$AA459))</f>
        <v/>
      </c>
      <c r="F459">
        <f>IF($AA459="","",INDEX('Per Line'!$H$2:$H$4001,$AA459)&amp;"")</f>
        <v/>
      </c>
      <c r="G459">
        <f>IF($AA459="","",INDEX('Per Line'!$I$2:$I$4001,$AA459)&amp;"")</f>
        <v/>
      </c>
      <c r="H459">
        <f>IF($AA459="","",INDEX('Per Line'!$J$2:$J$4001,$AA459)&amp;"")</f>
        <v/>
      </c>
      <c r="I459">
        <f>IF($AA459="","",INDEX('Per Line'!$K$2:$K$4001,$AA459)&amp;"")</f>
        <v/>
      </c>
      <c r="J459">
        <f>IF($AA459="","",INDEX('Per Line'!$L$2:$L$4001,$AA459)&amp;"")</f>
        <v/>
      </c>
      <c r="K459">
        <f>IF($AA459="","",INDEX('Per Line'!$P$2:$P$4001,$AA459))</f>
        <v/>
      </c>
      <c r="L459" s="7">
        <f>IF($AA459="","",IF(AND(ISNUMBER(N459),N459&gt;0,Y459&gt;N459),K459*N459/100+(Y459-N459),K459*Y459/100))</f>
        <v/>
      </c>
      <c r="M459">
        <f>IF($AA459="","",INDEX('Per Line'!$Z$2:$Z$4001,$AA459)&amp;"")</f>
        <v/>
      </c>
      <c r="N459">
        <f>IF($AA459="","",INDEX('Per Line'!$AG$2:$AG$4001,$AA459))</f>
        <v/>
      </c>
      <c r="O459">
        <f>IF($AA459="","",IF(AND(ISNUMBER(N459),N459&gt;0),Y459&gt;N459,FALSE))</f>
        <v/>
      </c>
      <c r="P459" s="7">
        <f>IF($AA459="","",SUMIFS('Per Line'!$Y$2:$Y$4001,'Per Line'!$E$2:$E$4001,$B459,'Per Line'!$AQ$2:$AQ$4001,1))</f>
        <v/>
      </c>
      <c r="Q459">
        <f>IF($AA459="","",Settings!$C$7)</f>
        <v/>
      </c>
      <c r="R459" s="7">
        <f>IF($AA459="","",SUMIFS('Per Line'!$Y$2:$Y$4001,'Per Line'!$E$2:$E$4001,$B459,'Per Line'!$AP$2:$AP$4001,0,'Per Line'!$AQ$2:$AQ$4001,0))</f>
        <v/>
      </c>
      <c r="S459" s="7">
        <f>IF($AA459="","",R459*Q459)</f>
        <v/>
      </c>
      <c r="T459">
        <f>IF($AA459="","",Settings!$C$6)</f>
        <v/>
      </c>
      <c r="U459" s="7">
        <f>IF($AA459="","",SUMIFS('Per Line'!$Y$2:$Y$4001,'Per Line'!$E$2:$E$4001,$B459,'Per Line'!$AP$2:$AP$4001,1,'Per Line'!$AQ$2:$AQ$4001,0))</f>
        <v/>
      </c>
      <c r="V459" s="7">
        <f>IF($AA459="","",U459*T459)</f>
        <v/>
      </c>
      <c r="W459" s="7">
        <f>IF($AA459="","",V459+S459)</f>
        <v/>
      </c>
      <c r="X459" s="7">
        <f>IF($AA459="","",Y459-W459)</f>
        <v/>
      </c>
      <c r="Y459" s="7">
        <f>IF($AA459="","",R459+U459+P459)</f>
        <v/>
      </c>
      <c r="Z459" s="7">
        <f>IF($AA459="","",Y459-W459-L459)</f>
        <v/>
      </c>
      <c r="AA459" s="13">
        <f>IF(ROWS($AA$2:$AA459)&lt;=MAX('Per Line'!$AO$2:$AO$4001),MATCH(ROWS($AA$2:$AA459),'Per Line'!$AO$2:$AO$4001,0),"")</f>
        <v/>
      </c>
      <c r="AB459" s="14">
        <f>IF($AA459="","",L459-K459*Y459/100)</f>
        <v/>
      </c>
    </row>
    <row r="460">
      <c r="A460" s="12" t="n"/>
      <c r="B460">
        <f>IF($AA460="","",INDEX('Per Line'!$E$2:$E$4001,$AA460)&amp;"")</f>
        <v/>
      </c>
      <c r="C460">
        <f>IF($AA460="","",INDEX('Per Line'!$A$2:$A$4001,$AA460)&amp;"")</f>
        <v/>
      </c>
      <c r="D460">
        <f>IF($AA460="","",INDEX('Per Line'!$D$2:$D$4001,$AA460)&amp;"")</f>
        <v/>
      </c>
      <c r="E460" s="11">
        <f>IF($AA460="","",INDEX('Per Line'!$G$2:$G$4001,$AA460))</f>
        <v/>
      </c>
      <c r="F460">
        <f>IF($AA460="","",INDEX('Per Line'!$H$2:$H$4001,$AA460)&amp;"")</f>
        <v/>
      </c>
      <c r="G460">
        <f>IF($AA460="","",INDEX('Per Line'!$I$2:$I$4001,$AA460)&amp;"")</f>
        <v/>
      </c>
      <c r="H460">
        <f>IF($AA460="","",INDEX('Per Line'!$J$2:$J$4001,$AA460)&amp;"")</f>
        <v/>
      </c>
      <c r="I460">
        <f>IF($AA460="","",INDEX('Per Line'!$K$2:$K$4001,$AA460)&amp;"")</f>
        <v/>
      </c>
      <c r="J460">
        <f>IF($AA460="","",INDEX('Per Line'!$L$2:$L$4001,$AA460)&amp;"")</f>
        <v/>
      </c>
      <c r="K460">
        <f>IF($AA460="","",INDEX('Per Line'!$P$2:$P$4001,$AA460))</f>
        <v/>
      </c>
      <c r="L460" s="7">
        <f>IF($AA460="","",IF(AND(ISNUMBER(N460),N460&gt;0,Y460&gt;N460),K460*N460/100+(Y460-N460),K460*Y460/100))</f>
        <v/>
      </c>
      <c r="M460">
        <f>IF($AA460="","",INDEX('Per Line'!$Z$2:$Z$4001,$AA460)&amp;"")</f>
        <v/>
      </c>
      <c r="N460">
        <f>IF($AA460="","",INDEX('Per Line'!$AG$2:$AG$4001,$AA460))</f>
        <v/>
      </c>
      <c r="O460">
        <f>IF($AA460="","",IF(AND(ISNUMBER(N460),N460&gt;0),Y460&gt;N460,FALSE))</f>
        <v/>
      </c>
      <c r="P460" s="7">
        <f>IF($AA460="","",SUMIFS('Per Line'!$Y$2:$Y$4001,'Per Line'!$E$2:$E$4001,$B460,'Per Line'!$AQ$2:$AQ$4001,1))</f>
        <v/>
      </c>
      <c r="Q460">
        <f>IF($AA460="","",Settings!$C$7)</f>
        <v/>
      </c>
      <c r="R460" s="7">
        <f>IF($AA460="","",SUMIFS('Per Line'!$Y$2:$Y$4001,'Per Line'!$E$2:$E$4001,$B460,'Per Line'!$AP$2:$AP$4001,0,'Per Line'!$AQ$2:$AQ$4001,0))</f>
        <v/>
      </c>
      <c r="S460" s="7">
        <f>IF($AA460="","",R460*Q460)</f>
        <v/>
      </c>
      <c r="T460">
        <f>IF($AA460="","",Settings!$C$6)</f>
        <v/>
      </c>
      <c r="U460" s="7">
        <f>IF($AA460="","",SUMIFS('Per Line'!$Y$2:$Y$4001,'Per Line'!$E$2:$E$4001,$B460,'Per Line'!$AP$2:$AP$4001,1,'Per Line'!$AQ$2:$AQ$4001,0))</f>
        <v/>
      </c>
      <c r="V460" s="7">
        <f>IF($AA460="","",U460*T460)</f>
        <v/>
      </c>
      <c r="W460" s="7">
        <f>IF($AA460="","",V460+S460)</f>
        <v/>
      </c>
      <c r="X460" s="7">
        <f>IF($AA460="","",Y460-W460)</f>
        <v/>
      </c>
      <c r="Y460" s="7">
        <f>IF($AA460="","",R460+U460+P460)</f>
        <v/>
      </c>
      <c r="Z460" s="7">
        <f>IF($AA460="","",Y460-W460-L460)</f>
        <v/>
      </c>
      <c r="AA460" s="13">
        <f>IF(ROWS($AA$2:$AA460)&lt;=MAX('Per Line'!$AO$2:$AO$4001),MATCH(ROWS($AA$2:$AA460),'Per Line'!$AO$2:$AO$4001,0),"")</f>
        <v/>
      </c>
      <c r="AB460" s="14">
        <f>IF($AA460="","",L460-K460*Y460/100)</f>
        <v/>
      </c>
    </row>
    <row r="461">
      <c r="A461" s="12" t="n"/>
      <c r="B461">
        <f>IF($AA461="","",INDEX('Per Line'!$E$2:$E$4001,$AA461)&amp;"")</f>
        <v/>
      </c>
      <c r="C461">
        <f>IF($AA461="","",INDEX('Per Line'!$A$2:$A$4001,$AA461)&amp;"")</f>
        <v/>
      </c>
      <c r="D461">
        <f>IF($AA461="","",INDEX('Per Line'!$D$2:$D$4001,$AA461)&amp;"")</f>
        <v/>
      </c>
      <c r="E461" s="11">
        <f>IF($AA461="","",INDEX('Per Line'!$G$2:$G$4001,$AA461))</f>
        <v/>
      </c>
      <c r="F461">
        <f>IF($AA461="","",INDEX('Per Line'!$H$2:$H$4001,$AA461)&amp;"")</f>
        <v/>
      </c>
      <c r="G461">
        <f>IF($AA461="","",INDEX('Per Line'!$I$2:$I$4001,$AA461)&amp;"")</f>
        <v/>
      </c>
      <c r="H461">
        <f>IF($AA461="","",INDEX('Per Line'!$J$2:$J$4001,$AA461)&amp;"")</f>
        <v/>
      </c>
      <c r="I461">
        <f>IF($AA461="","",INDEX('Per Line'!$K$2:$K$4001,$AA461)&amp;"")</f>
        <v/>
      </c>
      <c r="J461">
        <f>IF($AA461="","",INDEX('Per Line'!$L$2:$L$4001,$AA461)&amp;"")</f>
        <v/>
      </c>
      <c r="K461">
        <f>IF($AA461="","",INDEX('Per Line'!$P$2:$P$4001,$AA461))</f>
        <v/>
      </c>
      <c r="L461" s="7">
        <f>IF($AA461="","",IF(AND(ISNUMBER(N461),N461&gt;0,Y461&gt;N461),K461*N461/100+(Y461-N461),K461*Y461/100))</f>
        <v/>
      </c>
      <c r="M461">
        <f>IF($AA461="","",INDEX('Per Line'!$Z$2:$Z$4001,$AA461)&amp;"")</f>
        <v/>
      </c>
      <c r="N461">
        <f>IF($AA461="","",INDEX('Per Line'!$AG$2:$AG$4001,$AA461))</f>
        <v/>
      </c>
      <c r="O461">
        <f>IF($AA461="","",IF(AND(ISNUMBER(N461),N461&gt;0),Y461&gt;N461,FALSE))</f>
        <v/>
      </c>
      <c r="P461" s="7">
        <f>IF($AA461="","",SUMIFS('Per Line'!$Y$2:$Y$4001,'Per Line'!$E$2:$E$4001,$B461,'Per Line'!$AQ$2:$AQ$4001,1))</f>
        <v/>
      </c>
      <c r="Q461">
        <f>IF($AA461="","",Settings!$C$7)</f>
        <v/>
      </c>
      <c r="R461" s="7">
        <f>IF($AA461="","",SUMIFS('Per Line'!$Y$2:$Y$4001,'Per Line'!$E$2:$E$4001,$B461,'Per Line'!$AP$2:$AP$4001,0,'Per Line'!$AQ$2:$AQ$4001,0))</f>
        <v/>
      </c>
      <c r="S461" s="7">
        <f>IF($AA461="","",R461*Q461)</f>
        <v/>
      </c>
      <c r="T461">
        <f>IF($AA461="","",Settings!$C$6)</f>
        <v/>
      </c>
      <c r="U461" s="7">
        <f>IF($AA461="","",SUMIFS('Per Line'!$Y$2:$Y$4001,'Per Line'!$E$2:$E$4001,$B461,'Per Line'!$AP$2:$AP$4001,1,'Per Line'!$AQ$2:$AQ$4001,0))</f>
        <v/>
      </c>
      <c r="V461" s="7">
        <f>IF($AA461="","",U461*T461)</f>
        <v/>
      </c>
      <c r="W461" s="7">
        <f>IF($AA461="","",V461+S461)</f>
        <v/>
      </c>
      <c r="X461" s="7">
        <f>IF($AA461="","",Y461-W461)</f>
        <v/>
      </c>
      <c r="Y461" s="7">
        <f>IF($AA461="","",R461+U461+P461)</f>
        <v/>
      </c>
      <c r="Z461" s="7">
        <f>IF($AA461="","",Y461-W461-L461)</f>
        <v/>
      </c>
      <c r="AA461" s="13">
        <f>IF(ROWS($AA$2:$AA461)&lt;=MAX('Per Line'!$AO$2:$AO$4001),MATCH(ROWS($AA$2:$AA461),'Per Line'!$AO$2:$AO$4001,0),"")</f>
        <v/>
      </c>
      <c r="AB461" s="14">
        <f>IF($AA461="","",L461-K461*Y461/100)</f>
        <v/>
      </c>
    </row>
    <row r="462">
      <c r="A462" s="12" t="n"/>
      <c r="B462">
        <f>IF($AA462="","",INDEX('Per Line'!$E$2:$E$4001,$AA462)&amp;"")</f>
        <v/>
      </c>
      <c r="C462">
        <f>IF($AA462="","",INDEX('Per Line'!$A$2:$A$4001,$AA462)&amp;"")</f>
        <v/>
      </c>
      <c r="D462">
        <f>IF($AA462="","",INDEX('Per Line'!$D$2:$D$4001,$AA462)&amp;"")</f>
        <v/>
      </c>
      <c r="E462" s="11">
        <f>IF($AA462="","",INDEX('Per Line'!$G$2:$G$4001,$AA462))</f>
        <v/>
      </c>
      <c r="F462">
        <f>IF($AA462="","",INDEX('Per Line'!$H$2:$H$4001,$AA462)&amp;"")</f>
        <v/>
      </c>
      <c r="G462">
        <f>IF($AA462="","",INDEX('Per Line'!$I$2:$I$4001,$AA462)&amp;"")</f>
        <v/>
      </c>
      <c r="H462">
        <f>IF($AA462="","",INDEX('Per Line'!$J$2:$J$4001,$AA462)&amp;"")</f>
        <v/>
      </c>
      <c r="I462">
        <f>IF($AA462="","",INDEX('Per Line'!$K$2:$K$4001,$AA462)&amp;"")</f>
        <v/>
      </c>
      <c r="J462">
        <f>IF($AA462="","",INDEX('Per Line'!$L$2:$L$4001,$AA462)&amp;"")</f>
        <v/>
      </c>
      <c r="K462">
        <f>IF($AA462="","",INDEX('Per Line'!$P$2:$P$4001,$AA462))</f>
        <v/>
      </c>
      <c r="L462" s="7">
        <f>IF($AA462="","",IF(AND(ISNUMBER(N462),N462&gt;0,Y462&gt;N462),K462*N462/100+(Y462-N462),K462*Y462/100))</f>
        <v/>
      </c>
      <c r="M462">
        <f>IF($AA462="","",INDEX('Per Line'!$Z$2:$Z$4001,$AA462)&amp;"")</f>
        <v/>
      </c>
      <c r="N462">
        <f>IF($AA462="","",INDEX('Per Line'!$AG$2:$AG$4001,$AA462))</f>
        <v/>
      </c>
      <c r="O462">
        <f>IF($AA462="","",IF(AND(ISNUMBER(N462),N462&gt;0),Y462&gt;N462,FALSE))</f>
        <v/>
      </c>
      <c r="P462" s="7">
        <f>IF($AA462="","",SUMIFS('Per Line'!$Y$2:$Y$4001,'Per Line'!$E$2:$E$4001,$B462,'Per Line'!$AQ$2:$AQ$4001,1))</f>
        <v/>
      </c>
      <c r="Q462">
        <f>IF($AA462="","",Settings!$C$7)</f>
        <v/>
      </c>
      <c r="R462" s="7">
        <f>IF($AA462="","",SUMIFS('Per Line'!$Y$2:$Y$4001,'Per Line'!$E$2:$E$4001,$B462,'Per Line'!$AP$2:$AP$4001,0,'Per Line'!$AQ$2:$AQ$4001,0))</f>
        <v/>
      </c>
      <c r="S462" s="7">
        <f>IF($AA462="","",R462*Q462)</f>
        <v/>
      </c>
      <c r="T462">
        <f>IF($AA462="","",Settings!$C$6)</f>
        <v/>
      </c>
      <c r="U462" s="7">
        <f>IF($AA462="","",SUMIFS('Per Line'!$Y$2:$Y$4001,'Per Line'!$E$2:$E$4001,$B462,'Per Line'!$AP$2:$AP$4001,1,'Per Line'!$AQ$2:$AQ$4001,0))</f>
        <v/>
      </c>
      <c r="V462" s="7">
        <f>IF($AA462="","",U462*T462)</f>
        <v/>
      </c>
      <c r="W462" s="7">
        <f>IF($AA462="","",V462+S462)</f>
        <v/>
      </c>
      <c r="X462" s="7">
        <f>IF($AA462="","",Y462-W462)</f>
        <v/>
      </c>
      <c r="Y462" s="7">
        <f>IF($AA462="","",R462+U462+P462)</f>
        <v/>
      </c>
      <c r="Z462" s="7">
        <f>IF($AA462="","",Y462-W462-L462)</f>
        <v/>
      </c>
      <c r="AA462" s="13">
        <f>IF(ROWS($AA$2:$AA462)&lt;=MAX('Per Line'!$AO$2:$AO$4001),MATCH(ROWS($AA$2:$AA462),'Per Line'!$AO$2:$AO$4001,0),"")</f>
        <v/>
      </c>
      <c r="AB462" s="14">
        <f>IF($AA462="","",L462-K462*Y462/100)</f>
        <v/>
      </c>
    </row>
    <row r="463">
      <c r="A463" s="12" t="n"/>
      <c r="B463">
        <f>IF($AA463="","",INDEX('Per Line'!$E$2:$E$4001,$AA463)&amp;"")</f>
        <v/>
      </c>
      <c r="C463">
        <f>IF($AA463="","",INDEX('Per Line'!$A$2:$A$4001,$AA463)&amp;"")</f>
        <v/>
      </c>
      <c r="D463">
        <f>IF($AA463="","",INDEX('Per Line'!$D$2:$D$4001,$AA463)&amp;"")</f>
        <v/>
      </c>
      <c r="E463" s="11">
        <f>IF($AA463="","",INDEX('Per Line'!$G$2:$G$4001,$AA463))</f>
        <v/>
      </c>
      <c r="F463">
        <f>IF($AA463="","",INDEX('Per Line'!$H$2:$H$4001,$AA463)&amp;"")</f>
        <v/>
      </c>
      <c r="G463">
        <f>IF($AA463="","",INDEX('Per Line'!$I$2:$I$4001,$AA463)&amp;"")</f>
        <v/>
      </c>
      <c r="H463">
        <f>IF($AA463="","",INDEX('Per Line'!$J$2:$J$4001,$AA463)&amp;"")</f>
        <v/>
      </c>
      <c r="I463">
        <f>IF($AA463="","",INDEX('Per Line'!$K$2:$K$4001,$AA463)&amp;"")</f>
        <v/>
      </c>
      <c r="J463">
        <f>IF($AA463="","",INDEX('Per Line'!$L$2:$L$4001,$AA463)&amp;"")</f>
        <v/>
      </c>
      <c r="K463">
        <f>IF($AA463="","",INDEX('Per Line'!$P$2:$P$4001,$AA463))</f>
        <v/>
      </c>
      <c r="L463" s="7">
        <f>IF($AA463="","",IF(AND(ISNUMBER(N463),N463&gt;0,Y463&gt;N463),K463*N463/100+(Y463-N463),K463*Y463/100))</f>
        <v/>
      </c>
      <c r="M463">
        <f>IF($AA463="","",INDEX('Per Line'!$Z$2:$Z$4001,$AA463)&amp;"")</f>
        <v/>
      </c>
      <c r="N463">
        <f>IF($AA463="","",INDEX('Per Line'!$AG$2:$AG$4001,$AA463))</f>
        <v/>
      </c>
      <c r="O463">
        <f>IF($AA463="","",IF(AND(ISNUMBER(N463),N463&gt;0),Y463&gt;N463,FALSE))</f>
        <v/>
      </c>
      <c r="P463" s="7">
        <f>IF($AA463="","",SUMIFS('Per Line'!$Y$2:$Y$4001,'Per Line'!$E$2:$E$4001,$B463,'Per Line'!$AQ$2:$AQ$4001,1))</f>
        <v/>
      </c>
      <c r="Q463">
        <f>IF($AA463="","",Settings!$C$7)</f>
        <v/>
      </c>
      <c r="R463" s="7">
        <f>IF($AA463="","",SUMIFS('Per Line'!$Y$2:$Y$4001,'Per Line'!$E$2:$E$4001,$B463,'Per Line'!$AP$2:$AP$4001,0,'Per Line'!$AQ$2:$AQ$4001,0))</f>
        <v/>
      </c>
      <c r="S463" s="7">
        <f>IF($AA463="","",R463*Q463)</f>
        <v/>
      </c>
      <c r="T463">
        <f>IF($AA463="","",Settings!$C$6)</f>
        <v/>
      </c>
      <c r="U463" s="7">
        <f>IF($AA463="","",SUMIFS('Per Line'!$Y$2:$Y$4001,'Per Line'!$E$2:$E$4001,$B463,'Per Line'!$AP$2:$AP$4001,1,'Per Line'!$AQ$2:$AQ$4001,0))</f>
        <v/>
      </c>
      <c r="V463" s="7">
        <f>IF($AA463="","",U463*T463)</f>
        <v/>
      </c>
      <c r="W463" s="7">
        <f>IF($AA463="","",V463+S463)</f>
        <v/>
      </c>
      <c r="X463" s="7">
        <f>IF($AA463="","",Y463-W463)</f>
        <v/>
      </c>
      <c r="Y463" s="7">
        <f>IF($AA463="","",R463+U463+P463)</f>
        <v/>
      </c>
      <c r="Z463" s="7">
        <f>IF($AA463="","",Y463-W463-L463)</f>
        <v/>
      </c>
      <c r="AA463" s="13">
        <f>IF(ROWS($AA$2:$AA463)&lt;=MAX('Per Line'!$AO$2:$AO$4001),MATCH(ROWS($AA$2:$AA463),'Per Line'!$AO$2:$AO$4001,0),"")</f>
        <v/>
      </c>
      <c r="AB463" s="14">
        <f>IF($AA463="","",L463-K463*Y463/100)</f>
        <v/>
      </c>
    </row>
    <row r="464">
      <c r="A464" s="12" t="n"/>
      <c r="B464">
        <f>IF($AA464="","",INDEX('Per Line'!$E$2:$E$4001,$AA464)&amp;"")</f>
        <v/>
      </c>
      <c r="C464">
        <f>IF($AA464="","",INDEX('Per Line'!$A$2:$A$4001,$AA464)&amp;"")</f>
        <v/>
      </c>
      <c r="D464">
        <f>IF($AA464="","",INDEX('Per Line'!$D$2:$D$4001,$AA464)&amp;"")</f>
        <v/>
      </c>
      <c r="E464" s="11">
        <f>IF($AA464="","",INDEX('Per Line'!$G$2:$G$4001,$AA464))</f>
        <v/>
      </c>
      <c r="F464">
        <f>IF($AA464="","",INDEX('Per Line'!$H$2:$H$4001,$AA464)&amp;"")</f>
        <v/>
      </c>
      <c r="G464">
        <f>IF($AA464="","",INDEX('Per Line'!$I$2:$I$4001,$AA464)&amp;"")</f>
        <v/>
      </c>
      <c r="H464">
        <f>IF($AA464="","",INDEX('Per Line'!$J$2:$J$4001,$AA464)&amp;"")</f>
        <v/>
      </c>
      <c r="I464">
        <f>IF($AA464="","",INDEX('Per Line'!$K$2:$K$4001,$AA464)&amp;"")</f>
        <v/>
      </c>
      <c r="J464">
        <f>IF($AA464="","",INDEX('Per Line'!$L$2:$L$4001,$AA464)&amp;"")</f>
        <v/>
      </c>
      <c r="K464">
        <f>IF($AA464="","",INDEX('Per Line'!$P$2:$P$4001,$AA464))</f>
        <v/>
      </c>
      <c r="L464" s="7">
        <f>IF($AA464="","",IF(AND(ISNUMBER(N464),N464&gt;0,Y464&gt;N464),K464*N464/100+(Y464-N464),K464*Y464/100))</f>
        <v/>
      </c>
      <c r="M464">
        <f>IF($AA464="","",INDEX('Per Line'!$Z$2:$Z$4001,$AA464)&amp;"")</f>
        <v/>
      </c>
      <c r="N464">
        <f>IF($AA464="","",INDEX('Per Line'!$AG$2:$AG$4001,$AA464))</f>
        <v/>
      </c>
      <c r="O464">
        <f>IF($AA464="","",IF(AND(ISNUMBER(N464),N464&gt;0),Y464&gt;N464,FALSE))</f>
        <v/>
      </c>
      <c r="P464" s="7">
        <f>IF($AA464="","",SUMIFS('Per Line'!$Y$2:$Y$4001,'Per Line'!$E$2:$E$4001,$B464,'Per Line'!$AQ$2:$AQ$4001,1))</f>
        <v/>
      </c>
      <c r="Q464">
        <f>IF($AA464="","",Settings!$C$7)</f>
        <v/>
      </c>
      <c r="R464" s="7">
        <f>IF($AA464="","",SUMIFS('Per Line'!$Y$2:$Y$4001,'Per Line'!$E$2:$E$4001,$B464,'Per Line'!$AP$2:$AP$4001,0,'Per Line'!$AQ$2:$AQ$4001,0))</f>
        <v/>
      </c>
      <c r="S464" s="7">
        <f>IF($AA464="","",R464*Q464)</f>
        <v/>
      </c>
      <c r="T464">
        <f>IF($AA464="","",Settings!$C$6)</f>
        <v/>
      </c>
      <c r="U464" s="7">
        <f>IF($AA464="","",SUMIFS('Per Line'!$Y$2:$Y$4001,'Per Line'!$E$2:$E$4001,$B464,'Per Line'!$AP$2:$AP$4001,1,'Per Line'!$AQ$2:$AQ$4001,0))</f>
        <v/>
      </c>
      <c r="V464" s="7">
        <f>IF($AA464="","",U464*T464)</f>
        <v/>
      </c>
      <c r="W464" s="7">
        <f>IF($AA464="","",V464+S464)</f>
        <v/>
      </c>
      <c r="X464" s="7">
        <f>IF($AA464="","",Y464-W464)</f>
        <v/>
      </c>
      <c r="Y464" s="7">
        <f>IF($AA464="","",R464+U464+P464)</f>
        <v/>
      </c>
      <c r="Z464" s="7">
        <f>IF($AA464="","",Y464-W464-L464)</f>
        <v/>
      </c>
      <c r="AA464" s="13">
        <f>IF(ROWS($AA$2:$AA464)&lt;=MAX('Per Line'!$AO$2:$AO$4001),MATCH(ROWS($AA$2:$AA464),'Per Line'!$AO$2:$AO$4001,0),"")</f>
        <v/>
      </c>
      <c r="AB464" s="14">
        <f>IF($AA464="","",L464-K464*Y464/100)</f>
        <v/>
      </c>
    </row>
    <row r="465">
      <c r="A465" s="12" t="n"/>
      <c r="B465">
        <f>IF($AA465="","",INDEX('Per Line'!$E$2:$E$4001,$AA465)&amp;"")</f>
        <v/>
      </c>
      <c r="C465">
        <f>IF($AA465="","",INDEX('Per Line'!$A$2:$A$4001,$AA465)&amp;"")</f>
        <v/>
      </c>
      <c r="D465">
        <f>IF($AA465="","",INDEX('Per Line'!$D$2:$D$4001,$AA465)&amp;"")</f>
        <v/>
      </c>
      <c r="E465" s="11">
        <f>IF($AA465="","",INDEX('Per Line'!$G$2:$G$4001,$AA465))</f>
        <v/>
      </c>
      <c r="F465">
        <f>IF($AA465="","",INDEX('Per Line'!$H$2:$H$4001,$AA465)&amp;"")</f>
        <v/>
      </c>
      <c r="G465">
        <f>IF($AA465="","",INDEX('Per Line'!$I$2:$I$4001,$AA465)&amp;"")</f>
        <v/>
      </c>
      <c r="H465">
        <f>IF($AA465="","",INDEX('Per Line'!$J$2:$J$4001,$AA465)&amp;"")</f>
        <v/>
      </c>
      <c r="I465">
        <f>IF($AA465="","",INDEX('Per Line'!$K$2:$K$4001,$AA465)&amp;"")</f>
        <v/>
      </c>
      <c r="J465">
        <f>IF($AA465="","",INDEX('Per Line'!$L$2:$L$4001,$AA465)&amp;"")</f>
        <v/>
      </c>
      <c r="K465">
        <f>IF($AA465="","",INDEX('Per Line'!$P$2:$P$4001,$AA465))</f>
        <v/>
      </c>
      <c r="L465" s="7">
        <f>IF($AA465="","",IF(AND(ISNUMBER(N465),N465&gt;0,Y465&gt;N465),K465*N465/100+(Y465-N465),K465*Y465/100))</f>
        <v/>
      </c>
      <c r="M465">
        <f>IF($AA465="","",INDEX('Per Line'!$Z$2:$Z$4001,$AA465)&amp;"")</f>
        <v/>
      </c>
      <c r="N465">
        <f>IF($AA465="","",INDEX('Per Line'!$AG$2:$AG$4001,$AA465))</f>
        <v/>
      </c>
      <c r="O465">
        <f>IF($AA465="","",IF(AND(ISNUMBER(N465),N465&gt;0),Y465&gt;N465,FALSE))</f>
        <v/>
      </c>
      <c r="P465" s="7">
        <f>IF($AA465="","",SUMIFS('Per Line'!$Y$2:$Y$4001,'Per Line'!$E$2:$E$4001,$B465,'Per Line'!$AQ$2:$AQ$4001,1))</f>
        <v/>
      </c>
      <c r="Q465">
        <f>IF($AA465="","",Settings!$C$7)</f>
        <v/>
      </c>
      <c r="R465" s="7">
        <f>IF($AA465="","",SUMIFS('Per Line'!$Y$2:$Y$4001,'Per Line'!$E$2:$E$4001,$B465,'Per Line'!$AP$2:$AP$4001,0,'Per Line'!$AQ$2:$AQ$4001,0))</f>
        <v/>
      </c>
      <c r="S465" s="7">
        <f>IF($AA465="","",R465*Q465)</f>
        <v/>
      </c>
      <c r="T465">
        <f>IF($AA465="","",Settings!$C$6)</f>
        <v/>
      </c>
      <c r="U465" s="7">
        <f>IF($AA465="","",SUMIFS('Per Line'!$Y$2:$Y$4001,'Per Line'!$E$2:$E$4001,$B465,'Per Line'!$AP$2:$AP$4001,1,'Per Line'!$AQ$2:$AQ$4001,0))</f>
        <v/>
      </c>
      <c r="V465" s="7">
        <f>IF($AA465="","",U465*T465)</f>
        <v/>
      </c>
      <c r="W465" s="7">
        <f>IF($AA465="","",V465+S465)</f>
        <v/>
      </c>
      <c r="X465" s="7">
        <f>IF($AA465="","",Y465-W465)</f>
        <v/>
      </c>
      <c r="Y465" s="7">
        <f>IF($AA465="","",R465+U465+P465)</f>
        <v/>
      </c>
      <c r="Z465" s="7">
        <f>IF($AA465="","",Y465-W465-L465)</f>
        <v/>
      </c>
      <c r="AA465" s="13">
        <f>IF(ROWS($AA$2:$AA465)&lt;=MAX('Per Line'!$AO$2:$AO$4001),MATCH(ROWS($AA$2:$AA465),'Per Line'!$AO$2:$AO$4001,0),"")</f>
        <v/>
      </c>
      <c r="AB465" s="14">
        <f>IF($AA465="","",L465-K465*Y465/100)</f>
        <v/>
      </c>
    </row>
    <row r="466">
      <c r="A466" s="12" t="n"/>
      <c r="B466">
        <f>IF($AA466="","",INDEX('Per Line'!$E$2:$E$4001,$AA466)&amp;"")</f>
        <v/>
      </c>
      <c r="C466">
        <f>IF($AA466="","",INDEX('Per Line'!$A$2:$A$4001,$AA466)&amp;"")</f>
        <v/>
      </c>
      <c r="D466">
        <f>IF($AA466="","",INDEX('Per Line'!$D$2:$D$4001,$AA466)&amp;"")</f>
        <v/>
      </c>
      <c r="E466" s="11">
        <f>IF($AA466="","",INDEX('Per Line'!$G$2:$G$4001,$AA466))</f>
        <v/>
      </c>
      <c r="F466">
        <f>IF($AA466="","",INDEX('Per Line'!$H$2:$H$4001,$AA466)&amp;"")</f>
        <v/>
      </c>
      <c r="G466">
        <f>IF($AA466="","",INDEX('Per Line'!$I$2:$I$4001,$AA466)&amp;"")</f>
        <v/>
      </c>
      <c r="H466">
        <f>IF($AA466="","",INDEX('Per Line'!$J$2:$J$4001,$AA466)&amp;"")</f>
        <v/>
      </c>
      <c r="I466">
        <f>IF($AA466="","",INDEX('Per Line'!$K$2:$K$4001,$AA466)&amp;"")</f>
        <v/>
      </c>
      <c r="J466">
        <f>IF($AA466="","",INDEX('Per Line'!$L$2:$L$4001,$AA466)&amp;"")</f>
        <v/>
      </c>
      <c r="K466">
        <f>IF($AA466="","",INDEX('Per Line'!$P$2:$P$4001,$AA466))</f>
        <v/>
      </c>
      <c r="L466" s="7">
        <f>IF($AA466="","",IF(AND(ISNUMBER(N466),N466&gt;0,Y466&gt;N466),K466*N466/100+(Y466-N466),K466*Y466/100))</f>
        <v/>
      </c>
      <c r="M466">
        <f>IF($AA466="","",INDEX('Per Line'!$Z$2:$Z$4001,$AA466)&amp;"")</f>
        <v/>
      </c>
      <c r="N466">
        <f>IF($AA466="","",INDEX('Per Line'!$AG$2:$AG$4001,$AA466))</f>
        <v/>
      </c>
      <c r="O466">
        <f>IF($AA466="","",IF(AND(ISNUMBER(N466),N466&gt;0),Y466&gt;N466,FALSE))</f>
        <v/>
      </c>
      <c r="P466" s="7">
        <f>IF($AA466="","",SUMIFS('Per Line'!$Y$2:$Y$4001,'Per Line'!$E$2:$E$4001,$B466,'Per Line'!$AQ$2:$AQ$4001,1))</f>
        <v/>
      </c>
      <c r="Q466">
        <f>IF($AA466="","",Settings!$C$7)</f>
        <v/>
      </c>
      <c r="R466" s="7">
        <f>IF($AA466="","",SUMIFS('Per Line'!$Y$2:$Y$4001,'Per Line'!$E$2:$E$4001,$B466,'Per Line'!$AP$2:$AP$4001,0,'Per Line'!$AQ$2:$AQ$4001,0))</f>
        <v/>
      </c>
      <c r="S466" s="7">
        <f>IF($AA466="","",R466*Q466)</f>
        <v/>
      </c>
      <c r="T466">
        <f>IF($AA466="","",Settings!$C$6)</f>
        <v/>
      </c>
      <c r="U466" s="7">
        <f>IF($AA466="","",SUMIFS('Per Line'!$Y$2:$Y$4001,'Per Line'!$E$2:$E$4001,$B466,'Per Line'!$AP$2:$AP$4001,1,'Per Line'!$AQ$2:$AQ$4001,0))</f>
        <v/>
      </c>
      <c r="V466" s="7">
        <f>IF($AA466="","",U466*T466)</f>
        <v/>
      </c>
      <c r="W466" s="7">
        <f>IF($AA466="","",V466+S466)</f>
        <v/>
      </c>
      <c r="X466" s="7">
        <f>IF($AA466="","",Y466-W466)</f>
        <v/>
      </c>
      <c r="Y466" s="7">
        <f>IF($AA466="","",R466+U466+P466)</f>
        <v/>
      </c>
      <c r="Z466" s="7">
        <f>IF($AA466="","",Y466-W466-L466)</f>
        <v/>
      </c>
      <c r="AA466" s="13">
        <f>IF(ROWS($AA$2:$AA466)&lt;=MAX('Per Line'!$AO$2:$AO$4001),MATCH(ROWS($AA$2:$AA466),'Per Line'!$AO$2:$AO$4001,0),"")</f>
        <v/>
      </c>
      <c r="AB466" s="14">
        <f>IF($AA466="","",L466-K466*Y466/100)</f>
        <v/>
      </c>
    </row>
    <row r="467">
      <c r="A467" s="12" t="n"/>
      <c r="B467">
        <f>IF($AA467="","",INDEX('Per Line'!$E$2:$E$4001,$AA467)&amp;"")</f>
        <v/>
      </c>
      <c r="C467">
        <f>IF($AA467="","",INDEX('Per Line'!$A$2:$A$4001,$AA467)&amp;"")</f>
        <v/>
      </c>
      <c r="D467">
        <f>IF($AA467="","",INDEX('Per Line'!$D$2:$D$4001,$AA467)&amp;"")</f>
        <v/>
      </c>
      <c r="E467" s="11">
        <f>IF($AA467="","",INDEX('Per Line'!$G$2:$G$4001,$AA467))</f>
        <v/>
      </c>
      <c r="F467">
        <f>IF($AA467="","",INDEX('Per Line'!$H$2:$H$4001,$AA467)&amp;"")</f>
        <v/>
      </c>
      <c r="G467">
        <f>IF($AA467="","",INDEX('Per Line'!$I$2:$I$4001,$AA467)&amp;"")</f>
        <v/>
      </c>
      <c r="H467">
        <f>IF($AA467="","",INDEX('Per Line'!$J$2:$J$4001,$AA467)&amp;"")</f>
        <v/>
      </c>
      <c r="I467">
        <f>IF($AA467="","",INDEX('Per Line'!$K$2:$K$4001,$AA467)&amp;"")</f>
        <v/>
      </c>
      <c r="J467">
        <f>IF($AA467="","",INDEX('Per Line'!$L$2:$L$4001,$AA467)&amp;"")</f>
        <v/>
      </c>
      <c r="K467">
        <f>IF($AA467="","",INDEX('Per Line'!$P$2:$P$4001,$AA467))</f>
        <v/>
      </c>
      <c r="L467" s="7">
        <f>IF($AA467="","",IF(AND(ISNUMBER(N467),N467&gt;0,Y467&gt;N467),K467*N467/100+(Y467-N467),K467*Y467/100))</f>
        <v/>
      </c>
      <c r="M467">
        <f>IF($AA467="","",INDEX('Per Line'!$Z$2:$Z$4001,$AA467)&amp;"")</f>
        <v/>
      </c>
      <c r="N467">
        <f>IF($AA467="","",INDEX('Per Line'!$AG$2:$AG$4001,$AA467))</f>
        <v/>
      </c>
      <c r="O467">
        <f>IF($AA467="","",IF(AND(ISNUMBER(N467),N467&gt;0),Y467&gt;N467,FALSE))</f>
        <v/>
      </c>
      <c r="P467" s="7">
        <f>IF($AA467="","",SUMIFS('Per Line'!$Y$2:$Y$4001,'Per Line'!$E$2:$E$4001,$B467,'Per Line'!$AQ$2:$AQ$4001,1))</f>
        <v/>
      </c>
      <c r="Q467">
        <f>IF($AA467="","",Settings!$C$7)</f>
        <v/>
      </c>
      <c r="R467" s="7">
        <f>IF($AA467="","",SUMIFS('Per Line'!$Y$2:$Y$4001,'Per Line'!$E$2:$E$4001,$B467,'Per Line'!$AP$2:$AP$4001,0,'Per Line'!$AQ$2:$AQ$4001,0))</f>
        <v/>
      </c>
      <c r="S467" s="7">
        <f>IF($AA467="","",R467*Q467)</f>
        <v/>
      </c>
      <c r="T467">
        <f>IF($AA467="","",Settings!$C$6)</f>
        <v/>
      </c>
      <c r="U467" s="7">
        <f>IF($AA467="","",SUMIFS('Per Line'!$Y$2:$Y$4001,'Per Line'!$E$2:$E$4001,$B467,'Per Line'!$AP$2:$AP$4001,1,'Per Line'!$AQ$2:$AQ$4001,0))</f>
        <v/>
      </c>
      <c r="V467" s="7">
        <f>IF($AA467="","",U467*T467)</f>
        <v/>
      </c>
      <c r="W467" s="7">
        <f>IF($AA467="","",V467+S467)</f>
        <v/>
      </c>
      <c r="X467" s="7">
        <f>IF($AA467="","",Y467-W467)</f>
        <v/>
      </c>
      <c r="Y467" s="7">
        <f>IF($AA467="","",R467+U467+P467)</f>
        <v/>
      </c>
      <c r="Z467" s="7">
        <f>IF($AA467="","",Y467-W467-L467)</f>
        <v/>
      </c>
      <c r="AA467" s="13">
        <f>IF(ROWS($AA$2:$AA467)&lt;=MAX('Per Line'!$AO$2:$AO$4001),MATCH(ROWS($AA$2:$AA467),'Per Line'!$AO$2:$AO$4001,0),"")</f>
        <v/>
      </c>
      <c r="AB467" s="14">
        <f>IF($AA467="","",L467-K467*Y467/100)</f>
        <v/>
      </c>
    </row>
    <row r="468">
      <c r="A468" s="12" t="n"/>
      <c r="B468">
        <f>IF($AA468="","",INDEX('Per Line'!$E$2:$E$4001,$AA468)&amp;"")</f>
        <v/>
      </c>
      <c r="C468">
        <f>IF($AA468="","",INDEX('Per Line'!$A$2:$A$4001,$AA468)&amp;"")</f>
        <v/>
      </c>
      <c r="D468">
        <f>IF($AA468="","",INDEX('Per Line'!$D$2:$D$4001,$AA468)&amp;"")</f>
        <v/>
      </c>
      <c r="E468" s="11">
        <f>IF($AA468="","",INDEX('Per Line'!$G$2:$G$4001,$AA468))</f>
        <v/>
      </c>
      <c r="F468">
        <f>IF($AA468="","",INDEX('Per Line'!$H$2:$H$4001,$AA468)&amp;"")</f>
        <v/>
      </c>
      <c r="G468">
        <f>IF($AA468="","",INDEX('Per Line'!$I$2:$I$4001,$AA468)&amp;"")</f>
        <v/>
      </c>
      <c r="H468">
        <f>IF($AA468="","",INDEX('Per Line'!$J$2:$J$4001,$AA468)&amp;"")</f>
        <v/>
      </c>
      <c r="I468">
        <f>IF($AA468="","",INDEX('Per Line'!$K$2:$K$4001,$AA468)&amp;"")</f>
        <v/>
      </c>
      <c r="J468">
        <f>IF($AA468="","",INDEX('Per Line'!$L$2:$L$4001,$AA468)&amp;"")</f>
        <v/>
      </c>
      <c r="K468">
        <f>IF($AA468="","",INDEX('Per Line'!$P$2:$P$4001,$AA468))</f>
        <v/>
      </c>
      <c r="L468" s="7">
        <f>IF($AA468="","",IF(AND(ISNUMBER(N468),N468&gt;0,Y468&gt;N468),K468*N468/100+(Y468-N468),K468*Y468/100))</f>
        <v/>
      </c>
      <c r="M468">
        <f>IF($AA468="","",INDEX('Per Line'!$Z$2:$Z$4001,$AA468)&amp;"")</f>
        <v/>
      </c>
      <c r="N468">
        <f>IF($AA468="","",INDEX('Per Line'!$AG$2:$AG$4001,$AA468))</f>
        <v/>
      </c>
      <c r="O468">
        <f>IF($AA468="","",IF(AND(ISNUMBER(N468),N468&gt;0),Y468&gt;N468,FALSE))</f>
        <v/>
      </c>
      <c r="P468" s="7">
        <f>IF($AA468="","",SUMIFS('Per Line'!$Y$2:$Y$4001,'Per Line'!$E$2:$E$4001,$B468,'Per Line'!$AQ$2:$AQ$4001,1))</f>
        <v/>
      </c>
      <c r="Q468">
        <f>IF($AA468="","",Settings!$C$7)</f>
        <v/>
      </c>
      <c r="R468" s="7">
        <f>IF($AA468="","",SUMIFS('Per Line'!$Y$2:$Y$4001,'Per Line'!$E$2:$E$4001,$B468,'Per Line'!$AP$2:$AP$4001,0,'Per Line'!$AQ$2:$AQ$4001,0))</f>
        <v/>
      </c>
      <c r="S468" s="7">
        <f>IF($AA468="","",R468*Q468)</f>
        <v/>
      </c>
      <c r="T468">
        <f>IF($AA468="","",Settings!$C$6)</f>
        <v/>
      </c>
      <c r="U468" s="7">
        <f>IF($AA468="","",SUMIFS('Per Line'!$Y$2:$Y$4001,'Per Line'!$E$2:$E$4001,$B468,'Per Line'!$AP$2:$AP$4001,1,'Per Line'!$AQ$2:$AQ$4001,0))</f>
        <v/>
      </c>
      <c r="V468" s="7">
        <f>IF($AA468="","",U468*T468)</f>
        <v/>
      </c>
      <c r="W468" s="7">
        <f>IF($AA468="","",V468+S468)</f>
        <v/>
      </c>
      <c r="X468" s="7">
        <f>IF($AA468="","",Y468-W468)</f>
        <v/>
      </c>
      <c r="Y468" s="7">
        <f>IF($AA468="","",R468+U468+P468)</f>
        <v/>
      </c>
      <c r="Z468" s="7">
        <f>IF($AA468="","",Y468-W468-L468)</f>
        <v/>
      </c>
      <c r="AA468" s="13">
        <f>IF(ROWS($AA$2:$AA468)&lt;=MAX('Per Line'!$AO$2:$AO$4001),MATCH(ROWS($AA$2:$AA468),'Per Line'!$AO$2:$AO$4001,0),"")</f>
        <v/>
      </c>
      <c r="AB468" s="14">
        <f>IF($AA468="","",L468-K468*Y468/100)</f>
        <v/>
      </c>
    </row>
    <row r="469">
      <c r="A469" s="12" t="n"/>
      <c r="B469">
        <f>IF($AA469="","",INDEX('Per Line'!$E$2:$E$4001,$AA469)&amp;"")</f>
        <v/>
      </c>
      <c r="C469">
        <f>IF($AA469="","",INDEX('Per Line'!$A$2:$A$4001,$AA469)&amp;"")</f>
        <v/>
      </c>
      <c r="D469">
        <f>IF($AA469="","",INDEX('Per Line'!$D$2:$D$4001,$AA469)&amp;"")</f>
        <v/>
      </c>
      <c r="E469" s="11">
        <f>IF($AA469="","",INDEX('Per Line'!$G$2:$G$4001,$AA469))</f>
        <v/>
      </c>
      <c r="F469">
        <f>IF($AA469="","",INDEX('Per Line'!$H$2:$H$4001,$AA469)&amp;"")</f>
        <v/>
      </c>
      <c r="G469">
        <f>IF($AA469="","",INDEX('Per Line'!$I$2:$I$4001,$AA469)&amp;"")</f>
        <v/>
      </c>
      <c r="H469">
        <f>IF($AA469="","",INDEX('Per Line'!$J$2:$J$4001,$AA469)&amp;"")</f>
        <v/>
      </c>
      <c r="I469">
        <f>IF($AA469="","",INDEX('Per Line'!$K$2:$K$4001,$AA469)&amp;"")</f>
        <v/>
      </c>
      <c r="J469">
        <f>IF($AA469="","",INDEX('Per Line'!$L$2:$L$4001,$AA469)&amp;"")</f>
        <v/>
      </c>
      <c r="K469">
        <f>IF($AA469="","",INDEX('Per Line'!$P$2:$P$4001,$AA469))</f>
        <v/>
      </c>
      <c r="L469" s="7">
        <f>IF($AA469="","",IF(AND(ISNUMBER(N469),N469&gt;0,Y469&gt;N469),K469*N469/100+(Y469-N469),K469*Y469/100))</f>
        <v/>
      </c>
      <c r="M469">
        <f>IF($AA469="","",INDEX('Per Line'!$Z$2:$Z$4001,$AA469)&amp;"")</f>
        <v/>
      </c>
      <c r="N469">
        <f>IF($AA469="","",INDEX('Per Line'!$AG$2:$AG$4001,$AA469))</f>
        <v/>
      </c>
      <c r="O469">
        <f>IF($AA469="","",IF(AND(ISNUMBER(N469),N469&gt;0),Y469&gt;N469,FALSE))</f>
        <v/>
      </c>
      <c r="P469" s="7">
        <f>IF($AA469="","",SUMIFS('Per Line'!$Y$2:$Y$4001,'Per Line'!$E$2:$E$4001,$B469,'Per Line'!$AQ$2:$AQ$4001,1))</f>
        <v/>
      </c>
      <c r="Q469">
        <f>IF($AA469="","",Settings!$C$7)</f>
        <v/>
      </c>
      <c r="R469" s="7">
        <f>IF($AA469="","",SUMIFS('Per Line'!$Y$2:$Y$4001,'Per Line'!$E$2:$E$4001,$B469,'Per Line'!$AP$2:$AP$4001,0,'Per Line'!$AQ$2:$AQ$4001,0))</f>
        <v/>
      </c>
      <c r="S469" s="7">
        <f>IF($AA469="","",R469*Q469)</f>
        <v/>
      </c>
      <c r="T469">
        <f>IF($AA469="","",Settings!$C$6)</f>
        <v/>
      </c>
      <c r="U469" s="7">
        <f>IF($AA469="","",SUMIFS('Per Line'!$Y$2:$Y$4001,'Per Line'!$E$2:$E$4001,$B469,'Per Line'!$AP$2:$AP$4001,1,'Per Line'!$AQ$2:$AQ$4001,0))</f>
        <v/>
      </c>
      <c r="V469" s="7">
        <f>IF($AA469="","",U469*T469)</f>
        <v/>
      </c>
      <c r="W469" s="7">
        <f>IF($AA469="","",V469+S469)</f>
        <v/>
      </c>
      <c r="X469" s="7">
        <f>IF($AA469="","",Y469-W469)</f>
        <v/>
      </c>
      <c r="Y469" s="7">
        <f>IF($AA469="","",R469+U469+P469)</f>
        <v/>
      </c>
      <c r="Z469" s="7">
        <f>IF($AA469="","",Y469-W469-L469)</f>
        <v/>
      </c>
      <c r="AA469" s="13">
        <f>IF(ROWS($AA$2:$AA469)&lt;=MAX('Per Line'!$AO$2:$AO$4001),MATCH(ROWS($AA$2:$AA469),'Per Line'!$AO$2:$AO$4001,0),"")</f>
        <v/>
      </c>
      <c r="AB469" s="14">
        <f>IF($AA469="","",L469-K469*Y469/100)</f>
        <v/>
      </c>
    </row>
    <row r="470">
      <c r="A470" s="12" t="n"/>
      <c r="B470">
        <f>IF($AA470="","",INDEX('Per Line'!$E$2:$E$4001,$AA470)&amp;"")</f>
        <v/>
      </c>
      <c r="C470">
        <f>IF($AA470="","",INDEX('Per Line'!$A$2:$A$4001,$AA470)&amp;"")</f>
        <v/>
      </c>
      <c r="D470">
        <f>IF($AA470="","",INDEX('Per Line'!$D$2:$D$4001,$AA470)&amp;"")</f>
        <v/>
      </c>
      <c r="E470" s="11">
        <f>IF($AA470="","",INDEX('Per Line'!$G$2:$G$4001,$AA470))</f>
        <v/>
      </c>
      <c r="F470">
        <f>IF($AA470="","",INDEX('Per Line'!$H$2:$H$4001,$AA470)&amp;"")</f>
        <v/>
      </c>
      <c r="G470">
        <f>IF($AA470="","",INDEX('Per Line'!$I$2:$I$4001,$AA470)&amp;"")</f>
        <v/>
      </c>
      <c r="H470">
        <f>IF($AA470="","",INDEX('Per Line'!$J$2:$J$4001,$AA470)&amp;"")</f>
        <v/>
      </c>
      <c r="I470">
        <f>IF($AA470="","",INDEX('Per Line'!$K$2:$K$4001,$AA470)&amp;"")</f>
        <v/>
      </c>
      <c r="J470">
        <f>IF($AA470="","",INDEX('Per Line'!$L$2:$L$4001,$AA470)&amp;"")</f>
        <v/>
      </c>
      <c r="K470">
        <f>IF($AA470="","",INDEX('Per Line'!$P$2:$P$4001,$AA470))</f>
        <v/>
      </c>
      <c r="L470" s="7">
        <f>IF($AA470="","",IF(AND(ISNUMBER(N470),N470&gt;0,Y470&gt;N470),K470*N470/100+(Y470-N470),K470*Y470/100))</f>
        <v/>
      </c>
      <c r="M470">
        <f>IF($AA470="","",INDEX('Per Line'!$Z$2:$Z$4001,$AA470)&amp;"")</f>
        <v/>
      </c>
      <c r="N470">
        <f>IF($AA470="","",INDEX('Per Line'!$AG$2:$AG$4001,$AA470))</f>
        <v/>
      </c>
      <c r="O470">
        <f>IF($AA470="","",IF(AND(ISNUMBER(N470),N470&gt;0),Y470&gt;N470,FALSE))</f>
        <v/>
      </c>
      <c r="P470" s="7">
        <f>IF($AA470="","",SUMIFS('Per Line'!$Y$2:$Y$4001,'Per Line'!$E$2:$E$4001,$B470,'Per Line'!$AQ$2:$AQ$4001,1))</f>
        <v/>
      </c>
      <c r="Q470">
        <f>IF($AA470="","",Settings!$C$7)</f>
        <v/>
      </c>
      <c r="R470" s="7">
        <f>IF($AA470="","",SUMIFS('Per Line'!$Y$2:$Y$4001,'Per Line'!$E$2:$E$4001,$B470,'Per Line'!$AP$2:$AP$4001,0,'Per Line'!$AQ$2:$AQ$4001,0))</f>
        <v/>
      </c>
      <c r="S470" s="7">
        <f>IF($AA470="","",R470*Q470)</f>
        <v/>
      </c>
      <c r="T470">
        <f>IF($AA470="","",Settings!$C$6)</f>
        <v/>
      </c>
      <c r="U470" s="7">
        <f>IF($AA470="","",SUMIFS('Per Line'!$Y$2:$Y$4001,'Per Line'!$E$2:$E$4001,$B470,'Per Line'!$AP$2:$AP$4001,1,'Per Line'!$AQ$2:$AQ$4001,0))</f>
        <v/>
      </c>
      <c r="V470" s="7">
        <f>IF($AA470="","",U470*T470)</f>
        <v/>
      </c>
      <c r="W470" s="7">
        <f>IF($AA470="","",V470+S470)</f>
        <v/>
      </c>
      <c r="X470" s="7">
        <f>IF($AA470="","",Y470-W470)</f>
        <v/>
      </c>
      <c r="Y470" s="7">
        <f>IF($AA470="","",R470+U470+P470)</f>
        <v/>
      </c>
      <c r="Z470" s="7">
        <f>IF($AA470="","",Y470-W470-L470)</f>
        <v/>
      </c>
      <c r="AA470" s="13">
        <f>IF(ROWS($AA$2:$AA470)&lt;=MAX('Per Line'!$AO$2:$AO$4001),MATCH(ROWS($AA$2:$AA470),'Per Line'!$AO$2:$AO$4001,0),"")</f>
        <v/>
      </c>
      <c r="AB470" s="14">
        <f>IF($AA470="","",L470-K470*Y470/100)</f>
        <v/>
      </c>
    </row>
    <row r="471">
      <c r="A471" s="12" t="n"/>
      <c r="B471">
        <f>IF($AA471="","",INDEX('Per Line'!$E$2:$E$4001,$AA471)&amp;"")</f>
        <v/>
      </c>
      <c r="C471">
        <f>IF($AA471="","",INDEX('Per Line'!$A$2:$A$4001,$AA471)&amp;"")</f>
        <v/>
      </c>
      <c r="D471">
        <f>IF($AA471="","",INDEX('Per Line'!$D$2:$D$4001,$AA471)&amp;"")</f>
        <v/>
      </c>
      <c r="E471" s="11">
        <f>IF($AA471="","",INDEX('Per Line'!$G$2:$G$4001,$AA471))</f>
        <v/>
      </c>
      <c r="F471">
        <f>IF($AA471="","",INDEX('Per Line'!$H$2:$H$4001,$AA471)&amp;"")</f>
        <v/>
      </c>
      <c r="G471">
        <f>IF($AA471="","",INDEX('Per Line'!$I$2:$I$4001,$AA471)&amp;"")</f>
        <v/>
      </c>
      <c r="H471">
        <f>IF($AA471="","",INDEX('Per Line'!$J$2:$J$4001,$AA471)&amp;"")</f>
        <v/>
      </c>
      <c r="I471">
        <f>IF($AA471="","",INDEX('Per Line'!$K$2:$K$4001,$AA471)&amp;"")</f>
        <v/>
      </c>
      <c r="J471">
        <f>IF($AA471="","",INDEX('Per Line'!$L$2:$L$4001,$AA471)&amp;"")</f>
        <v/>
      </c>
      <c r="K471">
        <f>IF($AA471="","",INDEX('Per Line'!$P$2:$P$4001,$AA471))</f>
        <v/>
      </c>
      <c r="L471" s="7">
        <f>IF($AA471="","",IF(AND(ISNUMBER(N471),N471&gt;0,Y471&gt;N471),K471*N471/100+(Y471-N471),K471*Y471/100))</f>
        <v/>
      </c>
      <c r="M471">
        <f>IF($AA471="","",INDEX('Per Line'!$Z$2:$Z$4001,$AA471)&amp;"")</f>
        <v/>
      </c>
      <c r="N471">
        <f>IF($AA471="","",INDEX('Per Line'!$AG$2:$AG$4001,$AA471))</f>
        <v/>
      </c>
      <c r="O471">
        <f>IF($AA471="","",IF(AND(ISNUMBER(N471),N471&gt;0),Y471&gt;N471,FALSE))</f>
        <v/>
      </c>
      <c r="P471" s="7">
        <f>IF($AA471="","",SUMIFS('Per Line'!$Y$2:$Y$4001,'Per Line'!$E$2:$E$4001,$B471,'Per Line'!$AQ$2:$AQ$4001,1))</f>
        <v/>
      </c>
      <c r="Q471">
        <f>IF($AA471="","",Settings!$C$7)</f>
        <v/>
      </c>
      <c r="R471" s="7">
        <f>IF($AA471="","",SUMIFS('Per Line'!$Y$2:$Y$4001,'Per Line'!$E$2:$E$4001,$B471,'Per Line'!$AP$2:$AP$4001,0,'Per Line'!$AQ$2:$AQ$4001,0))</f>
        <v/>
      </c>
      <c r="S471" s="7">
        <f>IF($AA471="","",R471*Q471)</f>
        <v/>
      </c>
      <c r="T471">
        <f>IF($AA471="","",Settings!$C$6)</f>
        <v/>
      </c>
      <c r="U471" s="7">
        <f>IF($AA471="","",SUMIFS('Per Line'!$Y$2:$Y$4001,'Per Line'!$E$2:$E$4001,$B471,'Per Line'!$AP$2:$AP$4001,1,'Per Line'!$AQ$2:$AQ$4001,0))</f>
        <v/>
      </c>
      <c r="V471" s="7">
        <f>IF($AA471="","",U471*T471)</f>
        <v/>
      </c>
      <c r="W471" s="7">
        <f>IF($AA471="","",V471+S471)</f>
        <v/>
      </c>
      <c r="X471" s="7">
        <f>IF($AA471="","",Y471-W471)</f>
        <v/>
      </c>
      <c r="Y471" s="7">
        <f>IF($AA471="","",R471+U471+P471)</f>
        <v/>
      </c>
      <c r="Z471" s="7">
        <f>IF($AA471="","",Y471-W471-L471)</f>
        <v/>
      </c>
      <c r="AA471" s="13">
        <f>IF(ROWS($AA$2:$AA471)&lt;=MAX('Per Line'!$AO$2:$AO$4001),MATCH(ROWS($AA$2:$AA471),'Per Line'!$AO$2:$AO$4001,0),"")</f>
        <v/>
      </c>
      <c r="AB471" s="14">
        <f>IF($AA471="","",L471-K471*Y471/100)</f>
        <v/>
      </c>
    </row>
    <row r="472">
      <c r="A472" s="12" t="n"/>
      <c r="B472">
        <f>IF($AA472="","",INDEX('Per Line'!$E$2:$E$4001,$AA472)&amp;"")</f>
        <v/>
      </c>
      <c r="C472">
        <f>IF($AA472="","",INDEX('Per Line'!$A$2:$A$4001,$AA472)&amp;"")</f>
        <v/>
      </c>
      <c r="D472">
        <f>IF($AA472="","",INDEX('Per Line'!$D$2:$D$4001,$AA472)&amp;"")</f>
        <v/>
      </c>
      <c r="E472" s="11">
        <f>IF($AA472="","",INDEX('Per Line'!$G$2:$G$4001,$AA472))</f>
        <v/>
      </c>
      <c r="F472">
        <f>IF($AA472="","",INDEX('Per Line'!$H$2:$H$4001,$AA472)&amp;"")</f>
        <v/>
      </c>
      <c r="G472">
        <f>IF($AA472="","",INDEX('Per Line'!$I$2:$I$4001,$AA472)&amp;"")</f>
        <v/>
      </c>
      <c r="H472">
        <f>IF($AA472="","",INDEX('Per Line'!$J$2:$J$4001,$AA472)&amp;"")</f>
        <v/>
      </c>
      <c r="I472">
        <f>IF($AA472="","",INDEX('Per Line'!$K$2:$K$4001,$AA472)&amp;"")</f>
        <v/>
      </c>
      <c r="J472">
        <f>IF($AA472="","",INDEX('Per Line'!$L$2:$L$4001,$AA472)&amp;"")</f>
        <v/>
      </c>
      <c r="K472">
        <f>IF($AA472="","",INDEX('Per Line'!$P$2:$P$4001,$AA472))</f>
        <v/>
      </c>
      <c r="L472" s="7">
        <f>IF($AA472="","",IF(AND(ISNUMBER(N472),N472&gt;0,Y472&gt;N472),K472*N472/100+(Y472-N472),K472*Y472/100))</f>
        <v/>
      </c>
      <c r="M472">
        <f>IF($AA472="","",INDEX('Per Line'!$Z$2:$Z$4001,$AA472)&amp;"")</f>
        <v/>
      </c>
      <c r="N472">
        <f>IF($AA472="","",INDEX('Per Line'!$AG$2:$AG$4001,$AA472))</f>
        <v/>
      </c>
      <c r="O472">
        <f>IF($AA472="","",IF(AND(ISNUMBER(N472),N472&gt;0),Y472&gt;N472,FALSE))</f>
        <v/>
      </c>
      <c r="P472" s="7">
        <f>IF($AA472="","",SUMIFS('Per Line'!$Y$2:$Y$4001,'Per Line'!$E$2:$E$4001,$B472,'Per Line'!$AQ$2:$AQ$4001,1))</f>
        <v/>
      </c>
      <c r="Q472">
        <f>IF($AA472="","",Settings!$C$7)</f>
        <v/>
      </c>
      <c r="R472" s="7">
        <f>IF($AA472="","",SUMIFS('Per Line'!$Y$2:$Y$4001,'Per Line'!$E$2:$E$4001,$B472,'Per Line'!$AP$2:$AP$4001,0,'Per Line'!$AQ$2:$AQ$4001,0))</f>
        <v/>
      </c>
      <c r="S472" s="7">
        <f>IF($AA472="","",R472*Q472)</f>
        <v/>
      </c>
      <c r="T472">
        <f>IF($AA472="","",Settings!$C$6)</f>
        <v/>
      </c>
      <c r="U472" s="7">
        <f>IF($AA472="","",SUMIFS('Per Line'!$Y$2:$Y$4001,'Per Line'!$E$2:$E$4001,$B472,'Per Line'!$AP$2:$AP$4001,1,'Per Line'!$AQ$2:$AQ$4001,0))</f>
        <v/>
      </c>
      <c r="V472" s="7">
        <f>IF($AA472="","",U472*T472)</f>
        <v/>
      </c>
      <c r="W472" s="7">
        <f>IF($AA472="","",V472+S472)</f>
        <v/>
      </c>
      <c r="X472" s="7">
        <f>IF($AA472="","",Y472-W472)</f>
        <v/>
      </c>
      <c r="Y472" s="7">
        <f>IF($AA472="","",R472+U472+P472)</f>
        <v/>
      </c>
      <c r="Z472" s="7">
        <f>IF($AA472="","",Y472-W472-L472)</f>
        <v/>
      </c>
      <c r="AA472" s="13">
        <f>IF(ROWS($AA$2:$AA472)&lt;=MAX('Per Line'!$AO$2:$AO$4001),MATCH(ROWS($AA$2:$AA472),'Per Line'!$AO$2:$AO$4001,0),"")</f>
        <v/>
      </c>
      <c r="AB472" s="14">
        <f>IF($AA472="","",L472-K472*Y472/100)</f>
        <v/>
      </c>
    </row>
    <row r="473">
      <c r="A473" s="12" t="n"/>
      <c r="B473">
        <f>IF($AA473="","",INDEX('Per Line'!$E$2:$E$4001,$AA473)&amp;"")</f>
        <v/>
      </c>
      <c r="C473">
        <f>IF($AA473="","",INDEX('Per Line'!$A$2:$A$4001,$AA473)&amp;"")</f>
        <v/>
      </c>
      <c r="D473">
        <f>IF($AA473="","",INDEX('Per Line'!$D$2:$D$4001,$AA473)&amp;"")</f>
        <v/>
      </c>
      <c r="E473" s="11">
        <f>IF($AA473="","",INDEX('Per Line'!$G$2:$G$4001,$AA473))</f>
        <v/>
      </c>
      <c r="F473">
        <f>IF($AA473="","",INDEX('Per Line'!$H$2:$H$4001,$AA473)&amp;"")</f>
        <v/>
      </c>
      <c r="G473">
        <f>IF($AA473="","",INDEX('Per Line'!$I$2:$I$4001,$AA473)&amp;"")</f>
        <v/>
      </c>
      <c r="H473">
        <f>IF($AA473="","",INDEX('Per Line'!$J$2:$J$4001,$AA473)&amp;"")</f>
        <v/>
      </c>
      <c r="I473">
        <f>IF($AA473="","",INDEX('Per Line'!$K$2:$K$4001,$AA473)&amp;"")</f>
        <v/>
      </c>
      <c r="J473">
        <f>IF($AA473="","",INDEX('Per Line'!$L$2:$L$4001,$AA473)&amp;"")</f>
        <v/>
      </c>
      <c r="K473">
        <f>IF($AA473="","",INDEX('Per Line'!$P$2:$P$4001,$AA473))</f>
        <v/>
      </c>
      <c r="L473" s="7">
        <f>IF($AA473="","",IF(AND(ISNUMBER(N473),N473&gt;0,Y473&gt;N473),K473*N473/100+(Y473-N473),K473*Y473/100))</f>
        <v/>
      </c>
      <c r="M473">
        <f>IF($AA473="","",INDEX('Per Line'!$Z$2:$Z$4001,$AA473)&amp;"")</f>
        <v/>
      </c>
      <c r="N473">
        <f>IF($AA473="","",INDEX('Per Line'!$AG$2:$AG$4001,$AA473))</f>
        <v/>
      </c>
      <c r="O473">
        <f>IF($AA473="","",IF(AND(ISNUMBER(N473),N473&gt;0),Y473&gt;N473,FALSE))</f>
        <v/>
      </c>
      <c r="P473" s="7">
        <f>IF($AA473="","",SUMIFS('Per Line'!$Y$2:$Y$4001,'Per Line'!$E$2:$E$4001,$B473,'Per Line'!$AQ$2:$AQ$4001,1))</f>
        <v/>
      </c>
      <c r="Q473">
        <f>IF($AA473="","",Settings!$C$7)</f>
        <v/>
      </c>
      <c r="R473" s="7">
        <f>IF($AA473="","",SUMIFS('Per Line'!$Y$2:$Y$4001,'Per Line'!$E$2:$E$4001,$B473,'Per Line'!$AP$2:$AP$4001,0,'Per Line'!$AQ$2:$AQ$4001,0))</f>
        <v/>
      </c>
      <c r="S473" s="7">
        <f>IF($AA473="","",R473*Q473)</f>
        <v/>
      </c>
      <c r="T473">
        <f>IF($AA473="","",Settings!$C$6)</f>
        <v/>
      </c>
      <c r="U473" s="7">
        <f>IF($AA473="","",SUMIFS('Per Line'!$Y$2:$Y$4001,'Per Line'!$E$2:$E$4001,$B473,'Per Line'!$AP$2:$AP$4001,1,'Per Line'!$AQ$2:$AQ$4001,0))</f>
        <v/>
      </c>
      <c r="V473" s="7">
        <f>IF($AA473="","",U473*T473)</f>
        <v/>
      </c>
      <c r="W473" s="7">
        <f>IF($AA473="","",V473+S473)</f>
        <v/>
      </c>
      <c r="X473" s="7">
        <f>IF($AA473="","",Y473-W473)</f>
        <v/>
      </c>
      <c r="Y473" s="7">
        <f>IF($AA473="","",R473+U473+P473)</f>
        <v/>
      </c>
      <c r="Z473" s="7">
        <f>IF($AA473="","",Y473-W473-L473)</f>
        <v/>
      </c>
      <c r="AA473" s="13">
        <f>IF(ROWS($AA$2:$AA473)&lt;=MAX('Per Line'!$AO$2:$AO$4001),MATCH(ROWS($AA$2:$AA473),'Per Line'!$AO$2:$AO$4001,0),"")</f>
        <v/>
      </c>
      <c r="AB473" s="14">
        <f>IF($AA473="","",L473-K473*Y473/100)</f>
        <v/>
      </c>
    </row>
    <row r="474">
      <c r="A474" s="12" t="n"/>
      <c r="B474">
        <f>IF($AA474="","",INDEX('Per Line'!$E$2:$E$4001,$AA474)&amp;"")</f>
        <v/>
      </c>
      <c r="C474">
        <f>IF($AA474="","",INDEX('Per Line'!$A$2:$A$4001,$AA474)&amp;"")</f>
        <v/>
      </c>
      <c r="D474">
        <f>IF($AA474="","",INDEX('Per Line'!$D$2:$D$4001,$AA474)&amp;"")</f>
        <v/>
      </c>
      <c r="E474" s="11">
        <f>IF($AA474="","",INDEX('Per Line'!$G$2:$G$4001,$AA474))</f>
        <v/>
      </c>
      <c r="F474">
        <f>IF($AA474="","",INDEX('Per Line'!$H$2:$H$4001,$AA474)&amp;"")</f>
        <v/>
      </c>
      <c r="G474">
        <f>IF($AA474="","",INDEX('Per Line'!$I$2:$I$4001,$AA474)&amp;"")</f>
        <v/>
      </c>
      <c r="H474">
        <f>IF($AA474="","",INDEX('Per Line'!$J$2:$J$4001,$AA474)&amp;"")</f>
        <v/>
      </c>
      <c r="I474">
        <f>IF($AA474="","",INDEX('Per Line'!$K$2:$K$4001,$AA474)&amp;"")</f>
        <v/>
      </c>
      <c r="J474">
        <f>IF($AA474="","",INDEX('Per Line'!$L$2:$L$4001,$AA474)&amp;"")</f>
        <v/>
      </c>
      <c r="K474">
        <f>IF($AA474="","",INDEX('Per Line'!$P$2:$P$4001,$AA474))</f>
        <v/>
      </c>
      <c r="L474" s="7">
        <f>IF($AA474="","",IF(AND(ISNUMBER(N474),N474&gt;0,Y474&gt;N474),K474*N474/100+(Y474-N474),K474*Y474/100))</f>
        <v/>
      </c>
      <c r="M474">
        <f>IF($AA474="","",INDEX('Per Line'!$Z$2:$Z$4001,$AA474)&amp;"")</f>
        <v/>
      </c>
      <c r="N474">
        <f>IF($AA474="","",INDEX('Per Line'!$AG$2:$AG$4001,$AA474))</f>
        <v/>
      </c>
      <c r="O474">
        <f>IF($AA474="","",IF(AND(ISNUMBER(N474),N474&gt;0),Y474&gt;N474,FALSE))</f>
        <v/>
      </c>
      <c r="P474" s="7">
        <f>IF($AA474="","",SUMIFS('Per Line'!$Y$2:$Y$4001,'Per Line'!$E$2:$E$4001,$B474,'Per Line'!$AQ$2:$AQ$4001,1))</f>
        <v/>
      </c>
      <c r="Q474">
        <f>IF($AA474="","",Settings!$C$7)</f>
        <v/>
      </c>
      <c r="R474" s="7">
        <f>IF($AA474="","",SUMIFS('Per Line'!$Y$2:$Y$4001,'Per Line'!$E$2:$E$4001,$B474,'Per Line'!$AP$2:$AP$4001,0,'Per Line'!$AQ$2:$AQ$4001,0))</f>
        <v/>
      </c>
      <c r="S474" s="7">
        <f>IF($AA474="","",R474*Q474)</f>
        <v/>
      </c>
      <c r="T474">
        <f>IF($AA474="","",Settings!$C$6)</f>
        <v/>
      </c>
      <c r="U474" s="7">
        <f>IF($AA474="","",SUMIFS('Per Line'!$Y$2:$Y$4001,'Per Line'!$E$2:$E$4001,$B474,'Per Line'!$AP$2:$AP$4001,1,'Per Line'!$AQ$2:$AQ$4001,0))</f>
        <v/>
      </c>
      <c r="V474" s="7">
        <f>IF($AA474="","",U474*T474)</f>
        <v/>
      </c>
      <c r="W474" s="7">
        <f>IF($AA474="","",V474+S474)</f>
        <v/>
      </c>
      <c r="X474" s="7">
        <f>IF($AA474="","",Y474-W474)</f>
        <v/>
      </c>
      <c r="Y474" s="7">
        <f>IF($AA474="","",R474+U474+P474)</f>
        <v/>
      </c>
      <c r="Z474" s="7">
        <f>IF($AA474="","",Y474-W474-L474)</f>
        <v/>
      </c>
      <c r="AA474" s="13">
        <f>IF(ROWS($AA$2:$AA474)&lt;=MAX('Per Line'!$AO$2:$AO$4001),MATCH(ROWS($AA$2:$AA474),'Per Line'!$AO$2:$AO$4001,0),"")</f>
        <v/>
      </c>
      <c r="AB474" s="14">
        <f>IF($AA474="","",L474-K474*Y474/100)</f>
        <v/>
      </c>
    </row>
    <row r="475">
      <c r="A475" s="12" t="n"/>
      <c r="B475">
        <f>IF($AA475="","",INDEX('Per Line'!$E$2:$E$4001,$AA475)&amp;"")</f>
        <v/>
      </c>
      <c r="C475">
        <f>IF($AA475="","",INDEX('Per Line'!$A$2:$A$4001,$AA475)&amp;"")</f>
        <v/>
      </c>
      <c r="D475">
        <f>IF($AA475="","",INDEX('Per Line'!$D$2:$D$4001,$AA475)&amp;"")</f>
        <v/>
      </c>
      <c r="E475" s="11">
        <f>IF($AA475="","",INDEX('Per Line'!$G$2:$G$4001,$AA475))</f>
        <v/>
      </c>
      <c r="F475">
        <f>IF($AA475="","",INDEX('Per Line'!$H$2:$H$4001,$AA475)&amp;"")</f>
        <v/>
      </c>
      <c r="G475">
        <f>IF($AA475="","",INDEX('Per Line'!$I$2:$I$4001,$AA475)&amp;"")</f>
        <v/>
      </c>
      <c r="H475">
        <f>IF($AA475="","",INDEX('Per Line'!$J$2:$J$4001,$AA475)&amp;"")</f>
        <v/>
      </c>
      <c r="I475">
        <f>IF($AA475="","",INDEX('Per Line'!$K$2:$K$4001,$AA475)&amp;"")</f>
        <v/>
      </c>
      <c r="J475">
        <f>IF($AA475="","",INDEX('Per Line'!$L$2:$L$4001,$AA475)&amp;"")</f>
        <v/>
      </c>
      <c r="K475">
        <f>IF($AA475="","",INDEX('Per Line'!$P$2:$P$4001,$AA475))</f>
        <v/>
      </c>
      <c r="L475" s="7">
        <f>IF($AA475="","",IF(AND(ISNUMBER(N475),N475&gt;0,Y475&gt;N475),K475*N475/100+(Y475-N475),K475*Y475/100))</f>
        <v/>
      </c>
      <c r="M475">
        <f>IF($AA475="","",INDEX('Per Line'!$Z$2:$Z$4001,$AA475)&amp;"")</f>
        <v/>
      </c>
      <c r="N475">
        <f>IF($AA475="","",INDEX('Per Line'!$AG$2:$AG$4001,$AA475))</f>
        <v/>
      </c>
      <c r="O475">
        <f>IF($AA475="","",IF(AND(ISNUMBER(N475),N475&gt;0),Y475&gt;N475,FALSE))</f>
        <v/>
      </c>
      <c r="P475" s="7">
        <f>IF($AA475="","",SUMIFS('Per Line'!$Y$2:$Y$4001,'Per Line'!$E$2:$E$4001,$B475,'Per Line'!$AQ$2:$AQ$4001,1))</f>
        <v/>
      </c>
      <c r="Q475">
        <f>IF($AA475="","",Settings!$C$7)</f>
        <v/>
      </c>
      <c r="R475" s="7">
        <f>IF($AA475="","",SUMIFS('Per Line'!$Y$2:$Y$4001,'Per Line'!$E$2:$E$4001,$B475,'Per Line'!$AP$2:$AP$4001,0,'Per Line'!$AQ$2:$AQ$4001,0))</f>
        <v/>
      </c>
      <c r="S475" s="7">
        <f>IF($AA475="","",R475*Q475)</f>
        <v/>
      </c>
      <c r="T475">
        <f>IF($AA475="","",Settings!$C$6)</f>
        <v/>
      </c>
      <c r="U475" s="7">
        <f>IF($AA475="","",SUMIFS('Per Line'!$Y$2:$Y$4001,'Per Line'!$E$2:$E$4001,$B475,'Per Line'!$AP$2:$AP$4001,1,'Per Line'!$AQ$2:$AQ$4001,0))</f>
        <v/>
      </c>
      <c r="V475" s="7">
        <f>IF($AA475="","",U475*T475)</f>
        <v/>
      </c>
      <c r="W475" s="7">
        <f>IF($AA475="","",V475+S475)</f>
        <v/>
      </c>
      <c r="X475" s="7">
        <f>IF($AA475="","",Y475-W475)</f>
        <v/>
      </c>
      <c r="Y475" s="7">
        <f>IF($AA475="","",R475+U475+P475)</f>
        <v/>
      </c>
      <c r="Z475" s="7">
        <f>IF($AA475="","",Y475-W475-L475)</f>
        <v/>
      </c>
      <c r="AA475" s="13">
        <f>IF(ROWS($AA$2:$AA475)&lt;=MAX('Per Line'!$AO$2:$AO$4001),MATCH(ROWS($AA$2:$AA475),'Per Line'!$AO$2:$AO$4001,0),"")</f>
        <v/>
      </c>
      <c r="AB475" s="14">
        <f>IF($AA475="","",L475-K475*Y475/100)</f>
        <v/>
      </c>
    </row>
    <row r="476">
      <c r="A476" s="12" t="n"/>
      <c r="B476">
        <f>IF($AA476="","",INDEX('Per Line'!$E$2:$E$4001,$AA476)&amp;"")</f>
        <v/>
      </c>
      <c r="C476">
        <f>IF($AA476="","",INDEX('Per Line'!$A$2:$A$4001,$AA476)&amp;"")</f>
        <v/>
      </c>
      <c r="D476">
        <f>IF($AA476="","",INDEX('Per Line'!$D$2:$D$4001,$AA476)&amp;"")</f>
        <v/>
      </c>
      <c r="E476" s="11">
        <f>IF($AA476="","",INDEX('Per Line'!$G$2:$G$4001,$AA476))</f>
        <v/>
      </c>
      <c r="F476">
        <f>IF($AA476="","",INDEX('Per Line'!$H$2:$H$4001,$AA476)&amp;"")</f>
        <v/>
      </c>
      <c r="G476">
        <f>IF($AA476="","",INDEX('Per Line'!$I$2:$I$4001,$AA476)&amp;"")</f>
        <v/>
      </c>
      <c r="H476">
        <f>IF($AA476="","",INDEX('Per Line'!$J$2:$J$4001,$AA476)&amp;"")</f>
        <v/>
      </c>
      <c r="I476">
        <f>IF($AA476="","",INDEX('Per Line'!$K$2:$K$4001,$AA476)&amp;"")</f>
        <v/>
      </c>
      <c r="J476">
        <f>IF($AA476="","",INDEX('Per Line'!$L$2:$L$4001,$AA476)&amp;"")</f>
        <v/>
      </c>
      <c r="K476">
        <f>IF($AA476="","",INDEX('Per Line'!$P$2:$P$4001,$AA476))</f>
        <v/>
      </c>
      <c r="L476" s="7">
        <f>IF($AA476="","",IF(AND(ISNUMBER(N476),N476&gt;0,Y476&gt;N476),K476*N476/100+(Y476-N476),K476*Y476/100))</f>
        <v/>
      </c>
      <c r="M476">
        <f>IF($AA476="","",INDEX('Per Line'!$Z$2:$Z$4001,$AA476)&amp;"")</f>
        <v/>
      </c>
      <c r="N476">
        <f>IF($AA476="","",INDEX('Per Line'!$AG$2:$AG$4001,$AA476))</f>
        <v/>
      </c>
      <c r="O476">
        <f>IF($AA476="","",IF(AND(ISNUMBER(N476),N476&gt;0),Y476&gt;N476,FALSE))</f>
        <v/>
      </c>
      <c r="P476" s="7">
        <f>IF($AA476="","",SUMIFS('Per Line'!$Y$2:$Y$4001,'Per Line'!$E$2:$E$4001,$B476,'Per Line'!$AQ$2:$AQ$4001,1))</f>
        <v/>
      </c>
      <c r="Q476">
        <f>IF($AA476="","",Settings!$C$7)</f>
        <v/>
      </c>
      <c r="R476" s="7">
        <f>IF($AA476="","",SUMIFS('Per Line'!$Y$2:$Y$4001,'Per Line'!$E$2:$E$4001,$B476,'Per Line'!$AP$2:$AP$4001,0,'Per Line'!$AQ$2:$AQ$4001,0))</f>
        <v/>
      </c>
      <c r="S476" s="7">
        <f>IF($AA476="","",R476*Q476)</f>
        <v/>
      </c>
      <c r="T476">
        <f>IF($AA476="","",Settings!$C$6)</f>
        <v/>
      </c>
      <c r="U476" s="7">
        <f>IF($AA476="","",SUMIFS('Per Line'!$Y$2:$Y$4001,'Per Line'!$E$2:$E$4001,$B476,'Per Line'!$AP$2:$AP$4001,1,'Per Line'!$AQ$2:$AQ$4001,0))</f>
        <v/>
      </c>
      <c r="V476" s="7">
        <f>IF($AA476="","",U476*T476)</f>
        <v/>
      </c>
      <c r="W476" s="7">
        <f>IF($AA476="","",V476+S476)</f>
        <v/>
      </c>
      <c r="X476" s="7">
        <f>IF($AA476="","",Y476-W476)</f>
        <v/>
      </c>
      <c r="Y476" s="7">
        <f>IF($AA476="","",R476+U476+P476)</f>
        <v/>
      </c>
      <c r="Z476" s="7">
        <f>IF($AA476="","",Y476-W476-L476)</f>
        <v/>
      </c>
      <c r="AA476" s="13">
        <f>IF(ROWS($AA$2:$AA476)&lt;=MAX('Per Line'!$AO$2:$AO$4001),MATCH(ROWS($AA$2:$AA476),'Per Line'!$AO$2:$AO$4001,0),"")</f>
        <v/>
      </c>
      <c r="AB476" s="14">
        <f>IF($AA476="","",L476-K476*Y476/100)</f>
        <v/>
      </c>
    </row>
    <row r="477">
      <c r="A477" s="12" t="n"/>
      <c r="B477">
        <f>IF($AA477="","",INDEX('Per Line'!$E$2:$E$4001,$AA477)&amp;"")</f>
        <v/>
      </c>
      <c r="C477">
        <f>IF($AA477="","",INDEX('Per Line'!$A$2:$A$4001,$AA477)&amp;"")</f>
        <v/>
      </c>
      <c r="D477">
        <f>IF($AA477="","",INDEX('Per Line'!$D$2:$D$4001,$AA477)&amp;"")</f>
        <v/>
      </c>
      <c r="E477" s="11">
        <f>IF($AA477="","",INDEX('Per Line'!$G$2:$G$4001,$AA477))</f>
        <v/>
      </c>
      <c r="F477">
        <f>IF($AA477="","",INDEX('Per Line'!$H$2:$H$4001,$AA477)&amp;"")</f>
        <v/>
      </c>
      <c r="G477">
        <f>IF($AA477="","",INDEX('Per Line'!$I$2:$I$4001,$AA477)&amp;"")</f>
        <v/>
      </c>
      <c r="H477">
        <f>IF($AA477="","",INDEX('Per Line'!$J$2:$J$4001,$AA477)&amp;"")</f>
        <v/>
      </c>
      <c r="I477">
        <f>IF($AA477="","",INDEX('Per Line'!$K$2:$K$4001,$AA477)&amp;"")</f>
        <v/>
      </c>
      <c r="J477">
        <f>IF($AA477="","",INDEX('Per Line'!$L$2:$L$4001,$AA477)&amp;"")</f>
        <v/>
      </c>
      <c r="K477">
        <f>IF($AA477="","",INDEX('Per Line'!$P$2:$P$4001,$AA477))</f>
        <v/>
      </c>
      <c r="L477" s="7">
        <f>IF($AA477="","",IF(AND(ISNUMBER(N477),N477&gt;0,Y477&gt;N477),K477*N477/100+(Y477-N477),K477*Y477/100))</f>
        <v/>
      </c>
      <c r="M477">
        <f>IF($AA477="","",INDEX('Per Line'!$Z$2:$Z$4001,$AA477)&amp;"")</f>
        <v/>
      </c>
      <c r="N477">
        <f>IF($AA477="","",INDEX('Per Line'!$AG$2:$AG$4001,$AA477))</f>
        <v/>
      </c>
      <c r="O477">
        <f>IF($AA477="","",IF(AND(ISNUMBER(N477),N477&gt;0),Y477&gt;N477,FALSE))</f>
        <v/>
      </c>
      <c r="P477" s="7">
        <f>IF($AA477="","",SUMIFS('Per Line'!$Y$2:$Y$4001,'Per Line'!$E$2:$E$4001,$B477,'Per Line'!$AQ$2:$AQ$4001,1))</f>
        <v/>
      </c>
      <c r="Q477">
        <f>IF($AA477="","",Settings!$C$7)</f>
        <v/>
      </c>
      <c r="R477" s="7">
        <f>IF($AA477="","",SUMIFS('Per Line'!$Y$2:$Y$4001,'Per Line'!$E$2:$E$4001,$B477,'Per Line'!$AP$2:$AP$4001,0,'Per Line'!$AQ$2:$AQ$4001,0))</f>
        <v/>
      </c>
      <c r="S477" s="7">
        <f>IF($AA477="","",R477*Q477)</f>
        <v/>
      </c>
      <c r="T477">
        <f>IF($AA477="","",Settings!$C$6)</f>
        <v/>
      </c>
      <c r="U477" s="7">
        <f>IF($AA477="","",SUMIFS('Per Line'!$Y$2:$Y$4001,'Per Line'!$E$2:$E$4001,$B477,'Per Line'!$AP$2:$AP$4001,1,'Per Line'!$AQ$2:$AQ$4001,0))</f>
        <v/>
      </c>
      <c r="V477" s="7">
        <f>IF($AA477="","",U477*T477)</f>
        <v/>
      </c>
      <c r="W477" s="7">
        <f>IF($AA477="","",V477+S477)</f>
        <v/>
      </c>
      <c r="X477" s="7">
        <f>IF($AA477="","",Y477-W477)</f>
        <v/>
      </c>
      <c r="Y477" s="7">
        <f>IF($AA477="","",R477+U477+P477)</f>
        <v/>
      </c>
      <c r="Z477" s="7">
        <f>IF($AA477="","",Y477-W477-L477)</f>
        <v/>
      </c>
      <c r="AA477" s="13">
        <f>IF(ROWS($AA$2:$AA477)&lt;=MAX('Per Line'!$AO$2:$AO$4001),MATCH(ROWS($AA$2:$AA477),'Per Line'!$AO$2:$AO$4001,0),"")</f>
        <v/>
      </c>
      <c r="AB477" s="14">
        <f>IF($AA477="","",L477-K477*Y477/100)</f>
        <v/>
      </c>
    </row>
    <row r="478">
      <c r="A478" s="12" t="n"/>
      <c r="B478">
        <f>IF($AA478="","",INDEX('Per Line'!$E$2:$E$4001,$AA478)&amp;"")</f>
        <v/>
      </c>
      <c r="C478">
        <f>IF($AA478="","",INDEX('Per Line'!$A$2:$A$4001,$AA478)&amp;"")</f>
        <v/>
      </c>
      <c r="D478">
        <f>IF($AA478="","",INDEX('Per Line'!$D$2:$D$4001,$AA478)&amp;"")</f>
        <v/>
      </c>
      <c r="E478" s="11">
        <f>IF($AA478="","",INDEX('Per Line'!$G$2:$G$4001,$AA478))</f>
        <v/>
      </c>
      <c r="F478">
        <f>IF($AA478="","",INDEX('Per Line'!$H$2:$H$4001,$AA478)&amp;"")</f>
        <v/>
      </c>
      <c r="G478">
        <f>IF($AA478="","",INDEX('Per Line'!$I$2:$I$4001,$AA478)&amp;"")</f>
        <v/>
      </c>
      <c r="H478">
        <f>IF($AA478="","",INDEX('Per Line'!$J$2:$J$4001,$AA478)&amp;"")</f>
        <v/>
      </c>
      <c r="I478">
        <f>IF($AA478="","",INDEX('Per Line'!$K$2:$K$4001,$AA478)&amp;"")</f>
        <v/>
      </c>
      <c r="J478">
        <f>IF($AA478="","",INDEX('Per Line'!$L$2:$L$4001,$AA478)&amp;"")</f>
        <v/>
      </c>
      <c r="K478">
        <f>IF($AA478="","",INDEX('Per Line'!$P$2:$P$4001,$AA478))</f>
        <v/>
      </c>
      <c r="L478" s="7">
        <f>IF($AA478="","",IF(AND(ISNUMBER(N478),N478&gt;0,Y478&gt;N478),K478*N478/100+(Y478-N478),K478*Y478/100))</f>
        <v/>
      </c>
      <c r="M478">
        <f>IF($AA478="","",INDEX('Per Line'!$Z$2:$Z$4001,$AA478)&amp;"")</f>
        <v/>
      </c>
      <c r="N478">
        <f>IF($AA478="","",INDEX('Per Line'!$AG$2:$AG$4001,$AA478))</f>
        <v/>
      </c>
      <c r="O478">
        <f>IF($AA478="","",IF(AND(ISNUMBER(N478),N478&gt;0),Y478&gt;N478,FALSE))</f>
        <v/>
      </c>
      <c r="P478" s="7">
        <f>IF($AA478="","",SUMIFS('Per Line'!$Y$2:$Y$4001,'Per Line'!$E$2:$E$4001,$B478,'Per Line'!$AQ$2:$AQ$4001,1))</f>
        <v/>
      </c>
      <c r="Q478">
        <f>IF($AA478="","",Settings!$C$7)</f>
        <v/>
      </c>
      <c r="R478" s="7">
        <f>IF($AA478="","",SUMIFS('Per Line'!$Y$2:$Y$4001,'Per Line'!$E$2:$E$4001,$B478,'Per Line'!$AP$2:$AP$4001,0,'Per Line'!$AQ$2:$AQ$4001,0))</f>
        <v/>
      </c>
      <c r="S478" s="7">
        <f>IF($AA478="","",R478*Q478)</f>
        <v/>
      </c>
      <c r="T478">
        <f>IF($AA478="","",Settings!$C$6)</f>
        <v/>
      </c>
      <c r="U478" s="7">
        <f>IF($AA478="","",SUMIFS('Per Line'!$Y$2:$Y$4001,'Per Line'!$E$2:$E$4001,$B478,'Per Line'!$AP$2:$AP$4001,1,'Per Line'!$AQ$2:$AQ$4001,0))</f>
        <v/>
      </c>
      <c r="V478" s="7">
        <f>IF($AA478="","",U478*T478)</f>
        <v/>
      </c>
      <c r="W478" s="7">
        <f>IF($AA478="","",V478+S478)</f>
        <v/>
      </c>
      <c r="X478" s="7">
        <f>IF($AA478="","",Y478-W478)</f>
        <v/>
      </c>
      <c r="Y478" s="7">
        <f>IF($AA478="","",R478+U478+P478)</f>
        <v/>
      </c>
      <c r="Z478" s="7">
        <f>IF($AA478="","",Y478-W478-L478)</f>
        <v/>
      </c>
      <c r="AA478" s="13">
        <f>IF(ROWS($AA$2:$AA478)&lt;=MAX('Per Line'!$AO$2:$AO$4001),MATCH(ROWS($AA$2:$AA478),'Per Line'!$AO$2:$AO$4001,0),"")</f>
        <v/>
      </c>
      <c r="AB478" s="14">
        <f>IF($AA478="","",L478-K478*Y478/100)</f>
        <v/>
      </c>
    </row>
    <row r="479">
      <c r="A479" s="12" t="n"/>
      <c r="B479">
        <f>IF($AA479="","",INDEX('Per Line'!$E$2:$E$4001,$AA479)&amp;"")</f>
        <v/>
      </c>
      <c r="C479">
        <f>IF($AA479="","",INDEX('Per Line'!$A$2:$A$4001,$AA479)&amp;"")</f>
        <v/>
      </c>
      <c r="D479">
        <f>IF($AA479="","",INDEX('Per Line'!$D$2:$D$4001,$AA479)&amp;"")</f>
        <v/>
      </c>
      <c r="E479" s="11">
        <f>IF($AA479="","",INDEX('Per Line'!$G$2:$G$4001,$AA479))</f>
        <v/>
      </c>
      <c r="F479">
        <f>IF($AA479="","",INDEX('Per Line'!$H$2:$H$4001,$AA479)&amp;"")</f>
        <v/>
      </c>
      <c r="G479">
        <f>IF($AA479="","",INDEX('Per Line'!$I$2:$I$4001,$AA479)&amp;"")</f>
        <v/>
      </c>
      <c r="H479">
        <f>IF($AA479="","",INDEX('Per Line'!$J$2:$J$4001,$AA479)&amp;"")</f>
        <v/>
      </c>
      <c r="I479">
        <f>IF($AA479="","",INDEX('Per Line'!$K$2:$K$4001,$AA479)&amp;"")</f>
        <v/>
      </c>
      <c r="J479">
        <f>IF($AA479="","",INDEX('Per Line'!$L$2:$L$4001,$AA479)&amp;"")</f>
        <v/>
      </c>
      <c r="K479">
        <f>IF($AA479="","",INDEX('Per Line'!$P$2:$P$4001,$AA479))</f>
        <v/>
      </c>
      <c r="L479" s="7">
        <f>IF($AA479="","",IF(AND(ISNUMBER(N479),N479&gt;0,Y479&gt;N479),K479*N479/100+(Y479-N479),K479*Y479/100))</f>
        <v/>
      </c>
      <c r="M479">
        <f>IF($AA479="","",INDEX('Per Line'!$Z$2:$Z$4001,$AA479)&amp;"")</f>
        <v/>
      </c>
      <c r="N479">
        <f>IF($AA479="","",INDEX('Per Line'!$AG$2:$AG$4001,$AA479))</f>
        <v/>
      </c>
      <c r="O479">
        <f>IF($AA479="","",IF(AND(ISNUMBER(N479),N479&gt;0),Y479&gt;N479,FALSE))</f>
        <v/>
      </c>
      <c r="P479" s="7">
        <f>IF($AA479="","",SUMIFS('Per Line'!$Y$2:$Y$4001,'Per Line'!$E$2:$E$4001,$B479,'Per Line'!$AQ$2:$AQ$4001,1))</f>
        <v/>
      </c>
      <c r="Q479">
        <f>IF($AA479="","",Settings!$C$7)</f>
        <v/>
      </c>
      <c r="R479" s="7">
        <f>IF($AA479="","",SUMIFS('Per Line'!$Y$2:$Y$4001,'Per Line'!$E$2:$E$4001,$B479,'Per Line'!$AP$2:$AP$4001,0,'Per Line'!$AQ$2:$AQ$4001,0))</f>
        <v/>
      </c>
      <c r="S479" s="7">
        <f>IF($AA479="","",R479*Q479)</f>
        <v/>
      </c>
      <c r="T479">
        <f>IF($AA479="","",Settings!$C$6)</f>
        <v/>
      </c>
      <c r="U479" s="7">
        <f>IF($AA479="","",SUMIFS('Per Line'!$Y$2:$Y$4001,'Per Line'!$E$2:$E$4001,$B479,'Per Line'!$AP$2:$AP$4001,1,'Per Line'!$AQ$2:$AQ$4001,0))</f>
        <v/>
      </c>
      <c r="V479" s="7">
        <f>IF($AA479="","",U479*T479)</f>
        <v/>
      </c>
      <c r="W479" s="7">
        <f>IF($AA479="","",V479+S479)</f>
        <v/>
      </c>
      <c r="X479" s="7">
        <f>IF($AA479="","",Y479-W479)</f>
        <v/>
      </c>
      <c r="Y479" s="7">
        <f>IF($AA479="","",R479+U479+P479)</f>
        <v/>
      </c>
      <c r="Z479" s="7">
        <f>IF($AA479="","",Y479-W479-L479)</f>
        <v/>
      </c>
      <c r="AA479" s="13">
        <f>IF(ROWS($AA$2:$AA479)&lt;=MAX('Per Line'!$AO$2:$AO$4001),MATCH(ROWS($AA$2:$AA479),'Per Line'!$AO$2:$AO$4001,0),"")</f>
        <v/>
      </c>
      <c r="AB479" s="14">
        <f>IF($AA479="","",L479-K479*Y479/100)</f>
        <v/>
      </c>
    </row>
    <row r="480">
      <c r="A480" s="12" t="n"/>
      <c r="B480">
        <f>IF($AA480="","",INDEX('Per Line'!$E$2:$E$4001,$AA480)&amp;"")</f>
        <v/>
      </c>
      <c r="C480">
        <f>IF($AA480="","",INDEX('Per Line'!$A$2:$A$4001,$AA480)&amp;"")</f>
        <v/>
      </c>
      <c r="D480">
        <f>IF($AA480="","",INDEX('Per Line'!$D$2:$D$4001,$AA480)&amp;"")</f>
        <v/>
      </c>
      <c r="E480" s="11">
        <f>IF($AA480="","",INDEX('Per Line'!$G$2:$G$4001,$AA480))</f>
        <v/>
      </c>
      <c r="F480">
        <f>IF($AA480="","",INDEX('Per Line'!$H$2:$H$4001,$AA480)&amp;"")</f>
        <v/>
      </c>
      <c r="G480">
        <f>IF($AA480="","",INDEX('Per Line'!$I$2:$I$4001,$AA480)&amp;"")</f>
        <v/>
      </c>
      <c r="H480">
        <f>IF($AA480="","",INDEX('Per Line'!$J$2:$J$4001,$AA480)&amp;"")</f>
        <v/>
      </c>
      <c r="I480">
        <f>IF($AA480="","",INDEX('Per Line'!$K$2:$K$4001,$AA480)&amp;"")</f>
        <v/>
      </c>
      <c r="J480">
        <f>IF($AA480="","",INDEX('Per Line'!$L$2:$L$4001,$AA480)&amp;"")</f>
        <v/>
      </c>
      <c r="K480">
        <f>IF($AA480="","",INDEX('Per Line'!$P$2:$P$4001,$AA480))</f>
        <v/>
      </c>
      <c r="L480" s="7">
        <f>IF($AA480="","",IF(AND(ISNUMBER(N480),N480&gt;0,Y480&gt;N480),K480*N480/100+(Y480-N480),K480*Y480/100))</f>
        <v/>
      </c>
      <c r="M480">
        <f>IF($AA480="","",INDEX('Per Line'!$Z$2:$Z$4001,$AA480)&amp;"")</f>
        <v/>
      </c>
      <c r="N480">
        <f>IF($AA480="","",INDEX('Per Line'!$AG$2:$AG$4001,$AA480))</f>
        <v/>
      </c>
      <c r="O480">
        <f>IF($AA480="","",IF(AND(ISNUMBER(N480),N480&gt;0),Y480&gt;N480,FALSE))</f>
        <v/>
      </c>
      <c r="P480" s="7">
        <f>IF($AA480="","",SUMIFS('Per Line'!$Y$2:$Y$4001,'Per Line'!$E$2:$E$4001,$B480,'Per Line'!$AQ$2:$AQ$4001,1))</f>
        <v/>
      </c>
      <c r="Q480">
        <f>IF($AA480="","",Settings!$C$7)</f>
        <v/>
      </c>
      <c r="R480" s="7">
        <f>IF($AA480="","",SUMIFS('Per Line'!$Y$2:$Y$4001,'Per Line'!$E$2:$E$4001,$B480,'Per Line'!$AP$2:$AP$4001,0,'Per Line'!$AQ$2:$AQ$4001,0))</f>
        <v/>
      </c>
      <c r="S480" s="7">
        <f>IF($AA480="","",R480*Q480)</f>
        <v/>
      </c>
      <c r="T480">
        <f>IF($AA480="","",Settings!$C$6)</f>
        <v/>
      </c>
      <c r="U480" s="7">
        <f>IF($AA480="","",SUMIFS('Per Line'!$Y$2:$Y$4001,'Per Line'!$E$2:$E$4001,$B480,'Per Line'!$AP$2:$AP$4001,1,'Per Line'!$AQ$2:$AQ$4001,0))</f>
        <v/>
      </c>
      <c r="V480" s="7">
        <f>IF($AA480="","",U480*T480)</f>
        <v/>
      </c>
      <c r="W480" s="7">
        <f>IF($AA480="","",V480+S480)</f>
        <v/>
      </c>
      <c r="X480" s="7">
        <f>IF($AA480="","",Y480-W480)</f>
        <v/>
      </c>
      <c r="Y480" s="7">
        <f>IF($AA480="","",R480+U480+P480)</f>
        <v/>
      </c>
      <c r="Z480" s="7">
        <f>IF($AA480="","",Y480-W480-L480)</f>
        <v/>
      </c>
      <c r="AA480" s="13">
        <f>IF(ROWS($AA$2:$AA480)&lt;=MAX('Per Line'!$AO$2:$AO$4001),MATCH(ROWS($AA$2:$AA480),'Per Line'!$AO$2:$AO$4001,0),"")</f>
        <v/>
      </c>
      <c r="AB480" s="14">
        <f>IF($AA480="","",L480-K480*Y480/100)</f>
        <v/>
      </c>
    </row>
    <row r="481">
      <c r="A481" s="12" t="n"/>
      <c r="B481">
        <f>IF($AA481="","",INDEX('Per Line'!$E$2:$E$4001,$AA481)&amp;"")</f>
        <v/>
      </c>
      <c r="C481">
        <f>IF($AA481="","",INDEX('Per Line'!$A$2:$A$4001,$AA481)&amp;"")</f>
        <v/>
      </c>
      <c r="D481">
        <f>IF($AA481="","",INDEX('Per Line'!$D$2:$D$4001,$AA481)&amp;"")</f>
        <v/>
      </c>
      <c r="E481" s="11">
        <f>IF($AA481="","",INDEX('Per Line'!$G$2:$G$4001,$AA481))</f>
        <v/>
      </c>
      <c r="F481">
        <f>IF($AA481="","",INDEX('Per Line'!$H$2:$H$4001,$AA481)&amp;"")</f>
        <v/>
      </c>
      <c r="G481">
        <f>IF($AA481="","",INDEX('Per Line'!$I$2:$I$4001,$AA481)&amp;"")</f>
        <v/>
      </c>
      <c r="H481">
        <f>IF($AA481="","",INDEX('Per Line'!$J$2:$J$4001,$AA481)&amp;"")</f>
        <v/>
      </c>
      <c r="I481">
        <f>IF($AA481="","",INDEX('Per Line'!$K$2:$K$4001,$AA481)&amp;"")</f>
        <v/>
      </c>
      <c r="J481">
        <f>IF($AA481="","",INDEX('Per Line'!$L$2:$L$4001,$AA481)&amp;"")</f>
        <v/>
      </c>
      <c r="K481">
        <f>IF($AA481="","",INDEX('Per Line'!$P$2:$P$4001,$AA481))</f>
        <v/>
      </c>
      <c r="L481" s="7">
        <f>IF($AA481="","",IF(AND(ISNUMBER(N481),N481&gt;0,Y481&gt;N481),K481*N481/100+(Y481-N481),K481*Y481/100))</f>
        <v/>
      </c>
      <c r="M481">
        <f>IF($AA481="","",INDEX('Per Line'!$Z$2:$Z$4001,$AA481)&amp;"")</f>
        <v/>
      </c>
      <c r="N481">
        <f>IF($AA481="","",INDEX('Per Line'!$AG$2:$AG$4001,$AA481))</f>
        <v/>
      </c>
      <c r="O481">
        <f>IF($AA481="","",IF(AND(ISNUMBER(N481),N481&gt;0),Y481&gt;N481,FALSE))</f>
        <v/>
      </c>
      <c r="P481" s="7">
        <f>IF($AA481="","",SUMIFS('Per Line'!$Y$2:$Y$4001,'Per Line'!$E$2:$E$4001,$B481,'Per Line'!$AQ$2:$AQ$4001,1))</f>
        <v/>
      </c>
      <c r="Q481">
        <f>IF($AA481="","",Settings!$C$7)</f>
        <v/>
      </c>
      <c r="R481" s="7">
        <f>IF($AA481="","",SUMIFS('Per Line'!$Y$2:$Y$4001,'Per Line'!$E$2:$E$4001,$B481,'Per Line'!$AP$2:$AP$4001,0,'Per Line'!$AQ$2:$AQ$4001,0))</f>
        <v/>
      </c>
      <c r="S481" s="7">
        <f>IF($AA481="","",R481*Q481)</f>
        <v/>
      </c>
      <c r="T481">
        <f>IF($AA481="","",Settings!$C$6)</f>
        <v/>
      </c>
      <c r="U481" s="7">
        <f>IF($AA481="","",SUMIFS('Per Line'!$Y$2:$Y$4001,'Per Line'!$E$2:$E$4001,$B481,'Per Line'!$AP$2:$AP$4001,1,'Per Line'!$AQ$2:$AQ$4001,0))</f>
        <v/>
      </c>
      <c r="V481" s="7">
        <f>IF($AA481="","",U481*T481)</f>
        <v/>
      </c>
      <c r="W481" s="7">
        <f>IF($AA481="","",V481+S481)</f>
        <v/>
      </c>
      <c r="X481" s="7">
        <f>IF($AA481="","",Y481-W481)</f>
        <v/>
      </c>
      <c r="Y481" s="7">
        <f>IF($AA481="","",R481+U481+P481)</f>
        <v/>
      </c>
      <c r="Z481" s="7">
        <f>IF($AA481="","",Y481-W481-L481)</f>
        <v/>
      </c>
      <c r="AA481" s="13">
        <f>IF(ROWS($AA$2:$AA481)&lt;=MAX('Per Line'!$AO$2:$AO$4001),MATCH(ROWS($AA$2:$AA481),'Per Line'!$AO$2:$AO$4001,0),"")</f>
        <v/>
      </c>
      <c r="AB481" s="14">
        <f>IF($AA481="","",L481-K481*Y481/100)</f>
        <v/>
      </c>
    </row>
    <row r="482">
      <c r="A482" s="12" t="n"/>
      <c r="B482">
        <f>IF($AA482="","",INDEX('Per Line'!$E$2:$E$4001,$AA482)&amp;"")</f>
        <v/>
      </c>
      <c r="C482">
        <f>IF($AA482="","",INDEX('Per Line'!$A$2:$A$4001,$AA482)&amp;"")</f>
        <v/>
      </c>
      <c r="D482">
        <f>IF($AA482="","",INDEX('Per Line'!$D$2:$D$4001,$AA482)&amp;"")</f>
        <v/>
      </c>
      <c r="E482" s="11">
        <f>IF($AA482="","",INDEX('Per Line'!$G$2:$G$4001,$AA482))</f>
        <v/>
      </c>
      <c r="F482">
        <f>IF($AA482="","",INDEX('Per Line'!$H$2:$H$4001,$AA482)&amp;"")</f>
        <v/>
      </c>
      <c r="G482">
        <f>IF($AA482="","",INDEX('Per Line'!$I$2:$I$4001,$AA482)&amp;"")</f>
        <v/>
      </c>
      <c r="H482">
        <f>IF($AA482="","",INDEX('Per Line'!$J$2:$J$4001,$AA482)&amp;"")</f>
        <v/>
      </c>
      <c r="I482">
        <f>IF($AA482="","",INDEX('Per Line'!$K$2:$K$4001,$AA482)&amp;"")</f>
        <v/>
      </c>
      <c r="J482">
        <f>IF($AA482="","",INDEX('Per Line'!$L$2:$L$4001,$AA482)&amp;"")</f>
        <v/>
      </c>
      <c r="K482">
        <f>IF($AA482="","",INDEX('Per Line'!$P$2:$P$4001,$AA482))</f>
        <v/>
      </c>
      <c r="L482" s="7">
        <f>IF($AA482="","",IF(AND(ISNUMBER(N482),N482&gt;0,Y482&gt;N482),K482*N482/100+(Y482-N482),K482*Y482/100))</f>
        <v/>
      </c>
      <c r="M482">
        <f>IF($AA482="","",INDEX('Per Line'!$Z$2:$Z$4001,$AA482)&amp;"")</f>
        <v/>
      </c>
      <c r="N482">
        <f>IF($AA482="","",INDEX('Per Line'!$AG$2:$AG$4001,$AA482))</f>
        <v/>
      </c>
      <c r="O482">
        <f>IF($AA482="","",IF(AND(ISNUMBER(N482),N482&gt;0),Y482&gt;N482,FALSE))</f>
        <v/>
      </c>
      <c r="P482" s="7">
        <f>IF($AA482="","",SUMIFS('Per Line'!$Y$2:$Y$4001,'Per Line'!$E$2:$E$4001,$B482,'Per Line'!$AQ$2:$AQ$4001,1))</f>
        <v/>
      </c>
      <c r="Q482">
        <f>IF($AA482="","",Settings!$C$7)</f>
        <v/>
      </c>
      <c r="R482" s="7">
        <f>IF($AA482="","",SUMIFS('Per Line'!$Y$2:$Y$4001,'Per Line'!$E$2:$E$4001,$B482,'Per Line'!$AP$2:$AP$4001,0,'Per Line'!$AQ$2:$AQ$4001,0))</f>
        <v/>
      </c>
      <c r="S482" s="7">
        <f>IF($AA482="","",R482*Q482)</f>
        <v/>
      </c>
      <c r="T482">
        <f>IF($AA482="","",Settings!$C$6)</f>
        <v/>
      </c>
      <c r="U482" s="7">
        <f>IF($AA482="","",SUMIFS('Per Line'!$Y$2:$Y$4001,'Per Line'!$E$2:$E$4001,$B482,'Per Line'!$AP$2:$AP$4001,1,'Per Line'!$AQ$2:$AQ$4001,0))</f>
        <v/>
      </c>
      <c r="V482" s="7">
        <f>IF($AA482="","",U482*T482)</f>
        <v/>
      </c>
      <c r="W482" s="7">
        <f>IF($AA482="","",V482+S482)</f>
        <v/>
      </c>
      <c r="X482" s="7">
        <f>IF($AA482="","",Y482-W482)</f>
        <v/>
      </c>
      <c r="Y482" s="7">
        <f>IF($AA482="","",R482+U482+P482)</f>
        <v/>
      </c>
      <c r="Z482" s="7">
        <f>IF($AA482="","",Y482-W482-L482)</f>
        <v/>
      </c>
      <c r="AA482" s="13">
        <f>IF(ROWS($AA$2:$AA482)&lt;=MAX('Per Line'!$AO$2:$AO$4001),MATCH(ROWS($AA$2:$AA482),'Per Line'!$AO$2:$AO$4001,0),"")</f>
        <v/>
      </c>
      <c r="AB482" s="14">
        <f>IF($AA482="","",L482-K482*Y482/100)</f>
        <v/>
      </c>
    </row>
    <row r="483">
      <c r="A483" s="12" t="n"/>
      <c r="B483">
        <f>IF($AA483="","",INDEX('Per Line'!$E$2:$E$4001,$AA483)&amp;"")</f>
        <v/>
      </c>
      <c r="C483">
        <f>IF($AA483="","",INDEX('Per Line'!$A$2:$A$4001,$AA483)&amp;"")</f>
        <v/>
      </c>
      <c r="D483">
        <f>IF($AA483="","",INDEX('Per Line'!$D$2:$D$4001,$AA483)&amp;"")</f>
        <v/>
      </c>
      <c r="E483" s="11">
        <f>IF($AA483="","",INDEX('Per Line'!$G$2:$G$4001,$AA483))</f>
        <v/>
      </c>
      <c r="F483">
        <f>IF($AA483="","",INDEX('Per Line'!$H$2:$H$4001,$AA483)&amp;"")</f>
        <v/>
      </c>
      <c r="G483">
        <f>IF($AA483="","",INDEX('Per Line'!$I$2:$I$4001,$AA483)&amp;"")</f>
        <v/>
      </c>
      <c r="H483">
        <f>IF($AA483="","",INDEX('Per Line'!$J$2:$J$4001,$AA483)&amp;"")</f>
        <v/>
      </c>
      <c r="I483">
        <f>IF($AA483="","",INDEX('Per Line'!$K$2:$K$4001,$AA483)&amp;"")</f>
        <v/>
      </c>
      <c r="J483">
        <f>IF($AA483="","",INDEX('Per Line'!$L$2:$L$4001,$AA483)&amp;"")</f>
        <v/>
      </c>
      <c r="K483">
        <f>IF($AA483="","",INDEX('Per Line'!$P$2:$P$4001,$AA483))</f>
        <v/>
      </c>
      <c r="L483" s="7">
        <f>IF($AA483="","",IF(AND(ISNUMBER(N483),N483&gt;0,Y483&gt;N483),K483*N483/100+(Y483-N483),K483*Y483/100))</f>
        <v/>
      </c>
      <c r="M483">
        <f>IF($AA483="","",INDEX('Per Line'!$Z$2:$Z$4001,$AA483)&amp;"")</f>
        <v/>
      </c>
      <c r="N483">
        <f>IF($AA483="","",INDEX('Per Line'!$AG$2:$AG$4001,$AA483))</f>
        <v/>
      </c>
      <c r="O483">
        <f>IF($AA483="","",IF(AND(ISNUMBER(N483),N483&gt;0),Y483&gt;N483,FALSE))</f>
        <v/>
      </c>
      <c r="P483" s="7">
        <f>IF($AA483="","",SUMIFS('Per Line'!$Y$2:$Y$4001,'Per Line'!$E$2:$E$4001,$B483,'Per Line'!$AQ$2:$AQ$4001,1))</f>
        <v/>
      </c>
      <c r="Q483">
        <f>IF($AA483="","",Settings!$C$7)</f>
        <v/>
      </c>
      <c r="R483" s="7">
        <f>IF($AA483="","",SUMIFS('Per Line'!$Y$2:$Y$4001,'Per Line'!$E$2:$E$4001,$B483,'Per Line'!$AP$2:$AP$4001,0,'Per Line'!$AQ$2:$AQ$4001,0))</f>
        <v/>
      </c>
      <c r="S483" s="7">
        <f>IF($AA483="","",R483*Q483)</f>
        <v/>
      </c>
      <c r="T483">
        <f>IF($AA483="","",Settings!$C$6)</f>
        <v/>
      </c>
      <c r="U483" s="7">
        <f>IF($AA483="","",SUMIFS('Per Line'!$Y$2:$Y$4001,'Per Line'!$E$2:$E$4001,$B483,'Per Line'!$AP$2:$AP$4001,1,'Per Line'!$AQ$2:$AQ$4001,0))</f>
        <v/>
      </c>
      <c r="V483" s="7">
        <f>IF($AA483="","",U483*T483)</f>
        <v/>
      </c>
      <c r="W483" s="7">
        <f>IF($AA483="","",V483+S483)</f>
        <v/>
      </c>
      <c r="X483" s="7">
        <f>IF($AA483="","",Y483-W483)</f>
        <v/>
      </c>
      <c r="Y483" s="7">
        <f>IF($AA483="","",R483+U483+P483)</f>
        <v/>
      </c>
      <c r="Z483" s="7">
        <f>IF($AA483="","",Y483-W483-L483)</f>
        <v/>
      </c>
      <c r="AA483" s="13">
        <f>IF(ROWS($AA$2:$AA483)&lt;=MAX('Per Line'!$AO$2:$AO$4001),MATCH(ROWS($AA$2:$AA483),'Per Line'!$AO$2:$AO$4001,0),"")</f>
        <v/>
      </c>
      <c r="AB483" s="14">
        <f>IF($AA483="","",L483-K483*Y483/100)</f>
        <v/>
      </c>
    </row>
    <row r="484">
      <c r="A484" s="12" t="n"/>
      <c r="B484">
        <f>IF($AA484="","",INDEX('Per Line'!$E$2:$E$4001,$AA484)&amp;"")</f>
        <v/>
      </c>
      <c r="C484">
        <f>IF($AA484="","",INDEX('Per Line'!$A$2:$A$4001,$AA484)&amp;"")</f>
        <v/>
      </c>
      <c r="D484">
        <f>IF($AA484="","",INDEX('Per Line'!$D$2:$D$4001,$AA484)&amp;"")</f>
        <v/>
      </c>
      <c r="E484" s="11">
        <f>IF($AA484="","",INDEX('Per Line'!$G$2:$G$4001,$AA484))</f>
        <v/>
      </c>
      <c r="F484">
        <f>IF($AA484="","",INDEX('Per Line'!$H$2:$H$4001,$AA484)&amp;"")</f>
        <v/>
      </c>
      <c r="G484">
        <f>IF($AA484="","",INDEX('Per Line'!$I$2:$I$4001,$AA484)&amp;"")</f>
        <v/>
      </c>
      <c r="H484">
        <f>IF($AA484="","",INDEX('Per Line'!$J$2:$J$4001,$AA484)&amp;"")</f>
        <v/>
      </c>
      <c r="I484">
        <f>IF($AA484="","",INDEX('Per Line'!$K$2:$K$4001,$AA484)&amp;"")</f>
        <v/>
      </c>
      <c r="J484">
        <f>IF($AA484="","",INDEX('Per Line'!$L$2:$L$4001,$AA484)&amp;"")</f>
        <v/>
      </c>
      <c r="K484">
        <f>IF($AA484="","",INDEX('Per Line'!$P$2:$P$4001,$AA484))</f>
        <v/>
      </c>
      <c r="L484" s="7">
        <f>IF($AA484="","",IF(AND(ISNUMBER(N484),N484&gt;0,Y484&gt;N484),K484*N484/100+(Y484-N484),K484*Y484/100))</f>
        <v/>
      </c>
      <c r="M484">
        <f>IF($AA484="","",INDEX('Per Line'!$Z$2:$Z$4001,$AA484)&amp;"")</f>
        <v/>
      </c>
      <c r="N484">
        <f>IF($AA484="","",INDEX('Per Line'!$AG$2:$AG$4001,$AA484))</f>
        <v/>
      </c>
      <c r="O484">
        <f>IF($AA484="","",IF(AND(ISNUMBER(N484),N484&gt;0),Y484&gt;N484,FALSE))</f>
        <v/>
      </c>
      <c r="P484" s="7">
        <f>IF($AA484="","",SUMIFS('Per Line'!$Y$2:$Y$4001,'Per Line'!$E$2:$E$4001,$B484,'Per Line'!$AQ$2:$AQ$4001,1))</f>
        <v/>
      </c>
      <c r="Q484">
        <f>IF($AA484="","",Settings!$C$7)</f>
        <v/>
      </c>
      <c r="R484" s="7">
        <f>IF($AA484="","",SUMIFS('Per Line'!$Y$2:$Y$4001,'Per Line'!$E$2:$E$4001,$B484,'Per Line'!$AP$2:$AP$4001,0,'Per Line'!$AQ$2:$AQ$4001,0))</f>
        <v/>
      </c>
      <c r="S484" s="7">
        <f>IF($AA484="","",R484*Q484)</f>
        <v/>
      </c>
      <c r="T484">
        <f>IF($AA484="","",Settings!$C$6)</f>
        <v/>
      </c>
      <c r="U484" s="7">
        <f>IF($AA484="","",SUMIFS('Per Line'!$Y$2:$Y$4001,'Per Line'!$E$2:$E$4001,$B484,'Per Line'!$AP$2:$AP$4001,1,'Per Line'!$AQ$2:$AQ$4001,0))</f>
        <v/>
      </c>
      <c r="V484" s="7">
        <f>IF($AA484="","",U484*T484)</f>
        <v/>
      </c>
      <c r="W484" s="7">
        <f>IF($AA484="","",V484+S484)</f>
        <v/>
      </c>
      <c r="X484" s="7">
        <f>IF($AA484="","",Y484-W484)</f>
        <v/>
      </c>
      <c r="Y484" s="7">
        <f>IF($AA484="","",R484+U484+P484)</f>
        <v/>
      </c>
      <c r="Z484" s="7">
        <f>IF($AA484="","",Y484-W484-L484)</f>
        <v/>
      </c>
      <c r="AA484" s="13">
        <f>IF(ROWS($AA$2:$AA484)&lt;=MAX('Per Line'!$AO$2:$AO$4001),MATCH(ROWS($AA$2:$AA484),'Per Line'!$AO$2:$AO$4001,0),"")</f>
        <v/>
      </c>
      <c r="AB484" s="14">
        <f>IF($AA484="","",L484-K484*Y484/100)</f>
        <v/>
      </c>
    </row>
    <row r="485">
      <c r="A485" s="12" t="n"/>
      <c r="B485">
        <f>IF($AA485="","",INDEX('Per Line'!$E$2:$E$4001,$AA485)&amp;"")</f>
        <v/>
      </c>
      <c r="C485">
        <f>IF($AA485="","",INDEX('Per Line'!$A$2:$A$4001,$AA485)&amp;"")</f>
        <v/>
      </c>
      <c r="D485">
        <f>IF($AA485="","",INDEX('Per Line'!$D$2:$D$4001,$AA485)&amp;"")</f>
        <v/>
      </c>
      <c r="E485" s="11">
        <f>IF($AA485="","",INDEX('Per Line'!$G$2:$G$4001,$AA485))</f>
        <v/>
      </c>
      <c r="F485">
        <f>IF($AA485="","",INDEX('Per Line'!$H$2:$H$4001,$AA485)&amp;"")</f>
        <v/>
      </c>
      <c r="G485">
        <f>IF($AA485="","",INDEX('Per Line'!$I$2:$I$4001,$AA485)&amp;"")</f>
        <v/>
      </c>
      <c r="H485">
        <f>IF($AA485="","",INDEX('Per Line'!$J$2:$J$4001,$AA485)&amp;"")</f>
        <v/>
      </c>
      <c r="I485">
        <f>IF($AA485="","",INDEX('Per Line'!$K$2:$K$4001,$AA485)&amp;"")</f>
        <v/>
      </c>
      <c r="J485">
        <f>IF($AA485="","",INDEX('Per Line'!$L$2:$L$4001,$AA485)&amp;"")</f>
        <v/>
      </c>
      <c r="K485">
        <f>IF($AA485="","",INDEX('Per Line'!$P$2:$P$4001,$AA485))</f>
        <v/>
      </c>
      <c r="L485" s="7">
        <f>IF($AA485="","",IF(AND(ISNUMBER(N485),N485&gt;0,Y485&gt;N485),K485*N485/100+(Y485-N485),K485*Y485/100))</f>
        <v/>
      </c>
      <c r="M485">
        <f>IF($AA485="","",INDEX('Per Line'!$Z$2:$Z$4001,$AA485)&amp;"")</f>
        <v/>
      </c>
      <c r="N485">
        <f>IF($AA485="","",INDEX('Per Line'!$AG$2:$AG$4001,$AA485))</f>
        <v/>
      </c>
      <c r="O485">
        <f>IF($AA485="","",IF(AND(ISNUMBER(N485),N485&gt;0),Y485&gt;N485,FALSE))</f>
        <v/>
      </c>
      <c r="P485" s="7">
        <f>IF($AA485="","",SUMIFS('Per Line'!$Y$2:$Y$4001,'Per Line'!$E$2:$E$4001,$B485,'Per Line'!$AQ$2:$AQ$4001,1))</f>
        <v/>
      </c>
      <c r="Q485">
        <f>IF($AA485="","",Settings!$C$7)</f>
        <v/>
      </c>
      <c r="R485" s="7">
        <f>IF($AA485="","",SUMIFS('Per Line'!$Y$2:$Y$4001,'Per Line'!$E$2:$E$4001,$B485,'Per Line'!$AP$2:$AP$4001,0,'Per Line'!$AQ$2:$AQ$4001,0))</f>
        <v/>
      </c>
      <c r="S485" s="7">
        <f>IF($AA485="","",R485*Q485)</f>
        <v/>
      </c>
      <c r="T485">
        <f>IF($AA485="","",Settings!$C$6)</f>
        <v/>
      </c>
      <c r="U485" s="7">
        <f>IF($AA485="","",SUMIFS('Per Line'!$Y$2:$Y$4001,'Per Line'!$E$2:$E$4001,$B485,'Per Line'!$AP$2:$AP$4001,1,'Per Line'!$AQ$2:$AQ$4001,0))</f>
        <v/>
      </c>
      <c r="V485" s="7">
        <f>IF($AA485="","",U485*T485)</f>
        <v/>
      </c>
      <c r="W485" s="7">
        <f>IF($AA485="","",V485+S485)</f>
        <v/>
      </c>
      <c r="X485" s="7">
        <f>IF($AA485="","",Y485-W485)</f>
        <v/>
      </c>
      <c r="Y485" s="7">
        <f>IF($AA485="","",R485+U485+P485)</f>
        <v/>
      </c>
      <c r="Z485" s="7">
        <f>IF($AA485="","",Y485-W485-L485)</f>
        <v/>
      </c>
      <c r="AA485" s="13">
        <f>IF(ROWS($AA$2:$AA485)&lt;=MAX('Per Line'!$AO$2:$AO$4001),MATCH(ROWS($AA$2:$AA485),'Per Line'!$AO$2:$AO$4001,0),"")</f>
        <v/>
      </c>
      <c r="AB485" s="14">
        <f>IF($AA485="","",L485-K485*Y485/100)</f>
        <v/>
      </c>
    </row>
    <row r="486">
      <c r="A486" s="12" t="n"/>
      <c r="B486">
        <f>IF($AA486="","",INDEX('Per Line'!$E$2:$E$4001,$AA486)&amp;"")</f>
        <v/>
      </c>
      <c r="C486">
        <f>IF($AA486="","",INDEX('Per Line'!$A$2:$A$4001,$AA486)&amp;"")</f>
        <v/>
      </c>
      <c r="D486">
        <f>IF($AA486="","",INDEX('Per Line'!$D$2:$D$4001,$AA486)&amp;"")</f>
        <v/>
      </c>
      <c r="E486" s="11">
        <f>IF($AA486="","",INDEX('Per Line'!$G$2:$G$4001,$AA486))</f>
        <v/>
      </c>
      <c r="F486">
        <f>IF($AA486="","",INDEX('Per Line'!$H$2:$H$4001,$AA486)&amp;"")</f>
        <v/>
      </c>
      <c r="G486">
        <f>IF($AA486="","",INDEX('Per Line'!$I$2:$I$4001,$AA486)&amp;"")</f>
        <v/>
      </c>
      <c r="H486">
        <f>IF($AA486="","",INDEX('Per Line'!$J$2:$J$4001,$AA486)&amp;"")</f>
        <v/>
      </c>
      <c r="I486">
        <f>IF($AA486="","",INDEX('Per Line'!$K$2:$K$4001,$AA486)&amp;"")</f>
        <v/>
      </c>
      <c r="J486">
        <f>IF($AA486="","",INDEX('Per Line'!$L$2:$L$4001,$AA486)&amp;"")</f>
        <v/>
      </c>
      <c r="K486">
        <f>IF($AA486="","",INDEX('Per Line'!$P$2:$P$4001,$AA486))</f>
        <v/>
      </c>
      <c r="L486" s="7">
        <f>IF($AA486="","",IF(AND(ISNUMBER(N486),N486&gt;0,Y486&gt;N486),K486*N486/100+(Y486-N486),K486*Y486/100))</f>
        <v/>
      </c>
      <c r="M486">
        <f>IF($AA486="","",INDEX('Per Line'!$Z$2:$Z$4001,$AA486)&amp;"")</f>
        <v/>
      </c>
      <c r="N486">
        <f>IF($AA486="","",INDEX('Per Line'!$AG$2:$AG$4001,$AA486))</f>
        <v/>
      </c>
      <c r="O486">
        <f>IF($AA486="","",IF(AND(ISNUMBER(N486),N486&gt;0),Y486&gt;N486,FALSE))</f>
        <v/>
      </c>
      <c r="P486" s="7">
        <f>IF($AA486="","",SUMIFS('Per Line'!$Y$2:$Y$4001,'Per Line'!$E$2:$E$4001,$B486,'Per Line'!$AQ$2:$AQ$4001,1))</f>
        <v/>
      </c>
      <c r="Q486">
        <f>IF($AA486="","",Settings!$C$7)</f>
        <v/>
      </c>
      <c r="R486" s="7">
        <f>IF($AA486="","",SUMIFS('Per Line'!$Y$2:$Y$4001,'Per Line'!$E$2:$E$4001,$B486,'Per Line'!$AP$2:$AP$4001,0,'Per Line'!$AQ$2:$AQ$4001,0))</f>
        <v/>
      </c>
      <c r="S486" s="7">
        <f>IF($AA486="","",R486*Q486)</f>
        <v/>
      </c>
      <c r="T486">
        <f>IF($AA486="","",Settings!$C$6)</f>
        <v/>
      </c>
      <c r="U486" s="7">
        <f>IF($AA486="","",SUMIFS('Per Line'!$Y$2:$Y$4001,'Per Line'!$E$2:$E$4001,$B486,'Per Line'!$AP$2:$AP$4001,1,'Per Line'!$AQ$2:$AQ$4001,0))</f>
        <v/>
      </c>
      <c r="V486" s="7">
        <f>IF($AA486="","",U486*T486)</f>
        <v/>
      </c>
      <c r="W486" s="7">
        <f>IF($AA486="","",V486+S486)</f>
        <v/>
      </c>
      <c r="X486" s="7">
        <f>IF($AA486="","",Y486-W486)</f>
        <v/>
      </c>
      <c r="Y486" s="7">
        <f>IF($AA486="","",R486+U486+P486)</f>
        <v/>
      </c>
      <c r="Z486" s="7">
        <f>IF($AA486="","",Y486-W486-L486)</f>
        <v/>
      </c>
      <c r="AA486" s="13">
        <f>IF(ROWS($AA$2:$AA486)&lt;=MAX('Per Line'!$AO$2:$AO$4001),MATCH(ROWS($AA$2:$AA486),'Per Line'!$AO$2:$AO$4001,0),"")</f>
        <v/>
      </c>
      <c r="AB486" s="14">
        <f>IF($AA486="","",L486-K486*Y486/100)</f>
        <v/>
      </c>
    </row>
    <row r="487">
      <c r="A487" s="12" t="n"/>
      <c r="B487">
        <f>IF($AA487="","",INDEX('Per Line'!$E$2:$E$4001,$AA487)&amp;"")</f>
        <v/>
      </c>
      <c r="C487">
        <f>IF($AA487="","",INDEX('Per Line'!$A$2:$A$4001,$AA487)&amp;"")</f>
        <v/>
      </c>
      <c r="D487">
        <f>IF($AA487="","",INDEX('Per Line'!$D$2:$D$4001,$AA487)&amp;"")</f>
        <v/>
      </c>
      <c r="E487" s="11">
        <f>IF($AA487="","",INDEX('Per Line'!$G$2:$G$4001,$AA487))</f>
        <v/>
      </c>
      <c r="F487">
        <f>IF($AA487="","",INDEX('Per Line'!$H$2:$H$4001,$AA487)&amp;"")</f>
        <v/>
      </c>
      <c r="G487">
        <f>IF($AA487="","",INDEX('Per Line'!$I$2:$I$4001,$AA487)&amp;"")</f>
        <v/>
      </c>
      <c r="H487">
        <f>IF($AA487="","",INDEX('Per Line'!$J$2:$J$4001,$AA487)&amp;"")</f>
        <v/>
      </c>
      <c r="I487">
        <f>IF($AA487="","",INDEX('Per Line'!$K$2:$K$4001,$AA487)&amp;"")</f>
        <v/>
      </c>
      <c r="J487">
        <f>IF($AA487="","",INDEX('Per Line'!$L$2:$L$4001,$AA487)&amp;"")</f>
        <v/>
      </c>
      <c r="K487">
        <f>IF($AA487="","",INDEX('Per Line'!$P$2:$P$4001,$AA487))</f>
        <v/>
      </c>
      <c r="L487" s="7">
        <f>IF($AA487="","",IF(AND(ISNUMBER(N487),N487&gt;0,Y487&gt;N487),K487*N487/100+(Y487-N487),K487*Y487/100))</f>
        <v/>
      </c>
      <c r="M487">
        <f>IF($AA487="","",INDEX('Per Line'!$Z$2:$Z$4001,$AA487)&amp;"")</f>
        <v/>
      </c>
      <c r="N487">
        <f>IF($AA487="","",INDEX('Per Line'!$AG$2:$AG$4001,$AA487))</f>
        <v/>
      </c>
      <c r="O487">
        <f>IF($AA487="","",IF(AND(ISNUMBER(N487),N487&gt;0),Y487&gt;N487,FALSE))</f>
        <v/>
      </c>
      <c r="P487" s="7">
        <f>IF($AA487="","",SUMIFS('Per Line'!$Y$2:$Y$4001,'Per Line'!$E$2:$E$4001,$B487,'Per Line'!$AQ$2:$AQ$4001,1))</f>
        <v/>
      </c>
      <c r="Q487">
        <f>IF($AA487="","",Settings!$C$7)</f>
        <v/>
      </c>
      <c r="R487" s="7">
        <f>IF($AA487="","",SUMIFS('Per Line'!$Y$2:$Y$4001,'Per Line'!$E$2:$E$4001,$B487,'Per Line'!$AP$2:$AP$4001,0,'Per Line'!$AQ$2:$AQ$4001,0))</f>
        <v/>
      </c>
      <c r="S487" s="7">
        <f>IF($AA487="","",R487*Q487)</f>
        <v/>
      </c>
      <c r="T487">
        <f>IF($AA487="","",Settings!$C$6)</f>
        <v/>
      </c>
      <c r="U487" s="7">
        <f>IF($AA487="","",SUMIFS('Per Line'!$Y$2:$Y$4001,'Per Line'!$E$2:$E$4001,$B487,'Per Line'!$AP$2:$AP$4001,1,'Per Line'!$AQ$2:$AQ$4001,0))</f>
        <v/>
      </c>
      <c r="V487" s="7">
        <f>IF($AA487="","",U487*T487)</f>
        <v/>
      </c>
      <c r="W487" s="7">
        <f>IF($AA487="","",V487+S487)</f>
        <v/>
      </c>
      <c r="X487" s="7">
        <f>IF($AA487="","",Y487-W487)</f>
        <v/>
      </c>
      <c r="Y487" s="7">
        <f>IF($AA487="","",R487+U487+P487)</f>
        <v/>
      </c>
      <c r="Z487" s="7">
        <f>IF($AA487="","",Y487-W487-L487)</f>
        <v/>
      </c>
      <c r="AA487" s="13">
        <f>IF(ROWS($AA$2:$AA487)&lt;=MAX('Per Line'!$AO$2:$AO$4001),MATCH(ROWS($AA$2:$AA487),'Per Line'!$AO$2:$AO$4001,0),"")</f>
        <v/>
      </c>
      <c r="AB487" s="14">
        <f>IF($AA487="","",L487-K487*Y487/100)</f>
        <v/>
      </c>
    </row>
    <row r="488">
      <c r="A488" s="12" t="n"/>
      <c r="B488">
        <f>IF($AA488="","",INDEX('Per Line'!$E$2:$E$4001,$AA488)&amp;"")</f>
        <v/>
      </c>
      <c r="C488">
        <f>IF($AA488="","",INDEX('Per Line'!$A$2:$A$4001,$AA488)&amp;"")</f>
        <v/>
      </c>
      <c r="D488">
        <f>IF($AA488="","",INDEX('Per Line'!$D$2:$D$4001,$AA488)&amp;"")</f>
        <v/>
      </c>
      <c r="E488" s="11">
        <f>IF($AA488="","",INDEX('Per Line'!$G$2:$G$4001,$AA488))</f>
        <v/>
      </c>
      <c r="F488">
        <f>IF($AA488="","",INDEX('Per Line'!$H$2:$H$4001,$AA488)&amp;"")</f>
        <v/>
      </c>
      <c r="G488">
        <f>IF($AA488="","",INDEX('Per Line'!$I$2:$I$4001,$AA488)&amp;"")</f>
        <v/>
      </c>
      <c r="H488">
        <f>IF($AA488="","",INDEX('Per Line'!$J$2:$J$4001,$AA488)&amp;"")</f>
        <v/>
      </c>
      <c r="I488">
        <f>IF($AA488="","",INDEX('Per Line'!$K$2:$K$4001,$AA488)&amp;"")</f>
        <v/>
      </c>
      <c r="J488">
        <f>IF($AA488="","",INDEX('Per Line'!$L$2:$L$4001,$AA488)&amp;"")</f>
        <v/>
      </c>
      <c r="K488">
        <f>IF($AA488="","",INDEX('Per Line'!$P$2:$P$4001,$AA488))</f>
        <v/>
      </c>
      <c r="L488" s="7">
        <f>IF($AA488="","",IF(AND(ISNUMBER(N488),N488&gt;0,Y488&gt;N488),K488*N488/100+(Y488-N488),K488*Y488/100))</f>
        <v/>
      </c>
      <c r="M488">
        <f>IF($AA488="","",INDEX('Per Line'!$Z$2:$Z$4001,$AA488)&amp;"")</f>
        <v/>
      </c>
      <c r="N488">
        <f>IF($AA488="","",INDEX('Per Line'!$AG$2:$AG$4001,$AA488))</f>
        <v/>
      </c>
      <c r="O488">
        <f>IF($AA488="","",IF(AND(ISNUMBER(N488),N488&gt;0),Y488&gt;N488,FALSE))</f>
        <v/>
      </c>
      <c r="P488" s="7">
        <f>IF($AA488="","",SUMIFS('Per Line'!$Y$2:$Y$4001,'Per Line'!$E$2:$E$4001,$B488,'Per Line'!$AQ$2:$AQ$4001,1))</f>
        <v/>
      </c>
      <c r="Q488">
        <f>IF($AA488="","",Settings!$C$7)</f>
        <v/>
      </c>
      <c r="R488" s="7">
        <f>IF($AA488="","",SUMIFS('Per Line'!$Y$2:$Y$4001,'Per Line'!$E$2:$E$4001,$B488,'Per Line'!$AP$2:$AP$4001,0,'Per Line'!$AQ$2:$AQ$4001,0))</f>
        <v/>
      </c>
      <c r="S488" s="7">
        <f>IF($AA488="","",R488*Q488)</f>
        <v/>
      </c>
      <c r="T488">
        <f>IF($AA488="","",Settings!$C$6)</f>
        <v/>
      </c>
      <c r="U488" s="7">
        <f>IF($AA488="","",SUMIFS('Per Line'!$Y$2:$Y$4001,'Per Line'!$E$2:$E$4001,$B488,'Per Line'!$AP$2:$AP$4001,1,'Per Line'!$AQ$2:$AQ$4001,0))</f>
        <v/>
      </c>
      <c r="V488" s="7">
        <f>IF($AA488="","",U488*T488)</f>
        <v/>
      </c>
      <c r="W488" s="7">
        <f>IF($AA488="","",V488+S488)</f>
        <v/>
      </c>
      <c r="X488" s="7">
        <f>IF($AA488="","",Y488-W488)</f>
        <v/>
      </c>
      <c r="Y488" s="7">
        <f>IF($AA488="","",R488+U488+P488)</f>
        <v/>
      </c>
      <c r="Z488" s="7">
        <f>IF($AA488="","",Y488-W488-L488)</f>
        <v/>
      </c>
      <c r="AA488" s="13">
        <f>IF(ROWS($AA$2:$AA488)&lt;=MAX('Per Line'!$AO$2:$AO$4001),MATCH(ROWS($AA$2:$AA488),'Per Line'!$AO$2:$AO$4001,0),"")</f>
        <v/>
      </c>
      <c r="AB488" s="14">
        <f>IF($AA488="","",L488-K488*Y488/100)</f>
        <v/>
      </c>
    </row>
    <row r="489">
      <c r="A489" s="12" t="n"/>
      <c r="B489">
        <f>IF($AA489="","",INDEX('Per Line'!$E$2:$E$4001,$AA489)&amp;"")</f>
        <v/>
      </c>
      <c r="C489">
        <f>IF($AA489="","",INDEX('Per Line'!$A$2:$A$4001,$AA489)&amp;"")</f>
        <v/>
      </c>
      <c r="D489">
        <f>IF($AA489="","",INDEX('Per Line'!$D$2:$D$4001,$AA489)&amp;"")</f>
        <v/>
      </c>
      <c r="E489" s="11">
        <f>IF($AA489="","",INDEX('Per Line'!$G$2:$G$4001,$AA489))</f>
        <v/>
      </c>
      <c r="F489">
        <f>IF($AA489="","",INDEX('Per Line'!$H$2:$H$4001,$AA489)&amp;"")</f>
        <v/>
      </c>
      <c r="G489">
        <f>IF($AA489="","",INDEX('Per Line'!$I$2:$I$4001,$AA489)&amp;"")</f>
        <v/>
      </c>
      <c r="H489">
        <f>IF($AA489="","",INDEX('Per Line'!$J$2:$J$4001,$AA489)&amp;"")</f>
        <v/>
      </c>
      <c r="I489">
        <f>IF($AA489="","",INDEX('Per Line'!$K$2:$K$4001,$AA489)&amp;"")</f>
        <v/>
      </c>
      <c r="J489">
        <f>IF($AA489="","",INDEX('Per Line'!$L$2:$L$4001,$AA489)&amp;"")</f>
        <v/>
      </c>
      <c r="K489">
        <f>IF($AA489="","",INDEX('Per Line'!$P$2:$P$4001,$AA489))</f>
        <v/>
      </c>
      <c r="L489" s="7">
        <f>IF($AA489="","",IF(AND(ISNUMBER(N489),N489&gt;0,Y489&gt;N489),K489*N489/100+(Y489-N489),K489*Y489/100))</f>
        <v/>
      </c>
      <c r="M489">
        <f>IF($AA489="","",INDEX('Per Line'!$Z$2:$Z$4001,$AA489)&amp;"")</f>
        <v/>
      </c>
      <c r="N489">
        <f>IF($AA489="","",INDEX('Per Line'!$AG$2:$AG$4001,$AA489))</f>
        <v/>
      </c>
      <c r="O489">
        <f>IF($AA489="","",IF(AND(ISNUMBER(N489),N489&gt;0),Y489&gt;N489,FALSE))</f>
        <v/>
      </c>
      <c r="P489" s="7">
        <f>IF($AA489="","",SUMIFS('Per Line'!$Y$2:$Y$4001,'Per Line'!$E$2:$E$4001,$B489,'Per Line'!$AQ$2:$AQ$4001,1))</f>
        <v/>
      </c>
      <c r="Q489">
        <f>IF($AA489="","",Settings!$C$7)</f>
        <v/>
      </c>
      <c r="R489" s="7">
        <f>IF($AA489="","",SUMIFS('Per Line'!$Y$2:$Y$4001,'Per Line'!$E$2:$E$4001,$B489,'Per Line'!$AP$2:$AP$4001,0,'Per Line'!$AQ$2:$AQ$4001,0))</f>
        <v/>
      </c>
      <c r="S489" s="7">
        <f>IF($AA489="","",R489*Q489)</f>
        <v/>
      </c>
      <c r="T489">
        <f>IF($AA489="","",Settings!$C$6)</f>
        <v/>
      </c>
      <c r="U489" s="7">
        <f>IF($AA489="","",SUMIFS('Per Line'!$Y$2:$Y$4001,'Per Line'!$E$2:$E$4001,$B489,'Per Line'!$AP$2:$AP$4001,1,'Per Line'!$AQ$2:$AQ$4001,0))</f>
        <v/>
      </c>
      <c r="V489" s="7">
        <f>IF($AA489="","",U489*T489)</f>
        <v/>
      </c>
      <c r="W489" s="7">
        <f>IF($AA489="","",V489+S489)</f>
        <v/>
      </c>
      <c r="X489" s="7">
        <f>IF($AA489="","",Y489-W489)</f>
        <v/>
      </c>
      <c r="Y489" s="7">
        <f>IF($AA489="","",R489+U489+P489)</f>
        <v/>
      </c>
      <c r="Z489" s="7">
        <f>IF($AA489="","",Y489-W489-L489)</f>
        <v/>
      </c>
      <c r="AA489" s="13">
        <f>IF(ROWS($AA$2:$AA489)&lt;=MAX('Per Line'!$AO$2:$AO$4001),MATCH(ROWS($AA$2:$AA489),'Per Line'!$AO$2:$AO$4001,0),"")</f>
        <v/>
      </c>
      <c r="AB489" s="14">
        <f>IF($AA489="","",L489-K489*Y489/100)</f>
        <v/>
      </c>
    </row>
    <row r="490">
      <c r="A490" s="12" t="n"/>
      <c r="B490">
        <f>IF($AA490="","",INDEX('Per Line'!$E$2:$E$4001,$AA490)&amp;"")</f>
        <v/>
      </c>
      <c r="C490">
        <f>IF($AA490="","",INDEX('Per Line'!$A$2:$A$4001,$AA490)&amp;"")</f>
        <v/>
      </c>
      <c r="D490">
        <f>IF($AA490="","",INDEX('Per Line'!$D$2:$D$4001,$AA490)&amp;"")</f>
        <v/>
      </c>
      <c r="E490" s="11">
        <f>IF($AA490="","",INDEX('Per Line'!$G$2:$G$4001,$AA490))</f>
        <v/>
      </c>
      <c r="F490">
        <f>IF($AA490="","",INDEX('Per Line'!$H$2:$H$4001,$AA490)&amp;"")</f>
        <v/>
      </c>
      <c r="G490">
        <f>IF($AA490="","",INDEX('Per Line'!$I$2:$I$4001,$AA490)&amp;"")</f>
        <v/>
      </c>
      <c r="H490">
        <f>IF($AA490="","",INDEX('Per Line'!$J$2:$J$4001,$AA490)&amp;"")</f>
        <v/>
      </c>
      <c r="I490">
        <f>IF($AA490="","",INDEX('Per Line'!$K$2:$K$4001,$AA490)&amp;"")</f>
        <v/>
      </c>
      <c r="J490">
        <f>IF($AA490="","",INDEX('Per Line'!$L$2:$L$4001,$AA490)&amp;"")</f>
        <v/>
      </c>
      <c r="K490">
        <f>IF($AA490="","",INDEX('Per Line'!$P$2:$P$4001,$AA490))</f>
        <v/>
      </c>
      <c r="L490" s="7">
        <f>IF($AA490="","",IF(AND(ISNUMBER(N490),N490&gt;0,Y490&gt;N490),K490*N490/100+(Y490-N490),K490*Y490/100))</f>
        <v/>
      </c>
      <c r="M490">
        <f>IF($AA490="","",INDEX('Per Line'!$Z$2:$Z$4001,$AA490)&amp;"")</f>
        <v/>
      </c>
      <c r="N490">
        <f>IF($AA490="","",INDEX('Per Line'!$AG$2:$AG$4001,$AA490))</f>
        <v/>
      </c>
      <c r="O490">
        <f>IF($AA490="","",IF(AND(ISNUMBER(N490),N490&gt;0),Y490&gt;N490,FALSE))</f>
        <v/>
      </c>
      <c r="P490" s="7">
        <f>IF($AA490="","",SUMIFS('Per Line'!$Y$2:$Y$4001,'Per Line'!$E$2:$E$4001,$B490,'Per Line'!$AQ$2:$AQ$4001,1))</f>
        <v/>
      </c>
      <c r="Q490">
        <f>IF($AA490="","",Settings!$C$7)</f>
        <v/>
      </c>
      <c r="R490" s="7">
        <f>IF($AA490="","",SUMIFS('Per Line'!$Y$2:$Y$4001,'Per Line'!$E$2:$E$4001,$B490,'Per Line'!$AP$2:$AP$4001,0,'Per Line'!$AQ$2:$AQ$4001,0))</f>
        <v/>
      </c>
      <c r="S490" s="7">
        <f>IF($AA490="","",R490*Q490)</f>
        <v/>
      </c>
      <c r="T490">
        <f>IF($AA490="","",Settings!$C$6)</f>
        <v/>
      </c>
      <c r="U490" s="7">
        <f>IF($AA490="","",SUMIFS('Per Line'!$Y$2:$Y$4001,'Per Line'!$E$2:$E$4001,$B490,'Per Line'!$AP$2:$AP$4001,1,'Per Line'!$AQ$2:$AQ$4001,0))</f>
        <v/>
      </c>
      <c r="V490" s="7">
        <f>IF($AA490="","",U490*T490)</f>
        <v/>
      </c>
      <c r="W490" s="7">
        <f>IF($AA490="","",V490+S490)</f>
        <v/>
      </c>
      <c r="X490" s="7">
        <f>IF($AA490="","",Y490-W490)</f>
        <v/>
      </c>
      <c r="Y490" s="7">
        <f>IF($AA490="","",R490+U490+P490)</f>
        <v/>
      </c>
      <c r="Z490" s="7">
        <f>IF($AA490="","",Y490-W490-L490)</f>
        <v/>
      </c>
      <c r="AA490" s="13">
        <f>IF(ROWS($AA$2:$AA490)&lt;=MAX('Per Line'!$AO$2:$AO$4001),MATCH(ROWS($AA$2:$AA490),'Per Line'!$AO$2:$AO$4001,0),"")</f>
        <v/>
      </c>
      <c r="AB490" s="14">
        <f>IF($AA490="","",L490-K490*Y490/100)</f>
        <v/>
      </c>
    </row>
    <row r="491">
      <c r="A491" s="12" t="n"/>
      <c r="B491">
        <f>IF($AA491="","",INDEX('Per Line'!$E$2:$E$4001,$AA491)&amp;"")</f>
        <v/>
      </c>
      <c r="C491">
        <f>IF($AA491="","",INDEX('Per Line'!$A$2:$A$4001,$AA491)&amp;"")</f>
        <v/>
      </c>
      <c r="D491">
        <f>IF($AA491="","",INDEX('Per Line'!$D$2:$D$4001,$AA491)&amp;"")</f>
        <v/>
      </c>
      <c r="E491" s="11">
        <f>IF($AA491="","",INDEX('Per Line'!$G$2:$G$4001,$AA491))</f>
        <v/>
      </c>
      <c r="F491">
        <f>IF($AA491="","",INDEX('Per Line'!$H$2:$H$4001,$AA491)&amp;"")</f>
        <v/>
      </c>
      <c r="G491">
        <f>IF($AA491="","",INDEX('Per Line'!$I$2:$I$4001,$AA491)&amp;"")</f>
        <v/>
      </c>
      <c r="H491">
        <f>IF($AA491="","",INDEX('Per Line'!$J$2:$J$4001,$AA491)&amp;"")</f>
        <v/>
      </c>
      <c r="I491">
        <f>IF($AA491="","",INDEX('Per Line'!$K$2:$K$4001,$AA491)&amp;"")</f>
        <v/>
      </c>
      <c r="J491">
        <f>IF($AA491="","",INDEX('Per Line'!$L$2:$L$4001,$AA491)&amp;"")</f>
        <v/>
      </c>
      <c r="K491">
        <f>IF($AA491="","",INDEX('Per Line'!$P$2:$P$4001,$AA491))</f>
        <v/>
      </c>
      <c r="L491" s="7">
        <f>IF($AA491="","",IF(AND(ISNUMBER(N491),N491&gt;0,Y491&gt;N491),K491*N491/100+(Y491-N491),K491*Y491/100))</f>
        <v/>
      </c>
      <c r="M491">
        <f>IF($AA491="","",INDEX('Per Line'!$Z$2:$Z$4001,$AA491)&amp;"")</f>
        <v/>
      </c>
      <c r="N491">
        <f>IF($AA491="","",INDEX('Per Line'!$AG$2:$AG$4001,$AA491))</f>
        <v/>
      </c>
      <c r="O491">
        <f>IF($AA491="","",IF(AND(ISNUMBER(N491),N491&gt;0),Y491&gt;N491,FALSE))</f>
        <v/>
      </c>
      <c r="P491" s="7">
        <f>IF($AA491="","",SUMIFS('Per Line'!$Y$2:$Y$4001,'Per Line'!$E$2:$E$4001,$B491,'Per Line'!$AQ$2:$AQ$4001,1))</f>
        <v/>
      </c>
      <c r="Q491">
        <f>IF($AA491="","",Settings!$C$7)</f>
        <v/>
      </c>
      <c r="R491" s="7">
        <f>IF($AA491="","",SUMIFS('Per Line'!$Y$2:$Y$4001,'Per Line'!$E$2:$E$4001,$B491,'Per Line'!$AP$2:$AP$4001,0,'Per Line'!$AQ$2:$AQ$4001,0))</f>
        <v/>
      </c>
      <c r="S491" s="7">
        <f>IF($AA491="","",R491*Q491)</f>
        <v/>
      </c>
      <c r="T491">
        <f>IF($AA491="","",Settings!$C$6)</f>
        <v/>
      </c>
      <c r="U491" s="7">
        <f>IF($AA491="","",SUMIFS('Per Line'!$Y$2:$Y$4001,'Per Line'!$E$2:$E$4001,$B491,'Per Line'!$AP$2:$AP$4001,1,'Per Line'!$AQ$2:$AQ$4001,0))</f>
        <v/>
      </c>
      <c r="V491" s="7">
        <f>IF($AA491="","",U491*T491)</f>
        <v/>
      </c>
      <c r="W491" s="7">
        <f>IF($AA491="","",V491+S491)</f>
        <v/>
      </c>
      <c r="X491" s="7">
        <f>IF($AA491="","",Y491-W491)</f>
        <v/>
      </c>
      <c r="Y491" s="7">
        <f>IF($AA491="","",R491+U491+P491)</f>
        <v/>
      </c>
      <c r="Z491" s="7">
        <f>IF($AA491="","",Y491-W491-L491)</f>
        <v/>
      </c>
      <c r="AA491" s="13">
        <f>IF(ROWS($AA$2:$AA491)&lt;=MAX('Per Line'!$AO$2:$AO$4001),MATCH(ROWS($AA$2:$AA491),'Per Line'!$AO$2:$AO$4001,0),"")</f>
        <v/>
      </c>
      <c r="AB491" s="14">
        <f>IF($AA491="","",L491-K491*Y491/100)</f>
        <v/>
      </c>
    </row>
    <row r="492">
      <c r="A492" s="12" t="n"/>
      <c r="B492">
        <f>IF($AA492="","",INDEX('Per Line'!$E$2:$E$4001,$AA492)&amp;"")</f>
        <v/>
      </c>
      <c r="C492">
        <f>IF($AA492="","",INDEX('Per Line'!$A$2:$A$4001,$AA492)&amp;"")</f>
        <v/>
      </c>
      <c r="D492">
        <f>IF($AA492="","",INDEX('Per Line'!$D$2:$D$4001,$AA492)&amp;"")</f>
        <v/>
      </c>
      <c r="E492" s="11">
        <f>IF($AA492="","",INDEX('Per Line'!$G$2:$G$4001,$AA492))</f>
        <v/>
      </c>
      <c r="F492">
        <f>IF($AA492="","",INDEX('Per Line'!$H$2:$H$4001,$AA492)&amp;"")</f>
        <v/>
      </c>
      <c r="G492">
        <f>IF($AA492="","",INDEX('Per Line'!$I$2:$I$4001,$AA492)&amp;"")</f>
        <v/>
      </c>
      <c r="H492">
        <f>IF($AA492="","",INDEX('Per Line'!$J$2:$J$4001,$AA492)&amp;"")</f>
        <v/>
      </c>
      <c r="I492">
        <f>IF($AA492="","",INDEX('Per Line'!$K$2:$K$4001,$AA492)&amp;"")</f>
        <v/>
      </c>
      <c r="J492">
        <f>IF($AA492="","",INDEX('Per Line'!$L$2:$L$4001,$AA492)&amp;"")</f>
        <v/>
      </c>
      <c r="K492">
        <f>IF($AA492="","",INDEX('Per Line'!$P$2:$P$4001,$AA492))</f>
        <v/>
      </c>
      <c r="L492" s="7">
        <f>IF($AA492="","",IF(AND(ISNUMBER(N492),N492&gt;0,Y492&gt;N492),K492*N492/100+(Y492-N492),K492*Y492/100))</f>
        <v/>
      </c>
      <c r="M492">
        <f>IF($AA492="","",INDEX('Per Line'!$Z$2:$Z$4001,$AA492)&amp;"")</f>
        <v/>
      </c>
      <c r="N492">
        <f>IF($AA492="","",INDEX('Per Line'!$AG$2:$AG$4001,$AA492))</f>
        <v/>
      </c>
      <c r="O492">
        <f>IF($AA492="","",IF(AND(ISNUMBER(N492),N492&gt;0),Y492&gt;N492,FALSE))</f>
        <v/>
      </c>
      <c r="P492" s="7">
        <f>IF($AA492="","",SUMIFS('Per Line'!$Y$2:$Y$4001,'Per Line'!$E$2:$E$4001,$B492,'Per Line'!$AQ$2:$AQ$4001,1))</f>
        <v/>
      </c>
      <c r="Q492">
        <f>IF($AA492="","",Settings!$C$7)</f>
        <v/>
      </c>
      <c r="R492" s="7">
        <f>IF($AA492="","",SUMIFS('Per Line'!$Y$2:$Y$4001,'Per Line'!$E$2:$E$4001,$B492,'Per Line'!$AP$2:$AP$4001,0,'Per Line'!$AQ$2:$AQ$4001,0))</f>
        <v/>
      </c>
      <c r="S492" s="7">
        <f>IF($AA492="","",R492*Q492)</f>
        <v/>
      </c>
      <c r="T492">
        <f>IF($AA492="","",Settings!$C$6)</f>
        <v/>
      </c>
      <c r="U492" s="7">
        <f>IF($AA492="","",SUMIFS('Per Line'!$Y$2:$Y$4001,'Per Line'!$E$2:$E$4001,$B492,'Per Line'!$AP$2:$AP$4001,1,'Per Line'!$AQ$2:$AQ$4001,0))</f>
        <v/>
      </c>
      <c r="V492" s="7">
        <f>IF($AA492="","",U492*T492)</f>
        <v/>
      </c>
      <c r="W492" s="7">
        <f>IF($AA492="","",V492+S492)</f>
        <v/>
      </c>
      <c r="X492" s="7">
        <f>IF($AA492="","",Y492-W492)</f>
        <v/>
      </c>
      <c r="Y492" s="7">
        <f>IF($AA492="","",R492+U492+P492)</f>
        <v/>
      </c>
      <c r="Z492" s="7">
        <f>IF($AA492="","",Y492-W492-L492)</f>
        <v/>
      </c>
      <c r="AA492" s="13">
        <f>IF(ROWS($AA$2:$AA492)&lt;=MAX('Per Line'!$AO$2:$AO$4001),MATCH(ROWS($AA$2:$AA492),'Per Line'!$AO$2:$AO$4001,0),"")</f>
        <v/>
      </c>
      <c r="AB492" s="14">
        <f>IF($AA492="","",L492-K492*Y492/100)</f>
        <v/>
      </c>
    </row>
    <row r="493">
      <c r="A493" s="12" t="n"/>
      <c r="B493">
        <f>IF($AA493="","",INDEX('Per Line'!$E$2:$E$4001,$AA493)&amp;"")</f>
        <v/>
      </c>
      <c r="C493">
        <f>IF($AA493="","",INDEX('Per Line'!$A$2:$A$4001,$AA493)&amp;"")</f>
        <v/>
      </c>
      <c r="D493">
        <f>IF($AA493="","",INDEX('Per Line'!$D$2:$D$4001,$AA493)&amp;"")</f>
        <v/>
      </c>
      <c r="E493" s="11">
        <f>IF($AA493="","",INDEX('Per Line'!$G$2:$G$4001,$AA493))</f>
        <v/>
      </c>
      <c r="F493">
        <f>IF($AA493="","",INDEX('Per Line'!$H$2:$H$4001,$AA493)&amp;"")</f>
        <v/>
      </c>
      <c r="G493">
        <f>IF($AA493="","",INDEX('Per Line'!$I$2:$I$4001,$AA493)&amp;"")</f>
        <v/>
      </c>
      <c r="H493">
        <f>IF($AA493="","",INDEX('Per Line'!$J$2:$J$4001,$AA493)&amp;"")</f>
        <v/>
      </c>
      <c r="I493">
        <f>IF($AA493="","",INDEX('Per Line'!$K$2:$K$4001,$AA493)&amp;"")</f>
        <v/>
      </c>
      <c r="J493">
        <f>IF($AA493="","",INDEX('Per Line'!$L$2:$L$4001,$AA493)&amp;"")</f>
        <v/>
      </c>
      <c r="K493">
        <f>IF($AA493="","",INDEX('Per Line'!$P$2:$P$4001,$AA493))</f>
        <v/>
      </c>
      <c r="L493" s="7">
        <f>IF($AA493="","",IF(AND(ISNUMBER(N493),N493&gt;0,Y493&gt;N493),K493*N493/100+(Y493-N493),K493*Y493/100))</f>
        <v/>
      </c>
      <c r="M493">
        <f>IF($AA493="","",INDEX('Per Line'!$Z$2:$Z$4001,$AA493)&amp;"")</f>
        <v/>
      </c>
      <c r="N493">
        <f>IF($AA493="","",INDEX('Per Line'!$AG$2:$AG$4001,$AA493))</f>
        <v/>
      </c>
      <c r="O493">
        <f>IF($AA493="","",IF(AND(ISNUMBER(N493),N493&gt;0),Y493&gt;N493,FALSE))</f>
        <v/>
      </c>
      <c r="P493" s="7">
        <f>IF($AA493="","",SUMIFS('Per Line'!$Y$2:$Y$4001,'Per Line'!$E$2:$E$4001,$B493,'Per Line'!$AQ$2:$AQ$4001,1))</f>
        <v/>
      </c>
      <c r="Q493">
        <f>IF($AA493="","",Settings!$C$7)</f>
        <v/>
      </c>
      <c r="R493" s="7">
        <f>IF($AA493="","",SUMIFS('Per Line'!$Y$2:$Y$4001,'Per Line'!$E$2:$E$4001,$B493,'Per Line'!$AP$2:$AP$4001,0,'Per Line'!$AQ$2:$AQ$4001,0))</f>
        <v/>
      </c>
      <c r="S493" s="7">
        <f>IF($AA493="","",R493*Q493)</f>
        <v/>
      </c>
      <c r="T493">
        <f>IF($AA493="","",Settings!$C$6)</f>
        <v/>
      </c>
      <c r="U493" s="7">
        <f>IF($AA493="","",SUMIFS('Per Line'!$Y$2:$Y$4001,'Per Line'!$E$2:$E$4001,$B493,'Per Line'!$AP$2:$AP$4001,1,'Per Line'!$AQ$2:$AQ$4001,0))</f>
        <v/>
      </c>
      <c r="V493" s="7">
        <f>IF($AA493="","",U493*T493)</f>
        <v/>
      </c>
      <c r="W493" s="7">
        <f>IF($AA493="","",V493+S493)</f>
        <v/>
      </c>
      <c r="X493" s="7">
        <f>IF($AA493="","",Y493-W493)</f>
        <v/>
      </c>
      <c r="Y493" s="7">
        <f>IF($AA493="","",R493+U493+P493)</f>
        <v/>
      </c>
      <c r="Z493" s="7">
        <f>IF($AA493="","",Y493-W493-L493)</f>
        <v/>
      </c>
      <c r="AA493" s="13">
        <f>IF(ROWS($AA$2:$AA493)&lt;=MAX('Per Line'!$AO$2:$AO$4001),MATCH(ROWS($AA$2:$AA493),'Per Line'!$AO$2:$AO$4001,0),"")</f>
        <v/>
      </c>
      <c r="AB493" s="14">
        <f>IF($AA493="","",L493-K493*Y493/100)</f>
        <v/>
      </c>
    </row>
    <row r="494">
      <c r="A494" s="12" t="n"/>
      <c r="B494">
        <f>IF($AA494="","",INDEX('Per Line'!$E$2:$E$4001,$AA494)&amp;"")</f>
        <v/>
      </c>
      <c r="C494">
        <f>IF($AA494="","",INDEX('Per Line'!$A$2:$A$4001,$AA494)&amp;"")</f>
        <v/>
      </c>
      <c r="D494">
        <f>IF($AA494="","",INDEX('Per Line'!$D$2:$D$4001,$AA494)&amp;"")</f>
        <v/>
      </c>
      <c r="E494" s="11">
        <f>IF($AA494="","",INDEX('Per Line'!$G$2:$G$4001,$AA494))</f>
        <v/>
      </c>
      <c r="F494">
        <f>IF($AA494="","",INDEX('Per Line'!$H$2:$H$4001,$AA494)&amp;"")</f>
        <v/>
      </c>
      <c r="G494">
        <f>IF($AA494="","",INDEX('Per Line'!$I$2:$I$4001,$AA494)&amp;"")</f>
        <v/>
      </c>
      <c r="H494">
        <f>IF($AA494="","",INDEX('Per Line'!$J$2:$J$4001,$AA494)&amp;"")</f>
        <v/>
      </c>
      <c r="I494">
        <f>IF($AA494="","",INDEX('Per Line'!$K$2:$K$4001,$AA494)&amp;"")</f>
        <v/>
      </c>
      <c r="J494">
        <f>IF($AA494="","",INDEX('Per Line'!$L$2:$L$4001,$AA494)&amp;"")</f>
        <v/>
      </c>
      <c r="K494">
        <f>IF($AA494="","",INDEX('Per Line'!$P$2:$P$4001,$AA494))</f>
        <v/>
      </c>
      <c r="L494" s="7">
        <f>IF($AA494="","",IF(AND(ISNUMBER(N494),N494&gt;0,Y494&gt;N494),K494*N494/100+(Y494-N494),K494*Y494/100))</f>
        <v/>
      </c>
      <c r="M494">
        <f>IF($AA494="","",INDEX('Per Line'!$Z$2:$Z$4001,$AA494)&amp;"")</f>
        <v/>
      </c>
      <c r="N494">
        <f>IF($AA494="","",INDEX('Per Line'!$AG$2:$AG$4001,$AA494))</f>
        <v/>
      </c>
      <c r="O494">
        <f>IF($AA494="","",IF(AND(ISNUMBER(N494),N494&gt;0),Y494&gt;N494,FALSE))</f>
        <v/>
      </c>
      <c r="P494" s="7">
        <f>IF($AA494="","",SUMIFS('Per Line'!$Y$2:$Y$4001,'Per Line'!$E$2:$E$4001,$B494,'Per Line'!$AQ$2:$AQ$4001,1))</f>
        <v/>
      </c>
      <c r="Q494">
        <f>IF($AA494="","",Settings!$C$7)</f>
        <v/>
      </c>
      <c r="R494" s="7">
        <f>IF($AA494="","",SUMIFS('Per Line'!$Y$2:$Y$4001,'Per Line'!$E$2:$E$4001,$B494,'Per Line'!$AP$2:$AP$4001,0,'Per Line'!$AQ$2:$AQ$4001,0))</f>
        <v/>
      </c>
      <c r="S494" s="7">
        <f>IF($AA494="","",R494*Q494)</f>
        <v/>
      </c>
      <c r="T494">
        <f>IF($AA494="","",Settings!$C$6)</f>
        <v/>
      </c>
      <c r="U494" s="7">
        <f>IF($AA494="","",SUMIFS('Per Line'!$Y$2:$Y$4001,'Per Line'!$E$2:$E$4001,$B494,'Per Line'!$AP$2:$AP$4001,1,'Per Line'!$AQ$2:$AQ$4001,0))</f>
        <v/>
      </c>
      <c r="V494" s="7">
        <f>IF($AA494="","",U494*T494)</f>
        <v/>
      </c>
      <c r="W494" s="7">
        <f>IF($AA494="","",V494+S494)</f>
        <v/>
      </c>
      <c r="X494" s="7">
        <f>IF($AA494="","",Y494-W494)</f>
        <v/>
      </c>
      <c r="Y494" s="7">
        <f>IF($AA494="","",R494+U494+P494)</f>
        <v/>
      </c>
      <c r="Z494" s="7">
        <f>IF($AA494="","",Y494-W494-L494)</f>
        <v/>
      </c>
      <c r="AA494" s="13">
        <f>IF(ROWS($AA$2:$AA494)&lt;=MAX('Per Line'!$AO$2:$AO$4001),MATCH(ROWS($AA$2:$AA494),'Per Line'!$AO$2:$AO$4001,0),"")</f>
        <v/>
      </c>
      <c r="AB494" s="14">
        <f>IF($AA494="","",L494-K494*Y494/100)</f>
        <v/>
      </c>
    </row>
    <row r="495">
      <c r="A495" s="12" t="n"/>
      <c r="B495">
        <f>IF($AA495="","",INDEX('Per Line'!$E$2:$E$4001,$AA495)&amp;"")</f>
        <v/>
      </c>
      <c r="C495">
        <f>IF($AA495="","",INDEX('Per Line'!$A$2:$A$4001,$AA495)&amp;"")</f>
        <v/>
      </c>
      <c r="D495">
        <f>IF($AA495="","",INDEX('Per Line'!$D$2:$D$4001,$AA495)&amp;"")</f>
        <v/>
      </c>
      <c r="E495" s="11">
        <f>IF($AA495="","",INDEX('Per Line'!$G$2:$G$4001,$AA495))</f>
        <v/>
      </c>
      <c r="F495">
        <f>IF($AA495="","",INDEX('Per Line'!$H$2:$H$4001,$AA495)&amp;"")</f>
        <v/>
      </c>
      <c r="G495">
        <f>IF($AA495="","",INDEX('Per Line'!$I$2:$I$4001,$AA495)&amp;"")</f>
        <v/>
      </c>
      <c r="H495">
        <f>IF($AA495="","",INDEX('Per Line'!$J$2:$J$4001,$AA495)&amp;"")</f>
        <v/>
      </c>
      <c r="I495">
        <f>IF($AA495="","",INDEX('Per Line'!$K$2:$K$4001,$AA495)&amp;"")</f>
        <v/>
      </c>
      <c r="J495">
        <f>IF($AA495="","",INDEX('Per Line'!$L$2:$L$4001,$AA495)&amp;"")</f>
        <v/>
      </c>
      <c r="K495">
        <f>IF($AA495="","",INDEX('Per Line'!$P$2:$P$4001,$AA495))</f>
        <v/>
      </c>
      <c r="L495" s="7">
        <f>IF($AA495="","",IF(AND(ISNUMBER(N495),N495&gt;0,Y495&gt;N495),K495*N495/100+(Y495-N495),K495*Y495/100))</f>
        <v/>
      </c>
      <c r="M495">
        <f>IF($AA495="","",INDEX('Per Line'!$Z$2:$Z$4001,$AA495)&amp;"")</f>
        <v/>
      </c>
      <c r="N495">
        <f>IF($AA495="","",INDEX('Per Line'!$AG$2:$AG$4001,$AA495))</f>
        <v/>
      </c>
      <c r="O495">
        <f>IF($AA495="","",IF(AND(ISNUMBER(N495),N495&gt;0),Y495&gt;N495,FALSE))</f>
        <v/>
      </c>
      <c r="P495" s="7">
        <f>IF($AA495="","",SUMIFS('Per Line'!$Y$2:$Y$4001,'Per Line'!$E$2:$E$4001,$B495,'Per Line'!$AQ$2:$AQ$4001,1))</f>
        <v/>
      </c>
      <c r="Q495">
        <f>IF($AA495="","",Settings!$C$7)</f>
        <v/>
      </c>
      <c r="R495" s="7">
        <f>IF($AA495="","",SUMIFS('Per Line'!$Y$2:$Y$4001,'Per Line'!$E$2:$E$4001,$B495,'Per Line'!$AP$2:$AP$4001,0,'Per Line'!$AQ$2:$AQ$4001,0))</f>
        <v/>
      </c>
      <c r="S495" s="7">
        <f>IF($AA495="","",R495*Q495)</f>
        <v/>
      </c>
      <c r="T495">
        <f>IF($AA495="","",Settings!$C$6)</f>
        <v/>
      </c>
      <c r="U495" s="7">
        <f>IF($AA495="","",SUMIFS('Per Line'!$Y$2:$Y$4001,'Per Line'!$E$2:$E$4001,$B495,'Per Line'!$AP$2:$AP$4001,1,'Per Line'!$AQ$2:$AQ$4001,0))</f>
        <v/>
      </c>
      <c r="V495" s="7">
        <f>IF($AA495="","",U495*T495)</f>
        <v/>
      </c>
      <c r="W495" s="7">
        <f>IF($AA495="","",V495+S495)</f>
        <v/>
      </c>
      <c r="X495" s="7">
        <f>IF($AA495="","",Y495-W495)</f>
        <v/>
      </c>
      <c r="Y495" s="7">
        <f>IF($AA495="","",R495+U495+P495)</f>
        <v/>
      </c>
      <c r="Z495" s="7">
        <f>IF($AA495="","",Y495-W495-L495)</f>
        <v/>
      </c>
      <c r="AA495" s="13">
        <f>IF(ROWS($AA$2:$AA495)&lt;=MAX('Per Line'!$AO$2:$AO$4001),MATCH(ROWS($AA$2:$AA495),'Per Line'!$AO$2:$AO$4001,0),"")</f>
        <v/>
      </c>
      <c r="AB495" s="14">
        <f>IF($AA495="","",L495-K495*Y495/100)</f>
        <v/>
      </c>
    </row>
    <row r="496">
      <c r="A496" s="12" t="n"/>
      <c r="B496">
        <f>IF($AA496="","",INDEX('Per Line'!$E$2:$E$4001,$AA496)&amp;"")</f>
        <v/>
      </c>
      <c r="C496">
        <f>IF($AA496="","",INDEX('Per Line'!$A$2:$A$4001,$AA496)&amp;"")</f>
        <v/>
      </c>
      <c r="D496">
        <f>IF($AA496="","",INDEX('Per Line'!$D$2:$D$4001,$AA496)&amp;"")</f>
        <v/>
      </c>
      <c r="E496" s="11">
        <f>IF($AA496="","",INDEX('Per Line'!$G$2:$G$4001,$AA496))</f>
        <v/>
      </c>
      <c r="F496">
        <f>IF($AA496="","",INDEX('Per Line'!$H$2:$H$4001,$AA496)&amp;"")</f>
        <v/>
      </c>
      <c r="G496">
        <f>IF($AA496="","",INDEX('Per Line'!$I$2:$I$4001,$AA496)&amp;"")</f>
        <v/>
      </c>
      <c r="H496">
        <f>IF($AA496="","",INDEX('Per Line'!$J$2:$J$4001,$AA496)&amp;"")</f>
        <v/>
      </c>
      <c r="I496">
        <f>IF($AA496="","",INDEX('Per Line'!$K$2:$K$4001,$AA496)&amp;"")</f>
        <v/>
      </c>
      <c r="J496">
        <f>IF($AA496="","",INDEX('Per Line'!$L$2:$L$4001,$AA496)&amp;"")</f>
        <v/>
      </c>
      <c r="K496">
        <f>IF($AA496="","",INDEX('Per Line'!$P$2:$P$4001,$AA496))</f>
        <v/>
      </c>
      <c r="L496" s="7">
        <f>IF($AA496="","",IF(AND(ISNUMBER(N496),N496&gt;0,Y496&gt;N496),K496*N496/100+(Y496-N496),K496*Y496/100))</f>
        <v/>
      </c>
      <c r="M496">
        <f>IF($AA496="","",INDEX('Per Line'!$Z$2:$Z$4001,$AA496)&amp;"")</f>
        <v/>
      </c>
      <c r="N496">
        <f>IF($AA496="","",INDEX('Per Line'!$AG$2:$AG$4001,$AA496))</f>
        <v/>
      </c>
      <c r="O496">
        <f>IF($AA496="","",IF(AND(ISNUMBER(N496),N496&gt;0),Y496&gt;N496,FALSE))</f>
        <v/>
      </c>
      <c r="P496" s="7">
        <f>IF($AA496="","",SUMIFS('Per Line'!$Y$2:$Y$4001,'Per Line'!$E$2:$E$4001,$B496,'Per Line'!$AQ$2:$AQ$4001,1))</f>
        <v/>
      </c>
      <c r="Q496">
        <f>IF($AA496="","",Settings!$C$7)</f>
        <v/>
      </c>
      <c r="R496" s="7">
        <f>IF($AA496="","",SUMIFS('Per Line'!$Y$2:$Y$4001,'Per Line'!$E$2:$E$4001,$B496,'Per Line'!$AP$2:$AP$4001,0,'Per Line'!$AQ$2:$AQ$4001,0))</f>
        <v/>
      </c>
      <c r="S496" s="7">
        <f>IF($AA496="","",R496*Q496)</f>
        <v/>
      </c>
      <c r="T496">
        <f>IF($AA496="","",Settings!$C$6)</f>
        <v/>
      </c>
      <c r="U496" s="7">
        <f>IF($AA496="","",SUMIFS('Per Line'!$Y$2:$Y$4001,'Per Line'!$E$2:$E$4001,$B496,'Per Line'!$AP$2:$AP$4001,1,'Per Line'!$AQ$2:$AQ$4001,0))</f>
        <v/>
      </c>
      <c r="V496" s="7">
        <f>IF($AA496="","",U496*T496)</f>
        <v/>
      </c>
      <c r="W496" s="7">
        <f>IF($AA496="","",V496+S496)</f>
        <v/>
      </c>
      <c r="X496" s="7">
        <f>IF($AA496="","",Y496-W496)</f>
        <v/>
      </c>
      <c r="Y496" s="7">
        <f>IF($AA496="","",R496+U496+P496)</f>
        <v/>
      </c>
      <c r="Z496" s="7">
        <f>IF($AA496="","",Y496-W496-L496)</f>
        <v/>
      </c>
      <c r="AA496" s="13">
        <f>IF(ROWS($AA$2:$AA496)&lt;=MAX('Per Line'!$AO$2:$AO$4001),MATCH(ROWS($AA$2:$AA496),'Per Line'!$AO$2:$AO$4001,0),"")</f>
        <v/>
      </c>
      <c r="AB496" s="14">
        <f>IF($AA496="","",L496-K496*Y496/100)</f>
        <v/>
      </c>
    </row>
    <row r="497">
      <c r="A497" s="12" t="n"/>
      <c r="B497">
        <f>IF($AA497="","",INDEX('Per Line'!$E$2:$E$4001,$AA497)&amp;"")</f>
        <v/>
      </c>
      <c r="C497">
        <f>IF($AA497="","",INDEX('Per Line'!$A$2:$A$4001,$AA497)&amp;"")</f>
        <v/>
      </c>
      <c r="D497">
        <f>IF($AA497="","",INDEX('Per Line'!$D$2:$D$4001,$AA497)&amp;"")</f>
        <v/>
      </c>
      <c r="E497" s="11">
        <f>IF($AA497="","",INDEX('Per Line'!$G$2:$G$4001,$AA497))</f>
        <v/>
      </c>
      <c r="F497">
        <f>IF($AA497="","",INDEX('Per Line'!$H$2:$H$4001,$AA497)&amp;"")</f>
        <v/>
      </c>
      <c r="G497">
        <f>IF($AA497="","",INDEX('Per Line'!$I$2:$I$4001,$AA497)&amp;"")</f>
        <v/>
      </c>
      <c r="H497">
        <f>IF($AA497="","",INDEX('Per Line'!$J$2:$J$4001,$AA497)&amp;"")</f>
        <v/>
      </c>
      <c r="I497">
        <f>IF($AA497="","",INDEX('Per Line'!$K$2:$K$4001,$AA497)&amp;"")</f>
        <v/>
      </c>
      <c r="J497">
        <f>IF($AA497="","",INDEX('Per Line'!$L$2:$L$4001,$AA497)&amp;"")</f>
        <v/>
      </c>
      <c r="K497">
        <f>IF($AA497="","",INDEX('Per Line'!$P$2:$P$4001,$AA497))</f>
        <v/>
      </c>
      <c r="L497" s="7">
        <f>IF($AA497="","",IF(AND(ISNUMBER(N497),N497&gt;0,Y497&gt;N497),K497*N497/100+(Y497-N497),K497*Y497/100))</f>
        <v/>
      </c>
      <c r="M497">
        <f>IF($AA497="","",INDEX('Per Line'!$Z$2:$Z$4001,$AA497)&amp;"")</f>
        <v/>
      </c>
      <c r="N497">
        <f>IF($AA497="","",INDEX('Per Line'!$AG$2:$AG$4001,$AA497))</f>
        <v/>
      </c>
      <c r="O497">
        <f>IF($AA497="","",IF(AND(ISNUMBER(N497),N497&gt;0),Y497&gt;N497,FALSE))</f>
        <v/>
      </c>
      <c r="P497" s="7">
        <f>IF($AA497="","",SUMIFS('Per Line'!$Y$2:$Y$4001,'Per Line'!$E$2:$E$4001,$B497,'Per Line'!$AQ$2:$AQ$4001,1))</f>
        <v/>
      </c>
      <c r="Q497">
        <f>IF($AA497="","",Settings!$C$7)</f>
        <v/>
      </c>
      <c r="R497" s="7">
        <f>IF($AA497="","",SUMIFS('Per Line'!$Y$2:$Y$4001,'Per Line'!$E$2:$E$4001,$B497,'Per Line'!$AP$2:$AP$4001,0,'Per Line'!$AQ$2:$AQ$4001,0))</f>
        <v/>
      </c>
      <c r="S497" s="7">
        <f>IF($AA497="","",R497*Q497)</f>
        <v/>
      </c>
      <c r="T497">
        <f>IF($AA497="","",Settings!$C$6)</f>
        <v/>
      </c>
      <c r="U497" s="7">
        <f>IF($AA497="","",SUMIFS('Per Line'!$Y$2:$Y$4001,'Per Line'!$E$2:$E$4001,$B497,'Per Line'!$AP$2:$AP$4001,1,'Per Line'!$AQ$2:$AQ$4001,0))</f>
        <v/>
      </c>
      <c r="V497" s="7">
        <f>IF($AA497="","",U497*T497)</f>
        <v/>
      </c>
      <c r="W497" s="7">
        <f>IF($AA497="","",V497+S497)</f>
        <v/>
      </c>
      <c r="X497" s="7">
        <f>IF($AA497="","",Y497-W497)</f>
        <v/>
      </c>
      <c r="Y497" s="7">
        <f>IF($AA497="","",R497+U497+P497)</f>
        <v/>
      </c>
      <c r="Z497" s="7">
        <f>IF($AA497="","",Y497-W497-L497)</f>
        <v/>
      </c>
      <c r="AA497" s="13">
        <f>IF(ROWS($AA$2:$AA497)&lt;=MAX('Per Line'!$AO$2:$AO$4001),MATCH(ROWS($AA$2:$AA497),'Per Line'!$AO$2:$AO$4001,0),"")</f>
        <v/>
      </c>
      <c r="AB497" s="14">
        <f>IF($AA497="","",L497-K497*Y497/100)</f>
        <v/>
      </c>
    </row>
    <row r="498">
      <c r="A498" s="12" t="n"/>
      <c r="B498">
        <f>IF($AA498="","",INDEX('Per Line'!$E$2:$E$4001,$AA498)&amp;"")</f>
        <v/>
      </c>
      <c r="C498">
        <f>IF($AA498="","",INDEX('Per Line'!$A$2:$A$4001,$AA498)&amp;"")</f>
        <v/>
      </c>
      <c r="D498">
        <f>IF($AA498="","",INDEX('Per Line'!$D$2:$D$4001,$AA498)&amp;"")</f>
        <v/>
      </c>
      <c r="E498" s="11">
        <f>IF($AA498="","",INDEX('Per Line'!$G$2:$G$4001,$AA498))</f>
        <v/>
      </c>
      <c r="F498">
        <f>IF($AA498="","",INDEX('Per Line'!$H$2:$H$4001,$AA498)&amp;"")</f>
        <v/>
      </c>
      <c r="G498">
        <f>IF($AA498="","",INDEX('Per Line'!$I$2:$I$4001,$AA498)&amp;"")</f>
        <v/>
      </c>
      <c r="H498">
        <f>IF($AA498="","",INDEX('Per Line'!$J$2:$J$4001,$AA498)&amp;"")</f>
        <v/>
      </c>
      <c r="I498">
        <f>IF($AA498="","",INDEX('Per Line'!$K$2:$K$4001,$AA498)&amp;"")</f>
        <v/>
      </c>
      <c r="J498">
        <f>IF($AA498="","",INDEX('Per Line'!$L$2:$L$4001,$AA498)&amp;"")</f>
        <v/>
      </c>
      <c r="K498">
        <f>IF($AA498="","",INDEX('Per Line'!$P$2:$P$4001,$AA498))</f>
        <v/>
      </c>
      <c r="L498" s="7">
        <f>IF($AA498="","",IF(AND(ISNUMBER(N498),N498&gt;0,Y498&gt;N498),K498*N498/100+(Y498-N498),K498*Y498/100))</f>
        <v/>
      </c>
      <c r="M498">
        <f>IF($AA498="","",INDEX('Per Line'!$Z$2:$Z$4001,$AA498)&amp;"")</f>
        <v/>
      </c>
      <c r="N498">
        <f>IF($AA498="","",INDEX('Per Line'!$AG$2:$AG$4001,$AA498))</f>
        <v/>
      </c>
      <c r="O498">
        <f>IF($AA498="","",IF(AND(ISNUMBER(N498),N498&gt;0),Y498&gt;N498,FALSE))</f>
        <v/>
      </c>
      <c r="P498" s="7">
        <f>IF($AA498="","",SUMIFS('Per Line'!$Y$2:$Y$4001,'Per Line'!$E$2:$E$4001,$B498,'Per Line'!$AQ$2:$AQ$4001,1))</f>
        <v/>
      </c>
      <c r="Q498">
        <f>IF($AA498="","",Settings!$C$7)</f>
        <v/>
      </c>
      <c r="R498" s="7">
        <f>IF($AA498="","",SUMIFS('Per Line'!$Y$2:$Y$4001,'Per Line'!$E$2:$E$4001,$B498,'Per Line'!$AP$2:$AP$4001,0,'Per Line'!$AQ$2:$AQ$4001,0))</f>
        <v/>
      </c>
      <c r="S498" s="7">
        <f>IF($AA498="","",R498*Q498)</f>
        <v/>
      </c>
      <c r="T498">
        <f>IF($AA498="","",Settings!$C$6)</f>
        <v/>
      </c>
      <c r="U498" s="7">
        <f>IF($AA498="","",SUMIFS('Per Line'!$Y$2:$Y$4001,'Per Line'!$E$2:$E$4001,$B498,'Per Line'!$AP$2:$AP$4001,1,'Per Line'!$AQ$2:$AQ$4001,0))</f>
        <v/>
      </c>
      <c r="V498" s="7">
        <f>IF($AA498="","",U498*T498)</f>
        <v/>
      </c>
      <c r="W498" s="7">
        <f>IF($AA498="","",V498+S498)</f>
        <v/>
      </c>
      <c r="X498" s="7">
        <f>IF($AA498="","",Y498-W498)</f>
        <v/>
      </c>
      <c r="Y498" s="7">
        <f>IF($AA498="","",R498+U498+P498)</f>
        <v/>
      </c>
      <c r="Z498" s="7">
        <f>IF($AA498="","",Y498-W498-L498)</f>
        <v/>
      </c>
      <c r="AA498" s="13">
        <f>IF(ROWS($AA$2:$AA498)&lt;=MAX('Per Line'!$AO$2:$AO$4001),MATCH(ROWS($AA$2:$AA498),'Per Line'!$AO$2:$AO$4001,0),"")</f>
        <v/>
      </c>
      <c r="AB498" s="14">
        <f>IF($AA498="","",L498-K498*Y498/100)</f>
        <v/>
      </c>
    </row>
    <row r="499">
      <c r="A499" s="12" t="n"/>
      <c r="B499">
        <f>IF($AA499="","",INDEX('Per Line'!$E$2:$E$4001,$AA499)&amp;"")</f>
        <v/>
      </c>
      <c r="C499">
        <f>IF($AA499="","",INDEX('Per Line'!$A$2:$A$4001,$AA499)&amp;"")</f>
        <v/>
      </c>
      <c r="D499">
        <f>IF($AA499="","",INDEX('Per Line'!$D$2:$D$4001,$AA499)&amp;"")</f>
        <v/>
      </c>
      <c r="E499" s="11">
        <f>IF($AA499="","",INDEX('Per Line'!$G$2:$G$4001,$AA499))</f>
        <v/>
      </c>
      <c r="F499">
        <f>IF($AA499="","",INDEX('Per Line'!$H$2:$H$4001,$AA499)&amp;"")</f>
        <v/>
      </c>
      <c r="G499">
        <f>IF($AA499="","",INDEX('Per Line'!$I$2:$I$4001,$AA499)&amp;"")</f>
        <v/>
      </c>
      <c r="H499">
        <f>IF($AA499="","",INDEX('Per Line'!$J$2:$J$4001,$AA499)&amp;"")</f>
        <v/>
      </c>
      <c r="I499">
        <f>IF($AA499="","",INDEX('Per Line'!$K$2:$K$4001,$AA499)&amp;"")</f>
        <v/>
      </c>
      <c r="J499">
        <f>IF($AA499="","",INDEX('Per Line'!$L$2:$L$4001,$AA499)&amp;"")</f>
        <v/>
      </c>
      <c r="K499">
        <f>IF($AA499="","",INDEX('Per Line'!$P$2:$P$4001,$AA499))</f>
        <v/>
      </c>
      <c r="L499" s="7">
        <f>IF($AA499="","",IF(AND(ISNUMBER(N499),N499&gt;0,Y499&gt;N499),K499*N499/100+(Y499-N499),K499*Y499/100))</f>
        <v/>
      </c>
      <c r="M499">
        <f>IF($AA499="","",INDEX('Per Line'!$Z$2:$Z$4001,$AA499)&amp;"")</f>
        <v/>
      </c>
      <c r="N499">
        <f>IF($AA499="","",INDEX('Per Line'!$AG$2:$AG$4001,$AA499))</f>
        <v/>
      </c>
      <c r="O499">
        <f>IF($AA499="","",IF(AND(ISNUMBER(N499),N499&gt;0),Y499&gt;N499,FALSE))</f>
        <v/>
      </c>
      <c r="P499" s="7">
        <f>IF($AA499="","",SUMIFS('Per Line'!$Y$2:$Y$4001,'Per Line'!$E$2:$E$4001,$B499,'Per Line'!$AQ$2:$AQ$4001,1))</f>
        <v/>
      </c>
      <c r="Q499">
        <f>IF($AA499="","",Settings!$C$7)</f>
        <v/>
      </c>
      <c r="R499" s="7">
        <f>IF($AA499="","",SUMIFS('Per Line'!$Y$2:$Y$4001,'Per Line'!$E$2:$E$4001,$B499,'Per Line'!$AP$2:$AP$4001,0,'Per Line'!$AQ$2:$AQ$4001,0))</f>
        <v/>
      </c>
      <c r="S499" s="7">
        <f>IF($AA499="","",R499*Q499)</f>
        <v/>
      </c>
      <c r="T499">
        <f>IF($AA499="","",Settings!$C$6)</f>
        <v/>
      </c>
      <c r="U499" s="7">
        <f>IF($AA499="","",SUMIFS('Per Line'!$Y$2:$Y$4001,'Per Line'!$E$2:$E$4001,$B499,'Per Line'!$AP$2:$AP$4001,1,'Per Line'!$AQ$2:$AQ$4001,0))</f>
        <v/>
      </c>
      <c r="V499" s="7">
        <f>IF($AA499="","",U499*T499)</f>
        <v/>
      </c>
      <c r="W499" s="7">
        <f>IF($AA499="","",V499+S499)</f>
        <v/>
      </c>
      <c r="X499" s="7">
        <f>IF($AA499="","",Y499-W499)</f>
        <v/>
      </c>
      <c r="Y499" s="7">
        <f>IF($AA499="","",R499+U499+P499)</f>
        <v/>
      </c>
      <c r="Z499" s="7">
        <f>IF($AA499="","",Y499-W499-L499)</f>
        <v/>
      </c>
      <c r="AA499" s="13">
        <f>IF(ROWS($AA$2:$AA499)&lt;=MAX('Per Line'!$AO$2:$AO$4001),MATCH(ROWS($AA$2:$AA499),'Per Line'!$AO$2:$AO$4001,0),"")</f>
        <v/>
      </c>
      <c r="AB499" s="14">
        <f>IF($AA499="","",L499-K499*Y499/100)</f>
        <v/>
      </c>
    </row>
    <row r="500">
      <c r="A500" s="12" t="n"/>
      <c r="B500">
        <f>IF($AA500="","",INDEX('Per Line'!$E$2:$E$4001,$AA500)&amp;"")</f>
        <v/>
      </c>
      <c r="C500">
        <f>IF($AA500="","",INDEX('Per Line'!$A$2:$A$4001,$AA500)&amp;"")</f>
        <v/>
      </c>
      <c r="D500">
        <f>IF($AA500="","",INDEX('Per Line'!$D$2:$D$4001,$AA500)&amp;"")</f>
        <v/>
      </c>
      <c r="E500" s="11">
        <f>IF($AA500="","",INDEX('Per Line'!$G$2:$G$4001,$AA500))</f>
        <v/>
      </c>
      <c r="F500">
        <f>IF($AA500="","",INDEX('Per Line'!$H$2:$H$4001,$AA500)&amp;"")</f>
        <v/>
      </c>
      <c r="G500">
        <f>IF($AA500="","",INDEX('Per Line'!$I$2:$I$4001,$AA500)&amp;"")</f>
        <v/>
      </c>
      <c r="H500">
        <f>IF($AA500="","",INDEX('Per Line'!$J$2:$J$4001,$AA500)&amp;"")</f>
        <v/>
      </c>
      <c r="I500">
        <f>IF($AA500="","",INDEX('Per Line'!$K$2:$K$4001,$AA500)&amp;"")</f>
        <v/>
      </c>
      <c r="J500">
        <f>IF($AA500="","",INDEX('Per Line'!$L$2:$L$4001,$AA500)&amp;"")</f>
        <v/>
      </c>
      <c r="K500">
        <f>IF($AA500="","",INDEX('Per Line'!$P$2:$P$4001,$AA500))</f>
        <v/>
      </c>
      <c r="L500" s="7">
        <f>IF($AA500="","",IF(AND(ISNUMBER(N500),N500&gt;0,Y500&gt;N500),K500*N500/100+(Y500-N500),K500*Y500/100))</f>
        <v/>
      </c>
      <c r="M500">
        <f>IF($AA500="","",INDEX('Per Line'!$Z$2:$Z$4001,$AA500)&amp;"")</f>
        <v/>
      </c>
      <c r="N500">
        <f>IF($AA500="","",INDEX('Per Line'!$AG$2:$AG$4001,$AA500))</f>
        <v/>
      </c>
      <c r="O500">
        <f>IF($AA500="","",IF(AND(ISNUMBER(N500),N500&gt;0),Y500&gt;N500,FALSE))</f>
        <v/>
      </c>
      <c r="P500" s="7">
        <f>IF($AA500="","",SUMIFS('Per Line'!$Y$2:$Y$4001,'Per Line'!$E$2:$E$4001,$B500,'Per Line'!$AQ$2:$AQ$4001,1))</f>
        <v/>
      </c>
      <c r="Q500">
        <f>IF($AA500="","",Settings!$C$7)</f>
        <v/>
      </c>
      <c r="R500" s="7">
        <f>IF($AA500="","",SUMIFS('Per Line'!$Y$2:$Y$4001,'Per Line'!$E$2:$E$4001,$B500,'Per Line'!$AP$2:$AP$4001,0,'Per Line'!$AQ$2:$AQ$4001,0))</f>
        <v/>
      </c>
      <c r="S500" s="7">
        <f>IF($AA500="","",R500*Q500)</f>
        <v/>
      </c>
      <c r="T500">
        <f>IF($AA500="","",Settings!$C$6)</f>
        <v/>
      </c>
      <c r="U500" s="7">
        <f>IF($AA500="","",SUMIFS('Per Line'!$Y$2:$Y$4001,'Per Line'!$E$2:$E$4001,$B500,'Per Line'!$AP$2:$AP$4001,1,'Per Line'!$AQ$2:$AQ$4001,0))</f>
        <v/>
      </c>
      <c r="V500" s="7">
        <f>IF($AA500="","",U500*T500)</f>
        <v/>
      </c>
      <c r="W500" s="7">
        <f>IF($AA500="","",V500+S500)</f>
        <v/>
      </c>
      <c r="X500" s="7">
        <f>IF($AA500="","",Y500-W500)</f>
        <v/>
      </c>
      <c r="Y500" s="7">
        <f>IF($AA500="","",R500+U500+P500)</f>
        <v/>
      </c>
      <c r="Z500" s="7">
        <f>IF($AA500="","",Y500-W500-L500)</f>
        <v/>
      </c>
      <c r="AA500" s="13">
        <f>IF(ROWS($AA$2:$AA500)&lt;=MAX('Per Line'!$AO$2:$AO$4001),MATCH(ROWS($AA$2:$AA500),'Per Line'!$AO$2:$AO$4001,0),"")</f>
        <v/>
      </c>
      <c r="AB500" s="14">
        <f>IF($AA500="","",L500-K500*Y500/100)</f>
        <v/>
      </c>
    </row>
    <row r="501">
      <c r="A501" s="12" t="n"/>
      <c r="B501">
        <f>IF($AA501="","",INDEX('Per Line'!$E$2:$E$4001,$AA501)&amp;"")</f>
        <v/>
      </c>
      <c r="C501">
        <f>IF($AA501="","",INDEX('Per Line'!$A$2:$A$4001,$AA501)&amp;"")</f>
        <v/>
      </c>
      <c r="D501">
        <f>IF($AA501="","",INDEX('Per Line'!$D$2:$D$4001,$AA501)&amp;"")</f>
        <v/>
      </c>
      <c r="E501" s="11">
        <f>IF($AA501="","",INDEX('Per Line'!$G$2:$G$4001,$AA501))</f>
        <v/>
      </c>
      <c r="F501">
        <f>IF($AA501="","",INDEX('Per Line'!$H$2:$H$4001,$AA501)&amp;"")</f>
        <v/>
      </c>
      <c r="G501">
        <f>IF($AA501="","",INDEX('Per Line'!$I$2:$I$4001,$AA501)&amp;"")</f>
        <v/>
      </c>
      <c r="H501">
        <f>IF($AA501="","",INDEX('Per Line'!$J$2:$J$4001,$AA501)&amp;"")</f>
        <v/>
      </c>
      <c r="I501">
        <f>IF($AA501="","",INDEX('Per Line'!$K$2:$K$4001,$AA501)&amp;"")</f>
        <v/>
      </c>
      <c r="J501">
        <f>IF($AA501="","",INDEX('Per Line'!$L$2:$L$4001,$AA501)&amp;"")</f>
        <v/>
      </c>
      <c r="K501">
        <f>IF($AA501="","",INDEX('Per Line'!$P$2:$P$4001,$AA501))</f>
        <v/>
      </c>
      <c r="L501" s="7">
        <f>IF($AA501="","",IF(AND(ISNUMBER(N501),N501&gt;0,Y501&gt;N501),K501*N501/100+(Y501-N501),K501*Y501/100))</f>
        <v/>
      </c>
      <c r="M501">
        <f>IF($AA501="","",INDEX('Per Line'!$Z$2:$Z$4001,$AA501)&amp;"")</f>
        <v/>
      </c>
      <c r="N501">
        <f>IF($AA501="","",INDEX('Per Line'!$AG$2:$AG$4001,$AA501))</f>
        <v/>
      </c>
      <c r="O501">
        <f>IF($AA501="","",IF(AND(ISNUMBER(N501),N501&gt;0),Y501&gt;N501,FALSE))</f>
        <v/>
      </c>
      <c r="P501" s="7">
        <f>IF($AA501="","",SUMIFS('Per Line'!$Y$2:$Y$4001,'Per Line'!$E$2:$E$4001,$B501,'Per Line'!$AQ$2:$AQ$4001,1))</f>
        <v/>
      </c>
      <c r="Q501">
        <f>IF($AA501="","",Settings!$C$7)</f>
        <v/>
      </c>
      <c r="R501" s="7">
        <f>IF($AA501="","",SUMIFS('Per Line'!$Y$2:$Y$4001,'Per Line'!$E$2:$E$4001,$B501,'Per Line'!$AP$2:$AP$4001,0,'Per Line'!$AQ$2:$AQ$4001,0))</f>
        <v/>
      </c>
      <c r="S501" s="7">
        <f>IF($AA501="","",R501*Q501)</f>
        <v/>
      </c>
      <c r="T501">
        <f>IF($AA501="","",Settings!$C$6)</f>
        <v/>
      </c>
      <c r="U501" s="7">
        <f>IF($AA501="","",SUMIFS('Per Line'!$Y$2:$Y$4001,'Per Line'!$E$2:$E$4001,$B501,'Per Line'!$AP$2:$AP$4001,1,'Per Line'!$AQ$2:$AQ$4001,0))</f>
        <v/>
      </c>
      <c r="V501" s="7">
        <f>IF($AA501="","",U501*T501)</f>
        <v/>
      </c>
      <c r="W501" s="7">
        <f>IF($AA501="","",V501+S501)</f>
        <v/>
      </c>
      <c r="X501" s="7">
        <f>IF($AA501="","",Y501-W501)</f>
        <v/>
      </c>
      <c r="Y501" s="7">
        <f>IF($AA501="","",R501+U501+P501)</f>
        <v/>
      </c>
      <c r="Z501" s="7">
        <f>IF($AA501="","",Y501-W501-L501)</f>
        <v/>
      </c>
      <c r="AA501" s="13">
        <f>IF(ROWS($AA$2:$AA501)&lt;=MAX('Per Line'!$AO$2:$AO$4001),MATCH(ROWS($AA$2:$AA501),'Per Line'!$AO$2:$AO$4001,0),"")</f>
        <v/>
      </c>
      <c r="AB501" s="14">
        <f>IF($AA501="","",L501-K501*Y501/100)</f>
        <v/>
      </c>
    </row>
    <row r="502">
      <c r="A502" s="12" t="n"/>
      <c r="B502">
        <f>IF($AA502="","",INDEX('Per Line'!$E$2:$E$4001,$AA502)&amp;"")</f>
        <v/>
      </c>
      <c r="C502">
        <f>IF($AA502="","",INDEX('Per Line'!$A$2:$A$4001,$AA502)&amp;"")</f>
        <v/>
      </c>
      <c r="D502">
        <f>IF($AA502="","",INDEX('Per Line'!$D$2:$D$4001,$AA502)&amp;"")</f>
        <v/>
      </c>
      <c r="E502" s="11">
        <f>IF($AA502="","",INDEX('Per Line'!$G$2:$G$4001,$AA502))</f>
        <v/>
      </c>
      <c r="F502">
        <f>IF($AA502="","",INDEX('Per Line'!$H$2:$H$4001,$AA502)&amp;"")</f>
        <v/>
      </c>
      <c r="G502">
        <f>IF($AA502="","",INDEX('Per Line'!$I$2:$I$4001,$AA502)&amp;"")</f>
        <v/>
      </c>
      <c r="H502">
        <f>IF($AA502="","",INDEX('Per Line'!$J$2:$J$4001,$AA502)&amp;"")</f>
        <v/>
      </c>
      <c r="I502">
        <f>IF($AA502="","",INDEX('Per Line'!$K$2:$K$4001,$AA502)&amp;"")</f>
        <v/>
      </c>
      <c r="J502">
        <f>IF($AA502="","",INDEX('Per Line'!$L$2:$L$4001,$AA502)&amp;"")</f>
        <v/>
      </c>
      <c r="K502">
        <f>IF($AA502="","",INDEX('Per Line'!$P$2:$P$4001,$AA502))</f>
        <v/>
      </c>
      <c r="L502" s="7">
        <f>IF($AA502="","",IF(AND(ISNUMBER(N502),N502&gt;0,Y502&gt;N502),K502*N502/100+(Y502-N502),K502*Y502/100))</f>
        <v/>
      </c>
      <c r="M502">
        <f>IF($AA502="","",INDEX('Per Line'!$Z$2:$Z$4001,$AA502)&amp;"")</f>
        <v/>
      </c>
      <c r="N502">
        <f>IF($AA502="","",INDEX('Per Line'!$AG$2:$AG$4001,$AA502))</f>
        <v/>
      </c>
      <c r="O502">
        <f>IF($AA502="","",IF(AND(ISNUMBER(N502),N502&gt;0),Y502&gt;N502,FALSE))</f>
        <v/>
      </c>
      <c r="P502" s="7">
        <f>IF($AA502="","",SUMIFS('Per Line'!$Y$2:$Y$4001,'Per Line'!$E$2:$E$4001,$B502,'Per Line'!$AQ$2:$AQ$4001,1))</f>
        <v/>
      </c>
      <c r="Q502">
        <f>IF($AA502="","",Settings!$C$7)</f>
        <v/>
      </c>
      <c r="R502" s="7">
        <f>IF($AA502="","",SUMIFS('Per Line'!$Y$2:$Y$4001,'Per Line'!$E$2:$E$4001,$B502,'Per Line'!$AP$2:$AP$4001,0,'Per Line'!$AQ$2:$AQ$4001,0))</f>
        <v/>
      </c>
      <c r="S502" s="7">
        <f>IF($AA502="","",R502*Q502)</f>
        <v/>
      </c>
      <c r="T502">
        <f>IF($AA502="","",Settings!$C$6)</f>
        <v/>
      </c>
      <c r="U502" s="7">
        <f>IF($AA502="","",SUMIFS('Per Line'!$Y$2:$Y$4001,'Per Line'!$E$2:$E$4001,$B502,'Per Line'!$AP$2:$AP$4001,1,'Per Line'!$AQ$2:$AQ$4001,0))</f>
        <v/>
      </c>
      <c r="V502" s="7">
        <f>IF($AA502="","",U502*T502)</f>
        <v/>
      </c>
      <c r="W502" s="7">
        <f>IF($AA502="","",V502+S502)</f>
        <v/>
      </c>
      <c r="X502" s="7">
        <f>IF($AA502="","",Y502-W502)</f>
        <v/>
      </c>
      <c r="Y502" s="7">
        <f>IF($AA502="","",R502+U502+P502)</f>
        <v/>
      </c>
      <c r="Z502" s="7">
        <f>IF($AA502="","",Y502-W502-L502)</f>
        <v/>
      </c>
      <c r="AA502" s="13">
        <f>IF(ROWS($AA$2:$AA502)&lt;=MAX('Per Line'!$AO$2:$AO$4001),MATCH(ROWS($AA$2:$AA502),'Per Line'!$AO$2:$AO$4001,0),"")</f>
        <v/>
      </c>
      <c r="AB502" s="14">
        <f>IF($AA502="","",L502-K502*Y502/100)</f>
        <v/>
      </c>
    </row>
    <row r="503">
      <c r="A503" s="12" t="n"/>
      <c r="B503">
        <f>IF($AA503="","",INDEX('Per Line'!$E$2:$E$4001,$AA503)&amp;"")</f>
        <v/>
      </c>
      <c r="C503">
        <f>IF($AA503="","",INDEX('Per Line'!$A$2:$A$4001,$AA503)&amp;"")</f>
        <v/>
      </c>
      <c r="D503">
        <f>IF($AA503="","",INDEX('Per Line'!$D$2:$D$4001,$AA503)&amp;"")</f>
        <v/>
      </c>
      <c r="E503" s="11">
        <f>IF($AA503="","",INDEX('Per Line'!$G$2:$G$4001,$AA503))</f>
        <v/>
      </c>
      <c r="F503">
        <f>IF($AA503="","",INDEX('Per Line'!$H$2:$H$4001,$AA503)&amp;"")</f>
        <v/>
      </c>
      <c r="G503">
        <f>IF($AA503="","",INDEX('Per Line'!$I$2:$I$4001,$AA503)&amp;"")</f>
        <v/>
      </c>
      <c r="H503">
        <f>IF($AA503="","",INDEX('Per Line'!$J$2:$J$4001,$AA503)&amp;"")</f>
        <v/>
      </c>
      <c r="I503">
        <f>IF($AA503="","",INDEX('Per Line'!$K$2:$K$4001,$AA503)&amp;"")</f>
        <v/>
      </c>
      <c r="J503">
        <f>IF($AA503="","",INDEX('Per Line'!$L$2:$L$4001,$AA503)&amp;"")</f>
        <v/>
      </c>
      <c r="K503">
        <f>IF($AA503="","",INDEX('Per Line'!$P$2:$P$4001,$AA503))</f>
        <v/>
      </c>
      <c r="L503" s="7">
        <f>IF($AA503="","",IF(AND(ISNUMBER(N503),N503&gt;0,Y503&gt;N503),K503*N503/100+(Y503-N503),K503*Y503/100))</f>
        <v/>
      </c>
      <c r="M503">
        <f>IF($AA503="","",INDEX('Per Line'!$Z$2:$Z$4001,$AA503)&amp;"")</f>
        <v/>
      </c>
      <c r="N503">
        <f>IF($AA503="","",INDEX('Per Line'!$AG$2:$AG$4001,$AA503))</f>
        <v/>
      </c>
      <c r="O503">
        <f>IF($AA503="","",IF(AND(ISNUMBER(N503),N503&gt;0),Y503&gt;N503,FALSE))</f>
        <v/>
      </c>
      <c r="P503" s="7">
        <f>IF($AA503="","",SUMIFS('Per Line'!$Y$2:$Y$4001,'Per Line'!$E$2:$E$4001,$B503,'Per Line'!$AQ$2:$AQ$4001,1))</f>
        <v/>
      </c>
      <c r="Q503">
        <f>IF($AA503="","",Settings!$C$7)</f>
        <v/>
      </c>
      <c r="R503" s="7">
        <f>IF($AA503="","",SUMIFS('Per Line'!$Y$2:$Y$4001,'Per Line'!$E$2:$E$4001,$B503,'Per Line'!$AP$2:$AP$4001,0,'Per Line'!$AQ$2:$AQ$4001,0))</f>
        <v/>
      </c>
      <c r="S503" s="7">
        <f>IF($AA503="","",R503*Q503)</f>
        <v/>
      </c>
      <c r="T503">
        <f>IF($AA503="","",Settings!$C$6)</f>
        <v/>
      </c>
      <c r="U503" s="7">
        <f>IF($AA503="","",SUMIFS('Per Line'!$Y$2:$Y$4001,'Per Line'!$E$2:$E$4001,$B503,'Per Line'!$AP$2:$AP$4001,1,'Per Line'!$AQ$2:$AQ$4001,0))</f>
        <v/>
      </c>
      <c r="V503" s="7">
        <f>IF($AA503="","",U503*T503)</f>
        <v/>
      </c>
      <c r="W503" s="7">
        <f>IF($AA503="","",V503+S503)</f>
        <v/>
      </c>
      <c r="X503" s="7">
        <f>IF($AA503="","",Y503-W503)</f>
        <v/>
      </c>
      <c r="Y503" s="7">
        <f>IF($AA503="","",R503+U503+P503)</f>
        <v/>
      </c>
      <c r="Z503" s="7">
        <f>IF($AA503="","",Y503-W503-L503)</f>
        <v/>
      </c>
      <c r="AA503" s="13">
        <f>IF(ROWS($AA$2:$AA503)&lt;=MAX('Per Line'!$AO$2:$AO$4001),MATCH(ROWS($AA$2:$AA503),'Per Line'!$AO$2:$AO$4001,0),"")</f>
        <v/>
      </c>
      <c r="AB503" s="14">
        <f>IF($AA503="","",L503-K503*Y503/100)</f>
        <v/>
      </c>
    </row>
    <row r="504">
      <c r="A504" s="12" t="n"/>
      <c r="B504">
        <f>IF($AA504="","",INDEX('Per Line'!$E$2:$E$4001,$AA504)&amp;"")</f>
        <v/>
      </c>
      <c r="C504">
        <f>IF($AA504="","",INDEX('Per Line'!$A$2:$A$4001,$AA504)&amp;"")</f>
        <v/>
      </c>
      <c r="D504">
        <f>IF($AA504="","",INDEX('Per Line'!$D$2:$D$4001,$AA504)&amp;"")</f>
        <v/>
      </c>
      <c r="E504" s="11">
        <f>IF($AA504="","",INDEX('Per Line'!$G$2:$G$4001,$AA504))</f>
        <v/>
      </c>
      <c r="F504">
        <f>IF($AA504="","",INDEX('Per Line'!$H$2:$H$4001,$AA504)&amp;"")</f>
        <v/>
      </c>
      <c r="G504">
        <f>IF($AA504="","",INDEX('Per Line'!$I$2:$I$4001,$AA504)&amp;"")</f>
        <v/>
      </c>
      <c r="H504">
        <f>IF($AA504="","",INDEX('Per Line'!$J$2:$J$4001,$AA504)&amp;"")</f>
        <v/>
      </c>
      <c r="I504">
        <f>IF($AA504="","",INDEX('Per Line'!$K$2:$K$4001,$AA504)&amp;"")</f>
        <v/>
      </c>
      <c r="J504">
        <f>IF($AA504="","",INDEX('Per Line'!$L$2:$L$4001,$AA504)&amp;"")</f>
        <v/>
      </c>
      <c r="K504">
        <f>IF($AA504="","",INDEX('Per Line'!$P$2:$P$4001,$AA504))</f>
        <v/>
      </c>
      <c r="L504" s="7">
        <f>IF($AA504="","",IF(AND(ISNUMBER(N504),N504&gt;0,Y504&gt;N504),K504*N504/100+(Y504-N504),K504*Y504/100))</f>
        <v/>
      </c>
      <c r="M504">
        <f>IF($AA504="","",INDEX('Per Line'!$Z$2:$Z$4001,$AA504)&amp;"")</f>
        <v/>
      </c>
      <c r="N504">
        <f>IF($AA504="","",INDEX('Per Line'!$AG$2:$AG$4001,$AA504))</f>
        <v/>
      </c>
      <c r="O504">
        <f>IF($AA504="","",IF(AND(ISNUMBER(N504),N504&gt;0),Y504&gt;N504,FALSE))</f>
        <v/>
      </c>
      <c r="P504" s="7">
        <f>IF($AA504="","",SUMIFS('Per Line'!$Y$2:$Y$4001,'Per Line'!$E$2:$E$4001,$B504,'Per Line'!$AQ$2:$AQ$4001,1))</f>
        <v/>
      </c>
      <c r="Q504">
        <f>IF($AA504="","",Settings!$C$7)</f>
        <v/>
      </c>
      <c r="R504" s="7">
        <f>IF($AA504="","",SUMIFS('Per Line'!$Y$2:$Y$4001,'Per Line'!$E$2:$E$4001,$B504,'Per Line'!$AP$2:$AP$4001,0,'Per Line'!$AQ$2:$AQ$4001,0))</f>
        <v/>
      </c>
      <c r="S504" s="7">
        <f>IF($AA504="","",R504*Q504)</f>
        <v/>
      </c>
      <c r="T504">
        <f>IF($AA504="","",Settings!$C$6)</f>
        <v/>
      </c>
      <c r="U504" s="7">
        <f>IF($AA504="","",SUMIFS('Per Line'!$Y$2:$Y$4001,'Per Line'!$E$2:$E$4001,$B504,'Per Line'!$AP$2:$AP$4001,1,'Per Line'!$AQ$2:$AQ$4001,0))</f>
        <v/>
      </c>
      <c r="V504" s="7">
        <f>IF($AA504="","",U504*T504)</f>
        <v/>
      </c>
      <c r="W504" s="7">
        <f>IF($AA504="","",V504+S504)</f>
        <v/>
      </c>
      <c r="X504" s="7">
        <f>IF($AA504="","",Y504-W504)</f>
        <v/>
      </c>
      <c r="Y504" s="7">
        <f>IF($AA504="","",R504+U504+P504)</f>
        <v/>
      </c>
      <c r="Z504" s="7">
        <f>IF($AA504="","",Y504-W504-L504)</f>
        <v/>
      </c>
      <c r="AA504" s="13">
        <f>IF(ROWS($AA$2:$AA504)&lt;=MAX('Per Line'!$AO$2:$AO$4001),MATCH(ROWS($AA$2:$AA504),'Per Line'!$AO$2:$AO$4001,0),"")</f>
        <v/>
      </c>
      <c r="AB504" s="14">
        <f>IF($AA504="","",L504-K504*Y504/100)</f>
        <v/>
      </c>
    </row>
    <row r="505">
      <c r="A505" s="12" t="n"/>
      <c r="B505">
        <f>IF($AA505="","",INDEX('Per Line'!$E$2:$E$4001,$AA505)&amp;"")</f>
        <v/>
      </c>
      <c r="C505">
        <f>IF($AA505="","",INDEX('Per Line'!$A$2:$A$4001,$AA505)&amp;"")</f>
        <v/>
      </c>
      <c r="D505">
        <f>IF($AA505="","",INDEX('Per Line'!$D$2:$D$4001,$AA505)&amp;"")</f>
        <v/>
      </c>
      <c r="E505" s="11">
        <f>IF($AA505="","",INDEX('Per Line'!$G$2:$G$4001,$AA505))</f>
        <v/>
      </c>
      <c r="F505">
        <f>IF($AA505="","",INDEX('Per Line'!$H$2:$H$4001,$AA505)&amp;"")</f>
        <v/>
      </c>
      <c r="G505">
        <f>IF($AA505="","",INDEX('Per Line'!$I$2:$I$4001,$AA505)&amp;"")</f>
        <v/>
      </c>
      <c r="H505">
        <f>IF($AA505="","",INDEX('Per Line'!$J$2:$J$4001,$AA505)&amp;"")</f>
        <v/>
      </c>
      <c r="I505">
        <f>IF($AA505="","",INDEX('Per Line'!$K$2:$K$4001,$AA505)&amp;"")</f>
        <v/>
      </c>
      <c r="J505">
        <f>IF($AA505="","",INDEX('Per Line'!$L$2:$L$4001,$AA505)&amp;"")</f>
        <v/>
      </c>
      <c r="K505">
        <f>IF($AA505="","",INDEX('Per Line'!$P$2:$P$4001,$AA505))</f>
        <v/>
      </c>
      <c r="L505" s="7">
        <f>IF($AA505="","",IF(AND(ISNUMBER(N505),N505&gt;0,Y505&gt;N505),K505*N505/100+(Y505-N505),K505*Y505/100))</f>
        <v/>
      </c>
      <c r="M505">
        <f>IF($AA505="","",INDEX('Per Line'!$Z$2:$Z$4001,$AA505)&amp;"")</f>
        <v/>
      </c>
      <c r="N505">
        <f>IF($AA505="","",INDEX('Per Line'!$AG$2:$AG$4001,$AA505))</f>
        <v/>
      </c>
      <c r="O505">
        <f>IF($AA505="","",IF(AND(ISNUMBER(N505),N505&gt;0),Y505&gt;N505,FALSE))</f>
        <v/>
      </c>
      <c r="P505" s="7">
        <f>IF($AA505="","",SUMIFS('Per Line'!$Y$2:$Y$4001,'Per Line'!$E$2:$E$4001,$B505,'Per Line'!$AQ$2:$AQ$4001,1))</f>
        <v/>
      </c>
      <c r="Q505">
        <f>IF($AA505="","",Settings!$C$7)</f>
        <v/>
      </c>
      <c r="R505" s="7">
        <f>IF($AA505="","",SUMIFS('Per Line'!$Y$2:$Y$4001,'Per Line'!$E$2:$E$4001,$B505,'Per Line'!$AP$2:$AP$4001,0,'Per Line'!$AQ$2:$AQ$4001,0))</f>
        <v/>
      </c>
      <c r="S505" s="7">
        <f>IF($AA505="","",R505*Q505)</f>
        <v/>
      </c>
      <c r="T505">
        <f>IF($AA505="","",Settings!$C$6)</f>
        <v/>
      </c>
      <c r="U505" s="7">
        <f>IF($AA505="","",SUMIFS('Per Line'!$Y$2:$Y$4001,'Per Line'!$E$2:$E$4001,$B505,'Per Line'!$AP$2:$AP$4001,1,'Per Line'!$AQ$2:$AQ$4001,0))</f>
        <v/>
      </c>
      <c r="V505" s="7">
        <f>IF($AA505="","",U505*T505)</f>
        <v/>
      </c>
      <c r="W505" s="7">
        <f>IF($AA505="","",V505+S505)</f>
        <v/>
      </c>
      <c r="X505" s="7">
        <f>IF($AA505="","",Y505-W505)</f>
        <v/>
      </c>
      <c r="Y505" s="7">
        <f>IF($AA505="","",R505+U505+P505)</f>
        <v/>
      </c>
      <c r="Z505" s="7">
        <f>IF($AA505="","",Y505-W505-L505)</f>
        <v/>
      </c>
      <c r="AA505" s="13">
        <f>IF(ROWS($AA$2:$AA505)&lt;=MAX('Per Line'!$AO$2:$AO$4001),MATCH(ROWS($AA$2:$AA505),'Per Line'!$AO$2:$AO$4001,0),"")</f>
        <v/>
      </c>
      <c r="AB505" s="14">
        <f>IF($AA505="","",L505-K505*Y505/100)</f>
        <v/>
      </c>
    </row>
    <row r="506">
      <c r="A506" s="12" t="n"/>
      <c r="B506">
        <f>IF($AA506="","",INDEX('Per Line'!$E$2:$E$4001,$AA506)&amp;"")</f>
        <v/>
      </c>
      <c r="C506">
        <f>IF($AA506="","",INDEX('Per Line'!$A$2:$A$4001,$AA506)&amp;"")</f>
        <v/>
      </c>
      <c r="D506">
        <f>IF($AA506="","",INDEX('Per Line'!$D$2:$D$4001,$AA506)&amp;"")</f>
        <v/>
      </c>
      <c r="E506" s="11">
        <f>IF($AA506="","",INDEX('Per Line'!$G$2:$G$4001,$AA506))</f>
        <v/>
      </c>
      <c r="F506">
        <f>IF($AA506="","",INDEX('Per Line'!$H$2:$H$4001,$AA506)&amp;"")</f>
        <v/>
      </c>
      <c r="G506">
        <f>IF($AA506="","",INDEX('Per Line'!$I$2:$I$4001,$AA506)&amp;"")</f>
        <v/>
      </c>
      <c r="H506">
        <f>IF($AA506="","",INDEX('Per Line'!$J$2:$J$4001,$AA506)&amp;"")</f>
        <v/>
      </c>
      <c r="I506">
        <f>IF($AA506="","",INDEX('Per Line'!$K$2:$K$4001,$AA506)&amp;"")</f>
        <v/>
      </c>
      <c r="J506">
        <f>IF($AA506="","",INDEX('Per Line'!$L$2:$L$4001,$AA506)&amp;"")</f>
        <v/>
      </c>
      <c r="K506">
        <f>IF($AA506="","",INDEX('Per Line'!$P$2:$P$4001,$AA506))</f>
        <v/>
      </c>
      <c r="L506" s="7">
        <f>IF($AA506="","",IF(AND(ISNUMBER(N506),N506&gt;0,Y506&gt;N506),K506*N506/100+(Y506-N506),K506*Y506/100))</f>
        <v/>
      </c>
      <c r="M506">
        <f>IF($AA506="","",INDEX('Per Line'!$Z$2:$Z$4001,$AA506)&amp;"")</f>
        <v/>
      </c>
      <c r="N506">
        <f>IF($AA506="","",INDEX('Per Line'!$AG$2:$AG$4001,$AA506))</f>
        <v/>
      </c>
      <c r="O506">
        <f>IF($AA506="","",IF(AND(ISNUMBER(N506),N506&gt;0),Y506&gt;N506,FALSE))</f>
        <v/>
      </c>
      <c r="P506" s="7">
        <f>IF($AA506="","",SUMIFS('Per Line'!$Y$2:$Y$4001,'Per Line'!$E$2:$E$4001,$B506,'Per Line'!$AQ$2:$AQ$4001,1))</f>
        <v/>
      </c>
      <c r="Q506">
        <f>IF($AA506="","",Settings!$C$7)</f>
        <v/>
      </c>
      <c r="R506" s="7">
        <f>IF($AA506="","",SUMIFS('Per Line'!$Y$2:$Y$4001,'Per Line'!$E$2:$E$4001,$B506,'Per Line'!$AP$2:$AP$4001,0,'Per Line'!$AQ$2:$AQ$4001,0))</f>
        <v/>
      </c>
      <c r="S506" s="7">
        <f>IF($AA506="","",R506*Q506)</f>
        <v/>
      </c>
      <c r="T506">
        <f>IF($AA506="","",Settings!$C$6)</f>
        <v/>
      </c>
      <c r="U506" s="7">
        <f>IF($AA506="","",SUMIFS('Per Line'!$Y$2:$Y$4001,'Per Line'!$E$2:$E$4001,$B506,'Per Line'!$AP$2:$AP$4001,1,'Per Line'!$AQ$2:$AQ$4001,0))</f>
        <v/>
      </c>
      <c r="V506" s="7">
        <f>IF($AA506="","",U506*T506)</f>
        <v/>
      </c>
      <c r="W506" s="7">
        <f>IF($AA506="","",V506+S506)</f>
        <v/>
      </c>
      <c r="X506" s="7">
        <f>IF($AA506="","",Y506-W506)</f>
        <v/>
      </c>
      <c r="Y506" s="7">
        <f>IF($AA506="","",R506+U506+P506)</f>
        <v/>
      </c>
      <c r="Z506" s="7">
        <f>IF($AA506="","",Y506-W506-L506)</f>
        <v/>
      </c>
      <c r="AA506" s="13">
        <f>IF(ROWS($AA$2:$AA506)&lt;=MAX('Per Line'!$AO$2:$AO$4001),MATCH(ROWS($AA$2:$AA506),'Per Line'!$AO$2:$AO$4001,0),"")</f>
        <v/>
      </c>
      <c r="AB506" s="14">
        <f>IF($AA506="","",L506-K506*Y506/100)</f>
        <v/>
      </c>
    </row>
    <row r="507">
      <c r="A507" s="12" t="n"/>
      <c r="B507">
        <f>IF($AA507="","",INDEX('Per Line'!$E$2:$E$4001,$AA507)&amp;"")</f>
        <v/>
      </c>
      <c r="C507">
        <f>IF($AA507="","",INDEX('Per Line'!$A$2:$A$4001,$AA507)&amp;"")</f>
        <v/>
      </c>
      <c r="D507">
        <f>IF($AA507="","",INDEX('Per Line'!$D$2:$D$4001,$AA507)&amp;"")</f>
        <v/>
      </c>
      <c r="E507" s="11">
        <f>IF($AA507="","",INDEX('Per Line'!$G$2:$G$4001,$AA507))</f>
        <v/>
      </c>
      <c r="F507">
        <f>IF($AA507="","",INDEX('Per Line'!$H$2:$H$4001,$AA507)&amp;"")</f>
        <v/>
      </c>
      <c r="G507">
        <f>IF($AA507="","",INDEX('Per Line'!$I$2:$I$4001,$AA507)&amp;"")</f>
        <v/>
      </c>
      <c r="H507">
        <f>IF($AA507="","",INDEX('Per Line'!$J$2:$J$4001,$AA507)&amp;"")</f>
        <v/>
      </c>
      <c r="I507">
        <f>IF($AA507="","",INDEX('Per Line'!$K$2:$K$4001,$AA507)&amp;"")</f>
        <v/>
      </c>
      <c r="J507">
        <f>IF($AA507="","",INDEX('Per Line'!$L$2:$L$4001,$AA507)&amp;"")</f>
        <v/>
      </c>
      <c r="K507">
        <f>IF($AA507="","",INDEX('Per Line'!$P$2:$P$4001,$AA507))</f>
        <v/>
      </c>
      <c r="L507" s="7">
        <f>IF($AA507="","",IF(AND(ISNUMBER(N507),N507&gt;0,Y507&gt;N507),K507*N507/100+(Y507-N507),K507*Y507/100))</f>
        <v/>
      </c>
      <c r="M507">
        <f>IF($AA507="","",INDEX('Per Line'!$Z$2:$Z$4001,$AA507)&amp;"")</f>
        <v/>
      </c>
      <c r="N507">
        <f>IF($AA507="","",INDEX('Per Line'!$AG$2:$AG$4001,$AA507))</f>
        <v/>
      </c>
      <c r="O507">
        <f>IF($AA507="","",IF(AND(ISNUMBER(N507),N507&gt;0),Y507&gt;N507,FALSE))</f>
        <v/>
      </c>
      <c r="P507" s="7">
        <f>IF($AA507="","",SUMIFS('Per Line'!$Y$2:$Y$4001,'Per Line'!$E$2:$E$4001,$B507,'Per Line'!$AQ$2:$AQ$4001,1))</f>
        <v/>
      </c>
      <c r="Q507">
        <f>IF($AA507="","",Settings!$C$7)</f>
        <v/>
      </c>
      <c r="R507" s="7">
        <f>IF($AA507="","",SUMIFS('Per Line'!$Y$2:$Y$4001,'Per Line'!$E$2:$E$4001,$B507,'Per Line'!$AP$2:$AP$4001,0,'Per Line'!$AQ$2:$AQ$4001,0))</f>
        <v/>
      </c>
      <c r="S507" s="7">
        <f>IF($AA507="","",R507*Q507)</f>
        <v/>
      </c>
      <c r="T507">
        <f>IF($AA507="","",Settings!$C$6)</f>
        <v/>
      </c>
      <c r="U507" s="7">
        <f>IF($AA507="","",SUMIFS('Per Line'!$Y$2:$Y$4001,'Per Line'!$E$2:$E$4001,$B507,'Per Line'!$AP$2:$AP$4001,1,'Per Line'!$AQ$2:$AQ$4001,0))</f>
        <v/>
      </c>
      <c r="V507" s="7">
        <f>IF($AA507="","",U507*T507)</f>
        <v/>
      </c>
      <c r="W507" s="7">
        <f>IF($AA507="","",V507+S507)</f>
        <v/>
      </c>
      <c r="X507" s="7">
        <f>IF($AA507="","",Y507-W507)</f>
        <v/>
      </c>
      <c r="Y507" s="7">
        <f>IF($AA507="","",R507+U507+P507)</f>
        <v/>
      </c>
      <c r="Z507" s="7">
        <f>IF($AA507="","",Y507-W507-L507)</f>
        <v/>
      </c>
      <c r="AA507" s="13">
        <f>IF(ROWS($AA$2:$AA507)&lt;=MAX('Per Line'!$AO$2:$AO$4001),MATCH(ROWS($AA$2:$AA507),'Per Line'!$AO$2:$AO$4001,0),"")</f>
        <v/>
      </c>
      <c r="AB507" s="14">
        <f>IF($AA507="","",L507-K507*Y507/100)</f>
        <v/>
      </c>
    </row>
    <row r="508">
      <c r="A508" s="12" t="n"/>
      <c r="B508">
        <f>IF($AA508="","",INDEX('Per Line'!$E$2:$E$4001,$AA508)&amp;"")</f>
        <v/>
      </c>
      <c r="C508">
        <f>IF($AA508="","",INDEX('Per Line'!$A$2:$A$4001,$AA508)&amp;"")</f>
        <v/>
      </c>
      <c r="D508">
        <f>IF($AA508="","",INDEX('Per Line'!$D$2:$D$4001,$AA508)&amp;"")</f>
        <v/>
      </c>
      <c r="E508" s="11">
        <f>IF($AA508="","",INDEX('Per Line'!$G$2:$G$4001,$AA508))</f>
        <v/>
      </c>
      <c r="F508">
        <f>IF($AA508="","",INDEX('Per Line'!$H$2:$H$4001,$AA508)&amp;"")</f>
        <v/>
      </c>
      <c r="G508">
        <f>IF($AA508="","",INDEX('Per Line'!$I$2:$I$4001,$AA508)&amp;"")</f>
        <v/>
      </c>
      <c r="H508">
        <f>IF($AA508="","",INDEX('Per Line'!$J$2:$J$4001,$AA508)&amp;"")</f>
        <v/>
      </c>
      <c r="I508">
        <f>IF($AA508="","",INDEX('Per Line'!$K$2:$K$4001,$AA508)&amp;"")</f>
        <v/>
      </c>
      <c r="J508">
        <f>IF($AA508="","",INDEX('Per Line'!$L$2:$L$4001,$AA508)&amp;"")</f>
        <v/>
      </c>
      <c r="K508">
        <f>IF($AA508="","",INDEX('Per Line'!$P$2:$P$4001,$AA508))</f>
        <v/>
      </c>
      <c r="L508" s="7">
        <f>IF($AA508="","",IF(AND(ISNUMBER(N508),N508&gt;0,Y508&gt;N508),K508*N508/100+(Y508-N508),K508*Y508/100))</f>
        <v/>
      </c>
      <c r="M508">
        <f>IF($AA508="","",INDEX('Per Line'!$Z$2:$Z$4001,$AA508)&amp;"")</f>
        <v/>
      </c>
      <c r="N508">
        <f>IF($AA508="","",INDEX('Per Line'!$AG$2:$AG$4001,$AA508))</f>
        <v/>
      </c>
      <c r="O508">
        <f>IF($AA508="","",IF(AND(ISNUMBER(N508),N508&gt;0),Y508&gt;N508,FALSE))</f>
        <v/>
      </c>
      <c r="P508" s="7">
        <f>IF($AA508="","",SUMIFS('Per Line'!$Y$2:$Y$4001,'Per Line'!$E$2:$E$4001,$B508,'Per Line'!$AQ$2:$AQ$4001,1))</f>
        <v/>
      </c>
      <c r="Q508">
        <f>IF($AA508="","",Settings!$C$7)</f>
        <v/>
      </c>
      <c r="R508" s="7">
        <f>IF($AA508="","",SUMIFS('Per Line'!$Y$2:$Y$4001,'Per Line'!$E$2:$E$4001,$B508,'Per Line'!$AP$2:$AP$4001,0,'Per Line'!$AQ$2:$AQ$4001,0))</f>
        <v/>
      </c>
      <c r="S508" s="7">
        <f>IF($AA508="","",R508*Q508)</f>
        <v/>
      </c>
      <c r="T508">
        <f>IF($AA508="","",Settings!$C$6)</f>
        <v/>
      </c>
      <c r="U508" s="7">
        <f>IF($AA508="","",SUMIFS('Per Line'!$Y$2:$Y$4001,'Per Line'!$E$2:$E$4001,$B508,'Per Line'!$AP$2:$AP$4001,1,'Per Line'!$AQ$2:$AQ$4001,0))</f>
        <v/>
      </c>
      <c r="V508" s="7">
        <f>IF($AA508="","",U508*T508)</f>
        <v/>
      </c>
      <c r="W508" s="7">
        <f>IF($AA508="","",V508+S508)</f>
        <v/>
      </c>
      <c r="X508" s="7">
        <f>IF($AA508="","",Y508-W508)</f>
        <v/>
      </c>
      <c r="Y508" s="7">
        <f>IF($AA508="","",R508+U508+P508)</f>
        <v/>
      </c>
      <c r="Z508" s="7">
        <f>IF($AA508="","",Y508-W508-L508)</f>
        <v/>
      </c>
      <c r="AA508" s="13">
        <f>IF(ROWS($AA$2:$AA508)&lt;=MAX('Per Line'!$AO$2:$AO$4001),MATCH(ROWS($AA$2:$AA508),'Per Line'!$AO$2:$AO$4001,0),"")</f>
        <v/>
      </c>
      <c r="AB508" s="14">
        <f>IF($AA508="","",L508-K508*Y508/100)</f>
        <v/>
      </c>
    </row>
    <row r="509">
      <c r="A509" s="12" t="n"/>
      <c r="B509">
        <f>IF($AA509="","",INDEX('Per Line'!$E$2:$E$4001,$AA509)&amp;"")</f>
        <v/>
      </c>
      <c r="C509">
        <f>IF($AA509="","",INDEX('Per Line'!$A$2:$A$4001,$AA509)&amp;"")</f>
        <v/>
      </c>
      <c r="D509">
        <f>IF($AA509="","",INDEX('Per Line'!$D$2:$D$4001,$AA509)&amp;"")</f>
        <v/>
      </c>
      <c r="E509" s="11">
        <f>IF($AA509="","",INDEX('Per Line'!$G$2:$G$4001,$AA509))</f>
        <v/>
      </c>
      <c r="F509">
        <f>IF($AA509="","",INDEX('Per Line'!$H$2:$H$4001,$AA509)&amp;"")</f>
        <v/>
      </c>
      <c r="G509">
        <f>IF($AA509="","",INDEX('Per Line'!$I$2:$I$4001,$AA509)&amp;"")</f>
        <v/>
      </c>
      <c r="H509">
        <f>IF($AA509="","",INDEX('Per Line'!$J$2:$J$4001,$AA509)&amp;"")</f>
        <v/>
      </c>
      <c r="I509">
        <f>IF($AA509="","",INDEX('Per Line'!$K$2:$K$4001,$AA509)&amp;"")</f>
        <v/>
      </c>
      <c r="J509">
        <f>IF($AA509="","",INDEX('Per Line'!$L$2:$L$4001,$AA509)&amp;"")</f>
        <v/>
      </c>
      <c r="K509">
        <f>IF($AA509="","",INDEX('Per Line'!$P$2:$P$4001,$AA509))</f>
        <v/>
      </c>
      <c r="L509" s="7">
        <f>IF($AA509="","",IF(AND(ISNUMBER(N509),N509&gt;0,Y509&gt;N509),K509*N509/100+(Y509-N509),K509*Y509/100))</f>
        <v/>
      </c>
      <c r="M509">
        <f>IF($AA509="","",INDEX('Per Line'!$Z$2:$Z$4001,$AA509)&amp;"")</f>
        <v/>
      </c>
      <c r="N509">
        <f>IF($AA509="","",INDEX('Per Line'!$AG$2:$AG$4001,$AA509))</f>
        <v/>
      </c>
      <c r="O509">
        <f>IF($AA509="","",IF(AND(ISNUMBER(N509),N509&gt;0),Y509&gt;N509,FALSE))</f>
        <v/>
      </c>
      <c r="P509" s="7">
        <f>IF($AA509="","",SUMIFS('Per Line'!$Y$2:$Y$4001,'Per Line'!$E$2:$E$4001,$B509,'Per Line'!$AQ$2:$AQ$4001,1))</f>
        <v/>
      </c>
      <c r="Q509">
        <f>IF($AA509="","",Settings!$C$7)</f>
        <v/>
      </c>
      <c r="R509" s="7">
        <f>IF($AA509="","",SUMIFS('Per Line'!$Y$2:$Y$4001,'Per Line'!$E$2:$E$4001,$B509,'Per Line'!$AP$2:$AP$4001,0,'Per Line'!$AQ$2:$AQ$4001,0))</f>
        <v/>
      </c>
      <c r="S509" s="7">
        <f>IF($AA509="","",R509*Q509)</f>
        <v/>
      </c>
      <c r="T509">
        <f>IF($AA509="","",Settings!$C$6)</f>
        <v/>
      </c>
      <c r="U509" s="7">
        <f>IF($AA509="","",SUMIFS('Per Line'!$Y$2:$Y$4001,'Per Line'!$E$2:$E$4001,$B509,'Per Line'!$AP$2:$AP$4001,1,'Per Line'!$AQ$2:$AQ$4001,0))</f>
        <v/>
      </c>
      <c r="V509" s="7">
        <f>IF($AA509="","",U509*T509)</f>
        <v/>
      </c>
      <c r="W509" s="7">
        <f>IF($AA509="","",V509+S509)</f>
        <v/>
      </c>
      <c r="X509" s="7">
        <f>IF($AA509="","",Y509-W509)</f>
        <v/>
      </c>
      <c r="Y509" s="7">
        <f>IF($AA509="","",R509+U509+P509)</f>
        <v/>
      </c>
      <c r="Z509" s="7">
        <f>IF($AA509="","",Y509-W509-L509)</f>
        <v/>
      </c>
      <c r="AA509" s="13">
        <f>IF(ROWS($AA$2:$AA509)&lt;=MAX('Per Line'!$AO$2:$AO$4001),MATCH(ROWS($AA$2:$AA509),'Per Line'!$AO$2:$AO$4001,0),"")</f>
        <v/>
      </c>
      <c r="AB509" s="14">
        <f>IF($AA509="","",L509-K509*Y509/100)</f>
        <v/>
      </c>
    </row>
    <row r="510">
      <c r="A510" s="12" t="n"/>
      <c r="B510">
        <f>IF($AA510="","",INDEX('Per Line'!$E$2:$E$4001,$AA510)&amp;"")</f>
        <v/>
      </c>
      <c r="C510">
        <f>IF($AA510="","",INDEX('Per Line'!$A$2:$A$4001,$AA510)&amp;"")</f>
        <v/>
      </c>
      <c r="D510">
        <f>IF($AA510="","",INDEX('Per Line'!$D$2:$D$4001,$AA510)&amp;"")</f>
        <v/>
      </c>
      <c r="E510" s="11">
        <f>IF($AA510="","",INDEX('Per Line'!$G$2:$G$4001,$AA510))</f>
        <v/>
      </c>
      <c r="F510">
        <f>IF($AA510="","",INDEX('Per Line'!$H$2:$H$4001,$AA510)&amp;"")</f>
        <v/>
      </c>
      <c r="G510">
        <f>IF($AA510="","",INDEX('Per Line'!$I$2:$I$4001,$AA510)&amp;"")</f>
        <v/>
      </c>
      <c r="H510">
        <f>IF($AA510="","",INDEX('Per Line'!$J$2:$J$4001,$AA510)&amp;"")</f>
        <v/>
      </c>
      <c r="I510">
        <f>IF($AA510="","",INDEX('Per Line'!$K$2:$K$4001,$AA510)&amp;"")</f>
        <v/>
      </c>
      <c r="J510">
        <f>IF($AA510="","",INDEX('Per Line'!$L$2:$L$4001,$AA510)&amp;"")</f>
        <v/>
      </c>
      <c r="K510">
        <f>IF($AA510="","",INDEX('Per Line'!$P$2:$P$4001,$AA510))</f>
        <v/>
      </c>
      <c r="L510" s="7">
        <f>IF($AA510="","",IF(AND(ISNUMBER(N510),N510&gt;0,Y510&gt;N510),K510*N510/100+(Y510-N510),K510*Y510/100))</f>
        <v/>
      </c>
      <c r="M510">
        <f>IF($AA510="","",INDEX('Per Line'!$Z$2:$Z$4001,$AA510)&amp;"")</f>
        <v/>
      </c>
      <c r="N510">
        <f>IF($AA510="","",INDEX('Per Line'!$AG$2:$AG$4001,$AA510))</f>
        <v/>
      </c>
      <c r="O510">
        <f>IF($AA510="","",IF(AND(ISNUMBER(N510),N510&gt;0),Y510&gt;N510,FALSE))</f>
        <v/>
      </c>
      <c r="P510" s="7">
        <f>IF($AA510="","",SUMIFS('Per Line'!$Y$2:$Y$4001,'Per Line'!$E$2:$E$4001,$B510,'Per Line'!$AQ$2:$AQ$4001,1))</f>
        <v/>
      </c>
      <c r="Q510">
        <f>IF($AA510="","",Settings!$C$7)</f>
        <v/>
      </c>
      <c r="R510" s="7">
        <f>IF($AA510="","",SUMIFS('Per Line'!$Y$2:$Y$4001,'Per Line'!$E$2:$E$4001,$B510,'Per Line'!$AP$2:$AP$4001,0,'Per Line'!$AQ$2:$AQ$4001,0))</f>
        <v/>
      </c>
      <c r="S510" s="7">
        <f>IF($AA510="","",R510*Q510)</f>
        <v/>
      </c>
      <c r="T510">
        <f>IF($AA510="","",Settings!$C$6)</f>
        <v/>
      </c>
      <c r="U510" s="7">
        <f>IF($AA510="","",SUMIFS('Per Line'!$Y$2:$Y$4001,'Per Line'!$E$2:$E$4001,$B510,'Per Line'!$AP$2:$AP$4001,1,'Per Line'!$AQ$2:$AQ$4001,0))</f>
        <v/>
      </c>
      <c r="V510" s="7">
        <f>IF($AA510="","",U510*T510)</f>
        <v/>
      </c>
      <c r="W510" s="7">
        <f>IF($AA510="","",V510+S510)</f>
        <v/>
      </c>
      <c r="X510" s="7">
        <f>IF($AA510="","",Y510-W510)</f>
        <v/>
      </c>
      <c r="Y510" s="7">
        <f>IF($AA510="","",R510+U510+P510)</f>
        <v/>
      </c>
      <c r="Z510" s="7">
        <f>IF($AA510="","",Y510-W510-L510)</f>
        <v/>
      </c>
      <c r="AA510" s="13">
        <f>IF(ROWS($AA$2:$AA510)&lt;=MAX('Per Line'!$AO$2:$AO$4001),MATCH(ROWS($AA$2:$AA510),'Per Line'!$AO$2:$AO$4001,0),"")</f>
        <v/>
      </c>
      <c r="AB510" s="14">
        <f>IF($AA510="","",L510-K510*Y510/100)</f>
        <v/>
      </c>
    </row>
    <row r="511">
      <c r="A511" s="12" t="n"/>
      <c r="B511">
        <f>IF($AA511="","",INDEX('Per Line'!$E$2:$E$4001,$AA511)&amp;"")</f>
        <v/>
      </c>
      <c r="C511">
        <f>IF($AA511="","",INDEX('Per Line'!$A$2:$A$4001,$AA511)&amp;"")</f>
        <v/>
      </c>
      <c r="D511">
        <f>IF($AA511="","",INDEX('Per Line'!$D$2:$D$4001,$AA511)&amp;"")</f>
        <v/>
      </c>
      <c r="E511" s="11">
        <f>IF($AA511="","",INDEX('Per Line'!$G$2:$G$4001,$AA511))</f>
        <v/>
      </c>
      <c r="F511">
        <f>IF($AA511="","",INDEX('Per Line'!$H$2:$H$4001,$AA511)&amp;"")</f>
        <v/>
      </c>
      <c r="G511">
        <f>IF($AA511="","",INDEX('Per Line'!$I$2:$I$4001,$AA511)&amp;"")</f>
        <v/>
      </c>
      <c r="H511">
        <f>IF($AA511="","",INDEX('Per Line'!$J$2:$J$4001,$AA511)&amp;"")</f>
        <v/>
      </c>
      <c r="I511">
        <f>IF($AA511="","",INDEX('Per Line'!$K$2:$K$4001,$AA511)&amp;"")</f>
        <v/>
      </c>
      <c r="J511">
        <f>IF($AA511="","",INDEX('Per Line'!$L$2:$L$4001,$AA511)&amp;"")</f>
        <v/>
      </c>
      <c r="K511">
        <f>IF($AA511="","",INDEX('Per Line'!$P$2:$P$4001,$AA511))</f>
        <v/>
      </c>
      <c r="L511" s="7">
        <f>IF($AA511="","",IF(AND(ISNUMBER(N511),N511&gt;0,Y511&gt;N511),K511*N511/100+(Y511-N511),K511*Y511/100))</f>
        <v/>
      </c>
      <c r="M511">
        <f>IF($AA511="","",INDEX('Per Line'!$Z$2:$Z$4001,$AA511)&amp;"")</f>
        <v/>
      </c>
      <c r="N511">
        <f>IF($AA511="","",INDEX('Per Line'!$AG$2:$AG$4001,$AA511))</f>
        <v/>
      </c>
      <c r="O511">
        <f>IF($AA511="","",IF(AND(ISNUMBER(N511),N511&gt;0),Y511&gt;N511,FALSE))</f>
        <v/>
      </c>
      <c r="P511" s="7">
        <f>IF($AA511="","",SUMIFS('Per Line'!$Y$2:$Y$4001,'Per Line'!$E$2:$E$4001,$B511,'Per Line'!$AQ$2:$AQ$4001,1))</f>
        <v/>
      </c>
      <c r="Q511">
        <f>IF($AA511="","",Settings!$C$7)</f>
        <v/>
      </c>
      <c r="R511" s="7">
        <f>IF($AA511="","",SUMIFS('Per Line'!$Y$2:$Y$4001,'Per Line'!$E$2:$E$4001,$B511,'Per Line'!$AP$2:$AP$4001,0,'Per Line'!$AQ$2:$AQ$4001,0))</f>
        <v/>
      </c>
      <c r="S511" s="7">
        <f>IF($AA511="","",R511*Q511)</f>
        <v/>
      </c>
      <c r="T511">
        <f>IF($AA511="","",Settings!$C$6)</f>
        <v/>
      </c>
      <c r="U511" s="7">
        <f>IF($AA511="","",SUMIFS('Per Line'!$Y$2:$Y$4001,'Per Line'!$E$2:$E$4001,$B511,'Per Line'!$AP$2:$AP$4001,1,'Per Line'!$AQ$2:$AQ$4001,0))</f>
        <v/>
      </c>
      <c r="V511" s="7">
        <f>IF($AA511="","",U511*T511)</f>
        <v/>
      </c>
      <c r="W511" s="7">
        <f>IF($AA511="","",V511+S511)</f>
        <v/>
      </c>
      <c r="X511" s="7">
        <f>IF($AA511="","",Y511-W511)</f>
        <v/>
      </c>
      <c r="Y511" s="7">
        <f>IF($AA511="","",R511+U511+P511)</f>
        <v/>
      </c>
      <c r="Z511" s="7">
        <f>IF($AA511="","",Y511-W511-L511)</f>
        <v/>
      </c>
      <c r="AA511" s="13">
        <f>IF(ROWS($AA$2:$AA511)&lt;=MAX('Per Line'!$AO$2:$AO$4001),MATCH(ROWS($AA$2:$AA511),'Per Line'!$AO$2:$AO$4001,0),"")</f>
        <v/>
      </c>
      <c r="AB511" s="14">
        <f>IF($AA511="","",L511-K511*Y511/100)</f>
        <v/>
      </c>
    </row>
    <row r="512">
      <c r="A512" s="12" t="n"/>
      <c r="B512">
        <f>IF($AA512="","",INDEX('Per Line'!$E$2:$E$4001,$AA512)&amp;"")</f>
        <v/>
      </c>
      <c r="C512">
        <f>IF($AA512="","",INDEX('Per Line'!$A$2:$A$4001,$AA512)&amp;"")</f>
        <v/>
      </c>
      <c r="D512">
        <f>IF($AA512="","",INDEX('Per Line'!$D$2:$D$4001,$AA512)&amp;"")</f>
        <v/>
      </c>
      <c r="E512" s="11">
        <f>IF($AA512="","",INDEX('Per Line'!$G$2:$G$4001,$AA512))</f>
        <v/>
      </c>
      <c r="F512">
        <f>IF($AA512="","",INDEX('Per Line'!$H$2:$H$4001,$AA512)&amp;"")</f>
        <v/>
      </c>
      <c r="G512">
        <f>IF($AA512="","",INDEX('Per Line'!$I$2:$I$4001,$AA512)&amp;"")</f>
        <v/>
      </c>
      <c r="H512">
        <f>IF($AA512="","",INDEX('Per Line'!$J$2:$J$4001,$AA512)&amp;"")</f>
        <v/>
      </c>
      <c r="I512">
        <f>IF($AA512="","",INDEX('Per Line'!$K$2:$K$4001,$AA512)&amp;"")</f>
        <v/>
      </c>
      <c r="J512">
        <f>IF($AA512="","",INDEX('Per Line'!$L$2:$L$4001,$AA512)&amp;"")</f>
        <v/>
      </c>
      <c r="K512">
        <f>IF($AA512="","",INDEX('Per Line'!$P$2:$P$4001,$AA512))</f>
        <v/>
      </c>
      <c r="L512" s="7">
        <f>IF($AA512="","",IF(AND(ISNUMBER(N512),N512&gt;0,Y512&gt;N512),K512*N512/100+(Y512-N512),K512*Y512/100))</f>
        <v/>
      </c>
      <c r="M512">
        <f>IF($AA512="","",INDEX('Per Line'!$Z$2:$Z$4001,$AA512)&amp;"")</f>
        <v/>
      </c>
      <c r="N512">
        <f>IF($AA512="","",INDEX('Per Line'!$AG$2:$AG$4001,$AA512))</f>
        <v/>
      </c>
      <c r="O512">
        <f>IF($AA512="","",IF(AND(ISNUMBER(N512),N512&gt;0),Y512&gt;N512,FALSE))</f>
        <v/>
      </c>
      <c r="P512" s="7">
        <f>IF($AA512="","",SUMIFS('Per Line'!$Y$2:$Y$4001,'Per Line'!$E$2:$E$4001,$B512,'Per Line'!$AQ$2:$AQ$4001,1))</f>
        <v/>
      </c>
      <c r="Q512">
        <f>IF($AA512="","",Settings!$C$7)</f>
        <v/>
      </c>
      <c r="R512" s="7">
        <f>IF($AA512="","",SUMIFS('Per Line'!$Y$2:$Y$4001,'Per Line'!$E$2:$E$4001,$B512,'Per Line'!$AP$2:$AP$4001,0,'Per Line'!$AQ$2:$AQ$4001,0))</f>
        <v/>
      </c>
      <c r="S512" s="7">
        <f>IF($AA512="","",R512*Q512)</f>
        <v/>
      </c>
      <c r="T512">
        <f>IF($AA512="","",Settings!$C$6)</f>
        <v/>
      </c>
      <c r="U512" s="7">
        <f>IF($AA512="","",SUMIFS('Per Line'!$Y$2:$Y$4001,'Per Line'!$E$2:$E$4001,$B512,'Per Line'!$AP$2:$AP$4001,1,'Per Line'!$AQ$2:$AQ$4001,0))</f>
        <v/>
      </c>
      <c r="V512" s="7">
        <f>IF($AA512="","",U512*T512)</f>
        <v/>
      </c>
      <c r="W512" s="7">
        <f>IF($AA512="","",V512+S512)</f>
        <v/>
      </c>
      <c r="X512" s="7">
        <f>IF($AA512="","",Y512-W512)</f>
        <v/>
      </c>
      <c r="Y512" s="7">
        <f>IF($AA512="","",R512+U512+P512)</f>
        <v/>
      </c>
      <c r="Z512" s="7">
        <f>IF($AA512="","",Y512-W512-L512)</f>
        <v/>
      </c>
      <c r="AA512" s="13">
        <f>IF(ROWS($AA$2:$AA512)&lt;=MAX('Per Line'!$AO$2:$AO$4001),MATCH(ROWS($AA$2:$AA512),'Per Line'!$AO$2:$AO$4001,0),"")</f>
        <v/>
      </c>
      <c r="AB512" s="14">
        <f>IF($AA512="","",L512-K512*Y512/100)</f>
        <v/>
      </c>
    </row>
    <row r="513">
      <c r="A513" s="12" t="n"/>
      <c r="B513">
        <f>IF($AA513="","",INDEX('Per Line'!$E$2:$E$4001,$AA513)&amp;"")</f>
        <v/>
      </c>
      <c r="C513">
        <f>IF($AA513="","",INDEX('Per Line'!$A$2:$A$4001,$AA513)&amp;"")</f>
        <v/>
      </c>
      <c r="D513">
        <f>IF($AA513="","",INDEX('Per Line'!$D$2:$D$4001,$AA513)&amp;"")</f>
        <v/>
      </c>
      <c r="E513" s="11">
        <f>IF($AA513="","",INDEX('Per Line'!$G$2:$G$4001,$AA513))</f>
        <v/>
      </c>
      <c r="F513">
        <f>IF($AA513="","",INDEX('Per Line'!$H$2:$H$4001,$AA513)&amp;"")</f>
        <v/>
      </c>
      <c r="G513">
        <f>IF($AA513="","",INDEX('Per Line'!$I$2:$I$4001,$AA513)&amp;"")</f>
        <v/>
      </c>
      <c r="H513">
        <f>IF($AA513="","",INDEX('Per Line'!$J$2:$J$4001,$AA513)&amp;"")</f>
        <v/>
      </c>
      <c r="I513">
        <f>IF($AA513="","",INDEX('Per Line'!$K$2:$K$4001,$AA513)&amp;"")</f>
        <v/>
      </c>
      <c r="J513">
        <f>IF($AA513="","",INDEX('Per Line'!$L$2:$L$4001,$AA513)&amp;"")</f>
        <v/>
      </c>
      <c r="K513">
        <f>IF($AA513="","",INDEX('Per Line'!$P$2:$P$4001,$AA513))</f>
        <v/>
      </c>
      <c r="L513" s="7">
        <f>IF($AA513="","",IF(AND(ISNUMBER(N513),N513&gt;0,Y513&gt;N513),K513*N513/100+(Y513-N513),K513*Y513/100))</f>
        <v/>
      </c>
      <c r="M513">
        <f>IF($AA513="","",INDEX('Per Line'!$Z$2:$Z$4001,$AA513)&amp;"")</f>
        <v/>
      </c>
      <c r="N513">
        <f>IF($AA513="","",INDEX('Per Line'!$AG$2:$AG$4001,$AA513))</f>
        <v/>
      </c>
      <c r="O513">
        <f>IF($AA513="","",IF(AND(ISNUMBER(N513),N513&gt;0),Y513&gt;N513,FALSE))</f>
        <v/>
      </c>
      <c r="P513" s="7">
        <f>IF($AA513="","",SUMIFS('Per Line'!$Y$2:$Y$4001,'Per Line'!$E$2:$E$4001,$B513,'Per Line'!$AQ$2:$AQ$4001,1))</f>
        <v/>
      </c>
      <c r="Q513">
        <f>IF($AA513="","",Settings!$C$7)</f>
        <v/>
      </c>
      <c r="R513" s="7">
        <f>IF($AA513="","",SUMIFS('Per Line'!$Y$2:$Y$4001,'Per Line'!$E$2:$E$4001,$B513,'Per Line'!$AP$2:$AP$4001,0,'Per Line'!$AQ$2:$AQ$4001,0))</f>
        <v/>
      </c>
      <c r="S513" s="7">
        <f>IF($AA513="","",R513*Q513)</f>
        <v/>
      </c>
      <c r="T513">
        <f>IF($AA513="","",Settings!$C$6)</f>
        <v/>
      </c>
      <c r="U513" s="7">
        <f>IF($AA513="","",SUMIFS('Per Line'!$Y$2:$Y$4001,'Per Line'!$E$2:$E$4001,$B513,'Per Line'!$AP$2:$AP$4001,1,'Per Line'!$AQ$2:$AQ$4001,0))</f>
        <v/>
      </c>
      <c r="V513" s="7">
        <f>IF($AA513="","",U513*T513)</f>
        <v/>
      </c>
      <c r="W513" s="7">
        <f>IF($AA513="","",V513+S513)</f>
        <v/>
      </c>
      <c r="X513" s="7">
        <f>IF($AA513="","",Y513-W513)</f>
        <v/>
      </c>
      <c r="Y513" s="7">
        <f>IF($AA513="","",R513+U513+P513)</f>
        <v/>
      </c>
      <c r="Z513" s="7">
        <f>IF($AA513="","",Y513-W513-L513)</f>
        <v/>
      </c>
      <c r="AA513" s="13">
        <f>IF(ROWS($AA$2:$AA513)&lt;=MAX('Per Line'!$AO$2:$AO$4001),MATCH(ROWS($AA$2:$AA513),'Per Line'!$AO$2:$AO$4001,0),"")</f>
        <v/>
      </c>
      <c r="AB513" s="14">
        <f>IF($AA513="","",L513-K513*Y513/100)</f>
        <v/>
      </c>
    </row>
    <row r="514">
      <c r="A514" s="12" t="n"/>
      <c r="B514">
        <f>IF($AA514="","",INDEX('Per Line'!$E$2:$E$4001,$AA514)&amp;"")</f>
        <v/>
      </c>
      <c r="C514">
        <f>IF($AA514="","",INDEX('Per Line'!$A$2:$A$4001,$AA514)&amp;"")</f>
        <v/>
      </c>
      <c r="D514">
        <f>IF($AA514="","",INDEX('Per Line'!$D$2:$D$4001,$AA514)&amp;"")</f>
        <v/>
      </c>
      <c r="E514" s="11">
        <f>IF($AA514="","",INDEX('Per Line'!$G$2:$G$4001,$AA514))</f>
        <v/>
      </c>
      <c r="F514">
        <f>IF($AA514="","",INDEX('Per Line'!$H$2:$H$4001,$AA514)&amp;"")</f>
        <v/>
      </c>
      <c r="G514">
        <f>IF($AA514="","",INDEX('Per Line'!$I$2:$I$4001,$AA514)&amp;"")</f>
        <v/>
      </c>
      <c r="H514">
        <f>IF($AA514="","",INDEX('Per Line'!$J$2:$J$4001,$AA514)&amp;"")</f>
        <v/>
      </c>
      <c r="I514">
        <f>IF($AA514="","",INDEX('Per Line'!$K$2:$K$4001,$AA514)&amp;"")</f>
        <v/>
      </c>
      <c r="J514">
        <f>IF($AA514="","",INDEX('Per Line'!$L$2:$L$4001,$AA514)&amp;"")</f>
        <v/>
      </c>
      <c r="K514">
        <f>IF($AA514="","",INDEX('Per Line'!$P$2:$P$4001,$AA514))</f>
        <v/>
      </c>
      <c r="L514" s="7">
        <f>IF($AA514="","",IF(AND(ISNUMBER(N514),N514&gt;0,Y514&gt;N514),K514*N514/100+(Y514-N514),K514*Y514/100))</f>
        <v/>
      </c>
      <c r="M514">
        <f>IF($AA514="","",INDEX('Per Line'!$Z$2:$Z$4001,$AA514)&amp;"")</f>
        <v/>
      </c>
      <c r="N514">
        <f>IF($AA514="","",INDEX('Per Line'!$AG$2:$AG$4001,$AA514))</f>
        <v/>
      </c>
      <c r="O514">
        <f>IF($AA514="","",IF(AND(ISNUMBER(N514),N514&gt;0),Y514&gt;N514,FALSE))</f>
        <v/>
      </c>
      <c r="P514" s="7">
        <f>IF($AA514="","",SUMIFS('Per Line'!$Y$2:$Y$4001,'Per Line'!$E$2:$E$4001,$B514,'Per Line'!$AQ$2:$AQ$4001,1))</f>
        <v/>
      </c>
      <c r="Q514">
        <f>IF($AA514="","",Settings!$C$7)</f>
        <v/>
      </c>
      <c r="R514" s="7">
        <f>IF($AA514="","",SUMIFS('Per Line'!$Y$2:$Y$4001,'Per Line'!$E$2:$E$4001,$B514,'Per Line'!$AP$2:$AP$4001,0,'Per Line'!$AQ$2:$AQ$4001,0))</f>
        <v/>
      </c>
      <c r="S514" s="7">
        <f>IF($AA514="","",R514*Q514)</f>
        <v/>
      </c>
      <c r="T514">
        <f>IF($AA514="","",Settings!$C$6)</f>
        <v/>
      </c>
      <c r="U514" s="7">
        <f>IF($AA514="","",SUMIFS('Per Line'!$Y$2:$Y$4001,'Per Line'!$E$2:$E$4001,$B514,'Per Line'!$AP$2:$AP$4001,1,'Per Line'!$AQ$2:$AQ$4001,0))</f>
        <v/>
      </c>
      <c r="V514" s="7">
        <f>IF($AA514="","",U514*T514)</f>
        <v/>
      </c>
      <c r="W514" s="7">
        <f>IF($AA514="","",V514+S514)</f>
        <v/>
      </c>
      <c r="X514" s="7">
        <f>IF($AA514="","",Y514-W514)</f>
        <v/>
      </c>
      <c r="Y514" s="7">
        <f>IF($AA514="","",R514+U514+P514)</f>
        <v/>
      </c>
      <c r="Z514" s="7">
        <f>IF($AA514="","",Y514-W514-L514)</f>
        <v/>
      </c>
      <c r="AA514" s="13">
        <f>IF(ROWS($AA$2:$AA514)&lt;=MAX('Per Line'!$AO$2:$AO$4001),MATCH(ROWS($AA$2:$AA514),'Per Line'!$AO$2:$AO$4001,0),"")</f>
        <v/>
      </c>
      <c r="AB514" s="14">
        <f>IF($AA514="","",L514-K514*Y514/100)</f>
        <v/>
      </c>
    </row>
    <row r="515">
      <c r="A515" s="12" t="n"/>
      <c r="B515">
        <f>IF($AA515="","",INDEX('Per Line'!$E$2:$E$4001,$AA515)&amp;"")</f>
        <v/>
      </c>
      <c r="C515">
        <f>IF($AA515="","",INDEX('Per Line'!$A$2:$A$4001,$AA515)&amp;"")</f>
        <v/>
      </c>
      <c r="D515">
        <f>IF($AA515="","",INDEX('Per Line'!$D$2:$D$4001,$AA515)&amp;"")</f>
        <v/>
      </c>
      <c r="E515" s="11">
        <f>IF($AA515="","",INDEX('Per Line'!$G$2:$G$4001,$AA515))</f>
        <v/>
      </c>
      <c r="F515">
        <f>IF($AA515="","",INDEX('Per Line'!$H$2:$H$4001,$AA515)&amp;"")</f>
        <v/>
      </c>
      <c r="G515">
        <f>IF($AA515="","",INDEX('Per Line'!$I$2:$I$4001,$AA515)&amp;"")</f>
        <v/>
      </c>
      <c r="H515">
        <f>IF($AA515="","",INDEX('Per Line'!$J$2:$J$4001,$AA515)&amp;"")</f>
        <v/>
      </c>
      <c r="I515">
        <f>IF($AA515="","",INDEX('Per Line'!$K$2:$K$4001,$AA515)&amp;"")</f>
        <v/>
      </c>
      <c r="J515">
        <f>IF($AA515="","",INDEX('Per Line'!$L$2:$L$4001,$AA515)&amp;"")</f>
        <v/>
      </c>
      <c r="K515">
        <f>IF($AA515="","",INDEX('Per Line'!$P$2:$P$4001,$AA515))</f>
        <v/>
      </c>
      <c r="L515" s="7">
        <f>IF($AA515="","",IF(AND(ISNUMBER(N515),N515&gt;0,Y515&gt;N515),K515*N515/100+(Y515-N515),K515*Y515/100))</f>
        <v/>
      </c>
      <c r="M515">
        <f>IF($AA515="","",INDEX('Per Line'!$Z$2:$Z$4001,$AA515)&amp;"")</f>
        <v/>
      </c>
      <c r="N515">
        <f>IF($AA515="","",INDEX('Per Line'!$AG$2:$AG$4001,$AA515))</f>
        <v/>
      </c>
      <c r="O515">
        <f>IF($AA515="","",IF(AND(ISNUMBER(N515),N515&gt;0),Y515&gt;N515,FALSE))</f>
        <v/>
      </c>
      <c r="P515" s="7">
        <f>IF($AA515="","",SUMIFS('Per Line'!$Y$2:$Y$4001,'Per Line'!$E$2:$E$4001,$B515,'Per Line'!$AQ$2:$AQ$4001,1))</f>
        <v/>
      </c>
      <c r="Q515">
        <f>IF($AA515="","",Settings!$C$7)</f>
        <v/>
      </c>
      <c r="R515" s="7">
        <f>IF($AA515="","",SUMIFS('Per Line'!$Y$2:$Y$4001,'Per Line'!$E$2:$E$4001,$B515,'Per Line'!$AP$2:$AP$4001,0,'Per Line'!$AQ$2:$AQ$4001,0))</f>
        <v/>
      </c>
      <c r="S515" s="7">
        <f>IF($AA515="","",R515*Q515)</f>
        <v/>
      </c>
      <c r="T515">
        <f>IF($AA515="","",Settings!$C$6)</f>
        <v/>
      </c>
      <c r="U515" s="7">
        <f>IF($AA515="","",SUMIFS('Per Line'!$Y$2:$Y$4001,'Per Line'!$E$2:$E$4001,$B515,'Per Line'!$AP$2:$AP$4001,1,'Per Line'!$AQ$2:$AQ$4001,0))</f>
        <v/>
      </c>
      <c r="V515" s="7">
        <f>IF($AA515="","",U515*T515)</f>
        <v/>
      </c>
      <c r="W515" s="7">
        <f>IF($AA515="","",V515+S515)</f>
        <v/>
      </c>
      <c r="X515" s="7">
        <f>IF($AA515="","",Y515-W515)</f>
        <v/>
      </c>
      <c r="Y515" s="7">
        <f>IF($AA515="","",R515+U515+P515)</f>
        <v/>
      </c>
      <c r="Z515" s="7">
        <f>IF($AA515="","",Y515-W515-L515)</f>
        <v/>
      </c>
      <c r="AA515" s="13">
        <f>IF(ROWS($AA$2:$AA515)&lt;=MAX('Per Line'!$AO$2:$AO$4001),MATCH(ROWS($AA$2:$AA515),'Per Line'!$AO$2:$AO$4001,0),"")</f>
        <v/>
      </c>
      <c r="AB515" s="14">
        <f>IF($AA515="","",L515-K515*Y515/100)</f>
        <v/>
      </c>
    </row>
    <row r="516">
      <c r="A516" s="12" t="n"/>
      <c r="B516">
        <f>IF($AA516="","",INDEX('Per Line'!$E$2:$E$4001,$AA516)&amp;"")</f>
        <v/>
      </c>
      <c r="C516">
        <f>IF($AA516="","",INDEX('Per Line'!$A$2:$A$4001,$AA516)&amp;"")</f>
        <v/>
      </c>
      <c r="D516">
        <f>IF($AA516="","",INDEX('Per Line'!$D$2:$D$4001,$AA516)&amp;"")</f>
        <v/>
      </c>
      <c r="E516" s="11">
        <f>IF($AA516="","",INDEX('Per Line'!$G$2:$G$4001,$AA516))</f>
        <v/>
      </c>
      <c r="F516">
        <f>IF($AA516="","",INDEX('Per Line'!$H$2:$H$4001,$AA516)&amp;"")</f>
        <v/>
      </c>
      <c r="G516">
        <f>IF($AA516="","",INDEX('Per Line'!$I$2:$I$4001,$AA516)&amp;"")</f>
        <v/>
      </c>
      <c r="H516">
        <f>IF($AA516="","",INDEX('Per Line'!$J$2:$J$4001,$AA516)&amp;"")</f>
        <v/>
      </c>
      <c r="I516">
        <f>IF($AA516="","",INDEX('Per Line'!$K$2:$K$4001,$AA516)&amp;"")</f>
        <v/>
      </c>
      <c r="J516">
        <f>IF($AA516="","",INDEX('Per Line'!$L$2:$L$4001,$AA516)&amp;"")</f>
        <v/>
      </c>
      <c r="K516">
        <f>IF($AA516="","",INDEX('Per Line'!$P$2:$P$4001,$AA516))</f>
        <v/>
      </c>
      <c r="L516" s="7">
        <f>IF($AA516="","",IF(AND(ISNUMBER(N516),N516&gt;0,Y516&gt;N516),K516*N516/100+(Y516-N516),K516*Y516/100))</f>
        <v/>
      </c>
      <c r="M516">
        <f>IF($AA516="","",INDEX('Per Line'!$Z$2:$Z$4001,$AA516)&amp;"")</f>
        <v/>
      </c>
      <c r="N516">
        <f>IF($AA516="","",INDEX('Per Line'!$AG$2:$AG$4001,$AA516))</f>
        <v/>
      </c>
      <c r="O516">
        <f>IF($AA516="","",IF(AND(ISNUMBER(N516),N516&gt;0),Y516&gt;N516,FALSE))</f>
        <v/>
      </c>
      <c r="P516" s="7">
        <f>IF($AA516="","",SUMIFS('Per Line'!$Y$2:$Y$4001,'Per Line'!$E$2:$E$4001,$B516,'Per Line'!$AQ$2:$AQ$4001,1))</f>
        <v/>
      </c>
      <c r="Q516">
        <f>IF($AA516="","",Settings!$C$7)</f>
        <v/>
      </c>
      <c r="R516" s="7">
        <f>IF($AA516="","",SUMIFS('Per Line'!$Y$2:$Y$4001,'Per Line'!$E$2:$E$4001,$B516,'Per Line'!$AP$2:$AP$4001,0,'Per Line'!$AQ$2:$AQ$4001,0))</f>
        <v/>
      </c>
      <c r="S516" s="7">
        <f>IF($AA516="","",R516*Q516)</f>
        <v/>
      </c>
      <c r="T516">
        <f>IF($AA516="","",Settings!$C$6)</f>
        <v/>
      </c>
      <c r="U516" s="7">
        <f>IF($AA516="","",SUMIFS('Per Line'!$Y$2:$Y$4001,'Per Line'!$E$2:$E$4001,$B516,'Per Line'!$AP$2:$AP$4001,1,'Per Line'!$AQ$2:$AQ$4001,0))</f>
        <v/>
      </c>
      <c r="V516" s="7">
        <f>IF($AA516="","",U516*T516)</f>
        <v/>
      </c>
      <c r="W516" s="7">
        <f>IF($AA516="","",V516+S516)</f>
        <v/>
      </c>
      <c r="X516" s="7">
        <f>IF($AA516="","",Y516-W516)</f>
        <v/>
      </c>
      <c r="Y516" s="7">
        <f>IF($AA516="","",R516+U516+P516)</f>
        <v/>
      </c>
      <c r="Z516" s="7">
        <f>IF($AA516="","",Y516-W516-L516)</f>
        <v/>
      </c>
      <c r="AA516" s="13">
        <f>IF(ROWS($AA$2:$AA516)&lt;=MAX('Per Line'!$AO$2:$AO$4001),MATCH(ROWS($AA$2:$AA516),'Per Line'!$AO$2:$AO$4001,0),"")</f>
        <v/>
      </c>
      <c r="AB516" s="14">
        <f>IF($AA516="","",L516-K516*Y516/100)</f>
        <v/>
      </c>
    </row>
    <row r="517">
      <c r="A517" s="12" t="n"/>
      <c r="B517">
        <f>IF($AA517="","",INDEX('Per Line'!$E$2:$E$4001,$AA517)&amp;"")</f>
        <v/>
      </c>
      <c r="C517">
        <f>IF($AA517="","",INDEX('Per Line'!$A$2:$A$4001,$AA517)&amp;"")</f>
        <v/>
      </c>
      <c r="D517">
        <f>IF($AA517="","",INDEX('Per Line'!$D$2:$D$4001,$AA517)&amp;"")</f>
        <v/>
      </c>
      <c r="E517" s="11">
        <f>IF($AA517="","",INDEX('Per Line'!$G$2:$G$4001,$AA517))</f>
        <v/>
      </c>
      <c r="F517">
        <f>IF($AA517="","",INDEX('Per Line'!$H$2:$H$4001,$AA517)&amp;"")</f>
        <v/>
      </c>
      <c r="G517">
        <f>IF($AA517="","",INDEX('Per Line'!$I$2:$I$4001,$AA517)&amp;"")</f>
        <v/>
      </c>
      <c r="H517">
        <f>IF($AA517="","",INDEX('Per Line'!$J$2:$J$4001,$AA517)&amp;"")</f>
        <v/>
      </c>
      <c r="I517">
        <f>IF($AA517="","",INDEX('Per Line'!$K$2:$K$4001,$AA517)&amp;"")</f>
        <v/>
      </c>
      <c r="J517">
        <f>IF($AA517="","",INDEX('Per Line'!$L$2:$L$4001,$AA517)&amp;"")</f>
        <v/>
      </c>
      <c r="K517">
        <f>IF($AA517="","",INDEX('Per Line'!$P$2:$P$4001,$AA517))</f>
        <v/>
      </c>
      <c r="L517" s="7">
        <f>IF($AA517="","",IF(AND(ISNUMBER(N517),N517&gt;0,Y517&gt;N517),K517*N517/100+(Y517-N517),K517*Y517/100))</f>
        <v/>
      </c>
      <c r="M517">
        <f>IF($AA517="","",INDEX('Per Line'!$Z$2:$Z$4001,$AA517)&amp;"")</f>
        <v/>
      </c>
      <c r="N517">
        <f>IF($AA517="","",INDEX('Per Line'!$AG$2:$AG$4001,$AA517))</f>
        <v/>
      </c>
      <c r="O517">
        <f>IF($AA517="","",IF(AND(ISNUMBER(N517),N517&gt;0),Y517&gt;N517,FALSE))</f>
        <v/>
      </c>
      <c r="P517" s="7">
        <f>IF($AA517="","",SUMIFS('Per Line'!$Y$2:$Y$4001,'Per Line'!$E$2:$E$4001,$B517,'Per Line'!$AQ$2:$AQ$4001,1))</f>
        <v/>
      </c>
      <c r="Q517">
        <f>IF($AA517="","",Settings!$C$7)</f>
        <v/>
      </c>
      <c r="R517" s="7">
        <f>IF($AA517="","",SUMIFS('Per Line'!$Y$2:$Y$4001,'Per Line'!$E$2:$E$4001,$B517,'Per Line'!$AP$2:$AP$4001,0,'Per Line'!$AQ$2:$AQ$4001,0))</f>
        <v/>
      </c>
      <c r="S517" s="7">
        <f>IF($AA517="","",R517*Q517)</f>
        <v/>
      </c>
      <c r="T517">
        <f>IF($AA517="","",Settings!$C$6)</f>
        <v/>
      </c>
      <c r="U517" s="7">
        <f>IF($AA517="","",SUMIFS('Per Line'!$Y$2:$Y$4001,'Per Line'!$E$2:$E$4001,$B517,'Per Line'!$AP$2:$AP$4001,1,'Per Line'!$AQ$2:$AQ$4001,0))</f>
        <v/>
      </c>
      <c r="V517" s="7">
        <f>IF($AA517="","",U517*T517)</f>
        <v/>
      </c>
      <c r="W517" s="7">
        <f>IF($AA517="","",V517+S517)</f>
        <v/>
      </c>
      <c r="X517" s="7">
        <f>IF($AA517="","",Y517-W517)</f>
        <v/>
      </c>
      <c r="Y517" s="7">
        <f>IF($AA517="","",R517+U517+P517)</f>
        <v/>
      </c>
      <c r="Z517" s="7">
        <f>IF($AA517="","",Y517-W517-L517)</f>
        <v/>
      </c>
      <c r="AA517" s="13">
        <f>IF(ROWS($AA$2:$AA517)&lt;=MAX('Per Line'!$AO$2:$AO$4001),MATCH(ROWS($AA$2:$AA517),'Per Line'!$AO$2:$AO$4001,0),"")</f>
        <v/>
      </c>
      <c r="AB517" s="14">
        <f>IF($AA517="","",L517-K517*Y517/100)</f>
        <v/>
      </c>
    </row>
    <row r="518">
      <c r="A518" s="12" t="n"/>
      <c r="B518">
        <f>IF($AA518="","",INDEX('Per Line'!$E$2:$E$4001,$AA518)&amp;"")</f>
        <v/>
      </c>
      <c r="C518">
        <f>IF($AA518="","",INDEX('Per Line'!$A$2:$A$4001,$AA518)&amp;"")</f>
        <v/>
      </c>
      <c r="D518">
        <f>IF($AA518="","",INDEX('Per Line'!$D$2:$D$4001,$AA518)&amp;"")</f>
        <v/>
      </c>
      <c r="E518" s="11">
        <f>IF($AA518="","",INDEX('Per Line'!$G$2:$G$4001,$AA518))</f>
        <v/>
      </c>
      <c r="F518">
        <f>IF($AA518="","",INDEX('Per Line'!$H$2:$H$4001,$AA518)&amp;"")</f>
        <v/>
      </c>
      <c r="G518">
        <f>IF($AA518="","",INDEX('Per Line'!$I$2:$I$4001,$AA518)&amp;"")</f>
        <v/>
      </c>
      <c r="H518">
        <f>IF($AA518="","",INDEX('Per Line'!$J$2:$J$4001,$AA518)&amp;"")</f>
        <v/>
      </c>
      <c r="I518">
        <f>IF($AA518="","",INDEX('Per Line'!$K$2:$K$4001,$AA518)&amp;"")</f>
        <v/>
      </c>
      <c r="J518">
        <f>IF($AA518="","",INDEX('Per Line'!$L$2:$L$4001,$AA518)&amp;"")</f>
        <v/>
      </c>
      <c r="K518">
        <f>IF($AA518="","",INDEX('Per Line'!$P$2:$P$4001,$AA518))</f>
        <v/>
      </c>
      <c r="L518" s="7">
        <f>IF($AA518="","",IF(AND(ISNUMBER(N518),N518&gt;0,Y518&gt;N518),K518*N518/100+(Y518-N518),K518*Y518/100))</f>
        <v/>
      </c>
      <c r="M518">
        <f>IF($AA518="","",INDEX('Per Line'!$Z$2:$Z$4001,$AA518)&amp;"")</f>
        <v/>
      </c>
      <c r="N518">
        <f>IF($AA518="","",INDEX('Per Line'!$AG$2:$AG$4001,$AA518))</f>
        <v/>
      </c>
      <c r="O518">
        <f>IF($AA518="","",IF(AND(ISNUMBER(N518),N518&gt;0),Y518&gt;N518,FALSE))</f>
        <v/>
      </c>
      <c r="P518" s="7">
        <f>IF($AA518="","",SUMIFS('Per Line'!$Y$2:$Y$4001,'Per Line'!$E$2:$E$4001,$B518,'Per Line'!$AQ$2:$AQ$4001,1))</f>
        <v/>
      </c>
      <c r="Q518">
        <f>IF($AA518="","",Settings!$C$7)</f>
        <v/>
      </c>
      <c r="R518" s="7">
        <f>IF($AA518="","",SUMIFS('Per Line'!$Y$2:$Y$4001,'Per Line'!$E$2:$E$4001,$B518,'Per Line'!$AP$2:$AP$4001,0,'Per Line'!$AQ$2:$AQ$4001,0))</f>
        <v/>
      </c>
      <c r="S518" s="7">
        <f>IF($AA518="","",R518*Q518)</f>
        <v/>
      </c>
      <c r="T518">
        <f>IF($AA518="","",Settings!$C$6)</f>
        <v/>
      </c>
      <c r="U518" s="7">
        <f>IF($AA518="","",SUMIFS('Per Line'!$Y$2:$Y$4001,'Per Line'!$E$2:$E$4001,$B518,'Per Line'!$AP$2:$AP$4001,1,'Per Line'!$AQ$2:$AQ$4001,0))</f>
        <v/>
      </c>
      <c r="V518" s="7">
        <f>IF($AA518="","",U518*T518)</f>
        <v/>
      </c>
      <c r="W518" s="7">
        <f>IF($AA518="","",V518+S518)</f>
        <v/>
      </c>
      <c r="X518" s="7">
        <f>IF($AA518="","",Y518-W518)</f>
        <v/>
      </c>
      <c r="Y518" s="7">
        <f>IF($AA518="","",R518+U518+P518)</f>
        <v/>
      </c>
      <c r="Z518" s="7">
        <f>IF($AA518="","",Y518-W518-L518)</f>
        <v/>
      </c>
      <c r="AA518" s="13">
        <f>IF(ROWS($AA$2:$AA518)&lt;=MAX('Per Line'!$AO$2:$AO$4001),MATCH(ROWS($AA$2:$AA518),'Per Line'!$AO$2:$AO$4001,0),"")</f>
        <v/>
      </c>
      <c r="AB518" s="14">
        <f>IF($AA518="","",L518-K518*Y518/100)</f>
        <v/>
      </c>
    </row>
    <row r="519">
      <c r="A519" s="12" t="n"/>
      <c r="B519">
        <f>IF($AA519="","",INDEX('Per Line'!$E$2:$E$4001,$AA519)&amp;"")</f>
        <v/>
      </c>
      <c r="C519">
        <f>IF($AA519="","",INDEX('Per Line'!$A$2:$A$4001,$AA519)&amp;"")</f>
        <v/>
      </c>
      <c r="D519">
        <f>IF($AA519="","",INDEX('Per Line'!$D$2:$D$4001,$AA519)&amp;"")</f>
        <v/>
      </c>
      <c r="E519" s="11">
        <f>IF($AA519="","",INDEX('Per Line'!$G$2:$G$4001,$AA519))</f>
        <v/>
      </c>
      <c r="F519">
        <f>IF($AA519="","",INDEX('Per Line'!$H$2:$H$4001,$AA519)&amp;"")</f>
        <v/>
      </c>
      <c r="G519">
        <f>IF($AA519="","",INDEX('Per Line'!$I$2:$I$4001,$AA519)&amp;"")</f>
        <v/>
      </c>
      <c r="H519">
        <f>IF($AA519="","",INDEX('Per Line'!$J$2:$J$4001,$AA519)&amp;"")</f>
        <v/>
      </c>
      <c r="I519">
        <f>IF($AA519="","",INDEX('Per Line'!$K$2:$K$4001,$AA519)&amp;"")</f>
        <v/>
      </c>
      <c r="J519">
        <f>IF($AA519="","",INDEX('Per Line'!$L$2:$L$4001,$AA519)&amp;"")</f>
        <v/>
      </c>
      <c r="K519">
        <f>IF($AA519="","",INDEX('Per Line'!$P$2:$P$4001,$AA519))</f>
        <v/>
      </c>
      <c r="L519" s="7">
        <f>IF($AA519="","",IF(AND(ISNUMBER(N519),N519&gt;0,Y519&gt;N519),K519*N519/100+(Y519-N519),K519*Y519/100))</f>
        <v/>
      </c>
      <c r="M519">
        <f>IF($AA519="","",INDEX('Per Line'!$Z$2:$Z$4001,$AA519)&amp;"")</f>
        <v/>
      </c>
      <c r="N519">
        <f>IF($AA519="","",INDEX('Per Line'!$AG$2:$AG$4001,$AA519))</f>
        <v/>
      </c>
      <c r="O519">
        <f>IF($AA519="","",IF(AND(ISNUMBER(N519),N519&gt;0),Y519&gt;N519,FALSE))</f>
        <v/>
      </c>
      <c r="P519" s="7">
        <f>IF($AA519="","",SUMIFS('Per Line'!$Y$2:$Y$4001,'Per Line'!$E$2:$E$4001,$B519,'Per Line'!$AQ$2:$AQ$4001,1))</f>
        <v/>
      </c>
      <c r="Q519">
        <f>IF($AA519="","",Settings!$C$7)</f>
        <v/>
      </c>
      <c r="R519" s="7">
        <f>IF($AA519="","",SUMIFS('Per Line'!$Y$2:$Y$4001,'Per Line'!$E$2:$E$4001,$B519,'Per Line'!$AP$2:$AP$4001,0,'Per Line'!$AQ$2:$AQ$4001,0))</f>
        <v/>
      </c>
      <c r="S519" s="7">
        <f>IF($AA519="","",R519*Q519)</f>
        <v/>
      </c>
      <c r="T519">
        <f>IF($AA519="","",Settings!$C$6)</f>
        <v/>
      </c>
      <c r="U519" s="7">
        <f>IF($AA519="","",SUMIFS('Per Line'!$Y$2:$Y$4001,'Per Line'!$E$2:$E$4001,$B519,'Per Line'!$AP$2:$AP$4001,1,'Per Line'!$AQ$2:$AQ$4001,0))</f>
        <v/>
      </c>
      <c r="V519" s="7">
        <f>IF($AA519="","",U519*T519)</f>
        <v/>
      </c>
      <c r="W519" s="7">
        <f>IF($AA519="","",V519+S519)</f>
        <v/>
      </c>
      <c r="X519" s="7">
        <f>IF($AA519="","",Y519-W519)</f>
        <v/>
      </c>
      <c r="Y519" s="7">
        <f>IF($AA519="","",R519+U519+P519)</f>
        <v/>
      </c>
      <c r="Z519" s="7">
        <f>IF($AA519="","",Y519-W519-L519)</f>
        <v/>
      </c>
      <c r="AA519" s="13">
        <f>IF(ROWS($AA$2:$AA519)&lt;=MAX('Per Line'!$AO$2:$AO$4001),MATCH(ROWS($AA$2:$AA519),'Per Line'!$AO$2:$AO$4001,0),"")</f>
        <v/>
      </c>
      <c r="AB519" s="14">
        <f>IF($AA519="","",L519-K519*Y519/100)</f>
        <v/>
      </c>
    </row>
    <row r="520">
      <c r="A520" s="12" t="n"/>
      <c r="B520">
        <f>IF($AA520="","",INDEX('Per Line'!$E$2:$E$4001,$AA520)&amp;"")</f>
        <v/>
      </c>
      <c r="C520">
        <f>IF($AA520="","",INDEX('Per Line'!$A$2:$A$4001,$AA520)&amp;"")</f>
        <v/>
      </c>
      <c r="D520">
        <f>IF($AA520="","",INDEX('Per Line'!$D$2:$D$4001,$AA520)&amp;"")</f>
        <v/>
      </c>
      <c r="E520" s="11">
        <f>IF($AA520="","",INDEX('Per Line'!$G$2:$G$4001,$AA520))</f>
        <v/>
      </c>
      <c r="F520">
        <f>IF($AA520="","",INDEX('Per Line'!$H$2:$H$4001,$AA520)&amp;"")</f>
        <v/>
      </c>
      <c r="G520">
        <f>IF($AA520="","",INDEX('Per Line'!$I$2:$I$4001,$AA520)&amp;"")</f>
        <v/>
      </c>
      <c r="H520">
        <f>IF($AA520="","",INDEX('Per Line'!$J$2:$J$4001,$AA520)&amp;"")</f>
        <v/>
      </c>
      <c r="I520">
        <f>IF($AA520="","",INDEX('Per Line'!$K$2:$K$4001,$AA520)&amp;"")</f>
        <v/>
      </c>
      <c r="J520">
        <f>IF($AA520="","",INDEX('Per Line'!$L$2:$L$4001,$AA520)&amp;"")</f>
        <v/>
      </c>
      <c r="K520">
        <f>IF($AA520="","",INDEX('Per Line'!$P$2:$P$4001,$AA520))</f>
        <v/>
      </c>
      <c r="L520" s="7">
        <f>IF($AA520="","",IF(AND(ISNUMBER(N520),N520&gt;0,Y520&gt;N520),K520*N520/100+(Y520-N520),K520*Y520/100))</f>
        <v/>
      </c>
      <c r="M520">
        <f>IF($AA520="","",INDEX('Per Line'!$Z$2:$Z$4001,$AA520)&amp;"")</f>
        <v/>
      </c>
      <c r="N520">
        <f>IF($AA520="","",INDEX('Per Line'!$AG$2:$AG$4001,$AA520))</f>
        <v/>
      </c>
      <c r="O520">
        <f>IF($AA520="","",IF(AND(ISNUMBER(N520),N520&gt;0),Y520&gt;N520,FALSE))</f>
        <v/>
      </c>
      <c r="P520" s="7">
        <f>IF($AA520="","",SUMIFS('Per Line'!$Y$2:$Y$4001,'Per Line'!$E$2:$E$4001,$B520,'Per Line'!$AQ$2:$AQ$4001,1))</f>
        <v/>
      </c>
      <c r="Q520">
        <f>IF($AA520="","",Settings!$C$7)</f>
        <v/>
      </c>
      <c r="R520" s="7">
        <f>IF($AA520="","",SUMIFS('Per Line'!$Y$2:$Y$4001,'Per Line'!$E$2:$E$4001,$B520,'Per Line'!$AP$2:$AP$4001,0,'Per Line'!$AQ$2:$AQ$4001,0))</f>
        <v/>
      </c>
      <c r="S520" s="7">
        <f>IF($AA520="","",R520*Q520)</f>
        <v/>
      </c>
      <c r="T520">
        <f>IF($AA520="","",Settings!$C$6)</f>
        <v/>
      </c>
      <c r="U520" s="7">
        <f>IF($AA520="","",SUMIFS('Per Line'!$Y$2:$Y$4001,'Per Line'!$E$2:$E$4001,$B520,'Per Line'!$AP$2:$AP$4001,1,'Per Line'!$AQ$2:$AQ$4001,0))</f>
        <v/>
      </c>
      <c r="V520" s="7">
        <f>IF($AA520="","",U520*T520)</f>
        <v/>
      </c>
      <c r="W520" s="7">
        <f>IF($AA520="","",V520+S520)</f>
        <v/>
      </c>
      <c r="X520" s="7">
        <f>IF($AA520="","",Y520-W520)</f>
        <v/>
      </c>
      <c r="Y520" s="7">
        <f>IF($AA520="","",R520+U520+P520)</f>
        <v/>
      </c>
      <c r="Z520" s="7">
        <f>IF($AA520="","",Y520-W520-L520)</f>
        <v/>
      </c>
      <c r="AA520" s="13">
        <f>IF(ROWS($AA$2:$AA520)&lt;=MAX('Per Line'!$AO$2:$AO$4001),MATCH(ROWS($AA$2:$AA520),'Per Line'!$AO$2:$AO$4001,0),"")</f>
        <v/>
      </c>
      <c r="AB520" s="14">
        <f>IF($AA520="","",L520-K520*Y520/100)</f>
        <v/>
      </c>
    </row>
    <row r="521">
      <c r="A521" s="12" t="n"/>
      <c r="B521">
        <f>IF($AA521="","",INDEX('Per Line'!$E$2:$E$4001,$AA521)&amp;"")</f>
        <v/>
      </c>
      <c r="C521">
        <f>IF($AA521="","",INDEX('Per Line'!$A$2:$A$4001,$AA521)&amp;"")</f>
        <v/>
      </c>
      <c r="D521">
        <f>IF($AA521="","",INDEX('Per Line'!$D$2:$D$4001,$AA521)&amp;"")</f>
        <v/>
      </c>
      <c r="E521" s="11">
        <f>IF($AA521="","",INDEX('Per Line'!$G$2:$G$4001,$AA521))</f>
        <v/>
      </c>
      <c r="F521">
        <f>IF($AA521="","",INDEX('Per Line'!$H$2:$H$4001,$AA521)&amp;"")</f>
        <v/>
      </c>
      <c r="G521">
        <f>IF($AA521="","",INDEX('Per Line'!$I$2:$I$4001,$AA521)&amp;"")</f>
        <v/>
      </c>
      <c r="H521">
        <f>IF($AA521="","",INDEX('Per Line'!$J$2:$J$4001,$AA521)&amp;"")</f>
        <v/>
      </c>
      <c r="I521">
        <f>IF($AA521="","",INDEX('Per Line'!$K$2:$K$4001,$AA521)&amp;"")</f>
        <v/>
      </c>
      <c r="J521">
        <f>IF($AA521="","",INDEX('Per Line'!$L$2:$L$4001,$AA521)&amp;"")</f>
        <v/>
      </c>
      <c r="K521">
        <f>IF($AA521="","",INDEX('Per Line'!$P$2:$P$4001,$AA521))</f>
        <v/>
      </c>
      <c r="L521" s="7">
        <f>IF($AA521="","",IF(AND(ISNUMBER(N521),N521&gt;0,Y521&gt;N521),K521*N521/100+(Y521-N521),K521*Y521/100))</f>
        <v/>
      </c>
      <c r="M521">
        <f>IF($AA521="","",INDEX('Per Line'!$Z$2:$Z$4001,$AA521)&amp;"")</f>
        <v/>
      </c>
      <c r="N521">
        <f>IF($AA521="","",INDEX('Per Line'!$AG$2:$AG$4001,$AA521))</f>
        <v/>
      </c>
      <c r="O521">
        <f>IF($AA521="","",IF(AND(ISNUMBER(N521),N521&gt;0),Y521&gt;N521,FALSE))</f>
        <v/>
      </c>
      <c r="P521" s="7">
        <f>IF($AA521="","",SUMIFS('Per Line'!$Y$2:$Y$4001,'Per Line'!$E$2:$E$4001,$B521,'Per Line'!$AQ$2:$AQ$4001,1))</f>
        <v/>
      </c>
      <c r="Q521">
        <f>IF($AA521="","",Settings!$C$7)</f>
        <v/>
      </c>
      <c r="R521" s="7">
        <f>IF($AA521="","",SUMIFS('Per Line'!$Y$2:$Y$4001,'Per Line'!$E$2:$E$4001,$B521,'Per Line'!$AP$2:$AP$4001,0,'Per Line'!$AQ$2:$AQ$4001,0))</f>
        <v/>
      </c>
      <c r="S521" s="7">
        <f>IF($AA521="","",R521*Q521)</f>
        <v/>
      </c>
      <c r="T521">
        <f>IF($AA521="","",Settings!$C$6)</f>
        <v/>
      </c>
      <c r="U521" s="7">
        <f>IF($AA521="","",SUMIFS('Per Line'!$Y$2:$Y$4001,'Per Line'!$E$2:$E$4001,$B521,'Per Line'!$AP$2:$AP$4001,1,'Per Line'!$AQ$2:$AQ$4001,0))</f>
        <v/>
      </c>
      <c r="V521" s="7">
        <f>IF($AA521="","",U521*T521)</f>
        <v/>
      </c>
      <c r="W521" s="7">
        <f>IF($AA521="","",V521+S521)</f>
        <v/>
      </c>
      <c r="X521" s="7">
        <f>IF($AA521="","",Y521-W521)</f>
        <v/>
      </c>
      <c r="Y521" s="7">
        <f>IF($AA521="","",R521+U521+P521)</f>
        <v/>
      </c>
      <c r="Z521" s="7">
        <f>IF($AA521="","",Y521-W521-L521)</f>
        <v/>
      </c>
      <c r="AA521" s="13">
        <f>IF(ROWS($AA$2:$AA521)&lt;=MAX('Per Line'!$AO$2:$AO$4001),MATCH(ROWS($AA$2:$AA521),'Per Line'!$AO$2:$AO$4001,0),"")</f>
        <v/>
      </c>
      <c r="AB521" s="14">
        <f>IF($AA521="","",L521-K521*Y521/100)</f>
        <v/>
      </c>
    </row>
    <row r="522">
      <c r="A522" s="12" t="n"/>
      <c r="B522">
        <f>IF($AA522="","",INDEX('Per Line'!$E$2:$E$4001,$AA522)&amp;"")</f>
        <v/>
      </c>
      <c r="C522">
        <f>IF($AA522="","",INDEX('Per Line'!$A$2:$A$4001,$AA522)&amp;"")</f>
        <v/>
      </c>
      <c r="D522">
        <f>IF($AA522="","",INDEX('Per Line'!$D$2:$D$4001,$AA522)&amp;"")</f>
        <v/>
      </c>
      <c r="E522" s="11">
        <f>IF($AA522="","",INDEX('Per Line'!$G$2:$G$4001,$AA522))</f>
        <v/>
      </c>
      <c r="F522">
        <f>IF($AA522="","",INDEX('Per Line'!$H$2:$H$4001,$AA522)&amp;"")</f>
        <v/>
      </c>
      <c r="G522">
        <f>IF($AA522="","",INDEX('Per Line'!$I$2:$I$4001,$AA522)&amp;"")</f>
        <v/>
      </c>
      <c r="H522">
        <f>IF($AA522="","",INDEX('Per Line'!$J$2:$J$4001,$AA522)&amp;"")</f>
        <v/>
      </c>
      <c r="I522">
        <f>IF($AA522="","",INDEX('Per Line'!$K$2:$K$4001,$AA522)&amp;"")</f>
        <v/>
      </c>
      <c r="J522">
        <f>IF($AA522="","",INDEX('Per Line'!$L$2:$L$4001,$AA522)&amp;"")</f>
        <v/>
      </c>
      <c r="K522">
        <f>IF($AA522="","",INDEX('Per Line'!$P$2:$P$4001,$AA522))</f>
        <v/>
      </c>
      <c r="L522" s="7">
        <f>IF($AA522="","",IF(AND(ISNUMBER(N522),N522&gt;0,Y522&gt;N522),K522*N522/100+(Y522-N522),K522*Y522/100))</f>
        <v/>
      </c>
      <c r="M522">
        <f>IF($AA522="","",INDEX('Per Line'!$Z$2:$Z$4001,$AA522)&amp;"")</f>
        <v/>
      </c>
      <c r="N522">
        <f>IF($AA522="","",INDEX('Per Line'!$AG$2:$AG$4001,$AA522))</f>
        <v/>
      </c>
      <c r="O522">
        <f>IF($AA522="","",IF(AND(ISNUMBER(N522),N522&gt;0),Y522&gt;N522,FALSE))</f>
        <v/>
      </c>
      <c r="P522" s="7">
        <f>IF($AA522="","",SUMIFS('Per Line'!$Y$2:$Y$4001,'Per Line'!$E$2:$E$4001,$B522,'Per Line'!$AQ$2:$AQ$4001,1))</f>
        <v/>
      </c>
      <c r="Q522">
        <f>IF($AA522="","",Settings!$C$7)</f>
        <v/>
      </c>
      <c r="R522" s="7">
        <f>IF($AA522="","",SUMIFS('Per Line'!$Y$2:$Y$4001,'Per Line'!$E$2:$E$4001,$B522,'Per Line'!$AP$2:$AP$4001,0,'Per Line'!$AQ$2:$AQ$4001,0))</f>
        <v/>
      </c>
      <c r="S522" s="7">
        <f>IF($AA522="","",R522*Q522)</f>
        <v/>
      </c>
      <c r="T522">
        <f>IF($AA522="","",Settings!$C$6)</f>
        <v/>
      </c>
      <c r="U522" s="7">
        <f>IF($AA522="","",SUMIFS('Per Line'!$Y$2:$Y$4001,'Per Line'!$E$2:$E$4001,$B522,'Per Line'!$AP$2:$AP$4001,1,'Per Line'!$AQ$2:$AQ$4001,0))</f>
        <v/>
      </c>
      <c r="V522" s="7">
        <f>IF($AA522="","",U522*T522)</f>
        <v/>
      </c>
      <c r="W522" s="7">
        <f>IF($AA522="","",V522+S522)</f>
        <v/>
      </c>
      <c r="X522" s="7">
        <f>IF($AA522="","",Y522-W522)</f>
        <v/>
      </c>
      <c r="Y522" s="7">
        <f>IF($AA522="","",R522+U522+P522)</f>
        <v/>
      </c>
      <c r="Z522" s="7">
        <f>IF($AA522="","",Y522-W522-L522)</f>
        <v/>
      </c>
      <c r="AA522" s="13">
        <f>IF(ROWS($AA$2:$AA522)&lt;=MAX('Per Line'!$AO$2:$AO$4001),MATCH(ROWS($AA$2:$AA522),'Per Line'!$AO$2:$AO$4001,0),"")</f>
        <v/>
      </c>
      <c r="AB522" s="14">
        <f>IF($AA522="","",L522-K522*Y522/100)</f>
        <v/>
      </c>
    </row>
    <row r="523">
      <c r="A523" s="12" t="n"/>
      <c r="B523">
        <f>IF($AA523="","",INDEX('Per Line'!$E$2:$E$4001,$AA523)&amp;"")</f>
        <v/>
      </c>
      <c r="C523">
        <f>IF($AA523="","",INDEX('Per Line'!$A$2:$A$4001,$AA523)&amp;"")</f>
        <v/>
      </c>
      <c r="D523">
        <f>IF($AA523="","",INDEX('Per Line'!$D$2:$D$4001,$AA523)&amp;"")</f>
        <v/>
      </c>
      <c r="E523" s="11">
        <f>IF($AA523="","",INDEX('Per Line'!$G$2:$G$4001,$AA523))</f>
        <v/>
      </c>
      <c r="F523">
        <f>IF($AA523="","",INDEX('Per Line'!$H$2:$H$4001,$AA523)&amp;"")</f>
        <v/>
      </c>
      <c r="G523">
        <f>IF($AA523="","",INDEX('Per Line'!$I$2:$I$4001,$AA523)&amp;"")</f>
        <v/>
      </c>
      <c r="H523">
        <f>IF($AA523="","",INDEX('Per Line'!$J$2:$J$4001,$AA523)&amp;"")</f>
        <v/>
      </c>
      <c r="I523">
        <f>IF($AA523="","",INDEX('Per Line'!$K$2:$K$4001,$AA523)&amp;"")</f>
        <v/>
      </c>
      <c r="J523">
        <f>IF($AA523="","",INDEX('Per Line'!$L$2:$L$4001,$AA523)&amp;"")</f>
        <v/>
      </c>
      <c r="K523">
        <f>IF($AA523="","",INDEX('Per Line'!$P$2:$P$4001,$AA523))</f>
        <v/>
      </c>
      <c r="L523" s="7">
        <f>IF($AA523="","",IF(AND(ISNUMBER(N523),N523&gt;0,Y523&gt;N523),K523*N523/100+(Y523-N523),K523*Y523/100))</f>
        <v/>
      </c>
      <c r="M523">
        <f>IF($AA523="","",INDEX('Per Line'!$Z$2:$Z$4001,$AA523)&amp;"")</f>
        <v/>
      </c>
      <c r="N523">
        <f>IF($AA523="","",INDEX('Per Line'!$AG$2:$AG$4001,$AA523))</f>
        <v/>
      </c>
      <c r="O523">
        <f>IF($AA523="","",IF(AND(ISNUMBER(N523),N523&gt;0),Y523&gt;N523,FALSE))</f>
        <v/>
      </c>
      <c r="P523" s="7">
        <f>IF($AA523="","",SUMIFS('Per Line'!$Y$2:$Y$4001,'Per Line'!$E$2:$E$4001,$B523,'Per Line'!$AQ$2:$AQ$4001,1))</f>
        <v/>
      </c>
      <c r="Q523">
        <f>IF($AA523="","",Settings!$C$7)</f>
        <v/>
      </c>
      <c r="R523" s="7">
        <f>IF($AA523="","",SUMIFS('Per Line'!$Y$2:$Y$4001,'Per Line'!$E$2:$E$4001,$B523,'Per Line'!$AP$2:$AP$4001,0,'Per Line'!$AQ$2:$AQ$4001,0))</f>
        <v/>
      </c>
      <c r="S523" s="7">
        <f>IF($AA523="","",R523*Q523)</f>
        <v/>
      </c>
      <c r="T523">
        <f>IF($AA523="","",Settings!$C$6)</f>
        <v/>
      </c>
      <c r="U523" s="7">
        <f>IF($AA523="","",SUMIFS('Per Line'!$Y$2:$Y$4001,'Per Line'!$E$2:$E$4001,$B523,'Per Line'!$AP$2:$AP$4001,1,'Per Line'!$AQ$2:$AQ$4001,0))</f>
        <v/>
      </c>
      <c r="V523" s="7">
        <f>IF($AA523="","",U523*T523)</f>
        <v/>
      </c>
      <c r="W523" s="7">
        <f>IF($AA523="","",V523+S523)</f>
        <v/>
      </c>
      <c r="X523" s="7">
        <f>IF($AA523="","",Y523-W523)</f>
        <v/>
      </c>
      <c r="Y523" s="7">
        <f>IF($AA523="","",R523+U523+P523)</f>
        <v/>
      </c>
      <c r="Z523" s="7">
        <f>IF($AA523="","",Y523-W523-L523)</f>
        <v/>
      </c>
      <c r="AA523" s="13">
        <f>IF(ROWS($AA$2:$AA523)&lt;=MAX('Per Line'!$AO$2:$AO$4001),MATCH(ROWS($AA$2:$AA523),'Per Line'!$AO$2:$AO$4001,0),"")</f>
        <v/>
      </c>
      <c r="AB523" s="14">
        <f>IF($AA523="","",L523-K523*Y523/100)</f>
        <v/>
      </c>
    </row>
    <row r="524">
      <c r="A524" s="12" t="n"/>
      <c r="B524">
        <f>IF($AA524="","",INDEX('Per Line'!$E$2:$E$4001,$AA524)&amp;"")</f>
        <v/>
      </c>
      <c r="C524">
        <f>IF($AA524="","",INDEX('Per Line'!$A$2:$A$4001,$AA524)&amp;"")</f>
        <v/>
      </c>
      <c r="D524">
        <f>IF($AA524="","",INDEX('Per Line'!$D$2:$D$4001,$AA524)&amp;"")</f>
        <v/>
      </c>
      <c r="E524" s="11">
        <f>IF($AA524="","",INDEX('Per Line'!$G$2:$G$4001,$AA524))</f>
        <v/>
      </c>
      <c r="F524">
        <f>IF($AA524="","",INDEX('Per Line'!$H$2:$H$4001,$AA524)&amp;"")</f>
        <v/>
      </c>
      <c r="G524">
        <f>IF($AA524="","",INDEX('Per Line'!$I$2:$I$4001,$AA524)&amp;"")</f>
        <v/>
      </c>
      <c r="H524">
        <f>IF($AA524="","",INDEX('Per Line'!$J$2:$J$4001,$AA524)&amp;"")</f>
        <v/>
      </c>
      <c r="I524">
        <f>IF($AA524="","",INDEX('Per Line'!$K$2:$K$4001,$AA524)&amp;"")</f>
        <v/>
      </c>
      <c r="J524">
        <f>IF($AA524="","",INDEX('Per Line'!$L$2:$L$4001,$AA524)&amp;"")</f>
        <v/>
      </c>
      <c r="K524">
        <f>IF($AA524="","",INDEX('Per Line'!$P$2:$P$4001,$AA524))</f>
        <v/>
      </c>
      <c r="L524" s="7">
        <f>IF($AA524="","",IF(AND(ISNUMBER(N524),N524&gt;0,Y524&gt;N524),K524*N524/100+(Y524-N524),K524*Y524/100))</f>
        <v/>
      </c>
      <c r="M524">
        <f>IF($AA524="","",INDEX('Per Line'!$Z$2:$Z$4001,$AA524)&amp;"")</f>
        <v/>
      </c>
      <c r="N524">
        <f>IF($AA524="","",INDEX('Per Line'!$AG$2:$AG$4001,$AA524))</f>
        <v/>
      </c>
      <c r="O524">
        <f>IF($AA524="","",IF(AND(ISNUMBER(N524),N524&gt;0),Y524&gt;N524,FALSE))</f>
        <v/>
      </c>
      <c r="P524" s="7">
        <f>IF($AA524="","",SUMIFS('Per Line'!$Y$2:$Y$4001,'Per Line'!$E$2:$E$4001,$B524,'Per Line'!$AQ$2:$AQ$4001,1))</f>
        <v/>
      </c>
      <c r="Q524">
        <f>IF($AA524="","",Settings!$C$7)</f>
        <v/>
      </c>
      <c r="R524" s="7">
        <f>IF($AA524="","",SUMIFS('Per Line'!$Y$2:$Y$4001,'Per Line'!$E$2:$E$4001,$B524,'Per Line'!$AP$2:$AP$4001,0,'Per Line'!$AQ$2:$AQ$4001,0))</f>
        <v/>
      </c>
      <c r="S524" s="7">
        <f>IF($AA524="","",R524*Q524)</f>
        <v/>
      </c>
      <c r="T524">
        <f>IF($AA524="","",Settings!$C$6)</f>
        <v/>
      </c>
      <c r="U524" s="7">
        <f>IF($AA524="","",SUMIFS('Per Line'!$Y$2:$Y$4001,'Per Line'!$E$2:$E$4001,$B524,'Per Line'!$AP$2:$AP$4001,1,'Per Line'!$AQ$2:$AQ$4001,0))</f>
        <v/>
      </c>
      <c r="V524" s="7">
        <f>IF($AA524="","",U524*T524)</f>
        <v/>
      </c>
      <c r="W524" s="7">
        <f>IF($AA524="","",V524+S524)</f>
        <v/>
      </c>
      <c r="X524" s="7">
        <f>IF($AA524="","",Y524-W524)</f>
        <v/>
      </c>
      <c r="Y524" s="7">
        <f>IF($AA524="","",R524+U524+P524)</f>
        <v/>
      </c>
      <c r="Z524" s="7">
        <f>IF($AA524="","",Y524-W524-L524)</f>
        <v/>
      </c>
      <c r="AA524" s="13">
        <f>IF(ROWS($AA$2:$AA524)&lt;=MAX('Per Line'!$AO$2:$AO$4001),MATCH(ROWS($AA$2:$AA524),'Per Line'!$AO$2:$AO$4001,0),"")</f>
        <v/>
      </c>
      <c r="AB524" s="14">
        <f>IF($AA524="","",L524-K524*Y524/100)</f>
        <v/>
      </c>
    </row>
    <row r="525">
      <c r="A525" s="12" t="n"/>
      <c r="B525">
        <f>IF($AA525="","",INDEX('Per Line'!$E$2:$E$4001,$AA525)&amp;"")</f>
        <v/>
      </c>
      <c r="C525">
        <f>IF($AA525="","",INDEX('Per Line'!$A$2:$A$4001,$AA525)&amp;"")</f>
        <v/>
      </c>
      <c r="D525">
        <f>IF($AA525="","",INDEX('Per Line'!$D$2:$D$4001,$AA525)&amp;"")</f>
        <v/>
      </c>
      <c r="E525" s="11">
        <f>IF($AA525="","",INDEX('Per Line'!$G$2:$G$4001,$AA525))</f>
        <v/>
      </c>
      <c r="F525">
        <f>IF($AA525="","",INDEX('Per Line'!$H$2:$H$4001,$AA525)&amp;"")</f>
        <v/>
      </c>
      <c r="G525">
        <f>IF($AA525="","",INDEX('Per Line'!$I$2:$I$4001,$AA525)&amp;"")</f>
        <v/>
      </c>
      <c r="H525">
        <f>IF($AA525="","",INDEX('Per Line'!$J$2:$J$4001,$AA525)&amp;"")</f>
        <v/>
      </c>
      <c r="I525">
        <f>IF($AA525="","",INDEX('Per Line'!$K$2:$K$4001,$AA525)&amp;"")</f>
        <v/>
      </c>
      <c r="J525">
        <f>IF($AA525="","",INDEX('Per Line'!$L$2:$L$4001,$AA525)&amp;"")</f>
        <v/>
      </c>
      <c r="K525">
        <f>IF($AA525="","",INDEX('Per Line'!$P$2:$P$4001,$AA525))</f>
        <v/>
      </c>
      <c r="L525" s="7">
        <f>IF($AA525="","",IF(AND(ISNUMBER(N525),N525&gt;0,Y525&gt;N525),K525*N525/100+(Y525-N525),K525*Y525/100))</f>
        <v/>
      </c>
      <c r="M525">
        <f>IF($AA525="","",INDEX('Per Line'!$Z$2:$Z$4001,$AA525)&amp;"")</f>
        <v/>
      </c>
      <c r="N525">
        <f>IF($AA525="","",INDEX('Per Line'!$AG$2:$AG$4001,$AA525))</f>
        <v/>
      </c>
      <c r="O525">
        <f>IF($AA525="","",IF(AND(ISNUMBER(N525),N525&gt;0),Y525&gt;N525,FALSE))</f>
        <v/>
      </c>
      <c r="P525" s="7">
        <f>IF($AA525="","",SUMIFS('Per Line'!$Y$2:$Y$4001,'Per Line'!$E$2:$E$4001,$B525,'Per Line'!$AQ$2:$AQ$4001,1))</f>
        <v/>
      </c>
      <c r="Q525">
        <f>IF($AA525="","",Settings!$C$7)</f>
        <v/>
      </c>
      <c r="R525" s="7">
        <f>IF($AA525="","",SUMIFS('Per Line'!$Y$2:$Y$4001,'Per Line'!$E$2:$E$4001,$B525,'Per Line'!$AP$2:$AP$4001,0,'Per Line'!$AQ$2:$AQ$4001,0))</f>
        <v/>
      </c>
      <c r="S525" s="7">
        <f>IF($AA525="","",R525*Q525)</f>
        <v/>
      </c>
      <c r="T525">
        <f>IF($AA525="","",Settings!$C$6)</f>
        <v/>
      </c>
      <c r="U525" s="7">
        <f>IF($AA525="","",SUMIFS('Per Line'!$Y$2:$Y$4001,'Per Line'!$E$2:$E$4001,$B525,'Per Line'!$AP$2:$AP$4001,1,'Per Line'!$AQ$2:$AQ$4001,0))</f>
        <v/>
      </c>
      <c r="V525" s="7">
        <f>IF($AA525="","",U525*T525)</f>
        <v/>
      </c>
      <c r="W525" s="7">
        <f>IF($AA525="","",V525+S525)</f>
        <v/>
      </c>
      <c r="X525" s="7">
        <f>IF($AA525="","",Y525-W525)</f>
        <v/>
      </c>
      <c r="Y525" s="7">
        <f>IF($AA525="","",R525+U525+P525)</f>
        <v/>
      </c>
      <c r="Z525" s="7">
        <f>IF($AA525="","",Y525-W525-L525)</f>
        <v/>
      </c>
      <c r="AA525" s="13">
        <f>IF(ROWS($AA$2:$AA525)&lt;=MAX('Per Line'!$AO$2:$AO$4001),MATCH(ROWS($AA$2:$AA525),'Per Line'!$AO$2:$AO$4001,0),"")</f>
        <v/>
      </c>
      <c r="AB525" s="14">
        <f>IF($AA525="","",L525-K525*Y525/100)</f>
        <v/>
      </c>
    </row>
    <row r="526">
      <c r="A526" s="12" t="n"/>
      <c r="B526">
        <f>IF($AA526="","",INDEX('Per Line'!$E$2:$E$4001,$AA526)&amp;"")</f>
        <v/>
      </c>
      <c r="C526">
        <f>IF($AA526="","",INDEX('Per Line'!$A$2:$A$4001,$AA526)&amp;"")</f>
        <v/>
      </c>
      <c r="D526">
        <f>IF($AA526="","",INDEX('Per Line'!$D$2:$D$4001,$AA526)&amp;"")</f>
        <v/>
      </c>
      <c r="E526" s="11">
        <f>IF($AA526="","",INDEX('Per Line'!$G$2:$G$4001,$AA526))</f>
        <v/>
      </c>
      <c r="F526">
        <f>IF($AA526="","",INDEX('Per Line'!$H$2:$H$4001,$AA526)&amp;"")</f>
        <v/>
      </c>
      <c r="G526">
        <f>IF($AA526="","",INDEX('Per Line'!$I$2:$I$4001,$AA526)&amp;"")</f>
        <v/>
      </c>
      <c r="H526">
        <f>IF($AA526="","",INDEX('Per Line'!$J$2:$J$4001,$AA526)&amp;"")</f>
        <v/>
      </c>
      <c r="I526">
        <f>IF($AA526="","",INDEX('Per Line'!$K$2:$K$4001,$AA526)&amp;"")</f>
        <v/>
      </c>
      <c r="J526">
        <f>IF($AA526="","",INDEX('Per Line'!$L$2:$L$4001,$AA526)&amp;"")</f>
        <v/>
      </c>
      <c r="K526">
        <f>IF($AA526="","",INDEX('Per Line'!$P$2:$P$4001,$AA526))</f>
        <v/>
      </c>
      <c r="L526" s="7">
        <f>IF($AA526="","",IF(AND(ISNUMBER(N526),N526&gt;0,Y526&gt;N526),K526*N526/100+(Y526-N526),K526*Y526/100))</f>
        <v/>
      </c>
      <c r="M526">
        <f>IF($AA526="","",INDEX('Per Line'!$Z$2:$Z$4001,$AA526)&amp;"")</f>
        <v/>
      </c>
      <c r="N526">
        <f>IF($AA526="","",INDEX('Per Line'!$AG$2:$AG$4001,$AA526))</f>
        <v/>
      </c>
      <c r="O526">
        <f>IF($AA526="","",IF(AND(ISNUMBER(N526),N526&gt;0),Y526&gt;N526,FALSE))</f>
        <v/>
      </c>
      <c r="P526" s="7">
        <f>IF($AA526="","",SUMIFS('Per Line'!$Y$2:$Y$4001,'Per Line'!$E$2:$E$4001,$B526,'Per Line'!$AQ$2:$AQ$4001,1))</f>
        <v/>
      </c>
      <c r="Q526">
        <f>IF($AA526="","",Settings!$C$7)</f>
        <v/>
      </c>
      <c r="R526" s="7">
        <f>IF($AA526="","",SUMIFS('Per Line'!$Y$2:$Y$4001,'Per Line'!$E$2:$E$4001,$B526,'Per Line'!$AP$2:$AP$4001,0,'Per Line'!$AQ$2:$AQ$4001,0))</f>
        <v/>
      </c>
      <c r="S526" s="7">
        <f>IF($AA526="","",R526*Q526)</f>
        <v/>
      </c>
      <c r="T526">
        <f>IF($AA526="","",Settings!$C$6)</f>
        <v/>
      </c>
      <c r="U526" s="7">
        <f>IF($AA526="","",SUMIFS('Per Line'!$Y$2:$Y$4001,'Per Line'!$E$2:$E$4001,$B526,'Per Line'!$AP$2:$AP$4001,1,'Per Line'!$AQ$2:$AQ$4001,0))</f>
        <v/>
      </c>
      <c r="V526" s="7">
        <f>IF($AA526="","",U526*T526)</f>
        <v/>
      </c>
      <c r="W526" s="7">
        <f>IF($AA526="","",V526+S526)</f>
        <v/>
      </c>
      <c r="X526" s="7">
        <f>IF($AA526="","",Y526-W526)</f>
        <v/>
      </c>
      <c r="Y526" s="7">
        <f>IF($AA526="","",R526+U526+P526)</f>
        <v/>
      </c>
      <c r="Z526" s="7">
        <f>IF($AA526="","",Y526-W526-L526)</f>
        <v/>
      </c>
      <c r="AA526" s="13">
        <f>IF(ROWS($AA$2:$AA526)&lt;=MAX('Per Line'!$AO$2:$AO$4001),MATCH(ROWS($AA$2:$AA526),'Per Line'!$AO$2:$AO$4001,0),"")</f>
        <v/>
      </c>
      <c r="AB526" s="14">
        <f>IF($AA526="","",L526-K526*Y526/100)</f>
        <v/>
      </c>
    </row>
    <row r="527">
      <c r="A527" s="12" t="n"/>
      <c r="B527">
        <f>IF($AA527="","",INDEX('Per Line'!$E$2:$E$4001,$AA527)&amp;"")</f>
        <v/>
      </c>
      <c r="C527">
        <f>IF($AA527="","",INDEX('Per Line'!$A$2:$A$4001,$AA527)&amp;"")</f>
        <v/>
      </c>
      <c r="D527">
        <f>IF($AA527="","",INDEX('Per Line'!$D$2:$D$4001,$AA527)&amp;"")</f>
        <v/>
      </c>
      <c r="E527" s="11">
        <f>IF($AA527="","",INDEX('Per Line'!$G$2:$G$4001,$AA527))</f>
        <v/>
      </c>
      <c r="F527">
        <f>IF($AA527="","",INDEX('Per Line'!$H$2:$H$4001,$AA527)&amp;"")</f>
        <v/>
      </c>
      <c r="G527">
        <f>IF($AA527="","",INDEX('Per Line'!$I$2:$I$4001,$AA527)&amp;"")</f>
        <v/>
      </c>
      <c r="H527">
        <f>IF($AA527="","",INDEX('Per Line'!$J$2:$J$4001,$AA527)&amp;"")</f>
        <v/>
      </c>
      <c r="I527">
        <f>IF($AA527="","",INDEX('Per Line'!$K$2:$K$4001,$AA527)&amp;"")</f>
        <v/>
      </c>
      <c r="J527">
        <f>IF($AA527="","",INDEX('Per Line'!$L$2:$L$4001,$AA527)&amp;"")</f>
        <v/>
      </c>
      <c r="K527">
        <f>IF($AA527="","",INDEX('Per Line'!$P$2:$P$4001,$AA527))</f>
        <v/>
      </c>
      <c r="L527" s="7">
        <f>IF($AA527="","",IF(AND(ISNUMBER(N527),N527&gt;0,Y527&gt;N527),K527*N527/100+(Y527-N527),K527*Y527/100))</f>
        <v/>
      </c>
      <c r="M527">
        <f>IF($AA527="","",INDEX('Per Line'!$Z$2:$Z$4001,$AA527)&amp;"")</f>
        <v/>
      </c>
      <c r="N527">
        <f>IF($AA527="","",INDEX('Per Line'!$AG$2:$AG$4001,$AA527))</f>
        <v/>
      </c>
      <c r="O527">
        <f>IF($AA527="","",IF(AND(ISNUMBER(N527),N527&gt;0),Y527&gt;N527,FALSE))</f>
        <v/>
      </c>
      <c r="P527" s="7">
        <f>IF($AA527="","",SUMIFS('Per Line'!$Y$2:$Y$4001,'Per Line'!$E$2:$E$4001,$B527,'Per Line'!$AQ$2:$AQ$4001,1))</f>
        <v/>
      </c>
      <c r="Q527">
        <f>IF($AA527="","",Settings!$C$7)</f>
        <v/>
      </c>
      <c r="R527" s="7">
        <f>IF($AA527="","",SUMIFS('Per Line'!$Y$2:$Y$4001,'Per Line'!$E$2:$E$4001,$B527,'Per Line'!$AP$2:$AP$4001,0,'Per Line'!$AQ$2:$AQ$4001,0))</f>
        <v/>
      </c>
      <c r="S527" s="7">
        <f>IF($AA527="","",R527*Q527)</f>
        <v/>
      </c>
      <c r="T527">
        <f>IF($AA527="","",Settings!$C$6)</f>
        <v/>
      </c>
      <c r="U527" s="7">
        <f>IF($AA527="","",SUMIFS('Per Line'!$Y$2:$Y$4001,'Per Line'!$E$2:$E$4001,$B527,'Per Line'!$AP$2:$AP$4001,1,'Per Line'!$AQ$2:$AQ$4001,0))</f>
        <v/>
      </c>
      <c r="V527" s="7">
        <f>IF($AA527="","",U527*T527)</f>
        <v/>
      </c>
      <c r="W527" s="7">
        <f>IF($AA527="","",V527+S527)</f>
        <v/>
      </c>
      <c r="X527" s="7">
        <f>IF($AA527="","",Y527-W527)</f>
        <v/>
      </c>
      <c r="Y527" s="7">
        <f>IF($AA527="","",R527+U527+P527)</f>
        <v/>
      </c>
      <c r="Z527" s="7">
        <f>IF($AA527="","",Y527-W527-L527)</f>
        <v/>
      </c>
      <c r="AA527" s="13">
        <f>IF(ROWS($AA$2:$AA527)&lt;=MAX('Per Line'!$AO$2:$AO$4001),MATCH(ROWS($AA$2:$AA527),'Per Line'!$AO$2:$AO$4001,0),"")</f>
        <v/>
      </c>
      <c r="AB527" s="14">
        <f>IF($AA527="","",L527-K527*Y527/100)</f>
        <v/>
      </c>
    </row>
    <row r="528">
      <c r="A528" s="12" t="n"/>
      <c r="B528">
        <f>IF($AA528="","",INDEX('Per Line'!$E$2:$E$4001,$AA528)&amp;"")</f>
        <v/>
      </c>
      <c r="C528">
        <f>IF($AA528="","",INDEX('Per Line'!$A$2:$A$4001,$AA528)&amp;"")</f>
        <v/>
      </c>
      <c r="D528">
        <f>IF($AA528="","",INDEX('Per Line'!$D$2:$D$4001,$AA528)&amp;"")</f>
        <v/>
      </c>
      <c r="E528" s="11">
        <f>IF($AA528="","",INDEX('Per Line'!$G$2:$G$4001,$AA528))</f>
        <v/>
      </c>
      <c r="F528">
        <f>IF($AA528="","",INDEX('Per Line'!$H$2:$H$4001,$AA528)&amp;"")</f>
        <v/>
      </c>
      <c r="G528">
        <f>IF($AA528="","",INDEX('Per Line'!$I$2:$I$4001,$AA528)&amp;"")</f>
        <v/>
      </c>
      <c r="H528">
        <f>IF($AA528="","",INDEX('Per Line'!$J$2:$J$4001,$AA528)&amp;"")</f>
        <v/>
      </c>
      <c r="I528">
        <f>IF($AA528="","",INDEX('Per Line'!$K$2:$K$4001,$AA528)&amp;"")</f>
        <v/>
      </c>
      <c r="J528">
        <f>IF($AA528="","",INDEX('Per Line'!$L$2:$L$4001,$AA528)&amp;"")</f>
        <v/>
      </c>
      <c r="K528">
        <f>IF($AA528="","",INDEX('Per Line'!$P$2:$P$4001,$AA528))</f>
        <v/>
      </c>
      <c r="L528" s="7">
        <f>IF($AA528="","",IF(AND(ISNUMBER(N528),N528&gt;0,Y528&gt;N528),K528*N528/100+(Y528-N528),K528*Y528/100))</f>
        <v/>
      </c>
      <c r="M528">
        <f>IF($AA528="","",INDEX('Per Line'!$Z$2:$Z$4001,$AA528)&amp;"")</f>
        <v/>
      </c>
      <c r="N528">
        <f>IF($AA528="","",INDEX('Per Line'!$AG$2:$AG$4001,$AA528))</f>
        <v/>
      </c>
      <c r="O528">
        <f>IF($AA528="","",IF(AND(ISNUMBER(N528),N528&gt;0),Y528&gt;N528,FALSE))</f>
        <v/>
      </c>
      <c r="P528" s="7">
        <f>IF($AA528="","",SUMIFS('Per Line'!$Y$2:$Y$4001,'Per Line'!$E$2:$E$4001,$B528,'Per Line'!$AQ$2:$AQ$4001,1))</f>
        <v/>
      </c>
      <c r="Q528">
        <f>IF($AA528="","",Settings!$C$7)</f>
        <v/>
      </c>
      <c r="R528" s="7">
        <f>IF($AA528="","",SUMIFS('Per Line'!$Y$2:$Y$4001,'Per Line'!$E$2:$E$4001,$B528,'Per Line'!$AP$2:$AP$4001,0,'Per Line'!$AQ$2:$AQ$4001,0))</f>
        <v/>
      </c>
      <c r="S528" s="7">
        <f>IF($AA528="","",R528*Q528)</f>
        <v/>
      </c>
      <c r="T528">
        <f>IF($AA528="","",Settings!$C$6)</f>
        <v/>
      </c>
      <c r="U528" s="7">
        <f>IF($AA528="","",SUMIFS('Per Line'!$Y$2:$Y$4001,'Per Line'!$E$2:$E$4001,$B528,'Per Line'!$AP$2:$AP$4001,1,'Per Line'!$AQ$2:$AQ$4001,0))</f>
        <v/>
      </c>
      <c r="V528" s="7">
        <f>IF($AA528="","",U528*T528)</f>
        <v/>
      </c>
      <c r="W528" s="7">
        <f>IF($AA528="","",V528+S528)</f>
        <v/>
      </c>
      <c r="X528" s="7">
        <f>IF($AA528="","",Y528-W528)</f>
        <v/>
      </c>
      <c r="Y528" s="7">
        <f>IF($AA528="","",R528+U528+P528)</f>
        <v/>
      </c>
      <c r="Z528" s="7">
        <f>IF($AA528="","",Y528-W528-L528)</f>
        <v/>
      </c>
      <c r="AA528" s="13">
        <f>IF(ROWS($AA$2:$AA528)&lt;=MAX('Per Line'!$AO$2:$AO$4001),MATCH(ROWS($AA$2:$AA528),'Per Line'!$AO$2:$AO$4001,0),"")</f>
        <v/>
      </c>
      <c r="AB528" s="14">
        <f>IF($AA528="","",L528-K528*Y528/100)</f>
        <v/>
      </c>
    </row>
    <row r="529">
      <c r="A529" s="12" t="n"/>
      <c r="B529">
        <f>IF($AA529="","",INDEX('Per Line'!$E$2:$E$4001,$AA529)&amp;"")</f>
        <v/>
      </c>
      <c r="C529">
        <f>IF($AA529="","",INDEX('Per Line'!$A$2:$A$4001,$AA529)&amp;"")</f>
        <v/>
      </c>
      <c r="D529">
        <f>IF($AA529="","",INDEX('Per Line'!$D$2:$D$4001,$AA529)&amp;"")</f>
        <v/>
      </c>
      <c r="E529" s="11">
        <f>IF($AA529="","",INDEX('Per Line'!$G$2:$G$4001,$AA529))</f>
        <v/>
      </c>
      <c r="F529">
        <f>IF($AA529="","",INDEX('Per Line'!$H$2:$H$4001,$AA529)&amp;"")</f>
        <v/>
      </c>
      <c r="G529">
        <f>IF($AA529="","",INDEX('Per Line'!$I$2:$I$4001,$AA529)&amp;"")</f>
        <v/>
      </c>
      <c r="H529">
        <f>IF($AA529="","",INDEX('Per Line'!$J$2:$J$4001,$AA529)&amp;"")</f>
        <v/>
      </c>
      <c r="I529">
        <f>IF($AA529="","",INDEX('Per Line'!$K$2:$K$4001,$AA529)&amp;"")</f>
        <v/>
      </c>
      <c r="J529">
        <f>IF($AA529="","",INDEX('Per Line'!$L$2:$L$4001,$AA529)&amp;"")</f>
        <v/>
      </c>
      <c r="K529">
        <f>IF($AA529="","",INDEX('Per Line'!$P$2:$P$4001,$AA529))</f>
        <v/>
      </c>
      <c r="L529" s="7">
        <f>IF($AA529="","",IF(AND(ISNUMBER(N529),N529&gt;0,Y529&gt;N529),K529*N529/100+(Y529-N529),K529*Y529/100))</f>
        <v/>
      </c>
      <c r="M529">
        <f>IF($AA529="","",INDEX('Per Line'!$Z$2:$Z$4001,$AA529)&amp;"")</f>
        <v/>
      </c>
      <c r="N529">
        <f>IF($AA529="","",INDEX('Per Line'!$AG$2:$AG$4001,$AA529))</f>
        <v/>
      </c>
      <c r="O529">
        <f>IF($AA529="","",IF(AND(ISNUMBER(N529),N529&gt;0),Y529&gt;N529,FALSE))</f>
        <v/>
      </c>
      <c r="P529" s="7">
        <f>IF($AA529="","",SUMIFS('Per Line'!$Y$2:$Y$4001,'Per Line'!$E$2:$E$4001,$B529,'Per Line'!$AQ$2:$AQ$4001,1))</f>
        <v/>
      </c>
      <c r="Q529">
        <f>IF($AA529="","",Settings!$C$7)</f>
        <v/>
      </c>
      <c r="R529" s="7">
        <f>IF($AA529="","",SUMIFS('Per Line'!$Y$2:$Y$4001,'Per Line'!$E$2:$E$4001,$B529,'Per Line'!$AP$2:$AP$4001,0,'Per Line'!$AQ$2:$AQ$4001,0))</f>
        <v/>
      </c>
      <c r="S529" s="7">
        <f>IF($AA529="","",R529*Q529)</f>
        <v/>
      </c>
      <c r="T529">
        <f>IF($AA529="","",Settings!$C$6)</f>
        <v/>
      </c>
      <c r="U529" s="7">
        <f>IF($AA529="","",SUMIFS('Per Line'!$Y$2:$Y$4001,'Per Line'!$E$2:$E$4001,$B529,'Per Line'!$AP$2:$AP$4001,1,'Per Line'!$AQ$2:$AQ$4001,0))</f>
        <v/>
      </c>
      <c r="V529" s="7">
        <f>IF($AA529="","",U529*T529)</f>
        <v/>
      </c>
      <c r="W529" s="7">
        <f>IF($AA529="","",V529+S529)</f>
        <v/>
      </c>
      <c r="X529" s="7">
        <f>IF($AA529="","",Y529-W529)</f>
        <v/>
      </c>
      <c r="Y529" s="7">
        <f>IF($AA529="","",R529+U529+P529)</f>
        <v/>
      </c>
      <c r="Z529" s="7">
        <f>IF($AA529="","",Y529-W529-L529)</f>
        <v/>
      </c>
      <c r="AA529" s="13">
        <f>IF(ROWS($AA$2:$AA529)&lt;=MAX('Per Line'!$AO$2:$AO$4001),MATCH(ROWS($AA$2:$AA529),'Per Line'!$AO$2:$AO$4001,0),"")</f>
        <v/>
      </c>
      <c r="AB529" s="14">
        <f>IF($AA529="","",L529-K529*Y529/100)</f>
        <v/>
      </c>
    </row>
    <row r="530">
      <c r="A530" s="12" t="n"/>
      <c r="B530">
        <f>IF($AA530="","",INDEX('Per Line'!$E$2:$E$4001,$AA530)&amp;"")</f>
        <v/>
      </c>
      <c r="C530">
        <f>IF($AA530="","",INDEX('Per Line'!$A$2:$A$4001,$AA530)&amp;"")</f>
        <v/>
      </c>
      <c r="D530">
        <f>IF($AA530="","",INDEX('Per Line'!$D$2:$D$4001,$AA530)&amp;"")</f>
        <v/>
      </c>
      <c r="E530" s="11">
        <f>IF($AA530="","",INDEX('Per Line'!$G$2:$G$4001,$AA530))</f>
        <v/>
      </c>
      <c r="F530">
        <f>IF($AA530="","",INDEX('Per Line'!$H$2:$H$4001,$AA530)&amp;"")</f>
        <v/>
      </c>
      <c r="G530">
        <f>IF($AA530="","",INDEX('Per Line'!$I$2:$I$4001,$AA530)&amp;"")</f>
        <v/>
      </c>
      <c r="H530">
        <f>IF($AA530="","",INDEX('Per Line'!$J$2:$J$4001,$AA530)&amp;"")</f>
        <v/>
      </c>
      <c r="I530">
        <f>IF($AA530="","",INDEX('Per Line'!$K$2:$K$4001,$AA530)&amp;"")</f>
        <v/>
      </c>
      <c r="J530">
        <f>IF($AA530="","",INDEX('Per Line'!$L$2:$L$4001,$AA530)&amp;"")</f>
        <v/>
      </c>
      <c r="K530">
        <f>IF($AA530="","",INDEX('Per Line'!$P$2:$P$4001,$AA530))</f>
        <v/>
      </c>
      <c r="L530" s="7">
        <f>IF($AA530="","",IF(AND(ISNUMBER(N530),N530&gt;0,Y530&gt;N530),K530*N530/100+(Y530-N530),K530*Y530/100))</f>
        <v/>
      </c>
      <c r="M530">
        <f>IF($AA530="","",INDEX('Per Line'!$Z$2:$Z$4001,$AA530)&amp;"")</f>
        <v/>
      </c>
      <c r="N530">
        <f>IF($AA530="","",INDEX('Per Line'!$AG$2:$AG$4001,$AA530))</f>
        <v/>
      </c>
      <c r="O530">
        <f>IF($AA530="","",IF(AND(ISNUMBER(N530),N530&gt;0),Y530&gt;N530,FALSE))</f>
        <v/>
      </c>
      <c r="P530" s="7">
        <f>IF($AA530="","",SUMIFS('Per Line'!$Y$2:$Y$4001,'Per Line'!$E$2:$E$4001,$B530,'Per Line'!$AQ$2:$AQ$4001,1))</f>
        <v/>
      </c>
      <c r="Q530">
        <f>IF($AA530="","",Settings!$C$7)</f>
        <v/>
      </c>
      <c r="R530" s="7">
        <f>IF($AA530="","",SUMIFS('Per Line'!$Y$2:$Y$4001,'Per Line'!$E$2:$E$4001,$B530,'Per Line'!$AP$2:$AP$4001,0,'Per Line'!$AQ$2:$AQ$4001,0))</f>
        <v/>
      </c>
      <c r="S530" s="7">
        <f>IF($AA530="","",R530*Q530)</f>
        <v/>
      </c>
      <c r="T530">
        <f>IF($AA530="","",Settings!$C$6)</f>
        <v/>
      </c>
      <c r="U530" s="7">
        <f>IF($AA530="","",SUMIFS('Per Line'!$Y$2:$Y$4001,'Per Line'!$E$2:$E$4001,$B530,'Per Line'!$AP$2:$AP$4001,1,'Per Line'!$AQ$2:$AQ$4001,0))</f>
        <v/>
      </c>
      <c r="V530" s="7">
        <f>IF($AA530="","",U530*T530)</f>
        <v/>
      </c>
      <c r="W530" s="7">
        <f>IF($AA530="","",V530+S530)</f>
        <v/>
      </c>
      <c r="X530" s="7">
        <f>IF($AA530="","",Y530-W530)</f>
        <v/>
      </c>
      <c r="Y530" s="7">
        <f>IF($AA530="","",R530+U530+P530)</f>
        <v/>
      </c>
      <c r="Z530" s="7">
        <f>IF($AA530="","",Y530-W530-L530)</f>
        <v/>
      </c>
      <c r="AA530" s="13">
        <f>IF(ROWS($AA$2:$AA530)&lt;=MAX('Per Line'!$AO$2:$AO$4001),MATCH(ROWS($AA$2:$AA530),'Per Line'!$AO$2:$AO$4001,0),"")</f>
        <v/>
      </c>
      <c r="AB530" s="14">
        <f>IF($AA530="","",L530-K530*Y530/100)</f>
        <v/>
      </c>
    </row>
    <row r="531">
      <c r="A531" s="12" t="n"/>
      <c r="B531">
        <f>IF($AA531="","",INDEX('Per Line'!$E$2:$E$4001,$AA531)&amp;"")</f>
        <v/>
      </c>
      <c r="C531">
        <f>IF($AA531="","",INDEX('Per Line'!$A$2:$A$4001,$AA531)&amp;"")</f>
        <v/>
      </c>
      <c r="D531">
        <f>IF($AA531="","",INDEX('Per Line'!$D$2:$D$4001,$AA531)&amp;"")</f>
        <v/>
      </c>
      <c r="E531" s="11">
        <f>IF($AA531="","",INDEX('Per Line'!$G$2:$G$4001,$AA531))</f>
        <v/>
      </c>
      <c r="F531">
        <f>IF($AA531="","",INDEX('Per Line'!$H$2:$H$4001,$AA531)&amp;"")</f>
        <v/>
      </c>
      <c r="G531">
        <f>IF($AA531="","",INDEX('Per Line'!$I$2:$I$4001,$AA531)&amp;"")</f>
        <v/>
      </c>
      <c r="H531">
        <f>IF($AA531="","",INDEX('Per Line'!$J$2:$J$4001,$AA531)&amp;"")</f>
        <v/>
      </c>
      <c r="I531">
        <f>IF($AA531="","",INDEX('Per Line'!$K$2:$K$4001,$AA531)&amp;"")</f>
        <v/>
      </c>
      <c r="J531">
        <f>IF($AA531="","",INDEX('Per Line'!$L$2:$L$4001,$AA531)&amp;"")</f>
        <v/>
      </c>
      <c r="K531">
        <f>IF($AA531="","",INDEX('Per Line'!$P$2:$P$4001,$AA531))</f>
        <v/>
      </c>
      <c r="L531" s="7">
        <f>IF($AA531="","",IF(AND(ISNUMBER(N531),N531&gt;0,Y531&gt;N531),K531*N531/100+(Y531-N531),K531*Y531/100))</f>
        <v/>
      </c>
      <c r="M531">
        <f>IF($AA531="","",INDEX('Per Line'!$Z$2:$Z$4001,$AA531)&amp;"")</f>
        <v/>
      </c>
      <c r="N531">
        <f>IF($AA531="","",INDEX('Per Line'!$AG$2:$AG$4001,$AA531))</f>
        <v/>
      </c>
      <c r="O531">
        <f>IF($AA531="","",IF(AND(ISNUMBER(N531),N531&gt;0),Y531&gt;N531,FALSE))</f>
        <v/>
      </c>
      <c r="P531" s="7">
        <f>IF($AA531="","",SUMIFS('Per Line'!$Y$2:$Y$4001,'Per Line'!$E$2:$E$4001,$B531,'Per Line'!$AQ$2:$AQ$4001,1))</f>
        <v/>
      </c>
      <c r="Q531">
        <f>IF($AA531="","",Settings!$C$7)</f>
        <v/>
      </c>
      <c r="R531" s="7">
        <f>IF($AA531="","",SUMIFS('Per Line'!$Y$2:$Y$4001,'Per Line'!$E$2:$E$4001,$B531,'Per Line'!$AP$2:$AP$4001,0,'Per Line'!$AQ$2:$AQ$4001,0))</f>
        <v/>
      </c>
      <c r="S531" s="7">
        <f>IF($AA531="","",R531*Q531)</f>
        <v/>
      </c>
      <c r="T531">
        <f>IF($AA531="","",Settings!$C$6)</f>
        <v/>
      </c>
      <c r="U531" s="7">
        <f>IF($AA531="","",SUMIFS('Per Line'!$Y$2:$Y$4001,'Per Line'!$E$2:$E$4001,$B531,'Per Line'!$AP$2:$AP$4001,1,'Per Line'!$AQ$2:$AQ$4001,0))</f>
        <v/>
      </c>
      <c r="V531" s="7">
        <f>IF($AA531="","",U531*T531)</f>
        <v/>
      </c>
      <c r="W531" s="7">
        <f>IF($AA531="","",V531+S531)</f>
        <v/>
      </c>
      <c r="X531" s="7">
        <f>IF($AA531="","",Y531-W531)</f>
        <v/>
      </c>
      <c r="Y531" s="7">
        <f>IF($AA531="","",R531+U531+P531)</f>
        <v/>
      </c>
      <c r="Z531" s="7">
        <f>IF($AA531="","",Y531-W531-L531)</f>
        <v/>
      </c>
      <c r="AA531" s="13">
        <f>IF(ROWS($AA$2:$AA531)&lt;=MAX('Per Line'!$AO$2:$AO$4001),MATCH(ROWS($AA$2:$AA531),'Per Line'!$AO$2:$AO$4001,0),"")</f>
        <v/>
      </c>
      <c r="AB531" s="14">
        <f>IF($AA531="","",L531-K531*Y531/100)</f>
        <v/>
      </c>
    </row>
    <row r="532">
      <c r="A532" s="12" t="n"/>
      <c r="B532">
        <f>IF($AA532="","",INDEX('Per Line'!$E$2:$E$4001,$AA532)&amp;"")</f>
        <v/>
      </c>
      <c r="C532">
        <f>IF($AA532="","",INDEX('Per Line'!$A$2:$A$4001,$AA532)&amp;"")</f>
        <v/>
      </c>
      <c r="D532">
        <f>IF($AA532="","",INDEX('Per Line'!$D$2:$D$4001,$AA532)&amp;"")</f>
        <v/>
      </c>
      <c r="E532" s="11">
        <f>IF($AA532="","",INDEX('Per Line'!$G$2:$G$4001,$AA532))</f>
        <v/>
      </c>
      <c r="F532">
        <f>IF($AA532="","",INDEX('Per Line'!$H$2:$H$4001,$AA532)&amp;"")</f>
        <v/>
      </c>
      <c r="G532">
        <f>IF($AA532="","",INDEX('Per Line'!$I$2:$I$4001,$AA532)&amp;"")</f>
        <v/>
      </c>
      <c r="H532">
        <f>IF($AA532="","",INDEX('Per Line'!$J$2:$J$4001,$AA532)&amp;"")</f>
        <v/>
      </c>
      <c r="I532">
        <f>IF($AA532="","",INDEX('Per Line'!$K$2:$K$4001,$AA532)&amp;"")</f>
        <v/>
      </c>
      <c r="J532">
        <f>IF($AA532="","",INDEX('Per Line'!$L$2:$L$4001,$AA532)&amp;"")</f>
        <v/>
      </c>
      <c r="K532">
        <f>IF($AA532="","",INDEX('Per Line'!$P$2:$P$4001,$AA532))</f>
        <v/>
      </c>
      <c r="L532" s="7">
        <f>IF($AA532="","",IF(AND(ISNUMBER(N532),N532&gt;0,Y532&gt;N532),K532*N532/100+(Y532-N532),K532*Y532/100))</f>
        <v/>
      </c>
      <c r="M532">
        <f>IF($AA532="","",INDEX('Per Line'!$Z$2:$Z$4001,$AA532)&amp;"")</f>
        <v/>
      </c>
      <c r="N532">
        <f>IF($AA532="","",INDEX('Per Line'!$AG$2:$AG$4001,$AA532))</f>
        <v/>
      </c>
      <c r="O532">
        <f>IF($AA532="","",IF(AND(ISNUMBER(N532),N532&gt;0),Y532&gt;N532,FALSE))</f>
        <v/>
      </c>
      <c r="P532" s="7">
        <f>IF($AA532="","",SUMIFS('Per Line'!$Y$2:$Y$4001,'Per Line'!$E$2:$E$4001,$B532,'Per Line'!$AQ$2:$AQ$4001,1))</f>
        <v/>
      </c>
      <c r="Q532">
        <f>IF($AA532="","",Settings!$C$7)</f>
        <v/>
      </c>
      <c r="R532" s="7">
        <f>IF($AA532="","",SUMIFS('Per Line'!$Y$2:$Y$4001,'Per Line'!$E$2:$E$4001,$B532,'Per Line'!$AP$2:$AP$4001,0,'Per Line'!$AQ$2:$AQ$4001,0))</f>
        <v/>
      </c>
      <c r="S532" s="7">
        <f>IF($AA532="","",R532*Q532)</f>
        <v/>
      </c>
      <c r="T532">
        <f>IF($AA532="","",Settings!$C$6)</f>
        <v/>
      </c>
      <c r="U532" s="7">
        <f>IF($AA532="","",SUMIFS('Per Line'!$Y$2:$Y$4001,'Per Line'!$E$2:$E$4001,$B532,'Per Line'!$AP$2:$AP$4001,1,'Per Line'!$AQ$2:$AQ$4001,0))</f>
        <v/>
      </c>
      <c r="V532" s="7">
        <f>IF($AA532="","",U532*T532)</f>
        <v/>
      </c>
      <c r="W532" s="7">
        <f>IF($AA532="","",V532+S532)</f>
        <v/>
      </c>
      <c r="X532" s="7">
        <f>IF($AA532="","",Y532-W532)</f>
        <v/>
      </c>
      <c r="Y532" s="7">
        <f>IF($AA532="","",R532+U532+P532)</f>
        <v/>
      </c>
      <c r="Z532" s="7">
        <f>IF($AA532="","",Y532-W532-L532)</f>
        <v/>
      </c>
      <c r="AA532" s="13">
        <f>IF(ROWS($AA$2:$AA532)&lt;=MAX('Per Line'!$AO$2:$AO$4001),MATCH(ROWS($AA$2:$AA532),'Per Line'!$AO$2:$AO$4001,0),"")</f>
        <v/>
      </c>
      <c r="AB532" s="14">
        <f>IF($AA532="","",L532-K532*Y532/100)</f>
        <v/>
      </c>
    </row>
    <row r="533">
      <c r="A533" s="12" t="n"/>
      <c r="B533">
        <f>IF($AA533="","",INDEX('Per Line'!$E$2:$E$4001,$AA533)&amp;"")</f>
        <v/>
      </c>
      <c r="C533">
        <f>IF($AA533="","",INDEX('Per Line'!$A$2:$A$4001,$AA533)&amp;"")</f>
        <v/>
      </c>
      <c r="D533">
        <f>IF($AA533="","",INDEX('Per Line'!$D$2:$D$4001,$AA533)&amp;"")</f>
        <v/>
      </c>
      <c r="E533" s="11">
        <f>IF($AA533="","",INDEX('Per Line'!$G$2:$G$4001,$AA533))</f>
        <v/>
      </c>
      <c r="F533">
        <f>IF($AA533="","",INDEX('Per Line'!$H$2:$H$4001,$AA533)&amp;"")</f>
        <v/>
      </c>
      <c r="G533">
        <f>IF($AA533="","",INDEX('Per Line'!$I$2:$I$4001,$AA533)&amp;"")</f>
        <v/>
      </c>
      <c r="H533">
        <f>IF($AA533="","",INDEX('Per Line'!$J$2:$J$4001,$AA533)&amp;"")</f>
        <v/>
      </c>
      <c r="I533">
        <f>IF($AA533="","",INDEX('Per Line'!$K$2:$K$4001,$AA533)&amp;"")</f>
        <v/>
      </c>
      <c r="J533">
        <f>IF($AA533="","",INDEX('Per Line'!$L$2:$L$4001,$AA533)&amp;"")</f>
        <v/>
      </c>
      <c r="K533">
        <f>IF($AA533="","",INDEX('Per Line'!$P$2:$P$4001,$AA533))</f>
        <v/>
      </c>
      <c r="L533" s="7">
        <f>IF($AA533="","",IF(AND(ISNUMBER(N533),N533&gt;0,Y533&gt;N533),K533*N533/100+(Y533-N533),K533*Y533/100))</f>
        <v/>
      </c>
      <c r="M533">
        <f>IF($AA533="","",INDEX('Per Line'!$Z$2:$Z$4001,$AA533)&amp;"")</f>
        <v/>
      </c>
      <c r="N533">
        <f>IF($AA533="","",INDEX('Per Line'!$AG$2:$AG$4001,$AA533))</f>
        <v/>
      </c>
      <c r="O533">
        <f>IF($AA533="","",IF(AND(ISNUMBER(N533),N533&gt;0),Y533&gt;N533,FALSE))</f>
        <v/>
      </c>
      <c r="P533" s="7">
        <f>IF($AA533="","",SUMIFS('Per Line'!$Y$2:$Y$4001,'Per Line'!$E$2:$E$4001,$B533,'Per Line'!$AQ$2:$AQ$4001,1))</f>
        <v/>
      </c>
      <c r="Q533">
        <f>IF($AA533="","",Settings!$C$7)</f>
        <v/>
      </c>
      <c r="R533" s="7">
        <f>IF($AA533="","",SUMIFS('Per Line'!$Y$2:$Y$4001,'Per Line'!$E$2:$E$4001,$B533,'Per Line'!$AP$2:$AP$4001,0,'Per Line'!$AQ$2:$AQ$4001,0))</f>
        <v/>
      </c>
      <c r="S533" s="7">
        <f>IF($AA533="","",R533*Q533)</f>
        <v/>
      </c>
      <c r="T533">
        <f>IF($AA533="","",Settings!$C$6)</f>
        <v/>
      </c>
      <c r="U533" s="7">
        <f>IF($AA533="","",SUMIFS('Per Line'!$Y$2:$Y$4001,'Per Line'!$E$2:$E$4001,$B533,'Per Line'!$AP$2:$AP$4001,1,'Per Line'!$AQ$2:$AQ$4001,0))</f>
        <v/>
      </c>
      <c r="V533" s="7">
        <f>IF($AA533="","",U533*T533)</f>
        <v/>
      </c>
      <c r="W533" s="7">
        <f>IF($AA533="","",V533+S533)</f>
        <v/>
      </c>
      <c r="X533" s="7">
        <f>IF($AA533="","",Y533-W533)</f>
        <v/>
      </c>
      <c r="Y533" s="7">
        <f>IF($AA533="","",R533+U533+P533)</f>
        <v/>
      </c>
      <c r="Z533" s="7">
        <f>IF($AA533="","",Y533-W533-L533)</f>
        <v/>
      </c>
      <c r="AA533" s="13">
        <f>IF(ROWS($AA$2:$AA533)&lt;=MAX('Per Line'!$AO$2:$AO$4001),MATCH(ROWS($AA$2:$AA533),'Per Line'!$AO$2:$AO$4001,0),"")</f>
        <v/>
      </c>
      <c r="AB533" s="14">
        <f>IF($AA533="","",L533-K533*Y533/100)</f>
        <v/>
      </c>
    </row>
    <row r="534">
      <c r="A534" s="12" t="n"/>
      <c r="B534">
        <f>IF($AA534="","",INDEX('Per Line'!$E$2:$E$4001,$AA534)&amp;"")</f>
        <v/>
      </c>
      <c r="C534">
        <f>IF($AA534="","",INDEX('Per Line'!$A$2:$A$4001,$AA534)&amp;"")</f>
        <v/>
      </c>
      <c r="D534">
        <f>IF($AA534="","",INDEX('Per Line'!$D$2:$D$4001,$AA534)&amp;"")</f>
        <v/>
      </c>
      <c r="E534" s="11">
        <f>IF($AA534="","",INDEX('Per Line'!$G$2:$G$4001,$AA534))</f>
        <v/>
      </c>
      <c r="F534">
        <f>IF($AA534="","",INDEX('Per Line'!$H$2:$H$4001,$AA534)&amp;"")</f>
        <v/>
      </c>
      <c r="G534">
        <f>IF($AA534="","",INDEX('Per Line'!$I$2:$I$4001,$AA534)&amp;"")</f>
        <v/>
      </c>
      <c r="H534">
        <f>IF($AA534="","",INDEX('Per Line'!$J$2:$J$4001,$AA534)&amp;"")</f>
        <v/>
      </c>
      <c r="I534">
        <f>IF($AA534="","",INDEX('Per Line'!$K$2:$K$4001,$AA534)&amp;"")</f>
        <v/>
      </c>
      <c r="J534">
        <f>IF($AA534="","",INDEX('Per Line'!$L$2:$L$4001,$AA534)&amp;"")</f>
        <v/>
      </c>
      <c r="K534">
        <f>IF($AA534="","",INDEX('Per Line'!$P$2:$P$4001,$AA534))</f>
        <v/>
      </c>
      <c r="L534" s="7">
        <f>IF($AA534="","",IF(AND(ISNUMBER(N534),N534&gt;0,Y534&gt;N534),K534*N534/100+(Y534-N534),K534*Y534/100))</f>
        <v/>
      </c>
      <c r="M534">
        <f>IF($AA534="","",INDEX('Per Line'!$Z$2:$Z$4001,$AA534)&amp;"")</f>
        <v/>
      </c>
      <c r="N534">
        <f>IF($AA534="","",INDEX('Per Line'!$AG$2:$AG$4001,$AA534))</f>
        <v/>
      </c>
      <c r="O534">
        <f>IF($AA534="","",IF(AND(ISNUMBER(N534),N534&gt;0),Y534&gt;N534,FALSE))</f>
        <v/>
      </c>
      <c r="P534" s="7">
        <f>IF($AA534="","",SUMIFS('Per Line'!$Y$2:$Y$4001,'Per Line'!$E$2:$E$4001,$B534,'Per Line'!$AQ$2:$AQ$4001,1))</f>
        <v/>
      </c>
      <c r="Q534">
        <f>IF($AA534="","",Settings!$C$7)</f>
        <v/>
      </c>
      <c r="R534" s="7">
        <f>IF($AA534="","",SUMIFS('Per Line'!$Y$2:$Y$4001,'Per Line'!$E$2:$E$4001,$B534,'Per Line'!$AP$2:$AP$4001,0,'Per Line'!$AQ$2:$AQ$4001,0))</f>
        <v/>
      </c>
      <c r="S534" s="7">
        <f>IF($AA534="","",R534*Q534)</f>
        <v/>
      </c>
      <c r="T534">
        <f>IF($AA534="","",Settings!$C$6)</f>
        <v/>
      </c>
      <c r="U534" s="7">
        <f>IF($AA534="","",SUMIFS('Per Line'!$Y$2:$Y$4001,'Per Line'!$E$2:$E$4001,$B534,'Per Line'!$AP$2:$AP$4001,1,'Per Line'!$AQ$2:$AQ$4001,0))</f>
        <v/>
      </c>
      <c r="V534" s="7">
        <f>IF($AA534="","",U534*T534)</f>
        <v/>
      </c>
      <c r="W534" s="7">
        <f>IF($AA534="","",V534+S534)</f>
        <v/>
      </c>
      <c r="X534" s="7">
        <f>IF($AA534="","",Y534-W534)</f>
        <v/>
      </c>
      <c r="Y534" s="7">
        <f>IF($AA534="","",R534+U534+P534)</f>
        <v/>
      </c>
      <c r="Z534" s="7">
        <f>IF($AA534="","",Y534-W534-L534)</f>
        <v/>
      </c>
      <c r="AA534" s="13">
        <f>IF(ROWS($AA$2:$AA534)&lt;=MAX('Per Line'!$AO$2:$AO$4001),MATCH(ROWS($AA$2:$AA534),'Per Line'!$AO$2:$AO$4001,0),"")</f>
        <v/>
      </c>
      <c r="AB534" s="14">
        <f>IF($AA534="","",L534-K534*Y534/100)</f>
        <v/>
      </c>
    </row>
    <row r="535">
      <c r="A535" s="12" t="n"/>
      <c r="B535">
        <f>IF($AA535="","",INDEX('Per Line'!$E$2:$E$4001,$AA535)&amp;"")</f>
        <v/>
      </c>
      <c r="C535">
        <f>IF($AA535="","",INDEX('Per Line'!$A$2:$A$4001,$AA535)&amp;"")</f>
        <v/>
      </c>
      <c r="D535">
        <f>IF($AA535="","",INDEX('Per Line'!$D$2:$D$4001,$AA535)&amp;"")</f>
        <v/>
      </c>
      <c r="E535" s="11">
        <f>IF($AA535="","",INDEX('Per Line'!$G$2:$G$4001,$AA535))</f>
        <v/>
      </c>
      <c r="F535">
        <f>IF($AA535="","",INDEX('Per Line'!$H$2:$H$4001,$AA535)&amp;"")</f>
        <v/>
      </c>
      <c r="G535">
        <f>IF($AA535="","",INDEX('Per Line'!$I$2:$I$4001,$AA535)&amp;"")</f>
        <v/>
      </c>
      <c r="H535">
        <f>IF($AA535="","",INDEX('Per Line'!$J$2:$J$4001,$AA535)&amp;"")</f>
        <v/>
      </c>
      <c r="I535">
        <f>IF($AA535="","",INDEX('Per Line'!$K$2:$K$4001,$AA535)&amp;"")</f>
        <v/>
      </c>
      <c r="J535">
        <f>IF($AA535="","",INDEX('Per Line'!$L$2:$L$4001,$AA535)&amp;"")</f>
        <v/>
      </c>
      <c r="K535">
        <f>IF($AA535="","",INDEX('Per Line'!$P$2:$P$4001,$AA535))</f>
        <v/>
      </c>
      <c r="L535" s="7">
        <f>IF($AA535="","",IF(AND(ISNUMBER(N535),N535&gt;0,Y535&gt;N535),K535*N535/100+(Y535-N535),K535*Y535/100))</f>
        <v/>
      </c>
      <c r="M535">
        <f>IF($AA535="","",INDEX('Per Line'!$Z$2:$Z$4001,$AA535)&amp;"")</f>
        <v/>
      </c>
      <c r="N535">
        <f>IF($AA535="","",INDEX('Per Line'!$AG$2:$AG$4001,$AA535))</f>
        <v/>
      </c>
      <c r="O535">
        <f>IF($AA535="","",IF(AND(ISNUMBER(N535),N535&gt;0),Y535&gt;N535,FALSE))</f>
        <v/>
      </c>
      <c r="P535" s="7">
        <f>IF($AA535="","",SUMIFS('Per Line'!$Y$2:$Y$4001,'Per Line'!$E$2:$E$4001,$B535,'Per Line'!$AQ$2:$AQ$4001,1))</f>
        <v/>
      </c>
      <c r="Q535">
        <f>IF($AA535="","",Settings!$C$7)</f>
        <v/>
      </c>
      <c r="R535" s="7">
        <f>IF($AA535="","",SUMIFS('Per Line'!$Y$2:$Y$4001,'Per Line'!$E$2:$E$4001,$B535,'Per Line'!$AP$2:$AP$4001,0,'Per Line'!$AQ$2:$AQ$4001,0))</f>
        <v/>
      </c>
      <c r="S535" s="7">
        <f>IF($AA535="","",R535*Q535)</f>
        <v/>
      </c>
      <c r="T535">
        <f>IF($AA535="","",Settings!$C$6)</f>
        <v/>
      </c>
      <c r="U535" s="7">
        <f>IF($AA535="","",SUMIFS('Per Line'!$Y$2:$Y$4001,'Per Line'!$E$2:$E$4001,$B535,'Per Line'!$AP$2:$AP$4001,1,'Per Line'!$AQ$2:$AQ$4001,0))</f>
        <v/>
      </c>
      <c r="V535" s="7">
        <f>IF($AA535="","",U535*T535)</f>
        <v/>
      </c>
      <c r="W535" s="7">
        <f>IF($AA535="","",V535+S535)</f>
        <v/>
      </c>
      <c r="X535" s="7">
        <f>IF($AA535="","",Y535-W535)</f>
        <v/>
      </c>
      <c r="Y535" s="7">
        <f>IF($AA535="","",R535+U535+P535)</f>
        <v/>
      </c>
      <c r="Z535" s="7">
        <f>IF($AA535="","",Y535-W535-L535)</f>
        <v/>
      </c>
      <c r="AA535" s="13">
        <f>IF(ROWS($AA$2:$AA535)&lt;=MAX('Per Line'!$AO$2:$AO$4001),MATCH(ROWS($AA$2:$AA535),'Per Line'!$AO$2:$AO$4001,0),"")</f>
        <v/>
      </c>
      <c r="AB535" s="14">
        <f>IF($AA535="","",L535-K535*Y535/100)</f>
        <v/>
      </c>
    </row>
    <row r="536">
      <c r="A536" s="12" t="n"/>
      <c r="B536">
        <f>IF($AA536="","",INDEX('Per Line'!$E$2:$E$4001,$AA536)&amp;"")</f>
        <v/>
      </c>
      <c r="C536">
        <f>IF($AA536="","",INDEX('Per Line'!$A$2:$A$4001,$AA536)&amp;"")</f>
        <v/>
      </c>
      <c r="D536">
        <f>IF($AA536="","",INDEX('Per Line'!$D$2:$D$4001,$AA536)&amp;"")</f>
        <v/>
      </c>
      <c r="E536" s="11">
        <f>IF($AA536="","",INDEX('Per Line'!$G$2:$G$4001,$AA536))</f>
        <v/>
      </c>
      <c r="F536">
        <f>IF($AA536="","",INDEX('Per Line'!$H$2:$H$4001,$AA536)&amp;"")</f>
        <v/>
      </c>
      <c r="G536">
        <f>IF($AA536="","",INDEX('Per Line'!$I$2:$I$4001,$AA536)&amp;"")</f>
        <v/>
      </c>
      <c r="H536">
        <f>IF($AA536="","",INDEX('Per Line'!$J$2:$J$4001,$AA536)&amp;"")</f>
        <v/>
      </c>
      <c r="I536">
        <f>IF($AA536="","",INDEX('Per Line'!$K$2:$K$4001,$AA536)&amp;"")</f>
        <v/>
      </c>
      <c r="J536">
        <f>IF($AA536="","",INDEX('Per Line'!$L$2:$L$4001,$AA536)&amp;"")</f>
        <v/>
      </c>
      <c r="K536">
        <f>IF($AA536="","",INDEX('Per Line'!$P$2:$P$4001,$AA536))</f>
        <v/>
      </c>
      <c r="L536" s="7">
        <f>IF($AA536="","",IF(AND(ISNUMBER(N536),N536&gt;0,Y536&gt;N536),K536*N536/100+(Y536-N536),K536*Y536/100))</f>
        <v/>
      </c>
      <c r="M536">
        <f>IF($AA536="","",INDEX('Per Line'!$Z$2:$Z$4001,$AA536)&amp;"")</f>
        <v/>
      </c>
      <c r="N536">
        <f>IF($AA536="","",INDEX('Per Line'!$AG$2:$AG$4001,$AA536))</f>
        <v/>
      </c>
      <c r="O536">
        <f>IF($AA536="","",IF(AND(ISNUMBER(N536),N536&gt;0),Y536&gt;N536,FALSE))</f>
        <v/>
      </c>
      <c r="P536" s="7">
        <f>IF($AA536="","",SUMIFS('Per Line'!$Y$2:$Y$4001,'Per Line'!$E$2:$E$4001,$B536,'Per Line'!$AQ$2:$AQ$4001,1))</f>
        <v/>
      </c>
      <c r="Q536">
        <f>IF($AA536="","",Settings!$C$7)</f>
        <v/>
      </c>
      <c r="R536" s="7">
        <f>IF($AA536="","",SUMIFS('Per Line'!$Y$2:$Y$4001,'Per Line'!$E$2:$E$4001,$B536,'Per Line'!$AP$2:$AP$4001,0,'Per Line'!$AQ$2:$AQ$4001,0))</f>
        <v/>
      </c>
      <c r="S536" s="7">
        <f>IF($AA536="","",R536*Q536)</f>
        <v/>
      </c>
      <c r="T536">
        <f>IF($AA536="","",Settings!$C$6)</f>
        <v/>
      </c>
      <c r="U536" s="7">
        <f>IF($AA536="","",SUMIFS('Per Line'!$Y$2:$Y$4001,'Per Line'!$E$2:$E$4001,$B536,'Per Line'!$AP$2:$AP$4001,1,'Per Line'!$AQ$2:$AQ$4001,0))</f>
        <v/>
      </c>
      <c r="V536" s="7">
        <f>IF($AA536="","",U536*T536)</f>
        <v/>
      </c>
      <c r="W536" s="7">
        <f>IF($AA536="","",V536+S536)</f>
        <v/>
      </c>
      <c r="X536" s="7">
        <f>IF($AA536="","",Y536-W536)</f>
        <v/>
      </c>
      <c r="Y536" s="7">
        <f>IF($AA536="","",R536+U536+P536)</f>
        <v/>
      </c>
      <c r="Z536" s="7">
        <f>IF($AA536="","",Y536-W536-L536)</f>
        <v/>
      </c>
      <c r="AA536" s="13">
        <f>IF(ROWS($AA$2:$AA536)&lt;=MAX('Per Line'!$AO$2:$AO$4001),MATCH(ROWS($AA$2:$AA536),'Per Line'!$AO$2:$AO$4001,0),"")</f>
        <v/>
      </c>
      <c r="AB536" s="14">
        <f>IF($AA536="","",L536-K536*Y536/100)</f>
        <v/>
      </c>
    </row>
    <row r="537">
      <c r="A537" s="12" t="n"/>
      <c r="B537">
        <f>IF($AA537="","",INDEX('Per Line'!$E$2:$E$4001,$AA537)&amp;"")</f>
        <v/>
      </c>
      <c r="C537">
        <f>IF($AA537="","",INDEX('Per Line'!$A$2:$A$4001,$AA537)&amp;"")</f>
        <v/>
      </c>
      <c r="D537">
        <f>IF($AA537="","",INDEX('Per Line'!$D$2:$D$4001,$AA537)&amp;"")</f>
        <v/>
      </c>
      <c r="E537" s="11">
        <f>IF($AA537="","",INDEX('Per Line'!$G$2:$G$4001,$AA537))</f>
        <v/>
      </c>
      <c r="F537">
        <f>IF($AA537="","",INDEX('Per Line'!$H$2:$H$4001,$AA537)&amp;"")</f>
        <v/>
      </c>
      <c r="G537">
        <f>IF($AA537="","",INDEX('Per Line'!$I$2:$I$4001,$AA537)&amp;"")</f>
        <v/>
      </c>
      <c r="H537">
        <f>IF($AA537="","",INDEX('Per Line'!$J$2:$J$4001,$AA537)&amp;"")</f>
        <v/>
      </c>
      <c r="I537">
        <f>IF($AA537="","",INDEX('Per Line'!$K$2:$K$4001,$AA537)&amp;"")</f>
        <v/>
      </c>
      <c r="J537">
        <f>IF($AA537="","",INDEX('Per Line'!$L$2:$L$4001,$AA537)&amp;"")</f>
        <v/>
      </c>
      <c r="K537">
        <f>IF($AA537="","",INDEX('Per Line'!$P$2:$P$4001,$AA537))</f>
        <v/>
      </c>
      <c r="L537" s="7">
        <f>IF($AA537="","",IF(AND(ISNUMBER(N537),N537&gt;0,Y537&gt;N537),K537*N537/100+(Y537-N537),K537*Y537/100))</f>
        <v/>
      </c>
      <c r="M537">
        <f>IF($AA537="","",INDEX('Per Line'!$Z$2:$Z$4001,$AA537)&amp;"")</f>
        <v/>
      </c>
      <c r="N537">
        <f>IF($AA537="","",INDEX('Per Line'!$AG$2:$AG$4001,$AA537))</f>
        <v/>
      </c>
      <c r="O537">
        <f>IF($AA537="","",IF(AND(ISNUMBER(N537),N537&gt;0),Y537&gt;N537,FALSE))</f>
        <v/>
      </c>
      <c r="P537" s="7">
        <f>IF($AA537="","",SUMIFS('Per Line'!$Y$2:$Y$4001,'Per Line'!$E$2:$E$4001,$B537,'Per Line'!$AQ$2:$AQ$4001,1))</f>
        <v/>
      </c>
      <c r="Q537">
        <f>IF($AA537="","",Settings!$C$7)</f>
        <v/>
      </c>
      <c r="R537" s="7">
        <f>IF($AA537="","",SUMIFS('Per Line'!$Y$2:$Y$4001,'Per Line'!$E$2:$E$4001,$B537,'Per Line'!$AP$2:$AP$4001,0,'Per Line'!$AQ$2:$AQ$4001,0))</f>
        <v/>
      </c>
      <c r="S537" s="7">
        <f>IF($AA537="","",R537*Q537)</f>
        <v/>
      </c>
      <c r="T537">
        <f>IF($AA537="","",Settings!$C$6)</f>
        <v/>
      </c>
      <c r="U537" s="7">
        <f>IF($AA537="","",SUMIFS('Per Line'!$Y$2:$Y$4001,'Per Line'!$E$2:$E$4001,$B537,'Per Line'!$AP$2:$AP$4001,1,'Per Line'!$AQ$2:$AQ$4001,0))</f>
        <v/>
      </c>
      <c r="V537" s="7">
        <f>IF($AA537="","",U537*T537)</f>
        <v/>
      </c>
      <c r="W537" s="7">
        <f>IF($AA537="","",V537+S537)</f>
        <v/>
      </c>
      <c r="X537" s="7">
        <f>IF($AA537="","",Y537-W537)</f>
        <v/>
      </c>
      <c r="Y537" s="7">
        <f>IF($AA537="","",R537+U537+P537)</f>
        <v/>
      </c>
      <c r="Z537" s="7">
        <f>IF($AA537="","",Y537-W537-L537)</f>
        <v/>
      </c>
      <c r="AA537" s="13">
        <f>IF(ROWS($AA$2:$AA537)&lt;=MAX('Per Line'!$AO$2:$AO$4001),MATCH(ROWS($AA$2:$AA537),'Per Line'!$AO$2:$AO$4001,0),"")</f>
        <v/>
      </c>
      <c r="AB537" s="14">
        <f>IF($AA537="","",L537-K537*Y537/100)</f>
        <v/>
      </c>
    </row>
    <row r="538">
      <c r="A538" s="12" t="n"/>
      <c r="B538">
        <f>IF($AA538="","",INDEX('Per Line'!$E$2:$E$4001,$AA538)&amp;"")</f>
        <v/>
      </c>
      <c r="C538">
        <f>IF($AA538="","",INDEX('Per Line'!$A$2:$A$4001,$AA538)&amp;"")</f>
        <v/>
      </c>
      <c r="D538">
        <f>IF($AA538="","",INDEX('Per Line'!$D$2:$D$4001,$AA538)&amp;"")</f>
        <v/>
      </c>
      <c r="E538" s="11">
        <f>IF($AA538="","",INDEX('Per Line'!$G$2:$G$4001,$AA538))</f>
        <v/>
      </c>
      <c r="F538">
        <f>IF($AA538="","",INDEX('Per Line'!$H$2:$H$4001,$AA538)&amp;"")</f>
        <v/>
      </c>
      <c r="G538">
        <f>IF($AA538="","",INDEX('Per Line'!$I$2:$I$4001,$AA538)&amp;"")</f>
        <v/>
      </c>
      <c r="H538">
        <f>IF($AA538="","",INDEX('Per Line'!$J$2:$J$4001,$AA538)&amp;"")</f>
        <v/>
      </c>
      <c r="I538">
        <f>IF($AA538="","",INDEX('Per Line'!$K$2:$K$4001,$AA538)&amp;"")</f>
        <v/>
      </c>
      <c r="J538">
        <f>IF($AA538="","",INDEX('Per Line'!$L$2:$L$4001,$AA538)&amp;"")</f>
        <v/>
      </c>
      <c r="K538">
        <f>IF($AA538="","",INDEX('Per Line'!$P$2:$P$4001,$AA538))</f>
        <v/>
      </c>
      <c r="L538" s="7">
        <f>IF($AA538="","",IF(AND(ISNUMBER(N538),N538&gt;0,Y538&gt;N538),K538*N538/100+(Y538-N538),K538*Y538/100))</f>
        <v/>
      </c>
      <c r="M538">
        <f>IF($AA538="","",INDEX('Per Line'!$Z$2:$Z$4001,$AA538)&amp;"")</f>
        <v/>
      </c>
      <c r="N538">
        <f>IF($AA538="","",INDEX('Per Line'!$AG$2:$AG$4001,$AA538))</f>
        <v/>
      </c>
      <c r="O538">
        <f>IF($AA538="","",IF(AND(ISNUMBER(N538),N538&gt;0),Y538&gt;N538,FALSE))</f>
        <v/>
      </c>
      <c r="P538" s="7">
        <f>IF($AA538="","",SUMIFS('Per Line'!$Y$2:$Y$4001,'Per Line'!$E$2:$E$4001,$B538,'Per Line'!$AQ$2:$AQ$4001,1))</f>
        <v/>
      </c>
      <c r="Q538">
        <f>IF($AA538="","",Settings!$C$7)</f>
        <v/>
      </c>
      <c r="R538" s="7">
        <f>IF($AA538="","",SUMIFS('Per Line'!$Y$2:$Y$4001,'Per Line'!$E$2:$E$4001,$B538,'Per Line'!$AP$2:$AP$4001,0,'Per Line'!$AQ$2:$AQ$4001,0))</f>
        <v/>
      </c>
      <c r="S538" s="7">
        <f>IF($AA538="","",R538*Q538)</f>
        <v/>
      </c>
      <c r="T538">
        <f>IF($AA538="","",Settings!$C$6)</f>
        <v/>
      </c>
      <c r="U538" s="7">
        <f>IF($AA538="","",SUMIFS('Per Line'!$Y$2:$Y$4001,'Per Line'!$E$2:$E$4001,$B538,'Per Line'!$AP$2:$AP$4001,1,'Per Line'!$AQ$2:$AQ$4001,0))</f>
        <v/>
      </c>
      <c r="V538" s="7">
        <f>IF($AA538="","",U538*T538)</f>
        <v/>
      </c>
      <c r="W538" s="7">
        <f>IF($AA538="","",V538+S538)</f>
        <v/>
      </c>
      <c r="X538" s="7">
        <f>IF($AA538="","",Y538-W538)</f>
        <v/>
      </c>
      <c r="Y538" s="7">
        <f>IF($AA538="","",R538+U538+P538)</f>
        <v/>
      </c>
      <c r="Z538" s="7">
        <f>IF($AA538="","",Y538-W538-L538)</f>
        <v/>
      </c>
      <c r="AA538" s="13">
        <f>IF(ROWS($AA$2:$AA538)&lt;=MAX('Per Line'!$AO$2:$AO$4001),MATCH(ROWS($AA$2:$AA538),'Per Line'!$AO$2:$AO$4001,0),"")</f>
        <v/>
      </c>
      <c r="AB538" s="14">
        <f>IF($AA538="","",L538-K538*Y538/100)</f>
        <v/>
      </c>
    </row>
    <row r="539">
      <c r="A539" s="12" t="n"/>
      <c r="B539">
        <f>IF($AA539="","",INDEX('Per Line'!$E$2:$E$4001,$AA539)&amp;"")</f>
        <v/>
      </c>
      <c r="C539">
        <f>IF($AA539="","",INDEX('Per Line'!$A$2:$A$4001,$AA539)&amp;"")</f>
        <v/>
      </c>
      <c r="D539">
        <f>IF($AA539="","",INDEX('Per Line'!$D$2:$D$4001,$AA539)&amp;"")</f>
        <v/>
      </c>
      <c r="E539" s="11">
        <f>IF($AA539="","",INDEX('Per Line'!$G$2:$G$4001,$AA539))</f>
        <v/>
      </c>
      <c r="F539">
        <f>IF($AA539="","",INDEX('Per Line'!$H$2:$H$4001,$AA539)&amp;"")</f>
        <v/>
      </c>
      <c r="G539">
        <f>IF($AA539="","",INDEX('Per Line'!$I$2:$I$4001,$AA539)&amp;"")</f>
        <v/>
      </c>
      <c r="H539">
        <f>IF($AA539="","",INDEX('Per Line'!$J$2:$J$4001,$AA539)&amp;"")</f>
        <v/>
      </c>
      <c r="I539">
        <f>IF($AA539="","",INDEX('Per Line'!$K$2:$K$4001,$AA539)&amp;"")</f>
        <v/>
      </c>
      <c r="J539">
        <f>IF($AA539="","",INDEX('Per Line'!$L$2:$L$4001,$AA539)&amp;"")</f>
        <v/>
      </c>
      <c r="K539">
        <f>IF($AA539="","",INDEX('Per Line'!$P$2:$P$4001,$AA539))</f>
        <v/>
      </c>
      <c r="L539" s="7">
        <f>IF($AA539="","",IF(AND(ISNUMBER(N539),N539&gt;0,Y539&gt;N539),K539*N539/100+(Y539-N539),K539*Y539/100))</f>
        <v/>
      </c>
      <c r="M539">
        <f>IF($AA539="","",INDEX('Per Line'!$Z$2:$Z$4001,$AA539)&amp;"")</f>
        <v/>
      </c>
      <c r="N539">
        <f>IF($AA539="","",INDEX('Per Line'!$AG$2:$AG$4001,$AA539))</f>
        <v/>
      </c>
      <c r="O539">
        <f>IF($AA539="","",IF(AND(ISNUMBER(N539),N539&gt;0),Y539&gt;N539,FALSE))</f>
        <v/>
      </c>
      <c r="P539" s="7">
        <f>IF($AA539="","",SUMIFS('Per Line'!$Y$2:$Y$4001,'Per Line'!$E$2:$E$4001,$B539,'Per Line'!$AQ$2:$AQ$4001,1))</f>
        <v/>
      </c>
      <c r="Q539">
        <f>IF($AA539="","",Settings!$C$7)</f>
        <v/>
      </c>
      <c r="R539" s="7">
        <f>IF($AA539="","",SUMIFS('Per Line'!$Y$2:$Y$4001,'Per Line'!$E$2:$E$4001,$B539,'Per Line'!$AP$2:$AP$4001,0,'Per Line'!$AQ$2:$AQ$4001,0))</f>
        <v/>
      </c>
      <c r="S539" s="7">
        <f>IF($AA539="","",R539*Q539)</f>
        <v/>
      </c>
      <c r="T539">
        <f>IF($AA539="","",Settings!$C$6)</f>
        <v/>
      </c>
      <c r="U539" s="7">
        <f>IF($AA539="","",SUMIFS('Per Line'!$Y$2:$Y$4001,'Per Line'!$E$2:$E$4001,$B539,'Per Line'!$AP$2:$AP$4001,1,'Per Line'!$AQ$2:$AQ$4001,0))</f>
        <v/>
      </c>
      <c r="V539" s="7">
        <f>IF($AA539="","",U539*T539)</f>
        <v/>
      </c>
      <c r="W539" s="7">
        <f>IF($AA539="","",V539+S539)</f>
        <v/>
      </c>
      <c r="X539" s="7">
        <f>IF($AA539="","",Y539-W539)</f>
        <v/>
      </c>
      <c r="Y539" s="7">
        <f>IF($AA539="","",R539+U539+P539)</f>
        <v/>
      </c>
      <c r="Z539" s="7">
        <f>IF($AA539="","",Y539-W539-L539)</f>
        <v/>
      </c>
      <c r="AA539" s="13">
        <f>IF(ROWS($AA$2:$AA539)&lt;=MAX('Per Line'!$AO$2:$AO$4001),MATCH(ROWS($AA$2:$AA539),'Per Line'!$AO$2:$AO$4001,0),"")</f>
        <v/>
      </c>
      <c r="AB539" s="14">
        <f>IF($AA539="","",L539-K539*Y539/100)</f>
        <v/>
      </c>
    </row>
    <row r="540">
      <c r="A540" s="12" t="n"/>
      <c r="B540">
        <f>IF($AA540="","",INDEX('Per Line'!$E$2:$E$4001,$AA540)&amp;"")</f>
        <v/>
      </c>
      <c r="C540">
        <f>IF($AA540="","",INDEX('Per Line'!$A$2:$A$4001,$AA540)&amp;"")</f>
        <v/>
      </c>
      <c r="D540">
        <f>IF($AA540="","",INDEX('Per Line'!$D$2:$D$4001,$AA540)&amp;"")</f>
        <v/>
      </c>
      <c r="E540" s="11">
        <f>IF($AA540="","",INDEX('Per Line'!$G$2:$G$4001,$AA540))</f>
        <v/>
      </c>
      <c r="F540">
        <f>IF($AA540="","",INDEX('Per Line'!$H$2:$H$4001,$AA540)&amp;"")</f>
        <v/>
      </c>
      <c r="G540">
        <f>IF($AA540="","",INDEX('Per Line'!$I$2:$I$4001,$AA540)&amp;"")</f>
        <v/>
      </c>
      <c r="H540">
        <f>IF($AA540="","",INDEX('Per Line'!$J$2:$J$4001,$AA540)&amp;"")</f>
        <v/>
      </c>
      <c r="I540">
        <f>IF($AA540="","",INDEX('Per Line'!$K$2:$K$4001,$AA540)&amp;"")</f>
        <v/>
      </c>
      <c r="J540">
        <f>IF($AA540="","",INDEX('Per Line'!$L$2:$L$4001,$AA540)&amp;"")</f>
        <v/>
      </c>
      <c r="K540">
        <f>IF($AA540="","",INDEX('Per Line'!$P$2:$P$4001,$AA540))</f>
        <v/>
      </c>
      <c r="L540" s="7">
        <f>IF($AA540="","",IF(AND(ISNUMBER(N540),N540&gt;0,Y540&gt;N540),K540*N540/100+(Y540-N540),K540*Y540/100))</f>
        <v/>
      </c>
      <c r="M540">
        <f>IF($AA540="","",INDEX('Per Line'!$Z$2:$Z$4001,$AA540)&amp;"")</f>
        <v/>
      </c>
      <c r="N540">
        <f>IF($AA540="","",INDEX('Per Line'!$AG$2:$AG$4001,$AA540))</f>
        <v/>
      </c>
      <c r="O540">
        <f>IF($AA540="","",IF(AND(ISNUMBER(N540),N540&gt;0),Y540&gt;N540,FALSE))</f>
        <v/>
      </c>
      <c r="P540" s="7">
        <f>IF($AA540="","",SUMIFS('Per Line'!$Y$2:$Y$4001,'Per Line'!$E$2:$E$4001,$B540,'Per Line'!$AQ$2:$AQ$4001,1))</f>
        <v/>
      </c>
      <c r="Q540">
        <f>IF($AA540="","",Settings!$C$7)</f>
        <v/>
      </c>
      <c r="R540" s="7">
        <f>IF($AA540="","",SUMIFS('Per Line'!$Y$2:$Y$4001,'Per Line'!$E$2:$E$4001,$B540,'Per Line'!$AP$2:$AP$4001,0,'Per Line'!$AQ$2:$AQ$4001,0))</f>
        <v/>
      </c>
      <c r="S540" s="7">
        <f>IF($AA540="","",R540*Q540)</f>
        <v/>
      </c>
      <c r="T540">
        <f>IF($AA540="","",Settings!$C$6)</f>
        <v/>
      </c>
      <c r="U540" s="7">
        <f>IF($AA540="","",SUMIFS('Per Line'!$Y$2:$Y$4001,'Per Line'!$E$2:$E$4001,$B540,'Per Line'!$AP$2:$AP$4001,1,'Per Line'!$AQ$2:$AQ$4001,0))</f>
        <v/>
      </c>
      <c r="V540" s="7">
        <f>IF($AA540="","",U540*T540)</f>
        <v/>
      </c>
      <c r="W540" s="7">
        <f>IF($AA540="","",V540+S540)</f>
        <v/>
      </c>
      <c r="X540" s="7">
        <f>IF($AA540="","",Y540-W540)</f>
        <v/>
      </c>
      <c r="Y540" s="7">
        <f>IF($AA540="","",R540+U540+P540)</f>
        <v/>
      </c>
      <c r="Z540" s="7">
        <f>IF($AA540="","",Y540-W540-L540)</f>
        <v/>
      </c>
      <c r="AA540" s="13">
        <f>IF(ROWS($AA$2:$AA540)&lt;=MAX('Per Line'!$AO$2:$AO$4001),MATCH(ROWS($AA$2:$AA540),'Per Line'!$AO$2:$AO$4001,0),"")</f>
        <v/>
      </c>
      <c r="AB540" s="14">
        <f>IF($AA540="","",L540-K540*Y540/100)</f>
        <v/>
      </c>
    </row>
    <row r="541">
      <c r="A541" s="12" t="n"/>
      <c r="B541">
        <f>IF($AA541="","",INDEX('Per Line'!$E$2:$E$4001,$AA541)&amp;"")</f>
        <v/>
      </c>
      <c r="C541">
        <f>IF($AA541="","",INDEX('Per Line'!$A$2:$A$4001,$AA541)&amp;"")</f>
        <v/>
      </c>
      <c r="D541">
        <f>IF($AA541="","",INDEX('Per Line'!$D$2:$D$4001,$AA541)&amp;"")</f>
        <v/>
      </c>
      <c r="E541" s="11">
        <f>IF($AA541="","",INDEX('Per Line'!$G$2:$G$4001,$AA541))</f>
        <v/>
      </c>
      <c r="F541">
        <f>IF($AA541="","",INDEX('Per Line'!$H$2:$H$4001,$AA541)&amp;"")</f>
        <v/>
      </c>
      <c r="G541">
        <f>IF($AA541="","",INDEX('Per Line'!$I$2:$I$4001,$AA541)&amp;"")</f>
        <v/>
      </c>
      <c r="H541">
        <f>IF($AA541="","",INDEX('Per Line'!$J$2:$J$4001,$AA541)&amp;"")</f>
        <v/>
      </c>
      <c r="I541">
        <f>IF($AA541="","",INDEX('Per Line'!$K$2:$K$4001,$AA541)&amp;"")</f>
        <v/>
      </c>
      <c r="J541">
        <f>IF($AA541="","",INDEX('Per Line'!$L$2:$L$4001,$AA541)&amp;"")</f>
        <v/>
      </c>
      <c r="K541">
        <f>IF($AA541="","",INDEX('Per Line'!$P$2:$P$4001,$AA541))</f>
        <v/>
      </c>
      <c r="L541" s="7">
        <f>IF($AA541="","",IF(AND(ISNUMBER(N541),N541&gt;0,Y541&gt;N541),K541*N541/100+(Y541-N541),K541*Y541/100))</f>
        <v/>
      </c>
      <c r="M541">
        <f>IF($AA541="","",INDEX('Per Line'!$Z$2:$Z$4001,$AA541)&amp;"")</f>
        <v/>
      </c>
      <c r="N541">
        <f>IF($AA541="","",INDEX('Per Line'!$AG$2:$AG$4001,$AA541))</f>
        <v/>
      </c>
      <c r="O541">
        <f>IF($AA541="","",IF(AND(ISNUMBER(N541),N541&gt;0),Y541&gt;N541,FALSE))</f>
        <v/>
      </c>
      <c r="P541" s="7">
        <f>IF($AA541="","",SUMIFS('Per Line'!$Y$2:$Y$4001,'Per Line'!$E$2:$E$4001,$B541,'Per Line'!$AQ$2:$AQ$4001,1))</f>
        <v/>
      </c>
      <c r="Q541">
        <f>IF($AA541="","",Settings!$C$7)</f>
        <v/>
      </c>
      <c r="R541" s="7">
        <f>IF($AA541="","",SUMIFS('Per Line'!$Y$2:$Y$4001,'Per Line'!$E$2:$E$4001,$B541,'Per Line'!$AP$2:$AP$4001,0,'Per Line'!$AQ$2:$AQ$4001,0))</f>
        <v/>
      </c>
      <c r="S541" s="7">
        <f>IF($AA541="","",R541*Q541)</f>
        <v/>
      </c>
      <c r="T541">
        <f>IF($AA541="","",Settings!$C$6)</f>
        <v/>
      </c>
      <c r="U541" s="7">
        <f>IF($AA541="","",SUMIFS('Per Line'!$Y$2:$Y$4001,'Per Line'!$E$2:$E$4001,$B541,'Per Line'!$AP$2:$AP$4001,1,'Per Line'!$AQ$2:$AQ$4001,0))</f>
        <v/>
      </c>
      <c r="V541" s="7">
        <f>IF($AA541="","",U541*T541)</f>
        <v/>
      </c>
      <c r="W541" s="7">
        <f>IF($AA541="","",V541+S541)</f>
        <v/>
      </c>
      <c r="X541" s="7">
        <f>IF($AA541="","",Y541-W541)</f>
        <v/>
      </c>
      <c r="Y541" s="7">
        <f>IF($AA541="","",R541+U541+P541)</f>
        <v/>
      </c>
      <c r="Z541" s="7">
        <f>IF($AA541="","",Y541-W541-L541)</f>
        <v/>
      </c>
      <c r="AA541" s="13">
        <f>IF(ROWS($AA$2:$AA541)&lt;=MAX('Per Line'!$AO$2:$AO$4001),MATCH(ROWS($AA$2:$AA541),'Per Line'!$AO$2:$AO$4001,0),"")</f>
        <v/>
      </c>
      <c r="AB541" s="14">
        <f>IF($AA541="","",L541-K541*Y541/100)</f>
        <v/>
      </c>
    </row>
    <row r="542">
      <c r="A542" s="12" t="n"/>
      <c r="B542">
        <f>IF($AA542="","",INDEX('Per Line'!$E$2:$E$4001,$AA542)&amp;"")</f>
        <v/>
      </c>
      <c r="C542">
        <f>IF($AA542="","",INDEX('Per Line'!$A$2:$A$4001,$AA542)&amp;"")</f>
        <v/>
      </c>
      <c r="D542">
        <f>IF($AA542="","",INDEX('Per Line'!$D$2:$D$4001,$AA542)&amp;"")</f>
        <v/>
      </c>
      <c r="E542" s="11">
        <f>IF($AA542="","",INDEX('Per Line'!$G$2:$G$4001,$AA542))</f>
        <v/>
      </c>
      <c r="F542">
        <f>IF($AA542="","",INDEX('Per Line'!$H$2:$H$4001,$AA542)&amp;"")</f>
        <v/>
      </c>
      <c r="G542">
        <f>IF($AA542="","",INDEX('Per Line'!$I$2:$I$4001,$AA542)&amp;"")</f>
        <v/>
      </c>
      <c r="H542">
        <f>IF($AA542="","",INDEX('Per Line'!$J$2:$J$4001,$AA542)&amp;"")</f>
        <v/>
      </c>
      <c r="I542">
        <f>IF($AA542="","",INDEX('Per Line'!$K$2:$K$4001,$AA542)&amp;"")</f>
        <v/>
      </c>
      <c r="J542">
        <f>IF($AA542="","",INDEX('Per Line'!$L$2:$L$4001,$AA542)&amp;"")</f>
        <v/>
      </c>
      <c r="K542">
        <f>IF($AA542="","",INDEX('Per Line'!$P$2:$P$4001,$AA542))</f>
        <v/>
      </c>
      <c r="L542" s="7">
        <f>IF($AA542="","",IF(AND(ISNUMBER(N542),N542&gt;0,Y542&gt;N542),K542*N542/100+(Y542-N542),K542*Y542/100))</f>
        <v/>
      </c>
      <c r="M542">
        <f>IF($AA542="","",INDEX('Per Line'!$Z$2:$Z$4001,$AA542)&amp;"")</f>
        <v/>
      </c>
      <c r="N542">
        <f>IF($AA542="","",INDEX('Per Line'!$AG$2:$AG$4001,$AA542))</f>
        <v/>
      </c>
      <c r="O542">
        <f>IF($AA542="","",IF(AND(ISNUMBER(N542),N542&gt;0),Y542&gt;N542,FALSE))</f>
        <v/>
      </c>
      <c r="P542" s="7">
        <f>IF($AA542="","",SUMIFS('Per Line'!$Y$2:$Y$4001,'Per Line'!$E$2:$E$4001,$B542,'Per Line'!$AQ$2:$AQ$4001,1))</f>
        <v/>
      </c>
      <c r="Q542">
        <f>IF($AA542="","",Settings!$C$7)</f>
        <v/>
      </c>
      <c r="R542" s="7">
        <f>IF($AA542="","",SUMIFS('Per Line'!$Y$2:$Y$4001,'Per Line'!$E$2:$E$4001,$B542,'Per Line'!$AP$2:$AP$4001,0,'Per Line'!$AQ$2:$AQ$4001,0))</f>
        <v/>
      </c>
      <c r="S542" s="7">
        <f>IF($AA542="","",R542*Q542)</f>
        <v/>
      </c>
      <c r="T542">
        <f>IF($AA542="","",Settings!$C$6)</f>
        <v/>
      </c>
      <c r="U542" s="7">
        <f>IF($AA542="","",SUMIFS('Per Line'!$Y$2:$Y$4001,'Per Line'!$E$2:$E$4001,$B542,'Per Line'!$AP$2:$AP$4001,1,'Per Line'!$AQ$2:$AQ$4001,0))</f>
        <v/>
      </c>
      <c r="V542" s="7">
        <f>IF($AA542="","",U542*T542)</f>
        <v/>
      </c>
      <c r="W542" s="7">
        <f>IF($AA542="","",V542+S542)</f>
        <v/>
      </c>
      <c r="X542" s="7">
        <f>IF($AA542="","",Y542-W542)</f>
        <v/>
      </c>
      <c r="Y542" s="7">
        <f>IF($AA542="","",R542+U542+P542)</f>
        <v/>
      </c>
      <c r="Z542" s="7">
        <f>IF($AA542="","",Y542-W542-L542)</f>
        <v/>
      </c>
      <c r="AA542" s="13">
        <f>IF(ROWS($AA$2:$AA542)&lt;=MAX('Per Line'!$AO$2:$AO$4001),MATCH(ROWS($AA$2:$AA542),'Per Line'!$AO$2:$AO$4001,0),"")</f>
        <v/>
      </c>
      <c r="AB542" s="14">
        <f>IF($AA542="","",L542-K542*Y542/100)</f>
        <v/>
      </c>
    </row>
    <row r="543">
      <c r="A543" s="12" t="n"/>
      <c r="B543">
        <f>IF($AA543="","",INDEX('Per Line'!$E$2:$E$4001,$AA543)&amp;"")</f>
        <v/>
      </c>
      <c r="C543">
        <f>IF($AA543="","",INDEX('Per Line'!$A$2:$A$4001,$AA543)&amp;"")</f>
        <v/>
      </c>
      <c r="D543">
        <f>IF($AA543="","",INDEX('Per Line'!$D$2:$D$4001,$AA543)&amp;"")</f>
        <v/>
      </c>
      <c r="E543" s="11">
        <f>IF($AA543="","",INDEX('Per Line'!$G$2:$G$4001,$AA543))</f>
        <v/>
      </c>
      <c r="F543">
        <f>IF($AA543="","",INDEX('Per Line'!$H$2:$H$4001,$AA543)&amp;"")</f>
        <v/>
      </c>
      <c r="G543">
        <f>IF($AA543="","",INDEX('Per Line'!$I$2:$I$4001,$AA543)&amp;"")</f>
        <v/>
      </c>
      <c r="H543">
        <f>IF($AA543="","",INDEX('Per Line'!$J$2:$J$4001,$AA543)&amp;"")</f>
        <v/>
      </c>
      <c r="I543">
        <f>IF($AA543="","",INDEX('Per Line'!$K$2:$K$4001,$AA543)&amp;"")</f>
        <v/>
      </c>
      <c r="J543">
        <f>IF($AA543="","",INDEX('Per Line'!$L$2:$L$4001,$AA543)&amp;"")</f>
        <v/>
      </c>
      <c r="K543">
        <f>IF($AA543="","",INDEX('Per Line'!$P$2:$P$4001,$AA543))</f>
        <v/>
      </c>
      <c r="L543" s="7">
        <f>IF($AA543="","",IF(AND(ISNUMBER(N543),N543&gt;0,Y543&gt;N543),K543*N543/100+(Y543-N543),K543*Y543/100))</f>
        <v/>
      </c>
      <c r="M543">
        <f>IF($AA543="","",INDEX('Per Line'!$Z$2:$Z$4001,$AA543)&amp;"")</f>
        <v/>
      </c>
      <c r="N543">
        <f>IF($AA543="","",INDEX('Per Line'!$AG$2:$AG$4001,$AA543))</f>
        <v/>
      </c>
      <c r="O543">
        <f>IF($AA543="","",IF(AND(ISNUMBER(N543),N543&gt;0),Y543&gt;N543,FALSE))</f>
        <v/>
      </c>
      <c r="P543" s="7">
        <f>IF($AA543="","",SUMIFS('Per Line'!$Y$2:$Y$4001,'Per Line'!$E$2:$E$4001,$B543,'Per Line'!$AQ$2:$AQ$4001,1))</f>
        <v/>
      </c>
      <c r="Q543">
        <f>IF($AA543="","",Settings!$C$7)</f>
        <v/>
      </c>
      <c r="R543" s="7">
        <f>IF($AA543="","",SUMIFS('Per Line'!$Y$2:$Y$4001,'Per Line'!$E$2:$E$4001,$B543,'Per Line'!$AP$2:$AP$4001,0,'Per Line'!$AQ$2:$AQ$4001,0))</f>
        <v/>
      </c>
      <c r="S543" s="7">
        <f>IF($AA543="","",R543*Q543)</f>
        <v/>
      </c>
      <c r="T543">
        <f>IF($AA543="","",Settings!$C$6)</f>
        <v/>
      </c>
      <c r="U543" s="7">
        <f>IF($AA543="","",SUMIFS('Per Line'!$Y$2:$Y$4001,'Per Line'!$E$2:$E$4001,$B543,'Per Line'!$AP$2:$AP$4001,1,'Per Line'!$AQ$2:$AQ$4001,0))</f>
        <v/>
      </c>
      <c r="V543" s="7">
        <f>IF($AA543="","",U543*T543)</f>
        <v/>
      </c>
      <c r="W543" s="7">
        <f>IF($AA543="","",V543+S543)</f>
        <v/>
      </c>
      <c r="X543" s="7">
        <f>IF($AA543="","",Y543-W543)</f>
        <v/>
      </c>
      <c r="Y543" s="7">
        <f>IF($AA543="","",R543+U543+P543)</f>
        <v/>
      </c>
      <c r="Z543" s="7">
        <f>IF($AA543="","",Y543-W543-L543)</f>
        <v/>
      </c>
      <c r="AA543" s="13">
        <f>IF(ROWS($AA$2:$AA543)&lt;=MAX('Per Line'!$AO$2:$AO$4001),MATCH(ROWS($AA$2:$AA543),'Per Line'!$AO$2:$AO$4001,0),"")</f>
        <v/>
      </c>
      <c r="AB543" s="14">
        <f>IF($AA543="","",L543-K543*Y543/100)</f>
        <v/>
      </c>
    </row>
    <row r="544">
      <c r="A544" s="12" t="n"/>
      <c r="B544">
        <f>IF($AA544="","",INDEX('Per Line'!$E$2:$E$4001,$AA544)&amp;"")</f>
        <v/>
      </c>
      <c r="C544">
        <f>IF($AA544="","",INDEX('Per Line'!$A$2:$A$4001,$AA544)&amp;"")</f>
        <v/>
      </c>
      <c r="D544">
        <f>IF($AA544="","",INDEX('Per Line'!$D$2:$D$4001,$AA544)&amp;"")</f>
        <v/>
      </c>
      <c r="E544" s="11">
        <f>IF($AA544="","",INDEX('Per Line'!$G$2:$G$4001,$AA544))</f>
        <v/>
      </c>
      <c r="F544">
        <f>IF($AA544="","",INDEX('Per Line'!$H$2:$H$4001,$AA544)&amp;"")</f>
        <v/>
      </c>
      <c r="G544">
        <f>IF($AA544="","",INDEX('Per Line'!$I$2:$I$4001,$AA544)&amp;"")</f>
        <v/>
      </c>
      <c r="H544">
        <f>IF($AA544="","",INDEX('Per Line'!$J$2:$J$4001,$AA544)&amp;"")</f>
        <v/>
      </c>
      <c r="I544">
        <f>IF($AA544="","",INDEX('Per Line'!$K$2:$K$4001,$AA544)&amp;"")</f>
        <v/>
      </c>
      <c r="J544">
        <f>IF($AA544="","",INDEX('Per Line'!$L$2:$L$4001,$AA544)&amp;"")</f>
        <v/>
      </c>
      <c r="K544">
        <f>IF($AA544="","",INDEX('Per Line'!$P$2:$P$4001,$AA544))</f>
        <v/>
      </c>
      <c r="L544" s="7">
        <f>IF($AA544="","",IF(AND(ISNUMBER(N544),N544&gt;0,Y544&gt;N544),K544*N544/100+(Y544-N544),K544*Y544/100))</f>
        <v/>
      </c>
      <c r="M544">
        <f>IF($AA544="","",INDEX('Per Line'!$Z$2:$Z$4001,$AA544)&amp;"")</f>
        <v/>
      </c>
      <c r="N544">
        <f>IF($AA544="","",INDEX('Per Line'!$AG$2:$AG$4001,$AA544))</f>
        <v/>
      </c>
      <c r="O544">
        <f>IF($AA544="","",IF(AND(ISNUMBER(N544),N544&gt;0),Y544&gt;N544,FALSE))</f>
        <v/>
      </c>
      <c r="P544" s="7">
        <f>IF($AA544="","",SUMIFS('Per Line'!$Y$2:$Y$4001,'Per Line'!$E$2:$E$4001,$B544,'Per Line'!$AQ$2:$AQ$4001,1))</f>
        <v/>
      </c>
      <c r="Q544">
        <f>IF($AA544="","",Settings!$C$7)</f>
        <v/>
      </c>
      <c r="R544" s="7">
        <f>IF($AA544="","",SUMIFS('Per Line'!$Y$2:$Y$4001,'Per Line'!$E$2:$E$4001,$B544,'Per Line'!$AP$2:$AP$4001,0,'Per Line'!$AQ$2:$AQ$4001,0))</f>
        <v/>
      </c>
      <c r="S544" s="7">
        <f>IF($AA544="","",R544*Q544)</f>
        <v/>
      </c>
      <c r="T544">
        <f>IF($AA544="","",Settings!$C$6)</f>
        <v/>
      </c>
      <c r="U544" s="7">
        <f>IF($AA544="","",SUMIFS('Per Line'!$Y$2:$Y$4001,'Per Line'!$E$2:$E$4001,$B544,'Per Line'!$AP$2:$AP$4001,1,'Per Line'!$AQ$2:$AQ$4001,0))</f>
        <v/>
      </c>
      <c r="V544" s="7">
        <f>IF($AA544="","",U544*T544)</f>
        <v/>
      </c>
      <c r="W544" s="7">
        <f>IF($AA544="","",V544+S544)</f>
        <v/>
      </c>
      <c r="X544" s="7">
        <f>IF($AA544="","",Y544-W544)</f>
        <v/>
      </c>
      <c r="Y544" s="7">
        <f>IF($AA544="","",R544+U544+P544)</f>
        <v/>
      </c>
      <c r="Z544" s="7">
        <f>IF($AA544="","",Y544-W544-L544)</f>
        <v/>
      </c>
      <c r="AA544" s="13">
        <f>IF(ROWS($AA$2:$AA544)&lt;=MAX('Per Line'!$AO$2:$AO$4001),MATCH(ROWS($AA$2:$AA544),'Per Line'!$AO$2:$AO$4001,0),"")</f>
        <v/>
      </c>
      <c r="AB544" s="14">
        <f>IF($AA544="","",L544-K544*Y544/100)</f>
        <v/>
      </c>
    </row>
    <row r="545">
      <c r="A545" s="12" t="n"/>
      <c r="B545">
        <f>IF($AA545="","",INDEX('Per Line'!$E$2:$E$4001,$AA545)&amp;"")</f>
        <v/>
      </c>
      <c r="C545">
        <f>IF($AA545="","",INDEX('Per Line'!$A$2:$A$4001,$AA545)&amp;"")</f>
        <v/>
      </c>
      <c r="D545">
        <f>IF($AA545="","",INDEX('Per Line'!$D$2:$D$4001,$AA545)&amp;"")</f>
        <v/>
      </c>
      <c r="E545" s="11">
        <f>IF($AA545="","",INDEX('Per Line'!$G$2:$G$4001,$AA545))</f>
        <v/>
      </c>
      <c r="F545">
        <f>IF($AA545="","",INDEX('Per Line'!$H$2:$H$4001,$AA545)&amp;"")</f>
        <v/>
      </c>
      <c r="G545">
        <f>IF($AA545="","",INDEX('Per Line'!$I$2:$I$4001,$AA545)&amp;"")</f>
        <v/>
      </c>
      <c r="H545">
        <f>IF($AA545="","",INDEX('Per Line'!$J$2:$J$4001,$AA545)&amp;"")</f>
        <v/>
      </c>
      <c r="I545">
        <f>IF($AA545="","",INDEX('Per Line'!$K$2:$K$4001,$AA545)&amp;"")</f>
        <v/>
      </c>
      <c r="J545">
        <f>IF($AA545="","",INDEX('Per Line'!$L$2:$L$4001,$AA545)&amp;"")</f>
        <v/>
      </c>
      <c r="K545">
        <f>IF($AA545="","",INDEX('Per Line'!$P$2:$P$4001,$AA545))</f>
        <v/>
      </c>
      <c r="L545" s="7">
        <f>IF($AA545="","",IF(AND(ISNUMBER(N545),N545&gt;0,Y545&gt;N545),K545*N545/100+(Y545-N545),K545*Y545/100))</f>
        <v/>
      </c>
      <c r="M545">
        <f>IF($AA545="","",INDEX('Per Line'!$Z$2:$Z$4001,$AA545)&amp;"")</f>
        <v/>
      </c>
      <c r="N545">
        <f>IF($AA545="","",INDEX('Per Line'!$AG$2:$AG$4001,$AA545))</f>
        <v/>
      </c>
      <c r="O545">
        <f>IF($AA545="","",IF(AND(ISNUMBER(N545),N545&gt;0),Y545&gt;N545,FALSE))</f>
        <v/>
      </c>
      <c r="P545" s="7">
        <f>IF($AA545="","",SUMIFS('Per Line'!$Y$2:$Y$4001,'Per Line'!$E$2:$E$4001,$B545,'Per Line'!$AQ$2:$AQ$4001,1))</f>
        <v/>
      </c>
      <c r="Q545">
        <f>IF($AA545="","",Settings!$C$7)</f>
        <v/>
      </c>
      <c r="R545" s="7">
        <f>IF($AA545="","",SUMIFS('Per Line'!$Y$2:$Y$4001,'Per Line'!$E$2:$E$4001,$B545,'Per Line'!$AP$2:$AP$4001,0,'Per Line'!$AQ$2:$AQ$4001,0))</f>
        <v/>
      </c>
      <c r="S545" s="7">
        <f>IF($AA545="","",R545*Q545)</f>
        <v/>
      </c>
      <c r="T545">
        <f>IF($AA545="","",Settings!$C$6)</f>
        <v/>
      </c>
      <c r="U545" s="7">
        <f>IF($AA545="","",SUMIFS('Per Line'!$Y$2:$Y$4001,'Per Line'!$E$2:$E$4001,$B545,'Per Line'!$AP$2:$AP$4001,1,'Per Line'!$AQ$2:$AQ$4001,0))</f>
        <v/>
      </c>
      <c r="V545" s="7">
        <f>IF($AA545="","",U545*T545)</f>
        <v/>
      </c>
      <c r="W545" s="7">
        <f>IF($AA545="","",V545+S545)</f>
        <v/>
      </c>
      <c r="X545" s="7">
        <f>IF($AA545="","",Y545-W545)</f>
        <v/>
      </c>
      <c r="Y545" s="7">
        <f>IF($AA545="","",R545+U545+P545)</f>
        <v/>
      </c>
      <c r="Z545" s="7">
        <f>IF($AA545="","",Y545-W545-L545)</f>
        <v/>
      </c>
      <c r="AA545" s="13">
        <f>IF(ROWS($AA$2:$AA545)&lt;=MAX('Per Line'!$AO$2:$AO$4001),MATCH(ROWS($AA$2:$AA545),'Per Line'!$AO$2:$AO$4001,0),"")</f>
        <v/>
      </c>
      <c r="AB545" s="14">
        <f>IF($AA545="","",L545-K545*Y545/100)</f>
        <v/>
      </c>
    </row>
    <row r="546">
      <c r="A546" s="12" t="n"/>
      <c r="B546">
        <f>IF($AA546="","",INDEX('Per Line'!$E$2:$E$4001,$AA546)&amp;"")</f>
        <v/>
      </c>
      <c r="C546">
        <f>IF($AA546="","",INDEX('Per Line'!$A$2:$A$4001,$AA546)&amp;"")</f>
        <v/>
      </c>
      <c r="D546">
        <f>IF($AA546="","",INDEX('Per Line'!$D$2:$D$4001,$AA546)&amp;"")</f>
        <v/>
      </c>
      <c r="E546" s="11">
        <f>IF($AA546="","",INDEX('Per Line'!$G$2:$G$4001,$AA546))</f>
        <v/>
      </c>
      <c r="F546">
        <f>IF($AA546="","",INDEX('Per Line'!$H$2:$H$4001,$AA546)&amp;"")</f>
        <v/>
      </c>
      <c r="G546">
        <f>IF($AA546="","",INDEX('Per Line'!$I$2:$I$4001,$AA546)&amp;"")</f>
        <v/>
      </c>
      <c r="H546">
        <f>IF($AA546="","",INDEX('Per Line'!$J$2:$J$4001,$AA546)&amp;"")</f>
        <v/>
      </c>
      <c r="I546">
        <f>IF($AA546="","",INDEX('Per Line'!$K$2:$K$4001,$AA546)&amp;"")</f>
        <v/>
      </c>
      <c r="J546">
        <f>IF($AA546="","",INDEX('Per Line'!$L$2:$L$4001,$AA546)&amp;"")</f>
        <v/>
      </c>
      <c r="K546">
        <f>IF($AA546="","",INDEX('Per Line'!$P$2:$P$4001,$AA546))</f>
        <v/>
      </c>
      <c r="L546" s="7">
        <f>IF($AA546="","",IF(AND(ISNUMBER(N546),N546&gt;0,Y546&gt;N546),K546*N546/100+(Y546-N546),K546*Y546/100))</f>
        <v/>
      </c>
      <c r="M546">
        <f>IF($AA546="","",INDEX('Per Line'!$Z$2:$Z$4001,$AA546)&amp;"")</f>
        <v/>
      </c>
      <c r="N546">
        <f>IF($AA546="","",INDEX('Per Line'!$AG$2:$AG$4001,$AA546))</f>
        <v/>
      </c>
      <c r="O546">
        <f>IF($AA546="","",IF(AND(ISNUMBER(N546),N546&gt;0),Y546&gt;N546,FALSE))</f>
        <v/>
      </c>
      <c r="P546" s="7">
        <f>IF($AA546="","",SUMIFS('Per Line'!$Y$2:$Y$4001,'Per Line'!$E$2:$E$4001,$B546,'Per Line'!$AQ$2:$AQ$4001,1))</f>
        <v/>
      </c>
      <c r="Q546">
        <f>IF($AA546="","",Settings!$C$7)</f>
        <v/>
      </c>
      <c r="R546" s="7">
        <f>IF($AA546="","",SUMIFS('Per Line'!$Y$2:$Y$4001,'Per Line'!$E$2:$E$4001,$B546,'Per Line'!$AP$2:$AP$4001,0,'Per Line'!$AQ$2:$AQ$4001,0))</f>
        <v/>
      </c>
      <c r="S546" s="7">
        <f>IF($AA546="","",R546*Q546)</f>
        <v/>
      </c>
      <c r="T546">
        <f>IF($AA546="","",Settings!$C$6)</f>
        <v/>
      </c>
      <c r="U546" s="7">
        <f>IF($AA546="","",SUMIFS('Per Line'!$Y$2:$Y$4001,'Per Line'!$E$2:$E$4001,$B546,'Per Line'!$AP$2:$AP$4001,1,'Per Line'!$AQ$2:$AQ$4001,0))</f>
        <v/>
      </c>
      <c r="V546" s="7">
        <f>IF($AA546="","",U546*T546)</f>
        <v/>
      </c>
      <c r="W546" s="7">
        <f>IF($AA546="","",V546+S546)</f>
        <v/>
      </c>
      <c r="X546" s="7">
        <f>IF($AA546="","",Y546-W546)</f>
        <v/>
      </c>
      <c r="Y546" s="7">
        <f>IF($AA546="","",R546+U546+P546)</f>
        <v/>
      </c>
      <c r="Z546" s="7">
        <f>IF($AA546="","",Y546-W546-L546)</f>
        <v/>
      </c>
      <c r="AA546" s="13">
        <f>IF(ROWS($AA$2:$AA546)&lt;=MAX('Per Line'!$AO$2:$AO$4001),MATCH(ROWS($AA$2:$AA546),'Per Line'!$AO$2:$AO$4001,0),"")</f>
        <v/>
      </c>
      <c r="AB546" s="14">
        <f>IF($AA546="","",L546-K546*Y546/100)</f>
        <v/>
      </c>
    </row>
    <row r="547">
      <c r="A547" s="12" t="n"/>
      <c r="B547">
        <f>IF($AA547="","",INDEX('Per Line'!$E$2:$E$4001,$AA547)&amp;"")</f>
        <v/>
      </c>
      <c r="C547">
        <f>IF($AA547="","",INDEX('Per Line'!$A$2:$A$4001,$AA547)&amp;"")</f>
        <v/>
      </c>
      <c r="D547">
        <f>IF($AA547="","",INDEX('Per Line'!$D$2:$D$4001,$AA547)&amp;"")</f>
        <v/>
      </c>
      <c r="E547" s="11">
        <f>IF($AA547="","",INDEX('Per Line'!$G$2:$G$4001,$AA547))</f>
        <v/>
      </c>
      <c r="F547">
        <f>IF($AA547="","",INDEX('Per Line'!$H$2:$H$4001,$AA547)&amp;"")</f>
        <v/>
      </c>
      <c r="G547">
        <f>IF($AA547="","",INDEX('Per Line'!$I$2:$I$4001,$AA547)&amp;"")</f>
        <v/>
      </c>
      <c r="H547">
        <f>IF($AA547="","",INDEX('Per Line'!$J$2:$J$4001,$AA547)&amp;"")</f>
        <v/>
      </c>
      <c r="I547">
        <f>IF($AA547="","",INDEX('Per Line'!$K$2:$K$4001,$AA547)&amp;"")</f>
        <v/>
      </c>
      <c r="J547">
        <f>IF($AA547="","",INDEX('Per Line'!$L$2:$L$4001,$AA547)&amp;"")</f>
        <v/>
      </c>
      <c r="K547">
        <f>IF($AA547="","",INDEX('Per Line'!$P$2:$P$4001,$AA547))</f>
        <v/>
      </c>
      <c r="L547" s="7">
        <f>IF($AA547="","",IF(AND(ISNUMBER(N547),N547&gt;0,Y547&gt;N547),K547*N547/100+(Y547-N547),K547*Y547/100))</f>
        <v/>
      </c>
      <c r="M547">
        <f>IF($AA547="","",INDEX('Per Line'!$Z$2:$Z$4001,$AA547)&amp;"")</f>
        <v/>
      </c>
      <c r="N547">
        <f>IF($AA547="","",INDEX('Per Line'!$AG$2:$AG$4001,$AA547))</f>
        <v/>
      </c>
      <c r="O547">
        <f>IF($AA547="","",IF(AND(ISNUMBER(N547),N547&gt;0),Y547&gt;N547,FALSE))</f>
        <v/>
      </c>
      <c r="P547" s="7">
        <f>IF($AA547="","",SUMIFS('Per Line'!$Y$2:$Y$4001,'Per Line'!$E$2:$E$4001,$B547,'Per Line'!$AQ$2:$AQ$4001,1))</f>
        <v/>
      </c>
      <c r="Q547">
        <f>IF($AA547="","",Settings!$C$7)</f>
        <v/>
      </c>
      <c r="R547" s="7">
        <f>IF($AA547="","",SUMIFS('Per Line'!$Y$2:$Y$4001,'Per Line'!$E$2:$E$4001,$B547,'Per Line'!$AP$2:$AP$4001,0,'Per Line'!$AQ$2:$AQ$4001,0))</f>
        <v/>
      </c>
      <c r="S547" s="7">
        <f>IF($AA547="","",R547*Q547)</f>
        <v/>
      </c>
      <c r="T547">
        <f>IF($AA547="","",Settings!$C$6)</f>
        <v/>
      </c>
      <c r="U547" s="7">
        <f>IF($AA547="","",SUMIFS('Per Line'!$Y$2:$Y$4001,'Per Line'!$E$2:$E$4001,$B547,'Per Line'!$AP$2:$AP$4001,1,'Per Line'!$AQ$2:$AQ$4001,0))</f>
        <v/>
      </c>
      <c r="V547" s="7">
        <f>IF($AA547="","",U547*T547)</f>
        <v/>
      </c>
      <c r="W547" s="7">
        <f>IF($AA547="","",V547+S547)</f>
        <v/>
      </c>
      <c r="X547" s="7">
        <f>IF($AA547="","",Y547-W547)</f>
        <v/>
      </c>
      <c r="Y547" s="7">
        <f>IF($AA547="","",R547+U547+P547)</f>
        <v/>
      </c>
      <c r="Z547" s="7">
        <f>IF($AA547="","",Y547-W547-L547)</f>
        <v/>
      </c>
      <c r="AA547" s="13">
        <f>IF(ROWS($AA$2:$AA547)&lt;=MAX('Per Line'!$AO$2:$AO$4001),MATCH(ROWS($AA$2:$AA547),'Per Line'!$AO$2:$AO$4001,0),"")</f>
        <v/>
      </c>
      <c r="AB547" s="14">
        <f>IF($AA547="","",L547-K547*Y547/100)</f>
        <v/>
      </c>
    </row>
    <row r="548">
      <c r="A548" s="12" t="n"/>
      <c r="B548">
        <f>IF($AA548="","",INDEX('Per Line'!$E$2:$E$4001,$AA548)&amp;"")</f>
        <v/>
      </c>
      <c r="C548">
        <f>IF($AA548="","",INDEX('Per Line'!$A$2:$A$4001,$AA548)&amp;"")</f>
        <v/>
      </c>
      <c r="D548">
        <f>IF($AA548="","",INDEX('Per Line'!$D$2:$D$4001,$AA548)&amp;"")</f>
        <v/>
      </c>
      <c r="E548" s="11">
        <f>IF($AA548="","",INDEX('Per Line'!$G$2:$G$4001,$AA548))</f>
        <v/>
      </c>
      <c r="F548">
        <f>IF($AA548="","",INDEX('Per Line'!$H$2:$H$4001,$AA548)&amp;"")</f>
        <v/>
      </c>
      <c r="G548">
        <f>IF($AA548="","",INDEX('Per Line'!$I$2:$I$4001,$AA548)&amp;"")</f>
        <v/>
      </c>
      <c r="H548">
        <f>IF($AA548="","",INDEX('Per Line'!$J$2:$J$4001,$AA548)&amp;"")</f>
        <v/>
      </c>
      <c r="I548">
        <f>IF($AA548="","",INDEX('Per Line'!$K$2:$K$4001,$AA548)&amp;"")</f>
        <v/>
      </c>
      <c r="J548">
        <f>IF($AA548="","",INDEX('Per Line'!$L$2:$L$4001,$AA548)&amp;"")</f>
        <v/>
      </c>
      <c r="K548">
        <f>IF($AA548="","",INDEX('Per Line'!$P$2:$P$4001,$AA548))</f>
        <v/>
      </c>
      <c r="L548" s="7">
        <f>IF($AA548="","",IF(AND(ISNUMBER(N548),N548&gt;0,Y548&gt;N548),K548*N548/100+(Y548-N548),K548*Y548/100))</f>
        <v/>
      </c>
      <c r="M548">
        <f>IF($AA548="","",INDEX('Per Line'!$Z$2:$Z$4001,$AA548)&amp;"")</f>
        <v/>
      </c>
      <c r="N548">
        <f>IF($AA548="","",INDEX('Per Line'!$AG$2:$AG$4001,$AA548))</f>
        <v/>
      </c>
      <c r="O548">
        <f>IF($AA548="","",IF(AND(ISNUMBER(N548),N548&gt;0),Y548&gt;N548,FALSE))</f>
        <v/>
      </c>
      <c r="P548" s="7">
        <f>IF($AA548="","",SUMIFS('Per Line'!$Y$2:$Y$4001,'Per Line'!$E$2:$E$4001,$B548,'Per Line'!$AQ$2:$AQ$4001,1))</f>
        <v/>
      </c>
      <c r="Q548">
        <f>IF($AA548="","",Settings!$C$7)</f>
        <v/>
      </c>
      <c r="R548" s="7">
        <f>IF($AA548="","",SUMIFS('Per Line'!$Y$2:$Y$4001,'Per Line'!$E$2:$E$4001,$B548,'Per Line'!$AP$2:$AP$4001,0,'Per Line'!$AQ$2:$AQ$4001,0))</f>
        <v/>
      </c>
      <c r="S548" s="7">
        <f>IF($AA548="","",R548*Q548)</f>
        <v/>
      </c>
      <c r="T548">
        <f>IF($AA548="","",Settings!$C$6)</f>
        <v/>
      </c>
      <c r="U548" s="7">
        <f>IF($AA548="","",SUMIFS('Per Line'!$Y$2:$Y$4001,'Per Line'!$E$2:$E$4001,$B548,'Per Line'!$AP$2:$AP$4001,1,'Per Line'!$AQ$2:$AQ$4001,0))</f>
        <v/>
      </c>
      <c r="V548" s="7">
        <f>IF($AA548="","",U548*T548)</f>
        <v/>
      </c>
      <c r="W548" s="7">
        <f>IF($AA548="","",V548+S548)</f>
        <v/>
      </c>
      <c r="X548" s="7">
        <f>IF($AA548="","",Y548-W548)</f>
        <v/>
      </c>
      <c r="Y548" s="7">
        <f>IF($AA548="","",R548+U548+P548)</f>
        <v/>
      </c>
      <c r="Z548" s="7">
        <f>IF($AA548="","",Y548-W548-L548)</f>
        <v/>
      </c>
      <c r="AA548" s="13">
        <f>IF(ROWS($AA$2:$AA548)&lt;=MAX('Per Line'!$AO$2:$AO$4001),MATCH(ROWS($AA$2:$AA548),'Per Line'!$AO$2:$AO$4001,0),"")</f>
        <v/>
      </c>
      <c r="AB548" s="14">
        <f>IF($AA548="","",L548-K548*Y548/100)</f>
        <v/>
      </c>
    </row>
    <row r="549">
      <c r="A549" s="12" t="n"/>
      <c r="B549">
        <f>IF($AA549="","",INDEX('Per Line'!$E$2:$E$4001,$AA549)&amp;"")</f>
        <v/>
      </c>
      <c r="C549">
        <f>IF($AA549="","",INDEX('Per Line'!$A$2:$A$4001,$AA549)&amp;"")</f>
        <v/>
      </c>
      <c r="D549">
        <f>IF($AA549="","",INDEX('Per Line'!$D$2:$D$4001,$AA549)&amp;"")</f>
        <v/>
      </c>
      <c r="E549" s="11">
        <f>IF($AA549="","",INDEX('Per Line'!$G$2:$G$4001,$AA549))</f>
        <v/>
      </c>
      <c r="F549">
        <f>IF($AA549="","",INDEX('Per Line'!$H$2:$H$4001,$AA549)&amp;"")</f>
        <v/>
      </c>
      <c r="G549">
        <f>IF($AA549="","",INDEX('Per Line'!$I$2:$I$4001,$AA549)&amp;"")</f>
        <v/>
      </c>
      <c r="H549">
        <f>IF($AA549="","",INDEX('Per Line'!$J$2:$J$4001,$AA549)&amp;"")</f>
        <v/>
      </c>
      <c r="I549">
        <f>IF($AA549="","",INDEX('Per Line'!$K$2:$K$4001,$AA549)&amp;"")</f>
        <v/>
      </c>
      <c r="J549">
        <f>IF($AA549="","",INDEX('Per Line'!$L$2:$L$4001,$AA549)&amp;"")</f>
        <v/>
      </c>
      <c r="K549">
        <f>IF($AA549="","",INDEX('Per Line'!$P$2:$P$4001,$AA549))</f>
        <v/>
      </c>
      <c r="L549" s="7">
        <f>IF($AA549="","",IF(AND(ISNUMBER(N549),N549&gt;0,Y549&gt;N549),K549*N549/100+(Y549-N549),K549*Y549/100))</f>
        <v/>
      </c>
      <c r="M549">
        <f>IF($AA549="","",INDEX('Per Line'!$Z$2:$Z$4001,$AA549)&amp;"")</f>
        <v/>
      </c>
      <c r="N549">
        <f>IF($AA549="","",INDEX('Per Line'!$AG$2:$AG$4001,$AA549))</f>
        <v/>
      </c>
      <c r="O549">
        <f>IF($AA549="","",IF(AND(ISNUMBER(N549),N549&gt;0),Y549&gt;N549,FALSE))</f>
        <v/>
      </c>
      <c r="P549" s="7">
        <f>IF($AA549="","",SUMIFS('Per Line'!$Y$2:$Y$4001,'Per Line'!$E$2:$E$4001,$B549,'Per Line'!$AQ$2:$AQ$4001,1))</f>
        <v/>
      </c>
      <c r="Q549">
        <f>IF($AA549="","",Settings!$C$7)</f>
        <v/>
      </c>
      <c r="R549" s="7">
        <f>IF($AA549="","",SUMIFS('Per Line'!$Y$2:$Y$4001,'Per Line'!$E$2:$E$4001,$B549,'Per Line'!$AP$2:$AP$4001,0,'Per Line'!$AQ$2:$AQ$4001,0))</f>
        <v/>
      </c>
      <c r="S549" s="7">
        <f>IF($AA549="","",R549*Q549)</f>
        <v/>
      </c>
      <c r="T549">
        <f>IF($AA549="","",Settings!$C$6)</f>
        <v/>
      </c>
      <c r="U549" s="7">
        <f>IF($AA549="","",SUMIFS('Per Line'!$Y$2:$Y$4001,'Per Line'!$E$2:$E$4001,$B549,'Per Line'!$AP$2:$AP$4001,1,'Per Line'!$AQ$2:$AQ$4001,0))</f>
        <v/>
      </c>
      <c r="V549" s="7">
        <f>IF($AA549="","",U549*T549)</f>
        <v/>
      </c>
      <c r="W549" s="7">
        <f>IF($AA549="","",V549+S549)</f>
        <v/>
      </c>
      <c r="X549" s="7">
        <f>IF($AA549="","",Y549-W549)</f>
        <v/>
      </c>
      <c r="Y549" s="7">
        <f>IF($AA549="","",R549+U549+P549)</f>
        <v/>
      </c>
      <c r="Z549" s="7">
        <f>IF($AA549="","",Y549-W549-L549)</f>
        <v/>
      </c>
      <c r="AA549" s="13">
        <f>IF(ROWS($AA$2:$AA549)&lt;=MAX('Per Line'!$AO$2:$AO$4001),MATCH(ROWS($AA$2:$AA549),'Per Line'!$AO$2:$AO$4001,0),"")</f>
        <v/>
      </c>
      <c r="AB549" s="14">
        <f>IF($AA549="","",L549-K549*Y549/100)</f>
        <v/>
      </c>
    </row>
    <row r="550">
      <c r="A550" s="12" t="n"/>
      <c r="B550">
        <f>IF($AA550="","",INDEX('Per Line'!$E$2:$E$4001,$AA550)&amp;"")</f>
        <v/>
      </c>
      <c r="C550">
        <f>IF($AA550="","",INDEX('Per Line'!$A$2:$A$4001,$AA550)&amp;"")</f>
        <v/>
      </c>
      <c r="D550">
        <f>IF($AA550="","",INDEX('Per Line'!$D$2:$D$4001,$AA550)&amp;"")</f>
        <v/>
      </c>
      <c r="E550" s="11">
        <f>IF($AA550="","",INDEX('Per Line'!$G$2:$G$4001,$AA550))</f>
        <v/>
      </c>
      <c r="F550">
        <f>IF($AA550="","",INDEX('Per Line'!$H$2:$H$4001,$AA550)&amp;"")</f>
        <v/>
      </c>
      <c r="G550">
        <f>IF($AA550="","",INDEX('Per Line'!$I$2:$I$4001,$AA550)&amp;"")</f>
        <v/>
      </c>
      <c r="H550">
        <f>IF($AA550="","",INDEX('Per Line'!$J$2:$J$4001,$AA550)&amp;"")</f>
        <v/>
      </c>
      <c r="I550">
        <f>IF($AA550="","",INDEX('Per Line'!$K$2:$K$4001,$AA550)&amp;"")</f>
        <v/>
      </c>
      <c r="J550">
        <f>IF($AA550="","",INDEX('Per Line'!$L$2:$L$4001,$AA550)&amp;"")</f>
        <v/>
      </c>
      <c r="K550">
        <f>IF($AA550="","",INDEX('Per Line'!$P$2:$P$4001,$AA550))</f>
        <v/>
      </c>
      <c r="L550" s="7">
        <f>IF($AA550="","",IF(AND(ISNUMBER(N550),N550&gt;0,Y550&gt;N550),K550*N550/100+(Y550-N550),K550*Y550/100))</f>
        <v/>
      </c>
      <c r="M550">
        <f>IF($AA550="","",INDEX('Per Line'!$Z$2:$Z$4001,$AA550)&amp;"")</f>
        <v/>
      </c>
      <c r="N550">
        <f>IF($AA550="","",INDEX('Per Line'!$AG$2:$AG$4001,$AA550))</f>
        <v/>
      </c>
      <c r="O550">
        <f>IF($AA550="","",IF(AND(ISNUMBER(N550),N550&gt;0),Y550&gt;N550,FALSE))</f>
        <v/>
      </c>
      <c r="P550" s="7">
        <f>IF($AA550="","",SUMIFS('Per Line'!$Y$2:$Y$4001,'Per Line'!$E$2:$E$4001,$B550,'Per Line'!$AQ$2:$AQ$4001,1))</f>
        <v/>
      </c>
      <c r="Q550">
        <f>IF($AA550="","",Settings!$C$7)</f>
        <v/>
      </c>
      <c r="R550" s="7">
        <f>IF($AA550="","",SUMIFS('Per Line'!$Y$2:$Y$4001,'Per Line'!$E$2:$E$4001,$B550,'Per Line'!$AP$2:$AP$4001,0,'Per Line'!$AQ$2:$AQ$4001,0))</f>
        <v/>
      </c>
      <c r="S550" s="7">
        <f>IF($AA550="","",R550*Q550)</f>
        <v/>
      </c>
      <c r="T550">
        <f>IF($AA550="","",Settings!$C$6)</f>
        <v/>
      </c>
      <c r="U550" s="7">
        <f>IF($AA550="","",SUMIFS('Per Line'!$Y$2:$Y$4001,'Per Line'!$E$2:$E$4001,$B550,'Per Line'!$AP$2:$AP$4001,1,'Per Line'!$AQ$2:$AQ$4001,0))</f>
        <v/>
      </c>
      <c r="V550" s="7">
        <f>IF($AA550="","",U550*T550)</f>
        <v/>
      </c>
      <c r="W550" s="7">
        <f>IF($AA550="","",V550+S550)</f>
        <v/>
      </c>
      <c r="X550" s="7">
        <f>IF($AA550="","",Y550-W550)</f>
        <v/>
      </c>
      <c r="Y550" s="7">
        <f>IF($AA550="","",R550+U550+P550)</f>
        <v/>
      </c>
      <c r="Z550" s="7">
        <f>IF($AA550="","",Y550-W550-L550)</f>
        <v/>
      </c>
      <c r="AA550" s="13">
        <f>IF(ROWS($AA$2:$AA550)&lt;=MAX('Per Line'!$AO$2:$AO$4001),MATCH(ROWS($AA$2:$AA550),'Per Line'!$AO$2:$AO$4001,0),"")</f>
        <v/>
      </c>
      <c r="AB550" s="14">
        <f>IF($AA550="","",L550-K550*Y550/100)</f>
        <v/>
      </c>
    </row>
    <row r="551">
      <c r="A551" s="12" t="n"/>
      <c r="B551">
        <f>IF($AA551="","",INDEX('Per Line'!$E$2:$E$4001,$AA551)&amp;"")</f>
        <v/>
      </c>
      <c r="C551">
        <f>IF($AA551="","",INDEX('Per Line'!$A$2:$A$4001,$AA551)&amp;"")</f>
        <v/>
      </c>
      <c r="D551">
        <f>IF($AA551="","",INDEX('Per Line'!$D$2:$D$4001,$AA551)&amp;"")</f>
        <v/>
      </c>
      <c r="E551" s="11">
        <f>IF($AA551="","",INDEX('Per Line'!$G$2:$G$4001,$AA551))</f>
        <v/>
      </c>
      <c r="F551">
        <f>IF($AA551="","",INDEX('Per Line'!$H$2:$H$4001,$AA551)&amp;"")</f>
        <v/>
      </c>
      <c r="G551">
        <f>IF($AA551="","",INDEX('Per Line'!$I$2:$I$4001,$AA551)&amp;"")</f>
        <v/>
      </c>
      <c r="H551">
        <f>IF($AA551="","",INDEX('Per Line'!$J$2:$J$4001,$AA551)&amp;"")</f>
        <v/>
      </c>
      <c r="I551">
        <f>IF($AA551="","",INDEX('Per Line'!$K$2:$K$4001,$AA551)&amp;"")</f>
        <v/>
      </c>
      <c r="J551">
        <f>IF($AA551="","",INDEX('Per Line'!$L$2:$L$4001,$AA551)&amp;"")</f>
        <v/>
      </c>
      <c r="K551">
        <f>IF($AA551="","",INDEX('Per Line'!$P$2:$P$4001,$AA551))</f>
        <v/>
      </c>
      <c r="L551" s="7">
        <f>IF($AA551="","",IF(AND(ISNUMBER(N551),N551&gt;0,Y551&gt;N551),K551*N551/100+(Y551-N551),K551*Y551/100))</f>
        <v/>
      </c>
      <c r="M551">
        <f>IF($AA551="","",INDEX('Per Line'!$Z$2:$Z$4001,$AA551)&amp;"")</f>
        <v/>
      </c>
      <c r="N551">
        <f>IF($AA551="","",INDEX('Per Line'!$AG$2:$AG$4001,$AA551))</f>
        <v/>
      </c>
      <c r="O551">
        <f>IF($AA551="","",IF(AND(ISNUMBER(N551),N551&gt;0),Y551&gt;N551,FALSE))</f>
        <v/>
      </c>
      <c r="P551" s="7">
        <f>IF($AA551="","",SUMIFS('Per Line'!$Y$2:$Y$4001,'Per Line'!$E$2:$E$4001,$B551,'Per Line'!$AQ$2:$AQ$4001,1))</f>
        <v/>
      </c>
      <c r="Q551">
        <f>IF($AA551="","",Settings!$C$7)</f>
        <v/>
      </c>
      <c r="R551" s="7">
        <f>IF($AA551="","",SUMIFS('Per Line'!$Y$2:$Y$4001,'Per Line'!$E$2:$E$4001,$B551,'Per Line'!$AP$2:$AP$4001,0,'Per Line'!$AQ$2:$AQ$4001,0))</f>
        <v/>
      </c>
      <c r="S551" s="7">
        <f>IF($AA551="","",R551*Q551)</f>
        <v/>
      </c>
      <c r="T551">
        <f>IF($AA551="","",Settings!$C$6)</f>
        <v/>
      </c>
      <c r="U551" s="7">
        <f>IF($AA551="","",SUMIFS('Per Line'!$Y$2:$Y$4001,'Per Line'!$E$2:$E$4001,$B551,'Per Line'!$AP$2:$AP$4001,1,'Per Line'!$AQ$2:$AQ$4001,0))</f>
        <v/>
      </c>
      <c r="V551" s="7">
        <f>IF($AA551="","",U551*T551)</f>
        <v/>
      </c>
      <c r="W551" s="7">
        <f>IF($AA551="","",V551+S551)</f>
        <v/>
      </c>
      <c r="X551" s="7">
        <f>IF($AA551="","",Y551-W551)</f>
        <v/>
      </c>
      <c r="Y551" s="7">
        <f>IF($AA551="","",R551+U551+P551)</f>
        <v/>
      </c>
      <c r="Z551" s="7">
        <f>IF($AA551="","",Y551-W551-L551)</f>
        <v/>
      </c>
      <c r="AA551" s="13">
        <f>IF(ROWS($AA$2:$AA551)&lt;=MAX('Per Line'!$AO$2:$AO$4001),MATCH(ROWS($AA$2:$AA551),'Per Line'!$AO$2:$AO$4001,0),"")</f>
        <v/>
      </c>
      <c r="AB551" s="14">
        <f>IF($AA551="","",L551-K551*Y551/100)</f>
        <v/>
      </c>
    </row>
    <row r="552">
      <c r="A552" s="12" t="n"/>
      <c r="B552">
        <f>IF($AA552="","",INDEX('Per Line'!$E$2:$E$4001,$AA552)&amp;"")</f>
        <v/>
      </c>
      <c r="C552">
        <f>IF($AA552="","",INDEX('Per Line'!$A$2:$A$4001,$AA552)&amp;"")</f>
        <v/>
      </c>
      <c r="D552">
        <f>IF($AA552="","",INDEX('Per Line'!$D$2:$D$4001,$AA552)&amp;"")</f>
        <v/>
      </c>
      <c r="E552" s="11">
        <f>IF($AA552="","",INDEX('Per Line'!$G$2:$G$4001,$AA552))</f>
        <v/>
      </c>
      <c r="F552">
        <f>IF($AA552="","",INDEX('Per Line'!$H$2:$H$4001,$AA552)&amp;"")</f>
        <v/>
      </c>
      <c r="G552">
        <f>IF($AA552="","",INDEX('Per Line'!$I$2:$I$4001,$AA552)&amp;"")</f>
        <v/>
      </c>
      <c r="H552">
        <f>IF($AA552="","",INDEX('Per Line'!$J$2:$J$4001,$AA552)&amp;"")</f>
        <v/>
      </c>
      <c r="I552">
        <f>IF($AA552="","",INDEX('Per Line'!$K$2:$K$4001,$AA552)&amp;"")</f>
        <v/>
      </c>
      <c r="J552">
        <f>IF($AA552="","",INDEX('Per Line'!$L$2:$L$4001,$AA552)&amp;"")</f>
        <v/>
      </c>
      <c r="K552">
        <f>IF($AA552="","",INDEX('Per Line'!$P$2:$P$4001,$AA552))</f>
        <v/>
      </c>
      <c r="L552" s="7">
        <f>IF($AA552="","",IF(AND(ISNUMBER(N552),N552&gt;0,Y552&gt;N552),K552*N552/100+(Y552-N552),K552*Y552/100))</f>
        <v/>
      </c>
      <c r="M552">
        <f>IF($AA552="","",INDEX('Per Line'!$Z$2:$Z$4001,$AA552)&amp;"")</f>
        <v/>
      </c>
      <c r="N552">
        <f>IF($AA552="","",INDEX('Per Line'!$AG$2:$AG$4001,$AA552))</f>
        <v/>
      </c>
      <c r="O552">
        <f>IF($AA552="","",IF(AND(ISNUMBER(N552),N552&gt;0),Y552&gt;N552,FALSE))</f>
        <v/>
      </c>
      <c r="P552" s="7">
        <f>IF($AA552="","",SUMIFS('Per Line'!$Y$2:$Y$4001,'Per Line'!$E$2:$E$4001,$B552,'Per Line'!$AQ$2:$AQ$4001,1))</f>
        <v/>
      </c>
      <c r="Q552">
        <f>IF($AA552="","",Settings!$C$7)</f>
        <v/>
      </c>
      <c r="R552" s="7">
        <f>IF($AA552="","",SUMIFS('Per Line'!$Y$2:$Y$4001,'Per Line'!$E$2:$E$4001,$B552,'Per Line'!$AP$2:$AP$4001,0,'Per Line'!$AQ$2:$AQ$4001,0))</f>
        <v/>
      </c>
      <c r="S552" s="7">
        <f>IF($AA552="","",R552*Q552)</f>
        <v/>
      </c>
      <c r="T552">
        <f>IF($AA552="","",Settings!$C$6)</f>
        <v/>
      </c>
      <c r="U552" s="7">
        <f>IF($AA552="","",SUMIFS('Per Line'!$Y$2:$Y$4001,'Per Line'!$E$2:$E$4001,$B552,'Per Line'!$AP$2:$AP$4001,1,'Per Line'!$AQ$2:$AQ$4001,0))</f>
        <v/>
      </c>
      <c r="V552" s="7">
        <f>IF($AA552="","",U552*T552)</f>
        <v/>
      </c>
      <c r="W552" s="7">
        <f>IF($AA552="","",V552+S552)</f>
        <v/>
      </c>
      <c r="X552" s="7">
        <f>IF($AA552="","",Y552-W552)</f>
        <v/>
      </c>
      <c r="Y552" s="7">
        <f>IF($AA552="","",R552+U552+P552)</f>
        <v/>
      </c>
      <c r="Z552" s="7">
        <f>IF($AA552="","",Y552-W552-L552)</f>
        <v/>
      </c>
      <c r="AA552" s="13">
        <f>IF(ROWS($AA$2:$AA552)&lt;=MAX('Per Line'!$AO$2:$AO$4001),MATCH(ROWS($AA$2:$AA552),'Per Line'!$AO$2:$AO$4001,0),"")</f>
        <v/>
      </c>
      <c r="AB552" s="14">
        <f>IF($AA552="","",L552-K552*Y552/100)</f>
        <v/>
      </c>
    </row>
    <row r="553">
      <c r="A553" s="12" t="n"/>
      <c r="B553">
        <f>IF($AA553="","",INDEX('Per Line'!$E$2:$E$4001,$AA553)&amp;"")</f>
        <v/>
      </c>
      <c r="C553">
        <f>IF($AA553="","",INDEX('Per Line'!$A$2:$A$4001,$AA553)&amp;"")</f>
        <v/>
      </c>
      <c r="D553">
        <f>IF($AA553="","",INDEX('Per Line'!$D$2:$D$4001,$AA553)&amp;"")</f>
        <v/>
      </c>
      <c r="E553" s="11">
        <f>IF($AA553="","",INDEX('Per Line'!$G$2:$G$4001,$AA553))</f>
        <v/>
      </c>
      <c r="F553">
        <f>IF($AA553="","",INDEX('Per Line'!$H$2:$H$4001,$AA553)&amp;"")</f>
        <v/>
      </c>
      <c r="G553">
        <f>IF($AA553="","",INDEX('Per Line'!$I$2:$I$4001,$AA553)&amp;"")</f>
        <v/>
      </c>
      <c r="H553">
        <f>IF($AA553="","",INDEX('Per Line'!$J$2:$J$4001,$AA553)&amp;"")</f>
        <v/>
      </c>
      <c r="I553">
        <f>IF($AA553="","",INDEX('Per Line'!$K$2:$K$4001,$AA553)&amp;"")</f>
        <v/>
      </c>
      <c r="J553">
        <f>IF($AA553="","",INDEX('Per Line'!$L$2:$L$4001,$AA553)&amp;"")</f>
        <v/>
      </c>
      <c r="K553">
        <f>IF($AA553="","",INDEX('Per Line'!$P$2:$P$4001,$AA553))</f>
        <v/>
      </c>
      <c r="L553" s="7">
        <f>IF($AA553="","",IF(AND(ISNUMBER(N553),N553&gt;0,Y553&gt;N553),K553*N553/100+(Y553-N553),K553*Y553/100))</f>
        <v/>
      </c>
      <c r="M553">
        <f>IF($AA553="","",INDEX('Per Line'!$Z$2:$Z$4001,$AA553)&amp;"")</f>
        <v/>
      </c>
      <c r="N553">
        <f>IF($AA553="","",INDEX('Per Line'!$AG$2:$AG$4001,$AA553))</f>
        <v/>
      </c>
      <c r="O553">
        <f>IF($AA553="","",IF(AND(ISNUMBER(N553),N553&gt;0),Y553&gt;N553,FALSE))</f>
        <v/>
      </c>
      <c r="P553" s="7">
        <f>IF($AA553="","",SUMIFS('Per Line'!$Y$2:$Y$4001,'Per Line'!$E$2:$E$4001,$B553,'Per Line'!$AQ$2:$AQ$4001,1))</f>
        <v/>
      </c>
      <c r="Q553">
        <f>IF($AA553="","",Settings!$C$7)</f>
        <v/>
      </c>
      <c r="R553" s="7">
        <f>IF($AA553="","",SUMIFS('Per Line'!$Y$2:$Y$4001,'Per Line'!$E$2:$E$4001,$B553,'Per Line'!$AP$2:$AP$4001,0,'Per Line'!$AQ$2:$AQ$4001,0))</f>
        <v/>
      </c>
      <c r="S553" s="7">
        <f>IF($AA553="","",R553*Q553)</f>
        <v/>
      </c>
      <c r="T553">
        <f>IF($AA553="","",Settings!$C$6)</f>
        <v/>
      </c>
      <c r="U553" s="7">
        <f>IF($AA553="","",SUMIFS('Per Line'!$Y$2:$Y$4001,'Per Line'!$E$2:$E$4001,$B553,'Per Line'!$AP$2:$AP$4001,1,'Per Line'!$AQ$2:$AQ$4001,0))</f>
        <v/>
      </c>
      <c r="V553" s="7">
        <f>IF($AA553="","",U553*T553)</f>
        <v/>
      </c>
      <c r="W553" s="7">
        <f>IF($AA553="","",V553+S553)</f>
        <v/>
      </c>
      <c r="X553" s="7">
        <f>IF($AA553="","",Y553-W553)</f>
        <v/>
      </c>
      <c r="Y553" s="7">
        <f>IF($AA553="","",R553+U553+P553)</f>
        <v/>
      </c>
      <c r="Z553" s="7">
        <f>IF($AA553="","",Y553-W553-L553)</f>
        <v/>
      </c>
      <c r="AA553" s="13">
        <f>IF(ROWS($AA$2:$AA553)&lt;=MAX('Per Line'!$AO$2:$AO$4001),MATCH(ROWS($AA$2:$AA553),'Per Line'!$AO$2:$AO$4001,0),"")</f>
        <v/>
      </c>
      <c r="AB553" s="14">
        <f>IF($AA553="","",L553-K553*Y553/100)</f>
        <v/>
      </c>
    </row>
    <row r="554">
      <c r="A554" s="12" t="n"/>
      <c r="B554">
        <f>IF($AA554="","",INDEX('Per Line'!$E$2:$E$4001,$AA554)&amp;"")</f>
        <v/>
      </c>
      <c r="C554">
        <f>IF($AA554="","",INDEX('Per Line'!$A$2:$A$4001,$AA554)&amp;"")</f>
        <v/>
      </c>
      <c r="D554">
        <f>IF($AA554="","",INDEX('Per Line'!$D$2:$D$4001,$AA554)&amp;"")</f>
        <v/>
      </c>
      <c r="E554" s="11">
        <f>IF($AA554="","",INDEX('Per Line'!$G$2:$G$4001,$AA554))</f>
        <v/>
      </c>
      <c r="F554">
        <f>IF($AA554="","",INDEX('Per Line'!$H$2:$H$4001,$AA554)&amp;"")</f>
        <v/>
      </c>
      <c r="G554">
        <f>IF($AA554="","",INDEX('Per Line'!$I$2:$I$4001,$AA554)&amp;"")</f>
        <v/>
      </c>
      <c r="H554">
        <f>IF($AA554="","",INDEX('Per Line'!$J$2:$J$4001,$AA554)&amp;"")</f>
        <v/>
      </c>
      <c r="I554">
        <f>IF($AA554="","",INDEX('Per Line'!$K$2:$K$4001,$AA554)&amp;"")</f>
        <v/>
      </c>
      <c r="J554">
        <f>IF($AA554="","",INDEX('Per Line'!$L$2:$L$4001,$AA554)&amp;"")</f>
        <v/>
      </c>
      <c r="K554">
        <f>IF($AA554="","",INDEX('Per Line'!$P$2:$P$4001,$AA554))</f>
        <v/>
      </c>
      <c r="L554" s="7">
        <f>IF($AA554="","",IF(AND(ISNUMBER(N554),N554&gt;0,Y554&gt;N554),K554*N554/100+(Y554-N554),K554*Y554/100))</f>
        <v/>
      </c>
      <c r="M554">
        <f>IF($AA554="","",INDEX('Per Line'!$Z$2:$Z$4001,$AA554)&amp;"")</f>
        <v/>
      </c>
      <c r="N554">
        <f>IF($AA554="","",INDEX('Per Line'!$AG$2:$AG$4001,$AA554))</f>
        <v/>
      </c>
      <c r="O554">
        <f>IF($AA554="","",IF(AND(ISNUMBER(N554),N554&gt;0),Y554&gt;N554,FALSE))</f>
        <v/>
      </c>
      <c r="P554" s="7">
        <f>IF($AA554="","",SUMIFS('Per Line'!$Y$2:$Y$4001,'Per Line'!$E$2:$E$4001,$B554,'Per Line'!$AQ$2:$AQ$4001,1))</f>
        <v/>
      </c>
      <c r="Q554">
        <f>IF($AA554="","",Settings!$C$7)</f>
        <v/>
      </c>
      <c r="R554" s="7">
        <f>IF($AA554="","",SUMIFS('Per Line'!$Y$2:$Y$4001,'Per Line'!$E$2:$E$4001,$B554,'Per Line'!$AP$2:$AP$4001,0,'Per Line'!$AQ$2:$AQ$4001,0))</f>
        <v/>
      </c>
      <c r="S554" s="7">
        <f>IF($AA554="","",R554*Q554)</f>
        <v/>
      </c>
      <c r="T554">
        <f>IF($AA554="","",Settings!$C$6)</f>
        <v/>
      </c>
      <c r="U554" s="7">
        <f>IF($AA554="","",SUMIFS('Per Line'!$Y$2:$Y$4001,'Per Line'!$E$2:$E$4001,$B554,'Per Line'!$AP$2:$AP$4001,1,'Per Line'!$AQ$2:$AQ$4001,0))</f>
        <v/>
      </c>
      <c r="V554" s="7">
        <f>IF($AA554="","",U554*T554)</f>
        <v/>
      </c>
      <c r="W554" s="7">
        <f>IF($AA554="","",V554+S554)</f>
        <v/>
      </c>
      <c r="X554" s="7">
        <f>IF($AA554="","",Y554-W554)</f>
        <v/>
      </c>
      <c r="Y554" s="7">
        <f>IF($AA554="","",R554+U554+P554)</f>
        <v/>
      </c>
      <c r="Z554" s="7">
        <f>IF($AA554="","",Y554-W554-L554)</f>
        <v/>
      </c>
      <c r="AA554" s="13">
        <f>IF(ROWS($AA$2:$AA554)&lt;=MAX('Per Line'!$AO$2:$AO$4001),MATCH(ROWS($AA$2:$AA554),'Per Line'!$AO$2:$AO$4001,0),"")</f>
        <v/>
      </c>
      <c r="AB554" s="14">
        <f>IF($AA554="","",L554-K554*Y554/100)</f>
        <v/>
      </c>
    </row>
    <row r="555">
      <c r="A555" s="12" t="n"/>
      <c r="B555">
        <f>IF($AA555="","",INDEX('Per Line'!$E$2:$E$4001,$AA555)&amp;"")</f>
        <v/>
      </c>
      <c r="C555">
        <f>IF($AA555="","",INDEX('Per Line'!$A$2:$A$4001,$AA555)&amp;"")</f>
        <v/>
      </c>
      <c r="D555">
        <f>IF($AA555="","",INDEX('Per Line'!$D$2:$D$4001,$AA555)&amp;"")</f>
        <v/>
      </c>
      <c r="E555" s="11">
        <f>IF($AA555="","",INDEX('Per Line'!$G$2:$G$4001,$AA555))</f>
        <v/>
      </c>
      <c r="F555">
        <f>IF($AA555="","",INDEX('Per Line'!$H$2:$H$4001,$AA555)&amp;"")</f>
        <v/>
      </c>
      <c r="G555">
        <f>IF($AA555="","",INDEX('Per Line'!$I$2:$I$4001,$AA555)&amp;"")</f>
        <v/>
      </c>
      <c r="H555">
        <f>IF($AA555="","",INDEX('Per Line'!$J$2:$J$4001,$AA555)&amp;"")</f>
        <v/>
      </c>
      <c r="I555">
        <f>IF($AA555="","",INDEX('Per Line'!$K$2:$K$4001,$AA555)&amp;"")</f>
        <v/>
      </c>
      <c r="J555">
        <f>IF($AA555="","",INDEX('Per Line'!$L$2:$L$4001,$AA555)&amp;"")</f>
        <v/>
      </c>
      <c r="K555">
        <f>IF($AA555="","",INDEX('Per Line'!$P$2:$P$4001,$AA555))</f>
        <v/>
      </c>
      <c r="L555" s="7">
        <f>IF($AA555="","",IF(AND(ISNUMBER(N555),N555&gt;0,Y555&gt;N555),K555*N555/100+(Y555-N555),K555*Y555/100))</f>
        <v/>
      </c>
      <c r="M555">
        <f>IF($AA555="","",INDEX('Per Line'!$Z$2:$Z$4001,$AA555)&amp;"")</f>
        <v/>
      </c>
      <c r="N555">
        <f>IF($AA555="","",INDEX('Per Line'!$AG$2:$AG$4001,$AA555))</f>
        <v/>
      </c>
      <c r="O555">
        <f>IF($AA555="","",IF(AND(ISNUMBER(N555),N555&gt;0),Y555&gt;N555,FALSE))</f>
        <v/>
      </c>
      <c r="P555" s="7">
        <f>IF($AA555="","",SUMIFS('Per Line'!$Y$2:$Y$4001,'Per Line'!$E$2:$E$4001,$B555,'Per Line'!$AQ$2:$AQ$4001,1))</f>
        <v/>
      </c>
      <c r="Q555">
        <f>IF($AA555="","",Settings!$C$7)</f>
        <v/>
      </c>
      <c r="R555" s="7">
        <f>IF($AA555="","",SUMIFS('Per Line'!$Y$2:$Y$4001,'Per Line'!$E$2:$E$4001,$B555,'Per Line'!$AP$2:$AP$4001,0,'Per Line'!$AQ$2:$AQ$4001,0))</f>
        <v/>
      </c>
      <c r="S555" s="7">
        <f>IF($AA555="","",R555*Q555)</f>
        <v/>
      </c>
      <c r="T555">
        <f>IF($AA555="","",Settings!$C$6)</f>
        <v/>
      </c>
      <c r="U555" s="7">
        <f>IF($AA555="","",SUMIFS('Per Line'!$Y$2:$Y$4001,'Per Line'!$E$2:$E$4001,$B555,'Per Line'!$AP$2:$AP$4001,1,'Per Line'!$AQ$2:$AQ$4001,0))</f>
        <v/>
      </c>
      <c r="V555" s="7">
        <f>IF($AA555="","",U555*T555)</f>
        <v/>
      </c>
      <c r="W555" s="7">
        <f>IF($AA555="","",V555+S555)</f>
        <v/>
      </c>
      <c r="X555" s="7">
        <f>IF($AA555="","",Y555-W555)</f>
        <v/>
      </c>
      <c r="Y555" s="7">
        <f>IF($AA555="","",R555+U555+P555)</f>
        <v/>
      </c>
      <c r="Z555" s="7">
        <f>IF($AA555="","",Y555-W555-L555)</f>
        <v/>
      </c>
      <c r="AA555" s="13">
        <f>IF(ROWS($AA$2:$AA555)&lt;=MAX('Per Line'!$AO$2:$AO$4001),MATCH(ROWS($AA$2:$AA555),'Per Line'!$AO$2:$AO$4001,0),"")</f>
        <v/>
      </c>
      <c r="AB555" s="14">
        <f>IF($AA555="","",L555-K555*Y555/100)</f>
        <v/>
      </c>
    </row>
    <row r="556">
      <c r="A556" s="12" t="n"/>
      <c r="B556">
        <f>IF($AA556="","",INDEX('Per Line'!$E$2:$E$4001,$AA556)&amp;"")</f>
        <v/>
      </c>
      <c r="C556">
        <f>IF($AA556="","",INDEX('Per Line'!$A$2:$A$4001,$AA556)&amp;"")</f>
        <v/>
      </c>
      <c r="D556">
        <f>IF($AA556="","",INDEX('Per Line'!$D$2:$D$4001,$AA556)&amp;"")</f>
        <v/>
      </c>
      <c r="E556" s="11">
        <f>IF($AA556="","",INDEX('Per Line'!$G$2:$G$4001,$AA556))</f>
        <v/>
      </c>
      <c r="F556">
        <f>IF($AA556="","",INDEX('Per Line'!$H$2:$H$4001,$AA556)&amp;"")</f>
        <v/>
      </c>
      <c r="G556">
        <f>IF($AA556="","",INDEX('Per Line'!$I$2:$I$4001,$AA556)&amp;"")</f>
        <v/>
      </c>
      <c r="H556">
        <f>IF($AA556="","",INDEX('Per Line'!$J$2:$J$4001,$AA556)&amp;"")</f>
        <v/>
      </c>
      <c r="I556">
        <f>IF($AA556="","",INDEX('Per Line'!$K$2:$K$4001,$AA556)&amp;"")</f>
        <v/>
      </c>
      <c r="J556">
        <f>IF($AA556="","",INDEX('Per Line'!$L$2:$L$4001,$AA556)&amp;"")</f>
        <v/>
      </c>
      <c r="K556">
        <f>IF($AA556="","",INDEX('Per Line'!$P$2:$P$4001,$AA556))</f>
        <v/>
      </c>
      <c r="L556" s="7">
        <f>IF($AA556="","",IF(AND(ISNUMBER(N556),N556&gt;0,Y556&gt;N556),K556*N556/100+(Y556-N556),K556*Y556/100))</f>
        <v/>
      </c>
      <c r="M556">
        <f>IF($AA556="","",INDEX('Per Line'!$Z$2:$Z$4001,$AA556)&amp;"")</f>
        <v/>
      </c>
      <c r="N556">
        <f>IF($AA556="","",INDEX('Per Line'!$AG$2:$AG$4001,$AA556))</f>
        <v/>
      </c>
      <c r="O556">
        <f>IF($AA556="","",IF(AND(ISNUMBER(N556),N556&gt;0),Y556&gt;N556,FALSE))</f>
        <v/>
      </c>
      <c r="P556" s="7">
        <f>IF($AA556="","",SUMIFS('Per Line'!$Y$2:$Y$4001,'Per Line'!$E$2:$E$4001,$B556,'Per Line'!$AQ$2:$AQ$4001,1))</f>
        <v/>
      </c>
      <c r="Q556">
        <f>IF($AA556="","",Settings!$C$7)</f>
        <v/>
      </c>
      <c r="R556" s="7">
        <f>IF($AA556="","",SUMIFS('Per Line'!$Y$2:$Y$4001,'Per Line'!$E$2:$E$4001,$B556,'Per Line'!$AP$2:$AP$4001,0,'Per Line'!$AQ$2:$AQ$4001,0))</f>
        <v/>
      </c>
      <c r="S556" s="7">
        <f>IF($AA556="","",R556*Q556)</f>
        <v/>
      </c>
      <c r="T556">
        <f>IF($AA556="","",Settings!$C$6)</f>
        <v/>
      </c>
      <c r="U556" s="7">
        <f>IF($AA556="","",SUMIFS('Per Line'!$Y$2:$Y$4001,'Per Line'!$E$2:$E$4001,$B556,'Per Line'!$AP$2:$AP$4001,1,'Per Line'!$AQ$2:$AQ$4001,0))</f>
        <v/>
      </c>
      <c r="V556" s="7">
        <f>IF($AA556="","",U556*T556)</f>
        <v/>
      </c>
      <c r="W556" s="7">
        <f>IF($AA556="","",V556+S556)</f>
        <v/>
      </c>
      <c r="X556" s="7">
        <f>IF($AA556="","",Y556-W556)</f>
        <v/>
      </c>
      <c r="Y556" s="7">
        <f>IF($AA556="","",R556+U556+P556)</f>
        <v/>
      </c>
      <c r="Z556" s="7">
        <f>IF($AA556="","",Y556-W556-L556)</f>
        <v/>
      </c>
      <c r="AA556" s="13">
        <f>IF(ROWS($AA$2:$AA556)&lt;=MAX('Per Line'!$AO$2:$AO$4001),MATCH(ROWS($AA$2:$AA556),'Per Line'!$AO$2:$AO$4001,0),"")</f>
        <v/>
      </c>
      <c r="AB556" s="14">
        <f>IF($AA556="","",L556-K556*Y556/100)</f>
        <v/>
      </c>
    </row>
    <row r="557">
      <c r="A557" s="12" t="n"/>
      <c r="B557">
        <f>IF($AA557="","",INDEX('Per Line'!$E$2:$E$4001,$AA557)&amp;"")</f>
        <v/>
      </c>
      <c r="C557">
        <f>IF($AA557="","",INDEX('Per Line'!$A$2:$A$4001,$AA557)&amp;"")</f>
        <v/>
      </c>
      <c r="D557">
        <f>IF($AA557="","",INDEX('Per Line'!$D$2:$D$4001,$AA557)&amp;"")</f>
        <v/>
      </c>
      <c r="E557" s="11">
        <f>IF($AA557="","",INDEX('Per Line'!$G$2:$G$4001,$AA557))</f>
        <v/>
      </c>
      <c r="F557">
        <f>IF($AA557="","",INDEX('Per Line'!$H$2:$H$4001,$AA557)&amp;"")</f>
        <v/>
      </c>
      <c r="G557">
        <f>IF($AA557="","",INDEX('Per Line'!$I$2:$I$4001,$AA557)&amp;"")</f>
        <v/>
      </c>
      <c r="H557">
        <f>IF($AA557="","",INDEX('Per Line'!$J$2:$J$4001,$AA557)&amp;"")</f>
        <v/>
      </c>
      <c r="I557">
        <f>IF($AA557="","",INDEX('Per Line'!$K$2:$K$4001,$AA557)&amp;"")</f>
        <v/>
      </c>
      <c r="J557">
        <f>IF($AA557="","",INDEX('Per Line'!$L$2:$L$4001,$AA557)&amp;"")</f>
        <v/>
      </c>
      <c r="K557">
        <f>IF($AA557="","",INDEX('Per Line'!$P$2:$P$4001,$AA557))</f>
        <v/>
      </c>
      <c r="L557" s="7">
        <f>IF($AA557="","",IF(AND(ISNUMBER(N557),N557&gt;0,Y557&gt;N557),K557*N557/100+(Y557-N557),K557*Y557/100))</f>
        <v/>
      </c>
      <c r="M557">
        <f>IF($AA557="","",INDEX('Per Line'!$Z$2:$Z$4001,$AA557)&amp;"")</f>
        <v/>
      </c>
      <c r="N557">
        <f>IF($AA557="","",INDEX('Per Line'!$AG$2:$AG$4001,$AA557))</f>
        <v/>
      </c>
      <c r="O557">
        <f>IF($AA557="","",IF(AND(ISNUMBER(N557),N557&gt;0),Y557&gt;N557,FALSE))</f>
        <v/>
      </c>
      <c r="P557" s="7">
        <f>IF($AA557="","",SUMIFS('Per Line'!$Y$2:$Y$4001,'Per Line'!$E$2:$E$4001,$B557,'Per Line'!$AQ$2:$AQ$4001,1))</f>
        <v/>
      </c>
      <c r="Q557">
        <f>IF($AA557="","",Settings!$C$7)</f>
        <v/>
      </c>
      <c r="R557" s="7">
        <f>IF($AA557="","",SUMIFS('Per Line'!$Y$2:$Y$4001,'Per Line'!$E$2:$E$4001,$B557,'Per Line'!$AP$2:$AP$4001,0,'Per Line'!$AQ$2:$AQ$4001,0))</f>
        <v/>
      </c>
      <c r="S557" s="7">
        <f>IF($AA557="","",R557*Q557)</f>
        <v/>
      </c>
      <c r="T557">
        <f>IF($AA557="","",Settings!$C$6)</f>
        <v/>
      </c>
      <c r="U557" s="7">
        <f>IF($AA557="","",SUMIFS('Per Line'!$Y$2:$Y$4001,'Per Line'!$E$2:$E$4001,$B557,'Per Line'!$AP$2:$AP$4001,1,'Per Line'!$AQ$2:$AQ$4001,0))</f>
        <v/>
      </c>
      <c r="V557" s="7">
        <f>IF($AA557="","",U557*T557)</f>
        <v/>
      </c>
      <c r="W557" s="7">
        <f>IF($AA557="","",V557+S557)</f>
        <v/>
      </c>
      <c r="X557" s="7">
        <f>IF($AA557="","",Y557-W557)</f>
        <v/>
      </c>
      <c r="Y557" s="7">
        <f>IF($AA557="","",R557+U557+P557)</f>
        <v/>
      </c>
      <c r="Z557" s="7">
        <f>IF($AA557="","",Y557-W557-L557)</f>
        <v/>
      </c>
      <c r="AA557" s="13">
        <f>IF(ROWS($AA$2:$AA557)&lt;=MAX('Per Line'!$AO$2:$AO$4001),MATCH(ROWS($AA$2:$AA557),'Per Line'!$AO$2:$AO$4001,0),"")</f>
        <v/>
      </c>
      <c r="AB557" s="14">
        <f>IF($AA557="","",L557-K557*Y557/100)</f>
        <v/>
      </c>
    </row>
    <row r="558">
      <c r="A558" s="12" t="n"/>
      <c r="B558">
        <f>IF($AA558="","",INDEX('Per Line'!$E$2:$E$4001,$AA558)&amp;"")</f>
        <v/>
      </c>
      <c r="C558">
        <f>IF($AA558="","",INDEX('Per Line'!$A$2:$A$4001,$AA558)&amp;"")</f>
        <v/>
      </c>
      <c r="D558">
        <f>IF($AA558="","",INDEX('Per Line'!$D$2:$D$4001,$AA558)&amp;"")</f>
        <v/>
      </c>
      <c r="E558" s="11">
        <f>IF($AA558="","",INDEX('Per Line'!$G$2:$G$4001,$AA558))</f>
        <v/>
      </c>
      <c r="F558">
        <f>IF($AA558="","",INDEX('Per Line'!$H$2:$H$4001,$AA558)&amp;"")</f>
        <v/>
      </c>
      <c r="G558">
        <f>IF($AA558="","",INDEX('Per Line'!$I$2:$I$4001,$AA558)&amp;"")</f>
        <v/>
      </c>
      <c r="H558">
        <f>IF($AA558="","",INDEX('Per Line'!$J$2:$J$4001,$AA558)&amp;"")</f>
        <v/>
      </c>
      <c r="I558">
        <f>IF($AA558="","",INDEX('Per Line'!$K$2:$K$4001,$AA558)&amp;"")</f>
        <v/>
      </c>
      <c r="J558">
        <f>IF($AA558="","",INDEX('Per Line'!$L$2:$L$4001,$AA558)&amp;"")</f>
        <v/>
      </c>
      <c r="K558">
        <f>IF($AA558="","",INDEX('Per Line'!$P$2:$P$4001,$AA558))</f>
        <v/>
      </c>
      <c r="L558" s="7">
        <f>IF($AA558="","",IF(AND(ISNUMBER(N558),N558&gt;0,Y558&gt;N558),K558*N558/100+(Y558-N558),K558*Y558/100))</f>
        <v/>
      </c>
      <c r="M558">
        <f>IF($AA558="","",INDEX('Per Line'!$Z$2:$Z$4001,$AA558)&amp;"")</f>
        <v/>
      </c>
      <c r="N558">
        <f>IF($AA558="","",INDEX('Per Line'!$AG$2:$AG$4001,$AA558))</f>
        <v/>
      </c>
      <c r="O558">
        <f>IF($AA558="","",IF(AND(ISNUMBER(N558),N558&gt;0),Y558&gt;N558,FALSE))</f>
        <v/>
      </c>
      <c r="P558" s="7">
        <f>IF($AA558="","",SUMIFS('Per Line'!$Y$2:$Y$4001,'Per Line'!$E$2:$E$4001,$B558,'Per Line'!$AQ$2:$AQ$4001,1))</f>
        <v/>
      </c>
      <c r="Q558">
        <f>IF($AA558="","",Settings!$C$7)</f>
        <v/>
      </c>
      <c r="R558" s="7">
        <f>IF($AA558="","",SUMIFS('Per Line'!$Y$2:$Y$4001,'Per Line'!$E$2:$E$4001,$B558,'Per Line'!$AP$2:$AP$4001,0,'Per Line'!$AQ$2:$AQ$4001,0))</f>
        <v/>
      </c>
      <c r="S558" s="7">
        <f>IF($AA558="","",R558*Q558)</f>
        <v/>
      </c>
      <c r="T558">
        <f>IF($AA558="","",Settings!$C$6)</f>
        <v/>
      </c>
      <c r="U558" s="7">
        <f>IF($AA558="","",SUMIFS('Per Line'!$Y$2:$Y$4001,'Per Line'!$E$2:$E$4001,$B558,'Per Line'!$AP$2:$AP$4001,1,'Per Line'!$AQ$2:$AQ$4001,0))</f>
        <v/>
      </c>
      <c r="V558" s="7">
        <f>IF($AA558="","",U558*T558)</f>
        <v/>
      </c>
      <c r="W558" s="7">
        <f>IF($AA558="","",V558+S558)</f>
        <v/>
      </c>
      <c r="X558" s="7">
        <f>IF($AA558="","",Y558-W558)</f>
        <v/>
      </c>
      <c r="Y558" s="7">
        <f>IF($AA558="","",R558+U558+P558)</f>
        <v/>
      </c>
      <c r="Z558" s="7">
        <f>IF($AA558="","",Y558-W558-L558)</f>
        <v/>
      </c>
      <c r="AA558" s="13">
        <f>IF(ROWS($AA$2:$AA558)&lt;=MAX('Per Line'!$AO$2:$AO$4001),MATCH(ROWS($AA$2:$AA558),'Per Line'!$AO$2:$AO$4001,0),"")</f>
        <v/>
      </c>
      <c r="AB558" s="14">
        <f>IF($AA558="","",L558-K558*Y558/100)</f>
        <v/>
      </c>
    </row>
    <row r="559">
      <c r="A559" s="12" t="n"/>
      <c r="B559">
        <f>IF($AA559="","",INDEX('Per Line'!$E$2:$E$4001,$AA559)&amp;"")</f>
        <v/>
      </c>
      <c r="C559">
        <f>IF($AA559="","",INDEX('Per Line'!$A$2:$A$4001,$AA559)&amp;"")</f>
        <v/>
      </c>
      <c r="D559">
        <f>IF($AA559="","",INDEX('Per Line'!$D$2:$D$4001,$AA559)&amp;"")</f>
        <v/>
      </c>
      <c r="E559" s="11">
        <f>IF($AA559="","",INDEX('Per Line'!$G$2:$G$4001,$AA559))</f>
        <v/>
      </c>
      <c r="F559">
        <f>IF($AA559="","",INDEX('Per Line'!$H$2:$H$4001,$AA559)&amp;"")</f>
        <v/>
      </c>
      <c r="G559">
        <f>IF($AA559="","",INDEX('Per Line'!$I$2:$I$4001,$AA559)&amp;"")</f>
        <v/>
      </c>
      <c r="H559">
        <f>IF($AA559="","",INDEX('Per Line'!$J$2:$J$4001,$AA559)&amp;"")</f>
        <v/>
      </c>
      <c r="I559">
        <f>IF($AA559="","",INDEX('Per Line'!$K$2:$K$4001,$AA559)&amp;"")</f>
        <v/>
      </c>
      <c r="J559">
        <f>IF($AA559="","",INDEX('Per Line'!$L$2:$L$4001,$AA559)&amp;"")</f>
        <v/>
      </c>
      <c r="K559">
        <f>IF($AA559="","",INDEX('Per Line'!$P$2:$P$4001,$AA559))</f>
        <v/>
      </c>
      <c r="L559" s="7">
        <f>IF($AA559="","",IF(AND(ISNUMBER(N559),N559&gt;0,Y559&gt;N559),K559*N559/100+(Y559-N559),K559*Y559/100))</f>
        <v/>
      </c>
      <c r="M559">
        <f>IF($AA559="","",INDEX('Per Line'!$Z$2:$Z$4001,$AA559)&amp;"")</f>
        <v/>
      </c>
      <c r="N559">
        <f>IF($AA559="","",INDEX('Per Line'!$AG$2:$AG$4001,$AA559))</f>
        <v/>
      </c>
      <c r="O559">
        <f>IF($AA559="","",IF(AND(ISNUMBER(N559),N559&gt;0),Y559&gt;N559,FALSE))</f>
        <v/>
      </c>
      <c r="P559" s="7">
        <f>IF($AA559="","",SUMIFS('Per Line'!$Y$2:$Y$4001,'Per Line'!$E$2:$E$4001,$B559,'Per Line'!$AQ$2:$AQ$4001,1))</f>
        <v/>
      </c>
      <c r="Q559">
        <f>IF($AA559="","",Settings!$C$7)</f>
        <v/>
      </c>
      <c r="R559" s="7">
        <f>IF($AA559="","",SUMIFS('Per Line'!$Y$2:$Y$4001,'Per Line'!$E$2:$E$4001,$B559,'Per Line'!$AP$2:$AP$4001,0,'Per Line'!$AQ$2:$AQ$4001,0))</f>
        <v/>
      </c>
      <c r="S559" s="7">
        <f>IF($AA559="","",R559*Q559)</f>
        <v/>
      </c>
      <c r="T559">
        <f>IF($AA559="","",Settings!$C$6)</f>
        <v/>
      </c>
      <c r="U559" s="7">
        <f>IF($AA559="","",SUMIFS('Per Line'!$Y$2:$Y$4001,'Per Line'!$E$2:$E$4001,$B559,'Per Line'!$AP$2:$AP$4001,1,'Per Line'!$AQ$2:$AQ$4001,0))</f>
        <v/>
      </c>
      <c r="V559" s="7">
        <f>IF($AA559="","",U559*T559)</f>
        <v/>
      </c>
      <c r="W559" s="7">
        <f>IF($AA559="","",V559+S559)</f>
        <v/>
      </c>
      <c r="X559" s="7">
        <f>IF($AA559="","",Y559-W559)</f>
        <v/>
      </c>
      <c r="Y559" s="7">
        <f>IF($AA559="","",R559+U559+P559)</f>
        <v/>
      </c>
      <c r="Z559" s="7">
        <f>IF($AA559="","",Y559-W559-L559)</f>
        <v/>
      </c>
      <c r="AA559" s="13">
        <f>IF(ROWS($AA$2:$AA559)&lt;=MAX('Per Line'!$AO$2:$AO$4001),MATCH(ROWS($AA$2:$AA559),'Per Line'!$AO$2:$AO$4001,0),"")</f>
        <v/>
      </c>
      <c r="AB559" s="14">
        <f>IF($AA559="","",L559-K559*Y559/100)</f>
        <v/>
      </c>
    </row>
    <row r="560">
      <c r="A560" s="12" t="n"/>
      <c r="B560">
        <f>IF($AA560="","",INDEX('Per Line'!$E$2:$E$4001,$AA560)&amp;"")</f>
        <v/>
      </c>
      <c r="C560">
        <f>IF($AA560="","",INDEX('Per Line'!$A$2:$A$4001,$AA560)&amp;"")</f>
        <v/>
      </c>
      <c r="D560">
        <f>IF($AA560="","",INDEX('Per Line'!$D$2:$D$4001,$AA560)&amp;"")</f>
        <v/>
      </c>
      <c r="E560" s="11">
        <f>IF($AA560="","",INDEX('Per Line'!$G$2:$G$4001,$AA560))</f>
        <v/>
      </c>
      <c r="F560">
        <f>IF($AA560="","",INDEX('Per Line'!$H$2:$H$4001,$AA560)&amp;"")</f>
        <v/>
      </c>
      <c r="G560">
        <f>IF($AA560="","",INDEX('Per Line'!$I$2:$I$4001,$AA560)&amp;"")</f>
        <v/>
      </c>
      <c r="H560">
        <f>IF($AA560="","",INDEX('Per Line'!$J$2:$J$4001,$AA560)&amp;"")</f>
        <v/>
      </c>
      <c r="I560">
        <f>IF($AA560="","",INDEX('Per Line'!$K$2:$K$4001,$AA560)&amp;"")</f>
        <v/>
      </c>
      <c r="J560">
        <f>IF($AA560="","",INDEX('Per Line'!$L$2:$L$4001,$AA560)&amp;"")</f>
        <v/>
      </c>
      <c r="K560">
        <f>IF($AA560="","",INDEX('Per Line'!$P$2:$P$4001,$AA560))</f>
        <v/>
      </c>
      <c r="L560" s="7">
        <f>IF($AA560="","",IF(AND(ISNUMBER(N560),N560&gt;0,Y560&gt;N560),K560*N560/100+(Y560-N560),K560*Y560/100))</f>
        <v/>
      </c>
      <c r="M560">
        <f>IF($AA560="","",INDEX('Per Line'!$Z$2:$Z$4001,$AA560)&amp;"")</f>
        <v/>
      </c>
      <c r="N560">
        <f>IF($AA560="","",INDEX('Per Line'!$AG$2:$AG$4001,$AA560))</f>
        <v/>
      </c>
      <c r="O560">
        <f>IF($AA560="","",IF(AND(ISNUMBER(N560),N560&gt;0),Y560&gt;N560,FALSE))</f>
        <v/>
      </c>
      <c r="P560" s="7">
        <f>IF($AA560="","",SUMIFS('Per Line'!$Y$2:$Y$4001,'Per Line'!$E$2:$E$4001,$B560,'Per Line'!$AQ$2:$AQ$4001,1))</f>
        <v/>
      </c>
      <c r="Q560">
        <f>IF($AA560="","",Settings!$C$7)</f>
        <v/>
      </c>
      <c r="R560" s="7">
        <f>IF($AA560="","",SUMIFS('Per Line'!$Y$2:$Y$4001,'Per Line'!$E$2:$E$4001,$B560,'Per Line'!$AP$2:$AP$4001,0,'Per Line'!$AQ$2:$AQ$4001,0))</f>
        <v/>
      </c>
      <c r="S560" s="7">
        <f>IF($AA560="","",R560*Q560)</f>
        <v/>
      </c>
      <c r="T560">
        <f>IF($AA560="","",Settings!$C$6)</f>
        <v/>
      </c>
      <c r="U560" s="7">
        <f>IF($AA560="","",SUMIFS('Per Line'!$Y$2:$Y$4001,'Per Line'!$E$2:$E$4001,$B560,'Per Line'!$AP$2:$AP$4001,1,'Per Line'!$AQ$2:$AQ$4001,0))</f>
        <v/>
      </c>
      <c r="V560" s="7">
        <f>IF($AA560="","",U560*T560)</f>
        <v/>
      </c>
      <c r="W560" s="7">
        <f>IF($AA560="","",V560+S560)</f>
        <v/>
      </c>
      <c r="X560" s="7">
        <f>IF($AA560="","",Y560-W560)</f>
        <v/>
      </c>
      <c r="Y560" s="7">
        <f>IF($AA560="","",R560+U560+P560)</f>
        <v/>
      </c>
      <c r="Z560" s="7">
        <f>IF($AA560="","",Y560-W560-L560)</f>
        <v/>
      </c>
      <c r="AA560" s="13">
        <f>IF(ROWS($AA$2:$AA560)&lt;=MAX('Per Line'!$AO$2:$AO$4001),MATCH(ROWS($AA$2:$AA560),'Per Line'!$AO$2:$AO$4001,0),"")</f>
        <v/>
      </c>
      <c r="AB560" s="14">
        <f>IF($AA560="","",L560-K560*Y560/100)</f>
        <v/>
      </c>
    </row>
    <row r="561">
      <c r="A561" s="12" t="n"/>
      <c r="B561">
        <f>IF($AA561="","",INDEX('Per Line'!$E$2:$E$4001,$AA561)&amp;"")</f>
        <v/>
      </c>
      <c r="C561">
        <f>IF($AA561="","",INDEX('Per Line'!$A$2:$A$4001,$AA561)&amp;"")</f>
        <v/>
      </c>
      <c r="D561">
        <f>IF($AA561="","",INDEX('Per Line'!$D$2:$D$4001,$AA561)&amp;"")</f>
        <v/>
      </c>
      <c r="E561" s="11">
        <f>IF($AA561="","",INDEX('Per Line'!$G$2:$G$4001,$AA561))</f>
        <v/>
      </c>
      <c r="F561">
        <f>IF($AA561="","",INDEX('Per Line'!$H$2:$H$4001,$AA561)&amp;"")</f>
        <v/>
      </c>
      <c r="G561">
        <f>IF($AA561="","",INDEX('Per Line'!$I$2:$I$4001,$AA561)&amp;"")</f>
        <v/>
      </c>
      <c r="H561">
        <f>IF($AA561="","",INDEX('Per Line'!$J$2:$J$4001,$AA561)&amp;"")</f>
        <v/>
      </c>
      <c r="I561">
        <f>IF($AA561="","",INDEX('Per Line'!$K$2:$K$4001,$AA561)&amp;"")</f>
        <v/>
      </c>
      <c r="J561">
        <f>IF($AA561="","",INDEX('Per Line'!$L$2:$L$4001,$AA561)&amp;"")</f>
        <v/>
      </c>
      <c r="K561">
        <f>IF($AA561="","",INDEX('Per Line'!$P$2:$P$4001,$AA561))</f>
        <v/>
      </c>
      <c r="L561" s="7">
        <f>IF($AA561="","",IF(AND(ISNUMBER(N561),N561&gt;0,Y561&gt;N561),K561*N561/100+(Y561-N561),K561*Y561/100))</f>
        <v/>
      </c>
      <c r="M561">
        <f>IF($AA561="","",INDEX('Per Line'!$Z$2:$Z$4001,$AA561)&amp;"")</f>
        <v/>
      </c>
      <c r="N561">
        <f>IF($AA561="","",INDEX('Per Line'!$AG$2:$AG$4001,$AA561))</f>
        <v/>
      </c>
      <c r="O561">
        <f>IF($AA561="","",IF(AND(ISNUMBER(N561),N561&gt;0),Y561&gt;N561,FALSE))</f>
        <v/>
      </c>
      <c r="P561" s="7">
        <f>IF($AA561="","",SUMIFS('Per Line'!$Y$2:$Y$4001,'Per Line'!$E$2:$E$4001,$B561,'Per Line'!$AQ$2:$AQ$4001,1))</f>
        <v/>
      </c>
      <c r="Q561">
        <f>IF($AA561="","",Settings!$C$7)</f>
        <v/>
      </c>
      <c r="R561" s="7">
        <f>IF($AA561="","",SUMIFS('Per Line'!$Y$2:$Y$4001,'Per Line'!$E$2:$E$4001,$B561,'Per Line'!$AP$2:$AP$4001,0,'Per Line'!$AQ$2:$AQ$4001,0))</f>
        <v/>
      </c>
      <c r="S561" s="7">
        <f>IF($AA561="","",R561*Q561)</f>
        <v/>
      </c>
      <c r="T561">
        <f>IF($AA561="","",Settings!$C$6)</f>
        <v/>
      </c>
      <c r="U561" s="7">
        <f>IF($AA561="","",SUMIFS('Per Line'!$Y$2:$Y$4001,'Per Line'!$E$2:$E$4001,$B561,'Per Line'!$AP$2:$AP$4001,1,'Per Line'!$AQ$2:$AQ$4001,0))</f>
        <v/>
      </c>
      <c r="V561" s="7">
        <f>IF($AA561="","",U561*T561)</f>
        <v/>
      </c>
      <c r="W561" s="7">
        <f>IF($AA561="","",V561+S561)</f>
        <v/>
      </c>
      <c r="X561" s="7">
        <f>IF($AA561="","",Y561-W561)</f>
        <v/>
      </c>
      <c r="Y561" s="7">
        <f>IF($AA561="","",R561+U561+P561)</f>
        <v/>
      </c>
      <c r="Z561" s="7">
        <f>IF($AA561="","",Y561-W561-L561)</f>
        <v/>
      </c>
      <c r="AA561" s="13">
        <f>IF(ROWS($AA$2:$AA561)&lt;=MAX('Per Line'!$AO$2:$AO$4001),MATCH(ROWS($AA$2:$AA561),'Per Line'!$AO$2:$AO$4001,0),"")</f>
        <v/>
      </c>
      <c r="AB561" s="14">
        <f>IF($AA561="","",L561-K561*Y561/100)</f>
        <v/>
      </c>
    </row>
    <row r="562">
      <c r="A562" s="12" t="n"/>
      <c r="B562">
        <f>IF($AA562="","",INDEX('Per Line'!$E$2:$E$4001,$AA562)&amp;"")</f>
        <v/>
      </c>
      <c r="C562">
        <f>IF($AA562="","",INDEX('Per Line'!$A$2:$A$4001,$AA562)&amp;"")</f>
        <v/>
      </c>
      <c r="D562">
        <f>IF($AA562="","",INDEX('Per Line'!$D$2:$D$4001,$AA562)&amp;"")</f>
        <v/>
      </c>
      <c r="E562" s="11">
        <f>IF($AA562="","",INDEX('Per Line'!$G$2:$G$4001,$AA562))</f>
        <v/>
      </c>
      <c r="F562">
        <f>IF($AA562="","",INDEX('Per Line'!$H$2:$H$4001,$AA562)&amp;"")</f>
        <v/>
      </c>
      <c r="G562">
        <f>IF($AA562="","",INDEX('Per Line'!$I$2:$I$4001,$AA562)&amp;"")</f>
        <v/>
      </c>
      <c r="H562">
        <f>IF($AA562="","",INDEX('Per Line'!$J$2:$J$4001,$AA562)&amp;"")</f>
        <v/>
      </c>
      <c r="I562">
        <f>IF($AA562="","",INDEX('Per Line'!$K$2:$K$4001,$AA562)&amp;"")</f>
        <v/>
      </c>
      <c r="J562">
        <f>IF($AA562="","",INDEX('Per Line'!$L$2:$L$4001,$AA562)&amp;"")</f>
        <v/>
      </c>
      <c r="K562">
        <f>IF($AA562="","",INDEX('Per Line'!$P$2:$P$4001,$AA562))</f>
        <v/>
      </c>
      <c r="L562" s="7">
        <f>IF($AA562="","",IF(AND(ISNUMBER(N562),N562&gt;0,Y562&gt;N562),K562*N562/100+(Y562-N562),K562*Y562/100))</f>
        <v/>
      </c>
      <c r="M562">
        <f>IF($AA562="","",INDEX('Per Line'!$Z$2:$Z$4001,$AA562)&amp;"")</f>
        <v/>
      </c>
      <c r="N562">
        <f>IF($AA562="","",INDEX('Per Line'!$AG$2:$AG$4001,$AA562))</f>
        <v/>
      </c>
      <c r="O562">
        <f>IF($AA562="","",IF(AND(ISNUMBER(N562),N562&gt;0),Y562&gt;N562,FALSE))</f>
        <v/>
      </c>
      <c r="P562" s="7">
        <f>IF($AA562="","",SUMIFS('Per Line'!$Y$2:$Y$4001,'Per Line'!$E$2:$E$4001,$B562,'Per Line'!$AQ$2:$AQ$4001,1))</f>
        <v/>
      </c>
      <c r="Q562">
        <f>IF($AA562="","",Settings!$C$7)</f>
        <v/>
      </c>
      <c r="R562" s="7">
        <f>IF($AA562="","",SUMIFS('Per Line'!$Y$2:$Y$4001,'Per Line'!$E$2:$E$4001,$B562,'Per Line'!$AP$2:$AP$4001,0,'Per Line'!$AQ$2:$AQ$4001,0))</f>
        <v/>
      </c>
      <c r="S562" s="7">
        <f>IF($AA562="","",R562*Q562)</f>
        <v/>
      </c>
      <c r="T562">
        <f>IF($AA562="","",Settings!$C$6)</f>
        <v/>
      </c>
      <c r="U562" s="7">
        <f>IF($AA562="","",SUMIFS('Per Line'!$Y$2:$Y$4001,'Per Line'!$E$2:$E$4001,$B562,'Per Line'!$AP$2:$AP$4001,1,'Per Line'!$AQ$2:$AQ$4001,0))</f>
        <v/>
      </c>
      <c r="V562" s="7">
        <f>IF($AA562="","",U562*T562)</f>
        <v/>
      </c>
      <c r="W562" s="7">
        <f>IF($AA562="","",V562+S562)</f>
        <v/>
      </c>
      <c r="X562" s="7">
        <f>IF($AA562="","",Y562-W562)</f>
        <v/>
      </c>
      <c r="Y562" s="7">
        <f>IF($AA562="","",R562+U562+P562)</f>
        <v/>
      </c>
      <c r="Z562" s="7">
        <f>IF($AA562="","",Y562-W562-L562)</f>
        <v/>
      </c>
      <c r="AA562" s="13">
        <f>IF(ROWS($AA$2:$AA562)&lt;=MAX('Per Line'!$AO$2:$AO$4001),MATCH(ROWS($AA$2:$AA562),'Per Line'!$AO$2:$AO$4001,0),"")</f>
        <v/>
      </c>
      <c r="AB562" s="14">
        <f>IF($AA562="","",L562-K562*Y562/100)</f>
        <v/>
      </c>
    </row>
    <row r="563">
      <c r="A563" s="12" t="n"/>
      <c r="B563">
        <f>IF($AA563="","",INDEX('Per Line'!$E$2:$E$4001,$AA563)&amp;"")</f>
        <v/>
      </c>
      <c r="C563">
        <f>IF($AA563="","",INDEX('Per Line'!$A$2:$A$4001,$AA563)&amp;"")</f>
        <v/>
      </c>
      <c r="D563">
        <f>IF($AA563="","",INDEX('Per Line'!$D$2:$D$4001,$AA563)&amp;"")</f>
        <v/>
      </c>
      <c r="E563" s="11">
        <f>IF($AA563="","",INDEX('Per Line'!$G$2:$G$4001,$AA563))</f>
        <v/>
      </c>
      <c r="F563">
        <f>IF($AA563="","",INDEX('Per Line'!$H$2:$H$4001,$AA563)&amp;"")</f>
        <v/>
      </c>
      <c r="G563">
        <f>IF($AA563="","",INDEX('Per Line'!$I$2:$I$4001,$AA563)&amp;"")</f>
        <v/>
      </c>
      <c r="H563">
        <f>IF($AA563="","",INDEX('Per Line'!$J$2:$J$4001,$AA563)&amp;"")</f>
        <v/>
      </c>
      <c r="I563">
        <f>IF($AA563="","",INDEX('Per Line'!$K$2:$K$4001,$AA563)&amp;"")</f>
        <v/>
      </c>
      <c r="J563">
        <f>IF($AA563="","",INDEX('Per Line'!$L$2:$L$4001,$AA563)&amp;"")</f>
        <v/>
      </c>
      <c r="K563">
        <f>IF($AA563="","",INDEX('Per Line'!$P$2:$P$4001,$AA563))</f>
        <v/>
      </c>
      <c r="L563" s="7">
        <f>IF($AA563="","",IF(AND(ISNUMBER(N563),N563&gt;0,Y563&gt;N563),K563*N563/100+(Y563-N563),K563*Y563/100))</f>
        <v/>
      </c>
      <c r="M563">
        <f>IF($AA563="","",INDEX('Per Line'!$Z$2:$Z$4001,$AA563)&amp;"")</f>
        <v/>
      </c>
      <c r="N563">
        <f>IF($AA563="","",INDEX('Per Line'!$AG$2:$AG$4001,$AA563))</f>
        <v/>
      </c>
      <c r="O563">
        <f>IF($AA563="","",IF(AND(ISNUMBER(N563),N563&gt;0),Y563&gt;N563,FALSE))</f>
        <v/>
      </c>
      <c r="P563" s="7">
        <f>IF($AA563="","",SUMIFS('Per Line'!$Y$2:$Y$4001,'Per Line'!$E$2:$E$4001,$B563,'Per Line'!$AQ$2:$AQ$4001,1))</f>
        <v/>
      </c>
      <c r="Q563">
        <f>IF($AA563="","",Settings!$C$7)</f>
        <v/>
      </c>
      <c r="R563" s="7">
        <f>IF($AA563="","",SUMIFS('Per Line'!$Y$2:$Y$4001,'Per Line'!$E$2:$E$4001,$B563,'Per Line'!$AP$2:$AP$4001,0,'Per Line'!$AQ$2:$AQ$4001,0))</f>
        <v/>
      </c>
      <c r="S563" s="7">
        <f>IF($AA563="","",R563*Q563)</f>
        <v/>
      </c>
      <c r="T563">
        <f>IF($AA563="","",Settings!$C$6)</f>
        <v/>
      </c>
      <c r="U563" s="7">
        <f>IF($AA563="","",SUMIFS('Per Line'!$Y$2:$Y$4001,'Per Line'!$E$2:$E$4001,$B563,'Per Line'!$AP$2:$AP$4001,1,'Per Line'!$AQ$2:$AQ$4001,0))</f>
        <v/>
      </c>
      <c r="V563" s="7">
        <f>IF($AA563="","",U563*T563)</f>
        <v/>
      </c>
      <c r="W563" s="7">
        <f>IF($AA563="","",V563+S563)</f>
        <v/>
      </c>
      <c r="X563" s="7">
        <f>IF($AA563="","",Y563-W563)</f>
        <v/>
      </c>
      <c r="Y563" s="7">
        <f>IF($AA563="","",R563+U563+P563)</f>
        <v/>
      </c>
      <c r="Z563" s="7">
        <f>IF($AA563="","",Y563-W563-L563)</f>
        <v/>
      </c>
      <c r="AA563" s="13">
        <f>IF(ROWS($AA$2:$AA563)&lt;=MAX('Per Line'!$AO$2:$AO$4001),MATCH(ROWS($AA$2:$AA563),'Per Line'!$AO$2:$AO$4001,0),"")</f>
        <v/>
      </c>
      <c r="AB563" s="14">
        <f>IF($AA563="","",L563-K563*Y563/100)</f>
        <v/>
      </c>
    </row>
    <row r="564">
      <c r="A564" s="12" t="n"/>
      <c r="B564">
        <f>IF($AA564="","",INDEX('Per Line'!$E$2:$E$4001,$AA564)&amp;"")</f>
        <v/>
      </c>
      <c r="C564">
        <f>IF($AA564="","",INDEX('Per Line'!$A$2:$A$4001,$AA564)&amp;"")</f>
        <v/>
      </c>
      <c r="D564">
        <f>IF($AA564="","",INDEX('Per Line'!$D$2:$D$4001,$AA564)&amp;"")</f>
        <v/>
      </c>
      <c r="E564" s="11">
        <f>IF($AA564="","",INDEX('Per Line'!$G$2:$G$4001,$AA564))</f>
        <v/>
      </c>
      <c r="F564">
        <f>IF($AA564="","",INDEX('Per Line'!$H$2:$H$4001,$AA564)&amp;"")</f>
        <v/>
      </c>
      <c r="G564">
        <f>IF($AA564="","",INDEX('Per Line'!$I$2:$I$4001,$AA564)&amp;"")</f>
        <v/>
      </c>
      <c r="H564">
        <f>IF($AA564="","",INDEX('Per Line'!$J$2:$J$4001,$AA564)&amp;"")</f>
        <v/>
      </c>
      <c r="I564">
        <f>IF($AA564="","",INDEX('Per Line'!$K$2:$K$4001,$AA564)&amp;"")</f>
        <v/>
      </c>
      <c r="J564">
        <f>IF($AA564="","",INDEX('Per Line'!$L$2:$L$4001,$AA564)&amp;"")</f>
        <v/>
      </c>
      <c r="K564">
        <f>IF($AA564="","",INDEX('Per Line'!$P$2:$P$4001,$AA564))</f>
        <v/>
      </c>
      <c r="L564" s="7">
        <f>IF($AA564="","",IF(AND(ISNUMBER(N564),N564&gt;0,Y564&gt;N564),K564*N564/100+(Y564-N564),K564*Y564/100))</f>
        <v/>
      </c>
      <c r="M564">
        <f>IF($AA564="","",INDEX('Per Line'!$Z$2:$Z$4001,$AA564)&amp;"")</f>
        <v/>
      </c>
      <c r="N564">
        <f>IF($AA564="","",INDEX('Per Line'!$AG$2:$AG$4001,$AA564))</f>
        <v/>
      </c>
      <c r="O564">
        <f>IF($AA564="","",IF(AND(ISNUMBER(N564),N564&gt;0),Y564&gt;N564,FALSE))</f>
        <v/>
      </c>
      <c r="P564" s="7">
        <f>IF($AA564="","",SUMIFS('Per Line'!$Y$2:$Y$4001,'Per Line'!$E$2:$E$4001,$B564,'Per Line'!$AQ$2:$AQ$4001,1))</f>
        <v/>
      </c>
      <c r="Q564">
        <f>IF($AA564="","",Settings!$C$7)</f>
        <v/>
      </c>
      <c r="R564" s="7">
        <f>IF($AA564="","",SUMIFS('Per Line'!$Y$2:$Y$4001,'Per Line'!$E$2:$E$4001,$B564,'Per Line'!$AP$2:$AP$4001,0,'Per Line'!$AQ$2:$AQ$4001,0))</f>
        <v/>
      </c>
      <c r="S564" s="7">
        <f>IF($AA564="","",R564*Q564)</f>
        <v/>
      </c>
      <c r="T564">
        <f>IF($AA564="","",Settings!$C$6)</f>
        <v/>
      </c>
      <c r="U564" s="7">
        <f>IF($AA564="","",SUMIFS('Per Line'!$Y$2:$Y$4001,'Per Line'!$E$2:$E$4001,$B564,'Per Line'!$AP$2:$AP$4001,1,'Per Line'!$AQ$2:$AQ$4001,0))</f>
        <v/>
      </c>
      <c r="V564" s="7">
        <f>IF($AA564="","",U564*T564)</f>
        <v/>
      </c>
      <c r="W564" s="7">
        <f>IF($AA564="","",V564+S564)</f>
        <v/>
      </c>
      <c r="X564" s="7">
        <f>IF($AA564="","",Y564-W564)</f>
        <v/>
      </c>
      <c r="Y564" s="7">
        <f>IF($AA564="","",R564+U564+P564)</f>
        <v/>
      </c>
      <c r="Z564" s="7">
        <f>IF($AA564="","",Y564-W564-L564)</f>
        <v/>
      </c>
      <c r="AA564" s="13">
        <f>IF(ROWS($AA$2:$AA564)&lt;=MAX('Per Line'!$AO$2:$AO$4001),MATCH(ROWS($AA$2:$AA564),'Per Line'!$AO$2:$AO$4001,0),"")</f>
        <v/>
      </c>
      <c r="AB564" s="14">
        <f>IF($AA564="","",L564-K564*Y564/100)</f>
        <v/>
      </c>
    </row>
    <row r="565">
      <c r="A565" s="12" t="n"/>
      <c r="B565">
        <f>IF($AA565="","",INDEX('Per Line'!$E$2:$E$4001,$AA565)&amp;"")</f>
        <v/>
      </c>
      <c r="C565">
        <f>IF($AA565="","",INDEX('Per Line'!$A$2:$A$4001,$AA565)&amp;"")</f>
        <v/>
      </c>
      <c r="D565">
        <f>IF($AA565="","",INDEX('Per Line'!$D$2:$D$4001,$AA565)&amp;"")</f>
        <v/>
      </c>
      <c r="E565" s="11">
        <f>IF($AA565="","",INDEX('Per Line'!$G$2:$G$4001,$AA565))</f>
        <v/>
      </c>
      <c r="F565">
        <f>IF($AA565="","",INDEX('Per Line'!$H$2:$H$4001,$AA565)&amp;"")</f>
        <v/>
      </c>
      <c r="G565">
        <f>IF($AA565="","",INDEX('Per Line'!$I$2:$I$4001,$AA565)&amp;"")</f>
        <v/>
      </c>
      <c r="H565">
        <f>IF($AA565="","",INDEX('Per Line'!$J$2:$J$4001,$AA565)&amp;"")</f>
        <v/>
      </c>
      <c r="I565">
        <f>IF($AA565="","",INDEX('Per Line'!$K$2:$K$4001,$AA565)&amp;"")</f>
        <v/>
      </c>
      <c r="J565">
        <f>IF($AA565="","",INDEX('Per Line'!$L$2:$L$4001,$AA565)&amp;"")</f>
        <v/>
      </c>
      <c r="K565">
        <f>IF($AA565="","",INDEX('Per Line'!$P$2:$P$4001,$AA565))</f>
        <v/>
      </c>
      <c r="L565" s="7">
        <f>IF($AA565="","",IF(AND(ISNUMBER(N565),N565&gt;0,Y565&gt;N565),K565*N565/100+(Y565-N565),K565*Y565/100))</f>
        <v/>
      </c>
      <c r="M565">
        <f>IF($AA565="","",INDEX('Per Line'!$Z$2:$Z$4001,$AA565)&amp;"")</f>
        <v/>
      </c>
      <c r="N565">
        <f>IF($AA565="","",INDEX('Per Line'!$AG$2:$AG$4001,$AA565))</f>
        <v/>
      </c>
      <c r="O565">
        <f>IF($AA565="","",IF(AND(ISNUMBER(N565),N565&gt;0),Y565&gt;N565,FALSE))</f>
        <v/>
      </c>
      <c r="P565" s="7">
        <f>IF($AA565="","",SUMIFS('Per Line'!$Y$2:$Y$4001,'Per Line'!$E$2:$E$4001,$B565,'Per Line'!$AQ$2:$AQ$4001,1))</f>
        <v/>
      </c>
      <c r="Q565">
        <f>IF($AA565="","",Settings!$C$7)</f>
        <v/>
      </c>
      <c r="R565" s="7">
        <f>IF($AA565="","",SUMIFS('Per Line'!$Y$2:$Y$4001,'Per Line'!$E$2:$E$4001,$B565,'Per Line'!$AP$2:$AP$4001,0,'Per Line'!$AQ$2:$AQ$4001,0))</f>
        <v/>
      </c>
      <c r="S565" s="7">
        <f>IF($AA565="","",R565*Q565)</f>
        <v/>
      </c>
      <c r="T565">
        <f>IF($AA565="","",Settings!$C$6)</f>
        <v/>
      </c>
      <c r="U565" s="7">
        <f>IF($AA565="","",SUMIFS('Per Line'!$Y$2:$Y$4001,'Per Line'!$E$2:$E$4001,$B565,'Per Line'!$AP$2:$AP$4001,1,'Per Line'!$AQ$2:$AQ$4001,0))</f>
        <v/>
      </c>
      <c r="V565" s="7">
        <f>IF($AA565="","",U565*T565)</f>
        <v/>
      </c>
      <c r="W565" s="7">
        <f>IF($AA565="","",V565+S565)</f>
        <v/>
      </c>
      <c r="X565" s="7">
        <f>IF($AA565="","",Y565-W565)</f>
        <v/>
      </c>
      <c r="Y565" s="7">
        <f>IF($AA565="","",R565+U565+P565)</f>
        <v/>
      </c>
      <c r="Z565" s="7">
        <f>IF($AA565="","",Y565-W565-L565)</f>
        <v/>
      </c>
      <c r="AA565" s="13">
        <f>IF(ROWS($AA$2:$AA565)&lt;=MAX('Per Line'!$AO$2:$AO$4001),MATCH(ROWS($AA$2:$AA565),'Per Line'!$AO$2:$AO$4001,0),"")</f>
        <v/>
      </c>
      <c r="AB565" s="14">
        <f>IF($AA565="","",L565-K565*Y565/100)</f>
        <v/>
      </c>
    </row>
    <row r="566">
      <c r="A566" s="12" t="n"/>
      <c r="B566">
        <f>IF($AA566="","",INDEX('Per Line'!$E$2:$E$4001,$AA566)&amp;"")</f>
        <v/>
      </c>
      <c r="C566">
        <f>IF($AA566="","",INDEX('Per Line'!$A$2:$A$4001,$AA566)&amp;"")</f>
        <v/>
      </c>
      <c r="D566">
        <f>IF($AA566="","",INDEX('Per Line'!$D$2:$D$4001,$AA566)&amp;"")</f>
        <v/>
      </c>
      <c r="E566" s="11">
        <f>IF($AA566="","",INDEX('Per Line'!$G$2:$G$4001,$AA566))</f>
        <v/>
      </c>
      <c r="F566">
        <f>IF($AA566="","",INDEX('Per Line'!$H$2:$H$4001,$AA566)&amp;"")</f>
        <v/>
      </c>
      <c r="G566">
        <f>IF($AA566="","",INDEX('Per Line'!$I$2:$I$4001,$AA566)&amp;"")</f>
        <v/>
      </c>
      <c r="H566">
        <f>IF($AA566="","",INDEX('Per Line'!$J$2:$J$4001,$AA566)&amp;"")</f>
        <v/>
      </c>
      <c r="I566">
        <f>IF($AA566="","",INDEX('Per Line'!$K$2:$K$4001,$AA566)&amp;"")</f>
        <v/>
      </c>
      <c r="J566">
        <f>IF($AA566="","",INDEX('Per Line'!$L$2:$L$4001,$AA566)&amp;"")</f>
        <v/>
      </c>
      <c r="K566">
        <f>IF($AA566="","",INDEX('Per Line'!$P$2:$P$4001,$AA566))</f>
        <v/>
      </c>
      <c r="L566" s="7">
        <f>IF($AA566="","",IF(AND(ISNUMBER(N566),N566&gt;0,Y566&gt;N566),K566*N566/100+(Y566-N566),K566*Y566/100))</f>
        <v/>
      </c>
      <c r="M566">
        <f>IF($AA566="","",INDEX('Per Line'!$Z$2:$Z$4001,$AA566)&amp;"")</f>
        <v/>
      </c>
      <c r="N566">
        <f>IF($AA566="","",INDEX('Per Line'!$AG$2:$AG$4001,$AA566))</f>
        <v/>
      </c>
      <c r="O566">
        <f>IF($AA566="","",IF(AND(ISNUMBER(N566),N566&gt;0),Y566&gt;N566,FALSE))</f>
        <v/>
      </c>
      <c r="P566" s="7">
        <f>IF($AA566="","",SUMIFS('Per Line'!$Y$2:$Y$4001,'Per Line'!$E$2:$E$4001,$B566,'Per Line'!$AQ$2:$AQ$4001,1))</f>
        <v/>
      </c>
      <c r="Q566">
        <f>IF($AA566="","",Settings!$C$7)</f>
        <v/>
      </c>
      <c r="R566" s="7">
        <f>IF($AA566="","",SUMIFS('Per Line'!$Y$2:$Y$4001,'Per Line'!$E$2:$E$4001,$B566,'Per Line'!$AP$2:$AP$4001,0,'Per Line'!$AQ$2:$AQ$4001,0))</f>
        <v/>
      </c>
      <c r="S566" s="7">
        <f>IF($AA566="","",R566*Q566)</f>
        <v/>
      </c>
      <c r="T566">
        <f>IF($AA566="","",Settings!$C$6)</f>
        <v/>
      </c>
      <c r="U566" s="7">
        <f>IF($AA566="","",SUMIFS('Per Line'!$Y$2:$Y$4001,'Per Line'!$E$2:$E$4001,$B566,'Per Line'!$AP$2:$AP$4001,1,'Per Line'!$AQ$2:$AQ$4001,0))</f>
        <v/>
      </c>
      <c r="V566" s="7">
        <f>IF($AA566="","",U566*T566)</f>
        <v/>
      </c>
      <c r="W566" s="7">
        <f>IF($AA566="","",V566+S566)</f>
        <v/>
      </c>
      <c r="X566" s="7">
        <f>IF($AA566="","",Y566-W566)</f>
        <v/>
      </c>
      <c r="Y566" s="7">
        <f>IF($AA566="","",R566+U566+P566)</f>
        <v/>
      </c>
      <c r="Z566" s="7">
        <f>IF($AA566="","",Y566-W566-L566)</f>
        <v/>
      </c>
      <c r="AA566" s="13">
        <f>IF(ROWS($AA$2:$AA566)&lt;=MAX('Per Line'!$AO$2:$AO$4001),MATCH(ROWS($AA$2:$AA566),'Per Line'!$AO$2:$AO$4001,0),"")</f>
        <v/>
      </c>
      <c r="AB566" s="14">
        <f>IF($AA566="","",L566-K566*Y566/100)</f>
        <v/>
      </c>
    </row>
    <row r="567">
      <c r="A567" s="12" t="n"/>
      <c r="B567">
        <f>IF($AA567="","",INDEX('Per Line'!$E$2:$E$4001,$AA567)&amp;"")</f>
        <v/>
      </c>
      <c r="C567">
        <f>IF($AA567="","",INDEX('Per Line'!$A$2:$A$4001,$AA567)&amp;"")</f>
        <v/>
      </c>
      <c r="D567">
        <f>IF($AA567="","",INDEX('Per Line'!$D$2:$D$4001,$AA567)&amp;"")</f>
        <v/>
      </c>
      <c r="E567" s="11">
        <f>IF($AA567="","",INDEX('Per Line'!$G$2:$G$4001,$AA567))</f>
        <v/>
      </c>
      <c r="F567">
        <f>IF($AA567="","",INDEX('Per Line'!$H$2:$H$4001,$AA567)&amp;"")</f>
        <v/>
      </c>
      <c r="G567">
        <f>IF($AA567="","",INDEX('Per Line'!$I$2:$I$4001,$AA567)&amp;"")</f>
        <v/>
      </c>
      <c r="H567">
        <f>IF($AA567="","",INDEX('Per Line'!$J$2:$J$4001,$AA567)&amp;"")</f>
        <v/>
      </c>
      <c r="I567">
        <f>IF($AA567="","",INDEX('Per Line'!$K$2:$K$4001,$AA567)&amp;"")</f>
        <v/>
      </c>
      <c r="J567">
        <f>IF($AA567="","",INDEX('Per Line'!$L$2:$L$4001,$AA567)&amp;"")</f>
        <v/>
      </c>
      <c r="K567">
        <f>IF($AA567="","",INDEX('Per Line'!$P$2:$P$4001,$AA567))</f>
        <v/>
      </c>
      <c r="L567" s="7">
        <f>IF($AA567="","",IF(AND(ISNUMBER(N567),N567&gt;0,Y567&gt;N567),K567*N567/100+(Y567-N567),K567*Y567/100))</f>
        <v/>
      </c>
      <c r="M567">
        <f>IF($AA567="","",INDEX('Per Line'!$Z$2:$Z$4001,$AA567)&amp;"")</f>
        <v/>
      </c>
      <c r="N567">
        <f>IF($AA567="","",INDEX('Per Line'!$AG$2:$AG$4001,$AA567))</f>
        <v/>
      </c>
      <c r="O567">
        <f>IF($AA567="","",IF(AND(ISNUMBER(N567),N567&gt;0),Y567&gt;N567,FALSE))</f>
        <v/>
      </c>
      <c r="P567" s="7">
        <f>IF($AA567="","",SUMIFS('Per Line'!$Y$2:$Y$4001,'Per Line'!$E$2:$E$4001,$B567,'Per Line'!$AQ$2:$AQ$4001,1))</f>
        <v/>
      </c>
      <c r="Q567">
        <f>IF($AA567="","",Settings!$C$7)</f>
        <v/>
      </c>
      <c r="R567" s="7">
        <f>IF($AA567="","",SUMIFS('Per Line'!$Y$2:$Y$4001,'Per Line'!$E$2:$E$4001,$B567,'Per Line'!$AP$2:$AP$4001,0,'Per Line'!$AQ$2:$AQ$4001,0))</f>
        <v/>
      </c>
      <c r="S567" s="7">
        <f>IF($AA567="","",R567*Q567)</f>
        <v/>
      </c>
      <c r="T567">
        <f>IF($AA567="","",Settings!$C$6)</f>
        <v/>
      </c>
      <c r="U567" s="7">
        <f>IF($AA567="","",SUMIFS('Per Line'!$Y$2:$Y$4001,'Per Line'!$E$2:$E$4001,$B567,'Per Line'!$AP$2:$AP$4001,1,'Per Line'!$AQ$2:$AQ$4001,0))</f>
        <v/>
      </c>
      <c r="V567" s="7">
        <f>IF($AA567="","",U567*T567)</f>
        <v/>
      </c>
      <c r="W567" s="7">
        <f>IF($AA567="","",V567+S567)</f>
        <v/>
      </c>
      <c r="X567" s="7">
        <f>IF($AA567="","",Y567-W567)</f>
        <v/>
      </c>
      <c r="Y567" s="7">
        <f>IF($AA567="","",R567+U567+P567)</f>
        <v/>
      </c>
      <c r="Z567" s="7">
        <f>IF($AA567="","",Y567-W567-L567)</f>
        <v/>
      </c>
      <c r="AA567" s="13">
        <f>IF(ROWS($AA$2:$AA567)&lt;=MAX('Per Line'!$AO$2:$AO$4001),MATCH(ROWS($AA$2:$AA567),'Per Line'!$AO$2:$AO$4001,0),"")</f>
        <v/>
      </c>
      <c r="AB567" s="14">
        <f>IF($AA567="","",L567-K567*Y567/100)</f>
        <v/>
      </c>
    </row>
    <row r="568">
      <c r="A568" s="12" t="n"/>
      <c r="B568">
        <f>IF($AA568="","",INDEX('Per Line'!$E$2:$E$4001,$AA568)&amp;"")</f>
        <v/>
      </c>
      <c r="C568">
        <f>IF($AA568="","",INDEX('Per Line'!$A$2:$A$4001,$AA568)&amp;"")</f>
        <v/>
      </c>
      <c r="D568">
        <f>IF($AA568="","",INDEX('Per Line'!$D$2:$D$4001,$AA568)&amp;"")</f>
        <v/>
      </c>
      <c r="E568" s="11">
        <f>IF($AA568="","",INDEX('Per Line'!$G$2:$G$4001,$AA568))</f>
        <v/>
      </c>
      <c r="F568">
        <f>IF($AA568="","",INDEX('Per Line'!$H$2:$H$4001,$AA568)&amp;"")</f>
        <v/>
      </c>
      <c r="G568">
        <f>IF($AA568="","",INDEX('Per Line'!$I$2:$I$4001,$AA568)&amp;"")</f>
        <v/>
      </c>
      <c r="H568">
        <f>IF($AA568="","",INDEX('Per Line'!$J$2:$J$4001,$AA568)&amp;"")</f>
        <v/>
      </c>
      <c r="I568">
        <f>IF($AA568="","",INDEX('Per Line'!$K$2:$K$4001,$AA568)&amp;"")</f>
        <v/>
      </c>
      <c r="J568">
        <f>IF($AA568="","",INDEX('Per Line'!$L$2:$L$4001,$AA568)&amp;"")</f>
        <v/>
      </c>
      <c r="K568">
        <f>IF($AA568="","",INDEX('Per Line'!$P$2:$P$4001,$AA568))</f>
        <v/>
      </c>
      <c r="L568" s="7">
        <f>IF($AA568="","",IF(AND(ISNUMBER(N568),N568&gt;0,Y568&gt;N568),K568*N568/100+(Y568-N568),K568*Y568/100))</f>
        <v/>
      </c>
      <c r="M568">
        <f>IF($AA568="","",INDEX('Per Line'!$Z$2:$Z$4001,$AA568)&amp;"")</f>
        <v/>
      </c>
      <c r="N568">
        <f>IF($AA568="","",INDEX('Per Line'!$AG$2:$AG$4001,$AA568))</f>
        <v/>
      </c>
      <c r="O568">
        <f>IF($AA568="","",IF(AND(ISNUMBER(N568),N568&gt;0),Y568&gt;N568,FALSE))</f>
        <v/>
      </c>
      <c r="P568" s="7">
        <f>IF($AA568="","",SUMIFS('Per Line'!$Y$2:$Y$4001,'Per Line'!$E$2:$E$4001,$B568,'Per Line'!$AQ$2:$AQ$4001,1))</f>
        <v/>
      </c>
      <c r="Q568">
        <f>IF($AA568="","",Settings!$C$7)</f>
        <v/>
      </c>
      <c r="R568" s="7">
        <f>IF($AA568="","",SUMIFS('Per Line'!$Y$2:$Y$4001,'Per Line'!$E$2:$E$4001,$B568,'Per Line'!$AP$2:$AP$4001,0,'Per Line'!$AQ$2:$AQ$4001,0))</f>
        <v/>
      </c>
      <c r="S568" s="7">
        <f>IF($AA568="","",R568*Q568)</f>
        <v/>
      </c>
      <c r="T568">
        <f>IF($AA568="","",Settings!$C$6)</f>
        <v/>
      </c>
      <c r="U568" s="7">
        <f>IF($AA568="","",SUMIFS('Per Line'!$Y$2:$Y$4001,'Per Line'!$E$2:$E$4001,$B568,'Per Line'!$AP$2:$AP$4001,1,'Per Line'!$AQ$2:$AQ$4001,0))</f>
        <v/>
      </c>
      <c r="V568" s="7">
        <f>IF($AA568="","",U568*T568)</f>
        <v/>
      </c>
      <c r="W568" s="7">
        <f>IF($AA568="","",V568+S568)</f>
        <v/>
      </c>
      <c r="X568" s="7">
        <f>IF($AA568="","",Y568-W568)</f>
        <v/>
      </c>
      <c r="Y568" s="7">
        <f>IF($AA568="","",R568+U568+P568)</f>
        <v/>
      </c>
      <c r="Z568" s="7">
        <f>IF($AA568="","",Y568-W568-L568)</f>
        <v/>
      </c>
      <c r="AA568" s="13">
        <f>IF(ROWS($AA$2:$AA568)&lt;=MAX('Per Line'!$AO$2:$AO$4001),MATCH(ROWS($AA$2:$AA568),'Per Line'!$AO$2:$AO$4001,0),"")</f>
        <v/>
      </c>
      <c r="AB568" s="14">
        <f>IF($AA568="","",L568-K568*Y568/100)</f>
        <v/>
      </c>
    </row>
    <row r="569">
      <c r="A569" s="12" t="n"/>
      <c r="B569">
        <f>IF($AA569="","",INDEX('Per Line'!$E$2:$E$4001,$AA569)&amp;"")</f>
        <v/>
      </c>
      <c r="C569">
        <f>IF($AA569="","",INDEX('Per Line'!$A$2:$A$4001,$AA569)&amp;"")</f>
        <v/>
      </c>
      <c r="D569">
        <f>IF($AA569="","",INDEX('Per Line'!$D$2:$D$4001,$AA569)&amp;"")</f>
        <v/>
      </c>
      <c r="E569" s="11">
        <f>IF($AA569="","",INDEX('Per Line'!$G$2:$G$4001,$AA569))</f>
        <v/>
      </c>
      <c r="F569">
        <f>IF($AA569="","",INDEX('Per Line'!$H$2:$H$4001,$AA569)&amp;"")</f>
        <v/>
      </c>
      <c r="G569">
        <f>IF($AA569="","",INDEX('Per Line'!$I$2:$I$4001,$AA569)&amp;"")</f>
        <v/>
      </c>
      <c r="H569">
        <f>IF($AA569="","",INDEX('Per Line'!$J$2:$J$4001,$AA569)&amp;"")</f>
        <v/>
      </c>
      <c r="I569">
        <f>IF($AA569="","",INDEX('Per Line'!$K$2:$K$4001,$AA569)&amp;"")</f>
        <v/>
      </c>
      <c r="J569">
        <f>IF($AA569="","",INDEX('Per Line'!$L$2:$L$4001,$AA569)&amp;"")</f>
        <v/>
      </c>
      <c r="K569">
        <f>IF($AA569="","",INDEX('Per Line'!$P$2:$P$4001,$AA569))</f>
        <v/>
      </c>
      <c r="L569" s="7">
        <f>IF($AA569="","",IF(AND(ISNUMBER(N569),N569&gt;0,Y569&gt;N569),K569*N569/100+(Y569-N569),K569*Y569/100))</f>
        <v/>
      </c>
      <c r="M569">
        <f>IF($AA569="","",INDEX('Per Line'!$Z$2:$Z$4001,$AA569)&amp;"")</f>
        <v/>
      </c>
      <c r="N569">
        <f>IF($AA569="","",INDEX('Per Line'!$AG$2:$AG$4001,$AA569))</f>
        <v/>
      </c>
      <c r="O569">
        <f>IF($AA569="","",IF(AND(ISNUMBER(N569),N569&gt;0),Y569&gt;N569,FALSE))</f>
        <v/>
      </c>
      <c r="P569" s="7">
        <f>IF($AA569="","",SUMIFS('Per Line'!$Y$2:$Y$4001,'Per Line'!$E$2:$E$4001,$B569,'Per Line'!$AQ$2:$AQ$4001,1))</f>
        <v/>
      </c>
      <c r="Q569">
        <f>IF($AA569="","",Settings!$C$7)</f>
        <v/>
      </c>
      <c r="R569" s="7">
        <f>IF($AA569="","",SUMIFS('Per Line'!$Y$2:$Y$4001,'Per Line'!$E$2:$E$4001,$B569,'Per Line'!$AP$2:$AP$4001,0,'Per Line'!$AQ$2:$AQ$4001,0))</f>
        <v/>
      </c>
      <c r="S569" s="7">
        <f>IF($AA569="","",R569*Q569)</f>
        <v/>
      </c>
      <c r="T569">
        <f>IF($AA569="","",Settings!$C$6)</f>
        <v/>
      </c>
      <c r="U569" s="7">
        <f>IF($AA569="","",SUMIFS('Per Line'!$Y$2:$Y$4001,'Per Line'!$E$2:$E$4001,$B569,'Per Line'!$AP$2:$AP$4001,1,'Per Line'!$AQ$2:$AQ$4001,0))</f>
        <v/>
      </c>
      <c r="V569" s="7">
        <f>IF($AA569="","",U569*T569)</f>
        <v/>
      </c>
      <c r="W569" s="7">
        <f>IF($AA569="","",V569+S569)</f>
        <v/>
      </c>
      <c r="X569" s="7">
        <f>IF($AA569="","",Y569-W569)</f>
        <v/>
      </c>
      <c r="Y569" s="7">
        <f>IF($AA569="","",R569+U569+P569)</f>
        <v/>
      </c>
      <c r="Z569" s="7">
        <f>IF($AA569="","",Y569-W569-L569)</f>
        <v/>
      </c>
      <c r="AA569" s="13">
        <f>IF(ROWS($AA$2:$AA569)&lt;=MAX('Per Line'!$AO$2:$AO$4001),MATCH(ROWS($AA$2:$AA569),'Per Line'!$AO$2:$AO$4001,0),"")</f>
        <v/>
      </c>
      <c r="AB569" s="14">
        <f>IF($AA569="","",L569-K569*Y569/100)</f>
        <v/>
      </c>
    </row>
    <row r="570">
      <c r="A570" s="12" t="n"/>
      <c r="B570">
        <f>IF($AA570="","",INDEX('Per Line'!$E$2:$E$4001,$AA570)&amp;"")</f>
        <v/>
      </c>
      <c r="C570">
        <f>IF($AA570="","",INDEX('Per Line'!$A$2:$A$4001,$AA570)&amp;"")</f>
        <v/>
      </c>
      <c r="D570">
        <f>IF($AA570="","",INDEX('Per Line'!$D$2:$D$4001,$AA570)&amp;"")</f>
        <v/>
      </c>
      <c r="E570" s="11">
        <f>IF($AA570="","",INDEX('Per Line'!$G$2:$G$4001,$AA570))</f>
        <v/>
      </c>
      <c r="F570">
        <f>IF($AA570="","",INDEX('Per Line'!$H$2:$H$4001,$AA570)&amp;"")</f>
        <v/>
      </c>
      <c r="G570">
        <f>IF($AA570="","",INDEX('Per Line'!$I$2:$I$4001,$AA570)&amp;"")</f>
        <v/>
      </c>
      <c r="H570">
        <f>IF($AA570="","",INDEX('Per Line'!$J$2:$J$4001,$AA570)&amp;"")</f>
        <v/>
      </c>
      <c r="I570">
        <f>IF($AA570="","",INDEX('Per Line'!$K$2:$K$4001,$AA570)&amp;"")</f>
        <v/>
      </c>
      <c r="J570">
        <f>IF($AA570="","",INDEX('Per Line'!$L$2:$L$4001,$AA570)&amp;"")</f>
        <v/>
      </c>
      <c r="K570">
        <f>IF($AA570="","",INDEX('Per Line'!$P$2:$P$4001,$AA570))</f>
        <v/>
      </c>
      <c r="L570" s="7">
        <f>IF($AA570="","",IF(AND(ISNUMBER(N570),N570&gt;0,Y570&gt;N570),K570*N570/100+(Y570-N570),K570*Y570/100))</f>
        <v/>
      </c>
      <c r="M570">
        <f>IF($AA570="","",INDEX('Per Line'!$Z$2:$Z$4001,$AA570)&amp;"")</f>
        <v/>
      </c>
      <c r="N570">
        <f>IF($AA570="","",INDEX('Per Line'!$AG$2:$AG$4001,$AA570))</f>
        <v/>
      </c>
      <c r="O570">
        <f>IF($AA570="","",IF(AND(ISNUMBER(N570),N570&gt;0),Y570&gt;N570,FALSE))</f>
        <v/>
      </c>
      <c r="P570" s="7">
        <f>IF($AA570="","",SUMIFS('Per Line'!$Y$2:$Y$4001,'Per Line'!$E$2:$E$4001,$B570,'Per Line'!$AQ$2:$AQ$4001,1))</f>
        <v/>
      </c>
      <c r="Q570">
        <f>IF($AA570="","",Settings!$C$7)</f>
        <v/>
      </c>
      <c r="R570" s="7">
        <f>IF($AA570="","",SUMIFS('Per Line'!$Y$2:$Y$4001,'Per Line'!$E$2:$E$4001,$B570,'Per Line'!$AP$2:$AP$4001,0,'Per Line'!$AQ$2:$AQ$4001,0))</f>
        <v/>
      </c>
      <c r="S570" s="7">
        <f>IF($AA570="","",R570*Q570)</f>
        <v/>
      </c>
      <c r="T570">
        <f>IF($AA570="","",Settings!$C$6)</f>
        <v/>
      </c>
      <c r="U570" s="7">
        <f>IF($AA570="","",SUMIFS('Per Line'!$Y$2:$Y$4001,'Per Line'!$E$2:$E$4001,$B570,'Per Line'!$AP$2:$AP$4001,1,'Per Line'!$AQ$2:$AQ$4001,0))</f>
        <v/>
      </c>
      <c r="V570" s="7">
        <f>IF($AA570="","",U570*T570)</f>
        <v/>
      </c>
      <c r="W570" s="7">
        <f>IF($AA570="","",V570+S570)</f>
        <v/>
      </c>
      <c r="X570" s="7">
        <f>IF($AA570="","",Y570-W570)</f>
        <v/>
      </c>
      <c r="Y570" s="7">
        <f>IF($AA570="","",R570+U570+P570)</f>
        <v/>
      </c>
      <c r="Z570" s="7">
        <f>IF($AA570="","",Y570-W570-L570)</f>
        <v/>
      </c>
      <c r="AA570" s="13">
        <f>IF(ROWS($AA$2:$AA570)&lt;=MAX('Per Line'!$AO$2:$AO$4001),MATCH(ROWS($AA$2:$AA570),'Per Line'!$AO$2:$AO$4001,0),"")</f>
        <v/>
      </c>
      <c r="AB570" s="14">
        <f>IF($AA570="","",L570-K570*Y570/100)</f>
        <v/>
      </c>
    </row>
    <row r="571">
      <c r="A571" s="12" t="n"/>
      <c r="B571">
        <f>IF($AA571="","",INDEX('Per Line'!$E$2:$E$4001,$AA571)&amp;"")</f>
        <v/>
      </c>
      <c r="C571">
        <f>IF($AA571="","",INDEX('Per Line'!$A$2:$A$4001,$AA571)&amp;"")</f>
        <v/>
      </c>
      <c r="D571">
        <f>IF($AA571="","",INDEX('Per Line'!$D$2:$D$4001,$AA571)&amp;"")</f>
        <v/>
      </c>
      <c r="E571" s="11">
        <f>IF($AA571="","",INDEX('Per Line'!$G$2:$G$4001,$AA571))</f>
        <v/>
      </c>
      <c r="F571">
        <f>IF($AA571="","",INDEX('Per Line'!$H$2:$H$4001,$AA571)&amp;"")</f>
        <v/>
      </c>
      <c r="G571">
        <f>IF($AA571="","",INDEX('Per Line'!$I$2:$I$4001,$AA571)&amp;"")</f>
        <v/>
      </c>
      <c r="H571">
        <f>IF($AA571="","",INDEX('Per Line'!$J$2:$J$4001,$AA571)&amp;"")</f>
        <v/>
      </c>
      <c r="I571">
        <f>IF($AA571="","",INDEX('Per Line'!$K$2:$K$4001,$AA571)&amp;"")</f>
        <v/>
      </c>
      <c r="J571">
        <f>IF($AA571="","",INDEX('Per Line'!$L$2:$L$4001,$AA571)&amp;"")</f>
        <v/>
      </c>
      <c r="K571">
        <f>IF($AA571="","",INDEX('Per Line'!$P$2:$P$4001,$AA571))</f>
        <v/>
      </c>
      <c r="L571" s="7">
        <f>IF($AA571="","",IF(AND(ISNUMBER(N571),N571&gt;0,Y571&gt;N571),K571*N571/100+(Y571-N571),K571*Y571/100))</f>
        <v/>
      </c>
      <c r="M571">
        <f>IF($AA571="","",INDEX('Per Line'!$Z$2:$Z$4001,$AA571)&amp;"")</f>
        <v/>
      </c>
      <c r="N571">
        <f>IF($AA571="","",INDEX('Per Line'!$AG$2:$AG$4001,$AA571))</f>
        <v/>
      </c>
      <c r="O571">
        <f>IF($AA571="","",IF(AND(ISNUMBER(N571),N571&gt;0),Y571&gt;N571,FALSE))</f>
        <v/>
      </c>
      <c r="P571" s="7">
        <f>IF($AA571="","",SUMIFS('Per Line'!$Y$2:$Y$4001,'Per Line'!$E$2:$E$4001,$B571,'Per Line'!$AQ$2:$AQ$4001,1))</f>
        <v/>
      </c>
      <c r="Q571">
        <f>IF($AA571="","",Settings!$C$7)</f>
        <v/>
      </c>
      <c r="R571" s="7">
        <f>IF($AA571="","",SUMIFS('Per Line'!$Y$2:$Y$4001,'Per Line'!$E$2:$E$4001,$B571,'Per Line'!$AP$2:$AP$4001,0,'Per Line'!$AQ$2:$AQ$4001,0))</f>
        <v/>
      </c>
      <c r="S571" s="7">
        <f>IF($AA571="","",R571*Q571)</f>
        <v/>
      </c>
      <c r="T571">
        <f>IF($AA571="","",Settings!$C$6)</f>
        <v/>
      </c>
      <c r="U571" s="7">
        <f>IF($AA571="","",SUMIFS('Per Line'!$Y$2:$Y$4001,'Per Line'!$E$2:$E$4001,$B571,'Per Line'!$AP$2:$AP$4001,1,'Per Line'!$AQ$2:$AQ$4001,0))</f>
        <v/>
      </c>
      <c r="V571" s="7">
        <f>IF($AA571="","",U571*T571)</f>
        <v/>
      </c>
      <c r="W571" s="7">
        <f>IF($AA571="","",V571+S571)</f>
        <v/>
      </c>
      <c r="X571" s="7">
        <f>IF($AA571="","",Y571-W571)</f>
        <v/>
      </c>
      <c r="Y571" s="7">
        <f>IF($AA571="","",R571+U571+P571)</f>
        <v/>
      </c>
      <c r="Z571" s="7">
        <f>IF($AA571="","",Y571-W571-L571)</f>
        <v/>
      </c>
      <c r="AA571" s="13">
        <f>IF(ROWS($AA$2:$AA571)&lt;=MAX('Per Line'!$AO$2:$AO$4001),MATCH(ROWS($AA$2:$AA571),'Per Line'!$AO$2:$AO$4001,0),"")</f>
        <v/>
      </c>
      <c r="AB571" s="14">
        <f>IF($AA571="","",L571-K571*Y571/100)</f>
        <v/>
      </c>
    </row>
    <row r="572">
      <c r="A572" s="12" t="n"/>
      <c r="B572">
        <f>IF($AA572="","",INDEX('Per Line'!$E$2:$E$4001,$AA572)&amp;"")</f>
        <v/>
      </c>
      <c r="C572">
        <f>IF($AA572="","",INDEX('Per Line'!$A$2:$A$4001,$AA572)&amp;"")</f>
        <v/>
      </c>
      <c r="D572">
        <f>IF($AA572="","",INDEX('Per Line'!$D$2:$D$4001,$AA572)&amp;"")</f>
        <v/>
      </c>
      <c r="E572" s="11">
        <f>IF($AA572="","",INDEX('Per Line'!$G$2:$G$4001,$AA572))</f>
        <v/>
      </c>
      <c r="F572">
        <f>IF($AA572="","",INDEX('Per Line'!$H$2:$H$4001,$AA572)&amp;"")</f>
        <v/>
      </c>
      <c r="G572">
        <f>IF($AA572="","",INDEX('Per Line'!$I$2:$I$4001,$AA572)&amp;"")</f>
        <v/>
      </c>
      <c r="H572">
        <f>IF($AA572="","",INDEX('Per Line'!$J$2:$J$4001,$AA572)&amp;"")</f>
        <v/>
      </c>
      <c r="I572">
        <f>IF($AA572="","",INDEX('Per Line'!$K$2:$K$4001,$AA572)&amp;"")</f>
        <v/>
      </c>
      <c r="J572">
        <f>IF($AA572="","",INDEX('Per Line'!$L$2:$L$4001,$AA572)&amp;"")</f>
        <v/>
      </c>
      <c r="K572">
        <f>IF($AA572="","",INDEX('Per Line'!$P$2:$P$4001,$AA572))</f>
        <v/>
      </c>
      <c r="L572" s="7">
        <f>IF($AA572="","",IF(AND(ISNUMBER(N572),N572&gt;0,Y572&gt;N572),K572*N572/100+(Y572-N572),K572*Y572/100))</f>
        <v/>
      </c>
      <c r="M572">
        <f>IF($AA572="","",INDEX('Per Line'!$Z$2:$Z$4001,$AA572)&amp;"")</f>
        <v/>
      </c>
      <c r="N572">
        <f>IF($AA572="","",INDEX('Per Line'!$AG$2:$AG$4001,$AA572))</f>
        <v/>
      </c>
      <c r="O572">
        <f>IF($AA572="","",IF(AND(ISNUMBER(N572),N572&gt;0),Y572&gt;N572,FALSE))</f>
        <v/>
      </c>
      <c r="P572" s="7">
        <f>IF($AA572="","",SUMIFS('Per Line'!$Y$2:$Y$4001,'Per Line'!$E$2:$E$4001,$B572,'Per Line'!$AQ$2:$AQ$4001,1))</f>
        <v/>
      </c>
      <c r="Q572">
        <f>IF($AA572="","",Settings!$C$7)</f>
        <v/>
      </c>
      <c r="R572" s="7">
        <f>IF($AA572="","",SUMIFS('Per Line'!$Y$2:$Y$4001,'Per Line'!$E$2:$E$4001,$B572,'Per Line'!$AP$2:$AP$4001,0,'Per Line'!$AQ$2:$AQ$4001,0))</f>
        <v/>
      </c>
      <c r="S572" s="7">
        <f>IF($AA572="","",R572*Q572)</f>
        <v/>
      </c>
      <c r="T572">
        <f>IF($AA572="","",Settings!$C$6)</f>
        <v/>
      </c>
      <c r="U572" s="7">
        <f>IF($AA572="","",SUMIFS('Per Line'!$Y$2:$Y$4001,'Per Line'!$E$2:$E$4001,$B572,'Per Line'!$AP$2:$AP$4001,1,'Per Line'!$AQ$2:$AQ$4001,0))</f>
        <v/>
      </c>
      <c r="V572" s="7">
        <f>IF($AA572="","",U572*T572)</f>
        <v/>
      </c>
      <c r="W572" s="7">
        <f>IF($AA572="","",V572+S572)</f>
        <v/>
      </c>
      <c r="X572" s="7">
        <f>IF($AA572="","",Y572-W572)</f>
        <v/>
      </c>
      <c r="Y572" s="7">
        <f>IF($AA572="","",R572+U572+P572)</f>
        <v/>
      </c>
      <c r="Z572" s="7">
        <f>IF($AA572="","",Y572-W572-L572)</f>
        <v/>
      </c>
      <c r="AA572" s="13">
        <f>IF(ROWS($AA$2:$AA572)&lt;=MAX('Per Line'!$AO$2:$AO$4001),MATCH(ROWS($AA$2:$AA572),'Per Line'!$AO$2:$AO$4001,0),"")</f>
        <v/>
      </c>
      <c r="AB572" s="14">
        <f>IF($AA572="","",L572-K572*Y572/100)</f>
        <v/>
      </c>
    </row>
    <row r="573">
      <c r="A573" s="12" t="n"/>
      <c r="B573">
        <f>IF($AA573="","",INDEX('Per Line'!$E$2:$E$4001,$AA573)&amp;"")</f>
        <v/>
      </c>
      <c r="C573">
        <f>IF($AA573="","",INDEX('Per Line'!$A$2:$A$4001,$AA573)&amp;"")</f>
        <v/>
      </c>
      <c r="D573">
        <f>IF($AA573="","",INDEX('Per Line'!$D$2:$D$4001,$AA573)&amp;"")</f>
        <v/>
      </c>
      <c r="E573" s="11">
        <f>IF($AA573="","",INDEX('Per Line'!$G$2:$G$4001,$AA573))</f>
        <v/>
      </c>
      <c r="F573">
        <f>IF($AA573="","",INDEX('Per Line'!$H$2:$H$4001,$AA573)&amp;"")</f>
        <v/>
      </c>
      <c r="G573">
        <f>IF($AA573="","",INDEX('Per Line'!$I$2:$I$4001,$AA573)&amp;"")</f>
        <v/>
      </c>
      <c r="H573">
        <f>IF($AA573="","",INDEX('Per Line'!$J$2:$J$4001,$AA573)&amp;"")</f>
        <v/>
      </c>
      <c r="I573">
        <f>IF($AA573="","",INDEX('Per Line'!$K$2:$K$4001,$AA573)&amp;"")</f>
        <v/>
      </c>
      <c r="J573">
        <f>IF($AA573="","",INDEX('Per Line'!$L$2:$L$4001,$AA573)&amp;"")</f>
        <v/>
      </c>
      <c r="K573">
        <f>IF($AA573="","",INDEX('Per Line'!$P$2:$P$4001,$AA573))</f>
        <v/>
      </c>
      <c r="L573" s="7">
        <f>IF($AA573="","",IF(AND(ISNUMBER(N573),N573&gt;0,Y573&gt;N573),K573*N573/100+(Y573-N573),K573*Y573/100))</f>
        <v/>
      </c>
      <c r="M573">
        <f>IF($AA573="","",INDEX('Per Line'!$Z$2:$Z$4001,$AA573)&amp;"")</f>
        <v/>
      </c>
      <c r="N573">
        <f>IF($AA573="","",INDEX('Per Line'!$AG$2:$AG$4001,$AA573))</f>
        <v/>
      </c>
      <c r="O573">
        <f>IF($AA573="","",IF(AND(ISNUMBER(N573),N573&gt;0),Y573&gt;N573,FALSE))</f>
        <v/>
      </c>
      <c r="P573" s="7">
        <f>IF($AA573="","",SUMIFS('Per Line'!$Y$2:$Y$4001,'Per Line'!$E$2:$E$4001,$B573,'Per Line'!$AQ$2:$AQ$4001,1))</f>
        <v/>
      </c>
      <c r="Q573">
        <f>IF($AA573="","",Settings!$C$7)</f>
        <v/>
      </c>
      <c r="R573" s="7">
        <f>IF($AA573="","",SUMIFS('Per Line'!$Y$2:$Y$4001,'Per Line'!$E$2:$E$4001,$B573,'Per Line'!$AP$2:$AP$4001,0,'Per Line'!$AQ$2:$AQ$4001,0))</f>
        <v/>
      </c>
      <c r="S573" s="7">
        <f>IF($AA573="","",R573*Q573)</f>
        <v/>
      </c>
      <c r="T573">
        <f>IF($AA573="","",Settings!$C$6)</f>
        <v/>
      </c>
      <c r="U573" s="7">
        <f>IF($AA573="","",SUMIFS('Per Line'!$Y$2:$Y$4001,'Per Line'!$E$2:$E$4001,$B573,'Per Line'!$AP$2:$AP$4001,1,'Per Line'!$AQ$2:$AQ$4001,0))</f>
        <v/>
      </c>
      <c r="V573" s="7">
        <f>IF($AA573="","",U573*T573)</f>
        <v/>
      </c>
      <c r="W573" s="7">
        <f>IF($AA573="","",V573+S573)</f>
        <v/>
      </c>
      <c r="X573" s="7">
        <f>IF($AA573="","",Y573-W573)</f>
        <v/>
      </c>
      <c r="Y573" s="7">
        <f>IF($AA573="","",R573+U573+P573)</f>
        <v/>
      </c>
      <c r="Z573" s="7">
        <f>IF($AA573="","",Y573-W573-L573)</f>
        <v/>
      </c>
      <c r="AA573" s="13">
        <f>IF(ROWS($AA$2:$AA573)&lt;=MAX('Per Line'!$AO$2:$AO$4001),MATCH(ROWS($AA$2:$AA573),'Per Line'!$AO$2:$AO$4001,0),"")</f>
        <v/>
      </c>
      <c r="AB573" s="14">
        <f>IF($AA573="","",L573-K573*Y573/100)</f>
        <v/>
      </c>
    </row>
    <row r="574">
      <c r="A574" s="12" t="n"/>
      <c r="B574">
        <f>IF($AA574="","",INDEX('Per Line'!$E$2:$E$4001,$AA574)&amp;"")</f>
        <v/>
      </c>
      <c r="C574">
        <f>IF($AA574="","",INDEX('Per Line'!$A$2:$A$4001,$AA574)&amp;"")</f>
        <v/>
      </c>
      <c r="D574">
        <f>IF($AA574="","",INDEX('Per Line'!$D$2:$D$4001,$AA574)&amp;"")</f>
        <v/>
      </c>
      <c r="E574" s="11">
        <f>IF($AA574="","",INDEX('Per Line'!$G$2:$G$4001,$AA574))</f>
        <v/>
      </c>
      <c r="F574">
        <f>IF($AA574="","",INDEX('Per Line'!$H$2:$H$4001,$AA574)&amp;"")</f>
        <v/>
      </c>
      <c r="G574">
        <f>IF($AA574="","",INDEX('Per Line'!$I$2:$I$4001,$AA574)&amp;"")</f>
        <v/>
      </c>
      <c r="H574">
        <f>IF($AA574="","",INDEX('Per Line'!$J$2:$J$4001,$AA574)&amp;"")</f>
        <v/>
      </c>
      <c r="I574">
        <f>IF($AA574="","",INDEX('Per Line'!$K$2:$K$4001,$AA574)&amp;"")</f>
        <v/>
      </c>
      <c r="J574">
        <f>IF($AA574="","",INDEX('Per Line'!$L$2:$L$4001,$AA574)&amp;"")</f>
        <v/>
      </c>
      <c r="K574">
        <f>IF($AA574="","",INDEX('Per Line'!$P$2:$P$4001,$AA574))</f>
        <v/>
      </c>
      <c r="L574" s="7">
        <f>IF($AA574="","",IF(AND(ISNUMBER(N574),N574&gt;0,Y574&gt;N574),K574*N574/100+(Y574-N574),K574*Y574/100))</f>
        <v/>
      </c>
      <c r="M574">
        <f>IF($AA574="","",INDEX('Per Line'!$Z$2:$Z$4001,$AA574)&amp;"")</f>
        <v/>
      </c>
      <c r="N574">
        <f>IF($AA574="","",INDEX('Per Line'!$AG$2:$AG$4001,$AA574))</f>
        <v/>
      </c>
      <c r="O574">
        <f>IF($AA574="","",IF(AND(ISNUMBER(N574),N574&gt;0),Y574&gt;N574,FALSE))</f>
        <v/>
      </c>
      <c r="P574" s="7">
        <f>IF($AA574="","",SUMIFS('Per Line'!$Y$2:$Y$4001,'Per Line'!$E$2:$E$4001,$B574,'Per Line'!$AQ$2:$AQ$4001,1))</f>
        <v/>
      </c>
      <c r="Q574">
        <f>IF($AA574="","",Settings!$C$7)</f>
        <v/>
      </c>
      <c r="R574" s="7">
        <f>IF($AA574="","",SUMIFS('Per Line'!$Y$2:$Y$4001,'Per Line'!$E$2:$E$4001,$B574,'Per Line'!$AP$2:$AP$4001,0,'Per Line'!$AQ$2:$AQ$4001,0))</f>
        <v/>
      </c>
      <c r="S574" s="7">
        <f>IF($AA574="","",R574*Q574)</f>
        <v/>
      </c>
      <c r="T574">
        <f>IF($AA574="","",Settings!$C$6)</f>
        <v/>
      </c>
      <c r="U574" s="7">
        <f>IF($AA574="","",SUMIFS('Per Line'!$Y$2:$Y$4001,'Per Line'!$E$2:$E$4001,$B574,'Per Line'!$AP$2:$AP$4001,1,'Per Line'!$AQ$2:$AQ$4001,0))</f>
        <v/>
      </c>
      <c r="V574" s="7">
        <f>IF($AA574="","",U574*T574)</f>
        <v/>
      </c>
      <c r="W574" s="7">
        <f>IF($AA574="","",V574+S574)</f>
        <v/>
      </c>
      <c r="X574" s="7">
        <f>IF($AA574="","",Y574-W574)</f>
        <v/>
      </c>
      <c r="Y574" s="7">
        <f>IF($AA574="","",R574+U574+P574)</f>
        <v/>
      </c>
      <c r="Z574" s="7">
        <f>IF($AA574="","",Y574-W574-L574)</f>
        <v/>
      </c>
      <c r="AA574" s="13">
        <f>IF(ROWS($AA$2:$AA574)&lt;=MAX('Per Line'!$AO$2:$AO$4001),MATCH(ROWS($AA$2:$AA574),'Per Line'!$AO$2:$AO$4001,0),"")</f>
        <v/>
      </c>
      <c r="AB574" s="14">
        <f>IF($AA574="","",L574-K574*Y574/100)</f>
        <v/>
      </c>
    </row>
    <row r="575">
      <c r="A575" s="12" t="n"/>
      <c r="B575">
        <f>IF($AA575="","",INDEX('Per Line'!$E$2:$E$4001,$AA575)&amp;"")</f>
        <v/>
      </c>
      <c r="C575">
        <f>IF($AA575="","",INDEX('Per Line'!$A$2:$A$4001,$AA575)&amp;"")</f>
        <v/>
      </c>
      <c r="D575">
        <f>IF($AA575="","",INDEX('Per Line'!$D$2:$D$4001,$AA575)&amp;"")</f>
        <v/>
      </c>
      <c r="E575" s="11">
        <f>IF($AA575="","",INDEX('Per Line'!$G$2:$G$4001,$AA575))</f>
        <v/>
      </c>
      <c r="F575">
        <f>IF($AA575="","",INDEX('Per Line'!$H$2:$H$4001,$AA575)&amp;"")</f>
        <v/>
      </c>
      <c r="G575">
        <f>IF($AA575="","",INDEX('Per Line'!$I$2:$I$4001,$AA575)&amp;"")</f>
        <v/>
      </c>
      <c r="H575">
        <f>IF($AA575="","",INDEX('Per Line'!$J$2:$J$4001,$AA575)&amp;"")</f>
        <v/>
      </c>
      <c r="I575">
        <f>IF($AA575="","",INDEX('Per Line'!$K$2:$K$4001,$AA575)&amp;"")</f>
        <v/>
      </c>
      <c r="J575">
        <f>IF($AA575="","",INDEX('Per Line'!$L$2:$L$4001,$AA575)&amp;"")</f>
        <v/>
      </c>
      <c r="K575">
        <f>IF($AA575="","",INDEX('Per Line'!$P$2:$P$4001,$AA575))</f>
        <v/>
      </c>
      <c r="L575" s="7">
        <f>IF($AA575="","",IF(AND(ISNUMBER(N575),N575&gt;0,Y575&gt;N575),K575*N575/100+(Y575-N575),K575*Y575/100))</f>
        <v/>
      </c>
      <c r="M575">
        <f>IF($AA575="","",INDEX('Per Line'!$Z$2:$Z$4001,$AA575)&amp;"")</f>
        <v/>
      </c>
      <c r="N575">
        <f>IF($AA575="","",INDEX('Per Line'!$AG$2:$AG$4001,$AA575))</f>
        <v/>
      </c>
      <c r="O575">
        <f>IF($AA575="","",IF(AND(ISNUMBER(N575),N575&gt;0),Y575&gt;N575,FALSE))</f>
        <v/>
      </c>
      <c r="P575" s="7">
        <f>IF($AA575="","",SUMIFS('Per Line'!$Y$2:$Y$4001,'Per Line'!$E$2:$E$4001,$B575,'Per Line'!$AQ$2:$AQ$4001,1))</f>
        <v/>
      </c>
      <c r="Q575">
        <f>IF($AA575="","",Settings!$C$7)</f>
        <v/>
      </c>
      <c r="R575" s="7">
        <f>IF($AA575="","",SUMIFS('Per Line'!$Y$2:$Y$4001,'Per Line'!$E$2:$E$4001,$B575,'Per Line'!$AP$2:$AP$4001,0,'Per Line'!$AQ$2:$AQ$4001,0))</f>
        <v/>
      </c>
      <c r="S575" s="7">
        <f>IF($AA575="","",R575*Q575)</f>
        <v/>
      </c>
      <c r="T575">
        <f>IF($AA575="","",Settings!$C$6)</f>
        <v/>
      </c>
      <c r="U575" s="7">
        <f>IF($AA575="","",SUMIFS('Per Line'!$Y$2:$Y$4001,'Per Line'!$E$2:$E$4001,$B575,'Per Line'!$AP$2:$AP$4001,1,'Per Line'!$AQ$2:$AQ$4001,0))</f>
        <v/>
      </c>
      <c r="V575" s="7">
        <f>IF($AA575="","",U575*T575)</f>
        <v/>
      </c>
      <c r="W575" s="7">
        <f>IF($AA575="","",V575+S575)</f>
        <v/>
      </c>
      <c r="X575" s="7">
        <f>IF($AA575="","",Y575-W575)</f>
        <v/>
      </c>
      <c r="Y575" s="7">
        <f>IF($AA575="","",R575+U575+P575)</f>
        <v/>
      </c>
      <c r="Z575" s="7">
        <f>IF($AA575="","",Y575-W575-L575)</f>
        <v/>
      </c>
      <c r="AA575" s="13">
        <f>IF(ROWS($AA$2:$AA575)&lt;=MAX('Per Line'!$AO$2:$AO$4001),MATCH(ROWS($AA$2:$AA575),'Per Line'!$AO$2:$AO$4001,0),"")</f>
        <v/>
      </c>
      <c r="AB575" s="14">
        <f>IF($AA575="","",L575-K575*Y575/100)</f>
        <v/>
      </c>
    </row>
    <row r="576">
      <c r="A576" s="12" t="n"/>
      <c r="B576">
        <f>IF($AA576="","",INDEX('Per Line'!$E$2:$E$4001,$AA576)&amp;"")</f>
        <v/>
      </c>
      <c r="C576">
        <f>IF($AA576="","",INDEX('Per Line'!$A$2:$A$4001,$AA576)&amp;"")</f>
        <v/>
      </c>
      <c r="D576">
        <f>IF($AA576="","",INDEX('Per Line'!$D$2:$D$4001,$AA576)&amp;"")</f>
        <v/>
      </c>
      <c r="E576" s="11">
        <f>IF($AA576="","",INDEX('Per Line'!$G$2:$G$4001,$AA576))</f>
        <v/>
      </c>
      <c r="F576">
        <f>IF($AA576="","",INDEX('Per Line'!$H$2:$H$4001,$AA576)&amp;"")</f>
        <v/>
      </c>
      <c r="G576">
        <f>IF($AA576="","",INDEX('Per Line'!$I$2:$I$4001,$AA576)&amp;"")</f>
        <v/>
      </c>
      <c r="H576">
        <f>IF($AA576="","",INDEX('Per Line'!$J$2:$J$4001,$AA576)&amp;"")</f>
        <v/>
      </c>
      <c r="I576">
        <f>IF($AA576="","",INDEX('Per Line'!$K$2:$K$4001,$AA576)&amp;"")</f>
        <v/>
      </c>
      <c r="J576">
        <f>IF($AA576="","",INDEX('Per Line'!$L$2:$L$4001,$AA576)&amp;"")</f>
        <v/>
      </c>
      <c r="K576">
        <f>IF($AA576="","",INDEX('Per Line'!$P$2:$P$4001,$AA576))</f>
        <v/>
      </c>
      <c r="L576" s="7">
        <f>IF($AA576="","",IF(AND(ISNUMBER(N576),N576&gt;0,Y576&gt;N576),K576*N576/100+(Y576-N576),K576*Y576/100))</f>
        <v/>
      </c>
      <c r="M576">
        <f>IF($AA576="","",INDEX('Per Line'!$Z$2:$Z$4001,$AA576)&amp;"")</f>
        <v/>
      </c>
      <c r="N576">
        <f>IF($AA576="","",INDEX('Per Line'!$AG$2:$AG$4001,$AA576))</f>
        <v/>
      </c>
      <c r="O576">
        <f>IF($AA576="","",IF(AND(ISNUMBER(N576),N576&gt;0),Y576&gt;N576,FALSE))</f>
        <v/>
      </c>
      <c r="P576" s="7">
        <f>IF($AA576="","",SUMIFS('Per Line'!$Y$2:$Y$4001,'Per Line'!$E$2:$E$4001,$B576,'Per Line'!$AQ$2:$AQ$4001,1))</f>
        <v/>
      </c>
      <c r="Q576">
        <f>IF($AA576="","",Settings!$C$7)</f>
        <v/>
      </c>
      <c r="R576" s="7">
        <f>IF($AA576="","",SUMIFS('Per Line'!$Y$2:$Y$4001,'Per Line'!$E$2:$E$4001,$B576,'Per Line'!$AP$2:$AP$4001,0,'Per Line'!$AQ$2:$AQ$4001,0))</f>
        <v/>
      </c>
      <c r="S576" s="7">
        <f>IF($AA576="","",R576*Q576)</f>
        <v/>
      </c>
      <c r="T576">
        <f>IF($AA576="","",Settings!$C$6)</f>
        <v/>
      </c>
      <c r="U576" s="7">
        <f>IF($AA576="","",SUMIFS('Per Line'!$Y$2:$Y$4001,'Per Line'!$E$2:$E$4001,$B576,'Per Line'!$AP$2:$AP$4001,1,'Per Line'!$AQ$2:$AQ$4001,0))</f>
        <v/>
      </c>
      <c r="V576" s="7">
        <f>IF($AA576="","",U576*T576)</f>
        <v/>
      </c>
      <c r="W576" s="7">
        <f>IF($AA576="","",V576+S576)</f>
        <v/>
      </c>
      <c r="X576" s="7">
        <f>IF($AA576="","",Y576-W576)</f>
        <v/>
      </c>
      <c r="Y576" s="7">
        <f>IF($AA576="","",R576+U576+P576)</f>
        <v/>
      </c>
      <c r="Z576" s="7">
        <f>IF($AA576="","",Y576-W576-L576)</f>
        <v/>
      </c>
      <c r="AA576" s="13">
        <f>IF(ROWS($AA$2:$AA576)&lt;=MAX('Per Line'!$AO$2:$AO$4001),MATCH(ROWS($AA$2:$AA576),'Per Line'!$AO$2:$AO$4001,0),"")</f>
        <v/>
      </c>
      <c r="AB576" s="14">
        <f>IF($AA576="","",L576-K576*Y576/100)</f>
        <v/>
      </c>
    </row>
    <row r="577">
      <c r="A577" s="12" t="n"/>
      <c r="B577">
        <f>IF($AA577="","",INDEX('Per Line'!$E$2:$E$4001,$AA577)&amp;"")</f>
        <v/>
      </c>
      <c r="C577">
        <f>IF($AA577="","",INDEX('Per Line'!$A$2:$A$4001,$AA577)&amp;"")</f>
        <v/>
      </c>
      <c r="D577">
        <f>IF($AA577="","",INDEX('Per Line'!$D$2:$D$4001,$AA577)&amp;"")</f>
        <v/>
      </c>
      <c r="E577" s="11">
        <f>IF($AA577="","",INDEX('Per Line'!$G$2:$G$4001,$AA577))</f>
        <v/>
      </c>
      <c r="F577">
        <f>IF($AA577="","",INDEX('Per Line'!$H$2:$H$4001,$AA577)&amp;"")</f>
        <v/>
      </c>
      <c r="G577">
        <f>IF($AA577="","",INDEX('Per Line'!$I$2:$I$4001,$AA577)&amp;"")</f>
        <v/>
      </c>
      <c r="H577">
        <f>IF($AA577="","",INDEX('Per Line'!$J$2:$J$4001,$AA577)&amp;"")</f>
        <v/>
      </c>
      <c r="I577">
        <f>IF($AA577="","",INDEX('Per Line'!$K$2:$K$4001,$AA577)&amp;"")</f>
        <v/>
      </c>
      <c r="J577">
        <f>IF($AA577="","",INDEX('Per Line'!$L$2:$L$4001,$AA577)&amp;"")</f>
        <v/>
      </c>
      <c r="K577">
        <f>IF($AA577="","",INDEX('Per Line'!$P$2:$P$4001,$AA577))</f>
        <v/>
      </c>
      <c r="L577" s="7">
        <f>IF($AA577="","",IF(AND(ISNUMBER(N577),N577&gt;0,Y577&gt;N577),K577*N577/100+(Y577-N577),K577*Y577/100))</f>
        <v/>
      </c>
      <c r="M577">
        <f>IF($AA577="","",INDEX('Per Line'!$Z$2:$Z$4001,$AA577)&amp;"")</f>
        <v/>
      </c>
      <c r="N577">
        <f>IF($AA577="","",INDEX('Per Line'!$AG$2:$AG$4001,$AA577))</f>
        <v/>
      </c>
      <c r="O577">
        <f>IF($AA577="","",IF(AND(ISNUMBER(N577),N577&gt;0),Y577&gt;N577,FALSE))</f>
        <v/>
      </c>
      <c r="P577" s="7">
        <f>IF($AA577="","",SUMIFS('Per Line'!$Y$2:$Y$4001,'Per Line'!$E$2:$E$4001,$B577,'Per Line'!$AQ$2:$AQ$4001,1))</f>
        <v/>
      </c>
      <c r="Q577">
        <f>IF($AA577="","",Settings!$C$7)</f>
        <v/>
      </c>
      <c r="R577" s="7">
        <f>IF($AA577="","",SUMIFS('Per Line'!$Y$2:$Y$4001,'Per Line'!$E$2:$E$4001,$B577,'Per Line'!$AP$2:$AP$4001,0,'Per Line'!$AQ$2:$AQ$4001,0))</f>
        <v/>
      </c>
      <c r="S577" s="7">
        <f>IF($AA577="","",R577*Q577)</f>
        <v/>
      </c>
      <c r="T577">
        <f>IF($AA577="","",Settings!$C$6)</f>
        <v/>
      </c>
      <c r="U577" s="7">
        <f>IF($AA577="","",SUMIFS('Per Line'!$Y$2:$Y$4001,'Per Line'!$E$2:$E$4001,$B577,'Per Line'!$AP$2:$AP$4001,1,'Per Line'!$AQ$2:$AQ$4001,0))</f>
        <v/>
      </c>
      <c r="V577" s="7">
        <f>IF($AA577="","",U577*T577)</f>
        <v/>
      </c>
      <c r="W577" s="7">
        <f>IF($AA577="","",V577+S577)</f>
        <v/>
      </c>
      <c r="X577" s="7">
        <f>IF($AA577="","",Y577-W577)</f>
        <v/>
      </c>
      <c r="Y577" s="7">
        <f>IF($AA577="","",R577+U577+P577)</f>
        <v/>
      </c>
      <c r="Z577" s="7">
        <f>IF($AA577="","",Y577-W577-L577)</f>
        <v/>
      </c>
      <c r="AA577" s="13">
        <f>IF(ROWS($AA$2:$AA577)&lt;=MAX('Per Line'!$AO$2:$AO$4001),MATCH(ROWS($AA$2:$AA577),'Per Line'!$AO$2:$AO$4001,0),"")</f>
        <v/>
      </c>
      <c r="AB577" s="14">
        <f>IF($AA577="","",L577-K577*Y577/100)</f>
        <v/>
      </c>
    </row>
    <row r="578">
      <c r="A578" s="12" t="n"/>
      <c r="B578">
        <f>IF($AA578="","",INDEX('Per Line'!$E$2:$E$4001,$AA578)&amp;"")</f>
        <v/>
      </c>
      <c r="C578">
        <f>IF($AA578="","",INDEX('Per Line'!$A$2:$A$4001,$AA578)&amp;"")</f>
        <v/>
      </c>
      <c r="D578">
        <f>IF($AA578="","",INDEX('Per Line'!$D$2:$D$4001,$AA578)&amp;"")</f>
        <v/>
      </c>
      <c r="E578" s="11">
        <f>IF($AA578="","",INDEX('Per Line'!$G$2:$G$4001,$AA578))</f>
        <v/>
      </c>
      <c r="F578">
        <f>IF($AA578="","",INDEX('Per Line'!$H$2:$H$4001,$AA578)&amp;"")</f>
        <v/>
      </c>
      <c r="G578">
        <f>IF($AA578="","",INDEX('Per Line'!$I$2:$I$4001,$AA578)&amp;"")</f>
        <v/>
      </c>
      <c r="H578">
        <f>IF($AA578="","",INDEX('Per Line'!$J$2:$J$4001,$AA578)&amp;"")</f>
        <v/>
      </c>
      <c r="I578">
        <f>IF($AA578="","",INDEX('Per Line'!$K$2:$K$4001,$AA578)&amp;"")</f>
        <v/>
      </c>
      <c r="J578">
        <f>IF($AA578="","",INDEX('Per Line'!$L$2:$L$4001,$AA578)&amp;"")</f>
        <v/>
      </c>
      <c r="K578">
        <f>IF($AA578="","",INDEX('Per Line'!$P$2:$P$4001,$AA578))</f>
        <v/>
      </c>
      <c r="L578" s="7">
        <f>IF($AA578="","",IF(AND(ISNUMBER(N578),N578&gt;0,Y578&gt;N578),K578*N578/100+(Y578-N578),K578*Y578/100))</f>
        <v/>
      </c>
      <c r="M578">
        <f>IF($AA578="","",INDEX('Per Line'!$Z$2:$Z$4001,$AA578)&amp;"")</f>
        <v/>
      </c>
      <c r="N578">
        <f>IF($AA578="","",INDEX('Per Line'!$AG$2:$AG$4001,$AA578))</f>
        <v/>
      </c>
      <c r="O578">
        <f>IF($AA578="","",IF(AND(ISNUMBER(N578),N578&gt;0),Y578&gt;N578,FALSE))</f>
        <v/>
      </c>
      <c r="P578" s="7">
        <f>IF($AA578="","",SUMIFS('Per Line'!$Y$2:$Y$4001,'Per Line'!$E$2:$E$4001,$B578,'Per Line'!$AQ$2:$AQ$4001,1))</f>
        <v/>
      </c>
      <c r="Q578">
        <f>IF($AA578="","",Settings!$C$7)</f>
        <v/>
      </c>
      <c r="R578" s="7">
        <f>IF($AA578="","",SUMIFS('Per Line'!$Y$2:$Y$4001,'Per Line'!$E$2:$E$4001,$B578,'Per Line'!$AP$2:$AP$4001,0,'Per Line'!$AQ$2:$AQ$4001,0))</f>
        <v/>
      </c>
      <c r="S578" s="7">
        <f>IF($AA578="","",R578*Q578)</f>
        <v/>
      </c>
      <c r="T578">
        <f>IF($AA578="","",Settings!$C$6)</f>
        <v/>
      </c>
      <c r="U578" s="7">
        <f>IF($AA578="","",SUMIFS('Per Line'!$Y$2:$Y$4001,'Per Line'!$E$2:$E$4001,$B578,'Per Line'!$AP$2:$AP$4001,1,'Per Line'!$AQ$2:$AQ$4001,0))</f>
        <v/>
      </c>
      <c r="V578" s="7">
        <f>IF($AA578="","",U578*T578)</f>
        <v/>
      </c>
      <c r="W578" s="7">
        <f>IF($AA578="","",V578+S578)</f>
        <v/>
      </c>
      <c r="X578" s="7">
        <f>IF($AA578="","",Y578-W578)</f>
        <v/>
      </c>
      <c r="Y578" s="7">
        <f>IF($AA578="","",R578+U578+P578)</f>
        <v/>
      </c>
      <c r="Z578" s="7">
        <f>IF($AA578="","",Y578-W578-L578)</f>
        <v/>
      </c>
      <c r="AA578" s="13">
        <f>IF(ROWS($AA$2:$AA578)&lt;=MAX('Per Line'!$AO$2:$AO$4001),MATCH(ROWS($AA$2:$AA578),'Per Line'!$AO$2:$AO$4001,0),"")</f>
        <v/>
      </c>
      <c r="AB578" s="14">
        <f>IF($AA578="","",L578-K578*Y578/100)</f>
        <v/>
      </c>
    </row>
    <row r="579">
      <c r="A579" s="12" t="n"/>
      <c r="B579">
        <f>IF($AA579="","",INDEX('Per Line'!$E$2:$E$4001,$AA579)&amp;"")</f>
        <v/>
      </c>
      <c r="C579">
        <f>IF($AA579="","",INDEX('Per Line'!$A$2:$A$4001,$AA579)&amp;"")</f>
        <v/>
      </c>
      <c r="D579">
        <f>IF($AA579="","",INDEX('Per Line'!$D$2:$D$4001,$AA579)&amp;"")</f>
        <v/>
      </c>
      <c r="E579" s="11">
        <f>IF($AA579="","",INDEX('Per Line'!$G$2:$G$4001,$AA579))</f>
        <v/>
      </c>
      <c r="F579">
        <f>IF($AA579="","",INDEX('Per Line'!$H$2:$H$4001,$AA579)&amp;"")</f>
        <v/>
      </c>
      <c r="G579">
        <f>IF($AA579="","",INDEX('Per Line'!$I$2:$I$4001,$AA579)&amp;"")</f>
        <v/>
      </c>
      <c r="H579">
        <f>IF($AA579="","",INDEX('Per Line'!$J$2:$J$4001,$AA579)&amp;"")</f>
        <v/>
      </c>
      <c r="I579">
        <f>IF($AA579="","",INDEX('Per Line'!$K$2:$K$4001,$AA579)&amp;"")</f>
        <v/>
      </c>
      <c r="J579">
        <f>IF($AA579="","",INDEX('Per Line'!$L$2:$L$4001,$AA579)&amp;"")</f>
        <v/>
      </c>
      <c r="K579">
        <f>IF($AA579="","",INDEX('Per Line'!$P$2:$P$4001,$AA579))</f>
        <v/>
      </c>
      <c r="L579" s="7">
        <f>IF($AA579="","",IF(AND(ISNUMBER(N579),N579&gt;0,Y579&gt;N579),K579*N579/100+(Y579-N579),K579*Y579/100))</f>
        <v/>
      </c>
      <c r="M579">
        <f>IF($AA579="","",INDEX('Per Line'!$Z$2:$Z$4001,$AA579)&amp;"")</f>
        <v/>
      </c>
      <c r="N579">
        <f>IF($AA579="","",INDEX('Per Line'!$AG$2:$AG$4001,$AA579))</f>
        <v/>
      </c>
      <c r="O579">
        <f>IF($AA579="","",IF(AND(ISNUMBER(N579),N579&gt;0),Y579&gt;N579,FALSE))</f>
        <v/>
      </c>
      <c r="P579" s="7">
        <f>IF($AA579="","",SUMIFS('Per Line'!$Y$2:$Y$4001,'Per Line'!$E$2:$E$4001,$B579,'Per Line'!$AQ$2:$AQ$4001,1))</f>
        <v/>
      </c>
      <c r="Q579">
        <f>IF($AA579="","",Settings!$C$7)</f>
        <v/>
      </c>
      <c r="R579" s="7">
        <f>IF($AA579="","",SUMIFS('Per Line'!$Y$2:$Y$4001,'Per Line'!$E$2:$E$4001,$B579,'Per Line'!$AP$2:$AP$4001,0,'Per Line'!$AQ$2:$AQ$4001,0))</f>
        <v/>
      </c>
      <c r="S579" s="7">
        <f>IF($AA579="","",R579*Q579)</f>
        <v/>
      </c>
      <c r="T579">
        <f>IF($AA579="","",Settings!$C$6)</f>
        <v/>
      </c>
      <c r="U579" s="7">
        <f>IF($AA579="","",SUMIFS('Per Line'!$Y$2:$Y$4001,'Per Line'!$E$2:$E$4001,$B579,'Per Line'!$AP$2:$AP$4001,1,'Per Line'!$AQ$2:$AQ$4001,0))</f>
        <v/>
      </c>
      <c r="V579" s="7">
        <f>IF($AA579="","",U579*T579)</f>
        <v/>
      </c>
      <c r="W579" s="7">
        <f>IF($AA579="","",V579+S579)</f>
        <v/>
      </c>
      <c r="X579" s="7">
        <f>IF($AA579="","",Y579-W579)</f>
        <v/>
      </c>
      <c r="Y579" s="7">
        <f>IF($AA579="","",R579+U579+P579)</f>
        <v/>
      </c>
      <c r="Z579" s="7">
        <f>IF($AA579="","",Y579-W579-L579)</f>
        <v/>
      </c>
      <c r="AA579" s="13">
        <f>IF(ROWS($AA$2:$AA579)&lt;=MAX('Per Line'!$AO$2:$AO$4001),MATCH(ROWS($AA$2:$AA579),'Per Line'!$AO$2:$AO$4001,0),"")</f>
        <v/>
      </c>
      <c r="AB579" s="14">
        <f>IF($AA579="","",L579-K579*Y579/100)</f>
        <v/>
      </c>
    </row>
    <row r="580">
      <c r="A580" s="12" t="n"/>
      <c r="B580">
        <f>IF($AA580="","",INDEX('Per Line'!$E$2:$E$4001,$AA580)&amp;"")</f>
        <v/>
      </c>
      <c r="C580">
        <f>IF($AA580="","",INDEX('Per Line'!$A$2:$A$4001,$AA580)&amp;"")</f>
        <v/>
      </c>
      <c r="D580">
        <f>IF($AA580="","",INDEX('Per Line'!$D$2:$D$4001,$AA580)&amp;"")</f>
        <v/>
      </c>
      <c r="E580" s="11">
        <f>IF($AA580="","",INDEX('Per Line'!$G$2:$G$4001,$AA580))</f>
        <v/>
      </c>
      <c r="F580">
        <f>IF($AA580="","",INDEX('Per Line'!$H$2:$H$4001,$AA580)&amp;"")</f>
        <v/>
      </c>
      <c r="G580">
        <f>IF($AA580="","",INDEX('Per Line'!$I$2:$I$4001,$AA580)&amp;"")</f>
        <v/>
      </c>
      <c r="H580">
        <f>IF($AA580="","",INDEX('Per Line'!$J$2:$J$4001,$AA580)&amp;"")</f>
        <v/>
      </c>
      <c r="I580">
        <f>IF($AA580="","",INDEX('Per Line'!$K$2:$K$4001,$AA580)&amp;"")</f>
        <v/>
      </c>
      <c r="J580">
        <f>IF($AA580="","",INDEX('Per Line'!$L$2:$L$4001,$AA580)&amp;"")</f>
        <v/>
      </c>
      <c r="K580">
        <f>IF($AA580="","",INDEX('Per Line'!$P$2:$P$4001,$AA580))</f>
        <v/>
      </c>
      <c r="L580" s="7">
        <f>IF($AA580="","",IF(AND(ISNUMBER(N580),N580&gt;0,Y580&gt;N580),K580*N580/100+(Y580-N580),K580*Y580/100))</f>
        <v/>
      </c>
      <c r="M580">
        <f>IF($AA580="","",INDEX('Per Line'!$Z$2:$Z$4001,$AA580)&amp;"")</f>
        <v/>
      </c>
      <c r="N580">
        <f>IF($AA580="","",INDEX('Per Line'!$AG$2:$AG$4001,$AA580))</f>
        <v/>
      </c>
      <c r="O580">
        <f>IF($AA580="","",IF(AND(ISNUMBER(N580),N580&gt;0),Y580&gt;N580,FALSE))</f>
        <v/>
      </c>
      <c r="P580" s="7">
        <f>IF($AA580="","",SUMIFS('Per Line'!$Y$2:$Y$4001,'Per Line'!$E$2:$E$4001,$B580,'Per Line'!$AQ$2:$AQ$4001,1))</f>
        <v/>
      </c>
      <c r="Q580">
        <f>IF($AA580="","",Settings!$C$7)</f>
        <v/>
      </c>
      <c r="R580" s="7">
        <f>IF($AA580="","",SUMIFS('Per Line'!$Y$2:$Y$4001,'Per Line'!$E$2:$E$4001,$B580,'Per Line'!$AP$2:$AP$4001,0,'Per Line'!$AQ$2:$AQ$4001,0))</f>
        <v/>
      </c>
      <c r="S580" s="7">
        <f>IF($AA580="","",R580*Q580)</f>
        <v/>
      </c>
      <c r="T580">
        <f>IF($AA580="","",Settings!$C$6)</f>
        <v/>
      </c>
      <c r="U580" s="7">
        <f>IF($AA580="","",SUMIFS('Per Line'!$Y$2:$Y$4001,'Per Line'!$E$2:$E$4001,$B580,'Per Line'!$AP$2:$AP$4001,1,'Per Line'!$AQ$2:$AQ$4001,0))</f>
        <v/>
      </c>
      <c r="V580" s="7">
        <f>IF($AA580="","",U580*T580)</f>
        <v/>
      </c>
      <c r="W580" s="7">
        <f>IF($AA580="","",V580+S580)</f>
        <v/>
      </c>
      <c r="X580" s="7">
        <f>IF($AA580="","",Y580-W580)</f>
        <v/>
      </c>
      <c r="Y580" s="7">
        <f>IF($AA580="","",R580+U580+P580)</f>
        <v/>
      </c>
      <c r="Z580" s="7">
        <f>IF($AA580="","",Y580-W580-L580)</f>
        <v/>
      </c>
      <c r="AA580" s="13">
        <f>IF(ROWS($AA$2:$AA580)&lt;=MAX('Per Line'!$AO$2:$AO$4001),MATCH(ROWS($AA$2:$AA580),'Per Line'!$AO$2:$AO$4001,0),"")</f>
        <v/>
      </c>
      <c r="AB580" s="14">
        <f>IF($AA580="","",L580-K580*Y580/100)</f>
        <v/>
      </c>
    </row>
    <row r="581">
      <c r="A581" s="12" t="n"/>
      <c r="B581">
        <f>IF($AA581="","",INDEX('Per Line'!$E$2:$E$4001,$AA581)&amp;"")</f>
        <v/>
      </c>
      <c r="C581">
        <f>IF($AA581="","",INDEX('Per Line'!$A$2:$A$4001,$AA581)&amp;"")</f>
        <v/>
      </c>
      <c r="D581">
        <f>IF($AA581="","",INDEX('Per Line'!$D$2:$D$4001,$AA581)&amp;"")</f>
        <v/>
      </c>
      <c r="E581" s="11">
        <f>IF($AA581="","",INDEX('Per Line'!$G$2:$G$4001,$AA581))</f>
        <v/>
      </c>
      <c r="F581">
        <f>IF($AA581="","",INDEX('Per Line'!$H$2:$H$4001,$AA581)&amp;"")</f>
        <v/>
      </c>
      <c r="G581">
        <f>IF($AA581="","",INDEX('Per Line'!$I$2:$I$4001,$AA581)&amp;"")</f>
        <v/>
      </c>
      <c r="H581">
        <f>IF($AA581="","",INDEX('Per Line'!$J$2:$J$4001,$AA581)&amp;"")</f>
        <v/>
      </c>
      <c r="I581">
        <f>IF($AA581="","",INDEX('Per Line'!$K$2:$K$4001,$AA581)&amp;"")</f>
        <v/>
      </c>
      <c r="J581">
        <f>IF($AA581="","",INDEX('Per Line'!$L$2:$L$4001,$AA581)&amp;"")</f>
        <v/>
      </c>
      <c r="K581">
        <f>IF($AA581="","",INDEX('Per Line'!$P$2:$P$4001,$AA581))</f>
        <v/>
      </c>
      <c r="L581" s="7">
        <f>IF($AA581="","",IF(AND(ISNUMBER(N581),N581&gt;0,Y581&gt;N581),K581*N581/100+(Y581-N581),K581*Y581/100))</f>
        <v/>
      </c>
      <c r="M581">
        <f>IF($AA581="","",INDEX('Per Line'!$Z$2:$Z$4001,$AA581)&amp;"")</f>
        <v/>
      </c>
      <c r="N581">
        <f>IF($AA581="","",INDEX('Per Line'!$AG$2:$AG$4001,$AA581))</f>
        <v/>
      </c>
      <c r="O581">
        <f>IF($AA581="","",IF(AND(ISNUMBER(N581),N581&gt;0),Y581&gt;N581,FALSE))</f>
        <v/>
      </c>
      <c r="P581" s="7">
        <f>IF($AA581="","",SUMIFS('Per Line'!$Y$2:$Y$4001,'Per Line'!$E$2:$E$4001,$B581,'Per Line'!$AQ$2:$AQ$4001,1))</f>
        <v/>
      </c>
      <c r="Q581">
        <f>IF($AA581="","",Settings!$C$7)</f>
        <v/>
      </c>
      <c r="R581" s="7">
        <f>IF($AA581="","",SUMIFS('Per Line'!$Y$2:$Y$4001,'Per Line'!$E$2:$E$4001,$B581,'Per Line'!$AP$2:$AP$4001,0,'Per Line'!$AQ$2:$AQ$4001,0))</f>
        <v/>
      </c>
      <c r="S581" s="7">
        <f>IF($AA581="","",R581*Q581)</f>
        <v/>
      </c>
      <c r="T581">
        <f>IF($AA581="","",Settings!$C$6)</f>
        <v/>
      </c>
      <c r="U581" s="7">
        <f>IF($AA581="","",SUMIFS('Per Line'!$Y$2:$Y$4001,'Per Line'!$E$2:$E$4001,$B581,'Per Line'!$AP$2:$AP$4001,1,'Per Line'!$AQ$2:$AQ$4001,0))</f>
        <v/>
      </c>
      <c r="V581" s="7">
        <f>IF($AA581="","",U581*T581)</f>
        <v/>
      </c>
      <c r="W581" s="7">
        <f>IF($AA581="","",V581+S581)</f>
        <v/>
      </c>
      <c r="X581" s="7">
        <f>IF($AA581="","",Y581-W581)</f>
        <v/>
      </c>
      <c r="Y581" s="7">
        <f>IF($AA581="","",R581+U581+P581)</f>
        <v/>
      </c>
      <c r="Z581" s="7">
        <f>IF($AA581="","",Y581-W581-L581)</f>
        <v/>
      </c>
      <c r="AA581" s="13">
        <f>IF(ROWS($AA$2:$AA581)&lt;=MAX('Per Line'!$AO$2:$AO$4001),MATCH(ROWS($AA$2:$AA581),'Per Line'!$AO$2:$AO$4001,0),"")</f>
        <v/>
      </c>
      <c r="AB581" s="14">
        <f>IF($AA581="","",L581-K581*Y581/100)</f>
        <v/>
      </c>
    </row>
    <row r="582">
      <c r="A582" s="12" t="n"/>
      <c r="B582">
        <f>IF($AA582="","",INDEX('Per Line'!$E$2:$E$4001,$AA582)&amp;"")</f>
        <v/>
      </c>
      <c r="C582">
        <f>IF($AA582="","",INDEX('Per Line'!$A$2:$A$4001,$AA582)&amp;"")</f>
        <v/>
      </c>
      <c r="D582">
        <f>IF($AA582="","",INDEX('Per Line'!$D$2:$D$4001,$AA582)&amp;"")</f>
        <v/>
      </c>
      <c r="E582" s="11">
        <f>IF($AA582="","",INDEX('Per Line'!$G$2:$G$4001,$AA582))</f>
        <v/>
      </c>
      <c r="F582">
        <f>IF($AA582="","",INDEX('Per Line'!$H$2:$H$4001,$AA582)&amp;"")</f>
        <v/>
      </c>
      <c r="G582">
        <f>IF($AA582="","",INDEX('Per Line'!$I$2:$I$4001,$AA582)&amp;"")</f>
        <v/>
      </c>
      <c r="H582">
        <f>IF($AA582="","",INDEX('Per Line'!$J$2:$J$4001,$AA582)&amp;"")</f>
        <v/>
      </c>
      <c r="I582">
        <f>IF($AA582="","",INDEX('Per Line'!$K$2:$K$4001,$AA582)&amp;"")</f>
        <v/>
      </c>
      <c r="J582">
        <f>IF($AA582="","",INDEX('Per Line'!$L$2:$L$4001,$AA582)&amp;"")</f>
        <v/>
      </c>
      <c r="K582">
        <f>IF($AA582="","",INDEX('Per Line'!$P$2:$P$4001,$AA582))</f>
        <v/>
      </c>
      <c r="L582" s="7">
        <f>IF($AA582="","",IF(AND(ISNUMBER(N582),N582&gt;0,Y582&gt;N582),K582*N582/100+(Y582-N582),K582*Y582/100))</f>
        <v/>
      </c>
      <c r="M582">
        <f>IF($AA582="","",INDEX('Per Line'!$Z$2:$Z$4001,$AA582)&amp;"")</f>
        <v/>
      </c>
      <c r="N582">
        <f>IF($AA582="","",INDEX('Per Line'!$AG$2:$AG$4001,$AA582))</f>
        <v/>
      </c>
      <c r="O582">
        <f>IF($AA582="","",IF(AND(ISNUMBER(N582),N582&gt;0),Y582&gt;N582,FALSE))</f>
        <v/>
      </c>
      <c r="P582" s="7">
        <f>IF($AA582="","",SUMIFS('Per Line'!$Y$2:$Y$4001,'Per Line'!$E$2:$E$4001,$B582,'Per Line'!$AQ$2:$AQ$4001,1))</f>
        <v/>
      </c>
      <c r="Q582">
        <f>IF($AA582="","",Settings!$C$7)</f>
        <v/>
      </c>
      <c r="R582" s="7">
        <f>IF($AA582="","",SUMIFS('Per Line'!$Y$2:$Y$4001,'Per Line'!$E$2:$E$4001,$B582,'Per Line'!$AP$2:$AP$4001,0,'Per Line'!$AQ$2:$AQ$4001,0))</f>
        <v/>
      </c>
      <c r="S582" s="7">
        <f>IF($AA582="","",R582*Q582)</f>
        <v/>
      </c>
      <c r="T582">
        <f>IF($AA582="","",Settings!$C$6)</f>
        <v/>
      </c>
      <c r="U582" s="7">
        <f>IF($AA582="","",SUMIFS('Per Line'!$Y$2:$Y$4001,'Per Line'!$E$2:$E$4001,$B582,'Per Line'!$AP$2:$AP$4001,1,'Per Line'!$AQ$2:$AQ$4001,0))</f>
        <v/>
      </c>
      <c r="V582" s="7">
        <f>IF($AA582="","",U582*T582)</f>
        <v/>
      </c>
      <c r="W582" s="7">
        <f>IF($AA582="","",V582+S582)</f>
        <v/>
      </c>
      <c r="X582" s="7">
        <f>IF($AA582="","",Y582-W582)</f>
        <v/>
      </c>
      <c r="Y582" s="7">
        <f>IF($AA582="","",R582+U582+P582)</f>
        <v/>
      </c>
      <c r="Z582" s="7">
        <f>IF($AA582="","",Y582-W582-L582)</f>
        <v/>
      </c>
      <c r="AA582" s="13">
        <f>IF(ROWS($AA$2:$AA582)&lt;=MAX('Per Line'!$AO$2:$AO$4001),MATCH(ROWS($AA$2:$AA582),'Per Line'!$AO$2:$AO$4001,0),"")</f>
        <v/>
      </c>
      <c r="AB582" s="14">
        <f>IF($AA582="","",L582-K582*Y582/100)</f>
        <v/>
      </c>
    </row>
    <row r="583">
      <c r="A583" s="12" t="n"/>
      <c r="B583">
        <f>IF($AA583="","",INDEX('Per Line'!$E$2:$E$4001,$AA583)&amp;"")</f>
        <v/>
      </c>
      <c r="C583">
        <f>IF($AA583="","",INDEX('Per Line'!$A$2:$A$4001,$AA583)&amp;"")</f>
        <v/>
      </c>
      <c r="D583">
        <f>IF($AA583="","",INDEX('Per Line'!$D$2:$D$4001,$AA583)&amp;"")</f>
        <v/>
      </c>
      <c r="E583" s="11">
        <f>IF($AA583="","",INDEX('Per Line'!$G$2:$G$4001,$AA583))</f>
        <v/>
      </c>
      <c r="F583">
        <f>IF($AA583="","",INDEX('Per Line'!$H$2:$H$4001,$AA583)&amp;"")</f>
        <v/>
      </c>
      <c r="G583">
        <f>IF($AA583="","",INDEX('Per Line'!$I$2:$I$4001,$AA583)&amp;"")</f>
        <v/>
      </c>
      <c r="H583">
        <f>IF($AA583="","",INDEX('Per Line'!$J$2:$J$4001,$AA583)&amp;"")</f>
        <v/>
      </c>
      <c r="I583">
        <f>IF($AA583="","",INDEX('Per Line'!$K$2:$K$4001,$AA583)&amp;"")</f>
        <v/>
      </c>
      <c r="J583">
        <f>IF($AA583="","",INDEX('Per Line'!$L$2:$L$4001,$AA583)&amp;"")</f>
        <v/>
      </c>
      <c r="K583">
        <f>IF($AA583="","",INDEX('Per Line'!$P$2:$P$4001,$AA583))</f>
        <v/>
      </c>
      <c r="L583" s="7">
        <f>IF($AA583="","",IF(AND(ISNUMBER(N583),N583&gt;0,Y583&gt;N583),K583*N583/100+(Y583-N583),K583*Y583/100))</f>
        <v/>
      </c>
      <c r="M583">
        <f>IF($AA583="","",INDEX('Per Line'!$Z$2:$Z$4001,$AA583)&amp;"")</f>
        <v/>
      </c>
      <c r="N583">
        <f>IF($AA583="","",INDEX('Per Line'!$AG$2:$AG$4001,$AA583))</f>
        <v/>
      </c>
      <c r="O583">
        <f>IF($AA583="","",IF(AND(ISNUMBER(N583),N583&gt;0),Y583&gt;N583,FALSE))</f>
        <v/>
      </c>
      <c r="P583" s="7">
        <f>IF($AA583="","",SUMIFS('Per Line'!$Y$2:$Y$4001,'Per Line'!$E$2:$E$4001,$B583,'Per Line'!$AQ$2:$AQ$4001,1))</f>
        <v/>
      </c>
      <c r="Q583">
        <f>IF($AA583="","",Settings!$C$7)</f>
        <v/>
      </c>
      <c r="R583" s="7">
        <f>IF($AA583="","",SUMIFS('Per Line'!$Y$2:$Y$4001,'Per Line'!$E$2:$E$4001,$B583,'Per Line'!$AP$2:$AP$4001,0,'Per Line'!$AQ$2:$AQ$4001,0))</f>
        <v/>
      </c>
      <c r="S583" s="7">
        <f>IF($AA583="","",R583*Q583)</f>
        <v/>
      </c>
      <c r="T583">
        <f>IF($AA583="","",Settings!$C$6)</f>
        <v/>
      </c>
      <c r="U583" s="7">
        <f>IF($AA583="","",SUMIFS('Per Line'!$Y$2:$Y$4001,'Per Line'!$E$2:$E$4001,$B583,'Per Line'!$AP$2:$AP$4001,1,'Per Line'!$AQ$2:$AQ$4001,0))</f>
        <v/>
      </c>
      <c r="V583" s="7">
        <f>IF($AA583="","",U583*T583)</f>
        <v/>
      </c>
      <c r="W583" s="7">
        <f>IF($AA583="","",V583+S583)</f>
        <v/>
      </c>
      <c r="X583" s="7">
        <f>IF($AA583="","",Y583-W583)</f>
        <v/>
      </c>
      <c r="Y583" s="7">
        <f>IF($AA583="","",R583+U583+P583)</f>
        <v/>
      </c>
      <c r="Z583" s="7">
        <f>IF($AA583="","",Y583-W583-L583)</f>
        <v/>
      </c>
      <c r="AA583" s="13">
        <f>IF(ROWS($AA$2:$AA583)&lt;=MAX('Per Line'!$AO$2:$AO$4001),MATCH(ROWS($AA$2:$AA583),'Per Line'!$AO$2:$AO$4001,0),"")</f>
        <v/>
      </c>
      <c r="AB583" s="14">
        <f>IF($AA583="","",L583-K583*Y583/100)</f>
        <v/>
      </c>
    </row>
    <row r="584">
      <c r="A584" s="12" t="n"/>
      <c r="B584">
        <f>IF($AA584="","",INDEX('Per Line'!$E$2:$E$4001,$AA584)&amp;"")</f>
        <v/>
      </c>
      <c r="C584">
        <f>IF($AA584="","",INDEX('Per Line'!$A$2:$A$4001,$AA584)&amp;"")</f>
        <v/>
      </c>
      <c r="D584">
        <f>IF($AA584="","",INDEX('Per Line'!$D$2:$D$4001,$AA584)&amp;"")</f>
        <v/>
      </c>
      <c r="E584" s="11">
        <f>IF($AA584="","",INDEX('Per Line'!$G$2:$G$4001,$AA584))</f>
        <v/>
      </c>
      <c r="F584">
        <f>IF($AA584="","",INDEX('Per Line'!$H$2:$H$4001,$AA584)&amp;"")</f>
        <v/>
      </c>
      <c r="G584">
        <f>IF($AA584="","",INDEX('Per Line'!$I$2:$I$4001,$AA584)&amp;"")</f>
        <v/>
      </c>
      <c r="H584">
        <f>IF($AA584="","",INDEX('Per Line'!$J$2:$J$4001,$AA584)&amp;"")</f>
        <v/>
      </c>
      <c r="I584">
        <f>IF($AA584="","",INDEX('Per Line'!$K$2:$K$4001,$AA584)&amp;"")</f>
        <v/>
      </c>
      <c r="J584">
        <f>IF($AA584="","",INDEX('Per Line'!$L$2:$L$4001,$AA584)&amp;"")</f>
        <v/>
      </c>
      <c r="K584">
        <f>IF($AA584="","",INDEX('Per Line'!$P$2:$P$4001,$AA584))</f>
        <v/>
      </c>
      <c r="L584" s="7">
        <f>IF($AA584="","",IF(AND(ISNUMBER(N584),N584&gt;0,Y584&gt;N584),K584*N584/100+(Y584-N584),K584*Y584/100))</f>
        <v/>
      </c>
      <c r="M584">
        <f>IF($AA584="","",INDEX('Per Line'!$Z$2:$Z$4001,$AA584)&amp;"")</f>
        <v/>
      </c>
      <c r="N584">
        <f>IF($AA584="","",INDEX('Per Line'!$AG$2:$AG$4001,$AA584))</f>
        <v/>
      </c>
      <c r="O584">
        <f>IF($AA584="","",IF(AND(ISNUMBER(N584),N584&gt;0),Y584&gt;N584,FALSE))</f>
        <v/>
      </c>
      <c r="P584" s="7">
        <f>IF($AA584="","",SUMIFS('Per Line'!$Y$2:$Y$4001,'Per Line'!$E$2:$E$4001,$B584,'Per Line'!$AQ$2:$AQ$4001,1))</f>
        <v/>
      </c>
      <c r="Q584">
        <f>IF($AA584="","",Settings!$C$7)</f>
        <v/>
      </c>
      <c r="R584" s="7">
        <f>IF($AA584="","",SUMIFS('Per Line'!$Y$2:$Y$4001,'Per Line'!$E$2:$E$4001,$B584,'Per Line'!$AP$2:$AP$4001,0,'Per Line'!$AQ$2:$AQ$4001,0))</f>
        <v/>
      </c>
      <c r="S584" s="7">
        <f>IF($AA584="","",R584*Q584)</f>
        <v/>
      </c>
      <c r="T584">
        <f>IF($AA584="","",Settings!$C$6)</f>
        <v/>
      </c>
      <c r="U584" s="7">
        <f>IF($AA584="","",SUMIFS('Per Line'!$Y$2:$Y$4001,'Per Line'!$E$2:$E$4001,$B584,'Per Line'!$AP$2:$AP$4001,1,'Per Line'!$AQ$2:$AQ$4001,0))</f>
        <v/>
      </c>
      <c r="V584" s="7">
        <f>IF($AA584="","",U584*T584)</f>
        <v/>
      </c>
      <c r="W584" s="7">
        <f>IF($AA584="","",V584+S584)</f>
        <v/>
      </c>
      <c r="X584" s="7">
        <f>IF($AA584="","",Y584-W584)</f>
        <v/>
      </c>
      <c r="Y584" s="7">
        <f>IF($AA584="","",R584+U584+P584)</f>
        <v/>
      </c>
      <c r="Z584" s="7">
        <f>IF($AA584="","",Y584-W584-L584)</f>
        <v/>
      </c>
      <c r="AA584" s="13">
        <f>IF(ROWS($AA$2:$AA584)&lt;=MAX('Per Line'!$AO$2:$AO$4001),MATCH(ROWS($AA$2:$AA584),'Per Line'!$AO$2:$AO$4001,0),"")</f>
        <v/>
      </c>
      <c r="AB584" s="14">
        <f>IF($AA584="","",L584-K584*Y584/100)</f>
        <v/>
      </c>
    </row>
    <row r="585">
      <c r="A585" s="12" t="n"/>
      <c r="B585">
        <f>IF($AA585="","",INDEX('Per Line'!$E$2:$E$4001,$AA585)&amp;"")</f>
        <v/>
      </c>
      <c r="C585">
        <f>IF($AA585="","",INDEX('Per Line'!$A$2:$A$4001,$AA585)&amp;"")</f>
        <v/>
      </c>
      <c r="D585">
        <f>IF($AA585="","",INDEX('Per Line'!$D$2:$D$4001,$AA585)&amp;"")</f>
        <v/>
      </c>
      <c r="E585" s="11">
        <f>IF($AA585="","",INDEX('Per Line'!$G$2:$G$4001,$AA585))</f>
        <v/>
      </c>
      <c r="F585">
        <f>IF($AA585="","",INDEX('Per Line'!$H$2:$H$4001,$AA585)&amp;"")</f>
        <v/>
      </c>
      <c r="G585">
        <f>IF($AA585="","",INDEX('Per Line'!$I$2:$I$4001,$AA585)&amp;"")</f>
        <v/>
      </c>
      <c r="H585">
        <f>IF($AA585="","",INDEX('Per Line'!$J$2:$J$4001,$AA585)&amp;"")</f>
        <v/>
      </c>
      <c r="I585">
        <f>IF($AA585="","",INDEX('Per Line'!$K$2:$K$4001,$AA585)&amp;"")</f>
        <v/>
      </c>
      <c r="J585">
        <f>IF($AA585="","",INDEX('Per Line'!$L$2:$L$4001,$AA585)&amp;"")</f>
        <v/>
      </c>
      <c r="K585">
        <f>IF($AA585="","",INDEX('Per Line'!$P$2:$P$4001,$AA585))</f>
        <v/>
      </c>
      <c r="L585" s="7">
        <f>IF($AA585="","",IF(AND(ISNUMBER(N585),N585&gt;0,Y585&gt;N585),K585*N585/100+(Y585-N585),K585*Y585/100))</f>
        <v/>
      </c>
      <c r="M585">
        <f>IF($AA585="","",INDEX('Per Line'!$Z$2:$Z$4001,$AA585)&amp;"")</f>
        <v/>
      </c>
      <c r="N585">
        <f>IF($AA585="","",INDEX('Per Line'!$AG$2:$AG$4001,$AA585))</f>
        <v/>
      </c>
      <c r="O585">
        <f>IF($AA585="","",IF(AND(ISNUMBER(N585),N585&gt;0),Y585&gt;N585,FALSE))</f>
        <v/>
      </c>
      <c r="P585" s="7">
        <f>IF($AA585="","",SUMIFS('Per Line'!$Y$2:$Y$4001,'Per Line'!$E$2:$E$4001,$B585,'Per Line'!$AQ$2:$AQ$4001,1))</f>
        <v/>
      </c>
      <c r="Q585">
        <f>IF($AA585="","",Settings!$C$7)</f>
        <v/>
      </c>
      <c r="R585" s="7">
        <f>IF($AA585="","",SUMIFS('Per Line'!$Y$2:$Y$4001,'Per Line'!$E$2:$E$4001,$B585,'Per Line'!$AP$2:$AP$4001,0,'Per Line'!$AQ$2:$AQ$4001,0))</f>
        <v/>
      </c>
      <c r="S585" s="7">
        <f>IF($AA585="","",R585*Q585)</f>
        <v/>
      </c>
      <c r="T585">
        <f>IF($AA585="","",Settings!$C$6)</f>
        <v/>
      </c>
      <c r="U585" s="7">
        <f>IF($AA585="","",SUMIFS('Per Line'!$Y$2:$Y$4001,'Per Line'!$E$2:$E$4001,$B585,'Per Line'!$AP$2:$AP$4001,1,'Per Line'!$AQ$2:$AQ$4001,0))</f>
        <v/>
      </c>
      <c r="V585" s="7">
        <f>IF($AA585="","",U585*T585)</f>
        <v/>
      </c>
      <c r="W585" s="7">
        <f>IF($AA585="","",V585+S585)</f>
        <v/>
      </c>
      <c r="X585" s="7">
        <f>IF($AA585="","",Y585-W585)</f>
        <v/>
      </c>
      <c r="Y585" s="7">
        <f>IF($AA585="","",R585+U585+P585)</f>
        <v/>
      </c>
      <c r="Z585" s="7">
        <f>IF($AA585="","",Y585-W585-L585)</f>
        <v/>
      </c>
      <c r="AA585" s="13">
        <f>IF(ROWS($AA$2:$AA585)&lt;=MAX('Per Line'!$AO$2:$AO$4001),MATCH(ROWS($AA$2:$AA585),'Per Line'!$AO$2:$AO$4001,0),"")</f>
        <v/>
      </c>
      <c r="AB585" s="14">
        <f>IF($AA585="","",L585-K585*Y585/100)</f>
        <v/>
      </c>
    </row>
    <row r="586">
      <c r="A586" s="12" t="n"/>
      <c r="B586">
        <f>IF($AA586="","",INDEX('Per Line'!$E$2:$E$4001,$AA586)&amp;"")</f>
        <v/>
      </c>
      <c r="C586">
        <f>IF($AA586="","",INDEX('Per Line'!$A$2:$A$4001,$AA586)&amp;"")</f>
        <v/>
      </c>
      <c r="D586">
        <f>IF($AA586="","",INDEX('Per Line'!$D$2:$D$4001,$AA586)&amp;"")</f>
        <v/>
      </c>
      <c r="E586" s="11">
        <f>IF($AA586="","",INDEX('Per Line'!$G$2:$G$4001,$AA586))</f>
        <v/>
      </c>
      <c r="F586">
        <f>IF($AA586="","",INDEX('Per Line'!$H$2:$H$4001,$AA586)&amp;"")</f>
        <v/>
      </c>
      <c r="G586">
        <f>IF($AA586="","",INDEX('Per Line'!$I$2:$I$4001,$AA586)&amp;"")</f>
        <v/>
      </c>
      <c r="H586">
        <f>IF($AA586="","",INDEX('Per Line'!$J$2:$J$4001,$AA586)&amp;"")</f>
        <v/>
      </c>
      <c r="I586">
        <f>IF($AA586="","",INDEX('Per Line'!$K$2:$K$4001,$AA586)&amp;"")</f>
        <v/>
      </c>
      <c r="J586">
        <f>IF($AA586="","",INDEX('Per Line'!$L$2:$L$4001,$AA586)&amp;"")</f>
        <v/>
      </c>
      <c r="K586">
        <f>IF($AA586="","",INDEX('Per Line'!$P$2:$P$4001,$AA586))</f>
        <v/>
      </c>
      <c r="L586" s="7">
        <f>IF($AA586="","",IF(AND(ISNUMBER(N586),N586&gt;0,Y586&gt;N586),K586*N586/100+(Y586-N586),K586*Y586/100))</f>
        <v/>
      </c>
      <c r="M586">
        <f>IF($AA586="","",INDEX('Per Line'!$Z$2:$Z$4001,$AA586)&amp;"")</f>
        <v/>
      </c>
      <c r="N586">
        <f>IF($AA586="","",INDEX('Per Line'!$AG$2:$AG$4001,$AA586))</f>
        <v/>
      </c>
      <c r="O586">
        <f>IF($AA586="","",IF(AND(ISNUMBER(N586),N586&gt;0),Y586&gt;N586,FALSE))</f>
        <v/>
      </c>
      <c r="P586" s="7">
        <f>IF($AA586="","",SUMIFS('Per Line'!$Y$2:$Y$4001,'Per Line'!$E$2:$E$4001,$B586,'Per Line'!$AQ$2:$AQ$4001,1))</f>
        <v/>
      </c>
      <c r="Q586">
        <f>IF($AA586="","",Settings!$C$7)</f>
        <v/>
      </c>
      <c r="R586" s="7">
        <f>IF($AA586="","",SUMIFS('Per Line'!$Y$2:$Y$4001,'Per Line'!$E$2:$E$4001,$B586,'Per Line'!$AP$2:$AP$4001,0,'Per Line'!$AQ$2:$AQ$4001,0))</f>
        <v/>
      </c>
      <c r="S586" s="7">
        <f>IF($AA586="","",R586*Q586)</f>
        <v/>
      </c>
      <c r="T586">
        <f>IF($AA586="","",Settings!$C$6)</f>
        <v/>
      </c>
      <c r="U586" s="7">
        <f>IF($AA586="","",SUMIFS('Per Line'!$Y$2:$Y$4001,'Per Line'!$E$2:$E$4001,$B586,'Per Line'!$AP$2:$AP$4001,1,'Per Line'!$AQ$2:$AQ$4001,0))</f>
        <v/>
      </c>
      <c r="V586" s="7">
        <f>IF($AA586="","",U586*T586)</f>
        <v/>
      </c>
      <c r="W586" s="7">
        <f>IF($AA586="","",V586+S586)</f>
        <v/>
      </c>
      <c r="X586" s="7">
        <f>IF($AA586="","",Y586-W586)</f>
        <v/>
      </c>
      <c r="Y586" s="7">
        <f>IF($AA586="","",R586+U586+P586)</f>
        <v/>
      </c>
      <c r="Z586" s="7">
        <f>IF($AA586="","",Y586-W586-L586)</f>
        <v/>
      </c>
      <c r="AA586" s="13">
        <f>IF(ROWS($AA$2:$AA586)&lt;=MAX('Per Line'!$AO$2:$AO$4001),MATCH(ROWS($AA$2:$AA586),'Per Line'!$AO$2:$AO$4001,0),"")</f>
        <v/>
      </c>
      <c r="AB586" s="14">
        <f>IF($AA586="","",L586-K586*Y586/100)</f>
        <v/>
      </c>
    </row>
    <row r="587">
      <c r="A587" s="12" t="n"/>
      <c r="B587">
        <f>IF($AA587="","",INDEX('Per Line'!$E$2:$E$4001,$AA587)&amp;"")</f>
        <v/>
      </c>
      <c r="C587">
        <f>IF($AA587="","",INDEX('Per Line'!$A$2:$A$4001,$AA587)&amp;"")</f>
        <v/>
      </c>
      <c r="D587">
        <f>IF($AA587="","",INDEX('Per Line'!$D$2:$D$4001,$AA587)&amp;"")</f>
        <v/>
      </c>
      <c r="E587" s="11">
        <f>IF($AA587="","",INDEX('Per Line'!$G$2:$G$4001,$AA587))</f>
        <v/>
      </c>
      <c r="F587">
        <f>IF($AA587="","",INDEX('Per Line'!$H$2:$H$4001,$AA587)&amp;"")</f>
        <v/>
      </c>
      <c r="G587">
        <f>IF($AA587="","",INDEX('Per Line'!$I$2:$I$4001,$AA587)&amp;"")</f>
        <v/>
      </c>
      <c r="H587">
        <f>IF($AA587="","",INDEX('Per Line'!$J$2:$J$4001,$AA587)&amp;"")</f>
        <v/>
      </c>
      <c r="I587">
        <f>IF($AA587="","",INDEX('Per Line'!$K$2:$K$4001,$AA587)&amp;"")</f>
        <v/>
      </c>
      <c r="J587">
        <f>IF($AA587="","",INDEX('Per Line'!$L$2:$L$4001,$AA587)&amp;"")</f>
        <v/>
      </c>
      <c r="K587">
        <f>IF($AA587="","",INDEX('Per Line'!$P$2:$P$4001,$AA587))</f>
        <v/>
      </c>
      <c r="L587" s="7">
        <f>IF($AA587="","",IF(AND(ISNUMBER(N587),N587&gt;0,Y587&gt;N587),K587*N587/100+(Y587-N587),K587*Y587/100))</f>
        <v/>
      </c>
      <c r="M587">
        <f>IF($AA587="","",INDEX('Per Line'!$Z$2:$Z$4001,$AA587)&amp;"")</f>
        <v/>
      </c>
      <c r="N587">
        <f>IF($AA587="","",INDEX('Per Line'!$AG$2:$AG$4001,$AA587))</f>
        <v/>
      </c>
      <c r="O587">
        <f>IF($AA587="","",IF(AND(ISNUMBER(N587),N587&gt;0),Y587&gt;N587,FALSE))</f>
        <v/>
      </c>
      <c r="P587" s="7">
        <f>IF($AA587="","",SUMIFS('Per Line'!$Y$2:$Y$4001,'Per Line'!$E$2:$E$4001,$B587,'Per Line'!$AQ$2:$AQ$4001,1))</f>
        <v/>
      </c>
      <c r="Q587">
        <f>IF($AA587="","",Settings!$C$7)</f>
        <v/>
      </c>
      <c r="R587" s="7">
        <f>IF($AA587="","",SUMIFS('Per Line'!$Y$2:$Y$4001,'Per Line'!$E$2:$E$4001,$B587,'Per Line'!$AP$2:$AP$4001,0,'Per Line'!$AQ$2:$AQ$4001,0))</f>
        <v/>
      </c>
      <c r="S587" s="7">
        <f>IF($AA587="","",R587*Q587)</f>
        <v/>
      </c>
      <c r="T587">
        <f>IF($AA587="","",Settings!$C$6)</f>
        <v/>
      </c>
      <c r="U587" s="7">
        <f>IF($AA587="","",SUMIFS('Per Line'!$Y$2:$Y$4001,'Per Line'!$E$2:$E$4001,$B587,'Per Line'!$AP$2:$AP$4001,1,'Per Line'!$AQ$2:$AQ$4001,0))</f>
        <v/>
      </c>
      <c r="V587" s="7">
        <f>IF($AA587="","",U587*T587)</f>
        <v/>
      </c>
      <c r="W587" s="7">
        <f>IF($AA587="","",V587+S587)</f>
        <v/>
      </c>
      <c r="X587" s="7">
        <f>IF($AA587="","",Y587-W587)</f>
        <v/>
      </c>
      <c r="Y587" s="7">
        <f>IF($AA587="","",R587+U587+P587)</f>
        <v/>
      </c>
      <c r="Z587" s="7">
        <f>IF($AA587="","",Y587-W587-L587)</f>
        <v/>
      </c>
      <c r="AA587" s="13">
        <f>IF(ROWS($AA$2:$AA587)&lt;=MAX('Per Line'!$AO$2:$AO$4001),MATCH(ROWS($AA$2:$AA587),'Per Line'!$AO$2:$AO$4001,0),"")</f>
        <v/>
      </c>
      <c r="AB587" s="14">
        <f>IF($AA587="","",L587-K587*Y587/100)</f>
        <v/>
      </c>
    </row>
    <row r="588">
      <c r="A588" s="12" t="n"/>
      <c r="B588">
        <f>IF($AA588="","",INDEX('Per Line'!$E$2:$E$4001,$AA588)&amp;"")</f>
        <v/>
      </c>
      <c r="C588">
        <f>IF($AA588="","",INDEX('Per Line'!$A$2:$A$4001,$AA588)&amp;"")</f>
        <v/>
      </c>
      <c r="D588">
        <f>IF($AA588="","",INDEX('Per Line'!$D$2:$D$4001,$AA588)&amp;"")</f>
        <v/>
      </c>
      <c r="E588" s="11">
        <f>IF($AA588="","",INDEX('Per Line'!$G$2:$G$4001,$AA588))</f>
        <v/>
      </c>
      <c r="F588">
        <f>IF($AA588="","",INDEX('Per Line'!$H$2:$H$4001,$AA588)&amp;"")</f>
        <v/>
      </c>
      <c r="G588">
        <f>IF($AA588="","",INDEX('Per Line'!$I$2:$I$4001,$AA588)&amp;"")</f>
        <v/>
      </c>
      <c r="H588">
        <f>IF($AA588="","",INDEX('Per Line'!$J$2:$J$4001,$AA588)&amp;"")</f>
        <v/>
      </c>
      <c r="I588">
        <f>IF($AA588="","",INDEX('Per Line'!$K$2:$K$4001,$AA588)&amp;"")</f>
        <v/>
      </c>
      <c r="J588">
        <f>IF($AA588="","",INDEX('Per Line'!$L$2:$L$4001,$AA588)&amp;"")</f>
        <v/>
      </c>
      <c r="K588">
        <f>IF($AA588="","",INDEX('Per Line'!$P$2:$P$4001,$AA588))</f>
        <v/>
      </c>
      <c r="L588" s="7">
        <f>IF($AA588="","",IF(AND(ISNUMBER(N588),N588&gt;0,Y588&gt;N588),K588*N588/100+(Y588-N588),K588*Y588/100))</f>
        <v/>
      </c>
      <c r="M588">
        <f>IF($AA588="","",INDEX('Per Line'!$Z$2:$Z$4001,$AA588)&amp;"")</f>
        <v/>
      </c>
      <c r="N588">
        <f>IF($AA588="","",INDEX('Per Line'!$AG$2:$AG$4001,$AA588))</f>
        <v/>
      </c>
      <c r="O588">
        <f>IF($AA588="","",IF(AND(ISNUMBER(N588),N588&gt;0),Y588&gt;N588,FALSE))</f>
        <v/>
      </c>
      <c r="P588" s="7">
        <f>IF($AA588="","",SUMIFS('Per Line'!$Y$2:$Y$4001,'Per Line'!$E$2:$E$4001,$B588,'Per Line'!$AQ$2:$AQ$4001,1))</f>
        <v/>
      </c>
      <c r="Q588">
        <f>IF($AA588="","",Settings!$C$7)</f>
        <v/>
      </c>
      <c r="R588" s="7">
        <f>IF($AA588="","",SUMIFS('Per Line'!$Y$2:$Y$4001,'Per Line'!$E$2:$E$4001,$B588,'Per Line'!$AP$2:$AP$4001,0,'Per Line'!$AQ$2:$AQ$4001,0))</f>
        <v/>
      </c>
      <c r="S588" s="7">
        <f>IF($AA588="","",R588*Q588)</f>
        <v/>
      </c>
      <c r="T588">
        <f>IF($AA588="","",Settings!$C$6)</f>
        <v/>
      </c>
      <c r="U588" s="7">
        <f>IF($AA588="","",SUMIFS('Per Line'!$Y$2:$Y$4001,'Per Line'!$E$2:$E$4001,$B588,'Per Line'!$AP$2:$AP$4001,1,'Per Line'!$AQ$2:$AQ$4001,0))</f>
        <v/>
      </c>
      <c r="V588" s="7">
        <f>IF($AA588="","",U588*T588)</f>
        <v/>
      </c>
      <c r="W588" s="7">
        <f>IF($AA588="","",V588+S588)</f>
        <v/>
      </c>
      <c r="X588" s="7">
        <f>IF($AA588="","",Y588-W588)</f>
        <v/>
      </c>
      <c r="Y588" s="7">
        <f>IF($AA588="","",R588+U588+P588)</f>
        <v/>
      </c>
      <c r="Z588" s="7">
        <f>IF($AA588="","",Y588-W588-L588)</f>
        <v/>
      </c>
      <c r="AA588" s="13">
        <f>IF(ROWS($AA$2:$AA588)&lt;=MAX('Per Line'!$AO$2:$AO$4001),MATCH(ROWS($AA$2:$AA588),'Per Line'!$AO$2:$AO$4001,0),"")</f>
        <v/>
      </c>
      <c r="AB588" s="14">
        <f>IF($AA588="","",L588-K588*Y588/100)</f>
        <v/>
      </c>
    </row>
    <row r="589">
      <c r="A589" s="12" t="n"/>
      <c r="B589">
        <f>IF($AA589="","",INDEX('Per Line'!$E$2:$E$4001,$AA589)&amp;"")</f>
        <v/>
      </c>
      <c r="C589">
        <f>IF($AA589="","",INDEX('Per Line'!$A$2:$A$4001,$AA589)&amp;"")</f>
        <v/>
      </c>
      <c r="D589">
        <f>IF($AA589="","",INDEX('Per Line'!$D$2:$D$4001,$AA589)&amp;"")</f>
        <v/>
      </c>
      <c r="E589" s="11">
        <f>IF($AA589="","",INDEX('Per Line'!$G$2:$G$4001,$AA589))</f>
        <v/>
      </c>
      <c r="F589">
        <f>IF($AA589="","",INDEX('Per Line'!$H$2:$H$4001,$AA589)&amp;"")</f>
        <v/>
      </c>
      <c r="G589">
        <f>IF($AA589="","",INDEX('Per Line'!$I$2:$I$4001,$AA589)&amp;"")</f>
        <v/>
      </c>
      <c r="H589">
        <f>IF($AA589="","",INDEX('Per Line'!$J$2:$J$4001,$AA589)&amp;"")</f>
        <v/>
      </c>
      <c r="I589">
        <f>IF($AA589="","",INDEX('Per Line'!$K$2:$K$4001,$AA589)&amp;"")</f>
        <v/>
      </c>
      <c r="J589">
        <f>IF($AA589="","",INDEX('Per Line'!$L$2:$L$4001,$AA589)&amp;"")</f>
        <v/>
      </c>
      <c r="K589">
        <f>IF($AA589="","",INDEX('Per Line'!$P$2:$P$4001,$AA589))</f>
        <v/>
      </c>
      <c r="L589" s="7">
        <f>IF($AA589="","",IF(AND(ISNUMBER(N589),N589&gt;0,Y589&gt;N589),K589*N589/100+(Y589-N589),K589*Y589/100))</f>
        <v/>
      </c>
      <c r="M589">
        <f>IF($AA589="","",INDEX('Per Line'!$Z$2:$Z$4001,$AA589)&amp;"")</f>
        <v/>
      </c>
      <c r="N589">
        <f>IF($AA589="","",INDEX('Per Line'!$AG$2:$AG$4001,$AA589))</f>
        <v/>
      </c>
      <c r="O589">
        <f>IF($AA589="","",IF(AND(ISNUMBER(N589),N589&gt;0),Y589&gt;N589,FALSE))</f>
        <v/>
      </c>
      <c r="P589" s="7">
        <f>IF($AA589="","",SUMIFS('Per Line'!$Y$2:$Y$4001,'Per Line'!$E$2:$E$4001,$B589,'Per Line'!$AQ$2:$AQ$4001,1))</f>
        <v/>
      </c>
      <c r="Q589">
        <f>IF($AA589="","",Settings!$C$7)</f>
        <v/>
      </c>
      <c r="R589" s="7">
        <f>IF($AA589="","",SUMIFS('Per Line'!$Y$2:$Y$4001,'Per Line'!$E$2:$E$4001,$B589,'Per Line'!$AP$2:$AP$4001,0,'Per Line'!$AQ$2:$AQ$4001,0))</f>
        <v/>
      </c>
      <c r="S589" s="7">
        <f>IF($AA589="","",R589*Q589)</f>
        <v/>
      </c>
      <c r="T589">
        <f>IF($AA589="","",Settings!$C$6)</f>
        <v/>
      </c>
      <c r="U589" s="7">
        <f>IF($AA589="","",SUMIFS('Per Line'!$Y$2:$Y$4001,'Per Line'!$E$2:$E$4001,$B589,'Per Line'!$AP$2:$AP$4001,1,'Per Line'!$AQ$2:$AQ$4001,0))</f>
        <v/>
      </c>
      <c r="V589" s="7">
        <f>IF($AA589="","",U589*T589)</f>
        <v/>
      </c>
      <c r="W589" s="7">
        <f>IF($AA589="","",V589+S589)</f>
        <v/>
      </c>
      <c r="X589" s="7">
        <f>IF($AA589="","",Y589-W589)</f>
        <v/>
      </c>
      <c r="Y589" s="7">
        <f>IF($AA589="","",R589+U589+P589)</f>
        <v/>
      </c>
      <c r="Z589" s="7">
        <f>IF($AA589="","",Y589-W589-L589)</f>
        <v/>
      </c>
      <c r="AA589" s="13">
        <f>IF(ROWS($AA$2:$AA589)&lt;=MAX('Per Line'!$AO$2:$AO$4001),MATCH(ROWS($AA$2:$AA589),'Per Line'!$AO$2:$AO$4001,0),"")</f>
        <v/>
      </c>
      <c r="AB589" s="14">
        <f>IF($AA589="","",L589-K589*Y589/100)</f>
        <v/>
      </c>
    </row>
    <row r="590">
      <c r="A590" s="12" t="n"/>
      <c r="B590">
        <f>IF($AA590="","",INDEX('Per Line'!$E$2:$E$4001,$AA590)&amp;"")</f>
        <v/>
      </c>
      <c r="C590">
        <f>IF($AA590="","",INDEX('Per Line'!$A$2:$A$4001,$AA590)&amp;"")</f>
        <v/>
      </c>
      <c r="D590">
        <f>IF($AA590="","",INDEX('Per Line'!$D$2:$D$4001,$AA590)&amp;"")</f>
        <v/>
      </c>
      <c r="E590" s="11">
        <f>IF($AA590="","",INDEX('Per Line'!$G$2:$G$4001,$AA590))</f>
        <v/>
      </c>
      <c r="F590">
        <f>IF($AA590="","",INDEX('Per Line'!$H$2:$H$4001,$AA590)&amp;"")</f>
        <v/>
      </c>
      <c r="G590">
        <f>IF($AA590="","",INDEX('Per Line'!$I$2:$I$4001,$AA590)&amp;"")</f>
        <v/>
      </c>
      <c r="H590">
        <f>IF($AA590="","",INDEX('Per Line'!$J$2:$J$4001,$AA590)&amp;"")</f>
        <v/>
      </c>
      <c r="I590">
        <f>IF($AA590="","",INDEX('Per Line'!$K$2:$K$4001,$AA590)&amp;"")</f>
        <v/>
      </c>
      <c r="J590">
        <f>IF($AA590="","",INDEX('Per Line'!$L$2:$L$4001,$AA590)&amp;"")</f>
        <v/>
      </c>
      <c r="K590">
        <f>IF($AA590="","",INDEX('Per Line'!$P$2:$P$4001,$AA590))</f>
        <v/>
      </c>
      <c r="L590" s="7">
        <f>IF($AA590="","",IF(AND(ISNUMBER(N590),N590&gt;0,Y590&gt;N590),K590*N590/100+(Y590-N590),K590*Y590/100))</f>
        <v/>
      </c>
      <c r="M590">
        <f>IF($AA590="","",INDEX('Per Line'!$Z$2:$Z$4001,$AA590)&amp;"")</f>
        <v/>
      </c>
      <c r="N590">
        <f>IF($AA590="","",INDEX('Per Line'!$AG$2:$AG$4001,$AA590))</f>
        <v/>
      </c>
      <c r="O590">
        <f>IF($AA590="","",IF(AND(ISNUMBER(N590),N590&gt;0),Y590&gt;N590,FALSE))</f>
        <v/>
      </c>
      <c r="P590" s="7">
        <f>IF($AA590="","",SUMIFS('Per Line'!$Y$2:$Y$4001,'Per Line'!$E$2:$E$4001,$B590,'Per Line'!$AQ$2:$AQ$4001,1))</f>
        <v/>
      </c>
      <c r="Q590">
        <f>IF($AA590="","",Settings!$C$7)</f>
        <v/>
      </c>
      <c r="R590" s="7">
        <f>IF($AA590="","",SUMIFS('Per Line'!$Y$2:$Y$4001,'Per Line'!$E$2:$E$4001,$B590,'Per Line'!$AP$2:$AP$4001,0,'Per Line'!$AQ$2:$AQ$4001,0))</f>
        <v/>
      </c>
      <c r="S590" s="7">
        <f>IF($AA590="","",R590*Q590)</f>
        <v/>
      </c>
      <c r="T590">
        <f>IF($AA590="","",Settings!$C$6)</f>
        <v/>
      </c>
      <c r="U590" s="7">
        <f>IF($AA590="","",SUMIFS('Per Line'!$Y$2:$Y$4001,'Per Line'!$E$2:$E$4001,$B590,'Per Line'!$AP$2:$AP$4001,1,'Per Line'!$AQ$2:$AQ$4001,0))</f>
        <v/>
      </c>
      <c r="V590" s="7">
        <f>IF($AA590="","",U590*T590)</f>
        <v/>
      </c>
      <c r="W590" s="7">
        <f>IF($AA590="","",V590+S590)</f>
        <v/>
      </c>
      <c r="X590" s="7">
        <f>IF($AA590="","",Y590-W590)</f>
        <v/>
      </c>
      <c r="Y590" s="7">
        <f>IF($AA590="","",R590+U590+P590)</f>
        <v/>
      </c>
      <c r="Z590" s="7">
        <f>IF($AA590="","",Y590-W590-L590)</f>
        <v/>
      </c>
      <c r="AA590" s="13">
        <f>IF(ROWS($AA$2:$AA590)&lt;=MAX('Per Line'!$AO$2:$AO$4001),MATCH(ROWS($AA$2:$AA590),'Per Line'!$AO$2:$AO$4001,0),"")</f>
        <v/>
      </c>
      <c r="AB590" s="14">
        <f>IF($AA590="","",L590-K590*Y590/100)</f>
        <v/>
      </c>
    </row>
    <row r="591">
      <c r="A591" s="12" t="n"/>
      <c r="B591">
        <f>IF($AA591="","",INDEX('Per Line'!$E$2:$E$4001,$AA591)&amp;"")</f>
        <v/>
      </c>
      <c r="C591">
        <f>IF($AA591="","",INDEX('Per Line'!$A$2:$A$4001,$AA591)&amp;"")</f>
        <v/>
      </c>
      <c r="D591">
        <f>IF($AA591="","",INDEX('Per Line'!$D$2:$D$4001,$AA591)&amp;"")</f>
        <v/>
      </c>
      <c r="E591" s="11">
        <f>IF($AA591="","",INDEX('Per Line'!$G$2:$G$4001,$AA591))</f>
        <v/>
      </c>
      <c r="F591">
        <f>IF($AA591="","",INDEX('Per Line'!$H$2:$H$4001,$AA591)&amp;"")</f>
        <v/>
      </c>
      <c r="G591">
        <f>IF($AA591="","",INDEX('Per Line'!$I$2:$I$4001,$AA591)&amp;"")</f>
        <v/>
      </c>
      <c r="H591">
        <f>IF($AA591="","",INDEX('Per Line'!$J$2:$J$4001,$AA591)&amp;"")</f>
        <v/>
      </c>
      <c r="I591">
        <f>IF($AA591="","",INDEX('Per Line'!$K$2:$K$4001,$AA591)&amp;"")</f>
        <v/>
      </c>
      <c r="J591">
        <f>IF($AA591="","",INDEX('Per Line'!$L$2:$L$4001,$AA591)&amp;"")</f>
        <v/>
      </c>
      <c r="K591">
        <f>IF($AA591="","",INDEX('Per Line'!$P$2:$P$4001,$AA591))</f>
        <v/>
      </c>
      <c r="L591" s="7">
        <f>IF($AA591="","",IF(AND(ISNUMBER(N591),N591&gt;0,Y591&gt;N591),K591*N591/100+(Y591-N591),K591*Y591/100))</f>
        <v/>
      </c>
      <c r="M591">
        <f>IF($AA591="","",INDEX('Per Line'!$Z$2:$Z$4001,$AA591)&amp;"")</f>
        <v/>
      </c>
      <c r="N591">
        <f>IF($AA591="","",INDEX('Per Line'!$AG$2:$AG$4001,$AA591))</f>
        <v/>
      </c>
      <c r="O591">
        <f>IF($AA591="","",IF(AND(ISNUMBER(N591),N591&gt;0),Y591&gt;N591,FALSE))</f>
        <v/>
      </c>
      <c r="P591" s="7">
        <f>IF($AA591="","",SUMIFS('Per Line'!$Y$2:$Y$4001,'Per Line'!$E$2:$E$4001,$B591,'Per Line'!$AQ$2:$AQ$4001,1))</f>
        <v/>
      </c>
      <c r="Q591">
        <f>IF($AA591="","",Settings!$C$7)</f>
        <v/>
      </c>
      <c r="R591" s="7">
        <f>IF($AA591="","",SUMIFS('Per Line'!$Y$2:$Y$4001,'Per Line'!$E$2:$E$4001,$B591,'Per Line'!$AP$2:$AP$4001,0,'Per Line'!$AQ$2:$AQ$4001,0))</f>
        <v/>
      </c>
      <c r="S591" s="7">
        <f>IF($AA591="","",R591*Q591)</f>
        <v/>
      </c>
      <c r="T591">
        <f>IF($AA591="","",Settings!$C$6)</f>
        <v/>
      </c>
      <c r="U591" s="7">
        <f>IF($AA591="","",SUMIFS('Per Line'!$Y$2:$Y$4001,'Per Line'!$E$2:$E$4001,$B591,'Per Line'!$AP$2:$AP$4001,1,'Per Line'!$AQ$2:$AQ$4001,0))</f>
        <v/>
      </c>
      <c r="V591" s="7">
        <f>IF($AA591="","",U591*T591)</f>
        <v/>
      </c>
      <c r="W591" s="7">
        <f>IF($AA591="","",V591+S591)</f>
        <v/>
      </c>
      <c r="X591" s="7">
        <f>IF($AA591="","",Y591-W591)</f>
        <v/>
      </c>
      <c r="Y591" s="7">
        <f>IF($AA591="","",R591+U591+P591)</f>
        <v/>
      </c>
      <c r="Z591" s="7">
        <f>IF($AA591="","",Y591-W591-L591)</f>
        <v/>
      </c>
      <c r="AA591" s="13">
        <f>IF(ROWS($AA$2:$AA591)&lt;=MAX('Per Line'!$AO$2:$AO$4001),MATCH(ROWS($AA$2:$AA591),'Per Line'!$AO$2:$AO$4001,0),"")</f>
        <v/>
      </c>
      <c r="AB591" s="14">
        <f>IF($AA591="","",L591-K591*Y591/100)</f>
        <v/>
      </c>
    </row>
    <row r="592">
      <c r="A592" s="12" t="n"/>
      <c r="B592">
        <f>IF($AA592="","",INDEX('Per Line'!$E$2:$E$4001,$AA592)&amp;"")</f>
        <v/>
      </c>
      <c r="C592">
        <f>IF($AA592="","",INDEX('Per Line'!$A$2:$A$4001,$AA592)&amp;"")</f>
        <v/>
      </c>
      <c r="D592">
        <f>IF($AA592="","",INDEX('Per Line'!$D$2:$D$4001,$AA592)&amp;"")</f>
        <v/>
      </c>
      <c r="E592" s="11">
        <f>IF($AA592="","",INDEX('Per Line'!$G$2:$G$4001,$AA592))</f>
        <v/>
      </c>
      <c r="F592">
        <f>IF($AA592="","",INDEX('Per Line'!$H$2:$H$4001,$AA592)&amp;"")</f>
        <v/>
      </c>
      <c r="G592">
        <f>IF($AA592="","",INDEX('Per Line'!$I$2:$I$4001,$AA592)&amp;"")</f>
        <v/>
      </c>
      <c r="H592">
        <f>IF($AA592="","",INDEX('Per Line'!$J$2:$J$4001,$AA592)&amp;"")</f>
        <v/>
      </c>
      <c r="I592">
        <f>IF($AA592="","",INDEX('Per Line'!$K$2:$K$4001,$AA592)&amp;"")</f>
        <v/>
      </c>
      <c r="J592">
        <f>IF($AA592="","",INDEX('Per Line'!$L$2:$L$4001,$AA592)&amp;"")</f>
        <v/>
      </c>
      <c r="K592">
        <f>IF($AA592="","",INDEX('Per Line'!$P$2:$P$4001,$AA592))</f>
        <v/>
      </c>
      <c r="L592" s="7">
        <f>IF($AA592="","",IF(AND(ISNUMBER(N592),N592&gt;0,Y592&gt;N592),K592*N592/100+(Y592-N592),K592*Y592/100))</f>
        <v/>
      </c>
      <c r="M592">
        <f>IF($AA592="","",INDEX('Per Line'!$Z$2:$Z$4001,$AA592)&amp;"")</f>
        <v/>
      </c>
      <c r="N592">
        <f>IF($AA592="","",INDEX('Per Line'!$AG$2:$AG$4001,$AA592))</f>
        <v/>
      </c>
      <c r="O592">
        <f>IF($AA592="","",IF(AND(ISNUMBER(N592),N592&gt;0),Y592&gt;N592,FALSE))</f>
        <v/>
      </c>
      <c r="P592" s="7">
        <f>IF($AA592="","",SUMIFS('Per Line'!$Y$2:$Y$4001,'Per Line'!$E$2:$E$4001,$B592,'Per Line'!$AQ$2:$AQ$4001,1))</f>
        <v/>
      </c>
      <c r="Q592">
        <f>IF($AA592="","",Settings!$C$7)</f>
        <v/>
      </c>
      <c r="R592" s="7">
        <f>IF($AA592="","",SUMIFS('Per Line'!$Y$2:$Y$4001,'Per Line'!$E$2:$E$4001,$B592,'Per Line'!$AP$2:$AP$4001,0,'Per Line'!$AQ$2:$AQ$4001,0))</f>
        <v/>
      </c>
      <c r="S592" s="7">
        <f>IF($AA592="","",R592*Q592)</f>
        <v/>
      </c>
      <c r="T592">
        <f>IF($AA592="","",Settings!$C$6)</f>
        <v/>
      </c>
      <c r="U592" s="7">
        <f>IF($AA592="","",SUMIFS('Per Line'!$Y$2:$Y$4001,'Per Line'!$E$2:$E$4001,$B592,'Per Line'!$AP$2:$AP$4001,1,'Per Line'!$AQ$2:$AQ$4001,0))</f>
        <v/>
      </c>
      <c r="V592" s="7">
        <f>IF($AA592="","",U592*T592)</f>
        <v/>
      </c>
      <c r="W592" s="7">
        <f>IF($AA592="","",V592+S592)</f>
        <v/>
      </c>
      <c r="X592" s="7">
        <f>IF($AA592="","",Y592-W592)</f>
        <v/>
      </c>
      <c r="Y592" s="7">
        <f>IF($AA592="","",R592+U592+P592)</f>
        <v/>
      </c>
      <c r="Z592" s="7">
        <f>IF($AA592="","",Y592-W592-L592)</f>
        <v/>
      </c>
      <c r="AA592" s="13">
        <f>IF(ROWS($AA$2:$AA592)&lt;=MAX('Per Line'!$AO$2:$AO$4001),MATCH(ROWS($AA$2:$AA592),'Per Line'!$AO$2:$AO$4001,0),"")</f>
        <v/>
      </c>
      <c r="AB592" s="14">
        <f>IF($AA592="","",L592-K592*Y592/100)</f>
        <v/>
      </c>
    </row>
    <row r="593">
      <c r="A593" s="12" t="n"/>
      <c r="B593">
        <f>IF($AA593="","",INDEX('Per Line'!$E$2:$E$4001,$AA593)&amp;"")</f>
        <v/>
      </c>
      <c r="C593">
        <f>IF($AA593="","",INDEX('Per Line'!$A$2:$A$4001,$AA593)&amp;"")</f>
        <v/>
      </c>
      <c r="D593">
        <f>IF($AA593="","",INDEX('Per Line'!$D$2:$D$4001,$AA593)&amp;"")</f>
        <v/>
      </c>
      <c r="E593" s="11">
        <f>IF($AA593="","",INDEX('Per Line'!$G$2:$G$4001,$AA593))</f>
        <v/>
      </c>
      <c r="F593">
        <f>IF($AA593="","",INDEX('Per Line'!$H$2:$H$4001,$AA593)&amp;"")</f>
        <v/>
      </c>
      <c r="G593">
        <f>IF($AA593="","",INDEX('Per Line'!$I$2:$I$4001,$AA593)&amp;"")</f>
        <v/>
      </c>
      <c r="H593">
        <f>IF($AA593="","",INDEX('Per Line'!$J$2:$J$4001,$AA593)&amp;"")</f>
        <v/>
      </c>
      <c r="I593">
        <f>IF($AA593="","",INDEX('Per Line'!$K$2:$K$4001,$AA593)&amp;"")</f>
        <v/>
      </c>
      <c r="J593">
        <f>IF($AA593="","",INDEX('Per Line'!$L$2:$L$4001,$AA593)&amp;"")</f>
        <v/>
      </c>
      <c r="K593">
        <f>IF($AA593="","",INDEX('Per Line'!$P$2:$P$4001,$AA593))</f>
        <v/>
      </c>
      <c r="L593" s="7">
        <f>IF($AA593="","",IF(AND(ISNUMBER(N593),N593&gt;0,Y593&gt;N593),K593*N593/100+(Y593-N593),K593*Y593/100))</f>
        <v/>
      </c>
      <c r="M593">
        <f>IF($AA593="","",INDEX('Per Line'!$Z$2:$Z$4001,$AA593)&amp;"")</f>
        <v/>
      </c>
      <c r="N593">
        <f>IF($AA593="","",INDEX('Per Line'!$AG$2:$AG$4001,$AA593))</f>
        <v/>
      </c>
      <c r="O593">
        <f>IF($AA593="","",IF(AND(ISNUMBER(N593),N593&gt;0),Y593&gt;N593,FALSE))</f>
        <v/>
      </c>
      <c r="P593" s="7">
        <f>IF($AA593="","",SUMIFS('Per Line'!$Y$2:$Y$4001,'Per Line'!$E$2:$E$4001,$B593,'Per Line'!$AQ$2:$AQ$4001,1))</f>
        <v/>
      </c>
      <c r="Q593">
        <f>IF($AA593="","",Settings!$C$7)</f>
        <v/>
      </c>
      <c r="R593" s="7">
        <f>IF($AA593="","",SUMIFS('Per Line'!$Y$2:$Y$4001,'Per Line'!$E$2:$E$4001,$B593,'Per Line'!$AP$2:$AP$4001,0,'Per Line'!$AQ$2:$AQ$4001,0))</f>
        <v/>
      </c>
      <c r="S593" s="7">
        <f>IF($AA593="","",R593*Q593)</f>
        <v/>
      </c>
      <c r="T593">
        <f>IF($AA593="","",Settings!$C$6)</f>
        <v/>
      </c>
      <c r="U593" s="7">
        <f>IF($AA593="","",SUMIFS('Per Line'!$Y$2:$Y$4001,'Per Line'!$E$2:$E$4001,$B593,'Per Line'!$AP$2:$AP$4001,1,'Per Line'!$AQ$2:$AQ$4001,0))</f>
        <v/>
      </c>
      <c r="V593" s="7">
        <f>IF($AA593="","",U593*T593)</f>
        <v/>
      </c>
      <c r="W593" s="7">
        <f>IF($AA593="","",V593+S593)</f>
        <v/>
      </c>
      <c r="X593" s="7">
        <f>IF($AA593="","",Y593-W593)</f>
        <v/>
      </c>
      <c r="Y593" s="7">
        <f>IF($AA593="","",R593+U593+P593)</f>
        <v/>
      </c>
      <c r="Z593" s="7">
        <f>IF($AA593="","",Y593-W593-L593)</f>
        <v/>
      </c>
      <c r="AA593" s="13">
        <f>IF(ROWS($AA$2:$AA593)&lt;=MAX('Per Line'!$AO$2:$AO$4001),MATCH(ROWS($AA$2:$AA593),'Per Line'!$AO$2:$AO$4001,0),"")</f>
        <v/>
      </c>
      <c r="AB593" s="14">
        <f>IF($AA593="","",L593-K593*Y593/100)</f>
        <v/>
      </c>
    </row>
    <row r="594">
      <c r="A594" s="12" t="n"/>
      <c r="B594">
        <f>IF($AA594="","",INDEX('Per Line'!$E$2:$E$4001,$AA594)&amp;"")</f>
        <v/>
      </c>
      <c r="C594">
        <f>IF($AA594="","",INDEX('Per Line'!$A$2:$A$4001,$AA594)&amp;"")</f>
        <v/>
      </c>
      <c r="D594">
        <f>IF($AA594="","",INDEX('Per Line'!$D$2:$D$4001,$AA594)&amp;"")</f>
        <v/>
      </c>
      <c r="E594" s="11">
        <f>IF($AA594="","",INDEX('Per Line'!$G$2:$G$4001,$AA594))</f>
        <v/>
      </c>
      <c r="F594">
        <f>IF($AA594="","",INDEX('Per Line'!$H$2:$H$4001,$AA594)&amp;"")</f>
        <v/>
      </c>
      <c r="G594">
        <f>IF($AA594="","",INDEX('Per Line'!$I$2:$I$4001,$AA594)&amp;"")</f>
        <v/>
      </c>
      <c r="H594">
        <f>IF($AA594="","",INDEX('Per Line'!$J$2:$J$4001,$AA594)&amp;"")</f>
        <v/>
      </c>
      <c r="I594">
        <f>IF($AA594="","",INDEX('Per Line'!$K$2:$K$4001,$AA594)&amp;"")</f>
        <v/>
      </c>
      <c r="J594">
        <f>IF($AA594="","",INDEX('Per Line'!$L$2:$L$4001,$AA594)&amp;"")</f>
        <v/>
      </c>
      <c r="K594">
        <f>IF($AA594="","",INDEX('Per Line'!$P$2:$P$4001,$AA594))</f>
        <v/>
      </c>
      <c r="L594" s="7">
        <f>IF($AA594="","",IF(AND(ISNUMBER(N594),N594&gt;0,Y594&gt;N594),K594*N594/100+(Y594-N594),K594*Y594/100))</f>
        <v/>
      </c>
      <c r="M594">
        <f>IF($AA594="","",INDEX('Per Line'!$Z$2:$Z$4001,$AA594)&amp;"")</f>
        <v/>
      </c>
      <c r="N594">
        <f>IF($AA594="","",INDEX('Per Line'!$AG$2:$AG$4001,$AA594))</f>
        <v/>
      </c>
      <c r="O594">
        <f>IF($AA594="","",IF(AND(ISNUMBER(N594),N594&gt;0),Y594&gt;N594,FALSE))</f>
        <v/>
      </c>
      <c r="P594" s="7">
        <f>IF($AA594="","",SUMIFS('Per Line'!$Y$2:$Y$4001,'Per Line'!$E$2:$E$4001,$B594,'Per Line'!$AQ$2:$AQ$4001,1))</f>
        <v/>
      </c>
      <c r="Q594">
        <f>IF($AA594="","",Settings!$C$7)</f>
        <v/>
      </c>
      <c r="R594" s="7">
        <f>IF($AA594="","",SUMIFS('Per Line'!$Y$2:$Y$4001,'Per Line'!$E$2:$E$4001,$B594,'Per Line'!$AP$2:$AP$4001,0,'Per Line'!$AQ$2:$AQ$4001,0))</f>
        <v/>
      </c>
      <c r="S594" s="7">
        <f>IF($AA594="","",R594*Q594)</f>
        <v/>
      </c>
      <c r="T594">
        <f>IF($AA594="","",Settings!$C$6)</f>
        <v/>
      </c>
      <c r="U594" s="7">
        <f>IF($AA594="","",SUMIFS('Per Line'!$Y$2:$Y$4001,'Per Line'!$E$2:$E$4001,$B594,'Per Line'!$AP$2:$AP$4001,1,'Per Line'!$AQ$2:$AQ$4001,0))</f>
        <v/>
      </c>
      <c r="V594" s="7">
        <f>IF($AA594="","",U594*T594)</f>
        <v/>
      </c>
      <c r="W594" s="7">
        <f>IF($AA594="","",V594+S594)</f>
        <v/>
      </c>
      <c r="X594" s="7">
        <f>IF($AA594="","",Y594-W594)</f>
        <v/>
      </c>
      <c r="Y594" s="7">
        <f>IF($AA594="","",R594+U594+P594)</f>
        <v/>
      </c>
      <c r="Z594" s="7">
        <f>IF($AA594="","",Y594-W594-L594)</f>
        <v/>
      </c>
      <c r="AA594" s="13">
        <f>IF(ROWS($AA$2:$AA594)&lt;=MAX('Per Line'!$AO$2:$AO$4001),MATCH(ROWS($AA$2:$AA594),'Per Line'!$AO$2:$AO$4001,0),"")</f>
        <v/>
      </c>
      <c r="AB594" s="14">
        <f>IF($AA594="","",L594-K594*Y594/100)</f>
        <v/>
      </c>
    </row>
    <row r="595">
      <c r="A595" s="12" t="n"/>
      <c r="B595">
        <f>IF($AA595="","",INDEX('Per Line'!$E$2:$E$4001,$AA595)&amp;"")</f>
        <v/>
      </c>
      <c r="C595">
        <f>IF($AA595="","",INDEX('Per Line'!$A$2:$A$4001,$AA595)&amp;"")</f>
        <v/>
      </c>
      <c r="D595">
        <f>IF($AA595="","",INDEX('Per Line'!$D$2:$D$4001,$AA595)&amp;"")</f>
        <v/>
      </c>
      <c r="E595" s="11">
        <f>IF($AA595="","",INDEX('Per Line'!$G$2:$G$4001,$AA595))</f>
        <v/>
      </c>
      <c r="F595">
        <f>IF($AA595="","",INDEX('Per Line'!$H$2:$H$4001,$AA595)&amp;"")</f>
        <v/>
      </c>
      <c r="G595">
        <f>IF($AA595="","",INDEX('Per Line'!$I$2:$I$4001,$AA595)&amp;"")</f>
        <v/>
      </c>
      <c r="H595">
        <f>IF($AA595="","",INDEX('Per Line'!$J$2:$J$4001,$AA595)&amp;"")</f>
        <v/>
      </c>
      <c r="I595">
        <f>IF($AA595="","",INDEX('Per Line'!$K$2:$K$4001,$AA595)&amp;"")</f>
        <v/>
      </c>
      <c r="J595">
        <f>IF($AA595="","",INDEX('Per Line'!$L$2:$L$4001,$AA595)&amp;"")</f>
        <v/>
      </c>
      <c r="K595">
        <f>IF($AA595="","",INDEX('Per Line'!$P$2:$P$4001,$AA595))</f>
        <v/>
      </c>
      <c r="L595" s="7">
        <f>IF($AA595="","",IF(AND(ISNUMBER(N595),N595&gt;0,Y595&gt;N595),K595*N595/100+(Y595-N595),K595*Y595/100))</f>
        <v/>
      </c>
      <c r="M595">
        <f>IF($AA595="","",INDEX('Per Line'!$Z$2:$Z$4001,$AA595)&amp;"")</f>
        <v/>
      </c>
      <c r="N595">
        <f>IF($AA595="","",INDEX('Per Line'!$AG$2:$AG$4001,$AA595))</f>
        <v/>
      </c>
      <c r="O595">
        <f>IF($AA595="","",IF(AND(ISNUMBER(N595),N595&gt;0),Y595&gt;N595,FALSE))</f>
        <v/>
      </c>
      <c r="P595" s="7">
        <f>IF($AA595="","",SUMIFS('Per Line'!$Y$2:$Y$4001,'Per Line'!$E$2:$E$4001,$B595,'Per Line'!$AQ$2:$AQ$4001,1))</f>
        <v/>
      </c>
      <c r="Q595">
        <f>IF($AA595="","",Settings!$C$7)</f>
        <v/>
      </c>
      <c r="R595" s="7">
        <f>IF($AA595="","",SUMIFS('Per Line'!$Y$2:$Y$4001,'Per Line'!$E$2:$E$4001,$B595,'Per Line'!$AP$2:$AP$4001,0,'Per Line'!$AQ$2:$AQ$4001,0))</f>
        <v/>
      </c>
      <c r="S595" s="7">
        <f>IF($AA595="","",R595*Q595)</f>
        <v/>
      </c>
      <c r="T595">
        <f>IF($AA595="","",Settings!$C$6)</f>
        <v/>
      </c>
      <c r="U595" s="7">
        <f>IF($AA595="","",SUMIFS('Per Line'!$Y$2:$Y$4001,'Per Line'!$E$2:$E$4001,$B595,'Per Line'!$AP$2:$AP$4001,1,'Per Line'!$AQ$2:$AQ$4001,0))</f>
        <v/>
      </c>
      <c r="V595" s="7">
        <f>IF($AA595="","",U595*T595)</f>
        <v/>
      </c>
      <c r="W595" s="7">
        <f>IF($AA595="","",V595+S595)</f>
        <v/>
      </c>
      <c r="X595" s="7">
        <f>IF($AA595="","",Y595-W595)</f>
        <v/>
      </c>
      <c r="Y595" s="7">
        <f>IF($AA595="","",R595+U595+P595)</f>
        <v/>
      </c>
      <c r="Z595" s="7">
        <f>IF($AA595="","",Y595-W595-L595)</f>
        <v/>
      </c>
      <c r="AA595" s="13">
        <f>IF(ROWS($AA$2:$AA595)&lt;=MAX('Per Line'!$AO$2:$AO$4001),MATCH(ROWS($AA$2:$AA595),'Per Line'!$AO$2:$AO$4001,0),"")</f>
        <v/>
      </c>
      <c r="AB595" s="14">
        <f>IF($AA595="","",L595-K595*Y595/100)</f>
        <v/>
      </c>
    </row>
    <row r="596">
      <c r="A596" s="12" t="n"/>
      <c r="B596">
        <f>IF($AA596="","",INDEX('Per Line'!$E$2:$E$4001,$AA596)&amp;"")</f>
        <v/>
      </c>
      <c r="C596">
        <f>IF($AA596="","",INDEX('Per Line'!$A$2:$A$4001,$AA596)&amp;"")</f>
        <v/>
      </c>
      <c r="D596">
        <f>IF($AA596="","",INDEX('Per Line'!$D$2:$D$4001,$AA596)&amp;"")</f>
        <v/>
      </c>
      <c r="E596" s="11">
        <f>IF($AA596="","",INDEX('Per Line'!$G$2:$G$4001,$AA596))</f>
        <v/>
      </c>
      <c r="F596">
        <f>IF($AA596="","",INDEX('Per Line'!$H$2:$H$4001,$AA596)&amp;"")</f>
        <v/>
      </c>
      <c r="G596">
        <f>IF($AA596="","",INDEX('Per Line'!$I$2:$I$4001,$AA596)&amp;"")</f>
        <v/>
      </c>
      <c r="H596">
        <f>IF($AA596="","",INDEX('Per Line'!$J$2:$J$4001,$AA596)&amp;"")</f>
        <v/>
      </c>
      <c r="I596">
        <f>IF($AA596="","",INDEX('Per Line'!$K$2:$K$4001,$AA596)&amp;"")</f>
        <v/>
      </c>
      <c r="J596">
        <f>IF($AA596="","",INDEX('Per Line'!$L$2:$L$4001,$AA596)&amp;"")</f>
        <v/>
      </c>
      <c r="K596">
        <f>IF($AA596="","",INDEX('Per Line'!$P$2:$P$4001,$AA596))</f>
        <v/>
      </c>
      <c r="L596" s="7">
        <f>IF($AA596="","",IF(AND(ISNUMBER(N596),N596&gt;0,Y596&gt;N596),K596*N596/100+(Y596-N596),K596*Y596/100))</f>
        <v/>
      </c>
      <c r="M596">
        <f>IF($AA596="","",INDEX('Per Line'!$Z$2:$Z$4001,$AA596)&amp;"")</f>
        <v/>
      </c>
      <c r="N596">
        <f>IF($AA596="","",INDEX('Per Line'!$AG$2:$AG$4001,$AA596))</f>
        <v/>
      </c>
      <c r="O596">
        <f>IF($AA596="","",IF(AND(ISNUMBER(N596),N596&gt;0),Y596&gt;N596,FALSE))</f>
        <v/>
      </c>
      <c r="P596" s="7">
        <f>IF($AA596="","",SUMIFS('Per Line'!$Y$2:$Y$4001,'Per Line'!$E$2:$E$4001,$B596,'Per Line'!$AQ$2:$AQ$4001,1))</f>
        <v/>
      </c>
      <c r="Q596">
        <f>IF($AA596="","",Settings!$C$7)</f>
        <v/>
      </c>
      <c r="R596" s="7">
        <f>IF($AA596="","",SUMIFS('Per Line'!$Y$2:$Y$4001,'Per Line'!$E$2:$E$4001,$B596,'Per Line'!$AP$2:$AP$4001,0,'Per Line'!$AQ$2:$AQ$4001,0))</f>
        <v/>
      </c>
      <c r="S596" s="7">
        <f>IF($AA596="","",R596*Q596)</f>
        <v/>
      </c>
      <c r="T596">
        <f>IF($AA596="","",Settings!$C$6)</f>
        <v/>
      </c>
      <c r="U596" s="7">
        <f>IF($AA596="","",SUMIFS('Per Line'!$Y$2:$Y$4001,'Per Line'!$E$2:$E$4001,$B596,'Per Line'!$AP$2:$AP$4001,1,'Per Line'!$AQ$2:$AQ$4001,0))</f>
        <v/>
      </c>
      <c r="V596" s="7">
        <f>IF($AA596="","",U596*T596)</f>
        <v/>
      </c>
      <c r="W596" s="7">
        <f>IF($AA596="","",V596+S596)</f>
        <v/>
      </c>
      <c r="X596" s="7">
        <f>IF($AA596="","",Y596-W596)</f>
        <v/>
      </c>
      <c r="Y596" s="7">
        <f>IF($AA596="","",R596+U596+P596)</f>
        <v/>
      </c>
      <c r="Z596" s="7">
        <f>IF($AA596="","",Y596-W596-L596)</f>
        <v/>
      </c>
      <c r="AA596" s="13">
        <f>IF(ROWS($AA$2:$AA596)&lt;=MAX('Per Line'!$AO$2:$AO$4001),MATCH(ROWS($AA$2:$AA596),'Per Line'!$AO$2:$AO$4001,0),"")</f>
        <v/>
      </c>
      <c r="AB596" s="14">
        <f>IF($AA596="","",L596-K596*Y596/100)</f>
        <v/>
      </c>
    </row>
    <row r="597">
      <c r="A597" s="12" t="n"/>
      <c r="B597">
        <f>IF($AA597="","",INDEX('Per Line'!$E$2:$E$4001,$AA597)&amp;"")</f>
        <v/>
      </c>
      <c r="C597">
        <f>IF($AA597="","",INDEX('Per Line'!$A$2:$A$4001,$AA597)&amp;"")</f>
        <v/>
      </c>
      <c r="D597">
        <f>IF($AA597="","",INDEX('Per Line'!$D$2:$D$4001,$AA597)&amp;"")</f>
        <v/>
      </c>
      <c r="E597" s="11">
        <f>IF($AA597="","",INDEX('Per Line'!$G$2:$G$4001,$AA597))</f>
        <v/>
      </c>
      <c r="F597">
        <f>IF($AA597="","",INDEX('Per Line'!$H$2:$H$4001,$AA597)&amp;"")</f>
        <v/>
      </c>
      <c r="G597">
        <f>IF($AA597="","",INDEX('Per Line'!$I$2:$I$4001,$AA597)&amp;"")</f>
        <v/>
      </c>
      <c r="H597">
        <f>IF($AA597="","",INDEX('Per Line'!$J$2:$J$4001,$AA597)&amp;"")</f>
        <v/>
      </c>
      <c r="I597">
        <f>IF($AA597="","",INDEX('Per Line'!$K$2:$K$4001,$AA597)&amp;"")</f>
        <v/>
      </c>
      <c r="J597">
        <f>IF($AA597="","",INDEX('Per Line'!$L$2:$L$4001,$AA597)&amp;"")</f>
        <v/>
      </c>
      <c r="K597">
        <f>IF($AA597="","",INDEX('Per Line'!$P$2:$P$4001,$AA597))</f>
        <v/>
      </c>
      <c r="L597" s="7">
        <f>IF($AA597="","",IF(AND(ISNUMBER(N597),N597&gt;0,Y597&gt;N597),K597*N597/100+(Y597-N597),K597*Y597/100))</f>
        <v/>
      </c>
      <c r="M597">
        <f>IF($AA597="","",INDEX('Per Line'!$Z$2:$Z$4001,$AA597)&amp;"")</f>
        <v/>
      </c>
      <c r="N597">
        <f>IF($AA597="","",INDEX('Per Line'!$AG$2:$AG$4001,$AA597))</f>
        <v/>
      </c>
      <c r="O597">
        <f>IF($AA597="","",IF(AND(ISNUMBER(N597),N597&gt;0),Y597&gt;N597,FALSE))</f>
        <v/>
      </c>
      <c r="P597" s="7">
        <f>IF($AA597="","",SUMIFS('Per Line'!$Y$2:$Y$4001,'Per Line'!$E$2:$E$4001,$B597,'Per Line'!$AQ$2:$AQ$4001,1))</f>
        <v/>
      </c>
      <c r="Q597">
        <f>IF($AA597="","",Settings!$C$7)</f>
        <v/>
      </c>
      <c r="R597" s="7">
        <f>IF($AA597="","",SUMIFS('Per Line'!$Y$2:$Y$4001,'Per Line'!$E$2:$E$4001,$B597,'Per Line'!$AP$2:$AP$4001,0,'Per Line'!$AQ$2:$AQ$4001,0))</f>
        <v/>
      </c>
      <c r="S597" s="7">
        <f>IF($AA597="","",R597*Q597)</f>
        <v/>
      </c>
      <c r="T597">
        <f>IF($AA597="","",Settings!$C$6)</f>
        <v/>
      </c>
      <c r="U597" s="7">
        <f>IF($AA597="","",SUMIFS('Per Line'!$Y$2:$Y$4001,'Per Line'!$E$2:$E$4001,$B597,'Per Line'!$AP$2:$AP$4001,1,'Per Line'!$AQ$2:$AQ$4001,0))</f>
        <v/>
      </c>
      <c r="V597" s="7">
        <f>IF($AA597="","",U597*T597)</f>
        <v/>
      </c>
      <c r="W597" s="7">
        <f>IF($AA597="","",V597+S597)</f>
        <v/>
      </c>
      <c r="X597" s="7">
        <f>IF($AA597="","",Y597-W597)</f>
        <v/>
      </c>
      <c r="Y597" s="7">
        <f>IF($AA597="","",R597+U597+P597)</f>
        <v/>
      </c>
      <c r="Z597" s="7">
        <f>IF($AA597="","",Y597-W597-L597)</f>
        <v/>
      </c>
      <c r="AA597" s="13">
        <f>IF(ROWS($AA$2:$AA597)&lt;=MAX('Per Line'!$AO$2:$AO$4001),MATCH(ROWS($AA$2:$AA597),'Per Line'!$AO$2:$AO$4001,0),"")</f>
        <v/>
      </c>
      <c r="AB597" s="14">
        <f>IF($AA597="","",L597-K597*Y597/100)</f>
        <v/>
      </c>
    </row>
    <row r="598">
      <c r="A598" s="12" t="n"/>
      <c r="B598">
        <f>IF($AA598="","",INDEX('Per Line'!$E$2:$E$4001,$AA598)&amp;"")</f>
        <v/>
      </c>
      <c r="C598">
        <f>IF($AA598="","",INDEX('Per Line'!$A$2:$A$4001,$AA598)&amp;"")</f>
        <v/>
      </c>
      <c r="D598">
        <f>IF($AA598="","",INDEX('Per Line'!$D$2:$D$4001,$AA598)&amp;"")</f>
        <v/>
      </c>
      <c r="E598" s="11">
        <f>IF($AA598="","",INDEX('Per Line'!$G$2:$G$4001,$AA598))</f>
        <v/>
      </c>
      <c r="F598">
        <f>IF($AA598="","",INDEX('Per Line'!$H$2:$H$4001,$AA598)&amp;"")</f>
        <v/>
      </c>
      <c r="G598">
        <f>IF($AA598="","",INDEX('Per Line'!$I$2:$I$4001,$AA598)&amp;"")</f>
        <v/>
      </c>
      <c r="H598">
        <f>IF($AA598="","",INDEX('Per Line'!$J$2:$J$4001,$AA598)&amp;"")</f>
        <v/>
      </c>
      <c r="I598">
        <f>IF($AA598="","",INDEX('Per Line'!$K$2:$K$4001,$AA598)&amp;"")</f>
        <v/>
      </c>
      <c r="J598">
        <f>IF($AA598="","",INDEX('Per Line'!$L$2:$L$4001,$AA598)&amp;"")</f>
        <v/>
      </c>
      <c r="K598">
        <f>IF($AA598="","",INDEX('Per Line'!$P$2:$P$4001,$AA598))</f>
        <v/>
      </c>
      <c r="L598" s="7">
        <f>IF($AA598="","",IF(AND(ISNUMBER(N598),N598&gt;0,Y598&gt;N598),K598*N598/100+(Y598-N598),K598*Y598/100))</f>
        <v/>
      </c>
      <c r="M598">
        <f>IF($AA598="","",INDEX('Per Line'!$Z$2:$Z$4001,$AA598)&amp;"")</f>
        <v/>
      </c>
      <c r="N598">
        <f>IF($AA598="","",INDEX('Per Line'!$AG$2:$AG$4001,$AA598))</f>
        <v/>
      </c>
      <c r="O598">
        <f>IF($AA598="","",IF(AND(ISNUMBER(N598),N598&gt;0),Y598&gt;N598,FALSE))</f>
        <v/>
      </c>
      <c r="P598" s="7">
        <f>IF($AA598="","",SUMIFS('Per Line'!$Y$2:$Y$4001,'Per Line'!$E$2:$E$4001,$B598,'Per Line'!$AQ$2:$AQ$4001,1))</f>
        <v/>
      </c>
      <c r="Q598">
        <f>IF($AA598="","",Settings!$C$7)</f>
        <v/>
      </c>
      <c r="R598" s="7">
        <f>IF($AA598="","",SUMIFS('Per Line'!$Y$2:$Y$4001,'Per Line'!$E$2:$E$4001,$B598,'Per Line'!$AP$2:$AP$4001,0,'Per Line'!$AQ$2:$AQ$4001,0))</f>
        <v/>
      </c>
      <c r="S598" s="7">
        <f>IF($AA598="","",R598*Q598)</f>
        <v/>
      </c>
      <c r="T598">
        <f>IF($AA598="","",Settings!$C$6)</f>
        <v/>
      </c>
      <c r="U598" s="7">
        <f>IF($AA598="","",SUMIFS('Per Line'!$Y$2:$Y$4001,'Per Line'!$E$2:$E$4001,$B598,'Per Line'!$AP$2:$AP$4001,1,'Per Line'!$AQ$2:$AQ$4001,0))</f>
        <v/>
      </c>
      <c r="V598" s="7">
        <f>IF($AA598="","",U598*T598)</f>
        <v/>
      </c>
      <c r="W598" s="7">
        <f>IF($AA598="","",V598+S598)</f>
        <v/>
      </c>
      <c r="X598" s="7">
        <f>IF($AA598="","",Y598-W598)</f>
        <v/>
      </c>
      <c r="Y598" s="7">
        <f>IF($AA598="","",R598+U598+P598)</f>
        <v/>
      </c>
      <c r="Z598" s="7">
        <f>IF($AA598="","",Y598-W598-L598)</f>
        <v/>
      </c>
      <c r="AA598" s="13">
        <f>IF(ROWS($AA$2:$AA598)&lt;=MAX('Per Line'!$AO$2:$AO$4001),MATCH(ROWS($AA$2:$AA598),'Per Line'!$AO$2:$AO$4001,0),"")</f>
        <v/>
      </c>
      <c r="AB598" s="14">
        <f>IF($AA598="","",L598-K598*Y598/100)</f>
        <v/>
      </c>
    </row>
    <row r="599">
      <c r="A599" s="12" t="n"/>
      <c r="B599">
        <f>IF($AA599="","",INDEX('Per Line'!$E$2:$E$4001,$AA599)&amp;"")</f>
        <v/>
      </c>
      <c r="C599">
        <f>IF($AA599="","",INDEX('Per Line'!$A$2:$A$4001,$AA599)&amp;"")</f>
        <v/>
      </c>
      <c r="D599">
        <f>IF($AA599="","",INDEX('Per Line'!$D$2:$D$4001,$AA599)&amp;"")</f>
        <v/>
      </c>
      <c r="E599" s="11">
        <f>IF($AA599="","",INDEX('Per Line'!$G$2:$G$4001,$AA599))</f>
        <v/>
      </c>
      <c r="F599">
        <f>IF($AA599="","",INDEX('Per Line'!$H$2:$H$4001,$AA599)&amp;"")</f>
        <v/>
      </c>
      <c r="G599">
        <f>IF($AA599="","",INDEX('Per Line'!$I$2:$I$4001,$AA599)&amp;"")</f>
        <v/>
      </c>
      <c r="H599">
        <f>IF($AA599="","",INDEX('Per Line'!$J$2:$J$4001,$AA599)&amp;"")</f>
        <v/>
      </c>
      <c r="I599">
        <f>IF($AA599="","",INDEX('Per Line'!$K$2:$K$4001,$AA599)&amp;"")</f>
        <v/>
      </c>
      <c r="J599">
        <f>IF($AA599="","",INDEX('Per Line'!$L$2:$L$4001,$AA599)&amp;"")</f>
        <v/>
      </c>
      <c r="K599">
        <f>IF($AA599="","",INDEX('Per Line'!$P$2:$P$4001,$AA599))</f>
        <v/>
      </c>
      <c r="L599" s="7">
        <f>IF($AA599="","",IF(AND(ISNUMBER(N599),N599&gt;0,Y599&gt;N599),K599*N599/100+(Y599-N599),K599*Y599/100))</f>
        <v/>
      </c>
      <c r="M599">
        <f>IF($AA599="","",INDEX('Per Line'!$Z$2:$Z$4001,$AA599)&amp;"")</f>
        <v/>
      </c>
      <c r="N599">
        <f>IF($AA599="","",INDEX('Per Line'!$AG$2:$AG$4001,$AA599))</f>
        <v/>
      </c>
      <c r="O599">
        <f>IF($AA599="","",IF(AND(ISNUMBER(N599),N599&gt;0),Y599&gt;N599,FALSE))</f>
        <v/>
      </c>
      <c r="P599" s="7">
        <f>IF($AA599="","",SUMIFS('Per Line'!$Y$2:$Y$4001,'Per Line'!$E$2:$E$4001,$B599,'Per Line'!$AQ$2:$AQ$4001,1))</f>
        <v/>
      </c>
      <c r="Q599">
        <f>IF($AA599="","",Settings!$C$7)</f>
        <v/>
      </c>
      <c r="R599" s="7">
        <f>IF($AA599="","",SUMIFS('Per Line'!$Y$2:$Y$4001,'Per Line'!$E$2:$E$4001,$B599,'Per Line'!$AP$2:$AP$4001,0,'Per Line'!$AQ$2:$AQ$4001,0))</f>
        <v/>
      </c>
      <c r="S599" s="7">
        <f>IF($AA599="","",R599*Q599)</f>
        <v/>
      </c>
      <c r="T599">
        <f>IF($AA599="","",Settings!$C$6)</f>
        <v/>
      </c>
      <c r="U599" s="7">
        <f>IF($AA599="","",SUMIFS('Per Line'!$Y$2:$Y$4001,'Per Line'!$E$2:$E$4001,$B599,'Per Line'!$AP$2:$AP$4001,1,'Per Line'!$AQ$2:$AQ$4001,0))</f>
        <v/>
      </c>
      <c r="V599" s="7">
        <f>IF($AA599="","",U599*T599)</f>
        <v/>
      </c>
      <c r="W599" s="7">
        <f>IF($AA599="","",V599+S599)</f>
        <v/>
      </c>
      <c r="X599" s="7">
        <f>IF($AA599="","",Y599-W599)</f>
        <v/>
      </c>
      <c r="Y599" s="7">
        <f>IF($AA599="","",R599+U599+P599)</f>
        <v/>
      </c>
      <c r="Z599" s="7">
        <f>IF($AA599="","",Y599-W599-L599)</f>
        <v/>
      </c>
      <c r="AA599" s="13">
        <f>IF(ROWS($AA$2:$AA599)&lt;=MAX('Per Line'!$AO$2:$AO$4001),MATCH(ROWS($AA$2:$AA599),'Per Line'!$AO$2:$AO$4001,0),"")</f>
        <v/>
      </c>
      <c r="AB599" s="14">
        <f>IF($AA599="","",L599-K599*Y599/100)</f>
        <v/>
      </c>
    </row>
    <row r="600">
      <c r="A600" s="12" t="n"/>
      <c r="B600">
        <f>IF($AA600="","",INDEX('Per Line'!$E$2:$E$4001,$AA600)&amp;"")</f>
        <v/>
      </c>
      <c r="C600">
        <f>IF($AA600="","",INDEX('Per Line'!$A$2:$A$4001,$AA600)&amp;"")</f>
        <v/>
      </c>
      <c r="D600">
        <f>IF($AA600="","",INDEX('Per Line'!$D$2:$D$4001,$AA600)&amp;"")</f>
        <v/>
      </c>
      <c r="E600" s="11">
        <f>IF($AA600="","",INDEX('Per Line'!$G$2:$G$4001,$AA600))</f>
        <v/>
      </c>
      <c r="F600">
        <f>IF($AA600="","",INDEX('Per Line'!$H$2:$H$4001,$AA600)&amp;"")</f>
        <v/>
      </c>
      <c r="G600">
        <f>IF($AA600="","",INDEX('Per Line'!$I$2:$I$4001,$AA600)&amp;"")</f>
        <v/>
      </c>
      <c r="H600">
        <f>IF($AA600="","",INDEX('Per Line'!$J$2:$J$4001,$AA600)&amp;"")</f>
        <v/>
      </c>
      <c r="I600">
        <f>IF($AA600="","",INDEX('Per Line'!$K$2:$K$4001,$AA600)&amp;"")</f>
        <v/>
      </c>
      <c r="J600">
        <f>IF($AA600="","",INDEX('Per Line'!$L$2:$L$4001,$AA600)&amp;"")</f>
        <v/>
      </c>
      <c r="K600">
        <f>IF($AA600="","",INDEX('Per Line'!$P$2:$P$4001,$AA600))</f>
        <v/>
      </c>
      <c r="L600" s="7">
        <f>IF($AA600="","",IF(AND(ISNUMBER(N600),N600&gt;0,Y600&gt;N600),K600*N600/100+(Y600-N600),K600*Y600/100))</f>
        <v/>
      </c>
      <c r="M600">
        <f>IF($AA600="","",INDEX('Per Line'!$Z$2:$Z$4001,$AA600)&amp;"")</f>
        <v/>
      </c>
      <c r="N600">
        <f>IF($AA600="","",INDEX('Per Line'!$AG$2:$AG$4001,$AA600))</f>
        <v/>
      </c>
      <c r="O600">
        <f>IF($AA600="","",IF(AND(ISNUMBER(N600),N600&gt;0),Y600&gt;N600,FALSE))</f>
        <v/>
      </c>
      <c r="P600" s="7">
        <f>IF($AA600="","",SUMIFS('Per Line'!$Y$2:$Y$4001,'Per Line'!$E$2:$E$4001,$B600,'Per Line'!$AQ$2:$AQ$4001,1))</f>
        <v/>
      </c>
      <c r="Q600">
        <f>IF($AA600="","",Settings!$C$7)</f>
        <v/>
      </c>
      <c r="R600" s="7">
        <f>IF($AA600="","",SUMIFS('Per Line'!$Y$2:$Y$4001,'Per Line'!$E$2:$E$4001,$B600,'Per Line'!$AP$2:$AP$4001,0,'Per Line'!$AQ$2:$AQ$4001,0))</f>
        <v/>
      </c>
      <c r="S600" s="7">
        <f>IF($AA600="","",R600*Q600)</f>
        <v/>
      </c>
      <c r="T600">
        <f>IF($AA600="","",Settings!$C$6)</f>
        <v/>
      </c>
      <c r="U600" s="7">
        <f>IF($AA600="","",SUMIFS('Per Line'!$Y$2:$Y$4001,'Per Line'!$E$2:$E$4001,$B600,'Per Line'!$AP$2:$AP$4001,1,'Per Line'!$AQ$2:$AQ$4001,0))</f>
        <v/>
      </c>
      <c r="V600" s="7">
        <f>IF($AA600="","",U600*T600)</f>
        <v/>
      </c>
      <c r="W600" s="7">
        <f>IF($AA600="","",V600+S600)</f>
        <v/>
      </c>
      <c r="X600" s="7">
        <f>IF($AA600="","",Y600-W600)</f>
        <v/>
      </c>
      <c r="Y600" s="7">
        <f>IF($AA600="","",R600+U600+P600)</f>
        <v/>
      </c>
      <c r="Z600" s="7">
        <f>IF($AA600="","",Y600-W600-L600)</f>
        <v/>
      </c>
      <c r="AA600" s="13">
        <f>IF(ROWS($AA$2:$AA600)&lt;=MAX('Per Line'!$AO$2:$AO$4001),MATCH(ROWS($AA$2:$AA600),'Per Line'!$AO$2:$AO$4001,0),"")</f>
        <v/>
      </c>
      <c r="AB600" s="14">
        <f>IF($AA600="","",L600-K600*Y600/100)</f>
        <v/>
      </c>
    </row>
    <row r="601">
      <c r="A601" s="12" t="n"/>
      <c r="B601">
        <f>IF($AA601="","",INDEX('Per Line'!$E$2:$E$4001,$AA601)&amp;"")</f>
        <v/>
      </c>
      <c r="C601">
        <f>IF($AA601="","",INDEX('Per Line'!$A$2:$A$4001,$AA601)&amp;"")</f>
        <v/>
      </c>
      <c r="D601">
        <f>IF($AA601="","",INDEX('Per Line'!$D$2:$D$4001,$AA601)&amp;"")</f>
        <v/>
      </c>
      <c r="E601" s="11">
        <f>IF($AA601="","",INDEX('Per Line'!$G$2:$G$4001,$AA601))</f>
        <v/>
      </c>
      <c r="F601">
        <f>IF($AA601="","",INDEX('Per Line'!$H$2:$H$4001,$AA601)&amp;"")</f>
        <v/>
      </c>
      <c r="G601">
        <f>IF($AA601="","",INDEX('Per Line'!$I$2:$I$4001,$AA601)&amp;"")</f>
        <v/>
      </c>
      <c r="H601">
        <f>IF($AA601="","",INDEX('Per Line'!$J$2:$J$4001,$AA601)&amp;"")</f>
        <v/>
      </c>
      <c r="I601">
        <f>IF($AA601="","",INDEX('Per Line'!$K$2:$K$4001,$AA601)&amp;"")</f>
        <v/>
      </c>
      <c r="J601">
        <f>IF($AA601="","",INDEX('Per Line'!$L$2:$L$4001,$AA601)&amp;"")</f>
        <v/>
      </c>
      <c r="K601">
        <f>IF($AA601="","",INDEX('Per Line'!$P$2:$P$4001,$AA601))</f>
        <v/>
      </c>
      <c r="L601" s="7">
        <f>IF($AA601="","",IF(AND(ISNUMBER(N601),N601&gt;0,Y601&gt;N601),K601*N601/100+(Y601-N601),K601*Y601/100))</f>
        <v/>
      </c>
      <c r="M601">
        <f>IF($AA601="","",INDEX('Per Line'!$Z$2:$Z$4001,$AA601)&amp;"")</f>
        <v/>
      </c>
      <c r="N601">
        <f>IF($AA601="","",INDEX('Per Line'!$AG$2:$AG$4001,$AA601))</f>
        <v/>
      </c>
      <c r="O601">
        <f>IF($AA601="","",IF(AND(ISNUMBER(N601),N601&gt;0),Y601&gt;N601,FALSE))</f>
        <v/>
      </c>
      <c r="P601" s="7">
        <f>IF($AA601="","",SUMIFS('Per Line'!$Y$2:$Y$4001,'Per Line'!$E$2:$E$4001,$B601,'Per Line'!$AQ$2:$AQ$4001,1))</f>
        <v/>
      </c>
      <c r="Q601">
        <f>IF($AA601="","",Settings!$C$7)</f>
        <v/>
      </c>
      <c r="R601" s="7">
        <f>IF($AA601="","",SUMIFS('Per Line'!$Y$2:$Y$4001,'Per Line'!$E$2:$E$4001,$B601,'Per Line'!$AP$2:$AP$4001,0,'Per Line'!$AQ$2:$AQ$4001,0))</f>
        <v/>
      </c>
      <c r="S601" s="7">
        <f>IF($AA601="","",R601*Q601)</f>
        <v/>
      </c>
      <c r="T601">
        <f>IF($AA601="","",Settings!$C$6)</f>
        <v/>
      </c>
      <c r="U601" s="7">
        <f>IF($AA601="","",SUMIFS('Per Line'!$Y$2:$Y$4001,'Per Line'!$E$2:$E$4001,$B601,'Per Line'!$AP$2:$AP$4001,1,'Per Line'!$AQ$2:$AQ$4001,0))</f>
        <v/>
      </c>
      <c r="V601" s="7">
        <f>IF($AA601="","",U601*T601)</f>
        <v/>
      </c>
      <c r="W601" s="7">
        <f>IF($AA601="","",V601+S601)</f>
        <v/>
      </c>
      <c r="X601" s="7">
        <f>IF($AA601="","",Y601-W601)</f>
        <v/>
      </c>
      <c r="Y601" s="7">
        <f>IF($AA601="","",R601+U601+P601)</f>
        <v/>
      </c>
      <c r="Z601" s="7">
        <f>IF($AA601="","",Y601-W601-L601)</f>
        <v/>
      </c>
      <c r="AA601" s="13">
        <f>IF(ROWS($AA$2:$AA601)&lt;=MAX('Per Line'!$AO$2:$AO$4001),MATCH(ROWS($AA$2:$AA601),'Per Line'!$AO$2:$AO$4001,0),"")</f>
        <v/>
      </c>
      <c r="AB601" s="14">
        <f>IF($AA601="","",L601-K601*Y601/100)</f>
        <v/>
      </c>
    </row>
    <row r="602">
      <c r="A602" s="12" t="n"/>
      <c r="B602">
        <f>IF($AA602="","",INDEX('Per Line'!$E$2:$E$4001,$AA602)&amp;"")</f>
        <v/>
      </c>
      <c r="C602">
        <f>IF($AA602="","",INDEX('Per Line'!$A$2:$A$4001,$AA602)&amp;"")</f>
        <v/>
      </c>
      <c r="D602">
        <f>IF($AA602="","",INDEX('Per Line'!$D$2:$D$4001,$AA602)&amp;"")</f>
        <v/>
      </c>
      <c r="E602" s="11">
        <f>IF($AA602="","",INDEX('Per Line'!$G$2:$G$4001,$AA602))</f>
        <v/>
      </c>
      <c r="F602">
        <f>IF($AA602="","",INDEX('Per Line'!$H$2:$H$4001,$AA602)&amp;"")</f>
        <v/>
      </c>
      <c r="G602">
        <f>IF($AA602="","",INDEX('Per Line'!$I$2:$I$4001,$AA602)&amp;"")</f>
        <v/>
      </c>
      <c r="H602">
        <f>IF($AA602="","",INDEX('Per Line'!$J$2:$J$4001,$AA602)&amp;"")</f>
        <v/>
      </c>
      <c r="I602">
        <f>IF($AA602="","",INDEX('Per Line'!$K$2:$K$4001,$AA602)&amp;"")</f>
        <v/>
      </c>
      <c r="J602">
        <f>IF($AA602="","",INDEX('Per Line'!$L$2:$L$4001,$AA602)&amp;"")</f>
        <v/>
      </c>
      <c r="K602">
        <f>IF($AA602="","",INDEX('Per Line'!$P$2:$P$4001,$AA602))</f>
        <v/>
      </c>
      <c r="L602" s="7">
        <f>IF($AA602="","",IF(AND(ISNUMBER(N602),N602&gt;0,Y602&gt;N602),K602*N602/100+(Y602-N602),K602*Y602/100))</f>
        <v/>
      </c>
      <c r="M602">
        <f>IF($AA602="","",INDEX('Per Line'!$Z$2:$Z$4001,$AA602)&amp;"")</f>
        <v/>
      </c>
      <c r="N602">
        <f>IF($AA602="","",INDEX('Per Line'!$AG$2:$AG$4001,$AA602))</f>
        <v/>
      </c>
      <c r="O602">
        <f>IF($AA602="","",IF(AND(ISNUMBER(N602),N602&gt;0),Y602&gt;N602,FALSE))</f>
        <v/>
      </c>
      <c r="P602" s="7">
        <f>IF($AA602="","",SUMIFS('Per Line'!$Y$2:$Y$4001,'Per Line'!$E$2:$E$4001,$B602,'Per Line'!$AQ$2:$AQ$4001,1))</f>
        <v/>
      </c>
      <c r="Q602">
        <f>IF($AA602="","",Settings!$C$7)</f>
        <v/>
      </c>
      <c r="R602" s="7">
        <f>IF($AA602="","",SUMIFS('Per Line'!$Y$2:$Y$4001,'Per Line'!$E$2:$E$4001,$B602,'Per Line'!$AP$2:$AP$4001,0,'Per Line'!$AQ$2:$AQ$4001,0))</f>
        <v/>
      </c>
      <c r="S602" s="7">
        <f>IF($AA602="","",R602*Q602)</f>
        <v/>
      </c>
      <c r="T602">
        <f>IF($AA602="","",Settings!$C$6)</f>
        <v/>
      </c>
      <c r="U602" s="7">
        <f>IF($AA602="","",SUMIFS('Per Line'!$Y$2:$Y$4001,'Per Line'!$E$2:$E$4001,$B602,'Per Line'!$AP$2:$AP$4001,1,'Per Line'!$AQ$2:$AQ$4001,0))</f>
        <v/>
      </c>
      <c r="V602" s="7">
        <f>IF($AA602="","",U602*T602)</f>
        <v/>
      </c>
      <c r="W602" s="7">
        <f>IF($AA602="","",V602+S602)</f>
        <v/>
      </c>
      <c r="X602" s="7">
        <f>IF($AA602="","",Y602-W602)</f>
        <v/>
      </c>
      <c r="Y602" s="7">
        <f>IF($AA602="","",R602+U602+P602)</f>
        <v/>
      </c>
      <c r="Z602" s="7">
        <f>IF($AA602="","",Y602-W602-L602)</f>
        <v/>
      </c>
      <c r="AA602" s="13">
        <f>IF(ROWS($AA$2:$AA602)&lt;=MAX('Per Line'!$AO$2:$AO$4001),MATCH(ROWS($AA$2:$AA602),'Per Line'!$AO$2:$AO$4001,0),"")</f>
        <v/>
      </c>
      <c r="AB602" s="14">
        <f>IF($AA602="","",L602-K602*Y602/100)</f>
        <v/>
      </c>
    </row>
    <row r="603">
      <c r="A603" s="12" t="n"/>
      <c r="B603">
        <f>IF($AA603="","",INDEX('Per Line'!$E$2:$E$4001,$AA603)&amp;"")</f>
        <v/>
      </c>
      <c r="C603">
        <f>IF($AA603="","",INDEX('Per Line'!$A$2:$A$4001,$AA603)&amp;"")</f>
        <v/>
      </c>
      <c r="D603">
        <f>IF($AA603="","",INDEX('Per Line'!$D$2:$D$4001,$AA603)&amp;"")</f>
        <v/>
      </c>
      <c r="E603" s="11">
        <f>IF($AA603="","",INDEX('Per Line'!$G$2:$G$4001,$AA603))</f>
        <v/>
      </c>
      <c r="F603">
        <f>IF($AA603="","",INDEX('Per Line'!$H$2:$H$4001,$AA603)&amp;"")</f>
        <v/>
      </c>
      <c r="G603">
        <f>IF($AA603="","",INDEX('Per Line'!$I$2:$I$4001,$AA603)&amp;"")</f>
        <v/>
      </c>
      <c r="H603">
        <f>IF($AA603="","",INDEX('Per Line'!$J$2:$J$4001,$AA603)&amp;"")</f>
        <v/>
      </c>
      <c r="I603">
        <f>IF($AA603="","",INDEX('Per Line'!$K$2:$K$4001,$AA603)&amp;"")</f>
        <v/>
      </c>
      <c r="J603">
        <f>IF($AA603="","",INDEX('Per Line'!$L$2:$L$4001,$AA603)&amp;"")</f>
        <v/>
      </c>
      <c r="K603">
        <f>IF($AA603="","",INDEX('Per Line'!$P$2:$P$4001,$AA603))</f>
        <v/>
      </c>
      <c r="L603" s="7">
        <f>IF($AA603="","",IF(AND(ISNUMBER(N603),N603&gt;0,Y603&gt;N603),K603*N603/100+(Y603-N603),K603*Y603/100))</f>
        <v/>
      </c>
      <c r="M603">
        <f>IF($AA603="","",INDEX('Per Line'!$Z$2:$Z$4001,$AA603)&amp;"")</f>
        <v/>
      </c>
      <c r="N603">
        <f>IF($AA603="","",INDEX('Per Line'!$AG$2:$AG$4001,$AA603))</f>
        <v/>
      </c>
      <c r="O603">
        <f>IF($AA603="","",IF(AND(ISNUMBER(N603),N603&gt;0),Y603&gt;N603,FALSE))</f>
        <v/>
      </c>
      <c r="P603" s="7">
        <f>IF($AA603="","",SUMIFS('Per Line'!$Y$2:$Y$4001,'Per Line'!$E$2:$E$4001,$B603,'Per Line'!$AQ$2:$AQ$4001,1))</f>
        <v/>
      </c>
      <c r="Q603">
        <f>IF($AA603="","",Settings!$C$7)</f>
        <v/>
      </c>
      <c r="R603" s="7">
        <f>IF($AA603="","",SUMIFS('Per Line'!$Y$2:$Y$4001,'Per Line'!$E$2:$E$4001,$B603,'Per Line'!$AP$2:$AP$4001,0,'Per Line'!$AQ$2:$AQ$4001,0))</f>
        <v/>
      </c>
      <c r="S603" s="7">
        <f>IF($AA603="","",R603*Q603)</f>
        <v/>
      </c>
      <c r="T603">
        <f>IF($AA603="","",Settings!$C$6)</f>
        <v/>
      </c>
      <c r="U603" s="7">
        <f>IF($AA603="","",SUMIFS('Per Line'!$Y$2:$Y$4001,'Per Line'!$E$2:$E$4001,$B603,'Per Line'!$AP$2:$AP$4001,1,'Per Line'!$AQ$2:$AQ$4001,0))</f>
        <v/>
      </c>
      <c r="V603" s="7">
        <f>IF($AA603="","",U603*T603)</f>
        <v/>
      </c>
      <c r="W603" s="7">
        <f>IF($AA603="","",V603+S603)</f>
        <v/>
      </c>
      <c r="X603" s="7">
        <f>IF($AA603="","",Y603-W603)</f>
        <v/>
      </c>
      <c r="Y603" s="7">
        <f>IF($AA603="","",R603+U603+P603)</f>
        <v/>
      </c>
      <c r="Z603" s="7">
        <f>IF($AA603="","",Y603-W603-L603)</f>
        <v/>
      </c>
      <c r="AA603" s="13">
        <f>IF(ROWS($AA$2:$AA603)&lt;=MAX('Per Line'!$AO$2:$AO$4001),MATCH(ROWS($AA$2:$AA603),'Per Line'!$AO$2:$AO$4001,0),"")</f>
        <v/>
      </c>
      <c r="AB603" s="14">
        <f>IF($AA603="","",L603-K603*Y603/100)</f>
        <v/>
      </c>
    </row>
    <row r="604">
      <c r="A604" s="12" t="n"/>
      <c r="B604">
        <f>IF($AA604="","",INDEX('Per Line'!$E$2:$E$4001,$AA604)&amp;"")</f>
        <v/>
      </c>
      <c r="C604">
        <f>IF($AA604="","",INDEX('Per Line'!$A$2:$A$4001,$AA604)&amp;"")</f>
        <v/>
      </c>
      <c r="D604">
        <f>IF($AA604="","",INDEX('Per Line'!$D$2:$D$4001,$AA604)&amp;"")</f>
        <v/>
      </c>
      <c r="E604" s="11">
        <f>IF($AA604="","",INDEX('Per Line'!$G$2:$G$4001,$AA604))</f>
        <v/>
      </c>
      <c r="F604">
        <f>IF($AA604="","",INDEX('Per Line'!$H$2:$H$4001,$AA604)&amp;"")</f>
        <v/>
      </c>
      <c r="G604">
        <f>IF($AA604="","",INDEX('Per Line'!$I$2:$I$4001,$AA604)&amp;"")</f>
        <v/>
      </c>
      <c r="H604">
        <f>IF($AA604="","",INDEX('Per Line'!$J$2:$J$4001,$AA604)&amp;"")</f>
        <v/>
      </c>
      <c r="I604">
        <f>IF($AA604="","",INDEX('Per Line'!$K$2:$K$4001,$AA604)&amp;"")</f>
        <v/>
      </c>
      <c r="J604">
        <f>IF($AA604="","",INDEX('Per Line'!$L$2:$L$4001,$AA604)&amp;"")</f>
        <v/>
      </c>
      <c r="K604">
        <f>IF($AA604="","",INDEX('Per Line'!$P$2:$P$4001,$AA604))</f>
        <v/>
      </c>
      <c r="L604" s="7">
        <f>IF($AA604="","",IF(AND(ISNUMBER(N604),N604&gt;0,Y604&gt;N604),K604*N604/100+(Y604-N604),K604*Y604/100))</f>
        <v/>
      </c>
      <c r="M604">
        <f>IF($AA604="","",INDEX('Per Line'!$Z$2:$Z$4001,$AA604)&amp;"")</f>
        <v/>
      </c>
      <c r="N604">
        <f>IF($AA604="","",INDEX('Per Line'!$AG$2:$AG$4001,$AA604))</f>
        <v/>
      </c>
      <c r="O604">
        <f>IF($AA604="","",IF(AND(ISNUMBER(N604),N604&gt;0),Y604&gt;N604,FALSE))</f>
        <v/>
      </c>
      <c r="P604" s="7">
        <f>IF($AA604="","",SUMIFS('Per Line'!$Y$2:$Y$4001,'Per Line'!$E$2:$E$4001,$B604,'Per Line'!$AQ$2:$AQ$4001,1))</f>
        <v/>
      </c>
      <c r="Q604">
        <f>IF($AA604="","",Settings!$C$7)</f>
        <v/>
      </c>
      <c r="R604" s="7">
        <f>IF($AA604="","",SUMIFS('Per Line'!$Y$2:$Y$4001,'Per Line'!$E$2:$E$4001,$B604,'Per Line'!$AP$2:$AP$4001,0,'Per Line'!$AQ$2:$AQ$4001,0))</f>
        <v/>
      </c>
      <c r="S604" s="7">
        <f>IF($AA604="","",R604*Q604)</f>
        <v/>
      </c>
      <c r="T604">
        <f>IF($AA604="","",Settings!$C$6)</f>
        <v/>
      </c>
      <c r="U604" s="7">
        <f>IF($AA604="","",SUMIFS('Per Line'!$Y$2:$Y$4001,'Per Line'!$E$2:$E$4001,$B604,'Per Line'!$AP$2:$AP$4001,1,'Per Line'!$AQ$2:$AQ$4001,0))</f>
        <v/>
      </c>
      <c r="V604" s="7">
        <f>IF($AA604="","",U604*T604)</f>
        <v/>
      </c>
      <c r="W604" s="7">
        <f>IF($AA604="","",V604+S604)</f>
        <v/>
      </c>
      <c r="X604" s="7">
        <f>IF($AA604="","",Y604-W604)</f>
        <v/>
      </c>
      <c r="Y604" s="7">
        <f>IF($AA604="","",R604+U604+P604)</f>
        <v/>
      </c>
      <c r="Z604" s="7">
        <f>IF($AA604="","",Y604-W604-L604)</f>
        <v/>
      </c>
      <c r="AA604" s="13">
        <f>IF(ROWS($AA$2:$AA604)&lt;=MAX('Per Line'!$AO$2:$AO$4001),MATCH(ROWS($AA$2:$AA604),'Per Line'!$AO$2:$AO$4001,0),"")</f>
        <v/>
      </c>
      <c r="AB604" s="14">
        <f>IF($AA604="","",L604-K604*Y604/100)</f>
        <v/>
      </c>
    </row>
    <row r="605">
      <c r="A605" s="12" t="n"/>
      <c r="B605">
        <f>IF($AA605="","",INDEX('Per Line'!$E$2:$E$4001,$AA605)&amp;"")</f>
        <v/>
      </c>
      <c r="C605">
        <f>IF($AA605="","",INDEX('Per Line'!$A$2:$A$4001,$AA605)&amp;"")</f>
        <v/>
      </c>
      <c r="D605">
        <f>IF($AA605="","",INDEX('Per Line'!$D$2:$D$4001,$AA605)&amp;"")</f>
        <v/>
      </c>
      <c r="E605" s="11">
        <f>IF($AA605="","",INDEX('Per Line'!$G$2:$G$4001,$AA605))</f>
        <v/>
      </c>
      <c r="F605">
        <f>IF($AA605="","",INDEX('Per Line'!$H$2:$H$4001,$AA605)&amp;"")</f>
        <v/>
      </c>
      <c r="G605">
        <f>IF($AA605="","",INDEX('Per Line'!$I$2:$I$4001,$AA605)&amp;"")</f>
        <v/>
      </c>
      <c r="H605">
        <f>IF($AA605="","",INDEX('Per Line'!$J$2:$J$4001,$AA605)&amp;"")</f>
        <v/>
      </c>
      <c r="I605">
        <f>IF($AA605="","",INDEX('Per Line'!$K$2:$K$4001,$AA605)&amp;"")</f>
        <v/>
      </c>
      <c r="J605">
        <f>IF($AA605="","",INDEX('Per Line'!$L$2:$L$4001,$AA605)&amp;"")</f>
        <v/>
      </c>
      <c r="K605">
        <f>IF($AA605="","",INDEX('Per Line'!$P$2:$P$4001,$AA605))</f>
        <v/>
      </c>
      <c r="L605" s="7">
        <f>IF($AA605="","",IF(AND(ISNUMBER(N605),N605&gt;0,Y605&gt;N605),K605*N605/100+(Y605-N605),K605*Y605/100))</f>
        <v/>
      </c>
      <c r="M605">
        <f>IF($AA605="","",INDEX('Per Line'!$Z$2:$Z$4001,$AA605)&amp;"")</f>
        <v/>
      </c>
      <c r="N605">
        <f>IF($AA605="","",INDEX('Per Line'!$AG$2:$AG$4001,$AA605))</f>
        <v/>
      </c>
      <c r="O605">
        <f>IF($AA605="","",IF(AND(ISNUMBER(N605),N605&gt;0),Y605&gt;N605,FALSE))</f>
        <v/>
      </c>
      <c r="P605" s="7">
        <f>IF($AA605="","",SUMIFS('Per Line'!$Y$2:$Y$4001,'Per Line'!$E$2:$E$4001,$B605,'Per Line'!$AQ$2:$AQ$4001,1))</f>
        <v/>
      </c>
      <c r="Q605">
        <f>IF($AA605="","",Settings!$C$7)</f>
        <v/>
      </c>
      <c r="R605" s="7">
        <f>IF($AA605="","",SUMIFS('Per Line'!$Y$2:$Y$4001,'Per Line'!$E$2:$E$4001,$B605,'Per Line'!$AP$2:$AP$4001,0,'Per Line'!$AQ$2:$AQ$4001,0))</f>
        <v/>
      </c>
      <c r="S605" s="7">
        <f>IF($AA605="","",R605*Q605)</f>
        <v/>
      </c>
      <c r="T605">
        <f>IF($AA605="","",Settings!$C$6)</f>
        <v/>
      </c>
      <c r="U605" s="7">
        <f>IF($AA605="","",SUMIFS('Per Line'!$Y$2:$Y$4001,'Per Line'!$E$2:$E$4001,$B605,'Per Line'!$AP$2:$AP$4001,1,'Per Line'!$AQ$2:$AQ$4001,0))</f>
        <v/>
      </c>
      <c r="V605" s="7">
        <f>IF($AA605="","",U605*T605)</f>
        <v/>
      </c>
      <c r="W605" s="7">
        <f>IF($AA605="","",V605+S605)</f>
        <v/>
      </c>
      <c r="X605" s="7">
        <f>IF($AA605="","",Y605-W605)</f>
        <v/>
      </c>
      <c r="Y605" s="7">
        <f>IF($AA605="","",R605+U605+P605)</f>
        <v/>
      </c>
      <c r="Z605" s="7">
        <f>IF($AA605="","",Y605-W605-L605)</f>
        <v/>
      </c>
      <c r="AA605" s="13">
        <f>IF(ROWS($AA$2:$AA605)&lt;=MAX('Per Line'!$AO$2:$AO$4001),MATCH(ROWS($AA$2:$AA605),'Per Line'!$AO$2:$AO$4001,0),"")</f>
        <v/>
      </c>
      <c r="AB605" s="14">
        <f>IF($AA605="","",L605-K605*Y605/100)</f>
        <v/>
      </c>
    </row>
    <row r="606">
      <c r="A606" s="12" t="n"/>
      <c r="B606">
        <f>IF($AA606="","",INDEX('Per Line'!$E$2:$E$4001,$AA606)&amp;"")</f>
        <v/>
      </c>
      <c r="C606">
        <f>IF($AA606="","",INDEX('Per Line'!$A$2:$A$4001,$AA606)&amp;"")</f>
        <v/>
      </c>
      <c r="D606">
        <f>IF($AA606="","",INDEX('Per Line'!$D$2:$D$4001,$AA606)&amp;"")</f>
        <v/>
      </c>
      <c r="E606" s="11">
        <f>IF($AA606="","",INDEX('Per Line'!$G$2:$G$4001,$AA606))</f>
        <v/>
      </c>
      <c r="F606">
        <f>IF($AA606="","",INDEX('Per Line'!$H$2:$H$4001,$AA606)&amp;"")</f>
        <v/>
      </c>
      <c r="G606">
        <f>IF($AA606="","",INDEX('Per Line'!$I$2:$I$4001,$AA606)&amp;"")</f>
        <v/>
      </c>
      <c r="H606">
        <f>IF($AA606="","",INDEX('Per Line'!$J$2:$J$4001,$AA606)&amp;"")</f>
        <v/>
      </c>
      <c r="I606">
        <f>IF($AA606="","",INDEX('Per Line'!$K$2:$K$4001,$AA606)&amp;"")</f>
        <v/>
      </c>
      <c r="J606">
        <f>IF($AA606="","",INDEX('Per Line'!$L$2:$L$4001,$AA606)&amp;"")</f>
        <v/>
      </c>
      <c r="K606">
        <f>IF($AA606="","",INDEX('Per Line'!$P$2:$P$4001,$AA606))</f>
        <v/>
      </c>
      <c r="L606" s="7">
        <f>IF($AA606="","",IF(AND(ISNUMBER(N606),N606&gt;0,Y606&gt;N606),K606*N606/100+(Y606-N606),K606*Y606/100))</f>
        <v/>
      </c>
      <c r="M606">
        <f>IF($AA606="","",INDEX('Per Line'!$Z$2:$Z$4001,$AA606)&amp;"")</f>
        <v/>
      </c>
      <c r="N606">
        <f>IF($AA606="","",INDEX('Per Line'!$AG$2:$AG$4001,$AA606))</f>
        <v/>
      </c>
      <c r="O606">
        <f>IF($AA606="","",IF(AND(ISNUMBER(N606),N606&gt;0),Y606&gt;N606,FALSE))</f>
        <v/>
      </c>
      <c r="P606" s="7">
        <f>IF($AA606="","",SUMIFS('Per Line'!$Y$2:$Y$4001,'Per Line'!$E$2:$E$4001,$B606,'Per Line'!$AQ$2:$AQ$4001,1))</f>
        <v/>
      </c>
      <c r="Q606">
        <f>IF($AA606="","",Settings!$C$7)</f>
        <v/>
      </c>
      <c r="R606" s="7">
        <f>IF($AA606="","",SUMIFS('Per Line'!$Y$2:$Y$4001,'Per Line'!$E$2:$E$4001,$B606,'Per Line'!$AP$2:$AP$4001,0,'Per Line'!$AQ$2:$AQ$4001,0))</f>
        <v/>
      </c>
      <c r="S606" s="7">
        <f>IF($AA606="","",R606*Q606)</f>
        <v/>
      </c>
      <c r="T606">
        <f>IF($AA606="","",Settings!$C$6)</f>
        <v/>
      </c>
      <c r="U606" s="7">
        <f>IF($AA606="","",SUMIFS('Per Line'!$Y$2:$Y$4001,'Per Line'!$E$2:$E$4001,$B606,'Per Line'!$AP$2:$AP$4001,1,'Per Line'!$AQ$2:$AQ$4001,0))</f>
        <v/>
      </c>
      <c r="V606" s="7">
        <f>IF($AA606="","",U606*T606)</f>
        <v/>
      </c>
      <c r="W606" s="7">
        <f>IF($AA606="","",V606+S606)</f>
        <v/>
      </c>
      <c r="X606" s="7">
        <f>IF($AA606="","",Y606-W606)</f>
        <v/>
      </c>
      <c r="Y606" s="7">
        <f>IF($AA606="","",R606+U606+P606)</f>
        <v/>
      </c>
      <c r="Z606" s="7">
        <f>IF($AA606="","",Y606-W606-L606)</f>
        <v/>
      </c>
      <c r="AA606" s="13">
        <f>IF(ROWS($AA$2:$AA606)&lt;=MAX('Per Line'!$AO$2:$AO$4001),MATCH(ROWS($AA$2:$AA606),'Per Line'!$AO$2:$AO$4001,0),"")</f>
        <v/>
      </c>
      <c r="AB606" s="14">
        <f>IF($AA606="","",L606-K606*Y606/100)</f>
        <v/>
      </c>
    </row>
    <row r="607">
      <c r="A607" s="12" t="n"/>
      <c r="B607">
        <f>IF($AA607="","",INDEX('Per Line'!$E$2:$E$4001,$AA607)&amp;"")</f>
        <v/>
      </c>
      <c r="C607">
        <f>IF($AA607="","",INDEX('Per Line'!$A$2:$A$4001,$AA607)&amp;"")</f>
        <v/>
      </c>
      <c r="D607">
        <f>IF($AA607="","",INDEX('Per Line'!$D$2:$D$4001,$AA607)&amp;"")</f>
        <v/>
      </c>
      <c r="E607" s="11">
        <f>IF($AA607="","",INDEX('Per Line'!$G$2:$G$4001,$AA607))</f>
        <v/>
      </c>
      <c r="F607">
        <f>IF($AA607="","",INDEX('Per Line'!$H$2:$H$4001,$AA607)&amp;"")</f>
        <v/>
      </c>
      <c r="G607">
        <f>IF($AA607="","",INDEX('Per Line'!$I$2:$I$4001,$AA607)&amp;"")</f>
        <v/>
      </c>
      <c r="H607">
        <f>IF($AA607="","",INDEX('Per Line'!$J$2:$J$4001,$AA607)&amp;"")</f>
        <v/>
      </c>
      <c r="I607">
        <f>IF($AA607="","",INDEX('Per Line'!$K$2:$K$4001,$AA607)&amp;"")</f>
        <v/>
      </c>
      <c r="J607">
        <f>IF($AA607="","",INDEX('Per Line'!$L$2:$L$4001,$AA607)&amp;"")</f>
        <v/>
      </c>
      <c r="K607">
        <f>IF($AA607="","",INDEX('Per Line'!$P$2:$P$4001,$AA607))</f>
        <v/>
      </c>
      <c r="L607" s="7">
        <f>IF($AA607="","",IF(AND(ISNUMBER(N607),N607&gt;0,Y607&gt;N607),K607*N607/100+(Y607-N607),K607*Y607/100))</f>
        <v/>
      </c>
      <c r="M607">
        <f>IF($AA607="","",INDEX('Per Line'!$Z$2:$Z$4001,$AA607)&amp;"")</f>
        <v/>
      </c>
      <c r="N607">
        <f>IF($AA607="","",INDEX('Per Line'!$AG$2:$AG$4001,$AA607))</f>
        <v/>
      </c>
      <c r="O607">
        <f>IF($AA607="","",IF(AND(ISNUMBER(N607),N607&gt;0),Y607&gt;N607,FALSE))</f>
        <v/>
      </c>
      <c r="P607" s="7">
        <f>IF($AA607="","",SUMIFS('Per Line'!$Y$2:$Y$4001,'Per Line'!$E$2:$E$4001,$B607,'Per Line'!$AQ$2:$AQ$4001,1))</f>
        <v/>
      </c>
      <c r="Q607">
        <f>IF($AA607="","",Settings!$C$7)</f>
        <v/>
      </c>
      <c r="R607" s="7">
        <f>IF($AA607="","",SUMIFS('Per Line'!$Y$2:$Y$4001,'Per Line'!$E$2:$E$4001,$B607,'Per Line'!$AP$2:$AP$4001,0,'Per Line'!$AQ$2:$AQ$4001,0))</f>
        <v/>
      </c>
      <c r="S607" s="7">
        <f>IF($AA607="","",R607*Q607)</f>
        <v/>
      </c>
      <c r="T607">
        <f>IF($AA607="","",Settings!$C$6)</f>
        <v/>
      </c>
      <c r="U607" s="7">
        <f>IF($AA607="","",SUMIFS('Per Line'!$Y$2:$Y$4001,'Per Line'!$E$2:$E$4001,$B607,'Per Line'!$AP$2:$AP$4001,1,'Per Line'!$AQ$2:$AQ$4001,0))</f>
        <v/>
      </c>
      <c r="V607" s="7">
        <f>IF($AA607="","",U607*T607)</f>
        <v/>
      </c>
      <c r="W607" s="7">
        <f>IF($AA607="","",V607+S607)</f>
        <v/>
      </c>
      <c r="X607" s="7">
        <f>IF($AA607="","",Y607-W607)</f>
        <v/>
      </c>
      <c r="Y607" s="7">
        <f>IF($AA607="","",R607+U607+P607)</f>
        <v/>
      </c>
      <c r="Z607" s="7">
        <f>IF($AA607="","",Y607-W607-L607)</f>
        <v/>
      </c>
      <c r="AA607" s="13">
        <f>IF(ROWS($AA$2:$AA607)&lt;=MAX('Per Line'!$AO$2:$AO$4001),MATCH(ROWS($AA$2:$AA607),'Per Line'!$AO$2:$AO$4001,0),"")</f>
        <v/>
      </c>
      <c r="AB607" s="14">
        <f>IF($AA607="","",L607-K607*Y607/100)</f>
        <v/>
      </c>
    </row>
    <row r="608">
      <c r="A608" s="12" t="n"/>
      <c r="B608">
        <f>IF($AA608="","",INDEX('Per Line'!$E$2:$E$4001,$AA608)&amp;"")</f>
        <v/>
      </c>
      <c r="C608">
        <f>IF($AA608="","",INDEX('Per Line'!$A$2:$A$4001,$AA608)&amp;"")</f>
        <v/>
      </c>
      <c r="D608">
        <f>IF($AA608="","",INDEX('Per Line'!$D$2:$D$4001,$AA608)&amp;"")</f>
        <v/>
      </c>
      <c r="E608" s="11">
        <f>IF($AA608="","",INDEX('Per Line'!$G$2:$G$4001,$AA608))</f>
        <v/>
      </c>
      <c r="F608">
        <f>IF($AA608="","",INDEX('Per Line'!$H$2:$H$4001,$AA608)&amp;"")</f>
        <v/>
      </c>
      <c r="G608">
        <f>IF($AA608="","",INDEX('Per Line'!$I$2:$I$4001,$AA608)&amp;"")</f>
        <v/>
      </c>
      <c r="H608">
        <f>IF($AA608="","",INDEX('Per Line'!$J$2:$J$4001,$AA608)&amp;"")</f>
        <v/>
      </c>
      <c r="I608">
        <f>IF($AA608="","",INDEX('Per Line'!$K$2:$K$4001,$AA608)&amp;"")</f>
        <v/>
      </c>
      <c r="J608">
        <f>IF($AA608="","",INDEX('Per Line'!$L$2:$L$4001,$AA608)&amp;"")</f>
        <v/>
      </c>
      <c r="K608">
        <f>IF($AA608="","",INDEX('Per Line'!$P$2:$P$4001,$AA608))</f>
        <v/>
      </c>
      <c r="L608" s="7">
        <f>IF($AA608="","",IF(AND(ISNUMBER(N608),N608&gt;0,Y608&gt;N608),K608*N608/100+(Y608-N608),K608*Y608/100))</f>
        <v/>
      </c>
      <c r="M608">
        <f>IF($AA608="","",INDEX('Per Line'!$Z$2:$Z$4001,$AA608)&amp;"")</f>
        <v/>
      </c>
      <c r="N608">
        <f>IF($AA608="","",INDEX('Per Line'!$AG$2:$AG$4001,$AA608))</f>
        <v/>
      </c>
      <c r="O608">
        <f>IF($AA608="","",IF(AND(ISNUMBER(N608),N608&gt;0),Y608&gt;N608,FALSE))</f>
        <v/>
      </c>
      <c r="P608" s="7">
        <f>IF($AA608="","",SUMIFS('Per Line'!$Y$2:$Y$4001,'Per Line'!$E$2:$E$4001,$B608,'Per Line'!$AQ$2:$AQ$4001,1))</f>
        <v/>
      </c>
      <c r="Q608">
        <f>IF($AA608="","",Settings!$C$7)</f>
        <v/>
      </c>
      <c r="R608" s="7">
        <f>IF($AA608="","",SUMIFS('Per Line'!$Y$2:$Y$4001,'Per Line'!$E$2:$E$4001,$B608,'Per Line'!$AP$2:$AP$4001,0,'Per Line'!$AQ$2:$AQ$4001,0))</f>
        <v/>
      </c>
      <c r="S608" s="7">
        <f>IF($AA608="","",R608*Q608)</f>
        <v/>
      </c>
      <c r="T608">
        <f>IF($AA608="","",Settings!$C$6)</f>
        <v/>
      </c>
      <c r="U608" s="7">
        <f>IF($AA608="","",SUMIFS('Per Line'!$Y$2:$Y$4001,'Per Line'!$E$2:$E$4001,$B608,'Per Line'!$AP$2:$AP$4001,1,'Per Line'!$AQ$2:$AQ$4001,0))</f>
        <v/>
      </c>
      <c r="V608" s="7">
        <f>IF($AA608="","",U608*T608)</f>
        <v/>
      </c>
      <c r="W608" s="7">
        <f>IF($AA608="","",V608+S608)</f>
        <v/>
      </c>
      <c r="X608" s="7">
        <f>IF($AA608="","",Y608-W608)</f>
        <v/>
      </c>
      <c r="Y608" s="7">
        <f>IF($AA608="","",R608+U608+P608)</f>
        <v/>
      </c>
      <c r="Z608" s="7">
        <f>IF($AA608="","",Y608-W608-L608)</f>
        <v/>
      </c>
      <c r="AA608" s="13">
        <f>IF(ROWS($AA$2:$AA608)&lt;=MAX('Per Line'!$AO$2:$AO$4001),MATCH(ROWS($AA$2:$AA608),'Per Line'!$AO$2:$AO$4001,0),"")</f>
        <v/>
      </c>
      <c r="AB608" s="14">
        <f>IF($AA608="","",L608-K608*Y608/100)</f>
        <v/>
      </c>
    </row>
    <row r="609">
      <c r="A609" s="12" t="n"/>
      <c r="B609">
        <f>IF($AA609="","",INDEX('Per Line'!$E$2:$E$4001,$AA609)&amp;"")</f>
        <v/>
      </c>
      <c r="C609">
        <f>IF($AA609="","",INDEX('Per Line'!$A$2:$A$4001,$AA609)&amp;"")</f>
        <v/>
      </c>
      <c r="D609">
        <f>IF($AA609="","",INDEX('Per Line'!$D$2:$D$4001,$AA609)&amp;"")</f>
        <v/>
      </c>
      <c r="E609" s="11">
        <f>IF($AA609="","",INDEX('Per Line'!$G$2:$G$4001,$AA609))</f>
        <v/>
      </c>
      <c r="F609">
        <f>IF($AA609="","",INDEX('Per Line'!$H$2:$H$4001,$AA609)&amp;"")</f>
        <v/>
      </c>
      <c r="G609">
        <f>IF($AA609="","",INDEX('Per Line'!$I$2:$I$4001,$AA609)&amp;"")</f>
        <v/>
      </c>
      <c r="H609">
        <f>IF($AA609="","",INDEX('Per Line'!$J$2:$J$4001,$AA609)&amp;"")</f>
        <v/>
      </c>
      <c r="I609">
        <f>IF($AA609="","",INDEX('Per Line'!$K$2:$K$4001,$AA609)&amp;"")</f>
        <v/>
      </c>
      <c r="J609">
        <f>IF($AA609="","",INDEX('Per Line'!$L$2:$L$4001,$AA609)&amp;"")</f>
        <v/>
      </c>
      <c r="K609">
        <f>IF($AA609="","",INDEX('Per Line'!$P$2:$P$4001,$AA609))</f>
        <v/>
      </c>
      <c r="L609" s="7">
        <f>IF($AA609="","",IF(AND(ISNUMBER(N609),N609&gt;0,Y609&gt;N609),K609*N609/100+(Y609-N609),K609*Y609/100))</f>
        <v/>
      </c>
      <c r="M609">
        <f>IF($AA609="","",INDEX('Per Line'!$Z$2:$Z$4001,$AA609)&amp;"")</f>
        <v/>
      </c>
      <c r="N609">
        <f>IF($AA609="","",INDEX('Per Line'!$AG$2:$AG$4001,$AA609))</f>
        <v/>
      </c>
      <c r="O609">
        <f>IF($AA609="","",IF(AND(ISNUMBER(N609),N609&gt;0),Y609&gt;N609,FALSE))</f>
        <v/>
      </c>
      <c r="P609" s="7">
        <f>IF($AA609="","",SUMIFS('Per Line'!$Y$2:$Y$4001,'Per Line'!$E$2:$E$4001,$B609,'Per Line'!$AQ$2:$AQ$4001,1))</f>
        <v/>
      </c>
      <c r="Q609">
        <f>IF($AA609="","",Settings!$C$7)</f>
        <v/>
      </c>
      <c r="R609" s="7">
        <f>IF($AA609="","",SUMIFS('Per Line'!$Y$2:$Y$4001,'Per Line'!$E$2:$E$4001,$B609,'Per Line'!$AP$2:$AP$4001,0,'Per Line'!$AQ$2:$AQ$4001,0))</f>
        <v/>
      </c>
      <c r="S609" s="7">
        <f>IF($AA609="","",R609*Q609)</f>
        <v/>
      </c>
      <c r="T609">
        <f>IF($AA609="","",Settings!$C$6)</f>
        <v/>
      </c>
      <c r="U609" s="7">
        <f>IF($AA609="","",SUMIFS('Per Line'!$Y$2:$Y$4001,'Per Line'!$E$2:$E$4001,$B609,'Per Line'!$AP$2:$AP$4001,1,'Per Line'!$AQ$2:$AQ$4001,0))</f>
        <v/>
      </c>
      <c r="V609" s="7">
        <f>IF($AA609="","",U609*T609)</f>
        <v/>
      </c>
      <c r="W609" s="7">
        <f>IF($AA609="","",V609+S609)</f>
        <v/>
      </c>
      <c r="X609" s="7">
        <f>IF($AA609="","",Y609-W609)</f>
        <v/>
      </c>
      <c r="Y609" s="7">
        <f>IF($AA609="","",R609+U609+P609)</f>
        <v/>
      </c>
      <c r="Z609" s="7">
        <f>IF($AA609="","",Y609-W609-L609)</f>
        <v/>
      </c>
      <c r="AA609" s="13">
        <f>IF(ROWS($AA$2:$AA609)&lt;=MAX('Per Line'!$AO$2:$AO$4001),MATCH(ROWS($AA$2:$AA609),'Per Line'!$AO$2:$AO$4001,0),"")</f>
        <v/>
      </c>
      <c r="AB609" s="14">
        <f>IF($AA609="","",L609-K609*Y609/100)</f>
        <v/>
      </c>
    </row>
    <row r="610">
      <c r="A610" s="12" t="n"/>
      <c r="B610">
        <f>IF($AA610="","",INDEX('Per Line'!$E$2:$E$4001,$AA610)&amp;"")</f>
        <v/>
      </c>
      <c r="C610">
        <f>IF($AA610="","",INDEX('Per Line'!$A$2:$A$4001,$AA610)&amp;"")</f>
        <v/>
      </c>
      <c r="D610">
        <f>IF($AA610="","",INDEX('Per Line'!$D$2:$D$4001,$AA610)&amp;"")</f>
        <v/>
      </c>
      <c r="E610" s="11">
        <f>IF($AA610="","",INDEX('Per Line'!$G$2:$G$4001,$AA610))</f>
        <v/>
      </c>
      <c r="F610">
        <f>IF($AA610="","",INDEX('Per Line'!$H$2:$H$4001,$AA610)&amp;"")</f>
        <v/>
      </c>
      <c r="G610">
        <f>IF($AA610="","",INDEX('Per Line'!$I$2:$I$4001,$AA610)&amp;"")</f>
        <v/>
      </c>
      <c r="H610">
        <f>IF($AA610="","",INDEX('Per Line'!$J$2:$J$4001,$AA610)&amp;"")</f>
        <v/>
      </c>
      <c r="I610">
        <f>IF($AA610="","",INDEX('Per Line'!$K$2:$K$4001,$AA610)&amp;"")</f>
        <v/>
      </c>
      <c r="J610">
        <f>IF($AA610="","",INDEX('Per Line'!$L$2:$L$4001,$AA610)&amp;"")</f>
        <v/>
      </c>
      <c r="K610">
        <f>IF($AA610="","",INDEX('Per Line'!$P$2:$P$4001,$AA610))</f>
        <v/>
      </c>
      <c r="L610" s="7">
        <f>IF($AA610="","",IF(AND(ISNUMBER(N610),N610&gt;0,Y610&gt;N610),K610*N610/100+(Y610-N610),K610*Y610/100))</f>
        <v/>
      </c>
      <c r="M610">
        <f>IF($AA610="","",INDEX('Per Line'!$Z$2:$Z$4001,$AA610)&amp;"")</f>
        <v/>
      </c>
      <c r="N610">
        <f>IF($AA610="","",INDEX('Per Line'!$AG$2:$AG$4001,$AA610))</f>
        <v/>
      </c>
      <c r="O610">
        <f>IF($AA610="","",IF(AND(ISNUMBER(N610),N610&gt;0),Y610&gt;N610,FALSE))</f>
        <v/>
      </c>
      <c r="P610" s="7">
        <f>IF($AA610="","",SUMIFS('Per Line'!$Y$2:$Y$4001,'Per Line'!$E$2:$E$4001,$B610,'Per Line'!$AQ$2:$AQ$4001,1))</f>
        <v/>
      </c>
      <c r="Q610">
        <f>IF($AA610="","",Settings!$C$7)</f>
        <v/>
      </c>
      <c r="R610" s="7">
        <f>IF($AA610="","",SUMIFS('Per Line'!$Y$2:$Y$4001,'Per Line'!$E$2:$E$4001,$B610,'Per Line'!$AP$2:$AP$4001,0,'Per Line'!$AQ$2:$AQ$4001,0))</f>
        <v/>
      </c>
      <c r="S610" s="7">
        <f>IF($AA610="","",R610*Q610)</f>
        <v/>
      </c>
      <c r="T610">
        <f>IF($AA610="","",Settings!$C$6)</f>
        <v/>
      </c>
      <c r="U610" s="7">
        <f>IF($AA610="","",SUMIFS('Per Line'!$Y$2:$Y$4001,'Per Line'!$E$2:$E$4001,$B610,'Per Line'!$AP$2:$AP$4001,1,'Per Line'!$AQ$2:$AQ$4001,0))</f>
        <v/>
      </c>
      <c r="V610" s="7">
        <f>IF($AA610="","",U610*T610)</f>
        <v/>
      </c>
      <c r="W610" s="7">
        <f>IF($AA610="","",V610+S610)</f>
        <v/>
      </c>
      <c r="X610" s="7">
        <f>IF($AA610="","",Y610-W610)</f>
        <v/>
      </c>
      <c r="Y610" s="7">
        <f>IF($AA610="","",R610+U610+P610)</f>
        <v/>
      </c>
      <c r="Z610" s="7">
        <f>IF($AA610="","",Y610-W610-L610)</f>
        <v/>
      </c>
      <c r="AA610" s="13">
        <f>IF(ROWS($AA$2:$AA610)&lt;=MAX('Per Line'!$AO$2:$AO$4001),MATCH(ROWS($AA$2:$AA610),'Per Line'!$AO$2:$AO$4001,0),"")</f>
        <v/>
      </c>
      <c r="AB610" s="14">
        <f>IF($AA610="","",L610-K610*Y610/100)</f>
        <v/>
      </c>
    </row>
    <row r="611">
      <c r="A611" s="12" t="n"/>
      <c r="B611">
        <f>IF($AA611="","",INDEX('Per Line'!$E$2:$E$4001,$AA611)&amp;"")</f>
        <v/>
      </c>
      <c r="C611">
        <f>IF($AA611="","",INDEX('Per Line'!$A$2:$A$4001,$AA611)&amp;"")</f>
        <v/>
      </c>
      <c r="D611">
        <f>IF($AA611="","",INDEX('Per Line'!$D$2:$D$4001,$AA611)&amp;"")</f>
        <v/>
      </c>
      <c r="E611" s="11">
        <f>IF($AA611="","",INDEX('Per Line'!$G$2:$G$4001,$AA611))</f>
        <v/>
      </c>
      <c r="F611">
        <f>IF($AA611="","",INDEX('Per Line'!$H$2:$H$4001,$AA611)&amp;"")</f>
        <v/>
      </c>
      <c r="G611">
        <f>IF($AA611="","",INDEX('Per Line'!$I$2:$I$4001,$AA611)&amp;"")</f>
        <v/>
      </c>
      <c r="H611">
        <f>IF($AA611="","",INDEX('Per Line'!$J$2:$J$4001,$AA611)&amp;"")</f>
        <v/>
      </c>
      <c r="I611">
        <f>IF($AA611="","",INDEX('Per Line'!$K$2:$K$4001,$AA611)&amp;"")</f>
        <v/>
      </c>
      <c r="J611">
        <f>IF($AA611="","",INDEX('Per Line'!$L$2:$L$4001,$AA611)&amp;"")</f>
        <v/>
      </c>
      <c r="K611">
        <f>IF($AA611="","",INDEX('Per Line'!$P$2:$P$4001,$AA611))</f>
        <v/>
      </c>
      <c r="L611" s="7">
        <f>IF($AA611="","",IF(AND(ISNUMBER(N611),N611&gt;0,Y611&gt;N611),K611*N611/100+(Y611-N611),K611*Y611/100))</f>
        <v/>
      </c>
      <c r="M611">
        <f>IF($AA611="","",INDEX('Per Line'!$Z$2:$Z$4001,$AA611)&amp;"")</f>
        <v/>
      </c>
      <c r="N611">
        <f>IF($AA611="","",INDEX('Per Line'!$AG$2:$AG$4001,$AA611))</f>
        <v/>
      </c>
      <c r="O611">
        <f>IF($AA611="","",IF(AND(ISNUMBER(N611),N611&gt;0),Y611&gt;N611,FALSE))</f>
        <v/>
      </c>
      <c r="P611" s="7">
        <f>IF($AA611="","",SUMIFS('Per Line'!$Y$2:$Y$4001,'Per Line'!$E$2:$E$4001,$B611,'Per Line'!$AQ$2:$AQ$4001,1))</f>
        <v/>
      </c>
      <c r="Q611">
        <f>IF($AA611="","",Settings!$C$7)</f>
        <v/>
      </c>
      <c r="R611" s="7">
        <f>IF($AA611="","",SUMIFS('Per Line'!$Y$2:$Y$4001,'Per Line'!$E$2:$E$4001,$B611,'Per Line'!$AP$2:$AP$4001,0,'Per Line'!$AQ$2:$AQ$4001,0))</f>
        <v/>
      </c>
      <c r="S611" s="7">
        <f>IF($AA611="","",R611*Q611)</f>
        <v/>
      </c>
      <c r="T611">
        <f>IF($AA611="","",Settings!$C$6)</f>
        <v/>
      </c>
      <c r="U611" s="7">
        <f>IF($AA611="","",SUMIFS('Per Line'!$Y$2:$Y$4001,'Per Line'!$E$2:$E$4001,$B611,'Per Line'!$AP$2:$AP$4001,1,'Per Line'!$AQ$2:$AQ$4001,0))</f>
        <v/>
      </c>
      <c r="V611" s="7">
        <f>IF($AA611="","",U611*T611)</f>
        <v/>
      </c>
      <c r="W611" s="7">
        <f>IF($AA611="","",V611+S611)</f>
        <v/>
      </c>
      <c r="X611" s="7">
        <f>IF($AA611="","",Y611-W611)</f>
        <v/>
      </c>
      <c r="Y611" s="7">
        <f>IF($AA611="","",R611+U611+P611)</f>
        <v/>
      </c>
      <c r="Z611" s="7">
        <f>IF($AA611="","",Y611-W611-L611)</f>
        <v/>
      </c>
      <c r="AA611" s="13">
        <f>IF(ROWS($AA$2:$AA611)&lt;=MAX('Per Line'!$AO$2:$AO$4001),MATCH(ROWS($AA$2:$AA611),'Per Line'!$AO$2:$AO$4001,0),"")</f>
        <v/>
      </c>
      <c r="AB611" s="14">
        <f>IF($AA611="","",L611-K611*Y611/100)</f>
        <v/>
      </c>
    </row>
    <row r="612">
      <c r="A612" s="12" t="n"/>
      <c r="B612">
        <f>IF($AA612="","",INDEX('Per Line'!$E$2:$E$4001,$AA612)&amp;"")</f>
        <v/>
      </c>
      <c r="C612">
        <f>IF($AA612="","",INDEX('Per Line'!$A$2:$A$4001,$AA612)&amp;"")</f>
        <v/>
      </c>
      <c r="D612">
        <f>IF($AA612="","",INDEX('Per Line'!$D$2:$D$4001,$AA612)&amp;"")</f>
        <v/>
      </c>
      <c r="E612" s="11">
        <f>IF($AA612="","",INDEX('Per Line'!$G$2:$G$4001,$AA612))</f>
        <v/>
      </c>
      <c r="F612">
        <f>IF($AA612="","",INDEX('Per Line'!$H$2:$H$4001,$AA612)&amp;"")</f>
        <v/>
      </c>
      <c r="G612">
        <f>IF($AA612="","",INDEX('Per Line'!$I$2:$I$4001,$AA612)&amp;"")</f>
        <v/>
      </c>
      <c r="H612">
        <f>IF($AA612="","",INDEX('Per Line'!$J$2:$J$4001,$AA612)&amp;"")</f>
        <v/>
      </c>
      <c r="I612">
        <f>IF($AA612="","",INDEX('Per Line'!$K$2:$K$4001,$AA612)&amp;"")</f>
        <v/>
      </c>
      <c r="J612">
        <f>IF($AA612="","",INDEX('Per Line'!$L$2:$L$4001,$AA612)&amp;"")</f>
        <v/>
      </c>
      <c r="K612">
        <f>IF($AA612="","",INDEX('Per Line'!$P$2:$P$4001,$AA612))</f>
        <v/>
      </c>
      <c r="L612" s="7">
        <f>IF($AA612="","",IF(AND(ISNUMBER(N612),N612&gt;0,Y612&gt;N612),K612*N612/100+(Y612-N612),K612*Y612/100))</f>
        <v/>
      </c>
      <c r="M612">
        <f>IF($AA612="","",INDEX('Per Line'!$Z$2:$Z$4001,$AA612)&amp;"")</f>
        <v/>
      </c>
      <c r="N612">
        <f>IF($AA612="","",INDEX('Per Line'!$AG$2:$AG$4001,$AA612))</f>
        <v/>
      </c>
      <c r="O612">
        <f>IF($AA612="","",IF(AND(ISNUMBER(N612),N612&gt;0),Y612&gt;N612,FALSE))</f>
        <v/>
      </c>
      <c r="P612" s="7">
        <f>IF($AA612="","",SUMIFS('Per Line'!$Y$2:$Y$4001,'Per Line'!$E$2:$E$4001,$B612,'Per Line'!$AQ$2:$AQ$4001,1))</f>
        <v/>
      </c>
      <c r="Q612">
        <f>IF($AA612="","",Settings!$C$7)</f>
        <v/>
      </c>
      <c r="R612" s="7">
        <f>IF($AA612="","",SUMIFS('Per Line'!$Y$2:$Y$4001,'Per Line'!$E$2:$E$4001,$B612,'Per Line'!$AP$2:$AP$4001,0,'Per Line'!$AQ$2:$AQ$4001,0))</f>
        <v/>
      </c>
      <c r="S612" s="7">
        <f>IF($AA612="","",R612*Q612)</f>
        <v/>
      </c>
      <c r="T612">
        <f>IF($AA612="","",Settings!$C$6)</f>
        <v/>
      </c>
      <c r="U612" s="7">
        <f>IF($AA612="","",SUMIFS('Per Line'!$Y$2:$Y$4001,'Per Line'!$E$2:$E$4001,$B612,'Per Line'!$AP$2:$AP$4001,1,'Per Line'!$AQ$2:$AQ$4001,0))</f>
        <v/>
      </c>
      <c r="V612" s="7">
        <f>IF($AA612="","",U612*T612)</f>
        <v/>
      </c>
      <c r="W612" s="7">
        <f>IF($AA612="","",V612+S612)</f>
        <v/>
      </c>
      <c r="X612" s="7">
        <f>IF($AA612="","",Y612-W612)</f>
        <v/>
      </c>
      <c r="Y612" s="7">
        <f>IF($AA612="","",R612+U612+P612)</f>
        <v/>
      </c>
      <c r="Z612" s="7">
        <f>IF($AA612="","",Y612-W612-L612)</f>
        <v/>
      </c>
      <c r="AA612" s="13">
        <f>IF(ROWS($AA$2:$AA612)&lt;=MAX('Per Line'!$AO$2:$AO$4001),MATCH(ROWS($AA$2:$AA612),'Per Line'!$AO$2:$AO$4001,0),"")</f>
        <v/>
      </c>
      <c r="AB612" s="14">
        <f>IF($AA612="","",L612-K612*Y612/100)</f>
        <v/>
      </c>
    </row>
    <row r="613">
      <c r="A613" s="12" t="n"/>
      <c r="B613">
        <f>IF($AA613="","",INDEX('Per Line'!$E$2:$E$4001,$AA613)&amp;"")</f>
        <v/>
      </c>
      <c r="C613">
        <f>IF($AA613="","",INDEX('Per Line'!$A$2:$A$4001,$AA613)&amp;"")</f>
        <v/>
      </c>
      <c r="D613">
        <f>IF($AA613="","",INDEX('Per Line'!$D$2:$D$4001,$AA613)&amp;"")</f>
        <v/>
      </c>
      <c r="E613" s="11">
        <f>IF($AA613="","",INDEX('Per Line'!$G$2:$G$4001,$AA613))</f>
        <v/>
      </c>
      <c r="F613">
        <f>IF($AA613="","",INDEX('Per Line'!$H$2:$H$4001,$AA613)&amp;"")</f>
        <v/>
      </c>
      <c r="G613">
        <f>IF($AA613="","",INDEX('Per Line'!$I$2:$I$4001,$AA613)&amp;"")</f>
        <v/>
      </c>
      <c r="H613">
        <f>IF($AA613="","",INDEX('Per Line'!$J$2:$J$4001,$AA613)&amp;"")</f>
        <v/>
      </c>
      <c r="I613">
        <f>IF($AA613="","",INDEX('Per Line'!$K$2:$K$4001,$AA613)&amp;"")</f>
        <v/>
      </c>
      <c r="J613">
        <f>IF($AA613="","",INDEX('Per Line'!$L$2:$L$4001,$AA613)&amp;"")</f>
        <v/>
      </c>
      <c r="K613">
        <f>IF($AA613="","",INDEX('Per Line'!$P$2:$P$4001,$AA613))</f>
        <v/>
      </c>
      <c r="L613" s="7">
        <f>IF($AA613="","",IF(AND(ISNUMBER(N613),N613&gt;0,Y613&gt;N613),K613*N613/100+(Y613-N613),K613*Y613/100))</f>
        <v/>
      </c>
      <c r="M613">
        <f>IF($AA613="","",INDEX('Per Line'!$Z$2:$Z$4001,$AA613)&amp;"")</f>
        <v/>
      </c>
      <c r="N613">
        <f>IF($AA613="","",INDEX('Per Line'!$AG$2:$AG$4001,$AA613))</f>
        <v/>
      </c>
      <c r="O613">
        <f>IF($AA613="","",IF(AND(ISNUMBER(N613),N613&gt;0),Y613&gt;N613,FALSE))</f>
        <v/>
      </c>
      <c r="P613" s="7">
        <f>IF($AA613="","",SUMIFS('Per Line'!$Y$2:$Y$4001,'Per Line'!$E$2:$E$4001,$B613,'Per Line'!$AQ$2:$AQ$4001,1))</f>
        <v/>
      </c>
      <c r="Q613">
        <f>IF($AA613="","",Settings!$C$7)</f>
        <v/>
      </c>
      <c r="R613" s="7">
        <f>IF($AA613="","",SUMIFS('Per Line'!$Y$2:$Y$4001,'Per Line'!$E$2:$E$4001,$B613,'Per Line'!$AP$2:$AP$4001,0,'Per Line'!$AQ$2:$AQ$4001,0))</f>
        <v/>
      </c>
      <c r="S613" s="7">
        <f>IF($AA613="","",R613*Q613)</f>
        <v/>
      </c>
      <c r="T613">
        <f>IF($AA613="","",Settings!$C$6)</f>
        <v/>
      </c>
      <c r="U613" s="7">
        <f>IF($AA613="","",SUMIFS('Per Line'!$Y$2:$Y$4001,'Per Line'!$E$2:$E$4001,$B613,'Per Line'!$AP$2:$AP$4001,1,'Per Line'!$AQ$2:$AQ$4001,0))</f>
        <v/>
      </c>
      <c r="V613" s="7">
        <f>IF($AA613="","",U613*T613)</f>
        <v/>
      </c>
      <c r="W613" s="7">
        <f>IF($AA613="","",V613+S613)</f>
        <v/>
      </c>
      <c r="X613" s="7">
        <f>IF($AA613="","",Y613-W613)</f>
        <v/>
      </c>
      <c r="Y613" s="7">
        <f>IF($AA613="","",R613+U613+P613)</f>
        <v/>
      </c>
      <c r="Z613" s="7">
        <f>IF($AA613="","",Y613-W613-L613)</f>
        <v/>
      </c>
      <c r="AA613" s="13">
        <f>IF(ROWS($AA$2:$AA613)&lt;=MAX('Per Line'!$AO$2:$AO$4001),MATCH(ROWS($AA$2:$AA613),'Per Line'!$AO$2:$AO$4001,0),"")</f>
        <v/>
      </c>
      <c r="AB613" s="14">
        <f>IF($AA613="","",L613-K613*Y613/100)</f>
        <v/>
      </c>
    </row>
    <row r="614">
      <c r="A614" s="12" t="n"/>
      <c r="B614">
        <f>IF($AA614="","",INDEX('Per Line'!$E$2:$E$4001,$AA614)&amp;"")</f>
        <v/>
      </c>
      <c r="C614">
        <f>IF($AA614="","",INDEX('Per Line'!$A$2:$A$4001,$AA614)&amp;"")</f>
        <v/>
      </c>
      <c r="D614">
        <f>IF($AA614="","",INDEX('Per Line'!$D$2:$D$4001,$AA614)&amp;"")</f>
        <v/>
      </c>
      <c r="E614" s="11">
        <f>IF($AA614="","",INDEX('Per Line'!$G$2:$G$4001,$AA614))</f>
        <v/>
      </c>
      <c r="F614">
        <f>IF($AA614="","",INDEX('Per Line'!$H$2:$H$4001,$AA614)&amp;"")</f>
        <v/>
      </c>
      <c r="G614">
        <f>IF($AA614="","",INDEX('Per Line'!$I$2:$I$4001,$AA614)&amp;"")</f>
        <v/>
      </c>
      <c r="H614">
        <f>IF($AA614="","",INDEX('Per Line'!$J$2:$J$4001,$AA614)&amp;"")</f>
        <v/>
      </c>
      <c r="I614">
        <f>IF($AA614="","",INDEX('Per Line'!$K$2:$K$4001,$AA614)&amp;"")</f>
        <v/>
      </c>
      <c r="J614">
        <f>IF($AA614="","",INDEX('Per Line'!$L$2:$L$4001,$AA614)&amp;"")</f>
        <v/>
      </c>
      <c r="K614">
        <f>IF($AA614="","",INDEX('Per Line'!$P$2:$P$4001,$AA614))</f>
        <v/>
      </c>
      <c r="L614" s="7">
        <f>IF($AA614="","",IF(AND(ISNUMBER(N614),N614&gt;0,Y614&gt;N614),K614*N614/100+(Y614-N614),K614*Y614/100))</f>
        <v/>
      </c>
      <c r="M614">
        <f>IF($AA614="","",INDEX('Per Line'!$Z$2:$Z$4001,$AA614)&amp;"")</f>
        <v/>
      </c>
      <c r="N614">
        <f>IF($AA614="","",INDEX('Per Line'!$AG$2:$AG$4001,$AA614))</f>
        <v/>
      </c>
      <c r="O614">
        <f>IF($AA614="","",IF(AND(ISNUMBER(N614),N614&gt;0),Y614&gt;N614,FALSE))</f>
        <v/>
      </c>
      <c r="P614" s="7">
        <f>IF($AA614="","",SUMIFS('Per Line'!$Y$2:$Y$4001,'Per Line'!$E$2:$E$4001,$B614,'Per Line'!$AQ$2:$AQ$4001,1))</f>
        <v/>
      </c>
      <c r="Q614">
        <f>IF($AA614="","",Settings!$C$7)</f>
        <v/>
      </c>
      <c r="R614" s="7">
        <f>IF($AA614="","",SUMIFS('Per Line'!$Y$2:$Y$4001,'Per Line'!$E$2:$E$4001,$B614,'Per Line'!$AP$2:$AP$4001,0,'Per Line'!$AQ$2:$AQ$4001,0))</f>
        <v/>
      </c>
      <c r="S614" s="7">
        <f>IF($AA614="","",R614*Q614)</f>
        <v/>
      </c>
      <c r="T614">
        <f>IF($AA614="","",Settings!$C$6)</f>
        <v/>
      </c>
      <c r="U614" s="7">
        <f>IF($AA614="","",SUMIFS('Per Line'!$Y$2:$Y$4001,'Per Line'!$E$2:$E$4001,$B614,'Per Line'!$AP$2:$AP$4001,1,'Per Line'!$AQ$2:$AQ$4001,0))</f>
        <v/>
      </c>
      <c r="V614" s="7">
        <f>IF($AA614="","",U614*T614)</f>
        <v/>
      </c>
      <c r="W614" s="7">
        <f>IF($AA614="","",V614+S614)</f>
        <v/>
      </c>
      <c r="X614" s="7">
        <f>IF($AA614="","",Y614-W614)</f>
        <v/>
      </c>
      <c r="Y614" s="7">
        <f>IF($AA614="","",R614+U614+P614)</f>
        <v/>
      </c>
      <c r="Z614" s="7">
        <f>IF($AA614="","",Y614-W614-L614)</f>
        <v/>
      </c>
      <c r="AA614" s="13">
        <f>IF(ROWS($AA$2:$AA614)&lt;=MAX('Per Line'!$AO$2:$AO$4001),MATCH(ROWS($AA$2:$AA614),'Per Line'!$AO$2:$AO$4001,0),"")</f>
        <v/>
      </c>
      <c r="AB614" s="14">
        <f>IF($AA614="","",L614-K614*Y614/100)</f>
        <v/>
      </c>
    </row>
    <row r="615">
      <c r="A615" s="12" t="n"/>
      <c r="B615">
        <f>IF($AA615="","",INDEX('Per Line'!$E$2:$E$4001,$AA615)&amp;"")</f>
        <v/>
      </c>
      <c r="C615">
        <f>IF($AA615="","",INDEX('Per Line'!$A$2:$A$4001,$AA615)&amp;"")</f>
        <v/>
      </c>
      <c r="D615">
        <f>IF($AA615="","",INDEX('Per Line'!$D$2:$D$4001,$AA615)&amp;"")</f>
        <v/>
      </c>
      <c r="E615" s="11">
        <f>IF($AA615="","",INDEX('Per Line'!$G$2:$G$4001,$AA615))</f>
        <v/>
      </c>
      <c r="F615">
        <f>IF($AA615="","",INDEX('Per Line'!$H$2:$H$4001,$AA615)&amp;"")</f>
        <v/>
      </c>
      <c r="G615">
        <f>IF($AA615="","",INDEX('Per Line'!$I$2:$I$4001,$AA615)&amp;"")</f>
        <v/>
      </c>
      <c r="H615">
        <f>IF($AA615="","",INDEX('Per Line'!$J$2:$J$4001,$AA615)&amp;"")</f>
        <v/>
      </c>
      <c r="I615">
        <f>IF($AA615="","",INDEX('Per Line'!$K$2:$K$4001,$AA615)&amp;"")</f>
        <v/>
      </c>
      <c r="J615">
        <f>IF($AA615="","",INDEX('Per Line'!$L$2:$L$4001,$AA615)&amp;"")</f>
        <v/>
      </c>
      <c r="K615">
        <f>IF($AA615="","",INDEX('Per Line'!$P$2:$P$4001,$AA615))</f>
        <v/>
      </c>
      <c r="L615" s="7">
        <f>IF($AA615="","",IF(AND(ISNUMBER(N615),N615&gt;0,Y615&gt;N615),K615*N615/100+(Y615-N615),K615*Y615/100))</f>
        <v/>
      </c>
      <c r="M615">
        <f>IF($AA615="","",INDEX('Per Line'!$Z$2:$Z$4001,$AA615)&amp;"")</f>
        <v/>
      </c>
      <c r="N615">
        <f>IF($AA615="","",INDEX('Per Line'!$AG$2:$AG$4001,$AA615))</f>
        <v/>
      </c>
      <c r="O615">
        <f>IF($AA615="","",IF(AND(ISNUMBER(N615),N615&gt;0),Y615&gt;N615,FALSE))</f>
        <v/>
      </c>
      <c r="P615" s="7">
        <f>IF($AA615="","",SUMIFS('Per Line'!$Y$2:$Y$4001,'Per Line'!$E$2:$E$4001,$B615,'Per Line'!$AQ$2:$AQ$4001,1))</f>
        <v/>
      </c>
      <c r="Q615">
        <f>IF($AA615="","",Settings!$C$7)</f>
        <v/>
      </c>
      <c r="R615" s="7">
        <f>IF($AA615="","",SUMIFS('Per Line'!$Y$2:$Y$4001,'Per Line'!$E$2:$E$4001,$B615,'Per Line'!$AP$2:$AP$4001,0,'Per Line'!$AQ$2:$AQ$4001,0))</f>
        <v/>
      </c>
      <c r="S615" s="7">
        <f>IF($AA615="","",R615*Q615)</f>
        <v/>
      </c>
      <c r="T615">
        <f>IF($AA615="","",Settings!$C$6)</f>
        <v/>
      </c>
      <c r="U615" s="7">
        <f>IF($AA615="","",SUMIFS('Per Line'!$Y$2:$Y$4001,'Per Line'!$E$2:$E$4001,$B615,'Per Line'!$AP$2:$AP$4001,1,'Per Line'!$AQ$2:$AQ$4001,0))</f>
        <v/>
      </c>
      <c r="V615" s="7">
        <f>IF($AA615="","",U615*T615)</f>
        <v/>
      </c>
      <c r="W615" s="7">
        <f>IF($AA615="","",V615+S615)</f>
        <v/>
      </c>
      <c r="X615" s="7">
        <f>IF($AA615="","",Y615-W615)</f>
        <v/>
      </c>
      <c r="Y615" s="7">
        <f>IF($AA615="","",R615+U615+P615)</f>
        <v/>
      </c>
      <c r="Z615" s="7">
        <f>IF($AA615="","",Y615-W615-L615)</f>
        <v/>
      </c>
      <c r="AA615" s="13">
        <f>IF(ROWS($AA$2:$AA615)&lt;=MAX('Per Line'!$AO$2:$AO$4001),MATCH(ROWS($AA$2:$AA615),'Per Line'!$AO$2:$AO$4001,0),"")</f>
        <v/>
      </c>
      <c r="AB615" s="14">
        <f>IF($AA615="","",L615-K615*Y615/100)</f>
        <v/>
      </c>
    </row>
    <row r="616">
      <c r="A616" s="12" t="n"/>
      <c r="B616">
        <f>IF($AA616="","",INDEX('Per Line'!$E$2:$E$4001,$AA616)&amp;"")</f>
        <v/>
      </c>
      <c r="C616">
        <f>IF($AA616="","",INDEX('Per Line'!$A$2:$A$4001,$AA616)&amp;"")</f>
        <v/>
      </c>
      <c r="D616">
        <f>IF($AA616="","",INDEX('Per Line'!$D$2:$D$4001,$AA616)&amp;"")</f>
        <v/>
      </c>
      <c r="E616" s="11">
        <f>IF($AA616="","",INDEX('Per Line'!$G$2:$G$4001,$AA616))</f>
        <v/>
      </c>
      <c r="F616">
        <f>IF($AA616="","",INDEX('Per Line'!$H$2:$H$4001,$AA616)&amp;"")</f>
        <v/>
      </c>
      <c r="G616">
        <f>IF($AA616="","",INDEX('Per Line'!$I$2:$I$4001,$AA616)&amp;"")</f>
        <v/>
      </c>
      <c r="H616">
        <f>IF($AA616="","",INDEX('Per Line'!$J$2:$J$4001,$AA616)&amp;"")</f>
        <v/>
      </c>
      <c r="I616">
        <f>IF($AA616="","",INDEX('Per Line'!$K$2:$K$4001,$AA616)&amp;"")</f>
        <v/>
      </c>
      <c r="J616">
        <f>IF($AA616="","",INDEX('Per Line'!$L$2:$L$4001,$AA616)&amp;"")</f>
        <v/>
      </c>
      <c r="K616">
        <f>IF($AA616="","",INDEX('Per Line'!$P$2:$P$4001,$AA616))</f>
        <v/>
      </c>
      <c r="L616" s="7">
        <f>IF($AA616="","",IF(AND(ISNUMBER(N616),N616&gt;0,Y616&gt;N616),K616*N616/100+(Y616-N616),K616*Y616/100))</f>
        <v/>
      </c>
      <c r="M616">
        <f>IF($AA616="","",INDEX('Per Line'!$Z$2:$Z$4001,$AA616)&amp;"")</f>
        <v/>
      </c>
      <c r="N616">
        <f>IF($AA616="","",INDEX('Per Line'!$AG$2:$AG$4001,$AA616))</f>
        <v/>
      </c>
      <c r="O616">
        <f>IF($AA616="","",IF(AND(ISNUMBER(N616),N616&gt;0),Y616&gt;N616,FALSE))</f>
        <v/>
      </c>
      <c r="P616" s="7">
        <f>IF($AA616="","",SUMIFS('Per Line'!$Y$2:$Y$4001,'Per Line'!$E$2:$E$4001,$B616,'Per Line'!$AQ$2:$AQ$4001,1))</f>
        <v/>
      </c>
      <c r="Q616">
        <f>IF($AA616="","",Settings!$C$7)</f>
        <v/>
      </c>
      <c r="R616" s="7">
        <f>IF($AA616="","",SUMIFS('Per Line'!$Y$2:$Y$4001,'Per Line'!$E$2:$E$4001,$B616,'Per Line'!$AP$2:$AP$4001,0,'Per Line'!$AQ$2:$AQ$4001,0))</f>
        <v/>
      </c>
      <c r="S616" s="7">
        <f>IF($AA616="","",R616*Q616)</f>
        <v/>
      </c>
      <c r="T616">
        <f>IF($AA616="","",Settings!$C$6)</f>
        <v/>
      </c>
      <c r="U616" s="7">
        <f>IF($AA616="","",SUMIFS('Per Line'!$Y$2:$Y$4001,'Per Line'!$E$2:$E$4001,$B616,'Per Line'!$AP$2:$AP$4001,1,'Per Line'!$AQ$2:$AQ$4001,0))</f>
        <v/>
      </c>
      <c r="V616" s="7">
        <f>IF($AA616="","",U616*T616)</f>
        <v/>
      </c>
      <c r="W616" s="7">
        <f>IF($AA616="","",V616+S616)</f>
        <v/>
      </c>
      <c r="X616" s="7">
        <f>IF($AA616="","",Y616-W616)</f>
        <v/>
      </c>
      <c r="Y616" s="7">
        <f>IF($AA616="","",R616+U616+P616)</f>
        <v/>
      </c>
      <c r="Z616" s="7">
        <f>IF($AA616="","",Y616-W616-L616)</f>
        <v/>
      </c>
      <c r="AA616" s="13">
        <f>IF(ROWS($AA$2:$AA616)&lt;=MAX('Per Line'!$AO$2:$AO$4001),MATCH(ROWS($AA$2:$AA616),'Per Line'!$AO$2:$AO$4001,0),"")</f>
        <v/>
      </c>
      <c r="AB616" s="14">
        <f>IF($AA616="","",L616-K616*Y616/100)</f>
        <v/>
      </c>
    </row>
    <row r="617">
      <c r="A617" s="12" t="n"/>
      <c r="B617">
        <f>IF($AA617="","",INDEX('Per Line'!$E$2:$E$4001,$AA617)&amp;"")</f>
        <v/>
      </c>
      <c r="C617">
        <f>IF($AA617="","",INDEX('Per Line'!$A$2:$A$4001,$AA617)&amp;"")</f>
        <v/>
      </c>
      <c r="D617">
        <f>IF($AA617="","",INDEX('Per Line'!$D$2:$D$4001,$AA617)&amp;"")</f>
        <v/>
      </c>
      <c r="E617" s="11">
        <f>IF($AA617="","",INDEX('Per Line'!$G$2:$G$4001,$AA617))</f>
        <v/>
      </c>
      <c r="F617">
        <f>IF($AA617="","",INDEX('Per Line'!$H$2:$H$4001,$AA617)&amp;"")</f>
        <v/>
      </c>
      <c r="G617">
        <f>IF($AA617="","",INDEX('Per Line'!$I$2:$I$4001,$AA617)&amp;"")</f>
        <v/>
      </c>
      <c r="H617">
        <f>IF($AA617="","",INDEX('Per Line'!$J$2:$J$4001,$AA617)&amp;"")</f>
        <v/>
      </c>
      <c r="I617">
        <f>IF($AA617="","",INDEX('Per Line'!$K$2:$K$4001,$AA617)&amp;"")</f>
        <v/>
      </c>
      <c r="J617">
        <f>IF($AA617="","",INDEX('Per Line'!$L$2:$L$4001,$AA617)&amp;"")</f>
        <v/>
      </c>
      <c r="K617">
        <f>IF($AA617="","",INDEX('Per Line'!$P$2:$P$4001,$AA617))</f>
        <v/>
      </c>
      <c r="L617" s="7">
        <f>IF($AA617="","",IF(AND(ISNUMBER(N617),N617&gt;0,Y617&gt;N617),K617*N617/100+(Y617-N617),K617*Y617/100))</f>
        <v/>
      </c>
      <c r="M617">
        <f>IF($AA617="","",INDEX('Per Line'!$Z$2:$Z$4001,$AA617)&amp;"")</f>
        <v/>
      </c>
      <c r="N617">
        <f>IF($AA617="","",INDEX('Per Line'!$AG$2:$AG$4001,$AA617))</f>
        <v/>
      </c>
      <c r="O617">
        <f>IF($AA617="","",IF(AND(ISNUMBER(N617),N617&gt;0),Y617&gt;N617,FALSE))</f>
        <v/>
      </c>
      <c r="P617" s="7">
        <f>IF($AA617="","",SUMIFS('Per Line'!$Y$2:$Y$4001,'Per Line'!$E$2:$E$4001,$B617,'Per Line'!$AQ$2:$AQ$4001,1))</f>
        <v/>
      </c>
      <c r="Q617">
        <f>IF($AA617="","",Settings!$C$7)</f>
        <v/>
      </c>
      <c r="R617" s="7">
        <f>IF($AA617="","",SUMIFS('Per Line'!$Y$2:$Y$4001,'Per Line'!$E$2:$E$4001,$B617,'Per Line'!$AP$2:$AP$4001,0,'Per Line'!$AQ$2:$AQ$4001,0))</f>
        <v/>
      </c>
      <c r="S617" s="7">
        <f>IF($AA617="","",R617*Q617)</f>
        <v/>
      </c>
      <c r="T617">
        <f>IF($AA617="","",Settings!$C$6)</f>
        <v/>
      </c>
      <c r="U617" s="7">
        <f>IF($AA617="","",SUMIFS('Per Line'!$Y$2:$Y$4001,'Per Line'!$E$2:$E$4001,$B617,'Per Line'!$AP$2:$AP$4001,1,'Per Line'!$AQ$2:$AQ$4001,0))</f>
        <v/>
      </c>
      <c r="V617" s="7">
        <f>IF($AA617="","",U617*T617)</f>
        <v/>
      </c>
      <c r="W617" s="7">
        <f>IF($AA617="","",V617+S617)</f>
        <v/>
      </c>
      <c r="X617" s="7">
        <f>IF($AA617="","",Y617-W617)</f>
        <v/>
      </c>
      <c r="Y617" s="7">
        <f>IF($AA617="","",R617+U617+P617)</f>
        <v/>
      </c>
      <c r="Z617" s="7">
        <f>IF($AA617="","",Y617-W617-L617)</f>
        <v/>
      </c>
      <c r="AA617" s="13">
        <f>IF(ROWS($AA$2:$AA617)&lt;=MAX('Per Line'!$AO$2:$AO$4001),MATCH(ROWS($AA$2:$AA617),'Per Line'!$AO$2:$AO$4001,0),"")</f>
        <v/>
      </c>
      <c r="AB617" s="14">
        <f>IF($AA617="","",L617-K617*Y617/100)</f>
        <v/>
      </c>
    </row>
    <row r="618">
      <c r="A618" s="12" t="n"/>
      <c r="B618">
        <f>IF($AA618="","",INDEX('Per Line'!$E$2:$E$4001,$AA618)&amp;"")</f>
        <v/>
      </c>
      <c r="C618">
        <f>IF($AA618="","",INDEX('Per Line'!$A$2:$A$4001,$AA618)&amp;"")</f>
        <v/>
      </c>
      <c r="D618">
        <f>IF($AA618="","",INDEX('Per Line'!$D$2:$D$4001,$AA618)&amp;"")</f>
        <v/>
      </c>
      <c r="E618" s="11">
        <f>IF($AA618="","",INDEX('Per Line'!$G$2:$G$4001,$AA618))</f>
        <v/>
      </c>
      <c r="F618">
        <f>IF($AA618="","",INDEX('Per Line'!$H$2:$H$4001,$AA618)&amp;"")</f>
        <v/>
      </c>
      <c r="G618">
        <f>IF($AA618="","",INDEX('Per Line'!$I$2:$I$4001,$AA618)&amp;"")</f>
        <v/>
      </c>
      <c r="H618">
        <f>IF($AA618="","",INDEX('Per Line'!$J$2:$J$4001,$AA618)&amp;"")</f>
        <v/>
      </c>
      <c r="I618">
        <f>IF($AA618="","",INDEX('Per Line'!$K$2:$K$4001,$AA618)&amp;"")</f>
        <v/>
      </c>
      <c r="J618">
        <f>IF($AA618="","",INDEX('Per Line'!$L$2:$L$4001,$AA618)&amp;"")</f>
        <v/>
      </c>
      <c r="K618">
        <f>IF($AA618="","",INDEX('Per Line'!$P$2:$P$4001,$AA618))</f>
        <v/>
      </c>
      <c r="L618" s="7">
        <f>IF($AA618="","",IF(AND(ISNUMBER(N618),N618&gt;0,Y618&gt;N618),K618*N618/100+(Y618-N618),K618*Y618/100))</f>
        <v/>
      </c>
      <c r="M618">
        <f>IF($AA618="","",INDEX('Per Line'!$Z$2:$Z$4001,$AA618)&amp;"")</f>
        <v/>
      </c>
      <c r="N618">
        <f>IF($AA618="","",INDEX('Per Line'!$AG$2:$AG$4001,$AA618))</f>
        <v/>
      </c>
      <c r="O618">
        <f>IF($AA618="","",IF(AND(ISNUMBER(N618),N618&gt;0),Y618&gt;N618,FALSE))</f>
        <v/>
      </c>
      <c r="P618" s="7">
        <f>IF($AA618="","",SUMIFS('Per Line'!$Y$2:$Y$4001,'Per Line'!$E$2:$E$4001,$B618,'Per Line'!$AQ$2:$AQ$4001,1))</f>
        <v/>
      </c>
      <c r="Q618">
        <f>IF($AA618="","",Settings!$C$7)</f>
        <v/>
      </c>
      <c r="R618" s="7">
        <f>IF($AA618="","",SUMIFS('Per Line'!$Y$2:$Y$4001,'Per Line'!$E$2:$E$4001,$B618,'Per Line'!$AP$2:$AP$4001,0,'Per Line'!$AQ$2:$AQ$4001,0))</f>
        <v/>
      </c>
      <c r="S618" s="7">
        <f>IF($AA618="","",R618*Q618)</f>
        <v/>
      </c>
      <c r="T618">
        <f>IF($AA618="","",Settings!$C$6)</f>
        <v/>
      </c>
      <c r="U618" s="7">
        <f>IF($AA618="","",SUMIFS('Per Line'!$Y$2:$Y$4001,'Per Line'!$E$2:$E$4001,$B618,'Per Line'!$AP$2:$AP$4001,1,'Per Line'!$AQ$2:$AQ$4001,0))</f>
        <v/>
      </c>
      <c r="V618" s="7">
        <f>IF($AA618="","",U618*T618)</f>
        <v/>
      </c>
      <c r="W618" s="7">
        <f>IF($AA618="","",V618+S618)</f>
        <v/>
      </c>
      <c r="X618" s="7">
        <f>IF($AA618="","",Y618-W618)</f>
        <v/>
      </c>
      <c r="Y618" s="7">
        <f>IF($AA618="","",R618+U618+P618)</f>
        <v/>
      </c>
      <c r="Z618" s="7">
        <f>IF($AA618="","",Y618-W618-L618)</f>
        <v/>
      </c>
      <c r="AA618" s="13">
        <f>IF(ROWS($AA$2:$AA618)&lt;=MAX('Per Line'!$AO$2:$AO$4001),MATCH(ROWS($AA$2:$AA618),'Per Line'!$AO$2:$AO$4001,0),"")</f>
        <v/>
      </c>
      <c r="AB618" s="14">
        <f>IF($AA618="","",L618-K618*Y618/100)</f>
        <v/>
      </c>
    </row>
    <row r="619">
      <c r="A619" s="12" t="n"/>
      <c r="B619">
        <f>IF($AA619="","",INDEX('Per Line'!$E$2:$E$4001,$AA619)&amp;"")</f>
        <v/>
      </c>
      <c r="C619">
        <f>IF($AA619="","",INDEX('Per Line'!$A$2:$A$4001,$AA619)&amp;"")</f>
        <v/>
      </c>
      <c r="D619">
        <f>IF($AA619="","",INDEX('Per Line'!$D$2:$D$4001,$AA619)&amp;"")</f>
        <v/>
      </c>
      <c r="E619" s="11">
        <f>IF($AA619="","",INDEX('Per Line'!$G$2:$G$4001,$AA619))</f>
        <v/>
      </c>
      <c r="F619">
        <f>IF($AA619="","",INDEX('Per Line'!$H$2:$H$4001,$AA619)&amp;"")</f>
        <v/>
      </c>
      <c r="G619">
        <f>IF($AA619="","",INDEX('Per Line'!$I$2:$I$4001,$AA619)&amp;"")</f>
        <v/>
      </c>
      <c r="H619">
        <f>IF($AA619="","",INDEX('Per Line'!$J$2:$J$4001,$AA619)&amp;"")</f>
        <v/>
      </c>
      <c r="I619">
        <f>IF($AA619="","",INDEX('Per Line'!$K$2:$K$4001,$AA619)&amp;"")</f>
        <v/>
      </c>
      <c r="J619">
        <f>IF($AA619="","",INDEX('Per Line'!$L$2:$L$4001,$AA619)&amp;"")</f>
        <v/>
      </c>
      <c r="K619">
        <f>IF($AA619="","",INDEX('Per Line'!$P$2:$P$4001,$AA619))</f>
        <v/>
      </c>
      <c r="L619" s="7">
        <f>IF($AA619="","",IF(AND(ISNUMBER(N619),N619&gt;0,Y619&gt;N619),K619*N619/100+(Y619-N619),K619*Y619/100))</f>
        <v/>
      </c>
      <c r="M619">
        <f>IF($AA619="","",INDEX('Per Line'!$Z$2:$Z$4001,$AA619)&amp;"")</f>
        <v/>
      </c>
      <c r="N619">
        <f>IF($AA619="","",INDEX('Per Line'!$AG$2:$AG$4001,$AA619))</f>
        <v/>
      </c>
      <c r="O619">
        <f>IF($AA619="","",IF(AND(ISNUMBER(N619),N619&gt;0),Y619&gt;N619,FALSE))</f>
        <v/>
      </c>
      <c r="P619" s="7">
        <f>IF($AA619="","",SUMIFS('Per Line'!$Y$2:$Y$4001,'Per Line'!$E$2:$E$4001,$B619,'Per Line'!$AQ$2:$AQ$4001,1))</f>
        <v/>
      </c>
      <c r="Q619">
        <f>IF($AA619="","",Settings!$C$7)</f>
        <v/>
      </c>
      <c r="R619" s="7">
        <f>IF($AA619="","",SUMIFS('Per Line'!$Y$2:$Y$4001,'Per Line'!$E$2:$E$4001,$B619,'Per Line'!$AP$2:$AP$4001,0,'Per Line'!$AQ$2:$AQ$4001,0))</f>
        <v/>
      </c>
      <c r="S619" s="7">
        <f>IF($AA619="","",R619*Q619)</f>
        <v/>
      </c>
      <c r="T619">
        <f>IF($AA619="","",Settings!$C$6)</f>
        <v/>
      </c>
      <c r="U619" s="7">
        <f>IF($AA619="","",SUMIFS('Per Line'!$Y$2:$Y$4001,'Per Line'!$E$2:$E$4001,$B619,'Per Line'!$AP$2:$AP$4001,1,'Per Line'!$AQ$2:$AQ$4001,0))</f>
        <v/>
      </c>
      <c r="V619" s="7">
        <f>IF($AA619="","",U619*T619)</f>
        <v/>
      </c>
      <c r="W619" s="7">
        <f>IF($AA619="","",V619+S619)</f>
        <v/>
      </c>
      <c r="X619" s="7">
        <f>IF($AA619="","",Y619-W619)</f>
        <v/>
      </c>
      <c r="Y619" s="7">
        <f>IF($AA619="","",R619+U619+P619)</f>
        <v/>
      </c>
      <c r="Z619" s="7">
        <f>IF($AA619="","",Y619-W619-L619)</f>
        <v/>
      </c>
      <c r="AA619" s="13">
        <f>IF(ROWS($AA$2:$AA619)&lt;=MAX('Per Line'!$AO$2:$AO$4001),MATCH(ROWS($AA$2:$AA619),'Per Line'!$AO$2:$AO$4001,0),"")</f>
        <v/>
      </c>
      <c r="AB619" s="14">
        <f>IF($AA619="","",L619-K619*Y619/100)</f>
        <v/>
      </c>
    </row>
    <row r="620">
      <c r="A620" s="12" t="n"/>
      <c r="B620">
        <f>IF($AA620="","",INDEX('Per Line'!$E$2:$E$4001,$AA620)&amp;"")</f>
        <v/>
      </c>
      <c r="C620">
        <f>IF($AA620="","",INDEX('Per Line'!$A$2:$A$4001,$AA620)&amp;"")</f>
        <v/>
      </c>
      <c r="D620">
        <f>IF($AA620="","",INDEX('Per Line'!$D$2:$D$4001,$AA620)&amp;"")</f>
        <v/>
      </c>
      <c r="E620" s="11">
        <f>IF($AA620="","",INDEX('Per Line'!$G$2:$G$4001,$AA620))</f>
        <v/>
      </c>
      <c r="F620">
        <f>IF($AA620="","",INDEX('Per Line'!$H$2:$H$4001,$AA620)&amp;"")</f>
        <v/>
      </c>
      <c r="G620">
        <f>IF($AA620="","",INDEX('Per Line'!$I$2:$I$4001,$AA620)&amp;"")</f>
        <v/>
      </c>
      <c r="H620">
        <f>IF($AA620="","",INDEX('Per Line'!$J$2:$J$4001,$AA620)&amp;"")</f>
        <v/>
      </c>
      <c r="I620">
        <f>IF($AA620="","",INDEX('Per Line'!$K$2:$K$4001,$AA620)&amp;"")</f>
        <v/>
      </c>
      <c r="J620">
        <f>IF($AA620="","",INDEX('Per Line'!$L$2:$L$4001,$AA620)&amp;"")</f>
        <v/>
      </c>
      <c r="K620">
        <f>IF($AA620="","",INDEX('Per Line'!$P$2:$P$4001,$AA620))</f>
        <v/>
      </c>
      <c r="L620" s="7">
        <f>IF($AA620="","",IF(AND(ISNUMBER(N620),N620&gt;0,Y620&gt;N620),K620*N620/100+(Y620-N620),K620*Y620/100))</f>
        <v/>
      </c>
      <c r="M620">
        <f>IF($AA620="","",INDEX('Per Line'!$Z$2:$Z$4001,$AA620)&amp;"")</f>
        <v/>
      </c>
      <c r="N620">
        <f>IF($AA620="","",INDEX('Per Line'!$AG$2:$AG$4001,$AA620))</f>
        <v/>
      </c>
      <c r="O620">
        <f>IF($AA620="","",IF(AND(ISNUMBER(N620),N620&gt;0),Y620&gt;N620,FALSE))</f>
        <v/>
      </c>
      <c r="P620" s="7">
        <f>IF($AA620="","",SUMIFS('Per Line'!$Y$2:$Y$4001,'Per Line'!$E$2:$E$4001,$B620,'Per Line'!$AQ$2:$AQ$4001,1))</f>
        <v/>
      </c>
      <c r="Q620">
        <f>IF($AA620="","",Settings!$C$7)</f>
        <v/>
      </c>
      <c r="R620" s="7">
        <f>IF($AA620="","",SUMIFS('Per Line'!$Y$2:$Y$4001,'Per Line'!$E$2:$E$4001,$B620,'Per Line'!$AP$2:$AP$4001,0,'Per Line'!$AQ$2:$AQ$4001,0))</f>
        <v/>
      </c>
      <c r="S620" s="7">
        <f>IF($AA620="","",R620*Q620)</f>
        <v/>
      </c>
      <c r="T620">
        <f>IF($AA620="","",Settings!$C$6)</f>
        <v/>
      </c>
      <c r="U620" s="7">
        <f>IF($AA620="","",SUMIFS('Per Line'!$Y$2:$Y$4001,'Per Line'!$E$2:$E$4001,$B620,'Per Line'!$AP$2:$AP$4001,1,'Per Line'!$AQ$2:$AQ$4001,0))</f>
        <v/>
      </c>
      <c r="V620" s="7">
        <f>IF($AA620="","",U620*T620)</f>
        <v/>
      </c>
      <c r="W620" s="7">
        <f>IF($AA620="","",V620+S620)</f>
        <v/>
      </c>
      <c r="X620" s="7">
        <f>IF($AA620="","",Y620-W620)</f>
        <v/>
      </c>
      <c r="Y620" s="7">
        <f>IF($AA620="","",R620+U620+P620)</f>
        <v/>
      </c>
      <c r="Z620" s="7">
        <f>IF($AA620="","",Y620-W620-L620)</f>
        <v/>
      </c>
      <c r="AA620" s="13">
        <f>IF(ROWS($AA$2:$AA620)&lt;=MAX('Per Line'!$AO$2:$AO$4001),MATCH(ROWS($AA$2:$AA620),'Per Line'!$AO$2:$AO$4001,0),"")</f>
        <v/>
      </c>
      <c r="AB620" s="14">
        <f>IF($AA620="","",L620-K620*Y620/100)</f>
        <v/>
      </c>
    </row>
    <row r="621">
      <c r="A621" s="12" t="n"/>
      <c r="B621">
        <f>IF($AA621="","",INDEX('Per Line'!$E$2:$E$4001,$AA621)&amp;"")</f>
        <v/>
      </c>
      <c r="C621">
        <f>IF($AA621="","",INDEX('Per Line'!$A$2:$A$4001,$AA621)&amp;"")</f>
        <v/>
      </c>
      <c r="D621">
        <f>IF($AA621="","",INDEX('Per Line'!$D$2:$D$4001,$AA621)&amp;"")</f>
        <v/>
      </c>
      <c r="E621" s="11">
        <f>IF($AA621="","",INDEX('Per Line'!$G$2:$G$4001,$AA621))</f>
        <v/>
      </c>
      <c r="F621">
        <f>IF($AA621="","",INDEX('Per Line'!$H$2:$H$4001,$AA621)&amp;"")</f>
        <v/>
      </c>
      <c r="G621">
        <f>IF($AA621="","",INDEX('Per Line'!$I$2:$I$4001,$AA621)&amp;"")</f>
        <v/>
      </c>
      <c r="H621">
        <f>IF($AA621="","",INDEX('Per Line'!$J$2:$J$4001,$AA621)&amp;"")</f>
        <v/>
      </c>
      <c r="I621">
        <f>IF($AA621="","",INDEX('Per Line'!$K$2:$K$4001,$AA621)&amp;"")</f>
        <v/>
      </c>
      <c r="J621">
        <f>IF($AA621="","",INDEX('Per Line'!$L$2:$L$4001,$AA621)&amp;"")</f>
        <v/>
      </c>
      <c r="K621">
        <f>IF($AA621="","",INDEX('Per Line'!$P$2:$P$4001,$AA621))</f>
        <v/>
      </c>
      <c r="L621" s="7">
        <f>IF($AA621="","",IF(AND(ISNUMBER(N621),N621&gt;0,Y621&gt;N621),K621*N621/100+(Y621-N621),K621*Y621/100))</f>
        <v/>
      </c>
      <c r="M621">
        <f>IF($AA621="","",INDEX('Per Line'!$Z$2:$Z$4001,$AA621)&amp;"")</f>
        <v/>
      </c>
      <c r="N621">
        <f>IF($AA621="","",INDEX('Per Line'!$AG$2:$AG$4001,$AA621))</f>
        <v/>
      </c>
      <c r="O621">
        <f>IF($AA621="","",IF(AND(ISNUMBER(N621),N621&gt;0),Y621&gt;N621,FALSE))</f>
        <v/>
      </c>
      <c r="P621" s="7">
        <f>IF($AA621="","",SUMIFS('Per Line'!$Y$2:$Y$4001,'Per Line'!$E$2:$E$4001,$B621,'Per Line'!$AQ$2:$AQ$4001,1))</f>
        <v/>
      </c>
      <c r="Q621">
        <f>IF($AA621="","",Settings!$C$7)</f>
        <v/>
      </c>
      <c r="R621" s="7">
        <f>IF($AA621="","",SUMIFS('Per Line'!$Y$2:$Y$4001,'Per Line'!$E$2:$E$4001,$B621,'Per Line'!$AP$2:$AP$4001,0,'Per Line'!$AQ$2:$AQ$4001,0))</f>
        <v/>
      </c>
      <c r="S621" s="7">
        <f>IF($AA621="","",R621*Q621)</f>
        <v/>
      </c>
      <c r="T621">
        <f>IF($AA621="","",Settings!$C$6)</f>
        <v/>
      </c>
      <c r="U621" s="7">
        <f>IF($AA621="","",SUMIFS('Per Line'!$Y$2:$Y$4001,'Per Line'!$E$2:$E$4001,$B621,'Per Line'!$AP$2:$AP$4001,1,'Per Line'!$AQ$2:$AQ$4001,0))</f>
        <v/>
      </c>
      <c r="V621" s="7">
        <f>IF($AA621="","",U621*T621)</f>
        <v/>
      </c>
      <c r="W621" s="7">
        <f>IF($AA621="","",V621+S621)</f>
        <v/>
      </c>
      <c r="X621" s="7">
        <f>IF($AA621="","",Y621-W621)</f>
        <v/>
      </c>
      <c r="Y621" s="7">
        <f>IF($AA621="","",R621+U621+P621)</f>
        <v/>
      </c>
      <c r="Z621" s="7">
        <f>IF($AA621="","",Y621-W621-L621)</f>
        <v/>
      </c>
      <c r="AA621" s="13">
        <f>IF(ROWS($AA$2:$AA621)&lt;=MAX('Per Line'!$AO$2:$AO$4001),MATCH(ROWS($AA$2:$AA621),'Per Line'!$AO$2:$AO$4001,0),"")</f>
        <v/>
      </c>
      <c r="AB621" s="14">
        <f>IF($AA621="","",L621-K621*Y621/100)</f>
        <v/>
      </c>
    </row>
    <row r="622">
      <c r="A622" s="12" t="n"/>
      <c r="B622">
        <f>IF($AA622="","",INDEX('Per Line'!$E$2:$E$4001,$AA622)&amp;"")</f>
        <v/>
      </c>
      <c r="C622">
        <f>IF($AA622="","",INDEX('Per Line'!$A$2:$A$4001,$AA622)&amp;"")</f>
        <v/>
      </c>
      <c r="D622">
        <f>IF($AA622="","",INDEX('Per Line'!$D$2:$D$4001,$AA622)&amp;"")</f>
        <v/>
      </c>
      <c r="E622" s="11">
        <f>IF($AA622="","",INDEX('Per Line'!$G$2:$G$4001,$AA622))</f>
        <v/>
      </c>
      <c r="F622">
        <f>IF($AA622="","",INDEX('Per Line'!$H$2:$H$4001,$AA622)&amp;"")</f>
        <v/>
      </c>
      <c r="G622">
        <f>IF($AA622="","",INDEX('Per Line'!$I$2:$I$4001,$AA622)&amp;"")</f>
        <v/>
      </c>
      <c r="H622">
        <f>IF($AA622="","",INDEX('Per Line'!$J$2:$J$4001,$AA622)&amp;"")</f>
        <v/>
      </c>
      <c r="I622">
        <f>IF($AA622="","",INDEX('Per Line'!$K$2:$K$4001,$AA622)&amp;"")</f>
        <v/>
      </c>
      <c r="J622">
        <f>IF($AA622="","",INDEX('Per Line'!$L$2:$L$4001,$AA622)&amp;"")</f>
        <v/>
      </c>
      <c r="K622">
        <f>IF($AA622="","",INDEX('Per Line'!$P$2:$P$4001,$AA622))</f>
        <v/>
      </c>
      <c r="L622" s="7">
        <f>IF($AA622="","",IF(AND(ISNUMBER(N622),N622&gt;0,Y622&gt;N622),K622*N622/100+(Y622-N622),K622*Y622/100))</f>
        <v/>
      </c>
      <c r="M622">
        <f>IF($AA622="","",INDEX('Per Line'!$Z$2:$Z$4001,$AA622)&amp;"")</f>
        <v/>
      </c>
      <c r="N622">
        <f>IF($AA622="","",INDEX('Per Line'!$AG$2:$AG$4001,$AA622))</f>
        <v/>
      </c>
      <c r="O622">
        <f>IF($AA622="","",IF(AND(ISNUMBER(N622),N622&gt;0),Y622&gt;N622,FALSE))</f>
        <v/>
      </c>
      <c r="P622" s="7">
        <f>IF($AA622="","",SUMIFS('Per Line'!$Y$2:$Y$4001,'Per Line'!$E$2:$E$4001,$B622,'Per Line'!$AQ$2:$AQ$4001,1))</f>
        <v/>
      </c>
      <c r="Q622">
        <f>IF($AA622="","",Settings!$C$7)</f>
        <v/>
      </c>
      <c r="R622" s="7">
        <f>IF($AA622="","",SUMIFS('Per Line'!$Y$2:$Y$4001,'Per Line'!$E$2:$E$4001,$B622,'Per Line'!$AP$2:$AP$4001,0,'Per Line'!$AQ$2:$AQ$4001,0))</f>
        <v/>
      </c>
      <c r="S622" s="7">
        <f>IF($AA622="","",R622*Q622)</f>
        <v/>
      </c>
      <c r="T622">
        <f>IF($AA622="","",Settings!$C$6)</f>
        <v/>
      </c>
      <c r="U622" s="7">
        <f>IF($AA622="","",SUMIFS('Per Line'!$Y$2:$Y$4001,'Per Line'!$E$2:$E$4001,$B622,'Per Line'!$AP$2:$AP$4001,1,'Per Line'!$AQ$2:$AQ$4001,0))</f>
        <v/>
      </c>
      <c r="V622" s="7">
        <f>IF($AA622="","",U622*T622)</f>
        <v/>
      </c>
      <c r="W622" s="7">
        <f>IF($AA622="","",V622+S622)</f>
        <v/>
      </c>
      <c r="X622" s="7">
        <f>IF($AA622="","",Y622-W622)</f>
        <v/>
      </c>
      <c r="Y622" s="7">
        <f>IF($AA622="","",R622+U622+P622)</f>
        <v/>
      </c>
      <c r="Z622" s="7">
        <f>IF($AA622="","",Y622-W622-L622)</f>
        <v/>
      </c>
      <c r="AA622" s="13">
        <f>IF(ROWS($AA$2:$AA622)&lt;=MAX('Per Line'!$AO$2:$AO$4001),MATCH(ROWS($AA$2:$AA622),'Per Line'!$AO$2:$AO$4001,0),"")</f>
        <v/>
      </c>
      <c r="AB622" s="14">
        <f>IF($AA622="","",L622-K622*Y622/100)</f>
        <v/>
      </c>
    </row>
    <row r="623">
      <c r="A623" s="12" t="n"/>
      <c r="B623">
        <f>IF($AA623="","",INDEX('Per Line'!$E$2:$E$4001,$AA623)&amp;"")</f>
        <v/>
      </c>
      <c r="C623">
        <f>IF($AA623="","",INDEX('Per Line'!$A$2:$A$4001,$AA623)&amp;"")</f>
        <v/>
      </c>
      <c r="D623">
        <f>IF($AA623="","",INDEX('Per Line'!$D$2:$D$4001,$AA623)&amp;"")</f>
        <v/>
      </c>
      <c r="E623" s="11">
        <f>IF($AA623="","",INDEX('Per Line'!$G$2:$G$4001,$AA623))</f>
        <v/>
      </c>
      <c r="F623">
        <f>IF($AA623="","",INDEX('Per Line'!$H$2:$H$4001,$AA623)&amp;"")</f>
        <v/>
      </c>
      <c r="G623">
        <f>IF($AA623="","",INDEX('Per Line'!$I$2:$I$4001,$AA623)&amp;"")</f>
        <v/>
      </c>
      <c r="H623">
        <f>IF($AA623="","",INDEX('Per Line'!$J$2:$J$4001,$AA623)&amp;"")</f>
        <v/>
      </c>
      <c r="I623">
        <f>IF($AA623="","",INDEX('Per Line'!$K$2:$K$4001,$AA623)&amp;"")</f>
        <v/>
      </c>
      <c r="J623">
        <f>IF($AA623="","",INDEX('Per Line'!$L$2:$L$4001,$AA623)&amp;"")</f>
        <v/>
      </c>
      <c r="K623">
        <f>IF($AA623="","",INDEX('Per Line'!$P$2:$P$4001,$AA623))</f>
        <v/>
      </c>
      <c r="L623" s="7">
        <f>IF($AA623="","",IF(AND(ISNUMBER(N623),N623&gt;0,Y623&gt;N623),K623*N623/100+(Y623-N623),K623*Y623/100))</f>
        <v/>
      </c>
      <c r="M623">
        <f>IF($AA623="","",INDEX('Per Line'!$Z$2:$Z$4001,$AA623)&amp;"")</f>
        <v/>
      </c>
      <c r="N623">
        <f>IF($AA623="","",INDEX('Per Line'!$AG$2:$AG$4001,$AA623))</f>
        <v/>
      </c>
      <c r="O623">
        <f>IF($AA623="","",IF(AND(ISNUMBER(N623),N623&gt;0),Y623&gt;N623,FALSE))</f>
        <v/>
      </c>
      <c r="P623" s="7">
        <f>IF($AA623="","",SUMIFS('Per Line'!$Y$2:$Y$4001,'Per Line'!$E$2:$E$4001,$B623,'Per Line'!$AQ$2:$AQ$4001,1))</f>
        <v/>
      </c>
      <c r="Q623">
        <f>IF($AA623="","",Settings!$C$7)</f>
        <v/>
      </c>
      <c r="R623" s="7">
        <f>IF($AA623="","",SUMIFS('Per Line'!$Y$2:$Y$4001,'Per Line'!$E$2:$E$4001,$B623,'Per Line'!$AP$2:$AP$4001,0,'Per Line'!$AQ$2:$AQ$4001,0))</f>
        <v/>
      </c>
      <c r="S623" s="7">
        <f>IF($AA623="","",R623*Q623)</f>
        <v/>
      </c>
      <c r="T623">
        <f>IF($AA623="","",Settings!$C$6)</f>
        <v/>
      </c>
      <c r="U623" s="7">
        <f>IF($AA623="","",SUMIFS('Per Line'!$Y$2:$Y$4001,'Per Line'!$E$2:$E$4001,$B623,'Per Line'!$AP$2:$AP$4001,1,'Per Line'!$AQ$2:$AQ$4001,0))</f>
        <v/>
      </c>
      <c r="V623" s="7">
        <f>IF($AA623="","",U623*T623)</f>
        <v/>
      </c>
      <c r="W623" s="7">
        <f>IF($AA623="","",V623+S623)</f>
        <v/>
      </c>
      <c r="X623" s="7">
        <f>IF($AA623="","",Y623-W623)</f>
        <v/>
      </c>
      <c r="Y623" s="7">
        <f>IF($AA623="","",R623+U623+P623)</f>
        <v/>
      </c>
      <c r="Z623" s="7">
        <f>IF($AA623="","",Y623-W623-L623)</f>
        <v/>
      </c>
      <c r="AA623" s="13">
        <f>IF(ROWS($AA$2:$AA623)&lt;=MAX('Per Line'!$AO$2:$AO$4001),MATCH(ROWS($AA$2:$AA623),'Per Line'!$AO$2:$AO$4001,0),"")</f>
        <v/>
      </c>
      <c r="AB623" s="14">
        <f>IF($AA623="","",L623-K623*Y623/100)</f>
        <v/>
      </c>
    </row>
    <row r="624">
      <c r="A624" s="12" t="n"/>
      <c r="B624">
        <f>IF($AA624="","",INDEX('Per Line'!$E$2:$E$4001,$AA624)&amp;"")</f>
        <v/>
      </c>
      <c r="C624">
        <f>IF($AA624="","",INDEX('Per Line'!$A$2:$A$4001,$AA624)&amp;"")</f>
        <v/>
      </c>
      <c r="D624">
        <f>IF($AA624="","",INDEX('Per Line'!$D$2:$D$4001,$AA624)&amp;"")</f>
        <v/>
      </c>
      <c r="E624" s="11">
        <f>IF($AA624="","",INDEX('Per Line'!$G$2:$G$4001,$AA624))</f>
        <v/>
      </c>
      <c r="F624">
        <f>IF($AA624="","",INDEX('Per Line'!$H$2:$H$4001,$AA624)&amp;"")</f>
        <v/>
      </c>
      <c r="G624">
        <f>IF($AA624="","",INDEX('Per Line'!$I$2:$I$4001,$AA624)&amp;"")</f>
        <v/>
      </c>
      <c r="H624">
        <f>IF($AA624="","",INDEX('Per Line'!$J$2:$J$4001,$AA624)&amp;"")</f>
        <v/>
      </c>
      <c r="I624">
        <f>IF($AA624="","",INDEX('Per Line'!$K$2:$K$4001,$AA624)&amp;"")</f>
        <v/>
      </c>
      <c r="J624">
        <f>IF($AA624="","",INDEX('Per Line'!$L$2:$L$4001,$AA624)&amp;"")</f>
        <v/>
      </c>
      <c r="K624">
        <f>IF($AA624="","",INDEX('Per Line'!$P$2:$P$4001,$AA624))</f>
        <v/>
      </c>
      <c r="L624" s="7">
        <f>IF($AA624="","",IF(AND(ISNUMBER(N624),N624&gt;0,Y624&gt;N624),K624*N624/100+(Y624-N624),K624*Y624/100))</f>
        <v/>
      </c>
      <c r="M624">
        <f>IF($AA624="","",INDEX('Per Line'!$Z$2:$Z$4001,$AA624)&amp;"")</f>
        <v/>
      </c>
      <c r="N624">
        <f>IF($AA624="","",INDEX('Per Line'!$AG$2:$AG$4001,$AA624))</f>
        <v/>
      </c>
      <c r="O624">
        <f>IF($AA624="","",IF(AND(ISNUMBER(N624),N624&gt;0),Y624&gt;N624,FALSE))</f>
        <v/>
      </c>
      <c r="P624" s="7">
        <f>IF($AA624="","",SUMIFS('Per Line'!$Y$2:$Y$4001,'Per Line'!$E$2:$E$4001,$B624,'Per Line'!$AQ$2:$AQ$4001,1))</f>
        <v/>
      </c>
      <c r="Q624">
        <f>IF($AA624="","",Settings!$C$7)</f>
        <v/>
      </c>
      <c r="R624" s="7">
        <f>IF($AA624="","",SUMIFS('Per Line'!$Y$2:$Y$4001,'Per Line'!$E$2:$E$4001,$B624,'Per Line'!$AP$2:$AP$4001,0,'Per Line'!$AQ$2:$AQ$4001,0))</f>
        <v/>
      </c>
      <c r="S624" s="7">
        <f>IF($AA624="","",R624*Q624)</f>
        <v/>
      </c>
      <c r="T624">
        <f>IF($AA624="","",Settings!$C$6)</f>
        <v/>
      </c>
      <c r="U624" s="7">
        <f>IF($AA624="","",SUMIFS('Per Line'!$Y$2:$Y$4001,'Per Line'!$E$2:$E$4001,$B624,'Per Line'!$AP$2:$AP$4001,1,'Per Line'!$AQ$2:$AQ$4001,0))</f>
        <v/>
      </c>
      <c r="V624" s="7">
        <f>IF($AA624="","",U624*T624)</f>
        <v/>
      </c>
      <c r="W624" s="7">
        <f>IF($AA624="","",V624+S624)</f>
        <v/>
      </c>
      <c r="X624" s="7">
        <f>IF($AA624="","",Y624-W624)</f>
        <v/>
      </c>
      <c r="Y624" s="7">
        <f>IF($AA624="","",R624+U624+P624)</f>
        <v/>
      </c>
      <c r="Z624" s="7">
        <f>IF($AA624="","",Y624-W624-L624)</f>
        <v/>
      </c>
      <c r="AA624" s="13">
        <f>IF(ROWS($AA$2:$AA624)&lt;=MAX('Per Line'!$AO$2:$AO$4001),MATCH(ROWS($AA$2:$AA624),'Per Line'!$AO$2:$AO$4001,0),"")</f>
        <v/>
      </c>
      <c r="AB624" s="14">
        <f>IF($AA624="","",L624-K624*Y624/100)</f>
        <v/>
      </c>
    </row>
    <row r="625">
      <c r="A625" s="12" t="n"/>
      <c r="B625">
        <f>IF($AA625="","",INDEX('Per Line'!$E$2:$E$4001,$AA625)&amp;"")</f>
        <v/>
      </c>
      <c r="C625">
        <f>IF($AA625="","",INDEX('Per Line'!$A$2:$A$4001,$AA625)&amp;"")</f>
        <v/>
      </c>
      <c r="D625">
        <f>IF($AA625="","",INDEX('Per Line'!$D$2:$D$4001,$AA625)&amp;"")</f>
        <v/>
      </c>
      <c r="E625" s="11">
        <f>IF($AA625="","",INDEX('Per Line'!$G$2:$G$4001,$AA625))</f>
        <v/>
      </c>
      <c r="F625">
        <f>IF($AA625="","",INDEX('Per Line'!$H$2:$H$4001,$AA625)&amp;"")</f>
        <v/>
      </c>
      <c r="G625">
        <f>IF($AA625="","",INDEX('Per Line'!$I$2:$I$4001,$AA625)&amp;"")</f>
        <v/>
      </c>
      <c r="H625">
        <f>IF($AA625="","",INDEX('Per Line'!$J$2:$J$4001,$AA625)&amp;"")</f>
        <v/>
      </c>
      <c r="I625">
        <f>IF($AA625="","",INDEX('Per Line'!$K$2:$K$4001,$AA625)&amp;"")</f>
        <v/>
      </c>
      <c r="J625">
        <f>IF($AA625="","",INDEX('Per Line'!$L$2:$L$4001,$AA625)&amp;"")</f>
        <v/>
      </c>
      <c r="K625">
        <f>IF($AA625="","",INDEX('Per Line'!$P$2:$P$4001,$AA625))</f>
        <v/>
      </c>
      <c r="L625" s="7">
        <f>IF($AA625="","",IF(AND(ISNUMBER(N625),N625&gt;0,Y625&gt;N625),K625*N625/100+(Y625-N625),K625*Y625/100))</f>
        <v/>
      </c>
      <c r="M625">
        <f>IF($AA625="","",INDEX('Per Line'!$Z$2:$Z$4001,$AA625)&amp;"")</f>
        <v/>
      </c>
      <c r="N625">
        <f>IF($AA625="","",INDEX('Per Line'!$AG$2:$AG$4001,$AA625))</f>
        <v/>
      </c>
      <c r="O625">
        <f>IF($AA625="","",IF(AND(ISNUMBER(N625),N625&gt;0),Y625&gt;N625,FALSE))</f>
        <v/>
      </c>
      <c r="P625" s="7">
        <f>IF($AA625="","",SUMIFS('Per Line'!$Y$2:$Y$4001,'Per Line'!$E$2:$E$4001,$B625,'Per Line'!$AQ$2:$AQ$4001,1))</f>
        <v/>
      </c>
      <c r="Q625">
        <f>IF($AA625="","",Settings!$C$7)</f>
        <v/>
      </c>
      <c r="R625" s="7">
        <f>IF($AA625="","",SUMIFS('Per Line'!$Y$2:$Y$4001,'Per Line'!$E$2:$E$4001,$B625,'Per Line'!$AP$2:$AP$4001,0,'Per Line'!$AQ$2:$AQ$4001,0))</f>
        <v/>
      </c>
      <c r="S625" s="7">
        <f>IF($AA625="","",R625*Q625)</f>
        <v/>
      </c>
      <c r="T625">
        <f>IF($AA625="","",Settings!$C$6)</f>
        <v/>
      </c>
      <c r="U625" s="7">
        <f>IF($AA625="","",SUMIFS('Per Line'!$Y$2:$Y$4001,'Per Line'!$E$2:$E$4001,$B625,'Per Line'!$AP$2:$AP$4001,1,'Per Line'!$AQ$2:$AQ$4001,0))</f>
        <v/>
      </c>
      <c r="V625" s="7">
        <f>IF($AA625="","",U625*T625)</f>
        <v/>
      </c>
      <c r="W625" s="7">
        <f>IF($AA625="","",V625+S625)</f>
        <v/>
      </c>
      <c r="X625" s="7">
        <f>IF($AA625="","",Y625-W625)</f>
        <v/>
      </c>
      <c r="Y625" s="7">
        <f>IF($AA625="","",R625+U625+P625)</f>
        <v/>
      </c>
      <c r="Z625" s="7">
        <f>IF($AA625="","",Y625-W625-L625)</f>
        <v/>
      </c>
      <c r="AA625" s="13">
        <f>IF(ROWS($AA$2:$AA625)&lt;=MAX('Per Line'!$AO$2:$AO$4001),MATCH(ROWS($AA$2:$AA625),'Per Line'!$AO$2:$AO$4001,0),"")</f>
        <v/>
      </c>
      <c r="AB625" s="14">
        <f>IF($AA625="","",L625-K625*Y625/100)</f>
        <v/>
      </c>
    </row>
    <row r="626">
      <c r="A626" s="12" t="n"/>
      <c r="B626">
        <f>IF($AA626="","",INDEX('Per Line'!$E$2:$E$4001,$AA626)&amp;"")</f>
        <v/>
      </c>
      <c r="C626">
        <f>IF($AA626="","",INDEX('Per Line'!$A$2:$A$4001,$AA626)&amp;"")</f>
        <v/>
      </c>
      <c r="D626">
        <f>IF($AA626="","",INDEX('Per Line'!$D$2:$D$4001,$AA626)&amp;"")</f>
        <v/>
      </c>
      <c r="E626" s="11">
        <f>IF($AA626="","",INDEX('Per Line'!$G$2:$G$4001,$AA626))</f>
        <v/>
      </c>
      <c r="F626">
        <f>IF($AA626="","",INDEX('Per Line'!$H$2:$H$4001,$AA626)&amp;"")</f>
        <v/>
      </c>
      <c r="G626">
        <f>IF($AA626="","",INDEX('Per Line'!$I$2:$I$4001,$AA626)&amp;"")</f>
        <v/>
      </c>
      <c r="H626">
        <f>IF($AA626="","",INDEX('Per Line'!$J$2:$J$4001,$AA626)&amp;"")</f>
        <v/>
      </c>
      <c r="I626">
        <f>IF($AA626="","",INDEX('Per Line'!$K$2:$K$4001,$AA626)&amp;"")</f>
        <v/>
      </c>
      <c r="J626">
        <f>IF($AA626="","",INDEX('Per Line'!$L$2:$L$4001,$AA626)&amp;"")</f>
        <v/>
      </c>
      <c r="K626">
        <f>IF($AA626="","",INDEX('Per Line'!$P$2:$P$4001,$AA626))</f>
        <v/>
      </c>
      <c r="L626" s="7">
        <f>IF($AA626="","",IF(AND(ISNUMBER(N626),N626&gt;0,Y626&gt;N626),K626*N626/100+(Y626-N626),K626*Y626/100))</f>
        <v/>
      </c>
      <c r="M626">
        <f>IF($AA626="","",INDEX('Per Line'!$Z$2:$Z$4001,$AA626)&amp;"")</f>
        <v/>
      </c>
      <c r="N626">
        <f>IF($AA626="","",INDEX('Per Line'!$AG$2:$AG$4001,$AA626))</f>
        <v/>
      </c>
      <c r="O626">
        <f>IF($AA626="","",IF(AND(ISNUMBER(N626),N626&gt;0),Y626&gt;N626,FALSE))</f>
        <v/>
      </c>
      <c r="P626" s="7">
        <f>IF($AA626="","",SUMIFS('Per Line'!$Y$2:$Y$4001,'Per Line'!$E$2:$E$4001,$B626,'Per Line'!$AQ$2:$AQ$4001,1))</f>
        <v/>
      </c>
      <c r="Q626">
        <f>IF($AA626="","",Settings!$C$7)</f>
        <v/>
      </c>
      <c r="R626" s="7">
        <f>IF($AA626="","",SUMIFS('Per Line'!$Y$2:$Y$4001,'Per Line'!$E$2:$E$4001,$B626,'Per Line'!$AP$2:$AP$4001,0,'Per Line'!$AQ$2:$AQ$4001,0))</f>
        <v/>
      </c>
      <c r="S626" s="7">
        <f>IF($AA626="","",R626*Q626)</f>
        <v/>
      </c>
      <c r="T626">
        <f>IF($AA626="","",Settings!$C$6)</f>
        <v/>
      </c>
      <c r="U626" s="7">
        <f>IF($AA626="","",SUMIFS('Per Line'!$Y$2:$Y$4001,'Per Line'!$E$2:$E$4001,$B626,'Per Line'!$AP$2:$AP$4001,1,'Per Line'!$AQ$2:$AQ$4001,0))</f>
        <v/>
      </c>
      <c r="V626" s="7">
        <f>IF($AA626="","",U626*T626)</f>
        <v/>
      </c>
      <c r="W626" s="7">
        <f>IF($AA626="","",V626+S626)</f>
        <v/>
      </c>
      <c r="X626" s="7">
        <f>IF($AA626="","",Y626-W626)</f>
        <v/>
      </c>
      <c r="Y626" s="7">
        <f>IF($AA626="","",R626+U626+P626)</f>
        <v/>
      </c>
      <c r="Z626" s="7">
        <f>IF($AA626="","",Y626-W626-L626)</f>
        <v/>
      </c>
      <c r="AA626" s="13">
        <f>IF(ROWS($AA$2:$AA626)&lt;=MAX('Per Line'!$AO$2:$AO$4001),MATCH(ROWS($AA$2:$AA626),'Per Line'!$AO$2:$AO$4001,0),"")</f>
        <v/>
      </c>
      <c r="AB626" s="14">
        <f>IF($AA626="","",L626-K626*Y626/100)</f>
        <v/>
      </c>
    </row>
    <row r="627">
      <c r="A627" s="12" t="n"/>
      <c r="B627">
        <f>IF($AA627="","",INDEX('Per Line'!$E$2:$E$4001,$AA627)&amp;"")</f>
        <v/>
      </c>
      <c r="C627">
        <f>IF($AA627="","",INDEX('Per Line'!$A$2:$A$4001,$AA627)&amp;"")</f>
        <v/>
      </c>
      <c r="D627">
        <f>IF($AA627="","",INDEX('Per Line'!$D$2:$D$4001,$AA627)&amp;"")</f>
        <v/>
      </c>
      <c r="E627" s="11">
        <f>IF($AA627="","",INDEX('Per Line'!$G$2:$G$4001,$AA627))</f>
        <v/>
      </c>
      <c r="F627">
        <f>IF($AA627="","",INDEX('Per Line'!$H$2:$H$4001,$AA627)&amp;"")</f>
        <v/>
      </c>
      <c r="G627">
        <f>IF($AA627="","",INDEX('Per Line'!$I$2:$I$4001,$AA627)&amp;"")</f>
        <v/>
      </c>
      <c r="H627">
        <f>IF($AA627="","",INDEX('Per Line'!$J$2:$J$4001,$AA627)&amp;"")</f>
        <v/>
      </c>
      <c r="I627">
        <f>IF($AA627="","",INDEX('Per Line'!$K$2:$K$4001,$AA627)&amp;"")</f>
        <v/>
      </c>
      <c r="J627">
        <f>IF($AA627="","",INDEX('Per Line'!$L$2:$L$4001,$AA627)&amp;"")</f>
        <v/>
      </c>
      <c r="K627">
        <f>IF($AA627="","",INDEX('Per Line'!$P$2:$P$4001,$AA627))</f>
        <v/>
      </c>
      <c r="L627" s="7">
        <f>IF($AA627="","",IF(AND(ISNUMBER(N627),N627&gt;0,Y627&gt;N627),K627*N627/100+(Y627-N627),K627*Y627/100))</f>
        <v/>
      </c>
      <c r="M627">
        <f>IF($AA627="","",INDEX('Per Line'!$Z$2:$Z$4001,$AA627)&amp;"")</f>
        <v/>
      </c>
      <c r="N627">
        <f>IF($AA627="","",INDEX('Per Line'!$AG$2:$AG$4001,$AA627))</f>
        <v/>
      </c>
      <c r="O627">
        <f>IF($AA627="","",IF(AND(ISNUMBER(N627),N627&gt;0),Y627&gt;N627,FALSE))</f>
        <v/>
      </c>
      <c r="P627" s="7">
        <f>IF($AA627="","",SUMIFS('Per Line'!$Y$2:$Y$4001,'Per Line'!$E$2:$E$4001,$B627,'Per Line'!$AQ$2:$AQ$4001,1))</f>
        <v/>
      </c>
      <c r="Q627">
        <f>IF($AA627="","",Settings!$C$7)</f>
        <v/>
      </c>
      <c r="R627" s="7">
        <f>IF($AA627="","",SUMIFS('Per Line'!$Y$2:$Y$4001,'Per Line'!$E$2:$E$4001,$B627,'Per Line'!$AP$2:$AP$4001,0,'Per Line'!$AQ$2:$AQ$4001,0))</f>
        <v/>
      </c>
      <c r="S627" s="7">
        <f>IF($AA627="","",R627*Q627)</f>
        <v/>
      </c>
      <c r="T627">
        <f>IF($AA627="","",Settings!$C$6)</f>
        <v/>
      </c>
      <c r="U627" s="7">
        <f>IF($AA627="","",SUMIFS('Per Line'!$Y$2:$Y$4001,'Per Line'!$E$2:$E$4001,$B627,'Per Line'!$AP$2:$AP$4001,1,'Per Line'!$AQ$2:$AQ$4001,0))</f>
        <v/>
      </c>
      <c r="V627" s="7">
        <f>IF($AA627="","",U627*T627)</f>
        <v/>
      </c>
      <c r="W627" s="7">
        <f>IF($AA627="","",V627+S627)</f>
        <v/>
      </c>
      <c r="X627" s="7">
        <f>IF($AA627="","",Y627-W627)</f>
        <v/>
      </c>
      <c r="Y627" s="7">
        <f>IF($AA627="","",R627+U627+P627)</f>
        <v/>
      </c>
      <c r="Z627" s="7">
        <f>IF($AA627="","",Y627-W627-L627)</f>
        <v/>
      </c>
      <c r="AA627" s="13">
        <f>IF(ROWS($AA$2:$AA627)&lt;=MAX('Per Line'!$AO$2:$AO$4001),MATCH(ROWS($AA$2:$AA627),'Per Line'!$AO$2:$AO$4001,0),"")</f>
        <v/>
      </c>
      <c r="AB627" s="14">
        <f>IF($AA627="","",L627-K627*Y627/100)</f>
        <v/>
      </c>
    </row>
    <row r="628">
      <c r="A628" s="12" t="n"/>
      <c r="B628">
        <f>IF($AA628="","",INDEX('Per Line'!$E$2:$E$4001,$AA628)&amp;"")</f>
        <v/>
      </c>
      <c r="C628">
        <f>IF($AA628="","",INDEX('Per Line'!$A$2:$A$4001,$AA628)&amp;"")</f>
        <v/>
      </c>
      <c r="D628">
        <f>IF($AA628="","",INDEX('Per Line'!$D$2:$D$4001,$AA628)&amp;"")</f>
        <v/>
      </c>
      <c r="E628" s="11">
        <f>IF($AA628="","",INDEX('Per Line'!$G$2:$G$4001,$AA628))</f>
        <v/>
      </c>
      <c r="F628">
        <f>IF($AA628="","",INDEX('Per Line'!$H$2:$H$4001,$AA628)&amp;"")</f>
        <v/>
      </c>
      <c r="G628">
        <f>IF($AA628="","",INDEX('Per Line'!$I$2:$I$4001,$AA628)&amp;"")</f>
        <v/>
      </c>
      <c r="H628">
        <f>IF($AA628="","",INDEX('Per Line'!$J$2:$J$4001,$AA628)&amp;"")</f>
        <v/>
      </c>
      <c r="I628">
        <f>IF($AA628="","",INDEX('Per Line'!$K$2:$K$4001,$AA628)&amp;"")</f>
        <v/>
      </c>
      <c r="J628">
        <f>IF($AA628="","",INDEX('Per Line'!$L$2:$L$4001,$AA628)&amp;"")</f>
        <v/>
      </c>
      <c r="K628">
        <f>IF($AA628="","",INDEX('Per Line'!$P$2:$P$4001,$AA628))</f>
        <v/>
      </c>
      <c r="L628" s="7">
        <f>IF($AA628="","",IF(AND(ISNUMBER(N628),N628&gt;0,Y628&gt;N628),K628*N628/100+(Y628-N628),K628*Y628/100))</f>
        <v/>
      </c>
      <c r="M628">
        <f>IF($AA628="","",INDEX('Per Line'!$Z$2:$Z$4001,$AA628)&amp;"")</f>
        <v/>
      </c>
      <c r="N628">
        <f>IF($AA628="","",INDEX('Per Line'!$AG$2:$AG$4001,$AA628))</f>
        <v/>
      </c>
      <c r="O628">
        <f>IF($AA628="","",IF(AND(ISNUMBER(N628),N628&gt;0),Y628&gt;N628,FALSE))</f>
        <v/>
      </c>
      <c r="P628" s="7">
        <f>IF($AA628="","",SUMIFS('Per Line'!$Y$2:$Y$4001,'Per Line'!$E$2:$E$4001,$B628,'Per Line'!$AQ$2:$AQ$4001,1))</f>
        <v/>
      </c>
      <c r="Q628">
        <f>IF($AA628="","",Settings!$C$7)</f>
        <v/>
      </c>
      <c r="R628" s="7">
        <f>IF($AA628="","",SUMIFS('Per Line'!$Y$2:$Y$4001,'Per Line'!$E$2:$E$4001,$B628,'Per Line'!$AP$2:$AP$4001,0,'Per Line'!$AQ$2:$AQ$4001,0))</f>
        <v/>
      </c>
      <c r="S628" s="7">
        <f>IF($AA628="","",R628*Q628)</f>
        <v/>
      </c>
      <c r="T628">
        <f>IF($AA628="","",Settings!$C$6)</f>
        <v/>
      </c>
      <c r="U628" s="7">
        <f>IF($AA628="","",SUMIFS('Per Line'!$Y$2:$Y$4001,'Per Line'!$E$2:$E$4001,$B628,'Per Line'!$AP$2:$AP$4001,1,'Per Line'!$AQ$2:$AQ$4001,0))</f>
        <v/>
      </c>
      <c r="V628" s="7">
        <f>IF($AA628="","",U628*T628)</f>
        <v/>
      </c>
      <c r="W628" s="7">
        <f>IF($AA628="","",V628+S628)</f>
        <v/>
      </c>
      <c r="X628" s="7">
        <f>IF($AA628="","",Y628-W628)</f>
        <v/>
      </c>
      <c r="Y628" s="7">
        <f>IF($AA628="","",R628+U628+P628)</f>
        <v/>
      </c>
      <c r="Z628" s="7">
        <f>IF($AA628="","",Y628-W628-L628)</f>
        <v/>
      </c>
      <c r="AA628" s="13">
        <f>IF(ROWS($AA$2:$AA628)&lt;=MAX('Per Line'!$AO$2:$AO$4001),MATCH(ROWS($AA$2:$AA628),'Per Line'!$AO$2:$AO$4001,0),"")</f>
        <v/>
      </c>
      <c r="AB628" s="14">
        <f>IF($AA628="","",L628-K628*Y628/100)</f>
        <v/>
      </c>
    </row>
    <row r="629">
      <c r="A629" s="12" t="n"/>
      <c r="B629">
        <f>IF($AA629="","",INDEX('Per Line'!$E$2:$E$4001,$AA629)&amp;"")</f>
        <v/>
      </c>
      <c r="C629">
        <f>IF($AA629="","",INDEX('Per Line'!$A$2:$A$4001,$AA629)&amp;"")</f>
        <v/>
      </c>
      <c r="D629">
        <f>IF($AA629="","",INDEX('Per Line'!$D$2:$D$4001,$AA629)&amp;"")</f>
        <v/>
      </c>
      <c r="E629" s="11">
        <f>IF($AA629="","",INDEX('Per Line'!$G$2:$G$4001,$AA629))</f>
        <v/>
      </c>
      <c r="F629">
        <f>IF($AA629="","",INDEX('Per Line'!$H$2:$H$4001,$AA629)&amp;"")</f>
        <v/>
      </c>
      <c r="G629">
        <f>IF($AA629="","",INDEX('Per Line'!$I$2:$I$4001,$AA629)&amp;"")</f>
        <v/>
      </c>
      <c r="H629">
        <f>IF($AA629="","",INDEX('Per Line'!$J$2:$J$4001,$AA629)&amp;"")</f>
        <v/>
      </c>
      <c r="I629">
        <f>IF($AA629="","",INDEX('Per Line'!$K$2:$K$4001,$AA629)&amp;"")</f>
        <v/>
      </c>
      <c r="J629">
        <f>IF($AA629="","",INDEX('Per Line'!$L$2:$L$4001,$AA629)&amp;"")</f>
        <v/>
      </c>
      <c r="K629">
        <f>IF($AA629="","",INDEX('Per Line'!$P$2:$P$4001,$AA629))</f>
        <v/>
      </c>
      <c r="L629" s="7">
        <f>IF($AA629="","",IF(AND(ISNUMBER(N629),N629&gt;0,Y629&gt;N629),K629*N629/100+(Y629-N629),K629*Y629/100))</f>
        <v/>
      </c>
      <c r="M629">
        <f>IF($AA629="","",INDEX('Per Line'!$Z$2:$Z$4001,$AA629)&amp;"")</f>
        <v/>
      </c>
      <c r="N629">
        <f>IF($AA629="","",INDEX('Per Line'!$AG$2:$AG$4001,$AA629))</f>
        <v/>
      </c>
      <c r="O629">
        <f>IF($AA629="","",IF(AND(ISNUMBER(N629),N629&gt;0),Y629&gt;N629,FALSE))</f>
        <v/>
      </c>
      <c r="P629" s="7">
        <f>IF($AA629="","",SUMIFS('Per Line'!$Y$2:$Y$4001,'Per Line'!$E$2:$E$4001,$B629,'Per Line'!$AQ$2:$AQ$4001,1))</f>
        <v/>
      </c>
      <c r="Q629">
        <f>IF($AA629="","",Settings!$C$7)</f>
        <v/>
      </c>
      <c r="R629" s="7">
        <f>IF($AA629="","",SUMIFS('Per Line'!$Y$2:$Y$4001,'Per Line'!$E$2:$E$4001,$B629,'Per Line'!$AP$2:$AP$4001,0,'Per Line'!$AQ$2:$AQ$4001,0))</f>
        <v/>
      </c>
      <c r="S629" s="7">
        <f>IF($AA629="","",R629*Q629)</f>
        <v/>
      </c>
      <c r="T629">
        <f>IF($AA629="","",Settings!$C$6)</f>
        <v/>
      </c>
      <c r="U629" s="7">
        <f>IF($AA629="","",SUMIFS('Per Line'!$Y$2:$Y$4001,'Per Line'!$E$2:$E$4001,$B629,'Per Line'!$AP$2:$AP$4001,1,'Per Line'!$AQ$2:$AQ$4001,0))</f>
        <v/>
      </c>
      <c r="V629" s="7">
        <f>IF($AA629="","",U629*T629)</f>
        <v/>
      </c>
      <c r="W629" s="7">
        <f>IF($AA629="","",V629+S629)</f>
        <v/>
      </c>
      <c r="X629" s="7">
        <f>IF($AA629="","",Y629-W629)</f>
        <v/>
      </c>
      <c r="Y629" s="7">
        <f>IF($AA629="","",R629+U629+P629)</f>
        <v/>
      </c>
      <c r="Z629" s="7">
        <f>IF($AA629="","",Y629-W629-L629)</f>
        <v/>
      </c>
      <c r="AA629" s="13">
        <f>IF(ROWS($AA$2:$AA629)&lt;=MAX('Per Line'!$AO$2:$AO$4001),MATCH(ROWS($AA$2:$AA629),'Per Line'!$AO$2:$AO$4001,0),"")</f>
        <v/>
      </c>
      <c r="AB629" s="14">
        <f>IF($AA629="","",L629-K629*Y629/100)</f>
        <v/>
      </c>
    </row>
    <row r="630">
      <c r="A630" s="12" t="n"/>
      <c r="B630">
        <f>IF($AA630="","",INDEX('Per Line'!$E$2:$E$4001,$AA630)&amp;"")</f>
        <v/>
      </c>
      <c r="C630">
        <f>IF($AA630="","",INDEX('Per Line'!$A$2:$A$4001,$AA630)&amp;"")</f>
        <v/>
      </c>
      <c r="D630">
        <f>IF($AA630="","",INDEX('Per Line'!$D$2:$D$4001,$AA630)&amp;"")</f>
        <v/>
      </c>
      <c r="E630" s="11">
        <f>IF($AA630="","",INDEX('Per Line'!$G$2:$G$4001,$AA630))</f>
        <v/>
      </c>
      <c r="F630">
        <f>IF($AA630="","",INDEX('Per Line'!$H$2:$H$4001,$AA630)&amp;"")</f>
        <v/>
      </c>
      <c r="G630">
        <f>IF($AA630="","",INDEX('Per Line'!$I$2:$I$4001,$AA630)&amp;"")</f>
        <v/>
      </c>
      <c r="H630">
        <f>IF($AA630="","",INDEX('Per Line'!$J$2:$J$4001,$AA630)&amp;"")</f>
        <v/>
      </c>
      <c r="I630">
        <f>IF($AA630="","",INDEX('Per Line'!$K$2:$K$4001,$AA630)&amp;"")</f>
        <v/>
      </c>
      <c r="J630">
        <f>IF($AA630="","",INDEX('Per Line'!$L$2:$L$4001,$AA630)&amp;"")</f>
        <v/>
      </c>
      <c r="K630">
        <f>IF($AA630="","",INDEX('Per Line'!$P$2:$P$4001,$AA630))</f>
        <v/>
      </c>
      <c r="L630" s="7">
        <f>IF($AA630="","",IF(AND(ISNUMBER(N630),N630&gt;0,Y630&gt;N630),K630*N630/100+(Y630-N630),K630*Y630/100))</f>
        <v/>
      </c>
      <c r="M630">
        <f>IF($AA630="","",INDEX('Per Line'!$Z$2:$Z$4001,$AA630)&amp;"")</f>
        <v/>
      </c>
      <c r="N630">
        <f>IF($AA630="","",INDEX('Per Line'!$AG$2:$AG$4001,$AA630))</f>
        <v/>
      </c>
      <c r="O630">
        <f>IF($AA630="","",IF(AND(ISNUMBER(N630),N630&gt;0),Y630&gt;N630,FALSE))</f>
        <v/>
      </c>
      <c r="P630" s="7">
        <f>IF($AA630="","",SUMIFS('Per Line'!$Y$2:$Y$4001,'Per Line'!$E$2:$E$4001,$B630,'Per Line'!$AQ$2:$AQ$4001,1))</f>
        <v/>
      </c>
      <c r="Q630">
        <f>IF($AA630="","",Settings!$C$7)</f>
        <v/>
      </c>
      <c r="R630" s="7">
        <f>IF($AA630="","",SUMIFS('Per Line'!$Y$2:$Y$4001,'Per Line'!$E$2:$E$4001,$B630,'Per Line'!$AP$2:$AP$4001,0,'Per Line'!$AQ$2:$AQ$4001,0))</f>
        <v/>
      </c>
      <c r="S630" s="7">
        <f>IF($AA630="","",R630*Q630)</f>
        <v/>
      </c>
      <c r="T630">
        <f>IF($AA630="","",Settings!$C$6)</f>
        <v/>
      </c>
      <c r="U630" s="7">
        <f>IF($AA630="","",SUMIFS('Per Line'!$Y$2:$Y$4001,'Per Line'!$E$2:$E$4001,$B630,'Per Line'!$AP$2:$AP$4001,1,'Per Line'!$AQ$2:$AQ$4001,0))</f>
        <v/>
      </c>
      <c r="V630" s="7">
        <f>IF($AA630="","",U630*T630)</f>
        <v/>
      </c>
      <c r="W630" s="7">
        <f>IF($AA630="","",V630+S630)</f>
        <v/>
      </c>
      <c r="X630" s="7">
        <f>IF($AA630="","",Y630-W630)</f>
        <v/>
      </c>
      <c r="Y630" s="7">
        <f>IF($AA630="","",R630+U630+P630)</f>
        <v/>
      </c>
      <c r="Z630" s="7">
        <f>IF($AA630="","",Y630-W630-L630)</f>
        <v/>
      </c>
      <c r="AA630" s="13">
        <f>IF(ROWS($AA$2:$AA630)&lt;=MAX('Per Line'!$AO$2:$AO$4001),MATCH(ROWS($AA$2:$AA630),'Per Line'!$AO$2:$AO$4001,0),"")</f>
        <v/>
      </c>
      <c r="AB630" s="14">
        <f>IF($AA630="","",L630-K630*Y630/100)</f>
        <v/>
      </c>
    </row>
    <row r="631">
      <c r="A631" s="12" t="n"/>
      <c r="B631">
        <f>IF($AA631="","",INDEX('Per Line'!$E$2:$E$4001,$AA631)&amp;"")</f>
        <v/>
      </c>
      <c r="C631">
        <f>IF($AA631="","",INDEX('Per Line'!$A$2:$A$4001,$AA631)&amp;"")</f>
        <v/>
      </c>
      <c r="D631">
        <f>IF($AA631="","",INDEX('Per Line'!$D$2:$D$4001,$AA631)&amp;"")</f>
        <v/>
      </c>
      <c r="E631" s="11">
        <f>IF($AA631="","",INDEX('Per Line'!$G$2:$G$4001,$AA631))</f>
        <v/>
      </c>
      <c r="F631">
        <f>IF($AA631="","",INDEX('Per Line'!$H$2:$H$4001,$AA631)&amp;"")</f>
        <v/>
      </c>
      <c r="G631">
        <f>IF($AA631="","",INDEX('Per Line'!$I$2:$I$4001,$AA631)&amp;"")</f>
        <v/>
      </c>
      <c r="H631">
        <f>IF($AA631="","",INDEX('Per Line'!$J$2:$J$4001,$AA631)&amp;"")</f>
        <v/>
      </c>
      <c r="I631">
        <f>IF($AA631="","",INDEX('Per Line'!$K$2:$K$4001,$AA631)&amp;"")</f>
        <v/>
      </c>
      <c r="J631">
        <f>IF($AA631="","",INDEX('Per Line'!$L$2:$L$4001,$AA631)&amp;"")</f>
        <v/>
      </c>
      <c r="K631">
        <f>IF($AA631="","",INDEX('Per Line'!$P$2:$P$4001,$AA631))</f>
        <v/>
      </c>
      <c r="L631" s="7">
        <f>IF($AA631="","",IF(AND(ISNUMBER(N631),N631&gt;0,Y631&gt;N631),K631*N631/100+(Y631-N631),K631*Y631/100))</f>
        <v/>
      </c>
      <c r="M631">
        <f>IF($AA631="","",INDEX('Per Line'!$Z$2:$Z$4001,$AA631)&amp;"")</f>
        <v/>
      </c>
      <c r="N631">
        <f>IF($AA631="","",INDEX('Per Line'!$AG$2:$AG$4001,$AA631))</f>
        <v/>
      </c>
      <c r="O631">
        <f>IF($AA631="","",IF(AND(ISNUMBER(N631),N631&gt;0),Y631&gt;N631,FALSE))</f>
        <v/>
      </c>
      <c r="P631" s="7">
        <f>IF($AA631="","",SUMIFS('Per Line'!$Y$2:$Y$4001,'Per Line'!$E$2:$E$4001,$B631,'Per Line'!$AQ$2:$AQ$4001,1))</f>
        <v/>
      </c>
      <c r="Q631">
        <f>IF($AA631="","",Settings!$C$7)</f>
        <v/>
      </c>
      <c r="R631" s="7">
        <f>IF($AA631="","",SUMIFS('Per Line'!$Y$2:$Y$4001,'Per Line'!$E$2:$E$4001,$B631,'Per Line'!$AP$2:$AP$4001,0,'Per Line'!$AQ$2:$AQ$4001,0))</f>
        <v/>
      </c>
      <c r="S631" s="7">
        <f>IF($AA631="","",R631*Q631)</f>
        <v/>
      </c>
      <c r="T631">
        <f>IF($AA631="","",Settings!$C$6)</f>
        <v/>
      </c>
      <c r="U631" s="7">
        <f>IF($AA631="","",SUMIFS('Per Line'!$Y$2:$Y$4001,'Per Line'!$E$2:$E$4001,$B631,'Per Line'!$AP$2:$AP$4001,1,'Per Line'!$AQ$2:$AQ$4001,0))</f>
        <v/>
      </c>
      <c r="V631" s="7">
        <f>IF($AA631="","",U631*T631)</f>
        <v/>
      </c>
      <c r="W631" s="7">
        <f>IF($AA631="","",V631+S631)</f>
        <v/>
      </c>
      <c r="X631" s="7">
        <f>IF($AA631="","",Y631-W631)</f>
        <v/>
      </c>
      <c r="Y631" s="7">
        <f>IF($AA631="","",R631+U631+P631)</f>
        <v/>
      </c>
      <c r="Z631" s="7">
        <f>IF($AA631="","",Y631-W631-L631)</f>
        <v/>
      </c>
      <c r="AA631" s="13">
        <f>IF(ROWS($AA$2:$AA631)&lt;=MAX('Per Line'!$AO$2:$AO$4001),MATCH(ROWS($AA$2:$AA631),'Per Line'!$AO$2:$AO$4001,0),"")</f>
        <v/>
      </c>
      <c r="AB631" s="14">
        <f>IF($AA631="","",L631-K631*Y631/100)</f>
        <v/>
      </c>
    </row>
    <row r="632">
      <c r="A632" s="12" t="n"/>
      <c r="B632">
        <f>IF($AA632="","",INDEX('Per Line'!$E$2:$E$4001,$AA632)&amp;"")</f>
        <v/>
      </c>
      <c r="C632">
        <f>IF($AA632="","",INDEX('Per Line'!$A$2:$A$4001,$AA632)&amp;"")</f>
        <v/>
      </c>
      <c r="D632">
        <f>IF($AA632="","",INDEX('Per Line'!$D$2:$D$4001,$AA632)&amp;"")</f>
        <v/>
      </c>
      <c r="E632" s="11">
        <f>IF($AA632="","",INDEX('Per Line'!$G$2:$G$4001,$AA632))</f>
        <v/>
      </c>
      <c r="F632">
        <f>IF($AA632="","",INDEX('Per Line'!$H$2:$H$4001,$AA632)&amp;"")</f>
        <v/>
      </c>
      <c r="G632">
        <f>IF($AA632="","",INDEX('Per Line'!$I$2:$I$4001,$AA632)&amp;"")</f>
        <v/>
      </c>
      <c r="H632">
        <f>IF($AA632="","",INDEX('Per Line'!$J$2:$J$4001,$AA632)&amp;"")</f>
        <v/>
      </c>
      <c r="I632">
        <f>IF($AA632="","",INDEX('Per Line'!$K$2:$K$4001,$AA632)&amp;"")</f>
        <v/>
      </c>
      <c r="J632">
        <f>IF($AA632="","",INDEX('Per Line'!$L$2:$L$4001,$AA632)&amp;"")</f>
        <v/>
      </c>
      <c r="K632">
        <f>IF($AA632="","",INDEX('Per Line'!$P$2:$P$4001,$AA632))</f>
        <v/>
      </c>
      <c r="L632" s="7">
        <f>IF($AA632="","",IF(AND(ISNUMBER(N632),N632&gt;0,Y632&gt;N632),K632*N632/100+(Y632-N632),K632*Y632/100))</f>
        <v/>
      </c>
      <c r="M632">
        <f>IF($AA632="","",INDEX('Per Line'!$Z$2:$Z$4001,$AA632)&amp;"")</f>
        <v/>
      </c>
      <c r="N632">
        <f>IF($AA632="","",INDEX('Per Line'!$AG$2:$AG$4001,$AA632))</f>
        <v/>
      </c>
      <c r="O632">
        <f>IF($AA632="","",IF(AND(ISNUMBER(N632),N632&gt;0),Y632&gt;N632,FALSE))</f>
        <v/>
      </c>
      <c r="P632" s="7">
        <f>IF($AA632="","",SUMIFS('Per Line'!$Y$2:$Y$4001,'Per Line'!$E$2:$E$4001,$B632,'Per Line'!$AQ$2:$AQ$4001,1))</f>
        <v/>
      </c>
      <c r="Q632">
        <f>IF($AA632="","",Settings!$C$7)</f>
        <v/>
      </c>
      <c r="R632" s="7">
        <f>IF($AA632="","",SUMIFS('Per Line'!$Y$2:$Y$4001,'Per Line'!$E$2:$E$4001,$B632,'Per Line'!$AP$2:$AP$4001,0,'Per Line'!$AQ$2:$AQ$4001,0))</f>
        <v/>
      </c>
      <c r="S632" s="7">
        <f>IF($AA632="","",R632*Q632)</f>
        <v/>
      </c>
      <c r="T632">
        <f>IF($AA632="","",Settings!$C$6)</f>
        <v/>
      </c>
      <c r="U632" s="7">
        <f>IF($AA632="","",SUMIFS('Per Line'!$Y$2:$Y$4001,'Per Line'!$E$2:$E$4001,$B632,'Per Line'!$AP$2:$AP$4001,1,'Per Line'!$AQ$2:$AQ$4001,0))</f>
        <v/>
      </c>
      <c r="V632" s="7">
        <f>IF($AA632="","",U632*T632)</f>
        <v/>
      </c>
      <c r="W632" s="7">
        <f>IF($AA632="","",V632+S632)</f>
        <v/>
      </c>
      <c r="X632" s="7">
        <f>IF($AA632="","",Y632-W632)</f>
        <v/>
      </c>
      <c r="Y632" s="7">
        <f>IF($AA632="","",R632+U632+P632)</f>
        <v/>
      </c>
      <c r="Z632" s="7">
        <f>IF($AA632="","",Y632-W632-L632)</f>
        <v/>
      </c>
      <c r="AA632" s="13">
        <f>IF(ROWS($AA$2:$AA632)&lt;=MAX('Per Line'!$AO$2:$AO$4001),MATCH(ROWS($AA$2:$AA632),'Per Line'!$AO$2:$AO$4001,0),"")</f>
        <v/>
      </c>
      <c r="AB632" s="14">
        <f>IF($AA632="","",L632-K632*Y632/100)</f>
        <v/>
      </c>
    </row>
    <row r="633">
      <c r="A633" s="12" t="n"/>
      <c r="B633">
        <f>IF($AA633="","",INDEX('Per Line'!$E$2:$E$4001,$AA633)&amp;"")</f>
        <v/>
      </c>
      <c r="C633">
        <f>IF($AA633="","",INDEX('Per Line'!$A$2:$A$4001,$AA633)&amp;"")</f>
        <v/>
      </c>
      <c r="D633">
        <f>IF($AA633="","",INDEX('Per Line'!$D$2:$D$4001,$AA633)&amp;"")</f>
        <v/>
      </c>
      <c r="E633" s="11">
        <f>IF($AA633="","",INDEX('Per Line'!$G$2:$G$4001,$AA633))</f>
        <v/>
      </c>
      <c r="F633">
        <f>IF($AA633="","",INDEX('Per Line'!$H$2:$H$4001,$AA633)&amp;"")</f>
        <v/>
      </c>
      <c r="G633">
        <f>IF($AA633="","",INDEX('Per Line'!$I$2:$I$4001,$AA633)&amp;"")</f>
        <v/>
      </c>
      <c r="H633">
        <f>IF($AA633="","",INDEX('Per Line'!$J$2:$J$4001,$AA633)&amp;"")</f>
        <v/>
      </c>
      <c r="I633">
        <f>IF($AA633="","",INDEX('Per Line'!$K$2:$K$4001,$AA633)&amp;"")</f>
        <v/>
      </c>
      <c r="J633">
        <f>IF($AA633="","",INDEX('Per Line'!$L$2:$L$4001,$AA633)&amp;"")</f>
        <v/>
      </c>
      <c r="K633">
        <f>IF($AA633="","",INDEX('Per Line'!$P$2:$P$4001,$AA633))</f>
        <v/>
      </c>
      <c r="L633" s="7">
        <f>IF($AA633="","",IF(AND(ISNUMBER(N633),N633&gt;0,Y633&gt;N633),K633*N633/100+(Y633-N633),K633*Y633/100))</f>
        <v/>
      </c>
      <c r="M633">
        <f>IF($AA633="","",INDEX('Per Line'!$Z$2:$Z$4001,$AA633)&amp;"")</f>
        <v/>
      </c>
      <c r="N633">
        <f>IF($AA633="","",INDEX('Per Line'!$AG$2:$AG$4001,$AA633))</f>
        <v/>
      </c>
      <c r="O633">
        <f>IF($AA633="","",IF(AND(ISNUMBER(N633),N633&gt;0),Y633&gt;N633,FALSE))</f>
        <v/>
      </c>
      <c r="P633" s="7">
        <f>IF($AA633="","",SUMIFS('Per Line'!$Y$2:$Y$4001,'Per Line'!$E$2:$E$4001,$B633,'Per Line'!$AQ$2:$AQ$4001,1))</f>
        <v/>
      </c>
      <c r="Q633">
        <f>IF($AA633="","",Settings!$C$7)</f>
        <v/>
      </c>
      <c r="R633" s="7">
        <f>IF($AA633="","",SUMIFS('Per Line'!$Y$2:$Y$4001,'Per Line'!$E$2:$E$4001,$B633,'Per Line'!$AP$2:$AP$4001,0,'Per Line'!$AQ$2:$AQ$4001,0))</f>
        <v/>
      </c>
      <c r="S633" s="7">
        <f>IF($AA633="","",R633*Q633)</f>
        <v/>
      </c>
      <c r="T633">
        <f>IF($AA633="","",Settings!$C$6)</f>
        <v/>
      </c>
      <c r="U633" s="7">
        <f>IF($AA633="","",SUMIFS('Per Line'!$Y$2:$Y$4001,'Per Line'!$E$2:$E$4001,$B633,'Per Line'!$AP$2:$AP$4001,1,'Per Line'!$AQ$2:$AQ$4001,0))</f>
        <v/>
      </c>
      <c r="V633" s="7">
        <f>IF($AA633="","",U633*T633)</f>
        <v/>
      </c>
      <c r="W633" s="7">
        <f>IF($AA633="","",V633+S633)</f>
        <v/>
      </c>
      <c r="X633" s="7">
        <f>IF($AA633="","",Y633-W633)</f>
        <v/>
      </c>
      <c r="Y633" s="7">
        <f>IF($AA633="","",R633+U633+P633)</f>
        <v/>
      </c>
      <c r="Z633" s="7">
        <f>IF($AA633="","",Y633-W633-L633)</f>
        <v/>
      </c>
      <c r="AA633" s="13">
        <f>IF(ROWS($AA$2:$AA633)&lt;=MAX('Per Line'!$AO$2:$AO$4001),MATCH(ROWS($AA$2:$AA633),'Per Line'!$AO$2:$AO$4001,0),"")</f>
        <v/>
      </c>
      <c r="AB633" s="14">
        <f>IF($AA633="","",L633-K633*Y633/100)</f>
        <v/>
      </c>
    </row>
    <row r="634">
      <c r="A634" s="12" t="n"/>
      <c r="B634">
        <f>IF($AA634="","",INDEX('Per Line'!$E$2:$E$4001,$AA634)&amp;"")</f>
        <v/>
      </c>
      <c r="C634">
        <f>IF($AA634="","",INDEX('Per Line'!$A$2:$A$4001,$AA634)&amp;"")</f>
        <v/>
      </c>
      <c r="D634">
        <f>IF($AA634="","",INDEX('Per Line'!$D$2:$D$4001,$AA634)&amp;"")</f>
        <v/>
      </c>
      <c r="E634" s="11">
        <f>IF($AA634="","",INDEX('Per Line'!$G$2:$G$4001,$AA634))</f>
        <v/>
      </c>
      <c r="F634">
        <f>IF($AA634="","",INDEX('Per Line'!$H$2:$H$4001,$AA634)&amp;"")</f>
        <v/>
      </c>
      <c r="G634">
        <f>IF($AA634="","",INDEX('Per Line'!$I$2:$I$4001,$AA634)&amp;"")</f>
        <v/>
      </c>
      <c r="H634">
        <f>IF($AA634="","",INDEX('Per Line'!$J$2:$J$4001,$AA634)&amp;"")</f>
        <v/>
      </c>
      <c r="I634">
        <f>IF($AA634="","",INDEX('Per Line'!$K$2:$K$4001,$AA634)&amp;"")</f>
        <v/>
      </c>
      <c r="J634">
        <f>IF($AA634="","",INDEX('Per Line'!$L$2:$L$4001,$AA634)&amp;"")</f>
        <v/>
      </c>
      <c r="K634">
        <f>IF($AA634="","",INDEX('Per Line'!$P$2:$P$4001,$AA634))</f>
        <v/>
      </c>
      <c r="L634" s="7">
        <f>IF($AA634="","",IF(AND(ISNUMBER(N634),N634&gt;0,Y634&gt;N634),K634*N634/100+(Y634-N634),K634*Y634/100))</f>
        <v/>
      </c>
      <c r="M634">
        <f>IF($AA634="","",INDEX('Per Line'!$Z$2:$Z$4001,$AA634)&amp;"")</f>
        <v/>
      </c>
      <c r="N634">
        <f>IF($AA634="","",INDEX('Per Line'!$AG$2:$AG$4001,$AA634))</f>
        <v/>
      </c>
      <c r="O634">
        <f>IF($AA634="","",IF(AND(ISNUMBER(N634),N634&gt;0),Y634&gt;N634,FALSE))</f>
        <v/>
      </c>
      <c r="P634" s="7">
        <f>IF($AA634="","",SUMIFS('Per Line'!$Y$2:$Y$4001,'Per Line'!$E$2:$E$4001,$B634,'Per Line'!$AQ$2:$AQ$4001,1))</f>
        <v/>
      </c>
      <c r="Q634">
        <f>IF($AA634="","",Settings!$C$7)</f>
        <v/>
      </c>
      <c r="R634" s="7">
        <f>IF($AA634="","",SUMIFS('Per Line'!$Y$2:$Y$4001,'Per Line'!$E$2:$E$4001,$B634,'Per Line'!$AP$2:$AP$4001,0,'Per Line'!$AQ$2:$AQ$4001,0))</f>
        <v/>
      </c>
      <c r="S634" s="7">
        <f>IF($AA634="","",R634*Q634)</f>
        <v/>
      </c>
      <c r="T634">
        <f>IF($AA634="","",Settings!$C$6)</f>
        <v/>
      </c>
      <c r="U634" s="7">
        <f>IF($AA634="","",SUMIFS('Per Line'!$Y$2:$Y$4001,'Per Line'!$E$2:$E$4001,$B634,'Per Line'!$AP$2:$AP$4001,1,'Per Line'!$AQ$2:$AQ$4001,0))</f>
        <v/>
      </c>
      <c r="V634" s="7">
        <f>IF($AA634="","",U634*T634)</f>
        <v/>
      </c>
      <c r="W634" s="7">
        <f>IF($AA634="","",V634+S634)</f>
        <v/>
      </c>
      <c r="X634" s="7">
        <f>IF($AA634="","",Y634-W634)</f>
        <v/>
      </c>
      <c r="Y634" s="7">
        <f>IF($AA634="","",R634+U634+P634)</f>
        <v/>
      </c>
      <c r="Z634" s="7">
        <f>IF($AA634="","",Y634-W634-L634)</f>
        <v/>
      </c>
      <c r="AA634" s="13">
        <f>IF(ROWS($AA$2:$AA634)&lt;=MAX('Per Line'!$AO$2:$AO$4001),MATCH(ROWS($AA$2:$AA634),'Per Line'!$AO$2:$AO$4001,0),"")</f>
        <v/>
      </c>
      <c r="AB634" s="14">
        <f>IF($AA634="","",L634-K634*Y634/100)</f>
        <v/>
      </c>
    </row>
    <row r="635">
      <c r="A635" s="12" t="n"/>
      <c r="B635">
        <f>IF($AA635="","",INDEX('Per Line'!$E$2:$E$4001,$AA635)&amp;"")</f>
        <v/>
      </c>
      <c r="C635">
        <f>IF($AA635="","",INDEX('Per Line'!$A$2:$A$4001,$AA635)&amp;"")</f>
        <v/>
      </c>
      <c r="D635">
        <f>IF($AA635="","",INDEX('Per Line'!$D$2:$D$4001,$AA635)&amp;"")</f>
        <v/>
      </c>
      <c r="E635" s="11">
        <f>IF($AA635="","",INDEX('Per Line'!$G$2:$G$4001,$AA635))</f>
        <v/>
      </c>
      <c r="F635">
        <f>IF($AA635="","",INDEX('Per Line'!$H$2:$H$4001,$AA635)&amp;"")</f>
        <v/>
      </c>
      <c r="G635">
        <f>IF($AA635="","",INDEX('Per Line'!$I$2:$I$4001,$AA635)&amp;"")</f>
        <v/>
      </c>
      <c r="H635">
        <f>IF($AA635="","",INDEX('Per Line'!$J$2:$J$4001,$AA635)&amp;"")</f>
        <v/>
      </c>
      <c r="I635">
        <f>IF($AA635="","",INDEX('Per Line'!$K$2:$K$4001,$AA635)&amp;"")</f>
        <v/>
      </c>
      <c r="J635">
        <f>IF($AA635="","",INDEX('Per Line'!$L$2:$L$4001,$AA635)&amp;"")</f>
        <v/>
      </c>
      <c r="K635">
        <f>IF($AA635="","",INDEX('Per Line'!$P$2:$P$4001,$AA635))</f>
        <v/>
      </c>
      <c r="L635" s="7">
        <f>IF($AA635="","",IF(AND(ISNUMBER(N635),N635&gt;0,Y635&gt;N635),K635*N635/100+(Y635-N635),K635*Y635/100))</f>
        <v/>
      </c>
      <c r="M635">
        <f>IF($AA635="","",INDEX('Per Line'!$Z$2:$Z$4001,$AA635)&amp;"")</f>
        <v/>
      </c>
      <c r="N635">
        <f>IF($AA635="","",INDEX('Per Line'!$AG$2:$AG$4001,$AA635))</f>
        <v/>
      </c>
      <c r="O635">
        <f>IF($AA635="","",IF(AND(ISNUMBER(N635),N635&gt;0),Y635&gt;N635,FALSE))</f>
        <v/>
      </c>
      <c r="P635" s="7">
        <f>IF($AA635="","",SUMIFS('Per Line'!$Y$2:$Y$4001,'Per Line'!$E$2:$E$4001,$B635,'Per Line'!$AQ$2:$AQ$4001,1))</f>
        <v/>
      </c>
      <c r="Q635">
        <f>IF($AA635="","",Settings!$C$7)</f>
        <v/>
      </c>
      <c r="R635" s="7">
        <f>IF($AA635="","",SUMIFS('Per Line'!$Y$2:$Y$4001,'Per Line'!$E$2:$E$4001,$B635,'Per Line'!$AP$2:$AP$4001,0,'Per Line'!$AQ$2:$AQ$4001,0))</f>
        <v/>
      </c>
      <c r="S635" s="7">
        <f>IF($AA635="","",R635*Q635)</f>
        <v/>
      </c>
      <c r="T635">
        <f>IF($AA635="","",Settings!$C$6)</f>
        <v/>
      </c>
      <c r="U635" s="7">
        <f>IF($AA635="","",SUMIFS('Per Line'!$Y$2:$Y$4001,'Per Line'!$E$2:$E$4001,$B635,'Per Line'!$AP$2:$AP$4001,1,'Per Line'!$AQ$2:$AQ$4001,0))</f>
        <v/>
      </c>
      <c r="V635" s="7">
        <f>IF($AA635="","",U635*T635)</f>
        <v/>
      </c>
      <c r="W635" s="7">
        <f>IF($AA635="","",V635+S635)</f>
        <v/>
      </c>
      <c r="X635" s="7">
        <f>IF($AA635="","",Y635-W635)</f>
        <v/>
      </c>
      <c r="Y635" s="7">
        <f>IF($AA635="","",R635+U635+P635)</f>
        <v/>
      </c>
      <c r="Z635" s="7">
        <f>IF($AA635="","",Y635-W635-L635)</f>
        <v/>
      </c>
      <c r="AA635" s="13">
        <f>IF(ROWS($AA$2:$AA635)&lt;=MAX('Per Line'!$AO$2:$AO$4001),MATCH(ROWS($AA$2:$AA635),'Per Line'!$AO$2:$AO$4001,0),"")</f>
        <v/>
      </c>
      <c r="AB635" s="14">
        <f>IF($AA635="","",L635-K635*Y635/100)</f>
        <v/>
      </c>
    </row>
    <row r="636">
      <c r="A636" s="12" t="n"/>
      <c r="B636">
        <f>IF($AA636="","",INDEX('Per Line'!$E$2:$E$4001,$AA636)&amp;"")</f>
        <v/>
      </c>
      <c r="C636">
        <f>IF($AA636="","",INDEX('Per Line'!$A$2:$A$4001,$AA636)&amp;"")</f>
        <v/>
      </c>
      <c r="D636">
        <f>IF($AA636="","",INDEX('Per Line'!$D$2:$D$4001,$AA636)&amp;"")</f>
        <v/>
      </c>
      <c r="E636" s="11">
        <f>IF($AA636="","",INDEX('Per Line'!$G$2:$G$4001,$AA636))</f>
        <v/>
      </c>
      <c r="F636">
        <f>IF($AA636="","",INDEX('Per Line'!$H$2:$H$4001,$AA636)&amp;"")</f>
        <v/>
      </c>
      <c r="G636">
        <f>IF($AA636="","",INDEX('Per Line'!$I$2:$I$4001,$AA636)&amp;"")</f>
        <v/>
      </c>
      <c r="H636">
        <f>IF($AA636="","",INDEX('Per Line'!$J$2:$J$4001,$AA636)&amp;"")</f>
        <v/>
      </c>
      <c r="I636">
        <f>IF($AA636="","",INDEX('Per Line'!$K$2:$K$4001,$AA636)&amp;"")</f>
        <v/>
      </c>
      <c r="J636">
        <f>IF($AA636="","",INDEX('Per Line'!$L$2:$L$4001,$AA636)&amp;"")</f>
        <v/>
      </c>
      <c r="K636">
        <f>IF($AA636="","",INDEX('Per Line'!$P$2:$P$4001,$AA636))</f>
        <v/>
      </c>
      <c r="L636" s="7">
        <f>IF($AA636="","",IF(AND(ISNUMBER(N636),N636&gt;0,Y636&gt;N636),K636*N636/100+(Y636-N636),K636*Y636/100))</f>
        <v/>
      </c>
      <c r="M636">
        <f>IF($AA636="","",INDEX('Per Line'!$Z$2:$Z$4001,$AA636)&amp;"")</f>
        <v/>
      </c>
      <c r="N636">
        <f>IF($AA636="","",INDEX('Per Line'!$AG$2:$AG$4001,$AA636))</f>
        <v/>
      </c>
      <c r="O636">
        <f>IF($AA636="","",IF(AND(ISNUMBER(N636),N636&gt;0),Y636&gt;N636,FALSE))</f>
        <v/>
      </c>
      <c r="P636" s="7">
        <f>IF($AA636="","",SUMIFS('Per Line'!$Y$2:$Y$4001,'Per Line'!$E$2:$E$4001,$B636,'Per Line'!$AQ$2:$AQ$4001,1))</f>
        <v/>
      </c>
      <c r="Q636">
        <f>IF($AA636="","",Settings!$C$7)</f>
        <v/>
      </c>
      <c r="R636" s="7">
        <f>IF($AA636="","",SUMIFS('Per Line'!$Y$2:$Y$4001,'Per Line'!$E$2:$E$4001,$B636,'Per Line'!$AP$2:$AP$4001,0,'Per Line'!$AQ$2:$AQ$4001,0))</f>
        <v/>
      </c>
      <c r="S636" s="7">
        <f>IF($AA636="","",R636*Q636)</f>
        <v/>
      </c>
      <c r="T636">
        <f>IF($AA636="","",Settings!$C$6)</f>
        <v/>
      </c>
      <c r="U636" s="7">
        <f>IF($AA636="","",SUMIFS('Per Line'!$Y$2:$Y$4001,'Per Line'!$E$2:$E$4001,$B636,'Per Line'!$AP$2:$AP$4001,1,'Per Line'!$AQ$2:$AQ$4001,0))</f>
        <v/>
      </c>
      <c r="V636" s="7">
        <f>IF($AA636="","",U636*T636)</f>
        <v/>
      </c>
      <c r="W636" s="7">
        <f>IF($AA636="","",V636+S636)</f>
        <v/>
      </c>
      <c r="X636" s="7">
        <f>IF($AA636="","",Y636-W636)</f>
        <v/>
      </c>
      <c r="Y636" s="7">
        <f>IF($AA636="","",R636+U636+P636)</f>
        <v/>
      </c>
      <c r="Z636" s="7">
        <f>IF($AA636="","",Y636-W636-L636)</f>
        <v/>
      </c>
      <c r="AA636" s="13">
        <f>IF(ROWS($AA$2:$AA636)&lt;=MAX('Per Line'!$AO$2:$AO$4001),MATCH(ROWS($AA$2:$AA636),'Per Line'!$AO$2:$AO$4001,0),"")</f>
        <v/>
      </c>
      <c r="AB636" s="14">
        <f>IF($AA636="","",L636-K636*Y636/100)</f>
        <v/>
      </c>
    </row>
    <row r="637">
      <c r="A637" s="12" t="n"/>
      <c r="B637">
        <f>IF($AA637="","",INDEX('Per Line'!$E$2:$E$4001,$AA637)&amp;"")</f>
        <v/>
      </c>
      <c r="C637">
        <f>IF($AA637="","",INDEX('Per Line'!$A$2:$A$4001,$AA637)&amp;"")</f>
        <v/>
      </c>
      <c r="D637">
        <f>IF($AA637="","",INDEX('Per Line'!$D$2:$D$4001,$AA637)&amp;"")</f>
        <v/>
      </c>
      <c r="E637" s="11">
        <f>IF($AA637="","",INDEX('Per Line'!$G$2:$G$4001,$AA637))</f>
        <v/>
      </c>
      <c r="F637">
        <f>IF($AA637="","",INDEX('Per Line'!$H$2:$H$4001,$AA637)&amp;"")</f>
        <v/>
      </c>
      <c r="G637">
        <f>IF($AA637="","",INDEX('Per Line'!$I$2:$I$4001,$AA637)&amp;"")</f>
        <v/>
      </c>
      <c r="H637">
        <f>IF($AA637="","",INDEX('Per Line'!$J$2:$J$4001,$AA637)&amp;"")</f>
        <v/>
      </c>
      <c r="I637">
        <f>IF($AA637="","",INDEX('Per Line'!$K$2:$K$4001,$AA637)&amp;"")</f>
        <v/>
      </c>
      <c r="J637">
        <f>IF($AA637="","",INDEX('Per Line'!$L$2:$L$4001,$AA637)&amp;"")</f>
        <v/>
      </c>
      <c r="K637">
        <f>IF($AA637="","",INDEX('Per Line'!$P$2:$P$4001,$AA637))</f>
        <v/>
      </c>
      <c r="L637" s="7">
        <f>IF($AA637="","",IF(AND(ISNUMBER(N637),N637&gt;0,Y637&gt;N637),K637*N637/100+(Y637-N637),K637*Y637/100))</f>
        <v/>
      </c>
      <c r="M637">
        <f>IF($AA637="","",INDEX('Per Line'!$Z$2:$Z$4001,$AA637)&amp;"")</f>
        <v/>
      </c>
      <c r="N637">
        <f>IF($AA637="","",INDEX('Per Line'!$AG$2:$AG$4001,$AA637))</f>
        <v/>
      </c>
      <c r="O637">
        <f>IF($AA637="","",IF(AND(ISNUMBER(N637),N637&gt;0),Y637&gt;N637,FALSE))</f>
        <v/>
      </c>
      <c r="P637" s="7">
        <f>IF($AA637="","",SUMIFS('Per Line'!$Y$2:$Y$4001,'Per Line'!$E$2:$E$4001,$B637,'Per Line'!$AQ$2:$AQ$4001,1))</f>
        <v/>
      </c>
      <c r="Q637">
        <f>IF($AA637="","",Settings!$C$7)</f>
        <v/>
      </c>
      <c r="R637" s="7">
        <f>IF($AA637="","",SUMIFS('Per Line'!$Y$2:$Y$4001,'Per Line'!$E$2:$E$4001,$B637,'Per Line'!$AP$2:$AP$4001,0,'Per Line'!$AQ$2:$AQ$4001,0))</f>
        <v/>
      </c>
      <c r="S637" s="7">
        <f>IF($AA637="","",R637*Q637)</f>
        <v/>
      </c>
      <c r="T637">
        <f>IF($AA637="","",Settings!$C$6)</f>
        <v/>
      </c>
      <c r="U637" s="7">
        <f>IF($AA637="","",SUMIFS('Per Line'!$Y$2:$Y$4001,'Per Line'!$E$2:$E$4001,$B637,'Per Line'!$AP$2:$AP$4001,1,'Per Line'!$AQ$2:$AQ$4001,0))</f>
        <v/>
      </c>
      <c r="V637" s="7">
        <f>IF($AA637="","",U637*T637)</f>
        <v/>
      </c>
      <c r="W637" s="7">
        <f>IF($AA637="","",V637+S637)</f>
        <v/>
      </c>
      <c r="X637" s="7">
        <f>IF($AA637="","",Y637-W637)</f>
        <v/>
      </c>
      <c r="Y637" s="7">
        <f>IF($AA637="","",R637+U637+P637)</f>
        <v/>
      </c>
      <c r="Z637" s="7">
        <f>IF($AA637="","",Y637-W637-L637)</f>
        <v/>
      </c>
      <c r="AA637" s="13">
        <f>IF(ROWS($AA$2:$AA637)&lt;=MAX('Per Line'!$AO$2:$AO$4001),MATCH(ROWS($AA$2:$AA637),'Per Line'!$AO$2:$AO$4001,0),"")</f>
        <v/>
      </c>
      <c r="AB637" s="14">
        <f>IF($AA637="","",L637-K637*Y637/100)</f>
        <v/>
      </c>
    </row>
    <row r="638">
      <c r="A638" s="12" t="n"/>
      <c r="B638">
        <f>IF($AA638="","",INDEX('Per Line'!$E$2:$E$4001,$AA638)&amp;"")</f>
        <v/>
      </c>
      <c r="C638">
        <f>IF($AA638="","",INDEX('Per Line'!$A$2:$A$4001,$AA638)&amp;"")</f>
        <v/>
      </c>
      <c r="D638">
        <f>IF($AA638="","",INDEX('Per Line'!$D$2:$D$4001,$AA638)&amp;"")</f>
        <v/>
      </c>
      <c r="E638" s="11">
        <f>IF($AA638="","",INDEX('Per Line'!$G$2:$G$4001,$AA638))</f>
        <v/>
      </c>
      <c r="F638">
        <f>IF($AA638="","",INDEX('Per Line'!$H$2:$H$4001,$AA638)&amp;"")</f>
        <v/>
      </c>
      <c r="G638">
        <f>IF($AA638="","",INDEX('Per Line'!$I$2:$I$4001,$AA638)&amp;"")</f>
        <v/>
      </c>
      <c r="H638">
        <f>IF($AA638="","",INDEX('Per Line'!$J$2:$J$4001,$AA638)&amp;"")</f>
        <v/>
      </c>
      <c r="I638">
        <f>IF($AA638="","",INDEX('Per Line'!$K$2:$K$4001,$AA638)&amp;"")</f>
        <v/>
      </c>
      <c r="J638">
        <f>IF($AA638="","",INDEX('Per Line'!$L$2:$L$4001,$AA638)&amp;"")</f>
        <v/>
      </c>
      <c r="K638">
        <f>IF($AA638="","",INDEX('Per Line'!$P$2:$P$4001,$AA638))</f>
        <v/>
      </c>
      <c r="L638" s="7">
        <f>IF($AA638="","",IF(AND(ISNUMBER(N638),N638&gt;0,Y638&gt;N638),K638*N638/100+(Y638-N638),K638*Y638/100))</f>
        <v/>
      </c>
      <c r="M638">
        <f>IF($AA638="","",INDEX('Per Line'!$Z$2:$Z$4001,$AA638)&amp;"")</f>
        <v/>
      </c>
      <c r="N638">
        <f>IF($AA638="","",INDEX('Per Line'!$AG$2:$AG$4001,$AA638))</f>
        <v/>
      </c>
      <c r="O638">
        <f>IF($AA638="","",IF(AND(ISNUMBER(N638),N638&gt;0),Y638&gt;N638,FALSE))</f>
        <v/>
      </c>
      <c r="P638" s="7">
        <f>IF($AA638="","",SUMIFS('Per Line'!$Y$2:$Y$4001,'Per Line'!$E$2:$E$4001,$B638,'Per Line'!$AQ$2:$AQ$4001,1))</f>
        <v/>
      </c>
      <c r="Q638">
        <f>IF($AA638="","",Settings!$C$7)</f>
        <v/>
      </c>
      <c r="R638" s="7">
        <f>IF($AA638="","",SUMIFS('Per Line'!$Y$2:$Y$4001,'Per Line'!$E$2:$E$4001,$B638,'Per Line'!$AP$2:$AP$4001,0,'Per Line'!$AQ$2:$AQ$4001,0))</f>
        <v/>
      </c>
      <c r="S638" s="7">
        <f>IF($AA638="","",R638*Q638)</f>
        <v/>
      </c>
      <c r="T638">
        <f>IF($AA638="","",Settings!$C$6)</f>
        <v/>
      </c>
      <c r="U638" s="7">
        <f>IF($AA638="","",SUMIFS('Per Line'!$Y$2:$Y$4001,'Per Line'!$E$2:$E$4001,$B638,'Per Line'!$AP$2:$AP$4001,1,'Per Line'!$AQ$2:$AQ$4001,0))</f>
        <v/>
      </c>
      <c r="V638" s="7">
        <f>IF($AA638="","",U638*T638)</f>
        <v/>
      </c>
      <c r="W638" s="7">
        <f>IF($AA638="","",V638+S638)</f>
        <v/>
      </c>
      <c r="X638" s="7">
        <f>IF($AA638="","",Y638-W638)</f>
        <v/>
      </c>
      <c r="Y638" s="7">
        <f>IF($AA638="","",R638+U638+P638)</f>
        <v/>
      </c>
      <c r="Z638" s="7">
        <f>IF($AA638="","",Y638-W638-L638)</f>
        <v/>
      </c>
      <c r="AA638" s="13">
        <f>IF(ROWS($AA$2:$AA638)&lt;=MAX('Per Line'!$AO$2:$AO$4001),MATCH(ROWS($AA$2:$AA638),'Per Line'!$AO$2:$AO$4001,0),"")</f>
        <v/>
      </c>
      <c r="AB638" s="14">
        <f>IF($AA638="","",L638-K638*Y638/100)</f>
        <v/>
      </c>
    </row>
    <row r="639">
      <c r="A639" s="12" t="n"/>
      <c r="B639">
        <f>IF($AA639="","",INDEX('Per Line'!$E$2:$E$4001,$AA639)&amp;"")</f>
        <v/>
      </c>
      <c r="C639">
        <f>IF($AA639="","",INDEX('Per Line'!$A$2:$A$4001,$AA639)&amp;"")</f>
        <v/>
      </c>
      <c r="D639">
        <f>IF($AA639="","",INDEX('Per Line'!$D$2:$D$4001,$AA639)&amp;"")</f>
        <v/>
      </c>
      <c r="E639" s="11">
        <f>IF($AA639="","",INDEX('Per Line'!$G$2:$G$4001,$AA639))</f>
        <v/>
      </c>
      <c r="F639">
        <f>IF($AA639="","",INDEX('Per Line'!$H$2:$H$4001,$AA639)&amp;"")</f>
        <v/>
      </c>
      <c r="G639">
        <f>IF($AA639="","",INDEX('Per Line'!$I$2:$I$4001,$AA639)&amp;"")</f>
        <v/>
      </c>
      <c r="H639">
        <f>IF($AA639="","",INDEX('Per Line'!$J$2:$J$4001,$AA639)&amp;"")</f>
        <v/>
      </c>
      <c r="I639">
        <f>IF($AA639="","",INDEX('Per Line'!$K$2:$K$4001,$AA639)&amp;"")</f>
        <v/>
      </c>
      <c r="J639">
        <f>IF($AA639="","",INDEX('Per Line'!$L$2:$L$4001,$AA639)&amp;"")</f>
        <v/>
      </c>
      <c r="K639">
        <f>IF($AA639="","",INDEX('Per Line'!$P$2:$P$4001,$AA639))</f>
        <v/>
      </c>
      <c r="L639" s="7">
        <f>IF($AA639="","",IF(AND(ISNUMBER(N639),N639&gt;0,Y639&gt;N639),K639*N639/100+(Y639-N639),K639*Y639/100))</f>
        <v/>
      </c>
      <c r="M639">
        <f>IF($AA639="","",INDEX('Per Line'!$Z$2:$Z$4001,$AA639)&amp;"")</f>
        <v/>
      </c>
      <c r="N639">
        <f>IF($AA639="","",INDEX('Per Line'!$AG$2:$AG$4001,$AA639))</f>
        <v/>
      </c>
      <c r="O639">
        <f>IF($AA639="","",IF(AND(ISNUMBER(N639),N639&gt;0),Y639&gt;N639,FALSE))</f>
        <v/>
      </c>
      <c r="P639" s="7">
        <f>IF($AA639="","",SUMIFS('Per Line'!$Y$2:$Y$4001,'Per Line'!$E$2:$E$4001,$B639,'Per Line'!$AQ$2:$AQ$4001,1))</f>
        <v/>
      </c>
      <c r="Q639">
        <f>IF($AA639="","",Settings!$C$7)</f>
        <v/>
      </c>
      <c r="R639" s="7">
        <f>IF($AA639="","",SUMIFS('Per Line'!$Y$2:$Y$4001,'Per Line'!$E$2:$E$4001,$B639,'Per Line'!$AP$2:$AP$4001,0,'Per Line'!$AQ$2:$AQ$4001,0))</f>
        <v/>
      </c>
      <c r="S639" s="7">
        <f>IF($AA639="","",R639*Q639)</f>
        <v/>
      </c>
      <c r="T639">
        <f>IF($AA639="","",Settings!$C$6)</f>
        <v/>
      </c>
      <c r="U639" s="7">
        <f>IF($AA639="","",SUMIFS('Per Line'!$Y$2:$Y$4001,'Per Line'!$E$2:$E$4001,$B639,'Per Line'!$AP$2:$AP$4001,1,'Per Line'!$AQ$2:$AQ$4001,0))</f>
        <v/>
      </c>
      <c r="V639" s="7">
        <f>IF($AA639="","",U639*T639)</f>
        <v/>
      </c>
      <c r="W639" s="7">
        <f>IF($AA639="","",V639+S639)</f>
        <v/>
      </c>
      <c r="X639" s="7">
        <f>IF($AA639="","",Y639-W639)</f>
        <v/>
      </c>
      <c r="Y639" s="7">
        <f>IF($AA639="","",R639+U639+P639)</f>
        <v/>
      </c>
      <c r="Z639" s="7">
        <f>IF($AA639="","",Y639-W639-L639)</f>
        <v/>
      </c>
      <c r="AA639" s="13">
        <f>IF(ROWS($AA$2:$AA639)&lt;=MAX('Per Line'!$AO$2:$AO$4001),MATCH(ROWS($AA$2:$AA639),'Per Line'!$AO$2:$AO$4001,0),"")</f>
        <v/>
      </c>
      <c r="AB639" s="14">
        <f>IF($AA639="","",L639-K639*Y639/100)</f>
        <v/>
      </c>
    </row>
    <row r="640">
      <c r="A640" s="12" t="n"/>
      <c r="B640">
        <f>IF($AA640="","",INDEX('Per Line'!$E$2:$E$4001,$AA640)&amp;"")</f>
        <v/>
      </c>
      <c r="C640">
        <f>IF($AA640="","",INDEX('Per Line'!$A$2:$A$4001,$AA640)&amp;"")</f>
        <v/>
      </c>
      <c r="D640">
        <f>IF($AA640="","",INDEX('Per Line'!$D$2:$D$4001,$AA640)&amp;"")</f>
        <v/>
      </c>
      <c r="E640" s="11">
        <f>IF($AA640="","",INDEX('Per Line'!$G$2:$G$4001,$AA640))</f>
        <v/>
      </c>
      <c r="F640">
        <f>IF($AA640="","",INDEX('Per Line'!$H$2:$H$4001,$AA640)&amp;"")</f>
        <v/>
      </c>
      <c r="G640">
        <f>IF($AA640="","",INDEX('Per Line'!$I$2:$I$4001,$AA640)&amp;"")</f>
        <v/>
      </c>
      <c r="H640">
        <f>IF($AA640="","",INDEX('Per Line'!$J$2:$J$4001,$AA640)&amp;"")</f>
        <v/>
      </c>
      <c r="I640">
        <f>IF($AA640="","",INDEX('Per Line'!$K$2:$K$4001,$AA640)&amp;"")</f>
        <v/>
      </c>
      <c r="J640">
        <f>IF($AA640="","",INDEX('Per Line'!$L$2:$L$4001,$AA640)&amp;"")</f>
        <v/>
      </c>
      <c r="K640">
        <f>IF($AA640="","",INDEX('Per Line'!$P$2:$P$4001,$AA640))</f>
        <v/>
      </c>
      <c r="L640" s="7">
        <f>IF($AA640="","",IF(AND(ISNUMBER(N640),N640&gt;0,Y640&gt;N640),K640*N640/100+(Y640-N640),K640*Y640/100))</f>
        <v/>
      </c>
      <c r="M640">
        <f>IF($AA640="","",INDEX('Per Line'!$Z$2:$Z$4001,$AA640)&amp;"")</f>
        <v/>
      </c>
      <c r="N640">
        <f>IF($AA640="","",INDEX('Per Line'!$AG$2:$AG$4001,$AA640))</f>
        <v/>
      </c>
      <c r="O640">
        <f>IF($AA640="","",IF(AND(ISNUMBER(N640),N640&gt;0),Y640&gt;N640,FALSE))</f>
        <v/>
      </c>
      <c r="P640" s="7">
        <f>IF($AA640="","",SUMIFS('Per Line'!$Y$2:$Y$4001,'Per Line'!$E$2:$E$4001,$B640,'Per Line'!$AQ$2:$AQ$4001,1))</f>
        <v/>
      </c>
      <c r="Q640">
        <f>IF($AA640="","",Settings!$C$7)</f>
        <v/>
      </c>
      <c r="R640" s="7">
        <f>IF($AA640="","",SUMIFS('Per Line'!$Y$2:$Y$4001,'Per Line'!$E$2:$E$4001,$B640,'Per Line'!$AP$2:$AP$4001,0,'Per Line'!$AQ$2:$AQ$4001,0))</f>
        <v/>
      </c>
      <c r="S640" s="7">
        <f>IF($AA640="","",R640*Q640)</f>
        <v/>
      </c>
      <c r="T640">
        <f>IF($AA640="","",Settings!$C$6)</f>
        <v/>
      </c>
      <c r="U640" s="7">
        <f>IF($AA640="","",SUMIFS('Per Line'!$Y$2:$Y$4001,'Per Line'!$E$2:$E$4001,$B640,'Per Line'!$AP$2:$AP$4001,1,'Per Line'!$AQ$2:$AQ$4001,0))</f>
        <v/>
      </c>
      <c r="V640" s="7">
        <f>IF($AA640="","",U640*T640)</f>
        <v/>
      </c>
      <c r="W640" s="7">
        <f>IF($AA640="","",V640+S640)</f>
        <v/>
      </c>
      <c r="X640" s="7">
        <f>IF($AA640="","",Y640-W640)</f>
        <v/>
      </c>
      <c r="Y640" s="7">
        <f>IF($AA640="","",R640+U640+P640)</f>
        <v/>
      </c>
      <c r="Z640" s="7">
        <f>IF($AA640="","",Y640-W640-L640)</f>
        <v/>
      </c>
      <c r="AA640" s="13">
        <f>IF(ROWS($AA$2:$AA640)&lt;=MAX('Per Line'!$AO$2:$AO$4001),MATCH(ROWS($AA$2:$AA640),'Per Line'!$AO$2:$AO$4001,0),"")</f>
        <v/>
      </c>
      <c r="AB640" s="14">
        <f>IF($AA640="","",L640-K640*Y640/100)</f>
        <v/>
      </c>
    </row>
    <row r="641">
      <c r="A641" s="12" t="n"/>
      <c r="B641">
        <f>IF($AA641="","",INDEX('Per Line'!$E$2:$E$4001,$AA641)&amp;"")</f>
        <v/>
      </c>
      <c r="C641">
        <f>IF($AA641="","",INDEX('Per Line'!$A$2:$A$4001,$AA641)&amp;"")</f>
        <v/>
      </c>
      <c r="D641">
        <f>IF($AA641="","",INDEX('Per Line'!$D$2:$D$4001,$AA641)&amp;"")</f>
        <v/>
      </c>
      <c r="E641" s="11">
        <f>IF($AA641="","",INDEX('Per Line'!$G$2:$G$4001,$AA641))</f>
        <v/>
      </c>
      <c r="F641">
        <f>IF($AA641="","",INDEX('Per Line'!$H$2:$H$4001,$AA641)&amp;"")</f>
        <v/>
      </c>
      <c r="G641">
        <f>IF($AA641="","",INDEX('Per Line'!$I$2:$I$4001,$AA641)&amp;"")</f>
        <v/>
      </c>
      <c r="H641">
        <f>IF($AA641="","",INDEX('Per Line'!$J$2:$J$4001,$AA641)&amp;"")</f>
        <v/>
      </c>
      <c r="I641">
        <f>IF($AA641="","",INDEX('Per Line'!$K$2:$K$4001,$AA641)&amp;"")</f>
        <v/>
      </c>
      <c r="J641">
        <f>IF($AA641="","",INDEX('Per Line'!$L$2:$L$4001,$AA641)&amp;"")</f>
        <v/>
      </c>
      <c r="K641">
        <f>IF($AA641="","",INDEX('Per Line'!$P$2:$P$4001,$AA641))</f>
        <v/>
      </c>
      <c r="L641" s="7">
        <f>IF($AA641="","",IF(AND(ISNUMBER(N641),N641&gt;0,Y641&gt;N641),K641*N641/100+(Y641-N641),K641*Y641/100))</f>
        <v/>
      </c>
      <c r="M641">
        <f>IF($AA641="","",INDEX('Per Line'!$Z$2:$Z$4001,$AA641)&amp;"")</f>
        <v/>
      </c>
      <c r="N641">
        <f>IF($AA641="","",INDEX('Per Line'!$AG$2:$AG$4001,$AA641))</f>
        <v/>
      </c>
      <c r="O641">
        <f>IF($AA641="","",IF(AND(ISNUMBER(N641),N641&gt;0),Y641&gt;N641,FALSE))</f>
        <v/>
      </c>
      <c r="P641" s="7">
        <f>IF($AA641="","",SUMIFS('Per Line'!$Y$2:$Y$4001,'Per Line'!$E$2:$E$4001,$B641,'Per Line'!$AQ$2:$AQ$4001,1))</f>
        <v/>
      </c>
      <c r="Q641">
        <f>IF($AA641="","",Settings!$C$7)</f>
        <v/>
      </c>
      <c r="R641" s="7">
        <f>IF($AA641="","",SUMIFS('Per Line'!$Y$2:$Y$4001,'Per Line'!$E$2:$E$4001,$B641,'Per Line'!$AP$2:$AP$4001,0,'Per Line'!$AQ$2:$AQ$4001,0))</f>
        <v/>
      </c>
      <c r="S641" s="7">
        <f>IF($AA641="","",R641*Q641)</f>
        <v/>
      </c>
      <c r="T641">
        <f>IF($AA641="","",Settings!$C$6)</f>
        <v/>
      </c>
      <c r="U641" s="7">
        <f>IF($AA641="","",SUMIFS('Per Line'!$Y$2:$Y$4001,'Per Line'!$E$2:$E$4001,$B641,'Per Line'!$AP$2:$AP$4001,1,'Per Line'!$AQ$2:$AQ$4001,0))</f>
        <v/>
      </c>
      <c r="V641" s="7">
        <f>IF($AA641="","",U641*T641)</f>
        <v/>
      </c>
      <c r="W641" s="7">
        <f>IF($AA641="","",V641+S641)</f>
        <v/>
      </c>
      <c r="X641" s="7">
        <f>IF($AA641="","",Y641-W641)</f>
        <v/>
      </c>
      <c r="Y641" s="7">
        <f>IF($AA641="","",R641+U641+P641)</f>
        <v/>
      </c>
      <c r="Z641" s="7">
        <f>IF($AA641="","",Y641-W641-L641)</f>
        <v/>
      </c>
      <c r="AA641" s="13">
        <f>IF(ROWS($AA$2:$AA641)&lt;=MAX('Per Line'!$AO$2:$AO$4001),MATCH(ROWS($AA$2:$AA641),'Per Line'!$AO$2:$AO$4001,0),"")</f>
        <v/>
      </c>
      <c r="AB641" s="14">
        <f>IF($AA641="","",L641-K641*Y641/100)</f>
        <v/>
      </c>
    </row>
    <row r="642">
      <c r="A642" s="12" t="n"/>
      <c r="B642">
        <f>IF($AA642="","",INDEX('Per Line'!$E$2:$E$4001,$AA642)&amp;"")</f>
        <v/>
      </c>
      <c r="C642">
        <f>IF($AA642="","",INDEX('Per Line'!$A$2:$A$4001,$AA642)&amp;"")</f>
        <v/>
      </c>
      <c r="D642">
        <f>IF($AA642="","",INDEX('Per Line'!$D$2:$D$4001,$AA642)&amp;"")</f>
        <v/>
      </c>
      <c r="E642" s="11">
        <f>IF($AA642="","",INDEX('Per Line'!$G$2:$G$4001,$AA642))</f>
        <v/>
      </c>
      <c r="F642">
        <f>IF($AA642="","",INDEX('Per Line'!$H$2:$H$4001,$AA642)&amp;"")</f>
        <v/>
      </c>
      <c r="G642">
        <f>IF($AA642="","",INDEX('Per Line'!$I$2:$I$4001,$AA642)&amp;"")</f>
        <v/>
      </c>
      <c r="H642">
        <f>IF($AA642="","",INDEX('Per Line'!$J$2:$J$4001,$AA642)&amp;"")</f>
        <v/>
      </c>
      <c r="I642">
        <f>IF($AA642="","",INDEX('Per Line'!$K$2:$K$4001,$AA642)&amp;"")</f>
        <v/>
      </c>
      <c r="J642">
        <f>IF($AA642="","",INDEX('Per Line'!$L$2:$L$4001,$AA642)&amp;"")</f>
        <v/>
      </c>
      <c r="K642">
        <f>IF($AA642="","",INDEX('Per Line'!$P$2:$P$4001,$AA642))</f>
        <v/>
      </c>
      <c r="L642" s="7">
        <f>IF($AA642="","",IF(AND(ISNUMBER(N642),N642&gt;0,Y642&gt;N642),K642*N642/100+(Y642-N642),K642*Y642/100))</f>
        <v/>
      </c>
      <c r="M642">
        <f>IF($AA642="","",INDEX('Per Line'!$Z$2:$Z$4001,$AA642)&amp;"")</f>
        <v/>
      </c>
      <c r="N642">
        <f>IF($AA642="","",INDEX('Per Line'!$AG$2:$AG$4001,$AA642))</f>
        <v/>
      </c>
      <c r="O642">
        <f>IF($AA642="","",IF(AND(ISNUMBER(N642),N642&gt;0),Y642&gt;N642,FALSE))</f>
        <v/>
      </c>
      <c r="P642" s="7">
        <f>IF($AA642="","",SUMIFS('Per Line'!$Y$2:$Y$4001,'Per Line'!$E$2:$E$4001,$B642,'Per Line'!$AQ$2:$AQ$4001,1))</f>
        <v/>
      </c>
      <c r="Q642">
        <f>IF($AA642="","",Settings!$C$7)</f>
        <v/>
      </c>
      <c r="R642" s="7">
        <f>IF($AA642="","",SUMIFS('Per Line'!$Y$2:$Y$4001,'Per Line'!$E$2:$E$4001,$B642,'Per Line'!$AP$2:$AP$4001,0,'Per Line'!$AQ$2:$AQ$4001,0))</f>
        <v/>
      </c>
      <c r="S642" s="7">
        <f>IF($AA642="","",R642*Q642)</f>
        <v/>
      </c>
      <c r="T642">
        <f>IF($AA642="","",Settings!$C$6)</f>
        <v/>
      </c>
      <c r="U642" s="7">
        <f>IF($AA642="","",SUMIFS('Per Line'!$Y$2:$Y$4001,'Per Line'!$E$2:$E$4001,$B642,'Per Line'!$AP$2:$AP$4001,1,'Per Line'!$AQ$2:$AQ$4001,0))</f>
        <v/>
      </c>
      <c r="V642" s="7">
        <f>IF($AA642="","",U642*T642)</f>
        <v/>
      </c>
      <c r="W642" s="7">
        <f>IF($AA642="","",V642+S642)</f>
        <v/>
      </c>
      <c r="X642" s="7">
        <f>IF($AA642="","",Y642-W642)</f>
        <v/>
      </c>
      <c r="Y642" s="7">
        <f>IF($AA642="","",R642+U642+P642)</f>
        <v/>
      </c>
      <c r="Z642" s="7">
        <f>IF($AA642="","",Y642-W642-L642)</f>
        <v/>
      </c>
      <c r="AA642" s="13">
        <f>IF(ROWS($AA$2:$AA642)&lt;=MAX('Per Line'!$AO$2:$AO$4001),MATCH(ROWS($AA$2:$AA642),'Per Line'!$AO$2:$AO$4001,0),"")</f>
        <v/>
      </c>
      <c r="AB642" s="14">
        <f>IF($AA642="","",L642-K642*Y642/100)</f>
        <v/>
      </c>
    </row>
    <row r="643">
      <c r="A643" s="12" t="n"/>
      <c r="B643">
        <f>IF($AA643="","",INDEX('Per Line'!$E$2:$E$4001,$AA643)&amp;"")</f>
        <v/>
      </c>
      <c r="C643">
        <f>IF($AA643="","",INDEX('Per Line'!$A$2:$A$4001,$AA643)&amp;"")</f>
        <v/>
      </c>
      <c r="D643">
        <f>IF($AA643="","",INDEX('Per Line'!$D$2:$D$4001,$AA643)&amp;"")</f>
        <v/>
      </c>
      <c r="E643" s="11">
        <f>IF($AA643="","",INDEX('Per Line'!$G$2:$G$4001,$AA643))</f>
        <v/>
      </c>
      <c r="F643">
        <f>IF($AA643="","",INDEX('Per Line'!$H$2:$H$4001,$AA643)&amp;"")</f>
        <v/>
      </c>
      <c r="G643">
        <f>IF($AA643="","",INDEX('Per Line'!$I$2:$I$4001,$AA643)&amp;"")</f>
        <v/>
      </c>
      <c r="H643">
        <f>IF($AA643="","",INDEX('Per Line'!$J$2:$J$4001,$AA643)&amp;"")</f>
        <v/>
      </c>
      <c r="I643">
        <f>IF($AA643="","",INDEX('Per Line'!$K$2:$K$4001,$AA643)&amp;"")</f>
        <v/>
      </c>
      <c r="J643">
        <f>IF($AA643="","",INDEX('Per Line'!$L$2:$L$4001,$AA643)&amp;"")</f>
        <v/>
      </c>
      <c r="K643">
        <f>IF($AA643="","",INDEX('Per Line'!$P$2:$P$4001,$AA643))</f>
        <v/>
      </c>
      <c r="L643" s="7">
        <f>IF($AA643="","",IF(AND(ISNUMBER(N643),N643&gt;0,Y643&gt;N643),K643*N643/100+(Y643-N643),K643*Y643/100))</f>
        <v/>
      </c>
      <c r="M643">
        <f>IF($AA643="","",INDEX('Per Line'!$Z$2:$Z$4001,$AA643)&amp;"")</f>
        <v/>
      </c>
      <c r="N643">
        <f>IF($AA643="","",INDEX('Per Line'!$AG$2:$AG$4001,$AA643))</f>
        <v/>
      </c>
      <c r="O643">
        <f>IF($AA643="","",IF(AND(ISNUMBER(N643),N643&gt;0),Y643&gt;N643,FALSE))</f>
        <v/>
      </c>
      <c r="P643" s="7">
        <f>IF($AA643="","",SUMIFS('Per Line'!$Y$2:$Y$4001,'Per Line'!$E$2:$E$4001,$B643,'Per Line'!$AQ$2:$AQ$4001,1))</f>
        <v/>
      </c>
      <c r="Q643">
        <f>IF($AA643="","",Settings!$C$7)</f>
        <v/>
      </c>
      <c r="R643" s="7">
        <f>IF($AA643="","",SUMIFS('Per Line'!$Y$2:$Y$4001,'Per Line'!$E$2:$E$4001,$B643,'Per Line'!$AP$2:$AP$4001,0,'Per Line'!$AQ$2:$AQ$4001,0))</f>
        <v/>
      </c>
      <c r="S643" s="7">
        <f>IF($AA643="","",R643*Q643)</f>
        <v/>
      </c>
      <c r="T643">
        <f>IF($AA643="","",Settings!$C$6)</f>
        <v/>
      </c>
      <c r="U643" s="7">
        <f>IF($AA643="","",SUMIFS('Per Line'!$Y$2:$Y$4001,'Per Line'!$E$2:$E$4001,$B643,'Per Line'!$AP$2:$AP$4001,1,'Per Line'!$AQ$2:$AQ$4001,0))</f>
        <v/>
      </c>
      <c r="V643" s="7">
        <f>IF($AA643="","",U643*T643)</f>
        <v/>
      </c>
      <c r="W643" s="7">
        <f>IF($AA643="","",V643+S643)</f>
        <v/>
      </c>
      <c r="X643" s="7">
        <f>IF($AA643="","",Y643-W643)</f>
        <v/>
      </c>
      <c r="Y643" s="7">
        <f>IF($AA643="","",R643+U643+P643)</f>
        <v/>
      </c>
      <c r="Z643" s="7">
        <f>IF($AA643="","",Y643-W643-L643)</f>
        <v/>
      </c>
      <c r="AA643" s="13">
        <f>IF(ROWS($AA$2:$AA643)&lt;=MAX('Per Line'!$AO$2:$AO$4001),MATCH(ROWS($AA$2:$AA643),'Per Line'!$AO$2:$AO$4001,0),"")</f>
        <v/>
      </c>
      <c r="AB643" s="14">
        <f>IF($AA643="","",L643-K643*Y643/100)</f>
        <v/>
      </c>
    </row>
    <row r="644">
      <c r="A644" s="12" t="n"/>
      <c r="B644">
        <f>IF($AA644="","",INDEX('Per Line'!$E$2:$E$4001,$AA644)&amp;"")</f>
        <v/>
      </c>
      <c r="C644">
        <f>IF($AA644="","",INDEX('Per Line'!$A$2:$A$4001,$AA644)&amp;"")</f>
        <v/>
      </c>
      <c r="D644">
        <f>IF($AA644="","",INDEX('Per Line'!$D$2:$D$4001,$AA644)&amp;"")</f>
        <v/>
      </c>
      <c r="E644" s="11">
        <f>IF($AA644="","",INDEX('Per Line'!$G$2:$G$4001,$AA644))</f>
        <v/>
      </c>
      <c r="F644">
        <f>IF($AA644="","",INDEX('Per Line'!$H$2:$H$4001,$AA644)&amp;"")</f>
        <v/>
      </c>
      <c r="G644">
        <f>IF($AA644="","",INDEX('Per Line'!$I$2:$I$4001,$AA644)&amp;"")</f>
        <v/>
      </c>
      <c r="H644">
        <f>IF($AA644="","",INDEX('Per Line'!$J$2:$J$4001,$AA644)&amp;"")</f>
        <v/>
      </c>
      <c r="I644">
        <f>IF($AA644="","",INDEX('Per Line'!$K$2:$K$4001,$AA644)&amp;"")</f>
        <v/>
      </c>
      <c r="J644">
        <f>IF($AA644="","",INDEX('Per Line'!$L$2:$L$4001,$AA644)&amp;"")</f>
        <v/>
      </c>
      <c r="K644">
        <f>IF($AA644="","",INDEX('Per Line'!$P$2:$P$4001,$AA644))</f>
        <v/>
      </c>
      <c r="L644" s="7">
        <f>IF($AA644="","",IF(AND(ISNUMBER(N644),N644&gt;0,Y644&gt;N644),K644*N644/100+(Y644-N644),K644*Y644/100))</f>
        <v/>
      </c>
      <c r="M644">
        <f>IF($AA644="","",INDEX('Per Line'!$Z$2:$Z$4001,$AA644)&amp;"")</f>
        <v/>
      </c>
      <c r="N644">
        <f>IF($AA644="","",INDEX('Per Line'!$AG$2:$AG$4001,$AA644))</f>
        <v/>
      </c>
      <c r="O644">
        <f>IF($AA644="","",IF(AND(ISNUMBER(N644),N644&gt;0),Y644&gt;N644,FALSE))</f>
        <v/>
      </c>
      <c r="P644" s="7">
        <f>IF($AA644="","",SUMIFS('Per Line'!$Y$2:$Y$4001,'Per Line'!$E$2:$E$4001,$B644,'Per Line'!$AQ$2:$AQ$4001,1))</f>
        <v/>
      </c>
      <c r="Q644">
        <f>IF($AA644="","",Settings!$C$7)</f>
        <v/>
      </c>
      <c r="R644" s="7">
        <f>IF($AA644="","",SUMIFS('Per Line'!$Y$2:$Y$4001,'Per Line'!$E$2:$E$4001,$B644,'Per Line'!$AP$2:$AP$4001,0,'Per Line'!$AQ$2:$AQ$4001,0))</f>
        <v/>
      </c>
      <c r="S644" s="7">
        <f>IF($AA644="","",R644*Q644)</f>
        <v/>
      </c>
      <c r="T644">
        <f>IF($AA644="","",Settings!$C$6)</f>
        <v/>
      </c>
      <c r="U644" s="7">
        <f>IF($AA644="","",SUMIFS('Per Line'!$Y$2:$Y$4001,'Per Line'!$E$2:$E$4001,$B644,'Per Line'!$AP$2:$AP$4001,1,'Per Line'!$AQ$2:$AQ$4001,0))</f>
        <v/>
      </c>
      <c r="V644" s="7">
        <f>IF($AA644="","",U644*T644)</f>
        <v/>
      </c>
      <c r="W644" s="7">
        <f>IF($AA644="","",V644+S644)</f>
        <v/>
      </c>
      <c r="X644" s="7">
        <f>IF($AA644="","",Y644-W644)</f>
        <v/>
      </c>
      <c r="Y644" s="7">
        <f>IF($AA644="","",R644+U644+P644)</f>
        <v/>
      </c>
      <c r="Z644" s="7">
        <f>IF($AA644="","",Y644-W644-L644)</f>
        <v/>
      </c>
      <c r="AA644" s="13">
        <f>IF(ROWS($AA$2:$AA644)&lt;=MAX('Per Line'!$AO$2:$AO$4001),MATCH(ROWS($AA$2:$AA644),'Per Line'!$AO$2:$AO$4001,0),"")</f>
        <v/>
      </c>
      <c r="AB644" s="14">
        <f>IF($AA644="","",L644-K644*Y644/100)</f>
        <v/>
      </c>
    </row>
    <row r="645">
      <c r="A645" s="12" t="n"/>
      <c r="B645">
        <f>IF($AA645="","",INDEX('Per Line'!$E$2:$E$4001,$AA645)&amp;"")</f>
        <v/>
      </c>
      <c r="C645">
        <f>IF($AA645="","",INDEX('Per Line'!$A$2:$A$4001,$AA645)&amp;"")</f>
        <v/>
      </c>
      <c r="D645">
        <f>IF($AA645="","",INDEX('Per Line'!$D$2:$D$4001,$AA645)&amp;"")</f>
        <v/>
      </c>
      <c r="E645" s="11">
        <f>IF($AA645="","",INDEX('Per Line'!$G$2:$G$4001,$AA645))</f>
        <v/>
      </c>
      <c r="F645">
        <f>IF($AA645="","",INDEX('Per Line'!$H$2:$H$4001,$AA645)&amp;"")</f>
        <v/>
      </c>
      <c r="G645">
        <f>IF($AA645="","",INDEX('Per Line'!$I$2:$I$4001,$AA645)&amp;"")</f>
        <v/>
      </c>
      <c r="H645">
        <f>IF($AA645="","",INDEX('Per Line'!$J$2:$J$4001,$AA645)&amp;"")</f>
        <v/>
      </c>
      <c r="I645">
        <f>IF($AA645="","",INDEX('Per Line'!$K$2:$K$4001,$AA645)&amp;"")</f>
        <v/>
      </c>
      <c r="J645">
        <f>IF($AA645="","",INDEX('Per Line'!$L$2:$L$4001,$AA645)&amp;"")</f>
        <v/>
      </c>
      <c r="K645">
        <f>IF($AA645="","",INDEX('Per Line'!$P$2:$P$4001,$AA645))</f>
        <v/>
      </c>
      <c r="L645" s="7">
        <f>IF($AA645="","",IF(AND(ISNUMBER(N645),N645&gt;0,Y645&gt;N645),K645*N645/100+(Y645-N645),K645*Y645/100))</f>
        <v/>
      </c>
      <c r="M645">
        <f>IF($AA645="","",INDEX('Per Line'!$Z$2:$Z$4001,$AA645)&amp;"")</f>
        <v/>
      </c>
      <c r="N645">
        <f>IF($AA645="","",INDEX('Per Line'!$AG$2:$AG$4001,$AA645))</f>
        <v/>
      </c>
      <c r="O645">
        <f>IF($AA645="","",IF(AND(ISNUMBER(N645),N645&gt;0),Y645&gt;N645,FALSE))</f>
        <v/>
      </c>
      <c r="P645" s="7">
        <f>IF($AA645="","",SUMIFS('Per Line'!$Y$2:$Y$4001,'Per Line'!$E$2:$E$4001,$B645,'Per Line'!$AQ$2:$AQ$4001,1))</f>
        <v/>
      </c>
      <c r="Q645">
        <f>IF($AA645="","",Settings!$C$7)</f>
        <v/>
      </c>
      <c r="R645" s="7">
        <f>IF($AA645="","",SUMIFS('Per Line'!$Y$2:$Y$4001,'Per Line'!$E$2:$E$4001,$B645,'Per Line'!$AP$2:$AP$4001,0,'Per Line'!$AQ$2:$AQ$4001,0))</f>
        <v/>
      </c>
      <c r="S645" s="7">
        <f>IF($AA645="","",R645*Q645)</f>
        <v/>
      </c>
      <c r="T645">
        <f>IF($AA645="","",Settings!$C$6)</f>
        <v/>
      </c>
      <c r="U645" s="7">
        <f>IF($AA645="","",SUMIFS('Per Line'!$Y$2:$Y$4001,'Per Line'!$E$2:$E$4001,$B645,'Per Line'!$AP$2:$AP$4001,1,'Per Line'!$AQ$2:$AQ$4001,0))</f>
        <v/>
      </c>
      <c r="V645" s="7">
        <f>IF($AA645="","",U645*T645)</f>
        <v/>
      </c>
      <c r="W645" s="7">
        <f>IF($AA645="","",V645+S645)</f>
        <v/>
      </c>
      <c r="X645" s="7">
        <f>IF($AA645="","",Y645-W645)</f>
        <v/>
      </c>
      <c r="Y645" s="7">
        <f>IF($AA645="","",R645+U645+P645)</f>
        <v/>
      </c>
      <c r="Z645" s="7">
        <f>IF($AA645="","",Y645-W645-L645)</f>
        <v/>
      </c>
      <c r="AA645" s="13">
        <f>IF(ROWS($AA$2:$AA645)&lt;=MAX('Per Line'!$AO$2:$AO$4001),MATCH(ROWS($AA$2:$AA645),'Per Line'!$AO$2:$AO$4001,0),"")</f>
        <v/>
      </c>
      <c r="AB645" s="14">
        <f>IF($AA645="","",L645-K645*Y645/100)</f>
        <v/>
      </c>
    </row>
    <row r="646">
      <c r="A646" s="12" t="n"/>
      <c r="B646">
        <f>IF($AA646="","",INDEX('Per Line'!$E$2:$E$4001,$AA646)&amp;"")</f>
        <v/>
      </c>
      <c r="C646">
        <f>IF($AA646="","",INDEX('Per Line'!$A$2:$A$4001,$AA646)&amp;"")</f>
        <v/>
      </c>
      <c r="D646">
        <f>IF($AA646="","",INDEX('Per Line'!$D$2:$D$4001,$AA646)&amp;"")</f>
        <v/>
      </c>
      <c r="E646" s="11">
        <f>IF($AA646="","",INDEX('Per Line'!$G$2:$G$4001,$AA646))</f>
        <v/>
      </c>
      <c r="F646">
        <f>IF($AA646="","",INDEX('Per Line'!$H$2:$H$4001,$AA646)&amp;"")</f>
        <v/>
      </c>
      <c r="G646">
        <f>IF($AA646="","",INDEX('Per Line'!$I$2:$I$4001,$AA646)&amp;"")</f>
        <v/>
      </c>
      <c r="H646">
        <f>IF($AA646="","",INDEX('Per Line'!$J$2:$J$4001,$AA646)&amp;"")</f>
        <v/>
      </c>
      <c r="I646">
        <f>IF($AA646="","",INDEX('Per Line'!$K$2:$K$4001,$AA646)&amp;"")</f>
        <v/>
      </c>
      <c r="J646">
        <f>IF($AA646="","",INDEX('Per Line'!$L$2:$L$4001,$AA646)&amp;"")</f>
        <v/>
      </c>
      <c r="K646">
        <f>IF($AA646="","",INDEX('Per Line'!$P$2:$P$4001,$AA646))</f>
        <v/>
      </c>
      <c r="L646" s="7">
        <f>IF($AA646="","",IF(AND(ISNUMBER(N646),N646&gt;0,Y646&gt;N646),K646*N646/100+(Y646-N646),K646*Y646/100))</f>
        <v/>
      </c>
      <c r="M646">
        <f>IF($AA646="","",INDEX('Per Line'!$Z$2:$Z$4001,$AA646)&amp;"")</f>
        <v/>
      </c>
      <c r="N646">
        <f>IF($AA646="","",INDEX('Per Line'!$AG$2:$AG$4001,$AA646))</f>
        <v/>
      </c>
      <c r="O646">
        <f>IF($AA646="","",IF(AND(ISNUMBER(N646),N646&gt;0),Y646&gt;N646,FALSE))</f>
        <v/>
      </c>
      <c r="P646" s="7">
        <f>IF($AA646="","",SUMIFS('Per Line'!$Y$2:$Y$4001,'Per Line'!$E$2:$E$4001,$B646,'Per Line'!$AQ$2:$AQ$4001,1))</f>
        <v/>
      </c>
      <c r="Q646">
        <f>IF($AA646="","",Settings!$C$7)</f>
        <v/>
      </c>
      <c r="R646" s="7">
        <f>IF($AA646="","",SUMIFS('Per Line'!$Y$2:$Y$4001,'Per Line'!$E$2:$E$4001,$B646,'Per Line'!$AP$2:$AP$4001,0,'Per Line'!$AQ$2:$AQ$4001,0))</f>
        <v/>
      </c>
      <c r="S646" s="7">
        <f>IF($AA646="","",R646*Q646)</f>
        <v/>
      </c>
      <c r="T646">
        <f>IF($AA646="","",Settings!$C$6)</f>
        <v/>
      </c>
      <c r="U646" s="7">
        <f>IF($AA646="","",SUMIFS('Per Line'!$Y$2:$Y$4001,'Per Line'!$E$2:$E$4001,$B646,'Per Line'!$AP$2:$AP$4001,1,'Per Line'!$AQ$2:$AQ$4001,0))</f>
        <v/>
      </c>
      <c r="V646" s="7">
        <f>IF($AA646="","",U646*T646)</f>
        <v/>
      </c>
      <c r="W646" s="7">
        <f>IF($AA646="","",V646+S646)</f>
        <v/>
      </c>
      <c r="X646" s="7">
        <f>IF($AA646="","",Y646-W646)</f>
        <v/>
      </c>
      <c r="Y646" s="7">
        <f>IF($AA646="","",R646+U646+P646)</f>
        <v/>
      </c>
      <c r="Z646" s="7">
        <f>IF($AA646="","",Y646-W646-L646)</f>
        <v/>
      </c>
      <c r="AA646" s="13">
        <f>IF(ROWS($AA$2:$AA646)&lt;=MAX('Per Line'!$AO$2:$AO$4001),MATCH(ROWS($AA$2:$AA646),'Per Line'!$AO$2:$AO$4001,0),"")</f>
        <v/>
      </c>
      <c r="AB646" s="14">
        <f>IF($AA646="","",L646-K646*Y646/100)</f>
        <v/>
      </c>
    </row>
    <row r="647">
      <c r="A647" s="12" t="n"/>
      <c r="B647">
        <f>IF($AA647="","",INDEX('Per Line'!$E$2:$E$4001,$AA647)&amp;"")</f>
        <v/>
      </c>
      <c r="C647">
        <f>IF($AA647="","",INDEX('Per Line'!$A$2:$A$4001,$AA647)&amp;"")</f>
        <v/>
      </c>
      <c r="D647">
        <f>IF($AA647="","",INDEX('Per Line'!$D$2:$D$4001,$AA647)&amp;"")</f>
        <v/>
      </c>
      <c r="E647" s="11">
        <f>IF($AA647="","",INDEX('Per Line'!$G$2:$G$4001,$AA647))</f>
        <v/>
      </c>
      <c r="F647">
        <f>IF($AA647="","",INDEX('Per Line'!$H$2:$H$4001,$AA647)&amp;"")</f>
        <v/>
      </c>
      <c r="G647">
        <f>IF($AA647="","",INDEX('Per Line'!$I$2:$I$4001,$AA647)&amp;"")</f>
        <v/>
      </c>
      <c r="H647">
        <f>IF($AA647="","",INDEX('Per Line'!$J$2:$J$4001,$AA647)&amp;"")</f>
        <v/>
      </c>
      <c r="I647">
        <f>IF($AA647="","",INDEX('Per Line'!$K$2:$K$4001,$AA647)&amp;"")</f>
        <v/>
      </c>
      <c r="J647">
        <f>IF($AA647="","",INDEX('Per Line'!$L$2:$L$4001,$AA647)&amp;"")</f>
        <v/>
      </c>
      <c r="K647">
        <f>IF($AA647="","",INDEX('Per Line'!$P$2:$P$4001,$AA647))</f>
        <v/>
      </c>
      <c r="L647" s="7">
        <f>IF($AA647="","",IF(AND(ISNUMBER(N647),N647&gt;0,Y647&gt;N647),K647*N647/100+(Y647-N647),K647*Y647/100))</f>
        <v/>
      </c>
      <c r="M647">
        <f>IF($AA647="","",INDEX('Per Line'!$Z$2:$Z$4001,$AA647)&amp;"")</f>
        <v/>
      </c>
      <c r="N647">
        <f>IF($AA647="","",INDEX('Per Line'!$AG$2:$AG$4001,$AA647))</f>
        <v/>
      </c>
      <c r="O647">
        <f>IF($AA647="","",IF(AND(ISNUMBER(N647),N647&gt;0),Y647&gt;N647,FALSE))</f>
        <v/>
      </c>
      <c r="P647" s="7">
        <f>IF($AA647="","",SUMIFS('Per Line'!$Y$2:$Y$4001,'Per Line'!$E$2:$E$4001,$B647,'Per Line'!$AQ$2:$AQ$4001,1))</f>
        <v/>
      </c>
      <c r="Q647">
        <f>IF($AA647="","",Settings!$C$7)</f>
        <v/>
      </c>
      <c r="R647" s="7">
        <f>IF($AA647="","",SUMIFS('Per Line'!$Y$2:$Y$4001,'Per Line'!$E$2:$E$4001,$B647,'Per Line'!$AP$2:$AP$4001,0,'Per Line'!$AQ$2:$AQ$4001,0))</f>
        <v/>
      </c>
      <c r="S647" s="7">
        <f>IF($AA647="","",R647*Q647)</f>
        <v/>
      </c>
      <c r="T647">
        <f>IF($AA647="","",Settings!$C$6)</f>
        <v/>
      </c>
      <c r="U647" s="7">
        <f>IF($AA647="","",SUMIFS('Per Line'!$Y$2:$Y$4001,'Per Line'!$E$2:$E$4001,$B647,'Per Line'!$AP$2:$AP$4001,1,'Per Line'!$AQ$2:$AQ$4001,0))</f>
        <v/>
      </c>
      <c r="V647" s="7">
        <f>IF($AA647="","",U647*T647)</f>
        <v/>
      </c>
      <c r="W647" s="7">
        <f>IF($AA647="","",V647+S647)</f>
        <v/>
      </c>
      <c r="X647" s="7">
        <f>IF($AA647="","",Y647-W647)</f>
        <v/>
      </c>
      <c r="Y647" s="7">
        <f>IF($AA647="","",R647+U647+P647)</f>
        <v/>
      </c>
      <c r="Z647" s="7">
        <f>IF($AA647="","",Y647-W647-L647)</f>
        <v/>
      </c>
      <c r="AA647" s="13">
        <f>IF(ROWS($AA$2:$AA647)&lt;=MAX('Per Line'!$AO$2:$AO$4001),MATCH(ROWS($AA$2:$AA647),'Per Line'!$AO$2:$AO$4001,0),"")</f>
        <v/>
      </c>
      <c r="AB647" s="14">
        <f>IF($AA647="","",L647-K647*Y647/100)</f>
        <v/>
      </c>
    </row>
    <row r="648">
      <c r="A648" s="12" t="n"/>
      <c r="B648">
        <f>IF($AA648="","",INDEX('Per Line'!$E$2:$E$4001,$AA648)&amp;"")</f>
        <v/>
      </c>
      <c r="C648">
        <f>IF($AA648="","",INDEX('Per Line'!$A$2:$A$4001,$AA648)&amp;"")</f>
        <v/>
      </c>
      <c r="D648">
        <f>IF($AA648="","",INDEX('Per Line'!$D$2:$D$4001,$AA648)&amp;"")</f>
        <v/>
      </c>
      <c r="E648" s="11">
        <f>IF($AA648="","",INDEX('Per Line'!$G$2:$G$4001,$AA648))</f>
        <v/>
      </c>
      <c r="F648">
        <f>IF($AA648="","",INDEX('Per Line'!$H$2:$H$4001,$AA648)&amp;"")</f>
        <v/>
      </c>
      <c r="G648">
        <f>IF($AA648="","",INDEX('Per Line'!$I$2:$I$4001,$AA648)&amp;"")</f>
        <v/>
      </c>
      <c r="H648">
        <f>IF($AA648="","",INDEX('Per Line'!$J$2:$J$4001,$AA648)&amp;"")</f>
        <v/>
      </c>
      <c r="I648">
        <f>IF($AA648="","",INDEX('Per Line'!$K$2:$K$4001,$AA648)&amp;"")</f>
        <v/>
      </c>
      <c r="J648">
        <f>IF($AA648="","",INDEX('Per Line'!$L$2:$L$4001,$AA648)&amp;"")</f>
        <v/>
      </c>
      <c r="K648">
        <f>IF($AA648="","",INDEX('Per Line'!$P$2:$P$4001,$AA648))</f>
        <v/>
      </c>
      <c r="L648" s="7">
        <f>IF($AA648="","",IF(AND(ISNUMBER(N648),N648&gt;0,Y648&gt;N648),K648*N648/100+(Y648-N648),K648*Y648/100))</f>
        <v/>
      </c>
      <c r="M648">
        <f>IF($AA648="","",INDEX('Per Line'!$Z$2:$Z$4001,$AA648)&amp;"")</f>
        <v/>
      </c>
      <c r="N648">
        <f>IF($AA648="","",INDEX('Per Line'!$AG$2:$AG$4001,$AA648))</f>
        <v/>
      </c>
      <c r="O648">
        <f>IF($AA648="","",IF(AND(ISNUMBER(N648),N648&gt;0),Y648&gt;N648,FALSE))</f>
        <v/>
      </c>
      <c r="P648" s="7">
        <f>IF($AA648="","",SUMIFS('Per Line'!$Y$2:$Y$4001,'Per Line'!$E$2:$E$4001,$B648,'Per Line'!$AQ$2:$AQ$4001,1))</f>
        <v/>
      </c>
      <c r="Q648">
        <f>IF($AA648="","",Settings!$C$7)</f>
        <v/>
      </c>
      <c r="R648" s="7">
        <f>IF($AA648="","",SUMIFS('Per Line'!$Y$2:$Y$4001,'Per Line'!$E$2:$E$4001,$B648,'Per Line'!$AP$2:$AP$4001,0,'Per Line'!$AQ$2:$AQ$4001,0))</f>
        <v/>
      </c>
      <c r="S648" s="7">
        <f>IF($AA648="","",R648*Q648)</f>
        <v/>
      </c>
      <c r="T648">
        <f>IF($AA648="","",Settings!$C$6)</f>
        <v/>
      </c>
      <c r="U648" s="7">
        <f>IF($AA648="","",SUMIFS('Per Line'!$Y$2:$Y$4001,'Per Line'!$E$2:$E$4001,$B648,'Per Line'!$AP$2:$AP$4001,1,'Per Line'!$AQ$2:$AQ$4001,0))</f>
        <v/>
      </c>
      <c r="V648" s="7">
        <f>IF($AA648="","",U648*T648)</f>
        <v/>
      </c>
      <c r="W648" s="7">
        <f>IF($AA648="","",V648+S648)</f>
        <v/>
      </c>
      <c r="X648" s="7">
        <f>IF($AA648="","",Y648-W648)</f>
        <v/>
      </c>
      <c r="Y648" s="7">
        <f>IF($AA648="","",R648+U648+P648)</f>
        <v/>
      </c>
      <c r="Z648" s="7">
        <f>IF($AA648="","",Y648-W648-L648)</f>
        <v/>
      </c>
      <c r="AA648" s="13">
        <f>IF(ROWS($AA$2:$AA648)&lt;=MAX('Per Line'!$AO$2:$AO$4001),MATCH(ROWS($AA$2:$AA648),'Per Line'!$AO$2:$AO$4001,0),"")</f>
        <v/>
      </c>
      <c r="AB648" s="14">
        <f>IF($AA648="","",L648-K648*Y648/100)</f>
        <v/>
      </c>
    </row>
    <row r="649">
      <c r="A649" s="12" t="n"/>
      <c r="B649">
        <f>IF($AA649="","",INDEX('Per Line'!$E$2:$E$4001,$AA649)&amp;"")</f>
        <v/>
      </c>
      <c r="C649">
        <f>IF($AA649="","",INDEX('Per Line'!$A$2:$A$4001,$AA649)&amp;"")</f>
        <v/>
      </c>
      <c r="D649">
        <f>IF($AA649="","",INDEX('Per Line'!$D$2:$D$4001,$AA649)&amp;"")</f>
        <v/>
      </c>
      <c r="E649" s="11">
        <f>IF($AA649="","",INDEX('Per Line'!$G$2:$G$4001,$AA649))</f>
        <v/>
      </c>
      <c r="F649">
        <f>IF($AA649="","",INDEX('Per Line'!$H$2:$H$4001,$AA649)&amp;"")</f>
        <v/>
      </c>
      <c r="G649">
        <f>IF($AA649="","",INDEX('Per Line'!$I$2:$I$4001,$AA649)&amp;"")</f>
        <v/>
      </c>
      <c r="H649">
        <f>IF($AA649="","",INDEX('Per Line'!$J$2:$J$4001,$AA649)&amp;"")</f>
        <v/>
      </c>
      <c r="I649">
        <f>IF($AA649="","",INDEX('Per Line'!$K$2:$K$4001,$AA649)&amp;"")</f>
        <v/>
      </c>
      <c r="J649">
        <f>IF($AA649="","",INDEX('Per Line'!$L$2:$L$4001,$AA649)&amp;"")</f>
        <v/>
      </c>
      <c r="K649">
        <f>IF($AA649="","",INDEX('Per Line'!$P$2:$P$4001,$AA649))</f>
        <v/>
      </c>
      <c r="L649" s="7">
        <f>IF($AA649="","",IF(AND(ISNUMBER(N649),N649&gt;0,Y649&gt;N649),K649*N649/100+(Y649-N649),K649*Y649/100))</f>
        <v/>
      </c>
      <c r="M649">
        <f>IF($AA649="","",INDEX('Per Line'!$Z$2:$Z$4001,$AA649)&amp;"")</f>
        <v/>
      </c>
      <c r="N649">
        <f>IF($AA649="","",INDEX('Per Line'!$AG$2:$AG$4001,$AA649))</f>
        <v/>
      </c>
      <c r="O649">
        <f>IF($AA649="","",IF(AND(ISNUMBER(N649),N649&gt;0),Y649&gt;N649,FALSE))</f>
        <v/>
      </c>
      <c r="P649" s="7">
        <f>IF($AA649="","",SUMIFS('Per Line'!$Y$2:$Y$4001,'Per Line'!$E$2:$E$4001,$B649,'Per Line'!$AQ$2:$AQ$4001,1))</f>
        <v/>
      </c>
      <c r="Q649">
        <f>IF($AA649="","",Settings!$C$7)</f>
        <v/>
      </c>
      <c r="R649" s="7">
        <f>IF($AA649="","",SUMIFS('Per Line'!$Y$2:$Y$4001,'Per Line'!$E$2:$E$4001,$B649,'Per Line'!$AP$2:$AP$4001,0,'Per Line'!$AQ$2:$AQ$4001,0))</f>
        <v/>
      </c>
      <c r="S649" s="7">
        <f>IF($AA649="","",R649*Q649)</f>
        <v/>
      </c>
      <c r="T649">
        <f>IF($AA649="","",Settings!$C$6)</f>
        <v/>
      </c>
      <c r="U649" s="7">
        <f>IF($AA649="","",SUMIFS('Per Line'!$Y$2:$Y$4001,'Per Line'!$E$2:$E$4001,$B649,'Per Line'!$AP$2:$AP$4001,1,'Per Line'!$AQ$2:$AQ$4001,0))</f>
        <v/>
      </c>
      <c r="V649" s="7">
        <f>IF($AA649="","",U649*T649)</f>
        <v/>
      </c>
      <c r="W649" s="7">
        <f>IF($AA649="","",V649+S649)</f>
        <v/>
      </c>
      <c r="X649" s="7">
        <f>IF($AA649="","",Y649-W649)</f>
        <v/>
      </c>
      <c r="Y649" s="7">
        <f>IF($AA649="","",R649+U649+P649)</f>
        <v/>
      </c>
      <c r="Z649" s="7">
        <f>IF($AA649="","",Y649-W649-L649)</f>
        <v/>
      </c>
      <c r="AA649" s="13">
        <f>IF(ROWS($AA$2:$AA649)&lt;=MAX('Per Line'!$AO$2:$AO$4001),MATCH(ROWS($AA$2:$AA649),'Per Line'!$AO$2:$AO$4001,0),"")</f>
        <v/>
      </c>
      <c r="AB649" s="14">
        <f>IF($AA649="","",L649-K649*Y649/100)</f>
        <v/>
      </c>
    </row>
    <row r="650">
      <c r="A650" s="12" t="n"/>
      <c r="B650">
        <f>IF($AA650="","",INDEX('Per Line'!$E$2:$E$4001,$AA650)&amp;"")</f>
        <v/>
      </c>
      <c r="C650">
        <f>IF($AA650="","",INDEX('Per Line'!$A$2:$A$4001,$AA650)&amp;"")</f>
        <v/>
      </c>
      <c r="D650">
        <f>IF($AA650="","",INDEX('Per Line'!$D$2:$D$4001,$AA650)&amp;"")</f>
        <v/>
      </c>
      <c r="E650" s="11">
        <f>IF($AA650="","",INDEX('Per Line'!$G$2:$G$4001,$AA650))</f>
        <v/>
      </c>
      <c r="F650">
        <f>IF($AA650="","",INDEX('Per Line'!$H$2:$H$4001,$AA650)&amp;"")</f>
        <v/>
      </c>
      <c r="G650">
        <f>IF($AA650="","",INDEX('Per Line'!$I$2:$I$4001,$AA650)&amp;"")</f>
        <v/>
      </c>
      <c r="H650">
        <f>IF($AA650="","",INDEX('Per Line'!$J$2:$J$4001,$AA650)&amp;"")</f>
        <v/>
      </c>
      <c r="I650">
        <f>IF($AA650="","",INDEX('Per Line'!$K$2:$K$4001,$AA650)&amp;"")</f>
        <v/>
      </c>
      <c r="J650">
        <f>IF($AA650="","",INDEX('Per Line'!$L$2:$L$4001,$AA650)&amp;"")</f>
        <v/>
      </c>
      <c r="K650">
        <f>IF($AA650="","",INDEX('Per Line'!$P$2:$P$4001,$AA650))</f>
        <v/>
      </c>
      <c r="L650" s="7">
        <f>IF($AA650="","",IF(AND(ISNUMBER(N650),N650&gt;0,Y650&gt;N650),K650*N650/100+(Y650-N650),K650*Y650/100))</f>
        <v/>
      </c>
      <c r="M650">
        <f>IF($AA650="","",INDEX('Per Line'!$Z$2:$Z$4001,$AA650)&amp;"")</f>
        <v/>
      </c>
      <c r="N650">
        <f>IF($AA650="","",INDEX('Per Line'!$AG$2:$AG$4001,$AA650))</f>
        <v/>
      </c>
      <c r="O650">
        <f>IF($AA650="","",IF(AND(ISNUMBER(N650),N650&gt;0),Y650&gt;N650,FALSE))</f>
        <v/>
      </c>
      <c r="P650" s="7">
        <f>IF($AA650="","",SUMIFS('Per Line'!$Y$2:$Y$4001,'Per Line'!$E$2:$E$4001,$B650,'Per Line'!$AQ$2:$AQ$4001,1))</f>
        <v/>
      </c>
      <c r="Q650">
        <f>IF($AA650="","",Settings!$C$7)</f>
        <v/>
      </c>
      <c r="R650" s="7">
        <f>IF($AA650="","",SUMIFS('Per Line'!$Y$2:$Y$4001,'Per Line'!$E$2:$E$4001,$B650,'Per Line'!$AP$2:$AP$4001,0,'Per Line'!$AQ$2:$AQ$4001,0))</f>
        <v/>
      </c>
      <c r="S650" s="7">
        <f>IF($AA650="","",R650*Q650)</f>
        <v/>
      </c>
      <c r="T650">
        <f>IF($AA650="","",Settings!$C$6)</f>
        <v/>
      </c>
      <c r="U650" s="7">
        <f>IF($AA650="","",SUMIFS('Per Line'!$Y$2:$Y$4001,'Per Line'!$E$2:$E$4001,$B650,'Per Line'!$AP$2:$AP$4001,1,'Per Line'!$AQ$2:$AQ$4001,0))</f>
        <v/>
      </c>
      <c r="V650" s="7">
        <f>IF($AA650="","",U650*T650)</f>
        <v/>
      </c>
      <c r="W650" s="7">
        <f>IF($AA650="","",V650+S650)</f>
        <v/>
      </c>
      <c r="X650" s="7">
        <f>IF($AA650="","",Y650-W650)</f>
        <v/>
      </c>
      <c r="Y650" s="7">
        <f>IF($AA650="","",R650+U650+P650)</f>
        <v/>
      </c>
      <c r="Z650" s="7">
        <f>IF($AA650="","",Y650-W650-L650)</f>
        <v/>
      </c>
      <c r="AA650" s="13">
        <f>IF(ROWS($AA$2:$AA650)&lt;=MAX('Per Line'!$AO$2:$AO$4001),MATCH(ROWS($AA$2:$AA650),'Per Line'!$AO$2:$AO$4001,0),"")</f>
        <v/>
      </c>
      <c r="AB650" s="14">
        <f>IF($AA650="","",L650-K650*Y650/100)</f>
        <v/>
      </c>
    </row>
    <row r="651">
      <c r="A651" s="12" t="n"/>
      <c r="B651">
        <f>IF($AA651="","",INDEX('Per Line'!$E$2:$E$4001,$AA651)&amp;"")</f>
        <v/>
      </c>
      <c r="C651">
        <f>IF($AA651="","",INDEX('Per Line'!$A$2:$A$4001,$AA651)&amp;"")</f>
        <v/>
      </c>
      <c r="D651">
        <f>IF($AA651="","",INDEX('Per Line'!$D$2:$D$4001,$AA651)&amp;"")</f>
        <v/>
      </c>
      <c r="E651" s="11">
        <f>IF($AA651="","",INDEX('Per Line'!$G$2:$G$4001,$AA651))</f>
        <v/>
      </c>
      <c r="F651">
        <f>IF($AA651="","",INDEX('Per Line'!$H$2:$H$4001,$AA651)&amp;"")</f>
        <v/>
      </c>
      <c r="G651">
        <f>IF($AA651="","",INDEX('Per Line'!$I$2:$I$4001,$AA651)&amp;"")</f>
        <v/>
      </c>
      <c r="H651">
        <f>IF($AA651="","",INDEX('Per Line'!$J$2:$J$4001,$AA651)&amp;"")</f>
        <v/>
      </c>
      <c r="I651">
        <f>IF($AA651="","",INDEX('Per Line'!$K$2:$K$4001,$AA651)&amp;"")</f>
        <v/>
      </c>
      <c r="J651">
        <f>IF($AA651="","",INDEX('Per Line'!$L$2:$L$4001,$AA651)&amp;"")</f>
        <v/>
      </c>
      <c r="K651">
        <f>IF($AA651="","",INDEX('Per Line'!$P$2:$P$4001,$AA651))</f>
        <v/>
      </c>
      <c r="L651" s="7">
        <f>IF($AA651="","",IF(AND(ISNUMBER(N651),N651&gt;0,Y651&gt;N651),K651*N651/100+(Y651-N651),K651*Y651/100))</f>
        <v/>
      </c>
      <c r="M651">
        <f>IF($AA651="","",INDEX('Per Line'!$Z$2:$Z$4001,$AA651)&amp;"")</f>
        <v/>
      </c>
      <c r="N651">
        <f>IF($AA651="","",INDEX('Per Line'!$AG$2:$AG$4001,$AA651))</f>
        <v/>
      </c>
      <c r="O651">
        <f>IF($AA651="","",IF(AND(ISNUMBER(N651),N651&gt;0),Y651&gt;N651,FALSE))</f>
        <v/>
      </c>
      <c r="P651" s="7">
        <f>IF($AA651="","",SUMIFS('Per Line'!$Y$2:$Y$4001,'Per Line'!$E$2:$E$4001,$B651,'Per Line'!$AQ$2:$AQ$4001,1))</f>
        <v/>
      </c>
      <c r="Q651">
        <f>IF($AA651="","",Settings!$C$7)</f>
        <v/>
      </c>
      <c r="R651" s="7">
        <f>IF($AA651="","",SUMIFS('Per Line'!$Y$2:$Y$4001,'Per Line'!$E$2:$E$4001,$B651,'Per Line'!$AP$2:$AP$4001,0,'Per Line'!$AQ$2:$AQ$4001,0))</f>
        <v/>
      </c>
      <c r="S651" s="7">
        <f>IF($AA651="","",R651*Q651)</f>
        <v/>
      </c>
      <c r="T651">
        <f>IF($AA651="","",Settings!$C$6)</f>
        <v/>
      </c>
      <c r="U651" s="7">
        <f>IF($AA651="","",SUMIFS('Per Line'!$Y$2:$Y$4001,'Per Line'!$E$2:$E$4001,$B651,'Per Line'!$AP$2:$AP$4001,1,'Per Line'!$AQ$2:$AQ$4001,0))</f>
        <v/>
      </c>
      <c r="V651" s="7">
        <f>IF($AA651="","",U651*T651)</f>
        <v/>
      </c>
      <c r="W651" s="7">
        <f>IF($AA651="","",V651+S651)</f>
        <v/>
      </c>
      <c r="X651" s="7">
        <f>IF($AA651="","",Y651-W651)</f>
        <v/>
      </c>
      <c r="Y651" s="7">
        <f>IF($AA651="","",R651+U651+P651)</f>
        <v/>
      </c>
      <c r="Z651" s="7">
        <f>IF($AA651="","",Y651-W651-L651)</f>
        <v/>
      </c>
      <c r="AA651" s="13">
        <f>IF(ROWS($AA$2:$AA651)&lt;=MAX('Per Line'!$AO$2:$AO$4001),MATCH(ROWS($AA$2:$AA651),'Per Line'!$AO$2:$AO$4001,0),"")</f>
        <v/>
      </c>
      <c r="AB651" s="14">
        <f>IF($AA651="","",L651-K651*Y651/100)</f>
        <v/>
      </c>
    </row>
    <row r="652">
      <c r="A652" s="12" t="n"/>
      <c r="B652">
        <f>IF($AA652="","",INDEX('Per Line'!$E$2:$E$4001,$AA652)&amp;"")</f>
        <v/>
      </c>
      <c r="C652">
        <f>IF($AA652="","",INDEX('Per Line'!$A$2:$A$4001,$AA652)&amp;"")</f>
        <v/>
      </c>
      <c r="D652">
        <f>IF($AA652="","",INDEX('Per Line'!$D$2:$D$4001,$AA652)&amp;"")</f>
        <v/>
      </c>
      <c r="E652" s="11">
        <f>IF($AA652="","",INDEX('Per Line'!$G$2:$G$4001,$AA652))</f>
        <v/>
      </c>
      <c r="F652">
        <f>IF($AA652="","",INDEX('Per Line'!$H$2:$H$4001,$AA652)&amp;"")</f>
        <v/>
      </c>
      <c r="G652">
        <f>IF($AA652="","",INDEX('Per Line'!$I$2:$I$4001,$AA652)&amp;"")</f>
        <v/>
      </c>
      <c r="H652">
        <f>IF($AA652="","",INDEX('Per Line'!$J$2:$J$4001,$AA652)&amp;"")</f>
        <v/>
      </c>
      <c r="I652">
        <f>IF($AA652="","",INDEX('Per Line'!$K$2:$K$4001,$AA652)&amp;"")</f>
        <v/>
      </c>
      <c r="J652">
        <f>IF($AA652="","",INDEX('Per Line'!$L$2:$L$4001,$AA652)&amp;"")</f>
        <v/>
      </c>
      <c r="K652">
        <f>IF($AA652="","",INDEX('Per Line'!$P$2:$P$4001,$AA652))</f>
        <v/>
      </c>
      <c r="L652" s="7">
        <f>IF($AA652="","",IF(AND(ISNUMBER(N652),N652&gt;0,Y652&gt;N652),K652*N652/100+(Y652-N652),K652*Y652/100))</f>
        <v/>
      </c>
      <c r="M652">
        <f>IF($AA652="","",INDEX('Per Line'!$Z$2:$Z$4001,$AA652)&amp;"")</f>
        <v/>
      </c>
      <c r="N652">
        <f>IF($AA652="","",INDEX('Per Line'!$AG$2:$AG$4001,$AA652))</f>
        <v/>
      </c>
      <c r="O652">
        <f>IF($AA652="","",IF(AND(ISNUMBER(N652),N652&gt;0),Y652&gt;N652,FALSE))</f>
        <v/>
      </c>
      <c r="P652" s="7">
        <f>IF($AA652="","",SUMIFS('Per Line'!$Y$2:$Y$4001,'Per Line'!$E$2:$E$4001,$B652,'Per Line'!$AQ$2:$AQ$4001,1))</f>
        <v/>
      </c>
      <c r="Q652">
        <f>IF($AA652="","",Settings!$C$7)</f>
        <v/>
      </c>
      <c r="R652" s="7">
        <f>IF($AA652="","",SUMIFS('Per Line'!$Y$2:$Y$4001,'Per Line'!$E$2:$E$4001,$B652,'Per Line'!$AP$2:$AP$4001,0,'Per Line'!$AQ$2:$AQ$4001,0))</f>
        <v/>
      </c>
      <c r="S652" s="7">
        <f>IF($AA652="","",R652*Q652)</f>
        <v/>
      </c>
      <c r="T652">
        <f>IF($AA652="","",Settings!$C$6)</f>
        <v/>
      </c>
      <c r="U652" s="7">
        <f>IF($AA652="","",SUMIFS('Per Line'!$Y$2:$Y$4001,'Per Line'!$E$2:$E$4001,$B652,'Per Line'!$AP$2:$AP$4001,1,'Per Line'!$AQ$2:$AQ$4001,0))</f>
        <v/>
      </c>
      <c r="V652" s="7">
        <f>IF($AA652="","",U652*T652)</f>
        <v/>
      </c>
      <c r="W652" s="7">
        <f>IF($AA652="","",V652+S652)</f>
        <v/>
      </c>
      <c r="X652" s="7">
        <f>IF($AA652="","",Y652-W652)</f>
        <v/>
      </c>
      <c r="Y652" s="7">
        <f>IF($AA652="","",R652+U652+P652)</f>
        <v/>
      </c>
      <c r="Z652" s="7">
        <f>IF($AA652="","",Y652-W652-L652)</f>
        <v/>
      </c>
      <c r="AA652" s="13">
        <f>IF(ROWS($AA$2:$AA652)&lt;=MAX('Per Line'!$AO$2:$AO$4001),MATCH(ROWS($AA$2:$AA652),'Per Line'!$AO$2:$AO$4001,0),"")</f>
        <v/>
      </c>
      <c r="AB652" s="14">
        <f>IF($AA652="","",L652-K652*Y652/100)</f>
        <v/>
      </c>
    </row>
    <row r="653">
      <c r="A653" s="12" t="n"/>
      <c r="B653">
        <f>IF($AA653="","",INDEX('Per Line'!$E$2:$E$4001,$AA653)&amp;"")</f>
        <v/>
      </c>
      <c r="C653">
        <f>IF($AA653="","",INDEX('Per Line'!$A$2:$A$4001,$AA653)&amp;"")</f>
        <v/>
      </c>
      <c r="D653">
        <f>IF($AA653="","",INDEX('Per Line'!$D$2:$D$4001,$AA653)&amp;"")</f>
        <v/>
      </c>
      <c r="E653" s="11">
        <f>IF($AA653="","",INDEX('Per Line'!$G$2:$G$4001,$AA653))</f>
        <v/>
      </c>
      <c r="F653">
        <f>IF($AA653="","",INDEX('Per Line'!$H$2:$H$4001,$AA653)&amp;"")</f>
        <v/>
      </c>
      <c r="G653">
        <f>IF($AA653="","",INDEX('Per Line'!$I$2:$I$4001,$AA653)&amp;"")</f>
        <v/>
      </c>
      <c r="H653">
        <f>IF($AA653="","",INDEX('Per Line'!$J$2:$J$4001,$AA653)&amp;"")</f>
        <v/>
      </c>
      <c r="I653">
        <f>IF($AA653="","",INDEX('Per Line'!$K$2:$K$4001,$AA653)&amp;"")</f>
        <v/>
      </c>
      <c r="J653">
        <f>IF($AA653="","",INDEX('Per Line'!$L$2:$L$4001,$AA653)&amp;"")</f>
        <v/>
      </c>
      <c r="K653">
        <f>IF($AA653="","",INDEX('Per Line'!$P$2:$P$4001,$AA653))</f>
        <v/>
      </c>
      <c r="L653" s="7">
        <f>IF($AA653="","",IF(AND(ISNUMBER(N653),N653&gt;0,Y653&gt;N653),K653*N653/100+(Y653-N653),K653*Y653/100))</f>
        <v/>
      </c>
      <c r="M653">
        <f>IF($AA653="","",INDEX('Per Line'!$Z$2:$Z$4001,$AA653)&amp;"")</f>
        <v/>
      </c>
      <c r="N653">
        <f>IF($AA653="","",INDEX('Per Line'!$AG$2:$AG$4001,$AA653))</f>
        <v/>
      </c>
      <c r="O653">
        <f>IF($AA653="","",IF(AND(ISNUMBER(N653),N653&gt;0),Y653&gt;N653,FALSE))</f>
        <v/>
      </c>
      <c r="P653" s="7">
        <f>IF($AA653="","",SUMIFS('Per Line'!$Y$2:$Y$4001,'Per Line'!$E$2:$E$4001,$B653,'Per Line'!$AQ$2:$AQ$4001,1))</f>
        <v/>
      </c>
      <c r="Q653">
        <f>IF($AA653="","",Settings!$C$7)</f>
        <v/>
      </c>
      <c r="R653" s="7">
        <f>IF($AA653="","",SUMIFS('Per Line'!$Y$2:$Y$4001,'Per Line'!$E$2:$E$4001,$B653,'Per Line'!$AP$2:$AP$4001,0,'Per Line'!$AQ$2:$AQ$4001,0))</f>
        <v/>
      </c>
      <c r="S653" s="7">
        <f>IF($AA653="","",R653*Q653)</f>
        <v/>
      </c>
      <c r="T653">
        <f>IF($AA653="","",Settings!$C$6)</f>
        <v/>
      </c>
      <c r="U653" s="7">
        <f>IF($AA653="","",SUMIFS('Per Line'!$Y$2:$Y$4001,'Per Line'!$E$2:$E$4001,$B653,'Per Line'!$AP$2:$AP$4001,1,'Per Line'!$AQ$2:$AQ$4001,0))</f>
        <v/>
      </c>
      <c r="V653" s="7">
        <f>IF($AA653="","",U653*T653)</f>
        <v/>
      </c>
      <c r="W653" s="7">
        <f>IF($AA653="","",V653+S653)</f>
        <v/>
      </c>
      <c r="X653" s="7">
        <f>IF($AA653="","",Y653-W653)</f>
        <v/>
      </c>
      <c r="Y653" s="7">
        <f>IF($AA653="","",R653+U653+P653)</f>
        <v/>
      </c>
      <c r="Z653" s="7">
        <f>IF($AA653="","",Y653-W653-L653)</f>
        <v/>
      </c>
      <c r="AA653" s="13">
        <f>IF(ROWS($AA$2:$AA653)&lt;=MAX('Per Line'!$AO$2:$AO$4001),MATCH(ROWS($AA$2:$AA653),'Per Line'!$AO$2:$AO$4001,0),"")</f>
        <v/>
      </c>
      <c r="AB653" s="14">
        <f>IF($AA653="","",L653-K653*Y653/100)</f>
        <v/>
      </c>
    </row>
    <row r="654">
      <c r="A654" s="12" t="n"/>
      <c r="B654">
        <f>IF($AA654="","",INDEX('Per Line'!$E$2:$E$4001,$AA654)&amp;"")</f>
        <v/>
      </c>
      <c r="C654">
        <f>IF($AA654="","",INDEX('Per Line'!$A$2:$A$4001,$AA654)&amp;"")</f>
        <v/>
      </c>
      <c r="D654">
        <f>IF($AA654="","",INDEX('Per Line'!$D$2:$D$4001,$AA654)&amp;"")</f>
        <v/>
      </c>
      <c r="E654" s="11">
        <f>IF($AA654="","",INDEX('Per Line'!$G$2:$G$4001,$AA654))</f>
        <v/>
      </c>
      <c r="F654">
        <f>IF($AA654="","",INDEX('Per Line'!$H$2:$H$4001,$AA654)&amp;"")</f>
        <v/>
      </c>
      <c r="G654">
        <f>IF($AA654="","",INDEX('Per Line'!$I$2:$I$4001,$AA654)&amp;"")</f>
        <v/>
      </c>
      <c r="H654">
        <f>IF($AA654="","",INDEX('Per Line'!$J$2:$J$4001,$AA654)&amp;"")</f>
        <v/>
      </c>
      <c r="I654">
        <f>IF($AA654="","",INDEX('Per Line'!$K$2:$K$4001,$AA654)&amp;"")</f>
        <v/>
      </c>
      <c r="J654">
        <f>IF($AA654="","",INDEX('Per Line'!$L$2:$L$4001,$AA654)&amp;"")</f>
        <v/>
      </c>
      <c r="K654">
        <f>IF($AA654="","",INDEX('Per Line'!$P$2:$P$4001,$AA654))</f>
        <v/>
      </c>
      <c r="L654" s="7">
        <f>IF($AA654="","",IF(AND(ISNUMBER(N654),N654&gt;0,Y654&gt;N654),K654*N654/100+(Y654-N654),K654*Y654/100))</f>
        <v/>
      </c>
      <c r="M654">
        <f>IF($AA654="","",INDEX('Per Line'!$Z$2:$Z$4001,$AA654)&amp;"")</f>
        <v/>
      </c>
      <c r="N654">
        <f>IF($AA654="","",INDEX('Per Line'!$AG$2:$AG$4001,$AA654))</f>
        <v/>
      </c>
      <c r="O654">
        <f>IF($AA654="","",IF(AND(ISNUMBER(N654),N654&gt;0),Y654&gt;N654,FALSE))</f>
        <v/>
      </c>
      <c r="P654" s="7">
        <f>IF($AA654="","",SUMIFS('Per Line'!$Y$2:$Y$4001,'Per Line'!$E$2:$E$4001,$B654,'Per Line'!$AQ$2:$AQ$4001,1))</f>
        <v/>
      </c>
      <c r="Q654">
        <f>IF($AA654="","",Settings!$C$7)</f>
        <v/>
      </c>
      <c r="R654" s="7">
        <f>IF($AA654="","",SUMIFS('Per Line'!$Y$2:$Y$4001,'Per Line'!$E$2:$E$4001,$B654,'Per Line'!$AP$2:$AP$4001,0,'Per Line'!$AQ$2:$AQ$4001,0))</f>
        <v/>
      </c>
      <c r="S654" s="7">
        <f>IF($AA654="","",R654*Q654)</f>
        <v/>
      </c>
      <c r="T654">
        <f>IF($AA654="","",Settings!$C$6)</f>
        <v/>
      </c>
      <c r="U654" s="7">
        <f>IF($AA654="","",SUMIFS('Per Line'!$Y$2:$Y$4001,'Per Line'!$E$2:$E$4001,$B654,'Per Line'!$AP$2:$AP$4001,1,'Per Line'!$AQ$2:$AQ$4001,0))</f>
        <v/>
      </c>
      <c r="V654" s="7">
        <f>IF($AA654="","",U654*T654)</f>
        <v/>
      </c>
      <c r="W654" s="7">
        <f>IF($AA654="","",V654+S654)</f>
        <v/>
      </c>
      <c r="X654" s="7">
        <f>IF($AA654="","",Y654-W654)</f>
        <v/>
      </c>
      <c r="Y654" s="7">
        <f>IF($AA654="","",R654+U654+P654)</f>
        <v/>
      </c>
      <c r="Z654" s="7">
        <f>IF($AA654="","",Y654-W654-L654)</f>
        <v/>
      </c>
      <c r="AA654" s="13">
        <f>IF(ROWS($AA$2:$AA654)&lt;=MAX('Per Line'!$AO$2:$AO$4001),MATCH(ROWS($AA$2:$AA654),'Per Line'!$AO$2:$AO$4001,0),"")</f>
        <v/>
      </c>
      <c r="AB654" s="14">
        <f>IF($AA654="","",L654-K654*Y654/100)</f>
        <v/>
      </c>
    </row>
    <row r="655">
      <c r="A655" s="12" t="n"/>
      <c r="B655">
        <f>IF($AA655="","",INDEX('Per Line'!$E$2:$E$4001,$AA655)&amp;"")</f>
        <v/>
      </c>
      <c r="C655">
        <f>IF($AA655="","",INDEX('Per Line'!$A$2:$A$4001,$AA655)&amp;"")</f>
        <v/>
      </c>
      <c r="D655">
        <f>IF($AA655="","",INDEX('Per Line'!$D$2:$D$4001,$AA655)&amp;"")</f>
        <v/>
      </c>
      <c r="E655" s="11">
        <f>IF($AA655="","",INDEX('Per Line'!$G$2:$G$4001,$AA655))</f>
        <v/>
      </c>
      <c r="F655">
        <f>IF($AA655="","",INDEX('Per Line'!$H$2:$H$4001,$AA655)&amp;"")</f>
        <v/>
      </c>
      <c r="G655">
        <f>IF($AA655="","",INDEX('Per Line'!$I$2:$I$4001,$AA655)&amp;"")</f>
        <v/>
      </c>
      <c r="H655">
        <f>IF($AA655="","",INDEX('Per Line'!$J$2:$J$4001,$AA655)&amp;"")</f>
        <v/>
      </c>
      <c r="I655">
        <f>IF($AA655="","",INDEX('Per Line'!$K$2:$K$4001,$AA655)&amp;"")</f>
        <v/>
      </c>
      <c r="J655">
        <f>IF($AA655="","",INDEX('Per Line'!$L$2:$L$4001,$AA655)&amp;"")</f>
        <v/>
      </c>
      <c r="K655">
        <f>IF($AA655="","",INDEX('Per Line'!$P$2:$P$4001,$AA655))</f>
        <v/>
      </c>
      <c r="L655" s="7">
        <f>IF($AA655="","",IF(AND(ISNUMBER(N655),N655&gt;0,Y655&gt;N655),K655*N655/100+(Y655-N655),K655*Y655/100))</f>
        <v/>
      </c>
      <c r="M655">
        <f>IF($AA655="","",INDEX('Per Line'!$Z$2:$Z$4001,$AA655)&amp;"")</f>
        <v/>
      </c>
      <c r="N655">
        <f>IF($AA655="","",INDEX('Per Line'!$AG$2:$AG$4001,$AA655))</f>
        <v/>
      </c>
      <c r="O655">
        <f>IF($AA655="","",IF(AND(ISNUMBER(N655),N655&gt;0),Y655&gt;N655,FALSE))</f>
        <v/>
      </c>
      <c r="P655" s="7">
        <f>IF($AA655="","",SUMIFS('Per Line'!$Y$2:$Y$4001,'Per Line'!$E$2:$E$4001,$B655,'Per Line'!$AQ$2:$AQ$4001,1))</f>
        <v/>
      </c>
      <c r="Q655">
        <f>IF($AA655="","",Settings!$C$7)</f>
        <v/>
      </c>
      <c r="R655" s="7">
        <f>IF($AA655="","",SUMIFS('Per Line'!$Y$2:$Y$4001,'Per Line'!$E$2:$E$4001,$B655,'Per Line'!$AP$2:$AP$4001,0,'Per Line'!$AQ$2:$AQ$4001,0))</f>
        <v/>
      </c>
      <c r="S655" s="7">
        <f>IF($AA655="","",R655*Q655)</f>
        <v/>
      </c>
      <c r="T655">
        <f>IF($AA655="","",Settings!$C$6)</f>
        <v/>
      </c>
      <c r="U655" s="7">
        <f>IF($AA655="","",SUMIFS('Per Line'!$Y$2:$Y$4001,'Per Line'!$E$2:$E$4001,$B655,'Per Line'!$AP$2:$AP$4001,1,'Per Line'!$AQ$2:$AQ$4001,0))</f>
        <v/>
      </c>
      <c r="V655" s="7">
        <f>IF($AA655="","",U655*T655)</f>
        <v/>
      </c>
      <c r="W655" s="7">
        <f>IF($AA655="","",V655+S655)</f>
        <v/>
      </c>
      <c r="X655" s="7">
        <f>IF($AA655="","",Y655-W655)</f>
        <v/>
      </c>
      <c r="Y655" s="7">
        <f>IF($AA655="","",R655+U655+P655)</f>
        <v/>
      </c>
      <c r="Z655" s="7">
        <f>IF($AA655="","",Y655-W655-L655)</f>
        <v/>
      </c>
      <c r="AA655" s="13">
        <f>IF(ROWS($AA$2:$AA655)&lt;=MAX('Per Line'!$AO$2:$AO$4001),MATCH(ROWS($AA$2:$AA655),'Per Line'!$AO$2:$AO$4001,0),"")</f>
        <v/>
      </c>
      <c r="AB655" s="14">
        <f>IF($AA655="","",L655-K655*Y655/100)</f>
        <v/>
      </c>
    </row>
    <row r="656">
      <c r="A656" s="12" t="n"/>
      <c r="B656">
        <f>IF($AA656="","",INDEX('Per Line'!$E$2:$E$4001,$AA656)&amp;"")</f>
        <v/>
      </c>
      <c r="C656">
        <f>IF($AA656="","",INDEX('Per Line'!$A$2:$A$4001,$AA656)&amp;"")</f>
        <v/>
      </c>
      <c r="D656">
        <f>IF($AA656="","",INDEX('Per Line'!$D$2:$D$4001,$AA656)&amp;"")</f>
        <v/>
      </c>
      <c r="E656" s="11">
        <f>IF($AA656="","",INDEX('Per Line'!$G$2:$G$4001,$AA656))</f>
        <v/>
      </c>
      <c r="F656">
        <f>IF($AA656="","",INDEX('Per Line'!$H$2:$H$4001,$AA656)&amp;"")</f>
        <v/>
      </c>
      <c r="G656">
        <f>IF($AA656="","",INDEX('Per Line'!$I$2:$I$4001,$AA656)&amp;"")</f>
        <v/>
      </c>
      <c r="H656">
        <f>IF($AA656="","",INDEX('Per Line'!$J$2:$J$4001,$AA656)&amp;"")</f>
        <v/>
      </c>
      <c r="I656">
        <f>IF($AA656="","",INDEX('Per Line'!$K$2:$K$4001,$AA656)&amp;"")</f>
        <v/>
      </c>
      <c r="J656">
        <f>IF($AA656="","",INDEX('Per Line'!$L$2:$L$4001,$AA656)&amp;"")</f>
        <v/>
      </c>
      <c r="K656">
        <f>IF($AA656="","",INDEX('Per Line'!$P$2:$P$4001,$AA656))</f>
        <v/>
      </c>
      <c r="L656" s="7">
        <f>IF($AA656="","",IF(AND(ISNUMBER(N656),N656&gt;0,Y656&gt;N656),K656*N656/100+(Y656-N656),K656*Y656/100))</f>
        <v/>
      </c>
      <c r="M656">
        <f>IF($AA656="","",INDEX('Per Line'!$Z$2:$Z$4001,$AA656)&amp;"")</f>
        <v/>
      </c>
      <c r="N656">
        <f>IF($AA656="","",INDEX('Per Line'!$AG$2:$AG$4001,$AA656))</f>
        <v/>
      </c>
      <c r="O656">
        <f>IF($AA656="","",IF(AND(ISNUMBER(N656),N656&gt;0),Y656&gt;N656,FALSE))</f>
        <v/>
      </c>
      <c r="P656" s="7">
        <f>IF($AA656="","",SUMIFS('Per Line'!$Y$2:$Y$4001,'Per Line'!$E$2:$E$4001,$B656,'Per Line'!$AQ$2:$AQ$4001,1))</f>
        <v/>
      </c>
      <c r="Q656">
        <f>IF($AA656="","",Settings!$C$7)</f>
        <v/>
      </c>
      <c r="R656" s="7">
        <f>IF($AA656="","",SUMIFS('Per Line'!$Y$2:$Y$4001,'Per Line'!$E$2:$E$4001,$B656,'Per Line'!$AP$2:$AP$4001,0,'Per Line'!$AQ$2:$AQ$4001,0))</f>
        <v/>
      </c>
      <c r="S656" s="7">
        <f>IF($AA656="","",R656*Q656)</f>
        <v/>
      </c>
      <c r="T656">
        <f>IF($AA656="","",Settings!$C$6)</f>
        <v/>
      </c>
      <c r="U656" s="7">
        <f>IF($AA656="","",SUMIFS('Per Line'!$Y$2:$Y$4001,'Per Line'!$E$2:$E$4001,$B656,'Per Line'!$AP$2:$AP$4001,1,'Per Line'!$AQ$2:$AQ$4001,0))</f>
        <v/>
      </c>
      <c r="V656" s="7">
        <f>IF($AA656="","",U656*T656)</f>
        <v/>
      </c>
      <c r="W656" s="7">
        <f>IF($AA656="","",V656+S656)</f>
        <v/>
      </c>
      <c r="X656" s="7">
        <f>IF($AA656="","",Y656-W656)</f>
        <v/>
      </c>
      <c r="Y656" s="7">
        <f>IF($AA656="","",R656+U656+P656)</f>
        <v/>
      </c>
      <c r="Z656" s="7">
        <f>IF($AA656="","",Y656-W656-L656)</f>
        <v/>
      </c>
      <c r="AA656" s="13">
        <f>IF(ROWS($AA$2:$AA656)&lt;=MAX('Per Line'!$AO$2:$AO$4001),MATCH(ROWS($AA$2:$AA656),'Per Line'!$AO$2:$AO$4001,0),"")</f>
        <v/>
      </c>
      <c r="AB656" s="14">
        <f>IF($AA656="","",L656-K656*Y656/100)</f>
        <v/>
      </c>
    </row>
    <row r="657">
      <c r="A657" s="12" t="n"/>
      <c r="B657">
        <f>IF($AA657="","",INDEX('Per Line'!$E$2:$E$4001,$AA657)&amp;"")</f>
        <v/>
      </c>
      <c r="C657">
        <f>IF($AA657="","",INDEX('Per Line'!$A$2:$A$4001,$AA657)&amp;"")</f>
        <v/>
      </c>
      <c r="D657">
        <f>IF($AA657="","",INDEX('Per Line'!$D$2:$D$4001,$AA657)&amp;"")</f>
        <v/>
      </c>
      <c r="E657" s="11">
        <f>IF($AA657="","",INDEX('Per Line'!$G$2:$G$4001,$AA657))</f>
        <v/>
      </c>
      <c r="F657">
        <f>IF($AA657="","",INDEX('Per Line'!$H$2:$H$4001,$AA657)&amp;"")</f>
        <v/>
      </c>
      <c r="G657">
        <f>IF($AA657="","",INDEX('Per Line'!$I$2:$I$4001,$AA657)&amp;"")</f>
        <v/>
      </c>
      <c r="H657">
        <f>IF($AA657="","",INDEX('Per Line'!$J$2:$J$4001,$AA657)&amp;"")</f>
        <v/>
      </c>
      <c r="I657">
        <f>IF($AA657="","",INDEX('Per Line'!$K$2:$K$4001,$AA657)&amp;"")</f>
        <v/>
      </c>
      <c r="J657">
        <f>IF($AA657="","",INDEX('Per Line'!$L$2:$L$4001,$AA657)&amp;"")</f>
        <v/>
      </c>
      <c r="K657">
        <f>IF($AA657="","",INDEX('Per Line'!$P$2:$P$4001,$AA657))</f>
        <v/>
      </c>
      <c r="L657" s="7">
        <f>IF($AA657="","",IF(AND(ISNUMBER(N657),N657&gt;0,Y657&gt;N657),K657*N657/100+(Y657-N657),K657*Y657/100))</f>
        <v/>
      </c>
      <c r="M657">
        <f>IF($AA657="","",INDEX('Per Line'!$Z$2:$Z$4001,$AA657)&amp;"")</f>
        <v/>
      </c>
      <c r="N657">
        <f>IF($AA657="","",INDEX('Per Line'!$AG$2:$AG$4001,$AA657))</f>
        <v/>
      </c>
      <c r="O657">
        <f>IF($AA657="","",IF(AND(ISNUMBER(N657),N657&gt;0),Y657&gt;N657,FALSE))</f>
        <v/>
      </c>
      <c r="P657" s="7">
        <f>IF($AA657="","",SUMIFS('Per Line'!$Y$2:$Y$4001,'Per Line'!$E$2:$E$4001,$B657,'Per Line'!$AQ$2:$AQ$4001,1))</f>
        <v/>
      </c>
      <c r="Q657">
        <f>IF($AA657="","",Settings!$C$7)</f>
        <v/>
      </c>
      <c r="R657" s="7">
        <f>IF($AA657="","",SUMIFS('Per Line'!$Y$2:$Y$4001,'Per Line'!$E$2:$E$4001,$B657,'Per Line'!$AP$2:$AP$4001,0,'Per Line'!$AQ$2:$AQ$4001,0))</f>
        <v/>
      </c>
      <c r="S657" s="7">
        <f>IF($AA657="","",R657*Q657)</f>
        <v/>
      </c>
      <c r="T657">
        <f>IF($AA657="","",Settings!$C$6)</f>
        <v/>
      </c>
      <c r="U657" s="7">
        <f>IF($AA657="","",SUMIFS('Per Line'!$Y$2:$Y$4001,'Per Line'!$E$2:$E$4001,$B657,'Per Line'!$AP$2:$AP$4001,1,'Per Line'!$AQ$2:$AQ$4001,0))</f>
        <v/>
      </c>
      <c r="V657" s="7">
        <f>IF($AA657="","",U657*T657)</f>
        <v/>
      </c>
      <c r="W657" s="7">
        <f>IF($AA657="","",V657+S657)</f>
        <v/>
      </c>
      <c r="X657" s="7">
        <f>IF($AA657="","",Y657-W657)</f>
        <v/>
      </c>
      <c r="Y657" s="7">
        <f>IF($AA657="","",R657+U657+P657)</f>
        <v/>
      </c>
      <c r="Z657" s="7">
        <f>IF($AA657="","",Y657-W657-L657)</f>
        <v/>
      </c>
      <c r="AA657" s="13">
        <f>IF(ROWS($AA$2:$AA657)&lt;=MAX('Per Line'!$AO$2:$AO$4001),MATCH(ROWS($AA$2:$AA657),'Per Line'!$AO$2:$AO$4001,0),"")</f>
        <v/>
      </c>
      <c r="AB657" s="14">
        <f>IF($AA657="","",L657-K657*Y657/100)</f>
        <v/>
      </c>
    </row>
    <row r="658">
      <c r="A658" s="12" t="n"/>
      <c r="B658">
        <f>IF($AA658="","",INDEX('Per Line'!$E$2:$E$4001,$AA658)&amp;"")</f>
        <v/>
      </c>
      <c r="C658">
        <f>IF($AA658="","",INDEX('Per Line'!$A$2:$A$4001,$AA658)&amp;"")</f>
        <v/>
      </c>
      <c r="D658">
        <f>IF($AA658="","",INDEX('Per Line'!$D$2:$D$4001,$AA658)&amp;"")</f>
        <v/>
      </c>
      <c r="E658" s="11">
        <f>IF($AA658="","",INDEX('Per Line'!$G$2:$G$4001,$AA658))</f>
        <v/>
      </c>
      <c r="F658">
        <f>IF($AA658="","",INDEX('Per Line'!$H$2:$H$4001,$AA658)&amp;"")</f>
        <v/>
      </c>
      <c r="G658">
        <f>IF($AA658="","",INDEX('Per Line'!$I$2:$I$4001,$AA658)&amp;"")</f>
        <v/>
      </c>
      <c r="H658">
        <f>IF($AA658="","",INDEX('Per Line'!$J$2:$J$4001,$AA658)&amp;"")</f>
        <v/>
      </c>
      <c r="I658">
        <f>IF($AA658="","",INDEX('Per Line'!$K$2:$K$4001,$AA658)&amp;"")</f>
        <v/>
      </c>
      <c r="J658">
        <f>IF($AA658="","",INDEX('Per Line'!$L$2:$L$4001,$AA658)&amp;"")</f>
        <v/>
      </c>
      <c r="K658">
        <f>IF($AA658="","",INDEX('Per Line'!$P$2:$P$4001,$AA658))</f>
        <v/>
      </c>
      <c r="L658" s="7">
        <f>IF($AA658="","",IF(AND(ISNUMBER(N658),N658&gt;0,Y658&gt;N658),K658*N658/100+(Y658-N658),K658*Y658/100))</f>
        <v/>
      </c>
      <c r="M658">
        <f>IF($AA658="","",INDEX('Per Line'!$Z$2:$Z$4001,$AA658)&amp;"")</f>
        <v/>
      </c>
      <c r="N658">
        <f>IF($AA658="","",INDEX('Per Line'!$AG$2:$AG$4001,$AA658))</f>
        <v/>
      </c>
      <c r="O658">
        <f>IF($AA658="","",IF(AND(ISNUMBER(N658),N658&gt;0),Y658&gt;N658,FALSE))</f>
        <v/>
      </c>
      <c r="P658" s="7">
        <f>IF($AA658="","",SUMIFS('Per Line'!$Y$2:$Y$4001,'Per Line'!$E$2:$E$4001,$B658,'Per Line'!$AQ$2:$AQ$4001,1))</f>
        <v/>
      </c>
      <c r="Q658">
        <f>IF($AA658="","",Settings!$C$7)</f>
        <v/>
      </c>
      <c r="R658" s="7">
        <f>IF($AA658="","",SUMIFS('Per Line'!$Y$2:$Y$4001,'Per Line'!$E$2:$E$4001,$B658,'Per Line'!$AP$2:$AP$4001,0,'Per Line'!$AQ$2:$AQ$4001,0))</f>
        <v/>
      </c>
      <c r="S658" s="7">
        <f>IF($AA658="","",R658*Q658)</f>
        <v/>
      </c>
      <c r="T658">
        <f>IF($AA658="","",Settings!$C$6)</f>
        <v/>
      </c>
      <c r="U658" s="7">
        <f>IF($AA658="","",SUMIFS('Per Line'!$Y$2:$Y$4001,'Per Line'!$E$2:$E$4001,$B658,'Per Line'!$AP$2:$AP$4001,1,'Per Line'!$AQ$2:$AQ$4001,0))</f>
        <v/>
      </c>
      <c r="V658" s="7">
        <f>IF($AA658="","",U658*T658)</f>
        <v/>
      </c>
      <c r="W658" s="7">
        <f>IF($AA658="","",V658+S658)</f>
        <v/>
      </c>
      <c r="X658" s="7">
        <f>IF($AA658="","",Y658-W658)</f>
        <v/>
      </c>
      <c r="Y658" s="7">
        <f>IF($AA658="","",R658+U658+P658)</f>
        <v/>
      </c>
      <c r="Z658" s="7">
        <f>IF($AA658="","",Y658-W658-L658)</f>
        <v/>
      </c>
      <c r="AA658" s="13">
        <f>IF(ROWS($AA$2:$AA658)&lt;=MAX('Per Line'!$AO$2:$AO$4001),MATCH(ROWS($AA$2:$AA658),'Per Line'!$AO$2:$AO$4001,0),"")</f>
        <v/>
      </c>
      <c r="AB658" s="14">
        <f>IF($AA658="","",L658-K658*Y658/100)</f>
        <v/>
      </c>
    </row>
    <row r="659">
      <c r="A659" s="12" t="n"/>
      <c r="B659">
        <f>IF($AA659="","",INDEX('Per Line'!$E$2:$E$4001,$AA659)&amp;"")</f>
        <v/>
      </c>
      <c r="C659">
        <f>IF($AA659="","",INDEX('Per Line'!$A$2:$A$4001,$AA659)&amp;"")</f>
        <v/>
      </c>
      <c r="D659">
        <f>IF($AA659="","",INDEX('Per Line'!$D$2:$D$4001,$AA659)&amp;"")</f>
        <v/>
      </c>
      <c r="E659" s="11">
        <f>IF($AA659="","",INDEX('Per Line'!$G$2:$G$4001,$AA659))</f>
        <v/>
      </c>
      <c r="F659">
        <f>IF($AA659="","",INDEX('Per Line'!$H$2:$H$4001,$AA659)&amp;"")</f>
        <v/>
      </c>
      <c r="G659">
        <f>IF($AA659="","",INDEX('Per Line'!$I$2:$I$4001,$AA659)&amp;"")</f>
        <v/>
      </c>
      <c r="H659">
        <f>IF($AA659="","",INDEX('Per Line'!$J$2:$J$4001,$AA659)&amp;"")</f>
        <v/>
      </c>
      <c r="I659">
        <f>IF($AA659="","",INDEX('Per Line'!$K$2:$K$4001,$AA659)&amp;"")</f>
        <v/>
      </c>
      <c r="J659">
        <f>IF($AA659="","",INDEX('Per Line'!$L$2:$L$4001,$AA659)&amp;"")</f>
        <v/>
      </c>
      <c r="K659">
        <f>IF($AA659="","",INDEX('Per Line'!$P$2:$P$4001,$AA659))</f>
        <v/>
      </c>
      <c r="L659" s="7">
        <f>IF($AA659="","",IF(AND(ISNUMBER(N659),N659&gt;0,Y659&gt;N659),K659*N659/100+(Y659-N659),K659*Y659/100))</f>
        <v/>
      </c>
      <c r="M659">
        <f>IF($AA659="","",INDEX('Per Line'!$Z$2:$Z$4001,$AA659)&amp;"")</f>
        <v/>
      </c>
      <c r="N659">
        <f>IF($AA659="","",INDEX('Per Line'!$AG$2:$AG$4001,$AA659))</f>
        <v/>
      </c>
      <c r="O659">
        <f>IF($AA659="","",IF(AND(ISNUMBER(N659),N659&gt;0),Y659&gt;N659,FALSE))</f>
        <v/>
      </c>
      <c r="P659" s="7">
        <f>IF($AA659="","",SUMIFS('Per Line'!$Y$2:$Y$4001,'Per Line'!$E$2:$E$4001,$B659,'Per Line'!$AQ$2:$AQ$4001,1))</f>
        <v/>
      </c>
      <c r="Q659">
        <f>IF($AA659="","",Settings!$C$7)</f>
        <v/>
      </c>
      <c r="R659" s="7">
        <f>IF($AA659="","",SUMIFS('Per Line'!$Y$2:$Y$4001,'Per Line'!$E$2:$E$4001,$B659,'Per Line'!$AP$2:$AP$4001,0,'Per Line'!$AQ$2:$AQ$4001,0))</f>
        <v/>
      </c>
      <c r="S659" s="7">
        <f>IF($AA659="","",R659*Q659)</f>
        <v/>
      </c>
      <c r="T659">
        <f>IF($AA659="","",Settings!$C$6)</f>
        <v/>
      </c>
      <c r="U659" s="7">
        <f>IF($AA659="","",SUMIFS('Per Line'!$Y$2:$Y$4001,'Per Line'!$E$2:$E$4001,$B659,'Per Line'!$AP$2:$AP$4001,1,'Per Line'!$AQ$2:$AQ$4001,0))</f>
        <v/>
      </c>
      <c r="V659" s="7">
        <f>IF($AA659="","",U659*T659)</f>
        <v/>
      </c>
      <c r="W659" s="7">
        <f>IF($AA659="","",V659+S659)</f>
        <v/>
      </c>
      <c r="X659" s="7">
        <f>IF($AA659="","",Y659-W659)</f>
        <v/>
      </c>
      <c r="Y659" s="7">
        <f>IF($AA659="","",R659+U659+P659)</f>
        <v/>
      </c>
      <c r="Z659" s="7">
        <f>IF($AA659="","",Y659-W659-L659)</f>
        <v/>
      </c>
      <c r="AA659" s="13">
        <f>IF(ROWS($AA$2:$AA659)&lt;=MAX('Per Line'!$AO$2:$AO$4001),MATCH(ROWS($AA$2:$AA659),'Per Line'!$AO$2:$AO$4001,0),"")</f>
        <v/>
      </c>
      <c r="AB659" s="14">
        <f>IF($AA659="","",L659-K659*Y659/100)</f>
        <v/>
      </c>
    </row>
    <row r="660">
      <c r="A660" s="12" t="n"/>
      <c r="B660">
        <f>IF($AA660="","",INDEX('Per Line'!$E$2:$E$4001,$AA660)&amp;"")</f>
        <v/>
      </c>
      <c r="C660">
        <f>IF($AA660="","",INDEX('Per Line'!$A$2:$A$4001,$AA660)&amp;"")</f>
        <v/>
      </c>
      <c r="D660">
        <f>IF($AA660="","",INDEX('Per Line'!$D$2:$D$4001,$AA660)&amp;"")</f>
        <v/>
      </c>
      <c r="E660" s="11">
        <f>IF($AA660="","",INDEX('Per Line'!$G$2:$G$4001,$AA660))</f>
        <v/>
      </c>
      <c r="F660">
        <f>IF($AA660="","",INDEX('Per Line'!$H$2:$H$4001,$AA660)&amp;"")</f>
        <v/>
      </c>
      <c r="G660">
        <f>IF($AA660="","",INDEX('Per Line'!$I$2:$I$4001,$AA660)&amp;"")</f>
        <v/>
      </c>
      <c r="H660">
        <f>IF($AA660="","",INDEX('Per Line'!$J$2:$J$4001,$AA660)&amp;"")</f>
        <v/>
      </c>
      <c r="I660">
        <f>IF($AA660="","",INDEX('Per Line'!$K$2:$K$4001,$AA660)&amp;"")</f>
        <v/>
      </c>
      <c r="J660">
        <f>IF($AA660="","",INDEX('Per Line'!$L$2:$L$4001,$AA660)&amp;"")</f>
        <v/>
      </c>
      <c r="K660">
        <f>IF($AA660="","",INDEX('Per Line'!$P$2:$P$4001,$AA660))</f>
        <v/>
      </c>
      <c r="L660" s="7">
        <f>IF($AA660="","",IF(AND(ISNUMBER(N660),N660&gt;0,Y660&gt;N660),K660*N660/100+(Y660-N660),K660*Y660/100))</f>
        <v/>
      </c>
      <c r="M660">
        <f>IF($AA660="","",INDEX('Per Line'!$Z$2:$Z$4001,$AA660)&amp;"")</f>
        <v/>
      </c>
      <c r="N660">
        <f>IF($AA660="","",INDEX('Per Line'!$AG$2:$AG$4001,$AA660))</f>
        <v/>
      </c>
      <c r="O660">
        <f>IF($AA660="","",IF(AND(ISNUMBER(N660),N660&gt;0),Y660&gt;N660,FALSE))</f>
        <v/>
      </c>
      <c r="P660" s="7">
        <f>IF($AA660="","",SUMIFS('Per Line'!$Y$2:$Y$4001,'Per Line'!$E$2:$E$4001,$B660,'Per Line'!$AQ$2:$AQ$4001,1))</f>
        <v/>
      </c>
      <c r="Q660">
        <f>IF($AA660="","",Settings!$C$7)</f>
        <v/>
      </c>
      <c r="R660" s="7">
        <f>IF($AA660="","",SUMIFS('Per Line'!$Y$2:$Y$4001,'Per Line'!$E$2:$E$4001,$B660,'Per Line'!$AP$2:$AP$4001,0,'Per Line'!$AQ$2:$AQ$4001,0))</f>
        <v/>
      </c>
      <c r="S660" s="7">
        <f>IF($AA660="","",R660*Q660)</f>
        <v/>
      </c>
      <c r="T660">
        <f>IF($AA660="","",Settings!$C$6)</f>
        <v/>
      </c>
      <c r="U660" s="7">
        <f>IF($AA660="","",SUMIFS('Per Line'!$Y$2:$Y$4001,'Per Line'!$E$2:$E$4001,$B660,'Per Line'!$AP$2:$AP$4001,1,'Per Line'!$AQ$2:$AQ$4001,0))</f>
        <v/>
      </c>
      <c r="V660" s="7">
        <f>IF($AA660="","",U660*T660)</f>
        <v/>
      </c>
      <c r="W660" s="7">
        <f>IF($AA660="","",V660+S660)</f>
        <v/>
      </c>
      <c r="X660" s="7">
        <f>IF($AA660="","",Y660-W660)</f>
        <v/>
      </c>
      <c r="Y660" s="7">
        <f>IF($AA660="","",R660+U660+P660)</f>
        <v/>
      </c>
      <c r="Z660" s="7">
        <f>IF($AA660="","",Y660-W660-L660)</f>
        <v/>
      </c>
      <c r="AA660" s="13">
        <f>IF(ROWS($AA$2:$AA660)&lt;=MAX('Per Line'!$AO$2:$AO$4001),MATCH(ROWS($AA$2:$AA660),'Per Line'!$AO$2:$AO$4001,0),"")</f>
        <v/>
      </c>
      <c r="AB660" s="14">
        <f>IF($AA660="","",L660-K660*Y660/100)</f>
        <v/>
      </c>
    </row>
    <row r="661">
      <c r="A661" s="12" t="n"/>
      <c r="B661">
        <f>IF($AA661="","",INDEX('Per Line'!$E$2:$E$4001,$AA661)&amp;"")</f>
        <v/>
      </c>
      <c r="C661">
        <f>IF($AA661="","",INDEX('Per Line'!$A$2:$A$4001,$AA661)&amp;"")</f>
        <v/>
      </c>
      <c r="D661">
        <f>IF($AA661="","",INDEX('Per Line'!$D$2:$D$4001,$AA661)&amp;"")</f>
        <v/>
      </c>
      <c r="E661" s="11">
        <f>IF($AA661="","",INDEX('Per Line'!$G$2:$G$4001,$AA661))</f>
        <v/>
      </c>
      <c r="F661">
        <f>IF($AA661="","",INDEX('Per Line'!$H$2:$H$4001,$AA661)&amp;"")</f>
        <v/>
      </c>
      <c r="G661">
        <f>IF($AA661="","",INDEX('Per Line'!$I$2:$I$4001,$AA661)&amp;"")</f>
        <v/>
      </c>
      <c r="H661">
        <f>IF($AA661="","",INDEX('Per Line'!$J$2:$J$4001,$AA661)&amp;"")</f>
        <v/>
      </c>
      <c r="I661">
        <f>IF($AA661="","",INDEX('Per Line'!$K$2:$K$4001,$AA661)&amp;"")</f>
        <v/>
      </c>
      <c r="J661">
        <f>IF($AA661="","",INDEX('Per Line'!$L$2:$L$4001,$AA661)&amp;"")</f>
        <v/>
      </c>
      <c r="K661">
        <f>IF($AA661="","",INDEX('Per Line'!$P$2:$P$4001,$AA661))</f>
        <v/>
      </c>
      <c r="L661" s="7">
        <f>IF($AA661="","",IF(AND(ISNUMBER(N661),N661&gt;0,Y661&gt;N661),K661*N661/100+(Y661-N661),K661*Y661/100))</f>
        <v/>
      </c>
      <c r="M661">
        <f>IF($AA661="","",INDEX('Per Line'!$Z$2:$Z$4001,$AA661)&amp;"")</f>
        <v/>
      </c>
      <c r="N661">
        <f>IF($AA661="","",INDEX('Per Line'!$AG$2:$AG$4001,$AA661))</f>
        <v/>
      </c>
      <c r="O661">
        <f>IF($AA661="","",IF(AND(ISNUMBER(N661),N661&gt;0),Y661&gt;N661,FALSE))</f>
        <v/>
      </c>
      <c r="P661" s="7">
        <f>IF($AA661="","",SUMIFS('Per Line'!$Y$2:$Y$4001,'Per Line'!$E$2:$E$4001,$B661,'Per Line'!$AQ$2:$AQ$4001,1))</f>
        <v/>
      </c>
      <c r="Q661">
        <f>IF($AA661="","",Settings!$C$7)</f>
        <v/>
      </c>
      <c r="R661" s="7">
        <f>IF($AA661="","",SUMIFS('Per Line'!$Y$2:$Y$4001,'Per Line'!$E$2:$E$4001,$B661,'Per Line'!$AP$2:$AP$4001,0,'Per Line'!$AQ$2:$AQ$4001,0))</f>
        <v/>
      </c>
      <c r="S661" s="7">
        <f>IF($AA661="","",R661*Q661)</f>
        <v/>
      </c>
      <c r="T661">
        <f>IF($AA661="","",Settings!$C$6)</f>
        <v/>
      </c>
      <c r="U661" s="7">
        <f>IF($AA661="","",SUMIFS('Per Line'!$Y$2:$Y$4001,'Per Line'!$E$2:$E$4001,$B661,'Per Line'!$AP$2:$AP$4001,1,'Per Line'!$AQ$2:$AQ$4001,0))</f>
        <v/>
      </c>
      <c r="V661" s="7">
        <f>IF($AA661="","",U661*T661)</f>
        <v/>
      </c>
      <c r="W661" s="7">
        <f>IF($AA661="","",V661+S661)</f>
        <v/>
      </c>
      <c r="X661" s="7">
        <f>IF($AA661="","",Y661-W661)</f>
        <v/>
      </c>
      <c r="Y661" s="7">
        <f>IF($AA661="","",R661+U661+P661)</f>
        <v/>
      </c>
      <c r="Z661" s="7">
        <f>IF($AA661="","",Y661-W661-L661)</f>
        <v/>
      </c>
      <c r="AA661" s="13">
        <f>IF(ROWS($AA$2:$AA661)&lt;=MAX('Per Line'!$AO$2:$AO$4001),MATCH(ROWS($AA$2:$AA661),'Per Line'!$AO$2:$AO$4001,0),"")</f>
        <v/>
      </c>
      <c r="AB661" s="14">
        <f>IF($AA661="","",L661-K661*Y661/100)</f>
        <v/>
      </c>
    </row>
    <row r="662">
      <c r="A662" s="12" t="n"/>
      <c r="B662">
        <f>IF($AA662="","",INDEX('Per Line'!$E$2:$E$4001,$AA662)&amp;"")</f>
        <v/>
      </c>
      <c r="C662">
        <f>IF($AA662="","",INDEX('Per Line'!$A$2:$A$4001,$AA662)&amp;"")</f>
        <v/>
      </c>
      <c r="D662">
        <f>IF($AA662="","",INDEX('Per Line'!$D$2:$D$4001,$AA662)&amp;"")</f>
        <v/>
      </c>
      <c r="E662" s="11">
        <f>IF($AA662="","",INDEX('Per Line'!$G$2:$G$4001,$AA662))</f>
        <v/>
      </c>
      <c r="F662">
        <f>IF($AA662="","",INDEX('Per Line'!$H$2:$H$4001,$AA662)&amp;"")</f>
        <v/>
      </c>
      <c r="G662">
        <f>IF($AA662="","",INDEX('Per Line'!$I$2:$I$4001,$AA662)&amp;"")</f>
        <v/>
      </c>
      <c r="H662">
        <f>IF($AA662="","",INDEX('Per Line'!$J$2:$J$4001,$AA662)&amp;"")</f>
        <v/>
      </c>
      <c r="I662">
        <f>IF($AA662="","",INDEX('Per Line'!$K$2:$K$4001,$AA662)&amp;"")</f>
        <v/>
      </c>
      <c r="J662">
        <f>IF($AA662="","",INDEX('Per Line'!$L$2:$L$4001,$AA662)&amp;"")</f>
        <v/>
      </c>
      <c r="K662">
        <f>IF($AA662="","",INDEX('Per Line'!$P$2:$P$4001,$AA662))</f>
        <v/>
      </c>
      <c r="L662" s="7">
        <f>IF($AA662="","",IF(AND(ISNUMBER(N662),N662&gt;0,Y662&gt;N662),K662*N662/100+(Y662-N662),K662*Y662/100))</f>
        <v/>
      </c>
      <c r="M662">
        <f>IF($AA662="","",INDEX('Per Line'!$Z$2:$Z$4001,$AA662)&amp;"")</f>
        <v/>
      </c>
      <c r="N662">
        <f>IF($AA662="","",INDEX('Per Line'!$AG$2:$AG$4001,$AA662))</f>
        <v/>
      </c>
      <c r="O662">
        <f>IF($AA662="","",IF(AND(ISNUMBER(N662),N662&gt;0),Y662&gt;N662,FALSE))</f>
        <v/>
      </c>
      <c r="P662" s="7">
        <f>IF($AA662="","",SUMIFS('Per Line'!$Y$2:$Y$4001,'Per Line'!$E$2:$E$4001,$B662,'Per Line'!$AQ$2:$AQ$4001,1))</f>
        <v/>
      </c>
      <c r="Q662">
        <f>IF($AA662="","",Settings!$C$7)</f>
        <v/>
      </c>
      <c r="R662" s="7">
        <f>IF($AA662="","",SUMIFS('Per Line'!$Y$2:$Y$4001,'Per Line'!$E$2:$E$4001,$B662,'Per Line'!$AP$2:$AP$4001,0,'Per Line'!$AQ$2:$AQ$4001,0))</f>
        <v/>
      </c>
      <c r="S662" s="7">
        <f>IF($AA662="","",R662*Q662)</f>
        <v/>
      </c>
      <c r="T662">
        <f>IF($AA662="","",Settings!$C$6)</f>
        <v/>
      </c>
      <c r="U662" s="7">
        <f>IF($AA662="","",SUMIFS('Per Line'!$Y$2:$Y$4001,'Per Line'!$E$2:$E$4001,$B662,'Per Line'!$AP$2:$AP$4001,1,'Per Line'!$AQ$2:$AQ$4001,0))</f>
        <v/>
      </c>
      <c r="V662" s="7">
        <f>IF($AA662="","",U662*T662)</f>
        <v/>
      </c>
      <c r="W662" s="7">
        <f>IF($AA662="","",V662+S662)</f>
        <v/>
      </c>
      <c r="X662" s="7">
        <f>IF($AA662="","",Y662-W662)</f>
        <v/>
      </c>
      <c r="Y662" s="7">
        <f>IF($AA662="","",R662+U662+P662)</f>
        <v/>
      </c>
      <c r="Z662" s="7">
        <f>IF($AA662="","",Y662-W662-L662)</f>
        <v/>
      </c>
      <c r="AA662" s="13">
        <f>IF(ROWS($AA$2:$AA662)&lt;=MAX('Per Line'!$AO$2:$AO$4001),MATCH(ROWS($AA$2:$AA662),'Per Line'!$AO$2:$AO$4001,0),"")</f>
        <v/>
      </c>
      <c r="AB662" s="14">
        <f>IF($AA662="","",L662-K662*Y662/100)</f>
        <v/>
      </c>
    </row>
    <row r="663">
      <c r="A663" s="12" t="n"/>
      <c r="B663">
        <f>IF($AA663="","",INDEX('Per Line'!$E$2:$E$4001,$AA663)&amp;"")</f>
        <v/>
      </c>
      <c r="C663">
        <f>IF($AA663="","",INDEX('Per Line'!$A$2:$A$4001,$AA663)&amp;"")</f>
        <v/>
      </c>
      <c r="D663">
        <f>IF($AA663="","",INDEX('Per Line'!$D$2:$D$4001,$AA663)&amp;"")</f>
        <v/>
      </c>
      <c r="E663" s="11">
        <f>IF($AA663="","",INDEX('Per Line'!$G$2:$G$4001,$AA663))</f>
        <v/>
      </c>
      <c r="F663">
        <f>IF($AA663="","",INDEX('Per Line'!$H$2:$H$4001,$AA663)&amp;"")</f>
        <v/>
      </c>
      <c r="G663">
        <f>IF($AA663="","",INDEX('Per Line'!$I$2:$I$4001,$AA663)&amp;"")</f>
        <v/>
      </c>
      <c r="H663">
        <f>IF($AA663="","",INDEX('Per Line'!$J$2:$J$4001,$AA663)&amp;"")</f>
        <v/>
      </c>
      <c r="I663">
        <f>IF($AA663="","",INDEX('Per Line'!$K$2:$K$4001,$AA663)&amp;"")</f>
        <v/>
      </c>
      <c r="J663">
        <f>IF($AA663="","",INDEX('Per Line'!$L$2:$L$4001,$AA663)&amp;"")</f>
        <v/>
      </c>
      <c r="K663">
        <f>IF($AA663="","",INDEX('Per Line'!$P$2:$P$4001,$AA663))</f>
        <v/>
      </c>
      <c r="L663" s="7">
        <f>IF($AA663="","",IF(AND(ISNUMBER(N663),N663&gt;0,Y663&gt;N663),K663*N663/100+(Y663-N663),K663*Y663/100))</f>
        <v/>
      </c>
      <c r="M663">
        <f>IF($AA663="","",INDEX('Per Line'!$Z$2:$Z$4001,$AA663)&amp;"")</f>
        <v/>
      </c>
      <c r="N663">
        <f>IF($AA663="","",INDEX('Per Line'!$AG$2:$AG$4001,$AA663))</f>
        <v/>
      </c>
      <c r="O663">
        <f>IF($AA663="","",IF(AND(ISNUMBER(N663),N663&gt;0),Y663&gt;N663,FALSE))</f>
        <v/>
      </c>
      <c r="P663" s="7">
        <f>IF($AA663="","",SUMIFS('Per Line'!$Y$2:$Y$4001,'Per Line'!$E$2:$E$4001,$B663,'Per Line'!$AQ$2:$AQ$4001,1))</f>
        <v/>
      </c>
      <c r="Q663">
        <f>IF($AA663="","",Settings!$C$7)</f>
        <v/>
      </c>
      <c r="R663" s="7">
        <f>IF($AA663="","",SUMIFS('Per Line'!$Y$2:$Y$4001,'Per Line'!$E$2:$E$4001,$B663,'Per Line'!$AP$2:$AP$4001,0,'Per Line'!$AQ$2:$AQ$4001,0))</f>
        <v/>
      </c>
      <c r="S663" s="7">
        <f>IF($AA663="","",R663*Q663)</f>
        <v/>
      </c>
      <c r="T663">
        <f>IF($AA663="","",Settings!$C$6)</f>
        <v/>
      </c>
      <c r="U663" s="7">
        <f>IF($AA663="","",SUMIFS('Per Line'!$Y$2:$Y$4001,'Per Line'!$E$2:$E$4001,$B663,'Per Line'!$AP$2:$AP$4001,1,'Per Line'!$AQ$2:$AQ$4001,0))</f>
        <v/>
      </c>
      <c r="V663" s="7">
        <f>IF($AA663="","",U663*T663)</f>
        <v/>
      </c>
      <c r="W663" s="7">
        <f>IF($AA663="","",V663+S663)</f>
        <v/>
      </c>
      <c r="X663" s="7">
        <f>IF($AA663="","",Y663-W663)</f>
        <v/>
      </c>
      <c r="Y663" s="7">
        <f>IF($AA663="","",R663+U663+P663)</f>
        <v/>
      </c>
      <c r="Z663" s="7">
        <f>IF($AA663="","",Y663-W663-L663)</f>
        <v/>
      </c>
      <c r="AA663" s="13">
        <f>IF(ROWS($AA$2:$AA663)&lt;=MAX('Per Line'!$AO$2:$AO$4001),MATCH(ROWS($AA$2:$AA663),'Per Line'!$AO$2:$AO$4001,0),"")</f>
        <v/>
      </c>
      <c r="AB663" s="14">
        <f>IF($AA663="","",L663-K663*Y663/100)</f>
        <v/>
      </c>
    </row>
    <row r="664">
      <c r="A664" s="12" t="n"/>
      <c r="B664">
        <f>IF($AA664="","",INDEX('Per Line'!$E$2:$E$4001,$AA664)&amp;"")</f>
        <v/>
      </c>
      <c r="C664">
        <f>IF($AA664="","",INDEX('Per Line'!$A$2:$A$4001,$AA664)&amp;"")</f>
        <v/>
      </c>
      <c r="D664">
        <f>IF($AA664="","",INDEX('Per Line'!$D$2:$D$4001,$AA664)&amp;"")</f>
        <v/>
      </c>
      <c r="E664" s="11">
        <f>IF($AA664="","",INDEX('Per Line'!$G$2:$G$4001,$AA664))</f>
        <v/>
      </c>
      <c r="F664">
        <f>IF($AA664="","",INDEX('Per Line'!$H$2:$H$4001,$AA664)&amp;"")</f>
        <v/>
      </c>
      <c r="G664">
        <f>IF($AA664="","",INDEX('Per Line'!$I$2:$I$4001,$AA664)&amp;"")</f>
        <v/>
      </c>
      <c r="H664">
        <f>IF($AA664="","",INDEX('Per Line'!$J$2:$J$4001,$AA664)&amp;"")</f>
        <v/>
      </c>
      <c r="I664">
        <f>IF($AA664="","",INDEX('Per Line'!$K$2:$K$4001,$AA664)&amp;"")</f>
        <v/>
      </c>
      <c r="J664">
        <f>IF($AA664="","",INDEX('Per Line'!$L$2:$L$4001,$AA664)&amp;"")</f>
        <v/>
      </c>
      <c r="K664">
        <f>IF($AA664="","",INDEX('Per Line'!$P$2:$P$4001,$AA664))</f>
        <v/>
      </c>
      <c r="L664" s="7">
        <f>IF($AA664="","",IF(AND(ISNUMBER(N664),N664&gt;0,Y664&gt;N664),K664*N664/100+(Y664-N664),K664*Y664/100))</f>
        <v/>
      </c>
      <c r="M664">
        <f>IF($AA664="","",INDEX('Per Line'!$Z$2:$Z$4001,$AA664)&amp;"")</f>
        <v/>
      </c>
      <c r="N664">
        <f>IF($AA664="","",INDEX('Per Line'!$AG$2:$AG$4001,$AA664))</f>
        <v/>
      </c>
      <c r="O664">
        <f>IF($AA664="","",IF(AND(ISNUMBER(N664),N664&gt;0),Y664&gt;N664,FALSE))</f>
        <v/>
      </c>
      <c r="P664" s="7">
        <f>IF($AA664="","",SUMIFS('Per Line'!$Y$2:$Y$4001,'Per Line'!$E$2:$E$4001,$B664,'Per Line'!$AQ$2:$AQ$4001,1))</f>
        <v/>
      </c>
      <c r="Q664">
        <f>IF($AA664="","",Settings!$C$7)</f>
        <v/>
      </c>
      <c r="R664" s="7">
        <f>IF($AA664="","",SUMIFS('Per Line'!$Y$2:$Y$4001,'Per Line'!$E$2:$E$4001,$B664,'Per Line'!$AP$2:$AP$4001,0,'Per Line'!$AQ$2:$AQ$4001,0))</f>
        <v/>
      </c>
      <c r="S664" s="7">
        <f>IF($AA664="","",R664*Q664)</f>
        <v/>
      </c>
      <c r="T664">
        <f>IF($AA664="","",Settings!$C$6)</f>
        <v/>
      </c>
      <c r="U664" s="7">
        <f>IF($AA664="","",SUMIFS('Per Line'!$Y$2:$Y$4001,'Per Line'!$E$2:$E$4001,$B664,'Per Line'!$AP$2:$AP$4001,1,'Per Line'!$AQ$2:$AQ$4001,0))</f>
        <v/>
      </c>
      <c r="V664" s="7">
        <f>IF($AA664="","",U664*T664)</f>
        <v/>
      </c>
      <c r="W664" s="7">
        <f>IF($AA664="","",V664+S664)</f>
        <v/>
      </c>
      <c r="X664" s="7">
        <f>IF($AA664="","",Y664-W664)</f>
        <v/>
      </c>
      <c r="Y664" s="7">
        <f>IF($AA664="","",R664+U664+P664)</f>
        <v/>
      </c>
      <c r="Z664" s="7">
        <f>IF($AA664="","",Y664-W664-L664)</f>
        <v/>
      </c>
      <c r="AA664" s="13">
        <f>IF(ROWS($AA$2:$AA664)&lt;=MAX('Per Line'!$AO$2:$AO$4001),MATCH(ROWS($AA$2:$AA664),'Per Line'!$AO$2:$AO$4001,0),"")</f>
        <v/>
      </c>
      <c r="AB664" s="14">
        <f>IF($AA664="","",L664-K664*Y664/100)</f>
        <v/>
      </c>
    </row>
    <row r="665">
      <c r="A665" s="12" t="n"/>
      <c r="B665">
        <f>IF($AA665="","",INDEX('Per Line'!$E$2:$E$4001,$AA665)&amp;"")</f>
        <v/>
      </c>
      <c r="C665">
        <f>IF($AA665="","",INDEX('Per Line'!$A$2:$A$4001,$AA665)&amp;"")</f>
        <v/>
      </c>
      <c r="D665">
        <f>IF($AA665="","",INDEX('Per Line'!$D$2:$D$4001,$AA665)&amp;"")</f>
        <v/>
      </c>
      <c r="E665" s="11">
        <f>IF($AA665="","",INDEX('Per Line'!$G$2:$G$4001,$AA665))</f>
        <v/>
      </c>
      <c r="F665">
        <f>IF($AA665="","",INDEX('Per Line'!$H$2:$H$4001,$AA665)&amp;"")</f>
        <v/>
      </c>
      <c r="G665">
        <f>IF($AA665="","",INDEX('Per Line'!$I$2:$I$4001,$AA665)&amp;"")</f>
        <v/>
      </c>
      <c r="H665">
        <f>IF($AA665="","",INDEX('Per Line'!$J$2:$J$4001,$AA665)&amp;"")</f>
        <v/>
      </c>
      <c r="I665">
        <f>IF($AA665="","",INDEX('Per Line'!$K$2:$K$4001,$AA665)&amp;"")</f>
        <v/>
      </c>
      <c r="J665">
        <f>IF($AA665="","",INDEX('Per Line'!$L$2:$L$4001,$AA665)&amp;"")</f>
        <v/>
      </c>
      <c r="K665">
        <f>IF($AA665="","",INDEX('Per Line'!$P$2:$P$4001,$AA665))</f>
        <v/>
      </c>
      <c r="L665" s="7">
        <f>IF($AA665="","",IF(AND(ISNUMBER(N665),N665&gt;0,Y665&gt;N665),K665*N665/100+(Y665-N665),K665*Y665/100))</f>
        <v/>
      </c>
      <c r="M665">
        <f>IF($AA665="","",INDEX('Per Line'!$Z$2:$Z$4001,$AA665)&amp;"")</f>
        <v/>
      </c>
      <c r="N665">
        <f>IF($AA665="","",INDEX('Per Line'!$AG$2:$AG$4001,$AA665))</f>
        <v/>
      </c>
      <c r="O665">
        <f>IF($AA665="","",IF(AND(ISNUMBER(N665),N665&gt;0),Y665&gt;N665,FALSE))</f>
        <v/>
      </c>
      <c r="P665" s="7">
        <f>IF($AA665="","",SUMIFS('Per Line'!$Y$2:$Y$4001,'Per Line'!$E$2:$E$4001,$B665,'Per Line'!$AQ$2:$AQ$4001,1))</f>
        <v/>
      </c>
      <c r="Q665">
        <f>IF($AA665="","",Settings!$C$7)</f>
        <v/>
      </c>
      <c r="R665" s="7">
        <f>IF($AA665="","",SUMIFS('Per Line'!$Y$2:$Y$4001,'Per Line'!$E$2:$E$4001,$B665,'Per Line'!$AP$2:$AP$4001,0,'Per Line'!$AQ$2:$AQ$4001,0))</f>
        <v/>
      </c>
      <c r="S665" s="7">
        <f>IF($AA665="","",R665*Q665)</f>
        <v/>
      </c>
      <c r="T665">
        <f>IF($AA665="","",Settings!$C$6)</f>
        <v/>
      </c>
      <c r="U665" s="7">
        <f>IF($AA665="","",SUMIFS('Per Line'!$Y$2:$Y$4001,'Per Line'!$E$2:$E$4001,$B665,'Per Line'!$AP$2:$AP$4001,1,'Per Line'!$AQ$2:$AQ$4001,0))</f>
        <v/>
      </c>
      <c r="V665" s="7">
        <f>IF($AA665="","",U665*T665)</f>
        <v/>
      </c>
      <c r="W665" s="7">
        <f>IF($AA665="","",V665+S665)</f>
        <v/>
      </c>
      <c r="X665" s="7">
        <f>IF($AA665="","",Y665-W665)</f>
        <v/>
      </c>
      <c r="Y665" s="7">
        <f>IF($AA665="","",R665+U665+P665)</f>
        <v/>
      </c>
      <c r="Z665" s="7">
        <f>IF($AA665="","",Y665-W665-L665)</f>
        <v/>
      </c>
      <c r="AA665" s="13">
        <f>IF(ROWS($AA$2:$AA665)&lt;=MAX('Per Line'!$AO$2:$AO$4001),MATCH(ROWS($AA$2:$AA665),'Per Line'!$AO$2:$AO$4001,0),"")</f>
        <v/>
      </c>
      <c r="AB665" s="14">
        <f>IF($AA665="","",L665-K665*Y665/100)</f>
        <v/>
      </c>
    </row>
    <row r="666">
      <c r="A666" s="12" t="n"/>
      <c r="B666">
        <f>IF($AA666="","",INDEX('Per Line'!$E$2:$E$4001,$AA666)&amp;"")</f>
        <v/>
      </c>
      <c r="C666">
        <f>IF($AA666="","",INDEX('Per Line'!$A$2:$A$4001,$AA666)&amp;"")</f>
        <v/>
      </c>
      <c r="D666">
        <f>IF($AA666="","",INDEX('Per Line'!$D$2:$D$4001,$AA666)&amp;"")</f>
        <v/>
      </c>
      <c r="E666" s="11">
        <f>IF($AA666="","",INDEX('Per Line'!$G$2:$G$4001,$AA666))</f>
        <v/>
      </c>
      <c r="F666">
        <f>IF($AA666="","",INDEX('Per Line'!$H$2:$H$4001,$AA666)&amp;"")</f>
        <v/>
      </c>
      <c r="G666">
        <f>IF($AA666="","",INDEX('Per Line'!$I$2:$I$4001,$AA666)&amp;"")</f>
        <v/>
      </c>
      <c r="H666">
        <f>IF($AA666="","",INDEX('Per Line'!$J$2:$J$4001,$AA666)&amp;"")</f>
        <v/>
      </c>
      <c r="I666">
        <f>IF($AA666="","",INDEX('Per Line'!$K$2:$K$4001,$AA666)&amp;"")</f>
        <v/>
      </c>
      <c r="J666">
        <f>IF($AA666="","",INDEX('Per Line'!$L$2:$L$4001,$AA666)&amp;"")</f>
        <v/>
      </c>
      <c r="K666">
        <f>IF($AA666="","",INDEX('Per Line'!$P$2:$P$4001,$AA666))</f>
        <v/>
      </c>
      <c r="L666" s="7">
        <f>IF($AA666="","",IF(AND(ISNUMBER(N666),N666&gt;0,Y666&gt;N666),K666*N666/100+(Y666-N666),K666*Y666/100))</f>
        <v/>
      </c>
      <c r="M666">
        <f>IF($AA666="","",INDEX('Per Line'!$Z$2:$Z$4001,$AA666)&amp;"")</f>
        <v/>
      </c>
      <c r="N666">
        <f>IF($AA666="","",INDEX('Per Line'!$AG$2:$AG$4001,$AA666))</f>
        <v/>
      </c>
      <c r="O666">
        <f>IF($AA666="","",IF(AND(ISNUMBER(N666),N666&gt;0),Y666&gt;N666,FALSE))</f>
        <v/>
      </c>
      <c r="P666" s="7">
        <f>IF($AA666="","",SUMIFS('Per Line'!$Y$2:$Y$4001,'Per Line'!$E$2:$E$4001,$B666,'Per Line'!$AQ$2:$AQ$4001,1))</f>
        <v/>
      </c>
      <c r="Q666">
        <f>IF($AA666="","",Settings!$C$7)</f>
        <v/>
      </c>
      <c r="R666" s="7">
        <f>IF($AA666="","",SUMIFS('Per Line'!$Y$2:$Y$4001,'Per Line'!$E$2:$E$4001,$B666,'Per Line'!$AP$2:$AP$4001,0,'Per Line'!$AQ$2:$AQ$4001,0))</f>
        <v/>
      </c>
      <c r="S666" s="7">
        <f>IF($AA666="","",R666*Q666)</f>
        <v/>
      </c>
      <c r="T666">
        <f>IF($AA666="","",Settings!$C$6)</f>
        <v/>
      </c>
      <c r="U666" s="7">
        <f>IF($AA666="","",SUMIFS('Per Line'!$Y$2:$Y$4001,'Per Line'!$E$2:$E$4001,$B666,'Per Line'!$AP$2:$AP$4001,1,'Per Line'!$AQ$2:$AQ$4001,0))</f>
        <v/>
      </c>
      <c r="V666" s="7">
        <f>IF($AA666="","",U666*T666)</f>
        <v/>
      </c>
      <c r="W666" s="7">
        <f>IF($AA666="","",V666+S666)</f>
        <v/>
      </c>
      <c r="X666" s="7">
        <f>IF($AA666="","",Y666-W666)</f>
        <v/>
      </c>
      <c r="Y666" s="7">
        <f>IF($AA666="","",R666+U666+P666)</f>
        <v/>
      </c>
      <c r="Z666" s="7">
        <f>IF($AA666="","",Y666-W666-L666)</f>
        <v/>
      </c>
      <c r="AA666" s="13">
        <f>IF(ROWS($AA$2:$AA666)&lt;=MAX('Per Line'!$AO$2:$AO$4001),MATCH(ROWS($AA$2:$AA666),'Per Line'!$AO$2:$AO$4001,0),"")</f>
        <v/>
      </c>
      <c r="AB666" s="14">
        <f>IF($AA666="","",L666-K666*Y666/100)</f>
        <v/>
      </c>
    </row>
    <row r="667">
      <c r="A667" s="12" t="n"/>
      <c r="B667">
        <f>IF($AA667="","",INDEX('Per Line'!$E$2:$E$4001,$AA667)&amp;"")</f>
        <v/>
      </c>
      <c r="C667">
        <f>IF($AA667="","",INDEX('Per Line'!$A$2:$A$4001,$AA667)&amp;"")</f>
        <v/>
      </c>
      <c r="D667">
        <f>IF($AA667="","",INDEX('Per Line'!$D$2:$D$4001,$AA667)&amp;"")</f>
        <v/>
      </c>
      <c r="E667" s="11">
        <f>IF($AA667="","",INDEX('Per Line'!$G$2:$G$4001,$AA667))</f>
        <v/>
      </c>
      <c r="F667">
        <f>IF($AA667="","",INDEX('Per Line'!$H$2:$H$4001,$AA667)&amp;"")</f>
        <v/>
      </c>
      <c r="G667">
        <f>IF($AA667="","",INDEX('Per Line'!$I$2:$I$4001,$AA667)&amp;"")</f>
        <v/>
      </c>
      <c r="H667">
        <f>IF($AA667="","",INDEX('Per Line'!$J$2:$J$4001,$AA667)&amp;"")</f>
        <v/>
      </c>
      <c r="I667">
        <f>IF($AA667="","",INDEX('Per Line'!$K$2:$K$4001,$AA667)&amp;"")</f>
        <v/>
      </c>
      <c r="J667">
        <f>IF($AA667="","",INDEX('Per Line'!$L$2:$L$4001,$AA667)&amp;"")</f>
        <v/>
      </c>
      <c r="K667">
        <f>IF($AA667="","",INDEX('Per Line'!$P$2:$P$4001,$AA667))</f>
        <v/>
      </c>
      <c r="L667" s="7">
        <f>IF($AA667="","",IF(AND(ISNUMBER(N667),N667&gt;0,Y667&gt;N667),K667*N667/100+(Y667-N667),K667*Y667/100))</f>
        <v/>
      </c>
      <c r="M667">
        <f>IF($AA667="","",INDEX('Per Line'!$Z$2:$Z$4001,$AA667)&amp;"")</f>
        <v/>
      </c>
      <c r="N667">
        <f>IF($AA667="","",INDEX('Per Line'!$AG$2:$AG$4001,$AA667))</f>
        <v/>
      </c>
      <c r="O667">
        <f>IF($AA667="","",IF(AND(ISNUMBER(N667),N667&gt;0),Y667&gt;N667,FALSE))</f>
        <v/>
      </c>
      <c r="P667" s="7">
        <f>IF($AA667="","",SUMIFS('Per Line'!$Y$2:$Y$4001,'Per Line'!$E$2:$E$4001,$B667,'Per Line'!$AQ$2:$AQ$4001,1))</f>
        <v/>
      </c>
      <c r="Q667">
        <f>IF($AA667="","",Settings!$C$7)</f>
        <v/>
      </c>
      <c r="R667" s="7">
        <f>IF($AA667="","",SUMIFS('Per Line'!$Y$2:$Y$4001,'Per Line'!$E$2:$E$4001,$B667,'Per Line'!$AP$2:$AP$4001,0,'Per Line'!$AQ$2:$AQ$4001,0))</f>
        <v/>
      </c>
      <c r="S667" s="7">
        <f>IF($AA667="","",R667*Q667)</f>
        <v/>
      </c>
      <c r="T667">
        <f>IF($AA667="","",Settings!$C$6)</f>
        <v/>
      </c>
      <c r="U667" s="7">
        <f>IF($AA667="","",SUMIFS('Per Line'!$Y$2:$Y$4001,'Per Line'!$E$2:$E$4001,$B667,'Per Line'!$AP$2:$AP$4001,1,'Per Line'!$AQ$2:$AQ$4001,0))</f>
        <v/>
      </c>
      <c r="V667" s="7">
        <f>IF($AA667="","",U667*T667)</f>
        <v/>
      </c>
      <c r="W667" s="7">
        <f>IF($AA667="","",V667+S667)</f>
        <v/>
      </c>
      <c r="X667" s="7">
        <f>IF($AA667="","",Y667-W667)</f>
        <v/>
      </c>
      <c r="Y667" s="7">
        <f>IF($AA667="","",R667+U667+P667)</f>
        <v/>
      </c>
      <c r="Z667" s="7">
        <f>IF($AA667="","",Y667-W667-L667)</f>
        <v/>
      </c>
      <c r="AA667" s="13">
        <f>IF(ROWS($AA$2:$AA667)&lt;=MAX('Per Line'!$AO$2:$AO$4001),MATCH(ROWS($AA$2:$AA667),'Per Line'!$AO$2:$AO$4001,0),"")</f>
        <v/>
      </c>
      <c r="AB667" s="14">
        <f>IF($AA667="","",L667-K667*Y667/100)</f>
        <v/>
      </c>
    </row>
    <row r="668">
      <c r="A668" s="12" t="n"/>
      <c r="B668">
        <f>IF($AA668="","",INDEX('Per Line'!$E$2:$E$4001,$AA668)&amp;"")</f>
        <v/>
      </c>
      <c r="C668">
        <f>IF($AA668="","",INDEX('Per Line'!$A$2:$A$4001,$AA668)&amp;"")</f>
        <v/>
      </c>
      <c r="D668">
        <f>IF($AA668="","",INDEX('Per Line'!$D$2:$D$4001,$AA668)&amp;"")</f>
        <v/>
      </c>
      <c r="E668" s="11">
        <f>IF($AA668="","",INDEX('Per Line'!$G$2:$G$4001,$AA668))</f>
        <v/>
      </c>
      <c r="F668">
        <f>IF($AA668="","",INDEX('Per Line'!$H$2:$H$4001,$AA668)&amp;"")</f>
        <v/>
      </c>
      <c r="G668">
        <f>IF($AA668="","",INDEX('Per Line'!$I$2:$I$4001,$AA668)&amp;"")</f>
        <v/>
      </c>
      <c r="H668">
        <f>IF($AA668="","",INDEX('Per Line'!$J$2:$J$4001,$AA668)&amp;"")</f>
        <v/>
      </c>
      <c r="I668">
        <f>IF($AA668="","",INDEX('Per Line'!$K$2:$K$4001,$AA668)&amp;"")</f>
        <v/>
      </c>
      <c r="J668">
        <f>IF($AA668="","",INDEX('Per Line'!$L$2:$L$4001,$AA668)&amp;"")</f>
        <v/>
      </c>
      <c r="K668">
        <f>IF($AA668="","",INDEX('Per Line'!$P$2:$P$4001,$AA668))</f>
        <v/>
      </c>
      <c r="L668" s="7">
        <f>IF($AA668="","",IF(AND(ISNUMBER(N668),N668&gt;0,Y668&gt;N668),K668*N668/100+(Y668-N668),K668*Y668/100))</f>
        <v/>
      </c>
      <c r="M668">
        <f>IF($AA668="","",INDEX('Per Line'!$Z$2:$Z$4001,$AA668)&amp;"")</f>
        <v/>
      </c>
      <c r="N668">
        <f>IF($AA668="","",INDEX('Per Line'!$AG$2:$AG$4001,$AA668))</f>
        <v/>
      </c>
      <c r="O668">
        <f>IF($AA668="","",IF(AND(ISNUMBER(N668),N668&gt;0),Y668&gt;N668,FALSE))</f>
        <v/>
      </c>
      <c r="P668" s="7">
        <f>IF($AA668="","",SUMIFS('Per Line'!$Y$2:$Y$4001,'Per Line'!$E$2:$E$4001,$B668,'Per Line'!$AQ$2:$AQ$4001,1))</f>
        <v/>
      </c>
      <c r="Q668">
        <f>IF($AA668="","",Settings!$C$7)</f>
        <v/>
      </c>
      <c r="R668" s="7">
        <f>IF($AA668="","",SUMIFS('Per Line'!$Y$2:$Y$4001,'Per Line'!$E$2:$E$4001,$B668,'Per Line'!$AP$2:$AP$4001,0,'Per Line'!$AQ$2:$AQ$4001,0))</f>
        <v/>
      </c>
      <c r="S668" s="7">
        <f>IF($AA668="","",R668*Q668)</f>
        <v/>
      </c>
      <c r="T668">
        <f>IF($AA668="","",Settings!$C$6)</f>
        <v/>
      </c>
      <c r="U668" s="7">
        <f>IF($AA668="","",SUMIFS('Per Line'!$Y$2:$Y$4001,'Per Line'!$E$2:$E$4001,$B668,'Per Line'!$AP$2:$AP$4001,1,'Per Line'!$AQ$2:$AQ$4001,0))</f>
        <v/>
      </c>
      <c r="V668" s="7">
        <f>IF($AA668="","",U668*T668)</f>
        <v/>
      </c>
      <c r="W668" s="7">
        <f>IF($AA668="","",V668+S668)</f>
        <v/>
      </c>
      <c r="X668" s="7">
        <f>IF($AA668="","",Y668-W668)</f>
        <v/>
      </c>
      <c r="Y668" s="7">
        <f>IF($AA668="","",R668+U668+P668)</f>
        <v/>
      </c>
      <c r="Z668" s="7">
        <f>IF($AA668="","",Y668-W668-L668)</f>
        <v/>
      </c>
      <c r="AA668" s="13">
        <f>IF(ROWS($AA$2:$AA668)&lt;=MAX('Per Line'!$AO$2:$AO$4001),MATCH(ROWS($AA$2:$AA668),'Per Line'!$AO$2:$AO$4001,0),"")</f>
        <v/>
      </c>
      <c r="AB668" s="14">
        <f>IF($AA668="","",L668-K668*Y668/100)</f>
        <v/>
      </c>
    </row>
    <row r="669">
      <c r="A669" s="12" t="n"/>
      <c r="B669">
        <f>IF($AA669="","",INDEX('Per Line'!$E$2:$E$4001,$AA669)&amp;"")</f>
        <v/>
      </c>
      <c r="C669">
        <f>IF($AA669="","",INDEX('Per Line'!$A$2:$A$4001,$AA669)&amp;"")</f>
        <v/>
      </c>
      <c r="D669">
        <f>IF($AA669="","",INDEX('Per Line'!$D$2:$D$4001,$AA669)&amp;"")</f>
        <v/>
      </c>
      <c r="E669" s="11">
        <f>IF($AA669="","",INDEX('Per Line'!$G$2:$G$4001,$AA669))</f>
        <v/>
      </c>
      <c r="F669">
        <f>IF($AA669="","",INDEX('Per Line'!$H$2:$H$4001,$AA669)&amp;"")</f>
        <v/>
      </c>
      <c r="G669">
        <f>IF($AA669="","",INDEX('Per Line'!$I$2:$I$4001,$AA669)&amp;"")</f>
        <v/>
      </c>
      <c r="H669">
        <f>IF($AA669="","",INDEX('Per Line'!$J$2:$J$4001,$AA669)&amp;"")</f>
        <v/>
      </c>
      <c r="I669">
        <f>IF($AA669="","",INDEX('Per Line'!$K$2:$K$4001,$AA669)&amp;"")</f>
        <v/>
      </c>
      <c r="J669">
        <f>IF($AA669="","",INDEX('Per Line'!$L$2:$L$4001,$AA669)&amp;"")</f>
        <v/>
      </c>
      <c r="K669">
        <f>IF($AA669="","",INDEX('Per Line'!$P$2:$P$4001,$AA669))</f>
        <v/>
      </c>
      <c r="L669" s="7">
        <f>IF($AA669="","",IF(AND(ISNUMBER(N669),N669&gt;0,Y669&gt;N669),K669*N669/100+(Y669-N669),K669*Y669/100))</f>
        <v/>
      </c>
      <c r="M669">
        <f>IF($AA669="","",INDEX('Per Line'!$Z$2:$Z$4001,$AA669)&amp;"")</f>
        <v/>
      </c>
      <c r="N669">
        <f>IF($AA669="","",INDEX('Per Line'!$AG$2:$AG$4001,$AA669))</f>
        <v/>
      </c>
      <c r="O669">
        <f>IF($AA669="","",IF(AND(ISNUMBER(N669),N669&gt;0),Y669&gt;N669,FALSE))</f>
        <v/>
      </c>
      <c r="P669" s="7">
        <f>IF($AA669="","",SUMIFS('Per Line'!$Y$2:$Y$4001,'Per Line'!$E$2:$E$4001,$B669,'Per Line'!$AQ$2:$AQ$4001,1))</f>
        <v/>
      </c>
      <c r="Q669">
        <f>IF($AA669="","",Settings!$C$7)</f>
        <v/>
      </c>
      <c r="R669" s="7">
        <f>IF($AA669="","",SUMIFS('Per Line'!$Y$2:$Y$4001,'Per Line'!$E$2:$E$4001,$B669,'Per Line'!$AP$2:$AP$4001,0,'Per Line'!$AQ$2:$AQ$4001,0))</f>
        <v/>
      </c>
      <c r="S669" s="7">
        <f>IF($AA669="","",R669*Q669)</f>
        <v/>
      </c>
      <c r="T669">
        <f>IF($AA669="","",Settings!$C$6)</f>
        <v/>
      </c>
      <c r="U669" s="7">
        <f>IF($AA669="","",SUMIFS('Per Line'!$Y$2:$Y$4001,'Per Line'!$E$2:$E$4001,$B669,'Per Line'!$AP$2:$AP$4001,1,'Per Line'!$AQ$2:$AQ$4001,0))</f>
        <v/>
      </c>
      <c r="V669" s="7">
        <f>IF($AA669="","",U669*T669)</f>
        <v/>
      </c>
      <c r="W669" s="7">
        <f>IF($AA669="","",V669+S669)</f>
        <v/>
      </c>
      <c r="X669" s="7">
        <f>IF($AA669="","",Y669-W669)</f>
        <v/>
      </c>
      <c r="Y669" s="7">
        <f>IF($AA669="","",R669+U669+P669)</f>
        <v/>
      </c>
      <c r="Z669" s="7">
        <f>IF($AA669="","",Y669-W669-L669)</f>
        <v/>
      </c>
      <c r="AA669" s="13">
        <f>IF(ROWS($AA$2:$AA669)&lt;=MAX('Per Line'!$AO$2:$AO$4001),MATCH(ROWS($AA$2:$AA669),'Per Line'!$AO$2:$AO$4001,0),"")</f>
        <v/>
      </c>
      <c r="AB669" s="14">
        <f>IF($AA669="","",L669-K669*Y669/100)</f>
        <v/>
      </c>
    </row>
    <row r="670">
      <c r="A670" s="12" t="n"/>
      <c r="B670">
        <f>IF($AA670="","",INDEX('Per Line'!$E$2:$E$4001,$AA670)&amp;"")</f>
        <v/>
      </c>
      <c r="C670">
        <f>IF($AA670="","",INDEX('Per Line'!$A$2:$A$4001,$AA670)&amp;"")</f>
        <v/>
      </c>
      <c r="D670">
        <f>IF($AA670="","",INDEX('Per Line'!$D$2:$D$4001,$AA670)&amp;"")</f>
        <v/>
      </c>
      <c r="E670" s="11">
        <f>IF($AA670="","",INDEX('Per Line'!$G$2:$G$4001,$AA670))</f>
        <v/>
      </c>
      <c r="F670">
        <f>IF($AA670="","",INDEX('Per Line'!$H$2:$H$4001,$AA670)&amp;"")</f>
        <v/>
      </c>
      <c r="G670">
        <f>IF($AA670="","",INDEX('Per Line'!$I$2:$I$4001,$AA670)&amp;"")</f>
        <v/>
      </c>
      <c r="H670">
        <f>IF($AA670="","",INDEX('Per Line'!$J$2:$J$4001,$AA670)&amp;"")</f>
        <v/>
      </c>
      <c r="I670">
        <f>IF($AA670="","",INDEX('Per Line'!$K$2:$K$4001,$AA670)&amp;"")</f>
        <v/>
      </c>
      <c r="J670">
        <f>IF($AA670="","",INDEX('Per Line'!$L$2:$L$4001,$AA670)&amp;"")</f>
        <v/>
      </c>
      <c r="K670">
        <f>IF($AA670="","",INDEX('Per Line'!$P$2:$P$4001,$AA670))</f>
        <v/>
      </c>
      <c r="L670" s="7">
        <f>IF($AA670="","",IF(AND(ISNUMBER(N670),N670&gt;0,Y670&gt;N670),K670*N670/100+(Y670-N670),K670*Y670/100))</f>
        <v/>
      </c>
      <c r="M670">
        <f>IF($AA670="","",INDEX('Per Line'!$Z$2:$Z$4001,$AA670)&amp;"")</f>
        <v/>
      </c>
      <c r="N670">
        <f>IF($AA670="","",INDEX('Per Line'!$AG$2:$AG$4001,$AA670))</f>
        <v/>
      </c>
      <c r="O670">
        <f>IF($AA670="","",IF(AND(ISNUMBER(N670),N670&gt;0),Y670&gt;N670,FALSE))</f>
        <v/>
      </c>
      <c r="P670" s="7">
        <f>IF($AA670="","",SUMIFS('Per Line'!$Y$2:$Y$4001,'Per Line'!$E$2:$E$4001,$B670,'Per Line'!$AQ$2:$AQ$4001,1))</f>
        <v/>
      </c>
      <c r="Q670">
        <f>IF($AA670="","",Settings!$C$7)</f>
        <v/>
      </c>
      <c r="R670" s="7">
        <f>IF($AA670="","",SUMIFS('Per Line'!$Y$2:$Y$4001,'Per Line'!$E$2:$E$4001,$B670,'Per Line'!$AP$2:$AP$4001,0,'Per Line'!$AQ$2:$AQ$4001,0))</f>
        <v/>
      </c>
      <c r="S670" s="7">
        <f>IF($AA670="","",R670*Q670)</f>
        <v/>
      </c>
      <c r="T670">
        <f>IF($AA670="","",Settings!$C$6)</f>
        <v/>
      </c>
      <c r="U670" s="7">
        <f>IF($AA670="","",SUMIFS('Per Line'!$Y$2:$Y$4001,'Per Line'!$E$2:$E$4001,$B670,'Per Line'!$AP$2:$AP$4001,1,'Per Line'!$AQ$2:$AQ$4001,0))</f>
        <v/>
      </c>
      <c r="V670" s="7">
        <f>IF($AA670="","",U670*T670)</f>
        <v/>
      </c>
      <c r="W670" s="7">
        <f>IF($AA670="","",V670+S670)</f>
        <v/>
      </c>
      <c r="X670" s="7">
        <f>IF($AA670="","",Y670-W670)</f>
        <v/>
      </c>
      <c r="Y670" s="7">
        <f>IF($AA670="","",R670+U670+P670)</f>
        <v/>
      </c>
      <c r="Z670" s="7">
        <f>IF($AA670="","",Y670-W670-L670)</f>
        <v/>
      </c>
      <c r="AA670" s="13">
        <f>IF(ROWS($AA$2:$AA670)&lt;=MAX('Per Line'!$AO$2:$AO$4001),MATCH(ROWS($AA$2:$AA670),'Per Line'!$AO$2:$AO$4001,0),"")</f>
        <v/>
      </c>
      <c r="AB670" s="14">
        <f>IF($AA670="","",L670-K670*Y670/100)</f>
        <v/>
      </c>
    </row>
    <row r="671">
      <c r="A671" s="12" t="n"/>
      <c r="B671">
        <f>IF($AA671="","",INDEX('Per Line'!$E$2:$E$4001,$AA671)&amp;"")</f>
        <v/>
      </c>
      <c r="C671">
        <f>IF($AA671="","",INDEX('Per Line'!$A$2:$A$4001,$AA671)&amp;"")</f>
        <v/>
      </c>
      <c r="D671">
        <f>IF($AA671="","",INDEX('Per Line'!$D$2:$D$4001,$AA671)&amp;"")</f>
        <v/>
      </c>
      <c r="E671" s="11">
        <f>IF($AA671="","",INDEX('Per Line'!$G$2:$G$4001,$AA671))</f>
        <v/>
      </c>
      <c r="F671">
        <f>IF($AA671="","",INDEX('Per Line'!$H$2:$H$4001,$AA671)&amp;"")</f>
        <v/>
      </c>
      <c r="G671">
        <f>IF($AA671="","",INDEX('Per Line'!$I$2:$I$4001,$AA671)&amp;"")</f>
        <v/>
      </c>
      <c r="H671">
        <f>IF($AA671="","",INDEX('Per Line'!$J$2:$J$4001,$AA671)&amp;"")</f>
        <v/>
      </c>
      <c r="I671">
        <f>IF($AA671="","",INDEX('Per Line'!$K$2:$K$4001,$AA671)&amp;"")</f>
        <v/>
      </c>
      <c r="J671">
        <f>IF($AA671="","",INDEX('Per Line'!$L$2:$L$4001,$AA671)&amp;"")</f>
        <v/>
      </c>
      <c r="K671">
        <f>IF($AA671="","",INDEX('Per Line'!$P$2:$P$4001,$AA671))</f>
        <v/>
      </c>
      <c r="L671" s="7">
        <f>IF($AA671="","",IF(AND(ISNUMBER(N671),N671&gt;0,Y671&gt;N671),K671*N671/100+(Y671-N671),K671*Y671/100))</f>
        <v/>
      </c>
      <c r="M671">
        <f>IF($AA671="","",INDEX('Per Line'!$Z$2:$Z$4001,$AA671)&amp;"")</f>
        <v/>
      </c>
      <c r="N671">
        <f>IF($AA671="","",INDEX('Per Line'!$AG$2:$AG$4001,$AA671))</f>
        <v/>
      </c>
      <c r="O671">
        <f>IF($AA671="","",IF(AND(ISNUMBER(N671),N671&gt;0),Y671&gt;N671,FALSE))</f>
        <v/>
      </c>
      <c r="P671" s="7">
        <f>IF($AA671="","",SUMIFS('Per Line'!$Y$2:$Y$4001,'Per Line'!$E$2:$E$4001,$B671,'Per Line'!$AQ$2:$AQ$4001,1))</f>
        <v/>
      </c>
      <c r="Q671">
        <f>IF($AA671="","",Settings!$C$7)</f>
        <v/>
      </c>
      <c r="R671" s="7">
        <f>IF($AA671="","",SUMIFS('Per Line'!$Y$2:$Y$4001,'Per Line'!$E$2:$E$4001,$B671,'Per Line'!$AP$2:$AP$4001,0,'Per Line'!$AQ$2:$AQ$4001,0))</f>
        <v/>
      </c>
      <c r="S671" s="7">
        <f>IF($AA671="","",R671*Q671)</f>
        <v/>
      </c>
      <c r="T671">
        <f>IF($AA671="","",Settings!$C$6)</f>
        <v/>
      </c>
      <c r="U671" s="7">
        <f>IF($AA671="","",SUMIFS('Per Line'!$Y$2:$Y$4001,'Per Line'!$E$2:$E$4001,$B671,'Per Line'!$AP$2:$AP$4001,1,'Per Line'!$AQ$2:$AQ$4001,0))</f>
        <v/>
      </c>
      <c r="V671" s="7">
        <f>IF($AA671="","",U671*T671)</f>
        <v/>
      </c>
      <c r="W671" s="7">
        <f>IF($AA671="","",V671+S671)</f>
        <v/>
      </c>
      <c r="X671" s="7">
        <f>IF($AA671="","",Y671-W671)</f>
        <v/>
      </c>
      <c r="Y671" s="7">
        <f>IF($AA671="","",R671+U671+P671)</f>
        <v/>
      </c>
      <c r="Z671" s="7">
        <f>IF($AA671="","",Y671-W671-L671)</f>
        <v/>
      </c>
      <c r="AA671" s="13">
        <f>IF(ROWS($AA$2:$AA671)&lt;=MAX('Per Line'!$AO$2:$AO$4001),MATCH(ROWS($AA$2:$AA671),'Per Line'!$AO$2:$AO$4001,0),"")</f>
        <v/>
      </c>
      <c r="AB671" s="14">
        <f>IF($AA671="","",L671-K671*Y671/100)</f>
        <v/>
      </c>
    </row>
    <row r="672">
      <c r="A672" s="12" t="n"/>
      <c r="B672">
        <f>IF($AA672="","",INDEX('Per Line'!$E$2:$E$4001,$AA672)&amp;"")</f>
        <v/>
      </c>
      <c r="C672">
        <f>IF($AA672="","",INDEX('Per Line'!$A$2:$A$4001,$AA672)&amp;"")</f>
        <v/>
      </c>
      <c r="D672">
        <f>IF($AA672="","",INDEX('Per Line'!$D$2:$D$4001,$AA672)&amp;"")</f>
        <v/>
      </c>
      <c r="E672" s="11">
        <f>IF($AA672="","",INDEX('Per Line'!$G$2:$G$4001,$AA672))</f>
        <v/>
      </c>
      <c r="F672">
        <f>IF($AA672="","",INDEX('Per Line'!$H$2:$H$4001,$AA672)&amp;"")</f>
        <v/>
      </c>
      <c r="G672">
        <f>IF($AA672="","",INDEX('Per Line'!$I$2:$I$4001,$AA672)&amp;"")</f>
        <v/>
      </c>
      <c r="H672">
        <f>IF($AA672="","",INDEX('Per Line'!$J$2:$J$4001,$AA672)&amp;"")</f>
        <v/>
      </c>
      <c r="I672">
        <f>IF($AA672="","",INDEX('Per Line'!$K$2:$K$4001,$AA672)&amp;"")</f>
        <v/>
      </c>
      <c r="J672">
        <f>IF($AA672="","",INDEX('Per Line'!$L$2:$L$4001,$AA672)&amp;"")</f>
        <v/>
      </c>
      <c r="K672">
        <f>IF($AA672="","",INDEX('Per Line'!$P$2:$P$4001,$AA672))</f>
        <v/>
      </c>
      <c r="L672" s="7">
        <f>IF($AA672="","",IF(AND(ISNUMBER(N672),N672&gt;0,Y672&gt;N672),K672*N672/100+(Y672-N672),K672*Y672/100))</f>
        <v/>
      </c>
      <c r="M672">
        <f>IF($AA672="","",INDEX('Per Line'!$Z$2:$Z$4001,$AA672)&amp;"")</f>
        <v/>
      </c>
      <c r="N672">
        <f>IF($AA672="","",INDEX('Per Line'!$AG$2:$AG$4001,$AA672))</f>
        <v/>
      </c>
      <c r="O672">
        <f>IF($AA672="","",IF(AND(ISNUMBER(N672),N672&gt;0),Y672&gt;N672,FALSE))</f>
        <v/>
      </c>
      <c r="P672" s="7">
        <f>IF($AA672="","",SUMIFS('Per Line'!$Y$2:$Y$4001,'Per Line'!$E$2:$E$4001,$B672,'Per Line'!$AQ$2:$AQ$4001,1))</f>
        <v/>
      </c>
      <c r="Q672">
        <f>IF($AA672="","",Settings!$C$7)</f>
        <v/>
      </c>
      <c r="R672" s="7">
        <f>IF($AA672="","",SUMIFS('Per Line'!$Y$2:$Y$4001,'Per Line'!$E$2:$E$4001,$B672,'Per Line'!$AP$2:$AP$4001,0,'Per Line'!$AQ$2:$AQ$4001,0))</f>
        <v/>
      </c>
      <c r="S672" s="7">
        <f>IF($AA672="","",R672*Q672)</f>
        <v/>
      </c>
      <c r="T672">
        <f>IF($AA672="","",Settings!$C$6)</f>
        <v/>
      </c>
      <c r="U672" s="7">
        <f>IF($AA672="","",SUMIFS('Per Line'!$Y$2:$Y$4001,'Per Line'!$E$2:$E$4001,$B672,'Per Line'!$AP$2:$AP$4001,1,'Per Line'!$AQ$2:$AQ$4001,0))</f>
        <v/>
      </c>
      <c r="V672" s="7">
        <f>IF($AA672="","",U672*T672)</f>
        <v/>
      </c>
      <c r="W672" s="7">
        <f>IF($AA672="","",V672+S672)</f>
        <v/>
      </c>
      <c r="X672" s="7">
        <f>IF($AA672="","",Y672-W672)</f>
        <v/>
      </c>
      <c r="Y672" s="7">
        <f>IF($AA672="","",R672+U672+P672)</f>
        <v/>
      </c>
      <c r="Z672" s="7">
        <f>IF($AA672="","",Y672-W672-L672)</f>
        <v/>
      </c>
      <c r="AA672" s="13">
        <f>IF(ROWS($AA$2:$AA672)&lt;=MAX('Per Line'!$AO$2:$AO$4001),MATCH(ROWS($AA$2:$AA672),'Per Line'!$AO$2:$AO$4001,0),"")</f>
        <v/>
      </c>
      <c r="AB672" s="14">
        <f>IF($AA672="","",L672-K672*Y672/100)</f>
        <v/>
      </c>
    </row>
    <row r="673">
      <c r="A673" s="12" t="n"/>
      <c r="B673">
        <f>IF($AA673="","",INDEX('Per Line'!$E$2:$E$4001,$AA673)&amp;"")</f>
        <v/>
      </c>
      <c r="C673">
        <f>IF($AA673="","",INDEX('Per Line'!$A$2:$A$4001,$AA673)&amp;"")</f>
        <v/>
      </c>
      <c r="D673">
        <f>IF($AA673="","",INDEX('Per Line'!$D$2:$D$4001,$AA673)&amp;"")</f>
        <v/>
      </c>
      <c r="E673" s="11">
        <f>IF($AA673="","",INDEX('Per Line'!$G$2:$G$4001,$AA673))</f>
        <v/>
      </c>
      <c r="F673">
        <f>IF($AA673="","",INDEX('Per Line'!$H$2:$H$4001,$AA673)&amp;"")</f>
        <v/>
      </c>
      <c r="G673">
        <f>IF($AA673="","",INDEX('Per Line'!$I$2:$I$4001,$AA673)&amp;"")</f>
        <v/>
      </c>
      <c r="H673">
        <f>IF($AA673="","",INDEX('Per Line'!$J$2:$J$4001,$AA673)&amp;"")</f>
        <v/>
      </c>
      <c r="I673">
        <f>IF($AA673="","",INDEX('Per Line'!$K$2:$K$4001,$AA673)&amp;"")</f>
        <v/>
      </c>
      <c r="J673">
        <f>IF($AA673="","",INDEX('Per Line'!$L$2:$L$4001,$AA673)&amp;"")</f>
        <v/>
      </c>
      <c r="K673">
        <f>IF($AA673="","",INDEX('Per Line'!$P$2:$P$4001,$AA673))</f>
        <v/>
      </c>
      <c r="L673" s="7">
        <f>IF($AA673="","",IF(AND(ISNUMBER(N673),N673&gt;0,Y673&gt;N673),K673*N673/100+(Y673-N673),K673*Y673/100))</f>
        <v/>
      </c>
      <c r="M673">
        <f>IF($AA673="","",INDEX('Per Line'!$Z$2:$Z$4001,$AA673)&amp;"")</f>
        <v/>
      </c>
      <c r="N673">
        <f>IF($AA673="","",INDEX('Per Line'!$AG$2:$AG$4001,$AA673))</f>
        <v/>
      </c>
      <c r="O673">
        <f>IF($AA673="","",IF(AND(ISNUMBER(N673),N673&gt;0),Y673&gt;N673,FALSE))</f>
        <v/>
      </c>
      <c r="P673" s="7">
        <f>IF($AA673="","",SUMIFS('Per Line'!$Y$2:$Y$4001,'Per Line'!$E$2:$E$4001,$B673,'Per Line'!$AQ$2:$AQ$4001,1))</f>
        <v/>
      </c>
      <c r="Q673">
        <f>IF($AA673="","",Settings!$C$7)</f>
        <v/>
      </c>
      <c r="R673" s="7">
        <f>IF($AA673="","",SUMIFS('Per Line'!$Y$2:$Y$4001,'Per Line'!$E$2:$E$4001,$B673,'Per Line'!$AP$2:$AP$4001,0,'Per Line'!$AQ$2:$AQ$4001,0))</f>
        <v/>
      </c>
      <c r="S673" s="7">
        <f>IF($AA673="","",R673*Q673)</f>
        <v/>
      </c>
      <c r="T673">
        <f>IF($AA673="","",Settings!$C$6)</f>
        <v/>
      </c>
      <c r="U673" s="7">
        <f>IF($AA673="","",SUMIFS('Per Line'!$Y$2:$Y$4001,'Per Line'!$E$2:$E$4001,$B673,'Per Line'!$AP$2:$AP$4001,1,'Per Line'!$AQ$2:$AQ$4001,0))</f>
        <v/>
      </c>
      <c r="V673" s="7">
        <f>IF($AA673="","",U673*T673)</f>
        <v/>
      </c>
      <c r="W673" s="7">
        <f>IF($AA673="","",V673+S673)</f>
        <v/>
      </c>
      <c r="X673" s="7">
        <f>IF($AA673="","",Y673-W673)</f>
        <v/>
      </c>
      <c r="Y673" s="7">
        <f>IF($AA673="","",R673+U673+P673)</f>
        <v/>
      </c>
      <c r="Z673" s="7">
        <f>IF($AA673="","",Y673-W673-L673)</f>
        <v/>
      </c>
      <c r="AA673" s="13">
        <f>IF(ROWS($AA$2:$AA673)&lt;=MAX('Per Line'!$AO$2:$AO$4001),MATCH(ROWS($AA$2:$AA673),'Per Line'!$AO$2:$AO$4001,0),"")</f>
        <v/>
      </c>
      <c r="AB673" s="14">
        <f>IF($AA673="","",L673-K673*Y673/100)</f>
        <v/>
      </c>
    </row>
    <row r="674">
      <c r="A674" s="12" t="n"/>
      <c r="B674">
        <f>IF($AA674="","",INDEX('Per Line'!$E$2:$E$4001,$AA674)&amp;"")</f>
        <v/>
      </c>
      <c r="C674">
        <f>IF($AA674="","",INDEX('Per Line'!$A$2:$A$4001,$AA674)&amp;"")</f>
        <v/>
      </c>
      <c r="D674">
        <f>IF($AA674="","",INDEX('Per Line'!$D$2:$D$4001,$AA674)&amp;"")</f>
        <v/>
      </c>
      <c r="E674" s="11">
        <f>IF($AA674="","",INDEX('Per Line'!$G$2:$G$4001,$AA674))</f>
        <v/>
      </c>
      <c r="F674">
        <f>IF($AA674="","",INDEX('Per Line'!$H$2:$H$4001,$AA674)&amp;"")</f>
        <v/>
      </c>
      <c r="G674">
        <f>IF($AA674="","",INDEX('Per Line'!$I$2:$I$4001,$AA674)&amp;"")</f>
        <v/>
      </c>
      <c r="H674">
        <f>IF($AA674="","",INDEX('Per Line'!$J$2:$J$4001,$AA674)&amp;"")</f>
        <v/>
      </c>
      <c r="I674">
        <f>IF($AA674="","",INDEX('Per Line'!$K$2:$K$4001,$AA674)&amp;"")</f>
        <v/>
      </c>
      <c r="J674">
        <f>IF($AA674="","",INDEX('Per Line'!$L$2:$L$4001,$AA674)&amp;"")</f>
        <v/>
      </c>
      <c r="K674">
        <f>IF($AA674="","",INDEX('Per Line'!$P$2:$P$4001,$AA674))</f>
        <v/>
      </c>
      <c r="L674" s="7">
        <f>IF($AA674="","",IF(AND(ISNUMBER(N674),N674&gt;0,Y674&gt;N674),K674*N674/100+(Y674-N674),K674*Y674/100))</f>
        <v/>
      </c>
      <c r="M674">
        <f>IF($AA674="","",INDEX('Per Line'!$Z$2:$Z$4001,$AA674)&amp;"")</f>
        <v/>
      </c>
      <c r="N674">
        <f>IF($AA674="","",INDEX('Per Line'!$AG$2:$AG$4001,$AA674))</f>
        <v/>
      </c>
      <c r="O674">
        <f>IF($AA674="","",IF(AND(ISNUMBER(N674),N674&gt;0),Y674&gt;N674,FALSE))</f>
        <v/>
      </c>
      <c r="P674" s="7">
        <f>IF($AA674="","",SUMIFS('Per Line'!$Y$2:$Y$4001,'Per Line'!$E$2:$E$4001,$B674,'Per Line'!$AQ$2:$AQ$4001,1))</f>
        <v/>
      </c>
      <c r="Q674">
        <f>IF($AA674="","",Settings!$C$7)</f>
        <v/>
      </c>
      <c r="R674" s="7">
        <f>IF($AA674="","",SUMIFS('Per Line'!$Y$2:$Y$4001,'Per Line'!$E$2:$E$4001,$B674,'Per Line'!$AP$2:$AP$4001,0,'Per Line'!$AQ$2:$AQ$4001,0))</f>
        <v/>
      </c>
      <c r="S674" s="7">
        <f>IF($AA674="","",R674*Q674)</f>
        <v/>
      </c>
      <c r="T674">
        <f>IF($AA674="","",Settings!$C$6)</f>
        <v/>
      </c>
      <c r="U674" s="7">
        <f>IF($AA674="","",SUMIFS('Per Line'!$Y$2:$Y$4001,'Per Line'!$E$2:$E$4001,$B674,'Per Line'!$AP$2:$AP$4001,1,'Per Line'!$AQ$2:$AQ$4001,0))</f>
        <v/>
      </c>
      <c r="V674" s="7">
        <f>IF($AA674="","",U674*T674)</f>
        <v/>
      </c>
      <c r="W674" s="7">
        <f>IF($AA674="","",V674+S674)</f>
        <v/>
      </c>
      <c r="X674" s="7">
        <f>IF($AA674="","",Y674-W674)</f>
        <v/>
      </c>
      <c r="Y674" s="7">
        <f>IF($AA674="","",R674+U674+P674)</f>
        <v/>
      </c>
      <c r="Z674" s="7">
        <f>IF($AA674="","",Y674-W674-L674)</f>
        <v/>
      </c>
      <c r="AA674" s="13">
        <f>IF(ROWS($AA$2:$AA674)&lt;=MAX('Per Line'!$AO$2:$AO$4001),MATCH(ROWS($AA$2:$AA674),'Per Line'!$AO$2:$AO$4001,0),"")</f>
        <v/>
      </c>
      <c r="AB674" s="14">
        <f>IF($AA674="","",L674-K674*Y674/100)</f>
        <v/>
      </c>
    </row>
    <row r="675">
      <c r="A675" s="12" t="n"/>
      <c r="B675">
        <f>IF($AA675="","",INDEX('Per Line'!$E$2:$E$4001,$AA675)&amp;"")</f>
        <v/>
      </c>
      <c r="C675">
        <f>IF($AA675="","",INDEX('Per Line'!$A$2:$A$4001,$AA675)&amp;"")</f>
        <v/>
      </c>
      <c r="D675">
        <f>IF($AA675="","",INDEX('Per Line'!$D$2:$D$4001,$AA675)&amp;"")</f>
        <v/>
      </c>
      <c r="E675" s="11">
        <f>IF($AA675="","",INDEX('Per Line'!$G$2:$G$4001,$AA675))</f>
        <v/>
      </c>
      <c r="F675">
        <f>IF($AA675="","",INDEX('Per Line'!$H$2:$H$4001,$AA675)&amp;"")</f>
        <v/>
      </c>
      <c r="G675">
        <f>IF($AA675="","",INDEX('Per Line'!$I$2:$I$4001,$AA675)&amp;"")</f>
        <v/>
      </c>
      <c r="H675">
        <f>IF($AA675="","",INDEX('Per Line'!$J$2:$J$4001,$AA675)&amp;"")</f>
        <v/>
      </c>
      <c r="I675">
        <f>IF($AA675="","",INDEX('Per Line'!$K$2:$K$4001,$AA675)&amp;"")</f>
        <v/>
      </c>
      <c r="J675">
        <f>IF($AA675="","",INDEX('Per Line'!$L$2:$L$4001,$AA675)&amp;"")</f>
        <v/>
      </c>
      <c r="K675">
        <f>IF($AA675="","",INDEX('Per Line'!$P$2:$P$4001,$AA675))</f>
        <v/>
      </c>
      <c r="L675" s="7">
        <f>IF($AA675="","",IF(AND(ISNUMBER(N675),N675&gt;0,Y675&gt;N675),K675*N675/100+(Y675-N675),K675*Y675/100))</f>
        <v/>
      </c>
      <c r="M675">
        <f>IF($AA675="","",INDEX('Per Line'!$Z$2:$Z$4001,$AA675)&amp;"")</f>
        <v/>
      </c>
      <c r="N675">
        <f>IF($AA675="","",INDEX('Per Line'!$AG$2:$AG$4001,$AA675))</f>
        <v/>
      </c>
      <c r="O675">
        <f>IF($AA675="","",IF(AND(ISNUMBER(N675),N675&gt;0),Y675&gt;N675,FALSE))</f>
        <v/>
      </c>
      <c r="P675" s="7">
        <f>IF($AA675="","",SUMIFS('Per Line'!$Y$2:$Y$4001,'Per Line'!$E$2:$E$4001,$B675,'Per Line'!$AQ$2:$AQ$4001,1))</f>
        <v/>
      </c>
      <c r="Q675">
        <f>IF($AA675="","",Settings!$C$7)</f>
        <v/>
      </c>
      <c r="R675" s="7">
        <f>IF($AA675="","",SUMIFS('Per Line'!$Y$2:$Y$4001,'Per Line'!$E$2:$E$4001,$B675,'Per Line'!$AP$2:$AP$4001,0,'Per Line'!$AQ$2:$AQ$4001,0))</f>
        <v/>
      </c>
      <c r="S675" s="7">
        <f>IF($AA675="","",R675*Q675)</f>
        <v/>
      </c>
      <c r="T675">
        <f>IF($AA675="","",Settings!$C$6)</f>
        <v/>
      </c>
      <c r="U675" s="7">
        <f>IF($AA675="","",SUMIFS('Per Line'!$Y$2:$Y$4001,'Per Line'!$E$2:$E$4001,$B675,'Per Line'!$AP$2:$AP$4001,1,'Per Line'!$AQ$2:$AQ$4001,0))</f>
        <v/>
      </c>
      <c r="V675" s="7">
        <f>IF($AA675="","",U675*T675)</f>
        <v/>
      </c>
      <c r="W675" s="7">
        <f>IF($AA675="","",V675+S675)</f>
        <v/>
      </c>
      <c r="X675" s="7">
        <f>IF($AA675="","",Y675-W675)</f>
        <v/>
      </c>
      <c r="Y675" s="7">
        <f>IF($AA675="","",R675+U675+P675)</f>
        <v/>
      </c>
      <c r="Z675" s="7">
        <f>IF($AA675="","",Y675-W675-L675)</f>
        <v/>
      </c>
      <c r="AA675" s="13">
        <f>IF(ROWS($AA$2:$AA675)&lt;=MAX('Per Line'!$AO$2:$AO$4001),MATCH(ROWS($AA$2:$AA675),'Per Line'!$AO$2:$AO$4001,0),"")</f>
        <v/>
      </c>
      <c r="AB675" s="14">
        <f>IF($AA675="","",L675-K675*Y675/100)</f>
        <v/>
      </c>
    </row>
    <row r="676">
      <c r="A676" s="12" t="n"/>
      <c r="B676">
        <f>IF($AA676="","",INDEX('Per Line'!$E$2:$E$4001,$AA676)&amp;"")</f>
        <v/>
      </c>
      <c r="C676">
        <f>IF($AA676="","",INDEX('Per Line'!$A$2:$A$4001,$AA676)&amp;"")</f>
        <v/>
      </c>
      <c r="D676">
        <f>IF($AA676="","",INDEX('Per Line'!$D$2:$D$4001,$AA676)&amp;"")</f>
        <v/>
      </c>
      <c r="E676" s="11">
        <f>IF($AA676="","",INDEX('Per Line'!$G$2:$G$4001,$AA676))</f>
        <v/>
      </c>
      <c r="F676">
        <f>IF($AA676="","",INDEX('Per Line'!$H$2:$H$4001,$AA676)&amp;"")</f>
        <v/>
      </c>
      <c r="G676">
        <f>IF($AA676="","",INDEX('Per Line'!$I$2:$I$4001,$AA676)&amp;"")</f>
        <v/>
      </c>
      <c r="H676">
        <f>IF($AA676="","",INDEX('Per Line'!$J$2:$J$4001,$AA676)&amp;"")</f>
        <v/>
      </c>
      <c r="I676">
        <f>IF($AA676="","",INDEX('Per Line'!$K$2:$K$4001,$AA676)&amp;"")</f>
        <v/>
      </c>
      <c r="J676">
        <f>IF($AA676="","",INDEX('Per Line'!$L$2:$L$4001,$AA676)&amp;"")</f>
        <v/>
      </c>
      <c r="K676">
        <f>IF($AA676="","",INDEX('Per Line'!$P$2:$P$4001,$AA676))</f>
        <v/>
      </c>
      <c r="L676" s="7">
        <f>IF($AA676="","",IF(AND(ISNUMBER(N676),N676&gt;0,Y676&gt;N676),K676*N676/100+(Y676-N676),K676*Y676/100))</f>
        <v/>
      </c>
      <c r="M676">
        <f>IF($AA676="","",INDEX('Per Line'!$Z$2:$Z$4001,$AA676)&amp;"")</f>
        <v/>
      </c>
      <c r="N676">
        <f>IF($AA676="","",INDEX('Per Line'!$AG$2:$AG$4001,$AA676))</f>
        <v/>
      </c>
      <c r="O676">
        <f>IF($AA676="","",IF(AND(ISNUMBER(N676),N676&gt;0),Y676&gt;N676,FALSE))</f>
        <v/>
      </c>
      <c r="P676" s="7">
        <f>IF($AA676="","",SUMIFS('Per Line'!$Y$2:$Y$4001,'Per Line'!$E$2:$E$4001,$B676,'Per Line'!$AQ$2:$AQ$4001,1))</f>
        <v/>
      </c>
      <c r="Q676">
        <f>IF($AA676="","",Settings!$C$7)</f>
        <v/>
      </c>
      <c r="R676" s="7">
        <f>IF($AA676="","",SUMIFS('Per Line'!$Y$2:$Y$4001,'Per Line'!$E$2:$E$4001,$B676,'Per Line'!$AP$2:$AP$4001,0,'Per Line'!$AQ$2:$AQ$4001,0))</f>
        <v/>
      </c>
      <c r="S676" s="7">
        <f>IF($AA676="","",R676*Q676)</f>
        <v/>
      </c>
      <c r="T676">
        <f>IF($AA676="","",Settings!$C$6)</f>
        <v/>
      </c>
      <c r="U676" s="7">
        <f>IF($AA676="","",SUMIFS('Per Line'!$Y$2:$Y$4001,'Per Line'!$E$2:$E$4001,$B676,'Per Line'!$AP$2:$AP$4001,1,'Per Line'!$AQ$2:$AQ$4001,0))</f>
        <v/>
      </c>
      <c r="V676" s="7">
        <f>IF($AA676="","",U676*T676)</f>
        <v/>
      </c>
      <c r="W676" s="7">
        <f>IF($AA676="","",V676+S676)</f>
        <v/>
      </c>
      <c r="X676" s="7">
        <f>IF($AA676="","",Y676-W676)</f>
        <v/>
      </c>
      <c r="Y676" s="7">
        <f>IF($AA676="","",R676+U676+P676)</f>
        <v/>
      </c>
      <c r="Z676" s="7">
        <f>IF($AA676="","",Y676-W676-L676)</f>
        <v/>
      </c>
      <c r="AA676" s="13">
        <f>IF(ROWS($AA$2:$AA676)&lt;=MAX('Per Line'!$AO$2:$AO$4001),MATCH(ROWS($AA$2:$AA676),'Per Line'!$AO$2:$AO$4001,0),"")</f>
        <v/>
      </c>
      <c r="AB676" s="14">
        <f>IF($AA676="","",L676-K676*Y676/100)</f>
        <v/>
      </c>
    </row>
    <row r="677">
      <c r="A677" s="12" t="n"/>
      <c r="B677">
        <f>IF($AA677="","",INDEX('Per Line'!$E$2:$E$4001,$AA677)&amp;"")</f>
        <v/>
      </c>
      <c r="C677">
        <f>IF($AA677="","",INDEX('Per Line'!$A$2:$A$4001,$AA677)&amp;"")</f>
        <v/>
      </c>
      <c r="D677">
        <f>IF($AA677="","",INDEX('Per Line'!$D$2:$D$4001,$AA677)&amp;"")</f>
        <v/>
      </c>
      <c r="E677" s="11">
        <f>IF($AA677="","",INDEX('Per Line'!$G$2:$G$4001,$AA677))</f>
        <v/>
      </c>
      <c r="F677">
        <f>IF($AA677="","",INDEX('Per Line'!$H$2:$H$4001,$AA677)&amp;"")</f>
        <v/>
      </c>
      <c r="G677">
        <f>IF($AA677="","",INDEX('Per Line'!$I$2:$I$4001,$AA677)&amp;"")</f>
        <v/>
      </c>
      <c r="H677">
        <f>IF($AA677="","",INDEX('Per Line'!$J$2:$J$4001,$AA677)&amp;"")</f>
        <v/>
      </c>
      <c r="I677">
        <f>IF($AA677="","",INDEX('Per Line'!$K$2:$K$4001,$AA677)&amp;"")</f>
        <v/>
      </c>
      <c r="J677">
        <f>IF($AA677="","",INDEX('Per Line'!$L$2:$L$4001,$AA677)&amp;"")</f>
        <v/>
      </c>
      <c r="K677">
        <f>IF($AA677="","",INDEX('Per Line'!$P$2:$P$4001,$AA677))</f>
        <v/>
      </c>
      <c r="L677" s="7">
        <f>IF($AA677="","",IF(AND(ISNUMBER(N677),N677&gt;0,Y677&gt;N677),K677*N677/100+(Y677-N677),K677*Y677/100))</f>
        <v/>
      </c>
      <c r="M677">
        <f>IF($AA677="","",INDEX('Per Line'!$Z$2:$Z$4001,$AA677)&amp;"")</f>
        <v/>
      </c>
      <c r="N677">
        <f>IF($AA677="","",INDEX('Per Line'!$AG$2:$AG$4001,$AA677))</f>
        <v/>
      </c>
      <c r="O677">
        <f>IF($AA677="","",IF(AND(ISNUMBER(N677),N677&gt;0),Y677&gt;N677,FALSE))</f>
        <v/>
      </c>
      <c r="P677" s="7">
        <f>IF($AA677="","",SUMIFS('Per Line'!$Y$2:$Y$4001,'Per Line'!$E$2:$E$4001,$B677,'Per Line'!$AQ$2:$AQ$4001,1))</f>
        <v/>
      </c>
      <c r="Q677">
        <f>IF($AA677="","",Settings!$C$7)</f>
        <v/>
      </c>
      <c r="R677" s="7">
        <f>IF($AA677="","",SUMIFS('Per Line'!$Y$2:$Y$4001,'Per Line'!$E$2:$E$4001,$B677,'Per Line'!$AP$2:$AP$4001,0,'Per Line'!$AQ$2:$AQ$4001,0))</f>
        <v/>
      </c>
      <c r="S677" s="7">
        <f>IF($AA677="","",R677*Q677)</f>
        <v/>
      </c>
      <c r="T677">
        <f>IF($AA677="","",Settings!$C$6)</f>
        <v/>
      </c>
      <c r="U677" s="7">
        <f>IF($AA677="","",SUMIFS('Per Line'!$Y$2:$Y$4001,'Per Line'!$E$2:$E$4001,$B677,'Per Line'!$AP$2:$AP$4001,1,'Per Line'!$AQ$2:$AQ$4001,0))</f>
        <v/>
      </c>
      <c r="V677" s="7">
        <f>IF($AA677="","",U677*T677)</f>
        <v/>
      </c>
      <c r="W677" s="7">
        <f>IF($AA677="","",V677+S677)</f>
        <v/>
      </c>
      <c r="X677" s="7">
        <f>IF($AA677="","",Y677-W677)</f>
        <v/>
      </c>
      <c r="Y677" s="7">
        <f>IF($AA677="","",R677+U677+P677)</f>
        <v/>
      </c>
      <c r="Z677" s="7">
        <f>IF($AA677="","",Y677-W677-L677)</f>
        <v/>
      </c>
      <c r="AA677" s="13">
        <f>IF(ROWS($AA$2:$AA677)&lt;=MAX('Per Line'!$AO$2:$AO$4001),MATCH(ROWS($AA$2:$AA677),'Per Line'!$AO$2:$AO$4001,0),"")</f>
        <v/>
      </c>
      <c r="AB677" s="14">
        <f>IF($AA677="","",L677-K677*Y677/100)</f>
        <v/>
      </c>
    </row>
    <row r="678">
      <c r="A678" s="12" t="n"/>
      <c r="B678">
        <f>IF($AA678="","",INDEX('Per Line'!$E$2:$E$4001,$AA678)&amp;"")</f>
        <v/>
      </c>
      <c r="C678">
        <f>IF($AA678="","",INDEX('Per Line'!$A$2:$A$4001,$AA678)&amp;"")</f>
        <v/>
      </c>
      <c r="D678">
        <f>IF($AA678="","",INDEX('Per Line'!$D$2:$D$4001,$AA678)&amp;"")</f>
        <v/>
      </c>
      <c r="E678" s="11">
        <f>IF($AA678="","",INDEX('Per Line'!$G$2:$G$4001,$AA678))</f>
        <v/>
      </c>
      <c r="F678">
        <f>IF($AA678="","",INDEX('Per Line'!$H$2:$H$4001,$AA678)&amp;"")</f>
        <v/>
      </c>
      <c r="G678">
        <f>IF($AA678="","",INDEX('Per Line'!$I$2:$I$4001,$AA678)&amp;"")</f>
        <v/>
      </c>
      <c r="H678">
        <f>IF($AA678="","",INDEX('Per Line'!$J$2:$J$4001,$AA678)&amp;"")</f>
        <v/>
      </c>
      <c r="I678">
        <f>IF($AA678="","",INDEX('Per Line'!$K$2:$K$4001,$AA678)&amp;"")</f>
        <v/>
      </c>
      <c r="J678">
        <f>IF($AA678="","",INDEX('Per Line'!$L$2:$L$4001,$AA678)&amp;"")</f>
        <v/>
      </c>
      <c r="K678">
        <f>IF($AA678="","",INDEX('Per Line'!$P$2:$P$4001,$AA678))</f>
        <v/>
      </c>
      <c r="L678" s="7">
        <f>IF($AA678="","",IF(AND(ISNUMBER(N678),N678&gt;0,Y678&gt;N678),K678*N678/100+(Y678-N678),K678*Y678/100))</f>
        <v/>
      </c>
      <c r="M678">
        <f>IF($AA678="","",INDEX('Per Line'!$Z$2:$Z$4001,$AA678)&amp;"")</f>
        <v/>
      </c>
      <c r="N678">
        <f>IF($AA678="","",INDEX('Per Line'!$AG$2:$AG$4001,$AA678))</f>
        <v/>
      </c>
      <c r="O678">
        <f>IF($AA678="","",IF(AND(ISNUMBER(N678),N678&gt;0),Y678&gt;N678,FALSE))</f>
        <v/>
      </c>
      <c r="P678" s="7">
        <f>IF($AA678="","",SUMIFS('Per Line'!$Y$2:$Y$4001,'Per Line'!$E$2:$E$4001,$B678,'Per Line'!$AQ$2:$AQ$4001,1))</f>
        <v/>
      </c>
      <c r="Q678">
        <f>IF($AA678="","",Settings!$C$7)</f>
        <v/>
      </c>
      <c r="R678" s="7">
        <f>IF($AA678="","",SUMIFS('Per Line'!$Y$2:$Y$4001,'Per Line'!$E$2:$E$4001,$B678,'Per Line'!$AP$2:$AP$4001,0,'Per Line'!$AQ$2:$AQ$4001,0))</f>
        <v/>
      </c>
      <c r="S678" s="7">
        <f>IF($AA678="","",R678*Q678)</f>
        <v/>
      </c>
      <c r="T678">
        <f>IF($AA678="","",Settings!$C$6)</f>
        <v/>
      </c>
      <c r="U678" s="7">
        <f>IF($AA678="","",SUMIFS('Per Line'!$Y$2:$Y$4001,'Per Line'!$E$2:$E$4001,$B678,'Per Line'!$AP$2:$AP$4001,1,'Per Line'!$AQ$2:$AQ$4001,0))</f>
        <v/>
      </c>
      <c r="V678" s="7">
        <f>IF($AA678="","",U678*T678)</f>
        <v/>
      </c>
      <c r="W678" s="7">
        <f>IF($AA678="","",V678+S678)</f>
        <v/>
      </c>
      <c r="X678" s="7">
        <f>IF($AA678="","",Y678-W678)</f>
        <v/>
      </c>
      <c r="Y678" s="7">
        <f>IF($AA678="","",R678+U678+P678)</f>
        <v/>
      </c>
      <c r="Z678" s="7">
        <f>IF($AA678="","",Y678-W678-L678)</f>
        <v/>
      </c>
      <c r="AA678" s="13">
        <f>IF(ROWS($AA$2:$AA678)&lt;=MAX('Per Line'!$AO$2:$AO$4001),MATCH(ROWS($AA$2:$AA678),'Per Line'!$AO$2:$AO$4001,0),"")</f>
        <v/>
      </c>
      <c r="AB678" s="14">
        <f>IF($AA678="","",L678-K678*Y678/100)</f>
        <v/>
      </c>
    </row>
    <row r="679">
      <c r="A679" s="12" t="n"/>
      <c r="B679">
        <f>IF($AA679="","",INDEX('Per Line'!$E$2:$E$4001,$AA679)&amp;"")</f>
        <v/>
      </c>
      <c r="C679">
        <f>IF($AA679="","",INDEX('Per Line'!$A$2:$A$4001,$AA679)&amp;"")</f>
        <v/>
      </c>
      <c r="D679">
        <f>IF($AA679="","",INDEX('Per Line'!$D$2:$D$4001,$AA679)&amp;"")</f>
        <v/>
      </c>
      <c r="E679" s="11">
        <f>IF($AA679="","",INDEX('Per Line'!$G$2:$G$4001,$AA679))</f>
        <v/>
      </c>
      <c r="F679">
        <f>IF($AA679="","",INDEX('Per Line'!$H$2:$H$4001,$AA679)&amp;"")</f>
        <v/>
      </c>
      <c r="G679">
        <f>IF($AA679="","",INDEX('Per Line'!$I$2:$I$4001,$AA679)&amp;"")</f>
        <v/>
      </c>
      <c r="H679">
        <f>IF($AA679="","",INDEX('Per Line'!$J$2:$J$4001,$AA679)&amp;"")</f>
        <v/>
      </c>
      <c r="I679">
        <f>IF($AA679="","",INDEX('Per Line'!$K$2:$K$4001,$AA679)&amp;"")</f>
        <v/>
      </c>
      <c r="J679">
        <f>IF($AA679="","",INDEX('Per Line'!$L$2:$L$4001,$AA679)&amp;"")</f>
        <v/>
      </c>
      <c r="K679">
        <f>IF($AA679="","",INDEX('Per Line'!$P$2:$P$4001,$AA679))</f>
        <v/>
      </c>
      <c r="L679" s="7">
        <f>IF($AA679="","",IF(AND(ISNUMBER(N679),N679&gt;0,Y679&gt;N679),K679*N679/100+(Y679-N679),K679*Y679/100))</f>
        <v/>
      </c>
      <c r="M679">
        <f>IF($AA679="","",INDEX('Per Line'!$Z$2:$Z$4001,$AA679)&amp;"")</f>
        <v/>
      </c>
      <c r="N679">
        <f>IF($AA679="","",INDEX('Per Line'!$AG$2:$AG$4001,$AA679))</f>
        <v/>
      </c>
      <c r="O679">
        <f>IF($AA679="","",IF(AND(ISNUMBER(N679),N679&gt;0),Y679&gt;N679,FALSE))</f>
        <v/>
      </c>
      <c r="P679" s="7">
        <f>IF($AA679="","",SUMIFS('Per Line'!$Y$2:$Y$4001,'Per Line'!$E$2:$E$4001,$B679,'Per Line'!$AQ$2:$AQ$4001,1))</f>
        <v/>
      </c>
      <c r="Q679">
        <f>IF($AA679="","",Settings!$C$7)</f>
        <v/>
      </c>
      <c r="R679" s="7">
        <f>IF($AA679="","",SUMIFS('Per Line'!$Y$2:$Y$4001,'Per Line'!$E$2:$E$4001,$B679,'Per Line'!$AP$2:$AP$4001,0,'Per Line'!$AQ$2:$AQ$4001,0))</f>
        <v/>
      </c>
      <c r="S679" s="7">
        <f>IF($AA679="","",R679*Q679)</f>
        <v/>
      </c>
      <c r="T679">
        <f>IF($AA679="","",Settings!$C$6)</f>
        <v/>
      </c>
      <c r="U679" s="7">
        <f>IF($AA679="","",SUMIFS('Per Line'!$Y$2:$Y$4001,'Per Line'!$E$2:$E$4001,$B679,'Per Line'!$AP$2:$AP$4001,1,'Per Line'!$AQ$2:$AQ$4001,0))</f>
        <v/>
      </c>
      <c r="V679" s="7">
        <f>IF($AA679="","",U679*T679)</f>
        <v/>
      </c>
      <c r="W679" s="7">
        <f>IF($AA679="","",V679+S679)</f>
        <v/>
      </c>
      <c r="X679" s="7">
        <f>IF($AA679="","",Y679-W679)</f>
        <v/>
      </c>
      <c r="Y679" s="7">
        <f>IF($AA679="","",R679+U679+P679)</f>
        <v/>
      </c>
      <c r="Z679" s="7">
        <f>IF($AA679="","",Y679-W679-L679)</f>
        <v/>
      </c>
      <c r="AA679" s="13">
        <f>IF(ROWS($AA$2:$AA679)&lt;=MAX('Per Line'!$AO$2:$AO$4001),MATCH(ROWS($AA$2:$AA679),'Per Line'!$AO$2:$AO$4001,0),"")</f>
        <v/>
      </c>
      <c r="AB679" s="14">
        <f>IF($AA679="","",L679-K679*Y679/100)</f>
        <v/>
      </c>
    </row>
    <row r="680">
      <c r="A680" s="12" t="n"/>
      <c r="B680">
        <f>IF($AA680="","",INDEX('Per Line'!$E$2:$E$4001,$AA680)&amp;"")</f>
        <v/>
      </c>
      <c r="C680">
        <f>IF($AA680="","",INDEX('Per Line'!$A$2:$A$4001,$AA680)&amp;"")</f>
        <v/>
      </c>
      <c r="D680">
        <f>IF($AA680="","",INDEX('Per Line'!$D$2:$D$4001,$AA680)&amp;"")</f>
        <v/>
      </c>
      <c r="E680" s="11">
        <f>IF($AA680="","",INDEX('Per Line'!$G$2:$G$4001,$AA680))</f>
        <v/>
      </c>
      <c r="F680">
        <f>IF($AA680="","",INDEX('Per Line'!$H$2:$H$4001,$AA680)&amp;"")</f>
        <v/>
      </c>
      <c r="G680">
        <f>IF($AA680="","",INDEX('Per Line'!$I$2:$I$4001,$AA680)&amp;"")</f>
        <v/>
      </c>
      <c r="H680">
        <f>IF($AA680="","",INDEX('Per Line'!$J$2:$J$4001,$AA680)&amp;"")</f>
        <v/>
      </c>
      <c r="I680">
        <f>IF($AA680="","",INDEX('Per Line'!$K$2:$K$4001,$AA680)&amp;"")</f>
        <v/>
      </c>
      <c r="J680">
        <f>IF($AA680="","",INDEX('Per Line'!$L$2:$L$4001,$AA680)&amp;"")</f>
        <v/>
      </c>
      <c r="K680">
        <f>IF($AA680="","",INDEX('Per Line'!$P$2:$P$4001,$AA680))</f>
        <v/>
      </c>
      <c r="L680" s="7">
        <f>IF($AA680="","",IF(AND(ISNUMBER(N680),N680&gt;0,Y680&gt;N680),K680*N680/100+(Y680-N680),K680*Y680/100))</f>
        <v/>
      </c>
      <c r="M680">
        <f>IF($AA680="","",INDEX('Per Line'!$Z$2:$Z$4001,$AA680)&amp;"")</f>
        <v/>
      </c>
      <c r="N680">
        <f>IF($AA680="","",INDEX('Per Line'!$AG$2:$AG$4001,$AA680))</f>
        <v/>
      </c>
      <c r="O680">
        <f>IF($AA680="","",IF(AND(ISNUMBER(N680),N680&gt;0),Y680&gt;N680,FALSE))</f>
        <v/>
      </c>
      <c r="P680" s="7">
        <f>IF($AA680="","",SUMIFS('Per Line'!$Y$2:$Y$4001,'Per Line'!$E$2:$E$4001,$B680,'Per Line'!$AQ$2:$AQ$4001,1))</f>
        <v/>
      </c>
      <c r="Q680">
        <f>IF($AA680="","",Settings!$C$7)</f>
        <v/>
      </c>
      <c r="R680" s="7">
        <f>IF($AA680="","",SUMIFS('Per Line'!$Y$2:$Y$4001,'Per Line'!$E$2:$E$4001,$B680,'Per Line'!$AP$2:$AP$4001,0,'Per Line'!$AQ$2:$AQ$4001,0))</f>
        <v/>
      </c>
      <c r="S680" s="7">
        <f>IF($AA680="","",R680*Q680)</f>
        <v/>
      </c>
      <c r="T680">
        <f>IF($AA680="","",Settings!$C$6)</f>
        <v/>
      </c>
      <c r="U680" s="7">
        <f>IF($AA680="","",SUMIFS('Per Line'!$Y$2:$Y$4001,'Per Line'!$E$2:$E$4001,$B680,'Per Line'!$AP$2:$AP$4001,1,'Per Line'!$AQ$2:$AQ$4001,0))</f>
        <v/>
      </c>
      <c r="V680" s="7">
        <f>IF($AA680="","",U680*T680)</f>
        <v/>
      </c>
      <c r="W680" s="7">
        <f>IF($AA680="","",V680+S680)</f>
        <v/>
      </c>
      <c r="X680" s="7">
        <f>IF($AA680="","",Y680-W680)</f>
        <v/>
      </c>
      <c r="Y680" s="7">
        <f>IF($AA680="","",R680+U680+P680)</f>
        <v/>
      </c>
      <c r="Z680" s="7">
        <f>IF($AA680="","",Y680-W680-L680)</f>
        <v/>
      </c>
      <c r="AA680" s="13">
        <f>IF(ROWS($AA$2:$AA680)&lt;=MAX('Per Line'!$AO$2:$AO$4001),MATCH(ROWS($AA$2:$AA680),'Per Line'!$AO$2:$AO$4001,0),"")</f>
        <v/>
      </c>
      <c r="AB680" s="14">
        <f>IF($AA680="","",L680-K680*Y680/100)</f>
        <v/>
      </c>
    </row>
    <row r="681">
      <c r="A681" s="12" t="n"/>
      <c r="B681">
        <f>IF($AA681="","",INDEX('Per Line'!$E$2:$E$4001,$AA681)&amp;"")</f>
        <v/>
      </c>
      <c r="C681">
        <f>IF($AA681="","",INDEX('Per Line'!$A$2:$A$4001,$AA681)&amp;"")</f>
        <v/>
      </c>
      <c r="D681">
        <f>IF($AA681="","",INDEX('Per Line'!$D$2:$D$4001,$AA681)&amp;"")</f>
        <v/>
      </c>
      <c r="E681" s="11">
        <f>IF($AA681="","",INDEX('Per Line'!$G$2:$G$4001,$AA681))</f>
        <v/>
      </c>
      <c r="F681">
        <f>IF($AA681="","",INDEX('Per Line'!$H$2:$H$4001,$AA681)&amp;"")</f>
        <v/>
      </c>
      <c r="G681">
        <f>IF($AA681="","",INDEX('Per Line'!$I$2:$I$4001,$AA681)&amp;"")</f>
        <v/>
      </c>
      <c r="H681">
        <f>IF($AA681="","",INDEX('Per Line'!$J$2:$J$4001,$AA681)&amp;"")</f>
        <v/>
      </c>
      <c r="I681">
        <f>IF($AA681="","",INDEX('Per Line'!$K$2:$K$4001,$AA681)&amp;"")</f>
        <v/>
      </c>
      <c r="J681">
        <f>IF($AA681="","",INDEX('Per Line'!$L$2:$L$4001,$AA681)&amp;"")</f>
        <v/>
      </c>
      <c r="K681">
        <f>IF($AA681="","",INDEX('Per Line'!$P$2:$P$4001,$AA681))</f>
        <v/>
      </c>
      <c r="L681" s="7">
        <f>IF($AA681="","",IF(AND(ISNUMBER(N681),N681&gt;0,Y681&gt;N681),K681*N681/100+(Y681-N681),K681*Y681/100))</f>
        <v/>
      </c>
      <c r="M681">
        <f>IF($AA681="","",INDEX('Per Line'!$Z$2:$Z$4001,$AA681)&amp;"")</f>
        <v/>
      </c>
      <c r="N681">
        <f>IF($AA681="","",INDEX('Per Line'!$AG$2:$AG$4001,$AA681))</f>
        <v/>
      </c>
      <c r="O681">
        <f>IF($AA681="","",IF(AND(ISNUMBER(N681),N681&gt;0),Y681&gt;N681,FALSE))</f>
        <v/>
      </c>
      <c r="P681" s="7">
        <f>IF($AA681="","",SUMIFS('Per Line'!$Y$2:$Y$4001,'Per Line'!$E$2:$E$4001,$B681,'Per Line'!$AQ$2:$AQ$4001,1))</f>
        <v/>
      </c>
      <c r="Q681">
        <f>IF($AA681="","",Settings!$C$7)</f>
        <v/>
      </c>
      <c r="R681" s="7">
        <f>IF($AA681="","",SUMIFS('Per Line'!$Y$2:$Y$4001,'Per Line'!$E$2:$E$4001,$B681,'Per Line'!$AP$2:$AP$4001,0,'Per Line'!$AQ$2:$AQ$4001,0))</f>
        <v/>
      </c>
      <c r="S681" s="7">
        <f>IF($AA681="","",R681*Q681)</f>
        <v/>
      </c>
      <c r="T681">
        <f>IF($AA681="","",Settings!$C$6)</f>
        <v/>
      </c>
      <c r="U681" s="7">
        <f>IF($AA681="","",SUMIFS('Per Line'!$Y$2:$Y$4001,'Per Line'!$E$2:$E$4001,$B681,'Per Line'!$AP$2:$AP$4001,1,'Per Line'!$AQ$2:$AQ$4001,0))</f>
        <v/>
      </c>
      <c r="V681" s="7">
        <f>IF($AA681="","",U681*T681)</f>
        <v/>
      </c>
      <c r="W681" s="7">
        <f>IF($AA681="","",V681+S681)</f>
        <v/>
      </c>
      <c r="X681" s="7">
        <f>IF($AA681="","",Y681-W681)</f>
        <v/>
      </c>
      <c r="Y681" s="7">
        <f>IF($AA681="","",R681+U681+P681)</f>
        <v/>
      </c>
      <c r="Z681" s="7">
        <f>IF($AA681="","",Y681-W681-L681)</f>
        <v/>
      </c>
      <c r="AA681" s="13">
        <f>IF(ROWS($AA$2:$AA681)&lt;=MAX('Per Line'!$AO$2:$AO$4001),MATCH(ROWS($AA$2:$AA681),'Per Line'!$AO$2:$AO$4001,0),"")</f>
        <v/>
      </c>
      <c r="AB681" s="14">
        <f>IF($AA681="","",L681-K681*Y681/100)</f>
        <v/>
      </c>
    </row>
    <row r="682">
      <c r="A682" s="12" t="n"/>
      <c r="B682">
        <f>IF($AA682="","",INDEX('Per Line'!$E$2:$E$4001,$AA682)&amp;"")</f>
        <v/>
      </c>
      <c r="C682">
        <f>IF($AA682="","",INDEX('Per Line'!$A$2:$A$4001,$AA682)&amp;"")</f>
        <v/>
      </c>
      <c r="D682">
        <f>IF($AA682="","",INDEX('Per Line'!$D$2:$D$4001,$AA682)&amp;"")</f>
        <v/>
      </c>
      <c r="E682" s="11">
        <f>IF($AA682="","",INDEX('Per Line'!$G$2:$G$4001,$AA682))</f>
        <v/>
      </c>
      <c r="F682">
        <f>IF($AA682="","",INDEX('Per Line'!$H$2:$H$4001,$AA682)&amp;"")</f>
        <v/>
      </c>
      <c r="G682">
        <f>IF($AA682="","",INDEX('Per Line'!$I$2:$I$4001,$AA682)&amp;"")</f>
        <v/>
      </c>
      <c r="H682">
        <f>IF($AA682="","",INDEX('Per Line'!$J$2:$J$4001,$AA682)&amp;"")</f>
        <v/>
      </c>
      <c r="I682">
        <f>IF($AA682="","",INDEX('Per Line'!$K$2:$K$4001,$AA682)&amp;"")</f>
        <v/>
      </c>
      <c r="J682">
        <f>IF($AA682="","",INDEX('Per Line'!$L$2:$L$4001,$AA682)&amp;"")</f>
        <v/>
      </c>
      <c r="K682">
        <f>IF($AA682="","",INDEX('Per Line'!$P$2:$P$4001,$AA682))</f>
        <v/>
      </c>
      <c r="L682" s="7">
        <f>IF($AA682="","",IF(AND(ISNUMBER(N682),N682&gt;0,Y682&gt;N682),K682*N682/100+(Y682-N682),K682*Y682/100))</f>
        <v/>
      </c>
      <c r="M682">
        <f>IF($AA682="","",INDEX('Per Line'!$Z$2:$Z$4001,$AA682)&amp;"")</f>
        <v/>
      </c>
      <c r="N682">
        <f>IF($AA682="","",INDEX('Per Line'!$AG$2:$AG$4001,$AA682))</f>
        <v/>
      </c>
      <c r="O682">
        <f>IF($AA682="","",IF(AND(ISNUMBER(N682),N682&gt;0),Y682&gt;N682,FALSE))</f>
        <v/>
      </c>
      <c r="P682" s="7">
        <f>IF($AA682="","",SUMIFS('Per Line'!$Y$2:$Y$4001,'Per Line'!$E$2:$E$4001,$B682,'Per Line'!$AQ$2:$AQ$4001,1))</f>
        <v/>
      </c>
      <c r="Q682">
        <f>IF($AA682="","",Settings!$C$7)</f>
        <v/>
      </c>
      <c r="R682" s="7">
        <f>IF($AA682="","",SUMIFS('Per Line'!$Y$2:$Y$4001,'Per Line'!$E$2:$E$4001,$B682,'Per Line'!$AP$2:$AP$4001,0,'Per Line'!$AQ$2:$AQ$4001,0))</f>
        <v/>
      </c>
      <c r="S682" s="7">
        <f>IF($AA682="","",R682*Q682)</f>
        <v/>
      </c>
      <c r="T682">
        <f>IF($AA682="","",Settings!$C$6)</f>
        <v/>
      </c>
      <c r="U682" s="7">
        <f>IF($AA682="","",SUMIFS('Per Line'!$Y$2:$Y$4001,'Per Line'!$E$2:$E$4001,$B682,'Per Line'!$AP$2:$AP$4001,1,'Per Line'!$AQ$2:$AQ$4001,0))</f>
        <v/>
      </c>
      <c r="V682" s="7">
        <f>IF($AA682="","",U682*T682)</f>
        <v/>
      </c>
      <c r="W682" s="7">
        <f>IF($AA682="","",V682+S682)</f>
        <v/>
      </c>
      <c r="X682" s="7">
        <f>IF($AA682="","",Y682-W682)</f>
        <v/>
      </c>
      <c r="Y682" s="7">
        <f>IF($AA682="","",R682+U682+P682)</f>
        <v/>
      </c>
      <c r="Z682" s="7">
        <f>IF($AA682="","",Y682-W682-L682)</f>
        <v/>
      </c>
      <c r="AA682" s="13">
        <f>IF(ROWS($AA$2:$AA682)&lt;=MAX('Per Line'!$AO$2:$AO$4001),MATCH(ROWS($AA$2:$AA682),'Per Line'!$AO$2:$AO$4001,0),"")</f>
        <v/>
      </c>
      <c r="AB682" s="14">
        <f>IF($AA682="","",L682-K682*Y682/100)</f>
        <v/>
      </c>
    </row>
    <row r="683">
      <c r="A683" s="12" t="n"/>
      <c r="B683">
        <f>IF($AA683="","",INDEX('Per Line'!$E$2:$E$4001,$AA683)&amp;"")</f>
        <v/>
      </c>
      <c r="C683">
        <f>IF($AA683="","",INDEX('Per Line'!$A$2:$A$4001,$AA683)&amp;"")</f>
        <v/>
      </c>
      <c r="D683">
        <f>IF($AA683="","",INDEX('Per Line'!$D$2:$D$4001,$AA683)&amp;"")</f>
        <v/>
      </c>
      <c r="E683" s="11">
        <f>IF($AA683="","",INDEX('Per Line'!$G$2:$G$4001,$AA683))</f>
        <v/>
      </c>
      <c r="F683">
        <f>IF($AA683="","",INDEX('Per Line'!$H$2:$H$4001,$AA683)&amp;"")</f>
        <v/>
      </c>
      <c r="G683">
        <f>IF($AA683="","",INDEX('Per Line'!$I$2:$I$4001,$AA683)&amp;"")</f>
        <v/>
      </c>
      <c r="H683">
        <f>IF($AA683="","",INDEX('Per Line'!$J$2:$J$4001,$AA683)&amp;"")</f>
        <v/>
      </c>
      <c r="I683">
        <f>IF($AA683="","",INDEX('Per Line'!$K$2:$K$4001,$AA683)&amp;"")</f>
        <v/>
      </c>
      <c r="J683">
        <f>IF($AA683="","",INDEX('Per Line'!$L$2:$L$4001,$AA683)&amp;"")</f>
        <v/>
      </c>
      <c r="K683">
        <f>IF($AA683="","",INDEX('Per Line'!$P$2:$P$4001,$AA683))</f>
        <v/>
      </c>
      <c r="L683" s="7">
        <f>IF($AA683="","",IF(AND(ISNUMBER(N683),N683&gt;0,Y683&gt;N683),K683*N683/100+(Y683-N683),K683*Y683/100))</f>
        <v/>
      </c>
      <c r="M683">
        <f>IF($AA683="","",INDEX('Per Line'!$Z$2:$Z$4001,$AA683)&amp;"")</f>
        <v/>
      </c>
      <c r="N683">
        <f>IF($AA683="","",INDEX('Per Line'!$AG$2:$AG$4001,$AA683))</f>
        <v/>
      </c>
      <c r="O683">
        <f>IF($AA683="","",IF(AND(ISNUMBER(N683),N683&gt;0),Y683&gt;N683,FALSE))</f>
        <v/>
      </c>
      <c r="P683" s="7">
        <f>IF($AA683="","",SUMIFS('Per Line'!$Y$2:$Y$4001,'Per Line'!$E$2:$E$4001,$B683,'Per Line'!$AQ$2:$AQ$4001,1))</f>
        <v/>
      </c>
      <c r="Q683">
        <f>IF($AA683="","",Settings!$C$7)</f>
        <v/>
      </c>
      <c r="R683" s="7">
        <f>IF($AA683="","",SUMIFS('Per Line'!$Y$2:$Y$4001,'Per Line'!$E$2:$E$4001,$B683,'Per Line'!$AP$2:$AP$4001,0,'Per Line'!$AQ$2:$AQ$4001,0))</f>
        <v/>
      </c>
      <c r="S683" s="7">
        <f>IF($AA683="","",R683*Q683)</f>
        <v/>
      </c>
      <c r="T683">
        <f>IF($AA683="","",Settings!$C$6)</f>
        <v/>
      </c>
      <c r="U683" s="7">
        <f>IF($AA683="","",SUMIFS('Per Line'!$Y$2:$Y$4001,'Per Line'!$E$2:$E$4001,$B683,'Per Line'!$AP$2:$AP$4001,1,'Per Line'!$AQ$2:$AQ$4001,0))</f>
        <v/>
      </c>
      <c r="V683" s="7">
        <f>IF($AA683="","",U683*T683)</f>
        <v/>
      </c>
      <c r="W683" s="7">
        <f>IF($AA683="","",V683+S683)</f>
        <v/>
      </c>
      <c r="X683" s="7">
        <f>IF($AA683="","",Y683-W683)</f>
        <v/>
      </c>
      <c r="Y683" s="7">
        <f>IF($AA683="","",R683+U683+P683)</f>
        <v/>
      </c>
      <c r="Z683" s="7">
        <f>IF($AA683="","",Y683-W683-L683)</f>
        <v/>
      </c>
      <c r="AA683" s="13">
        <f>IF(ROWS($AA$2:$AA683)&lt;=MAX('Per Line'!$AO$2:$AO$4001),MATCH(ROWS($AA$2:$AA683),'Per Line'!$AO$2:$AO$4001,0),"")</f>
        <v/>
      </c>
      <c r="AB683" s="14">
        <f>IF($AA683="","",L683-K683*Y683/100)</f>
        <v/>
      </c>
    </row>
    <row r="684">
      <c r="A684" s="12" t="n"/>
      <c r="B684">
        <f>IF($AA684="","",INDEX('Per Line'!$E$2:$E$4001,$AA684)&amp;"")</f>
        <v/>
      </c>
      <c r="C684">
        <f>IF($AA684="","",INDEX('Per Line'!$A$2:$A$4001,$AA684)&amp;"")</f>
        <v/>
      </c>
      <c r="D684">
        <f>IF($AA684="","",INDEX('Per Line'!$D$2:$D$4001,$AA684)&amp;"")</f>
        <v/>
      </c>
      <c r="E684" s="11">
        <f>IF($AA684="","",INDEX('Per Line'!$G$2:$G$4001,$AA684))</f>
        <v/>
      </c>
      <c r="F684">
        <f>IF($AA684="","",INDEX('Per Line'!$H$2:$H$4001,$AA684)&amp;"")</f>
        <v/>
      </c>
      <c r="G684">
        <f>IF($AA684="","",INDEX('Per Line'!$I$2:$I$4001,$AA684)&amp;"")</f>
        <v/>
      </c>
      <c r="H684">
        <f>IF($AA684="","",INDEX('Per Line'!$J$2:$J$4001,$AA684)&amp;"")</f>
        <v/>
      </c>
      <c r="I684">
        <f>IF($AA684="","",INDEX('Per Line'!$K$2:$K$4001,$AA684)&amp;"")</f>
        <v/>
      </c>
      <c r="J684">
        <f>IF($AA684="","",INDEX('Per Line'!$L$2:$L$4001,$AA684)&amp;"")</f>
        <v/>
      </c>
      <c r="K684">
        <f>IF($AA684="","",INDEX('Per Line'!$P$2:$P$4001,$AA684))</f>
        <v/>
      </c>
      <c r="L684" s="7">
        <f>IF($AA684="","",IF(AND(ISNUMBER(N684),N684&gt;0,Y684&gt;N684),K684*N684/100+(Y684-N684),K684*Y684/100))</f>
        <v/>
      </c>
      <c r="M684">
        <f>IF($AA684="","",INDEX('Per Line'!$Z$2:$Z$4001,$AA684)&amp;"")</f>
        <v/>
      </c>
      <c r="N684">
        <f>IF($AA684="","",INDEX('Per Line'!$AG$2:$AG$4001,$AA684))</f>
        <v/>
      </c>
      <c r="O684">
        <f>IF($AA684="","",IF(AND(ISNUMBER(N684),N684&gt;0),Y684&gt;N684,FALSE))</f>
        <v/>
      </c>
      <c r="P684" s="7">
        <f>IF($AA684="","",SUMIFS('Per Line'!$Y$2:$Y$4001,'Per Line'!$E$2:$E$4001,$B684,'Per Line'!$AQ$2:$AQ$4001,1))</f>
        <v/>
      </c>
      <c r="Q684">
        <f>IF($AA684="","",Settings!$C$7)</f>
        <v/>
      </c>
      <c r="R684" s="7">
        <f>IF($AA684="","",SUMIFS('Per Line'!$Y$2:$Y$4001,'Per Line'!$E$2:$E$4001,$B684,'Per Line'!$AP$2:$AP$4001,0,'Per Line'!$AQ$2:$AQ$4001,0))</f>
        <v/>
      </c>
      <c r="S684" s="7">
        <f>IF($AA684="","",R684*Q684)</f>
        <v/>
      </c>
      <c r="T684">
        <f>IF($AA684="","",Settings!$C$6)</f>
        <v/>
      </c>
      <c r="U684" s="7">
        <f>IF($AA684="","",SUMIFS('Per Line'!$Y$2:$Y$4001,'Per Line'!$E$2:$E$4001,$B684,'Per Line'!$AP$2:$AP$4001,1,'Per Line'!$AQ$2:$AQ$4001,0))</f>
        <v/>
      </c>
      <c r="V684" s="7">
        <f>IF($AA684="","",U684*T684)</f>
        <v/>
      </c>
      <c r="W684" s="7">
        <f>IF($AA684="","",V684+S684)</f>
        <v/>
      </c>
      <c r="X684" s="7">
        <f>IF($AA684="","",Y684-W684)</f>
        <v/>
      </c>
      <c r="Y684" s="7">
        <f>IF($AA684="","",R684+U684+P684)</f>
        <v/>
      </c>
      <c r="Z684" s="7">
        <f>IF($AA684="","",Y684-W684-L684)</f>
        <v/>
      </c>
      <c r="AA684" s="13">
        <f>IF(ROWS($AA$2:$AA684)&lt;=MAX('Per Line'!$AO$2:$AO$4001),MATCH(ROWS($AA$2:$AA684),'Per Line'!$AO$2:$AO$4001,0),"")</f>
        <v/>
      </c>
      <c r="AB684" s="14">
        <f>IF($AA684="","",L684-K684*Y684/100)</f>
        <v/>
      </c>
    </row>
    <row r="685">
      <c r="A685" s="12" t="n"/>
      <c r="B685">
        <f>IF($AA685="","",INDEX('Per Line'!$E$2:$E$4001,$AA685)&amp;"")</f>
        <v/>
      </c>
      <c r="C685">
        <f>IF($AA685="","",INDEX('Per Line'!$A$2:$A$4001,$AA685)&amp;"")</f>
        <v/>
      </c>
      <c r="D685">
        <f>IF($AA685="","",INDEX('Per Line'!$D$2:$D$4001,$AA685)&amp;"")</f>
        <v/>
      </c>
      <c r="E685" s="11">
        <f>IF($AA685="","",INDEX('Per Line'!$G$2:$G$4001,$AA685))</f>
        <v/>
      </c>
      <c r="F685">
        <f>IF($AA685="","",INDEX('Per Line'!$H$2:$H$4001,$AA685)&amp;"")</f>
        <v/>
      </c>
      <c r="G685">
        <f>IF($AA685="","",INDEX('Per Line'!$I$2:$I$4001,$AA685)&amp;"")</f>
        <v/>
      </c>
      <c r="H685">
        <f>IF($AA685="","",INDEX('Per Line'!$J$2:$J$4001,$AA685)&amp;"")</f>
        <v/>
      </c>
      <c r="I685">
        <f>IF($AA685="","",INDEX('Per Line'!$K$2:$K$4001,$AA685)&amp;"")</f>
        <v/>
      </c>
      <c r="J685">
        <f>IF($AA685="","",INDEX('Per Line'!$L$2:$L$4001,$AA685)&amp;"")</f>
        <v/>
      </c>
      <c r="K685">
        <f>IF($AA685="","",INDEX('Per Line'!$P$2:$P$4001,$AA685))</f>
        <v/>
      </c>
      <c r="L685" s="7">
        <f>IF($AA685="","",IF(AND(ISNUMBER(N685),N685&gt;0,Y685&gt;N685),K685*N685/100+(Y685-N685),K685*Y685/100))</f>
        <v/>
      </c>
      <c r="M685">
        <f>IF($AA685="","",INDEX('Per Line'!$Z$2:$Z$4001,$AA685)&amp;"")</f>
        <v/>
      </c>
      <c r="N685">
        <f>IF($AA685="","",INDEX('Per Line'!$AG$2:$AG$4001,$AA685))</f>
        <v/>
      </c>
      <c r="O685">
        <f>IF($AA685="","",IF(AND(ISNUMBER(N685),N685&gt;0),Y685&gt;N685,FALSE))</f>
        <v/>
      </c>
      <c r="P685" s="7">
        <f>IF($AA685="","",SUMIFS('Per Line'!$Y$2:$Y$4001,'Per Line'!$E$2:$E$4001,$B685,'Per Line'!$AQ$2:$AQ$4001,1))</f>
        <v/>
      </c>
      <c r="Q685">
        <f>IF($AA685="","",Settings!$C$7)</f>
        <v/>
      </c>
      <c r="R685" s="7">
        <f>IF($AA685="","",SUMIFS('Per Line'!$Y$2:$Y$4001,'Per Line'!$E$2:$E$4001,$B685,'Per Line'!$AP$2:$AP$4001,0,'Per Line'!$AQ$2:$AQ$4001,0))</f>
        <v/>
      </c>
      <c r="S685" s="7">
        <f>IF($AA685="","",R685*Q685)</f>
        <v/>
      </c>
      <c r="T685">
        <f>IF($AA685="","",Settings!$C$6)</f>
        <v/>
      </c>
      <c r="U685" s="7">
        <f>IF($AA685="","",SUMIFS('Per Line'!$Y$2:$Y$4001,'Per Line'!$E$2:$E$4001,$B685,'Per Line'!$AP$2:$AP$4001,1,'Per Line'!$AQ$2:$AQ$4001,0))</f>
        <v/>
      </c>
      <c r="V685" s="7">
        <f>IF($AA685="","",U685*T685)</f>
        <v/>
      </c>
      <c r="W685" s="7">
        <f>IF($AA685="","",V685+S685)</f>
        <v/>
      </c>
      <c r="X685" s="7">
        <f>IF($AA685="","",Y685-W685)</f>
        <v/>
      </c>
      <c r="Y685" s="7">
        <f>IF($AA685="","",R685+U685+P685)</f>
        <v/>
      </c>
      <c r="Z685" s="7">
        <f>IF($AA685="","",Y685-W685-L685)</f>
        <v/>
      </c>
      <c r="AA685" s="13">
        <f>IF(ROWS($AA$2:$AA685)&lt;=MAX('Per Line'!$AO$2:$AO$4001),MATCH(ROWS($AA$2:$AA685),'Per Line'!$AO$2:$AO$4001,0),"")</f>
        <v/>
      </c>
      <c r="AB685" s="14">
        <f>IF($AA685="","",L685-K685*Y685/100)</f>
        <v/>
      </c>
    </row>
    <row r="686">
      <c r="A686" s="12" t="n"/>
      <c r="B686">
        <f>IF($AA686="","",INDEX('Per Line'!$E$2:$E$4001,$AA686)&amp;"")</f>
        <v/>
      </c>
      <c r="C686">
        <f>IF($AA686="","",INDEX('Per Line'!$A$2:$A$4001,$AA686)&amp;"")</f>
        <v/>
      </c>
      <c r="D686">
        <f>IF($AA686="","",INDEX('Per Line'!$D$2:$D$4001,$AA686)&amp;"")</f>
        <v/>
      </c>
      <c r="E686" s="11">
        <f>IF($AA686="","",INDEX('Per Line'!$G$2:$G$4001,$AA686))</f>
        <v/>
      </c>
      <c r="F686">
        <f>IF($AA686="","",INDEX('Per Line'!$H$2:$H$4001,$AA686)&amp;"")</f>
        <v/>
      </c>
      <c r="G686">
        <f>IF($AA686="","",INDEX('Per Line'!$I$2:$I$4001,$AA686)&amp;"")</f>
        <v/>
      </c>
      <c r="H686">
        <f>IF($AA686="","",INDEX('Per Line'!$J$2:$J$4001,$AA686)&amp;"")</f>
        <v/>
      </c>
      <c r="I686">
        <f>IF($AA686="","",INDEX('Per Line'!$K$2:$K$4001,$AA686)&amp;"")</f>
        <v/>
      </c>
      <c r="J686">
        <f>IF($AA686="","",INDEX('Per Line'!$L$2:$L$4001,$AA686)&amp;"")</f>
        <v/>
      </c>
      <c r="K686">
        <f>IF($AA686="","",INDEX('Per Line'!$P$2:$P$4001,$AA686))</f>
        <v/>
      </c>
      <c r="L686" s="7">
        <f>IF($AA686="","",IF(AND(ISNUMBER(N686),N686&gt;0,Y686&gt;N686),K686*N686/100+(Y686-N686),K686*Y686/100))</f>
        <v/>
      </c>
      <c r="M686">
        <f>IF($AA686="","",INDEX('Per Line'!$Z$2:$Z$4001,$AA686)&amp;"")</f>
        <v/>
      </c>
      <c r="N686">
        <f>IF($AA686="","",INDEX('Per Line'!$AG$2:$AG$4001,$AA686))</f>
        <v/>
      </c>
      <c r="O686">
        <f>IF($AA686="","",IF(AND(ISNUMBER(N686),N686&gt;0),Y686&gt;N686,FALSE))</f>
        <v/>
      </c>
      <c r="P686" s="7">
        <f>IF($AA686="","",SUMIFS('Per Line'!$Y$2:$Y$4001,'Per Line'!$E$2:$E$4001,$B686,'Per Line'!$AQ$2:$AQ$4001,1))</f>
        <v/>
      </c>
      <c r="Q686">
        <f>IF($AA686="","",Settings!$C$7)</f>
        <v/>
      </c>
      <c r="R686" s="7">
        <f>IF($AA686="","",SUMIFS('Per Line'!$Y$2:$Y$4001,'Per Line'!$E$2:$E$4001,$B686,'Per Line'!$AP$2:$AP$4001,0,'Per Line'!$AQ$2:$AQ$4001,0))</f>
        <v/>
      </c>
      <c r="S686" s="7">
        <f>IF($AA686="","",R686*Q686)</f>
        <v/>
      </c>
      <c r="T686">
        <f>IF($AA686="","",Settings!$C$6)</f>
        <v/>
      </c>
      <c r="U686" s="7">
        <f>IF($AA686="","",SUMIFS('Per Line'!$Y$2:$Y$4001,'Per Line'!$E$2:$E$4001,$B686,'Per Line'!$AP$2:$AP$4001,1,'Per Line'!$AQ$2:$AQ$4001,0))</f>
        <v/>
      </c>
      <c r="V686" s="7">
        <f>IF($AA686="","",U686*T686)</f>
        <v/>
      </c>
      <c r="W686" s="7">
        <f>IF($AA686="","",V686+S686)</f>
        <v/>
      </c>
      <c r="X686" s="7">
        <f>IF($AA686="","",Y686-W686)</f>
        <v/>
      </c>
      <c r="Y686" s="7">
        <f>IF($AA686="","",R686+U686+P686)</f>
        <v/>
      </c>
      <c r="Z686" s="7">
        <f>IF($AA686="","",Y686-W686-L686)</f>
        <v/>
      </c>
      <c r="AA686" s="13">
        <f>IF(ROWS($AA$2:$AA686)&lt;=MAX('Per Line'!$AO$2:$AO$4001),MATCH(ROWS($AA$2:$AA686),'Per Line'!$AO$2:$AO$4001,0),"")</f>
        <v/>
      </c>
      <c r="AB686" s="14">
        <f>IF($AA686="","",L686-K686*Y686/100)</f>
        <v/>
      </c>
    </row>
    <row r="687">
      <c r="A687" s="12" t="n"/>
      <c r="B687">
        <f>IF($AA687="","",INDEX('Per Line'!$E$2:$E$4001,$AA687)&amp;"")</f>
        <v/>
      </c>
      <c r="C687">
        <f>IF($AA687="","",INDEX('Per Line'!$A$2:$A$4001,$AA687)&amp;"")</f>
        <v/>
      </c>
      <c r="D687">
        <f>IF($AA687="","",INDEX('Per Line'!$D$2:$D$4001,$AA687)&amp;"")</f>
        <v/>
      </c>
      <c r="E687" s="11">
        <f>IF($AA687="","",INDEX('Per Line'!$G$2:$G$4001,$AA687))</f>
        <v/>
      </c>
      <c r="F687">
        <f>IF($AA687="","",INDEX('Per Line'!$H$2:$H$4001,$AA687)&amp;"")</f>
        <v/>
      </c>
      <c r="G687">
        <f>IF($AA687="","",INDEX('Per Line'!$I$2:$I$4001,$AA687)&amp;"")</f>
        <v/>
      </c>
      <c r="H687">
        <f>IF($AA687="","",INDEX('Per Line'!$J$2:$J$4001,$AA687)&amp;"")</f>
        <v/>
      </c>
      <c r="I687">
        <f>IF($AA687="","",INDEX('Per Line'!$K$2:$K$4001,$AA687)&amp;"")</f>
        <v/>
      </c>
      <c r="J687">
        <f>IF($AA687="","",INDEX('Per Line'!$L$2:$L$4001,$AA687)&amp;"")</f>
        <v/>
      </c>
      <c r="K687">
        <f>IF($AA687="","",INDEX('Per Line'!$P$2:$P$4001,$AA687))</f>
        <v/>
      </c>
      <c r="L687" s="7">
        <f>IF($AA687="","",IF(AND(ISNUMBER(N687),N687&gt;0,Y687&gt;N687),K687*N687/100+(Y687-N687),K687*Y687/100))</f>
        <v/>
      </c>
      <c r="M687">
        <f>IF($AA687="","",INDEX('Per Line'!$Z$2:$Z$4001,$AA687)&amp;"")</f>
        <v/>
      </c>
      <c r="N687">
        <f>IF($AA687="","",INDEX('Per Line'!$AG$2:$AG$4001,$AA687))</f>
        <v/>
      </c>
      <c r="O687">
        <f>IF($AA687="","",IF(AND(ISNUMBER(N687),N687&gt;0),Y687&gt;N687,FALSE))</f>
        <v/>
      </c>
      <c r="P687" s="7">
        <f>IF($AA687="","",SUMIFS('Per Line'!$Y$2:$Y$4001,'Per Line'!$E$2:$E$4001,$B687,'Per Line'!$AQ$2:$AQ$4001,1))</f>
        <v/>
      </c>
      <c r="Q687">
        <f>IF($AA687="","",Settings!$C$7)</f>
        <v/>
      </c>
      <c r="R687" s="7">
        <f>IF($AA687="","",SUMIFS('Per Line'!$Y$2:$Y$4001,'Per Line'!$E$2:$E$4001,$B687,'Per Line'!$AP$2:$AP$4001,0,'Per Line'!$AQ$2:$AQ$4001,0))</f>
        <v/>
      </c>
      <c r="S687" s="7">
        <f>IF($AA687="","",R687*Q687)</f>
        <v/>
      </c>
      <c r="T687">
        <f>IF($AA687="","",Settings!$C$6)</f>
        <v/>
      </c>
      <c r="U687" s="7">
        <f>IF($AA687="","",SUMIFS('Per Line'!$Y$2:$Y$4001,'Per Line'!$E$2:$E$4001,$B687,'Per Line'!$AP$2:$AP$4001,1,'Per Line'!$AQ$2:$AQ$4001,0))</f>
        <v/>
      </c>
      <c r="V687" s="7">
        <f>IF($AA687="","",U687*T687)</f>
        <v/>
      </c>
      <c r="W687" s="7">
        <f>IF($AA687="","",V687+S687)</f>
        <v/>
      </c>
      <c r="X687" s="7">
        <f>IF($AA687="","",Y687-W687)</f>
        <v/>
      </c>
      <c r="Y687" s="7">
        <f>IF($AA687="","",R687+U687+P687)</f>
        <v/>
      </c>
      <c r="Z687" s="7">
        <f>IF($AA687="","",Y687-W687-L687)</f>
        <v/>
      </c>
      <c r="AA687" s="13">
        <f>IF(ROWS($AA$2:$AA687)&lt;=MAX('Per Line'!$AO$2:$AO$4001),MATCH(ROWS($AA$2:$AA687),'Per Line'!$AO$2:$AO$4001,0),"")</f>
        <v/>
      </c>
      <c r="AB687" s="14">
        <f>IF($AA687="","",L687-K687*Y687/100)</f>
        <v/>
      </c>
    </row>
    <row r="688">
      <c r="A688" s="12" t="n"/>
      <c r="B688">
        <f>IF($AA688="","",INDEX('Per Line'!$E$2:$E$4001,$AA688)&amp;"")</f>
        <v/>
      </c>
      <c r="C688">
        <f>IF($AA688="","",INDEX('Per Line'!$A$2:$A$4001,$AA688)&amp;"")</f>
        <v/>
      </c>
      <c r="D688">
        <f>IF($AA688="","",INDEX('Per Line'!$D$2:$D$4001,$AA688)&amp;"")</f>
        <v/>
      </c>
      <c r="E688" s="11">
        <f>IF($AA688="","",INDEX('Per Line'!$G$2:$G$4001,$AA688))</f>
        <v/>
      </c>
      <c r="F688">
        <f>IF($AA688="","",INDEX('Per Line'!$H$2:$H$4001,$AA688)&amp;"")</f>
        <v/>
      </c>
      <c r="G688">
        <f>IF($AA688="","",INDEX('Per Line'!$I$2:$I$4001,$AA688)&amp;"")</f>
        <v/>
      </c>
      <c r="H688">
        <f>IF($AA688="","",INDEX('Per Line'!$J$2:$J$4001,$AA688)&amp;"")</f>
        <v/>
      </c>
      <c r="I688">
        <f>IF($AA688="","",INDEX('Per Line'!$K$2:$K$4001,$AA688)&amp;"")</f>
        <v/>
      </c>
      <c r="J688">
        <f>IF($AA688="","",INDEX('Per Line'!$L$2:$L$4001,$AA688)&amp;"")</f>
        <v/>
      </c>
      <c r="K688">
        <f>IF($AA688="","",INDEX('Per Line'!$P$2:$P$4001,$AA688))</f>
        <v/>
      </c>
      <c r="L688" s="7">
        <f>IF($AA688="","",IF(AND(ISNUMBER(N688),N688&gt;0,Y688&gt;N688),K688*N688/100+(Y688-N688),K688*Y688/100))</f>
        <v/>
      </c>
      <c r="M688">
        <f>IF($AA688="","",INDEX('Per Line'!$Z$2:$Z$4001,$AA688)&amp;"")</f>
        <v/>
      </c>
      <c r="N688">
        <f>IF($AA688="","",INDEX('Per Line'!$AG$2:$AG$4001,$AA688))</f>
        <v/>
      </c>
      <c r="O688">
        <f>IF($AA688="","",IF(AND(ISNUMBER(N688),N688&gt;0),Y688&gt;N688,FALSE))</f>
        <v/>
      </c>
      <c r="P688" s="7">
        <f>IF($AA688="","",SUMIFS('Per Line'!$Y$2:$Y$4001,'Per Line'!$E$2:$E$4001,$B688,'Per Line'!$AQ$2:$AQ$4001,1))</f>
        <v/>
      </c>
      <c r="Q688">
        <f>IF($AA688="","",Settings!$C$7)</f>
        <v/>
      </c>
      <c r="R688" s="7">
        <f>IF($AA688="","",SUMIFS('Per Line'!$Y$2:$Y$4001,'Per Line'!$E$2:$E$4001,$B688,'Per Line'!$AP$2:$AP$4001,0,'Per Line'!$AQ$2:$AQ$4001,0))</f>
        <v/>
      </c>
      <c r="S688" s="7">
        <f>IF($AA688="","",R688*Q688)</f>
        <v/>
      </c>
      <c r="T688">
        <f>IF($AA688="","",Settings!$C$6)</f>
        <v/>
      </c>
      <c r="U688" s="7">
        <f>IF($AA688="","",SUMIFS('Per Line'!$Y$2:$Y$4001,'Per Line'!$E$2:$E$4001,$B688,'Per Line'!$AP$2:$AP$4001,1,'Per Line'!$AQ$2:$AQ$4001,0))</f>
        <v/>
      </c>
      <c r="V688" s="7">
        <f>IF($AA688="","",U688*T688)</f>
        <v/>
      </c>
      <c r="W688" s="7">
        <f>IF($AA688="","",V688+S688)</f>
        <v/>
      </c>
      <c r="X688" s="7">
        <f>IF($AA688="","",Y688-W688)</f>
        <v/>
      </c>
      <c r="Y688" s="7">
        <f>IF($AA688="","",R688+U688+P688)</f>
        <v/>
      </c>
      <c r="Z688" s="7">
        <f>IF($AA688="","",Y688-W688-L688)</f>
        <v/>
      </c>
      <c r="AA688" s="13">
        <f>IF(ROWS($AA$2:$AA688)&lt;=MAX('Per Line'!$AO$2:$AO$4001),MATCH(ROWS($AA$2:$AA688),'Per Line'!$AO$2:$AO$4001,0),"")</f>
        <v/>
      </c>
      <c r="AB688" s="14">
        <f>IF($AA688="","",L688-K688*Y688/100)</f>
        <v/>
      </c>
    </row>
    <row r="689">
      <c r="A689" s="12" t="n"/>
      <c r="B689">
        <f>IF($AA689="","",INDEX('Per Line'!$E$2:$E$4001,$AA689)&amp;"")</f>
        <v/>
      </c>
      <c r="C689">
        <f>IF($AA689="","",INDEX('Per Line'!$A$2:$A$4001,$AA689)&amp;"")</f>
        <v/>
      </c>
      <c r="D689">
        <f>IF($AA689="","",INDEX('Per Line'!$D$2:$D$4001,$AA689)&amp;"")</f>
        <v/>
      </c>
      <c r="E689" s="11">
        <f>IF($AA689="","",INDEX('Per Line'!$G$2:$G$4001,$AA689))</f>
        <v/>
      </c>
      <c r="F689">
        <f>IF($AA689="","",INDEX('Per Line'!$H$2:$H$4001,$AA689)&amp;"")</f>
        <v/>
      </c>
      <c r="G689">
        <f>IF($AA689="","",INDEX('Per Line'!$I$2:$I$4001,$AA689)&amp;"")</f>
        <v/>
      </c>
      <c r="H689">
        <f>IF($AA689="","",INDEX('Per Line'!$J$2:$J$4001,$AA689)&amp;"")</f>
        <v/>
      </c>
      <c r="I689">
        <f>IF($AA689="","",INDEX('Per Line'!$K$2:$K$4001,$AA689)&amp;"")</f>
        <v/>
      </c>
      <c r="J689">
        <f>IF($AA689="","",INDEX('Per Line'!$L$2:$L$4001,$AA689)&amp;"")</f>
        <v/>
      </c>
      <c r="K689">
        <f>IF($AA689="","",INDEX('Per Line'!$P$2:$P$4001,$AA689))</f>
        <v/>
      </c>
      <c r="L689" s="7">
        <f>IF($AA689="","",IF(AND(ISNUMBER(N689),N689&gt;0,Y689&gt;N689),K689*N689/100+(Y689-N689),K689*Y689/100))</f>
        <v/>
      </c>
      <c r="M689">
        <f>IF($AA689="","",INDEX('Per Line'!$Z$2:$Z$4001,$AA689)&amp;"")</f>
        <v/>
      </c>
      <c r="N689">
        <f>IF($AA689="","",INDEX('Per Line'!$AG$2:$AG$4001,$AA689))</f>
        <v/>
      </c>
      <c r="O689">
        <f>IF($AA689="","",IF(AND(ISNUMBER(N689),N689&gt;0),Y689&gt;N689,FALSE))</f>
        <v/>
      </c>
      <c r="P689" s="7">
        <f>IF($AA689="","",SUMIFS('Per Line'!$Y$2:$Y$4001,'Per Line'!$E$2:$E$4001,$B689,'Per Line'!$AQ$2:$AQ$4001,1))</f>
        <v/>
      </c>
      <c r="Q689">
        <f>IF($AA689="","",Settings!$C$7)</f>
        <v/>
      </c>
      <c r="R689" s="7">
        <f>IF($AA689="","",SUMIFS('Per Line'!$Y$2:$Y$4001,'Per Line'!$E$2:$E$4001,$B689,'Per Line'!$AP$2:$AP$4001,0,'Per Line'!$AQ$2:$AQ$4001,0))</f>
        <v/>
      </c>
      <c r="S689" s="7">
        <f>IF($AA689="","",R689*Q689)</f>
        <v/>
      </c>
      <c r="T689">
        <f>IF($AA689="","",Settings!$C$6)</f>
        <v/>
      </c>
      <c r="U689" s="7">
        <f>IF($AA689="","",SUMIFS('Per Line'!$Y$2:$Y$4001,'Per Line'!$E$2:$E$4001,$B689,'Per Line'!$AP$2:$AP$4001,1,'Per Line'!$AQ$2:$AQ$4001,0))</f>
        <v/>
      </c>
      <c r="V689" s="7">
        <f>IF($AA689="","",U689*T689)</f>
        <v/>
      </c>
      <c r="W689" s="7">
        <f>IF($AA689="","",V689+S689)</f>
        <v/>
      </c>
      <c r="X689" s="7">
        <f>IF($AA689="","",Y689-W689)</f>
        <v/>
      </c>
      <c r="Y689" s="7">
        <f>IF($AA689="","",R689+U689+P689)</f>
        <v/>
      </c>
      <c r="Z689" s="7">
        <f>IF($AA689="","",Y689-W689-L689)</f>
        <v/>
      </c>
      <c r="AA689" s="13">
        <f>IF(ROWS($AA$2:$AA689)&lt;=MAX('Per Line'!$AO$2:$AO$4001),MATCH(ROWS($AA$2:$AA689),'Per Line'!$AO$2:$AO$4001,0),"")</f>
        <v/>
      </c>
      <c r="AB689" s="14">
        <f>IF($AA689="","",L689-K689*Y689/100)</f>
        <v/>
      </c>
    </row>
    <row r="690">
      <c r="A690" s="12" t="n"/>
      <c r="B690">
        <f>IF($AA690="","",INDEX('Per Line'!$E$2:$E$4001,$AA690)&amp;"")</f>
        <v/>
      </c>
      <c r="C690">
        <f>IF($AA690="","",INDEX('Per Line'!$A$2:$A$4001,$AA690)&amp;"")</f>
        <v/>
      </c>
      <c r="D690">
        <f>IF($AA690="","",INDEX('Per Line'!$D$2:$D$4001,$AA690)&amp;"")</f>
        <v/>
      </c>
      <c r="E690" s="11">
        <f>IF($AA690="","",INDEX('Per Line'!$G$2:$G$4001,$AA690))</f>
        <v/>
      </c>
      <c r="F690">
        <f>IF($AA690="","",INDEX('Per Line'!$H$2:$H$4001,$AA690)&amp;"")</f>
        <v/>
      </c>
      <c r="G690">
        <f>IF($AA690="","",INDEX('Per Line'!$I$2:$I$4001,$AA690)&amp;"")</f>
        <v/>
      </c>
      <c r="H690">
        <f>IF($AA690="","",INDEX('Per Line'!$J$2:$J$4001,$AA690)&amp;"")</f>
        <v/>
      </c>
      <c r="I690">
        <f>IF($AA690="","",INDEX('Per Line'!$K$2:$K$4001,$AA690)&amp;"")</f>
        <v/>
      </c>
      <c r="J690">
        <f>IF($AA690="","",INDEX('Per Line'!$L$2:$L$4001,$AA690)&amp;"")</f>
        <v/>
      </c>
      <c r="K690">
        <f>IF($AA690="","",INDEX('Per Line'!$P$2:$P$4001,$AA690))</f>
        <v/>
      </c>
      <c r="L690" s="7">
        <f>IF($AA690="","",IF(AND(ISNUMBER(N690),N690&gt;0,Y690&gt;N690),K690*N690/100+(Y690-N690),K690*Y690/100))</f>
        <v/>
      </c>
      <c r="M690">
        <f>IF($AA690="","",INDEX('Per Line'!$Z$2:$Z$4001,$AA690)&amp;"")</f>
        <v/>
      </c>
      <c r="N690">
        <f>IF($AA690="","",INDEX('Per Line'!$AG$2:$AG$4001,$AA690))</f>
        <v/>
      </c>
      <c r="O690">
        <f>IF($AA690="","",IF(AND(ISNUMBER(N690),N690&gt;0),Y690&gt;N690,FALSE))</f>
        <v/>
      </c>
      <c r="P690" s="7">
        <f>IF($AA690="","",SUMIFS('Per Line'!$Y$2:$Y$4001,'Per Line'!$E$2:$E$4001,$B690,'Per Line'!$AQ$2:$AQ$4001,1))</f>
        <v/>
      </c>
      <c r="Q690">
        <f>IF($AA690="","",Settings!$C$7)</f>
        <v/>
      </c>
      <c r="R690" s="7">
        <f>IF($AA690="","",SUMIFS('Per Line'!$Y$2:$Y$4001,'Per Line'!$E$2:$E$4001,$B690,'Per Line'!$AP$2:$AP$4001,0,'Per Line'!$AQ$2:$AQ$4001,0))</f>
        <v/>
      </c>
      <c r="S690" s="7">
        <f>IF($AA690="","",R690*Q690)</f>
        <v/>
      </c>
      <c r="T690">
        <f>IF($AA690="","",Settings!$C$6)</f>
        <v/>
      </c>
      <c r="U690" s="7">
        <f>IF($AA690="","",SUMIFS('Per Line'!$Y$2:$Y$4001,'Per Line'!$E$2:$E$4001,$B690,'Per Line'!$AP$2:$AP$4001,1,'Per Line'!$AQ$2:$AQ$4001,0))</f>
        <v/>
      </c>
      <c r="V690" s="7">
        <f>IF($AA690="","",U690*T690)</f>
        <v/>
      </c>
      <c r="W690" s="7">
        <f>IF($AA690="","",V690+S690)</f>
        <v/>
      </c>
      <c r="X690" s="7">
        <f>IF($AA690="","",Y690-W690)</f>
        <v/>
      </c>
      <c r="Y690" s="7">
        <f>IF($AA690="","",R690+U690+P690)</f>
        <v/>
      </c>
      <c r="Z690" s="7">
        <f>IF($AA690="","",Y690-W690-L690)</f>
        <v/>
      </c>
      <c r="AA690" s="13">
        <f>IF(ROWS($AA$2:$AA690)&lt;=MAX('Per Line'!$AO$2:$AO$4001),MATCH(ROWS($AA$2:$AA690),'Per Line'!$AO$2:$AO$4001,0),"")</f>
        <v/>
      </c>
      <c r="AB690" s="14">
        <f>IF($AA690="","",L690-K690*Y690/100)</f>
        <v/>
      </c>
    </row>
    <row r="691">
      <c r="A691" s="12" t="n"/>
      <c r="B691">
        <f>IF($AA691="","",INDEX('Per Line'!$E$2:$E$4001,$AA691)&amp;"")</f>
        <v/>
      </c>
      <c r="C691">
        <f>IF($AA691="","",INDEX('Per Line'!$A$2:$A$4001,$AA691)&amp;"")</f>
        <v/>
      </c>
      <c r="D691">
        <f>IF($AA691="","",INDEX('Per Line'!$D$2:$D$4001,$AA691)&amp;"")</f>
        <v/>
      </c>
      <c r="E691" s="11">
        <f>IF($AA691="","",INDEX('Per Line'!$G$2:$G$4001,$AA691))</f>
        <v/>
      </c>
      <c r="F691">
        <f>IF($AA691="","",INDEX('Per Line'!$H$2:$H$4001,$AA691)&amp;"")</f>
        <v/>
      </c>
      <c r="G691">
        <f>IF($AA691="","",INDEX('Per Line'!$I$2:$I$4001,$AA691)&amp;"")</f>
        <v/>
      </c>
      <c r="H691">
        <f>IF($AA691="","",INDEX('Per Line'!$J$2:$J$4001,$AA691)&amp;"")</f>
        <v/>
      </c>
      <c r="I691">
        <f>IF($AA691="","",INDEX('Per Line'!$K$2:$K$4001,$AA691)&amp;"")</f>
        <v/>
      </c>
      <c r="J691">
        <f>IF($AA691="","",INDEX('Per Line'!$L$2:$L$4001,$AA691)&amp;"")</f>
        <v/>
      </c>
      <c r="K691">
        <f>IF($AA691="","",INDEX('Per Line'!$P$2:$P$4001,$AA691))</f>
        <v/>
      </c>
      <c r="L691" s="7">
        <f>IF($AA691="","",IF(AND(ISNUMBER(N691),N691&gt;0,Y691&gt;N691),K691*N691/100+(Y691-N691),K691*Y691/100))</f>
        <v/>
      </c>
      <c r="M691">
        <f>IF($AA691="","",INDEX('Per Line'!$Z$2:$Z$4001,$AA691)&amp;"")</f>
        <v/>
      </c>
      <c r="N691">
        <f>IF($AA691="","",INDEX('Per Line'!$AG$2:$AG$4001,$AA691))</f>
        <v/>
      </c>
      <c r="O691">
        <f>IF($AA691="","",IF(AND(ISNUMBER(N691),N691&gt;0),Y691&gt;N691,FALSE))</f>
        <v/>
      </c>
      <c r="P691" s="7">
        <f>IF($AA691="","",SUMIFS('Per Line'!$Y$2:$Y$4001,'Per Line'!$E$2:$E$4001,$B691,'Per Line'!$AQ$2:$AQ$4001,1))</f>
        <v/>
      </c>
      <c r="Q691">
        <f>IF($AA691="","",Settings!$C$7)</f>
        <v/>
      </c>
      <c r="R691" s="7">
        <f>IF($AA691="","",SUMIFS('Per Line'!$Y$2:$Y$4001,'Per Line'!$E$2:$E$4001,$B691,'Per Line'!$AP$2:$AP$4001,0,'Per Line'!$AQ$2:$AQ$4001,0))</f>
        <v/>
      </c>
      <c r="S691" s="7">
        <f>IF($AA691="","",R691*Q691)</f>
        <v/>
      </c>
      <c r="T691">
        <f>IF($AA691="","",Settings!$C$6)</f>
        <v/>
      </c>
      <c r="U691" s="7">
        <f>IF($AA691="","",SUMIFS('Per Line'!$Y$2:$Y$4001,'Per Line'!$E$2:$E$4001,$B691,'Per Line'!$AP$2:$AP$4001,1,'Per Line'!$AQ$2:$AQ$4001,0))</f>
        <v/>
      </c>
      <c r="V691" s="7">
        <f>IF($AA691="","",U691*T691)</f>
        <v/>
      </c>
      <c r="W691" s="7">
        <f>IF($AA691="","",V691+S691)</f>
        <v/>
      </c>
      <c r="X691" s="7">
        <f>IF($AA691="","",Y691-W691)</f>
        <v/>
      </c>
      <c r="Y691" s="7">
        <f>IF($AA691="","",R691+U691+P691)</f>
        <v/>
      </c>
      <c r="Z691" s="7">
        <f>IF($AA691="","",Y691-W691-L691)</f>
        <v/>
      </c>
      <c r="AA691" s="13">
        <f>IF(ROWS($AA$2:$AA691)&lt;=MAX('Per Line'!$AO$2:$AO$4001),MATCH(ROWS($AA$2:$AA691),'Per Line'!$AO$2:$AO$4001,0),"")</f>
        <v/>
      </c>
      <c r="AB691" s="14">
        <f>IF($AA691="","",L691-K691*Y691/100)</f>
        <v/>
      </c>
    </row>
    <row r="692">
      <c r="A692" s="12" t="n"/>
      <c r="B692">
        <f>IF($AA692="","",INDEX('Per Line'!$E$2:$E$4001,$AA692)&amp;"")</f>
        <v/>
      </c>
      <c r="C692">
        <f>IF($AA692="","",INDEX('Per Line'!$A$2:$A$4001,$AA692)&amp;"")</f>
        <v/>
      </c>
      <c r="D692">
        <f>IF($AA692="","",INDEX('Per Line'!$D$2:$D$4001,$AA692)&amp;"")</f>
        <v/>
      </c>
      <c r="E692" s="11">
        <f>IF($AA692="","",INDEX('Per Line'!$G$2:$G$4001,$AA692))</f>
        <v/>
      </c>
      <c r="F692">
        <f>IF($AA692="","",INDEX('Per Line'!$H$2:$H$4001,$AA692)&amp;"")</f>
        <v/>
      </c>
      <c r="G692">
        <f>IF($AA692="","",INDEX('Per Line'!$I$2:$I$4001,$AA692)&amp;"")</f>
        <v/>
      </c>
      <c r="H692">
        <f>IF($AA692="","",INDEX('Per Line'!$J$2:$J$4001,$AA692)&amp;"")</f>
        <v/>
      </c>
      <c r="I692">
        <f>IF($AA692="","",INDEX('Per Line'!$K$2:$K$4001,$AA692)&amp;"")</f>
        <v/>
      </c>
      <c r="J692">
        <f>IF($AA692="","",INDEX('Per Line'!$L$2:$L$4001,$AA692)&amp;"")</f>
        <v/>
      </c>
      <c r="K692">
        <f>IF($AA692="","",INDEX('Per Line'!$P$2:$P$4001,$AA692))</f>
        <v/>
      </c>
      <c r="L692" s="7">
        <f>IF($AA692="","",IF(AND(ISNUMBER(N692),N692&gt;0,Y692&gt;N692),K692*N692/100+(Y692-N692),K692*Y692/100))</f>
        <v/>
      </c>
      <c r="M692">
        <f>IF($AA692="","",INDEX('Per Line'!$Z$2:$Z$4001,$AA692)&amp;"")</f>
        <v/>
      </c>
      <c r="N692">
        <f>IF($AA692="","",INDEX('Per Line'!$AG$2:$AG$4001,$AA692))</f>
        <v/>
      </c>
      <c r="O692">
        <f>IF($AA692="","",IF(AND(ISNUMBER(N692),N692&gt;0),Y692&gt;N692,FALSE))</f>
        <v/>
      </c>
      <c r="P692" s="7">
        <f>IF($AA692="","",SUMIFS('Per Line'!$Y$2:$Y$4001,'Per Line'!$E$2:$E$4001,$B692,'Per Line'!$AQ$2:$AQ$4001,1))</f>
        <v/>
      </c>
      <c r="Q692">
        <f>IF($AA692="","",Settings!$C$7)</f>
        <v/>
      </c>
      <c r="R692" s="7">
        <f>IF($AA692="","",SUMIFS('Per Line'!$Y$2:$Y$4001,'Per Line'!$E$2:$E$4001,$B692,'Per Line'!$AP$2:$AP$4001,0,'Per Line'!$AQ$2:$AQ$4001,0))</f>
        <v/>
      </c>
      <c r="S692" s="7">
        <f>IF($AA692="","",R692*Q692)</f>
        <v/>
      </c>
      <c r="T692">
        <f>IF($AA692="","",Settings!$C$6)</f>
        <v/>
      </c>
      <c r="U692" s="7">
        <f>IF($AA692="","",SUMIFS('Per Line'!$Y$2:$Y$4001,'Per Line'!$E$2:$E$4001,$B692,'Per Line'!$AP$2:$AP$4001,1,'Per Line'!$AQ$2:$AQ$4001,0))</f>
        <v/>
      </c>
      <c r="V692" s="7">
        <f>IF($AA692="","",U692*T692)</f>
        <v/>
      </c>
      <c r="W692" s="7">
        <f>IF($AA692="","",V692+S692)</f>
        <v/>
      </c>
      <c r="X692" s="7">
        <f>IF($AA692="","",Y692-W692)</f>
        <v/>
      </c>
      <c r="Y692" s="7">
        <f>IF($AA692="","",R692+U692+P692)</f>
        <v/>
      </c>
      <c r="Z692" s="7">
        <f>IF($AA692="","",Y692-W692-L692)</f>
        <v/>
      </c>
      <c r="AA692" s="13">
        <f>IF(ROWS($AA$2:$AA692)&lt;=MAX('Per Line'!$AO$2:$AO$4001),MATCH(ROWS($AA$2:$AA692),'Per Line'!$AO$2:$AO$4001,0),"")</f>
        <v/>
      </c>
      <c r="AB692" s="14">
        <f>IF($AA692="","",L692-K692*Y692/100)</f>
        <v/>
      </c>
    </row>
    <row r="693">
      <c r="A693" s="12" t="n"/>
      <c r="B693">
        <f>IF($AA693="","",INDEX('Per Line'!$E$2:$E$4001,$AA693)&amp;"")</f>
        <v/>
      </c>
      <c r="C693">
        <f>IF($AA693="","",INDEX('Per Line'!$A$2:$A$4001,$AA693)&amp;"")</f>
        <v/>
      </c>
      <c r="D693">
        <f>IF($AA693="","",INDEX('Per Line'!$D$2:$D$4001,$AA693)&amp;"")</f>
        <v/>
      </c>
      <c r="E693" s="11">
        <f>IF($AA693="","",INDEX('Per Line'!$G$2:$G$4001,$AA693))</f>
        <v/>
      </c>
      <c r="F693">
        <f>IF($AA693="","",INDEX('Per Line'!$H$2:$H$4001,$AA693)&amp;"")</f>
        <v/>
      </c>
      <c r="G693">
        <f>IF($AA693="","",INDEX('Per Line'!$I$2:$I$4001,$AA693)&amp;"")</f>
        <v/>
      </c>
      <c r="H693">
        <f>IF($AA693="","",INDEX('Per Line'!$J$2:$J$4001,$AA693)&amp;"")</f>
        <v/>
      </c>
      <c r="I693">
        <f>IF($AA693="","",INDEX('Per Line'!$K$2:$K$4001,$AA693)&amp;"")</f>
        <v/>
      </c>
      <c r="J693">
        <f>IF($AA693="","",INDEX('Per Line'!$L$2:$L$4001,$AA693)&amp;"")</f>
        <v/>
      </c>
      <c r="K693">
        <f>IF($AA693="","",INDEX('Per Line'!$P$2:$P$4001,$AA693))</f>
        <v/>
      </c>
      <c r="L693" s="7">
        <f>IF($AA693="","",IF(AND(ISNUMBER(N693),N693&gt;0,Y693&gt;N693),K693*N693/100+(Y693-N693),K693*Y693/100))</f>
        <v/>
      </c>
      <c r="M693">
        <f>IF($AA693="","",INDEX('Per Line'!$Z$2:$Z$4001,$AA693)&amp;"")</f>
        <v/>
      </c>
      <c r="N693">
        <f>IF($AA693="","",INDEX('Per Line'!$AG$2:$AG$4001,$AA693))</f>
        <v/>
      </c>
      <c r="O693">
        <f>IF($AA693="","",IF(AND(ISNUMBER(N693),N693&gt;0),Y693&gt;N693,FALSE))</f>
        <v/>
      </c>
      <c r="P693" s="7">
        <f>IF($AA693="","",SUMIFS('Per Line'!$Y$2:$Y$4001,'Per Line'!$E$2:$E$4001,$B693,'Per Line'!$AQ$2:$AQ$4001,1))</f>
        <v/>
      </c>
      <c r="Q693">
        <f>IF($AA693="","",Settings!$C$7)</f>
        <v/>
      </c>
      <c r="R693" s="7">
        <f>IF($AA693="","",SUMIFS('Per Line'!$Y$2:$Y$4001,'Per Line'!$E$2:$E$4001,$B693,'Per Line'!$AP$2:$AP$4001,0,'Per Line'!$AQ$2:$AQ$4001,0))</f>
        <v/>
      </c>
      <c r="S693" s="7">
        <f>IF($AA693="","",R693*Q693)</f>
        <v/>
      </c>
      <c r="T693">
        <f>IF($AA693="","",Settings!$C$6)</f>
        <v/>
      </c>
      <c r="U693" s="7">
        <f>IF($AA693="","",SUMIFS('Per Line'!$Y$2:$Y$4001,'Per Line'!$E$2:$E$4001,$B693,'Per Line'!$AP$2:$AP$4001,1,'Per Line'!$AQ$2:$AQ$4001,0))</f>
        <v/>
      </c>
      <c r="V693" s="7">
        <f>IF($AA693="","",U693*T693)</f>
        <v/>
      </c>
      <c r="W693" s="7">
        <f>IF($AA693="","",V693+S693)</f>
        <v/>
      </c>
      <c r="X693" s="7">
        <f>IF($AA693="","",Y693-W693)</f>
        <v/>
      </c>
      <c r="Y693" s="7">
        <f>IF($AA693="","",R693+U693+P693)</f>
        <v/>
      </c>
      <c r="Z693" s="7">
        <f>IF($AA693="","",Y693-W693-L693)</f>
        <v/>
      </c>
      <c r="AA693" s="13">
        <f>IF(ROWS($AA$2:$AA693)&lt;=MAX('Per Line'!$AO$2:$AO$4001),MATCH(ROWS($AA$2:$AA693),'Per Line'!$AO$2:$AO$4001,0),"")</f>
        <v/>
      </c>
      <c r="AB693" s="14">
        <f>IF($AA693="","",L693-K693*Y693/100)</f>
        <v/>
      </c>
    </row>
    <row r="694">
      <c r="A694" s="12" t="n"/>
      <c r="B694">
        <f>IF($AA694="","",INDEX('Per Line'!$E$2:$E$4001,$AA694)&amp;"")</f>
        <v/>
      </c>
      <c r="C694">
        <f>IF($AA694="","",INDEX('Per Line'!$A$2:$A$4001,$AA694)&amp;"")</f>
        <v/>
      </c>
      <c r="D694">
        <f>IF($AA694="","",INDEX('Per Line'!$D$2:$D$4001,$AA694)&amp;"")</f>
        <v/>
      </c>
      <c r="E694" s="11">
        <f>IF($AA694="","",INDEX('Per Line'!$G$2:$G$4001,$AA694))</f>
        <v/>
      </c>
      <c r="F694">
        <f>IF($AA694="","",INDEX('Per Line'!$H$2:$H$4001,$AA694)&amp;"")</f>
        <v/>
      </c>
      <c r="G694">
        <f>IF($AA694="","",INDEX('Per Line'!$I$2:$I$4001,$AA694)&amp;"")</f>
        <v/>
      </c>
      <c r="H694">
        <f>IF($AA694="","",INDEX('Per Line'!$J$2:$J$4001,$AA694)&amp;"")</f>
        <v/>
      </c>
      <c r="I694">
        <f>IF($AA694="","",INDEX('Per Line'!$K$2:$K$4001,$AA694)&amp;"")</f>
        <v/>
      </c>
      <c r="J694">
        <f>IF($AA694="","",INDEX('Per Line'!$L$2:$L$4001,$AA694)&amp;"")</f>
        <v/>
      </c>
      <c r="K694">
        <f>IF($AA694="","",INDEX('Per Line'!$P$2:$P$4001,$AA694))</f>
        <v/>
      </c>
      <c r="L694" s="7">
        <f>IF($AA694="","",IF(AND(ISNUMBER(N694),N694&gt;0,Y694&gt;N694),K694*N694/100+(Y694-N694),K694*Y694/100))</f>
        <v/>
      </c>
      <c r="M694">
        <f>IF($AA694="","",INDEX('Per Line'!$Z$2:$Z$4001,$AA694)&amp;"")</f>
        <v/>
      </c>
      <c r="N694">
        <f>IF($AA694="","",INDEX('Per Line'!$AG$2:$AG$4001,$AA694))</f>
        <v/>
      </c>
      <c r="O694">
        <f>IF($AA694="","",IF(AND(ISNUMBER(N694),N694&gt;0),Y694&gt;N694,FALSE))</f>
        <v/>
      </c>
      <c r="P694" s="7">
        <f>IF($AA694="","",SUMIFS('Per Line'!$Y$2:$Y$4001,'Per Line'!$E$2:$E$4001,$B694,'Per Line'!$AQ$2:$AQ$4001,1))</f>
        <v/>
      </c>
      <c r="Q694">
        <f>IF($AA694="","",Settings!$C$7)</f>
        <v/>
      </c>
      <c r="R694" s="7">
        <f>IF($AA694="","",SUMIFS('Per Line'!$Y$2:$Y$4001,'Per Line'!$E$2:$E$4001,$B694,'Per Line'!$AP$2:$AP$4001,0,'Per Line'!$AQ$2:$AQ$4001,0))</f>
        <v/>
      </c>
      <c r="S694" s="7">
        <f>IF($AA694="","",R694*Q694)</f>
        <v/>
      </c>
      <c r="T694">
        <f>IF($AA694="","",Settings!$C$6)</f>
        <v/>
      </c>
      <c r="U694" s="7">
        <f>IF($AA694="","",SUMIFS('Per Line'!$Y$2:$Y$4001,'Per Line'!$E$2:$E$4001,$B694,'Per Line'!$AP$2:$AP$4001,1,'Per Line'!$AQ$2:$AQ$4001,0))</f>
        <v/>
      </c>
      <c r="V694" s="7">
        <f>IF($AA694="","",U694*T694)</f>
        <v/>
      </c>
      <c r="W694" s="7">
        <f>IF($AA694="","",V694+S694)</f>
        <v/>
      </c>
      <c r="X694" s="7">
        <f>IF($AA694="","",Y694-W694)</f>
        <v/>
      </c>
      <c r="Y694" s="7">
        <f>IF($AA694="","",R694+U694+P694)</f>
        <v/>
      </c>
      <c r="Z694" s="7">
        <f>IF($AA694="","",Y694-W694-L694)</f>
        <v/>
      </c>
      <c r="AA694" s="13">
        <f>IF(ROWS($AA$2:$AA694)&lt;=MAX('Per Line'!$AO$2:$AO$4001),MATCH(ROWS($AA$2:$AA694),'Per Line'!$AO$2:$AO$4001,0),"")</f>
        <v/>
      </c>
      <c r="AB694" s="14">
        <f>IF($AA694="","",L694-K694*Y694/100)</f>
        <v/>
      </c>
    </row>
    <row r="695">
      <c r="A695" s="12" t="n"/>
      <c r="B695">
        <f>IF($AA695="","",INDEX('Per Line'!$E$2:$E$4001,$AA695)&amp;"")</f>
        <v/>
      </c>
      <c r="C695">
        <f>IF($AA695="","",INDEX('Per Line'!$A$2:$A$4001,$AA695)&amp;"")</f>
        <v/>
      </c>
      <c r="D695">
        <f>IF($AA695="","",INDEX('Per Line'!$D$2:$D$4001,$AA695)&amp;"")</f>
        <v/>
      </c>
      <c r="E695" s="11">
        <f>IF($AA695="","",INDEX('Per Line'!$G$2:$G$4001,$AA695))</f>
        <v/>
      </c>
      <c r="F695">
        <f>IF($AA695="","",INDEX('Per Line'!$H$2:$H$4001,$AA695)&amp;"")</f>
        <v/>
      </c>
      <c r="G695">
        <f>IF($AA695="","",INDEX('Per Line'!$I$2:$I$4001,$AA695)&amp;"")</f>
        <v/>
      </c>
      <c r="H695">
        <f>IF($AA695="","",INDEX('Per Line'!$J$2:$J$4001,$AA695)&amp;"")</f>
        <v/>
      </c>
      <c r="I695">
        <f>IF($AA695="","",INDEX('Per Line'!$K$2:$K$4001,$AA695)&amp;"")</f>
        <v/>
      </c>
      <c r="J695">
        <f>IF($AA695="","",INDEX('Per Line'!$L$2:$L$4001,$AA695)&amp;"")</f>
        <v/>
      </c>
      <c r="K695">
        <f>IF($AA695="","",INDEX('Per Line'!$P$2:$P$4001,$AA695))</f>
        <v/>
      </c>
      <c r="L695" s="7">
        <f>IF($AA695="","",IF(AND(ISNUMBER(N695),N695&gt;0,Y695&gt;N695),K695*N695/100+(Y695-N695),K695*Y695/100))</f>
        <v/>
      </c>
      <c r="M695">
        <f>IF($AA695="","",INDEX('Per Line'!$Z$2:$Z$4001,$AA695)&amp;"")</f>
        <v/>
      </c>
      <c r="N695">
        <f>IF($AA695="","",INDEX('Per Line'!$AG$2:$AG$4001,$AA695))</f>
        <v/>
      </c>
      <c r="O695">
        <f>IF($AA695="","",IF(AND(ISNUMBER(N695),N695&gt;0),Y695&gt;N695,FALSE))</f>
        <v/>
      </c>
      <c r="P695" s="7">
        <f>IF($AA695="","",SUMIFS('Per Line'!$Y$2:$Y$4001,'Per Line'!$E$2:$E$4001,$B695,'Per Line'!$AQ$2:$AQ$4001,1))</f>
        <v/>
      </c>
      <c r="Q695">
        <f>IF($AA695="","",Settings!$C$7)</f>
        <v/>
      </c>
      <c r="R695" s="7">
        <f>IF($AA695="","",SUMIFS('Per Line'!$Y$2:$Y$4001,'Per Line'!$E$2:$E$4001,$B695,'Per Line'!$AP$2:$AP$4001,0,'Per Line'!$AQ$2:$AQ$4001,0))</f>
        <v/>
      </c>
      <c r="S695" s="7">
        <f>IF($AA695="","",R695*Q695)</f>
        <v/>
      </c>
      <c r="T695">
        <f>IF($AA695="","",Settings!$C$6)</f>
        <v/>
      </c>
      <c r="U695" s="7">
        <f>IF($AA695="","",SUMIFS('Per Line'!$Y$2:$Y$4001,'Per Line'!$E$2:$E$4001,$B695,'Per Line'!$AP$2:$AP$4001,1,'Per Line'!$AQ$2:$AQ$4001,0))</f>
        <v/>
      </c>
      <c r="V695" s="7">
        <f>IF($AA695="","",U695*T695)</f>
        <v/>
      </c>
      <c r="W695" s="7">
        <f>IF($AA695="","",V695+S695)</f>
        <v/>
      </c>
      <c r="X695" s="7">
        <f>IF($AA695="","",Y695-W695)</f>
        <v/>
      </c>
      <c r="Y695" s="7">
        <f>IF($AA695="","",R695+U695+P695)</f>
        <v/>
      </c>
      <c r="Z695" s="7">
        <f>IF($AA695="","",Y695-W695-L695)</f>
        <v/>
      </c>
      <c r="AA695" s="13">
        <f>IF(ROWS($AA$2:$AA695)&lt;=MAX('Per Line'!$AO$2:$AO$4001),MATCH(ROWS($AA$2:$AA695),'Per Line'!$AO$2:$AO$4001,0),"")</f>
        <v/>
      </c>
      <c r="AB695" s="14">
        <f>IF($AA695="","",L695-K695*Y695/100)</f>
        <v/>
      </c>
    </row>
    <row r="696">
      <c r="A696" s="12" t="n"/>
      <c r="B696">
        <f>IF($AA696="","",INDEX('Per Line'!$E$2:$E$4001,$AA696)&amp;"")</f>
        <v/>
      </c>
      <c r="C696">
        <f>IF($AA696="","",INDEX('Per Line'!$A$2:$A$4001,$AA696)&amp;"")</f>
        <v/>
      </c>
      <c r="D696">
        <f>IF($AA696="","",INDEX('Per Line'!$D$2:$D$4001,$AA696)&amp;"")</f>
        <v/>
      </c>
      <c r="E696" s="11">
        <f>IF($AA696="","",INDEX('Per Line'!$G$2:$G$4001,$AA696))</f>
        <v/>
      </c>
      <c r="F696">
        <f>IF($AA696="","",INDEX('Per Line'!$H$2:$H$4001,$AA696)&amp;"")</f>
        <v/>
      </c>
      <c r="G696">
        <f>IF($AA696="","",INDEX('Per Line'!$I$2:$I$4001,$AA696)&amp;"")</f>
        <v/>
      </c>
      <c r="H696">
        <f>IF($AA696="","",INDEX('Per Line'!$J$2:$J$4001,$AA696)&amp;"")</f>
        <v/>
      </c>
      <c r="I696">
        <f>IF($AA696="","",INDEX('Per Line'!$K$2:$K$4001,$AA696)&amp;"")</f>
        <v/>
      </c>
      <c r="J696">
        <f>IF($AA696="","",INDEX('Per Line'!$L$2:$L$4001,$AA696)&amp;"")</f>
        <v/>
      </c>
      <c r="K696">
        <f>IF($AA696="","",INDEX('Per Line'!$P$2:$P$4001,$AA696))</f>
        <v/>
      </c>
      <c r="L696" s="7">
        <f>IF($AA696="","",IF(AND(ISNUMBER(N696),N696&gt;0,Y696&gt;N696),K696*N696/100+(Y696-N696),K696*Y696/100))</f>
        <v/>
      </c>
      <c r="M696">
        <f>IF($AA696="","",INDEX('Per Line'!$Z$2:$Z$4001,$AA696)&amp;"")</f>
        <v/>
      </c>
      <c r="N696">
        <f>IF($AA696="","",INDEX('Per Line'!$AG$2:$AG$4001,$AA696))</f>
        <v/>
      </c>
      <c r="O696">
        <f>IF($AA696="","",IF(AND(ISNUMBER(N696),N696&gt;0),Y696&gt;N696,FALSE))</f>
        <v/>
      </c>
      <c r="P696" s="7">
        <f>IF($AA696="","",SUMIFS('Per Line'!$Y$2:$Y$4001,'Per Line'!$E$2:$E$4001,$B696,'Per Line'!$AQ$2:$AQ$4001,1))</f>
        <v/>
      </c>
      <c r="Q696">
        <f>IF($AA696="","",Settings!$C$7)</f>
        <v/>
      </c>
      <c r="R696" s="7">
        <f>IF($AA696="","",SUMIFS('Per Line'!$Y$2:$Y$4001,'Per Line'!$E$2:$E$4001,$B696,'Per Line'!$AP$2:$AP$4001,0,'Per Line'!$AQ$2:$AQ$4001,0))</f>
        <v/>
      </c>
      <c r="S696" s="7">
        <f>IF($AA696="","",R696*Q696)</f>
        <v/>
      </c>
      <c r="T696">
        <f>IF($AA696="","",Settings!$C$6)</f>
        <v/>
      </c>
      <c r="U696" s="7">
        <f>IF($AA696="","",SUMIFS('Per Line'!$Y$2:$Y$4001,'Per Line'!$E$2:$E$4001,$B696,'Per Line'!$AP$2:$AP$4001,1,'Per Line'!$AQ$2:$AQ$4001,0))</f>
        <v/>
      </c>
      <c r="V696" s="7">
        <f>IF($AA696="","",U696*T696)</f>
        <v/>
      </c>
      <c r="W696" s="7">
        <f>IF($AA696="","",V696+S696)</f>
        <v/>
      </c>
      <c r="X696" s="7">
        <f>IF($AA696="","",Y696-W696)</f>
        <v/>
      </c>
      <c r="Y696" s="7">
        <f>IF($AA696="","",R696+U696+P696)</f>
        <v/>
      </c>
      <c r="Z696" s="7">
        <f>IF($AA696="","",Y696-W696-L696)</f>
        <v/>
      </c>
      <c r="AA696" s="13">
        <f>IF(ROWS($AA$2:$AA696)&lt;=MAX('Per Line'!$AO$2:$AO$4001),MATCH(ROWS($AA$2:$AA696),'Per Line'!$AO$2:$AO$4001,0),"")</f>
        <v/>
      </c>
      <c r="AB696" s="14">
        <f>IF($AA696="","",L696-K696*Y696/100)</f>
        <v/>
      </c>
    </row>
    <row r="697">
      <c r="A697" s="12" t="n"/>
      <c r="B697">
        <f>IF($AA697="","",INDEX('Per Line'!$E$2:$E$4001,$AA697)&amp;"")</f>
        <v/>
      </c>
      <c r="C697">
        <f>IF($AA697="","",INDEX('Per Line'!$A$2:$A$4001,$AA697)&amp;"")</f>
        <v/>
      </c>
      <c r="D697">
        <f>IF($AA697="","",INDEX('Per Line'!$D$2:$D$4001,$AA697)&amp;"")</f>
        <v/>
      </c>
      <c r="E697" s="11">
        <f>IF($AA697="","",INDEX('Per Line'!$G$2:$G$4001,$AA697))</f>
        <v/>
      </c>
      <c r="F697">
        <f>IF($AA697="","",INDEX('Per Line'!$H$2:$H$4001,$AA697)&amp;"")</f>
        <v/>
      </c>
      <c r="G697">
        <f>IF($AA697="","",INDEX('Per Line'!$I$2:$I$4001,$AA697)&amp;"")</f>
        <v/>
      </c>
      <c r="H697">
        <f>IF($AA697="","",INDEX('Per Line'!$J$2:$J$4001,$AA697)&amp;"")</f>
        <v/>
      </c>
      <c r="I697">
        <f>IF($AA697="","",INDEX('Per Line'!$K$2:$K$4001,$AA697)&amp;"")</f>
        <v/>
      </c>
      <c r="J697">
        <f>IF($AA697="","",INDEX('Per Line'!$L$2:$L$4001,$AA697)&amp;"")</f>
        <v/>
      </c>
      <c r="K697">
        <f>IF($AA697="","",INDEX('Per Line'!$P$2:$P$4001,$AA697))</f>
        <v/>
      </c>
      <c r="L697" s="7">
        <f>IF($AA697="","",IF(AND(ISNUMBER(N697),N697&gt;0,Y697&gt;N697),K697*N697/100+(Y697-N697),K697*Y697/100))</f>
        <v/>
      </c>
      <c r="M697">
        <f>IF($AA697="","",INDEX('Per Line'!$Z$2:$Z$4001,$AA697)&amp;"")</f>
        <v/>
      </c>
      <c r="N697">
        <f>IF($AA697="","",INDEX('Per Line'!$AG$2:$AG$4001,$AA697))</f>
        <v/>
      </c>
      <c r="O697">
        <f>IF($AA697="","",IF(AND(ISNUMBER(N697),N697&gt;0),Y697&gt;N697,FALSE))</f>
        <v/>
      </c>
      <c r="P697" s="7">
        <f>IF($AA697="","",SUMIFS('Per Line'!$Y$2:$Y$4001,'Per Line'!$E$2:$E$4001,$B697,'Per Line'!$AQ$2:$AQ$4001,1))</f>
        <v/>
      </c>
      <c r="Q697">
        <f>IF($AA697="","",Settings!$C$7)</f>
        <v/>
      </c>
      <c r="R697" s="7">
        <f>IF($AA697="","",SUMIFS('Per Line'!$Y$2:$Y$4001,'Per Line'!$E$2:$E$4001,$B697,'Per Line'!$AP$2:$AP$4001,0,'Per Line'!$AQ$2:$AQ$4001,0))</f>
        <v/>
      </c>
      <c r="S697" s="7">
        <f>IF($AA697="","",R697*Q697)</f>
        <v/>
      </c>
      <c r="T697">
        <f>IF($AA697="","",Settings!$C$6)</f>
        <v/>
      </c>
      <c r="U697" s="7">
        <f>IF($AA697="","",SUMIFS('Per Line'!$Y$2:$Y$4001,'Per Line'!$E$2:$E$4001,$B697,'Per Line'!$AP$2:$AP$4001,1,'Per Line'!$AQ$2:$AQ$4001,0))</f>
        <v/>
      </c>
      <c r="V697" s="7">
        <f>IF($AA697="","",U697*T697)</f>
        <v/>
      </c>
      <c r="W697" s="7">
        <f>IF($AA697="","",V697+S697)</f>
        <v/>
      </c>
      <c r="X697" s="7">
        <f>IF($AA697="","",Y697-W697)</f>
        <v/>
      </c>
      <c r="Y697" s="7">
        <f>IF($AA697="","",R697+U697+P697)</f>
        <v/>
      </c>
      <c r="Z697" s="7">
        <f>IF($AA697="","",Y697-W697-L697)</f>
        <v/>
      </c>
      <c r="AA697" s="13">
        <f>IF(ROWS($AA$2:$AA697)&lt;=MAX('Per Line'!$AO$2:$AO$4001),MATCH(ROWS($AA$2:$AA697),'Per Line'!$AO$2:$AO$4001,0),"")</f>
        <v/>
      </c>
      <c r="AB697" s="14">
        <f>IF($AA697="","",L697-K697*Y697/100)</f>
        <v/>
      </c>
    </row>
    <row r="698">
      <c r="A698" s="12" t="n"/>
      <c r="B698">
        <f>IF($AA698="","",INDEX('Per Line'!$E$2:$E$4001,$AA698)&amp;"")</f>
        <v/>
      </c>
      <c r="C698">
        <f>IF($AA698="","",INDEX('Per Line'!$A$2:$A$4001,$AA698)&amp;"")</f>
        <v/>
      </c>
      <c r="D698">
        <f>IF($AA698="","",INDEX('Per Line'!$D$2:$D$4001,$AA698)&amp;"")</f>
        <v/>
      </c>
      <c r="E698" s="11">
        <f>IF($AA698="","",INDEX('Per Line'!$G$2:$G$4001,$AA698))</f>
        <v/>
      </c>
      <c r="F698">
        <f>IF($AA698="","",INDEX('Per Line'!$H$2:$H$4001,$AA698)&amp;"")</f>
        <v/>
      </c>
      <c r="G698">
        <f>IF($AA698="","",INDEX('Per Line'!$I$2:$I$4001,$AA698)&amp;"")</f>
        <v/>
      </c>
      <c r="H698">
        <f>IF($AA698="","",INDEX('Per Line'!$J$2:$J$4001,$AA698)&amp;"")</f>
        <v/>
      </c>
      <c r="I698">
        <f>IF($AA698="","",INDEX('Per Line'!$K$2:$K$4001,$AA698)&amp;"")</f>
        <v/>
      </c>
      <c r="J698">
        <f>IF($AA698="","",INDEX('Per Line'!$L$2:$L$4001,$AA698)&amp;"")</f>
        <v/>
      </c>
      <c r="K698">
        <f>IF($AA698="","",INDEX('Per Line'!$P$2:$P$4001,$AA698))</f>
        <v/>
      </c>
      <c r="L698" s="7">
        <f>IF($AA698="","",IF(AND(ISNUMBER(N698),N698&gt;0,Y698&gt;N698),K698*N698/100+(Y698-N698),K698*Y698/100))</f>
        <v/>
      </c>
      <c r="M698">
        <f>IF($AA698="","",INDEX('Per Line'!$Z$2:$Z$4001,$AA698)&amp;"")</f>
        <v/>
      </c>
      <c r="N698">
        <f>IF($AA698="","",INDEX('Per Line'!$AG$2:$AG$4001,$AA698))</f>
        <v/>
      </c>
      <c r="O698">
        <f>IF($AA698="","",IF(AND(ISNUMBER(N698),N698&gt;0),Y698&gt;N698,FALSE))</f>
        <v/>
      </c>
      <c r="P698" s="7">
        <f>IF($AA698="","",SUMIFS('Per Line'!$Y$2:$Y$4001,'Per Line'!$E$2:$E$4001,$B698,'Per Line'!$AQ$2:$AQ$4001,1))</f>
        <v/>
      </c>
      <c r="Q698">
        <f>IF($AA698="","",Settings!$C$7)</f>
        <v/>
      </c>
      <c r="R698" s="7">
        <f>IF($AA698="","",SUMIFS('Per Line'!$Y$2:$Y$4001,'Per Line'!$E$2:$E$4001,$B698,'Per Line'!$AP$2:$AP$4001,0,'Per Line'!$AQ$2:$AQ$4001,0))</f>
        <v/>
      </c>
      <c r="S698" s="7">
        <f>IF($AA698="","",R698*Q698)</f>
        <v/>
      </c>
      <c r="T698">
        <f>IF($AA698="","",Settings!$C$6)</f>
        <v/>
      </c>
      <c r="U698" s="7">
        <f>IF($AA698="","",SUMIFS('Per Line'!$Y$2:$Y$4001,'Per Line'!$E$2:$E$4001,$B698,'Per Line'!$AP$2:$AP$4001,1,'Per Line'!$AQ$2:$AQ$4001,0))</f>
        <v/>
      </c>
      <c r="V698" s="7">
        <f>IF($AA698="","",U698*T698)</f>
        <v/>
      </c>
      <c r="W698" s="7">
        <f>IF($AA698="","",V698+S698)</f>
        <v/>
      </c>
      <c r="X698" s="7">
        <f>IF($AA698="","",Y698-W698)</f>
        <v/>
      </c>
      <c r="Y698" s="7">
        <f>IF($AA698="","",R698+U698+P698)</f>
        <v/>
      </c>
      <c r="Z698" s="7">
        <f>IF($AA698="","",Y698-W698-L698)</f>
        <v/>
      </c>
      <c r="AA698" s="13">
        <f>IF(ROWS($AA$2:$AA698)&lt;=MAX('Per Line'!$AO$2:$AO$4001),MATCH(ROWS($AA$2:$AA698),'Per Line'!$AO$2:$AO$4001,0),"")</f>
        <v/>
      </c>
      <c r="AB698" s="14">
        <f>IF($AA698="","",L698-K698*Y698/100)</f>
        <v/>
      </c>
    </row>
    <row r="699">
      <c r="A699" s="12" t="n"/>
      <c r="B699">
        <f>IF($AA699="","",INDEX('Per Line'!$E$2:$E$4001,$AA699)&amp;"")</f>
        <v/>
      </c>
      <c r="C699">
        <f>IF($AA699="","",INDEX('Per Line'!$A$2:$A$4001,$AA699)&amp;"")</f>
        <v/>
      </c>
      <c r="D699">
        <f>IF($AA699="","",INDEX('Per Line'!$D$2:$D$4001,$AA699)&amp;"")</f>
        <v/>
      </c>
      <c r="E699" s="11">
        <f>IF($AA699="","",INDEX('Per Line'!$G$2:$G$4001,$AA699))</f>
        <v/>
      </c>
      <c r="F699">
        <f>IF($AA699="","",INDEX('Per Line'!$H$2:$H$4001,$AA699)&amp;"")</f>
        <v/>
      </c>
      <c r="G699">
        <f>IF($AA699="","",INDEX('Per Line'!$I$2:$I$4001,$AA699)&amp;"")</f>
        <v/>
      </c>
      <c r="H699">
        <f>IF($AA699="","",INDEX('Per Line'!$J$2:$J$4001,$AA699)&amp;"")</f>
        <v/>
      </c>
      <c r="I699">
        <f>IF($AA699="","",INDEX('Per Line'!$K$2:$K$4001,$AA699)&amp;"")</f>
        <v/>
      </c>
      <c r="J699">
        <f>IF($AA699="","",INDEX('Per Line'!$L$2:$L$4001,$AA699)&amp;"")</f>
        <v/>
      </c>
      <c r="K699">
        <f>IF($AA699="","",INDEX('Per Line'!$P$2:$P$4001,$AA699))</f>
        <v/>
      </c>
      <c r="L699" s="7">
        <f>IF($AA699="","",IF(AND(ISNUMBER(N699),N699&gt;0,Y699&gt;N699),K699*N699/100+(Y699-N699),K699*Y699/100))</f>
        <v/>
      </c>
      <c r="M699">
        <f>IF($AA699="","",INDEX('Per Line'!$Z$2:$Z$4001,$AA699)&amp;"")</f>
        <v/>
      </c>
      <c r="N699">
        <f>IF($AA699="","",INDEX('Per Line'!$AG$2:$AG$4001,$AA699))</f>
        <v/>
      </c>
      <c r="O699">
        <f>IF($AA699="","",IF(AND(ISNUMBER(N699),N699&gt;0),Y699&gt;N699,FALSE))</f>
        <v/>
      </c>
      <c r="P699" s="7">
        <f>IF($AA699="","",SUMIFS('Per Line'!$Y$2:$Y$4001,'Per Line'!$E$2:$E$4001,$B699,'Per Line'!$AQ$2:$AQ$4001,1))</f>
        <v/>
      </c>
      <c r="Q699">
        <f>IF($AA699="","",Settings!$C$7)</f>
        <v/>
      </c>
      <c r="R699" s="7">
        <f>IF($AA699="","",SUMIFS('Per Line'!$Y$2:$Y$4001,'Per Line'!$E$2:$E$4001,$B699,'Per Line'!$AP$2:$AP$4001,0,'Per Line'!$AQ$2:$AQ$4001,0))</f>
        <v/>
      </c>
      <c r="S699" s="7">
        <f>IF($AA699="","",R699*Q699)</f>
        <v/>
      </c>
      <c r="T699">
        <f>IF($AA699="","",Settings!$C$6)</f>
        <v/>
      </c>
      <c r="U699" s="7">
        <f>IF($AA699="","",SUMIFS('Per Line'!$Y$2:$Y$4001,'Per Line'!$E$2:$E$4001,$B699,'Per Line'!$AP$2:$AP$4001,1,'Per Line'!$AQ$2:$AQ$4001,0))</f>
        <v/>
      </c>
      <c r="V699" s="7">
        <f>IF($AA699="","",U699*T699)</f>
        <v/>
      </c>
      <c r="W699" s="7">
        <f>IF($AA699="","",V699+S699)</f>
        <v/>
      </c>
      <c r="X699" s="7">
        <f>IF($AA699="","",Y699-W699)</f>
        <v/>
      </c>
      <c r="Y699" s="7">
        <f>IF($AA699="","",R699+U699+P699)</f>
        <v/>
      </c>
      <c r="Z699" s="7">
        <f>IF($AA699="","",Y699-W699-L699)</f>
        <v/>
      </c>
      <c r="AA699" s="13">
        <f>IF(ROWS($AA$2:$AA699)&lt;=MAX('Per Line'!$AO$2:$AO$4001),MATCH(ROWS($AA$2:$AA699),'Per Line'!$AO$2:$AO$4001,0),"")</f>
        <v/>
      </c>
      <c r="AB699" s="14">
        <f>IF($AA699="","",L699-K699*Y699/100)</f>
        <v/>
      </c>
    </row>
    <row r="700">
      <c r="A700" s="12" t="n"/>
      <c r="B700">
        <f>IF($AA700="","",INDEX('Per Line'!$E$2:$E$4001,$AA700)&amp;"")</f>
        <v/>
      </c>
      <c r="C700">
        <f>IF($AA700="","",INDEX('Per Line'!$A$2:$A$4001,$AA700)&amp;"")</f>
        <v/>
      </c>
      <c r="D700">
        <f>IF($AA700="","",INDEX('Per Line'!$D$2:$D$4001,$AA700)&amp;"")</f>
        <v/>
      </c>
      <c r="E700" s="11">
        <f>IF($AA700="","",INDEX('Per Line'!$G$2:$G$4001,$AA700))</f>
        <v/>
      </c>
      <c r="F700">
        <f>IF($AA700="","",INDEX('Per Line'!$H$2:$H$4001,$AA700)&amp;"")</f>
        <v/>
      </c>
      <c r="G700">
        <f>IF($AA700="","",INDEX('Per Line'!$I$2:$I$4001,$AA700)&amp;"")</f>
        <v/>
      </c>
      <c r="H700">
        <f>IF($AA700="","",INDEX('Per Line'!$J$2:$J$4001,$AA700)&amp;"")</f>
        <v/>
      </c>
      <c r="I700">
        <f>IF($AA700="","",INDEX('Per Line'!$K$2:$K$4001,$AA700)&amp;"")</f>
        <v/>
      </c>
      <c r="J700">
        <f>IF($AA700="","",INDEX('Per Line'!$L$2:$L$4001,$AA700)&amp;"")</f>
        <v/>
      </c>
      <c r="K700">
        <f>IF($AA700="","",INDEX('Per Line'!$P$2:$P$4001,$AA700))</f>
        <v/>
      </c>
      <c r="L700" s="7">
        <f>IF($AA700="","",IF(AND(ISNUMBER(N700),N700&gt;0,Y700&gt;N700),K700*N700/100+(Y700-N700),K700*Y700/100))</f>
        <v/>
      </c>
      <c r="M700">
        <f>IF($AA700="","",INDEX('Per Line'!$Z$2:$Z$4001,$AA700)&amp;"")</f>
        <v/>
      </c>
      <c r="N700">
        <f>IF($AA700="","",INDEX('Per Line'!$AG$2:$AG$4001,$AA700))</f>
        <v/>
      </c>
      <c r="O700">
        <f>IF($AA700="","",IF(AND(ISNUMBER(N700),N700&gt;0),Y700&gt;N700,FALSE))</f>
        <v/>
      </c>
      <c r="P700" s="7">
        <f>IF($AA700="","",SUMIFS('Per Line'!$Y$2:$Y$4001,'Per Line'!$E$2:$E$4001,$B700,'Per Line'!$AQ$2:$AQ$4001,1))</f>
        <v/>
      </c>
      <c r="Q700">
        <f>IF($AA700="","",Settings!$C$7)</f>
        <v/>
      </c>
      <c r="R700" s="7">
        <f>IF($AA700="","",SUMIFS('Per Line'!$Y$2:$Y$4001,'Per Line'!$E$2:$E$4001,$B700,'Per Line'!$AP$2:$AP$4001,0,'Per Line'!$AQ$2:$AQ$4001,0))</f>
        <v/>
      </c>
      <c r="S700" s="7">
        <f>IF($AA700="","",R700*Q700)</f>
        <v/>
      </c>
      <c r="T700">
        <f>IF($AA700="","",Settings!$C$6)</f>
        <v/>
      </c>
      <c r="U700" s="7">
        <f>IF($AA700="","",SUMIFS('Per Line'!$Y$2:$Y$4001,'Per Line'!$E$2:$E$4001,$B700,'Per Line'!$AP$2:$AP$4001,1,'Per Line'!$AQ$2:$AQ$4001,0))</f>
        <v/>
      </c>
      <c r="V700" s="7">
        <f>IF($AA700="","",U700*T700)</f>
        <v/>
      </c>
      <c r="W700" s="7">
        <f>IF($AA700="","",V700+S700)</f>
        <v/>
      </c>
      <c r="X700" s="7">
        <f>IF($AA700="","",Y700-W700)</f>
        <v/>
      </c>
      <c r="Y700" s="7">
        <f>IF($AA700="","",R700+U700+P700)</f>
        <v/>
      </c>
      <c r="Z700" s="7">
        <f>IF($AA700="","",Y700-W700-L700)</f>
        <v/>
      </c>
      <c r="AA700" s="13">
        <f>IF(ROWS($AA$2:$AA700)&lt;=MAX('Per Line'!$AO$2:$AO$4001),MATCH(ROWS($AA$2:$AA700),'Per Line'!$AO$2:$AO$4001,0),"")</f>
        <v/>
      </c>
      <c r="AB700" s="14">
        <f>IF($AA700="","",L700-K700*Y700/100)</f>
        <v/>
      </c>
    </row>
    <row r="701">
      <c r="A701" s="12" t="n"/>
      <c r="B701">
        <f>IF($AA701="","",INDEX('Per Line'!$E$2:$E$4001,$AA701)&amp;"")</f>
        <v/>
      </c>
      <c r="C701">
        <f>IF($AA701="","",INDEX('Per Line'!$A$2:$A$4001,$AA701)&amp;"")</f>
        <v/>
      </c>
      <c r="D701">
        <f>IF($AA701="","",INDEX('Per Line'!$D$2:$D$4001,$AA701)&amp;"")</f>
        <v/>
      </c>
      <c r="E701" s="11">
        <f>IF($AA701="","",INDEX('Per Line'!$G$2:$G$4001,$AA701))</f>
        <v/>
      </c>
      <c r="F701">
        <f>IF($AA701="","",INDEX('Per Line'!$H$2:$H$4001,$AA701)&amp;"")</f>
        <v/>
      </c>
      <c r="G701">
        <f>IF($AA701="","",INDEX('Per Line'!$I$2:$I$4001,$AA701)&amp;"")</f>
        <v/>
      </c>
      <c r="H701">
        <f>IF($AA701="","",INDEX('Per Line'!$J$2:$J$4001,$AA701)&amp;"")</f>
        <v/>
      </c>
      <c r="I701">
        <f>IF($AA701="","",INDEX('Per Line'!$K$2:$K$4001,$AA701)&amp;"")</f>
        <v/>
      </c>
      <c r="J701">
        <f>IF($AA701="","",INDEX('Per Line'!$L$2:$L$4001,$AA701)&amp;"")</f>
        <v/>
      </c>
      <c r="K701">
        <f>IF($AA701="","",INDEX('Per Line'!$P$2:$P$4001,$AA701))</f>
        <v/>
      </c>
      <c r="L701" s="7">
        <f>IF($AA701="","",IF(AND(ISNUMBER(N701),N701&gt;0,Y701&gt;N701),K701*N701/100+(Y701-N701),K701*Y701/100))</f>
        <v/>
      </c>
      <c r="M701">
        <f>IF($AA701="","",INDEX('Per Line'!$Z$2:$Z$4001,$AA701)&amp;"")</f>
        <v/>
      </c>
      <c r="N701">
        <f>IF($AA701="","",INDEX('Per Line'!$AG$2:$AG$4001,$AA701))</f>
        <v/>
      </c>
      <c r="O701">
        <f>IF($AA701="","",IF(AND(ISNUMBER(N701),N701&gt;0),Y701&gt;N701,FALSE))</f>
        <v/>
      </c>
      <c r="P701" s="7">
        <f>IF($AA701="","",SUMIFS('Per Line'!$Y$2:$Y$4001,'Per Line'!$E$2:$E$4001,$B701,'Per Line'!$AQ$2:$AQ$4001,1))</f>
        <v/>
      </c>
      <c r="Q701">
        <f>IF($AA701="","",Settings!$C$7)</f>
        <v/>
      </c>
      <c r="R701" s="7">
        <f>IF($AA701="","",SUMIFS('Per Line'!$Y$2:$Y$4001,'Per Line'!$E$2:$E$4001,$B701,'Per Line'!$AP$2:$AP$4001,0,'Per Line'!$AQ$2:$AQ$4001,0))</f>
        <v/>
      </c>
      <c r="S701" s="7">
        <f>IF($AA701="","",R701*Q701)</f>
        <v/>
      </c>
      <c r="T701">
        <f>IF($AA701="","",Settings!$C$6)</f>
        <v/>
      </c>
      <c r="U701" s="7">
        <f>IF($AA701="","",SUMIFS('Per Line'!$Y$2:$Y$4001,'Per Line'!$E$2:$E$4001,$B701,'Per Line'!$AP$2:$AP$4001,1,'Per Line'!$AQ$2:$AQ$4001,0))</f>
        <v/>
      </c>
      <c r="V701" s="7">
        <f>IF($AA701="","",U701*T701)</f>
        <v/>
      </c>
      <c r="W701" s="7">
        <f>IF($AA701="","",V701+S701)</f>
        <v/>
      </c>
      <c r="X701" s="7">
        <f>IF($AA701="","",Y701-W701)</f>
        <v/>
      </c>
      <c r="Y701" s="7">
        <f>IF($AA701="","",R701+U701+P701)</f>
        <v/>
      </c>
      <c r="Z701" s="7">
        <f>IF($AA701="","",Y701-W701-L701)</f>
        <v/>
      </c>
      <c r="AA701" s="13">
        <f>IF(ROWS($AA$2:$AA701)&lt;=MAX('Per Line'!$AO$2:$AO$4001),MATCH(ROWS($AA$2:$AA701),'Per Line'!$AO$2:$AO$4001,0),"")</f>
        <v/>
      </c>
      <c r="AB701" s="14">
        <f>IF($AA701="","",L701-K701*Y701/100)</f>
        <v/>
      </c>
    </row>
    <row r="702">
      <c r="A702" s="12" t="n"/>
      <c r="B702">
        <f>IF($AA702="","",INDEX('Per Line'!$E$2:$E$4001,$AA702)&amp;"")</f>
        <v/>
      </c>
      <c r="C702">
        <f>IF($AA702="","",INDEX('Per Line'!$A$2:$A$4001,$AA702)&amp;"")</f>
        <v/>
      </c>
      <c r="D702">
        <f>IF($AA702="","",INDEX('Per Line'!$D$2:$D$4001,$AA702)&amp;"")</f>
        <v/>
      </c>
      <c r="E702" s="11">
        <f>IF($AA702="","",INDEX('Per Line'!$G$2:$G$4001,$AA702))</f>
        <v/>
      </c>
      <c r="F702">
        <f>IF($AA702="","",INDEX('Per Line'!$H$2:$H$4001,$AA702)&amp;"")</f>
        <v/>
      </c>
      <c r="G702">
        <f>IF($AA702="","",INDEX('Per Line'!$I$2:$I$4001,$AA702)&amp;"")</f>
        <v/>
      </c>
      <c r="H702">
        <f>IF($AA702="","",INDEX('Per Line'!$J$2:$J$4001,$AA702)&amp;"")</f>
        <v/>
      </c>
      <c r="I702">
        <f>IF($AA702="","",INDEX('Per Line'!$K$2:$K$4001,$AA702)&amp;"")</f>
        <v/>
      </c>
      <c r="J702">
        <f>IF($AA702="","",INDEX('Per Line'!$L$2:$L$4001,$AA702)&amp;"")</f>
        <v/>
      </c>
      <c r="K702">
        <f>IF($AA702="","",INDEX('Per Line'!$P$2:$P$4001,$AA702))</f>
        <v/>
      </c>
      <c r="L702" s="7">
        <f>IF($AA702="","",IF(AND(ISNUMBER(N702),N702&gt;0,Y702&gt;N702),K702*N702/100+(Y702-N702),K702*Y702/100))</f>
        <v/>
      </c>
      <c r="M702">
        <f>IF($AA702="","",INDEX('Per Line'!$Z$2:$Z$4001,$AA702)&amp;"")</f>
        <v/>
      </c>
      <c r="N702">
        <f>IF($AA702="","",INDEX('Per Line'!$AG$2:$AG$4001,$AA702))</f>
        <v/>
      </c>
      <c r="O702">
        <f>IF($AA702="","",IF(AND(ISNUMBER(N702),N702&gt;0),Y702&gt;N702,FALSE))</f>
        <v/>
      </c>
      <c r="P702" s="7">
        <f>IF($AA702="","",SUMIFS('Per Line'!$Y$2:$Y$4001,'Per Line'!$E$2:$E$4001,$B702,'Per Line'!$AQ$2:$AQ$4001,1))</f>
        <v/>
      </c>
      <c r="Q702">
        <f>IF($AA702="","",Settings!$C$7)</f>
        <v/>
      </c>
      <c r="R702" s="7">
        <f>IF($AA702="","",SUMIFS('Per Line'!$Y$2:$Y$4001,'Per Line'!$E$2:$E$4001,$B702,'Per Line'!$AP$2:$AP$4001,0,'Per Line'!$AQ$2:$AQ$4001,0))</f>
        <v/>
      </c>
      <c r="S702" s="7">
        <f>IF($AA702="","",R702*Q702)</f>
        <v/>
      </c>
      <c r="T702">
        <f>IF($AA702="","",Settings!$C$6)</f>
        <v/>
      </c>
      <c r="U702" s="7">
        <f>IF($AA702="","",SUMIFS('Per Line'!$Y$2:$Y$4001,'Per Line'!$E$2:$E$4001,$B702,'Per Line'!$AP$2:$AP$4001,1,'Per Line'!$AQ$2:$AQ$4001,0))</f>
        <v/>
      </c>
      <c r="V702" s="7">
        <f>IF($AA702="","",U702*T702)</f>
        <v/>
      </c>
      <c r="W702" s="7">
        <f>IF($AA702="","",V702+S702)</f>
        <v/>
      </c>
      <c r="X702" s="7">
        <f>IF($AA702="","",Y702-W702)</f>
        <v/>
      </c>
      <c r="Y702" s="7">
        <f>IF($AA702="","",R702+U702+P702)</f>
        <v/>
      </c>
      <c r="Z702" s="7">
        <f>IF($AA702="","",Y702-W702-L702)</f>
        <v/>
      </c>
      <c r="AA702" s="13">
        <f>IF(ROWS($AA$2:$AA702)&lt;=MAX('Per Line'!$AO$2:$AO$4001),MATCH(ROWS($AA$2:$AA702),'Per Line'!$AO$2:$AO$4001,0),"")</f>
        <v/>
      </c>
      <c r="AB702" s="14">
        <f>IF($AA702="","",L702-K702*Y702/100)</f>
        <v/>
      </c>
    </row>
    <row r="703">
      <c r="A703" s="12" t="n"/>
      <c r="B703">
        <f>IF($AA703="","",INDEX('Per Line'!$E$2:$E$4001,$AA703)&amp;"")</f>
        <v/>
      </c>
      <c r="C703">
        <f>IF($AA703="","",INDEX('Per Line'!$A$2:$A$4001,$AA703)&amp;"")</f>
        <v/>
      </c>
      <c r="D703">
        <f>IF($AA703="","",INDEX('Per Line'!$D$2:$D$4001,$AA703)&amp;"")</f>
        <v/>
      </c>
      <c r="E703" s="11">
        <f>IF($AA703="","",INDEX('Per Line'!$G$2:$G$4001,$AA703))</f>
        <v/>
      </c>
      <c r="F703">
        <f>IF($AA703="","",INDEX('Per Line'!$H$2:$H$4001,$AA703)&amp;"")</f>
        <v/>
      </c>
      <c r="G703">
        <f>IF($AA703="","",INDEX('Per Line'!$I$2:$I$4001,$AA703)&amp;"")</f>
        <v/>
      </c>
      <c r="H703">
        <f>IF($AA703="","",INDEX('Per Line'!$J$2:$J$4001,$AA703)&amp;"")</f>
        <v/>
      </c>
      <c r="I703">
        <f>IF($AA703="","",INDEX('Per Line'!$K$2:$K$4001,$AA703)&amp;"")</f>
        <v/>
      </c>
      <c r="J703">
        <f>IF($AA703="","",INDEX('Per Line'!$L$2:$L$4001,$AA703)&amp;"")</f>
        <v/>
      </c>
      <c r="K703">
        <f>IF($AA703="","",INDEX('Per Line'!$P$2:$P$4001,$AA703))</f>
        <v/>
      </c>
      <c r="L703" s="7">
        <f>IF($AA703="","",IF(AND(ISNUMBER(N703),N703&gt;0,Y703&gt;N703),K703*N703/100+(Y703-N703),K703*Y703/100))</f>
        <v/>
      </c>
      <c r="M703">
        <f>IF($AA703="","",INDEX('Per Line'!$Z$2:$Z$4001,$AA703)&amp;"")</f>
        <v/>
      </c>
      <c r="N703">
        <f>IF($AA703="","",INDEX('Per Line'!$AG$2:$AG$4001,$AA703))</f>
        <v/>
      </c>
      <c r="O703">
        <f>IF($AA703="","",IF(AND(ISNUMBER(N703),N703&gt;0),Y703&gt;N703,FALSE))</f>
        <v/>
      </c>
      <c r="P703" s="7">
        <f>IF($AA703="","",SUMIFS('Per Line'!$Y$2:$Y$4001,'Per Line'!$E$2:$E$4001,$B703,'Per Line'!$AQ$2:$AQ$4001,1))</f>
        <v/>
      </c>
      <c r="Q703">
        <f>IF($AA703="","",Settings!$C$7)</f>
        <v/>
      </c>
      <c r="R703" s="7">
        <f>IF($AA703="","",SUMIFS('Per Line'!$Y$2:$Y$4001,'Per Line'!$E$2:$E$4001,$B703,'Per Line'!$AP$2:$AP$4001,0,'Per Line'!$AQ$2:$AQ$4001,0))</f>
        <v/>
      </c>
      <c r="S703" s="7">
        <f>IF($AA703="","",R703*Q703)</f>
        <v/>
      </c>
      <c r="T703">
        <f>IF($AA703="","",Settings!$C$6)</f>
        <v/>
      </c>
      <c r="U703" s="7">
        <f>IF($AA703="","",SUMIFS('Per Line'!$Y$2:$Y$4001,'Per Line'!$E$2:$E$4001,$B703,'Per Line'!$AP$2:$AP$4001,1,'Per Line'!$AQ$2:$AQ$4001,0))</f>
        <v/>
      </c>
      <c r="V703" s="7">
        <f>IF($AA703="","",U703*T703)</f>
        <v/>
      </c>
      <c r="W703" s="7">
        <f>IF($AA703="","",V703+S703)</f>
        <v/>
      </c>
      <c r="X703" s="7">
        <f>IF($AA703="","",Y703-W703)</f>
        <v/>
      </c>
      <c r="Y703" s="7">
        <f>IF($AA703="","",R703+U703+P703)</f>
        <v/>
      </c>
      <c r="Z703" s="7">
        <f>IF($AA703="","",Y703-W703-L703)</f>
        <v/>
      </c>
      <c r="AA703" s="13">
        <f>IF(ROWS($AA$2:$AA703)&lt;=MAX('Per Line'!$AO$2:$AO$4001),MATCH(ROWS($AA$2:$AA703),'Per Line'!$AO$2:$AO$4001,0),"")</f>
        <v/>
      </c>
      <c r="AB703" s="14">
        <f>IF($AA703="","",L703-K703*Y703/100)</f>
        <v/>
      </c>
    </row>
    <row r="704">
      <c r="A704" s="12" t="n"/>
      <c r="B704">
        <f>IF($AA704="","",INDEX('Per Line'!$E$2:$E$4001,$AA704)&amp;"")</f>
        <v/>
      </c>
      <c r="C704">
        <f>IF($AA704="","",INDEX('Per Line'!$A$2:$A$4001,$AA704)&amp;"")</f>
        <v/>
      </c>
      <c r="D704">
        <f>IF($AA704="","",INDEX('Per Line'!$D$2:$D$4001,$AA704)&amp;"")</f>
        <v/>
      </c>
      <c r="E704" s="11">
        <f>IF($AA704="","",INDEX('Per Line'!$G$2:$G$4001,$AA704))</f>
        <v/>
      </c>
      <c r="F704">
        <f>IF($AA704="","",INDEX('Per Line'!$H$2:$H$4001,$AA704)&amp;"")</f>
        <v/>
      </c>
      <c r="G704">
        <f>IF($AA704="","",INDEX('Per Line'!$I$2:$I$4001,$AA704)&amp;"")</f>
        <v/>
      </c>
      <c r="H704">
        <f>IF($AA704="","",INDEX('Per Line'!$J$2:$J$4001,$AA704)&amp;"")</f>
        <v/>
      </c>
      <c r="I704">
        <f>IF($AA704="","",INDEX('Per Line'!$K$2:$K$4001,$AA704)&amp;"")</f>
        <v/>
      </c>
      <c r="J704">
        <f>IF($AA704="","",INDEX('Per Line'!$L$2:$L$4001,$AA704)&amp;"")</f>
        <v/>
      </c>
      <c r="K704">
        <f>IF($AA704="","",INDEX('Per Line'!$P$2:$P$4001,$AA704))</f>
        <v/>
      </c>
      <c r="L704" s="7">
        <f>IF($AA704="","",IF(AND(ISNUMBER(N704),N704&gt;0,Y704&gt;N704),K704*N704/100+(Y704-N704),K704*Y704/100))</f>
        <v/>
      </c>
      <c r="M704">
        <f>IF($AA704="","",INDEX('Per Line'!$Z$2:$Z$4001,$AA704)&amp;"")</f>
        <v/>
      </c>
      <c r="N704">
        <f>IF($AA704="","",INDEX('Per Line'!$AG$2:$AG$4001,$AA704))</f>
        <v/>
      </c>
      <c r="O704">
        <f>IF($AA704="","",IF(AND(ISNUMBER(N704),N704&gt;0),Y704&gt;N704,FALSE))</f>
        <v/>
      </c>
      <c r="P704" s="7">
        <f>IF($AA704="","",SUMIFS('Per Line'!$Y$2:$Y$4001,'Per Line'!$E$2:$E$4001,$B704,'Per Line'!$AQ$2:$AQ$4001,1))</f>
        <v/>
      </c>
      <c r="Q704">
        <f>IF($AA704="","",Settings!$C$7)</f>
        <v/>
      </c>
      <c r="R704" s="7">
        <f>IF($AA704="","",SUMIFS('Per Line'!$Y$2:$Y$4001,'Per Line'!$E$2:$E$4001,$B704,'Per Line'!$AP$2:$AP$4001,0,'Per Line'!$AQ$2:$AQ$4001,0))</f>
        <v/>
      </c>
      <c r="S704" s="7">
        <f>IF($AA704="","",R704*Q704)</f>
        <v/>
      </c>
      <c r="T704">
        <f>IF($AA704="","",Settings!$C$6)</f>
        <v/>
      </c>
      <c r="U704" s="7">
        <f>IF($AA704="","",SUMIFS('Per Line'!$Y$2:$Y$4001,'Per Line'!$E$2:$E$4001,$B704,'Per Line'!$AP$2:$AP$4001,1,'Per Line'!$AQ$2:$AQ$4001,0))</f>
        <v/>
      </c>
      <c r="V704" s="7">
        <f>IF($AA704="","",U704*T704)</f>
        <v/>
      </c>
      <c r="W704" s="7">
        <f>IF($AA704="","",V704+S704)</f>
        <v/>
      </c>
      <c r="X704" s="7">
        <f>IF($AA704="","",Y704-W704)</f>
        <v/>
      </c>
      <c r="Y704" s="7">
        <f>IF($AA704="","",R704+U704+P704)</f>
        <v/>
      </c>
      <c r="Z704" s="7">
        <f>IF($AA704="","",Y704-W704-L704)</f>
        <v/>
      </c>
      <c r="AA704" s="13">
        <f>IF(ROWS($AA$2:$AA704)&lt;=MAX('Per Line'!$AO$2:$AO$4001),MATCH(ROWS($AA$2:$AA704),'Per Line'!$AO$2:$AO$4001,0),"")</f>
        <v/>
      </c>
      <c r="AB704" s="14">
        <f>IF($AA704="","",L704-K704*Y704/100)</f>
        <v/>
      </c>
    </row>
    <row r="705">
      <c r="A705" s="12" t="n"/>
      <c r="B705">
        <f>IF($AA705="","",INDEX('Per Line'!$E$2:$E$4001,$AA705)&amp;"")</f>
        <v/>
      </c>
      <c r="C705">
        <f>IF($AA705="","",INDEX('Per Line'!$A$2:$A$4001,$AA705)&amp;"")</f>
        <v/>
      </c>
      <c r="D705">
        <f>IF($AA705="","",INDEX('Per Line'!$D$2:$D$4001,$AA705)&amp;"")</f>
        <v/>
      </c>
      <c r="E705" s="11">
        <f>IF($AA705="","",INDEX('Per Line'!$G$2:$G$4001,$AA705))</f>
        <v/>
      </c>
      <c r="F705">
        <f>IF($AA705="","",INDEX('Per Line'!$H$2:$H$4001,$AA705)&amp;"")</f>
        <v/>
      </c>
      <c r="G705">
        <f>IF($AA705="","",INDEX('Per Line'!$I$2:$I$4001,$AA705)&amp;"")</f>
        <v/>
      </c>
      <c r="H705">
        <f>IF($AA705="","",INDEX('Per Line'!$J$2:$J$4001,$AA705)&amp;"")</f>
        <v/>
      </c>
      <c r="I705">
        <f>IF($AA705="","",INDEX('Per Line'!$K$2:$K$4001,$AA705)&amp;"")</f>
        <v/>
      </c>
      <c r="J705">
        <f>IF($AA705="","",INDEX('Per Line'!$L$2:$L$4001,$AA705)&amp;"")</f>
        <v/>
      </c>
      <c r="K705">
        <f>IF($AA705="","",INDEX('Per Line'!$P$2:$P$4001,$AA705))</f>
        <v/>
      </c>
      <c r="L705" s="7">
        <f>IF($AA705="","",IF(AND(ISNUMBER(N705),N705&gt;0,Y705&gt;N705),K705*N705/100+(Y705-N705),K705*Y705/100))</f>
        <v/>
      </c>
      <c r="M705">
        <f>IF($AA705="","",INDEX('Per Line'!$Z$2:$Z$4001,$AA705)&amp;"")</f>
        <v/>
      </c>
      <c r="N705">
        <f>IF($AA705="","",INDEX('Per Line'!$AG$2:$AG$4001,$AA705))</f>
        <v/>
      </c>
      <c r="O705">
        <f>IF($AA705="","",IF(AND(ISNUMBER(N705),N705&gt;0),Y705&gt;N705,FALSE))</f>
        <v/>
      </c>
      <c r="P705" s="7">
        <f>IF($AA705="","",SUMIFS('Per Line'!$Y$2:$Y$4001,'Per Line'!$E$2:$E$4001,$B705,'Per Line'!$AQ$2:$AQ$4001,1))</f>
        <v/>
      </c>
      <c r="Q705">
        <f>IF($AA705="","",Settings!$C$7)</f>
        <v/>
      </c>
      <c r="R705" s="7">
        <f>IF($AA705="","",SUMIFS('Per Line'!$Y$2:$Y$4001,'Per Line'!$E$2:$E$4001,$B705,'Per Line'!$AP$2:$AP$4001,0,'Per Line'!$AQ$2:$AQ$4001,0))</f>
        <v/>
      </c>
      <c r="S705" s="7">
        <f>IF($AA705="","",R705*Q705)</f>
        <v/>
      </c>
      <c r="T705">
        <f>IF($AA705="","",Settings!$C$6)</f>
        <v/>
      </c>
      <c r="U705" s="7">
        <f>IF($AA705="","",SUMIFS('Per Line'!$Y$2:$Y$4001,'Per Line'!$E$2:$E$4001,$B705,'Per Line'!$AP$2:$AP$4001,1,'Per Line'!$AQ$2:$AQ$4001,0))</f>
        <v/>
      </c>
      <c r="V705" s="7">
        <f>IF($AA705="","",U705*T705)</f>
        <v/>
      </c>
      <c r="W705" s="7">
        <f>IF($AA705="","",V705+S705)</f>
        <v/>
      </c>
      <c r="X705" s="7">
        <f>IF($AA705="","",Y705-W705)</f>
        <v/>
      </c>
      <c r="Y705" s="7">
        <f>IF($AA705="","",R705+U705+P705)</f>
        <v/>
      </c>
      <c r="Z705" s="7">
        <f>IF($AA705="","",Y705-W705-L705)</f>
        <v/>
      </c>
      <c r="AA705" s="13">
        <f>IF(ROWS($AA$2:$AA705)&lt;=MAX('Per Line'!$AO$2:$AO$4001),MATCH(ROWS($AA$2:$AA705),'Per Line'!$AO$2:$AO$4001,0),"")</f>
        <v/>
      </c>
      <c r="AB705" s="14">
        <f>IF($AA705="","",L705-K705*Y705/100)</f>
        <v/>
      </c>
    </row>
    <row r="706">
      <c r="A706" s="12" t="n"/>
      <c r="B706">
        <f>IF($AA706="","",INDEX('Per Line'!$E$2:$E$4001,$AA706)&amp;"")</f>
        <v/>
      </c>
      <c r="C706">
        <f>IF($AA706="","",INDEX('Per Line'!$A$2:$A$4001,$AA706)&amp;"")</f>
        <v/>
      </c>
      <c r="D706">
        <f>IF($AA706="","",INDEX('Per Line'!$D$2:$D$4001,$AA706)&amp;"")</f>
        <v/>
      </c>
      <c r="E706" s="11">
        <f>IF($AA706="","",INDEX('Per Line'!$G$2:$G$4001,$AA706))</f>
        <v/>
      </c>
      <c r="F706">
        <f>IF($AA706="","",INDEX('Per Line'!$H$2:$H$4001,$AA706)&amp;"")</f>
        <v/>
      </c>
      <c r="G706">
        <f>IF($AA706="","",INDEX('Per Line'!$I$2:$I$4001,$AA706)&amp;"")</f>
        <v/>
      </c>
      <c r="H706">
        <f>IF($AA706="","",INDEX('Per Line'!$J$2:$J$4001,$AA706)&amp;"")</f>
        <v/>
      </c>
      <c r="I706">
        <f>IF($AA706="","",INDEX('Per Line'!$K$2:$K$4001,$AA706)&amp;"")</f>
        <v/>
      </c>
      <c r="J706">
        <f>IF($AA706="","",INDEX('Per Line'!$L$2:$L$4001,$AA706)&amp;"")</f>
        <v/>
      </c>
      <c r="K706">
        <f>IF($AA706="","",INDEX('Per Line'!$P$2:$P$4001,$AA706))</f>
        <v/>
      </c>
      <c r="L706" s="7">
        <f>IF($AA706="","",IF(AND(ISNUMBER(N706),N706&gt;0,Y706&gt;N706),K706*N706/100+(Y706-N706),K706*Y706/100))</f>
        <v/>
      </c>
      <c r="M706">
        <f>IF($AA706="","",INDEX('Per Line'!$Z$2:$Z$4001,$AA706)&amp;"")</f>
        <v/>
      </c>
      <c r="N706">
        <f>IF($AA706="","",INDEX('Per Line'!$AG$2:$AG$4001,$AA706))</f>
        <v/>
      </c>
      <c r="O706">
        <f>IF($AA706="","",IF(AND(ISNUMBER(N706),N706&gt;0),Y706&gt;N706,FALSE))</f>
        <v/>
      </c>
      <c r="P706" s="7">
        <f>IF($AA706="","",SUMIFS('Per Line'!$Y$2:$Y$4001,'Per Line'!$E$2:$E$4001,$B706,'Per Line'!$AQ$2:$AQ$4001,1))</f>
        <v/>
      </c>
      <c r="Q706">
        <f>IF($AA706="","",Settings!$C$7)</f>
        <v/>
      </c>
      <c r="R706" s="7">
        <f>IF($AA706="","",SUMIFS('Per Line'!$Y$2:$Y$4001,'Per Line'!$E$2:$E$4001,$B706,'Per Line'!$AP$2:$AP$4001,0,'Per Line'!$AQ$2:$AQ$4001,0))</f>
        <v/>
      </c>
      <c r="S706" s="7">
        <f>IF($AA706="","",R706*Q706)</f>
        <v/>
      </c>
      <c r="T706">
        <f>IF($AA706="","",Settings!$C$6)</f>
        <v/>
      </c>
      <c r="U706" s="7">
        <f>IF($AA706="","",SUMIFS('Per Line'!$Y$2:$Y$4001,'Per Line'!$E$2:$E$4001,$B706,'Per Line'!$AP$2:$AP$4001,1,'Per Line'!$AQ$2:$AQ$4001,0))</f>
        <v/>
      </c>
      <c r="V706" s="7">
        <f>IF($AA706="","",U706*T706)</f>
        <v/>
      </c>
      <c r="W706" s="7">
        <f>IF($AA706="","",V706+S706)</f>
        <v/>
      </c>
      <c r="X706" s="7">
        <f>IF($AA706="","",Y706-W706)</f>
        <v/>
      </c>
      <c r="Y706" s="7">
        <f>IF($AA706="","",R706+U706+P706)</f>
        <v/>
      </c>
      <c r="Z706" s="7">
        <f>IF($AA706="","",Y706-W706-L706)</f>
        <v/>
      </c>
      <c r="AA706" s="13">
        <f>IF(ROWS($AA$2:$AA706)&lt;=MAX('Per Line'!$AO$2:$AO$4001),MATCH(ROWS($AA$2:$AA706),'Per Line'!$AO$2:$AO$4001,0),"")</f>
        <v/>
      </c>
      <c r="AB706" s="14">
        <f>IF($AA706="","",L706-K706*Y706/100)</f>
        <v/>
      </c>
    </row>
    <row r="707">
      <c r="A707" s="12" t="n"/>
      <c r="B707">
        <f>IF($AA707="","",INDEX('Per Line'!$E$2:$E$4001,$AA707)&amp;"")</f>
        <v/>
      </c>
      <c r="C707">
        <f>IF($AA707="","",INDEX('Per Line'!$A$2:$A$4001,$AA707)&amp;"")</f>
        <v/>
      </c>
      <c r="D707">
        <f>IF($AA707="","",INDEX('Per Line'!$D$2:$D$4001,$AA707)&amp;"")</f>
        <v/>
      </c>
      <c r="E707" s="11">
        <f>IF($AA707="","",INDEX('Per Line'!$G$2:$G$4001,$AA707))</f>
        <v/>
      </c>
      <c r="F707">
        <f>IF($AA707="","",INDEX('Per Line'!$H$2:$H$4001,$AA707)&amp;"")</f>
        <v/>
      </c>
      <c r="G707">
        <f>IF($AA707="","",INDEX('Per Line'!$I$2:$I$4001,$AA707)&amp;"")</f>
        <v/>
      </c>
      <c r="H707">
        <f>IF($AA707="","",INDEX('Per Line'!$J$2:$J$4001,$AA707)&amp;"")</f>
        <v/>
      </c>
      <c r="I707">
        <f>IF($AA707="","",INDEX('Per Line'!$K$2:$K$4001,$AA707)&amp;"")</f>
        <v/>
      </c>
      <c r="J707">
        <f>IF($AA707="","",INDEX('Per Line'!$L$2:$L$4001,$AA707)&amp;"")</f>
        <v/>
      </c>
      <c r="K707">
        <f>IF($AA707="","",INDEX('Per Line'!$P$2:$P$4001,$AA707))</f>
        <v/>
      </c>
      <c r="L707" s="7">
        <f>IF($AA707="","",IF(AND(ISNUMBER(N707),N707&gt;0,Y707&gt;N707),K707*N707/100+(Y707-N707),K707*Y707/100))</f>
        <v/>
      </c>
      <c r="M707">
        <f>IF($AA707="","",INDEX('Per Line'!$Z$2:$Z$4001,$AA707)&amp;"")</f>
        <v/>
      </c>
      <c r="N707">
        <f>IF($AA707="","",INDEX('Per Line'!$AG$2:$AG$4001,$AA707))</f>
        <v/>
      </c>
      <c r="O707">
        <f>IF($AA707="","",IF(AND(ISNUMBER(N707),N707&gt;0),Y707&gt;N707,FALSE))</f>
        <v/>
      </c>
      <c r="P707" s="7">
        <f>IF($AA707="","",SUMIFS('Per Line'!$Y$2:$Y$4001,'Per Line'!$E$2:$E$4001,$B707,'Per Line'!$AQ$2:$AQ$4001,1))</f>
        <v/>
      </c>
      <c r="Q707">
        <f>IF($AA707="","",Settings!$C$7)</f>
        <v/>
      </c>
      <c r="R707" s="7">
        <f>IF($AA707="","",SUMIFS('Per Line'!$Y$2:$Y$4001,'Per Line'!$E$2:$E$4001,$B707,'Per Line'!$AP$2:$AP$4001,0,'Per Line'!$AQ$2:$AQ$4001,0))</f>
        <v/>
      </c>
      <c r="S707" s="7">
        <f>IF($AA707="","",R707*Q707)</f>
        <v/>
      </c>
      <c r="T707">
        <f>IF($AA707="","",Settings!$C$6)</f>
        <v/>
      </c>
      <c r="U707" s="7">
        <f>IF($AA707="","",SUMIFS('Per Line'!$Y$2:$Y$4001,'Per Line'!$E$2:$E$4001,$B707,'Per Line'!$AP$2:$AP$4001,1,'Per Line'!$AQ$2:$AQ$4001,0))</f>
        <v/>
      </c>
      <c r="V707" s="7">
        <f>IF($AA707="","",U707*T707)</f>
        <v/>
      </c>
      <c r="W707" s="7">
        <f>IF($AA707="","",V707+S707)</f>
        <v/>
      </c>
      <c r="X707" s="7">
        <f>IF($AA707="","",Y707-W707)</f>
        <v/>
      </c>
      <c r="Y707" s="7">
        <f>IF($AA707="","",R707+U707+P707)</f>
        <v/>
      </c>
      <c r="Z707" s="7">
        <f>IF($AA707="","",Y707-W707-L707)</f>
        <v/>
      </c>
      <c r="AA707" s="13">
        <f>IF(ROWS($AA$2:$AA707)&lt;=MAX('Per Line'!$AO$2:$AO$4001),MATCH(ROWS($AA$2:$AA707),'Per Line'!$AO$2:$AO$4001,0),"")</f>
        <v/>
      </c>
      <c r="AB707" s="14">
        <f>IF($AA707="","",L707-K707*Y707/100)</f>
        <v/>
      </c>
    </row>
    <row r="708">
      <c r="A708" s="12" t="n"/>
      <c r="B708">
        <f>IF($AA708="","",INDEX('Per Line'!$E$2:$E$4001,$AA708)&amp;"")</f>
        <v/>
      </c>
      <c r="C708">
        <f>IF($AA708="","",INDEX('Per Line'!$A$2:$A$4001,$AA708)&amp;"")</f>
        <v/>
      </c>
      <c r="D708">
        <f>IF($AA708="","",INDEX('Per Line'!$D$2:$D$4001,$AA708)&amp;"")</f>
        <v/>
      </c>
      <c r="E708" s="11">
        <f>IF($AA708="","",INDEX('Per Line'!$G$2:$G$4001,$AA708))</f>
        <v/>
      </c>
      <c r="F708">
        <f>IF($AA708="","",INDEX('Per Line'!$H$2:$H$4001,$AA708)&amp;"")</f>
        <v/>
      </c>
      <c r="G708">
        <f>IF($AA708="","",INDEX('Per Line'!$I$2:$I$4001,$AA708)&amp;"")</f>
        <v/>
      </c>
      <c r="H708">
        <f>IF($AA708="","",INDEX('Per Line'!$J$2:$J$4001,$AA708)&amp;"")</f>
        <v/>
      </c>
      <c r="I708">
        <f>IF($AA708="","",INDEX('Per Line'!$K$2:$K$4001,$AA708)&amp;"")</f>
        <v/>
      </c>
      <c r="J708">
        <f>IF($AA708="","",INDEX('Per Line'!$L$2:$L$4001,$AA708)&amp;"")</f>
        <v/>
      </c>
      <c r="K708">
        <f>IF($AA708="","",INDEX('Per Line'!$P$2:$P$4001,$AA708))</f>
        <v/>
      </c>
      <c r="L708" s="7">
        <f>IF($AA708="","",IF(AND(ISNUMBER(N708),N708&gt;0,Y708&gt;N708),K708*N708/100+(Y708-N708),K708*Y708/100))</f>
        <v/>
      </c>
      <c r="M708">
        <f>IF($AA708="","",INDEX('Per Line'!$Z$2:$Z$4001,$AA708)&amp;"")</f>
        <v/>
      </c>
      <c r="N708">
        <f>IF($AA708="","",INDEX('Per Line'!$AG$2:$AG$4001,$AA708))</f>
        <v/>
      </c>
      <c r="O708">
        <f>IF($AA708="","",IF(AND(ISNUMBER(N708),N708&gt;0),Y708&gt;N708,FALSE))</f>
        <v/>
      </c>
      <c r="P708" s="7">
        <f>IF($AA708="","",SUMIFS('Per Line'!$Y$2:$Y$4001,'Per Line'!$E$2:$E$4001,$B708,'Per Line'!$AQ$2:$AQ$4001,1))</f>
        <v/>
      </c>
      <c r="Q708">
        <f>IF($AA708="","",Settings!$C$7)</f>
        <v/>
      </c>
      <c r="R708" s="7">
        <f>IF($AA708="","",SUMIFS('Per Line'!$Y$2:$Y$4001,'Per Line'!$E$2:$E$4001,$B708,'Per Line'!$AP$2:$AP$4001,0,'Per Line'!$AQ$2:$AQ$4001,0))</f>
        <v/>
      </c>
      <c r="S708" s="7">
        <f>IF($AA708="","",R708*Q708)</f>
        <v/>
      </c>
      <c r="T708">
        <f>IF($AA708="","",Settings!$C$6)</f>
        <v/>
      </c>
      <c r="U708" s="7">
        <f>IF($AA708="","",SUMIFS('Per Line'!$Y$2:$Y$4001,'Per Line'!$E$2:$E$4001,$B708,'Per Line'!$AP$2:$AP$4001,1,'Per Line'!$AQ$2:$AQ$4001,0))</f>
        <v/>
      </c>
      <c r="V708" s="7">
        <f>IF($AA708="","",U708*T708)</f>
        <v/>
      </c>
      <c r="W708" s="7">
        <f>IF($AA708="","",V708+S708)</f>
        <v/>
      </c>
      <c r="X708" s="7">
        <f>IF($AA708="","",Y708-W708)</f>
        <v/>
      </c>
      <c r="Y708" s="7">
        <f>IF($AA708="","",R708+U708+P708)</f>
        <v/>
      </c>
      <c r="Z708" s="7">
        <f>IF($AA708="","",Y708-W708-L708)</f>
        <v/>
      </c>
      <c r="AA708" s="13">
        <f>IF(ROWS($AA$2:$AA708)&lt;=MAX('Per Line'!$AO$2:$AO$4001),MATCH(ROWS($AA$2:$AA708),'Per Line'!$AO$2:$AO$4001,0),"")</f>
        <v/>
      </c>
      <c r="AB708" s="14">
        <f>IF($AA708="","",L708-K708*Y708/100)</f>
        <v/>
      </c>
    </row>
    <row r="709">
      <c r="A709" s="12" t="n"/>
      <c r="B709">
        <f>IF($AA709="","",INDEX('Per Line'!$E$2:$E$4001,$AA709)&amp;"")</f>
        <v/>
      </c>
      <c r="C709">
        <f>IF($AA709="","",INDEX('Per Line'!$A$2:$A$4001,$AA709)&amp;"")</f>
        <v/>
      </c>
      <c r="D709">
        <f>IF($AA709="","",INDEX('Per Line'!$D$2:$D$4001,$AA709)&amp;"")</f>
        <v/>
      </c>
      <c r="E709" s="11">
        <f>IF($AA709="","",INDEX('Per Line'!$G$2:$G$4001,$AA709))</f>
        <v/>
      </c>
      <c r="F709">
        <f>IF($AA709="","",INDEX('Per Line'!$H$2:$H$4001,$AA709)&amp;"")</f>
        <v/>
      </c>
      <c r="G709">
        <f>IF($AA709="","",INDEX('Per Line'!$I$2:$I$4001,$AA709)&amp;"")</f>
        <v/>
      </c>
      <c r="H709">
        <f>IF($AA709="","",INDEX('Per Line'!$J$2:$J$4001,$AA709)&amp;"")</f>
        <v/>
      </c>
      <c r="I709">
        <f>IF($AA709="","",INDEX('Per Line'!$K$2:$K$4001,$AA709)&amp;"")</f>
        <v/>
      </c>
      <c r="J709">
        <f>IF($AA709="","",INDEX('Per Line'!$L$2:$L$4001,$AA709)&amp;"")</f>
        <v/>
      </c>
      <c r="K709">
        <f>IF($AA709="","",INDEX('Per Line'!$P$2:$P$4001,$AA709))</f>
        <v/>
      </c>
      <c r="L709" s="7">
        <f>IF($AA709="","",IF(AND(ISNUMBER(N709),N709&gt;0,Y709&gt;N709),K709*N709/100+(Y709-N709),K709*Y709/100))</f>
        <v/>
      </c>
      <c r="M709">
        <f>IF($AA709="","",INDEX('Per Line'!$Z$2:$Z$4001,$AA709)&amp;"")</f>
        <v/>
      </c>
      <c r="N709">
        <f>IF($AA709="","",INDEX('Per Line'!$AG$2:$AG$4001,$AA709))</f>
        <v/>
      </c>
      <c r="O709">
        <f>IF($AA709="","",IF(AND(ISNUMBER(N709),N709&gt;0),Y709&gt;N709,FALSE))</f>
        <v/>
      </c>
      <c r="P709" s="7">
        <f>IF($AA709="","",SUMIFS('Per Line'!$Y$2:$Y$4001,'Per Line'!$E$2:$E$4001,$B709,'Per Line'!$AQ$2:$AQ$4001,1))</f>
        <v/>
      </c>
      <c r="Q709">
        <f>IF($AA709="","",Settings!$C$7)</f>
        <v/>
      </c>
      <c r="R709" s="7">
        <f>IF($AA709="","",SUMIFS('Per Line'!$Y$2:$Y$4001,'Per Line'!$E$2:$E$4001,$B709,'Per Line'!$AP$2:$AP$4001,0,'Per Line'!$AQ$2:$AQ$4001,0))</f>
        <v/>
      </c>
      <c r="S709" s="7">
        <f>IF($AA709="","",R709*Q709)</f>
        <v/>
      </c>
      <c r="T709">
        <f>IF($AA709="","",Settings!$C$6)</f>
        <v/>
      </c>
      <c r="U709" s="7">
        <f>IF($AA709="","",SUMIFS('Per Line'!$Y$2:$Y$4001,'Per Line'!$E$2:$E$4001,$B709,'Per Line'!$AP$2:$AP$4001,1,'Per Line'!$AQ$2:$AQ$4001,0))</f>
        <v/>
      </c>
      <c r="V709" s="7">
        <f>IF($AA709="","",U709*T709)</f>
        <v/>
      </c>
      <c r="W709" s="7">
        <f>IF($AA709="","",V709+S709)</f>
        <v/>
      </c>
      <c r="X709" s="7">
        <f>IF($AA709="","",Y709-W709)</f>
        <v/>
      </c>
      <c r="Y709" s="7">
        <f>IF($AA709="","",R709+U709+P709)</f>
        <v/>
      </c>
      <c r="Z709" s="7">
        <f>IF($AA709="","",Y709-W709-L709)</f>
        <v/>
      </c>
      <c r="AA709" s="13">
        <f>IF(ROWS($AA$2:$AA709)&lt;=MAX('Per Line'!$AO$2:$AO$4001),MATCH(ROWS($AA$2:$AA709),'Per Line'!$AO$2:$AO$4001,0),"")</f>
        <v/>
      </c>
      <c r="AB709" s="14">
        <f>IF($AA709="","",L709-K709*Y709/100)</f>
        <v/>
      </c>
    </row>
    <row r="710">
      <c r="A710" s="12" t="n"/>
      <c r="B710">
        <f>IF($AA710="","",INDEX('Per Line'!$E$2:$E$4001,$AA710)&amp;"")</f>
        <v/>
      </c>
      <c r="C710">
        <f>IF($AA710="","",INDEX('Per Line'!$A$2:$A$4001,$AA710)&amp;"")</f>
        <v/>
      </c>
      <c r="D710">
        <f>IF($AA710="","",INDEX('Per Line'!$D$2:$D$4001,$AA710)&amp;"")</f>
        <v/>
      </c>
      <c r="E710" s="11">
        <f>IF($AA710="","",INDEX('Per Line'!$G$2:$G$4001,$AA710))</f>
        <v/>
      </c>
      <c r="F710">
        <f>IF($AA710="","",INDEX('Per Line'!$H$2:$H$4001,$AA710)&amp;"")</f>
        <v/>
      </c>
      <c r="G710">
        <f>IF($AA710="","",INDEX('Per Line'!$I$2:$I$4001,$AA710)&amp;"")</f>
        <v/>
      </c>
      <c r="H710">
        <f>IF($AA710="","",INDEX('Per Line'!$J$2:$J$4001,$AA710)&amp;"")</f>
        <v/>
      </c>
      <c r="I710">
        <f>IF($AA710="","",INDEX('Per Line'!$K$2:$K$4001,$AA710)&amp;"")</f>
        <v/>
      </c>
      <c r="J710">
        <f>IF($AA710="","",INDEX('Per Line'!$L$2:$L$4001,$AA710)&amp;"")</f>
        <v/>
      </c>
      <c r="K710">
        <f>IF($AA710="","",INDEX('Per Line'!$P$2:$P$4001,$AA710))</f>
        <v/>
      </c>
      <c r="L710" s="7">
        <f>IF($AA710="","",IF(AND(ISNUMBER(N710),N710&gt;0,Y710&gt;N710),K710*N710/100+(Y710-N710),K710*Y710/100))</f>
        <v/>
      </c>
      <c r="M710">
        <f>IF($AA710="","",INDEX('Per Line'!$Z$2:$Z$4001,$AA710)&amp;"")</f>
        <v/>
      </c>
      <c r="N710">
        <f>IF($AA710="","",INDEX('Per Line'!$AG$2:$AG$4001,$AA710))</f>
        <v/>
      </c>
      <c r="O710">
        <f>IF($AA710="","",IF(AND(ISNUMBER(N710),N710&gt;0),Y710&gt;N710,FALSE))</f>
        <v/>
      </c>
      <c r="P710" s="7">
        <f>IF($AA710="","",SUMIFS('Per Line'!$Y$2:$Y$4001,'Per Line'!$E$2:$E$4001,$B710,'Per Line'!$AQ$2:$AQ$4001,1))</f>
        <v/>
      </c>
      <c r="Q710">
        <f>IF($AA710="","",Settings!$C$7)</f>
        <v/>
      </c>
      <c r="R710" s="7">
        <f>IF($AA710="","",SUMIFS('Per Line'!$Y$2:$Y$4001,'Per Line'!$E$2:$E$4001,$B710,'Per Line'!$AP$2:$AP$4001,0,'Per Line'!$AQ$2:$AQ$4001,0))</f>
        <v/>
      </c>
      <c r="S710" s="7">
        <f>IF($AA710="","",R710*Q710)</f>
        <v/>
      </c>
      <c r="T710">
        <f>IF($AA710="","",Settings!$C$6)</f>
        <v/>
      </c>
      <c r="U710" s="7">
        <f>IF($AA710="","",SUMIFS('Per Line'!$Y$2:$Y$4001,'Per Line'!$E$2:$E$4001,$B710,'Per Line'!$AP$2:$AP$4001,1,'Per Line'!$AQ$2:$AQ$4001,0))</f>
        <v/>
      </c>
      <c r="V710" s="7">
        <f>IF($AA710="","",U710*T710)</f>
        <v/>
      </c>
      <c r="W710" s="7">
        <f>IF($AA710="","",V710+S710)</f>
        <v/>
      </c>
      <c r="X710" s="7">
        <f>IF($AA710="","",Y710-W710)</f>
        <v/>
      </c>
      <c r="Y710" s="7">
        <f>IF($AA710="","",R710+U710+P710)</f>
        <v/>
      </c>
      <c r="Z710" s="7">
        <f>IF($AA710="","",Y710-W710-L710)</f>
        <v/>
      </c>
      <c r="AA710" s="13">
        <f>IF(ROWS($AA$2:$AA710)&lt;=MAX('Per Line'!$AO$2:$AO$4001),MATCH(ROWS($AA$2:$AA710),'Per Line'!$AO$2:$AO$4001,0),"")</f>
        <v/>
      </c>
      <c r="AB710" s="14">
        <f>IF($AA710="","",L710-K710*Y710/100)</f>
        <v/>
      </c>
    </row>
    <row r="711">
      <c r="A711" s="12" t="n"/>
      <c r="B711">
        <f>IF($AA711="","",INDEX('Per Line'!$E$2:$E$4001,$AA711)&amp;"")</f>
        <v/>
      </c>
      <c r="C711">
        <f>IF($AA711="","",INDEX('Per Line'!$A$2:$A$4001,$AA711)&amp;"")</f>
        <v/>
      </c>
      <c r="D711">
        <f>IF($AA711="","",INDEX('Per Line'!$D$2:$D$4001,$AA711)&amp;"")</f>
        <v/>
      </c>
      <c r="E711" s="11">
        <f>IF($AA711="","",INDEX('Per Line'!$G$2:$G$4001,$AA711))</f>
        <v/>
      </c>
      <c r="F711">
        <f>IF($AA711="","",INDEX('Per Line'!$H$2:$H$4001,$AA711)&amp;"")</f>
        <v/>
      </c>
      <c r="G711">
        <f>IF($AA711="","",INDEX('Per Line'!$I$2:$I$4001,$AA711)&amp;"")</f>
        <v/>
      </c>
      <c r="H711">
        <f>IF($AA711="","",INDEX('Per Line'!$J$2:$J$4001,$AA711)&amp;"")</f>
        <v/>
      </c>
      <c r="I711">
        <f>IF($AA711="","",INDEX('Per Line'!$K$2:$K$4001,$AA711)&amp;"")</f>
        <v/>
      </c>
      <c r="J711">
        <f>IF($AA711="","",INDEX('Per Line'!$L$2:$L$4001,$AA711)&amp;"")</f>
        <v/>
      </c>
      <c r="K711">
        <f>IF($AA711="","",INDEX('Per Line'!$P$2:$P$4001,$AA711))</f>
        <v/>
      </c>
      <c r="L711" s="7">
        <f>IF($AA711="","",IF(AND(ISNUMBER(N711),N711&gt;0,Y711&gt;N711),K711*N711/100+(Y711-N711),K711*Y711/100))</f>
        <v/>
      </c>
      <c r="M711">
        <f>IF($AA711="","",INDEX('Per Line'!$Z$2:$Z$4001,$AA711)&amp;"")</f>
        <v/>
      </c>
      <c r="N711">
        <f>IF($AA711="","",INDEX('Per Line'!$AG$2:$AG$4001,$AA711))</f>
        <v/>
      </c>
      <c r="O711">
        <f>IF($AA711="","",IF(AND(ISNUMBER(N711),N711&gt;0),Y711&gt;N711,FALSE))</f>
        <v/>
      </c>
      <c r="P711" s="7">
        <f>IF($AA711="","",SUMIFS('Per Line'!$Y$2:$Y$4001,'Per Line'!$E$2:$E$4001,$B711,'Per Line'!$AQ$2:$AQ$4001,1))</f>
        <v/>
      </c>
      <c r="Q711">
        <f>IF($AA711="","",Settings!$C$7)</f>
        <v/>
      </c>
      <c r="R711" s="7">
        <f>IF($AA711="","",SUMIFS('Per Line'!$Y$2:$Y$4001,'Per Line'!$E$2:$E$4001,$B711,'Per Line'!$AP$2:$AP$4001,0,'Per Line'!$AQ$2:$AQ$4001,0))</f>
        <v/>
      </c>
      <c r="S711" s="7">
        <f>IF($AA711="","",R711*Q711)</f>
        <v/>
      </c>
      <c r="T711">
        <f>IF($AA711="","",Settings!$C$6)</f>
        <v/>
      </c>
      <c r="U711" s="7">
        <f>IF($AA711="","",SUMIFS('Per Line'!$Y$2:$Y$4001,'Per Line'!$E$2:$E$4001,$B711,'Per Line'!$AP$2:$AP$4001,1,'Per Line'!$AQ$2:$AQ$4001,0))</f>
        <v/>
      </c>
      <c r="V711" s="7">
        <f>IF($AA711="","",U711*T711)</f>
        <v/>
      </c>
      <c r="W711" s="7">
        <f>IF($AA711="","",V711+S711)</f>
        <v/>
      </c>
      <c r="X711" s="7">
        <f>IF($AA711="","",Y711-W711)</f>
        <v/>
      </c>
      <c r="Y711" s="7">
        <f>IF($AA711="","",R711+U711+P711)</f>
        <v/>
      </c>
      <c r="Z711" s="7">
        <f>IF($AA711="","",Y711-W711-L711)</f>
        <v/>
      </c>
      <c r="AA711" s="13">
        <f>IF(ROWS($AA$2:$AA711)&lt;=MAX('Per Line'!$AO$2:$AO$4001),MATCH(ROWS($AA$2:$AA711),'Per Line'!$AO$2:$AO$4001,0),"")</f>
        <v/>
      </c>
      <c r="AB711" s="14">
        <f>IF($AA711="","",L711-K711*Y711/100)</f>
        <v/>
      </c>
    </row>
    <row r="712">
      <c r="A712" s="12" t="n"/>
      <c r="B712">
        <f>IF($AA712="","",INDEX('Per Line'!$E$2:$E$4001,$AA712)&amp;"")</f>
        <v/>
      </c>
      <c r="C712">
        <f>IF($AA712="","",INDEX('Per Line'!$A$2:$A$4001,$AA712)&amp;"")</f>
        <v/>
      </c>
      <c r="D712">
        <f>IF($AA712="","",INDEX('Per Line'!$D$2:$D$4001,$AA712)&amp;"")</f>
        <v/>
      </c>
      <c r="E712" s="11">
        <f>IF($AA712="","",INDEX('Per Line'!$G$2:$G$4001,$AA712))</f>
        <v/>
      </c>
      <c r="F712">
        <f>IF($AA712="","",INDEX('Per Line'!$H$2:$H$4001,$AA712)&amp;"")</f>
        <v/>
      </c>
      <c r="G712">
        <f>IF($AA712="","",INDEX('Per Line'!$I$2:$I$4001,$AA712)&amp;"")</f>
        <v/>
      </c>
      <c r="H712">
        <f>IF($AA712="","",INDEX('Per Line'!$J$2:$J$4001,$AA712)&amp;"")</f>
        <v/>
      </c>
      <c r="I712">
        <f>IF($AA712="","",INDEX('Per Line'!$K$2:$K$4001,$AA712)&amp;"")</f>
        <v/>
      </c>
      <c r="J712">
        <f>IF($AA712="","",INDEX('Per Line'!$L$2:$L$4001,$AA712)&amp;"")</f>
        <v/>
      </c>
      <c r="K712">
        <f>IF($AA712="","",INDEX('Per Line'!$P$2:$P$4001,$AA712))</f>
        <v/>
      </c>
      <c r="L712" s="7">
        <f>IF($AA712="","",IF(AND(ISNUMBER(N712),N712&gt;0,Y712&gt;N712),K712*N712/100+(Y712-N712),K712*Y712/100))</f>
        <v/>
      </c>
      <c r="M712">
        <f>IF($AA712="","",INDEX('Per Line'!$Z$2:$Z$4001,$AA712)&amp;"")</f>
        <v/>
      </c>
      <c r="N712">
        <f>IF($AA712="","",INDEX('Per Line'!$AG$2:$AG$4001,$AA712))</f>
        <v/>
      </c>
      <c r="O712">
        <f>IF($AA712="","",IF(AND(ISNUMBER(N712),N712&gt;0),Y712&gt;N712,FALSE))</f>
        <v/>
      </c>
      <c r="P712" s="7">
        <f>IF($AA712="","",SUMIFS('Per Line'!$Y$2:$Y$4001,'Per Line'!$E$2:$E$4001,$B712,'Per Line'!$AQ$2:$AQ$4001,1))</f>
        <v/>
      </c>
      <c r="Q712">
        <f>IF($AA712="","",Settings!$C$7)</f>
        <v/>
      </c>
      <c r="R712" s="7">
        <f>IF($AA712="","",SUMIFS('Per Line'!$Y$2:$Y$4001,'Per Line'!$E$2:$E$4001,$B712,'Per Line'!$AP$2:$AP$4001,0,'Per Line'!$AQ$2:$AQ$4001,0))</f>
        <v/>
      </c>
      <c r="S712" s="7">
        <f>IF($AA712="","",R712*Q712)</f>
        <v/>
      </c>
      <c r="T712">
        <f>IF($AA712="","",Settings!$C$6)</f>
        <v/>
      </c>
      <c r="U712" s="7">
        <f>IF($AA712="","",SUMIFS('Per Line'!$Y$2:$Y$4001,'Per Line'!$E$2:$E$4001,$B712,'Per Line'!$AP$2:$AP$4001,1,'Per Line'!$AQ$2:$AQ$4001,0))</f>
        <v/>
      </c>
      <c r="V712" s="7">
        <f>IF($AA712="","",U712*T712)</f>
        <v/>
      </c>
      <c r="W712" s="7">
        <f>IF($AA712="","",V712+S712)</f>
        <v/>
      </c>
      <c r="X712" s="7">
        <f>IF($AA712="","",Y712-W712)</f>
        <v/>
      </c>
      <c r="Y712" s="7">
        <f>IF($AA712="","",R712+U712+P712)</f>
        <v/>
      </c>
      <c r="Z712" s="7">
        <f>IF($AA712="","",Y712-W712-L712)</f>
        <v/>
      </c>
      <c r="AA712" s="13">
        <f>IF(ROWS($AA$2:$AA712)&lt;=MAX('Per Line'!$AO$2:$AO$4001),MATCH(ROWS($AA$2:$AA712),'Per Line'!$AO$2:$AO$4001,0),"")</f>
        <v/>
      </c>
      <c r="AB712" s="14">
        <f>IF($AA712="","",L712-K712*Y712/100)</f>
        <v/>
      </c>
    </row>
    <row r="713">
      <c r="A713" s="12" t="n"/>
      <c r="B713">
        <f>IF($AA713="","",INDEX('Per Line'!$E$2:$E$4001,$AA713)&amp;"")</f>
        <v/>
      </c>
      <c r="C713">
        <f>IF($AA713="","",INDEX('Per Line'!$A$2:$A$4001,$AA713)&amp;"")</f>
        <v/>
      </c>
      <c r="D713">
        <f>IF($AA713="","",INDEX('Per Line'!$D$2:$D$4001,$AA713)&amp;"")</f>
        <v/>
      </c>
      <c r="E713" s="11">
        <f>IF($AA713="","",INDEX('Per Line'!$G$2:$G$4001,$AA713))</f>
        <v/>
      </c>
      <c r="F713">
        <f>IF($AA713="","",INDEX('Per Line'!$H$2:$H$4001,$AA713)&amp;"")</f>
        <v/>
      </c>
      <c r="G713">
        <f>IF($AA713="","",INDEX('Per Line'!$I$2:$I$4001,$AA713)&amp;"")</f>
        <v/>
      </c>
      <c r="H713">
        <f>IF($AA713="","",INDEX('Per Line'!$J$2:$J$4001,$AA713)&amp;"")</f>
        <v/>
      </c>
      <c r="I713">
        <f>IF($AA713="","",INDEX('Per Line'!$K$2:$K$4001,$AA713)&amp;"")</f>
        <v/>
      </c>
      <c r="J713">
        <f>IF($AA713="","",INDEX('Per Line'!$L$2:$L$4001,$AA713)&amp;"")</f>
        <v/>
      </c>
      <c r="K713">
        <f>IF($AA713="","",INDEX('Per Line'!$P$2:$P$4001,$AA713))</f>
        <v/>
      </c>
      <c r="L713" s="7">
        <f>IF($AA713="","",IF(AND(ISNUMBER(N713),N713&gt;0,Y713&gt;N713),K713*N713/100+(Y713-N713),K713*Y713/100))</f>
        <v/>
      </c>
      <c r="M713">
        <f>IF($AA713="","",INDEX('Per Line'!$Z$2:$Z$4001,$AA713)&amp;"")</f>
        <v/>
      </c>
      <c r="N713">
        <f>IF($AA713="","",INDEX('Per Line'!$AG$2:$AG$4001,$AA713))</f>
        <v/>
      </c>
      <c r="O713">
        <f>IF($AA713="","",IF(AND(ISNUMBER(N713),N713&gt;0),Y713&gt;N713,FALSE))</f>
        <v/>
      </c>
      <c r="P713" s="7">
        <f>IF($AA713="","",SUMIFS('Per Line'!$Y$2:$Y$4001,'Per Line'!$E$2:$E$4001,$B713,'Per Line'!$AQ$2:$AQ$4001,1))</f>
        <v/>
      </c>
      <c r="Q713">
        <f>IF($AA713="","",Settings!$C$7)</f>
        <v/>
      </c>
      <c r="R713" s="7">
        <f>IF($AA713="","",SUMIFS('Per Line'!$Y$2:$Y$4001,'Per Line'!$E$2:$E$4001,$B713,'Per Line'!$AP$2:$AP$4001,0,'Per Line'!$AQ$2:$AQ$4001,0))</f>
        <v/>
      </c>
      <c r="S713" s="7">
        <f>IF($AA713="","",R713*Q713)</f>
        <v/>
      </c>
      <c r="T713">
        <f>IF($AA713="","",Settings!$C$6)</f>
        <v/>
      </c>
      <c r="U713" s="7">
        <f>IF($AA713="","",SUMIFS('Per Line'!$Y$2:$Y$4001,'Per Line'!$E$2:$E$4001,$B713,'Per Line'!$AP$2:$AP$4001,1,'Per Line'!$AQ$2:$AQ$4001,0))</f>
        <v/>
      </c>
      <c r="V713" s="7">
        <f>IF($AA713="","",U713*T713)</f>
        <v/>
      </c>
      <c r="W713" s="7">
        <f>IF($AA713="","",V713+S713)</f>
        <v/>
      </c>
      <c r="X713" s="7">
        <f>IF($AA713="","",Y713-W713)</f>
        <v/>
      </c>
      <c r="Y713" s="7">
        <f>IF($AA713="","",R713+U713+P713)</f>
        <v/>
      </c>
      <c r="Z713" s="7">
        <f>IF($AA713="","",Y713-W713-L713)</f>
        <v/>
      </c>
      <c r="AA713" s="13">
        <f>IF(ROWS($AA$2:$AA713)&lt;=MAX('Per Line'!$AO$2:$AO$4001),MATCH(ROWS($AA$2:$AA713),'Per Line'!$AO$2:$AO$4001,0),"")</f>
        <v/>
      </c>
      <c r="AB713" s="14">
        <f>IF($AA713="","",L713-K713*Y713/100)</f>
        <v/>
      </c>
    </row>
    <row r="714">
      <c r="A714" s="12" t="n"/>
      <c r="B714">
        <f>IF($AA714="","",INDEX('Per Line'!$E$2:$E$4001,$AA714)&amp;"")</f>
        <v/>
      </c>
      <c r="C714">
        <f>IF($AA714="","",INDEX('Per Line'!$A$2:$A$4001,$AA714)&amp;"")</f>
        <v/>
      </c>
      <c r="D714">
        <f>IF($AA714="","",INDEX('Per Line'!$D$2:$D$4001,$AA714)&amp;"")</f>
        <v/>
      </c>
      <c r="E714" s="11">
        <f>IF($AA714="","",INDEX('Per Line'!$G$2:$G$4001,$AA714))</f>
        <v/>
      </c>
      <c r="F714">
        <f>IF($AA714="","",INDEX('Per Line'!$H$2:$H$4001,$AA714)&amp;"")</f>
        <v/>
      </c>
      <c r="G714">
        <f>IF($AA714="","",INDEX('Per Line'!$I$2:$I$4001,$AA714)&amp;"")</f>
        <v/>
      </c>
      <c r="H714">
        <f>IF($AA714="","",INDEX('Per Line'!$J$2:$J$4001,$AA714)&amp;"")</f>
        <v/>
      </c>
      <c r="I714">
        <f>IF($AA714="","",INDEX('Per Line'!$K$2:$K$4001,$AA714)&amp;"")</f>
        <v/>
      </c>
      <c r="J714">
        <f>IF($AA714="","",INDEX('Per Line'!$L$2:$L$4001,$AA714)&amp;"")</f>
        <v/>
      </c>
      <c r="K714">
        <f>IF($AA714="","",INDEX('Per Line'!$P$2:$P$4001,$AA714))</f>
        <v/>
      </c>
      <c r="L714" s="7">
        <f>IF($AA714="","",IF(AND(ISNUMBER(N714),N714&gt;0,Y714&gt;N714),K714*N714/100+(Y714-N714),K714*Y714/100))</f>
        <v/>
      </c>
      <c r="M714">
        <f>IF($AA714="","",INDEX('Per Line'!$Z$2:$Z$4001,$AA714)&amp;"")</f>
        <v/>
      </c>
      <c r="N714">
        <f>IF($AA714="","",INDEX('Per Line'!$AG$2:$AG$4001,$AA714))</f>
        <v/>
      </c>
      <c r="O714">
        <f>IF($AA714="","",IF(AND(ISNUMBER(N714),N714&gt;0),Y714&gt;N714,FALSE))</f>
        <v/>
      </c>
      <c r="P714" s="7">
        <f>IF($AA714="","",SUMIFS('Per Line'!$Y$2:$Y$4001,'Per Line'!$E$2:$E$4001,$B714,'Per Line'!$AQ$2:$AQ$4001,1))</f>
        <v/>
      </c>
      <c r="Q714">
        <f>IF($AA714="","",Settings!$C$7)</f>
        <v/>
      </c>
      <c r="R714" s="7">
        <f>IF($AA714="","",SUMIFS('Per Line'!$Y$2:$Y$4001,'Per Line'!$E$2:$E$4001,$B714,'Per Line'!$AP$2:$AP$4001,0,'Per Line'!$AQ$2:$AQ$4001,0))</f>
        <v/>
      </c>
      <c r="S714" s="7">
        <f>IF($AA714="","",R714*Q714)</f>
        <v/>
      </c>
      <c r="T714">
        <f>IF($AA714="","",Settings!$C$6)</f>
        <v/>
      </c>
      <c r="U714" s="7">
        <f>IF($AA714="","",SUMIFS('Per Line'!$Y$2:$Y$4001,'Per Line'!$E$2:$E$4001,$B714,'Per Line'!$AP$2:$AP$4001,1,'Per Line'!$AQ$2:$AQ$4001,0))</f>
        <v/>
      </c>
      <c r="V714" s="7">
        <f>IF($AA714="","",U714*T714)</f>
        <v/>
      </c>
      <c r="W714" s="7">
        <f>IF($AA714="","",V714+S714)</f>
        <v/>
      </c>
      <c r="X714" s="7">
        <f>IF($AA714="","",Y714-W714)</f>
        <v/>
      </c>
      <c r="Y714" s="7">
        <f>IF($AA714="","",R714+U714+P714)</f>
        <v/>
      </c>
      <c r="Z714" s="7">
        <f>IF($AA714="","",Y714-W714-L714)</f>
        <v/>
      </c>
      <c r="AA714" s="13">
        <f>IF(ROWS($AA$2:$AA714)&lt;=MAX('Per Line'!$AO$2:$AO$4001),MATCH(ROWS($AA$2:$AA714),'Per Line'!$AO$2:$AO$4001,0),"")</f>
        <v/>
      </c>
      <c r="AB714" s="14">
        <f>IF($AA714="","",L714-K714*Y714/100)</f>
        <v/>
      </c>
    </row>
    <row r="715">
      <c r="A715" s="12" t="n"/>
      <c r="B715">
        <f>IF($AA715="","",INDEX('Per Line'!$E$2:$E$4001,$AA715)&amp;"")</f>
        <v/>
      </c>
      <c r="C715">
        <f>IF($AA715="","",INDEX('Per Line'!$A$2:$A$4001,$AA715)&amp;"")</f>
        <v/>
      </c>
      <c r="D715">
        <f>IF($AA715="","",INDEX('Per Line'!$D$2:$D$4001,$AA715)&amp;"")</f>
        <v/>
      </c>
      <c r="E715" s="11">
        <f>IF($AA715="","",INDEX('Per Line'!$G$2:$G$4001,$AA715))</f>
        <v/>
      </c>
      <c r="F715">
        <f>IF($AA715="","",INDEX('Per Line'!$H$2:$H$4001,$AA715)&amp;"")</f>
        <v/>
      </c>
      <c r="G715">
        <f>IF($AA715="","",INDEX('Per Line'!$I$2:$I$4001,$AA715)&amp;"")</f>
        <v/>
      </c>
      <c r="H715">
        <f>IF($AA715="","",INDEX('Per Line'!$J$2:$J$4001,$AA715)&amp;"")</f>
        <v/>
      </c>
      <c r="I715">
        <f>IF($AA715="","",INDEX('Per Line'!$K$2:$K$4001,$AA715)&amp;"")</f>
        <v/>
      </c>
      <c r="J715">
        <f>IF($AA715="","",INDEX('Per Line'!$L$2:$L$4001,$AA715)&amp;"")</f>
        <v/>
      </c>
      <c r="K715">
        <f>IF($AA715="","",INDEX('Per Line'!$P$2:$P$4001,$AA715))</f>
        <v/>
      </c>
      <c r="L715" s="7">
        <f>IF($AA715="","",IF(AND(ISNUMBER(N715),N715&gt;0,Y715&gt;N715),K715*N715/100+(Y715-N715),K715*Y715/100))</f>
        <v/>
      </c>
      <c r="M715">
        <f>IF($AA715="","",INDEX('Per Line'!$Z$2:$Z$4001,$AA715)&amp;"")</f>
        <v/>
      </c>
      <c r="N715">
        <f>IF($AA715="","",INDEX('Per Line'!$AG$2:$AG$4001,$AA715))</f>
        <v/>
      </c>
      <c r="O715">
        <f>IF($AA715="","",IF(AND(ISNUMBER(N715),N715&gt;0),Y715&gt;N715,FALSE))</f>
        <v/>
      </c>
      <c r="P715" s="7">
        <f>IF($AA715="","",SUMIFS('Per Line'!$Y$2:$Y$4001,'Per Line'!$E$2:$E$4001,$B715,'Per Line'!$AQ$2:$AQ$4001,1))</f>
        <v/>
      </c>
      <c r="Q715">
        <f>IF($AA715="","",Settings!$C$7)</f>
        <v/>
      </c>
      <c r="R715" s="7">
        <f>IF($AA715="","",SUMIFS('Per Line'!$Y$2:$Y$4001,'Per Line'!$E$2:$E$4001,$B715,'Per Line'!$AP$2:$AP$4001,0,'Per Line'!$AQ$2:$AQ$4001,0))</f>
        <v/>
      </c>
      <c r="S715" s="7">
        <f>IF($AA715="","",R715*Q715)</f>
        <v/>
      </c>
      <c r="T715">
        <f>IF($AA715="","",Settings!$C$6)</f>
        <v/>
      </c>
      <c r="U715" s="7">
        <f>IF($AA715="","",SUMIFS('Per Line'!$Y$2:$Y$4001,'Per Line'!$E$2:$E$4001,$B715,'Per Line'!$AP$2:$AP$4001,1,'Per Line'!$AQ$2:$AQ$4001,0))</f>
        <v/>
      </c>
      <c r="V715" s="7">
        <f>IF($AA715="","",U715*T715)</f>
        <v/>
      </c>
      <c r="W715" s="7">
        <f>IF($AA715="","",V715+S715)</f>
        <v/>
      </c>
      <c r="X715" s="7">
        <f>IF($AA715="","",Y715-W715)</f>
        <v/>
      </c>
      <c r="Y715" s="7">
        <f>IF($AA715="","",R715+U715+P715)</f>
        <v/>
      </c>
      <c r="Z715" s="7">
        <f>IF($AA715="","",Y715-W715-L715)</f>
        <v/>
      </c>
      <c r="AA715" s="13">
        <f>IF(ROWS($AA$2:$AA715)&lt;=MAX('Per Line'!$AO$2:$AO$4001),MATCH(ROWS($AA$2:$AA715),'Per Line'!$AO$2:$AO$4001,0),"")</f>
        <v/>
      </c>
      <c r="AB715" s="14">
        <f>IF($AA715="","",L715-K715*Y715/100)</f>
        <v/>
      </c>
    </row>
    <row r="716">
      <c r="A716" s="12" t="n"/>
      <c r="B716">
        <f>IF($AA716="","",INDEX('Per Line'!$E$2:$E$4001,$AA716)&amp;"")</f>
        <v/>
      </c>
      <c r="C716">
        <f>IF($AA716="","",INDEX('Per Line'!$A$2:$A$4001,$AA716)&amp;"")</f>
        <v/>
      </c>
      <c r="D716">
        <f>IF($AA716="","",INDEX('Per Line'!$D$2:$D$4001,$AA716)&amp;"")</f>
        <v/>
      </c>
      <c r="E716" s="11">
        <f>IF($AA716="","",INDEX('Per Line'!$G$2:$G$4001,$AA716))</f>
        <v/>
      </c>
      <c r="F716">
        <f>IF($AA716="","",INDEX('Per Line'!$H$2:$H$4001,$AA716)&amp;"")</f>
        <v/>
      </c>
      <c r="G716">
        <f>IF($AA716="","",INDEX('Per Line'!$I$2:$I$4001,$AA716)&amp;"")</f>
        <v/>
      </c>
      <c r="H716">
        <f>IF($AA716="","",INDEX('Per Line'!$J$2:$J$4001,$AA716)&amp;"")</f>
        <v/>
      </c>
      <c r="I716">
        <f>IF($AA716="","",INDEX('Per Line'!$K$2:$K$4001,$AA716)&amp;"")</f>
        <v/>
      </c>
      <c r="J716">
        <f>IF($AA716="","",INDEX('Per Line'!$L$2:$L$4001,$AA716)&amp;"")</f>
        <v/>
      </c>
      <c r="K716">
        <f>IF($AA716="","",INDEX('Per Line'!$P$2:$P$4001,$AA716))</f>
        <v/>
      </c>
      <c r="L716" s="7">
        <f>IF($AA716="","",IF(AND(ISNUMBER(N716),N716&gt;0,Y716&gt;N716),K716*N716/100+(Y716-N716),K716*Y716/100))</f>
        <v/>
      </c>
      <c r="M716">
        <f>IF($AA716="","",INDEX('Per Line'!$Z$2:$Z$4001,$AA716)&amp;"")</f>
        <v/>
      </c>
      <c r="N716">
        <f>IF($AA716="","",INDEX('Per Line'!$AG$2:$AG$4001,$AA716))</f>
        <v/>
      </c>
      <c r="O716">
        <f>IF($AA716="","",IF(AND(ISNUMBER(N716),N716&gt;0),Y716&gt;N716,FALSE))</f>
        <v/>
      </c>
      <c r="P716" s="7">
        <f>IF($AA716="","",SUMIFS('Per Line'!$Y$2:$Y$4001,'Per Line'!$E$2:$E$4001,$B716,'Per Line'!$AQ$2:$AQ$4001,1))</f>
        <v/>
      </c>
      <c r="Q716">
        <f>IF($AA716="","",Settings!$C$7)</f>
        <v/>
      </c>
      <c r="R716" s="7">
        <f>IF($AA716="","",SUMIFS('Per Line'!$Y$2:$Y$4001,'Per Line'!$E$2:$E$4001,$B716,'Per Line'!$AP$2:$AP$4001,0,'Per Line'!$AQ$2:$AQ$4001,0))</f>
        <v/>
      </c>
      <c r="S716" s="7">
        <f>IF($AA716="","",R716*Q716)</f>
        <v/>
      </c>
      <c r="T716">
        <f>IF($AA716="","",Settings!$C$6)</f>
        <v/>
      </c>
      <c r="U716" s="7">
        <f>IF($AA716="","",SUMIFS('Per Line'!$Y$2:$Y$4001,'Per Line'!$E$2:$E$4001,$B716,'Per Line'!$AP$2:$AP$4001,1,'Per Line'!$AQ$2:$AQ$4001,0))</f>
        <v/>
      </c>
      <c r="V716" s="7">
        <f>IF($AA716="","",U716*T716)</f>
        <v/>
      </c>
      <c r="W716" s="7">
        <f>IF($AA716="","",V716+S716)</f>
        <v/>
      </c>
      <c r="X716" s="7">
        <f>IF($AA716="","",Y716-W716)</f>
        <v/>
      </c>
      <c r="Y716" s="7">
        <f>IF($AA716="","",R716+U716+P716)</f>
        <v/>
      </c>
      <c r="Z716" s="7">
        <f>IF($AA716="","",Y716-W716-L716)</f>
        <v/>
      </c>
      <c r="AA716" s="13">
        <f>IF(ROWS($AA$2:$AA716)&lt;=MAX('Per Line'!$AO$2:$AO$4001),MATCH(ROWS($AA$2:$AA716),'Per Line'!$AO$2:$AO$4001,0),"")</f>
        <v/>
      </c>
      <c r="AB716" s="14">
        <f>IF($AA716="","",L716-K716*Y716/100)</f>
        <v/>
      </c>
    </row>
    <row r="717">
      <c r="A717" s="12" t="n"/>
      <c r="B717">
        <f>IF($AA717="","",INDEX('Per Line'!$E$2:$E$4001,$AA717)&amp;"")</f>
        <v/>
      </c>
      <c r="C717">
        <f>IF($AA717="","",INDEX('Per Line'!$A$2:$A$4001,$AA717)&amp;"")</f>
        <v/>
      </c>
      <c r="D717">
        <f>IF($AA717="","",INDEX('Per Line'!$D$2:$D$4001,$AA717)&amp;"")</f>
        <v/>
      </c>
      <c r="E717" s="11">
        <f>IF($AA717="","",INDEX('Per Line'!$G$2:$G$4001,$AA717))</f>
        <v/>
      </c>
      <c r="F717">
        <f>IF($AA717="","",INDEX('Per Line'!$H$2:$H$4001,$AA717)&amp;"")</f>
        <v/>
      </c>
      <c r="G717">
        <f>IF($AA717="","",INDEX('Per Line'!$I$2:$I$4001,$AA717)&amp;"")</f>
        <v/>
      </c>
      <c r="H717">
        <f>IF($AA717="","",INDEX('Per Line'!$J$2:$J$4001,$AA717)&amp;"")</f>
        <v/>
      </c>
      <c r="I717">
        <f>IF($AA717="","",INDEX('Per Line'!$K$2:$K$4001,$AA717)&amp;"")</f>
        <v/>
      </c>
      <c r="J717">
        <f>IF($AA717="","",INDEX('Per Line'!$L$2:$L$4001,$AA717)&amp;"")</f>
        <v/>
      </c>
      <c r="K717">
        <f>IF($AA717="","",INDEX('Per Line'!$P$2:$P$4001,$AA717))</f>
        <v/>
      </c>
      <c r="L717" s="7">
        <f>IF($AA717="","",IF(AND(ISNUMBER(N717),N717&gt;0,Y717&gt;N717),K717*N717/100+(Y717-N717),K717*Y717/100))</f>
        <v/>
      </c>
      <c r="M717">
        <f>IF($AA717="","",INDEX('Per Line'!$Z$2:$Z$4001,$AA717)&amp;"")</f>
        <v/>
      </c>
      <c r="N717">
        <f>IF($AA717="","",INDEX('Per Line'!$AG$2:$AG$4001,$AA717))</f>
        <v/>
      </c>
      <c r="O717">
        <f>IF($AA717="","",IF(AND(ISNUMBER(N717),N717&gt;0),Y717&gt;N717,FALSE))</f>
        <v/>
      </c>
      <c r="P717" s="7">
        <f>IF($AA717="","",SUMIFS('Per Line'!$Y$2:$Y$4001,'Per Line'!$E$2:$E$4001,$B717,'Per Line'!$AQ$2:$AQ$4001,1))</f>
        <v/>
      </c>
      <c r="Q717">
        <f>IF($AA717="","",Settings!$C$7)</f>
        <v/>
      </c>
      <c r="R717" s="7">
        <f>IF($AA717="","",SUMIFS('Per Line'!$Y$2:$Y$4001,'Per Line'!$E$2:$E$4001,$B717,'Per Line'!$AP$2:$AP$4001,0,'Per Line'!$AQ$2:$AQ$4001,0))</f>
        <v/>
      </c>
      <c r="S717" s="7">
        <f>IF($AA717="","",R717*Q717)</f>
        <v/>
      </c>
      <c r="T717">
        <f>IF($AA717="","",Settings!$C$6)</f>
        <v/>
      </c>
      <c r="U717" s="7">
        <f>IF($AA717="","",SUMIFS('Per Line'!$Y$2:$Y$4001,'Per Line'!$E$2:$E$4001,$B717,'Per Line'!$AP$2:$AP$4001,1,'Per Line'!$AQ$2:$AQ$4001,0))</f>
        <v/>
      </c>
      <c r="V717" s="7">
        <f>IF($AA717="","",U717*T717)</f>
        <v/>
      </c>
      <c r="W717" s="7">
        <f>IF($AA717="","",V717+S717)</f>
        <v/>
      </c>
      <c r="X717" s="7">
        <f>IF($AA717="","",Y717-W717)</f>
        <v/>
      </c>
      <c r="Y717" s="7">
        <f>IF($AA717="","",R717+U717+P717)</f>
        <v/>
      </c>
      <c r="Z717" s="7">
        <f>IF($AA717="","",Y717-W717-L717)</f>
        <v/>
      </c>
      <c r="AA717" s="13">
        <f>IF(ROWS($AA$2:$AA717)&lt;=MAX('Per Line'!$AO$2:$AO$4001),MATCH(ROWS($AA$2:$AA717),'Per Line'!$AO$2:$AO$4001,0),"")</f>
        <v/>
      </c>
      <c r="AB717" s="14">
        <f>IF($AA717="","",L717-K717*Y717/100)</f>
        <v/>
      </c>
    </row>
    <row r="718">
      <c r="A718" s="12" t="n"/>
      <c r="B718">
        <f>IF($AA718="","",INDEX('Per Line'!$E$2:$E$4001,$AA718)&amp;"")</f>
        <v/>
      </c>
      <c r="C718">
        <f>IF($AA718="","",INDEX('Per Line'!$A$2:$A$4001,$AA718)&amp;"")</f>
        <v/>
      </c>
      <c r="D718">
        <f>IF($AA718="","",INDEX('Per Line'!$D$2:$D$4001,$AA718)&amp;"")</f>
        <v/>
      </c>
      <c r="E718" s="11">
        <f>IF($AA718="","",INDEX('Per Line'!$G$2:$G$4001,$AA718))</f>
        <v/>
      </c>
      <c r="F718">
        <f>IF($AA718="","",INDEX('Per Line'!$H$2:$H$4001,$AA718)&amp;"")</f>
        <v/>
      </c>
      <c r="G718">
        <f>IF($AA718="","",INDEX('Per Line'!$I$2:$I$4001,$AA718)&amp;"")</f>
        <v/>
      </c>
      <c r="H718">
        <f>IF($AA718="","",INDEX('Per Line'!$J$2:$J$4001,$AA718)&amp;"")</f>
        <v/>
      </c>
      <c r="I718">
        <f>IF($AA718="","",INDEX('Per Line'!$K$2:$K$4001,$AA718)&amp;"")</f>
        <v/>
      </c>
      <c r="J718">
        <f>IF($AA718="","",INDEX('Per Line'!$L$2:$L$4001,$AA718)&amp;"")</f>
        <v/>
      </c>
      <c r="K718">
        <f>IF($AA718="","",INDEX('Per Line'!$P$2:$P$4001,$AA718))</f>
        <v/>
      </c>
      <c r="L718" s="7">
        <f>IF($AA718="","",IF(AND(ISNUMBER(N718),N718&gt;0,Y718&gt;N718),K718*N718/100+(Y718-N718),K718*Y718/100))</f>
        <v/>
      </c>
      <c r="M718">
        <f>IF($AA718="","",INDEX('Per Line'!$Z$2:$Z$4001,$AA718)&amp;"")</f>
        <v/>
      </c>
      <c r="N718">
        <f>IF($AA718="","",INDEX('Per Line'!$AG$2:$AG$4001,$AA718))</f>
        <v/>
      </c>
      <c r="O718">
        <f>IF($AA718="","",IF(AND(ISNUMBER(N718),N718&gt;0),Y718&gt;N718,FALSE))</f>
        <v/>
      </c>
      <c r="P718" s="7">
        <f>IF($AA718="","",SUMIFS('Per Line'!$Y$2:$Y$4001,'Per Line'!$E$2:$E$4001,$B718,'Per Line'!$AQ$2:$AQ$4001,1))</f>
        <v/>
      </c>
      <c r="Q718">
        <f>IF($AA718="","",Settings!$C$7)</f>
        <v/>
      </c>
      <c r="R718" s="7">
        <f>IF($AA718="","",SUMIFS('Per Line'!$Y$2:$Y$4001,'Per Line'!$E$2:$E$4001,$B718,'Per Line'!$AP$2:$AP$4001,0,'Per Line'!$AQ$2:$AQ$4001,0))</f>
        <v/>
      </c>
      <c r="S718" s="7">
        <f>IF($AA718="","",R718*Q718)</f>
        <v/>
      </c>
      <c r="T718">
        <f>IF($AA718="","",Settings!$C$6)</f>
        <v/>
      </c>
      <c r="U718" s="7">
        <f>IF($AA718="","",SUMIFS('Per Line'!$Y$2:$Y$4001,'Per Line'!$E$2:$E$4001,$B718,'Per Line'!$AP$2:$AP$4001,1,'Per Line'!$AQ$2:$AQ$4001,0))</f>
        <v/>
      </c>
      <c r="V718" s="7">
        <f>IF($AA718="","",U718*T718)</f>
        <v/>
      </c>
      <c r="W718" s="7">
        <f>IF($AA718="","",V718+S718)</f>
        <v/>
      </c>
      <c r="X718" s="7">
        <f>IF($AA718="","",Y718-W718)</f>
        <v/>
      </c>
      <c r="Y718" s="7">
        <f>IF($AA718="","",R718+U718+P718)</f>
        <v/>
      </c>
      <c r="Z718" s="7">
        <f>IF($AA718="","",Y718-W718-L718)</f>
        <v/>
      </c>
      <c r="AA718" s="13">
        <f>IF(ROWS($AA$2:$AA718)&lt;=MAX('Per Line'!$AO$2:$AO$4001),MATCH(ROWS($AA$2:$AA718),'Per Line'!$AO$2:$AO$4001,0),"")</f>
        <v/>
      </c>
      <c r="AB718" s="14">
        <f>IF($AA718="","",L718-K718*Y718/100)</f>
        <v/>
      </c>
    </row>
    <row r="719">
      <c r="A719" s="12" t="n"/>
      <c r="B719">
        <f>IF($AA719="","",INDEX('Per Line'!$E$2:$E$4001,$AA719)&amp;"")</f>
        <v/>
      </c>
      <c r="C719">
        <f>IF($AA719="","",INDEX('Per Line'!$A$2:$A$4001,$AA719)&amp;"")</f>
        <v/>
      </c>
      <c r="D719">
        <f>IF($AA719="","",INDEX('Per Line'!$D$2:$D$4001,$AA719)&amp;"")</f>
        <v/>
      </c>
      <c r="E719" s="11">
        <f>IF($AA719="","",INDEX('Per Line'!$G$2:$G$4001,$AA719))</f>
        <v/>
      </c>
      <c r="F719">
        <f>IF($AA719="","",INDEX('Per Line'!$H$2:$H$4001,$AA719)&amp;"")</f>
        <v/>
      </c>
      <c r="G719">
        <f>IF($AA719="","",INDEX('Per Line'!$I$2:$I$4001,$AA719)&amp;"")</f>
        <v/>
      </c>
      <c r="H719">
        <f>IF($AA719="","",INDEX('Per Line'!$J$2:$J$4001,$AA719)&amp;"")</f>
        <v/>
      </c>
      <c r="I719">
        <f>IF($AA719="","",INDEX('Per Line'!$K$2:$K$4001,$AA719)&amp;"")</f>
        <v/>
      </c>
      <c r="J719">
        <f>IF($AA719="","",INDEX('Per Line'!$L$2:$L$4001,$AA719)&amp;"")</f>
        <v/>
      </c>
      <c r="K719">
        <f>IF($AA719="","",INDEX('Per Line'!$P$2:$P$4001,$AA719))</f>
        <v/>
      </c>
      <c r="L719" s="7">
        <f>IF($AA719="","",IF(AND(ISNUMBER(N719),N719&gt;0,Y719&gt;N719),K719*N719/100+(Y719-N719),K719*Y719/100))</f>
        <v/>
      </c>
      <c r="M719">
        <f>IF($AA719="","",INDEX('Per Line'!$Z$2:$Z$4001,$AA719)&amp;"")</f>
        <v/>
      </c>
      <c r="N719">
        <f>IF($AA719="","",INDEX('Per Line'!$AG$2:$AG$4001,$AA719))</f>
        <v/>
      </c>
      <c r="O719">
        <f>IF($AA719="","",IF(AND(ISNUMBER(N719),N719&gt;0),Y719&gt;N719,FALSE))</f>
        <v/>
      </c>
      <c r="P719" s="7">
        <f>IF($AA719="","",SUMIFS('Per Line'!$Y$2:$Y$4001,'Per Line'!$E$2:$E$4001,$B719,'Per Line'!$AQ$2:$AQ$4001,1))</f>
        <v/>
      </c>
      <c r="Q719">
        <f>IF($AA719="","",Settings!$C$7)</f>
        <v/>
      </c>
      <c r="R719" s="7">
        <f>IF($AA719="","",SUMIFS('Per Line'!$Y$2:$Y$4001,'Per Line'!$E$2:$E$4001,$B719,'Per Line'!$AP$2:$AP$4001,0,'Per Line'!$AQ$2:$AQ$4001,0))</f>
        <v/>
      </c>
      <c r="S719" s="7">
        <f>IF($AA719="","",R719*Q719)</f>
        <v/>
      </c>
      <c r="T719">
        <f>IF($AA719="","",Settings!$C$6)</f>
        <v/>
      </c>
      <c r="U719" s="7">
        <f>IF($AA719="","",SUMIFS('Per Line'!$Y$2:$Y$4001,'Per Line'!$E$2:$E$4001,$B719,'Per Line'!$AP$2:$AP$4001,1,'Per Line'!$AQ$2:$AQ$4001,0))</f>
        <v/>
      </c>
      <c r="V719" s="7">
        <f>IF($AA719="","",U719*T719)</f>
        <v/>
      </c>
      <c r="W719" s="7">
        <f>IF($AA719="","",V719+S719)</f>
        <v/>
      </c>
      <c r="X719" s="7">
        <f>IF($AA719="","",Y719-W719)</f>
        <v/>
      </c>
      <c r="Y719" s="7">
        <f>IF($AA719="","",R719+U719+P719)</f>
        <v/>
      </c>
      <c r="Z719" s="7">
        <f>IF($AA719="","",Y719-W719-L719)</f>
        <v/>
      </c>
      <c r="AA719" s="13">
        <f>IF(ROWS($AA$2:$AA719)&lt;=MAX('Per Line'!$AO$2:$AO$4001),MATCH(ROWS($AA$2:$AA719),'Per Line'!$AO$2:$AO$4001,0),"")</f>
        <v/>
      </c>
      <c r="AB719" s="14">
        <f>IF($AA719="","",L719-K719*Y719/100)</f>
        <v/>
      </c>
    </row>
    <row r="720">
      <c r="A720" s="12" t="n"/>
      <c r="B720">
        <f>IF($AA720="","",INDEX('Per Line'!$E$2:$E$4001,$AA720)&amp;"")</f>
        <v/>
      </c>
      <c r="C720">
        <f>IF($AA720="","",INDEX('Per Line'!$A$2:$A$4001,$AA720)&amp;"")</f>
        <v/>
      </c>
      <c r="D720">
        <f>IF($AA720="","",INDEX('Per Line'!$D$2:$D$4001,$AA720)&amp;"")</f>
        <v/>
      </c>
      <c r="E720" s="11">
        <f>IF($AA720="","",INDEX('Per Line'!$G$2:$G$4001,$AA720))</f>
        <v/>
      </c>
      <c r="F720">
        <f>IF($AA720="","",INDEX('Per Line'!$H$2:$H$4001,$AA720)&amp;"")</f>
        <v/>
      </c>
      <c r="G720">
        <f>IF($AA720="","",INDEX('Per Line'!$I$2:$I$4001,$AA720)&amp;"")</f>
        <v/>
      </c>
      <c r="H720">
        <f>IF($AA720="","",INDEX('Per Line'!$J$2:$J$4001,$AA720)&amp;"")</f>
        <v/>
      </c>
      <c r="I720">
        <f>IF($AA720="","",INDEX('Per Line'!$K$2:$K$4001,$AA720)&amp;"")</f>
        <v/>
      </c>
      <c r="J720">
        <f>IF($AA720="","",INDEX('Per Line'!$L$2:$L$4001,$AA720)&amp;"")</f>
        <v/>
      </c>
      <c r="K720">
        <f>IF($AA720="","",INDEX('Per Line'!$P$2:$P$4001,$AA720))</f>
        <v/>
      </c>
      <c r="L720" s="7">
        <f>IF($AA720="","",IF(AND(ISNUMBER(N720),N720&gt;0,Y720&gt;N720),K720*N720/100+(Y720-N720),K720*Y720/100))</f>
        <v/>
      </c>
      <c r="M720">
        <f>IF($AA720="","",INDEX('Per Line'!$Z$2:$Z$4001,$AA720)&amp;"")</f>
        <v/>
      </c>
      <c r="N720">
        <f>IF($AA720="","",INDEX('Per Line'!$AG$2:$AG$4001,$AA720))</f>
        <v/>
      </c>
      <c r="O720">
        <f>IF($AA720="","",IF(AND(ISNUMBER(N720),N720&gt;0),Y720&gt;N720,FALSE))</f>
        <v/>
      </c>
      <c r="P720" s="7">
        <f>IF($AA720="","",SUMIFS('Per Line'!$Y$2:$Y$4001,'Per Line'!$E$2:$E$4001,$B720,'Per Line'!$AQ$2:$AQ$4001,1))</f>
        <v/>
      </c>
      <c r="Q720">
        <f>IF($AA720="","",Settings!$C$7)</f>
        <v/>
      </c>
      <c r="R720" s="7">
        <f>IF($AA720="","",SUMIFS('Per Line'!$Y$2:$Y$4001,'Per Line'!$E$2:$E$4001,$B720,'Per Line'!$AP$2:$AP$4001,0,'Per Line'!$AQ$2:$AQ$4001,0))</f>
        <v/>
      </c>
      <c r="S720" s="7">
        <f>IF($AA720="","",R720*Q720)</f>
        <v/>
      </c>
      <c r="T720">
        <f>IF($AA720="","",Settings!$C$6)</f>
        <v/>
      </c>
      <c r="U720" s="7">
        <f>IF($AA720="","",SUMIFS('Per Line'!$Y$2:$Y$4001,'Per Line'!$E$2:$E$4001,$B720,'Per Line'!$AP$2:$AP$4001,1,'Per Line'!$AQ$2:$AQ$4001,0))</f>
        <v/>
      </c>
      <c r="V720" s="7">
        <f>IF($AA720="","",U720*T720)</f>
        <v/>
      </c>
      <c r="W720" s="7">
        <f>IF($AA720="","",V720+S720)</f>
        <v/>
      </c>
      <c r="X720" s="7">
        <f>IF($AA720="","",Y720-W720)</f>
        <v/>
      </c>
      <c r="Y720" s="7">
        <f>IF($AA720="","",R720+U720+P720)</f>
        <v/>
      </c>
      <c r="Z720" s="7">
        <f>IF($AA720="","",Y720-W720-L720)</f>
        <v/>
      </c>
      <c r="AA720" s="13">
        <f>IF(ROWS($AA$2:$AA720)&lt;=MAX('Per Line'!$AO$2:$AO$4001),MATCH(ROWS($AA$2:$AA720),'Per Line'!$AO$2:$AO$4001,0),"")</f>
        <v/>
      </c>
      <c r="AB720" s="14">
        <f>IF($AA720="","",L720-K720*Y720/100)</f>
        <v/>
      </c>
    </row>
    <row r="721">
      <c r="A721" s="12" t="n"/>
      <c r="B721">
        <f>IF($AA721="","",INDEX('Per Line'!$E$2:$E$4001,$AA721)&amp;"")</f>
        <v/>
      </c>
      <c r="C721">
        <f>IF($AA721="","",INDEX('Per Line'!$A$2:$A$4001,$AA721)&amp;"")</f>
        <v/>
      </c>
      <c r="D721">
        <f>IF($AA721="","",INDEX('Per Line'!$D$2:$D$4001,$AA721)&amp;"")</f>
        <v/>
      </c>
      <c r="E721" s="11">
        <f>IF($AA721="","",INDEX('Per Line'!$G$2:$G$4001,$AA721))</f>
        <v/>
      </c>
      <c r="F721">
        <f>IF($AA721="","",INDEX('Per Line'!$H$2:$H$4001,$AA721)&amp;"")</f>
        <v/>
      </c>
      <c r="G721">
        <f>IF($AA721="","",INDEX('Per Line'!$I$2:$I$4001,$AA721)&amp;"")</f>
        <v/>
      </c>
      <c r="H721">
        <f>IF($AA721="","",INDEX('Per Line'!$J$2:$J$4001,$AA721)&amp;"")</f>
        <v/>
      </c>
      <c r="I721">
        <f>IF($AA721="","",INDEX('Per Line'!$K$2:$K$4001,$AA721)&amp;"")</f>
        <v/>
      </c>
      <c r="J721">
        <f>IF($AA721="","",INDEX('Per Line'!$L$2:$L$4001,$AA721)&amp;"")</f>
        <v/>
      </c>
      <c r="K721">
        <f>IF($AA721="","",INDEX('Per Line'!$P$2:$P$4001,$AA721))</f>
        <v/>
      </c>
      <c r="L721" s="7">
        <f>IF($AA721="","",IF(AND(ISNUMBER(N721),N721&gt;0,Y721&gt;N721),K721*N721/100+(Y721-N721),K721*Y721/100))</f>
        <v/>
      </c>
      <c r="M721">
        <f>IF($AA721="","",INDEX('Per Line'!$Z$2:$Z$4001,$AA721)&amp;"")</f>
        <v/>
      </c>
      <c r="N721">
        <f>IF($AA721="","",INDEX('Per Line'!$AG$2:$AG$4001,$AA721))</f>
        <v/>
      </c>
      <c r="O721">
        <f>IF($AA721="","",IF(AND(ISNUMBER(N721),N721&gt;0),Y721&gt;N721,FALSE))</f>
        <v/>
      </c>
      <c r="P721" s="7">
        <f>IF($AA721="","",SUMIFS('Per Line'!$Y$2:$Y$4001,'Per Line'!$E$2:$E$4001,$B721,'Per Line'!$AQ$2:$AQ$4001,1))</f>
        <v/>
      </c>
      <c r="Q721">
        <f>IF($AA721="","",Settings!$C$7)</f>
        <v/>
      </c>
      <c r="R721" s="7">
        <f>IF($AA721="","",SUMIFS('Per Line'!$Y$2:$Y$4001,'Per Line'!$E$2:$E$4001,$B721,'Per Line'!$AP$2:$AP$4001,0,'Per Line'!$AQ$2:$AQ$4001,0))</f>
        <v/>
      </c>
      <c r="S721" s="7">
        <f>IF($AA721="","",R721*Q721)</f>
        <v/>
      </c>
      <c r="T721">
        <f>IF($AA721="","",Settings!$C$6)</f>
        <v/>
      </c>
      <c r="U721" s="7">
        <f>IF($AA721="","",SUMIFS('Per Line'!$Y$2:$Y$4001,'Per Line'!$E$2:$E$4001,$B721,'Per Line'!$AP$2:$AP$4001,1,'Per Line'!$AQ$2:$AQ$4001,0))</f>
        <v/>
      </c>
      <c r="V721" s="7">
        <f>IF($AA721="","",U721*T721)</f>
        <v/>
      </c>
      <c r="W721" s="7">
        <f>IF($AA721="","",V721+S721)</f>
        <v/>
      </c>
      <c r="X721" s="7">
        <f>IF($AA721="","",Y721-W721)</f>
        <v/>
      </c>
      <c r="Y721" s="7">
        <f>IF($AA721="","",R721+U721+P721)</f>
        <v/>
      </c>
      <c r="Z721" s="7">
        <f>IF($AA721="","",Y721-W721-L721)</f>
        <v/>
      </c>
      <c r="AA721" s="13">
        <f>IF(ROWS($AA$2:$AA721)&lt;=MAX('Per Line'!$AO$2:$AO$4001),MATCH(ROWS($AA$2:$AA721),'Per Line'!$AO$2:$AO$4001,0),"")</f>
        <v/>
      </c>
      <c r="AB721" s="14">
        <f>IF($AA721="","",L721-K721*Y721/100)</f>
        <v/>
      </c>
    </row>
    <row r="722">
      <c r="A722" s="12" t="n"/>
      <c r="B722">
        <f>IF($AA722="","",INDEX('Per Line'!$E$2:$E$4001,$AA722)&amp;"")</f>
        <v/>
      </c>
      <c r="C722">
        <f>IF($AA722="","",INDEX('Per Line'!$A$2:$A$4001,$AA722)&amp;"")</f>
        <v/>
      </c>
      <c r="D722">
        <f>IF($AA722="","",INDEX('Per Line'!$D$2:$D$4001,$AA722)&amp;"")</f>
        <v/>
      </c>
      <c r="E722" s="11">
        <f>IF($AA722="","",INDEX('Per Line'!$G$2:$G$4001,$AA722))</f>
        <v/>
      </c>
      <c r="F722">
        <f>IF($AA722="","",INDEX('Per Line'!$H$2:$H$4001,$AA722)&amp;"")</f>
        <v/>
      </c>
      <c r="G722">
        <f>IF($AA722="","",INDEX('Per Line'!$I$2:$I$4001,$AA722)&amp;"")</f>
        <v/>
      </c>
      <c r="H722">
        <f>IF($AA722="","",INDEX('Per Line'!$J$2:$J$4001,$AA722)&amp;"")</f>
        <v/>
      </c>
      <c r="I722">
        <f>IF($AA722="","",INDEX('Per Line'!$K$2:$K$4001,$AA722)&amp;"")</f>
        <v/>
      </c>
      <c r="J722">
        <f>IF($AA722="","",INDEX('Per Line'!$L$2:$L$4001,$AA722)&amp;"")</f>
        <v/>
      </c>
      <c r="K722">
        <f>IF($AA722="","",INDEX('Per Line'!$P$2:$P$4001,$AA722))</f>
        <v/>
      </c>
      <c r="L722" s="7">
        <f>IF($AA722="","",IF(AND(ISNUMBER(N722),N722&gt;0,Y722&gt;N722),K722*N722/100+(Y722-N722),K722*Y722/100))</f>
        <v/>
      </c>
      <c r="M722">
        <f>IF($AA722="","",INDEX('Per Line'!$Z$2:$Z$4001,$AA722)&amp;"")</f>
        <v/>
      </c>
      <c r="N722">
        <f>IF($AA722="","",INDEX('Per Line'!$AG$2:$AG$4001,$AA722))</f>
        <v/>
      </c>
      <c r="O722">
        <f>IF($AA722="","",IF(AND(ISNUMBER(N722),N722&gt;0),Y722&gt;N722,FALSE))</f>
        <v/>
      </c>
      <c r="P722" s="7">
        <f>IF($AA722="","",SUMIFS('Per Line'!$Y$2:$Y$4001,'Per Line'!$E$2:$E$4001,$B722,'Per Line'!$AQ$2:$AQ$4001,1))</f>
        <v/>
      </c>
      <c r="Q722">
        <f>IF($AA722="","",Settings!$C$7)</f>
        <v/>
      </c>
      <c r="R722" s="7">
        <f>IF($AA722="","",SUMIFS('Per Line'!$Y$2:$Y$4001,'Per Line'!$E$2:$E$4001,$B722,'Per Line'!$AP$2:$AP$4001,0,'Per Line'!$AQ$2:$AQ$4001,0))</f>
        <v/>
      </c>
      <c r="S722" s="7">
        <f>IF($AA722="","",R722*Q722)</f>
        <v/>
      </c>
      <c r="T722">
        <f>IF($AA722="","",Settings!$C$6)</f>
        <v/>
      </c>
      <c r="U722" s="7">
        <f>IF($AA722="","",SUMIFS('Per Line'!$Y$2:$Y$4001,'Per Line'!$E$2:$E$4001,$B722,'Per Line'!$AP$2:$AP$4001,1,'Per Line'!$AQ$2:$AQ$4001,0))</f>
        <v/>
      </c>
      <c r="V722" s="7">
        <f>IF($AA722="","",U722*T722)</f>
        <v/>
      </c>
      <c r="W722" s="7">
        <f>IF($AA722="","",V722+S722)</f>
        <v/>
      </c>
      <c r="X722" s="7">
        <f>IF($AA722="","",Y722-W722)</f>
        <v/>
      </c>
      <c r="Y722" s="7">
        <f>IF($AA722="","",R722+U722+P722)</f>
        <v/>
      </c>
      <c r="Z722" s="7">
        <f>IF($AA722="","",Y722-W722-L722)</f>
        <v/>
      </c>
      <c r="AA722" s="13">
        <f>IF(ROWS($AA$2:$AA722)&lt;=MAX('Per Line'!$AO$2:$AO$4001),MATCH(ROWS($AA$2:$AA722),'Per Line'!$AO$2:$AO$4001,0),"")</f>
        <v/>
      </c>
      <c r="AB722" s="14">
        <f>IF($AA722="","",L722-K722*Y722/100)</f>
        <v/>
      </c>
    </row>
    <row r="723">
      <c r="A723" s="12" t="n"/>
      <c r="B723">
        <f>IF($AA723="","",INDEX('Per Line'!$E$2:$E$4001,$AA723)&amp;"")</f>
        <v/>
      </c>
      <c r="C723">
        <f>IF($AA723="","",INDEX('Per Line'!$A$2:$A$4001,$AA723)&amp;"")</f>
        <v/>
      </c>
      <c r="D723">
        <f>IF($AA723="","",INDEX('Per Line'!$D$2:$D$4001,$AA723)&amp;"")</f>
        <v/>
      </c>
      <c r="E723" s="11">
        <f>IF($AA723="","",INDEX('Per Line'!$G$2:$G$4001,$AA723))</f>
        <v/>
      </c>
      <c r="F723">
        <f>IF($AA723="","",INDEX('Per Line'!$H$2:$H$4001,$AA723)&amp;"")</f>
        <v/>
      </c>
      <c r="G723">
        <f>IF($AA723="","",INDEX('Per Line'!$I$2:$I$4001,$AA723)&amp;"")</f>
        <v/>
      </c>
      <c r="H723">
        <f>IF($AA723="","",INDEX('Per Line'!$J$2:$J$4001,$AA723)&amp;"")</f>
        <v/>
      </c>
      <c r="I723">
        <f>IF($AA723="","",INDEX('Per Line'!$K$2:$K$4001,$AA723)&amp;"")</f>
        <v/>
      </c>
      <c r="J723">
        <f>IF($AA723="","",INDEX('Per Line'!$L$2:$L$4001,$AA723)&amp;"")</f>
        <v/>
      </c>
      <c r="K723">
        <f>IF($AA723="","",INDEX('Per Line'!$P$2:$P$4001,$AA723))</f>
        <v/>
      </c>
      <c r="L723" s="7">
        <f>IF($AA723="","",IF(AND(ISNUMBER(N723),N723&gt;0,Y723&gt;N723),K723*N723/100+(Y723-N723),K723*Y723/100))</f>
        <v/>
      </c>
      <c r="M723">
        <f>IF($AA723="","",INDEX('Per Line'!$Z$2:$Z$4001,$AA723)&amp;"")</f>
        <v/>
      </c>
      <c r="N723">
        <f>IF($AA723="","",INDEX('Per Line'!$AG$2:$AG$4001,$AA723))</f>
        <v/>
      </c>
      <c r="O723">
        <f>IF($AA723="","",IF(AND(ISNUMBER(N723),N723&gt;0),Y723&gt;N723,FALSE))</f>
        <v/>
      </c>
      <c r="P723" s="7">
        <f>IF($AA723="","",SUMIFS('Per Line'!$Y$2:$Y$4001,'Per Line'!$E$2:$E$4001,$B723,'Per Line'!$AQ$2:$AQ$4001,1))</f>
        <v/>
      </c>
      <c r="Q723">
        <f>IF($AA723="","",Settings!$C$7)</f>
        <v/>
      </c>
      <c r="R723" s="7">
        <f>IF($AA723="","",SUMIFS('Per Line'!$Y$2:$Y$4001,'Per Line'!$E$2:$E$4001,$B723,'Per Line'!$AP$2:$AP$4001,0,'Per Line'!$AQ$2:$AQ$4001,0))</f>
        <v/>
      </c>
      <c r="S723" s="7">
        <f>IF($AA723="","",R723*Q723)</f>
        <v/>
      </c>
      <c r="T723">
        <f>IF($AA723="","",Settings!$C$6)</f>
        <v/>
      </c>
      <c r="U723" s="7">
        <f>IF($AA723="","",SUMIFS('Per Line'!$Y$2:$Y$4001,'Per Line'!$E$2:$E$4001,$B723,'Per Line'!$AP$2:$AP$4001,1,'Per Line'!$AQ$2:$AQ$4001,0))</f>
        <v/>
      </c>
      <c r="V723" s="7">
        <f>IF($AA723="","",U723*T723)</f>
        <v/>
      </c>
      <c r="W723" s="7">
        <f>IF($AA723="","",V723+S723)</f>
        <v/>
      </c>
      <c r="X723" s="7">
        <f>IF($AA723="","",Y723-W723)</f>
        <v/>
      </c>
      <c r="Y723" s="7">
        <f>IF($AA723="","",R723+U723+P723)</f>
        <v/>
      </c>
      <c r="Z723" s="7">
        <f>IF($AA723="","",Y723-W723-L723)</f>
        <v/>
      </c>
      <c r="AA723" s="13">
        <f>IF(ROWS($AA$2:$AA723)&lt;=MAX('Per Line'!$AO$2:$AO$4001),MATCH(ROWS($AA$2:$AA723),'Per Line'!$AO$2:$AO$4001,0),"")</f>
        <v/>
      </c>
      <c r="AB723" s="14">
        <f>IF($AA723="","",L723-K723*Y723/100)</f>
        <v/>
      </c>
    </row>
    <row r="724">
      <c r="A724" s="12" t="n"/>
      <c r="B724">
        <f>IF($AA724="","",INDEX('Per Line'!$E$2:$E$4001,$AA724)&amp;"")</f>
        <v/>
      </c>
      <c r="C724">
        <f>IF($AA724="","",INDEX('Per Line'!$A$2:$A$4001,$AA724)&amp;"")</f>
        <v/>
      </c>
      <c r="D724">
        <f>IF($AA724="","",INDEX('Per Line'!$D$2:$D$4001,$AA724)&amp;"")</f>
        <v/>
      </c>
      <c r="E724" s="11">
        <f>IF($AA724="","",INDEX('Per Line'!$G$2:$G$4001,$AA724))</f>
        <v/>
      </c>
      <c r="F724">
        <f>IF($AA724="","",INDEX('Per Line'!$H$2:$H$4001,$AA724)&amp;"")</f>
        <v/>
      </c>
      <c r="G724">
        <f>IF($AA724="","",INDEX('Per Line'!$I$2:$I$4001,$AA724)&amp;"")</f>
        <v/>
      </c>
      <c r="H724">
        <f>IF($AA724="","",INDEX('Per Line'!$J$2:$J$4001,$AA724)&amp;"")</f>
        <v/>
      </c>
      <c r="I724">
        <f>IF($AA724="","",INDEX('Per Line'!$K$2:$K$4001,$AA724)&amp;"")</f>
        <v/>
      </c>
      <c r="J724">
        <f>IF($AA724="","",INDEX('Per Line'!$L$2:$L$4001,$AA724)&amp;"")</f>
        <v/>
      </c>
      <c r="K724">
        <f>IF($AA724="","",INDEX('Per Line'!$P$2:$P$4001,$AA724))</f>
        <v/>
      </c>
      <c r="L724" s="7">
        <f>IF($AA724="","",IF(AND(ISNUMBER(N724),N724&gt;0,Y724&gt;N724),K724*N724/100+(Y724-N724),K724*Y724/100))</f>
        <v/>
      </c>
      <c r="M724">
        <f>IF($AA724="","",INDEX('Per Line'!$Z$2:$Z$4001,$AA724)&amp;"")</f>
        <v/>
      </c>
      <c r="N724">
        <f>IF($AA724="","",INDEX('Per Line'!$AG$2:$AG$4001,$AA724))</f>
        <v/>
      </c>
      <c r="O724">
        <f>IF($AA724="","",IF(AND(ISNUMBER(N724),N724&gt;0),Y724&gt;N724,FALSE))</f>
        <v/>
      </c>
      <c r="P724" s="7">
        <f>IF($AA724="","",SUMIFS('Per Line'!$Y$2:$Y$4001,'Per Line'!$E$2:$E$4001,$B724,'Per Line'!$AQ$2:$AQ$4001,1))</f>
        <v/>
      </c>
      <c r="Q724">
        <f>IF($AA724="","",Settings!$C$7)</f>
        <v/>
      </c>
      <c r="R724" s="7">
        <f>IF($AA724="","",SUMIFS('Per Line'!$Y$2:$Y$4001,'Per Line'!$E$2:$E$4001,$B724,'Per Line'!$AP$2:$AP$4001,0,'Per Line'!$AQ$2:$AQ$4001,0))</f>
        <v/>
      </c>
      <c r="S724" s="7">
        <f>IF($AA724="","",R724*Q724)</f>
        <v/>
      </c>
      <c r="T724">
        <f>IF($AA724="","",Settings!$C$6)</f>
        <v/>
      </c>
      <c r="U724" s="7">
        <f>IF($AA724="","",SUMIFS('Per Line'!$Y$2:$Y$4001,'Per Line'!$E$2:$E$4001,$B724,'Per Line'!$AP$2:$AP$4001,1,'Per Line'!$AQ$2:$AQ$4001,0))</f>
        <v/>
      </c>
      <c r="V724" s="7">
        <f>IF($AA724="","",U724*T724)</f>
        <v/>
      </c>
      <c r="W724" s="7">
        <f>IF($AA724="","",V724+S724)</f>
        <v/>
      </c>
      <c r="X724" s="7">
        <f>IF($AA724="","",Y724-W724)</f>
        <v/>
      </c>
      <c r="Y724" s="7">
        <f>IF($AA724="","",R724+U724+P724)</f>
        <v/>
      </c>
      <c r="Z724" s="7">
        <f>IF($AA724="","",Y724-W724-L724)</f>
        <v/>
      </c>
      <c r="AA724" s="13">
        <f>IF(ROWS($AA$2:$AA724)&lt;=MAX('Per Line'!$AO$2:$AO$4001),MATCH(ROWS($AA$2:$AA724),'Per Line'!$AO$2:$AO$4001,0),"")</f>
        <v/>
      </c>
      <c r="AB724" s="14">
        <f>IF($AA724="","",L724-K724*Y724/100)</f>
        <v/>
      </c>
    </row>
    <row r="725">
      <c r="A725" s="12" t="n"/>
      <c r="B725">
        <f>IF($AA725="","",INDEX('Per Line'!$E$2:$E$4001,$AA725)&amp;"")</f>
        <v/>
      </c>
      <c r="C725">
        <f>IF($AA725="","",INDEX('Per Line'!$A$2:$A$4001,$AA725)&amp;"")</f>
        <v/>
      </c>
      <c r="D725">
        <f>IF($AA725="","",INDEX('Per Line'!$D$2:$D$4001,$AA725)&amp;"")</f>
        <v/>
      </c>
      <c r="E725" s="11">
        <f>IF($AA725="","",INDEX('Per Line'!$G$2:$G$4001,$AA725))</f>
        <v/>
      </c>
      <c r="F725">
        <f>IF($AA725="","",INDEX('Per Line'!$H$2:$H$4001,$AA725)&amp;"")</f>
        <v/>
      </c>
      <c r="G725">
        <f>IF($AA725="","",INDEX('Per Line'!$I$2:$I$4001,$AA725)&amp;"")</f>
        <v/>
      </c>
      <c r="H725">
        <f>IF($AA725="","",INDEX('Per Line'!$J$2:$J$4001,$AA725)&amp;"")</f>
        <v/>
      </c>
      <c r="I725">
        <f>IF($AA725="","",INDEX('Per Line'!$K$2:$K$4001,$AA725)&amp;"")</f>
        <v/>
      </c>
      <c r="J725">
        <f>IF($AA725="","",INDEX('Per Line'!$L$2:$L$4001,$AA725)&amp;"")</f>
        <v/>
      </c>
      <c r="K725">
        <f>IF($AA725="","",INDEX('Per Line'!$P$2:$P$4001,$AA725))</f>
        <v/>
      </c>
      <c r="L725" s="7">
        <f>IF($AA725="","",IF(AND(ISNUMBER(N725),N725&gt;0,Y725&gt;N725),K725*N725/100+(Y725-N725),K725*Y725/100))</f>
        <v/>
      </c>
      <c r="M725">
        <f>IF($AA725="","",INDEX('Per Line'!$Z$2:$Z$4001,$AA725)&amp;"")</f>
        <v/>
      </c>
      <c r="N725">
        <f>IF($AA725="","",INDEX('Per Line'!$AG$2:$AG$4001,$AA725))</f>
        <v/>
      </c>
      <c r="O725">
        <f>IF($AA725="","",IF(AND(ISNUMBER(N725),N725&gt;0),Y725&gt;N725,FALSE))</f>
        <v/>
      </c>
      <c r="P725" s="7">
        <f>IF($AA725="","",SUMIFS('Per Line'!$Y$2:$Y$4001,'Per Line'!$E$2:$E$4001,$B725,'Per Line'!$AQ$2:$AQ$4001,1))</f>
        <v/>
      </c>
      <c r="Q725">
        <f>IF($AA725="","",Settings!$C$7)</f>
        <v/>
      </c>
      <c r="R725" s="7">
        <f>IF($AA725="","",SUMIFS('Per Line'!$Y$2:$Y$4001,'Per Line'!$E$2:$E$4001,$B725,'Per Line'!$AP$2:$AP$4001,0,'Per Line'!$AQ$2:$AQ$4001,0))</f>
        <v/>
      </c>
      <c r="S725" s="7">
        <f>IF($AA725="","",R725*Q725)</f>
        <v/>
      </c>
      <c r="T725">
        <f>IF($AA725="","",Settings!$C$6)</f>
        <v/>
      </c>
      <c r="U725" s="7">
        <f>IF($AA725="","",SUMIFS('Per Line'!$Y$2:$Y$4001,'Per Line'!$E$2:$E$4001,$B725,'Per Line'!$AP$2:$AP$4001,1,'Per Line'!$AQ$2:$AQ$4001,0))</f>
        <v/>
      </c>
      <c r="V725" s="7">
        <f>IF($AA725="","",U725*T725)</f>
        <v/>
      </c>
      <c r="W725" s="7">
        <f>IF($AA725="","",V725+S725)</f>
        <v/>
      </c>
      <c r="X725" s="7">
        <f>IF($AA725="","",Y725-W725)</f>
        <v/>
      </c>
      <c r="Y725" s="7">
        <f>IF($AA725="","",R725+U725+P725)</f>
        <v/>
      </c>
      <c r="Z725" s="7">
        <f>IF($AA725="","",Y725-W725-L725)</f>
        <v/>
      </c>
      <c r="AA725" s="13">
        <f>IF(ROWS($AA$2:$AA725)&lt;=MAX('Per Line'!$AO$2:$AO$4001),MATCH(ROWS($AA$2:$AA725),'Per Line'!$AO$2:$AO$4001,0),"")</f>
        <v/>
      </c>
      <c r="AB725" s="14">
        <f>IF($AA725="","",L725-K725*Y725/100)</f>
        <v/>
      </c>
    </row>
    <row r="726">
      <c r="A726" s="12" t="n"/>
      <c r="B726">
        <f>IF($AA726="","",INDEX('Per Line'!$E$2:$E$4001,$AA726)&amp;"")</f>
        <v/>
      </c>
      <c r="C726">
        <f>IF($AA726="","",INDEX('Per Line'!$A$2:$A$4001,$AA726)&amp;"")</f>
        <v/>
      </c>
      <c r="D726">
        <f>IF($AA726="","",INDEX('Per Line'!$D$2:$D$4001,$AA726)&amp;"")</f>
        <v/>
      </c>
      <c r="E726" s="11">
        <f>IF($AA726="","",INDEX('Per Line'!$G$2:$G$4001,$AA726))</f>
        <v/>
      </c>
      <c r="F726">
        <f>IF($AA726="","",INDEX('Per Line'!$H$2:$H$4001,$AA726)&amp;"")</f>
        <v/>
      </c>
      <c r="G726">
        <f>IF($AA726="","",INDEX('Per Line'!$I$2:$I$4001,$AA726)&amp;"")</f>
        <v/>
      </c>
      <c r="H726">
        <f>IF($AA726="","",INDEX('Per Line'!$J$2:$J$4001,$AA726)&amp;"")</f>
        <v/>
      </c>
      <c r="I726">
        <f>IF($AA726="","",INDEX('Per Line'!$K$2:$K$4001,$AA726)&amp;"")</f>
        <v/>
      </c>
      <c r="J726">
        <f>IF($AA726="","",INDEX('Per Line'!$L$2:$L$4001,$AA726)&amp;"")</f>
        <v/>
      </c>
      <c r="K726">
        <f>IF($AA726="","",INDEX('Per Line'!$P$2:$P$4001,$AA726))</f>
        <v/>
      </c>
      <c r="L726" s="7">
        <f>IF($AA726="","",IF(AND(ISNUMBER(N726),N726&gt;0,Y726&gt;N726),K726*N726/100+(Y726-N726),K726*Y726/100))</f>
        <v/>
      </c>
      <c r="M726">
        <f>IF($AA726="","",INDEX('Per Line'!$Z$2:$Z$4001,$AA726)&amp;"")</f>
        <v/>
      </c>
      <c r="N726">
        <f>IF($AA726="","",INDEX('Per Line'!$AG$2:$AG$4001,$AA726))</f>
        <v/>
      </c>
      <c r="O726">
        <f>IF($AA726="","",IF(AND(ISNUMBER(N726),N726&gt;0),Y726&gt;N726,FALSE))</f>
        <v/>
      </c>
      <c r="P726" s="7">
        <f>IF($AA726="","",SUMIFS('Per Line'!$Y$2:$Y$4001,'Per Line'!$E$2:$E$4001,$B726,'Per Line'!$AQ$2:$AQ$4001,1))</f>
        <v/>
      </c>
      <c r="Q726">
        <f>IF($AA726="","",Settings!$C$7)</f>
        <v/>
      </c>
      <c r="R726" s="7">
        <f>IF($AA726="","",SUMIFS('Per Line'!$Y$2:$Y$4001,'Per Line'!$E$2:$E$4001,$B726,'Per Line'!$AP$2:$AP$4001,0,'Per Line'!$AQ$2:$AQ$4001,0))</f>
        <v/>
      </c>
      <c r="S726" s="7">
        <f>IF($AA726="","",R726*Q726)</f>
        <v/>
      </c>
      <c r="T726">
        <f>IF($AA726="","",Settings!$C$6)</f>
        <v/>
      </c>
      <c r="U726" s="7">
        <f>IF($AA726="","",SUMIFS('Per Line'!$Y$2:$Y$4001,'Per Line'!$E$2:$E$4001,$B726,'Per Line'!$AP$2:$AP$4001,1,'Per Line'!$AQ$2:$AQ$4001,0))</f>
        <v/>
      </c>
      <c r="V726" s="7">
        <f>IF($AA726="","",U726*T726)</f>
        <v/>
      </c>
      <c r="W726" s="7">
        <f>IF($AA726="","",V726+S726)</f>
        <v/>
      </c>
      <c r="X726" s="7">
        <f>IF($AA726="","",Y726-W726)</f>
        <v/>
      </c>
      <c r="Y726" s="7">
        <f>IF($AA726="","",R726+U726+P726)</f>
        <v/>
      </c>
      <c r="Z726" s="7">
        <f>IF($AA726="","",Y726-W726-L726)</f>
        <v/>
      </c>
      <c r="AA726" s="13">
        <f>IF(ROWS($AA$2:$AA726)&lt;=MAX('Per Line'!$AO$2:$AO$4001),MATCH(ROWS($AA$2:$AA726),'Per Line'!$AO$2:$AO$4001,0),"")</f>
        <v/>
      </c>
      <c r="AB726" s="14">
        <f>IF($AA726="","",L726-K726*Y726/100)</f>
        <v/>
      </c>
    </row>
    <row r="727">
      <c r="A727" s="12" t="n"/>
      <c r="B727">
        <f>IF($AA727="","",INDEX('Per Line'!$E$2:$E$4001,$AA727)&amp;"")</f>
        <v/>
      </c>
      <c r="C727">
        <f>IF($AA727="","",INDEX('Per Line'!$A$2:$A$4001,$AA727)&amp;"")</f>
        <v/>
      </c>
      <c r="D727">
        <f>IF($AA727="","",INDEX('Per Line'!$D$2:$D$4001,$AA727)&amp;"")</f>
        <v/>
      </c>
      <c r="E727" s="11">
        <f>IF($AA727="","",INDEX('Per Line'!$G$2:$G$4001,$AA727))</f>
        <v/>
      </c>
      <c r="F727">
        <f>IF($AA727="","",INDEX('Per Line'!$H$2:$H$4001,$AA727)&amp;"")</f>
        <v/>
      </c>
      <c r="G727">
        <f>IF($AA727="","",INDEX('Per Line'!$I$2:$I$4001,$AA727)&amp;"")</f>
        <v/>
      </c>
      <c r="H727">
        <f>IF($AA727="","",INDEX('Per Line'!$J$2:$J$4001,$AA727)&amp;"")</f>
        <v/>
      </c>
      <c r="I727">
        <f>IF($AA727="","",INDEX('Per Line'!$K$2:$K$4001,$AA727)&amp;"")</f>
        <v/>
      </c>
      <c r="J727">
        <f>IF($AA727="","",INDEX('Per Line'!$L$2:$L$4001,$AA727)&amp;"")</f>
        <v/>
      </c>
      <c r="K727">
        <f>IF($AA727="","",INDEX('Per Line'!$P$2:$P$4001,$AA727))</f>
        <v/>
      </c>
      <c r="L727" s="7">
        <f>IF($AA727="","",IF(AND(ISNUMBER(N727),N727&gt;0,Y727&gt;N727),K727*N727/100+(Y727-N727),K727*Y727/100))</f>
        <v/>
      </c>
      <c r="M727">
        <f>IF($AA727="","",INDEX('Per Line'!$Z$2:$Z$4001,$AA727)&amp;"")</f>
        <v/>
      </c>
      <c r="N727">
        <f>IF($AA727="","",INDEX('Per Line'!$AG$2:$AG$4001,$AA727))</f>
        <v/>
      </c>
      <c r="O727">
        <f>IF($AA727="","",IF(AND(ISNUMBER(N727),N727&gt;0),Y727&gt;N727,FALSE))</f>
        <v/>
      </c>
      <c r="P727" s="7">
        <f>IF($AA727="","",SUMIFS('Per Line'!$Y$2:$Y$4001,'Per Line'!$E$2:$E$4001,$B727,'Per Line'!$AQ$2:$AQ$4001,1))</f>
        <v/>
      </c>
      <c r="Q727">
        <f>IF($AA727="","",Settings!$C$7)</f>
        <v/>
      </c>
      <c r="R727" s="7">
        <f>IF($AA727="","",SUMIFS('Per Line'!$Y$2:$Y$4001,'Per Line'!$E$2:$E$4001,$B727,'Per Line'!$AP$2:$AP$4001,0,'Per Line'!$AQ$2:$AQ$4001,0))</f>
        <v/>
      </c>
      <c r="S727" s="7">
        <f>IF($AA727="","",R727*Q727)</f>
        <v/>
      </c>
      <c r="T727">
        <f>IF($AA727="","",Settings!$C$6)</f>
        <v/>
      </c>
      <c r="U727" s="7">
        <f>IF($AA727="","",SUMIFS('Per Line'!$Y$2:$Y$4001,'Per Line'!$E$2:$E$4001,$B727,'Per Line'!$AP$2:$AP$4001,1,'Per Line'!$AQ$2:$AQ$4001,0))</f>
        <v/>
      </c>
      <c r="V727" s="7">
        <f>IF($AA727="","",U727*T727)</f>
        <v/>
      </c>
      <c r="W727" s="7">
        <f>IF($AA727="","",V727+S727)</f>
        <v/>
      </c>
      <c r="X727" s="7">
        <f>IF($AA727="","",Y727-W727)</f>
        <v/>
      </c>
      <c r="Y727" s="7">
        <f>IF($AA727="","",R727+U727+P727)</f>
        <v/>
      </c>
      <c r="Z727" s="7">
        <f>IF($AA727="","",Y727-W727-L727)</f>
        <v/>
      </c>
      <c r="AA727" s="13">
        <f>IF(ROWS($AA$2:$AA727)&lt;=MAX('Per Line'!$AO$2:$AO$4001),MATCH(ROWS($AA$2:$AA727),'Per Line'!$AO$2:$AO$4001,0),"")</f>
        <v/>
      </c>
      <c r="AB727" s="14">
        <f>IF($AA727="","",L727-K727*Y727/100)</f>
        <v/>
      </c>
    </row>
    <row r="728">
      <c r="A728" s="12" t="n"/>
      <c r="B728">
        <f>IF($AA728="","",INDEX('Per Line'!$E$2:$E$4001,$AA728)&amp;"")</f>
        <v/>
      </c>
      <c r="C728">
        <f>IF($AA728="","",INDEX('Per Line'!$A$2:$A$4001,$AA728)&amp;"")</f>
        <v/>
      </c>
      <c r="D728">
        <f>IF($AA728="","",INDEX('Per Line'!$D$2:$D$4001,$AA728)&amp;"")</f>
        <v/>
      </c>
      <c r="E728" s="11">
        <f>IF($AA728="","",INDEX('Per Line'!$G$2:$G$4001,$AA728))</f>
        <v/>
      </c>
      <c r="F728">
        <f>IF($AA728="","",INDEX('Per Line'!$H$2:$H$4001,$AA728)&amp;"")</f>
        <v/>
      </c>
      <c r="G728">
        <f>IF($AA728="","",INDEX('Per Line'!$I$2:$I$4001,$AA728)&amp;"")</f>
        <v/>
      </c>
      <c r="H728">
        <f>IF($AA728="","",INDEX('Per Line'!$J$2:$J$4001,$AA728)&amp;"")</f>
        <v/>
      </c>
      <c r="I728">
        <f>IF($AA728="","",INDEX('Per Line'!$K$2:$K$4001,$AA728)&amp;"")</f>
        <v/>
      </c>
      <c r="J728">
        <f>IF($AA728="","",INDEX('Per Line'!$L$2:$L$4001,$AA728)&amp;"")</f>
        <v/>
      </c>
      <c r="K728">
        <f>IF($AA728="","",INDEX('Per Line'!$P$2:$P$4001,$AA728))</f>
        <v/>
      </c>
      <c r="L728" s="7">
        <f>IF($AA728="","",IF(AND(ISNUMBER(N728),N728&gt;0,Y728&gt;N728),K728*N728/100+(Y728-N728),K728*Y728/100))</f>
        <v/>
      </c>
      <c r="M728">
        <f>IF($AA728="","",INDEX('Per Line'!$Z$2:$Z$4001,$AA728)&amp;"")</f>
        <v/>
      </c>
      <c r="N728">
        <f>IF($AA728="","",INDEX('Per Line'!$AG$2:$AG$4001,$AA728))</f>
        <v/>
      </c>
      <c r="O728">
        <f>IF($AA728="","",IF(AND(ISNUMBER(N728),N728&gt;0),Y728&gt;N728,FALSE))</f>
        <v/>
      </c>
      <c r="P728" s="7">
        <f>IF($AA728="","",SUMIFS('Per Line'!$Y$2:$Y$4001,'Per Line'!$E$2:$E$4001,$B728,'Per Line'!$AQ$2:$AQ$4001,1))</f>
        <v/>
      </c>
      <c r="Q728">
        <f>IF($AA728="","",Settings!$C$7)</f>
        <v/>
      </c>
      <c r="R728" s="7">
        <f>IF($AA728="","",SUMIFS('Per Line'!$Y$2:$Y$4001,'Per Line'!$E$2:$E$4001,$B728,'Per Line'!$AP$2:$AP$4001,0,'Per Line'!$AQ$2:$AQ$4001,0))</f>
        <v/>
      </c>
      <c r="S728" s="7">
        <f>IF($AA728="","",R728*Q728)</f>
        <v/>
      </c>
      <c r="T728">
        <f>IF($AA728="","",Settings!$C$6)</f>
        <v/>
      </c>
      <c r="U728" s="7">
        <f>IF($AA728="","",SUMIFS('Per Line'!$Y$2:$Y$4001,'Per Line'!$E$2:$E$4001,$B728,'Per Line'!$AP$2:$AP$4001,1,'Per Line'!$AQ$2:$AQ$4001,0))</f>
        <v/>
      </c>
      <c r="V728" s="7">
        <f>IF($AA728="","",U728*T728)</f>
        <v/>
      </c>
      <c r="W728" s="7">
        <f>IF($AA728="","",V728+S728)</f>
        <v/>
      </c>
      <c r="X728" s="7">
        <f>IF($AA728="","",Y728-W728)</f>
        <v/>
      </c>
      <c r="Y728" s="7">
        <f>IF($AA728="","",R728+U728+P728)</f>
        <v/>
      </c>
      <c r="Z728" s="7">
        <f>IF($AA728="","",Y728-W728-L728)</f>
        <v/>
      </c>
      <c r="AA728" s="13">
        <f>IF(ROWS($AA$2:$AA728)&lt;=MAX('Per Line'!$AO$2:$AO$4001),MATCH(ROWS($AA$2:$AA728),'Per Line'!$AO$2:$AO$4001,0),"")</f>
        <v/>
      </c>
      <c r="AB728" s="14">
        <f>IF($AA728="","",L728-K728*Y728/100)</f>
        <v/>
      </c>
    </row>
    <row r="729">
      <c r="A729" s="12" t="n"/>
      <c r="B729">
        <f>IF($AA729="","",INDEX('Per Line'!$E$2:$E$4001,$AA729)&amp;"")</f>
        <v/>
      </c>
      <c r="C729">
        <f>IF($AA729="","",INDEX('Per Line'!$A$2:$A$4001,$AA729)&amp;"")</f>
        <v/>
      </c>
      <c r="D729">
        <f>IF($AA729="","",INDEX('Per Line'!$D$2:$D$4001,$AA729)&amp;"")</f>
        <v/>
      </c>
      <c r="E729" s="11">
        <f>IF($AA729="","",INDEX('Per Line'!$G$2:$G$4001,$AA729))</f>
        <v/>
      </c>
      <c r="F729">
        <f>IF($AA729="","",INDEX('Per Line'!$H$2:$H$4001,$AA729)&amp;"")</f>
        <v/>
      </c>
      <c r="G729">
        <f>IF($AA729="","",INDEX('Per Line'!$I$2:$I$4001,$AA729)&amp;"")</f>
        <v/>
      </c>
      <c r="H729">
        <f>IF($AA729="","",INDEX('Per Line'!$J$2:$J$4001,$AA729)&amp;"")</f>
        <v/>
      </c>
      <c r="I729">
        <f>IF($AA729="","",INDEX('Per Line'!$K$2:$K$4001,$AA729)&amp;"")</f>
        <v/>
      </c>
      <c r="J729">
        <f>IF($AA729="","",INDEX('Per Line'!$L$2:$L$4001,$AA729)&amp;"")</f>
        <v/>
      </c>
      <c r="K729">
        <f>IF($AA729="","",INDEX('Per Line'!$P$2:$P$4001,$AA729))</f>
        <v/>
      </c>
      <c r="L729" s="7">
        <f>IF($AA729="","",IF(AND(ISNUMBER(N729),N729&gt;0,Y729&gt;N729),K729*N729/100+(Y729-N729),K729*Y729/100))</f>
        <v/>
      </c>
      <c r="M729">
        <f>IF($AA729="","",INDEX('Per Line'!$Z$2:$Z$4001,$AA729)&amp;"")</f>
        <v/>
      </c>
      <c r="N729">
        <f>IF($AA729="","",INDEX('Per Line'!$AG$2:$AG$4001,$AA729))</f>
        <v/>
      </c>
      <c r="O729">
        <f>IF($AA729="","",IF(AND(ISNUMBER(N729),N729&gt;0),Y729&gt;N729,FALSE))</f>
        <v/>
      </c>
      <c r="P729" s="7">
        <f>IF($AA729="","",SUMIFS('Per Line'!$Y$2:$Y$4001,'Per Line'!$E$2:$E$4001,$B729,'Per Line'!$AQ$2:$AQ$4001,1))</f>
        <v/>
      </c>
      <c r="Q729">
        <f>IF($AA729="","",Settings!$C$7)</f>
        <v/>
      </c>
      <c r="R729" s="7">
        <f>IF($AA729="","",SUMIFS('Per Line'!$Y$2:$Y$4001,'Per Line'!$E$2:$E$4001,$B729,'Per Line'!$AP$2:$AP$4001,0,'Per Line'!$AQ$2:$AQ$4001,0))</f>
        <v/>
      </c>
      <c r="S729" s="7">
        <f>IF($AA729="","",R729*Q729)</f>
        <v/>
      </c>
      <c r="T729">
        <f>IF($AA729="","",Settings!$C$6)</f>
        <v/>
      </c>
      <c r="U729" s="7">
        <f>IF($AA729="","",SUMIFS('Per Line'!$Y$2:$Y$4001,'Per Line'!$E$2:$E$4001,$B729,'Per Line'!$AP$2:$AP$4001,1,'Per Line'!$AQ$2:$AQ$4001,0))</f>
        <v/>
      </c>
      <c r="V729" s="7">
        <f>IF($AA729="","",U729*T729)</f>
        <v/>
      </c>
      <c r="W729" s="7">
        <f>IF($AA729="","",V729+S729)</f>
        <v/>
      </c>
      <c r="X729" s="7">
        <f>IF($AA729="","",Y729-W729)</f>
        <v/>
      </c>
      <c r="Y729" s="7">
        <f>IF($AA729="","",R729+U729+P729)</f>
        <v/>
      </c>
      <c r="Z729" s="7">
        <f>IF($AA729="","",Y729-W729-L729)</f>
        <v/>
      </c>
      <c r="AA729" s="13">
        <f>IF(ROWS($AA$2:$AA729)&lt;=MAX('Per Line'!$AO$2:$AO$4001),MATCH(ROWS($AA$2:$AA729),'Per Line'!$AO$2:$AO$4001,0),"")</f>
        <v/>
      </c>
      <c r="AB729" s="14">
        <f>IF($AA729="","",L729-K729*Y729/100)</f>
        <v/>
      </c>
    </row>
    <row r="730">
      <c r="A730" s="12" t="n"/>
      <c r="B730">
        <f>IF($AA730="","",INDEX('Per Line'!$E$2:$E$4001,$AA730)&amp;"")</f>
        <v/>
      </c>
      <c r="C730">
        <f>IF($AA730="","",INDEX('Per Line'!$A$2:$A$4001,$AA730)&amp;"")</f>
        <v/>
      </c>
      <c r="D730">
        <f>IF($AA730="","",INDEX('Per Line'!$D$2:$D$4001,$AA730)&amp;"")</f>
        <v/>
      </c>
      <c r="E730" s="11">
        <f>IF($AA730="","",INDEX('Per Line'!$G$2:$G$4001,$AA730))</f>
        <v/>
      </c>
      <c r="F730">
        <f>IF($AA730="","",INDEX('Per Line'!$H$2:$H$4001,$AA730)&amp;"")</f>
        <v/>
      </c>
      <c r="G730">
        <f>IF($AA730="","",INDEX('Per Line'!$I$2:$I$4001,$AA730)&amp;"")</f>
        <v/>
      </c>
      <c r="H730">
        <f>IF($AA730="","",INDEX('Per Line'!$J$2:$J$4001,$AA730)&amp;"")</f>
        <v/>
      </c>
      <c r="I730">
        <f>IF($AA730="","",INDEX('Per Line'!$K$2:$K$4001,$AA730)&amp;"")</f>
        <v/>
      </c>
      <c r="J730">
        <f>IF($AA730="","",INDEX('Per Line'!$L$2:$L$4001,$AA730)&amp;"")</f>
        <v/>
      </c>
      <c r="K730">
        <f>IF($AA730="","",INDEX('Per Line'!$P$2:$P$4001,$AA730))</f>
        <v/>
      </c>
      <c r="L730" s="7">
        <f>IF($AA730="","",IF(AND(ISNUMBER(N730),N730&gt;0,Y730&gt;N730),K730*N730/100+(Y730-N730),K730*Y730/100))</f>
        <v/>
      </c>
      <c r="M730">
        <f>IF($AA730="","",INDEX('Per Line'!$Z$2:$Z$4001,$AA730)&amp;"")</f>
        <v/>
      </c>
      <c r="N730">
        <f>IF($AA730="","",INDEX('Per Line'!$AG$2:$AG$4001,$AA730))</f>
        <v/>
      </c>
      <c r="O730">
        <f>IF($AA730="","",IF(AND(ISNUMBER(N730),N730&gt;0),Y730&gt;N730,FALSE))</f>
        <v/>
      </c>
      <c r="P730" s="7">
        <f>IF($AA730="","",SUMIFS('Per Line'!$Y$2:$Y$4001,'Per Line'!$E$2:$E$4001,$B730,'Per Line'!$AQ$2:$AQ$4001,1))</f>
        <v/>
      </c>
      <c r="Q730">
        <f>IF($AA730="","",Settings!$C$7)</f>
        <v/>
      </c>
      <c r="R730" s="7">
        <f>IF($AA730="","",SUMIFS('Per Line'!$Y$2:$Y$4001,'Per Line'!$E$2:$E$4001,$B730,'Per Line'!$AP$2:$AP$4001,0,'Per Line'!$AQ$2:$AQ$4001,0))</f>
        <v/>
      </c>
      <c r="S730" s="7">
        <f>IF($AA730="","",R730*Q730)</f>
        <v/>
      </c>
      <c r="T730">
        <f>IF($AA730="","",Settings!$C$6)</f>
        <v/>
      </c>
      <c r="U730" s="7">
        <f>IF($AA730="","",SUMIFS('Per Line'!$Y$2:$Y$4001,'Per Line'!$E$2:$E$4001,$B730,'Per Line'!$AP$2:$AP$4001,1,'Per Line'!$AQ$2:$AQ$4001,0))</f>
        <v/>
      </c>
      <c r="V730" s="7">
        <f>IF($AA730="","",U730*T730)</f>
        <v/>
      </c>
      <c r="W730" s="7">
        <f>IF($AA730="","",V730+S730)</f>
        <v/>
      </c>
      <c r="X730" s="7">
        <f>IF($AA730="","",Y730-W730)</f>
        <v/>
      </c>
      <c r="Y730" s="7">
        <f>IF($AA730="","",R730+U730+P730)</f>
        <v/>
      </c>
      <c r="Z730" s="7">
        <f>IF($AA730="","",Y730-W730-L730)</f>
        <v/>
      </c>
      <c r="AA730" s="13">
        <f>IF(ROWS($AA$2:$AA730)&lt;=MAX('Per Line'!$AO$2:$AO$4001),MATCH(ROWS($AA$2:$AA730),'Per Line'!$AO$2:$AO$4001,0),"")</f>
        <v/>
      </c>
      <c r="AB730" s="14">
        <f>IF($AA730="","",L730-K730*Y730/100)</f>
        <v/>
      </c>
    </row>
    <row r="731">
      <c r="A731" s="12" t="n"/>
      <c r="B731">
        <f>IF($AA731="","",INDEX('Per Line'!$E$2:$E$4001,$AA731)&amp;"")</f>
        <v/>
      </c>
      <c r="C731">
        <f>IF($AA731="","",INDEX('Per Line'!$A$2:$A$4001,$AA731)&amp;"")</f>
        <v/>
      </c>
      <c r="D731">
        <f>IF($AA731="","",INDEX('Per Line'!$D$2:$D$4001,$AA731)&amp;"")</f>
        <v/>
      </c>
      <c r="E731" s="11">
        <f>IF($AA731="","",INDEX('Per Line'!$G$2:$G$4001,$AA731))</f>
        <v/>
      </c>
      <c r="F731">
        <f>IF($AA731="","",INDEX('Per Line'!$H$2:$H$4001,$AA731)&amp;"")</f>
        <v/>
      </c>
      <c r="G731">
        <f>IF($AA731="","",INDEX('Per Line'!$I$2:$I$4001,$AA731)&amp;"")</f>
        <v/>
      </c>
      <c r="H731">
        <f>IF($AA731="","",INDEX('Per Line'!$J$2:$J$4001,$AA731)&amp;"")</f>
        <v/>
      </c>
      <c r="I731">
        <f>IF($AA731="","",INDEX('Per Line'!$K$2:$K$4001,$AA731)&amp;"")</f>
        <v/>
      </c>
      <c r="J731">
        <f>IF($AA731="","",INDEX('Per Line'!$L$2:$L$4001,$AA731)&amp;"")</f>
        <v/>
      </c>
      <c r="K731">
        <f>IF($AA731="","",INDEX('Per Line'!$P$2:$P$4001,$AA731))</f>
        <v/>
      </c>
      <c r="L731" s="7">
        <f>IF($AA731="","",IF(AND(ISNUMBER(N731),N731&gt;0,Y731&gt;N731),K731*N731/100+(Y731-N731),K731*Y731/100))</f>
        <v/>
      </c>
      <c r="M731">
        <f>IF($AA731="","",INDEX('Per Line'!$Z$2:$Z$4001,$AA731)&amp;"")</f>
        <v/>
      </c>
      <c r="N731">
        <f>IF($AA731="","",INDEX('Per Line'!$AG$2:$AG$4001,$AA731))</f>
        <v/>
      </c>
      <c r="O731">
        <f>IF($AA731="","",IF(AND(ISNUMBER(N731),N731&gt;0),Y731&gt;N731,FALSE))</f>
        <v/>
      </c>
      <c r="P731" s="7">
        <f>IF($AA731="","",SUMIFS('Per Line'!$Y$2:$Y$4001,'Per Line'!$E$2:$E$4001,$B731,'Per Line'!$AQ$2:$AQ$4001,1))</f>
        <v/>
      </c>
      <c r="Q731">
        <f>IF($AA731="","",Settings!$C$7)</f>
        <v/>
      </c>
      <c r="R731" s="7">
        <f>IF($AA731="","",SUMIFS('Per Line'!$Y$2:$Y$4001,'Per Line'!$E$2:$E$4001,$B731,'Per Line'!$AP$2:$AP$4001,0,'Per Line'!$AQ$2:$AQ$4001,0))</f>
        <v/>
      </c>
      <c r="S731" s="7">
        <f>IF($AA731="","",R731*Q731)</f>
        <v/>
      </c>
      <c r="T731">
        <f>IF($AA731="","",Settings!$C$6)</f>
        <v/>
      </c>
      <c r="U731" s="7">
        <f>IF($AA731="","",SUMIFS('Per Line'!$Y$2:$Y$4001,'Per Line'!$E$2:$E$4001,$B731,'Per Line'!$AP$2:$AP$4001,1,'Per Line'!$AQ$2:$AQ$4001,0))</f>
        <v/>
      </c>
      <c r="V731" s="7">
        <f>IF($AA731="","",U731*T731)</f>
        <v/>
      </c>
      <c r="W731" s="7">
        <f>IF($AA731="","",V731+S731)</f>
        <v/>
      </c>
      <c r="X731" s="7">
        <f>IF($AA731="","",Y731-W731)</f>
        <v/>
      </c>
      <c r="Y731" s="7">
        <f>IF($AA731="","",R731+U731+P731)</f>
        <v/>
      </c>
      <c r="Z731" s="7">
        <f>IF($AA731="","",Y731-W731-L731)</f>
        <v/>
      </c>
      <c r="AA731" s="13">
        <f>IF(ROWS($AA$2:$AA731)&lt;=MAX('Per Line'!$AO$2:$AO$4001),MATCH(ROWS($AA$2:$AA731),'Per Line'!$AO$2:$AO$4001,0),"")</f>
        <v/>
      </c>
      <c r="AB731" s="14">
        <f>IF($AA731="","",L731-K731*Y731/100)</f>
        <v/>
      </c>
    </row>
    <row r="732">
      <c r="A732" s="12" t="n"/>
      <c r="B732">
        <f>IF($AA732="","",INDEX('Per Line'!$E$2:$E$4001,$AA732)&amp;"")</f>
        <v/>
      </c>
      <c r="C732">
        <f>IF($AA732="","",INDEX('Per Line'!$A$2:$A$4001,$AA732)&amp;"")</f>
        <v/>
      </c>
      <c r="D732">
        <f>IF($AA732="","",INDEX('Per Line'!$D$2:$D$4001,$AA732)&amp;"")</f>
        <v/>
      </c>
      <c r="E732" s="11">
        <f>IF($AA732="","",INDEX('Per Line'!$G$2:$G$4001,$AA732))</f>
        <v/>
      </c>
      <c r="F732">
        <f>IF($AA732="","",INDEX('Per Line'!$H$2:$H$4001,$AA732)&amp;"")</f>
        <v/>
      </c>
      <c r="G732">
        <f>IF($AA732="","",INDEX('Per Line'!$I$2:$I$4001,$AA732)&amp;"")</f>
        <v/>
      </c>
      <c r="H732">
        <f>IF($AA732="","",INDEX('Per Line'!$J$2:$J$4001,$AA732)&amp;"")</f>
        <v/>
      </c>
      <c r="I732">
        <f>IF($AA732="","",INDEX('Per Line'!$K$2:$K$4001,$AA732)&amp;"")</f>
        <v/>
      </c>
      <c r="J732">
        <f>IF($AA732="","",INDEX('Per Line'!$L$2:$L$4001,$AA732)&amp;"")</f>
        <v/>
      </c>
      <c r="K732">
        <f>IF($AA732="","",INDEX('Per Line'!$P$2:$P$4001,$AA732))</f>
        <v/>
      </c>
      <c r="L732" s="7">
        <f>IF($AA732="","",IF(AND(ISNUMBER(N732),N732&gt;0,Y732&gt;N732),K732*N732/100+(Y732-N732),K732*Y732/100))</f>
        <v/>
      </c>
      <c r="M732">
        <f>IF($AA732="","",INDEX('Per Line'!$Z$2:$Z$4001,$AA732)&amp;"")</f>
        <v/>
      </c>
      <c r="N732">
        <f>IF($AA732="","",INDEX('Per Line'!$AG$2:$AG$4001,$AA732))</f>
        <v/>
      </c>
      <c r="O732">
        <f>IF($AA732="","",IF(AND(ISNUMBER(N732),N732&gt;0),Y732&gt;N732,FALSE))</f>
        <v/>
      </c>
      <c r="P732" s="7">
        <f>IF($AA732="","",SUMIFS('Per Line'!$Y$2:$Y$4001,'Per Line'!$E$2:$E$4001,$B732,'Per Line'!$AQ$2:$AQ$4001,1))</f>
        <v/>
      </c>
      <c r="Q732">
        <f>IF($AA732="","",Settings!$C$7)</f>
        <v/>
      </c>
      <c r="R732" s="7">
        <f>IF($AA732="","",SUMIFS('Per Line'!$Y$2:$Y$4001,'Per Line'!$E$2:$E$4001,$B732,'Per Line'!$AP$2:$AP$4001,0,'Per Line'!$AQ$2:$AQ$4001,0))</f>
        <v/>
      </c>
      <c r="S732" s="7">
        <f>IF($AA732="","",R732*Q732)</f>
        <v/>
      </c>
      <c r="T732">
        <f>IF($AA732="","",Settings!$C$6)</f>
        <v/>
      </c>
      <c r="U732" s="7">
        <f>IF($AA732="","",SUMIFS('Per Line'!$Y$2:$Y$4001,'Per Line'!$E$2:$E$4001,$B732,'Per Line'!$AP$2:$AP$4001,1,'Per Line'!$AQ$2:$AQ$4001,0))</f>
        <v/>
      </c>
      <c r="V732" s="7">
        <f>IF($AA732="","",U732*T732)</f>
        <v/>
      </c>
      <c r="W732" s="7">
        <f>IF($AA732="","",V732+S732)</f>
        <v/>
      </c>
      <c r="X732" s="7">
        <f>IF($AA732="","",Y732-W732)</f>
        <v/>
      </c>
      <c r="Y732" s="7">
        <f>IF($AA732="","",R732+U732+P732)</f>
        <v/>
      </c>
      <c r="Z732" s="7">
        <f>IF($AA732="","",Y732-W732-L732)</f>
        <v/>
      </c>
      <c r="AA732" s="13">
        <f>IF(ROWS($AA$2:$AA732)&lt;=MAX('Per Line'!$AO$2:$AO$4001),MATCH(ROWS($AA$2:$AA732),'Per Line'!$AO$2:$AO$4001,0),"")</f>
        <v/>
      </c>
      <c r="AB732" s="14">
        <f>IF($AA732="","",L732-K732*Y732/100)</f>
        <v/>
      </c>
    </row>
    <row r="733">
      <c r="A733" s="12" t="n"/>
      <c r="B733">
        <f>IF($AA733="","",INDEX('Per Line'!$E$2:$E$4001,$AA733)&amp;"")</f>
        <v/>
      </c>
      <c r="C733">
        <f>IF($AA733="","",INDEX('Per Line'!$A$2:$A$4001,$AA733)&amp;"")</f>
        <v/>
      </c>
      <c r="D733">
        <f>IF($AA733="","",INDEX('Per Line'!$D$2:$D$4001,$AA733)&amp;"")</f>
        <v/>
      </c>
      <c r="E733" s="11">
        <f>IF($AA733="","",INDEX('Per Line'!$G$2:$G$4001,$AA733))</f>
        <v/>
      </c>
      <c r="F733">
        <f>IF($AA733="","",INDEX('Per Line'!$H$2:$H$4001,$AA733)&amp;"")</f>
        <v/>
      </c>
      <c r="G733">
        <f>IF($AA733="","",INDEX('Per Line'!$I$2:$I$4001,$AA733)&amp;"")</f>
        <v/>
      </c>
      <c r="H733">
        <f>IF($AA733="","",INDEX('Per Line'!$J$2:$J$4001,$AA733)&amp;"")</f>
        <v/>
      </c>
      <c r="I733">
        <f>IF($AA733="","",INDEX('Per Line'!$K$2:$K$4001,$AA733)&amp;"")</f>
        <v/>
      </c>
      <c r="J733">
        <f>IF($AA733="","",INDEX('Per Line'!$L$2:$L$4001,$AA733)&amp;"")</f>
        <v/>
      </c>
      <c r="K733">
        <f>IF($AA733="","",INDEX('Per Line'!$P$2:$P$4001,$AA733))</f>
        <v/>
      </c>
      <c r="L733" s="7">
        <f>IF($AA733="","",IF(AND(ISNUMBER(N733),N733&gt;0,Y733&gt;N733),K733*N733/100+(Y733-N733),K733*Y733/100))</f>
        <v/>
      </c>
      <c r="M733">
        <f>IF($AA733="","",INDEX('Per Line'!$Z$2:$Z$4001,$AA733)&amp;"")</f>
        <v/>
      </c>
      <c r="N733">
        <f>IF($AA733="","",INDEX('Per Line'!$AG$2:$AG$4001,$AA733))</f>
        <v/>
      </c>
      <c r="O733">
        <f>IF($AA733="","",IF(AND(ISNUMBER(N733),N733&gt;0),Y733&gt;N733,FALSE))</f>
        <v/>
      </c>
      <c r="P733" s="7">
        <f>IF($AA733="","",SUMIFS('Per Line'!$Y$2:$Y$4001,'Per Line'!$E$2:$E$4001,$B733,'Per Line'!$AQ$2:$AQ$4001,1))</f>
        <v/>
      </c>
      <c r="Q733">
        <f>IF($AA733="","",Settings!$C$7)</f>
        <v/>
      </c>
      <c r="R733" s="7">
        <f>IF($AA733="","",SUMIFS('Per Line'!$Y$2:$Y$4001,'Per Line'!$E$2:$E$4001,$B733,'Per Line'!$AP$2:$AP$4001,0,'Per Line'!$AQ$2:$AQ$4001,0))</f>
        <v/>
      </c>
      <c r="S733" s="7">
        <f>IF($AA733="","",R733*Q733)</f>
        <v/>
      </c>
      <c r="T733">
        <f>IF($AA733="","",Settings!$C$6)</f>
        <v/>
      </c>
      <c r="U733" s="7">
        <f>IF($AA733="","",SUMIFS('Per Line'!$Y$2:$Y$4001,'Per Line'!$E$2:$E$4001,$B733,'Per Line'!$AP$2:$AP$4001,1,'Per Line'!$AQ$2:$AQ$4001,0))</f>
        <v/>
      </c>
      <c r="V733" s="7">
        <f>IF($AA733="","",U733*T733)</f>
        <v/>
      </c>
      <c r="W733" s="7">
        <f>IF($AA733="","",V733+S733)</f>
        <v/>
      </c>
      <c r="X733" s="7">
        <f>IF($AA733="","",Y733-W733)</f>
        <v/>
      </c>
      <c r="Y733" s="7">
        <f>IF($AA733="","",R733+U733+P733)</f>
        <v/>
      </c>
      <c r="Z733" s="7">
        <f>IF($AA733="","",Y733-W733-L733)</f>
        <v/>
      </c>
      <c r="AA733" s="13">
        <f>IF(ROWS($AA$2:$AA733)&lt;=MAX('Per Line'!$AO$2:$AO$4001),MATCH(ROWS($AA$2:$AA733),'Per Line'!$AO$2:$AO$4001,0),"")</f>
        <v/>
      </c>
      <c r="AB733" s="14">
        <f>IF($AA733="","",L733-K733*Y733/100)</f>
        <v/>
      </c>
    </row>
    <row r="734">
      <c r="A734" s="12" t="n"/>
      <c r="B734">
        <f>IF($AA734="","",INDEX('Per Line'!$E$2:$E$4001,$AA734)&amp;"")</f>
        <v/>
      </c>
      <c r="C734">
        <f>IF($AA734="","",INDEX('Per Line'!$A$2:$A$4001,$AA734)&amp;"")</f>
        <v/>
      </c>
      <c r="D734">
        <f>IF($AA734="","",INDEX('Per Line'!$D$2:$D$4001,$AA734)&amp;"")</f>
        <v/>
      </c>
      <c r="E734" s="11">
        <f>IF($AA734="","",INDEX('Per Line'!$G$2:$G$4001,$AA734))</f>
        <v/>
      </c>
      <c r="F734">
        <f>IF($AA734="","",INDEX('Per Line'!$H$2:$H$4001,$AA734)&amp;"")</f>
        <v/>
      </c>
      <c r="G734">
        <f>IF($AA734="","",INDEX('Per Line'!$I$2:$I$4001,$AA734)&amp;"")</f>
        <v/>
      </c>
      <c r="H734">
        <f>IF($AA734="","",INDEX('Per Line'!$J$2:$J$4001,$AA734)&amp;"")</f>
        <v/>
      </c>
      <c r="I734">
        <f>IF($AA734="","",INDEX('Per Line'!$K$2:$K$4001,$AA734)&amp;"")</f>
        <v/>
      </c>
      <c r="J734">
        <f>IF($AA734="","",INDEX('Per Line'!$L$2:$L$4001,$AA734)&amp;"")</f>
        <v/>
      </c>
      <c r="K734">
        <f>IF($AA734="","",INDEX('Per Line'!$P$2:$P$4001,$AA734))</f>
        <v/>
      </c>
      <c r="L734" s="7">
        <f>IF($AA734="","",IF(AND(ISNUMBER(N734),N734&gt;0,Y734&gt;N734),K734*N734/100+(Y734-N734),K734*Y734/100))</f>
        <v/>
      </c>
      <c r="M734">
        <f>IF($AA734="","",INDEX('Per Line'!$Z$2:$Z$4001,$AA734)&amp;"")</f>
        <v/>
      </c>
      <c r="N734">
        <f>IF($AA734="","",INDEX('Per Line'!$AG$2:$AG$4001,$AA734))</f>
        <v/>
      </c>
      <c r="O734">
        <f>IF($AA734="","",IF(AND(ISNUMBER(N734),N734&gt;0),Y734&gt;N734,FALSE))</f>
        <v/>
      </c>
      <c r="P734" s="7">
        <f>IF($AA734="","",SUMIFS('Per Line'!$Y$2:$Y$4001,'Per Line'!$E$2:$E$4001,$B734,'Per Line'!$AQ$2:$AQ$4001,1))</f>
        <v/>
      </c>
      <c r="Q734">
        <f>IF($AA734="","",Settings!$C$7)</f>
        <v/>
      </c>
      <c r="R734" s="7">
        <f>IF($AA734="","",SUMIFS('Per Line'!$Y$2:$Y$4001,'Per Line'!$E$2:$E$4001,$B734,'Per Line'!$AP$2:$AP$4001,0,'Per Line'!$AQ$2:$AQ$4001,0))</f>
        <v/>
      </c>
      <c r="S734" s="7">
        <f>IF($AA734="","",R734*Q734)</f>
        <v/>
      </c>
      <c r="T734">
        <f>IF($AA734="","",Settings!$C$6)</f>
        <v/>
      </c>
      <c r="U734" s="7">
        <f>IF($AA734="","",SUMIFS('Per Line'!$Y$2:$Y$4001,'Per Line'!$E$2:$E$4001,$B734,'Per Line'!$AP$2:$AP$4001,1,'Per Line'!$AQ$2:$AQ$4001,0))</f>
        <v/>
      </c>
      <c r="V734" s="7">
        <f>IF($AA734="","",U734*T734)</f>
        <v/>
      </c>
      <c r="W734" s="7">
        <f>IF($AA734="","",V734+S734)</f>
        <v/>
      </c>
      <c r="X734" s="7">
        <f>IF($AA734="","",Y734-W734)</f>
        <v/>
      </c>
      <c r="Y734" s="7">
        <f>IF($AA734="","",R734+U734+P734)</f>
        <v/>
      </c>
      <c r="Z734" s="7">
        <f>IF($AA734="","",Y734-W734-L734)</f>
        <v/>
      </c>
      <c r="AA734" s="13">
        <f>IF(ROWS($AA$2:$AA734)&lt;=MAX('Per Line'!$AO$2:$AO$4001),MATCH(ROWS($AA$2:$AA734),'Per Line'!$AO$2:$AO$4001,0),"")</f>
        <v/>
      </c>
      <c r="AB734" s="14">
        <f>IF($AA734="","",L734-K734*Y734/100)</f>
        <v/>
      </c>
    </row>
    <row r="735">
      <c r="A735" s="12" t="n"/>
      <c r="B735">
        <f>IF($AA735="","",INDEX('Per Line'!$E$2:$E$4001,$AA735)&amp;"")</f>
        <v/>
      </c>
      <c r="C735">
        <f>IF($AA735="","",INDEX('Per Line'!$A$2:$A$4001,$AA735)&amp;"")</f>
        <v/>
      </c>
      <c r="D735">
        <f>IF($AA735="","",INDEX('Per Line'!$D$2:$D$4001,$AA735)&amp;"")</f>
        <v/>
      </c>
      <c r="E735" s="11">
        <f>IF($AA735="","",INDEX('Per Line'!$G$2:$G$4001,$AA735))</f>
        <v/>
      </c>
      <c r="F735">
        <f>IF($AA735="","",INDEX('Per Line'!$H$2:$H$4001,$AA735)&amp;"")</f>
        <v/>
      </c>
      <c r="G735">
        <f>IF($AA735="","",INDEX('Per Line'!$I$2:$I$4001,$AA735)&amp;"")</f>
        <v/>
      </c>
      <c r="H735">
        <f>IF($AA735="","",INDEX('Per Line'!$J$2:$J$4001,$AA735)&amp;"")</f>
        <v/>
      </c>
      <c r="I735">
        <f>IF($AA735="","",INDEX('Per Line'!$K$2:$K$4001,$AA735)&amp;"")</f>
        <v/>
      </c>
      <c r="J735">
        <f>IF($AA735="","",INDEX('Per Line'!$L$2:$L$4001,$AA735)&amp;"")</f>
        <v/>
      </c>
      <c r="K735">
        <f>IF($AA735="","",INDEX('Per Line'!$P$2:$P$4001,$AA735))</f>
        <v/>
      </c>
      <c r="L735" s="7">
        <f>IF($AA735="","",IF(AND(ISNUMBER(N735),N735&gt;0,Y735&gt;N735),K735*N735/100+(Y735-N735),K735*Y735/100))</f>
        <v/>
      </c>
      <c r="M735">
        <f>IF($AA735="","",INDEX('Per Line'!$Z$2:$Z$4001,$AA735)&amp;"")</f>
        <v/>
      </c>
      <c r="N735">
        <f>IF($AA735="","",INDEX('Per Line'!$AG$2:$AG$4001,$AA735))</f>
        <v/>
      </c>
      <c r="O735">
        <f>IF($AA735="","",IF(AND(ISNUMBER(N735),N735&gt;0),Y735&gt;N735,FALSE))</f>
        <v/>
      </c>
      <c r="P735" s="7">
        <f>IF($AA735="","",SUMIFS('Per Line'!$Y$2:$Y$4001,'Per Line'!$E$2:$E$4001,$B735,'Per Line'!$AQ$2:$AQ$4001,1))</f>
        <v/>
      </c>
      <c r="Q735">
        <f>IF($AA735="","",Settings!$C$7)</f>
        <v/>
      </c>
      <c r="R735" s="7">
        <f>IF($AA735="","",SUMIFS('Per Line'!$Y$2:$Y$4001,'Per Line'!$E$2:$E$4001,$B735,'Per Line'!$AP$2:$AP$4001,0,'Per Line'!$AQ$2:$AQ$4001,0))</f>
        <v/>
      </c>
      <c r="S735" s="7">
        <f>IF($AA735="","",R735*Q735)</f>
        <v/>
      </c>
      <c r="T735">
        <f>IF($AA735="","",Settings!$C$6)</f>
        <v/>
      </c>
      <c r="U735" s="7">
        <f>IF($AA735="","",SUMIFS('Per Line'!$Y$2:$Y$4001,'Per Line'!$E$2:$E$4001,$B735,'Per Line'!$AP$2:$AP$4001,1,'Per Line'!$AQ$2:$AQ$4001,0))</f>
        <v/>
      </c>
      <c r="V735" s="7">
        <f>IF($AA735="","",U735*T735)</f>
        <v/>
      </c>
      <c r="W735" s="7">
        <f>IF($AA735="","",V735+S735)</f>
        <v/>
      </c>
      <c r="X735" s="7">
        <f>IF($AA735="","",Y735-W735)</f>
        <v/>
      </c>
      <c r="Y735" s="7">
        <f>IF($AA735="","",R735+U735+P735)</f>
        <v/>
      </c>
      <c r="Z735" s="7">
        <f>IF($AA735="","",Y735-W735-L735)</f>
        <v/>
      </c>
      <c r="AA735" s="13">
        <f>IF(ROWS($AA$2:$AA735)&lt;=MAX('Per Line'!$AO$2:$AO$4001),MATCH(ROWS($AA$2:$AA735),'Per Line'!$AO$2:$AO$4001,0),"")</f>
        <v/>
      </c>
      <c r="AB735" s="14">
        <f>IF($AA735="","",L735-K735*Y735/100)</f>
        <v/>
      </c>
    </row>
    <row r="736">
      <c r="A736" s="12" t="n"/>
      <c r="B736">
        <f>IF($AA736="","",INDEX('Per Line'!$E$2:$E$4001,$AA736)&amp;"")</f>
        <v/>
      </c>
      <c r="C736">
        <f>IF($AA736="","",INDEX('Per Line'!$A$2:$A$4001,$AA736)&amp;"")</f>
        <v/>
      </c>
      <c r="D736">
        <f>IF($AA736="","",INDEX('Per Line'!$D$2:$D$4001,$AA736)&amp;"")</f>
        <v/>
      </c>
      <c r="E736" s="11">
        <f>IF($AA736="","",INDEX('Per Line'!$G$2:$G$4001,$AA736))</f>
        <v/>
      </c>
      <c r="F736">
        <f>IF($AA736="","",INDEX('Per Line'!$H$2:$H$4001,$AA736)&amp;"")</f>
        <v/>
      </c>
      <c r="G736">
        <f>IF($AA736="","",INDEX('Per Line'!$I$2:$I$4001,$AA736)&amp;"")</f>
        <v/>
      </c>
      <c r="H736">
        <f>IF($AA736="","",INDEX('Per Line'!$J$2:$J$4001,$AA736)&amp;"")</f>
        <v/>
      </c>
      <c r="I736">
        <f>IF($AA736="","",INDEX('Per Line'!$K$2:$K$4001,$AA736)&amp;"")</f>
        <v/>
      </c>
      <c r="J736">
        <f>IF($AA736="","",INDEX('Per Line'!$L$2:$L$4001,$AA736)&amp;"")</f>
        <v/>
      </c>
      <c r="K736">
        <f>IF($AA736="","",INDEX('Per Line'!$P$2:$P$4001,$AA736))</f>
        <v/>
      </c>
      <c r="L736" s="7">
        <f>IF($AA736="","",IF(AND(ISNUMBER(N736),N736&gt;0,Y736&gt;N736),K736*N736/100+(Y736-N736),K736*Y736/100))</f>
        <v/>
      </c>
      <c r="M736">
        <f>IF($AA736="","",INDEX('Per Line'!$Z$2:$Z$4001,$AA736)&amp;"")</f>
        <v/>
      </c>
      <c r="N736">
        <f>IF($AA736="","",INDEX('Per Line'!$AG$2:$AG$4001,$AA736))</f>
        <v/>
      </c>
      <c r="O736">
        <f>IF($AA736="","",IF(AND(ISNUMBER(N736),N736&gt;0),Y736&gt;N736,FALSE))</f>
        <v/>
      </c>
      <c r="P736" s="7">
        <f>IF($AA736="","",SUMIFS('Per Line'!$Y$2:$Y$4001,'Per Line'!$E$2:$E$4001,$B736,'Per Line'!$AQ$2:$AQ$4001,1))</f>
        <v/>
      </c>
      <c r="Q736">
        <f>IF($AA736="","",Settings!$C$7)</f>
        <v/>
      </c>
      <c r="R736" s="7">
        <f>IF($AA736="","",SUMIFS('Per Line'!$Y$2:$Y$4001,'Per Line'!$E$2:$E$4001,$B736,'Per Line'!$AP$2:$AP$4001,0,'Per Line'!$AQ$2:$AQ$4001,0))</f>
        <v/>
      </c>
      <c r="S736" s="7">
        <f>IF($AA736="","",R736*Q736)</f>
        <v/>
      </c>
      <c r="T736">
        <f>IF($AA736="","",Settings!$C$6)</f>
        <v/>
      </c>
      <c r="U736" s="7">
        <f>IF($AA736="","",SUMIFS('Per Line'!$Y$2:$Y$4001,'Per Line'!$E$2:$E$4001,$B736,'Per Line'!$AP$2:$AP$4001,1,'Per Line'!$AQ$2:$AQ$4001,0))</f>
        <v/>
      </c>
      <c r="V736" s="7">
        <f>IF($AA736="","",U736*T736)</f>
        <v/>
      </c>
      <c r="W736" s="7">
        <f>IF($AA736="","",V736+S736)</f>
        <v/>
      </c>
      <c r="X736" s="7">
        <f>IF($AA736="","",Y736-W736)</f>
        <v/>
      </c>
      <c r="Y736" s="7">
        <f>IF($AA736="","",R736+U736+P736)</f>
        <v/>
      </c>
      <c r="Z736" s="7">
        <f>IF($AA736="","",Y736-W736-L736)</f>
        <v/>
      </c>
      <c r="AA736" s="13">
        <f>IF(ROWS($AA$2:$AA736)&lt;=MAX('Per Line'!$AO$2:$AO$4001),MATCH(ROWS($AA$2:$AA736),'Per Line'!$AO$2:$AO$4001,0),"")</f>
        <v/>
      </c>
      <c r="AB736" s="14">
        <f>IF($AA736="","",L736-K736*Y736/100)</f>
        <v/>
      </c>
    </row>
    <row r="737">
      <c r="A737" s="12" t="n"/>
      <c r="B737">
        <f>IF($AA737="","",INDEX('Per Line'!$E$2:$E$4001,$AA737)&amp;"")</f>
        <v/>
      </c>
      <c r="C737">
        <f>IF($AA737="","",INDEX('Per Line'!$A$2:$A$4001,$AA737)&amp;"")</f>
        <v/>
      </c>
      <c r="D737">
        <f>IF($AA737="","",INDEX('Per Line'!$D$2:$D$4001,$AA737)&amp;"")</f>
        <v/>
      </c>
      <c r="E737" s="11">
        <f>IF($AA737="","",INDEX('Per Line'!$G$2:$G$4001,$AA737))</f>
        <v/>
      </c>
      <c r="F737">
        <f>IF($AA737="","",INDEX('Per Line'!$H$2:$H$4001,$AA737)&amp;"")</f>
        <v/>
      </c>
      <c r="G737">
        <f>IF($AA737="","",INDEX('Per Line'!$I$2:$I$4001,$AA737)&amp;"")</f>
        <v/>
      </c>
      <c r="H737">
        <f>IF($AA737="","",INDEX('Per Line'!$J$2:$J$4001,$AA737)&amp;"")</f>
        <v/>
      </c>
      <c r="I737">
        <f>IF($AA737="","",INDEX('Per Line'!$K$2:$K$4001,$AA737)&amp;"")</f>
        <v/>
      </c>
      <c r="J737">
        <f>IF($AA737="","",INDEX('Per Line'!$L$2:$L$4001,$AA737)&amp;"")</f>
        <v/>
      </c>
      <c r="K737">
        <f>IF($AA737="","",INDEX('Per Line'!$P$2:$P$4001,$AA737))</f>
        <v/>
      </c>
      <c r="L737" s="7">
        <f>IF($AA737="","",IF(AND(ISNUMBER(N737),N737&gt;0,Y737&gt;N737),K737*N737/100+(Y737-N737),K737*Y737/100))</f>
        <v/>
      </c>
      <c r="M737">
        <f>IF($AA737="","",INDEX('Per Line'!$Z$2:$Z$4001,$AA737)&amp;"")</f>
        <v/>
      </c>
      <c r="N737">
        <f>IF($AA737="","",INDEX('Per Line'!$AG$2:$AG$4001,$AA737))</f>
        <v/>
      </c>
      <c r="O737">
        <f>IF($AA737="","",IF(AND(ISNUMBER(N737),N737&gt;0),Y737&gt;N737,FALSE))</f>
        <v/>
      </c>
      <c r="P737" s="7">
        <f>IF($AA737="","",SUMIFS('Per Line'!$Y$2:$Y$4001,'Per Line'!$E$2:$E$4001,$B737,'Per Line'!$AQ$2:$AQ$4001,1))</f>
        <v/>
      </c>
      <c r="Q737">
        <f>IF($AA737="","",Settings!$C$7)</f>
        <v/>
      </c>
      <c r="R737" s="7">
        <f>IF($AA737="","",SUMIFS('Per Line'!$Y$2:$Y$4001,'Per Line'!$E$2:$E$4001,$B737,'Per Line'!$AP$2:$AP$4001,0,'Per Line'!$AQ$2:$AQ$4001,0))</f>
        <v/>
      </c>
      <c r="S737" s="7">
        <f>IF($AA737="","",R737*Q737)</f>
        <v/>
      </c>
      <c r="T737">
        <f>IF($AA737="","",Settings!$C$6)</f>
        <v/>
      </c>
      <c r="U737" s="7">
        <f>IF($AA737="","",SUMIFS('Per Line'!$Y$2:$Y$4001,'Per Line'!$E$2:$E$4001,$B737,'Per Line'!$AP$2:$AP$4001,1,'Per Line'!$AQ$2:$AQ$4001,0))</f>
        <v/>
      </c>
      <c r="V737" s="7">
        <f>IF($AA737="","",U737*T737)</f>
        <v/>
      </c>
      <c r="W737" s="7">
        <f>IF($AA737="","",V737+S737)</f>
        <v/>
      </c>
      <c r="X737" s="7">
        <f>IF($AA737="","",Y737-W737)</f>
        <v/>
      </c>
      <c r="Y737" s="7">
        <f>IF($AA737="","",R737+U737+P737)</f>
        <v/>
      </c>
      <c r="Z737" s="7">
        <f>IF($AA737="","",Y737-W737-L737)</f>
        <v/>
      </c>
      <c r="AA737" s="13">
        <f>IF(ROWS($AA$2:$AA737)&lt;=MAX('Per Line'!$AO$2:$AO$4001),MATCH(ROWS($AA$2:$AA737),'Per Line'!$AO$2:$AO$4001,0),"")</f>
        <v/>
      </c>
      <c r="AB737" s="14">
        <f>IF($AA737="","",L737-K737*Y737/100)</f>
        <v/>
      </c>
    </row>
    <row r="738">
      <c r="A738" s="12" t="n"/>
      <c r="B738">
        <f>IF($AA738="","",INDEX('Per Line'!$E$2:$E$4001,$AA738)&amp;"")</f>
        <v/>
      </c>
      <c r="C738">
        <f>IF($AA738="","",INDEX('Per Line'!$A$2:$A$4001,$AA738)&amp;"")</f>
        <v/>
      </c>
      <c r="D738">
        <f>IF($AA738="","",INDEX('Per Line'!$D$2:$D$4001,$AA738)&amp;"")</f>
        <v/>
      </c>
      <c r="E738" s="11">
        <f>IF($AA738="","",INDEX('Per Line'!$G$2:$G$4001,$AA738))</f>
        <v/>
      </c>
      <c r="F738">
        <f>IF($AA738="","",INDEX('Per Line'!$H$2:$H$4001,$AA738)&amp;"")</f>
        <v/>
      </c>
      <c r="G738">
        <f>IF($AA738="","",INDEX('Per Line'!$I$2:$I$4001,$AA738)&amp;"")</f>
        <v/>
      </c>
      <c r="H738">
        <f>IF($AA738="","",INDEX('Per Line'!$J$2:$J$4001,$AA738)&amp;"")</f>
        <v/>
      </c>
      <c r="I738">
        <f>IF($AA738="","",INDEX('Per Line'!$K$2:$K$4001,$AA738)&amp;"")</f>
        <v/>
      </c>
      <c r="J738">
        <f>IF($AA738="","",INDEX('Per Line'!$L$2:$L$4001,$AA738)&amp;"")</f>
        <v/>
      </c>
      <c r="K738">
        <f>IF($AA738="","",INDEX('Per Line'!$P$2:$P$4001,$AA738))</f>
        <v/>
      </c>
      <c r="L738" s="7">
        <f>IF($AA738="","",IF(AND(ISNUMBER(N738),N738&gt;0,Y738&gt;N738),K738*N738/100+(Y738-N738),K738*Y738/100))</f>
        <v/>
      </c>
      <c r="M738">
        <f>IF($AA738="","",INDEX('Per Line'!$Z$2:$Z$4001,$AA738)&amp;"")</f>
        <v/>
      </c>
      <c r="N738">
        <f>IF($AA738="","",INDEX('Per Line'!$AG$2:$AG$4001,$AA738))</f>
        <v/>
      </c>
      <c r="O738">
        <f>IF($AA738="","",IF(AND(ISNUMBER(N738),N738&gt;0),Y738&gt;N738,FALSE))</f>
        <v/>
      </c>
      <c r="P738" s="7">
        <f>IF($AA738="","",SUMIFS('Per Line'!$Y$2:$Y$4001,'Per Line'!$E$2:$E$4001,$B738,'Per Line'!$AQ$2:$AQ$4001,1))</f>
        <v/>
      </c>
      <c r="Q738">
        <f>IF($AA738="","",Settings!$C$7)</f>
        <v/>
      </c>
      <c r="R738" s="7">
        <f>IF($AA738="","",SUMIFS('Per Line'!$Y$2:$Y$4001,'Per Line'!$E$2:$E$4001,$B738,'Per Line'!$AP$2:$AP$4001,0,'Per Line'!$AQ$2:$AQ$4001,0))</f>
        <v/>
      </c>
      <c r="S738" s="7">
        <f>IF($AA738="","",R738*Q738)</f>
        <v/>
      </c>
      <c r="T738">
        <f>IF($AA738="","",Settings!$C$6)</f>
        <v/>
      </c>
      <c r="U738" s="7">
        <f>IF($AA738="","",SUMIFS('Per Line'!$Y$2:$Y$4001,'Per Line'!$E$2:$E$4001,$B738,'Per Line'!$AP$2:$AP$4001,1,'Per Line'!$AQ$2:$AQ$4001,0))</f>
        <v/>
      </c>
      <c r="V738" s="7">
        <f>IF($AA738="","",U738*T738)</f>
        <v/>
      </c>
      <c r="W738" s="7">
        <f>IF($AA738="","",V738+S738)</f>
        <v/>
      </c>
      <c r="X738" s="7">
        <f>IF($AA738="","",Y738-W738)</f>
        <v/>
      </c>
      <c r="Y738" s="7">
        <f>IF($AA738="","",R738+U738+P738)</f>
        <v/>
      </c>
      <c r="Z738" s="7">
        <f>IF($AA738="","",Y738-W738-L738)</f>
        <v/>
      </c>
      <c r="AA738" s="13">
        <f>IF(ROWS($AA$2:$AA738)&lt;=MAX('Per Line'!$AO$2:$AO$4001),MATCH(ROWS($AA$2:$AA738),'Per Line'!$AO$2:$AO$4001,0),"")</f>
        <v/>
      </c>
      <c r="AB738" s="14">
        <f>IF($AA738="","",L738-K738*Y738/100)</f>
        <v/>
      </c>
    </row>
    <row r="739">
      <c r="A739" s="12" t="n"/>
      <c r="B739">
        <f>IF($AA739="","",INDEX('Per Line'!$E$2:$E$4001,$AA739)&amp;"")</f>
        <v/>
      </c>
      <c r="C739">
        <f>IF($AA739="","",INDEX('Per Line'!$A$2:$A$4001,$AA739)&amp;"")</f>
        <v/>
      </c>
      <c r="D739">
        <f>IF($AA739="","",INDEX('Per Line'!$D$2:$D$4001,$AA739)&amp;"")</f>
        <v/>
      </c>
      <c r="E739" s="11">
        <f>IF($AA739="","",INDEX('Per Line'!$G$2:$G$4001,$AA739))</f>
        <v/>
      </c>
      <c r="F739">
        <f>IF($AA739="","",INDEX('Per Line'!$H$2:$H$4001,$AA739)&amp;"")</f>
        <v/>
      </c>
      <c r="G739">
        <f>IF($AA739="","",INDEX('Per Line'!$I$2:$I$4001,$AA739)&amp;"")</f>
        <v/>
      </c>
      <c r="H739">
        <f>IF($AA739="","",INDEX('Per Line'!$J$2:$J$4001,$AA739)&amp;"")</f>
        <v/>
      </c>
      <c r="I739">
        <f>IF($AA739="","",INDEX('Per Line'!$K$2:$K$4001,$AA739)&amp;"")</f>
        <v/>
      </c>
      <c r="J739">
        <f>IF($AA739="","",INDEX('Per Line'!$L$2:$L$4001,$AA739)&amp;"")</f>
        <v/>
      </c>
      <c r="K739">
        <f>IF($AA739="","",INDEX('Per Line'!$P$2:$P$4001,$AA739))</f>
        <v/>
      </c>
      <c r="L739" s="7">
        <f>IF($AA739="","",IF(AND(ISNUMBER(N739),N739&gt;0,Y739&gt;N739),K739*N739/100+(Y739-N739),K739*Y739/100))</f>
        <v/>
      </c>
      <c r="M739">
        <f>IF($AA739="","",INDEX('Per Line'!$Z$2:$Z$4001,$AA739)&amp;"")</f>
        <v/>
      </c>
      <c r="N739">
        <f>IF($AA739="","",INDEX('Per Line'!$AG$2:$AG$4001,$AA739))</f>
        <v/>
      </c>
      <c r="O739">
        <f>IF($AA739="","",IF(AND(ISNUMBER(N739),N739&gt;0),Y739&gt;N739,FALSE))</f>
        <v/>
      </c>
      <c r="P739" s="7">
        <f>IF($AA739="","",SUMIFS('Per Line'!$Y$2:$Y$4001,'Per Line'!$E$2:$E$4001,$B739,'Per Line'!$AQ$2:$AQ$4001,1))</f>
        <v/>
      </c>
      <c r="Q739">
        <f>IF($AA739="","",Settings!$C$7)</f>
        <v/>
      </c>
      <c r="R739" s="7">
        <f>IF($AA739="","",SUMIFS('Per Line'!$Y$2:$Y$4001,'Per Line'!$E$2:$E$4001,$B739,'Per Line'!$AP$2:$AP$4001,0,'Per Line'!$AQ$2:$AQ$4001,0))</f>
        <v/>
      </c>
      <c r="S739" s="7">
        <f>IF($AA739="","",R739*Q739)</f>
        <v/>
      </c>
      <c r="T739">
        <f>IF($AA739="","",Settings!$C$6)</f>
        <v/>
      </c>
      <c r="U739" s="7">
        <f>IF($AA739="","",SUMIFS('Per Line'!$Y$2:$Y$4001,'Per Line'!$E$2:$E$4001,$B739,'Per Line'!$AP$2:$AP$4001,1,'Per Line'!$AQ$2:$AQ$4001,0))</f>
        <v/>
      </c>
      <c r="V739" s="7">
        <f>IF($AA739="","",U739*T739)</f>
        <v/>
      </c>
      <c r="W739" s="7">
        <f>IF($AA739="","",V739+S739)</f>
        <v/>
      </c>
      <c r="X739" s="7">
        <f>IF($AA739="","",Y739-W739)</f>
        <v/>
      </c>
      <c r="Y739" s="7">
        <f>IF($AA739="","",R739+U739+P739)</f>
        <v/>
      </c>
      <c r="Z739" s="7">
        <f>IF($AA739="","",Y739-W739-L739)</f>
        <v/>
      </c>
      <c r="AA739" s="13">
        <f>IF(ROWS($AA$2:$AA739)&lt;=MAX('Per Line'!$AO$2:$AO$4001),MATCH(ROWS($AA$2:$AA739),'Per Line'!$AO$2:$AO$4001,0),"")</f>
        <v/>
      </c>
      <c r="AB739" s="14">
        <f>IF($AA739="","",L739-K739*Y739/100)</f>
        <v/>
      </c>
    </row>
    <row r="740">
      <c r="A740" s="12" t="n"/>
      <c r="B740">
        <f>IF($AA740="","",INDEX('Per Line'!$E$2:$E$4001,$AA740)&amp;"")</f>
        <v/>
      </c>
      <c r="C740">
        <f>IF($AA740="","",INDEX('Per Line'!$A$2:$A$4001,$AA740)&amp;"")</f>
        <v/>
      </c>
      <c r="D740">
        <f>IF($AA740="","",INDEX('Per Line'!$D$2:$D$4001,$AA740)&amp;"")</f>
        <v/>
      </c>
      <c r="E740" s="11">
        <f>IF($AA740="","",INDEX('Per Line'!$G$2:$G$4001,$AA740))</f>
        <v/>
      </c>
      <c r="F740">
        <f>IF($AA740="","",INDEX('Per Line'!$H$2:$H$4001,$AA740)&amp;"")</f>
        <v/>
      </c>
      <c r="G740">
        <f>IF($AA740="","",INDEX('Per Line'!$I$2:$I$4001,$AA740)&amp;"")</f>
        <v/>
      </c>
      <c r="H740">
        <f>IF($AA740="","",INDEX('Per Line'!$J$2:$J$4001,$AA740)&amp;"")</f>
        <v/>
      </c>
      <c r="I740">
        <f>IF($AA740="","",INDEX('Per Line'!$K$2:$K$4001,$AA740)&amp;"")</f>
        <v/>
      </c>
      <c r="J740">
        <f>IF($AA740="","",INDEX('Per Line'!$L$2:$L$4001,$AA740)&amp;"")</f>
        <v/>
      </c>
      <c r="K740">
        <f>IF($AA740="","",INDEX('Per Line'!$P$2:$P$4001,$AA740))</f>
        <v/>
      </c>
      <c r="L740" s="7">
        <f>IF($AA740="","",IF(AND(ISNUMBER(N740),N740&gt;0,Y740&gt;N740),K740*N740/100+(Y740-N740),K740*Y740/100))</f>
        <v/>
      </c>
      <c r="M740">
        <f>IF($AA740="","",INDEX('Per Line'!$Z$2:$Z$4001,$AA740)&amp;"")</f>
        <v/>
      </c>
      <c r="N740">
        <f>IF($AA740="","",INDEX('Per Line'!$AG$2:$AG$4001,$AA740))</f>
        <v/>
      </c>
      <c r="O740">
        <f>IF($AA740="","",IF(AND(ISNUMBER(N740),N740&gt;0),Y740&gt;N740,FALSE))</f>
        <v/>
      </c>
      <c r="P740" s="7">
        <f>IF($AA740="","",SUMIFS('Per Line'!$Y$2:$Y$4001,'Per Line'!$E$2:$E$4001,$B740,'Per Line'!$AQ$2:$AQ$4001,1))</f>
        <v/>
      </c>
      <c r="Q740">
        <f>IF($AA740="","",Settings!$C$7)</f>
        <v/>
      </c>
      <c r="R740" s="7">
        <f>IF($AA740="","",SUMIFS('Per Line'!$Y$2:$Y$4001,'Per Line'!$E$2:$E$4001,$B740,'Per Line'!$AP$2:$AP$4001,0,'Per Line'!$AQ$2:$AQ$4001,0))</f>
        <v/>
      </c>
      <c r="S740" s="7">
        <f>IF($AA740="","",R740*Q740)</f>
        <v/>
      </c>
      <c r="T740">
        <f>IF($AA740="","",Settings!$C$6)</f>
        <v/>
      </c>
      <c r="U740" s="7">
        <f>IF($AA740="","",SUMIFS('Per Line'!$Y$2:$Y$4001,'Per Line'!$E$2:$E$4001,$B740,'Per Line'!$AP$2:$AP$4001,1,'Per Line'!$AQ$2:$AQ$4001,0))</f>
        <v/>
      </c>
      <c r="V740" s="7">
        <f>IF($AA740="","",U740*T740)</f>
        <v/>
      </c>
      <c r="W740" s="7">
        <f>IF($AA740="","",V740+S740)</f>
        <v/>
      </c>
      <c r="X740" s="7">
        <f>IF($AA740="","",Y740-W740)</f>
        <v/>
      </c>
      <c r="Y740" s="7">
        <f>IF($AA740="","",R740+U740+P740)</f>
        <v/>
      </c>
      <c r="Z740" s="7">
        <f>IF($AA740="","",Y740-W740-L740)</f>
        <v/>
      </c>
      <c r="AA740" s="13">
        <f>IF(ROWS($AA$2:$AA740)&lt;=MAX('Per Line'!$AO$2:$AO$4001),MATCH(ROWS($AA$2:$AA740),'Per Line'!$AO$2:$AO$4001,0),"")</f>
        <v/>
      </c>
      <c r="AB740" s="14">
        <f>IF($AA740="","",L740-K740*Y740/100)</f>
        <v/>
      </c>
    </row>
    <row r="741">
      <c r="A741" s="12" t="n"/>
      <c r="B741">
        <f>IF($AA741="","",INDEX('Per Line'!$E$2:$E$4001,$AA741)&amp;"")</f>
        <v/>
      </c>
      <c r="C741">
        <f>IF($AA741="","",INDEX('Per Line'!$A$2:$A$4001,$AA741)&amp;"")</f>
        <v/>
      </c>
      <c r="D741">
        <f>IF($AA741="","",INDEX('Per Line'!$D$2:$D$4001,$AA741)&amp;"")</f>
        <v/>
      </c>
      <c r="E741" s="11">
        <f>IF($AA741="","",INDEX('Per Line'!$G$2:$G$4001,$AA741))</f>
        <v/>
      </c>
      <c r="F741">
        <f>IF($AA741="","",INDEX('Per Line'!$H$2:$H$4001,$AA741)&amp;"")</f>
        <v/>
      </c>
      <c r="G741">
        <f>IF($AA741="","",INDEX('Per Line'!$I$2:$I$4001,$AA741)&amp;"")</f>
        <v/>
      </c>
      <c r="H741">
        <f>IF($AA741="","",INDEX('Per Line'!$J$2:$J$4001,$AA741)&amp;"")</f>
        <v/>
      </c>
      <c r="I741">
        <f>IF($AA741="","",INDEX('Per Line'!$K$2:$K$4001,$AA741)&amp;"")</f>
        <v/>
      </c>
      <c r="J741">
        <f>IF($AA741="","",INDEX('Per Line'!$L$2:$L$4001,$AA741)&amp;"")</f>
        <v/>
      </c>
      <c r="K741">
        <f>IF($AA741="","",INDEX('Per Line'!$P$2:$P$4001,$AA741))</f>
        <v/>
      </c>
      <c r="L741" s="7">
        <f>IF($AA741="","",IF(AND(ISNUMBER(N741),N741&gt;0,Y741&gt;N741),K741*N741/100+(Y741-N741),K741*Y741/100))</f>
        <v/>
      </c>
      <c r="M741">
        <f>IF($AA741="","",INDEX('Per Line'!$Z$2:$Z$4001,$AA741)&amp;"")</f>
        <v/>
      </c>
      <c r="N741">
        <f>IF($AA741="","",INDEX('Per Line'!$AG$2:$AG$4001,$AA741))</f>
        <v/>
      </c>
      <c r="O741">
        <f>IF($AA741="","",IF(AND(ISNUMBER(N741),N741&gt;0),Y741&gt;N741,FALSE))</f>
        <v/>
      </c>
      <c r="P741" s="7">
        <f>IF($AA741="","",SUMIFS('Per Line'!$Y$2:$Y$4001,'Per Line'!$E$2:$E$4001,$B741,'Per Line'!$AQ$2:$AQ$4001,1))</f>
        <v/>
      </c>
      <c r="Q741">
        <f>IF($AA741="","",Settings!$C$7)</f>
        <v/>
      </c>
      <c r="R741" s="7">
        <f>IF($AA741="","",SUMIFS('Per Line'!$Y$2:$Y$4001,'Per Line'!$E$2:$E$4001,$B741,'Per Line'!$AP$2:$AP$4001,0,'Per Line'!$AQ$2:$AQ$4001,0))</f>
        <v/>
      </c>
      <c r="S741" s="7">
        <f>IF($AA741="","",R741*Q741)</f>
        <v/>
      </c>
      <c r="T741">
        <f>IF($AA741="","",Settings!$C$6)</f>
        <v/>
      </c>
      <c r="U741" s="7">
        <f>IF($AA741="","",SUMIFS('Per Line'!$Y$2:$Y$4001,'Per Line'!$E$2:$E$4001,$B741,'Per Line'!$AP$2:$AP$4001,1,'Per Line'!$AQ$2:$AQ$4001,0))</f>
        <v/>
      </c>
      <c r="V741" s="7">
        <f>IF($AA741="","",U741*T741)</f>
        <v/>
      </c>
      <c r="W741" s="7">
        <f>IF($AA741="","",V741+S741)</f>
        <v/>
      </c>
      <c r="X741" s="7">
        <f>IF($AA741="","",Y741-W741)</f>
        <v/>
      </c>
      <c r="Y741" s="7">
        <f>IF($AA741="","",R741+U741+P741)</f>
        <v/>
      </c>
      <c r="Z741" s="7">
        <f>IF($AA741="","",Y741-W741-L741)</f>
        <v/>
      </c>
      <c r="AA741" s="13">
        <f>IF(ROWS($AA$2:$AA741)&lt;=MAX('Per Line'!$AO$2:$AO$4001),MATCH(ROWS($AA$2:$AA741),'Per Line'!$AO$2:$AO$4001,0),"")</f>
        <v/>
      </c>
      <c r="AB741" s="14">
        <f>IF($AA741="","",L741-K741*Y741/100)</f>
        <v/>
      </c>
    </row>
    <row r="742">
      <c r="A742" s="12" t="n"/>
      <c r="B742">
        <f>IF($AA742="","",INDEX('Per Line'!$E$2:$E$4001,$AA742)&amp;"")</f>
        <v/>
      </c>
      <c r="C742">
        <f>IF($AA742="","",INDEX('Per Line'!$A$2:$A$4001,$AA742)&amp;"")</f>
        <v/>
      </c>
      <c r="D742">
        <f>IF($AA742="","",INDEX('Per Line'!$D$2:$D$4001,$AA742)&amp;"")</f>
        <v/>
      </c>
      <c r="E742" s="11">
        <f>IF($AA742="","",INDEX('Per Line'!$G$2:$G$4001,$AA742))</f>
        <v/>
      </c>
      <c r="F742">
        <f>IF($AA742="","",INDEX('Per Line'!$H$2:$H$4001,$AA742)&amp;"")</f>
        <v/>
      </c>
      <c r="G742">
        <f>IF($AA742="","",INDEX('Per Line'!$I$2:$I$4001,$AA742)&amp;"")</f>
        <v/>
      </c>
      <c r="H742">
        <f>IF($AA742="","",INDEX('Per Line'!$J$2:$J$4001,$AA742)&amp;"")</f>
        <v/>
      </c>
      <c r="I742">
        <f>IF($AA742="","",INDEX('Per Line'!$K$2:$K$4001,$AA742)&amp;"")</f>
        <v/>
      </c>
      <c r="J742">
        <f>IF($AA742="","",INDEX('Per Line'!$L$2:$L$4001,$AA742)&amp;"")</f>
        <v/>
      </c>
      <c r="K742">
        <f>IF($AA742="","",INDEX('Per Line'!$P$2:$P$4001,$AA742))</f>
        <v/>
      </c>
      <c r="L742" s="7">
        <f>IF($AA742="","",IF(AND(ISNUMBER(N742),N742&gt;0,Y742&gt;N742),K742*N742/100+(Y742-N742),K742*Y742/100))</f>
        <v/>
      </c>
      <c r="M742">
        <f>IF($AA742="","",INDEX('Per Line'!$Z$2:$Z$4001,$AA742)&amp;"")</f>
        <v/>
      </c>
      <c r="N742">
        <f>IF($AA742="","",INDEX('Per Line'!$AG$2:$AG$4001,$AA742))</f>
        <v/>
      </c>
      <c r="O742">
        <f>IF($AA742="","",IF(AND(ISNUMBER(N742),N742&gt;0),Y742&gt;N742,FALSE))</f>
        <v/>
      </c>
      <c r="P742" s="7">
        <f>IF($AA742="","",SUMIFS('Per Line'!$Y$2:$Y$4001,'Per Line'!$E$2:$E$4001,$B742,'Per Line'!$AQ$2:$AQ$4001,1))</f>
        <v/>
      </c>
      <c r="Q742">
        <f>IF($AA742="","",Settings!$C$7)</f>
        <v/>
      </c>
      <c r="R742" s="7">
        <f>IF($AA742="","",SUMIFS('Per Line'!$Y$2:$Y$4001,'Per Line'!$E$2:$E$4001,$B742,'Per Line'!$AP$2:$AP$4001,0,'Per Line'!$AQ$2:$AQ$4001,0))</f>
        <v/>
      </c>
      <c r="S742" s="7">
        <f>IF($AA742="","",R742*Q742)</f>
        <v/>
      </c>
      <c r="T742">
        <f>IF($AA742="","",Settings!$C$6)</f>
        <v/>
      </c>
      <c r="U742" s="7">
        <f>IF($AA742="","",SUMIFS('Per Line'!$Y$2:$Y$4001,'Per Line'!$E$2:$E$4001,$B742,'Per Line'!$AP$2:$AP$4001,1,'Per Line'!$AQ$2:$AQ$4001,0))</f>
        <v/>
      </c>
      <c r="V742" s="7">
        <f>IF($AA742="","",U742*T742)</f>
        <v/>
      </c>
      <c r="W742" s="7">
        <f>IF($AA742="","",V742+S742)</f>
        <v/>
      </c>
      <c r="X742" s="7">
        <f>IF($AA742="","",Y742-W742)</f>
        <v/>
      </c>
      <c r="Y742" s="7">
        <f>IF($AA742="","",R742+U742+P742)</f>
        <v/>
      </c>
      <c r="Z742" s="7">
        <f>IF($AA742="","",Y742-W742-L742)</f>
        <v/>
      </c>
      <c r="AA742" s="13">
        <f>IF(ROWS($AA$2:$AA742)&lt;=MAX('Per Line'!$AO$2:$AO$4001),MATCH(ROWS($AA$2:$AA742),'Per Line'!$AO$2:$AO$4001,0),"")</f>
        <v/>
      </c>
      <c r="AB742" s="14">
        <f>IF($AA742="","",L742-K742*Y742/100)</f>
        <v/>
      </c>
    </row>
    <row r="743">
      <c r="A743" s="12" t="n"/>
      <c r="B743">
        <f>IF($AA743="","",INDEX('Per Line'!$E$2:$E$4001,$AA743)&amp;"")</f>
        <v/>
      </c>
      <c r="C743">
        <f>IF($AA743="","",INDEX('Per Line'!$A$2:$A$4001,$AA743)&amp;"")</f>
        <v/>
      </c>
      <c r="D743">
        <f>IF($AA743="","",INDEX('Per Line'!$D$2:$D$4001,$AA743)&amp;"")</f>
        <v/>
      </c>
      <c r="E743" s="11">
        <f>IF($AA743="","",INDEX('Per Line'!$G$2:$G$4001,$AA743))</f>
        <v/>
      </c>
      <c r="F743">
        <f>IF($AA743="","",INDEX('Per Line'!$H$2:$H$4001,$AA743)&amp;"")</f>
        <v/>
      </c>
      <c r="G743">
        <f>IF($AA743="","",INDEX('Per Line'!$I$2:$I$4001,$AA743)&amp;"")</f>
        <v/>
      </c>
      <c r="H743">
        <f>IF($AA743="","",INDEX('Per Line'!$J$2:$J$4001,$AA743)&amp;"")</f>
        <v/>
      </c>
      <c r="I743">
        <f>IF($AA743="","",INDEX('Per Line'!$K$2:$K$4001,$AA743)&amp;"")</f>
        <v/>
      </c>
      <c r="J743">
        <f>IF($AA743="","",INDEX('Per Line'!$L$2:$L$4001,$AA743)&amp;"")</f>
        <v/>
      </c>
      <c r="K743">
        <f>IF($AA743="","",INDEX('Per Line'!$P$2:$P$4001,$AA743))</f>
        <v/>
      </c>
      <c r="L743" s="7">
        <f>IF($AA743="","",IF(AND(ISNUMBER(N743),N743&gt;0,Y743&gt;N743),K743*N743/100+(Y743-N743),K743*Y743/100))</f>
        <v/>
      </c>
      <c r="M743">
        <f>IF($AA743="","",INDEX('Per Line'!$Z$2:$Z$4001,$AA743)&amp;"")</f>
        <v/>
      </c>
      <c r="N743">
        <f>IF($AA743="","",INDEX('Per Line'!$AG$2:$AG$4001,$AA743))</f>
        <v/>
      </c>
      <c r="O743">
        <f>IF($AA743="","",IF(AND(ISNUMBER(N743),N743&gt;0),Y743&gt;N743,FALSE))</f>
        <v/>
      </c>
      <c r="P743" s="7">
        <f>IF($AA743="","",SUMIFS('Per Line'!$Y$2:$Y$4001,'Per Line'!$E$2:$E$4001,$B743,'Per Line'!$AQ$2:$AQ$4001,1))</f>
        <v/>
      </c>
      <c r="Q743">
        <f>IF($AA743="","",Settings!$C$7)</f>
        <v/>
      </c>
      <c r="R743" s="7">
        <f>IF($AA743="","",SUMIFS('Per Line'!$Y$2:$Y$4001,'Per Line'!$E$2:$E$4001,$B743,'Per Line'!$AP$2:$AP$4001,0,'Per Line'!$AQ$2:$AQ$4001,0))</f>
        <v/>
      </c>
      <c r="S743" s="7">
        <f>IF($AA743="","",R743*Q743)</f>
        <v/>
      </c>
      <c r="T743">
        <f>IF($AA743="","",Settings!$C$6)</f>
        <v/>
      </c>
      <c r="U743" s="7">
        <f>IF($AA743="","",SUMIFS('Per Line'!$Y$2:$Y$4001,'Per Line'!$E$2:$E$4001,$B743,'Per Line'!$AP$2:$AP$4001,1,'Per Line'!$AQ$2:$AQ$4001,0))</f>
        <v/>
      </c>
      <c r="V743" s="7">
        <f>IF($AA743="","",U743*T743)</f>
        <v/>
      </c>
      <c r="W743" s="7">
        <f>IF($AA743="","",V743+S743)</f>
        <v/>
      </c>
      <c r="X743" s="7">
        <f>IF($AA743="","",Y743-W743)</f>
        <v/>
      </c>
      <c r="Y743" s="7">
        <f>IF($AA743="","",R743+U743+P743)</f>
        <v/>
      </c>
      <c r="Z743" s="7">
        <f>IF($AA743="","",Y743-W743-L743)</f>
        <v/>
      </c>
      <c r="AA743" s="13">
        <f>IF(ROWS($AA$2:$AA743)&lt;=MAX('Per Line'!$AO$2:$AO$4001),MATCH(ROWS($AA$2:$AA743),'Per Line'!$AO$2:$AO$4001,0),"")</f>
        <v/>
      </c>
      <c r="AB743" s="14">
        <f>IF($AA743="","",L743-K743*Y743/100)</f>
        <v/>
      </c>
    </row>
    <row r="744">
      <c r="A744" s="12" t="n"/>
      <c r="B744">
        <f>IF($AA744="","",INDEX('Per Line'!$E$2:$E$4001,$AA744)&amp;"")</f>
        <v/>
      </c>
      <c r="C744">
        <f>IF($AA744="","",INDEX('Per Line'!$A$2:$A$4001,$AA744)&amp;"")</f>
        <v/>
      </c>
      <c r="D744">
        <f>IF($AA744="","",INDEX('Per Line'!$D$2:$D$4001,$AA744)&amp;"")</f>
        <v/>
      </c>
      <c r="E744" s="11">
        <f>IF($AA744="","",INDEX('Per Line'!$G$2:$G$4001,$AA744))</f>
        <v/>
      </c>
      <c r="F744">
        <f>IF($AA744="","",INDEX('Per Line'!$H$2:$H$4001,$AA744)&amp;"")</f>
        <v/>
      </c>
      <c r="G744">
        <f>IF($AA744="","",INDEX('Per Line'!$I$2:$I$4001,$AA744)&amp;"")</f>
        <v/>
      </c>
      <c r="H744">
        <f>IF($AA744="","",INDEX('Per Line'!$J$2:$J$4001,$AA744)&amp;"")</f>
        <v/>
      </c>
      <c r="I744">
        <f>IF($AA744="","",INDEX('Per Line'!$K$2:$K$4001,$AA744)&amp;"")</f>
        <v/>
      </c>
      <c r="J744">
        <f>IF($AA744="","",INDEX('Per Line'!$L$2:$L$4001,$AA744)&amp;"")</f>
        <v/>
      </c>
      <c r="K744">
        <f>IF($AA744="","",INDEX('Per Line'!$P$2:$P$4001,$AA744))</f>
        <v/>
      </c>
      <c r="L744" s="7">
        <f>IF($AA744="","",IF(AND(ISNUMBER(N744),N744&gt;0,Y744&gt;N744),K744*N744/100+(Y744-N744),K744*Y744/100))</f>
        <v/>
      </c>
      <c r="M744">
        <f>IF($AA744="","",INDEX('Per Line'!$Z$2:$Z$4001,$AA744)&amp;"")</f>
        <v/>
      </c>
      <c r="N744">
        <f>IF($AA744="","",INDEX('Per Line'!$AG$2:$AG$4001,$AA744))</f>
        <v/>
      </c>
      <c r="O744">
        <f>IF($AA744="","",IF(AND(ISNUMBER(N744),N744&gt;0),Y744&gt;N744,FALSE))</f>
        <v/>
      </c>
      <c r="P744" s="7">
        <f>IF($AA744="","",SUMIFS('Per Line'!$Y$2:$Y$4001,'Per Line'!$E$2:$E$4001,$B744,'Per Line'!$AQ$2:$AQ$4001,1))</f>
        <v/>
      </c>
      <c r="Q744">
        <f>IF($AA744="","",Settings!$C$7)</f>
        <v/>
      </c>
      <c r="R744" s="7">
        <f>IF($AA744="","",SUMIFS('Per Line'!$Y$2:$Y$4001,'Per Line'!$E$2:$E$4001,$B744,'Per Line'!$AP$2:$AP$4001,0,'Per Line'!$AQ$2:$AQ$4001,0))</f>
        <v/>
      </c>
      <c r="S744" s="7">
        <f>IF($AA744="","",R744*Q744)</f>
        <v/>
      </c>
      <c r="T744">
        <f>IF($AA744="","",Settings!$C$6)</f>
        <v/>
      </c>
      <c r="U744" s="7">
        <f>IF($AA744="","",SUMIFS('Per Line'!$Y$2:$Y$4001,'Per Line'!$E$2:$E$4001,$B744,'Per Line'!$AP$2:$AP$4001,1,'Per Line'!$AQ$2:$AQ$4001,0))</f>
        <v/>
      </c>
      <c r="V744" s="7">
        <f>IF($AA744="","",U744*T744)</f>
        <v/>
      </c>
      <c r="W744" s="7">
        <f>IF($AA744="","",V744+S744)</f>
        <v/>
      </c>
      <c r="X744" s="7">
        <f>IF($AA744="","",Y744-W744)</f>
        <v/>
      </c>
      <c r="Y744" s="7">
        <f>IF($AA744="","",R744+U744+P744)</f>
        <v/>
      </c>
      <c r="Z744" s="7">
        <f>IF($AA744="","",Y744-W744-L744)</f>
        <v/>
      </c>
      <c r="AA744" s="13">
        <f>IF(ROWS($AA$2:$AA744)&lt;=MAX('Per Line'!$AO$2:$AO$4001),MATCH(ROWS($AA$2:$AA744),'Per Line'!$AO$2:$AO$4001,0),"")</f>
        <v/>
      </c>
      <c r="AB744" s="14">
        <f>IF($AA744="","",L744-K744*Y744/100)</f>
        <v/>
      </c>
    </row>
    <row r="745">
      <c r="A745" s="12" t="n"/>
      <c r="B745">
        <f>IF($AA745="","",INDEX('Per Line'!$E$2:$E$4001,$AA745)&amp;"")</f>
        <v/>
      </c>
      <c r="C745">
        <f>IF($AA745="","",INDEX('Per Line'!$A$2:$A$4001,$AA745)&amp;"")</f>
        <v/>
      </c>
      <c r="D745">
        <f>IF($AA745="","",INDEX('Per Line'!$D$2:$D$4001,$AA745)&amp;"")</f>
        <v/>
      </c>
      <c r="E745" s="11">
        <f>IF($AA745="","",INDEX('Per Line'!$G$2:$G$4001,$AA745))</f>
        <v/>
      </c>
      <c r="F745">
        <f>IF($AA745="","",INDEX('Per Line'!$H$2:$H$4001,$AA745)&amp;"")</f>
        <v/>
      </c>
      <c r="G745">
        <f>IF($AA745="","",INDEX('Per Line'!$I$2:$I$4001,$AA745)&amp;"")</f>
        <v/>
      </c>
      <c r="H745">
        <f>IF($AA745="","",INDEX('Per Line'!$J$2:$J$4001,$AA745)&amp;"")</f>
        <v/>
      </c>
      <c r="I745">
        <f>IF($AA745="","",INDEX('Per Line'!$K$2:$K$4001,$AA745)&amp;"")</f>
        <v/>
      </c>
      <c r="J745">
        <f>IF($AA745="","",INDEX('Per Line'!$L$2:$L$4001,$AA745)&amp;"")</f>
        <v/>
      </c>
      <c r="K745">
        <f>IF($AA745="","",INDEX('Per Line'!$P$2:$P$4001,$AA745))</f>
        <v/>
      </c>
      <c r="L745" s="7">
        <f>IF($AA745="","",IF(AND(ISNUMBER(N745),N745&gt;0,Y745&gt;N745),K745*N745/100+(Y745-N745),K745*Y745/100))</f>
        <v/>
      </c>
      <c r="M745">
        <f>IF($AA745="","",INDEX('Per Line'!$Z$2:$Z$4001,$AA745)&amp;"")</f>
        <v/>
      </c>
      <c r="N745">
        <f>IF($AA745="","",INDEX('Per Line'!$AG$2:$AG$4001,$AA745))</f>
        <v/>
      </c>
      <c r="O745">
        <f>IF($AA745="","",IF(AND(ISNUMBER(N745),N745&gt;0),Y745&gt;N745,FALSE))</f>
        <v/>
      </c>
      <c r="P745" s="7">
        <f>IF($AA745="","",SUMIFS('Per Line'!$Y$2:$Y$4001,'Per Line'!$E$2:$E$4001,$B745,'Per Line'!$AQ$2:$AQ$4001,1))</f>
        <v/>
      </c>
      <c r="Q745">
        <f>IF($AA745="","",Settings!$C$7)</f>
        <v/>
      </c>
      <c r="R745" s="7">
        <f>IF($AA745="","",SUMIFS('Per Line'!$Y$2:$Y$4001,'Per Line'!$E$2:$E$4001,$B745,'Per Line'!$AP$2:$AP$4001,0,'Per Line'!$AQ$2:$AQ$4001,0))</f>
        <v/>
      </c>
      <c r="S745" s="7">
        <f>IF($AA745="","",R745*Q745)</f>
        <v/>
      </c>
      <c r="T745">
        <f>IF($AA745="","",Settings!$C$6)</f>
        <v/>
      </c>
      <c r="U745" s="7">
        <f>IF($AA745="","",SUMIFS('Per Line'!$Y$2:$Y$4001,'Per Line'!$E$2:$E$4001,$B745,'Per Line'!$AP$2:$AP$4001,1,'Per Line'!$AQ$2:$AQ$4001,0))</f>
        <v/>
      </c>
      <c r="V745" s="7">
        <f>IF($AA745="","",U745*T745)</f>
        <v/>
      </c>
      <c r="W745" s="7">
        <f>IF($AA745="","",V745+S745)</f>
        <v/>
      </c>
      <c r="X745" s="7">
        <f>IF($AA745="","",Y745-W745)</f>
        <v/>
      </c>
      <c r="Y745" s="7">
        <f>IF($AA745="","",R745+U745+P745)</f>
        <v/>
      </c>
      <c r="Z745" s="7">
        <f>IF($AA745="","",Y745-W745-L745)</f>
        <v/>
      </c>
      <c r="AA745" s="13">
        <f>IF(ROWS($AA$2:$AA745)&lt;=MAX('Per Line'!$AO$2:$AO$4001),MATCH(ROWS($AA$2:$AA745),'Per Line'!$AO$2:$AO$4001,0),"")</f>
        <v/>
      </c>
      <c r="AB745" s="14">
        <f>IF($AA745="","",L745-K745*Y745/100)</f>
        <v/>
      </c>
    </row>
    <row r="746">
      <c r="A746" s="12" t="n"/>
      <c r="B746">
        <f>IF($AA746="","",INDEX('Per Line'!$E$2:$E$4001,$AA746)&amp;"")</f>
        <v/>
      </c>
      <c r="C746">
        <f>IF($AA746="","",INDEX('Per Line'!$A$2:$A$4001,$AA746)&amp;"")</f>
        <v/>
      </c>
      <c r="D746">
        <f>IF($AA746="","",INDEX('Per Line'!$D$2:$D$4001,$AA746)&amp;"")</f>
        <v/>
      </c>
      <c r="E746" s="11">
        <f>IF($AA746="","",INDEX('Per Line'!$G$2:$G$4001,$AA746))</f>
        <v/>
      </c>
      <c r="F746">
        <f>IF($AA746="","",INDEX('Per Line'!$H$2:$H$4001,$AA746)&amp;"")</f>
        <v/>
      </c>
      <c r="G746">
        <f>IF($AA746="","",INDEX('Per Line'!$I$2:$I$4001,$AA746)&amp;"")</f>
        <v/>
      </c>
      <c r="H746">
        <f>IF($AA746="","",INDEX('Per Line'!$J$2:$J$4001,$AA746)&amp;"")</f>
        <v/>
      </c>
      <c r="I746">
        <f>IF($AA746="","",INDEX('Per Line'!$K$2:$K$4001,$AA746)&amp;"")</f>
        <v/>
      </c>
      <c r="J746">
        <f>IF($AA746="","",INDEX('Per Line'!$L$2:$L$4001,$AA746)&amp;"")</f>
        <v/>
      </c>
      <c r="K746">
        <f>IF($AA746="","",INDEX('Per Line'!$P$2:$P$4001,$AA746))</f>
        <v/>
      </c>
      <c r="L746" s="7">
        <f>IF($AA746="","",IF(AND(ISNUMBER(N746),N746&gt;0,Y746&gt;N746),K746*N746/100+(Y746-N746),K746*Y746/100))</f>
        <v/>
      </c>
      <c r="M746">
        <f>IF($AA746="","",INDEX('Per Line'!$Z$2:$Z$4001,$AA746)&amp;"")</f>
        <v/>
      </c>
      <c r="N746">
        <f>IF($AA746="","",INDEX('Per Line'!$AG$2:$AG$4001,$AA746))</f>
        <v/>
      </c>
      <c r="O746">
        <f>IF($AA746="","",IF(AND(ISNUMBER(N746),N746&gt;0),Y746&gt;N746,FALSE))</f>
        <v/>
      </c>
      <c r="P746" s="7">
        <f>IF($AA746="","",SUMIFS('Per Line'!$Y$2:$Y$4001,'Per Line'!$E$2:$E$4001,$B746,'Per Line'!$AQ$2:$AQ$4001,1))</f>
        <v/>
      </c>
      <c r="Q746">
        <f>IF($AA746="","",Settings!$C$7)</f>
        <v/>
      </c>
      <c r="R746" s="7">
        <f>IF($AA746="","",SUMIFS('Per Line'!$Y$2:$Y$4001,'Per Line'!$E$2:$E$4001,$B746,'Per Line'!$AP$2:$AP$4001,0,'Per Line'!$AQ$2:$AQ$4001,0))</f>
        <v/>
      </c>
      <c r="S746" s="7">
        <f>IF($AA746="","",R746*Q746)</f>
        <v/>
      </c>
      <c r="T746">
        <f>IF($AA746="","",Settings!$C$6)</f>
        <v/>
      </c>
      <c r="U746" s="7">
        <f>IF($AA746="","",SUMIFS('Per Line'!$Y$2:$Y$4001,'Per Line'!$E$2:$E$4001,$B746,'Per Line'!$AP$2:$AP$4001,1,'Per Line'!$AQ$2:$AQ$4001,0))</f>
        <v/>
      </c>
      <c r="V746" s="7">
        <f>IF($AA746="","",U746*T746)</f>
        <v/>
      </c>
      <c r="W746" s="7">
        <f>IF($AA746="","",V746+S746)</f>
        <v/>
      </c>
      <c r="X746" s="7">
        <f>IF($AA746="","",Y746-W746)</f>
        <v/>
      </c>
      <c r="Y746" s="7">
        <f>IF($AA746="","",R746+U746+P746)</f>
        <v/>
      </c>
      <c r="Z746" s="7">
        <f>IF($AA746="","",Y746-W746-L746)</f>
        <v/>
      </c>
      <c r="AA746" s="13">
        <f>IF(ROWS($AA$2:$AA746)&lt;=MAX('Per Line'!$AO$2:$AO$4001),MATCH(ROWS($AA$2:$AA746),'Per Line'!$AO$2:$AO$4001,0),"")</f>
        <v/>
      </c>
      <c r="AB746" s="14">
        <f>IF($AA746="","",L746-K746*Y746/100)</f>
        <v/>
      </c>
    </row>
    <row r="747">
      <c r="A747" s="12" t="n"/>
      <c r="B747">
        <f>IF($AA747="","",INDEX('Per Line'!$E$2:$E$4001,$AA747)&amp;"")</f>
        <v/>
      </c>
      <c r="C747">
        <f>IF($AA747="","",INDEX('Per Line'!$A$2:$A$4001,$AA747)&amp;"")</f>
        <v/>
      </c>
      <c r="D747">
        <f>IF($AA747="","",INDEX('Per Line'!$D$2:$D$4001,$AA747)&amp;"")</f>
        <v/>
      </c>
      <c r="E747" s="11">
        <f>IF($AA747="","",INDEX('Per Line'!$G$2:$G$4001,$AA747))</f>
        <v/>
      </c>
      <c r="F747">
        <f>IF($AA747="","",INDEX('Per Line'!$H$2:$H$4001,$AA747)&amp;"")</f>
        <v/>
      </c>
      <c r="G747">
        <f>IF($AA747="","",INDEX('Per Line'!$I$2:$I$4001,$AA747)&amp;"")</f>
        <v/>
      </c>
      <c r="H747">
        <f>IF($AA747="","",INDEX('Per Line'!$J$2:$J$4001,$AA747)&amp;"")</f>
        <v/>
      </c>
      <c r="I747">
        <f>IF($AA747="","",INDEX('Per Line'!$K$2:$K$4001,$AA747)&amp;"")</f>
        <v/>
      </c>
      <c r="J747">
        <f>IF($AA747="","",INDEX('Per Line'!$L$2:$L$4001,$AA747)&amp;"")</f>
        <v/>
      </c>
      <c r="K747">
        <f>IF($AA747="","",INDEX('Per Line'!$P$2:$P$4001,$AA747))</f>
        <v/>
      </c>
      <c r="L747" s="7">
        <f>IF($AA747="","",IF(AND(ISNUMBER(N747),N747&gt;0,Y747&gt;N747),K747*N747/100+(Y747-N747),K747*Y747/100))</f>
        <v/>
      </c>
      <c r="M747">
        <f>IF($AA747="","",INDEX('Per Line'!$Z$2:$Z$4001,$AA747)&amp;"")</f>
        <v/>
      </c>
      <c r="N747">
        <f>IF($AA747="","",INDEX('Per Line'!$AG$2:$AG$4001,$AA747))</f>
        <v/>
      </c>
      <c r="O747">
        <f>IF($AA747="","",IF(AND(ISNUMBER(N747),N747&gt;0),Y747&gt;N747,FALSE))</f>
        <v/>
      </c>
      <c r="P747" s="7">
        <f>IF($AA747="","",SUMIFS('Per Line'!$Y$2:$Y$4001,'Per Line'!$E$2:$E$4001,$B747,'Per Line'!$AQ$2:$AQ$4001,1))</f>
        <v/>
      </c>
      <c r="Q747">
        <f>IF($AA747="","",Settings!$C$7)</f>
        <v/>
      </c>
      <c r="R747" s="7">
        <f>IF($AA747="","",SUMIFS('Per Line'!$Y$2:$Y$4001,'Per Line'!$E$2:$E$4001,$B747,'Per Line'!$AP$2:$AP$4001,0,'Per Line'!$AQ$2:$AQ$4001,0))</f>
        <v/>
      </c>
      <c r="S747" s="7">
        <f>IF($AA747="","",R747*Q747)</f>
        <v/>
      </c>
      <c r="T747">
        <f>IF($AA747="","",Settings!$C$6)</f>
        <v/>
      </c>
      <c r="U747" s="7">
        <f>IF($AA747="","",SUMIFS('Per Line'!$Y$2:$Y$4001,'Per Line'!$E$2:$E$4001,$B747,'Per Line'!$AP$2:$AP$4001,1,'Per Line'!$AQ$2:$AQ$4001,0))</f>
        <v/>
      </c>
      <c r="V747" s="7">
        <f>IF($AA747="","",U747*T747)</f>
        <v/>
      </c>
      <c r="W747" s="7">
        <f>IF($AA747="","",V747+S747)</f>
        <v/>
      </c>
      <c r="X747" s="7">
        <f>IF($AA747="","",Y747-W747)</f>
        <v/>
      </c>
      <c r="Y747" s="7">
        <f>IF($AA747="","",R747+U747+P747)</f>
        <v/>
      </c>
      <c r="Z747" s="7">
        <f>IF($AA747="","",Y747-W747-L747)</f>
        <v/>
      </c>
      <c r="AA747" s="13">
        <f>IF(ROWS($AA$2:$AA747)&lt;=MAX('Per Line'!$AO$2:$AO$4001),MATCH(ROWS($AA$2:$AA747),'Per Line'!$AO$2:$AO$4001,0),"")</f>
        <v/>
      </c>
      <c r="AB747" s="14">
        <f>IF($AA747="","",L747-K747*Y747/100)</f>
        <v/>
      </c>
    </row>
    <row r="748">
      <c r="A748" s="12" t="n"/>
      <c r="B748">
        <f>IF($AA748="","",INDEX('Per Line'!$E$2:$E$4001,$AA748)&amp;"")</f>
        <v/>
      </c>
      <c r="C748">
        <f>IF($AA748="","",INDEX('Per Line'!$A$2:$A$4001,$AA748)&amp;"")</f>
        <v/>
      </c>
      <c r="D748">
        <f>IF($AA748="","",INDEX('Per Line'!$D$2:$D$4001,$AA748)&amp;"")</f>
        <v/>
      </c>
      <c r="E748" s="11">
        <f>IF($AA748="","",INDEX('Per Line'!$G$2:$G$4001,$AA748))</f>
        <v/>
      </c>
      <c r="F748">
        <f>IF($AA748="","",INDEX('Per Line'!$H$2:$H$4001,$AA748)&amp;"")</f>
        <v/>
      </c>
      <c r="G748">
        <f>IF($AA748="","",INDEX('Per Line'!$I$2:$I$4001,$AA748)&amp;"")</f>
        <v/>
      </c>
      <c r="H748">
        <f>IF($AA748="","",INDEX('Per Line'!$J$2:$J$4001,$AA748)&amp;"")</f>
        <v/>
      </c>
      <c r="I748">
        <f>IF($AA748="","",INDEX('Per Line'!$K$2:$K$4001,$AA748)&amp;"")</f>
        <v/>
      </c>
      <c r="J748">
        <f>IF($AA748="","",INDEX('Per Line'!$L$2:$L$4001,$AA748)&amp;"")</f>
        <v/>
      </c>
      <c r="K748">
        <f>IF($AA748="","",INDEX('Per Line'!$P$2:$P$4001,$AA748))</f>
        <v/>
      </c>
      <c r="L748" s="7">
        <f>IF($AA748="","",IF(AND(ISNUMBER(N748),N748&gt;0,Y748&gt;N748),K748*N748/100+(Y748-N748),K748*Y748/100))</f>
        <v/>
      </c>
      <c r="M748">
        <f>IF($AA748="","",INDEX('Per Line'!$Z$2:$Z$4001,$AA748)&amp;"")</f>
        <v/>
      </c>
      <c r="N748">
        <f>IF($AA748="","",INDEX('Per Line'!$AG$2:$AG$4001,$AA748))</f>
        <v/>
      </c>
      <c r="O748">
        <f>IF($AA748="","",IF(AND(ISNUMBER(N748),N748&gt;0),Y748&gt;N748,FALSE))</f>
        <v/>
      </c>
      <c r="P748" s="7">
        <f>IF($AA748="","",SUMIFS('Per Line'!$Y$2:$Y$4001,'Per Line'!$E$2:$E$4001,$B748,'Per Line'!$AQ$2:$AQ$4001,1))</f>
        <v/>
      </c>
      <c r="Q748">
        <f>IF($AA748="","",Settings!$C$7)</f>
        <v/>
      </c>
      <c r="R748" s="7">
        <f>IF($AA748="","",SUMIFS('Per Line'!$Y$2:$Y$4001,'Per Line'!$E$2:$E$4001,$B748,'Per Line'!$AP$2:$AP$4001,0,'Per Line'!$AQ$2:$AQ$4001,0))</f>
        <v/>
      </c>
      <c r="S748" s="7">
        <f>IF($AA748="","",R748*Q748)</f>
        <v/>
      </c>
      <c r="T748">
        <f>IF($AA748="","",Settings!$C$6)</f>
        <v/>
      </c>
      <c r="U748" s="7">
        <f>IF($AA748="","",SUMIFS('Per Line'!$Y$2:$Y$4001,'Per Line'!$E$2:$E$4001,$B748,'Per Line'!$AP$2:$AP$4001,1,'Per Line'!$AQ$2:$AQ$4001,0))</f>
        <v/>
      </c>
      <c r="V748" s="7">
        <f>IF($AA748="","",U748*T748)</f>
        <v/>
      </c>
      <c r="W748" s="7">
        <f>IF($AA748="","",V748+S748)</f>
        <v/>
      </c>
      <c r="X748" s="7">
        <f>IF($AA748="","",Y748-W748)</f>
        <v/>
      </c>
      <c r="Y748" s="7">
        <f>IF($AA748="","",R748+U748+P748)</f>
        <v/>
      </c>
      <c r="Z748" s="7">
        <f>IF($AA748="","",Y748-W748-L748)</f>
        <v/>
      </c>
      <c r="AA748" s="13">
        <f>IF(ROWS($AA$2:$AA748)&lt;=MAX('Per Line'!$AO$2:$AO$4001),MATCH(ROWS($AA$2:$AA748),'Per Line'!$AO$2:$AO$4001,0),"")</f>
        <v/>
      </c>
      <c r="AB748" s="14">
        <f>IF($AA748="","",L748-K748*Y748/100)</f>
        <v/>
      </c>
    </row>
    <row r="749">
      <c r="A749" s="12" t="n"/>
      <c r="B749">
        <f>IF($AA749="","",INDEX('Per Line'!$E$2:$E$4001,$AA749)&amp;"")</f>
        <v/>
      </c>
      <c r="C749">
        <f>IF($AA749="","",INDEX('Per Line'!$A$2:$A$4001,$AA749)&amp;"")</f>
        <v/>
      </c>
      <c r="D749">
        <f>IF($AA749="","",INDEX('Per Line'!$D$2:$D$4001,$AA749)&amp;"")</f>
        <v/>
      </c>
      <c r="E749" s="11">
        <f>IF($AA749="","",INDEX('Per Line'!$G$2:$G$4001,$AA749))</f>
        <v/>
      </c>
      <c r="F749">
        <f>IF($AA749="","",INDEX('Per Line'!$H$2:$H$4001,$AA749)&amp;"")</f>
        <v/>
      </c>
      <c r="G749">
        <f>IF($AA749="","",INDEX('Per Line'!$I$2:$I$4001,$AA749)&amp;"")</f>
        <v/>
      </c>
      <c r="H749">
        <f>IF($AA749="","",INDEX('Per Line'!$J$2:$J$4001,$AA749)&amp;"")</f>
        <v/>
      </c>
      <c r="I749">
        <f>IF($AA749="","",INDEX('Per Line'!$K$2:$K$4001,$AA749)&amp;"")</f>
        <v/>
      </c>
      <c r="J749">
        <f>IF($AA749="","",INDEX('Per Line'!$L$2:$L$4001,$AA749)&amp;"")</f>
        <v/>
      </c>
      <c r="K749">
        <f>IF($AA749="","",INDEX('Per Line'!$P$2:$P$4001,$AA749))</f>
        <v/>
      </c>
      <c r="L749" s="7">
        <f>IF($AA749="","",IF(AND(ISNUMBER(N749),N749&gt;0,Y749&gt;N749),K749*N749/100+(Y749-N749),K749*Y749/100))</f>
        <v/>
      </c>
      <c r="M749">
        <f>IF($AA749="","",INDEX('Per Line'!$Z$2:$Z$4001,$AA749)&amp;"")</f>
        <v/>
      </c>
      <c r="N749">
        <f>IF($AA749="","",INDEX('Per Line'!$AG$2:$AG$4001,$AA749))</f>
        <v/>
      </c>
      <c r="O749">
        <f>IF($AA749="","",IF(AND(ISNUMBER(N749),N749&gt;0),Y749&gt;N749,FALSE))</f>
        <v/>
      </c>
      <c r="P749" s="7">
        <f>IF($AA749="","",SUMIFS('Per Line'!$Y$2:$Y$4001,'Per Line'!$E$2:$E$4001,$B749,'Per Line'!$AQ$2:$AQ$4001,1))</f>
        <v/>
      </c>
      <c r="Q749">
        <f>IF($AA749="","",Settings!$C$7)</f>
        <v/>
      </c>
      <c r="R749" s="7">
        <f>IF($AA749="","",SUMIFS('Per Line'!$Y$2:$Y$4001,'Per Line'!$E$2:$E$4001,$B749,'Per Line'!$AP$2:$AP$4001,0,'Per Line'!$AQ$2:$AQ$4001,0))</f>
        <v/>
      </c>
      <c r="S749" s="7">
        <f>IF($AA749="","",R749*Q749)</f>
        <v/>
      </c>
      <c r="T749">
        <f>IF($AA749="","",Settings!$C$6)</f>
        <v/>
      </c>
      <c r="U749" s="7">
        <f>IF($AA749="","",SUMIFS('Per Line'!$Y$2:$Y$4001,'Per Line'!$E$2:$E$4001,$B749,'Per Line'!$AP$2:$AP$4001,1,'Per Line'!$AQ$2:$AQ$4001,0))</f>
        <v/>
      </c>
      <c r="V749" s="7">
        <f>IF($AA749="","",U749*T749)</f>
        <v/>
      </c>
      <c r="W749" s="7">
        <f>IF($AA749="","",V749+S749)</f>
        <v/>
      </c>
      <c r="X749" s="7">
        <f>IF($AA749="","",Y749-W749)</f>
        <v/>
      </c>
      <c r="Y749" s="7">
        <f>IF($AA749="","",R749+U749+P749)</f>
        <v/>
      </c>
      <c r="Z749" s="7">
        <f>IF($AA749="","",Y749-W749-L749)</f>
        <v/>
      </c>
      <c r="AA749" s="13">
        <f>IF(ROWS($AA$2:$AA749)&lt;=MAX('Per Line'!$AO$2:$AO$4001),MATCH(ROWS($AA$2:$AA749),'Per Line'!$AO$2:$AO$4001,0),"")</f>
        <v/>
      </c>
      <c r="AB749" s="14">
        <f>IF($AA749="","",L749-K749*Y749/100)</f>
        <v/>
      </c>
    </row>
    <row r="750">
      <c r="A750" s="12" t="n"/>
      <c r="B750">
        <f>IF($AA750="","",INDEX('Per Line'!$E$2:$E$4001,$AA750)&amp;"")</f>
        <v/>
      </c>
      <c r="C750">
        <f>IF($AA750="","",INDEX('Per Line'!$A$2:$A$4001,$AA750)&amp;"")</f>
        <v/>
      </c>
      <c r="D750">
        <f>IF($AA750="","",INDEX('Per Line'!$D$2:$D$4001,$AA750)&amp;"")</f>
        <v/>
      </c>
      <c r="E750" s="11">
        <f>IF($AA750="","",INDEX('Per Line'!$G$2:$G$4001,$AA750))</f>
        <v/>
      </c>
      <c r="F750">
        <f>IF($AA750="","",INDEX('Per Line'!$H$2:$H$4001,$AA750)&amp;"")</f>
        <v/>
      </c>
      <c r="G750">
        <f>IF($AA750="","",INDEX('Per Line'!$I$2:$I$4001,$AA750)&amp;"")</f>
        <v/>
      </c>
      <c r="H750">
        <f>IF($AA750="","",INDEX('Per Line'!$J$2:$J$4001,$AA750)&amp;"")</f>
        <v/>
      </c>
      <c r="I750">
        <f>IF($AA750="","",INDEX('Per Line'!$K$2:$K$4001,$AA750)&amp;"")</f>
        <v/>
      </c>
      <c r="J750">
        <f>IF($AA750="","",INDEX('Per Line'!$L$2:$L$4001,$AA750)&amp;"")</f>
        <v/>
      </c>
      <c r="K750">
        <f>IF($AA750="","",INDEX('Per Line'!$P$2:$P$4001,$AA750))</f>
        <v/>
      </c>
      <c r="L750" s="7">
        <f>IF($AA750="","",IF(AND(ISNUMBER(N750),N750&gt;0,Y750&gt;N750),K750*N750/100+(Y750-N750),K750*Y750/100))</f>
        <v/>
      </c>
      <c r="M750">
        <f>IF($AA750="","",INDEX('Per Line'!$Z$2:$Z$4001,$AA750)&amp;"")</f>
        <v/>
      </c>
      <c r="N750">
        <f>IF($AA750="","",INDEX('Per Line'!$AG$2:$AG$4001,$AA750))</f>
        <v/>
      </c>
      <c r="O750">
        <f>IF($AA750="","",IF(AND(ISNUMBER(N750),N750&gt;0),Y750&gt;N750,FALSE))</f>
        <v/>
      </c>
      <c r="P750" s="7">
        <f>IF($AA750="","",SUMIFS('Per Line'!$Y$2:$Y$4001,'Per Line'!$E$2:$E$4001,$B750,'Per Line'!$AQ$2:$AQ$4001,1))</f>
        <v/>
      </c>
      <c r="Q750">
        <f>IF($AA750="","",Settings!$C$7)</f>
        <v/>
      </c>
      <c r="R750" s="7">
        <f>IF($AA750="","",SUMIFS('Per Line'!$Y$2:$Y$4001,'Per Line'!$E$2:$E$4001,$B750,'Per Line'!$AP$2:$AP$4001,0,'Per Line'!$AQ$2:$AQ$4001,0))</f>
        <v/>
      </c>
      <c r="S750" s="7">
        <f>IF($AA750="","",R750*Q750)</f>
        <v/>
      </c>
      <c r="T750">
        <f>IF($AA750="","",Settings!$C$6)</f>
        <v/>
      </c>
      <c r="U750" s="7">
        <f>IF($AA750="","",SUMIFS('Per Line'!$Y$2:$Y$4001,'Per Line'!$E$2:$E$4001,$B750,'Per Line'!$AP$2:$AP$4001,1,'Per Line'!$AQ$2:$AQ$4001,0))</f>
        <v/>
      </c>
      <c r="V750" s="7">
        <f>IF($AA750="","",U750*T750)</f>
        <v/>
      </c>
      <c r="W750" s="7">
        <f>IF($AA750="","",V750+S750)</f>
        <v/>
      </c>
      <c r="X750" s="7">
        <f>IF($AA750="","",Y750-W750)</f>
        <v/>
      </c>
      <c r="Y750" s="7">
        <f>IF($AA750="","",R750+U750+P750)</f>
        <v/>
      </c>
      <c r="Z750" s="7">
        <f>IF($AA750="","",Y750-W750-L750)</f>
        <v/>
      </c>
      <c r="AA750" s="13">
        <f>IF(ROWS($AA$2:$AA750)&lt;=MAX('Per Line'!$AO$2:$AO$4001),MATCH(ROWS($AA$2:$AA750),'Per Line'!$AO$2:$AO$4001,0),"")</f>
        <v/>
      </c>
      <c r="AB750" s="14">
        <f>IF($AA750="","",L750-K750*Y750/100)</f>
        <v/>
      </c>
    </row>
    <row r="751">
      <c r="A751" s="12" t="n"/>
      <c r="B751">
        <f>IF($AA751="","",INDEX('Per Line'!$E$2:$E$4001,$AA751)&amp;"")</f>
        <v/>
      </c>
      <c r="C751">
        <f>IF($AA751="","",INDEX('Per Line'!$A$2:$A$4001,$AA751)&amp;"")</f>
        <v/>
      </c>
      <c r="D751">
        <f>IF($AA751="","",INDEX('Per Line'!$D$2:$D$4001,$AA751)&amp;"")</f>
        <v/>
      </c>
      <c r="E751" s="11">
        <f>IF($AA751="","",INDEX('Per Line'!$G$2:$G$4001,$AA751))</f>
        <v/>
      </c>
      <c r="F751">
        <f>IF($AA751="","",INDEX('Per Line'!$H$2:$H$4001,$AA751)&amp;"")</f>
        <v/>
      </c>
      <c r="G751">
        <f>IF($AA751="","",INDEX('Per Line'!$I$2:$I$4001,$AA751)&amp;"")</f>
        <v/>
      </c>
      <c r="H751">
        <f>IF($AA751="","",INDEX('Per Line'!$J$2:$J$4001,$AA751)&amp;"")</f>
        <v/>
      </c>
      <c r="I751">
        <f>IF($AA751="","",INDEX('Per Line'!$K$2:$K$4001,$AA751)&amp;"")</f>
        <v/>
      </c>
      <c r="J751">
        <f>IF($AA751="","",INDEX('Per Line'!$L$2:$L$4001,$AA751)&amp;"")</f>
        <v/>
      </c>
      <c r="K751">
        <f>IF($AA751="","",INDEX('Per Line'!$P$2:$P$4001,$AA751))</f>
        <v/>
      </c>
      <c r="L751" s="7">
        <f>IF($AA751="","",IF(AND(ISNUMBER(N751),N751&gt;0,Y751&gt;N751),K751*N751/100+(Y751-N751),K751*Y751/100))</f>
        <v/>
      </c>
      <c r="M751">
        <f>IF($AA751="","",INDEX('Per Line'!$Z$2:$Z$4001,$AA751)&amp;"")</f>
        <v/>
      </c>
      <c r="N751">
        <f>IF($AA751="","",INDEX('Per Line'!$AG$2:$AG$4001,$AA751))</f>
        <v/>
      </c>
      <c r="O751">
        <f>IF($AA751="","",IF(AND(ISNUMBER(N751),N751&gt;0),Y751&gt;N751,FALSE))</f>
        <v/>
      </c>
      <c r="P751" s="7">
        <f>IF($AA751="","",SUMIFS('Per Line'!$Y$2:$Y$4001,'Per Line'!$E$2:$E$4001,$B751,'Per Line'!$AQ$2:$AQ$4001,1))</f>
        <v/>
      </c>
      <c r="Q751">
        <f>IF($AA751="","",Settings!$C$7)</f>
        <v/>
      </c>
      <c r="R751" s="7">
        <f>IF($AA751="","",SUMIFS('Per Line'!$Y$2:$Y$4001,'Per Line'!$E$2:$E$4001,$B751,'Per Line'!$AP$2:$AP$4001,0,'Per Line'!$AQ$2:$AQ$4001,0))</f>
        <v/>
      </c>
      <c r="S751" s="7">
        <f>IF($AA751="","",R751*Q751)</f>
        <v/>
      </c>
      <c r="T751">
        <f>IF($AA751="","",Settings!$C$6)</f>
        <v/>
      </c>
      <c r="U751" s="7">
        <f>IF($AA751="","",SUMIFS('Per Line'!$Y$2:$Y$4001,'Per Line'!$E$2:$E$4001,$B751,'Per Line'!$AP$2:$AP$4001,1,'Per Line'!$AQ$2:$AQ$4001,0))</f>
        <v/>
      </c>
      <c r="V751" s="7">
        <f>IF($AA751="","",U751*T751)</f>
        <v/>
      </c>
      <c r="W751" s="7">
        <f>IF($AA751="","",V751+S751)</f>
        <v/>
      </c>
      <c r="X751" s="7">
        <f>IF($AA751="","",Y751-W751)</f>
        <v/>
      </c>
      <c r="Y751" s="7">
        <f>IF($AA751="","",R751+U751+P751)</f>
        <v/>
      </c>
      <c r="Z751" s="7">
        <f>IF($AA751="","",Y751-W751-L751)</f>
        <v/>
      </c>
      <c r="AA751" s="13">
        <f>IF(ROWS($AA$2:$AA751)&lt;=MAX('Per Line'!$AO$2:$AO$4001),MATCH(ROWS($AA$2:$AA751),'Per Line'!$AO$2:$AO$4001,0),"")</f>
        <v/>
      </c>
      <c r="AB751" s="14">
        <f>IF($AA751="","",L751-K751*Y751/100)</f>
        <v/>
      </c>
    </row>
    <row r="752">
      <c r="A752" s="12" t="n"/>
      <c r="B752">
        <f>IF($AA752="","",INDEX('Per Line'!$E$2:$E$4001,$AA752)&amp;"")</f>
        <v/>
      </c>
      <c r="C752">
        <f>IF($AA752="","",INDEX('Per Line'!$A$2:$A$4001,$AA752)&amp;"")</f>
        <v/>
      </c>
      <c r="D752">
        <f>IF($AA752="","",INDEX('Per Line'!$D$2:$D$4001,$AA752)&amp;"")</f>
        <v/>
      </c>
      <c r="E752" s="11">
        <f>IF($AA752="","",INDEX('Per Line'!$G$2:$G$4001,$AA752))</f>
        <v/>
      </c>
      <c r="F752">
        <f>IF($AA752="","",INDEX('Per Line'!$H$2:$H$4001,$AA752)&amp;"")</f>
        <v/>
      </c>
      <c r="G752">
        <f>IF($AA752="","",INDEX('Per Line'!$I$2:$I$4001,$AA752)&amp;"")</f>
        <v/>
      </c>
      <c r="H752">
        <f>IF($AA752="","",INDEX('Per Line'!$J$2:$J$4001,$AA752)&amp;"")</f>
        <v/>
      </c>
      <c r="I752">
        <f>IF($AA752="","",INDEX('Per Line'!$K$2:$K$4001,$AA752)&amp;"")</f>
        <v/>
      </c>
      <c r="J752">
        <f>IF($AA752="","",INDEX('Per Line'!$L$2:$L$4001,$AA752)&amp;"")</f>
        <v/>
      </c>
      <c r="K752">
        <f>IF($AA752="","",INDEX('Per Line'!$P$2:$P$4001,$AA752))</f>
        <v/>
      </c>
      <c r="L752" s="7">
        <f>IF($AA752="","",IF(AND(ISNUMBER(N752),N752&gt;0,Y752&gt;N752),K752*N752/100+(Y752-N752),K752*Y752/100))</f>
        <v/>
      </c>
      <c r="M752">
        <f>IF($AA752="","",INDEX('Per Line'!$Z$2:$Z$4001,$AA752)&amp;"")</f>
        <v/>
      </c>
      <c r="N752">
        <f>IF($AA752="","",INDEX('Per Line'!$AG$2:$AG$4001,$AA752))</f>
        <v/>
      </c>
      <c r="O752">
        <f>IF($AA752="","",IF(AND(ISNUMBER(N752),N752&gt;0),Y752&gt;N752,FALSE))</f>
        <v/>
      </c>
      <c r="P752" s="7">
        <f>IF($AA752="","",SUMIFS('Per Line'!$Y$2:$Y$4001,'Per Line'!$E$2:$E$4001,$B752,'Per Line'!$AQ$2:$AQ$4001,1))</f>
        <v/>
      </c>
      <c r="Q752">
        <f>IF($AA752="","",Settings!$C$7)</f>
        <v/>
      </c>
      <c r="R752" s="7">
        <f>IF($AA752="","",SUMIFS('Per Line'!$Y$2:$Y$4001,'Per Line'!$E$2:$E$4001,$B752,'Per Line'!$AP$2:$AP$4001,0,'Per Line'!$AQ$2:$AQ$4001,0))</f>
        <v/>
      </c>
      <c r="S752" s="7">
        <f>IF($AA752="","",R752*Q752)</f>
        <v/>
      </c>
      <c r="T752">
        <f>IF($AA752="","",Settings!$C$6)</f>
        <v/>
      </c>
      <c r="U752" s="7">
        <f>IF($AA752="","",SUMIFS('Per Line'!$Y$2:$Y$4001,'Per Line'!$E$2:$E$4001,$B752,'Per Line'!$AP$2:$AP$4001,1,'Per Line'!$AQ$2:$AQ$4001,0))</f>
        <v/>
      </c>
      <c r="V752" s="7">
        <f>IF($AA752="","",U752*T752)</f>
        <v/>
      </c>
      <c r="W752" s="7">
        <f>IF($AA752="","",V752+S752)</f>
        <v/>
      </c>
      <c r="X752" s="7">
        <f>IF($AA752="","",Y752-W752)</f>
        <v/>
      </c>
      <c r="Y752" s="7">
        <f>IF($AA752="","",R752+U752+P752)</f>
        <v/>
      </c>
      <c r="Z752" s="7">
        <f>IF($AA752="","",Y752-W752-L752)</f>
        <v/>
      </c>
      <c r="AA752" s="13">
        <f>IF(ROWS($AA$2:$AA752)&lt;=MAX('Per Line'!$AO$2:$AO$4001),MATCH(ROWS($AA$2:$AA752),'Per Line'!$AO$2:$AO$4001,0),"")</f>
        <v/>
      </c>
      <c r="AB752" s="14">
        <f>IF($AA752="","",L752-K752*Y752/100)</f>
        <v/>
      </c>
    </row>
    <row r="753">
      <c r="A753" s="12" t="n"/>
      <c r="B753">
        <f>IF($AA753="","",INDEX('Per Line'!$E$2:$E$4001,$AA753)&amp;"")</f>
        <v/>
      </c>
      <c r="C753">
        <f>IF($AA753="","",INDEX('Per Line'!$A$2:$A$4001,$AA753)&amp;"")</f>
        <v/>
      </c>
      <c r="D753">
        <f>IF($AA753="","",INDEX('Per Line'!$D$2:$D$4001,$AA753)&amp;"")</f>
        <v/>
      </c>
      <c r="E753" s="11">
        <f>IF($AA753="","",INDEX('Per Line'!$G$2:$G$4001,$AA753))</f>
        <v/>
      </c>
      <c r="F753">
        <f>IF($AA753="","",INDEX('Per Line'!$H$2:$H$4001,$AA753)&amp;"")</f>
        <v/>
      </c>
      <c r="G753">
        <f>IF($AA753="","",INDEX('Per Line'!$I$2:$I$4001,$AA753)&amp;"")</f>
        <v/>
      </c>
      <c r="H753">
        <f>IF($AA753="","",INDEX('Per Line'!$J$2:$J$4001,$AA753)&amp;"")</f>
        <v/>
      </c>
      <c r="I753">
        <f>IF($AA753="","",INDEX('Per Line'!$K$2:$K$4001,$AA753)&amp;"")</f>
        <v/>
      </c>
      <c r="J753">
        <f>IF($AA753="","",INDEX('Per Line'!$L$2:$L$4001,$AA753)&amp;"")</f>
        <v/>
      </c>
      <c r="K753">
        <f>IF($AA753="","",INDEX('Per Line'!$P$2:$P$4001,$AA753))</f>
        <v/>
      </c>
      <c r="L753" s="7">
        <f>IF($AA753="","",IF(AND(ISNUMBER(N753),N753&gt;0,Y753&gt;N753),K753*N753/100+(Y753-N753),K753*Y753/100))</f>
        <v/>
      </c>
      <c r="M753">
        <f>IF($AA753="","",INDEX('Per Line'!$Z$2:$Z$4001,$AA753)&amp;"")</f>
        <v/>
      </c>
      <c r="N753">
        <f>IF($AA753="","",INDEX('Per Line'!$AG$2:$AG$4001,$AA753))</f>
        <v/>
      </c>
      <c r="O753">
        <f>IF($AA753="","",IF(AND(ISNUMBER(N753),N753&gt;0),Y753&gt;N753,FALSE))</f>
        <v/>
      </c>
      <c r="P753" s="7">
        <f>IF($AA753="","",SUMIFS('Per Line'!$Y$2:$Y$4001,'Per Line'!$E$2:$E$4001,$B753,'Per Line'!$AQ$2:$AQ$4001,1))</f>
        <v/>
      </c>
      <c r="Q753">
        <f>IF($AA753="","",Settings!$C$7)</f>
        <v/>
      </c>
      <c r="R753" s="7">
        <f>IF($AA753="","",SUMIFS('Per Line'!$Y$2:$Y$4001,'Per Line'!$E$2:$E$4001,$B753,'Per Line'!$AP$2:$AP$4001,0,'Per Line'!$AQ$2:$AQ$4001,0))</f>
        <v/>
      </c>
      <c r="S753" s="7">
        <f>IF($AA753="","",R753*Q753)</f>
        <v/>
      </c>
      <c r="T753">
        <f>IF($AA753="","",Settings!$C$6)</f>
        <v/>
      </c>
      <c r="U753" s="7">
        <f>IF($AA753="","",SUMIFS('Per Line'!$Y$2:$Y$4001,'Per Line'!$E$2:$E$4001,$B753,'Per Line'!$AP$2:$AP$4001,1,'Per Line'!$AQ$2:$AQ$4001,0))</f>
        <v/>
      </c>
      <c r="V753" s="7">
        <f>IF($AA753="","",U753*T753)</f>
        <v/>
      </c>
      <c r="W753" s="7">
        <f>IF($AA753="","",V753+S753)</f>
        <v/>
      </c>
      <c r="X753" s="7">
        <f>IF($AA753="","",Y753-W753)</f>
        <v/>
      </c>
      <c r="Y753" s="7">
        <f>IF($AA753="","",R753+U753+P753)</f>
        <v/>
      </c>
      <c r="Z753" s="7">
        <f>IF($AA753="","",Y753-W753-L753)</f>
        <v/>
      </c>
      <c r="AA753" s="13">
        <f>IF(ROWS($AA$2:$AA753)&lt;=MAX('Per Line'!$AO$2:$AO$4001),MATCH(ROWS($AA$2:$AA753),'Per Line'!$AO$2:$AO$4001,0),"")</f>
        <v/>
      </c>
      <c r="AB753" s="14">
        <f>IF($AA753="","",L753-K753*Y753/100)</f>
        <v/>
      </c>
    </row>
    <row r="754">
      <c r="A754" s="12" t="n"/>
      <c r="B754">
        <f>IF($AA754="","",INDEX('Per Line'!$E$2:$E$4001,$AA754)&amp;"")</f>
        <v/>
      </c>
      <c r="C754">
        <f>IF($AA754="","",INDEX('Per Line'!$A$2:$A$4001,$AA754)&amp;"")</f>
        <v/>
      </c>
      <c r="D754">
        <f>IF($AA754="","",INDEX('Per Line'!$D$2:$D$4001,$AA754)&amp;"")</f>
        <v/>
      </c>
      <c r="E754" s="11">
        <f>IF($AA754="","",INDEX('Per Line'!$G$2:$G$4001,$AA754))</f>
        <v/>
      </c>
      <c r="F754">
        <f>IF($AA754="","",INDEX('Per Line'!$H$2:$H$4001,$AA754)&amp;"")</f>
        <v/>
      </c>
      <c r="G754">
        <f>IF($AA754="","",INDEX('Per Line'!$I$2:$I$4001,$AA754)&amp;"")</f>
        <v/>
      </c>
      <c r="H754">
        <f>IF($AA754="","",INDEX('Per Line'!$J$2:$J$4001,$AA754)&amp;"")</f>
        <v/>
      </c>
      <c r="I754">
        <f>IF($AA754="","",INDEX('Per Line'!$K$2:$K$4001,$AA754)&amp;"")</f>
        <v/>
      </c>
      <c r="J754">
        <f>IF($AA754="","",INDEX('Per Line'!$L$2:$L$4001,$AA754)&amp;"")</f>
        <v/>
      </c>
      <c r="K754">
        <f>IF($AA754="","",INDEX('Per Line'!$P$2:$P$4001,$AA754))</f>
        <v/>
      </c>
      <c r="L754" s="7">
        <f>IF($AA754="","",IF(AND(ISNUMBER(N754),N754&gt;0,Y754&gt;N754),K754*N754/100+(Y754-N754),K754*Y754/100))</f>
        <v/>
      </c>
      <c r="M754">
        <f>IF($AA754="","",INDEX('Per Line'!$Z$2:$Z$4001,$AA754)&amp;"")</f>
        <v/>
      </c>
      <c r="N754">
        <f>IF($AA754="","",INDEX('Per Line'!$AG$2:$AG$4001,$AA754))</f>
        <v/>
      </c>
      <c r="O754">
        <f>IF($AA754="","",IF(AND(ISNUMBER(N754),N754&gt;0),Y754&gt;N754,FALSE))</f>
        <v/>
      </c>
      <c r="P754" s="7">
        <f>IF($AA754="","",SUMIFS('Per Line'!$Y$2:$Y$4001,'Per Line'!$E$2:$E$4001,$B754,'Per Line'!$AQ$2:$AQ$4001,1))</f>
        <v/>
      </c>
      <c r="Q754">
        <f>IF($AA754="","",Settings!$C$7)</f>
        <v/>
      </c>
      <c r="R754" s="7">
        <f>IF($AA754="","",SUMIFS('Per Line'!$Y$2:$Y$4001,'Per Line'!$E$2:$E$4001,$B754,'Per Line'!$AP$2:$AP$4001,0,'Per Line'!$AQ$2:$AQ$4001,0))</f>
        <v/>
      </c>
      <c r="S754" s="7">
        <f>IF($AA754="","",R754*Q754)</f>
        <v/>
      </c>
      <c r="T754">
        <f>IF($AA754="","",Settings!$C$6)</f>
        <v/>
      </c>
      <c r="U754" s="7">
        <f>IF($AA754="","",SUMIFS('Per Line'!$Y$2:$Y$4001,'Per Line'!$E$2:$E$4001,$B754,'Per Line'!$AP$2:$AP$4001,1,'Per Line'!$AQ$2:$AQ$4001,0))</f>
        <v/>
      </c>
      <c r="V754" s="7">
        <f>IF($AA754="","",U754*T754)</f>
        <v/>
      </c>
      <c r="W754" s="7">
        <f>IF($AA754="","",V754+S754)</f>
        <v/>
      </c>
      <c r="X754" s="7">
        <f>IF($AA754="","",Y754-W754)</f>
        <v/>
      </c>
      <c r="Y754" s="7">
        <f>IF($AA754="","",R754+U754+P754)</f>
        <v/>
      </c>
      <c r="Z754" s="7">
        <f>IF($AA754="","",Y754-W754-L754)</f>
        <v/>
      </c>
      <c r="AA754" s="13">
        <f>IF(ROWS($AA$2:$AA754)&lt;=MAX('Per Line'!$AO$2:$AO$4001),MATCH(ROWS($AA$2:$AA754),'Per Line'!$AO$2:$AO$4001,0),"")</f>
        <v/>
      </c>
      <c r="AB754" s="14">
        <f>IF($AA754="","",L754-K754*Y754/100)</f>
        <v/>
      </c>
    </row>
    <row r="755">
      <c r="A755" s="12" t="n"/>
      <c r="B755">
        <f>IF($AA755="","",INDEX('Per Line'!$E$2:$E$4001,$AA755)&amp;"")</f>
        <v/>
      </c>
      <c r="C755">
        <f>IF($AA755="","",INDEX('Per Line'!$A$2:$A$4001,$AA755)&amp;"")</f>
        <v/>
      </c>
      <c r="D755">
        <f>IF($AA755="","",INDEX('Per Line'!$D$2:$D$4001,$AA755)&amp;"")</f>
        <v/>
      </c>
      <c r="E755" s="11">
        <f>IF($AA755="","",INDEX('Per Line'!$G$2:$G$4001,$AA755))</f>
        <v/>
      </c>
      <c r="F755">
        <f>IF($AA755="","",INDEX('Per Line'!$H$2:$H$4001,$AA755)&amp;"")</f>
        <v/>
      </c>
      <c r="G755">
        <f>IF($AA755="","",INDEX('Per Line'!$I$2:$I$4001,$AA755)&amp;"")</f>
        <v/>
      </c>
      <c r="H755">
        <f>IF($AA755="","",INDEX('Per Line'!$J$2:$J$4001,$AA755)&amp;"")</f>
        <v/>
      </c>
      <c r="I755">
        <f>IF($AA755="","",INDEX('Per Line'!$K$2:$K$4001,$AA755)&amp;"")</f>
        <v/>
      </c>
      <c r="J755">
        <f>IF($AA755="","",INDEX('Per Line'!$L$2:$L$4001,$AA755)&amp;"")</f>
        <v/>
      </c>
      <c r="K755">
        <f>IF($AA755="","",INDEX('Per Line'!$P$2:$P$4001,$AA755))</f>
        <v/>
      </c>
      <c r="L755" s="7">
        <f>IF($AA755="","",IF(AND(ISNUMBER(N755),N755&gt;0,Y755&gt;N755),K755*N755/100+(Y755-N755),K755*Y755/100))</f>
        <v/>
      </c>
      <c r="M755">
        <f>IF($AA755="","",INDEX('Per Line'!$Z$2:$Z$4001,$AA755)&amp;"")</f>
        <v/>
      </c>
      <c r="N755">
        <f>IF($AA755="","",INDEX('Per Line'!$AG$2:$AG$4001,$AA755))</f>
        <v/>
      </c>
      <c r="O755">
        <f>IF($AA755="","",IF(AND(ISNUMBER(N755),N755&gt;0),Y755&gt;N755,FALSE))</f>
        <v/>
      </c>
      <c r="P755" s="7">
        <f>IF($AA755="","",SUMIFS('Per Line'!$Y$2:$Y$4001,'Per Line'!$E$2:$E$4001,$B755,'Per Line'!$AQ$2:$AQ$4001,1))</f>
        <v/>
      </c>
      <c r="Q755">
        <f>IF($AA755="","",Settings!$C$7)</f>
        <v/>
      </c>
      <c r="R755" s="7">
        <f>IF($AA755="","",SUMIFS('Per Line'!$Y$2:$Y$4001,'Per Line'!$E$2:$E$4001,$B755,'Per Line'!$AP$2:$AP$4001,0,'Per Line'!$AQ$2:$AQ$4001,0))</f>
        <v/>
      </c>
      <c r="S755" s="7">
        <f>IF($AA755="","",R755*Q755)</f>
        <v/>
      </c>
      <c r="T755">
        <f>IF($AA755="","",Settings!$C$6)</f>
        <v/>
      </c>
      <c r="U755" s="7">
        <f>IF($AA755="","",SUMIFS('Per Line'!$Y$2:$Y$4001,'Per Line'!$E$2:$E$4001,$B755,'Per Line'!$AP$2:$AP$4001,1,'Per Line'!$AQ$2:$AQ$4001,0))</f>
        <v/>
      </c>
      <c r="V755" s="7">
        <f>IF($AA755="","",U755*T755)</f>
        <v/>
      </c>
      <c r="W755" s="7">
        <f>IF($AA755="","",V755+S755)</f>
        <v/>
      </c>
      <c r="X755" s="7">
        <f>IF($AA755="","",Y755-W755)</f>
        <v/>
      </c>
      <c r="Y755" s="7">
        <f>IF($AA755="","",R755+U755+P755)</f>
        <v/>
      </c>
      <c r="Z755" s="7">
        <f>IF($AA755="","",Y755-W755-L755)</f>
        <v/>
      </c>
      <c r="AA755" s="13">
        <f>IF(ROWS($AA$2:$AA755)&lt;=MAX('Per Line'!$AO$2:$AO$4001),MATCH(ROWS($AA$2:$AA755),'Per Line'!$AO$2:$AO$4001,0),"")</f>
        <v/>
      </c>
      <c r="AB755" s="14">
        <f>IF($AA755="","",L755-K755*Y755/100)</f>
        <v/>
      </c>
    </row>
    <row r="756">
      <c r="A756" s="12" t="n"/>
      <c r="B756">
        <f>IF($AA756="","",INDEX('Per Line'!$E$2:$E$4001,$AA756)&amp;"")</f>
        <v/>
      </c>
      <c r="C756">
        <f>IF($AA756="","",INDEX('Per Line'!$A$2:$A$4001,$AA756)&amp;"")</f>
        <v/>
      </c>
      <c r="D756">
        <f>IF($AA756="","",INDEX('Per Line'!$D$2:$D$4001,$AA756)&amp;"")</f>
        <v/>
      </c>
      <c r="E756" s="11">
        <f>IF($AA756="","",INDEX('Per Line'!$G$2:$G$4001,$AA756))</f>
        <v/>
      </c>
      <c r="F756">
        <f>IF($AA756="","",INDEX('Per Line'!$H$2:$H$4001,$AA756)&amp;"")</f>
        <v/>
      </c>
      <c r="G756">
        <f>IF($AA756="","",INDEX('Per Line'!$I$2:$I$4001,$AA756)&amp;"")</f>
        <v/>
      </c>
      <c r="H756">
        <f>IF($AA756="","",INDEX('Per Line'!$J$2:$J$4001,$AA756)&amp;"")</f>
        <v/>
      </c>
      <c r="I756">
        <f>IF($AA756="","",INDEX('Per Line'!$K$2:$K$4001,$AA756)&amp;"")</f>
        <v/>
      </c>
      <c r="J756">
        <f>IF($AA756="","",INDEX('Per Line'!$L$2:$L$4001,$AA756)&amp;"")</f>
        <v/>
      </c>
      <c r="K756">
        <f>IF($AA756="","",INDEX('Per Line'!$P$2:$P$4001,$AA756))</f>
        <v/>
      </c>
      <c r="L756" s="7">
        <f>IF($AA756="","",IF(AND(ISNUMBER(N756),N756&gt;0,Y756&gt;N756),K756*N756/100+(Y756-N756),K756*Y756/100))</f>
        <v/>
      </c>
      <c r="M756">
        <f>IF($AA756="","",INDEX('Per Line'!$Z$2:$Z$4001,$AA756)&amp;"")</f>
        <v/>
      </c>
      <c r="N756">
        <f>IF($AA756="","",INDEX('Per Line'!$AG$2:$AG$4001,$AA756))</f>
        <v/>
      </c>
      <c r="O756">
        <f>IF($AA756="","",IF(AND(ISNUMBER(N756),N756&gt;0),Y756&gt;N756,FALSE))</f>
        <v/>
      </c>
      <c r="P756" s="7">
        <f>IF($AA756="","",SUMIFS('Per Line'!$Y$2:$Y$4001,'Per Line'!$E$2:$E$4001,$B756,'Per Line'!$AQ$2:$AQ$4001,1))</f>
        <v/>
      </c>
      <c r="Q756">
        <f>IF($AA756="","",Settings!$C$7)</f>
        <v/>
      </c>
      <c r="R756" s="7">
        <f>IF($AA756="","",SUMIFS('Per Line'!$Y$2:$Y$4001,'Per Line'!$E$2:$E$4001,$B756,'Per Line'!$AP$2:$AP$4001,0,'Per Line'!$AQ$2:$AQ$4001,0))</f>
        <v/>
      </c>
      <c r="S756" s="7">
        <f>IF($AA756="","",R756*Q756)</f>
        <v/>
      </c>
      <c r="T756">
        <f>IF($AA756="","",Settings!$C$6)</f>
        <v/>
      </c>
      <c r="U756" s="7">
        <f>IF($AA756="","",SUMIFS('Per Line'!$Y$2:$Y$4001,'Per Line'!$E$2:$E$4001,$B756,'Per Line'!$AP$2:$AP$4001,1,'Per Line'!$AQ$2:$AQ$4001,0))</f>
        <v/>
      </c>
      <c r="V756" s="7">
        <f>IF($AA756="","",U756*T756)</f>
        <v/>
      </c>
      <c r="W756" s="7">
        <f>IF($AA756="","",V756+S756)</f>
        <v/>
      </c>
      <c r="X756" s="7">
        <f>IF($AA756="","",Y756-W756)</f>
        <v/>
      </c>
      <c r="Y756" s="7">
        <f>IF($AA756="","",R756+U756+P756)</f>
        <v/>
      </c>
      <c r="Z756" s="7">
        <f>IF($AA756="","",Y756-W756-L756)</f>
        <v/>
      </c>
      <c r="AA756" s="13">
        <f>IF(ROWS($AA$2:$AA756)&lt;=MAX('Per Line'!$AO$2:$AO$4001),MATCH(ROWS($AA$2:$AA756),'Per Line'!$AO$2:$AO$4001,0),"")</f>
        <v/>
      </c>
      <c r="AB756" s="14">
        <f>IF($AA756="","",L756-K756*Y756/100)</f>
        <v/>
      </c>
    </row>
    <row r="757">
      <c r="A757" s="12" t="n"/>
      <c r="B757">
        <f>IF($AA757="","",INDEX('Per Line'!$E$2:$E$4001,$AA757)&amp;"")</f>
        <v/>
      </c>
      <c r="C757">
        <f>IF($AA757="","",INDEX('Per Line'!$A$2:$A$4001,$AA757)&amp;"")</f>
        <v/>
      </c>
      <c r="D757">
        <f>IF($AA757="","",INDEX('Per Line'!$D$2:$D$4001,$AA757)&amp;"")</f>
        <v/>
      </c>
      <c r="E757" s="11">
        <f>IF($AA757="","",INDEX('Per Line'!$G$2:$G$4001,$AA757))</f>
        <v/>
      </c>
      <c r="F757">
        <f>IF($AA757="","",INDEX('Per Line'!$H$2:$H$4001,$AA757)&amp;"")</f>
        <v/>
      </c>
      <c r="G757">
        <f>IF($AA757="","",INDEX('Per Line'!$I$2:$I$4001,$AA757)&amp;"")</f>
        <v/>
      </c>
      <c r="H757">
        <f>IF($AA757="","",INDEX('Per Line'!$J$2:$J$4001,$AA757)&amp;"")</f>
        <v/>
      </c>
      <c r="I757">
        <f>IF($AA757="","",INDEX('Per Line'!$K$2:$K$4001,$AA757)&amp;"")</f>
        <v/>
      </c>
      <c r="J757">
        <f>IF($AA757="","",INDEX('Per Line'!$L$2:$L$4001,$AA757)&amp;"")</f>
        <v/>
      </c>
      <c r="K757">
        <f>IF($AA757="","",INDEX('Per Line'!$P$2:$P$4001,$AA757))</f>
        <v/>
      </c>
      <c r="L757" s="7">
        <f>IF($AA757="","",IF(AND(ISNUMBER(N757),N757&gt;0,Y757&gt;N757),K757*N757/100+(Y757-N757),K757*Y757/100))</f>
        <v/>
      </c>
      <c r="M757">
        <f>IF($AA757="","",INDEX('Per Line'!$Z$2:$Z$4001,$AA757)&amp;"")</f>
        <v/>
      </c>
      <c r="N757">
        <f>IF($AA757="","",INDEX('Per Line'!$AG$2:$AG$4001,$AA757))</f>
        <v/>
      </c>
      <c r="O757">
        <f>IF($AA757="","",IF(AND(ISNUMBER(N757),N757&gt;0),Y757&gt;N757,FALSE))</f>
        <v/>
      </c>
      <c r="P757" s="7">
        <f>IF($AA757="","",SUMIFS('Per Line'!$Y$2:$Y$4001,'Per Line'!$E$2:$E$4001,$B757,'Per Line'!$AQ$2:$AQ$4001,1))</f>
        <v/>
      </c>
      <c r="Q757">
        <f>IF($AA757="","",Settings!$C$7)</f>
        <v/>
      </c>
      <c r="R757" s="7">
        <f>IF($AA757="","",SUMIFS('Per Line'!$Y$2:$Y$4001,'Per Line'!$E$2:$E$4001,$B757,'Per Line'!$AP$2:$AP$4001,0,'Per Line'!$AQ$2:$AQ$4001,0))</f>
        <v/>
      </c>
      <c r="S757" s="7">
        <f>IF($AA757="","",R757*Q757)</f>
        <v/>
      </c>
      <c r="T757">
        <f>IF($AA757="","",Settings!$C$6)</f>
        <v/>
      </c>
      <c r="U757" s="7">
        <f>IF($AA757="","",SUMIFS('Per Line'!$Y$2:$Y$4001,'Per Line'!$E$2:$E$4001,$B757,'Per Line'!$AP$2:$AP$4001,1,'Per Line'!$AQ$2:$AQ$4001,0))</f>
        <v/>
      </c>
      <c r="V757" s="7">
        <f>IF($AA757="","",U757*T757)</f>
        <v/>
      </c>
      <c r="W757" s="7">
        <f>IF($AA757="","",V757+S757)</f>
        <v/>
      </c>
      <c r="X757" s="7">
        <f>IF($AA757="","",Y757-W757)</f>
        <v/>
      </c>
      <c r="Y757" s="7">
        <f>IF($AA757="","",R757+U757+P757)</f>
        <v/>
      </c>
      <c r="Z757" s="7">
        <f>IF($AA757="","",Y757-W757-L757)</f>
        <v/>
      </c>
      <c r="AA757" s="13">
        <f>IF(ROWS($AA$2:$AA757)&lt;=MAX('Per Line'!$AO$2:$AO$4001),MATCH(ROWS($AA$2:$AA757),'Per Line'!$AO$2:$AO$4001,0),"")</f>
        <v/>
      </c>
      <c r="AB757" s="14">
        <f>IF($AA757="","",L757-K757*Y757/100)</f>
        <v/>
      </c>
    </row>
    <row r="758">
      <c r="A758" s="12" t="n"/>
      <c r="B758">
        <f>IF($AA758="","",INDEX('Per Line'!$E$2:$E$4001,$AA758)&amp;"")</f>
        <v/>
      </c>
      <c r="C758">
        <f>IF($AA758="","",INDEX('Per Line'!$A$2:$A$4001,$AA758)&amp;"")</f>
        <v/>
      </c>
      <c r="D758">
        <f>IF($AA758="","",INDEX('Per Line'!$D$2:$D$4001,$AA758)&amp;"")</f>
        <v/>
      </c>
      <c r="E758" s="11">
        <f>IF($AA758="","",INDEX('Per Line'!$G$2:$G$4001,$AA758))</f>
        <v/>
      </c>
      <c r="F758">
        <f>IF($AA758="","",INDEX('Per Line'!$H$2:$H$4001,$AA758)&amp;"")</f>
        <v/>
      </c>
      <c r="G758">
        <f>IF($AA758="","",INDEX('Per Line'!$I$2:$I$4001,$AA758)&amp;"")</f>
        <v/>
      </c>
      <c r="H758">
        <f>IF($AA758="","",INDEX('Per Line'!$J$2:$J$4001,$AA758)&amp;"")</f>
        <v/>
      </c>
      <c r="I758">
        <f>IF($AA758="","",INDEX('Per Line'!$K$2:$K$4001,$AA758)&amp;"")</f>
        <v/>
      </c>
      <c r="J758">
        <f>IF($AA758="","",INDEX('Per Line'!$L$2:$L$4001,$AA758)&amp;"")</f>
        <v/>
      </c>
      <c r="K758">
        <f>IF($AA758="","",INDEX('Per Line'!$P$2:$P$4001,$AA758))</f>
        <v/>
      </c>
      <c r="L758" s="7">
        <f>IF($AA758="","",IF(AND(ISNUMBER(N758),N758&gt;0,Y758&gt;N758),K758*N758/100+(Y758-N758),K758*Y758/100))</f>
        <v/>
      </c>
      <c r="M758">
        <f>IF($AA758="","",INDEX('Per Line'!$Z$2:$Z$4001,$AA758)&amp;"")</f>
        <v/>
      </c>
      <c r="N758">
        <f>IF($AA758="","",INDEX('Per Line'!$AG$2:$AG$4001,$AA758))</f>
        <v/>
      </c>
      <c r="O758">
        <f>IF($AA758="","",IF(AND(ISNUMBER(N758),N758&gt;0),Y758&gt;N758,FALSE))</f>
        <v/>
      </c>
      <c r="P758" s="7">
        <f>IF($AA758="","",SUMIFS('Per Line'!$Y$2:$Y$4001,'Per Line'!$E$2:$E$4001,$B758,'Per Line'!$AQ$2:$AQ$4001,1))</f>
        <v/>
      </c>
      <c r="Q758">
        <f>IF($AA758="","",Settings!$C$7)</f>
        <v/>
      </c>
      <c r="R758" s="7">
        <f>IF($AA758="","",SUMIFS('Per Line'!$Y$2:$Y$4001,'Per Line'!$E$2:$E$4001,$B758,'Per Line'!$AP$2:$AP$4001,0,'Per Line'!$AQ$2:$AQ$4001,0))</f>
        <v/>
      </c>
      <c r="S758" s="7">
        <f>IF($AA758="","",R758*Q758)</f>
        <v/>
      </c>
      <c r="T758">
        <f>IF($AA758="","",Settings!$C$6)</f>
        <v/>
      </c>
      <c r="U758" s="7">
        <f>IF($AA758="","",SUMIFS('Per Line'!$Y$2:$Y$4001,'Per Line'!$E$2:$E$4001,$B758,'Per Line'!$AP$2:$AP$4001,1,'Per Line'!$AQ$2:$AQ$4001,0))</f>
        <v/>
      </c>
      <c r="V758" s="7">
        <f>IF($AA758="","",U758*T758)</f>
        <v/>
      </c>
      <c r="W758" s="7">
        <f>IF($AA758="","",V758+S758)</f>
        <v/>
      </c>
      <c r="X758" s="7">
        <f>IF($AA758="","",Y758-W758)</f>
        <v/>
      </c>
      <c r="Y758" s="7">
        <f>IF($AA758="","",R758+U758+P758)</f>
        <v/>
      </c>
      <c r="Z758" s="7">
        <f>IF($AA758="","",Y758-W758-L758)</f>
        <v/>
      </c>
      <c r="AA758" s="13">
        <f>IF(ROWS($AA$2:$AA758)&lt;=MAX('Per Line'!$AO$2:$AO$4001),MATCH(ROWS($AA$2:$AA758),'Per Line'!$AO$2:$AO$4001,0),"")</f>
        <v/>
      </c>
      <c r="AB758" s="14">
        <f>IF($AA758="","",L758-K758*Y758/100)</f>
        <v/>
      </c>
    </row>
    <row r="759">
      <c r="A759" s="12" t="n"/>
      <c r="B759">
        <f>IF($AA759="","",INDEX('Per Line'!$E$2:$E$4001,$AA759)&amp;"")</f>
        <v/>
      </c>
      <c r="C759">
        <f>IF($AA759="","",INDEX('Per Line'!$A$2:$A$4001,$AA759)&amp;"")</f>
        <v/>
      </c>
      <c r="D759">
        <f>IF($AA759="","",INDEX('Per Line'!$D$2:$D$4001,$AA759)&amp;"")</f>
        <v/>
      </c>
      <c r="E759" s="11">
        <f>IF($AA759="","",INDEX('Per Line'!$G$2:$G$4001,$AA759))</f>
        <v/>
      </c>
      <c r="F759">
        <f>IF($AA759="","",INDEX('Per Line'!$H$2:$H$4001,$AA759)&amp;"")</f>
        <v/>
      </c>
      <c r="G759">
        <f>IF($AA759="","",INDEX('Per Line'!$I$2:$I$4001,$AA759)&amp;"")</f>
        <v/>
      </c>
      <c r="H759">
        <f>IF($AA759="","",INDEX('Per Line'!$J$2:$J$4001,$AA759)&amp;"")</f>
        <v/>
      </c>
      <c r="I759">
        <f>IF($AA759="","",INDEX('Per Line'!$K$2:$K$4001,$AA759)&amp;"")</f>
        <v/>
      </c>
      <c r="J759">
        <f>IF($AA759="","",INDEX('Per Line'!$L$2:$L$4001,$AA759)&amp;"")</f>
        <v/>
      </c>
      <c r="K759">
        <f>IF($AA759="","",INDEX('Per Line'!$P$2:$P$4001,$AA759))</f>
        <v/>
      </c>
      <c r="L759" s="7">
        <f>IF($AA759="","",IF(AND(ISNUMBER(N759),N759&gt;0,Y759&gt;N759),K759*N759/100+(Y759-N759),K759*Y759/100))</f>
        <v/>
      </c>
      <c r="M759">
        <f>IF($AA759="","",INDEX('Per Line'!$Z$2:$Z$4001,$AA759)&amp;"")</f>
        <v/>
      </c>
      <c r="N759">
        <f>IF($AA759="","",INDEX('Per Line'!$AG$2:$AG$4001,$AA759))</f>
        <v/>
      </c>
      <c r="O759">
        <f>IF($AA759="","",IF(AND(ISNUMBER(N759),N759&gt;0),Y759&gt;N759,FALSE))</f>
        <v/>
      </c>
      <c r="P759" s="7">
        <f>IF($AA759="","",SUMIFS('Per Line'!$Y$2:$Y$4001,'Per Line'!$E$2:$E$4001,$B759,'Per Line'!$AQ$2:$AQ$4001,1))</f>
        <v/>
      </c>
      <c r="Q759">
        <f>IF($AA759="","",Settings!$C$7)</f>
        <v/>
      </c>
      <c r="R759" s="7">
        <f>IF($AA759="","",SUMIFS('Per Line'!$Y$2:$Y$4001,'Per Line'!$E$2:$E$4001,$B759,'Per Line'!$AP$2:$AP$4001,0,'Per Line'!$AQ$2:$AQ$4001,0))</f>
        <v/>
      </c>
      <c r="S759" s="7">
        <f>IF($AA759="","",R759*Q759)</f>
        <v/>
      </c>
      <c r="T759">
        <f>IF($AA759="","",Settings!$C$6)</f>
        <v/>
      </c>
      <c r="U759" s="7">
        <f>IF($AA759="","",SUMIFS('Per Line'!$Y$2:$Y$4001,'Per Line'!$E$2:$E$4001,$B759,'Per Line'!$AP$2:$AP$4001,1,'Per Line'!$AQ$2:$AQ$4001,0))</f>
        <v/>
      </c>
      <c r="V759" s="7">
        <f>IF($AA759="","",U759*T759)</f>
        <v/>
      </c>
      <c r="W759" s="7">
        <f>IF($AA759="","",V759+S759)</f>
        <v/>
      </c>
      <c r="X759" s="7">
        <f>IF($AA759="","",Y759-W759)</f>
        <v/>
      </c>
      <c r="Y759" s="7">
        <f>IF($AA759="","",R759+U759+P759)</f>
        <v/>
      </c>
      <c r="Z759" s="7">
        <f>IF($AA759="","",Y759-W759-L759)</f>
        <v/>
      </c>
      <c r="AA759" s="13">
        <f>IF(ROWS($AA$2:$AA759)&lt;=MAX('Per Line'!$AO$2:$AO$4001),MATCH(ROWS($AA$2:$AA759),'Per Line'!$AO$2:$AO$4001,0),"")</f>
        <v/>
      </c>
      <c r="AB759" s="14">
        <f>IF($AA759="","",L759-K759*Y759/100)</f>
        <v/>
      </c>
    </row>
    <row r="760">
      <c r="A760" s="12" t="n"/>
      <c r="B760">
        <f>IF($AA760="","",INDEX('Per Line'!$E$2:$E$4001,$AA760)&amp;"")</f>
        <v/>
      </c>
      <c r="C760">
        <f>IF($AA760="","",INDEX('Per Line'!$A$2:$A$4001,$AA760)&amp;"")</f>
        <v/>
      </c>
      <c r="D760">
        <f>IF($AA760="","",INDEX('Per Line'!$D$2:$D$4001,$AA760)&amp;"")</f>
        <v/>
      </c>
      <c r="E760" s="11">
        <f>IF($AA760="","",INDEX('Per Line'!$G$2:$G$4001,$AA760))</f>
        <v/>
      </c>
      <c r="F760">
        <f>IF($AA760="","",INDEX('Per Line'!$H$2:$H$4001,$AA760)&amp;"")</f>
        <v/>
      </c>
      <c r="G760">
        <f>IF($AA760="","",INDEX('Per Line'!$I$2:$I$4001,$AA760)&amp;"")</f>
        <v/>
      </c>
      <c r="H760">
        <f>IF($AA760="","",INDEX('Per Line'!$J$2:$J$4001,$AA760)&amp;"")</f>
        <v/>
      </c>
      <c r="I760">
        <f>IF($AA760="","",INDEX('Per Line'!$K$2:$K$4001,$AA760)&amp;"")</f>
        <v/>
      </c>
      <c r="J760">
        <f>IF($AA760="","",INDEX('Per Line'!$L$2:$L$4001,$AA760)&amp;"")</f>
        <v/>
      </c>
      <c r="K760">
        <f>IF($AA760="","",INDEX('Per Line'!$P$2:$P$4001,$AA760))</f>
        <v/>
      </c>
      <c r="L760" s="7">
        <f>IF($AA760="","",IF(AND(ISNUMBER(N760),N760&gt;0,Y760&gt;N760),K760*N760/100+(Y760-N760),K760*Y760/100))</f>
        <v/>
      </c>
      <c r="M760">
        <f>IF($AA760="","",INDEX('Per Line'!$Z$2:$Z$4001,$AA760)&amp;"")</f>
        <v/>
      </c>
      <c r="N760">
        <f>IF($AA760="","",INDEX('Per Line'!$AG$2:$AG$4001,$AA760))</f>
        <v/>
      </c>
      <c r="O760">
        <f>IF($AA760="","",IF(AND(ISNUMBER(N760),N760&gt;0),Y760&gt;N760,FALSE))</f>
        <v/>
      </c>
      <c r="P760" s="7">
        <f>IF($AA760="","",SUMIFS('Per Line'!$Y$2:$Y$4001,'Per Line'!$E$2:$E$4001,$B760,'Per Line'!$AQ$2:$AQ$4001,1))</f>
        <v/>
      </c>
      <c r="Q760">
        <f>IF($AA760="","",Settings!$C$7)</f>
        <v/>
      </c>
      <c r="R760" s="7">
        <f>IF($AA760="","",SUMIFS('Per Line'!$Y$2:$Y$4001,'Per Line'!$E$2:$E$4001,$B760,'Per Line'!$AP$2:$AP$4001,0,'Per Line'!$AQ$2:$AQ$4001,0))</f>
        <v/>
      </c>
      <c r="S760" s="7">
        <f>IF($AA760="","",R760*Q760)</f>
        <v/>
      </c>
      <c r="T760">
        <f>IF($AA760="","",Settings!$C$6)</f>
        <v/>
      </c>
      <c r="U760" s="7">
        <f>IF($AA760="","",SUMIFS('Per Line'!$Y$2:$Y$4001,'Per Line'!$E$2:$E$4001,$B760,'Per Line'!$AP$2:$AP$4001,1,'Per Line'!$AQ$2:$AQ$4001,0))</f>
        <v/>
      </c>
      <c r="V760" s="7">
        <f>IF($AA760="","",U760*T760)</f>
        <v/>
      </c>
      <c r="W760" s="7">
        <f>IF($AA760="","",V760+S760)</f>
        <v/>
      </c>
      <c r="X760" s="7">
        <f>IF($AA760="","",Y760-W760)</f>
        <v/>
      </c>
      <c r="Y760" s="7">
        <f>IF($AA760="","",R760+U760+P760)</f>
        <v/>
      </c>
      <c r="Z760" s="7">
        <f>IF($AA760="","",Y760-W760-L760)</f>
        <v/>
      </c>
      <c r="AA760" s="13">
        <f>IF(ROWS($AA$2:$AA760)&lt;=MAX('Per Line'!$AO$2:$AO$4001),MATCH(ROWS($AA$2:$AA760),'Per Line'!$AO$2:$AO$4001,0),"")</f>
        <v/>
      </c>
      <c r="AB760" s="14">
        <f>IF($AA760="","",L760-K760*Y760/100)</f>
        <v/>
      </c>
    </row>
    <row r="761">
      <c r="A761" s="12" t="n"/>
      <c r="B761">
        <f>IF($AA761="","",INDEX('Per Line'!$E$2:$E$4001,$AA761)&amp;"")</f>
        <v/>
      </c>
      <c r="C761">
        <f>IF($AA761="","",INDEX('Per Line'!$A$2:$A$4001,$AA761)&amp;"")</f>
        <v/>
      </c>
      <c r="D761">
        <f>IF($AA761="","",INDEX('Per Line'!$D$2:$D$4001,$AA761)&amp;"")</f>
        <v/>
      </c>
      <c r="E761" s="11">
        <f>IF($AA761="","",INDEX('Per Line'!$G$2:$G$4001,$AA761))</f>
        <v/>
      </c>
      <c r="F761">
        <f>IF($AA761="","",INDEX('Per Line'!$H$2:$H$4001,$AA761)&amp;"")</f>
        <v/>
      </c>
      <c r="G761">
        <f>IF($AA761="","",INDEX('Per Line'!$I$2:$I$4001,$AA761)&amp;"")</f>
        <v/>
      </c>
      <c r="H761">
        <f>IF($AA761="","",INDEX('Per Line'!$J$2:$J$4001,$AA761)&amp;"")</f>
        <v/>
      </c>
      <c r="I761">
        <f>IF($AA761="","",INDEX('Per Line'!$K$2:$K$4001,$AA761)&amp;"")</f>
        <v/>
      </c>
      <c r="J761">
        <f>IF($AA761="","",INDEX('Per Line'!$L$2:$L$4001,$AA761)&amp;"")</f>
        <v/>
      </c>
      <c r="K761">
        <f>IF($AA761="","",INDEX('Per Line'!$P$2:$P$4001,$AA761))</f>
        <v/>
      </c>
      <c r="L761" s="7">
        <f>IF($AA761="","",IF(AND(ISNUMBER(N761),N761&gt;0,Y761&gt;N761),K761*N761/100+(Y761-N761),K761*Y761/100))</f>
        <v/>
      </c>
      <c r="M761">
        <f>IF($AA761="","",INDEX('Per Line'!$Z$2:$Z$4001,$AA761)&amp;"")</f>
        <v/>
      </c>
      <c r="N761">
        <f>IF($AA761="","",INDEX('Per Line'!$AG$2:$AG$4001,$AA761))</f>
        <v/>
      </c>
      <c r="O761">
        <f>IF($AA761="","",IF(AND(ISNUMBER(N761),N761&gt;0),Y761&gt;N761,FALSE))</f>
        <v/>
      </c>
      <c r="P761" s="7">
        <f>IF($AA761="","",SUMIFS('Per Line'!$Y$2:$Y$4001,'Per Line'!$E$2:$E$4001,$B761,'Per Line'!$AQ$2:$AQ$4001,1))</f>
        <v/>
      </c>
      <c r="Q761">
        <f>IF($AA761="","",Settings!$C$7)</f>
        <v/>
      </c>
      <c r="R761" s="7">
        <f>IF($AA761="","",SUMIFS('Per Line'!$Y$2:$Y$4001,'Per Line'!$E$2:$E$4001,$B761,'Per Line'!$AP$2:$AP$4001,0,'Per Line'!$AQ$2:$AQ$4001,0))</f>
        <v/>
      </c>
      <c r="S761" s="7">
        <f>IF($AA761="","",R761*Q761)</f>
        <v/>
      </c>
      <c r="T761">
        <f>IF($AA761="","",Settings!$C$6)</f>
        <v/>
      </c>
      <c r="U761" s="7">
        <f>IF($AA761="","",SUMIFS('Per Line'!$Y$2:$Y$4001,'Per Line'!$E$2:$E$4001,$B761,'Per Line'!$AP$2:$AP$4001,1,'Per Line'!$AQ$2:$AQ$4001,0))</f>
        <v/>
      </c>
      <c r="V761" s="7">
        <f>IF($AA761="","",U761*T761)</f>
        <v/>
      </c>
      <c r="W761" s="7">
        <f>IF($AA761="","",V761+S761)</f>
        <v/>
      </c>
      <c r="X761" s="7">
        <f>IF($AA761="","",Y761-W761)</f>
        <v/>
      </c>
      <c r="Y761" s="7">
        <f>IF($AA761="","",R761+U761+P761)</f>
        <v/>
      </c>
      <c r="Z761" s="7">
        <f>IF($AA761="","",Y761-W761-L761)</f>
        <v/>
      </c>
      <c r="AA761" s="13">
        <f>IF(ROWS($AA$2:$AA761)&lt;=MAX('Per Line'!$AO$2:$AO$4001),MATCH(ROWS($AA$2:$AA761),'Per Line'!$AO$2:$AO$4001,0),"")</f>
        <v/>
      </c>
      <c r="AB761" s="14">
        <f>IF($AA761="","",L761-K761*Y761/100)</f>
        <v/>
      </c>
    </row>
    <row r="762">
      <c r="A762" s="12" t="n"/>
      <c r="B762">
        <f>IF($AA762="","",INDEX('Per Line'!$E$2:$E$4001,$AA762)&amp;"")</f>
        <v/>
      </c>
      <c r="C762">
        <f>IF($AA762="","",INDEX('Per Line'!$A$2:$A$4001,$AA762)&amp;"")</f>
        <v/>
      </c>
      <c r="D762">
        <f>IF($AA762="","",INDEX('Per Line'!$D$2:$D$4001,$AA762)&amp;"")</f>
        <v/>
      </c>
      <c r="E762" s="11">
        <f>IF($AA762="","",INDEX('Per Line'!$G$2:$G$4001,$AA762))</f>
        <v/>
      </c>
      <c r="F762">
        <f>IF($AA762="","",INDEX('Per Line'!$H$2:$H$4001,$AA762)&amp;"")</f>
        <v/>
      </c>
      <c r="G762">
        <f>IF($AA762="","",INDEX('Per Line'!$I$2:$I$4001,$AA762)&amp;"")</f>
        <v/>
      </c>
      <c r="H762">
        <f>IF($AA762="","",INDEX('Per Line'!$J$2:$J$4001,$AA762)&amp;"")</f>
        <v/>
      </c>
      <c r="I762">
        <f>IF($AA762="","",INDEX('Per Line'!$K$2:$K$4001,$AA762)&amp;"")</f>
        <v/>
      </c>
      <c r="J762">
        <f>IF($AA762="","",INDEX('Per Line'!$L$2:$L$4001,$AA762)&amp;"")</f>
        <v/>
      </c>
      <c r="K762">
        <f>IF($AA762="","",INDEX('Per Line'!$P$2:$P$4001,$AA762))</f>
        <v/>
      </c>
      <c r="L762" s="7">
        <f>IF($AA762="","",IF(AND(ISNUMBER(N762),N762&gt;0,Y762&gt;N762),K762*N762/100+(Y762-N762),K762*Y762/100))</f>
        <v/>
      </c>
      <c r="M762">
        <f>IF($AA762="","",INDEX('Per Line'!$Z$2:$Z$4001,$AA762)&amp;"")</f>
        <v/>
      </c>
      <c r="N762">
        <f>IF($AA762="","",INDEX('Per Line'!$AG$2:$AG$4001,$AA762))</f>
        <v/>
      </c>
      <c r="O762">
        <f>IF($AA762="","",IF(AND(ISNUMBER(N762),N762&gt;0),Y762&gt;N762,FALSE))</f>
        <v/>
      </c>
      <c r="P762" s="7">
        <f>IF($AA762="","",SUMIFS('Per Line'!$Y$2:$Y$4001,'Per Line'!$E$2:$E$4001,$B762,'Per Line'!$AQ$2:$AQ$4001,1))</f>
        <v/>
      </c>
      <c r="Q762">
        <f>IF($AA762="","",Settings!$C$7)</f>
        <v/>
      </c>
      <c r="R762" s="7">
        <f>IF($AA762="","",SUMIFS('Per Line'!$Y$2:$Y$4001,'Per Line'!$E$2:$E$4001,$B762,'Per Line'!$AP$2:$AP$4001,0,'Per Line'!$AQ$2:$AQ$4001,0))</f>
        <v/>
      </c>
      <c r="S762" s="7">
        <f>IF($AA762="","",R762*Q762)</f>
        <v/>
      </c>
      <c r="T762">
        <f>IF($AA762="","",Settings!$C$6)</f>
        <v/>
      </c>
      <c r="U762" s="7">
        <f>IF($AA762="","",SUMIFS('Per Line'!$Y$2:$Y$4001,'Per Line'!$E$2:$E$4001,$B762,'Per Line'!$AP$2:$AP$4001,1,'Per Line'!$AQ$2:$AQ$4001,0))</f>
        <v/>
      </c>
      <c r="V762" s="7">
        <f>IF($AA762="","",U762*T762)</f>
        <v/>
      </c>
      <c r="W762" s="7">
        <f>IF($AA762="","",V762+S762)</f>
        <v/>
      </c>
      <c r="X762" s="7">
        <f>IF($AA762="","",Y762-W762)</f>
        <v/>
      </c>
      <c r="Y762" s="7">
        <f>IF($AA762="","",R762+U762+P762)</f>
        <v/>
      </c>
      <c r="Z762" s="7">
        <f>IF($AA762="","",Y762-W762-L762)</f>
        <v/>
      </c>
      <c r="AA762" s="13">
        <f>IF(ROWS($AA$2:$AA762)&lt;=MAX('Per Line'!$AO$2:$AO$4001),MATCH(ROWS($AA$2:$AA762),'Per Line'!$AO$2:$AO$4001,0),"")</f>
        <v/>
      </c>
      <c r="AB762" s="14">
        <f>IF($AA762="","",L762-K762*Y762/100)</f>
        <v/>
      </c>
    </row>
    <row r="763">
      <c r="A763" s="12" t="n"/>
      <c r="B763">
        <f>IF($AA763="","",INDEX('Per Line'!$E$2:$E$4001,$AA763)&amp;"")</f>
        <v/>
      </c>
      <c r="C763">
        <f>IF($AA763="","",INDEX('Per Line'!$A$2:$A$4001,$AA763)&amp;"")</f>
        <v/>
      </c>
      <c r="D763">
        <f>IF($AA763="","",INDEX('Per Line'!$D$2:$D$4001,$AA763)&amp;"")</f>
        <v/>
      </c>
      <c r="E763" s="11">
        <f>IF($AA763="","",INDEX('Per Line'!$G$2:$G$4001,$AA763))</f>
        <v/>
      </c>
      <c r="F763">
        <f>IF($AA763="","",INDEX('Per Line'!$H$2:$H$4001,$AA763)&amp;"")</f>
        <v/>
      </c>
      <c r="G763">
        <f>IF($AA763="","",INDEX('Per Line'!$I$2:$I$4001,$AA763)&amp;"")</f>
        <v/>
      </c>
      <c r="H763">
        <f>IF($AA763="","",INDEX('Per Line'!$J$2:$J$4001,$AA763)&amp;"")</f>
        <v/>
      </c>
      <c r="I763">
        <f>IF($AA763="","",INDEX('Per Line'!$K$2:$K$4001,$AA763)&amp;"")</f>
        <v/>
      </c>
      <c r="J763">
        <f>IF($AA763="","",INDEX('Per Line'!$L$2:$L$4001,$AA763)&amp;"")</f>
        <v/>
      </c>
      <c r="K763">
        <f>IF($AA763="","",INDEX('Per Line'!$P$2:$P$4001,$AA763))</f>
        <v/>
      </c>
      <c r="L763" s="7">
        <f>IF($AA763="","",IF(AND(ISNUMBER(N763),N763&gt;0,Y763&gt;N763),K763*N763/100+(Y763-N763),K763*Y763/100))</f>
        <v/>
      </c>
      <c r="M763">
        <f>IF($AA763="","",INDEX('Per Line'!$Z$2:$Z$4001,$AA763)&amp;"")</f>
        <v/>
      </c>
      <c r="N763">
        <f>IF($AA763="","",INDEX('Per Line'!$AG$2:$AG$4001,$AA763))</f>
        <v/>
      </c>
      <c r="O763">
        <f>IF($AA763="","",IF(AND(ISNUMBER(N763),N763&gt;0),Y763&gt;N763,FALSE))</f>
        <v/>
      </c>
      <c r="P763" s="7">
        <f>IF($AA763="","",SUMIFS('Per Line'!$Y$2:$Y$4001,'Per Line'!$E$2:$E$4001,$B763,'Per Line'!$AQ$2:$AQ$4001,1))</f>
        <v/>
      </c>
      <c r="Q763">
        <f>IF($AA763="","",Settings!$C$7)</f>
        <v/>
      </c>
      <c r="R763" s="7">
        <f>IF($AA763="","",SUMIFS('Per Line'!$Y$2:$Y$4001,'Per Line'!$E$2:$E$4001,$B763,'Per Line'!$AP$2:$AP$4001,0,'Per Line'!$AQ$2:$AQ$4001,0))</f>
        <v/>
      </c>
      <c r="S763" s="7">
        <f>IF($AA763="","",R763*Q763)</f>
        <v/>
      </c>
      <c r="T763">
        <f>IF($AA763="","",Settings!$C$6)</f>
        <v/>
      </c>
      <c r="U763" s="7">
        <f>IF($AA763="","",SUMIFS('Per Line'!$Y$2:$Y$4001,'Per Line'!$E$2:$E$4001,$B763,'Per Line'!$AP$2:$AP$4001,1,'Per Line'!$AQ$2:$AQ$4001,0))</f>
        <v/>
      </c>
      <c r="V763" s="7">
        <f>IF($AA763="","",U763*T763)</f>
        <v/>
      </c>
      <c r="W763" s="7">
        <f>IF($AA763="","",V763+S763)</f>
        <v/>
      </c>
      <c r="X763" s="7">
        <f>IF($AA763="","",Y763-W763)</f>
        <v/>
      </c>
      <c r="Y763" s="7">
        <f>IF($AA763="","",R763+U763+P763)</f>
        <v/>
      </c>
      <c r="Z763" s="7">
        <f>IF($AA763="","",Y763-W763-L763)</f>
        <v/>
      </c>
      <c r="AA763" s="13">
        <f>IF(ROWS($AA$2:$AA763)&lt;=MAX('Per Line'!$AO$2:$AO$4001),MATCH(ROWS($AA$2:$AA763),'Per Line'!$AO$2:$AO$4001,0),"")</f>
        <v/>
      </c>
      <c r="AB763" s="14">
        <f>IF($AA763="","",L763-K763*Y763/100)</f>
        <v/>
      </c>
    </row>
    <row r="764">
      <c r="A764" s="12" t="n"/>
      <c r="B764">
        <f>IF($AA764="","",INDEX('Per Line'!$E$2:$E$4001,$AA764)&amp;"")</f>
        <v/>
      </c>
      <c r="C764">
        <f>IF($AA764="","",INDEX('Per Line'!$A$2:$A$4001,$AA764)&amp;"")</f>
        <v/>
      </c>
      <c r="D764">
        <f>IF($AA764="","",INDEX('Per Line'!$D$2:$D$4001,$AA764)&amp;"")</f>
        <v/>
      </c>
      <c r="E764" s="11">
        <f>IF($AA764="","",INDEX('Per Line'!$G$2:$G$4001,$AA764))</f>
        <v/>
      </c>
      <c r="F764">
        <f>IF($AA764="","",INDEX('Per Line'!$H$2:$H$4001,$AA764)&amp;"")</f>
        <v/>
      </c>
      <c r="G764">
        <f>IF($AA764="","",INDEX('Per Line'!$I$2:$I$4001,$AA764)&amp;"")</f>
        <v/>
      </c>
      <c r="H764">
        <f>IF($AA764="","",INDEX('Per Line'!$J$2:$J$4001,$AA764)&amp;"")</f>
        <v/>
      </c>
      <c r="I764">
        <f>IF($AA764="","",INDEX('Per Line'!$K$2:$K$4001,$AA764)&amp;"")</f>
        <v/>
      </c>
      <c r="J764">
        <f>IF($AA764="","",INDEX('Per Line'!$L$2:$L$4001,$AA764)&amp;"")</f>
        <v/>
      </c>
      <c r="K764">
        <f>IF($AA764="","",INDEX('Per Line'!$P$2:$P$4001,$AA764))</f>
        <v/>
      </c>
      <c r="L764" s="7">
        <f>IF($AA764="","",IF(AND(ISNUMBER(N764),N764&gt;0,Y764&gt;N764),K764*N764/100+(Y764-N764),K764*Y764/100))</f>
        <v/>
      </c>
      <c r="M764">
        <f>IF($AA764="","",INDEX('Per Line'!$Z$2:$Z$4001,$AA764)&amp;"")</f>
        <v/>
      </c>
      <c r="N764">
        <f>IF($AA764="","",INDEX('Per Line'!$AG$2:$AG$4001,$AA764))</f>
        <v/>
      </c>
      <c r="O764">
        <f>IF($AA764="","",IF(AND(ISNUMBER(N764),N764&gt;0),Y764&gt;N764,FALSE))</f>
        <v/>
      </c>
      <c r="P764" s="7">
        <f>IF($AA764="","",SUMIFS('Per Line'!$Y$2:$Y$4001,'Per Line'!$E$2:$E$4001,$B764,'Per Line'!$AQ$2:$AQ$4001,1))</f>
        <v/>
      </c>
      <c r="Q764">
        <f>IF($AA764="","",Settings!$C$7)</f>
        <v/>
      </c>
      <c r="R764" s="7">
        <f>IF($AA764="","",SUMIFS('Per Line'!$Y$2:$Y$4001,'Per Line'!$E$2:$E$4001,$B764,'Per Line'!$AP$2:$AP$4001,0,'Per Line'!$AQ$2:$AQ$4001,0))</f>
        <v/>
      </c>
      <c r="S764" s="7">
        <f>IF($AA764="","",R764*Q764)</f>
        <v/>
      </c>
      <c r="T764">
        <f>IF($AA764="","",Settings!$C$6)</f>
        <v/>
      </c>
      <c r="U764" s="7">
        <f>IF($AA764="","",SUMIFS('Per Line'!$Y$2:$Y$4001,'Per Line'!$E$2:$E$4001,$B764,'Per Line'!$AP$2:$AP$4001,1,'Per Line'!$AQ$2:$AQ$4001,0))</f>
        <v/>
      </c>
      <c r="V764" s="7">
        <f>IF($AA764="","",U764*T764)</f>
        <v/>
      </c>
      <c r="W764" s="7">
        <f>IF($AA764="","",V764+S764)</f>
        <v/>
      </c>
      <c r="X764" s="7">
        <f>IF($AA764="","",Y764-W764)</f>
        <v/>
      </c>
      <c r="Y764" s="7">
        <f>IF($AA764="","",R764+U764+P764)</f>
        <v/>
      </c>
      <c r="Z764" s="7">
        <f>IF($AA764="","",Y764-W764-L764)</f>
        <v/>
      </c>
      <c r="AA764" s="13">
        <f>IF(ROWS($AA$2:$AA764)&lt;=MAX('Per Line'!$AO$2:$AO$4001),MATCH(ROWS($AA$2:$AA764),'Per Line'!$AO$2:$AO$4001,0),"")</f>
        <v/>
      </c>
      <c r="AB764" s="14">
        <f>IF($AA764="","",L764-K764*Y764/100)</f>
        <v/>
      </c>
    </row>
    <row r="765">
      <c r="A765" s="12" t="n"/>
      <c r="B765">
        <f>IF($AA765="","",INDEX('Per Line'!$E$2:$E$4001,$AA765)&amp;"")</f>
        <v/>
      </c>
      <c r="C765">
        <f>IF($AA765="","",INDEX('Per Line'!$A$2:$A$4001,$AA765)&amp;"")</f>
        <v/>
      </c>
      <c r="D765">
        <f>IF($AA765="","",INDEX('Per Line'!$D$2:$D$4001,$AA765)&amp;"")</f>
        <v/>
      </c>
      <c r="E765" s="11">
        <f>IF($AA765="","",INDEX('Per Line'!$G$2:$G$4001,$AA765))</f>
        <v/>
      </c>
      <c r="F765">
        <f>IF($AA765="","",INDEX('Per Line'!$H$2:$H$4001,$AA765)&amp;"")</f>
        <v/>
      </c>
      <c r="G765">
        <f>IF($AA765="","",INDEX('Per Line'!$I$2:$I$4001,$AA765)&amp;"")</f>
        <v/>
      </c>
      <c r="H765">
        <f>IF($AA765="","",INDEX('Per Line'!$J$2:$J$4001,$AA765)&amp;"")</f>
        <v/>
      </c>
      <c r="I765">
        <f>IF($AA765="","",INDEX('Per Line'!$K$2:$K$4001,$AA765)&amp;"")</f>
        <v/>
      </c>
      <c r="J765">
        <f>IF($AA765="","",INDEX('Per Line'!$L$2:$L$4001,$AA765)&amp;"")</f>
        <v/>
      </c>
      <c r="K765">
        <f>IF($AA765="","",INDEX('Per Line'!$P$2:$P$4001,$AA765))</f>
        <v/>
      </c>
      <c r="L765" s="7">
        <f>IF($AA765="","",IF(AND(ISNUMBER(N765),N765&gt;0,Y765&gt;N765),K765*N765/100+(Y765-N765),K765*Y765/100))</f>
        <v/>
      </c>
      <c r="M765">
        <f>IF($AA765="","",INDEX('Per Line'!$Z$2:$Z$4001,$AA765)&amp;"")</f>
        <v/>
      </c>
      <c r="N765">
        <f>IF($AA765="","",INDEX('Per Line'!$AG$2:$AG$4001,$AA765))</f>
        <v/>
      </c>
      <c r="O765">
        <f>IF($AA765="","",IF(AND(ISNUMBER(N765),N765&gt;0),Y765&gt;N765,FALSE))</f>
        <v/>
      </c>
      <c r="P765" s="7">
        <f>IF($AA765="","",SUMIFS('Per Line'!$Y$2:$Y$4001,'Per Line'!$E$2:$E$4001,$B765,'Per Line'!$AQ$2:$AQ$4001,1))</f>
        <v/>
      </c>
      <c r="Q765">
        <f>IF($AA765="","",Settings!$C$7)</f>
        <v/>
      </c>
      <c r="R765" s="7">
        <f>IF($AA765="","",SUMIFS('Per Line'!$Y$2:$Y$4001,'Per Line'!$E$2:$E$4001,$B765,'Per Line'!$AP$2:$AP$4001,0,'Per Line'!$AQ$2:$AQ$4001,0))</f>
        <v/>
      </c>
      <c r="S765" s="7">
        <f>IF($AA765="","",R765*Q765)</f>
        <v/>
      </c>
      <c r="T765">
        <f>IF($AA765="","",Settings!$C$6)</f>
        <v/>
      </c>
      <c r="U765" s="7">
        <f>IF($AA765="","",SUMIFS('Per Line'!$Y$2:$Y$4001,'Per Line'!$E$2:$E$4001,$B765,'Per Line'!$AP$2:$AP$4001,1,'Per Line'!$AQ$2:$AQ$4001,0))</f>
        <v/>
      </c>
      <c r="V765" s="7">
        <f>IF($AA765="","",U765*T765)</f>
        <v/>
      </c>
      <c r="W765" s="7">
        <f>IF($AA765="","",V765+S765)</f>
        <v/>
      </c>
      <c r="X765" s="7">
        <f>IF($AA765="","",Y765-W765)</f>
        <v/>
      </c>
      <c r="Y765" s="7">
        <f>IF($AA765="","",R765+U765+P765)</f>
        <v/>
      </c>
      <c r="Z765" s="7">
        <f>IF($AA765="","",Y765-W765-L765)</f>
        <v/>
      </c>
      <c r="AA765" s="13">
        <f>IF(ROWS($AA$2:$AA765)&lt;=MAX('Per Line'!$AO$2:$AO$4001),MATCH(ROWS($AA$2:$AA765),'Per Line'!$AO$2:$AO$4001,0),"")</f>
        <v/>
      </c>
      <c r="AB765" s="14">
        <f>IF($AA765="","",L765-K765*Y765/100)</f>
        <v/>
      </c>
    </row>
    <row r="766">
      <c r="A766" s="12" t="n"/>
      <c r="B766">
        <f>IF($AA766="","",INDEX('Per Line'!$E$2:$E$4001,$AA766)&amp;"")</f>
        <v/>
      </c>
      <c r="C766">
        <f>IF($AA766="","",INDEX('Per Line'!$A$2:$A$4001,$AA766)&amp;"")</f>
        <v/>
      </c>
      <c r="D766">
        <f>IF($AA766="","",INDEX('Per Line'!$D$2:$D$4001,$AA766)&amp;"")</f>
        <v/>
      </c>
      <c r="E766" s="11">
        <f>IF($AA766="","",INDEX('Per Line'!$G$2:$G$4001,$AA766))</f>
        <v/>
      </c>
      <c r="F766">
        <f>IF($AA766="","",INDEX('Per Line'!$H$2:$H$4001,$AA766)&amp;"")</f>
        <v/>
      </c>
      <c r="G766">
        <f>IF($AA766="","",INDEX('Per Line'!$I$2:$I$4001,$AA766)&amp;"")</f>
        <v/>
      </c>
      <c r="H766">
        <f>IF($AA766="","",INDEX('Per Line'!$J$2:$J$4001,$AA766)&amp;"")</f>
        <v/>
      </c>
      <c r="I766">
        <f>IF($AA766="","",INDEX('Per Line'!$K$2:$K$4001,$AA766)&amp;"")</f>
        <v/>
      </c>
      <c r="J766">
        <f>IF($AA766="","",INDEX('Per Line'!$L$2:$L$4001,$AA766)&amp;"")</f>
        <v/>
      </c>
      <c r="K766">
        <f>IF($AA766="","",INDEX('Per Line'!$P$2:$P$4001,$AA766))</f>
        <v/>
      </c>
      <c r="L766" s="7">
        <f>IF($AA766="","",IF(AND(ISNUMBER(N766),N766&gt;0,Y766&gt;N766),K766*N766/100+(Y766-N766),K766*Y766/100))</f>
        <v/>
      </c>
      <c r="M766">
        <f>IF($AA766="","",INDEX('Per Line'!$Z$2:$Z$4001,$AA766)&amp;"")</f>
        <v/>
      </c>
      <c r="N766">
        <f>IF($AA766="","",INDEX('Per Line'!$AG$2:$AG$4001,$AA766))</f>
        <v/>
      </c>
      <c r="O766">
        <f>IF($AA766="","",IF(AND(ISNUMBER(N766),N766&gt;0),Y766&gt;N766,FALSE))</f>
        <v/>
      </c>
      <c r="P766" s="7">
        <f>IF($AA766="","",SUMIFS('Per Line'!$Y$2:$Y$4001,'Per Line'!$E$2:$E$4001,$B766,'Per Line'!$AQ$2:$AQ$4001,1))</f>
        <v/>
      </c>
      <c r="Q766">
        <f>IF($AA766="","",Settings!$C$7)</f>
        <v/>
      </c>
      <c r="R766" s="7">
        <f>IF($AA766="","",SUMIFS('Per Line'!$Y$2:$Y$4001,'Per Line'!$E$2:$E$4001,$B766,'Per Line'!$AP$2:$AP$4001,0,'Per Line'!$AQ$2:$AQ$4001,0))</f>
        <v/>
      </c>
      <c r="S766" s="7">
        <f>IF($AA766="","",R766*Q766)</f>
        <v/>
      </c>
      <c r="T766">
        <f>IF($AA766="","",Settings!$C$6)</f>
        <v/>
      </c>
      <c r="U766" s="7">
        <f>IF($AA766="","",SUMIFS('Per Line'!$Y$2:$Y$4001,'Per Line'!$E$2:$E$4001,$B766,'Per Line'!$AP$2:$AP$4001,1,'Per Line'!$AQ$2:$AQ$4001,0))</f>
        <v/>
      </c>
      <c r="V766" s="7">
        <f>IF($AA766="","",U766*T766)</f>
        <v/>
      </c>
      <c r="W766" s="7">
        <f>IF($AA766="","",V766+S766)</f>
        <v/>
      </c>
      <c r="X766" s="7">
        <f>IF($AA766="","",Y766-W766)</f>
        <v/>
      </c>
      <c r="Y766" s="7">
        <f>IF($AA766="","",R766+U766+P766)</f>
        <v/>
      </c>
      <c r="Z766" s="7">
        <f>IF($AA766="","",Y766-W766-L766)</f>
        <v/>
      </c>
      <c r="AA766" s="13">
        <f>IF(ROWS($AA$2:$AA766)&lt;=MAX('Per Line'!$AO$2:$AO$4001),MATCH(ROWS($AA$2:$AA766),'Per Line'!$AO$2:$AO$4001,0),"")</f>
        <v/>
      </c>
      <c r="AB766" s="14">
        <f>IF($AA766="","",L766-K766*Y766/100)</f>
        <v/>
      </c>
    </row>
    <row r="767">
      <c r="A767" s="12" t="n"/>
      <c r="B767">
        <f>IF($AA767="","",INDEX('Per Line'!$E$2:$E$4001,$AA767)&amp;"")</f>
        <v/>
      </c>
      <c r="C767">
        <f>IF($AA767="","",INDEX('Per Line'!$A$2:$A$4001,$AA767)&amp;"")</f>
        <v/>
      </c>
      <c r="D767">
        <f>IF($AA767="","",INDEX('Per Line'!$D$2:$D$4001,$AA767)&amp;"")</f>
        <v/>
      </c>
      <c r="E767" s="11">
        <f>IF($AA767="","",INDEX('Per Line'!$G$2:$G$4001,$AA767))</f>
        <v/>
      </c>
      <c r="F767">
        <f>IF($AA767="","",INDEX('Per Line'!$H$2:$H$4001,$AA767)&amp;"")</f>
        <v/>
      </c>
      <c r="G767">
        <f>IF($AA767="","",INDEX('Per Line'!$I$2:$I$4001,$AA767)&amp;"")</f>
        <v/>
      </c>
      <c r="H767">
        <f>IF($AA767="","",INDEX('Per Line'!$J$2:$J$4001,$AA767)&amp;"")</f>
        <v/>
      </c>
      <c r="I767">
        <f>IF($AA767="","",INDEX('Per Line'!$K$2:$K$4001,$AA767)&amp;"")</f>
        <v/>
      </c>
      <c r="J767">
        <f>IF($AA767="","",INDEX('Per Line'!$L$2:$L$4001,$AA767)&amp;"")</f>
        <v/>
      </c>
      <c r="K767">
        <f>IF($AA767="","",INDEX('Per Line'!$P$2:$P$4001,$AA767))</f>
        <v/>
      </c>
      <c r="L767" s="7">
        <f>IF($AA767="","",IF(AND(ISNUMBER(N767),N767&gt;0,Y767&gt;N767),K767*N767/100+(Y767-N767),K767*Y767/100))</f>
        <v/>
      </c>
      <c r="M767">
        <f>IF($AA767="","",INDEX('Per Line'!$Z$2:$Z$4001,$AA767)&amp;"")</f>
        <v/>
      </c>
      <c r="N767">
        <f>IF($AA767="","",INDEX('Per Line'!$AG$2:$AG$4001,$AA767))</f>
        <v/>
      </c>
      <c r="O767">
        <f>IF($AA767="","",IF(AND(ISNUMBER(N767),N767&gt;0),Y767&gt;N767,FALSE))</f>
        <v/>
      </c>
      <c r="P767" s="7">
        <f>IF($AA767="","",SUMIFS('Per Line'!$Y$2:$Y$4001,'Per Line'!$E$2:$E$4001,$B767,'Per Line'!$AQ$2:$AQ$4001,1))</f>
        <v/>
      </c>
      <c r="Q767">
        <f>IF($AA767="","",Settings!$C$7)</f>
        <v/>
      </c>
      <c r="R767" s="7">
        <f>IF($AA767="","",SUMIFS('Per Line'!$Y$2:$Y$4001,'Per Line'!$E$2:$E$4001,$B767,'Per Line'!$AP$2:$AP$4001,0,'Per Line'!$AQ$2:$AQ$4001,0))</f>
        <v/>
      </c>
      <c r="S767" s="7">
        <f>IF($AA767="","",R767*Q767)</f>
        <v/>
      </c>
      <c r="T767">
        <f>IF($AA767="","",Settings!$C$6)</f>
        <v/>
      </c>
      <c r="U767" s="7">
        <f>IF($AA767="","",SUMIFS('Per Line'!$Y$2:$Y$4001,'Per Line'!$E$2:$E$4001,$B767,'Per Line'!$AP$2:$AP$4001,1,'Per Line'!$AQ$2:$AQ$4001,0))</f>
        <v/>
      </c>
      <c r="V767" s="7">
        <f>IF($AA767="","",U767*T767)</f>
        <v/>
      </c>
      <c r="W767" s="7">
        <f>IF($AA767="","",V767+S767)</f>
        <v/>
      </c>
      <c r="X767" s="7">
        <f>IF($AA767="","",Y767-W767)</f>
        <v/>
      </c>
      <c r="Y767" s="7">
        <f>IF($AA767="","",R767+U767+P767)</f>
        <v/>
      </c>
      <c r="Z767" s="7">
        <f>IF($AA767="","",Y767-W767-L767)</f>
        <v/>
      </c>
      <c r="AA767" s="13">
        <f>IF(ROWS($AA$2:$AA767)&lt;=MAX('Per Line'!$AO$2:$AO$4001),MATCH(ROWS($AA$2:$AA767),'Per Line'!$AO$2:$AO$4001,0),"")</f>
        <v/>
      </c>
      <c r="AB767" s="14">
        <f>IF($AA767="","",L767-K767*Y767/100)</f>
        <v/>
      </c>
    </row>
    <row r="768">
      <c r="A768" s="12" t="n"/>
      <c r="B768">
        <f>IF($AA768="","",INDEX('Per Line'!$E$2:$E$4001,$AA768)&amp;"")</f>
        <v/>
      </c>
      <c r="C768">
        <f>IF($AA768="","",INDEX('Per Line'!$A$2:$A$4001,$AA768)&amp;"")</f>
        <v/>
      </c>
      <c r="D768">
        <f>IF($AA768="","",INDEX('Per Line'!$D$2:$D$4001,$AA768)&amp;"")</f>
        <v/>
      </c>
      <c r="E768" s="11">
        <f>IF($AA768="","",INDEX('Per Line'!$G$2:$G$4001,$AA768))</f>
        <v/>
      </c>
      <c r="F768">
        <f>IF($AA768="","",INDEX('Per Line'!$H$2:$H$4001,$AA768)&amp;"")</f>
        <v/>
      </c>
      <c r="G768">
        <f>IF($AA768="","",INDEX('Per Line'!$I$2:$I$4001,$AA768)&amp;"")</f>
        <v/>
      </c>
      <c r="H768">
        <f>IF($AA768="","",INDEX('Per Line'!$J$2:$J$4001,$AA768)&amp;"")</f>
        <v/>
      </c>
      <c r="I768">
        <f>IF($AA768="","",INDEX('Per Line'!$K$2:$K$4001,$AA768)&amp;"")</f>
        <v/>
      </c>
      <c r="J768">
        <f>IF($AA768="","",INDEX('Per Line'!$L$2:$L$4001,$AA768)&amp;"")</f>
        <v/>
      </c>
      <c r="K768">
        <f>IF($AA768="","",INDEX('Per Line'!$P$2:$P$4001,$AA768))</f>
        <v/>
      </c>
      <c r="L768" s="7">
        <f>IF($AA768="","",IF(AND(ISNUMBER(N768),N768&gt;0,Y768&gt;N768),K768*N768/100+(Y768-N768),K768*Y768/100))</f>
        <v/>
      </c>
      <c r="M768">
        <f>IF($AA768="","",INDEX('Per Line'!$Z$2:$Z$4001,$AA768)&amp;"")</f>
        <v/>
      </c>
      <c r="N768">
        <f>IF($AA768="","",INDEX('Per Line'!$AG$2:$AG$4001,$AA768))</f>
        <v/>
      </c>
      <c r="O768">
        <f>IF($AA768="","",IF(AND(ISNUMBER(N768),N768&gt;0),Y768&gt;N768,FALSE))</f>
        <v/>
      </c>
      <c r="P768" s="7">
        <f>IF($AA768="","",SUMIFS('Per Line'!$Y$2:$Y$4001,'Per Line'!$E$2:$E$4001,$B768,'Per Line'!$AQ$2:$AQ$4001,1))</f>
        <v/>
      </c>
      <c r="Q768">
        <f>IF($AA768="","",Settings!$C$7)</f>
        <v/>
      </c>
      <c r="R768" s="7">
        <f>IF($AA768="","",SUMIFS('Per Line'!$Y$2:$Y$4001,'Per Line'!$E$2:$E$4001,$B768,'Per Line'!$AP$2:$AP$4001,0,'Per Line'!$AQ$2:$AQ$4001,0))</f>
        <v/>
      </c>
      <c r="S768" s="7">
        <f>IF($AA768="","",R768*Q768)</f>
        <v/>
      </c>
      <c r="T768">
        <f>IF($AA768="","",Settings!$C$6)</f>
        <v/>
      </c>
      <c r="U768" s="7">
        <f>IF($AA768="","",SUMIFS('Per Line'!$Y$2:$Y$4001,'Per Line'!$E$2:$E$4001,$B768,'Per Line'!$AP$2:$AP$4001,1,'Per Line'!$AQ$2:$AQ$4001,0))</f>
        <v/>
      </c>
      <c r="V768" s="7">
        <f>IF($AA768="","",U768*T768)</f>
        <v/>
      </c>
      <c r="W768" s="7">
        <f>IF($AA768="","",V768+S768)</f>
        <v/>
      </c>
      <c r="X768" s="7">
        <f>IF($AA768="","",Y768-W768)</f>
        <v/>
      </c>
      <c r="Y768" s="7">
        <f>IF($AA768="","",R768+U768+P768)</f>
        <v/>
      </c>
      <c r="Z768" s="7">
        <f>IF($AA768="","",Y768-W768-L768)</f>
        <v/>
      </c>
      <c r="AA768" s="13">
        <f>IF(ROWS($AA$2:$AA768)&lt;=MAX('Per Line'!$AO$2:$AO$4001),MATCH(ROWS($AA$2:$AA768),'Per Line'!$AO$2:$AO$4001,0),"")</f>
        <v/>
      </c>
      <c r="AB768" s="14">
        <f>IF($AA768="","",L768-K768*Y768/100)</f>
        <v/>
      </c>
    </row>
    <row r="769">
      <c r="A769" s="12" t="n"/>
      <c r="B769">
        <f>IF($AA769="","",INDEX('Per Line'!$E$2:$E$4001,$AA769)&amp;"")</f>
        <v/>
      </c>
      <c r="C769">
        <f>IF($AA769="","",INDEX('Per Line'!$A$2:$A$4001,$AA769)&amp;"")</f>
        <v/>
      </c>
      <c r="D769">
        <f>IF($AA769="","",INDEX('Per Line'!$D$2:$D$4001,$AA769)&amp;"")</f>
        <v/>
      </c>
      <c r="E769" s="11">
        <f>IF($AA769="","",INDEX('Per Line'!$G$2:$G$4001,$AA769))</f>
        <v/>
      </c>
      <c r="F769">
        <f>IF($AA769="","",INDEX('Per Line'!$H$2:$H$4001,$AA769)&amp;"")</f>
        <v/>
      </c>
      <c r="G769">
        <f>IF($AA769="","",INDEX('Per Line'!$I$2:$I$4001,$AA769)&amp;"")</f>
        <v/>
      </c>
      <c r="H769">
        <f>IF($AA769="","",INDEX('Per Line'!$J$2:$J$4001,$AA769)&amp;"")</f>
        <v/>
      </c>
      <c r="I769">
        <f>IF($AA769="","",INDEX('Per Line'!$K$2:$K$4001,$AA769)&amp;"")</f>
        <v/>
      </c>
      <c r="J769">
        <f>IF($AA769="","",INDEX('Per Line'!$L$2:$L$4001,$AA769)&amp;"")</f>
        <v/>
      </c>
      <c r="K769">
        <f>IF($AA769="","",INDEX('Per Line'!$P$2:$P$4001,$AA769))</f>
        <v/>
      </c>
      <c r="L769" s="7">
        <f>IF($AA769="","",IF(AND(ISNUMBER(N769),N769&gt;0,Y769&gt;N769),K769*N769/100+(Y769-N769),K769*Y769/100))</f>
        <v/>
      </c>
      <c r="M769">
        <f>IF($AA769="","",INDEX('Per Line'!$Z$2:$Z$4001,$AA769)&amp;"")</f>
        <v/>
      </c>
      <c r="N769">
        <f>IF($AA769="","",INDEX('Per Line'!$AG$2:$AG$4001,$AA769))</f>
        <v/>
      </c>
      <c r="O769">
        <f>IF($AA769="","",IF(AND(ISNUMBER(N769),N769&gt;0),Y769&gt;N769,FALSE))</f>
        <v/>
      </c>
      <c r="P769" s="7">
        <f>IF($AA769="","",SUMIFS('Per Line'!$Y$2:$Y$4001,'Per Line'!$E$2:$E$4001,$B769,'Per Line'!$AQ$2:$AQ$4001,1))</f>
        <v/>
      </c>
      <c r="Q769">
        <f>IF($AA769="","",Settings!$C$7)</f>
        <v/>
      </c>
      <c r="R769" s="7">
        <f>IF($AA769="","",SUMIFS('Per Line'!$Y$2:$Y$4001,'Per Line'!$E$2:$E$4001,$B769,'Per Line'!$AP$2:$AP$4001,0,'Per Line'!$AQ$2:$AQ$4001,0))</f>
        <v/>
      </c>
      <c r="S769" s="7">
        <f>IF($AA769="","",R769*Q769)</f>
        <v/>
      </c>
      <c r="T769">
        <f>IF($AA769="","",Settings!$C$6)</f>
        <v/>
      </c>
      <c r="U769" s="7">
        <f>IF($AA769="","",SUMIFS('Per Line'!$Y$2:$Y$4001,'Per Line'!$E$2:$E$4001,$B769,'Per Line'!$AP$2:$AP$4001,1,'Per Line'!$AQ$2:$AQ$4001,0))</f>
        <v/>
      </c>
      <c r="V769" s="7">
        <f>IF($AA769="","",U769*T769)</f>
        <v/>
      </c>
      <c r="W769" s="7">
        <f>IF($AA769="","",V769+S769)</f>
        <v/>
      </c>
      <c r="X769" s="7">
        <f>IF($AA769="","",Y769-W769)</f>
        <v/>
      </c>
      <c r="Y769" s="7">
        <f>IF($AA769="","",R769+U769+P769)</f>
        <v/>
      </c>
      <c r="Z769" s="7">
        <f>IF($AA769="","",Y769-W769-L769)</f>
        <v/>
      </c>
      <c r="AA769" s="13">
        <f>IF(ROWS($AA$2:$AA769)&lt;=MAX('Per Line'!$AO$2:$AO$4001),MATCH(ROWS($AA$2:$AA769),'Per Line'!$AO$2:$AO$4001,0),"")</f>
        <v/>
      </c>
      <c r="AB769" s="14">
        <f>IF($AA769="","",L769-K769*Y769/100)</f>
        <v/>
      </c>
    </row>
    <row r="770">
      <c r="A770" s="12" t="n"/>
      <c r="B770">
        <f>IF($AA770="","",INDEX('Per Line'!$E$2:$E$4001,$AA770)&amp;"")</f>
        <v/>
      </c>
      <c r="C770">
        <f>IF($AA770="","",INDEX('Per Line'!$A$2:$A$4001,$AA770)&amp;"")</f>
        <v/>
      </c>
      <c r="D770">
        <f>IF($AA770="","",INDEX('Per Line'!$D$2:$D$4001,$AA770)&amp;"")</f>
        <v/>
      </c>
      <c r="E770" s="11">
        <f>IF($AA770="","",INDEX('Per Line'!$G$2:$G$4001,$AA770))</f>
        <v/>
      </c>
      <c r="F770">
        <f>IF($AA770="","",INDEX('Per Line'!$H$2:$H$4001,$AA770)&amp;"")</f>
        <v/>
      </c>
      <c r="G770">
        <f>IF($AA770="","",INDEX('Per Line'!$I$2:$I$4001,$AA770)&amp;"")</f>
        <v/>
      </c>
      <c r="H770">
        <f>IF($AA770="","",INDEX('Per Line'!$J$2:$J$4001,$AA770)&amp;"")</f>
        <v/>
      </c>
      <c r="I770">
        <f>IF($AA770="","",INDEX('Per Line'!$K$2:$K$4001,$AA770)&amp;"")</f>
        <v/>
      </c>
      <c r="J770">
        <f>IF($AA770="","",INDEX('Per Line'!$L$2:$L$4001,$AA770)&amp;"")</f>
        <v/>
      </c>
      <c r="K770">
        <f>IF($AA770="","",INDEX('Per Line'!$P$2:$P$4001,$AA770))</f>
        <v/>
      </c>
      <c r="L770" s="7">
        <f>IF($AA770="","",IF(AND(ISNUMBER(N770),N770&gt;0,Y770&gt;N770),K770*N770/100+(Y770-N770),K770*Y770/100))</f>
        <v/>
      </c>
      <c r="M770">
        <f>IF($AA770="","",INDEX('Per Line'!$Z$2:$Z$4001,$AA770)&amp;"")</f>
        <v/>
      </c>
      <c r="N770">
        <f>IF($AA770="","",INDEX('Per Line'!$AG$2:$AG$4001,$AA770))</f>
        <v/>
      </c>
      <c r="O770">
        <f>IF($AA770="","",IF(AND(ISNUMBER(N770),N770&gt;0),Y770&gt;N770,FALSE))</f>
        <v/>
      </c>
      <c r="P770" s="7">
        <f>IF($AA770="","",SUMIFS('Per Line'!$Y$2:$Y$4001,'Per Line'!$E$2:$E$4001,$B770,'Per Line'!$AQ$2:$AQ$4001,1))</f>
        <v/>
      </c>
      <c r="Q770">
        <f>IF($AA770="","",Settings!$C$7)</f>
        <v/>
      </c>
      <c r="R770" s="7">
        <f>IF($AA770="","",SUMIFS('Per Line'!$Y$2:$Y$4001,'Per Line'!$E$2:$E$4001,$B770,'Per Line'!$AP$2:$AP$4001,0,'Per Line'!$AQ$2:$AQ$4001,0))</f>
        <v/>
      </c>
      <c r="S770" s="7">
        <f>IF($AA770="","",R770*Q770)</f>
        <v/>
      </c>
      <c r="T770">
        <f>IF($AA770="","",Settings!$C$6)</f>
        <v/>
      </c>
      <c r="U770" s="7">
        <f>IF($AA770="","",SUMIFS('Per Line'!$Y$2:$Y$4001,'Per Line'!$E$2:$E$4001,$B770,'Per Line'!$AP$2:$AP$4001,1,'Per Line'!$AQ$2:$AQ$4001,0))</f>
        <v/>
      </c>
      <c r="V770" s="7">
        <f>IF($AA770="","",U770*T770)</f>
        <v/>
      </c>
      <c r="W770" s="7">
        <f>IF($AA770="","",V770+S770)</f>
        <v/>
      </c>
      <c r="X770" s="7">
        <f>IF($AA770="","",Y770-W770)</f>
        <v/>
      </c>
      <c r="Y770" s="7">
        <f>IF($AA770="","",R770+U770+P770)</f>
        <v/>
      </c>
      <c r="Z770" s="7">
        <f>IF($AA770="","",Y770-W770-L770)</f>
        <v/>
      </c>
      <c r="AA770" s="13">
        <f>IF(ROWS($AA$2:$AA770)&lt;=MAX('Per Line'!$AO$2:$AO$4001),MATCH(ROWS($AA$2:$AA770),'Per Line'!$AO$2:$AO$4001,0),"")</f>
        <v/>
      </c>
      <c r="AB770" s="14">
        <f>IF($AA770="","",L770-K770*Y770/100)</f>
        <v/>
      </c>
    </row>
    <row r="771">
      <c r="A771" s="12" t="n"/>
      <c r="B771">
        <f>IF($AA771="","",INDEX('Per Line'!$E$2:$E$4001,$AA771)&amp;"")</f>
        <v/>
      </c>
      <c r="C771">
        <f>IF($AA771="","",INDEX('Per Line'!$A$2:$A$4001,$AA771)&amp;"")</f>
        <v/>
      </c>
      <c r="D771">
        <f>IF($AA771="","",INDEX('Per Line'!$D$2:$D$4001,$AA771)&amp;"")</f>
        <v/>
      </c>
      <c r="E771" s="11">
        <f>IF($AA771="","",INDEX('Per Line'!$G$2:$G$4001,$AA771))</f>
        <v/>
      </c>
      <c r="F771">
        <f>IF($AA771="","",INDEX('Per Line'!$H$2:$H$4001,$AA771)&amp;"")</f>
        <v/>
      </c>
      <c r="G771">
        <f>IF($AA771="","",INDEX('Per Line'!$I$2:$I$4001,$AA771)&amp;"")</f>
        <v/>
      </c>
      <c r="H771">
        <f>IF($AA771="","",INDEX('Per Line'!$J$2:$J$4001,$AA771)&amp;"")</f>
        <v/>
      </c>
      <c r="I771">
        <f>IF($AA771="","",INDEX('Per Line'!$K$2:$K$4001,$AA771)&amp;"")</f>
        <v/>
      </c>
      <c r="J771">
        <f>IF($AA771="","",INDEX('Per Line'!$L$2:$L$4001,$AA771)&amp;"")</f>
        <v/>
      </c>
      <c r="K771">
        <f>IF($AA771="","",INDEX('Per Line'!$P$2:$P$4001,$AA771))</f>
        <v/>
      </c>
      <c r="L771" s="7">
        <f>IF($AA771="","",IF(AND(ISNUMBER(N771),N771&gt;0,Y771&gt;N771),K771*N771/100+(Y771-N771),K771*Y771/100))</f>
        <v/>
      </c>
      <c r="M771">
        <f>IF($AA771="","",INDEX('Per Line'!$Z$2:$Z$4001,$AA771)&amp;"")</f>
        <v/>
      </c>
      <c r="N771">
        <f>IF($AA771="","",INDEX('Per Line'!$AG$2:$AG$4001,$AA771))</f>
        <v/>
      </c>
      <c r="O771">
        <f>IF($AA771="","",IF(AND(ISNUMBER(N771),N771&gt;0),Y771&gt;N771,FALSE))</f>
        <v/>
      </c>
      <c r="P771" s="7">
        <f>IF($AA771="","",SUMIFS('Per Line'!$Y$2:$Y$4001,'Per Line'!$E$2:$E$4001,$B771,'Per Line'!$AQ$2:$AQ$4001,1))</f>
        <v/>
      </c>
      <c r="Q771">
        <f>IF($AA771="","",Settings!$C$7)</f>
        <v/>
      </c>
      <c r="R771" s="7">
        <f>IF($AA771="","",SUMIFS('Per Line'!$Y$2:$Y$4001,'Per Line'!$E$2:$E$4001,$B771,'Per Line'!$AP$2:$AP$4001,0,'Per Line'!$AQ$2:$AQ$4001,0))</f>
        <v/>
      </c>
      <c r="S771" s="7">
        <f>IF($AA771="","",R771*Q771)</f>
        <v/>
      </c>
      <c r="T771">
        <f>IF($AA771="","",Settings!$C$6)</f>
        <v/>
      </c>
      <c r="U771" s="7">
        <f>IF($AA771="","",SUMIFS('Per Line'!$Y$2:$Y$4001,'Per Line'!$E$2:$E$4001,$B771,'Per Line'!$AP$2:$AP$4001,1,'Per Line'!$AQ$2:$AQ$4001,0))</f>
        <v/>
      </c>
      <c r="V771" s="7">
        <f>IF($AA771="","",U771*T771)</f>
        <v/>
      </c>
      <c r="W771" s="7">
        <f>IF($AA771="","",V771+S771)</f>
        <v/>
      </c>
      <c r="X771" s="7">
        <f>IF($AA771="","",Y771-W771)</f>
        <v/>
      </c>
      <c r="Y771" s="7">
        <f>IF($AA771="","",R771+U771+P771)</f>
        <v/>
      </c>
      <c r="Z771" s="7">
        <f>IF($AA771="","",Y771-W771-L771)</f>
        <v/>
      </c>
      <c r="AA771" s="13">
        <f>IF(ROWS($AA$2:$AA771)&lt;=MAX('Per Line'!$AO$2:$AO$4001),MATCH(ROWS($AA$2:$AA771),'Per Line'!$AO$2:$AO$4001,0),"")</f>
        <v/>
      </c>
      <c r="AB771" s="14">
        <f>IF($AA771="","",L771-K771*Y771/100)</f>
        <v/>
      </c>
    </row>
    <row r="772">
      <c r="A772" s="12" t="n"/>
      <c r="B772">
        <f>IF($AA772="","",INDEX('Per Line'!$E$2:$E$4001,$AA772)&amp;"")</f>
        <v/>
      </c>
      <c r="C772">
        <f>IF($AA772="","",INDEX('Per Line'!$A$2:$A$4001,$AA772)&amp;"")</f>
        <v/>
      </c>
      <c r="D772">
        <f>IF($AA772="","",INDEX('Per Line'!$D$2:$D$4001,$AA772)&amp;"")</f>
        <v/>
      </c>
      <c r="E772" s="11">
        <f>IF($AA772="","",INDEX('Per Line'!$G$2:$G$4001,$AA772))</f>
        <v/>
      </c>
      <c r="F772">
        <f>IF($AA772="","",INDEX('Per Line'!$H$2:$H$4001,$AA772)&amp;"")</f>
        <v/>
      </c>
      <c r="G772">
        <f>IF($AA772="","",INDEX('Per Line'!$I$2:$I$4001,$AA772)&amp;"")</f>
        <v/>
      </c>
      <c r="H772">
        <f>IF($AA772="","",INDEX('Per Line'!$J$2:$J$4001,$AA772)&amp;"")</f>
        <v/>
      </c>
      <c r="I772">
        <f>IF($AA772="","",INDEX('Per Line'!$K$2:$K$4001,$AA772)&amp;"")</f>
        <v/>
      </c>
      <c r="J772">
        <f>IF($AA772="","",INDEX('Per Line'!$L$2:$L$4001,$AA772)&amp;"")</f>
        <v/>
      </c>
      <c r="K772">
        <f>IF($AA772="","",INDEX('Per Line'!$P$2:$P$4001,$AA772))</f>
        <v/>
      </c>
      <c r="L772" s="7">
        <f>IF($AA772="","",IF(AND(ISNUMBER(N772),N772&gt;0,Y772&gt;N772),K772*N772/100+(Y772-N772),K772*Y772/100))</f>
        <v/>
      </c>
      <c r="M772">
        <f>IF($AA772="","",INDEX('Per Line'!$Z$2:$Z$4001,$AA772)&amp;"")</f>
        <v/>
      </c>
      <c r="N772">
        <f>IF($AA772="","",INDEX('Per Line'!$AG$2:$AG$4001,$AA772))</f>
        <v/>
      </c>
      <c r="O772">
        <f>IF($AA772="","",IF(AND(ISNUMBER(N772),N772&gt;0),Y772&gt;N772,FALSE))</f>
        <v/>
      </c>
      <c r="P772" s="7">
        <f>IF($AA772="","",SUMIFS('Per Line'!$Y$2:$Y$4001,'Per Line'!$E$2:$E$4001,$B772,'Per Line'!$AQ$2:$AQ$4001,1))</f>
        <v/>
      </c>
      <c r="Q772">
        <f>IF($AA772="","",Settings!$C$7)</f>
        <v/>
      </c>
      <c r="R772" s="7">
        <f>IF($AA772="","",SUMIFS('Per Line'!$Y$2:$Y$4001,'Per Line'!$E$2:$E$4001,$B772,'Per Line'!$AP$2:$AP$4001,0,'Per Line'!$AQ$2:$AQ$4001,0))</f>
        <v/>
      </c>
      <c r="S772" s="7">
        <f>IF($AA772="","",R772*Q772)</f>
        <v/>
      </c>
      <c r="T772">
        <f>IF($AA772="","",Settings!$C$6)</f>
        <v/>
      </c>
      <c r="U772" s="7">
        <f>IF($AA772="","",SUMIFS('Per Line'!$Y$2:$Y$4001,'Per Line'!$E$2:$E$4001,$B772,'Per Line'!$AP$2:$AP$4001,1,'Per Line'!$AQ$2:$AQ$4001,0))</f>
        <v/>
      </c>
      <c r="V772" s="7">
        <f>IF($AA772="","",U772*T772)</f>
        <v/>
      </c>
      <c r="W772" s="7">
        <f>IF($AA772="","",V772+S772)</f>
        <v/>
      </c>
      <c r="X772" s="7">
        <f>IF($AA772="","",Y772-W772)</f>
        <v/>
      </c>
      <c r="Y772" s="7">
        <f>IF($AA772="","",R772+U772+P772)</f>
        <v/>
      </c>
      <c r="Z772" s="7">
        <f>IF($AA772="","",Y772-W772-L772)</f>
        <v/>
      </c>
      <c r="AA772" s="13">
        <f>IF(ROWS($AA$2:$AA772)&lt;=MAX('Per Line'!$AO$2:$AO$4001),MATCH(ROWS($AA$2:$AA772),'Per Line'!$AO$2:$AO$4001,0),"")</f>
        <v/>
      </c>
      <c r="AB772" s="14">
        <f>IF($AA772="","",L772-K772*Y772/100)</f>
        <v/>
      </c>
    </row>
    <row r="773">
      <c r="A773" s="12" t="n"/>
      <c r="B773">
        <f>IF($AA773="","",INDEX('Per Line'!$E$2:$E$4001,$AA773)&amp;"")</f>
        <v/>
      </c>
      <c r="C773">
        <f>IF($AA773="","",INDEX('Per Line'!$A$2:$A$4001,$AA773)&amp;"")</f>
        <v/>
      </c>
      <c r="D773">
        <f>IF($AA773="","",INDEX('Per Line'!$D$2:$D$4001,$AA773)&amp;"")</f>
        <v/>
      </c>
      <c r="E773" s="11">
        <f>IF($AA773="","",INDEX('Per Line'!$G$2:$G$4001,$AA773))</f>
        <v/>
      </c>
      <c r="F773">
        <f>IF($AA773="","",INDEX('Per Line'!$H$2:$H$4001,$AA773)&amp;"")</f>
        <v/>
      </c>
      <c r="G773">
        <f>IF($AA773="","",INDEX('Per Line'!$I$2:$I$4001,$AA773)&amp;"")</f>
        <v/>
      </c>
      <c r="H773">
        <f>IF($AA773="","",INDEX('Per Line'!$J$2:$J$4001,$AA773)&amp;"")</f>
        <v/>
      </c>
      <c r="I773">
        <f>IF($AA773="","",INDEX('Per Line'!$K$2:$K$4001,$AA773)&amp;"")</f>
        <v/>
      </c>
      <c r="J773">
        <f>IF($AA773="","",INDEX('Per Line'!$L$2:$L$4001,$AA773)&amp;"")</f>
        <v/>
      </c>
      <c r="K773">
        <f>IF($AA773="","",INDEX('Per Line'!$P$2:$P$4001,$AA773))</f>
        <v/>
      </c>
      <c r="L773" s="7">
        <f>IF($AA773="","",IF(AND(ISNUMBER(N773),N773&gt;0,Y773&gt;N773),K773*N773/100+(Y773-N773),K773*Y773/100))</f>
        <v/>
      </c>
      <c r="M773">
        <f>IF($AA773="","",INDEX('Per Line'!$Z$2:$Z$4001,$AA773)&amp;"")</f>
        <v/>
      </c>
      <c r="N773">
        <f>IF($AA773="","",INDEX('Per Line'!$AG$2:$AG$4001,$AA773))</f>
        <v/>
      </c>
      <c r="O773">
        <f>IF($AA773="","",IF(AND(ISNUMBER(N773),N773&gt;0),Y773&gt;N773,FALSE))</f>
        <v/>
      </c>
      <c r="P773" s="7">
        <f>IF($AA773="","",SUMIFS('Per Line'!$Y$2:$Y$4001,'Per Line'!$E$2:$E$4001,$B773,'Per Line'!$AQ$2:$AQ$4001,1))</f>
        <v/>
      </c>
      <c r="Q773">
        <f>IF($AA773="","",Settings!$C$7)</f>
        <v/>
      </c>
      <c r="R773" s="7">
        <f>IF($AA773="","",SUMIFS('Per Line'!$Y$2:$Y$4001,'Per Line'!$E$2:$E$4001,$B773,'Per Line'!$AP$2:$AP$4001,0,'Per Line'!$AQ$2:$AQ$4001,0))</f>
        <v/>
      </c>
      <c r="S773" s="7">
        <f>IF($AA773="","",R773*Q773)</f>
        <v/>
      </c>
      <c r="T773">
        <f>IF($AA773="","",Settings!$C$6)</f>
        <v/>
      </c>
      <c r="U773" s="7">
        <f>IF($AA773="","",SUMIFS('Per Line'!$Y$2:$Y$4001,'Per Line'!$E$2:$E$4001,$B773,'Per Line'!$AP$2:$AP$4001,1,'Per Line'!$AQ$2:$AQ$4001,0))</f>
        <v/>
      </c>
      <c r="V773" s="7">
        <f>IF($AA773="","",U773*T773)</f>
        <v/>
      </c>
      <c r="W773" s="7">
        <f>IF($AA773="","",V773+S773)</f>
        <v/>
      </c>
      <c r="X773" s="7">
        <f>IF($AA773="","",Y773-W773)</f>
        <v/>
      </c>
      <c r="Y773" s="7">
        <f>IF($AA773="","",R773+U773+P773)</f>
        <v/>
      </c>
      <c r="Z773" s="7">
        <f>IF($AA773="","",Y773-W773-L773)</f>
        <v/>
      </c>
      <c r="AA773" s="13">
        <f>IF(ROWS($AA$2:$AA773)&lt;=MAX('Per Line'!$AO$2:$AO$4001),MATCH(ROWS($AA$2:$AA773),'Per Line'!$AO$2:$AO$4001,0),"")</f>
        <v/>
      </c>
      <c r="AB773" s="14">
        <f>IF($AA773="","",L773-K773*Y773/100)</f>
        <v/>
      </c>
    </row>
    <row r="774">
      <c r="A774" s="12" t="n"/>
      <c r="B774">
        <f>IF($AA774="","",INDEX('Per Line'!$E$2:$E$4001,$AA774)&amp;"")</f>
        <v/>
      </c>
      <c r="C774">
        <f>IF($AA774="","",INDEX('Per Line'!$A$2:$A$4001,$AA774)&amp;"")</f>
        <v/>
      </c>
      <c r="D774">
        <f>IF($AA774="","",INDEX('Per Line'!$D$2:$D$4001,$AA774)&amp;"")</f>
        <v/>
      </c>
      <c r="E774" s="11">
        <f>IF($AA774="","",INDEX('Per Line'!$G$2:$G$4001,$AA774))</f>
        <v/>
      </c>
      <c r="F774">
        <f>IF($AA774="","",INDEX('Per Line'!$H$2:$H$4001,$AA774)&amp;"")</f>
        <v/>
      </c>
      <c r="G774">
        <f>IF($AA774="","",INDEX('Per Line'!$I$2:$I$4001,$AA774)&amp;"")</f>
        <v/>
      </c>
      <c r="H774">
        <f>IF($AA774="","",INDEX('Per Line'!$J$2:$J$4001,$AA774)&amp;"")</f>
        <v/>
      </c>
      <c r="I774">
        <f>IF($AA774="","",INDEX('Per Line'!$K$2:$K$4001,$AA774)&amp;"")</f>
        <v/>
      </c>
      <c r="J774">
        <f>IF($AA774="","",INDEX('Per Line'!$L$2:$L$4001,$AA774)&amp;"")</f>
        <v/>
      </c>
      <c r="K774">
        <f>IF($AA774="","",INDEX('Per Line'!$P$2:$P$4001,$AA774))</f>
        <v/>
      </c>
      <c r="L774" s="7">
        <f>IF($AA774="","",IF(AND(ISNUMBER(N774),N774&gt;0,Y774&gt;N774),K774*N774/100+(Y774-N774),K774*Y774/100))</f>
        <v/>
      </c>
      <c r="M774">
        <f>IF($AA774="","",INDEX('Per Line'!$Z$2:$Z$4001,$AA774)&amp;"")</f>
        <v/>
      </c>
      <c r="N774">
        <f>IF($AA774="","",INDEX('Per Line'!$AG$2:$AG$4001,$AA774))</f>
        <v/>
      </c>
      <c r="O774">
        <f>IF($AA774="","",IF(AND(ISNUMBER(N774),N774&gt;0),Y774&gt;N774,FALSE))</f>
        <v/>
      </c>
      <c r="P774" s="7">
        <f>IF($AA774="","",SUMIFS('Per Line'!$Y$2:$Y$4001,'Per Line'!$E$2:$E$4001,$B774,'Per Line'!$AQ$2:$AQ$4001,1))</f>
        <v/>
      </c>
      <c r="Q774">
        <f>IF($AA774="","",Settings!$C$7)</f>
        <v/>
      </c>
      <c r="R774" s="7">
        <f>IF($AA774="","",SUMIFS('Per Line'!$Y$2:$Y$4001,'Per Line'!$E$2:$E$4001,$B774,'Per Line'!$AP$2:$AP$4001,0,'Per Line'!$AQ$2:$AQ$4001,0))</f>
        <v/>
      </c>
      <c r="S774" s="7">
        <f>IF($AA774="","",R774*Q774)</f>
        <v/>
      </c>
      <c r="T774">
        <f>IF($AA774="","",Settings!$C$6)</f>
        <v/>
      </c>
      <c r="U774" s="7">
        <f>IF($AA774="","",SUMIFS('Per Line'!$Y$2:$Y$4001,'Per Line'!$E$2:$E$4001,$B774,'Per Line'!$AP$2:$AP$4001,1,'Per Line'!$AQ$2:$AQ$4001,0))</f>
        <v/>
      </c>
      <c r="V774" s="7">
        <f>IF($AA774="","",U774*T774)</f>
        <v/>
      </c>
      <c r="W774" s="7">
        <f>IF($AA774="","",V774+S774)</f>
        <v/>
      </c>
      <c r="X774" s="7">
        <f>IF($AA774="","",Y774-W774)</f>
        <v/>
      </c>
      <c r="Y774" s="7">
        <f>IF($AA774="","",R774+U774+P774)</f>
        <v/>
      </c>
      <c r="Z774" s="7">
        <f>IF($AA774="","",Y774-W774-L774)</f>
        <v/>
      </c>
      <c r="AA774" s="13">
        <f>IF(ROWS($AA$2:$AA774)&lt;=MAX('Per Line'!$AO$2:$AO$4001),MATCH(ROWS($AA$2:$AA774),'Per Line'!$AO$2:$AO$4001,0),"")</f>
        <v/>
      </c>
      <c r="AB774" s="14">
        <f>IF($AA774="","",L774-K774*Y774/100)</f>
        <v/>
      </c>
    </row>
    <row r="775">
      <c r="A775" s="12" t="n"/>
      <c r="B775">
        <f>IF($AA775="","",INDEX('Per Line'!$E$2:$E$4001,$AA775)&amp;"")</f>
        <v/>
      </c>
      <c r="C775">
        <f>IF($AA775="","",INDEX('Per Line'!$A$2:$A$4001,$AA775)&amp;"")</f>
        <v/>
      </c>
      <c r="D775">
        <f>IF($AA775="","",INDEX('Per Line'!$D$2:$D$4001,$AA775)&amp;"")</f>
        <v/>
      </c>
      <c r="E775" s="11">
        <f>IF($AA775="","",INDEX('Per Line'!$G$2:$G$4001,$AA775))</f>
        <v/>
      </c>
      <c r="F775">
        <f>IF($AA775="","",INDEX('Per Line'!$H$2:$H$4001,$AA775)&amp;"")</f>
        <v/>
      </c>
      <c r="G775">
        <f>IF($AA775="","",INDEX('Per Line'!$I$2:$I$4001,$AA775)&amp;"")</f>
        <v/>
      </c>
      <c r="H775">
        <f>IF($AA775="","",INDEX('Per Line'!$J$2:$J$4001,$AA775)&amp;"")</f>
        <v/>
      </c>
      <c r="I775">
        <f>IF($AA775="","",INDEX('Per Line'!$K$2:$K$4001,$AA775)&amp;"")</f>
        <v/>
      </c>
      <c r="J775">
        <f>IF($AA775="","",INDEX('Per Line'!$L$2:$L$4001,$AA775)&amp;"")</f>
        <v/>
      </c>
      <c r="K775">
        <f>IF($AA775="","",INDEX('Per Line'!$P$2:$P$4001,$AA775))</f>
        <v/>
      </c>
      <c r="L775" s="7">
        <f>IF($AA775="","",IF(AND(ISNUMBER(N775),N775&gt;0,Y775&gt;N775),K775*N775/100+(Y775-N775),K775*Y775/100))</f>
        <v/>
      </c>
      <c r="M775">
        <f>IF($AA775="","",INDEX('Per Line'!$Z$2:$Z$4001,$AA775)&amp;"")</f>
        <v/>
      </c>
      <c r="N775">
        <f>IF($AA775="","",INDEX('Per Line'!$AG$2:$AG$4001,$AA775))</f>
        <v/>
      </c>
      <c r="O775">
        <f>IF($AA775="","",IF(AND(ISNUMBER(N775),N775&gt;0),Y775&gt;N775,FALSE))</f>
        <v/>
      </c>
      <c r="P775" s="7">
        <f>IF($AA775="","",SUMIFS('Per Line'!$Y$2:$Y$4001,'Per Line'!$E$2:$E$4001,$B775,'Per Line'!$AQ$2:$AQ$4001,1))</f>
        <v/>
      </c>
      <c r="Q775">
        <f>IF($AA775="","",Settings!$C$7)</f>
        <v/>
      </c>
      <c r="R775" s="7">
        <f>IF($AA775="","",SUMIFS('Per Line'!$Y$2:$Y$4001,'Per Line'!$E$2:$E$4001,$B775,'Per Line'!$AP$2:$AP$4001,0,'Per Line'!$AQ$2:$AQ$4001,0))</f>
        <v/>
      </c>
      <c r="S775" s="7">
        <f>IF($AA775="","",R775*Q775)</f>
        <v/>
      </c>
      <c r="T775">
        <f>IF($AA775="","",Settings!$C$6)</f>
        <v/>
      </c>
      <c r="U775" s="7">
        <f>IF($AA775="","",SUMIFS('Per Line'!$Y$2:$Y$4001,'Per Line'!$E$2:$E$4001,$B775,'Per Line'!$AP$2:$AP$4001,1,'Per Line'!$AQ$2:$AQ$4001,0))</f>
        <v/>
      </c>
      <c r="V775" s="7">
        <f>IF($AA775="","",U775*T775)</f>
        <v/>
      </c>
      <c r="W775" s="7">
        <f>IF($AA775="","",V775+S775)</f>
        <v/>
      </c>
      <c r="X775" s="7">
        <f>IF($AA775="","",Y775-W775)</f>
        <v/>
      </c>
      <c r="Y775" s="7">
        <f>IF($AA775="","",R775+U775+P775)</f>
        <v/>
      </c>
      <c r="Z775" s="7">
        <f>IF($AA775="","",Y775-W775-L775)</f>
        <v/>
      </c>
      <c r="AA775" s="13">
        <f>IF(ROWS($AA$2:$AA775)&lt;=MAX('Per Line'!$AO$2:$AO$4001),MATCH(ROWS($AA$2:$AA775),'Per Line'!$AO$2:$AO$4001,0),"")</f>
        <v/>
      </c>
      <c r="AB775" s="14">
        <f>IF($AA775="","",L775-K775*Y775/100)</f>
        <v/>
      </c>
    </row>
    <row r="776">
      <c r="A776" s="12" t="n"/>
      <c r="B776">
        <f>IF($AA776="","",INDEX('Per Line'!$E$2:$E$4001,$AA776)&amp;"")</f>
        <v/>
      </c>
      <c r="C776">
        <f>IF($AA776="","",INDEX('Per Line'!$A$2:$A$4001,$AA776)&amp;"")</f>
        <v/>
      </c>
      <c r="D776">
        <f>IF($AA776="","",INDEX('Per Line'!$D$2:$D$4001,$AA776)&amp;"")</f>
        <v/>
      </c>
      <c r="E776" s="11">
        <f>IF($AA776="","",INDEX('Per Line'!$G$2:$G$4001,$AA776))</f>
        <v/>
      </c>
      <c r="F776">
        <f>IF($AA776="","",INDEX('Per Line'!$H$2:$H$4001,$AA776)&amp;"")</f>
        <v/>
      </c>
      <c r="G776">
        <f>IF($AA776="","",INDEX('Per Line'!$I$2:$I$4001,$AA776)&amp;"")</f>
        <v/>
      </c>
      <c r="H776">
        <f>IF($AA776="","",INDEX('Per Line'!$J$2:$J$4001,$AA776)&amp;"")</f>
        <v/>
      </c>
      <c r="I776">
        <f>IF($AA776="","",INDEX('Per Line'!$K$2:$K$4001,$AA776)&amp;"")</f>
        <v/>
      </c>
      <c r="J776">
        <f>IF($AA776="","",INDEX('Per Line'!$L$2:$L$4001,$AA776)&amp;"")</f>
        <v/>
      </c>
      <c r="K776">
        <f>IF($AA776="","",INDEX('Per Line'!$P$2:$P$4001,$AA776))</f>
        <v/>
      </c>
      <c r="L776" s="7">
        <f>IF($AA776="","",IF(AND(ISNUMBER(N776),N776&gt;0,Y776&gt;N776),K776*N776/100+(Y776-N776),K776*Y776/100))</f>
        <v/>
      </c>
      <c r="M776">
        <f>IF($AA776="","",INDEX('Per Line'!$Z$2:$Z$4001,$AA776)&amp;"")</f>
        <v/>
      </c>
      <c r="N776">
        <f>IF($AA776="","",INDEX('Per Line'!$AG$2:$AG$4001,$AA776))</f>
        <v/>
      </c>
      <c r="O776">
        <f>IF($AA776="","",IF(AND(ISNUMBER(N776),N776&gt;0),Y776&gt;N776,FALSE))</f>
        <v/>
      </c>
      <c r="P776" s="7">
        <f>IF($AA776="","",SUMIFS('Per Line'!$Y$2:$Y$4001,'Per Line'!$E$2:$E$4001,$B776,'Per Line'!$AQ$2:$AQ$4001,1))</f>
        <v/>
      </c>
      <c r="Q776">
        <f>IF($AA776="","",Settings!$C$7)</f>
        <v/>
      </c>
      <c r="R776" s="7">
        <f>IF($AA776="","",SUMIFS('Per Line'!$Y$2:$Y$4001,'Per Line'!$E$2:$E$4001,$B776,'Per Line'!$AP$2:$AP$4001,0,'Per Line'!$AQ$2:$AQ$4001,0))</f>
        <v/>
      </c>
      <c r="S776" s="7">
        <f>IF($AA776="","",R776*Q776)</f>
        <v/>
      </c>
      <c r="T776">
        <f>IF($AA776="","",Settings!$C$6)</f>
        <v/>
      </c>
      <c r="U776" s="7">
        <f>IF($AA776="","",SUMIFS('Per Line'!$Y$2:$Y$4001,'Per Line'!$E$2:$E$4001,$B776,'Per Line'!$AP$2:$AP$4001,1,'Per Line'!$AQ$2:$AQ$4001,0))</f>
        <v/>
      </c>
      <c r="V776" s="7">
        <f>IF($AA776="","",U776*T776)</f>
        <v/>
      </c>
      <c r="W776" s="7">
        <f>IF($AA776="","",V776+S776)</f>
        <v/>
      </c>
      <c r="X776" s="7">
        <f>IF($AA776="","",Y776-W776)</f>
        <v/>
      </c>
      <c r="Y776" s="7">
        <f>IF($AA776="","",R776+U776+P776)</f>
        <v/>
      </c>
      <c r="Z776" s="7">
        <f>IF($AA776="","",Y776-W776-L776)</f>
        <v/>
      </c>
      <c r="AA776" s="13">
        <f>IF(ROWS($AA$2:$AA776)&lt;=MAX('Per Line'!$AO$2:$AO$4001),MATCH(ROWS($AA$2:$AA776),'Per Line'!$AO$2:$AO$4001,0),"")</f>
        <v/>
      </c>
      <c r="AB776" s="14">
        <f>IF($AA776="","",L776-K776*Y776/100)</f>
        <v/>
      </c>
    </row>
    <row r="777">
      <c r="A777" s="12" t="n"/>
      <c r="B777">
        <f>IF($AA777="","",INDEX('Per Line'!$E$2:$E$4001,$AA777)&amp;"")</f>
        <v/>
      </c>
      <c r="C777">
        <f>IF($AA777="","",INDEX('Per Line'!$A$2:$A$4001,$AA777)&amp;"")</f>
        <v/>
      </c>
      <c r="D777">
        <f>IF($AA777="","",INDEX('Per Line'!$D$2:$D$4001,$AA777)&amp;"")</f>
        <v/>
      </c>
      <c r="E777" s="11">
        <f>IF($AA777="","",INDEX('Per Line'!$G$2:$G$4001,$AA777))</f>
        <v/>
      </c>
      <c r="F777">
        <f>IF($AA777="","",INDEX('Per Line'!$H$2:$H$4001,$AA777)&amp;"")</f>
        <v/>
      </c>
      <c r="G777">
        <f>IF($AA777="","",INDEX('Per Line'!$I$2:$I$4001,$AA777)&amp;"")</f>
        <v/>
      </c>
      <c r="H777">
        <f>IF($AA777="","",INDEX('Per Line'!$J$2:$J$4001,$AA777)&amp;"")</f>
        <v/>
      </c>
      <c r="I777">
        <f>IF($AA777="","",INDEX('Per Line'!$K$2:$K$4001,$AA777)&amp;"")</f>
        <v/>
      </c>
      <c r="J777">
        <f>IF($AA777="","",INDEX('Per Line'!$L$2:$L$4001,$AA777)&amp;"")</f>
        <v/>
      </c>
      <c r="K777">
        <f>IF($AA777="","",INDEX('Per Line'!$P$2:$P$4001,$AA777))</f>
        <v/>
      </c>
      <c r="L777" s="7">
        <f>IF($AA777="","",IF(AND(ISNUMBER(N777),N777&gt;0,Y777&gt;N777),K777*N777/100+(Y777-N777),K777*Y777/100))</f>
        <v/>
      </c>
      <c r="M777">
        <f>IF($AA777="","",INDEX('Per Line'!$Z$2:$Z$4001,$AA777)&amp;"")</f>
        <v/>
      </c>
      <c r="N777">
        <f>IF($AA777="","",INDEX('Per Line'!$AG$2:$AG$4001,$AA777))</f>
        <v/>
      </c>
      <c r="O777">
        <f>IF($AA777="","",IF(AND(ISNUMBER(N777),N777&gt;0),Y777&gt;N777,FALSE))</f>
        <v/>
      </c>
      <c r="P777" s="7">
        <f>IF($AA777="","",SUMIFS('Per Line'!$Y$2:$Y$4001,'Per Line'!$E$2:$E$4001,$B777,'Per Line'!$AQ$2:$AQ$4001,1))</f>
        <v/>
      </c>
      <c r="Q777">
        <f>IF($AA777="","",Settings!$C$7)</f>
        <v/>
      </c>
      <c r="R777" s="7">
        <f>IF($AA777="","",SUMIFS('Per Line'!$Y$2:$Y$4001,'Per Line'!$E$2:$E$4001,$B777,'Per Line'!$AP$2:$AP$4001,0,'Per Line'!$AQ$2:$AQ$4001,0))</f>
        <v/>
      </c>
      <c r="S777" s="7">
        <f>IF($AA777="","",R777*Q777)</f>
        <v/>
      </c>
      <c r="T777">
        <f>IF($AA777="","",Settings!$C$6)</f>
        <v/>
      </c>
      <c r="U777" s="7">
        <f>IF($AA777="","",SUMIFS('Per Line'!$Y$2:$Y$4001,'Per Line'!$E$2:$E$4001,$B777,'Per Line'!$AP$2:$AP$4001,1,'Per Line'!$AQ$2:$AQ$4001,0))</f>
        <v/>
      </c>
      <c r="V777" s="7">
        <f>IF($AA777="","",U777*T777)</f>
        <v/>
      </c>
      <c r="W777" s="7">
        <f>IF($AA777="","",V777+S777)</f>
        <v/>
      </c>
      <c r="X777" s="7">
        <f>IF($AA777="","",Y777-W777)</f>
        <v/>
      </c>
      <c r="Y777" s="7">
        <f>IF($AA777="","",R777+U777+P777)</f>
        <v/>
      </c>
      <c r="Z777" s="7">
        <f>IF($AA777="","",Y777-W777-L777)</f>
        <v/>
      </c>
      <c r="AA777" s="13">
        <f>IF(ROWS($AA$2:$AA777)&lt;=MAX('Per Line'!$AO$2:$AO$4001),MATCH(ROWS($AA$2:$AA777),'Per Line'!$AO$2:$AO$4001,0),"")</f>
        <v/>
      </c>
      <c r="AB777" s="14">
        <f>IF($AA777="","",L777-K777*Y777/100)</f>
        <v/>
      </c>
    </row>
    <row r="778">
      <c r="A778" s="12" t="n"/>
      <c r="B778">
        <f>IF($AA778="","",INDEX('Per Line'!$E$2:$E$4001,$AA778)&amp;"")</f>
        <v/>
      </c>
      <c r="C778">
        <f>IF($AA778="","",INDEX('Per Line'!$A$2:$A$4001,$AA778)&amp;"")</f>
        <v/>
      </c>
      <c r="D778">
        <f>IF($AA778="","",INDEX('Per Line'!$D$2:$D$4001,$AA778)&amp;"")</f>
        <v/>
      </c>
      <c r="E778" s="11">
        <f>IF($AA778="","",INDEX('Per Line'!$G$2:$G$4001,$AA778))</f>
        <v/>
      </c>
      <c r="F778">
        <f>IF($AA778="","",INDEX('Per Line'!$H$2:$H$4001,$AA778)&amp;"")</f>
        <v/>
      </c>
      <c r="G778">
        <f>IF($AA778="","",INDEX('Per Line'!$I$2:$I$4001,$AA778)&amp;"")</f>
        <v/>
      </c>
      <c r="H778">
        <f>IF($AA778="","",INDEX('Per Line'!$J$2:$J$4001,$AA778)&amp;"")</f>
        <v/>
      </c>
      <c r="I778">
        <f>IF($AA778="","",INDEX('Per Line'!$K$2:$K$4001,$AA778)&amp;"")</f>
        <v/>
      </c>
      <c r="J778">
        <f>IF($AA778="","",INDEX('Per Line'!$L$2:$L$4001,$AA778)&amp;"")</f>
        <v/>
      </c>
      <c r="K778">
        <f>IF($AA778="","",INDEX('Per Line'!$P$2:$P$4001,$AA778))</f>
        <v/>
      </c>
      <c r="L778" s="7">
        <f>IF($AA778="","",IF(AND(ISNUMBER(N778),N778&gt;0,Y778&gt;N778),K778*N778/100+(Y778-N778),K778*Y778/100))</f>
        <v/>
      </c>
      <c r="M778">
        <f>IF($AA778="","",INDEX('Per Line'!$Z$2:$Z$4001,$AA778)&amp;"")</f>
        <v/>
      </c>
      <c r="N778">
        <f>IF($AA778="","",INDEX('Per Line'!$AG$2:$AG$4001,$AA778))</f>
        <v/>
      </c>
      <c r="O778">
        <f>IF($AA778="","",IF(AND(ISNUMBER(N778),N778&gt;0),Y778&gt;N778,FALSE))</f>
        <v/>
      </c>
      <c r="P778" s="7">
        <f>IF($AA778="","",SUMIFS('Per Line'!$Y$2:$Y$4001,'Per Line'!$E$2:$E$4001,$B778,'Per Line'!$AQ$2:$AQ$4001,1))</f>
        <v/>
      </c>
      <c r="Q778">
        <f>IF($AA778="","",Settings!$C$7)</f>
        <v/>
      </c>
      <c r="R778" s="7">
        <f>IF($AA778="","",SUMIFS('Per Line'!$Y$2:$Y$4001,'Per Line'!$E$2:$E$4001,$B778,'Per Line'!$AP$2:$AP$4001,0,'Per Line'!$AQ$2:$AQ$4001,0))</f>
        <v/>
      </c>
      <c r="S778" s="7">
        <f>IF($AA778="","",R778*Q778)</f>
        <v/>
      </c>
      <c r="T778">
        <f>IF($AA778="","",Settings!$C$6)</f>
        <v/>
      </c>
      <c r="U778" s="7">
        <f>IF($AA778="","",SUMIFS('Per Line'!$Y$2:$Y$4001,'Per Line'!$E$2:$E$4001,$B778,'Per Line'!$AP$2:$AP$4001,1,'Per Line'!$AQ$2:$AQ$4001,0))</f>
        <v/>
      </c>
      <c r="V778" s="7">
        <f>IF($AA778="","",U778*T778)</f>
        <v/>
      </c>
      <c r="W778" s="7">
        <f>IF($AA778="","",V778+S778)</f>
        <v/>
      </c>
      <c r="X778" s="7">
        <f>IF($AA778="","",Y778-W778)</f>
        <v/>
      </c>
      <c r="Y778" s="7">
        <f>IF($AA778="","",R778+U778+P778)</f>
        <v/>
      </c>
      <c r="Z778" s="7">
        <f>IF($AA778="","",Y778-W778-L778)</f>
        <v/>
      </c>
      <c r="AA778" s="13">
        <f>IF(ROWS($AA$2:$AA778)&lt;=MAX('Per Line'!$AO$2:$AO$4001),MATCH(ROWS($AA$2:$AA778),'Per Line'!$AO$2:$AO$4001,0),"")</f>
        <v/>
      </c>
      <c r="AB778" s="14">
        <f>IF($AA778="","",L778-K778*Y778/100)</f>
        <v/>
      </c>
    </row>
    <row r="779">
      <c r="A779" s="12" t="n"/>
      <c r="B779">
        <f>IF($AA779="","",INDEX('Per Line'!$E$2:$E$4001,$AA779)&amp;"")</f>
        <v/>
      </c>
      <c r="C779">
        <f>IF($AA779="","",INDEX('Per Line'!$A$2:$A$4001,$AA779)&amp;"")</f>
        <v/>
      </c>
      <c r="D779">
        <f>IF($AA779="","",INDEX('Per Line'!$D$2:$D$4001,$AA779)&amp;"")</f>
        <v/>
      </c>
      <c r="E779" s="11">
        <f>IF($AA779="","",INDEX('Per Line'!$G$2:$G$4001,$AA779))</f>
        <v/>
      </c>
      <c r="F779">
        <f>IF($AA779="","",INDEX('Per Line'!$H$2:$H$4001,$AA779)&amp;"")</f>
        <v/>
      </c>
      <c r="G779">
        <f>IF($AA779="","",INDEX('Per Line'!$I$2:$I$4001,$AA779)&amp;"")</f>
        <v/>
      </c>
      <c r="H779">
        <f>IF($AA779="","",INDEX('Per Line'!$J$2:$J$4001,$AA779)&amp;"")</f>
        <v/>
      </c>
      <c r="I779">
        <f>IF($AA779="","",INDEX('Per Line'!$K$2:$K$4001,$AA779)&amp;"")</f>
        <v/>
      </c>
      <c r="J779">
        <f>IF($AA779="","",INDEX('Per Line'!$L$2:$L$4001,$AA779)&amp;"")</f>
        <v/>
      </c>
      <c r="K779">
        <f>IF($AA779="","",INDEX('Per Line'!$P$2:$P$4001,$AA779))</f>
        <v/>
      </c>
      <c r="L779" s="7">
        <f>IF($AA779="","",IF(AND(ISNUMBER(N779),N779&gt;0,Y779&gt;N779),K779*N779/100+(Y779-N779),K779*Y779/100))</f>
        <v/>
      </c>
      <c r="M779">
        <f>IF($AA779="","",INDEX('Per Line'!$Z$2:$Z$4001,$AA779)&amp;"")</f>
        <v/>
      </c>
      <c r="N779">
        <f>IF($AA779="","",INDEX('Per Line'!$AG$2:$AG$4001,$AA779))</f>
        <v/>
      </c>
      <c r="O779">
        <f>IF($AA779="","",IF(AND(ISNUMBER(N779),N779&gt;0),Y779&gt;N779,FALSE))</f>
        <v/>
      </c>
      <c r="P779" s="7">
        <f>IF($AA779="","",SUMIFS('Per Line'!$Y$2:$Y$4001,'Per Line'!$E$2:$E$4001,$B779,'Per Line'!$AQ$2:$AQ$4001,1))</f>
        <v/>
      </c>
      <c r="Q779">
        <f>IF($AA779="","",Settings!$C$7)</f>
        <v/>
      </c>
      <c r="R779" s="7">
        <f>IF($AA779="","",SUMIFS('Per Line'!$Y$2:$Y$4001,'Per Line'!$E$2:$E$4001,$B779,'Per Line'!$AP$2:$AP$4001,0,'Per Line'!$AQ$2:$AQ$4001,0))</f>
        <v/>
      </c>
      <c r="S779" s="7">
        <f>IF($AA779="","",R779*Q779)</f>
        <v/>
      </c>
      <c r="T779">
        <f>IF($AA779="","",Settings!$C$6)</f>
        <v/>
      </c>
      <c r="U779" s="7">
        <f>IF($AA779="","",SUMIFS('Per Line'!$Y$2:$Y$4001,'Per Line'!$E$2:$E$4001,$B779,'Per Line'!$AP$2:$AP$4001,1,'Per Line'!$AQ$2:$AQ$4001,0))</f>
        <v/>
      </c>
      <c r="V779" s="7">
        <f>IF($AA779="","",U779*T779)</f>
        <v/>
      </c>
      <c r="W779" s="7">
        <f>IF($AA779="","",V779+S779)</f>
        <v/>
      </c>
      <c r="X779" s="7">
        <f>IF($AA779="","",Y779-W779)</f>
        <v/>
      </c>
      <c r="Y779" s="7">
        <f>IF($AA779="","",R779+U779+P779)</f>
        <v/>
      </c>
      <c r="Z779" s="7">
        <f>IF($AA779="","",Y779-W779-L779)</f>
        <v/>
      </c>
      <c r="AA779" s="13">
        <f>IF(ROWS($AA$2:$AA779)&lt;=MAX('Per Line'!$AO$2:$AO$4001),MATCH(ROWS($AA$2:$AA779),'Per Line'!$AO$2:$AO$4001,0),"")</f>
        <v/>
      </c>
      <c r="AB779" s="14">
        <f>IF($AA779="","",L779-K779*Y779/100)</f>
        <v/>
      </c>
    </row>
    <row r="780">
      <c r="A780" s="12" t="n"/>
      <c r="B780">
        <f>IF($AA780="","",INDEX('Per Line'!$E$2:$E$4001,$AA780)&amp;"")</f>
        <v/>
      </c>
      <c r="C780">
        <f>IF($AA780="","",INDEX('Per Line'!$A$2:$A$4001,$AA780)&amp;"")</f>
        <v/>
      </c>
      <c r="D780">
        <f>IF($AA780="","",INDEX('Per Line'!$D$2:$D$4001,$AA780)&amp;"")</f>
        <v/>
      </c>
      <c r="E780" s="11">
        <f>IF($AA780="","",INDEX('Per Line'!$G$2:$G$4001,$AA780))</f>
        <v/>
      </c>
      <c r="F780">
        <f>IF($AA780="","",INDEX('Per Line'!$H$2:$H$4001,$AA780)&amp;"")</f>
        <v/>
      </c>
      <c r="G780">
        <f>IF($AA780="","",INDEX('Per Line'!$I$2:$I$4001,$AA780)&amp;"")</f>
        <v/>
      </c>
      <c r="H780">
        <f>IF($AA780="","",INDEX('Per Line'!$J$2:$J$4001,$AA780)&amp;"")</f>
        <v/>
      </c>
      <c r="I780">
        <f>IF($AA780="","",INDEX('Per Line'!$K$2:$K$4001,$AA780)&amp;"")</f>
        <v/>
      </c>
      <c r="J780">
        <f>IF($AA780="","",INDEX('Per Line'!$L$2:$L$4001,$AA780)&amp;"")</f>
        <v/>
      </c>
      <c r="K780">
        <f>IF($AA780="","",INDEX('Per Line'!$P$2:$P$4001,$AA780))</f>
        <v/>
      </c>
      <c r="L780" s="7">
        <f>IF($AA780="","",IF(AND(ISNUMBER(N780),N780&gt;0,Y780&gt;N780),K780*N780/100+(Y780-N780),K780*Y780/100))</f>
        <v/>
      </c>
      <c r="M780">
        <f>IF($AA780="","",INDEX('Per Line'!$Z$2:$Z$4001,$AA780)&amp;"")</f>
        <v/>
      </c>
      <c r="N780">
        <f>IF($AA780="","",INDEX('Per Line'!$AG$2:$AG$4001,$AA780))</f>
        <v/>
      </c>
      <c r="O780">
        <f>IF($AA780="","",IF(AND(ISNUMBER(N780),N780&gt;0),Y780&gt;N780,FALSE))</f>
        <v/>
      </c>
      <c r="P780" s="7">
        <f>IF($AA780="","",SUMIFS('Per Line'!$Y$2:$Y$4001,'Per Line'!$E$2:$E$4001,$B780,'Per Line'!$AQ$2:$AQ$4001,1))</f>
        <v/>
      </c>
      <c r="Q780">
        <f>IF($AA780="","",Settings!$C$7)</f>
        <v/>
      </c>
      <c r="R780" s="7">
        <f>IF($AA780="","",SUMIFS('Per Line'!$Y$2:$Y$4001,'Per Line'!$E$2:$E$4001,$B780,'Per Line'!$AP$2:$AP$4001,0,'Per Line'!$AQ$2:$AQ$4001,0))</f>
        <v/>
      </c>
      <c r="S780" s="7">
        <f>IF($AA780="","",R780*Q780)</f>
        <v/>
      </c>
      <c r="T780">
        <f>IF($AA780="","",Settings!$C$6)</f>
        <v/>
      </c>
      <c r="U780" s="7">
        <f>IF($AA780="","",SUMIFS('Per Line'!$Y$2:$Y$4001,'Per Line'!$E$2:$E$4001,$B780,'Per Line'!$AP$2:$AP$4001,1,'Per Line'!$AQ$2:$AQ$4001,0))</f>
        <v/>
      </c>
      <c r="V780" s="7">
        <f>IF($AA780="","",U780*T780)</f>
        <v/>
      </c>
      <c r="W780" s="7">
        <f>IF($AA780="","",V780+S780)</f>
        <v/>
      </c>
      <c r="X780" s="7">
        <f>IF($AA780="","",Y780-W780)</f>
        <v/>
      </c>
      <c r="Y780" s="7">
        <f>IF($AA780="","",R780+U780+P780)</f>
        <v/>
      </c>
      <c r="Z780" s="7">
        <f>IF($AA780="","",Y780-W780-L780)</f>
        <v/>
      </c>
      <c r="AA780" s="13">
        <f>IF(ROWS($AA$2:$AA780)&lt;=MAX('Per Line'!$AO$2:$AO$4001),MATCH(ROWS($AA$2:$AA780),'Per Line'!$AO$2:$AO$4001,0),"")</f>
        <v/>
      </c>
      <c r="AB780" s="14">
        <f>IF($AA780="","",L780-K780*Y780/100)</f>
        <v/>
      </c>
    </row>
    <row r="781">
      <c r="A781" s="12" t="n"/>
      <c r="B781">
        <f>IF($AA781="","",INDEX('Per Line'!$E$2:$E$4001,$AA781)&amp;"")</f>
        <v/>
      </c>
      <c r="C781">
        <f>IF($AA781="","",INDEX('Per Line'!$A$2:$A$4001,$AA781)&amp;"")</f>
        <v/>
      </c>
      <c r="D781">
        <f>IF($AA781="","",INDEX('Per Line'!$D$2:$D$4001,$AA781)&amp;"")</f>
        <v/>
      </c>
      <c r="E781" s="11">
        <f>IF($AA781="","",INDEX('Per Line'!$G$2:$G$4001,$AA781))</f>
        <v/>
      </c>
      <c r="F781">
        <f>IF($AA781="","",INDEX('Per Line'!$H$2:$H$4001,$AA781)&amp;"")</f>
        <v/>
      </c>
      <c r="G781">
        <f>IF($AA781="","",INDEX('Per Line'!$I$2:$I$4001,$AA781)&amp;"")</f>
        <v/>
      </c>
      <c r="H781">
        <f>IF($AA781="","",INDEX('Per Line'!$J$2:$J$4001,$AA781)&amp;"")</f>
        <v/>
      </c>
      <c r="I781">
        <f>IF($AA781="","",INDEX('Per Line'!$K$2:$K$4001,$AA781)&amp;"")</f>
        <v/>
      </c>
      <c r="J781">
        <f>IF($AA781="","",INDEX('Per Line'!$L$2:$L$4001,$AA781)&amp;"")</f>
        <v/>
      </c>
      <c r="K781">
        <f>IF($AA781="","",INDEX('Per Line'!$P$2:$P$4001,$AA781))</f>
        <v/>
      </c>
      <c r="L781" s="7">
        <f>IF($AA781="","",IF(AND(ISNUMBER(N781),N781&gt;0,Y781&gt;N781),K781*N781/100+(Y781-N781),K781*Y781/100))</f>
        <v/>
      </c>
      <c r="M781">
        <f>IF($AA781="","",INDEX('Per Line'!$Z$2:$Z$4001,$AA781)&amp;"")</f>
        <v/>
      </c>
      <c r="N781">
        <f>IF($AA781="","",INDEX('Per Line'!$AG$2:$AG$4001,$AA781))</f>
        <v/>
      </c>
      <c r="O781">
        <f>IF($AA781="","",IF(AND(ISNUMBER(N781),N781&gt;0),Y781&gt;N781,FALSE))</f>
        <v/>
      </c>
      <c r="P781" s="7">
        <f>IF($AA781="","",SUMIFS('Per Line'!$Y$2:$Y$4001,'Per Line'!$E$2:$E$4001,$B781,'Per Line'!$AQ$2:$AQ$4001,1))</f>
        <v/>
      </c>
      <c r="Q781">
        <f>IF($AA781="","",Settings!$C$7)</f>
        <v/>
      </c>
      <c r="R781" s="7">
        <f>IF($AA781="","",SUMIFS('Per Line'!$Y$2:$Y$4001,'Per Line'!$E$2:$E$4001,$B781,'Per Line'!$AP$2:$AP$4001,0,'Per Line'!$AQ$2:$AQ$4001,0))</f>
        <v/>
      </c>
      <c r="S781" s="7">
        <f>IF($AA781="","",R781*Q781)</f>
        <v/>
      </c>
      <c r="T781">
        <f>IF($AA781="","",Settings!$C$6)</f>
        <v/>
      </c>
      <c r="U781" s="7">
        <f>IF($AA781="","",SUMIFS('Per Line'!$Y$2:$Y$4001,'Per Line'!$E$2:$E$4001,$B781,'Per Line'!$AP$2:$AP$4001,1,'Per Line'!$AQ$2:$AQ$4001,0))</f>
        <v/>
      </c>
      <c r="V781" s="7">
        <f>IF($AA781="","",U781*T781)</f>
        <v/>
      </c>
      <c r="W781" s="7">
        <f>IF($AA781="","",V781+S781)</f>
        <v/>
      </c>
      <c r="X781" s="7">
        <f>IF($AA781="","",Y781-W781)</f>
        <v/>
      </c>
      <c r="Y781" s="7">
        <f>IF($AA781="","",R781+U781+P781)</f>
        <v/>
      </c>
      <c r="Z781" s="7">
        <f>IF($AA781="","",Y781-W781-L781)</f>
        <v/>
      </c>
      <c r="AA781" s="13">
        <f>IF(ROWS($AA$2:$AA781)&lt;=MAX('Per Line'!$AO$2:$AO$4001),MATCH(ROWS($AA$2:$AA781),'Per Line'!$AO$2:$AO$4001,0),"")</f>
        <v/>
      </c>
      <c r="AB781" s="14">
        <f>IF($AA781="","",L781-K781*Y781/100)</f>
        <v/>
      </c>
    </row>
    <row r="782">
      <c r="A782" s="12" t="n"/>
      <c r="B782">
        <f>IF($AA782="","",INDEX('Per Line'!$E$2:$E$4001,$AA782)&amp;"")</f>
        <v/>
      </c>
      <c r="C782">
        <f>IF($AA782="","",INDEX('Per Line'!$A$2:$A$4001,$AA782)&amp;"")</f>
        <v/>
      </c>
      <c r="D782">
        <f>IF($AA782="","",INDEX('Per Line'!$D$2:$D$4001,$AA782)&amp;"")</f>
        <v/>
      </c>
      <c r="E782" s="11">
        <f>IF($AA782="","",INDEX('Per Line'!$G$2:$G$4001,$AA782))</f>
        <v/>
      </c>
      <c r="F782">
        <f>IF($AA782="","",INDEX('Per Line'!$H$2:$H$4001,$AA782)&amp;"")</f>
        <v/>
      </c>
      <c r="G782">
        <f>IF($AA782="","",INDEX('Per Line'!$I$2:$I$4001,$AA782)&amp;"")</f>
        <v/>
      </c>
      <c r="H782">
        <f>IF($AA782="","",INDEX('Per Line'!$J$2:$J$4001,$AA782)&amp;"")</f>
        <v/>
      </c>
      <c r="I782">
        <f>IF($AA782="","",INDEX('Per Line'!$K$2:$K$4001,$AA782)&amp;"")</f>
        <v/>
      </c>
      <c r="J782">
        <f>IF($AA782="","",INDEX('Per Line'!$L$2:$L$4001,$AA782)&amp;"")</f>
        <v/>
      </c>
      <c r="K782">
        <f>IF($AA782="","",INDEX('Per Line'!$P$2:$P$4001,$AA782))</f>
        <v/>
      </c>
      <c r="L782" s="7">
        <f>IF($AA782="","",IF(AND(ISNUMBER(N782),N782&gt;0,Y782&gt;N782),K782*N782/100+(Y782-N782),K782*Y782/100))</f>
        <v/>
      </c>
      <c r="M782">
        <f>IF($AA782="","",INDEX('Per Line'!$Z$2:$Z$4001,$AA782)&amp;"")</f>
        <v/>
      </c>
      <c r="N782">
        <f>IF($AA782="","",INDEX('Per Line'!$AG$2:$AG$4001,$AA782))</f>
        <v/>
      </c>
      <c r="O782">
        <f>IF($AA782="","",IF(AND(ISNUMBER(N782),N782&gt;0),Y782&gt;N782,FALSE))</f>
        <v/>
      </c>
      <c r="P782" s="7">
        <f>IF($AA782="","",SUMIFS('Per Line'!$Y$2:$Y$4001,'Per Line'!$E$2:$E$4001,$B782,'Per Line'!$AQ$2:$AQ$4001,1))</f>
        <v/>
      </c>
      <c r="Q782">
        <f>IF($AA782="","",Settings!$C$7)</f>
        <v/>
      </c>
      <c r="R782" s="7">
        <f>IF($AA782="","",SUMIFS('Per Line'!$Y$2:$Y$4001,'Per Line'!$E$2:$E$4001,$B782,'Per Line'!$AP$2:$AP$4001,0,'Per Line'!$AQ$2:$AQ$4001,0))</f>
        <v/>
      </c>
      <c r="S782" s="7">
        <f>IF($AA782="","",R782*Q782)</f>
        <v/>
      </c>
      <c r="T782">
        <f>IF($AA782="","",Settings!$C$6)</f>
        <v/>
      </c>
      <c r="U782" s="7">
        <f>IF($AA782="","",SUMIFS('Per Line'!$Y$2:$Y$4001,'Per Line'!$E$2:$E$4001,$B782,'Per Line'!$AP$2:$AP$4001,1,'Per Line'!$AQ$2:$AQ$4001,0))</f>
        <v/>
      </c>
      <c r="V782" s="7">
        <f>IF($AA782="","",U782*T782)</f>
        <v/>
      </c>
      <c r="W782" s="7">
        <f>IF($AA782="","",V782+S782)</f>
        <v/>
      </c>
      <c r="X782" s="7">
        <f>IF($AA782="","",Y782-W782)</f>
        <v/>
      </c>
      <c r="Y782" s="7">
        <f>IF($AA782="","",R782+U782+P782)</f>
        <v/>
      </c>
      <c r="Z782" s="7">
        <f>IF($AA782="","",Y782-W782-L782)</f>
        <v/>
      </c>
      <c r="AA782" s="13">
        <f>IF(ROWS($AA$2:$AA782)&lt;=MAX('Per Line'!$AO$2:$AO$4001),MATCH(ROWS($AA$2:$AA782),'Per Line'!$AO$2:$AO$4001,0),"")</f>
        <v/>
      </c>
      <c r="AB782" s="14">
        <f>IF($AA782="","",L782-K782*Y782/100)</f>
        <v/>
      </c>
    </row>
    <row r="783">
      <c r="A783" s="12" t="n"/>
      <c r="B783">
        <f>IF($AA783="","",INDEX('Per Line'!$E$2:$E$4001,$AA783)&amp;"")</f>
        <v/>
      </c>
      <c r="C783">
        <f>IF($AA783="","",INDEX('Per Line'!$A$2:$A$4001,$AA783)&amp;"")</f>
        <v/>
      </c>
      <c r="D783">
        <f>IF($AA783="","",INDEX('Per Line'!$D$2:$D$4001,$AA783)&amp;"")</f>
        <v/>
      </c>
      <c r="E783" s="11">
        <f>IF($AA783="","",INDEX('Per Line'!$G$2:$G$4001,$AA783))</f>
        <v/>
      </c>
      <c r="F783">
        <f>IF($AA783="","",INDEX('Per Line'!$H$2:$H$4001,$AA783)&amp;"")</f>
        <v/>
      </c>
      <c r="G783">
        <f>IF($AA783="","",INDEX('Per Line'!$I$2:$I$4001,$AA783)&amp;"")</f>
        <v/>
      </c>
      <c r="H783">
        <f>IF($AA783="","",INDEX('Per Line'!$J$2:$J$4001,$AA783)&amp;"")</f>
        <v/>
      </c>
      <c r="I783">
        <f>IF($AA783="","",INDEX('Per Line'!$K$2:$K$4001,$AA783)&amp;"")</f>
        <v/>
      </c>
      <c r="J783">
        <f>IF($AA783="","",INDEX('Per Line'!$L$2:$L$4001,$AA783)&amp;"")</f>
        <v/>
      </c>
      <c r="K783">
        <f>IF($AA783="","",INDEX('Per Line'!$P$2:$P$4001,$AA783))</f>
        <v/>
      </c>
      <c r="L783" s="7">
        <f>IF($AA783="","",IF(AND(ISNUMBER(N783),N783&gt;0,Y783&gt;N783),K783*N783/100+(Y783-N783),K783*Y783/100))</f>
        <v/>
      </c>
      <c r="M783">
        <f>IF($AA783="","",INDEX('Per Line'!$Z$2:$Z$4001,$AA783)&amp;"")</f>
        <v/>
      </c>
      <c r="N783">
        <f>IF($AA783="","",INDEX('Per Line'!$AG$2:$AG$4001,$AA783))</f>
        <v/>
      </c>
      <c r="O783">
        <f>IF($AA783="","",IF(AND(ISNUMBER(N783),N783&gt;0),Y783&gt;N783,FALSE))</f>
        <v/>
      </c>
      <c r="P783" s="7">
        <f>IF($AA783="","",SUMIFS('Per Line'!$Y$2:$Y$4001,'Per Line'!$E$2:$E$4001,$B783,'Per Line'!$AQ$2:$AQ$4001,1))</f>
        <v/>
      </c>
      <c r="Q783">
        <f>IF($AA783="","",Settings!$C$7)</f>
        <v/>
      </c>
      <c r="R783" s="7">
        <f>IF($AA783="","",SUMIFS('Per Line'!$Y$2:$Y$4001,'Per Line'!$E$2:$E$4001,$B783,'Per Line'!$AP$2:$AP$4001,0,'Per Line'!$AQ$2:$AQ$4001,0))</f>
        <v/>
      </c>
      <c r="S783" s="7">
        <f>IF($AA783="","",R783*Q783)</f>
        <v/>
      </c>
      <c r="T783">
        <f>IF($AA783="","",Settings!$C$6)</f>
        <v/>
      </c>
      <c r="U783" s="7">
        <f>IF($AA783="","",SUMIFS('Per Line'!$Y$2:$Y$4001,'Per Line'!$E$2:$E$4001,$B783,'Per Line'!$AP$2:$AP$4001,1,'Per Line'!$AQ$2:$AQ$4001,0))</f>
        <v/>
      </c>
      <c r="V783" s="7">
        <f>IF($AA783="","",U783*T783)</f>
        <v/>
      </c>
      <c r="W783" s="7">
        <f>IF($AA783="","",V783+S783)</f>
        <v/>
      </c>
      <c r="X783" s="7">
        <f>IF($AA783="","",Y783-W783)</f>
        <v/>
      </c>
      <c r="Y783" s="7">
        <f>IF($AA783="","",R783+U783+P783)</f>
        <v/>
      </c>
      <c r="Z783" s="7">
        <f>IF($AA783="","",Y783-W783-L783)</f>
        <v/>
      </c>
      <c r="AA783" s="13">
        <f>IF(ROWS($AA$2:$AA783)&lt;=MAX('Per Line'!$AO$2:$AO$4001),MATCH(ROWS($AA$2:$AA783),'Per Line'!$AO$2:$AO$4001,0),"")</f>
        <v/>
      </c>
      <c r="AB783" s="14">
        <f>IF($AA783="","",L783-K783*Y783/100)</f>
        <v/>
      </c>
    </row>
    <row r="784">
      <c r="A784" s="12" t="n"/>
      <c r="B784">
        <f>IF($AA784="","",INDEX('Per Line'!$E$2:$E$4001,$AA784)&amp;"")</f>
        <v/>
      </c>
      <c r="C784">
        <f>IF($AA784="","",INDEX('Per Line'!$A$2:$A$4001,$AA784)&amp;"")</f>
        <v/>
      </c>
      <c r="D784">
        <f>IF($AA784="","",INDEX('Per Line'!$D$2:$D$4001,$AA784)&amp;"")</f>
        <v/>
      </c>
      <c r="E784" s="11">
        <f>IF($AA784="","",INDEX('Per Line'!$G$2:$G$4001,$AA784))</f>
        <v/>
      </c>
      <c r="F784">
        <f>IF($AA784="","",INDEX('Per Line'!$H$2:$H$4001,$AA784)&amp;"")</f>
        <v/>
      </c>
      <c r="G784">
        <f>IF($AA784="","",INDEX('Per Line'!$I$2:$I$4001,$AA784)&amp;"")</f>
        <v/>
      </c>
      <c r="H784">
        <f>IF($AA784="","",INDEX('Per Line'!$J$2:$J$4001,$AA784)&amp;"")</f>
        <v/>
      </c>
      <c r="I784">
        <f>IF($AA784="","",INDEX('Per Line'!$K$2:$K$4001,$AA784)&amp;"")</f>
        <v/>
      </c>
      <c r="J784">
        <f>IF($AA784="","",INDEX('Per Line'!$L$2:$L$4001,$AA784)&amp;"")</f>
        <v/>
      </c>
      <c r="K784">
        <f>IF($AA784="","",INDEX('Per Line'!$P$2:$P$4001,$AA784))</f>
        <v/>
      </c>
      <c r="L784" s="7">
        <f>IF($AA784="","",IF(AND(ISNUMBER(N784),N784&gt;0,Y784&gt;N784),K784*N784/100+(Y784-N784),K784*Y784/100))</f>
        <v/>
      </c>
      <c r="M784">
        <f>IF($AA784="","",INDEX('Per Line'!$Z$2:$Z$4001,$AA784)&amp;"")</f>
        <v/>
      </c>
      <c r="N784">
        <f>IF($AA784="","",INDEX('Per Line'!$AG$2:$AG$4001,$AA784))</f>
        <v/>
      </c>
      <c r="O784">
        <f>IF($AA784="","",IF(AND(ISNUMBER(N784),N784&gt;0),Y784&gt;N784,FALSE))</f>
        <v/>
      </c>
      <c r="P784" s="7">
        <f>IF($AA784="","",SUMIFS('Per Line'!$Y$2:$Y$4001,'Per Line'!$E$2:$E$4001,$B784,'Per Line'!$AQ$2:$AQ$4001,1))</f>
        <v/>
      </c>
      <c r="Q784">
        <f>IF($AA784="","",Settings!$C$7)</f>
        <v/>
      </c>
      <c r="R784" s="7">
        <f>IF($AA784="","",SUMIFS('Per Line'!$Y$2:$Y$4001,'Per Line'!$E$2:$E$4001,$B784,'Per Line'!$AP$2:$AP$4001,0,'Per Line'!$AQ$2:$AQ$4001,0))</f>
        <v/>
      </c>
      <c r="S784" s="7">
        <f>IF($AA784="","",R784*Q784)</f>
        <v/>
      </c>
      <c r="T784">
        <f>IF($AA784="","",Settings!$C$6)</f>
        <v/>
      </c>
      <c r="U784" s="7">
        <f>IF($AA784="","",SUMIFS('Per Line'!$Y$2:$Y$4001,'Per Line'!$E$2:$E$4001,$B784,'Per Line'!$AP$2:$AP$4001,1,'Per Line'!$AQ$2:$AQ$4001,0))</f>
        <v/>
      </c>
      <c r="V784" s="7">
        <f>IF($AA784="","",U784*T784)</f>
        <v/>
      </c>
      <c r="W784" s="7">
        <f>IF($AA784="","",V784+S784)</f>
        <v/>
      </c>
      <c r="X784" s="7">
        <f>IF($AA784="","",Y784-W784)</f>
        <v/>
      </c>
      <c r="Y784" s="7">
        <f>IF($AA784="","",R784+U784+P784)</f>
        <v/>
      </c>
      <c r="Z784" s="7">
        <f>IF($AA784="","",Y784-W784-L784)</f>
        <v/>
      </c>
      <c r="AA784" s="13">
        <f>IF(ROWS($AA$2:$AA784)&lt;=MAX('Per Line'!$AO$2:$AO$4001),MATCH(ROWS($AA$2:$AA784),'Per Line'!$AO$2:$AO$4001,0),"")</f>
        <v/>
      </c>
      <c r="AB784" s="14">
        <f>IF($AA784="","",L784-K784*Y784/100)</f>
        <v/>
      </c>
    </row>
    <row r="785">
      <c r="A785" s="12" t="n"/>
      <c r="B785">
        <f>IF($AA785="","",INDEX('Per Line'!$E$2:$E$4001,$AA785)&amp;"")</f>
        <v/>
      </c>
      <c r="C785">
        <f>IF($AA785="","",INDEX('Per Line'!$A$2:$A$4001,$AA785)&amp;"")</f>
        <v/>
      </c>
      <c r="D785">
        <f>IF($AA785="","",INDEX('Per Line'!$D$2:$D$4001,$AA785)&amp;"")</f>
        <v/>
      </c>
      <c r="E785" s="11">
        <f>IF($AA785="","",INDEX('Per Line'!$G$2:$G$4001,$AA785))</f>
        <v/>
      </c>
      <c r="F785">
        <f>IF($AA785="","",INDEX('Per Line'!$H$2:$H$4001,$AA785)&amp;"")</f>
        <v/>
      </c>
      <c r="G785">
        <f>IF($AA785="","",INDEX('Per Line'!$I$2:$I$4001,$AA785)&amp;"")</f>
        <v/>
      </c>
      <c r="H785">
        <f>IF($AA785="","",INDEX('Per Line'!$J$2:$J$4001,$AA785)&amp;"")</f>
        <v/>
      </c>
      <c r="I785">
        <f>IF($AA785="","",INDEX('Per Line'!$K$2:$K$4001,$AA785)&amp;"")</f>
        <v/>
      </c>
      <c r="J785">
        <f>IF($AA785="","",INDEX('Per Line'!$L$2:$L$4001,$AA785)&amp;"")</f>
        <v/>
      </c>
      <c r="K785">
        <f>IF($AA785="","",INDEX('Per Line'!$P$2:$P$4001,$AA785))</f>
        <v/>
      </c>
      <c r="L785" s="7">
        <f>IF($AA785="","",IF(AND(ISNUMBER(N785),N785&gt;0,Y785&gt;N785),K785*N785/100+(Y785-N785),K785*Y785/100))</f>
        <v/>
      </c>
      <c r="M785">
        <f>IF($AA785="","",INDEX('Per Line'!$Z$2:$Z$4001,$AA785)&amp;"")</f>
        <v/>
      </c>
      <c r="N785">
        <f>IF($AA785="","",INDEX('Per Line'!$AG$2:$AG$4001,$AA785))</f>
        <v/>
      </c>
      <c r="O785">
        <f>IF($AA785="","",IF(AND(ISNUMBER(N785),N785&gt;0),Y785&gt;N785,FALSE))</f>
        <v/>
      </c>
      <c r="P785" s="7">
        <f>IF($AA785="","",SUMIFS('Per Line'!$Y$2:$Y$4001,'Per Line'!$E$2:$E$4001,$B785,'Per Line'!$AQ$2:$AQ$4001,1))</f>
        <v/>
      </c>
      <c r="Q785">
        <f>IF($AA785="","",Settings!$C$7)</f>
        <v/>
      </c>
      <c r="R785" s="7">
        <f>IF($AA785="","",SUMIFS('Per Line'!$Y$2:$Y$4001,'Per Line'!$E$2:$E$4001,$B785,'Per Line'!$AP$2:$AP$4001,0,'Per Line'!$AQ$2:$AQ$4001,0))</f>
        <v/>
      </c>
      <c r="S785" s="7">
        <f>IF($AA785="","",R785*Q785)</f>
        <v/>
      </c>
      <c r="T785">
        <f>IF($AA785="","",Settings!$C$6)</f>
        <v/>
      </c>
      <c r="U785" s="7">
        <f>IF($AA785="","",SUMIFS('Per Line'!$Y$2:$Y$4001,'Per Line'!$E$2:$E$4001,$B785,'Per Line'!$AP$2:$AP$4001,1,'Per Line'!$AQ$2:$AQ$4001,0))</f>
        <v/>
      </c>
      <c r="V785" s="7">
        <f>IF($AA785="","",U785*T785)</f>
        <v/>
      </c>
      <c r="W785" s="7">
        <f>IF($AA785="","",V785+S785)</f>
        <v/>
      </c>
      <c r="X785" s="7">
        <f>IF($AA785="","",Y785-W785)</f>
        <v/>
      </c>
      <c r="Y785" s="7">
        <f>IF($AA785="","",R785+U785+P785)</f>
        <v/>
      </c>
      <c r="Z785" s="7">
        <f>IF($AA785="","",Y785-W785-L785)</f>
        <v/>
      </c>
      <c r="AA785" s="13">
        <f>IF(ROWS($AA$2:$AA785)&lt;=MAX('Per Line'!$AO$2:$AO$4001),MATCH(ROWS($AA$2:$AA785),'Per Line'!$AO$2:$AO$4001,0),"")</f>
        <v/>
      </c>
      <c r="AB785" s="14">
        <f>IF($AA785="","",L785-K785*Y785/100)</f>
        <v/>
      </c>
    </row>
    <row r="786">
      <c r="A786" s="12" t="n"/>
      <c r="B786">
        <f>IF($AA786="","",INDEX('Per Line'!$E$2:$E$4001,$AA786)&amp;"")</f>
        <v/>
      </c>
      <c r="C786">
        <f>IF($AA786="","",INDEX('Per Line'!$A$2:$A$4001,$AA786)&amp;"")</f>
        <v/>
      </c>
      <c r="D786">
        <f>IF($AA786="","",INDEX('Per Line'!$D$2:$D$4001,$AA786)&amp;"")</f>
        <v/>
      </c>
      <c r="E786" s="11">
        <f>IF($AA786="","",INDEX('Per Line'!$G$2:$G$4001,$AA786))</f>
        <v/>
      </c>
      <c r="F786">
        <f>IF($AA786="","",INDEX('Per Line'!$H$2:$H$4001,$AA786)&amp;"")</f>
        <v/>
      </c>
      <c r="G786">
        <f>IF($AA786="","",INDEX('Per Line'!$I$2:$I$4001,$AA786)&amp;"")</f>
        <v/>
      </c>
      <c r="H786">
        <f>IF($AA786="","",INDEX('Per Line'!$J$2:$J$4001,$AA786)&amp;"")</f>
        <v/>
      </c>
      <c r="I786">
        <f>IF($AA786="","",INDEX('Per Line'!$K$2:$K$4001,$AA786)&amp;"")</f>
        <v/>
      </c>
      <c r="J786">
        <f>IF($AA786="","",INDEX('Per Line'!$L$2:$L$4001,$AA786)&amp;"")</f>
        <v/>
      </c>
      <c r="K786">
        <f>IF($AA786="","",INDEX('Per Line'!$P$2:$P$4001,$AA786))</f>
        <v/>
      </c>
      <c r="L786" s="7">
        <f>IF($AA786="","",IF(AND(ISNUMBER(N786),N786&gt;0,Y786&gt;N786),K786*N786/100+(Y786-N786),K786*Y786/100))</f>
        <v/>
      </c>
      <c r="M786">
        <f>IF($AA786="","",INDEX('Per Line'!$Z$2:$Z$4001,$AA786)&amp;"")</f>
        <v/>
      </c>
      <c r="N786">
        <f>IF($AA786="","",INDEX('Per Line'!$AG$2:$AG$4001,$AA786))</f>
        <v/>
      </c>
      <c r="O786">
        <f>IF($AA786="","",IF(AND(ISNUMBER(N786),N786&gt;0),Y786&gt;N786,FALSE))</f>
        <v/>
      </c>
      <c r="P786" s="7">
        <f>IF($AA786="","",SUMIFS('Per Line'!$Y$2:$Y$4001,'Per Line'!$E$2:$E$4001,$B786,'Per Line'!$AQ$2:$AQ$4001,1))</f>
        <v/>
      </c>
      <c r="Q786">
        <f>IF($AA786="","",Settings!$C$7)</f>
        <v/>
      </c>
      <c r="R786" s="7">
        <f>IF($AA786="","",SUMIFS('Per Line'!$Y$2:$Y$4001,'Per Line'!$E$2:$E$4001,$B786,'Per Line'!$AP$2:$AP$4001,0,'Per Line'!$AQ$2:$AQ$4001,0))</f>
        <v/>
      </c>
      <c r="S786" s="7">
        <f>IF($AA786="","",R786*Q786)</f>
        <v/>
      </c>
      <c r="T786">
        <f>IF($AA786="","",Settings!$C$6)</f>
        <v/>
      </c>
      <c r="U786" s="7">
        <f>IF($AA786="","",SUMIFS('Per Line'!$Y$2:$Y$4001,'Per Line'!$E$2:$E$4001,$B786,'Per Line'!$AP$2:$AP$4001,1,'Per Line'!$AQ$2:$AQ$4001,0))</f>
        <v/>
      </c>
      <c r="V786" s="7">
        <f>IF($AA786="","",U786*T786)</f>
        <v/>
      </c>
      <c r="W786" s="7">
        <f>IF($AA786="","",V786+S786)</f>
        <v/>
      </c>
      <c r="X786" s="7">
        <f>IF($AA786="","",Y786-W786)</f>
        <v/>
      </c>
      <c r="Y786" s="7">
        <f>IF($AA786="","",R786+U786+P786)</f>
        <v/>
      </c>
      <c r="Z786" s="7">
        <f>IF($AA786="","",Y786-W786-L786)</f>
        <v/>
      </c>
      <c r="AA786" s="13">
        <f>IF(ROWS($AA$2:$AA786)&lt;=MAX('Per Line'!$AO$2:$AO$4001),MATCH(ROWS($AA$2:$AA786),'Per Line'!$AO$2:$AO$4001,0),"")</f>
        <v/>
      </c>
      <c r="AB786" s="14">
        <f>IF($AA786="","",L786-K786*Y786/100)</f>
        <v/>
      </c>
    </row>
    <row r="787">
      <c r="A787" s="12" t="n"/>
      <c r="B787">
        <f>IF($AA787="","",INDEX('Per Line'!$E$2:$E$4001,$AA787)&amp;"")</f>
        <v/>
      </c>
      <c r="C787">
        <f>IF($AA787="","",INDEX('Per Line'!$A$2:$A$4001,$AA787)&amp;"")</f>
        <v/>
      </c>
      <c r="D787">
        <f>IF($AA787="","",INDEX('Per Line'!$D$2:$D$4001,$AA787)&amp;"")</f>
        <v/>
      </c>
      <c r="E787" s="11">
        <f>IF($AA787="","",INDEX('Per Line'!$G$2:$G$4001,$AA787))</f>
        <v/>
      </c>
      <c r="F787">
        <f>IF($AA787="","",INDEX('Per Line'!$H$2:$H$4001,$AA787)&amp;"")</f>
        <v/>
      </c>
      <c r="G787">
        <f>IF($AA787="","",INDEX('Per Line'!$I$2:$I$4001,$AA787)&amp;"")</f>
        <v/>
      </c>
      <c r="H787">
        <f>IF($AA787="","",INDEX('Per Line'!$J$2:$J$4001,$AA787)&amp;"")</f>
        <v/>
      </c>
      <c r="I787">
        <f>IF($AA787="","",INDEX('Per Line'!$K$2:$K$4001,$AA787)&amp;"")</f>
        <v/>
      </c>
      <c r="J787">
        <f>IF($AA787="","",INDEX('Per Line'!$L$2:$L$4001,$AA787)&amp;"")</f>
        <v/>
      </c>
      <c r="K787">
        <f>IF($AA787="","",INDEX('Per Line'!$P$2:$P$4001,$AA787))</f>
        <v/>
      </c>
      <c r="L787" s="7">
        <f>IF($AA787="","",IF(AND(ISNUMBER(N787),N787&gt;0,Y787&gt;N787),K787*N787/100+(Y787-N787),K787*Y787/100))</f>
        <v/>
      </c>
      <c r="M787">
        <f>IF($AA787="","",INDEX('Per Line'!$Z$2:$Z$4001,$AA787)&amp;"")</f>
        <v/>
      </c>
      <c r="N787">
        <f>IF($AA787="","",INDEX('Per Line'!$AG$2:$AG$4001,$AA787))</f>
        <v/>
      </c>
      <c r="O787">
        <f>IF($AA787="","",IF(AND(ISNUMBER(N787),N787&gt;0),Y787&gt;N787,FALSE))</f>
        <v/>
      </c>
      <c r="P787" s="7">
        <f>IF($AA787="","",SUMIFS('Per Line'!$Y$2:$Y$4001,'Per Line'!$E$2:$E$4001,$B787,'Per Line'!$AQ$2:$AQ$4001,1))</f>
        <v/>
      </c>
      <c r="Q787">
        <f>IF($AA787="","",Settings!$C$7)</f>
        <v/>
      </c>
      <c r="R787" s="7">
        <f>IF($AA787="","",SUMIFS('Per Line'!$Y$2:$Y$4001,'Per Line'!$E$2:$E$4001,$B787,'Per Line'!$AP$2:$AP$4001,0,'Per Line'!$AQ$2:$AQ$4001,0))</f>
        <v/>
      </c>
      <c r="S787" s="7">
        <f>IF($AA787="","",R787*Q787)</f>
        <v/>
      </c>
      <c r="T787">
        <f>IF($AA787="","",Settings!$C$6)</f>
        <v/>
      </c>
      <c r="U787" s="7">
        <f>IF($AA787="","",SUMIFS('Per Line'!$Y$2:$Y$4001,'Per Line'!$E$2:$E$4001,$B787,'Per Line'!$AP$2:$AP$4001,1,'Per Line'!$AQ$2:$AQ$4001,0))</f>
        <v/>
      </c>
      <c r="V787" s="7">
        <f>IF($AA787="","",U787*T787)</f>
        <v/>
      </c>
      <c r="W787" s="7">
        <f>IF($AA787="","",V787+S787)</f>
        <v/>
      </c>
      <c r="X787" s="7">
        <f>IF($AA787="","",Y787-W787)</f>
        <v/>
      </c>
      <c r="Y787" s="7">
        <f>IF($AA787="","",R787+U787+P787)</f>
        <v/>
      </c>
      <c r="Z787" s="7">
        <f>IF($AA787="","",Y787-W787-L787)</f>
        <v/>
      </c>
      <c r="AA787" s="13">
        <f>IF(ROWS($AA$2:$AA787)&lt;=MAX('Per Line'!$AO$2:$AO$4001),MATCH(ROWS($AA$2:$AA787),'Per Line'!$AO$2:$AO$4001,0),"")</f>
        <v/>
      </c>
      <c r="AB787" s="14">
        <f>IF($AA787="","",L787-K787*Y787/100)</f>
        <v/>
      </c>
    </row>
    <row r="788">
      <c r="A788" s="12" t="n"/>
      <c r="B788">
        <f>IF($AA788="","",INDEX('Per Line'!$E$2:$E$4001,$AA788)&amp;"")</f>
        <v/>
      </c>
      <c r="C788">
        <f>IF($AA788="","",INDEX('Per Line'!$A$2:$A$4001,$AA788)&amp;"")</f>
        <v/>
      </c>
      <c r="D788">
        <f>IF($AA788="","",INDEX('Per Line'!$D$2:$D$4001,$AA788)&amp;"")</f>
        <v/>
      </c>
      <c r="E788" s="11">
        <f>IF($AA788="","",INDEX('Per Line'!$G$2:$G$4001,$AA788))</f>
        <v/>
      </c>
      <c r="F788">
        <f>IF($AA788="","",INDEX('Per Line'!$H$2:$H$4001,$AA788)&amp;"")</f>
        <v/>
      </c>
      <c r="G788">
        <f>IF($AA788="","",INDEX('Per Line'!$I$2:$I$4001,$AA788)&amp;"")</f>
        <v/>
      </c>
      <c r="H788">
        <f>IF($AA788="","",INDEX('Per Line'!$J$2:$J$4001,$AA788)&amp;"")</f>
        <v/>
      </c>
      <c r="I788">
        <f>IF($AA788="","",INDEX('Per Line'!$K$2:$K$4001,$AA788)&amp;"")</f>
        <v/>
      </c>
      <c r="J788">
        <f>IF($AA788="","",INDEX('Per Line'!$L$2:$L$4001,$AA788)&amp;"")</f>
        <v/>
      </c>
      <c r="K788">
        <f>IF($AA788="","",INDEX('Per Line'!$P$2:$P$4001,$AA788))</f>
        <v/>
      </c>
      <c r="L788" s="7">
        <f>IF($AA788="","",IF(AND(ISNUMBER(N788),N788&gt;0,Y788&gt;N788),K788*N788/100+(Y788-N788),K788*Y788/100))</f>
        <v/>
      </c>
      <c r="M788">
        <f>IF($AA788="","",INDEX('Per Line'!$Z$2:$Z$4001,$AA788)&amp;"")</f>
        <v/>
      </c>
      <c r="N788">
        <f>IF($AA788="","",INDEX('Per Line'!$AG$2:$AG$4001,$AA788))</f>
        <v/>
      </c>
      <c r="O788">
        <f>IF($AA788="","",IF(AND(ISNUMBER(N788),N788&gt;0),Y788&gt;N788,FALSE))</f>
        <v/>
      </c>
      <c r="P788" s="7">
        <f>IF($AA788="","",SUMIFS('Per Line'!$Y$2:$Y$4001,'Per Line'!$E$2:$E$4001,$B788,'Per Line'!$AQ$2:$AQ$4001,1))</f>
        <v/>
      </c>
      <c r="Q788">
        <f>IF($AA788="","",Settings!$C$7)</f>
        <v/>
      </c>
      <c r="R788" s="7">
        <f>IF($AA788="","",SUMIFS('Per Line'!$Y$2:$Y$4001,'Per Line'!$E$2:$E$4001,$B788,'Per Line'!$AP$2:$AP$4001,0,'Per Line'!$AQ$2:$AQ$4001,0))</f>
        <v/>
      </c>
      <c r="S788" s="7">
        <f>IF($AA788="","",R788*Q788)</f>
        <v/>
      </c>
      <c r="T788">
        <f>IF($AA788="","",Settings!$C$6)</f>
        <v/>
      </c>
      <c r="U788" s="7">
        <f>IF($AA788="","",SUMIFS('Per Line'!$Y$2:$Y$4001,'Per Line'!$E$2:$E$4001,$B788,'Per Line'!$AP$2:$AP$4001,1,'Per Line'!$AQ$2:$AQ$4001,0))</f>
        <v/>
      </c>
      <c r="V788" s="7">
        <f>IF($AA788="","",U788*T788)</f>
        <v/>
      </c>
      <c r="W788" s="7">
        <f>IF($AA788="","",V788+S788)</f>
        <v/>
      </c>
      <c r="X788" s="7">
        <f>IF($AA788="","",Y788-W788)</f>
        <v/>
      </c>
      <c r="Y788" s="7">
        <f>IF($AA788="","",R788+U788+P788)</f>
        <v/>
      </c>
      <c r="Z788" s="7">
        <f>IF($AA788="","",Y788-W788-L788)</f>
        <v/>
      </c>
      <c r="AA788" s="13">
        <f>IF(ROWS($AA$2:$AA788)&lt;=MAX('Per Line'!$AO$2:$AO$4001),MATCH(ROWS($AA$2:$AA788),'Per Line'!$AO$2:$AO$4001,0),"")</f>
        <v/>
      </c>
      <c r="AB788" s="14">
        <f>IF($AA788="","",L788-K788*Y788/100)</f>
        <v/>
      </c>
    </row>
    <row r="789">
      <c r="A789" s="12" t="n"/>
      <c r="B789">
        <f>IF($AA789="","",INDEX('Per Line'!$E$2:$E$4001,$AA789)&amp;"")</f>
        <v/>
      </c>
      <c r="C789">
        <f>IF($AA789="","",INDEX('Per Line'!$A$2:$A$4001,$AA789)&amp;"")</f>
        <v/>
      </c>
      <c r="D789">
        <f>IF($AA789="","",INDEX('Per Line'!$D$2:$D$4001,$AA789)&amp;"")</f>
        <v/>
      </c>
      <c r="E789" s="11">
        <f>IF($AA789="","",INDEX('Per Line'!$G$2:$G$4001,$AA789))</f>
        <v/>
      </c>
      <c r="F789">
        <f>IF($AA789="","",INDEX('Per Line'!$H$2:$H$4001,$AA789)&amp;"")</f>
        <v/>
      </c>
      <c r="G789">
        <f>IF($AA789="","",INDEX('Per Line'!$I$2:$I$4001,$AA789)&amp;"")</f>
        <v/>
      </c>
      <c r="H789">
        <f>IF($AA789="","",INDEX('Per Line'!$J$2:$J$4001,$AA789)&amp;"")</f>
        <v/>
      </c>
      <c r="I789">
        <f>IF($AA789="","",INDEX('Per Line'!$K$2:$K$4001,$AA789)&amp;"")</f>
        <v/>
      </c>
      <c r="J789">
        <f>IF($AA789="","",INDEX('Per Line'!$L$2:$L$4001,$AA789)&amp;"")</f>
        <v/>
      </c>
      <c r="K789">
        <f>IF($AA789="","",INDEX('Per Line'!$P$2:$P$4001,$AA789))</f>
        <v/>
      </c>
      <c r="L789" s="7">
        <f>IF($AA789="","",IF(AND(ISNUMBER(N789),N789&gt;0,Y789&gt;N789),K789*N789/100+(Y789-N789),K789*Y789/100))</f>
        <v/>
      </c>
      <c r="M789">
        <f>IF($AA789="","",INDEX('Per Line'!$Z$2:$Z$4001,$AA789)&amp;"")</f>
        <v/>
      </c>
      <c r="N789">
        <f>IF($AA789="","",INDEX('Per Line'!$AG$2:$AG$4001,$AA789))</f>
        <v/>
      </c>
      <c r="O789">
        <f>IF($AA789="","",IF(AND(ISNUMBER(N789),N789&gt;0),Y789&gt;N789,FALSE))</f>
        <v/>
      </c>
      <c r="P789" s="7">
        <f>IF($AA789="","",SUMIFS('Per Line'!$Y$2:$Y$4001,'Per Line'!$E$2:$E$4001,$B789,'Per Line'!$AQ$2:$AQ$4001,1))</f>
        <v/>
      </c>
      <c r="Q789">
        <f>IF($AA789="","",Settings!$C$7)</f>
        <v/>
      </c>
      <c r="R789" s="7">
        <f>IF($AA789="","",SUMIFS('Per Line'!$Y$2:$Y$4001,'Per Line'!$E$2:$E$4001,$B789,'Per Line'!$AP$2:$AP$4001,0,'Per Line'!$AQ$2:$AQ$4001,0))</f>
        <v/>
      </c>
      <c r="S789" s="7">
        <f>IF($AA789="","",R789*Q789)</f>
        <v/>
      </c>
      <c r="T789">
        <f>IF($AA789="","",Settings!$C$6)</f>
        <v/>
      </c>
      <c r="U789" s="7">
        <f>IF($AA789="","",SUMIFS('Per Line'!$Y$2:$Y$4001,'Per Line'!$E$2:$E$4001,$B789,'Per Line'!$AP$2:$AP$4001,1,'Per Line'!$AQ$2:$AQ$4001,0))</f>
        <v/>
      </c>
      <c r="V789" s="7">
        <f>IF($AA789="","",U789*T789)</f>
        <v/>
      </c>
      <c r="W789" s="7">
        <f>IF($AA789="","",V789+S789)</f>
        <v/>
      </c>
      <c r="X789" s="7">
        <f>IF($AA789="","",Y789-W789)</f>
        <v/>
      </c>
      <c r="Y789" s="7">
        <f>IF($AA789="","",R789+U789+P789)</f>
        <v/>
      </c>
      <c r="Z789" s="7">
        <f>IF($AA789="","",Y789-W789-L789)</f>
        <v/>
      </c>
      <c r="AA789" s="13">
        <f>IF(ROWS($AA$2:$AA789)&lt;=MAX('Per Line'!$AO$2:$AO$4001),MATCH(ROWS($AA$2:$AA789),'Per Line'!$AO$2:$AO$4001,0),"")</f>
        <v/>
      </c>
      <c r="AB789" s="14">
        <f>IF($AA789="","",L789-K789*Y789/100)</f>
        <v/>
      </c>
    </row>
    <row r="790">
      <c r="A790" s="12" t="n"/>
      <c r="B790">
        <f>IF($AA790="","",INDEX('Per Line'!$E$2:$E$4001,$AA790)&amp;"")</f>
        <v/>
      </c>
      <c r="C790">
        <f>IF($AA790="","",INDEX('Per Line'!$A$2:$A$4001,$AA790)&amp;"")</f>
        <v/>
      </c>
      <c r="D790">
        <f>IF($AA790="","",INDEX('Per Line'!$D$2:$D$4001,$AA790)&amp;"")</f>
        <v/>
      </c>
      <c r="E790" s="11">
        <f>IF($AA790="","",INDEX('Per Line'!$G$2:$G$4001,$AA790))</f>
        <v/>
      </c>
      <c r="F790">
        <f>IF($AA790="","",INDEX('Per Line'!$H$2:$H$4001,$AA790)&amp;"")</f>
        <v/>
      </c>
      <c r="G790">
        <f>IF($AA790="","",INDEX('Per Line'!$I$2:$I$4001,$AA790)&amp;"")</f>
        <v/>
      </c>
      <c r="H790">
        <f>IF($AA790="","",INDEX('Per Line'!$J$2:$J$4001,$AA790)&amp;"")</f>
        <v/>
      </c>
      <c r="I790">
        <f>IF($AA790="","",INDEX('Per Line'!$K$2:$K$4001,$AA790)&amp;"")</f>
        <v/>
      </c>
      <c r="J790">
        <f>IF($AA790="","",INDEX('Per Line'!$L$2:$L$4001,$AA790)&amp;"")</f>
        <v/>
      </c>
      <c r="K790">
        <f>IF($AA790="","",INDEX('Per Line'!$P$2:$P$4001,$AA790))</f>
        <v/>
      </c>
      <c r="L790" s="7">
        <f>IF($AA790="","",IF(AND(ISNUMBER(N790),N790&gt;0,Y790&gt;N790),K790*N790/100+(Y790-N790),K790*Y790/100))</f>
        <v/>
      </c>
      <c r="M790">
        <f>IF($AA790="","",INDEX('Per Line'!$Z$2:$Z$4001,$AA790)&amp;"")</f>
        <v/>
      </c>
      <c r="N790">
        <f>IF($AA790="","",INDEX('Per Line'!$AG$2:$AG$4001,$AA790))</f>
        <v/>
      </c>
      <c r="O790">
        <f>IF($AA790="","",IF(AND(ISNUMBER(N790),N790&gt;0),Y790&gt;N790,FALSE))</f>
        <v/>
      </c>
      <c r="P790" s="7">
        <f>IF($AA790="","",SUMIFS('Per Line'!$Y$2:$Y$4001,'Per Line'!$E$2:$E$4001,$B790,'Per Line'!$AQ$2:$AQ$4001,1))</f>
        <v/>
      </c>
      <c r="Q790">
        <f>IF($AA790="","",Settings!$C$7)</f>
        <v/>
      </c>
      <c r="R790" s="7">
        <f>IF($AA790="","",SUMIFS('Per Line'!$Y$2:$Y$4001,'Per Line'!$E$2:$E$4001,$B790,'Per Line'!$AP$2:$AP$4001,0,'Per Line'!$AQ$2:$AQ$4001,0))</f>
        <v/>
      </c>
      <c r="S790" s="7">
        <f>IF($AA790="","",R790*Q790)</f>
        <v/>
      </c>
      <c r="T790">
        <f>IF($AA790="","",Settings!$C$6)</f>
        <v/>
      </c>
      <c r="U790" s="7">
        <f>IF($AA790="","",SUMIFS('Per Line'!$Y$2:$Y$4001,'Per Line'!$E$2:$E$4001,$B790,'Per Line'!$AP$2:$AP$4001,1,'Per Line'!$AQ$2:$AQ$4001,0))</f>
        <v/>
      </c>
      <c r="V790" s="7">
        <f>IF($AA790="","",U790*T790)</f>
        <v/>
      </c>
      <c r="W790" s="7">
        <f>IF($AA790="","",V790+S790)</f>
        <v/>
      </c>
      <c r="X790" s="7">
        <f>IF($AA790="","",Y790-W790)</f>
        <v/>
      </c>
      <c r="Y790" s="7">
        <f>IF($AA790="","",R790+U790+P790)</f>
        <v/>
      </c>
      <c r="Z790" s="7">
        <f>IF($AA790="","",Y790-W790-L790)</f>
        <v/>
      </c>
      <c r="AA790" s="13">
        <f>IF(ROWS($AA$2:$AA790)&lt;=MAX('Per Line'!$AO$2:$AO$4001),MATCH(ROWS($AA$2:$AA790),'Per Line'!$AO$2:$AO$4001,0),"")</f>
        <v/>
      </c>
      <c r="AB790" s="14">
        <f>IF($AA790="","",L790-K790*Y790/100)</f>
        <v/>
      </c>
    </row>
    <row r="791">
      <c r="A791" s="12" t="n"/>
      <c r="B791">
        <f>IF($AA791="","",INDEX('Per Line'!$E$2:$E$4001,$AA791)&amp;"")</f>
        <v/>
      </c>
      <c r="C791">
        <f>IF($AA791="","",INDEX('Per Line'!$A$2:$A$4001,$AA791)&amp;"")</f>
        <v/>
      </c>
      <c r="D791">
        <f>IF($AA791="","",INDEX('Per Line'!$D$2:$D$4001,$AA791)&amp;"")</f>
        <v/>
      </c>
      <c r="E791" s="11">
        <f>IF($AA791="","",INDEX('Per Line'!$G$2:$G$4001,$AA791))</f>
        <v/>
      </c>
      <c r="F791">
        <f>IF($AA791="","",INDEX('Per Line'!$H$2:$H$4001,$AA791)&amp;"")</f>
        <v/>
      </c>
      <c r="G791">
        <f>IF($AA791="","",INDEX('Per Line'!$I$2:$I$4001,$AA791)&amp;"")</f>
        <v/>
      </c>
      <c r="H791">
        <f>IF($AA791="","",INDEX('Per Line'!$J$2:$J$4001,$AA791)&amp;"")</f>
        <v/>
      </c>
      <c r="I791">
        <f>IF($AA791="","",INDEX('Per Line'!$K$2:$K$4001,$AA791)&amp;"")</f>
        <v/>
      </c>
      <c r="J791">
        <f>IF($AA791="","",INDEX('Per Line'!$L$2:$L$4001,$AA791)&amp;"")</f>
        <v/>
      </c>
      <c r="K791">
        <f>IF($AA791="","",INDEX('Per Line'!$P$2:$P$4001,$AA791))</f>
        <v/>
      </c>
      <c r="L791" s="7">
        <f>IF($AA791="","",IF(AND(ISNUMBER(N791),N791&gt;0,Y791&gt;N791),K791*N791/100+(Y791-N791),K791*Y791/100))</f>
        <v/>
      </c>
      <c r="M791">
        <f>IF($AA791="","",INDEX('Per Line'!$Z$2:$Z$4001,$AA791)&amp;"")</f>
        <v/>
      </c>
      <c r="N791">
        <f>IF($AA791="","",INDEX('Per Line'!$AG$2:$AG$4001,$AA791))</f>
        <v/>
      </c>
      <c r="O791">
        <f>IF($AA791="","",IF(AND(ISNUMBER(N791),N791&gt;0),Y791&gt;N791,FALSE))</f>
        <v/>
      </c>
      <c r="P791" s="7">
        <f>IF($AA791="","",SUMIFS('Per Line'!$Y$2:$Y$4001,'Per Line'!$E$2:$E$4001,$B791,'Per Line'!$AQ$2:$AQ$4001,1))</f>
        <v/>
      </c>
      <c r="Q791">
        <f>IF($AA791="","",Settings!$C$7)</f>
        <v/>
      </c>
      <c r="R791" s="7">
        <f>IF($AA791="","",SUMIFS('Per Line'!$Y$2:$Y$4001,'Per Line'!$E$2:$E$4001,$B791,'Per Line'!$AP$2:$AP$4001,0,'Per Line'!$AQ$2:$AQ$4001,0))</f>
        <v/>
      </c>
      <c r="S791" s="7">
        <f>IF($AA791="","",R791*Q791)</f>
        <v/>
      </c>
      <c r="T791">
        <f>IF($AA791="","",Settings!$C$6)</f>
        <v/>
      </c>
      <c r="U791" s="7">
        <f>IF($AA791="","",SUMIFS('Per Line'!$Y$2:$Y$4001,'Per Line'!$E$2:$E$4001,$B791,'Per Line'!$AP$2:$AP$4001,1,'Per Line'!$AQ$2:$AQ$4001,0))</f>
        <v/>
      </c>
      <c r="V791" s="7">
        <f>IF($AA791="","",U791*T791)</f>
        <v/>
      </c>
      <c r="W791" s="7">
        <f>IF($AA791="","",V791+S791)</f>
        <v/>
      </c>
      <c r="X791" s="7">
        <f>IF($AA791="","",Y791-W791)</f>
        <v/>
      </c>
      <c r="Y791" s="7">
        <f>IF($AA791="","",R791+U791+P791)</f>
        <v/>
      </c>
      <c r="Z791" s="7">
        <f>IF($AA791="","",Y791-W791-L791)</f>
        <v/>
      </c>
      <c r="AA791" s="13">
        <f>IF(ROWS($AA$2:$AA791)&lt;=MAX('Per Line'!$AO$2:$AO$4001),MATCH(ROWS($AA$2:$AA791),'Per Line'!$AO$2:$AO$4001,0),"")</f>
        <v/>
      </c>
      <c r="AB791" s="14">
        <f>IF($AA791="","",L791-K791*Y791/100)</f>
        <v/>
      </c>
    </row>
    <row r="792">
      <c r="A792" s="12" t="n"/>
      <c r="B792">
        <f>IF($AA792="","",INDEX('Per Line'!$E$2:$E$4001,$AA792)&amp;"")</f>
        <v/>
      </c>
      <c r="C792">
        <f>IF($AA792="","",INDEX('Per Line'!$A$2:$A$4001,$AA792)&amp;"")</f>
        <v/>
      </c>
      <c r="D792">
        <f>IF($AA792="","",INDEX('Per Line'!$D$2:$D$4001,$AA792)&amp;"")</f>
        <v/>
      </c>
      <c r="E792" s="11">
        <f>IF($AA792="","",INDEX('Per Line'!$G$2:$G$4001,$AA792))</f>
        <v/>
      </c>
      <c r="F792">
        <f>IF($AA792="","",INDEX('Per Line'!$H$2:$H$4001,$AA792)&amp;"")</f>
        <v/>
      </c>
      <c r="G792">
        <f>IF($AA792="","",INDEX('Per Line'!$I$2:$I$4001,$AA792)&amp;"")</f>
        <v/>
      </c>
      <c r="H792">
        <f>IF($AA792="","",INDEX('Per Line'!$J$2:$J$4001,$AA792)&amp;"")</f>
        <v/>
      </c>
      <c r="I792">
        <f>IF($AA792="","",INDEX('Per Line'!$K$2:$K$4001,$AA792)&amp;"")</f>
        <v/>
      </c>
      <c r="J792">
        <f>IF($AA792="","",INDEX('Per Line'!$L$2:$L$4001,$AA792)&amp;"")</f>
        <v/>
      </c>
      <c r="K792">
        <f>IF($AA792="","",INDEX('Per Line'!$P$2:$P$4001,$AA792))</f>
        <v/>
      </c>
      <c r="L792" s="7">
        <f>IF($AA792="","",IF(AND(ISNUMBER(N792),N792&gt;0,Y792&gt;N792),K792*N792/100+(Y792-N792),K792*Y792/100))</f>
        <v/>
      </c>
      <c r="M792">
        <f>IF($AA792="","",INDEX('Per Line'!$Z$2:$Z$4001,$AA792)&amp;"")</f>
        <v/>
      </c>
      <c r="N792">
        <f>IF($AA792="","",INDEX('Per Line'!$AG$2:$AG$4001,$AA792))</f>
        <v/>
      </c>
      <c r="O792">
        <f>IF($AA792="","",IF(AND(ISNUMBER(N792),N792&gt;0),Y792&gt;N792,FALSE))</f>
        <v/>
      </c>
      <c r="P792" s="7">
        <f>IF($AA792="","",SUMIFS('Per Line'!$Y$2:$Y$4001,'Per Line'!$E$2:$E$4001,$B792,'Per Line'!$AQ$2:$AQ$4001,1))</f>
        <v/>
      </c>
      <c r="Q792">
        <f>IF($AA792="","",Settings!$C$7)</f>
        <v/>
      </c>
      <c r="R792" s="7">
        <f>IF($AA792="","",SUMIFS('Per Line'!$Y$2:$Y$4001,'Per Line'!$E$2:$E$4001,$B792,'Per Line'!$AP$2:$AP$4001,0,'Per Line'!$AQ$2:$AQ$4001,0))</f>
        <v/>
      </c>
      <c r="S792" s="7">
        <f>IF($AA792="","",R792*Q792)</f>
        <v/>
      </c>
      <c r="T792">
        <f>IF($AA792="","",Settings!$C$6)</f>
        <v/>
      </c>
      <c r="U792" s="7">
        <f>IF($AA792="","",SUMIFS('Per Line'!$Y$2:$Y$4001,'Per Line'!$E$2:$E$4001,$B792,'Per Line'!$AP$2:$AP$4001,1,'Per Line'!$AQ$2:$AQ$4001,0))</f>
        <v/>
      </c>
      <c r="V792" s="7">
        <f>IF($AA792="","",U792*T792)</f>
        <v/>
      </c>
      <c r="W792" s="7">
        <f>IF($AA792="","",V792+S792)</f>
        <v/>
      </c>
      <c r="X792" s="7">
        <f>IF($AA792="","",Y792-W792)</f>
        <v/>
      </c>
      <c r="Y792" s="7">
        <f>IF($AA792="","",R792+U792+P792)</f>
        <v/>
      </c>
      <c r="Z792" s="7">
        <f>IF($AA792="","",Y792-W792-L792)</f>
        <v/>
      </c>
      <c r="AA792" s="13">
        <f>IF(ROWS($AA$2:$AA792)&lt;=MAX('Per Line'!$AO$2:$AO$4001),MATCH(ROWS($AA$2:$AA792),'Per Line'!$AO$2:$AO$4001,0),"")</f>
        <v/>
      </c>
      <c r="AB792" s="14">
        <f>IF($AA792="","",L792-K792*Y792/100)</f>
        <v/>
      </c>
    </row>
    <row r="793">
      <c r="A793" s="12" t="n"/>
      <c r="B793">
        <f>IF($AA793="","",INDEX('Per Line'!$E$2:$E$4001,$AA793)&amp;"")</f>
        <v/>
      </c>
      <c r="C793">
        <f>IF($AA793="","",INDEX('Per Line'!$A$2:$A$4001,$AA793)&amp;"")</f>
        <v/>
      </c>
      <c r="D793">
        <f>IF($AA793="","",INDEX('Per Line'!$D$2:$D$4001,$AA793)&amp;"")</f>
        <v/>
      </c>
      <c r="E793" s="11">
        <f>IF($AA793="","",INDEX('Per Line'!$G$2:$G$4001,$AA793))</f>
        <v/>
      </c>
      <c r="F793">
        <f>IF($AA793="","",INDEX('Per Line'!$H$2:$H$4001,$AA793)&amp;"")</f>
        <v/>
      </c>
      <c r="G793">
        <f>IF($AA793="","",INDEX('Per Line'!$I$2:$I$4001,$AA793)&amp;"")</f>
        <v/>
      </c>
      <c r="H793">
        <f>IF($AA793="","",INDEX('Per Line'!$J$2:$J$4001,$AA793)&amp;"")</f>
        <v/>
      </c>
      <c r="I793">
        <f>IF($AA793="","",INDEX('Per Line'!$K$2:$K$4001,$AA793)&amp;"")</f>
        <v/>
      </c>
      <c r="J793">
        <f>IF($AA793="","",INDEX('Per Line'!$L$2:$L$4001,$AA793)&amp;"")</f>
        <v/>
      </c>
      <c r="K793">
        <f>IF($AA793="","",INDEX('Per Line'!$P$2:$P$4001,$AA793))</f>
        <v/>
      </c>
      <c r="L793" s="7">
        <f>IF($AA793="","",IF(AND(ISNUMBER(N793),N793&gt;0,Y793&gt;N793),K793*N793/100+(Y793-N793),K793*Y793/100))</f>
        <v/>
      </c>
      <c r="M793">
        <f>IF($AA793="","",INDEX('Per Line'!$Z$2:$Z$4001,$AA793)&amp;"")</f>
        <v/>
      </c>
      <c r="N793">
        <f>IF($AA793="","",INDEX('Per Line'!$AG$2:$AG$4001,$AA793))</f>
        <v/>
      </c>
      <c r="O793">
        <f>IF($AA793="","",IF(AND(ISNUMBER(N793),N793&gt;0),Y793&gt;N793,FALSE))</f>
        <v/>
      </c>
      <c r="P793" s="7">
        <f>IF($AA793="","",SUMIFS('Per Line'!$Y$2:$Y$4001,'Per Line'!$E$2:$E$4001,$B793,'Per Line'!$AQ$2:$AQ$4001,1))</f>
        <v/>
      </c>
      <c r="Q793">
        <f>IF($AA793="","",Settings!$C$7)</f>
        <v/>
      </c>
      <c r="R793" s="7">
        <f>IF($AA793="","",SUMIFS('Per Line'!$Y$2:$Y$4001,'Per Line'!$E$2:$E$4001,$B793,'Per Line'!$AP$2:$AP$4001,0,'Per Line'!$AQ$2:$AQ$4001,0))</f>
        <v/>
      </c>
      <c r="S793" s="7">
        <f>IF($AA793="","",R793*Q793)</f>
        <v/>
      </c>
      <c r="T793">
        <f>IF($AA793="","",Settings!$C$6)</f>
        <v/>
      </c>
      <c r="U793" s="7">
        <f>IF($AA793="","",SUMIFS('Per Line'!$Y$2:$Y$4001,'Per Line'!$E$2:$E$4001,$B793,'Per Line'!$AP$2:$AP$4001,1,'Per Line'!$AQ$2:$AQ$4001,0))</f>
        <v/>
      </c>
      <c r="V793" s="7">
        <f>IF($AA793="","",U793*T793)</f>
        <v/>
      </c>
      <c r="W793" s="7">
        <f>IF($AA793="","",V793+S793)</f>
        <v/>
      </c>
      <c r="X793" s="7">
        <f>IF($AA793="","",Y793-W793)</f>
        <v/>
      </c>
      <c r="Y793" s="7">
        <f>IF($AA793="","",R793+U793+P793)</f>
        <v/>
      </c>
      <c r="Z793" s="7">
        <f>IF($AA793="","",Y793-W793-L793)</f>
        <v/>
      </c>
      <c r="AA793" s="13">
        <f>IF(ROWS($AA$2:$AA793)&lt;=MAX('Per Line'!$AO$2:$AO$4001),MATCH(ROWS($AA$2:$AA793),'Per Line'!$AO$2:$AO$4001,0),"")</f>
        <v/>
      </c>
      <c r="AB793" s="14">
        <f>IF($AA793="","",L793-K793*Y793/100)</f>
        <v/>
      </c>
    </row>
    <row r="794">
      <c r="A794" s="12" t="n"/>
      <c r="B794">
        <f>IF($AA794="","",INDEX('Per Line'!$E$2:$E$4001,$AA794)&amp;"")</f>
        <v/>
      </c>
      <c r="C794">
        <f>IF($AA794="","",INDEX('Per Line'!$A$2:$A$4001,$AA794)&amp;"")</f>
        <v/>
      </c>
      <c r="D794">
        <f>IF($AA794="","",INDEX('Per Line'!$D$2:$D$4001,$AA794)&amp;"")</f>
        <v/>
      </c>
      <c r="E794" s="11">
        <f>IF($AA794="","",INDEX('Per Line'!$G$2:$G$4001,$AA794))</f>
        <v/>
      </c>
      <c r="F794">
        <f>IF($AA794="","",INDEX('Per Line'!$H$2:$H$4001,$AA794)&amp;"")</f>
        <v/>
      </c>
      <c r="G794">
        <f>IF($AA794="","",INDEX('Per Line'!$I$2:$I$4001,$AA794)&amp;"")</f>
        <v/>
      </c>
      <c r="H794">
        <f>IF($AA794="","",INDEX('Per Line'!$J$2:$J$4001,$AA794)&amp;"")</f>
        <v/>
      </c>
      <c r="I794">
        <f>IF($AA794="","",INDEX('Per Line'!$K$2:$K$4001,$AA794)&amp;"")</f>
        <v/>
      </c>
      <c r="J794">
        <f>IF($AA794="","",INDEX('Per Line'!$L$2:$L$4001,$AA794)&amp;"")</f>
        <v/>
      </c>
      <c r="K794">
        <f>IF($AA794="","",INDEX('Per Line'!$P$2:$P$4001,$AA794))</f>
        <v/>
      </c>
      <c r="L794" s="7">
        <f>IF($AA794="","",IF(AND(ISNUMBER(N794),N794&gt;0,Y794&gt;N794),K794*N794/100+(Y794-N794),K794*Y794/100))</f>
        <v/>
      </c>
      <c r="M794">
        <f>IF($AA794="","",INDEX('Per Line'!$Z$2:$Z$4001,$AA794)&amp;"")</f>
        <v/>
      </c>
      <c r="N794">
        <f>IF($AA794="","",INDEX('Per Line'!$AG$2:$AG$4001,$AA794))</f>
        <v/>
      </c>
      <c r="O794">
        <f>IF($AA794="","",IF(AND(ISNUMBER(N794),N794&gt;0),Y794&gt;N794,FALSE))</f>
        <v/>
      </c>
      <c r="P794" s="7">
        <f>IF($AA794="","",SUMIFS('Per Line'!$Y$2:$Y$4001,'Per Line'!$E$2:$E$4001,$B794,'Per Line'!$AQ$2:$AQ$4001,1))</f>
        <v/>
      </c>
      <c r="Q794">
        <f>IF($AA794="","",Settings!$C$7)</f>
        <v/>
      </c>
      <c r="R794" s="7">
        <f>IF($AA794="","",SUMIFS('Per Line'!$Y$2:$Y$4001,'Per Line'!$E$2:$E$4001,$B794,'Per Line'!$AP$2:$AP$4001,0,'Per Line'!$AQ$2:$AQ$4001,0))</f>
        <v/>
      </c>
      <c r="S794" s="7">
        <f>IF($AA794="","",R794*Q794)</f>
        <v/>
      </c>
      <c r="T794">
        <f>IF($AA794="","",Settings!$C$6)</f>
        <v/>
      </c>
      <c r="U794" s="7">
        <f>IF($AA794="","",SUMIFS('Per Line'!$Y$2:$Y$4001,'Per Line'!$E$2:$E$4001,$B794,'Per Line'!$AP$2:$AP$4001,1,'Per Line'!$AQ$2:$AQ$4001,0))</f>
        <v/>
      </c>
      <c r="V794" s="7">
        <f>IF($AA794="","",U794*T794)</f>
        <v/>
      </c>
      <c r="W794" s="7">
        <f>IF($AA794="","",V794+S794)</f>
        <v/>
      </c>
      <c r="X794" s="7">
        <f>IF($AA794="","",Y794-W794)</f>
        <v/>
      </c>
      <c r="Y794" s="7">
        <f>IF($AA794="","",R794+U794+P794)</f>
        <v/>
      </c>
      <c r="Z794" s="7">
        <f>IF($AA794="","",Y794-W794-L794)</f>
        <v/>
      </c>
      <c r="AA794" s="13">
        <f>IF(ROWS($AA$2:$AA794)&lt;=MAX('Per Line'!$AO$2:$AO$4001),MATCH(ROWS($AA$2:$AA794),'Per Line'!$AO$2:$AO$4001,0),"")</f>
        <v/>
      </c>
      <c r="AB794" s="14">
        <f>IF($AA794="","",L794-K794*Y794/100)</f>
        <v/>
      </c>
    </row>
    <row r="795">
      <c r="A795" s="12" t="n"/>
      <c r="B795">
        <f>IF($AA795="","",INDEX('Per Line'!$E$2:$E$4001,$AA795)&amp;"")</f>
        <v/>
      </c>
      <c r="C795">
        <f>IF($AA795="","",INDEX('Per Line'!$A$2:$A$4001,$AA795)&amp;"")</f>
        <v/>
      </c>
      <c r="D795">
        <f>IF($AA795="","",INDEX('Per Line'!$D$2:$D$4001,$AA795)&amp;"")</f>
        <v/>
      </c>
      <c r="E795" s="11">
        <f>IF($AA795="","",INDEX('Per Line'!$G$2:$G$4001,$AA795))</f>
        <v/>
      </c>
      <c r="F795">
        <f>IF($AA795="","",INDEX('Per Line'!$H$2:$H$4001,$AA795)&amp;"")</f>
        <v/>
      </c>
      <c r="G795">
        <f>IF($AA795="","",INDEX('Per Line'!$I$2:$I$4001,$AA795)&amp;"")</f>
        <v/>
      </c>
      <c r="H795">
        <f>IF($AA795="","",INDEX('Per Line'!$J$2:$J$4001,$AA795)&amp;"")</f>
        <v/>
      </c>
      <c r="I795">
        <f>IF($AA795="","",INDEX('Per Line'!$K$2:$K$4001,$AA795)&amp;"")</f>
        <v/>
      </c>
      <c r="J795">
        <f>IF($AA795="","",INDEX('Per Line'!$L$2:$L$4001,$AA795)&amp;"")</f>
        <v/>
      </c>
      <c r="K795">
        <f>IF($AA795="","",INDEX('Per Line'!$P$2:$P$4001,$AA795))</f>
        <v/>
      </c>
      <c r="L795" s="7">
        <f>IF($AA795="","",IF(AND(ISNUMBER(N795),N795&gt;0,Y795&gt;N795),K795*N795/100+(Y795-N795),K795*Y795/100))</f>
        <v/>
      </c>
      <c r="M795">
        <f>IF($AA795="","",INDEX('Per Line'!$Z$2:$Z$4001,$AA795)&amp;"")</f>
        <v/>
      </c>
      <c r="N795">
        <f>IF($AA795="","",INDEX('Per Line'!$AG$2:$AG$4001,$AA795))</f>
        <v/>
      </c>
      <c r="O795">
        <f>IF($AA795="","",IF(AND(ISNUMBER(N795),N795&gt;0),Y795&gt;N795,FALSE))</f>
        <v/>
      </c>
      <c r="P795" s="7">
        <f>IF($AA795="","",SUMIFS('Per Line'!$Y$2:$Y$4001,'Per Line'!$E$2:$E$4001,$B795,'Per Line'!$AQ$2:$AQ$4001,1))</f>
        <v/>
      </c>
      <c r="Q795">
        <f>IF($AA795="","",Settings!$C$7)</f>
        <v/>
      </c>
      <c r="R795" s="7">
        <f>IF($AA795="","",SUMIFS('Per Line'!$Y$2:$Y$4001,'Per Line'!$E$2:$E$4001,$B795,'Per Line'!$AP$2:$AP$4001,0,'Per Line'!$AQ$2:$AQ$4001,0))</f>
        <v/>
      </c>
      <c r="S795" s="7">
        <f>IF($AA795="","",R795*Q795)</f>
        <v/>
      </c>
      <c r="T795">
        <f>IF($AA795="","",Settings!$C$6)</f>
        <v/>
      </c>
      <c r="U795" s="7">
        <f>IF($AA795="","",SUMIFS('Per Line'!$Y$2:$Y$4001,'Per Line'!$E$2:$E$4001,$B795,'Per Line'!$AP$2:$AP$4001,1,'Per Line'!$AQ$2:$AQ$4001,0))</f>
        <v/>
      </c>
      <c r="V795" s="7">
        <f>IF($AA795="","",U795*T795)</f>
        <v/>
      </c>
      <c r="W795" s="7">
        <f>IF($AA795="","",V795+S795)</f>
        <v/>
      </c>
      <c r="X795" s="7">
        <f>IF($AA795="","",Y795-W795)</f>
        <v/>
      </c>
      <c r="Y795" s="7">
        <f>IF($AA795="","",R795+U795+P795)</f>
        <v/>
      </c>
      <c r="Z795" s="7">
        <f>IF($AA795="","",Y795-W795-L795)</f>
        <v/>
      </c>
      <c r="AA795" s="13">
        <f>IF(ROWS($AA$2:$AA795)&lt;=MAX('Per Line'!$AO$2:$AO$4001),MATCH(ROWS($AA$2:$AA795),'Per Line'!$AO$2:$AO$4001,0),"")</f>
        <v/>
      </c>
      <c r="AB795" s="14">
        <f>IF($AA795="","",L795-K795*Y795/100)</f>
        <v/>
      </c>
    </row>
    <row r="796">
      <c r="A796" s="12" t="n"/>
      <c r="B796">
        <f>IF($AA796="","",INDEX('Per Line'!$E$2:$E$4001,$AA796)&amp;"")</f>
        <v/>
      </c>
      <c r="C796">
        <f>IF($AA796="","",INDEX('Per Line'!$A$2:$A$4001,$AA796)&amp;"")</f>
        <v/>
      </c>
      <c r="D796">
        <f>IF($AA796="","",INDEX('Per Line'!$D$2:$D$4001,$AA796)&amp;"")</f>
        <v/>
      </c>
      <c r="E796" s="11">
        <f>IF($AA796="","",INDEX('Per Line'!$G$2:$G$4001,$AA796))</f>
        <v/>
      </c>
      <c r="F796">
        <f>IF($AA796="","",INDEX('Per Line'!$H$2:$H$4001,$AA796)&amp;"")</f>
        <v/>
      </c>
      <c r="G796">
        <f>IF($AA796="","",INDEX('Per Line'!$I$2:$I$4001,$AA796)&amp;"")</f>
        <v/>
      </c>
      <c r="H796">
        <f>IF($AA796="","",INDEX('Per Line'!$J$2:$J$4001,$AA796)&amp;"")</f>
        <v/>
      </c>
      <c r="I796">
        <f>IF($AA796="","",INDEX('Per Line'!$K$2:$K$4001,$AA796)&amp;"")</f>
        <v/>
      </c>
      <c r="J796">
        <f>IF($AA796="","",INDEX('Per Line'!$L$2:$L$4001,$AA796)&amp;"")</f>
        <v/>
      </c>
      <c r="K796">
        <f>IF($AA796="","",INDEX('Per Line'!$P$2:$P$4001,$AA796))</f>
        <v/>
      </c>
      <c r="L796" s="7">
        <f>IF($AA796="","",IF(AND(ISNUMBER(N796),N796&gt;0,Y796&gt;N796),K796*N796/100+(Y796-N796),K796*Y796/100))</f>
        <v/>
      </c>
      <c r="M796">
        <f>IF($AA796="","",INDEX('Per Line'!$Z$2:$Z$4001,$AA796)&amp;"")</f>
        <v/>
      </c>
      <c r="N796">
        <f>IF($AA796="","",INDEX('Per Line'!$AG$2:$AG$4001,$AA796))</f>
        <v/>
      </c>
      <c r="O796">
        <f>IF($AA796="","",IF(AND(ISNUMBER(N796),N796&gt;0),Y796&gt;N796,FALSE))</f>
        <v/>
      </c>
      <c r="P796" s="7">
        <f>IF($AA796="","",SUMIFS('Per Line'!$Y$2:$Y$4001,'Per Line'!$E$2:$E$4001,$B796,'Per Line'!$AQ$2:$AQ$4001,1))</f>
        <v/>
      </c>
      <c r="Q796">
        <f>IF($AA796="","",Settings!$C$7)</f>
        <v/>
      </c>
      <c r="R796" s="7">
        <f>IF($AA796="","",SUMIFS('Per Line'!$Y$2:$Y$4001,'Per Line'!$E$2:$E$4001,$B796,'Per Line'!$AP$2:$AP$4001,0,'Per Line'!$AQ$2:$AQ$4001,0))</f>
        <v/>
      </c>
      <c r="S796" s="7">
        <f>IF($AA796="","",R796*Q796)</f>
        <v/>
      </c>
      <c r="T796">
        <f>IF($AA796="","",Settings!$C$6)</f>
        <v/>
      </c>
      <c r="U796" s="7">
        <f>IF($AA796="","",SUMIFS('Per Line'!$Y$2:$Y$4001,'Per Line'!$E$2:$E$4001,$B796,'Per Line'!$AP$2:$AP$4001,1,'Per Line'!$AQ$2:$AQ$4001,0))</f>
        <v/>
      </c>
      <c r="V796" s="7">
        <f>IF($AA796="","",U796*T796)</f>
        <v/>
      </c>
      <c r="W796" s="7">
        <f>IF($AA796="","",V796+S796)</f>
        <v/>
      </c>
      <c r="X796" s="7">
        <f>IF($AA796="","",Y796-W796)</f>
        <v/>
      </c>
      <c r="Y796" s="7">
        <f>IF($AA796="","",R796+U796+P796)</f>
        <v/>
      </c>
      <c r="Z796" s="7">
        <f>IF($AA796="","",Y796-W796-L796)</f>
        <v/>
      </c>
      <c r="AA796" s="13">
        <f>IF(ROWS($AA$2:$AA796)&lt;=MAX('Per Line'!$AO$2:$AO$4001),MATCH(ROWS($AA$2:$AA796),'Per Line'!$AO$2:$AO$4001,0),"")</f>
        <v/>
      </c>
      <c r="AB796" s="14">
        <f>IF($AA796="","",L796-K796*Y796/100)</f>
        <v/>
      </c>
    </row>
    <row r="797">
      <c r="A797" s="12" t="n"/>
      <c r="B797">
        <f>IF($AA797="","",INDEX('Per Line'!$E$2:$E$4001,$AA797)&amp;"")</f>
        <v/>
      </c>
      <c r="C797">
        <f>IF($AA797="","",INDEX('Per Line'!$A$2:$A$4001,$AA797)&amp;"")</f>
        <v/>
      </c>
      <c r="D797">
        <f>IF($AA797="","",INDEX('Per Line'!$D$2:$D$4001,$AA797)&amp;"")</f>
        <v/>
      </c>
      <c r="E797" s="11">
        <f>IF($AA797="","",INDEX('Per Line'!$G$2:$G$4001,$AA797))</f>
        <v/>
      </c>
      <c r="F797">
        <f>IF($AA797="","",INDEX('Per Line'!$H$2:$H$4001,$AA797)&amp;"")</f>
        <v/>
      </c>
      <c r="G797">
        <f>IF($AA797="","",INDEX('Per Line'!$I$2:$I$4001,$AA797)&amp;"")</f>
        <v/>
      </c>
      <c r="H797">
        <f>IF($AA797="","",INDEX('Per Line'!$J$2:$J$4001,$AA797)&amp;"")</f>
        <v/>
      </c>
      <c r="I797">
        <f>IF($AA797="","",INDEX('Per Line'!$K$2:$K$4001,$AA797)&amp;"")</f>
        <v/>
      </c>
      <c r="J797">
        <f>IF($AA797="","",INDEX('Per Line'!$L$2:$L$4001,$AA797)&amp;"")</f>
        <v/>
      </c>
      <c r="K797">
        <f>IF($AA797="","",INDEX('Per Line'!$P$2:$P$4001,$AA797))</f>
        <v/>
      </c>
      <c r="L797" s="7">
        <f>IF($AA797="","",IF(AND(ISNUMBER(N797),N797&gt;0,Y797&gt;N797),K797*N797/100+(Y797-N797),K797*Y797/100))</f>
        <v/>
      </c>
      <c r="M797">
        <f>IF($AA797="","",INDEX('Per Line'!$Z$2:$Z$4001,$AA797)&amp;"")</f>
        <v/>
      </c>
      <c r="N797">
        <f>IF($AA797="","",INDEX('Per Line'!$AG$2:$AG$4001,$AA797))</f>
        <v/>
      </c>
      <c r="O797">
        <f>IF($AA797="","",IF(AND(ISNUMBER(N797),N797&gt;0),Y797&gt;N797,FALSE))</f>
        <v/>
      </c>
      <c r="P797" s="7">
        <f>IF($AA797="","",SUMIFS('Per Line'!$Y$2:$Y$4001,'Per Line'!$E$2:$E$4001,$B797,'Per Line'!$AQ$2:$AQ$4001,1))</f>
        <v/>
      </c>
      <c r="Q797">
        <f>IF($AA797="","",Settings!$C$7)</f>
        <v/>
      </c>
      <c r="R797" s="7">
        <f>IF($AA797="","",SUMIFS('Per Line'!$Y$2:$Y$4001,'Per Line'!$E$2:$E$4001,$B797,'Per Line'!$AP$2:$AP$4001,0,'Per Line'!$AQ$2:$AQ$4001,0))</f>
        <v/>
      </c>
      <c r="S797" s="7">
        <f>IF($AA797="","",R797*Q797)</f>
        <v/>
      </c>
      <c r="T797">
        <f>IF($AA797="","",Settings!$C$6)</f>
        <v/>
      </c>
      <c r="U797" s="7">
        <f>IF($AA797="","",SUMIFS('Per Line'!$Y$2:$Y$4001,'Per Line'!$E$2:$E$4001,$B797,'Per Line'!$AP$2:$AP$4001,1,'Per Line'!$AQ$2:$AQ$4001,0))</f>
        <v/>
      </c>
      <c r="V797" s="7">
        <f>IF($AA797="","",U797*T797)</f>
        <v/>
      </c>
      <c r="W797" s="7">
        <f>IF($AA797="","",V797+S797)</f>
        <v/>
      </c>
      <c r="X797" s="7">
        <f>IF($AA797="","",Y797-W797)</f>
        <v/>
      </c>
      <c r="Y797" s="7">
        <f>IF($AA797="","",R797+U797+P797)</f>
        <v/>
      </c>
      <c r="Z797" s="7">
        <f>IF($AA797="","",Y797-W797-L797)</f>
        <v/>
      </c>
      <c r="AA797" s="13">
        <f>IF(ROWS($AA$2:$AA797)&lt;=MAX('Per Line'!$AO$2:$AO$4001),MATCH(ROWS($AA$2:$AA797),'Per Line'!$AO$2:$AO$4001,0),"")</f>
        <v/>
      </c>
      <c r="AB797" s="14">
        <f>IF($AA797="","",L797-K797*Y797/100)</f>
        <v/>
      </c>
    </row>
    <row r="798">
      <c r="A798" s="12" t="n"/>
      <c r="B798">
        <f>IF($AA798="","",INDEX('Per Line'!$E$2:$E$4001,$AA798)&amp;"")</f>
        <v/>
      </c>
      <c r="C798">
        <f>IF($AA798="","",INDEX('Per Line'!$A$2:$A$4001,$AA798)&amp;"")</f>
        <v/>
      </c>
      <c r="D798">
        <f>IF($AA798="","",INDEX('Per Line'!$D$2:$D$4001,$AA798)&amp;"")</f>
        <v/>
      </c>
      <c r="E798" s="11">
        <f>IF($AA798="","",INDEX('Per Line'!$G$2:$G$4001,$AA798))</f>
        <v/>
      </c>
      <c r="F798">
        <f>IF($AA798="","",INDEX('Per Line'!$H$2:$H$4001,$AA798)&amp;"")</f>
        <v/>
      </c>
      <c r="G798">
        <f>IF($AA798="","",INDEX('Per Line'!$I$2:$I$4001,$AA798)&amp;"")</f>
        <v/>
      </c>
      <c r="H798">
        <f>IF($AA798="","",INDEX('Per Line'!$J$2:$J$4001,$AA798)&amp;"")</f>
        <v/>
      </c>
      <c r="I798">
        <f>IF($AA798="","",INDEX('Per Line'!$K$2:$K$4001,$AA798)&amp;"")</f>
        <v/>
      </c>
      <c r="J798">
        <f>IF($AA798="","",INDEX('Per Line'!$L$2:$L$4001,$AA798)&amp;"")</f>
        <v/>
      </c>
      <c r="K798">
        <f>IF($AA798="","",INDEX('Per Line'!$P$2:$P$4001,$AA798))</f>
        <v/>
      </c>
      <c r="L798" s="7">
        <f>IF($AA798="","",IF(AND(ISNUMBER(N798),N798&gt;0,Y798&gt;N798),K798*N798/100+(Y798-N798),K798*Y798/100))</f>
        <v/>
      </c>
      <c r="M798">
        <f>IF($AA798="","",INDEX('Per Line'!$Z$2:$Z$4001,$AA798)&amp;"")</f>
        <v/>
      </c>
      <c r="N798">
        <f>IF($AA798="","",INDEX('Per Line'!$AG$2:$AG$4001,$AA798))</f>
        <v/>
      </c>
      <c r="O798">
        <f>IF($AA798="","",IF(AND(ISNUMBER(N798),N798&gt;0),Y798&gt;N798,FALSE))</f>
        <v/>
      </c>
      <c r="P798" s="7">
        <f>IF($AA798="","",SUMIFS('Per Line'!$Y$2:$Y$4001,'Per Line'!$E$2:$E$4001,$B798,'Per Line'!$AQ$2:$AQ$4001,1))</f>
        <v/>
      </c>
      <c r="Q798">
        <f>IF($AA798="","",Settings!$C$7)</f>
        <v/>
      </c>
      <c r="R798" s="7">
        <f>IF($AA798="","",SUMIFS('Per Line'!$Y$2:$Y$4001,'Per Line'!$E$2:$E$4001,$B798,'Per Line'!$AP$2:$AP$4001,0,'Per Line'!$AQ$2:$AQ$4001,0))</f>
        <v/>
      </c>
      <c r="S798" s="7">
        <f>IF($AA798="","",R798*Q798)</f>
        <v/>
      </c>
      <c r="T798">
        <f>IF($AA798="","",Settings!$C$6)</f>
        <v/>
      </c>
      <c r="U798" s="7">
        <f>IF($AA798="","",SUMIFS('Per Line'!$Y$2:$Y$4001,'Per Line'!$E$2:$E$4001,$B798,'Per Line'!$AP$2:$AP$4001,1,'Per Line'!$AQ$2:$AQ$4001,0))</f>
        <v/>
      </c>
      <c r="V798" s="7">
        <f>IF($AA798="","",U798*T798)</f>
        <v/>
      </c>
      <c r="W798" s="7">
        <f>IF($AA798="","",V798+S798)</f>
        <v/>
      </c>
      <c r="X798" s="7">
        <f>IF($AA798="","",Y798-W798)</f>
        <v/>
      </c>
      <c r="Y798" s="7">
        <f>IF($AA798="","",R798+U798+P798)</f>
        <v/>
      </c>
      <c r="Z798" s="7">
        <f>IF($AA798="","",Y798-W798-L798)</f>
        <v/>
      </c>
      <c r="AA798" s="13">
        <f>IF(ROWS($AA$2:$AA798)&lt;=MAX('Per Line'!$AO$2:$AO$4001),MATCH(ROWS($AA$2:$AA798),'Per Line'!$AO$2:$AO$4001,0),"")</f>
        <v/>
      </c>
      <c r="AB798" s="14">
        <f>IF($AA798="","",L798-K798*Y798/100)</f>
        <v/>
      </c>
    </row>
    <row r="799">
      <c r="A799" s="12" t="n"/>
      <c r="B799">
        <f>IF($AA799="","",INDEX('Per Line'!$E$2:$E$4001,$AA799)&amp;"")</f>
        <v/>
      </c>
      <c r="C799">
        <f>IF($AA799="","",INDEX('Per Line'!$A$2:$A$4001,$AA799)&amp;"")</f>
        <v/>
      </c>
      <c r="D799">
        <f>IF($AA799="","",INDEX('Per Line'!$D$2:$D$4001,$AA799)&amp;"")</f>
        <v/>
      </c>
      <c r="E799" s="11">
        <f>IF($AA799="","",INDEX('Per Line'!$G$2:$G$4001,$AA799))</f>
        <v/>
      </c>
      <c r="F799">
        <f>IF($AA799="","",INDEX('Per Line'!$H$2:$H$4001,$AA799)&amp;"")</f>
        <v/>
      </c>
      <c r="G799">
        <f>IF($AA799="","",INDEX('Per Line'!$I$2:$I$4001,$AA799)&amp;"")</f>
        <v/>
      </c>
      <c r="H799">
        <f>IF($AA799="","",INDEX('Per Line'!$J$2:$J$4001,$AA799)&amp;"")</f>
        <v/>
      </c>
      <c r="I799">
        <f>IF($AA799="","",INDEX('Per Line'!$K$2:$K$4001,$AA799)&amp;"")</f>
        <v/>
      </c>
      <c r="J799">
        <f>IF($AA799="","",INDEX('Per Line'!$L$2:$L$4001,$AA799)&amp;"")</f>
        <v/>
      </c>
      <c r="K799">
        <f>IF($AA799="","",INDEX('Per Line'!$P$2:$P$4001,$AA799))</f>
        <v/>
      </c>
      <c r="L799" s="7">
        <f>IF($AA799="","",IF(AND(ISNUMBER(N799),N799&gt;0,Y799&gt;N799),K799*N799/100+(Y799-N799),K799*Y799/100))</f>
        <v/>
      </c>
      <c r="M799">
        <f>IF($AA799="","",INDEX('Per Line'!$Z$2:$Z$4001,$AA799)&amp;"")</f>
        <v/>
      </c>
      <c r="N799">
        <f>IF($AA799="","",INDEX('Per Line'!$AG$2:$AG$4001,$AA799))</f>
        <v/>
      </c>
      <c r="O799">
        <f>IF($AA799="","",IF(AND(ISNUMBER(N799),N799&gt;0),Y799&gt;N799,FALSE))</f>
        <v/>
      </c>
      <c r="P799" s="7">
        <f>IF($AA799="","",SUMIFS('Per Line'!$Y$2:$Y$4001,'Per Line'!$E$2:$E$4001,$B799,'Per Line'!$AQ$2:$AQ$4001,1))</f>
        <v/>
      </c>
      <c r="Q799">
        <f>IF($AA799="","",Settings!$C$7)</f>
        <v/>
      </c>
      <c r="R799" s="7">
        <f>IF($AA799="","",SUMIFS('Per Line'!$Y$2:$Y$4001,'Per Line'!$E$2:$E$4001,$B799,'Per Line'!$AP$2:$AP$4001,0,'Per Line'!$AQ$2:$AQ$4001,0))</f>
        <v/>
      </c>
      <c r="S799" s="7">
        <f>IF($AA799="","",R799*Q799)</f>
        <v/>
      </c>
      <c r="T799">
        <f>IF($AA799="","",Settings!$C$6)</f>
        <v/>
      </c>
      <c r="U799" s="7">
        <f>IF($AA799="","",SUMIFS('Per Line'!$Y$2:$Y$4001,'Per Line'!$E$2:$E$4001,$B799,'Per Line'!$AP$2:$AP$4001,1,'Per Line'!$AQ$2:$AQ$4001,0))</f>
        <v/>
      </c>
      <c r="V799" s="7">
        <f>IF($AA799="","",U799*T799)</f>
        <v/>
      </c>
      <c r="W799" s="7">
        <f>IF($AA799="","",V799+S799)</f>
        <v/>
      </c>
      <c r="X799" s="7">
        <f>IF($AA799="","",Y799-W799)</f>
        <v/>
      </c>
      <c r="Y799" s="7">
        <f>IF($AA799="","",R799+U799+P799)</f>
        <v/>
      </c>
      <c r="Z799" s="7">
        <f>IF($AA799="","",Y799-W799-L799)</f>
        <v/>
      </c>
      <c r="AA799" s="13">
        <f>IF(ROWS($AA$2:$AA799)&lt;=MAX('Per Line'!$AO$2:$AO$4001),MATCH(ROWS($AA$2:$AA799),'Per Line'!$AO$2:$AO$4001,0),"")</f>
        <v/>
      </c>
      <c r="AB799" s="14">
        <f>IF($AA799="","",L799-K799*Y799/100)</f>
        <v/>
      </c>
    </row>
    <row r="800">
      <c r="A800" s="12" t="n"/>
      <c r="B800">
        <f>IF($AA800="","",INDEX('Per Line'!$E$2:$E$4001,$AA800)&amp;"")</f>
        <v/>
      </c>
      <c r="C800">
        <f>IF($AA800="","",INDEX('Per Line'!$A$2:$A$4001,$AA800)&amp;"")</f>
        <v/>
      </c>
      <c r="D800">
        <f>IF($AA800="","",INDEX('Per Line'!$D$2:$D$4001,$AA800)&amp;"")</f>
        <v/>
      </c>
      <c r="E800" s="11">
        <f>IF($AA800="","",INDEX('Per Line'!$G$2:$G$4001,$AA800))</f>
        <v/>
      </c>
      <c r="F800">
        <f>IF($AA800="","",INDEX('Per Line'!$H$2:$H$4001,$AA800)&amp;"")</f>
        <v/>
      </c>
      <c r="G800">
        <f>IF($AA800="","",INDEX('Per Line'!$I$2:$I$4001,$AA800)&amp;"")</f>
        <v/>
      </c>
      <c r="H800">
        <f>IF($AA800="","",INDEX('Per Line'!$J$2:$J$4001,$AA800)&amp;"")</f>
        <v/>
      </c>
      <c r="I800">
        <f>IF($AA800="","",INDEX('Per Line'!$K$2:$K$4001,$AA800)&amp;"")</f>
        <v/>
      </c>
      <c r="J800">
        <f>IF($AA800="","",INDEX('Per Line'!$L$2:$L$4001,$AA800)&amp;"")</f>
        <v/>
      </c>
      <c r="K800">
        <f>IF($AA800="","",INDEX('Per Line'!$P$2:$P$4001,$AA800))</f>
        <v/>
      </c>
      <c r="L800" s="7">
        <f>IF($AA800="","",IF(AND(ISNUMBER(N800),N800&gt;0,Y800&gt;N800),K800*N800/100+(Y800-N800),K800*Y800/100))</f>
        <v/>
      </c>
      <c r="M800">
        <f>IF($AA800="","",INDEX('Per Line'!$Z$2:$Z$4001,$AA800)&amp;"")</f>
        <v/>
      </c>
      <c r="N800">
        <f>IF($AA800="","",INDEX('Per Line'!$AG$2:$AG$4001,$AA800))</f>
        <v/>
      </c>
      <c r="O800">
        <f>IF($AA800="","",IF(AND(ISNUMBER(N800),N800&gt;0),Y800&gt;N800,FALSE))</f>
        <v/>
      </c>
      <c r="P800" s="7">
        <f>IF($AA800="","",SUMIFS('Per Line'!$Y$2:$Y$4001,'Per Line'!$E$2:$E$4001,$B800,'Per Line'!$AQ$2:$AQ$4001,1))</f>
        <v/>
      </c>
      <c r="Q800">
        <f>IF($AA800="","",Settings!$C$7)</f>
        <v/>
      </c>
      <c r="R800" s="7">
        <f>IF($AA800="","",SUMIFS('Per Line'!$Y$2:$Y$4001,'Per Line'!$E$2:$E$4001,$B800,'Per Line'!$AP$2:$AP$4001,0,'Per Line'!$AQ$2:$AQ$4001,0))</f>
        <v/>
      </c>
      <c r="S800" s="7">
        <f>IF($AA800="","",R800*Q800)</f>
        <v/>
      </c>
      <c r="T800">
        <f>IF($AA800="","",Settings!$C$6)</f>
        <v/>
      </c>
      <c r="U800" s="7">
        <f>IF($AA800="","",SUMIFS('Per Line'!$Y$2:$Y$4001,'Per Line'!$E$2:$E$4001,$B800,'Per Line'!$AP$2:$AP$4001,1,'Per Line'!$AQ$2:$AQ$4001,0))</f>
        <v/>
      </c>
      <c r="V800" s="7">
        <f>IF($AA800="","",U800*T800)</f>
        <v/>
      </c>
      <c r="W800" s="7">
        <f>IF($AA800="","",V800+S800)</f>
        <v/>
      </c>
      <c r="X800" s="7">
        <f>IF($AA800="","",Y800-W800)</f>
        <v/>
      </c>
      <c r="Y800" s="7">
        <f>IF($AA800="","",R800+U800+P800)</f>
        <v/>
      </c>
      <c r="Z800" s="7">
        <f>IF($AA800="","",Y800-W800-L800)</f>
        <v/>
      </c>
      <c r="AA800" s="13">
        <f>IF(ROWS($AA$2:$AA800)&lt;=MAX('Per Line'!$AO$2:$AO$4001),MATCH(ROWS($AA$2:$AA800),'Per Line'!$AO$2:$AO$4001,0),"")</f>
        <v/>
      </c>
      <c r="AB800" s="14">
        <f>IF($AA800="","",L800-K800*Y800/100)</f>
        <v/>
      </c>
    </row>
    <row r="801">
      <c r="A801" s="12" t="n"/>
      <c r="B801">
        <f>IF($AA801="","",INDEX('Per Line'!$E$2:$E$4001,$AA801)&amp;"")</f>
        <v/>
      </c>
      <c r="C801">
        <f>IF($AA801="","",INDEX('Per Line'!$A$2:$A$4001,$AA801)&amp;"")</f>
        <v/>
      </c>
      <c r="D801">
        <f>IF($AA801="","",INDEX('Per Line'!$D$2:$D$4001,$AA801)&amp;"")</f>
        <v/>
      </c>
      <c r="E801" s="11">
        <f>IF($AA801="","",INDEX('Per Line'!$G$2:$G$4001,$AA801))</f>
        <v/>
      </c>
      <c r="F801">
        <f>IF($AA801="","",INDEX('Per Line'!$H$2:$H$4001,$AA801)&amp;"")</f>
        <v/>
      </c>
      <c r="G801">
        <f>IF($AA801="","",INDEX('Per Line'!$I$2:$I$4001,$AA801)&amp;"")</f>
        <v/>
      </c>
      <c r="H801">
        <f>IF($AA801="","",INDEX('Per Line'!$J$2:$J$4001,$AA801)&amp;"")</f>
        <v/>
      </c>
      <c r="I801">
        <f>IF($AA801="","",INDEX('Per Line'!$K$2:$K$4001,$AA801)&amp;"")</f>
        <v/>
      </c>
      <c r="J801">
        <f>IF($AA801="","",INDEX('Per Line'!$L$2:$L$4001,$AA801)&amp;"")</f>
        <v/>
      </c>
      <c r="K801">
        <f>IF($AA801="","",INDEX('Per Line'!$P$2:$P$4001,$AA801))</f>
        <v/>
      </c>
      <c r="L801" s="7">
        <f>IF($AA801="","",IF(AND(ISNUMBER(N801),N801&gt;0,Y801&gt;N801),K801*N801/100+(Y801-N801),K801*Y801/100))</f>
        <v/>
      </c>
      <c r="M801">
        <f>IF($AA801="","",INDEX('Per Line'!$Z$2:$Z$4001,$AA801)&amp;"")</f>
        <v/>
      </c>
      <c r="N801">
        <f>IF($AA801="","",INDEX('Per Line'!$AG$2:$AG$4001,$AA801))</f>
        <v/>
      </c>
      <c r="O801">
        <f>IF($AA801="","",IF(AND(ISNUMBER(N801),N801&gt;0),Y801&gt;N801,FALSE))</f>
        <v/>
      </c>
      <c r="P801" s="7">
        <f>IF($AA801="","",SUMIFS('Per Line'!$Y$2:$Y$4001,'Per Line'!$E$2:$E$4001,$B801,'Per Line'!$AQ$2:$AQ$4001,1))</f>
        <v/>
      </c>
      <c r="Q801">
        <f>IF($AA801="","",Settings!$C$7)</f>
        <v/>
      </c>
      <c r="R801" s="7">
        <f>IF($AA801="","",SUMIFS('Per Line'!$Y$2:$Y$4001,'Per Line'!$E$2:$E$4001,$B801,'Per Line'!$AP$2:$AP$4001,0,'Per Line'!$AQ$2:$AQ$4001,0))</f>
        <v/>
      </c>
      <c r="S801" s="7">
        <f>IF($AA801="","",R801*Q801)</f>
        <v/>
      </c>
      <c r="T801">
        <f>IF($AA801="","",Settings!$C$6)</f>
        <v/>
      </c>
      <c r="U801" s="7">
        <f>IF($AA801="","",SUMIFS('Per Line'!$Y$2:$Y$4001,'Per Line'!$E$2:$E$4001,$B801,'Per Line'!$AP$2:$AP$4001,1,'Per Line'!$AQ$2:$AQ$4001,0))</f>
        <v/>
      </c>
      <c r="V801" s="7">
        <f>IF($AA801="","",U801*T801)</f>
        <v/>
      </c>
      <c r="W801" s="7">
        <f>IF($AA801="","",V801+S801)</f>
        <v/>
      </c>
      <c r="X801" s="7">
        <f>IF($AA801="","",Y801-W801)</f>
        <v/>
      </c>
      <c r="Y801" s="7">
        <f>IF($AA801="","",R801+U801+P801)</f>
        <v/>
      </c>
      <c r="Z801" s="7">
        <f>IF($AA801="","",Y801-W801-L801)</f>
        <v/>
      </c>
      <c r="AA801" s="13">
        <f>IF(ROWS($AA$2:$AA801)&lt;=MAX('Per Line'!$AO$2:$AO$4001),MATCH(ROWS($AA$2:$AA801),'Per Line'!$AO$2:$AO$4001,0),"")</f>
        <v/>
      </c>
      <c r="AB801" s="14">
        <f>IF($AA801="","",L801-K801*Y801/100)</f>
        <v/>
      </c>
    </row>
    <row r="802">
      <c r="A802" s="12" t="n"/>
      <c r="B802">
        <f>IF($AA802="","",INDEX('Per Line'!$E$2:$E$4001,$AA802)&amp;"")</f>
        <v/>
      </c>
      <c r="C802">
        <f>IF($AA802="","",INDEX('Per Line'!$A$2:$A$4001,$AA802)&amp;"")</f>
        <v/>
      </c>
      <c r="D802">
        <f>IF($AA802="","",INDEX('Per Line'!$D$2:$D$4001,$AA802)&amp;"")</f>
        <v/>
      </c>
      <c r="E802" s="11">
        <f>IF($AA802="","",INDEX('Per Line'!$G$2:$G$4001,$AA802))</f>
        <v/>
      </c>
      <c r="F802">
        <f>IF($AA802="","",INDEX('Per Line'!$H$2:$H$4001,$AA802)&amp;"")</f>
        <v/>
      </c>
      <c r="G802">
        <f>IF($AA802="","",INDEX('Per Line'!$I$2:$I$4001,$AA802)&amp;"")</f>
        <v/>
      </c>
      <c r="H802">
        <f>IF($AA802="","",INDEX('Per Line'!$J$2:$J$4001,$AA802)&amp;"")</f>
        <v/>
      </c>
      <c r="I802">
        <f>IF($AA802="","",INDEX('Per Line'!$K$2:$K$4001,$AA802)&amp;"")</f>
        <v/>
      </c>
      <c r="J802">
        <f>IF($AA802="","",INDEX('Per Line'!$L$2:$L$4001,$AA802)&amp;"")</f>
        <v/>
      </c>
      <c r="K802">
        <f>IF($AA802="","",INDEX('Per Line'!$P$2:$P$4001,$AA802))</f>
        <v/>
      </c>
      <c r="L802" s="7">
        <f>IF($AA802="","",IF(AND(ISNUMBER(N802),N802&gt;0,Y802&gt;N802),K802*N802/100+(Y802-N802),K802*Y802/100))</f>
        <v/>
      </c>
      <c r="M802">
        <f>IF($AA802="","",INDEX('Per Line'!$Z$2:$Z$4001,$AA802)&amp;"")</f>
        <v/>
      </c>
      <c r="N802">
        <f>IF($AA802="","",INDEX('Per Line'!$AG$2:$AG$4001,$AA802))</f>
        <v/>
      </c>
      <c r="O802">
        <f>IF($AA802="","",IF(AND(ISNUMBER(N802),N802&gt;0),Y802&gt;N802,FALSE))</f>
        <v/>
      </c>
      <c r="P802" s="7">
        <f>IF($AA802="","",SUMIFS('Per Line'!$Y$2:$Y$4001,'Per Line'!$E$2:$E$4001,$B802,'Per Line'!$AQ$2:$AQ$4001,1))</f>
        <v/>
      </c>
      <c r="Q802">
        <f>IF($AA802="","",Settings!$C$7)</f>
        <v/>
      </c>
      <c r="R802" s="7">
        <f>IF($AA802="","",SUMIFS('Per Line'!$Y$2:$Y$4001,'Per Line'!$E$2:$E$4001,$B802,'Per Line'!$AP$2:$AP$4001,0,'Per Line'!$AQ$2:$AQ$4001,0))</f>
        <v/>
      </c>
      <c r="S802" s="7">
        <f>IF($AA802="","",R802*Q802)</f>
        <v/>
      </c>
      <c r="T802">
        <f>IF($AA802="","",Settings!$C$6)</f>
        <v/>
      </c>
      <c r="U802" s="7">
        <f>IF($AA802="","",SUMIFS('Per Line'!$Y$2:$Y$4001,'Per Line'!$E$2:$E$4001,$B802,'Per Line'!$AP$2:$AP$4001,1,'Per Line'!$AQ$2:$AQ$4001,0))</f>
        <v/>
      </c>
      <c r="V802" s="7">
        <f>IF($AA802="","",U802*T802)</f>
        <v/>
      </c>
      <c r="W802" s="7">
        <f>IF($AA802="","",V802+S802)</f>
        <v/>
      </c>
      <c r="X802" s="7">
        <f>IF($AA802="","",Y802-W802)</f>
        <v/>
      </c>
      <c r="Y802" s="7">
        <f>IF($AA802="","",R802+U802+P802)</f>
        <v/>
      </c>
      <c r="Z802" s="7">
        <f>IF($AA802="","",Y802-W802-L802)</f>
        <v/>
      </c>
      <c r="AA802" s="13">
        <f>IF(ROWS($AA$2:$AA802)&lt;=MAX('Per Line'!$AO$2:$AO$4001),MATCH(ROWS($AA$2:$AA802),'Per Line'!$AO$2:$AO$4001,0),"")</f>
        <v/>
      </c>
      <c r="AB802" s="14">
        <f>IF($AA802="","",L802-K802*Y802/100)</f>
        <v/>
      </c>
    </row>
    <row r="803">
      <c r="A803" s="12" t="n"/>
      <c r="B803">
        <f>IF($AA803="","",INDEX('Per Line'!$E$2:$E$4001,$AA803)&amp;"")</f>
        <v/>
      </c>
      <c r="C803">
        <f>IF($AA803="","",INDEX('Per Line'!$A$2:$A$4001,$AA803)&amp;"")</f>
        <v/>
      </c>
      <c r="D803">
        <f>IF($AA803="","",INDEX('Per Line'!$D$2:$D$4001,$AA803)&amp;"")</f>
        <v/>
      </c>
      <c r="E803" s="11">
        <f>IF($AA803="","",INDEX('Per Line'!$G$2:$G$4001,$AA803))</f>
        <v/>
      </c>
      <c r="F803">
        <f>IF($AA803="","",INDEX('Per Line'!$H$2:$H$4001,$AA803)&amp;"")</f>
        <v/>
      </c>
      <c r="G803">
        <f>IF($AA803="","",INDEX('Per Line'!$I$2:$I$4001,$AA803)&amp;"")</f>
        <v/>
      </c>
      <c r="H803">
        <f>IF($AA803="","",INDEX('Per Line'!$J$2:$J$4001,$AA803)&amp;"")</f>
        <v/>
      </c>
      <c r="I803">
        <f>IF($AA803="","",INDEX('Per Line'!$K$2:$K$4001,$AA803)&amp;"")</f>
        <v/>
      </c>
      <c r="J803">
        <f>IF($AA803="","",INDEX('Per Line'!$L$2:$L$4001,$AA803)&amp;"")</f>
        <v/>
      </c>
      <c r="K803">
        <f>IF($AA803="","",INDEX('Per Line'!$P$2:$P$4001,$AA803))</f>
        <v/>
      </c>
      <c r="L803" s="7">
        <f>IF($AA803="","",IF(AND(ISNUMBER(N803),N803&gt;0,Y803&gt;N803),K803*N803/100+(Y803-N803),K803*Y803/100))</f>
        <v/>
      </c>
      <c r="M803">
        <f>IF($AA803="","",INDEX('Per Line'!$Z$2:$Z$4001,$AA803)&amp;"")</f>
        <v/>
      </c>
      <c r="N803">
        <f>IF($AA803="","",INDEX('Per Line'!$AG$2:$AG$4001,$AA803))</f>
        <v/>
      </c>
      <c r="O803">
        <f>IF($AA803="","",IF(AND(ISNUMBER(N803),N803&gt;0),Y803&gt;N803,FALSE))</f>
        <v/>
      </c>
      <c r="P803" s="7">
        <f>IF($AA803="","",SUMIFS('Per Line'!$Y$2:$Y$4001,'Per Line'!$E$2:$E$4001,$B803,'Per Line'!$AQ$2:$AQ$4001,1))</f>
        <v/>
      </c>
      <c r="Q803">
        <f>IF($AA803="","",Settings!$C$7)</f>
        <v/>
      </c>
      <c r="R803" s="7">
        <f>IF($AA803="","",SUMIFS('Per Line'!$Y$2:$Y$4001,'Per Line'!$E$2:$E$4001,$B803,'Per Line'!$AP$2:$AP$4001,0,'Per Line'!$AQ$2:$AQ$4001,0))</f>
        <v/>
      </c>
      <c r="S803" s="7">
        <f>IF($AA803="","",R803*Q803)</f>
        <v/>
      </c>
      <c r="T803">
        <f>IF($AA803="","",Settings!$C$6)</f>
        <v/>
      </c>
      <c r="U803" s="7">
        <f>IF($AA803="","",SUMIFS('Per Line'!$Y$2:$Y$4001,'Per Line'!$E$2:$E$4001,$B803,'Per Line'!$AP$2:$AP$4001,1,'Per Line'!$AQ$2:$AQ$4001,0))</f>
        <v/>
      </c>
      <c r="V803" s="7">
        <f>IF($AA803="","",U803*T803)</f>
        <v/>
      </c>
      <c r="W803" s="7">
        <f>IF($AA803="","",V803+S803)</f>
        <v/>
      </c>
      <c r="X803" s="7">
        <f>IF($AA803="","",Y803-W803)</f>
        <v/>
      </c>
      <c r="Y803" s="7">
        <f>IF($AA803="","",R803+U803+P803)</f>
        <v/>
      </c>
      <c r="Z803" s="7">
        <f>IF($AA803="","",Y803-W803-L803)</f>
        <v/>
      </c>
      <c r="AA803" s="13">
        <f>IF(ROWS($AA$2:$AA803)&lt;=MAX('Per Line'!$AO$2:$AO$4001),MATCH(ROWS($AA$2:$AA803),'Per Line'!$AO$2:$AO$4001,0),"")</f>
        <v/>
      </c>
      <c r="AB803" s="14">
        <f>IF($AA803="","",L803-K803*Y803/100)</f>
        <v/>
      </c>
    </row>
    <row r="804">
      <c r="A804" s="12" t="n"/>
      <c r="B804">
        <f>IF($AA804="","",INDEX('Per Line'!$E$2:$E$4001,$AA804)&amp;"")</f>
        <v/>
      </c>
      <c r="C804">
        <f>IF($AA804="","",INDEX('Per Line'!$A$2:$A$4001,$AA804)&amp;"")</f>
        <v/>
      </c>
      <c r="D804">
        <f>IF($AA804="","",INDEX('Per Line'!$D$2:$D$4001,$AA804)&amp;"")</f>
        <v/>
      </c>
      <c r="E804" s="11">
        <f>IF($AA804="","",INDEX('Per Line'!$G$2:$G$4001,$AA804))</f>
        <v/>
      </c>
      <c r="F804">
        <f>IF($AA804="","",INDEX('Per Line'!$H$2:$H$4001,$AA804)&amp;"")</f>
        <v/>
      </c>
      <c r="G804">
        <f>IF($AA804="","",INDEX('Per Line'!$I$2:$I$4001,$AA804)&amp;"")</f>
        <v/>
      </c>
      <c r="H804">
        <f>IF($AA804="","",INDEX('Per Line'!$J$2:$J$4001,$AA804)&amp;"")</f>
        <v/>
      </c>
      <c r="I804">
        <f>IF($AA804="","",INDEX('Per Line'!$K$2:$K$4001,$AA804)&amp;"")</f>
        <v/>
      </c>
      <c r="J804">
        <f>IF($AA804="","",INDEX('Per Line'!$L$2:$L$4001,$AA804)&amp;"")</f>
        <v/>
      </c>
      <c r="K804">
        <f>IF($AA804="","",INDEX('Per Line'!$P$2:$P$4001,$AA804))</f>
        <v/>
      </c>
      <c r="L804" s="7">
        <f>IF($AA804="","",IF(AND(ISNUMBER(N804),N804&gt;0,Y804&gt;N804),K804*N804/100+(Y804-N804),K804*Y804/100))</f>
        <v/>
      </c>
      <c r="M804">
        <f>IF($AA804="","",INDEX('Per Line'!$Z$2:$Z$4001,$AA804)&amp;"")</f>
        <v/>
      </c>
      <c r="N804">
        <f>IF($AA804="","",INDEX('Per Line'!$AG$2:$AG$4001,$AA804))</f>
        <v/>
      </c>
      <c r="O804">
        <f>IF($AA804="","",IF(AND(ISNUMBER(N804),N804&gt;0),Y804&gt;N804,FALSE))</f>
        <v/>
      </c>
      <c r="P804" s="7">
        <f>IF($AA804="","",SUMIFS('Per Line'!$Y$2:$Y$4001,'Per Line'!$E$2:$E$4001,$B804,'Per Line'!$AQ$2:$AQ$4001,1))</f>
        <v/>
      </c>
      <c r="Q804">
        <f>IF($AA804="","",Settings!$C$7)</f>
        <v/>
      </c>
      <c r="R804" s="7">
        <f>IF($AA804="","",SUMIFS('Per Line'!$Y$2:$Y$4001,'Per Line'!$E$2:$E$4001,$B804,'Per Line'!$AP$2:$AP$4001,0,'Per Line'!$AQ$2:$AQ$4001,0))</f>
        <v/>
      </c>
      <c r="S804" s="7">
        <f>IF($AA804="","",R804*Q804)</f>
        <v/>
      </c>
      <c r="T804">
        <f>IF($AA804="","",Settings!$C$6)</f>
        <v/>
      </c>
      <c r="U804" s="7">
        <f>IF($AA804="","",SUMIFS('Per Line'!$Y$2:$Y$4001,'Per Line'!$E$2:$E$4001,$B804,'Per Line'!$AP$2:$AP$4001,1,'Per Line'!$AQ$2:$AQ$4001,0))</f>
        <v/>
      </c>
      <c r="V804" s="7">
        <f>IF($AA804="","",U804*T804)</f>
        <v/>
      </c>
      <c r="W804" s="7">
        <f>IF($AA804="","",V804+S804)</f>
        <v/>
      </c>
      <c r="X804" s="7">
        <f>IF($AA804="","",Y804-W804)</f>
        <v/>
      </c>
      <c r="Y804" s="7">
        <f>IF($AA804="","",R804+U804+P804)</f>
        <v/>
      </c>
      <c r="Z804" s="7">
        <f>IF($AA804="","",Y804-W804-L804)</f>
        <v/>
      </c>
      <c r="AA804" s="13">
        <f>IF(ROWS($AA$2:$AA804)&lt;=MAX('Per Line'!$AO$2:$AO$4001),MATCH(ROWS($AA$2:$AA804),'Per Line'!$AO$2:$AO$4001,0),"")</f>
        <v/>
      </c>
      <c r="AB804" s="14">
        <f>IF($AA804="","",L804-K804*Y804/100)</f>
        <v/>
      </c>
    </row>
    <row r="805">
      <c r="A805" s="12" t="n"/>
      <c r="B805">
        <f>IF($AA805="","",INDEX('Per Line'!$E$2:$E$4001,$AA805)&amp;"")</f>
        <v/>
      </c>
      <c r="C805">
        <f>IF($AA805="","",INDEX('Per Line'!$A$2:$A$4001,$AA805)&amp;"")</f>
        <v/>
      </c>
      <c r="D805">
        <f>IF($AA805="","",INDEX('Per Line'!$D$2:$D$4001,$AA805)&amp;"")</f>
        <v/>
      </c>
      <c r="E805" s="11">
        <f>IF($AA805="","",INDEX('Per Line'!$G$2:$G$4001,$AA805))</f>
        <v/>
      </c>
      <c r="F805">
        <f>IF($AA805="","",INDEX('Per Line'!$H$2:$H$4001,$AA805)&amp;"")</f>
        <v/>
      </c>
      <c r="G805">
        <f>IF($AA805="","",INDEX('Per Line'!$I$2:$I$4001,$AA805)&amp;"")</f>
        <v/>
      </c>
      <c r="H805">
        <f>IF($AA805="","",INDEX('Per Line'!$J$2:$J$4001,$AA805)&amp;"")</f>
        <v/>
      </c>
      <c r="I805">
        <f>IF($AA805="","",INDEX('Per Line'!$K$2:$K$4001,$AA805)&amp;"")</f>
        <v/>
      </c>
      <c r="J805">
        <f>IF($AA805="","",INDEX('Per Line'!$L$2:$L$4001,$AA805)&amp;"")</f>
        <v/>
      </c>
      <c r="K805">
        <f>IF($AA805="","",INDEX('Per Line'!$P$2:$P$4001,$AA805))</f>
        <v/>
      </c>
      <c r="L805" s="7">
        <f>IF($AA805="","",IF(AND(ISNUMBER(N805),N805&gt;0,Y805&gt;N805),K805*N805/100+(Y805-N805),K805*Y805/100))</f>
        <v/>
      </c>
      <c r="M805">
        <f>IF($AA805="","",INDEX('Per Line'!$Z$2:$Z$4001,$AA805)&amp;"")</f>
        <v/>
      </c>
      <c r="N805">
        <f>IF($AA805="","",INDEX('Per Line'!$AG$2:$AG$4001,$AA805))</f>
        <v/>
      </c>
      <c r="O805">
        <f>IF($AA805="","",IF(AND(ISNUMBER(N805),N805&gt;0),Y805&gt;N805,FALSE))</f>
        <v/>
      </c>
      <c r="P805" s="7">
        <f>IF($AA805="","",SUMIFS('Per Line'!$Y$2:$Y$4001,'Per Line'!$E$2:$E$4001,$B805,'Per Line'!$AQ$2:$AQ$4001,1))</f>
        <v/>
      </c>
      <c r="Q805">
        <f>IF($AA805="","",Settings!$C$7)</f>
        <v/>
      </c>
      <c r="R805" s="7">
        <f>IF($AA805="","",SUMIFS('Per Line'!$Y$2:$Y$4001,'Per Line'!$E$2:$E$4001,$B805,'Per Line'!$AP$2:$AP$4001,0,'Per Line'!$AQ$2:$AQ$4001,0))</f>
        <v/>
      </c>
      <c r="S805" s="7">
        <f>IF($AA805="","",R805*Q805)</f>
        <v/>
      </c>
      <c r="T805">
        <f>IF($AA805="","",Settings!$C$6)</f>
        <v/>
      </c>
      <c r="U805" s="7">
        <f>IF($AA805="","",SUMIFS('Per Line'!$Y$2:$Y$4001,'Per Line'!$E$2:$E$4001,$B805,'Per Line'!$AP$2:$AP$4001,1,'Per Line'!$AQ$2:$AQ$4001,0))</f>
        <v/>
      </c>
      <c r="V805" s="7">
        <f>IF($AA805="","",U805*T805)</f>
        <v/>
      </c>
      <c r="W805" s="7">
        <f>IF($AA805="","",V805+S805)</f>
        <v/>
      </c>
      <c r="X805" s="7">
        <f>IF($AA805="","",Y805-W805)</f>
        <v/>
      </c>
      <c r="Y805" s="7">
        <f>IF($AA805="","",R805+U805+P805)</f>
        <v/>
      </c>
      <c r="Z805" s="7">
        <f>IF($AA805="","",Y805-W805-L805)</f>
        <v/>
      </c>
      <c r="AA805" s="13">
        <f>IF(ROWS($AA$2:$AA805)&lt;=MAX('Per Line'!$AO$2:$AO$4001),MATCH(ROWS($AA$2:$AA805),'Per Line'!$AO$2:$AO$4001,0),"")</f>
        <v/>
      </c>
      <c r="AB805" s="14">
        <f>IF($AA805="","",L805-K805*Y805/100)</f>
        <v/>
      </c>
    </row>
    <row r="806">
      <c r="A806" s="12" t="n"/>
      <c r="B806">
        <f>IF($AA806="","",INDEX('Per Line'!$E$2:$E$4001,$AA806)&amp;"")</f>
        <v/>
      </c>
      <c r="C806">
        <f>IF($AA806="","",INDEX('Per Line'!$A$2:$A$4001,$AA806)&amp;"")</f>
        <v/>
      </c>
      <c r="D806">
        <f>IF($AA806="","",INDEX('Per Line'!$D$2:$D$4001,$AA806)&amp;"")</f>
        <v/>
      </c>
      <c r="E806" s="11">
        <f>IF($AA806="","",INDEX('Per Line'!$G$2:$G$4001,$AA806))</f>
        <v/>
      </c>
      <c r="F806">
        <f>IF($AA806="","",INDEX('Per Line'!$H$2:$H$4001,$AA806)&amp;"")</f>
        <v/>
      </c>
      <c r="G806">
        <f>IF($AA806="","",INDEX('Per Line'!$I$2:$I$4001,$AA806)&amp;"")</f>
        <v/>
      </c>
      <c r="H806">
        <f>IF($AA806="","",INDEX('Per Line'!$J$2:$J$4001,$AA806)&amp;"")</f>
        <v/>
      </c>
      <c r="I806">
        <f>IF($AA806="","",INDEX('Per Line'!$K$2:$K$4001,$AA806)&amp;"")</f>
        <v/>
      </c>
      <c r="J806">
        <f>IF($AA806="","",INDEX('Per Line'!$L$2:$L$4001,$AA806)&amp;"")</f>
        <v/>
      </c>
      <c r="K806">
        <f>IF($AA806="","",INDEX('Per Line'!$P$2:$P$4001,$AA806))</f>
        <v/>
      </c>
      <c r="L806" s="7">
        <f>IF($AA806="","",IF(AND(ISNUMBER(N806),N806&gt;0,Y806&gt;N806),K806*N806/100+(Y806-N806),K806*Y806/100))</f>
        <v/>
      </c>
      <c r="M806">
        <f>IF($AA806="","",INDEX('Per Line'!$Z$2:$Z$4001,$AA806)&amp;"")</f>
        <v/>
      </c>
      <c r="N806">
        <f>IF($AA806="","",INDEX('Per Line'!$AG$2:$AG$4001,$AA806))</f>
        <v/>
      </c>
      <c r="O806">
        <f>IF($AA806="","",IF(AND(ISNUMBER(N806),N806&gt;0),Y806&gt;N806,FALSE))</f>
        <v/>
      </c>
      <c r="P806" s="7">
        <f>IF($AA806="","",SUMIFS('Per Line'!$Y$2:$Y$4001,'Per Line'!$E$2:$E$4001,$B806,'Per Line'!$AQ$2:$AQ$4001,1))</f>
        <v/>
      </c>
      <c r="Q806">
        <f>IF($AA806="","",Settings!$C$7)</f>
        <v/>
      </c>
      <c r="R806" s="7">
        <f>IF($AA806="","",SUMIFS('Per Line'!$Y$2:$Y$4001,'Per Line'!$E$2:$E$4001,$B806,'Per Line'!$AP$2:$AP$4001,0,'Per Line'!$AQ$2:$AQ$4001,0))</f>
        <v/>
      </c>
      <c r="S806" s="7">
        <f>IF($AA806="","",R806*Q806)</f>
        <v/>
      </c>
      <c r="T806">
        <f>IF($AA806="","",Settings!$C$6)</f>
        <v/>
      </c>
      <c r="U806" s="7">
        <f>IF($AA806="","",SUMIFS('Per Line'!$Y$2:$Y$4001,'Per Line'!$E$2:$E$4001,$B806,'Per Line'!$AP$2:$AP$4001,1,'Per Line'!$AQ$2:$AQ$4001,0))</f>
        <v/>
      </c>
      <c r="V806" s="7">
        <f>IF($AA806="","",U806*T806)</f>
        <v/>
      </c>
      <c r="W806" s="7">
        <f>IF($AA806="","",V806+S806)</f>
        <v/>
      </c>
      <c r="X806" s="7">
        <f>IF($AA806="","",Y806-W806)</f>
        <v/>
      </c>
      <c r="Y806" s="7">
        <f>IF($AA806="","",R806+U806+P806)</f>
        <v/>
      </c>
      <c r="Z806" s="7">
        <f>IF($AA806="","",Y806-W806-L806)</f>
        <v/>
      </c>
      <c r="AA806" s="13">
        <f>IF(ROWS($AA$2:$AA806)&lt;=MAX('Per Line'!$AO$2:$AO$4001),MATCH(ROWS($AA$2:$AA806),'Per Line'!$AO$2:$AO$4001,0),"")</f>
        <v/>
      </c>
      <c r="AB806" s="14">
        <f>IF($AA806="","",L806-K806*Y806/100)</f>
        <v/>
      </c>
    </row>
    <row r="807">
      <c r="A807" s="12" t="n"/>
      <c r="B807">
        <f>IF($AA807="","",INDEX('Per Line'!$E$2:$E$4001,$AA807)&amp;"")</f>
        <v/>
      </c>
      <c r="C807">
        <f>IF($AA807="","",INDEX('Per Line'!$A$2:$A$4001,$AA807)&amp;"")</f>
        <v/>
      </c>
      <c r="D807">
        <f>IF($AA807="","",INDEX('Per Line'!$D$2:$D$4001,$AA807)&amp;"")</f>
        <v/>
      </c>
      <c r="E807" s="11">
        <f>IF($AA807="","",INDEX('Per Line'!$G$2:$G$4001,$AA807))</f>
        <v/>
      </c>
      <c r="F807">
        <f>IF($AA807="","",INDEX('Per Line'!$H$2:$H$4001,$AA807)&amp;"")</f>
        <v/>
      </c>
      <c r="G807">
        <f>IF($AA807="","",INDEX('Per Line'!$I$2:$I$4001,$AA807)&amp;"")</f>
        <v/>
      </c>
      <c r="H807">
        <f>IF($AA807="","",INDEX('Per Line'!$J$2:$J$4001,$AA807)&amp;"")</f>
        <v/>
      </c>
      <c r="I807">
        <f>IF($AA807="","",INDEX('Per Line'!$K$2:$K$4001,$AA807)&amp;"")</f>
        <v/>
      </c>
      <c r="J807">
        <f>IF($AA807="","",INDEX('Per Line'!$L$2:$L$4001,$AA807)&amp;"")</f>
        <v/>
      </c>
      <c r="K807">
        <f>IF($AA807="","",INDEX('Per Line'!$P$2:$P$4001,$AA807))</f>
        <v/>
      </c>
      <c r="L807" s="7">
        <f>IF($AA807="","",IF(AND(ISNUMBER(N807),N807&gt;0,Y807&gt;N807),K807*N807/100+(Y807-N807),K807*Y807/100))</f>
        <v/>
      </c>
      <c r="M807">
        <f>IF($AA807="","",INDEX('Per Line'!$Z$2:$Z$4001,$AA807)&amp;"")</f>
        <v/>
      </c>
      <c r="N807">
        <f>IF($AA807="","",INDEX('Per Line'!$AG$2:$AG$4001,$AA807))</f>
        <v/>
      </c>
      <c r="O807">
        <f>IF($AA807="","",IF(AND(ISNUMBER(N807),N807&gt;0),Y807&gt;N807,FALSE))</f>
        <v/>
      </c>
      <c r="P807" s="7">
        <f>IF($AA807="","",SUMIFS('Per Line'!$Y$2:$Y$4001,'Per Line'!$E$2:$E$4001,$B807,'Per Line'!$AQ$2:$AQ$4001,1))</f>
        <v/>
      </c>
      <c r="Q807">
        <f>IF($AA807="","",Settings!$C$7)</f>
        <v/>
      </c>
      <c r="R807" s="7">
        <f>IF($AA807="","",SUMIFS('Per Line'!$Y$2:$Y$4001,'Per Line'!$E$2:$E$4001,$B807,'Per Line'!$AP$2:$AP$4001,0,'Per Line'!$AQ$2:$AQ$4001,0))</f>
        <v/>
      </c>
      <c r="S807" s="7">
        <f>IF($AA807="","",R807*Q807)</f>
        <v/>
      </c>
      <c r="T807">
        <f>IF($AA807="","",Settings!$C$6)</f>
        <v/>
      </c>
      <c r="U807" s="7">
        <f>IF($AA807="","",SUMIFS('Per Line'!$Y$2:$Y$4001,'Per Line'!$E$2:$E$4001,$B807,'Per Line'!$AP$2:$AP$4001,1,'Per Line'!$AQ$2:$AQ$4001,0))</f>
        <v/>
      </c>
      <c r="V807" s="7">
        <f>IF($AA807="","",U807*T807)</f>
        <v/>
      </c>
      <c r="W807" s="7">
        <f>IF($AA807="","",V807+S807)</f>
        <v/>
      </c>
      <c r="X807" s="7">
        <f>IF($AA807="","",Y807-W807)</f>
        <v/>
      </c>
      <c r="Y807" s="7">
        <f>IF($AA807="","",R807+U807+P807)</f>
        <v/>
      </c>
      <c r="Z807" s="7">
        <f>IF($AA807="","",Y807-W807-L807)</f>
        <v/>
      </c>
      <c r="AA807" s="13">
        <f>IF(ROWS($AA$2:$AA807)&lt;=MAX('Per Line'!$AO$2:$AO$4001),MATCH(ROWS($AA$2:$AA807),'Per Line'!$AO$2:$AO$4001,0),"")</f>
        <v/>
      </c>
      <c r="AB807" s="14">
        <f>IF($AA807="","",L807-K807*Y807/100)</f>
        <v/>
      </c>
    </row>
    <row r="808">
      <c r="A808" s="12" t="n"/>
      <c r="B808">
        <f>IF($AA808="","",INDEX('Per Line'!$E$2:$E$4001,$AA808)&amp;"")</f>
        <v/>
      </c>
      <c r="C808">
        <f>IF($AA808="","",INDEX('Per Line'!$A$2:$A$4001,$AA808)&amp;"")</f>
        <v/>
      </c>
      <c r="D808">
        <f>IF($AA808="","",INDEX('Per Line'!$D$2:$D$4001,$AA808)&amp;"")</f>
        <v/>
      </c>
      <c r="E808" s="11">
        <f>IF($AA808="","",INDEX('Per Line'!$G$2:$G$4001,$AA808))</f>
        <v/>
      </c>
      <c r="F808">
        <f>IF($AA808="","",INDEX('Per Line'!$H$2:$H$4001,$AA808)&amp;"")</f>
        <v/>
      </c>
      <c r="G808">
        <f>IF($AA808="","",INDEX('Per Line'!$I$2:$I$4001,$AA808)&amp;"")</f>
        <v/>
      </c>
      <c r="H808">
        <f>IF($AA808="","",INDEX('Per Line'!$J$2:$J$4001,$AA808)&amp;"")</f>
        <v/>
      </c>
      <c r="I808">
        <f>IF($AA808="","",INDEX('Per Line'!$K$2:$K$4001,$AA808)&amp;"")</f>
        <v/>
      </c>
      <c r="J808">
        <f>IF($AA808="","",INDEX('Per Line'!$L$2:$L$4001,$AA808)&amp;"")</f>
        <v/>
      </c>
      <c r="K808">
        <f>IF($AA808="","",INDEX('Per Line'!$P$2:$P$4001,$AA808))</f>
        <v/>
      </c>
      <c r="L808" s="7">
        <f>IF($AA808="","",IF(AND(ISNUMBER(N808),N808&gt;0,Y808&gt;N808),K808*N808/100+(Y808-N808),K808*Y808/100))</f>
        <v/>
      </c>
      <c r="M808">
        <f>IF($AA808="","",INDEX('Per Line'!$Z$2:$Z$4001,$AA808)&amp;"")</f>
        <v/>
      </c>
      <c r="N808">
        <f>IF($AA808="","",INDEX('Per Line'!$AG$2:$AG$4001,$AA808))</f>
        <v/>
      </c>
      <c r="O808">
        <f>IF($AA808="","",IF(AND(ISNUMBER(N808),N808&gt;0),Y808&gt;N808,FALSE))</f>
        <v/>
      </c>
      <c r="P808" s="7">
        <f>IF($AA808="","",SUMIFS('Per Line'!$Y$2:$Y$4001,'Per Line'!$E$2:$E$4001,$B808,'Per Line'!$AQ$2:$AQ$4001,1))</f>
        <v/>
      </c>
      <c r="Q808">
        <f>IF($AA808="","",Settings!$C$7)</f>
        <v/>
      </c>
      <c r="R808" s="7">
        <f>IF($AA808="","",SUMIFS('Per Line'!$Y$2:$Y$4001,'Per Line'!$E$2:$E$4001,$B808,'Per Line'!$AP$2:$AP$4001,0,'Per Line'!$AQ$2:$AQ$4001,0))</f>
        <v/>
      </c>
      <c r="S808" s="7">
        <f>IF($AA808="","",R808*Q808)</f>
        <v/>
      </c>
      <c r="T808">
        <f>IF($AA808="","",Settings!$C$6)</f>
        <v/>
      </c>
      <c r="U808" s="7">
        <f>IF($AA808="","",SUMIFS('Per Line'!$Y$2:$Y$4001,'Per Line'!$E$2:$E$4001,$B808,'Per Line'!$AP$2:$AP$4001,1,'Per Line'!$AQ$2:$AQ$4001,0))</f>
        <v/>
      </c>
      <c r="V808" s="7">
        <f>IF($AA808="","",U808*T808)</f>
        <v/>
      </c>
      <c r="W808" s="7">
        <f>IF($AA808="","",V808+S808)</f>
        <v/>
      </c>
      <c r="X808" s="7">
        <f>IF($AA808="","",Y808-W808)</f>
        <v/>
      </c>
      <c r="Y808" s="7">
        <f>IF($AA808="","",R808+U808+P808)</f>
        <v/>
      </c>
      <c r="Z808" s="7">
        <f>IF($AA808="","",Y808-W808-L808)</f>
        <v/>
      </c>
      <c r="AA808" s="13">
        <f>IF(ROWS($AA$2:$AA808)&lt;=MAX('Per Line'!$AO$2:$AO$4001),MATCH(ROWS($AA$2:$AA808),'Per Line'!$AO$2:$AO$4001,0),"")</f>
        <v/>
      </c>
      <c r="AB808" s="14">
        <f>IF($AA808="","",L808-K808*Y808/100)</f>
        <v/>
      </c>
    </row>
    <row r="809">
      <c r="A809" s="12" t="n"/>
      <c r="B809">
        <f>IF($AA809="","",INDEX('Per Line'!$E$2:$E$4001,$AA809)&amp;"")</f>
        <v/>
      </c>
      <c r="C809">
        <f>IF($AA809="","",INDEX('Per Line'!$A$2:$A$4001,$AA809)&amp;"")</f>
        <v/>
      </c>
      <c r="D809">
        <f>IF($AA809="","",INDEX('Per Line'!$D$2:$D$4001,$AA809)&amp;"")</f>
        <v/>
      </c>
      <c r="E809" s="11">
        <f>IF($AA809="","",INDEX('Per Line'!$G$2:$G$4001,$AA809))</f>
        <v/>
      </c>
      <c r="F809">
        <f>IF($AA809="","",INDEX('Per Line'!$H$2:$H$4001,$AA809)&amp;"")</f>
        <v/>
      </c>
      <c r="G809">
        <f>IF($AA809="","",INDEX('Per Line'!$I$2:$I$4001,$AA809)&amp;"")</f>
        <v/>
      </c>
      <c r="H809">
        <f>IF($AA809="","",INDEX('Per Line'!$J$2:$J$4001,$AA809)&amp;"")</f>
        <v/>
      </c>
      <c r="I809">
        <f>IF($AA809="","",INDEX('Per Line'!$K$2:$K$4001,$AA809)&amp;"")</f>
        <v/>
      </c>
      <c r="J809">
        <f>IF($AA809="","",INDEX('Per Line'!$L$2:$L$4001,$AA809)&amp;"")</f>
        <v/>
      </c>
      <c r="K809">
        <f>IF($AA809="","",INDEX('Per Line'!$P$2:$P$4001,$AA809))</f>
        <v/>
      </c>
      <c r="L809" s="7">
        <f>IF($AA809="","",IF(AND(ISNUMBER(N809),N809&gt;0,Y809&gt;N809),K809*N809/100+(Y809-N809),K809*Y809/100))</f>
        <v/>
      </c>
      <c r="M809">
        <f>IF($AA809="","",INDEX('Per Line'!$Z$2:$Z$4001,$AA809)&amp;"")</f>
        <v/>
      </c>
      <c r="N809">
        <f>IF($AA809="","",INDEX('Per Line'!$AG$2:$AG$4001,$AA809))</f>
        <v/>
      </c>
      <c r="O809">
        <f>IF($AA809="","",IF(AND(ISNUMBER(N809),N809&gt;0),Y809&gt;N809,FALSE))</f>
        <v/>
      </c>
      <c r="P809" s="7">
        <f>IF($AA809="","",SUMIFS('Per Line'!$Y$2:$Y$4001,'Per Line'!$E$2:$E$4001,$B809,'Per Line'!$AQ$2:$AQ$4001,1))</f>
        <v/>
      </c>
      <c r="Q809">
        <f>IF($AA809="","",Settings!$C$7)</f>
        <v/>
      </c>
      <c r="R809" s="7">
        <f>IF($AA809="","",SUMIFS('Per Line'!$Y$2:$Y$4001,'Per Line'!$E$2:$E$4001,$B809,'Per Line'!$AP$2:$AP$4001,0,'Per Line'!$AQ$2:$AQ$4001,0))</f>
        <v/>
      </c>
      <c r="S809" s="7">
        <f>IF($AA809="","",R809*Q809)</f>
        <v/>
      </c>
      <c r="T809">
        <f>IF($AA809="","",Settings!$C$6)</f>
        <v/>
      </c>
      <c r="U809" s="7">
        <f>IF($AA809="","",SUMIFS('Per Line'!$Y$2:$Y$4001,'Per Line'!$E$2:$E$4001,$B809,'Per Line'!$AP$2:$AP$4001,1,'Per Line'!$AQ$2:$AQ$4001,0))</f>
        <v/>
      </c>
      <c r="V809" s="7">
        <f>IF($AA809="","",U809*T809)</f>
        <v/>
      </c>
      <c r="W809" s="7">
        <f>IF($AA809="","",V809+S809)</f>
        <v/>
      </c>
      <c r="X809" s="7">
        <f>IF($AA809="","",Y809-W809)</f>
        <v/>
      </c>
      <c r="Y809" s="7">
        <f>IF($AA809="","",R809+U809+P809)</f>
        <v/>
      </c>
      <c r="Z809" s="7">
        <f>IF($AA809="","",Y809-W809-L809)</f>
        <v/>
      </c>
      <c r="AA809" s="13">
        <f>IF(ROWS($AA$2:$AA809)&lt;=MAX('Per Line'!$AO$2:$AO$4001),MATCH(ROWS($AA$2:$AA809),'Per Line'!$AO$2:$AO$4001,0),"")</f>
        <v/>
      </c>
      <c r="AB809" s="14">
        <f>IF($AA809="","",L809-K809*Y809/100)</f>
        <v/>
      </c>
    </row>
    <row r="810">
      <c r="A810" s="12" t="n"/>
      <c r="B810">
        <f>IF($AA810="","",INDEX('Per Line'!$E$2:$E$4001,$AA810)&amp;"")</f>
        <v/>
      </c>
      <c r="C810">
        <f>IF($AA810="","",INDEX('Per Line'!$A$2:$A$4001,$AA810)&amp;"")</f>
        <v/>
      </c>
      <c r="D810">
        <f>IF($AA810="","",INDEX('Per Line'!$D$2:$D$4001,$AA810)&amp;"")</f>
        <v/>
      </c>
      <c r="E810" s="11">
        <f>IF($AA810="","",INDEX('Per Line'!$G$2:$G$4001,$AA810))</f>
        <v/>
      </c>
      <c r="F810">
        <f>IF($AA810="","",INDEX('Per Line'!$H$2:$H$4001,$AA810)&amp;"")</f>
        <v/>
      </c>
      <c r="G810">
        <f>IF($AA810="","",INDEX('Per Line'!$I$2:$I$4001,$AA810)&amp;"")</f>
        <v/>
      </c>
      <c r="H810">
        <f>IF($AA810="","",INDEX('Per Line'!$J$2:$J$4001,$AA810)&amp;"")</f>
        <v/>
      </c>
      <c r="I810">
        <f>IF($AA810="","",INDEX('Per Line'!$K$2:$K$4001,$AA810)&amp;"")</f>
        <v/>
      </c>
      <c r="J810">
        <f>IF($AA810="","",INDEX('Per Line'!$L$2:$L$4001,$AA810)&amp;"")</f>
        <v/>
      </c>
      <c r="K810">
        <f>IF($AA810="","",INDEX('Per Line'!$P$2:$P$4001,$AA810))</f>
        <v/>
      </c>
      <c r="L810" s="7">
        <f>IF($AA810="","",IF(AND(ISNUMBER(N810),N810&gt;0,Y810&gt;N810),K810*N810/100+(Y810-N810),K810*Y810/100))</f>
        <v/>
      </c>
      <c r="M810">
        <f>IF($AA810="","",INDEX('Per Line'!$Z$2:$Z$4001,$AA810)&amp;"")</f>
        <v/>
      </c>
      <c r="N810">
        <f>IF($AA810="","",INDEX('Per Line'!$AG$2:$AG$4001,$AA810))</f>
        <v/>
      </c>
      <c r="O810">
        <f>IF($AA810="","",IF(AND(ISNUMBER(N810),N810&gt;0),Y810&gt;N810,FALSE))</f>
        <v/>
      </c>
      <c r="P810" s="7">
        <f>IF($AA810="","",SUMIFS('Per Line'!$Y$2:$Y$4001,'Per Line'!$E$2:$E$4001,$B810,'Per Line'!$AQ$2:$AQ$4001,1))</f>
        <v/>
      </c>
      <c r="Q810">
        <f>IF($AA810="","",Settings!$C$7)</f>
        <v/>
      </c>
      <c r="R810" s="7">
        <f>IF($AA810="","",SUMIFS('Per Line'!$Y$2:$Y$4001,'Per Line'!$E$2:$E$4001,$B810,'Per Line'!$AP$2:$AP$4001,0,'Per Line'!$AQ$2:$AQ$4001,0))</f>
        <v/>
      </c>
      <c r="S810" s="7">
        <f>IF($AA810="","",R810*Q810)</f>
        <v/>
      </c>
      <c r="T810">
        <f>IF($AA810="","",Settings!$C$6)</f>
        <v/>
      </c>
      <c r="U810" s="7">
        <f>IF($AA810="","",SUMIFS('Per Line'!$Y$2:$Y$4001,'Per Line'!$E$2:$E$4001,$B810,'Per Line'!$AP$2:$AP$4001,1,'Per Line'!$AQ$2:$AQ$4001,0))</f>
        <v/>
      </c>
      <c r="V810" s="7">
        <f>IF($AA810="","",U810*T810)</f>
        <v/>
      </c>
      <c r="W810" s="7">
        <f>IF($AA810="","",V810+S810)</f>
        <v/>
      </c>
      <c r="X810" s="7">
        <f>IF($AA810="","",Y810-W810)</f>
        <v/>
      </c>
      <c r="Y810" s="7">
        <f>IF($AA810="","",R810+U810+P810)</f>
        <v/>
      </c>
      <c r="Z810" s="7">
        <f>IF($AA810="","",Y810-W810-L810)</f>
        <v/>
      </c>
      <c r="AA810" s="13">
        <f>IF(ROWS($AA$2:$AA810)&lt;=MAX('Per Line'!$AO$2:$AO$4001),MATCH(ROWS($AA$2:$AA810),'Per Line'!$AO$2:$AO$4001,0),"")</f>
        <v/>
      </c>
      <c r="AB810" s="14">
        <f>IF($AA810="","",L810-K810*Y810/100)</f>
        <v/>
      </c>
    </row>
    <row r="811">
      <c r="A811" s="12" t="n"/>
      <c r="B811">
        <f>IF($AA811="","",INDEX('Per Line'!$E$2:$E$4001,$AA811)&amp;"")</f>
        <v/>
      </c>
      <c r="C811">
        <f>IF($AA811="","",INDEX('Per Line'!$A$2:$A$4001,$AA811)&amp;"")</f>
        <v/>
      </c>
      <c r="D811">
        <f>IF($AA811="","",INDEX('Per Line'!$D$2:$D$4001,$AA811)&amp;"")</f>
        <v/>
      </c>
      <c r="E811" s="11">
        <f>IF($AA811="","",INDEX('Per Line'!$G$2:$G$4001,$AA811))</f>
        <v/>
      </c>
      <c r="F811">
        <f>IF($AA811="","",INDEX('Per Line'!$H$2:$H$4001,$AA811)&amp;"")</f>
        <v/>
      </c>
      <c r="G811">
        <f>IF($AA811="","",INDEX('Per Line'!$I$2:$I$4001,$AA811)&amp;"")</f>
        <v/>
      </c>
      <c r="H811">
        <f>IF($AA811="","",INDEX('Per Line'!$J$2:$J$4001,$AA811)&amp;"")</f>
        <v/>
      </c>
      <c r="I811">
        <f>IF($AA811="","",INDEX('Per Line'!$K$2:$K$4001,$AA811)&amp;"")</f>
        <v/>
      </c>
      <c r="J811">
        <f>IF($AA811="","",INDEX('Per Line'!$L$2:$L$4001,$AA811)&amp;"")</f>
        <v/>
      </c>
      <c r="K811">
        <f>IF($AA811="","",INDEX('Per Line'!$P$2:$P$4001,$AA811))</f>
        <v/>
      </c>
      <c r="L811" s="7">
        <f>IF($AA811="","",IF(AND(ISNUMBER(N811),N811&gt;0,Y811&gt;N811),K811*N811/100+(Y811-N811),K811*Y811/100))</f>
        <v/>
      </c>
      <c r="M811">
        <f>IF($AA811="","",INDEX('Per Line'!$Z$2:$Z$4001,$AA811)&amp;"")</f>
        <v/>
      </c>
      <c r="N811">
        <f>IF($AA811="","",INDEX('Per Line'!$AG$2:$AG$4001,$AA811))</f>
        <v/>
      </c>
      <c r="O811">
        <f>IF($AA811="","",IF(AND(ISNUMBER(N811),N811&gt;0),Y811&gt;N811,FALSE))</f>
        <v/>
      </c>
      <c r="P811" s="7">
        <f>IF($AA811="","",SUMIFS('Per Line'!$Y$2:$Y$4001,'Per Line'!$E$2:$E$4001,$B811,'Per Line'!$AQ$2:$AQ$4001,1))</f>
        <v/>
      </c>
      <c r="Q811">
        <f>IF($AA811="","",Settings!$C$7)</f>
        <v/>
      </c>
      <c r="R811" s="7">
        <f>IF($AA811="","",SUMIFS('Per Line'!$Y$2:$Y$4001,'Per Line'!$E$2:$E$4001,$B811,'Per Line'!$AP$2:$AP$4001,0,'Per Line'!$AQ$2:$AQ$4001,0))</f>
        <v/>
      </c>
      <c r="S811" s="7">
        <f>IF($AA811="","",R811*Q811)</f>
        <v/>
      </c>
      <c r="T811">
        <f>IF($AA811="","",Settings!$C$6)</f>
        <v/>
      </c>
      <c r="U811" s="7">
        <f>IF($AA811="","",SUMIFS('Per Line'!$Y$2:$Y$4001,'Per Line'!$E$2:$E$4001,$B811,'Per Line'!$AP$2:$AP$4001,1,'Per Line'!$AQ$2:$AQ$4001,0))</f>
        <v/>
      </c>
      <c r="V811" s="7">
        <f>IF($AA811="","",U811*T811)</f>
        <v/>
      </c>
      <c r="W811" s="7">
        <f>IF($AA811="","",V811+S811)</f>
        <v/>
      </c>
      <c r="X811" s="7">
        <f>IF($AA811="","",Y811-W811)</f>
        <v/>
      </c>
      <c r="Y811" s="7">
        <f>IF($AA811="","",R811+U811+P811)</f>
        <v/>
      </c>
      <c r="Z811" s="7">
        <f>IF($AA811="","",Y811-W811-L811)</f>
        <v/>
      </c>
      <c r="AA811" s="13">
        <f>IF(ROWS($AA$2:$AA811)&lt;=MAX('Per Line'!$AO$2:$AO$4001),MATCH(ROWS($AA$2:$AA811),'Per Line'!$AO$2:$AO$4001,0),"")</f>
        <v/>
      </c>
      <c r="AB811" s="14">
        <f>IF($AA811="","",L811-K811*Y811/100)</f>
        <v/>
      </c>
    </row>
    <row r="812">
      <c r="A812" s="12" t="n"/>
      <c r="B812">
        <f>IF($AA812="","",INDEX('Per Line'!$E$2:$E$4001,$AA812)&amp;"")</f>
        <v/>
      </c>
      <c r="C812">
        <f>IF($AA812="","",INDEX('Per Line'!$A$2:$A$4001,$AA812)&amp;"")</f>
        <v/>
      </c>
      <c r="D812">
        <f>IF($AA812="","",INDEX('Per Line'!$D$2:$D$4001,$AA812)&amp;"")</f>
        <v/>
      </c>
      <c r="E812" s="11">
        <f>IF($AA812="","",INDEX('Per Line'!$G$2:$G$4001,$AA812))</f>
        <v/>
      </c>
      <c r="F812">
        <f>IF($AA812="","",INDEX('Per Line'!$H$2:$H$4001,$AA812)&amp;"")</f>
        <v/>
      </c>
      <c r="G812">
        <f>IF($AA812="","",INDEX('Per Line'!$I$2:$I$4001,$AA812)&amp;"")</f>
        <v/>
      </c>
      <c r="H812">
        <f>IF($AA812="","",INDEX('Per Line'!$J$2:$J$4001,$AA812)&amp;"")</f>
        <v/>
      </c>
      <c r="I812">
        <f>IF($AA812="","",INDEX('Per Line'!$K$2:$K$4001,$AA812)&amp;"")</f>
        <v/>
      </c>
      <c r="J812">
        <f>IF($AA812="","",INDEX('Per Line'!$L$2:$L$4001,$AA812)&amp;"")</f>
        <v/>
      </c>
      <c r="K812">
        <f>IF($AA812="","",INDEX('Per Line'!$P$2:$P$4001,$AA812))</f>
        <v/>
      </c>
      <c r="L812" s="7">
        <f>IF($AA812="","",IF(AND(ISNUMBER(N812),N812&gt;0,Y812&gt;N812),K812*N812/100+(Y812-N812),K812*Y812/100))</f>
        <v/>
      </c>
      <c r="M812">
        <f>IF($AA812="","",INDEX('Per Line'!$Z$2:$Z$4001,$AA812)&amp;"")</f>
        <v/>
      </c>
      <c r="N812">
        <f>IF($AA812="","",INDEX('Per Line'!$AG$2:$AG$4001,$AA812))</f>
        <v/>
      </c>
      <c r="O812">
        <f>IF($AA812="","",IF(AND(ISNUMBER(N812),N812&gt;0),Y812&gt;N812,FALSE))</f>
        <v/>
      </c>
      <c r="P812" s="7">
        <f>IF($AA812="","",SUMIFS('Per Line'!$Y$2:$Y$4001,'Per Line'!$E$2:$E$4001,$B812,'Per Line'!$AQ$2:$AQ$4001,1))</f>
        <v/>
      </c>
      <c r="Q812">
        <f>IF($AA812="","",Settings!$C$7)</f>
        <v/>
      </c>
      <c r="R812" s="7">
        <f>IF($AA812="","",SUMIFS('Per Line'!$Y$2:$Y$4001,'Per Line'!$E$2:$E$4001,$B812,'Per Line'!$AP$2:$AP$4001,0,'Per Line'!$AQ$2:$AQ$4001,0))</f>
        <v/>
      </c>
      <c r="S812" s="7">
        <f>IF($AA812="","",R812*Q812)</f>
        <v/>
      </c>
      <c r="T812">
        <f>IF($AA812="","",Settings!$C$6)</f>
        <v/>
      </c>
      <c r="U812" s="7">
        <f>IF($AA812="","",SUMIFS('Per Line'!$Y$2:$Y$4001,'Per Line'!$E$2:$E$4001,$B812,'Per Line'!$AP$2:$AP$4001,1,'Per Line'!$AQ$2:$AQ$4001,0))</f>
        <v/>
      </c>
      <c r="V812" s="7">
        <f>IF($AA812="","",U812*T812)</f>
        <v/>
      </c>
      <c r="W812" s="7">
        <f>IF($AA812="","",V812+S812)</f>
        <v/>
      </c>
      <c r="X812" s="7">
        <f>IF($AA812="","",Y812-W812)</f>
        <v/>
      </c>
      <c r="Y812" s="7">
        <f>IF($AA812="","",R812+U812+P812)</f>
        <v/>
      </c>
      <c r="Z812" s="7">
        <f>IF($AA812="","",Y812-W812-L812)</f>
        <v/>
      </c>
      <c r="AA812" s="13">
        <f>IF(ROWS($AA$2:$AA812)&lt;=MAX('Per Line'!$AO$2:$AO$4001),MATCH(ROWS($AA$2:$AA812),'Per Line'!$AO$2:$AO$4001,0),"")</f>
        <v/>
      </c>
      <c r="AB812" s="14">
        <f>IF($AA812="","",L812-K812*Y812/100)</f>
        <v/>
      </c>
    </row>
    <row r="813">
      <c r="A813" s="12" t="n"/>
      <c r="B813">
        <f>IF($AA813="","",INDEX('Per Line'!$E$2:$E$4001,$AA813)&amp;"")</f>
        <v/>
      </c>
      <c r="C813">
        <f>IF($AA813="","",INDEX('Per Line'!$A$2:$A$4001,$AA813)&amp;"")</f>
        <v/>
      </c>
      <c r="D813">
        <f>IF($AA813="","",INDEX('Per Line'!$D$2:$D$4001,$AA813)&amp;"")</f>
        <v/>
      </c>
      <c r="E813" s="11">
        <f>IF($AA813="","",INDEX('Per Line'!$G$2:$G$4001,$AA813))</f>
        <v/>
      </c>
      <c r="F813">
        <f>IF($AA813="","",INDEX('Per Line'!$H$2:$H$4001,$AA813)&amp;"")</f>
        <v/>
      </c>
      <c r="G813">
        <f>IF($AA813="","",INDEX('Per Line'!$I$2:$I$4001,$AA813)&amp;"")</f>
        <v/>
      </c>
      <c r="H813">
        <f>IF($AA813="","",INDEX('Per Line'!$J$2:$J$4001,$AA813)&amp;"")</f>
        <v/>
      </c>
      <c r="I813">
        <f>IF($AA813="","",INDEX('Per Line'!$K$2:$K$4001,$AA813)&amp;"")</f>
        <v/>
      </c>
      <c r="J813">
        <f>IF($AA813="","",INDEX('Per Line'!$L$2:$L$4001,$AA813)&amp;"")</f>
        <v/>
      </c>
      <c r="K813">
        <f>IF($AA813="","",INDEX('Per Line'!$P$2:$P$4001,$AA813))</f>
        <v/>
      </c>
      <c r="L813" s="7">
        <f>IF($AA813="","",IF(AND(ISNUMBER(N813),N813&gt;0,Y813&gt;N813),K813*N813/100+(Y813-N813),K813*Y813/100))</f>
        <v/>
      </c>
      <c r="M813">
        <f>IF($AA813="","",INDEX('Per Line'!$Z$2:$Z$4001,$AA813)&amp;"")</f>
        <v/>
      </c>
      <c r="N813">
        <f>IF($AA813="","",INDEX('Per Line'!$AG$2:$AG$4001,$AA813))</f>
        <v/>
      </c>
      <c r="O813">
        <f>IF($AA813="","",IF(AND(ISNUMBER(N813),N813&gt;0),Y813&gt;N813,FALSE))</f>
        <v/>
      </c>
      <c r="P813" s="7">
        <f>IF($AA813="","",SUMIFS('Per Line'!$Y$2:$Y$4001,'Per Line'!$E$2:$E$4001,$B813,'Per Line'!$AQ$2:$AQ$4001,1))</f>
        <v/>
      </c>
      <c r="Q813">
        <f>IF($AA813="","",Settings!$C$7)</f>
        <v/>
      </c>
      <c r="R813" s="7">
        <f>IF($AA813="","",SUMIFS('Per Line'!$Y$2:$Y$4001,'Per Line'!$E$2:$E$4001,$B813,'Per Line'!$AP$2:$AP$4001,0,'Per Line'!$AQ$2:$AQ$4001,0))</f>
        <v/>
      </c>
      <c r="S813" s="7">
        <f>IF($AA813="","",R813*Q813)</f>
        <v/>
      </c>
      <c r="T813">
        <f>IF($AA813="","",Settings!$C$6)</f>
        <v/>
      </c>
      <c r="U813" s="7">
        <f>IF($AA813="","",SUMIFS('Per Line'!$Y$2:$Y$4001,'Per Line'!$E$2:$E$4001,$B813,'Per Line'!$AP$2:$AP$4001,1,'Per Line'!$AQ$2:$AQ$4001,0))</f>
        <v/>
      </c>
      <c r="V813" s="7">
        <f>IF($AA813="","",U813*T813)</f>
        <v/>
      </c>
      <c r="W813" s="7">
        <f>IF($AA813="","",V813+S813)</f>
        <v/>
      </c>
      <c r="X813" s="7">
        <f>IF($AA813="","",Y813-W813)</f>
        <v/>
      </c>
      <c r="Y813" s="7">
        <f>IF($AA813="","",R813+U813+P813)</f>
        <v/>
      </c>
      <c r="Z813" s="7">
        <f>IF($AA813="","",Y813-W813-L813)</f>
        <v/>
      </c>
      <c r="AA813" s="13">
        <f>IF(ROWS($AA$2:$AA813)&lt;=MAX('Per Line'!$AO$2:$AO$4001),MATCH(ROWS($AA$2:$AA813),'Per Line'!$AO$2:$AO$4001,0),"")</f>
        <v/>
      </c>
      <c r="AB813" s="14">
        <f>IF($AA813="","",L813-K813*Y813/100)</f>
        <v/>
      </c>
    </row>
    <row r="814">
      <c r="A814" s="12" t="n"/>
      <c r="B814">
        <f>IF($AA814="","",INDEX('Per Line'!$E$2:$E$4001,$AA814)&amp;"")</f>
        <v/>
      </c>
      <c r="C814">
        <f>IF($AA814="","",INDEX('Per Line'!$A$2:$A$4001,$AA814)&amp;"")</f>
        <v/>
      </c>
      <c r="D814">
        <f>IF($AA814="","",INDEX('Per Line'!$D$2:$D$4001,$AA814)&amp;"")</f>
        <v/>
      </c>
      <c r="E814" s="11">
        <f>IF($AA814="","",INDEX('Per Line'!$G$2:$G$4001,$AA814))</f>
        <v/>
      </c>
      <c r="F814">
        <f>IF($AA814="","",INDEX('Per Line'!$H$2:$H$4001,$AA814)&amp;"")</f>
        <v/>
      </c>
      <c r="G814">
        <f>IF($AA814="","",INDEX('Per Line'!$I$2:$I$4001,$AA814)&amp;"")</f>
        <v/>
      </c>
      <c r="H814">
        <f>IF($AA814="","",INDEX('Per Line'!$J$2:$J$4001,$AA814)&amp;"")</f>
        <v/>
      </c>
      <c r="I814">
        <f>IF($AA814="","",INDEX('Per Line'!$K$2:$K$4001,$AA814)&amp;"")</f>
        <v/>
      </c>
      <c r="J814">
        <f>IF($AA814="","",INDEX('Per Line'!$L$2:$L$4001,$AA814)&amp;"")</f>
        <v/>
      </c>
      <c r="K814">
        <f>IF($AA814="","",INDEX('Per Line'!$P$2:$P$4001,$AA814))</f>
        <v/>
      </c>
      <c r="L814" s="7">
        <f>IF($AA814="","",IF(AND(ISNUMBER(N814),N814&gt;0,Y814&gt;N814),K814*N814/100+(Y814-N814),K814*Y814/100))</f>
        <v/>
      </c>
      <c r="M814">
        <f>IF($AA814="","",INDEX('Per Line'!$Z$2:$Z$4001,$AA814)&amp;"")</f>
        <v/>
      </c>
      <c r="N814">
        <f>IF($AA814="","",INDEX('Per Line'!$AG$2:$AG$4001,$AA814))</f>
        <v/>
      </c>
      <c r="O814">
        <f>IF($AA814="","",IF(AND(ISNUMBER(N814),N814&gt;0),Y814&gt;N814,FALSE))</f>
        <v/>
      </c>
      <c r="P814" s="7">
        <f>IF($AA814="","",SUMIFS('Per Line'!$Y$2:$Y$4001,'Per Line'!$E$2:$E$4001,$B814,'Per Line'!$AQ$2:$AQ$4001,1))</f>
        <v/>
      </c>
      <c r="Q814">
        <f>IF($AA814="","",Settings!$C$7)</f>
        <v/>
      </c>
      <c r="R814" s="7">
        <f>IF($AA814="","",SUMIFS('Per Line'!$Y$2:$Y$4001,'Per Line'!$E$2:$E$4001,$B814,'Per Line'!$AP$2:$AP$4001,0,'Per Line'!$AQ$2:$AQ$4001,0))</f>
        <v/>
      </c>
      <c r="S814" s="7">
        <f>IF($AA814="","",R814*Q814)</f>
        <v/>
      </c>
      <c r="T814">
        <f>IF($AA814="","",Settings!$C$6)</f>
        <v/>
      </c>
      <c r="U814" s="7">
        <f>IF($AA814="","",SUMIFS('Per Line'!$Y$2:$Y$4001,'Per Line'!$E$2:$E$4001,$B814,'Per Line'!$AP$2:$AP$4001,1,'Per Line'!$AQ$2:$AQ$4001,0))</f>
        <v/>
      </c>
      <c r="V814" s="7">
        <f>IF($AA814="","",U814*T814)</f>
        <v/>
      </c>
      <c r="W814" s="7">
        <f>IF($AA814="","",V814+S814)</f>
        <v/>
      </c>
      <c r="X814" s="7">
        <f>IF($AA814="","",Y814-W814)</f>
        <v/>
      </c>
      <c r="Y814" s="7">
        <f>IF($AA814="","",R814+U814+P814)</f>
        <v/>
      </c>
      <c r="Z814" s="7">
        <f>IF($AA814="","",Y814-W814-L814)</f>
        <v/>
      </c>
      <c r="AA814" s="13">
        <f>IF(ROWS($AA$2:$AA814)&lt;=MAX('Per Line'!$AO$2:$AO$4001),MATCH(ROWS($AA$2:$AA814),'Per Line'!$AO$2:$AO$4001,0),"")</f>
        <v/>
      </c>
      <c r="AB814" s="14">
        <f>IF($AA814="","",L814-K814*Y814/100)</f>
        <v/>
      </c>
    </row>
    <row r="815">
      <c r="A815" s="12" t="n"/>
      <c r="B815">
        <f>IF($AA815="","",INDEX('Per Line'!$E$2:$E$4001,$AA815)&amp;"")</f>
        <v/>
      </c>
      <c r="C815">
        <f>IF($AA815="","",INDEX('Per Line'!$A$2:$A$4001,$AA815)&amp;"")</f>
        <v/>
      </c>
      <c r="D815">
        <f>IF($AA815="","",INDEX('Per Line'!$D$2:$D$4001,$AA815)&amp;"")</f>
        <v/>
      </c>
      <c r="E815" s="11">
        <f>IF($AA815="","",INDEX('Per Line'!$G$2:$G$4001,$AA815))</f>
        <v/>
      </c>
      <c r="F815">
        <f>IF($AA815="","",INDEX('Per Line'!$H$2:$H$4001,$AA815)&amp;"")</f>
        <v/>
      </c>
      <c r="G815">
        <f>IF($AA815="","",INDEX('Per Line'!$I$2:$I$4001,$AA815)&amp;"")</f>
        <v/>
      </c>
      <c r="H815">
        <f>IF($AA815="","",INDEX('Per Line'!$J$2:$J$4001,$AA815)&amp;"")</f>
        <v/>
      </c>
      <c r="I815">
        <f>IF($AA815="","",INDEX('Per Line'!$K$2:$K$4001,$AA815)&amp;"")</f>
        <v/>
      </c>
      <c r="J815">
        <f>IF($AA815="","",INDEX('Per Line'!$L$2:$L$4001,$AA815)&amp;"")</f>
        <v/>
      </c>
      <c r="K815">
        <f>IF($AA815="","",INDEX('Per Line'!$P$2:$P$4001,$AA815))</f>
        <v/>
      </c>
      <c r="L815" s="7">
        <f>IF($AA815="","",IF(AND(ISNUMBER(N815),N815&gt;0,Y815&gt;N815),K815*N815/100+(Y815-N815),K815*Y815/100))</f>
        <v/>
      </c>
      <c r="M815">
        <f>IF($AA815="","",INDEX('Per Line'!$Z$2:$Z$4001,$AA815)&amp;"")</f>
        <v/>
      </c>
      <c r="N815">
        <f>IF($AA815="","",INDEX('Per Line'!$AG$2:$AG$4001,$AA815))</f>
        <v/>
      </c>
      <c r="O815">
        <f>IF($AA815="","",IF(AND(ISNUMBER(N815),N815&gt;0),Y815&gt;N815,FALSE))</f>
        <v/>
      </c>
      <c r="P815" s="7">
        <f>IF($AA815="","",SUMIFS('Per Line'!$Y$2:$Y$4001,'Per Line'!$E$2:$E$4001,$B815,'Per Line'!$AQ$2:$AQ$4001,1))</f>
        <v/>
      </c>
      <c r="Q815">
        <f>IF($AA815="","",Settings!$C$7)</f>
        <v/>
      </c>
      <c r="R815" s="7">
        <f>IF($AA815="","",SUMIFS('Per Line'!$Y$2:$Y$4001,'Per Line'!$E$2:$E$4001,$B815,'Per Line'!$AP$2:$AP$4001,0,'Per Line'!$AQ$2:$AQ$4001,0))</f>
        <v/>
      </c>
      <c r="S815" s="7">
        <f>IF($AA815="","",R815*Q815)</f>
        <v/>
      </c>
      <c r="T815">
        <f>IF($AA815="","",Settings!$C$6)</f>
        <v/>
      </c>
      <c r="U815" s="7">
        <f>IF($AA815="","",SUMIFS('Per Line'!$Y$2:$Y$4001,'Per Line'!$E$2:$E$4001,$B815,'Per Line'!$AP$2:$AP$4001,1,'Per Line'!$AQ$2:$AQ$4001,0))</f>
        <v/>
      </c>
      <c r="V815" s="7">
        <f>IF($AA815="","",U815*T815)</f>
        <v/>
      </c>
      <c r="W815" s="7">
        <f>IF($AA815="","",V815+S815)</f>
        <v/>
      </c>
      <c r="X815" s="7">
        <f>IF($AA815="","",Y815-W815)</f>
        <v/>
      </c>
      <c r="Y815" s="7">
        <f>IF($AA815="","",R815+U815+P815)</f>
        <v/>
      </c>
      <c r="Z815" s="7">
        <f>IF($AA815="","",Y815-W815-L815)</f>
        <v/>
      </c>
      <c r="AA815" s="13">
        <f>IF(ROWS($AA$2:$AA815)&lt;=MAX('Per Line'!$AO$2:$AO$4001),MATCH(ROWS($AA$2:$AA815),'Per Line'!$AO$2:$AO$4001,0),"")</f>
        <v/>
      </c>
      <c r="AB815" s="14">
        <f>IF($AA815="","",L815-K815*Y815/100)</f>
        <v/>
      </c>
    </row>
    <row r="816">
      <c r="A816" s="12" t="n"/>
      <c r="B816">
        <f>IF($AA816="","",INDEX('Per Line'!$E$2:$E$4001,$AA816)&amp;"")</f>
        <v/>
      </c>
      <c r="C816">
        <f>IF($AA816="","",INDEX('Per Line'!$A$2:$A$4001,$AA816)&amp;"")</f>
        <v/>
      </c>
      <c r="D816">
        <f>IF($AA816="","",INDEX('Per Line'!$D$2:$D$4001,$AA816)&amp;"")</f>
        <v/>
      </c>
      <c r="E816" s="11">
        <f>IF($AA816="","",INDEX('Per Line'!$G$2:$G$4001,$AA816))</f>
        <v/>
      </c>
      <c r="F816">
        <f>IF($AA816="","",INDEX('Per Line'!$H$2:$H$4001,$AA816)&amp;"")</f>
        <v/>
      </c>
      <c r="G816">
        <f>IF($AA816="","",INDEX('Per Line'!$I$2:$I$4001,$AA816)&amp;"")</f>
        <v/>
      </c>
      <c r="H816">
        <f>IF($AA816="","",INDEX('Per Line'!$J$2:$J$4001,$AA816)&amp;"")</f>
        <v/>
      </c>
      <c r="I816">
        <f>IF($AA816="","",INDEX('Per Line'!$K$2:$K$4001,$AA816)&amp;"")</f>
        <v/>
      </c>
      <c r="J816">
        <f>IF($AA816="","",INDEX('Per Line'!$L$2:$L$4001,$AA816)&amp;"")</f>
        <v/>
      </c>
      <c r="K816">
        <f>IF($AA816="","",INDEX('Per Line'!$P$2:$P$4001,$AA816))</f>
        <v/>
      </c>
      <c r="L816" s="7">
        <f>IF($AA816="","",IF(AND(ISNUMBER(N816),N816&gt;0,Y816&gt;N816),K816*N816/100+(Y816-N816),K816*Y816/100))</f>
        <v/>
      </c>
      <c r="M816">
        <f>IF($AA816="","",INDEX('Per Line'!$Z$2:$Z$4001,$AA816)&amp;"")</f>
        <v/>
      </c>
      <c r="N816">
        <f>IF($AA816="","",INDEX('Per Line'!$AG$2:$AG$4001,$AA816))</f>
        <v/>
      </c>
      <c r="O816">
        <f>IF($AA816="","",IF(AND(ISNUMBER(N816),N816&gt;0),Y816&gt;N816,FALSE))</f>
        <v/>
      </c>
      <c r="P816" s="7">
        <f>IF($AA816="","",SUMIFS('Per Line'!$Y$2:$Y$4001,'Per Line'!$E$2:$E$4001,$B816,'Per Line'!$AQ$2:$AQ$4001,1))</f>
        <v/>
      </c>
      <c r="Q816">
        <f>IF($AA816="","",Settings!$C$7)</f>
        <v/>
      </c>
      <c r="R816" s="7">
        <f>IF($AA816="","",SUMIFS('Per Line'!$Y$2:$Y$4001,'Per Line'!$E$2:$E$4001,$B816,'Per Line'!$AP$2:$AP$4001,0,'Per Line'!$AQ$2:$AQ$4001,0))</f>
        <v/>
      </c>
      <c r="S816" s="7">
        <f>IF($AA816="","",R816*Q816)</f>
        <v/>
      </c>
      <c r="T816">
        <f>IF($AA816="","",Settings!$C$6)</f>
        <v/>
      </c>
      <c r="U816" s="7">
        <f>IF($AA816="","",SUMIFS('Per Line'!$Y$2:$Y$4001,'Per Line'!$E$2:$E$4001,$B816,'Per Line'!$AP$2:$AP$4001,1,'Per Line'!$AQ$2:$AQ$4001,0))</f>
        <v/>
      </c>
      <c r="V816" s="7">
        <f>IF($AA816="","",U816*T816)</f>
        <v/>
      </c>
      <c r="W816" s="7">
        <f>IF($AA816="","",V816+S816)</f>
        <v/>
      </c>
      <c r="X816" s="7">
        <f>IF($AA816="","",Y816-W816)</f>
        <v/>
      </c>
      <c r="Y816" s="7">
        <f>IF($AA816="","",R816+U816+P816)</f>
        <v/>
      </c>
      <c r="Z816" s="7">
        <f>IF($AA816="","",Y816-W816-L816)</f>
        <v/>
      </c>
      <c r="AA816" s="13">
        <f>IF(ROWS($AA$2:$AA816)&lt;=MAX('Per Line'!$AO$2:$AO$4001),MATCH(ROWS($AA$2:$AA816),'Per Line'!$AO$2:$AO$4001,0),"")</f>
        <v/>
      </c>
      <c r="AB816" s="14">
        <f>IF($AA816="","",L816-K816*Y816/100)</f>
        <v/>
      </c>
    </row>
    <row r="817">
      <c r="A817" s="12" t="n"/>
      <c r="B817">
        <f>IF($AA817="","",INDEX('Per Line'!$E$2:$E$4001,$AA817)&amp;"")</f>
        <v/>
      </c>
      <c r="C817">
        <f>IF($AA817="","",INDEX('Per Line'!$A$2:$A$4001,$AA817)&amp;"")</f>
        <v/>
      </c>
      <c r="D817">
        <f>IF($AA817="","",INDEX('Per Line'!$D$2:$D$4001,$AA817)&amp;"")</f>
        <v/>
      </c>
      <c r="E817" s="11">
        <f>IF($AA817="","",INDEX('Per Line'!$G$2:$G$4001,$AA817))</f>
        <v/>
      </c>
      <c r="F817">
        <f>IF($AA817="","",INDEX('Per Line'!$H$2:$H$4001,$AA817)&amp;"")</f>
        <v/>
      </c>
      <c r="G817">
        <f>IF($AA817="","",INDEX('Per Line'!$I$2:$I$4001,$AA817)&amp;"")</f>
        <v/>
      </c>
      <c r="H817">
        <f>IF($AA817="","",INDEX('Per Line'!$J$2:$J$4001,$AA817)&amp;"")</f>
        <v/>
      </c>
      <c r="I817">
        <f>IF($AA817="","",INDEX('Per Line'!$K$2:$K$4001,$AA817)&amp;"")</f>
        <v/>
      </c>
      <c r="J817">
        <f>IF($AA817="","",INDEX('Per Line'!$L$2:$L$4001,$AA817)&amp;"")</f>
        <v/>
      </c>
      <c r="K817">
        <f>IF($AA817="","",INDEX('Per Line'!$P$2:$P$4001,$AA817))</f>
        <v/>
      </c>
      <c r="L817" s="7">
        <f>IF($AA817="","",IF(AND(ISNUMBER(N817),N817&gt;0,Y817&gt;N817),K817*N817/100+(Y817-N817),K817*Y817/100))</f>
        <v/>
      </c>
      <c r="M817">
        <f>IF($AA817="","",INDEX('Per Line'!$Z$2:$Z$4001,$AA817)&amp;"")</f>
        <v/>
      </c>
      <c r="N817">
        <f>IF($AA817="","",INDEX('Per Line'!$AG$2:$AG$4001,$AA817))</f>
        <v/>
      </c>
      <c r="O817">
        <f>IF($AA817="","",IF(AND(ISNUMBER(N817),N817&gt;0),Y817&gt;N817,FALSE))</f>
        <v/>
      </c>
      <c r="P817" s="7">
        <f>IF($AA817="","",SUMIFS('Per Line'!$Y$2:$Y$4001,'Per Line'!$E$2:$E$4001,$B817,'Per Line'!$AQ$2:$AQ$4001,1))</f>
        <v/>
      </c>
      <c r="Q817">
        <f>IF($AA817="","",Settings!$C$7)</f>
        <v/>
      </c>
      <c r="R817" s="7">
        <f>IF($AA817="","",SUMIFS('Per Line'!$Y$2:$Y$4001,'Per Line'!$E$2:$E$4001,$B817,'Per Line'!$AP$2:$AP$4001,0,'Per Line'!$AQ$2:$AQ$4001,0))</f>
        <v/>
      </c>
      <c r="S817" s="7">
        <f>IF($AA817="","",R817*Q817)</f>
        <v/>
      </c>
      <c r="T817">
        <f>IF($AA817="","",Settings!$C$6)</f>
        <v/>
      </c>
      <c r="U817" s="7">
        <f>IF($AA817="","",SUMIFS('Per Line'!$Y$2:$Y$4001,'Per Line'!$E$2:$E$4001,$B817,'Per Line'!$AP$2:$AP$4001,1,'Per Line'!$AQ$2:$AQ$4001,0))</f>
        <v/>
      </c>
      <c r="V817" s="7">
        <f>IF($AA817="","",U817*T817)</f>
        <v/>
      </c>
      <c r="W817" s="7">
        <f>IF($AA817="","",V817+S817)</f>
        <v/>
      </c>
      <c r="X817" s="7">
        <f>IF($AA817="","",Y817-W817)</f>
        <v/>
      </c>
      <c r="Y817" s="7">
        <f>IF($AA817="","",R817+U817+P817)</f>
        <v/>
      </c>
      <c r="Z817" s="7">
        <f>IF($AA817="","",Y817-W817-L817)</f>
        <v/>
      </c>
      <c r="AA817" s="13">
        <f>IF(ROWS($AA$2:$AA817)&lt;=MAX('Per Line'!$AO$2:$AO$4001),MATCH(ROWS($AA$2:$AA817),'Per Line'!$AO$2:$AO$4001,0),"")</f>
        <v/>
      </c>
      <c r="AB817" s="14">
        <f>IF($AA817="","",L817-K817*Y817/100)</f>
        <v/>
      </c>
    </row>
    <row r="818">
      <c r="A818" s="12" t="n"/>
      <c r="B818">
        <f>IF($AA818="","",INDEX('Per Line'!$E$2:$E$4001,$AA818)&amp;"")</f>
        <v/>
      </c>
      <c r="C818">
        <f>IF($AA818="","",INDEX('Per Line'!$A$2:$A$4001,$AA818)&amp;"")</f>
        <v/>
      </c>
      <c r="D818">
        <f>IF($AA818="","",INDEX('Per Line'!$D$2:$D$4001,$AA818)&amp;"")</f>
        <v/>
      </c>
      <c r="E818" s="11">
        <f>IF($AA818="","",INDEX('Per Line'!$G$2:$G$4001,$AA818))</f>
        <v/>
      </c>
      <c r="F818">
        <f>IF($AA818="","",INDEX('Per Line'!$H$2:$H$4001,$AA818)&amp;"")</f>
        <v/>
      </c>
      <c r="G818">
        <f>IF($AA818="","",INDEX('Per Line'!$I$2:$I$4001,$AA818)&amp;"")</f>
        <v/>
      </c>
      <c r="H818">
        <f>IF($AA818="","",INDEX('Per Line'!$J$2:$J$4001,$AA818)&amp;"")</f>
        <v/>
      </c>
      <c r="I818">
        <f>IF($AA818="","",INDEX('Per Line'!$K$2:$K$4001,$AA818)&amp;"")</f>
        <v/>
      </c>
      <c r="J818">
        <f>IF($AA818="","",INDEX('Per Line'!$L$2:$L$4001,$AA818)&amp;"")</f>
        <v/>
      </c>
      <c r="K818">
        <f>IF($AA818="","",INDEX('Per Line'!$P$2:$P$4001,$AA818))</f>
        <v/>
      </c>
      <c r="L818" s="7">
        <f>IF($AA818="","",IF(AND(ISNUMBER(N818),N818&gt;0,Y818&gt;N818),K818*N818/100+(Y818-N818),K818*Y818/100))</f>
        <v/>
      </c>
      <c r="M818">
        <f>IF($AA818="","",INDEX('Per Line'!$Z$2:$Z$4001,$AA818)&amp;"")</f>
        <v/>
      </c>
      <c r="N818">
        <f>IF($AA818="","",INDEX('Per Line'!$AG$2:$AG$4001,$AA818))</f>
        <v/>
      </c>
      <c r="O818">
        <f>IF($AA818="","",IF(AND(ISNUMBER(N818),N818&gt;0),Y818&gt;N818,FALSE))</f>
        <v/>
      </c>
      <c r="P818" s="7">
        <f>IF($AA818="","",SUMIFS('Per Line'!$Y$2:$Y$4001,'Per Line'!$E$2:$E$4001,$B818,'Per Line'!$AQ$2:$AQ$4001,1))</f>
        <v/>
      </c>
      <c r="Q818">
        <f>IF($AA818="","",Settings!$C$7)</f>
        <v/>
      </c>
      <c r="R818" s="7">
        <f>IF($AA818="","",SUMIFS('Per Line'!$Y$2:$Y$4001,'Per Line'!$E$2:$E$4001,$B818,'Per Line'!$AP$2:$AP$4001,0,'Per Line'!$AQ$2:$AQ$4001,0))</f>
        <v/>
      </c>
      <c r="S818" s="7">
        <f>IF($AA818="","",R818*Q818)</f>
        <v/>
      </c>
      <c r="T818">
        <f>IF($AA818="","",Settings!$C$6)</f>
        <v/>
      </c>
      <c r="U818" s="7">
        <f>IF($AA818="","",SUMIFS('Per Line'!$Y$2:$Y$4001,'Per Line'!$E$2:$E$4001,$B818,'Per Line'!$AP$2:$AP$4001,1,'Per Line'!$AQ$2:$AQ$4001,0))</f>
        <v/>
      </c>
      <c r="V818" s="7">
        <f>IF($AA818="","",U818*T818)</f>
        <v/>
      </c>
      <c r="W818" s="7">
        <f>IF($AA818="","",V818+S818)</f>
        <v/>
      </c>
      <c r="X818" s="7">
        <f>IF($AA818="","",Y818-W818)</f>
        <v/>
      </c>
      <c r="Y818" s="7">
        <f>IF($AA818="","",R818+U818+P818)</f>
        <v/>
      </c>
      <c r="Z818" s="7">
        <f>IF($AA818="","",Y818-W818-L818)</f>
        <v/>
      </c>
      <c r="AA818" s="13">
        <f>IF(ROWS($AA$2:$AA818)&lt;=MAX('Per Line'!$AO$2:$AO$4001),MATCH(ROWS($AA$2:$AA818),'Per Line'!$AO$2:$AO$4001,0),"")</f>
        <v/>
      </c>
      <c r="AB818" s="14">
        <f>IF($AA818="","",L818-K818*Y818/100)</f>
        <v/>
      </c>
    </row>
    <row r="819">
      <c r="A819" s="12" t="n"/>
      <c r="B819">
        <f>IF($AA819="","",INDEX('Per Line'!$E$2:$E$4001,$AA819)&amp;"")</f>
        <v/>
      </c>
      <c r="C819">
        <f>IF($AA819="","",INDEX('Per Line'!$A$2:$A$4001,$AA819)&amp;"")</f>
        <v/>
      </c>
      <c r="D819">
        <f>IF($AA819="","",INDEX('Per Line'!$D$2:$D$4001,$AA819)&amp;"")</f>
        <v/>
      </c>
      <c r="E819" s="11">
        <f>IF($AA819="","",INDEX('Per Line'!$G$2:$G$4001,$AA819))</f>
        <v/>
      </c>
      <c r="F819">
        <f>IF($AA819="","",INDEX('Per Line'!$H$2:$H$4001,$AA819)&amp;"")</f>
        <v/>
      </c>
      <c r="G819">
        <f>IF($AA819="","",INDEX('Per Line'!$I$2:$I$4001,$AA819)&amp;"")</f>
        <v/>
      </c>
      <c r="H819">
        <f>IF($AA819="","",INDEX('Per Line'!$J$2:$J$4001,$AA819)&amp;"")</f>
        <v/>
      </c>
      <c r="I819">
        <f>IF($AA819="","",INDEX('Per Line'!$K$2:$K$4001,$AA819)&amp;"")</f>
        <v/>
      </c>
      <c r="J819">
        <f>IF($AA819="","",INDEX('Per Line'!$L$2:$L$4001,$AA819)&amp;"")</f>
        <v/>
      </c>
      <c r="K819">
        <f>IF($AA819="","",INDEX('Per Line'!$P$2:$P$4001,$AA819))</f>
        <v/>
      </c>
      <c r="L819" s="7">
        <f>IF($AA819="","",IF(AND(ISNUMBER(N819),N819&gt;0,Y819&gt;N819),K819*N819/100+(Y819-N819),K819*Y819/100))</f>
        <v/>
      </c>
      <c r="M819">
        <f>IF($AA819="","",INDEX('Per Line'!$Z$2:$Z$4001,$AA819)&amp;"")</f>
        <v/>
      </c>
      <c r="N819">
        <f>IF($AA819="","",INDEX('Per Line'!$AG$2:$AG$4001,$AA819))</f>
        <v/>
      </c>
      <c r="O819">
        <f>IF($AA819="","",IF(AND(ISNUMBER(N819),N819&gt;0),Y819&gt;N819,FALSE))</f>
        <v/>
      </c>
      <c r="P819" s="7">
        <f>IF($AA819="","",SUMIFS('Per Line'!$Y$2:$Y$4001,'Per Line'!$E$2:$E$4001,$B819,'Per Line'!$AQ$2:$AQ$4001,1))</f>
        <v/>
      </c>
      <c r="Q819">
        <f>IF($AA819="","",Settings!$C$7)</f>
        <v/>
      </c>
      <c r="R819" s="7">
        <f>IF($AA819="","",SUMIFS('Per Line'!$Y$2:$Y$4001,'Per Line'!$E$2:$E$4001,$B819,'Per Line'!$AP$2:$AP$4001,0,'Per Line'!$AQ$2:$AQ$4001,0))</f>
        <v/>
      </c>
      <c r="S819" s="7">
        <f>IF($AA819="","",R819*Q819)</f>
        <v/>
      </c>
      <c r="T819">
        <f>IF($AA819="","",Settings!$C$6)</f>
        <v/>
      </c>
      <c r="U819" s="7">
        <f>IF($AA819="","",SUMIFS('Per Line'!$Y$2:$Y$4001,'Per Line'!$E$2:$E$4001,$B819,'Per Line'!$AP$2:$AP$4001,1,'Per Line'!$AQ$2:$AQ$4001,0))</f>
        <v/>
      </c>
      <c r="V819" s="7">
        <f>IF($AA819="","",U819*T819)</f>
        <v/>
      </c>
      <c r="W819" s="7">
        <f>IF($AA819="","",V819+S819)</f>
        <v/>
      </c>
      <c r="X819" s="7">
        <f>IF($AA819="","",Y819-W819)</f>
        <v/>
      </c>
      <c r="Y819" s="7">
        <f>IF($AA819="","",R819+U819+P819)</f>
        <v/>
      </c>
      <c r="Z819" s="7">
        <f>IF($AA819="","",Y819-W819-L819)</f>
        <v/>
      </c>
      <c r="AA819" s="13">
        <f>IF(ROWS($AA$2:$AA819)&lt;=MAX('Per Line'!$AO$2:$AO$4001),MATCH(ROWS($AA$2:$AA819),'Per Line'!$AO$2:$AO$4001,0),"")</f>
        <v/>
      </c>
      <c r="AB819" s="14">
        <f>IF($AA819="","",L819-K819*Y819/100)</f>
        <v/>
      </c>
    </row>
    <row r="820">
      <c r="A820" s="12" t="n"/>
      <c r="B820">
        <f>IF($AA820="","",INDEX('Per Line'!$E$2:$E$4001,$AA820)&amp;"")</f>
        <v/>
      </c>
      <c r="C820">
        <f>IF($AA820="","",INDEX('Per Line'!$A$2:$A$4001,$AA820)&amp;"")</f>
        <v/>
      </c>
      <c r="D820">
        <f>IF($AA820="","",INDEX('Per Line'!$D$2:$D$4001,$AA820)&amp;"")</f>
        <v/>
      </c>
      <c r="E820" s="11">
        <f>IF($AA820="","",INDEX('Per Line'!$G$2:$G$4001,$AA820))</f>
        <v/>
      </c>
      <c r="F820">
        <f>IF($AA820="","",INDEX('Per Line'!$H$2:$H$4001,$AA820)&amp;"")</f>
        <v/>
      </c>
      <c r="G820">
        <f>IF($AA820="","",INDEX('Per Line'!$I$2:$I$4001,$AA820)&amp;"")</f>
        <v/>
      </c>
      <c r="H820">
        <f>IF($AA820="","",INDEX('Per Line'!$J$2:$J$4001,$AA820)&amp;"")</f>
        <v/>
      </c>
      <c r="I820">
        <f>IF($AA820="","",INDEX('Per Line'!$K$2:$K$4001,$AA820)&amp;"")</f>
        <v/>
      </c>
      <c r="J820">
        <f>IF($AA820="","",INDEX('Per Line'!$L$2:$L$4001,$AA820)&amp;"")</f>
        <v/>
      </c>
      <c r="K820">
        <f>IF($AA820="","",INDEX('Per Line'!$P$2:$P$4001,$AA820))</f>
        <v/>
      </c>
      <c r="L820" s="7">
        <f>IF($AA820="","",IF(AND(ISNUMBER(N820),N820&gt;0,Y820&gt;N820),K820*N820/100+(Y820-N820),K820*Y820/100))</f>
        <v/>
      </c>
      <c r="M820">
        <f>IF($AA820="","",INDEX('Per Line'!$Z$2:$Z$4001,$AA820)&amp;"")</f>
        <v/>
      </c>
      <c r="N820">
        <f>IF($AA820="","",INDEX('Per Line'!$AG$2:$AG$4001,$AA820))</f>
        <v/>
      </c>
      <c r="O820">
        <f>IF($AA820="","",IF(AND(ISNUMBER(N820),N820&gt;0),Y820&gt;N820,FALSE))</f>
        <v/>
      </c>
      <c r="P820" s="7">
        <f>IF($AA820="","",SUMIFS('Per Line'!$Y$2:$Y$4001,'Per Line'!$E$2:$E$4001,$B820,'Per Line'!$AQ$2:$AQ$4001,1))</f>
        <v/>
      </c>
      <c r="Q820">
        <f>IF($AA820="","",Settings!$C$7)</f>
        <v/>
      </c>
      <c r="R820" s="7">
        <f>IF($AA820="","",SUMIFS('Per Line'!$Y$2:$Y$4001,'Per Line'!$E$2:$E$4001,$B820,'Per Line'!$AP$2:$AP$4001,0,'Per Line'!$AQ$2:$AQ$4001,0))</f>
        <v/>
      </c>
      <c r="S820" s="7">
        <f>IF($AA820="","",R820*Q820)</f>
        <v/>
      </c>
      <c r="T820">
        <f>IF($AA820="","",Settings!$C$6)</f>
        <v/>
      </c>
      <c r="U820" s="7">
        <f>IF($AA820="","",SUMIFS('Per Line'!$Y$2:$Y$4001,'Per Line'!$E$2:$E$4001,$B820,'Per Line'!$AP$2:$AP$4001,1,'Per Line'!$AQ$2:$AQ$4001,0))</f>
        <v/>
      </c>
      <c r="V820" s="7">
        <f>IF($AA820="","",U820*T820)</f>
        <v/>
      </c>
      <c r="W820" s="7">
        <f>IF($AA820="","",V820+S820)</f>
        <v/>
      </c>
      <c r="X820" s="7">
        <f>IF($AA820="","",Y820-W820)</f>
        <v/>
      </c>
      <c r="Y820" s="7">
        <f>IF($AA820="","",R820+U820+P820)</f>
        <v/>
      </c>
      <c r="Z820" s="7">
        <f>IF($AA820="","",Y820-W820-L820)</f>
        <v/>
      </c>
      <c r="AA820" s="13">
        <f>IF(ROWS($AA$2:$AA820)&lt;=MAX('Per Line'!$AO$2:$AO$4001),MATCH(ROWS($AA$2:$AA820),'Per Line'!$AO$2:$AO$4001,0),"")</f>
        <v/>
      </c>
      <c r="AB820" s="14">
        <f>IF($AA820="","",L820-K820*Y820/100)</f>
        <v/>
      </c>
    </row>
    <row r="821">
      <c r="A821" s="12" t="n"/>
      <c r="B821">
        <f>IF($AA821="","",INDEX('Per Line'!$E$2:$E$4001,$AA821)&amp;"")</f>
        <v/>
      </c>
      <c r="C821">
        <f>IF($AA821="","",INDEX('Per Line'!$A$2:$A$4001,$AA821)&amp;"")</f>
        <v/>
      </c>
      <c r="D821">
        <f>IF($AA821="","",INDEX('Per Line'!$D$2:$D$4001,$AA821)&amp;"")</f>
        <v/>
      </c>
      <c r="E821" s="11">
        <f>IF($AA821="","",INDEX('Per Line'!$G$2:$G$4001,$AA821))</f>
        <v/>
      </c>
      <c r="F821">
        <f>IF($AA821="","",INDEX('Per Line'!$H$2:$H$4001,$AA821)&amp;"")</f>
        <v/>
      </c>
      <c r="G821">
        <f>IF($AA821="","",INDEX('Per Line'!$I$2:$I$4001,$AA821)&amp;"")</f>
        <v/>
      </c>
      <c r="H821">
        <f>IF($AA821="","",INDEX('Per Line'!$J$2:$J$4001,$AA821)&amp;"")</f>
        <v/>
      </c>
      <c r="I821">
        <f>IF($AA821="","",INDEX('Per Line'!$K$2:$K$4001,$AA821)&amp;"")</f>
        <v/>
      </c>
      <c r="J821">
        <f>IF($AA821="","",INDEX('Per Line'!$L$2:$L$4001,$AA821)&amp;"")</f>
        <v/>
      </c>
      <c r="K821">
        <f>IF($AA821="","",INDEX('Per Line'!$P$2:$P$4001,$AA821))</f>
        <v/>
      </c>
      <c r="L821" s="7">
        <f>IF($AA821="","",IF(AND(ISNUMBER(N821),N821&gt;0,Y821&gt;N821),K821*N821/100+(Y821-N821),K821*Y821/100))</f>
        <v/>
      </c>
      <c r="M821">
        <f>IF($AA821="","",INDEX('Per Line'!$Z$2:$Z$4001,$AA821)&amp;"")</f>
        <v/>
      </c>
      <c r="N821">
        <f>IF($AA821="","",INDEX('Per Line'!$AG$2:$AG$4001,$AA821))</f>
        <v/>
      </c>
      <c r="O821">
        <f>IF($AA821="","",IF(AND(ISNUMBER(N821),N821&gt;0),Y821&gt;N821,FALSE))</f>
        <v/>
      </c>
      <c r="P821" s="7">
        <f>IF($AA821="","",SUMIFS('Per Line'!$Y$2:$Y$4001,'Per Line'!$E$2:$E$4001,$B821,'Per Line'!$AQ$2:$AQ$4001,1))</f>
        <v/>
      </c>
      <c r="Q821">
        <f>IF($AA821="","",Settings!$C$7)</f>
        <v/>
      </c>
      <c r="R821" s="7">
        <f>IF($AA821="","",SUMIFS('Per Line'!$Y$2:$Y$4001,'Per Line'!$E$2:$E$4001,$B821,'Per Line'!$AP$2:$AP$4001,0,'Per Line'!$AQ$2:$AQ$4001,0))</f>
        <v/>
      </c>
      <c r="S821" s="7">
        <f>IF($AA821="","",R821*Q821)</f>
        <v/>
      </c>
      <c r="T821">
        <f>IF($AA821="","",Settings!$C$6)</f>
        <v/>
      </c>
      <c r="U821" s="7">
        <f>IF($AA821="","",SUMIFS('Per Line'!$Y$2:$Y$4001,'Per Line'!$E$2:$E$4001,$B821,'Per Line'!$AP$2:$AP$4001,1,'Per Line'!$AQ$2:$AQ$4001,0))</f>
        <v/>
      </c>
      <c r="V821" s="7">
        <f>IF($AA821="","",U821*T821)</f>
        <v/>
      </c>
      <c r="W821" s="7">
        <f>IF($AA821="","",V821+S821)</f>
        <v/>
      </c>
      <c r="X821" s="7">
        <f>IF($AA821="","",Y821-W821)</f>
        <v/>
      </c>
      <c r="Y821" s="7">
        <f>IF($AA821="","",R821+U821+P821)</f>
        <v/>
      </c>
      <c r="Z821" s="7">
        <f>IF($AA821="","",Y821-W821-L821)</f>
        <v/>
      </c>
      <c r="AA821" s="13">
        <f>IF(ROWS($AA$2:$AA821)&lt;=MAX('Per Line'!$AO$2:$AO$4001),MATCH(ROWS($AA$2:$AA821),'Per Line'!$AO$2:$AO$4001,0),"")</f>
        <v/>
      </c>
      <c r="AB821" s="14">
        <f>IF($AA821="","",L821-K821*Y821/100)</f>
        <v/>
      </c>
    </row>
    <row r="822">
      <c r="A822" s="12" t="n"/>
      <c r="B822">
        <f>IF($AA822="","",INDEX('Per Line'!$E$2:$E$4001,$AA822)&amp;"")</f>
        <v/>
      </c>
      <c r="C822">
        <f>IF($AA822="","",INDEX('Per Line'!$A$2:$A$4001,$AA822)&amp;"")</f>
        <v/>
      </c>
      <c r="D822">
        <f>IF($AA822="","",INDEX('Per Line'!$D$2:$D$4001,$AA822)&amp;"")</f>
        <v/>
      </c>
      <c r="E822" s="11">
        <f>IF($AA822="","",INDEX('Per Line'!$G$2:$G$4001,$AA822))</f>
        <v/>
      </c>
      <c r="F822">
        <f>IF($AA822="","",INDEX('Per Line'!$H$2:$H$4001,$AA822)&amp;"")</f>
        <v/>
      </c>
      <c r="G822">
        <f>IF($AA822="","",INDEX('Per Line'!$I$2:$I$4001,$AA822)&amp;"")</f>
        <v/>
      </c>
      <c r="H822">
        <f>IF($AA822="","",INDEX('Per Line'!$J$2:$J$4001,$AA822)&amp;"")</f>
        <v/>
      </c>
      <c r="I822">
        <f>IF($AA822="","",INDEX('Per Line'!$K$2:$K$4001,$AA822)&amp;"")</f>
        <v/>
      </c>
      <c r="J822">
        <f>IF($AA822="","",INDEX('Per Line'!$L$2:$L$4001,$AA822)&amp;"")</f>
        <v/>
      </c>
      <c r="K822">
        <f>IF($AA822="","",INDEX('Per Line'!$P$2:$P$4001,$AA822))</f>
        <v/>
      </c>
      <c r="L822" s="7">
        <f>IF($AA822="","",IF(AND(ISNUMBER(N822),N822&gt;0,Y822&gt;N822),K822*N822/100+(Y822-N822),K822*Y822/100))</f>
        <v/>
      </c>
      <c r="M822">
        <f>IF($AA822="","",INDEX('Per Line'!$Z$2:$Z$4001,$AA822)&amp;"")</f>
        <v/>
      </c>
      <c r="N822">
        <f>IF($AA822="","",INDEX('Per Line'!$AG$2:$AG$4001,$AA822))</f>
        <v/>
      </c>
      <c r="O822">
        <f>IF($AA822="","",IF(AND(ISNUMBER(N822),N822&gt;0),Y822&gt;N822,FALSE))</f>
        <v/>
      </c>
      <c r="P822" s="7">
        <f>IF($AA822="","",SUMIFS('Per Line'!$Y$2:$Y$4001,'Per Line'!$E$2:$E$4001,$B822,'Per Line'!$AQ$2:$AQ$4001,1))</f>
        <v/>
      </c>
      <c r="Q822">
        <f>IF($AA822="","",Settings!$C$7)</f>
        <v/>
      </c>
      <c r="R822" s="7">
        <f>IF($AA822="","",SUMIFS('Per Line'!$Y$2:$Y$4001,'Per Line'!$E$2:$E$4001,$B822,'Per Line'!$AP$2:$AP$4001,0,'Per Line'!$AQ$2:$AQ$4001,0))</f>
        <v/>
      </c>
      <c r="S822" s="7">
        <f>IF($AA822="","",R822*Q822)</f>
        <v/>
      </c>
      <c r="T822">
        <f>IF($AA822="","",Settings!$C$6)</f>
        <v/>
      </c>
      <c r="U822" s="7">
        <f>IF($AA822="","",SUMIFS('Per Line'!$Y$2:$Y$4001,'Per Line'!$E$2:$E$4001,$B822,'Per Line'!$AP$2:$AP$4001,1,'Per Line'!$AQ$2:$AQ$4001,0))</f>
        <v/>
      </c>
      <c r="V822" s="7">
        <f>IF($AA822="","",U822*T822)</f>
        <v/>
      </c>
      <c r="W822" s="7">
        <f>IF($AA822="","",V822+S822)</f>
        <v/>
      </c>
      <c r="X822" s="7">
        <f>IF($AA822="","",Y822-W822)</f>
        <v/>
      </c>
      <c r="Y822" s="7">
        <f>IF($AA822="","",R822+U822+P822)</f>
        <v/>
      </c>
      <c r="Z822" s="7">
        <f>IF($AA822="","",Y822-W822-L822)</f>
        <v/>
      </c>
      <c r="AA822" s="13">
        <f>IF(ROWS($AA$2:$AA822)&lt;=MAX('Per Line'!$AO$2:$AO$4001),MATCH(ROWS($AA$2:$AA822),'Per Line'!$AO$2:$AO$4001,0),"")</f>
        <v/>
      </c>
      <c r="AB822" s="14">
        <f>IF($AA822="","",L822-K822*Y822/100)</f>
        <v/>
      </c>
    </row>
    <row r="823">
      <c r="A823" s="12" t="n"/>
      <c r="B823">
        <f>IF($AA823="","",INDEX('Per Line'!$E$2:$E$4001,$AA823)&amp;"")</f>
        <v/>
      </c>
      <c r="C823">
        <f>IF($AA823="","",INDEX('Per Line'!$A$2:$A$4001,$AA823)&amp;"")</f>
        <v/>
      </c>
      <c r="D823">
        <f>IF($AA823="","",INDEX('Per Line'!$D$2:$D$4001,$AA823)&amp;"")</f>
        <v/>
      </c>
      <c r="E823" s="11">
        <f>IF($AA823="","",INDEX('Per Line'!$G$2:$G$4001,$AA823))</f>
        <v/>
      </c>
      <c r="F823">
        <f>IF($AA823="","",INDEX('Per Line'!$H$2:$H$4001,$AA823)&amp;"")</f>
        <v/>
      </c>
      <c r="G823">
        <f>IF($AA823="","",INDEX('Per Line'!$I$2:$I$4001,$AA823)&amp;"")</f>
        <v/>
      </c>
      <c r="H823">
        <f>IF($AA823="","",INDEX('Per Line'!$J$2:$J$4001,$AA823)&amp;"")</f>
        <v/>
      </c>
      <c r="I823">
        <f>IF($AA823="","",INDEX('Per Line'!$K$2:$K$4001,$AA823)&amp;"")</f>
        <v/>
      </c>
      <c r="J823">
        <f>IF($AA823="","",INDEX('Per Line'!$L$2:$L$4001,$AA823)&amp;"")</f>
        <v/>
      </c>
      <c r="K823">
        <f>IF($AA823="","",INDEX('Per Line'!$P$2:$P$4001,$AA823))</f>
        <v/>
      </c>
      <c r="L823" s="7">
        <f>IF($AA823="","",IF(AND(ISNUMBER(N823),N823&gt;0,Y823&gt;N823),K823*N823/100+(Y823-N823),K823*Y823/100))</f>
        <v/>
      </c>
      <c r="M823">
        <f>IF($AA823="","",INDEX('Per Line'!$Z$2:$Z$4001,$AA823)&amp;"")</f>
        <v/>
      </c>
      <c r="N823">
        <f>IF($AA823="","",INDEX('Per Line'!$AG$2:$AG$4001,$AA823))</f>
        <v/>
      </c>
      <c r="O823">
        <f>IF($AA823="","",IF(AND(ISNUMBER(N823),N823&gt;0),Y823&gt;N823,FALSE))</f>
        <v/>
      </c>
      <c r="P823" s="7">
        <f>IF($AA823="","",SUMIFS('Per Line'!$Y$2:$Y$4001,'Per Line'!$E$2:$E$4001,$B823,'Per Line'!$AQ$2:$AQ$4001,1))</f>
        <v/>
      </c>
      <c r="Q823">
        <f>IF($AA823="","",Settings!$C$7)</f>
        <v/>
      </c>
      <c r="R823" s="7">
        <f>IF($AA823="","",SUMIFS('Per Line'!$Y$2:$Y$4001,'Per Line'!$E$2:$E$4001,$B823,'Per Line'!$AP$2:$AP$4001,0,'Per Line'!$AQ$2:$AQ$4001,0))</f>
        <v/>
      </c>
      <c r="S823" s="7">
        <f>IF($AA823="","",R823*Q823)</f>
        <v/>
      </c>
      <c r="T823">
        <f>IF($AA823="","",Settings!$C$6)</f>
        <v/>
      </c>
      <c r="U823" s="7">
        <f>IF($AA823="","",SUMIFS('Per Line'!$Y$2:$Y$4001,'Per Line'!$E$2:$E$4001,$B823,'Per Line'!$AP$2:$AP$4001,1,'Per Line'!$AQ$2:$AQ$4001,0))</f>
        <v/>
      </c>
      <c r="V823" s="7">
        <f>IF($AA823="","",U823*T823)</f>
        <v/>
      </c>
      <c r="W823" s="7">
        <f>IF($AA823="","",V823+S823)</f>
        <v/>
      </c>
      <c r="X823" s="7">
        <f>IF($AA823="","",Y823-W823)</f>
        <v/>
      </c>
      <c r="Y823" s="7">
        <f>IF($AA823="","",R823+U823+P823)</f>
        <v/>
      </c>
      <c r="Z823" s="7">
        <f>IF($AA823="","",Y823-W823-L823)</f>
        <v/>
      </c>
      <c r="AA823" s="13">
        <f>IF(ROWS($AA$2:$AA823)&lt;=MAX('Per Line'!$AO$2:$AO$4001),MATCH(ROWS($AA$2:$AA823),'Per Line'!$AO$2:$AO$4001,0),"")</f>
        <v/>
      </c>
      <c r="AB823" s="14">
        <f>IF($AA823="","",L823-K823*Y823/100)</f>
        <v/>
      </c>
    </row>
    <row r="824">
      <c r="A824" s="12" t="n"/>
      <c r="B824">
        <f>IF($AA824="","",INDEX('Per Line'!$E$2:$E$4001,$AA824)&amp;"")</f>
        <v/>
      </c>
      <c r="C824">
        <f>IF($AA824="","",INDEX('Per Line'!$A$2:$A$4001,$AA824)&amp;"")</f>
        <v/>
      </c>
      <c r="D824">
        <f>IF($AA824="","",INDEX('Per Line'!$D$2:$D$4001,$AA824)&amp;"")</f>
        <v/>
      </c>
      <c r="E824" s="11">
        <f>IF($AA824="","",INDEX('Per Line'!$G$2:$G$4001,$AA824))</f>
        <v/>
      </c>
      <c r="F824">
        <f>IF($AA824="","",INDEX('Per Line'!$H$2:$H$4001,$AA824)&amp;"")</f>
        <v/>
      </c>
      <c r="G824">
        <f>IF($AA824="","",INDEX('Per Line'!$I$2:$I$4001,$AA824)&amp;"")</f>
        <v/>
      </c>
      <c r="H824">
        <f>IF($AA824="","",INDEX('Per Line'!$J$2:$J$4001,$AA824)&amp;"")</f>
        <v/>
      </c>
      <c r="I824">
        <f>IF($AA824="","",INDEX('Per Line'!$K$2:$K$4001,$AA824)&amp;"")</f>
        <v/>
      </c>
      <c r="J824">
        <f>IF($AA824="","",INDEX('Per Line'!$L$2:$L$4001,$AA824)&amp;"")</f>
        <v/>
      </c>
      <c r="K824">
        <f>IF($AA824="","",INDEX('Per Line'!$P$2:$P$4001,$AA824))</f>
        <v/>
      </c>
      <c r="L824" s="7">
        <f>IF($AA824="","",IF(AND(ISNUMBER(N824),N824&gt;0,Y824&gt;N824),K824*N824/100+(Y824-N824),K824*Y824/100))</f>
        <v/>
      </c>
      <c r="M824">
        <f>IF($AA824="","",INDEX('Per Line'!$Z$2:$Z$4001,$AA824)&amp;"")</f>
        <v/>
      </c>
      <c r="N824">
        <f>IF($AA824="","",INDEX('Per Line'!$AG$2:$AG$4001,$AA824))</f>
        <v/>
      </c>
      <c r="O824">
        <f>IF($AA824="","",IF(AND(ISNUMBER(N824),N824&gt;0),Y824&gt;N824,FALSE))</f>
        <v/>
      </c>
      <c r="P824" s="7">
        <f>IF($AA824="","",SUMIFS('Per Line'!$Y$2:$Y$4001,'Per Line'!$E$2:$E$4001,$B824,'Per Line'!$AQ$2:$AQ$4001,1))</f>
        <v/>
      </c>
      <c r="Q824">
        <f>IF($AA824="","",Settings!$C$7)</f>
        <v/>
      </c>
      <c r="R824" s="7">
        <f>IF($AA824="","",SUMIFS('Per Line'!$Y$2:$Y$4001,'Per Line'!$E$2:$E$4001,$B824,'Per Line'!$AP$2:$AP$4001,0,'Per Line'!$AQ$2:$AQ$4001,0))</f>
        <v/>
      </c>
      <c r="S824" s="7">
        <f>IF($AA824="","",R824*Q824)</f>
        <v/>
      </c>
      <c r="T824">
        <f>IF($AA824="","",Settings!$C$6)</f>
        <v/>
      </c>
      <c r="U824" s="7">
        <f>IF($AA824="","",SUMIFS('Per Line'!$Y$2:$Y$4001,'Per Line'!$E$2:$E$4001,$B824,'Per Line'!$AP$2:$AP$4001,1,'Per Line'!$AQ$2:$AQ$4001,0))</f>
        <v/>
      </c>
      <c r="V824" s="7">
        <f>IF($AA824="","",U824*T824)</f>
        <v/>
      </c>
      <c r="W824" s="7">
        <f>IF($AA824="","",V824+S824)</f>
        <v/>
      </c>
      <c r="X824" s="7">
        <f>IF($AA824="","",Y824-W824)</f>
        <v/>
      </c>
      <c r="Y824" s="7">
        <f>IF($AA824="","",R824+U824+P824)</f>
        <v/>
      </c>
      <c r="Z824" s="7">
        <f>IF($AA824="","",Y824-W824-L824)</f>
        <v/>
      </c>
      <c r="AA824" s="13">
        <f>IF(ROWS($AA$2:$AA824)&lt;=MAX('Per Line'!$AO$2:$AO$4001),MATCH(ROWS($AA$2:$AA824),'Per Line'!$AO$2:$AO$4001,0),"")</f>
        <v/>
      </c>
      <c r="AB824" s="14">
        <f>IF($AA824="","",L824-K824*Y824/100)</f>
        <v/>
      </c>
    </row>
    <row r="825">
      <c r="A825" s="12" t="n"/>
      <c r="B825">
        <f>IF($AA825="","",INDEX('Per Line'!$E$2:$E$4001,$AA825)&amp;"")</f>
        <v/>
      </c>
      <c r="C825">
        <f>IF($AA825="","",INDEX('Per Line'!$A$2:$A$4001,$AA825)&amp;"")</f>
        <v/>
      </c>
      <c r="D825">
        <f>IF($AA825="","",INDEX('Per Line'!$D$2:$D$4001,$AA825)&amp;"")</f>
        <v/>
      </c>
      <c r="E825" s="11">
        <f>IF($AA825="","",INDEX('Per Line'!$G$2:$G$4001,$AA825))</f>
        <v/>
      </c>
      <c r="F825">
        <f>IF($AA825="","",INDEX('Per Line'!$H$2:$H$4001,$AA825)&amp;"")</f>
        <v/>
      </c>
      <c r="G825">
        <f>IF($AA825="","",INDEX('Per Line'!$I$2:$I$4001,$AA825)&amp;"")</f>
        <v/>
      </c>
      <c r="H825">
        <f>IF($AA825="","",INDEX('Per Line'!$J$2:$J$4001,$AA825)&amp;"")</f>
        <v/>
      </c>
      <c r="I825">
        <f>IF($AA825="","",INDEX('Per Line'!$K$2:$K$4001,$AA825)&amp;"")</f>
        <v/>
      </c>
      <c r="J825">
        <f>IF($AA825="","",INDEX('Per Line'!$L$2:$L$4001,$AA825)&amp;"")</f>
        <v/>
      </c>
      <c r="K825">
        <f>IF($AA825="","",INDEX('Per Line'!$P$2:$P$4001,$AA825))</f>
        <v/>
      </c>
      <c r="L825" s="7">
        <f>IF($AA825="","",IF(AND(ISNUMBER(N825),N825&gt;0,Y825&gt;N825),K825*N825/100+(Y825-N825),K825*Y825/100))</f>
        <v/>
      </c>
      <c r="M825">
        <f>IF($AA825="","",INDEX('Per Line'!$Z$2:$Z$4001,$AA825)&amp;"")</f>
        <v/>
      </c>
      <c r="N825">
        <f>IF($AA825="","",INDEX('Per Line'!$AG$2:$AG$4001,$AA825))</f>
        <v/>
      </c>
      <c r="O825">
        <f>IF($AA825="","",IF(AND(ISNUMBER(N825),N825&gt;0),Y825&gt;N825,FALSE))</f>
        <v/>
      </c>
      <c r="P825" s="7">
        <f>IF($AA825="","",SUMIFS('Per Line'!$Y$2:$Y$4001,'Per Line'!$E$2:$E$4001,$B825,'Per Line'!$AQ$2:$AQ$4001,1))</f>
        <v/>
      </c>
      <c r="Q825">
        <f>IF($AA825="","",Settings!$C$7)</f>
        <v/>
      </c>
      <c r="R825" s="7">
        <f>IF($AA825="","",SUMIFS('Per Line'!$Y$2:$Y$4001,'Per Line'!$E$2:$E$4001,$B825,'Per Line'!$AP$2:$AP$4001,0,'Per Line'!$AQ$2:$AQ$4001,0))</f>
        <v/>
      </c>
      <c r="S825" s="7">
        <f>IF($AA825="","",R825*Q825)</f>
        <v/>
      </c>
      <c r="T825">
        <f>IF($AA825="","",Settings!$C$6)</f>
        <v/>
      </c>
      <c r="U825" s="7">
        <f>IF($AA825="","",SUMIFS('Per Line'!$Y$2:$Y$4001,'Per Line'!$E$2:$E$4001,$B825,'Per Line'!$AP$2:$AP$4001,1,'Per Line'!$AQ$2:$AQ$4001,0))</f>
        <v/>
      </c>
      <c r="V825" s="7">
        <f>IF($AA825="","",U825*T825)</f>
        <v/>
      </c>
      <c r="W825" s="7">
        <f>IF($AA825="","",V825+S825)</f>
        <v/>
      </c>
      <c r="X825" s="7">
        <f>IF($AA825="","",Y825-W825)</f>
        <v/>
      </c>
      <c r="Y825" s="7">
        <f>IF($AA825="","",R825+U825+P825)</f>
        <v/>
      </c>
      <c r="Z825" s="7">
        <f>IF($AA825="","",Y825-W825-L825)</f>
        <v/>
      </c>
      <c r="AA825" s="13">
        <f>IF(ROWS($AA$2:$AA825)&lt;=MAX('Per Line'!$AO$2:$AO$4001),MATCH(ROWS($AA$2:$AA825),'Per Line'!$AO$2:$AO$4001,0),"")</f>
        <v/>
      </c>
      <c r="AB825" s="14">
        <f>IF($AA825="","",L825-K825*Y825/100)</f>
        <v/>
      </c>
    </row>
    <row r="826">
      <c r="A826" s="12" t="n"/>
      <c r="B826">
        <f>IF($AA826="","",INDEX('Per Line'!$E$2:$E$4001,$AA826)&amp;"")</f>
        <v/>
      </c>
      <c r="C826">
        <f>IF($AA826="","",INDEX('Per Line'!$A$2:$A$4001,$AA826)&amp;"")</f>
        <v/>
      </c>
      <c r="D826">
        <f>IF($AA826="","",INDEX('Per Line'!$D$2:$D$4001,$AA826)&amp;"")</f>
        <v/>
      </c>
      <c r="E826" s="11">
        <f>IF($AA826="","",INDEX('Per Line'!$G$2:$G$4001,$AA826))</f>
        <v/>
      </c>
      <c r="F826">
        <f>IF($AA826="","",INDEX('Per Line'!$H$2:$H$4001,$AA826)&amp;"")</f>
        <v/>
      </c>
      <c r="G826">
        <f>IF($AA826="","",INDEX('Per Line'!$I$2:$I$4001,$AA826)&amp;"")</f>
        <v/>
      </c>
      <c r="H826">
        <f>IF($AA826="","",INDEX('Per Line'!$J$2:$J$4001,$AA826)&amp;"")</f>
        <v/>
      </c>
      <c r="I826">
        <f>IF($AA826="","",INDEX('Per Line'!$K$2:$K$4001,$AA826)&amp;"")</f>
        <v/>
      </c>
      <c r="J826">
        <f>IF($AA826="","",INDEX('Per Line'!$L$2:$L$4001,$AA826)&amp;"")</f>
        <v/>
      </c>
      <c r="K826">
        <f>IF($AA826="","",INDEX('Per Line'!$P$2:$P$4001,$AA826))</f>
        <v/>
      </c>
      <c r="L826" s="7">
        <f>IF($AA826="","",IF(AND(ISNUMBER(N826),N826&gt;0,Y826&gt;N826),K826*N826/100+(Y826-N826),K826*Y826/100))</f>
        <v/>
      </c>
      <c r="M826">
        <f>IF($AA826="","",INDEX('Per Line'!$Z$2:$Z$4001,$AA826)&amp;"")</f>
        <v/>
      </c>
      <c r="N826">
        <f>IF($AA826="","",INDEX('Per Line'!$AG$2:$AG$4001,$AA826))</f>
        <v/>
      </c>
      <c r="O826">
        <f>IF($AA826="","",IF(AND(ISNUMBER(N826),N826&gt;0),Y826&gt;N826,FALSE))</f>
        <v/>
      </c>
      <c r="P826" s="7">
        <f>IF($AA826="","",SUMIFS('Per Line'!$Y$2:$Y$4001,'Per Line'!$E$2:$E$4001,$B826,'Per Line'!$AQ$2:$AQ$4001,1))</f>
        <v/>
      </c>
      <c r="Q826">
        <f>IF($AA826="","",Settings!$C$7)</f>
        <v/>
      </c>
      <c r="R826" s="7">
        <f>IF($AA826="","",SUMIFS('Per Line'!$Y$2:$Y$4001,'Per Line'!$E$2:$E$4001,$B826,'Per Line'!$AP$2:$AP$4001,0,'Per Line'!$AQ$2:$AQ$4001,0))</f>
        <v/>
      </c>
      <c r="S826" s="7">
        <f>IF($AA826="","",R826*Q826)</f>
        <v/>
      </c>
      <c r="T826">
        <f>IF($AA826="","",Settings!$C$6)</f>
        <v/>
      </c>
      <c r="U826" s="7">
        <f>IF($AA826="","",SUMIFS('Per Line'!$Y$2:$Y$4001,'Per Line'!$E$2:$E$4001,$B826,'Per Line'!$AP$2:$AP$4001,1,'Per Line'!$AQ$2:$AQ$4001,0))</f>
        <v/>
      </c>
      <c r="V826" s="7">
        <f>IF($AA826="","",U826*T826)</f>
        <v/>
      </c>
      <c r="W826" s="7">
        <f>IF($AA826="","",V826+S826)</f>
        <v/>
      </c>
      <c r="X826" s="7">
        <f>IF($AA826="","",Y826-W826)</f>
        <v/>
      </c>
      <c r="Y826" s="7">
        <f>IF($AA826="","",R826+U826+P826)</f>
        <v/>
      </c>
      <c r="Z826" s="7">
        <f>IF($AA826="","",Y826-W826-L826)</f>
        <v/>
      </c>
      <c r="AA826" s="13">
        <f>IF(ROWS($AA$2:$AA826)&lt;=MAX('Per Line'!$AO$2:$AO$4001),MATCH(ROWS($AA$2:$AA826),'Per Line'!$AO$2:$AO$4001,0),"")</f>
        <v/>
      </c>
      <c r="AB826" s="14">
        <f>IF($AA826="","",L826-K826*Y826/100)</f>
        <v/>
      </c>
    </row>
    <row r="827">
      <c r="A827" s="12" t="n"/>
      <c r="B827">
        <f>IF($AA827="","",INDEX('Per Line'!$E$2:$E$4001,$AA827)&amp;"")</f>
        <v/>
      </c>
      <c r="C827">
        <f>IF($AA827="","",INDEX('Per Line'!$A$2:$A$4001,$AA827)&amp;"")</f>
        <v/>
      </c>
      <c r="D827">
        <f>IF($AA827="","",INDEX('Per Line'!$D$2:$D$4001,$AA827)&amp;"")</f>
        <v/>
      </c>
      <c r="E827" s="11">
        <f>IF($AA827="","",INDEX('Per Line'!$G$2:$G$4001,$AA827))</f>
        <v/>
      </c>
      <c r="F827">
        <f>IF($AA827="","",INDEX('Per Line'!$H$2:$H$4001,$AA827)&amp;"")</f>
        <v/>
      </c>
      <c r="G827">
        <f>IF($AA827="","",INDEX('Per Line'!$I$2:$I$4001,$AA827)&amp;"")</f>
        <v/>
      </c>
      <c r="H827">
        <f>IF($AA827="","",INDEX('Per Line'!$J$2:$J$4001,$AA827)&amp;"")</f>
        <v/>
      </c>
      <c r="I827">
        <f>IF($AA827="","",INDEX('Per Line'!$K$2:$K$4001,$AA827)&amp;"")</f>
        <v/>
      </c>
      <c r="J827">
        <f>IF($AA827="","",INDEX('Per Line'!$L$2:$L$4001,$AA827)&amp;"")</f>
        <v/>
      </c>
      <c r="K827">
        <f>IF($AA827="","",INDEX('Per Line'!$P$2:$P$4001,$AA827))</f>
        <v/>
      </c>
      <c r="L827" s="7">
        <f>IF($AA827="","",IF(AND(ISNUMBER(N827),N827&gt;0,Y827&gt;N827),K827*N827/100+(Y827-N827),K827*Y827/100))</f>
        <v/>
      </c>
      <c r="M827">
        <f>IF($AA827="","",INDEX('Per Line'!$Z$2:$Z$4001,$AA827)&amp;"")</f>
        <v/>
      </c>
      <c r="N827">
        <f>IF($AA827="","",INDEX('Per Line'!$AG$2:$AG$4001,$AA827))</f>
        <v/>
      </c>
      <c r="O827">
        <f>IF($AA827="","",IF(AND(ISNUMBER(N827),N827&gt;0),Y827&gt;N827,FALSE))</f>
        <v/>
      </c>
      <c r="P827" s="7">
        <f>IF($AA827="","",SUMIFS('Per Line'!$Y$2:$Y$4001,'Per Line'!$E$2:$E$4001,$B827,'Per Line'!$AQ$2:$AQ$4001,1))</f>
        <v/>
      </c>
      <c r="Q827">
        <f>IF($AA827="","",Settings!$C$7)</f>
        <v/>
      </c>
      <c r="R827" s="7">
        <f>IF($AA827="","",SUMIFS('Per Line'!$Y$2:$Y$4001,'Per Line'!$E$2:$E$4001,$B827,'Per Line'!$AP$2:$AP$4001,0,'Per Line'!$AQ$2:$AQ$4001,0))</f>
        <v/>
      </c>
      <c r="S827" s="7">
        <f>IF($AA827="","",R827*Q827)</f>
        <v/>
      </c>
      <c r="T827">
        <f>IF($AA827="","",Settings!$C$6)</f>
        <v/>
      </c>
      <c r="U827" s="7">
        <f>IF($AA827="","",SUMIFS('Per Line'!$Y$2:$Y$4001,'Per Line'!$E$2:$E$4001,$B827,'Per Line'!$AP$2:$AP$4001,1,'Per Line'!$AQ$2:$AQ$4001,0))</f>
        <v/>
      </c>
      <c r="V827" s="7">
        <f>IF($AA827="","",U827*T827)</f>
        <v/>
      </c>
      <c r="W827" s="7">
        <f>IF($AA827="","",V827+S827)</f>
        <v/>
      </c>
      <c r="X827" s="7">
        <f>IF($AA827="","",Y827-W827)</f>
        <v/>
      </c>
      <c r="Y827" s="7">
        <f>IF($AA827="","",R827+U827+P827)</f>
        <v/>
      </c>
      <c r="Z827" s="7">
        <f>IF($AA827="","",Y827-W827-L827)</f>
        <v/>
      </c>
      <c r="AA827" s="13">
        <f>IF(ROWS($AA$2:$AA827)&lt;=MAX('Per Line'!$AO$2:$AO$4001),MATCH(ROWS($AA$2:$AA827),'Per Line'!$AO$2:$AO$4001,0),"")</f>
        <v/>
      </c>
      <c r="AB827" s="14">
        <f>IF($AA827="","",L827-K827*Y827/100)</f>
        <v/>
      </c>
    </row>
    <row r="828">
      <c r="A828" s="12" t="n"/>
      <c r="B828">
        <f>IF($AA828="","",INDEX('Per Line'!$E$2:$E$4001,$AA828)&amp;"")</f>
        <v/>
      </c>
      <c r="C828">
        <f>IF($AA828="","",INDEX('Per Line'!$A$2:$A$4001,$AA828)&amp;"")</f>
        <v/>
      </c>
      <c r="D828">
        <f>IF($AA828="","",INDEX('Per Line'!$D$2:$D$4001,$AA828)&amp;"")</f>
        <v/>
      </c>
      <c r="E828" s="11">
        <f>IF($AA828="","",INDEX('Per Line'!$G$2:$G$4001,$AA828))</f>
        <v/>
      </c>
      <c r="F828">
        <f>IF($AA828="","",INDEX('Per Line'!$H$2:$H$4001,$AA828)&amp;"")</f>
        <v/>
      </c>
      <c r="G828">
        <f>IF($AA828="","",INDEX('Per Line'!$I$2:$I$4001,$AA828)&amp;"")</f>
        <v/>
      </c>
      <c r="H828">
        <f>IF($AA828="","",INDEX('Per Line'!$J$2:$J$4001,$AA828)&amp;"")</f>
        <v/>
      </c>
      <c r="I828">
        <f>IF($AA828="","",INDEX('Per Line'!$K$2:$K$4001,$AA828)&amp;"")</f>
        <v/>
      </c>
      <c r="J828">
        <f>IF($AA828="","",INDEX('Per Line'!$L$2:$L$4001,$AA828)&amp;"")</f>
        <v/>
      </c>
      <c r="K828">
        <f>IF($AA828="","",INDEX('Per Line'!$P$2:$P$4001,$AA828))</f>
        <v/>
      </c>
      <c r="L828" s="7">
        <f>IF($AA828="","",IF(AND(ISNUMBER(N828),N828&gt;0,Y828&gt;N828),K828*N828/100+(Y828-N828),K828*Y828/100))</f>
        <v/>
      </c>
      <c r="M828">
        <f>IF($AA828="","",INDEX('Per Line'!$Z$2:$Z$4001,$AA828)&amp;"")</f>
        <v/>
      </c>
      <c r="N828">
        <f>IF($AA828="","",INDEX('Per Line'!$AG$2:$AG$4001,$AA828))</f>
        <v/>
      </c>
      <c r="O828">
        <f>IF($AA828="","",IF(AND(ISNUMBER(N828),N828&gt;0),Y828&gt;N828,FALSE))</f>
        <v/>
      </c>
      <c r="P828" s="7">
        <f>IF($AA828="","",SUMIFS('Per Line'!$Y$2:$Y$4001,'Per Line'!$E$2:$E$4001,$B828,'Per Line'!$AQ$2:$AQ$4001,1))</f>
        <v/>
      </c>
      <c r="Q828">
        <f>IF($AA828="","",Settings!$C$7)</f>
        <v/>
      </c>
      <c r="R828" s="7">
        <f>IF($AA828="","",SUMIFS('Per Line'!$Y$2:$Y$4001,'Per Line'!$E$2:$E$4001,$B828,'Per Line'!$AP$2:$AP$4001,0,'Per Line'!$AQ$2:$AQ$4001,0))</f>
        <v/>
      </c>
      <c r="S828" s="7">
        <f>IF($AA828="","",R828*Q828)</f>
        <v/>
      </c>
      <c r="T828">
        <f>IF($AA828="","",Settings!$C$6)</f>
        <v/>
      </c>
      <c r="U828" s="7">
        <f>IF($AA828="","",SUMIFS('Per Line'!$Y$2:$Y$4001,'Per Line'!$E$2:$E$4001,$B828,'Per Line'!$AP$2:$AP$4001,1,'Per Line'!$AQ$2:$AQ$4001,0))</f>
        <v/>
      </c>
      <c r="V828" s="7">
        <f>IF($AA828="","",U828*T828)</f>
        <v/>
      </c>
      <c r="W828" s="7">
        <f>IF($AA828="","",V828+S828)</f>
        <v/>
      </c>
      <c r="X828" s="7">
        <f>IF($AA828="","",Y828-W828)</f>
        <v/>
      </c>
      <c r="Y828" s="7">
        <f>IF($AA828="","",R828+U828+P828)</f>
        <v/>
      </c>
      <c r="Z828" s="7">
        <f>IF($AA828="","",Y828-W828-L828)</f>
        <v/>
      </c>
      <c r="AA828" s="13">
        <f>IF(ROWS($AA$2:$AA828)&lt;=MAX('Per Line'!$AO$2:$AO$4001),MATCH(ROWS($AA$2:$AA828),'Per Line'!$AO$2:$AO$4001,0),"")</f>
        <v/>
      </c>
      <c r="AB828" s="14">
        <f>IF($AA828="","",L828-K828*Y828/100)</f>
        <v/>
      </c>
    </row>
    <row r="829">
      <c r="A829" s="12" t="n"/>
      <c r="B829">
        <f>IF($AA829="","",INDEX('Per Line'!$E$2:$E$4001,$AA829)&amp;"")</f>
        <v/>
      </c>
      <c r="C829">
        <f>IF($AA829="","",INDEX('Per Line'!$A$2:$A$4001,$AA829)&amp;"")</f>
        <v/>
      </c>
      <c r="D829">
        <f>IF($AA829="","",INDEX('Per Line'!$D$2:$D$4001,$AA829)&amp;"")</f>
        <v/>
      </c>
      <c r="E829" s="11">
        <f>IF($AA829="","",INDEX('Per Line'!$G$2:$G$4001,$AA829))</f>
        <v/>
      </c>
      <c r="F829">
        <f>IF($AA829="","",INDEX('Per Line'!$H$2:$H$4001,$AA829)&amp;"")</f>
        <v/>
      </c>
      <c r="G829">
        <f>IF($AA829="","",INDEX('Per Line'!$I$2:$I$4001,$AA829)&amp;"")</f>
        <v/>
      </c>
      <c r="H829">
        <f>IF($AA829="","",INDEX('Per Line'!$J$2:$J$4001,$AA829)&amp;"")</f>
        <v/>
      </c>
      <c r="I829">
        <f>IF($AA829="","",INDEX('Per Line'!$K$2:$K$4001,$AA829)&amp;"")</f>
        <v/>
      </c>
      <c r="J829">
        <f>IF($AA829="","",INDEX('Per Line'!$L$2:$L$4001,$AA829)&amp;"")</f>
        <v/>
      </c>
      <c r="K829">
        <f>IF($AA829="","",INDEX('Per Line'!$P$2:$P$4001,$AA829))</f>
        <v/>
      </c>
      <c r="L829" s="7">
        <f>IF($AA829="","",IF(AND(ISNUMBER(N829),N829&gt;0,Y829&gt;N829),K829*N829/100+(Y829-N829),K829*Y829/100))</f>
        <v/>
      </c>
      <c r="M829">
        <f>IF($AA829="","",INDEX('Per Line'!$Z$2:$Z$4001,$AA829)&amp;"")</f>
        <v/>
      </c>
      <c r="N829">
        <f>IF($AA829="","",INDEX('Per Line'!$AG$2:$AG$4001,$AA829))</f>
        <v/>
      </c>
      <c r="O829">
        <f>IF($AA829="","",IF(AND(ISNUMBER(N829),N829&gt;0),Y829&gt;N829,FALSE))</f>
        <v/>
      </c>
      <c r="P829" s="7">
        <f>IF($AA829="","",SUMIFS('Per Line'!$Y$2:$Y$4001,'Per Line'!$E$2:$E$4001,$B829,'Per Line'!$AQ$2:$AQ$4001,1))</f>
        <v/>
      </c>
      <c r="Q829">
        <f>IF($AA829="","",Settings!$C$7)</f>
        <v/>
      </c>
      <c r="R829" s="7">
        <f>IF($AA829="","",SUMIFS('Per Line'!$Y$2:$Y$4001,'Per Line'!$E$2:$E$4001,$B829,'Per Line'!$AP$2:$AP$4001,0,'Per Line'!$AQ$2:$AQ$4001,0))</f>
        <v/>
      </c>
      <c r="S829" s="7">
        <f>IF($AA829="","",R829*Q829)</f>
        <v/>
      </c>
      <c r="T829">
        <f>IF($AA829="","",Settings!$C$6)</f>
        <v/>
      </c>
      <c r="U829" s="7">
        <f>IF($AA829="","",SUMIFS('Per Line'!$Y$2:$Y$4001,'Per Line'!$E$2:$E$4001,$B829,'Per Line'!$AP$2:$AP$4001,1,'Per Line'!$AQ$2:$AQ$4001,0))</f>
        <v/>
      </c>
      <c r="V829" s="7">
        <f>IF($AA829="","",U829*T829)</f>
        <v/>
      </c>
      <c r="W829" s="7">
        <f>IF($AA829="","",V829+S829)</f>
        <v/>
      </c>
      <c r="X829" s="7">
        <f>IF($AA829="","",Y829-W829)</f>
        <v/>
      </c>
      <c r="Y829" s="7">
        <f>IF($AA829="","",R829+U829+P829)</f>
        <v/>
      </c>
      <c r="Z829" s="7">
        <f>IF($AA829="","",Y829-W829-L829)</f>
        <v/>
      </c>
      <c r="AA829" s="13">
        <f>IF(ROWS($AA$2:$AA829)&lt;=MAX('Per Line'!$AO$2:$AO$4001),MATCH(ROWS($AA$2:$AA829),'Per Line'!$AO$2:$AO$4001,0),"")</f>
        <v/>
      </c>
      <c r="AB829" s="14">
        <f>IF($AA829="","",L829-K829*Y829/100)</f>
        <v/>
      </c>
    </row>
    <row r="830">
      <c r="A830" s="12" t="n"/>
      <c r="B830">
        <f>IF($AA830="","",INDEX('Per Line'!$E$2:$E$4001,$AA830)&amp;"")</f>
        <v/>
      </c>
      <c r="C830">
        <f>IF($AA830="","",INDEX('Per Line'!$A$2:$A$4001,$AA830)&amp;"")</f>
        <v/>
      </c>
      <c r="D830">
        <f>IF($AA830="","",INDEX('Per Line'!$D$2:$D$4001,$AA830)&amp;"")</f>
        <v/>
      </c>
      <c r="E830" s="11">
        <f>IF($AA830="","",INDEX('Per Line'!$G$2:$G$4001,$AA830))</f>
        <v/>
      </c>
      <c r="F830">
        <f>IF($AA830="","",INDEX('Per Line'!$H$2:$H$4001,$AA830)&amp;"")</f>
        <v/>
      </c>
      <c r="G830">
        <f>IF($AA830="","",INDEX('Per Line'!$I$2:$I$4001,$AA830)&amp;"")</f>
        <v/>
      </c>
      <c r="H830">
        <f>IF($AA830="","",INDEX('Per Line'!$J$2:$J$4001,$AA830)&amp;"")</f>
        <v/>
      </c>
      <c r="I830">
        <f>IF($AA830="","",INDEX('Per Line'!$K$2:$K$4001,$AA830)&amp;"")</f>
        <v/>
      </c>
      <c r="J830">
        <f>IF($AA830="","",INDEX('Per Line'!$L$2:$L$4001,$AA830)&amp;"")</f>
        <v/>
      </c>
      <c r="K830">
        <f>IF($AA830="","",INDEX('Per Line'!$P$2:$P$4001,$AA830))</f>
        <v/>
      </c>
      <c r="L830" s="7">
        <f>IF($AA830="","",IF(AND(ISNUMBER(N830),N830&gt;0,Y830&gt;N830),K830*N830/100+(Y830-N830),K830*Y830/100))</f>
        <v/>
      </c>
      <c r="M830">
        <f>IF($AA830="","",INDEX('Per Line'!$Z$2:$Z$4001,$AA830)&amp;"")</f>
        <v/>
      </c>
      <c r="N830">
        <f>IF($AA830="","",INDEX('Per Line'!$AG$2:$AG$4001,$AA830))</f>
        <v/>
      </c>
      <c r="O830">
        <f>IF($AA830="","",IF(AND(ISNUMBER(N830),N830&gt;0),Y830&gt;N830,FALSE))</f>
        <v/>
      </c>
      <c r="P830" s="7">
        <f>IF($AA830="","",SUMIFS('Per Line'!$Y$2:$Y$4001,'Per Line'!$E$2:$E$4001,$B830,'Per Line'!$AQ$2:$AQ$4001,1))</f>
        <v/>
      </c>
      <c r="Q830">
        <f>IF($AA830="","",Settings!$C$7)</f>
        <v/>
      </c>
      <c r="R830" s="7">
        <f>IF($AA830="","",SUMIFS('Per Line'!$Y$2:$Y$4001,'Per Line'!$E$2:$E$4001,$B830,'Per Line'!$AP$2:$AP$4001,0,'Per Line'!$AQ$2:$AQ$4001,0))</f>
        <v/>
      </c>
      <c r="S830" s="7">
        <f>IF($AA830="","",R830*Q830)</f>
        <v/>
      </c>
      <c r="T830">
        <f>IF($AA830="","",Settings!$C$6)</f>
        <v/>
      </c>
      <c r="U830" s="7">
        <f>IF($AA830="","",SUMIFS('Per Line'!$Y$2:$Y$4001,'Per Line'!$E$2:$E$4001,$B830,'Per Line'!$AP$2:$AP$4001,1,'Per Line'!$AQ$2:$AQ$4001,0))</f>
        <v/>
      </c>
      <c r="V830" s="7">
        <f>IF($AA830="","",U830*T830)</f>
        <v/>
      </c>
      <c r="W830" s="7">
        <f>IF($AA830="","",V830+S830)</f>
        <v/>
      </c>
      <c r="X830" s="7">
        <f>IF($AA830="","",Y830-W830)</f>
        <v/>
      </c>
      <c r="Y830" s="7">
        <f>IF($AA830="","",R830+U830+P830)</f>
        <v/>
      </c>
      <c r="Z830" s="7">
        <f>IF($AA830="","",Y830-W830-L830)</f>
        <v/>
      </c>
      <c r="AA830" s="13">
        <f>IF(ROWS($AA$2:$AA830)&lt;=MAX('Per Line'!$AO$2:$AO$4001),MATCH(ROWS($AA$2:$AA830),'Per Line'!$AO$2:$AO$4001,0),"")</f>
        <v/>
      </c>
      <c r="AB830" s="14">
        <f>IF($AA830="","",L830-K830*Y830/100)</f>
        <v/>
      </c>
    </row>
    <row r="831">
      <c r="A831" s="12" t="n"/>
      <c r="B831">
        <f>IF($AA831="","",INDEX('Per Line'!$E$2:$E$4001,$AA831)&amp;"")</f>
        <v/>
      </c>
      <c r="C831">
        <f>IF($AA831="","",INDEX('Per Line'!$A$2:$A$4001,$AA831)&amp;"")</f>
        <v/>
      </c>
      <c r="D831">
        <f>IF($AA831="","",INDEX('Per Line'!$D$2:$D$4001,$AA831)&amp;"")</f>
        <v/>
      </c>
      <c r="E831" s="11">
        <f>IF($AA831="","",INDEX('Per Line'!$G$2:$G$4001,$AA831))</f>
        <v/>
      </c>
      <c r="F831">
        <f>IF($AA831="","",INDEX('Per Line'!$H$2:$H$4001,$AA831)&amp;"")</f>
        <v/>
      </c>
      <c r="G831">
        <f>IF($AA831="","",INDEX('Per Line'!$I$2:$I$4001,$AA831)&amp;"")</f>
        <v/>
      </c>
      <c r="H831">
        <f>IF($AA831="","",INDEX('Per Line'!$J$2:$J$4001,$AA831)&amp;"")</f>
        <v/>
      </c>
      <c r="I831">
        <f>IF($AA831="","",INDEX('Per Line'!$K$2:$K$4001,$AA831)&amp;"")</f>
        <v/>
      </c>
      <c r="J831">
        <f>IF($AA831="","",INDEX('Per Line'!$L$2:$L$4001,$AA831)&amp;"")</f>
        <v/>
      </c>
      <c r="K831">
        <f>IF($AA831="","",INDEX('Per Line'!$P$2:$P$4001,$AA831))</f>
        <v/>
      </c>
      <c r="L831" s="7">
        <f>IF($AA831="","",IF(AND(ISNUMBER(N831),N831&gt;0,Y831&gt;N831),K831*N831/100+(Y831-N831),K831*Y831/100))</f>
        <v/>
      </c>
      <c r="M831">
        <f>IF($AA831="","",INDEX('Per Line'!$Z$2:$Z$4001,$AA831)&amp;"")</f>
        <v/>
      </c>
      <c r="N831">
        <f>IF($AA831="","",INDEX('Per Line'!$AG$2:$AG$4001,$AA831))</f>
        <v/>
      </c>
      <c r="O831">
        <f>IF($AA831="","",IF(AND(ISNUMBER(N831),N831&gt;0),Y831&gt;N831,FALSE))</f>
        <v/>
      </c>
      <c r="P831" s="7">
        <f>IF($AA831="","",SUMIFS('Per Line'!$Y$2:$Y$4001,'Per Line'!$E$2:$E$4001,$B831,'Per Line'!$AQ$2:$AQ$4001,1))</f>
        <v/>
      </c>
      <c r="Q831">
        <f>IF($AA831="","",Settings!$C$7)</f>
        <v/>
      </c>
      <c r="R831" s="7">
        <f>IF($AA831="","",SUMIFS('Per Line'!$Y$2:$Y$4001,'Per Line'!$E$2:$E$4001,$B831,'Per Line'!$AP$2:$AP$4001,0,'Per Line'!$AQ$2:$AQ$4001,0))</f>
        <v/>
      </c>
      <c r="S831" s="7">
        <f>IF($AA831="","",R831*Q831)</f>
        <v/>
      </c>
      <c r="T831">
        <f>IF($AA831="","",Settings!$C$6)</f>
        <v/>
      </c>
      <c r="U831" s="7">
        <f>IF($AA831="","",SUMIFS('Per Line'!$Y$2:$Y$4001,'Per Line'!$E$2:$E$4001,$B831,'Per Line'!$AP$2:$AP$4001,1,'Per Line'!$AQ$2:$AQ$4001,0))</f>
        <v/>
      </c>
      <c r="V831" s="7">
        <f>IF($AA831="","",U831*T831)</f>
        <v/>
      </c>
      <c r="W831" s="7">
        <f>IF($AA831="","",V831+S831)</f>
        <v/>
      </c>
      <c r="X831" s="7">
        <f>IF($AA831="","",Y831-W831)</f>
        <v/>
      </c>
      <c r="Y831" s="7">
        <f>IF($AA831="","",R831+U831+P831)</f>
        <v/>
      </c>
      <c r="Z831" s="7">
        <f>IF($AA831="","",Y831-W831-L831)</f>
        <v/>
      </c>
      <c r="AA831" s="13">
        <f>IF(ROWS($AA$2:$AA831)&lt;=MAX('Per Line'!$AO$2:$AO$4001),MATCH(ROWS($AA$2:$AA831),'Per Line'!$AO$2:$AO$4001,0),"")</f>
        <v/>
      </c>
      <c r="AB831" s="14">
        <f>IF($AA831="","",L831-K831*Y831/100)</f>
        <v/>
      </c>
    </row>
    <row r="832">
      <c r="A832" s="12" t="n"/>
      <c r="B832">
        <f>IF($AA832="","",INDEX('Per Line'!$E$2:$E$4001,$AA832)&amp;"")</f>
        <v/>
      </c>
      <c r="C832">
        <f>IF($AA832="","",INDEX('Per Line'!$A$2:$A$4001,$AA832)&amp;"")</f>
        <v/>
      </c>
      <c r="D832">
        <f>IF($AA832="","",INDEX('Per Line'!$D$2:$D$4001,$AA832)&amp;"")</f>
        <v/>
      </c>
      <c r="E832" s="11">
        <f>IF($AA832="","",INDEX('Per Line'!$G$2:$G$4001,$AA832))</f>
        <v/>
      </c>
      <c r="F832">
        <f>IF($AA832="","",INDEX('Per Line'!$H$2:$H$4001,$AA832)&amp;"")</f>
        <v/>
      </c>
      <c r="G832">
        <f>IF($AA832="","",INDEX('Per Line'!$I$2:$I$4001,$AA832)&amp;"")</f>
        <v/>
      </c>
      <c r="H832">
        <f>IF($AA832="","",INDEX('Per Line'!$J$2:$J$4001,$AA832)&amp;"")</f>
        <v/>
      </c>
      <c r="I832">
        <f>IF($AA832="","",INDEX('Per Line'!$K$2:$K$4001,$AA832)&amp;"")</f>
        <v/>
      </c>
      <c r="J832">
        <f>IF($AA832="","",INDEX('Per Line'!$L$2:$L$4001,$AA832)&amp;"")</f>
        <v/>
      </c>
      <c r="K832">
        <f>IF($AA832="","",INDEX('Per Line'!$P$2:$P$4001,$AA832))</f>
        <v/>
      </c>
      <c r="L832" s="7">
        <f>IF($AA832="","",IF(AND(ISNUMBER(N832),N832&gt;0,Y832&gt;N832),K832*N832/100+(Y832-N832),K832*Y832/100))</f>
        <v/>
      </c>
      <c r="M832">
        <f>IF($AA832="","",INDEX('Per Line'!$Z$2:$Z$4001,$AA832)&amp;"")</f>
        <v/>
      </c>
      <c r="N832">
        <f>IF($AA832="","",INDEX('Per Line'!$AG$2:$AG$4001,$AA832))</f>
        <v/>
      </c>
      <c r="O832">
        <f>IF($AA832="","",IF(AND(ISNUMBER(N832),N832&gt;0),Y832&gt;N832,FALSE))</f>
        <v/>
      </c>
      <c r="P832" s="7">
        <f>IF($AA832="","",SUMIFS('Per Line'!$Y$2:$Y$4001,'Per Line'!$E$2:$E$4001,$B832,'Per Line'!$AQ$2:$AQ$4001,1))</f>
        <v/>
      </c>
      <c r="Q832">
        <f>IF($AA832="","",Settings!$C$7)</f>
        <v/>
      </c>
      <c r="R832" s="7">
        <f>IF($AA832="","",SUMIFS('Per Line'!$Y$2:$Y$4001,'Per Line'!$E$2:$E$4001,$B832,'Per Line'!$AP$2:$AP$4001,0,'Per Line'!$AQ$2:$AQ$4001,0))</f>
        <v/>
      </c>
      <c r="S832" s="7">
        <f>IF($AA832="","",R832*Q832)</f>
        <v/>
      </c>
      <c r="T832">
        <f>IF($AA832="","",Settings!$C$6)</f>
        <v/>
      </c>
      <c r="U832" s="7">
        <f>IF($AA832="","",SUMIFS('Per Line'!$Y$2:$Y$4001,'Per Line'!$E$2:$E$4001,$B832,'Per Line'!$AP$2:$AP$4001,1,'Per Line'!$AQ$2:$AQ$4001,0))</f>
        <v/>
      </c>
      <c r="V832" s="7">
        <f>IF($AA832="","",U832*T832)</f>
        <v/>
      </c>
      <c r="W832" s="7">
        <f>IF($AA832="","",V832+S832)</f>
        <v/>
      </c>
      <c r="X832" s="7">
        <f>IF($AA832="","",Y832-W832)</f>
        <v/>
      </c>
      <c r="Y832" s="7">
        <f>IF($AA832="","",R832+U832+P832)</f>
        <v/>
      </c>
      <c r="Z832" s="7">
        <f>IF($AA832="","",Y832-W832-L832)</f>
        <v/>
      </c>
      <c r="AA832" s="13">
        <f>IF(ROWS($AA$2:$AA832)&lt;=MAX('Per Line'!$AO$2:$AO$4001),MATCH(ROWS($AA$2:$AA832),'Per Line'!$AO$2:$AO$4001,0),"")</f>
        <v/>
      </c>
      <c r="AB832" s="14">
        <f>IF($AA832="","",L832-K832*Y832/100)</f>
        <v/>
      </c>
    </row>
    <row r="833">
      <c r="A833" s="12" t="n"/>
      <c r="B833">
        <f>IF($AA833="","",INDEX('Per Line'!$E$2:$E$4001,$AA833)&amp;"")</f>
        <v/>
      </c>
      <c r="C833">
        <f>IF($AA833="","",INDEX('Per Line'!$A$2:$A$4001,$AA833)&amp;"")</f>
        <v/>
      </c>
      <c r="D833">
        <f>IF($AA833="","",INDEX('Per Line'!$D$2:$D$4001,$AA833)&amp;"")</f>
        <v/>
      </c>
      <c r="E833" s="11">
        <f>IF($AA833="","",INDEX('Per Line'!$G$2:$G$4001,$AA833))</f>
        <v/>
      </c>
      <c r="F833">
        <f>IF($AA833="","",INDEX('Per Line'!$H$2:$H$4001,$AA833)&amp;"")</f>
        <v/>
      </c>
      <c r="G833">
        <f>IF($AA833="","",INDEX('Per Line'!$I$2:$I$4001,$AA833)&amp;"")</f>
        <v/>
      </c>
      <c r="H833">
        <f>IF($AA833="","",INDEX('Per Line'!$J$2:$J$4001,$AA833)&amp;"")</f>
        <v/>
      </c>
      <c r="I833">
        <f>IF($AA833="","",INDEX('Per Line'!$K$2:$K$4001,$AA833)&amp;"")</f>
        <v/>
      </c>
      <c r="J833">
        <f>IF($AA833="","",INDEX('Per Line'!$L$2:$L$4001,$AA833)&amp;"")</f>
        <v/>
      </c>
      <c r="K833">
        <f>IF($AA833="","",INDEX('Per Line'!$P$2:$P$4001,$AA833))</f>
        <v/>
      </c>
      <c r="L833" s="7">
        <f>IF($AA833="","",IF(AND(ISNUMBER(N833),N833&gt;0,Y833&gt;N833),K833*N833/100+(Y833-N833),K833*Y833/100))</f>
        <v/>
      </c>
      <c r="M833">
        <f>IF($AA833="","",INDEX('Per Line'!$Z$2:$Z$4001,$AA833)&amp;"")</f>
        <v/>
      </c>
      <c r="N833">
        <f>IF($AA833="","",INDEX('Per Line'!$AG$2:$AG$4001,$AA833))</f>
        <v/>
      </c>
      <c r="O833">
        <f>IF($AA833="","",IF(AND(ISNUMBER(N833),N833&gt;0),Y833&gt;N833,FALSE))</f>
        <v/>
      </c>
      <c r="P833" s="7">
        <f>IF($AA833="","",SUMIFS('Per Line'!$Y$2:$Y$4001,'Per Line'!$E$2:$E$4001,$B833,'Per Line'!$AQ$2:$AQ$4001,1))</f>
        <v/>
      </c>
      <c r="Q833">
        <f>IF($AA833="","",Settings!$C$7)</f>
        <v/>
      </c>
      <c r="R833" s="7">
        <f>IF($AA833="","",SUMIFS('Per Line'!$Y$2:$Y$4001,'Per Line'!$E$2:$E$4001,$B833,'Per Line'!$AP$2:$AP$4001,0,'Per Line'!$AQ$2:$AQ$4001,0))</f>
        <v/>
      </c>
      <c r="S833" s="7">
        <f>IF($AA833="","",R833*Q833)</f>
        <v/>
      </c>
      <c r="T833">
        <f>IF($AA833="","",Settings!$C$6)</f>
        <v/>
      </c>
      <c r="U833" s="7">
        <f>IF($AA833="","",SUMIFS('Per Line'!$Y$2:$Y$4001,'Per Line'!$E$2:$E$4001,$B833,'Per Line'!$AP$2:$AP$4001,1,'Per Line'!$AQ$2:$AQ$4001,0))</f>
        <v/>
      </c>
      <c r="V833" s="7">
        <f>IF($AA833="","",U833*T833)</f>
        <v/>
      </c>
      <c r="W833" s="7">
        <f>IF($AA833="","",V833+S833)</f>
        <v/>
      </c>
      <c r="X833" s="7">
        <f>IF($AA833="","",Y833-W833)</f>
        <v/>
      </c>
      <c r="Y833" s="7">
        <f>IF($AA833="","",R833+U833+P833)</f>
        <v/>
      </c>
      <c r="Z833" s="7">
        <f>IF($AA833="","",Y833-W833-L833)</f>
        <v/>
      </c>
      <c r="AA833" s="13">
        <f>IF(ROWS($AA$2:$AA833)&lt;=MAX('Per Line'!$AO$2:$AO$4001),MATCH(ROWS($AA$2:$AA833),'Per Line'!$AO$2:$AO$4001,0),"")</f>
        <v/>
      </c>
      <c r="AB833" s="14">
        <f>IF($AA833="","",L833-K833*Y833/100)</f>
        <v/>
      </c>
    </row>
    <row r="834">
      <c r="A834" s="12" t="n"/>
      <c r="B834">
        <f>IF($AA834="","",INDEX('Per Line'!$E$2:$E$4001,$AA834)&amp;"")</f>
        <v/>
      </c>
      <c r="C834">
        <f>IF($AA834="","",INDEX('Per Line'!$A$2:$A$4001,$AA834)&amp;"")</f>
        <v/>
      </c>
      <c r="D834">
        <f>IF($AA834="","",INDEX('Per Line'!$D$2:$D$4001,$AA834)&amp;"")</f>
        <v/>
      </c>
      <c r="E834" s="11">
        <f>IF($AA834="","",INDEX('Per Line'!$G$2:$G$4001,$AA834))</f>
        <v/>
      </c>
      <c r="F834">
        <f>IF($AA834="","",INDEX('Per Line'!$H$2:$H$4001,$AA834)&amp;"")</f>
        <v/>
      </c>
      <c r="G834">
        <f>IF($AA834="","",INDEX('Per Line'!$I$2:$I$4001,$AA834)&amp;"")</f>
        <v/>
      </c>
      <c r="H834">
        <f>IF($AA834="","",INDEX('Per Line'!$J$2:$J$4001,$AA834)&amp;"")</f>
        <v/>
      </c>
      <c r="I834">
        <f>IF($AA834="","",INDEX('Per Line'!$K$2:$K$4001,$AA834)&amp;"")</f>
        <v/>
      </c>
      <c r="J834">
        <f>IF($AA834="","",INDEX('Per Line'!$L$2:$L$4001,$AA834)&amp;"")</f>
        <v/>
      </c>
      <c r="K834">
        <f>IF($AA834="","",INDEX('Per Line'!$P$2:$P$4001,$AA834))</f>
        <v/>
      </c>
      <c r="L834" s="7">
        <f>IF($AA834="","",IF(AND(ISNUMBER(N834),N834&gt;0,Y834&gt;N834),K834*N834/100+(Y834-N834),K834*Y834/100))</f>
        <v/>
      </c>
      <c r="M834">
        <f>IF($AA834="","",INDEX('Per Line'!$Z$2:$Z$4001,$AA834)&amp;"")</f>
        <v/>
      </c>
      <c r="N834">
        <f>IF($AA834="","",INDEX('Per Line'!$AG$2:$AG$4001,$AA834))</f>
        <v/>
      </c>
      <c r="O834">
        <f>IF($AA834="","",IF(AND(ISNUMBER(N834),N834&gt;0),Y834&gt;N834,FALSE))</f>
        <v/>
      </c>
      <c r="P834" s="7">
        <f>IF($AA834="","",SUMIFS('Per Line'!$Y$2:$Y$4001,'Per Line'!$E$2:$E$4001,$B834,'Per Line'!$AQ$2:$AQ$4001,1))</f>
        <v/>
      </c>
      <c r="Q834">
        <f>IF($AA834="","",Settings!$C$7)</f>
        <v/>
      </c>
      <c r="R834" s="7">
        <f>IF($AA834="","",SUMIFS('Per Line'!$Y$2:$Y$4001,'Per Line'!$E$2:$E$4001,$B834,'Per Line'!$AP$2:$AP$4001,0,'Per Line'!$AQ$2:$AQ$4001,0))</f>
        <v/>
      </c>
      <c r="S834" s="7">
        <f>IF($AA834="","",R834*Q834)</f>
        <v/>
      </c>
      <c r="T834">
        <f>IF($AA834="","",Settings!$C$6)</f>
        <v/>
      </c>
      <c r="U834" s="7">
        <f>IF($AA834="","",SUMIFS('Per Line'!$Y$2:$Y$4001,'Per Line'!$E$2:$E$4001,$B834,'Per Line'!$AP$2:$AP$4001,1,'Per Line'!$AQ$2:$AQ$4001,0))</f>
        <v/>
      </c>
      <c r="V834" s="7">
        <f>IF($AA834="","",U834*T834)</f>
        <v/>
      </c>
      <c r="W834" s="7">
        <f>IF($AA834="","",V834+S834)</f>
        <v/>
      </c>
      <c r="X834" s="7">
        <f>IF($AA834="","",Y834-W834)</f>
        <v/>
      </c>
      <c r="Y834" s="7">
        <f>IF($AA834="","",R834+U834+P834)</f>
        <v/>
      </c>
      <c r="Z834" s="7">
        <f>IF($AA834="","",Y834-W834-L834)</f>
        <v/>
      </c>
      <c r="AA834" s="13">
        <f>IF(ROWS($AA$2:$AA834)&lt;=MAX('Per Line'!$AO$2:$AO$4001),MATCH(ROWS($AA$2:$AA834),'Per Line'!$AO$2:$AO$4001,0),"")</f>
        <v/>
      </c>
      <c r="AB834" s="14">
        <f>IF($AA834="","",L834-K834*Y834/100)</f>
        <v/>
      </c>
    </row>
    <row r="835">
      <c r="A835" s="12" t="n"/>
      <c r="B835">
        <f>IF($AA835="","",INDEX('Per Line'!$E$2:$E$4001,$AA835)&amp;"")</f>
        <v/>
      </c>
      <c r="C835">
        <f>IF($AA835="","",INDEX('Per Line'!$A$2:$A$4001,$AA835)&amp;"")</f>
        <v/>
      </c>
      <c r="D835">
        <f>IF($AA835="","",INDEX('Per Line'!$D$2:$D$4001,$AA835)&amp;"")</f>
        <v/>
      </c>
      <c r="E835" s="11">
        <f>IF($AA835="","",INDEX('Per Line'!$G$2:$G$4001,$AA835))</f>
        <v/>
      </c>
      <c r="F835">
        <f>IF($AA835="","",INDEX('Per Line'!$H$2:$H$4001,$AA835)&amp;"")</f>
        <v/>
      </c>
      <c r="G835">
        <f>IF($AA835="","",INDEX('Per Line'!$I$2:$I$4001,$AA835)&amp;"")</f>
        <v/>
      </c>
      <c r="H835">
        <f>IF($AA835="","",INDEX('Per Line'!$J$2:$J$4001,$AA835)&amp;"")</f>
        <v/>
      </c>
      <c r="I835">
        <f>IF($AA835="","",INDEX('Per Line'!$K$2:$K$4001,$AA835)&amp;"")</f>
        <v/>
      </c>
      <c r="J835">
        <f>IF($AA835="","",INDEX('Per Line'!$L$2:$L$4001,$AA835)&amp;"")</f>
        <v/>
      </c>
      <c r="K835">
        <f>IF($AA835="","",INDEX('Per Line'!$P$2:$P$4001,$AA835))</f>
        <v/>
      </c>
      <c r="L835" s="7">
        <f>IF($AA835="","",IF(AND(ISNUMBER(N835),N835&gt;0,Y835&gt;N835),K835*N835/100+(Y835-N835),K835*Y835/100))</f>
        <v/>
      </c>
      <c r="M835">
        <f>IF($AA835="","",INDEX('Per Line'!$Z$2:$Z$4001,$AA835)&amp;"")</f>
        <v/>
      </c>
      <c r="N835">
        <f>IF($AA835="","",INDEX('Per Line'!$AG$2:$AG$4001,$AA835))</f>
        <v/>
      </c>
      <c r="O835">
        <f>IF($AA835="","",IF(AND(ISNUMBER(N835),N835&gt;0),Y835&gt;N835,FALSE))</f>
        <v/>
      </c>
      <c r="P835" s="7">
        <f>IF($AA835="","",SUMIFS('Per Line'!$Y$2:$Y$4001,'Per Line'!$E$2:$E$4001,$B835,'Per Line'!$AQ$2:$AQ$4001,1))</f>
        <v/>
      </c>
      <c r="Q835">
        <f>IF($AA835="","",Settings!$C$7)</f>
        <v/>
      </c>
      <c r="R835" s="7">
        <f>IF($AA835="","",SUMIFS('Per Line'!$Y$2:$Y$4001,'Per Line'!$E$2:$E$4001,$B835,'Per Line'!$AP$2:$AP$4001,0,'Per Line'!$AQ$2:$AQ$4001,0))</f>
        <v/>
      </c>
      <c r="S835" s="7">
        <f>IF($AA835="","",R835*Q835)</f>
        <v/>
      </c>
      <c r="T835">
        <f>IF($AA835="","",Settings!$C$6)</f>
        <v/>
      </c>
      <c r="U835" s="7">
        <f>IF($AA835="","",SUMIFS('Per Line'!$Y$2:$Y$4001,'Per Line'!$E$2:$E$4001,$B835,'Per Line'!$AP$2:$AP$4001,1,'Per Line'!$AQ$2:$AQ$4001,0))</f>
        <v/>
      </c>
      <c r="V835" s="7">
        <f>IF($AA835="","",U835*T835)</f>
        <v/>
      </c>
      <c r="W835" s="7">
        <f>IF($AA835="","",V835+S835)</f>
        <v/>
      </c>
      <c r="X835" s="7">
        <f>IF($AA835="","",Y835-W835)</f>
        <v/>
      </c>
      <c r="Y835" s="7">
        <f>IF($AA835="","",R835+U835+P835)</f>
        <v/>
      </c>
      <c r="Z835" s="7">
        <f>IF($AA835="","",Y835-W835-L835)</f>
        <v/>
      </c>
      <c r="AA835" s="13">
        <f>IF(ROWS($AA$2:$AA835)&lt;=MAX('Per Line'!$AO$2:$AO$4001),MATCH(ROWS($AA$2:$AA835),'Per Line'!$AO$2:$AO$4001,0),"")</f>
        <v/>
      </c>
      <c r="AB835" s="14">
        <f>IF($AA835="","",L835-K835*Y835/100)</f>
        <v/>
      </c>
    </row>
    <row r="836">
      <c r="A836" s="12" t="n"/>
      <c r="B836">
        <f>IF($AA836="","",INDEX('Per Line'!$E$2:$E$4001,$AA836)&amp;"")</f>
        <v/>
      </c>
      <c r="C836">
        <f>IF($AA836="","",INDEX('Per Line'!$A$2:$A$4001,$AA836)&amp;"")</f>
        <v/>
      </c>
      <c r="D836">
        <f>IF($AA836="","",INDEX('Per Line'!$D$2:$D$4001,$AA836)&amp;"")</f>
        <v/>
      </c>
      <c r="E836" s="11">
        <f>IF($AA836="","",INDEX('Per Line'!$G$2:$G$4001,$AA836))</f>
        <v/>
      </c>
      <c r="F836">
        <f>IF($AA836="","",INDEX('Per Line'!$H$2:$H$4001,$AA836)&amp;"")</f>
        <v/>
      </c>
      <c r="G836">
        <f>IF($AA836="","",INDEX('Per Line'!$I$2:$I$4001,$AA836)&amp;"")</f>
        <v/>
      </c>
      <c r="H836">
        <f>IF($AA836="","",INDEX('Per Line'!$J$2:$J$4001,$AA836)&amp;"")</f>
        <v/>
      </c>
      <c r="I836">
        <f>IF($AA836="","",INDEX('Per Line'!$K$2:$K$4001,$AA836)&amp;"")</f>
        <v/>
      </c>
      <c r="J836">
        <f>IF($AA836="","",INDEX('Per Line'!$L$2:$L$4001,$AA836)&amp;"")</f>
        <v/>
      </c>
      <c r="K836">
        <f>IF($AA836="","",INDEX('Per Line'!$P$2:$P$4001,$AA836))</f>
        <v/>
      </c>
      <c r="L836" s="7">
        <f>IF($AA836="","",IF(AND(ISNUMBER(N836),N836&gt;0,Y836&gt;N836),K836*N836/100+(Y836-N836),K836*Y836/100))</f>
        <v/>
      </c>
      <c r="M836">
        <f>IF($AA836="","",INDEX('Per Line'!$Z$2:$Z$4001,$AA836)&amp;"")</f>
        <v/>
      </c>
      <c r="N836">
        <f>IF($AA836="","",INDEX('Per Line'!$AG$2:$AG$4001,$AA836))</f>
        <v/>
      </c>
      <c r="O836">
        <f>IF($AA836="","",IF(AND(ISNUMBER(N836),N836&gt;0),Y836&gt;N836,FALSE))</f>
        <v/>
      </c>
      <c r="P836" s="7">
        <f>IF($AA836="","",SUMIFS('Per Line'!$Y$2:$Y$4001,'Per Line'!$E$2:$E$4001,$B836,'Per Line'!$AQ$2:$AQ$4001,1))</f>
        <v/>
      </c>
      <c r="Q836">
        <f>IF($AA836="","",Settings!$C$7)</f>
        <v/>
      </c>
      <c r="R836" s="7">
        <f>IF($AA836="","",SUMIFS('Per Line'!$Y$2:$Y$4001,'Per Line'!$E$2:$E$4001,$B836,'Per Line'!$AP$2:$AP$4001,0,'Per Line'!$AQ$2:$AQ$4001,0))</f>
        <v/>
      </c>
      <c r="S836" s="7">
        <f>IF($AA836="","",R836*Q836)</f>
        <v/>
      </c>
      <c r="T836">
        <f>IF($AA836="","",Settings!$C$6)</f>
        <v/>
      </c>
      <c r="U836" s="7">
        <f>IF($AA836="","",SUMIFS('Per Line'!$Y$2:$Y$4001,'Per Line'!$E$2:$E$4001,$B836,'Per Line'!$AP$2:$AP$4001,1,'Per Line'!$AQ$2:$AQ$4001,0))</f>
        <v/>
      </c>
      <c r="V836" s="7">
        <f>IF($AA836="","",U836*T836)</f>
        <v/>
      </c>
      <c r="W836" s="7">
        <f>IF($AA836="","",V836+S836)</f>
        <v/>
      </c>
      <c r="X836" s="7">
        <f>IF($AA836="","",Y836-W836)</f>
        <v/>
      </c>
      <c r="Y836" s="7">
        <f>IF($AA836="","",R836+U836+P836)</f>
        <v/>
      </c>
      <c r="Z836" s="7">
        <f>IF($AA836="","",Y836-W836-L836)</f>
        <v/>
      </c>
      <c r="AA836" s="13">
        <f>IF(ROWS($AA$2:$AA836)&lt;=MAX('Per Line'!$AO$2:$AO$4001),MATCH(ROWS($AA$2:$AA836),'Per Line'!$AO$2:$AO$4001,0),"")</f>
        <v/>
      </c>
      <c r="AB836" s="14">
        <f>IF($AA836="","",L836-K836*Y836/100)</f>
        <v/>
      </c>
    </row>
    <row r="837">
      <c r="A837" s="12" t="n"/>
      <c r="B837">
        <f>IF($AA837="","",INDEX('Per Line'!$E$2:$E$4001,$AA837)&amp;"")</f>
        <v/>
      </c>
      <c r="C837">
        <f>IF($AA837="","",INDEX('Per Line'!$A$2:$A$4001,$AA837)&amp;"")</f>
        <v/>
      </c>
      <c r="D837">
        <f>IF($AA837="","",INDEX('Per Line'!$D$2:$D$4001,$AA837)&amp;"")</f>
        <v/>
      </c>
      <c r="E837" s="11">
        <f>IF($AA837="","",INDEX('Per Line'!$G$2:$G$4001,$AA837))</f>
        <v/>
      </c>
      <c r="F837">
        <f>IF($AA837="","",INDEX('Per Line'!$H$2:$H$4001,$AA837)&amp;"")</f>
        <v/>
      </c>
      <c r="G837">
        <f>IF($AA837="","",INDEX('Per Line'!$I$2:$I$4001,$AA837)&amp;"")</f>
        <v/>
      </c>
      <c r="H837">
        <f>IF($AA837="","",INDEX('Per Line'!$J$2:$J$4001,$AA837)&amp;"")</f>
        <v/>
      </c>
      <c r="I837">
        <f>IF($AA837="","",INDEX('Per Line'!$K$2:$K$4001,$AA837)&amp;"")</f>
        <v/>
      </c>
      <c r="J837">
        <f>IF($AA837="","",INDEX('Per Line'!$L$2:$L$4001,$AA837)&amp;"")</f>
        <v/>
      </c>
      <c r="K837">
        <f>IF($AA837="","",INDEX('Per Line'!$P$2:$P$4001,$AA837))</f>
        <v/>
      </c>
      <c r="L837" s="7">
        <f>IF($AA837="","",IF(AND(ISNUMBER(N837),N837&gt;0,Y837&gt;N837),K837*N837/100+(Y837-N837),K837*Y837/100))</f>
        <v/>
      </c>
      <c r="M837">
        <f>IF($AA837="","",INDEX('Per Line'!$Z$2:$Z$4001,$AA837)&amp;"")</f>
        <v/>
      </c>
      <c r="N837">
        <f>IF($AA837="","",INDEX('Per Line'!$AG$2:$AG$4001,$AA837))</f>
        <v/>
      </c>
      <c r="O837">
        <f>IF($AA837="","",IF(AND(ISNUMBER(N837),N837&gt;0),Y837&gt;N837,FALSE))</f>
        <v/>
      </c>
      <c r="P837" s="7">
        <f>IF($AA837="","",SUMIFS('Per Line'!$Y$2:$Y$4001,'Per Line'!$E$2:$E$4001,$B837,'Per Line'!$AQ$2:$AQ$4001,1))</f>
        <v/>
      </c>
      <c r="Q837">
        <f>IF($AA837="","",Settings!$C$7)</f>
        <v/>
      </c>
      <c r="R837" s="7">
        <f>IF($AA837="","",SUMIFS('Per Line'!$Y$2:$Y$4001,'Per Line'!$E$2:$E$4001,$B837,'Per Line'!$AP$2:$AP$4001,0,'Per Line'!$AQ$2:$AQ$4001,0))</f>
        <v/>
      </c>
      <c r="S837" s="7">
        <f>IF($AA837="","",R837*Q837)</f>
        <v/>
      </c>
      <c r="T837">
        <f>IF($AA837="","",Settings!$C$6)</f>
        <v/>
      </c>
      <c r="U837" s="7">
        <f>IF($AA837="","",SUMIFS('Per Line'!$Y$2:$Y$4001,'Per Line'!$E$2:$E$4001,$B837,'Per Line'!$AP$2:$AP$4001,1,'Per Line'!$AQ$2:$AQ$4001,0))</f>
        <v/>
      </c>
      <c r="V837" s="7">
        <f>IF($AA837="","",U837*T837)</f>
        <v/>
      </c>
      <c r="W837" s="7">
        <f>IF($AA837="","",V837+S837)</f>
        <v/>
      </c>
      <c r="X837" s="7">
        <f>IF($AA837="","",Y837-W837)</f>
        <v/>
      </c>
      <c r="Y837" s="7">
        <f>IF($AA837="","",R837+U837+P837)</f>
        <v/>
      </c>
      <c r="Z837" s="7">
        <f>IF($AA837="","",Y837-W837-L837)</f>
        <v/>
      </c>
      <c r="AA837" s="13">
        <f>IF(ROWS($AA$2:$AA837)&lt;=MAX('Per Line'!$AO$2:$AO$4001),MATCH(ROWS($AA$2:$AA837),'Per Line'!$AO$2:$AO$4001,0),"")</f>
        <v/>
      </c>
      <c r="AB837" s="14">
        <f>IF($AA837="","",L837-K837*Y837/100)</f>
        <v/>
      </c>
    </row>
    <row r="838">
      <c r="A838" s="12" t="n"/>
      <c r="B838">
        <f>IF($AA838="","",INDEX('Per Line'!$E$2:$E$4001,$AA838)&amp;"")</f>
        <v/>
      </c>
      <c r="C838">
        <f>IF($AA838="","",INDEX('Per Line'!$A$2:$A$4001,$AA838)&amp;"")</f>
        <v/>
      </c>
      <c r="D838">
        <f>IF($AA838="","",INDEX('Per Line'!$D$2:$D$4001,$AA838)&amp;"")</f>
        <v/>
      </c>
      <c r="E838" s="11">
        <f>IF($AA838="","",INDEX('Per Line'!$G$2:$G$4001,$AA838))</f>
        <v/>
      </c>
      <c r="F838">
        <f>IF($AA838="","",INDEX('Per Line'!$H$2:$H$4001,$AA838)&amp;"")</f>
        <v/>
      </c>
      <c r="G838">
        <f>IF($AA838="","",INDEX('Per Line'!$I$2:$I$4001,$AA838)&amp;"")</f>
        <v/>
      </c>
      <c r="H838">
        <f>IF($AA838="","",INDEX('Per Line'!$J$2:$J$4001,$AA838)&amp;"")</f>
        <v/>
      </c>
      <c r="I838">
        <f>IF($AA838="","",INDEX('Per Line'!$K$2:$K$4001,$AA838)&amp;"")</f>
        <v/>
      </c>
      <c r="J838">
        <f>IF($AA838="","",INDEX('Per Line'!$L$2:$L$4001,$AA838)&amp;"")</f>
        <v/>
      </c>
      <c r="K838">
        <f>IF($AA838="","",INDEX('Per Line'!$P$2:$P$4001,$AA838))</f>
        <v/>
      </c>
      <c r="L838" s="7">
        <f>IF($AA838="","",IF(AND(ISNUMBER(N838),N838&gt;0,Y838&gt;N838),K838*N838/100+(Y838-N838),K838*Y838/100))</f>
        <v/>
      </c>
      <c r="M838">
        <f>IF($AA838="","",INDEX('Per Line'!$Z$2:$Z$4001,$AA838)&amp;"")</f>
        <v/>
      </c>
      <c r="N838">
        <f>IF($AA838="","",INDEX('Per Line'!$AG$2:$AG$4001,$AA838))</f>
        <v/>
      </c>
      <c r="O838">
        <f>IF($AA838="","",IF(AND(ISNUMBER(N838),N838&gt;0),Y838&gt;N838,FALSE))</f>
        <v/>
      </c>
      <c r="P838" s="7">
        <f>IF($AA838="","",SUMIFS('Per Line'!$Y$2:$Y$4001,'Per Line'!$E$2:$E$4001,$B838,'Per Line'!$AQ$2:$AQ$4001,1))</f>
        <v/>
      </c>
      <c r="Q838">
        <f>IF($AA838="","",Settings!$C$7)</f>
        <v/>
      </c>
      <c r="R838" s="7">
        <f>IF($AA838="","",SUMIFS('Per Line'!$Y$2:$Y$4001,'Per Line'!$E$2:$E$4001,$B838,'Per Line'!$AP$2:$AP$4001,0,'Per Line'!$AQ$2:$AQ$4001,0))</f>
        <v/>
      </c>
      <c r="S838" s="7">
        <f>IF($AA838="","",R838*Q838)</f>
        <v/>
      </c>
      <c r="T838">
        <f>IF($AA838="","",Settings!$C$6)</f>
        <v/>
      </c>
      <c r="U838" s="7">
        <f>IF($AA838="","",SUMIFS('Per Line'!$Y$2:$Y$4001,'Per Line'!$E$2:$E$4001,$B838,'Per Line'!$AP$2:$AP$4001,1,'Per Line'!$AQ$2:$AQ$4001,0))</f>
        <v/>
      </c>
      <c r="V838" s="7">
        <f>IF($AA838="","",U838*T838)</f>
        <v/>
      </c>
      <c r="W838" s="7">
        <f>IF($AA838="","",V838+S838)</f>
        <v/>
      </c>
      <c r="X838" s="7">
        <f>IF($AA838="","",Y838-W838)</f>
        <v/>
      </c>
      <c r="Y838" s="7">
        <f>IF($AA838="","",R838+U838+P838)</f>
        <v/>
      </c>
      <c r="Z838" s="7">
        <f>IF($AA838="","",Y838-W838-L838)</f>
        <v/>
      </c>
      <c r="AA838" s="13">
        <f>IF(ROWS($AA$2:$AA838)&lt;=MAX('Per Line'!$AO$2:$AO$4001),MATCH(ROWS($AA$2:$AA838),'Per Line'!$AO$2:$AO$4001,0),"")</f>
        <v/>
      </c>
      <c r="AB838" s="14">
        <f>IF($AA838="","",L838-K838*Y838/100)</f>
        <v/>
      </c>
    </row>
    <row r="839">
      <c r="A839" s="12" t="n"/>
      <c r="B839">
        <f>IF($AA839="","",INDEX('Per Line'!$E$2:$E$4001,$AA839)&amp;"")</f>
        <v/>
      </c>
      <c r="C839">
        <f>IF($AA839="","",INDEX('Per Line'!$A$2:$A$4001,$AA839)&amp;"")</f>
        <v/>
      </c>
      <c r="D839">
        <f>IF($AA839="","",INDEX('Per Line'!$D$2:$D$4001,$AA839)&amp;"")</f>
        <v/>
      </c>
      <c r="E839" s="11">
        <f>IF($AA839="","",INDEX('Per Line'!$G$2:$G$4001,$AA839))</f>
        <v/>
      </c>
      <c r="F839">
        <f>IF($AA839="","",INDEX('Per Line'!$H$2:$H$4001,$AA839)&amp;"")</f>
        <v/>
      </c>
      <c r="G839">
        <f>IF($AA839="","",INDEX('Per Line'!$I$2:$I$4001,$AA839)&amp;"")</f>
        <v/>
      </c>
      <c r="H839">
        <f>IF($AA839="","",INDEX('Per Line'!$J$2:$J$4001,$AA839)&amp;"")</f>
        <v/>
      </c>
      <c r="I839">
        <f>IF($AA839="","",INDEX('Per Line'!$K$2:$K$4001,$AA839)&amp;"")</f>
        <v/>
      </c>
      <c r="J839">
        <f>IF($AA839="","",INDEX('Per Line'!$L$2:$L$4001,$AA839)&amp;"")</f>
        <v/>
      </c>
      <c r="K839">
        <f>IF($AA839="","",INDEX('Per Line'!$P$2:$P$4001,$AA839))</f>
        <v/>
      </c>
      <c r="L839" s="7">
        <f>IF($AA839="","",IF(AND(ISNUMBER(N839),N839&gt;0,Y839&gt;N839),K839*N839/100+(Y839-N839),K839*Y839/100))</f>
        <v/>
      </c>
      <c r="M839">
        <f>IF($AA839="","",INDEX('Per Line'!$Z$2:$Z$4001,$AA839)&amp;"")</f>
        <v/>
      </c>
      <c r="N839">
        <f>IF($AA839="","",INDEX('Per Line'!$AG$2:$AG$4001,$AA839))</f>
        <v/>
      </c>
      <c r="O839">
        <f>IF($AA839="","",IF(AND(ISNUMBER(N839),N839&gt;0),Y839&gt;N839,FALSE))</f>
        <v/>
      </c>
      <c r="P839" s="7">
        <f>IF($AA839="","",SUMIFS('Per Line'!$Y$2:$Y$4001,'Per Line'!$E$2:$E$4001,$B839,'Per Line'!$AQ$2:$AQ$4001,1))</f>
        <v/>
      </c>
      <c r="Q839">
        <f>IF($AA839="","",Settings!$C$7)</f>
        <v/>
      </c>
      <c r="R839" s="7">
        <f>IF($AA839="","",SUMIFS('Per Line'!$Y$2:$Y$4001,'Per Line'!$E$2:$E$4001,$B839,'Per Line'!$AP$2:$AP$4001,0,'Per Line'!$AQ$2:$AQ$4001,0))</f>
        <v/>
      </c>
      <c r="S839" s="7">
        <f>IF($AA839="","",R839*Q839)</f>
        <v/>
      </c>
      <c r="T839">
        <f>IF($AA839="","",Settings!$C$6)</f>
        <v/>
      </c>
      <c r="U839" s="7">
        <f>IF($AA839="","",SUMIFS('Per Line'!$Y$2:$Y$4001,'Per Line'!$E$2:$E$4001,$B839,'Per Line'!$AP$2:$AP$4001,1,'Per Line'!$AQ$2:$AQ$4001,0))</f>
        <v/>
      </c>
      <c r="V839" s="7">
        <f>IF($AA839="","",U839*T839)</f>
        <v/>
      </c>
      <c r="W839" s="7">
        <f>IF($AA839="","",V839+S839)</f>
        <v/>
      </c>
      <c r="X839" s="7">
        <f>IF($AA839="","",Y839-W839)</f>
        <v/>
      </c>
      <c r="Y839" s="7">
        <f>IF($AA839="","",R839+U839+P839)</f>
        <v/>
      </c>
      <c r="Z839" s="7">
        <f>IF($AA839="","",Y839-W839-L839)</f>
        <v/>
      </c>
      <c r="AA839" s="13">
        <f>IF(ROWS($AA$2:$AA839)&lt;=MAX('Per Line'!$AO$2:$AO$4001),MATCH(ROWS($AA$2:$AA839),'Per Line'!$AO$2:$AO$4001,0),"")</f>
        <v/>
      </c>
      <c r="AB839" s="14">
        <f>IF($AA839="","",L839-K839*Y839/100)</f>
        <v/>
      </c>
    </row>
    <row r="840">
      <c r="A840" s="12" t="n"/>
      <c r="B840">
        <f>IF($AA840="","",INDEX('Per Line'!$E$2:$E$4001,$AA840)&amp;"")</f>
        <v/>
      </c>
      <c r="C840">
        <f>IF($AA840="","",INDEX('Per Line'!$A$2:$A$4001,$AA840)&amp;"")</f>
        <v/>
      </c>
      <c r="D840">
        <f>IF($AA840="","",INDEX('Per Line'!$D$2:$D$4001,$AA840)&amp;"")</f>
        <v/>
      </c>
      <c r="E840" s="11">
        <f>IF($AA840="","",INDEX('Per Line'!$G$2:$G$4001,$AA840))</f>
        <v/>
      </c>
      <c r="F840">
        <f>IF($AA840="","",INDEX('Per Line'!$H$2:$H$4001,$AA840)&amp;"")</f>
        <v/>
      </c>
      <c r="G840">
        <f>IF($AA840="","",INDEX('Per Line'!$I$2:$I$4001,$AA840)&amp;"")</f>
        <v/>
      </c>
      <c r="H840">
        <f>IF($AA840="","",INDEX('Per Line'!$J$2:$J$4001,$AA840)&amp;"")</f>
        <v/>
      </c>
      <c r="I840">
        <f>IF($AA840="","",INDEX('Per Line'!$K$2:$K$4001,$AA840)&amp;"")</f>
        <v/>
      </c>
      <c r="J840">
        <f>IF($AA840="","",INDEX('Per Line'!$L$2:$L$4001,$AA840)&amp;"")</f>
        <v/>
      </c>
      <c r="K840">
        <f>IF($AA840="","",INDEX('Per Line'!$P$2:$P$4001,$AA840))</f>
        <v/>
      </c>
      <c r="L840" s="7">
        <f>IF($AA840="","",IF(AND(ISNUMBER(N840),N840&gt;0,Y840&gt;N840),K840*N840/100+(Y840-N840),K840*Y840/100))</f>
        <v/>
      </c>
      <c r="M840">
        <f>IF($AA840="","",INDEX('Per Line'!$Z$2:$Z$4001,$AA840)&amp;"")</f>
        <v/>
      </c>
      <c r="N840">
        <f>IF($AA840="","",INDEX('Per Line'!$AG$2:$AG$4001,$AA840))</f>
        <v/>
      </c>
      <c r="O840">
        <f>IF($AA840="","",IF(AND(ISNUMBER(N840),N840&gt;0),Y840&gt;N840,FALSE))</f>
        <v/>
      </c>
      <c r="P840" s="7">
        <f>IF($AA840="","",SUMIFS('Per Line'!$Y$2:$Y$4001,'Per Line'!$E$2:$E$4001,$B840,'Per Line'!$AQ$2:$AQ$4001,1))</f>
        <v/>
      </c>
      <c r="Q840">
        <f>IF($AA840="","",Settings!$C$7)</f>
        <v/>
      </c>
      <c r="R840" s="7">
        <f>IF($AA840="","",SUMIFS('Per Line'!$Y$2:$Y$4001,'Per Line'!$E$2:$E$4001,$B840,'Per Line'!$AP$2:$AP$4001,0,'Per Line'!$AQ$2:$AQ$4001,0))</f>
        <v/>
      </c>
      <c r="S840" s="7">
        <f>IF($AA840="","",R840*Q840)</f>
        <v/>
      </c>
      <c r="T840">
        <f>IF($AA840="","",Settings!$C$6)</f>
        <v/>
      </c>
      <c r="U840" s="7">
        <f>IF($AA840="","",SUMIFS('Per Line'!$Y$2:$Y$4001,'Per Line'!$E$2:$E$4001,$B840,'Per Line'!$AP$2:$AP$4001,1,'Per Line'!$AQ$2:$AQ$4001,0))</f>
        <v/>
      </c>
      <c r="V840" s="7">
        <f>IF($AA840="","",U840*T840)</f>
        <v/>
      </c>
      <c r="W840" s="7">
        <f>IF($AA840="","",V840+S840)</f>
        <v/>
      </c>
      <c r="X840" s="7">
        <f>IF($AA840="","",Y840-W840)</f>
        <v/>
      </c>
      <c r="Y840" s="7">
        <f>IF($AA840="","",R840+U840+P840)</f>
        <v/>
      </c>
      <c r="Z840" s="7">
        <f>IF($AA840="","",Y840-W840-L840)</f>
        <v/>
      </c>
      <c r="AA840" s="13">
        <f>IF(ROWS($AA$2:$AA840)&lt;=MAX('Per Line'!$AO$2:$AO$4001),MATCH(ROWS($AA$2:$AA840),'Per Line'!$AO$2:$AO$4001,0),"")</f>
        <v/>
      </c>
      <c r="AB840" s="14">
        <f>IF($AA840="","",L840-K840*Y840/100)</f>
        <v/>
      </c>
    </row>
    <row r="841">
      <c r="A841" s="12" t="n"/>
      <c r="B841">
        <f>IF($AA841="","",INDEX('Per Line'!$E$2:$E$4001,$AA841)&amp;"")</f>
        <v/>
      </c>
      <c r="C841">
        <f>IF($AA841="","",INDEX('Per Line'!$A$2:$A$4001,$AA841)&amp;"")</f>
        <v/>
      </c>
      <c r="D841">
        <f>IF($AA841="","",INDEX('Per Line'!$D$2:$D$4001,$AA841)&amp;"")</f>
        <v/>
      </c>
      <c r="E841" s="11">
        <f>IF($AA841="","",INDEX('Per Line'!$G$2:$G$4001,$AA841))</f>
        <v/>
      </c>
      <c r="F841">
        <f>IF($AA841="","",INDEX('Per Line'!$H$2:$H$4001,$AA841)&amp;"")</f>
        <v/>
      </c>
      <c r="G841">
        <f>IF($AA841="","",INDEX('Per Line'!$I$2:$I$4001,$AA841)&amp;"")</f>
        <v/>
      </c>
      <c r="H841">
        <f>IF($AA841="","",INDEX('Per Line'!$J$2:$J$4001,$AA841)&amp;"")</f>
        <v/>
      </c>
      <c r="I841">
        <f>IF($AA841="","",INDEX('Per Line'!$K$2:$K$4001,$AA841)&amp;"")</f>
        <v/>
      </c>
      <c r="J841">
        <f>IF($AA841="","",INDEX('Per Line'!$L$2:$L$4001,$AA841)&amp;"")</f>
        <v/>
      </c>
      <c r="K841">
        <f>IF($AA841="","",INDEX('Per Line'!$P$2:$P$4001,$AA841))</f>
        <v/>
      </c>
      <c r="L841" s="7">
        <f>IF($AA841="","",IF(AND(ISNUMBER(N841),N841&gt;0,Y841&gt;N841),K841*N841/100+(Y841-N841),K841*Y841/100))</f>
        <v/>
      </c>
      <c r="M841">
        <f>IF($AA841="","",INDEX('Per Line'!$Z$2:$Z$4001,$AA841)&amp;"")</f>
        <v/>
      </c>
      <c r="N841">
        <f>IF($AA841="","",INDEX('Per Line'!$AG$2:$AG$4001,$AA841))</f>
        <v/>
      </c>
      <c r="O841">
        <f>IF($AA841="","",IF(AND(ISNUMBER(N841),N841&gt;0),Y841&gt;N841,FALSE))</f>
        <v/>
      </c>
      <c r="P841" s="7">
        <f>IF($AA841="","",SUMIFS('Per Line'!$Y$2:$Y$4001,'Per Line'!$E$2:$E$4001,$B841,'Per Line'!$AQ$2:$AQ$4001,1))</f>
        <v/>
      </c>
      <c r="Q841">
        <f>IF($AA841="","",Settings!$C$7)</f>
        <v/>
      </c>
      <c r="R841" s="7">
        <f>IF($AA841="","",SUMIFS('Per Line'!$Y$2:$Y$4001,'Per Line'!$E$2:$E$4001,$B841,'Per Line'!$AP$2:$AP$4001,0,'Per Line'!$AQ$2:$AQ$4001,0))</f>
        <v/>
      </c>
      <c r="S841" s="7">
        <f>IF($AA841="","",R841*Q841)</f>
        <v/>
      </c>
      <c r="T841">
        <f>IF($AA841="","",Settings!$C$6)</f>
        <v/>
      </c>
      <c r="U841" s="7">
        <f>IF($AA841="","",SUMIFS('Per Line'!$Y$2:$Y$4001,'Per Line'!$E$2:$E$4001,$B841,'Per Line'!$AP$2:$AP$4001,1,'Per Line'!$AQ$2:$AQ$4001,0))</f>
        <v/>
      </c>
      <c r="V841" s="7">
        <f>IF($AA841="","",U841*T841)</f>
        <v/>
      </c>
      <c r="W841" s="7">
        <f>IF($AA841="","",V841+S841)</f>
        <v/>
      </c>
      <c r="X841" s="7">
        <f>IF($AA841="","",Y841-W841)</f>
        <v/>
      </c>
      <c r="Y841" s="7">
        <f>IF($AA841="","",R841+U841+P841)</f>
        <v/>
      </c>
      <c r="Z841" s="7">
        <f>IF($AA841="","",Y841-W841-L841)</f>
        <v/>
      </c>
      <c r="AA841" s="13">
        <f>IF(ROWS($AA$2:$AA841)&lt;=MAX('Per Line'!$AO$2:$AO$4001),MATCH(ROWS($AA$2:$AA841),'Per Line'!$AO$2:$AO$4001,0),"")</f>
        <v/>
      </c>
      <c r="AB841" s="14">
        <f>IF($AA841="","",L841-K841*Y841/100)</f>
        <v/>
      </c>
    </row>
    <row r="842">
      <c r="A842" s="12" t="n"/>
      <c r="B842">
        <f>IF($AA842="","",INDEX('Per Line'!$E$2:$E$4001,$AA842)&amp;"")</f>
        <v/>
      </c>
      <c r="C842">
        <f>IF($AA842="","",INDEX('Per Line'!$A$2:$A$4001,$AA842)&amp;"")</f>
        <v/>
      </c>
      <c r="D842">
        <f>IF($AA842="","",INDEX('Per Line'!$D$2:$D$4001,$AA842)&amp;"")</f>
        <v/>
      </c>
      <c r="E842" s="11">
        <f>IF($AA842="","",INDEX('Per Line'!$G$2:$G$4001,$AA842))</f>
        <v/>
      </c>
      <c r="F842">
        <f>IF($AA842="","",INDEX('Per Line'!$H$2:$H$4001,$AA842)&amp;"")</f>
        <v/>
      </c>
      <c r="G842">
        <f>IF($AA842="","",INDEX('Per Line'!$I$2:$I$4001,$AA842)&amp;"")</f>
        <v/>
      </c>
      <c r="H842">
        <f>IF($AA842="","",INDEX('Per Line'!$J$2:$J$4001,$AA842)&amp;"")</f>
        <v/>
      </c>
      <c r="I842">
        <f>IF($AA842="","",INDEX('Per Line'!$K$2:$K$4001,$AA842)&amp;"")</f>
        <v/>
      </c>
      <c r="J842">
        <f>IF($AA842="","",INDEX('Per Line'!$L$2:$L$4001,$AA842)&amp;"")</f>
        <v/>
      </c>
      <c r="K842">
        <f>IF($AA842="","",INDEX('Per Line'!$P$2:$P$4001,$AA842))</f>
        <v/>
      </c>
      <c r="L842" s="7">
        <f>IF($AA842="","",IF(AND(ISNUMBER(N842),N842&gt;0,Y842&gt;N842),K842*N842/100+(Y842-N842),K842*Y842/100))</f>
        <v/>
      </c>
      <c r="M842">
        <f>IF($AA842="","",INDEX('Per Line'!$Z$2:$Z$4001,$AA842)&amp;"")</f>
        <v/>
      </c>
      <c r="N842">
        <f>IF($AA842="","",INDEX('Per Line'!$AG$2:$AG$4001,$AA842))</f>
        <v/>
      </c>
      <c r="O842">
        <f>IF($AA842="","",IF(AND(ISNUMBER(N842),N842&gt;0),Y842&gt;N842,FALSE))</f>
        <v/>
      </c>
      <c r="P842" s="7">
        <f>IF($AA842="","",SUMIFS('Per Line'!$Y$2:$Y$4001,'Per Line'!$E$2:$E$4001,$B842,'Per Line'!$AQ$2:$AQ$4001,1))</f>
        <v/>
      </c>
      <c r="Q842">
        <f>IF($AA842="","",Settings!$C$7)</f>
        <v/>
      </c>
      <c r="R842" s="7">
        <f>IF($AA842="","",SUMIFS('Per Line'!$Y$2:$Y$4001,'Per Line'!$E$2:$E$4001,$B842,'Per Line'!$AP$2:$AP$4001,0,'Per Line'!$AQ$2:$AQ$4001,0))</f>
        <v/>
      </c>
      <c r="S842" s="7">
        <f>IF($AA842="","",R842*Q842)</f>
        <v/>
      </c>
      <c r="T842">
        <f>IF($AA842="","",Settings!$C$6)</f>
        <v/>
      </c>
      <c r="U842" s="7">
        <f>IF($AA842="","",SUMIFS('Per Line'!$Y$2:$Y$4001,'Per Line'!$E$2:$E$4001,$B842,'Per Line'!$AP$2:$AP$4001,1,'Per Line'!$AQ$2:$AQ$4001,0))</f>
        <v/>
      </c>
      <c r="V842" s="7">
        <f>IF($AA842="","",U842*T842)</f>
        <v/>
      </c>
      <c r="W842" s="7">
        <f>IF($AA842="","",V842+S842)</f>
        <v/>
      </c>
      <c r="X842" s="7">
        <f>IF($AA842="","",Y842-W842)</f>
        <v/>
      </c>
      <c r="Y842" s="7">
        <f>IF($AA842="","",R842+U842+P842)</f>
        <v/>
      </c>
      <c r="Z842" s="7">
        <f>IF($AA842="","",Y842-W842-L842)</f>
        <v/>
      </c>
      <c r="AA842" s="13">
        <f>IF(ROWS($AA$2:$AA842)&lt;=MAX('Per Line'!$AO$2:$AO$4001),MATCH(ROWS($AA$2:$AA842),'Per Line'!$AO$2:$AO$4001,0),"")</f>
        <v/>
      </c>
      <c r="AB842" s="14">
        <f>IF($AA842="","",L842-K842*Y842/100)</f>
        <v/>
      </c>
    </row>
    <row r="843">
      <c r="A843" s="12" t="n"/>
      <c r="B843">
        <f>IF($AA843="","",INDEX('Per Line'!$E$2:$E$4001,$AA843)&amp;"")</f>
        <v/>
      </c>
      <c r="C843">
        <f>IF($AA843="","",INDEX('Per Line'!$A$2:$A$4001,$AA843)&amp;"")</f>
        <v/>
      </c>
      <c r="D843">
        <f>IF($AA843="","",INDEX('Per Line'!$D$2:$D$4001,$AA843)&amp;"")</f>
        <v/>
      </c>
      <c r="E843" s="11">
        <f>IF($AA843="","",INDEX('Per Line'!$G$2:$G$4001,$AA843))</f>
        <v/>
      </c>
      <c r="F843">
        <f>IF($AA843="","",INDEX('Per Line'!$H$2:$H$4001,$AA843)&amp;"")</f>
        <v/>
      </c>
      <c r="G843">
        <f>IF($AA843="","",INDEX('Per Line'!$I$2:$I$4001,$AA843)&amp;"")</f>
        <v/>
      </c>
      <c r="H843">
        <f>IF($AA843="","",INDEX('Per Line'!$J$2:$J$4001,$AA843)&amp;"")</f>
        <v/>
      </c>
      <c r="I843">
        <f>IF($AA843="","",INDEX('Per Line'!$K$2:$K$4001,$AA843)&amp;"")</f>
        <v/>
      </c>
      <c r="J843">
        <f>IF($AA843="","",INDEX('Per Line'!$L$2:$L$4001,$AA843)&amp;"")</f>
        <v/>
      </c>
      <c r="K843">
        <f>IF($AA843="","",INDEX('Per Line'!$P$2:$P$4001,$AA843))</f>
        <v/>
      </c>
      <c r="L843" s="7">
        <f>IF($AA843="","",IF(AND(ISNUMBER(N843),N843&gt;0,Y843&gt;N843),K843*N843/100+(Y843-N843),K843*Y843/100))</f>
        <v/>
      </c>
      <c r="M843">
        <f>IF($AA843="","",INDEX('Per Line'!$Z$2:$Z$4001,$AA843)&amp;"")</f>
        <v/>
      </c>
      <c r="N843">
        <f>IF($AA843="","",INDEX('Per Line'!$AG$2:$AG$4001,$AA843))</f>
        <v/>
      </c>
      <c r="O843">
        <f>IF($AA843="","",IF(AND(ISNUMBER(N843),N843&gt;0),Y843&gt;N843,FALSE))</f>
        <v/>
      </c>
      <c r="P843" s="7">
        <f>IF($AA843="","",SUMIFS('Per Line'!$Y$2:$Y$4001,'Per Line'!$E$2:$E$4001,$B843,'Per Line'!$AQ$2:$AQ$4001,1))</f>
        <v/>
      </c>
      <c r="Q843">
        <f>IF($AA843="","",Settings!$C$7)</f>
        <v/>
      </c>
      <c r="R843" s="7">
        <f>IF($AA843="","",SUMIFS('Per Line'!$Y$2:$Y$4001,'Per Line'!$E$2:$E$4001,$B843,'Per Line'!$AP$2:$AP$4001,0,'Per Line'!$AQ$2:$AQ$4001,0))</f>
        <v/>
      </c>
      <c r="S843" s="7">
        <f>IF($AA843="","",R843*Q843)</f>
        <v/>
      </c>
      <c r="T843">
        <f>IF($AA843="","",Settings!$C$6)</f>
        <v/>
      </c>
      <c r="U843" s="7">
        <f>IF($AA843="","",SUMIFS('Per Line'!$Y$2:$Y$4001,'Per Line'!$E$2:$E$4001,$B843,'Per Line'!$AP$2:$AP$4001,1,'Per Line'!$AQ$2:$AQ$4001,0))</f>
        <v/>
      </c>
      <c r="V843" s="7">
        <f>IF($AA843="","",U843*T843)</f>
        <v/>
      </c>
      <c r="W843" s="7">
        <f>IF($AA843="","",V843+S843)</f>
        <v/>
      </c>
      <c r="X843" s="7">
        <f>IF($AA843="","",Y843-W843)</f>
        <v/>
      </c>
      <c r="Y843" s="7">
        <f>IF($AA843="","",R843+U843+P843)</f>
        <v/>
      </c>
      <c r="Z843" s="7">
        <f>IF($AA843="","",Y843-W843-L843)</f>
        <v/>
      </c>
      <c r="AA843" s="13">
        <f>IF(ROWS($AA$2:$AA843)&lt;=MAX('Per Line'!$AO$2:$AO$4001),MATCH(ROWS($AA$2:$AA843),'Per Line'!$AO$2:$AO$4001,0),"")</f>
        <v/>
      </c>
      <c r="AB843" s="14">
        <f>IF($AA843="","",L843-K843*Y843/100)</f>
        <v/>
      </c>
    </row>
    <row r="844">
      <c r="A844" s="12" t="n"/>
      <c r="B844">
        <f>IF($AA844="","",INDEX('Per Line'!$E$2:$E$4001,$AA844)&amp;"")</f>
        <v/>
      </c>
      <c r="C844">
        <f>IF($AA844="","",INDEX('Per Line'!$A$2:$A$4001,$AA844)&amp;"")</f>
        <v/>
      </c>
      <c r="D844">
        <f>IF($AA844="","",INDEX('Per Line'!$D$2:$D$4001,$AA844)&amp;"")</f>
        <v/>
      </c>
      <c r="E844" s="11">
        <f>IF($AA844="","",INDEX('Per Line'!$G$2:$G$4001,$AA844))</f>
        <v/>
      </c>
      <c r="F844">
        <f>IF($AA844="","",INDEX('Per Line'!$H$2:$H$4001,$AA844)&amp;"")</f>
        <v/>
      </c>
      <c r="G844">
        <f>IF($AA844="","",INDEX('Per Line'!$I$2:$I$4001,$AA844)&amp;"")</f>
        <v/>
      </c>
      <c r="H844">
        <f>IF($AA844="","",INDEX('Per Line'!$J$2:$J$4001,$AA844)&amp;"")</f>
        <v/>
      </c>
      <c r="I844">
        <f>IF($AA844="","",INDEX('Per Line'!$K$2:$K$4001,$AA844)&amp;"")</f>
        <v/>
      </c>
      <c r="J844">
        <f>IF($AA844="","",INDEX('Per Line'!$L$2:$L$4001,$AA844)&amp;"")</f>
        <v/>
      </c>
      <c r="K844">
        <f>IF($AA844="","",INDEX('Per Line'!$P$2:$P$4001,$AA844))</f>
        <v/>
      </c>
      <c r="L844" s="7">
        <f>IF($AA844="","",IF(AND(ISNUMBER(N844),N844&gt;0,Y844&gt;N844),K844*N844/100+(Y844-N844),K844*Y844/100))</f>
        <v/>
      </c>
      <c r="M844">
        <f>IF($AA844="","",INDEX('Per Line'!$Z$2:$Z$4001,$AA844)&amp;"")</f>
        <v/>
      </c>
      <c r="N844">
        <f>IF($AA844="","",INDEX('Per Line'!$AG$2:$AG$4001,$AA844))</f>
        <v/>
      </c>
      <c r="O844">
        <f>IF($AA844="","",IF(AND(ISNUMBER(N844),N844&gt;0),Y844&gt;N844,FALSE))</f>
        <v/>
      </c>
      <c r="P844" s="7">
        <f>IF($AA844="","",SUMIFS('Per Line'!$Y$2:$Y$4001,'Per Line'!$E$2:$E$4001,$B844,'Per Line'!$AQ$2:$AQ$4001,1))</f>
        <v/>
      </c>
      <c r="Q844">
        <f>IF($AA844="","",Settings!$C$7)</f>
        <v/>
      </c>
      <c r="R844" s="7">
        <f>IF($AA844="","",SUMIFS('Per Line'!$Y$2:$Y$4001,'Per Line'!$E$2:$E$4001,$B844,'Per Line'!$AP$2:$AP$4001,0,'Per Line'!$AQ$2:$AQ$4001,0))</f>
        <v/>
      </c>
      <c r="S844" s="7">
        <f>IF($AA844="","",R844*Q844)</f>
        <v/>
      </c>
      <c r="T844">
        <f>IF($AA844="","",Settings!$C$6)</f>
        <v/>
      </c>
      <c r="U844" s="7">
        <f>IF($AA844="","",SUMIFS('Per Line'!$Y$2:$Y$4001,'Per Line'!$E$2:$E$4001,$B844,'Per Line'!$AP$2:$AP$4001,1,'Per Line'!$AQ$2:$AQ$4001,0))</f>
        <v/>
      </c>
      <c r="V844" s="7">
        <f>IF($AA844="","",U844*T844)</f>
        <v/>
      </c>
      <c r="W844" s="7">
        <f>IF($AA844="","",V844+S844)</f>
        <v/>
      </c>
      <c r="X844" s="7">
        <f>IF($AA844="","",Y844-W844)</f>
        <v/>
      </c>
      <c r="Y844" s="7">
        <f>IF($AA844="","",R844+U844+P844)</f>
        <v/>
      </c>
      <c r="Z844" s="7">
        <f>IF($AA844="","",Y844-W844-L844)</f>
        <v/>
      </c>
      <c r="AA844" s="13">
        <f>IF(ROWS($AA$2:$AA844)&lt;=MAX('Per Line'!$AO$2:$AO$4001),MATCH(ROWS($AA$2:$AA844),'Per Line'!$AO$2:$AO$4001,0),"")</f>
        <v/>
      </c>
      <c r="AB844" s="14">
        <f>IF($AA844="","",L844-K844*Y844/100)</f>
        <v/>
      </c>
    </row>
    <row r="845">
      <c r="A845" s="12" t="n"/>
      <c r="B845">
        <f>IF($AA845="","",INDEX('Per Line'!$E$2:$E$4001,$AA845)&amp;"")</f>
        <v/>
      </c>
      <c r="C845">
        <f>IF($AA845="","",INDEX('Per Line'!$A$2:$A$4001,$AA845)&amp;"")</f>
        <v/>
      </c>
      <c r="D845">
        <f>IF($AA845="","",INDEX('Per Line'!$D$2:$D$4001,$AA845)&amp;"")</f>
        <v/>
      </c>
      <c r="E845" s="11">
        <f>IF($AA845="","",INDEX('Per Line'!$G$2:$G$4001,$AA845))</f>
        <v/>
      </c>
      <c r="F845">
        <f>IF($AA845="","",INDEX('Per Line'!$H$2:$H$4001,$AA845)&amp;"")</f>
        <v/>
      </c>
      <c r="G845">
        <f>IF($AA845="","",INDEX('Per Line'!$I$2:$I$4001,$AA845)&amp;"")</f>
        <v/>
      </c>
      <c r="H845">
        <f>IF($AA845="","",INDEX('Per Line'!$J$2:$J$4001,$AA845)&amp;"")</f>
        <v/>
      </c>
      <c r="I845">
        <f>IF($AA845="","",INDEX('Per Line'!$K$2:$K$4001,$AA845)&amp;"")</f>
        <v/>
      </c>
      <c r="J845">
        <f>IF($AA845="","",INDEX('Per Line'!$L$2:$L$4001,$AA845)&amp;"")</f>
        <v/>
      </c>
      <c r="K845">
        <f>IF($AA845="","",INDEX('Per Line'!$P$2:$P$4001,$AA845))</f>
        <v/>
      </c>
      <c r="L845" s="7">
        <f>IF($AA845="","",IF(AND(ISNUMBER(N845),N845&gt;0,Y845&gt;N845),K845*N845/100+(Y845-N845),K845*Y845/100))</f>
        <v/>
      </c>
      <c r="M845">
        <f>IF($AA845="","",INDEX('Per Line'!$Z$2:$Z$4001,$AA845)&amp;"")</f>
        <v/>
      </c>
      <c r="N845">
        <f>IF($AA845="","",INDEX('Per Line'!$AG$2:$AG$4001,$AA845))</f>
        <v/>
      </c>
      <c r="O845">
        <f>IF($AA845="","",IF(AND(ISNUMBER(N845),N845&gt;0),Y845&gt;N845,FALSE))</f>
        <v/>
      </c>
      <c r="P845" s="7">
        <f>IF($AA845="","",SUMIFS('Per Line'!$Y$2:$Y$4001,'Per Line'!$E$2:$E$4001,$B845,'Per Line'!$AQ$2:$AQ$4001,1))</f>
        <v/>
      </c>
      <c r="Q845">
        <f>IF($AA845="","",Settings!$C$7)</f>
        <v/>
      </c>
      <c r="R845" s="7">
        <f>IF($AA845="","",SUMIFS('Per Line'!$Y$2:$Y$4001,'Per Line'!$E$2:$E$4001,$B845,'Per Line'!$AP$2:$AP$4001,0,'Per Line'!$AQ$2:$AQ$4001,0))</f>
        <v/>
      </c>
      <c r="S845" s="7">
        <f>IF($AA845="","",R845*Q845)</f>
        <v/>
      </c>
      <c r="T845">
        <f>IF($AA845="","",Settings!$C$6)</f>
        <v/>
      </c>
      <c r="U845" s="7">
        <f>IF($AA845="","",SUMIFS('Per Line'!$Y$2:$Y$4001,'Per Line'!$E$2:$E$4001,$B845,'Per Line'!$AP$2:$AP$4001,1,'Per Line'!$AQ$2:$AQ$4001,0))</f>
        <v/>
      </c>
      <c r="V845" s="7">
        <f>IF($AA845="","",U845*T845)</f>
        <v/>
      </c>
      <c r="W845" s="7">
        <f>IF($AA845="","",V845+S845)</f>
        <v/>
      </c>
      <c r="X845" s="7">
        <f>IF($AA845="","",Y845-W845)</f>
        <v/>
      </c>
      <c r="Y845" s="7">
        <f>IF($AA845="","",R845+U845+P845)</f>
        <v/>
      </c>
      <c r="Z845" s="7">
        <f>IF($AA845="","",Y845-W845-L845)</f>
        <v/>
      </c>
      <c r="AA845" s="13">
        <f>IF(ROWS($AA$2:$AA845)&lt;=MAX('Per Line'!$AO$2:$AO$4001),MATCH(ROWS($AA$2:$AA845),'Per Line'!$AO$2:$AO$4001,0),"")</f>
        <v/>
      </c>
      <c r="AB845" s="14">
        <f>IF($AA845="","",L845-K845*Y845/100)</f>
        <v/>
      </c>
    </row>
    <row r="846">
      <c r="A846" s="12" t="n"/>
      <c r="B846">
        <f>IF($AA846="","",INDEX('Per Line'!$E$2:$E$4001,$AA846)&amp;"")</f>
        <v/>
      </c>
      <c r="C846">
        <f>IF($AA846="","",INDEX('Per Line'!$A$2:$A$4001,$AA846)&amp;"")</f>
        <v/>
      </c>
      <c r="D846">
        <f>IF($AA846="","",INDEX('Per Line'!$D$2:$D$4001,$AA846)&amp;"")</f>
        <v/>
      </c>
      <c r="E846" s="11">
        <f>IF($AA846="","",INDEX('Per Line'!$G$2:$G$4001,$AA846))</f>
        <v/>
      </c>
      <c r="F846">
        <f>IF($AA846="","",INDEX('Per Line'!$H$2:$H$4001,$AA846)&amp;"")</f>
        <v/>
      </c>
      <c r="G846">
        <f>IF($AA846="","",INDEX('Per Line'!$I$2:$I$4001,$AA846)&amp;"")</f>
        <v/>
      </c>
      <c r="H846">
        <f>IF($AA846="","",INDEX('Per Line'!$J$2:$J$4001,$AA846)&amp;"")</f>
        <v/>
      </c>
      <c r="I846">
        <f>IF($AA846="","",INDEX('Per Line'!$K$2:$K$4001,$AA846)&amp;"")</f>
        <v/>
      </c>
      <c r="J846">
        <f>IF($AA846="","",INDEX('Per Line'!$L$2:$L$4001,$AA846)&amp;"")</f>
        <v/>
      </c>
      <c r="K846">
        <f>IF($AA846="","",INDEX('Per Line'!$P$2:$P$4001,$AA846))</f>
        <v/>
      </c>
      <c r="L846" s="7">
        <f>IF($AA846="","",IF(AND(ISNUMBER(N846),N846&gt;0,Y846&gt;N846),K846*N846/100+(Y846-N846),K846*Y846/100))</f>
        <v/>
      </c>
      <c r="M846">
        <f>IF($AA846="","",INDEX('Per Line'!$Z$2:$Z$4001,$AA846)&amp;"")</f>
        <v/>
      </c>
      <c r="N846">
        <f>IF($AA846="","",INDEX('Per Line'!$AG$2:$AG$4001,$AA846))</f>
        <v/>
      </c>
      <c r="O846">
        <f>IF($AA846="","",IF(AND(ISNUMBER(N846),N846&gt;0),Y846&gt;N846,FALSE))</f>
        <v/>
      </c>
      <c r="P846" s="7">
        <f>IF($AA846="","",SUMIFS('Per Line'!$Y$2:$Y$4001,'Per Line'!$E$2:$E$4001,$B846,'Per Line'!$AQ$2:$AQ$4001,1))</f>
        <v/>
      </c>
      <c r="Q846">
        <f>IF($AA846="","",Settings!$C$7)</f>
        <v/>
      </c>
      <c r="R846" s="7">
        <f>IF($AA846="","",SUMIFS('Per Line'!$Y$2:$Y$4001,'Per Line'!$E$2:$E$4001,$B846,'Per Line'!$AP$2:$AP$4001,0,'Per Line'!$AQ$2:$AQ$4001,0))</f>
        <v/>
      </c>
      <c r="S846" s="7">
        <f>IF($AA846="","",R846*Q846)</f>
        <v/>
      </c>
      <c r="T846">
        <f>IF($AA846="","",Settings!$C$6)</f>
        <v/>
      </c>
      <c r="U846" s="7">
        <f>IF($AA846="","",SUMIFS('Per Line'!$Y$2:$Y$4001,'Per Line'!$E$2:$E$4001,$B846,'Per Line'!$AP$2:$AP$4001,1,'Per Line'!$AQ$2:$AQ$4001,0))</f>
        <v/>
      </c>
      <c r="V846" s="7">
        <f>IF($AA846="","",U846*T846)</f>
        <v/>
      </c>
      <c r="W846" s="7">
        <f>IF($AA846="","",V846+S846)</f>
        <v/>
      </c>
      <c r="X846" s="7">
        <f>IF($AA846="","",Y846-W846)</f>
        <v/>
      </c>
      <c r="Y846" s="7">
        <f>IF($AA846="","",R846+U846+P846)</f>
        <v/>
      </c>
      <c r="Z846" s="7">
        <f>IF($AA846="","",Y846-W846-L846)</f>
        <v/>
      </c>
      <c r="AA846" s="13">
        <f>IF(ROWS($AA$2:$AA846)&lt;=MAX('Per Line'!$AO$2:$AO$4001),MATCH(ROWS($AA$2:$AA846),'Per Line'!$AO$2:$AO$4001,0),"")</f>
        <v/>
      </c>
      <c r="AB846" s="14">
        <f>IF($AA846="","",L846-K846*Y846/100)</f>
        <v/>
      </c>
    </row>
    <row r="847">
      <c r="A847" s="12" t="n"/>
      <c r="B847">
        <f>IF($AA847="","",INDEX('Per Line'!$E$2:$E$4001,$AA847)&amp;"")</f>
        <v/>
      </c>
      <c r="C847">
        <f>IF($AA847="","",INDEX('Per Line'!$A$2:$A$4001,$AA847)&amp;"")</f>
        <v/>
      </c>
      <c r="D847">
        <f>IF($AA847="","",INDEX('Per Line'!$D$2:$D$4001,$AA847)&amp;"")</f>
        <v/>
      </c>
      <c r="E847" s="11">
        <f>IF($AA847="","",INDEX('Per Line'!$G$2:$G$4001,$AA847))</f>
        <v/>
      </c>
      <c r="F847">
        <f>IF($AA847="","",INDEX('Per Line'!$H$2:$H$4001,$AA847)&amp;"")</f>
        <v/>
      </c>
      <c r="G847">
        <f>IF($AA847="","",INDEX('Per Line'!$I$2:$I$4001,$AA847)&amp;"")</f>
        <v/>
      </c>
      <c r="H847">
        <f>IF($AA847="","",INDEX('Per Line'!$J$2:$J$4001,$AA847)&amp;"")</f>
        <v/>
      </c>
      <c r="I847">
        <f>IF($AA847="","",INDEX('Per Line'!$K$2:$K$4001,$AA847)&amp;"")</f>
        <v/>
      </c>
      <c r="J847">
        <f>IF($AA847="","",INDEX('Per Line'!$L$2:$L$4001,$AA847)&amp;"")</f>
        <v/>
      </c>
      <c r="K847">
        <f>IF($AA847="","",INDEX('Per Line'!$P$2:$P$4001,$AA847))</f>
        <v/>
      </c>
      <c r="L847" s="7">
        <f>IF($AA847="","",IF(AND(ISNUMBER(N847),N847&gt;0,Y847&gt;N847),K847*N847/100+(Y847-N847),K847*Y847/100))</f>
        <v/>
      </c>
      <c r="M847">
        <f>IF($AA847="","",INDEX('Per Line'!$Z$2:$Z$4001,$AA847)&amp;"")</f>
        <v/>
      </c>
      <c r="N847">
        <f>IF($AA847="","",INDEX('Per Line'!$AG$2:$AG$4001,$AA847))</f>
        <v/>
      </c>
      <c r="O847">
        <f>IF($AA847="","",IF(AND(ISNUMBER(N847),N847&gt;0),Y847&gt;N847,FALSE))</f>
        <v/>
      </c>
      <c r="P847" s="7">
        <f>IF($AA847="","",SUMIFS('Per Line'!$Y$2:$Y$4001,'Per Line'!$E$2:$E$4001,$B847,'Per Line'!$AQ$2:$AQ$4001,1))</f>
        <v/>
      </c>
      <c r="Q847">
        <f>IF($AA847="","",Settings!$C$7)</f>
        <v/>
      </c>
      <c r="R847" s="7">
        <f>IF($AA847="","",SUMIFS('Per Line'!$Y$2:$Y$4001,'Per Line'!$E$2:$E$4001,$B847,'Per Line'!$AP$2:$AP$4001,0,'Per Line'!$AQ$2:$AQ$4001,0))</f>
        <v/>
      </c>
      <c r="S847" s="7">
        <f>IF($AA847="","",R847*Q847)</f>
        <v/>
      </c>
      <c r="T847">
        <f>IF($AA847="","",Settings!$C$6)</f>
        <v/>
      </c>
      <c r="U847" s="7">
        <f>IF($AA847="","",SUMIFS('Per Line'!$Y$2:$Y$4001,'Per Line'!$E$2:$E$4001,$B847,'Per Line'!$AP$2:$AP$4001,1,'Per Line'!$AQ$2:$AQ$4001,0))</f>
        <v/>
      </c>
      <c r="V847" s="7">
        <f>IF($AA847="","",U847*T847)</f>
        <v/>
      </c>
      <c r="W847" s="7">
        <f>IF($AA847="","",V847+S847)</f>
        <v/>
      </c>
      <c r="X847" s="7">
        <f>IF($AA847="","",Y847-W847)</f>
        <v/>
      </c>
      <c r="Y847" s="7">
        <f>IF($AA847="","",R847+U847+P847)</f>
        <v/>
      </c>
      <c r="Z847" s="7">
        <f>IF($AA847="","",Y847-W847-L847)</f>
        <v/>
      </c>
      <c r="AA847" s="13">
        <f>IF(ROWS($AA$2:$AA847)&lt;=MAX('Per Line'!$AO$2:$AO$4001),MATCH(ROWS($AA$2:$AA847),'Per Line'!$AO$2:$AO$4001,0),"")</f>
        <v/>
      </c>
      <c r="AB847" s="14">
        <f>IF($AA847="","",L847-K847*Y847/100)</f>
        <v/>
      </c>
    </row>
    <row r="848">
      <c r="A848" s="12" t="n"/>
      <c r="B848">
        <f>IF($AA848="","",INDEX('Per Line'!$E$2:$E$4001,$AA848)&amp;"")</f>
        <v/>
      </c>
      <c r="C848">
        <f>IF($AA848="","",INDEX('Per Line'!$A$2:$A$4001,$AA848)&amp;"")</f>
        <v/>
      </c>
      <c r="D848">
        <f>IF($AA848="","",INDEX('Per Line'!$D$2:$D$4001,$AA848)&amp;"")</f>
        <v/>
      </c>
      <c r="E848" s="11">
        <f>IF($AA848="","",INDEX('Per Line'!$G$2:$G$4001,$AA848))</f>
        <v/>
      </c>
      <c r="F848">
        <f>IF($AA848="","",INDEX('Per Line'!$H$2:$H$4001,$AA848)&amp;"")</f>
        <v/>
      </c>
      <c r="G848">
        <f>IF($AA848="","",INDEX('Per Line'!$I$2:$I$4001,$AA848)&amp;"")</f>
        <v/>
      </c>
      <c r="H848">
        <f>IF($AA848="","",INDEX('Per Line'!$J$2:$J$4001,$AA848)&amp;"")</f>
        <v/>
      </c>
      <c r="I848">
        <f>IF($AA848="","",INDEX('Per Line'!$K$2:$K$4001,$AA848)&amp;"")</f>
        <v/>
      </c>
      <c r="J848">
        <f>IF($AA848="","",INDEX('Per Line'!$L$2:$L$4001,$AA848)&amp;"")</f>
        <v/>
      </c>
      <c r="K848">
        <f>IF($AA848="","",INDEX('Per Line'!$P$2:$P$4001,$AA848))</f>
        <v/>
      </c>
      <c r="L848" s="7">
        <f>IF($AA848="","",IF(AND(ISNUMBER(N848),N848&gt;0,Y848&gt;N848),K848*N848/100+(Y848-N848),K848*Y848/100))</f>
        <v/>
      </c>
      <c r="M848">
        <f>IF($AA848="","",INDEX('Per Line'!$Z$2:$Z$4001,$AA848)&amp;"")</f>
        <v/>
      </c>
      <c r="N848">
        <f>IF($AA848="","",INDEX('Per Line'!$AG$2:$AG$4001,$AA848))</f>
        <v/>
      </c>
      <c r="O848">
        <f>IF($AA848="","",IF(AND(ISNUMBER(N848),N848&gt;0),Y848&gt;N848,FALSE))</f>
        <v/>
      </c>
      <c r="P848" s="7">
        <f>IF($AA848="","",SUMIFS('Per Line'!$Y$2:$Y$4001,'Per Line'!$E$2:$E$4001,$B848,'Per Line'!$AQ$2:$AQ$4001,1))</f>
        <v/>
      </c>
      <c r="Q848">
        <f>IF($AA848="","",Settings!$C$7)</f>
        <v/>
      </c>
      <c r="R848" s="7">
        <f>IF($AA848="","",SUMIFS('Per Line'!$Y$2:$Y$4001,'Per Line'!$E$2:$E$4001,$B848,'Per Line'!$AP$2:$AP$4001,0,'Per Line'!$AQ$2:$AQ$4001,0))</f>
        <v/>
      </c>
      <c r="S848" s="7">
        <f>IF($AA848="","",R848*Q848)</f>
        <v/>
      </c>
      <c r="T848">
        <f>IF($AA848="","",Settings!$C$6)</f>
        <v/>
      </c>
      <c r="U848" s="7">
        <f>IF($AA848="","",SUMIFS('Per Line'!$Y$2:$Y$4001,'Per Line'!$E$2:$E$4001,$B848,'Per Line'!$AP$2:$AP$4001,1,'Per Line'!$AQ$2:$AQ$4001,0))</f>
        <v/>
      </c>
      <c r="V848" s="7">
        <f>IF($AA848="","",U848*T848)</f>
        <v/>
      </c>
      <c r="W848" s="7">
        <f>IF($AA848="","",V848+S848)</f>
        <v/>
      </c>
      <c r="X848" s="7">
        <f>IF($AA848="","",Y848-W848)</f>
        <v/>
      </c>
      <c r="Y848" s="7">
        <f>IF($AA848="","",R848+U848+P848)</f>
        <v/>
      </c>
      <c r="Z848" s="7">
        <f>IF($AA848="","",Y848-W848-L848)</f>
        <v/>
      </c>
      <c r="AA848" s="13">
        <f>IF(ROWS($AA$2:$AA848)&lt;=MAX('Per Line'!$AO$2:$AO$4001),MATCH(ROWS($AA$2:$AA848),'Per Line'!$AO$2:$AO$4001,0),"")</f>
        <v/>
      </c>
      <c r="AB848" s="14">
        <f>IF($AA848="","",L848-K848*Y848/100)</f>
        <v/>
      </c>
    </row>
    <row r="849">
      <c r="A849" s="12" t="n"/>
      <c r="B849">
        <f>IF($AA849="","",INDEX('Per Line'!$E$2:$E$4001,$AA849)&amp;"")</f>
        <v/>
      </c>
      <c r="C849">
        <f>IF($AA849="","",INDEX('Per Line'!$A$2:$A$4001,$AA849)&amp;"")</f>
        <v/>
      </c>
      <c r="D849">
        <f>IF($AA849="","",INDEX('Per Line'!$D$2:$D$4001,$AA849)&amp;"")</f>
        <v/>
      </c>
      <c r="E849" s="11">
        <f>IF($AA849="","",INDEX('Per Line'!$G$2:$G$4001,$AA849))</f>
        <v/>
      </c>
      <c r="F849">
        <f>IF($AA849="","",INDEX('Per Line'!$H$2:$H$4001,$AA849)&amp;"")</f>
        <v/>
      </c>
      <c r="G849">
        <f>IF($AA849="","",INDEX('Per Line'!$I$2:$I$4001,$AA849)&amp;"")</f>
        <v/>
      </c>
      <c r="H849">
        <f>IF($AA849="","",INDEX('Per Line'!$J$2:$J$4001,$AA849)&amp;"")</f>
        <v/>
      </c>
      <c r="I849">
        <f>IF($AA849="","",INDEX('Per Line'!$K$2:$K$4001,$AA849)&amp;"")</f>
        <v/>
      </c>
      <c r="J849">
        <f>IF($AA849="","",INDEX('Per Line'!$L$2:$L$4001,$AA849)&amp;"")</f>
        <v/>
      </c>
      <c r="K849">
        <f>IF($AA849="","",INDEX('Per Line'!$P$2:$P$4001,$AA849))</f>
        <v/>
      </c>
      <c r="L849" s="7">
        <f>IF($AA849="","",IF(AND(ISNUMBER(N849),N849&gt;0,Y849&gt;N849),K849*N849/100+(Y849-N849),K849*Y849/100))</f>
        <v/>
      </c>
      <c r="M849">
        <f>IF($AA849="","",INDEX('Per Line'!$Z$2:$Z$4001,$AA849)&amp;"")</f>
        <v/>
      </c>
      <c r="N849">
        <f>IF($AA849="","",INDEX('Per Line'!$AG$2:$AG$4001,$AA849))</f>
        <v/>
      </c>
      <c r="O849">
        <f>IF($AA849="","",IF(AND(ISNUMBER(N849),N849&gt;0),Y849&gt;N849,FALSE))</f>
        <v/>
      </c>
      <c r="P849" s="7">
        <f>IF($AA849="","",SUMIFS('Per Line'!$Y$2:$Y$4001,'Per Line'!$E$2:$E$4001,$B849,'Per Line'!$AQ$2:$AQ$4001,1))</f>
        <v/>
      </c>
      <c r="Q849">
        <f>IF($AA849="","",Settings!$C$7)</f>
        <v/>
      </c>
      <c r="R849" s="7">
        <f>IF($AA849="","",SUMIFS('Per Line'!$Y$2:$Y$4001,'Per Line'!$E$2:$E$4001,$B849,'Per Line'!$AP$2:$AP$4001,0,'Per Line'!$AQ$2:$AQ$4001,0))</f>
        <v/>
      </c>
      <c r="S849" s="7">
        <f>IF($AA849="","",R849*Q849)</f>
        <v/>
      </c>
      <c r="T849">
        <f>IF($AA849="","",Settings!$C$6)</f>
        <v/>
      </c>
      <c r="U849" s="7">
        <f>IF($AA849="","",SUMIFS('Per Line'!$Y$2:$Y$4001,'Per Line'!$E$2:$E$4001,$B849,'Per Line'!$AP$2:$AP$4001,1,'Per Line'!$AQ$2:$AQ$4001,0))</f>
        <v/>
      </c>
      <c r="V849" s="7">
        <f>IF($AA849="","",U849*T849)</f>
        <v/>
      </c>
      <c r="W849" s="7">
        <f>IF($AA849="","",V849+S849)</f>
        <v/>
      </c>
      <c r="X849" s="7">
        <f>IF($AA849="","",Y849-W849)</f>
        <v/>
      </c>
      <c r="Y849" s="7">
        <f>IF($AA849="","",R849+U849+P849)</f>
        <v/>
      </c>
      <c r="Z849" s="7">
        <f>IF($AA849="","",Y849-W849-L849)</f>
        <v/>
      </c>
      <c r="AA849" s="13">
        <f>IF(ROWS($AA$2:$AA849)&lt;=MAX('Per Line'!$AO$2:$AO$4001),MATCH(ROWS($AA$2:$AA849),'Per Line'!$AO$2:$AO$4001,0),"")</f>
        <v/>
      </c>
      <c r="AB849" s="14">
        <f>IF($AA849="","",L849-K849*Y849/100)</f>
        <v/>
      </c>
    </row>
    <row r="850">
      <c r="A850" s="12" t="n"/>
      <c r="B850">
        <f>IF($AA850="","",INDEX('Per Line'!$E$2:$E$4001,$AA850)&amp;"")</f>
        <v/>
      </c>
      <c r="C850">
        <f>IF($AA850="","",INDEX('Per Line'!$A$2:$A$4001,$AA850)&amp;"")</f>
        <v/>
      </c>
      <c r="D850">
        <f>IF($AA850="","",INDEX('Per Line'!$D$2:$D$4001,$AA850)&amp;"")</f>
        <v/>
      </c>
      <c r="E850" s="11">
        <f>IF($AA850="","",INDEX('Per Line'!$G$2:$G$4001,$AA850))</f>
        <v/>
      </c>
      <c r="F850">
        <f>IF($AA850="","",INDEX('Per Line'!$H$2:$H$4001,$AA850)&amp;"")</f>
        <v/>
      </c>
      <c r="G850">
        <f>IF($AA850="","",INDEX('Per Line'!$I$2:$I$4001,$AA850)&amp;"")</f>
        <v/>
      </c>
      <c r="H850">
        <f>IF($AA850="","",INDEX('Per Line'!$J$2:$J$4001,$AA850)&amp;"")</f>
        <v/>
      </c>
      <c r="I850">
        <f>IF($AA850="","",INDEX('Per Line'!$K$2:$K$4001,$AA850)&amp;"")</f>
        <v/>
      </c>
      <c r="J850">
        <f>IF($AA850="","",INDEX('Per Line'!$L$2:$L$4001,$AA850)&amp;"")</f>
        <v/>
      </c>
      <c r="K850">
        <f>IF($AA850="","",INDEX('Per Line'!$P$2:$P$4001,$AA850))</f>
        <v/>
      </c>
      <c r="L850" s="7">
        <f>IF($AA850="","",IF(AND(ISNUMBER(N850),N850&gt;0,Y850&gt;N850),K850*N850/100+(Y850-N850),K850*Y850/100))</f>
        <v/>
      </c>
      <c r="M850">
        <f>IF($AA850="","",INDEX('Per Line'!$Z$2:$Z$4001,$AA850)&amp;"")</f>
        <v/>
      </c>
      <c r="N850">
        <f>IF($AA850="","",INDEX('Per Line'!$AG$2:$AG$4001,$AA850))</f>
        <v/>
      </c>
      <c r="O850">
        <f>IF($AA850="","",IF(AND(ISNUMBER(N850),N850&gt;0),Y850&gt;N850,FALSE))</f>
        <v/>
      </c>
      <c r="P850" s="7">
        <f>IF($AA850="","",SUMIFS('Per Line'!$Y$2:$Y$4001,'Per Line'!$E$2:$E$4001,$B850,'Per Line'!$AQ$2:$AQ$4001,1))</f>
        <v/>
      </c>
      <c r="Q850">
        <f>IF($AA850="","",Settings!$C$7)</f>
        <v/>
      </c>
      <c r="R850" s="7">
        <f>IF($AA850="","",SUMIFS('Per Line'!$Y$2:$Y$4001,'Per Line'!$E$2:$E$4001,$B850,'Per Line'!$AP$2:$AP$4001,0,'Per Line'!$AQ$2:$AQ$4001,0))</f>
        <v/>
      </c>
      <c r="S850" s="7">
        <f>IF($AA850="","",R850*Q850)</f>
        <v/>
      </c>
      <c r="T850">
        <f>IF($AA850="","",Settings!$C$6)</f>
        <v/>
      </c>
      <c r="U850" s="7">
        <f>IF($AA850="","",SUMIFS('Per Line'!$Y$2:$Y$4001,'Per Line'!$E$2:$E$4001,$B850,'Per Line'!$AP$2:$AP$4001,1,'Per Line'!$AQ$2:$AQ$4001,0))</f>
        <v/>
      </c>
      <c r="V850" s="7">
        <f>IF($AA850="","",U850*T850)</f>
        <v/>
      </c>
      <c r="W850" s="7">
        <f>IF($AA850="","",V850+S850)</f>
        <v/>
      </c>
      <c r="X850" s="7">
        <f>IF($AA850="","",Y850-W850)</f>
        <v/>
      </c>
      <c r="Y850" s="7">
        <f>IF($AA850="","",R850+U850+P850)</f>
        <v/>
      </c>
      <c r="Z850" s="7">
        <f>IF($AA850="","",Y850-W850-L850)</f>
        <v/>
      </c>
      <c r="AA850" s="13">
        <f>IF(ROWS($AA$2:$AA850)&lt;=MAX('Per Line'!$AO$2:$AO$4001),MATCH(ROWS($AA$2:$AA850),'Per Line'!$AO$2:$AO$4001,0),"")</f>
        <v/>
      </c>
      <c r="AB850" s="14">
        <f>IF($AA850="","",L850-K850*Y850/100)</f>
        <v/>
      </c>
    </row>
    <row r="851">
      <c r="A851" s="12" t="n"/>
      <c r="B851">
        <f>IF($AA851="","",INDEX('Per Line'!$E$2:$E$4001,$AA851)&amp;"")</f>
        <v/>
      </c>
      <c r="C851">
        <f>IF($AA851="","",INDEX('Per Line'!$A$2:$A$4001,$AA851)&amp;"")</f>
        <v/>
      </c>
      <c r="D851">
        <f>IF($AA851="","",INDEX('Per Line'!$D$2:$D$4001,$AA851)&amp;"")</f>
        <v/>
      </c>
      <c r="E851" s="11">
        <f>IF($AA851="","",INDEX('Per Line'!$G$2:$G$4001,$AA851))</f>
        <v/>
      </c>
      <c r="F851">
        <f>IF($AA851="","",INDEX('Per Line'!$H$2:$H$4001,$AA851)&amp;"")</f>
        <v/>
      </c>
      <c r="G851">
        <f>IF($AA851="","",INDEX('Per Line'!$I$2:$I$4001,$AA851)&amp;"")</f>
        <v/>
      </c>
      <c r="H851">
        <f>IF($AA851="","",INDEX('Per Line'!$J$2:$J$4001,$AA851)&amp;"")</f>
        <v/>
      </c>
      <c r="I851">
        <f>IF($AA851="","",INDEX('Per Line'!$K$2:$K$4001,$AA851)&amp;"")</f>
        <v/>
      </c>
      <c r="J851">
        <f>IF($AA851="","",INDEX('Per Line'!$L$2:$L$4001,$AA851)&amp;"")</f>
        <v/>
      </c>
      <c r="K851">
        <f>IF($AA851="","",INDEX('Per Line'!$P$2:$P$4001,$AA851))</f>
        <v/>
      </c>
      <c r="L851" s="7">
        <f>IF($AA851="","",IF(AND(ISNUMBER(N851),N851&gt;0,Y851&gt;N851),K851*N851/100+(Y851-N851),K851*Y851/100))</f>
        <v/>
      </c>
      <c r="M851">
        <f>IF($AA851="","",INDEX('Per Line'!$Z$2:$Z$4001,$AA851)&amp;"")</f>
        <v/>
      </c>
      <c r="N851">
        <f>IF($AA851="","",INDEX('Per Line'!$AG$2:$AG$4001,$AA851))</f>
        <v/>
      </c>
      <c r="O851">
        <f>IF($AA851="","",IF(AND(ISNUMBER(N851),N851&gt;0),Y851&gt;N851,FALSE))</f>
        <v/>
      </c>
      <c r="P851" s="7">
        <f>IF($AA851="","",SUMIFS('Per Line'!$Y$2:$Y$4001,'Per Line'!$E$2:$E$4001,$B851,'Per Line'!$AQ$2:$AQ$4001,1))</f>
        <v/>
      </c>
      <c r="Q851">
        <f>IF($AA851="","",Settings!$C$7)</f>
        <v/>
      </c>
      <c r="R851" s="7">
        <f>IF($AA851="","",SUMIFS('Per Line'!$Y$2:$Y$4001,'Per Line'!$E$2:$E$4001,$B851,'Per Line'!$AP$2:$AP$4001,0,'Per Line'!$AQ$2:$AQ$4001,0))</f>
        <v/>
      </c>
      <c r="S851" s="7">
        <f>IF($AA851="","",R851*Q851)</f>
        <v/>
      </c>
      <c r="T851">
        <f>IF($AA851="","",Settings!$C$6)</f>
        <v/>
      </c>
      <c r="U851" s="7">
        <f>IF($AA851="","",SUMIFS('Per Line'!$Y$2:$Y$4001,'Per Line'!$E$2:$E$4001,$B851,'Per Line'!$AP$2:$AP$4001,1,'Per Line'!$AQ$2:$AQ$4001,0))</f>
        <v/>
      </c>
      <c r="V851" s="7">
        <f>IF($AA851="","",U851*T851)</f>
        <v/>
      </c>
      <c r="W851" s="7">
        <f>IF($AA851="","",V851+S851)</f>
        <v/>
      </c>
      <c r="X851" s="7">
        <f>IF($AA851="","",Y851-W851)</f>
        <v/>
      </c>
      <c r="Y851" s="7">
        <f>IF($AA851="","",R851+U851+P851)</f>
        <v/>
      </c>
      <c r="Z851" s="7">
        <f>IF($AA851="","",Y851-W851-L851)</f>
        <v/>
      </c>
      <c r="AA851" s="13">
        <f>IF(ROWS($AA$2:$AA851)&lt;=MAX('Per Line'!$AO$2:$AO$4001),MATCH(ROWS($AA$2:$AA851),'Per Line'!$AO$2:$AO$4001,0),"")</f>
        <v/>
      </c>
      <c r="AB851" s="14">
        <f>IF($AA851="","",L851-K851*Y851/100)</f>
        <v/>
      </c>
    </row>
    <row r="852">
      <c r="A852" s="12" t="n"/>
      <c r="B852">
        <f>IF($AA852="","",INDEX('Per Line'!$E$2:$E$4001,$AA852)&amp;"")</f>
        <v/>
      </c>
      <c r="C852">
        <f>IF($AA852="","",INDEX('Per Line'!$A$2:$A$4001,$AA852)&amp;"")</f>
        <v/>
      </c>
      <c r="D852">
        <f>IF($AA852="","",INDEX('Per Line'!$D$2:$D$4001,$AA852)&amp;"")</f>
        <v/>
      </c>
      <c r="E852" s="11">
        <f>IF($AA852="","",INDEX('Per Line'!$G$2:$G$4001,$AA852))</f>
        <v/>
      </c>
      <c r="F852">
        <f>IF($AA852="","",INDEX('Per Line'!$H$2:$H$4001,$AA852)&amp;"")</f>
        <v/>
      </c>
      <c r="G852">
        <f>IF($AA852="","",INDEX('Per Line'!$I$2:$I$4001,$AA852)&amp;"")</f>
        <v/>
      </c>
      <c r="H852">
        <f>IF($AA852="","",INDEX('Per Line'!$J$2:$J$4001,$AA852)&amp;"")</f>
        <v/>
      </c>
      <c r="I852">
        <f>IF($AA852="","",INDEX('Per Line'!$K$2:$K$4001,$AA852)&amp;"")</f>
        <v/>
      </c>
      <c r="J852">
        <f>IF($AA852="","",INDEX('Per Line'!$L$2:$L$4001,$AA852)&amp;"")</f>
        <v/>
      </c>
      <c r="K852">
        <f>IF($AA852="","",INDEX('Per Line'!$P$2:$P$4001,$AA852))</f>
        <v/>
      </c>
      <c r="L852" s="7">
        <f>IF($AA852="","",IF(AND(ISNUMBER(N852),N852&gt;0,Y852&gt;N852),K852*N852/100+(Y852-N852),K852*Y852/100))</f>
        <v/>
      </c>
      <c r="M852">
        <f>IF($AA852="","",INDEX('Per Line'!$Z$2:$Z$4001,$AA852)&amp;"")</f>
        <v/>
      </c>
      <c r="N852">
        <f>IF($AA852="","",INDEX('Per Line'!$AG$2:$AG$4001,$AA852))</f>
        <v/>
      </c>
      <c r="O852">
        <f>IF($AA852="","",IF(AND(ISNUMBER(N852),N852&gt;0),Y852&gt;N852,FALSE))</f>
        <v/>
      </c>
      <c r="P852" s="7">
        <f>IF($AA852="","",SUMIFS('Per Line'!$Y$2:$Y$4001,'Per Line'!$E$2:$E$4001,$B852,'Per Line'!$AQ$2:$AQ$4001,1))</f>
        <v/>
      </c>
      <c r="Q852">
        <f>IF($AA852="","",Settings!$C$7)</f>
        <v/>
      </c>
      <c r="R852" s="7">
        <f>IF($AA852="","",SUMIFS('Per Line'!$Y$2:$Y$4001,'Per Line'!$E$2:$E$4001,$B852,'Per Line'!$AP$2:$AP$4001,0,'Per Line'!$AQ$2:$AQ$4001,0))</f>
        <v/>
      </c>
      <c r="S852" s="7">
        <f>IF($AA852="","",R852*Q852)</f>
        <v/>
      </c>
      <c r="T852">
        <f>IF($AA852="","",Settings!$C$6)</f>
        <v/>
      </c>
      <c r="U852" s="7">
        <f>IF($AA852="","",SUMIFS('Per Line'!$Y$2:$Y$4001,'Per Line'!$E$2:$E$4001,$B852,'Per Line'!$AP$2:$AP$4001,1,'Per Line'!$AQ$2:$AQ$4001,0))</f>
        <v/>
      </c>
      <c r="V852" s="7">
        <f>IF($AA852="","",U852*T852)</f>
        <v/>
      </c>
      <c r="W852" s="7">
        <f>IF($AA852="","",V852+S852)</f>
        <v/>
      </c>
      <c r="X852" s="7">
        <f>IF($AA852="","",Y852-W852)</f>
        <v/>
      </c>
      <c r="Y852" s="7">
        <f>IF($AA852="","",R852+U852+P852)</f>
        <v/>
      </c>
      <c r="Z852" s="7">
        <f>IF($AA852="","",Y852-W852-L852)</f>
        <v/>
      </c>
      <c r="AA852" s="13">
        <f>IF(ROWS($AA$2:$AA852)&lt;=MAX('Per Line'!$AO$2:$AO$4001),MATCH(ROWS($AA$2:$AA852),'Per Line'!$AO$2:$AO$4001,0),"")</f>
        <v/>
      </c>
      <c r="AB852" s="14">
        <f>IF($AA852="","",L852-K852*Y852/100)</f>
        <v/>
      </c>
    </row>
    <row r="853">
      <c r="A853" s="12" t="n"/>
      <c r="B853">
        <f>IF($AA853="","",INDEX('Per Line'!$E$2:$E$4001,$AA853)&amp;"")</f>
        <v/>
      </c>
      <c r="C853">
        <f>IF($AA853="","",INDEX('Per Line'!$A$2:$A$4001,$AA853)&amp;"")</f>
        <v/>
      </c>
      <c r="D853">
        <f>IF($AA853="","",INDEX('Per Line'!$D$2:$D$4001,$AA853)&amp;"")</f>
        <v/>
      </c>
      <c r="E853" s="11">
        <f>IF($AA853="","",INDEX('Per Line'!$G$2:$G$4001,$AA853))</f>
        <v/>
      </c>
      <c r="F853">
        <f>IF($AA853="","",INDEX('Per Line'!$H$2:$H$4001,$AA853)&amp;"")</f>
        <v/>
      </c>
      <c r="G853">
        <f>IF($AA853="","",INDEX('Per Line'!$I$2:$I$4001,$AA853)&amp;"")</f>
        <v/>
      </c>
      <c r="H853">
        <f>IF($AA853="","",INDEX('Per Line'!$J$2:$J$4001,$AA853)&amp;"")</f>
        <v/>
      </c>
      <c r="I853">
        <f>IF($AA853="","",INDEX('Per Line'!$K$2:$K$4001,$AA853)&amp;"")</f>
        <v/>
      </c>
      <c r="J853">
        <f>IF($AA853="","",INDEX('Per Line'!$L$2:$L$4001,$AA853)&amp;"")</f>
        <v/>
      </c>
      <c r="K853">
        <f>IF($AA853="","",INDEX('Per Line'!$P$2:$P$4001,$AA853))</f>
        <v/>
      </c>
      <c r="L853" s="7">
        <f>IF($AA853="","",IF(AND(ISNUMBER(N853),N853&gt;0,Y853&gt;N853),K853*N853/100+(Y853-N853),K853*Y853/100))</f>
        <v/>
      </c>
      <c r="M853">
        <f>IF($AA853="","",INDEX('Per Line'!$Z$2:$Z$4001,$AA853)&amp;"")</f>
        <v/>
      </c>
      <c r="N853">
        <f>IF($AA853="","",INDEX('Per Line'!$AG$2:$AG$4001,$AA853))</f>
        <v/>
      </c>
      <c r="O853">
        <f>IF($AA853="","",IF(AND(ISNUMBER(N853),N853&gt;0),Y853&gt;N853,FALSE))</f>
        <v/>
      </c>
      <c r="P853" s="7">
        <f>IF($AA853="","",SUMIFS('Per Line'!$Y$2:$Y$4001,'Per Line'!$E$2:$E$4001,$B853,'Per Line'!$AQ$2:$AQ$4001,1))</f>
        <v/>
      </c>
      <c r="Q853">
        <f>IF($AA853="","",Settings!$C$7)</f>
        <v/>
      </c>
      <c r="R853" s="7">
        <f>IF($AA853="","",SUMIFS('Per Line'!$Y$2:$Y$4001,'Per Line'!$E$2:$E$4001,$B853,'Per Line'!$AP$2:$AP$4001,0,'Per Line'!$AQ$2:$AQ$4001,0))</f>
        <v/>
      </c>
      <c r="S853" s="7">
        <f>IF($AA853="","",R853*Q853)</f>
        <v/>
      </c>
      <c r="T853">
        <f>IF($AA853="","",Settings!$C$6)</f>
        <v/>
      </c>
      <c r="U853" s="7">
        <f>IF($AA853="","",SUMIFS('Per Line'!$Y$2:$Y$4001,'Per Line'!$E$2:$E$4001,$B853,'Per Line'!$AP$2:$AP$4001,1,'Per Line'!$AQ$2:$AQ$4001,0))</f>
        <v/>
      </c>
      <c r="V853" s="7">
        <f>IF($AA853="","",U853*T853)</f>
        <v/>
      </c>
      <c r="W853" s="7">
        <f>IF($AA853="","",V853+S853)</f>
        <v/>
      </c>
      <c r="X853" s="7">
        <f>IF($AA853="","",Y853-W853)</f>
        <v/>
      </c>
      <c r="Y853" s="7">
        <f>IF($AA853="","",R853+U853+P853)</f>
        <v/>
      </c>
      <c r="Z853" s="7">
        <f>IF($AA853="","",Y853-W853-L853)</f>
        <v/>
      </c>
      <c r="AA853" s="13">
        <f>IF(ROWS($AA$2:$AA853)&lt;=MAX('Per Line'!$AO$2:$AO$4001),MATCH(ROWS($AA$2:$AA853),'Per Line'!$AO$2:$AO$4001,0),"")</f>
        <v/>
      </c>
      <c r="AB853" s="14">
        <f>IF($AA853="","",L853-K853*Y853/100)</f>
        <v/>
      </c>
    </row>
    <row r="854">
      <c r="A854" s="12" t="n"/>
      <c r="B854">
        <f>IF($AA854="","",INDEX('Per Line'!$E$2:$E$4001,$AA854)&amp;"")</f>
        <v/>
      </c>
      <c r="C854">
        <f>IF($AA854="","",INDEX('Per Line'!$A$2:$A$4001,$AA854)&amp;"")</f>
        <v/>
      </c>
      <c r="D854">
        <f>IF($AA854="","",INDEX('Per Line'!$D$2:$D$4001,$AA854)&amp;"")</f>
        <v/>
      </c>
      <c r="E854" s="11">
        <f>IF($AA854="","",INDEX('Per Line'!$G$2:$G$4001,$AA854))</f>
        <v/>
      </c>
      <c r="F854">
        <f>IF($AA854="","",INDEX('Per Line'!$H$2:$H$4001,$AA854)&amp;"")</f>
        <v/>
      </c>
      <c r="G854">
        <f>IF($AA854="","",INDEX('Per Line'!$I$2:$I$4001,$AA854)&amp;"")</f>
        <v/>
      </c>
      <c r="H854">
        <f>IF($AA854="","",INDEX('Per Line'!$J$2:$J$4001,$AA854)&amp;"")</f>
        <v/>
      </c>
      <c r="I854">
        <f>IF($AA854="","",INDEX('Per Line'!$K$2:$K$4001,$AA854)&amp;"")</f>
        <v/>
      </c>
      <c r="J854">
        <f>IF($AA854="","",INDEX('Per Line'!$L$2:$L$4001,$AA854)&amp;"")</f>
        <v/>
      </c>
      <c r="K854">
        <f>IF($AA854="","",INDEX('Per Line'!$P$2:$P$4001,$AA854))</f>
        <v/>
      </c>
      <c r="L854" s="7">
        <f>IF($AA854="","",IF(AND(ISNUMBER(N854),N854&gt;0,Y854&gt;N854),K854*N854/100+(Y854-N854),K854*Y854/100))</f>
        <v/>
      </c>
      <c r="M854">
        <f>IF($AA854="","",INDEX('Per Line'!$Z$2:$Z$4001,$AA854)&amp;"")</f>
        <v/>
      </c>
      <c r="N854">
        <f>IF($AA854="","",INDEX('Per Line'!$AG$2:$AG$4001,$AA854))</f>
        <v/>
      </c>
      <c r="O854">
        <f>IF($AA854="","",IF(AND(ISNUMBER(N854),N854&gt;0),Y854&gt;N854,FALSE))</f>
        <v/>
      </c>
      <c r="P854" s="7">
        <f>IF($AA854="","",SUMIFS('Per Line'!$Y$2:$Y$4001,'Per Line'!$E$2:$E$4001,$B854,'Per Line'!$AQ$2:$AQ$4001,1))</f>
        <v/>
      </c>
      <c r="Q854">
        <f>IF($AA854="","",Settings!$C$7)</f>
        <v/>
      </c>
      <c r="R854" s="7">
        <f>IF($AA854="","",SUMIFS('Per Line'!$Y$2:$Y$4001,'Per Line'!$E$2:$E$4001,$B854,'Per Line'!$AP$2:$AP$4001,0,'Per Line'!$AQ$2:$AQ$4001,0))</f>
        <v/>
      </c>
      <c r="S854" s="7">
        <f>IF($AA854="","",R854*Q854)</f>
        <v/>
      </c>
      <c r="T854">
        <f>IF($AA854="","",Settings!$C$6)</f>
        <v/>
      </c>
      <c r="U854" s="7">
        <f>IF($AA854="","",SUMIFS('Per Line'!$Y$2:$Y$4001,'Per Line'!$E$2:$E$4001,$B854,'Per Line'!$AP$2:$AP$4001,1,'Per Line'!$AQ$2:$AQ$4001,0))</f>
        <v/>
      </c>
      <c r="V854" s="7">
        <f>IF($AA854="","",U854*T854)</f>
        <v/>
      </c>
      <c r="W854" s="7">
        <f>IF($AA854="","",V854+S854)</f>
        <v/>
      </c>
      <c r="X854" s="7">
        <f>IF($AA854="","",Y854-W854)</f>
        <v/>
      </c>
      <c r="Y854" s="7">
        <f>IF($AA854="","",R854+U854+P854)</f>
        <v/>
      </c>
      <c r="Z854" s="7">
        <f>IF($AA854="","",Y854-W854-L854)</f>
        <v/>
      </c>
      <c r="AA854" s="13">
        <f>IF(ROWS($AA$2:$AA854)&lt;=MAX('Per Line'!$AO$2:$AO$4001),MATCH(ROWS($AA$2:$AA854),'Per Line'!$AO$2:$AO$4001,0),"")</f>
        <v/>
      </c>
      <c r="AB854" s="14">
        <f>IF($AA854="","",L854-K854*Y854/100)</f>
        <v/>
      </c>
    </row>
    <row r="855">
      <c r="A855" s="12" t="n"/>
      <c r="B855">
        <f>IF($AA855="","",INDEX('Per Line'!$E$2:$E$4001,$AA855)&amp;"")</f>
        <v/>
      </c>
      <c r="C855">
        <f>IF($AA855="","",INDEX('Per Line'!$A$2:$A$4001,$AA855)&amp;"")</f>
        <v/>
      </c>
      <c r="D855">
        <f>IF($AA855="","",INDEX('Per Line'!$D$2:$D$4001,$AA855)&amp;"")</f>
        <v/>
      </c>
      <c r="E855" s="11">
        <f>IF($AA855="","",INDEX('Per Line'!$G$2:$G$4001,$AA855))</f>
        <v/>
      </c>
      <c r="F855">
        <f>IF($AA855="","",INDEX('Per Line'!$H$2:$H$4001,$AA855)&amp;"")</f>
        <v/>
      </c>
      <c r="G855">
        <f>IF($AA855="","",INDEX('Per Line'!$I$2:$I$4001,$AA855)&amp;"")</f>
        <v/>
      </c>
      <c r="H855">
        <f>IF($AA855="","",INDEX('Per Line'!$J$2:$J$4001,$AA855)&amp;"")</f>
        <v/>
      </c>
      <c r="I855">
        <f>IF($AA855="","",INDEX('Per Line'!$K$2:$K$4001,$AA855)&amp;"")</f>
        <v/>
      </c>
      <c r="J855">
        <f>IF($AA855="","",INDEX('Per Line'!$L$2:$L$4001,$AA855)&amp;"")</f>
        <v/>
      </c>
      <c r="K855">
        <f>IF($AA855="","",INDEX('Per Line'!$P$2:$P$4001,$AA855))</f>
        <v/>
      </c>
      <c r="L855" s="7">
        <f>IF($AA855="","",IF(AND(ISNUMBER(N855),N855&gt;0,Y855&gt;N855),K855*N855/100+(Y855-N855),K855*Y855/100))</f>
        <v/>
      </c>
      <c r="M855">
        <f>IF($AA855="","",INDEX('Per Line'!$Z$2:$Z$4001,$AA855)&amp;"")</f>
        <v/>
      </c>
      <c r="N855">
        <f>IF($AA855="","",INDEX('Per Line'!$AG$2:$AG$4001,$AA855))</f>
        <v/>
      </c>
      <c r="O855">
        <f>IF($AA855="","",IF(AND(ISNUMBER(N855),N855&gt;0),Y855&gt;N855,FALSE))</f>
        <v/>
      </c>
      <c r="P855" s="7">
        <f>IF($AA855="","",SUMIFS('Per Line'!$Y$2:$Y$4001,'Per Line'!$E$2:$E$4001,$B855,'Per Line'!$AQ$2:$AQ$4001,1))</f>
        <v/>
      </c>
      <c r="Q855">
        <f>IF($AA855="","",Settings!$C$7)</f>
        <v/>
      </c>
      <c r="R855" s="7">
        <f>IF($AA855="","",SUMIFS('Per Line'!$Y$2:$Y$4001,'Per Line'!$E$2:$E$4001,$B855,'Per Line'!$AP$2:$AP$4001,0,'Per Line'!$AQ$2:$AQ$4001,0))</f>
        <v/>
      </c>
      <c r="S855" s="7">
        <f>IF($AA855="","",R855*Q855)</f>
        <v/>
      </c>
      <c r="T855">
        <f>IF($AA855="","",Settings!$C$6)</f>
        <v/>
      </c>
      <c r="U855" s="7">
        <f>IF($AA855="","",SUMIFS('Per Line'!$Y$2:$Y$4001,'Per Line'!$E$2:$E$4001,$B855,'Per Line'!$AP$2:$AP$4001,1,'Per Line'!$AQ$2:$AQ$4001,0))</f>
        <v/>
      </c>
      <c r="V855" s="7">
        <f>IF($AA855="","",U855*T855)</f>
        <v/>
      </c>
      <c r="W855" s="7">
        <f>IF($AA855="","",V855+S855)</f>
        <v/>
      </c>
      <c r="X855" s="7">
        <f>IF($AA855="","",Y855-W855)</f>
        <v/>
      </c>
      <c r="Y855" s="7">
        <f>IF($AA855="","",R855+U855+P855)</f>
        <v/>
      </c>
      <c r="Z855" s="7">
        <f>IF($AA855="","",Y855-W855-L855)</f>
        <v/>
      </c>
      <c r="AA855" s="13">
        <f>IF(ROWS($AA$2:$AA855)&lt;=MAX('Per Line'!$AO$2:$AO$4001),MATCH(ROWS($AA$2:$AA855),'Per Line'!$AO$2:$AO$4001,0),"")</f>
        <v/>
      </c>
      <c r="AB855" s="14">
        <f>IF($AA855="","",L855-K855*Y855/100)</f>
        <v/>
      </c>
    </row>
    <row r="856">
      <c r="A856" s="12" t="n"/>
      <c r="B856">
        <f>IF($AA856="","",INDEX('Per Line'!$E$2:$E$4001,$AA856)&amp;"")</f>
        <v/>
      </c>
      <c r="C856">
        <f>IF($AA856="","",INDEX('Per Line'!$A$2:$A$4001,$AA856)&amp;"")</f>
        <v/>
      </c>
      <c r="D856">
        <f>IF($AA856="","",INDEX('Per Line'!$D$2:$D$4001,$AA856)&amp;"")</f>
        <v/>
      </c>
      <c r="E856" s="11">
        <f>IF($AA856="","",INDEX('Per Line'!$G$2:$G$4001,$AA856))</f>
        <v/>
      </c>
      <c r="F856">
        <f>IF($AA856="","",INDEX('Per Line'!$H$2:$H$4001,$AA856)&amp;"")</f>
        <v/>
      </c>
      <c r="G856">
        <f>IF($AA856="","",INDEX('Per Line'!$I$2:$I$4001,$AA856)&amp;"")</f>
        <v/>
      </c>
      <c r="H856">
        <f>IF($AA856="","",INDEX('Per Line'!$J$2:$J$4001,$AA856)&amp;"")</f>
        <v/>
      </c>
      <c r="I856">
        <f>IF($AA856="","",INDEX('Per Line'!$K$2:$K$4001,$AA856)&amp;"")</f>
        <v/>
      </c>
      <c r="J856">
        <f>IF($AA856="","",INDEX('Per Line'!$L$2:$L$4001,$AA856)&amp;"")</f>
        <v/>
      </c>
      <c r="K856">
        <f>IF($AA856="","",INDEX('Per Line'!$P$2:$P$4001,$AA856))</f>
        <v/>
      </c>
      <c r="L856" s="7">
        <f>IF($AA856="","",IF(AND(ISNUMBER(N856),N856&gt;0,Y856&gt;N856),K856*N856/100+(Y856-N856),K856*Y856/100))</f>
        <v/>
      </c>
      <c r="M856">
        <f>IF($AA856="","",INDEX('Per Line'!$Z$2:$Z$4001,$AA856)&amp;"")</f>
        <v/>
      </c>
      <c r="N856">
        <f>IF($AA856="","",INDEX('Per Line'!$AG$2:$AG$4001,$AA856))</f>
        <v/>
      </c>
      <c r="O856">
        <f>IF($AA856="","",IF(AND(ISNUMBER(N856),N856&gt;0),Y856&gt;N856,FALSE))</f>
        <v/>
      </c>
      <c r="P856" s="7">
        <f>IF($AA856="","",SUMIFS('Per Line'!$Y$2:$Y$4001,'Per Line'!$E$2:$E$4001,$B856,'Per Line'!$AQ$2:$AQ$4001,1))</f>
        <v/>
      </c>
      <c r="Q856">
        <f>IF($AA856="","",Settings!$C$7)</f>
        <v/>
      </c>
      <c r="R856" s="7">
        <f>IF($AA856="","",SUMIFS('Per Line'!$Y$2:$Y$4001,'Per Line'!$E$2:$E$4001,$B856,'Per Line'!$AP$2:$AP$4001,0,'Per Line'!$AQ$2:$AQ$4001,0))</f>
        <v/>
      </c>
      <c r="S856" s="7">
        <f>IF($AA856="","",R856*Q856)</f>
        <v/>
      </c>
      <c r="T856">
        <f>IF($AA856="","",Settings!$C$6)</f>
        <v/>
      </c>
      <c r="U856" s="7">
        <f>IF($AA856="","",SUMIFS('Per Line'!$Y$2:$Y$4001,'Per Line'!$E$2:$E$4001,$B856,'Per Line'!$AP$2:$AP$4001,1,'Per Line'!$AQ$2:$AQ$4001,0))</f>
        <v/>
      </c>
      <c r="V856" s="7">
        <f>IF($AA856="","",U856*T856)</f>
        <v/>
      </c>
      <c r="W856" s="7">
        <f>IF($AA856="","",V856+S856)</f>
        <v/>
      </c>
      <c r="X856" s="7">
        <f>IF($AA856="","",Y856-W856)</f>
        <v/>
      </c>
      <c r="Y856" s="7">
        <f>IF($AA856="","",R856+U856+P856)</f>
        <v/>
      </c>
      <c r="Z856" s="7">
        <f>IF($AA856="","",Y856-W856-L856)</f>
        <v/>
      </c>
      <c r="AA856" s="13">
        <f>IF(ROWS($AA$2:$AA856)&lt;=MAX('Per Line'!$AO$2:$AO$4001),MATCH(ROWS($AA$2:$AA856),'Per Line'!$AO$2:$AO$4001,0),"")</f>
        <v/>
      </c>
      <c r="AB856" s="14">
        <f>IF($AA856="","",L856-K856*Y856/100)</f>
        <v/>
      </c>
    </row>
    <row r="857">
      <c r="A857" s="12" t="n"/>
      <c r="B857">
        <f>IF($AA857="","",INDEX('Per Line'!$E$2:$E$4001,$AA857)&amp;"")</f>
        <v/>
      </c>
      <c r="C857">
        <f>IF($AA857="","",INDEX('Per Line'!$A$2:$A$4001,$AA857)&amp;"")</f>
        <v/>
      </c>
      <c r="D857">
        <f>IF($AA857="","",INDEX('Per Line'!$D$2:$D$4001,$AA857)&amp;"")</f>
        <v/>
      </c>
      <c r="E857" s="11">
        <f>IF($AA857="","",INDEX('Per Line'!$G$2:$G$4001,$AA857))</f>
        <v/>
      </c>
      <c r="F857">
        <f>IF($AA857="","",INDEX('Per Line'!$H$2:$H$4001,$AA857)&amp;"")</f>
        <v/>
      </c>
      <c r="G857">
        <f>IF($AA857="","",INDEX('Per Line'!$I$2:$I$4001,$AA857)&amp;"")</f>
        <v/>
      </c>
      <c r="H857">
        <f>IF($AA857="","",INDEX('Per Line'!$J$2:$J$4001,$AA857)&amp;"")</f>
        <v/>
      </c>
      <c r="I857">
        <f>IF($AA857="","",INDEX('Per Line'!$K$2:$K$4001,$AA857)&amp;"")</f>
        <v/>
      </c>
      <c r="J857">
        <f>IF($AA857="","",INDEX('Per Line'!$L$2:$L$4001,$AA857)&amp;"")</f>
        <v/>
      </c>
      <c r="K857">
        <f>IF($AA857="","",INDEX('Per Line'!$P$2:$P$4001,$AA857))</f>
        <v/>
      </c>
      <c r="L857" s="7">
        <f>IF($AA857="","",IF(AND(ISNUMBER(N857),N857&gt;0,Y857&gt;N857),K857*N857/100+(Y857-N857),K857*Y857/100))</f>
        <v/>
      </c>
      <c r="M857">
        <f>IF($AA857="","",INDEX('Per Line'!$Z$2:$Z$4001,$AA857)&amp;"")</f>
        <v/>
      </c>
      <c r="N857">
        <f>IF($AA857="","",INDEX('Per Line'!$AG$2:$AG$4001,$AA857))</f>
        <v/>
      </c>
      <c r="O857">
        <f>IF($AA857="","",IF(AND(ISNUMBER(N857),N857&gt;0),Y857&gt;N857,FALSE))</f>
        <v/>
      </c>
      <c r="P857" s="7">
        <f>IF($AA857="","",SUMIFS('Per Line'!$Y$2:$Y$4001,'Per Line'!$E$2:$E$4001,$B857,'Per Line'!$AQ$2:$AQ$4001,1))</f>
        <v/>
      </c>
      <c r="Q857">
        <f>IF($AA857="","",Settings!$C$7)</f>
        <v/>
      </c>
      <c r="R857" s="7">
        <f>IF($AA857="","",SUMIFS('Per Line'!$Y$2:$Y$4001,'Per Line'!$E$2:$E$4001,$B857,'Per Line'!$AP$2:$AP$4001,0,'Per Line'!$AQ$2:$AQ$4001,0))</f>
        <v/>
      </c>
      <c r="S857" s="7">
        <f>IF($AA857="","",R857*Q857)</f>
        <v/>
      </c>
      <c r="T857">
        <f>IF($AA857="","",Settings!$C$6)</f>
        <v/>
      </c>
      <c r="U857" s="7">
        <f>IF($AA857="","",SUMIFS('Per Line'!$Y$2:$Y$4001,'Per Line'!$E$2:$E$4001,$B857,'Per Line'!$AP$2:$AP$4001,1,'Per Line'!$AQ$2:$AQ$4001,0))</f>
        <v/>
      </c>
      <c r="V857" s="7">
        <f>IF($AA857="","",U857*T857)</f>
        <v/>
      </c>
      <c r="W857" s="7">
        <f>IF($AA857="","",V857+S857)</f>
        <v/>
      </c>
      <c r="X857" s="7">
        <f>IF($AA857="","",Y857-W857)</f>
        <v/>
      </c>
      <c r="Y857" s="7">
        <f>IF($AA857="","",R857+U857+P857)</f>
        <v/>
      </c>
      <c r="Z857" s="7">
        <f>IF($AA857="","",Y857-W857-L857)</f>
        <v/>
      </c>
      <c r="AA857" s="13">
        <f>IF(ROWS($AA$2:$AA857)&lt;=MAX('Per Line'!$AO$2:$AO$4001),MATCH(ROWS($AA$2:$AA857),'Per Line'!$AO$2:$AO$4001,0),"")</f>
        <v/>
      </c>
      <c r="AB857" s="14">
        <f>IF($AA857="","",L857-K857*Y857/100)</f>
        <v/>
      </c>
    </row>
    <row r="858">
      <c r="A858" s="12" t="n"/>
      <c r="B858">
        <f>IF($AA858="","",INDEX('Per Line'!$E$2:$E$4001,$AA858)&amp;"")</f>
        <v/>
      </c>
      <c r="C858">
        <f>IF($AA858="","",INDEX('Per Line'!$A$2:$A$4001,$AA858)&amp;"")</f>
        <v/>
      </c>
      <c r="D858">
        <f>IF($AA858="","",INDEX('Per Line'!$D$2:$D$4001,$AA858)&amp;"")</f>
        <v/>
      </c>
      <c r="E858" s="11">
        <f>IF($AA858="","",INDEX('Per Line'!$G$2:$G$4001,$AA858))</f>
        <v/>
      </c>
      <c r="F858">
        <f>IF($AA858="","",INDEX('Per Line'!$H$2:$H$4001,$AA858)&amp;"")</f>
        <v/>
      </c>
      <c r="G858">
        <f>IF($AA858="","",INDEX('Per Line'!$I$2:$I$4001,$AA858)&amp;"")</f>
        <v/>
      </c>
      <c r="H858">
        <f>IF($AA858="","",INDEX('Per Line'!$J$2:$J$4001,$AA858)&amp;"")</f>
        <v/>
      </c>
      <c r="I858">
        <f>IF($AA858="","",INDEX('Per Line'!$K$2:$K$4001,$AA858)&amp;"")</f>
        <v/>
      </c>
      <c r="J858">
        <f>IF($AA858="","",INDEX('Per Line'!$L$2:$L$4001,$AA858)&amp;"")</f>
        <v/>
      </c>
      <c r="K858">
        <f>IF($AA858="","",INDEX('Per Line'!$P$2:$P$4001,$AA858))</f>
        <v/>
      </c>
      <c r="L858" s="7">
        <f>IF($AA858="","",IF(AND(ISNUMBER(N858),N858&gt;0,Y858&gt;N858),K858*N858/100+(Y858-N858),K858*Y858/100))</f>
        <v/>
      </c>
      <c r="M858">
        <f>IF($AA858="","",INDEX('Per Line'!$Z$2:$Z$4001,$AA858)&amp;"")</f>
        <v/>
      </c>
      <c r="N858">
        <f>IF($AA858="","",INDEX('Per Line'!$AG$2:$AG$4001,$AA858))</f>
        <v/>
      </c>
      <c r="O858">
        <f>IF($AA858="","",IF(AND(ISNUMBER(N858),N858&gt;0),Y858&gt;N858,FALSE))</f>
        <v/>
      </c>
      <c r="P858" s="7">
        <f>IF($AA858="","",SUMIFS('Per Line'!$Y$2:$Y$4001,'Per Line'!$E$2:$E$4001,$B858,'Per Line'!$AQ$2:$AQ$4001,1))</f>
        <v/>
      </c>
      <c r="Q858">
        <f>IF($AA858="","",Settings!$C$7)</f>
        <v/>
      </c>
      <c r="R858" s="7">
        <f>IF($AA858="","",SUMIFS('Per Line'!$Y$2:$Y$4001,'Per Line'!$E$2:$E$4001,$B858,'Per Line'!$AP$2:$AP$4001,0,'Per Line'!$AQ$2:$AQ$4001,0))</f>
        <v/>
      </c>
      <c r="S858" s="7">
        <f>IF($AA858="","",R858*Q858)</f>
        <v/>
      </c>
      <c r="T858">
        <f>IF($AA858="","",Settings!$C$6)</f>
        <v/>
      </c>
      <c r="U858" s="7">
        <f>IF($AA858="","",SUMIFS('Per Line'!$Y$2:$Y$4001,'Per Line'!$E$2:$E$4001,$B858,'Per Line'!$AP$2:$AP$4001,1,'Per Line'!$AQ$2:$AQ$4001,0))</f>
        <v/>
      </c>
      <c r="V858" s="7">
        <f>IF($AA858="","",U858*T858)</f>
        <v/>
      </c>
      <c r="W858" s="7">
        <f>IF($AA858="","",V858+S858)</f>
        <v/>
      </c>
      <c r="X858" s="7">
        <f>IF($AA858="","",Y858-W858)</f>
        <v/>
      </c>
      <c r="Y858" s="7">
        <f>IF($AA858="","",R858+U858+P858)</f>
        <v/>
      </c>
      <c r="Z858" s="7">
        <f>IF($AA858="","",Y858-W858-L858)</f>
        <v/>
      </c>
      <c r="AA858" s="13">
        <f>IF(ROWS($AA$2:$AA858)&lt;=MAX('Per Line'!$AO$2:$AO$4001),MATCH(ROWS($AA$2:$AA858),'Per Line'!$AO$2:$AO$4001,0),"")</f>
        <v/>
      </c>
      <c r="AB858" s="14">
        <f>IF($AA858="","",L858-K858*Y858/100)</f>
        <v/>
      </c>
    </row>
    <row r="859">
      <c r="A859" s="12" t="n"/>
      <c r="B859">
        <f>IF($AA859="","",INDEX('Per Line'!$E$2:$E$4001,$AA859)&amp;"")</f>
        <v/>
      </c>
      <c r="C859">
        <f>IF($AA859="","",INDEX('Per Line'!$A$2:$A$4001,$AA859)&amp;"")</f>
        <v/>
      </c>
      <c r="D859">
        <f>IF($AA859="","",INDEX('Per Line'!$D$2:$D$4001,$AA859)&amp;"")</f>
        <v/>
      </c>
      <c r="E859" s="11">
        <f>IF($AA859="","",INDEX('Per Line'!$G$2:$G$4001,$AA859))</f>
        <v/>
      </c>
      <c r="F859">
        <f>IF($AA859="","",INDEX('Per Line'!$H$2:$H$4001,$AA859)&amp;"")</f>
        <v/>
      </c>
      <c r="G859">
        <f>IF($AA859="","",INDEX('Per Line'!$I$2:$I$4001,$AA859)&amp;"")</f>
        <v/>
      </c>
      <c r="H859">
        <f>IF($AA859="","",INDEX('Per Line'!$J$2:$J$4001,$AA859)&amp;"")</f>
        <v/>
      </c>
      <c r="I859">
        <f>IF($AA859="","",INDEX('Per Line'!$K$2:$K$4001,$AA859)&amp;"")</f>
        <v/>
      </c>
      <c r="J859">
        <f>IF($AA859="","",INDEX('Per Line'!$L$2:$L$4001,$AA859)&amp;"")</f>
        <v/>
      </c>
      <c r="K859">
        <f>IF($AA859="","",INDEX('Per Line'!$P$2:$P$4001,$AA859))</f>
        <v/>
      </c>
      <c r="L859" s="7">
        <f>IF($AA859="","",IF(AND(ISNUMBER(N859),N859&gt;0,Y859&gt;N859),K859*N859/100+(Y859-N859),K859*Y859/100))</f>
        <v/>
      </c>
      <c r="M859">
        <f>IF($AA859="","",INDEX('Per Line'!$Z$2:$Z$4001,$AA859)&amp;"")</f>
        <v/>
      </c>
      <c r="N859">
        <f>IF($AA859="","",INDEX('Per Line'!$AG$2:$AG$4001,$AA859))</f>
        <v/>
      </c>
      <c r="O859">
        <f>IF($AA859="","",IF(AND(ISNUMBER(N859),N859&gt;0),Y859&gt;N859,FALSE))</f>
        <v/>
      </c>
      <c r="P859" s="7">
        <f>IF($AA859="","",SUMIFS('Per Line'!$Y$2:$Y$4001,'Per Line'!$E$2:$E$4001,$B859,'Per Line'!$AQ$2:$AQ$4001,1))</f>
        <v/>
      </c>
      <c r="Q859">
        <f>IF($AA859="","",Settings!$C$7)</f>
        <v/>
      </c>
      <c r="R859" s="7">
        <f>IF($AA859="","",SUMIFS('Per Line'!$Y$2:$Y$4001,'Per Line'!$E$2:$E$4001,$B859,'Per Line'!$AP$2:$AP$4001,0,'Per Line'!$AQ$2:$AQ$4001,0))</f>
        <v/>
      </c>
      <c r="S859" s="7">
        <f>IF($AA859="","",R859*Q859)</f>
        <v/>
      </c>
      <c r="T859">
        <f>IF($AA859="","",Settings!$C$6)</f>
        <v/>
      </c>
      <c r="U859" s="7">
        <f>IF($AA859="","",SUMIFS('Per Line'!$Y$2:$Y$4001,'Per Line'!$E$2:$E$4001,$B859,'Per Line'!$AP$2:$AP$4001,1,'Per Line'!$AQ$2:$AQ$4001,0))</f>
        <v/>
      </c>
      <c r="V859" s="7">
        <f>IF($AA859="","",U859*T859)</f>
        <v/>
      </c>
      <c r="W859" s="7">
        <f>IF($AA859="","",V859+S859)</f>
        <v/>
      </c>
      <c r="X859" s="7">
        <f>IF($AA859="","",Y859-W859)</f>
        <v/>
      </c>
      <c r="Y859" s="7">
        <f>IF($AA859="","",R859+U859+P859)</f>
        <v/>
      </c>
      <c r="Z859" s="7">
        <f>IF($AA859="","",Y859-W859-L859)</f>
        <v/>
      </c>
      <c r="AA859" s="13">
        <f>IF(ROWS($AA$2:$AA859)&lt;=MAX('Per Line'!$AO$2:$AO$4001),MATCH(ROWS($AA$2:$AA859),'Per Line'!$AO$2:$AO$4001,0),"")</f>
        <v/>
      </c>
      <c r="AB859" s="14">
        <f>IF($AA859="","",L859-K859*Y859/100)</f>
        <v/>
      </c>
    </row>
    <row r="860">
      <c r="A860" s="12" t="n"/>
      <c r="B860">
        <f>IF($AA860="","",INDEX('Per Line'!$E$2:$E$4001,$AA860)&amp;"")</f>
        <v/>
      </c>
      <c r="C860">
        <f>IF($AA860="","",INDEX('Per Line'!$A$2:$A$4001,$AA860)&amp;"")</f>
        <v/>
      </c>
      <c r="D860">
        <f>IF($AA860="","",INDEX('Per Line'!$D$2:$D$4001,$AA860)&amp;"")</f>
        <v/>
      </c>
      <c r="E860" s="11">
        <f>IF($AA860="","",INDEX('Per Line'!$G$2:$G$4001,$AA860))</f>
        <v/>
      </c>
      <c r="F860">
        <f>IF($AA860="","",INDEX('Per Line'!$H$2:$H$4001,$AA860)&amp;"")</f>
        <v/>
      </c>
      <c r="G860">
        <f>IF($AA860="","",INDEX('Per Line'!$I$2:$I$4001,$AA860)&amp;"")</f>
        <v/>
      </c>
      <c r="H860">
        <f>IF($AA860="","",INDEX('Per Line'!$J$2:$J$4001,$AA860)&amp;"")</f>
        <v/>
      </c>
      <c r="I860">
        <f>IF($AA860="","",INDEX('Per Line'!$K$2:$K$4001,$AA860)&amp;"")</f>
        <v/>
      </c>
      <c r="J860">
        <f>IF($AA860="","",INDEX('Per Line'!$L$2:$L$4001,$AA860)&amp;"")</f>
        <v/>
      </c>
      <c r="K860">
        <f>IF($AA860="","",INDEX('Per Line'!$P$2:$P$4001,$AA860))</f>
        <v/>
      </c>
      <c r="L860" s="7">
        <f>IF($AA860="","",IF(AND(ISNUMBER(N860),N860&gt;0,Y860&gt;N860),K860*N860/100+(Y860-N860),K860*Y860/100))</f>
        <v/>
      </c>
      <c r="M860">
        <f>IF($AA860="","",INDEX('Per Line'!$Z$2:$Z$4001,$AA860)&amp;"")</f>
        <v/>
      </c>
      <c r="N860">
        <f>IF($AA860="","",INDEX('Per Line'!$AG$2:$AG$4001,$AA860))</f>
        <v/>
      </c>
      <c r="O860">
        <f>IF($AA860="","",IF(AND(ISNUMBER(N860),N860&gt;0),Y860&gt;N860,FALSE))</f>
        <v/>
      </c>
      <c r="P860" s="7">
        <f>IF($AA860="","",SUMIFS('Per Line'!$Y$2:$Y$4001,'Per Line'!$E$2:$E$4001,$B860,'Per Line'!$AQ$2:$AQ$4001,1))</f>
        <v/>
      </c>
      <c r="Q860">
        <f>IF($AA860="","",Settings!$C$7)</f>
        <v/>
      </c>
      <c r="R860" s="7">
        <f>IF($AA860="","",SUMIFS('Per Line'!$Y$2:$Y$4001,'Per Line'!$E$2:$E$4001,$B860,'Per Line'!$AP$2:$AP$4001,0,'Per Line'!$AQ$2:$AQ$4001,0))</f>
        <v/>
      </c>
      <c r="S860" s="7">
        <f>IF($AA860="","",R860*Q860)</f>
        <v/>
      </c>
      <c r="T860">
        <f>IF($AA860="","",Settings!$C$6)</f>
        <v/>
      </c>
      <c r="U860" s="7">
        <f>IF($AA860="","",SUMIFS('Per Line'!$Y$2:$Y$4001,'Per Line'!$E$2:$E$4001,$B860,'Per Line'!$AP$2:$AP$4001,1,'Per Line'!$AQ$2:$AQ$4001,0))</f>
        <v/>
      </c>
      <c r="V860" s="7">
        <f>IF($AA860="","",U860*T860)</f>
        <v/>
      </c>
      <c r="W860" s="7">
        <f>IF($AA860="","",V860+S860)</f>
        <v/>
      </c>
      <c r="X860" s="7">
        <f>IF($AA860="","",Y860-W860)</f>
        <v/>
      </c>
      <c r="Y860" s="7">
        <f>IF($AA860="","",R860+U860+P860)</f>
        <v/>
      </c>
      <c r="Z860" s="7">
        <f>IF($AA860="","",Y860-W860-L860)</f>
        <v/>
      </c>
      <c r="AA860" s="13">
        <f>IF(ROWS($AA$2:$AA860)&lt;=MAX('Per Line'!$AO$2:$AO$4001),MATCH(ROWS($AA$2:$AA860),'Per Line'!$AO$2:$AO$4001,0),"")</f>
        <v/>
      </c>
      <c r="AB860" s="14">
        <f>IF($AA860="","",L860-K860*Y860/100)</f>
        <v/>
      </c>
    </row>
    <row r="861">
      <c r="A861" s="12" t="n"/>
      <c r="B861">
        <f>IF($AA861="","",INDEX('Per Line'!$E$2:$E$4001,$AA861)&amp;"")</f>
        <v/>
      </c>
      <c r="C861">
        <f>IF($AA861="","",INDEX('Per Line'!$A$2:$A$4001,$AA861)&amp;"")</f>
        <v/>
      </c>
      <c r="D861">
        <f>IF($AA861="","",INDEX('Per Line'!$D$2:$D$4001,$AA861)&amp;"")</f>
        <v/>
      </c>
      <c r="E861" s="11">
        <f>IF($AA861="","",INDEX('Per Line'!$G$2:$G$4001,$AA861))</f>
        <v/>
      </c>
      <c r="F861">
        <f>IF($AA861="","",INDEX('Per Line'!$H$2:$H$4001,$AA861)&amp;"")</f>
        <v/>
      </c>
      <c r="G861">
        <f>IF($AA861="","",INDEX('Per Line'!$I$2:$I$4001,$AA861)&amp;"")</f>
        <v/>
      </c>
      <c r="H861">
        <f>IF($AA861="","",INDEX('Per Line'!$J$2:$J$4001,$AA861)&amp;"")</f>
        <v/>
      </c>
      <c r="I861">
        <f>IF($AA861="","",INDEX('Per Line'!$K$2:$K$4001,$AA861)&amp;"")</f>
        <v/>
      </c>
      <c r="J861">
        <f>IF($AA861="","",INDEX('Per Line'!$L$2:$L$4001,$AA861)&amp;"")</f>
        <v/>
      </c>
      <c r="K861">
        <f>IF($AA861="","",INDEX('Per Line'!$P$2:$P$4001,$AA861))</f>
        <v/>
      </c>
      <c r="L861" s="7">
        <f>IF($AA861="","",IF(AND(ISNUMBER(N861),N861&gt;0,Y861&gt;N861),K861*N861/100+(Y861-N861),K861*Y861/100))</f>
        <v/>
      </c>
      <c r="M861">
        <f>IF($AA861="","",INDEX('Per Line'!$Z$2:$Z$4001,$AA861)&amp;"")</f>
        <v/>
      </c>
      <c r="N861">
        <f>IF($AA861="","",INDEX('Per Line'!$AG$2:$AG$4001,$AA861))</f>
        <v/>
      </c>
      <c r="O861">
        <f>IF($AA861="","",IF(AND(ISNUMBER(N861),N861&gt;0),Y861&gt;N861,FALSE))</f>
        <v/>
      </c>
      <c r="P861" s="7">
        <f>IF($AA861="","",SUMIFS('Per Line'!$Y$2:$Y$4001,'Per Line'!$E$2:$E$4001,$B861,'Per Line'!$AQ$2:$AQ$4001,1))</f>
        <v/>
      </c>
      <c r="Q861">
        <f>IF($AA861="","",Settings!$C$7)</f>
        <v/>
      </c>
      <c r="R861" s="7">
        <f>IF($AA861="","",SUMIFS('Per Line'!$Y$2:$Y$4001,'Per Line'!$E$2:$E$4001,$B861,'Per Line'!$AP$2:$AP$4001,0,'Per Line'!$AQ$2:$AQ$4001,0))</f>
        <v/>
      </c>
      <c r="S861" s="7">
        <f>IF($AA861="","",R861*Q861)</f>
        <v/>
      </c>
      <c r="T861">
        <f>IF($AA861="","",Settings!$C$6)</f>
        <v/>
      </c>
      <c r="U861" s="7">
        <f>IF($AA861="","",SUMIFS('Per Line'!$Y$2:$Y$4001,'Per Line'!$E$2:$E$4001,$B861,'Per Line'!$AP$2:$AP$4001,1,'Per Line'!$AQ$2:$AQ$4001,0))</f>
        <v/>
      </c>
      <c r="V861" s="7">
        <f>IF($AA861="","",U861*T861)</f>
        <v/>
      </c>
      <c r="W861" s="7">
        <f>IF($AA861="","",V861+S861)</f>
        <v/>
      </c>
      <c r="X861" s="7">
        <f>IF($AA861="","",Y861-W861)</f>
        <v/>
      </c>
      <c r="Y861" s="7">
        <f>IF($AA861="","",R861+U861+P861)</f>
        <v/>
      </c>
      <c r="Z861" s="7">
        <f>IF($AA861="","",Y861-W861-L861)</f>
        <v/>
      </c>
      <c r="AA861" s="13">
        <f>IF(ROWS($AA$2:$AA861)&lt;=MAX('Per Line'!$AO$2:$AO$4001),MATCH(ROWS($AA$2:$AA861),'Per Line'!$AO$2:$AO$4001,0),"")</f>
        <v/>
      </c>
      <c r="AB861" s="14">
        <f>IF($AA861="","",L861-K861*Y861/100)</f>
        <v/>
      </c>
    </row>
    <row r="862">
      <c r="A862" s="12" t="n"/>
      <c r="B862">
        <f>IF($AA862="","",INDEX('Per Line'!$E$2:$E$4001,$AA862)&amp;"")</f>
        <v/>
      </c>
      <c r="C862">
        <f>IF($AA862="","",INDEX('Per Line'!$A$2:$A$4001,$AA862)&amp;"")</f>
        <v/>
      </c>
      <c r="D862">
        <f>IF($AA862="","",INDEX('Per Line'!$D$2:$D$4001,$AA862)&amp;"")</f>
        <v/>
      </c>
      <c r="E862" s="11">
        <f>IF($AA862="","",INDEX('Per Line'!$G$2:$G$4001,$AA862))</f>
        <v/>
      </c>
      <c r="F862">
        <f>IF($AA862="","",INDEX('Per Line'!$H$2:$H$4001,$AA862)&amp;"")</f>
        <v/>
      </c>
      <c r="G862">
        <f>IF($AA862="","",INDEX('Per Line'!$I$2:$I$4001,$AA862)&amp;"")</f>
        <v/>
      </c>
      <c r="H862">
        <f>IF($AA862="","",INDEX('Per Line'!$J$2:$J$4001,$AA862)&amp;"")</f>
        <v/>
      </c>
      <c r="I862">
        <f>IF($AA862="","",INDEX('Per Line'!$K$2:$K$4001,$AA862)&amp;"")</f>
        <v/>
      </c>
      <c r="J862">
        <f>IF($AA862="","",INDEX('Per Line'!$L$2:$L$4001,$AA862)&amp;"")</f>
        <v/>
      </c>
      <c r="K862">
        <f>IF($AA862="","",INDEX('Per Line'!$P$2:$P$4001,$AA862))</f>
        <v/>
      </c>
      <c r="L862" s="7">
        <f>IF($AA862="","",IF(AND(ISNUMBER(N862),N862&gt;0,Y862&gt;N862),K862*N862/100+(Y862-N862),K862*Y862/100))</f>
        <v/>
      </c>
      <c r="M862">
        <f>IF($AA862="","",INDEX('Per Line'!$Z$2:$Z$4001,$AA862)&amp;"")</f>
        <v/>
      </c>
      <c r="N862">
        <f>IF($AA862="","",INDEX('Per Line'!$AG$2:$AG$4001,$AA862))</f>
        <v/>
      </c>
      <c r="O862">
        <f>IF($AA862="","",IF(AND(ISNUMBER(N862),N862&gt;0),Y862&gt;N862,FALSE))</f>
        <v/>
      </c>
      <c r="P862" s="7">
        <f>IF($AA862="","",SUMIFS('Per Line'!$Y$2:$Y$4001,'Per Line'!$E$2:$E$4001,$B862,'Per Line'!$AQ$2:$AQ$4001,1))</f>
        <v/>
      </c>
      <c r="Q862">
        <f>IF($AA862="","",Settings!$C$7)</f>
        <v/>
      </c>
      <c r="R862" s="7">
        <f>IF($AA862="","",SUMIFS('Per Line'!$Y$2:$Y$4001,'Per Line'!$E$2:$E$4001,$B862,'Per Line'!$AP$2:$AP$4001,0,'Per Line'!$AQ$2:$AQ$4001,0))</f>
        <v/>
      </c>
      <c r="S862" s="7">
        <f>IF($AA862="","",R862*Q862)</f>
        <v/>
      </c>
      <c r="T862">
        <f>IF($AA862="","",Settings!$C$6)</f>
        <v/>
      </c>
      <c r="U862" s="7">
        <f>IF($AA862="","",SUMIFS('Per Line'!$Y$2:$Y$4001,'Per Line'!$E$2:$E$4001,$B862,'Per Line'!$AP$2:$AP$4001,1,'Per Line'!$AQ$2:$AQ$4001,0))</f>
        <v/>
      </c>
      <c r="V862" s="7">
        <f>IF($AA862="","",U862*T862)</f>
        <v/>
      </c>
      <c r="W862" s="7">
        <f>IF($AA862="","",V862+S862)</f>
        <v/>
      </c>
      <c r="X862" s="7">
        <f>IF($AA862="","",Y862-W862)</f>
        <v/>
      </c>
      <c r="Y862" s="7">
        <f>IF($AA862="","",R862+U862+P862)</f>
        <v/>
      </c>
      <c r="Z862" s="7">
        <f>IF($AA862="","",Y862-W862-L862)</f>
        <v/>
      </c>
      <c r="AA862" s="13">
        <f>IF(ROWS($AA$2:$AA862)&lt;=MAX('Per Line'!$AO$2:$AO$4001),MATCH(ROWS($AA$2:$AA862),'Per Line'!$AO$2:$AO$4001,0),"")</f>
        <v/>
      </c>
      <c r="AB862" s="14">
        <f>IF($AA862="","",L862-K862*Y862/100)</f>
        <v/>
      </c>
    </row>
    <row r="863">
      <c r="A863" s="12" t="n"/>
      <c r="B863">
        <f>IF($AA863="","",INDEX('Per Line'!$E$2:$E$4001,$AA863)&amp;"")</f>
        <v/>
      </c>
      <c r="C863">
        <f>IF($AA863="","",INDEX('Per Line'!$A$2:$A$4001,$AA863)&amp;"")</f>
        <v/>
      </c>
      <c r="D863">
        <f>IF($AA863="","",INDEX('Per Line'!$D$2:$D$4001,$AA863)&amp;"")</f>
        <v/>
      </c>
      <c r="E863" s="11">
        <f>IF($AA863="","",INDEX('Per Line'!$G$2:$G$4001,$AA863))</f>
        <v/>
      </c>
      <c r="F863">
        <f>IF($AA863="","",INDEX('Per Line'!$H$2:$H$4001,$AA863)&amp;"")</f>
        <v/>
      </c>
      <c r="G863">
        <f>IF($AA863="","",INDEX('Per Line'!$I$2:$I$4001,$AA863)&amp;"")</f>
        <v/>
      </c>
      <c r="H863">
        <f>IF($AA863="","",INDEX('Per Line'!$J$2:$J$4001,$AA863)&amp;"")</f>
        <v/>
      </c>
      <c r="I863">
        <f>IF($AA863="","",INDEX('Per Line'!$K$2:$K$4001,$AA863)&amp;"")</f>
        <v/>
      </c>
      <c r="J863">
        <f>IF($AA863="","",INDEX('Per Line'!$L$2:$L$4001,$AA863)&amp;"")</f>
        <v/>
      </c>
      <c r="K863">
        <f>IF($AA863="","",INDEX('Per Line'!$P$2:$P$4001,$AA863))</f>
        <v/>
      </c>
      <c r="L863" s="7">
        <f>IF($AA863="","",IF(AND(ISNUMBER(N863),N863&gt;0,Y863&gt;N863),K863*N863/100+(Y863-N863),K863*Y863/100))</f>
        <v/>
      </c>
      <c r="M863">
        <f>IF($AA863="","",INDEX('Per Line'!$Z$2:$Z$4001,$AA863)&amp;"")</f>
        <v/>
      </c>
      <c r="N863">
        <f>IF($AA863="","",INDEX('Per Line'!$AG$2:$AG$4001,$AA863))</f>
        <v/>
      </c>
      <c r="O863">
        <f>IF($AA863="","",IF(AND(ISNUMBER(N863),N863&gt;0),Y863&gt;N863,FALSE))</f>
        <v/>
      </c>
      <c r="P863" s="7">
        <f>IF($AA863="","",SUMIFS('Per Line'!$Y$2:$Y$4001,'Per Line'!$E$2:$E$4001,$B863,'Per Line'!$AQ$2:$AQ$4001,1))</f>
        <v/>
      </c>
      <c r="Q863">
        <f>IF($AA863="","",Settings!$C$7)</f>
        <v/>
      </c>
      <c r="R863" s="7">
        <f>IF($AA863="","",SUMIFS('Per Line'!$Y$2:$Y$4001,'Per Line'!$E$2:$E$4001,$B863,'Per Line'!$AP$2:$AP$4001,0,'Per Line'!$AQ$2:$AQ$4001,0))</f>
        <v/>
      </c>
      <c r="S863" s="7">
        <f>IF($AA863="","",R863*Q863)</f>
        <v/>
      </c>
      <c r="T863">
        <f>IF($AA863="","",Settings!$C$6)</f>
        <v/>
      </c>
      <c r="U863" s="7">
        <f>IF($AA863="","",SUMIFS('Per Line'!$Y$2:$Y$4001,'Per Line'!$E$2:$E$4001,$B863,'Per Line'!$AP$2:$AP$4001,1,'Per Line'!$AQ$2:$AQ$4001,0))</f>
        <v/>
      </c>
      <c r="V863" s="7">
        <f>IF($AA863="","",U863*T863)</f>
        <v/>
      </c>
      <c r="W863" s="7">
        <f>IF($AA863="","",V863+S863)</f>
        <v/>
      </c>
      <c r="X863" s="7">
        <f>IF($AA863="","",Y863-W863)</f>
        <v/>
      </c>
      <c r="Y863" s="7">
        <f>IF($AA863="","",R863+U863+P863)</f>
        <v/>
      </c>
      <c r="Z863" s="7">
        <f>IF($AA863="","",Y863-W863-L863)</f>
        <v/>
      </c>
      <c r="AA863" s="13">
        <f>IF(ROWS($AA$2:$AA863)&lt;=MAX('Per Line'!$AO$2:$AO$4001),MATCH(ROWS($AA$2:$AA863),'Per Line'!$AO$2:$AO$4001,0),"")</f>
        <v/>
      </c>
      <c r="AB863" s="14">
        <f>IF($AA863="","",L863-K863*Y863/100)</f>
        <v/>
      </c>
    </row>
    <row r="864">
      <c r="A864" s="12" t="n"/>
      <c r="B864">
        <f>IF($AA864="","",INDEX('Per Line'!$E$2:$E$4001,$AA864)&amp;"")</f>
        <v/>
      </c>
      <c r="C864">
        <f>IF($AA864="","",INDEX('Per Line'!$A$2:$A$4001,$AA864)&amp;"")</f>
        <v/>
      </c>
      <c r="D864">
        <f>IF($AA864="","",INDEX('Per Line'!$D$2:$D$4001,$AA864)&amp;"")</f>
        <v/>
      </c>
      <c r="E864" s="11">
        <f>IF($AA864="","",INDEX('Per Line'!$G$2:$G$4001,$AA864))</f>
        <v/>
      </c>
      <c r="F864">
        <f>IF($AA864="","",INDEX('Per Line'!$H$2:$H$4001,$AA864)&amp;"")</f>
        <v/>
      </c>
      <c r="G864">
        <f>IF($AA864="","",INDEX('Per Line'!$I$2:$I$4001,$AA864)&amp;"")</f>
        <v/>
      </c>
      <c r="H864">
        <f>IF($AA864="","",INDEX('Per Line'!$J$2:$J$4001,$AA864)&amp;"")</f>
        <v/>
      </c>
      <c r="I864">
        <f>IF($AA864="","",INDEX('Per Line'!$K$2:$K$4001,$AA864)&amp;"")</f>
        <v/>
      </c>
      <c r="J864">
        <f>IF($AA864="","",INDEX('Per Line'!$L$2:$L$4001,$AA864)&amp;"")</f>
        <v/>
      </c>
      <c r="K864">
        <f>IF($AA864="","",INDEX('Per Line'!$P$2:$P$4001,$AA864))</f>
        <v/>
      </c>
      <c r="L864" s="7">
        <f>IF($AA864="","",IF(AND(ISNUMBER(N864),N864&gt;0,Y864&gt;N864),K864*N864/100+(Y864-N864),K864*Y864/100))</f>
        <v/>
      </c>
      <c r="M864">
        <f>IF($AA864="","",INDEX('Per Line'!$Z$2:$Z$4001,$AA864)&amp;"")</f>
        <v/>
      </c>
      <c r="N864">
        <f>IF($AA864="","",INDEX('Per Line'!$AG$2:$AG$4001,$AA864))</f>
        <v/>
      </c>
      <c r="O864">
        <f>IF($AA864="","",IF(AND(ISNUMBER(N864),N864&gt;0),Y864&gt;N864,FALSE))</f>
        <v/>
      </c>
      <c r="P864" s="7">
        <f>IF($AA864="","",SUMIFS('Per Line'!$Y$2:$Y$4001,'Per Line'!$E$2:$E$4001,$B864,'Per Line'!$AQ$2:$AQ$4001,1))</f>
        <v/>
      </c>
      <c r="Q864">
        <f>IF($AA864="","",Settings!$C$7)</f>
        <v/>
      </c>
      <c r="R864" s="7">
        <f>IF($AA864="","",SUMIFS('Per Line'!$Y$2:$Y$4001,'Per Line'!$E$2:$E$4001,$B864,'Per Line'!$AP$2:$AP$4001,0,'Per Line'!$AQ$2:$AQ$4001,0))</f>
        <v/>
      </c>
      <c r="S864" s="7">
        <f>IF($AA864="","",R864*Q864)</f>
        <v/>
      </c>
      <c r="T864">
        <f>IF($AA864="","",Settings!$C$6)</f>
        <v/>
      </c>
      <c r="U864" s="7">
        <f>IF($AA864="","",SUMIFS('Per Line'!$Y$2:$Y$4001,'Per Line'!$E$2:$E$4001,$B864,'Per Line'!$AP$2:$AP$4001,1,'Per Line'!$AQ$2:$AQ$4001,0))</f>
        <v/>
      </c>
      <c r="V864" s="7">
        <f>IF($AA864="","",U864*T864)</f>
        <v/>
      </c>
      <c r="W864" s="7">
        <f>IF($AA864="","",V864+S864)</f>
        <v/>
      </c>
      <c r="X864" s="7">
        <f>IF($AA864="","",Y864-W864)</f>
        <v/>
      </c>
      <c r="Y864" s="7">
        <f>IF($AA864="","",R864+U864+P864)</f>
        <v/>
      </c>
      <c r="Z864" s="7">
        <f>IF($AA864="","",Y864-W864-L864)</f>
        <v/>
      </c>
      <c r="AA864" s="13">
        <f>IF(ROWS($AA$2:$AA864)&lt;=MAX('Per Line'!$AO$2:$AO$4001),MATCH(ROWS($AA$2:$AA864),'Per Line'!$AO$2:$AO$4001,0),"")</f>
        <v/>
      </c>
      <c r="AB864" s="14">
        <f>IF($AA864="","",L864-K864*Y864/100)</f>
        <v/>
      </c>
    </row>
    <row r="865">
      <c r="A865" s="12" t="n"/>
      <c r="B865">
        <f>IF($AA865="","",INDEX('Per Line'!$E$2:$E$4001,$AA865)&amp;"")</f>
        <v/>
      </c>
      <c r="C865">
        <f>IF($AA865="","",INDEX('Per Line'!$A$2:$A$4001,$AA865)&amp;"")</f>
        <v/>
      </c>
      <c r="D865">
        <f>IF($AA865="","",INDEX('Per Line'!$D$2:$D$4001,$AA865)&amp;"")</f>
        <v/>
      </c>
      <c r="E865" s="11">
        <f>IF($AA865="","",INDEX('Per Line'!$G$2:$G$4001,$AA865))</f>
        <v/>
      </c>
      <c r="F865">
        <f>IF($AA865="","",INDEX('Per Line'!$H$2:$H$4001,$AA865)&amp;"")</f>
        <v/>
      </c>
      <c r="G865">
        <f>IF($AA865="","",INDEX('Per Line'!$I$2:$I$4001,$AA865)&amp;"")</f>
        <v/>
      </c>
      <c r="H865">
        <f>IF($AA865="","",INDEX('Per Line'!$J$2:$J$4001,$AA865)&amp;"")</f>
        <v/>
      </c>
      <c r="I865">
        <f>IF($AA865="","",INDEX('Per Line'!$K$2:$K$4001,$AA865)&amp;"")</f>
        <v/>
      </c>
      <c r="J865">
        <f>IF($AA865="","",INDEX('Per Line'!$L$2:$L$4001,$AA865)&amp;"")</f>
        <v/>
      </c>
      <c r="K865">
        <f>IF($AA865="","",INDEX('Per Line'!$P$2:$P$4001,$AA865))</f>
        <v/>
      </c>
      <c r="L865" s="7">
        <f>IF($AA865="","",IF(AND(ISNUMBER(N865),N865&gt;0,Y865&gt;N865),K865*N865/100+(Y865-N865),K865*Y865/100))</f>
        <v/>
      </c>
      <c r="M865">
        <f>IF($AA865="","",INDEX('Per Line'!$Z$2:$Z$4001,$AA865)&amp;"")</f>
        <v/>
      </c>
      <c r="N865">
        <f>IF($AA865="","",INDEX('Per Line'!$AG$2:$AG$4001,$AA865))</f>
        <v/>
      </c>
      <c r="O865">
        <f>IF($AA865="","",IF(AND(ISNUMBER(N865),N865&gt;0),Y865&gt;N865,FALSE))</f>
        <v/>
      </c>
      <c r="P865" s="7">
        <f>IF($AA865="","",SUMIFS('Per Line'!$Y$2:$Y$4001,'Per Line'!$E$2:$E$4001,$B865,'Per Line'!$AQ$2:$AQ$4001,1))</f>
        <v/>
      </c>
      <c r="Q865">
        <f>IF($AA865="","",Settings!$C$7)</f>
        <v/>
      </c>
      <c r="R865" s="7">
        <f>IF($AA865="","",SUMIFS('Per Line'!$Y$2:$Y$4001,'Per Line'!$E$2:$E$4001,$B865,'Per Line'!$AP$2:$AP$4001,0,'Per Line'!$AQ$2:$AQ$4001,0))</f>
        <v/>
      </c>
      <c r="S865" s="7">
        <f>IF($AA865="","",R865*Q865)</f>
        <v/>
      </c>
      <c r="T865">
        <f>IF($AA865="","",Settings!$C$6)</f>
        <v/>
      </c>
      <c r="U865" s="7">
        <f>IF($AA865="","",SUMIFS('Per Line'!$Y$2:$Y$4001,'Per Line'!$E$2:$E$4001,$B865,'Per Line'!$AP$2:$AP$4001,1,'Per Line'!$AQ$2:$AQ$4001,0))</f>
        <v/>
      </c>
      <c r="V865" s="7">
        <f>IF($AA865="","",U865*T865)</f>
        <v/>
      </c>
      <c r="W865" s="7">
        <f>IF($AA865="","",V865+S865)</f>
        <v/>
      </c>
      <c r="X865" s="7">
        <f>IF($AA865="","",Y865-W865)</f>
        <v/>
      </c>
      <c r="Y865" s="7">
        <f>IF($AA865="","",R865+U865+P865)</f>
        <v/>
      </c>
      <c r="Z865" s="7">
        <f>IF($AA865="","",Y865-W865-L865)</f>
        <v/>
      </c>
      <c r="AA865" s="13">
        <f>IF(ROWS($AA$2:$AA865)&lt;=MAX('Per Line'!$AO$2:$AO$4001),MATCH(ROWS($AA$2:$AA865),'Per Line'!$AO$2:$AO$4001,0),"")</f>
        <v/>
      </c>
      <c r="AB865" s="14">
        <f>IF($AA865="","",L865-K865*Y865/100)</f>
        <v/>
      </c>
    </row>
    <row r="866">
      <c r="A866" s="12" t="n"/>
      <c r="B866">
        <f>IF($AA866="","",INDEX('Per Line'!$E$2:$E$4001,$AA866)&amp;"")</f>
        <v/>
      </c>
      <c r="C866">
        <f>IF($AA866="","",INDEX('Per Line'!$A$2:$A$4001,$AA866)&amp;"")</f>
        <v/>
      </c>
      <c r="D866">
        <f>IF($AA866="","",INDEX('Per Line'!$D$2:$D$4001,$AA866)&amp;"")</f>
        <v/>
      </c>
      <c r="E866" s="11">
        <f>IF($AA866="","",INDEX('Per Line'!$G$2:$G$4001,$AA866))</f>
        <v/>
      </c>
      <c r="F866">
        <f>IF($AA866="","",INDEX('Per Line'!$H$2:$H$4001,$AA866)&amp;"")</f>
        <v/>
      </c>
      <c r="G866">
        <f>IF($AA866="","",INDEX('Per Line'!$I$2:$I$4001,$AA866)&amp;"")</f>
        <v/>
      </c>
      <c r="H866">
        <f>IF($AA866="","",INDEX('Per Line'!$J$2:$J$4001,$AA866)&amp;"")</f>
        <v/>
      </c>
      <c r="I866">
        <f>IF($AA866="","",INDEX('Per Line'!$K$2:$K$4001,$AA866)&amp;"")</f>
        <v/>
      </c>
      <c r="J866">
        <f>IF($AA866="","",INDEX('Per Line'!$L$2:$L$4001,$AA866)&amp;"")</f>
        <v/>
      </c>
      <c r="K866">
        <f>IF($AA866="","",INDEX('Per Line'!$P$2:$P$4001,$AA866))</f>
        <v/>
      </c>
      <c r="L866" s="7">
        <f>IF($AA866="","",IF(AND(ISNUMBER(N866),N866&gt;0,Y866&gt;N866),K866*N866/100+(Y866-N866),K866*Y866/100))</f>
        <v/>
      </c>
      <c r="M866">
        <f>IF($AA866="","",INDEX('Per Line'!$Z$2:$Z$4001,$AA866)&amp;"")</f>
        <v/>
      </c>
      <c r="N866">
        <f>IF($AA866="","",INDEX('Per Line'!$AG$2:$AG$4001,$AA866))</f>
        <v/>
      </c>
      <c r="O866">
        <f>IF($AA866="","",IF(AND(ISNUMBER(N866),N866&gt;0),Y866&gt;N866,FALSE))</f>
        <v/>
      </c>
      <c r="P866" s="7">
        <f>IF($AA866="","",SUMIFS('Per Line'!$Y$2:$Y$4001,'Per Line'!$E$2:$E$4001,$B866,'Per Line'!$AQ$2:$AQ$4001,1))</f>
        <v/>
      </c>
      <c r="Q866">
        <f>IF($AA866="","",Settings!$C$7)</f>
        <v/>
      </c>
      <c r="R866" s="7">
        <f>IF($AA866="","",SUMIFS('Per Line'!$Y$2:$Y$4001,'Per Line'!$E$2:$E$4001,$B866,'Per Line'!$AP$2:$AP$4001,0,'Per Line'!$AQ$2:$AQ$4001,0))</f>
        <v/>
      </c>
      <c r="S866" s="7">
        <f>IF($AA866="","",R866*Q866)</f>
        <v/>
      </c>
      <c r="T866">
        <f>IF($AA866="","",Settings!$C$6)</f>
        <v/>
      </c>
      <c r="U866" s="7">
        <f>IF($AA866="","",SUMIFS('Per Line'!$Y$2:$Y$4001,'Per Line'!$E$2:$E$4001,$B866,'Per Line'!$AP$2:$AP$4001,1,'Per Line'!$AQ$2:$AQ$4001,0))</f>
        <v/>
      </c>
      <c r="V866" s="7">
        <f>IF($AA866="","",U866*T866)</f>
        <v/>
      </c>
      <c r="W866" s="7">
        <f>IF($AA866="","",V866+S866)</f>
        <v/>
      </c>
      <c r="X866" s="7">
        <f>IF($AA866="","",Y866-W866)</f>
        <v/>
      </c>
      <c r="Y866" s="7">
        <f>IF($AA866="","",R866+U866+P866)</f>
        <v/>
      </c>
      <c r="Z866" s="7">
        <f>IF($AA866="","",Y866-W866-L866)</f>
        <v/>
      </c>
      <c r="AA866" s="13">
        <f>IF(ROWS($AA$2:$AA866)&lt;=MAX('Per Line'!$AO$2:$AO$4001),MATCH(ROWS($AA$2:$AA866),'Per Line'!$AO$2:$AO$4001,0),"")</f>
        <v/>
      </c>
      <c r="AB866" s="14">
        <f>IF($AA866="","",L866-K866*Y866/100)</f>
        <v/>
      </c>
    </row>
    <row r="867">
      <c r="A867" s="12" t="n"/>
      <c r="B867">
        <f>IF($AA867="","",INDEX('Per Line'!$E$2:$E$4001,$AA867)&amp;"")</f>
        <v/>
      </c>
      <c r="C867">
        <f>IF($AA867="","",INDEX('Per Line'!$A$2:$A$4001,$AA867)&amp;"")</f>
        <v/>
      </c>
      <c r="D867">
        <f>IF($AA867="","",INDEX('Per Line'!$D$2:$D$4001,$AA867)&amp;"")</f>
        <v/>
      </c>
      <c r="E867" s="11">
        <f>IF($AA867="","",INDEX('Per Line'!$G$2:$G$4001,$AA867))</f>
        <v/>
      </c>
      <c r="F867">
        <f>IF($AA867="","",INDEX('Per Line'!$H$2:$H$4001,$AA867)&amp;"")</f>
        <v/>
      </c>
      <c r="G867">
        <f>IF($AA867="","",INDEX('Per Line'!$I$2:$I$4001,$AA867)&amp;"")</f>
        <v/>
      </c>
      <c r="H867">
        <f>IF($AA867="","",INDEX('Per Line'!$J$2:$J$4001,$AA867)&amp;"")</f>
        <v/>
      </c>
      <c r="I867">
        <f>IF($AA867="","",INDEX('Per Line'!$K$2:$K$4001,$AA867)&amp;"")</f>
        <v/>
      </c>
      <c r="J867">
        <f>IF($AA867="","",INDEX('Per Line'!$L$2:$L$4001,$AA867)&amp;"")</f>
        <v/>
      </c>
      <c r="K867">
        <f>IF($AA867="","",INDEX('Per Line'!$P$2:$P$4001,$AA867))</f>
        <v/>
      </c>
      <c r="L867" s="7">
        <f>IF($AA867="","",IF(AND(ISNUMBER(N867),N867&gt;0,Y867&gt;N867),K867*N867/100+(Y867-N867),K867*Y867/100))</f>
        <v/>
      </c>
      <c r="M867">
        <f>IF($AA867="","",INDEX('Per Line'!$Z$2:$Z$4001,$AA867)&amp;"")</f>
        <v/>
      </c>
      <c r="N867">
        <f>IF($AA867="","",INDEX('Per Line'!$AG$2:$AG$4001,$AA867))</f>
        <v/>
      </c>
      <c r="O867">
        <f>IF($AA867="","",IF(AND(ISNUMBER(N867),N867&gt;0),Y867&gt;N867,FALSE))</f>
        <v/>
      </c>
      <c r="P867" s="7">
        <f>IF($AA867="","",SUMIFS('Per Line'!$Y$2:$Y$4001,'Per Line'!$E$2:$E$4001,$B867,'Per Line'!$AQ$2:$AQ$4001,1))</f>
        <v/>
      </c>
      <c r="Q867">
        <f>IF($AA867="","",Settings!$C$7)</f>
        <v/>
      </c>
      <c r="R867" s="7">
        <f>IF($AA867="","",SUMIFS('Per Line'!$Y$2:$Y$4001,'Per Line'!$E$2:$E$4001,$B867,'Per Line'!$AP$2:$AP$4001,0,'Per Line'!$AQ$2:$AQ$4001,0))</f>
        <v/>
      </c>
      <c r="S867" s="7">
        <f>IF($AA867="","",R867*Q867)</f>
        <v/>
      </c>
      <c r="T867">
        <f>IF($AA867="","",Settings!$C$6)</f>
        <v/>
      </c>
      <c r="U867" s="7">
        <f>IF($AA867="","",SUMIFS('Per Line'!$Y$2:$Y$4001,'Per Line'!$E$2:$E$4001,$B867,'Per Line'!$AP$2:$AP$4001,1,'Per Line'!$AQ$2:$AQ$4001,0))</f>
        <v/>
      </c>
      <c r="V867" s="7">
        <f>IF($AA867="","",U867*T867)</f>
        <v/>
      </c>
      <c r="W867" s="7">
        <f>IF($AA867="","",V867+S867)</f>
        <v/>
      </c>
      <c r="X867" s="7">
        <f>IF($AA867="","",Y867-W867)</f>
        <v/>
      </c>
      <c r="Y867" s="7">
        <f>IF($AA867="","",R867+U867+P867)</f>
        <v/>
      </c>
      <c r="Z867" s="7">
        <f>IF($AA867="","",Y867-W867-L867)</f>
        <v/>
      </c>
      <c r="AA867" s="13">
        <f>IF(ROWS($AA$2:$AA867)&lt;=MAX('Per Line'!$AO$2:$AO$4001),MATCH(ROWS($AA$2:$AA867),'Per Line'!$AO$2:$AO$4001,0),"")</f>
        <v/>
      </c>
      <c r="AB867" s="14">
        <f>IF($AA867="","",L867-K867*Y867/100)</f>
        <v/>
      </c>
    </row>
    <row r="868">
      <c r="A868" s="12" t="n"/>
      <c r="B868">
        <f>IF($AA868="","",INDEX('Per Line'!$E$2:$E$4001,$AA868)&amp;"")</f>
        <v/>
      </c>
      <c r="C868">
        <f>IF($AA868="","",INDEX('Per Line'!$A$2:$A$4001,$AA868)&amp;"")</f>
        <v/>
      </c>
      <c r="D868">
        <f>IF($AA868="","",INDEX('Per Line'!$D$2:$D$4001,$AA868)&amp;"")</f>
        <v/>
      </c>
      <c r="E868" s="11">
        <f>IF($AA868="","",INDEX('Per Line'!$G$2:$G$4001,$AA868))</f>
        <v/>
      </c>
      <c r="F868">
        <f>IF($AA868="","",INDEX('Per Line'!$H$2:$H$4001,$AA868)&amp;"")</f>
        <v/>
      </c>
      <c r="G868">
        <f>IF($AA868="","",INDEX('Per Line'!$I$2:$I$4001,$AA868)&amp;"")</f>
        <v/>
      </c>
      <c r="H868">
        <f>IF($AA868="","",INDEX('Per Line'!$J$2:$J$4001,$AA868)&amp;"")</f>
        <v/>
      </c>
      <c r="I868">
        <f>IF($AA868="","",INDEX('Per Line'!$K$2:$K$4001,$AA868)&amp;"")</f>
        <v/>
      </c>
      <c r="J868">
        <f>IF($AA868="","",INDEX('Per Line'!$L$2:$L$4001,$AA868)&amp;"")</f>
        <v/>
      </c>
      <c r="K868">
        <f>IF($AA868="","",INDEX('Per Line'!$P$2:$P$4001,$AA868))</f>
        <v/>
      </c>
      <c r="L868" s="7">
        <f>IF($AA868="","",IF(AND(ISNUMBER(N868),N868&gt;0,Y868&gt;N868),K868*N868/100+(Y868-N868),K868*Y868/100))</f>
        <v/>
      </c>
      <c r="M868">
        <f>IF($AA868="","",INDEX('Per Line'!$Z$2:$Z$4001,$AA868)&amp;"")</f>
        <v/>
      </c>
      <c r="N868">
        <f>IF($AA868="","",INDEX('Per Line'!$AG$2:$AG$4001,$AA868))</f>
        <v/>
      </c>
      <c r="O868">
        <f>IF($AA868="","",IF(AND(ISNUMBER(N868),N868&gt;0),Y868&gt;N868,FALSE))</f>
        <v/>
      </c>
      <c r="P868" s="7">
        <f>IF($AA868="","",SUMIFS('Per Line'!$Y$2:$Y$4001,'Per Line'!$E$2:$E$4001,$B868,'Per Line'!$AQ$2:$AQ$4001,1))</f>
        <v/>
      </c>
      <c r="Q868">
        <f>IF($AA868="","",Settings!$C$7)</f>
        <v/>
      </c>
      <c r="R868" s="7">
        <f>IF($AA868="","",SUMIFS('Per Line'!$Y$2:$Y$4001,'Per Line'!$E$2:$E$4001,$B868,'Per Line'!$AP$2:$AP$4001,0,'Per Line'!$AQ$2:$AQ$4001,0))</f>
        <v/>
      </c>
      <c r="S868" s="7">
        <f>IF($AA868="","",R868*Q868)</f>
        <v/>
      </c>
      <c r="T868">
        <f>IF($AA868="","",Settings!$C$6)</f>
        <v/>
      </c>
      <c r="U868" s="7">
        <f>IF($AA868="","",SUMIFS('Per Line'!$Y$2:$Y$4001,'Per Line'!$E$2:$E$4001,$B868,'Per Line'!$AP$2:$AP$4001,1,'Per Line'!$AQ$2:$AQ$4001,0))</f>
        <v/>
      </c>
      <c r="V868" s="7">
        <f>IF($AA868="","",U868*T868)</f>
        <v/>
      </c>
      <c r="W868" s="7">
        <f>IF($AA868="","",V868+S868)</f>
        <v/>
      </c>
      <c r="X868" s="7">
        <f>IF($AA868="","",Y868-W868)</f>
        <v/>
      </c>
      <c r="Y868" s="7">
        <f>IF($AA868="","",R868+U868+P868)</f>
        <v/>
      </c>
      <c r="Z868" s="7">
        <f>IF($AA868="","",Y868-W868-L868)</f>
        <v/>
      </c>
      <c r="AA868" s="13">
        <f>IF(ROWS($AA$2:$AA868)&lt;=MAX('Per Line'!$AO$2:$AO$4001),MATCH(ROWS($AA$2:$AA868),'Per Line'!$AO$2:$AO$4001,0),"")</f>
        <v/>
      </c>
      <c r="AB868" s="14">
        <f>IF($AA868="","",L868-K868*Y868/100)</f>
        <v/>
      </c>
    </row>
    <row r="869">
      <c r="A869" s="12" t="n"/>
      <c r="B869">
        <f>IF($AA869="","",INDEX('Per Line'!$E$2:$E$4001,$AA869)&amp;"")</f>
        <v/>
      </c>
      <c r="C869">
        <f>IF($AA869="","",INDEX('Per Line'!$A$2:$A$4001,$AA869)&amp;"")</f>
        <v/>
      </c>
      <c r="D869">
        <f>IF($AA869="","",INDEX('Per Line'!$D$2:$D$4001,$AA869)&amp;"")</f>
        <v/>
      </c>
      <c r="E869" s="11">
        <f>IF($AA869="","",INDEX('Per Line'!$G$2:$G$4001,$AA869))</f>
        <v/>
      </c>
      <c r="F869">
        <f>IF($AA869="","",INDEX('Per Line'!$H$2:$H$4001,$AA869)&amp;"")</f>
        <v/>
      </c>
      <c r="G869">
        <f>IF($AA869="","",INDEX('Per Line'!$I$2:$I$4001,$AA869)&amp;"")</f>
        <v/>
      </c>
      <c r="H869">
        <f>IF($AA869="","",INDEX('Per Line'!$J$2:$J$4001,$AA869)&amp;"")</f>
        <v/>
      </c>
      <c r="I869">
        <f>IF($AA869="","",INDEX('Per Line'!$K$2:$K$4001,$AA869)&amp;"")</f>
        <v/>
      </c>
      <c r="J869">
        <f>IF($AA869="","",INDEX('Per Line'!$L$2:$L$4001,$AA869)&amp;"")</f>
        <v/>
      </c>
      <c r="K869">
        <f>IF($AA869="","",INDEX('Per Line'!$P$2:$P$4001,$AA869))</f>
        <v/>
      </c>
      <c r="L869" s="7">
        <f>IF($AA869="","",IF(AND(ISNUMBER(N869),N869&gt;0,Y869&gt;N869),K869*N869/100+(Y869-N869),K869*Y869/100))</f>
        <v/>
      </c>
      <c r="M869">
        <f>IF($AA869="","",INDEX('Per Line'!$Z$2:$Z$4001,$AA869)&amp;"")</f>
        <v/>
      </c>
      <c r="N869">
        <f>IF($AA869="","",INDEX('Per Line'!$AG$2:$AG$4001,$AA869))</f>
        <v/>
      </c>
      <c r="O869">
        <f>IF($AA869="","",IF(AND(ISNUMBER(N869),N869&gt;0),Y869&gt;N869,FALSE))</f>
        <v/>
      </c>
      <c r="P869" s="7">
        <f>IF($AA869="","",SUMIFS('Per Line'!$Y$2:$Y$4001,'Per Line'!$E$2:$E$4001,$B869,'Per Line'!$AQ$2:$AQ$4001,1))</f>
        <v/>
      </c>
      <c r="Q869">
        <f>IF($AA869="","",Settings!$C$7)</f>
        <v/>
      </c>
      <c r="R869" s="7">
        <f>IF($AA869="","",SUMIFS('Per Line'!$Y$2:$Y$4001,'Per Line'!$E$2:$E$4001,$B869,'Per Line'!$AP$2:$AP$4001,0,'Per Line'!$AQ$2:$AQ$4001,0))</f>
        <v/>
      </c>
      <c r="S869" s="7">
        <f>IF($AA869="","",R869*Q869)</f>
        <v/>
      </c>
      <c r="T869">
        <f>IF($AA869="","",Settings!$C$6)</f>
        <v/>
      </c>
      <c r="U869" s="7">
        <f>IF($AA869="","",SUMIFS('Per Line'!$Y$2:$Y$4001,'Per Line'!$E$2:$E$4001,$B869,'Per Line'!$AP$2:$AP$4001,1,'Per Line'!$AQ$2:$AQ$4001,0))</f>
        <v/>
      </c>
      <c r="V869" s="7">
        <f>IF($AA869="","",U869*T869)</f>
        <v/>
      </c>
      <c r="W869" s="7">
        <f>IF($AA869="","",V869+S869)</f>
        <v/>
      </c>
      <c r="X869" s="7">
        <f>IF($AA869="","",Y869-W869)</f>
        <v/>
      </c>
      <c r="Y869" s="7">
        <f>IF($AA869="","",R869+U869+P869)</f>
        <v/>
      </c>
      <c r="Z869" s="7">
        <f>IF($AA869="","",Y869-W869-L869)</f>
        <v/>
      </c>
      <c r="AA869" s="13">
        <f>IF(ROWS($AA$2:$AA869)&lt;=MAX('Per Line'!$AO$2:$AO$4001),MATCH(ROWS($AA$2:$AA869),'Per Line'!$AO$2:$AO$4001,0),"")</f>
        <v/>
      </c>
      <c r="AB869" s="14">
        <f>IF($AA869="","",L869-K869*Y869/100)</f>
        <v/>
      </c>
    </row>
    <row r="870">
      <c r="A870" s="12" t="n"/>
      <c r="B870">
        <f>IF($AA870="","",INDEX('Per Line'!$E$2:$E$4001,$AA870)&amp;"")</f>
        <v/>
      </c>
      <c r="C870">
        <f>IF($AA870="","",INDEX('Per Line'!$A$2:$A$4001,$AA870)&amp;"")</f>
        <v/>
      </c>
      <c r="D870">
        <f>IF($AA870="","",INDEX('Per Line'!$D$2:$D$4001,$AA870)&amp;"")</f>
        <v/>
      </c>
      <c r="E870" s="11">
        <f>IF($AA870="","",INDEX('Per Line'!$G$2:$G$4001,$AA870))</f>
        <v/>
      </c>
      <c r="F870">
        <f>IF($AA870="","",INDEX('Per Line'!$H$2:$H$4001,$AA870)&amp;"")</f>
        <v/>
      </c>
      <c r="G870">
        <f>IF($AA870="","",INDEX('Per Line'!$I$2:$I$4001,$AA870)&amp;"")</f>
        <v/>
      </c>
      <c r="H870">
        <f>IF($AA870="","",INDEX('Per Line'!$J$2:$J$4001,$AA870)&amp;"")</f>
        <v/>
      </c>
      <c r="I870">
        <f>IF($AA870="","",INDEX('Per Line'!$K$2:$K$4001,$AA870)&amp;"")</f>
        <v/>
      </c>
      <c r="J870">
        <f>IF($AA870="","",INDEX('Per Line'!$L$2:$L$4001,$AA870)&amp;"")</f>
        <v/>
      </c>
      <c r="K870">
        <f>IF($AA870="","",INDEX('Per Line'!$P$2:$P$4001,$AA870))</f>
        <v/>
      </c>
      <c r="L870" s="7">
        <f>IF($AA870="","",IF(AND(ISNUMBER(N870),N870&gt;0,Y870&gt;N870),K870*N870/100+(Y870-N870),K870*Y870/100))</f>
        <v/>
      </c>
      <c r="M870">
        <f>IF($AA870="","",INDEX('Per Line'!$Z$2:$Z$4001,$AA870)&amp;"")</f>
        <v/>
      </c>
      <c r="N870">
        <f>IF($AA870="","",INDEX('Per Line'!$AG$2:$AG$4001,$AA870))</f>
        <v/>
      </c>
      <c r="O870">
        <f>IF($AA870="","",IF(AND(ISNUMBER(N870),N870&gt;0),Y870&gt;N870,FALSE))</f>
        <v/>
      </c>
      <c r="P870" s="7">
        <f>IF($AA870="","",SUMIFS('Per Line'!$Y$2:$Y$4001,'Per Line'!$E$2:$E$4001,$B870,'Per Line'!$AQ$2:$AQ$4001,1))</f>
        <v/>
      </c>
      <c r="Q870">
        <f>IF($AA870="","",Settings!$C$7)</f>
        <v/>
      </c>
      <c r="R870" s="7">
        <f>IF($AA870="","",SUMIFS('Per Line'!$Y$2:$Y$4001,'Per Line'!$E$2:$E$4001,$B870,'Per Line'!$AP$2:$AP$4001,0,'Per Line'!$AQ$2:$AQ$4001,0))</f>
        <v/>
      </c>
      <c r="S870" s="7">
        <f>IF($AA870="","",R870*Q870)</f>
        <v/>
      </c>
      <c r="T870">
        <f>IF($AA870="","",Settings!$C$6)</f>
        <v/>
      </c>
      <c r="U870" s="7">
        <f>IF($AA870="","",SUMIFS('Per Line'!$Y$2:$Y$4001,'Per Line'!$E$2:$E$4001,$B870,'Per Line'!$AP$2:$AP$4001,1,'Per Line'!$AQ$2:$AQ$4001,0))</f>
        <v/>
      </c>
      <c r="V870" s="7">
        <f>IF($AA870="","",U870*T870)</f>
        <v/>
      </c>
      <c r="W870" s="7">
        <f>IF($AA870="","",V870+S870)</f>
        <v/>
      </c>
      <c r="X870" s="7">
        <f>IF($AA870="","",Y870-W870)</f>
        <v/>
      </c>
      <c r="Y870" s="7">
        <f>IF($AA870="","",R870+U870+P870)</f>
        <v/>
      </c>
      <c r="Z870" s="7">
        <f>IF($AA870="","",Y870-W870-L870)</f>
        <v/>
      </c>
      <c r="AA870" s="13">
        <f>IF(ROWS($AA$2:$AA870)&lt;=MAX('Per Line'!$AO$2:$AO$4001),MATCH(ROWS($AA$2:$AA870),'Per Line'!$AO$2:$AO$4001,0),"")</f>
        <v/>
      </c>
      <c r="AB870" s="14">
        <f>IF($AA870="","",L870-K870*Y870/100)</f>
        <v/>
      </c>
    </row>
    <row r="871">
      <c r="A871" s="12" t="n"/>
      <c r="B871">
        <f>IF($AA871="","",INDEX('Per Line'!$E$2:$E$4001,$AA871)&amp;"")</f>
        <v/>
      </c>
      <c r="C871">
        <f>IF($AA871="","",INDEX('Per Line'!$A$2:$A$4001,$AA871)&amp;"")</f>
        <v/>
      </c>
      <c r="D871">
        <f>IF($AA871="","",INDEX('Per Line'!$D$2:$D$4001,$AA871)&amp;"")</f>
        <v/>
      </c>
      <c r="E871" s="11">
        <f>IF($AA871="","",INDEX('Per Line'!$G$2:$G$4001,$AA871))</f>
        <v/>
      </c>
      <c r="F871">
        <f>IF($AA871="","",INDEX('Per Line'!$H$2:$H$4001,$AA871)&amp;"")</f>
        <v/>
      </c>
      <c r="G871">
        <f>IF($AA871="","",INDEX('Per Line'!$I$2:$I$4001,$AA871)&amp;"")</f>
        <v/>
      </c>
      <c r="H871">
        <f>IF($AA871="","",INDEX('Per Line'!$J$2:$J$4001,$AA871)&amp;"")</f>
        <v/>
      </c>
      <c r="I871">
        <f>IF($AA871="","",INDEX('Per Line'!$K$2:$K$4001,$AA871)&amp;"")</f>
        <v/>
      </c>
      <c r="J871">
        <f>IF($AA871="","",INDEX('Per Line'!$L$2:$L$4001,$AA871)&amp;"")</f>
        <v/>
      </c>
      <c r="K871">
        <f>IF($AA871="","",INDEX('Per Line'!$P$2:$P$4001,$AA871))</f>
        <v/>
      </c>
      <c r="L871" s="7">
        <f>IF($AA871="","",IF(AND(ISNUMBER(N871),N871&gt;0,Y871&gt;N871),K871*N871/100+(Y871-N871),K871*Y871/100))</f>
        <v/>
      </c>
      <c r="M871">
        <f>IF($AA871="","",INDEX('Per Line'!$Z$2:$Z$4001,$AA871)&amp;"")</f>
        <v/>
      </c>
      <c r="N871">
        <f>IF($AA871="","",INDEX('Per Line'!$AG$2:$AG$4001,$AA871))</f>
        <v/>
      </c>
      <c r="O871">
        <f>IF($AA871="","",IF(AND(ISNUMBER(N871),N871&gt;0),Y871&gt;N871,FALSE))</f>
        <v/>
      </c>
      <c r="P871" s="7">
        <f>IF($AA871="","",SUMIFS('Per Line'!$Y$2:$Y$4001,'Per Line'!$E$2:$E$4001,$B871,'Per Line'!$AQ$2:$AQ$4001,1))</f>
        <v/>
      </c>
      <c r="Q871">
        <f>IF($AA871="","",Settings!$C$7)</f>
        <v/>
      </c>
      <c r="R871" s="7">
        <f>IF($AA871="","",SUMIFS('Per Line'!$Y$2:$Y$4001,'Per Line'!$E$2:$E$4001,$B871,'Per Line'!$AP$2:$AP$4001,0,'Per Line'!$AQ$2:$AQ$4001,0))</f>
        <v/>
      </c>
      <c r="S871" s="7">
        <f>IF($AA871="","",R871*Q871)</f>
        <v/>
      </c>
      <c r="T871">
        <f>IF($AA871="","",Settings!$C$6)</f>
        <v/>
      </c>
      <c r="U871" s="7">
        <f>IF($AA871="","",SUMIFS('Per Line'!$Y$2:$Y$4001,'Per Line'!$E$2:$E$4001,$B871,'Per Line'!$AP$2:$AP$4001,1,'Per Line'!$AQ$2:$AQ$4001,0))</f>
        <v/>
      </c>
      <c r="V871" s="7">
        <f>IF($AA871="","",U871*T871)</f>
        <v/>
      </c>
      <c r="W871" s="7">
        <f>IF($AA871="","",V871+S871)</f>
        <v/>
      </c>
      <c r="X871" s="7">
        <f>IF($AA871="","",Y871-W871)</f>
        <v/>
      </c>
      <c r="Y871" s="7">
        <f>IF($AA871="","",R871+U871+P871)</f>
        <v/>
      </c>
      <c r="Z871" s="7">
        <f>IF($AA871="","",Y871-W871-L871)</f>
        <v/>
      </c>
      <c r="AA871" s="13">
        <f>IF(ROWS($AA$2:$AA871)&lt;=MAX('Per Line'!$AO$2:$AO$4001),MATCH(ROWS($AA$2:$AA871),'Per Line'!$AO$2:$AO$4001,0),"")</f>
        <v/>
      </c>
      <c r="AB871" s="14">
        <f>IF($AA871="","",L871-K871*Y871/100)</f>
        <v/>
      </c>
    </row>
    <row r="872">
      <c r="A872" s="12" t="n"/>
      <c r="B872">
        <f>IF($AA872="","",INDEX('Per Line'!$E$2:$E$4001,$AA872)&amp;"")</f>
        <v/>
      </c>
      <c r="C872">
        <f>IF($AA872="","",INDEX('Per Line'!$A$2:$A$4001,$AA872)&amp;"")</f>
        <v/>
      </c>
      <c r="D872">
        <f>IF($AA872="","",INDEX('Per Line'!$D$2:$D$4001,$AA872)&amp;"")</f>
        <v/>
      </c>
      <c r="E872" s="11">
        <f>IF($AA872="","",INDEX('Per Line'!$G$2:$G$4001,$AA872))</f>
        <v/>
      </c>
      <c r="F872">
        <f>IF($AA872="","",INDEX('Per Line'!$H$2:$H$4001,$AA872)&amp;"")</f>
        <v/>
      </c>
      <c r="G872">
        <f>IF($AA872="","",INDEX('Per Line'!$I$2:$I$4001,$AA872)&amp;"")</f>
        <v/>
      </c>
      <c r="H872">
        <f>IF($AA872="","",INDEX('Per Line'!$J$2:$J$4001,$AA872)&amp;"")</f>
        <v/>
      </c>
      <c r="I872">
        <f>IF($AA872="","",INDEX('Per Line'!$K$2:$K$4001,$AA872)&amp;"")</f>
        <v/>
      </c>
      <c r="J872">
        <f>IF($AA872="","",INDEX('Per Line'!$L$2:$L$4001,$AA872)&amp;"")</f>
        <v/>
      </c>
      <c r="K872">
        <f>IF($AA872="","",INDEX('Per Line'!$P$2:$P$4001,$AA872))</f>
        <v/>
      </c>
      <c r="L872" s="7">
        <f>IF($AA872="","",IF(AND(ISNUMBER(N872),N872&gt;0,Y872&gt;N872),K872*N872/100+(Y872-N872),K872*Y872/100))</f>
        <v/>
      </c>
      <c r="M872">
        <f>IF($AA872="","",INDEX('Per Line'!$Z$2:$Z$4001,$AA872)&amp;"")</f>
        <v/>
      </c>
      <c r="N872">
        <f>IF($AA872="","",INDEX('Per Line'!$AG$2:$AG$4001,$AA872))</f>
        <v/>
      </c>
      <c r="O872">
        <f>IF($AA872="","",IF(AND(ISNUMBER(N872),N872&gt;0),Y872&gt;N872,FALSE))</f>
        <v/>
      </c>
      <c r="P872" s="7">
        <f>IF($AA872="","",SUMIFS('Per Line'!$Y$2:$Y$4001,'Per Line'!$E$2:$E$4001,$B872,'Per Line'!$AQ$2:$AQ$4001,1))</f>
        <v/>
      </c>
      <c r="Q872">
        <f>IF($AA872="","",Settings!$C$7)</f>
        <v/>
      </c>
      <c r="R872" s="7">
        <f>IF($AA872="","",SUMIFS('Per Line'!$Y$2:$Y$4001,'Per Line'!$E$2:$E$4001,$B872,'Per Line'!$AP$2:$AP$4001,0,'Per Line'!$AQ$2:$AQ$4001,0))</f>
        <v/>
      </c>
      <c r="S872" s="7">
        <f>IF($AA872="","",R872*Q872)</f>
        <v/>
      </c>
      <c r="T872">
        <f>IF($AA872="","",Settings!$C$6)</f>
        <v/>
      </c>
      <c r="U872" s="7">
        <f>IF($AA872="","",SUMIFS('Per Line'!$Y$2:$Y$4001,'Per Line'!$E$2:$E$4001,$B872,'Per Line'!$AP$2:$AP$4001,1,'Per Line'!$AQ$2:$AQ$4001,0))</f>
        <v/>
      </c>
      <c r="V872" s="7">
        <f>IF($AA872="","",U872*T872)</f>
        <v/>
      </c>
      <c r="W872" s="7">
        <f>IF($AA872="","",V872+S872)</f>
        <v/>
      </c>
      <c r="X872" s="7">
        <f>IF($AA872="","",Y872-W872)</f>
        <v/>
      </c>
      <c r="Y872" s="7">
        <f>IF($AA872="","",R872+U872+P872)</f>
        <v/>
      </c>
      <c r="Z872" s="7">
        <f>IF($AA872="","",Y872-W872-L872)</f>
        <v/>
      </c>
      <c r="AA872" s="13">
        <f>IF(ROWS($AA$2:$AA872)&lt;=MAX('Per Line'!$AO$2:$AO$4001),MATCH(ROWS($AA$2:$AA872),'Per Line'!$AO$2:$AO$4001,0),"")</f>
        <v/>
      </c>
      <c r="AB872" s="14">
        <f>IF($AA872="","",L872-K872*Y872/100)</f>
        <v/>
      </c>
    </row>
    <row r="873">
      <c r="A873" s="12" t="n"/>
      <c r="B873">
        <f>IF($AA873="","",INDEX('Per Line'!$E$2:$E$4001,$AA873)&amp;"")</f>
        <v/>
      </c>
      <c r="C873">
        <f>IF($AA873="","",INDEX('Per Line'!$A$2:$A$4001,$AA873)&amp;"")</f>
        <v/>
      </c>
      <c r="D873">
        <f>IF($AA873="","",INDEX('Per Line'!$D$2:$D$4001,$AA873)&amp;"")</f>
        <v/>
      </c>
      <c r="E873" s="11">
        <f>IF($AA873="","",INDEX('Per Line'!$G$2:$G$4001,$AA873))</f>
        <v/>
      </c>
      <c r="F873">
        <f>IF($AA873="","",INDEX('Per Line'!$H$2:$H$4001,$AA873)&amp;"")</f>
        <v/>
      </c>
      <c r="G873">
        <f>IF($AA873="","",INDEX('Per Line'!$I$2:$I$4001,$AA873)&amp;"")</f>
        <v/>
      </c>
      <c r="H873">
        <f>IF($AA873="","",INDEX('Per Line'!$J$2:$J$4001,$AA873)&amp;"")</f>
        <v/>
      </c>
      <c r="I873">
        <f>IF($AA873="","",INDEX('Per Line'!$K$2:$K$4001,$AA873)&amp;"")</f>
        <v/>
      </c>
      <c r="J873">
        <f>IF($AA873="","",INDEX('Per Line'!$L$2:$L$4001,$AA873)&amp;"")</f>
        <v/>
      </c>
      <c r="K873">
        <f>IF($AA873="","",INDEX('Per Line'!$P$2:$P$4001,$AA873))</f>
        <v/>
      </c>
      <c r="L873" s="7">
        <f>IF($AA873="","",IF(AND(ISNUMBER(N873),N873&gt;0,Y873&gt;N873),K873*N873/100+(Y873-N873),K873*Y873/100))</f>
        <v/>
      </c>
      <c r="M873">
        <f>IF($AA873="","",INDEX('Per Line'!$Z$2:$Z$4001,$AA873)&amp;"")</f>
        <v/>
      </c>
      <c r="N873">
        <f>IF($AA873="","",INDEX('Per Line'!$AG$2:$AG$4001,$AA873))</f>
        <v/>
      </c>
      <c r="O873">
        <f>IF($AA873="","",IF(AND(ISNUMBER(N873),N873&gt;0),Y873&gt;N873,FALSE))</f>
        <v/>
      </c>
      <c r="P873" s="7">
        <f>IF($AA873="","",SUMIFS('Per Line'!$Y$2:$Y$4001,'Per Line'!$E$2:$E$4001,$B873,'Per Line'!$AQ$2:$AQ$4001,1))</f>
        <v/>
      </c>
      <c r="Q873">
        <f>IF($AA873="","",Settings!$C$7)</f>
        <v/>
      </c>
      <c r="R873" s="7">
        <f>IF($AA873="","",SUMIFS('Per Line'!$Y$2:$Y$4001,'Per Line'!$E$2:$E$4001,$B873,'Per Line'!$AP$2:$AP$4001,0,'Per Line'!$AQ$2:$AQ$4001,0))</f>
        <v/>
      </c>
      <c r="S873" s="7">
        <f>IF($AA873="","",R873*Q873)</f>
        <v/>
      </c>
      <c r="T873">
        <f>IF($AA873="","",Settings!$C$6)</f>
        <v/>
      </c>
      <c r="U873" s="7">
        <f>IF($AA873="","",SUMIFS('Per Line'!$Y$2:$Y$4001,'Per Line'!$E$2:$E$4001,$B873,'Per Line'!$AP$2:$AP$4001,1,'Per Line'!$AQ$2:$AQ$4001,0))</f>
        <v/>
      </c>
      <c r="V873" s="7">
        <f>IF($AA873="","",U873*T873)</f>
        <v/>
      </c>
      <c r="W873" s="7">
        <f>IF($AA873="","",V873+S873)</f>
        <v/>
      </c>
      <c r="X873" s="7">
        <f>IF($AA873="","",Y873-W873)</f>
        <v/>
      </c>
      <c r="Y873" s="7">
        <f>IF($AA873="","",R873+U873+P873)</f>
        <v/>
      </c>
      <c r="Z873" s="7">
        <f>IF($AA873="","",Y873-W873-L873)</f>
        <v/>
      </c>
      <c r="AA873" s="13">
        <f>IF(ROWS($AA$2:$AA873)&lt;=MAX('Per Line'!$AO$2:$AO$4001),MATCH(ROWS($AA$2:$AA873),'Per Line'!$AO$2:$AO$4001,0),"")</f>
        <v/>
      </c>
      <c r="AB873" s="14">
        <f>IF($AA873="","",L873-K873*Y873/100)</f>
        <v/>
      </c>
    </row>
    <row r="874">
      <c r="A874" s="12" t="n"/>
      <c r="B874">
        <f>IF($AA874="","",INDEX('Per Line'!$E$2:$E$4001,$AA874)&amp;"")</f>
        <v/>
      </c>
      <c r="C874">
        <f>IF($AA874="","",INDEX('Per Line'!$A$2:$A$4001,$AA874)&amp;"")</f>
        <v/>
      </c>
      <c r="D874">
        <f>IF($AA874="","",INDEX('Per Line'!$D$2:$D$4001,$AA874)&amp;"")</f>
        <v/>
      </c>
      <c r="E874" s="11">
        <f>IF($AA874="","",INDEX('Per Line'!$G$2:$G$4001,$AA874))</f>
        <v/>
      </c>
      <c r="F874">
        <f>IF($AA874="","",INDEX('Per Line'!$H$2:$H$4001,$AA874)&amp;"")</f>
        <v/>
      </c>
      <c r="G874">
        <f>IF($AA874="","",INDEX('Per Line'!$I$2:$I$4001,$AA874)&amp;"")</f>
        <v/>
      </c>
      <c r="H874">
        <f>IF($AA874="","",INDEX('Per Line'!$J$2:$J$4001,$AA874)&amp;"")</f>
        <v/>
      </c>
      <c r="I874">
        <f>IF($AA874="","",INDEX('Per Line'!$K$2:$K$4001,$AA874)&amp;"")</f>
        <v/>
      </c>
      <c r="J874">
        <f>IF($AA874="","",INDEX('Per Line'!$L$2:$L$4001,$AA874)&amp;"")</f>
        <v/>
      </c>
      <c r="K874">
        <f>IF($AA874="","",INDEX('Per Line'!$P$2:$P$4001,$AA874))</f>
        <v/>
      </c>
      <c r="L874" s="7">
        <f>IF($AA874="","",IF(AND(ISNUMBER(N874),N874&gt;0,Y874&gt;N874),K874*N874/100+(Y874-N874),K874*Y874/100))</f>
        <v/>
      </c>
      <c r="M874">
        <f>IF($AA874="","",INDEX('Per Line'!$Z$2:$Z$4001,$AA874)&amp;"")</f>
        <v/>
      </c>
      <c r="N874">
        <f>IF($AA874="","",INDEX('Per Line'!$AG$2:$AG$4001,$AA874))</f>
        <v/>
      </c>
      <c r="O874">
        <f>IF($AA874="","",IF(AND(ISNUMBER(N874),N874&gt;0),Y874&gt;N874,FALSE))</f>
        <v/>
      </c>
      <c r="P874" s="7">
        <f>IF($AA874="","",SUMIFS('Per Line'!$Y$2:$Y$4001,'Per Line'!$E$2:$E$4001,$B874,'Per Line'!$AQ$2:$AQ$4001,1))</f>
        <v/>
      </c>
      <c r="Q874">
        <f>IF($AA874="","",Settings!$C$7)</f>
        <v/>
      </c>
      <c r="R874" s="7">
        <f>IF($AA874="","",SUMIFS('Per Line'!$Y$2:$Y$4001,'Per Line'!$E$2:$E$4001,$B874,'Per Line'!$AP$2:$AP$4001,0,'Per Line'!$AQ$2:$AQ$4001,0))</f>
        <v/>
      </c>
      <c r="S874" s="7">
        <f>IF($AA874="","",R874*Q874)</f>
        <v/>
      </c>
      <c r="T874">
        <f>IF($AA874="","",Settings!$C$6)</f>
        <v/>
      </c>
      <c r="U874" s="7">
        <f>IF($AA874="","",SUMIFS('Per Line'!$Y$2:$Y$4001,'Per Line'!$E$2:$E$4001,$B874,'Per Line'!$AP$2:$AP$4001,1,'Per Line'!$AQ$2:$AQ$4001,0))</f>
        <v/>
      </c>
      <c r="V874" s="7">
        <f>IF($AA874="","",U874*T874)</f>
        <v/>
      </c>
      <c r="W874" s="7">
        <f>IF($AA874="","",V874+S874)</f>
        <v/>
      </c>
      <c r="X874" s="7">
        <f>IF($AA874="","",Y874-W874)</f>
        <v/>
      </c>
      <c r="Y874" s="7">
        <f>IF($AA874="","",R874+U874+P874)</f>
        <v/>
      </c>
      <c r="Z874" s="7">
        <f>IF($AA874="","",Y874-W874-L874)</f>
        <v/>
      </c>
      <c r="AA874" s="13">
        <f>IF(ROWS($AA$2:$AA874)&lt;=MAX('Per Line'!$AO$2:$AO$4001),MATCH(ROWS($AA$2:$AA874),'Per Line'!$AO$2:$AO$4001,0),"")</f>
        <v/>
      </c>
      <c r="AB874" s="14">
        <f>IF($AA874="","",L874-K874*Y874/100)</f>
        <v/>
      </c>
    </row>
    <row r="875">
      <c r="A875" s="12" t="n"/>
      <c r="B875">
        <f>IF($AA875="","",INDEX('Per Line'!$E$2:$E$4001,$AA875)&amp;"")</f>
        <v/>
      </c>
      <c r="C875">
        <f>IF($AA875="","",INDEX('Per Line'!$A$2:$A$4001,$AA875)&amp;"")</f>
        <v/>
      </c>
      <c r="D875">
        <f>IF($AA875="","",INDEX('Per Line'!$D$2:$D$4001,$AA875)&amp;"")</f>
        <v/>
      </c>
      <c r="E875" s="11">
        <f>IF($AA875="","",INDEX('Per Line'!$G$2:$G$4001,$AA875))</f>
        <v/>
      </c>
      <c r="F875">
        <f>IF($AA875="","",INDEX('Per Line'!$H$2:$H$4001,$AA875)&amp;"")</f>
        <v/>
      </c>
      <c r="G875">
        <f>IF($AA875="","",INDEX('Per Line'!$I$2:$I$4001,$AA875)&amp;"")</f>
        <v/>
      </c>
      <c r="H875">
        <f>IF($AA875="","",INDEX('Per Line'!$J$2:$J$4001,$AA875)&amp;"")</f>
        <v/>
      </c>
      <c r="I875">
        <f>IF($AA875="","",INDEX('Per Line'!$K$2:$K$4001,$AA875)&amp;"")</f>
        <v/>
      </c>
      <c r="J875">
        <f>IF($AA875="","",INDEX('Per Line'!$L$2:$L$4001,$AA875)&amp;"")</f>
        <v/>
      </c>
      <c r="K875">
        <f>IF($AA875="","",INDEX('Per Line'!$P$2:$P$4001,$AA875))</f>
        <v/>
      </c>
      <c r="L875" s="7">
        <f>IF($AA875="","",IF(AND(ISNUMBER(N875),N875&gt;0,Y875&gt;N875),K875*N875/100+(Y875-N875),K875*Y875/100))</f>
        <v/>
      </c>
      <c r="M875">
        <f>IF($AA875="","",INDEX('Per Line'!$Z$2:$Z$4001,$AA875)&amp;"")</f>
        <v/>
      </c>
      <c r="N875">
        <f>IF($AA875="","",INDEX('Per Line'!$AG$2:$AG$4001,$AA875))</f>
        <v/>
      </c>
      <c r="O875">
        <f>IF($AA875="","",IF(AND(ISNUMBER(N875),N875&gt;0),Y875&gt;N875,FALSE))</f>
        <v/>
      </c>
      <c r="P875" s="7">
        <f>IF($AA875="","",SUMIFS('Per Line'!$Y$2:$Y$4001,'Per Line'!$E$2:$E$4001,$B875,'Per Line'!$AQ$2:$AQ$4001,1))</f>
        <v/>
      </c>
      <c r="Q875">
        <f>IF($AA875="","",Settings!$C$7)</f>
        <v/>
      </c>
      <c r="R875" s="7">
        <f>IF($AA875="","",SUMIFS('Per Line'!$Y$2:$Y$4001,'Per Line'!$E$2:$E$4001,$B875,'Per Line'!$AP$2:$AP$4001,0,'Per Line'!$AQ$2:$AQ$4001,0))</f>
        <v/>
      </c>
      <c r="S875" s="7">
        <f>IF($AA875="","",R875*Q875)</f>
        <v/>
      </c>
      <c r="T875">
        <f>IF($AA875="","",Settings!$C$6)</f>
        <v/>
      </c>
      <c r="U875" s="7">
        <f>IF($AA875="","",SUMIFS('Per Line'!$Y$2:$Y$4001,'Per Line'!$E$2:$E$4001,$B875,'Per Line'!$AP$2:$AP$4001,1,'Per Line'!$AQ$2:$AQ$4001,0))</f>
        <v/>
      </c>
      <c r="V875" s="7">
        <f>IF($AA875="","",U875*T875)</f>
        <v/>
      </c>
      <c r="W875" s="7">
        <f>IF($AA875="","",V875+S875)</f>
        <v/>
      </c>
      <c r="X875" s="7">
        <f>IF($AA875="","",Y875-W875)</f>
        <v/>
      </c>
      <c r="Y875" s="7">
        <f>IF($AA875="","",R875+U875+P875)</f>
        <v/>
      </c>
      <c r="Z875" s="7">
        <f>IF($AA875="","",Y875-W875-L875)</f>
        <v/>
      </c>
      <c r="AA875" s="13">
        <f>IF(ROWS($AA$2:$AA875)&lt;=MAX('Per Line'!$AO$2:$AO$4001),MATCH(ROWS($AA$2:$AA875),'Per Line'!$AO$2:$AO$4001,0),"")</f>
        <v/>
      </c>
      <c r="AB875" s="14">
        <f>IF($AA875="","",L875-K875*Y875/100)</f>
        <v/>
      </c>
    </row>
    <row r="876">
      <c r="A876" s="12" t="n"/>
      <c r="B876">
        <f>IF($AA876="","",INDEX('Per Line'!$E$2:$E$4001,$AA876)&amp;"")</f>
        <v/>
      </c>
      <c r="C876">
        <f>IF($AA876="","",INDEX('Per Line'!$A$2:$A$4001,$AA876)&amp;"")</f>
        <v/>
      </c>
      <c r="D876">
        <f>IF($AA876="","",INDEX('Per Line'!$D$2:$D$4001,$AA876)&amp;"")</f>
        <v/>
      </c>
      <c r="E876" s="11">
        <f>IF($AA876="","",INDEX('Per Line'!$G$2:$G$4001,$AA876))</f>
        <v/>
      </c>
      <c r="F876">
        <f>IF($AA876="","",INDEX('Per Line'!$H$2:$H$4001,$AA876)&amp;"")</f>
        <v/>
      </c>
      <c r="G876">
        <f>IF($AA876="","",INDEX('Per Line'!$I$2:$I$4001,$AA876)&amp;"")</f>
        <v/>
      </c>
      <c r="H876">
        <f>IF($AA876="","",INDEX('Per Line'!$J$2:$J$4001,$AA876)&amp;"")</f>
        <v/>
      </c>
      <c r="I876">
        <f>IF($AA876="","",INDEX('Per Line'!$K$2:$K$4001,$AA876)&amp;"")</f>
        <v/>
      </c>
      <c r="J876">
        <f>IF($AA876="","",INDEX('Per Line'!$L$2:$L$4001,$AA876)&amp;"")</f>
        <v/>
      </c>
      <c r="K876">
        <f>IF($AA876="","",INDEX('Per Line'!$P$2:$P$4001,$AA876))</f>
        <v/>
      </c>
      <c r="L876" s="7">
        <f>IF($AA876="","",IF(AND(ISNUMBER(N876),N876&gt;0,Y876&gt;N876),K876*N876/100+(Y876-N876),K876*Y876/100))</f>
        <v/>
      </c>
      <c r="M876">
        <f>IF($AA876="","",INDEX('Per Line'!$Z$2:$Z$4001,$AA876)&amp;"")</f>
        <v/>
      </c>
      <c r="N876">
        <f>IF($AA876="","",INDEX('Per Line'!$AG$2:$AG$4001,$AA876))</f>
        <v/>
      </c>
      <c r="O876">
        <f>IF($AA876="","",IF(AND(ISNUMBER(N876),N876&gt;0),Y876&gt;N876,FALSE))</f>
        <v/>
      </c>
      <c r="P876" s="7">
        <f>IF($AA876="","",SUMIFS('Per Line'!$Y$2:$Y$4001,'Per Line'!$E$2:$E$4001,$B876,'Per Line'!$AQ$2:$AQ$4001,1))</f>
        <v/>
      </c>
      <c r="Q876">
        <f>IF($AA876="","",Settings!$C$7)</f>
        <v/>
      </c>
      <c r="R876" s="7">
        <f>IF($AA876="","",SUMIFS('Per Line'!$Y$2:$Y$4001,'Per Line'!$E$2:$E$4001,$B876,'Per Line'!$AP$2:$AP$4001,0,'Per Line'!$AQ$2:$AQ$4001,0))</f>
        <v/>
      </c>
      <c r="S876" s="7">
        <f>IF($AA876="","",R876*Q876)</f>
        <v/>
      </c>
      <c r="T876">
        <f>IF($AA876="","",Settings!$C$6)</f>
        <v/>
      </c>
      <c r="U876" s="7">
        <f>IF($AA876="","",SUMIFS('Per Line'!$Y$2:$Y$4001,'Per Line'!$E$2:$E$4001,$B876,'Per Line'!$AP$2:$AP$4001,1,'Per Line'!$AQ$2:$AQ$4001,0))</f>
        <v/>
      </c>
      <c r="V876" s="7">
        <f>IF($AA876="","",U876*T876)</f>
        <v/>
      </c>
      <c r="W876" s="7">
        <f>IF($AA876="","",V876+S876)</f>
        <v/>
      </c>
      <c r="X876" s="7">
        <f>IF($AA876="","",Y876-W876)</f>
        <v/>
      </c>
      <c r="Y876" s="7">
        <f>IF($AA876="","",R876+U876+P876)</f>
        <v/>
      </c>
      <c r="Z876" s="7">
        <f>IF($AA876="","",Y876-W876-L876)</f>
        <v/>
      </c>
      <c r="AA876" s="13">
        <f>IF(ROWS($AA$2:$AA876)&lt;=MAX('Per Line'!$AO$2:$AO$4001),MATCH(ROWS($AA$2:$AA876),'Per Line'!$AO$2:$AO$4001,0),"")</f>
        <v/>
      </c>
      <c r="AB876" s="14">
        <f>IF($AA876="","",L876-K876*Y876/100)</f>
        <v/>
      </c>
    </row>
    <row r="877">
      <c r="A877" s="12" t="n"/>
      <c r="B877">
        <f>IF($AA877="","",INDEX('Per Line'!$E$2:$E$4001,$AA877)&amp;"")</f>
        <v/>
      </c>
      <c r="C877">
        <f>IF($AA877="","",INDEX('Per Line'!$A$2:$A$4001,$AA877)&amp;"")</f>
        <v/>
      </c>
      <c r="D877">
        <f>IF($AA877="","",INDEX('Per Line'!$D$2:$D$4001,$AA877)&amp;"")</f>
        <v/>
      </c>
      <c r="E877" s="11">
        <f>IF($AA877="","",INDEX('Per Line'!$G$2:$G$4001,$AA877))</f>
        <v/>
      </c>
      <c r="F877">
        <f>IF($AA877="","",INDEX('Per Line'!$H$2:$H$4001,$AA877)&amp;"")</f>
        <v/>
      </c>
      <c r="G877">
        <f>IF($AA877="","",INDEX('Per Line'!$I$2:$I$4001,$AA877)&amp;"")</f>
        <v/>
      </c>
      <c r="H877">
        <f>IF($AA877="","",INDEX('Per Line'!$J$2:$J$4001,$AA877)&amp;"")</f>
        <v/>
      </c>
      <c r="I877">
        <f>IF($AA877="","",INDEX('Per Line'!$K$2:$K$4001,$AA877)&amp;"")</f>
        <v/>
      </c>
      <c r="J877">
        <f>IF($AA877="","",INDEX('Per Line'!$L$2:$L$4001,$AA877)&amp;"")</f>
        <v/>
      </c>
      <c r="K877">
        <f>IF($AA877="","",INDEX('Per Line'!$P$2:$P$4001,$AA877))</f>
        <v/>
      </c>
      <c r="L877" s="7">
        <f>IF($AA877="","",IF(AND(ISNUMBER(N877),N877&gt;0,Y877&gt;N877),K877*N877/100+(Y877-N877),K877*Y877/100))</f>
        <v/>
      </c>
      <c r="M877">
        <f>IF($AA877="","",INDEX('Per Line'!$Z$2:$Z$4001,$AA877)&amp;"")</f>
        <v/>
      </c>
      <c r="N877">
        <f>IF($AA877="","",INDEX('Per Line'!$AG$2:$AG$4001,$AA877))</f>
        <v/>
      </c>
      <c r="O877">
        <f>IF($AA877="","",IF(AND(ISNUMBER(N877),N877&gt;0),Y877&gt;N877,FALSE))</f>
        <v/>
      </c>
      <c r="P877" s="7">
        <f>IF($AA877="","",SUMIFS('Per Line'!$Y$2:$Y$4001,'Per Line'!$E$2:$E$4001,$B877,'Per Line'!$AQ$2:$AQ$4001,1))</f>
        <v/>
      </c>
      <c r="Q877">
        <f>IF($AA877="","",Settings!$C$7)</f>
        <v/>
      </c>
      <c r="R877" s="7">
        <f>IF($AA877="","",SUMIFS('Per Line'!$Y$2:$Y$4001,'Per Line'!$E$2:$E$4001,$B877,'Per Line'!$AP$2:$AP$4001,0,'Per Line'!$AQ$2:$AQ$4001,0))</f>
        <v/>
      </c>
      <c r="S877" s="7">
        <f>IF($AA877="","",R877*Q877)</f>
        <v/>
      </c>
      <c r="T877">
        <f>IF($AA877="","",Settings!$C$6)</f>
        <v/>
      </c>
      <c r="U877" s="7">
        <f>IF($AA877="","",SUMIFS('Per Line'!$Y$2:$Y$4001,'Per Line'!$E$2:$E$4001,$B877,'Per Line'!$AP$2:$AP$4001,1,'Per Line'!$AQ$2:$AQ$4001,0))</f>
        <v/>
      </c>
      <c r="V877" s="7">
        <f>IF($AA877="","",U877*T877)</f>
        <v/>
      </c>
      <c r="W877" s="7">
        <f>IF($AA877="","",V877+S877)</f>
        <v/>
      </c>
      <c r="X877" s="7">
        <f>IF($AA877="","",Y877-W877)</f>
        <v/>
      </c>
      <c r="Y877" s="7">
        <f>IF($AA877="","",R877+U877+P877)</f>
        <v/>
      </c>
      <c r="Z877" s="7">
        <f>IF($AA877="","",Y877-W877-L877)</f>
        <v/>
      </c>
      <c r="AA877" s="13">
        <f>IF(ROWS($AA$2:$AA877)&lt;=MAX('Per Line'!$AO$2:$AO$4001),MATCH(ROWS($AA$2:$AA877),'Per Line'!$AO$2:$AO$4001,0),"")</f>
        <v/>
      </c>
      <c r="AB877" s="14">
        <f>IF($AA877="","",L877-K877*Y877/100)</f>
        <v/>
      </c>
    </row>
    <row r="878">
      <c r="A878" s="12" t="n"/>
      <c r="B878">
        <f>IF($AA878="","",INDEX('Per Line'!$E$2:$E$4001,$AA878)&amp;"")</f>
        <v/>
      </c>
      <c r="C878">
        <f>IF($AA878="","",INDEX('Per Line'!$A$2:$A$4001,$AA878)&amp;"")</f>
        <v/>
      </c>
      <c r="D878">
        <f>IF($AA878="","",INDEX('Per Line'!$D$2:$D$4001,$AA878)&amp;"")</f>
        <v/>
      </c>
      <c r="E878" s="11">
        <f>IF($AA878="","",INDEX('Per Line'!$G$2:$G$4001,$AA878))</f>
        <v/>
      </c>
      <c r="F878">
        <f>IF($AA878="","",INDEX('Per Line'!$H$2:$H$4001,$AA878)&amp;"")</f>
        <v/>
      </c>
      <c r="G878">
        <f>IF($AA878="","",INDEX('Per Line'!$I$2:$I$4001,$AA878)&amp;"")</f>
        <v/>
      </c>
      <c r="H878">
        <f>IF($AA878="","",INDEX('Per Line'!$J$2:$J$4001,$AA878)&amp;"")</f>
        <v/>
      </c>
      <c r="I878">
        <f>IF($AA878="","",INDEX('Per Line'!$K$2:$K$4001,$AA878)&amp;"")</f>
        <v/>
      </c>
      <c r="J878">
        <f>IF($AA878="","",INDEX('Per Line'!$L$2:$L$4001,$AA878)&amp;"")</f>
        <v/>
      </c>
      <c r="K878">
        <f>IF($AA878="","",INDEX('Per Line'!$P$2:$P$4001,$AA878))</f>
        <v/>
      </c>
      <c r="L878" s="7">
        <f>IF($AA878="","",IF(AND(ISNUMBER(N878),N878&gt;0,Y878&gt;N878),K878*N878/100+(Y878-N878),K878*Y878/100))</f>
        <v/>
      </c>
      <c r="M878">
        <f>IF($AA878="","",INDEX('Per Line'!$Z$2:$Z$4001,$AA878)&amp;"")</f>
        <v/>
      </c>
      <c r="N878">
        <f>IF($AA878="","",INDEX('Per Line'!$AG$2:$AG$4001,$AA878))</f>
        <v/>
      </c>
      <c r="O878">
        <f>IF($AA878="","",IF(AND(ISNUMBER(N878),N878&gt;0),Y878&gt;N878,FALSE))</f>
        <v/>
      </c>
      <c r="P878" s="7">
        <f>IF($AA878="","",SUMIFS('Per Line'!$Y$2:$Y$4001,'Per Line'!$E$2:$E$4001,$B878,'Per Line'!$AQ$2:$AQ$4001,1))</f>
        <v/>
      </c>
      <c r="Q878">
        <f>IF($AA878="","",Settings!$C$7)</f>
        <v/>
      </c>
      <c r="R878" s="7">
        <f>IF($AA878="","",SUMIFS('Per Line'!$Y$2:$Y$4001,'Per Line'!$E$2:$E$4001,$B878,'Per Line'!$AP$2:$AP$4001,0,'Per Line'!$AQ$2:$AQ$4001,0))</f>
        <v/>
      </c>
      <c r="S878" s="7">
        <f>IF($AA878="","",R878*Q878)</f>
        <v/>
      </c>
      <c r="T878">
        <f>IF($AA878="","",Settings!$C$6)</f>
        <v/>
      </c>
      <c r="U878" s="7">
        <f>IF($AA878="","",SUMIFS('Per Line'!$Y$2:$Y$4001,'Per Line'!$E$2:$E$4001,$B878,'Per Line'!$AP$2:$AP$4001,1,'Per Line'!$AQ$2:$AQ$4001,0))</f>
        <v/>
      </c>
      <c r="V878" s="7">
        <f>IF($AA878="","",U878*T878)</f>
        <v/>
      </c>
      <c r="W878" s="7">
        <f>IF($AA878="","",V878+S878)</f>
        <v/>
      </c>
      <c r="X878" s="7">
        <f>IF($AA878="","",Y878-W878)</f>
        <v/>
      </c>
      <c r="Y878" s="7">
        <f>IF($AA878="","",R878+U878+P878)</f>
        <v/>
      </c>
      <c r="Z878" s="7">
        <f>IF($AA878="","",Y878-W878-L878)</f>
        <v/>
      </c>
      <c r="AA878" s="13">
        <f>IF(ROWS($AA$2:$AA878)&lt;=MAX('Per Line'!$AO$2:$AO$4001),MATCH(ROWS($AA$2:$AA878),'Per Line'!$AO$2:$AO$4001,0),"")</f>
        <v/>
      </c>
      <c r="AB878" s="14">
        <f>IF($AA878="","",L878-K878*Y878/100)</f>
        <v/>
      </c>
    </row>
    <row r="879">
      <c r="A879" s="12" t="n"/>
      <c r="B879">
        <f>IF($AA879="","",INDEX('Per Line'!$E$2:$E$4001,$AA879)&amp;"")</f>
        <v/>
      </c>
      <c r="C879">
        <f>IF($AA879="","",INDEX('Per Line'!$A$2:$A$4001,$AA879)&amp;"")</f>
        <v/>
      </c>
      <c r="D879">
        <f>IF($AA879="","",INDEX('Per Line'!$D$2:$D$4001,$AA879)&amp;"")</f>
        <v/>
      </c>
      <c r="E879" s="11">
        <f>IF($AA879="","",INDEX('Per Line'!$G$2:$G$4001,$AA879))</f>
        <v/>
      </c>
      <c r="F879">
        <f>IF($AA879="","",INDEX('Per Line'!$H$2:$H$4001,$AA879)&amp;"")</f>
        <v/>
      </c>
      <c r="G879">
        <f>IF($AA879="","",INDEX('Per Line'!$I$2:$I$4001,$AA879)&amp;"")</f>
        <v/>
      </c>
      <c r="H879">
        <f>IF($AA879="","",INDEX('Per Line'!$J$2:$J$4001,$AA879)&amp;"")</f>
        <v/>
      </c>
      <c r="I879">
        <f>IF($AA879="","",INDEX('Per Line'!$K$2:$K$4001,$AA879)&amp;"")</f>
        <v/>
      </c>
      <c r="J879">
        <f>IF($AA879="","",INDEX('Per Line'!$L$2:$L$4001,$AA879)&amp;"")</f>
        <v/>
      </c>
      <c r="K879">
        <f>IF($AA879="","",INDEX('Per Line'!$P$2:$P$4001,$AA879))</f>
        <v/>
      </c>
      <c r="L879" s="7">
        <f>IF($AA879="","",IF(AND(ISNUMBER(N879),N879&gt;0,Y879&gt;N879),K879*N879/100+(Y879-N879),K879*Y879/100))</f>
        <v/>
      </c>
      <c r="M879">
        <f>IF($AA879="","",INDEX('Per Line'!$Z$2:$Z$4001,$AA879)&amp;"")</f>
        <v/>
      </c>
      <c r="N879">
        <f>IF($AA879="","",INDEX('Per Line'!$AG$2:$AG$4001,$AA879))</f>
        <v/>
      </c>
      <c r="O879">
        <f>IF($AA879="","",IF(AND(ISNUMBER(N879),N879&gt;0),Y879&gt;N879,FALSE))</f>
        <v/>
      </c>
      <c r="P879" s="7">
        <f>IF($AA879="","",SUMIFS('Per Line'!$Y$2:$Y$4001,'Per Line'!$E$2:$E$4001,$B879,'Per Line'!$AQ$2:$AQ$4001,1))</f>
        <v/>
      </c>
      <c r="Q879">
        <f>IF($AA879="","",Settings!$C$7)</f>
        <v/>
      </c>
      <c r="R879" s="7">
        <f>IF($AA879="","",SUMIFS('Per Line'!$Y$2:$Y$4001,'Per Line'!$E$2:$E$4001,$B879,'Per Line'!$AP$2:$AP$4001,0,'Per Line'!$AQ$2:$AQ$4001,0))</f>
        <v/>
      </c>
      <c r="S879" s="7">
        <f>IF($AA879="","",R879*Q879)</f>
        <v/>
      </c>
      <c r="T879">
        <f>IF($AA879="","",Settings!$C$6)</f>
        <v/>
      </c>
      <c r="U879" s="7">
        <f>IF($AA879="","",SUMIFS('Per Line'!$Y$2:$Y$4001,'Per Line'!$E$2:$E$4001,$B879,'Per Line'!$AP$2:$AP$4001,1,'Per Line'!$AQ$2:$AQ$4001,0))</f>
        <v/>
      </c>
      <c r="V879" s="7">
        <f>IF($AA879="","",U879*T879)</f>
        <v/>
      </c>
      <c r="W879" s="7">
        <f>IF($AA879="","",V879+S879)</f>
        <v/>
      </c>
      <c r="X879" s="7">
        <f>IF($AA879="","",Y879-W879)</f>
        <v/>
      </c>
      <c r="Y879" s="7">
        <f>IF($AA879="","",R879+U879+P879)</f>
        <v/>
      </c>
      <c r="Z879" s="7">
        <f>IF($AA879="","",Y879-W879-L879)</f>
        <v/>
      </c>
      <c r="AA879" s="13">
        <f>IF(ROWS($AA$2:$AA879)&lt;=MAX('Per Line'!$AO$2:$AO$4001),MATCH(ROWS($AA$2:$AA879),'Per Line'!$AO$2:$AO$4001,0),"")</f>
        <v/>
      </c>
      <c r="AB879" s="14">
        <f>IF($AA879="","",L879-K879*Y879/100)</f>
        <v/>
      </c>
    </row>
    <row r="880">
      <c r="A880" s="12" t="n"/>
      <c r="B880">
        <f>IF($AA880="","",INDEX('Per Line'!$E$2:$E$4001,$AA880)&amp;"")</f>
        <v/>
      </c>
      <c r="C880">
        <f>IF($AA880="","",INDEX('Per Line'!$A$2:$A$4001,$AA880)&amp;"")</f>
        <v/>
      </c>
      <c r="D880">
        <f>IF($AA880="","",INDEX('Per Line'!$D$2:$D$4001,$AA880)&amp;"")</f>
        <v/>
      </c>
      <c r="E880" s="11">
        <f>IF($AA880="","",INDEX('Per Line'!$G$2:$G$4001,$AA880))</f>
        <v/>
      </c>
      <c r="F880">
        <f>IF($AA880="","",INDEX('Per Line'!$H$2:$H$4001,$AA880)&amp;"")</f>
        <v/>
      </c>
      <c r="G880">
        <f>IF($AA880="","",INDEX('Per Line'!$I$2:$I$4001,$AA880)&amp;"")</f>
        <v/>
      </c>
      <c r="H880">
        <f>IF($AA880="","",INDEX('Per Line'!$J$2:$J$4001,$AA880)&amp;"")</f>
        <v/>
      </c>
      <c r="I880">
        <f>IF($AA880="","",INDEX('Per Line'!$K$2:$K$4001,$AA880)&amp;"")</f>
        <v/>
      </c>
      <c r="J880">
        <f>IF($AA880="","",INDEX('Per Line'!$L$2:$L$4001,$AA880)&amp;"")</f>
        <v/>
      </c>
      <c r="K880">
        <f>IF($AA880="","",INDEX('Per Line'!$P$2:$P$4001,$AA880))</f>
        <v/>
      </c>
      <c r="L880" s="7">
        <f>IF($AA880="","",IF(AND(ISNUMBER(N880),N880&gt;0,Y880&gt;N880),K880*N880/100+(Y880-N880),K880*Y880/100))</f>
        <v/>
      </c>
      <c r="M880">
        <f>IF($AA880="","",INDEX('Per Line'!$Z$2:$Z$4001,$AA880)&amp;"")</f>
        <v/>
      </c>
      <c r="N880">
        <f>IF($AA880="","",INDEX('Per Line'!$AG$2:$AG$4001,$AA880))</f>
        <v/>
      </c>
      <c r="O880">
        <f>IF($AA880="","",IF(AND(ISNUMBER(N880),N880&gt;0),Y880&gt;N880,FALSE))</f>
        <v/>
      </c>
      <c r="P880" s="7">
        <f>IF($AA880="","",SUMIFS('Per Line'!$Y$2:$Y$4001,'Per Line'!$E$2:$E$4001,$B880,'Per Line'!$AQ$2:$AQ$4001,1))</f>
        <v/>
      </c>
      <c r="Q880">
        <f>IF($AA880="","",Settings!$C$7)</f>
        <v/>
      </c>
      <c r="R880" s="7">
        <f>IF($AA880="","",SUMIFS('Per Line'!$Y$2:$Y$4001,'Per Line'!$E$2:$E$4001,$B880,'Per Line'!$AP$2:$AP$4001,0,'Per Line'!$AQ$2:$AQ$4001,0))</f>
        <v/>
      </c>
      <c r="S880" s="7">
        <f>IF($AA880="","",R880*Q880)</f>
        <v/>
      </c>
      <c r="T880">
        <f>IF($AA880="","",Settings!$C$6)</f>
        <v/>
      </c>
      <c r="U880" s="7">
        <f>IF($AA880="","",SUMIFS('Per Line'!$Y$2:$Y$4001,'Per Line'!$E$2:$E$4001,$B880,'Per Line'!$AP$2:$AP$4001,1,'Per Line'!$AQ$2:$AQ$4001,0))</f>
        <v/>
      </c>
      <c r="V880" s="7">
        <f>IF($AA880="","",U880*T880)</f>
        <v/>
      </c>
      <c r="W880" s="7">
        <f>IF($AA880="","",V880+S880)</f>
        <v/>
      </c>
      <c r="X880" s="7">
        <f>IF($AA880="","",Y880-W880)</f>
        <v/>
      </c>
      <c r="Y880" s="7">
        <f>IF($AA880="","",R880+U880+P880)</f>
        <v/>
      </c>
      <c r="Z880" s="7">
        <f>IF($AA880="","",Y880-W880-L880)</f>
        <v/>
      </c>
      <c r="AA880" s="13">
        <f>IF(ROWS($AA$2:$AA880)&lt;=MAX('Per Line'!$AO$2:$AO$4001),MATCH(ROWS($AA$2:$AA880),'Per Line'!$AO$2:$AO$4001,0),"")</f>
        <v/>
      </c>
      <c r="AB880" s="14">
        <f>IF($AA880="","",L880-K880*Y880/100)</f>
        <v/>
      </c>
    </row>
    <row r="881">
      <c r="A881" s="12" t="n"/>
      <c r="B881">
        <f>IF($AA881="","",INDEX('Per Line'!$E$2:$E$4001,$AA881)&amp;"")</f>
        <v/>
      </c>
      <c r="C881">
        <f>IF($AA881="","",INDEX('Per Line'!$A$2:$A$4001,$AA881)&amp;"")</f>
        <v/>
      </c>
      <c r="D881">
        <f>IF($AA881="","",INDEX('Per Line'!$D$2:$D$4001,$AA881)&amp;"")</f>
        <v/>
      </c>
      <c r="E881" s="11">
        <f>IF($AA881="","",INDEX('Per Line'!$G$2:$G$4001,$AA881))</f>
        <v/>
      </c>
      <c r="F881">
        <f>IF($AA881="","",INDEX('Per Line'!$H$2:$H$4001,$AA881)&amp;"")</f>
        <v/>
      </c>
      <c r="G881">
        <f>IF($AA881="","",INDEX('Per Line'!$I$2:$I$4001,$AA881)&amp;"")</f>
        <v/>
      </c>
      <c r="H881">
        <f>IF($AA881="","",INDEX('Per Line'!$J$2:$J$4001,$AA881)&amp;"")</f>
        <v/>
      </c>
      <c r="I881">
        <f>IF($AA881="","",INDEX('Per Line'!$K$2:$K$4001,$AA881)&amp;"")</f>
        <v/>
      </c>
      <c r="J881">
        <f>IF($AA881="","",INDEX('Per Line'!$L$2:$L$4001,$AA881)&amp;"")</f>
        <v/>
      </c>
      <c r="K881">
        <f>IF($AA881="","",INDEX('Per Line'!$P$2:$P$4001,$AA881))</f>
        <v/>
      </c>
      <c r="L881" s="7">
        <f>IF($AA881="","",IF(AND(ISNUMBER(N881),N881&gt;0,Y881&gt;N881),K881*N881/100+(Y881-N881),K881*Y881/100))</f>
        <v/>
      </c>
      <c r="M881">
        <f>IF($AA881="","",INDEX('Per Line'!$Z$2:$Z$4001,$AA881)&amp;"")</f>
        <v/>
      </c>
      <c r="N881">
        <f>IF($AA881="","",INDEX('Per Line'!$AG$2:$AG$4001,$AA881))</f>
        <v/>
      </c>
      <c r="O881">
        <f>IF($AA881="","",IF(AND(ISNUMBER(N881),N881&gt;0),Y881&gt;N881,FALSE))</f>
        <v/>
      </c>
      <c r="P881" s="7">
        <f>IF($AA881="","",SUMIFS('Per Line'!$Y$2:$Y$4001,'Per Line'!$E$2:$E$4001,$B881,'Per Line'!$AQ$2:$AQ$4001,1))</f>
        <v/>
      </c>
      <c r="Q881">
        <f>IF($AA881="","",Settings!$C$7)</f>
        <v/>
      </c>
      <c r="R881" s="7">
        <f>IF($AA881="","",SUMIFS('Per Line'!$Y$2:$Y$4001,'Per Line'!$E$2:$E$4001,$B881,'Per Line'!$AP$2:$AP$4001,0,'Per Line'!$AQ$2:$AQ$4001,0))</f>
        <v/>
      </c>
      <c r="S881" s="7">
        <f>IF($AA881="","",R881*Q881)</f>
        <v/>
      </c>
      <c r="T881">
        <f>IF($AA881="","",Settings!$C$6)</f>
        <v/>
      </c>
      <c r="U881" s="7">
        <f>IF($AA881="","",SUMIFS('Per Line'!$Y$2:$Y$4001,'Per Line'!$E$2:$E$4001,$B881,'Per Line'!$AP$2:$AP$4001,1,'Per Line'!$AQ$2:$AQ$4001,0))</f>
        <v/>
      </c>
      <c r="V881" s="7">
        <f>IF($AA881="","",U881*T881)</f>
        <v/>
      </c>
      <c r="W881" s="7">
        <f>IF($AA881="","",V881+S881)</f>
        <v/>
      </c>
      <c r="X881" s="7">
        <f>IF($AA881="","",Y881-W881)</f>
        <v/>
      </c>
      <c r="Y881" s="7">
        <f>IF($AA881="","",R881+U881+P881)</f>
        <v/>
      </c>
      <c r="Z881" s="7">
        <f>IF($AA881="","",Y881-W881-L881)</f>
        <v/>
      </c>
      <c r="AA881" s="13">
        <f>IF(ROWS($AA$2:$AA881)&lt;=MAX('Per Line'!$AO$2:$AO$4001),MATCH(ROWS($AA$2:$AA881),'Per Line'!$AO$2:$AO$4001,0),"")</f>
        <v/>
      </c>
      <c r="AB881" s="14">
        <f>IF($AA881="","",L881-K881*Y881/100)</f>
        <v/>
      </c>
    </row>
    <row r="882">
      <c r="A882" s="12" t="n"/>
      <c r="B882">
        <f>IF($AA882="","",INDEX('Per Line'!$E$2:$E$4001,$AA882)&amp;"")</f>
        <v/>
      </c>
      <c r="C882">
        <f>IF($AA882="","",INDEX('Per Line'!$A$2:$A$4001,$AA882)&amp;"")</f>
        <v/>
      </c>
      <c r="D882">
        <f>IF($AA882="","",INDEX('Per Line'!$D$2:$D$4001,$AA882)&amp;"")</f>
        <v/>
      </c>
      <c r="E882" s="11">
        <f>IF($AA882="","",INDEX('Per Line'!$G$2:$G$4001,$AA882))</f>
        <v/>
      </c>
      <c r="F882">
        <f>IF($AA882="","",INDEX('Per Line'!$H$2:$H$4001,$AA882)&amp;"")</f>
        <v/>
      </c>
      <c r="G882">
        <f>IF($AA882="","",INDEX('Per Line'!$I$2:$I$4001,$AA882)&amp;"")</f>
        <v/>
      </c>
      <c r="H882">
        <f>IF($AA882="","",INDEX('Per Line'!$J$2:$J$4001,$AA882)&amp;"")</f>
        <v/>
      </c>
      <c r="I882">
        <f>IF($AA882="","",INDEX('Per Line'!$K$2:$K$4001,$AA882)&amp;"")</f>
        <v/>
      </c>
      <c r="J882">
        <f>IF($AA882="","",INDEX('Per Line'!$L$2:$L$4001,$AA882)&amp;"")</f>
        <v/>
      </c>
      <c r="K882">
        <f>IF($AA882="","",INDEX('Per Line'!$P$2:$P$4001,$AA882))</f>
        <v/>
      </c>
      <c r="L882" s="7">
        <f>IF($AA882="","",IF(AND(ISNUMBER(N882),N882&gt;0,Y882&gt;N882),K882*N882/100+(Y882-N882),K882*Y882/100))</f>
        <v/>
      </c>
      <c r="M882">
        <f>IF($AA882="","",INDEX('Per Line'!$Z$2:$Z$4001,$AA882)&amp;"")</f>
        <v/>
      </c>
      <c r="N882">
        <f>IF($AA882="","",INDEX('Per Line'!$AG$2:$AG$4001,$AA882))</f>
        <v/>
      </c>
      <c r="O882">
        <f>IF($AA882="","",IF(AND(ISNUMBER(N882),N882&gt;0),Y882&gt;N882,FALSE))</f>
        <v/>
      </c>
      <c r="P882" s="7">
        <f>IF($AA882="","",SUMIFS('Per Line'!$Y$2:$Y$4001,'Per Line'!$E$2:$E$4001,$B882,'Per Line'!$AQ$2:$AQ$4001,1))</f>
        <v/>
      </c>
      <c r="Q882">
        <f>IF($AA882="","",Settings!$C$7)</f>
        <v/>
      </c>
      <c r="R882" s="7">
        <f>IF($AA882="","",SUMIFS('Per Line'!$Y$2:$Y$4001,'Per Line'!$E$2:$E$4001,$B882,'Per Line'!$AP$2:$AP$4001,0,'Per Line'!$AQ$2:$AQ$4001,0))</f>
        <v/>
      </c>
      <c r="S882" s="7">
        <f>IF($AA882="","",R882*Q882)</f>
        <v/>
      </c>
      <c r="T882">
        <f>IF($AA882="","",Settings!$C$6)</f>
        <v/>
      </c>
      <c r="U882" s="7">
        <f>IF($AA882="","",SUMIFS('Per Line'!$Y$2:$Y$4001,'Per Line'!$E$2:$E$4001,$B882,'Per Line'!$AP$2:$AP$4001,1,'Per Line'!$AQ$2:$AQ$4001,0))</f>
        <v/>
      </c>
      <c r="V882" s="7">
        <f>IF($AA882="","",U882*T882)</f>
        <v/>
      </c>
      <c r="W882" s="7">
        <f>IF($AA882="","",V882+S882)</f>
        <v/>
      </c>
      <c r="X882" s="7">
        <f>IF($AA882="","",Y882-W882)</f>
        <v/>
      </c>
      <c r="Y882" s="7">
        <f>IF($AA882="","",R882+U882+P882)</f>
        <v/>
      </c>
      <c r="Z882" s="7">
        <f>IF($AA882="","",Y882-W882-L882)</f>
        <v/>
      </c>
      <c r="AA882" s="13">
        <f>IF(ROWS($AA$2:$AA882)&lt;=MAX('Per Line'!$AO$2:$AO$4001),MATCH(ROWS($AA$2:$AA882),'Per Line'!$AO$2:$AO$4001,0),"")</f>
        <v/>
      </c>
      <c r="AB882" s="14">
        <f>IF($AA882="","",L882-K882*Y882/100)</f>
        <v/>
      </c>
    </row>
    <row r="883">
      <c r="A883" s="12" t="n"/>
      <c r="B883">
        <f>IF($AA883="","",INDEX('Per Line'!$E$2:$E$4001,$AA883)&amp;"")</f>
        <v/>
      </c>
      <c r="C883">
        <f>IF($AA883="","",INDEX('Per Line'!$A$2:$A$4001,$AA883)&amp;"")</f>
        <v/>
      </c>
      <c r="D883">
        <f>IF($AA883="","",INDEX('Per Line'!$D$2:$D$4001,$AA883)&amp;"")</f>
        <v/>
      </c>
      <c r="E883" s="11">
        <f>IF($AA883="","",INDEX('Per Line'!$G$2:$G$4001,$AA883))</f>
        <v/>
      </c>
      <c r="F883">
        <f>IF($AA883="","",INDEX('Per Line'!$H$2:$H$4001,$AA883)&amp;"")</f>
        <v/>
      </c>
      <c r="G883">
        <f>IF($AA883="","",INDEX('Per Line'!$I$2:$I$4001,$AA883)&amp;"")</f>
        <v/>
      </c>
      <c r="H883">
        <f>IF($AA883="","",INDEX('Per Line'!$J$2:$J$4001,$AA883)&amp;"")</f>
        <v/>
      </c>
      <c r="I883">
        <f>IF($AA883="","",INDEX('Per Line'!$K$2:$K$4001,$AA883)&amp;"")</f>
        <v/>
      </c>
      <c r="J883">
        <f>IF($AA883="","",INDEX('Per Line'!$L$2:$L$4001,$AA883)&amp;"")</f>
        <v/>
      </c>
      <c r="K883">
        <f>IF($AA883="","",INDEX('Per Line'!$P$2:$P$4001,$AA883))</f>
        <v/>
      </c>
      <c r="L883" s="7">
        <f>IF($AA883="","",IF(AND(ISNUMBER(N883),N883&gt;0,Y883&gt;N883),K883*N883/100+(Y883-N883),K883*Y883/100))</f>
        <v/>
      </c>
      <c r="M883">
        <f>IF($AA883="","",INDEX('Per Line'!$Z$2:$Z$4001,$AA883)&amp;"")</f>
        <v/>
      </c>
      <c r="N883">
        <f>IF($AA883="","",INDEX('Per Line'!$AG$2:$AG$4001,$AA883))</f>
        <v/>
      </c>
      <c r="O883">
        <f>IF($AA883="","",IF(AND(ISNUMBER(N883),N883&gt;0),Y883&gt;N883,FALSE))</f>
        <v/>
      </c>
      <c r="P883" s="7">
        <f>IF($AA883="","",SUMIFS('Per Line'!$Y$2:$Y$4001,'Per Line'!$E$2:$E$4001,$B883,'Per Line'!$AQ$2:$AQ$4001,1))</f>
        <v/>
      </c>
      <c r="Q883">
        <f>IF($AA883="","",Settings!$C$7)</f>
        <v/>
      </c>
      <c r="R883" s="7">
        <f>IF($AA883="","",SUMIFS('Per Line'!$Y$2:$Y$4001,'Per Line'!$E$2:$E$4001,$B883,'Per Line'!$AP$2:$AP$4001,0,'Per Line'!$AQ$2:$AQ$4001,0))</f>
        <v/>
      </c>
      <c r="S883" s="7">
        <f>IF($AA883="","",R883*Q883)</f>
        <v/>
      </c>
      <c r="T883">
        <f>IF($AA883="","",Settings!$C$6)</f>
        <v/>
      </c>
      <c r="U883" s="7">
        <f>IF($AA883="","",SUMIFS('Per Line'!$Y$2:$Y$4001,'Per Line'!$E$2:$E$4001,$B883,'Per Line'!$AP$2:$AP$4001,1,'Per Line'!$AQ$2:$AQ$4001,0))</f>
        <v/>
      </c>
      <c r="V883" s="7">
        <f>IF($AA883="","",U883*T883)</f>
        <v/>
      </c>
      <c r="W883" s="7">
        <f>IF($AA883="","",V883+S883)</f>
        <v/>
      </c>
      <c r="X883" s="7">
        <f>IF($AA883="","",Y883-W883)</f>
        <v/>
      </c>
      <c r="Y883" s="7">
        <f>IF($AA883="","",R883+U883+P883)</f>
        <v/>
      </c>
      <c r="Z883" s="7">
        <f>IF($AA883="","",Y883-W883-L883)</f>
        <v/>
      </c>
      <c r="AA883" s="13">
        <f>IF(ROWS($AA$2:$AA883)&lt;=MAX('Per Line'!$AO$2:$AO$4001),MATCH(ROWS($AA$2:$AA883),'Per Line'!$AO$2:$AO$4001,0),"")</f>
        <v/>
      </c>
      <c r="AB883" s="14">
        <f>IF($AA883="","",L883-K883*Y883/100)</f>
        <v/>
      </c>
    </row>
    <row r="884">
      <c r="A884" s="12" t="n"/>
      <c r="B884">
        <f>IF($AA884="","",INDEX('Per Line'!$E$2:$E$4001,$AA884)&amp;"")</f>
        <v/>
      </c>
      <c r="C884">
        <f>IF($AA884="","",INDEX('Per Line'!$A$2:$A$4001,$AA884)&amp;"")</f>
        <v/>
      </c>
      <c r="D884">
        <f>IF($AA884="","",INDEX('Per Line'!$D$2:$D$4001,$AA884)&amp;"")</f>
        <v/>
      </c>
      <c r="E884" s="11">
        <f>IF($AA884="","",INDEX('Per Line'!$G$2:$G$4001,$AA884))</f>
        <v/>
      </c>
      <c r="F884">
        <f>IF($AA884="","",INDEX('Per Line'!$H$2:$H$4001,$AA884)&amp;"")</f>
        <v/>
      </c>
      <c r="G884">
        <f>IF($AA884="","",INDEX('Per Line'!$I$2:$I$4001,$AA884)&amp;"")</f>
        <v/>
      </c>
      <c r="H884">
        <f>IF($AA884="","",INDEX('Per Line'!$J$2:$J$4001,$AA884)&amp;"")</f>
        <v/>
      </c>
      <c r="I884">
        <f>IF($AA884="","",INDEX('Per Line'!$K$2:$K$4001,$AA884)&amp;"")</f>
        <v/>
      </c>
      <c r="J884">
        <f>IF($AA884="","",INDEX('Per Line'!$L$2:$L$4001,$AA884)&amp;"")</f>
        <v/>
      </c>
      <c r="K884">
        <f>IF($AA884="","",INDEX('Per Line'!$P$2:$P$4001,$AA884))</f>
        <v/>
      </c>
      <c r="L884" s="7">
        <f>IF($AA884="","",IF(AND(ISNUMBER(N884),N884&gt;0,Y884&gt;N884),K884*N884/100+(Y884-N884),K884*Y884/100))</f>
        <v/>
      </c>
      <c r="M884">
        <f>IF($AA884="","",INDEX('Per Line'!$Z$2:$Z$4001,$AA884)&amp;"")</f>
        <v/>
      </c>
      <c r="N884">
        <f>IF($AA884="","",INDEX('Per Line'!$AG$2:$AG$4001,$AA884))</f>
        <v/>
      </c>
      <c r="O884">
        <f>IF($AA884="","",IF(AND(ISNUMBER(N884),N884&gt;0),Y884&gt;N884,FALSE))</f>
        <v/>
      </c>
      <c r="P884" s="7">
        <f>IF($AA884="","",SUMIFS('Per Line'!$Y$2:$Y$4001,'Per Line'!$E$2:$E$4001,$B884,'Per Line'!$AQ$2:$AQ$4001,1))</f>
        <v/>
      </c>
      <c r="Q884">
        <f>IF($AA884="","",Settings!$C$7)</f>
        <v/>
      </c>
      <c r="R884" s="7">
        <f>IF($AA884="","",SUMIFS('Per Line'!$Y$2:$Y$4001,'Per Line'!$E$2:$E$4001,$B884,'Per Line'!$AP$2:$AP$4001,0,'Per Line'!$AQ$2:$AQ$4001,0))</f>
        <v/>
      </c>
      <c r="S884" s="7">
        <f>IF($AA884="","",R884*Q884)</f>
        <v/>
      </c>
      <c r="T884">
        <f>IF($AA884="","",Settings!$C$6)</f>
        <v/>
      </c>
      <c r="U884" s="7">
        <f>IF($AA884="","",SUMIFS('Per Line'!$Y$2:$Y$4001,'Per Line'!$E$2:$E$4001,$B884,'Per Line'!$AP$2:$AP$4001,1,'Per Line'!$AQ$2:$AQ$4001,0))</f>
        <v/>
      </c>
      <c r="V884" s="7">
        <f>IF($AA884="","",U884*T884)</f>
        <v/>
      </c>
      <c r="W884" s="7">
        <f>IF($AA884="","",V884+S884)</f>
        <v/>
      </c>
      <c r="X884" s="7">
        <f>IF($AA884="","",Y884-W884)</f>
        <v/>
      </c>
      <c r="Y884" s="7">
        <f>IF($AA884="","",R884+U884+P884)</f>
        <v/>
      </c>
      <c r="Z884" s="7">
        <f>IF($AA884="","",Y884-W884-L884)</f>
        <v/>
      </c>
      <c r="AA884" s="13">
        <f>IF(ROWS($AA$2:$AA884)&lt;=MAX('Per Line'!$AO$2:$AO$4001),MATCH(ROWS($AA$2:$AA884),'Per Line'!$AO$2:$AO$4001,0),"")</f>
        <v/>
      </c>
      <c r="AB884" s="14">
        <f>IF($AA884="","",L884-K884*Y884/100)</f>
        <v/>
      </c>
    </row>
    <row r="885">
      <c r="A885" s="12" t="n"/>
      <c r="B885">
        <f>IF($AA885="","",INDEX('Per Line'!$E$2:$E$4001,$AA885)&amp;"")</f>
        <v/>
      </c>
      <c r="C885">
        <f>IF($AA885="","",INDEX('Per Line'!$A$2:$A$4001,$AA885)&amp;"")</f>
        <v/>
      </c>
      <c r="D885">
        <f>IF($AA885="","",INDEX('Per Line'!$D$2:$D$4001,$AA885)&amp;"")</f>
        <v/>
      </c>
      <c r="E885" s="11">
        <f>IF($AA885="","",INDEX('Per Line'!$G$2:$G$4001,$AA885))</f>
        <v/>
      </c>
      <c r="F885">
        <f>IF($AA885="","",INDEX('Per Line'!$H$2:$H$4001,$AA885)&amp;"")</f>
        <v/>
      </c>
      <c r="G885">
        <f>IF($AA885="","",INDEX('Per Line'!$I$2:$I$4001,$AA885)&amp;"")</f>
        <v/>
      </c>
      <c r="H885">
        <f>IF($AA885="","",INDEX('Per Line'!$J$2:$J$4001,$AA885)&amp;"")</f>
        <v/>
      </c>
      <c r="I885">
        <f>IF($AA885="","",INDEX('Per Line'!$K$2:$K$4001,$AA885)&amp;"")</f>
        <v/>
      </c>
      <c r="J885">
        <f>IF($AA885="","",INDEX('Per Line'!$L$2:$L$4001,$AA885)&amp;"")</f>
        <v/>
      </c>
      <c r="K885">
        <f>IF($AA885="","",INDEX('Per Line'!$P$2:$P$4001,$AA885))</f>
        <v/>
      </c>
      <c r="L885" s="7">
        <f>IF($AA885="","",IF(AND(ISNUMBER(N885),N885&gt;0,Y885&gt;N885),K885*N885/100+(Y885-N885),K885*Y885/100))</f>
        <v/>
      </c>
      <c r="M885">
        <f>IF($AA885="","",INDEX('Per Line'!$Z$2:$Z$4001,$AA885)&amp;"")</f>
        <v/>
      </c>
      <c r="N885">
        <f>IF($AA885="","",INDEX('Per Line'!$AG$2:$AG$4001,$AA885))</f>
        <v/>
      </c>
      <c r="O885">
        <f>IF($AA885="","",IF(AND(ISNUMBER(N885),N885&gt;0),Y885&gt;N885,FALSE))</f>
        <v/>
      </c>
      <c r="P885" s="7">
        <f>IF($AA885="","",SUMIFS('Per Line'!$Y$2:$Y$4001,'Per Line'!$E$2:$E$4001,$B885,'Per Line'!$AQ$2:$AQ$4001,1))</f>
        <v/>
      </c>
      <c r="Q885">
        <f>IF($AA885="","",Settings!$C$7)</f>
        <v/>
      </c>
      <c r="R885" s="7">
        <f>IF($AA885="","",SUMIFS('Per Line'!$Y$2:$Y$4001,'Per Line'!$E$2:$E$4001,$B885,'Per Line'!$AP$2:$AP$4001,0,'Per Line'!$AQ$2:$AQ$4001,0))</f>
        <v/>
      </c>
      <c r="S885" s="7">
        <f>IF($AA885="","",R885*Q885)</f>
        <v/>
      </c>
      <c r="T885">
        <f>IF($AA885="","",Settings!$C$6)</f>
        <v/>
      </c>
      <c r="U885" s="7">
        <f>IF($AA885="","",SUMIFS('Per Line'!$Y$2:$Y$4001,'Per Line'!$E$2:$E$4001,$B885,'Per Line'!$AP$2:$AP$4001,1,'Per Line'!$AQ$2:$AQ$4001,0))</f>
        <v/>
      </c>
      <c r="V885" s="7">
        <f>IF($AA885="","",U885*T885)</f>
        <v/>
      </c>
      <c r="W885" s="7">
        <f>IF($AA885="","",V885+S885)</f>
        <v/>
      </c>
      <c r="X885" s="7">
        <f>IF($AA885="","",Y885-W885)</f>
        <v/>
      </c>
      <c r="Y885" s="7">
        <f>IF($AA885="","",R885+U885+P885)</f>
        <v/>
      </c>
      <c r="Z885" s="7">
        <f>IF($AA885="","",Y885-W885-L885)</f>
        <v/>
      </c>
      <c r="AA885" s="13">
        <f>IF(ROWS($AA$2:$AA885)&lt;=MAX('Per Line'!$AO$2:$AO$4001),MATCH(ROWS($AA$2:$AA885),'Per Line'!$AO$2:$AO$4001,0),"")</f>
        <v/>
      </c>
      <c r="AB885" s="14">
        <f>IF($AA885="","",L885-K885*Y885/100)</f>
        <v/>
      </c>
    </row>
    <row r="886">
      <c r="A886" s="12" t="n"/>
      <c r="B886">
        <f>IF($AA886="","",INDEX('Per Line'!$E$2:$E$4001,$AA886)&amp;"")</f>
        <v/>
      </c>
      <c r="C886">
        <f>IF($AA886="","",INDEX('Per Line'!$A$2:$A$4001,$AA886)&amp;"")</f>
        <v/>
      </c>
      <c r="D886">
        <f>IF($AA886="","",INDEX('Per Line'!$D$2:$D$4001,$AA886)&amp;"")</f>
        <v/>
      </c>
      <c r="E886" s="11">
        <f>IF($AA886="","",INDEX('Per Line'!$G$2:$G$4001,$AA886))</f>
        <v/>
      </c>
      <c r="F886">
        <f>IF($AA886="","",INDEX('Per Line'!$H$2:$H$4001,$AA886)&amp;"")</f>
        <v/>
      </c>
      <c r="G886">
        <f>IF($AA886="","",INDEX('Per Line'!$I$2:$I$4001,$AA886)&amp;"")</f>
        <v/>
      </c>
      <c r="H886">
        <f>IF($AA886="","",INDEX('Per Line'!$J$2:$J$4001,$AA886)&amp;"")</f>
        <v/>
      </c>
      <c r="I886">
        <f>IF($AA886="","",INDEX('Per Line'!$K$2:$K$4001,$AA886)&amp;"")</f>
        <v/>
      </c>
      <c r="J886">
        <f>IF($AA886="","",INDEX('Per Line'!$L$2:$L$4001,$AA886)&amp;"")</f>
        <v/>
      </c>
      <c r="K886">
        <f>IF($AA886="","",INDEX('Per Line'!$P$2:$P$4001,$AA886))</f>
        <v/>
      </c>
      <c r="L886" s="7">
        <f>IF($AA886="","",IF(AND(ISNUMBER(N886),N886&gt;0,Y886&gt;N886),K886*N886/100+(Y886-N886),K886*Y886/100))</f>
        <v/>
      </c>
      <c r="M886">
        <f>IF($AA886="","",INDEX('Per Line'!$Z$2:$Z$4001,$AA886)&amp;"")</f>
        <v/>
      </c>
      <c r="N886">
        <f>IF($AA886="","",INDEX('Per Line'!$AG$2:$AG$4001,$AA886))</f>
        <v/>
      </c>
      <c r="O886">
        <f>IF($AA886="","",IF(AND(ISNUMBER(N886),N886&gt;0),Y886&gt;N886,FALSE))</f>
        <v/>
      </c>
      <c r="P886" s="7">
        <f>IF($AA886="","",SUMIFS('Per Line'!$Y$2:$Y$4001,'Per Line'!$E$2:$E$4001,$B886,'Per Line'!$AQ$2:$AQ$4001,1))</f>
        <v/>
      </c>
      <c r="Q886">
        <f>IF($AA886="","",Settings!$C$7)</f>
        <v/>
      </c>
      <c r="R886" s="7">
        <f>IF($AA886="","",SUMIFS('Per Line'!$Y$2:$Y$4001,'Per Line'!$E$2:$E$4001,$B886,'Per Line'!$AP$2:$AP$4001,0,'Per Line'!$AQ$2:$AQ$4001,0))</f>
        <v/>
      </c>
      <c r="S886" s="7">
        <f>IF($AA886="","",R886*Q886)</f>
        <v/>
      </c>
      <c r="T886">
        <f>IF($AA886="","",Settings!$C$6)</f>
        <v/>
      </c>
      <c r="U886" s="7">
        <f>IF($AA886="","",SUMIFS('Per Line'!$Y$2:$Y$4001,'Per Line'!$E$2:$E$4001,$B886,'Per Line'!$AP$2:$AP$4001,1,'Per Line'!$AQ$2:$AQ$4001,0))</f>
        <v/>
      </c>
      <c r="V886" s="7">
        <f>IF($AA886="","",U886*T886)</f>
        <v/>
      </c>
      <c r="W886" s="7">
        <f>IF($AA886="","",V886+S886)</f>
        <v/>
      </c>
      <c r="X886" s="7">
        <f>IF($AA886="","",Y886-W886)</f>
        <v/>
      </c>
      <c r="Y886" s="7">
        <f>IF($AA886="","",R886+U886+P886)</f>
        <v/>
      </c>
      <c r="Z886" s="7">
        <f>IF($AA886="","",Y886-W886-L886)</f>
        <v/>
      </c>
      <c r="AA886" s="13">
        <f>IF(ROWS($AA$2:$AA886)&lt;=MAX('Per Line'!$AO$2:$AO$4001),MATCH(ROWS($AA$2:$AA886),'Per Line'!$AO$2:$AO$4001,0),"")</f>
        <v/>
      </c>
      <c r="AB886" s="14">
        <f>IF($AA886="","",L886-K886*Y886/100)</f>
        <v/>
      </c>
    </row>
    <row r="887">
      <c r="A887" s="12" t="n"/>
      <c r="B887">
        <f>IF($AA887="","",INDEX('Per Line'!$E$2:$E$4001,$AA887)&amp;"")</f>
        <v/>
      </c>
      <c r="C887">
        <f>IF($AA887="","",INDEX('Per Line'!$A$2:$A$4001,$AA887)&amp;"")</f>
        <v/>
      </c>
      <c r="D887">
        <f>IF($AA887="","",INDEX('Per Line'!$D$2:$D$4001,$AA887)&amp;"")</f>
        <v/>
      </c>
      <c r="E887" s="11">
        <f>IF($AA887="","",INDEX('Per Line'!$G$2:$G$4001,$AA887))</f>
        <v/>
      </c>
      <c r="F887">
        <f>IF($AA887="","",INDEX('Per Line'!$H$2:$H$4001,$AA887)&amp;"")</f>
        <v/>
      </c>
      <c r="G887">
        <f>IF($AA887="","",INDEX('Per Line'!$I$2:$I$4001,$AA887)&amp;"")</f>
        <v/>
      </c>
      <c r="H887">
        <f>IF($AA887="","",INDEX('Per Line'!$J$2:$J$4001,$AA887)&amp;"")</f>
        <v/>
      </c>
      <c r="I887">
        <f>IF($AA887="","",INDEX('Per Line'!$K$2:$K$4001,$AA887)&amp;"")</f>
        <v/>
      </c>
      <c r="J887">
        <f>IF($AA887="","",INDEX('Per Line'!$L$2:$L$4001,$AA887)&amp;"")</f>
        <v/>
      </c>
      <c r="K887">
        <f>IF($AA887="","",INDEX('Per Line'!$P$2:$P$4001,$AA887))</f>
        <v/>
      </c>
      <c r="L887" s="7">
        <f>IF($AA887="","",IF(AND(ISNUMBER(N887),N887&gt;0,Y887&gt;N887),K887*N887/100+(Y887-N887),K887*Y887/100))</f>
        <v/>
      </c>
      <c r="M887">
        <f>IF($AA887="","",INDEX('Per Line'!$Z$2:$Z$4001,$AA887)&amp;"")</f>
        <v/>
      </c>
      <c r="N887">
        <f>IF($AA887="","",INDEX('Per Line'!$AG$2:$AG$4001,$AA887))</f>
        <v/>
      </c>
      <c r="O887">
        <f>IF($AA887="","",IF(AND(ISNUMBER(N887),N887&gt;0),Y887&gt;N887,FALSE))</f>
        <v/>
      </c>
      <c r="P887" s="7">
        <f>IF($AA887="","",SUMIFS('Per Line'!$Y$2:$Y$4001,'Per Line'!$E$2:$E$4001,$B887,'Per Line'!$AQ$2:$AQ$4001,1))</f>
        <v/>
      </c>
      <c r="Q887">
        <f>IF($AA887="","",Settings!$C$7)</f>
        <v/>
      </c>
      <c r="R887" s="7">
        <f>IF($AA887="","",SUMIFS('Per Line'!$Y$2:$Y$4001,'Per Line'!$E$2:$E$4001,$B887,'Per Line'!$AP$2:$AP$4001,0,'Per Line'!$AQ$2:$AQ$4001,0))</f>
        <v/>
      </c>
      <c r="S887" s="7">
        <f>IF($AA887="","",R887*Q887)</f>
        <v/>
      </c>
      <c r="T887">
        <f>IF($AA887="","",Settings!$C$6)</f>
        <v/>
      </c>
      <c r="U887" s="7">
        <f>IF($AA887="","",SUMIFS('Per Line'!$Y$2:$Y$4001,'Per Line'!$E$2:$E$4001,$B887,'Per Line'!$AP$2:$AP$4001,1,'Per Line'!$AQ$2:$AQ$4001,0))</f>
        <v/>
      </c>
      <c r="V887" s="7">
        <f>IF($AA887="","",U887*T887)</f>
        <v/>
      </c>
      <c r="W887" s="7">
        <f>IF($AA887="","",V887+S887)</f>
        <v/>
      </c>
      <c r="X887" s="7">
        <f>IF($AA887="","",Y887-W887)</f>
        <v/>
      </c>
      <c r="Y887" s="7">
        <f>IF($AA887="","",R887+U887+P887)</f>
        <v/>
      </c>
      <c r="Z887" s="7">
        <f>IF($AA887="","",Y887-W887-L887)</f>
        <v/>
      </c>
      <c r="AA887" s="13">
        <f>IF(ROWS($AA$2:$AA887)&lt;=MAX('Per Line'!$AO$2:$AO$4001),MATCH(ROWS($AA$2:$AA887),'Per Line'!$AO$2:$AO$4001,0),"")</f>
        <v/>
      </c>
      <c r="AB887" s="14">
        <f>IF($AA887="","",L887-K887*Y887/100)</f>
        <v/>
      </c>
    </row>
    <row r="888">
      <c r="A888" s="12" t="n"/>
      <c r="B888">
        <f>IF($AA888="","",INDEX('Per Line'!$E$2:$E$4001,$AA888)&amp;"")</f>
        <v/>
      </c>
      <c r="C888">
        <f>IF($AA888="","",INDEX('Per Line'!$A$2:$A$4001,$AA888)&amp;"")</f>
        <v/>
      </c>
      <c r="D888">
        <f>IF($AA888="","",INDEX('Per Line'!$D$2:$D$4001,$AA888)&amp;"")</f>
        <v/>
      </c>
      <c r="E888" s="11">
        <f>IF($AA888="","",INDEX('Per Line'!$G$2:$G$4001,$AA888))</f>
        <v/>
      </c>
      <c r="F888">
        <f>IF($AA888="","",INDEX('Per Line'!$H$2:$H$4001,$AA888)&amp;"")</f>
        <v/>
      </c>
      <c r="G888">
        <f>IF($AA888="","",INDEX('Per Line'!$I$2:$I$4001,$AA888)&amp;"")</f>
        <v/>
      </c>
      <c r="H888">
        <f>IF($AA888="","",INDEX('Per Line'!$J$2:$J$4001,$AA888)&amp;"")</f>
        <v/>
      </c>
      <c r="I888">
        <f>IF($AA888="","",INDEX('Per Line'!$K$2:$K$4001,$AA888)&amp;"")</f>
        <v/>
      </c>
      <c r="J888">
        <f>IF($AA888="","",INDEX('Per Line'!$L$2:$L$4001,$AA888)&amp;"")</f>
        <v/>
      </c>
      <c r="K888">
        <f>IF($AA888="","",INDEX('Per Line'!$P$2:$P$4001,$AA888))</f>
        <v/>
      </c>
      <c r="L888" s="7">
        <f>IF($AA888="","",IF(AND(ISNUMBER(N888),N888&gt;0,Y888&gt;N888),K888*N888/100+(Y888-N888),K888*Y888/100))</f>
        <v/>
      </c>
      <c r="M888">
        <f>IF($AA888="","",INDEX('Per Line'!$Z$2:$Z$4001,$AA888)&amp;"")</f>
        <v/>
      </c>
      <c r="N888">
        <f>IF($AA888="","",INDEX('Per Line'!$AG$2:$AG$4001,$AA888))</f>
        <v/>
      </c>
      <c r="O888">
        <f>IF($AA888="","",IF(AND(ISNUMBER(N888),N888&gt;0),Y888&gt;N888,FALSE))</f>
        <v/>
      </c>
      <c r="P888" s="7">
        <f>IF($AA888="","",SUMIFS('Per Line'!$Y$2:$Y$4001,'Per Line'!$E$2:$E$4001,$B888,'Per Line'!$AQ$2:$AQ$4001,1))</f>
        <v/>
      </c>
      <c r="Q888">
        <f>IF($AA888="","",Settings!$C$7)</f>
        <v/>
      </c>
      <c r="R888" s="7">
        <f>IF($AA888="","",SUMIFS('Per Line'!$Y$2:$Y$4001,'Per Line'!$E$2:$E$4001,$B888,'Per Line'!$AP$2:$AP$4001,0,'Per Line'!$AQ$2:$AQ$4001,0))</f>
        <v/>
      </c>
      <c r="S888" s="7">
        <f>IF($AA888="","",R888*Q888)</f>
        <v/>
      </c>
      <c r="T888">
        <f>IF($AA888="","",Settings!$C$6)</f>
        <v/>
      </c>
      <c r="U888" s="7">
        <f>IF($AA888="","",SUMIFS('Per Line'!$Y$2:$Y$4001,'Per Line'!$E$2:$E$4001,$B888,'Per Line'!$AP$2:$AP$4001,1,'Per Line'!$AQ$2:$AQ$4001,0))</f>
        <v/>
      </c>
      <c r="V888" s="7">
        <f>IF($AA888="","",U888*T888)</f>
        <v/>
      </c>
      <c r="W888" s="7">
        <f>IF($AA888="","",V888+S888)</f>
        <v/>
      </c>
      <c r="X888" s="7">
        <f>IF($AA888="","",Y888-W888)</f>
        <v/>
      </c>
      <c r="Y888" s="7">
        <f>IF($AA888="","",R888+U888+P888)</f>
        <v/>
      </c>
      <c r="Z888" s="7">
        <f>IF($AA888="","",Y888-W888-L888)</f>
        <v/>
      </c>
      <c r="AA888" s="13">
        <f>IF(ROWS($AA$2:$AA888)&lt;=MAX('Per Line'!$AO$2:$AO$4001),MATCH(ROWS($AA$2:$AA888),'Per Line'!$AO$2:$AO$4001,0),"")</f>
        <v/>
      </c>
      <c r="AB888" s="14">
        <f>IF($AA888="","",L888-K888*Y888/100)</f>
        <v/>
      </c>
    </row>
    <row r="889">
      <c r="A889" s="12" t="n"/>
      <c r="B889">
        <f>IF($AA889="","",INDEX('Per Line'!$E$2:$E$4001,$AA889)&amp;"")</f>
        <v/>
      </c>
      <c r="C889">
        <f>IF($AA889="","",INDEX('Per Line'!$A$2:$A$4001,$AA889)&amp;"")</f>
        <v/>
      </c>
      <c r="D889">
        <f>IF($AA889="","",INDEX('Per Line'!$D$2:$D$4001,$AA889)&amp;"")</f>
        <v/>
      </c>
      <c r="E889" s="11">
        <f>IF($AA889="","",INDEX('Per Line'!$G$2:$G$4001,$AA889))</f>
        <v/>
      </c>
      <c r="F889">
        <f>IF($AA889="","",INDEX('Per Line'!$H$2:$H$4001,$AA889)&amp;"")</f>
        <v/>
      </c>
      <c r="G889">
        <f>IF($AA889="","",INDEX('Per Line'!$I$2:$I$4001,$AA889)&amp;"")</f>
        <v/>
      </c>
      <c r="H889">
        <f>IF($AA889="","",INDEX('Per Line'!$J$2:$J$4001,$AA889)&amp;"")</f>
        <v/>
      </c>
      <c r="I889">
        <f>IF($AA889="","",INDEX('Per Line'!$K$2:$K$4001,$AA889)&amp;"")</f>
        <v/>
      </c>
      <c r="J889">
        <f>IF($AA889="","",INDEX('Per Line'!$L$2:$L$4001,$AA889)&amp;"")</f>
        <v/>
      </c>
      <c r="K889">
        <f>IF($AA889="","",INDEX('Per Line'!$P$2:$P$4001,$AA889))</f>
        <v/>
      </c>
      <c r="L889" s="7">
        <f>IF($AA889="","",IF(AND(ISNUMBER(N889),N889&gt;0,Y889&gt;N889),K889*N889/100+(Y889-N889),K889*Y889/100))</f>
        <v/>
      </c>
      <c r="M889">
        <f>IF($AA889="","",INDEX('Per Line'!$Z$2:$Z$4001,$AA889)&amp;"")</f>
        <v/>
      </c>
      <c r="N889">
        <f>IF($AA889="","",INDEX('Per Line'!$AG$2:$AG$4001,$AA889))</f>
        <v/>
      </c>
      <c r="O889">
        <f>IF($AA889="","",IF(AND(ISNUMBER(N889),N889&gt;0),Y889&gt;N889,FALSE))</f>
        <v/>
      </c>
      <c r="P889" s="7">
        <f>IF($AA889="","",SUMIFS('Per Line'!$Y$2:$Y$4001,'Per Line'!$E$2:$E$4001,$B889,'Per Line'!$AQ$2:$AQ$4001,1))</f>
        <v/>
      </c>
      <c r="Q889">
        <f>IF($AA889="","",Settings!$C$7)</f>
        <v/>
      </c>
      <c r="R889" s="7">
        <f>IF($AA889="","",SUMIFS('Per Line'!$Y$2:$Y$4001,'Per Line'!$E$2:$E$4001,$B889,'Per Line'!$AP$2:$AP$4001,0,'Per Line'!$AQ$2:$AQ$4001,0))</f>
        <v/>
      </c>
      <c r="S889" s="7">
        <f>IF($AA889="","",R889*Q889)</f>
        <v/>
      </c>
      <c r="T889">
        <f>IF($AA889="","",Settings!$C$6)</f>
        <v/>
      </c>
      <c r="U889" s="7">
        <f>IF($AA889="","",SUMIFS('Per Line'!$Y$2:$Y$4001,'Per Line'!$E$2:$E$4001,$B889,'Per Line'!$AP$2:$AP$4001,1,'Per Line'!$AQ$2:$AQ$4001,0))</f>
        <v/>
      </c>
      <c r="V889" s="7">
        <f>IF($AA889="","",U889*T889)</f>
        <v/>
      </c>
      <c r="W889" s="7">
        <f>IF($AA889="","",V889+S889)</f>
        <v/>
      </c>
      <c r="X889" s="7">
        <f>IF($AA889="","",Y889-W889)</f>
        <v/>
      </c>
      <c r="Y889" s="7">
        <f>IF($AA889="","",R889+U889+P889)</f>
        <v/>
      </c>
      <c r="Z889" s="7">
        <f>IF($AA889="","",Y889-W889-L889)</f>
        <v/>
      </c>
      <c r="AA889" s="13">
        <f>IF(ROWS($AA$2:$AA889)&lt;=MAX('Per Line'!$AO$2:$AO$4001),MATCH(ROWS($AA$2:$AA889),'Per Line'!$AO$2:$AO$4001,0),"")</f>
        <v/>
      </c>
      <c r="AB889" s="14">
        <f>IF($AA889="","",L889-K889*Y889/100)</f>
        <v/>
      </c>
    </row>
    <row r="890">
      <c r="A890" s="12" t="n"/>
      <c r="B890">
        <f>IF($AA890="","",INDEX('Per Line'!$E$2:$E$4001,$AA890)&amp;"")</f>
        <v/>
      </c>
      <c r="C890">
        <f>IF($AA890="","",INDEX('Per Line'!$A$2:$A$4001,$AA890)&amp;"")</f>
        <v/>
      </c>
      <c r="D890">
        <f>IF($AA890="","",INDEX('Per Line'!$D$2:$D$4001,$AA890)&amp;"")</f>
        <v/>
      </c>
      <c r="E890" s="11">
        <f>IF($AA890="","",INDEX('Per Line'!$G$2:$G$4001,$AA890))</f>
        <v/>
      </c>
      <c r="F890">
        <f>IF($AA890="","",INDEX('Per Line'!$H$2:$H$4001,$AA890)&amp;"")</f>
        <v/>
      </c>
      <c r="G890">
        <f>IF($AA890="","",INDEX('Per Line'!$I$2:$I$4001,$AA890)&amp;"")</f>
        <v/>
      </c>
      <c r="H890">
        <f>IF($AA890="","",INDEX('Per Line'!$J$2:$J$4001,$AA890)&amp;"")</f>
        <v/>
      </c>
      <c r="I890">
        <f>IF($AA890="","",INDEX('Per Line'!$K$2:$K$4001,$AA890)&amp;"")</f>
        <v/>
      </c>
      <c r="J890">
        <f>IF($AA890="","",INDEX('Per Line'!$L$2:$L$4001,$AA890)&amp;"")</f>
        <v/>
      </c>
      <c r="K890">
        <f>IF($AA890="","",INDEX('Per Line'!$P$2:$P$4001,$AA890))</f>
        <v/>
      </c>
      <c r="L890" s="7">
        <f>IF($AA890="","",IF(AND(ISNUMBER(N890),N890&gt;0,Y890&gt;N890),K890*N890/100+(Y890-N890),K890*Y890/100))</f>
        <v/>
      </c>
      <c r="M890">
        <f>IF($AA890="","",INDEX('Per Line'!$Z$2:$Z$4001,$AA890)&amp;"")</f>
        <v/>
      </c>
      <c r="N890">
        <f>IF($AA890="","",INDEX('Per Line'!$AG$2:$AG$4001,$AA890))</f>
        <v/>
      </c>
      <c r="O890">
        <f>IF($AA890="","",IF(AND(ISNUMBER(N890),N890&gt;0),Y890&gt;N890,FALSE))</f>
        <v/>
      </c>
      <c r="P890" s="7">
        <f>IF($AA890="","",SUMIFS('Per Line'!$Y$2:$Y$4001,'Per Line'!$E$2:$E$4001,$B890,'Per Line'!$AQ$2:$AQ$4001,1))</f>
        <v/>
      </c>
      <c r="Q890">
        <f>IF($AA890="","",Settings!$C$7)</f>
        <v/>
      </c>
      <c r="R890" s="7">
        <f>IF($AA890="","",SUMIFS('Per Line'!$Y$2:$Y$4001,'Per Line'!$E$2:$E$4001,$B890,'Per Line'!$AP$2:$AP$4001,0,'Per Line'!$AQ$2:$AQ$4001,0))</f>
        <v/>
      </c>
      <c r="S890" s="7">
        <f>IF($AA890="","",R890*Q890)</f>
        <v/>
      </c>
      <c r="T890">
        <f>IF($AA890="","",Settings!$C$6)</f>
        <v/>
      </c>
      <c r="U890" s="7">
        <f>IF($AA890="","",SUMIFS('Per Line'!$Y$2:$Y$4001,'Per Line'!$E$2:$E$4001,$B890,'Per Line'!$AP$2:$AP$4001,1,'Per Line'!$AQ$2:$AQ$4001,0))</f>
        <v/>
      </c>
      <c r="V890" s="7">
        <f>IF($AA890="","",U890*T890)</f>
        <v/>
      </c>
      <c r="W890" s="7">
        <f>IF($AA890="","",V890+S890)</f>
        <v/>
      </c>
      <c r="X890" s="7">
        <f>IF($AA890="","",Y890-W890)</f>
        <v/>
      </c>
      <c r="Y890" s="7">
        <f>IF($AA890="","",R890+U890+P890)</f>
        <v/>
      </c>
      <c r="Z890" s="7">
        <f>IF($AA890="","",Y890-W890-L890)</f>
        <v/>
      </c>
      <c r="AA890" s="13">
        <f>IF(ROWS($AA$2:$AA890)&lt;=MAX('Per Line'!$AO$2:$AO$4001),MATCH(ROWS($AA$2:$AA890),'Per Line'!$AO$2:$AO$4001,0),"")</f>
        <v/>
      </c>
      <c r="AB890" s="14">
        <f>IF($AA890="","",L890-K890*Y890/100)</f>
        <v/>
      </c>
    </row>
    <row r="891">
      <c r="A891" s="12" t="n"/>
      <c r="B891">
        <f>IF($AA891="","",INDEX('Per Line'!$E$2:$E$4001,$AA891)&amp;"")</f>
        <v/>
      </c>
      <c r="C891">
        <f>IF($AA891="","",INDEX('Per Line'!$A$2:$A$4001,$AA891)&amp;"")</f>
        <v/>
      </c>
      <c r="D891">
        <f>IF($AA891="","",INDEX('Per Line'!$D$2:$D$4001,$AA891)&amp;"")</f>
        <v/>
      </c>
      <c r="E891" s="11">
        <f>IF($AA891="","",INDEX('Per Line'!$G$2:$G$4001,$AA891))</f>
        <v/>
      </c>
      <c r="F891">
        <f>IF($AA891="","",INDEX('Per Line'!$H$2:$H$4001,$AA891)&amp;"")</f>
        <v/>
      </c>
      <c r="G891">
        <f>IF($AA891="","",INDEX('Per Line'!$I$2:$I$4001,$AA891)&amp;"")</f>
        <v/>
      </c>
      <c r="H891">
        <f>IF($AA891="","",INDEX('Per Line'!$J$2:$J$4001,$AA891)&amp;"")</f>
        <v/>
      </c>
      <c r="I891">
        <f>IF($AA891="","",INDEX('Per Line'!$K$2:$K$4001,$AA891)&amp;"")</f>
        <v/>
      </c>
      <c r="J891">
        <f>IF($AA891="","",INDEX('Per Line'!$L$2:$L$4001,$AA891)&amp;"")</f>
        <v/>
      </c>
      <c r="K891">
        <f>IF($AA891="","",INDEX('Per Line'!$P$2:$P$4001,$AA891))</f>
        <v/>
      </c>
      <c r="L891" s="7">
        <f>IF($AA891="","",IF(AND(ISNUMBER(N891),N891&gt;0,Y891&gt;N891),K891*N891/100+(Y891-N891),K891*Y891/100))</f>
        <v/>
      </c>
      <c r="M891">
        <f>IF($AA891="","",INDEX('Per Line'!$Z$2:$Z$4001,$AA891)&amp;"")</f>
        <v/>
      </c>
      <c r="N891">
        <f>IF($AA891="","",INDEX('Per Line'!$AG$2:$AG$4001,$AA891))</f>
        <v/>
      </c>
      <c r="O891">
        <f>IF($AA891="","",IF(AND(ISNUMBER(N891),N891&gt;0),Y891&gt;N891,FALSE))</f>
        <v/>
      </c>
      <c r="P891" s="7">
        <f>IF($AA891="","",SUMIFS('Per Line'!$Y$2:$Y$4001,'Per Line'!$E$2:$E$4001,$B891,'Per Line'!$AQ$2:$AQ$4001,1))</f>
        <v/>
      </c>
      <c r="Q891">
        <f>IF($AA891="","",Settings!$C$7)</f>
        <v/>
      </c>
      <c r="R891" s="7">
        <f>IF($AA891="","",SUMIFS('Per Line'!$Y$2:$Y$4001,'Per Line'!$E$2:$E$4001,$B891,'Per Line'!$AP$2:$AP$4001,0,'Per Line'!$AQ$2:$AQ$4001,0))</f>
        <v/>
      </c>
      <c r="S891" s="7">
        <f>IF($AA891="","",R891*Q891)</f>
        <v/>
      </c>
      <c r="T891">
        <f>IF($AA891="","",Settings!$C$6)</f>
        <v/>
      </c>
      <c r="U891" s="7">
        <f>IF($AA891="","",SUMIFS('Per Line'!$Y$2:$Y$4001,'Per Line'!$E$2:$E$4001,$B891,'Per Line'!$AP$2:$AP$4001,1,'Per Line'!$AQ$2:$AQ$4001,0))</f>
        <v/>
      </c>
      <c r="V891" s="7">
        <f>IF($AA891="","",U891*T891)</f>
        <v/>
      </c>
      <c r="W891" s="7">
        <f>IF($AA891="","",V891+S891)</f>
        <v/>
      </c>
      <c r="X891" s="7">
        <f>IF($AA891="","",Y891-W891)</f>
        <v/>
      </c>
      <c r="Y891" s="7">
        <f>IF($AA891="","",R891+U891+P891)</f>
        <v/>
      </c>
      <c r="Z891" s="7">
        <f>IF($AA891="","",Y891-W891-L891)</f>
        <v/>
      </c>
      <c r="AA891" s="13">
        <f>IF(ROWS($AA$2:$AA891)&lt;=MAX('Per Line'!$AO$2:$AO$4001),MATCH(ROWS($AA$2:$AA891),'Per Line'!$AO$2:$AO$4001,0),"")</f>
        <v/>
      </c>
      <c r="AB891" s="14">
        <f>IF($AA891="","",L891-K891*Y891/100)</f>
        <v/>
      </c>
    </row>
    <row r="892">
      <c r="A892" s="12" t="n"/>
      <c r="B892">
        <f>IF($AA892="","",INDEX('Per Line'!$E$2:$E$4001,$AA892)&amp;"")</f>
        <v/>
      </c>
      <c r="C892">
        <f>IF($AA892="","",INDEX('Per Line'!$A$2:$A$4001,$AA892)&amp;"")</f>
        <v/>
      </c>
      <c r="D892">
        <f>IF($AA892="","",INDEX('Per Line'!$D$2:$D$4001,$AA892)&amp;"")</f>
        <v/>
      </c>
      <c r="E892" s="11">
        <f>IF($AA892="","",INDEX('Per Line'!$G$2:$G$4001,$AA892))</f>
        <v/>
      </c>
      <c r="F892">
        <f>IF($AA892="","",INDEX('Per Line'!$H$2:$H$4001,$AA892)&amp;"")</f>
        <v/>
      </c>
      <c r="G892">
        <f>IF($AA892="","",INDEX('Per Line'!$I$2:$I$4001,$AA892)&amp;"")</f>
        <v/>
      </c>
      <c r="H892">
        <f>IF($AA892="","",INDEX('Per Line'!$J$2:$J$4001,$AA892)&amp;"")</f>
        <v/>
      </c>
      <c r="I892">
        <f>IF($AA892="","",INDEX('Per Line'!$K$2:$K$4001,$AA892)&amp;"")</f>
        <v/>
      </c>
      <c r="J892">
        <f>IF($AA892="","",INDEX('Per Line'!$L$2:$L$4001,$AA892)&amp;"")</f>
        <v/>
      </c>
      <c r="K892">
        <f>IF($AA892="","",INDEX('Per Line'!$P$2:$P$4001,$AA892))</f>
        <v/>
      </c>
      <c r="L892" s="7">
        <f>IF($AA892="","",IF(AND(ISNUMBER(N892),N892&gt;0,Y892&gt;N892),K892*N892/100+(Y892-N892),K892*Y892/100))</f>
        <v/>
      </c>
      <c r="M892">
        <f>IF($AA892="","",INDEX('Per Line'!$Z$2:$Z$4001,$AA892)&amp;"")</f>
        <v/>
      </c>
      <c r="N892">
        <f>IF($AA892="","",INDEX('Per Line'!$AG$2:$AG$4001,$AA892))</f>
        <v/>
      </c>
      <c r="O892">
        <f>IF($AA892="","",IF(AND(ISNUMBER(N892),N892&gt;0),Y892&gt;N892,FALSE))</f>
        <v/>
      </c>
      <c r="P892" s="7">
        <f>IF($AA892="","",SUMIFS('Per Line'!$Y$2:$Y$4001,'Per Line'!$E$2:$E$4001,$B892,'Per Line'!$AQ$2:$AQ$4001,1))</f>
        <v/>
      </c>
      <c r="Q892">
        <f>IF($AA892="","",Settings!$C$7)</f>
        <v/>
      </c>
      <c r="R892" s="7">
        <f>IF($AA892="","",SUMIFS('Per Line'!$Y$2:$Y$4001,'Per Line'!$E$2:$E$4001,$B892,'Per Line'!$AP$2:$AP$4001,0,'Per Line'!$AQ$2:$AQ$4001,0))</f>
        <v/>
      </c>
      <c r="S892" s="7">
        <f>IF($AA892="","",R892*Q892)</f>
        <v/>
      </c>
      <c r="T892">
        <f>IF($AA892="","",Settings!$C$6)</f>
        <v/>
      </c>
      <c r="U892" s="7">
        <f>IF($AA892="","",SUMIFS('Per Line'!$Y$2:$Y$4001,'Per Line'!$E$2:$E$4001,$B892,'Per Line'!$AP$2:$AP$4001,1,'Per Line'!$AQ$2:$AQ$4001,0))</f>
        <v/>
      </c>
      <c r="V892" s="7">
        <f>IF($AA892="","",U892*T892)</f>
        <v/>
      </c>
      <c r="W892" s="7">
        <f>IF($AA892="","",V892+S892)</f>
        <v/>
      </c>
      <c r="X892" s="7">
        <f>IF($AA892="","",Y892-W892)</f>
        <v/>
      </c>
      <c r="Y892" s="7">
        <f>IF($AA892="","",R892+U892+P892)</f>
        <v/>
      </c>
      <c r="Z892" s="7">
        <f>IF($AA892="","",Y892-W892-L892)</f>
        <v/>
      </c>
      <c r="AA892" s="13">
        <f>IF(ROWS($AA$2:$AA892)&lt;=MAX('Per Line'!$AO$2:$AO$4001),MATCH(ROWS($AA$2:$AA892),'Per Line'!$AO$2:$AO$4001,0),"")</f>
        <v/>
      </c>
      <c r="AB892" s="14">
        <f>IF($AA892="","",L892-K892*Y892/100)</f>
        <v/>
      </c>
    </row>
    <row r="893">
      <c r="A893" s="12" t="n"/>
      <c r="B893">
        <f>IF($AA893="","",INDEX('Per Line'!$E$2:$E$4001,$AA893)&amp;"")</f>
        <v/>
      </c>
      <c r="C893">
        <f>IF($AA893="","",INDEX('Per Line'!$A$2:$A$4001,$AA893)&amp;"")</f>
        <v/>
      </c>
      <c r="D893">
        <f>IF($AA893="","",INDEX('Per Line'!$D$2:$D$4001,$AA893)&amp;"")</f>
        <v/>
      </c>
      <c r="E893" s="11">
        <f>IF($AA893="","",INDEX('Per Line'!$G$2:$G$4001,$AA893))</f>
        <v/>
      </c>
      <c r="F893">
        <f>IF($AA893="","",INDEX('Per Line'!$H$2:$H$4001,$AA893)&amp;"")</f>
        <v/>
      </c>
      <c r="G893">
        <f>IF($AA893="","",INDEX('Per Line'!$I$2:$I$4001,$AA893)&amp;"")</f>
        <v/>
      </c>
      <c r="H893">
        <f>IF($AA893="","",INDEX('Per Line'!$J$2:$J$4001,$AA893)&amp;"")</f>
        <v/>
      </c>
      <c r="I893">
        <f>IF($AA893="","",INDEX('Per Line'!$K$2:$K$4001,$AA893)&amp;"")</f>
        <v/>
      </c>
      <c r="J893">
        <f>IF($AA893="","",INDEX('Per Line'!$L$2:$L$4001,$AA893)&amp;"")</f>
        <v/>
      </c>
      <c r="K893">
        <f>IF($AA893="","",INDEX('Per Line'!$P$2:$P$4001,$AA893))</f>
        <v/>
      </c>
      <c r="L893" s="7">
        <f>IF($AA893="","",IF(AND(ISNUMBER(N893),N893&gt;0,Y893&gt;N893),K893*N893/100+(Y893-N893),K893*Y893/100))</f>
        <v/>
      </c>
      <c r="M893">
        <f>IF($AA893="","",INDEX('Per Line'!$Z$2:$Z$4001,$AA893)&amp;"")</f>
        <v/>
      </c>
      <c r="N893">
        <f>IF($AA893="","",INDEX('Per Line'!$AG$2:$AG$4001,$AA893))</f>
        <v/>
      </c>
      <c r="O893">
        <f>IF($AA893="","",IF(AND(ISNUMBER(N893),N893&gt;0),Y893&gt;N893,FALSE))</f>
        <v/>
      </c>
      <c r="P893" s="7">
        <f>IF($AA893="","",SUMIFS('Per Line'!$Y$2:$Y$4001,'Per Line'!$E$2:$E$4001,$B893,'Per Line'!$AQ$2:$AQ$4001,1))</f>
        <v/>
      </c>
      <c r="Q893">
        <f>IF($AA893="","",Settings!$C$7)</f>
        <v/>
      </c>
      <c r="R893" s="7">
        <f>IF($AA893="","",SUMIFS('Per Line'!$Y$2:$Y$4001,'Per Line'!$E$2:$E$4001,$B893,'Per Line'!$AP$2:$AP$4001,0,'Per Line'!$AQ$2:$AQ$4001,0))</f>
        <v/>
      </c>
      <c r="S893" s="7">
        <f>IF($AA893="","",R893*Q893)</f>
        <v/>
      </c>
      <c r="T893">
        <f>IF($AA893="","",Settings!$C$6)</f>
        <v/>
      </c>
      <c r="U893" s="7">
        <f>IF($AA893="","",SUMIFS('Per Line'!$Y$2:$Y$4001,'Per Line'!$E$2:$E$4001,$B893,'Per Line'!$AP$2:$AP$4001,1,'Per Line'!$AQ$2:$AQ$4001,0))</f>
        <v/>
      </c>
      <c r="V893" s="7">
        <f>IF($AA893="","",U893*T893)</f>
        <v/>
      </c>
      <c r="W893" s="7">
        <f>IF($AA893="","",V893+S893)</f>
        <v/>
      </c>
      <c r="X893" s="7">
        <f>IF($AA893="","",Y893-W893)</f>
        <v/>
      </c>
      <c r="Y893" s="7">
        <f>IF($AA893="","",R893+U893+P893)</f>
        <v/>
      </c>
      <c r="Z893" s="7">
        <f>IF($AA893="","",Y893-W893-L893)</f>
        <v/>
      </c>
      <c r="AA893" s="13">
        <f>IF(ROWS($AA$2:$AA893)&lt;=MAX('Per Line'!$AO$2:$AO$4001),MATCH(ROWS($AA$2:$AA893),'Per Line'!$AO$2:$AO$4001,0),"")</f>
        <v/>
      </c>
      <c r="AB893" s="14">
        <f>IF($AA893="","",L893-K893*Y893/100)</f>
        <v/>
      </c>
    </row>
    <row r="894">
      <c r="A894" s="12" t="n"/>
      <c r="B894">
        <f>IF($AA894="","",INDEX('Per Line'!$E$2:$E$4001,$AA894)&amp;"")</f>
        <v/>
      </c>
      <c r="C894">
        <f>IF($AA894="","",INDEX('Per Line'!$A$2:$A$4001,$AA894)&amp;"")</f>
        <v/>
      </c>
      <c r="D894">
        <f>IF($AA894="","",INDEX('Per Line'!$D$2:$D$4001,$AA894)&amp;"")</f>
        <v/>
      </c>
      <c r="E894" s="11">
        <f>IF($AA894="","",INDEX('Per Line'!$G$2:$G$4001,$AA894))</f>
        <v/>
      </c>
      <c r="F894">
        <f>IF($AA894="","",INDEX('Per Line'!$H$2:$H$4001,$AA894)&amp;"")</f>
        <v/>
      </c>
      <c r="G894">
        <f>IF($AA894="","",INDEX('Per Line'!$I$2:$I$4001,$AA894)&amp;"")</f>
        <v/>
      </c>
      <c r="H894">
        <f>IF($AA894="","",INDEX('Per Line'!$J$2:$J$4001,$AA894)&amp;"")</f>
        <v/>
      </c>
      <c r="I894">
        <f>IF($AA894="","",INDEX('Per Line'!$K$2:$K$4001,$AA894)&amp;"")</f>
        <v/>
      </c>
      <c r="J894">
        <f>IF($AA894="","",INDEX('Per Line'!$L$2:$L$4001,$AA894)&amp;"")</f>
        <v/>
      </c>
      <c r="K894">
        <f>IF($AA894="","",INDEX('Per Line'!$P$2:$P$4001,$AA894))</f>
        <v/>
      </c>
      <c r="L894" s="7">
        <f>IF($AA894="","",IF(AND(ISNUMBER(N894),N894&gt;0,Y894&gt;N894),K894*N894/100+(Y894-N894),K894*Y894/100))</f>
        <v/>
      </c>
      <c r="M894">
        <f>IF($AA894="","",INDEX('Per Line'!$Z$2:$Z$4001,$AA894)&amp;"")</f>
        <v/>
      </c>
      <c r="N894">
        <f>IF($AA894="","",INDEX('Per Line'!$AG$2:$AG$4001,$AA894))</f>
        <v/>
      </c>
      <c r="O894">
        <f>IF($AA894="","",IF(AND(ISNUMBER(N894),N894&gt;0),Y894&gt;N894,FALSE))</f>
        <v/>
      </c>
      <c r="P894" s="7">
        <f>IF($AA894="","",SUMIFS('Per Line'!$Y$2:$Y$4001,'Per Line'!$E$2:$E$4001,$B894,'Per Line'!$AQ$2:$AQ$4001,1))</f>
        <v/>
      </c>
      <c r="Q894">
        <f>IF($AA894="","",Settings!$C$7)</f>
        <v/>
      </c>
      <c r="R894" s="7">
        <f>IF($AA894="","",SUMIFS('Per Line'!$Y$2:$Y$4001,'Per Line'!$E$2:$E$4001,$B894,'Per Line'!$AP$2:$AP$4001,0,'Per Line'!$AQ$2:$AQ$4001,0))</f>
        <v/>
      </c>
      <c r="S894" s="7">
        <f>IF($AA894="","",R894*Q894)</f>
        <v/>
      </c>
      <c r="T894">
        <f>IF($AA894="","",Settings!$C$6)</f>
        <v/>
      </c>
      <c r="U894" s="7">
        <f>IF($AA894="","",SUMIFS('Per Line'!$Y$2:$Y$4001,'Per Line'!$E$2:$E$4001,$B894,'Per Line'!$AP$2:$AP$4001,1,'Per Line'!$AQ$2:$AQ$4001,0))</f>
        <v/>
      </c>
      <c r="V894" s="7">
        <f>IF($AA894="","",U894*T894)</f>
        <v/>
      </c>
      <c r="W894" s="7">
        <f>IF($AA894="","",V894+S894)</f>
        <v/>
      </c>
      <c r="X894" s="7">
        <f>IF($AA894="","",Y894-W894)</f>
        <v/>
      </c>
      <c r="Y894" s="7">
        <f>IF($AA894="","",R894+U894+P894)</f>
        <v/>
      </c>
      <c r="Z894" s="7">
        <f>IF($AA894="","",Y894-W894-L894)</f>
        <v/>
      </c>
      <c r="AA894" s="13">
        <f>IF(ROWS($AA$2:$AA894)&lt;=MAX('Per Line'!$AO$2:$AO$4001),MATCH(ROWS($AA$2:$AA894),'Per Line'!$AO$2:$AO$4001,0),"")</f>
        <v/>
      </c>
      <c r="AB894" s="14">
        <f>IF($AA894="","",L894-K894*Y894/100)</f>
        <v/>
      </c>
    </row>
    <row r="895">
      <c r="A895" s="12" t="n"/>
      <c r="B895">
        <f>IF($AA895="","",INDEX('Per Line'!$E$2:$E$4001,$AA895)&amp;"")</f>
        <v/>
      </c>
      <c r="C895">
        <f>IF($AA895="","",INDEX('Per Line'!$A$2:$A$4001,$AA895)&amp;"")</f>
        <v/>
      </c>
      <c r="D895">
        <f>IF($AA895="","",INDEX('Per Line'!$D$2:$D$4001,$AA895)&amp;"")</f>
        <v/>
      </c>
      <c r="E895" s="11">
        <f>IF($AA895="","",INDEX('Per Line'!$G$2:$G$4001,$AA895))</f>
        <v/>
      </c>
      <c r="F895">
        <f>IF($AA895="","",INDEX('Per Line'!$H$2:$H$4001,$AA895)&amp;"")</f>
        <v/>
      </c>
      <c r="G895">
        <f>IF($AA895="","",INDEX('Per Line'!$I$2:$I$4001,$AA895)&amp;"")</f>
        <v/>
      </c>
      <c r="H895">
        <f>IF($AA895="","",INDEX('Per Line'!$J$2:$J$4001,$AA895)&amp;"")</f>
        <v/>
      </c>
      <c r="I895">
        <f>IF($AA895="","",INDEX('Per Line'!$K$2:$K$4001,$AA895)&amp;"")</f>
        <v/>
      </c>
      <c r="J895">
        <f>IF($AA895="","",INDEX('Per Line'!$L$2:$L$4001,$AA895)&amp;"")</f>
        <v/>
      </c>
      <c r="K895">
        <f>IF($AA895="","",INDEX('Per Line'!$P$2:$P$4001,$AA895))</f>
        <v/>
      </c>
      <c r="L895" s="7">
        <f>IF($AA895="","",IF(AND(ISNUMBER(N895),N895&gt;0,Y895&gt;N895),K895*N895/100+(Y895-N895),K895*Y895/100))</f>
        <v/>
      </c>
      <c r="M895">
        <f>IF($AA895="","",INDEX('Per Line'!$Z$2:$Z$4001,$AA895)&amp;"")</f>
        <v/>
      </c>
      <c r="N895">
        <f>IF($AA895="","",INDEX('Per Line'!$AG$2:$AG$4001,$AA895))</f>
        <v/>
      </c>
      <c r="O895">
        <f>IF($AA895="","",IF(AND(ISNUMBER(N895),N895&gt;0),Y895&gt;N895,FALSE))</f>
        <v/>
      </c>
      <c r="P895" s="7">
        <f>IF($AA895="","",SUMIFS('Per Line'!$Y$2:$Y$4001,'Per Line'!$E$2:$E$4001,$B895,'Per Line'!$AQ$2:$AQ$4001,1))</f>
        <v/>
      </c>
      <c r="Q895">
        <f>IF($AA895="","",Settings!$C$7)</f>
        <v/>
      </c>
      <c r="R895" s="7">
        <f>IF($AA895="","",SUMIFS('Per Line'!$Y$2:$Y$4001,'Per Line'!$E$2:$E$4001,$B895,'Per Line'!$AP$2:$AP$4001,0,'Per Line'!$AQ$2:$AQ$4001,0))</f>
        <v/>
      </c>
      <c r="S895" s="7">
        <f>IF($AA895="","",R895*Q895)</f>
        <v/>
      </c>
      <c r="T895">
        <f>IF($AA895="","",Settings!$C$6)</f>
        <v/>
      </c>
      <c r="U895" s="7">
        <f>IF($AA895="","",SUMIFS('Per Line'!$Y$2:$Y$4001,'Per Line'!$E$2:$E$4001,$B895,'Per Line'!$AP$2:$AP$4001,1,'Per Line'!$AQ$2:$AQ$4001,0))</f>
        <v/>
      </c>
      <c r="V895" s="7">
        <f>IF($AA895="","",U895*T895)</f>
        <v/>
      </c>
      <c r="W895" s="7">
        <f>IF($AA895="","",V895+S895)</f>
        <v/>
      </c>
      <c r="X895" s="7">
        <f>IF($AA895="","",Y895-W895)</f>
        <v/>
      </c>
      <c r="Y895" s="7">
        <f>IF($AA895="","",R895+U895+P895)</f>
        <v/>
      </c>
      <c r="Z895" s="7">
        <f>IF($AA895="","",Y895-W895-L895)</f>
        <v/>
      </c>
      <c r="AA895" s="13">
        <f>IF(ROWS($AA$2:$AA895)&lt;=MAX('Per Line'!$AO$2:$AO$4001),MATCH(ROWS($AA$2:$AA895),'Per Line'!$AO$2:$AO$4001,0),"")</f>
        <v/>
      </c>
      <c r="AB895" s="14">
        <f>IF($AA895="","",L895-K895*Y895/100)</f>
        <v/>
      </c>
    </row>
    <row r="896">
      <c r="A896" s="12" t="n"/>
      <c r="B896">
        <f>IF($AA896="","",INDEX('Per Line'!$E$2:$E$4001,$AA896)&amp;"")</f>
        <v/>
      </c>
      <c r="C896">
        <f>IF($AA896="","",INDEX('Per Line'!$A$2:$A$4001,$AA896)&amp;"")</f>
        <v/>
      </c>
      <c r="D896">
        <f>IF($AA896="","",INDEX('Per Line'!$D$2:$D$4001,$AA896)&amp;"")</f>
        <v/>
      </c>
      <c r="E896" s="11">
        <f>IF($AA896="","",INDEX('Per Line'!$G$2:$G$4001,$AA896))</f>
        <v/>
      </c>
      <c r="F896">
        <f>IF($AA896="","",INDEX('Per Line'!$H$2:$H$4001,$AA896)&amp;"")</f>
        <v/>
      </c>
      <c r="G896">
        <f>IF($AA896="","",INDEX('Per Line'!$I$2:$I$4001,$AA896)&amp;"")</f>
        <v/>
      </c>
      <c r="H896">
        <f>IF($AA896="","",INDEX('Per Line'!$J$2:$J$4001,$AA896)&amp;"")</f>
        <v/>
      </c>
      <c r="I896">
        <f>IF($AA896="","",INDEX('Per Line'!$K$2:$K$4001,$AA896)&amp;"")</f>
        <v/>
      </c>
      <c r="J896">
        <f>IF($AA896="","",INDEX('Per Line'!$L$2:$L$4001,$AA896)&amp;"")</f>
        <v/>
      </c>
      <c r="K896">
        <f>IF($AA896="","",INDEX('Per Line'!$P$2:$P$4001,$AA896))</f>
        <v/>
      </c>
      <c r="L896" s="7">
        <f>IF($AA896="","",IF(AND(ISNUMBER(N896),N896&gt;0,Y896&gt;N896),K896*N896/100+(Y896-N896),K896*Y896/100))</f>
        <v/>
      </c>
      <c r="M896">
        <f>IF($AA896="","",INDEX('Per Line'!$Z$2:$Z$4001,$AA896)&amp;"")</f>
        <v/>
      </c>
      <c r="N896">
        <f>IF($AA896="","",INDEX('Per Line'!$AG$2:$AG$4001,$AA896))</f>
        <v/>
      </c>
      <c r="O896">
        <f>IF($AA896="","",IF(AND(ISNUMBER(N896),N896&gt;0),Y896&gt;N896,FALSE))</f>
        <v/>
      </c>
      <c r="P896" s="7">
        <f>IF($AA896="","",SUMIFS('Per Line'!$Y$2:$Y$4001,'Per Line'!$E$2:$E$4001,$B896,'Per Line'!$AQ$2:$AQ$4001,1))</f>
        <v/>
      </c>
      <c r="Q896">
        <f>IF($AA896="","",Settings!$C$7)</f>
        <v/>
      </c>
      <c r="R896" s="7">
        <f>IF($AA896="","",SUMIFS('Per Line'!$Y$2:$Y$4001,'Per Line'!$E$2:$E$4001,$B896,'Per Line'!$AP$2:$AP$4001,0,'Per Line'!$AQ$2:$AQ$4001,0))</f>
        <v/>
      </c>
      <c r="S896" s="7">
        <f>IF($AA896="","",R896*Q896)</f>
        <v/>
      </c>
      <c r="T896">
        <f>IF($AA896="","",Settings!$C$6)</f>
        <v/>
      </c>
      <c r="U896" s="7">
        <f>IF($AA896="","",SUMIFS('Per Line'!$Y$2:$Y$4001,'Per Line'!$E$2:$E$4001,$B896,'Per Line'!$AP$2:$AP$4001,1,'Per Line'!$AQ$2:$AQ$4001,0))</f>
        <v/>
      </c>
      <c r="V896" s="7">
        <f>IF($AA896="","",U896*T896)</f>
        <v/>
      </c>
      <c r="W896" s="7">
        <f>IF($AA896="","",V896+S896)</f>
        <v/>
      </c>
      <c r="X896" s="7">
        <f>IF($AA896="","",Y896-W896)</f>
        <v/>
      </c>
      <c r="Y896" s="7">
        <f>IF($AA896="","",R896+U896+P896)</f>
        <v/>
      </c>
      <c r="Z896" s="7">
        <f>IF($AA896="","",Y896-W896-L896)</f>
        <v/>
      </c>
      <c r="AA896" s="13">
        <f>IF(ROWS($AA$2:$AA896)&lt;=MAX('Per Line'!$AO$2:$AO$4001),MATCH(ROWS($AA$2:$AA896),'Per Line'!$AO$2:$AO$4001,0),"")</f>
        <v/>
      </c>
      <c r="AB896" s="14">
        <f>IF($AA896="","",L896-K896*Y896/100)</f>
        <v/>
      </c>
    </row>
    <row r="897">
      <c r="A897" s="12" t="n"/>
      <c r="B897">
        <f>IF($AA897="","",INDEX('Per Line'!$E$2:$E$4001,$AA897)&amp;"")</f>
        <v/>
      </c>
      <c r="C897">
        <f>IF($AA897="","",INDEX('Per Line'!$A$2:$A$4001,$AA897)&amp;"")</f>
        <v/>
      </c>
      <c r="D897">
        <f>IF($AA897="","",INDEX('Per Line'!$D$2:$D$4001,$AA897)&amp;"")</f>
        <v/>
      </c>
      <c r="E897" s="11">
        <f>IF($AA897="","",INDEX('Per Line'!$G$2:$G$4001,$AA897))</f>
        <v/>
      </c>
      <c r="F897">
        <f>IF($AA897="","",INDEX('Per Line'!$H$2:$H$4001,$AA897)&amp;"")</f>
        <v/>
      </c>
      <c r="G897">
        <f>IF($AA897="","",INDEX('Per Line'!$I$2:$I$4001,$AA897)&amp;"")</f>
        <v/>
      </c>
      <c r="H897">
        <f>IF($AA897="","",INDEX('Per Line'!$J$2:$J$4001,$AA897)&amp;"")</f>
        <v/>
      </c>
      <c r="I897">
        <f>IF($AA897="","",INDEX('Per Line'!$K$2:$K$4001,$AA897)&amp;"")</f>
        <v/>
      </c>
      <c r="J897">
        <f>IF($AA897="","",INDEX('Per Line'!$L$2:$L$4001,$AA897)&amp;"")</f>
        <v/>
      </c>
      <c r="K897">
        <f>IF($AA897="","",INDEX('Per Line'!$P$2:$P$4001,$AA897))</f>
        <v/>
      </c>
      <c r="L897" s="7">
        <f>IF($AA897="","",IF(AND(ISNUMBER(N897),N897&gt;0,Y897&gt;N897),K897*N897/100+(Y897-N897),K897*Y897/100))</f>
        <v/>
      </c>
      <c r="M897">
        <f>IF($AA897="","",INDEX('Per Line'!$Z$2:$Z$4001,$AA897)&amp;"")</f>
        <v/>
      </c>
      <c r="N897">
        <f>IF($AA897="","",INDEX('Per Line'!$AG$2:$AG$4001,$AA897))</f>
        <v/>
      </c>
      <c r="O897">
        <f>IF($AA897="","",IF(AND(ISNUMBER(N897),N897&gt;0),Y897&gt;N897,FALSE))</f>
        <v/>
      </c>
      <c r="P897" s="7">
        <f>IF($AA897="","",SUMIFS('Per Line'!$Y$2:$Y$4001,'Per Line'!$E$2:$E$4001,$B897,'Per Line'!$AQ$2:$AQ$4001,1))</f>
        <v/>
      </c>
      <c r="Q897">
        <f>IF($AA897="","",Settings!$C$7)</f>
        <v/>
      </c>
      <c r="R897" s="7">
        <f>IF($AA897="","",SUMIFS('Per Line'!$Y$2:$Y$4001,'Per Line'!$E$2:$E$4001,$B897,'Per Line'!$AP$2:$AP$4001,0,'Per Line'!$AQ$2:$AQ$4001,0))</f>
        <v/>
      </c>
      <c r="S897" s="7">
        <f>IF($AA897="","",R897*Q897)</f>
        <v/>
      </c>
      <c r="T897">
        <f>IF($AA897="","",Settings!$C$6)</f>
        <v/>
      </c>
      <c r="U897" s="7">
        <f>IF($AA897="","",SUMIFS('Per Line'!$Y$2:$Y$4001,'Per Line'!$E$2:$E$4001,$B897,'Per Line'!$AP$2:$AP$4001,1,'Per Line'!$AQ$2:$AQ$4001,0))</f>
        <v/>
      </c>
      <c r="V897" s="7">
        <f>IF($AA897="","",U897*T897)</f>
        <v/>
      </c>
      <c r="W897" s="7">
        <f>IF($AA897="","",V897+S897)</f>
        <v/>
      </c>
      <c r="X897" s="7">
        <f>IF($AA897="","",Y897-W897)</f>
        <v/>
      </c>
      <c r="Y897" s="7">
        <f>IF($AA897="","",R897+U897+P897)</f>
        <v/>
      </c>
      <c r="Z897" s="7">
        <f>IF($AA897="","",Y897-W897-L897)</f>
        <v/>
      </c>
      <c r="AA897" s="13">
        <f>IF(ROWS($AA$2:$AA897)&lt;=MAX('Per Line'!$AO$2:$AO$4001),MATCH(ROWS($AA$2:$AA897),'Per Line'!$AO$2:$AO$4001,0),"")</f>
        <v/>
      </c>
      <c r="AB897" s="14">
        <f>IF($AA897="","",L897-K897*Y897/100)</f>
        <v/>
      </c>
    </row>
    <row r="898">
      <c r="A898" s="12" t="n"/>
      <c r="B898">
        <f>IF($AA898="","",INDEX('Per Line'!$E$2:$E$4001,$AA898)&amp;"")</f>
        <v/>
      </c>
      <c r="C898">
        <f>IF($AA898="","",INDEX('Per Line'!$A$2:$A$4001,$AA898)&amp;"")</f>
        <v/>
      </c>
      <c r="D898">
        <f>IF($AA898="","",INDEX('Per Line'!$D$2:$D$4001,$AA898)&amp;"")</f>
        <v/>
      </c>
      <c r="E898" s="11">
        <f>IF($AA898="","",INDEX('Per Line'!$G$2:$G$4001,$AA898))</f>
        <v/>
      </c>
      <c r="F898">
        <f>IF($AA898="","",INDEX('Per Line'!$H$2:$H$4001,$AA898)&amp;"")</f>
        <v/>
      </c>
      <c r="G898">
        <f>IF($AA898="","",INDEX('Per Line'!$I$2:$I$4001,$AA898)&amp;"")</f>
        <v/>
      </c>
      <c r="H898">
        <f>IF($AA898="","",INDEX('Per Line'!$J$2:$J$4001,$AA898)&amp;"")</f>
        <v/>
      </c>
      <c r="I898">
        <f>IF($AA898="","",INDEX('Per Line'!$K$2:$K$4001,$AA898)&amp;"")</f>
        <v/>
      </c>
      <c r="J898">
        <f>IF($AA898="","",INDEX('Per Line'!$L$2:$L$4001,$AA898)&amp;"")</f>
        <v/>
      </c>
      <c r="K898">
        <f>IF($AA898="","",INDEX('Per Line'!$P$2:$P$4001,$AA898))</f>
        <v/>
      </c>
      <c r="L898" s="7">
        <f>IF($AA898="","",IF(AND(ISNUMBER(N898),N898&gt;0,Y898&gt;N898),K898*N898/100+(Y898-N898),K898*Y898/100))</f>
        <v/>
      </c>
      <c r="M898">
        <f>IF($AA898="","",INDEX('Per Line'!$Z$2:$Z$4001,$AA898)&amp;"")</f>
        <v/>
      </c>
      <c r="N898">
        <f>IF($AA898="","",INDEX('Per Line'!$AG$2:$AG$4001,$AA898))</f>
        <v/>
      </c>
      <c r="O898">
        <f>IF($AA898="","",IF(AND(ISNUMBER(N898),N898&gt;0),Y898&gt;N898,FALSE))</f>
        <v/>
      </c>
      <c r="P898" s="7">
        <f>IF($AA898="","",SUMIFS('Per Line'!$Y$2:$Y$4001,'Per Line'!$E$2:$E$4001,$B898,'Per Line'!$AQ$2:$AQ$4001,1))</f>
        <v/>
      </c>
      <c r="Q898">
        <f>IF($AA898="","",Settings!$C$7)</f>
        <v/>
      </c>
      <c r="R898" s="7">
        <f>IF($AA898="","",SUMIFS('Per Line'!$Y$2:$Y$4001,'Per Line'!$E$2:$E$4001,$B898,'Per Line'!$AP$2:$AP$4001,0,'Per Line'!$AQ$2:$AQ$4001,0))</f>
        <v/>
      </c>
      <c r="S898" s="7">
        <f>IF($AA898="","",R898*Q898)</f>
        <v/>
      </c>
      <c r="T898">
        <f>IF($AA898="","",Settings!$C$6)</f>
        <v/>
      </c>
      <c r="U898" s="7">
        <f>IF($AA898="","",SUMIFS('Per Line'!$Y$2:$Y$4001,'Per Line'!$E$2:$E$4001,$B898,'Per Line'!$AP$2:$AP$4001,1,'Per Line'!$AQ$2:$AQ$4001,0))</f>
        <v/>
      </c>
      <c r="V898" s="7">
        <f>IF($AA898="","",U898*T898)</f>
        <v/>
      </c>
      <c r="W898" s="7">
        <f>IF($AA898="","",V898+S898)</f>
        <v/>
      </c>
      <c r="X898" s="7">
        <f>IF($AA898="","",Y898-W898)</f>
        <v/>
      </c>
      <c r="Y898" s="7">
        <f>IF($AA898="","",R898+U898+P898)</f>
        <v/>
      </c>
      <c r="Z898" s="7">
        <f>IF($AA898="","",Y898-W898-L898)</f>
        <v/>
      </c>
      <c r="AA898" s="13">
        <f>IF(ROWS($AA$2:$AA898)&lt;=MAX('Per Line'!$AO$2:$AO$4001),MATCH(ROWS($AA$2:$AA898),'Per Line'!$AO$2:$AO$4001,0),"")</f>
        <v/>
      </c>
      <c r="AB898" s="14">
        <f>IF($AA898="","",L898-K898*Y898/100)</f>
        <v/>
      </c>
    </row>
    <row r="899">
      <c r="A899" s="12" t="n"/>
      <c r="B899">
        <f>IF($AA899="","",INDEX('Per Line'!$E$2:$E$4001,$AA899)&amp;"")</f>
        <v/>
      </c>
      <c r="C899">
        <f>IF($AA899="","",INDEX('Per Line'!$A$2:$A$4001,$AA899)&amp;"")</f>
        <v/>
      </c>
      <c r="D899">
        <f>IF($AA899="","",INDEX('Per Line'!$D$2:$D$4001,$AA899)&amp;"")</f>
        <v/>
      </c>
      <c r="E899" s="11">
        <f>IF($AA899="","",INDEX('Per Line'!$G$2:$G$4001,$AA899))</f>
        <v/>
      </c>
      <c r="F899">
        <f>IF($AA899="","",INDEX('Per Line'!$H$2:$H$4001,$AA899)&amp;"")</f>
        <v/>
      </c>
      <c r="G899">
        <f>IF($AA899="","",INDEX('Per Line'!$I$2:$I$4001,$AA899)&amp;"")</f>
        <v/>
      </c>
      <c r="H899">
        <f>IF($AA899="","",INDEX('Per Line'!$J$2:$J$4001,$AA899)&amp;"")</f>
        <v/>
      </c>
      <c r="I899">
        <f>IF($AA899="","",INDEX('Per Line'!$K$2:$K$4001,$AA899)&amp;"")</f>
        <v/>
      </c>
      <c r="J899">
        <f>IF($AA899="","",INDEX('Per Line'!$L$2:$L$4001,$AA899)&amp;"")</f>
        <v/>
      </c>
      <c r="K899">
        <f>IF($AA899="","",INDEX('Per Line'!$P$2:$P$4001,$AA899))</f>
        <v/>
      </c>
      <c r="L899" s="7">
        <f>IF($AA899="","",IF(AND(ISNUMBER(N899),N899&gt;0,Y899&gt;N899),K899*N899/100+(Y899-N899),K899*Y899/100))</f>
        <v/>
      </c>
      <c r="M899">
        <f>IF($AA899="","",INDEX('Per Line'!$Z$2:$Z$4001,$AA899)&amp;"")</f>
        <v/>
      </c>
      <c r="N899">
        <f>IF($AA899="","",INDEX('Per Line'!$AG$2:$AG$4001,$AA899))</f>
        <v/>
      </c>
      <c r="O899">
        <f>IF($AA899="","",IF(AND(ISNUMBER(N899),N899&gt;0),Y899&gt;N899,FALSE))</f>
        <v/>
      </c>
      <c r="P899" s="7">
        <f>IF($AA899="","",SUMIFS('Per Line'!$Y$2:$Y$4001,'Per Line'!$E$2:$E$4001,$B899,'Per Line'!$AQ$2:$AQ$4001,1))</f>
        <v/>
      </c>
      <c r="Q899">
        <f>IF($AA899="","",Settings!$C$7)</f>
        <v/>
      </c>
      <c r="R899" s="7">
        <f>IF($AA899="","",SUMIFS('Per Line'!$Y$2:$Y$4001,'Per Line'!$E$2:$E$4001,$B899,'Per Line'!$AP$2:$AP$4001,0,'Per Line'!$AQ$2:$AQ$4001,0))</f>
        <v/>
      </c>
      <c r="S899" s="7">
        <f>IF($AA899="","",R899*Q899)</f>
        <v/>
      </c>
      <c r="T899">
        <f>IF($AA899="","",Settings!$C$6)</f>
        <v/>
      </c>
      <c r="U899" s="7">
        <f>IF($AA899="","",SUMIFS('Per Line'!$Y$2:$Y$4001,'Per Line'!$E$2:$E$4001,$B899,'Per Line'!$AP$2:$AP$4001,1,'Per Line'!$AQ$2:$AQ$4001,0))</f>
        <v/>
      </c>
      <c r="V899" s="7">
        <f>IF($AA899="","",U899*T899)</f>
        <v/>
      </c>
      <c r="W899" s="7">
        <f>IF($AA899="","",V899+S899)</f>
        <v/>
      </c>
      <c r="X899" s="7">
        <f>IF($AA899="","",Y899-W899)</f>
        <v/>
      </c>
      <c r="Y899" s="7">
        <f>IF($AA899="","",R899+U899+P899)</f>
        <v/>
      </c>
      <c r="Z899" s="7">
        <f>IF($AA899="","",Y899-W899-L899)</f>
        <v/>
      </c>
      <c r="AA899" s="13">
        <f>IF(ROWS($AA$2:$AA899)&lt;=MAX('Per Line'!$AO$2:$AO$4001),MATCH(ROWS($AA$2:$AA899),'Per Line'!$AO$2:$AO$4001,0),"")</f>
        <v/>
      </c>
      <c r="AB899" s="14">
        <f>IF($AA899="","",L899-K899*Y899/100)</f>
        <v/>
      </c>
    </row>
    <row r="900">
      <c r="A900" s="12" t="n"/>
      <c r="B900">
        <f>IF($AA900="","",INDEX('Per Line'!$E$2:$E$4001,$AA900)&amp;"")</f>
        <v/>
      </c>
      <c r="C900">
        <f>IF($AA900="","",INDEX('Per Line'!$A$2:$A$4001,$AA900)&amp;"")</f>
        <v/>
      </c>
      <c r="D900">
        <f>IF($AA900="","",INDEX('Per Line'!$D$2:$D$4001,$AA900)&amp;"")</f>
        <v/>
      </c>
      <c r="E900" s="11">
        <f>IF($AA900="","",INDEX('Per Line'!$G$2:$G$4001,$AA900))</f>
        <v/>
      </c>
      <c r="F900">
        <f>IF($AA900="","",INDEX('Per Line'!$H$2:$H$4001,$AA900)&amp;"")</f>
        <v/>
      </c>
      <c r="G900">
        <f>IF($AA900="","",INDEX('Per Line'!$I$2:$I$4001,$AA900)&amp;"")</f>
        <v/>
      </c>
      <c r="H900">
        <f>IF($AA900="","",INDEX('Per Line'!$J$2:$J$4001,$AA900)&amp;"")</f>
        <v/>
      </c>
      <c r="I900">
        <f>IF($AA900="","",INDEX('Per Line'!$K$2:$K$4001,$AA900)&amp;"")</f>
        <v/>
      </c>
      <c r="J900">
        <f>IF($AA900="","",INDEX('Per Line'!$L$2:$L$4001,$AA900)&amp;"")</f>
        <v/>
      </c>
      <c r="K900">
        <f>IF($AA900="","",INDEX('Per Line'!$P$2:$P$4001,$AA900))</f>
        <v/>
      </c>
      <c r="L900" s="7">
        <f>IF($AA900="","",IF(AND(ISNUMBER(N900),N900&gt;0,Y900&gt;N900),K900*N900/100+(Y900-N900),K900*Y900/100))</f>
        <v/>
      </c>
      <c r="M900">
        <f>IF($AA900="","",INDEX('Per Line'!$Z$2:$Z$4001,$AA900)&amp;"")</f>
        <v/>
      </c>
      <c r="N900">
        <f>IF($AA900="","",INDEX('Per Line'!$AG$2:$AG$4001,$AA900))</f>
        <v/>
      </c>
      <c r="O900">
        <f>IF($AA900="","",IF(AND(ISNUMBER(N900),N900&gt;0),Y900&gt;N900,FALSE))</f>
        <v/>
      </c>
      <c r="P900" s="7">
        <f>IF($AA900="","",SUMIFS('Per Line'!$Y$2:$Y$4001,'Per Line'!$E$2:$E$4001,$B900,'Per Line'!$AQ$2:$AQ$4001,1))</f>
        <v/>
      </c>
      <c r="Q900">
        <f>IF($AA900="","",Settings!$C$7)</f>
        <v/>
      </c>
      <c r="R900" s="7">
        <f>IF($AA900="","",SUMIFS('Per Line'!$Y$2:$Y$4001,'Per Line'!$E$2:$E$4001,$B900,'Per Line'!$AP$2:$AP$4001,0,'Per Line'!$AQ$2:$AQ$4001,0))</f>
        <v/>
      </c>
      <c r="S900" s="7">
        <f>IF($AA900="","",R900*Q900)</f>
        <v/>
      </c>
      <c r="T900">
        <f>IF($AA900="","",Settings!$C$6)</f>
        <v/>
      </c>
      <c r="U900" s="7">
        <f>IF($AA900="","",SUMIFS('Per Line'!$Y$2:$Y$4001,'Per Line'!$E$2:$E$4001,$B900,'Per Line'!$AP$2:$AP$4001,1,'Per Line'!$AQ$2:$AQ$4001,0))</f>
        <v/>
      </c>
      <c r="V900" s="7">
        <f>IF($AA900="","",U900*T900)</f>
        <v/>
      </c>
      <c r="W900" s="7">
        <f>IF($AA900="","",V900+S900)</f>
        <v/>
      </c>
      <c r="X900" s="7">
        <f>IF($AA900="","",Y900-W900)</f>
        <v/>
      </c>
      <c r="Y900" s="7">
        <f>IF($AA900="","",R900+U900+P900)</f>
        <v/>
      </c>
      <c r="Z900" s="7">
        <f>IF($AA900="","",Y900-W900-L900)</f>
        <v/>
      </c>
      <c r="AA900" s="13">
        <f>IF(ROWS($AA$2:$AA900)&lt;=MAX('Per Line'!$AO$2:$AO$4001),MATCH(ROWS($AA$2:$AA900),'Per Line'!$AO$2:$AO$4001,0),"")</f>
        <v/>
      </c>
      <c r="AB900" s="14">
        <f>IF($AA900="","",L900-K900*Y900/100)</f>
        <v/>
      </c>
    </row>
    <row r="901">
      <c r="A901" s="12" t="n"/>
      <c r="B901">
        <f>IF($AA901="","",INDEX('Per Line'!$E$2:$E$4001,$AA901)&amp;"")</f>
        <v/>
      </c>
      <c r="C901">
        <f>IF($AA901="","",INDEX('Per Line'!$A$2:$A$4001,$AA901)&amp;"")</f>
        <v/>
      </c>
      <c r="D901">
        <f>IF($AA901="","",INDEX('Per Line'!$D$2:$D$4001,$AA901)&amp;"")</f>
        <v/>
      </c>
      <c r="E901" s="11">
        <f>IF($AA901="","",INDEX('Per Line'!$G$2:$G$4001,$AA901))</f>
        <v/>
      </c>
      <c r="F901">
        <f>IF($AA901="","",INDEX('Per Line'!$H$2:$H$4001,$AA901)&amp;"")</f>
        <v/>
      </c>
      <c r="G901">
        <f>IF($AA901="","",INDEX('Per Line'!$I$2:$I$4001,$AA901)&amp;"")</f>
        <v/>
      </c>
      <c r="H901">
        <f>IF($AA901="","",INDEX('Per Line'!$J$2:$J$4001,$AA901)&amp;"")</f>
        <v/>
      </c>
      <c r="I901">
        <f>IF($AA901="","",INDEX('Per Line'!$K$2:$K$4001,$AA901)&amp;"")</f>
        <v/>
      </c>
      <c r="J901">
        <f>IF($AA901="","",INDEX('Per Line'!$L$2:$L$4001,$AA901)&amp;"")</f>
        <v/>
      </c>
      <c r="K901">
        <f>IF($AA901="","",INDEX('Per Line'!$P$2:$P$4001,$AA901))</f>
        <v/>
      </c>
      <c r="L901" s="7">
        <f>IF($AA901="","",IF(AND(ISNUMBER(N901),N901&gt;0,Y901&gt;N901),K901*N901/100+(Y901-N901),K901*Y901/100))</f>
        <v/>
      </c>
      <c r="M901">
        <f>IF($AA901="","",INDEX('Per Line'!$Z$2:$Z$4001,$AA901)&amp;"")</f>
        <v/>
      </c>
      <c r="N901">
        <f>IF($AA901="","",INDEX('Per Line'!$AG$2:$AG$4001,$AA901))</f>
        <v/>
      </c>
      <c r="O901">
        <f>IF($AA901="","",IF(AND(ISNUMBER(N901),N901&gt;0),Y901&gt;N901,FALSE))</f>
        <v/>
      </c>
      <c r="P901" s="7">
        <f>IF($AA901="","",SUMIFS('Per Line'!$Y$2:$Y$4001,'Per Line'!$E$2:$E$4001,$B901,'Per Line'!$AQ$2:$AQ$4001,1))</f>
        <v/>
      </c>
      <c r="Q901">
        <f>IF($AA901="","",Settings!$C$7)</f>
        <v/>
      </c>
      <c r="R901" s="7">
        <f>IF($AA901="","",SUMIFS('Per Line'!$Y$2:$Y$4001,'Per Line'!$E$2:$E$4001,$B901,'Per Line'!$AP$2:$AP$4001,0,'Per Line'!$AQ$2:$AQ$4001,0))</f>
        <v/>
      </c>
      <c r="S901" s="7">
        <f>IF($AA901="","",R901*Q901)</f>
        <v/>
      </c>
      <c r="T901">
        <f>IF($AA901="","",Settings!$C$6)</f>
        <v/>
      </c>
      <c r="U901" s="7">
        <f>IF($AA901="","",SUMIFS('Per Line'!$Y$2:$Y$4001,'Per Line'!$E$2:$E$4001,$B901,'Per Line'!$AP$2:$AP$4001,1,'Per Line'!$AQ$2:$AQ$4001,0))</f>
        <v/>
      </c>
      <c r="V901" s="7">
        <f>IF($AA901="","",U901*T901)</f>
        <v/>
      </c>
      <c r="W901" s="7">
        <f>IF($AA901="","",V901+S901)</f>
        <v/>
      </c>
      <c r="X901" s="7">
        <f>IF($AA901="","",Y901-W901)</f>
        <v/>
      </c>
      <c r="Y901" s="7">
        <f>IF($AA901="","",R901+U901+P901)</f>
        <v/>
      </c>
      <c r="Z901" s="7">
        <f>IF($AA901="","",Y901-W901-L901)</f>
        <v/>
      </c>
      <c r="AA901" s="13">
        <f>IF(ROWS($AA$2:$AA901)&lt;=MAX('Per Line'!$AO$2:$AO$4001),MATCH(ROWS($AA$2:$AA901),'Per Line'!$AO$2:$AO$4001,0),"")</f>
        <v/>
      </c>
      <c r="AB901" s="14">
        <f>IF($AA901="","",L901-K901*Y901/100)</f>
        <v/>
      </c>
    </row>
    <row r="902">
      <c r="A902" s="12" t="n"/>
      <c r="B902">
        <f>IF($AA902="","",INDEX('Per Line'!$E$2:$E$4001,$AA902)&amp;"")</f>
        <v/>
      </c>
      <c r="C902">
        <f>IF($AA902="","",INDEX('Per Line'!$A$2:$A$4001,$AA902)&amp;"")</f>
        <v/>
      </c>
      <c r="D902">
        <f>IF($AA902="","",INDEX('Per Line'!$D$2:$D$4001,$AA902)&amp;"")</f>
        <v/>
      </c>
      <c r="E902" s="11">
        <f>IF($AA902="","",INDEX('Per Line'!$G$2:$G$4001,$AA902))</f>
        <v/>
      </c>
      <c r="F902">
        <f>IF($AA902="","",INDEX('Per Line'!$H$2:$H$4001,$AA902)&amp;"")</f>
        <v/>
      </c>
      <c r="G902">
        <f>IF($AA902="","",INDEX('Per Line'!$I$2:$I$4001,$AA902)&amp;"")</f>
        <v/>
      </c>
      <c r="H902">
        <f>IF($AA902="","",INDEX('Per Line'!$J$2:$J$4001,$AA902)&amp;"")</f>
        <v/>
      </c>
      <c r="I902">
        <f>IF($AA902="","",INDEX('Per Line'!$K$2:$K$4001,$AA902)&amp;"")</f>
        <v/>
      </c>
      <c r="J902">
        <f>IF($AA902="","",INDEX('Per Line'!$L$2:$L$4001,$AA902)&amp;"")</f>
        <v/>
      </c>
      <c r="K902">
        <f>IF($AA902="","",INDEX('Per Line'!$P$2:$P$4001,$AA902))</f>
        <v/>
      </c>
      <c r="L902" s="7">
        <f>IF($AA902="","",IF(AND(ISNUMBER(N902),N902&gt;0,Y902&gt;N902),K902*N902/100+(Y902-N902),K902*Y902/100))</f>
        <v/>
      </c>
      <c r="M902">
        <f>IF($AA902="","",INDEX('Per Line'!$Z$2:$Z$4001,$AA902)&amp;"")</f>
        <v/>
      </c>
      <c r="N902">
        <f>IF($AA902="","",INDEX('Per Line'!$AG$2:$AG$4001,$AA902))</f>
        <v/>
      </c>
      <c r="O902">
        <f>IF($AA902="","",IF(AND(ISNUMBER(N902),N902&gt;0),Y902&gt;N902,FALSE))</f>
        <v/>
      </c>
      <c r="P902" s="7">
        <f>IF($AA902="","",SUMIFS('Per Line'!$Y$2:$Y$4001,'Per Line'!$E$2:$E$4001,$B902,'Per Line'!$AQ$2:$AQ$4001,1))</f>
        <v/>
      </c>
      <c r="Q902">
        <f>IF($AA902="","",Settings!$C$7)</f>
        <v/>
      </c>
      <c r="R902" s="7">
        <f>IF($AA902="","",SUMIFS('Per Line'!$Y$2:$Y$4001,'Per Line'!$E$2:$E$4001,$B902,'Per Line'!$AP$2:$AP$4001,0,'Per Line'!$AQ$2:$AQ$4001,0))</f>
        <v/>
      </c>
      <c r="S902" s="7">
        <f>IF($AA902="","",R902*Q902)</f>
        <v/>
      </c>
      <c r="T902">
        <f>IF($AA902="","",Settings!$C$6)</f>
        <v/>
      </c>
      <c r="U902" s="7">
        <f>IF($AA902="","",SUMIFS('Per Line'!$Y$2:$Y$4001,'Per Line'!$E$2:$E$4001,$B902,'Per Line'!$AP$2:$AP$4001,1,'Per Line'!$AQ$2:$AQ$4001,0))</f>
        <v/>
      </c>
      <c r="V902" s="7">
        <f>IF($AA902="","",U902*T902)</f>
        <v/>
      </c>
      <c r="W902" s="7">
        <f>IF($AA902="","",V902+S902)</f>
        <v/>
      </c>
      <c r="X902" s="7">
        <f>IF($AA902="","",Y902-W902)</f>
        <v/>
      </c>
      <c r="Y902" s="7">
        <f>IF($AA902="","",R902+U902+P902)</f>
        <v/>
      </c>
      <c r="Z902" s="7">
        <f>IF($AA902="","",Y902-W902-L902)</f>
        <v/>
      </c>
      <c r="AA902" s="13">
        <f>IF(ROWS($AA$2:$AA902)&lt;=MAX('Per Line'!$AO$2:$AO$4001),MATCH(ROWS($AA$2:$AA902),'Per Line'!$AO$2:$AO$4001,0),"")</f>
        <v/>
      </c>
      <c r="AB902" s="14">
        <f>IF($AA902="","",L902-K902*Y902/100)</f>
        <v/>
      </c>
    </row>
    <row r="903">
      <c r="A903" s="12" t="n"/>
      <c r="B903">
        <f>IF($AA903="","",INDEX('Per Line'!$E$2:$E$4001,$AA903)&amp;"")</f>
        <v/>
      </c>
      <c r="C903">
        <f>IF($AA903="","",INDEX('Per Line'!$A$2:$A$4001,$AA903)&amp;"")</f>
        <v/>
      </c>
      <c r="D903">
        <f>IF($AA903="","",INDEX('Per Line'!$D$2:$D$4001,$AA903)&amp;"")</f>
        <v/>
      </c>
      <c r="E903" s="11">
        <f>IF($AA903="","",INDEX('Per Line'!$G$2:$G$4001,$AA903))</f>
        <v/>
      </c>
      <c r="F903">
        <f>IF($AA903="","",INDEX('Per Line'!$H$2:$H$4001,$AA903)&amp;"")</f>
        <v/>
      </c>
      <c r="G903">
        <f>IF($AA903="","",INDEX('Per Line'!$I$2:$I$4001,$AA903)&amp;"")</f>
        <v/>
      </c>
      <c r="H903">
        <f>IF($AA903="","",INDEX('Per Line'!$J$2:$J$4001,$AA903)&amp;"")</f>
        <v/>
      </c>
      <c r="I903">
        <f>IF($AA903="","",INDEX('Per Line'!$K$2:$K$4001,$AA903)&amp;"")</f>
        <v/>
      </c>
      <c r="J903">
        <f>IF($AA903="","",INDEX('Per Line'!$L$2:$L$4001,$AA903)&amp;"")</f>
        <v/>
      </c>
      <c r="K903">
        <f>IF($AA903="","",INDEX('Per Line'!$P$2:$P$4001,$AA903))</f>
        <v/>
      </c>
      <c r="L903" s="7">
        <f>IF($AA903="","",IF(AND(ISNUMBER(N903),N903&gt;0,Y903&gt;N903),K903*N903/100+(Y903-N903),K903*Y903/100))</f>
        <v/>
      </c>
      <c r="M903">
        <f>IF($AA903="","",INDEX('Per Line'!$Z$2:$Z$4001,$AA903)&amp;"")</f>
        <v/>
      </c>
      <c r="N903">
        <f>IF($AA903="","",INDEX('Per Line'!$AG$2:$AG$4001,$AA903))</f>
        <v/>
      </c>
      <c r="O903">
        <f>IF($AA903="","",IF(AND(ISNUMBER(N903),N903&gt;0),Y903&gt;N903,FALSE))</f>
        <v/>
      </c>
      <c r="P903" s="7">
        <f>IF($AA903="","",SUMIFS('Per Line'!$Y$2:$Y$4001,'Per Line'!$E$2:$E$4001,$B903,'Per Line'!$AQ$2:$AQ$4001,1))</f>
        <v/>
      </c>
      <c r="Q903">
        <f>IF($AA903="","",Settings!$C$7)</f>
        <v/>
      </c>
      <c r="R903" s="7">
        <f>IF($AA903="","",SUMIFS('Per Line'!$Y$2:$Y$4001,'Per Line'!$E$2:$E$4001,$B903,'Per Line'!$AP$2:$AP$4001,0,'Per Line'!$AQ$2:$AQ$4001,0))</f>
        <v/>
      </c>
      <c r="S903" s="7">
        <f>IF($AA903="","",R903*Q903)</f>
        <v/>
      </c>
      <c r="T903">
        <f>IF($AA903="","",Settings!$C$6)</f>
        <v/>
      </c>
      <c r="U903" s="7">
        <f>IF($AA903="","",SUMIFS('Per Line'!$Y$2:$Y$4001,'Per Line'!$E$2:$E$4001,$B903,'Per Line'!$AP$2:$AP$4001,1,'Per Line'!$AQ$2:$AQ$4001,0))</f>
        <v/>
      </c>
      <c r="V903" s="7">
        <f>IF($AA903="","",U903*T903)</f>
        <v/>
      </c>
      <c r="W903" s="7">
        <f>IF($AA903="","",V903+S903)</f>
        <v/>
      </c>
      <c r="X903" s="7">
        <f>IF($AA903="","",Y903-W903)</f>
        <v/>
      </c>
      <c r="Y903" s="7">
        <f>IF($AA903="","",R903+U903+P903)</f>
        <v/>
      </c>
      <c r="Z903" s="7">
        <f>IF($AA903="","",Y903-W903-L903)</f>
        <v/>
      </c>
      <c r="AA903" s="13">
        <f>IF(ROWS($AA$2:$AA903)&lt;=MAX('Per Line'!$AO$2:$AO$4001),MATCH(ROWS($AA$2:$AA903),'Per Line'!$AO$2:$AO$4001,0),"")</f>
        <v/>
      </c>
      <c r="AB903" s="14">
        <f>IF($AA903="","",L903-K903*Y903/100)</f>
        <v/>
      </c>
    </row>
    <row r="904">
      <c r="A904" s="12" t="n"/>
      <c r="B904">
        <f>IF($AA904="","",INDEX('Per Line'!$E$2:$E$4001,$AA904)&amp;"")</f>
        <v/>
      </c>
      <c r="C904">
        <f>IF($AA904="","",INDEX('Per Line'!$A$2:$A$4001,$AA904)&amp;"")</f>
        <v/>
      </c>
      <c r="D904">
        <f>IF($AA904="","",INDEX('Per Line'!$D$2:$D$4001,$AA904)&amp;"")</f>
        <v/>
      </c>
      <c r="E904" s="11">
        <f>IF($AA904="","",INDEX('Per Line'!$G$2:$G$4001,$AA904))</f>
        <v/>
      </c>
      <c r="F904">
        <f>IF($AA904="","",INDEX('Per Line'!$H$2:$H$4001,$AA904)&amp;"")</f>
        <v/>
      </c>
      <c r="G904">
        <f>IF($AA904="","",INDEX('Per Line'!$I$2:$I$4001,$AA904)&amp;"")</f>
        <v/>
      </c>
      <c r="H904">
        <f>IF($AA904="","",INDEX('Per Line'!$J$2:$J$4001,$AA904)&amp;"")</f>
        <v/>
      </c>
      <c r="I904">
        <f>IF($AA904="","",INDEX('Per Line'!$K$2:$K$4001,$AA904)&amp;"")</f>
        <v/>
      </c>
      <c r="J904">
        <f>IF($AA904="","",INDEX('Per Line'!$L$2:$L$4001,$AA904)&amp;"")</f>
        <v/>
      </c>
      <c r="K904">
        <f>IF($AA904="","",INDEX('Per Line'!$P$2:$P$4001,$AA904))</f>
        <v/>
      </c>
      <c r="L904" s="7">
        <f>IF($AA904="","",IF(AND(ISNUMBER(N904),N904&gt;0,Y904&gt;N904),K904*N904/100+(Y904-N904),K904*Y904/100))</f>
        <v/>
      </c>
      <c r="M904">
        <f>IF($AA904="","",INDEX('Per Line'!$Z$2:$Z$4001,$AA904)&amp;"")</f>
        <v/>
      </c>
      <c r="N904">
        <f>IF($AA904="","",INDEX('Per Line'!$AG$2:$AG$4001,$AA904))</f>
        <v/>
      </c>
      <c r="O904">
        <f>IF($AA904="","",IF(AND(ISNUMBER(N904),N904&gt;0),Y904&gt;N904,FALSE))</f>
        <v/>
      </c>
      <c r="P904" s="7">
        <f>IF($AA904="","",SUMIFS('Per Line'!$Y$2:$Y$4001,'Per Line'!$E$2:$E$4001,$B904,'Per Line'!$AQ$2:$AQ$4001,1))</f>
        <v/>
      </c>
      <c r="Q904">
        <f>IF($AA904="","",Settings!$C$7)</f>
        <v/>
      </c>
      <c r="R904" s="7">
        <f>IF($AA904="","",SUMIFS('Per Line'!$Y$2:$Y$4001,'Per Line'!$E$2:$E$4001,$B904,'Per Line'!$AP$2:$AP$4001,0,'Per Line'!$AQ$2:$AQ$4001,0))</f>
        <v/>
      </c>
      <c r="S904" s="7">
        <f>IF($AA904="","",R904*Q904)</f>
        <v/>
      </c>
      <c r="T904">
        <f>IF($AA904="","",Settings!$C$6)</f>
        <v/>
      </c>
      <c r="U904" s="7">
        <f>IF($AA904="","",SUMIFS('Per Line'!$Y$2:$Y$4001,'Per Line'!$E$2:$E$4001,$B904,'Per Line'!$AP$2:$AP$4001,1,'Per Line'!$AQ$2:$AQ$4001,0))</f>
        <v/>
      </c>
      <c r="V904" s="7">
        <f>IF($AA904="","",U904*T904)</f>
        <v/>
      </c>
      <c r="W904" s="7">
        <f>IF($AA904="","",V904+S904)</f>
        <v/>
      </c>
      <c r="X904" s="7">
        <f>IF($AA904="","",Y904-W904)</f>
        <v/>
      </c>
      <c r="Y904" s="7">
        <f>IF($AA904="","",R904+U904+P904)</f>
        <v/>
      </c>
      <c r="Z904" s="7">
        <f>IF($AA904="","",Y904-W904-L904)</f>
        <v/>
      </c>
      <c r="AA904" s="13">
        <f>IF(ROWS($AA$2:$AA904)&lt;=MAX('Per Line'!$AO$2:$AO$4001),MATCH(ROWS($AA$2:$AA904),'Per Line'!$AO$2:$AO$4001,0),"")</f>
        <v/>
      </c>
      <c r="AB904" s="14">
        <f>IF($AA904="","",L904-K904*Y904/100)</f>
        <v/>
      </c>
    </row>
    <row r="905">
      <c r="A905" s="12" t="n"/>
      <c r="B905">
        <f>IF($AA905="","",INDEX('Per Line'!$E$2:$E$4001,$AA905)&amp;"")</f>
        <v/>
      </c>
      <c r="C905">
        <f>IF($AA905="","",INDEX('Per Line'!$A$2:$A$4001,$AA905)&amp;"")</f>
        <v/>
      </c>
      <c r="D905">
        <f>IF($AA905="","",INDEX('Per Line'!$D$2:$D$4001,$AA905)&amp;"")</f>
        <v/>
      </c>
      <c r="E905" s="11">
        <f>IF($AA905="","",INDEX('Per Line'!$G$2:$G$4001,$AA905))</f>
        <v/>
      </c>
      <c r="F905">
        <f>IF($AA905="","",INDEX('Per Line'!$H$2:$H$4001,$AA905)&amp;"")</f>
        <v/>
      </c>
      <c r="G905">
        <f>IF($AA905="","",INDEX('Per Line'!$I$2:$I$4001,$AA905)&amp;"")</f>
        <v/>
      </c>
      <c r="H905">
        <f>IF($AA905="","",INDEX('Per Line'!$J$2:$J$4001,$AA905)&amp;"")</f>
        <v/>
      </c>
      <c r="I905">
        <f>IF($AA905="","",INDEX('Per Line'!$K$2:$K$4001,$AA905)&amp;"")</f>
        <v/>
      </c>
      <c r="J905">
        <f>IF($AA905="","",INDEX('Per Line'!$L$2:$L$4001,$AA905)&amp;"")</f>
        <v/>
      </c>
      <c r="K905">
        <f>IF($AA905="","",INDEX('Per Line'!$P$2:$P$4001,$AA905))</f>
        <v/>
      </c>
      <c r="L905" s="7">
        <f>IF($AA905="","",IF(AND(ISNUMBER(N905),N905&gt;0,Y905&gt;N905),K905*N905/100+(Y905-N905),K905*Y905/100))</f>
        <v/>
      </c>
      <c r="M905">
        <f>IF($AA905="","",INDEX('Per Line'!$Z$2:$Z$4001,$AA905)&amp;"")</f>
        <v/>
      </c>
      <c r="N905">
        <f>IF($AA905="","",INDEX('Per Line'!$AG$2:$AG$4001,$AA905))</f>
        <v/>
      </c>
      <c r="O905">
        <f>IF($AA905="","",IF(AND(ISNUMBER(N905),N905&gt;0),Y905&gt;N905,FALSE))</f>
        <v/>
      </c>
      <c r="P905" s="7">
        <f>IF($AA905="","",SUMIFS('Per Line'!$Y$2:$Y$4001,'Per Line'!$E$2:$E$4001,$B905,'Per Line'!$AQ$2:$AQ$4001,1))</f>
        <v/>
      </c>
      <c r="Q905">
        <f>IF($AA905="","",Settings!$C$7)</f>
        <v/>
      </c>
      <c r="R905" s="7">
        <f>IF($AA905="","",SUMIFS('Per Line'!$Y$2:$Y$4001,'Per Line'!$E$2:$E$4001,$B905,'Per Line'!$AP$2:$AP$4001,0,'Per Line'!$AQ$2:$AQ$4001,0))</f>
        <v/>
      </c>
      <c r="S905" s="7">
        <f>IF($AA905="","",R905*Q905)</f>
        <v/>
      </c>
      <c r="T905">
        <f>IF($AA905="","",Settings!$C$6)</f>
        <v/>
      </c>
      <c r="U905" s="7">
        <f>IF($AA905="","",SUMIFS('Per Line'!$Y$2:$Y$4001,'Per Line'!$E$2:$E$4001,$B905,'Per Line'!$AP$2:$AP$4001,1,'Per Line'!$AQ$2:$AQ$4001,0))</f>
        <v/>
      </c>
      <c r="V905" s="7">
        <f>IF($AA905="","",U905*T905)</f>
        <v/>
      </c>
      <c r="W905" s="7">
        <f>IF($AA905="","",V905+S905)</f>
        <v/>
      </c>
      <c r="X905" s="7">
        <f>IF($AA905="","",Y905-W905)</f>
        <v/>
      </c>
      <c r="Y905" s="7">
        <f>IF($AA905="","",R905+U905+P905)</f>
        <v/>
      </c>
      <c r="Z905" s="7">
        <f>IF($AA905="","",Y905-W905-L905)</f>
        <v/>
      </c>
      <c r="AA905" s="13">
        <f>IF(ROWS($AA$2:$AA905)&lt;=MAX('Per Line'!$AO$2:$AO$4001),MATCH(ROWS($AA$2:$AA905),'Per Line'!$AO$2:$AO$4001,0),"")</f>
        <v/>
      </c>
      <c r="AB905" s="14">
        <f>IF($AA905="","",L905-K905*Y905/100)</f>
        <v/>
      </c>
    </row>
    <row r="906">
      <c r="A906" s="12" t="n"/>
      <c r="B906">
        <f>IF($AA906="","",INDEX('Per Line'!$E$2:$E$4001,$AA906)&amp;"")</f>
        <v/>
      </c>
      <c r="C906">
        <f>IF($AA906="","",INDEX('Per Line'!$A$2:$A$4001,$AA906)&amp;"")</f>
        <v/>
      </c>
      <c r="D906">
        <f>IF($AA906="","",INDEX('Per Line'!$D$2:$D$4001,$AA906)&amp;"")</f>
        <v/>
      </c>
      <c r="E906" s="11">
        <f>IF($AA906="","",INDEX('Per Line'!$G$2:$G$4001,$AA906))</f>
        <v/>
      </c>
      <c r="F906">
        <f>IF($AA906="","",INDEX('Per Line'!$H$2:$H$4001,$AA906)&amp;"")</f>
        <v/>
      </c>
      <c r="G906">
        <f>IF($AA906="","",INDEX('Per Line'!$I$2:$I$4001,$AA906)&amp;"")</f>
        <v/>
      </c>
      <c r="H906">
        <f>IF($AA906="","",INDEX('Per Line'!$J$2:$J$4001,$AA906)&amp;"")</f>
        <v/>
      </c>
      <c r="I906">
        <f>IF($AA906="","",INDEX('Per Line'!$K$2:$K$4001,$AA906)&amp;"")</f>
        <v/>
      </c>
      <c r="J906">
        <f>IF($AA906="","",INDEX('Per Line'!$L$2:$L$4001,$AA906)&amp;"")</f>
        <v/>
      </c>
      <c r="K906">
        <f>IF($AA906="","",INDEX('Per Line'!$P$2:$P$4001,$AA906))</f>
        <v/>
      </c>
      <c r="L906" s="7">
        <f>IF($AA906="","",IF(AND(ISNUMBER(N906),N906&gt;0,Y906&gt;N906),K906*N906/100+(Y906-N906),K906*Y906/100))</f>
        <v/>
      </c>
      <c r="M906">
        <f>IF($AA906="","",INDEX('Per Line'!$Z$2:$Z$4001,$AA906)&amp;"")</f>
        <v/>
      </c>
      <c r="N906">
        <f>IF($AA906="","",INDEX('Per Line'!$AG$2:$AG$4001,$AA906))</f>
        <v/>
      </c>
      <c r="O906">
        <f>IF($AA906="","",IF(AND(ISNUMBER(N906),N906&gt;0),Y906&gt;N906,FALSE))</f>
        <v/>
      </c>
      <c r="P906" s="7">
        <f>IF($AA906="","",SUMIFS('Per Line'!$Y$2:$Y$4001,'Per Line'!$E$2:$E$4001,$B906,'Per Line'!$AQ$2:$AQ$4001,1))</f>
        <v/>
      </c>
      <c r="Q906">
        <f>IF($AA906="","",Settings!$C$7)</f>
        <v/>
      </c>
      <c r="R906" s="7">
        <f>IF($AA906="","",SUMIFS('Per Line'!$Y$2:$Y$4001,'Per Line'!$E$2:$E$4001,$B906,'Per Line'!$AP$2:$AP$4001,0,'Per Line'!$AQ$2:$AQ$4001,0))</f>
        <v/>
      </c>
      <c r="S906" s="7">
        <f>IF($AA906="","",R906*Q906)</f>
        <v/>
      </c>
      <c r="T906">
        <f>IF($AA906="","",Settings!$C$6)</f>
        <v/>
      </c>
      <c r="U906" s="7">
        <f>IF($AA906="","",SUMIFS('Per Line'!$Y$2:$Y$4001,'Per Line'!$E$2:$E$4001,$B906,'Per Line'!$AP$2:$AP$4001,1,'Per Line'!$AQ$2:$AQ$4001,0))</f>
        <v/>
      </c>
      <c r="V906" s="7">
        <f>IF($AA906="","",U906*T906)</f>
        <v/>
      </c>
      <c r="W906" s="7">
        <f>IF($AA906="","",V906+S906)</f>
        <v/>
      </c>
      <c r="X906" s="7">
        <f>IF($AA906="","",Y906-W906)</f>
        <v/>
      </c>
      <c r="Y906" s="7">
        <f>IF($AA906="","",R906+U906+P906)</f>
        <v/>
      </c>
      <c r="Z906" s="7">
        <f>IF($AA906="","",Y906-W906-L906)</f>
        <v/>
      </c>
      <c r="AA906" s="13">
        <f>IF(ROWS($AA$2:$AA906)&lt;=MAX('Per Line'!$AO$2:$AO$4001),MATCH(ROWS($AA$2:$AA906),'Per Line'!$AO$2:$AO$4001,0),"")</f>
        <v/>
      </c>
      <c r="AB906" s="14">
        <f>IF($AA906="","",L906-K906*Y906/100)</f>
        <v/>
      </c>
    </row>
    <row r="907">
      <c r="A907" s="12" t="n"/>
      <c r="B907">
        <f>IF($AA907="","",INDEX('Per Line'!$E$2:$E$4001,$AA907)&amp;"")</f>
        <v/>
      </c>
      <c r="C907">
        <f>IF($AA907="","",INDEX('Per Line'!$A$2:$A$4001,$AA907)&amp;"")</f>
        <v/>
      </c>
      <c r="D907">
        <f>IF($AA907="","",INDEX('Per Line'!$D$2:$D$4001,$AA907)&amp;"")</f>
        <v/>
      </c>
      <c r="E907" s="11">
        <f>IF($AA907="","",INDEX('Per Line'!$G$2:$G$4001,$AA907))</f>
        <v/>
      </c>
      <c r="F907">
        <f>IF($AA907="","",INDEX('Per Line'!$H$2:$H$4001,$AA907)&amp;"")</f>
        <v/>
      </c>
      <c r="G907">
        <f>IF($AA907="","",INDEX('Per Line'!$I$2:$I$4001,$AA907)&amp;"")</f>
        <v/>
      </c>
      <c r="H907">
        <f>IF($AA907="","",INDEX('Per Line'!$J$2:$J$4001,$AA907)&amp;"")</f>
        <v/>
      </c>
      <c r="I907">
        <f>IF($AA907="","",INDEX('Per Line'!$K$2:$K$4001,$AA907)&amp;"")</f>
        <v/>
      </c>
      <c r="J907">
        <f>IF($AA907="","",INDEX('Per Line'!$L$2:$L$4001,$AA907)&amp;"")</f>
        <v/>
      </c>
      <c r="K907">
        <f>IF($AA907="","",INDEX('Per Line'!$P$2:$P$4001,$AA907))</f>
        <v/>
      </c>
      <c r="L907" s="7">
        <f>IF($AA907="","",IF(AND(ISNUMBER(N907),N907&gt;0,Y907&gt;N907),K907*N907/100+(Y907-N907),K907*Y907/100))</f>
        <v/>
      </c>
      <c r="M907">
        <f>IF($AA907="","",INDEX('Per Line'!$Z$2:$Z$4001,$AA907)&amp;"")</f>
        <v/>
      </c>
      <c r="N907">
        <f>IF($AA907="","",INDEX('Per Line'!$AG$2:$AG$4001,$AA907))</f>
        <v/>
      </c>
      <c r="O907">
        <f>IF($AA907="","",IF(AND(ISNUMBER(N907),N907&gt;0),Y907&gt;N907,FALSE))</f>
        <v/>
      </c>
      <c r="P907" s="7">
        <f>IF($AA907="","",SUMIFS('Per Line'!$Y$2:$Y$4001,'Per Line'!$E$2:$E$4001,$B907,'Per Line'!$AQ$2:$AQ$4001,1))</f>
        <v/>
      </c>
      <c r="Q907">
        <f>IF($AA907="","",Settings!$C$7)</f>
        <v/>
      </c>
      <c r="R907" s="7">
        <f>IF($AA907="","",SUMIFS('Per Line'!$Y$2:$Y$4001,'Per Line'!$E$2:$E$4001,$B907,'Per Line'!$AP$2:$AP$4001,0,'Per Line'!$AQ$2:$AQ$4001,0))</f>
        <v/>
      </c>
      <c r="S907" s="7">
        <f>IF($AA907="","",R907*Q907)</f>
        <v/>
      </c>
      <c r="T907">
        <f>IF($AA907="","",Settings!$C$6)</f>
        <v/>
      </c>
      <c r="U907" s="7">
        <f>IF($AA907="","",SUMIFS('Per Line'!$Y$2:$Y$4001,'Per Line'!$E$2:$E$4001,$B907,'Per Line'!$AP$2:$AP$4001,1,'Per Line'!$AQ$2:$AQ$4001,0))</f>
        <v/>
      </c>
      <c r="V907" s="7">
        <f>IF($AA907="","",U907*T907)</f>
        <v/>
      </c>
      <c r="W907" s="7">
        <f>IF($AA907="","",V907+S907)</f>
        <v/>
      </c>
      <c r="X907" s="7">
        <f>IF($AA907="","",Y907-W907)</f>
        <v/>
      </c>
      <c r="Y907" s="7">
        <f>IF($AA907="","",R907+U907+P907)</f>
        <v/>
      </c>
      <c r="Z907" s="7">
        <f>IF($AA907="","",Y907-W907-L907)</f>
        <v/>
      </c>
      <c r="AA907" s="13">
        <f>IF(ROWS($AA$2:$AA907)&lt;=MAX('Per Line'!$AO$2:$AO$4001),MATCH(ROWS($AA$2:$AA907),'Per Line'!$AO$2:$AO$4001,0),"")</f>
        <v/>
      </c>
      <c r="AB907" s="14">
        <f>IF($AA907="","",L907-K907*Y907/100)</f>
        <v/>
      </c>
    </row>
    <row r="908">
      <c r="A908" s="12" t="n"/>
      <c r="B908">
        <f>IF($AA908="","",INDEX('Per Line'!$E$2:$E$4001,$AA908)&amp;"")</f>
        <v/>
      </c>
      <c r="C908">
        <f>IF($AA908="","",INDEX('Per Line'!$A$2:$A$4001,$AA908)&amp;"")</f>
        <v/>
      </c>
      <c r="D908">
        <f>IF($AA908="","",INDEX('Per Line'!$D$2:$D$4001,$AA908)&amp;"")</f>
        <v/>
      </c>
      <c r="E908" s="11">
        <f>IF($AA908="","",INDEX('Per Line'!$G$2:$G$4001,$AA908))</f>
        <v/>
      </c>
      <c r="F908">
        <f>IF($AA908="","",INDEX('Per Line'!$H$2:$H$4001,$AA908)&amp;"")</f>
        <v/>
      </c>
      <c r="G908">
        <f>IF($AA908="","",INDEX('Per Line'!$I$2:$I$4001,$AA908)&amp;"")</f>
        <v/>
      </c>
      <c r="H908">
        <f>IF($AA908="","",INDEX('Per Line'!$J$2:$J$4001,$AA908)&amp;"")</f>
        <v/>
      </c>
      <c r="I908">
        <f>IF($AA908="","",INDEX('Per Line'!$K$2:$K$4001,$AA908)&amp;"")</f>
        <v/>
      </c>
      <c r="J908">
        <f>IF($AA908="","",INDEX('Per Line'!$L$2:$L$4001,$AA908)&amp;"")</f>
        <v/>
      </c>
      <c r="K908">
        <f>IF($AA908="","",INDEX('Per Line'!$P$2:$P$4001,$AA908))</f>
        <v/>
      </c>
      <c r="L908" s="7">
        <f>IF($AA908="","",IF(AND(ISNUMBER(N908),N908&gt;0,Y908&gt;N908),K908*N908/100+(Y908-N908),K908*Y908/100))</f>
        <v/>
      </c>
      <c r="M908">
        <f>IF($AA908="","",INDEX('Per Line'!$Z$2:$Z$4001,$AA908)&amp;"")</f>
        <v/>
      </c>
      <c r="N908">
        <f>IF($AA908="","",INDEX('Per Line'!$AG$2:$AG$4001,$AA908))</f>
        <v/>
      </c>
      <c r="O908">
        <f>IF($AA908="","",IF(AND(ISNUMBER(N908),N908&gt;0),Y908&gt;N908,FALSE))</f>
        <v/>
      </c>
      <c r="P908" s="7">
        <f>IF($AA908="","",SUMIFS('Per Line'!$Y$2:$Y$4001,'Per Line'!$E$2:$E$4001,$B908,'Per Line'!$AQ$2:$AQ$4001,1))</f>
        <v/>
      </c>
      <c r="Q908">
        <f>IF($AA908="","",Settings!$C$7)</f>
        <v/>
      </c>
      <c r="R908" s="7">
        <f>IF($AA908="","",SUMIFS('Per Line'!$Y$2:$Y$4001,'Per Line'!$E$2:$E$4001,$B908,'Per Line'!$AP$2:$AP$4001,0,'Per Line'!$AQ$2:$AQ$4001,0))</f>
        <v/>
      </c>
      <c r="S908" s="7">
        <f>IF($AA908="","",R908*Q908)</f>
        <v/>
      </c>
      <c r="T908">
        <f>IF($AA908="","",Settings!$C$6)</f>
        <v/>
      </c>
      <c r="U908" s="7">
        <f>IF($AA908="","",SUMIFS('Per Line'!$Y$2:$Y$4001,'Per Line'!$E$2:$E$4001,$B908,'Per Line'!$AP$2:$AP$4001,1,'Per Line'!$AQ$2:$AQ$4001,0))</f>
        <v/>
      </c>
      <c r="V908" s="7">
        <f>IF($AA908="","",U908*T908)</f>
        <v/>
      </c>
      <c r="W908" s="7">
        <f>IF($AA908="","",V908+S908)</f>
        <v/>
      </c>
      <c r="X908" s="7">
        <f>IF($AA908="","",Y908-W908)</f>
        <v/>
      </c>
      <c r="Y908" s="7">
        <f>IF($AA908="","",R908+U908+P908)</f>
        <v/>
      </c>
      <c r="Z908" s="7">
        <f>IF($AA908="","",Y908-W908-L908)</f>
        <v/>
      </c>
      <c r="AA908" s="13">
        <f>IF(ROWS($AA$2:$AA908)&lt;=MAX('Per Line'!$AO$2:$AO$4001),MATCH(ROWS($AA$2:$AA908),'Per Line'!$AO$2:$AO$4001,0),"")</f>
        <v/>
      </c>
      <c r="AB908" s="14">
        <f>IF($AA908="","",L908-K908*Y908/100)</f>
        <v/>
      </c>
    </row>
    <row r="909">
      <c r="A909" s="12" t="n"/>
      <c r="B909">
        <f>IF($AA909="","",INDEX('Per Line'!$E$2:$E$4001,$AA909)&amp;"")</f>
        <v/>
      </c>
      <c r="C909">
        <f>IF($AA909="","",INDEX('Per Line'!$A$2:$A$4001,$AA909)&amp;"")</f>
        <v/>
      </c>
      <c r="D909">
        <f>IF($AA909="","",INDEX('Per Line'!$D$2:$D$4001,$AA909)&amp;"")</f>
        <v/>
      </c>
      <c r="E909" s="11">
        <f>IF($AA909="","",INDEX('Per Line'!$G$2:$G$4001,$AA909))</f>
        <v/>
      </c>
      <c r="F909">
        <f>IF($AA909="","",INDEX('Per Line'!$H$2:$H$4001,$AA909)&amp;"")</f>
        <v/>
      </c>
      <c r="G909">
        <f>IF($AA909="","",INDEX('Per Line'!$I$2:$I$4001,$AA909)&amp;"")</f>
        <v/>
      </c>
      <c r="H909">
        <f>IF($AA909="","",INDEX('Per Line'!$J$2:$J$4001,$AA909)&amp;"")</f>
        <v/>
      </c>
      <c r="I909">
        <f>IF($AA909="","",INDEX('Per Line'!$K$2:$K$4001,$AA909)&amp;"")</f>
        <v/>
      </c>
      <c r="J909">
        <f>IF($AA909="","",INDEX('Per Line'!$L$2:$L$4001,$AA909)&amp;"")</f>
        <v/>
      </c>
      <c r="K909">
        <f>IF($AA909="","",INDEX('Per Line'!$P$2:$P$4001,$AA909))</f>
        <v/>
      </c>
      <c r="L909" s="7">
        <f>IF($AA909="","",IF(AND(ISNUMBER(N909),N909&gt;0,Y909&gt;N909),K909*N909/100+(Y909-N909),K909*Y909/100))</f>
        <v/>
      </c>
      <c r="M909">
        <f>IF($AA909="","",INDEX('Per Line'!$Z$2:$Z$4001,$AA909)&amp;"")</f>
        <v/>
      </c>
      <c r="N909">
        <f>IF($AA909="","",INDEX('Per Line'!$AG$2:$AG$4001,$AA909))</f>
        <v/>
      </c>
      <c r="O909">
        <f>IF($AA909="","",IF(AND(ISNUMBER(N909),N909&gt;0),Y909&gt;N909,FALSE))</f>
        <v/>
      </c>
      <c r="P909" s="7">
        <f>IF($AA909="","",SUMIFS('Per Line'!$Y$2:$Y$4001,'Per Line'!$E$2:$E$4001,$B909,'Per Line'!$AQ$2:$AQ$4001,1))</f>
        <v/>
      </c>
      <c r="Q909">
        <f>IF($AA909="","",Settings!$C$7)</f>
        <v/>
      </c>
      <c r="R909" s="7">
        <f>IF($AA909="","",SUMIFS('Per Line'!$Y$2:$Y$4001,'Per Line'!$E$2:$E$4001,$B909,'Per Line'!$AP$2:$AP$4001,0,'Per Line'!$AQ$2:$AQ$4001,0))</f>
        <v/>
      </c>
      <c r="S909" s="7">
        <f>IF($AA909="","",R909*Q909)</f>
        <v/>
      </c>
      <c r="T909">
        <f>IF($AA909="","",Settings!$C$6)</f>
        <v/>
      </c>
      <c r="U909" s="7">
        <f>IF($AA909="","",SUMIFS('Per Line'!$Y$2:$Y$4001,'Per Line'!$E$2:$E$4001,$B909,'Per Line'!$AP$2:$AP$4001,1,'Per Line'!$AQ$2:$AQ$4001,0))</f>
        <v/>
      </c>
      <c r="V909" s="7">
        <f>IF($AA909="","",U909*T909)</f>
        <v/>
      </c>
      <c r="W909" s="7">
        <f>IF($AA909="","",V909+S909)</f>
        <v/>
      </c>
      <c r="X909" s="7">
        <f>IF($AA909="","",Y909-W909)</f>
        <v/>
      </c>
      <c r="Y909" s="7">
        <f>IF($AA909="","",R909+U909+P909)</f>
        <v/>
      </c>
      <c r="Z909" s="7">
        <f>IF($AA909="","",Y909-W909-L909)</f>
        <v/>
      </c>
      <c r="AA909" s="13">
        <f>IF(ROWS($AA$2:$AA909)&lt;=MAX('Per Line'!$AO$2:$AO$4001),MATCH(ROWS($AA$2:$AA909),'Per Line'!$AO$2:$AO$4001,0),"")</f>
        <v/>
      </c>
      <c r="AB909" s="14">
        <f>IF($AA909="","",L909-K909*Y909/100)</f>
        <v/>
      </c>
    </row>
    <row r="910">
      <c r="A910" s="12" t="n"/>
      <c r="B910">
        <f>IF($AA910="","",INDEX('Per Line'!$E$2:$E$4001,$AA910)&amp;"")</f>
        <v/>
      </c>
      <c r="C910">
        <f>IF($AA910="","",INDEX('Per Line'!$A$2:$A$4001,$AA910)&amp;"")</f>
        <v/>
      </c>
      <c r="D910">
        <f>IF($AA910="","",INDEX('Per Line'!$D$2:$D$4001,$AA910)&amp;"")</f>
        <v/>
      </c>
      <c r="E910" s="11">
        <f>IF($AA910="","",INDEX('Per Line'!$G$2:$G$4001,$AA910))</f>
        <v/>
      </c>
      <c r="F910">
        <f>IF($AA910="","",INDEX('Per Line'!$H$2:$H$4001,$AA910)&amp;"")</f>
        <v/>
      </c>
      <c r="G910">
        <f>IF($AA910="","",INDEX('Per Line'!$I$2:$I$4001,$AA910)&amp;"")</f>
        <v/>
      </c>
      <c r="H910">
        <f>IF($AA910="","",INDEX('Per Line'!$J$2:$J$4001,$AA910)&amp;"")</f>
        <v/>
      </c>
      <c r="I910">
        <f>IF($AA910="","",INDEX('Per Line'!$K$2:$K$4001,$AA910)&amp;"")</f>
        <v/>
      </c>
      <c r="J910">
        <f>IF($AA910="","",INDEX('Per Line'!$L$2:$L$4001,$AA910)&amp;"")</f>
        <v/>
      </c>
      <c r="K910">
        <f>IF($AA910="","",INDEX('Per Line'!$P$2:$P$4001,$AA910))</f>
        <v/>
      </c>
      <c r="L910" s="7">
        <f>IF($AA910="","",IF(AND(ISNUMBER(N910),N910&gt;0,Y910&gt;N910),K910*N910/100+(Y910-N910),K910*Y910/100))</f>
        <v/>
      </c>
      <c r="M910">
        <f>IF($AA910="","",INDEX('Per Line'!$Z$2:$Z$4001,$AA910)&amp;"")</f>
        <v/>
      </c>
      <c r="N910">
        <f>IF($AA910="","",INDEX('Per Line'!$AG$2:$AG$4001,$AA910))</f>
        <v/>
      </c>
      <c r="O910">
        <f>IF($AA910="","",IF(AND(ISNUMBER(N910),N910&gt;0),Y910&gt;N910,FALSE))</f>
        <v/>
      </c>
      <c r="P910" s="7">
        <f>IF($AA910="","",SUMIFS('Per Line'!$Y$2:$Y$4001,'Per Line'!$E$2:$E$4001,$B910,'Per Line'!$AQ$2:$AQ$4001,1))</f>
        <v/>
      </c>
      <c r="Q910">
        <f>IF($AA910="","",Settings!$C$7)</f>
        <v/>
      </c>
      <c r="R910" s="7">
        <f>IF($AA910="","",SUMIFS('Per Line'!$Y$2:$Y$4001,'Per Line'!$E$2:$E$4001,$B910,'Per Line'!$AP$2:$AP$4001,0,'Per Line'!$AQ$2:$AQ$4001,0))</f>
        <v/>
      </c>
      <c r="S910" s="7">
        <f>IF($AA910="","",R910*Q910)</f>
        <v/>
      </c>
      <c r="T910">
        <f>IF($AA910="","",Settings!$C$6)</f>
        <v/>
      </c>
      <c r="U910" s="7">
        <f>IF($AA910="","",SUMIFS('Per Line'!$Y$2:$Y$4001,'Per Line'!$E$2:$E$4001,$B910,'Per Line'!$AP$2:$AP$4001,1,'Per Line'!$AQ$2:$AQ$4001,0))</f>
        <v/>
      </c>
      <c r="V910" s="7">
        <f>IF($AA910="","",U910*T910)</f>
        <v/>
      </c>
      <c r="W910" s="7">
        <f>IF($AA910="","",V910+S910)</f>
        <v/>
      </c>
      <c r="X910" s="7">
        <f>IF($AA910="","",Y910-W910)</f>
        <v/>
      </c>
      <c r="Y910" s="7">
        <f>IF($AA910="","",R910+U910+P910)</f>
        <v/>
      </c>
      <c r="Z910" s="7">
        <f>IF($AA910="","",Y910-W910-L910)</f>
        <v/>
      </c>
      <c r="AA910" s="13">
        <f>IF(ROWS($AA$2:$AA910)&lt;=MAX('Per Line'!$AO$2:$AO$4001),MATCH(ROWS($AA$2:$AA910),'Per Line'!$AO$2:$AO$4001,0),"")</f>
        <v/>
      </c>
      <c r="AB910" s="14">
        <f>IF($AA910="","",L910-K910*Y910/100)</f>
        <v/>
      </c>
    </row>
    <row r="911">
      <c r="A911" s="12" t="n"/>
      <c r="B911">
        <f>IF($AA911="","",INDEX('Per Line'!$E$2:$E$4001,$AA911)&amp;"")</f>
        <v/>
      </c>
      <c r="C911">
        <f>IF($AA911="","",INDEX('Per Line'!$A$2:$A$4001,$AA911)&amp;"")</f>
        <v/>
      </c>
      <c r="D911">
        <f>IF($AA911="","",INDEX('Per Line'!$D$2:$D$4001,$AA911)&amp;"")</f>
        <v/>
      </c>
      <c r="E911" s="11">
        <f>IF($AA911="","",INDEX('Per Line'!$G$2:$G$4001,$AA911))</f>
        <v/>
      </c>
      <c r="F911">
        <f>IF($AA911="","",INDEX('Per Line'!$H$2:$H$4001,$AA911)&amp;"")</f>
        <v/>
      </c>
      <c r="G911">
        <f>IF($AA911="","",INDEX('Per Line'!$I$2:$I$4001,$AA911)&amp;"")</f>
        <v/>
      </c>
      <c r="H911">
        <f>IF($AA911="","",INDEX('Per Line'!$J$2:$J$4001,$AA911)&amp;"")</f>
        <v/>
      </c>
      <c r="I911">
        <f>IF($AA911="","",INDEX('Per Line'!$K$2:$K$4001,$AA911)&amp;"")</f>
        <v/>
      </c>
      <c r="J911">
        <f>IF($AA911="","",INDEX('Per Line'!$L$2:$L$4001,$AA911)&amp;"")</f>
        <v/>
      </c>
      <c r="K911">
        <f>IF($AA911="","",INDEX('Per Line'!$P$2:$P$4001,$AA911))</f>
        <v/>
      </c>
      <c r="L911" s="7">
        <f>IF($AA911="","",IF(AND(ISNUMBER(N911),N911&gt;0,Y911&gt;N911),K911*N911/100+(Y911-N911),K911*Y911/100))</f>
        <v/>
      </c>
      <c r="M911">
        <f>IF($AA911="","",INDEX('Per Line'!$Z$2:$Z$4001,$AA911)&amp;"")</f>
        <v/>
      </c>
      <c r="N911">
        <f>IF($AA911="","",INDEX('Per Line'!$AG$2:$AG$4001,$AA911))</f>
        <v/>
      </c>
      <c r="O911">
        <f>IF($AA911="","",IF(AND(ISNUMBER(N911),N911&gt;0),Y911&gt;N911,FALSE))</f>
        <v/>
      </c>
      <c r="P911" s="7">
        <f>IF($AA911="","",SUMIFS('Per Line'!$Y$2:$Y$4001,'Per Line'!$E$2:$E$4001,$B911,'Per Line'!$AQ$2:$AQ$4001,1))</f>
        <v/>
      </c>
      <c r="Q911">
        <f>IF($AA911="","",Settings!$C$7)</f>
        <v/>
      </c>
      <c r="R911" s="7">
        <f>IF($AA911="","",SUMIFS('Per Line'!$Y$2:$Y$4001,'Per Line'!$E$2:$E$4001,$B911,'Per Line'!$AP$2:$AP$4001,0,'Per Line'!$AQ$2:$AQ$4001,0))</f>
        <v/>
      </c>
      <c r="S911" s="7">
        <f>IF($AA911="","",R911*Q911)</f>
        <v/>
      </c>
      <c r="T911">
        <f>IF($AA911="","",Settings!$C$6)</f>
        <v/>
      </c>
      <c r="U911" s="7">
        <f>IF($AA911="","",SUMIFS('Per Line'!$Y$2:$Y$4001,'Per Line'!$E$2:$E$4001,$B911,'Per Line'!$AP$2:$AP$4001,1,'Per Line'!$AQ$2:$AQ$4001,0))</f>
        <v/>
      </c>
      <c r="V911" s="7">
        <f>IF($AA911="","",U911*T911)</f>
        <v/>
      </c>
      <c r="W911" s="7">
        <f>IF($AA911="","",V911+S911)</f>
        <v/>
      </c>
      <c r="X911" s="7">
        <f>IF($AA911="","",Y911-W911)</f>
        <v/>
      </c>
      <c r="Y911" s="7">
        <f>IF($AA911="","",R911+U911+P911)</f>
        <v/>
      </c>
      <c r="Z911" s="7">
        <f>IF($AA911="","",Y911-W911-L911)</f>
        <v/>
      </c>
      <c r="AA911" s="13">
        <f>IF(ROWS($AA$2:$AA911)&lt;=MAX('Per Line'!$AO$2:$AO$4001),MATCH(ROWS($AA$2:$AA911),'Per Line'!$AO$2:$AO$4001,0),"")</f>
        <v/>
      </c>
      <c r="AB911" s="14">
        <f>IF($AA911="","",L911-K911*Y911/100)</f>
        <v/>
      </c>
    </row>
    <row r="912">
      <c r="A912" s="12" t="n"/>
      <c r="B912">
        <f>IF($AA912="","",INDEX('Per Line'!$E$2:$E$4001,$AA912)&amp;"")</f>
        <v/>
      </c>
      <c r="C912">
        <f>IF($AA912="","",INDEX('Per Line'!$A$2:$A$4001,$AA912)&amp;"")</f>
        <v/>
      </c>
      <c r="D912">
        <f>IF($AA912="","",INDEX('Per Line'!$D$2:$D$4001,$AA912)&amp;"")</f>
        <v/>
      </c>
      <c r="E912" s="11">
        <f>IF($AA912="","",INDEX('Per Line'!$G$2:$G$4001,$AA912))</f>
        <v/>
      </c>
      <c r="F912">
        <f>IF($AA912="","",INDEX('Per Line'!$H$2:$H$4001,$AA912)&amp;"")</f>
        <v/>
      </c>
      <c r="G912">
        <f>IF($AA912="","",INDEX('Per Line'!$I$2:$I$4001,$AA912)&amp;"")</f>
        <v/>
      </c>
      <c r="H912">
        <f>IF($AA912="","",INDEX('Per Line'!$J$2:$J$4001,$AA912)&amp;"")</f>
        <v/>
      </c>
      <c r="I912">
        <f>IF($AA912="","",INDEX('Per Line'!$K$2:$K$4001,$AA912)&amp;"")</f>
        <v/>
      </c>
      <c r="J912">
        <f>IF($AA912="","",INDEX('Per Line'!$L$2:$L$4001,$AA912)&amp;"")</f>
        <v/>
      </c>
      <c r="K912">
        <f>IF($AA912="","",INDEX('Per Line'!$P$2:$P$4001,$AA912))</f>
        <v/>
      </c>
      <c r="L912" s="7">
        <f>IF($AA912="","",IF(AND(ISNUMBER(N912),N912&gt;0,Y912&gt;N912),K912*N912/100+(Y912-N912),K912*Y912/100))</f>
        <v/>
      </c>
      <c r="M912">
        <f>IF($AA912="","",INDEX('Per Line'!$Z$2:$Z$4001,$AA912)&amp;"")</f>
        <v/>
      </c>
      <c r="N912">
        <f>IF($AA912="","",INDEX('Per Line'!$AG$2:$AG$4001,$AA912))</f>
        <v/>
      </c>
      <c r="O912">
        <f>IF($AA912="","",IF(AND(ISNUMBER(N912),N912&gt;0),Y912&gt;N912,FALSE))</f>
        <v/>
      </c>
      <c r="P912" s="7">
        <f>IF($AA912="","",SUMIFS('Per Line'!$Y$2:$Y$4001,'Per Line'!$E$2:$E$4001,$B912,'Per Line'!$AQ$2:$AQ$4001,1))</f>
        <v/>
      </c>
      <c r="Q912">
        <f>IF($AA912="","",Settings!$C$7)</f>
        <v/>
      </c>
      <c r="R912" s="7">
        <f>IF($AA912="","",SUMIFS('Per Line'!$Y$2:$Y$4001,'Per Line'!$E$2:$E$4001,$B912,'Per Line'!$AP$2:$AP$4001,0,'Per Line'!$AQ$2:$AQ$4001,0))</f>
        <v/>
      </c>
      <c r="S912" s="7">
        <f>IF($AA912="","",R912*Q912)</f>
        <v/>
      </c>
      <c r="T912">
        <f>IF($AA912="","",Settings!$C$6)</f>
        <v/>
      </c>
      <c r="U912" s="7">
        <f>IF($AA912="","",SUMIFS('Per Line'!$Y$2:$Y$4001,'Per Line'!$E$2:$E$4001,$B912,'Per Line'!$AP$2:$AP$4001,1,'Per Line'!$AQ$2:$AQ$4001,0))</f>
        <v/>
      </c>
      <c r="V912" s="7">
        <f>IF($AA912="","",U912*T912)</f>
        <v/>
      </c>
      <c r="W912" s="7">
        <f>IF($AA912="","",V912+S912)</f>
        <v/>
      </c>
      <c r="X912" s="7">
        <f>IF($AA912="","",Y912-W912)</f>
        <v/>
      </c>
      <c r="Y912" s="7">
        <f>IF($AA912="","",R912+U912+P912)</f>
        <v/>
      </c>
      <c r="Z912" s="7">
        <f>IF($AA912="","",Y912-W912-L912)</f>
        <v/>
      </c>
      <c r="AA912" s="13">
        <f>IF(ROWS($AA$2:$AA912)&lt;=MAX('Per Line'!$AO$2:$AO$4001),MATCH(ROWS($AA$2:$AA912),'Per Line'!$AO$2:$AO$4001,0),"")</f>
        <v/>
      </c>
      <c r="AB912" s="14">
        <f>IF($AA912="","",L912-K912*Y912/100)</f>
        <v/>
      </c>
    </row>
    <row r="913">
      <c r="A913" s="12" t="n"/>
      <c r="B913">
        <f>IF($AA913="","",INDEX('Per Line'!$E$2:$E$4001,$AA913)&amp;"")</f>
        <v/>
      </c>
      <c r="C913">
        <f>IF($AA913="","",INDEX('Per Line'!$A$2:$A$4001,$AA913)&amp;"")</f>
        <v/>
      </c>
      <c r="D913">
        <f>IF($AA913="","",INDEX('Per Line'!$D$2:$D$4001,$AA913)&amp;"")</f>
        <v/>
      </c>
      <c r="E913" s="11">
        <f>IF($AA913="","",INDEX('Per Line'!$G$2:$G$4001,$AA913))</f>
        <v/>
      </c>
      <c r="F913">
        <f>IF($AA913="","",INDEX('Per Line'!$H$2:$H$4001,$AA913)&amp;"")</f>
        <v/>
      </c>
      <c r="G913">
        <f>IF($AA913="","",INDEX('Per Line'!$I$2:$I$4001,$AA913)&amp;"")</f>
        <v/>
      </c>
      <c r="H913">
        <f>IF($AA913="","",INDEX('Per Line'!$J$2:$J$4001,$AA913)&amp;"")</f>
        <v/>
      </c>
      <c r="I913">
        <f>IF($AA913="","",INDEX('Per Line'!$K$2:$K$4001,$AA913)&amp;"")</f>
        <v/>
      </c>
      <c r="J913">
        <f>IF($AA913="","",INDEX('Per Line'!$L$2:$L$4001,$AA913)&amp;"")</f>
        <v/>
      </c>
      <c r="K913">
        <f>IF($AA913="","",INDEX('Per Line'!$P$2:$P$4001,$AA913))</f>
        <v/>
      </c>
      <c r="L913" s="7">
        <f>IF($AA913="","",IF(AND(ISNUMBER(N913),N913&gt;0,Y913&gt;N913),K913*N913/100+(Y913-N913),K913*Y913/100))</f>
        <v/>
      </c>
      <c r="M913">
        <f>IF($AA913="","",INDEX('Per Line'!$Z$2:$Z$4001,$AA913)&amp;"")</f>
        <v/>
      </c>
      <c r="N913">
        <f>IF($AA913="","",INDEX('Per Line'!$AG$2:$AG$4001,$AA913))</f>
        <v/>
      </c>
      <c r="O913">
        <f>IF($AA913="","",IF(AND(ISNUMBER(N913),N913&gt;0),Y913&gt;N913,FALSE))</f>
        <v/>
      </c>
      <c r="P913" s="7">
        <f>IF($AA913="","",SUMIFS('Per Line'!$Y$2:$Y$4001,'Per Line'!$E$2:$E$4001,$B913,'Per Line'!$AQ$2:$AQ$4001,1))</f>
        <v/>
      </c>
      <c r="Q913">
        <f>IF($AA913="","",Settings!$C$7)</f>
        <v/>
      </c>
      <c r="R913" s="7">
        <f>IF($AA913="","",SUMIFS('Per Line'!$Y$2:$Y$4001,'Per Line'!$E$2:$E$4001,$B913,'Per Line'!$AP$2:$AP$4001,0,'Per Line'!$AQ$2:$AQ$4001,0))</f>
        <v/>
      </c>
      <c r="S913" s="7">
        <f>IF($AA913="","",R913*Q913)</f>
        <v/>
      </c>
      <c r="T913">
        <f>IF($AA913="","",Settings!$C$6)</f>
        <v/>
      </c>
      <c r="U913" s="7">
        <f>IF($AA913="","",SUMIFS('Per Line'!$Y$2:$Y$4001,'Per Line'!$E$2:$E$4001,$B913,'Per Line'!$AP$2:$AP$4001,1,'Per Line'!$AQ$2:$AQ$4001,0))</f>
        <v/>
      </c>
      <c r="V913" s="7">
        <f>IF($AA913="","",U913*T913)</f>
        <v/>
      </c>
      <c r="W913" s="7">
        <f>IF($AA913="","",V913+S913)</f>
        <v/>
      </c>
      <c r="X913" s="7">
        <f>IF($AA913="","",Y913-W913)</f>
        <v/>
      </c>
      <c r="Y913" s="7">
        <f>IF($AA913="","",R913+U913+P913)</f>
        <v/>
      </c>
      <c r="Z913" s="7">
        <f>IF($AA913="","",Y913-W913-L913)</f>
        <v/>
      </c>
      <c r="AA913" s="13">
        <f>IF(ROWS($AA$2:$AA913)&lt;=MAX('Per Line'!$AO$2:$AO$4001),MATCH(ROWS($AA$2:$AA913),'Per Line'!$AO$2:$AO$4001,0),"")</f>
        <v/>
      </c>
      <c r="AB913" s="14">
        <f>IF($AA913="","",L913-K913*Y913/100)</f>
        <v/>
      </c>
    </row>
    <row r="914">
      <c r="A914" s="12" t="n"/>
      <c r="B914">
        <f>IF($AA914="","",INDEX('Per Line'!$E$2:$E$4001,$AA914)&amp;"")</f>
        <v/>
      </c>
      <c r="C914">
        <f>IF($AA914="","",INDEX('Per Line'!$A$2:$A$4001,$AA914)&amp;"")</f>
        <v/>
      </c>
      <c r="D914">
        <f>IF($AA914="","",INDEX('Per Line'!$D$2:$D$4001,$AA914)&amp;"")</f>
        <v/>
      </c>
      <c r="E914" s="11">
        <f>IF($AA914="","",INDEX('Per Line'!$G$2:$G$4001,$AA914))</f>
        <v/>
      </c>
      <c r="F914">
        <f>IF($AA914="","",INDEX('Per Line'!$H$2:$H$4001,$AA914)&amp;"")</f>
        <v/>
      </c>
      <c r="G914">
        <f>IF($AA914="","",INDEX('Per Line'!$I$2:$I$4001,$AA914)&amp;"")</f>
        <v/>
      </c>
      <c r="H914">
        <f>IF($AA914="","",INDEX('Per Line'!$J$2:$J$4001,$AA914)&amp;"")</f>
        <v/>
      </c>
      <c r="I914">
        <f>IF($AA914="","",INDEX('Per Line'!$K$2:$K$4001,$AA914)&amp;"")</f>
        <v/>
      </c>
      <c r="J914">
        <f>IF($AA914="","",INDEX('Per Line'!$L$2:$L$4001,$AA914)&amp;"")</f>
        <v/>
      </c>
      <c r="K914">
        <f>IF($AA914="","",INDEX('Per Line'!$P$2:$P$4001,$AA914))</f>
        <v/>
      </c>
      <c r="L914" s="7">
        <f>IF($AA914="","",IF(AND(ISNUMBER(N914),N914&gt;0,Y914&gt;N914),K914*N914/100+(Y914-N914),K914*Y914/100))</f>
        <v/>
      </c>
      <c r="M914">
        <f>IF($AA914="","",INDEX('Per Line'!$Z$2:$Z$4001,$AA914)&amp;"")</f>
        <v/>
      </c>
      <c r="N914">
        <f>IF($AA914="","",INDEX('Per Line'!$AG$2:$AG$4001,$AA914))</f>
        <v/>
      </c>
      <c r="O914">
        <f>IF($AA914="","",IF(AND(ISNUMBER(N914),N914&gt;0),Y914&gt;N914,FALSE))</f>
        <v/>
      </c>
      <c r="P914" s="7">
        <f>IF($AA914="","",SUMIFS('Per Line'!$Y$2:$Y$4001,'Per Line'!$E$2:$E$4001,$B914,'Per Line'!$AQ$2:$AQ$4001,1))</f>
        <v/>
      </c>
      <c r="Q914">
        <f>IF($AA914="","",Settings!$C$7)</f>
        <v/>
      </c>
      <c r="R914" s="7">
        <f>IF($AA914="","",SUMIFS('Per Line'!$Y$2:$Y$4001,'Per Line'!$E$2:$E$4001,$B914,'Per Line'!$AP$2:$AP$4001,0,'Per Line'!$AQ$2:$AQ$4001,0))</f>
        <v/>
      </c>
      <c r="S914" s="7">
        <f>IF($AA914="","",R914*Q914)</f>
        <v/>
      </c>
      <c r="T914">
        <f>IF($AA914="","",Settings!$C$6)</f>
        <v/>
      </c>
      <c r="U914" s="7">
        <f>IF($AA914="","",SUMIFS('Per Line'!$Y$2:$Y$4001,'Per Line'!$E$2:$E$4001,$B914,'Per Line'!$AP$2:$AP$4001,1,'Per Line'!$AQ$2:$AQ$4001,0))</f>
        <v/>
      </c>
      <c r="V914" s="7">
        <f>IF($AA914="","",U914*T914)</f>
        <v/>
      </c>
      <c r="W914" s="7">
        <f>IF($AA914="","",V914+S914)</f>
        <v/>
      </c>
      <c r="X914" s="7">
        <f>IF($AA914="","",Y914-W914)</f>
        <v/>
      </c>
      <c r="Y914" s="7">
        <f>IF($AA914="","",R914+U914+P914)</f>
        <v/>
      </c>
      <c r="Z914" s="7">
        <f>IF($AA914="","",Y914-W914-L914)</f>
        <v/>
      </c>
      <c r="AA914" s="13">
        <f>IF(ROWS($AA$2:$AA914)&lt;=MAX('Per Line'!$AO$2:$AO$4001),MATCH(ROWS($AA$2:$AA914),'Per Line'!$AO$2:$AO$4001,0),"")</f>
        <v/>
      </c>
      <c r="AB914" s="14">
        <f>IF($AA914="","",L914-K914*Y914/100)</f>
        <v/>
      </c>
    </row>
    <row r="915">
      <c r="A915" s="12" t="n"/>
      <c r="B915">
        <f>IF($AA915="","",INDEX('Per Line'!$E$2:$E$4001,$AA915)&amp;"")</f>
        <v/>
      </c>
      <c r="C915">
        <f>IF($AA915="","",INDEX('Per Line'!$A$2:$A$4001,$AA915)&amp;"")</f>
        <v/>
      </c>
      <c r="D915">
        <f>IF($AA915="","",INDEX('Per Line'!$D$2:$D$4001,$AA915)&amp;"")</f>
        <v/>
      </c>
      <c r="E915" s="11">
        <f>IF($AA915="","",INDEX('Per Line'!$G$2:$G$4001,$AA915))</f>
        <v/>
      </c>
      <c r="F915">
        <f>IF($AA915="","",INDEX('Per Line'!$H$2:$H$4001,$AA915)&amp;"")</f>
        <v/>
      </c>
      <c r="G915">
        <f>IF($AA915="","",INDEX('Per Line'!$I$2:$I$4001,$AA915)&amp;"")</f>
        <v/>
      </c>
      <c r="H915">
        <f>IF($AA915="","",INDEX('Per Line'!$J$2:$J$4001,$AA915)&amp;"")</f>
        <v/>
      </c>
      <c r="I915">
        <f>IF($AA915="","",INDEX('Per Line'!$K$2:$K$4001,$AA915)&amp;"")</f>
        <v/>
      </c>
      <c r="J915">
        <f>IF($AA915="","",INDEX('Per Line'!$L$2:$L$4001,$AA915)&amp;"")</f>
        <v/>
      </c>
      <c r="K915">
        <f>IF($AA915="","",INDEX('Per Line'!$P$2:$P$4001,$AA915))</f>
        <v/>
      </c>
      <c r="L915" s="7">
        <f>IF($AA915="","",IF(AND(ISNUMBER(N915),N915&gt;0,Y915&gt;N915),K915*N915/100+(Y915-N915),K915*Y915/100))</f>
        <v/>
      </c>
      <c r="M915">
        <f>IF($AA915="","",INDEX('Per Line'!$Z$2:$Z$4001,$AA915)&amp;"")</f>
        <v/>
      </c>
      <c r="N915">
        <f>IF($AA915="","",INDEX('Per Line'!$AG$2:$AG$4001,$AA915))</f>
        <v/>
      </c>
      <c r="O915">
        <f>IF($AA915="","",IF(AND(ISNUMBER(N915),N915&gt;0),Y915&gt;N915,FALSE))</f>
        <v/>
      </c>
      <c r="P915" s="7">
        <f>IF($AA915="","",SUMIFS('Per Line'!$Y$2:$Y$4001,'Per Line'!$E$2:$E$4001,$B915,'Per Line'!$AQ$2:$AQ$4001,1))</f>
        <v/>
      </c>
      <c r="Q915">
        <f>IF($AA915="","",Settings!$C$7)</f>
        <v/>
      </c>
      <c r="R915" s="7">
        <f>IF($AA915="","",SUMIFS('Per Line'!$Y$2:$Y$4001,'Per Line'!$E$2:$E$4001,$B915,'Per Line'!$AP$2:$AP$4001,0,'Per Line'!$AQ$2:$AQ$4001,0))</f>
        <v/>
      </c>
      <c r="S915" s="7">
        <f>IF($AA915="","",R915*Q915)</f>
        <v/>
      </c>
      <c r="T915">
        <f>IF($AA915="","",Settings!$C$6)</f>
        <v/>
      </c>
      <c r="U915" s="7">
        <f>IF($AA915="","",SUMIFS('Per Line'!$Y$2:$Y$4001,'Per Line'!$E$2:$E$4001,$B915,'Per Line'!$AP$2:$AP$4001,1,'Per Line'!$AQ$2:$AQ$4001,0))</f>
        <v/>
      </c>
      <c r="V915" s="7">
        <f>IF($AA915="","",U915*T915)</f>
        <v/>
      </c>
      <c r="W915" s="7">
        <f>IF($AA915="","",V915+S915)</f>
        <v/>
      </c>
      <c r="X915" s="7">
        <f>IF($AA915="","",Y915-W915)</f>
        <v/>
      </c>
      <c r="Y915" s="7">
        <f>IF($AA915="","",R915+U915+P915)</f>
        <v/>
      </c>
      <c r="Z915" s="7">
        <f>IF($AA915="","",Y915-W915-L915)</f>
        <v/>
      </c>
      <c r="AA915" s="13">
        <f>IF(ROWS($AA$2:$AA915)&lt;=MAX('Per Line'!$AO$2:$AO$4001),MATCH(ROWS($AA$2:$AA915),'Per Line'!$AO$2:$AO$4001,0),"")</f>
        <v/>
      </c>
      <c r="AB915" s="14">
        <f>IF($AA915="","",L915-K915*Y915/100)</f>
        <v/>
      </c>
    </row>
    <row r="916">
      <c r="A916" s="12" t="n"/>
      <c r="B916">
        <f>IF($AA916="","",INDEX('Per Line'!$E$2:$E$4001,$AA916)&amp;"")</f>
        <v/>
      </c>
      <c r="C916">
        <f>IF($AA916="","",INDEX('Per Line'!$A$2:$A$4001,$AA916)&amp;"")</f>
        <v/>
      </c>
      <c r="D916">
        <f>IF($AA916="","",INDEX('Per Line'!$D$2:$D$4001,$AA916)&amp;"")</f>
        <v/>
      </c>
      <c r="E916" s="11">
        <f>IF($AA916="","",INDEX('Per Line'!$G$2:$G$4001,$AA916))</f>
        <v/>
      </c>
      <c r="F916">
        <f>IF($AA916="","",INDEX('Per Line'!$H$2:$H$4001,$AA916)&amp;"")</f>
        <v/>
      </c>
      <c r="G916">
        <f>IF($AA916="","",INDEX('Per Line'!$I$2:$I$4001,$AA916)&amp;"")</f>
        <v/>
      </c>
      <c r="H916">
        <f>IF($AA916="","",INDEX('Per Line'!$J$2:$J$4001,$AA916)&amp;"")</f>
        <v/>
      </c>
      <c r="I916">
        <f>IF($AA916="","",INDEX('Per Line'!$K$2:$K$4001,$AA916)&amp;"")</f>
        <v/>
      </c>
      <c r="J916">
        <f>IF($AA916="","",INDEX('Per Line'!$L$2:$L$4001,$AA916)&amp;"")</f>
        <v/>
      </c>
      <c r="K916">
        <f>IF($AA916="","",INDEX('Per Line'!$P$2:$P$4001,$AA916))</f>
        <v/>
      </c>
      <c r="L916" s="7">
        <f>IF($AA916="","",IF(AND(ISNUMBER(N916),N916&gt;0,Y916&gt;N916),K916*N916/100+(Y916-N916),K916*Y916/100))</f>
        <v/>
      </c>
      <c r="M916">
        <f>IF($AA916="","",INDEX('Per Line'!$Z$2:$Z$4001,$AA916)&amp;"")</f>
        <v/>
      </c>
      <c r="N916">
        <f>IF($AA916="","",INDEX('Per Line'!$AG$2:$AG$4001,$AA916))</f>
        <v/>
      </c>
      <c r="O916">
        <f>IF($AA916="","",IF(AND(ISNUMBER(N916),N916&gt;0),Y916&gt;N916,FALSE))</f>
        <v/>
      </c>
      <c r="P916" s="7">
        <f>IF($AA916="","",SUMIFS('Per Line'!$Y$2:$Y$4001,'Per Line'!$E$2:$E$4001,$B916,'Per Line'!$AQ$2:$AQ$4001,1))</f>
        <v/>
      </c>
      <c r="Q916">
        <f>IF($AA916="","",Settings!$C$7)</f>
        <v/>
      </c>
      <c r="R916" s="7">
        <f>IF($AA916="","",SUMIFS('Per Line'!$Y$2:$Y$4001,'Per Line'!$E$2:$E$4001,$B916,'Per Line'!$AP$2:$AP$4001,0,'Per Line'!$AQ$2:$AQ$4001,0))</f>
        <v/>
      </c>
      <c r="S916" s="7">
        <f>IF($AA916="","",R916*Q916)</f>
        <v/>
      </c>
      <c r="T916">
        <f>IF($AA916="","",Settings!$C$6)</f>
        <v/>
      </c>
      <c r="U916" s="7">
        <f>IF($AA916="","",SUMIFS('Per Line'!$Y$2:$Y$4001,'Per Line'!$E$2:$E$4001,$B916,'Per Line'!$AP$2:$AP$4001,1,'Per Line'!$AQ$2:$AQ$4001,0))</f>
        <v/>
      </c>
      <c r="V916" s="7">
        <f>IF($AA916="","",U916*T916)</f>
        <v/>
      </c>
      <c r="W916" s="7">
        <f>IF($AA916="","",V916+S916)</f>
        <v/>
      </c>
      <c r="X916" s="7">
        <f>IF($AA916="","",Y916-W916)</f>
        <v/>
      </c>
      <c r="Y916" s="7">
        <f>IF($AA916="","",R916+U916+P916)</f>
        <v/>
      </c>
      <c r="Z916" s="7">
        <f>IF($AA916="","",Y916-W916-L916)</f>
        <v/>
      </c>
      <c r="AA916" s="13">
        <f>IF(ROWS($AA$2:$AA916)&lt;=MAX('Per Line'!$AO$2:$AO$4001),MATCH(ROWS($AA$2:$AA916),'Per Line'!$AO$2:$AO$4001,0),"")</f>
        <v/>
      </c>
      <c r="AB916" s="14">
        <f>IF($AA916="","",L916-K916*Y916/100)</f>
        <v/>
      </c>
    </row>
    <row r="917">
      <c r="A917" s="12" t="n"/>
      <c r="B917">
        <f>IF($AA917="","",INDEX('Per Line'!$E$2:$E$4001,$AA917)&amp;"")</f>
        <v/>
      </c>
      <c r="C917">
        <f>IF($AA917="","",INDEX('Per Line'!$A$2:$A$4001,$AA917)&amp;"")</f>
        <v/>
      </c>
      <c r="D917">
        <f>IF($AA917="","",INDEX('Per Line'!$D$2:$D$4001,$AA917)&amp;"")</f>
        <v/>
      </c>
      <c r="E917" s="11">
        <f>IF($AA917="","",INDEX('Per Line'!$G$2:$G$4001,$AA917))</f>
        <v/>
      </c>
      <c r="F917">
        <f>IF($AA917="","",INDEX('Per Line'!$H$2:$H$4001,$AA917)&amp;"")</f>
        <v/>
      </c>
      <c r="G917">
        <f>IF($AA917="","",INDEX('Per Line'!$I$2:$I$4001,$AA917)&amp;"")</f>
        <v/>
      </c>
      <c r="H917">
        <f>IF($AA917="","",INDEX('Per Line'!$J$2:$J$4001,$AA917)&amp;"")</f>
        <v/>
      </c>
      <c r="I917">
        <f>IF($AA917="","",INDEX('Per Line'!$K$2:$K$4001,$AA917)&amp;"")</f>
        <v/>
      </c>
      <c r="J917">
        <f>IF($AA917="","",INDEX('Per Line'!$L$2:$L$4001,$AA917)&amp;"")</f>
        <v/>
      </c>
      <c r="K917">
        <f>IF($AA917="","",INDEX('Per Line'!$P$2:$P$4001,$AA917))</f>
        <v/>
      </c>
      <c r="L917" s="7">
        <f>IF($AA917="","",IF(AND(ISNUMBER(N917),N917&gt;0,Y917&gt;N917),K917*N917/100+(Y917-N917),K917*Y917/100))</f>
        <v/>
      </c>
      <c r="M917">
        <f>IF($AA917="","",INDEX('Per Line'!$Z$2:$Z$4001,$AA917)&amp;"")</f>
        <v/>
      </c>
      <c r="N917">
        <f>IF($AA917="","",INDEX('Per Line'!$AG$2:$AG$4001,$AA917))</f>
        <v/>
      </c>
      <c r="O917">
        <f>IF($AA917="","",IF(AND(ISNUMBER(N917),N917&gt;0),Y917&gt;N917,FALSE))</f>
        <v/>
      </c>
      <c r="P917" s="7">
        <f>IF($AA917="","",SUMIFS('Per Line'!$Y$2:$Y$4001,'Per Line'!$E$2:$E$4001,$B917,'Per Line'!$AQ$2:$AQ$4001,1))</f>
        <v/>
      </c>
      <c r="Q917">
        <f>IF($AA917="","",Settings!$C$7)</f>
        <v/>
      </c>
      <c r="R917" s="7">
        <f>IF($AA917="","",SUMIFS('Per Line'!$Y$2:$Y$4001,'Per Line'!$E$2:$E$4001,$B917,'Per Line'!$AP$2:$AP$4001,0,'Per Line'!$AQ$2:$AQ$4001,0))</f>
        <v/>
      </c>
      <c r="S917" s="7">
        <f>IF($AA917="","",R917*Q917)</f>
        <v/>
      </c>
      <c r="T917">
        <f>IF($AA917="","",Settings!$C$6)</f>
        <v/>
      </c>
      <c r="U917" s="7">
        <f>IF($AA917="","",SUMIFS('Per Line'!$Y$2:$Y$4001,'Per Line'!$E$2:$E$4001,$B917,'Per Line'!$AP$2:$AP$4001,1,'Per Line'!$AQ$2:$AQ$4001,0))</f>
        <v/>
      </c>
      <c r="V917" s="7">
        <f>IF($AA917="","",U917*T917)</f>
        <v/>
      </c>
      <c r="W917" s="7">
        <f>IF($AA917="","",V917+S917)</f>
        <v/>
      </c>
      <c r="X917" s="7">
        <f>IF($AA917="","",Y917-W917)</f>
        <v/>
      </c>
      <c r="Y917" s="7">
        <f>IF($AA917="","",R917+U917+P917)</f>
        <v/>
      </c>
      <c r="Z917" s="7">
        <f>IF($AA917="","",Y917-W917-L917)</f>
        <v/>
      </c>
      <c r="AA917" s="13">
        <f>IF(ROWS($AA$2:$AA917)&lt;=MAX('Per Line'!$AO$2:$AO$4001),MATCH(ROWS($AA$2:$AA917),'Per Line'!$AO$2:$AO$4001,0),"")</f>
        <v/>
      </c>
      <c r="AB917" s="14">
        <f>IF($AA917="","",L917-K917*Y917/100)</f>
        <v/>
      </c>
    </row>
    <row r="918">
      <c r="A918" s="12" t="n"/>
      <c r="B918">
        <f>IF($AA918="","",INDEX('Per Line'!$E$2:$E$4001,$AA918)&amp;"")</f>
        <v/>
      </c>
      <c r="C918">
        <f>IF($AA918="","",INDEX('Per Line'!$A$2:$A$4001,$AA918)&amp;"")</f>
        <v/>
      </c>
      <c r="D918">
        <f>IF($AA918="","",INDEX('Per Line'!$D$2:$D$4001,$AA918)&amp;"")</f>
        <v/>
      </c>
      <c r="E918" s="11">
        <f>IF($AA918="","",INDEX('Per Line'!$G$2:$G$4001,$AA918))</f>
        <v/>
      </c>
      <c r="F918">
        <f>IF($AA918="","",INDEX('Per Line'!$H$2:$H$4001,$AA918)&amp;"")</f>
        <v/>
      </c>
      <c r="G918">
        <f>IF($AA918="","",INDEX('Per Line'!$I$2:$I$4001,$AA918)&amp;"")</f>
        <v/>
      </c>
      <c r="H918">
        <f>IF($AA918="","",INDEX('Per Line'!$J$2:$J$4001,$AA918)&amp;"")</f>
        <v/>
      </c>
      <c r="I918">
        <f>IF($AA918="","",INDEX('Per Line'!$K$2:$K$4001,$AA918)&amp;"")</f>
        <v/>
      </c>
      <c r="J918">
        <f>IF($AA918="","",INDEX('Per Line'!$L$2:$L$4001,$AA918)&amp;"")</f>
        <v/>
      </c>
      <c r="K918">
        <f>IF($AA918="","",INDEX('Per Line'!$P$2:$P$4001,$AA918))</f>
        <v/>
      </c>
      <c r="L918" s="7">
        <f>IF($AA918="","",IF(AND(ISNUMBER(N918),N918&gt;0,Y918&gt;N918),K918*N918/100+(Y918-N918),K918*Y918/100))</f>
        <v/>
      </c>
      <c r="M918">
        <f>IF($AA918="","",INDEX('Per Line'!$Z$2:$Z$4001,$AA918)&amp;"")</f>
        <v/>
      </c>
      <c r="N918">
        <f>IF($AA918="","",INDEX('Per Line'!$AG$2:$AG$4001,$AA918))</f>
        <v/>
      </c>
      <c r="O918">
        <f>IF($AA918="","",IF(AND(ISNUMBER(N918),N918&gt;0),Y918&gt;N918,FALSE))</f>
        <v/>
      </c>
      <c r="P918" s="7">
        <f>IF($AA918="","",SUMIFS('Per Line'!$Y$2:$Y$4001,'Per Line'!$E$2:$E$4001,$B918,'Per Line'!$AQ$2:$AQ$4001,1))</f>
        <v/>
      </c>
      <c r="Q918">
        <f>IF($AA918="","",Settings!$C$7)</f>
        <v/>
      </c>
      <c r="R918" s="7">
        <f>IF($AA918="","",SUMIFS('Per Line'!$Y$2:$Y$4001,'Per Line'!$E$2:$E$4001,$B918,'Per Line'!$AP$2:$AP$4001,0,'Per Line'!$AQ$2:$AQ$4001,0))</f>
        <v/>
      </c>
      <c r="S918" s="7">
        <f>IF($AA918="","",R918*Q918)</f>
        <v/>
      </c>
      <c r="T918">
        <f>IF($AA918="","",Settings!$C$6)</f>
        <v/>
      </c>
      <c r="U918" s="7">
        <f>IF($AA918="","",SUMIFS('Per Line'!$Y$2:$Y$4001,'Per Line'!$E$2:$E$4001,$B918,'Per Line'!$AP$2:$AP$4001,1,'Per Line'!$AQ$2:$AQ$4001,0))</f>
        <v/>
      </c>
      <c r="V918" s="7">
        <f>IF($AA918="","",U918*T918)</f>
        <v/>
      </c>
      <c r="W918" s="7">
        <f>IF($AA918="","",V918+S918)</f>
        <v/>
      </c>
      <c r="X918" s="7">
        <f>IF($AA918="","",Y918-W918)</f>
        <v/>
      </c>
      <c r="Y918" s="7">
        <f>IF($AA918="","",R918+U918+P918)</f>
        <v/>
      </c>
      <c r="Z918" s="7">
        <f>IF($AA918="","",Y918-W918-L918)</f>
        <v/>
      </c>
      <c r="AA918" s="13">
        <f>IF(ROWS($AA$2:$AA918)&lt;=MAX('Per Line'!$AO$2:$AO$4001),MATCH(ROWS($AA$2:$AA918),'Per Line'!$AO$2:$AO$4001,0),"")</f>
        <v/>
      </c>
      <c r="AB918" s="14">
        <f>IF($AA918="","",L918-K918*Y918/100)</f>
        <v/>
      </c>
    </row>
    <row r="919">
      <c r="A919" s="12" t="n"/>
      <c r="B919">
        <f>IF($AA919="","",INDEX('Per Line'!$E$2:$E$4001,$AA919)&amp;"")</f>
        <v/>
      </c>
      <c r="C919">
        <f>IF($AA919="","",INDEX('Per Line'!$A$2:$A$4001,$AA919)&amp;"")</f>
        <v/>
      </c>
      <c r="D919">
        <f>IF($AA919="","",INDEX('Per Line'!$D$2:$D$4001,$AA919)&amp;"")</f>
        <v/>
      </c>
      <c r="E919" s="11">
        <f>IF($AA919="","",INDEX('Per Line'!$G$2:$G$4001,$AA919))</f>
        <v/>
      </c>
      <c r="F919">
        <f>IF($AA919="","",INDEX('Per Line'!$H$2:$H$4001,$AA919)&amp;"")</f>
        <v/>
      </c>
      <c r="G919">
        <f>IF($AA919="","",INDEX('Per Line'!$I$2:$I$4001,$AA919)&amp;"")</f>
        <v/>
      </c>
      <c r="H919">
        <f>IF($AA919="","",INDEX('Per Line'!$J$2:$J$4001,$AA919)&amp;"")</f>
        <v/>
      </c>
      <c r="I919">
        <f>IF($AA919="","",INDEX('Per Line'!$K$2:$K$4001,$AA919)&amp;"")</f>
        <v/>
      </c>
      <c r="J919">
        <f>IF($AA919="","",INDEX('Per Line'!$L$2:$L$4001,$AA919)&amp;"")</f>
        <v/>
      </c>
      <c r="K919">
        <f>IF($AA919="","",INDEX('Per Line'!$P$2:$P$4001,$AA919))</f>
        <v/>
      </c>
      <c r="L919" s="7">
        <f>IF($AA919="","",IF(AND(ISNUMBER(N919),N919&gt;0,Y919&gt;N919),K919*N919/100+(Y919-N919),K919*Y919/100))</f>
        <v/>
      </c>
      <c r="M919">
        <f>IF($AA919="","",INDEX('Per Line'!$Z$2:$Z$4001,$AA919)&amp;"")</f>
        <v/>
      </c>
      <c r="N919">
        <f>IF($AA919="","",INDEX('Per Line'!$AG$2:$AG$4001,$AA919))</f>
        <v/>
      </c>
      <c r="O919">
        <f>IF($AA919="","",IF(AND(ISNUMBER(N919),N919&gt;0),Y919&gt;N919,FALSE))</f>
        <v/>
      </c>
      <c r="P919" s="7">
        <f>IF($AA919="","",SUMIFS('Per Line'!$Y$2:$Y$4001,'Per Line'!$E$2:$E$4001,$B919,'Per Line'!$AQ$2:$AQ$4001,1))</f>
        <v/>
      </c>
      <c r="Q919">
        <f>IF($AA919="","",Settings!$C$7)</f>
        <v/>
      </c>
      <c r="R919" s="7">
        <f>IF($AA919="","",SUMIFS('Per Line'!$Y$2:$Y$4001,'Per Line'!$E$2:$E$4001,$B919,'Per Line'!$AP$2:$AP$4001,0,'Per Line'!$AQ$2:$AQ$4001,0))</f>
        <v/>
      </c>
      <c r="S919" s="7">
        <f>IF($AA919="","",R919*Q919)</f>
        <v/>
      </c>
      <c r="T919">
        <f>IF($AA919="","",Settings!$C$6)</f>
        <v/>
      </c>
      <c r="U919" s="7">
        <f>IF($AA919="","",SUMIFS('Per Line'!$Y$2:$Y$4001,'Per Line'!$E$2:$E$4001,$B919,'Per Line'!$AP$2:$AP$4001,1,'Per Line'!$AQ$2:$AQ$4001,0))</f>
        <v/>
      </c>
      <c r="V919" s="7">
        <f>IF($AA919="","",U919*T919)</f>
        <v/>
      </c>
      <c r="W919" s="7">
        <f>IF($AA919="","",V919+S919)</f>
        <v/>
      </c>
      <c r="X919" s="7">
        <f>IF($AA919="","",Y919-W919)</f>
        <v/>
      </c>
      <c r="Y919" s="7">
        <f>IF($AA919="","",R919+U919+P919)</f>
        <v/>
      </c>
      <c r="Z919" s="7">
        <f>IF($AA919="","",Y919-W919-L919)</f>
        <v/>
      </c>
      <c r="AA919" s="13">
        <f>IF(ROWS($AA$2:$AA919)&lt;=MAX('Per Line'!$AO$2:$AO$4001),MATCH(ROWS($AA$2:$AA919),'Per Line'!$AO$2:$AO$4001,0),"")</f>
        <v/>
      </c>
      <c r="AB919" s="14">
        <f>IF($AA919="","",L919-K919*Y919/100)</f>
        <v/>
      </c>
    </row>
    <row r="920">
      <c r="A920" s="12" t="n"/>
      <c r="B920">
        <f>IF($AA920="","",INDEX('Per Line'!$E$2:$E$4001,$AA920)&amp;"")</f>
        <v/>
      </c>
      <c r="C920">
        <f>IF($AA920="","",INDEX('Per Line'!$A$2:$A$4001,$AA920)&amp;"")</f>
        <v/>
      </c>
      <c r="D920">
        <f>IF($AA920="","",INDEX('Per Line'!$D$2:$D$4001,$AA920)&amp;"")</f>
        <v/>
      </c>
      <c r="E920" s="11">
        <f>IF($AA920="","",INDEX('Per Line'!$G$2:$G$4001,$AA920))</f>
        <v/>
      </c>
      <c r="F920">
        <f>IF($AA920="","",INDEX('Per Line'!$H$2:$H$4001,$AA920)&amp;"")</f>
        <v/>
      </c>
      <c r="G920">
        <f>IF($AA920="","",INDEX('Per Line'!$I$2:$I$4001,$AA920)&amp;"")</f>
        <v/>
      </c>
      <c r="H920">
        <f>IF($AA920="","",INDEX('Per Line'!$J$2:$J$4001,$AA920)&amp;"")</f>
        <v/>
      </c>
      <c r="I920">
        <f>IF($AA920="","",INDEX('Per Line'!$K$2:$K$4001,$AA920)&amp;"")</f>
        <v/>
      </c>
      <c r="J920">
        <f>IF($AA920="","",INDEX('Per Line'!$L$2:$L$4001,$AA920)&amp;"")</f>
        <v/>
      </c>
      <c r="K920">
        <f>IF($AA920="","",INDEX('Per Line'!$P$2:$P$4001,$AA920))</f>
        <v/>
      </c>
      <c r="L920" s="7">
        <f>IF($AA920="","",IF(AND(ISNUMBER(N920),N920&gt;0,Y920&gt;N920),K920*N920/100+(Y920-N920),K920*Y920/100))</f>
        <v/>
      </c>
      <c r="M920">
        <f>IF($AA920="","",INDEX('Per Line'!$Z$2:$Z$4001,$AA920)&amp;"")</f>
        <v/>
      </c>
      <c r="N920">
        <f>IF($AA920="","",INDEX('Per Line'!$AG$2:$AG$4001,$AA920))</f>
        <v/>
      </c>
      <c r="O920">
        <f>IF($AA920="","",IF(AND(ISNUMBER(N920),N920&gt;0),Y920&gt;N920,FALSE))</f>
        <v/>
      </c>
      <c r="P920" s="7">
        <f>IF($AA920="","",SUMIFS('Per Line'!$Y$2:$Y$4001,'Per Line'!$E$2:$E$4001,$B920,'Per Line'!$AQ$2:$AQ$4001,1))</f>
        <v/>
      </c>
      <c r="Q920">
        <f>IF($AA920="","",Settings!$C$7)</f>
        <v/>
      </c>
      <c r="R920" s="7">
        <f>IF($AA920="","",SUMIFS('Per Line'!$Y$2:$Y$4001,'Per Line'!$E$2:$E$4001,$B920,'Per Line'!$AP$2:$AP$4001,0,'Per Line'!$AQ$2:$AQ$4001,0))</f>
        <v/>
      </c>
      <c r="S920" s="7">
        <f>IF($AA920="","",R920*Q920)</f>
        <v/>
      </c>
      <c r="T920">
        <f>IF($AA920="","",Settings!$C$6)</f>
        <v/>
      </c>
      <c r="U920" s="7">
        <f>IF($AA920="","",SUMIFS('Per Line'!$Y$2:$Y$4001,'Per Line'!$E$2:$E$4001,$B920,'Per Line'!$AP$2:$AP$4001,1,'Per Line'!$AQ$2:$AQ$4001,0))</f>
        <v/>
      </c>
      <c r="V920" s="7">
        <f>IF($AA920="","",U920*T920)</f>
        <v/>
      </c>
      <c r="W920" s="7">
        <f>IF($AA920="","",V920+S920)</f>
        <v/>
      </c>
      <c r="X920" s="7">
        <f>IF($AA920="","",Y920-W920)</f>
        <v/>
      </c>
      <c r="Y920" s="7">
        <f>IF($AA920="","",R920+U920+P920)</f>
        <v/>
      </c>
      <c r="Z920" s="7">
        <f>IF($AA920="","",Y920-W920-L920)</f>
        <v/>
      </c>
      <c r="AA920" s="13">
        <f>IF(ROWS($AA$2:$AA920)&lt;=MAX('Per Line'!$AO$2:$AO$4001),MATCH(ROWS($AA$2:$AA920),'Per Line'!$AO$2:$AO$4001,0),"")</f>
        <v/>
      </c>
      <c r="AB920" s="14">
        <f>IF($AA920="","",L920-K920*Y920/100)</f>
        <v/>
      </c>
    </row>
    <row r="921">
      <c r="A921" s="12" t="n"/>
      <c r="B921">
        <f>IF($AA921="","",INDEX('Per Line'!$E$2:$E$4001,$AA921)&amp;"")</f>
        <v/>
      </c>
      <c r="C921">
        <f>IF($AA921="","",INDEX('Per Line'!$A$2:$A$4001,$AA921)&amp;"")</f>
        <v/>
      </c>
      <c r="D921">
        <f>IF($AA921="","",INDEX('Per Line'!$D$2:$D$4001,$AA921)&amp;"")</f>
        <v/>
      </c>
      <c r="E921" s="11">
        <f>IF($AA921="","",INDEX('Per Line'!$G$2:$G$4001,$AA921))</f>
        <v/>
      </c>
      <c r="F921">
        <f>IF($AA921="","",INDEX('Per Line'!$H$2:$H$4001,$AA921)&amp;"")</f>
        <v/>
      </c>
      <c r="G921">
        <f>IF($AA921="","",INDEX('Per Line'!$I$2:$I$4001,$AA921)&amp;"")</f>
        <v/>
      </c>
      <c r="H921">
        <f>IF($AA921="","",INDEX('Per Line'!$J$2:$J$4001,$AA921)&amp;"")</f>
        <v/>
      </c>
      <c r="I921">
        <f>IF($AA921="","",INDEX('Per Line'!$K$2:$K$4001,$AA921)&amp;"")</f>
        <v/>
      </c>
      <c r="J921">
        <f>IF($AA921="","",INDEX('Per Line'!$L$2:$L$4001,$AA921)&amp;"")</f>
        <v/>
      </c>
      <c r="K921">
        <f>IF($AA921="","",INDEX('Per Line'!$P$2:$P$4001,$AA921))</f>
        <v/>
      </c>
      <c r="L921" s="7">
        <f>IF($AA921="","",IF(AND(ISNUMBER(N921),N921&gt;0,Y921&gt;N921),K921*N921/100+(Y921-N921),K921*Y921/100))</f>
        <v/>
      </c>
      <c r="M921">
        <f>IF($AA921="","",INDEX('Per Line'!$Z$2:$Z$4001,$AA921)&amp;"")</f>
        <v/>
      </c>
      <c r="N921">
        <f>IF($AA921="","",INDEX('Per Line'!$AG$2:$AG$4001,$AA921))</f>
        <v/>
      </c>
      <c r="O921">
        <f>IF($AA921="","",IF(AND(ISNUMBER(N921),N921&gt;0),Y921&gt;N921,FALSE))</f>
        <v/>
      </c>
      <c r="P921" s="7">
        <f>IF($AA921="","",SUMIFS('Per Line'!$Y$2:$Y$4001,'Per Line'!$E$2:$E$4001,$B921,'Per Line'!$AQ$2:$AQ$4001,1))</f>
        <v/>
      </c>
      <c r="Q921">
        <f>IF($AA921="","",Settings!$C$7)</f>
        <v/>
      </c>
      <c r="R921" s="7">
        <f>IF($AA921="","",SUMIFS('Per Line'!$Y$2:$Y$4001,'Per Line'!$E$2:$E$4001,$B921,'Per Line'!$AP$2:$AP$4001,0,'Per Line'!$AQ$2:$AQ$4001,0))</f>
        <v/>
      </c>
      <c r="S921" s="7">
        <f>IF($AA921="","",R921*Q921)</f>
        <v/>
      </c>
      <c r="T921">
        <f>IF($AA921="","",Settings!$C$6)</f>
        <v/>
      </c>
      <c r="U921" s="7">
        <f>IF($AA921="","",SUMIFS('Per Line'!$Y$2:$Y$4001,'Per Line'!$E$2:$E$4001,$B921,'Per Line'!$AP$2:$AP$4001,1,'Per Line'!$AQ$2:$AQ$4001,0))</f>
        <v/>
      </c>
      <c r="V921" s="7">
        <f>IF($AA921="","",U921*T921)</f>
        <v/>
      </c>
      <c r="W921" s="7">
        <f>IF($AA921="","",V921+S921)</f>
        <v/>
      </c>
      <c r="X921" s="7">
        <f>IF($AA921="","",Y921-W921)</f>
        <v/>
      </c>
      <c r="Y921" s="7">
        <f>IF($AA921="","",R921+U921+P921)</f>
        <v/>
      </c>
      <c r="Z921" s="7">
        <f>IF($AA921="","",Y921-W921-L921)</f>
        <v/>
      </c>
      <c r="AA921" s="13">
        <f>IF(ROWS($AA$2:$AA921)&lt;=MAX('Per Line'!$AO$2:$AO$4001),MATCH(ROWS($AA$2:$AA921),'Per Line'!$AO$2:$AO$4001,0),"")</f>
        <v/>
      </c>
      <c r="AB921" s="14">
        <f>IF($AA921="","",L921-K921*Y921/100)</f>
        <v/>
      </c>
    </row>
    <row r="922">
      <c r="A922" s="12" t="n"/>
      <c r="B922">
        <f>IF($AA922="","",INDEX('Per Line'!$E$2:$E$4001,$AA922)&amp;"")</f>
        <v/>
      </c>
      <c r="C922">
        <f>IF($AA922="","",INDEX('Per Line'!$A$2:$A$4001,$AA922)&amp;"")</f>
        <v/>
      </c>
      <c r="D922">
        <f>IF($AA922="","",INDEX('Per Line'!$D$2:$D$4001,$AA922)&amp;"")</f>
        <v/>
      </c>
      <c r="E922" s="11">
        <f>IF($AA922="","",INDEX('Per Line'!$G$2:$G$4001,$AA922))</f>
        <v/>
      </c>
      <c r="F922">
        <f>IF($AA922="","",INDEX('Per Line'!$H$2:$H$4001,$AA922)&amp;"")</f>
        <v/>
      </c>
      <c r="G922">
        <f>IF($AA922="","",INDEX('Per Line'!$I$2:$I$4001,$AA922)&amp;"")</f>
        <v/>
      </c>
      <c r="H922">
        <f>IF($AA922="","",INDEX('Per Line'!$J$2:$J$4001,$AA922)&amp;"")</f>
        <v/>
      </c>
      <c r="I922">
        <f>IF($AA922="","",INDEX('Per Line'!$K$2:$K$4001,$AA922)&amp;"")</f>
        <v/>
      </c>
      <c r="J922">
        <f>IF($AA922="","",INDEX('Per Line'!$L$2:$L$4001,$AA922)&amp;"")</f>
        <v/>
      </c>
      <c r="K922">
        <f>IF($AA922="","",INDEX('Per Line'!$P$2:$P$4001,$AA922))</f>
        <v/>
      </c>
      <c r="L922" s="7">
        <f>IF($AA922="","",IF(AND(ISNUMBER(N922),N922&gt;0,Y922&gt;N922),K922*N922/100+(Y922-N922),K922*Y922/100))</f>
        <v/>
      </c>
      <c r="M922">
        <f>IF($AA922="","",INDEX('Per Line'!$Z$2:$Z$4001,$AA922)&amp;"")</f>
        <v/>
      </c>
      <c r="N922">
        <f>IF($AA922="","",INDEX('Per Line'!$AG$2:$AG$4001,$AA922))</f>
        <v/>
      </c>
      <c r="O922">
        <f>IF($AA922="","",IF(AND(ISNUMBER(N922),N922&gt;0),Y922&gt;N922,FALSE))</f>
        <v/>
      </c>
      <c r="P922" s="7">
        <f>IF($AA922="","",SUMIFS('Per Line'!$Y$2:$Y$4001,'Per Line'!$E$2:$E$4001,$B922,'Per Line'!$AQ$2:$AQ$4001,1))</f>
        <v/>
      </c>
      <c r="Q922">
        <f>IF($AA922="","",Settings!$C$7)</f>
        <v/>
      </c>
      <c r="R922" s="7">
        <f>IF($AA922="","",SUMIFS('Per Line'!$Y$2:$Y$4001,'Per Line'!$E$2:$E$4001,$B922,'Per Line'!$AP$2:$AP$4001,0,'Per Line'!$AQ$2:$AQ$4001,0))</f>
        <v/>
      </c>
      <c r="S922" s="7">
        <f>IF($AA922="","",R922*Q922)</f>
        <v/>
      </c>
      <c r="T922">
        <f>IF($AA922="","",Settings!$C$6)</f>
        <v/>
      </c>
      <c r="U922" s="7">
        <f>IF($AA922="","",SUMIFS('Per Line'!$Y$2:$Y$4001,'Per Line'!$E$2:$E$4001,$B922,'Per Line'!$AP$2:$AP$4001,1,'Per Line'!$AQ$2:$AQ$4001,0))</f>
        <v/>
      </c>
      <c r="V922" s="7">
        <f>IF($AA922="","",U922*T922)</f>
        <v/>
      </c>
      <c r="W922" s="7">
        <f>IF($AA922="","",V922+S922)</f>
        <v/>
      </c>
      <c r="X922" s="7">
        <f>IF($AA922="","",Y922-W922)</f>
        <v/>
      </c>
      <c r="Y922" s="7">
        <f>IF($AA922="","",R922+U922+P922)</f>
        <v/>
      </c>
      <c r="Z922" s="7">
        <f>IF($AA922="","",Y922-W922-L922)</f>
        <v/>
      </c>
      <c r="AA922" s="13">
        <f>IF(ROWS($AA$2:$AA922)&lt;=MAX('Per Line'!$AO$2:$AO$4001),MATCH(ROWS($AA$2:$AA922),'Per Line'!$AO$2:$AO$4001,0),"")</f>
        <v/>
      </c>
      <c r="AB922" s="14">
        <f>IF($AA922="","",L922-K922*Y922/100)</f>
        <v/>
      </c>
    </row>
    <row r="923">
      <c r="A923" s="12" t="n"/>
      <c r="B923">
        <f>IF($AA923="","",INDEX('Per Line'!$E$2:$E$4001,$AA923)&amp;"")</f>
        <v/>
      </c>
      <c r="C923">
        <f>IF($AA923="","",INDEX('Per Line'!$A$2:$A$4001,$AA923)&amp;"")</f>
        <v/>
      </c>
      <c r="D923">
        <f>IF($AA923="","",INDEX('Per Line'!$D$2:$D$4001,$AA923)&amp;"")</f>
        <v/>
      </c>
      <c r="E923" s="11">
        <f>IF($AA923="","",INDEX('Per Line'!$G$2:$G$4001,$AA923))</f>
        <v/>
      </c>
      <c r="F923">
        <f>IF($AA923="","",INDEX('Per Line'!$H$2:$H$4001,$AA923)&amp;"")</f>
        <v/>
      </c>
      <c r="G923">
        <f>IF($AA923="","",INDEX('Per Line'!$I$2:$I$4001,$AA923)&amp;"")</f>
        <v/>
      </c>
      <c r="H923">
        <f>IF($AA923="","",INDEX('Per Line'!$J$2:$J$4001,$AA923)&amp;"")</f>
        <v/>
      </c>
      <c r="I923">
        <f>IF($AA923="","",INDEX('Per Line'!$K$2:$K$4001,$AA923)&amp;"")</f>
        <v/>
      </c>
      <c r="J923">
        <f>IF($AA923="","",INDEX('Per Line'!$L$2:$L$4001,$AA923)&amp;"")</f>
        <v/>
      </c>
      <c r="K923">
        <f>IF($AA923="","",INDEX('Per Line'!$P$2:$P$4001,$AA923))</f>
        <v/>
      </c>
      <c r="L923" s="7">
        <f>IF($AA923="","",IF(AND(ISNUMBER(N923),N923&gt;0,Y923&gt;N923),K923*N923/100+(Y923-N923),K923*Y923/100))</f>
        <v/>
      </c>
      <c r="M923">
        <f>IF($AA923="","",INDEX('Per Line'!$Z$2:$Z$4001,$AA923)&amp;"")</f>
        <v/>
      </c>
      <c r="N923">
        <f>IF($AA923="","",INDEX('Per Line'!$AG$2:$AG$4001,$AA923))</f>
        <v/>
      </c>
      <c r="O923">
        <f>IF($AA923="","",IF(AND(ISNUMBER(N923),N923&gt;0),Y923&gt;N923,FALSE))</f>
        <v/>
      </c>
      <c r="P923" s="7">
        <f>IF($AA923="","",SUMIFS('Per Line'!$Y$2:$Y$4001,'Per Line'!$E$2:$E$4001,$B923,'Per Line'!$AQ$2:$AQ$4001,1))</f>
        <v/>
      </c>
      <c r="Q923">
        <f>IF($AA923="","",Settings!$C$7)</f>
        <v/>
      </c>
      <c r="R923" s="7">
        <f>IF($AA923="","",SUMIFS('Per Line'!$Y$2:$Y$4001,'Per Line'!$E$2:$E$4001,$B923,'Per Line'!$AP$2:$AP$4001,0,'Per Line'!$AQ$2:$AQ$4001,0))</f>
        <v/>
      </c>
      <c r="S923" s="7">
        <f>IF($AA923="","",R923*Q923)</f>
        <v/>
      </c>
      <c r="T923">
        <f>IF($AA923="","",Settings!$C$6)</f>
        <v/>
      </c>
      <c r="U923" s="7">
        <f>IF($AA923="","",SUMIFS('Per Line'!$Y$2:$Y$4001,'Per Line'!$E$2:$E$4001,$B923,'Per Line'!$AP$2:$AP$4001,1,'Per Line'!$AQ$2:$AQ$4001,0))</f>
        <v/>
      </c>
      <c r="V923" s="7">
        <f>IF($AA923="","",U923*T923)</f>
        <v/>
      </c>
      <c r="W923" s="7">
        <f>IF($AA923="","",V923+S923)</f>
        <v/>
      </c>
      <c r="X923" s="7">
        <f>IF($AA923="","",Y923-W923)</f>
        <v/>
      </c>
      <c r="Y923" s="7">
        <f>IF($AA923="","",R923+U923+P923)</f>
        <v/>
      </c>
      <c r="Z923" s="7">
        <f>IF($AA923="","",Y923-W923-L923)</f>
        <v/>
      </c>
      <c r="AA923" s="13">
        <f>IF(ROWS($AA$2:$AA923)&lt;=MAX('Per Line'!$AO$2:$AO$4001),MATCH(ROWS($AA$2:$AA923),'Per Line'!$AO$2:$AO$4001,0),"")</f>
        <v/>
      </c>
      <c r="AB923" s="14">
        <f>IF($AA923="","",L923-K923*Y923/100)</f>
        <v/>
      </c>
    </row>
    <row r="924">
      <c r="A924" s="12" t="n"/>
      <c r="B924">
        <f>IF($AA924="","",INDEX('Per Line'!$E$2:$E$4001,$AA924)&amp;"")</f>
        <v/>
      </c>
      <c r="C924">
        <f>IF($AA924="","",INDEX('Per Line'!$A$2:$A$4001,$AA924)&amp;"")</f>
        <v/>
      </c>
      <c r="D924">
        <f>IF($AA924="","",INDEX('Per Line'!$D$2:$D$4001,$AA924)&amp;"")</f>
        <v/>
      </c>
      <c r="E924" s="11">
        <f>IF($AA924="","",INDEX('Per Line'!$G$2:$G$4001,$AA924))</f>
        <v/>
      </c>
      <c r="F924">
        <f>IF($AA924="","",INDEX('Per Line'!$H$2:$H$4001,$AA924)&amp;"")</f>
        <v/>
      </c>
      <c r="G924">
        <f>IF($AA924="","",INDEX('Per Line'!$I$2:$I$4001,$AA924)&amp;"")</f>
        <v/>
      </c>
      <c r="H924">
        <f>IF($AA924="","",INDEX('Per Line'!$J$2:$J$4001,$AA924)&amp;"")</f>
        <v/>
      </c>
      <c r="I924">
        <f>IF($AA924="","",INDEX('Per Line'!$K$2:$K$4001,$AA924)&amp;"")</f>
        <v/>
      </c>
      <c r="J924">
        <f>IF($AA924="","",INDEX('Per Line'!$L$2:$L$4001,$AA924)&amp;"")</f>
        <v/>
      </c>
      <c r="K924">
        <f>IF($AA924="","",INDEX('Per Line'!$P$2:$P$4001,$AA924))</f>
        <v/>
      </c>
      <c r="L924" s="7">
        <f>IF($AA924="","",IF(AND(ISNUMBER(N924),N924&gt;0,Y924&gt;N924),K924*N924/100+(Y924-N924),K924*Y924/100))</f>
        <v/>
      </c>
      <c r="M924">
        <f>IF($AA924="","",INDEX('Per Line'!$Z$2:$Z$4001,$AA924)&amp;"")</f>
        <v/>
      </c>
      <c r="N924">
        <f>IF($AA924="","",INDEX('Per Line'!$AG$2:$AG$4001,$AA924))</f>
        <v/>
      </c>
      <c r="O924">
        <f>IF($AA924="","",IF(AND(ISNUMBER(N924),N924&gt;0),Y924&gt;N924,FALSE))</f>
        <v/>
      </c>
      <c r="P924" s="7">
        <f>IF($AA924="","",SUMIFS('Per Line'!$Y$2:$Y$4001,'Per Line'!$E$2:$E$4001,$B924,'Per Line'!$AQ$2:$AQ$4001,1))</f>
        <v/>
      </c>
      <c r="Q924">
        <f>IF($AA924="","",Settings!$C$7)</f>
        <v/>
      </c>
      <c r="R924" s="7">
        <f>IF($AA924="","",SUMIFS('Per Line'!$Y$2:$Y$4001,'Per Line'!$E$2:$E$4001,$B924,'Per Line'!$AP$2:$AP$4001,0,'Per Line'!$AQ$2:$AQ$4001,0))</f>
        <v/>
      </c>
      <c r="S924" s="7">
        <f>IF($AA924="","",R924*Q924)</f>
        <v/>
      </c>
      <c r="T924">
        <f>IF($AA924="","",Settings!$C$6)</f>
        <v/>
      </c>
      <c r="U924" s="7">
        <f>IF($AA924="","",SUMIFS('Per Line'!$Y$2:$Y$4001,'Per Line'!$E$2:$E$4001,$B924,'Per Line'!$AP$2:$AP$4001,1,'Per Line'!$AQ$2:$AQ$4001,0))</f>
        <v/>
      </c>
      <c r="V924" s="7">
        <f>IF($AA924="","",U924*T924)</f>
        <v/>
      </c>
      <c r="W924" s="7">
        <f>IF($AA924="","",V924+S924)</f>
        <v/>
      </c>
      <c r="X924" s="7">
        <f>IF($AA924="","",Y924-W924)</f>
        <v/>
      </c>
      <c r="Y924" s="7">
        <f>IF($AA924="","",R924+U924+P924)</f>
        <v/>
      </c>
      <c r="Z924" s="7">
        <f>IF($AA924="","",Y924-W924-L924)</f>
        <v/>
      </c>
      <c r="AA924" s="13">
        <f>IF(ROWS($AA$2:$AA924)&lt;=MAX('Per Line'!$AO$2:$AO$4001),MATCH(ROWS($AA$2:$AA924),'Per Line'!$AO$2:$AO$4001,0),"")</f>
        <v/>
      </c>
      <c r="AB924" s="14">
        <f>IF($AA924="","",L924-K924*Y924/100)</f>
        <v/>
      </c>
    </row>
    <row r="925">
      <c r="A925" s="12" t="n"/>
      <c r="B925">
        <f>IF($AA925="","",INDEX('Per Line'!$E$2:$E$4001,$AA925)&amp;"")</f>
        <v/>
      </c>
      <c r="C925">
        <f>IF($AA925="","",INDEX('Per Line'!$A$2:$A$4001,$AA925)&amp;"")</f>
        <v/>
      </c>
      <c r="D925">
        <f>IF($AA925="","",INDEX('Per Line'!$D$2:$D$4001,$AA925)&amp;"")</f>
        <v/>
      </c>
      <c r="E925" s="11">
        <f>IF($AA925="","",INDEX('Per Line'!$G$2:$G$4001,$AA925))</f>
        <v/>
      </c>
      <c r="F925">
        <f>IF($AA925="","",INDEX('Per Line'!$H$2:$H$4001,$AA925)&amp;"")</f>
        <v/>
      </c>
      <c r="G925">
        <f>IF($AA925="","",INDEX('Per Line'!$I$2:$I$4001,$AA925)&amp;"")</f>
        <v/>
      </c>
      <c r="H925">
        <f>IF($AA925="","",INDEX('Per Line'!$J$2:$J$4001,$AA925)&amp;"")</f>
        <v/>
      </c>
      <c r="I925">
        <f>IF($AA925="","",INDEX('Per Line'!$K$2:$K$4001,$AA925)&amp;"")</f>
        <v/>
      </c>
      <c r="J925">
        <f>IF($AA925="","",INDEX('Per Line'!$L$2:$L$4001,$AA925)&amp;"")</f>
        <v/>
      </c>
      <c r="K925">
        <f>IF($AA925="","",INDEX('Per Line'!$P$2:$P$4001,$AA925))</f>
        <v/>
      </c>
      <c r="L925" s="7">
        <f>IF($AA925="","",IF(AND(ISNUMBER(N925),N925&gt;0,Y925&gt;N925),K925*N925/100+(Y925-N925),K925*Y925/100))</f>
        <v/>
      </c>
      <c r="M925">
        <f>IF($AA925="","",INDEX('Per Line'!$Z$2:$Z$4001,$AA925)&amp;"")</f>
        <v/>
      </c>
      <c r="N925">
        <f>IF($AA925="","",INDEX('Per Line'!$AG$2:$AG$4001,$AA925))</f>
        <v/>
      </c>
      <c r="O925">
        <f>IF($AA925="","",IF(AND(ISNUMBER(N925),N925&gt;0),Y925&gt;N925,FALSE))</f>
        <v/>
      </c>
      <c r="P925" s="7">
        <f>IF($AA925="","",SUMIFS('Per Line'!$Y$2:$Y$4001,'Per Line'!$E$2:$E$4001,$B925,'Per Line'!$AQ$2:$AQ$4001,1))</f>
        <v/>
      </c>
      <c r="Q925">
        <f>IF($AA925="","",Settings!$C$7)</f>
        <v/>
      </c>
      <c r="R925" s="7">
        <f>IF($AA925="","",SUMIFS('Per Line'!$Y$2:$Y$4001,'Per Line'!$E$2:$E$4001,$B925,'Per Line'!$AP$2:$AP$4001,0,'Per Line'!$AQ$2:$AQ$4001,0))</f>
        <v/>
      </c>
      <c r="S925" s="7">
        <f>IF($AA925="","",R925*Q925)</f>
        <v/>
      </c>
      <c r="T925">
        <f>IF($AA925="","",Settings!$C$6)</f>
        <v/>
      </c>
      <c r="U925" s="7">
        <f>IF($AA925="","",SUMIFS('Per Line'!$Y$2:$Y$4001,'Per Line'!$E$2:$E$4001,$B925,'Per Line'!$AP$2:$AP$4001,1,'Per Line'!$AQ$2:$AQ$4001,0))</f>
        <v/>
      </c>
      <c r="V925" s="7">
        <f>IF($AA925="","",U925*T925)</f>
        <v/>
      </c>
      <c r="W925" s="7">
        <f>IF($AA925="","",V925+S925)</f>
        <v/>
      </c>
      <c r="X925" s="7">
        <f>IF($AA925="","",Y925-W925)</f>
        <v/>
      </c>
      <c r="Y925" s="7">
        <f>IF($AA925="","",R925+U925+P925)</f>
        <v/>
      </c>
      <c r="Z925" s="7">
        <f>IF($AA925="","",Y925-W925-L925)</f>
        <v/>
      </c>
      <c r="AA925" s="13">
        <f>IF(ROWS($AA$2:$AA925)&lt;=MAX('Per Line'!$AO$2:$AO$4001),MATCH(ROWS($AA$2:$AA925),'Per Line'!$AO$2:$AO$4001,0),"")</f>
        <v/>
      </c>
      <c r="AB925" s="14">
        <f>IF($AA925="","",L925-K925*Y925/100)</f>
        <v/>
      </c>
    </row>
    <row r="926">
      <c r="A926" s="12" t="n"/>
      <c r="B926">
        <f>IF($AA926="","",INDEX('Per Line'!$E$2:$E$4001,$AA926)&amp;"")</f>
        <v/>
      </c>
      <c r="C926">
        <f>IF($AA926="","",INDEX('Per Line'!$A$2:$A$4001,$AA926)&amp;"")</f>
        <v/>
      </c>
      <c r="D926">
        <f>IF($AA926="","",INDEX('Per Line'!$D$2:$D$4001,$AA926)&amp;"")</f>
        <v/>
      </c>
      <c r="E926" s="11">
        <f>IF($AA926="","",INDEX('Per Line'!$G$2:$G$4001,$AA926))</f>
        <v/>
      </c>
      <c r="F926">
        <f>IF($AA926="","",INDEX('Per Line'!$H$2:$H$4001,$AA926)&amp;"")</f>
        <v/>
      </c>
      <c r="G926">
        <f>IF($AA926="","",INDEX('Per Line'!$I$2:$I$4001,$AA926)&amp;"")</f>
        <v/>
      </c>
      <c r="H926">
        <f>IF($AA926="","",INDEX('Per Line'!$J$2:$J$4001,$AA926)&amp;"")</f>
        <v/>
      </c>
      <c r="I926">
        <f>IF($AA926="","",INDEX('Per Line'!$K$2:$K$4001,$AA926)&amp;"")</f>
        <v/>
      </c>
      <c r="J926">
        <f>IF($AA926="","",INDEX('Per Line'!$L$2:$L$4001,$AA926)&amp;"")</f>
        <v/>
      </c>
      <c r="K926">
        <f>IF($AA926="","",INDEX('Per Line'!$P$2:$P$4001,$AA926))</f>
        <v/>
      </c>
      <c r="L926" s="7">
        <f>IF($AA926="","",IF(AND(ISNUMBER(N926),N926&gt;0,Y926&gt;N926),K926*N926/100+(Y926-N926),K926*Y926/100))</f>
        <v/>
      </c>
      <c r="M926">
        <f>IF($AA926="","",INDEX('Per Line'!$Z$2:$Z$4001,$AA926)&amp;"")</f>
        <v/>
      </c>
      <c r="N926">
        <f>IF($AA926="","",INDEX('Per Line'!$AG$2:$AG$4001,$AA926))</f>
        <v/>
      </c>
      <c r="O926">
        <f>IF($AA926="","",IF(AND(ISNUMBER(N926),N926&gt;0),Y926&gt;N926,FALSE))</f>
        <v/>
      </c>
      <c r="P926" s="7">
        <f>IF($AA926="","",SUMIFS('Per Line'!$Y$2:$Y$4001,'Per Line'!$E$2:$E$4001,$B926,'Per Line'!$AQ$2:$AQ$4001,1))</f>
        <v/>
      </c>
      <c r="Q926">
        <f>IF($AA926="","",Settings!$C$7)</f>
        <v/>
      </c>
      <c r="R926" s="7">
        <f>IF($AA926="","",SUMIFS('Per Line'!$Y$2:$Y$4001,'Per Line'!$E$2:$E$4001,$B926,'Per Line'!$AP$2:$AP$4001,0,'Per Line'!$AQ$2:$AQ$4001,0))</f>
        <v/>
      </c>
      <c r="S926" s="7">
        <f>IF($AA926="","",R926*Q926)</f>
        <v/>
      </c>
      <c r="T926">
        <f>IF($AA926="","",Settings!$C$6)</f>
        <v/>
      </c>
      <c r="U926" s="7">
        <f>IF($AA926="","",SUMIFS('Per Line'!$Y$2:$Y$4001,'Per Line'!$E$2:$E$4001,$B926,'Per Line'!$AP$2:$AP$4001,1,'Per Line'!$AQ$2:$AQ$4001,0))</f>
        <v/>
      </c>
      <c r="V926" s="7">
        <f>IF($AA926="","",U926*T926)</f>
        <v/>
      </c>
      <c r="W926" s="7">
        <f>IF($AA926="","",V926+S926)</f>
        <v/>
      </c>
      <c r="X926" s="7">
        <f>IF($AA926="","",Y926-W926)</f>
        <v/>
      </c>
      <c r="Y926" s="7">
        <f>IF($AA926="","",R926+U926+P926)</f>
        <v/>
      </c>
      <c r="Z926" s="7">
        <f>IF($AA926="","",Y926-W926-L926)</f>
        <v/>
      </c>
      <c r="AA926" s="13">
        <f>IF(ROWS($AA$2:$AA926)&lt;=MAX('Per Line'!$AO$2:$AO$4001),MATCH(ROWS($AA$2:$AA926),'Per Line'!$AO$2:$AO$4001,0),"")</f>
        <v/>
      </c>
      <c r="AB926" s="14">
        <f>IF($AA926="","",L926-K926*Y926/100)</f>
        <v/>
      </c>
    </row>
    <row r="927">
      <c r="A927" s="12" t="n"/>
      <c r="B927">
        <f>IF($AA927="","",INDEX('Per Line'!$E$2:$E$4001,$AA927)&amp;"")</f>
        <v/>
      </c>
      <c r="C927">
        <f>IF($AA927="","",INDEX('Per Line'!$A$2:$A$4001,$AA927)&amp;"")</f>
        <v/>
      </c>
      <c r="D927">
        <f>IF($AA927="","",INDEX('Per Line'!$D$2:$D$4001,$AA927)&amp;"")</f>
        <v/>
      </c>
      <c r="E927" s="11">
        <f>IF($AA927="","",INDEX('Per Line'!$G$2:$G$4001,$AA927))</f>
        <v/>
      </c>
      <c r="F927">
        <f>IF($AA927="","",INDEX('Per Line'!$H$2:$H$4001,$AA927)&amp;"")</f>
        <v/>
      </c>
      <c r="G927">
        <f>IF($AA927="","",INDEX('Per Line'!$I$2:$I$4001,$AA927)&amp;"")</f>
        <v/>
      </c>
      <c r="H927">
        <f>IF($AA927="","",INDEX('Per Line'!$J$2:$J$4001,$AA927)&amp;"")</f>
        <v/>
      </c>
      <c r="I927">
        <f>IF($AA927="","",INDEX('Per Line'!$K$2:$K$4001,$AA927)&amp;"")</f>
        <v/>
      </c>
      <c r="J927">
        <f>IF($AA927="","",INDEX('Per Line'!$L$2:$L$4001,$AA927)&amp;"")</f>
        <v/>
      </c>
      <c r="K927">
        <f>IF($AA927="","",INDEX('Per Line'!$P$2:$P$4001,$AA927))</f>
        <v/>
      </c>
      <c r="L927" s="7">
        <f>IF($AA927="","",IF(AND(ISNUMBER(N927),N927&gt;0,Y927&gt;N927),K927*N927/100+(Y927-N927),K927*Y927/100))</f>
        <v/>
      </c>
      <c r="M927">
        <f>IF($AA927="","",INDEX('Per Line'!$Z$2:$Z$4001,$AA927)&amp;"")</f>
        <v/>
      </c>
      <c r="N927">
        <f>IF($AA927="","",INDEX('Per Line'!$AG$2:$AG$4001,$AA927))</f>
        <v/>
      </c>
      <c r="O927">
        <f>IF($AA927="","",IF(AND(ISNUMBER(N927),N927&gt;0),Y927&gt;N927,FALSE))</f>
        <v/>
      </c>
      <c r="P927" s="7">
        <f>IF($AA927="","",SUMIFS('Per Line'!$Y$2:$Y$4001,'Per Line'!$E$2:$E$4001,$B927,'Per Line'!$AQ$2:$AQ$4001,1))</f>
        <v/>
      </c>
      <c r="Q927">
        <f>IF($AA927="","",Settings!$C$7)</f>
        <v/>
      </c>
      <c r="R927" s="7">
        <f>IF($AA927="","",SUMIFS('Per Line'!$Y$2:$Y$4001,'Per Line'!$E$2:$E$4001,$B927,'Per Line'!$AP$2:$AP$4001,0,'Per Line'!$AQ$2:$AQ$4001,0))</f>
        <v/>
      </c>
      <c r="S927" s="7">
        <f>IF($AA927="","",R927*Q927)</f>
        <v/>
      </c>
      <c r="T927">
        <f>IF($AA927="","",Settings!$C$6)</f>
        <v/>
      </c>
      <c r="U927" s="7">
        <f>IF($AA927="","",SUMIFS('Per Line'!$Y$2:$Y$4001,'Per Line'!$E$2:$E$4001,$B927,'Per Line'!$AP$2:$AP$4001,1,'Per Line'!$AQ$2:$AQ$4001,0))</f>
        <v/>
      </c>
      <c r="V927" s="7">
        <f>IF($AA927="","",U927*T927)</f>
        <v/>
      </c>
      <c r="W927" s="7">
        <f>IF($AA927="","",V927+S927)</f>
        <v/>
      </c>
      <c r="X927" s="7">
        <f>IF($AA927="","",Y927-W927)</f>
        <v/>
      </c>
      <c r="Y927" s="7">
        <f>IF($AA927="","",R927+U927+P927)</f>
        <v/>
      </c>
      <c r="Z927" s="7">
        <f>IF($AA927="","",Y927-W927-L927)</f>
        <v/>
      </c>
      <c r="AA927" s="13">
        <f>IF(ROWS($AA$2:$AA927)&lt;=MAX('Per Line'!$AO$2:$AO$4001),MATCH(ROWS($AA$2:$AA927),'Per Line'!$AO$2:$AO$4001,0),"")</f>
        <v/>
      </c>
      <c r="AB927" s="14">
        <f>IF($AA927="","",L927-K927*Y927/100)</f>
        <v/>
      </c>
    </row>
    <row r="928">
      <c r="A928" s="12" t="n"/>
      <c r="B928">
        <f>IF($AA928="","",INDEX('Per Line'!$E$2:$E$4001,$AA928)&amp;"")</f>
        <v/>
      </c>
      <c r="C928">
        <f>IF($AA928="","",INDEX('Per Line'!$A$2:$A$4001,$AA928)&amp;"")</f>
        <v/>
      </c>
      <c r="D928">
        <f>IF($AA928="","",INDEX('Per Line'!$D$2:$D$4001,$AA928)&amp;"")</f>
        <v/>
      </c>
      <c r="E928" s="11">
        <f>IF($AA928="","",INDEX('Per Line'!$G$2:$G$4001,$AA928))</f>
        <v/>
      </c>
      <c r="F928">
        <f>IF($AA928="","",INDEX('Per Line'!$H$2:$H$4001,$AA928)&amp;"")</f>
        <v/>
      </c>
      <c r="G928">
        <f>IF($AA928="","",INDEX('Per Line'!$I$2:$I$4001,$AA928)&amp;"")</f>
        <v/>
      </c>
      <c r="H928">
        <f>IF($AA928="","",INDEX('Per Line'!$J$2:$J$4001,$AA928)&amp;"")</f>
        <v/>
      </c>
      <c r="I928">
        <f>IF($AA928="","",INDEX('Per Line'!$K$2:$K$4001,$AA928)&amp;"")</f>
        <v/>
      </c>
      <c r="J928">
        <f>IF($AA928="","",INDEX('Per Line'!$L$2:$L$4001,$AA928)&amp;"")</f>
        <v/>
      </c>
      <c r="K928">
        <f>IF($AA928="","",INDEX('Per Line'!$P$2:$P$4001,$AA928))</f>
        <v/>
      </c>
      <c r="L928" s="7">
        <f>IF($AA928="","",IF(AND(ISNUMBER(N928),N928&gt;0,Y928&gt;N928),K928*N928/100+(Y928-N928),K928*Y928/100))</f>
        <v/>
      </c>
      <c r="M928">
        <f>IF($AA928="","",INDEX('Per Line'!$Z$2:$Z$4001,$AA928)&amp;"")</f>
        <v/>
      </c>
      <c r="N928">
        <f>IF($AA928="","",INDEX('Per Line'!$AG$2:$AG$4001,$AA928))</f>
        <v/>
      </c>
      <c r="O928">
        <f>IF($AA928="","",IF(AND(ISNUMBER(N928),N928&gt;0),Y928&gt;N928,FALSE))</f>
        <v/>
      </c>
      <c r="P928" s="7">
        <f>IF($AA928="","",SUMIFS('Per Line'!$Y$2:$Y$4001,'Per Line'!$E$2:$E$4001,$B928,'Per Line'!$AQ$2:$AQ$4001,1))</f>
        <v/>
      </c>
      <c r="Q928">
        <f>IF($AA928="","",Settings!$C$7)</f>
        <v/>
      </c>
      <c r="R928" s="7">
        <f>IF($AA928="","",SUMIFS('Per Line'!$Y$2:$Y$4001,'Per Line'!$E$2:$E$4001,$B928,'Per Line'!$AP$2:$AP$4001,0,'Per Line'!$AQ$2:$AQ$4001,0))</f>
        <v/>
      </c>
      <c r="S928" s="7">
        <f>IF($AA928="","",R928*Q928)</f>
        <v/>
      </c>
      <c r="T928">
        <f>IF($AA928="","",Settings!$C$6)</f>
        <v/>
      </c>
      <c r="U928" s="7">
        <f>IF($AA928="","",SUMIFS('Per Line'!$Y$2:$Y$4001,'Per Line'!$E$2:$E$4001,$B928,'Per Line'!$AP$2:$AP$4001,1,'Per Line'!$AQ$2:$AQ$4001,0))</f>
        <v/>
      </c>
      <c r="V928" s="7">
        <f>IF($AA928="","",U928*T928)</f>
        <v/>
      </c>
      <c r="W928" s="7">
        <f>IF($AA928="","",V928+S928)</f>
        <v/>
      </c>
      <c r="X928" s="7">
        <f>IF($AA928="","",Y928-W928)</f>
        <v/>
      </c>
      <c r="Y928" s="7">
        <f>IF($AA928="","",R928+U928+P928)</f>
        <v/>
      </c>
      <c r="Z928" s="7">
        <f>IF($AA928="","",Y928-W928-L928)</f>
        <v/>
      </c>
      <c r="AA928" s="13">
        <f>IF(ROWS($AA$2:$AA928)&lt;=MAX('Per Line'!$AO$2:$AO$4001),MATCH(ROWS($AA$2:$AA928),'Per Line'!$AO$2:$AO$4001,0),"")</f>
        <v/>
      </c>
      <c r="AB928" s="14">
        <f>IF($AA928="","",L928-K928*Y928/100)</f>
        <v/>
      </c>
    </row>
    <row r="929">
      <c r="A929" s="12" t="n"/>
      <c r="B929">
        <f>IF($AA929="","",INDEX('Per Line'!$E$2:$E$4001,$AA929)&amp;"")</f>
        <v/>
      </c>
      <c r="C929">
        <f>IF($AA929="","",INDEX('Per Line'!$A$2:$A$4001,$AA929)&amp;"")</f>
        <v/>
      </c>
      <c r="D929">
        <f>IF($AA929="","",INDEX('Per Line'!$D$2:$D$4001,$AA929)&amp;"")</f>
        <v/>
      </c>
      <c r="E929" s="11">
        <f>IF($AA929="","",INDEX('Per Line'!$G$2:$G$4001,$AA929))</f>
        <v/>
      </c>
      <c r="F929">
        <f>IF($AA929="","",INDEX('Per Line'!$H$2:$H$4001,$AA929)&amp;"")</f>
        <v/>
      </c>
      <c r="G929">
        <f>IF($AA929="","",INDEX('Per Line'!$I$2:$I$4001,$AA929)&amp;"")</f>
        <v/>
      </c>
      <c r="H929">
        <f>IF($AA929="","",INDEX('Per Line'!$J$2:$J$4001,$AA929)&amp;"")</f>
        <v/>
      </c>
      <c r="I929">
        <f>IF($AA929="","",INDEX('Per Line'!$K$2:$K$4001,$AA929)&amp;"")</f>
        <v/>
      </c>
      <c r="J929">
        <f>IF($AA929="","",INDEX('Per Line'!$L$2:$L$4001,$AA929)&amp;"")</f>
        <v/>
      </c>
      <c r="K929">
        <f>IF($AA929="","",INDEX('Per Line'!$P$2:$P$4001,$AA929))</f>
        <v/>
      </c>
      <c r="L929" s="7">
        <f>IF($AA929="","",IF(AND(ISNUMBER(N929),N929&gt;0,Y929&gt;N929),K929*N929/100+(Y929-N929),K929*Y929/100))</f>
        <v/>
      </c>
      <c r="M929">
        <f>IF($AA929="","",INDEX('Per Line'!$Z$2:$Z$4001,$AA929)&amp;"")</f>
        <v/>
      </c>
      <c r="N929">
        <f>IF($AA929="","",INDEX('Per Line'!$AG$2:$AG$4001,$AA929))</f>
        <v/>
      </c>
      <c r="O929">
        <f>IF($AA929="","",IF(AND(ISNUMBER(N929),N929&gt;0),Y929&gt;N929,FALSE))</f>
        <v/>
      </c>
      <c r="P929" s="7">
        <f>IF($AA929="","",SUMIFS('Per Line'!$Y$2:$Y$4001,'Per Line'!$E$2:$E$4001,$B929,'Per Line'!$AQ$2:$AQ$4001,1))</f>
        <v/>
      </c>
      <c r="Q929">
        <f>IF($AA929="","",Settings!$C$7)</f>
        <v/>
      </c>
      <c r="R929" s="7">
        <f>IF($AA929="","",SUMIFS('Per Line'!$Y$2:$Y$4001,'Per Line'!$E$2:$E$4001,$B929,'Per Line'!$AP$2:$AP$4001,0,'Per Line'!$AQ$2:$AQ$4001,0))</f>
        <v/>
      </c>
      <c r="S929" s="7">
        <f>IF($AA929="","",R929*Q929)</f>
        <v/>
      </c>
      <c r="T929">
        <f>IF($AA929="","",Settings!$C$6)</f>
        <v/>
      </c>
      <c r="U929" s="7">
        <f>IF($AA929="","",SUMIFS('Per Line'!$Y$2:$Y$4001,'Per Line'!$E$2:$E$4001,$B929,'Per Line'!$AP$2:$AP$4001,1,'Per Line'!$AQ$2:$AQ$4001,0))</f>
        <v/>
      </c>
      <c r="V929" s="7">
        <f>IF($AA929="","",U929*T929)</f>
        <v/>
      </c>
      <c r="W929" s="7">
        <f>IF($AA929="","",V929+S929)</f>
        <v/>
      </c>
      <c r="X929" s="7">
        <f>IF($AA929="","",Y929-W929)</f>
        <v/>
      </c>
      <c r="Y929" s="7">
        <f>IF($AA929="","",R929+U929+P929)</f>
        <v/>
      </c>
      <c r="Z929" s="7">
        <f>IF($AA929="","",Y929-W929-L929)</f>
        <v/>
      </c>
      <c r="AA929" s="13">
        <f>IF(ROWS($AA$2:$AA929)&lt;=MAX('Per Line'!$AO$2:$AO$4001),MATCH(ROWS($AA$2:$AA929),'Per Line'!$AO$2:$AO$4001,0),"")</f>
        <v/>
      </c>
      <c r="AB929" s="14">
        <f>IF($AA929="","",L929-K929*Y929/100)</f>
        <v/>
      </c>
    </row>
    <row r="930">
      <c r="A930" s="12" t="n"/>
      <c r="B930">
        <f>IF($AA930="","",INDEX('Per Line'!$E$2:$E$4001,$AA930)&amp;"")</f>
        <v/>
      </c>
      <c r="C930">
        <f>IF($AA930="","",INDEX('Per Line'!$A$2:$A$4001,$AA930)&amp;"")</f>
        <v/>
      </c>
      <c r="D930">
        <f>IF($AA930="","",INDEX('Per Line'!$D$2:$D$4001,$AA930)&amp;"")</f>
        <v/>
      </c>
      <c r="E930" s="11">
        <f>IF($AA930="","",INDEX('Per Line'!$G$2:$G$4001,$AA930))</f>
        <v/>
      </c>
      <c r="F930">
        <f>IF($AA930="","",INDEX('Per Line'!$H$2:$H$4001,$AA930)&amp;"")</f>
        <v/>
      </c>
      <c r="G930">
        <f>IF($AA930="","",INDEX('Per Line'!$I$2:$I$4001,$AA930)&amp;"")</f>
        <v/>
      </c>
      <c r="H930">
        <f>IF($AA930="","",INDEX('Per Line'!$J$2:$J$4001,$AA930)&amp;"")</f>
        <v/>
      </c>
      <c r="I930">
        <f>IF($AA930="","",INDEX('Per Line'!$K$2:$K$4001,$AA930)&amp;"")</f>
        <v/>
      </c>
      <c r="J930">
        <f>IF($AA930="","",INDEX('Per Line'!$L$2:$L$4001,$AA930)&amp;"")</f>
        <v/>
      </c>
      <c r="K930">
        <f>IF($AA930="","",INDEX('Per Line'!$P$2:$P$4001,$AA930))</f>
        <v/>
      </c>
      <c r="L930" s="7">
        <f>IF($AA930="","",IF(AND(ISNUMBER(N930),N930&gt;0,Y930&gt;N930),K930*N930/100+(Y930-N930),K930*Y930/100))</f>
        <v/>
      </c>
      <c r="M930">
        <f>IF($AA930="","",INDEX('Per Line'!$Z$2:$Z$4001,$AA930)&amp;"")</f>
        <v/>
      </c>
      <c r="N930">
        <f>IF($AA930="","",INDEX('Per Line'!$AG$2:$AG$4001,$AA930))</f>
        <v/>
      </c>
      <c r="O930">
        <f>IF($AA930="","",IF(AND(ISNUMBER(N930),N930&gt;0),Y930&gt;N930,FALSE))</f>
        <v/>
      </c>
      <c r="P930" s="7">
        <f>IF($AA930="","",SUMIFS('Per Line'!$Y$2:$Y$4001,'Per Line'!$E$2:$E$4001,$B930,'Per Line'!$AQ$2:$AQ$4001,1))</f>
        <v/>
      </c>
      <c r="Q930">
        <f>IF($AA930="","",Settings!$C$7)</f>
        <v/>
      </c>
      <c r="R930" s="7">
        <f>IF($AA930="","",SUMIFS('Per Line'!$Y$2:$Y$4001,'Per Line'!$E$2:$E$4001,$B930,'Per Line'!$AP$2:$AP$4001,0,'Per Line'!$AQ$2:$AQ$4001,0))</f>
        <v/>
      </c>
      <c r="S930" s="7">
        <f>IF($AA930="","",R930*Q930)</f>
        <v/>
      </c>
      <c r="T930">
        <f>IF($AA930="","",Settings!$C$6)</f>
        <v/>
      </c>
      <c r="U930" s="7">
        <f>IF($AA930="","",SUMIFS('Per Line'!$Y$2:$Y$4001,'Per Line'!$E$2:$E$4001,$B930,'Per Line'!$AP$2:$AP$4001,1,'Per Line'!$AQ$2:$AQ$4001,0))</f>
        <v/>
      </c>
      <c r="V930" s="7">
        <f>IF($AA930="","",U930*T930)</f>
        <v/>
      </c>
      <c r="W930" s="7">
        <f>IF($AA930="","",V930+S930)</f>
        <v/>
      </c>
      <c r="X930" s="7">
        <f>IF($AA930="","",Y930-W930)</f>
        <v/>
      </c>
      <c r="Y930" s="7">
        <f>IF($AA930="","",R930+U930+P930)</f>
        <v/>
      </c>
      <c r="Z930" s="7">
        <f>IF($AA930="","",Y930-W930-L930)</f>
        <v/>
      </c>
      <c r="AA930" s="13">
        <f>IF(ROWS($AA$2:$AA930)&lt;=MAX('Per Line'!$AO$2:$AO$4001),MATCH(ROWS($AA$2:$AA930),'Per Line'!$AO$2:$AO$4001,0),"")</f>
        <v/>
      </c>
      <c r="AB930" s="14">
        <f>IF($AA930="","",L930-K930*Y930/100)</f>
        <v/>
      </c>
    </row>
    <row r="931">
      <c r="A931" s="12" t="n"/>
      <c r="B931">
        <f>IF($AA931="","",INDEX('Per Line'!$E$2:$E$4001,$AA931)&amp;"")</f>
        <v/>
      </c>
      <c r="C931">
        <f>IF($AA931="","",INDEX('Per Line'!$A$2:$A$4001,$AA931)&amp;"")</f>
        <v/>
      </c>
      <c r="D931">
        <f>IF($AA931="","",INDEX('Per Line'!$D$2:$D$4001,$AA931)&amp;"")</f>
        <v/>
      </c>
      <c r="E931" s="11">
        <f>IF($AA931="","",INDEX('Per Line'!$G$2:$G$4001,$AA931))</f>
        <v/>
      </c>
      <c r="F931">
        <f>IF($AA931="","",INDEX('Per Line'!$H$2:$H$4001,$AA931)&amp;"")</f>
        <v/>
      </c>
      <c r="G931">
        <f>IF($AA931="","",INDEX('Per Line'!$I$2:$I$4001,$AA931)&amp;"")</f>
        <v/>
      </c>
      <c r="H931">
        <f>IF($AA931="","",INDEX('Per Line'!$J$2:$J$4001,$AA931)&amp;"")</f>
        <v/>
      </c>
      <c r="I931">
        <f>IF($AA931="","",INDEX('Per Line'!$K$2:$K$4001,$AA931)&amp;"")</f>
        <v/>
      </c>
      <c r="J931">
        <f>IF($AA931="","",INDEX('Per Line'!$L$2:$L$4001,$AA931)&amp;"")</f>
        <v/>
      </c>
      <c r="K931">
        <f>IF($AA931="","",INDEX('Per Line'!$P$2:$P$4001,$AA931))</f>
        <v/>
      </c>
      <c r="L931" s="7">
        <f>IF($AA931="","",IF(AND(ISNUMBER(N931),N931&gt;0,Y931&gt;N931),K931*N931/100+(Y931-N931),K931*Y931/100))</f>
        <v/>
      </c>
      <c r="M931">
        <f>IF($AA931="","",INDEX('Per Line'!$Z$2:$Z$4001,$AA931)&amp;"")</f>
        <v/>
      </c>
      <c r="N931">
        <f>IF($AA931="","",INDEX('Per Line'!$AG$2:$AG$4001,$AA931))</f>
        <v/>
      </c>
      <c r="O931">
        <f>IF($AA931="","",IF(AND(ISNUMBER(N931),N931&gt;0),Y931&gt;N931,FALSE))</f>
        <v/>
      </c>
      <c r="P931" s="7">
        <f>IF($AA931="","",SUMIFS('Per Line'!$Y$2:$Y$4001,'Per Line'!$E$2:$E$4001,$B931,'Per Line'!$AQ$2:$AQ$4001,1))</f>
        <v/>
      </c>
      <c r="Q931">
        <f>IF($AA931="","",Settings!$C$7)</f>
        <v/>
      </c>
      <c r="R931" s="7">
        <f>IF($AA931="","",SUMIFS('Per Line'!$Y$2:$Y$4001,'Per Line'!$E$2:$E$4001,$B931,'Per Line'!$AP$2:$AP$4001,0,'Per Line'!$AQ$2:$AQ$4001,0))</f>
        <v/>
      </c>
      <c r="S931" s="7">
        <f>IF($AA931="","",R931*Q931)</f>
        <v/>
      </c>
      <c r="T931">
        <f>IF($AA931="","",Settings!$C$6)</f>
        <v/>
      </c>
      <c r="U931" s="7">
        <f>IF($AA931="","",SUMIFS('Per Line'!$Y$2:$Y$4001,'Per Line'!$E$2:$E$4001,$B931,'Per Line'!$AP$2:$AP$4001,1,'Per Line'!$AQ$2:$AQ$4001,0))</f>
        <v/>
      </c>
      <c r="V931" s="7">
        <f>IF($AA931="","",U931*T931)</f>
        <v/>
      </c>
      <c r="W931" s="7">
        <f>IF($AA931="","",V931+S931)</f>
        <v/>
      </c>
      <c r="X931" s="7">
        <f>IF($AA931="","",Y931-W931)</f>
        <v/>
      </c>
      <c r="Y931" s="7">
        <f>IF($AA931="","",R931+U931+P931)</f>
        <v/>
      </c>
      <c r="Z931" s="7">
        <f>IF($AA931="","",Y931-W931-L931)</f>
        <v/>
      </c>
      <c r="AA931" s="13">
        <f>IF(ROWS($AA$2:$AA931)&lt;=MAX('Per Line'!$AO$2:$AO$4001),MATCH(ROWS($AA$2:$AA931),'Per Line'!$AO$2:$AO$4001,0),"")</f>
        <v/>
      </c>
      <c r="AB931" s="14">
        <f>IF($AA931="","",L931-K931*Y931/100)</f>
        <v/>
      </c>
    </row>
    <row r="932">
      <c r="A932" s="12" t="n"/>
      <c r="B932">
        <f>IF($AA932="","",INDEX('Per Line'!$E$2:$E$4001,$AA932)&amp;"")</f>
        <v/>
      </c>
      <c r="C932">
        <f>IF($AA932="","",INDEX('Per Line'!$A$2:$A$4001,$AA932)&amp;"")</f>
        <v/>
      </c>
      <c r="D932">
        <f>IF($AA932="","",INDEX('Per Line'!$D$2:$D$4001,$AA932)&amp;"")</f>
        <v/>
      </c>
      <c r="E932" s="11">
        <f>IF($AA932="","",INDEX('Per Line'!$G$2:$G$4001,$AA932))</f>
        <v/>
      </c>
      <c r="F932">
        <f>IF($AA932="","",INDEX('Per Line'!$H$2:$H$4001,$AA932)&amp;"")</f>
        <v/>
      </c>
      <c r="G932">
        <f>IF($AA932="","",INDEX('Per Line'!$I$2:$I$4001,$AA932)&amp;"")</f>
        <v/>
      </c>
      <c r="H932">
        <f>IF($AA932="","",INDEX('Per Line'!$J$2:$J$4001,$AA932)&amp;"")</f>
        <v/>
      </c>
      <c r="I932">
        <f>IF($AA932="","",INDEX('Per Line'!$K$2:$K$4001,$AA932)&amp;"")</f>
        <v/>
      </c>
      <c r="J932">
        <f>IF($AA932="","",INDEX('Per Line'!$L$2:$L$4001,$AA932)&amp;"")</f>
        <v/>
      </c>
      <c r="K932">
        <f>IF($AA932="","",INDEX('Per Line'!$P$2:$P$4001,$AA932))</f>
        <v/>
      </c>
      <c r="L932" s="7">
        <f>IF($AA932="","",IF(AND(ISNUMBER(N932),N932&gt;0,Y932&gt;N932),K932*N932/100+(Y932-N932),K932*Y932/100))</f>
        <v/>
      </c>
      <c r="M932">
        <f>IF($AA932="","",INDEX('Per Line'!$Z$2:$Z$4001,$AA932)&amp;"")</f>
        <v/>
      </c>
      <c r="N932">
        <f>IF($AA932="","",INDEX('Per Line'!$AG$2:$AG$4001,$AA932))</f>
        <v/>
      </c>
      <c r="O932">
        <f>IF($AA932="","",IF(AND(ISNUMBER(N932),N932&gt;0),Y932&gt;N932,FALSE))</f>
        <v/>
      </c>
      <c r="P932" s="7">
        <f>IF($AA932="","",SUMIFS('Per Line'!$Y$2:$Y$4001,'Per Line'!$E$2:$E$4001,$B932,'Per Line'!$AQ$2:$AQ$4001,1))</f>
        <v/>
      </c>
      <c r="Q932">
        <f>IF($AA932="","",Settings!$C$7)</f>
        <v/>
      </c>
      <c r="R932" s="7">
        <f>IF($AA932="","",SUMIFS('Per Line'!$Y$2:$Y$4001,'Per Line'!$E$2:$E$4001,$B932,'Per Line'!$AP$2:$AP$4001,0,'Per Line'!$AQ$2:$AQ$4001,0))</f>
        <v/>
      </c>
      <c r="S932" s="7">
        <f>IF($AA932="","",R932*Q932)</f>
        <v/>
      </c>
      <c r="T932">
        <f>IF($AA932="","",Settings!$C$6)</f>
        <v/>
      </c>
      <c r="U932" s="7">
        <f>IF($AA932="","",SUMIFS('Per Line'!$Y$2:$Y$4001,'Per Line'!$E$2:$E$4001,$B932,'Per Line'!$AP$2:$AP$4001,1,'Per Line'!$AQ$2:$AQ$4001,0))</f>
        <v/>
      </c>
      <c r="V932" s="7">
        <f>IF($AA932="","",U932*T932)</f>
        <v/>
      </c>
      <c r="W932" s="7">
        <f>IF($AA932="","",V932+S932)</f>
        <v/>
      </c>
      <c r="X932" s="7">
        <f>IF($AA932="","",Y932-W932)</f>
        <v/>
      </c>
      <c r="Y932" s="7">
        <f>IF($AA932="","",R932+U932+P932)</f>
        <v/>
      </c>
      <c r="Z932" s="7">
        <f>IF($AA932="","",Y932-W932-L932)</f>
        <v/>
      </c>
      <c r="AA932" s="13">
        <f>IF(ROWS($AA$2:$AA932)&lt;=MAX('Per Line'!$AO$2:$AO$4001),MATCH(ROWS($AA$2:$AA932),'Per Line'!$AO$2:$AO$4001,0),"")</f>
        <v/>
      </c>
      <c r="AB932" s="14">
        <f>IF($AA932="","",L932-K932*Y932/100)</f>
        <v/>
      </c>
    </row>
    <row r="933">
      <c r="A933" s="12" t="n"/>
      <c r="B933">
        <f>IF($AA933="","",INDEX('Per Line'!$E$2:$E$4001,$AA933)&amp;"")</f>
        <v/>
      </c>
      <c r="C933">
        <f>IF($AA933="","",INDEX('Per Line'!$A$2:$A$4001,$AA933)&amp;"")</f>
        <v/>
      </c>
      <c r="D933">
        <f>IF($AA933="","",INDEX('Per Line'!$D$2:$D$4001,$AA933)&amp;"")</f>
        <v/>
      </c>
      <c r="E933" s="11">
        <f>IF($AA933="","",INDEX('Per Line'!$G$2:$G$4001,$AA933))</f>
        <v/>
      </c>
      <c r="F933">
        <f>IF($AA933="","",INDEX('Per Line'!$H$2:$H$4001,$AA933)&amp;"")</f>
        <v/>
      </c>
      <c r="G933">
        <f>IF($AA933="","",INDEX('Per Line'!$I$2:$I$4001,$AA933)&amp;"")</f>
        <v/>
      </c>
      <c r="H933">
        <f>IF($AA933="","",INDEX('Per Line'!$J$2:$J$4001,$AA933)&amp;"")</f>
        <v/>
      </c>
      <c r="I933">
        <f>IF($AA933="","",INDEX('Per Line'!$K$2:$K$4001,$AA933)&amp;"")</f>
        <v/>
      </c>
      <c r="J933">
        <f>IF($AA933="","",INDEX('Per Line'!$L$2:$L$4001,$AA933)&amp;"")</f>
        <v/>
      </c>
      <c r="K933">
        <f>IF($AA933="","",INDEX('Per Line'!$P$2:$P$4001,$AA933))</f>
        <v/>
      </c>
      <c r="L933" s="7">
        <f>IF($AA933="","",IF(AND(ISNUMBER(N933),N933&gt;0,Y933&gt;N933),K933*N933/100+(Y933-N933),K933*Y933/100))</f>
        <v/>
      </c>
      <c r="M933">
        <f>IF($AA933="","",INDEX('Per Line'!$Z$2:$Z$4001,$AA933)&amp;"")</f>
        <v/>
      </c>
      <c r="N933">
        <f>IF($AA933="","",INDEX('Per Line'!$AG$2:$AG$4001,$AA933))</f>
        <v/>
      </c>
      <c r="O933">
        <f>IF($AA933="","",IF(AND(ISNUMBER(N933),N933&gt;0),Y933&gt;N933,FALSE))</f>
        <v/>
      </c>
      <c r="P933" s="7">
        <f>IF($AA933="","",SUMIFS('Per Line'!$Y$2:$Y$4001,'Per Line'!$E$2:$E$4001,$B933,'Per Line'!$AQ$2:$AQ$4001,1))</f>
        <v/>
      </c>
      <c r="Q933">
        <f>IF($AA933="","",Settings!$C$7)</f>
        <v/>
      </c>
      <c r="R933" s="7">
        <f>IF($AA933="","",SUMIFS('Per Line'!$Y$2:$Y$4001,'Per Line'!$E$2:$E$4001,$B933,'Per Line'!$AP$2:$AP$4001,0,'Per Line'!$AQ$2:$AQ$4001,0))</f>
        <v/>
      </c>
      <c r="S933" s="7">
        <f>IF($AA933="","",R933*Q933)</f>
        <v/>
      </c>
      <c r="T933">
        <f>IF($AA933="","",Settings!$C$6)</f>
        <v/>
      </c>
      <c r="U933" s="7">
        <f>IF($AA933="","",SUMIFS('Per Line'!$Y$2:$Y$4001,'Per Line'!$E$2:$E$4001,$B933,'Per Line'!$AP$2:$AP$4001,1,'Per Line'!$AQ$2:$AQ$4001,0))</f>
        <v/>
      </c>
      <c r="V933" s="7">
        <f>IF($AA933="","",U933*T933)</f>
        <v/>
      </c>
      <c r="W933" s="7">
        <f>IF($AA933="","",V933+S933)</f>
        <v/>
      </c>
      <c r="X933" s="7">
        <f>IF($AA933="","",Y933-W933)</f>
        <v/>
      </c>
      <c r="Y933" s="7">
        <f>IF($AA933="","",R933+U933+P933)</f>
        <v/>
      </c>
      <c r="Z933" s="7">
        <f>IF($AA933="","",Y933-W933-L933)</f>
        <v/>
      </c>
      <c r="AA933" s="13">
        <f>IF(ROWS($AA$2:$AA933)&lt;=MAX('Per Line'!$AO$2:$AO$4001),MATCH(ROWS($AA$2:$AA933),'Per Line'!$AO$2:$AO$4001,0),"")</f>
        <v/>
      </c>
      <c r="AB933" s="14">
        <f>IF($AA933="","",L933-K933*Y933/100)</f>
        <v/>
      </c>
    </row>
    <row r="934">
      <c r="A934" s="12" t="n"/>
      <c r="B934">
        <f>IF($AA934="","",INDEX('Per Line'!$E$2:$E$4001,$AA934)&amp;"")</f>
        <v/>
      </c>
      <c r="C934">
        <f>IF($AA934="","",INDEX('Per Line'!$A$2:$A$4001,$AA934)&amp;"")</f>
        <v/>
      </c>
      <c r="D934">
        <f>IF($AA934="","",INDEX('Per Line'!$D$2:$D$4001,$AA934)&amp;"")</f>
        <v/>
      </c>
      <c r="E934" s="11">
        <f>IF($AA934="","",INDEX('Per Line'!$G$2:$G$4001,$AA934))</f>
        <v/>
      </c>
      <c r="F934">
        <f>IF($AA934="","",INDEX('Per Line'!$H$2:$H$4001,$AA934)&amp;"")</f>
        <v/>
      </c>
      <c r="G934">
        <f>IF($AA934="","",INDEX('Per Line'!$I$2:$I$4001,$AA934)&amp;"")</f>
        <v/>
      </c>
      <c r="H934">
        <f>IF($AA934="","",INDEX('Per Line'!$J$2:$J$4001,$AA934)&amp;"")</f>
        <v/>
      </c>
      <c r="I934">
        <f>IF($AA934="","",INDEX('Per Line'!$K$2:$K$4001,$AA934)&amp;"")</f>
        <v/>
      </c>
      <c r="J934">
        <f>IF($AA934="","",INDEX('Per Line'!$L$2:$L$4001,$AA934)&amp;"")</f>
        <v/>
      </c>
      <c r="K934">
        <f>IF($AA934="","",INDEX('Per Line'!$P$2:$P$4001,$AA934))</f>
        <v/>
      </c>
      <c r="L934" s="7">
        <f>IF($AA934="","",IF(AND(ISNUMBER(N934),N934&gt;0,Y934&gt;N934),K934*N934/100+(Y934-N934),K934*Y934/100))</f>
        <v/>
      </c>
      <c r="M934">
        <f>IF($AA934="","",INDEX('Per Line'!$Z$2:$Z$4001,$AA934)&amp;"")</f>
        <v/>
      </c>
      <c r="N934">
        <f>IF($AA934="","",INDEX('Per Line'!$AG$2:$AG$4001,$AA934))</f>
        <v/>
      </c>
      <c r="O934">
        <f>IF($AA934="","",IF(AND(ISNUMBER(N934),N934&gt;0),Y934&gt;N934,FALSE))</f>
        <v/>
      </c>
      <c r="P934" s="7">
        <f>IF($AA934="","",SUMIFS('Per Line'!$Y$2:$Y$4001,'Per Line'!$E$2:$E$4001,$B934,'Per Line'!$AQ$2:$AQ$4001,1))</f>
        <v/>
      </c>
      <c r="Q934">
        <f>IF($AA934="","",Settings!$C$7)</f>
        <v/>
      </c>
      <c r="R934" s="7">
        <f>IF($AA934="","",SUMIFS('Per Line'!$Y$2:$Y$4001,'Per Line'!$E$2:$E$4001,$B934,'Per Line'!$AP$2:$AP$4001,0,'Per Line'!$AQ$2:$AQ$4001,0))</f>
        <v/>
      </c>
      <c r="S934" s="7">
        <f>IF($AA934="","",R934*Q934)</f>
        <v/>
      </c>
      <c r="T934">
        <f>IF($AA934="","",Settings!$C$6)</f>
        <v/>
      </c>
      <c r="U934" s="7">
        <f>IF($AA934="","",SUMIFS('Per Line'!$Y$2:$Y$4001,'Per Line'!$E$2:$E$4001,$B934,'Per Line'!$AP$2:$AP$4001,1,'Per Line'!$AQ$2:$AQ$4001,0))</f>
        <v/>
      </c>
      <c r="V934" s="7">
        <f>IF($AA934="","",U934*T934)</f>
        <v/>
      </c>
      <c r="W934" s="7">
        <f>IF($AA934="","",V934+S934)</f>
        <v/>
      </c>
      <c r="X934" s="7">
        <f>IF($AA934="","",Y934-W934)</f>
        <v/>
      </c>
      <c r="Y934" s="7">
        <f>IF($AA934="","",R934+U934+P934)</f>
        <v/>
      </c>
      <c r="Z934" s="7">
        <f>IF($AA934="","",Y934-W934-L934)</f>
        <v/>
      </c>
      <c r="AA934" s="13">
        <f>IF(ROWS($AA$2:$AA934)&lt;=MAX('Per Line'!$AO$2:$AO$4001),MATCH(ROWS($AA$2:$AA934),'Per Line'!$AO$2:$AO$4001,0),"")</f>
        <v/>
      </c>
      <c r="AB934" s="14">
        <f>IF($AA934="","",L934-K934*Y934/100)</f>
        <v/>
      </c>
    </row>
    <row r="935">
      <c r="A935" s="12" t="n"/>
      <c r="B935">
        <f>IF($AA935="","",INDEX('Per Line'!$E$2:$E$4001,$AA935)&amp;"")</f>
        <v/>
      </c>
      <c r="C935">
        <f>IF($AA935="","",INDEX('Per Line'!$A$2:$A$4001,$AA935)&amp;"")</f>
        <v/>
      </c>
      <c r="D935">
        <f>IF($AA935="","",INDEX('Per Line'!$D$2:$D$4001,$AA935)&amp;"")</f>
        <v/>
      </c>
      <c r="E935" s="11">
        <f>IF($AA935="","",INDEX('Per Line'!$G$2:$G$4001,$AA935))</f>
        <v/>
      </c>
      <c r="F935">
        <f>IF($AA935="","",INDEX('Per Line'!$H$2:$H$4001,$AA935)&amp;"")</f>
        <v/>
      </c>
      <c r="G935">
        <f>IF($AA935="","",INDEX('Per Line'!$I$2:$I$4001,$AA935)&amp;"")</f>
        <v/>
      </c>
      <c r="H935">
        <f>IF($AA935="","",INDEX('Per Line'!$J$2:$J$4001,$AA935)&amp;"")</f>
        <v/>
      </c>
      <c r="I935">
        <f>IF($AA935="","",INDEX('Per Line'!$K$2:$K$4001,$AA935)&amp;"")</f>
        <v/>
      </c>
      <c r="J935">
        <f>IF($AA935="","",INDEX('Per Line'!$L$2:$L$4001,$AA935)&amp;"")</f>
        <v/>
      </c>
      <c r="K935">
        <f>IF($AA935="","",INDEX('Per Line'!$P$2:$P$4001,$AA935))</f>
        <v/>
      </c>
      <c r="L935" s="7">
        <f>IF($AA935="","",IF(AND(ISNUMBER(N935),N935&gt;0,Y935&gt;N935),K935*N935/100+(Y935-N935),K935*Y935/100))</f>
        <v/>
      </c>
      <c r="M935">
        <f>IF($AA935="","",INDEX('Per Line'!$Z$2:$Z$4001,$AA935)&amp;"")</f>
        <v/>
      </c>
      <c r="N935">
        <f>IF($AA935="","",INDEX('Per Line'!$AG$2:$AG$4001,$AA935))</f>
        <v/>
      </c>
      <c r="O935">
        <f>IF($AA935="","",IF(AND(ISNUMBER(N935),N935&gt;0),Y935&gt;N935,FALSE))</f>
        <v/>
      </c>
      <c r="P935" s="7">
        <f>IF($AA935="","",SUMIFS('Per Line'!$Y$2:$Y$4001,'Per Line'!$E$2:$E$4001,$B935,'Per Line'!$AQ$2:$AQ$4001,1))</f>
        <v/>
      </c>
      <c r="Q935">
        <f>IF($AA935="","",Settings!$C$7)</f>
        <v/>
      </c>
      <c r="R935" s="7">
        <f>IF($AA935="","",SUMIFS('Per Line'!$Y$2:$Y$4001,'Per Line'!$E$2:$E$4001,$B935,'Per Line'!$AP$2:$AP$4001,0,'Per Line'!$AQ$2:$AQ$4001,0))</f>
        <v/>
      </c>
      <c r="S935" s="7">
        <f>IF($AA935="","",R935*Q935)</f>
        <v/>
      </c>
      <c r="T935">
        <f>IF($AA935="","",Settings!$C$6)</f>
        <v/>
      </c>
      <c r="U935" s="7">
        <f>IF($AA935="","",SUMIFS('Per Line'!$Y$2:$Y$4001,'Per Line'!$E$2:$E$4001,$B935,'Per Line'!$AP$2:$AP$4001,1,'Per Line'!$AQ$2:$AQ$4001,0))</f>
        <v/>
      </c>
      <c r="V935" s="7">
        <f>IF($AA935="","",U935*T935)</f>
        <v/>
      </c>
      <c r="W935" s="7">
        <f>IF($AA935="","",V935+S935)</f>
        <v/>
      </c>
      <c r="X935" s="7">
        <f>IF($AA935="","",Y935-W935)</f>
        <v/>
      </c>
      <c r="Y935" s="7">
        <f>IF($AA935="","",R935+U935+P935)</f>
        <v/>
      </c>
      <c r="Z935" s="7">
        <f>IF($AA935="","",Y935-W935-L935)</f>
        <v/>
      </c>
      <c r="AA935" s="13">
        <f>IF(ROWS($AA$2:$AA935)&lt;=MAX('Per Line'!$AO$2:$AO$4001),MATCH(ROWS($AA$2:$AA935),'Per Line'!$AO$2:$AO$4001,0),"")</f>
        <v/>
      </c>
      <c r="AB935" s="14">
        <f>IF($AA935="","",L935-K935*Y935/100)</f>
        <v/>
      </c>
    </row>
    <row r="936">
      <c r="A936" s="12" t="n"/>
      <c r="B936">
        <f>IF($AA936="","",INDEX('Per Line'!$E$2:$E$4001,$AA936)&amp;"")</f>
        <v/>
      </c>
      <c r="C936">
        <f>IF($AA936="","",INDEX('Per Line'!$A$2:$A$4001,$AA936)&amp;"")</f>
        <v/>
      </c>
      <c r="D936">
        <f>IF($AA936="","",INDEX('Per Line'!$D$2:$D$4001,$AA936)&amp;"")</f>
        <v/>
      </c>
      <c r="E936" s="11">
        <f>IF($AA936="","",INDEX('Per Line'!$G$2:$G$4001,$AA936))</f>
        <v/>
      </c>
      <c r="F936">
        <f>IF($AA936="","",INDEX('Per Line'!$H$2:$H$4001,$AA936)&amp;"")</f>
        <v/>
      </c>
      <c r="G936">
        <f>IF($AA936="","",INDEX('Per Line'!$I$2:$I$4001,$AA936)&amp;"")</f>
        <v/>
      </c>
      <c r="H936">
        <f>IF($AA936="","",INDEX('Per Line'!$J$2:$J$4001,$AA936)&amp;"")</f>
        <v/>
      </c>
      <c r="I936">
        <f>IF($AA936="","",INDEX('Per Line'!$K$2:$K$4001,$AA936)&amp;"")</f>
        <v/>
      </c>
      <c r="J936">
        <f>IF($AA936="","",INDEX('Per Line'!$L$2:$L$4001,$AA936)&amp;"")</f>
        <v/>
      </c>
      <c r="K936">
        <f>IF($AA936="","",INDEX('Per Line'!$P$2:$P$4001,$AA936))</f>
        <v/>
      </c>
      <c r="L936" s="7">
        <f>IF($AA936="","",IF(AND(ISNUMBER(N936),N936&gt;0,Y936&gt;N936),K936*N936/100+(Y936-N936),K936*Y936/100))</f>
        <v/>
      </c>
      <c r="M936">
        <f>IF($AA936="","",INDEX('Per Line'!$Z$2:$Z$4001,$AA936)&amp;"")</f>
        <v/>
      </c>
      <c r="N936">
        <f>IF($AA936="","",INDEX('Per Line'!$AG$2:$AG$4001,$AA936))</f>
        <v/>
      </c>
      <c r="O936">
        <f>IF($AA936="","",IF(AND(ISNUMBER(N936),N936&gt;0),Y936&gt;N936,FALSE))</f>
        <v/>
      </c>
      <c r="P936" s="7">
        <f>IF($AA936="","",SUMIFS('Per Line'!$Y$2:$Y$4001,'Per Line'!$E$2:$E$4001,$B936,'Per Line'!$AQ$2:$AQ$4001,1))</f>
        <v/>
      </c>
      <c r="Q936">
        <f>IF($AA936="","",Settings!$C$7)</f>
        <v/>
      </c>
      <c r="R936" s="7">
        <f>IF($AA936="","",SUMIFS('Per Line'!$Y$2:$Y$4001,'Per Line'!$E$2:$E$4001,$B936,'Per Line'!$AP$2:$AP$4001,0,'Per Line'!$AQ$2:$AQ$4001,0))</f>
        <v/>
      </c>
      <c r="S936" s="7">
        <f>IF($AA936="","",R936*Q936)</f>
        <v/>
      </c>
      <c r="T936">
        <f>IF($AA936="","",Settings!$C$6)</f>
        <v/>
      </c>
      <c r="U936" s="7">
        <f>IF($AA936="","",SUMIFS('Per Line'!$Y$2:$Y$4001,'Per Line'!$E$2:$E$4001,$B936,'Per Line'!$AP$2:$AP$4001,1,'Per Line'!$AQ$2:$AQ$4001,0))</f>
        <v/>
      </c>
      <c r="V936" s="7">
        <f>IF($AA936="","",U936*T936)</f>
        <v/>
      </c>
      <c r="W936" s="7">
        <f>IF($AA936="","",V936+S936)</f>
        <v/>
      </c>
      <c r="X936" s="7">
        <f>IF($AA936="","",Y936-W936)</f>
        <v/>
      </c>
      <c r="Y936" s="7">
        <f>IF($AA936="","",R936+U936+P936)</f>
        <v/>
      </c>
      <c r="Z936" s="7">
        <f>IF($AA936="","",Y936-W936-L936)</f>
        <v/>
      </c>
      <c r="AA936" s="13">
        <f>IF(ROWS($AA$2:$AA936)&lt;=MAX('Per Line'!$AO$2:$AO$4001),MATCH(ROWS($AA$2:$AA936),'Per Line'!$AO$2:$AO$4001,0),"")</f>
        <v/>
      </c>
      <c r="AB936" s="14">
        <f>IF($AA936="","",L936-K936*Y936/100)</f>
        <v/>
      </c>
    </row>
    <row r="937">
      <c r="A937" s="12" t="n"/>
      <c r="B937">
        <f>IF($AA937="","",INDEX('Per Line'!$E$2:$E$4001,$AA937)&amp;"")</f>
        <v/>
      </c>
      <c r="C937">
        <f>IF($AA937="","",INDEX('Per Line'!$A$2:$A$4001,$AA937)&amp;"")</f>
        <v/>
      </c>
      <c r="D937">
        <f>IF($AA937="","",INDEX('Per Line'!$D$2:$D$4001,$AA937)&amp;"")</f>
        <v/>
      </c>
      <c r="E937" s="11">
        <f>IF($AA937="","",INDEX('Per Line'!$G$2:$G$4001,$AA937))</f>
        <v/>
      </c>
      <c r="F937">
        <f>IF($AA937="","",INDEX('Per Line'!$H$2:$H$4001,$AA937)&amp;"")</f>
        <v/>
      </c>
      <c r="G937">
        <f>IF($AA937="","",INDEX('Per Line'!$I$2:$I$4001,$AA937)&amp;"")</f>
        <v/>
      </c>
      <c r="H937">
        <f>IF($AA937="","",INDEX('Per Line'!$J$2:$J$4001,$AA937)&amp;"")</f>
        <v/>
      </c>
      <c r="I937">
        <f>IF($AA937="","",INDEX('Per Line'!$K$2:$K$4001,$AA937)&amp;"")</f>
        <v/>
      </c>
      <c r="J937">
        <f>IF($AA937="","",INDEX('Per Line'!$L$2:$L$4001,$AA937)&amp;"")</f>
        <v/>
      </c>
      <c r="K937">
        <f>IF($AA937="","",INDEX('Per Line'!$P$2:$P$4001,$AA937))</f>
        <v/>
      </c>
      <c r="L937" s="7">
        <f>IF($AA937="","",IF(AND(ISNUMBER(N937),N937&gt;0,Y937&gt;N937),K937*N937/100+(Y937-N937),K937*Y937/100))</f>
        <v/>
      </c>
      <c r="M937">
        <f>IF($AA937="","",INDEX('Per Line'!$Z$2:$Z$4001,$AA937)&amp;"")</f>
        <v/>
      </c>
      <c r="N937">
        <f>IF($AA937="","",INDEX('Per Line'!$AG$2:$AG$4001,$AA937))</f>
        <v/>
      </c>
      <c r="O937">
        <f>IF($AA937="","",IF(AND(ISNUMBER(N937),N937&gt;0),Y937&gt;N937,FALSE))</f>
        <v/>
      </c>
      <c r="P937" s="7">
        <f>IF($AA937="","",SUMIFS('Per Line'!$Y$2:$Y$4001,'Per Line'!$E$2:$E$4001,$B937,'Per Line'!$AQ$2:$AQ$4001,1))</f>
        <v/>
      </c>
      <c r="Q937">
        <f>IF($AA937="","",Settings!$C$7)</f>
        <v/>
      </c>
      <c r="R937" s="7">
        <f>IF($AA937="","",SUMIFS('Per Line'!$Y$2:$Y$4001,'Per Line'!$E$2:$E$4001,$B937,'Per Line'!$AP$2:$AP$4001,0,'Per Line'!$AQ$2:$AQ$4001,0))</f>
        <v/>
      </c>
      <c r="S937" s="7">
        <f>IF($AA937="","",R937*Q937)</f>
        <v/>
      </c>
      <c r="T937">
        <f>IF($AA937="","",Settings!$C$6)</f>
        <v/>
      </c>
      <c r="U937" s="7">
        <f>IF($AA937="","",SUMIFS('Per Line'!$Y$2:$Y$4001,'Per Line'!$E$2:$E$4001,$B937,'Per Line'!$AP$2:$AP$4001,1,'Per Line'!$AQ$2:$AQ$4001,0))</f>
        <v/>
      </c>
      <c r="V937" s="7">
        <f>IF($AA937="","",U937*T937)</f>
        <v/>
      </c>
      <c r="W937" s="7">
        <f>IF($AA937="","",V937+S937)</f>
        <v/>
      </c>
      <c r="X937" s="7">
        <f>IF($AA937="","",Y937-W937)</f>
        <v/>
      </c>
      <c r="Y937" s="7">
        <f>IF($AA937="","",R937+U937+P937)</f>
        <v/>
      </c>
      <c r="Z937" s="7">
        <f>IF($AA937="","",Y937-W937-L937)</f>
        <v/>
      </c>
      <c r="AA937" s="13">
        <f>IF(ROWS($AA$2:$AA937)&lt;=MAX('Per Line'!$AO$2:$AO$4001),MATCH(ROWS($AA$2:$AA937),'Per Line'!$AO$2:$AO$4001,0),"")</f>
        <v/>
      </c>
      <c r="AB937" s="14">
        <f>IF($AA937="","",L937-K937*Y937/100)</f>
        <v/>
      </c>
    </row>
    <row r="938">
      <c r="A938" s="12" t="n"/>
      <c r="B938">
        <f>IF($AA938="","",INDEX('Per Line'!$E$2:$E$4001,$AA938)&amp;"")</f>
        <v/>
      </c>
      <c r="C938">
        <f>IF($AA938="","",INDEX('Per Line'!$A$2:$A$4001,$AA938)&amp;"")</f>
        <v/>
      </c>
      <c r="D938">
        <f>IF($AA938="","",INDEX('Per Line'!$D$2:$D$4001,$AA938)&amp;"")</f>
        <v/>
      </c>
      <c r="E938" s="11">
        <f>IF($AA938="","",INDEX('Per Line'!$G$2:$G$4001,$AA938))</f>
        <v/>
      </c>
      <c r="F938">
        <f>IF($AA938="","",INDEX('Per Line'!$H$2:$H$4001,$AA938)&amp;"")</f>
        <v/>
      </c>
      <c r="G938">
        <f>IF($AA938="","",INDEX('Per Line'!$I$2:$I$4001,$AA938)&amp;"")</f>
        <v/>
      </c>
      <c r="H938">
        <f>IF($AA938="","",INDEX('Per Line'!$J$2:$J$4001,$AA938)&amp;"")</f>
        <v/>
      </c>
      <c r="I938">
        <f>IF($AA938="","",INDEX('Per Line'!$K$2:$K$4001,$AA938)&amp;"")</f>
        <v/>
      </c>
      <c r="J938">
        <f>IF($AA938="","",INDEX('Per Line'!$L$2:$L$4001,$AA938)&amp;"")</f>
        <v/>
      </c>
      <c r="K938">
        <f>IF($AA938="","",INDEX('Per Line'!$P$2:$P$4001,$AA938))</f>
        <v/>
      </c>
      <c r="L938" s="7">
        <f>IF($AA938="","",IF(AND(ISNUMBER(N938),N938&gt;0,Y938&gt;N938),K938*N938/100+(Y938-N938),K938*Y938/100))</f>
        <v/>
      </c>
      <c r="M938">
        <f>IF($AA938="","",INDEX('Per Line'!$Z$2:$Z$4001,$AA938)&amp;"")</f>
        <v/>
      </c>
      <c r="N938">
        <f>IF($AA938="","",INDEX('Per Line'!$AG$2:$AG$4001,$AA938))</f>
        <v/>
      </c>
      <c r="O938">
        <f>IF($AA938="","",IF(AND(ISNUMBER(N938),N938&gt;0),Y938&gt;N938,FALSE))</f>
        <v/>
      </c>
      <c r="P938" s="7">
        <f>IF($AA938="","",SUMIFS('Per Line'!$Y$2:$Y$4001,'Per Line'!$E$2:$E$4001,$B938,'Per Line'!$AQ$2:$AQ$4001,1))</f>
        <v/>
      </c>
      <c r="Q938">
        <f>IF($AA938="","",Settings!$C$7)</f>
        <v/>
      </c>
      <c r="R938" s="7">
        <f>IF($AA938="","",SUMIFS('Per Line'!$Y$2:$Y$4001,'Per Line'!$E$2:$E$4001,$B938,'Per Line'!$AP$2:$AP$4001,0,'Per Line'!$AQ$2:$AQ$4001,0))</f>
        <v/>
      </c>
      <c r="S938" s="7">
        <f>IF($AA938="","",R938*Q938)</f>
        <v/>
      </c>
      <c r="T938">
        <f>IF($AA938="","",Settings!$C$6)</f>
        <v/>
      </c>
      <c r="U938" s="7">
        <f>IF($AA938="","",SUMIFS('Per Line'!$Y$2:$Y$4001,'Per Line'!$E$2:$E$4001,$B938,'Per Line'!$AP$2:$AP$4001,1,'Per Line'!$AQ$2:$AQ$4001,0))</f>
        <v/>
      </c>
      <c r="V938" s="7">
        <f>IF($AA938="","",U938*T938)</f>
        <v/>
      </c>
      <c r="W938" s="7">
        <f>IF($AA938="","",V938+S938)</f>
        <v/>
      </c>
      <c r="X938" s="7">
        <f>IF($AA938="","",Y938-W938)</f>
        <v/>
      </c>
      <c r="Y938" s="7">
        <f>IF($AA938="","",R938+U938+P938)</f>
        <v/>
      </c>
      <c r="Z938" s="7">
        <f>IF($AA938="","",Y938-W938-L938)</f>
        <v/>
      </c>
      <c r="AA938" s="13">
        <f>IF(ROWS($AA$2:$AA938)&lt;=MAX('Per Line'!$AO$2:$AO$4001),MATCH(ROWS($AA$2:$AA938),'Per Line'!$AO$2:$AO$4001,0),"")</f>
        <v/>
      </c>
      <c r="AB938" s="14">
        <f>IF($AA938="","",L938-K938*Y938/100)</f>
        <v/>
      </c>
    </row>
    <row r="939">
      <c r="A939" s="12" t="n"/>
      <c r="B939">
        <f>IF($AA939="","",INDEX('Per Line'!$E$2:$E$4001,$AA939)&amp;"")</f>
        <v/>
      </c>
      <c r="C939">
        <f>IF($AA939="","",INDEX('Per Line'!$A$2:$A$4001,$AA939)&amp;"")</f>
        <v/>
      </c>
      <c r="D939">
        <f>IF($AA939="","",INDEX('Per Line'!$D$2:$D$4001,$AA939)&amp;"")</f>
        <v/>
      </c>
      <c r="E939" s="11">
        <f>IF($AA939="","",INDEX('Per Line'!$G$2:$G$4001,$AA939))</f>
        <v/>
      </c>
      <c r="F939">
        <f>IF($AA939="","",INDEX('Per Line'!$H$2:$H$4001,$AA939)&amp;"")</f>
        <v/>
      </c>
      <c r="G939">
        <f>IF($AA939="","",INDEX('Per Line'!$I$2:$I$4001,$AA939)&amp;"")</f>
        <v/>
      </c>
      <c r="H939">
        <f>IF($AA939="","",INDEX('Per Line'!$J$2:$J$4001,$AA939)&amp;"")</f>
        <v/>
      </c>
      <c r="I939">
        <f>IF($AA939="","",INDEX('Per Line'!$K$2:$K$4001,$AA939)&amp;"")</f>
        <v/>
      </c>
      <c r="J939">
        <f>IF($AA939="","",INDEX('Per Line'!$L$2:$L$4001,$AA939)&amp;"")</f>
        <v/>
      </c>
      <c r="K939">
        <f>IF($AA939="","",INDEX('Per Line'!$P$2:$P$4001,$AA939))</f>
        <v/>
      </c>
      <c r="L939" s="7">
        <f>IF($AA939="","",IF(AND(ISNUMBER(N939),N939&gt;0,Y939&gt;N939),K939*N939/100+(Y939-N939),K939*Y939/100))</f>
        <v/>
      </c>
      <c r="M939">
        <f>IF($AA939="","",INDEX('Per Line'!$Z$2:$Z$4001,$AA939)&amp;"")</f>
        <v/>
      </c>
      <c r="N939">
        <f>IF($AA939="","",INDEX('Per Line'!$AG$2:$AG$4001,$AA939))</f>
        <v/>
      </c>
      <c r="O939">
        <f>IF($AA939="","",IF(AND(ISNUMBER(N939),N939&gt;0),Y939&gt;N939,FALSE))</f>
        <v/>
      </c>
      <c r="P939" s="7">
        <f>IF($AA939="","",SUMIFS('Per Line'!$Y$2:$Y$4001,'Per Line'!$E$2:$E$4001,$B939,'Per Line'!$AQ$2:$AQ$4001,1))</f>
        <v/>
      </c>
      <c r="Q939">
        <f>IF($AA939="","",Settings!$C$7)</f>
        <v/>
      </c>
      <c r="R939" s="7">
        <f>IF($AA939="","",SUMIFS('Per Line'!$Y$2:$Y$4001,'Per Line'!$E$2:$E$4001,$B939,'Per Line'!$AP$2:$AP$4001,0,'Per Line'!$AQ$2:$AQ$4001,0))</f>
        <v/>
      </c>
      <c r="S939" s="7">
        <f>IF($AA939="","",R939*Q939)</f>
        <v/>
      </c>
      <c r="T939">
        <f>IF($AA939="","",Settings!$C$6)</f>
        <v/>
      </c>
      <c r="U939" s="7">
        <f>IF($AA939="","",SUMIFS('Per Line'!$Y$2:$Y$4001,'Per Line'!$E$2:$E$4001,$B939,'Per Line'!$AP$2:$AP$4001,1,'Per Line'!$AQ$2:$AQ$4001,0))</f>
        <v/>
      </c>
      <c r="V939" s="7">
        <f>IF($AA939="","",U939*T939)</f>
        <v/>
      </c>
      <c r="W939" s="7">
        <f>IF($AA939="","",V939+S939)</f>
        <v/>
      </c>
      <c r="X939" s="7">
        <f>IF($AA939="","",Y939-W939)</f>
        <v/>
      </c>
      <c r="Y939" s="7">
        <f>IF($AA939="","",R939+U939+P939)</f>
        <v/>
      </c>
      <c r="Z939" s="7">
        <f>IF($AA939="","",Y939-W939-L939)</f>
        <v/>
      </c>
      <c r="AA939" s="13">
        <f>IF(ROWS($AA$2:$AA939)&lt;=MAX('Per Line'!$AO$2:$AO$4001),MATCH(ROWS($AA$2:$AA939),'Per Line'!$AO$2:$AO$4001,0),"")</f>
        <v/>
      </c>
      <c r="AB939" s="14">
        <f>IF($AA939="","",L939-K939*Y939/100)</f>
        <v/>
      </c>
    </row>
    <row r="940">
      <c r="A940" s="12" t="n"/>
      <c r="B940">
        <f>IF($AA940="","",INDEX('Per Line'!$E$2:$E$4001,$AA940)&amp;"")</f>
        <v/>
      </c>
      <c r="C940">
        <f>IF($AA940="","",INDEX('Per Line'!$A$2:$A$4001,$AA940)&amp;"")</f>
        <v/>
      </c>
      <c r="D940">
        <f>IF($AA940="","",INDEX('Per Line'!$D$2:$D$4001,$AA940)&amp;"")</f>
        <v/>
      </c>
      <c r="E940" s="11">
        <f>IF($AA940="","",INDEX('Per Line'!$G$2:$G$4001,$AA940))</f>
        <v/>
      </c>
      <c r="F940">
        <f>IF($AA940="","",INDEX('Per Line'!$H$2:$H$4001,$AA940)&amp;"")</f>
        <v/>
      </c>
      <c r="G940">
        <f>IF($AA940="","",INDEX('Per Line'!$I$2:$I$4001,$AA940)&amp;"")</f>
        <v/>
      </c>
      <c r="H940">
        <f>IF($AA940="","",INDEX('Per Line'!$J$2:$J$4001,$AA940)&amp;"")</f>
        <v/>
      </c>
      <c r="I940">
        <f>IF($AA940="","",INDEX('Per Line'!$K$2:$K$4001,$AA940)&amp;"")</f>
        <v/>
      </c>
      <c r="J940">
        <f>IF($AA940="","",INDEX('Per Line'!$L$2:$L$4001,$AA940)&amp;"")</f>
        <v/>
      </c>
      <c r="K940">
        <f>IF($AA940="","",INDEX('Per Line'!$P$2:$P$4001,$AA940))</f>
        <v/>
      </c>
      <c r="L940" s="7">
        <f>IF($AA940="","",IF(AND(ISNUMBER(N940),N940&gt;0,Y940&gt;N940),K940*N940/100+(Y940-N940),K940*Y940/100))</f>
        <v/>
      </c>
      <c r="M940">
        <f>IF($AA940="","",INDEX('Per Line'!$Z$2:$Z$4001,$AA940)&amp;"")</f>
        <v/>
      </c>
      <c r="N940">
        <f>IF($AA940="","",INDEX('Per Line'!$AG$2:$AG$4001,$AA940))</f>
        <v/>
      </c>
      <c r="O940">
        <f>IF($AA940="","",IF(AND(ISNUMBER(N940),N940&gt;0),Y940&gt;N940,FALSE))</f>
        <v/>
      </c>
      <c r="P940" s="7">
        <f>IF($AA940="","",SUMIFS('Per Line'!$Y$2:$Y$4001,'Per Line'!$E$2:$E$4001,$B940,'Per Line'!$AQ$2:$AQ$4001,1))</f>
        <v/>
      </c>
      <c r="Q940">
        <f>IF($AA940="","",Settings!$C$7)</f>
        <v/>
      </c>
      <c r="R940" s="7">
        <f>IF($AA940="","",SUMIFS('Per Line'!$Y$2:$Y$4001,'Per Line'!$E$2:$E$4001,$B940,'Per Line'!$AP$2:$AP$4001,0,'Per Line'!$AQ$2:$AQ$4001,0))</f>
        <v/>
      </c>
      <c r="S940" s="7">
        <f>IF($AA940="","",R940*Q940)</f>
        <v/>
      </c>
      <c r="T940">
        <f>IF($AA940="","",Settings!$C$6)</f>
        <v/>
      </c>
      <c r="U940" s="7">
        <f>IF($AA940="","",SUMIFS('Per Line'!$Y$2:$Y$4001,'Per Line'!$E$2:$E$4001,$B940,'Per Line'!$AP$2:$AP$4001,1,'Per Line'!$AQ$2:$AQ$4001,0))</f>
        <v/>
      </c>
      <c r="V940" s="7">
        <f>IF($AA940="","",U940*T940)</f>
        <v/>
      </c>
      <c r="W940" s="7">
        <f>IF($AA940="","",V940+S940)</f>
        <v/>
      </c>
      <c r="X940" s="7">
        <f>IF($AA940="","",Y940-W940)</f>
        <v/>
      </c>
      <c r="Y940" s="7">
        <f>IF($AA940="","",R940+U940+P940)</f>
        <v/>
      </c>
      <c r="Z940" s="7">
        <f>IF($AA940="","",Y940-W940-L940)</f>
        <v/>
      </c>
      <c r="AA940" s="13">
        <f>IF(ROWS($AA$2:$AA940)&lt;=MAX('Per Line'!$AO$2:$AO$4001),MATCH(ROWS($AA$2:$AA940),'Per Line'!$AO$2:$AO$4001,0),"")</f>
        <v/>
      </c>
      <c r="AB940" s="14">
        <f>IF($AA940="","",L940-K940*Y940/100)</f>
        <v/>
      </c>
    </row>
    <row r="941">
      <c r="A941" s="12" t="n"/>
      <c r="B941">
        <f>IF($AA941="","",INDEX('Per Line'!$E$2:$E$4001,$AA941)&amp;"")</f>
        <v/>
      </c>
      <c r="C941">
        <f>IF($AA941="","",INDEX('Per Line'!$A$2:$A$4001,$AA941)&amp;"")</f>
        <v/>
      </c>
      <c r="D941">
        <f>IF($AA941="","",INDEX('Per Line'!$D$2:$D$4001,$AA941)&amp;"")</f>
        <v/>
      </c>
      <c r="E941" s="11">
        <f>IF($AA941="","",INDEX('Per Line'!$G$2:$G$4001,$AA941))</f>
        <v/>
      </c>
      <c r="F941">
        <f>IF($AA941="","",INDEX('Per Line'!$H$2:$H$4001,$AA941)&amp;"")</f>
        <v/>
      </c>
      <c r="G941">
        <f>IF($AA941="","",INDEX('Per Line'!$I$2:$I$4001,$AA941)&amp;"")</f>
        <v/>
      </c>
      <c r="H941">
        <f>IF($AA941="","",INDEX('Per Line'!$J$2:$J$4001,$AA941)&amp;"")</f>
        <v/>
      </c>
      <c r="I941">
        <f>IF($AA941="","",INDEX('Per Line'!$K$2:$K$4001,$AA941)&amp;"")</f>
        <v/>
      </c>
      <c r="J941">
        <f>IF($AA941="","",INDEX('Per Line'!$L$2:$L$4001,$AA941)&amp;"")</f>
        <v/>
      </c>
      <c r="K941">
        <f>IF($AA941="","",INDEX('Per Line'!$P$2:$P$4001,$AA941))</f>
        <v/>
      </c>
      <c r="L941" s="7">
        <f>IF($AA941="","",IF(AND(ISNUMBER(N941),N941&gt;0,Y941&gt;N941),K941*N941/100+(Y941-N941),K941*Y941/100))</f>
        <v/>
      </c>
      <c r="M941">
        <f>IF($AA941="","",INDEX('Per Line'!$Z$2:$Z$4001,$AA941)&amp;"")</f>
        <v/>
      </c>
      <c r="N941">
        <f>IF($AA941="","",INDEX('Per Line'!$AG$2:$AG$4001,$AA941))</f>
        <v/>
      </c>
      <c r="O941">
        <f>IF($AA941="","",IF(AND(ISNUMBER(N941),N941&gt;0),Y941&gt;N941,FALSE))</f>
        <v/>
      </c>
      <c r="P941" s="7">
        <f>IF($AA941="","",SUMIFS('Per Line'!$Y$2:$Y$4001,'Per Line'!$E$2:$E$4001,$B941,'Per Line'!$AQ$2:$AQ$4001,1))</f>
        <v/>
      </c>
      <c r="Q941">
        <f>IF($AA941="","",Settings!$C$7)</f>
        <v/>
      </c>
      <c r="R941" s="7">
        <f>IF($AA941="","",SUMIFS('Per Line'!$Y$2:$Y$4001,'Per Line'!$E$2:$E$4001,$B941,'Per Line'!$AP$2:$AP$4001,0,'Per Line'!$AQ$2:$AQ$4001,0))</f>
        <v/>
      </c>
      <c r="S941" s="7">
        <f>IF($AA941="","",R941*Q941)</f>
        <v/>
      </c>
      <c r="T941">
        <f>IF($AA941="","",Settings!$C$6)</f>
        <v/>
      </c>
      <c r="U941" s="7">
        <f>IF($AA941="","",SUMIFS('Per Line'!$Y$2:$Y$4001,'Per Line'!$E$2:$E$4001,$B941,'Per Line'!$AP$2:$AP$4001,1,'Per Line'!$AQ$2:$AQ$4001,0))</f>
        <v/>
      </c>
      <c r="V941" s="7">
        <f>IF($AA941="","",U941*T941)</f>
        <v/>
      </c>
      <c r="W941" s="7">
        <f>IF($AA941="","",V941+S941)</f>
        <v/>
      </c>
      <c r="X941" s="7">
        <f>IF($AA941="","",Y941-W941)</f>
        <v/>
      </c>
      <c r="Y941" s="7">
        <f>IF($AA941="","",R941+U941+P941)</f>
        <v/>
      </c>
      <c r="Z941" s="7">
        <f>IF($AA941="","",Y941-W941-L941)</f>
        <v/>
      </c>
      <c r="AA941" s="13">
        <f>IF(ROWS($AA$2:$AA941)&lt;=MAX('Per Line'!$AO$2:$AO$4001),MATCH(ROWS($AA$2:$AA941),'Per Line'!$AO$2:$AO$4001,0),"")</f>
        <v/>
      </c>
      <c r="AB941" s="14">
        <f>IF($AA941="","",L941-K941*Y941/100)</f>
        <v/>
      </c>
    </row>
    <row r="942">
      <c r="A942" s="12" t="n"/>
      <c r="B942">
        <f>IF($AA942="","",INDEX('Per Line'!$E$2:$E$4001,$AA942)&amp;"")</f>
        <v/>
      </c>
      <c r="C942">
        <f>IF($AA942="","",INDEX('Per Line'!$A$2:$A$4001,$AA942)&amp;"")</f>
        <v/>
      </c>
      <c r="D942">
        <f>IF($AA942="","",INDEX('Per Line'!$D$2:$D$4001,$AA942)&amp;"")</f>
        <v/>
      </c>
      <c r="E942" s="11">
        <f>IF($AA942="","",INDEX('Per Line'!$G$2:$G$4001,$AA942))</f>
        <v/>
      </c>
      <c r="F942">
        <f>IF($AA942="","",INDEX('Per Line'!$H$2:$H$4001,$AA942)&amp;"")</f>
        <v/>
      </c>
      <c r="G942">
        <f>IF($AA942="","",INDEX('Per Line'!$I$2:$I$4001,$AA942)&amp;"")</f>
        <v/>
      </c>
      <c r="H942">
        <f>IF($AA942="","",INDEX('Per Line'!$J$2:$J$4001,$AA942)&amp;"")</f>
        <v/>
      </c>
      <c r="I942">
        <f>IF($AA942="","",INDEX('Per Line'!$K$2:$K$4001,$AA942)&amp;"")</f>
        <v/>
      </c>
      <c r="J942">
        <f>IF($AA942="","",INDEX('Per Line'!$L$2:$L$4001,$AA942)&amp;"")</f>
        <v/>
      </c>
      <c r="K942">
        <f>IF($AA942="","",INDEX('Per Line'!$P$2:$P$4001,$AA942))</f>
        <v/>
      </c>
      <c r="L942" s="7">
        <f>IF($AA942="","",IF(AND(ISNUMBER(N942),N942&gt;0,Y942&gt;N942),K942*N942/100+(Y942-N942),K942*Y942/100))</f>
        <v/>
      </c>
      <c r="M942">
        <f>IF($AA942="","",INDEX('Per Line'!$Z$2:$Z$4001,$AA942)&amp;"")</f>
        <v/>
      </c>
      <c r="N942">
        <f>IF($AA942="","",INDEX('Per Line'!$AG$2:$AG$4001,$AA942))</f>
        <v/>
      </c>
      <c r="O942">
        <f>IF($AA942="","",IF(AND(ISNUMBER(N942),N942&gt;0),Y942&gt;N942,FALSE))</f>
        <v/>
      </c>
      <c r="P942" s="7">
        <f>IF($AA942="","",SUMIFS('Per Line'!$Y$2:$Y$4001,'Per Line'!$E$2:$E$4001,$B942,'Per Line'!$AQ$2:$AQ$4001,1))</f>
        <v/>
      </c>
      <c r="Q942">
        <f>IF($AA942="","",Settings!$C$7)</f>
        <v/>
      </c>
      <c r="R942" s="7">
        <f>IF($AA942="","",SUMIFS('Per Line'!$Y$2:$Y$4001,'Per Line'!$E$2:$E$4001,$B942,'Per Line'!$AP$2:$AP$4001,0,'Per Line'!$AQ$2:$AQ$4001,0))</f>
        <v/>
      </c>
      <c r="S942" s="7">
        <f>IF($AA942="","",R942*Q942)</f>
        <v/>
      </c>
      <c r="T942">
        <f>IF($AA942="","",Settings!$C$6)</f>
        <v/>
      </c>
      <c r="U942" s="7">
        <f>IF($AA942="","",SUMIFS('Per Line'!$Y$2:$Y$4001,'Per Line'!$E$2:$E$4001,$B942,'Per Line'!$AP$2:$AP$4001,1,'Per Line'!$AQ$2:$AQ$4001,0))</f>
        <v/>
      </c>
      <c r="V942" s="7">
        <f>IF($AA942="","",U942*T942)</f>
        <v/>
      </c>
      <c r="W942" s="7">
        <f>IF($AA942="","",V942+S942)</f>
        <v/>
      </c>
      <c r="X942" s="7">
        <f>IF($AA942="","",Y942-W942)</f>
        <v/>
      </c>
      <c r="Y942" s="7">
        <f>IF($AA942="","",R942+U942+P942)</f>
        <v/>
      </c>
      <c r="Z942" s="7">
        <f>IF($AA942="","",Y942-W942-L942)</f>
        <v/>
      </c>
      <c r="AA942" s="13">
        <f>IF(ROWS($AA$2:$AA942)&lt;=MAX('Per Line'!$AO$2:$AO$4001),MATCH(ROWS($AA$2:$AA942),'Per Line'!$AO$2:$AO$4001,0),"")</f>
        <v/>
      </c>
      <c r="AB942" s="14">
        <f>IF($AA942="","",L942-K942*Y942/100)</f>
        <v/>
      </c>
    </row>
    <row r="943">
      <c r="A943" s="12" t="n"/>
      <c r="B943">
        <f>IF($AA943="","",INDEX('Per Line'!$E$2:$E$4001,$AA943)&amp;"")</f>
        <v/>
      </c>
      <c r="C943">
        <f>IF($AA943="","",INDEX('Per Line'!$A$2:$A$4001,$AA943)&amp;"")</f>
        <v/>
      </c>
      <c r="D943">
        <f>IF($AA943="","",INDEX('Per Line'!$D$2:$D$4001,$AA943)&amp;"")</f>
        <v/>
      </c>
      <c r="E943" s="11">
        <f>IF($AA943="","",INDEX('Per Line'!$G$2:$G$4001,$AA943))</f>
        <v/>
      </c>
      <c r="F943">
        <f>IF($AA943="","",INDEX('Per Line'!$H$2:$H$4001,$AA943)&amp;"")</f>
        <v/>
      </c>
      <c r="G943">
        <f>IF($AA943="","",INDEX('Per Line'!$I$2:$I$4001,$AA943)&amp;"")</f>
        <v/>
      </c>
      <c r="H943">
        <f>IF($AA943="","",INDEX('Per Line'!$J$2:$J$4001,$AA943)&amp;"")</f>
        <v/>
      </c>
      <c r="I943">
        <f>IF($AA943="","",INDEX('Per Line'!$K$2:$K$4001,$AA943)&amp;"")</f>
        <v/>
      </c>
      <c r="J943">
        <f>IF($AA943="","",INDEX('Per Line'!$L$2:$L$4001,$AA943)&amp;"")</f>
        <v/>
      </c>
      <c r="K943">
        <f>IF($AA943="","",INDEX('Per Line'!$P$2:$P$4001,$AA943))</f>
        <v/>
      </c>
      <c r="L943" s="7">
        <f>IF($AA943="","",IF(AND(ISNUMBER(N943),N943&gt;0,Y943&gt;N943),K943*N943/100+(Y943-N943),K943*Y943/100))</f>
        <v/>
      </c>
      <c r="M943">
        <f>IF($AA943="","",INDEX('Per Line'!$Z$2:$Z$4001,$AA943)&amp;"")</f>
        <v/>
      </c>
      <c r="N943">
        <f>IF($AA943="","",INDEX('Per Line'!$AG$2:$AG$4001,$AA943))</f>
        <v/>
      </c>
      <c r="O943">
        <f>IF($AA943="","",IF(AND(ISNUMBER(N943),N943&gt;0),Y943&gt;N943,FALSE))</f>
        <v/>
      </c>
      <c r="P943" s="7">
        <f>IF($AA943="","",SUMIFS('Per Line'!$Y$2:$Y$4001,'Per Line'!$E$2:$E$4001,$B943,'Per Line'!$AQ$2:$AQ$4001,1))</f>
        <v/>
      </c>
      <c r="Q943">
        <f>IF($AA943="","",Settings!$C$7)</f>
        <v/>
      </c>
      <c r="R943" s="7">
        <f>IF($AA943="","",SUMIFS('Per Line'!$Y$2:$Y$4001,'Per Line'!$E$2:$E$4001,$B943,'Per Line'!$AP$2:$AP$4001,0,'Per Line'!$AQ$2:$AQ$4001,0))</f>
        <v/>
      </c>
      <c r="S943" s="7">
        <f>IF($AA943="","",R943*Q943)</f>
        <v/>
      </c>
      <c r="T943">
        <f>IF($AA943="","",Settings!$C$6)</f>
        <v/>
      </c>
      <c r="U943" s="7">
        <f>IF($AA943="","",SUMIFS('Per Line'!$Y$2:$Y$4001,'Per Line'!$E$2:$E$4001,$B943,'Per Line'!$AP$2:$AP$4001,1,'Per Line'!$AQ$2:$AQ$4001,0))</f>
        <v/>
      </c>
      <c r="V943" s="7">
        <f>IF($AA943="","",U943*T943)</f>
        <v/>
      </c>
      <c r="W943" s="7">
        <f>IF($AA943="","",V943+S943)</f>
        <v/>
      </c>
      <c r="X943" s="7">
        <f>IF($AA943="","",Y943-W943)</f>
        <v/>
      </c>
      <c r="Y943" s="7">
        <f>IF($AA943="","",R943+U943+P943)</f>
        <v/>
      </c>
      <c r="Z943" s="7">
        <f>IF($AA943="","",Y943-W943-L943)</f>
        <v/>
      </c>
      <c r="AA943" s="13">
        <f>IF(ROWS($AA$2:$AA943)&lt;=MAX('Per Line'!$AO$2:$AO$4001),MATCH(ROWS($AA$2:$AA943),'Per Line'!$AO$2:$AO$4001,0),"")</f>
        <v/>
      </c>
      <c r="AB943" s="14">
        <f>IF($AA943="","",L943-K943*Y943/100)</f>
        <v/>
      </c>
    </row>
    <row r="944">
      <c r="A944" s="12" t="n"/>
      <c r="B944">
        <f>IF($AA944="","",INDEX('Per Line'!$E$2:$E$4001,$AA944)&amp;"")</f>
        <v/>
      </c>
      <c r="C944">
        <f>IF($AA944="","",INDEX('Per Line'!$A$2:$A$4001,$AA944)&amp;"")</f>
        <v/>
      </c>
      <c r="D944">
        <f>IF($AA944="","",INDEX('Per Line'!$D$2:$D$4001,$AA944)&amp;"")</f>
        <v/>
      </c>
      <c r="E944" s="11">
        <f>IF($AA944="","",INDEX('Per Line'!$G$2:$G$4001,$AA944))</f>
        <v/>
      </c>
      <c r="F944">
        <f>IF($AA944="","",INDEX('Per Line'!$H$2:$H$4001,$AA944)&amp;"")</f>
        <v/>
      </c>
      <c r="G944">
        <f>IF($AA944="","",INDEX('Per Line'!$I$2:$I$4001,$AA944)&amp;"")</f>
        <v/>
      </c>
      <c r="H944">
        <f>IF($AA944="","",INDEX('Per Line'!$J$2:$J$4001,$AA944)&amp;"")</f>
        <v/>
      </c>
      <c r="I944">
        <f>IF($AA944="","",INDEX('Per Line'!$K$2:$K$4001,$AA944)&amp;"")</f>
        <v/>
      </c>
      <c r="J944">
        <f>IF($AA944="","",INDEX('Per Line'!$L$2:$L$4001,$AA944)&amp;"")</f>
        <v/>
      </c>
      <c r="K944">
        <f>IF($AA944="","",INDEX('Per Line'!$P$2:$P$4001,$AA944))</f>
        <v/>
      </c>
      <c r="L944" s="7">
        <f>IF($AA944="","",IF(AND(ISNUMBER(N944),N944&gt;0,Y944&gt;N944),K944*N944/100+(Y944-N944),K944*Y944/100))</f>
        <v/>
      </c>
      <c r="M944">
        <f>IF($AA944="","",INDEX('Per Line'!$Z$2:$Z$4001,$AA944)&amp;"")</f>
        <v/>
      </c>
      <c r="N944">
        <f>IF($AA944="","",INDEX('Per Line'!$AG$2:$AG$4001,$AA944))</f>
        <v/>
      </c>
      <c r="O944">
        <f>IF($AA944="","",IF(AND(ISNUMBER(N944),N944&gt;0),Y944&gt;N944,FALSE))</f>
        <v/>
      </c>
      <c r="P944" s="7">
        <f>IF($AA944="","",SUMIFS('Per Line'!$Y$2:$Y$4001,'Per Line'!$E$2:$E$4001,$B944,'Per Line'!$AQ$2:$AQ$4001,1))</f>
        <v/>
      </c>
      <c r="Q944">
        <f>IF($AA944="","",Settings!$C$7)</f>
        <v/>
      </c>
      <c r="R944" s="7">
        <f>IF($AA944="","",SUMIFS('Per Line'!$Y$2:$Y$4001,'Per Line'!$E$2:$E$4001,$B944,'Per Line'!$AP$2:$AP$4001,0,'Per Line'!$AQ$2:$AQ$4001,0))</f>
        <v/>
      </c>
      <c r="S944" s="7">
        <f>IF($AA944="","",R944*Q944)</f>
        <v/>
      </c>
      <c r="T944">
        <f>IF($AA944="","",Settings!$C$6)</f>
        <v/>
      </c>
      <c r="U944" s="7">
        <f>IF($AA944="","",SUMIFS('Per Line'!$Y$2:$Y$4001,'Per Line'!$E$2:$E$4001,$B944,'Per Line'!$AP$2:$AP$4001,1,'Per Line'!$AQ$2:$AQ$4001,0))</f>
        <v/>
      </c>
      <c r="V944" s="7">
        <f>IF($AA944="","",U944*T944)</f>
        <v/>
      </c>
      <c r="W944" s="7">
        <f>IF($AA944="","",V944+S944)</f>
        <v/>
      </c>
      <c r="X944" s="7">
        <f>IF($AA944="","",Y944-W944)</f>
        <v/>
      </c>
      <c r="Y944" s="7">
        <f>IF($AA944="","",R944+U944+P944)</f>
        <v/>
      </c>
      <c r="Z944" s="7">
        <f>IF($AA944="","",Y944-W944-L944)</f>
        <v/>
      </c>
      <c r="AA944" s="13">
        <f>IF(ROWS($AA$2:$AA944)&lt;=MAX('Per Line'!$AO$2:$AO$4001),MATCH(ROWS($AA$2:$AA944),'Per Line'!$AO$2:$AO$4001,0),"")</f>
        <v/>
      </c>
      <c r="AB944" s="14">
        <f>IF($AA944="","",L944-K944*Y944/100)</f>
        <v/>
      </c>
    </row>
    <row r="945">
      <c r="A945" s="12" t="n"/>
      <c r="B945">
        <f>IF($AA945="","",INDEX('Per Line'!$E$2:$E$4001,$AA945)&amp;"")</f>
        <v/>
      </c>
      <c r="C945">
        <f>IF($AA945="","",INDEX('Per Line'!$A$2:$A$4001,$AA945)&amp;"")</f>
        <v/>
      </c>
      <c r="D945">
        <f>IF($AA945="","",INDEX('Per Line'!$D$2:$D$4001,$AA945)&amp;"")</f>
        <v/>
      </c>
      <c r="E945" s="11">
        <f>IF($AA945="","",INDEX('Per Line'!$G$2:$G$4001,$AA945))</f>
        <v/>
      </c>
      <c r="F945">
        <f>IF($AA945="","",INDEX('Per Line'!$H$2:$H$4001,$AA945)&amp;"")</f>
        <v/>
      </c>
      <c r="G945">
        <f>IF($AA945="","",INDEX('Per Line'!$I$2:$I$4001,$AA945)&amp;"")</f>
        <v/>
      </c>
      <c r="H945">
        <f>IF($AA945="","",INDEX('Per Line'!$J$2:$J$4001,$AA945)&amp;"")</f>
        <v/>
      </c>
      <c r="I945">
        <f>IF($AA945="","",INDEX('Per Line'!$K$2:$K$4001,$AA945)&amp;"")</f>
        <v/>
      </c>
      <c r="J945">
        <f>IF($AA945="","",INDEX('Per Line'!$L$2:$L$4001,$AA945)&amp;"")</f>
        <v/>
      </c>
      <c r="K945">
        <f>IF($AA945="","",INDEX('Per Line'!$P$2:$P$4001,$AA945))</f>
        <v/>
      </c>
      <c r="L945" s="7">
        <f>IF($AA945="","",IF(AND(ISNUMBER(N945),N945&gt;0,Y945&gt;N945),K945*N945/100+(Y945-N945),K945*Y945/100))</f>
        <v/>
      </c>
      <c r="M945">
        <f>IF($AA945="","",INDEX('Per Line'!$Z$2:$Z$4001,$AA945)&amp;"")</f>
        <v/>
      </c>
      <c r="N945">
        <f>IF($AA945="","",INDEX('Per Line'!$AG$2:$AG$4001,$AA945))</f>
        <v/>
      </c>
      <c r="O945">
        <f>IF($AA945="","",IF(AND(ISNUMBER(N945),N945&gt;0),Y945&gt;N945,FALSE))</f>
        <v/>
      </c>
      <c r="P945" s="7">
        <f>IF($AA945="","",SUMIFS('Per Line'!$Y$2:$Y$4001,'Per Line'!$E$2:$E$4001,$B945,'Per Line'!$AQ$2:$AQ$4001,1))</f>
        <v/>
      </c>
      <c r="Q945">
        <f>IF($AA945="","",Settings!$C$7)</f>
        <v/>
      </c>
      <c r="R945" s="7">
        <f>IF($AA945="","",SUMIFS('Per Line'!$Y$2:$Y$4001,'Per Line'!$E$2:$E$4001,$B945,'Per Line'!$AP$2:$AP$4001,0,'Per Line'!$AQ$2:$AQ$4001,0))</f>
        <v/>
      </c>
      <c r="S945" s="7">
        <f>IF($AA945="","",R945*Q945)</f>
        <v/>
      </c>
      <c r="T945">
        <f>IF($AA945="","",Settings!$C$6)</f>
        <v/>
      </c>
      <c r="U945" s="7">
        <f>IF($AA945="","",SUMIFS('Per Line'!$Y$2:$Y$4001,'Per Line'!$E$2:$E$4001,$B945,'Per Line'!$AP$2:$AP$4001,1,'Per Line'!$AQ$2:$AQ$4001,0))</f>
        <v/>
      </c>
      <c r="V945" s="7">
        <f>IF($AA945="","",U945*T945)</f>
        <v/>
      </c>
      <c r="W945" s="7">
        <f>IF($AA945="","",V945+S945)</f>
        <v/>
      </c>
      <c r="X945" s="7">
        <f>IF($AA945="","",Y945-W945)</f>
        <v/>
      </c>
      <c r="Y945" s="7">
        <f>IF($AA945="","",R945+U945+P945)</f>
        <v/>
      </c>
      <c r="Z945" s="7">
        <f>IF($AA945="","",Y945-W945-L945)</f>
        <v/>
      </c>
      <c r="AA945" s="13">
        <f>IF(ROWS($AA$2:$AA945)&lt;=MAX('Per Line'!$AO$2:$AO$4001),MATCH(ROWS($AA$2:$AA945),'Per Line'!$AO$2:$AO$4001,0),"")</f>
        <v/>
      </c>
      <c r="AB945" s="14">
        <f>IF($AA945="","",L945-K945*Y945/100)</f>
        <v/>
      </c>
    </row>
    <row r="946">
      <c r="A946" s="12" t="n"/>
      <c r="B946">
        <f>IF($AA946="","",INDEX('Per Line'!$E$2:$E$4001,$AA946)&amp;"")</f>
        <v/>
      </c>
      <c r="C946">
        <f>IF($AA946="","",INDEX('Per Line'!$A$2:$A$4001,$AA946)&amp;"")</f>
        <v/>
      </c>
      <c r="D946">
        <f>IF($AA946="","",INDEX('Per Line'!$D$2:$D$4001,$AA946)&amp;"")</f>
        <v/>
      </c>
      <c r="E946" s="11">
        <f>IF($AA946="","",INDEX('Per Line'!$G$2:$G$4001,$AA946))</f>
        <v/>
      </c>
      <c r="F946">
        <f>IF($AA946="","",INDEX('Per Line'!$H$2:$H$4001,$AA946)&amp;"")</f>
        <v/>
      </c>
      <c r="G946">
        <f>IF($AA946="","",INDEX('Per Line'!$I$2:$I$4001,$AA946)&amp;"")</f>
        <v/>
      </c>
      <c r="H946">
        <f>IF($AA946="","",INDEX('Per Line'!$J$2:$J$4001,$AA946)&amp;"")</f>
        <v/>
      </c>
      <c r="I946">
        <f>IF($AA946="","",INDEX('Per Line'!$K$2:$K$4001,$AA946)&amp;"")</f>
        <v/>
      </c>
      <c r="J946">
        <f>IF($AA946="","",INDEX('Per Line'!$L$2:$L$4001,$AA946)&amp;"")</f>
        <v/>
      </c>
      <c r="K946">
        <f>IF($AA946="","",INDEX('Per Line'!$P$2:$P$4001,$AA946))</f>
        <v/>
      </c>
      <c r="L946" s="7">
        <f>IF($AA946="","",IF(AND(ISNUMBER(N946),N946&gt;0,Y946&gt;N946),K946*N946/100+(Y946-N946),K946*Y946/100))</f>
        <v/>
      </c>
      <c r="M946">
        <f>IF($AA946="","",INDEX('Per Line'!$Z$2:$Z$4001,$AA946)&amp;"")</f>
        <v/>
      </c>
      <c r="N946">
        <f>IF($AA946="","",INDEX('Per Line'!$AG$2:$AG$4001,$AA946))</f>
        <v/>
      </c>
      <c r="O946">
        <f>IF($AA946="","",IF(AND(ISNUMBER(N946),N946&gt;0),Y946&gt;N946,FALSE))</f>
        <v/>
      </c>
      <c r="P946" s="7">
        <f>IF($AA946="","",SUMIFS('Per Line'!$Y$2:$Y$4001,'Per Line'!$E$2:$E$4001,$B946,'Per Line'!$AQ$2:$AQ$4001,1))</f>
        <v/>
      </c>
      <c r="Q946">
        <f>IF($AA946="","",Settings!$C$7)</f>
        <v/>
      </c>
      <c r="R946" s="7">
        <f>IF($AA946="","",SUMIFS('Per Line'!$Y$2:$Y$4001,'Per Line'!$E$2:$E$4001,$B946,'Per Line'!$AP$2:$AP$4001,0,'Per Line'!$AQ$2:$AQ$4001,0))</f>
        <v/>
      </c>
      <c r="S946" s="7">
        <f>IF($AA946="","",R946*Q946)</f>
        <v/>
      </c>
      <c r="T946">
        <f>IF($AA946="","",Settings!$C$6)</f>
        <v/>
      </c>
      <c r="U946" s="7">
        <f>IF($AA946="","",SUMIFS('Per Line'!$Y$2:$Y$4001,'Per Line'!$E$2:$E$4001,$B946,'Per Line'!$AP$2:$AP$4001,1,'Per Line'!$AQ$2:$AQ$4001,0))</f>
        <v/>
      </c>
      <c r="V946" s="7">
        <f>IF($AA946="","",U946*T946)</f>
        <v/>
      </c>
      <c r="W946" s="7">
        <f>IF($AA946="","",V946+S946)</f>
        <v/>
      </c>
      <c r="X946" s="7">
        <f>IF($AA946="","",Y946-W946)</f>
        <v/>
      </c>
      <c r="Y946" s="7">
        <f>IF($AA946="","",R946+U946+P946)</f>
        <v/>
      </c>
      <c r="Z946" s="7">
        <f>IF($AA946="","",Y946-W946-L946)</f>
        <v/>
      </c>
      <c r="AA946" s="13">
        <f>IF(ROWS($AA$2:$AA946)&lt;=MAX('Per Line'!$AO$2:$AO$4001),MATCH(ROWS($AA$2:$AA946),'Per Line'!$AO$2:$AO$4001,0),"")</f>
        <v/>
      </c>
      <c r="AB946" s="14">
        <f>IF($AA946="","",L946-K946*Y946/100)</f>
        <v/>
      </c>
    </row>
    <row r="947">
      <c r="A947" s="12" t="n"/>
      <c r="B947">
        <f>IF($AA947="","",INDEX('Per Line'!$E$2:$E$4001,$AA947)&amp;"")</f>
        <v/>
      </c>
      <c r="C947">
        <f>IF($AA947="","",INDEX('Per Line'!$A$2:$A$4001,$AA947)&amp;"")</f>
        <v/>
      </c>
      <c r="D947">
        <f>IF($AA947="","",INDEX('Per Line'!$D$2:$D$4001,$AA947)&amp;"")</f>
        <v/>
      </c>
      <c r="E947" s="11">
        <f>IF($AA947="","",INDEX('Per Line'!$G$2:$G$4001,$AA947))</f>
        <v/>
      </c>
      <c r="F947">
        <f>IF($AA947="","",INDEX('Per Line'!$H$2:$H$4001,$AA947)&amp;"")</f>
        <v/>
      </c>
      <c r="G947">
        <f>IF($AA947="","",INDEX('Per Line'!$I$2:$I$4001,$AA947)&amp;"")</f>
        <v/>
      </c>
      <c r="H947">
        <f>IF($AA947="","",INDEX('Per Line'!$J$2:$J$4001,$AA947)&amp;"")</f>
        <v/>
      </c>
      <c r="I947">
        <f>IF($AA947="","",INDEX('Per Line'!$K$2:$K$4001,$AA947)&amp;"")</f>
        <v/>
      </c>
      <c r="J947">
        <f>IF($AA947="","",INDEX('Per Line'!$L$2:$L$4001,$AA947)&amp;"")</f>
        <v/>
      </c>
      <c r="K947">
        <f>IF($AA947="","",INDEX('Per Line'!$P$2:$P$4001,$AA947))</f>
        <v/>
      </c>
      <c r="L947" s="7">
        <f>IF($AA947="","",IF(AND(ISNUMBER(N947),N947&gt;0,Y947&gt;N947),K947*N947/100+(Y947-N947),K947*Y947/100))</f>
        <v/>
      </c>
      <c r="M947">
        <f>IF($AA947="","",INDEX('Per Line'!$Z$2:$Z$4001,$AA947)&amp;"")</f>
        <v/>
      </c>
      <c r="N947">
        <f>IF($AA947="","",INDEX('Per Line'!$AG$2:$AG$4001,$AA947))</f>
        <v/>
      </c>
      <c r="O947">
        <f>IF($AA947="","",IF(AND(ISNUMBER(N947),N947&gt;0),Y947&gt;N947,FALSE))</f>
        <v/>
      </c>
      <c r="P947" s="7">
        <f>IF($AA947="","",SUMIFS('Per Line'!$Y$2:$Y$4001,'Per Line'!$E$2:$E$4001,$B947,'Per Line'!$AQ$2:$AQ$4001,1))</f>
        <v/>
      </c>
      <c r="Q947">
        <f>IF($AA947="","",Settings!$C$7)</f>
        <v/>
      </c>
      <c r="R947" s="7">
        <f>IF($AA947="","",SUMIFS('Per Line'!$Y$2:$Y$4001,'Per Line'!$E$2:$E$4001,$B947,'Per Line'!$AP$2:$AP$4001,0,'Per Line'!$AQ$2:$AQ$4001,0))</f>
        <v/>
      </c>
      <c r="S947" s="7">
        <f>IF($AA947="","",R947*Q947)</f>
        <v/>
      </c>
      <c r="T947">
        <f>IF($AA947="","",Settings!$C$6)</f>
        <v/>
      </c>
      <c r="U947" s="7">
        <f>IF($AA947="","",SUMIFS('Per Line'!$Y$2:$Y$4001,'Per Line'!$E$2:$E$4001,$B947,'Per Line'!$AP$2:$AP$4001,1,'Per Line'!$AQ$2:$AQ$4001,0))</f>
        <v/>
      </c>
      <c r="V947" s="7">
        <f>IF($AA947="","",U947*T947)</f>
        <v/>
      </c>
      <c r="W947" s="7">
        <f>IF($AA947="","",V947+S947)</f>
        <v/>
      </c>
      <c r="X947" s="7">
        <f>IF($AA947="","",Y947-W947)</f>
        <v/>
      </c>
      <c r="Y947" s="7">
        <f>IF($AA947="","",R947+U947+P947)</f>
        <v/>
      </c>
      <c r="Z947" s="7">
        <f>IF($AA947="","",Y947-W947-L947)</f>
        <v/>
      </c>
      <c r="AA947" s="13">
        <f>IF(ROWS($AA$2:$AA947)&lt;=MAX('Per Line'!$AO$2:$AO$4001),MATCH(ROWS($AA$2:$AA947),'Per Line'!$AO$2:$AO$4001,0),"")</f>
        <v/>
      </c>
      <c r="AB947" s="14">
        <f>IF($AA947="","",L947-K947*Y947/100)</f>
        <v/>
      </c>
    </row>
    <row r="948">
      <c r="A948" s="12" t="n"/>
      <c r="B948">
        <f>IF($AA948="","",INDEX('Per Line'!$E$2:$E$4001,$AA948)&amp;"")</f>
        <v/>
      </c>
      <c r="C948">
        <f>IF($AA948="","",INDEX('Per Line'!$A$2:$A$4001,$AA948)&amp;"")</f>
        <v/>
      </c>
      <c r="D948">
        <f>IF($AA948="","",INDEX('Per Line'!$D$2:$D$4001,$AA948)&amp;"")</f>
        <v/>
      </c>
      <c r="E948" s="11">
        <f>IF($AA948="","",INDEX('Per Line'!$G$2:$G$4001,$AA948))</f>
        <v/>
      </c>
      <c r="F948">
        <f>IF($AA948="","",INDEX('Per Line'!$H$2:$H$4001,$AA948)&amp;"")</f>
        <v/>
      </c>
      <c r="G948">
        <f>IF($AA948="","",INDEX('Per Line'!$I$2:$I$4001,$AA948)&amp;"")</f>
        <v/>
      </c>
      <c r="H948">
        <f>IF($AA948="","",INDEX('Per Line'!$J$2:$J$4001,$AA948)&amp;"")</f>
        <v/>
      </c>
      <c r="I948">
        <f>IF($AA948="","",INDEX('Per Line'!$K$2:$K$4001,$AA948)&amp;"")</f>
        <v/>
      </c>
      <c r="J948">
        <f>IF($AA948="","",INDEX('Per Line'!$L$2:$L$4001,$AA948)&amp;"")</f>
        <v/>
      </c>
      <c r="K948">
        <f>IF($AA948="","",INDEX('Per Line'!$P$2:$P$4001,$AA948))</f>
        <v/>
      </c>
      <c r="L948" s="7">
        <f>IF($AA948="","",IF(AND(ISNUMBER(N948),N948&gt;0,Y948&gt;N948),K948*N948/100+(Y948-N948),K948*Y948/100))</f>
        <v/>
      </c>
      <c r="M948">
        <f>IF($AA948="","",INDEX('Per Line'!$Z$2:$Z$4001,$AA948)&amp;"")</f>
        <v/>
      </c>
      <c r="N948">
        <f>IF($AA948="","",INDEX('Per Line'!$AG$2:$AG$4001,$AA948))</f>
        <v/>
      </c>
      <c r="O948">
        <f>IF($AA948="","",IF(AND(ISNUMBER(N948),N948&gt;0),Y948&gt;N948,FALSE))</f>
        <v/>
      </c>
      <c r="P948" s="7">
        <f>IF($AA948="","",SUMIFS('Per Line'!$Y$2:$Y$4001,'Per Line'!$E$2:$E$4001,$B948,'Per Line'!$AQ$2:$AQ$4001,1))</f>
        <v/>
      </c>
      <c r="Q948">
        <f>IF($AA948="","",Settings!$C$7)</f>
        <v/>
      </c>
      <c r="R948" s="7">
        <f>IF($AA948="","",SUMIFS('Per Line'!$Y$2:$Y$4001,'Per Line'!$E$2:$E$4001,$B948,'Per Line'!$AP$2:$AP$4001,0,'Per Line'!$AQ$2:$AQ$4001,0))</f>
        <v/>
      </c>
      <c r="S948" s="7">
        <f>IF($AA948="","",R948*Q948)</f>
        <v/>
      </c>
      <c r="T948">
        <f>IF($AA948="","",Settings!$C$6)</f>
        <v/>
      </c>
      <c r="U948" s="7">
        <f>IF($AA948="","",SUMIFS('Per Line'!$Y$2:$Y$4001,'Per Line'!$E$2:$E$4001,$B948,'Per Line'!$AP$2:$AP$4001,1,'Per Line'!$AQ$2:$AQ$4001,0))</f>
        <v/>
      </c>
      <c r="V948" s="7">
        <f>IF($AA948="","",U948*T948)</f>
        <v/>
      </c>
      <c r="W948" s="7">
        <f>IF($AA948="","",V948+S948)</f>
        <v/>
      </c>
      <c r="X948" s="7">
        <f>IF($AA948="","",Y948-W948)</f>
        <v/>
      </c>
      <c r="Y948" s="7">
        <f>IF($AA948="","",R948+U948+P948)</f>
        <v/>
      </c>
      <c r="Z948" s="7">
        <f>IF($AA948="","",Y948-W948-L948)</f>
        <v/>
      </c>
      <c r="AA948" s="13">
        <f>IF(ROWS($AA$2:$AA948)&lt;=MAX('Per Line'!$AO$2:$AO$4001),MATCH(ROWS($AA$2:$AA948),'Per Line'!$AO$2:$AO$4001,0),"")</f>
        <v/>
      </c>
      <c r="AB948" s="14">
        <f>IF($AA948="","",L948-K948*Y948/100)</f>
        <v/>
      </c>
    </row>
    <row r="949">
      <c r="A949" s="12" t="n"/>
      <c r="B949">
        <f>IF($AA949="","",INDEX('Per Line'!$E$2:$E$4001,$AA949)&amp;"")</f>
        <v/>
      </c>
      <c r="C949">
        <f>IF($AA949="","",INDEX('Per Line'!$A$2:$A$4001,$AA949)&amp;"")</f>
        <v/>
      </c>
      <c r="D949">
        <f>IF($AA949="","",INDEX('Per Line'!$D$2:$D$4001,$AA949)&amp;"")</f>
        <v/>
      </c>
      <c r="E949" s="11">
        <f>IF($AA949="","",INDEX('Per Line'!$G$2:$G$4001,$AA949))</f>
        <v/>
      </c>
      <c r="F949">
        <f>IF($AA949="","",INDEX('Per Line'!$H$2:$H$4001,$AA949)&amp;"")</f>
        <v/>
      </c>
      <c r="G949">
        <f>IF($AA949="","",INDEX('Per Line'!$I$2:$I$4001,$AA949)&amp;"")</f>
        <v/>
      </c>
      <c r="H949">
        <f>IF($AA949="","",INDEX('Per Line'!$J$2:$J$4001,$AA949)&amp;"")</f>
        <v/>
      </c>
      <c r="I949">
        <f>IF($AA949="","",INDEX('Per Line'!$K$2:$K$4001,$AA949)&amp;"")</f>
        <v/>
      </c>
      <c r="J949">
        <f>IF($AA949="","",INDEX('Per Line'!$L$2:$L$4001,$AA949)&amp;"")</f>
        <v/>
      </c>
      <c r="K949">
        <f>IF($AA949="","",INDEX('Per Line'!$P$2:$P$4001,$AA949))</f>
        <v/>
      </c>
      <c r="L949" s="7">
        <f>IF($AA949="","",IF(AND(ISNUMBER(N949),N949&gt;0,Y949&gt;N949),K949*N949/100+(Y949-N949),K949*Y949/100))</f>
        <v/>
      </c>
      <c r="M949">
        <f>IF($AA949="","",INDEX('Per Line'!$Z$2:$Z$4001,$AA949)&amp;"")</f>
        <v/>
      </c>
      <c r="N949">
        <f>IF($AA949="","",INDEX('Per Line'!$AG$2:$AG$4001,$AA949))</f>
        <v/>
      </c>
      <c r="O949">
        <f>IF($AA949="","",IF(AND(ISNUMBER(N949),N949&gt;0),Y949&gt;N949,FALSE))</f>
        <v/>
      </c>
      <c r="P949" s="7">
        <f>IF($AA949="","",SUMIFS('Per Line'!$Y$2:$Y$4001,'Per Line'!$E$2:$E$4001,$B949,'Per Line'!$AQ$2:$AQ$4001,1))</f>
        <v/>
      </c>
      <c r="Q949">
        <f>IF($AA949="","",Settings!$C$7)</f>
        <v/>
      </c>
      <c r="R949" s="7">
        <f>IF($AA949="","",SUMIFS('Per Line'!$Y$2:$Y$4001,'Per Line'!$E$2:$E$4001,$B949,'Per Line'!$AP$2:$AP$4001,0,'Per Line'!$AQ$2:$AQ$4001,0))</f>
        <v/>
      </c>
      <c r="S949" s="7">
        <f>IF($AA949="","",R949*Q949)</f>
        <v/>
      </c>
      <c r="T949">
        <f>IF($AA949="","",Settings!$C$6)</f>
        <v/>
      </c>
      <c r="U949" s="7">
        <f>IF($AA949="","",SUMIFS('Per Line'!$Y$2:$Y$4001,'Per Line'!$E$2:$E$4001,$B949,'Per Line'!$AP$2:$AP$4001,1,'Per Line'!$AQ$2:$AQ$4001,0))</f>
        <v/>
      </c>
      <c r="V949" s="7">
        <f>IF($AA949="","",U949*T949)</f>
        <v/>
      </c>
      <c r="W949" s="7">
        <f>IF($AA949="","",V949+S949)</f>
        <v/>
      </c>
      <c r="X949" s="7">
        <f>IF($AA949="","",Y949-W949)</f>
        <v/>
      </c>
      <c r="Y949" s="7">
        <f>IF($AA949="","",R949+U949+P949)</f>
        <v/>
      </c>
      <c r="Z949" s="7">
        <f>IF($AA949="","",Y949-W949-L949)</f>
        <v/>
      </c>
      <c r="AA949" s="13">
        <f>IF(ROWS($AA$2:$AA949)&lt;=MAX('Per Line'!$AO$2:$AO$4001),MATCH(ROWS($AA$2:$AA949),'Per Line'!$AO$2:$AO$4001,0),"")</f>
        <v/>
      </c>
      <c r="AB949" s="14">
        <f>IF($AA949="","",L949-K949*Y949/100)</f>
        <v/>
      </c>
    </row>
    <row r="950">
      <c r="A950" s="12" t="n"/>
      <c r="B950">
        <f>IF($AA950="","",INDEX('Per Line'!$E$2:$E$4001,$AA950)&amp;"")</f>
        <v/>
      </c>
      <c r="C950">
        <f>IF($AA950="","",INDEX('Per Line'!$A$2:$A$4001,$AA950)&amp;"")</f>
        <v/>
      </c>
      <c r="D950">
        <f>IF($AA950="","",INDEX('Per Line'!$D$2:$D$4001,$AA950)&amp;"")</f>
        <v/>
      </c>
      <c r="E950" s="11">
        <f>IF($AA950="","",INDEX('Per Line'!$G$2:$G$4001,$AA950))</f>
        <v/>
      </c>
      <c r="F950">
        <f>IF($AA950="","",INDEX('Per Line'!$H$2:$H$4001,$AA950)&amp;"")</f>
        <v/>
      </c>
      <c r="G950">
        <f>IF($AA950="","",INDEX('Per Line'!$I$2:$I$4001,$AA950)&amp;"")</f>
        <v/>
      </c>
      <c r="H950">
        <f>IF($AA950="","",INDEX('Per Line'!$J$2:$J$4001,$AA950)&amp;"")</f>
        <v/>
      </c>
      <c r="I950">
        <f>IF($AA950="","",INDEX('Per Line'!$K$2:$K$4001,$AA950)&amp;"")</f>
        <v/>
      </c>
      <c r="J950">
        <f>IF($AA950="","",INDEX('Per Line'!$L$2:$L$4001,$AA950)&amp;"")</f>
        <v/>
      </c>
      <c r="K950">
        <f>IF($AA950="","",INDEX('Per Line'!$P$2:$P$4001,$AA950))</f>
        <v/>
      </c>
      <c r="L950" s="7">
        <f>IF($AA950="","",IF(AND(ISNUMBER(N950),N950&gt;0,Y950&gt;N950),K950*N950/100+(Y950-N950),K950*Y950/100))</f>
        <v/>
      </c>
      <c r="M950">
        <f>IF($AA950="","",INDEX('Per Line'!$Z$2:$Z$4001,$AA950)&amp;"")</f>
        <v/>
      </c>
      <c r="N950">
        <f>IF($AA950="","",INDEX('Per Line'!$AG$2:$AG$4001,$AA950))</f>
        <v/>
      </c>
      <c r="O950">
        <f>IF($AA950="","",IF(AND(ISNUMBER(N950),N950&gt;0),Y950&gt;N950,FALSE))</f>
        <v/>
      </c>
      <c r="P950" s="7">
        <f>IF($AA950="","",SUMIFS('Per Line'!$Y$2:$Y$4001,'Per Line'!$E$2:$E$4001,$B950,'Per Line'!$AQ$2:$AQ$4001,1))</f>
        <v/>
      </c>
      <c r="Q950">
        <f>IF($AA950="","",Settings!$C$7)</f>
        <v/>
      </c>
      <c r="R950" s="7">
        <f>IF($AA950="","",SUMIFS('Per Line'!$Y$2:$Y$4001,'Per Line'!$E$2:$E$4001,$B950,'Per Line'!$AP$2:$AP$4001,0,'Per Line'!$AQ$2:$AQ$4001,0))</f>
        <v/>
      </c>
      <c r="S950" s="7">
        <f>IF($AA950="","",R950*Q950)</f>
        <v/>
      </c>
      <c r="T950">
        <f>IF($AA950="","",Settings!$C$6)</f>
        <v/>
      </c>
      <c r="U950" s="7">
        <f>IF($AA950="","",SUMIFS('Per Line'!$Y$2:$Y$4001,'Per Line'!$E$2:$E$4001,$B950,'Per Line'!$AP$2:$AP$4001,1,'Per Line'!$AQ$2:$AQ$4001,0))</f>
        <v/>
      </c>
      <c r="V950" s="7">
        <f>IF($AA950="","",U950*T950)</f>
        <v/>
      </c>
      <c r="W950" s="7">
        <f>IF($AA950="","",V950+S950)</f>
        <v/>
      </c>
      <c r="X950" s="7">
        <f>IF($AA950="","",Y950-W950)</f>
        <v/>
      </c>
      <c r="Y950" s="7">
        <f>IF($AA950="","",R950+U950+P950)</f>
        <v/>
      </c>
      <c r="Z950" s="7">
        <f>IF($AA950="","",Y950-W950-L950)</f>
        <v/>
      </c>
      <c r="AA950" s="13">
        <f>IF(ROWS($AA$2:$AA950)&lt;=MAX('Per Line'!$AO$2:$AO$4001),MATCH(ROWS($AA$2:$AA950),'Per Line'!$AO$2:$AO$4001,0),"")</f>
        <v/>
      </c>
      <c r="AB950" s="14">
        <f>IF($AA950="","",L950-K950*Y950/100)</f>
        <v/>
      </c>
    </row>
    <row r="951">
      <c r="A951" s="12" t="n"/>
      <c r="B951">
        <f>IF($AA951="","",INDEX('Per Line'!$E$2:$E$4001,$AA951)&amp;"")</f>
        <v/>
      </c>
      <c r="C951">
        <f>IF($AA951="","",INDEX('Per Line'!$A$2:$A$4001,$AA951)&amp;"")</f>
        <v/>
      </c>
      <c r="D951">
        <f>IF($AA951="","",INDEX('Per Line'!$D$2:$D$4001,$AA951)&amp;"")</f>
        <v/>
      </c>
      <c r="E951" s="11">
        <f>IF($AA951="","",INDEX('Per Line'!$G$2:$G$4001,$AA951))</f>
        <v/>
      </c>
      <c r="F951">
        <f>IF($AA951="","",INDEX('Per Line'!$H$2:$H$4001,$AA951)&amp;"")</f>
        <v/>
      </c>
      <c r="G951">
        <f>IF($AA951="","",INDEX('Per Line'!$I$2:$I$4001,$AA951)&amp;"")</f>
        <v/>
      </c>
      <c r="H951">
        <f>IF($AA951="","",INDEX('Per Line'!$J$2:$J$4001,$AA951)&amp;"")</f>
        <v/>
      </c>
      <c r="I951">
        <f>IF($AA951="","",INDEX('Per Line'!$K$2:$K$4001,$AA951)&amp;"")</f>
        <v/>
      </c>
      <c r="J951">
        <f>IF($AA951="","",INDEX('Per Line'!$L$2:$L$4001,$AA951)&amp;"")</f>
        <v/>
      </c>
      <c r="K951">
        <f>IF($AA951="","",INDEX('Per Line'!$P$2:$P$4001,$AA951))</f>
        <v/>
      </c>
      <c r="L951" s="7">
        <f>IF($AA951="","",IF(AND(ISNUMBER(N951),N951&gt;0,Y951&gt;N951),K951*N951/100+(Y951-N951),K951*Y951/100))</f>
        <v/>
      </c>
      <c r="M951">
        <f>IF($AA951="","",INDEX('Per Line'!$Z$2:$Z$4001,$AA951)&amp;"")</f>
        <v/>
      </c>
      <c r="N951">
        <f>IF($AA951="","",INDEX('Per Line'!$AG$2:$AG$4001,$AA951))</f>
        <v/>
      </c>
      <c r="O951">
        <f>IF($AA951="","",IF(AND(ISNUMBER(N951),N951&gt;0),Y951&gt;N951,FALSE))</f>
        <v/>
      </c>
      <c r="P951" s="7">
        <f>IF($AA951="","",SUMIFS('Per Line'!$Y$2:$Y$4001,'Per Line'!$E$2:$E$4001,$B951,'Per Line'!$AQ$2:$AQ$4001,1))</f>
        <v/>
      </c>
      <c r="Q951">
        <f>IF($AA951="","",Settings!$C$7)</f>
        <v/>
      </c>
      <c r="R951" s="7">
        <f>IF($AA951="","",SUMIFS('Per Line'!$Y$2:$Y$4001,'Per Line'!$E$2:$E$4001,$B951,'Per Line'!$AP$2:$AP$4001,0,'Per Line'!$AQ$2:$AQ$4001,0))</f>
        <v/>
      </c>
      <c r="S951" s="7">
        <f>IF($AA951="","",R951*Q951)</f>
        <v/>
      </c>
      <c r="T951">
        <f>IF($AA951="","",Settings!$C$6)</f>
        <v/>
      </c>
      <c r="U951" s="7">
        <f>IF($AA951="","",SUMIFS('Per Line'!$Y$2:$Y$4001,'Per Line'!$E$2:$E$4001,$B951,'Per Line'!$AP$2:$AP$4001,1,'Per Line'!$AQ$2:$AQ$4001,0))</f>
        <v/>
      </c>
      <c r="V951" s="7">
        <f>IF($AA951="","",U951*T951)</f>
        <v/>
      </c>
      <c r="W951" s="7">
        <f>IF($AA951="","",V951+S951)</f>
        <v/>
      </c>
      <c r="X951" s="7">
        <f>IF($AA951="","",Y951-W951)</f>
        <v/>
      </c>
      <c r="Y951" s="7">
        <f>IF($AA951="","",R951+U951+P951)</f>
        <v/>
      </c>
      <c r="Z951" s="7">
        <f>IF($AA951="","",Y951-W951-L951)</f>
        <v/>
      </c>
      <c r="AA951" s="13">
        <f>IF(ROWS($AA$2:$AA951)&lt;=MAX('Per Line'!$AO$2:$AO$4001),MATCH(ROWS($AA$2:$AA951),'Per Line'!$AO$2:$AO$4001,0),"")</f>
        <v/>
      </c>
      <c r="AB951" s="14">
        <f>IF($AA951="","",L951-K951*Y951/100)</f>
        <v/>
      </c>
    </row>
    <row r="952">
      <c r="A952" s="12" t="n"/>
      <c r="B952">
        <f>IF($AA952="","",INDEX('Per Line'!$E$2:$E$4001,$AA952)&amp;"")</f>
        <v/>
      </c>
      <c r="C952">
        <f>IF($AA952="","",INDEX('Per Line'!$A$2:$A$4001,$AA952)&amp;"")</f>
        <v/>
      </c>
      <c r="D952">
        <f>IF($AA952="","",INDEX('Per Line'!$D$2:$D$4001,$AA952)&amp;"")</f>
        <v/>
      </c>
      <c r="E952" s="11">
        <f>IF($AA952="","",INDEX('Per Line'!$G$2:$G$4001,$AA952))</f>
        <v/>
      </c>
      <c r="F952">
        <f>IF($AA952="","",INDEX('Per Line'!$H$2:$H$4001,$AA952)&amp;"")</f>
        <v/>
      </c>
      <c r="G952">
        <f>IF($AA952="","",INDEX('Per Line'!$I$2:$I$4001,$AA952)&amp;"")</f>
        <v/>
      </c>
      <c r="H952">
        <f>IF($AA952="","",INDEX('Per Line'!$J$2:$J$4001,$AA952)&amp;"")</f>
        <v/>
      </c>
      <c r="I952">
        <f>IF($AA952="","",INDEX('Per Line'!$K$2:$K$4001,$AA952)&amp;"")</f>
        <v/>
      </c>
      <c r="J952">
        <f>IF($AA952="","",INDEX('Per Line'!$L$2:$L$4001,$AA952)&amp;"")</f>
        <v/>
      </c>
      <c r="K952">
        <f>IF($AA952="","",INDEX('Per Line'!$P$2:$P$4001,$AA952))</f>
        <v/>
      </c>
      <c r="L952" s="7">
        <f>IF($AA952="","",IF(AND(ISNUMBER(N952),N952&gt;0,Y952&gt;N952),K952*N952/100+(Y952-N952),K952*Y952/100))</f>
        <v/>
      </c>
      <c r="M952">
        <f>IF($AA952="","",INDEX('Per Line'!$Z$2:$Z$4001,$AA952)&amp;"")</f>
        <v/>
      </c>
      <c r="N952">
        <f>IF($AA952="","",INDEX('Per Line'!$AG$2:$AG$4001,$AA952))</f>
        <v/>
      </c>
      <c r="O952">
        <f>IF($AA952="","",IF(AND(ISNUMBER(N952),N952&gt;0),Y952&gt;N952,FALSE))</f>
        <v/>
      </c>
      <c r="P952" s="7">
        <f>IF($AA952="","",SUMIFS('Per Line'!$Y$2:$Y$4001,'Per Line'!$E$2:$E$4001,$B952,'Per Line'!$AQ$2:$AQ$4001,1))</f>
        <v/>
      </c>
      <c r="Q952">
        <f>IF($AA952="","",Settings!$C$7)</f>
        <v/>
      </c>
      <c r="R952" s="7">
        <f>IF($AA952="","",SUMIFS('Per Line'!$Y$2:$Y$4001,'Per Line'!$E$2:$E$4001,$B952,'Per Line'!$AP$2:$AP$4001,0,'Per Line'!$AQ$2:$AQ$4001,0))</f>
        <v/>
      </c>
      <c r="S952" s="7">
        <f>IF($AA952="","",R952*Q952)</f>
        <v/>
      </c>
      <c r="T952">
        <f>IF($AA952="","",Settings!$C$6)</f>
        <v/>
      </c>
      <c r="U952" s="7">
        <f>IF($AA952="","",SUMIFS('Per Line'!$Y$2:$Y$4001,'Per Line'!$E$2:$E$4001,$B952,'Per Line'!$AP$2:$AP$4001,1,'Per Line'!$AQ$2:$AQ$4001,0))</f>
        <v/>
      </c>
      <c r="V952" s="7">
        <f>IF($AA952="","",U952*T952)</f>
        <v/>
      </c>
      <c r="W952" s="7">
        <f>IF($AA952="","",V952+S952)</f>
        <v/>
      </c>
      <c r="X952" s="7">
        <f>IF($AA952="","",Y952-W952)</f>
        <v/>
      </c>
      <c r="Y952" s="7">
        <f>IF($AA952="","",R952+U952+P952)</f>
        <v/>
      </c>
      <c r="Z952" s="7">
        <f>IF($AA952="","",Y952-W952-L952)</f>
        <v/>
      </c>
      <c r="AA952" s="13">
        <f>IF(ROWS($AA$2:$AA952)&lt;=MAX('Per Line'!$AO$2:$AO$4001),MATCH(ROWS($AA$2:$AA952),'Per Line'!$AO$2:$AO$4001,0),"")</f>
        <v/>
      </c>
      <c r="AB952" s="14">
        <f>IF($AA952="","",L952-K952*Y952/100)</f>
        <v/>
      </c>
    </row>
    <row r="953">
      <c r="A953" s="12" t="n"/>
      <c r="B953">
        <f>IF($AA953="","",INDEX('Per Line'!$E$2:$E$4001,$AA953)&amp;"")</f>
        <v/>
      </c>
      <c r="C953">
        <f>IF($AA953="","",INDEX('Per Line'!$A$2:$A$4001,$AA953)&amp;"")</f>
        <v/>
      </c>
      <c r="D953">
        <f>IF($AA953="","",INDEX('Per Line'!$D$2:$D$4001,$AA953)&amp;"")</f>
        <v/>
      </c>
      <c r="E953" s="11">
        <f>IF($AA953="","",INDEX('Per Line'!$G$2:$G$4001,$AA953))</f>
        <v/>
      </c>
      <c r="F953">
        <f>IF($AA953="","",INDEX('Per Line'!$H$2:$H$4001,$AA953)&amp;"")</f>
        <v/>
      </c>
      <c r="G953">
        <f>IF($AA953="","",INDEX('Per Line'!$I$2:$I$4001,$AA953)&amp;"")</f>
        <v/>
      </c>
      <c r="H953">
        <f>IF($AA953="","",INDEX('Per Line'!$J$2:$J$4001,$AA953)&amp;"")</f>
        <v/>
      </c>
      <c r="I953">
        <f>IF($AA953="","",INDEX('Per Line'!$K$2:$K$4001,$AA953)&amp;"")</f>
        <v/>
      </c>
      <c r="J953">
        <f>IF($AA953="","",INDEX('Per Line'!$L$2:$L$4001,$AA953)&amp;"")</f>
        <v/>
      </c>
      <c r="K953">
        <f>IF($AA953="","",INDEX('Per Line'!$P$2:$P$4001,$AA953))</f>
        <v/>
      </c>
      <c r="L953" s="7">
        <f>IF($AA953="","",IF(AND(ISNUMBER(N953),N953&gt;0,Y953&gt;N953),K953*N953/100+(Y953-N953),K953*Y953/100))</f>
        <v/>
      </c>
      <c r="M953">
        <f>IF($AA953="","",INDEX('Per Line'!$Z$2:$Z$4001,$AA953)&amp;"")</f>
        <v/>
      </c>
      <c r="N953">
        <f>IF($AA953="","",INDEX('Per Line'!$AG$2:$AG$4001,$AA953))</f>
        <v/>
      </c>
      <c r="O953">
        <f>IF($AA953="","",IF(AND(ISNUMBER(N953),N953&gt;0),Y953&gt;N953,FALSE))</f>
        <v/>
      </c>
      <c r="P953" s="7">
        <f>IF($AA953="","",SUMIFS('Per Line'!$Y$2:$Y$4001,'Per Line'!$E$2:$E$4001,$B953,'Per Line'!$AQ$2:$AQ$4001,1))</f>
        <v/>
      </c>
      <c r="Q953">
        <f>IF($AA953="","",Settings!$C$7)</f>
        <v/>
      </c>
      <c r="R953" s="7">
        <f>IF($AA953="","",SUMIFS('Per Line'!$Y$2:$Y$4001,'Per Line'!$E$2:$E$4001,$B953,'Per Line'!$AP$2:$AP$4001,0,'Per Line'!$AQ$2:$AQ$4001,0))</f>
        <v/>
      </c>
      <c r="S953" s="7">
        <f>IF($AA953="","",R953*Q953)</f>
        <v/>
      </c>
      <c r="T953">
        <f>IF($AA953="","",Settings!$C$6)</f>
        <v/>
      </c>
      <c r="U953" s="7">
        <f>IF($AA953="","",SUMIFS('Per Line'!$Y$2:$Y$4001,'Per Line'!$E$2:$E$4001,$B953,'Per Line'!$AP$2:$AP$4001,1,'Per Line'!$AQ$2:$AQ$4001,0))</f>
        <v/>
      </c>
      <c r="V953" s="7">
        <f>IF($AA953="","",U953*T953)</f>
        <v/>
      </c>
      <c r="W953" s="7">
        <f>IF($AA953="","",V953+S953)</f>
        <v/>
      </c>
      <c r="X953" s="7">
        <f>IF($AA953="","",Y953-W953)</f>
        <v/>
      </c>
      <c r="Y953" s="7">
        <f>IF($AA953="","",R953+U953+P953)</f>
        <v/>
      </c>
      <c r="Z953" s="7">
        <f>IF($AA953="","",Y953-W953-L953)</f>
        <v/>
      </c>
      <c r="AA953" s="13">
        <f>IF(ROWS($AA$2:$AA953)&lt;=MAX('Per Line'!$AO$2:$AO$4001),MATCH(ROWS($AA$2:$AA953),'Per Line'!$AO$2:$AO$4001,0),"")</f>
        <v/>
      </c>
      <c r="AB953" s="14">
        <f>IF($AA953="","",L953-K953*Y953/100)</f>
        <v/>
      </c>
    </row>
    <row r="954">
      <c r="A954" s="12" t="n"/>
      <c r="B954">
        <f>IF($AA954="","",INDEX('Per Line'!$E$2:$E$4001,$AA954)&amp;"")</f>
        <v/>
      </c>
      <c r="C954">
        <f>IF($AA954="","",INDEX('Per Line'!$A$2:$A$4001,$AA954)&amp;"")</f>
        <v/>
      </c>
      <c r="D954">
        <f>IF($AA954="","",INDEX('Per Line'!$D$2:$D$4001,$AA954)&amp;"")</f>
        <v/>
      </c>
      <c r="E954" s="11">
        <f>IF($AA954="","",INDEX('Per Line'!$G$2:$G$4001,$AA954))</f>
        <v/>
      </c>
      <c r="F954">
        <f>IF($AA954="","",INDEX('Per Line'!$H$2:$H$4001,$AA954)&amp;"")</f>
        <v/>
      </c>
      <c r="G954">
        <f>IF($AA954="","",INDEX('Per Line'!$I$2:$I$4001,$AA954)&amp;"")</f>
        <v/>
      </c>
      <c r="H954">
        <f>IF($AA954="","",INDEX('Per Line'!$J$2:$J$4001,$AA954)&amp;"")</f>
        <v/>
      </c>
      <c r="I954">
        <f>IF($AA954="","",INDEX('Per Line'!$K$2:$K$4001,$AA954)&amp;"")</f>
        <v/>
      </c>
      <c r="J954">
        <f>IF($AA954="","",INDEX('Per Line'!$L$2:$L$4001,$AA954)&amp;"")</f>
        <v/>
      </c>
      <c r="K954">
        <f>IF($AA954="","",INDEX('Per Line'!$P$2:$P$4001,$AA954))</f>
        <v/>
      </c>
      <c r="L954" s="7">
        <f>IF($AA954="","",IF(AND(ISNUMBER(N954),N954&gt;0,Y954&gt;N954),K954*N954/100+(Y954-N954),K954*Y954/100))</f>
        <v/>
      </c>
      <c r="M954">
        <f>IF($AA954="","",INDEX('Per Line'!$Z$2:$Z$4001,$AA954)&amp;"")</f>
        <v/>
      </c>
      <c r="N954">
        <f>IF($AA954="","",INDEX('Per Line'!$AG$2:$AG$4001,$AA954))</f>
        <v/>
      </c>
      <c r="O954">
        <f>IF($AA954="","",IF(AND(ISNUMBER(N954),N954&gt;0),Y954&gt;N954,FALSE))</f>
        <v/>
      </c>
      <c r="P954" s="7">
        <f>IF($AA954="","",SUMIFS('Per Line'!$Y$2:$Y$4001,'Per Line'!$E$2:$E$4001,$B954,'Per Line'!$AQ$2:$AQ$4001,1))</f>
        <v/>
      </c>
      <c r="Q954">
        <f>IF($AA954="","",Settings!$C$7)</f>
        <v/>
      </c>
      <c r="R954" s="7">
        <f>IF($AA954="","",SUMIFS('Per Line'!$Y$2:$Y$4001,'Per Line'!$E$2:$E$4001,$B954,'Per Line'!$AP$2:$AP$4001,0,'Per Line'!$AQ$2:$AQ$4001,0))</f>
        <v/>
      </c>
      <c r="S954" s="7">
        <f>IF($AA954="","",R954*Q954)</f>
        <v/>
      </c>
      <c r="T954">
        <f>IF($AA954="","",Settings!$C$6)</f>
        <v/>
      </c>
      <c r="U954" s="7">
        <f>IF($AA954="","",SUMIFS('Per Line'!$Y$2:$Y$4001,'Per Line'!$E$2:$E$4001,$B954,'Per Line'!$AP$2:$AP$4001,1,'Per Line'!$AQ$2:$AQ$4001,0))</f>
        <v/>
      </c>
      <c r="V954" s="7">
        <f>IF($AA954="","",U954*T954)</f>
        <v/>
      </c>
      <c r="W954" s="7">
        <f>IF($AA954="","",V954+S954)</f>
        <v/>
      </c>
      <c r="X954" s="7">
        <f>IF($AA954="","",Y954-W954)</f>
        <v/>
      </c>
      <c r="Y954" s="7">
        <f>IF($AA954="","",R954+U954+P954)</f>
        <v/>
      </c>
      <c r="Z954" s="7">
        <f>IF($AA954="","",Y954-W954-L954)</f>
        <v/>
      </c>
      <c r="AA954" s="13">
        <f>IF(ROWS($AA$2:$AA954)&lt;=MAX('Per Line'!$AO$2:$AO$4001),MATCH(ROWS($AA$2:$AA954),'Per Line'!$AO$2:$AO$4001,0),"")</f>
        <v/>
      </c>
      <c r="AB954" s="14">
        <f>IF($AA954="","",L954-K954*Y954/100)</f>
        <v/>
      </c>
    </row>
    <row r="955">
      <c r="A955" s="12" t="n"/>
      <c r="B955">
        <f>IF($AA955="","",INDEX('Per Line'!$E$2:$E$4001,$AA955)&amp;"")</f>
        <v/>
      </c>
      <c r="C955">
        <f>IF($AA955="","",INDEX('Per Line'!$A$2:$A$4001,$AA955)&amp;"")</f>
        <v/>
      </c>
      <c r="D955">
        <f>IF($AA955="","",INDEX('Per Line'!$D$2:$D$4001,$AA955)&amp;"")</f>
        <v/>
      </c>
      <c r="E955" s="11">
        <f>IF($AA955="","",INDEX('Per Line'!$G$2:$G$4001,$AA955))</f>
        <v/>
      </c>
      <c r="F955">
        <f>IF($AA955="","",INDEX('Per Line'!$H$2:$H$4001,$AA955)&amp;"")</f>
        <v/>
      </c>
      <c r="G955">
        <f>IF($AA955="","",INDEX('Per Line'!$I$2:$I$4001,$AA955)&amp;"")</f>
        <v/>
      </c>
      <c r="H955">
        <f>IF($AA955="","",INDEX('Per Line'!$J$2:$J$4001,$AA955)&amp;"")</f>
        <v/>
      </c>
      <c r="I955">
        <f>IF($AA955="","",INDEX('Per Line'!$K$2:$K$4001,$AA955)&amp;"")</f>
        <v/>
      </c>
      <c r="J955">
        <f>IF($AA955="","",INDEX('Per Line'!$L$2:$L$4001,$AA955)&amp;"")</f>
        <v/>
      </c>
      <c r="K955">
        <f>IF($AA955="","",INDEX('Per Line'!$P$2:$P$4001,$AA955))</f>
        <v/>
      </c>
      <c r="L955" s="7">
        <f>IF($AA955="","",IF(AND(ISNUMBER(N955),N955&gt;0,Y955&gt;N955),K955*N955/100+(Y955-N955),K955*Y955/100))</f>
        <v/>
      </c>
      <c r="M955">
        <f>IF($AA955="","",INDEX('Per Line'!$Z$2:$Z$4001,$AA955)&amp;"")</f>
        <v/>
      </c>
      <c r="N955">
        <f>IF($AA955="","",INDEX('Per Line'!$AG$2:$AG$4001,$AA955))</f>
        <v/>
      </c>
      <c r="O955">
        <f>IF($AA955="","",IF(AND(ISNUMBER(N955),N955&gt;0),Y955&gt;N955,FALSE))</f>
        <v/>
      </c>
      <c r="P955" s="7">
        <f>IF($AA955="","",SUMIFS('Per Line'!$Y$2:$Y$4001,'Per Line'!$E$2:$E$4001,$B955,'Per Line'!$AQ$2:$AQ$4001,1))</f>
        <v/>
      </c>
      <c r="Q955">
        <f>IF($AA955="","",Settings!$C$7)</f>
        <v/>
      </c>
      <c r="R955" s="7">
        <f>IF($AA955="","",SUMIFS('Per Line'!$Y$2:$Y$4001,'Per Line'!$E$2:$E$4001,$B955,'Per Line'!$AP$2:$AP$4001,0,'Per Line'!$AQ$2:$AQ$4001,0))</f>
        <v/>
      </c>
      <c r="S955" s="7">
        <f>IF($AA955="","",R955*Q955)</f>
        <v/>
      </c>
      <c r="T955">
        <f>IF($AA955="","",Settings!$C$6)</f>
        <v/>
      </c>
      <c r="U955" s="7">
        <f>IF($AA955="","",SUMIFS('Per Line'!$Y$2:$Y$4001,'Per Line'!$E$2:$E$4001,$B955,'Per Line'!$AP$2:$AP$4001,1,'Per Line'!$AQ$2:$AQ$4001,0))</f>
        <v/>
      </c>
      <c r="V955" s="7">
        <f>IF($AA955="","",U955*T955)</f>
        <v/>
      </c>
      <c r="W955" s="7">
        <f>IF($AA955="","",V955+S955)</f>
        <v/>
      </c>
      <c r="X955" s="7">
        <f>IF($AA955="","",Y955-W955)</f>
        <v/>
      </c>
      <c r="Y955" s="7">
        <f>IF($AA955="","",R955+U955+P955)</f>
        <v/>
      </c>
      <c r="Z955" s="7">
        <f>IF($AA955="","",Y955-W955-L955)</f>
        <v/>
      </c>
      <c r="AA955" s="13">
        <f>IF(ROWS($AA$2:$AA955)&lt;=MAX('Per Line'!$AO$2:$AO$4001),MATCH(ROWS($AA$2:$AA955),'Per Line'!$AO$2:$AO$4001,0),"")</f>
        <v/>
      </c>
      <c r="AB955" s="14">
        <f>IF($AA955="","",L955-K955*Y955/100)</f>
        <v/>
      </c>
    </row>
    <row r="956">
      <c r="A956" s="12" t="n"/>
      <c r="B956">
        <f>IF($AA956="","",INDEX('Per Line'!$E$2:$E$4001,$AA956)&amp;"")</f>
        <v/>
      </c>
      <c r="C956">
        <f>IF($AA956="","",INDEX('Per Line'!$A$2:$A$4001,$AA956)&amp;"")</f>
        <v/>
      </c>
      <c r="D956">
        <f>IF($AA956="","",INDEX('Per Line'!$D$2:$D$4001,$AA956)&amp;"")</f>
        <v/>
      </c>
      <c r="E956" s="11">
        <f>IF($AA956="","",INDEX('Per Line'!$G$2:$G$4001,$AA956))</f>
        <v/>
      </c>
      <c r="F956">
        <f>IF($AA956="","",INDEX('Per Line'!$H$2:$H$4001,$AA956)&amp;"")</f>
        <v/>
      </c>
      <c r="G956">
        <f>IF($AA956="","",INDEX('Per Line'!$I$2:$I$4001,$AA956)&amp;"")</f>
        <v/>
      </c>
      <c r="H956">
        <f>IF($AA956="","",INDEX('Per Line'!$J$2:$J$4001,$AA956)&amp;"")</f>
        <v/>
      </c>
      <c r="I956">
        <f>IF($AA956="","",INDEX('Per Line'!$K$2:$K$4001,$AA956)&amp;"")</f>
        <v/>
      </c>
      <c r="J956">
        <f>IF($AA956="","",INDEX('Per Line'!$L$2:$L$4001,$AA956)&amp;"")</f>
        <v/>
      </c>
      <c r="K956">
        <f>IF($AA956="","",INDEX('Per Line'!$P$2:$P$4001,$AA956))</f>
        <v/>
      </c>
      <c r="L956" s="7">
        <f>IF($AA956="","",IF(AND(ISNUMBER(N956),N956&gt;0,Y956&gt;N956),K956*N956/100+(Y956-N956),K956*Y956/100))</f>
        <v/>
      </c>
      <c r="M956">
        <f>IF($AA956="","",INDEX('Per Line'!$Z$2:$Z$4001,$AA956)&amp;"")</f>
        <v/>
      </c>
      <c r="N956">
        <f>IF($AA956="","",INDEX('Per Line'!$AG$2:$AG$4001,$AA956))</f>
        <v/>
      </c>
      <c r="O956">
        <f>IF($AA956="","",IF(AND(ISNUMBER(N956),N956&gt;0),Y956&gt;N956,FALSE))</f>
        <v/>
      </c>
      <c r="P956" s="7">
        <f>IF($AA956="","",SUMIFS('Per Line'!$Y$2:$Y$4001,'Per Line'!$E$2:$E$4001,$B956,'Per Line'!$AQ$2:$AQ$4001,1))</f>
        <v/>
      </c>
      <c r="Q956">
        <f>IF($AA956="","",Settings!$C$7)</f>
        <v/>
      </c>
      <c r="R956" s="7">
        <f>IF($AA956="","",SUMIFS('Per Line'!$Y$2:$Y$4001,'Per Line'!$E$2:$E$4001,$B956,'Per Line'!$AP$2:$AP$4001,0,'Per Line'!$AQ$2:$AQ$4001,0))</f>
        <v/>
      </c>
      <c r="S956" s="7">
        <f>IF($AA956="","",R956*Q956)</f>
        <v/>
      </c>
      <c r="T956">
        <f>IF($AA956="","",Settings!$C$6)</f>
        <v/>
      </c>
      <c r="U956" s="7">
        <f>IF($AA956="","",SUMIFS('Per Line'!$Y$2:$Y$4001,'Per Line'!$E$2:$E$4001,$B956,'Per Line'!$AP$2:$AP$4001,1,'Per Line'!$AQ$2:$AQ$4001,0))</f>
        <v/>
      </c>
      <c r="V956" s="7">
        <f>IF($AA956="","",U956*T956)</f>
        <v/>
      </c>
      <c r="W956" s="7">
        <f>IF($AA956="","",V956+S956)</f>
        <v/>
      </c>
      <c r="X956" s="7">
        <f>IF($AA956="","",Y956-W956)</f>
        <v/>
      </c>
      <c r="Y956" s="7">
        <f>IF($AA956="","",R956+U956+P956)</f>
        <v/>
      </c>
      <c r="Z956" s="7">
        <f>IF($AA956="","",Y956-W956-L956)</f>
        <v/>
      </c>
      <c r="AA956" s="13">
        <f>IF(ROWS($AA$2:$AA956)&lt;=MAX('Per Line'!$AO$2:$AO$4001),MATCH(ROWS($AA$2:$AA956),'Per Line'!$AO$2:$AO$4001,0),"")</f>
        <v/>
      </c>
      <c r="AB956" s="14">
        <f>IF($AA956="","",L956-K956*Y956/100)</f>
        <v/>
      </c>
    </row>
    <row r="957">
      <c r="A957" s="12" t="n"/>
      <c r="B957">
        <f>IF($AA957="","",INDEX('Per Line'!$E$2:$E$4001,$AA957)&amp;"")</f>
        <v/>
      </c>
      <c r="C957">
        <f>IF($AA957="","",INDEX('Per Line'!$A$2:$A$4001,$AA957)&amp;"")</f>
        <v/>
      </c>
      <c r="D957">
        <f>IF($AA957="","",INDEX('Per Line'!$D$2:$D$4001,$AA957)&amp;"")</f>
        <v/>
      </c>
      <c r="E957" s="11">
        <f>IF($AA957="","",INDEX('Per Line'!$G$2:$G$4001,$AA957))</f>
        <v/>
      </c>
      <c r="F957">
        <f>IF($AA957="","",INDEX('Per Line'!$H$2:$H$4001,$AA957)&amp;"")</f>
        <v/>
      </c>
      <c r="G957">
        <f>IF($AA957="","",INDEX('Per Line'!$I$2:$I$4001,$AA957)&amp;"")</f>
        <v/>
      </c>
      <c r="H957">
        <f>IF($AA957="","",INDEX('Per Line'!$J$2:$J$4001,$AA957)&amp;"")</f>
        <v/>
      </c>
      <c r="I957">
        <f>IF($AA957="","",INDEX('Per Line'!$K$2:$K$4001,$AA957)&amp;"")</f>
        <v/>
      </c>
      <c r="J957">
        <f>IF($AA957="","",INDEX('Per Line'!$L$2:$L$4001,$AA957)&amp;"")</f>
        <v/>
      </c>
      <c r="K957">
        <f>IF($AA957="","",INDEX('Per Line'!$P$2:$P$4001,$AA957))</f>
        <v/>
      </c>
      <c r="L957" s="7">
        <f>IF($AA957="","",IF(AND(ISNUMBER(N957),N957&gt;0,Y957&gt;N957),K957*N957/100+(Y957-N957),K957*Y957/100))</f>
        <v/>
      </c>
      <c r="M957">
        <f>IF($AA957="","",INDEX('Per Line'!$Z$2:$Z$4001,$AA957)&amp;"")</f>
        <v/>
      </c>
      <c r="N957">
        <f>IF($AA957="","",INDEX('Per Line'!$AG$2:$AG$4001,$AA957))</f>
        <v/>
      </c>
      <c r="O957">
        <f>IF($AA957="","",IF(AND(ISNUMBER(N957),N957&gt;0),Y957&gt;N957,FALSE))</f>
        <v/>
      </c>
      <c r="P957" s="7">
        <f>IF($AA957="","",SUMIFS('Per Line'!$Y$2:$Y$4001,'Per Line'!$E$2:$E$4001,$B957,'Per Line'!$AQ$2:$AQ$4001,1))</f>
        <v/>
      </c>
      <c r="Q957">
        <f>IF($AA957="","",Settings!$C$7)</f>
        <v/>
      </c>
      <c r="R957" s="7">
        <f>IF($AA957="","",SUMIFS('Per Line'!$Y$2:$Y$4001,'Per Line'!$E$2:$E$4001,$B957,'Per Line'!$AP$2:$AP$4001,0,'Per Line'!$AQ$2:$AQ$4001,0))</f>
        <v/>
      </c>
      <c r="S957" s="7">
        <f>IF($AA957="","",R957*Q957)</f>
        <v/>
      </c>
      <c r="T957">
        <f>IF($AA957="","",Settings!$C$6)</f>
        <v/>
      </c>
      <c r="U957" s="7">
        <f>IF($AA957="","",SUMIFS('Per Line'!$Y$2:$Y$4001,'Per Line'!$E$2:$E$4001,$B957,'Per Line'!$AP$2:$AP$4001,1,'Per Line'!$AQ$2:$AQ$4001,0))</f>
        <v/>
      </c>
      <c r="V957" s="7">
        <f>IF($AA957="","",U957*T957)</f>
        <v/>
      </c>
      <c r="W957" s="7">
        <f>IF($AA957="","",V957+S957)</f>
        <v/>
      </c>
      <c r="X957" s="7">
        <f>IF($AA957="","",Y957-W957)</f>
        <v/>
      </c>
      <c r="Y957" s="7">
        <f>IF($AA957="","",R957+U957+P957)</f>
        <v/>
      </c>
      <c r="Z957" s="7">
        <f>IF($AA957="","",Y957-W957-L957)</f>
        <v/>
      </c>
      <c r="AA957" s="13">
        <f>IF(ROWS($AA$2:$AA957)&lt;=MAX('Per Line'!$AO$2:$AO$4001),MATCH(ROWS($AA$2:$AA957),'Per Line'!$AO$2:$AO$4001,0),"")</f>
        <v/>
      </c>
      <c r="AB957" s="14">
        <f>IF($AA957="","",L957-K957*Y957/100)</f>
        <v/>
      </c>
    </row>
    <row r="958">
      <c r="A958" s="12" t="n"/>
      <c r="B958">
        <f>IF($AA958="","",INDEX('Per Line'!$E$2:$E$4001,$AA958)&amp;"")</f>
        <v/>
      </c>
      <c r="C958">
        <f>IF($AA958="","",INDEX('Per Line'!$A$2:$A$4001,$AA958)&amp;"")</f>
        <v/>
      </c>
      <c r="D958">
        <f>IF($AA958="","",INDEX('Per Line'!$D$2:$D$4001,$AA958)&amp;"")</f>
        <v/>
      </c>
      <c r="E958" s="11">
        <f>IF($AA958="","",INDEX('Per Line'!$G$2:$G$4001,$AA958))</f>
        <v/>
      </c>
      <c r="F958">
        <f>IF($AA958="","",INDEX('Per Line'!$H$2:$H$4001,$AA958)&amp;"")</f>
        <v/>
      </c>
      <c r="G958">
        <f>IF($AA958="","",INDEX('Per Line'!$I$2:$I$4001,$AA958)&amp;"")</f>
        <v/>
      </c>
      <c r="H958">
        <f>IF($AA958="","",INDEX('Per Line'!$J$2:$J$4001,$AA958)&amp;"")</f>
        <v/>
      </c>
      <c r="I958">
        <f>IF($AA958="","",INDEX('Per Line'!$K$2:$K$4001,$AA958)&amp;"")</f>
        <v/>
      </c>
      <c r="J958">
        <f>IF($AA958="","",INDEX('Per Line'!$L$2:$L$4001,$AA958)&amp;"")</f>
        <v/>
      </c>
      <c r="K958">
        <f>IF($AA958="","",INDEX('Per Line'!$P$2:$P$4001,$AA958))</f>
        <v/>
      </c>
      <c r="L958" s="7">
        <f>IF($AA958="","",IF(AND(ISNUMBER(N958),N958&gt;0,Y958&gt;N958),K958*N958/100+(Y958-N958),K958*Y958/100))</f>
        <v/>
      </c>
      <c r="M958">
        <f>IF($AA958="","",INDEX('Per Line'!$Z$2:$Z$4001,$AA958)&amp;"")</f>
        <v/>
      </c>
      <c r="N958">
        <f>IF($AA958="","",INDEX('Per Line'!$AG$2:$AG$4001,$AA958))</f>
        <v/>
      </c>
      <c r="O958">
        <f>IF($AA958="","",IF(AND(ISNUMBER(N958),N958&gt;0),Y958&gt;N958,FALSE))</f>
        <v/>
      </c>
      <c r="P958" s="7">
        <f>IF($AA958="","",SUMIFS('Per Line'!$Y$2:$Y$4001,'Per Line'!$E$2:$E$4001,$B958,'Per Line'!$AQ$2:$AQ$4001,1))</f>
        <v/>
      </c>
      <c r="Q958">
        <f>IF($AA958="","",Settings!$C$7)</f>
        <v/>
      </c>
      <c r="R958" s="7">
        <f>IF($AA958="","",SUMIFS('Per Line'!$Y$2:$Y$4001,'Per Line'!$E$2:$E$4001,$B958,'Per Line'!$AP$2:$AP$4001,0,'Per Line'!$AQ$2:$AQ$4001,0))</f>
        <v/>
      </c>
      <c r="S958" s="7">
        <f>IF($AA958="","",R958*Q958)</f>
        <v/>
      </c>
      <c r="T958">
        <f>IF($AA958="","",Settings!$C$6)</f>
        <v/>
      </c>
      <c r="U958" s="7">
        <f>IF($AA958="","",SUMIFS('Per Line'!$Y$2:$Y$4001,'Per Line'!$E$2:$E$4001,$B958,'Per Line'!$AP$2:$AP$4001,1,'Per Line'!$AQ$2:$AQ$4001,0))</f>
        <v/>
      </c>
      <c r="V958" s="7">
        <f>IF($AA958="","",U958*T958)</f>
        <v/>
      </c>
      <c r="W958" s="7">
        <f>IF($AA958="","",V958+S958)</f>
        <v/>
      </c>
      <c r="X958" s="7">
        <f>IF($AA958="","",Y958-W958)</f>
        <v/>
      </c>
      <c r="Y958" s="7">
        <f>IF($AA958="","",R958+U958+P958)</f>
        <v/>
      </c>
      <c r="Z958" s="7">
        <f>IF($AA958="","",Y958-W958-L958)</f>
        <v/>
      </c>
      <c r="AA958" s="13">
        <f>IF(ROWS($AA$2:$AA958)&lt;=MAX('Per Line'!$AO$2:$AO$4001),MATCH(ROWS($AA$2:$AA958),'Per Line'!$AO$2:$AO$4001,0),"")</f>
        <v/>
      </c>
      <c r="AB958" s="14">
        <f>IF($AA958="","",L958-K958*Y958/100)</f>
        <v/>
      </c>
    </row>
    <row r="959">
      <c r="A959" s="12" t="n"/>
      <c r="B959">
        <f>IF($AA959="","",INDEX('Per Line'!$E$2:$E$4001,$AA959)&amp;"")</f>
        <v/>
      </c>
      <c r="C959">
        <f>IF($AA959="","",INDEX('Per Line'!$A$2:$A$4001,$AA959)&amp;"")</f>
        <v/>
      </c>
      <c r="D959">
        <f>IF($AA959="","",INDEX('Per Line'!$D$2:$D$4001,$AA959)&amp;"")</f>
        <v/>
      </c>
      <c r="E959" s="11">
        <f>IF($AA959="","",INDEX('Per Line'!$G$2:$G$4001,$AA959))</f>
        <v/>
      </c>
      <c r="F959">
        <f>IF($AA959="","",INDEX('Per Line'!$H$2:$H$4001,$AA959)&amp;"")</f>
        <v/>
      </c>
      <c r="G959">
        <f>IF($AA959="","",INDEX('Per Line'!$I$2:$I$4001,$AA959)&amp;"")</f>
        <v/>
      </c>
      <c r="H959">
        <f>IF($AA959="","",INDEX('Per Line'!$J$2:$J$4001,$AA959)&amp;"")</f>
        <v/>
      </c>
      <c r="I959">
        <f>IF($AA959="","",INDEX('Per Line'!$K$2:$K$4001,$AA959)&amp;"")</f>
        <v/>
      </c>
      <c r="J959">
        <f>IF($AA959="","",INDEX('Per Line'!$L$2:$L$4001,$AA959)&amp;"")</f>
        <v/>
      </c>
      <c r="K959">
        <f>IF($AA959="","",INDEX('Per Line'!$P$2:$P$4001,$AA959))</f>
        <v/>
      </c>
      <c r="L959" s="7">
        <f>IF($AA959="","",IF(AND(ISNUMBER(N959),N959&gt;0,Y959&gt;N959),K959*N959/100+(Y959-N959),K959*Y959/100))</f>
        <v/>
      </c>
      <c r="M959">
        <f>IF($AA959="","",INDEX('Per Line'!$Z$2:$Z$4001,$AA959)&amp;"")</f>
        <v/>
      </c>
      <c r="N959">
        <f>IF($AA959="","",INDEX('Per Line'!$AG$2:$AG$4001,$AA959))</f>
        <v/>
      </c>
      <c r="O959">
        <f>IF($AA959="","",IF(AND(ISNUMBER(N959),N959&gt;0),Y959&gt;N959,FALSE))</f>
        <v/>
      </c>
      <c r="P959" s="7">
        <f>IF($AA959="","",SUMIFS('Per Line'!$Y$2:$Y$4001,'Per Line'!$E$2:$E$4001,$B959,'Per Line'!$AQ$2:$AQ$4001,1))</f>
        <v/>
      </c>
      <c r="Q959">
        <f>IF($AA959="","",Settings!$C$7)</f>
        <v/>
      </c>
      <c r="R959" s="7">
        <f>IF($AA959="","",SUMIFS('Per Line'!$Y$2:$Y$4001,'Per Line'!$E$2:$E$4001,$B959,'Per Line'!$AP$2:$AP$4001,0,'Per Line'!$AQ$2:$AQ$4001,0))</f>
        <v/>
      </c>
      <c r="S959" s="7">
        <f>IF($AA959="","",R959*Q959)</f>
        <v/>
      </c>
      <c r="T959">
        <f>IF($AA959="","",Settings!$C$6)</f>
        <v/>
      </c>
      <c r="U959" s="7">
        <f>IF($AA959="","",SUMIFS('Per Line'!$Y$2:$Y$4001,'Per Line'!$E$2:$E$4001,$B959,'Per Line'!$AP$2:$AP$4001,1,'Per Line'!$AQ$2:$AQ$4001,0))</f>
        <v/>
      </c>
      <c r="V959" s="7">
        <f>IF($AA959="","",U959*T959)</f>
        <v/>
      </c>
      <c r="W959" s="7">
        <f>IF($AA959="","",V959+S959)</f>
        <v/>
      </c>
      <c r="X959" s="7">
        <f>IF($AA959="","",Y959-W959)</f>
        <v/>
      </c>
      <c r="Y959" s="7">
        <f>IF($AA959="","",R959+U959+P959)</f>
        <v/>
      </c>
      <c r="Z959" s="7">
        <f>IF($AA959="","",Y959-W959-L959)</f>
        <v/>
      </c>
      <c r="AA959" s="13">
        <f>IF(ROWS($AA$2:$AA959)&lt;=MAX('Per Line'!$AO$2:$AO$4001),MATCH(ROWS($AA$2:$AA959),'Per Line'!$AO$2:$AO$4001,0),"")</f>
        <v/>
      </c>
      <c r="AB959" s="14">
        <f>IF($AA959="","",L959-K959*Y959/100)</f>
        <v/>
      </c>
    </row>
    <row r="960">
      <c r="A960" s="12" t="n"/>
      <c r="B960">
        <f>IF($AA960="","",INDEX('Per Line'!$E$2:$E$4001,$AA960)&amp;"")</f>
        <v/>
      </c>
      <c r="C960">
        <f>IF($AA960="","",INDEX('Per Line'!$A$2:$A$4001,$AA960)&amp;"")</f>
        <v/>
      </c>
      <c r="D960">
        <f>IF($AA960="","",INDEX('Per Line'!$D$2:$D$4001,$AA960)&amp;"")</f>
        <v/>
      </c>
      <c r="E960" s="11">
        <f>IF($AA960="","",INDEX('Per Line'!$G$2:$G$4001,$AA960))</f>
        <v/>
      </c>
      <c r="F960">
        <f>IF($AA960="","",INDEX('Per Line'!$H$2:$H$4001,$AA960)&amp;"")</f>
        <v/>
      </c>
      <c r="G960">
        <f>IF($AA960="","",INDEX('Per Line'!$I$2:$I$4001,$AA960)&amp;"")</f>
        <v/>
      </c>
      <c r="H960">
        <f>IF($AA960="","",INDEX('Per Line'!$J$2:$J$4001,$AA960)&amp;"")</f>
        <v/>
      </c>
      <c r="I960">
        <f>IF($AA960="","",INDEX('Per Line'!$K$2:$K$4001,$AA960)&amp;"")</f>
        <v/>
      </c>
      <c r="J960">
        <f>IF($AA960="","",INDEX('Per Line'!$L$2:$L$4001,$AA960)&amp;"")</f>
        <v/>
      </c>
      <c r="K960">
        <f>IF($AA960="","",INDEX('Per Line'!$P$2:$P$4001,$AA960))</f>
        <v/>
      </c>
      <c r="L960" s="7">
        <f>IF($AA960="","",IF(AND(ISNUMBER(N960),N960&gt;0,Y960&gt;N960),K960*N960/100+(Y960-N960),K960*Y960/100))</f>
        <v/>
      </c>
      <c r="M960">
        <f>IF($AA960="","",INDEX('Per Line'!$Z$2:$Z$4001,$AA960)&amp;"")</f>
        <v/>
      </c>
      <c r="N960">
        <f>IF($AA960="","",INDEX('Per Line'!$AG$2:$AG$4001,$AA960))</f>
        <v/>
      </c>
      <c r="O960">
        <f>IF($AA960="","",IF(AND(ISNUMBER(N960),N960&gt;0),Y960&gt;N960,FALSE))</f>
        <v/>
      </c>
      <c r="P960" s="7">
        <f>IF($AA960="","",SUMIFS('Per Line'!$Y$2:$Y$4001,'Per Line'!$E$2:$E$4001,$B960,'Per Line'!$AQ$2:$AQ$4001,1))</f>
        <v/>
      </c>
      <c r="Q960">
        <f>IF($AA960="","",Settings!$C$7)</f>
        <v/>
      </c>
      <c r="R960" s="7">
        <f>IF($AA960="","",SUMIFS('Per Line'!$Y$2:$Y$4001,'Per Line'!$E$2:$E$4001,$B960,'Per Line'!$AP$2:$AP$4001,0,'Per Line'!$AQ$2:$AQ$4001,0))</f>
        <v/>
      </c>
      <c r="S960" s="7">
        <f>IF($AA960="","",R960*Q960)</f>
        <v/>
      </c>
      <c r="T960">
        <f>IF($AA960="","",Settings!$C$6)</f>
        <v/>
      </c>
      <c r="U960" s="7">
        <f>IF($AA960="","",SUMIFS('Per Line'!$Y$2:$Y$4001,'Per Line'!$E$2:$E$4001,$B960,'Per Line'!$AP$2:$AP$4001,1,'Per Line'!$AQ$2:$AQ$4001,0))</f>
        <v/>
      </c>
      <c r="V960" s="7">
        <f>IF($AA960="","",U960*T960)</f>
        <v/>
      </c>
      <c r="W960" s="7">
        <f>IF($AA960="","",V960+S960)</f>
        <v/>
      </c>
      <c r="X960" s="7">
        <f>IF($AA960="","",Y960-W960)</f>
        <v/>
      </c>
      <c r="Y960" s="7">
        <f>IF($AA960="","",R960+U960+P960)</f>
        <v/>
      </c>
      <c r="Z960" s="7">
        <f>IF($AA960="","",Y960-W960-L960)</f>
        <v/>
      </c>
      <c r="AA960" s="13">
        <f>IF(ROWS($AA$2:$AA960)&lt;=MAX('Per Line'!$AO$2:$AO$4001),MATCH(ROWS($AA$2:$AA960),'Per Line'!$AO$2:$AO$4001,0),"")</f>
        <v/>
      </c>
      <c r="AB960" s="14">
        <f>IF($AA960="","",L960-K960*Y960/100)</f>
        <v/>
      </c>
    </row>
    <row r="961">
      <c r="A961" s="12" t="n"/>
      <c r="B961">
        <f>IF($AA961="","",INDEX('Per Line'!$E$2:$E$4001,$AA961)&amp;"")</f>
        <v/>
      </c>
      <c r="C961">
        <f>IF($AA961="","",INDEX('Per Line'!$A$2:$A$4001,$AA961)&amp;"")</f>
        <v/>
      </c>
      <c r="D961">
        <f>IF($AA961="","",INDEX('Per Line'!$D$2:$D$4001,$AA961)&amp;"")</f>
        <v/>
      </c>
      <c r="E961" s="11">
        <f>IF($AA961="","",INDEX('Per Line'!$G$2:$G$4001,$AA961))</f>
        <v/>
      </c>
      <c r="F961">
        <f>IF($AA961="","",INDEX('Per Line'!$H$2:$H$4001,$AA961)&amp;"")</f>
        <v/>
      </c>
      <c r="G961">
        <f>IF($AA961="","",INDEX('Per Line'!$I$2:$I$4001,$AA961)&amp;"")</f>
        <v/>
      </c>
      <c r="H961">
        <f>IF($AA961="","",INDEX('Per Line'!$J$2:$J$4001,$AA961)&amp;"")</f>
        <v/>
      </c>
      <c r="I961">
        <f>IF($AA961="","",INDEX('Per Line'!$K$2:$K$4001,$AA961)&amp;"")</f>
        <v/>
      </c>
      <c r="J961">
        <f>IF($AA961="","",INDEX('Per Line'!$L$2:$L$4001,$AA961)&amp;"")</f>
        <v/>
      </c>
      <c r="K961">
        <f>IF($AA961="","",INDEX('Per Line'!$P$2:$P$4001,$AA961))</f>
        <v/>
      </c>
      <c r="L961" s="7">
        <f>IF($AA961="","",IF(AND(ISNUMBER(N961),N961&gt;0,Y961&gt;N961),K961*N961/100+(Y961-N961),K961*Y961/100))</f>
        <v/>
      </c>
      <c r="M961">
        <f>IF($AA961="","",INDEX('Per Line'!$Z$2:$Z$4001,$AA961)&amp;"")</f>
        <v/>
      </c>
      <c r="N961">
        <f>IF($AA961="","",INDEX('Per Line'!$AG$2:$AG$4001,$AA961))</f>
        <v/>
      </c>
      <c r="O961">
        <f>IF($AA961="","",IF(AND(ISNUMBER(N961),N961&gt;0),Y961&gt;N961,FALSE))</f>
        <v/>
      </c>
      <c r="P961" s="7">
        <f>IF($AA961="","",SUMIFS('Per Line'!$Y$2:$Y$4001,'Per Line'!$E$2:$E$4001,$B961,'Per Line'!$AQ$2:$AQ$4001,1))</f>
        <v/>
      </c>
      <c r="Q961">
        <f>IF($AA961="","",Settings!$C$7)</f>
        <v/>
      </c>
      <c r="R961" s="7">
        <f>IF($AA961="","",SUMIFS('Per Line'!$Y$2:$Y$4001,'Per Line'!$E$2:$E$4001,$B961,'Per Line'!$AP$2:$AP$4001,0,'Per Line'!$AQ$2:$AQ$4001,0))</f>
        <v/>
      </c>
      <c r="S961" s="7">
        <f>IF($AA961="","",R961*Q961)</f>
        <v/>
      </c>
      <c r="T961">
        <f>IF($AA961="","",Settings!$C$6)</f>
        <v/>
      </c>
      <c r="U961" s="7">
        <f>IF($AA961="","",SUMIFS('Per Line'!$Y$2:$Y$4001,'Per Line'!$E$2:$E$4001,$B961,'Per Line'!$AP$2:$AP$4001,1,'Per Line'!$AQ$2:$AQ$4001,0))</f>
        <v/>
      </c>
      <c r="V961" s="7">
        <f>IF($AA961="","",U961*T961)</f>
        <v/>
      </c>
      <c r="W961" s="7">
        <f>IF($AA961="","",V961+S961)</f>
        <v/>
      </c>
      <c r="X961" s="7">
        <f>IF($AA961="","",Y961-W961)</f>
        <v/>
      </c>
      <c r="Y961" s="7">
        <f>IF($AA961="","",R961+U961+P961)</f>
        <v/>
      </c>
      <c r="Z961" s="7">
        <f>IF($AA961="","",Y961-W961-L961)</f>
        <v/>
      </c>
      <c r="AA961" s="13">
        <f>IF(ROWS($AA$2:$AA961)&lt;=MAX('Per Line'!$AO$2:$AO$4001),MATCH(ROWS($AA$2:$AA961),'Per Line'!$AO$2:$AO$4001,0),"")</f>
        <v/>
      </c>
      <c r="AB961" s="14">
        <f>IF($AA961="","",L961-K961*Y961/100)</f>
        <v/>
      </c>
    </row>
    <row r="962">
      <c r="A962" s="12" t="n"/>
      <c r="B962">
        <f>IF($AA962="","",INDEX('Per Line'!$E$2:$E$4001,$AA962)&amp;"")</f>
        <v/>
      </c>
      <c r="C962">
        <f>IF($AA962="","",INDEX('Per Line'!$A$2:$A$4001,$AA962)&amp;"")</f>
        <v/>
      </c>
      <c r="D962">
        <f>IF($AA962="","",INDEX('Per Line'!$D$2:$D$4001,$AA962)&amp;"")</f>
        <v/>
      </c>
      <c r="E962" s="11">
        <f>IF($AA962="","",INDEX('Per Line'!$G$2:$G$4001,$AA962))</f>
        <v/>
      </c>
      <c r="F962">
        <f>IF($AA962="","",INDEX('Per Line'!$H$2:$H$4001,$AA962)&amp;"")</f>
        <v/>
      </c>
      <c r="G962">
        <f>IF($AA962="","",INDEX('Per Line'!$I$2:$I$4001,$AA962)&amp;"")</f>
        <v/>
      </c>
      <c r="H962">
        <f>IF($AA962="","",INDEX('Per Line'!$J$2:$J$4001,$AA962)&amp;"")</f>
        <v/>
      </c>
      <c r="I962">
        <f>IF($AA962="","",INDEX('Per Line'!$K$2:$K$4001,$AA962)&amp;"")</f>
        <v/>
      </c>
      <c r="J962">
        <f>IF($AA962="","",INDEX('Per Line'!$L$2:$L$4001,$AA962)&amp;"")</f>
        <v/>
      </c>
      <c r="K962">
        <f>IF($AA962="","",INDEX('Per Line'!$P$2:$P$4001,$AA962))</f>
        <v/>
      </c>
      <c r="L962" s="7">
        <f>IF($AA962="","",IF(AND(ISNUMBER(N962),N962&gt;0,Y962&gt;N962),K962*N962/100+(Y962-N962),K962*Y962/100))</f>
        <v/>
      </c>
      <c r="M962">
        <f>IF($AA962="","",INDEX('Per Line'!$Z$2:$Z$4001,$AA962)&amp;"")</f>
        <v/>
      </c>
      <c r="N962">
        <f>IF($AA962="","",INDEX('Per Line'!$AG$2:$AG$4001,$AA962))</f>
        <v/>
      </c>
      <c r="O962">
        <f>IF($AA962="","",IF(AND(ISNUMBER(N962),N962&gt;0),Y962&gt;N962,FALSE))</f>
        <v/>
      </c>
      <c r="P962" s="7">
        <f>IF($AA962="","",SUMIFS('Per Line'!$Y$2:$Y$4001,'Per Line'!$E$2:$E$4001,$B962,'Per Line'!$AQ$2:$AQ$4001,1))</f>
        <v/>
      </c>
      <c r="Q962">
        <f>IF($AA962="","",Settings!$C$7)</f>
        <v/>
      </c>
      <c r="R962" s="7">
        <f>IF($AA962="","",SUMIFS('Per Line'!$Y$2:$Y$4001,'Per Line'!$E$2:$E$4001,$B962,'Per Line'!$AP$2:$AP$4001,0,'Per Line'!$AQ$2:$AQ$4001,0))</f>
        <v/>
      </c>
      <c r="S962" s="7">
        <f>IF($AA962="","",R962*Q962)</f>
        <v/>
      </c>
      <c r="T962">
        <f>IF($AA962="","",Settings!$C$6)</f>
        <v/>
      </c>
      <c r="U962" s="7">
        <f>IF($AA962="","",SUMIFS('Per Line'!$Y$2:$Y$4001,'Per Line'!$E$2:$E$4001,$B962,'Per Line'!$AP$2:$AP$4001,1,'Per Line'!$AQ$2:$AQ$4001,0))</f>
        <v/>
      </c>
      <c r="V962" s="7">
        <f>IF($AA962="","",U962*T962)</f>
        <v/>
      </c>
      <c r="W962" s="7">
        <f>IF($AA962="","",V962+S962)</f>
        <v/>
      </c>
      <c r="X962" s="7">
        <f>IF($AA962="","",Y962-W962)</f>
        <v/>
      </c>
      <c r="Y962" s="7">
        <f>IF($AA962="","",R962+U962+P962)</f>
        <v/>
      </c>
      <c r="Z962" s="7">
        <f>IF($AA962="","",Y962-W962-L962)</f>
        <v/>
      </c>
      <c r="AA962" s="13">
        <f>IF(ROWS($AA$2:$AA962)&lt;=MAX('Per Line'!$AO$2:$AO$4001),MATCH(ROWS($AA$2:$AA962),'Per Line'!$AO$2:$AO$4001,0),"")</f>
        <v/>
      </c>
      <c r="AB962" s="14">
        <f>IF($AA962="","",L962-K962*Y962/100)</f>
        <v/>
      </c>
    </row>
    <row r="963">
      <c r="A963" s="12" t="n"/>
      <c r="B963">
        <f>IF($AA963="","",INDEX('Per Line'!$E$2:$E$4001,$AA963)&amp;"")</f>
        <v/>
      </c>
      <c r="C963">
        <f>IF($AA963="","",INDEX('Per Line'!$A$2:$A$4001,$AA963)&amp;"")</f>
        <v/>
      </c>
      <c r="D963">
        <f>IF($AA963="","",INDEX('Per Line'!$D$2:$D$4001,$AA963)&amp;"")</f>
        <v/>
      </c>
      <c r="E963" s="11">
        <f>IF($AA963="","",INDEX('Per Line'!$G$2:$G$4001,$AA963))</f>
        <v/>
      </c>
      <c r="F963">
        <f>IF($AA963="","",INDEX('Per Line'!$H$2:$H$4001,$AA963)&amp;"")</f>
        <v/>
      </c>
      <c r="G963">
        <f>IF($AA963="","",INDEX('Per Line'!$I$2:$I$4001,$AA963)&amp;"")</f>
        <v/>
      </c>
      <c r="H963">
        <f>IF($AA963="","",INDEX('Per Line'!$J$2:$J$4001,$AA963)&amp;"")</f>
        <v/>
      </c>
      <c r="I963">
        <f>IF($AA963="","",INDEX('Per Line'!$K$2:$K$4001,$AA963)&amp;"")</f>
        <v/>
      </c>
      <c r="J963">
        <f>IF($AA963="","",INDEX('Per Line'!$L$2:$L$4001,$AA963)&amp;"")</f>
        <v/>
      </c>
      <c r="K963">
        <f>IF($AA963="","",INDEX('Per Line'!$P$2:$P$4001,$AA963))</f>
        <v/>
      </c>
      <c r="L963" s="7">
        <f>IF($AA963="","",IF(AND(ISNUMBER(N963),N963&gt;0,Y963&gt;N963),K963*N963/100+(Y963-N963),K963*Y963/100))</f>
        <v/>
      </c>
      <c r="M963">
        <f>IF($AA963="","",INDEX('Per Line'!$Z$2:$Z$4001,$AA963)&amp;"")</f>
        <v/>
      </c>
      <c r="N963">
        <f>IF($AA963="","",INDEX('Per Line'!$AG$2:$AG$4001,$AA963))</f>
        <v/>
      </c>
      <c r="O963">
        <f>IF($AA963="","",IF(AND(ISNUMBER(N963),N963&gt;0),Y963&gt;N963,FALSE))</f>
        <v/>
      </c>
      <c r="P963" s="7">
        <f>IF($AA963="","",SUMIFS('Per Line'!$Y$2:$Y$4001,'Per Line'!$E$2:$E$4001,$B963,'Per Line'!$AQ$2:$AQ$4001,1))</f>
        <v/>
      </c>
      <c r="Q963">
        <f>IF($AA963="","",Settings!$C$7)</f>
        <v/>
      </c>
      <c r="R963" s="7">
        <f>IF($AA963="","",SUMIFS('Per Line'!$Y$2:$Y$4001,'Per Line'!$E$2:$E$4001,$B963,'Per Line'!$AP$2:$AP$4001,0,'Per Line'!$AQ$2:$AQ$4001,0))</f>
        <v/>
      </c>
      <c r="S963" s="7">
        <f>IF($AA963="","",R963*Q963)</f>
        <v/>
      </c>
      <c r="T963">
        <f>IF($AA963="","",Settings!$C$6)</f>
        <v/>
      </c>
      <c r="U963" s="7">
        <f>IF($AA963="","",SUMIFS('Per Line'!$Y$2:$Y$4001,'Per Line'!$E$2:$E$4001,$B963,'Per Line'!$AP$2:$AP$4001,1,'Per Line'!$AQ$2:$AQ$4001,0))</f>
        <v/>
      </c>
      <c r="V963" s="7">
        <f>IF($AA963="","",U963*T963)</f>
        <v/>
      </c>
      <c r="W963" s="7">
        <f>IF($AA963="","",V963+S963)</f>
        <v/>
      </c>
      <c r="X963" s="7">
        <f>IF($AA963="","",Y963-W963)</f>
        <v/>
      </c>
      <c r="Y963" s="7">
        <f>IF($AA963="","",R963+U963+P963)</f>
        <v/>
      </c>
      <c r="Z963" s="7">
        <f>IF($AA963="","",Y963-W963-L963)</f>
        <v/>
      </c>
      <c r="AA963" s="13">
        <f>IF(ROWS($AA$2:$AA963)&lt;=MAX('Per Line'!$AO$2:$AO$4001),MATCH(ROWS($AA$2:$AA963),'Per Line'!$AO$2:$AO$4001,0),"")</f>
        <v/>
      </c>
      <c r="AB963" s="14">
        <f>IF($AA963="","",L963-K963*Y963/100)</f>
        <v/>
      </c>
    </row>
    <row r="964">
      <c r="A964" s="12" t="n"/>
      <c r="B964">
        <f>IF($AA964="","",INDEX('Per Line'!$E$2:$E$4001,$AA964)&amp;"")</f>
        <v/>
      </c>
      <c r="C964">
        <f>IF($AA964="","",INDEX('Per Line'!$A$2:$A$4001,$AA964)&amp;"")</f>
        <v/>
      </c>
      <c r="D964">
        <f>IF($AA964="","",INDEX('Per Line'!$D$2:$D$4001,$AA964)&amp;"")</f>
        <v/>
      </c>
      <c r="E964" s="11">
        <f>IF($AA964="","",INDEX('Per Line'!$G$2:$G$4001,$AA964))</f>
        <v/>
      </c>
      <c r="F964">
        <f>IF($AA964="","",INDEX('Per Line'!$H$2:$H$4001,$AA964)&amp;"")</f>
        <v/>
      </c>
      <c r="G964">
        <f>IF($AA964="","",INDEX('Per Line'!$I$2:$I$4001,$AA964)&amp;"")</f>
        <v/>
      </c>
      <c r="H964">
        <f>IF($AA964="","",INDEX('Per Line'!$J$2:$J$4001,$AA964)&amp;"")</f>
        <v/>
      </c>
      <c r="I964">
        <f>IF($AA964="","",INDEX('Per Line'!$K$2:$K$4001,$AA964)&amp;"")</f>
        <v/>
      </c>
      <c r="J964">
        <f>IF($AA964="","",INDEX('Per Line'!$L$2:$L$4001,$AA964)&amp;"")</f>
        <v/>
      </c>
      <c r="K964">
        <f>IF($AA964="","",INDEX('Per Line'!$P$2:$P$4001,$AA964))</f>
        <v/>
      </c>
      <c r="L964" s="7">
        <f>IF($AA964="","",IF(AND(ISNUMBER(N964),N964&gt;0,Y964&gt;N964),K964*N964/100+(Y964-N964),K964*Y964/100))</f>
        <v/>
      </c>
      <c r="M964">
        <f>IF($AA964="","",INDEX('Per Line'!$Z$2:$Z$4001,$AA964)&amp;"")</f>
        <v/>
      </c>
      <c r="N964">
        <f>IF($AA964="","",INDEX('Per Line'!$AG$2:$AG$4001,$AA964))</f>
        <v/>
      </c>
      <c r="O964">
        <f>IF($AA964="","",IF(AND(ISNUMBER(N964),N964&gt;0),Y964&gt;N964,FALSE))</f>
        <v/>
      </c>
      <c r="P964" s="7">
        <f>IF($AA964="","",SUMIFS('Per Line'!$Y$2:$Y$4001,'Per Line'!$E$2:$E$4001,$B964,'Per Line'!$AQ$2:$AQ$4001,1))</f>
        <v/>
      </c>
      <c r="Q964">
        <f>IF($AA964="","",Settings!$C$7)</f>
        <v/>
      </c>
      <c r="R964" s="7">
        <f>IF($AA964="","",SUMIFS('Per Line'!$Y$2:$Y$4001,'Per Line'!$E$2:$E$4001,$B964,'Per Line'!$AP$2:$AP$4001,0,'Per Line'!$AQ$2:$AQ$4001,0))</f>
        <v/>
      </c>
      <c r="S964" s="7">
        <f>IF($AA964="","",R964*Q964)</f>
        <v/>
      </c>
      <c r="T964">
        <f>IF($AA964="","",Settings!$C$6)</f>
        <v/>
      </c>
      <c r="U964" s="7">
        <f>IF($AA964="","",SUMIFS('Per Line'!$Y$2:$Y$4001,'Per Line'!$E$2:$E$4001,$B964,'Per Line'!$AP$2:$AP$4001,1,'Per Line'!$AQ$2:$AQ$4001,0))</f>
        <v/>
      </c>
      <c r="V964" s="7">
        <f>IF($AA964="","",U964*T964)</f>
        <v/>
      </c>
      <c r="W964" s="7">
        <f>IF($AA964="","",V964+S964)</f>
        <v/>
      </c>
      <c r="X964" s="7">
        <f>IF($AA964="","",Y964-W964)</f>
        <v/>
      </c>
      <c r="Y964" s="7">
        <f>IF($AA964="","",R964+U964+P964)</f>
        <v/>
      </c>
      <c r="Z964" s="7">
        <f>IF($AA964="","",Y964-W964-L964)</f>
        <v/>
      </c>
      <c r="AA964" s="13">
        <f>IF(ROWS($AA$2:$AA964)&lt;=MAX('Per Line'!$AO$2:$AO$4001),MATCH(ROWS($AA$2:$AA964),'Per Line'!$AO$2:$AO$4001,0),"")</f>
        <v/>
      </c>
      <c r="AB964" s="14">
        <f>IF($AA964="","",L964-K964*Y964/100)</f>
        <v/>
      </c>
    </row>
    <row r="965">
      <c r="A965" s="12" t="n"/>
      <c r="B965">
        <f>IF($AA965="","",INDEX('Per Line'!$E$2:$E$4001,$AA965)&amp;"")</f>
        <v/>
      </c>
      <c r="C965">
        <f>IF($AA965="","",INDEX('Per Line'!$A$2:$A$4001,$AA965)&amp;"")</f>
        <v/>
      </c>
      <c r="D965">
        <f>IF($AA965="","",INDEX('Per Line'!$D$2:$D$4001,$AA965)&amp;"")</f>
        <v/>
      </c>
      <c r="E965" s="11">
        <f>IF($AA965="","",INDEX('Per Line'!$G$2:$G$4001,$AA965))</f>
        <v/>
      </c>
      <c r="F965">
        <f>IF($AA965="","",INDEX('Per Line'!$H$2:$H$4001,$AA965)&amp;"")</f>
        <v/>
      </c>
      <c r="G965">
        <f>IF($AA965="","",INDEX('Per Line'!$I$2:$I$4001,$AA965)&amp;"")</f>
        <v/>
      </c>
      <c r="H965">
        <f>IF($AA965="","",INDEX('Per Line'!$J$2:$J$4001,$AA965)&amp;"")</f>
        <v/>
      </c>
      <c r="I965">
        <f>IF($AA965="","",INDEX('Per Line'!$K$2:$K$4001,$AA965)&amp;"")</f>
        <v/>
      </c>
      <c r="J965">
        <f>IF($AA965="","",INDEX('Per Line'!$L$2:$L$4001,$AA965)&amp;"")</f>
        <v/>
      </c>
      <c r="K965">
        <f>IF($AA965="","",INDEX('Per Line'!$P$2:$P$4001,$AA965))</f>
        <v/>
      </c>
      <c r="L965" s="7">
        <f>IF($AA965="","",IF(AND(ISNUMBER(N965),N965&gt;0,Y965&gt;N965),K965*N965/100+(Y965-N965),K965*Y965/100))</f>
        <v/>
      </c>
      <c r="M965">
        <f>IF($AA965="","",INDEX('Per Line'!$Z$2:$Z$4001,$AA965)&amp;"")</f>
        <v/>
      </c>
      <c r="N965">
        <f>IF($AA965="","",INDEX('Per Line'!$AG$2:$AG$4001,$AA965))</f>
        <v/>
      </c>
      <c r="O965">
        <f>IF($AA965="","",IF(AND(ISNUMBER(N965),N965&gt;0),Y965&gt;N965,FALSE))</f>
        <v/>
      </c>
      <c r="P965" s="7">
        <f>IF($AA965="","",SUMIFS('Per Line'!$Y$2:$Y$4001,'Per Line'!$E$2:$E$4001,$B965,'Per Line'!$AQ$2:$AQ$4001,1))</f>
        <v/>
      </c>
      <c r="Q965">
        <f>IF($AA965="","",Settings!$C$7)</f>
        <v/>
      </c>
      <c r="R965" s="7">
        <f>IF($AA965="","",SUMIFS('Per Line'!$Y$2:$Y$4001,'Per Line'!$E$2:$E$4001,$B965,'Per Line'!$AP$2:$AP$4001,0,'Per Line'!$AQ$2:$AQ$4001,0))</f>
        <v/>
      </c>
      <c r="S965" s="7">
        <f>IF($AA965="","",R965*Q965)</f>
        <v/>
      </c>
      <c r="T965">
        <f>IF($AA965="","",Settings!$C$6)</f>
        <v/>
      </c>
      <c r="U965" s="7">
        <f>IF($AA965="","",SUMIFS('Per Line'!$Y$2:$Y$4001,'Per Line'!$E$2:$E$4001,$B965,'Per Line'!$AP$2:$AP$4001,1,'Per Line'!$AQ$2:$AQ$4001,0))</f>
        <v/>
      </c>
      <c r="V965" s="7">
        <f>IF($AA965="","",U965*T965)</f>
        <v/>
      </c>
      <c r="W965" s="7">
        <f>IF($AA965="","",V965+S965)</f>
        <v/>
      </c>
      <c r="X965" s="7">
        <f>IF($AA965="","",Y965-W965)</f>
        <v/>
      </c>
      <c r="Y965" s="7">
        <f>IF($AA965="","",R965+U965+P965)</f>
        <v/>
      </c>
      <c r="Z965" s="7">
        <f>IF($AA965="","",Y965-W965-L965)</f>
        <v/>
      </c>
      <c r="AA965" s="13">
        <f>IF(ROWS($AA$2:$AA965)&lt;=MAX('Per Line'!$AO$2:$AO$4001),MATCH(ROWS($AA$2:$AA965),'Per Line'!$AO$2:$AO$4001,0),"")</f>
        <v/>
      </c>
      <c r="AB965" s="14">
        <f>IF($AA965="","",L965-K965*Y965/100)</f>
        <v/>
      </c>
    </row>
    <row r="966">
      <c r="A966" s="12" t="n"/>
      <c r="B966">
        <f>IF($AA966="","",INDEX('Per Line'!$E$2:$E$4001,$AA966)&amp;"")</f>
        <v/>
      </c>
      <c r="C966">
        <f>IF($AA966="","",INDEX('Per Line'!$A$2:$A$4001,$AA966)&amp;"")</f>
        <v/>
      </c>
      <c r="D966">
        <f>IF($AA966="","",INDEX('Per Line'!$D$2:$D$4001,$AA966)&amp;"")</f>
        <v/>
      </c>
      <c r="E966" s="11">
        <f>IF($AA966="","",INDEX('Per Line'!$G$2:$G$4001,$AA966))</f>
        <v/>
      </c>
      <c r="F966">
        <f>IF($AA966="","",INDEX('Per Line'!$H$2:$H$4001,$AA966)&amp;"")</f>
        <v/>
      </c>
      <c r="G966">
        <f>IF($AA966="","",INDEX('Per Line'!$I$2:$I$4001,$AA966)&amp;"")</f>
        <v/>
      </c>
      <c r="H966">
        <f>IF($AA966="","",INDEX('Per Line'!$J$2:$J$4001,$AA966)&amp;"")</f>
        <v/>
      </c>
      <c r="I966">
        <f>IF($AA966="","",INDEX('Per Line'!$K$2:$K$4001,$AA966)&amp;"")</f>
        <v/>
      </c>
      <c r="J966">
        <f>IF($AA966="","",INDEX('Per Line'!$L$2:$L$4001,$AA966)&amp;"")</f>
        <v/>
      </c>
      <c r="K966">
        <f>IF($AA966="","",INDEX('Per Line'!$P$2:$P$4001,$AA966))</f>
        <v/>
      </c>
      <c r="L966" s="7">
        <f>IF($AA966="","",IF(AND(ISNUMBER(N966),N966&gt;0,Y966&gt;N966),K966*N966/100+(Y966-N966),K966*Y966/100))</f>
        <v/>
      </c>
      <c r="M966">
        <f>IF($AA966="","",INDEX('Per Line'!$Z$2:$Z$4001,$AA966)&amp;"")</f>
        <v/>
      </c>
      <c r="N966">
        <f>IF($AA966="","",INDEX('Per Line'!$AG$2:$AG$4001,$AA966))</f>
        <v/>
      </c>
      <c r="O966">
        <f>IF($AA966="","",IF(AND(ISNUMBER(N966),N966&gt;0),Y966&gt;N966,FALSE))</f>
        <v/>
      </c>
      <c r="P966" s="7">
        <f>IF($AA966="","",SUMIFS('Per Line'!$Y$2:$Y$4001,'Per Line'!$E$2:$E$4001,$B966,'Per Line'!$AQ$2:$AQ$4001,1))</f>
        <v/>
      </c>
      <c r="Q966">
        <f>IF($AA966="","",Settings!$C$7)</f>
        <v/>
      </c>
      <c r="R966" s="7">
        <f>IF($AA966="","",SUMIFS('Per Line'!$Y$2:$Y$4001,'Per Line'!$E$2:$E$4001,$B966,'Per Line'!$AP$2:$AP$4001,0,'Per Line'!$AQ$2:$AQ$4001,0))</f>
        <v/>
      </c>
      <c r="S966" s="7">
        <f>IF($AA966="","",R966*Q966)</f>
        <v/>
      </c>
      <c r="T966">
        <f>IF($AA966="","",Settings!$C$6)</f>
        <v/>
      </c>
      <c r="U966" s="7">
        <f>IF($AA966="","",SUMIFS('Per Line'!$Y$2:$Y$4001,'Per Line'!$E$2:$E$4001,$B966,'Per Line'!$AP$2:$AP$4001,1,'Per Line'!$AQ$2:$AQ$4001,0))</f>
        <v/>
      </c>
      <c r="V966" s="7">
        <f>IF($AA966="","",U966*T966)</f>
        <v/>
      </c>
      <c r="W966" s="7">
        <f>IF($AA966="","",V966+S966)</f>
        <v/>
      </c>
      <c r="X966" s="7">
        <f>IF($AA966="","",Y966-W966)</f>
        <v/>
      </c>
      <c r="Y966" s="7">
        <f>IF($AA966="","",R966+U966+P966)</f>
        <v/>
      </c>
      <c r="Z966" s="7">
        <f>IF($AA966="","",Y966-W966-L966)</f>
        <v/>
      </c>
      <c r="AA966" s="13">
        <f>IF(ROWS($AA$2:$AA966)&lt;=MAX('Per Line'!$AO$2:$AO$4001),MATCH(ROWS($AA$2:$AA966),'Per Line'!$AO$2:$AO$4001,0),"")</f>
        <v/>
      </c>
      <c r="AB966" s="14">
        <f>IF($AA966="","",L966-K966*Y966/100)</f>
        <v/>
      </c>
    </row>
    <row r="967">
      <c r="A967" s="12" t="n"/>
      <c r="B967">
        <f>IF($AA967="","",INDEX('Per Line'!$E$2:$E$4001,$AA967)&amp;"")</f>
        <v/>
      </c>
      <c r="C967">
        <f>IF($AA967="","",INDEX('Per Line'!$A$2:$A$4001,$AA967)&amp;"")</f>
        <v/>
      </c>
      <c r="D967">
        <f>IF($AA967="","",INDEX('Per Line'!$D$2:$D$4001,$AA967)&amp;"")</f>
        <v/>
      </c>
      <c r="E967" s="11">
        <f>IF($AA967="","",INDEX('Per Line'!$G$2:$G$4001,$AA967))</f>
        <v/>
      </c>
      <c r="F967">
        <f>IF($AA967="","",INDEX('Per Line'!$H$2:$H$4001,$AA967)&amp;"")</f>
        <v/>
      </c>
      <c r="G967">
        <f>IF($AA967="","",INDEX('Per Line'!$I$2:$I$4001,$AA967)&amp;"")</f>
        <v/>
      </c>
      <c r="H967">
        <f>IF($AA967="","",INDEX('Per Line'!$J$2:$J$4001,$AA967)&amp;"")</f>
        <v/>
      </c>
      <c r="I967">
        <f>IF($AA967="","",INDEX('Per Line'!$K$2:$K$4001,$AA967)&amp;"")</f>
        <v/>
      </c>
      <c r="J967">
        <f>IF($AA967="","",INDEX('Per Line'!$L$2:$L$4001,$AA967)&amp;"")</f>
        <v/>
      </c>
      <c r="K967">
        <f>IF($AA967="","",INDEX('Per Line'!$P$2:$P$4001,$AA967))</f>
        <v/>
      </c>
      <c r="L967" s="7">
        <f>IF($AA967="","",IF(AND(ISNUMBER(N967),N967&gt;0,Y967&gt;N967),K967*N967/100+(Y967-N967),K967*Y967/100))</f>
        <v/>
      </c>
      <c r="M967">
        <f>IF($AA967="","",INDEX('Per Line'!$Z$2:$Z$4001,$AA967)&amp;"")</f>
        <v/>
      </c>
      <c r="N967">
        <f>IF($AA967="","",INDEX('Per Line'!$AG$2:$AG$4001,$AA967))</f>
        <v/>
      </c>
      <c r="O967">
        <f>IF($AA967="","",IF(AND(ISNUMBER(N967),N967&gt;0),Y967&gt;N967,FALSE))</f>
        <v/>
      </c>
      <c r="P967" s="7">
        <f>IF($AA967="","",SUMIFS('Per Line'!$Y$2:$Y$4001,'Per Line'!$E$2:$E$4001,$B967,'Per Line'!$AQ$2:$AQ$4001,1))</f>
        <v/>
      </c>
      <c r="Q967">
        <f>IF($AA967="","",Settings!$C$7)</f>
        <v/>
      </c>
      <c r="R967" s="7">
        <f>IF($AA967="","",SUMIFS('Per Line'!$Y$2:$Y$4001,'Per Line'!$E$2:$E$4001,$B967,'Per Line'!$AP$2:$AP$4001,0,'Per Line'!$AQ$2:$AQ$4001,0))</f>
        <v/>
      </c>
      <c r="S967" s="7">
        <f>IF($AA967="","",R967*Q967)</f>
        <v/>
      </c>
      <c r="T967">
        <f>IF($AA967="","",Settings!$C$6)</f>
        <v/>
      </c>
      <c r="U967" s="7">
        <f>IF($AA967="","",SUMIFS('Per Line'!$Y$2:$Y$4001,'Per Line'!$E$2:$E$4001,$B967,'Per Line'!$AP$2:$AP$4001,1,'Per Line'!$AQ$2:$AQ$4001,0))</f>
        <v/>
      </c>
      <c r="V967" s="7">
        <f>IF($AA967="","",U967*T967)</f>
        <v/>
      </c>
      <c r="W967" s="7">
        <f>IF($AA967="","",V967+S967)</f>
        <v/>
      </c>
      <c r="X967" s="7">
        <f>IF($AA967="","",Y967-W967)</f>
        <v/>
      </c>
      <c r="Y967" s="7">
        <f>IF($AA967="","",R967+U967+P967)</f>
        <v/>
      </c>
      <c r="Z967" s="7">
        <f>IF($AA967="","",Y967-W967-L967)</f>
        <v/>
      </c>
      <c r="AA967" s="13">
        <f>IF(ROWS($AA$2:$AA967)&lt;=MAX('Per Line'!$AO$2:$AO$4001),MATCH(ROWS($AA$2:$AA967),'Per Line'!$AO$2:$AO$4001,0),"")</f>
        <v/>
      </c>
      <c r="AB967" s="14">
        <f>IF($AA967="","",L967-K967*Y967/100)</f>
        <v/>
      </c>
    </row>
    <row r="968">
      <c r="A968" s="12" t="n"/>
      <c r="B968">
        <f>IF($AA968="","",INDEX('Per Line'!$E$2:$E$4001,$AA968)&amp;"")</f>
        <v/>
      </c>
      <c r="C968">
        <f>IF($AA968="","",INDEX('Per Line'!$A$2:$A$4001,$AA968)&amp;"")</f>
        <v/>
      </c>
      <c r="D968">
        <f>IF($AA968="","",INDEX('Per Line'!$D$2:$D$4001,$AA968)&amp;"")</f>
        <v/>
      </c>
      <c r="E968" s="11">
        <f>IF($AA968="","",INDEX('Per Line'!$G$2:$G$4001,$AA968))</f>
        <v/>
      </c>
      <c r="F968">
        <f>IF($AA968="","",INDEX('Per Line'!$H$2:$H$4001,$AA968)&amp;"")</f>
        <v/>
      </c>
      <c r="G968">
        <f>IF($AA968="","",INDEX('Per Line'!$I$2:$I$4001,$AA968)&amp;"")</f>
        <v/>
      </c>
      <c r="H968">
        <f>IF($AA968="","",INDEX('Per Line'!$J$2:$J$4001,$AA968)&amp;"")</f>
        <v/>
      </c>
      <c r="I968">
        <f>IF($AA968="","",INDEX('Per Line'!$K$2:$K$4001,$AA968)&amp;"")</f>
        <v/>
      </c>
      <c r="J968">
        <f>IF($AA968="","",INDEX('Per Line'!$L$2:$L$4001,$AA968)&amp;"")</f>
        <v/>
      </c>
      <c r="K968">
        <f>IF($AA968="","",INDEX('Per Line'!$P$2:$P$4001,$AA968))</f>
        <v/>
      </c>
      <c r="L968" s="7">
        <f>IF($AA968="","",IF(AND(ISNUMBER(N968),N968&gt;0,Y968&gt;N968),K968*N968/100+(Y968-N968),K968*Y968/100))</f>
        <v/>
      </c>
      <c r="M968">
        <f>IF($AA968="","",INDEX('Per Line'!$Z$2:$Z$4001,$AA968)&amp;"")</f>
        <v/>
      </c>
      <c r="N968">
        <f>IF($AA968="","",INDEX('Per Line'!$AG$2:$AG$4001,$AA968))</f>
        <v/>
      </c>
      <c r="O968">
        <f>IF($AA968="","",IF(AND(ISNUMBER(N968),N968&gt;0),Y968&gt;N968,FALSE))</f>
        <v/>
      </c>
      <c r="P968" s="7">
        <f>IF($AA968="","",SUMIFS('Per Line'!$Y$2:$Y$4001,'Per Line'!$E$2:$E$4001,$B968,'Per Line'!$AQ$2:$AQ$4001,1))</f>
        <v/>
      </c>
      <c r="Q968">
        <f>IF($AA968="","",Settings!$C$7)</f>
        <v/>
      </c>
      <c r="R968" s="7">
        <f>IF($AA968="","",SUMIFS('Per Line'!$Y$2:$Y$4001,'Per Line'!$E$2:$E$4001,$B968,'Per Line'!$AP$2:$AP$4001,0,'Per Line'!$AQ$2:$AQ$4001,0))</f>
        <v/>
      </c>
      <c r="S968" s="7">
        <f>IF($AA968="","",R968*Q968)</f>
        <v/>
      </c>
      <c r="T968">
        <f>IF($AA968="","",Settings!$C$6)</f>
        <v/>
      </c>
      <c r="U968" s="7">
        <f>IF($AA968="","",SUMIFS('Per Line'!$Y$2:$Y$4001,'Per Line'!$E$2:$E$4001,$B968,'Per Line'!$AP$2:$AP$4001,1,'Per Line'!$AQ$2:$AQ$4001,0))</f>
        <v/>
      </c>
      <c r="V968" s="7">
        <f>IF($AA968="","",U968*T968)</f>
        <v/>
      </c>
      <c r="W968" s="7">
        <f>IF($AA968="","",V968+S968)</f>
        <v/>
      </c>
      <c r="X968" s="7">
        <f>IF($AA968="","",Y968-W968)</f>
        <v/>
      </c>
      <c r="Y968" s="7">
        <f>IF($AA968="","",R968+U968+P968)</f>
        <v/>
      </c>
      <c r="Z968" s="7">
        <f>IF($AA968="","",Y968-W968-L968)</f>
        <v/>
      </c>
      <c r="AA968" s="13">
        <f>IF(ROWS($AA$2:$AA968)&lt;=MAX('Per Line'!$AO$2:$AO$4001),MATCH(ROWS($AA$2:$AA968),'Per Line'!$AO$2:$AO$4001,0),"")</f>
        <v/>
      </c>
      <c r="AB968" s="14">
        <f>IF($AA968="","",L968-K968*Y968/100)</f>
        <v/>
      </c>
    </row>
    <row r="969">
      <c r="A969" s="12" t="n"/>
      <c r="B969">
        <f>IF($AA969="","",INDEX('Per Line'!$E$2:$E$4001,$AA969)&amp;"")</f>
        <v/>
      </c>
      <c r="C969">
        <f>IF($AA969="","",INDEX('Per Line'!$A$2:$A$4001,$AA969)&amp;"")</f>
        <v/>
      </c>
      <c r="D969">
        <f>IF($AA969="","",INDEX('Per Line'!$D$2:$D$4001,$AA969)&amp;"")</f>
        <v/>
      </c>
      <c r="E969" s="11">
        <f>IF($AA969="","",INDEX('Per Line'!$G$2:$G$4001,$AA969))</f>
        <v/>
      </c>
      <c r="F969">
        <f>IF($AA969="","",INDEX('Per Line'!$H$2:$H$4001,$AA969)&amp;"")</f>
        <v/>
      </c>
      <c r="G969">
        <f>IF($AA969="","",INDEX('Per Line'!$I$2:$I$4001,$AA969)&amp;"")</f>
        <v/>
      </c>
      <c r="H969">
        <f>IF($AA969="","",INDEX('Per Line'!$J$2:$J$4001,$AA969)&amp;"")</f>
        <v/>
      </c>
      <c r="I969">
        <f>IF($AA969="","",INDEX('Per Line'!$K$2:$K$4001,$AA969)&amp;"")</f>
        <v/>
      </c>
      <c r="J969">
        <f>IF($AA969="","",INDEX('Per Line'!$L$2:$L$4001,$AA969)&amp;"")</f>
        <v/>
      </c>
      <c r="K969">
        <f>IF($AA969="","",INDEX('Per Line'!$P$2:$P$4001,$AA969))</f>
        <v/>
      </c>
      <c r="L969" s="7">
        <f>IF($AA969="","",IF(AND(ISNUMBER(N969),N969&gt;0,Y969&gt;N969),K969*N969/100+(Y969-N969),K969*Y969/100))</f>
        <v/>
      </c>
      <c r="M969">
        <f>IF($AA969="","",INDEX('Per Line'!$Z$2:$Z$4001,$AA969)&amp;"")</f>
        <v/>
      </c>
      <c r="N969">
        <f>IF($AA969="","",INDEX('Per Line'!$AG$2:$AG$4001,$AA969))</f>
        <v/>
      </c>
      <c r="O969">
        <f>IF($AA969="","",IF(AND(ISNUMBER(N969),N969&gt;0),Y969&gt;N969,FALSE))</f>
        <v/>
      </c>
      <c r="P969" s="7">
        <f>IF($AA969="","",SUMIFS('Per Line'!$Y$2:$Y$4001,'Per Line'!$E$2:$E$4001,$B969,'Per Line'!$AQ$2:$AQ$4001,1))</f>
        <v/>
      </c>
      <c r="Q969">
        <f>IF($AA969="","",Settings!$C$7)</f>
        <v/>
      </c>
      <c r="R969" s="7">
        <f>IF($AA969="","",SUMIFS('Per Line'!$Y$2:$Y$4001,'Per Line'!$E$2:$E$4001,$B969,'Per Line'!$AP$2:$AP$4001,0,'Per Line'!$AQ$2:$AQ$4001,0))</f>
        <v/>
      </c>
      <c r="S969" s="7">
        <f>IF($AA969="","",R969*Q969)</f>
        <v/>
      </c>
      <c r="T969">
        <f>IF($AA969="","",Settings!$C$6)</f>
        <v/>
      </c>
      <c r="U969" s="7">
        <f>IF($AA969="","",SUMIFS('Per Line'!$Y$2:$Y$4001,'Per Line'!$E$2:$E$4001,$B969,'Per Line'!$AP$2:$AP$4001,1,'Per Line'!$AQ$2:$AQ$4001,0))</f>
        <v/>
      </c>
      <c r="V969" s="7">
        <f>IF($AA969="","",U969*T969)</f>
        <v/>
      </c>
      <c r="W969" s="7">
        <f>IF($AA969="","",V969+S969)</f>
        <v/>
      </c>
      <c r="X969" s="7">
        <f>IF($AA969="","",Y969-W969)</f>
        <v/>
      </c>
      <c r="Y969" s="7">
        <f>IF($AA969="","",R969+U969+P969)</f>
        <v/>
      </c>
      <c r="Z969" s="7">
        <f>IF($AA969="","",Y969-W969-L969)</f>
        <v/>
      </c>
      <c r="AA969" s="13">
        <f>IF(ROWS($AA$2:$AA969)&lt;=MAX('Per Line'!$AO$2:$AO$4001),MATCH(ROWS($AA$2:$AA969),'Per Line'!$AO$2:$AO$4001,0),"")</f>
        <v/>
      </c>
      <c r="AB969" s="14">
        <f>IF($AA969="","",L969-K969*Y969/100)</f>
        <v/>
      </c>
    </row>
    <row r="970">
      <c r="A970" s="12" t="n"/>
      <c r="B970">
        <f>IF($AA970="","",INDEX('Per Line'!$E$2:$E$4001,$AA970)&amp;"")</f>
        <v/>
      </c>
      <c r="C970">
        <f>IF($AA970="","",INDEX('Per Line'!$A$2:$A$4001,$AA970)&amp;"")</f>
        <v/>
      </c>
      <c r="D970">
        <f>IF($AA970="","",INDEX('Per Line'!$D$2:$D$4001,$AA970)&amp;"")</f>
        <v/>
      </c>
      <c r="E970" s="11">
        <f>IF($AA970="","",INDEX('Per Line'!$G$2:$G$4001,$AA970))</f>
        <v/>
      </c>
      <c r="F970">
        <f>IF($AA970="","",INDEX('Per Line'!$H$2:$H$4001,$AA970)&amp;"")</f>
        <v/>
      </c>
      <c r="G970">
        <f>IF($AA970="","",INDEX('Per Line'!$I$2:$I$4001,$AA970)&amp;"")</f>
        <v/>
      </c>
      <c r="H970">
        <f>IF($AA970="","",INDEX('Per Line'!$J$2:$J$4001,$AA970)&amp;"")</f>
        <v/>
      </c>
      <c r="I970">
        <f>IF($AA970="","",INDEX('Per Line'!$K$2:$K$4001,$AA970)&amp;"")</f>
        <v/>
      </c>
      <c r="J970">
        <f>IF($AA970="","",INDEX('Per Line'!$L$2:$L$4001,$AA970)&amp;"")</f>
        <v/>
      </c>
      <c r="K970">
        <f>IF($AA970="","",INDEX('Per Line'!$P$2:$P$4001,$AA970))</f>
        <v/>
      </c>
      <c r="L970" s="7">
        <f>IF($AA970="","",IF(AND(ISNUMBER(N970),N970&gt;0,Y970&gt;N970),K970*N970/100+(Y970-N970),K970*Y970/100))</f>
        <v/>
      </c>
      <c r="M970">
        <f>IF($AA970="","",INDEX('Per Line'!$Z$2:$Z$4001,$AA970)&amp;"")</f>
        <v/>
      </c>
      <c r="N970">
        <f>IF($AA970="","",INDEX('Per Line'!$AG$2:$AG$4001,$AA970))</f>
        <v/>
      </c>
      <c r="O970">
        <f>IF($AA970="","",IF(AND(ISNUMBER(N970),N970&gt;0),Y970&gt;N970,FALSE))</f>
        <v/>
      </c>
      <c r="P970" s="7">
        <f>IF($AA970="","",SUMIFS('Per Line'!$Y$2:$Y$4001,'Per Line'!$E$2:$E$4001,$B970,'Per Line'!$AQ$2:$AQ$4001,1))</f>
        <v/>
      </c>
      <c r="Q970">
        <f>IF($AA970="","",Settings!$C$7)</f>
        <v/>
      </c>
      <c r="R970" s="7">
        <f>IF($AA970="","",SUMIFS('Per Line'!$Y$2:$Y$4001,'Per Line'!$E$2:$E$4001,$B970,'Per Line'!$AP$2:$AP$4001,0,'Per Line'!$AQ$2:$AQ$4001,0))</f>
        <v/>
      </c>
      <c r="S970" s="7">
        <f>IF($AA970="","",R970*Q970)</f>
        <v/>
      </c>
      <c r="T970">
        <f>IF($AA970="","",Settings!$C$6)</f>
        <v/>
      </c>
      <c r="U970" s="7">
        <f>IF($AA970="","",SUMIFS('Per Line'!$Y$2:$Y$4001,'Per Line'!$E$2:$E$4001,$B970,'Per Line'!$AP$2:$AP$4001,1,'Per Line'!$AQ$2:$AQ$4001,0))</f>
        <v/>
      </c>
      <c r="V970" s="7">
        <f>IF($AA970="","",U970*T970)</f>
        <v/>
      </c>
      <c r="W970" s="7">
        <f>IF($AA970="","",V970+S970)</f>
        <v/>
      </c>
      <c r="X970" s="7">
        <f>IF($AA970="","",Y970-W970)</f>
        <v/>
      </c>
      <c r="Y970" s="7">
        <f>IF($AA970="","",R970+U970+P970)</f>
        <v/>
      </c>
      <c r="Z970" s="7">
        <f>IF($AA970="","",Y970-W970-L970)</f>
        <v/>
      </c>
      <c r="AA970" s="13">
        <f>IF(ROWS($AA$2:$AA970)&lt;=MAX('Per Line'!$AO$2:$AO$4001),MATCH(ROWS($AA$2:$AA970),'Per Line'!$AO$2:$AO$4001,0),"")</f>
        <v/>
      </c>
      <c r="AB970" s="14">
        <f>IF($AA970="","",L970-K970*Y970/100)</f>
        <v/>
      </c>
    </row>
    <row r="971">
      <c r="A971" s="12" t="n"/>
      <c r="B971">
        <f>IF($AA971="","",INDEX('Per Line'!$E$2:$E$4001,$AA971)&amp;"")</f>
        <v/>
      </c>
      <c r="C971">
        <f>IF($AA971="","",INDEX('Per Line'!$A$2:$A$4001,$AA971)&amp;"")</f>
        <v/>
      </c>
      <c r="D971">
        <f>IF($AA971="","",INDEX('Per Line'!$D$2:$D$4001,$AA971)&amp;"")</f>
        <v/>
      </c>
      <c r="E971" s="11">
        <f>IF($AA971="","",INDEX('Per Line'!$G$2:$G$4001,$AA971))</f>
        <v/>
      </c>
      <c r="F971">
        <f>IF($AA971="","",INDEX('Per Line'!$H$2:$H$4001,$AA971)&amp;"")</f>
        <v/>
      </c>
      <c r="G971">
        <f>IF($AA971="","",INDEX('Per Line'!$I$2:$I$4001,$AA971)&amp;"")</f>
        <v/>
      </c>
      <c r="H971">
        <f>IF($AA971="","",INDEX('Per Line'!$J$2:$J$4001,$AA971)&amp;"")</f>
        <v/>
      </c>
      <c r="I971">
        <f>IF($AA971="","",INDEX('Per Line'!$K$2:$K$4001,$AA971)&amp;"")</f>
        <v/>
      </c>
      <c r="J971">
        <f>IF($AA971="","",INDEX('Per Line'!$L$2:$L$4001,$AA971)&amp;"")</f>
        <v/>
      </c>
      <c r="K971">
        <f>IF($AA971="","",INDEX('Per Line'!$P$2:$P$4001,$AA971))</f>
        <v/>
      </c>
      <c r="L971" s="7">
        <f>IF($AA971="","",IF(AND(ISNUMBER(N971),N971&gt;0,Y971&gt;N971),K971*N971/100+(Y971-N971),K971*Y971/100))</f>
        <v/>
      </c>
      <c r="M971">
        <f>IF($AA971="","",INDEX('Per Line'!$Z$2:$Z$4001,$AA971)&amp;"")</f>
        <v/>
      </c>
      <c r="N971">
        <f>IF($AA971="","",INDEX('Per Line'!$AG$2:$AG$4001,$AA971))</f>
        <v/>
      </c>
      <c r="O971">
        <f>IF($AA971="","",IF(AND(ISNUMBER(N971),N971&gt;0),Y971&gt;N971,FALSE))</f>
        <v/>
      </c>
      <c r="P971" s="7">
        <f>IF($AA971="","",SUMIFS('Per Line'!$Y$2:$Y$4001,'Per Line'!$E$2:$E$4001,$B971,'Per Line'!$AQ$2:$AQ$4001,1))</f>
        <v/>
      </c>
      <c r="Q971">
        <f>IF($AA971="","",Settings!$C$7)</f>
        <v/>
      </c>
      <c r="R971" s="7">
        <f>IF($AA971="","",SUMIFS('Per Line'!$Y$2:$Y$4001,'Per Line'!$E$2:$E$4001,$B971,'Per Line'!$AP$2:$AP$4001,0,'Per Line'!$AQ$2:$AQ$4001,0))</f>
        <v/>
      </c>
      <c r="S971" s="7">
        <f>IF($AA971="","",R971*Q971)</f>
        <v/>
      </c>
      <c r="T971">
        <f>IF($AA971="","",Settings!$C$6)</f>
        <v/>
      </c>
      <c r="U971" s="7">
        <f>IF($AA971="","",SUMIFS('Per Line'!$Y$2:$Y$4001,'Per Line'!$E$2:$E$4001,$B971,'Per Line'!$AP$2:$AP$4001,1,'Per Line'!$AQ$2:$AQ$4001,0))</f>
        <v/>
      </c>
      <c r="V971" s="7">
        <f>IF($AA971="","",U971*T971)</f>
        <v/>
      </c>
      <c r="W971" s="7">
        <f>IF($AA971="","",V971+S971)</f>
        <v/>
      </c>
      <c r="X971" s="7">
        <f>IF($AA971="","",Y971-W971)</f>
        <v/>
      </c>
      <c r="Y971" s="7">
        <f>IF($AA971="","",R971+U971+P971)</f>
        <v/>
      </c>
      <c r="Z971" s="7">
        <f>IF($AA971="","",Y971-W971-L971)</f>
        <v/>
      </c>
      <c r="AA971" s="13">
        <f>IF(ROWS($AA$2:$AA971)&lt;=MAX('Per Line'!$AO$2:$AO$4001),MATCH(ROWS($AA$2:$AA971),'Per Line'!$AO$2:$AO$4001,0),"")</f>
        <v/>
      </c>
      <c r="AB971" s="14">
        <f>IF($AA971="","",L971-K971*Y971/100)</f>
        <v/>
      </c>
    </row>
    <row r="972">
      <c r="A972" s="12" t="n"/>
      <c r="B972">
        <f>IF($AA972="","",INDEX('Per Line'!$E$2:$E$4001,$AA972)&amp;"")</f>
        <v/>
      </c>
      <c r="C972">
        <f>IF($AA972="","",INDEX('Per Line'!$A$2:$A$4001,$AA972)&amp;"")</f>
        <v/>
      </c>
      <c r="D972">
        <f>IF($AA972="","",INDEX('Per Line'!$D$2:$D$4001,$AA972)&amp;"")</f>
        <v/>
      </c>
      <c r="E972" s="11">
        <f>IF($AA972="","",INDEX('Per Line'!$G$2:$G$4001,$AA972))</f>
        <v/>
      </c>
      <c r="F972">
        <f>IF($AA972="","",INDEX('Per Line'!$H$2:$H$4001,$AA972)&amp;"")</f>
        <v/>
      </c>
      <c r="G972">
        <f>IF($AA972="","",INDEX('Per Line'!$I$2:$I$4001,$AA972)&amp;"")</f>
        <v/>
      </c>
      <c r="H972">
        <f>IF($AA972="","",INDEX('Per Line'!$J$2:$J$4001,$AA972)&amp;"")</f>
        <v/>
      </c>
      <c r="I972">
        <f>IF($AA972="","",INDEX('Per Line'!$K$2:$K$4001,$AA972)&amp;"")</f>
        <v/>
      </c>
      <c r="J972">
        <f>IF($AA972="","",INDEX('Per Line'!$L$2:$L$4001,$AA972)&amp;"")</f>
        <v/>
      </c>
      <c r="K972">
        <f>IF($AA972="","",INDEX('Per Line'!$P$2:$P$4001,$AA972))</f>
        <v/>
      </c>
      <c r="L972" s="7">
        <f>IF($AA972="","",IF(AND(ISNUMBER(N972),N972&gt;0,Y972&gt;N972),K972*N972/100+(Y972-N972),K972*Y972/100))</f>
        <v/>
      </c>
      <c r="M972">
        <f>IF($AA972="","",INDEX('Per Line'!$Z$2:$Z$4001,$AA972)&amp;"")</f>
        <v/>
      </c>
      <c r="N972">
        <f>IF($AA972="","",INDEX('Per Line'!$AG$2:$AG$4001,$AA972))</f>
        <v/>
      </c>
      <c r="O972">
        <f>IF($AA972="","",IF(AND(ISNUMBER(N972),N972&gt;0),Y972&gt;N972,FALSE))</f>
        <v/>
      </c>
      <c r="P972" s="7">
        <f>IF($AA972="","",SUMIFS('Per Line'!$Y$2:$Y$4001,'Per Line'!$E$2:$E$4001,$B972,'Per Line'!$AQ$2:$AQ$4001,1))</f>
        <v/>
      </c>
      <c r="Q972">
        <f>IF($AA972="","",Settings!$C$7)</f>
        <v/>
      </c>
      <c r="R972" s="7">
        <f>IF($AA972="","",SUMIFS('Per Line'!$Y$2:$Y$4001,'Per Line'!$E$2:$E$4001,$B972,'Per Line'!$AP$2:$AP$4001,0,'Per Line'!$AQ$2:$AQ$4001,0))</f>
        <v/>
      </c>
      <c r="S972" s="7">
        <f>IF($AA972="","",R972*Q972)</f>
        <v/>
      </c>
      <c r="T972">
        <f>IF($AA972="","",Settings!$C$6)</f>
        <v/>
      </c>
      <c r="U972" s="7">
        <f>IF($AA972="","",SUMIFS('Per Line'!$Y$2:$Y$4001,'Per Line'!$E$2:$E$4001,$B972,'Per Line'!$AP$2:$AP$4001,1,'Per Line'!$AQ$2:$AQ$4001,0))</f>
        <v/>
      </c>
      <c r="V972" s="7">
        <f>IF($AA972="","",U972*T972)</f>
        <v/>
      </c>
      <c r="W972" s="7">
        <f>IF($AA972="","",V972+S972)</f>
        <v/>
      </c>
      <c r="X972" s="7">
        <f>IF($AA972="","",Y972-W972)</f>
        <v/>
      </c>
      <c r="Y972" s="7">
        <f>IF($AA972="","",R972+U972+P972)</f>
        <v/>
      </c>
      <c r="Z972" s="7">
        <f>IF($AA972="","",Y972-W972-L972)</f>
        <v/>
      </c>
      <c r="AA972" s="13">
        <f>IF(ROWS($AA$2:$AA972)&lt;=MAX('Per Line'!$AO$2:$AO$4001),MATCH(ROWS($AA$2:$AA972),'Per Line'!$AO$2:$AO$4001,0),"")</f>
        <v/>
      </c>
      <c r="AB972" s="14">
        <f>IF($AA972="","",L972-K972*Y972/100)</f>
        <v/>
      </c>
    </row>
    <row r="973">
      <c r="A973" s="12" t="n"/>
      <c r="B973">
        <f>IF($AA973="","",INDEX('Per Line'!$E$2:$E$4001,$AA973)&amp;"")</f>
        <v/>
      </c>
      <c r="C973">
        <f>IF($AA973="","",INDEX('Per Line'!$A$2:$A$4001,$AA973)&amp;"")</f>
        <v/>
      </c>
      <c r="D973">
        <f>IF($AA973="","",INDEX('Per Line'!$D$2:$D$4001,$AA973)&amp;"")</f>
        <v/>
      </c>
      <c r="E973" s="11">
        <f>IF($AA973="","",INDEX('Per Line'!$G$2:$G$4001,$AA973))</f>
        <v/>
      </c>
      <c r="F973">
        <f>IF($AA973="","",INDEX('Per Line'!$H$2:$H$4001,$AA973)&amp;"")</f>
        <v/>
      </c>
      <c r="G973">
        <f>IF($AA973="","",INDEX('Per Line'!$I$2:$I$4001,$AA973)&amp;"")</f>
        <v/>
      </c>
      <c r="H973">
        <f>IF($AA973="","",INDEX('Per Line'!$J$2:$J$4001,$AA973)&amp;"")</f>
        <v/>
      </c>
      <c r="I973">
        <f>IF($AA973="","",INDEX('Per Line'!$K$2:$K$4001,$AA973)&amp;"")</f>
        <v/>
      </c>
      <c r="J973">
        <f>IF($AA973="","",INDEX('Per Line'!$L$2:$L$4001,$AA973)&amp;"")</f>
        <v/>
      </c>
      <c r="K973">
        <f>IF($AA973="","",INDEX('Per Line'!$P$2:$P$4001,$AA973))</f>
        <v/>
      </c>
      <c r="L973" s="7">
        <f>IF($AA973="","",IF(AND(ISNUMBER(N973),N973&gt;0,Y973&gt;N973),K973*N973/100+(Y973-N973),K973*Y973/100))</f>
        <v/>
      </c>
      <c r="M973">
        <f>IF($AA973="","",INDEX('Per Line'!$Z$2:$Z$4001,$AA973)&amp;"")</f>
        <v/>
      </c>
      <c r="N973">
        <f>IF($AA973="","",INDEX('Per Line'!$AG$2:$AG$4001,$AA973))</f>
        <v/>
      </c>
      <c r="O973">
        <f>IF($AA973="","",IF(AND(ISNUMBER(N973),N973&gt;0),Y973&gt;N973,FALSE))</f>
        <v/>
      </c>
      <c r="P973" s="7">
        <f>IF($AA973="","",SUMIFS('Per Line'!$Y$2:$Y$4001,'Per Line'!$E$2:$E$4001,$B973,'Per Line'!$AQ$2:$AQ$4001,1))</f>
        <v/>
      </c>
      <c r="Q973">
        <f>IF($AA973="","",Settings!$C$7)</f>
        <v/>
      </c>
      <c r="R973" s="7">
        <f>IF($AA973="","",SUMIFS('Per Line'!$Y$2:$Y$4001,'Per Line'!$E$2:$E$4001,$B973,'Per Line'!$AP$2:$AP$4001,0,'Per Line'!$AQ$2:$AQ$4001,0))</f>
        <v/>
      </c>
      <c r="S973" s="7">
        <f>IF($AA973="","",R973*Q973)</f>
        <v/>
      </c>
      <c r="T973">
        <f>IF($AA973="","",Settings!$C$6)</f>
        <v/>
      </c>
      <c r="U973" s="7">
        <f>IF($AA973="","",SUMIFS('Per Line'!$Y$2:$Y$4001,'Per Line'!$E$2:$E$4001,$B973,'Per Line'!$AP$2:$AP$4001,1,'Per Line'!$AQ$2:$AQ$4001,0))</f>
        <v/>
      </c>
      <c r="V973" s="7">
        <f>IF($AA973="","",U973*T973)</f>
        <v/>
      </c>
      <c r="W973" s="7">
        <f>IF($AA973="","",V973+S973)</f>
        <v/>
      </c>
      <c r="X973" s="7">
        <f>IF($AA973="","",Y973-W973)</f>
        <v/>
      </c>
      <c r="Y973" s="7">
        <f>IF($AA973="","",R973+U973+P973)</f>
        <v/>
      </c>
      <c r="Z973" s="7">
        <f>IF($AA973="","",Y973-W973-L973)</f>
        <v/>
      </c>
      <c r="AA973" s="13">
        <f>IF(ROWS($AA$2:$AA973)&lt;=MAX('Per Line'!$AO$2:$AO$4001),MATCH(ROWS($AA$2:$AA973),'Per Line'!$AO$2:$AO$4001,0),"")</f>
        <v/>
      </c>
      <c r="AB973" s="14">
        <f>IF($AA973="","",L973-K973*Y973/100)</f>
        <v/>
      </c>
    </row>
    <row r="974">
      <c r="A974" s="12" t="n"/>
      <c r="B974">
        <f>IF($AA974="","",INDEX('Per Line'!$E$2:$E$4001,$AA974)&amp;"")</f>
        <v/>
      </c>
      <c r="C974">
        <f>IF($AA974="","",INDEX('Per Line'!$A$2:$A$4001,$AA974)&amp;"")</f>
        <v/>
      </c>
      <c r="D974">
        <f>IF($AA974="","",INDEX('Per Line'!$D$2:$D$4001,$AA974)&amp;"")</f>
        <v/>
      </c>
      <c r="E974" s="11">
        <f>IF($AA974="","",INDEX('Per Line'!$G$2:$G$4001,$AA974))</f>
        <v/>
      </c>
      <c r="F974">
        <f>IF($AA974="","",INDEX('Per Line'!$H$2:$H$4001,$AA974)&amp;"")</f>
        <v/>
      </c>
      <c r="G974">
        <f>IF($AA974="","",INDEX('Per Line'!$I$2:$I$4001,$AA974)&amp;"")</f>
        <v/>
      </c>
      <c r="H974">
        <f>IF($AA974="","",INDEX('Per Line'!$J$2:$J$4001,$AA974)&amp;"")</f>
        <v/>
      </c>
      <c r="I974">
        <f>IF($AA974="","",INDEX('Per Line'!$K$2:$K$4001,$AA974)&amp;"")</f>
        <v/>
      </c>
      <c r="J974">
        <f>IF($AA974="","",INDEX('Per Line'!$L$2:$L$4001,$AA974)&amp;"")</f>
        <v/>
      </c>
      <c r="K974">
        <f>IF($AA974="","",INDEX('Per Line'!$P$2:$P$4001,$AA974))</f>
        <v/>
      </c>
      <c r="L974" s="7">
        <f>IF($AA974="","",IF(AND(ISNUMBER(N974),N974&gt;0,Y974&gt;N974),K974*N974/100+(Y974-N974),K974*Y974/100))</f>
        <v/>
      </c>
      <c r="M974">
        <f>IF($AA974="","",INDEX('Per Line'!$Z$2:$Z$4001,$AA974)&amp;"")</f>
        <v/>
      </c>
      <c r="N974">
        <f>IF($AA974="","",INDEX('Per Line'!$AG$2:$AG$4001,$AA974))</f>
        <v/>
      </c>
      <c r="O974">
        <f>IF($AA974="","",IF(AND(ISNUMBER(N974),N974&gt;0),Y974&gt;N974,FALSE))</f>
        <v/>
      </c>
      <c r="P974" s="7">
        <f>IF($AA974="","",SUMIFS('Per Line'!$Y$2:$Y$4001,'Per Line'!$E$2:$E$4001,$B974,'Per Line'!$AQ$2:$AQ$4001,1))</f>
        <v/>
      </c>
      <c r="Q974">
        <f>IF($AA974="","",Settings!$C$7)</f>
        <v/>
      </c>
      <c r="R974" s="7">
        <f>IF($AA974="","",SUMIFS('Per Line'!$Y$2:$Y$4001,'Per Line'!$E$2:$E$4001,$B974,'Per Line'!$AP$2:$AP$4001,0,'Per Line'!$AQ$2:$AQ$4001,0))</f>
        <v/>
      </c>
      <c r="S974" s="7">
        <f>IF($AA974="","",R974*Q974)</f>
        <v/>
      </c>
      <c r="T974">
        <f>IF($AA974="","",Settings!$C$6)</f>
        <v/>
      </c>
      <c r="U974" s="7">
        <f>IF($AA974="","",SUMIFS('Per Line'!$Y$2:$Y$4001,'Per Line'!$E$2:$E$4001,$B974,'Per Line'!$AP$2:$AP$4001,1,'Per Line'!$AQ$2:$AQ$4001,0))</f>
        <v/>
      </c>
      <c r="V974" s="7">
        <f>IF($AA974="","",U974*T974)</f>
        <v/>
      </c>
      <c r="W974" s="7">
        <f>IF($AA974="","",V974+S974)</f>
        <v/>
      </c>
      <c r="X974" s="7">
        <f>IF($AA974="","",Y974-W974)</f>
        <v/>
      </c>
      <c r="Y974" s="7">
        <f>IF($AA974="","",R974+U974+P974)</f>
        <v/>
      </c>
      <c r="Z974" s="7">
        <f>IF($AA974="","",Y974-W974-L974)</f>
        <v/>
      </c>
      <c r="AA974" s="13">
        <f>IF(ROWS($AA$2:$AA974)&lt;=MAX('Per Line'!$AO$2:$AO$4001),MATCH(ROWS($AA$2:$AA974),'Per Line'!$AO$2:$AO$4001,0),"")</f>
        <v/>
      </c>
      <c r="AB974" s="14">
        <f>IF($AA974="","",L974-K974*Y974/100)</f>
        <v/>
      </c>
    </row>
    <row r="975">
      <c r="A975" s="12" t="n"/>
      <c r="B975">
        <f>IF($AA975="","",INDEX('Per Line'!$E$2:$E$4001,$AA975)&amp;"")</f>
        <v/>
      </c>
      <c r="C975">
        <f>IF($AA975="","",INDEX('Per Line'!$A$2:$A$4001,$AA975)&amp;"")</f>
        <v/>
      </c>
      <c r="D975">
        <f>IF($AA975="","",INDEX('Per Line'!$D$2:$D$4001,$AA975)&amp;"")</f>
        <v/>
      </c>
      <c r="E975" s="11">
        <f>IF($AA975="","",INDEX('Per Line'!$G$2:$G$4001,$AA975))</f>
        <v/>
      </c>
      <c r="F975">
        <f>IF($AA975="","",INDEX('Per Line'!$H$2:$H$4001,$AA975)&amp;"")</f>
        <v/>
      </c>
      <c r="G975">
        <f>IF($AA975="","",INDEX('Per Line'!$I$2:$I$4001,$AA975)&amp;"")</f>
        <v/>
      </c>
      <c r="H975">
        <f>IF($AA975="","",INDEX('Per Line'!$J$2:$J$4001,$AA975)&amp;"")</f>
        <v/>
      </c>
      <c r="I975">
        <f>IF($AA975="","",INDEX('Per Line'!$K$2:$K$4001,$AA975)&amp;"")</f>
        <v/>
      </c>
      <c r="J975">
        <f>IF($AA975="","",INDEX('Per Line'!$L$2:$L$4001,$AA975)&amp;"")</f>
        <v/>
      </c>
      <c r="K975">
        <f>IF($AA975="","",INDEX('Per Line'!$P$2:$P$4001,$AA975))</f>
        <v/>
      </c>
      <c r="L975" s="7">
        <f>IF($AA975="","",IF(AND(ISNUMBER(N975),N975&gt;0,Y975&gt;N975),K975*N975/100+(Y975-N975),K975*Y975/100))</f>
        <v/>
      </c>
      <c r="M975">
        <f>IF($AA975="","",INDEX('Per Line'!$Z$2:$Z$4001,$AA975)&amp;"")</f>
        <v/>
      </c>
      <c r="N975">
        <f>IF($AA975="","",INDEX('Per Line'!$AG$2:$AG$4001,$AA975))</f>
        <v/>
      </c>
      <c r="O975">
        <f>IF($AA975="","",IF(AND(ISNUMBER(N975),N975&gt;0),Y975&gt;N975,FALSE))</f>
        <v/>
      </c>
      <c r="P975" s="7">
        <f>IF($AA975="","",SUMIFS('Per Line'!$Y$2:$Y$4001,'Per Line'!$E$2:$E$4001,$B975,'Per Line'!$AQ$2:$AQ$4001,1))</f>
        <v/>
      </c>
      <c r="Q975">
        <f>IF($AA975="","",Settings!$C$7)</f>
        <v/>
      </c>
      <c r="R975" s="7">
        <f>IF($AA975="","",SUMIFS('Per Line'!$Y$2:$Y$4001,'Per Line'!$E$2:$E$4001,$B975,'Per Line'!$AP$2:$AP$4001,0,'Per Line'!$AQ$2:$AQ$4001,0))</f>
        <v/>
      </c>
      <c r="S975" s="7">
        <f>IF($AA975="","",R975*Q975)</f>
        <v/>
      </c>
      <c r="T975">
        <f>IF($AA975="","",Settings!$C$6)</f>
        <v/>
      </c>
      <c r="U975" s="7">
        <f>IF($AA975="","",SUMIFS('Per Line'!$Y$2:$Y$4001,'Per Line'!$E$2:$E$4001,$B975,'Per Line'!$AP$2:$AP$4001,1,'Per Line'!$AQ$2:$AQ$4001,0))</f>
        <v/>
      </c>
      <c r="V975" s="7">
        <f>IF($AA975="","",U975*T975)</f>
        <v/>
      </c>
      <c r="W975" s="7">
        <f>IF($AA975="","",V975+S975)</f>
        <v/>
      </c>
      <c r="X975" s="7">
        <f>IF($AA975="","",Y975-W975)</f>
        <v/>
      </c>
      <c r="Y975" s="7">
        <f>IF($AA975="","",R975+U975+P975)</f>
        <v/>
      </c>
      <c r="Z975" s="7">
        <f>IF($AA975="","",Y975-W975-L975)</f>
        <v/>
      </c>
      <c r="AA975" s="13">
        <f>IF(ROWS($AA$2:$AA975)&lt;=MAX('Per Line'!$AO$2:$AO$4001),MATCH(ROWS($AA$2:$AA975),'Per Line'!$AO$2:$AO$4001,0),"")</f>
        <v/>
      </c>
      <c r="AB975" s="14">
        <f>IF($AA975="","",L975-K975*Y975/100)</f>
        <v/>
      </c>
    </row>
    <row r="976">
      <c r="A976" s="12" t="n"/>
      <c r="B976">
        <f>IF($AA976="","",INDEX('Per Line'!$E$2:$E$4001,$AA976)&amp;"")</f>
        <v/>
      </c>
      <c r="C976">
        <f>IF($AA976="","",INDEX('Per Line'!$A$2:$A$4001,$AA976)&amp;"")</f>
        <v/>
      </c>
      <c r="D976">
        <f>IF($AA976="","",INDEX('Per Line'!$D$2:$D$4001,$AA976)&amp;"")</f>
        <v/>
      </c>
      <c r="E976" s="11">
        <f>IF($AA976="","",INDEX('Per Line'!$G$2:$G$4001,$AA976))</f>
        <v/>
      </c>
      <c r="F976">
        <f>IF($AA976="","",INDEX('Per Line'!$H$2:$H$4001,$AA976)&amp;"")</f>
        <v/>
      </c>
      <c r="G976">
        <f>IF($AA976="","",INDEX('Per Line'!$I$2:$I$4001,$AA976)&amp;"")</f>
        <v/>
      </c>
      <c r="H976">
        <f>IF($AA976="","",INDEX('Per Line'!$J$2:$J$4001,$AA976)&amp;"")</f>
        <v/>
      </c>
      <c r="I976">
        <f>IF($AA976="","",INDEX('Per Line'!$K$2:$K$4001,$AA976)&amp;"")</f>
        <v/>
      </c>
      <c r="J976">
        <f>IF($AA976="","",INDEX('Per Line'!$L$2:$L$4001,$AA976)&amp;"")</f>
        <v/>
      </c>
      <c r="K976">
        <f>IF($AA976="","",INDEX('Per Line'!$P$2:$P$4001,$AA976))</f>
        <v/>
      </c>
      <c r="L976" s="7">
        <f>IF($AA976="","",IF(AND(ISNUMBER(N976),N976&gt;0,Y976&gt;N976),K976*N976/100+(Y976-N976),K976*Y976/100))</f>
        <v/>
      </c>
      <c r="M976">
        <f>IF($AA976="","",INDEX('Per Line'!$Z$2:$Z$4001,$AA976)&amp;"")</f>
        <v/>
      </c>
      <c r="N976">
        <f>IF($AA976="","",INDEX('Per Line'!$AG$2:$AG$4001,$AA976))</f>
        <v/>
      </c>
      <c r="O976">
        <f>IF($AA976="","",IF(AND(ISNUMBER(N976),N976&gt;0),Y976&gt;N976,FALSE))</f>
        <v/>
      </c>
      <c r="P976" s="7">
        <f>IF($AA976="","",SUMIFS('Per Line'!$Y$2:$Y$4001,'Per Line'!$E$2:$E$4001,$B976,'Per Line'!$AQ$2:$AQ$4001,1))</f>
        <v/>
      </c>
      <c r="Q976">
        <f>IF($AA976="","",Settings!$C$7)</f>
        <v/>
      </c>
      <c r="R976" s="7">
        <f>IF($AA976="","",SUMIFS('Per Line'!$Y$2:$Y$4001,'Per Line'!$E$2:$E$4001,$B976,'Per Line'!$AP$2:$AP$4001,0,'Per Line'!$AQ$2:$AQ$4001,0))</f>
        <v/>
      </c>
      <c r="S976" s="7">
        <f>IF($AA976="","",R976*Q976)</f>
        <v/>
      </c>
      <c r="T976">
        <f>IF($AA976="","",Settings!$C$6)</f>
        <v/>
      </c>
      <c r="U976" s="7">
        <f>IF($AA976="","",SUMIFS('Per Line'!$Y$2:$Y$4001,'Per Line'!$E$2:$E$4001,$B976,'Per Line'!$AP$2:$AP$4001,1,'Per Line'!$AQ$2:$AQ$4001,0))</f>
        <v/>
      </c>
      <c r="V976" s="7">
        <f>IF($AA976="","",U976*T976)</f>
        <v/>
      </c>
      <c r="W976" s="7">
        <f>IF($AA976="","",V976+S976)</f>
        <v/>
      </c>
      <c r="X976" s="7">
        <f>IF($AA976="","",Y976-W976)</f>
        <v/>
      </c>
      <c r="Y976" s="7">
        <f>IF($AA976="","",R976+U976+P976)</f>
        <v/>
      </c>
      <c r="Z976" s="7">
        <f>IF($AA976="","",Y976-W976-L976)</f>
        <v/>
      </c>
      <c r="AA976" s="13">
        <f>IF(ROWS($AA$2:$AA976)&lt;=MAX('Per Line'!$AO$2:$AO$4001),MATCH(ROWS($AA$2:$AA976),'Per Line'!$AO$2:$AO$4001,0),"")</f>
        <v/>
      </c>
      <c r="AB976" s="14">
        <f>IF($AA976="","",L976-K976*Y976/100)</f>
        <v/>
      </c>
    </row>
    <row r="977">
      <c r="A977" s="12" t="n"/>
      <c r="B977">
        <f>IF($AA977="","",INDEX('Per Line'!$E$2:$E$4001,$AA977)&amp;"")</f>
        <v/>
      </c>
      <c r="C977">
        <f>IF($AA977="","",INDEX('Per Line'!$A$2:$A$4001,$AA977)&amp;"")</f>
        <v/>
      </c>
      <c r="D977">
        <f>IF($AA977="","",INDEX('Per Line'!$D$2:$D$4001,$AA977)&amp;"")</f>
        <v/>
      </c>
      <c r="E977" s="11">
        <f>IF($AA977="","",INDEX('Per Line'!$G$2:$G$4001,$AA977))</f>
        <v/>
      </c>
      <c r="F977">
        <f>IF($AA977="","",INDEX('Per Line'!$H$2:$H$4001,$AA977)&amp;"")</f>
        <v/>
      </c>
      <c r="G977">
        <f>IF($AA977="","",INDEX('Per Line'!$I$2:$I$4001,$AA977)&amp;"")</f>
        <v/>
      </c>
      <c r="H977">
        <f>IF($AA977="","",INDEX('Per Line'!$J$2:$J$4001,$AA977)&amp;"")</f>
        <v/>
      </c>
      <c r="I977">
        <f>IF($AA977="","",INDEX('Per Line'!$K$2:$K$4001,$AA977)&amp;"")</f>
        <v/>
      </c>
      <c r="J977">
        <f>IF($AA977="","",INDEX('Per Line'!$L$2:$L$4001,$AA977)&amp;"")</f>
        <v/>
      </c>
      <c r="K977">
        <f>IF($AA977="","",INDEX('Per Line'!$P$2:$P$4001,$AA977))</f>
        <v/>
      </c>
      <c r="L977" s="7">
        <f>IF($AA977="","",IF(AND(ISNUMBER(N977),N977&gt;0,Y977&gt;N977),K977*N977/100+(Y977-N977),K977*Y977/100))</f>
        <v/>
      </c>
      <c r="M977">
        <f>IF($AA977="","",INDEX('Per Line'!$Z$2:$Z$4001,$AA977)&amp;"")</f>
        <v/>
      </c>
      <c r="N977">
        <f>IF($AA977="","",INDEX('Per Line'!$AG$2:$AG$4001,$AA977))</f>
        <v/>
      </c>
      <c r="O977">
        <f>IF($AA977="","",IF(AND(ISNUMBER(N977),N977&gt;0),Y977&gt;N977,FALSE))</f>
        <v/>
      </c>
      <c r="P977" s="7">
        <f>IF($AA977="","",SUMIFS('Per Line'!$Y$2:$Y$4001,'Per Line'!$E$2:$E$4001,$B977,'Per Line'!$AQ$2:$AQ$4001,1))</f>
        <v/>
      </c>
      <c r="Q977">
        <f>IF($AA977="","",Settings!$C$7)</f>
        <v/>
      </c>
      <c r="R977" s="7">
        <f>IF($AA977="","",SUMIFS('Per Line'!$Y$2:$Y$4001,'Per Line'!$E$2:$E$4001,$B977,'Per Line'!$AP$2:$AP$4001,0,'Per Line'!$AQ$2:$AQ$4001,0))</f>
        <v/>
      </c>
      <c r="S977" s="7">
        <f>IF($AA977="","",R977*Q977)</f>
        <v/>
      </c>
      <c r="T977">
        <f>IF($AA977="","",Settings!$C$6)</f>
        <v/>
      </c>
      <c r="U977" s="7">
        <f>IF($AA977="","",SUMIFS('Per Line'!$Y$2:$Y$4001,'Per Line'!$E$2:$E$4001,$B977,'Per Line'!$AP$2:$AP$4001,1,'Per Line'!$AQ$2:$AQ$4001,0))</f>
        <v/>
      </c>
      <c r="V977" s="7">
        <f>IF($AA977="","",U977*T977)</f>
        <v/>
      </c>
      <c r="W977" s="7">
        <f>IF($AA977="","",V977+S977)</f>
        <v/>
      </c>
      <c r="X977" s="7">
        <f>IF($AA977="","",Y977-W977)</f>
        <v/>
      </c>
      <c r="Y977" s="7">
        <f>IF($AA977="","",R977+U977+P977)</f>
        <v/>
      </c>
      <c r="Z977" s="7">
        <f>IF($AA977="","",Y977-W977-L977)</f>
        <v/>
      </c>
      <c r="AA977" s="13">
        <f>IF(ROWS($AA$2:$AA977)&lt;=MAX('Per Line'!$AO$2:$AO$4001),MATCH(ROWS($AA$2:$AA977),'Per Line'!$AO$2:$AO$4001,0),"")</f>
        <v/>
      </c>
      <c r="AB977" s="14">
        <f>IF($AA977="","",L977-K977*Y977/100)</f>
        <v/>
      </c>
    </row>
    <row r="978">
      <c r="A978" s="12" t="n"/>
      <c r="B978">
        <f>IF($AA978="","",INDEX('Per Line'!$E$2:$E$4001,$AA978)&amp;"")</f>
        <v/>
      </c>
      <c r="C978">
        <f>IF($AA978="","",INDEX('Per Line'!$A$2:$A$4001,$AA978)&amp;"")</f>
        <v/>
      </c>
      <c r="D978">
        <f>IF($AA978="","",INDEX('Per Line'!$D$2:$D$4001,$AA978)&amp;"")</f>
        <v/>
      </c>
      <c r="E978" s="11">
        <f>IF($AA978="","",INDEX('Per Line'!$G$2:$G$4001,$AA978))</f>
        <v/>
      </c>
      <c r="F978">
        <f>IF($AA978="","",INDEX('Per Line'!$H$2:$H$4001,$AA978)&amp;"")</f>
        <v/>
      </c>
      <c r="G978">
        <f>IF($AA978="","",INDEX('Per Line'!$I$2:$I$4001,$AA978)&amp;"")</f>
        <v/>
      </c>
      <c r="H978">
        <f>IF($AA978="","",INDEX('Per Line'!$J$2:$J$4001,$AA978)&amp;"")</f>
        <v/>
      </c>
      <c r="I978">
        <f>IF($AA978="","",INDEX('Per Line'!$K$2:$K$4001,$AA978)&amp;"")</f>
        <v/>
      </c>
      <c r="J978">
        <f>IF($AA978="","",INDEX('Per Line'!$L$2:$L$4001,$AA978)&amp;"")</f>
        <v/>
      </c>
      <c r="K978">
        <f>IF($AA978="","",INDEX('Per Line'!$P$2:$P$4001,$AA978))</f>
        <v/>
      </c>
      <c r="L978" s="7">
        <f>IF($AA978="","",IF(AND(ISNUMBER(N978),N978&gt;0,Y978&gt;N978),K978*N978/100+(Y978-N978),K978*Y978/100))</f>
        <v/>
      </c>
      <c r="M978">
        <f>IF($AA978="","",INDEX('Per Line'!$Z$2:$Z$4001,$AA978)&amp;"")</f>
        <v/>
      </c>
      <c r="N978">
        <f>IF($AA978="","",INDEX('Per Line'!$AG$2:$AG$4001,$AA978))</f>
        <v/>
      </c>
      <c r="O978">
        <f>IF($AA978="","",IF(AND(ISNUMBER(N978),N978&gt;0),Y978&gt;N978,FALSE))</f>
        <v/>
      </c>
      <c r="P978" s="7">
        <f>IF($AA978="","",SUMIFS('Per Line'!$Y$2:$Y$4001,'Per Line'!$E$2:$E$4001,$B978,'Per Line'!$AQ$2:$AQ$4001,1))</f>
        <v/>
      </c>
      <c r="Q978">
        <f>IF($AA978="","",Settings!$C$7)</f>
        <v/>
      </c>
      <c r="R978" s="7">
        <f>IF($AA978="","",SUMIFS('Per Line'!$Y$2:$Y$4001,'Per Line'!$E$2:$E$4001,$B978,'Per Line'!$AP$2:$AP$4001,0,'Per Line'!$AQ$2:$AQ$4001,0))</f>
        <v/>
      </c>
      <c r="S978" s="7">
        <f>IF($AA978="","",R978*Q978)</f>
        <v/>
      </c>
      <c r="T978">
        <f>IF($AA978="","",Settings!$C$6)</f>
        <v/>
      </c>
      <c r="U978" s="7">
        <f>IF($AA978="","",SUMIFS('Per Line'!$Y$2:$Y$4001,'Per Line'!$E$2:$E$4001,$B978,'Per Line'!$AP$2:$AP$4001,1,'Per Line'!$AQ$2:$AQ$4001,0))</f>
        <v/>
      </c>
      <c r="V978" s="7">
        <f>IF($AA978="","",U978*T978)</f>
        <v/>
      </c>
      <c r="W978" s="7">
        <f>IF($AA978="","",V978+S978)</f>
        <v/>
      </c>
      <c r="X978" s="7">
        <f>IF($AA978="","",Y978-W978)</f>
        <v/>
      </c>
      <c r="Y978" s="7">
        <f>IF($AA978="","",R978+U978+P978)</f>
        <v/>
      </c>
      <c r="Z978" s="7">
        <f>IF($AA978="","",Y978-W978-L978)</f>
        <v/>
      </c>
      <c r="AA978" s="13">
        <f>IF(ROWS($AA$2:$AA978)&lt;=MAX('Per Line'!$AO$2:$AO$4001),MATCH(ROWS($AA$2:$AA978),'Per Line'!$AO$2:$AO$4001,0),"")</f>
        <v/>
      </c>
      <c r="AB978" s="14">
        <f>IF($AA978="","",L978-K978*Y978/100)</f>
        <v/>
      </c>
    </row>
    <row r="979">
      <c r="A979" s="12" t="n"/>
      <c r="B979">
        <f>IF($AA979="","",INDEX('Per Line'!$E$2:$E$4001,$AA979)&amp;"")</f>
        <v/>
      </c>
      <c r="C979">
        <f>IF($AA979="","",INDEX('Per Line'!$A$2:$A$4001,$AA979)&amp;"")</f>
        <v/>
      </c>
      <c r="D979">
        <f>IF($AA979="","",INDEX('Per Line'!$D$2:$D$4001,$AA979)&amp;"")</f>
        <v/>
      </c>
      <c r="E979" s="11">
        <f>IF($AA979="","",INDEX('Per Line'!$G$2:$G$4001,$AA979))</f>
        <v/>
      </c>
      <c r="F979">
        <f>IF($AA979="","",INDEX('Per Line'!$H$2:$H$4001,$AA979)&amp;"")</f>
        <v/>
      </c>
      <c r="G979">
        <f>IF($AA979="","",INDEX('Per Line'!$I$2:$I$4001,$AA979)&amp;"")</f>
        <v/>
      </c>
      <c r="H979">
        <f>IF($AA979="","",INDEX('Per Line'!$J$2:$J$4001,$AA979)&amp;"")</f>
        <v/>
      </c>
      <c r="I979">
        <f>IF($AA979="","",INDEX('Per Line'!$K$2:$K$4001,$AA979)&amp;"")</f>
        <v/>
      </c>
      <c r="J979">
        <f>IF($AA979="","",INDEX('Per Line'!$L$2:$L$4001,$AA979)&amp;"")</f>
        <v/>
      </c>
      <c r="K979">
        <f>IF($AA979="","",INDEX('Per Line'!$P$2:$P$4001,$AA979))</f>
        <v/>
      </c>
      <c r="L979" s="7">
        <f>IF($AA979="","",IF(AND(ISNUMBER(N979),N979&gt;0,Y979&gt;N979),K979*N979/100+(Y979-N979),K979*Y979/100))</f>
        <v/>
      </c>
      <c r="M979">
        <f>IF($AA979="","",INDEX('Per Line'!$Z$2:$Z$4001,$AA979)&amp;"")</f>
        <v/>
      </c>
      <c r="N979">
        <f>IF($AA979="","",INDEX('Per Line'!$AG$2:$AG$4001,$AA979))</f>
        <v/>
      </c>
      <c r="O979">
        <f>IF($AA979="","",IF(AND(ISNUMBER(N979),N979&gt;0),Y979&gt;N979,FALSE))</f>
        <v/>
      </c>
      <c r="P979" s="7">
        <f>IF($AA979="","",SUMIFS('Per Line'!$Y$2:$Y$4001,'Per Line'!$E$2:$E$4001,$B979,'Per Line'!$AQ$2:$AQ$4001,1))</f>
        <v/>
      </c>
      <c r="Q979">
        <f>IF($AA979="","",Settings!$C$7)</f>
        <v/>
      </c>
      <c r="R979" s="7">
        <f>IF($AA979="","",SUMIFS('Per Line'!$Y$2:$Y$4001,'Per Line'!$E$2:$E$4001,$B979,'Per Line'!$AP$2:$AP$4001,0,'Per Line'!$AQ$2:$AQ$4001,0))</f>
        <v/>
      </c>
      <c r="S979" s="7">
        <f>IF($AA979="","",R979*Q979)</f>
        <v/>
      </c>
      <c r="T979">
        <f>IF($AA979="","",Settings!$C$6)</f>
        <v/>
      </c>
      <c r="U979" s="7">
        <f>IF($AA979="","",SUMIFS('Per Line'!$Y$2:$Y$4001,'Per Line'!$E$2:$E$4001,$B979,'Per Line'!$AP$2:$AP$4001,1,'Per Line'!$AQ$2:$AQ$4001,0))</f>
        <v/>
      </c>
      <c r="V979" s="7">
        <f>IF($AA979="","",U979*T979)</f>
        <v/>
      </c>
      <c r="W979" s="7">
        <f>IF($AA979="","",V979+S979)</f>
        <v/>
      </c>
      <c r="X979" s="7">
        <f>IF($AA979="","",Y979-W979)</f>
        <v/>
      </c>
      <c r="Y979" s="7">
        <f>IF($AA979="","",R979+U979+P979)</f>
        <v/>
      </c>
      <c r="Z979" s="7">
        <f>IF($AA979="","",Y979-W979-L979)</f>
        <v/>
      </c>
      <c r="AA979" s="13">
        <f>IF(ROWS($AA$2:$AA979)&lt;=MAX('Per Line'!$AO$2:$AO$4001),MATCH(ROWS($AA$2:$AA979),'Per Line'!$AO$2:$AO$4001,0),"")</f>
        <v/>
      </c>
      <c r="AB979" s="14">
        <f>IF($AA979="","",L979-K979*Y979/100)</f>
        <v/>
      </c>
    </row>
    <row r="980">
      <c r="A980" s="12" t="n"/>
      <c r="B980">
        <f>IF($AA980="","",INDEX('Per Line'!$E$2:$E$4001,$AA980)&amp;"")</f>
        <v/>
      </c>
      <c r="C980">
        <f>IF($AA980="","",INDEX('Per Line'!$A$2:$A$4001,$AA980)&amp;"")</f>
        <v/>
      </c>
      <c r="D980">
        <f>IF($AA980="","",INDEX('Per Line'!$D$2:$D$4001,$AA980)&amp;"")</f>
        <v/>
      </c>
      <c r="E980" s="11">
        <f>IF($AA980="","",INDEX('Per Line'!$G$2:$G$4001,$AA980))</f>
        <v/>
      </c>
      <c r="F980">
        <f>IF($AA980="","",INDEX('Per Line'!$H$2:$H$4001,$AA980)&amp;"")</f>
        <v/>
      </c>
      <c r="G980">
        <f>IF($AA980="","",INDEX('Per Line'!$I$2:$I$4001,$AA980)&amp;"")</f>
        <v/>
      </c>
      <c r="H980">
        <f>IF($AA980="","",INDEX('Per Line'!$J$2:$J$4001,$AA980)&amp;"")</f>
        <v/>
      </c>
      <c r="I980">
        <f>IF($AA980="","",INDEX('Per Line'!$K$2:$K$4001,$AA980)&amp;"")</f>
        <v/>
      </c>
      <c r="J980">
        <f>IF($AA980="","",INDEX('Per Line'!$L$2:$L$4001,$AA980)&amp;"")</f>
        <v/>
      </c>
      <c r="K980">
        <f>IF($AA980="","",INDEX('Per Line'!$P$2:$P$4001,$AA980))</f>
        <v/>
      </c>
      <c r="L980" s="7">
        <f>IF($AA980="","",IF(AND(ISNUMBER(N980),N980&gt;0,Y980&gt;N980),K980*N980/100+(Y980-N980),K980*Y980/100))</f>
        <v/>
      </c>
      <c r="M980">
        <f>IF($AA980="","",INDEX('Per Line'!$Z$2:$Z$4001,$AA980)&amp;"")</f>
        <v/>
      </c>
      <c r="N980">
        <f>IF($AA980="","",INDEX('Per Line'!$AG$2:$AG$4001,$AA980))</f>
        <v/>
      </c>
      <c r="O980">
        <f>IF($AA980="","",IF(AND(ISNUMBER(N980),N980&gt;0),Y980&gt;N980,FALSE))</f>
        <v/>
      </c>
      <c r="P980" s="7">
        <f>IF($AA980="","",SUMIFS('Per Line'!$Y$2:$Y$4001,'Per Line'!$E$2:$E$4001,$B980,'Per Line'!$AQ$2:$AQ$4001,1))</f>
        <v/>
      </c>
      <c r="Q980">
        <f>IF($AA980="","",Settings!$C$7)</f>
        <v/>
      </c>
      <c r="R980" s="7">
        <f>IF($AA980="","",SUMIFS('Per Line'!$Y$2:$Y$4001,'Per Line'!$E$2:$E$4001,$B980,'Per Line'!$AP$2:$AP$4001,0,'Per Line'!$AQ$2:$AQ$4001,0))</f>
        <v/>
      </c>
      <c r="S980" s="7">
        <f>IF($AA980="","",R980*Q980)</f>
        <v/>
      </c>
      <c r="T980">
        <f>IF($AA980="","",Settings!$C$6)</f>
        <v/>
      </c>
      <c r="U980" s="7">
        <f>IF($AA980="","",SUMIFS('Per Line'!$Y$2:$Y$4001,'Per Line'!$E$2:$E$4001,$B980,'Per Line'!$AP$2:$AP$4001,1,'Per Line'!$AQ$2:$AQ$4001,0))</f>
        <v/>
      </c>
      <c r="V980" s="7">
        <f>IF($AA980="","",U980*T980)</f>
        <v/>
      </c>
      <c r="W980" s="7">
        <f>IF($AA980="","",V980+S980)</f>
        <v/>
      </c>
      <c r="X980" s="7">
        <f>IF($AA980="","",Y980-W980)</f>
        <v/>
      </c>
      <c r="Y980" s="7">
        <f>IF($AA980="","",R980+U980+P980)</f>
        <v/>
      </c>
      <c r="Z980" s="7">
        <f>IF($AA980="","",Y980-W980-L980)</f>
        <v/>
      </c>
      <c r="AA980" s="13">
        <f>IF(ROWS($AA$2:$AA980)&lt;=MAX('Per Line'!$AO$2:$AO$4001),MATCH(ROWS($AA$2:$AA980),'Per Line'!$AO$2:$AO$4001,0),"")</f>
        <v/>
      </c>
      <c r="AB980" s="14">
        <f>IF($AA980="","",L980-K980*Y980/100)</f>
        <v/>
      </c>
    </row>
    <row r="981">
      <c r="A981" s="12" t="n"/>
      <c r="B981">
        <f>IF($AA981="","",INDEX('Per Line'!$E$2:$E$4001,$AA981)&amp;"")</f>
        <v/>
      </c>
      <c r="C981">
        <f>IF($AA981="","",INDEX('Per Line'!$A$2:$A$4001,$AA981)&amp;"")</f>
        <v/>
      </c>
      <c r="D981">
        <f>IF($AA981="","",INDEX('Per Line'!$D$2:$D$4001,$AA981)&amp;"")</f>
        <v/>
      </c>
      <c r="E981" s="11">
        <f>IF($AA981="","",INDEX('Per Line'!$G$2:$G$4001,$AA981))</f>
        <v/>
      </c>
      <c r="F981">
        <f>IF($AA981="","",INDEX('Per Line'!$H$2:$H$4001,$AA981)&amp;"")</f>
        <v/>
      </c>
      <c r="G981">
        <f>IF($AA981="","",INDEX('Per Line'!$I$2:$I$4001,$AA981)&amp;"")</f>
        <v/>
      </c>
      <c r="H981">
        <f>IF($AA981="","",INDEX('Per Line'!$J$2:$J$4001,$AA981)&amp;"")</f>
        <v/>
      </c>
      <c r="I981">
        <f>IF($AA981="","",INDEX('Per Line'!$K$2:$K$4001,$AA981)&amp;"")</f>
        <v/>
      </c>
      <c r="J981">
        <f>IF($AA981="","",INDEX('Per Line'!$L$2:$L$4001,$AA981)&amp;"")</f>
        <v/>
      </c>
      <c r="K981">
        <f>IF($AA981="","",INDEX('Per Line'!$P$2:$P$4001,$AA981))</f>
        <v/>
      </c>
      <c r="L981" s="7">
        <f>IF($AA981="","",IF(AND(ISNUMBER(N981),N981&gt;0,Y981&gt;N981),K981*N981/100+(Y981-N981),K981*Y981/100))</f>
        <v/>
      </c>
      <c r="M981">
        <f>IF($AA981="","",INDEX('Per Line'!$Z$2:$Z$4001,$AA981)&amp;"")</f>
        <v/>
      </c>
      <c r="N981">
        <f>IF($AA981="","",INDEX('Per Line'!$AG$2:$AG$4001,$AA981))</f>
        <v/>
      </c>
      <c r="O981">
        <f>IF($AA981="","",IF(AND(ISNUMBER(N981),N981&gt;0),Y981&gt;N981,FALSE))</f>
        <v/>
      </c>
      <c r="P981" s="7">
        <f>IF($AA981="","",SUMIFS('Per Line'!$Y$2:$Y$4001,'Per Line'!$E$2:$E$4001,$B981,'Per Line'!$AQ$2:$AQ$4001,1))</f>
        <v/>
      </c>
      <c r="Q981">
        <f>IF($AA981="","",Settings!$C$7)</f>
        <v/>
      </c>
      <c r="R981" s="7">
        <f>IF($AA981="","",SUMIFS('Per Line'!$Y$2:$Y$4001,'Per Line'!$E$2:$E$4001,$B981,'Per Line'!$AP$2:$AP$4001,0,'Per Line'!$AQ$2:$AQ$4001,0))</f>
        <v/>
      </c>
      <c r="S981" s="7">
        <f>IF($AA981="","",R981*Q981)</f>
        <v/>
      </c>
      <c r="T981">
        <f>IF($AA981="","",Settings!$C$6)</f>
        <v/>
      </c>
      <c r="U981" s="7">
        <f>IF($AA981="","",SUMIFS('Per Line'!$Y$2:$Y$4001,'Per Line'!$E$2:$E$4001,$B981,'Per Line'!$AP$2:$AP$4001,1,'Per Line'!$AQ$2:$AQ$4001,0))</f>
        <v/>
      </c>
      <c r="V981" s="7">
        <f>IF($AA981="","",U981*T981)</f>
        <v/>
      </c>
      <c r="W981" s="7">
        <f>IF($AA981="","",V981+S981)</f>
        <v/>
      </c>
      <c r="X981" s="7">
        <f>IF($AA981="","",Y981-W981)</f>
        <v/>
      </c>
      <c r="Y981" s="7">
        <f>IF($AA981="","",R981+U981+P981)</f>
        <v/>
      </c>
      <c r="Z981" s="7">
        <f>IF($AA981="","",Y981-W981-L981)</f>
        <v/>
      </c>
      <c r="AA981" s="13">
        <f>IF(ROWS($AA$2:$AA981)&lt;=MAX('Per Line'!$AO$2:$AO$4001),MATCH(ROWS($AA$2:$AA981),'Per Line'!$AO$2:$AO$4001,0),"")</f>
        <v/>
      </c>
      <c r="AB981" s="14">
        <f>IF($AA981="","",L981-K981*Y981/100)</f>
        <v/>
      </c>
    </row>
    <row r="982">
      <c r="A982" s="12" t="n"/>
      <c r="B982">
        <f>IF($AA982="","",INDEX('Per Line'!$E$2:$E$4001,$AA982)&amp;"")</f>
        <v/>
      </c>
      <c r="C982">
        <f>IF($AA982="","",INDEX('Per Line'!$A$2:$A$4001,$AA982)&amp;"")</f>
        <v/>
      </c>
      <c r="D982">
        <f>IF($AA982="","",INDEX('Per Line'!$D$2:$D$4001,$AA982)&amp;"")</f>
        <v/>
      </c>
      <c r="E982" s="11">
        <f>IF($AA982="","",INDEX('Per Line'!$G$2:$G$4001,$AA982))</f>
        <v/>
      </c>
      <c r="F982">
        <f>IF($AA982="","",INDEX('Per Line'!$H$2:$H$4001,$AA982)&amp;"")</f>
        <v/>
      </c>
      <c r="G982">
        <f>IF($AA982="","",INDEX('Per Line'!$I$2:$I$4001,$AA982)&amp;"")</f>
        <v/>
      </c>
      <c r="H982">
        <f>IF($AA982="","",INDEX('Per Line'!$J$2:$J$4001,$AA982)&amp;"")</f>
        <v/>
      </c>
      <c r="I982">
        <f>IF($AA982="","",INDEX('Per Line'!$K$2:$K$4001,$AA982)&amp;"")</f>
        <v/>
      </c>
      <c r="J982">
        <f>IF($AA982="","",INDEX('Per Line'!$L$2:$L$4001,$AA982)&amp;"")</f>
        <v/>
      </c>
      <c r="K982">
        <f>IF($AA982="","",INDEX('Per Line'!$P$2:$P$4001,$AA982))</f>
        <v/>
      </c>
      <c r="L982" s="7">
        <f>IF($AA982="","",IF(AND(ISNUMBER(N982),N982&gt;0,Y982&gt;N982),K982*N982/100+(Y982-N982),K982*Y982/100))</f>
        <v/>
      </c>
      <c r="M982">
        <f>IF($AA982="","",INDEX('Per Line'!$Z$2:$Z$4001,$AA982)&amp;"")</f>
        <v/>
      </c>
      <c r="N982">
        <f>IF($AA982="","",INDEX('Per Line'!$AG$2:$AG$4001,$AA982))</f>
        <v/>
      </c>
      <c r="O982">
        <f>IF($AA982="","",IF(AND(ISNUMBER(N982),N982&gt;0),Y982&gt;N982,FALSE))</f>
        <v/>
      </c>
      <c r="P982" s="7">
        <f>IF($AA982="","",SUMIFS('Per Line'!$Y$2:$Y$4001,'Per Line'!$E$2:$E$4001,$B982,'Per Line'!$AQ$2:$AQ$4001,1))</f>
        <v/>
      </c>
      <c r="Q982">
        <f>IF($AA982="","",Settings!$C$7)</f>
        <v/>
      </c>
      <c r="R982" s="7">
        <f>IF($AA982="","",SUMIFS('Per Line'!$Y$2:$Y$4001,'Per Line'!$E$2:$E$4001,$B982,'Per Line'!$AP$2:$AP$4001,0,'Per Line'!$AQ$2:$AQ$4001,0))</f>
        <v/>
      </c>
      <c r="S982" s="7">
        <f>IF($AA982="","",R982*Q982)</f>
        <v/>
      </c>
      <c r="T982">
        <f>IF($AA982="","",Settings!$C$6)</f>
        <v/>
      </c>
      <c r="U982" s="7">
        <f>IF($AA982="","",SUMIFS('Per Line'!$Y$2:$Y$4001,'Per Line'!$E$2:$E$4001,$B982,'Per Line'!$AP$2:$AP$4001,1,'Per Line'!$AQ$2:$AQ$4001,0))</f>
        <v/>
      </c>
      <c r="V982" s="7">
        <f>IF($AA982="","",U982*T982)</f>
        <v/>
      </c>
      <c r="W982" s="7">
        <f>IF($AA982="","",V982+S982)</f>
        <v/>
      </c>
      <c r="X982" s="7">
        <f>IF($AA982="","",Y982-W982)</f>
        <v/>
      </c>
      <c r="Y982" s="7">
        <f>IF($AA982="","",R982+U982+P982)</f>
        <v/>
      </c>
      <c r="Z982" s="7">
        <f>IF($AA982="","",Y982-W982-L982)</f>
        <v/>
      </c>
      <c r="AA982" s="13">
        <f>IF(ROWS($AA$2:$AA982)&lt;=MAX('Per Line'!$AO$2:$AO$4001),MATCH(ROWS($AA$2:$AA982),'Per Line'!$AO$2:$AO$4001,0),"")</f>
        <v/>
      </c>
      <c r="AB982" s="14">
        <f>IF($AA982="","",L982-K982*Y982/100)</f>
        <v/>
      </c>
    </row>
    <row r="983">
      <c r="A983" s="12" t="n"/>
      <c r="B983">
        <f>IF($AA983="","",INDEX('Per Line'!$E$2:$E$4001,$AA983)&amp;"")</f>
        <v/>
      </c>
      <c r="C983">
        <f>IF($AA983="","",INDEX('Per Line'!$A$2:$A$4001,$AA983)&amp;"")</f>
        <v/>
      </c>
      <c r="D983">
        <f>IF($AA983="","",INDEX('Per Line'!$D$2:$D$4001,$AA983)&amp;"")</f>
        <v/>
      </c>
      <c r="E983" s="11">
        <f>IF($AA983="","",INDEX('Per Line'!$G$2:$G$4001,$AA983))</f>
        <v/>
      </c>
      <c r="F983">
        <f>IF($AA983="","",INDEX('Per Line'!$H$2:$H$4001,$AA983)&amp;"")</f>
        <v/>
      </c>
      <c r="G983">
        <f>IF($AA983="","",INDEX('Per Line'!$I$2:$I$4001,$AA983)&amp;"")</f>
        <v/>
      </c>
      <c r="H983">
        <f>IF($AA983="","",INDEX('Per Line'!$J$2:$J$4001,$AA983)&amp;"")</f>
        <v/>
      </c>
      <c r="I983">
        <f>IF($AA983="","",INDEX('Per Line'!$K$2:$K$4001,$AA983)&amp;"")</f>
        <v/>
      </c>
      <c r="J983">
        <f>IF($AA983="","",INDEX('Per Line'!$L$2:$L$4001,$AA983)&amp;"")</f>
        <v/>
      </c>
      <c r="K983">
        <f>IF($AA983="","",INDEX('Per Line'!$P$2:$P$4001,$AA983))</f>
        <v/>
      </c>
      <c r="L983" s="7">
        <f>IF($AA983="","",IF(AND(ISNUMBER(N983),N983&gt;0,Y983&gt;N983),K983*N983/100+(Y983-N983),K983*Y983/100))</f>
        <v/>
      </c>
      <c r="M983">
        <f>IF($AA983="","",INDEX('Per Line'!$Z$2:$Z$4001,$AA983)&amp;"")</f>
        <v/>
      </c>
      <c r="N983">
        <f>IF($AA983="","",INDEX('Per Line'!$AG$2:$AG$4001,$AA983))</f>
        <v/>
      </c>
      <c r="O983">
        <f>IF($AA983="","",IF(AND(ISNUMBER(N983),N983&gt;0),Y983&gt;N983,FALSE))</f>
        <v/>
      </c>
      <c r="P983" s="7">
        <f>IF($AA983="","",SUMIFS('Per Line'!$Y$2:$Y$4001,'Per Line'!$E$2:$E$4001,$B983,'Per Line'!$AQ$2:$AQ$4001,1))</f>
        <v/>
      </c>
      <c r="Q983">
        <f>IF($AA983="","",Settings!$C$7)</f>
        <v/>
      </c>
      <c r="R983" s="7">
        <f>IF($AA983="","",SUMIFS('Per Line'!$Y$2:$Y$4001,'Per Line'!$E$2:$E$4001,$B983,'Per Line'!$AP$2:$AP$4001,0,'Per Line'!$AQ$2:$AQ$4001,0))</f>
        <v/>
      </c>
      <c r="S983" s="7">
        <f>IF($AA983="","",R983*Q983)</f>
        <v/>
      </c>
      <c r="T983">
        <f>IF($AA983="","",Settings!$C$6)</f>
        <v/>
      </c>
      <c r="U983" s="7">
        <f>IF($AA983="","",SUMIFS('Per Line'!$Y$2:$Y$4001,'Per Line'!$E$2:$E$4001,$B983,'Per Line'!$AP$2:$AP$4001,1,'Per Line'!$AQ$2:$AQ$4001,0))</f>
        <v/>
      </c>
      <c r="V983" s="7">
        <f>IF($AA983="","",U983*T983)</f>
        <v/>
      </c>
      <c r="W983" s="7">
        <f>IF($AA983="","",V983+S983)</f>
        <v/>
      </c>
      <c r="X983" s="7">
        <f>IF($AA983="","",Y983-W983)</f>
        <v/>
      </c>
      <c r="Y983" s="7">
        <f>IF($AA983="","",R983+U983+P983)</f>
        <v/>
      </c>
      <c r="Z983" s="7">
        <f>IF($AA983="","",Y983-W983-L983)</f>
        <v/>
      </c>
      <c r="AA983" s="13">
        <f>IF(ROWS($AA$2:$AA983)&lt;=MAX('Per Line'!$AO$2:$AO$4001),MATCH(ROWS($AA$2:$AA983),'Per Line'!$AO$2:$AO$4001,0),"")</f>
        <v/>
      </c>
      <c r="AB983" s="14">
        <f>IF($AA983="","",L983-K983*Y983/100)</f>
        <v/>
      </c>
    </row>
    <row r="984">
      <c r="A984" s="12" t="n"/>
      <c r="B984">
        <f>IF($AA984="","",INDEX('Per Line'!$E$2:$E$4001,$AA984)&amp;"")</f>
        <v/>
      </c>
      <c r="C984">
        <f>IF($AA984="","",INDEX('Per Line'!$A$2:$A$4001,$AA984)&amp;"")</f>
        <v/>
      </c>
      <c r="D984">
        <f>IF($AA984="","",INDEX('Per Line'!$D$2:$D$4001,$AA984)&amp;"")</f>
        <v/>
      </c>
      <c r="E984" s="11">
        <f>IF($AA984="","",INDEX('Per Line'!$G$2:$G$4001,$AA984))</f>
        <v/>
      </c>
      <c r="F984">
        <f>IF($AA984="","",INDEX('Per Line'!$H$2:$H$4001,$AA984)&amp;"")</f>
        <v/>
      </c>
      <c r="G984">
        <f>IF($AA984="","",INDEX('Per Line'!$I$2:$I$4001,$AA984)&amp;"")</f>
        <v/>
      </c>
      <c r="H984">
        <f>IF($AA984="","",INDEX('Per Line'!$J$2:$J$4001,$AA984)&amp;"")</f>
        <v/>
      </c>
      <c r="I984">
        <f>IF($AA984="","",INDEX('Per Line'!$K$2:$K$4001,$AA984)&amp;"")</f>
        <v/>
      </c>
      <c r="J984">
        <f>IF($AA984="","",INDEX('Per Line'!$L$2:$L$4001,$AA984)&amp;"")</f>
        <v/>
      </c>
      <c r="K984">
        <f>IF($AA984="","",INDEX('Per Line'!$P$2:$P$4001,$AA984))</f>
        <v/>
      </c>
      <c r="L984" s="7">
        <f>IF($AA984="","",IF(AND(ISNUMBER(N984),N984&gt;0,Y984&gt;N984),K984*N984/100+(Y984-N984),K984*Y984/100))</f>
        <v/>
      </c>
      <c r="M984">
        <f>IF($AA984="","",INDEX('Per Line'!$Z$2:$Z$4001,$AA984)&amp;"")</f>
        <v/>
      </c>
      <c r="N984">
        <f>IF($AA984="","",INDEX('Per Line'!$AG$2:$AG$4001,$AA984))</f>
        <v/>
      </c>
      <c r="O984">
        <f>IF($AA984="","",IF(AND(ISNUMBER(N984),N984&gt;0),Y984&gt;N984,FALSE))</f>
        <v/>
      </c>
      <c r="P984" s="7">
        <f>IF($AA984="","",SUMIFS('Per Line'!$Y$2:$Y$4001,'Per Line'!$E$2:$E$4001,$B984,'Per Line'!$AQ$2:$AQ$4001,1))</f>
        <v/>
      </c>
      <c r="Q984">
        <f>IF($AA984="","",Settings!$C$7)</f>
        <v/>
      </c>
      <c r="R984" s="7">
        <f>IF($AA984="","",SUMIFS('Per Line'!$Y$2:$Y$4001,'Per Line'!$E$2:$E$4001,$B984,'Per Line'!$AP$2:$AP$4001,0,'Per Line'!$AQ$2:$AQ$4001,0))</f>
        <v/>
      </c>
      <c r="S984" s="7">
        <f>IF($AA984="","",R984*Q984)</f>
        <v/>
      </c>
      <c r="T984">
        <f>IF($AA984="","",Settings!$C$6)</f>
        <v/>
      </c>
      <c r="U984" s="7">
        <f>IF($AA984="","",SUMIFS('Per Line'!$Y$2:$Y$4001,'Per Line'!$E$2:$E$4001,$B984,'Per Line'!$AP$2:$AP$4001,1,'Per Line'!$AQ$2:$AQ$4001,0))</f>
        <v/>
      </c>
      <c r="V984" s="7">
        <f>IF($AA984="","",U984*T984)</f>
        <v/>
      </c>
      <c r="W984" s="7">
        <f>IF($AA984="","",V984+S984)</f>
        <v/>
      </c>
      <c r="X984" s="7">
        <f>IF($AA984="","",Y984-W984)</f>
        <v/>
      </c>
      <c r="Y984" s="7">
        <f>IF($AA984="","",R984+U984+P984)</f>
        <v/>
      </c>
      <c r="Z984" s="7">
        <f>IF($AA984="","",Y984-W984-L984)</f>
        <v/>
      </c>
      <c r="AA984" s="13">
        <f>IF(ROWS($AA$2:$AA984)&lt;=MAX('Per Line'!$AO$2:$AO$4001),MATCH(ROWS($AA$2:$AA984),'Per Line'!$AO$2:$AO$4001,0),"")</f>
        <v/>
      </c>
      <c r="AB984" s="14">
        <f>IF($AA984="","",L984-K984*Y984/100)</f>
        <v/>
      </c>
    </row>
    <row r="985">
      <c r="A985" s="12" t="n"/>
      <c r="B985">
        <f>IF($AA985="","",INDEX('Per Line'!$E$2:$E$4001,$AA985)&amp;"")</f>
        <v/>
      </c>
      <c r="C985">
        <f>IF($AA985="","",INDEX('Per Line'!$A$2:$A$4001,$AA985)&amp;"")</f>
        <v/>
      </c>
      <c r="D985">
        <f>IF($AA985="","",INDEX('Per Line'!$D$2:$D$4001,$AA985)&amp;"")</f>
        <v/>
      </c>
      <c r="E985" s="11">
        <f>IF($AA985="","",INDEX('Per Line'!$G$2:$G$4001,$AA985))</f>
        <v/>
      </c>
      <c r="F985">
        <f>IF($AA985="","",INDEX('Per Line'!$H$2:$H$4001,$AA985)&amp;"")</f>
        <v/>
      </c>
      <c r="G985">
        <f>IF($AA985="","",INDEX('Per Line'!$I$2:$I$4001,$AA985)&amp;"")</f>
        <v/>
      </c>
      <c r="H985">
        <f>IF($AA985="","",INDEX('Per Line'!$J$2:$J$4001,$AA985)&amp;"")</f>
        <v/>
      </c>
      <c r="I985">
        <f>IF($AA985="","",INDEX('Per Line'!$K$2:$K$4001,$AA985)&amp;"")</f>
        <v/>
      </c>
      <c r="J985">
        <f>IF($AA985="","",INDEX('Per Line'!$L$2:$L$4001,$AA985)&amp;"")</f>
        <v/>
      </c>
      <c r="K985">
        <f>IF($AA985="","",INDEX('Per Line'!$P$2:$P$4001,$AA985))</f>
        <v/>
      </c>
      <c r="L985" s="7">
        <f>IF($AA985="","",IF(AND(ISNUMBER(N985),N985&gt;0,Y985&gt;N985),K985*N985/100+(Y985-N985),K985*Y985/100))</f>
        <v/>
      </c>
      <c r="M985">
        <f>IF($AA985="","",INDEX('Per Line'!$Z$2:$Z$4001,$AA985)&amp;"")</f>
        <v/>
      </c>
      <c r="N985">
        <f>IF($AA985="","",INDEX('Per Line'!$AG$2:$AG$4001,$AA985))</f>
        <v/>
      </c>
      <c r="O985">
        <f>IF($AA985="","",IF(AND(ISNUMBER(N985),N985&gt;0),Y985&gt;N985,FALSE))</f>
        <v/>
      </c>
      <c r="P985" s="7">
        <f>IF($AA985="","",SUMIFS('Per Line'!$Y$2:$Y$4001,'Per Line'!$E$2:$E$4001,$B985,'Per Line'!$AQ$2:$AQ$4001,1))</f>
        <v/>
      </c>
      <c r="Q985">
        <f>IF($AA985="","",Settings!$C$7)</f>
        <v/>
      </c>
      <c r="R985" s="7">
        <f>IF($AA985="","",SUMIFS('Per Line'!$Y$2:$Y$4001,'Per Line'!$E$2:$E$4001,$B985,'Per Line'!$AP$2:$AP$4001,0,'Per Line'!$AQ$2:$AQ$4001,0))</f>
        <v/>
      </c>
      <c r="S985" s="7">
        <f>IF($AA985="","",R985*Q985)</f>
        <v/>
      </c>
      <c r="T985">
        <f>IF($AA985="","",Settings!$C$6)</f>
        <v/>
      </c>
      <c r="U985" s="7">
        <f>IF($AA985="","",SUMIFS('Per Line'!$Y$2:$Y$4001,'Per Line'!$E$2:$E$4001,$B985,'Per Line'!$AP$2:$AP$4001,1,'Per Line'!$AQ$2:$AQ$4001,0))</f>
        <v/>
      </c>
      <c r="V985" s="7">
        <f>IF($AA985="","",U985*T985)</f>
        <v/>
      </c>
      <c r="W985" s="7">
        <f>IF($AA985="","",V985+S985)</f>
        <v/>
      </c>
      <c r="X985" s="7">
        <f>IF($AA985="","",Y985-W985)</f>
        <v/>
      </c>
      <c r="Y985" s="7">
        <f>IF($AA985="","",R985+U985+P985)</f>
        <v/>
      </c>
      <c r="Z985" s="7">
        <f>IF($AA985="","",Y985-W985-L985)</f>
        <v/>
      </c>
      <c r="AA985" s="13">
        <f>IF(ROWS($AA$2:$AA985)&lt;=MAX('Per Line'!$AO$2:$AO$4001),MATCH(ROWS($AA$2:$AA985),'Per Line'!$AO$2:$AO$4001,0),"")</f>
        <v/>
      </c>
      <c r="AB985" s="14">
        <f>IF($AA985="","",L985-K985*Y985/100)</f>
        <v/>
      </c>
    </row>
    <row r="986">
      <c r="A986" s="12" t="n"/>
      <c r="B986">
        <f>IF($AA986="","",INDEX('Per Line'!$E$2:$E$4001,$AA986)&amp;"")</f>
        <v/>
      </c>
      <c r="C986">
        <f>IF($AA986="","",INDEX('Per Line'!$A$2:$A$4001,$AA986)&amp;"")</f>
        <v/>
      </c>
      <c r="D986">
        <f>IF($AA986="","",INDEX('Per Line'!$D$2:$D$4001,$AA986)&amp;"")</f>
        <v/>
      </c>
      <c r="E986" s="11">
        <f>IF($AA986="","",INDEX('Per Line'!$G$2:$G$4001,$AA986))</f>
        <v/>
      </c>
      <c r="F986">
        <f>IF($AA986="","",INDEX('Per Line'!$H$2:$H$4001,$AA986)&amp;"")</f>
        <v/>
      </c>
      <c r="G986">
        <f>IF($AA986="","",INDEX('Per Line'!$I$2:$I$4001,$AA986)&amp;"")</f>
        <v/>
      </c>
      <c r="H986">
        <f>IF($AA986="","",INDEX('Per Line'!$J$2:$J$4001,$AA986)&amp;"")</f>
        <v/>
      </c>
      <c r="I986">
        <f>IF($AA986="","",INDEX('Per Line'!$K$2:$K$4001,$AA986)&amp;"")</f>
        <v/>
      </c>
      <c r="J986">
        <f>IF($AA986="","",INDEX('Per Line'!$L$2:$L$4001,$AA986)&amp;"")</f>
        <v/>
      </c>
      <c r="K986">
        <f>IF($AA986="","",INDEX('Per Line'!$P$2:$P$4001,$AA986))</f>
        <v/>
      </c>
      <c r="L986" s="7">
        <f>IF($AA986="","",IF(AND(ISNUMBER(N986),N986&gt;0,Y986&gt;N986),K986*N986/100+(Y986-N986),K986*Y986/100))</f>
        <v/>
      </c>
      <c r="M986">
        <f>IF($AA986="","",INDEX('Per Line'!$Z$2:$Z$4001,$AA986)&amp;"")</f>
        <v/>
      </c>
      <c r="N986">
        <f>IF($AA986="","",INDEX('Per Line'!$AG$2:$AG$4001,$AA986))</f>
        <v/>
      </c>
      <c r="O986">
        <f>IF($AA986="","",IF(AND(ISNUMBER(N986),N986&gt;0),Y986&gt;N986,FALSE))</f>
        <v/>
      </c>
      <c r="P986" s="7">
        <f>IF($AA986="","",SUMIFS('Per Line'!$Y$2:$Y$4001,'Per Line'!$E$2:$E$4001,$B986,'Per Line'!$AQ$2:$AQ$4001,1))</f>
        <v/>
      </c>
      <c r="Q986">
        <f>IF($AA986="","",Settings!$C$7)</f>
        <v/>
      </c>
      <c r="R986" s="7">
        <f>IF($AA986="","",SUMIFS('Per Line'!$Y$2:$Y$4001,'Per Line'!$E$2:$E$4001,$B986,'Per Line'!$AP$2:$AP$4001,0,'Per Line'!$AQ$2:$AQ$4001,0))</f>
        <v/>
      </c>
      <c r="S986" s="7">
        <f>IF($AA986="","",R986*Q986)</f>
        <v/>
      </c>
      <c r="T986">
        <f>IF($AA986="","",Settings!$C$6)</f>
        <v/>
      </c>
      <c r="U986" s="7">
        <f>IF($AA986="","",SUMIFS('Per Line'!$Y$2:$Y$4001,'Per Line'!$E$2:$E$4001,$B986,'Per Line'!$AP$2:$AP$4001,1,'Per Line'!$AQ$2:$AQ$4001,0))</f>
        <v/>
      </c>
      <c r="V986" s="7">
        <f>IF($AA986="","",U986*T986)</f>
        <v/>
      </c>
      <c r="W986" s="7">
        <f>IF($AA986="","",V986+S986)</f>
        <v/>
      </c>
      <c r="X986" s="7">
        <f>IF($AA986="","",Y986-W986)</f>
        <v/>
      </c>
      <c r="Y986" s="7">
        <f>IF($AA986="","",R986+U986+P986)</f>
        <v/>
      </c>
      <c r="Z986" s="7">
        <f>IF($AA986="","",Y986-W986-L986)</f>
        <v/>
      </c>
      <c r="AA986" s="13">
        <f>IF(ROWS($AA$2:$AA986)&lt;=MAX('Per Line'!$AO$2:$AO$4001),MATCH(ROWS($AA$2:$AA986),'Per Line'!$AO$2:$AO$4001,0),"")</f>
        <v/>
      </c>
      <c r="AB986" s="14">
        <f>IF($AA986="","",L986-K986*Y986/100)</f>
        <v/>
      </c>
    </row>
    <row r="987">
      <c r="A987" s="12" t="n"/>
      <c r="B987">
        <f>IF($AA987="","",INDEX('Per Line'!$E$2:$E$4001,$AA987)&amp;"")</f>
        <v/>
      </c>
      <c r="C987">
        <f>IF($AA987="","",INDEX('Per Line'!$A$2:$A$4001,$AA987)&amp;"")</f>
        <v/>
      </c>
      <c r="D987">
        <f>IF($AA987="","",INDEX('Per Line'!$D$2:$D$4001,$AA987)&amp;"")</f>
        <v/>
      </c>
      <c r="E987" s="11">
        <f>IF($AA987="","",INDEX('Per Line'!$G$2:$G$4001,$AA987))</f>
        <v/>
      </c>
      <c r="F987">
        <f>IF($AA987="","",INDEX('Per Line'!$H$2:$H$4001,$AA987)&amp;"")</f>
        <v/>
      </c>
      <c r="G987">
        <f>IF($AA987="","",INDEX('Per Line'!$I$2:$I$4001,$AA987)&amp;"")</f>
        <v/>
      </c>
      <c r="H987">
        <f>IF($AA987="","",INDEX('Per Line'!$J$2:$J$4001,$AA987)&amp;"")</f>
        <v/>
      </c>
      <c r="I987">
        <f>IF($AA987="","",INDEX('Per Line'!$K$2:$K$4001,$AA987)&amp;"")</f>
        <v/>
      </c>
      <c r="J987">
        <f>IF($AA987="","",INDEX('Per Line'!$L$2:$L$4001,$AA987)&amp;"")</f>
        <v/>
      </c>
      <c r="K987">
        <f>IF($AA987="","",INDEX('Per Line'!$P$2:$P$4001,$AA987))</f>
        <v/>
      </c>
      <c r="L987" s="7">
        <f>IF($AA987="","",IF(AND(ISNUMBER(N987),N987&gt;0,Y987&gt;N987),K987*N987/100+(Y987-N987),K987*Y987/100))</f>
        <v/>
      </c>
      <c r="M987">
        <f>IF($AA987="","",INDEX('Per Line'!$Z$2:$Z$4001,$AA987)&amp;"")</f>
        <v/>
      </c>
      <c r="N987">
        <f>IF($AA987="","",INDEX('Per Line'!$AG$2:$AG$4001,$AA987))</f>
        <v/>
      </c>
      <c r="O987">
        <f>IF($AA987="","",IF(AND(ISNUMBER(N987),N987&gt;0),Y987&gt;N987,FALSE))</f>
        <v/>
      </c>
      <c r="P987" s="7">
        <f>IF($AA987="","",SUMIFS('Per Line'!$Y$2:$Y$4001,'Per Line'!$E$2:$E$4001,$B987,'Per Line'!$AQ$2:$AQ$4001,1))</f>
        <v/>
      </c>
      <c r="Q987">
        <f>IF($AA987="","",Settings!$C$7)</f>
        <v/>
      </c>
      <c r="R987" s="7">
        <f>IF($AA987="","",SUMIFS('Per Line'!$Y$2:$Y$4001,'Per Line'!$E$2:$E$4001,$B987,'Per Line'!$AP$2:$AP$4001,0,'Per Line'!$AQ$2:$AQ$4001,0))</f>
        <v/>
      </c>
      <c r="S987" s="7">
        <f>IF($AA987="","",R987*Q987)</f>
        <v/>
      </c>
      <c r="T987">
        <f>IF($AA987="","",Settings!$C$6)</f>
        <v/>
      </c>
      <c r="U987" s="7">
        <f>IF($AA987="","",SUMIFS('Per Line'!$Y$2:$Y$4001,'Per Line'!$E$2:$E$4001,$B987,'Per Line'!$AP$2:$AP$4001,1,'Per Line'!$AQ$2:$AQ$4001,0))</f>
        <v/>
      </c>
      <c r="V987" s="7">
        <f>IF($AA987="","",U987*T987)</f>
        <v/>
      </c>
      <c r="W987" s="7">
        <f>IF($AA987="","",V987+S987)</f>
        <v/>
      </c>
      <c r="X987" s="7">
        <f>IF($AA987="","",Y987-W987)</f>
        <v/>
      </c>
      <c r="Y987" s="7">
        <f>IF($AA987="","",R987+U987+P987)</f>
        <v/>
      </c>
      <c r="Z987" s="7">
        <f>IF($AA987="","",Y987-W987-L987)</f>
        <v/>
      </c>
      <c r="AA987" s="13">
        <f>IF(ROWS($AA$2:$AA987)&lt;=MAX('Per Line'!$AO$2:$AO$4001),MATCH(ROWS($AA$2:$AA987),'Per Line'!$AO$2:$AO$4001,0),"")</f>
        <v/>
      </c>
      <c r="AB987" s="14">
        <f>IF($AA987="","",L987-K987*Y987/100)</f>
        <v/>
      </c>
    </row>
    <row r="988">
      <c r="A988" s="12" t="n"/>
      <c r="B988">
        <f>IF($AA988="","",INDEX('Per Line'!$E$2:$E$4001,$AA988)&amp;"")</f>
        <v/>
      </c>
      <c r="C988">
        <f>IF($AA988="","",INDEX('Per Line'!$A$2:$A$4001,$AA988)&amp;"")</f>
        <v/>
      </c>
      <c r="D988">
        <f>IF($AA988="","",INDEX('Per Line'!$D$2:$D$4001,$AA988)&amp;"")</f>
        <v/>
      </c>
      <c r="E988" s="11">
        <f>IF($AA988="","",INDEX('Per Line'!$G$2:$G$4001,$AA988))</f>
        <v/>
      </c>
      <c r="F988">
        <f>IF($AA988="","",INDEX('Per Line'!$H$2:$H$4001,$AA988)&amp;"")</f>
        <v/>
      </c>
      <c r="G988">
        <f>IF($AA988="","",INDEX('Per Line'!$I$2:$I$4001,$AA988)&amp;"")</f>
        <v/>
      </c>
      <c r="H988">
        <f>IF($AA988="","",INDEX('Per Line'!$J$2:$J$4001,$AA988)&amp;"")</f>
        <v/>
      </c>
      <c r="I988">
        <f>IF($AA988="","",INDEX('Per Line'!$K$2:$K$4001,$AA988)&amp;"")</f>
        <v/>
      </c>
      <c r="J988">
        <f>IF($AA988="","",INDEX('Per Line'!$L$2:$L$4001,$AA988)&amp;"")</f>
        <v/>
      </c>
      <c r="K988">
        <f>IF($AA988="","",INDEX('Per Line'!$P$2:$P$4001,$AA988))</f>
        <v/>
      </c>
      <c r="L988" s="7">
        <f>IF($AA988="","",IF(AND(ISNUMBER(N988),N988&gt;0,Y988&gt;N988),K988*N988/100+(Y988-N988),K988*Y988/100))</f>
        <v/>
      </c>
      <c r="M988">
        <f>IF($AA988="","",INDEX('Per Line'!$Z$2:$Z$4001,$AA988)&amp;"")</f>
        <v/>
      </c>
      <c r="N988">
        <f>IF($AA988="","",INDEX('Per Line'!$AG$2:$AG$4001,$AA988))</f>
        <v/>
      </c>
      <c r="O988">
        <f>IF($AA988="","",IF(AND(ISNUMBER(N988),N988&gt;0),Y988&gt;N988,FALSE))</f>
        <v/>
      </c>
      <c r="P988" s="7">
        <f>IF($AA988="","",SUMIFS('Per Line'!$Y$2:$Y$4001,'Per Line'!$E$2:$E$4001,$B988,'Per Line'!$AQ$2:$AQ$4001,1))</f>
        <v/>
      </c>
      <c r="Q988">
        <f>IF($AA988="","",Settings!$C$7)</f>
        <v/>
      </c>
      <c r="R988" s="7">
        <f>IF($AA988="","",SUMIFS('Per Line'!$Y$2:$Y$4001,'Per Line'!$E$2:$E$4001,$B988,'Per Line'!$AP$2:$AP$4001,0,'Per Line'!$AQ$2:$AQ$4001,0))</f>
        <v/>
      </c>
      <c r="S988" s="7">
        <f>IF($AA988="","",R988*Q988)</f>
        <v/>
      </c>
      <c r="T988">
        <f>IF($AA988="","",Settings!$C$6)</f>
        <v/>
      </c>
      <c r="U988" s="7">
        <f>IF($AA988="","",SUMIFS('Per Line'!$Y$2:$Y$4001,'Per Line'!$E$2:$E$4001,$B988,'Per Line'!$AP$2:$AP$4001,1,'Per Line'!$AQ$2:$AQ$4001,0))</f>
        <v/>
      </c>
      <c r="V988" s="7">
        <f>IF($AA988="","",U988*T988)</f>
        <v/>
      </c>
      <c r="W988" s="7">
        <f>IF($AA988="","",V988+S988)</f>
        <v/>
      </c>
      <c r="X988" s="7">
        <f>IF($AA988="","",Y988-W988)</f>
        <v/>
      </c>
      <c r="Y988" s="7">
        <f>IF($AA988="","",R988+U988+P988)</f>
        <v/>
      </c>
      <c r="Z988" s="7">
        <f>IF($AA988="","",Y988-W988-L988)</f>
        <v/>
      </c>
      <c r="AA988" s="13">
        <f>IF(ROWS($AA$2:$AA988)&lt;=MAX('Per Line'!$AO$2:$AO$4001),MATCH(ROWS($AA$2:$AA988),'Per Line'!$AO$2:$AO$4001,0),"")</f>
        <v/>
      </c>
      <c r="AB988" s="14">
        <f>IF($AA988="","",L988-K988*Y988/100)</f>
        <v/>
      </c>
    </row>
    <row r="989">
      <c r="A989" s="12" t="n"/>
      <c r="B989">
        <f>IF($AA989="","",INDEX('Per Line'!$E$2:$E$4001,$AA989)&amp;"")</f>
        <v/>
      </c>
      <c r="C989">
        <f>IF($AA989="","",INDEX('Per Line'!$A$2:$A$4001,$AA989)&amp;"")</f>
        <v/>
      </c>
      <c r="D989">
        <f>IF($AA989="","",INDEX('Per Line'!$D$2:$D$4001,$AA989)&amp;"")</f>
        <v/>
      </c>
      <c r="E989" s="11">
        <f>IF($AA989="","",INDEX('Per Line'!$G$2:$G$4001,$AA989))</f>
        <v/>
      </c>
      <c r="F989">
        <f>IF($AA989="","",INDEX('Per Line'!$H$2:$H$4001,$AA989)&amp;"")</f>
        <v/>
      </c>
      <c r="G989">
        <f>IF($AA989="","",INDEX('Per Line'!$I$2:$I$4001,$AA989)&amp;"")</f>
        <v/>
      </c>
      <c r="H989">
        <f>IF($AA989="","",INDEX('Per Line'!$J$2:$J$4001,$AA989)&amp;"")</f>
        <v/>
      </c>
      <c r="I989">
        <f>IF($AA989="","",INDEX('Per Line'!$K$2:$K$4001,$AA989)&amp;"")</f>
        <v/>
      </c>
      <c r="J989">
        <f>IF($AA989="","",INDEX('Per Line'!$L$2:$L$4001,$AA989)&amp;"")</f>
        <v/>
      </c>
      <c r="K989">
        <f>IF($AA989="","",INDEX('Per Line'!$P$2:$P$4001,$AA989))</f>
        <v/>
      </c>
      <c r="L989" s="7">
        <f>IF($AA989="","",IF(AND(ISNUMBER(N989),N989&gt;0,Y989&gt;N989),K989*N989/100+(Y989-N989),K989*Y989/100))</f>
        <v/>
      </c>
      <c r="M989">
        <f>IF($AA989="","",INDEX('Per Line'!$Z$2:$Z$4001,$AA989)&amp;"")</f>
        <v/>
      </c>
      <c r="N989">
        <f>IF($AA989="","",INDEX('Per Line'!$AG$2:$AG$4001,$AA989))</f>
        <v/>
      </c>
      <c r="O989">
        <f>IF($AA989="","",IF(AND(ISNUMBER(N989),N989&gt;0),Y989&gt;N989,FALSE))</f>
        <v/>
      </c>
      <c r="P989" s="7">
        <f>IF($AA989="","",SUMIFS('Per Line'!$Y$2:$Y$4001,'Per Line'!$E$2:$E$4001,$B989,'Per Line'!$AQ$2:$AQ$4001,1))</f>
        <v/>
      </c>
      <c r="Q989">
        <f>IF($AA989="","",Settings!$C$7)</f>
        <v/>
      </c>
      <c r="R989" s="7">
        <f>IF($AA989="","",SUMIFS('Per Line'!$Y$2:$Y$4001,'Per Line'!$E$2:$E$4001,$B989,'Per Line'!$AP$2:$AP$4001,0,'Per Line'!$AQ$2:$AQ$4001,0))</f>
        <v/>
      </c>
      <c r="S989" s="7">
        <f>IF($AA989="","",R989*Q989)</f>
        <v/>
      </c>
      <c r="T989">
        <f>IF($AA989="","",Settings!$C$6)</f>
        <v/>
      </c>
      <c r="U989" s="7">
        <f>IF($AA989="","",SUMIFS('Per Line'!$Y$2:$Y$4001,'Per Line'!$E$2:$E$4001,$B989,'Per Line'!$AP$2:$AP$4001,1,'Per Line'!$AQ$2:$AQ$4001,0))</f>
        <v/>
      </c>
      <c r="V989" s="7">
        <f>IF($AA989="","",U989*T989)</f>
        <v/>
      </c>
      <c r="W989" s="7">
        <f>IF($AA989="","",V989+S989)</f>
        <v/>
      </c>
      <c r="X989" s="7">
        <f>IF($AA989="","",Y989-W989)</f>
        <v/>
      </c>
      <c r="Y989" s="7">
        <f>IF($AA989="","",R989+U989+P989)</f>
        <v/>
      </c>
      <c r="Z989" s="7">
        <f>IF($AA989="","",Y989-W989-L989)</f>
        <v/>
      </c>
      <c r="AA989" s="13">
        <f>IF(ROWS($AA$2:$AA989)&lt;=MAX('Per Line'!$AO$2:$AO$4001),MATCH(ROWS($AA$2:$AA989),'Per Line'!$AO$2:$AO$4001,0),"")</f>
        <v/>
      </c>
      <c r="AB989" s="14">
        <f>IF($AA989="","",L989-K989*Y989/100)</f>
        <v/>
      </c>
    </row>
    <row r="990">
      <c r="A990" s="12" t="n"/>
      <c r="B990">
        <f>IF($AA990="","",INDEX('Per Line'!$E$2:$E$4001,$AA990)&amp;"")</f>
        <v/>
      </c>
      <c r="C990">
        <f>IF($AA990="","",INDEX('Per Line'!$A$2:$A$4001,$AA990)&amp;"")</f>
        <v/>
      </c>
      <c r="D990">
        <f>IF($AA990="","",INDEX('Per Line'!$D$2:$D$4001,$AA990)&amp;"")</f>
        <v/>
      </c>
      <c r="E990" s="11">
        <f>IF($AA990="","",INDEX('Per Line'!$G$2:$G$4001,$AA990))</f>
        <v/>
      </c>
      <c r="F990">
        <f>IF($AA990="","",INDEX('Per Line'!$H$2:$H$4001,$AA990)&amp;"")</f>
        <v/>
      </c>
      <c r="G990">
        <f>IF($AA990="","",INDEX('Per Line'!$I$2:$I$4001,$AA990)&amp;"")</f>
        <v/>
      </c>
      <c r="H990">
        <f>IF($AA990="","",INDEX('Per Line'!$J$2:$J$4001,$AA990)&amp;"")</f>
        <v/>
      </c>
      <c r="I990">
        <f>IF($AA990="","",INDEX('Per Line'!$K$2:$K$4001,$AA990)&amp;"")</f>
        <v/>
      </c>
      <c r="J990">
        <f>IF($AA990="","",INDEX('Per Line'!$L$2:$L$4001,$AA990)&amp;"")</f>
        <v/>
      </c>
      <c r="K990">
        <f>IF($AA990="","",INDEX('Per Line'!$P$2:$P$4001,$AA990))</f>
        <v/>
      </c>
      <c r="L990" s="7">
        <f>IF($AA990="","",IF(AND(ISNUMBER(N990),N990&gt;0,Y990&gt;N990),K990*N990/100+(Y990-N990),K990*Y990/100))</f>
        <v/>
      </c>
      <c r="M990">
        <f>IF($AA990="","",INDEX('Per Line'!$Z$2:$Z$4001,$AA990)&amp;"")</f>
        <v/>
      </c>
      <c r="N990">
        <f>IF($AA990="","",INDEX('Per Line'!$AG$2:$AG$4001,$AA990))</f>
        <v/>
      </c>
      <c r="O990">
        <f>IF($AA990="","",IF(AND(ISNUMBER(N990),N990&gt;0),Y990&gt;N990,FALSE))</f>
        <v/>
      </c>
      <c r="P990" s="7">
        <f>IF($AA990="","",SUMIFS('Per Line'!$Y$2:$Y$4001,'Per Line'!$E$2:$E$4001,$B990,'Per Line'!$AQ$2:$AQ$4001,1))</f>
        <v/>
      </c>
      <c r="Q990">
        <f>IF($AA990="","",Settings!$C$7)</f>
        <v/>
      </c>
      <c r="R990" s="7">
        <f>IF($AA990="","",SUMIFS('Per Line'!$Y$2:$Y$4001,'Per Line'!$E$2:$E$4001,$B990,'Per Line'!$AP$2:$AP$4001,0,'Per Line'!$AQ$2:$AQ$4001,0))</f>
        <v/>
      </c>
      <c r="S990" s="7">
        <f>IF($AA990="","",R990*Q990)</f>
        <v/>
      </c>
      <c r="T990">
        <f>IF($AA990="","",Settings!$C$6)</f>
        <v/>
      </c>
      <c r="U990" s="7">
        <f>IF($AA990="","",SUMIFS('Per Line'!$Y$2:$Y$4001,'Per Line'!$E$2:$E$4001,$B990,'Per Line'!$AP$2:$AP$4001,1,'Per Line'!$AQ$2:$AQ$4001,0))</f>
        <v/>
      </c>
      <c r="V990" s="7">
        <f>IF($AA990="","",U990*T990)</f>
        <v/>
      </c>
      <c r="W990" s="7">
        <f>IF($AA990="","",V990+S990)</f>
        <v/>
      </c>
      <c r="X990" s="7">
        <f>IF($AA990="","",Y990-W990)</f>
        <v/>
      </c>
      <c r="Y990" s="7">
        <f>IF($AA990="","",R990+U990+P990)</f>
        <v/>
      </c>
      <c r="Z990" s="7">
        <f>IF($AA990="","",Y990-W990-L990)</f>
        <v/>
      </c>
      <c r="AA990" s="13">
        <f>IF(ROWS($AA$2:$AA990)&lt;=MAX('Per Line'!$AO$2:$AO$4001),MATCH(ROWS($AA$2:$AA990),'Per Line'!$AO$2:$AO$4001,0),"")</f>
        <v/>
      </c>
      <c r="AB990" s="14">
        <f>IF($AA990="","",L990-K990*Y990/100)</f>
        <v/>
      </c>
    </row>
    <row r="991">
      <c r="A991" s="12" t="n"/>
      <c r="B991">
        <f>IF($AA991="","",INDEX('Per Line'!$E$2:$E$4001,$AA991)&amp;"")</f>
        <v/>
      </c>
      <c r="C991">
        <f>IF($AA991="","",INDEX('Per Line'!$A$2:$A$4001,$AA991)&amp;"")</f>
        <v/>
      </c>
      <c r="D991">
        <f>IF($AA991="","",INDEX('Per Line'!$D$2:$D$4001,$AA991)&amp;"")</f>
        <v/>
      </c>
      <c r="E991" s="11">
        <f>IF($AA991="","",INDEX('Per Line'!$G$2:$G$4001,$AA991))</f>
        <v/>
      </c>
      <c r="F991">
        <f>IF($AA991="","",INDEX('Per Line'!$H$2:$H$4001,$AA991)&amp;"")</f>
        <v/>
      </c>
      <c r="G991">
        <f>IF($AA991="","",INDEX('Per Line'!$I$2:$I$4001,$AA991)&amp;"")</f>
        <v/>
      </c>
      <c r="H991">
        <f>IF($AA991="","",INDEX('Per Line'!$J$2:$J$4001,$AA991)&amp;"")</f>
        <v/>
      </c>
      <c r="I991">
        <f>IF($AA991="","",INDEX('Per Line'!$K$2:$K$4001,$AA991)&amp;"")</f>
        <v/>
      </c>
      <c r="J991">
        <f>IF($AA991="","",INDEX('Per Line'!$L$2:$L$4001,$AA991)&amp;"")</f>
        <v/>
      </c>
      <c r="K991">
        <f>IF($AA991="","",INDEX('Per Line'!$P$2:$P$4001,$AA991))</f>
        <v/>
      </c>
      <c r="L991" s="7">
        <f>IF($AA991="","",IF(AND(ISNUMBER(N991),N991&gt;0,Y991&gt;N991),K991*N991/100+(Y991-N991),K991*Y991/100))</f>
        <v/>
      </c>
      <c r="M991">
        <f>IF($AA991="","",INDEX('Per Line'!$Z$2:$Z$4001,$AA991)&amp;"")</f>
        <v/>
      </c>
      <c r="N991">
        <f>IF($AA991="","",INDEX('Per Line'!$AG$2:$AG$4001,$AA991))</f>
        <v/>
      </c>
      <c r="O991">
        <f>IF($AA991="","",IF(AND(ISNUMBER(N991),N991&gt;0),Y991&gt;N991,FALSE))</f>
        <v/>
      </c>
      <c r="P991" s="7">
        <f>IF($AA991="","",SUMIFS('Per Line'!$Y$2:$Y$4001,'Per Line'!$E$2:$E$4001,$B991,'Per Line'!$AQ$2:$AQ$4001,1))</f>
        <v/>
      </c>
      <c r="Q991">
        <f>IF($AA991="","",Settings!$C$7)</f>
        <v/>
      </c>
      <c r="R991" s="7">
        <f>IF($AA991="","",SUMIFS('Per Line'!$Y$2:$Y$4001,'Per Line'!$E$2:$E$4001,$B991,'Per Line'!$AP$2:$AP$4001,0,'Per Line'!$AQ$2:$AQ$4001,0))</f>
        <v/>
      </c>
      <c r="S991" s="7">
        <f>IF($AA991="","",R991*Q991)</f>
        <v/>
      </c>
      <c r="T991">
        <f>IF($AA991="","",Settings!$C$6)</f>
        <v/>
      </c>
      <c r="U991" s="7">
        <f>IF($AA991="","",SUMIFS('Per Line'!$Y$2:$Y$4001,'Per Line'!$E$2:$E$4001,$B991,'Per Line'!$AP$2:$AP$4001,1,'Per Line'!$AQ$2:$AQ$4001,0))</f>
        <v/>
      </c>
      <c r="V991" s="7">
        <f>IF($AA991="","",U991*T991)</f>
        <v/>
      </c>
      <c r="W991" s="7">
        <f>IF($AA991="","",V991+S991)</f>
        <v/>
      </c>
      <c r="X991" s="7">
        <f>IF($AA991="","",Y991-W991)</f>
        <v/>
      </c>
      <c r="Y991" s="7">
        <f>IF($AA991="","",R991+U991+P991)</f>
        <v/>
      </c>
      <c r="Z991" s="7">
        <f>IF($AA991="","",Y991-W991-L991)</f>
        <v/>
      </c>
      <c r="AA991" s="13">
        <f>IF(ROWS($AA$2:$AA991)&lt;=MAX('Per Line'!$AO$2:$AO$4001),MATCH(ROWS($AA$2:$AA991),'Per Line'!$AO$2:$AO$4001,0),"")</f>
        <v/>
      </c>
      <c r="AB991" s="14">
        <f>IF($AA991="","",L991-K991*Y991/100)</f>
        <v/>
      </c>
    </row>
    <row r="992">
      <c r="A992" s="12" t="n"/>
      <c r="B992">
        <f>IF($AA992="","",INDEX('Per Line'!$E$2:$E$4001,$AA992)&amp;"")</f>
        <v/>
      </c>
      <c r="C992">
        <f>IF($AA992="","",INDEX('Per Line'!$A$2:$A$4001,$AA992)&amp;"")</f>
        <v/>
      </c>
      <c r="D992">
        <f>IF($AA992="","",INDEX('Per Line'!$D$2:$D$4001,$AA992)&amp;"")</f>
        <v/>
      </c>
      <c r="E992" s="11">
        <f>IF($AA992="","",INDEX('Per Line'!$G$2:$G$4001,$AA992))</f>
        <v/>
      </c>
      <c r="F992">
        <f>IF($AA992="","",INDEX('Per Line'!$H$2:$H$4001,$AA992)&amp;"")</f>
        <v/>
      </c>
      <c r="G992">
        <f>IF($AA992="","",INDEX('Per Line'!$I$2:$I$4001,$AA992)&amp;"")</f>
        <v/>
      </c>
      <c r="H992">
        <f>IF($AA992="","",INDEX('Per Line'!$J$2:$J$4001,$AA992)&amp;"")</f>
        <v/>
      </c>
      <c r="I992">
        <f>IF($AA992="","",INDEX('Per Line'!$K$2:$K$4001,$AA992)&amp;"")</f>
        <v/>
      </c>
      <c r="J992">
        <f>IF($AA992="","",INDEX('Per Line'!$L$2:$L$4001,$AA992)&amp;"")</f>
        <v/>
      </c>
      <c r="K992">
        <f>IF($AA992="","",INDEX('Per Line'!$P$2:$P$4001,$AA992))</f>
        <v/>
      </c>
      <c r="L992" s="7">
        <f>IF($AA992="","",IF(AND(ISNUMBER(N992),N992&gt;0,Y992&gt;N992),K992*N992/100+(Y992-N992),K992*Y992/100))</f>
        <v/>
      </c>
      <c r="M992">
        <f>IF($AA992="","",INDEX('Per Line'!$Z$2:$Z$4001,$AA992)&amp;"")</f>
        <v/>
      </c>
      <c r="N992">
        <f>IF($AA992="","",INDEX('Per Line'!$AG$2:$AG$4001,$AA992))</f>
        <v/>
      </c>
      <c r="O992">
        <f>IF($AA992="","",IF(AND(ISNUMBER(N992),N992&gt;0),Y992&gt;N992,FALSE))</f>
        <v/>
      </c>
      <c r="P992" s="7">
        <f>IF($AA992="","",SUMIFS('Per Line'!$Y$2:$Y$4001,'Per Line'!$E$2:$E$4001,$B992,'Per Line'!$AQ$2:$AQ$4001,1))</f>
        <v/>
      </c>
      <c r="Q992">
        <f>IF($AA992="","",Settings!$C$7)</f>
        <v/>
      </c>
      <c r="R992" s="7">
        <f>IF($AA992="","",SUMIFS('Per Line'!$Y$2:$Y$4001,'Per Line'!$E$2:$E$4001,$B992,'Per Line'!$AP$2:$AP$4001,0,'Per Line'!$AQ$2:$AQ$4001,0))</f>
        <v/>
      </c>
      <c r="S992" s="7">
        <f>IF($AA992="","",R992*Q992)</f>
        <v/>
      </c>
      <c r="T992">
        <f>IF($AA992="","",Settings!$C$6)</f>
        <v/>
      </c>
      <c r="U992" s="7">
        <f>IF($AA992="","",SUMIFS('Per Line'!$Y$2:$Y$4001,'Per Line'!$E$2:$E$4001,$B992,'Per Line'!$AP$2:$AP$4001,1,'Per Line'!$AQ$2:$AQ$4001,0))</f>
        <v/>
      </c>
      <c r="V992" s="7">
        <f>IF($AA992="","",U992*T992)</f>
        <v/>
      </c>
      <c r="W992" s="7">
        <f>IF($AA992="","",V992+S992)</f>
        <v/>
      </c>
      <c r="X992" s="7">
        <f>IF($AA992="","",Y992-W992)</f>
        <v/>
      </c>
      <c r="Y992" s="7">
        <f>IF($AA992="","",R992+U992+P992)</f>
        <v/>
      </c>
      <c r="Z992" s="7">
        <f>IF($AA992="","",Y992-W992-L992)</f>
        <v/>
      </c>
      <c r="AA992" s="13">
        <f>IF(ROWS($AA$2:$AA992)&lt;=MAX('Per Line'!$AO$2:$AO$4001),MATCH(ROWS($AA$2:$AA992),'Per Line'!$AO$2:$AO$4001,0),"")</f>
        <v/>
      </c>
      <c r="AB992" s="14">
        <f>IF($AA992="","",L992-K992*Y992/100)</f>
        <v/>
      </c>
    </row>
    <row r="993">
      <c r="A993" s="12" t="n"/>
      <c r="B993">
        <f>IF($AA993="","",INDEX('Per Line'!$E$2:$E$4001,$AA993)&amp;"")</f>
        <v/>
      </c>
      <c r="C993">
        <f>IF($AA993="","",INDEX('Per Line'!$A$2:$A$4001,$AA993)&amp;"")</f>
        <v/>
      </c>
      <c r="D993">
        <f>IF($AA993="","",INDEX('Per Line'!$D$2:$D$4001,$AA993)&amp;"")</f>
        <v/>
      </c>
      <c r="E993" s="11">
        <f>IF($AA993="","",INDEX('Per Line'!$G$2:$G$4001,$AA993))</f>
        <v/>
      </c>
      <c r="F993">
        <f>IF($AA993="","",INDEX('Per Line'!$H$2:$H$4001,$AA993)&amp;"")</f>
        <v/>
      </c>
      <c r="G993">
        <f>IF($AA993="","",INDEX('Per Line'!$I$2:$I$4001,$AA993)&amp;"")</f>
        <v/>
      </c>
      <c r="H993">
        <f>IF($AA993="","",INDEX('Per Line'!$J$2:$J$4001,$AA993)&amp;"")</f>
        <v/>
      </c>
      <c r="I993">
        <f>IF($AA993="","",INDEX('Per Line'!$K$2:$K$4001,$AA993)&amp;"")</f>
        <v/>
      </c>
      <c r="J993">
        <f>IF($AA993="","",INDEX('Per Line'!$L$2:$L$4001,$AA993)&amp;"")</f>
        <v/>
      </c>
      <c r="K993">
        <f>IF($AA993="","",INDEX('Per Line'!$P$2:$P$4001,$AA993))</f>
        <v/>
      </c>
      <c r="L993" s="7">
        <f>IF($AA993="","",IF(AND(ISNUMBER(N993),N993&gt;0,Y993&gt;N993),K993*N993/100+(Y993-N993),K993*Y993/100))</f>
        <v/>
      </c>
      <c r="M993">
        <f>IF($AA993="","",INDEX('Per Line'!$Z$2:$Z$4001,$AA993)&amp;"")</f>
        <v/>
      </c>
      <c r="N993">
        <f>IF($AA993="","",INDEX('Per Line'!$AG$2:$AG$4001,$AA993))</f>
        <v/>
      </c>
      <c r="O993">
        <f>IF($AA993="","",IF(AND(ISNUMBER(N993),N993&gt;0),Y993&gt;N993,FALSE))</f>
        <v/>
      </c>
      <c r="P993" s="7">
        <f>IF($AA993="","",SUMIFS('Per Line'!$Y$2:$Y$4001,'Per Line'!$E$2:$E$4001,$B993,'Per Line'!$AQ$2:$AQ$4001,1))</f>
        <v/>
      </c>
      <c r="Q993">
        <f>IF($AA993="","",Settings!$C$7)</f>
        <v/>
      </c>
      <c r="R993" s="7">
        <f>IF($AA993="","",SUMIFS('Per Line'!$Y$2:$Y$4001,'Per Line'!$E$2:$E$4001,$B993,'Per Line'!$AP$2:$AP$4001,0,'Per Line'!$AQ$2:$AQ$4001,0))</f>
        <v/>
      </c>
      <c r="S993" s="7">
        <f>IF($AA993="","",R993*Q993)</f>
        <v/>
      </c>
      <c r="T993">
        <f>IF($AA993="","",Settings!$C$6)</f>
        <v/>
      </c>
      <c r="U993" s="7">
        <f>IF($AA993="","",SUMIFS('Per Line'!$Y$2:$Y$4001,'Per Line'!$E$2:$E$4001,$B993,'Per Line'!$AP$2:$AP$4001,1,'Per Line'!$AQ$2:$AQ$4001,0))</f>
        <v/>
      </c>
      <c r="V993" s="7">
        <f>IF($AA993="","",U993*T993)</f>
        <v/>
      </c>
      <c r="W993" s="7">
        <f>IF($AA993="","",V993+S993)</f>
        <v/>
      </c>
      <c r="X993" s="7">
        <f>IF($AA993="","",Y993-W993)</f>
        <v/>
      </c>
      <c r="Y993" s="7">
        <f>IF($AA993="","",R993+U993+P993)</f>
        <v/>
      </c>
      <c r="Z993" s="7">
        <f>IF($AA993="","",Y993-W993-L993)</f>
        <v/>
      </c>
      <c r="AA993" s="13">
        <f>IF(ROWS($AA$2:$AA993)&lt;=MAX('Per Line'!$AO$2:$AO$4001),MATCH(ROWS($AA$2:$AA993),'Per Line'!$AO$2:$AO$4001,0),"")</f>
        <v/>
      </c>
      <c r="AB993" s="14">
        <f>IF($AA993="","",L993-K993*Y993/100)</f>
        <v/>
      </c>
    </row>
    <row r="994">
      <c r="A994" s="12" t="n"/>
      <c r="B994">
        <f>IF($AA994="","",INDEX('Per Line'!$E$2:$E$4001,$AA994)&amp;"")</f>
        <v/>
      </c>
      <c r="C994">
        <f>IF($AA994="","",INDEX('Per Line'!$A$2:$A$4001,$AA994)&amp;"")</f>
        <v/>
      </c>
      <c r="D994">
        <f>IF($AA994="","",INDEX('Per Line'!$D$2:$D$4001,$AA994)&amp;"")</f>
        <v/>
      </c>
      <c r="E994" s="11">
        <f>IF($AA994="","",INDEX('Per Line'!$G$2:$G$4001,$AA994))</f>
        <v/>
      </c>
      <c r="F994">
        <f>IF($AA994="","",INDEX('Per Line'!$H$2:$H$4001,$AA994)&amp;"")</f>
        <v/>
      </c>
      <c r="G994">
        <f>IF($AA994="","",INDEX('Per Line'!$I$2:$I$4001,$AA994)&amp;"")</f>
        <v/>
      </c>
      <c r="H994">
        <f>IF($AA994="","",INDEX('Per Line'!$J$2:$J$4001,$AA994)&amp;"")</f>
        <v/>
      </c>
      <c r="I994">
        <f>IF($AA994="","",INDEX('Per Line'!$K$2:$K$4001,$AA994)&amp;"")</f>
        <v/>
      </c>
      <c r="J994">
        <f>IF($AA994="","",INDEX('Per Line'!$L$2:$L$4001,$AA994)&amp;"")</f>
        <v/>
      </c>
      <c r="K994">
        <f>IF($AA994="","",INDEX('Per Line'!$P$2:$P$4001,$AA994))</f>
        <v/>
      </c>
      <c r="L994" s="7">
        <f>IF($AA994="","",IF(AND(ISNUMBER(N994),N994&gt;0,Y994&gt;N994),K994*N994/100+(Y994-N994),K994*Y994/100))</f>
        <v/>
      </c>
      <c r="M994">
        <f>IF($AA994="","",INDEX('Per Line'!$Z$2:$Z$4001,$AA994)&amp;"")</f>
        <v/>
      </c>
      <c r="N994">
        <f>IF($AA994="","",INDEX('Per Line'!$AG$2:$AG$4001,$AA994))</f>
        <v/>
      </c>
      <c r="O994">
        <f>IF($AA994="","",IF(AND(ISNUMBER(N994),N994&gt;0),Y994&gt;N994,FALSE))</f>
        <v/>
      </c>
      <c r="P994" s="7">
        <f>IF($AA994="","",SUMIFS('Per Line'!$Y$2:$Y$4001,'Per Line'!$E$2:$E$4001,$B994,'Per Line'!$AQ$2:$AQ$4001,1))</f>
        <v/>
      </c>
      <c r="Q994">
        <f>IF($AA994="","",Settings!$C$7)</f>
        <v/>
      </c>
      <c r="R994" s="7">
        <f>IF($AA994="","",SUMIFS('Per Line'!$Y$2:$Y$4001,'Per Line'!$E$2:$E$4001,$B994,'Per Line'!$AP$2:$AP$4001,0,'Per Line'!$AQ$2:$AQ$4001,0))</f>
        <v/>
      </c>
      <c r="S994" s="7">
        <f>IF($AA994="","",R994*Q994)</f>
        <v/>
      </c>
      <c r="T994">
        <f>IF($AA994="","",Settings!$C$6)</f>
        <v/>
      </c>
      <c r="U994" s="7">
        <f>IF($AA994="","",SUMIFS('Per Line'!$Y$2:$Y$4001,'Per Line'!$E$2:$E$4001,$B994,'Per Line'!$AP$2:$AP$4001,1,'Per Line'!$AQ$2:$AQ$4001,0))</f>
        <v/>
      </c>
      <c r="V994" s="7">
        <f>IF($AA994="","",U994*T994)</f>
        <v/>
      </c>
      <c r="W994" s="7">
        <f>IF($AA994="","",V994+S994)</f>
        <v/>
      </c>
      <c r="X994" s="7">
        <f>IF($AA994="","",Y994-W994)</f>
        <v/>
      </c>
      <c r="Y994" s="7">
        <f>IF($AA994="","",R994+U994+P994)</f>
        <v/>
      </c>
      <c r="Z994" s="7">
        <f>IF($AA994="","",Y994-W994-L994)</f>
        <v/>
      </c>
      <c r="AA994" s="13">
        <f>IF(ROWS($AA$2:$AA994)&lt;=MAX('Per Line'!$AO$2:$AO$4001),MATCH(ROWS($AA$2:$AA994),'Per Line'!$AO$2:$AO$4001,0),"")</f>
        <v/>
      </c>
      <c r="AB994" s="14">
        <f>IF($AA994="","",L994-K994*Y994/100)</f>
        <v/>
      </c>
    </row>
    <row r="995">
      <c r="A995" s="12" t="n"/>
      <c r="B995">
        <f>IF($AA995="","",INDEX('Per Line'!$E$2:$E$4001,$AA995)&amp;"")</f>
        <v/>
      </c>
      <c r="C995">
        <f>IF($AA995="","",INDEX('Per Line'!$A$2:$A$4001,$AA995)&amp;"")</f>
        <v/>
      </c>
      <c r="D995">
        <f>IF($AA995="","",INDEX('Per Line'!$D$2:$D$4001,$AA995)&amp;"")</f>
        <v/>
      </c>
      <c r="E995" s="11">
        <f>IF($AA995="","",INDEX('Per Line'!$G$2:$G$4001,$AA995))</f>
        <v/>
      </c>
      <c r="F995">
        <f>IF($AA995="","",INDEX('Per Line'!$H$2:$H$4001,$AA995)&amp;"")</f>
        <v/>
      </c>
      <c r="G995">
        <f>IF($AA995="","",INDEX('Per Line'!$I$2:$I$4001,$AA995)&amp;"")</f>
        <v/>
      </c>
      <c r="H995">
        <f>IF($AA995="","",INDEX('Per Line'!$J$2:$J$4001,$AA995)&amp;"")</f>
        <v/>
      </c>
      <c r="I995">
        <f>IF($AA995="","",INDEX('Per Line'!$K$2:$K$4001,$AA995)&amp;"")</f>
        <v/>
      </c>
      <c r="J995">
        <f>IF($AA995="","",INDEX('Per Line'!$L$2:$L$4001,$AA995)&amp;"")</f>
        <v/>
      </c>
      <c r="K995">
        <f>IF($AA995="","",INDEX('Per Line'!$P$2:$P$4001,$AA995))</f>
        <v/>
      </c>
      <c r="L995" s="7">
        <f>IF($AA995="","",IF(AND(ISNUMBER(N995),N995&gt;0,Y995&gt;N995),K995*N995/100+(Y995-N995),K995*Y995/100))</f>
        <v/>
      </c>
      <c r="M995">
        <f>IF($AA995="","",INDEX('Per Line'!$Z$2:$Z$4001,$AA995)&amp;"")</f>
        <v/>
      </c>
      <c r="N995">
        <f>IF($AA995="","",INDEX('Per Line'!$AG$2:$AG$4001,$AA995))</f>
        <v/>
      </c>
      <c r="O995">
        <f>IF($AA995="","",IF(AND(ISNUMBER(N995),N995&gt;0),Y995&gt;N995,FALSE))</f>
        <v/>
      </c>
      <c r="P995" s="7">
        <f>IF($AA995="","",SUMIFS('Per Line'!$Y$2:$Y$4001,'Per Line'!$E$2:$E$4001,$B995,'Per Line'!$AQ$2:$AQ$4001,1))</f>
        <v/>
      </c>
      <c r="Q995">
        <f>IF($AA995="","",Settings!$C$7)</f>
        <v/>
      </c>
      <c r="R995" s="7">
        <f>IF($AA995="","",SUMIFS('Per Line'!$Y$2:$Y$4001,'Per Line'!$E$2:$E$4001,$B995,'Per Line'!$AP$2:$AP$4001,0,'Per Line'!$AQ$2:$AQ$4001,0))</f>
        <v/>
      </c>
      <c r="S995" s="7">
        <f>IF($AA995="","",R995*Q995)</f>
        <v/>
      </c>
      <c r="T995">
        <f>IF($AA995="","",Settings!$C$6)</f>
        <v/>
      </c>
      <c r="U995" s="7">
        <f>IF($AA995="","",SUMIFS('Per Line'!$Y$2:$Y$4001,'Per Line'!$E$2:$E$4001,$B995,'Per Line'!$AP$2:$AP$4001,1,'Per Line'!$AQ$2:$AQ$4001,0))</f>
        <v/>
      </c>
      <c r="V995" s="7">
        <f>IF($AA995="","",U995*T995)</f>
        <v/>
      </c>
      <c r="W995" s="7">
        <f>IF($AA995="","",V995+S995)</f>
        <v/>
      </c>
      <c r="X995" s="7">
        <f>IF($AA995="","",Y995-W995)</f>
        <v/>
      </c>
      <c r="Y995" s="7">
        <f>IF($AA995="","",R995+U995+P995)</f>
        <v/>
      </c>
      <c r="Z995" s="7">
        <f>IF($AA995="","",Y995-W995-L995)</f>
        <v/>
      </c>
      <c r="AA995" s="13">
        <f>IF(ROWS($AA$2:$AA995)&lt;=MAX('Per Line'!$AO$2:$AO$4001),MATCH(ROWS($AA$2:$AA995),'Per Line'!$AO$2:$AO$4001,0),"")</f>
        <v/>
      </c>
      <c r="AB995" s="14">
        <f>IF($AA995="","",L995-K995*Y995/100)</f>
        <v/>
      </c>
    </row>
    <row r="996">
      <c r="A996" s="12" t="n"/>
      <c r="B996">
        <f>IF($AA996="","",INDEX('Per Line'!$E$2:$E$4001,$AA996)&amp;"")</f>
        <v/>
      </c>
      <c r="C996">
        <f>IF($AA996="","",INDEX('Per Line'!$A$2:$A$4001,$AA996)&amp;"")</f>
        <v/>
      </c>
      <c r="D996">
        <f>IF($AA996="","",INDEX('Per Line'!$D$2:$D$4001,$AA996)&amp;"")</f>
        <v/>
      </c>
      <c r="E996" s="11">
        <f>IF($AA996="","",INDEX('Per Line'!$G$2:$G$4001,$AA996))</f>
        <v/>
      </c>
      <c r="F996">
        <f>IF($AA996="","",INDEX('Per Line'!$H$2:$H$4001,$AA996)&amp;"")</f>
        <v/>
      </c>
      <c r="G996">
        <f>IF($AA996="","",INDEX('Per Line'!$I$2:$I$4001,$AA996)&amp;"")</f>
        <v/>
      </c>
      <c r="H996">
        <f>IF($AA996="","",INDEX('Per Line'!$J$2:$J$4001,$AA996)&amp;"")</f>
        <v/>
      </c>
      <c r="I996">
        <f>IF($AA996="","",INDEX('Per Line'!$K$2:$K$4001,$AA996)&amp;"")</f>
        <v/>
      </c>
      <c r="J996">
        <f>IF($AA996="","",INDEX('Per Line'!$L$2:$L$4001,$AA996)&amp;"")</f>
        <v/>
      </c>
      <c r="K996">
        <f>IF($AA996="","",INDEX('Per Line'!$P$2:$P$4001,$AA996))</f>
        <v/>
      </c>
      <c r="L996" s="7">
        <f>IF($AA996="","",IF(AND(ISNUMBER(N996),N996&gt;0,Y996&gt;N996),K996*N996/100+(Y996-N996),K996*Y996/100))</f>
        <v/>
      </c>
      <c r="M996">
        <f>IF($AA996="","",INDEX('Per Line'!$Z$2:$Z$4001,$AA996)&amp;"")</f>
        <v/>
      </c>
      <c r="N996">
        <f>IF($AA996="","",INDEX('Per Line'!$AG$2:$AG$4001,$AA996))</f>
        <v/>
      </c>
      <c r="O996">
        <f>IF($AA996="","",IF(AND(ISNUMBER(N996),N996&gt;0),Y996&gt;N996,FALSE))</f>
        <v/>
      </c>
      <c r="P996" s="7">
        <f>IF($AA996="","",SUMIFS('Per Line'!$Y$2:$Y$4001,'Per Line'!$E$2:$E$4001,$B996,'Per Line'!$AQ$2:$AQ$4001,1))</f>
        <v/>
      </c>
      <c r="Q996">
        <f>IF($AA996="","",Settings!$C$7)</f>
        <v/>
      </c>
      <c r="R996" s="7">
        <f>IF($AA996="","",SUMIFS('Per Line'!$Y$2:$Y$4001,'Per Line'!$E$2:$E$4001,$B996,'Per Line'!$AP$2:$AP$4001,0,'Per Line'!$AQ$2:$AQ$4001,0))</f>
        <v/>
      </c>
      <c r="S996" s="7">
        <f>IF($AA996="","",R996*Q996)</f>
        <v/>
      </c>
      <c r="T996">
        <f>IF($AA996="","",Settings!$C$6)</f>
        <v/>
      </c>
      <c r="U996" s="7">
        <f>IF($AA996="","",SUMIFS('Per Line'!$Y$2:$Y$4001,'Per Line'!$E$2:$E$4001,$B996,'Per Line'!$AP$2:$AP$4001,1,'Per Line'!$AQ$2:$AQ$4001,0))</f>
        <v/>
      </c>
      <c r="V996" s="7">
        <f>IF($AA996="","",U996*T996)</f>
        <v/>
      </c>
      <c r="W996" s="7">
        <f>IF($AA996="","",V996+S996)</f>
        <v/>
      </c>
      <c r="X996" s="7">
        <f>IF($AA996="","",Y996-W996)</f>
        <v/>
      </c>
      <c r="Y996" s="7">
        <f>IF($AA996="","",R996+U996+P996)</f>
        <v/>
      </c>
      <c r="Z996" s="7">
        <f>IF($AA996="","",Y996-W996-L996)</f>
        <v/>
      </c>
      <c r="AA996" s="13">
        <f>IF(ROWS($AA$2:$AA996)&lt;=MAX('Per Line'!$AO$2:$AO$4001),MATCH(ROWS($AA$2:$AA996),'Per Line'!$AO$2:$AO$4001,0),"")</f>
        <v/>
      </c>
      <c r="AB996" s="14">
        <f>IF($AA996="","",L996-K996*Y996/100)</f>
        <v/>
      </c>
    </row>
    <row r="997">
      <c r="A997" s="12" t="n"/>
      <c r="B997">
        <f>IF($AA997="","",INDEX('Per Line'!$E$2:$E$4001,$AA997)&amp;"")</f>
        <v/>
      </c>
      <c r="C997">
        <f>IF($AA997="","",INDEX('Per Line'!$A$2:$A$4001,$AA997)&amp;"")</f>
        <v/>
      </c>
      <c r="D997">
        <f>IF($AA997="","",INDEX('Per Line'!$D$2:$D$4001,$AA997)&amp;"")</f>
        <v/>
      </c>
      <c r="E997" s="11">
        <f>IF($AA997="","",INDEX('Per Line'!$G$2:$G$4001,$AA997))</f>
        <v/>
      </c>
      <c r="F997">
        <f>IF($AA997="","",INDEX('Per Line'!$H$2:$H$4001,$AA997)&amp;"")</f>
        <v/>
      </c>
      <c r="G997">
        <f>IF($AA997="","",INDEX('Per Line'!$I$2:$I$4001,$AA997)&amp;"")</f>
        <v/>
      </c>
      <c r="H997">
        <f>IF($AA997="","",INDEX('Per Line'!$J$2:$J$4001,$AA997)&amp;"")</f>
        <v/>
      </c>
      <c r="I997">
        <f>IF($AA997="","",INDEX('Per Line'!$K$2:$K$4001,$AA997)&amp;"")</f>
        <v/>
      </c>
      <c r="J997">
        <f>IF($AA997="","",INDEX('Per Line'!$L$2:$L$4001,$AA997)&amp;"")</f>
        <v/>
      </c>
      <c r="K997">
        <f>IF($AA997="","",INDEX('Per Line'!$P$2:$P$4001,$AA997))</f>
        <v/>
      </c>
      <c r="L997" s="7">
        <f>IF($AA997="","",IF(AND(ISNUMBER(N997),N997&gt;0,Y997&gt;N997),K997*N997/100+(Y997-N997),K997*Y997/100))</f>
        <v/>
      </c>
      <c r="M997">
        <f>IF($AA997="","",INDEX('Per Line'!$Z$2:$Z$4001,$AA997)&amp;"")</f>
        <v/>
      </c>
      <c r="N997">
        <f>IF($AA997="","",INDEX('Per Line'!$AG$2:$AG$4001,$AA997))</f>
        <v/>
      </c>
      <c r="O997">
        <f>IF($AA997="","",IF(AND(ISNUMBER(N997),N997&gt;0),Y997&gt;N997,FALSE))</f>
        <v/>
      </c>
      <c r="P997" s="7">
        <f>IF($AA997="","",SUMIFS('Per Line'!$Y$2:$Y$4001,'Per Line'!$E$2:$E$4001,$B997,'Per Line'!$AQ$2:$AQ$4001,1))</f>
        <v/>
      </c>
      <c r="Q997">
        <f>IF($AA997="","",Settings!$C$7)</f>
        <v/>
      </c>
      <c r="R997" s="7">
        <f>IF($AA997="","",SUMIFS('Per Line'!$Y$2:$Y$4001,'Per Line'!$E$2:$E$4001,$B997,'Per Line'!$AP$2:$AP$4001,0,'Per Line'!$AQ$2:$AQ$4001,0))</f>
        <v/>
      </c>
      <c r="S997" s="7">
        <f>IF($AA997="","",R997*Q997)</f>
        <v/>
      </c>
      <c r="T997">
        <f>IF($AA997="","",Settings!$C$6)</f>
        <v/>
      </c>
      <c r="U997" s="7">
        <f>IF($AA997="","",SUMIFS('Per Line'!$Y$2:$Y$4001,'Per Line'!$E$2:$E$4001,$B997,'Per Line'!$AP$2:$AP$4001,1,'Per Line'!$AQ$2:$AQ$4001,0))</f>
        <v/>
      </c>
      <c r="V997" s="7">
        <f>IF($AA997="","",U997*T997)</f>
        <v/>
      </c>
      <c r="W997" s="7">
        <f>IF($AA997="","",V997+S997)</f>
        <v/>
      </c>
      <c r="X997" s="7">
        <f>IF($AA997="","",Y997-W997)</f>
        <v/>
      </c>
      <c r="Y997" s="7">
        <f>IF($AA997="","",R997+U997+P997)</f>
        <v/>
      </c>
      <c r="Z997" s="7">
        <f>IF($AA997="","",Y997-W997-L997)</f>
        <v/>
      </c>
      <c r="AA997" s="13">
        <f>IF(ROWS($AA$2:$AA997)&lt;=MAX('Per Line'!$AO$2:$AO$4001),MATCH(ROWS($AA$2:$AA997),'Per Line'!$AO$2:$AO$4001,0),"")</f>
        <v/>
      </c>
      <c r="AB997" s="14">
        <f>IF($AA997="","",L997-K997*Y997/100)</f>
        <v/>
      </c>
    </row>
    <row r="998">
      <c r="A998" s="12" t="n"/>
      <c r="B998">
        <f>IF($AA998="","",INDEX('Per Line'!$E$2:$E$4001,$AA998)&amp;"")</f>
        <v/>
      </c>
      <c r="C998">
        <f>IF($AA998="","",INDEX('Per Line'!$A$2:$A$4001,$AA998)&amp;"")</f>
        <v/>
      </c>
      <c r="D998">
        <f>IF($AA998="","",INDEX('Per Line'!$D$2:$D$4001,$AA998)&amp;"")</f>
        <v/>
      </c>
      <c r="E998" s="11">
        <f>IF($AA998="","",INDEX('Per Line'!$G$2:$G$4001,$AA998))</f>
        <v/>
      </c>
      <c r="F998">
        <f>IF($AA998="","",INDEX('Per Line'!$H$2:$H$4001,$AA998)&amp;"")</f>
        <v/>
      </c>
      <c r="G998">
        <f>IF($AA998="","",INDEX('Per Line'!$I$2:$I$4001,$AA998)&amp;"")</f>
        <v/>
      </c>
      <c r="H998">
        <f>IF($AA998="","",INDEX('Per Line'!$J$2:$J$4001,$AA998)&amp;"")</f>
        <v/>
      </c>
      <c r="I998">
        <f>IF($AA998="","",INDEX('Per Line'!$K$2:$K$4001,$AA998)&amp;"")</f>
        <v/>
      </c>
      <c r="J998">
        <f>IF($AA998="","",INDEX('Per Line'!$L$2:$L$4001,$AA998)&amp;"")</f>
        <v/>
      </c>
      <c r="K998">
        <f>IF($AA998="","",INDEX('Per Line'!$P$2:$P$4001,$AA998))</f>
        <v/>
      </c>
      <c r="L998" s="7">
        <f>IF($AA998="","",IF(AND(ISNUMBER(N998),N998&gt;0,Y998&gt;N998),K998*N998/100+(Y998-N998),K998*Y998/100))</f>
        <v/>
      </c>
      <c r="M998">
        <f>IF($AA998="","",INDEX('Per Line'!$Z$2:$Z$4001,$AA998)&amp;"")</f>
        <v/>
      </c>
      <c r="N998">
        <f>IF($AA998="","",INDEX('Per Line'!$AG$2:$AG$4001,$AA998))</f>
        <v/>
      </c>
      <c r="O998">
        <f>IF($AA998="","",IF(AND(ISNUMBER(N998),N998&gt;0),Y998&gt;N998,FALSE))</f>
        <v/>
      </c>
      <c r="P998" s="7">
        <f>IF($AA998="","",SUMIFS('Per Line'!$Y$2:$Y$4001,'Per Line'!$E$2:$E$4001,$B998,'Per Line'!$AQ$2:$AQ$4001,1))</f>
        <v/>
      </c>
      <c r="Q998">
        <f>IF($AA998="","",Settings!$C$7)</f>
        <v/>
      </c>
      <c r="R998" s="7">
        <f>IF($AA998="","",SUMIFS('Per Line'!$Y$2:$Y$4001,'Per Line'!$E$2:$E$4001,$B998,'Per Line'!$AP$2:$AP$4001,0,'Per Line'!$AQ$2:$AQ$4001,0))</f>
        <v/>
      </c>
      <c r="S998" s="7">
        <f>IF($AA998="","",R998*Q998)</f>
        <v/>
      </c>
      <c r="T998">
        <f>IF($AA998="","",Settings!$C$6)</f>
        <v/>
      </c>
      <c r="U998" s="7">
        <f>IF($AA998="","",SUMIFS('Per Line'!$Y$2:$Y$4001,'Per Line'!$E$2:$E$4001,$B998,'Per Line'!$AP$2:$AP$4001,1,'Per Line'!$AQ$2:$AQ$4001,0))</f>
        <v/>
      </c>
      <c r="V998" s="7">
        <f>IF($AA998="","",U998*T998)</f>
        <v/>
      </c>
      <c r="W998" s="7">
        <f>IF($AA998="","",V998+S998)</f>
        <v/>
      </c>
      <c r="X998" s="7">
        <f>IF($AA998="","",Y998-W998)</f>
        <v/>
      </c>
      <c r="Y998" s="7">
        <f>IF($AA998="","",R998+U998+P998)</f>
        <v/>
      </c>
      <c r="Z998" s="7">
        <f>IF($AA998="","",Y998-W998-L998)</f>
        <v/>
      </c>
      <c r="AA998" s="13">
        <f>IF(ROWS($AA$2:$AA998)&lt;=MAX('Per Line'!$AO$2:$AO$4001),MATCH(ROWS($AA$2:$AA998),'Per Line'!$AO$2:$AO$4001,0),"")</f>
        <v/>
      </c>
      <c r="AB998" s="14">
        <f>IF($AA998="","",L998-K998*Y998/100)</f>
        <v/>
      </c>
    </row>
    <row r="999">
      <c r="A999" s="12" t="n"/>
      <c r="B999">
        <f>IF($AA999="","",INDEX('Per Line'!$E$2:$E$4001,$AA999)&amp;"")</f>
        <v/>
      </c>
      <c r="C999">
        <f>IF($AA999="","",INDEX('Per Line'!$A$2:$A$4001,$AA999)&amp;"")</f>
        <v/>
      </c>
      <c r="D999">
        <f>IF($AA999="","",INDEX('Per Line'!$D$2:$D$4001,$AA999)&amp;"")</f>
        <v/>
      </c>
      <c r="E999" s="11">
        <f>IF($AA999="","",INDEX('Per Line'!$G$2:$G$4001,$AA999))</f>
        <v/>
      </c>
      <c r="F999">
        <f>IF($AA999="","",INDEX('Per Line'!$H$2:$H$4001,$AA999)&amp;"")</f>
        <v/>
      </c>
      <c r="G999">
        <f>IF($AA999="","",INDEX('Per Line'!$I$2:$I$4001,$AA999)&amp;"")</f>
        <v/>
      </c>
      <c r="H999">
        <f>IF($AA999="","",INDEX('Per Line'!$J$2:$J$4001,$AA999)&amp;"")</f>
        <v/>
      </c>
      <c r="I999">
        <f>IF($AA999="","",INDEX('Per Line'!$K$2:$K$4001,$AA999)&amp;"")</f>
        <v/>
      </c>
      <c r="J999">
        <f>IF($AA999="","",INDEX('Per Line'!$L$2:$L$4001,$AA999)&amp;"")</f>
        <v/>
      </c>
      <c r="K999">
        <f>IF($AA999="","",INDEX('Per Line'!$P$2:$P$4001,$AA999))</f>
        <v/>
      </c>
      <c r="L999" s="7">
        <f>IF($AA999="","",IF(AND(ISNUMBER(N999),N999&gt;0,Y999&gt;N999),K999*N999/100+(Y999-N999),K999*Y999/100))</f>
        <v/>
      </c>
      <c r="M999">
        <f>IF($AA999="","",INDEX('Per Line'!$Z$2:$Z$4001,$AA999)&amp;"")</f>
        <v/>
      </c>
      <c r="N999">
        <f>IF($AA999="","",INDEX('Per Line'!$AG$2:$AG$4001,$AA999))</f>
        <v/>
      </c>
      <c r="O999">
        <f>IF($AA999="","",IF(AND(ISNUMBER(N999),N999&gt;0),Y999&gt;N999,FALSE))</f>
        <v/>
      </c>
      <c r="P999" s="7">
        <f>IF($AA999="","",SUMIFS('Per Line'!$Y$2:$Y$4001,'Per Line'!$E$2:$E$4001,$B999,'Per Line'!$AQ$2:$AQ$4001,1))</f>
        <v/>
      </c>
      <c r="Q999">
        <f>IF($AA999="","",Settings!$C$7)</f>
        <v/>
      </c>
      <c r="R999" s="7">
        <f>IF($AA999="","",SUMIFS('Per Line'!$Y$2:$Y$4001,'Per Line'!$E$2:$E$4001,$B999,'Per Line'!$AP$2:$AP$4001,0,'Per Line'!$AQ$2:$AQ$4001,0))</f>
        <v/>
      </c>
      <c r="S999" s="7">
        <f>IF($AA999="","",R999*Q999)</f>
        <v/>
      </c>
      <c r="T999">
        <f>IF($AA999="","",Settings!$C$6)</f>
        <v/>
      </c>
      <c r="U999" s="7">
        <f>IF($AA999="","",SUMIFS('Per Line'!$Y$2:$Y$4001,'Per Line'!$E$2:$E$4001,$B999,'Per Line'!$AP$2:$AP$4001,1,'Per Line'!$AQ$2:$AQ$4001,0))</f>
        <v/>
      </c>
      <c r="V999" s="7">
        <f>IF($AA999="","",U999*T999)</f>
        <v/>
      </c>
      <c r="W999" s="7">
        <f>IF($AA999="","",V999+S999)</f>
        <v/>
      </c>
      <c r="X999" s="7">
        <f>IF($AA999="","",Y999-W999)</f>
        <v/>
      </c>
      <c r="Y999" s="7">
        <f>IF($AA999="","",R999+U999+P999)</f>
        <v/>
      </c>
      <c r="Z999" s="7">
        <f>IF($AA999="","",Y999-W999-L999)</f>
        <v/>
      </c>
      <c r="AA999" s="13">
        <f>IF(ROWS($AA$2:$AA999)&lt;=MAX('Per Line'!$AO$2:$AO$4001),MATCH(ROWS($AA$2:$AA999),'Per Line'!$AO$2:$AO$4001,0),"")</f>
        <v/>
      </c>
      <c r="AB999" s="14">
        <f>IF($AA999="","",L999-K999*Y999/100)</f>
        <v/>
      </c>
    </row>
    <row r="1000">
      <c r="A1000" s="12" t="n"/>
      <c r="B1000">
        <f>IF($AA1000="","",INDEX('Per Line'!$E$2:$E$4001,$AA1000)&amp;"")</f>
        <v/>
      </c>
      <c r="C1000">
        <f>IF($AA1000="","",INDEX('Per Line'!$A$2:$A$4001,$AA1000)&amp;"")</f>
        <v/>
      </c>
      <c r="D1000">
        <f>IF($AA1000="","",INDEX('Per Line'!$D$2:$D$4001,$AA1000)&amp;"")</f>
        <v/>
      </c>
      <c r="E1000" s="11">
        <f>IF($AA1000="","",INDEX('Per Line'!$G$2:$G$4001,$AA1000))</f>
        <v/>
      </c>
      <c r="F1000">
        <f>IF($AA1000="","",INDEX('Per Line'!$H$2:$H$4001,$AA1000)&amp;"")</f>
        <v/>
      </c>
      <c r="G1000">
        <f>IF($AA1000="","",INDEX('Per Line'!$I$2:$I$4001,$AA1000)&amp;"")</f>
        <v/>
      </c>
      <c r="H1000">
        <f>IF($AA1000="","",INDEX('Per Line'!$J$2:$J$4001,$AA1000)&amp;"")</f>
        <v/>
      </c>
      <c r="I1000">
        <f>IF($AA1000="","",INDEX('Per Line'!$K$2:$K$4001,$AA1000)&amp;"")</f>
        <v/>
      </c>
      <c r="J1000">
        <f>IF($AA1000="","",INDEX('Per Line'!$L$2:$L$4001,$AA1000)&amp;"")</f>
        <v/>
      </c>
      <c r="K1000">
        <f>IF($AA1000="","",INDEX('Per Line'!$P$2:$P$4001,$AA1000))</f>
        <v/>
      </c>
      <c r="L1000" s="7">
        <f>IF($AA1000="","",IF(AND(ISNUMBER(N1000),N1000&gt;0,Y1000&gt;N1000),K1000*N1000/100+(Y1000-N1000),K1000*Y1000/100))</f>
        <v/>
      </c>
      <c r="M1000">
        <f>IF($AA1000="","",INDEX('Per Line'!$Z$2:$Z$4001,$AA1000)&amp;"")</f>
        <v/>
      </c>
      <c r="N1000">
        <f>IF($AA1000="","",INDEX('Per Line'!$AG$2:$AG$4001,$AA1000))</f>
        <v/>
      </c>
      <c r="O1000">
        <f>IF($AA1000="","",IF(AND(ISNUMBER(N1000),N1000&gt;0),Y1000&gt;N1000,FALSE))</f>
        <v/>
      </c>
      <c r="P1000" s="7">
        <f>IF($AA1000="","",SUMIFS('Per Line'!$Y$2:$Y$4001,'Per Line'!$E$2:$E$4001,$B1000,'Per Line'!$AQ$2:$AQ$4001,1))</f>
        <v/>
      </c>
      <c r="Q1000">
        <f>IF($AA1000="","",Settings!$C$7)</f>
        <v/>
      </c>
      <c r="R1000" s="7">
        <f>IF($AA1000="","",SUMIFS('Per Line'!$Y$2:$Y$4001,'Per Line'!$E$2:$E$4001,$B1000,'Per Line'!$AP$2:$AP$4001,0,'Per Line'!$AQ$2:$AQ$4001,0))</f>
        <v/>
      </c>
      <c r="S1000" s="7">
        <f>IF($AA1000="","",R1000*Q1000)</f>
        <v/>
      </c>
      <c r="T1000">
        <f>IF($AA1000="","",Settings!$C$6)</f>
        <v/>
      </c>
      <c r="U1000" s="7">
        <f>IF($AA1000="","",SUMIFS('Per Line'!$Y$2:$Y$4001,'Per Line'!$E$2:$E$4001,$B1000,'Per Line'!$AP$2:$AP$4001,1,'Per Line'!$AQ$2:$AQ$4001,0))</f>
        <v/>
      </c>
      <c r="V1000" s="7">
        <f>IF($AA1000="","",U1000*T1000)</f>
        <v/>
      </c>
      <c r="W1000" s="7">
        <f>IF($AA1000="","",V1000+S1000)</f>
        <v/>
      </c>
      <c r="X1000" s="7">
        <f>IF($AA1000="","",Y1000-W1000)</f>
        <v/>
      </c>
      <c r="Y1000" s="7">
        <f>IF($AA1000="","",R1000+U1000+P1000)</f>
        <v/>
      </c>
      <c r="Z1000" s="7">
        <f>IF($AA1000="","",Y1000-W1000-L1000)</f>
        <v/>
      </c>
      <c r="AA1000" s="13">
        <f>IF(ROWS($AA$2:$AA1000)&lt;=MAX('Per Line'!$AO$2:$AO$4001),MATCH(ROWS($AA$2:$AA1000),'Per Line'!$AO$2:$AO$4001,0),"")</f>
        <v/>
      </c>
      <c r="AB1000" s="14">
        <f>IF($AA1000="","",L1000-K1000*Y1000/100)</f>
        <v/>
      </c>
    </row>
    <row r="1001">
      <c r="A1001" s="12" t="n"/>
      <c r="B1001">
        <f>IF($AA1001="","",INDEX('Per Line'!$E$2:$E$4001,$AA1001)&amp;"")</f>
        <v/>
      </c>
      <c r="C1001">
        <f>IF($AA1001="","",INDEX('Per Line'!$A$2:$A$4001,$AA1001)&amp;"")</f>
        <v/>
      </c>
      <c r="D1001">
        <f>IF($AA1001="","",INDEX('Per Line'!$D$2:$D$4001,$AA1001)&amp;"")</f>
        <v/>
      </c>
      <c r="E1001" s="11">
        <f>IF($AA1001="","",INDEX('Per Line'!$G$2:$G$4001,$AA1001))</f>
        <v/>
      </c>
      <c r="F1001">
        <f>IF($AA1001="","",INDEX('Per Line'!$H$2:$H$4001,$AA1001)&amp;"")</f>
        <v/>
      </c>
      <c r="G1001">
        <f>IF($AA1001="","",INDEX('Per Line'!$I$2:$I$4001,$AA1001)&amp;"")</f>
        <v/>
      </c>
      <c r="H1001">
        <f>IF($AA1001="","",INDEX('Per Line'!$J$2:$J$4001,$AA1001)&amp;"")</f>
        <v/>
      </c>
      <c r="I1001">
        <f>IF($AA1001="","",INDEX('Per Line'!$K$2:$K$4001,$AA1001)&amp;"")</f>
        <v/>
      </c>
      <c r="J1001">
        <f>IF($AA1001="","",INDEX('Per Line'!$L$2:$L$4001,$AA1001)&amp;"")</f>
        <v/>
      </c>
      <c r="K1001">
        <f>IF($AA1001="","",INDEX('Per Line'!$P$2:$P$4001,$AA1001))</f>
        <v/>
      </c>
      <c r="L1001" s="7">
        <f>IF($AA1001="","",IF(AND(ISNUMBER(N1001),N1001&gt;0,Y1001&gt;N1001),K1001*N1001/100+(Y1001-N1001),K1001*Y1001/100))</f>
        <v/>
      </c>
      <c r="M1001">
        <f>IF($AA1001="","",INDEX('Per Line'!$Z$2:$Z$4001,$AA1001)&amp;"")</f>
        <v/>
      </c>
      <c r="N1001">
        <f>IF($AA1001="","",INDEX('Per Line'!$AG$2:$AG$4001,$AA1001))</f>
        <v/>
      </c>
      <c r="O1001">
        <f>IF($AA1001="","",IF(AND(ISNUMBER(N1001),N1001&gt;0),Y1001&gt;N1001,FALSE))</f>
        <v/>
      </c>
      <c r="P1001" s="7">
        <f>IF($AA1001="","",SUMIFS('Per Line'!$Y$2:$Y$4001,'Per Line'!$E$2:$E$4001,$B1001,'Per Line'!$AQ$2:$AQ$4001,1))</f>
        <v/>
      </c>
      <c r="Q1001">
        <f>IF($AA1001="","",Settings!$C$7)</f>
        <v/>
      </c>
      <c r="R1001" s="7">
        <f>IF($AA1001="","",SUMIFS('Per Line'!$Y$2:$Y$4001,'Per Line'!$E$2:$E$4001,$B1001,'Per Line'!$AP$2:$AP$4001,0,'Per Line'!$AQ$2:$AQ$4001,0))</f>
        <v/>
      </c>
      <c r="S1001" s="7">
        <f>IF($AA1001="","",R1001*Q1001)</f>
        <v/>
      </c>
      <c r="T1001">
        <f>IF($AA1001="","",Settings!$C$6)</f>
        <v/>
      </c>
      <c r="U1001" s="7">
        <f>IF($AA1001="","",SUMIFS('Per Line'!$Y$2:$Y$4001,'Per Line'!$E$2:$E$4001,$B1001,'Per Line'!$AP$2:$AP$4001,1,'Per Line'!$AQ$2:$AQ$4001,0))</f>
        <v/>
      </c>
      <c r="V1001" s="7">
        <f>IF($AA1001="","",U1001*T1001)</f>
        <v/>
      </c>
      <c r="W1001" s="7">
        <f>IF($AA1001="","",V1001+S1001)</f>
        <v/>
      </c>
      <c r="X1001" s="7">
        <f>IF($AA1001="","",Y1001-W1001)</f>
        <v/>
      </c>
      <c r="Y1001" s="7">
        <f>IF($AA1001="","",R1001+U1001+P1001)</f>
        <v/>
      </c>
      <c r="Z1001" s="7">
        <f>IF($AA1001="","",Y1001-W1001-L1001)</f>
        <v/>
      </c>
      <c r="AA1001" s="13">
        <f>IF(ROWS($AA$2:$AA1001)&lt;=MAX('Per Line'!$AO$2:$AO$4001),MATCH(ROWS($AA$2:$AA1001),'Per Line'!$AO$2:$AO$4001,0),"")</f>
        <v/>
      </c>
      <c r="AB1001" s="14">
        <f>IF($AA1001="","",L1001-K1001*Y1001/100)</f>
        <v/>
      </c>
    </row>
    <row r="1002">
      <c r="A1002" s="12" t="n"/>
      <c r="B1002">
        <f>IF($AA1002="","",INDEX('Per Line'!$E$2:$E$4001,$AA1002)&amp;"")</f>
        <v/>
      </c>
      <c r="C1002">
        <f>IF($AA1002="","",INDEX('Per Line'!$A$2:$A$4001,$AA1002)&amp;"")</f>
        <v/>
      </c>
      <c r="D1002">
        <f>IF($AA1002="","",INDEX('Per Line'!$D$2:$D$4001,$AA1002)&amp;"")</f>
        <v/>
      </c>
      <c r="E1002" s="11">
        <f>IF($AA1002="","",INDEX('Per Line'!$G$2:$G$4001,$AA1002))</f>
        <v/>
      </c>
      <c r="F1002">
        <f>IF($AA1002="","",INDEX('Per Line'!$H$2:$H$4001,$AA1002)&amp;"")</f>
        <v/>
      </c>
      <c r="G1002">
        <f>IF($AA1002="","",INDEX('Per Line'!$I$2:$I$4001,$AA1002)&amp;"")</f>
        <v/>
      </c>
      <c r="H1002">
        <f>IF($AA1002="","",INDEX('Per Line'!$J$2:$J$4001,$AA1002)&amp;"")</f>
        <v/>
      </c>
      <c r="I1002">
        <f>IF($AA1002="","",INDEX('Per Line'!$K$2:$K$4001,$AA1002)&amp;"")</f>
        <v/>
      </c>
      <c r="J1002">
        <f>IF($AA1002="","",INDEX('Per Line'!$L$2:$L$4001,$AA1002)&amp;"")</f>
        <v/>
      </c>
      <c r="K1002">
        <f>IF($AA1002="","",INDEX('Per Line'!$P$2:$P$4001,$AA1002))</f>
        <v/>
      </c>
      <c r="L1002" s="7">
        <f>IF($AA1002="","",IF(AND(ISNUMBER(N1002),N1002&gt;0,Y1002&gt;N1002),K1002*N1002/100+(Y1002-N1002),K1002*Y1002/100))</f>
        <v/>
      </c>
      <c r="M1002">
        <f>IF($AA1002="","",INDEX('Per Line'!$Z$2:$Z$4001,$AA1002)&amp;"")</f>
        <v/>
      </c>
      <c r="N1002">
        <f>IF($AA1002="","",INDEX('Per Line'!$AG$2:$AG$4001,$AA1002))</f>
        <v/>
      </c>
      <c r="O1002">
        <f>IF($AA1002="","",IF(AND(ISNUMBER(N1002),N1002&gt;0),Y1002&gt;N1002,FALSE))</f>
        <v/>
      </c>
      <c r="P1002" s="7">
        <f>IF($AA1002="","",SUMIFS('Per Line'!$Y$2:$Y$4001,'Per Line'!$E$2:$E$4001,$B1002,'Per Line'!$AQ$2:$AQ$4001,1))</f>
        <v/>
      </c>
      <c r="Q1002">
        <f>IF($AA1002="","",Settings!$C$7)</f>
        <v/>
      </c>
      <c r="R1002" s="7">
        <f>IF($AA1002="","",SUMIFS('Per Line'!$Y$2:$Y$4001,'Per Line'!$E$2:$E$4001,$B1002,'Per Line'!$AP$2:$AP$4001,0,'Per Line'!$AQ$2:$AQ$4001,0))</f>
        <v/>
      </c>
      <c r="S1002" s="7">
        <f>IF($AA1002="","",R1002*Q1002)</f>
        <v/>
      </c>
      <c r="T1002">
        <f>IF($AA1002="","",Settings!$C$6)</f>
        <v/>
      </c>
      <c r="U1002" s="7">
        <f>IF($AA1002="","",SUMIFS('Per Line'!$Y$2:$Y$4001,'Per Line'!$E$2:$E$4001,$B1002,'Per Line'!$AP$2:$AP$4001,1,'Per Line'!$AQ$2:$AQ$4001,0))</f>
        <v/>
      </c>
      <c r="V1002" s="7">
        <f>IF($AA1002="","",U1002*T1002)</f>
        <v/>
      </c>
      <c r="W1002" s="7">
        <f>IF($AA1002="","",V1002+S1002)</f>
        <v/>
      </c>
      <c r="X1002" s="7">
        <f>IF($AA1002="","",Y1002-W1002)</f>
        <v/>
      </c>
      <c r="Y1002" s="7">
        <f>IF($AA1002="","",R1002+U1002+P1002)</f>
        <v/>
      </c>
      <c r="Z1002" s="7">
        <f>IF($AA1002="","",Y1002-W1002-L1002)</f>
        <v/>
      </c>
      <c r="AA1002" s="13">
        <f>IF(ROWS($AA$2:$AA1002)&lt;=MAX('Per Line'!$AO$2:$AO$4001),MATCH(ROWS($AA$2:$AA1002),'Per Line'!$AO$2:$AO$4001,0),"")</f>
        <v/>
      </c>
      <c r="AB1002" s="14">
        <f>IF($AA1002="","",L1002-K1002*Y1002/100)</f>
        <v/>
      </c>
    </row>
    <row r="1003">
      <c r="A1003" s="12" t="n"/>
      <c r="B1003">
        <f>IF($AA1003="","",INDEX('Per Line'!$E$2:$E$4001,$AA1003)&amp;"")</f>
        <v/>
      </c>
      <c r="C1003">
        <f>IF($AA1003="","",INDEX('Per Line'!$A$2:$A$4001,$AA1003)&amp;"")</f>
        <v/>
      </c>
      <c r="D1003">
        <f>IF($AA1003="","",INDEX('Per Line'!$D$2:$D$4001,$AA1003)&amp;"")</f>
        <v/>
      </c>
      <c r="E1003" s="11">
        <f>IF($AA1003="","",INDEX('Per Line'!$G$2:$G$4001,$AA1003))</f>
        <v/>
      </c>
      <c r="F1003">
        <f>IF($AA1003="","",INDEX('Per Line'!$H$2:$H$4001,$AA1003)&amp;"")</f>
        <v/>
      </c>
      <c r="G1003">
        <f>IF($AA1003="","",INDEX('Per Line'!$I$2:$I$4001,$AA1003)&amp;"")</f>
        <v/>
      </c>
      <c r="H1003">
        <f>IF($AA1003="","",INDEX('Per Line'!$J$2:$J$4001,$AA1003)&amp;"")</f>
        <v/>
      </c>
      <c r="I1003">
        <f>IF($AA1003="","",INDEX('Per Line'!$K$2:$K$4001,$AA1003)&amp;"")</f>
        <v/>
      </c>
      <c r="J1003">
        <f>IF($AA1003="","",INDEX('Per Line'!$L$2:$L$4001,$AA1003)&amp;"")</f>
        <v/>
      </c>
      <c r="K1003">
        <f>IF($AA1003="","",INDEX('Per Line'!$P$2:$P$4001,$AA1003))</f>
        <v/>
      </c>
      <c r="L1003" s="7">
        <f>IF($AA1003="","",IF(AND(ISNUMBER(N1003),N1003&gt;0,Y1003&gt;N1003),K1003*N1003/100+(Y1003-N1003),K1003*Y1003/100))</f>
        <v/>
      </c>
      <c r="M1003">
        <f>IF($AA1003="","",INDEX('Per Line'!$Z$2:$Z$4001,$AA1003)&amp;"")</f>
        <v/>
      </c>
      <c r="N1003">
        <f>IF($AA1003="","",INDEX('Per Line'!$AG$2:$AG$4001,$AA1003))</f>
        <v/>
      </c>
      <c r="O1003">
        <f>IF($AA1003="","",IF(AND(ISNUMBER(N1003),N1003&gt;0),Y1003&gt;N1003,FALSE))</f>
        <v/>
      </c>
      <c r="P1003" s="7">
        <f>IF($AA1003="","",SUMIFS('Per Line'!$Y$2:$Y$4001,'Per Line'!$E$2:$E$4001,$B1003,'Per Line'!$AQ$2:$AQ$4001,1))</f>
        <v/>
      </c>
      <c r="Q1003">
        <f>IF($AA1003="","",Settings!$C$7)</f>
        <v/>
      </c>
      <c r="R1003" s="7">
        <f>IF($AA1003="","",SUMIFS('Per Line'!$Y$2:$Y$4001,'Per Line'!$E$2:$E$4001,$B1003,'Per Line'!$AP$2:$AP$4001,0,'Per Line'!$AQ$2:$AQ$4001,0))</f>
        <v/>
      </c>
      <c r="S1003" s="7">
        <f>IF($AA1003="","",R1003*Q1003)</f>
        <v/>
      </c>
      <c r="T1003">
        <f>IF($AA1003="","",Settings!$C$6)</f>
        <v/>
      </c>
      <c r="U1003" s="7">
        <f>IF($AA1003="","",SUMIFS('Per Line'!$Y$2:$Y$4001,'Per Line'!$E$2:$E$4001,$B1003,'Per Line'!$AP$2:$AP$4001,1,'Per Line'!$AQ$2:$AQ$4001,0))</f>
        <v/>
      </c>
      <c r="V1003" s="7">
        <f>IF($AA1003="","",U1003*T1003)</f>
        <v/>
      </c>
      <c r="W1003" s="7">
        <f>IF($AA1003="","",V1003+S1003)</f>
        <v/>
      </c>
      <c r="X1003" s="7">
        <f>IF($AA1003="","",Y1003-W1003)</f>
        <v/>
      </c>
      <c r="Y1003" s="7">
        <f>IF($AA1003="","",R1003+U1003+P1003)</f>
        <v/>
      </c>
      <c r="Z1003" s="7">
        <f>IF($AA1003="","",Y1003-W1003-L1003)</f>
        <v/>
      </c>
      <c r="AA1003" s="13">
        <f>IF(ROWS($AA$2:$AA1003)&lt;=MAX('Per Line'!$AO$2:$AO$4001),MATCH(ROWS($AA$2:$AA1003),'Per Line'!$AO$2:$AO$4001,0),"")</f>
        <v/>
      </c>
      <c r="AB1003" s="14">
        <f>IF($AA1003="","",L1003-K1003*Y1003/100)</f>
        <v/>
      </c>
    </row>
    <row r="1004">
      <c r="A1004" s="12" t="n"/>
      <c r="B1004">
        <f>IF($AA1004="","",INDEX('Per Line'!$E$2:$E$4001,$AA1004)&amp;"")</f>
        <v/>
      </c>
      <c r="C1004">
        <f>IF($AA1004="","",INDEX('Per Line'!$A$2:$A$4001,$AA1004)&amp;"")</f>
        <v/>
      </c>
      <c r="D1004">
        <f>IF($AA1004="","",INDEX('Per Line'!$D$2:$D$4001,$AA1004)&amp;"")</f>
        <v/>
      </c>
      <c r="E1004" s="11">
        <f>IF($AA1004="","",INDEX('Per Line'!$G$2:$G$4001,$AA1004))</f>
        <v/>
      </c>
      <c r="F1004">
        <f>IF($AA1004="","",INDEX('Per Line'!$H$2:$H$4001,$AA1004)&amp;"")</f>
        <v/>
      </c>
      <c r="G1004">
        <f>IF($AA1004="","",INDEX('Per Line'!$I$2:$I$4001,$AA1004)&amp;"")</f>
        <v/>
      </c>
      <c r="H1004">
        <f>IF($AA1004="","",INDEX('Per Line'!$J$2:$J$4001,$AA1004)&amp;"")</f>
        <v/>
      </c>
      <c r="I1004">
        <f>IF($AA1004="","",INDEX('Per Line'!$K$2:$K$4001,$AA1004)&amp;"")</f>
        <v/>
      </c>
      <c r="J1004">
        <f>IF($AA1004="","",INDEX('Per Line'!$L$2:$L$4001,$AA1004)&amp;"")</f>
        <v/>
      </c>
      <c r="K1004">
        <f>IF($AA1004="","",INDEX('Per Line'!$P$2:$P$4001,$AA1004))</f>
        <v/>
      </c>
      <c r="L1004" s="7">
        <f>IF($AA1004="","",IF(AND(ISNUMBER(N1004),N1004&gt;0,Y1004&gt;N1004),K1004*N1004/100+(Y1004-N1004),K1004*Y1004/100))</f>
        <v/>
      </c>
      <c r="M1004">
        <f>IF($AA1004="","",INDEX('Per Line'!$Z$2:$Z$4001,$AA1004)&amp;"")</f>
        <v/>
      </c>
      <c r="N1004">
        <f>IF($AA1004="","",INDEX('Per Line'!$AG$2:$AG$4001,$AA1004))</f>
        <v/>
      </c>
      <c r="O1004">
        <f>IF($AA1004="","",IF(AND(ISNUMBER(N1004),N1004&gt;0),Y1004&gt;N1004,FALSE))</f>
        <v/>
      </c>
      <c r="P1004" s="7">
        <f>IF($AA1004="","",SUMIFS('Per Line'!$Y$2:$Y$4001,'Per Line'!$E$2:$E$4001,$B1004,'Per Line'!$AQ$2:$AQ$4001,1))</f>
        <v/>
      </c>
      <c r="Q1004">
        <f>IF($AA1004="","",Settings!$C$7)</f>
        <v/>
      </c>
      <c r="R1004" s="7">
        <f>IF($AA1004="","",SUMIFS('Per Line'!$Y$2:$Y$4001,'Per Line'!$E$2:$E$4001,$B1004,'Per Line'!$AP$2:$AP$4001,0,'Per Line'!$AQ$2:$AQ$4001,0))</f>
        <v/>
      </c>
      <c r="S1004" s="7">
        <f>IF($AA1004="","",R1004*Q1004)</f>
        <v/>
      </c>
      <c r="T1004">
        <f>IF($AA1004="","",Settings!$C$6)</f>
        <v/>
      </c>
      <c r="U1004" s="7">
        <f>IF($AA1004="","",SUMIFS('Per Line'!$Y$2:$Y$4001,'Per Line'!$E$2:$E$4001,$B1004,'Per Line'!$AP$2:$AP$4001,1,'Per Line'!$AQ$2:$AQ$4001,0))</f>
        <v/>
      </c>
      <c r="V1004" s="7">
        <f>IF($AA1004="","",U1004*T1004)</f>
        <v/>
      </c>
      <c r="W1004" s="7">
        <f>IF($AA1004="","",V1004+S1004)</f>
        <v/>
      </c>
      <c r="X1004" s="7">
        <f>IF($AA1004="","",Y1004-W1004)</f>
        <v/>
      </c>
      <c r="Y1004" s="7">
        <f>IF($AA1004="","",R1004+U1004+P1004)</f>
        <v/>
      </c>
      <c r="Z1004" s="7">
        <f>IF($AA1004="","",Y1004-W1004-L1004)</f>
        <v/>
      </c>
      <c r="AA1004" s="13">
        <f>IF(ROWS($AA$2:$AA1004)&lt;=MAX('Per Line'!$AO$2:$AO$4001),MATCH(ROWS($AA$2:$AA1004),'Per Line'!$AO$2:$AO$4001,0),"")</f>
        <v/>
      </c>
      <c r="AB1004" s="14">
        <f>IF($AA1004="","",L1004-K1004*Y1004/100)</f>
        <v/>
      </c>
    </row>
    <row r="1005">
      <c r="A1005" s="12" t="n"/>
      <c r="B1005">
        <f>IF($AA1005="","",INDEX('Per Line'!$E$2:$E$4001,$AA1005)&amp;"")</f>
        <v/>
      </c>
      <c r="C1005">
        <f>IF($AA1005="","",INDEX('Per Line'!$A$2:$A$4001,$AA1005)&amp;"")</f>
        <v/>
      </c>
      <c r="D1005">
        <f>IF($AA1005="","",INDEX('Per Line'!$D$2:$D$4001,$AA1005)&amp;"")</f>
        <v/>
      </c>
      <c r="E1005" s="11">
        <f>IF($AA1005="","",INDEX('Per Line'!$G$2:$G$4001,$AA1005))</f>
        <v/>
      </c>
      <c r="F1005">
        <f>IF($AA1005="","",INDEX('Per Line'!$H$2:$H$4001,$AA1005)&amp;"")</f>
        <v/>
      </c>
      <c r="G1005">
        <f>IF($AA1005="","",INDEX('Per Line'!$I$2:$I$4001,$AA1005)&amp;"")</f>
        <v/>
      </c>
      <c r="H1005">
        <f>IF($AA1005="","",INDEX('Per Line'!$J$2:$J$4001,$AA1005)&amp;"")</f>
        <v/>
      </c>
      <c r="I1005">
        <f>IF($AA1005="","",INDEX('Per Line'!$K$2:$K$4001,$AA1005)&amp;"")</f>
        <v/>
      </c>
      <c r="J1005">
        <f>IF($AA1005="","",INDEX('Per Line'!$L$2:$L$4001,$AA1005)&amp;"")</f>
        <v/>
      </c>
      <c r="K1005">
        <f>IF($AA1005="","",INDEX('Per Line'!$P$2:$P$4001,$AA1005))</f>
        <v/>
      </c>
      <c r="L1005" s="7">
        <f>IF($AA1005="","",IF(AND(ISNUMBER(N1005),N1005&gt;0,Y1005&gt;N1005),K1005*N1005/100+(Y1005-N1005),K1005*Y1005/100))</f>
        <v/>
      </c>
      <c r="M1005">
        <f>IF($AA1005="","",INDEX('Per Line'!$Z$2:$Z$4001,$AA1005)&amp;"")</f>
        <v/>
      </c>
      <c r="N1005">
        <f>IF($AA1005="","",INDEX('Per Line'!$AG$2:$AG$4001,$AA1005))</f>
        <v/>
      </c>
      <c r="O1005">
        <f>IF($AA1005="","",IF(AND(ISNUMBER(N1005),N1005&gt;0),Y1005&gt;N1005,FALSE))</f>
        <v/>
      </c>
      <c r="P1005" s="7">
        <f>IF($AA1005="","",SUMIFS('Per Line'!$Y$2:$Y$4001,'Per Line'!$E$2:$E$4001,$B1005,'Per Line'!$AQ$2:$AQ$4001,1))</f>
        <v/>
      </c>
      <c r="Q1005">
        <f>IF($AA1005="","",Settings!$C$7)</f>
        <v/>
      </c>
      <c r="R1005" s="7">
        <f>IF($AA1005="","",SUMIFS('Per Line'!$Y$2:$Y$4001,'Per Line'!$E$2:$E$4001,$B1005,'Per Line'!$AP$2:$AP$4001,0,'Per Line'!$AQ$2:$AQ$4001,0))</f>
        <v/>
      </c>
      <c r="S1005" s="7">
        <f>IF($AA1005="","",R1005*Q1005)</f>
        <v/>
      </c>
      <c r="T1005">
        <f>IF($AA1005="","",Settings!$C$6)</f>
        <v/>
      </c>
      <c r="U1005" s="7">
        <f>IF($AA1005="","",SUMIFS('Per Line'!$Y$2:$Y$4001,'Per Line'!$E$2:$E$4001,$B1005,'Per Line'!$AP$2:$AP$4001,1,'Per Line'!$AQ$2:$AQ$4001,0))</f>
        <v/>
      </c>
      <c r="V1005" s="7">
        <f>IF($AA1005="","",U1005*T1005)</f>
        <v/>
      </c>
      <c r="W1005" s="7">
        <f>IF($AA1005="","",V1005+S1005)</f>
        <v/>
      </c>
      <c r="X1005" s="7">
        <f>IF($AA1005="","",Y1005-W1005)</f>
        <v/>
      </c>
      <c r="Y1005" s="7">
        <f>IF($AA1005="","",R1005+U1005+P1005)</f>
        <v/>
      </c>
      <c r="Z1005" s="7">
        <f>IF($AA1005="","",Y1005-W1005-L1005)</f>
        <v/>
      </c>
      <c r="AA1005" s="13">
        <f>IF(ROWS($AA$2:$AA1005)&lt;=MAX('Per Line'!$AO$2:$AO$4001),MATCH(ROWS($AA$2:$AA1005),'Per Line'!$AO$2:$AO$4001,0),"")</f>
        <v/>
      </c>
      <c r="AB1005" s="14">
        <f>IF($AA1005="","",L1005-K1005*Y1005/100)</f>
        <v/>
      </c>
    </row>
    <row r="1006">
      <c r="A1006" s="12" t="n"/>
      <c r="B1006">
        <f>IF($AA1006="","",INDEX('Per Line'!$E$2:$E$4001,$AA1006)&amp;"")</f>
        <v/>
      </c>
      <c r="C1006">
        <f>IF($AA1006="","",INDEX('Per Line'!$A$2:$A$4001,$AA1006)&amp;"")</f>
        <v/>
      </c>
      <c r="D1006">
        <f>IF($AA1006="","",INDEX('Per Line'!$D$2:$D$4001,$AA1006)&amp;"")</f>
        <v/>
      </c>
      <c r="E1006" s="11">
        <f>IF($AA1006="","",INDEX('Per Line'!$G$2:$G$4001,$AA1006))</f>
        <v/>
      </c>
      <c r="F1006">
        <f>IF($AA1006="","",INDEX('Per Line'!$H$2:$H$4001,$AA1006)&amp;"")</f>
        <v/>
      </c>
      <c r="G1006">
        <f>IF($AA1006="","",INDEX('Per Line'!$I$2:$I$4001,$AA1006)&amp;"")</f>
        <v/>
      </c>
      <c r="H1006">
        <f>IF($AA1006="","",INDEX('Per Line'!$J$2:$J$4001,$AA1006)&amp;"")</f>
        <v/>
      </c>
      <c r="I1006">
        <f>IF($AA1006="","",INDEX('Per Line'!$K$2:$K$4001,$AA1006)&amp;"")</f>
        <v/>
      </c>
      <c r="J1006">
        <f>IF($AA1006="","",INDEX('Per Line'!$L$2:$L$4001,$AA1006)&amp;"")</f>
        <v/>
      </c>
      <c r="K1006">
        <f>IF($AA1006="","",INDEX('Per Line'!$P$2:$P$4001,$AA1006))</f>
        <v/>
      </c>
      <c r="L1006" s="7">
        <f>IF($AA1006="","",IF(AND(ISNUMBER(N1006),N1006&gt;0,Y1006&gt;N1006),K1006*N1006/100+(Y1006-N1006),K1006*Y1006/100))</f>
        <v/>
      </c>
      <c r="M1006">
        <f>IF($AA1006="","",INDEX('Per Line'!$Z$2:$Z$4001,$AA1006)&amp;"")</f>
        <v/>
      </c>
      <c r="N1006">
        <f>IF($AA1006="","",INDEX('Per Line'!$AG$2:$AG$4001,$AA1006))</f>
        <v/>
      </c>
      <c r="O1006">
        <f>IF($AA1006="","",IF(AND(ISNUMBER(N1006),N1006&gt;0),Y1006&gt;N1006,FALSE))</f>
        <v/>
      </c>
      <c r="P1006" s="7">
        <f>IF($AA1006="","",SUMIFS('Per Line'!$Y$2:$Y$4001,'Per Line'!$E$2:$E$4001,$B1006,'Per Line'!$AQ$2:$AQ$4001,1))</f>
        <v/>
      </c>
      <c r="Q1006">
        <f>IF($AA1006="","",Settings!$C$7)</f>
        <v/>
      </c>
      <c r="R1006" s="7">
        <f>IF($AA1006="","",SUMIFS('Per Line'!$Y$2:$Y$4001,'Per Line'!$E$2:$E$4001,$B1006,'Per Line'!$AP$2:$AP$4001,0,'Per Line'!$AQ$2:$AQ$4001,0))</f>
        <v/>
      </c>
      <c r="S1006" s="7">
        <f>IF($AA1006="","",R1006*Q1006)</f>
        <v/>
      </c>
      <c r="T1006">
        <f>IF($AA1006="","",Settings!$C$6)</f>
        <v/>
      </c>
      <c r="U1006" s="7">
        <f>IF($AA1006="","",SUMIFS('Per Line'!$Y$2:$Y$4001,'Per Line'!$E$2:$E$4001,$B1006,'Per Line'!$AP$2:$AP$4001,1,'Per Line'!$AQ$2:$AQ$4001,0))</f>
        <v/>
      </c>
      <c r="V1006" s="7">
        <f>IF($AA1006="","",U1006*T1006)</f>
        <v/>
      </c>
      <c r="W1006" s="7">
        <f>IF($AA1006="","",V1006+S1006)</f>
        <v/>
      </c>
      <c r="X1006" s="7">
        <f>IF($AA1006="","",Y1006-W1006)</f>
        <v/>
      </c>
      <c r="Y1006" s="7">
        <f>IF($AA1006="","",R1006+U1006+P1006)</f>
        <v/>
      </c>
      <c r="Z1006" s="7">
        <f>IF($AA1006="","",Y1006-W1006-L1006)</f>
        <v/>
      </c>
      <c r="AA1006" s="13">
        <f>IF(ROWS($AA$2:$AA1006)&lt;=MAX('Per Line'!$AO$2:$AO$4001),MATCH(ROWS($AA$2:$AA1006),'Per Line'!$AO$2:$AO$4001,0),"")</f>
        <v/>
      </c>
      <c r="AB1006" s="14">
        <f>IF($AA1006="","",L1006-K1006*Y1006/100)</f>
        <v/>
      </c>
    </row>
    <row r="1007">
      <c r="A1007" s="12" t="n"/>
      <c r="B1007">
        <f>IF($AA1007="","",INDEX('Per Line'!$E$2:$E$4001,$AA1007)&amp;"")</f>
        <v/>
      </c>
      <c r="C1007">
        <f>IF($AA1007="","",INDEX('Per Line'!$A$2:$A$4001,$AA1007)&amp;"")</f>
        <v/>
      </c>
      <c r="D1007">
        <f>IF($AA1007="","",INDEX('Per Line'!$D$2:$D$4001,$AA1007)&amp;"")</f>
        <v/>
      </c>
      <c r="E1007" s="11">
        <f>IF($AA1007="","",INDEX('Per Line'!$G$2:$G$4001,$AA1007))</f>
        <v/>
      </c>
      <c r="F1007">
        <f>IF($AA1007="","",INDEX('Per Line'!$H$2:$H$4001,$AA1007)&amp;"")</f>
        <v/>
      </c>
      <c r="G1007">
        <f>IF($AA1007="","",INDEX('Per Line'!$I$2:$I$4001,$AA1007)&amp;"")</f>
        <v/>
      </c>
      <c r="H1007">
        <f>IF($AA1007="","",INDEX('Per Line'!$J$2:$J$4001,$AA1007)&amp;"")</f>
        <v/>
      </c>
      <c r="I1007">
        <f>IF($AA1007="","",INDEX('Per Line'!$K$2:$K$4001,$AA1007)&amp;"")</f>
        <v/>
      </c>
      <c r="J1007">
        <f>IF($AA1007="","",INDEX('Per Line'!$L$2:$L$4001,$AA1007)&amp;"")</f>
        <v/>
      </c>
      <c r="K1007">
        <f>IF($AA1007="","",INDEX('Per Line'!$P$2:$P$4001,$AA1007))</f>
        <v/>
      </c>
      <c r="L1007" s="7">
        <f>IF($AA1007="","",IF(AND(ISNUMBER(N1007),N1007&gt;0,Y1007&gt;N1007),K1007*N1007/100+(Y1007-N1007),K1007*Y1007/100))</f>
        <v/>
      </c>
      <c r="M1007">
        <f>IF($AA1007="","",INDEX('Per Line'!$Z$2:$Z$4001,$AA1007)&amp;"")</f>
        <v/>
      </c>
      <c r="N1007">
        <f>IF($AA1007="","",INDEX('Per Line'!$AG$2:$AG$4001,$AA1007))</f>
        <v/>
      </c>
      <c r="O1007">
        <f>IF($AA1007="","",IF(AND(ISNUMBER(N1007),N1007&gt;0),Y1007&gt;N1007,FALSE))</f>
        <v/>
      </c>
      <c r="P1007" s="7">
        <f>IF($AA1007="","",SUMIFS('Per Line'!$Y$2:$Y$4001,'Per Line'!$E$2:$E$4001,$B1007,'Per Line'!$AQ$2:$AQ$4001,1))</f>
        <v/>
      </c>
      <c r="Q1007">
        <f>IF($AA1007="","",Settings!$C$7)</f>
        <v/>
      </c>
      <c r="R1007" s="7">
        <f>IF($AA1007="","",SUMIFS('Per Line'!$Y$2:$Y$4001,'Per Line'!$E$2:$E$4001,$B1007,'Per Line'!$AP$2:$AP$4001,0,'Per Line'!$AQ$2:$AQ$4001,0))</f>
        <v/>
      </c>
      <c r="S1007" s="7">
        <f>IF($AA1007="","",R1007*Q1007)</f>
        <v/>
      </c>
      <c r="T1007">
        <f>IF($AA1007="","",Settings!$C$6)</f>
        <v/>
      </c>
      <c r="U1007" s="7">
        <f>IF($AA1007="","",SUMIFS('Per Line'!$Y$2:$Y$4001,'Per Line'!$E$2:$E$4001,$B1007,'Per Line'!$AP$2:$AP$4001,1,'Per Line'!$AQ$2:$AQ$4001,0))</f>
        <v/>
      </c>
      <c r="V1007" s="7">
        <f>IF($AA1007="","",U1007*T1007)</f>
        <v/>
      </c>
      <c r="W1007" s="7">
        <f>IF($AA1007="","",V1007+S1007)</f>
        <v/>
      </c>
      <c r="X1007" s="7">
        <f>IF($AA1007="","",Y1007-W1007)</f>
        <v/>
      </c>
      <c r="Y1007" s="7">
        <f>IF($AA1007="","",R1007+U1007+P1007)</f>
        <v/>
      </c>
      <c r="Z1007" s="7">
        <f>IF($AA1007="","",Y1007-W1007-L1007)</f>
        <v/>
      </c>
      <c r="AA1007" s="13">
        <f>IF(ROWS($AA$2:$AA1007)&lt;=MAX('Per Line'!$AO$2:$AO$4001),MATCH(ROWS($AA$2:$AA1007),'Per Line'!$AO$2:$AO$4001,0),"")</f>
        <v/>
      </c>
      <c r="AB1007" s="14">
        <f>IF($AA1007="","",L1007-K1007*Y1007/100)</f>
        <v/>
      </c>
    </row>
    <row r="1008">
      <c r="A1008" s="12" t="n"/>
      <c r="B1008">
        <f>IF($AA1008="","",INDEX('Per Line'!$E$2:$E$4001,$AA1008)&amp;"")</f>
        <v/>
      </c>
      <c r="C1008">
        <f>IF($AA1008="","",INDEX('Per Line'!$A$2:$A$4001,$AA1008)&amp;"")</f>
        <v/>
      </c>
      <c r="D1008">
        <f>IF($AA1008="","",INDEX('Per Line'!$D$2:$D$4001,$AA1008)&amp;"")</f>
        <v/>
      </c>
      <c r="E1008" s="11">
        <f>IF($AA1008="","",INDEX('Per Line'!$G$2:$G$4001,$AA1008))</f>
        <v/>
      </c>
      <c r="F1008">
        <f>IF($AA1008="","",INDEX('Per Line'!$H$2:$H$4001,$AA1008)&amp;"")</f>
        <v/>
      </c>
      <c r="G1008">
        <f>IF($AA1008="","",INDEX('Per Line'!$I$2:$I$4001,$AA1008)&amp;"")</f>
        <v/>
      </c>
      <c r="H1008">
        <f>IF($AA1008="","",INDEX('Per Line'!$J$2:$J$4001,$AA1008)&amp;"")</f>
        <v/>
      </c>
      <c r="I1008">
        <f>IF($AA1008="","",INDEX('Per Line'!$K$2:$K$4001,$AA1008)&amp;"")</f>
        <v/>
      </c>
      <c r="J1008">
        <f>IF($AA1008="","",INDEX('Per Line'!$L$2:$L$4001,$AA1008)&amp;"")</f>
        <v/>
      </c>
      <c r="K1008">
        <f>IF($AA1008="","",INDEX('Per Line'!$P$2:$P$4001,$AA1008))</f>
        <v/>
      </c>
      <c r="L1008" s="7">
        <f>IF($AA1008="","",IF(AND(ISNUMBER(N1008),N1008&gt;0,Y1008&gt;N1008),K1008*N1008/100+(Y1008-N1008),K1008*Y1008/100))</f>
        <v/>
      </c>
      <c r="M1008">
        <f>IF($AA1008="","",INDEX('Per Line'!$Z$2:$Z$4001,$AA1008)&amp;"")</f>
        <v/>
      </c>
      <c r="N1008">
        <f>IF($AA1008="","",INDEX('Per Line'!$AG$2:$AG$4001,$AA1008))</f>
        <v/>
      </c>
      <c r="O1008">
        <f>IF($AA1008="","",IF(AND(ISNUMBER(N1008),N1008&gt;0),Y1008&gt;N1008,FALSE))</f>
        <v/>
      </c>
      <c r="P1008" s="7">
        <f>IF($AA1008="","",SUMIFS('Per Line'!$Y$2:$Y$4001,'Per Line'!$E$2:$E$4001,$B1008,'Per Line'!$AQ$2:$AQ$4001,1))</f>
        <v/>
      </c>
      <c r="Q1008">
        <f>IF($AA1008="","",Settings!$C$7)</f>
        <v/>
      </c>
      <c r="R1008" s="7">
        <f>IF($AA1008="","",SUMIFS('Per Line'!$Y$2:$Y$4001,'Per Line'!$E$2:$E$4001,$B1008,'Per Line'!$AP$2:$AP$4001,0,'Per Line'!$AQ$2:$AQ$4001,0))</f>
        <v/>
      </c>
      <c r="S1008" s="7">
        <f>IF($AA1008="","",R1008*Q1008)</f>
        <v/>
      </c>
      <c r="T1008">
        <f>IF($AA1008="","",Settings!$C$6)</f>
        <v/>
      </c>
      <c r="U1008" s="7">
        <f>IF($AA1008="","",SUMIFS('Per Line'!$Y$2:$Y$4001,'Per Line'!$E$2:$E$4001,$B1008,'Per Line'!$AP$2:$AP$4001,1,'Per Line'!$AQ$2:$AQ$4001,0))</f>
        <v/>
      </c>
      <c r="V1008" s="7">
        <f>IF($AA1008="","",U1008*T1008)</f>
        <v/>
      </c>
      <c r="W1008" s="7">
        <f>IF($AA1008="","",V1008+S1008)</f>
        <v/>
      </c>
      <c r="X1008" s="7">
        <f>IF($AA1008="","",Y1008-W1008)</f>
        <v/>
      </c>
      <c r="Y1008" s="7">
        <f>IF($AA1008="","",R1008+U1008+P1008)</f>
        <v/>
      </c>
      <c r="Z1008" s="7">
        <f>IF($AA1008="","",Y1008-W1008-L1008)</f>
        <v/>
      </c>
      <c r="AA1008" s="13">
        <f>IF(ROWS($AA$2:$AA1008)&lt;=MAX('Per Line'!$AO$2:$AO$4001),MATCH(ROWS($AA$2:$AA1008),'Per Line'!$AO$2:$AO$4001,0),"")</f>
        <v/>
      </c>
      <c r="AB1008" s="14">
        <f>IF($AA1008="","",L1008-K1008*Y1008/100)</f>
        <v/>
      </c>
    </row>
    <row r="1009">
      <c r="A1009" s="12" t="n"/>
      <c r="B1009">
        <f>IF($AA1009="","",INDEX('Per Line'!$E$2:$E$4001,$AA1009)&amp;"")</f>
        <v/>
      </c>
      <c r="C1009">
        <f>IF($AA1009="","",INDEX('Per Line'!$A$2:$A$4001,$AA1009)&amp;"")</f>
        <v/>
      </c>
      <c r="D1009">
        <f>IF($AA1009="","",INDEX('Per Line'!$D$2:$D$4001,$AA1009)&amp;"")</f>
        <v/>
      </c>
      <c r="E1009" s="11">
        <f>IF($AA1009="","",INDEX('Per Line'!$G$2:$G$4001,$AA1009))</f>
        <v/>
      </c>
      <c r="F1009">
        <f>IF($AA1009="","",INDEX('Per Line'!$H$2:$H$4001,$AA1009)&amp;"")</f>
        <v/>
      </c>
      <c r="G1009">
        <f>IF($AA1009="","",INDEX('Per Line'!$I$2:$I$4001,$AA1009)&amp;"")</f>
        <v/>
      </c>
      <c r="H1009">
        <f>IF($AA1009="","",INDEX('Per Line'!$J$2:$J$4001,$AA1009)&amp;"")</f>
        <v/>
      </c>
      <c r="I1009">
        <f>IF($AA1009="","",INDEX('Per Line'!$K$2:$K$4001,$AA1009)&amp;"")</f>
        <v/>
      </c>
      <c r="J1009">
        <f>IF($AA1009="","",INDEX('Per Line'!$L$2:$L$4001,$AA1009)&amp;"")</f>
        <v/>
      </c>
      <c r="K1009">
        <f>IF($AA1009="","",INDEX('Per Line'!$P$2:$P$4001,$AA1009))</f>
        <v/>
      </c>
      <c r="L1009" s="7">
        <f>IF($AA1009="","",IF(AND(ISNUMBER(N1009),N1009&gt;0,Y1009&gt;N1009),K1009*N1009/100+(Y1009-N1009),K1009*Y1009/100))</f>
        <v/>
      </c>
      <c r="M1009">
        <f>IF($AA1009="","",INDEX('Per Line'!$Z$2:$Z$4001,$AA1009)&amp;"")</f>
        <v/>
      </c>
      <c r="N1009">
        <f>IF($AA1009="","",INDEX('Per Line'!$AG$2:$AG$4001,$AA1009))</f>
        <v/>
      </c>
      <c r="O1009">
        <f>IF($AA1009="","",IF(AND(ISNUMBER(N1009),N1009&gt;0),Y1009&gt;N1009,FALSE))</f>
        <v/>
      </c>
      <c r="P1009" s="7">
        <f>IF($AA1009="","",SUMIFS('Per Line'!$Y$2:$Y$4001,'Per Line'!$E$2:$E$4001,$B1009,'Per Line'!$AQ$2:$AQ$4001,1))</f>
        <v/>
      </c>
      <c r="Q1009">
        <f>IF($AA1009="","",Settings!$C$7)</f>
        <v/>
      </c>
      <c r="R1009" s="7">
        <f>IF($AA1009="","",SUMIFS('Per Line'!$Y$2:$Y$4001,'Per Line'!$E$2:$E$4001,$B1009,'Per Line'!$AP$2:$AP$4001,0,'Per Line'!$AQ$2:$AQ$4001,0))</f>
        <v/>
      </c>
      <c r="S1009" s="7">
        <f>IF($AA1009="","",R1009*Q1009)</f>
        <v/>
      </c>
      <c r="T1009">
        <f>IF($AA1009="","",Settings!$C$6)</f>
        <v/>
      </c>
      <c r="U1009" s="7">
        <f>IF($AA1009="","",SUMIFS('Per Line'!$Y$2:$Y$4001,'Per Line'!$E$2:$E$4001,$B1009,'Per Line'!$AP$2:$AP$4001,1,'Per Line'!$AQ$2:$AQ$4001,0))</f>
        <v/>
      </c>
      <c r="V1009" s="7">
        <f>IF($AA1009="","",U1009*T1009)</f>
        <v/>
      </c>
      <c r="W1009" s="7">
        <f>IF($AA1009="","",V1009+S1009)</f>
        <v/>
      </c>
      <c r="X1009" s="7">
        <f>IF($AA1009="","",Y1009-W1009)</f>
        <v/>
      </c>
      <c r="Y1009" s="7">
        <f>IF($AA1009="","",R1009+U1009+P1009)</f>
        <v/>
      </c>
      <c r="Z1009" s="7">
        <f>IF($AA1009="","",Y1009-W1009-L1009)</f>
        <v/>
      </c>
      <c r="AA1009" s="13">
        <f>IF(ROWS($AA$2:$AA1009)&lt;=MAX('Per Line'!$AO$2:$AO$4001),MATCH(ROWS($AA$2:$AA1009),'Per Line'!$AO$2:$AO$4001,0),"")</f>
        <v/>
      </c>
      <c r="AB1009" s="14">
        <f>IF($AA1009="","",L1009-K1009*Y1009/100)</f>
        <v/>
      </c>
    </row>
    <row r="1010">
      <c r="A1010" s="12" t="n"/>
      <c r="B1010">
        <f>IF($AA1010="","",INDEX('Per Line'!$E$2:$E$4001,$AA1010)&amp;"")</f>
        <v/>
      </c>
      <c r="C1010">
        <f>IF($AA1010="","",INDEX('Per Line'!$A$2:$A$4001,$AA1010)&amp;"")</f>
        <v/>
      </c>
      <c r="D1010">
        <f>IF($AA1010="","",INDEX('Per Line'!$D$2:$D$4001,$AA1010)&amp;"")</f>
        <v/>
      </c>
      <c r="E1010" s="11">
        <f>IF($AA1010="","",INDEX('Per Line'!$G$2:$G$4001,$AA1010))</f>
        <v/>
      </c>
      <c r="F1010">
        <f>IF($AA1010="","",INDEX('Per Line'!$H$2:$H$4001,$AA1010)&amp;"")</f>
        <v/>
      </c>
      <c r="G1010">
        <f>IF($AA1010="","",INDEX('Per Line'!$I$2:$I$4001,$AA1010)&amp;"")</f>
        <v/>
      </c>
      <c r="H1010">
        <f>IF($AA1010="","",INDEX('Per Line'!$J$2:$J$4001,$AA1010)&amp;"")</f>
        <v/>
      </c>
      <c r="I1010">
        <f>IF($AA1010="","",INDEX('Per Line'!$K$2:$K$4001,$AA1010)&amp;"")</f>
        <v/>
      </c>
      <c r="J1010">
        <f>IF($AA1010="","",INDEX('Per Line'!$L$2:$L$4001,$AA1010)&amp;"")</f>
        <v/>
      </c>
      <c r="K1010">
        <f>IF($AA1010="","",INDEX('Per Line'!$P$2:$P$4001,$AA1010))</f>
        <v/>
      </c>
      <c r="L1010" s="7">
        <f>IF($AA1010="","",IF(AND(ISNUMBER(N1010),N1010&gt;0,Y1010&gt;N1010),K1010*N1010/100+(Y1010-N1010),K1010*Y1010/100))</f>
        <v/>
      </c>
      <c r="M1010">
        <f>IF($AA1010="","",INDEX('Per Line'!$Z$2:$Z$4001,$AA1010)&amp;"")</f>
        <v/>
      </c>
      <c r="N1010">
        <f>IF($AA1010="","",INDEX('Per Line'!$AG$2:$AG$4001,$AA1010))</f>
        <v/>
      </c>
      <c r="O1010">
        <f>IF($AA1010="","",IF(AND(ISNUMBER(N1010),N1010&gt;0),Y1010&gt;N1010,FALSE))</f>
        <v/>
      </c>
      <c r="P1010" s="7">
        <f>IF($AA1010="","",SUMIFS('Per Line'!$Y$2:$Y$4001,'Per Line'!$E$2:$E$4001,$B1010,'Per Line'!$AQ$2:$AQ$4001,1))</f>
        <v/>
      </c>
      <c r="Q1010">
        <f>IF($AA1010="","",Settings!$C$7)</f>
        <v/>
      </c>
      <c r="R1010" s="7">
        <f>IF($AA1010="","",SUMIFS('Per Line'!$Y$2:$Y$4001,'Per Line'!$E$2:$E$4001,$B1010,'Per Line'!$AP$2:$AP$4001,0,'Per Line'!$AQ$2:$AQ$4001,0))</f>
        <v/>
      </c>
      <c r="S1010" s="7">
        <f>IF($AA1010="","",R1010*Q1010)</f>
        <v/>
      </c>
      <c r="T1010">
        <f>IF($AA1010="","",Settings!$C$6)</f>
        <v/>
      </c>
      <c r="U1010" s="7">
        <f>IF($AA1010="","",SUMIFS('Per Line'!$Y$2:$Y$4001,'Per Line'!$E$2:$E$4001,$B1010,'Per Line'!$AP$2:$AP$4001,1,'Per Line'!$AQ$2:$AQ$4001,0))</f>
        <v/>
      </c>
      <c r="V1010" s="7">
        <f>IF($AA1010="","",U1010*T1010)</f>
        <v/>
      </c>
      <c r="W1010" s="7">
        <f>IF($AA1010="","",V1010+S1010)</f>
        <v/>
      </c>
      <c r="X1010" s="7">
        <f>IF($AA1010="","",Y1010-W1010)</f>
        <v/>
      </c>
      <c r="Y1010" s="7">
        <f>IF($AA1010="","",R1010+U1010+P1010)</f>
        <v/>
      </c>
      <c r="Z1010" s="7">
        <f>IF($AA1010="","",Y1010-W1010-L1010)</f>
        <v/>
      </c>
      <c r="AA1010" s="13">
        <f>IF(ROWS($AA$2:$AA1010)&lt;=MAX('Per Line'!$AO$2:$AO$4001),MATCH(ROWS($AA$2:$AA1010),'Per Line'!$AO$2:$AO$4001,0),"")</f>
        <v/>
      </c>
      <c r="AB1010" s="14">
        <f>IF($AA1010="","",L1010-K1010*Y1010/100)</f>
        <v/>
      </c>
    </row>
    <row r="1011">
      <c r="A1011" s="12" t="n"/>
      <c r="B1011">
        <f>IF($AA1011="","",INDEX('Per Line'!$E$2:$E$4001,$AA1011)&amp;"")</f>
        <v/>
      </c>
      <c r="C1011">
        <f>IF($AA1011="","",INDEX('Per Line'!$A$2:$A$4001,$AA1011)&amp;"")</f>
        <v/>
      </c>
      <c r="D1011">
        <f>IF($AA1011="","",INDEX('Per Line'!$D$2:$D$4001,$AA1011)&amp;"")</f>
        <v/>
      </c>
      <c r="E1011" s="11">
        <f>IF($AA1011="","",INDEX('Per Line'!$G$2:$G$4001,$AA1011))</f>
        <v/>
      </c>
      <c r="F1011">
        <f>IF($AA1011="","",INDEX('Per Line'!$H$2:$H$4001,$AA1011)&amp;"")</f>
        <v/>
      </c>
      <c r="G1011">
        <f>IF($AA1011="","",INDEX('Per Line'!$I$2:$I$4001,$AA1011)&amp;"")</f>
        <v/>
      </c>
      <c r="H1011">
        <f>IF($AA1011="","",INDEX('Per Line'!$J$2:$J$4001,$AA1011)&amp;"")</f>
        <v/>
      </c>
      <c r="I1011">
        <f>IF($AA1011="","",INDEX('Per Line'!$K$2:$K$4001,$AA1011)&amp;"")</f>
        <v/>
      </c>
      <c r="J1011">
        <f>IF($AA1011="","",INDEX('Per Line'!$L$2:$L$4001,$AA1011)&amp;"")</f>
        <v/>
      </c>
      <c r="K1011">
        <f>IF($AA1011="","",INDEX('Per Line'!$P$2:$P$4001,$AA1011))</f>
        <v/>
      </c>
      <c r="L1011" s="7">
        <f>IF($AA1011="","",IF(AND(ISNUMBER(N1011),N1011&gt;0,Y1011&gt;N1011),K1011*N1011/100+(Y1011-N1011),K1011*Y1011/100))</f>
        <v/>
      </c>
      <c r="M1011">
        <f>IF($AA1011="","",INDEX('Per Line'!$Z$2:$Z$4001,$AA1011)&amp;"")</f>
        <v/>
      </c>
      <c r="N1011">
        <f>IF($AA1011="","",INDEX('Per Line'!$AG$2:$AG$4001,$AA1011))</f>
        <v/>
      </c>
      <c r="O1011">
        <f>IF($AA1011="","",IF(AND(ISNUMBER(N1011),N1011&gt;0),Y1011&gt;N1011,FALSE))</f>
        <v/>
      </c>
      <c r="P1011" s="7">
        <f>IF($AA1011="","",SUMIFS('Per Line'!$Y$2:$Y$4001,'Per Line'!$E$2:$E$4001,$B1011,'Per Line'!$AQ$2:$AQ$4001,1))</f>
        <v/>
      </c>
      <c r="Q1011">
        <f>IF($AA1011="","",Settings!$C$7)</f>
        <v/>
      </c>
      <c r="R1011" s="7">
        <f>IF($AA1011="","",SUMIFS('Per Line'!$Y$2:$Y$4001,'Per Line'!$E$2:$E$4001,$B1011,'Per Line'!$AP$2:$AP$4001,0,'Per Line'!$AQ$2:$AQ$4001,0))</f>
        <v/>
      </c>
      <c r="S1011" s="7">
        <f>IF($AA1011="","",R1011*Q1011)</f>
        <v/>
      </c>
      <c r="T1011">
        <f>IF($AA1011="","",Settings!$C$6)</f>
        <v/>
      </c>
      <c r="U1011" s="7">
        <f>IF($AA1011="","",SUMIFS('Per Line'!$Y$2:$Y$4001,'Per Line'!$E$2:$E$4001,$B1011,'Per Line'!$AP$2:$AP$4001,1,'Per Line'!$AQ$2:$AQ$4001,0))</f>
        <v/>
      </c>
      <c r="V1011" s="7">
        <f>IF($AA1011="","",U1011*T1011)</f>
        <v/>
      </c>
      <c r="W1011" s="7">
        <f>IF($AA1011="","",V1011+S1011)</f>
        <v/>
      </c>
      <c r="X1011" s="7">
        <f>IF($AA1011="","",Y1011-W1011)</f>
        <v/>
      </c>
      <c r="Y1011" s="7">
        <f>IF($AA1011="","",R1011+U1011+P1011)</f>
        <v/>
      </c>
      <c r="Z1011" s="7">
        <f>IF($AA1011="","",Y1011-W1011-L1011)</f>
        <v/>
      </c>
      <c r="AA1011" s="13">
        <f>IF(ROWS($AA$2:$AA1011)&lt;=MAX('Per Line'!$AO$2:$AO$4001),MATCH(ROWS($AA$2:$AA1011),'Per Line'!$AO$2:$AO$4001,0),"")</f>
        <v/>
      </c>
      <c r="AB1011" s="14">
        <f>IF($AA1011="","",L1011-K1011*Y1011/100)</f>
        <v/>
      </c>
    </row>
    <row r="1012">
      <c r="A1012" s="12" t="n"/>
      <c r="B1012">
        <f>IF($AA1012="","",INDEX('Per Line'!$E$2:$E$4001,$AA1012)&amp;"")</f>
        <v/>
      </c>
      <c r="C1012">
        <f>IF($AA1012="","",INDEX('Per Line'!$A$2:$A$4001,$AA1012)&amp;"")</f>
        <v/>
      </c>
      <c r="D1012">
        <f>IF($AA1012="","",INDEX('Per Line'!$D$2:$D$4001,$AA1012)&amp;"")</f>
        <v/>
      </c>
      <c r="E1012" s="11">
        <f>IF($AA1012="","",INDEX('Per Line'!$G$2:$G$4001,$AA1012))</f>
        <v/>
      </c>
      <c r="F1012">
        <f>IF($AA1012="","",INDEX('Per Line'!$H$2:$H$4001,$AA1012)&amp;"")</f>
        <v/>
      </c>
      <c r="G1012">
        <f>IF($AA1012="","",INDEX('Per Line'!$I$2:$I$4001,$AA1012)&amp;"")</f>
        <v/>
      </c>
      <c r="H1012">
        <f>IF($AA1012="","",INDEX('Per Line'!$J$2:$J$4001,$AA1012)&amp;"")</f>
        <v/>
      </c>
      <c r="I1012">
        <f>IF($AA1012="","",INDEX('Per Line'!$K$2:$K$4001,$AA1012)&amp;"")</f>
        <v/>
      </c>
      <c r="J1012">
        <f>IF($AA1012="","",INDEX('Per Line'!$L$2:$L$4001,$AA1012)&amp;"")</f>
        <v/>
      </c>
      <c r="K1012">
        <f>IF($AA1012="","",INDEX('Per Line'!$P$2:$P$4001,$AA1012))</f>
        <v/>
      </c>
      <c r="L1012" s="7">
        <f>IF($AA1012="","",IF(AND(ISNUMBER(N1012),N1012&gt;0,Y1012&gt;N1012),K1012*N1012/100+(Y1012-N1012),K1012*Y1012/100))</f>
        <v/>
      </c>
      <c r="M1012">
        <f>IF($AA1012="","",INDEX('Per Line'!$Z$2:$Z$4001,$AA1012)&amp;"")</f>
        <v/>
      </c>
      <c r="N1012">
        <f>IF($AA1012="","",INDEX('Per Line'!$AG$2:$AG$4001,$AA1012))</f>
        <v/>
      </c>
      <c r="O1012">
        <f>IF($AA1012="","",IF(AND(ISNUMBER(N1012),N1012&gt;0),Y1012&gt;N1012,FALSE))</f>
        <v/>
      </c>
      <c r="P1012" s="7">
        <f>IF($AA1012="","",SUMIFS('Per Line'!$Y$2:$Y$4001,'Per Line'!$E$2:$E$4001,$B1012,'Per Line'!$AQ$2:$AQ$4001,1))</f>
        <v/>
      </c>
      <c r="Q1012">
        <f>IF($AA1012="","",Settings!$C$7)</f>
        <v/>
      </c>
      <c r="R1012" s="7">
        <f>IF($AA1012="","",SUMIFS('Per Line'!$Y$2:$Y$4001,'Per Line'!$E$2:$E$4001,$B1012,'Per Line'!$AP$2:$AP$4001,0,'Per Line'!$AQ$2:$AQ$4001,0))</f>
        <v/>
      </c>
      <c r="S1012" s="7">
        <f>IF($AA1012="","",R1012*Q1012)</f>
        <v/>
      </c>
      <c r="T1012">
        <f>IF($AA1012="","",Settings!$C$6)</f>
        <v/>
      </c>
      <c r="U1012" s="7">
        <f>IF($AA1012="","",SUMIFS('Per Line'!$Y$2:$Y$4001,'Per Line'!$E$2:$E$4001,$B1012,'Per Line'!$AP$2:$AP$4001,1,'Per Line'!$AQ$2:$AQ$4001,0))</f>
        <v/>
      </c>
      <c r="V1012" s="7">
        <f>IF($AA1012="","",U1012*T1012)</f>
        <v/>
      </c>
      <c r="W1012" s="7">
        <f>IF($AA1012="","",V1012+S1012)</f>
        <v/>
      </c>
      <c r="X1012" s="7">
        <f>IF($AA1012="","",Y1012-W1012)</f>
        <v/>
      </c>
      <c r="Y1012" s="7">
        <f>IF($AA1012="","",R1012+U1012+P1012)</f>
        <v/>
      </c>
      <c r="Z1012" s="7">
        <f>IF($AA1012="","",Y1012-W1012-L1012)</f>
        <v/>
      </c>
      <c r="AA1012" s="13">
        <f>IF(ROWS($AA$2:$AA1012)&lt;=MAX('Per Line'!$AO$2:$AO$4001),MATCH(ROWS($AA$2:$AA1012),'Per Line'!$AO$2:$AO$4001,0),"")</f>
        <v/>
      </c>
      <c r="AB1012" s="14">
        <f>IF($AA1012="","",L1012-K1012*Y1012/100)</f>
        <v/>
      </c>
    </row>
    <row r="1013">
      <c r="A1013" s="12" t="n"/>
      <c r="B1013">
        <f>IF($AA1013="","",INDEX('Per Line'!$E$2:$E$4001,$AA1013)&amp;"")</f>
        <v/>
      </c>
      <c r="C1013">
        <f>IF($AA1013="","",INDEX('Per Line'!$A$2:$A$4001,$AA1013)&amp;"")</f>
        <v/>
      </c>
      <c r="D1013">
        <f>IF($AA1013="","",INDEX('Per Line'!$D$2:$D$4001,$AA1013)&amp;"")</f>
        <v/>
      </c>
      <c r="E1013" s="11">
        <f>IF($AA1013="","",INDEX('Per Line'!$G$2:$G$4001,$AA1013))</f>
        <v/>
      </c>
      <c r="F1013">
        <f>IF($AA1013="","",INDEX('Per Line'!$H$2:$H$4001,$AA1013)&amp;"")</f>
        <v/>
      </c>
      <c r="G1013">
        <f>IF($AA1013="","",INDEX('Per Line'!$I$2:$I$4001,$AA1013)&amp;"")</f>
        <v/>
      </c>
      <c r="H1013">
        <f>IF($AA1013="","",INDEX('Per Line'!$J$2:$J$4001,$AA1013)&amp;"")</f>
        <v/>
      </c>
      <c r="I1013">
        <f>IF($AA1013="","",INDEX('Per Line'!$K$2:$K$4001,$AA1013)&amp;"")</f>
        <v/>
      </c>
      <c r="J1013">
        <f>IF($AA1013="","",INDEX('Per Line'!$L$2:$L$4001,$AA1013)&amp;"")</f>
        <v/>
      </c>
      <c r="K1013">
        <f>IF($AA1013="","",INDEX('Per Line'!$P$2:$P$4001,$AA1013))</f>
        <v/>
      </c>
      <c r="L1013" s="7">
        <f>IF($AA1013="","",IF(AND(ISNUMBER(N1013),N1013&gt;0,Y1013&gt;N1013),K1013*N1013/100+(Y1013-N1013),K1013*Y1013/100))</f>
        <v/>
      </c>
      <c r="M1013">
        <f>IF($AA1013="","",INDEX('Per Line'!$Z$2:$Z$4001,$AA1013)&amp;"")</f>
        <v/>
      </c>
      <c r="N1013">
        <f>IF($AA1013="","",INDEX('Per Line'!$AG$2:$AG$4001,$AA1013))</f>
        <v/>
      </c>
      <c r="O1013">
        <f>IF($AA1013="","",IF(AND(ISNUMBER(N1013),N1013&gt;0),Y1013&gt;N1013,FALSE))</f>
        <v/>
      </c>
      <c r="P1013" s="7">
        <f>IF($AA1013="","",SUMIFS('Per Line'!$Y$2:$Y$4001,'Per Line'!$E$2:$E$4001,$B1013,'Per Line'!$AQ$2:$AQ$4001,1))</f>
        <v/>
      </c>
      <c r="Q1013">
        <f>IF($AA1013="","",Settings!$C$7)</f>
        <v/>
      </c>
      <c r="R1013" s="7">
        <f>IF($AA1013="","",SUMIFS('Per Line'!$Y$2:$Y$4001,'Per Line'!$E$2:$E$4001,$B1013,'Per Line'!$AP$2:$AP$4001,0,'Per Line'!$AQ$2:$AQ$4001,0))</f>
        <v/>
      </c>
      <c r="S1013" s="7">
        <f>IF($AA1013="","",R1013*Q1013)</f>
        <v/>
      </c>
      <c r="T1013">
        <f>IF($AA1013="","",Settings!$C$6)</f>
        <v/>
      </c>
      <c r="U1013" s="7">
        <f>IF($AA1013="","",SUMIFS('Per Line'!$Y$2:$Y$4001,'Per Line'!$E$2:$E$4001,$B1013,'Per Line'!$AP$2:$AP$4001,1,'Per Line'!$AQ$2:$AQ$4001,0))</f>
        <v/>
      </c>
      <c r="V1013" s="7">
        <f>IF($AA1013="","",U1013*T1013)</f>
        <v/>
      </c>
      <c r="W1013" s="7">
        <f>IF($AA1013="","",V1013+S1013)</f>
        <v/>
      </c>
      <c r="X1013" s="7">
        <f>IF($AA1013="","",Y1013-W1013)</f>
        <v/>
      </c>
      <c r="Y1013" s="7">
        <f>IF($AA1013="","",R1013+U1013+P1013)</f>
        <v/>
      </c>
      <c r="Z1013" s="7">
        <f>IF($AA1013="","",Y1013-W1013-L1013)</f>
        <v/>
      </c>
      <c r="AA1013" s="13">
        <f>IF(ROWS($AA$2:$AA1013)&lt;=MAX('Per Line'!$AO$2:$AO$4001),MATCH(ROWS($AA$2:$AA1013),'Per Line'!$AO$2:$AO$4001,0),"")</f>
        <v/>
      </c>
      <c r="AB1013" s="14">
        <f>IF($AA1013="","",L1013-K1013*Y1013/100)</f>
        <v/>
      </c>
    </row>
    <row r="1014">
      <c r="A1014" s="12" t="n"/>
      <c r="B1014">
        <f>IF($AA1014="","",INDEX('Per Line'!$E$2:$E$4001,$AA1014)&amp;"")</f>
        <v/>
      </c>
      <c r="C1014">
        <f>IF($AA1014="","",INDEX('Per Line'!$A$2:$A$4001,$AA1014)&amp;"")</f>
        <v/>
      </c>
      <c r="D1014">
        <f>IF($AA1014="","",INDEX('Per Line'!$D$2:$D$4001,$AA1014)&amp;"")</f>
        <v/>
      </c>
      <c r="E1014" s="11">
        <f>IF($AA1014="","",INDEX('Per Line'!$G$2:$G$4001,$AA1014))</f>
        <v/>
      </c>
      <c r="F1014">
        <f>IF($AA1014="","",INDEX('Per Line'!$H$2:$H$4001,$AA1014)&amp;"")</f>
        <v/>
      </c>
      <c r="G1014">
        <f>IF($AA1014="","",INDEX('Per Line'!$I$2:$I$4001,$AA1014)&amp;"")</f>
        <v/>
      </c>
      <c r="H1014">
        <f>IF($AA1014="","",INDEX('Per Line'!$J$2:$J$4001,$AA1014)&amp;"")</f>
        <v/>
      </c>
      <c r="I1014">
        <f>IF($AA1014="","",INDEX('Per Line'!$K$2:$K$4001,$AA1014)&amp;"")</f>
        <v/>
      </c>
      <c r="J1014">
        <f>IF($AA1014="","",INDEX('Per Line'!$L$2:$L$4001,$AA1014)&amp;"")</f>
        <v/>
      </c>
      <c r="K1014">
        <f>IF($AA1014="","",INDEX('Per Line'!$P$2:$P$4001,$AA1014))</f>
        <v/>
      </c>
      <c r="L1014" s="7">
        <f>IF($AA1014="","",IF(AND(ISNUMBER(N1014),N1014&gt;0,Y1014&gt;N1014),K1014*N1014/100+(Y1014-N1014),K1014*Y1014/100))</f>
        <v/>
      </c>
      <c r="M1014">
        <f>IF($AA1014="","",INDEX('Per Line'!$Z$2:$Z$4001,$AA1014)&amp;"")</f>
        <v/>
      </c>
      <c r="N1014">
        <f>IF($AA1014="","",INDEX('Per Line'!$AG$2:$AG$4001,$AA1014))</f>
        <v/>
      </c>
      <c r="O1014">
        <f>IF($AA1014="","",IF(AND(ISNUMBER(N1014),N1014&gt;0),Y1014&gt;N1014,FALSE))</f>
        <v/>
      </c>
      <c r="P1014" s="7">
        <f>IF($AA1014="","",SUMIFS('Per Line'!$Y$2:$Y$4001,'Per Line'!$E$2:$E$4001,$B1014,'Per Line'!$AQ$2:$AQ$4001,1))</f>
        <v/>
      </c>
      <c r="Q1014">
        <f>IF($AA1014="","",Settings!$C$7)</f>
        <v/>
      </c>
      <c r="R1014" s="7">
        <f>IF($AA1014="","",SUMIFS('Per Line'!$Y$2:$Y$4001,'Per Line'!$E$2:$E$4001,$B1014,'Per Line'!$AP$2:$AP$4001,0,'Per Line'!$AQ$2:$AQ$4001,0))</f>
        <v/>
      </c>
      <c r="S1014" s="7">
        <f>IF($AA1014="","",R1014*Q1014)</f>
        <v/>
      </c>
      <c r="T1014">
        <f>IF($AA1014="","",Settings!$C$6)</f>
        <v/>
      </c>
      <c r="U1014" s="7">
        <f>IF($AA1014="","",SUMIFS('Per Line'!$Y$2:$Y$4001,'Per Line'!$E$2:$E$4001,$B1014,'Per Line'!$AP$2:$AP$4001,1,'Per Line'!$AQ$2:$AQ$4001,0))</f>
        <v/>
      </c>
      <c r="V1014" s="7">
        <f>IF($AA1014="","",U1014*T1014)</f>
        <v/>
      </c>
      <c r="W1014" s="7">
        <f>IF($AA1014="","",V1014+S1014)</f>
        <v/>
      </c>
      <c r="X1014" s="7">
        <f>IF($AA1014="","",Y1014-W1014)</f>
        <v/>
      </c>
      <c r="Y1014" s="7">
        <f>IF($AA1014="","",R1014+U1014+P1014)</f>
        <v/>
      </c>
      <c r="Z1014" s="7">
        <f>IF($AA1014="","",Y1014-W1014-L1014)</f>
        <v/>
      </c>
      <c r="AA1014" s="13">
        <f>IF(ROWS($AA$2:$AA1014)&lt;=MAX('Per Line'!$AO$2:$AO$4001),MATCH(ROWS($AA$2:$AA1014),'Per Line'!$AO$2:$AO$4001,0),"")</f>
        <v/>
      </c>
      <c r="AB1014" s="14">
        <f>IF($AA1014="","",L1014-K1014*Y1014/100)</f>
        <v/>
      </c>
    </row>
    <row r="1015">
      <c r="A1015" s="12" t="n"/>
      <c r="B1015">
        <f>IF($AA1015="","",INDEX('Per Line'!$E$2:$E$4001,$AA1015)&amp;"")</f>
        <v/>
      </c>
      <c r="C1015">
        <f>IF($AA1015="","",INDEX('Per Line'!$A$2:$A$4001,$AA1015)&amp;"")</f>
        <v/>
      </c>
      <c r="D1015">
        <f>IF($AA1015="","",INDEX('Per Line'!$D$2:$D$4001,$AA1015)&amp;"")</f>
        <v/>
      </c>
      <c r="E1015" s="11">
        <f>IF($AA1015="","",INDEX('Per Line'!$G$2:$G$4001,$AA1015))</f>
        <v/>
      </c>
      <c r="F1015">
        <f>IF($AA1015="","",INDEX('Per Line'!$H$2:$H$4001,$AA1015)&amp;"")</f>
        <v/>
      </c>
      <c r="G1015">
        <f>IF($AA1015="","",INDEX('Per Line'!$I$2:$I$4001,$AA1015)&amp;"")</f>
        <v/>
      </c>
      <c r="H1015">
        <f>IF($AA1015="","",INDEX('Per Line'!$J$2:$J$4001,$AA1015)&amp;"")</f>
        <v/>
      </c>
      <c r="I1015">
        <f>IF($AA1015="","",INDEX('Per Line'!$K$2:$K$4001,$AA1015)&amp;"")</f>
        <v/>
      </c>
      <c r="J1015">
        <f>IF($AA1015="","",INDEX('Per Line'!$L$2:$L$4001,$AA1015)&amp;"")</f>
        <v/>
      </c>
      <c r="K1015">
        <f>IF($AA1015="","",INDEX('Per Line'!$P$2:$P$4001,$AA1015))</f>
        <v/>
      </c>
      <c r="L1015" s="7">
        <f>IF($AA1015="","",IF(AND(ISNUMBER(N1015),N1015&gt;0,Y1015&gt;N1015),K1015*N1015/100+(Y1015-N1015),K1015*Y1015/100))</f>
        <v/>
      </c>
      <c r="M1015">
        <f>IF($AA1015="","",INDEX('Per Line'!$Z$2:$Z$4001,$AA1015)&amp;"")</f>
        <v/>
      </c>
      <c r="N1015">
        <f>IF($AA1015="","",INDEX('Per Line'!$AG$2:$AG$4001,$AA1015))</f>
        <v/>
      </c>
      <c r="O1015">
        <f>IF($AA1015="","",IF(AND(ISNUMBER(N1015),N1015&gt;0),Y1015&gt;N1015,FALSE))</f>
        <v/>
      </c>
      <c r="P1015" s="7">
        <f>IF($AA1015="","",SUMIFS('Per Line'!$Y$2:$Y$4001,'Per Line'!$E$2:$E$4001,$B1015,'Per Line'!$AQ$2:$AQ$4001,1))</f>
        <v/>
      </c>
      <c r="Q1015">
        <f>IF($AA1015="","",Settings!$C$7)</f>
        <v/>
      </c>
      <c r="R1015" s="7">
        <f>IF($AA1015="","",SUMIFS('Per Line'!$Y$2:$Y$4001,'Per Line'!$E$2:$E$4001,$B1015,'Per Line'!$AP$2:$AP$4001,0,'Per Line'!$AQ$2:$AQ$4001,0))</f>
        <v/>
      </c>
      <c r="S1015" s="7">
        <f>IF($AA1015="","",R1015*Q1015)</f>
        <v/>
      </c>
      <c r="T1015">
        <f>IF($AA1015="","",Settings!$C$6)</f>
        <v/>
      </c>
      <c r="U1015" s="7">
        <f>IF($AA1015="","",SUMIFS('Per Line'!$Y$2:$Y$4001,'Per Line'!$E$2:$E$4001,$B1015,'Per Line'!$AP$2:$AP$4001,1,'Per Line'!$AQ$2:$AQ$4001,0))</f>
        <v/>
      </c>
      <c r="V1015" s="7">
        <f>IF($AA1015="","",U1015*T1015)</f>
        <v/>
      </c>
      <c r="W1015" s="7">
        <f>IF($AA1015="","",V1015+S1015)</f>
        <v/>
      </c>
      <c r="X1015" s="7">
        <f>IF($AA1015="","",Y1015-W1015)</f>
        <v/>
      </c>
      <c r="Y1015" s="7">
        <f>IF($AA1015="","",R1015+U1015+P1015)</f>
        <v/>
      </c>
      <c r="Z1015" s="7">
        <f>IF($AA1015="","",Y1015-W1015-L1015)</f>
        <v/>
      </c>
      <c r="AA1015" s="13">
        <f>IF(ROWS($AA$2:$AA1015)&lt;=MAX('Per Line'!$AO$2:$AO$4001),MATCH(ROWS($AA$2:$AA1015),'Per Line'!$AO$2:$AO$4001,0),"")</f>
        <v/>
      </c>
      <c r="AB1015" s="14">
        <f>IF($AA1015="","",L1015-K1015*Y1015/100)</f>
        <v/>
      </c>
    </row>
    <row r="1016">
      <c r="A1016" s="12" t="n"/>
      <c r="B1016">
        <f>IF($AA1016="","",INDEX('Per Line'!$E$2:$E$4001,$AA1016)&amp;"")</f>
        <v/>
      </c>
      <c r="C1016">
        <f>IF($AA1016="","",INDEX('Per Line'!$A$2:$A$4001,$AA1016)&amp;"")</f>
        <v/>
      </c>
      <c r="D1016">
        <f>IF($AA1016="","",INDEX('Per Line'!$D$2:$D$4001,$AA1016)&amp;"")</f>
        <v/>
      </c>
      <c r="E1016" s="11">
        <f>IF($AA1016="","",INDEX('Per Line'!$G$2:$G$4001,$AA1016))</f>
        <v/>
      </c>
      <c r="F1016">
        <f>IF($AA1016="","",INDEX('Per Line'!$H$2:$H$4001,$AA1016)&amp;"")</f>
        <v/>
      </c>
      <c r="G1016">
        <f>IF($AA1016="","",INDEX('Per Line'!$I$2:$I$4001,$AA1016)&amp;"")</f>
        <v/>
      </c>
      <c r="H1016">
        <f>IF($AA1016="","",INDEX('Per Line'!$J$2:$J$4001,$AA1016)&amp;"")</f>
        <v/>
      </c>
      <c r="I1016">
        <f>IF($AA1016="","",INDEX('Per Line'!$K$2:$K$4001,$AA1016)&amp;"")</f>
        <v/>
      </c>
      <c r="J1016">
        <f>IF($AA1016="","",INDEX('Per Line'!$L$2:$L$4001,$AA1016)&amp;"")</f>
        <v/>
      </c>
      <c r="K1016">
        <f>IF($AA1016="","",INDEX('Per Line'!$P$2:$P$4001,$AA1016))</f>
        <v/>
      </c>
      <c r="L1016" s="7">
        <f>IF($AA1016="","",IF(AND(ISNUMBER(N1016),N1016&gt;0,Y1016&gt;N1016),K1016*N1016/100+(Y1016-N1016),K1016*Y1016/100))</f>
        <v/>
      </c>
      <c r="M1016">
        <f>IF($AA1016="","",INDEX('Per Line'!$Z$2:$Z$4001,$AA1016)&amp;"")</f>
        <v/>
      </c>
      <c r="N1016">
        <f>IF($AA1016="","",INDEX('Per Line'!$AG$2:$AG$4001,$AA1016))</f>
        <v/>
      </c>
      <c r="O1016">
        <f>IF($AA1016="","",IF(AND(ISNUMBER(N1016),N1016&gt;0),Y1016&gt;N1016,FALSE))</f>
        <v/>
      </c>
      <c r="P1016" s="7">
        <f>IF($AA1016="","",SUMIFS('Per Line'!$Y$2:$Y$4001,'Per Line'!$E$2:$E$4001,$B1016,'Per Line'!$AQ$2:$AQ$4001,1))</f>
        <v/>
      </c>
      <c r="Q1016">
        <f>IF($AA1016="","",Settings!$C$7)</f>
        <v/>
      </c>
      <c r="R1016" s="7">
        <f>IF($AA1016="","",SUMIFS('Per Line'!$Y$2:$Y$4001,'Per Line'!$E$2:$E$4001,$B1016,'Per Line'!$AP$2:$AP$4001,0,'Per Line'!$AQ$2:$AQ$4001,0))</f>
        <v/>
      </c>
      <c r="S1016" s="7">
        <f>IF($AA1016="","",R1016*Q1016)</f>
        <v/>
      </c>
      <c r="T1016">
        <f>IF($AA1016="","",Settings!$C$6)</f>
        <v/>
      </c>
      <c r="U1016" s="7">
        <f>IF($AA1016="","",SUMIFS('Per Line'!$Y$2:$Y$4001,'Per Line'!$E$2:$E$4001,$B1016,'Per Line'!$AP$2:$AP$4001,1,'Per Line'!$AQ$2:$AQ$4001,0))</f>
        <v/>
      </c>
      <c r="V1016" s="7">
        <f>IF($AA1016="","",U1016*T1016)</f>
        <v/>
      </c>
      <c r="W1016" s="7">
        <f>IF($AA1016="","",V1016+S1016)</f>
        <v/>
      </c>
      <c r="X1016" s="7">
        <f>IF($AA1016="","",Y1016-W1016)</f>
        <v/>
      </c>
      <c r="Y1016" s="7">
        <f>IF($AA1016="","",R1016+U1016+P1016)</f>
        <v/>
      </c>
      <c r="Z1016" s="7">
        <f>IF($AA1016="","",Y1016-W1016-L1016)</f>
        <v/>
      </c>
      <c r="AA1016" s="13">
        <f>IF(ROWS($AA$2:$AA1016)&lt;=MAX('Per Line'!$AO$2:$AO$4001),MATCH(ROWS($AA$2:$AA1016),'Per Line'!$AO$2:$AO$4001,0),"")</f>
        <v/>
      </c>
      <c r="AB1016" s="14">
        <f>IF($AA1016="","",L1016-K1016*Y1016/100)</f>
        <v/>
      </c>
    </row>
    <row r="1017">
      <c r="A1017" s="12" t="n"/>
      <c r="B1017">
        <f>IF($AA1017="","",INDEX('Per Line'!$E$2:$E$4001,$AA1017)&amp;"")</f>
        <v/>
      </c>
      <c r="C1017">
        <f>IF($AA1017="","",INDEX('Per Line'!$A$2:$A$4001,$AA1017)&amp;"")</f>
        <v/>
      </c>
      <c r="D1017">
        <f>IF($AA1017="","",INDEX('Per Line'!$D$2:$D$4001,$AA1017)&amp;"")</f>
        <v/>
      </c>
      <c r="E1017" s="11">
        <f>IF($AA1017="","",INDEX('Per Line'!$G$2:$G$4001,$AA1017))</f>
        <v/>
      </c>
      <c r="F1017">
        <f>IF($AA1017="","",INDEX('Per Line'!$H$2:$H$4001,$AA1017)&amp;"")</f>
        <v/>
      </c>
      <c r="G1017">
        <f>IF($AA1017="","",INDEX('Per Line'!$I$2:$I$4001,$AA1017)&amp;"")</f>
        <v/>
      </c>
      <c r="H1017">
        <f>IF($AA1017="","",INDEX('Per Line'!$J$2:$J$4001,$AA1017)&amp;"")</f>
        <v/>
      </c>
      <c r="I1017">
        <f>IF($AA1017="","",INDEX('Per Line'!$K$2:$K$4001,$AA1017)&amp;"")</f>
        <v/>
      </c>
      <c r="J1017">
        <f>IF($AA1017="","",INDEX('Per Line'!$L$2:$L$4001,$AA1017)&amp;"")</f>
        <v/>
      </c>
      <c r="K1017">
        <f>IF($AA1017="","",INDEX('Per Line'!$P$2:$P$4001,$AA1017))</f>
        <v/>
      </c>
      <c r="L1017" s="7">
        <f>IF($AA1017="","",IF(AND(ISNUMBER(N1017),N1017&gt;0,Y1017&gt;N1017),K1017*N1017/100+(Y1017-N1017),K1017*Y1017/100))</f>
        <v/>
      </c>
      <c r="M1017">
        <f>IF($AA1017="","",INDEX('Per Line'!$Z$2:$Z$4001,$AA1017)&amp;"")</f>
        <v/>
      </c>
      <c r="N1017">
        <f>IF($AA1017="","",INDEX('Per Line'!$AG$2:$AG$4001,$AA1017))</f>
        <v/>
      </c>
      <c r="O1017">
        <f>IF($AA1017="","",IF(AND(ISNUMBER(N1017),N1017&gt;0),Y1017&gt;N1017,FALSE))</f>
        <v/>
      </c>
      <c r="P1017" s="7">
        <f>IF($AA1017="","",SUMIFS('Per Line'!$Y$2:$Y$4001,'Per Line'!$E$2:$E$4001,$B1017,'Per Line'!$AQ$2:$AQ$4001,1))</f>
        <v/>
      </c>
      <c r="Q1017">
        <f>IF($AA1017="","",Settings!$C$7)</f>
        <v/>
      </c>
      <c r="R1017" s="7">
        <f>IF($AA1017="","",SUMIFS('Per Line'!$Y$2:$Y$4001,'Per Line'!$E$2:$E$4001,$B1017,'Per Line'!$AP$2:$AP$4001,0,'Per Line'!$AQ$2:$AQ$4001,0))</f>
        <v/>
      </c>
      <c r="S1017" s="7">
        <f>IF($AA1017="","",R1017*Q1017)</f>
        <v/>
      </c>
      <c r="T1017">
        <f>IF($AA1017="","",Settings!$C$6)</f>
        <v/>
      </c>
      <c r="U1017" s="7">
        <f>IF($AA1017="","",SUMIFS('Per Line'!$Y$2:$Y$4001,'Per Line'!$E$2:$E$4001,$B1017,'Per Line'!$AP$2:$AP$4001,1,'Per Line'!$AQ$2:$AQ$4001,0))</f>
        <v/>
      </c>
      <c r="V1017" s="7">
        <f>IF($AA1017="","",U1017*T1017)</f>
        <v/>
      </c>
      <c r="W1017" s="7">
        <f>IF($AA1017="","",V1017+S1017)</f>
        <v/>
      </c>
      <c r="X1017" s="7">
        <f>IF($AA1017="","",Y1017-W1017)</f>
        <v/>
      </c>
      <c r="Y1017" s="7">
        <f>IF($AA1017="","",R1017+U1017+P1017)</f>
        <v/>
      </c>
      <c r="Z1017" s="7">
        <f>IF($AA1017="","",Y1017-W1017-L1017)</f>
        <v/>
      </c>
      <c r="AA1017" s="13">
        <f>IF(ROWS($AA$2:$AA1017)&lt;=MAX('Per Line'!$AO$2:$AO$4001),MATCH(ROWS($AA$2:$AA1017),'Per Line'!$AO$2:$AO$4001,0),"")</f>
        <v/>
      </c>
      <c r="AB1017" s="14">
        <f>IF($AA1017="","",L1017-K1017*Y1017/100)</f>
        <v/>
      </c>
    </row>
    <row r="1018">
      <c r="A1018" s="12" t="n"/>
      <c r="B1018">
        <f>IF($AA1018="","",INDEX('Per Line'!$E$2:$E$4001,$AA1018)&amp;"")</f>
        <v/>
      </c>
      <c r="C1018">
        <f>IF($AA1018="","",INDEX('Per Line'!$A$2:$A$4001,$AA1018)&amp;"")</f>
        <v/>
      </c>
      <c r="D1018">
        <f>IF($AA1018="","",INDEX('Per Line'!$D$2:$D$4001,$AA1018)&amp;"")</f>
        <v/>
      </c>
      <c r="E1018" s="11">
        <f>IF($AA1018="","",INDEX('Per Line'!$G$2:$G$4001,$AA1018))</f>
        <v/>
      </c>
      <c r="F1018">
        <f>IF($AA1018="","",INDEX('Per Line'!$H$2:$H$4001,$AA1018)&amp;"")</f>
        <v/>
      </c>
      <c r="G1018">
        <f>IF($AA1018="","",INDEX('Per Line'!$I$2:$I$4001,$AA1018)&amp;"")</f>
        <v/>
      </c>
      <c r="H1018">
        <f>IF($AA1018="","",INDEX('Per Line'!$J$2:$J$4001,$AA1018)&amp;"")</f>
        <v/>
      </c>
      <c r="I1018">
        <f>IF($AA1018="","",INDEX('Per Line'!$K$2:$K$4001,$AA1018)&amp;"")</f>
        <v/>
      </c>
      <c r="J1018">
        <f>IF($AA1018="","",INDEX('Per Line'!$L$2:$L$4001,$AA1018)&amp;"")</f>
        <v/>
      </c>
      <c r="K1018">
        <f>IF($AA1018="","",INDEX('Per Line'!$P$2:$P$4001,$AA1018))</f>
        <v/>
      </c>
      <c r="L1018" s="7">
        <f>IF($AA1018="","",IF(AND(ISNUMBER(N1018),N1018&gt;0,Y1018&gt;N1018),K1018*N1018/100+(Y1018-N1018),K1018*Y1018/100))</f>
        <v/>
      </c>
      <c r="M1018">
        <f>IF($AA1018="","",INDEX('Per Line'!$Z$2:$Z$4001,$AA1018)&amp;"")</f>
        <v/>
      </c>
      <c r="N1018">
        <f>IF($AA1018="","",INDEX('Per Line'!$AG$2:$AG$4001,$AA1018))</f>
        <v/>
      </c>
      <c r="O1018">
        <f>IF($AA1018="","",IF(AND(ISNUMBER(N1018),N1018&gt;0),Y1018&gt;N1018,FALSE))</f>
        <v/>
      </c>
      <c r="P1018" s="7">
        <f>IF($AA1018="","",SUMIFS('Per Line'!$Y$2:$Y$4001,'Per Line'!$E$2:$E$4001,$B1018,'Per Line'!$AQ$2:$AQ$4001,1))</f>
        <v/>
      </c>
      <c r="Q1018">
        <f>IF($AA1018="","",Settings!$C$7)</f>
        <v/>
      </c>
      <c r="R1018" s="7">
        <f>IF($AA1018="","",SUMIFS('Per Line'!$Y$2:$Y$4001,'Per Line'!$E$2:$E$4001,$B1018,'Per Line'!$AP$2:$AP$4001,0,'Per Line'!$AQ$2:$AQ$4001,0))</f>
        <v/>
      </c>
      <c r="S1018" s="7">
        <f>IF($AA1018="","",R1018*Q1018)</f>
        <v/>
      </c>
      <c r="T1018">
        <f>IF($AA1018="","",Settings!$C$6)</f>
        <v/>
      </c>
      <c r="U1018" s="7">
        <f>IF($AA1018="","",SUMIFS('Per Line'!$Y$2:$Y$4001,'Per Line'!$E$2:$E$4001,$B1018,'Per Line'!$AP$2:$AP$4001,1,'Per Line'!$AQ$2:$AQ$4001,0))</f>
        <v/>
      </c>
      <c r="V1018" s="7">
        <f>IF($AA1018="","",U1018*T1018)</f>
        <v/>
      </c>
      <c r="W1018" s="7">
        <f>IF($AA1018="","",V1018+S1018)</f>
        <v/>
      </c>
      <c r="X1018" s="7">
        <f>IF($AA1018="","",Y1018-W1018)</f>
        <v/>
      </c>
      <c r="Y1018" s="7">
        <f>IF($AA1018="","",R1018+U1018+P1018)</f>
        <v/>
      </c>
      <c r="Z1018" s="7">
        <f>IF($AA1018="","",Y1018-W1018-L1018)</f>
        <v/>
      </c>
      <c r="AA1018" s="13">
        <f>IF(ROWS($AA$2:$AA1018)&lt;=MAX('Per Line'!$AO$2:$AO$4001),MATCH(ROWS($AA$2:$AA1018),'Per Line'!$AO$2:$AO$4001,0),"")</f>
        <v/>
      </c>
      <c r="AB1018" s="14">
        <f>IF($AA1018="","",L1018-K1018*Y1018/100)</f>
        <v/>
      </c>
    </row>
    <row r="1019">
      <c r="A1019" s="12" t="n"/>
      <c r="B1019">
        <f>IF($AA1019="","",INDEX('Per Line'!$E$2:$E$4001,$AA1019)&amp;"")</f>
        <v/>
      </c>
      <c r="C1019">
        <f>IF($AA1019="","",INDEX('Per Line'!$A$2:$A$4001,$AA1019)&amp;"")</f>
        <v/>
      </c>
      <c r="D1019">
        <f>IF($AA1019="","",INDEX('Per Line'!$D$2:$D$4001,$AA1019)&amp;"")</f>
        <v/>
      </c>
      <c r="E1019" s="11">
        <f>IF($AA1019="","",INDEX('Per Line'!$G$2:$G$4001,$AA1019))</f>
        <v/>
      </c>
      <c r="F1019">
        <f>IF($AA1019="","",INDEX('Per Line'!$H$2:$H$4001,$AA1019)&amp;"")</f>
        <v/>
      </c>
      <c r="G1019">
        <f>IF($AA1019="","",INDEX('Per Line'!$I$2:$I$4001,$AA1019)&amp;"")</f>
        <v/>
      </c>
      <c r="H1019">
        <f>IF($AA1019="","",INDEX('Per Line'!$J$2:$J$4001,$AA1019)&amp;"")</f>
        <v/>
      </c>
      <c r="I1019">
        <f>IF($AA1019="","",INDEX('Per Line'!$K$2:$K$4001,$AA1019)&amp;"")</f>
        <v/>
      </c>
      <c r="J1019">
        <f>IF($AA1019="","",INDEX('Per Line'!$L$2:$L$4001,$AA1019)&amp;"")</f>
        <v/>
      </c>
      <c r="K1019">
        <f>IF($AA1019="","",INDEX('Per Line'!$P$2:$P$4001,$AA1019))</f>
        <v/>
      </c>
      <c r="L1019" s="7">
        <f>IF($AA1019="","",IF(AND(ISNUMBER(N1019),N1019&gt;0,Y1019&gt;N1019),K1019*N1019/100+(Y1019-N1019),K1019*Y1019/100))</f>
        <v/>
      </c>
      <c r="M1019">
        <f>IF($AA1019="","",INDEX('Per Line'!$Z$2:$Z$4001,$AA1019)&amp;"")</f>
        <v/>
      </c>
      <c r="N1019">
        <f>IF($AA1019="","",INDEX('Per Line'!$AG$2:$AG$4001,$AA1019))</f>
        <v/>
      </c>
      <c r="O1019">
        <f>IF($AA1019="","",IF(AND(ISNUMBER(N1019),N1019&gt;0),Y1019&gt;N1019,FALSE))</f>
        <v/>
      </c>
      <c r="P1019" s="7">
        <f>IF($AA1019="","",SUMIFS('Per Line'!$Y$2:$Y$4001,'Per Line'!$E$2:$E$4001,$B1019,'Per Line'!$AQ$2:$AQ$4001,1))</f>
        <v/>
      </c>
      <c r="Q1019">
        <f>IF($AA1019="","",Settings!$C$7)</f>
        <v/>
      </c>
      <c r="R1019" s="7">
        <f>IF($AA1019="","",SUMIFS('Per Line'!$Y$2:$Y$4001,'Per Line'!$E$2:$E$4001,$B1019,'Per Line'!$AP$2:$AP$4001,0,'Per Line'!$AQ$2:$AQ$4001,0))</f>
        <v/>
      </c>
      <c r="S1019" s="7">
        <f>IF($AA1019="","",R1019*Q1019)</f>
        <v/>
      </c>
      <c r="T1019">
        <f>IF($AA1019="","",Settings!$C$6)</f>
        <v/>
      </c>
      <c r="U1019" s="7">
        <f>IF($AA1019="","",SUMIFS('Per Line'!$Y$2:$Y$4001,'Per Line'!$E$2:$E$4001,$B1019,'Per Line'!$AP$2:$AP$4001,1,'Per Line'!$AQ$2:$AQ$4001,0))</f>
        <v/>
      </c>
      <c r="V1019" s="7">
        <f>IF($AA1019="","",U1019*T1019)</f>
        <v/>
      </c>
      <c r="W1019" s="7">
        <f>IF($AA1019="","",V1019+S1019)</f>
        <v/>
      </c>
      <c r="X1019" s="7">
        <f>IF($AA1019="","",Y1019-W1019)</f>
        <v/>
      </c>
      <c r="Y1019" s="7">
        <f>IF($AA1019="","",R1019+U1019+P1019)</f>
        <v/>
      </c>
      <c r="Z1019" s="7">
        <f>IF($AA1019="","",Y1019-W1019-L1019)</f>
        <v/>
      </c>
      <c r="AA1019" s="13">
        <f>IF(ROWS($AA$2:$AA1019)&lt;=MAX('Per Line'!$AO$2:$AO$4001),MATCH(ROWS($AA$2:$AA1019),'Per Line'!$AO$2:$AO$4001,0),"")</f>
        <v/>
      </c>
      <c r="AB1019" s="14">
        <f>IF($AA1019="","",L1019-K1019*Y1019/100)</f>
        <v/>
      </c>
    </row>
    <row r="1020">
      <c r="A1020" s="12" t="n"/>
      <c r="B1020">
        <f>IF($AA1020="","",INDEX('Per Line'!$E$2:$E$4001,$AA1020)&amp;"")</f>
        <v/>
      </c>
      <c r="C1020">
        <f>IF($AA1020="","",INDEX('Per Line'!$A$2:$A$4001,$AA1020)&amp;"")</f>
        <v/>
      </c>
      <c r="D1020">
        <f>IF($AA1020="","",INDEX('Per Line'!$D$2:$D$4001,$AA1020)&amp;"")</f>
        <v/>
      </c>
      <c r="E1020" s="11">
        <f>IF($AA1020="","",INDEX('Per Line'!$G$2:$G$4001,$AA1020))</f>
        <v/>
      </c>
      <c r="F1020">
        <f>IF($AA1020="","",INDEX('Per Line'!$H$2:$H$4001,$AA1020)&amp;"")</f>
        <v/>
      </c>
      <c r="G1020">
        <f>IF($AA1020="","",INDEX('Per Line'!$I$2:$I$4001,$AA1020)&amp;"")</f>
        <v/>
      </c>
      <c r="H1020">
        <f>IF($AA1020="","",INDEX('Per Line'!$J$2:$J$4001,$AA1020)&amp;"")</f>
        <v/>
      </c>
      <c r="I1020">
        <f>IF($AA1020="","",INDEX('Per Line'!$K$2:$K$4001,$AA1020)&amp;"")</f>
        <v/>
      </c>
      <c r="J1020">
        <f>IF($AA1020="","",INDEX('Per Line'!$L$2:$L$4001,$AA1020)&amp;"")</f>
        <v/>
      </c>
      <c r="K1020">
        <f>IF($AA1020="","",INDEX('Per Line'!$P$2:$P$4001,$AA1020))</f>
        <v/>
      </c>
      <c r="L1020" s="7">
        <f>IF($AA1020="","",IF(AND(ISNUMBER(N1020),N1020&gt;0,Y1020&gt;N1020),K1020*N1020/100+(Y1020-N1020),K1020*Y1020/100))</f>
        <v/>
      </c>
      <c r="M1020">
        <f>IF($AA1020="","",INDEX('Per Line'!$Z$2:$Z$4001,$AA1020)&amp;"")</f>
        <v/>
      </c>
      <c r="N1020">
        <f>IF($AA1020="","",INDEX('Per Line'!$AG$2:$AG$4001,$AA1020))</f>
        <v/>
      </c>
      <c r="O1020">
        <f>IF($AA1020="","",IF(AND(ISNUMBER(N1020),N1020&gt;0),Y1020&gt;N1020,FALSE))</f>
        <v/>
      </c>
      <c r="P1020" s="7">
        <f>IF($AA1020="","",SUMIFS('Per Line'!$Y$2:$Y$4001,'Per Line'!$E$2:$E$4001,$B1020,'Per Line'!$AQ$2:$AQ$4001,1))</f>
        <v/>
      </c>
      <c r="Q1020">
        <f>IF($AA1020="","",Settings!$C$7)</f>
        <v/>
      </c>
      <c r="R1020" s="7">
        <f>IF($AA1020="","",SUMIFS('Per Line'!$Y$2:$Y$4001,'Per Line'!$E$2:$E$4001,$B1020,'Per Line'!$AP$2:$AP$4001,0,'Per Line'!$AQ$2:$AQ$4001,0))</f>
        <v/>
      </c>
      <c r="S1020" s="7">
        <f>IF($AA1020="","",R1020*Q1020)</f>
        <v/>
      </c>
      <c r="T1020">
        <f>IF($AA1020="","",Settings!$C$6)</f>
        <v/>
      </c>
      <c r="U1020" s="7">
        <f>IF($AA1020="","",SUMIFS('Per Line'!$Y$2:$Y$4001,'Per Line'!$E$2:$E$4001,$B1020,'Per Line'!$AP$2:$AP$4001,1,'Per Line'!$AQ$2:$AQ$4001,0))</f>
        <v/>
      </c>
      <c r="V1020" s="7">
        <f>IF($AA1020="","",U1020*T1020)</f>
        <v/>
      </c>
      <c r="W1020" s="7">
        <f>IF($AA1020="","",V1020+S1020)</f>
        <v/>
      </c>
      <c r="X1020" s="7">
        <f>IF($AA1020="","",Y1020-W1020)</f>
        <v/>
      </c>
      <c r="Y1020" s="7">
        <f>IF($AA1020="","",R1020+U1020+P1020)</f>
        <v/>
      </c>
      <c r="Z1020" s="7">
        <f>IF($AA1020="","",Y1020-W1020-L1020)</f>
        <v/>
      </c>
      <c r="AA1020" s="13">
        <f>IF(ROWS($AA$2:$AA1020)&lt;=MAX('Per Line'!$AO$2:$AO$4001),MATCH(ROWS($AA$2:$AA1020),'Per Line'!$AO$2:$AO$4001,0),"")</f>
        <v/>
      </c>
      <c r="AB1020" s="14">
        <f>IF($AA1020="","",L1020-K1020*Y1020/100)</f>
        <v/>
      </c>
    </row>
    <row r="1021">
      <c r="A1021" s="12" t="n"/>
      <c r="B1021">
        <f>IF($AA1021="","",INDEX('Per Line'!$E$2:$E$4001,$AA1021)&amp;"")</f>
        <v/>
      </c>
      <c r="C1021">
        <f>IF($AA1021="","",INDEX('Per Line'!$A$2:$A$4001,$AA1021)&amp;"")</f>
        <v/>
      </c>
      <c r="D1021">
        <f>IF($AA1021="","",INDEX('Per Line'!$D$2:$D$4001,$AA1021)&amp;"")</f>
        <v/>
      </c>
      <c r="E1021" s="11">
        <f>IF($AA1021="","",INDEX('Per Line'!$G$2:$G$4001,$AA1021))</f>
        <v/>
      </c>
      <c r="F1021">
        <f>IF($AA1021="","",INDEX('Per Line'!$H$2:$H$4001,$AA1021)&amp;"")</f>
        <v/>
      </c>
      <c r="G1021">
        <f>IF($AA1021="","",INDEX('Per Line'!$I$2:$I$4001,$AA1021)&amp;"")</f>
        <v/>
      </c>
      <c r="H1021">
        <f>IF($AA1021="","",INDEX('Per Line'!$J$2:$J$4001,$AA1021)&amp;"")</f>
        <v/>
      </c>
      <c r="I1021">
        <f>IF($AA1021="","",INDEX('Per Line'!$K$2:$K$4001,$AA1021)&amp;"")</f>
        <v/>
      </c>
      <c r="J1021">
        <f>IF($AA1021="","",INDEX('Per Line'!$L$2:$L$4001,$AA1021)&amp;"")</f>
        <v/>
      </c>
      <c r="K1021">
        <f>IF($AA1021="","",INDEX('Per Line'!$P$2:$P$4001,$AA1021))</f>
        <v/>
      </c>
      <c r="L1021" s="7">
        <f>IF($AA1021="","",IF(AND(ISNUMBER(N1021),N1021&gt;0,Y1021&gt;N1021),K1021*N1021/100+(Y1021-N1021),K1021*Y1021/100))</f>
        <v/>
      </c>
      <c r="M1021">
        <f>IF($AA1021="","",INDEX('Per Line'!$Z$2:$Z$4001,$AA1021)&amp;"")</f>
        <v/>
      </c>
      <c r="N1021">
        <f>IF($AA1021="","",INDEX('Per Line'!$AG$2:$AG$4001,$AA1021))</f>
        <v/>
      </c>
      <c r="O1021">
        <f>IF($AA1021="","",IF(AND(ISNUMBER(N1021),N1021&gt;0),Y1021&gt;N1021,FALSE))</f>
        <v/>
      </c>
      <c r="P1021" s="7">
        <f>IF($AA1021="","",SUMIFS('Per Line'!$Y$2:$Y$4001,'Per Line'!$E$2:$E$4001,$B1021,'Per Line'!$AQ$2:$AQ$4001,1))</f>
        <v/>
      </c>
      <c r="Q1021">
        <f>IF($AA1021="","",Settings!$C$7)</f>
        <v/>
      </c>
      <c r="R1021" s="7">
        <f>IF($AA1021="","",SUMIFS('Per Line'!$Y$2:$Y$4001,'Per Line'!$E$2:$E$4001,$B1021,'Per Line'!$AP$2:$AP$4001,0,'Per Line'!$AQ$2:$AQ$4001,0))</f>
        <v/>
      </c>
      <c r="S1021" s="7">
        <f>IF($AA1021="","",R1021*Q1021)</f>
        <v/>
      </c>
      <c r="T1021">
        <f>IF($AA1021="","",Settings!$C$6)</f>
        <v/>
      </c>
      <c r="U1021" s="7">
        <f>IF($AA1021="","",SUMIFS('Per Line'!$Y$2:$Y$4001,'Per Line'!$E$2:$E$4001,$B1021,'Per Line'!$AP$2:$AP$4001,1,'Per Line'!$AQ$2:$AQ$4001,0))</f>
        <v/>
      </c>
      <c r="V1021" s="7">
        <f>IF($AA1021="","",U1021*T1021)</f>
        <v/>
      </c>
      <c r="W1021" s="7">
        <f>IF($AA1021="","",V1021+S1021)</f>
        <v/>
      </c>
      <c r="X1021" s="7">
        <f>IF($AA1021="","",Y1021-W1021)</f>
        <v/>
      </c>
      <c r="Y1021" s="7">
        <f>IF($AA1021="","",R1021+U1021+P1021)</f>
        <v/>
      </c>
      <c r="Z1021" s="7">
        <f>IF($AA1021="","",Y1021-W1021-L1021)</f>
        <v/>
      </c>
      <c r="AA1021" s="13">
        <f>IF(ROWS($AA$2:$AA1021)&lt;=MAX('Per Line'!$AO$2:$AO$4001),MATCH(ROWS($AA$2:$AA1021),'Per Line'!$AO$2:$AO$4001,0),"")</f>
        <v/>
      </c>
      <c r="AB1021" s="14">
        <f>IF($AA1021="","",L1021-K1021*Y1021/100)</f>
        <v/>
      </c>
    </row>
    <row r="1022">
      <c r="A1022" s="12" t="n"/>
      <c r="B1022">
        <f>IF($AA1022="","",INDEX('Per Line'!$E$2:$E$4001,$AA1022)&amp;"")</f>
        <v/>
      </c>
      <c r="C1022">
        <f>IF($AA1022="","",INDEX('Per Line'!$A$2:$A$4001,$AA1022)&amp;"")</f>
        <v/>
      </c>
      <c r="D1022">
        <f>IF($AA1022="","",INDEX('Per Line'!$D$2:$D$4001,$AA1022)&amp;"")</f>
        <v/>
      </c>
      <c r="E1022" s="11">
        <f>IF($AA1022="","",INDEX('Per Line'!$G$2:$G$4001,$AA1022))</f>
        <v/>
      </c>
      <c r="F1022">
        <f>IF($AA1022="","",INDEX('Per Line'!$H$2:$H$4001,$AA1022)&amp;"")</f>
        <v/>
      </c>
      <c r="G1022">
        <f>IF($AA1022="","",INDEX('Per Line'!$I$2:$I$4001,$AA1022)&amp;"")</f>
        <v/>
      </c>
      <c r="H1022">
        <f>IF($AA1022="","",INDEX('Per Line'!$J$2:$J$4001,$AA1022)&amp;"")</f>
        <v/>
      </c>
      <c r="I1022">
        <f>IF($AA1022="","",INDEX('Per Line'!$K$2:$K$4001,$AA1022)&amp;"")</f>
        <v/>
      </c>
      <c r="J1022">
        <f>IF($AA1022="","",INDEX('Per Line'!$L$2:$L$4001,$AA1022)&amp;"")</f>
        <v/>
      </c>
      <c r="K1022">
        <f>IF($AA1022="","",INDEX('Per Line'!$P$2:$P$4001,$AA1022))</f>
        <v/>
      </c>
      <c r="L1022" s="7">
        <f>IF($AA1022="","",IF(AND(ISNUMBER(N1022),N1022&gt;0,Y1022&gt;N1022),K1022*N1022/100+(Y1022-N1022),K1022*Y1022/100))</f>
        <v/>
      </c>
      <c r="M1022">
        <f>IF($AA1022="","",INDEX('Per Line'!$Z$2:$Z$4001,$AA1022)&amp;"")</f>
        <v/>
      </c>
      <c r="N1022">
        <f>IF($AA1022="","",INDEX('Per Line'!$AG$2:$AG$4001,$AA1022))</f>
        <v/>
      </c>
      <c r="O1022">
        <f>IF($AA1022="","",IF(AND(ISNUMBER(N1022),N1022&gt;0),Y1022&gt;N1022,FALSE))</f>
        <v/>
      </c>
      <c r="P1022" s="7">
        <f>IF($AA1022="","",SUMIFS('Per Line'!$Y$2:$Y$4001,'Per Line'!$E$2:$E$4001,$B1022,'Per Line'!$AQ$2:$AQ$4001,1))</f>
        <v/>
      </c>
      <c r="Q1022">
        <f>IF($AA1022="","",Settings!$C$7)</f>
        <v/>
      </c>
      <c r="R1022" s="7">
        <f>IF($AA1022="","",SUMIFS('Per Line'!$Y$2:$Y$4001,'Per Line'!$E$2:$E$4001,$B1022,'Per Line'!$AP$2:$AP$4001,0,'Per Line'!$AQ$2:$AQ$4001,0))</f>
        <v/>
      </c>
      <c r="S1022" s="7">
        <f>IF($AA1022="","",R1022*Q1022)</f>
        <v/>
      </c>
      <c r="T1022">
        <f>IF($AA1022="","",Settings!$C$6)</f>
        <v/>
      </c>
      <c r="U1022" s="7">
        <f>IF($AA1022="","",SUMIFS('Per Line'!$Y$2:$Y$4001,'Per Line'!$E$2:$E$4001,$B1022,'Per Line'!$AP$2:$AP$4001,1,'Per Line'!$AQ$2:$AQ$4001,0))</f>
        <v/>
      </c>
      <c r="V1022" s="7">
        <f>IF($AA1022="","",U1022*T1022)</f>
        <v/>
      </c>
      <c r="W1022" s="7">
        <f>IF($AA1022="","",V1022+S1022)</f>
        <v/>
      </c>
      <c r="X1022" s="7">
        <f>IF($AA1022="","",Y1022-W1022)</f>
        <v/>
      </c>
      <c r="Y1022" s="7">
        <f>IF($AA1022="","",R1022+U1022+P1022)</f>
        <v/>
      </c>
      <c r="Z1022" s="7">
        <f>IF($AA1022="","",Y1022-W1022-L1022)</f>
        <v/>
      </c>
      <c r="AA1022" s="13">
        <f>IF(ROWS($AA$2:$AA1022)&lt;=MAX('Per Line'!$AO$2:$AO$4001),MATCH(ROWS($AA$2:$AA1022),'Per Line'!$AO$2:$AO$4001,0),"")</f>
        <v/>
      </c>
      <c r="AB1022" s="14">
        <f>IF($AA1022="","",L1022-K1022*Y1022/100)</f>
        <v/>
      </c>
    </row>
    <row r="1023">
      <c r="A1023" s="12" t="n"/>
      <c r="B1023">
        <f>IF($AA1023="","",INDEX('Per Line'!$E$2:$E$4001,$AA1023)&amp;"")</f>
        <v/>
      </c>
      <c r="C1023">
        <f>IF($AA1023="","",INDEX('Per Line'!$A$2:$A$4001,$AA1023)&amp;"")</f>
        <v/>
      </c>
      <c r="D1023">
        <f>IF($AA1023="","",INDEX('Per Line'!$D$2:$D$4001,$AA1023)&amp;"")</f>
        <v/>
      </c>
      <c r="E1023" s="11">
        <f>IF($AA1023="","",INDEX('Per Line'!$G$2:$G$4001,$AA1023))</f>
        <v/>
      </c>
      <c r="F1023">
        <f>IF($AA1023="","",INDEX('Per Line'!$H$2:$H$4001,$AA1023)&amp;"")</f>
        <v/>
      </c>
      <c r="G1023">
        <f>IF($AA1023="","",INDEX('Per Line'!$I$2:$I$4001,$AA1023)&amp;"")</f>
        <v/>
      </c>
      <c r="H1023">
        <f>IF($AA1023="","",INDEX('Per Line'!$J$2:$J$4001,$AA1023)&amp;"")</f>
        <v/>
      </c>
      <c r="I1023">
        <f>IF($AA1023="","",INDEX('Per Line'!$K$2:$K$4001,$AA1023)&amp;"")</f>
        <v/>
      </c>
      <c r="J1023">
        <f>IF($AA1023="","",INDEX('Per Line'!$L$2:$L$4001,$AA1023)&amp;"")</f>
        <v/>
      </c>
      <c r="K1023">
        <f>IF($AA1023="","",INDEX('Per Line'!$P$2:$P$4001,$AA1023))</f>
        <v/>
      </c>
      <c r="L1023" s="7">
        <f>IF($AA1023="","",IF(AND(ISNUMBER(N1023),N1023&gt;0,Y1023&gt;N1023),K1023*N1023/100+(Y1023-N1023),K1023*Y1023/100))</f>
        <v/>
      </c>
      <c r="M1023">
        <f>IF($AA1023="","",INDEX('Per Line'!$Z$2:$Z$4001,$AA1023)&amp;"")</f>
        <v/>
      </c>
      <c r="N1023">
        <f>IF($AA1023="","",INDEX('Per Line'!$AG$2:$AG$4001,$AA1023))</f>
        <v/>
      </c>
      <c r="O1023">
        <f>IF($AA1023="","",IF(AND(ISNUMBER(N1023),N1023&gt;0),Y1023&gt;N1023,FALSE))</f>
        <v/>
      </c>
      <c r="P1023" s="7">
        <f>IF($AA1023="","",SUMIFS('Per Line'!$Y$2:$Y$4001,'Per Line'!$E$2:$E$4001,$B1023,'Per Line'!$AQ$2:$AQ$4001,1))</f>
        <v/>
      </c>
      <c r="Q1023">
        <f>IF($AA1023="","",Settings!$C$7)</f>
        <v/>
      </c>
      <c r="R1023" s="7">
        <f>IF($AA1023="","",SUMIFS('Per Line'!$Y$2:$Y$4001,'Per Line'!$E$2:$E$4001,$B1023,'Per Line'!$AP$2:$AP$4001,0,'Per Line'!$AQ$2:$AQ$4001,0))</f>
        <v/>
      </c>
      <c r="S1023" s="7">
        <f>IF($AA1023="","",R1023*Q1023)</f>
        <v/>
      </c>
      <c r="T1023">
        <f>IF($AA1023="","",Settings!$C$6)</f>
        <v/>
      </c>
      <c r="U1023" s="7">
        <f>IF($AA1023="","",SUMIFS('Per Line'!$Y$2:$Y$4001,'Per Line'!$E$2:$E$4001,$B1023,'Per Line'!$AP$2:$AP$4001,1,'Per Line'!$AQ$2:$AQ$4001,0))</f>
        <v/>
      </c>
      <c r="V1023" s="7">
        <f>IF($AA1023="","",U1023*T1023)</f>
        <v/>
      </c>
      <c r="W1023" s="7">
        <f>IF($AA1023="","",V1023+S1023)</f>
        <v/>
      </c>
      <c r="X1023" s="7">
        <f>IF($AA1023="","",Y1023-W1023)</f>
        <v/>
      </c>
      <c r="Y1023" s="7">
        <f>IF($AA1023="","",R1023+U1023+P1023)</f>
        <v/>
      </c>
      <c r="Z1023" s="7">
        <f>IF($AA1023="","",Y1023-W1023-L1023)</f>
        <v/>
      </c>
      <c r="AA1023" s="13">
        <f>IF(ROWS($AA$2:$AA1023)&lt;=MAX('Per Line'!$AO$2:$AO$4001),MATCH(ROWS($AA$2:$AA1023),'Per Line'!$AO$2:$AO$4001,0),"")</f>
        <v/>
      </c>
      <c r="AB1023" s="14">
        <f>IF($AA1023="","",L1023-K1023*Y1023/100)</f>
        <v/>
      </c>
    </row>
    <row r="1024">
      <c r="A1024" s="12" t="n"/>
      <c r="B1024">
        <f>IF($AA1024="","",INDEX('Per Line'!$E$2:$E$4001,$AA1024)&amp;"")</f>
        <v/>
      </c>
      <c r="C1024">
        <f>IF($AA1024="","",INDEX('Per Line'!$A$2:$A$4001,$AA1024)&amp;"")</f>
        <v/>
      </c>
      <c r="D1024">
        <f>IF($AA1024="","",INDEX('Per Line'!$D$2:$D$4001,$AA1024)&amp;"")</f>
        <v/>
      </c>
      <c r="E1024" s="11">
        <f>IF($AA1024="","",INDEX('Per Line'!$G$2:$G$4001,$AA1024))</f>
        <v/>
      </c>
      <c r="F1024">
        <f>IF($AA1024="","",INDEX('Per Line'!$H$2:$H$4001,$AA1024)&amp;"")</f>
        <v/>
      </c>
      <c r="G1024">
        <f>IF($AA1024="","",INDEX('Per Line'!$I$2:$I$4001,$AA1024)&amp;"")</f>
        <v/>
      </c>
      <c r="H1024">
        <f>IF($AA1024="","",INDEX('Per Line'!$J$2:$J$4001,$AA1024)&amp;"")</f>
        <v/>
      </c>
      <c r="I1024">
        <f>IF($AA1024="","",INDEX('Per Line'!$K$2:$K$4001,$AA1024)&amp;"")</f>
        <v/>
      </c>
      <c r="J1024">
        <f>IF($AA1024="","",INDEX('Per Line'!$L$2:$L$4001,$AA1024)&amp;"")</f>
        <v/>
      </c>
      <c r="K1024">
        <f>IF($AA1024="","",INDEX('Per Line'!$P$2:$P$4001,$AA1024))</f>
        <v/>
      </c>
      <c r="L1024" s="7">
        <f>IF($AA1024="","",IF(AND(ISNUMBER(N1024),N1024&gt;0,Y1024&gt;N1024),K1024*N1024/100+(Y1024-N1024),K1024*Y1024/100))</f>
        <v/>
      </c>
      <c r="M1024">
        <f>IF($AA1024="","",INDEX('Per Line'!$Z$2:$Z$4001,$AA1024)&amp;"")</f>
        <v/>
      </c>
      <c r="N1024">
        <f>IF($AA1024="","",INDEX('Per Line'!$AG$2:$AG$4001,$AA1024))</f>
        <v/>
      </c>
      <c r="O1024">
        <f>IF($AA1024="","",IF(AND(ISNUMBER(N1024),N1024&gt;0),Y1024&gt;N1024,FALSE))</f>
        <v/>
      </c>
      <c r="P1024" s="7">
        <f>IF($AA1024="","",SUMIFS('Per Line'!$Y$2:$Y$4001,'Per Line'!$E$2:$E$4001,$B1024,'Per Line'!$AQ$2:$AQ$4001,1))</f>
        <v/>
      </c>
      <c r="Q1024">
        <f>IF($AA1024="","",Settings!$C$7)</f>
        <v/>
      </c>
      <c r="R1024" s="7">
        <f>IF($AA1024="","",SUMIFS('Per Line'!$Y$2:$Y$4001,'Per Line'!$E$2:$E$4001,$B1024,'Per Line'!$AP$2:$AP$4001,0,'Per Line'!$AQ$2:$AQ$4001,0))</f>
        <v/>
      </c>
      <c r="S1024" s="7">
        <f>IF($AA1024="","",R1024*Q1024)</f>
        <v/>
      </c>
      <c r="T1024">
        <f>IF($AA1024="","",Settings!$C$6)</f>
        <v/>
      </c>
      <c r="U1024" s="7">
        <f>IF($AA1024="","",SUMIFS('Per Line'!$Y$2:$Y$4001,'Per Line'!$E$2:$E$4001,$B1024,'Per Line'!$AP$2:$AP$4001,1,'Per Line'!$AQ$2:$AQ$4001,0))</f>
        <v/>
      </c>
      <c r="V1024" s="7">
        <f>IF($AA1024="","",U1024*T1024)</f>
        <v/>
      </c>
      <c r="W1024" s="7">
        <f>IF($AA1024="","",V1024+S1024)</f>
        <v/>
      </c>
      <c r="X1024" s="7">
        <f>IF($AA1024="","",Y1024-W1024)</f>
        <v/>
      </c>
      <c r="Y1024" s="7">
        <f>IF($AA1024="","",R1024+U1024+P1024)</f>
        <v/>
      </c>
      <c r="Z1024" s="7">
        <f>IF($AA1024="","",Y1024-W1024-L1024)</f>
        <v/>
      </c>
      <c r="AA1024" s="13">
        <f>IF(ROWS($AA$2:$AA1024)&lt;=MAX('Per Line'!$AO$2:$AO$4001),MATCH(ROWS($AA$2:$AA1024),'Per Line'!$AO$2:$AO$4001,0),"")</f>
        <v/>
      </c>
      <c r="AB1024" s="14">
        <f>IF($AA1024="","",L1024-K1024*Y1024/100)</f>
        <v/>
      </c>
    </row>
    <row r="1025">
      <c r="A1025" s="12" t="n"/>
      <c r="B1025">
        <f>IF($AA1025="","",INDEX('Per Line'!$E$2:$E$4001,$AA1025)&amp;"")</f>
        <v/>
      </c>
      <c r="C1025">
        <f>IF($AA1025="","",INDEX('Per Line'!$A$2:$A$4001,$AA1025)&amp;"")</f>
        <v/>
      </c>
      <c r="D1025">
        <f>IF($AA1025="","",INDEX('Per Line'!$D$2:$D$4001,$AA1025)&amp;"")</f>
        <v/>
      </c>
      <c r="E1025" s="11">
        <f>IF($AA1025="","",INDEX('Per Line'!$G$2:$G$4001,$AA1025))</f>
        <v/>
      </c>
      <c r="F1025">
        <f>IF($AA1025="","",INDEX('Per Line'!$H$2:$H$4001,$AA1025)&amp;"")</f>
        <v/>
      </c>
      <c r="G1025">
        <f>IF($AA1025="","",INDEX('Per Line'!$I$2:$I$4001,$AA1025)&amp;"")</f>
        <v/>
      </c>
      <c r="H1025">
        <f>IF($AA1025="","",INDEX('Per Line'!$J$2:$J$4001,$AA1025)&amp;"")</f>
        <v/>
      </c>
      <c r="I1025">
        <f>IF($AA1025="","",INDEX('Per Line'!$K$2:$K$4001,$AA1025)&amp;"")</f>
        <v/>
      </c>
      <c r="J1025">
        <f>IF($AA1025="","",INDEX('Per Line'!$L$2:$L$4001,$AA1025)&amp;"")</f>
        <v/>
      </c>
      <c r="K1025">
        <f>IF($AA1025="","",INDEX('Per Line'!$P$2:$P$4001,$AA1025))</f>
        <v/>
      </c>
      <c r="L1025" s="7">
        <f>IF($AA1025="","",IF(AND(ISNUMBER(N1025),N1025&gt;0,Y1025&gt;N1025),K1025*N1025/100+(Y1025-N1025),K1025*Y1025/100))</f>
        <v/>
      </c>
      <c r="M1025">
        <f>IF($AA1025="","",INDEX('Per Line'!$Z$2:$Z$4001,$AA1025)&amp;"")</f>
        <v/>
      </c>
      <c r="N1025">
        <f>IF($AA1025="","",INDEX('Per Line'!$AG$2:$AG$4001,$AA1025))</f>
        <v/>
      </c>
      <c r="O1025">
        <f>IF($AA1025="","",IF(AND(ISNUMBER(N1025),N1025&gt;0),Y1025&gt;N1025,FALSE))</f>
        <v/>
      </c>
      <c r="P1025" s="7">
        <f>IF($AA1025="","",SUMIFS('Per Line'!$Y$2:$Y$4001,'Per Line'!$E$2:$E$4001,$B1025,'Per Line'!$AQ$2:$AQ$4001,1))</f>
        <v/>
      </c>
      <c r="Q1025">
        <f>IF($AA1025="","",Settings!$C$7)</f>
        <v/>
      </c>
      <c r="R1025" s="7">
        <f>IF($AA1025="","",SUMIFS('Per Line'!$Y$2:$Y$4001,'Per Line'!$E$2:$E$4001,$B1025,'Per Line'!$AP$2:$AP$4001,0,'Per Line'!$AQ$2:$AQ$4001,0))</f>
        <v/>
      </c>
      <c r="S1025" s="7">
        <f>IF($AA1025="","",R1025*Q1025)</f>
        <v/>
      </c>
      <c r="T1025">
        <f>IF($AA1025="","",Settings!$C$6)</f>
        <v/>
      </c>
      <c r="U1025" s="7">
        <f>IF($AA1025="","",SUMIFS('Per Line'!$Y$2:$Y$4001,'Per Line'!$E$2:$E$4001,$B1025,'Per Line'!$AP$2:$AP$4001,1,'Per Line'!$AQ$2:$AQ$4001,0))</f>
        <v/>
      </c>
      <c r="V1025" s="7">
        <f>IF($AA1025="","",U1025*T1025)</f>
        <v/>
      </c>
      <c r="W1025" s="7">
        <f>IF($AA1025="","",V1025+S1025)</f>
        <v/>
      </c>
      <c r="X1025" s="7">
        <f>IF($AA1025="","",Y1025-W1025)</f>
        <v/>
      </c>
      <c r="Y1025" s="7">
        <f>IF($AA1025="","",R1025+U1025+P1025)</f>
        <v/>
      </c>
      <c r="Z1025" s="7">
        <f>IF($AA1025="","",Y1025-W1025-L1025)</f>
        <v/>
      </c>
      <c r="AA1025" s="13">
        <f>IF(ROWS($AA$2:$AA1025)&lt;=MAX('Per Line'!$AO$2:$AO$4001),MATCH(ROWS($AA$2:$AA1025),'Per Line'!$AO$2:$AO$4001,0),"")</f>
        <v/>
      </c>
      <c r="AB1025" s="14">
        <f>IF($AA1025="","",L1025-K1025*Y1025/100)</f>
        <v/>
      </c>
    </row>
    <row r="1026">
      <c r="A1026" s="12" t="n"/>
      <c r="B1026">
        <f>IF($AA1026="","",INDEX('Per Line'!$E$2:$E$4001,$AA1026)&amp;"")</f>
        <v/>
      </c>
      <c r="C1026">
        <f>IF($AA1026="","",INDEX('Per Line'!$A$2:$A$4001,$AA1026)&amp;"")</f>
        <v/>
      </c>
      <c r="D1026">
        <f>IF($AA1026="","",INDEX('Per Line'!$D$2:$D$4001,$AA1026)&amp;"")</f>
        <v/>
      </c>
      <c r="E1026" s="11">
        <f>IF($AA1026="","",INDEX('Per Line'!$G$2:$G$4001,$AA1026))</f>
        <v/>
      </c>
      <c r="F1026">
        <f>IF($AA1026="","",INDEX('Per Line'!$H$2:$H$4001,$AA1026)&amp;"")</f>
        <v/>
      </c>
      <c r="G1026">
        <f>IF($AA1026="","",INDEX('Per Line'!$I$2:$I$4001,$AA1026)&amp;"")</f>
        <v/>
      </c>
      <c r="H1026">
        <f>IF($AA1026="","",INDEX('Per Line'!$J$2:$J$4001,$AA1026)&amp;"")</f>
        <v/>
      </c>
      <c r="I1026">
        <f>IF($AA1026="","",INDEX('Per Line'!$K$2:$K$4001,$AA1026)&amp;"")</f>
        <v/>
      </c>
      <c r="J1026">
        <f>IF($AA1026="","",INDEX('Per Line'!$L$2:$L$4001,$AA1026)&amp;"")</f>
        <v/>
      </c>
      <c r="K1026">
        <f>IF($AA1026="","",INDEX('Per Line'!$P$2:$P$4001,$AA1026))</f>
        <v/>
      </c>
      <c r="L1026" s="7">
        <f>IF($AA1026="","",IF(AND(ISNUMBER(N1026),N1026&gt;0,Y1026&gt;N1026),K1026*N1026/100+(Y1026-N1026),K1026*Y1026/100))</f>
        <v/>
      </c>
      <c r="M1026">
        <f>IF($AA1026="","",INDEX('Per Line'!$Z$2:$Z$4001,$AA1026)&amp;"")</f>
        <v/>
      </c>
      <c r="N1026">
        <f>IF($AA1026="","",INDEX('Per Line'!$AG$2:$AG$4001,$AA1026))</f>
        <v/>
      </c>
      <c r="O1026">
        <f>IF($AA1026="","",IF(AND(ISNUMBER(N1026),N1026&gt;0),Y1026&gt;N1026,FALSE))</f>
        <v/>
      </c>
      <c r="P1026" s="7">
        <f>IF($AA1026="","",SUMIFS('Per Line'!$Y$2:$Y$4001,'Per Line'!$E$2:$E$4001,$B1026,'Per Line'!$AQ$2:$AQ$4001,1))</f>
        <v/>
      </c>
      <c r="Q1026">
        <f>IF($AA1026="","",Settings!$C$7)</f>
        <v/>
      </c>
      <c r="R1026" s="7">
        <f>IF($AA1026="","",SUMIFS('Per Line'!$Y$2:$Y$4001,'Per Line'!$E$2:$E$4001,$B1026,'Per Line'!$AP$2:$AP$4001,0,'Per Line'!$AQ$2:$AQ$4001,0))</f>
        <v/>
      </c>
      <c r="S1026" s="7">
        <f>IF($AA1026="","",R1026*Q1026)</f>
        <v/>
      </c>
      <c r="T1026">
        <f>IF($AA1026="","",Settings!$C$6)</f>
        <v/>
      </c>
      <c r="U1026" s="7">
        <f>IF($AA1026="","",SUMIFS('Per Line'!$Y$2:$Y$4001,'Per Line'!$E$2:$E$4001,$B1026,'Per Line'!$AP$2:$AP$4001,1,'Per Line'!$AQ$2:$AQ$4001,0))</f>
        <v/>
      </c>
      <c r="V1026" s="7">
        <f>IF($AA1026="","",U1026*T1026)</f>
        <v/>
      </c>
      <c r="W1026" s="7">
        <f>IF($AA1026="","",V1026+S1026)</f>
        <v/>
      </c>
      <c r="X1026" s="7">
        <f>IF($AA1026="","",Y1026-W1026)</f>
        <v/>
      </c>
      <c r="Y1026" s="7">
        <f>IF($AA1026="","",R1026+U1026+P1026)</f>
        <v/>
      </c>
      <c r="Z1026" s="7">
        <f>IF($AA1026="","",Y1026-W1026-L1026)</f>
        <v/>
      </c>
      <c r="AA1026" s="13">
        <f>IF(ROWS($AA$2:$AA1026)&lt;=MAX('Per Line'!$AO$2:$AO$4001),MATCH(ROWS($AA$2:$AA1026),'Per Line'!$AO$2:$AO$4001,0),"")</f>
        <v/>
      </c>
      <c r="AB1026" s="14">
        <f>IF($AA1026="","",L1026-K1026*Y1026/100)</f>
        <v/>
      </c>
    </row>
    <row r="1027">
      <c r="A1027" s="12" t="n"/>
      <c r="B1027">
        <f>IF($AA1027="","",INDEX('Per Line'!$E$2:$E$4001,$AA1027)&amp;"")</f>
        <v/>
      </c>
      <c r="C1027">
        <f>IF($AA1027="","",INDEX('Per Line'!$A$2:$A$4001,$AA1027)&amp;"")</f>
        <v/>
      </c>
      <c r="D1027">
        <f>IF($AA1027="","",INDEX('Per Line'!$D$2:$D$4001,$AA1027)&amp;"")</f>
        <v/>
      </c>
      <c r="E1027" s="11">
        <f>IF($AA1027="","",INDEX('Per Line'!$G$2:$G$4001,$AA1027))</f>
        <v/>
      </c>
      <c r="F1027">
        <f>IF($AA1027="","",INDEX('Per Line'!$H$2:$H$4001,$AA1027)&amp;"")</f>
        <v/>
      </c>
      <c r="G1027">
        <f>IF($AA1027="","",INDEX('Per Line'!$I$2:$I$4001,$AA1027)&amp;"")</f>
        <v/>
      </c>
      <c r="H1027">
        <f>IF($AA1027="","",INDEX('Per Line'!$J$2:$J$4001,$AA1027)&amp;"")</f>
        <v/>
      </c>
      <c r="I1027">
        <f>IF($AA1027="","",INDEX('Per Line'!$K$2:$K$4001,$AA1027)&amp;"")</f>
        <v/>
      </c>
      <c r="J1027">
        <f>IF($AA1027="","",INDEX('Per Line'!$L$2:$L$4001,$AA1027)&amp;"")</f>
        <v/>
      </c>
      <c r="K1027">
        <f>IF($AA1027="","",INDEX('Per Line'!$P$2:$P$4001,$AA1027))</f>
        <v/>
      </c>
      <c r="L1027" s="7">
        <f>IF($AA1027="","",IF(AND(ISNUMBER(N1027),N1027&gt;0,Y1027&gt;N1027),K1027*N1027/100+(Y1027-N1027),K1027*Y1027/100))</f>
        <v/>
      </c>
      <c r="M1027">
        <f>IF($AA1027="","",INDEX('Per Line'!$Z$2:$Z$4001,$AA1027)&amp;"")</f>
        <v/>
      </c>
      <c r="N1027">
        <f>IF($AA1027="","",INDEX('Per Line'!$AG$2:$AG$4001,$AA1027))</f>
        <v/>
      </c>
      <c r="O1027">
        <f>IF($AA1027="","",IF(AND(ISNUMBER(N1027),N1027&gt;0),Y1027&gt;N1027,FALSE))</f>
        <v/>
      </c>
      <c r="P1027" s="7">
        <f>IF($AA1027="","",SUMIFS('Per Line'!$Y$2:$Y$4001,'Per Line'!$E$2:$E$4001,$B1027,'Per Line'!$AQ$2:$AQ$4001,1))</f>
        <v/>
      </c>
      <c r="Q1027">
        <f>IF($AA1027="","",Settings!$C$7)</f>
        <v/>
      </c>
      <c r="R1027" s="7">
        <f>IF($AA1027="","",SUMIFS('Per Line'!$Y$2:$Y$4001,'Per Line'!$E$2:$E$4001,$B1027,'Per Line'!$AP$2:$AP$4001,0,'Per Line'!$AQ$2:$AQ$4001,0))</f>
        <v/>
      </c>
      <c r="S1027" s="7">
        <f>IF($AA1027="","",R1027*Q1027)</f>
        <v/>
      </c>
      <c r="T1027">
        <f>IF($AA1027="","",Settings!$C$6)</f>
        <v/>
      </c>
      <c r="U1027" s="7">
        <f>IF($AA1027="","",SUMIFS('Per Line'!$Y$2:$Y$4001,'Per Line'!$E$2:$E$4001,$B1027,'Per Line'!$AP$2:$AP$4001,1,'Per Line'!$AQ$2:$AQ$4001,0))</f>
        <v/>
      </c>
      <c r="V1027" s="7">
        <f>IF($AA1027="","",U1027*T1027)</f>
        <v/>
      </c>
      <c r="W1027" s="7">
        <f>IF($AA1027="","",V1027+S1027)</f>
        <v/>
      </c>
      <c r="X1027" s="7">
        <f>IF($AA1027="","",Y1027-W1027)</f>
        <v/>
      </c>
      <c r="Y1027" s="7">
        <f>IF($AA1027="","",R1027+U1027+P1027)</f>
        <v/>
      </c>
      <c r="Z1027" s="7">
        <f>IF($AA1027="","",Y1027-W1027-L1027)</f>
        <v/>
      </c>
      <c r="AA1027" s="13">
        <f>IF(ROWS($AA$2:$AA1027)&lt;=MAX('Per Line'!$AO$2:$AO$4001),MATCH(ROWS($AA$2:$AA1027),'Per Line'!$AO$2:$AO$4001,0),"")</f>
        <v/>
      </c>
      <c r="AB1027" s="14">
        <f>IF($AA1027="","",L1027-K1027*Y1027/100)</f>
        <v/>
      </c>
    </row>
    <row r="1028">
      <c r="A1028" s="12" t="n"/>
      <c r="B1028">
        <f>IF($AA1028="","",INDEX('Per Line'!$E$2:$E$4001,$AA1028)&amp;"")</f>
        <v/>
      </c>
      <c r="C1028">
        <f>IF($AA1028="","",INDEX('Per Line'!$A$2:$A$4001,$AA1028)&amp;"")</f>
        <v/>
      </c>
      <c r="D1028">
        <f>IF($AA1028="","",INDEX('Per Line'!$D$2:$D$4001,$AA1028)&amp;"")</f>
        <v/>
      </c>
      <c r="E1028" s="11">
        <f>IF($AA1028="","",INDEX('Per Line'!$G$2:$G$4001,$AA1028))</f>
        <v/>
      </c>
      <c r="F1028">
        <f>IF($AA1028="","",INDEX('Per Line'!$H$2:$H$4001,$AA1028)&amp;"")</f>
        <v/>
      </c>
      <c r="G1028">
        <f>IF($AA1028="","",INDEX('Per Line'!$I$2:$I$4001,$AA1028)&amp;"")</f>
        <v/>
      </c>
      <c r="H1028">
        <f>IF($AA1028="","",INDEX('Per Line'!$J$2:$J$4001,$AA1028)&amp;"")</f>
        <v/>
      </c>
      <c r="I1028">
        <f>IF($AA1028="","",INDEX('Per Line'!$K$2:$K$4001,$AA1028)&amp;"")</f>
        <v/>
      </c>
      <c r="J1028">
        <f>IF($AA1028="","",INDEX('Per Line'!$L$2:$L$4001,$AA1028)&amp;"")</f>
        <v/>
      </c>
      <c r="K1028">
        <f>IF($AA1028="","",INDEX('Per Line'!$P$2:$P$4001,$AA1028))</f>
        <v/>
      </c>
      <c r="L1028" s="7">
        <f>IF($AA1028="","",IF(AND(ISNUMBER(N1028),N1028&gt;0,Y1028&gt;N1028),K1028*N1028/100+(Y1028-N1028),K1028*Y1028/100))</f>
        <v/>
      </c>
      <c r="M1028">
        <f>IF($AA1028="","",INDEX('Per Line'!$Z$2:$Z$4001,$AA1028)&amp;"")</f>
        <v/>
      </c>
      <c r="N1028">
        <f>IF($AA1028="","",INDEX('Per Line'!$AG$2:$AG$4001,$AA1028))</f>
        <v/>
      </c>
      <c r="O1028">
        <f>IF($AA1028="","",IF(AND(ISNUMBER(N1028),N1028&gt;0),Y1028&gt;N1028,FALSE))</f>
        <v/>
      </c>
      <c r="P1028" s="7">
        <f>IF($AA1028="","",SUMIFS('Per Line'!$Y$2:$Y$4001,'Per Line'!$E$2:$E$4001,$B1028,'Per Line'!$AQ$2:$AQ$4001,1))</f>
        <v/>
      </c>
      <c r="Q1028">
        <f>IF($AA1028="","",Settings!$C$7)</f>
        <v/>
      </c>
      <c r="R1028" s="7">
        <f>IF($AA1028="","",SUMIFS('Per Line'!$Y$2:$Y$4001,'Per Line'!$E$2:$E$4001,$B1028,'Per Line'!$AP$2:$AP$4001,0,'Per Line'!$AQ$2:$AQ$4001,0))</f>
        <v/>
      </c>
      <c r="S1028" s="7">
        <f>IF($AA1028="","",R1028*Q1028)</f>
        <v/>
      </c>
      <c r="T1028">
        <f>IF($AA1028="","",Settings!$C$6)</f>
        <v/>
      </c>
      <c r="U1028" s="7">
        <f>IF($AA1028="","",SUMIFS('Per Line'!$Y$2:$Y$4001,'Per Line'!$E$2:$E$4001,$B1028,'Per Line'!$AP$2:$AP$4001,1,'Per Line'!$AQ$2:$AQ$4001,0))</f>
        <v/>
      </c>
      <c r="V1028" s="7">
        <f>IF($AA1028="","",U1028*T1028)</f>
        <v/>
      </c>
      <c r="W1028" s="7">
        <f>IF($AA1028="","",V1028+S1028)</f>
        <v/>
      </c>
      <c r="X1028" s="7">
        <f>IF($AA1028="","",Y1028-W1028)</f>
        <v/>
      </c>
      <c r="Y1028" s="7">
        <f>IF($AA1028="","",R1028+U1028+P1028)</f>
        <v/>
      </c>
      <c r="Z1028" s="7">
        <f>IF($AA1028="","",Y1028-W1028-L1028)</f>
        <v/>
      </c>
      <c r="AA1028" s="13">
        <f>IF(ROWS($AA$2:$AA1028)&lt;=MAX('Per Line'!$AO$2:$AO$4001),MATCH(ROWS($AA$2:$AA1028),'Per Line'!$AO$2:$AO$4001,0),"")</f>
        <v/>
      </c>
      <c r="AB1028" s="14">
        <f>IF($AA1028="","",L1028-K1028*Y1028/100)</f>
        <v/>
      </c>
    </row>
    <row r="1029">
      <c r="A1029" s="12" t="n"/>
      <c r="B1029">
        <f>IF($AA1029="","",INDEX('Per Line'!$E$2:$E$4001,$AA1029)&amp;"")</f>
        <v/>
      </c>
      <c r="C1029">
        <f>IF($AA1029="","",INDEX('Per Line'!$A$2:$A$4001,$AA1029)&amp;"")</f>
        <v/>
      </c>
      <c r="D1029">
        <f>IF($AA1029="","",INDEX('Per Line'!$D$2:$D$4001,$AA1029)&amp;"")</f>
        <v/>
      </c>
      <c r="E1029" s="11">
        <f>IF($AA1029="","",INDEX('Per Line'!$G$2:$G$4001,$AA1029))</f>
        <v/>
      </c>
      <c r="F1029">
        <f>IF($AA1029="","",INDEX('Per Line'!$H$2:$H$4001,$AA1029)&amp;"")</f>
        <v/>
      </c>
      <c r="G1029">
        <f>IF($AA1029="","",INDEX('Per Line'!$I$2:$I$4001,$AA1029)&amp;"")</f>
        <v/>
      </c>
      <c r="H1029">
        <f>IF($AA1029="","",INDEX('Per Line'!$J$2:$J$4001,$AA1029)&amp;"")</f>
        <v/>
      </c>
      <c r="I1029">
        <f>IF($AA1029="","",INDEX('Per Line'!$K$2:$K$4001,$AA1029)&amp;"")</f>
        <v/>
      </c>
      <c r="J1029">
        <f>IF($AA1029="","",INDEX('Per Line'!$L$2:$L$4001,$AA1029)&amp;"")</f>
        <v/>
      </c>
      <c r="K1029">
        <f>IF($AA1029="","",INDEX('Per Line'!$P$2:$P$4001,$AA1029))</f>
        <v/>
      </c>
      <c r="L1029" s="7">
        <f>IF($AA1029="","",IF(AND(ISNUMBER(N1029),N1029&gt;0,Y1029&gt;N1029),K1029*N1029/100+(Y1029-N1029),K1029*Y1029/100))</f>
        <v/>
      </c>
      <c r="M1029">
        <f>IF($AA1029="","",INDEX('Per Line'!$Z$2:$Z$4001,$AA1029)&amp;"")</f>
        <v/>
      </c>
      <c r="N1029">
        <f>IF($AA1029="","",INDEX('Per Line'!$AG$2:$AG$4001,$AA1029))</f>
        <v/>
      </c>
      <c r="O1029">
        <f>IF($AA1029="","",IF(AND(ISNUMBER(N1029),N1029&gt;0),Y1029&gt;N1029,FALSE))</f>
        <v/>
      </c>
      <c r="P1029" s="7">
        <f>IF($AA1029="","",SUMIFS('Per Line'!$Y$2:$Y$4001,'Per Line'!$E$2:$E$4001,$B1029,'Per Line'!$AQ$2:$AQ$4001,1))</f>
        <v/>
      </c>
      <c r="Q1029">
        <f>IF($AA1029="","",Settings!$C$7)</f>
        <v/>
      </c>
      <c r="R1029" s="7">
        <f>IF($AA1029="","",SUMIFS('Per Line'!$Y$2:$Y$4001,'Per Line'!$E$2:$E$4001,$B1029,'Per Line'!$AP$2:$AP$4001,0,'Per Line'!$AQ$2:$AQ$4001,0))</f>
        <v/>
      </c>
      <c r="S1029" s="7">
        <f>IF($AA1029="","",R1029*Q1029)</f>
        <v/>
      </c>
      <c r="T1029">
        <f>IF($AA1029="","",Settings!$C$6)</f>
        <v/>
      </c>
      <c r="U1029" s="7">
        <f>IF($AA1029="","",SUMIFS('Per Line'!$Y$2:$Y$4001,'Per Line'!$E$2:$E$4001,$B1029,'Per Line'!$AP$2:$AP$4001,1,'Per Line'!$AQ$2:$AQ$4001,0))</f>
        <v/>
      </c>
      <c r="V1029" s="7">
        <f>IF($AA1029="","",U1029*T1029)</f>
        <v/>
      </c>
      <c r="W1029" s="7">
        <f>IF($AA1029="","",V1029+S1029)</f>
        <v/>
      </c>
      <c r="X1029" s="7">
        <f>IF($AA1029="","",Y1029-W1029)</f>
        <v/>
      </c>
      <c r="Y1029" s="7">
        <f>IF($AA1029="","",R1029+U1029+P1029)</f>
        <v/>
      </c>
      <c r="Z1029" s="7">
        <f>IF($AA1029="","",Y1029-W1029-L1029)</f>
        <v/>
      </c>
      <c r="AA1029" s="13">
        <f>IF(ROWS($AA$2:$AA1029)&lt;=MAX('Per Line'!$AO$2:$AO$4001),MATCH(ROWS($AA$2:$AA1029),'Per Line'!$AO$2:$AO$4001,0),"")</f>
        <v/>
      </c>
      <c r="AB1029" s="14">
        <f>IF($AA1029="","",L1029-K1029*Y1029/100)</f>
        <v/>
      </c>
    </row>
    <row r="1030">
      <c r="A1030" s="12" t="n"/>
      <c r="B1030">
        <f>IF($AA1030="","",INDEX('Per Line'!$E$2:$E$4001,$AA1030)&amp;"")</f>
        <v/>
      </c>
      <c r="C1030">
        <f>IF($AA1030="","",INDEX('Per Line'!$A$2:$A$4001,$AA1030)&amp;"")</f>
        <v/>
      </c>
      <c r="D1030">
        <f>IF($AA1030="","",INDEX('Per Line'!$D$2:$D$4001,$AA1030)&amp;"")</f>
        <v/>
      </c>
      <c r="E1030" s="11">
        <f>IF($AA1030="","",INDEX('Per Line'!$G$2:$G$4001,$AA1030))</f>
        <v/>
      </c>
      <c r="F1030">
        <f>IF($AA1030="","",INDEX('Per Line'!$H$2:$H$4001,$AA1030)&amp;"")</f>
        <v/>
      </c>
      <c r="G1030">
        <f>IF($AA1030="","",INDEX('Per Line'!$I$2:$I$4001,$AA1030)&amp;"")</f>
        <v/>
      </c>
      <c r="H1030">
        <f>IF($AA1030="","",INDEX('Per Line'!$J$2:$J$4001,$AA1030)&amp;"")</f>
        <v/>
      </c>
      <c r="I1030">
        <f>IF($AA1030="","",INDEX('Per Line'!$K$2:$K$4001,$AA1030)&amp;"")</f>
        <v/>
      </c>
      <c r="J1030">
        <f>IF($AA1030="","",INDEX('Per Line'!$L$2:$L$4001,$AA1030)&amp;"")</f>
        <v/>
      </c>
      <c r="K1030">
        <f>IF($AA1030="","",INDEX('Per Line'!$P$2:$P$4001,$AA1030))</f>
        <v/>
      </c>
      <c r="L1030" s="7">
        <f>IF($AA1030="","",IF(AND(ISNUMBER(N1030),N1030&gt;0,Y1030&gt;N1030),K1030*N1030/100+(Y1030-N1030),K1030*Y1030/100))</f>
        <v/>
      </c>
      <c r="M1030">
        <f>IF($AA1030="","",INDEX('Per Line'!$Z$2:$Z$4001,$AA1030)&amp;"")</f>
        <v/>
      </c>
      <c r="N1030">
        <f>IF($AA1030="","",INDEX('Per Line'!$AG$2:$AG$4001,$AA1030))</f>
        <v/>
      </c>
      <c r="O1030">
        <f>IF($AA1030="","",IF(AND(ISNUMBER(N1030),N1030&gt;0),Y1030&gt;N1030,FALSE))</f>
        <v/>
      </c>
      <c r="P1030" s="7">
        <f>IF($AA1030="","",SUMIFS('Per Line'!$Y$2:$Y$4001,'Per Line'!$E$2:$E$4001,$B1030,'Per Line'!$AQ$2:$AQ$4001,1))</f>
        <v/>
      </c>
      <c r="Q1030">
        <f>IF($AA1030="","",Settings!$C$7)</f>
        <v/>
      </c>
      <c r="R1030" s="7">
        <f>IF($AA1030="","",SUMIFS('Per Line'!$Y$2:$Y$4001,'Per Line'!$E$2:$E$4001,$B1030,'Per Line'!$AP$2:$AP$4001,0,'Per Line'!$AQ$2:$AQ$4001,0))</f>
        <v/>
      </c>
      <c r="S1030" s="7">
        <f>IF($AA1030="","",R1030*Q1030)</f>
        <v/>
      </c>
      <c r="T1030">
        <f>IF($AA1030="","",Settings!$C$6)</f>
        <v/>
      </c>
      <c r="U1030" s="7">
        <f>IF($AA1030="","",SUMIFS('Per Line'!$Y$2:$Y$4001,'Per Line'!$E$2:$E$4001,$B1030,'Per Line'!$AP$2:$AP$4001,1,'Per Line'!$AQ$2:$AQ$4001,0))</f>
        <v/>
      </c>
      <c r="V1030" s="7">
        <f>IF($AA1030="","",U1030*T1030)</f>
        <v/>
      </c>
      <c r="W1030" s="7">
        <f>IF($AA1030="","",V1030+S1030)</f>
        <v/>
      </c>
      <c r="X1030" s="7">
        <f>IF($AA1030="","",Y1030-W1030)</f>
        <v/>
      </c>
      <c r="Y1030" s="7">
        <f>IF($AA1030="","",R1030+U1030+P1030)</f>
        <v/>
      </c>
      <c r="Z1030" s="7">
        <f>IF($AA1030="","",Y1030-W1030-L1030)</f>
        <v/>
      </c>
      <c r="AA1030" s="13">
        <f>IF(ROWS($AA$2:$AA1030)&lt;=MAX('Per Line'!$AO$2:$AO$4001),MATCH(ROWS($AA$2:$AA1030),'Per Line'!$AO$2:$AO$4001,0),"")</f>
        <v/>
      </c>
      <c r="AB1030" s="14">
        <f>IF($AA1030="","",L1030-K1030*Y1030/100)</f>
        <v/>
      </c>
    </row>
    <row r="1031">
      <c r="A1031" s="12" t="n"/>
      <c r="B1031">
        <f>IF($AA1031="","",INDEX('Per Line'!$E$2:$E$4001,$AA1031)&amp;"")</f>
        <v/>
      </c>
      <c r="C1031">
        <f>IF($AA1031="","",INDEX('Per Line'!$A$2:$A$4001,$AA1031)&amp;"")</f>
        <v/>
      </c>
      <c r="D1031">
        <f>IF($AA1031="","",INDEX('Per Line'!$D$2:$D$4001,$AA1031)&amp;"")</f>
        <v/>
      </c>
      <c r="E1031" s="11">
        <f>IF($AA1031="","",INDEX('Per Line'!$G$2:$G$4001,$AA1031))</f>
        <v/>
      </c>
      <c r="F1031">
        <f>IF($AA1031="","",INDEX('Per Line'!$H$2:$H$4001,$AA1031)&amp;"")</f>
        <v/>
      </c>
      <c r="G1031">
        <f>IF($AA1031="","",INDEX('Per Line'!$I$2:$I$4001,$AA1031)&amp;"")</f>
        <v/>
      </c>
      <c r="H1031">
        <f>IF($AA1031="","",INDEX('Per Line'!$J$2:$J$4001,$AA1031)&amp;"")</f>
        <v/>
      </c>
      <c r="I1031">
        <f>IF($AA1031="","",INDEX('Per Line'!$K$2:$K$4001,$AA1031)&amp;"")</f>
        <v/>
      </c>
      <c r="J1031">
        <f>IF($AA1031="","",INDEX('Per Line'!$L$2:$L$4001,$AA1031)&amp;"")</f>
        <v/>
      </c>
      <c r="K1031">
        <f>IF($AA1031="","",INDEX('Per Line'!$P$2:$P$4001,$AA1031))</f>
        <v/>
      </c>
      <c r="L1031" s="7">
        <f>IF($AA1031="","",IF(AND(ISNUMBER(N1031),N1031&gt;0,Y1031&gt;N1031),K1031*N1031/100+(Y1031-N1031),K1031*Y1031/100))</f>
        <v/>
      </c>
      <c r="M1031">
        <f>IF($AA1031="","",INDEX('Per Line'!$Z$2:$Z$4001,$AA1031)&amp;"")</f>
        <v/>
      </c>
      <c r="N1031">
        <f>IF($AA1031="","",INDEX('Per Line'!$AG$2:$AG$4001,$AA1031))</f>
        <v/>
      </c>
      <c r="O1031">
        <f>IF($AA1031="","",IF(AND(ISNUMBER(N1031),N1031&gt;0),Y1031&gt;N1031,FALSE))</f>
        <v/>
      </c>
      <c r="P1031" s="7">
        <f>IF($AA1031="","",SUMIFS('Per Line'!$Y$2:$Y$4001,'Per Line'!$E$2:$E$4001,$B1031,'Per Line'!$AQ$2:$AQ$4001,1))</f>
        <v/>
      </c>
      <c r="Q1031">
        <f>IF($AA1031="","",Settings!$C$7)</f>
        <v/>
      </c>
      <c r="R1031" s="7">
        <f>IF($AA1031="","",SUMIFS('Per Line'!$Y$2:$Y$4001,'Per Line'!$E$2:$E$4001,$B1031,'Per Line'!$AP$2:$AP$4001,0,'Per Line'!$AQ$2:$AQ$4001,0))</f>
        <v/>
      </c>
      <c r="S1031" s="7">
        <f>IF($AA1031="","",R1031*Q1031)</f>
        <v/>
      </c>
      <c r="T1031">
        <f>IF($AA1031="","",Settings!$C$6)</f>
        <v/>
      </c>
      <c r="U1031" s="7">
        <f>IF($AA1031="","",SUMIFS('Per Line'!$Y$2:$Y$4001,'Per Line'!$E$2:$E$4001,$B1031,'Per Line'!$AP$2:$AP$4001,1,'Per Line'!$AQ$2:$AQ$4001,0))</f>
        <v/>
      </c>
      <c r="V1031" s="7">
        <f>IF($AA1031="","",U1031*T1031)</f>
        <v/>
      </c>
      <c r="W1031" s="7">
        <f>IF($AA1031="","",V1031+S1031)</f>
        <v/>
      </c>
      <c r="X1031" s="7">
        <f>IF($AA1031="","",Y1031-W1031)</f>
        <v/>
      </c>
      <c r="Y1031" s="7">
        <f>IF($AA1031="","",R1031+U1031+P1031)</f>
        <v/>
      </c>
      <c r="Z1031" s="7">
        <f>IF($AA1031="","",Y1031-W1031-L1031)</f>
        <v/>
      </c>
      <c r="AA1031" s="13">
        <f>IF(ROWS($AA$2:$AA1031)&lt;=MAX('Per Line'!$AO$2:$AO$4001),MATCH(ROWS($AA$2:$AA1031),'Per Line'!$AO$2:$AO$4001,0),"")</f>
        <v/>
      </c>
      <c r="AB1031" s="14">
        <f>IF($AA1031="","",L1031-K1031*Y1031/100)</f>
        <v/>
      </c>
    </row>
    <row r="1032">
      <c r="A1032" s="12" t="n"/>
      <c r="B1032">
        <f>IF($AA1032="","",INDEX('Per Line'!$E$2:$E$4001,$AA1032)&amp;"")</f>
        <v/>
      </c>
      <c r="C1032">
        <f>IF($AA1032="","",INDEX('Per Line'!$A$2:$A$4001,$AA1032)&amp;"")</f>
        <v/>
      </c>
      <c r="D1032">
        <f>IF($AA1032="","",INDEX('Per Line'!$D$2:$D$4001,$AA1032)&amp;"")</f>
        <v/>
      </c>
      <c r="E1032" s="11">
        <f>IF($AA1032="","",INDEX('Per Line'!$G$2:$G$4001,$AA1032))</f>
        <v/>
      </c>
      <c r="F1032">
        <f>IF($AA1032="","",INDEX('Per Line'!$H$2:$H$4001,$AA1032)&amp;"")</f>
        <v/>
      </c>
      <c r="G1032">
        <f>IF($AA1032="","",INDEX('Per Line'!$I$2:$I$4001,$AA1032)&amp;"")</f>
        <v/>
      </c>
      <c r="H1032">
        <f>IF($AA1032="","",INDEX('Per Line'!$J$2:$J$4001,$AA1032)&amp;"")</f>
        <v/>
      </c>
      <c r="I1032">
        <f>IF($AA1032="","",INDEX('Per Line'!$K$2:$K$4001,$AA1032)&amp;"")</f>
        <v/>
      </c>
      <c r="J1032">
        <f>IF($AA1032="","",INDEX('Per Line'!$L$2:$L$4001,$AA1032)&amp;"")</f>
        <v/>
      </c>
      <c r="K1032">
        <f>IF($AA1032="","",INDEX('Per Line'!$P$2:$P$4001,$AA1032))</f>
        <v/>
      </c>
      <c r="L1032" s="7">
        <f>IF($AA1032="","",IF(AND(ISNUMBER(N1032),N1032&gt;0,Y1032&gt;N1032),K1032*N1032/100+(Y1032-N1032),K1032*Y1032/100))</f>
        <v/>
      </c>
      <c r="M1032">
        <f>IF($AA1032="","",INDEX('Per Line'!$Z$2:$Z$4001,$AA1032)&amp;"")</f>
        <v/>
      </c>
      <c r="N1032">
        <f>IF($AA1032="","",INDEX('Per Line'!$AG$2:$AG$4001,$AA1032))</f>
        <v/>
      </c>
      <c r="O1032">
        <f>IF($AA1032="","",IF(AND(ISNUMBER(N1032),N1032&gt;0),Y1032&gt;N1032,FALSE))</f>
        <v/>
      </c>
      <c r="P1032" s="7">
        <f>IF($AA1032="","",SUMIFS('Per Line'!$Y$2:$Y$4001,'Per Line'!$E$2:$E$4001,$B1032,'Per Line'!$AQ$2:$AQ$4001,1))</f>
        <v/>
      </c>
      <c r="Q1032">
        <f>IF($AA1032="","",Settings!$C$7)</f>
        <v/>
      </c>
      <c r="R1032" s="7">
        <f>IF($AA1032="","",SUMIFS('Per Line'!$Y$2:$Y$4001,'Per Line'!$E$2:$E$4001,$B1032,'Per Line'!$AP$2:$AP$4001,0,'Per Line'!$AQ$2:$AQ$4001,0))</f>
        <v/>
      </c>
      <c r="S1032" s="7">
        <f>IF($AA1032="","",R1032*Q1032)</f>
        <v/>
      </c>
      <c r="T1032">
        <f>IF($AA1032="","",Settings!$C$6)</f>
        <v/>
      </c>
      <c r="U1032" s="7">
        <f>IF($AA1032="","",SUMIFS('Per Line'!$Y$2:$Y$4001,'Per Line'!$E$2:$E$4001,$B1032,'Per Line'!$AP$2:$AP$4001,1,'Per Line'!$AQ$2:$AQ$4001,0))</f>
        <v/>
      </c>
      <c r="V1032" s="7">
        <f>IF($AA1032="","",U1032*T1032)</f>
        <v/>
      </c>
      <c r="W1032" s="7">
        <f>IF($AA1032="","",V1032+S1032)</f>
        <v/>
      </c>
      <c r="X1032" s="7">
        <f>IF($AA1032="","",Y1032-W1032)</f>
        <v/>
      </c>
      <c r="Y1032" s="7">
        <f>IF($AA1032="","",R1032+U1032+P1032)</f>
        <v/>
      </c>
      <c r="Z1032" s="7">
        <f>IF($AA1032="","",Y1032-W1032-L1032)</f>
        <v/>
      </c>
      <c r="AA1032" s="13">
        <f>IF(ROWS($AA$2:$AA1032)&lt;=MAX('Per Line'!$AO$2:$AO$4001),MATCH(ROWS($AA$2:$AA1032),'Per Line'!$AO$2:$AO$4001,0),"")</f>
        <v/>
      </c>
      <c r="AB1032" s="14">
        <f>IF($AA1032="","",L1032-K1032*Y1032/100)</f>
        <v/>
      </c>
    </row>
    <row r="1033">
      <c r="A1033" s="12" t="n"/>
      <c r="B1033">
        <f>IF($AA1033="","",INDEX('Per Line'!$E$2:$E$4001,$AA1033)&amp;"")</f>
        <v/>
      </c>
      <c r="C1033">
        <f>IF($AA1033="","",INDEX('Per Line'!$A$2:$A$4001,$AA1033)&amp;"")</f>
        <v/>
      </c>
      <c r="D1033">
        <f>IF($AA1033="","",INDEX('Per Line'!$D$2:$D$4001,$AA1033)&amp;"")</f>
        <v/>
      </c>
      <c r="E1033" s="11">
        <f>IF($AA1033="","",INDEX('Per Line'!$G$2:$G$4001,$AA1033))</f>
        <v/>
      </c>
      <c r="F1033">
        <f>IF($AA1033="","",INDEX('Per Line'!$H$2:$H$4001,$AA1033)&amp;"")</f>
        <v/>
      </c>
      <c r="G1033">
        <f>IF($AA1033="","",INDEX('Per Line'!$I$2:$I$4001,$AA1033)&amp;"")</f>
        <v/>
      </c>
      <c r="H1033">
        <f>IF($AA1033="","",INDEX('Per Line'!$J$2:$J$4001,$AA1033)&amp;"")</f>
        <v/>
      </c>
      <c r="I1033">
        <f>IF($AA1033="","",INDEX('Per Line'!$K$2:$K$4001,$AA1033)&amp;"")</f>
        <v/>
      </c>
      <c r="J1033">
        <f>IF($AA1033="","",INDEX('Per Line'!$L$2:$L$4001,$AA1033)&amp;"")</f>
        <v/>
      </c>
      <c r="K1033">
        <f>IF($AA1033="","",INDEX('Per Line'!$P$2:$P$4001,$AA1033))</f>
        <v/>
      </c>
      <c r="L1033" s="7">
        <f>IF($AA1033="","",IF(AND(ISNUMBER(N1033),N1033&gt;0,Y1033&gt;N1033),K1033*N1033/100+(Y1033-N1033),K1033*Y1033/100))</f>
        <v/>
      </c>
      <c r="M1033">
        <f>IF($AA1033="","",INDEX('Per Line'!$Z$2:$Z$4001,$AA1033)&amp;"")</f>
        <v/>
      </c>
      <c r="N1033">
        <f>IF($AA1033="","",INDEX('Per Line'!$AG$2:$AG$4001,$AA1033))</f>
        <v/>
      </c>
      <c r="O1033">
        <f>IF($AA1033="","",IF(AND(ISNUMBER(N1033),N1033&gt;0),Y1033&gt;N1033,FALSE))</f>
        <v/>
      </c>
      <c r="P1033" s="7">
        <f>IF($AA1033="","",SUMIFS('Per Line'!$Y$2:$Y$4001,'Per Line'!$E$2:$E$4001,$B1033,'Per Line'!$AQ$2:$AQ$4001,1))</f>
        <v/>
      </c>
      <c r="Q1033">
        <f>IF($AA1033="","",Settings!$C$7)</f>
        <v/>
      </c>
      <c r="R1033" s="7">
        <f>IF($AA1033="","",SUMIFS('Per Line'!$Y$2:$Y$4001,'Per Line'!$E$2:$E$4001,$B1033,'Per Line'!$AP$2:$AP$4001,0,'Per Line'!$AQ$2:$AQ$4001,0))</f>
        <v/>
      </c>
      <c r="S1033" s="7">
        <f>IF($AA1033="","",R1033*Q1033)</f>
        <v/>
      </c>
      <c r="T1033">
        <f>IF($AA1033="","",Settings!$C$6)</f>
        <v/>
      </c>
      <c r="U1033" s="7">
        <f>IF($AA1033="","",SUMIFS('Per Line'!$Y$2:$Y$4001,'Per Line'!$E$2:$E$4001,$B1033,'Per Line'!$AP$2:$AP$4001,1,'Per Line'!$AQ$2:$AQ$4001,0))</f>
        <v/>
      </c>
      <c r="V1033" s="7">
        <f>IF($AA1033="","",U1033*T1033)</f>
        <v/>
      </c>
      <c r="W1033" s="7">
        <f>IF($AA1033="","",V1033+S1033)</f>
        <v/>
      </c>
      <c r="X1033" s="7">
        <f>IF($AA1033="","",Y1033-W1033)</f>
        <v/>
      </c>
      <c r="Y1033" s="7">
        <f>IF($AA1033="","",R1033+U1033+P1033)</f>
        <v/>
      </c>
      <c r="Z1033" s="7">
        <f>IF($AA1033="","",Y1033-W1033-L1033)</f>
        <v/>
      </c>
      <c r="AA1033" s="13">
        <f>IF(ROWS($AA$2:$AA1033)&lt;=MAX('Per Line'!$AO$2:$AO$4001),MATCH(ROWS($AA$2:$AA1033),'Per Line'!$AO$2:$AO$4001,0),"")</f>
        <v/>
      </c>
      <c r="AB1033" s="14">
        <f>IF($AA1033="","",L1033-K1033*Y1033/100)</f>
        <v/>
      </c>
    </row>
    <row r="1034">
      <c r="A1034" s="12" t="n"/>
      <c r="B1034">
        <f>IF($AA1034="","",INDEX('Per Line'!$E$2:$E$4001,$AA1034)&amp;"")</f>
        <v/>
      </c>
      <c r="C1034">
        <f>IF($AA1034="","",INDEX('Per Line'!$A$2:$A$4001,$AA1034)&amp;"")</f>
        <v/>
      </c>
      <c r="D1034">
        <f>IF($AA1034="","",INDEX('Per Line'!$D$2:$D$4001,$AA1034)&amp;"")</f>
        <v/>
      </c>
      <c r="E1034" s="11">
        <f>IF($AA1034="","",INDEX('Per Line'!$G$2:$G$4001,$AA1034))</f>
        <v/>
      </c>
      <c r="F1034">
        <f>IF($AA1034="","",INDEX('Per Line'!$H$2:$H$4001,$AA1034)&amp;"")</f>
        <v/>
      </c>
      <c r="G1034">
        <f>IF($AA1034="","",INDEX('Per Line'!$I$2:$I$4001,$AA1034)&amp;"")</f>
        <v/>
      </c>
      <c r="H1034">
        <f>IF($AA1034="","",INDEX('Per Line'!$J$2:$J$4001,$AA1034)&amp;"")</f>
        <v/>
      </c>
      <c r="I1034">
        <f>IF($AA1034="","",INDEX('Per Line'!$K$2:$K$4001,$AA1034)&amp;"")</f>
        <v/>
      </c>
      <c r="J1034">
        <f>IF($AA1034="","",INDEX('Per Line'!$L$2:$L$4001,$AA1034)&amp;"")</f>
        <v/>
      </c>
      <c r="K1034">
        <f>IF($AA1034="","",INDEX('Per Line'!$P$2:$P$4001,$AA1034))</f>
        <v/>
      </c>
      <c r="L1034" s="7">
        <f>IF($AA1034="","",IF(AND(ISNUMBER(N1034),N1034&gt;0,Y1034&gt;N1034),K1034*N1034/100+(Y1034-N1034),K1034*Y1034/100))</f>
        <v/>
      </c>
      <c r="M1034">
        <f>IF($AA1034="","",INDEX('Per Line'!$Z$2:$Z$4001,$AA1034)&amp;"")</f>
        <v/>
      </c>
      <c r="N1034">
        <f>IF($AA1034="","",INDEX('Per Line'!$AG$2:$AG$4001,$AA1034))</f>
        <v/>
      </c>
      <c r="O1034">
        <f>IF($AA1034="","",IF(AND(ISNUMBER(N1034),N1034&gt;0),Y1034&gt;N1034,FALSE))</f>
        <v/>
      </c>
      <c r="P1034" s="7">
        <f>IF($AA1034="","",SUMIFS('Per Line'!$Y$2:$Y$4001,'Per Line'!$E$2:$E$4001,$B1034,'Per Line'!$AQ$2:$AQ$4001,1))</f>
        <v/>
      </c>
      <c r="Q1034">
        <f>IF($AA1034="","",Settings!$C$7)</f>
        <v/>
      </c>
      <c r="R1034" s="7">
        <f>IF($AA1034="","",SUMIFS('Per Line'!$Y$2:$Y$4001,'Per Line'!$E$2:$E$4001,$B1034,'Per Line'!$AP$2:$AP$4001,0,'Per Line'!$AQ$2:$AQ$4001,0))</f>
        <v/>
      </c>
      <c r="S1034" s="7">
        <f>IF($AA1034="","",R1034*Q1034)</f>
        <v/>
      </c>
      <c r="T1034">
        <f>IF($AA1034="","",Settings!$C$6)</f>
        <v/>
      </c>
      <c r="U1034" s="7">
        <f>IF($AA1034="","",SUMIFS('Per Line'!$Y$2:$Y$4001,'Per Line'!$E$2:$E$4001,$B1034,'Per Line'!$AP$2:$AP$4001,1,'Per Line'!$AQ$2:$AQ$4001,0))</f>
        <v/>
      </c>
      <c r="V1034" s="7">
        <f>IF($AA1034="","",U1034*T1034)</f>
        <v/>
      </c>
      <c r="W1034" s="7">
        <f>IF($AA1034="","",V1034+S1034)</f>
        <v/>
      </c>
      <c r="X1034" s="7">
        <f>IF($AA1034="","",Y1034-W1034)</f>
        <v/>
      </c>
      <c r="Y1034" s="7">
        <f>IF($AA1034="","",R1034+U1034+P1034)</f>
        <v/>
      </c>
      <c r="Z1034" s="7">
        <f>IF($AA1034="","",Y1034-W1034-L1034)</f>
        <v/>
      </c>
      <c r="AA1034" s="13">
        <f>IF(ROWS($AA$2:$AA1034)&lt;=MAX('Per Line'!$AO$2:$AO$4001),MATCH(ROWS($AA$2:$AA1034),'Per Line'!$AO$2:$AO$4001,0),"")</f>
        <v/>
      </c>
      <c r="AB1034" s="14">
        <f>IF($AA1034="","",L1034-K1034*Y1034/100)</f>
        <v/>
      </c>
    </row>
    <row r="1035">
      <c r="A1035" s="12" t="n"/>
      <c r="B1035">
        <f>IF($AA1035="","",INDEX('Per Line'!$E$2:$E$4001,$AA1035)&amp;"")</f>
        <v/>
      </c>
      <c r="C1035">
        <f>IF($AA1035="","",INDEX('Per Line'!$A$2:$A$4001,$AA1035)&amp;"")</f>
        <v/>
      </c>
      <c r="D1035">
        <f>IF($AA1035="","",INDEX('Per Line'!$D$2:$D$4001,$AA1035)&amp;"")</f>
        <v/>
      </c>
      <c r="E1035" s="11">
        <f>IF($AA1035="","",INDEX('Per Line'!$G$2:$G$4001,$AA1035))</f>
        <v/>
      </c>
      <c r="F1035">
        <f>IF($AA1035="","",INDEX('Per Line'!$H$2:$H$4001,$AA1035)&amp;"")</f>
        <v/>
      </c>
      <c r="G1035">
        <f>IF($AA1035="","",INDEX('Per Line'!$I$2:$I$4001,$AA1035)&amp;"")</f>
        <v/>
      </c>
      <c r="H1035">
        <f>IF($AA1035="","",INDEX('Per Line'!$J$2:$J$4001,$AA1035)&amp;"")</f>
        <v/>
      </c>
      <c r="I1035">
        <f>IF($AA1035="","",INDEX('Per Line'!$K$2:$K$4001,$AA1035)&amp;"")</f>
        <v/>
      </c>
      <c r="J1035">
        <f>IF($AA1035="","",INDEX('Per Line'!$L$2:$L$4001,$AA1035)&amp;"")</f>
        <v/>
      </c>
      <c r="K1035">
        <f>IF($AA1035="","",INDEX('Per Line'!$P$2:$P$4001,$AA1035))</f>
        <v/>
      </c>
      <c r="L1035" s="7">
        <f>IF($AA1035="","",IF(AND(ISNUMBER(N1035),N1035&gt;0,Y1035&gt;N1035),K1035*N1035/100+(Y1035-N1035),K1035*Y1035/100))</f>
        <v/>
      </c>
      <c r="M1035">
        <f>IF($AA1035="","",INDEX('Per Line'!$Z$2:$Z$4001,$AA1035)&amp;"")</f>
        <v/>
      </c>
      <c r="N1035">
        <f>IF($AA1035="","",INDEX('Per Line'!$AG$2:$AG$4001,$AA1035))</f>
        <v/>
      </c>
      <c r="O1035">
        <f>IF($AA1035="","",IF(AND(ISNUMBER(N1035),N1035&gt;0),Y1035&gt;N1035,FALSE))</f>
        <v/>
      </c>
      <c r="P1035" s="7">
        <f>IF($AA1035="","",SUMIFS('Per Line'!$Y$2:$Y$4001,'Per Line'!$E$2:$E$4001,$B1035,'Per Line'!$AQ$2:$AQ$4001,1))</f>
        <v/>
      </c>
      <c r="Q1035">
        <f>IF($AA1035="","",Settings!$C$7)</f>
        <v/>
      </c>
      <c r="R1035" s="7">
        <f>IF($AA1035="","",SUMIFS('Per Line'!$Y$2:$Y$4001,'Per Line'!$E$2:$E$4001,$B1035,'Per Line'!$AP$2:$AP$4001,0,'Per Line'!$AQ$2:$AQ$4001,0))</f>
        <v/>
      </c>
      <c r="S1035" s="7">
        <f>IF($AA1035="","",R1035*Q1035)</f>
        <v/>
      </c>
      <c r="T1035">
        <f>IF($AA1035="","",Settings!$C$6)</f>
        <v/>
      </c>
      <c r="U1035" s="7">
        <f>IF($AA1035="","",SUMIFS('Per Line'!$Y$2:$Y$4001,'Per Line'!$E$2:$E$4001,$B1035,'Per Line'!$AP$2:$AP$4001,1,'Per Line'!$AQ$2:$AQ$4001,0))</f>
        <v/>
      </c>
      <c r="V1035" s="7">
        <f>IF($AA1035="","",U1035*T1035)</f>
        <v/>
      </c>
      <c r="W1035" s="7">
        <f>IF($AA1035="","",V1035+S1035)</f>
        <v/>
      </c>
      <c r="X1035" s="7">
        <f>IF($AA1035="","",Y1035-W1035)</f>
        <v/>
      </c>
      <c r="Y1035" s="7">
        <f>IF($AA1035="","",R1035+U1035+P1035)</f>
        <v/>
      </c>
      <c r="Z1035" s="7">
        <f>IF($AA1035="","",Y1035-W1035-L1035)</f>
        <v/>
      </c>
      <c r="AA1035" s="13">
        <f>IF(ROWS($AA$2:$AA1035)&lt;=MAX('Per Line'!$AO$2:$AO$4001),MATCH(ROWS($AA$2:$AA1035),'Per Line'!$AO$2:$AO$4001,0),"")</f>
        <v/>
      </c>
      <c r="AB1035" s="14">
        <f>IF($AA1035="","",L1035-K1035*Y1035/100)</f>
        <v/>
      </c>
    </row>
    <row r="1036">
      <c r="A1036" s="12" t="n"/>
      <c r="B1036">
        <f>IF($AA1036="","",INDEX('Per Line'!$E$2:$E$4001,$AA1036)&amp;"")</f>
        <v/>
      </c>
      <c r="C1036">
        <f>IF($AA1036="","",INDEX('Per Line'!$A$2:$A$4001,$AA1036)&amp;"")</f>
        <v/>
      </c>
      <c r="D1036">
        <f>IF($AA1036="","",INDEX('Per Line'!$D$2:$D$4001,$AA1036)&amp;"")</f>
        <v/>
      </c>
      <c r="E1036" s="11">
        <f>IF($AA1036="","",INDEX('Per Line'!$G$2:$G$4001,$AA1036))</f>
        <v/>
      </c>
      <c r="F1036">
        <f>IF($AA1036="","",INDEX('Per Line'!$H$2:$H$4001,$AA1036)&amp;"")</f>
        <v/>
      </c>
      <c r="G1036">
        <f>IF($AA1036="","",INDEX('Per Line'!$I$2:$I$4001,$AA1036)&amp;"")</f>
        <v/>
      </c>
      <c r="H1036">
        <f>IF($AA1036="","",INDEX('Per Line'!$J$2:$J$4001,$AA1036)&amp;"")</f>
        <v/>
      </c>
      <c r="I1036">
        <f>IF($AA1036="","",INDEX('Per Line'!$K$2:$K$4001,$AA1036)&amp;"")</f>
        <v/>
      </c>
      <c r="J1036">
        <f>IF($AA1036="","",INDEX('Per Line'!$L$2:$L$4001,$AA1036)&amp;"")</f>
        <v/>
      </c>
      <c r="K1036">
        <f>IF($AA1036="","",INDEX('Per Line'!$P$2:$P$4001,$AA1036))</f>
        <v/>
      </c>
      <c r="L1036" s="7">
        <f>IF($AA1036="","",IF(AND(ISNUMBER(N1036),N1036&gt;0,Y1036&gt;N1036),K1036*N1036/100+(Y1036-N1036),K1036*Y1036/100))</f>
        <v/>
      </c>
      <c r="M1036">
        <f>IF($AA1036="","",INDEX('Per Line'!$Z$2:$Z$4001,$AA1036)&amp;"")</f>
        <v/>
      </c>
      <c r="N1036">
        <f>IF($AA1036="","",INDEX('Per Line'!$AG$2:$AG$4001,$AA1036))</f>
        <v/>
      </c>
      <c r="O1036">
        <f>IF($AA1036="","",IF(AND(ISNUMBER(N1036),N1036&gt;0),Y1036&gt;N1036,FALSE))</f>
        <v/>
      </c>
      <c r="P1036" s="7">
        <f>IF($AA1036="","",SUMIFS('Per Line'!$Y$2:$Y$4001,'Per Line'!$E$2:$E$4001,$B1036,'Per Line'!$AQ$2:$AQ$4001,1))</f>
        <v/>
      </c>
      <c r="Q1036">
        <f>IF($AA1036="","",Settings!$C$7)</f>
        <v/>
      </c>
      <c r="R1036" s="7">
        <f>IF($AA1036="","",SUMIFS('Per Line'!$Y$2:$Y$4001,'Per Line'!$E$2:$E$4001,$B1036,'Per Line'!$AP$2:$AP$4001,0,'Per Line'!$AQ$2:$AQ$4001,0))</f>
        <v/>
      </c>
      <c r="S1036" s="7">
        <f>IF($AA1036="","",R1036*Q1036)</f>
        <v/>
      </c>
      <c r="T1036">
        <f>IF($AA1036="","",Settings!$C$6)</f>
        <v/>
      </c>
      <c r="U1036" s="7">
        <f>IF($AA1036="","",SUMIFS('Per Line'!$Y$2:$Y$4001,'Per Line'!$E$2:$E$4001,$B1036,'Per Line'!$AP$2:$AP$4001,1,'Per Line'!$AQ$2:$AQ$4001,0))</f>
        <v/>
      </c>
      <c r="V1036" s="7">
        <f>IF($AA1036="","",U1036*T1036)</f>
        <v/>
      </c>
      <c r="W1036" s="7">
        <f>IF($AA1036="","",V1036+S1036)</f>
        <v/>
      </c>
      <c r="X1036" s="7">
        <f>IF($AA1036="","",Y1036-W1036)</f>
        <v/>
      </c>
      <c r="Y1036" s="7">
        <f>IF($AA1036="","",R1036+U1036+P1036)</f>
        <v/>
      </c>
      <c r="Z1036" s="7">
        <f>IF($AA1036="","",Y1036-W1036-L1036)</f>
        <v/>
      </c>
      <c r="AA1036" s="13">
        <f>IF(ROWS($AA$2:$AA1036)&lt;=MAX('Per Line'!$AO$2:$AO$4001),MATCH(ROWS($AA$2:$AA1036),'Per Line'!$AO$2:$AO$4001,0),"")</f>
        <v/>
      </c>
      <c r="AB1036" s="14">
        <f>IF($AA1036="","",L1036-K1036*Y1036/100)</f>
        <v/>
      </c>
    </row>
    <row r="1037">
      <c r="A1037" s="12" t="n"/>
      <c r="B1037">
        <f>IF($AA1037="","",INDEX('Per Line'!$E$2:$E$4001,$AA1037)&amp;"")</f>
        <v/>
      </c>
      <c r="C1037">
        <f>IF($AA1037="","",INDEX('Per Line'!$A$2:$A$4001,$AA1037)&amp;"")</f>
        <v/>
      </c>
      <c r="D1037">
        <f>IF($AA1037="","",INDEX('Per Line'!$D$2:$D$4001,$AA1037)&amp;"")</f>
        <v/>
      </c>
      <c r="E1037" s="11">
        <f>IF($AA1037="","",INDEX('Per Line'!$G$2:$G$4001,$AA1037))</f>
        <v/>
      </c>
      <c r="F1037">
        <f>IF($AA1037="","",INDEX('Per Line'!$H$2:$H$4001,$AA1037)&amp;"")</f>
        <v/>
      </c>
      <c r="G1037">
        <f>IF($AA1037="","",INDEX('Per Line'!$I$2:$I$4001,$AA1037)&amp;"")</f>
        <v/>
      </c>
      <c r="H1037">
        <f>IF($AA1037="","",INDEX('Per Line'!$J$2:$J$4001,$AA1037)&amp;"")</f>
        <v/>
      </c>
      <c r="I1037">
        <f>IF($AA1037="","",INDEX('Per Line'!$K$2:$K$4001,$AA1037)&amp;"")</f>
        <v/>
      </c>
      <c r="J1037">
        <f>IF($AA1037="","",INDEX('Per Line'!$L$2:$L$4001,$AA1037)&amp;"")</f>
        <v/>
      </c>
      <c r="K1037">
        <f>IF($AA1037="","",INDEX('Per Line'!$P$2:$P$4001,$AA1037))</f>
        <v/>
      </c>
      <c r="L1037" s="7">
        <f>IF($AA1037="","",IF(AND(ISNUMBER(N1037),N1037&gt;0,Y1037&gt;N1037),K1037*N1037/100+(Y1037-N1037),K1037*Y1037/100))</f>
        <v/>
      </c>
      <c r="M1037">
        <f>IF($AA1037="","",INDEX('Per Line'!$Z$2:$Z$4001,$AA1037)&amp;"")</f>
        <v/>
      </c>
      <c r="N1037">
        <f>IF($AA1037="","",INDEX('Per Line'!$AG$2:$AG$4001,$AA1037))</f>
        <v/>
      </c>
      <c r="O1037">
        <f>IF($AA1037="","",IF(AND(ISNUMBER(N1037),N1037&gt;0),Y1037&gt;N1037,FALSE))</f>
        <v/>
      </c>
      <c r="P1037" s="7">
        <f>IF($AA1037="","",SUMIFS('Per Line'!$Y$2:$Y$4001,'Per Line'!$E$2:$E$4001,$B1037,'Per Line'!$AQ$2:$AQ$4001,1))</f>
        <v/>
      </c>
      <c r="Q1037">
        <f>IF($AA1037="","",Settings!$C$7)</f>
        <v/>
      </c>
      <c r="R1037" s="7">
        <f>IF($AA1037="","",SUMIFS('Per Line'!$Y$2:$Y$4001,'Per Line'!$E$2:$E$4001,$B1037,'Per Line'!$AP$2:$AP$4001,0,'Per Line'!$AQ$2:$AQ$4001,0))</f>
        <v/>
      </c>
      <c r="S1037" s="7">
        <f>IF($AA1037="","",R1037*Q1037)</f>
        <v/>
      </c>
      <c r="T1037">
        <f>IF($AA1037="","",Settings!$C$6)</f>
        <v/>
      </c>
      <c r="U1037" s="7">
        <f>IF($AA1037="","",SUMIFS('Per Line'!$Y$2:$Y$4001,'Per Line'!$E$2:$E$4001,$B1037,'Per Line'!$AP$2:$AP$4001,1,'Per Line'!$AQ$2:$AQ$4001,0))</f>
        <v/>
      </c>
      <c r="V1037" s="7">
        <f>IF($AA1037="","",U1037*T1037)</f>
        <v/>
      </c>
      <c r="W1037" s="7">
        <f>IF($AA1037="","",V1037+S1037)</f>
        <v/>
      </c>
      <c r="X1037" s="7">
        <f>IF($AA1037="","",Y1037-W1037)</f>
        <v/>
      </c>
      <c r="Y1037" s="7">
        <f>IF($AA1037="","",R1037+U1037+P1037)</f>
        <v/>
      </c>
      <c r="Z1037" s="7">
        <f>IF($AA1037="","",Y1037-W1037-L1037)</f>
        <v/>
      </c>
      <c r="AA1037" s="13">
        <f>IF(ROWS($AA$2:$AA1037)&lt;=MAX('Per Line'!$AO$2:$AO$4001),MATCH(ROWS($AA$2:$AA1037),'Per Line'!$AO$2:$AO$4001,0),"")</f>
        <v/>
      </c>
      <c r="AB1037" s="14">
        <f>IF($AA1037="","",L1037-K1037*Y1037/100)</f>
        <v/>
      </c>
    </row>
    <row r="1038">
      <c r="A1038" s="12" t="n"/>
      <c r="B1038">
        <f>IF($AA1038="","",INDEX('Per Line'!$E$2:$E$4001,$AA1038)&amp;"")</f>
        <v/>
      </c>
      <c r="C1038">
        <f>IF($AA1038="","",INDEX('Per Line'!$A$2:$A$4001,$AA1038)&amp;"")</f>
        <v/>
      </c>
      <c r="D1038">
        <f>IF($AA1038="","",INDEX('Per Line'!$D$2:$D$4001,$AA1038)&amp;"")</f>
        <v/>
      </c>
      <c r="E1038" s="11">
        <f>IF($AA1038="","",INDEX('Per Line'!$G$2:$G$4001,$AA1038))</f>
        <v/>
      </c>
      <c r="F1038">
        <f>IF($AA1038="","",INDEX('Per Line'!$H$2:$H$4001,$AA1038)&amp;"")</f>
        <v/>
      </c>
      <c r="G1038">
        <f>IF($AA1038="","",INDEX('Per Line'!$I$2:$I$4001,$AA1038)&amp;"")</f>
        <v/>
      </c>
      <c r="H1038">
        <f>IF($AA1038="","",INDEX('Per Line'!$J$2:$J$4001,$AA1038)&amp;"")</f>
        <v/>
      </c>
      <c r="I1038">
        <f>IF($AA1038="","",INDEX('Per Line'!$K$2:$K$4001,$AA1038)&amp;"")</f>
        <v/>
      </c>
      <c r="J1038">
        <f>IF($AA1038="","",INDEX('Per Line'!$L$2:$L$4001,$AA1038)&amp;"")</f>
        <v/>
      </c>
      <c r="K1038">
        <f>IF($AA1038="","",INDEX('Per Line'!$P$2:$P$4001,$AA1038))</f>
        <v/>
      </c>
      <c r="L1038" s="7">
        <f>IF($AA1038="","",IF(AND(ISNUMBER(N1038),N1038&gt;0,Y1038&gt;N1038),K1038*N1038/100+(Y1038-N1038),K1038*Y1038/100))</f>
        <v/>
      </c>
      <c r="M1038">
        <f>IF($AA1038="","",INDEX('Per Line'!$Z$2:$Z$4001,$AA1038)&amp;"")</f>
        <v/>
      </c>
      <c r="N1038">
        <f>IF($AA1038="","",INDEX('Per Line'!$AG$2:$AG$4001,$AA1038))</f>
        <v/>
      </c>
      <c r="O1038">
        <f>IF($AA1038="","",IF(AND(ISNUMBER(N1038),N1038&gt;0),Y1038&gt;N1038,FALSE))</f>
        <v/>
      </c>
      <c r="P1038" s="7">
        <f>IF($AA1038="","",SUMIFS('Per Line'!$Y$2:$Y$4001,'Per Line'!$E$2:$E$4001,$B1038,'Per Line'!$AQ$2:$AQ$4001,1))</f>
        <v/>
      </c>
      <c r="Q1038">
        <f>IF($AA1038="","",Settings!$C$7)</f>
        <v/>
      </c>
      <c r="R1038" s="7">
        <f>IF($AA1038="","",SUMIFS('Per Line'!$Y$2:$Y$4001,'Per Line'!$E$2:$E$4001,$B1038,'Per Line'!$AP$2:$AP$4001,0,'Per Line'!$AQ$2:$AQ$4001,0))</f>
        <v/>
      </c>
      <c r="S1038" s="7">
        <f>IF($AA1038="","",R1038*Q1038)</f>
        <v/>
      </c>
      <c r="T1038">
        <f>IF($AA1038="","",Settings!$C$6)</f>
        <v/>
      </c>
      <c r="U1038" s="7">
        <f>IF($AA1038="","",SUMIFS('Per Line'!$Y$2:$Y$4001,'Per Line'!$E$2:$E$4001,$B1038,'Per Line'!$AP$2:$AP$4001,1,'Per Line'!$AQ$2:$AQ$4001,0))</f>
        <v/>
      </c>
      <c r="V1038" s="7">
        <f>IF($AA1038="","",U1038*T1038)</f>
        <v/>
      </c>
      <c r="W1038" s="7">
        <f>IF($AA1038="","",V1038+S1038)</f>
        <v/>
      </c>
      <c r="X1038" s="7">
        <f>IF($AA1038="","",Y1038-W1038)</f>
        <v/>
      </c>
      <c r="Y1038" s="7">
        <f>IF($AA1038="","",R1038+U1038+P1038)</f>
        <v/>
      </c>
      <c r="Z1038" s="7">
        <f>IF($AA1038="","",Y1038-W1038-L1038)</f>
        <v/>
      </c>
      <c r="AA1038" s="13">
        <f>IF(ROWS($AA$2:$AA1038)&lt;=MAX('Per Line'!$AO$2:$AO$4001),MATCH(ROWS($AA$2:$AA1038),'Per Line'!$AO$2:$AO$4001,0),"")</f>
        <v/>
      </c>
      <c r="AB1038" s="14">
        <f>IF($AA1038="","",L1038-K1038*Y1038/100)</f>
        <v/>
      </c>
    </row>
    <row r="1039">
      <c r="A1039" s="12" t="n"/>
      <c r="B1039">
        <f>IF($AA1039="","",INDEX('Per Line'!$E$2:$E$4001,$AA1039)&amp;"")</f>
        <v/>
      </c>
      <c r="C1039">
        <f>IF($AA1039="","",INDEX('Per Line'!$A$2:$A$4001,$AA1039)&amp;"")</f>
        <v/>
      </c>
      <c r="D1039">
        <f>IF($AA1039="","",INDEX('Per Line'!$D$2:$D$4001,$AA1039)&amp;"")</f>
        <v/>
      </c>
      <c r="E1039" s="11">
        <f>IF($AA1039="","",INDEX('Per Line'!$G$2:$G$4001,$AA1039))</f>
        <v/>
      </c>
      <c r="F1039">
        <f>IF($AA1039="","",INDEX('Per Line'!$H$2:$H$4001,$AA1039)&amp;"")</f>
        <v/>
      </c>
      <c r="G1039">
        <f>IF($AA1039="","",INDEX('Per Line'!$I$2:$I$4001,$AA1039)&amp;"")</f>
        <v/>
      </c>
      <c r="H1039">
        <f>IF($AA1039="","",INDEX('Per Line'!$J$2:$J$4001,$AA1039)&amp;"")</f>
        <v/>
      </c>
      <c r="I1039">
        <f>IF($AA1039="","",INDEX('Per Line'!$K$2:$K$4001,$AA1039)&amp;"")</f>
        <v/>
      </c>
      <c r="J1039">
        <f>IF($AA1039="","",INDEX('Per Line'!$L$2:$L$4001,$AA1039)&amp;"")</f>
        <v/>
      </c>
      <c r="K1039">
        <f>IF($AA1039="","",INDEX('Per Line'!$P$2:$P$4001,$AA1039))</f>
        <v/>
      </c>
      <c r="L1039" s="7">
        <f>IF($AA1039="","",IF(AND(ISNUMBER(N1039),N1039&gt;0,Y1039&gt;N1039),K1039*N1039/100+(Y1039-N1039),K1039*Y1039/100))</f>
        <v/>
      </c>
      <c r="M1039">
        <f>IF($AA1039="","",INDEX('Per Line'!$Z$2:$Z$4001,$AA1039)&amp;"")</f>
        <v/>
      </c>
      <c r="N1039">
        <f>IF($AA1039="","",INDEX('Per Line'!$AG$2:$AG$4001,$AA1039))</f>
        <v/>
      </c>
      <c r="O1039">
        <f>IF($AA1039="","",IF(AND(ISNUMBER(N1039),N1039&gt;0),Y1039&gt;N1039,FALSE))</f>
        <v/>
      </c>
      <c r="P1039" s="7">
        <f>IF($AA1039="","",SUMIFS('Per Line'!$Y$2:$Y$4001,'Per Line'!$E$2:$E$4001,$B1039,'Per Line'!$AQ$2:$AQ$4001,1))</f>
        <v/>
      </c>
      <c r="Q1039">
        <f>IF($AA1039="","",Settings!$C$7)</f>
        <v/>
      </c>
      <c r="R1039" s="7">
        <f>IF($AA1039="","",SUMIFS('Per Line'!$Y$2:$Y$4001,'Per Line'!$E$2:$E$4001,$B1039,'Per Line'!$AP$2:$AP$4001,0,'Per Line'!$AQ$2:$AQ$4001,0))</f>
        <v/>
      </c>
      <c r="S1039" s="7">
        <f>IF($AA1039="","",R1039*Q1039)</f>
        <v/>
      </c>
      <c r="T1039">
        <f>IF($AA1039="","",Settings!$C$6)</f>
        <v/>
      </c>
      <c r="U1039" s="7">
        <f>IF($AA1039="","",SUMIFS('Per Line'!$Y$2:$Y$4001,'Per Line'!$E$2:$E$4001,$B1039,'Per Line'!$AP$2:$AP$4001,1,'Per Line'!$AQ$2:$AQ$4001,0))</f>
        <v/>
      </c>
      <c r="V1039" s="7">
        <f>IF($AA1039="","",U1039*T1039)</f>
        <v/>
      </c>
      <c r="W1039" s="7">
        <f>IF($AA1039="","",V1039+S1039)</f>
        <v/>
      </c>
      <c r="X1039" s="7">
        <f>IF($AA1039="","",Y1039-W1039)</f>
        <v/>
      </c>
      <c r="Y1039" s="7">
        <f>IF($AA1039="","",R1039+U1039+P1039)</f>
        <v/>
      </c>
      <c r="Z1039" s="7">
        <f>IF($AA1039="","",Y1039-W1039-L1039)</f>
        <v/>
      </c>
      <c r="AA1039" s="13">
        <f>IF(ROWS($AA$2:$AA1039)&lt;=MAX('Per Line'!$AO$2:$AO$4001),MATCH(ROWS($AA$2:$AA1039),'Per Line'!$AO$2:$AO$4001,0),"")</f>
        <v/>
      </c>
      <c r="AB1039" s="14">
        <f>IF($AA1039="","",L1039-K1039*Y1039/100)</f>
        <v/>
      </c>
    </row>
    <row r="1040">
      <c r="A1040" s="12" t="n"/>
      <c r="B1040">
        <f>IF($AA1040="","",INDEX('Per Line'!$E$2:$E$4001,$AA1040)&amp;"")</f>
        <v/>
      </c>
      <c r="C1040">
        <f>IF($AA1040="","",INDEX('Per Line'!$A$2:$A$4001,$AA1040)&amp;"")</f>
        <v/>
      </c>
      <c r="D1040">
        <f>IF($AA1040="","",INDEX('Per Line'!$D$2:$D$4001,$AA1040)&amp;"")</f>
        <v/>
      </c>
      <c r="E1040" s="11">
        <f>IF($AA1040="","",INDEX('Per Line'!$G$2:$G$4001,$AA1040))</f>
        <v/>
      </c>
      <c r="F1040">
        <f>IF($AA1040="","",INDEX('Per Line'!$H$2:$H$4001,$AA1040)&amp;"")</f>
        <v/>
      </c>
      <c r="G1040">
        <f>IF($AA1040="","",INDEX('Per Line'!$I$2:$I$4001,$AA1040)&amp;"")</f>
        <v/>
      </c>
      <c r="H1040">
        <f>IF($AA1040="","",INDEX('Per Line'!$J$2:$J$4001,$AA1040)&amp;"")</f>
        <v/>
      </c>
      <c r="I1040">
        <f>IF($AA1040="","",INDEX('Per Line'!$K$2:$K$4001,$AA1040)&amp;"")</f>
        <v/>
      </c>
      <c r="J1040">
        <f>IF($AA1040="","",INDEX('Per Line'!$L$2:$L$4001,$AA1040)&amp;"")</f>
        <v/>
      </c>
      <c r="K1040">
        <f>IF($AA1040="","",INDEX('Per Line'!$P$2:$P$4001,$AA1040))</f>
        <v/>
      </c>
      <c r="L1040" s="7">
        <f>IF($AA1040="","",IF(AND(ISNUMBER(N1040),N1040&gt;0,Y1040&gt;N1040),K1040*N1040/100+(Y1040-N1040),K1040*Y1040/100))</f>
        <v/>
      </c>
      <c r="M1040">
        <f>IF($AA1040="","",INDEX('Per Line'!$Z$2:$Z$4001,$AA1040)&amp;"")</f>
        <v/>
      </c>
      <c r="N1040">
        <f>IF($AA1040="","",INDEX('Per Line'!$AG$2:$AG$4001,$AA1040))</f>
        <v/>
      </c>
      <c r="O1040">
        <f>IF($AA1040="","",IF(AND(ISNUMBER(N1040),N1040&gt;0),Y1040&gt;N1040,FALSE))</f>
        <v/>
      </c>
      <c r="P1040" s="7">
        <f>IF($AA1040="","",SUMIFS('Per Line'!$Y$2:$Y$4001,'Per Line'!$E$2:$E$4001,$B1040,'Per Line'!$AQ$2:$AQ$4001,1))</f>
        <v/>
      </c>
      <c r="Q1040">
        <f>IF($AA1040="","",Settings!$C$7)</f>
        <v/>
      </c>
      <c r="R1040" s="7">
        <f>IF($AA1040="","",SUMIFS('Per Line'!$Y$2:$Y$4001,'Per Line'!$E$2:$E$4001,$B1040,'Per Line'!$AP$2:$AP$4001,0,'Per Line'!$AQ$2:$AQ$4001,0))</f>
        <v/>
      </c>
      <c r="S1040" s="7">
        <f>IF($AA1040="","",R1040*Q1040)</f>
        <v/>
      </c>
      <c r="T1040">
        <f>IF($AA1040="","",Settings!$C$6)</f>
        <v/>
      </c>
      <c r="U1040" s="7">
        <f>IF($AA1040="","",SUMIFS('Per Line'!$Y$2:$Y$4001,'Per Line'!$E$2:$E$4001,$B1040,'Per Line'!$AP$2:$AP$4001,1,'Per Line'!$AQ$2:$AQ$4001,0))</f>
        <v/>
      </c>
      <c r="V1040" s="7">
        <f>IF($AA1040="","",U1040*T1040)</f>
        <v/>
      </c>
      <c r="W1040" s="7">
        <f>IF($AA1040="","",V1040+S1040)</f>
        <v/>
      </c>
      <c r="X1040" s="7">
        <f>IF($AA1040="","",Y1040-W1040)</f>
        <v/>
      </c>
      <c r="Y1040" s="7">
        <f>IF($AA1040="","",R1040+U1040+P1040)</f>
        <v/>
      </c>
      <c r="Z1040" s="7">
        <f>IF($AA1040="","",Y1040-W1040-L1040)</f>
        <v/>
      </c>
      <c r="AA1040" s="13">
        <f>IF(ROWS($AA$2:$AA1040)&lt;=MAX('Per Line'!$AO$2:$AO$4001),MATCH(ROWS($AA$2:$AA1040),'Per Line'!$AO$2:$AO$4001,0),"")</f>
        <v/>
      </c>
      <c r="AB1040" s="14">
        <f>IF($AA1040="","",L1040-K1040*Y1040/100)</f>
        <v/>
      </c>
    </row>
    <row r="1041">
      <c r="A1041" s="12" t="n"/>
      <c r="B1041">
        <f>IF($AA1041="","",INDEX('Per Line'!$E$2:$E$4001,$AA1041)&amp;"")</f>
        <v/>
      </c>
      <c r="C1041">
        <f>IF($AA1041="","",INDEX('Per Line'!$A$2:$A$4001,$AA1041)&amp;"")</f>
        <v/>
      </c>
      <c r="D1041">
        <f>IF($AA1041="","",INDEX('Per Line'!$D$2:$D$4001,$AA1041)&amp;"")</f>
        <v/>
      </c>
      <c r="E1041" s="11">
        <f>IF($AA1041="","",INDEX('Per Line'!$G$2:$G$4001,$AA1041))</f>
        <v/>
      </c>
      <c r="F1041">
        <f>IF($AA1041="","",INDEX('Per Line'!$H$2:$H$4001,$AA1041)&amp;"")</f>
        <v/>
      </c>
      <c r="G1041">
        <f>IF($AA1041="","",INDEX('Per Line'!$I$2:$I$4001,$AA1041)&amp;"")</f>
        <v/>
      </c>
      <c r="H1041">
        <f>IF($AA1041="","",INDEX('Per Line'!$J$2:$J$4001,$AA1041)&amp;"")</f>
        <v/>
      </c>
      <c r="I1041">
        <f>IF($AA1041="","",INDEX('Per Line'!$K$2:$K$4001,$AA1041)&amp;"")</f>
        <v/>
      </c>
      <c r="J1041">
        <f>IF($AA1041="","",INDEX('Per Line'!$L$2:$L$4001,$AA1041)&amp;"")</f>
        <v/>
      </c>
      <c r="K1041">
        <f>IF($AA1041="","",INDEX('Per Line'!$P$2:$P$4001,$AA1041))</f>
        <v/>
      </c>
      <c r="L1041" s="7">
        <f>IF($AA1041="","",IF(AND(ISNUMBER(N1041),N1041&gt;0,Y1041&gt;N1041),K1041*N1041/100+(Y1041-N1041),K1041*Y1041/100))</f>
        <v/>
      </c>
      <c r="M1041">
        <f>IF($AA1041="","",INDEX('Per Line'!$Z$2:$Z$4001,$AA1041)&amp;"")</f>
        <v/>
      </c>
      <c r="N1041">
        <f>IF($AA1041="","",INDEX('Per Line'!$AG$2:$AG$4001,$AA1041))</f>
        <v/>
      </c>
      <c r="O1041">
        <f>IF($AA1041="","",IF(AND(ISNUMBER(N1041),N1041&gt;0),Y1041&gt;N1041,FALSE))</f>
        <v/>
      </c>
      <c r="P1041" s="7">
        <f>IF($AA1041="","",SUMIFS('Per Line'!$Y$2:$Y$4001,'Per Line'!$E$2:$E$4001,$B1041,'Per Line'!$AQ$2:$AQ$4001,1))</f>
        <v/>
      </c>
      <c r="Q1041">
        <f>IF($AA1041="","",Settings!$C$7)</f>
        <v/>
      </c>
      <c r="R1041" s="7">
        <f>IF($AA1041="","",SUMIFS('Per Line'!$Y$2:$Y$4001,'Per Line'!$E$2:$E$4001,$B1041,'Per Line'!$AP$2:$AP$4001,0,'Per Line'!$AQ$2:$AQ$4001,0))</f>
        <v/>
      </c>
      <c r="S1041" s="7">
        <f>IF($AA1041="","",R1041*Q1041)</f>
        <v/>
      </c>
      <c r="T1041">
        <f>IF($AA1041="","",Settings!$C$6)</f>
        <v/>
      </c>
      <c r="U1041" s="7">
        <f>IF($AA1041="","",SUMIFS('Per Line'!$Y$2:$Y$4001,'Per Line'!$E$2:$E$4001,$B1041,'Per Line'!$AP$2:$AP$4001,1,'Per Line'!$AQ$2:$AQ$4001,0))</f>
        <v/>
      </c>
      <c r="V1041" s="7">
        <f>IF($AA1041="","",U1041*T1041)</f>
        <v/>
      </c>
      <c r="W1041" s="7">
        <f>IF($AA1041="","",V1041+S1041)</f>
        <v/>
      </c>
      <c r="X1041" s="7">
        <f>IF($AA1041="","",Y1041-W1041)</f>
        <v/>
      </c>
      <c r="Y1041" s="7">
        <f>IF($AA1041="","",R1041+U1041+P1041)</f>
        <v/>
      </c>
      <c r="Z1041" s="7">
        <f>IF($AA1041="","",Y1041-W1041-L1041)</f>
        <v/>
      </c>
      <c r="AA1041" s="13">
        <f>IF(ROWS($AA$2:$AA1041)&lt;=MAX('Per Line'!$AO$2:$AO$4001),MATCH(ROWS($AA$2:$AA1041),'Per Line'!$AO$2:$AO$4001,0),"")</f>
        <v/>
      </c>
      <c r="AB1041" s="14">
        <f>IF($AA1041="","",L1041-K1041*Y1041/100)</f>
        <v/>
      </c>
    </row>
    <row r="1042">
      <c r="A1042" s="12" t="n"/>
      <c r="B1042">
        <f>IF($AA1042="","",INDEX('Per Line'!$E$2:$E$4001,$AA1042)&amp;"")</f>
        <v/>
      </c>
      <c r="C1042">
        <f>IF($AA1042="","",INDEX('Per Line'!$A$2:$A$4001,$AA1042)&amp;"")</f>
        <v/>
      </c>
      <c r="D1042">
        <f>IF($AA1042="","",INDEX('Per Line'!$D$2:$D$4001,$AA1042)&amp;"")</f>
        <v/>
      </c>
      <c r="E1042" s="11">
        <f>IF($AA1042="","",INDEX('Per Line'!$G$2:$G$4001,$AA1042))</f>
        <v/>
      </c>
      <c r="F1042">
        <f>IF($AA1042="","",INDEX('Per Line'!$H$2:$H$4001,$AA1042)&amp;"")</f>
        <v/>
      </c>
      <c r="G1042">
        <f>IF($AA1042="","",INDEX('Per Line'!$I$2:$I$4001,$AA1042)&amp;"")</f>
        <v/>
      </c>
      <c r="H1042">
        <f>IF($AA1042="","",INDEX('Per Line'!$J$2:$J$4001,$AA1042)&amp;"")</f>
        <v/>
      </c>
      <c r="I1042">
        <f>IF($AA1042="","",INDEX('Per Line'!$K$2:$K$4001,$AA1042)&amp;"")</f>
        <v/>
      </c>
      <c r="J1042">
        <f>IF($AA1042="","",INDEX('Per Line'!$L$2:$L$4001,$AA1042)&amp;"")</f>
        <v/>
      </c>
      <c r="K1042">
        <f>IF($AA1042="","",INDEX('Per Line'!$P$2:$P$4001,$AA1042))</f>
        <v/>
      </c>
      <c r="L1042" s="7">
        <f>IF($AA1042="","",IF(AND(ISNUMBER(N1042),N1042&gt;0,Y1042&gt;N1042),K1042*N1042/100+(Y1042-N1042),K1042*Y1042/100))</f>
        <v/>
      </c>
      <c r="M1042">
        <f>IF($AA1042="","",INDEX('Per Line'!$Z$2:$Z$4001,$AA1042)&amp;"")</f>
        <v/>
      </c>
      <c r="N1042">
        <f>IF($AA1042="","",INDEX('Per Line'!$AG$2:$AG$4001,$AA1042))</f>
        <v/>
      </c>
      <c r="O1042">
        <f>IF($AA1042="","",IF(AND(ISNUMBER(N1042),N1042&gt;0),Y1042&gt;N1042,FALSE))</f>
        <v/>
      </c>
      <c r="P1042" s="7">
        <f>IF($AA1042="","",SUMIFS('Per Line'!$Y$2:$Y$4001,'Per Line'!$E$2:$E$4001,$B1042,'Per Line'!$AQ$2:$AQ$4001,1))</f>
        <v/>
      </c>
      <c r="Q1042">
        <f>IF($AA1042="","",Settings!$C$7)</f>
        <v/>
      </c>
      <c r="R1042" s="7">
        <f>IF($AA1042="","",SUMIFS('Per Line'!$Y$2:$Y$4001,'Per Line'!$E$2:$E$4001,$B1042,'Per Line'!$AP$2:$AP$4001,0,'Per Line'!$AQ$2:$AQ$4001,0))</f>
        <v/>
      </c>
      <c r="S1042" s="7">
        <f>IF($AA1042="","",R1042*Q1042)</f>
        <v/>
      </c>
      <c r="T1042">
        <f>IF($AA1042="","",Settings!$C$6)</f>
        <v/>
      </c>
      <c r="U1042" s="7">
        <f>IF($AA1042="","",SUMIFS('Per Line'!$Y$2:$Y$4001,'Per Line'!$E$2:$E$4001,$B1042,'Per Line'!$AP$2:$AP$4001,1,'Per Line'!$AQ$2:$AQ$4001,0))</f>
        <v/>
      </c>
      <c r="V1042" s="7">
        <f>IF($AA1042="","",U1042*T1042)</f>
        <v/>
      </c>
      <c r="W1042" s="7">
        <f>IF($AA1042="","",V1042+S1042)</f>
        <v/>
      </c>
      <c r="X1042" s="7">
        <f>IF($AA1042="","",Y1042-W1042)</f>
        <v/>
      </c>
      <c r="Y1042" s="7">
        <f>IF($AA1042="","",R1042+U1042+P1042)</f>
        <v/>
      </c>
      <c r="Z1042" s="7">
        <f>IF($AA1042="","",Y1042-W1042-L1042)</f>
        <v/>
      </c>
      <c r="AA1042" s="13">
        <f>IF(ROWS($AA$2:$AA1042)&lt;=MAX('Per Line'!$AO$2:$AO$4001),MATCH(ROWS($AA$2:$AA1042),'Per Line'!$AO$2:$AO$4001,0),"")</f>
        <v/>
      </c>
      <c r="AB1042" s="14">
        <f>IF($AA1042="","",L1042-K1042*Y1042/100)</f>
        <v/>
      </c>
    </row>
    <row r="1043">
      <c r="A1043" s="12" t="n"/>
      <c r="B1043">
        <f>IF($AA1043="","",INDEX('Per Line'!$E$2:$E$4001,$AA1043)&amp;"")</f>
        <v/>
      </c>
      <c r="C1043">
        <f>IF($AA1043="","",INDEX('Per Line'!$A$2:$A$4001,$AA1043)&amp;"")</f>
        <v/>
      </c>
      <c r="D1043">
        <f>IF($AA1043="","",INDEX('Per Line'!$D$2:$D$4001,$AA1043)&amp;"")</f>
        <v/>
      </c>
      <c r="E1043" s="11">
        <f>IF($AA1043="","",INDEX('Per Line'!$G$2:$G$4001,$AA1043))</f>
        <v/>
      </c>
      <c r="F1043">
        <f>IF($AA1043="","",INDEX('Per Line'!$H$2:$H$4001,$AA1043)&amp;"")</f>
        <v/>
      </c>
      <c r="G1043">
        <f>IF($AA1043="","",INDEX('Per Line'!$I$2:$I$4001,$AA1043)&amp;"")</f>
        <v/>
      </c>
      <c r="H1043">
        <f>IF($AA1043="","",INDEX('Per Line'!$J$2:$J$4001,$AA1043)&amp;"")</f>
        <v/>
      </c>
      <c r="I1043">
        <f>IF($AA1043="","",INDEX('Per Line'!$K$2:$K$4001,$AA1043)&amp;"")</f>
        <v/>
      </c>
      <c r="J1043">
        <f>IF($AA1043="","",INDEX('Per Line'!$L$2:$L$4001,$AA1043)&amp;"")</f>
        <v/>
      </c>
      <c r="K1043">
        <f>IF($AA1043="","",INDEX('Per Line'!$P$2:$P$4001,$AA1043))</f>
        <v/>
      </c>
      <c r="L1043" s="7">
        <f>IF($AA1043="","",IF(AND(ISNUMBER(N1043),N1043&gt;0,Y1043&gt;N1043),K1043*N1043/100+(Y1043-N1043),K1043*Y1043/100))</f>
        <v/>
      </c>
      <c r="M1043">
        <f>IF($AA1043="","",INDEX('Per Line'!$Z$2:$Z$4001,$AA1043)&amp;"")</f>
        <v/>
      </c>
      <c r="N1043">
        <f>IF($AA1043="","",INDEX('Per Line'!$AG$2:$AG$4001,$AA1043))</f>
        <v/>
      </c>
      <c r="O1043">
        <f>IF($AA1043="","",IF(AND(ISNUMBER(N1043),N1043&gt;0),Y1043&gt;N1043,FALSE))</f>
        <v/>
      </c>
      <c r="P1043" s="7">
        <f>IF($AA1043="","",SUMIFS('Per Line'!$Y$2:$Y$4001,'Per Line'!$E$2:$E$4001,$B1043,'Per Line'!$AQ$2:$AQ$4001,1))</f>
        <v/>
      </c>
      <c r="Q1043">
        <f>IF($AA1043="","",Settings!$C$7)</f>
        <v/>
      </c>
      <c r="R1043" s="7">
        <f>IF($AA1043="","",SUMIFS('Per Line'!$Y$2:$Y$4001,'Per Line'!$E$2:$E$4001,$B1043,'Per Line'!$AP$2:$AP$4001,0,'Per Line'!$AQ$2:$AQ$4001,0))</f>
        <v/>
      </c>
      <c r="S1043" s="7">
        <f>IF($AA1043="","",R1043*Q1043)</f>
        <v/>
      </c>
      <c r="T1043">
        <f>IF($AA1043="","",Settings!$C$6)</f>
        <v/>
      </c>
      <c r="U1043" s="7">
        <f>IF($AA1043="","",SUMIFS('Per Line'!$Y$2:$Y$4001,'Per Line'!$E$2:$E$4001,$B1043,'Per Line'!$AP$2:$AP$4001,1,'Per Line'!$AQ$2:$AQ$4001,0))</f>
        <v/>
      </c>
      <c r="V1043" s="7">
        <f>IF($AA1043="","",U1043*T1043)</f>
        <v/>
      </c>
      <c r="W1043" s="7">
        <f>IF($AA1043="","",V1043+S1043)</f>
        <v/>
      </c>
      <c r="X1043" s="7">
        <f>IF($AA1043="","",Y1043-W1043)</f>
        <v/>
      </c>
      <c r="Y1043" s="7">
        <f>IF($AA1043="","",R1043+U1043+P1043)</f>
        <v/>
      </c>
      <c r="Z1043" s="7">
        <f>IF($AA1043="","",Y1043-W1043-L1043)</f>
        <v/>
      </c>
      <c r="AA1043" s="13">
        <f>IF(ROWS($AA$2:$AA1043)&lt;=MAX('Per Line'!$AO$2:$AO$4001),MATCH(ROWS($AA$2:$AA1043),'Per Line'!$AO$2:$AO$4001,0),"")</f>
        <v/>
      </c>
      <c r="AB1043" s="14">
        <f>IF($AA1043="","",L1043-K1043*Y1043/100)</f>
        <v/>
      </c>
    </row>
    <row r="1044">
      <c r="A1044" s="12" t="n"/>
      <c r="B1044">
        <f>IF($AA1044="","",INDEX('Per Line'!$E$2:$E$4001,$AA1044)&amp;"")</f>
        <v/>
      </c>
      <c r="C1044">
        <f>IF($AA1044="","",INDEX('Per Line'!$A$2:$A$4001,$AA1044)&amp;"")</f>
        <v/>
      </c>
      <c r="D1044">
        <f>IF($AA1044="","",INDEX('Per Line'!$D$2:$D$4001,$AA1044)&amp;"")</f>
        <v/>
      </c>
      <c r="E1044" s="11">
        <f>IF($AA1044="","",INDEX('Per Line'!$G$2:$G$4001,$AA1044))</f>
        <v/>
      </c>
      <c r="F1044">
        <f>IF($AA1044="","",INDEX('Per Line'!$H$2:$H$4001,$AA1044)&amp;"")</f>
        <v/>
      </c>
      <c r="G1044">
        <f>IF($AA1044="","",INDEX('Per Line'!$I$2:$I$4001,$AA1044)&amp;"")</f>
        <v/>
      </c>
      <c r="H1044">
        <f>IF($AA1044="","",INDEX('Per Line'!$J$2:$J$4001,$AA1044)&amp;"")</f>
        <v/>
      </c>
      <c r="I1044">
        <f>IF($AA1044="","",INDEX('Per Line'!$K$2:$K$4001,$AA1044)&amp;"")</f>
        <v/>
      </c>
      <c r="J1044">
        <f>IF($AA1044="","",INDEX('Per Line'!$L$2:$L$4001,$AA1044)&amp;"")</f>
        <v/>
      </c>
      <c r="K1044">
        <f>IF($AA1044="","",INDEX('Per Line'!$P$2:$P$4001,$AA1044))</f>
        <v/>
      </c>
      <c r="L1044" s="7">
        <f>IF($AA1044="","",IF(AND(ISNUMBER(N1044),N1044&gt;0,Y1044&gt;N1044),K1044*N1044/100+(Y1044-N1044),K1044*Y1044/100))</f>
        <v/>
      </c>
      <c r="M1044">
        <f>IF($AA1044="","",INDEX('Per Line'!$Z$2:$Z$4001,$AA1044)&amp;"")</f>
        <v/>
      </c>
      <c r="N1044">
        <f>IF($AA1044="","",INDEX('Per Line'!$AG$2:$AG$4001,$AA1044))</f>
        <v/>
      </c>
      <c r="O1044">
        <f>IF($AA1044="","",IF(AND(ISNUMBER(N1044),N1044&gt;0),Y1044&gt;N1044,FALSE))</f>
        <v/>
      </c>
      <c r="P1044" s="7">
        <f>IF($AA1044="","",SUMIFS('Per Line'!$Y$2:$Y$4001,'Per Line'!$E$2:$E$4001,$B1044,'Per Line'!$AQ$2:$AQ$4001,1))</f>
        <v/>
      </c>
      <c r="Q1044">
        <f>IF($AA1044="","",Settings!$C$7)</f>
        <v/>
      </c>
      <c r="R1044" s="7">
        <f>IF($AA1044="","",SUMIFS('Per Line'!$Y$2:$Y$4001,'Per Line'!$E$2:$E$4001,$B1044,'Per Line'!$AP$2:$AP$4001,0,'Per Line'!$AQ$2:$AQ$4001,0))</f>
        <v/>
      </c>
      <c r="S1044" s="7">
        <f>IF($AA1044="","",R1044*Q1044)</f>
        <v/>
      </c>
      <c r="T1044">
        <f>IF($AA1044="","",Settings!$C$6)</f>
        <v/>
      </c>
      <c r="U1044" s="7">
        <f>IF($AA1044="","",SUMIFS('Per Line'!$Y$2:$Y$4001,'Per Line'!$E$2:$E$4001,$B1044,'Per Line'!$AP$2:$AP$4001,1,'Per Line'!$AQ$2:$AQ$4001,0))</f>
        <v/>
      </c>
      <c r="V1044" s="7">
        <f>IF($AA1044="","",U1044*T1044)</f>
        <v/>
      </c>
      <c r="W1044" s="7">
        <f>IF($AA1044="","",V1044+S1044)</f>
        <v/>
      </c>
      <c r="X1044" s="7">
        <f>IF($AA1044="","",Y1044-W1044)</f>
        <v/>
      </c>
      <c r="Y1044" s="7">
        <f>IF($AA1044="","",R1044+U1044+P1044)</f>
        <v/>
      </c>
      <c r="Z1044" s="7">
        <f>IF($AA1044="","",Y1044-W1044-L1044)</f>
        <v/>
      </c>
      <c r="AA1044" s="13">
        <f>IF(ROWS($AA$2:$AA1044)&lt;=MAX('Per Line'!$AO$2:$AO$4001),MATCH(ROWS($AA$2:$AA1044),'Per Line'!$AO$2:$AO$4001,0),"")</f>
        <v/>
      </c>
      <c r="AB1044" s="14">
        <f>IF($AA1044="","",L1044-K1044*Y1044/100)</f>
        <v/>
      </c>
    </row>
    <row r="1045">
      <c r="A1045" s="12" t="n"/>
      <c r="B1045">
        <f>IF($AA1045="","",INDEX('Per Line'!$E$2:$E$4001,$AA1045)&amp;"")</f>
        <v/>
      </c>
      <c r="C1045">
        <f>IF($AA1045="","",INDEX('Per Line'!$A$2:$A$4001,$AA1045)&amp;"")</f>
        <v/>
      </c>
      <c r="D1045">
        <f>IF($AA1045="","",INDEX('Per Line'!$D$2:$D$4001,$AA1045)&amp;"")</f>
        <v/>
      </c>
      <c r="E1045" s="11">
        <f>IF($AA1045="","",INDEX('Per Line'!$G$2:$G$4001,$AA1045))</f>
        <v/>
      </c>
      <c r="F1045">
        <f>IF($AA1045="","",INDEX('Per Line'!$H$2:$H$4001,$AA1045)&amp;"")</f>
        <v/>
      </c>
      <c r="G1045">
        <f>IF($AA1045="","",INDEX('Per Line'!$I$2:$I$4001,$AA1045)&amp;"")</f>
        <v/>
      </c>
      <c r="H1045">
        <f>IF($AA1045="","",INDEX('Per Line'!$J$2:$J$4001,$AA1045)&amp;"")</f>
        <v/>
      </c>
      <c r="I1045">
        <f>IF($AA1045="","",INDEX('Per Line'!$K$2:$K$4001,$AA1045)&amp;"")</f>
        <v/>
      </c>
      <c r="J1045">
        <f>IF($AA1045="","",INDEX('Per Line'!$L$2:$L$4001,$AA1045)&amp;"")</f>
        <v/>
      </c>
      <c r="K1045">
        <f>IF($AA1045="","",INDEX('Per Line'!$P$2:$P$4001,$AA1045))</f>
        <v/>
      </c>
      <c r="L1045" s="7">
        <f>IF($AA1045="","",IF(AND(ISNUMBER(N1045),N1045&gt;0,Y1045&gt;N1045),K1045*N1045/100+(Y1045-N1045),K1045*Y1045/100))</f>
        <v/>
      </c>
      <c r="M1045">
        <f>IF($AA1045="","",INDEX('Per Line'!$Z$2:$Z$4001,$AA1045)&amp;"")</f>
        <v/>
      </c>
      <c r="N1045">
        <f>IF($AA1045="","",INDEX('Per Line'!$AG$2:$AG$4001,$AA1045))</f>
        <v/>
      </c>
      <c r="O1045">
        <f>IF($AA1045="","",IF(AND(ISNUMBER(N1045),N1045&gt;0),Y1045&gt;N1045,FALSE))</f>
        <v/>
      </c>
      <c r="P1045" s="7">
        <f>IF($AA1045="","",SUMIFS('Per Line'!$Y$2:$Y$4001,'Per Line'!$E$2:$E$4001,$B1045,'Per Line'!$AQ$2:$AQ$4001,1))</f>
        <v/>
      </c>
      <c r="Q1045">
        <f>IF($AA1045="","",Settings!$C$7)</f>
        <v/>
      </c>
      <c r="R1045" s="7">
        <f>IF($AA1045="","",SUMIFS('Per Line'!$Y$2:$Y$4001,'Per Line'!$E$2:$E$4001,$B1045,'Per Line'!$AP$2:$AP$4001,0,'Per Line'!$AQ$2:$AQ$4001,0))</f>
        <v/>
      </c>
      <c r="S1045" s="7">
        <f>IF($AA1045="","",R1045*Q1045)</f>
        <v/>
      </c>
      <c r="T1045">
        <f>IF($AA1045="","",Settings!$C$6)</f>
        <v/>
      </c>
      <c r="U1045" s="7">
        <f>IF($AA1045="","",SUMIFS('Per Line'!$Y$2:$Y$4001,'Per Line'!$E$2:$E$4001,$B1045,'Per Line'!$AP$2:$AP$4001,1,'Per Line'!$AQ$2:$AQ$4001,0))</f>
        <v/>
      </c>
      <c r="V1045" s="7">
        <f>IF($AA1045="","",U1045*T1045)</f>
        <v/>
      </c>
      <c r="W1045" s="7">
        <f>IF($AA1045="","",V1045+S1045)</f>
        <v/>
      </c>
      <c r="X1045" s="7">
        <f>IF($AA1045="","",Y1045-W1045)</f>
        <v/>
      </c>
      <c r="Y1045" s="7">
        <f>IF($AA1045="","",R1045+U1045+P1045)</f>
        <v/>
      </c>
      <c r="Z1045" s="7">
        <f>IF($AA1045="","",Y1045-W1045-L1045)</f>
        <v/>
      </c>
      <c r="AA1045" s="13">
        <f>IF(ROWS($AA$2:$AA1045)&lt;=MAX('Per Line'!$AO$2:$AO$4001),MATCH(ROWS($AA$2:$AA1045),'Per Line'!$AO$2:$AO$4001,0),"")</f>
        <v/>
      </c>
      <c r="AB1045" s="14">
        <f>IF($AA1045="","",L1045-K1045*Y1045/100)</f>
        <v/>
      </c>
    </row>
    <row r="1046">
      <c r="A1046" s="12" t="n"/>
      <c r="B1046">
        <f>IF($AA1046="","",INDEX('Per Line'!$E$2:$E$4001,$AA1046)&amp;"")</f>
        <v/>
      </c>
      <c r="C1046">
        <f>IF($AA1046="","",INDEX('Per Line'!$A$2:$A$4001,$AA1046)&amp;"")</f>
        <v/>
      </c>
      <c r="D1046">
        <f>IF($AA1046="","",INDEX('Per Line'!$D$2:$D$4001,$AA1046)&amp;"")</f>
        <v/>
      </c>
      <c r="E1046" s="11">
        <f>IF($AA1046="","",INDEX('Per Line'!$G$2:$G$4001,$AA1046))</f>
        <v/>
      </c>
      <c r="F1046">
        <f>IF($AA1046="","",INDEX('Per Line'!$H$2:$H$4001,$AA1046)&amp;"")</f>
        <v/>
      </c>
      <c r="G1046">
        <f>IF($AA1046="","",INDEX('Per Line'!$I$2:$I$4001,$AA1046)&amp;"")</f>
        <v/>
      </c>
      <c r="H1046">
        <f>IF($AA1046="","",INDEX('Per Line'!$J$2:$J$4001,$AA1046)&amp;"")</f>
        <v/>
      </c>
      <c r="I1046">
        <f>IF($AA1046="","",INDEX('Per Line'!$K$2:$K$4001,$AA1046)&amp;"")</f>
        <v/>
      </c>
      <c r="J1046">
        <f>IF($AA1046="","",INDEX('Per Line'!$L$2:$L$4001,$AA1046)&amp;"")</f>
        <v/>
      </c>
      <c r="K1046">
        <f>IF($AA1046="","",INDEX('Per Line'!$P$2:$P$4001,$AA1046))</f>
        <v/>
      </c>
      <c r="L1046" s="7">
        <f>IF($AA1046="","",IF(AND(ISNUMBER(N1046),N1046&gt;0,Y1046&gt;N1046),K1046*N1046/100+(Y1046-N1046),K1046*Y1046/100))</f>
        <v/>
      </c>
      <c r="M1046">
        <f>IF($AA1046="","",INDEX('Per Line'!$Z$2:$Z$4001,$AA1046)&amp;"")</f>
        <v/>
      </c>
      <c r="N1046">
        <f>IF($AA1046="","",INDEX('Per Line'!$AG$2:$AG$4001,$AA1046))</f>
        <v/>
      </c>
      <c r="O1046">
        <f>IF($AA1046="","",IF(AND(ISNUMBER(N1046),N1046&gt;0),Y1046&gt;N1046,FALSE))</f>
        <v/>
      </c>
      <c r="P1046" s="7">
        <f>IF($AA1046="","",SUMIFS('Per Line'!$Y$2:$Y$4001,'Per Line'!$E$2:$E$4001,$B1046,'Per Line'!$AQ$2:$AQ$4001,1))</f>
        <v/>
      </c>
      <c r="Q1046">
        <f>IF($AA1046="","",Settings!$C$7)</f>
        <v/>
      </c>
      <c r="R1046" s="7">
        <f>IF($AA1046="","",SUMIFS('Per Line'!$Y$2:$Y$4001,'Per Line'!$E$2:$E$4001,$B1046,'Per Line'!$AP$2:$AP$4001,0,'Per Line'!$AQ$2:$AQ$4001,0))</f>
        <v/>
      </c>
      <c r="S1046" s="7">
        <f>IF($AA1046="","",R1046*Q1046)</f>
        <v/>
      </c>
      <c r="T1046">
        <f>IF($AA1046="","",Settings!$C$6)</f>
        <v/>
      </c>
      <c r="U1046" s="7">
        <f>IF($AA1046="","",SUMIFS('Per Line'!$Y$2:$Y$4001,'Per Line'!$E$2:$E$4001,$B1046,'Per Line'!$AP$2:$AP$4001,1,'Per Line'!$AQ$2:$AQ$4001,0))</f>
        <v/>
      </c>
      <c r="V1046" s="7">
        <f>IF($AA1046="","",U1046*T1046)</f>
        <v/>
      </c>
      <c r="W1046" s="7">
        <f>IF($AA1046="","",V1046+S1046)</f>
        <v/>
      </c>
      <c r="X1046" s="7">
        <f>IF($AA1046="","",Y1046-W1046)</f>
        <v/>
      </c>
      <c r="Y1046" s="7">
        <f>IF($AA1046="","",R1046+U1046+P1046)</f>
        <v/>
      </c>
      <c r="Z1046" s="7">
        <f>IF($AA1046="","",Y1046-W1046-L1046)</f>
        <v/>
      </c>
      <c r="AA1046" s="13">
        <f>IF(ROWS($AA$2:$AA1046)&lt;=MAX('Per Line'!$AO$2:$AO$4001),MATCH(ROWS($AA$2:$AA1046),'Per Line'!$AO$2:$AO$4001,0),"")</f>
        <v/>
      </c>
      <c r="AB1046" s="14">
        <f>IF($AA1046="","",L1046-K1046*Y1046/100)</f>
        <v/>
      </c>
    </row>
    <row r="1047">
      <c r="A1047" s="12" t="n"/>
      <c r="B1047">
        <f>IF($AA1047="","",INDEX('Per Line'!$E$2:$E$4001,$AA1047)&amp;"")</f>
        <v/>
      </c>
      <c r="C1047">
        <f>IF($AA1047="","",INDEX('Per Line'!$A$2:$A$4001,$AA1047)&amp;"")</f>
        <v/>
      </c>
      <c r="D1047">
        <f>IF($AA1047="","",INDEX('Per Line'!$D$2:$D$4001,$AA1047)&amp;"")</f>
        <v/>
      </c>
      <c r="E1047" s="11">
        <f>IF($AA1047="","",INDEX('Per Line'!$G$2:$G$4001,$AA1047))</f>
        <v/>
      </c>
      <c r="F1047">
        <f>IF($AA1047="","",INDEX('Per Line'!$H$2:$H$4001,$AA1047)&amp;"")</f>
        <v/>
      </c>
      <c r="G1047">
        <f>IF($AA1047="","",INDEX('Per Line'!$I$2:$I$4001,$AA1047)&amp;"")</f>
        <v/>
      </c>
      <c r="H1047">
        <f>IF($AA1047="","",INDEX('Per Line'!$J$2:$J$4001,$AA1047)&amp;"")</f>
        <v/>
      </c>
      <c r="I1047">
        <f>IF($AA1047="","",INDEX('Per Line'!$K$2:$K$4001,$AA1047)&amp;"")</f>
        <v/>
      </c>
      <c r="J1047">
        <f>IF($AA1047="","",INDEX('Per Line'!$L$2:$L$4001,$AA1047)&amp;"")</f>
        <v/>
      </c>
      <c r="K1047">
        <f>IF($AA1047="","",INDEX('Per Line'!$P$2:$P$4001,$AA1047))</f>
        <v/>
      </c>
      <c r="L1047" s="7">
        <f>IF($AA1047="","",IF(AND(ISNUMBER(N1047),N1047&gt;0,Y1047&gt;N1047),K1047*N1047/100+(Y1047-N1047),K1047*Y1047/100))</f>
        <v/>
      </c>
      <c r="M1047">
        <f>IF($AA1047="","",INDEX('Per Line'!$Z$2:$Z$4001,$AA1047)&amp;"")</f>
        <v/>
      </c>
      <c r="N1047">
        <f>IF($AA1047="","",INDEX('Per Line'!$AG$2:$AG$4001,$AA1047))</f>
        <v/>
      </c>
      <c r="O1047">
        <f>IF($AA1047="","",IF(AND(ISNUMBER(N1047),N1047&gt;0),Y1047&gt;N1047,FALSE))</f>
        <v/>
      </c>
      <c r="P1047" s="7">
        <f>IF($AA1047="","",SUMIFS('Per Line'!$Y$2:$Y$4001,'Per Line'!$E$2:$E$4001,$B1047,'Per Line'!$AQ$2:$AQ$4001,1))</f>
        <v/>
      </c>
      <c r="Q1047">
        <f>IF($AA1047="","",Settings!$C$7)</f>
        <v/>
      </c>
      <c r="R1047" s="7">
        <f>IF($AA1047="","",SUMIFS('Per Line'!$Y$2:$Y$4001,'Per Line'!$E$2:$E$4001,$B1047,'Per Line'!$AP$2:$AP$4001,0,'Per Line'!$AQ$2:$AQ$4001,0))</f>
        <v/>
      </c>
      <c r="S1047" s="7">
        <f>IF($AA1047="","",R1047*Q1047)</f>
        <v/>
      </c>
      <c r="T1047">
        <f>IF($AA1047="","",Settings!$C$6)</f>
        <v/>
      </c>
      <c r="U1047" s="7">
        <f>IF($AA1047="","",SUMIFS('Per Line'!$Y$2:$Y$4001,'Per Line'!$E$2:$E$4001,$B1047,'Per Line'!$AP$2:$AP$4001,1,'Per Line'!$AQ$2:$AQ$4001,0))</f>
        <v/>
      </c>
      <c r="V1047" s="7">
        <f>IF($AA1047="","",U1047*T1047)</f>
        <v/>
      </c>
      <c r="W1047" s="7">
        <f>IF($AA1047="","",V1047+S1047)</f>
        <v/>
      </c>
      <c r="X1047" s="7">
        <f>IF($AA1047="","",Y1047-W1047)</f>
        <v/>
      </c>
      <c r="Y1047" s="7">
        <f>IF($AA1047="","",R1047+U1047+P1047)</f>
        <v/>
      </c>
      <c r="Z1047" s="7">
        <f>IF($AA1047="","",Y1047-W1047-L1047)</f>
        <v/>
      </c>
      <c r="AA1047" s="13">
        <f>IF(ROWS($AA$2:$AA1047)&lt;=MAX('Per Line'!$AO$2:$AO$4001),MATCH(ROWS($AA$2:$AA1047),'Per Line'!$AO$2:$AO$4001,0),"")</f>
        <v/>
      </c>
      <c r="AB1047" s="14">
        <f>IF($AA1047="","",L1047-K1047*Y1047/100)</f>
        <v/>
      </c>
    </row>
    <row r="1048">
      <c r="A1048" s="12" t="n"/>
      <c r="B1048">
        <f>IF($AA1048="","",INDEX('Per Line'!$E$2:$E$4001,$AA1048)&amp;"")</f>
        <v/>
      </c>
      <c r="C1048">
        <f>IF($AA1048="","",INDEX('Per Line'!$A$2:$A$4001,$AA1048)&amp;"")</f>
        <v/>
      </c>
      <c r="D1048">
        <f>IF($AA1048="","",INDEX('Per Line'!$D$2:$D$4001,$AA1048)&amp;"")</f>
        <v/>
      </c>
      <c r="E1048" s="11">
        <f>IF($AA1048="","",INDEX('Per Line'!$G$2:$G$4001,$AA1048))</f>
        <v/>
      </c>
      <c r="F1048">
        <f>IF($AA1048="","",INDEX('Per Line'!$H$2:$H$4001,$AA1048)&amp;"")</f>
        <v/>
      </c>
      <c r="G1048">
        <f>IF($AA1048="","",INDEX('Per Line'!$I$2:$I$4001,$AA1048)&amp;"")</f>
        <v/>
      </c>
      <c r="H1048">
        <f>IF($AA1048="","",INDEX('Per Line'!$J$2:$J$4001,$AA1048)&amp;"")</f>
        <v/>
      </c>
      <c r="I1048">
        <f>IF($AA1048="","",INDEX('Per Line'!$K$2:$K$4001,$AA1048)&amp;"")</f>
        <v/>
      </c>
      <c r="J1048">
        <f>IF($AA1048="","",INDEX('Per Line'!$L$2:$L$4001,$AA1048)&amp;"")</f>
        <v/>
      </c>
      <c r="K1048">
        <f>IF($AA1048="","",INDEX('Per Line'!$P$2:$P$4001,$AA1048))</f>
        <v/>
      </c>
      <c r="L1048" s="7">
        <f>IF($AA1048="","",IF(AND(ISNUMBER(N1048),N1048&gt;0,Y1048&gt;N1048),K1048*N1048/100+(Y1048-N1048),K1048*Y1048/100))</f>
        <v/>
      </c>
      <c r="M1048">
        <f>IF($AA1048="","",INDEX('Per Line'!$Z$2:$Z$4001,$AA1048)&amp;"")</f>
        <v/>
      </c>
      <c r="N1048">
        <f>IF($AA1048="","",INDEX('Per Line'!$AG$2:$AG$4001,$AA1048))</f>
        <v/>
      </c>
      <c r="O1048">
        <f>IF($AA1048="","",IF(AND(ISNUMBER(N1048),N1048&gt;0),Y1048&gt;N1048,FALSE))</f>
        <v/>
      </c>
      <c r="P1048" s="7">
        <f>IF($AA1048="","",SUMIFS('Per Line'!$Y$2:$Y$4001,'Per Line'!$E$2:$E$4001,$B1048,'Per Line'!$AQ$2:$AQ$4001,1))</f>
        <v/>
      </c>
      <c r="Q1048">
        <f>IF($AA1048="","",Settings!$C$7)</f>
        <v/>
      </c>
      <c r="R1048" s="7">
        <f>IF($AA1048="","",SUMIFS('Per Line'!$Y$2:$Y$4001,'Per Line'!$E$2:$E$4001,$B1048,'Per Line'!$AP$2:$AP$4001,0,'Per Line'!$AQ$2:$AQ$4001,0))</f>
        <v/>
      </c>
      <c r="S1048" s="7">
        <f>IF($AA1048="","",R1048*Q1048)</f>
        <v/>
      </c>
      <c r="T1048">
        <f>IF($AA1048="","",Settings!$C$6)</f>
        <v/>
      </c>
      <c r="U1048" s="7">
        <f>IF($AA1048="","",SUMIFS('Per Line'!$Y$2:$Y$4001,'Per Line'!$E$2:$E$4001,$B1048,'Per Line'!$AP$2:$AP$4001,1,'Per Line'!$AQ$2:$AQ$4001,0))</f>
        <v/>
      </c>
      <c r="V1048" s="7">
        <f>IF($AA1048="","",U1048*T1048)</f>
        <v/>
      </c>
      <c r="W1048" s="7">
        <f>IF($AA1048="","",V1048+S1048)</f>
        <v/>
      </c>
      <c r="X1048" s="7">
        <f>IF($AA1048="","",Y1048-W1048)</f>
        <v/>
      </c>
      <c r="Y1048" s="7">
        <f>IF($AA1048="","",R1048+U1048+P1048)</f>
        <v/>
      </c>
      <c r="Z1048" s="7">
        <f>IF($AA1048="","",Y1048-W1048-L1048)</f>
        <v/>
      </c>
      <c r="AA1048" s="13">
        <f>IF(ROWS($AA$2:$AA1048)&lt;=MAX('Per Line'!$AO$2:$AO$4001),MATCH(ROWS($AA$2:$AA1048),'Per Line'!$AO$2:$AO$4001,0),"")</f>
        <v/>
      </c>
      <c r="AB1048" s="14">
        <f>IF($AA1048="","",L1048-K1048*Y1048/100)</f>
        <v/>
      </c>
    </row>
    <row r="1049">
      <c r="A1049" s="12" t="n"/>
      <c r="B1049">
        <f>IF($AA1049="","",INDEX('Per Line'!$E$2:$E$4001,$AA1049)&amp;"")</f>
        <v/>
      </c>
      <c r="C1049">
        <f>IF($AA1049="","",INDEX('Per Line'!$A$2:$A$4001,$AA1049)&amp;"")</f>
        <v/>
      </c>
      <c r="D1049">
        <f>IF($AA1049="","",INDEX('Per Line'!$D$2:$D$4001,$AA1049)&amp;"")</f>
        <v/>
      </c>
      <c r="E1049" s="11">
        <f>IF($AA1049="","",INDEX('Per Line'!$G$2:$G$4001,$AA1049))</f>
        <v/>
      </c>
      <c r="F1049">
        <f>IF($AA1049="","",INDEX('Per Line'!$H$2:$H$4001,$AA1049)&amp;"")</f>
        <v/>
      </c>
      <c r="G1049">
        <f>IF($AA1049="","",INDEX('Per Line'!$I$2:$I$4001,$AA1049)&amp;"")</f>
        <v/>
      </c>
      <c r="H1049">
        <f>IF($AA1049="","",INDEX('Per Line'!$J$2:$J$4001,$AA1049)&amp;"")</f>
        <v/>
      </c>
      <c r="I1049">
        <f>IF($AA1049="","",INDEX('Per Line'!$K$2:$K$4001,$AA1049)&amp;"")</f>
        <v/>
      </c>
      <c r="J1049">
        <f>IF($AA1049="","",INDEX('Per Line'!$L$2:$L$4001,$AA1049)&amp;"")</f>
        <v/>
      </c>
      <c r="K1049">
        <f>IF($AA1049="","",INDEX('Per Line'!$P$2:$P$4001,$AA1049))</f>
        <v/>
      </c>
      <c r="L1049" s="7">
        <f>IF($AA1049="","",IF(AND(ISNUMBER(N1049),N1049&gt;0,Y1049&gt;N1049),K1049*N1049/100+(Y1049-N1049),K1049*Y1049/100))</f>
        <v/>
      </c>
      <c r="M1049">
        <f>IF($AA1049="","",INDEX('Per Line'!$Z$2:$Z$4001,$AA1049)&amp;"")</f>
        <v/>
      </c>
      <c r="N1049">
        <f>IF($AA1049="","",INDEX('Per Line'!$AG$2:$AG$4001,$AA1049))</f>
        <v/>
      </c>
      <c r="O1049">
        <f>IF($AA1049="","",IF(AND(ISNUMBER(N1049),N1049&gt;0),Y1049&gt;N1049,FALSE))</f>
        <v/>
      </c>
      <c r="P1049" s="7">
        <f>IF($AA1049="","",SUMIFS('Per Line'!$Y$2:$Y$4001,'Per Line'!$E$2:$E$4001,$B1049,'Per Line'!$AQ$2:$AQ$4001,1))</f>
        <v/>
      </c>
      <c r="Q1049">
        <f>IF($AA1049="","",Settings!$C$7)</f>
        <v/>
      </c>
      <c r="R1049" s="7">
        <f>IF($AA1049="","",SUMIFS('Per Line'!$Y$2:$Y$4001,'Per Line'!$E$2:$E$4001,$B1049,'Per Line'!$AP$2:$AP$4001,0,'Per Line'!$AQ$2:$AQ$4001,0))</f>
        <v/>
      </c>
      <c r="S1049" s="7">
        <f>IF($AA1049="","",R1049*Q1049)</f>
        <v/>
      </c>
      <c r="T1049">
        <f>IF($AA1049="","",Settings!$C$6)</f>
        <v/>
      </c>
      <c r="U1049" s="7">
        <f>IF($AA1049="","",SUMIFS('Per Line'!$Y$2:$Y$4001,'Per Line'!$E$2:$E$4001,$B1049,'Per Line'!$AP$2:$AP$4001,1,'Per Line'!$AQ$2:$AQ$4001,0))</f>
        <v/>
      </c>
      <c r="V1049" s="7">
        <f>IF($AA1049="","",U1049*T1049)</f>
        <v/>
      </c>
      <c r="W1049" s="7">
        <f>IF($AA1049="","",V1049+S1049)</f>
        <v/>
      </c>
      <c r="X1049" s="7">
        <f>IF($AA1049="","",Y1049-W1049)</f>
        <v/>
      </c>
      <c r="Y1049" s="7">
        <f>IF($AA1049="","",R1049+U1049+P1049)</f>
        <v/>
      </c>
      <c r="Z1049" s="7">
        <f>IF($AA1049="","",Y1049-W1049-L1049)</f>
        <v/>
      </c>
      <c r="AA1049" s="13">
        <f>IF(ROWS($AA$2:$AA1049)&lt;=MAX('Per Line'!$AO$2:$AO$4001),MATCH(ROWS($AA$2:$AA1049),'Per Line'!$AO$2:$AO$4001,0),"")</f>
        <v/>
      </c>
      <c r="AB1049" s="14">
        <f>IF($AA1049="","",L1049-K1049*Y1049/100)</f>
        <v/>
      </c>
    </row>
    <row r="1050">
      <c r="A1050" s="12" t="n"/>
      <c r="B1050">
        <f>IF($AA1050="","",INDEX('Per Line'!$E$2:$E$4001,$AA1050)&amp;"")</f>
        <v/>
      </c>
      <c r="C1050">
        <f>IF($AA1050="","",INDEX('Per Line'!$A$2:$A$4001,$AA1050)&amp;"")</f>
        <v/>
      </c>
      <c r="D1050">
        <f>IF($AA1050="","",INDEX('Per Line'!$D$2:$D$4001,$AA1050)&amp;"")</f>
        <v/>
      </c>
      <c r="E1050" s="11">
        <f>IF($AA1050="","",INDEX('Per Line'!$G$2:$G$4001,$AA1050))</f>
        <v/>
      </c>
      <c r="F1050">
        <f>IF($AA1050="","",INDEX('Per Line'!$H$2:$H$4001,$AA1050)&amp;"")</f>
        <v/>
      </c>
      <c r="G1050">
        <f>IF($AA1050="","",INDEX('Per Line'!$I$2:$I$4001,$AA1050)&amp;"")</f>
        <v/>
      </c>
      <c r="H1050">
        <f>IF($AA1050="","",INDEX('Per Line'!$J$2:$J$4001,$AA1050)&amp;"")</f>
        <v/>
      </c>
      <c r="I1050">
        <f>IF($AA1050="","",INDEX('Per Line'!$K$2:$K$4001,$AA1050)&amp;"")</f>
        <v/>
      </c>
      <c r="J1050">
        <f>IF($AA1050="","",INDEX('Per Line'!$L$2:$L$4001,$AA1050)&amp;"")</f>
        <v/>
      </c>
      <c r="K1050">
        <f>IF($AA1050="","",INDEX('Per Line'!$P$2:$P$4001,$AA1050))</f>
        <v/>
      </c>
      <c r="L1050" s="7">
        <f>IF($AA1050="","",IF(AND(ISNUMBER(N1050),N1050&gt;0,Y1050&gt;N1050),K1050*N1050/100+(Y1050-N1050),K1050*Y1050/100))</f>
        <v/>
      </c>
      <c r="M1050">
        <f>IF($AA1050="","",INDEX('Per Line'!$Z$2:$Z$4001,$AA1050)&amp;"")</f>
        <v/>
      </c>
      <c r="N1050">
        <f>IF($AA1050="","",INDEX('Per Line'!$AG$2:$AG$4001,$AA1050))</f>
        <v/>
      </c>
      <c r="O1050">
        <f>IF($AA1050="","",IF(AND(ISNUMBER(N1050),N1050&gt;0),Y1050&gt;N1050,FALSE))</f>
        <v/>
      </c>
      <c r="P1050" s="7">
        <f>IF($AA1050="","",SUMIFS('Per Line'!$Y$2:$Y$4001,'Per Line'!$E$2:$E$4001,$B1050,'Per Line'!$AQ$2:$AQ$4001,1))</f>
        <v/>
      </c>
      <c r="Q1050">
        <f>IF($AA1050="","",Settings!$C$7)</f>
        <v/>
      </c>
      <c r="R1050" s="7">
        <f>IF($AA1050="","",SUMIFS('Per Line'!$Y$2:$Y$4001,'Per Line'!$E$2:$E$4001,$B1050,'Per Line'!$AP$2:$AP$4001,0,'Per Line'!$AQ$2:$AQ$4001,0))</f>
        <v/>
      </c>
      <c r="S1050" s="7">
        <f>IF($AA1050="","",R1050*Q1050)</f>
        <v/>
      </c>
      <c r="T1050">
        <f>IF($AA1050="","",Settings!$C$6)</f>
        <v/>
      </c>
      <c r="U1050" s="7">
        <f>IF($AA1050="","",SUMIFS('Per Line'!$Y$2:$Y$4001,'Per Line'!$E$2:$E$4001,$B1050,'Per Line'!$AP$2:$AP$4001,1,'Per Line'!$AQ$2:$AQ$4001,0))</f>
        <v/>
      </c>
      <c r="V1050" s="7">
        <f>IF($AA1050="","",U1050*T1050)</f>
        <v/>
      </c>
      <c r="W1050" s="7">
        <f>IF($AA1050="","",V1050+S1050)</f>
        <v/>
      </c>
      <c r="X1050" s="7">
        <f>IF($AA1050="","",Y1050-W1050)</f>
        <v/>
      </c>
      <c r="Y1050" s="7">
        <f>IF($AA1050="","",R1050+U1050+P1050)</f>
        <v/>
      </c>
      <c r="Z1050" s="7">
        <f>IF($AA1050="","",Y1050-W1050-L1050)</f>
        <v/>
      </c>
      <c r="AA1050" s="13">
        <f>IF(ROWS($AA$2:$AA1050)&lt;=MAX('Per Line'!$AO$2:$AO$4001),MATCH(ROWS($AA$2:$AA1050),'Per Line'!$AO$2:$AO$4001,0),"")</f>
        <v/>
      </c>
      <c r="AB1050" s="14">
        <f>IF($AA1050="","",L1050-K1050*Y1050/100)</f>
        <v/>
      </c>
    </row>
    <row r="1051">
      <c r="A1051" s="12" t="n"/>
      <c r="B1051">
        <f>IF($AA1051="","",INDEX('Per Line'!$E$2:$E$4001,$AA1051)&amp;"")</f>
        <v/>
      </c>
      <c r="C1051">
        <f>IF($AA1051="","",INDEX('Per Line'!$A$2:$A$4001,$AA1051)&amp;"")</f>
        <v/>
      </c>
      <c r="D1051">
        <f>IF($AA1051="","",INDEX('Per Line'!$D$2:$D$4001,$AA1051)&amp;"")</f>
        <v/>
      </c>
      <c r="E1051" s="11">
        <f>IF($AA1051="","",INDEX('Per Line'!$G$2:$G$4001,$AA1051))</f>
        <v/>
      </c>
      <c r="F1051">
        <f>IF($AA1051="","",INDEX('Per Line'!$H$2:$H$4001,$AA1051)&amp;"")</f>
        <v/>
      </c>
      <c r="G1051">
        <f>IF($AA1051="","",INDEX('Per Line'!$I$2:$I$4001,$AA1051)&amp;"")</f>
        <v/>
      </c>
      <c r="H1051">
        <f>IF($AA1051="","",INDEX('Per Line'!$J$2:$J$4001,$AA1051)&amp;"")</f>
        <v/>
      </c>
      <c r="I1051">
        <f>IF($AA1051="","",INDEX('Per Line'!$K$2:$K$4001,$AA1051)&amp;"")</f>
        <v/>
      </c>
      <c r="J1051">
        <f>IF($AA1051="","",INDEX('Per Line'!$L$2:$L$4001,$AA1051)&amp;"")</f>
        <v/>
      </c>
      <c r="K1051">
        <f>IF($AA1051="","",INDEX('Per Line'!$P$2:$P$4001,$AA1051))</f>
        <v/>
      </c>
      <c r="L1051" s="7">
        <f>IF($AA1051="","",IF(AND(ISNUMBER(N1051),N1051&gt;0,Y1051&gt;N1051),K1051*N1051/100+(Y1051-N1051),K1051*Y1051/100))</f>
        <v/>
      </c>
      <c r="M1051">
        <f>IF($AA1051="","",INDEX('Per Line'!$Z$2:$Z$4001,$AA1051)&amp;"")</f>
        <v/>
      </c>
      <c r="N1051">
        <f>IF($AA1051="","",INDEX('Per Line'!$AG$2:$AG$4001,$AA1051))</f>
        <v/>
      </c>
      <c r="O1051">
        <f>IF($AA1051="","",IF(AND(ISNUMBER(N1051),N1051&gt;0),Y1051&gt;N1051,FALSE))</f>
        <v/>
      </c>
      <c r="P1051" s="7">
        <f>IF($AA1051="","",SUMIFS('Per Line'!$Y$2:$Y$4001,'Per Line'!$E$2:$E$4001,$B1051,'Per Line'!$AQ$2:$AQ$4001,1))</f>
        <v/>
      </c>
      <c r="Q1051">
        <f>IF($AA1051="","",Settings!$C$7)</f>
        <v/>
      </c>
      <c r="R1051" s="7">
        <f>IF($AA1051="","",SUMIFS('Per Line'!$Y$2:$Y$4001,'Per Line'!$E$2:$E$4001,$B1051,'Per Line'!$AP$2:$AP$4001,0,'Per Line'!$AQ$2:$AQ$4001,0))</f>
        <v/>
      </c>
      <c r="S1051" s="7">
        <f>IF($AA1051="","",R1051*Q1051)</f>
        <v/>
      </c>
      <c r="T1051">
        <f>IF($AA1051="","",Settings!$C$6)</f>
        <v/>
      </c>
      <c r="U1051" s="7">
        <f>IF($AA1051="","",SUMIFS('Per Line'!$Y$2:$Y$4001,'Per Line'!$E$2:$E$4001,$B1051,'Per Line'!$AP$2:$AP$4001,1,'Per Line'!$AQ$2:$AQ$4001,0))</f>
        <v/>
      </c>
      <c r="V1051" s="7">
        <f>IF($AA1051="","",U1051*T1051)</f>
        <v/>
      </c>
      <c r="W1051" s="7">
        <f>IF($AA1051="","",V1051+S1051)</f>
        <v/>
      </c>
      <c r="X1051" s="7">
        <f>IF($AA1051="","",Y1051-W1051)</f>
        <v/>
      </c>
      <c r="Y1051" s="7">
        <f>IF($AA1051="","",R1051+U1051+P1051)</f>
        <v/>
      </c>
      <c r="Z1051" s="7">
        <f>IF($AA1051="","",Y1051-W1051-L1051)</f>
        <v/>
      </c>
      <c r="AA1051" s="13">
        <f>IF(ROWS($AA$2:$AA1051)&lt;=MAX('Per Line'!$AO$2:$AO$4001),MATCH(ROWS($AA$2:$AA1051),'Per Line'!$AO$2:$AO$4001,0),"")</f>
        <v/>
      </c>
      <c r="AB1051" s="14">
        <f>IF($AA1051="","",L1051-K1051*Y1051/100)</f>
        <v/>
      </c>
    </row>
    <row r="1052">
      <c r="A1052" s="12" t="n"/>
      <c r="B1052">
        <f>IF($AA1052="","",INDEX('Per Line'!$E$2:$E$4001,$AA1052)&amp;"")</f>
        <v/>
      </c>
      <c r="C1052">
        <f>IF($AA1052="","",INDEX('Per Line'!$A$2:$A$4001,$AA1052)&amp;"")</f>
        <v/>
      </c>
      <c r="D1052">
        <f>IF($AA1052="","",INDEX('Per Line'!$D$2:$D$4001,$AA1052)&amp;"")</f>
        <v/>
      </c>
      <c r="E1052" s="11">
        <f>IF($AA1052="","",INDEX('Per Line'!$G$2:$G$4001,$AA1052))</f>
        <v/>
      </c>
      <c r="F1052">
        <f>IF($AA1052="","",INDEX('Per Line'!$H$2:$H$4001,$AA1052)&amp;"")</f>
        <v/>
      </c>
      <c r="G1052">
        <f>IF($AA1052="","",INDEX('Per Line'!$I$2:$I$4001,$AA1052)&amp;"")</f>
        <v/>
      </c>
      <c r="H1052">
        <f>IF($AA1052="","",INDEX('Per Line'!$J$2:$J$4001,$AA1052)&amp;"")</f>
        <v/>
      </c>
      <c r="I1052">
        <f>IF($AA1052="","",INDEX('Per Line'!$K$2:$K$4001,$AA1052)&amp;"")</f>
        <v/>
      </c>
      <c r="J1052">
        <f>IF($AA1052="","",INDEX('Per Line'!$L$2:$L$4001,$AA1052)&amp;"")</f>
        <v/>
      </c>
      <c r="K1052">
        <f>IF($AA1052="","",INDEX('Per Line'!$P$2:$P$4001,$AA1052))</f>
        <v/>
      </c>
      <c r="L1052" s="7">
        <f>IF($AA1052="","",IF(AND(ISNUMBER(N1052),N1052&gt;0,Y1052&gt;N1052),K1052*N1052/100+(Y1052-N1052),K1052*Y1052/100))</f>
        <v/>
      </c>
      <c r="M1052">
        <f>IF($AA1052="","",INDEX('Per Line'!$Z$2:$Z$4001,$AA1052)&amp;"")</f>
        <v/>
      </c>
      <c r="N1052">
        <f>IF($AA1052="","",INDEX('Per Line'!$AG$2:$AG$4001,$AA1052))</f>
        <v/>
      </c>
      <c r="O1052">
        <f>IF($AA1052="","",IF(AND(ISNUMBER(N1052),N1052&gt;0),Y1052&gt;N1052,FALSE))</f>
        <v/>
      </c>
      <c r="P1052" s="7">
        <f>IF($AA1052="","",SUMIFS('Per Line'!$Y$2:$Y$4001,'Per Line'!$E$2:$E$4001,$B1052,'Per Line'!$AQ$2:$AQ$4001,1))</f>
        <v/>
      </c>
      <c r="Q1052">
        <f>IF($AA1052="","",Settings!$C$7)</f>
        <v/>
      </c>
      <c r="R1052" s="7">
        <f>IF($AA1052="","",SUMIFS('Per Line'!$Y$2:$Y$4001,'Per Line'!$E$2:$E$4001,$B1052,'Per Line'!$AP$2:$AP$4001,0,'Per Line'!$AQ$2:$AQ$4001,0))</f>
        <v/>
      </c>
      <c r="S1052" s="7">
        <f>IF($AA1052="","",R1052*Q1052)</f>
        <v/>
      </c>
      <c r="T1052">
        <f>IF($AA1052="","",Settings!$C$6)</f>
        <v/>
      </c>
      <c r="U1052" s="7">
        <f>IF($AA1052="","",SUMIFS('Per Line'!$Y$2:$Y$4001,'Per Line'!$E$2:$E$4001,$B1052,'Per Line'!$AP$2:$AP$4001,1,'Per Line'!$AQ$2:$AQ$4001,0))</f>
        <v/>
      </c>
      <c r="V1052" s="7">
        <f>IF($AA1052="","",U1052*T1052)</f>
        <v/>
      </c>
      <c r="W1052" s="7">
        <f>IF($AA1052="","",V1052+S1052)</f>
        <v/>
      </c>
      <c r="X1052" s="7">
        <f>IF($AA1052="","",Y1052-W1052)</f>
        <v/>
      </c>
      <c r="Y1052" s="7">
        <f>IF($AA1052="","",R1052+U1052+P1052)</f>
        <v/>
      </c>
      <c r="Z1052" s="7">
        <f>IF($AA1052="","",Y1052-W1052-L1052)</f>
        <v/>
      </c>
      <c r="AA1052" s="13">
        <f>IF(ROWS($AA$2:$AA1052)&lt;=MAX('Per Line'!$AO$2:$AO$4001),MATCH(ROWS($AA$2:$AA1052),'Per Line'!$AO$2:$AO$4001,0),"")</f>
        <v/>
      </c>
      <c r="AB1052" s="14">
        <f>IF($AA1052="","",L1052-K1052*Y1052/100)</f>
        <v/>
      </c>
    </row>
    <row r="1053">
      <c r="A1053" s="12" t="n"/>
      <c r="B1053">
        <f>IF($AA1053="","",INDEX('Per Line'!$E$2:$E$4001,$AA1053)&amp;"")</f>
        <v/>
      </c>
      <c r="C1053">
        <f>IF($AA1053="","",INDEX('Per Line'!$A$2:$A$4001,$AA1053)&amp;"")</f>
        <v/>
      </c>
      <c r="D1053">
        <f>IF($AA1053="","",INDEX('Per Line'!$D$2:$D$4001,$AA1053)&amp;"")</f>
        <v/>
      </c>
      <c r="E1053" s="11">
        <f>IF($AA1053="","",INDEX('Per Line'!$G$2:$G$4001,$AA1053))</f>
        <v/>
      </c>
      <c r="F1053">
        <f>IF($AA1053="","",INDEX('Per Line'!$H$2:$H$4001,$AA1053)&amp;"")</f>
        <v/>
      </c>
      <c r="G1053">
        <f>IF($AA1053="","",INDEX('Per Line'!$I$2:$I$4001,$AA1053)&amp;"")</f>
        <v/>
      </c>
      <c r="H1053">
        <f>IF($AA1053="","",INDEX('Per Line'!$J$2:$J$4001,$AA1053)&amp;"")</f>
        <v/>
      </c>
      <c r="I1053">
        <f>IF($AA1053="","",INDEX('Per Line'!$K$2:$K$4001,$AA1053)&amp;"")</f>
        <v/>
      </c>
      <c r="J1053">
        <f>IF($AA1053="","",INDEX('Per Line'!$L$2:$L$4001,$AA1053)&amp;"")</f>
        <v/>
      </c>
      <c r="K1053">
        <f>IF($AA1053="","",INDEX('Per Line'!$P$2:$P$4001,$AA1053))</f>
        <v/>
      </c>
      <c r="L1053" s="7">
        <f>IF($AA1053="","",IF(AND(ISNUMBER(N1053),N1053&gt;0,Y1053&gt;N1053),K1053*N1053/100+(Y1053-N1053),K1053*Y1053/100))</f>
        <v/>
      </c>
      <c r="M1053">
        <f>IF($AA1053="","",INDEX('Per Line'!$Z$2:$Z$4001,$AA1053)&amp;"")</f>
        <v/>
      </c>
      <c r="N1053">
        <f>IF($AA1053="","",INDEX('Per Line'!$AG$2:$AG$4001,$AA1053))</f>
        <v/>
      </c>
      <c r="O1053">
        <f>IF($AA1053="","",IF(AND(ISNUMBER(N1053),N1053&gt;0),Y1053&gt;N1053,FALSE))</f>
        <v/>
      </c>
      <c r="P1053" s="7">
        <f>IF($AA1053="","",SUMIFS('Per Line'!$Y$2:$Y$4001,'Per Line'!$E$2:$E$4001,$B1053,'Per Line'!$AQ$2:$AQ$4001,1))</f>
        <v/>
      </c>
      <c r="Q1053">
        <f>IF($AA1053="","",Settings!$C$7)</f>
        <v/>
      </c>
      <c r="R1053" s="7">
        <f>IF($AA1053="","",SUMIFS('Per Line'!$Y$2:$Y$4001,'Per Line'!$E$2:$E$4001,$B1053,'Per Line'!$AP$2:$AP$4001,0,'Per Line'!$AQ$2:$AQ$4001,0))</f>
        <v/>
      </c>
      <c r="S1053" s="7">
        <f>IF($AA1053="","",R1053*Q1053)</f>
        <v/>
      </c>
      <c r="T1053">
        <f>IF($AA1053="","",Settings!$C$6)</f>
        <v/>
      </c>
      <c r="U1053" s="7">
        <f>IF($AA1053="","",SUMIFS('Per Line'!$Y$2:$Y$4001,'Per Line'!$E$2:$E$4001,$B1053,'Per Line'!$AP$2:$AP$4001,1,'Per Line'!$AQ$2:$AQ$4001,0))</f>
        <v/>
      </c>
      <c r="V1053" s="7">
        <f>IF($AA1053="","",U1053*T1053)</f>
        <v/>
      </c>
      <c r="W1053" s="7">
        <f>IF($AA1053="","",V1053+S1053)</f>
        <v/>
      </c>
      <c r="X1053" s="7">
        <f>IF($AA1053="","",Y1053-W1053)</f>
        <v/>
      </c>
      <c r="Y1053" s="7">
        <f>IF($AA1053="","",R1053+U1053+P1053)</f>
        <v/>
      </c>
      <c r="Z1053" s="7">
        <f>IF($AA1053="","",Y1053-W1053-L1053)</f>
        <v/>
      </c>
      <c r="AA1053" s="13">
        <f>IF(ROWS($AA$2:$AA1053)&lt;=MAX('Per Line'!$AO$2:$AO$4001),MATCH(ROWS($AA$2:$AA1053),'Per Line'!$AO$2:$AO$4001,0),"")</f>
        <v/>
      </c>
      <c r="AB1053" s="14">
        <f>IF($AA1053="","",L1053-K1053*Y1053/100)</f>
        <v/>
      </c>
    </row>
    <row r="1054">
      <c r="A1054" s="12" t="n"/>
      <c r="B1054">
        <f>IF($AA1054="","",INDEX('Per Line'!$E$2:$E$4001,$AA1054)&amp;"")</f>
        <v/>
      </c>
      <c r="C1054">
        <f>IF($AA1054="","",INDEX('Per Line'!$A$2:$A$4001,$AA1054)&amp;"")</f>
        <v/>
      </c>
      <c r="D1054">
        <f>IF($AA1054="","",INDEX('Per Line'!$D$2:$D$4001,$AA1054)&amp;"")</f>
        <v/>
      </c>
      <c r="E1054" s="11">
        <f>IF($AA1054="","",INDEX('Per Line'!$G$2:$G$4001,$AA1054))</f>
        <v/>
      </c>
      <c r="F1054">
        <f>IF($AA1054="","",INDEX('Per Line'!$H$2:$H$4001,$AA1054)&amp;"")</f>
        <v/>
      </c>
      <c r="G1054">
        <f>IF($AA1054="","",INDEX('Per Line'!$I$2:$I$4001,$AA1054)&amp;"")</f>
        <v/>
      </c>
      <c r="H1054">
        <f>IF($AA1054="","",INDEX('Per Line'!$J$2:$J$4001,$AA1054)&amp;"")</f>
        <v/>
      </c>
      <c r="I1054">
        <f>IF($AA1054="","",INDEX('Per Line'!$K$2:$K$4001,$AA1054)&amp;"")</f>
        <v/>
      </c>
      <c r="J1054">
        <f>IF($AA1054="","",INDEX('Per Line'!$L$2:$L$4001,$AA1054)&amp;"")</f>
        <v/>
      </c>
      <c r="K1054">
        <f>IF($AA1054="","",INDEX('Per Line'!$P$2:$P$4001,$AA1054))</f>
        <v/>
      </c>
      <c r="L1054" s="7">
        <f>IF($AA1054="","",IF(AND(ISNUMBER(N1054),N1054&gt;0,Y1054&gt;N1054),K1054*N1054/100+(Y1054-N1054),K1054*Y1054/100))</f>
        <v/>
      </c>
      <c r="M1054">
        <f>IF($AA1054="","",INDEX('Per Line'!$Z$2:$Z$4001,$AA1054)&amp;"")</f>
        <v/>
      </c>
      <c r="N1054">
        <f>IF($AA1054="","",INDEX('Per Line'!$AG$2:$AG$4001,$AA1054))</f>
        <v/>
      </c>
      <c r="O1054">
        <f>IF($AA1054="","",IF(AND(ISNUMBER(N1054),N1054&gt;0),Y1054&gt;N1054,FALSE))</f>
        <v/>
      </c>
      <c r="P1054" s="7">
        <f>IF($AA1054="","",SUMIFS('Per Line'!$Y$2:$Y$4001,'Per Line'!$E$2:$E$4001,$B1054,'Per Line'!$AQ$2:$AQ$4001,1))</f>
        <v/>
      </c>
      <c r="Q1054">
        <f>IF($AA1054="","",Settings!$C$7)</f>
        <v/>
      </c>
      <c r="R1054" s="7">
        <f>IF($AA1054="","",SUMIFS('Per Line'!$Y$2:$Y$4001,'Per Line'!$E$2:$E$4001,$B1054,'Per Line'!$AP$2:$AP$4001,0,'Per Line'!$AQ$2:$AQ$4001,0))</f>
        <v/>
      </c>
      <c r="S1054" s="7">
        <f>IF($AA1054="","",R1054*Q1054)</f>
        <v/>
      </c>
      <c r="T1054">
        <f>IF($AA1054="","",Settings!$C$6)</f>
        <v/>
      </c>
      <c r="U1054" s="7">
        <f>IF($AA1054="","",SUMIFS('Per Line'!$Y$2:$Y$4001,'Per Line'!$E$2:$E$4001,$B1054,'Per Line'!$AP$2:$AP$4001,1,'Per Line'!$AQ$2:$AQ$4001,0))</f>
        <v/>
      </c>
      <c r="V1054" s="7">
        <f>IF($AA1054="","",U1054*T1054)</f>
        <v/>
      </c>
      <c r="W1054" s="7">
        <f>IF($AA1054="","",V1054+S1054)</f>
        <v/>
      </c>
      <c r="X1054" s="7">
        <f>IF($AA1054="","",Y1054-W1054)</f>
        <v/>
      </c>
      <c r="Y1054" s="7">
        <f>IF($AA1054="","",R1054+U1054+P1054)</f>
        <v/>
      </c>
      <c r="Z1054" s="7">
        <f>IF($AA1054="","",Y1054-W1054-L1054)</f>
        <v/>
      </c>
      <c r="AA1054" s="13">
        <f>IF(ROWS($AA$2:$AA1054)&lt;=MAX('Per Line'!$AO$2:$AO$4001),MATCH(ROWS($AA$2:$AA1054),'Per Line'!$AO$2:$AO$4001,0),"")</f>
        <v/>
      </c>
      <c r="AB1054" s="14">
        <f>IF($AA1054="","",L1054-K1054*Y1054/100)</f>
        <v/>
      </c>
    </row>
    <row r="1055">
      <c r="A1055" s="12" t="n"/>
      <c r="B1055">
        <f>IF($AA1055="","",INDEX('Per Line'!$E$2:$E$4001,$AA1055)&amp;"")</f>
        <v/>
      </c>
      <c r="C1055">
        <f>IF($AA1055="","",INDEX('Per Line'!$A$2:$A$4001,$AA1055)&amp;"")</f>
        <v/>
      </c>
      <c r="D1055">
        <f>IF($AA1055="","",INDEX('Per Line'!$D$2:$D$4001,$AA1055)&amp;"")</f>
        <v/>
      </c>
      <c r="E1055" s="11">
        <f>IF($AA1055="","",INDEX('Per Line'!$G$2:$G$4001,$AA1055))</f>
        <v/>
      </c>
      <c r="F1055">
        <f>IF($AA1055="","",INDEX('Per Line'!$H$2:$H$4001,$AA1055)&amp;"")</f>
        <v/>
      </c>
      <c r="G1055">
        <f>IF($AA1055="","",INDEX('Per Line'!$I$2:$I$4001,$AA1055)&amp;"")</f>
        <v/>
      </c>
      <c r="H1055">
        <f>IF($AA1055="","",INDEX('Per Line'!$J$2:$J$4001,$AA1055)&amp;"")</f>
        <v/>
      </c>
      <c r="I1055">
        <f>IF($AA1055="","",INDEX('Per Line'!$K$2:$K$4001,$AA1055)&amp;"")</f>
        <v/>
      </c>
      <c r="J1055">
        <f>IF($AA1055="","",INDEX('Per Line'!$L$2:$L$4001,$AA1055)&amp;"")</f>
        <v/>
      </c>
      <c r="K1055">
        <f>IF($AA1055="","",INDEX('Per Line'!$P$2:$P$4001,$AA1055))</f>
        <v/>
      </c>
      <c r="L1055" s="7">
        <f>IF($AA1055="","",IF(AND(ISNUMBER(N1055),N1055&gt;0,Y1055&gt;N1055),K1055*N1055/100+(Y1055-N1055),K1055*Y1055/100))</f>
        <v/>
      </c>
      <c r="M1055">
        <f>IF($AA1055="","",INDEX('Per Line'!$Z$2:$Z$4001,$AA1055)&amp;"")</f>
        <v/>
      </c>
      <c r="N1055">
        <f>IF($AA1055="","",INDEX('Per Line'!$AG$2:$AG$4001,$AA1055))</f>
        <v/>
      </c>
      <c r="O1055">
        <f>IF($AA1055="","",IF(AND(ISNUMBER(N1055),N1055&gt;0),Y1055&gt;N1055,FALSE))</f>
        <v/>
      </c>
      <c r="P1055" s="7">
        <f>IF($AA1055="","",SUMIFS('Per Line'!$Y$2:$Y$4001,'Per Line'!$E$2:$E$4001,$B1055,'Per Line'!$AQ$2:$AQ$4001,1))</f>
        <v/>
      </c>
      <c r="Q1055">
        <f>IF($AA1055="","",Settings!$C$7)</f>
        <v/>
      </c>
      <c r="R1055" s="7">
        <f>IF($AA1055="","",SUMIFS('Per Line'!$Y$2:$Y$4001,'Per Line'!$E$2:$E$4001,$B1055,'Per Line'!$AP$2:$AP$4001,0,'Per Line'!$AQ$2:$AQ$4001,0))</f>
        <v/>
      </c>
      <c r="S1055" s="7">
        <f>IF($AA1055="","",R1055*Q1055)</f>
        <v/>
      </c>
      <c r="T1055">
        <f>IF($AA1055="","",Settings!$C$6)</f>
        <v/>
      </c>
      <c r="U1055" s="7">
        <f>IF($AA1055="","",SUMIFS('Per Line'!$Y$2:$Y$4001,'Per Line'!$E$2:$E$4001,$B1055,'Per Line'!$AP$2:$AP$4001,1,'Per Line'!$AQ$2:$AQ$4001,0))</f>
        <v/>
      </c>
      <c r="V1055" s="7">
        <f>IF($AA1055="","",U1055*T1055)</f>
        <v/>
      </c>
      <c r="W1055" s="7">
        <f>IF($AA1055="","",V1055+S1055)</f>
        <v/>
      </c>
      <c r="X1055" s="7">
        <f>IF($AA1055="","",Y1055-W1055)</f>
        <v/>
      </c>
      <c r="Y1055" s="7">
        <f>IF($AA1055="","",R1055+U1055+P1055)</f>
        <v/>
      </c>
      <c r="Z1055" s="7">
        <f>IF($AA1055="","",Y1055-W1055-L1055)</f>
        <v/>
      </c>
      <c r="AA1055" s="13">
        <f>IF(ROWS($AA$2:$AA1055)&lt;=MAX('Per Line'!$AO$2:$AO$4001),MATCH(ROWS($AA$2:$AA1055),'Per Line'!$AO$2:$AO$4001,0),"")</f>
        <v/>
      </c>
      <c r="AB1055" s="14">
        <f>IF($AA1055="","",L1055-K1055*Y1055/100)</f>
        <v/>
      </c>
    </row>
    <row r="1056">
      <c r="A1056" s="12" t="n"/>
      <c r="B1056">
        <f>IF($AA1056="","",INDEX('Per Line'!$E$2:$E$4001,$AA1056)&amp;"")</f>
        <v/>
      </c>
      <c r="C1056">
        <f>IF($AA1056="","",INDEX('Per Line'!$A$2:$A$4001,$AA1056)&amp;"")</f>
        <v/>
      </c>
      <c r="D1056">
        <f>IF($AA1056="","",INDEX('Per Line'!$D$2:$D$4001,$AA1056)&amp;"")</f>
        <v/>
      </c>
      <c r="E1056" s="11">
        <f>IF($AA1056="","",INDEX('Per Line'!$G$2:$G$4001,$AA1056))</f>
        <v/>
      </c>
      <c r="F1056">
        <f>IF($AA1056="","",INDEX('Per Line'!$H$2:$H$4001,$AA1056)&amp;"")</f>
        <v/>
      </c>
      <c r="G1056">
        <f>IF($AA1056="","",INDEX('Per Line'!$I$2:$I$4001,$AA1056)&amp;"")</f>
        <v/>
      </c>
      <c r="H1056">
        <f>IF($AA1056="","",INDEX('Per Line'!$J$2:$J$4001,$AA1056)&amp;"")</f>
        <v/>
      </c>
      <c r="I1056">
        <f>IF($AA1056="","",INDEX('Per Line'!$K$2:$K$4001,$AA1056)&amp;"")</f>
        <v/>
      </c>
      <c r="J1056">
        <f>IF($AA1056="","",INDEX('Per Line'!$L$2:$L$4001,$AA1056)&amp;"")</f>
        <v/>
      </c>
      <c r="K1056">
        <f>IF($AA1056="","",INDEX('Per Line'!$P$2:$P$4001,$AA1056))</f>
        <v/>
      </c>
      <c r="L1056" s="7">
        <f>IF($AA1056="","",IF(AND(ISNUMBER(N1056),N1056&gt;0,Y1056&gt;N1056),K1056*N1056/100+(Y1056-N1056),K1056*Y1056/100))</f>
        <v/>
      </c>
      <c r="M1056">
        <f>IF($AA1056="","",INDEX('Per Line'!$Z$2:$Z$4001,$AA1056)&amp;"")</f>
        <v/>
      </c>
      <c r="N1056">
        <f>IF($AA1056="","",INDEX('Per Line'!$AG$2:$AG$4001,$AA1056))</f>
        <v/>
      </c>
      <c r="O1056">
        <f>IF($AA1056="","",IF(AND(ISNUMBER(N1056),N1056&gt;0),Y1056&gt;N1056,FALSE))</f>
        <v/>
      </c>
      <c r="P1056" s="7">
        <f>IF($AA1056="","",SUMIFS('Per Line'!$Y$2:$Y$4001,'Per Line'!$E$2:$E$4001,$B1056,'Per Line'!$AQ$2:$AQ$4001,1))</f>
        <v/>
      </c>
      <c r="Q1056">
        <f>IF($AA1056="","",Settings!$C$7)</f>
        <v/>
      </c>
      <c r="R1056" s="7">
        <f>IF($AA1056="","",SUMIFS('Per Line'!$Y$2:$Y$4001,'Per Line'!$E$2:$E$4001,$B1056,'Per Line'!$AP$2:$AP$4001,0,'Per Line'!$AQ$2:$AQ$4001,0))</f>
        <v/>
      </c>
      <c r="S1056" s="7">
        <f>IF($AA1056="","",R1056*Q1056)</f>
        <v/>
      </c>
      <c r="T1056">
        <f>IF($AA1056="","",Settings!$C$6)</f>
        <v/>
      </c>
      <c r="U1056" s="7">
        <f>IF($AA1056="","",SUMIFS('Per Line'!$Y$2:$Y$4001,'Per Line'!$E$2:$E$4001,$B1056,'Per Line'!$AP$2:$AP$4001,1,'Per Line'!$AQ$2:$AQ$4001,0))</f>
        <v/>
      </c>
      <c r="V1056" s="7">
        <f>IF($AA1056="","",U1056*T1056)</f>
        <v/>
      </c>
      <c r="W1056" s="7">
        <f>IF($AA1056="","",V1056+S1056)</f>
        <v/>
      </c>
      <c r="X1056" s="7">
        <f>IF($AA1056="","",Y1056-W1056)</f>
        <v/>
      </c>
      <c r="Y1056" s="7">
        <f>IF($AA1056="","",R1056+U1056+P1056)</f>
        <v/>
      </c>
      <c r="Z1056" s="7">
        <f>IF($AA1056="","",Y1056-W1056-L1056)</f>
        <v/>
      </c>
      <c r="AA1056" s="13">
        <f>IF(ROWS($AA$2:$AA1056)&lt;=MAX('Per Line'!$AO$2:$AO$4001),MATCH(ROWS($AA$2:$AA1056),'Per Line'!$AO$2:$AO$4001,0),"")</f>
        <v/>
      </c>
      <c r="AB1056" s="14">
        <f>IF($AA1056="","",L1056-K1056*Y1056/100)</f>
        <v/>
      </c>
    </row>
    <row r="1057">
      <c r="A1057" s="12" t="n"/>
      <c r="B1057">
        <f>IF($AA1057="","",INDEX('Per Line'!$E$2:$E$4001,$AA1057)&amp;"")</f>
        <v/>
      </c>
      <c r="C1057">
        <f>IF($AA1057="","",INDEX('Per Line'!$A$2:$A$4001,$AA1057)&amp;"")</f>
        <v/>
      </c>
      <c r="D1057">
        <f>IF($AA1057="","",INDEX('Per Line'!$D$2:$D$4001,$AA1057)&amp;"")</f>
        <v/>
      </c>
      <c r="E1057" s="11">
        <f>IF($AA1057="","",INDEX('Per Line'!$G$2:$G$4001,$AA1057))</f>
        <v/>
      </c>
      <c r="F1057">
        <f>IF($AA1057="","",INDEX('Per Line'!$H$2:$H$4001,$AA1057)&amp;"")</f>
        <v/>
      </c>
      <c r="G1057">
        <f>IF($AA1057="","",INDEX('Per Line'!$I$2:$I$4001,$AA1057)&amp;"")</f>
        <v/>
      </c>
      <c r="H1057">
        <f>IF($AA1057="","",INDEX('Per Line'!$J$2:$J$4001,$AA1057)&amp;"")</f>
        <v/>
      </c>
      <c r="I1057">
        <f>IF($AA1057="","",INDEX('Per Line'!$K$2:$K$4001,$AA1057)&amp;"")</f>
        <v/>
      </c>
      <c r="J1057">
        <f>IF($AA1057="","",INDEX('Per Line'!$L$2:$L$4001,$AA1057)&amp;"")</f>
        <v/>
      </c>
      <c r="K1057">
        <f>IF($AA1057="","",INDEX('Per Line'!$P$2:$P$4001,$AA1057))</f>
        <v/>
      </c>
      <c r="L1057" s="7">
        <f>IF($AA1057="","",IF(AND(ISNUMBER(N1057),N1057&gt;0,Y1057&gt;N1057),K1057*N1057/100+(Y1057-N1057),K1057*Y1057/100))</f>
        <v/>
      </c>
      <c r="M1057">
        <f>IF($AA1057="","",INDEX('Per Line'!$Z$2:$Z$4001,$AA1057)&amp;"")</f>
        <v/>
      </c>
      <c r="N1057">
        <f>IF($AA1057="","",INDEX('Per Line'!$AG$2:$AG$4001,$AA1057))</f>
        <v/>
      </c>
      <c r="O1057">
        <f>IF($AA1057="","",IF(AND(ISNUMBER(N1057),N1057&gt;0),Y1057&gt;N1057,FALSE))</f>
        <v/>
      </c>
      <c r="P1057" s="7">
        <f>IF($AA1057="","",SUMIFS('Per Line'!$Y$2:$Y$4001,'Per Line'!$E$2:$E$4001,$B1057,'Per Line'!$AQ$2:$AQ$4001,1))</f>
        <v/>
      </c>
      <c r="Q1057">
        <f>IF($AA1057="","",Settings!$C$7)</f>
        <v/>
      </c>
      <c r="R1057" s="7">
        <f>IF($AA1057="","",SUMIFS('Per Line'!$Y$2:$Y$4001,'Per Line'!$E$2:$E$4001,$B1057,'Per Line'!$AP$2:$AP$4001,0,'Per Line'!$AQ$2:$AQ$4001,0))</f>
        <v/>
      </c>
      <c r="S1057" s="7">
        <f>IF($AA1057="","",R1057*Q1057)</f>
        <v/>
      </c>
      <c r="T1057">
        <f>IF($AA1057="","",Settings!$C$6)</f>
        <v/>
      </c>
      <c r="U1057" s="7">
        <f>IF($AA1057="","",SUMIFS('Per Line'!$Y$2:$Y$4001,'Per Line'!$E$2:$E$4001,$B1057,'Per Line'!$AP$2:$AP$4001,1,'Per Line'!$AQ$2:$AQ$4001,0))</f>
        <v/>
      </c>
      <c r="V1057" s="7">
        <f>IF($AA1057="","",U1057*T1057)</f>
        <v/>
      </c>
      <c r="W1057" s="7">
        <f>IF($AA1057="","",V1057+S1057)</f>
        <v/>
      </c>
      <c r="X1057" s="7">
        <f>IF($AA1057="","",Y1057-W1057)</f>
        <v/>
      </c>
      <c r="Y1057" s="7">
        <f>IF($AA1057="","",R1057+U1057+P1057)</f>
        <v/>
      </c>
      <c r="Z1057" s="7">
        <f>IF($AA1057="","",Y1057-W1057-L1057)</f>
        <v/>
      </c>
      <c r="AA1057" s="13">
        <f>IF(ROWS($AA$2:$AA1057)&lt;=MAX('Per Line'!$AO$2:$AO$4001),MATCH(ROWS($AA$2:$AA1057),'Per Line'!$AO$2:$AO$4001,0),"")</f>
        <v/>
      </c>
      <c r="AB1057" s="14">
        <f>IF($AA1057="","",L1057-K1057*Y1057/100)</f>
        <v/>
      </c>
    </row>
    <row r="1058">
      <c r="A1058" s="12" t="n"/>
      <c r="B1058">
        <f>IF($AA1058="","",INDEX('Per Line'!$E$2:$E$4001,$AA1058)&amp;"")</f>
        <v/>
      </c>
      <c r="C1058">
        <f>IF($AA1058="","",INDEX('Per Line'!$A$2:$A$4001,$AA1058)&amp;"")</f>
        <v/>
      </c>
      <c r="D1058">
        <f>IF($AA1058="","",INDEX('Per Line'!$D$2:$D$4001,$AA1058)&amp;"")</f>
        <v/>
      </c>
      <c r="E1058" s="11">
        <f>IF($AA1058="","",INDEX('Per Line'!$G$2:$G$4001,$AA1058))</f>
        <v/>
      </c>
      <c r="F1058">
        <f>IF($AA1058="","",INDEX('Per Line'!$H$2:$H$4001,$AA1058)&amp;"")</f>
        <v/>
      </c>
      <c r="G1058">
        <f>IF($AA1058="","",INDEX('Per Line'!$I$2:$I$4001,$AA1058)&amp;"")</f>
        <v/>
      </c>
      <c r="H1058">
        <f>IF($AA1058="","",INDEX('Per Line'!$J$2:$J$4001,$AA1058)&amp;"")</f>
        <v/>
      </c>
      <c r="I1058">
        <f>IF($AA1058="","",INDEX('Per Line'!$K$2:$K$4001,$AA1058)&amp;"")</f>
        <v/>
      </c>
      <c r="J1058">
        <f>IF($AA1058="","",INDEX('Per Line'!$L$2:$L$4001,$AA1058)&amp;"")</f>
        <v/>
      </c>
      <c r="K1058">
        <f>IF($AA1058="","",INDEX('Per Line'!$P$2:$P$4001,$AA1058))</f>
        <v/>
      </c>
      <c r="L1058" s="7">
        <f>IF($AA1058="","",IF(AND(ISNUMBER(N1058),N1058&gt;0,Y1058&gt;N1058),K1058*N1058/100+(Y1058-N1058),K1058*Y1058/100))</f>
        <v/>
      </c>
      <c r="M1058">
        <f>IF($AA1058="","",INDEX('Per Line'!$Z$2:$Z$4001,$AA1058)&amp;"")</f>
        <v/>
      </c>
      <c r="N1058">
        <f>IF($AA1058="","",INDEX('Per Line'!$AG$2:$AG$4001,$AA1058))</f>
        <v/>
      </c>
      <c r="O1058">
        <f>IF($AA1058="","",IF(AND(ISNUMBER(N1058),N1058&gt;0),Y1058&gt;N1058,FALSE))</f>
        <v/>
      </c>
      <c r="P1058" s="7">
        <f>IF($AA1058="","",SUMIFS('Per Line'!$Y$2:$Y$4001,'Per Line'!$E$2:$E$4001,$B1058,'Per Line'!$AQ$2:$AQ$4001,1))</f>
        <v/>
      </c>
      <c r="Q1058">
        <f>IF($AA1058="","",Settings!$C$7)</f>
        <v/>
      </c>
      <c r="R1058" s="7">
        <f>IF($AA1058="","",SUMIFS('Per Line'!$Y$2:$Y$4001,'Per Line'!$E$2:$E$4001,$B1058,'Per Line'!$AP$2:$AP$4001,0,'Per Line'!$AQ$2:$AQ$4001,0))</f>
        <v/>
      </c>
      <c r="S1058" s="7">
        <f>IF($AA1058="","",R1058*Q1058)</f>
        <v/>
      </c>
      <c r="T1058">
        <f>IF($AA1058="","",Settings!$C$6)</f>
        <v/>
      </c>
      <c r="U1058" s="7">
        <f>IF($AA1058="","",SUMIFS('Per Line'!$Y$2:$Y$4001,'Per Line'!$E$2:$E$4001,$B1058,'Per Line'!$AP$2:$AP$4001,1,'Per Line'!$AQ$2:$AQ$4001,0))</f>
        <v/>
      </c>
      <c r="V1058" s="7">
        <f>IF($AA1058="","",U1058*T1058)</f>
        <v/>
      </c>
      <c r="W1058" s="7">
        <f>IF($AA1058="","",V1058+S1058)</f>
        <v/>
      </c>
      <c r="X1058" s="7">
        <f>IF($AA1058="","",Y1058-W1058)</f>
        <v/>
      </c>
      <c r="Y1058" s="7">
        <f>IF($AA1058="","",R1058+U1058+P1058)</f>
        <v/>
      </c>
      <c r="Z1058" s="7">
        <f>IF($AA1058="","",Y1058-W1058-L1058)</f>
        <v/>
      </c>
      <c r="AA1058" s="13">
        <f>IF(ROWS($AA$2:$AA1058)&lt;=MAX('Per Line'!$AO$2:$AO$4001),MATCH(ROWS($AA$2:$AA1058),'Per Line'!$AO$2:$AO$4001,0),"")</f>
        <v/>
      </c>
      <c r="AB1058" s="14">
        <f>IF($AA1058="","",L1058-K1058*Y1058/100)</f>
        <v/>
      </c>
    </row>
    <row r="1059">
      <c r="A1059" s="12" t="n"/>
      <c r="B1059">
        <f>IF($AA1059="","",INDEX('Per Line'!$E$2:$E$4001,$AA1059)&amp;"")</f>
        <v/>
      </c>
      <c r="C1059">
        <f>IF($AA1059="","",INDEX('Per Line'!$A$2:$A$4001,$AA1059)&amp;"")</f>
        <v/>
      </c>
      <c r="D1059">
        <f>IF($AA1059="","",INDEX('Per Line'!$D$2:$D$4001,$AA1059)&amp;"")</f>
        <v/>
      </c>
      <c r="E1059" s="11">
        <f>IF($AA1059="","",INDEX('Per Line'!$G$2:$G$4001,$AA1059))</f>
        <v/>
      </c>
      <c r="F1059">
        <f>IF($AA1059="","",INDEX('Per Line'!$H$2:$H$4001,$AA1059)&amp;"")</f>
        <v/>
      </c>
      <c r="G1059">
        <f>IF($AA1059="","",INDEX('Per Line'!$I$2:$I$4001,$AA1059)&amp;"")</f>
        <v/>
      </c>
      <c r="H1059">
        <f>IF($AA1059="","",INDEX('Per Line'!$J$2:$J$4001,$AA1059)&amp;"")</f>
        <v/>
      </c>
      <c r="I1059">
        <f>IF($AA1059="","",INDEX('Per Line'!$K$2:$K$4001,$AA1059)&amp;"")</f>
        <v/>
      </c>
      <c r="J1059">
        <f>IF($AA1059="","",INDEX('Per Line'!$L$2:$L$4001,$AA1059)&amp;"")</f>
        <v/>
      </c>
      <c r="K1059">
        <f>IF($AA1059="","",INDEX('Per Line'!$P$2:$P$4001,$AA1059))</f>
        <v/>
      </c>
      <c r="L1059" s="7">
        <f>IF($AA1059="","",IF(AND(ISNUMBER(N1059),N1059&gt;0,Y1059&gt;N1059),K1059*N1059/100+(Y1059-N1059),K1059*Y1059/100))</f>
        <v/>
      </c>
      <c r="M1059">
        <f>IF($AA1059="","",INDEX('Per Line'!$Z$2:$Z$4001,$AA1059)&amp;"")</f>
        <v/>
      </c>
      <c r="N1059">
        <f>IF($AA1059="","",INDEX('Per Line'!$AG$2:$AG$4001,$AA1059))</f>
        <v/>
      </c>
      <c r="O1059">
        <f>IF($AA1059="","",IF(AND(ISNUMBER(N1059),N1059&gt;0),Y1059&gt;N1059,FALSE))</f>
        <v/>
      </c>
      <c r="P1059" s="7">
        <f>IF($AA1059="","",SUMIFS('Per Line'!$Y$2:$Y$4001,'Per Line'!$E$2:$E$4001,$B1059,'Per Line'!$AQ$2:$AQ$4001,1))</f>
        <v/>
      </c>
      <c r="Q1059">
        <f>IF($AA1059="","",Settings!$C$7)</f>
        <v/>
      </c>
      <c r="R1059" s="7">
        <f>IF($AA1059="","",SUMIFS('Per Line'!$Y$2:$Y$4001,'Per Line'!$E$2:$E$4001,$B1059,'Per Line'!$AP$2:$AP$4001,0,'Per Line'!$AQ$2:$AQ$4001,0))</f>
        <v/>
      </c>
      <c r="S1059" s="7">
        <f>IF($AA1059="","",R1059*Q1059)</f>
        <v/>
      </c>
      <c r="T1059">
        <f>IF($AA1059="","",Settings!$C$6)</f>
        <v/>
      </c>
      <c r="U1059" s="7">
        <f>IF($AA1059="","",SUMIFS('Per Line'!$Y$2:$Y$4001,'Per Line'!$E$2:$E$4001,$B1059,'Per Line'!$AP$2:$AP$4001,1,'Per Line'!$AQ$2:$AQ$4001,0))</f>
        <v/>
      </c>
      <c r="V1059" s="7">
        <f>IF($AA1059="","",U1059*T1059)</f>
        <v/>
      </c>
      <c r="W1059" s="7">
        <f>IF($AA1059="","",V1059+S1059)</f>
        <v/>
      </c>
      <c r="X1059" s="7">
        <f>IF($AA1059="","",Y1059-W1059)</f>
        <v/>
      </c>
      <c r="Y1059" s="7">
        <f>IF($AA1059="","",R1059+U1059+P1059)</f>
        <v/>
      </c>
      <c r="Z1059" s="7">
        <f>IF($AA1059="","",Y1059-W1059-L1059)</f>
        <v/>
      </c>
      <c r="AA1059" s="13">
        <f>IF(ROWS($AA$2:$AA1059)&lt;=MAX('Per Line'!$AO$2:$AO$4001),MATCH(ROWS($AA$2:$AA1059),'Per Line'!$AO$2:$AO$4001,0),"")</f>
        <v/>
      </c>
      <c r="AB1059" s="14">
        <f>IF($AA1059="","",L1059-K1059*Y1059/100)</f>
        <v/>
      </c>
    </row>
    <row r="1060">
      <c r="A1060" s="12" t="n"/>
      <c r="B1060">
        <f>IF($AA1060="","",INDEX('Per Line'!$E$2:$E$4001,$AA1060)&amp;"")</f>
        <v/>
      </c>
      <c r="C1060">
        <f>IF($AA1060="","",INDEX('Per Line'!$A$2:$A$4001,$AA1060)&amp;"")</f>
        <v/>
      </c>
      <c r="D1060">
        <f>IF($AA1060="","",INDEX('Per Line'!$D$2:$D$4001,$AA1060)&amp;"")</f>
        <v/>
      </c>
      <c r="E1060" s="11">
        <f>IF($AA1060="","",INDEX('Per Line'!$G$2:$G$4001,$AA1060))</f>
        <v/>
      </c>
      <c r="F1060">
        <f>IF($AA1060="","",INDEX('Per Line'!$H$2:$H$4001,$AA1060)&amp;"")</f>
        <v/>
      </c>
      <c r="G1060">
        <f>IF($AA1060="","",INDEX('Per Line'!$I$2:$I$4001,$AA1060)&amp;"")</f>
        <v/>
      </c>
      <c r="H1060">
        <f>IF($AA1060="","",INDEX('Per Line'!$J$2:$J$4001,$AA1060)&amp;"")</f>
        <v/>
      </c>
      <c r="I1060">
        <f>IF($AA1060="","",INDEX('Per Line'!$K$2:$K$4001,$AA1060)&amp;"")</f>
        <v/>
      </c>
      <c r="J1060">
        <f>IF($AA1060="","",INDEX('Per Line'!$L$2:$L$4001,$AA1060)&amp;"")</f>
        <v/>
      </c>
      <c r="K1060">
        <f>IF($AA1060="","",INDEX('Per Line'!$P$2:$P$4001,$AA1060))</f>
        <v/>
      </c>
      <c r="L1060" s="7">
        <f>IF($AA1060="","",IF(AND(ISNUMBER(N1060),N1060&gt;0,Y1060&gt;N1060),K1060*N1060/100+(Y1060-N1060),K1060*Y1060/100))</f>
        <v/>
      </c>
      <c r="M1060">
        <f>IF($AA1060="","",INDEX('Per Line'!$Z$2:$Z$4001,$AA1060)&amp;"")</f>
        <v/>
      </c>
      <c r="N1060">
        <f>IF($AA1060="","",INDEX('Per Line'!$AG$2:$AG$4001,$AA1060))</f>
        <v/>
      </c>
      <c r="O1060">
        <f>IF($AA1060="","",IF(AND(ISNUMBER(N1060),N1060&gt;0),Y1060&gt;N1060,FALSE))</f>
        <v/>
      </c>
      <c r="P1060" s="7">
        <f>IF($AA1060="","",SUMIFS('Per Line'!$Y$2:$Y$4001,'Per Line'!$E$2:$E$4001,$B1060,'Per Line'!$AQ$2:$AQ$4001,1))</f>
        <v/>
      </c>
      <c r="Q1060">
        <f>IF($AA1060="","",Settings!$C$7)</f>
        <v/>
      </c>
      <c r="R1060" s="7">
        <f>IF($AA1060="","",SUMIFS('Per Line'!$Y$2:$Y$4001,'Per Line'!$E$2:$E$4001,$B1060,'Per Line'!$AP$2:$AP$4001,0,'Per Line'!$AQ$2:$AQ$4001,0))</f>
        <v/>
      </c>
      <c r="S1060" s="7">
        <f>IF($AA1060="","",R1060*Q1060)</f>
        <v/>
      </c>
      <c r="T1060">
        <f>IF($AA1060="","",Settings!$C$6)</f>
        <v/>
      </c>
      <c r="U1060" s="7">
        <f>IF($AA1060="","",SUMIFS('Per Line'!$Y$2:$Y$4001,'Per Line'!$E$2:$E$4001,$B1060,'Per Line'!$AP$2:$AP$4001,1,'Per Line'!$AQ$2:$AQ$4001,0))</f>
        <v/>
      </c>
      <c r="V1060" s="7">
        <f>IF($AA1060="","",U1060*T1060)</f>
        <v/>
      </c>
      <c r="W1060" s="7">
        <f>IF($AA1060="","",V1060+S1060)</f>
        <v/>
      </c>
      <c r="X1060" s="7">
        <f>IF($AA1060="","",Y1060-W1060)</f>
        <v/>
      </c>
      <c r="Y1060" s="7">
        <f>IF($AA1060="","",R1060+U1060+P1060)</f>
        <v/>
      </c>
      <c r="Z1060" s="7">
        <f>IF($AA1060="","",Y1060-W1060-L1060)</f>
        <v/>
      </c>
      <c r="AA1060" s="13">
        <f>IF(ROWS($AA$2:$AA1060)&lt;=MAX('Per Line'!$AO$2:$AO$4001),MATCH(ROWS($AA$2:$AA1060),'Per Line'!$AO$2:$AO$4001,0),"")</f>
        <v/>
      </c>
      <c r="AB1060" s="14">
        <f>IF($AA1060="","",L1060-K1060*Y1060/100)</f>
        <v/>
      </c>
    </row>
    <row r="1061">
      <c r="A1061" s="12" t="n"/>
      <c r="B1061">
        <f>IF($AA1061="","",INDEX('Per Line'!$E$2:$E$4001,$AA1061)&amp;"")</f>
        <v/>
      </c>
      <c r="C1061">
        <f>IF($AA1061="","",INDEX('Per Line'!$A$2:$A$4001,$AA1061)&amp;"")</f>
        <v/>
      </c>
      <c r="D1061">
        <f>IF($AA1061="","",INDEX('Per Line'!$D$2:$D$4001,$AA1061)&amp;"")</f>
        <v/>
      </c>
      <c r="E1061" s="11">
        <f>IF($AA1061="","",INDEX('Per Line'!$G$2:$G$4001,$AA1061))</f>
        <v/>
      </c>
      <c r="F1061">
        <f>IF($AA1061="","",INDEX('Per Line'!$H$2:$H$4001,$AA1061)&amp;"")</f>
        <v/>
      </c>
      <c r="G1061">
        <f>IF($AA1061="","",INDEX('Per Line'!$I$2:$I$4001,$AA1061)&amp;"")</f>
        <v/>
      </c>
      <c r="H1061">
        <f>IF($AA1061="","",INDEX('Per Line'!$J$2:$J$4001,$AA1061)&amp;"")</f>
        <v/>
      </c>
      <c r="I1061">
        <f>IF($AA1061="","",INDEX('Per Line'!$K$2:$K$4001,$AA1061)&amp;"")</f>
        <v/>
      </c>
      <c r="J1061">
        <f>IF($AA1061="","",INDEX('Per Line'!$L$2:$L$4001,$AA1061)&amp;"")</f>
        <v/>
      </c>
      <c r="K1061">
        <f>IF($AA1061="","",INDEX('Per Line'!$P$2:$P$4001,$AA1061))</f>
        <v/>
      </c>
      <c r="L1061" s="7">
        <f>IF($AA1061="","",IF(AND(ISNUMBER(N1061),N1061&gt;0,Y1061&gt;N1061),K1061*N1061/100+(Y1061-N1061),K1061*Y1061/100))</f>
        <v/>
      </c>
      <c r="M1061">
        <f>IF($AA1061="","",INDEX('Per Line'!$Z$2:$Z$4001,$AA1061)&amp;"")</f>
        <v/>
      </c>
      <c r="N1061">
        <f>IF($AA1061="","",INDEX('Per Line'!$AG$2:$AG$4001,$AA1061))</f>
        <v/>
      </c>
      <c r="O1061">
        <f>IF($AA1061="","",IF(AND(ISNUMBER(N1061),N1061&gt;0),Y1061&gt;N1061,FALSE))</f>
        <v/>
      </c>
      <c r="P1061" s="7">
        <f>IF($AA1061="","",SUMIFS('Per Line'!$Y$2:$Y$4001,'Per Line'!$E$2:$E$4001,$B1061,'Per Line'!$AQ$2:$AQ$4001,1))</f>
        <v/>
      </c>
      <c r="Q1061">
        <f>IF($AA1061="","",Settings!$C$7)</f>
        <v/>
      </c>
      <c r="R1061" s="7">
        <f>IF($AA1061="","",SUMIFS('Per Line'!$Y$2:$Y$4001,'Per Line'!$E$2:$E$4001,$B1061,'Per Line'!$AP$2:$AP$4001,0,'Per Line'!$AQ$2:$AQ$4001,0))</f>
        <v/>
      </c>
      <c r="S1061" s="7">
        <f>IF($AA1061="","",R1061*Q1061)</f>
        <v/>
      </c>
      <c r="T1061">
        <f>IF($AA1061="","",Settings!$C$6)</f>
        <v/>
      </c>
      <c r="U1061" s="7">
        <f>IF($AA1061="","",SUMIFS('Per Line'!$Y$2:$Y$4001,'Per Line'!$E$2:$E$4001,$B1061,'Per Line'!$AP$2:$AP$4001,1,'Per Line'!$AQ$2:$AQ$4001,0))</f>
        <v/>
      </c>
      <c r="V1061" s="7">
        <f>IF($AA1061="","",U1061*T1061)</f>
        <v/>
      </c>
      <c r="W1061" s="7">
        <f>IF($AA1061="","",V1061+S1061)</f>
        <v/>
      </c>
      <c r="X1061" s="7">
        <f>IF($AA1061="","",Y1061-W1061)</f>
        <v/>
      </c>
      <c r="Y1061" s="7">
        <f>IF($AA1061="","",R1061+U1061+P1061)</f>
        <v/>
      </c>
      <c r="Z1061" s="7">
        <f>IF($AA1061="","",Y1061-W1061-L1061)</f>
        <v/>
      </c>
      <c r="AA1061" s="13">
        <f>IF(ROWS($AA$2:$AA1061)&lt;=MAX('Per Line'!$AO$2:$AO$4001),MATCH(ROWS($AA$2:$AA1061),'Per Line'!$AO$2:$AO$4001,0),"")</f>
        <v/>
      </c>
      <c r="AB1061" s="14">
        <f>IF($AA1061="","",L1061-K1061*Y1061/100)</f>
        <v/>
      </c>
    </row>
    <row r="1062">
      <c r="A1062" s="12" t="n"/>
      <c r="B1062">
        <f>IF($AA1062="","",INDEX('Per Line'!$E$2:$E$4001,$AA1062)&amp;"")</f>
        <v/>
      </c>
      <c r="C1062">
        <f>IF($AA1062="","",INDEX('Per Line'!$A$2:$A$4001,$AA1062)&amp;"")</f>
        <v/>
      </c>
      <c r="D1062">
        <f>IF($AA1062="","",INDEX('Per Line'!$D$2:$D$4001,$AA1062)&amp;"")</f>
        <v/>
      </c>
      <c r="E1062" s="11">
        <f>IF($AA1062="","",INDEX('Per Line'!$G$2:$G$4001,$AA1062))</f>
        <v/>
      </c>
      <c r="F1062">
        <f>IF($AA1062="","",INDEX('Per Line'!$H$2:$H$4001,$AA1062)&amp;"")</f>
        <v/>
      </c>
      <c r="G1062">
        <f>IF($AA1062="","",INDEX('Per Line'!$I$2:$I$4001,$AA1062)&amp;"")</f>
        <v/>
      </c>
      <c r="H1062">
        <f>IF($AA1062="","",INDEX('Per Line'!$J$2:$J$4001,$AA1062)&amp;"")</f>
        <v/>
      </c>
      <c r="I1062">
        <f>IF($AA1062="","",INDEX('Per Line'!$K$2:$K$4001,$AA1062)&amp;"")</f>
        <v/>
      </c>
      <c r="J1062">
        <f>IF($AA1062="","",INDEX('Per Line'!$L$2:$L$4001,$AA1062)&amp;"")</f>
        <v/>
      </c>
      <c r="K1062">
        <f>IF($AA1062="","",INDEX('Per Line'!$P$2:$P$4001,$AA1062))</f>
        <v/>
      </c>
      <c r="L1062" s="7">
        <f>IF($AA1062="","",IF(AND(ISNUMBER(N1062),N1062&gt;0,Y1062&gt;N1062),K1062*N1062/100+(Y1062-N1062),K1062*Y1062/100))</f>
        <v/>
      </c>
      <c r="M1062">
        <f>IF($AA1062="","",INDEX('Per Line'!$Z$2:$Z$4001,$AA1062)&amp;"")</f>
        <v/>
      </c>
      <c r="N1062">
        <f>IF($AA1062="","",INDEX('Per Line'!$AG$2:$AG$4001,$AA1062))</f>
        <v/>
      </c>
      <c r="O1062">
        <f>IF($AA1062="","",IF(AND(ISNUMBER(N1062),N1062&gt;0),Y1062&gt;N1062,FALSE))</f>
        <v/>
      </c>
      <c r="P1062" s="7">
        <f>IF($AA1062="","",SUMIFS('Per Line'!$Y$2:$Y$4001,'Per Line'!$E$2:$E$4001,$B1062,'Per Line'!$AQ$2:$AQ$4001,1))</f>
        <v/>
      </c>
      <c r="Q1062">
        <f>IF($AA1062="","",Settings!$C$7)</f>
        <v/>
      </c>
      <c r="R1062" s="7">
        <f>IF($AA1062="","",SUMIFS('Per Line'!$Y$2:$Y$4001,'Per Line'!$E$2:$E$4001,$B1062,'Per Line'!$AP$2:$AP$4001,0,'Per Line'!$AQ$2:$AQ$4001,0))</f>
        <v/>
      </c>
      <c r="S1062" s="7">
        <f>IF($AA1062="","",R1062*Q1062)</f>
        <v/>
      </c>
      <c r="T1062">
        <f>IF($AA1062="","",Settings!$C$6)</f>
        <v/>
      </c>
      <c r="U1062" s="7">
        <f>IF($AA1062="","",SUMIFS('Per Line'!$Y$2:$Y$4001,'Per Line'!$E$2:$E$4001,$B1062,'Per Line'!$AP$2:$AP$4001,1,'Per Line'!$AQ$2:$AQ$4001,0))</f>
        <v/>
      </c>
      <c r="V1062" s="7">
        <f>IF($AA1062="","",U1062*T1062)</f>
        <v/>
      </c>
      <c r="W1062" s="7">
        <f>IF($AA1062="","",V1062+S1062)</f>
        <v/>
      </c>
      <c r="X1062" s="7">
        <f>IF($AA1062="","",Y1062-W1062)</f>
        <v/>
      </c>
      <c r="Y1062" s="7">
        <f>IF($AA1062="","",R1062+U1062+P1062)</f>
        <v/>
      </c>
      <c r="Z1062" s="7">
        <f>IF($AA1062="","",Y1062-W1062-L1062)</f>
        <v/>
      </c>
      <c r="AA1062" s="13">
        <f>IF(ROWS($AA$2:$AA1062)&lt;=MAX('Per Line'!$AO$2:$AO$4001),MATCH(ROWS($AA$2:$AA1062),'Per Line'!$AO$2:$AO$4001,0),"")</f>
        <v/>
      </c>
      <c r="AB1062" s="14">
        <f>IF($AA1062="","",L1062-K1062*Y1062/100)</f>
        <v/>
      </c>
    </row>
    <row r="1063">
      <c r="A1063" s="12" t="n"/>
      <c r="B1063">
        <f>IF($AA1063="","",INDEX('Per Line'!$E$2:$E$4001,$AA1063)&amp;"")</f>
        <v/>
      </c>
      <c r="C1063">
        <f>IF($AA1063="","",INDEX('Per Line'!$A$2:$A$4001,$AA1063)&amp;"")</f>
        <v/>
      </c>
      <c r="D1063">
        <f>IF($AA1063="","",INDEX('Per Line'!$D$2:$D$4001,$AA1063)&amp;"")</f>
        <v/>
      </c>
      <c r="E1063" s="11">
        <f>IF($AA1063="","",INDEX('Per Line'!$G$2:$G$4001,$AA1063))</f>
        <v/>
      </c>
      <c r="F1063">
        <f>IF($AA1063="","",INDEX('Per Line'!$H$2:$H$4001,$AA1063)&amp;"")</f>
        <v/>
      </c>
      <c r="G1063">
        <f>IF($AA1063="","",INDEX('Per Line'!$I$2:$I$4001,$AA1063)&amp;"")</f>
        <v/>
      </c>
      <c r="H1063">
        <f>IF($AA1063="","",INDEX('Per Line'!$J$2:$J$4001,$AA1063)&amp;"")</f>
        <v/>
      </c>
      <c r="I1063">
        <f>IF($AA1063="","",INDEX('Per Line'!$K$2:$K$4001,$AA1063)&amp;"")</f>
        <v/>
      </c>
      <c r="J1063">
        <f>IF($AA1063="","",INDEX('Per Line'!$L$2:$L$4001,$AA1063)&amp;"")</f>
        <v/>
      </c>
      <c r="K1063">
        <f>IF($AA1063="","",INDEX('Per Line'!$P$2:$P$4001,$AA1063))</f>
        <v/>
      </c>
      <c r="L1063" s="7">
        <f>IF($AA1063="","",IF(AND(ISNUMBER(N1063),N1063&gt;0,Y1063&gt;N1063),K1063*N1063/100+(Y1063-N1063),K1063*Y1063/100))</f>
        <v/>
      </c>
      <c r="M1063">
        <f>IF($AA1063="","",INDEX('Per Line'!$Z$2:$Z$4001,$AA1063)&amp;"")</f>
        <v/>
      </c>
      <c r="N1063">
        <f>IF($AA1063="","",INDEX('Per Line'!$AG$2:$AG$4001,$AA1063))</f>
        <v/>
      </c>
      <c r="O1063">
        <f>IF($AA1063="","",IF(AND(ISNUMBER(N1063),N1063&gt;0),Y1063&gt;N1063,FALSE))</f>
        <v/>
      </c>
      <c r="P1063" s="7">
        <f>IF($AA1063="","",SUMIFS('Per Line'!$Y$2:$Y$4001,'Per Line'!$E$2:$E$4001,$B1063,'Per Line'!$AQ$2:$AQ$4001,1))</f>
        <v/>
      </c>
      <c r="Q1063">
        <f>IF($AA1063="","",Settings!$C$7)</f>
        <v/>
      </c>
      <c r="R1063" s="7">
        <f>IF($AA1063="","",SUMIFS('Per Line'!$Y$2:$Y$4001,'Per Line'!$E$2:$E$4001,$B1063,'Per Line'!$AP$2:$AP$4001,0,'Per Line'!$AQ$2:$AQ$4001,0))</f>
        <v/>
      </c>
      <c r="S1063" s="7">
        <f>IF($AA1063="","",R1063*Q1063)</f>
        <v/>
      </c>
      <c r="T1063">
        <f>IF($AA1063="","",Settings!$C$6)</f>
        <v/>
      </c>
      <c r="U1063" s="7">
        <f>IF($AA1063="","",SUMIFS('Per Line'!$Y$2:$Y$4001,'Per Line'!$E$2:$E$4001,$B1063,'Per Line'!$AP$2:$AP$4001,1,'Per Line'!$AQ$2:$AQ$4001,0))</f>
        <v/>
      </c>
      <c r="V1063" s="7">
        <f>IF($AA1063="","",U1063*T1063)</f>
        <v/>
      </c>
      <c r="W1063" s="7">
        <f>IF($AA1063="","",V1063+S1063)</f>
        <v/>
      </c>
      <c r="X1063" s="7">
        <f>IF($AA1063="","",Y1063-W1063)</f>
        <v/>
      </c>
      <c r="Y1063" s="7">
        <f>IF($AA1063="","",R1063+U1063+P1063)</f>
        <v/>
      </c>
      <c r="Z1063" s="7">
        <f>IF($AA1063="","",Y1063-W1063-L1063)</f>
        <v/>
      </c>
      <c r="AA1063" s="13">
        <f>IF(ROWS($AA$2:$AA1063)&lt;=MAX('Per Line'!$AO$2:$AO$4001),MATCH(ROWS($AA$2:$AA1063),'Per Line'!$AO$2:$AO$4001,0),"")</f>
        <v/>
      </c>
      <c r="AB1063" s="14">
        <f>IF($AA1063="","",L1063-K1063*Y1063/100)</f>
        <v/>
      </c>
    </row>
    <row r="1064">
      <c r="A1064" s="12" t="n"/>
      <c r="B1064">
        <f>IF($AA1064="","",INDEX('Per Line'!$E$2:$E$4001,$AA1064)&amp;"")</f>
        <v/>
      </c>
      <c r="C1064">
        <f>IF($AA1064="","",INDEX('Per Line'!$A$2:$A$4001,$AA1064)&amp;"")</f>
        <v/>
      </c>
      <c r="D1064">
        <f>IF($AA1064="","",INDEX('Per Line'!$D$2:$D$4001,$AA1064)&amp;"")</f>
        <v/>
      </c>
      <c r="E1064" s="11">
        <f>IF($AA1064="","",INDEX('Per Line'!$G$2:$G$4001,$AA1064))</f>
        <v/>
      </c>
      <c r="F1064">
        <f>IF($AA1064="","",INDEX('Per Line'!$H$2:$H$4001,$AA1064)&amp;"")</f>
        <v/>
      </c>
      <c r="G1064">
        <f>IF($AA1064="","",INDEX('Per Line'!$I$2:$I$4001,$AA1064)&amp;"")</f>
        <v/>
      </c>
      <c r="H1064">
        <f>IF($AA1064="","",INDEX('Per Line'!$J$2:$J$4001,$AA1064)&amp;"")</f>
        <v/>
      </c>
      <c r="I1064">
        <f>IF($AA1064="","",INDEX('Per Line'!$K$2:$K$4001,$AA1064)&amp;"")</f>
        <v/>
      </c>
      <c r="J1064">
        <f>IF($AA1064="","",INDEX('Per Line'!$L$2:$L$4001,$AA1064)&amp;"")</f>
        <v/>
      </c>
      <c r="K1064">
        <f>IF($AA1064="","",INDEX('Per Line'!$P$2:$P$4001,$AA1064))</f>
        <v/>
      </c>
      <c r="L1064" s="7">
        <f>IF($AA1064="","",IF(AND(ISNUMBER(N1064),N1064&gt;0,Y1064&gt;N1064),K1064*N1064/100+(Y1064-N1064),K1064*Y1064/100))</f>
        <v/>
      </c>
      <c r="M1064">
        <f>IF($AA1064="","",INDEX('Per Line'!$Z$2:$Z$4001,$AA1064)&amp;"")</f>
        <v/>
      </c>
      <c r="N1064">
        <f>IF($AA1064="","",INDEX('Per Line'!$AG$2:$AG$4001,$AA1064))</f>
        <v/>
      </c>
      <c r="O1064">
        <f>IF($AA1064="","",IF(AND(ISNUMBER(N1064),N1064&gt;0),Y1064&gt;N1064,FALSE))</f>
        <v/>
      </c>
      <c r="P1064" s="7">
        <f>IF($AA1064="","",SUMIFS('Per Line'!$Y$2:$Y$4001,'Per Line'!$E$2:$E$4001,$B1064,'Per Line'!$AQ$2:$AQ$4001,1))</f>
        <v/>
      </c>
      <c r="Q1064">
        <f>IF($AA1064="","",Settings!$C$7)</f>
        <v/>
      </c>
      <c r="R1064" s="7">
        <f>IF($AA1064="","",SUMIFS('Per Line'!$Y$2:$Y$4001,'Per Line'!$E$2:$E$4001,$B1064,'Per Line'!$AP$2:$AP$4001,0,'Per Line'!$AQ$2:$AQ$4001,0))</f>
        <v/>
      </c>
      <c r="S1064" s="7">
        <f>IF($AA1064="","",R1064*Q1064)</f>
        <v/>
      </c>
      <c r="T1064">
        <f>IF($AA1064="","",Settings!$C$6)</f>
        <v/>
      </c>
      <c r="U1064" s="7">
        <f>IF($AA1064="","",SUMIFS('Per Line'!$Y$2:$Y$4001,'Per Line'!$E$2:$E$4001,$B1064,'Per Line'!$AP$2:$AP$4001,1,'Per Line'!$AQ$2:$AQ$4001,0))</f>
        <v/>
      </c>
      <c r="V1064" s="7">
        <f>IF($AA1064="","",U1064*T1064)</f>
        <v/>
      </c>
      <c r="W1064" s="7">
        <f>IF($AA1064="","",V1064+S1064)</f>
        <v/>
      </c>
      <c r="X1064" s="7">
        <f>IF($AA1064="","",Y1064-W1064)</f>
        <v/>
      </c>
      <c r="Y1064" s="7">
        <f>IF($AA1064="","",R1064+U1064+P1064)</f>
        <v/>
      </c>
      <c r="Z1064" s="7">
        <f>IF($AA1064="","",Y1064-W1064-L1064)</f>
        <v/>
      </c>
      <c r="AA1064" s="13">
        <f>IF(ROWS($AA$2:$AA1064)&lt;=MAX('Per Line'!$AO$2:$AO$4001),MATCH(ROWS($AA$2:$AA1064),'Per Line'!$AO$2:$AO$4001,0),"")</f>
        <v/>
      </c>
      <c r="AB1064" s="14">
        <f>IF($AA1064="","",L1064-K1064*Y1064/100)</f>
        <v/>
      </c>
    </row>
    <row r="1065">
      <c r="A1065" s="12" t="n"/>
      <c r="B1065">
        <f>IF($AA1065="","",INDEX('Per Line'!$E$2:$E$4001,$AA1065)&amp;"")</f>
        <v/>
      </c>
      <c r="C1065">
        <f>IF($AA1065="","",INDEX('Per Line'!$A$2:$A$4001,$AA1065)&amp;"")</f>
        <v/>
      </c>
      <c r="D1065">
        <f>IF($AA1065="","",INDEX('Per Line'!$D$2:$D$4001,$AA1065)&amp;"")</f>
        <v/>
      </c>
      <c r="E1065" s="11">
        <f>IF($AA1065="","",INDEX('Per Line'!$G$2:$G$4001,$AA1065))</f>
        <v/>
      </c>
      <c r="F1065">
        <f>IF($AA1065="","",INDEX('Per Line'!$H$2:$H$4001,$AA1065)&amp;"")</f>
        <v/>
      </c>
      <c r="G1065">
        <f>IF($AA1065="","",INDEX('Per Line'!$I$2:$I$4001,$AA1065)&amp;"")</f>
        <v/>
      </c>
      <c r="H1065">
        <f>IF($AA1065="","",INDEX('Per Line'!$J$2:$J$4001,$AA1065)&amp;"")</f>
        <v/>
      </c>
      <c r="I1065">
        <f>IF($AA1065="","",INDEX('Per Line'!$K$2:$K$4001,$AA1065)&amp;"")</f>
        <v/>
      </c>
      <c r="J1065">
        <f>IF($AA1065="","",INDEX('Per Line'!$L$2:$L$4001,$AA1065)&amp;"")</f>
        <v/>
      </c>
      <c r="K1065">
        <f>IF($AA1065="","",INDEX('Per Line'!$P$2:$P$4001,$AA1065))</f>
        <v/>
      </c>
      <c r="L1065" s="7">
        <f>IF($AA1065="","",IF(AND(ISNUMBER(N1065),N1065&gt;0,Y1065&gt;N1065),K1065*N1065/100+(Y1065-N1065),K1065*Y1065/100))</f>
        <v/>
      </c>
      <c r="M1065">
        <f>IF($AA1065="","",INDEX('Per Line'!$Z$2:$Z$4001,$AA1065)&amp;"")</f>
        <v/>
      </c>
      <c r="N1065">
        <f>IF($AA1065="","",INDEX('Per Line'!$AG$2:$AG$4001,$AA1065))</f>
        <v/>
      </c>
      <c r="O1065">
        <f>IF($AA1065="","",IF(AND(ISNUMBER(N1065),N1065&gt;0),Y1065&gt;N1065,FALSE))</f>
        <v/>
      </c>
      <c r="P1065" s="7">
        <f>IF($AA1065="","",SUMIFS('Per Line'!$Y$2:$Y$4001,'Per Line'!$E$2:$E$4001,$B1065,'Per Line'!$AQ$2:$AQ$4001,1))</f>
        <v/>
      </c>
      <c r="Q1065">
        <f>IF($AA1065="","",Settings!$C$7)</f>
        <v/>
      </c>
      <c r="R1065" s="7">
        <f>IF($AA1065="","",SUMIFS('Per Line'!$Y$2:$Y$4001,'Per Line'!$E$2:$E$4001,$B1065,'Per Line'!$AP$2:$AP$4001,0,'Per Line'!$AQ$2:$AQ$4001,0))</f>
        <v/>
      </c>
      <c r="S1065" s="7">
        <f>IF($AA1065="","",R1065*Q1065)</f>
        <v/>
      </c>
      <c r="T1065">
        <f>IF($AA1065="","",Settings!$C$6)</f>
        <v/>
      </c>
      <c r="U1065" s="7">
        <f>IF($AA1065="","",SUMIFS('Per Line'!$Y$2:$Y$4001,'Per Line'!$E$2:$E$4001,$B1065,'Per Line'!$AP$2:$AP$4001,1,'Per Line'!$AQ$2:$AQ$4001,0))</f>
        <v/>
      </c>
      <c r="V1065" s="7">
        <f>IF($AA1065="","",U1065*T1065)</f>
        <v/>
      </c>
      <c r="W1065" s="7">
        <f>IF($AA1065="","",V1065+S1065)</f>
        <v/>
      </c>
      <c r="X1065" s="7">
        <f>IF($AA1065="","",Y1065-W1065)</f>
        <v/>
      </c>
      <c r="Y1065" s="7">
        <f>IF($AA1065="","",R1065+U1065+P1065)</f>
        <v/>
      </c>
      <c r="Z1065" s="7">
        <f>IF($AA1065="","",Y1065-W1065-L1065)</f>
        <v/>
      </c>
      <c r="AA1065" s="13">
        <f>IF(ROWS($AA$2:$AA1065)&lt;=MAX('Per Line'!$AO$2:$AO$4001),MATCH(ROWS($AA$2:$AA1065),'Per Line'!$AO$2:$AO$4001,0),"")</f>
        <v/>
      </c>
      <c r="AB1065" s="14">
        <f>IF($AA1065="","",L1065-K1065*Y1065/100)</f>
        <v/>
      </c>
    </row>
    <row r="1066">
      <c r="A1066" s="12" t="n"/>
      <c r="B1066">
        <f>IF($AA1066="","",INDEX('Per Line'!$E$2:$E$4001,$AA1066)&amp;"")</f>
        <v/>
      </c>
      <c r="C1066">
        <f>IF($AA1066="","",INDEX('Per Line'!$A$2:$A$4001,$AA1066)&amp;"")</f>
        <v/>
      </c>
      <c r="D1066">
        <f>IF($AA1066="","",INDEX('Per Line'!$D$2:$D$4001,$AA1066)&amp;"")</f>
        <v/>
      </c>
      <c r="E1066" s="11">
        <f>IF($AA1066="","",INDEX('Per Line'!$G$2:$G$4001,$AA1066))</f>
        <v/>
      </c>
      <c r="F1066">
        <f>IF($AA1066="","",INDEX('Per Line'!$H$2:$H$4001,$AA1066)&amp;"")</f>
        <v/>
      </c>
      <c r="G1066">
        <f>IF($AA1066="","",INDEX('Per Line'!$I$2:$I$4001,$AA1066)&amp;"")</f>
        <v/>
      </c>
      <c r="H1066">
        <f>IF($AA1066="","",INDEX('Per Line'!$J$2:$J$4001,$AA1066)&amp;"")</f>
        <v/>
      </c>
      <c r="I1066">
        <f>IF($AA1066="","",INDEX('Per Line'!$K$2:$K$4001,$AA1066)&amp;"")</f>
        <v/>
      </c>
      <c r="J1066">
        <f>IF($AA1066="","",INDEX('Per Line'!$L$2:$L$4001,$AA1066)&amp;"")</f>
        <v/>
      </c>
      <c r="K1066">
        <f>IF($AA1066="","",INDEX('Per Line'!$P$2:$P$4001,$AA1066))</f>
        <v/>
      </c>
      <c r="L1066" s="7">
        <f>IF($AA1066="","",IF(AND(ISNUMBER(N1066),N1066&gt;0,Y1066&gt;N1066),K1066*N1066/100+(Y1066-N1066),K1066*Y1066/100))</f>
        <v/>
      </c>
      <c r="M1066">
        <f>IF($AA1066="","",INDEX('Per Line'!$Z$2:$Z$4001,$AA1066)&amp;"")</f>
        <v/>
      </c>
      <c r="N1066">
        <f>IF($AA1066="","",INDEX('Per Line'!$AG$2:$AG$4001,$AA1066))</f>
        <v/>
      </c>
      <c r="O1066">
        <f>IF($AA1066="","",IF(AND(ISNUMBER(N1066),N1066&gt;0),Y1066&gt;N1066,FALSE))</f>
        <v/>
      </c>
      <c r="P1066" s="7">
        <f>IF($AA1066="","",SUMIFS('Per Line'!$Y$2:$Y$4001,'Per Line'!$E$2:$E$4001,$B1066,'Per Line'!$AQ$2:$AQ$4001,1))</f>
        <v/>
      </c>
      <c r="Q1066">
        <f>IF($AA1066="","",Settings!$C$7)</f>
        <v/>
      </c>
      <c r="R1066" s="7">
        <f>IF($AA1066="","",SUMIFS('Per Line'!$Y$2:$Y$4001,'Per Line'!$E$2:$E$4001,$B1066,'Per Line'!$AP$2:$AP$4001,0,'Per Line'!$AQ$2:$AQ$4001,0))</f>
        <v/>
      </c>
      <c r="S1066" s="7">
        <f>IF($AA1066="","",R1066*Q1066)</f>
        <v/>
      </c>
      <c r="T1066">
        <f>IF($AA1066="","",Settings!$C$6)</f>
        <v/>
      </c>
      <c r="U1066" s="7">
        <f>IF($AA1066="","",SUMIFS('Per Line'!$Y$2:$Y$4001,'Per Line'!$E$2:$E$4001,$B1066,'Per Line'!$AP$2:$AP$4001,1,'Per Line'!$AQ$2:$AQ$4001,0))</f>
        <v/>
      </c>
      <c r="V1066" s="7">
        <f>IF($AA1066="","",U1066*T1066)</f>
        <v/>
      </c>
      <c r="W1066" s="7">
        <f>IF($AA1066="","",V1066+S1066)</f>
        <v/>
      </c>
      <c r="X1066" s="7">
        <f>IF($AA1066="","",Y1066-W1066)</f>
        <v/>
      </c>
      <c r="Y1066" s="7">
        <f>IF($AA1066="","",R1066+U1066+P1066)</f>
        <v/>
      </c>
      <c r="Z1066" s="7">
        <f>IF($AA1066="","",Y1066-W1066-L1066)</f>
        <v/>
      </c>
      <c r="AA1066" s="13">
        <f>IF(ROWS($AA$2:$AA1066)&lt;=MAX('Per Line'!$AO$2:$AO$4001),MATCH(ROWS($AA$2:$AA1066),'Per Line'!$AO$2:$AO$4001,0),"")</f>
        <v/>
      </c>
      <c r="AB1066" s="14">
        <f>IF($AA1066="","",L1066-K1066*Y1066/100)</f>
        <v/>
      </c>
    </row>
    <row r="1067">
      <c r="A1067" s="12" t="n"/>
      <c r="B1067">
        <f>IF($AA1067="","",INDEX('Per Line'!$E$2:$E$4001,$AA1067)&amp;"")</f>
        <v/>
      </c>
      <c r="C1067">
        <f>IF($AA1067="","",INDEX('Per Line'!$A$2:$A$4001,$AA1067)&amp;"")</f>
        <v/>
      </c>
      <c r="D1067">
        <f>IF($AA1067="","",INDEX('Per Line'!$D$2:$D$4001,$AA1067)&amp;"")</f>
        <v/>
      </c>
      <c r="E1067" s="11">
        <f>IF($AA1067="","",INDEX('Per Line'!$G$2:$G$4001,$AA1067))</f>
        <v/>
      </c>
      <c r="F1067">
        <f>IF($AA1067="","",INDEX('Per Line'!$H$2:$H$4001,$AA1067)&amp;"")</f>
        <v/>
      </c>
      <c r="G1067">
        <f>IF($AA1067="","",INDEX('Per Line'!$I$2:$I$4001,$AA1067)&amp;"")</f>
        <v/>
      </c>
      <c r="H1067">
        <f>IF($AA1067="","",INDEX('Per Line'!$J$2:$J$4001,$AA1067)&amp;"")</f>
        <v/>
      </c>
      <c r="I1067">
        <f>IF($AA1067="","",INDEX('Per Line'!$K$2:$K$4001,$AA1067)&amp;"")</f>
        <v/>
      </c>
      <c r="J1067">
        <f>IF($AA1067="","",INDEX('Per Line'!$L$2:$L$4001,$AA1067)&amp;"")</f>
        <v/>
      </c>
      <c r="K1067">
        <f>IF($AA1067="","",INDEX('Per Line'!$P$2:$P$4001,$AA1067))</f>
        <v/>
      </c>
      <c r="L1067" s="7">
        <f>IF($AA1067="","",IF(AND(ISNUMBER(N1067),N1067&gt;0,Y1067&gt;N1067),K1067*N1067/100+(Y1067-N1067),K1067*Y1067/100))</f>
        <v/>
      </c>
      <c r="M1067">
        <f>IF($AA1067="","",INDEX('Per Line'!$Z$2:$Z$4001,$AA1067)&amp;"")</f>
        <v/>
      </c>
      <c r="N1067">
        <f>IF($AA1067="","",INDEX('Per Line'!$AG$2:$AG$4001,$AA1067))</f>
        <v/>
      </c>
      <c r="O1067">
        <f>IF($AA1067="","",IF(AND(ISNUMBER(N1067),N1067&gt;0),Y1067&gt;N1067,FALSE))</f>
        <v/>
      </c>
      <c r="P1067" s="7">
        <f>IF($AA1067="","",SUMIFS('Per Line'!$Y$2:$Y$4001,'Per Line'!$E$2:$E$4001,$B1067,'Per Line'!$AQ$2:$AQ$4001,1))</f>
        <v/>
      </c>
      <c r="Q1067">
        <f>IF($AA1067="","",Settings!$C$7)</f>
        <v/>
      </c>
      <c r="R1067" s="7">
        <f>IF($AA1067="","",SUMIFS('Per Line'!$Y$2:$Y$4001,'Per Line'!$E$2:$E$4001,$B1067,'Per Line'!$AP$2:$AP$4001,0,'Per Line'!$AQ$2:$AQ$4001,0))</f>
        <v/>
      </c>
      <c r="S1067" s="7">
        <f>IF($AA1067="","",R1067*Q1067)</f>
        <v/>
      </c>
      <c r="T1067">
        <f>IF($AA1067="","",Settings!$C$6)</f>
        <v/>
      </c>
      <c r="U1067" s="7">
        <f>IF($AA1067="","",SUMIFS('Per Line'!$Y$2:$Y$4001,'Per Line'!$E$2:$E$4001,$B1067,'Per Line'!$AP$2:$AP$4001,1,'Per Line'!$AQ$2:$AQ$4001,0))</f>
        <v/>
      </c>
      <c r="V1067" s="7">
        <f>IF($AA1067="","",U1067*T1067)</f>
        <v/>
      </c>
      <c r="W1067" s="7">
        <f>IF($AA1067="","",V1067+S1067)</f>
        <v/>
      </c>
      <c r="X1067" s="7">
        <f>IF($AA1067="","",Y1067-W1067)</f>
        <v/>
      </c>
      <c r="Y1067" s="7">
        <f>IF($AA1067="","",R1067+U1067+P1067)</f>
        <v/>
      </c>
      <c r="Z1067" s="7">
        <f>IF($AA1067="","",Y1067-W1067-L1067)</f>
        <v/>
      </c>
      <c r="AA1067" s="13">
        <f>IF(ROWS($AA$2:$AA1067)&lt;=MAX('Per Line'!$AO$2:$AO$4001),MATCH(ROWS($AA$2:$AA1067),'Per Line'!$AO$2:$AO$4001,0),"")</f>
        <v/>
      </c>
      <c r="AB1067" s="14">
        <f>IF($AA1067="","",L1067-K1067*Y1067/100)</f>
        <v/>
      </c>
    </row>
    <row r="1068">
      <c r="A1068" s="12" t="n"/>
      <c r="B1068">
        <f>IF($AA1068="","",INDEX('Per Line'!$E$2:$E$4001,$AA1068)&amp;"")</f>
        <v/>
      </c>
      <c r="C1068">
        <f>IF($AA1068="","",INDEX('Per Line'!$A$2:$A$4001,$AA1068)&amp;"")</f>
        <v/>
      </c>
      <c r="D1068">
        <f>IF($AA1068="","",INDEX('Per Line'!$D$2:$D$4001,$AA1068)&amp;"")</f>
        <v/>
      </c>
      <c r="E1068" s="11">
        <f>IF($AA1068="","",INDEX('Per Line'!$G$2:$G$4001,$AA1068))</f>
        <v/>
      </c>
      <c r="F1068">
        <f>IF($AA1068="","",INDEX('Per Line'!$H$2:$H$4001,$AA1068)&amp;"")</f>
        <v/>
      </c>
      <c r="G1068">
        <f>IF($AA1068="","",INDEX('Per Line'!$I$2:$I$4001,$AA1068)&amp;"")</f>
        <v/>
      </c>
      <c r="H1068">
        <f>IF($AA1068="","",INDEX('Per Line'!$J$2:$J$4001,$AA1068)&amp;"")</f>
        <v/>
      </c>
      <c r="I1068">
        <f>IF($AA1068="","",INDEX('Per Line'!$K$2:$K$4001,$AA1068)&amp;"")</f>
        <v/>
      </c>
      <c r="J1068">
        <f>IF($AA1068="","",INDEX('Per Line'!$L$2:$L$4001,$AA1068)&amp;"")</f>
        <v/>
      </c>
      <c r="K1068">
        <f>IF($AA1068="","",INDEX('Per Line'!$P$2:$P$4001,$AA1068))</f>
        <v/>
      </c>
      <c r="L1068" s="7">
        <f>IF($AA1068="","",IF(AND(ISNUMBER(N1068),N1068&gt;0,Y1068&gt;N1068),K1068*N1068/100+(Y1068-N1068),K1068*Y1068/100))</f>
        <v/>
      </c>
      <c r="M1068">
        <f>IF($AA1068="","",INDEX('Per Line'!$Z$2:$Z$4001,$AA1068)&amp;"")</f>
        <v/>
      </c>
      <c r="N1068">
        <f>IF($AA1068="","",INDEX('Per Line'!$AG$2:$AG$4001,$AA1068))</f>
        <v/>
      </c>
      <c r="O1068">
        <f>IF($AA1068="","",IF(AND(ISNUMBER(N1068),N1068&gt;0),Y1068&gt;N1068,FALSE))</f>
        <v/>
      </c>
      <c r="P1068" s="7">
        <f>IF($AA1068="","",SUMIFS('Per Line'!$Y$2:$Y$4001,'Per Line'!$E$2:$E$4001,$B1068,'Per Line'!$AQ$2:$AQ$4001,1))</f>
        <v/>
      </c>
      <c r="Q1068">
        <f>IF($AA1068="","",Settings!$C$7)</f>
        <v/>
      </c>
      <c r="R1068" s="7">
        <f>IF($AA1068="","",SUMIFS('Per Line'!$Y$2:$Y$4001,'Per Line'!$E$2:$E$4001,$B1068,'Per Line'!$AP$2:$AP$4001,0,'Per Line'!$AQ$2:$AQ$4001,0))</f>
        <v/>
      </c>
      <c r="S1068" s="7">
        <f>IF($AA1068="","",R1068*Q1068)</f>
        <v/>
      </c>
      <c r="T1068">
        <f>IF($AA1068="","",Settings!$C$6)</f>
        <v/>
      </c>
      <c r="U1068" s="7">
        <f>IF($AA1068="","",SUMIFS('Per Line'!$Y$2:$Y$4001,'Per Line'!$E$2:$E$4001,$B1068,'Per Line'!$AP$2:$AP$4001,1,'Per Line'!$AQ$2:$AQ$4001,0))</f>
        <v/>
      </c>
      <c r="V1068" s="7">
        <f>IF($AA1068="","",U1068*T1068)</f>
        <v/>
      </c>
      <c r="W1068" s="7">
        <f>IF($AA1068="","",V1068+S1068)</f>
        <v/>
      </c>
      <c r="X1068" s="7">
        <f>IF($AA1068="","",Y1068-W1068)</f>
        <v/>
      </c>
      <c r="Y1068" s="7">
        <f>IF($AA1068="","",R1068+U1068+P1068)</f>
        <v/>
      </c>
      <c r="Z1068" s="7">
        <f>IF($AA1068="","",Y1068-W1068-L1068)</f>
        <v/>
      </c>
      <c r="AA1068" s="13">
        <f>IF(ROWS($AA$2:$AA1068)&lt;=MAX('Per Line'!$AO$2:$AO$4001),MATCH(ROWS($AA$2:$AA1068),'Per Line'!$AO$2:$AO$4001,0),"")</f>
        <v/>
      </c>
      <c r="AB1068" s="14">
        <f>IF($AA1068="","",L1068-K1068*Y1068/100)</f>
        <v/>
      </c>
    </row>
    <row r="1069">
      <c r="A1069" s="12" t="n"/>
      <c r="B1069">
        <f>IF($AA1069="","",INDEX('Per Line'!$E$2:$E$4001,$AA1069)&amp;"")</f>
        <v/>
      </c>
      <c r="C1069">
        <f>IF($AA1069="","",INDEX('Per Line'!$A$2:$A$4001,$AA1069)&amp;"")</f>
        <v/>
      </c>
      <c r="D1069">
        <f>IF($AA1069="","",INDEX('Per Line'!$D$2:$D$4001,$AA1069)&amp;"")</f>
        <v/>
      </c>
      <c r="E1069" s="11">
        <f>IF($AA1069="","",INDEX('Per Line'!$G$2:$G$4001,$AA1069))</f>
        <v/>
      </c>
      <c r="F1069">
        <f>IF($AA1069="","",INDEX('Per Line'!$H$2:$H$4001,$AA1069)&amp;"")</f>
        <v/>
      </c>
      <c r="G1069">
        <f>IF($AA1069="","",INDEX('Per Line'!$I$2:$I$4001,$AA1069)&amp;"")</f>
        <v/>
      </c>
      <c r="H1069">
        <f>IF($AA1069="","",INDEX('Per Line'!$J$2:$J$4001,$AA1069)&amp;"")</f>
        <v/>
      </c>
      <c r="I1069">
        <f>IF($AA1069="","",INDEX('Per Line'!$K$2:$K$4001,$AA1069)&amp;"")</f>
        <v/>
      </c>
      <c r="J1069">
        <f>IF($AA1069="","",INDEX('Per Line'!$L$2:$L$4001,$AA1069)&amp;"")</f>
        <v/>
      </c>
      <c r="K1069">
        <f>IF($AA1069="","",INDEX('Per Line'!$P$2:$P$4001,$AA1069))</f>
        <v/>
      </c>
      <c r="L1069" s="7">
        <f>IF($AA1069="","",IF(AND(ISNUMBER(N1069),N1069&gt;0,Y1069&gt;N1069),K1069*N1069/100+(Y1069-N1069),K1069*Y1069/100))</f>
        <v/>
      </c>
      <c r="M1069">
        <f>IF($AA1069="","",INDEX('Per Line'!$Z$2:$Z$4001,$AA1069)&amp;"")</f>
        <v/>
      </c>
      <c r="N1069">
        <f>IF($AA1069="","",INDEX('Per Line'!$AG$2:$AG$4001,$AA1069))</f>
        <v/>
      </c>
      <c r="O1069">
        <f>IF($AA1069="","",IF(AND(ISNUMBER(N1069),N1069&gt;0),Y1069&gt;N1069,FALSE))</f>
        <v/>
      </c>
      <c r="P1069" s="7">
        <f>IF($AA1069="","",SUMIFS('Per Line'!$Y$2:$Y$4001,'Per Line'!$E$2:$E$4001,$B1069,'Per Line'!$AQ$2:$AQ$4001,1))</f>
        <v/>
      </c>
      <c r="Q1069">
        <f>IF($AA1069="","",Settings!$C$7)</f>
        <v/>
      </c>
      <c r="R1069" s="7">
        <f>IF($AA1069="","",SUMIFS('Per Line'!$Y$2:$Y$4001,'Per Line'!$E$2:$E$4001,$B1069,'Per Line'!$AP$2:$AP$4001,0,'Per Line'!$AQ$2:$AQ$4001,0))</f>
        <v/>
      </c>
      <c r="S1069" s="7">
        <f>IF($AA1069="","",R1069*Q1069)</f>
        <v/>
      </c>
      <c r="T1069">
        <f>IF($AA1069="","",Settings!$C$6)</f>
        <v/>
      </c>
      <c r="U1069" s="7">
        <f>IF($AA1069="","",SUMIFS('Per Line'!$Y$2:$Y$4001,'Per Line'!$E$2:$E$4001,$B1069,'Per Line'!$AP$2:$AP$4001,1,'Per Line'!$AQ$2:$AQ$4001,0))</f>
        <v/>
      </c>
      <c r="V1069" s="7">
        <f>IF($AA1069="","",U1069*T1069)</f>
        <v/>
      </c>
      <c r="W1069" s="7">
        <f>IF($AA1069="","",V1069+S1069)</f>
        <v/>
      </c>
      <c r="X1069" s="7">
        <f>IF($AA1069="","",Y1069-W1069)</f>
        <v/>
      </c>
      <c r="Y1069" s="7">
        <f>IF($AA1069="","",R1069+U1069+P1069)</f>
        <v/>
      </c>
      <c r="Z1069" s="7">
        <f>IF($AA1069="","",Y1069-W1069-L1069)</f>
        <v/>
      </c>
      <c r="AA1069" s="13">
        <f>IF(ROWS($AA$2:$AA1069)&lt;=MAX('Per Line'!$AO$2:$AO$4001),MATCH(ROWS($AA$2:$AA1069),'Per Line'!$AO$2:$AO$4001,0),"")</f>
        <v/>
      </c>
      <c r="AB1069" s="14">
        <f>IF($AA1069="","",L1069-K1069*Y1069/100)</f>
        <v/>
      </c>
    </row>
    <row r="1070">
      <c r="A1070" s="12" t="n"/>
      <c r="B1070">
        <f>IF($AA1070="","",INDEX('Per Line'!$E$2:$E$4001,$AA1070)&amp;"")</f>
        <v/>
      </c>
      <c r="C1070">
        <f>IF($AA1070="","",INDEX('Per Line'!$A$2:$A$4001,$AA1070)&amp;"")</f>
        <v/>
      </c>
      <c r="D1070">
        <f>IF($AA1070="","",INDEX('Per Line'!$D$2:$D$4001,$AA1070)&amp;"")</f>
        <v/>
      </c>
      <c r="E1070" s="11">
        <f>IF($AA1070="","",INDEX('Per Line'!$G$2:$G$4001,$AA1070))</f>
        <v/>
      </c>
      <c r="F1070">
        <f>IF($AA1070="","",INDEX('Per Line'!$H$2:$H$4001,$AA1070)&amp;"")</f>
        <v/>
      </c>
      <c r="G1070">
        <f>IF($AA1070="","",INDEX('Per Line'!$I$2:$I$4001,$AA1070)&amp;"")</f>
        <v/>
      </c>
      <c r="H1070">
        <f>IF($AA1070="","",INDEX('Per Line'!$J$2:$J$4001,$AA1070)&amp;"")</f>
        <v/>
      </c>
      <c r="I1070">
        <f>IF($AA1070="","",INDEX('Per Line'!$K$2:$K$4001,$AA1070)&amp;"")</f>
        <v/>
      </c>
      <c r="J1070">
        <f>IF($AA1070="","",INDEX('Per Line'!$L$2:$L$4001,$AA1070)&amp;"")</f>
        <v/>
      </c>
      <c r="K1070">
        <f>IF($AA1070="","",INDEX('Per Line'!$P$2:$P$4001,$AA1070))</f>
        <v/>
      </c>
      <c r="L1070" s="7">
        <f>IF($AA1070="","",IF(AND(ISNUMBER(N1070),N1070&gt;0,Y1070&gt;N1070),K1070*N1070/100+(Y1070-N1070),K1070*Y1070/100))</f>
        <v/>
      </c>
      <c r="M1070">
        <f>IF($AA1070="","",INDEX('Per Line'!$Z$2:$Z$4001,$AA1070)&amp;"")</f>
        <v/>
      </c>
      <c r="N1070">
        <f>IF($AA1070="","",INDEX('Per Line'!$AG$2:$AG$4001,$AA1070))</f>
        <v/>
      </c>
      <c r="O1070">
        <f>IF($AA1070="","",IF(AND(ISNUMBER(N1070),N1070&gt;0),Y1070&gt;N1070,FALSE))</f>
        <v/>
      </c>
      <c r="P1070" s="7">
        <f>IF($AA1070="","",SUMIFS('Per Line'!$Y$2:$Y$4001,'Per Line'!$E$2:$E$4001,$B1070,'Per Line'!$AQ$2:$AQ$4001,1))</f>
        <v/>
      </c>
      <c r="Q1070">
        <f>IF($AA1070="","",Settings!$C$7)</f>
        <v/>
      </c>
      <c r="R1070" s="7">
        <f>IF($AA1070="","",SUMIFS('Per Line'!$Y$2:$Y$4001,'Per Line'!$E$2:$E$4001,$B1070,'Per Line'!$AP$2:$AP$4001,0,'Per Line'!$AQ$2:$AQ$4001,0))</f>
        <v/>
      </c>
      <c r="S1070" s="7">
        <f>IF($AA1070="","",R1070*Q1070)</f>
        <v/>
      </c>
      <c r="T1070">
        <f>IF($AA1070="","",Settings!$C$6)</f>
        <v/>
      </c>
      <c r="U1070" s="7">
        <f>IF($AA1070="","",SUMIFS('Per Line'!$Y$2:$Y$4001,'Per Line'!$E$2:$E$4001,$B1070,'Per Line'!$AP$2:$AP$4001,1,'Per Line'!$AQ$2:$AQ$4001,0))</f>
        <v/>
      </c>
      <c r="V1070" s="7">
        <f>IF($AA1070="","",U1070*T1070)</f>
        <v/>
      </c>
      <c r="W1070" s="7">
        <f>IF($AA1070="","",V1070+S1070)</f>
        <v/>
      </c>
      <c r="X1070" s="7">
        <f>IF($AA1070="","",Y1070-W1070)</f>
        <v/>
      </c>
      <c r="Y1070" s="7">
        <f>IF($AA1070="","",R1070+U1070+P1070)</f>
        <v/>
      </c>
      <c r="Z1070" s="7">
        <f>IF($AA1070="","",Y1070-W1070-L1070)</f>
        <v/>
      </c>
      <c r="AA1070" s="13">
        <f>IF(ROWS($AA$2:$AA1070)&lt;=MAX('Per Line'!$AO$2:$AO$4001),MATCH(ROWS($AA$2:$AA1070),'Per Line'!$AO$2:$AO$4001,0),"")</f>
        <v/>
      </c>
      <c r="AB1070" s="14">
        <f>IF($AA1070="","",L1070-K1070*Y1070/100)</f>
        <v/>
      </c>
    </row>
    <row r="1071">
      <c r="A1071" s="12" t="n"/>
      <c r="B1071">
        <f>IF($AA1071="","",INDEX('Per Line'!$E$2:$E$4001,$AA1071)&amp;"")</f>
        <v/>
      </c>
      <c r="C1071">
        <f>IF($AA1071="","",INDEX('Per Line'!$A$2:$A$4001,$AA1071)&amp;"")</f>
        <v/>
      </c>
      <c r="D1071">
        <f>IF($AA1071="","",INDEX('Per Line'!$D$2:$D$4001,$AA1071)&amp;"")</f>
        <v/>
      </c>
      <c r="E1071" s="11">
        <f>IF($AA1071="","",INDEX('Per Line'!$G$2:$G$4001,$AA1071))</f>
        <v/>
      </c>
      <c r="F1071">
        <f>IF($AA1071="","",INDEX('Per Line'!$H$2:$H$4001,$AA1071)&amp;"")</f>
        <v/>
      </c>
      <c r="G1071">
        <f>IF($AA1071="","",INDEX('Per Line'!$I$2:$I$4001,$AA1071)&amp;"")</f>
        <v/>
      </c>
      <c r="H1071">
        <f>IF($AA1071="","",INDEX('Per Line'!$J$2:$J$4001,$AA1071)&amp;"")</f>
        <v/>
      </c>
      <c r="I1071">
        <f>IF($AA1071="","",INDEX('Per Line'!$K$2:$K$4001,$AA1071)&amp;"")</f>
        <v/>
      </c>
      <c r="J1071">
        <f>IF($AA1071="","",INDEX('Per Line'!$L$2:$L$4001,$AA1071)&amp;"")</f>
        <v/>
      </c>
      <c r="K1071">
        <f>IF($AA1071="","",INDEX('Per Line'!$P$2:$P$4001,$AA1071))</f>
        <v/>
      </c>
      <c r="L1071" s="7">
        <f>IF($AA1071="","",IF(AND(ISNUMBER(N1071),N1071&gt;0,Y1071&gt;N1071),K1071*N1071/100+(Y1071-N1071),K1071*Y1071/100))</f>
        <v/>
      </c>
      <c r="M1071">
        <f>IF($AA1071="","",INDEX('Per Line'!$Z$2:$Z$4001,$AA1071)&amp;"")</f>
        <v/>
      </c>
      <c r="N1071">
        <f>IF($AA1071="","",INDEX('Per Line'!$AG$2:$AG$4001,$AA1071))</f>
        <v/>
      </c>
      <c r="O1071">
        <f>IF($AA1071="","",IF(AND(ISNUMBER(N1071),N1071&gt;0),Y1071&gt;N1071,FALSE))</f>
        <v/>
      </c>
      <c r="P1071" s="7">
        <f>IF($AA1071="","",SUMIFS('Per Line'!$Y$2:$Y$4001,'Per Line'!$E$2:$E$4001,$B1071,'Per Line'!$AQ$2:$AQ$4001,1))</f>
        <v/>
      </c>
      <c r="Q1071">
        <f>IF($AA1071="","",Settings!$C$7)</f>
        <v/>
      </c>
      <c r="R1071" s="7">
        <f>IF($AA1071="","",SUMIFS('Per Line'!$Y$2:$Y$4001,'Per Line'!$E$2:$E$4001,$B1071,'Per Line'!$AP$2:$AP$4001,0,'Per Line'!$AQ$2:$AQ$4001,0))</f>
        <v/>
      </c>
      <c r="S1071" s="7">
        <f>IF($AA1071="","",R1071*Q1071)</f>
        <v/>
      </c>
      <c r="T1071">
        <f>IF($AA1071="","",Settings!$C$6)</f>
        <v/>
      </c>
      <c r="U1071" s="7">
        <f>IF($AA1071="","",SUMIFS('Per Line'!$Y$2:$Y$4001,'Per Line'!$E$2:$E$4001,$B1071,'Per Line'!$AP$2:$AP$4001,1,'Per Line'!$AQ$2:$AQ$4001,0))</f>
        <v/>
      </c>
      <c r="V1071" s="7">
        <f>IF($AA1071="","",U1071*T1071)</f>
        <v/>
      </c>
      <c r="W1071" s="7">
        <f>IF($AA1071="","",V1071+S1071)</f>
        <v/>
      </c>
      <c r="X1071" s="7">
        <f>IF($AA1071="","",Y1071-W1071)</f>
        <v/>
      </c>
      <c r="Y1071" s="7">
        <f>IF($AA1071="","",R1071+U1071+P1071)</f>
        <v/>
      </c>
      <c r="Z1071" s="7">
        <f>IF($AA1071="","",Y1071-W1071-L1071)</f>
        <v/>
      </c>
      <c r="AA1071" s="13">
        <f>IF(ROWS($AA$2:$AA1071)&lt;=MAX('Per Line'!$AO$2:$AO$4001),MATCH(ROWS($AA$2:$AA1071),'Per Line'!$AO$2:$AO$4001,0),"")</f>
        <v/>
      </c>
      <c r="AB1071" s="14">
        <f>IF($AA1071="","",L1071-K1071*Y1071/100)</f>
        <v/>
      </c>
    </row>
    <row r="1072">
      <c r="A1072" s="12" t="n"/>
      <c r="B1072">
        <f>IF($AA1072="","",INDEX('Per Line'!$E$2:$E$4001,$AA1072)&amp;"")</f>
        <v/>
      </c>
      <c r="C1072">
        <f>IF($AA1072="","",INDEX('Per Line'!$A$2:$A$4001,$AA1072)&amp;"")</f>
        <v/>
      </c>
      <c r="D1072">
        <f>IF($AA1072="","",INDEX('Per Line'!$D$2:$D$4001,$AA1072)&amp;"")</f>
        <v/>
      </c>
      <c r="E1072" s="11">
        <f>IF($AA1072="","",INDEX('Per Line'!$G$2:$G$4001,$AA1072))</f>
        <v/>
      </c>
      <c r="F1072">
        <f>IF($AA1072="","",INDEX('Per Line'!$H$2:$H$4001,$AA1072)&amp;"")</f>
        <v/>
      </c>
      <c r="G1072">
        <f>IF($AA1072="","",INDEX('Per Line'!$I$2:$I$4001,$AA1072)&amp;"")</f>
        <v/>
      </c>
      <c r="H1072">
        <f>IF($AA1072="","",INDEX('Per Line'!$J$2:$J$4001,$AA1072)&amp;"")</f>
        <v/>
      </c>
      <c r="I1072">
        <f>IF($AA1072="","",INDEX('Per Line'!$K$2:$K$4001,$AA1072)&amp;"")</f>
        <v/>
      </c>
      <c r="J1072">
        <f>IF($AA1072="","",INDEX('Per Line'!$L$2:$L$4001,$AA1072)&amp;"")</f>
        <v/>
      </c>
      <c r="K1072">
        <f>IF($AA1072="","",INDEX('Per Line'!$P$2:$P$4001,$AA1072))</f>
        <v/>
      </c>
      <c r="L1072" s="7">
        <f>IF($AA1072="","",IF(AND(ISNUMBER(N1072),N1072&gt;0,Y1072&gt;N1072),K1072*N1072/100+(Y1072-N1072),K1072*Y1072/100))</f>
        <v/>
      </c>
      <c r="M1072">
        <f>IF($AA1072="","",INDEX('Per Line'!$Z$2:$Z$4001,$AA1072)&amp;"")</f>
        <v/>
      </c>
      <c r="N1072">
        <f>IF($AA1072="","",INDEX('Per Line'!$AG$2:$AG$4001,$AA1072))</f>
        <v/>
      </c>
      <c r="O1072">
        <f>IF($AA1072="","",IF(AND(ISNUMBER(N1072),N1072&gt;0),Y1072&gt;N1072,FALSE))</f>
        <v/>
      </c>
      <c r="P1072" s="7">
        <f>IF($AA1072="","",SUMIFS('Per Line'!$Y$2:$Y$4001,'Per Line'!$E$2:$E$4001,$B1072,'Per Line'!$AQ$2:$AQ$4001,1))</f>
        <v/>
      </c>
      <c r="Q1072">
        <f>IF($AA1072="","",Settings!$C$7)</f>
        <v/>
      </c>
      <c r="R1072" s="7">
        <f>IF($AA1072="","",SUMIFS('Per Line'!$Y$2:$Y$4001,'Per Line'!$E$2:$E$4001,$B1072,'Per Line'!$AP$2:$AP$4001,0,'Per Line'!$AQ$2:$AQ$4001,0))</f>
        <v/>
      </c>
      <c r="S1072" s="7">
        <f>IF($AA1072="","",R1072*Q1072)</f>
        <v/>
      </c>
      <c r="T1072">
        <f>IF($AA1072="","",Settings!$C$6)</f>
        <v/>
      </c>
      <c r="U1072" s="7">
        <f>IF($AA1072="","",SUMIFS('Per Line'!$Y$2:$Y$4001,'Per Line'!$E$2:$E$4001,$B1072,'Per Line'!$AP$2:$AP$4001,1,'Per Line'!$AQ$2:$AQ$4001,0))</f>
        <v/>
      </c>
      <c r="V1072" s="7">
        <f>IF($AA1072="","",U1072*T1072)</f>
        <v/>
      </c>
      <c r="W1072" s="7">
        <f>IF($AA1072="","",V1072+S1072)</f>
        <v/>
      </c>
      <c r="X1072" s="7">
        <f>IF($AA1072="","",Y1072-W1072)</f>
        <v/>
      </c>
      <c r="Y1072" s="7">
        <f>IF($AA1072="","",R1072+U1072+P1072)</f>
        <v/>
      </c>
      <c r="Z1072" s="7">
        <f>IF($AA1072="","",Y1072-W1072-L1072)</f>
        <v/>
      </c>
      <c r="AA1072" s="13">
        <f>IF(ROWS($AA$2:$AA1072)&lt;=MAX('Per Line'!$AO$2:$AO$4001),MATCH(ROWS($AA$2:$AA1072),'Per Line'!$AO$2:$AO$4001,0),"")</f>
        <v/>
      </c>
      <c r="AB1072" s="14">
        <f>IF($AA1072="","",L1072-K1072*Y1072/100)</f>
        <v/>
      </c>
    </row>
    <row r="1073">
      <c r="A1073" s="12" t="n"/>
      <c r="B1073">
        <f>IF($AA1073="","",INDEX('Per Line'!$E$2:$E$4001,$AA1073)&amp;"")</f>
        <v/>
      </c>
      <c r="C1073">
        <f>IF($AA1073="","",INDEX('Per Line'!$A$2:$A$4001,$AA1073)&amp;"")</f>
        <v/>
      </c>
      <c r="D1073">
        <f>IF($AA1073="","",INDEX('Per Line'!$D$2:$D$4001,$AA1073)&amp;"")</f>
        <v/>
      </c>
      <c r="E1073" s="11">
        <f>IF($AA1073="","",INDEX('Per Line'!$G$2:$G$4001,$AA1073))</f>
        <v/>
      </c>
      <c r="F1073">
        <f>IF($AA1073="","",INDEX('Per Line'!$H$2:$H$4001,$AA1073)&amp;"")</f>
        <v/>
      </c>
      <c r="G1073">
        <f>IF($AA1073="","",INDEX('Per Line'!$I$2:$I$4001,$AA1073)&amp;"")</f>
        <v/>
      </c>
      <c r="H1073">
        <f>IF($AA1073="","",INDEX('Per Line'!$J$2:$J$4001,$AA1073)&amp;"")</f>
        <v/>
      </c>
      <c r="I1073">
        <f>IF($AA1073="","",INDEX('Per Line'!$K$2:$K$4001,$AA1073)&amp;"")</f>
        <v/>
      </c>
      <c r="J1073">
        <f>IF($AA1073="","",INDEX('Per Line'!$L$2:$L$4001,$AA1073)&amp;"")</f>
        <v/>
      </c>
      <c r="K1073">
        <f>IF($AA1073="","",INDEX('Per Line'!$P$2:$P$4001,$AA1073))</f>
        <v/>
      </c>
      <c r="L1073" s="7">
        <f>IF($AA1073="","",IF(AND(ISNUMBER(N1073),N1073&gt;0,Y1073&gt;N1073),K1073*N1073/100+(Y1073-N1073),K1073*Y1073/100))</f>
        <v/>
      </c>
      <c r="M1073">
        <f>IF($AA1073="","",INDEX('Per Line'!$Z$2:$Z$4001,$AA1073)&amp;"")</f>
        <v/>
      </c>
      <c r="N1073">
        <f>IF($AA1073="","",INDEX('Per Line'!$AG$2:$AG$4001,$AA1073))</f>
        <v/>
      </c>
      <c r="O1073">
        <f>IF($AA1073="","",IF(AND(ISNUMBER(N1073),N1073&gt;0),Y1073&gt;N1073,FALSE))</f>
        <v/>
      </c>
      <c r="P1073" s="7">
        <f>IF($AA1073="","",SUMIFS('Per Line'!$Y$2:$Y$4001,'Per Line'!$E$2:$E$4001,$B1073,'Per Line'!$AQ$2:$AQ$4001,1))</f>
        <v/>
      </c>
      <c r="Q1073">
        <f>IF($AA1073="","",Settings!$C$7)</f>
        <v/>
      </c>
      <c r="R1073" s="7">
        <f>IF($AA1073="","",SUMIFS('Per Line'!$Y$2:$Y$4001,'Per Line'!$E$2:$E$4001,$B1073,'Per Line'!$AP$2:$AP$4001,0,'Per Line'!$AQ$2:$AQ$4001,0))</f>
        <v/>
      </c>
      <c r="S1073" s="7">
        <f>IF($AA1073="","",R1073*Q1073)</f>
        <v/>
      </c>
      <c r="T1073">
        <f>IF($AA1073="","",Settings!$C$6)</f>
        <v/>
      </c>
      <c r="U1073" s="7">
        <f>IF($AA1073="","",SUMIFS('Per Line'!$Y$2:$Y$4001,'Per Line'!$E$2:$E$4001,$B1073,'Per Line'!$AP$2:$AP$4001,1,'Per Line'!$AQ$2:$AQ$4001,0))</f>
        <v/>
      </c>
      <c r="V1073" s="7">
        <f>IF($AA1073="","",U1073*T1073)</f>
        <v/>
      </c>
      <c r="W1073" s="7">
        <f>IF($AA1073="","",V1073+S1073)</f>
        <v/>
      </c>
      <c r="X1073" s="7">
        <f>IF($AA1073="","",Y1073-W1073)</f>
        <v/>
      </c>
      <c r="Y1073" s="7">
        <f>IF($AA1073="","",R1073+U1073+P1073)</f>
        <v/>
      </c>
      <c r="Z1073" s="7">
        <f>IF($AA1073="","",Y1073-W1073-L1073)</f>
        <v/>
      </c>
      <c r="AA1073" s="13">
        <f>IF(ROWS($AA$2:$AA1073)&lt;=MAX('Per Line'!$AO$2:$AO$4001),MATCH(ROWS($AA$2:$AA1073),'Per Line'!$AO$2:$AO$4001,0),"")</f>
        <v/>
      </c>
      <c r="AB1073" s="14">
        <f>IF($AA1073="","",L1073-K1073*Y1073/100)</f>
        <v/>
      </c>
    </row>
    <row r="1074">
      <c r="A1074" s="12" t="n"/>
      <c r="B1074">
        <f>IF($AA1074="","",INDEX('Per Line'!$E$2:$E$4001,$AA1074)&amp;"")</f>
        <v/>
      </c>
      <c r="C1074">
        <f>IF($AA1074="","",INDEX('Per Line'!$A$2:$A$4001,$AA1074)&amp;"")</f>
        <v/>
      </c>
      <c r="D1074">
        <f>IF($AA1074="","",INDEX('Per Line'!$D$2:$D$4001,$AA1074)&amp;"")</f>
        <v/>
      </c>
      <c r="E1074" s="11">
        <f>IF($AA1074="","",INDEX('Per Line'!$G$2:$G$4001,$AA1074))</f>
        <v/>
      </c>
      <c r="F1074">
        <f>IF($AA1074="","",INDEX('Per Line'!$H$2:$H$4001,$AA1074)&amp;"")</f>
        <v/>
      </c>
      <c r="G1074">
        <f>IF($AA1074="","",INDEX('Per Line'!$I$2:$I$4001,$AA1074)&amp;"")</f>
        <v/>
      </c>
      <c r="H1074">
        <f>IF($AA1074="","",INDEX('Per Line'!$J$2:$J$4001,$AA1074)&amp;"")</f>
        <v/>
      </c>
      <c r="I1074">
        <f>IF($AA1074="","",INDEX('Per Line'!$K$2:$K$4001,$AA1074)&amp;"")</f>
        <v/>
      </c>
      <c r="J1074">
        <f>IF($AA1074="","",INDEX('Per Line'!$L$2:$L$4001,$AA1074)&amp;"")</f>
        <v/>
      </c>
      <c r="K1074">
        <f>IF($AA1074="","",INDEX('Per Line'!$P$2:$P$4001,$AA1074))</f>
        <v/>
      </c>
      <c r="L1074" s="7">
        <f>IF($AA1074="","",IF(AND(ISNUMBER(N1074),N1074&gt;0,Y1074&gt;N1074),K1074*N1074/100+(Y1074-N1074),K1074*Y1074/100))</f>
        <v/>
      </c>
      <c r="M1074">
        <f>IF($AA1074="","",INDEX('Per Line'!$Z$2:$Z$4001,$AA1074)&amp;"")</f>
        <v/>
      </c>
      <c r="N1074">
        <f>IF($AA1074="","",INDEX('Per Line'!$AG$2:$AG$4001,$AA1074))</f>
        <v/>
      </c>
      <c r="O1074">
        <f>IF($AA1074="","",IF(AND(ISNUMBER(N1074),N1074&gt;0),Y1074&gt;N1074,FALSE))</f>
        <v/>
      </c>
      <c r="P1074" s="7">
        <f>IF($AA1074="","",SUMIFS('Per Line'!$Y$2:$Y$4001,'Per Line'!$E$2:$E$4001,$B1074,'Per Line'!$AQ$2:$AQ$4001,1))</f>
        <v/>
      </c>
      <c r="Q1074">
        <f>IF($AA1074="","",Settings!$C$7)</f>
        <v/>
      </c>
      <c r="R1074" s="7">
        <f>IF($AA1074="","",SUMIFS('Per Line'!$Y$2:$Y$4001,'Per Line'!$E$2:$E$4001,$B1074,'Per Line'!$AP$2:$AP$4001,0,'Per Line'!$AQ$2:$AQ$4001,0))</f>
        <v/>
      </c>
      <c r="S1074" s="7">
        <f>IF($AA1074="","",R1074*Q1074)</f>
        <v/>
      </c>
      <c r="T1074">
        <f>IF($AA1074="","",Settings!$C$6)</f>
        <v/>
      </c>
      <c r="U1074" s="7">
        <f>IF($AA1074="","",SUMIFS('Per Line'!$Y$2:$Y$4001,'Per Line'!$E$2:$E$4001,$B1074,'Per Line'!$AP$2:$AP$4001,1,'Per Line'!$AQ$2:$AQ$4001,0))</f>
        <v/>
      </c>
      <c r="V1074" s="7">
        <f>IF($AA1074="","",U1074*T1074)</f>
        <v/>
      </c>
      <c r="W1074" s="7">
        <f>IF($AA1074="","",V1074+S1074)</f>
        <v/>
      </c>
      <c r="X1074" s="7">
        <f>IF($AA1074="","",Y1074-W1074)</f>
        <v/>
      </c>
      <c r="Y1074" s="7">
        <f>IF($AA1074="","",R1074+U1074+P1074)</f>
        <v/>
      </c>
      <c r="Z1074" s="7">
        <f>IF($AA1074="","",Y1074-W1074-L1074)</f>
        <v/>
      </c>
      <c r="AA1074" s="13">
        <f>IF(ROWS($AA$2:$AA1074)&lt;=MAX('Per Line'!$AO$2:$AO$4001),MATCH(ROWS($AA$2:$AA1074),'Per Line'!$AO$2:$AO$4001,0),"")</f>
        <v/>
      </c>
      <c r="AB1074" s="14">
        <f>IF($AA1074="","",L1074-K1074*Y1074/100)</f>
        <v/>
      </c>
    </row>
    <row r="1075">
      <c r="A1075" s="12" t="n"/>
      <c r="B1075">
        <f>IF($AA1075="","",INDEX('Per Line'!$E$2:$E$4001,$AA1075)&amp;"")</f>
        <v/>
      </c>
      <c r="C1075">
        <f>IF($AA1075="","",INDEX('Per Line'!$A$2:$A$4001,$AA1075)&amp;"")</f>
        <v/>
      </c>
      <c r="D1075">
        <f>IF($AA1075="","",INDEX('Per Line'!$D$2:$D$4001,$AA1075)&amp;"")</f>
        <v/>
      </c>
      <c r="E1075" s="11">
        <f>IF($AA1075="","",INDEX('Per Line'!$G$2:$G$4001,$AA1075))</f>
        <v/>
      </c>
      <c r="F1075">
        <f>IF($AA1075="","",INDEX('Per Line'!$H$2:$H$4001,$AA1075)&amp;"")</f>
        <v/>
      </c>
      <c r="G1075">
        <f>IF($AA1075="","",INDEX('Per Line'!$I$2:$I$4001,$AA1075)&amp;"")</f>
        <v/>
      </c>
      <c r="H1075">
        <f>IF($AA1075="","",INDEX('Per Line'!$J$2:$J$4001,$AA1075)&amp;"")</f>
        <v/>
      </c>
      <c r="I1075">
        <f>IF($AA1075="","",INDEX('Per Line'!$K$2:$K$4001,$AA1075)&amp;"")</f>
        <v/>
      </c>
      <c r="J1075">
        <f>IF($AA1075="","",INDEX('Per Line'!$L$2:$L$4001,$AA1075)&amp;"")</f>
        <v/>
      </c>
      <c r="K1075">
        <f>IF($AA1075="","",INDEX('Per Line'!$P$2:$P$4001,$AA1075))</f>
        <v/>
      </c>
      <c r="L1075" s="7">
        <f>IF($AA1075="","",IF(AND(ISNUMBER(N1075),N1075&gt;0,Y1075&gt;N1075),K1075*N1075/100+(Y1075-N1075),K1075*Y1075/100))</f>
        <v/>
      </c>
      <c r="M1075">
        <f>IF($AA1075="","",INDEX('Per Line'!$Z$2:$Z$4001,$AA1075)&amp;"")</f>
        <v/>
      </c>
      <c r="N1075">
        <f>IF($AA1075="","",INDEX('Per Line'!$AG$2:$AG$4001,$AA1075))</f>
        <v/>
      </c>
      <c r="O1075">
        <f>IF($AA1075="","",IF(AND(ISNUMBER(N1075),N1075&gt;0),Y1075&gt;N1075,FALSE))</f>
        <v/>
      </c>
      <c r="P1075" s="7">
        <f>IF($AA1075="","",SUMIFS('Per Line'!$Y$2:$Y$4001,'Per Line'!$E$2:$E$4001,$B1075,'Per Line'!$AQ$2:$AQ$4001,1))</f>
        <v/>
      </c>
      <c r="Q1075">
        <f>IF($AA1075="","",Settings!$C$7)</f>
        <v/>
      </c>
      <c r="R1075" s="7">
        <f>IF($AA1075="","",SUMIFS('Per Line'!$Y$2:$Y$4001,'Per Line'!$E$2:$E$4001,$B1075,'Per Line'!$AP$2:$AP$4001,0,'Per Line'!$AQ$2:$AQ$4001,0))</f>
        <v/>
      </c>
      <c r="S1075" s="7">
        <f>IF($AA1075="","",R1075*Q1075)</f>
        <v/>
      </c>
      <c r="T1075">
        <f>IF($AA1075="","",Settings!$C$6)</f>
        <v/>
      </c>
      <c r="U1075" s="7">
        <f>IF($AA1075="","",SUMIFS('Per Line'!$Y$2:$Y$4001,'Per Line'!$E$2:$E$4001,$B1075,'Per Line'!$AP$2:$AP$4001,1,'Per Line'!$AQ$2:$AQ$4001,0))</f>
        <v/>
      </c>
      <c r="V1075" s="7">
        <f>IF($AA1075="","",U1075*T1075)</f>
        <v/>
      </c>
      <c r="W1075" s="7">
        <f>IF($AA1075="","",V1075+S1075)</f>
        <v/>
      </c>
      <c r="X1075" s="7">
        <f>IF($AA1075="","",Y1075-W1075)</f>
        <v/>
      </c>
      <c r="Y1075" s="7">
        <f>IF($AA1075="","",R1075+U1075+P1075)</f>
        <v/>
      </c>
      <c r="Z1075" s="7">
        <f>IF($AA1075="","",Y1075-W1075-L1075)</f>
        <v/>
      </c>
      <c r="AA1075" s="13">
        <f>IF(ROWS($AA$2:$AA1075)&lt;=MAX('Per Line'!$AO$2:$AO$4001),MATCH(ROWS($AA$2:$AA1075),'Per Line'!$AO$2:$AO$4001,0),"")</f>
        <v/>
      </c>
      <c r="AB1075" s="14">
        <f>IF($AA1075="","",L1075-K1075*Y1075/100)</f>
        <v/>
      </c>
    </row>
    <row r="1076">
      <c r="A1076" s="12" t="n"/>
      <c r="B1076">
        <f>IF($AA1076="","",INDEX('Per Line'!$E$2:$E$4001,$AA1076)&amp;"")</f>
        <v/>
      </c>
      <c r="C1076">
        <f>IF($AA1076="","",INDEX('Per Line'!$A$2:$A$4001,$AA1076)&amp;"")</f>
        <v/>
      </c>
      <c r="D1076">
        <f>IF($AA1076="","",INDEX('Per Line'!$D$2:$D$4001,$AA1076)&amp;"")</f>
        <v/>
      </c>
      <c r="E1076" s="11">
        <f>IF($AA1076="","",INDEX('Per Line'!$G$2:$G$4001,$AA1076))</f>
        <v/>
      </c>
      <c r="F1076">
        <f>IF($AA1076="","",INDEX('Per Line'!$H$2:$H$4001,$AA1076)&amp;"")</f>
        <v/>
      </c>
      <c r="G1076">
        <f>IF($AA1076="","",INDEX('Per Line'!$I$2:$I$4001,$AA1076)&amp;"")</f>
        <v/>
      </c>
      <c r="H1076">
        <f>IF($AA1076="","",INDEX('Per Line'!$J$2:$J$4001,$AA1076)&amp;"")</f>
        <v/>
      </c>
      <c r="I1076">
        <f>IF($AA1076="","",INDEX('Per Line'!$K$2:$K$4001,$AA1076)&amp;"")</f>
        <v/>
      </c>
      <c r="J1076">
        <f>IF($AA1076="","",INDEX('Per Line'!$L$2:$L$4001,$AA1076)&amp;"")</f>
        <v/>
      </c>
      <c r="K1076">
        <f>IF($AA1076="","",INDEX('Per Line'!$P$2:$P$4001,$AA1076))</f>
        <v/>
      </c>
      <c r="L1076" s="7">
        <f>IF($AA1076="","",IF(AND(ISNUMBER(N1076),N1076&gt;0,Y1076&gt;N1076),K1076*N1076/100+(Y1076-N1076),K1076*Y1076/100))</f>
        <v/>
      </c>
      <c r="M1076">
        <f>IF($AA1076="","",INDEX('Per Line'!$Z$2:$Z$4001,$AA1076)&amp;"")</f>
        <v/>
      </c>
      <c r="N1076">
        <f>IF($AA1076="","",INDEX('Per Line'!$AG$2:$AG$4001,$AA1076))</f>
        <v/>
      </c>
      <c r="O1076">
        <f>IF($AA1076="","",IF(AND(ISNUMBER(N1076),N1076&gt;0),Y1076&gt;N1076,FALSE))</f>
        <v/>
      </c>
      <c r="P1076" s="7">
        <f>IF($AA1076="","",SUMIFS('Per Line'!$Y$2:$Y$4001,'Per Line'!$E$2:$E$4001,$B1076,'Per Line'!$AQ$2:$AQ$4001,1))</f>
        <v/>
      </c>
      <c r="Q1076">
        <f>IF($AA1076="","",Settings!$C$7)</f>
        <v/>
      </c>
      <c r="R1076" s="7">
        <f>IF($AA1076="","",SUMIFS('Per Line'!$Y$2:$Y$4001,'Per Line'!$E$2:$E$4001,$B1076,'Per Line'!$AP$2:$AP$4001,0,'Per Line'!$AQ$2:$AQ$4001,0))</f>
        <v/>
      </c>
      <c r="S1076" s="7">
        <f>IF($AA1076="","",R1076*Q1076)</f>
        <v/>
      </c>
      <c r="T1076">
        <f>IF($AA1076="","",Settings!$C$6)</f>
        <v/>
      </c>
      <c r="U1076" s="7">
        <f>IF($AA1076="","",SUMIFS('Per Line'!$Y$2:$Y$4001,'Per Line'!$E$2:$E$4001,$B1076,'Per Line'!$AP$2:$AP$4001,1,'Per Line'!$AQ$2:$AQ$4001,0))</f>
        <v/>
      </c>
      <c r="V1076" s="7">
        <f>IF($AA1076="","",U1076*T1076)</f>
        <v/>
      </c>
      <c r="W1076" s="7">
        <f>IF($AA1076="","",V1076+S1076)</f>
        <v/>
      </c>
      <c r="X1076" s="7">
        <f>IF($AA1076="","",Y1076-W1076)</f>
        <v/>
      </c>
      <c r="Y1076" s="7">
        <f>IF($AA1076="","",R1076+U1076+P1076)</f>
        <v/>
      </c>
      <c r="Z1076" s="7">
        <f>IF($AA1076="","",Y1076-W1076-L1076)</f>
        <v/>
      </c>
      <c r="AA1076" s="13">
        <f>IF(ROWS($AA$2:$AA1076)&lt;=MAX('Per Line'!$AO$2:$AO$4001),MATCH(ROWS($AA$2:$AA1076),'Per Line'!$AO$2:$AO$4001,0),"")</f>
        <v/>
      </c>
      <c r="AB1076" s="14">
        <f>IF($AA1076="","",L1076-K1076*Y1076/100)</f>
        <v/>
      </c>
    </row>
    <row r="1077">
      <c r="A1077" s="12" t="n"/>
      <c r="B1077">
        <f>IF($AA1077="","",INDEX('Per Line'!$E$2:$E$4001,$AA1077)&amp;"")</f>
        <v/>
      </c>
      <c r="C1077">
        <f>IF($AA1077="","",INDEX('Per Line'!$A$2:$A$4001,$AA1077)&amp;"")</f>
        <v/>
      </c>
      <c r="D1077">
        <f>IF($AA1077="","",INDEX('Per Line'!$D$2:$D$4001,$AA1077)&amp;"")</f>
        <v/>
      </c>
      <c r="E1077" s="11">
        <f>IF($AA1077="","",INDEX('Per Line'!$G$2:$G$4001,$AA1077))</f>
        <v/>
      </c>
      <c r="F1077">
        <f>IF($AA1077="","",INDEX('Per Line'!$H$2:$H$4001,$AA1077)&amp;"")</f>
        <v/>
      </c>
      <c r="G1077">
        <f>IF($AA1077="","",INDEX('Per Line'!$I$2:$I$4001,$AA1077)&amp;"")</f>
        <v/>
      </c>
      <c r="H1077">
        <f>IF($AA1077="","",INDEX('Per Line'!$J$2:$J$4001,$AA1077)&amp;"")</f>
        <v/>
      </c>
      <c r="I1077">
        <f>IF($AA1077="","",INDEX('Per Line'!$K$2:$K$4001,$AA1077)&amp;"")</f>
        <v/>
      </c>
      <c r="J1077">
        <f>IF($AA1077="","",INDEX('Per Line'!$L$2:$L$4001,$AA1077)&amp;"")</f>
        <v/>
      </c>
      <c r="K1077">
        <f>IF($AA1077="","",INDEX('Per Line'!$P$2:$P$4001,$AA1077))</f>
        <v/>
      </c>
      <c r="L1077" s="7">
        <f>IF($AA1077="","",IF(AND(ISNUMBER(N1077),N1077&gt;0,Y1077&gt;N1077),K1077*N1077/100+(Y1077-N1077),K1077*Y1077/100))</f>
        <v/>
      </c>
      <c r="M1077">
        <f>IF($AA1077="","",INDEX('Per Line'!$Z$2:$Z$4001,$AA1077)&amp;"")</f>
        <v/>
      </c>
      <c r="N1077">
        <f>IF($AA1077="","",INDEX('Per Line'!$AG$2:$AG$4001,$AA1077))</f>
        <v/>
      </c>
      <c r="O1077">
        <f>IF($AA1077="","",IF(AND(ISNUMBER(N1077),N1077&gt;0),Y1077&gt;N1077,FALSE))</f>
        <v/>
      </c>
      <c r="P1077" s="7">
        <f>IF($AA1077="","",SUMIFS('Per Line'!$Y$2:$Y$4001,'Per Line'!$E$2:$E$4001,$B1077,'Per Line'!$AQ$2:$AQ$4001,1))</f>
        <v/>
      </c>
      <c r="Q1077">
        <f>IF($AA1077="","",Settings!$C$7)</f>
        <v/>
      </c>
      <c r="R1077" s="7">
        <f>IF($AA1077="","",SUMIFS('Per Line'!$Y$2:$Y$4001,'Per Line'!$E$2:$E$4001,$B1077,'Per Line'!$AP$2:$AP$4001,0,'Per Line'!$AQ$2:$AQ$4001,0))</f>
        <v/>
      </c>
      <c r="S1077" s="7">
        <f>IF($AA1077="","",R1077*Q1077)</f>
        <v/>
      </c>
      <c r="T1077">
        <f>IF($AA1077="","",Settings!$C$6)</f>
        <v/>
      </c>
      <c r="U1077" s="7">
        <f>IF($AA1077="","",SUMIFS('Per Line'!$Y$2:$Y$4001,'Per Line'!$E$2:$E$4001,$B1077,'Per Line'!$AP$2:$AP$4001,1,'Per Line'!$AQ$2:$AQ$4001,0))</f>
        <v/>
      </c>
      <c r="V1077" s="7">
        <f>IF($AA1077="","",U1077*T1077)</f>
        <v/>
      </c>
      <c r="W1077" s="7">
        <f>IF($AA1077="","",V1077+S1077)</f>
        <v/>
      </c>
      <c r="X1077" s="7">
        <f>IF($AA1077="","",Y1077-W1077)</f>
        <v/>
      </c>
      <c r="Y1077" s="7">
        <f>IF($AA1077="","",R1077+U1077+P1077)</f>
        <v/>
      </c>
      <c r="Z1077" s="7">
        <f>IF($AA1077="","",Y1077-W1077-L1077)</f>
        <v/>
      </c>
      <c r="AA1077" s="13">
        <f>IF(ROWS($AA$2:$AA1077)&lt;=MAX('Per Line'!$AO$2:$AO$4001),MATCH(ROWS($AA$2:$AA1077),'Per Line'!$AO$2:$AO$4001,0),"")</f>
        <v/>
      </c>
      <c r="AB1077" s="14">
        <f>IF($AA1077="","",L1077-K1077*Y1077/100)</f>
        <v/>
      </c>
    </row>
    <row r="1078">
      <c r="A1078" s="12" t="n"/>
      <c r="B1078">
        <f>IF($AA1078="","",INDEX('Per Line'!$E$2:$E$4001,$AA1078)&amp;"")</f>
        <v/>
      </c>
      <c r="C1078">
        <f>IF($AA1078="","",INDEX('Per Line'!$A$2:$A$4001,$AA1078)&amp;"")</f>
        <v/>
      </c>
      <c r="D1078">
        <f>IF($AA1078="","",INDEX('Per Line'!$D$2:$D$4001,$AA1078)&amp;"")</f>
        <v/>
      </c>
      <c r="E1078" s="11">
        <f>IF($AA1078="","",INDEX('Per Line'!$G$2:$G$4001,$AA1078))</f>
        <v/>
      </c>
      <c r="F1078">
        <f>IF($AA1078="","",INDEX('Per Line'!$H$2:$H$4001,$AA1078)&amp;"")</f>
        <v/>
      </c>
      <c r="G1078">
        <f>IF($AA1078="","",INDEX('Per Line'!$I$2:$I$4001,$AA1078)&amp;"")</f>
        <v/>
      </c>
      <c r="H1078">
        <f>IF($AA1078="","",INDEX('Per Line'!$J$2:$J$4001,$AA1078)&amp;"")</f>
        <v/>
      </c>
      <c r="I1078">
        <f>IF($AA1078="","",INDEX('Per Line'!$K$2:$K$4001,$AA1078)&amp;"")</f>
        <v/>
      </c>
      <c r="J1078">
        <f>IF($AA1078="","",INDEX('Per Line'!$L$2:$L$4001,$AA1078)&amp;"")</f>
        <v/>
      </c>
      <c r="K1078">
        <f>IF($AA1078="","",INDEX('Per Line'!$P$2:$P$4001,$AA1078))</f>
        <v/>
      </c>
      <c r="L1078" s="7">
        <f>IF($AA1078="","",IF(AND(ISNUMBER(N1078),N1078&gt;0,Y1078&gt;N1078),K1078*N1078/100+(Y1078-N1078),K1078*Y1078/100))</f>
        <v/>
      </c>
      <c r="M1078">
        <f>IF($AA1078="","",INDEX('Per Line'!$Z$2:$Z$4001,$AA1078)&amp;"")</f>
        <v/>
      </c>
      <c r="N1078">
        <f>IF($AA1078="","",INDEX('Per Line'!$AG$2:$AG$4001,$AA1078))</f>
        <v/>
      </c>
      <c r="O1078">
        <f>IF($AA1078="","",IF(AND(ISNUMBER(N1078),N1078&gt;0),Y1078&gt;N1078,FALSE))</f>
        <v/>
      </c>
      <c r="P1078" s="7">
        <f>IF($AA1078="","",SUMIFS('Per Line'!$Y$2:$Y$4001,'Per Line'!$E$2:$E$4001,$B1078,'Per Line'!$AQ$2:$AQ$4001,1))</f>
        <v/>
      </c>
      <c r="Q1078">
        <f>IF($AA1078="","",Settings!$C$7)</f>
        <v/>
      </c>
      <c r="R1078" s="7">
        <f>IF($AA1078="","",SUMIFS('Per Line'!$Y$2:$Y$4001,'Per Line'!$E$2:$E$4001,$B1078,'Per Line'!$AP$2:$AP$4001,0,'Per Line'!$AQ$2:$AQ$4001,0))</f>
        <v/>
      </c>
      <c r="S1078" s="7">
        <f>IF($AA1078="","",R1078*Q1078)</f>
        <v/>
      </c>
      <c r="T1078">
        <f>IF($AA1078="","",Settings!$C$6)</f>
        <v/>
      </c>
      <c r="U1078" s="7">
        <f>IF($AA1078="","",SUMIFS('Per Line'!$Y$2:$Y$4001,'Per Line'!$E$2:$E$4001,$B1078,'Per Line'!$AP$2:$AP$4001,1,'Per Line'!$AQ$2:$AQ$4001,0))</f>
        <v/>
      </c>
      <c r="V1078" s="7">
        <f>IF($AA1078="","",U1078*T1078)</f>
        <v/>
      </c>
      <c r="W1078" s="7">
        <f>IF($AA1078="","",V1078+S1078)</f>
        <v/>
      </c>
      <c r="X1078" s="7">
        <f>IF($AA1078="","",Y1078-W1078)</f>
        <v/>
      </c>
      <c r="Y1078" s="7">
        <f>IF($AA1078="","",R1078+U1078+P1078)</f>
        <v/>
      </c>
      <c r="Z1078" s="7">
        <f>IF($AA1078="","",Y1078-W1078-L1078)</f>
        <v/>
      </c>
      <c r="AA1078" s="13">
        <f>IF(ROWS($AA$2:$AA1078)&lt;=MAX('Per Line'!$AO$2:$AO$4001),MATCH(ROWS($AA$2:$AA1078),'Per Line'!$AO$2:$AO$4001,0),"")</f>
        <v/>
      </c>
      <c r="AB1078" s="14">
        <f>IF($AA1078="","",L1078-K1078*Y1078/100)</f>
        <v/>
      </c>
    </row>
    <row r="1079">
      <c r="A1079" s="12" t="n"/>
      <c r="B1079">
        <f>IF($AA1079="","",INDEX('Per Line'!$E$2:$E$4001,$AA1079)&amp;"")</f>
        <v/>
      </c>
      <c r="C1079">
        <f>IF($AA1079="","",INDEX('Per Line'!$A$2:$A$4001,$AA1079)&amp;"")</f>
        <v/>
      </c>
      <c r="D1079">
        <f>IF($AA1079="","",INDEX('Per Line'!$D$2:$D$4001,$AA1079)&amp;"")</f>
        <v/>
      </c>
      <c r="E1079" s="11">
        <f>IF($AA1079="","",INDEX('Per Line'!$G$2:$G$4001,$AA1079))</f>
        <v/>
      </c>
      <c r="F1079">
        <f>IF($AA1079="","",INDEX('Per Line'!$H$2:$H$4001,$AA1079)&amp;"")</f>
        <v/>
      </c>
      <c r="G1079">
        <f>IF($AA1079="","",INDEX('Per Line'!$I$2:$I$4001,$AA1079)&amp;"")</f>
        <v/>
      </c>
      <c r="H1079">
        <f>IF($AA1079="","",INDEX('Per Line'!$J$2:$J$4001,$AA1079)&amp;"")</f>
        <v/>
      </c>
      <c r="I1079">
        <f>IF($AA1079="","",INDEX('Per Line'!$K$2:$K$4001,$AA1079)&amp;"")</f>
        <v/>
      </c>
      <c r="J1079">
        <f>IF($AA1079="","",INDEX('Per Line'!$L$2:$L$4001,$AA1079)&amp;"")</f>
        <v/>
      </c>
      <c r="K1079">
        <f>IF($AA1079="","",INDEX('Per Line'!$P$2:$P$4001,$AA1079))</f>
        <v/>
      </c>
      <c r="L1079" s="7">
        <f>IF($AA1079="","",IF(AND(ISNUMBER(N1079),N1079&gt;0,Y1079&gt;N1079),K1079*N1079/100+(Y1079-N1079),K1079*Y1079/100))</f>
        <v/>
      </c>
      <c r="M1079">
        <f>IF($AA1079="","",INDEX('Per Line'!$Z$2:$Z$4001,$AA1079)&amp;"")</f>
        <v/>
      </c>
      <c r="N1079">
        <f>IF($AA1079="","",INDEX('Per Line'!$AG$2:$AG$4001,$AA1079))</f>
        <v/>
      </c>
      <c r="O1079">
        <f>IF($AA1079="","",IF(AND(ISNUMBER(N1079),N1079&gt;0),Y1079&gt;N1079,FALSE))</f>
        <v/>
      </c>
      <c r="P1079" s="7">
        <f>IF($AA1079="","",SUMIFS('Per Line'!$Y$2:$Y$4001,'Per Line'!$E$2:$E$4001,$B1079,'Per Line'!$AQ$2:$AQ$4001,1))</f>
        <v/>
      </c>
      <c r="Q1079">
        <f>IF($AA1079="","",Settings!$C$7)</f>
        <v/>
      </c>
      <c r="R1079" s="7">
        <f>IF($AA1079="","",SUMIFS('Per Line'!$Y$2:$Y$4001,'Per Line'!$E$2:$E$4001,$B1079,'Per Line'!$AP$2:$AP$4001,0,'Per Line'!$AQ$2:$AQ$4001,0))</f>
        <v/>
      </c>
      <c r="S1079" s="7">
        <f>IF($AA1079="","",R1079*Q1079)</f>
        <v/>
      </c>
      <c r="T1079">
        <f>IF($AA1079="","",Settings!$C$6)</f>
        <v/>
      </c>
      <c r="U1079" s="7">
        <f>IF($AA1079="","",SUMIFS('Per Line'!$Y$2:$Y$4001,'Per Line'!$E$2:$E$4001,$B1079,'Per Line'!$AP$2:$AP$4001,1,'Per Line'!$AQ$2:$AQ$4001,0))</f>
        <v/>
      </c>
      <c r="V1079" s="7">
        <f>IF($AA1079="","",U1079*T1079)</f>
        <v/>
      </c>
      <c r="W1079" s="7">
        <f>IF($AA1079="","",V1079+S1079)</f>
        <v/>
      </c>
      <c r="X1079" s="7">
        <f>IF($AA1079="","",Y1079-W1079)</f>
        <v/>
      </c>
      <c r="Y1079" s="7">
        <f>IF($AA1079="","",R1079+U1079+P1079)</f>
        <v/>
      </c>
      <c r="Z1079" s="7">
        <f>IF($AA1079="","",Y1079-W1079-L1079)</f>
        <v/>
      </c>
      <c r="AA1079" s="13">
        <f>IF(ROWS($AA$2:$AA1079)&lt;=MAX('Per Line'!$AO$2:$AO$4001),MATCH(ROWS($AA$2:$AA1079),'Per Line'!$AO$2:$AO$4001,0),"")</f>
        <v/>
      </c>
      <c r="AB1079" s="14">
        <f>IF($AA1079="","",L1079-K1079*Y1079/100)</f>
        <v/>
      </c>
    </row>
    <row r="1080">
      <c r="A1080" s="12" t="n"/>
      <c r="B1080">
        <f>IF($AA1080="","",INDEX('Per Line'!$E$2:$E$4001,$AA1080)&amp;"")</f>
        <v/>
      </c>
      <c r="C1080">
        <f>IF($AA1080="","",INDEX('Per Line'!$A$2:$A$4001,$AA1080)&amp;"")</f>
        <v/>
      </c>
      <c r="D1080">
        <f>IF($AA1080="","",INDEX('Per Line'!$D$2:$D$4001,$AA1080)&amp;"")</f>
        <v/>
      </c>
      <c r="E1080" s="11">
        <f>IF($AA1080="","",INDEX('Per Line'!$G$2:$G$4001,$AA1080))</f>
        <v/>
      </c>
      <c r="F1080">
        <f>IF($AA1080="","",INDEX('Per Line'!$H$2:$H$4001,$AA1080)&amp;"")</f>
        <v/>
      </c>
      <c r="G1080">
        <f>IF($AA1080="","",INDEX('Per Line'!$I$2:$I$4001,$AA1080)&amp;"")</f>
        <v/>
      </c>
      <c r="H1080">
        <f>IF($AA1080="","",INDEX('Per Line'!$J$2:$J$4001,$AA1080)&amp;"")</f>
        <v/>
      </c>
      <c r="I1080">
        <f>IF($AA1080="","",INDEX('Per Line'!$K$2:$K$4001,$AA1080)&amp;"")</f>
        <v/>
      </c>
      <c r="J1080">
        <f>IF($AA1080="","",INDEX('Per Line'!$L$2:$L$4001,$AA1080)&amp;"")</f>
        <v/>
      </c>
      <c r="K1080">
        <f>IF($AA1080="","",INDEX('Per Line'!$P$2:$P$4001,$AA1080))</f>
        <v/>
      </c>
      <c r="L1080" s="7">
        <f>IF($AA1080="","",IF(AND(ISNUMBER(N1080),N1080&gt;0,Y1080&gt;N1080),K1080*N1080/100+(Y1080-N1080),K1080*Y1080/100))</f>
        <v/>
      </c>
      <c r="M1080">
        <f>IF($AA1080="","",INDEX('Per Line'!$Z$2:$Z$4001,$AA1080)&amp;"")</f>
        <v/>
      </c>
      <c r="N1080">
        <f>IF($AA1080="","",INDEX('Per Line'!$AG$2:$AG$4001,$AA1080))</f>
        <v/>
      </c>
      <c r="O1080">
        <f>IF($AA1080="","",IF(AND(ISNUMBER(N1080),N1080&gt;0),Y1080&gt;N1080,FALSE))</f>
        <v/>
      </c>
      <c r="P1080" s="7">
        <f>IF($AA1080="","",SUMIFS('Per Line'!$Y$2:$Y$4001,'Per Line'!$E$2:$E$4001,$B1080,'Per Line'!$AQ$2:$AQ$4001,1))</f>
        <v/>
      </c>
      <c r="Q1080">
        <f>IF($AA1080="","",Settings!$C$7)</f>
        <v/>
      </c>
      <c r="R1080" s="7">
        <f>IF($AA1080="","",SUMIFS('Per Line'!$Y$2:$Y$4001,'Per Line'!$E$2:$E$4001,$B1080,'Per Line'!$AP$2:$AP$4001,0,'Per Line'!$AQ$2:$AQ$4001,0))</f>
        <v/>
      </c>
      <c r="S1080" s="7">
        <f>IF($AA1080="","",R1080*Q1080)</f>
        <v/>
      </c>
      <c r="T1080">
        <f>IF($AA1080="","",Settings!$C$6)</f>
        <v/>
      </c>
      <c r="U1080" s="7">
        <f>IF($AA1080="","",SUMIFS('Per Line'!$Y$2:$Y$4001,'Per Line'!$E$2:$E$4001,$B1080,'Per Line'!$AP$2:$AP$4001,1,'Per Line'!$AQ$2:$AQ$4001,0))</f>
        <v/>
      </c>
      <c r="V1080" s="7">
        <f>IF($AA1080="","",U1080*T1080)</f>
        <v/>
      </c>
      <c r="W1080" s="7">
        <f>IF($AA1080="","",V1080+S1080)</f>
        <v/>
      </c>
      <c r="X1080" s="7">
        <f>IF($AA1080="","",Y1080-W1080)</f>
        <v/>
      </c>
      <c r="Y1080" s="7">
        <f>IF($AA1080="","",R1080+U1080+P1080)</f>
        <v/>
      </c>
      <c r="Z1080" s="7">
        <f>IF($AA1080="","",Y1080-W1080-L1080)</f>
        <v/>
      </c>
      <c r="AA1080" s="13">
        <f>IF(ROWS($AA$2:$AA1080)&lt;=MAX('Per Line'!$AO$2:$AO$4001),MATCH(ROWS($AA$2:$AA1080),'Per Line'!$AO$2:$AO$4001,0),"")</f>
        <v/>
      </c>
      <c r="AB1080" s="14">
        <f>IF($AA1080="","",L1080-K1080*Y1080/100)</f>
        <v/>
      </c>
    </row>
    <row r="1081">
      <c r="A1081" s="12" t="n"/>
      <c r="B1081">
        <f>IF($AA1081="","",INDEX('Per Line'!$E$2:$E$4001,$AA1081)&amp;"")</f>
        <v/>
      </c>
      <c r="C1081">
        <f>IF($AA1081="","",INDEX('Per Line'!$A$2:$A$4001,$AA1081)&amp;"")</f>
        <v/>
      </c>
      <c r="D1081">
        <f>IF($AA1081="","",INDEX('Per Line'!$D$2:$D$4001,$AA1081)&amp;"")</f>
        <v/>
      </c>
      <c r="E1081" s="11">
        <f>IF($AA1081="","",INDEX('Per Line'!$G$2:$G$4001,$AA1081))</f>
        <v/>
      </c>
      <c r="F1081">
        <f>IF($AA1081="","",INDEX('Per Line'!$H$2:$H$4001,$AA1081)&amp;"")</f>
        <v/>
      </c>
      <c r="G1081">
        <f>IF($AA1081="","",INDEX('Per Line'!$I$2:$I$4001,$AA1081)&amp;"")</f>
        <v/>
      </c>
      <c r="H1081">
        <f>IF($AA1081="","",INDEX('Per Line'!$J$2:$J$4001,$AA1081)&amp;"")</f>
        <v/>
      </c>
      <c r="I1081">
        <f>IF($AA1081="","",INDEX('Per Line'!$K$2:$K$4001,$AA1081)&amp;"")</f>
        <v/>
      </c>
      <c r="J1081">
        <f>IF($AA1081="","",INDEX('Per Line'!$L$2:$L$4001,$AA1081)&amp;"")</f>
        <v/>
      </c>
      <c r="K1081">
        <f>IF($AA1081="","",INDEX('Per Line'!$P$2:$P$4001,$AA1081))</f>
        <v/>
      </c>
      <c r="L1081" s="7">
        <f>IF($AA1081="","",IF(AND(ISNUMBER(N1081),N1081&gt;0,Y1081&gt;N1081),K1081*N1081/100+(Y1081-N1081),K1081*Y1081/100))</f>
        <v/>
      </c>
      <c r="M1081">
        <f>IF($AA1081="","",INDEX('Per Line'!$Z$2:$Z$4001,$AA1081)&amp;"")</f>
        <v/>
      </c>
      <c r="N1081">
        <f>IF($AA1081="","",INDEX('Per Line'!$AG$2:$AG$4001,$AA1081))</f>
        <v/>
      </c>
      <c r="O1081">
        <f>IF($AA1081="","",IF(AND(ISNUMBER(N1081),N1081&gt;0),Y1081&gt;N1081,FALSE))</f>
        <v/>
      </c>
      <c r="P1081" s="7">
        <f>IF($AA1081="","",SUMIFS('Per Line'!$Y$2:$Y$4001,'Per Line'!$E$2:$E$4001,$B1081,'Per Line'!$AQ$2:$AQ$4001,1))</f>
        <v/>
      </c>
      <c r="Q1081">
        <f>IF($AA1081="","",Settings!$C$7)</f>
        <v/>
      </c>
      <c r="R1081" s="7">
        <f>IF($AA1081="","",SUMIFS('Per Line'!$Y$2:$Y$4001,'Per Line'!$E$2:$E$4001,$B1081,'Per Line'!$AP$2:$AP$4001,0,'Per Line'!$AQ$2:$AQ$4001,0))</f>
        <v/>
      </c>
      <c r="S1081" s="7">
        <f>IF($AA1081="","",R1081*Q1081)</f>
        <v/>
      </c>
      <c r="T1081">
        <f>IF($AA1081="","",Settings!$C$6)</f>
        <v/>
      </c>
      <c r="U1081" s="7">
        <f>IF($AA1081="","",SUMIFS('Per Line'!$Y$2:$Y$4001,'Per Line'!$E$2:$E$4001,$B1081,'Per Line'!$AP$2:$AP$4001,1,'Per Line'!$AQ$2:$AQ$4001,0))</f>
        <v/>
      </c>
      <c r="V1081" s="7">
        <f>IF($AA1081="","",U1081*T1081)</f>
        <v/>
      </c>
      <c r="W1081" s="7">
        <f>IF($AA1081="","",V1081+S1081)</f>
        <v/>
      </c>
      <c r="X1081" s="7">
        <f>IF($AA1081="","",Y1081-W1081)</f>
        <v/>
      </c>
      <c r="Y1081" s="7">
        <f>IF($AA1081="","",R1081+U1081+P1081)</f>
        <v/>
      </c>
      <c r="Z1081" s="7">
        <f>IF($AA1081="","",Y1081-W1081-L1081)</f>
        <v/>
      </c>
      <c r="AA1081" s="13">
        <f>IF(ROWS($AA$2:$AA1081)&lt;=MAX('Per Line'!$AO$2:$AO$4001),MATCH(ROWS($AA$2:$AA1081),'Per Line'!$AO$2:$AO$4001,0),"")</f>
        <v/>
      </c>
      <c r="AB1081" s="14">
        <f>IF($AA1081="","",L1081-K1081*Y1081/100)</f>
        <v/>
      </c>
    </row>
    <row r="1082">
      <c r="A1082" s="12" t="n"/>
      <c r="B1082">
        <f>IF($AA1082="","",INDEX('Per Line'!$E$2:$E$4001,$AA1082)&amp;"")</f>
        <v/>
      </c>
      <c r="C1082">
        <f>IF($AA1082="","",INDEX('Per Line'!$A$2:$A$4001,$AA1082)&amp;"")</f>
        <v/>
      </c>
      <c r="D1082">
        <f>IF($AA1082="","",INDEX('Per Line'!$D$2:$D$4001,$AA1082)&amp;"")</f>
        <v/>
      </c>
      <c r="E1082" s="11">
        <f>IF($AA1082="","",INDEX('Per Line'!$G$2:$G$4001,$AA1082))</f>
        <v/>
      </c>
      <c r="F1082">
        <f>IF($AA1082="","",INDEX('Per Line'!$H$2:$H$4001,$AA1082)&amp;"")</f>
        <v/>
      </c>
      <c r="G1082">
        <f>IF($AA1082="","",INDEX('Per Line'!$I$2:$I$4001,$AA1082)&amp;"")</f>
        <v/>
      </c>
      <c r="H1082">
        <f>IF($AA1082="","",INDEX('Per Line'!$J$2:$J$4001,$AA1082)&amp;"")</f>
        <v/>
      </c>
      <c r="I1082">
        <f>IF($AA1082="","",INDEX('Per Line'!$K$2:$K$4001,$AA1082)&amp;"")</f>
        <v/>
      </c>
      <c r="J1082">
        <f>IF($AA1082="","",INDEX('Per Line'!$L$2:$L$4001,$AA1082)&amp;"")</f>
        <v/>
      </c>
      <c r="K1082">
        <f>IF($AA1082="","",INDEX('Per Line'!$P$2:$P$4001,$AA1082))</f>
        <v/>
      </c>
      <c r="L1082" s="7">
        <f>IF($AA1082="","",IF(AND(ISNUMBER(N1082),N1082&gt;0,Y1082&gt;N1082),K1082*N1082/100+(Y1082-N1082),K1082*Y1082/100))</f>
        <v/>
      </c>
      <c r="M1082">
        <f>IF($AA1082="","",INDEX('Per Line'!$Z$2:$Z$4001,$AA1082)&amp;"")</f>
        <v/>
      </c>
      <c r="N1082">
        <f>IF($AA1082="","",INDEX('Per Line'!$AG$2:$AG$4001,$AA1082))</f>
        <v/>
      </c>
      <c r="O1082">
        <f>IF($AA1082="","",IF(AND(ISNUMBER(N1082),N1082&gt;0),Y1082&gt;N1082,FALSE))</f>
        <v/>
      </c>
      <c r="P1082" s="7">
        <f>IF($AA1082="","",SUMIFS('Per Line'!$Y$2:$Y$4001,'Per Line'!$E$2:$E$4001,$B1082,'Per Line'!$AQ$2:$AQ$4001,1))</f>
        <v/>
      </c>
      <c r="Q1082">
        <f>IF($AA1082="","",Settings!$C$7)</f>
        <v/>
      </c>
      <c r="R1082" s="7">
        <f>IF($AA1082="","",SUMIFS('Per Line'!$Y$2:$Y$4001,'Per Line'!$E$2:$E$4001,$B1082,'Per Line'!$AP$2:$AP$4001,0,'Per Line'!$AQ$2:$AQ$4001,0))</f>
        <v/>
      </c>
      <c r="S1082" s="7">
        <f>IF($AA1082="","",R1082*Q1082)</f>
        <v/>
      </c>
      <c r="T1082">
        <f>IF($AA1082="","",Settings!$C$6)</f>
        <v/>
      </c>
      <c r="U1082" s="7">
        <f>IF($AA1082="","",SUMIFS('Per Line'!$Y$2:$Y$4001,'Per Line'!$E$2:$E$4001,$B1082,'Per Line'!$AP$2:$AP$4001,1,'Per Line'!$AQ$2:$AQ$4001,0))</f>
        <v/>
      </c>
      <c r="V1082" s="7">
        <f>IF($AA1082="","",U1082*T1082)</f>
        <v/>
      </c>
      <c r="W1082" s="7">
        <f>IF($AA1082="","",V1082+S1082)</f>
        <v/>
      </c>
      <c r="X1082" s="7">
        <f>IF($AA1082="","",Y1082-W1082)</f>
        <v/>
      </c>
      <c r="Y1082" s="7">
        <f>IF($AA1082="","",R1082+U1082+P1082)</f>
        <v/>
      </c>
      <c r="Z1082" s="7">
        <f>IF($AA1082="","",Y1082-W1082-L1082)</f>
        <v/>
      </c>
      <c r="AA1082" s="13">
        <f>IF(ROWS($AA$2:$AA1082)&lt;=MAX('Per Line'!$AO$2:$AO$4001),MATCH(ROWS($AA$2:$AA1082),'Per Line'!$AO$2:$AO$4001,0),"")</f>
        <v/>
      </c>
      <c r="AB1082" s="14">
        <f>IF($AA1082="","",L1082-K1082*Y1082/100)</f>
        <v/>
      </c>
    </row>
    <row r="1083">
      <c r="A1083" s="12" t="n"/>
      <c r="B1083">
        <f>IF($AA1083="","",INDEX('Per Line'!$E$2:$E$4001,$AA1083)&amp;"")</f>
        <v/>
      </c>
      <c r="C1083">
        <f>IF($AA1083="","",INDEX('Per Line'!$A$2:$A$4001,$AA1083)&amp;"")</f>
        <v/>
      </c>
      <c r="D1083">
        <f>IF($AA1083="","",INDEX('Per Line'!$D$2:$D$4001,$AA1083)&amp;"")</f>
        <v/>
      </c>
      <c r="E1083" s="11">
        <f>IF($AA1083="","",INDEX('Per Line'!$G$2:$G$4001,$AA1083))</f>
        <v/>
      </c>
      <c r="F1083">
        <f>IF($AA1083="","",INDEX('Per Line'!$H$2:$H$4001,$AA1083)&amp;"")</f>
        <v/>
      </c>
      <c r="G1083">
        <f>IF($AA1083="","",INDEX('Per Line'!$I$2:$I$4001,$AA1083)&amp;"")</f>
        <v/>
      </c>
      <c r="H1083">
        <f>IF($AA1083="","",INDEX('Per Line'!$J$2:$J$4001,$AA1083)&amp;"")</f>
        <v/>
      </c>
      <c r="I1083">
        <f>IF($AA1083="","",INDEX('Per Line'!$K$2:$K$4001,$AA1083)&amp;"")</f>
        <v/>
      </c>
      <c r="J1083">
        <f>IF($AA1083="","",INDEX('Per Line'!$L$2:$L$4001,$AA1083)&amp;"")</f>
        <v/>
      </c>
      <c r="K1083">
        <f>IF($AA1083="","",INDEX('Per Line'!$P$2:$P$4001,$AA1083))</f>
        <v/>
      </c>
      <c r="L1083" s="7">
        <f>IF($AA1083="","",IF(AND(ISNUMBER(N1083),N1083&gt;0,Y1083&gt;N1083),K1083*N1083/100+(Y1083-N1083),K1083*Y1083/100))</f>
        <v/>
      </c>
      <c r="M1083">
        <f>IF($AA1083="","",INDEX('Per Line'!$Z$2:$Z$4001,$AA1083)&amp;"")</f>
        <v/>
      </c>
      <c r="N1083">
        <f>IF($AA1083="","",INDEX('Per Line'!$AG$2:$AG$4001,$AA1083))</f>
        <v/>
      </c>
      <c r="O1083">
        <f>IF($AA1083="","",IF(AND(ISNUMBER(N1083),N1083&gt;0),Y1083&gt;N1083,FALSE))</f>
        <v/>
      </c>
      <c r="P1083" s="7">
        <f>IF($AA1083="","",SUMIFS('Per Line'!$Y$2:$Y$4001,'Per Line'!$E$2:$E$4001,$B1083,'Per Line'!$AQ$2:$AQ$4001,1))</f>
        <v/>
      </c>
      <c r="Q1083">
        <f>IF($AA1083="","",Settings!$C$7)</f>
        <v/>
      </c>
      <c r="R1083" s="7">
        <f>IF($AA1083="","",SUMIFS('Per Line'!$Y$2:$Y$4001,'Per Line'!$E$2:$E$4001,$B1083,'Per Line'!$AP$2:$AP$4001,0,'Per Line'!$AQ$2:$AQ$4001,0))</f>
        <v/>
      </c>
      <c r="S1083" s="7">
        <f>IF($AA1083="","",R1083*Q1083)</f>
        <v/>
      </c>
      <c r="T1083">
        <f>IF($AA1083="","",Settings!$C$6)</f>
        <v/>
      </c>
      <c r="U1083" s="7">
        <f>IF($AA1083="","",SUMIFS('Per Line'!$Y$2:$Y$4001,'Per Line'!$E$2:$E$4001,$B1083,'Per Line'!$AP$2:$AP$4001,1,'Per Line'!$AQ$2:$AQ$4001,0))</f>
        <v/>
      </c>
      <c r="V1083" s="7">
        <f>IF($AA1083="","",U1083*T1083)</f>
        <v/>
      </c>
      <c r="W1083" s="7">
        <f>IF($AA1083="","",V1083+S1083)</f>
        <v/>
      </c>
      <c r="X1083" s="7">
        <f>IF($AA1083="","",Y1083-W1083)</f>
        <v/>
      </c>
      <c r="Y1083" s="7">
        <f>IF($AA1083="","",R1083+U1083+P1083)</f>
        <v/>
      </c>
      <c r="Z1083" s="7">
        <f>IF($AA1083="","",Y1083-W1083-L1083)</f>
        <v/>
      </c>
      <c r="AA1083" s="13">
        <f>IF(ROWS($AA$2:$AA1083)&lt;=MAX('Per Line'!$AO$2:$AO$4001),MATCH(ROWS($AA$2:$AA1083),'Per Line'!$AO$2:$AO$4001,0),"")</f>
        <v/>
      </c>
      <c r="AB1083" s="14">
        <f>IF($AA1083="","",L1083-K1083*Y1083/100)</f>
        <v/>
      </c>
    </row>
    <row r="1084">
      <c r="A1084" s="12" t="n"/>
      <c r="B1084">
        <f>IF($AA1084="","",INDEX('Per Line'!$E$2:$E$4001,$AA1084)&amp;"")</f>
        <v/>
      </c>
      <c r="C1084">
        <f>IF($AA1084="","",INDEX('Per Line'!$A$2:$A$4001,$AA1084)&amp;"")</f>
        <v/>
      </c>
      <c r="D1084">
        <f>IF($AA1084="","",INDEX('Per Line'!$D$2:$D$4001,$AA1084)&amp;"")</f>
        <v/>
      </c>
      <c r="E1084" s="11">
        <f>IF($AA1084="","",INDEX('Per Line'!$G$2:$G$4001,$AA1084))</f>
        <v/>
      </c>
      <c r="F1084">
        <f>IF($AA1084="","",INDEX('Per Line'!$H$2:$H$4001,$AA1084)&amp;"")</f>
        <v/>
      </c>
      <c r="G1084">
        <f>IF($AA1084="","",INDEX('Per Line'!$I$2:$I$4001,$AA1084)&amp;"")</f>
        <v/>
      </c>
      <c r="H1084">
        <f>IF($AA1084="","",INDEX('Per Line'!$J$2:$J$4001,$AA1084)&amp;"")</f>
        <v/>
      </c>
      <c r="I1084">
        <f>IF($AA1084="","",INDEX('Per Line'!$K$2:$K$4001,$AA1084)&amp;"")</f>
        <v/>
      </c>
      <c r="J1084">
        <f>IF($AA1084="","",INDEX('Per Line'!$L$2:$L$4001,$AA1084)&amp;"")</f>
        <v/>
      </c>
      <c r="K1084">
        <f>IF($AA1084="","",INDEX('Per Line'!$P$2:$P$4001,$AA1084))</f>
        <v/>
      </c>
      <c r="L1084" s="7">
        <f>IF($AA1084="","",IF(AND(ISNUMBER(N1084),N1084&gt;0,Y1084&gt;N1084),K1084*N1084/100+(Y1084-N1084),K1084*Y1084/100))</f>
        <v/>
      </c>
      <c r="M1084">
        <f>IF($AA1084="","",INDEX('Per Line'!$Z$2:$Z$4001,$AA1084)&amp;"")</f>
        <v/>
      </c>
      <c r="N1084">
        <f>IF($AA1084="","",INDEX('Per Line'!$AG$2:$AG$4001,$AA1084))</f>
        <v/>
      </c>
      <c r="O1084">
        <f>IF($AA1084="","",IF(AND(ISNUMBER(N1084),N1084&gt;0),Y1084&gt;N1084,FALSE))</f>
        <v/>
      </c>
      <c r="P1084" s="7">
        <f>IF($AA1084="","",SUMIFS('Per Line'!$Y$2:$Y$4001,'Per Line'!$E$2:$E$4001,$B1084,'Per Line'!$AQ$2:$AQ$4001,1))</f>
        <v/>
      </c>
      <c r="Q1084">
        <f>IF($AA1084="","",Settings!$C$7)</f>
        <v/>
      </c>
      <c r="R1084" s="7">
        <f>IF($AA1084="","",SUMIFS('Per Line'!$Y$2:$Y$4001,'Per Line'!$E$2:$E$4001,$B1084,'Per Line'!$AP$2:$AP$4001,0,'Per Line'!$AQ$2:$AQ$4001,0))</f>
        <v/>
      </c>
      <c r="S1084" s="7">
        <f>IF($AA1084="","",R1084*Q1084)</f>
        <v/>
      </c>
      <c r="T1084">
        <f>IF($AA1084="","",Settings!$C$6)</f>
        <v/>
      </c>
      <c r="U1084" s="7">
        <f>IF($AA1084="","",SUMIFS('Per Line'!$Y$2:$Y$4001,'Per Line'!$E$2:$E$4001,$B1084,'Per Line'!$AP$2:$AP$4001,1,'Per Line'!$AQ$2:$AQ$4001,0))</f>
        <v/>
      </c>
      <c r="V1084" s="7">
        <f>IF($AA1084="","",U1084*T1084)</f>
        <v/>
      </c>
      <c r="W1084" s="7">
        <f>IF($AA1084="","",V1084+S1084)</f>
        <v/>
      </c>
      <c r="X1084" s="7">
        <f>IF($AA1084="","",Y1084-W1084)</f>
        <v/>
      </c>
      <c r="Y1084" s="7">
        <f>IF($AA1084="","",R1084+U1084+P1084)</f>
        <v/>
      </c>
      <c r="Z1084" s="7">
        <f>IF($AA1084="","",Y1084-W1084-L1084)</f>
        <v/>
      </c>
      <c r="AA1084" s="13">
        <f>IF(ROWS($AA$2:$AA1084)&lt;=MAX('Per Line'!$AO$2:$AO$4001),MATCH(ROWS($AA$2:$AA1084),'Per Line'!$AO$2:$AO$4001,0),"")</f>
        <v/>
      </c>
      <c r="AB1084" s="14">
        <f>IF($AA1084="","",L1084-K1084*Y1084/100)</f>
        <v/>
      </c>
    </row>
    <row r="1085">
      <c r="A1085" s="12" t="n"/>
      <c r="B1085">
        <f>IF($AA1085="","",INDEX('Per Line'!$E$2:$E$4001,$AA1085)&amp;"")</f>
        <v/>
      </c>
      <c r="C1085">
        <f>IF($AA1085="","",INDEX('Per Line'!$A$2:$A$4001,$AA1085)&amp;"")</f>
        <v/>
      </c>
      <c r="D1085">
        <f>IF($AA1085="","",INDEX('Per Line'!$D$2:$D$4001,$AA1085)&amp;"")</f>
        <v/>
      </c>
      <c r="E1085" s="11">
        <f>IF($AA1085="","",INDEX('Per Line'!$G$2:$G$4001,$AA1085))</f>
        <v/>
      </c>
      <c r="F1085">
        <f>IF($AA1085="","",INDEX('Per Line'!$H$2:$H$4001,$AA1085)&amp;"")</f>
        <v/>
      </c>
      <c r="G1085">
        <f>IF($AA1085="","",INDEX('Per Line'!$I$2:$I$4001,$AA1085)&amp;"")</f>
        <v/>
      </c>
      <c r="H1085">
        <f>IF($AA1085="","",INDEX('Per Line'!$J$2:$J$4001,$AA1085)&amp;"")</f>
        <v/>
      </c>
      <c r="I1085">
        <f>IF($AA1085="","",INDEX('Per Line'!$K$2:$K$4001,$AA1085)&amp;"")</f>
        <v/>
      </c>
      <c r="J1085">
        <f>IF($AA1085="","",INDEX('Per Line'!$L$2:$L$4001,$AA1085)&amp;"")</f>
        <v/>
      </c>
      <c r="K1085">
        <f>IF($AA1085="","",INDEX('Per Line'!$P$2:$P$4001,$AA1085))</f>
        <v/>
      </c>
      <c r="L1085" s="7">
        <f>IF($AA1085="","",IF(AND(ISNUMBER(N1085),N1085&gt;0,Y1085&gt;N1085),K1085*N1085/100+(Y1085-N1085),K1085*Y1085/100))</f>
        <v/>
      </c>
      <c r="M1085">
        <f>IF($AA1085="","",INDEX('Per Line'!$Z$2:$Z$4001,$AA1085)&amp;"")</f>
        <v/>
      </c>
      <c r="N1085">
        <f>IF($AA1085="","",INDEX('Per Line'!$AG$2:$AG$4001,$AA1085))</f>
        <v/>
      </c>
      <c r="O1085">
        <f>IF($AA1085="","",IF(AND(ISNUMBER(N1085),N1085&gt;0),Y1085&gt;N1085,FALSE))</f>
        <v/>
      </c>
      <c r="P1085" s="7">
        <f>IF($AA1085="","",SUMIFS('Per Line'!$Y$2:$Y$4001,'Per Line'!$E$2:$E$4001,$B1085,'Per Line'!$AQ$2:$AQ$4001,1))</f>
        <v/>
      </c>
      <c r="Q1085">
        <f>IF($AA1085="","",Settings!$C$7)</f>
        <v/>
      </c>
      <c r="R1085" s="7">
        <f>IF($AA1085="","",SUMIFS('Per Line'!$Y$2:$Y$4001,'Per Line'!$E$2:$E$4001,$B1085,'Per Line'!$AP$2:$AP$4001,0,'Per Line'!$AQ$2:$AQ$4001,0))</f>
        <v/>
      </c>
      <c r="S1085" s="7">
        <f>IF($AA1085="","",R1085*Q1085)</f>
        <v/>
      </c>
      <c r="T1085">
        <f>IF($AA1085="","",Settings!$C$6)</f>
        <v/>
      </c>
      <c r="U1085" s="7">
        <f>IF($AA1085="","",SUMIFS('Per Line'!$Y$2:$Y$4001,'Per Line'!$E$2:$E$4001,$B1085,'Per Line'!$AP$2:$AP$4001,1,'Per Line'!$AQ$2:$AQ$4001,0))</f>
        <v/>
      </c>
      <c r="V1085" s="7">
        <f>IF($AA1085="","",U1085*T1085)</f>
        <v/>
      </c>
      <c r="W1085" s="7">
        <f>IF($AA1085="","",V1085+S1085)</f>
        <v/>
      </c>
      <c r="X1085" s="7">
        <f>IF($AA1085="","",Y1085-W1085)</f>
        <v/>
      </c>
      <c r="Y1085" s="7">
        <f>IF($AA1085="","",R1085+U1085+P1085)</f>
        <v/>
      </c>
      <c r="Z1085" s="7">
        <f>IF($AA1085="","",Y1085-W1085-L1085)</f>
        <v/>
      </c>
      <c r="AA1085" s="13">
        <f>IF(ROWS($AA$2:$AA1085)&lt;=MAX('Per Line'!$AO$2:$AO$4001),MATCH(ROWS($AA$2:$AA1085),'Per Line'!$AO$2:$AO$4001,0),"")</f>
        <v/>
      </c>
      <c r="AB1085" s="14">
        <f>IF($AA1085="","",L1085-K1085*Y1085/100)</f>
        <v/>
      </c>
    </row>
    <row r="1086">
      <c r="A1086" s="12" t="n"/>
      <c r="B1086">
        <f>IF($AA1086="","",INDEX('Per Line'!$E$2:$E$4001,$AA1086)&amp;"")</f>
        <v/>
      </c>
      <c r="C1086">
        <f>IF($AA1086="","",INDEX('Per Line'!$A$2:$A$4001,$AA1086)&amp;"")</f>
        <v/>
      </c>
      <c r="D1086">
        <f>IF($AA1086="","",INDEX('Per Line'!$D$2:$D$4001,$AA1086)&amp;"")</f>
        <v/>
      </c>
      <c r="E1086" s="11">
        <f>IF($AA1086="","",INDEX('Per Line'!$G$2:$G$4001,$AA1086))</f>
        <v/>
      </c>
      <c r="F1086">
        <f>IF($AA1086="","",INDEX('Per Line'!$H$2:$H$4001,$AA1086)&amp;"")</f>
        <v/>
      </c>
      <c r="G1086">
        <f>IF($AA1086="","",INDEX('Per Line'!$I$2:$I$4001,$AA1086)&amp;"")</f>
        <v/>
      </c>
      <c r="H1086">
        <f>IF($AA1086="","",INDEX('Per Line'!$J$2:$J$4001,$AA1086)&amp;"")</f>
        <v/>
      </c>
      <c r="I1086">
        <f>IF($AA1086="","",INDEX('Per Line'!$K$2:$K$4001,$AA1086)&amp;"")</f>
        <v/>
      </c>
      <c r="J1086">
        <f>IF($AA1086="","",INDEX('Per Line'!$L$2:$L$4001,$AA1086)&amp;"")</f>
        <v/>
      </c>
      <c r="K1086">
        <f>IF($AA1086="","",INDEX('Per Line'!$P$2:$P$4001,$AA1086))</f>
        <v/>
      </c>
      <c r="L1086" s="7">
        <f>IF($AA1086="","",IF(AND(ISNUMBER(N1086),N1086&gt;0,Y1086&gt;N1086),K1086*N1086/100+(Y1086-N1086),K1086*Y1086/100))</f>
        <v/>
      </c>
      <c r="M1086">
        <f>IF($AA1086="","",INDEX('Per Line'!$Z$2:$Z$4001,$AA1086)&amp;"")</f>
        <v/>
      </c>
      <c r="N1086">
        <f>IF($AA1086="","",INDEX('Per Line'!$AG$2:$AG$4001,$AA1086))</f>
        <v/>
      </c>
      <c r="O1086">
        <f>IF($AA1086="","",IF(AND(ISNUMBER(N1086),N1086&gt;0),Y1086&gt;N1086,FALSE))</f>
        <v/>
      </c>
      <c r="P1086" s="7">
        <f>IF($AA1086="","",SUMIFS('Per Line'!$Y$2:$Y$4001,'Per Line'!$E$2:$E$4001,$B1086,'Per Line'!$AQ$2:$AQ$4001,1))</f>
        <v/>
      </c>
      <c r="Q1086">
        <f>IF($AA1086="","",Settings!$C$7)</f>
        <v/>
      </c>
      <c r="R1086" s="7">
        <f>IF($AA1086="","",SUMIFS('Per Line'!$Y$2:$Y$4001,'Per Line'!$E$2:$E$4001,$B1086,'Per Line'!$AP$2:$AP$4001,0,'Per Line'!$AQ$2:$AQ$4001,0))</f>
        <v/>
      </c>
      <c r="S1086" s="7">
        <f>IF($AA1086="","",R1086*Q1086)</f>
        <v/>
      </c>
      <c r="T1086">
        <f>IF($AA1086="","",Settings!$C$6)</f>
        <v/>
      </c>
      <c r="U1086" s="7">
        <f>IF($AA1086="","",SUMIFS('Per Line'!$Y$2:$Y$4001,'Per Line'!$E$2:$E$4001,$B1086,'Per Line'!$AP$2:$AP$4001,1,'Per Line'!$AQ$2:$AQ$4001,0))</f>
        <v/>
      </c>
      <c r="V1086" s="7">
        <f>IF($AA1086="","",U1086*T1086)</f>
        <v/>
      </c>
      <c r="W1086" s="7">
        <f>IF($AA1086="","",V1086+S1086)</f>
        <v/>
      </c>
      <c r="X1086" s="7">
        <f>IF($AA1086="","",Y1086-W1086)</f>
        <v/>
      </c>
      <c r="Y1086" s="7">
        <f>IF($AA1086="","",R1086+U1086+P1086)</f>
        <v/>
      </c>
      <c r="Z1086" s="7">
        <f>IF($AA1086="","",Y1086-W1086-L1086)</f>
        <v/>
      </c>
      <c r="AA1086" s="13">
        <f>IF(ROWS($AA$2:$AA1086)&lt;=MAX('Per Line'!$AO$2:$AO$4001),MATCH(ROWS($AA$2:$AA1086),'Per Line'!$AO$2:$AO$4001,0),"")</f>
        <v/>
      </c>
      <c r="AB1086" s="14">
        <f>IF($AA1086="","",L1086-K1086*Y1086/100)</f>
        <v/>
      </c>
    </row>
    <row r="1087">
      <c r="A1087" s="12" t="n"/>
      <c r="B1087">
        <f>IF($AA1087="","",INDEX('Per Line'!$E$2:$E$4001,$AA1087)&amp;"")</f>
        <v/>
      </c>
      <c r="C1087">
        <f>IF($AA1087="","",INDEX('Per Line'!$A$2:$A$4001,$AA1087)&amp;"")</f>
        <v/>
      </c>
      <c r="D1087">
        <f>IF($AA1087="","",INDEX('Per Line'!$D$2:$D$4001,$AA1087)&amp;"")</f>
        <v/>
      </c>
      <c r="E1087" s="11">
        <f>IF($AA1087="","",INDEX('Per Line'!$G$2:$G$4001,$AA1087))</f>
        <v/>
      </c>
      <c r="F1087">
        <f>IF($AA1087="","",INDEX('Per Line'!$H$2:$H$4001,$AA1087)&amp;"")</f>
        <v/>
      </c>
      <c r="G1087">
        <f>IF($AA1087="","",INDEX('Per Line'!$I$2:$I$4001,$AA1087)&amp;"")</f>
        <v/>
      </c>
      <c r="H1087">
        <f>IF($AA1087="","",INDEX('Per Line'!$J$2:$J$4001,$AA1087)&amp;"")</f>
        <v/>
      </c>
      <c r="I1087">
        <f>IF($AA1087="","",INDEX('Per Line'!$K$2:$K$4001,$AA1087)&amp;"")</f>
        <v/>
      </c>
      <c r="J1087">
        <f>IF($AA1087="","",INDEX('Per Line'!$L$2:$L$4001,$AA1087)&amp;"")</f>
        <v/>
      </c>
      <c r="K1087">
        <f>IF($AA1087="","",INDEX('Per Line'!$P$2:$P$4001,$AA1087))</f>
        <v/>
      </c>
      <c r="L1087" s="7">
        <f>IF($AA1087="","",IF(AND(ISNUMBER(N1087),N1087&gt;0,Y1087&gt;N1087),K1087*N1087/100+(Y1087-N1087),K1087*Y1087/100))</f>
        <v/>
      </c>
      <c r="M1087">
        <f>IF($AA1087="","",INDEX('Per Line'!$Z$2:$Z$4001,$AA1087)&amp;"")</f>
        <v/>
      </c>
      <c r="N1087">
        <f>IF($AA1087="","",INDEX('Per Line'!$AG$2:$AG$4001,$AA1087))</f>
        <v/>
      </c>
      <c r="O1087">
        <f>IF($AA1087="","",IF(AND(ISNUMBER(N1087),N1087&gt;0),Y1087&gt;N1087,FALSE))</f>
        <v/>
      </c>
      <c r="P1087" s="7">
        <f>IF($AA1087="","",SUMIFS('Per Line'!$Y$2:$Y$4001,'Per Line'!$E$2:$E$4001,$B1087,'Per Line'!$AQ$2:$AQ$4001,1))</f>
        <v/>
      </c>
      <c r="Q1087">
        <f>IF($AA1087="","",Settings!$C$7)</f>
        <v/>
      </c>
      <c r="R1087" s="7">
        <f>IF($AA1087="","",SUMIFS('Per Line'!$Y$2:$Y$4001,'Per Line'!$E$2:$E$4001,$B1087,'Per Line'!$AP$2:$AP$4001,0,'Per Line'!$AQ$2:$AQ$4001,0))</f>
        <v/>
      </c>
      <c r="S1087" s="7">
        <f>IF($AA1087="","",R1087*Q1087)</f>
        <v/>
      </c>
      <c r="T1087">
        <f>IF($AA1087="","",Settings!$C$6)</f>
        <v/>
      </c>
      <c r="U1087" s="7">
        <f>IF($AA1087="","",SUMIFS('Per Line'!$Y$2:$Y$4001,'Per Line'!$E$2:$E$4001,$B1087,'Per Line'!$AP$2:$AP$4001,1,'Per Line'!$AQ$2:$AQ$4001,0))</f>
        <v/>
      </c>
      <c r="V1087" s="7">
        <f>IF($AA1087="","",U1087*T1087)</f>
        <v/>
      </c>
      <c r="W1087" s="7">
        <f>IF($AA1087="","",V1087+S1087)</f>
        <v/>
      </c>
      <c r="X1087" s="7">
        <f>IF($AA1087="","",Y1087-W1087)</f>
        <v/>
      </c>
      <c r="Y1087" s="7">
        <f>IF($AA1087="","",R1087+U1087+P1087)</f>
        <v/>
      </c>
      <c r="Z1087" s="7">
        <f>IF($AA1087="","",Y1087-W1087-L1087)</f>
        <v/>
      </c>
      <c r="AA1087" s="13">
        <f>IF(ROWS($AA$2:$AA1087)&lt;=MAX('Per Line'!$AO$2:$AO$4001),MATCH(ROWS($AA$2:$AA1087),'Per Line'!$AO$2:$AO$4001,0),"")</f>
        <v/>
      </c>
      <c r="AB1087" s="14">
        <f>IF($AA1087="","",L1087-K1087*Y1087/100)</f>
        <v/>
      </c>
    </row>
    <row r="1088">
      <c r="A1088" s="12" t="n"/>
      <c r="B1088">
        <f>IF($AA1088="","",INDEX('Per Line'!$E$2:$E$4001,$AA1088)&amp;"")</f>
        <v/>
      </c>
      <c r="C1088">
        <f>IF($AA1088="","",INDEX('Per Line'!$A$2:$A$4001,$AA1088)&amp;"")</f>
        <v/>
      </c>
      <c r="D1088">
        <f>IF($AA1088="","",INDEX('Per Line'!$D$2:$D$4001,$AA1088)&amp;"")</f>
        <v/>
      </c>
      <c r="E1088" s="11">
        <f>IF($AA1088="","",INDEX('Per Line'!$G$2:$G$4001,$AA1088))</f>
        <v/>
      </c>
      <c r="F1088">
        <f>IF($AA1088="","",INDEX('Per Line'!$H$2:$H$4001,$AA1088)&amp;"")</f>
        <v/>
      </c>
      <c r="G1088">
        <f>IF($AA1088="","",INDEX('Per Line'!$I$2:$I$4001,$AA1088)&amp;"")</f>
        <v/>
      </c>
      <c r="H1088">
        <f>IF($AA1088="","",INDEX('Per Line'!$J$2:$J$4001,$AA1088)&amp;"")</f>
        <v/>
      </c>
      <c r="I1088">
        <f>IF($AA1088="","",INDEX('Per Line'!$K$2:$K$4001,$AA1088)&amp;"")</f>
        <v/>
      </c>
      <c r="J1088">
        <f>IF($AA1088="","",INDEX('Per Line'!$L$2:$L$4001,$AA1088)&amp;"")</f>
        <v/>
      </c>
      <c r="K1088">
        <f>IF($AA1088="","",INDEX('Per Line'!$P$2:$P$4001,$AA1088))</f>
        <v/>
      </c>
      <c r="L1088" s="7">
        <f>IF($AA1088="","",IF(AND(ISNUMBER(N1088),N1088&gt;0,Y1088&gt;N1088),K1088*N1088/100+(Y1088-N1088),K1088*Y1088/100))</f>
        <v/>
      </c>
      <c r="M1088">
        <f>IF($AA1088="","",INDEX('Per Line'!$Z$2:$Z$4001,$AA1088)&amp;"")</f>
        <v/>
      </c>
      <c r="N1088">
        <f>IF($AA1088="","",INDEX('Per Line'!$AG$2:$AG$4001,$AA1088))</f>
        <v/>
      </c>
      <c r="O1088">
        <f>IF($AA1088="","",IF(AND(ISNUMBER(N1088),N1088&gt;0),Y1088&gt;N1088,FALSE))</f>
        <v/>
      </c>
      <c r="P1088" s="7">
        <f>IF($AA1088="","",SUMIFS('Per Line'!$Y$2:$Y$4001,'Per Line'!$E$2:$E$4001,$B1088,'Per Line'!$AQ$2:$AQ$4001,1))</f>
        <v/>
      </c>
      <c r="Q1088">
        <f>IF($AA1088="","",Settings!$C$7)</f>
        <v/>
      </c>
      <c r="R1088" s="7">
        <f>IF($AA1088="","",SUMIFS('Per Line'!$Y$2:$Y$4001,'Per Line'!$E$2:$E$4001,$B1088,'Per Line'!$AP$2:$AP$4001,0,'Per Line'!$AQ$2:$AQ$4001,0))</f>
        <v/>
      </c>
      <c r="S1088" s="7">
        <f>IF($AA1088="","",R1088*Q1088)</f>
        <v/>
      </c>
      <c r="T1088">
        <f>IF($AA1088="","",Settings!$C$6)</f>
        <v/>
      </c>
      <c r="U1088" s="7">
        <f>IF($AA1088="","",SUMIFS('Per Line'!$Y$2:$Y$4001,'Per Line'!$E$2:$E$4001,$B1088,'Per Line'!$AP$2:$AP$4001,1,'Per Line'!$AQ$2:$AQ$4001,0))</f>
        <v/>
      </c>
      <c r="V1088" s="7">
        <f>IF($AA1088="","",U1088*T1088)</f>
        <v/>
      </c>
      <c r="W1088" s="7">
        <f>IF($AA1088="","",V1088+S1088)</f>
        <v/>
      </c>
      <c r="X1088" s="7">
        <f>IF($AA1088="","",Y1088-W1088)</f>
        <v/>
      </c>
      <c r="Y1088" s="7">
        <f>IF($AA1088="","",R1088+U1088+P1088)</f>
        <v/>
      </c>
      <c r="Z1088" s="7">
        <f>IF($AA1088="","",Y1088-W1088-L1088)</f>
        <v/>
      </c>
      <c r="AA1088" s="13">
        <f>IF(ROWS($AA$2:$AA1088)&lt;=MAX('Per Line'!$AO$2:$AO$4001),MATCH(ROWS($AA$2:$AA1088),'Per Line'!$AO$2:$AO$4001,0),"")</f>
        <v/>
      </c>
      <c r="AB1088" s="14">
        <f>IF($AA1088="","",L1088-K1088*Y1088/100)</f>
        <v/>
      </c>
    </row>
    <row r="1089">
      <c r="A1089" s="12" t="n"/>
      <c r="B1089">
        <f>IF($AA1089="","",INDEX('Per Line'!$E$2:$E$4001,$AA1089)&amp;"")</f>
        <v/>
      </c>
      <c r="C1089">
        <f>IF($AA1089="","",INDEX('Per Line'!$A$2:$A$4001,$AA1089)&amp;"")</f>
        <v/>
      </c>
      <c r="D1089">
        <f>IF($AA1089="","",INDEX('Per Line'!$D$2:$D$4001,$AA1089)&amp;"")</f>
        <v/>
      </c>
      <c r="E1089" s="11">
        <f>IF($AA1089="","",INDEX('Per Line'!$G$2:$G$4001,$AA1089))</f>
        <v/>
      </c>
      <c r="F1089">
        <f>IF($AA1089="","",INDEX('Per Line'!$H$2:$H$4001,$AA1089)&amp;"")</f>
        <v/>
      </c>
      <c r="G1089">
        <f>IF($AA1089="","",INDEX('Per Line'!$I$2:$I$4001,$AA1089)&amp;"")</f>
        <v/>
      </c>
      <c r="H1089">
        <f>IF($AA1089="","",INDEX('Per Line'!$J$2:$J$4001,$AA1089)&amp;"")</f>
        <v/>
      </c>
      <c r="I1089">
        <f>IF($AA1089="","",INDEX('Per Line'!$K$2:$K$4001,$AA1089)&amp;"")</f>
        <v/>
      </c>
      <c r="J1089">
        <f>IF($AA1089="","",INDEX('Per Line'!$L$2:$L$4001,$AA1089)&amp;"")</f>
        <v/>
      </c>
      <c r="K1089">
        <f>IF($AA1089="","",INDEX('Per Line'!$P$2:$P$4001,$AA1089))</f>
        <v/>
      </c>
      <c r="L1089" s="7">
        <f>IF($AA1089="","",IF(AND(ISNUMBER(N1089),N1089&gt;0,Y1089&gt;N1089),K1089*N1089/100+(Y1089-N1089),K1089*Y1089/100))</f>
        <v/>
      </c>
      <c r="M1089">
        <f>IF($AA1089="","",INDEX('Per Line'!$Z$2:$Z$4001,$AA1089)&amp;"")</f>
        <v/>
      </c>
      <c r="N1089">
        <f>IF($AA1089="","",INDEX('Per Line'!$AG$2:$AG$4001,$AA1089))</f>
        <v/>
      </c>
      <c r="O1089">
        <f>IF($AA1089="","",IF(AND(ISNUMBER(N1089),N1089&gt;0),Y1089&gt;N1089,FALSE))</f>
        <v/>
      </c>
      <c r="P1089" s="7">
        <f>IF($AA1089="","",SUMIFS('Per Line'!$Y$2:$Y$4001,'Per Line'!$E$2:$E$4001,$B1089,'Per Line'!$AQ$2:$AQ$4001,1))</f>
        <v/>
      </c>
      <c r="Q1089">
        <f>IF($AA1089="","",Settings!$C$7)</f>
        <v/>
      </c>
      <c r="R1089" s="7">
        <f>IF($AA1089="","",SUMIFS('Per Line'!$Y$2:$Y$4001,'Per Line'!$E$2:$E$4001,$B1089,'Per Line'!$AP$2:$AP$4001,0,'Per Line'!$AQ$2:$AQ$4001,0))</f>
        <v/>
      </c>
      <c r="S1089" s="7">
        <f>IF($AA1089="","",R1089*Q1089)</f>
        <v/>
      </c>
      <c r="T1089">
        <f>IF($AA1089="","",Settings!$C$6)</f>
        <v/>
      </c>
      <c r="U1089" s="7">
        <f>IF($AA1089="","",SUMIFS('Per Line'!$Y$2:$Y$4001,'Per Line'!$E$2:$E$4001,$B1089,'Per Line'!$AP$2:$AP$4001,1,'Per Line'!$AQ$2:$AQ$4001,0))</f>
        <v/>
      </c>
      <c r="V1089" s="7">
        <f>IF($AA1089="","",U1089*T1089)</f>
        <v/>
      </c>
      <c r="W1089" s="7">
        <f>IF($AA1089="","",V1089+S1089)</f>
        <v/>
      </c>
      <c r="X1089" s="7">
        <f>IF($AA1089="","",Y1089-W1089)</f>
        <v/>
      </c>
      <c r="Y1089" s="7">
        <f>IF($AA1089="","",R1089+U1089+P1089)</f>
        <v/>
      </c>
      <c r="Z1089" s="7">
        <f>IF($AA1089="","",Y1089-W1089-L1089)</f>
        <v/>
      </c>
      <c r="AA1089" s="13">
        <f>IF(ROWS($AA$2:$AA1089)&lt;=MAX('Per Line'!$AO$2:$AO$4001),MATCH(ROWS($AA$2:$AA1089),'Per Line'!$AO$2:$AO$4001,0),"")</f>
        <v/>
      </c>
      <c r="AB1089" s="14">
        <f>IF($AA1089="","",L1089-K1089*Y1089/100)</f>
        <v/>
      </c>
    </row>
    <row r="1090">
      <c r="A1090" s="12" t="n"/>
      <c r="B1090">
        <f>IF($AA1090="","",INDEX('Per Line'!$E$2:$E$4001,$AA1090)&amp;"")</f>
        <v/>
      </c>
      <c r="C1090">
        <f>IF($AA1090="","",INDEX('Per Line'!$A$2:$A$4001,$AA1090)&amp;"")</f>
        <v/>
      </c>
      <c r="D1090">
        <f>IF($AA1090="","",INDEX('Per Line'!$D$2:$D$4001,$AA1090)&amp;"")</f>
        <v/>
      </c>
      <c r="E1090" s="11">
        <f>IF($AA1090="","",INDEX('Per Line'!$G$2:$G$4001,$AA1090))</f>
        <v/>
      </c>
      <c r="F1090">
        <f>IF($AA1090="","",INDEX('Per Line'!$H$2:$H$4001,$AA1090)&amp;"")</f>
        <v/>
      </c>
      <c r="G1090">
        <f>IF($AA1090="","",INDEX('Per Line'!$I$2:$I$4001,$AA1090)&amp;"")</f>
        <v/>
      </c>
      <c r="H1090">
        <f>IF($AA1090="","",INDEX('Per Line'!$J$2:$J$4001,$AA1090)&amp;"")</f>
        <v/>
      </c>
      <c r="I1090">
        <f>IF($AA1090="","",INDEX('Per Line'!$K$2:$K$4001,$AA1090)&amp;"")</f>
        <v/>
      </c>
      <c r="J1090">
        <f>IF($AA1090="","",INDEX('Per Line'!$L$2:$L$4001,$AA1090)&amp;"")</f>
        <v/>
      </c>
      <c r="K1090">
        <f>IF($AA1090="","",INDEX('Per Line'!$P$2:$P$4001,$AA1090))</f>
        <v/>
      </c>
      <c r="L1090" s="7">
        <f>IF($AA1090="","",IF(AND(ISNUMBER(N1090),N1090&gt;0,Y1090&gt;N1090),K1090*N1090/100+(Y1090-N1090),K1090*Y1090/100))</f>
        <v/>
      </c>
      <c r="M1090">
        <f>IF($AA1090="","",INDEX('Per Line'!$Z$2:$Z$4001,$AA1090)&amp;"")</f>
        <v/>
      </c>
      <c r="N1090">
        <f>IF($AA1090="","",INDEX('Per Line'!$AG$2:$AG$4001,$AA1090))</f>
        <v/>
      </c>
      <c r="O1090">
        <f>IF($AA1090="","",IF(AND(ISNUMBER(N1090),N1090&gt;0),Y1090&gt;N1090,FALSE))</f>
        <v/>
      </c>
      <c r="P1090" s="7">
        <f>IF($AA1090="","",SUMIFS('Per Line'!$Y$2:$Y$4001,'Per Line'!$E$2:$E$4001,$B1090,'Per Line'!$AQ$2:$AQ$4001,1))</f>
        <v/>
      </c>
      <c r="Q1090">
        <f>IF($AA1090="","",Settings!$C$7)</f>
        <v/>
      </c>
      <c r="R1090" s="7">
        <f>IF($AA1090="","",SUMIFS('Per Line'!$Y$2:$Y$4001,'Per Line'!$E$2:$E$4001,$B1090,'Per Line'!$AP$2:$AP$4001,0,'Per Line'!$AQ$2:$AQ$4001,0))</f>
        <v/>
      </c>
      <c r="S1090" s="7">
        <f>IF($AA1090="","",R1090*Q1090)</f>
        <v/>
      </c>
      <c r="T1090">
        <f>IF($AA1090="","",Settings!$C$6)</f>
        <v/>
      </c>
      <c r="U1090" s="7">
        <f>IF($AA1090="","",SUMIFS('Per Line'!$Y$2:$Y$4001,'Per Line'!$E$2:$E$4001,$B1090,'Per Line'!$AP$2:$AP$4001,1,'Per Line'!$AQ$2:$AQ$4001,0))</f>
        <v/>
      </c>
      <c r="V1090" s="7">
        <f>IF($AA1090="","",U1090*T1090)</f>
        <v/>
      </c>
      <c r="W1090" s="7">
        <f>IF($AA1090="","",V1090+S1090)</f>
        <v/>
      </c>
      <c r="X1090" s="7">
        <f>IF($AA1090="","",Y1090-W1090)</f>
        <v/>
      </c>
      <c r="Y1090" s="7">
        <f>IF($AA1090="","",R1090+U1090+P1090)</f>
        <v/>
      </c>
      <c r="Z1090" s="7">
        <f>IF($AA1090="","",Y1090-W1090-L1090)</f>
        <v/>
      </c>
      <c r="AA1090" s="13">
        <f>IF(ROWS($AA$2:$AA1090)&lt;=MAX('Per Line'!$AO$2:$AO$4001),MATCH(ROWS($AA$2:$AA1090),'Per Line'!$AO$2:$AO$4001,0),"")</f>
        <v/>
      </c>
      <c r="AB1090" s="14">
        <f>IF($AA1090="","",L1090-K1090*Y1090/100)</f>
        <v/>
      </c>
    </row>
    <row r="1091">
      <c r="A1091" s="12" t="n"/>
      <c r="B1091">
        <f>IF($AA1091="","",INDEX('Per Line'!$E$2:$E$4001,$AA1091)&amp;"")</f>
        <v/>
      </c>
      <c r="C1091">
        <f>IF($AA1091="","",INDEX('Per Line'!$A$2:$A$4001,$AA1091)&amp;"")</f>
        <v/>
      </c>
      <c r="D1091">
        <f>IF($AA1091="","",INDEX('Per Line'!$D$2:$D$4001,$AA1091)&amp;"")</f>
        <v/>
      </c>
      <c r="E1091" s="11">
        <f>IF($AA1091="","",INDEX('Per Line'!$G$2:$G$4001,$AA1091))</f>
        <v/>
      </c>
      <c r="F1091">
        <f>IF($AA1091="","",INDEX('Per Line'!$H$2:$H$4001,$AA1091)&amp;"")</f>
        <v/>
      </c>
      <c r="G1091">
        <f>IF($AA1091="","",INDEX('Per Line'!$I$2:$I$4001,$AA1091)&amp;"")</f>
        <v/>
      </c>
      <c r="H1091">
        <f>IF($AA1091="","",INDEX('Per Line'!$J$2:$J$4001,$AA1091)&amp;"")</f>
        <v/>
      </c>
      <c r="I1091">
        <f>IF($AA1091="","",INDEX('Per Line'!$K$2:$K$4001,$AA1091)&amp;"")</f>
        <v/>
      </c>
      <c r="J1091">
        <f>IF($AA1091="","",INDEX('Per Line'!$L$2:$L$4001,$AA1091)&amp;"")</f>
        <v/>
      </c>
      <c r="K1091">
        <f>IF($AA1091="","",INDEX('Per Line'!$P$2:$P$4001,$AA1091))</f>
        <v/>
      </c>
      <c r="L1091" s="7">
        <f>IF($AA1091="","",IF(AND(ISNUMBER(N1091),N1091&gt;0,Y1091&gt;N1091),K1091*N1091/100+(Y1091-N1091),K1091*Y1091/100))</f>
        <v/>
      </c>
      <c r="M1091">
        <f>IF($AA1091="","",INDEX('Per Line'!$Z$2:$Z$4001,$AA1091)&amp;"")</f>
        <v/>
      </c>
      <c r="N1091">
        <f>IF($AA1091="","",INDEX('Per Line'!$AG$2:$AG$4001,$AA1091))</f>
        <v/>
      </c>
      <c r="O1091">
        <f>IF($AA1091="","",IF(AND(ISNUMBER(N1091),N1091&gt;0),Y1091&gt;N1091,FALSE))</f>
        <v/>
      </c>
      <c r="P1091" s="7">
        <f>IF($AA1091="","",SUMIFS('Per Line'!$Y$2:$Y$4001,'Per Line'!$E$2:$E$4001,$B1091,'Per Line'!$AQ$2:$AQ$4001,1))</f>
        <v/>
      </c>
      <c r="Q1091">
        <f>IF($AA1091="","",Settings!$C$7)</f>
        <v/>
      </c>
      <c r="R1091" s="7">
        <f>IF($AA1091="","",SUMIFS('Per Line'!$Y$2:$Y$4001,'Per Line'!$E$2:$E$4001,$B1091,'Per Line'!$AP$2:$AP$4001,0,'Per Line'!$AQ$2:$AQ$4001,0))</f>
        <v/>
      </c>
      <c r="S1091" s="7">
        <f>IF($AA1091="","",R1091*Q1091)</f>
        <v/>
      </c>
      <c r="T1091">
        <f>IF($AA1091="","",Settings!$C$6)</f>
        <v/>
      </c>
      <c r="U1091" s="7">
        <f>IF($AA1091="","",SUMIFS('Per Line'!$Y$2:$Y$4001,'Per Line'!$E$2:$E$4001,$B1091,'Per Line'!$AP$2:$AP$4001,1,'Per Line'!$AQ$2:$AQ$4001,0))</f>
        <v/>
      </c>
      <c r="V1091" s="7">
        <f>IF($AA1091="","",U1091*T1091)</f>
        <v/>
      </c>
      <c r="W1091" s="7">
        <f>IF($AA1091="","",V1091+S1091)</f>
        <v/>
      </c>
      <c r="X1091" s="7">
        <f>IF($AA1091="","",Y1091-W1091)</f>
        <v/>
      </c>
      <c r="Y1091" s="7">
        <f>IF($AA1091="","",R1091+U1091+P1091)</f>
        <v/>
      </c>
      <c r="Z1091" s="7">
        <f>IF($AA1091="","",Y1091-W1091-L1091)</f>
        <v/>
      </c>
      <c r="AA1091" s="13">
        <f>IF(ROWS($AA$2:$AA1091)&lt;=MAX('Per Line'!$AO$2:$AO$4001),MATCH(ROWS($AA$2:$AA1091),'Per Line'!$AO$2:$AO$4001,0),"")</f>
        <v/>
      </c>
      <c r="AB1091" s="14">
        <f>IF($AA1091="","",L1091-K1091*Y1091/100)</f>
        <v/>
      </c>
    </row>
    <row r="1092">
      <c r="A1092" s="12" t="n"/>
      <c r="B1092">
        <f>IF($AA1092="","",INDEX('Per Line'!$E$2:$E$4001,$AA1092)&amp;"")</f>
        <v/>
      </c>
      <c r="C1092">
        <f>IF($AA1092="","",INDEX('Per Line'!$A$2:$A$4001,$AA1092)&amp;"")</f>
        <v/>
      </c>
      <c r="D1092">
        <f>IF($AA1092="","",INDEX('Per Line'!$D$2:$D$4001,$AA1092)&amp;"")</f>
        <v/>
      </c>
      <c r="E1092" s="11">
        <f>IF($AA1092="","",INDEX('Per Line'!$G$2:$G$4001,$AA1092))</f>
        <v/>
      </c>
      <c r="F1092">
        <f>IF($AA1092="","",INDEX('Per Line'!$H$2:$H$4001,$AA1092)&amp;"")</f>
        <v/>
      </c>
      <c r="G1092">
        <f>IF($AA1092="","",INDEX('Per Line'!$I$2:$I$4001,$AA1092)&amp;"")</f>
        <v/>
      </c>
      <c r="H1092">
        <f>IF($AA1092="","",INDEX('Per Line'!$J$2:$J$4001,$AA1092)&amp;"")</f>
        <v/>
      </c>
      <c r="I1092">
        <f>IF($AA1092="","",INDEX('Per Line'!$K$2:$K$4001,$AA1092)&amp;"")</f>
        <v/>
      </c>
      <c r="J1092">
        <f>IF($AA1092="","",INDEX('Per Line'!$L$2:$L$4001,$AA1092)&amp;"")</f>
        <v/>
      </c>
      <c r="K1092">
        <f>IF($AA1092="","",INDEX('Per Line'!$P$2:$P$4001,$AA1092))</f>
        <v/>
      </c>
      <c r="L1092" s="7">
        <f>IF($AA1092="","",IF(AND(ISNUMBER(N1092),N1092&gt;0,Y1092&gt;N1092),K1092*N1092/100+(Y1092-N1092),K1092*Y1092/100))</f>
        <v/>
      </c>
      <c r="M1092">
        <f>IF($AA1092="","",INDEX('Per Line'!$Z$2:$Z$4001,$AA1092)&amp;"")</f>
        <v/>
      </c>
      <c r="N1092">
        <f>IF($AA1092="","",INDEX('Per Line'!$AG$2:$AG$4001,$AA1092))</f>
        <v/>
      </c>
      <c r="O1092">
        <f>IF($AA1092="","",IF(AND(ISNUMBER(N1092),N1092&gt;0),Y1092&gt;N1092,FALSE))</f>
        <v/>
      </c>
      <c r="P1092" s="7">
        <f>IF($AA1092="","",SUMIFS('Per Line'!$Y$2:$Y$4001,'Per Line'!$E$2:$E$4001,$B1092,'Per Line'!$AQ$2:$AQ$4001,1))</f>
        <v/>
      </c>
      <c r="Q1092">
        <f>IF($AA1092="","",Settings!$C$7)</f>
        <v/>
      </c>
      <c r="R1092" s="7">
        <f>IF($AA1092="","",SUMIFS('Per Line'!$Y$2:$Y$4001,'Per Line'!$E$2:$E$4001,$B1092,'Per Line'!$AP$2:$AP$4001,0,'Per Line'!$AQ$2:$AQ$4001,0))</f>
        <v/>
      </c>
      <c r="S1092" s="7">
        <f>IF($AA1092="","",R1092*Q1092)</f>
        <v/>
      </c>
      <c r="T1092">
        <f>IF($AA1092="","",Settings!$C$6)</f>
        <v/>
      </c>
      <c r="U1092" s="7">
        <f>IF($AA1092="","",SUMIFS('Per Line'!$Y$2:$Y$4001,'Per Line'!$E$2:$E$4001,$B1092,'Per Line'!$AP$2:$AP$4001,1,'Per Line'!$AQ$2:$AQ$4001,0))</f>
        <v/>
      </c>
      <c r="V1092" s="7">
        <f>IF($AA1092="","",U1092*T1092)</f>
        <v/>
      </c>
      <c r="W1092" s="7">
        <f>IF($AA1092="","",V1092+S1092)</f>
        <v/>
      </c>
      <c r="X1092" s="7">
        <f>IF($AA1092="","",Y1092-W1092)</f>
        <v/>
      </c>
      <c r="Y1092" s="7">
        <f>IF($AA1092="","",R1092+U1092+P1092)</f>
        <v/>
      </c>
      <c r="Z1092" s="7">
        <f>IF($AA1092="","",Y1092-W1092-L1092)</f>
        <v/>
      </c>
      <c r="AA1092" s="13">
        <f>IF(ROWS($AA$2:$AA1092)&lt;=MAX('Per Line'!$AO$2:$AO$4001),MATCH(ROWS($AA$2:$AA1092),'Per Line'!$AO$2:$AO$4001,0),"")</f>
        <v/>
      </c>
      <c r="AB1092" s="14">
        <f>IF($AA1092="","",L1092-K1092*Y1092/100)</f>
        <v/>
      </c>
    </row>
    <row r="1093">
      <c r="A1093" s="12" t="n"/>
      <c r="B1093">
        <f>IF($AA1093="","",INDEX('Per Line'!$E$2:$E$4001,$AA1093)&amp;"")</f>
        <v/>
      </c>
      <c r="C1093">
        <f>IF($AA1093="","",INDEX('Per Line'!$A$2:$A$4001,$AA1093)&amp;"")</f>
        <v/>
      </c>
      <c r="D1093">
        <f>IF($AA1093="","",INDEX('Per Line'!$D$2:$D$4001,$AA1093)&amp;"")</f>
        <v/>
      </c>
      <c r="E1093" s="11">
        <f>IF($AA1093="","",INDEX('Per Line'!$G$2:$G$4001,$AA1093))</f>
        <v/>
      </c>
      <c r="F1093">
        <f>IF($AA1093="","",INDEX('Per Line'!$H$2:$H$4001,$AA1093)&amp;"")</f>
        <v/>
      </c>
      <c r="G1093">
        <f>IF($AA1093="","",INDEX('Per Line'!$I$2:$I$4001,$AA1093)&amp;"")</f>
        <v/>
      </c>
      <c r="H1093">
        <f>IF($AA1093="","",INDEX('Per Line'!$J$2:$J$4001,$AA1093)&amp;"")</f>
        <v/>
      </c>
      <c r="I1093">
        <f>IF($AA1093="","",INDEX('Per Line'!$K$2:$K$4001,$AA1093)&amp;"")</f>
        <v/>
      </c>
      <c r="J1093">
        <f>IF($AA1093="","",INDEX('Per Line'!$L$2:$L$4001,$AA1093)&amp;"")</f>
        <v/>
      </c>
      <c r="K1093">
        <f>IF($AA1093="","",INDEX('Per Line'!$P$2:$P$4001,$AA1093))</f>
        <v/>
      </c>
      <c r="L1093" s="7">
        <f>IF($AA1093="","",IF(AND(ISNUMBER(N1093),N1093&gt;0,Y1093&gt;N1093),K1093*N1093/100+(Y1093-N1093),K1093*Y1093/100))</f>
        <v/>
      </c>
      <c r="M1093">
        <f>IF($AA1093="","",INDEX('Per Line'!$Z$2:$Z$4001,$AA1093)&amp;"")</f>
        <v/>
      </c>
      <c r="N1093">
        <f>IF($AA1093="","",INDEX('Per Line'!$AG$2:$AG$4001,$AA1093))</f>
        <v/>
      </c>
      <c r="O1093">
        <f>IF($AA1093="","",IF(AND(ISNUMBER(N1093),N1093&gt;0),Y1093&gt;N1093,FALSE))</f>
        <v/>
      </c>
      <c r="P1093" s="7">
        <f>IF($AA1093="","",SUMIFS('Per Line'!$Y$2:$Y$4001,'Per Line'!$E$2:$E$4001,$B1093,'Per Line'!$AQ$2:$AQ$4001,1))</f>
        <v/>
      </c>
      <c r="Q1093">
        <f>IF($AA1093="","",Settings!$C$7)</f>
        <v/>
      </c>
      <c r="R1093" s="7">
        <f>IF($AA1093="","",SUMIFS('Per Line'!$Y$2:$Y$4001,'Per Line'!$E$2:$E$4001,$B1093,'Per Line'!$AP$2:$AP$4001,0,'Per Line'!$AQ$2:$AQ$4001,0))</f>
        <v/>
      </c>
      <c r="S1093" s="7">
        <f>IF($AA1093="","",R1093*Q1093)</f>
        <v/>
      </c>
      <c r="T1093">
        <f>IF($AA1093="","",Settings!$C$6)</f>
        <v/>
      </c>
      <c r="U1093" s="7">
        <f>IF($AA1093="","",SUMIFS('Per Line'!$Y$2:$Y$4001,'Per Line'!$E$2:$E$4001,$B1093,'Per Line'!$AP$2:$AP$4001,1,'Per Line'!$AQ$2:$AQ$4001,0))</f>
        <v/>
      </c>
      <c r="V1093" s="7">
        <f>IF($AA1093="","",U1093*T1093)</f>
        <v/>
      </c>
      <c r="W1093" s="7">
        <f>IF($AA1093="","",V1093+S1093)</f>
        <v/>
      </c>
      <c r="X1093" s="7">
        <f>IF($AA1093="","",Y1093-W1093)</f>
        <v/>
      </c>
      <c r="Y1093" s="7">
        <f>IF($AA1093="","",R1093+U1093+P1093)</f>
        <v/>
      </c>
      <c r="Z1093" s="7">
        <f>IF($AA1093="","",Y1093-W1093-L1093)</f>
        <v/>
      </c>
      <c r="AA1093" s="13">
        <f>IF(ROWS($AA$2:$AA1093)&lt;=MAX('Per Line'!$AO$2:$AO$4001),MATCH(ROWS($AA$2:$AA1093),'Per Line'!$AO$2:$AO$4001,0),"")</f>
        <v/>
      </c>
      <c r="AB1093" s="14">
        <f>IF($AA1093="","",L1093-K1093*Y1093/100)</f>
        <v/>
      </c>
    </row>
    <row r="1094">
      <c r="A1094" s="12" t="n"/>
      <c r="B1094">
        <f>IF($AA1094="","",INDEX('Per Line'!$E$2:$E$4001,$AA1094)&amp;"")</f>
        <v/>
      </c>
      <c r="C1094">
        <f>IF($AA1094="","",INDEX('Per Line'!$A$2:$A$4001,$AA1094)&amp;"")</f>
        <v/>
      </c>
      <c r="D1094">
        <f>IF($AA1094="","",INDEX('Per Line'!$D$2:$D$4001,$AA1094)&amp;"")</f>
        <v/>
      </c>
      <c r="E1094" s="11">
        <f>IF($AA1094="","",INDEX('Per Line'!$G$2:$G$4001,$AA1094))</f>
        <v/>
      </c>
      <c r="F1094">
        <f>IF($AA1094="","",INDEX('Per Line'!$H$2:$H$4001,$AA1094)&amp;"")</f>
        <v/>
      </c>
      <c r="G1094">
        <f>IF($AA1094="","",INDEX('Per Line'!$I$2:$I$4001,$AA1094)&amp;"")</f>
        <v/>
      </c>
      <c r="H1094">
        <f>IF($AA1094="","",INDEX('Per Line'!$J$2:$J$4001,$AA1094)&amp;"")</f>
        <v/>
      </c>
      <c r="I1094">
        <f>IF($AA1094="","",INDEX('Per Line'!$K$2:$K$4001,$AA1094)&amp;"")</f>
        <v/>
      </c>
      <c r="J1094">
        <f>IF($AA1094="","",INDEX('Per Line'!$L$2:$L$4001,$AA1094)&amp;"")</f>
        <v/>
      </c>
      <c r="K1094">
        <f>IF($AA1094="","",INDEX('Per Line'!$P$2:$P$4001,$AA1094))</f>
        <v/>
      </c>
      <c r="L1094" s="7">
        <f>IF($AA1094="","",IF(AND(ISNUMBER(N1094),N1094&gt;0,Y1094&gt;N1094),K1094*N1094/100+(Y1094-N1094),K1094*Y1094/100))</f>
        <v/>
      </c>
      <c r="M1094">
        <f>IF($AA1094="","",INDEX('Per Line'!$Z$2:$Z$4001,$AA1094)&amp;"")</f>
        <v/>
      </c>
      <c r="N1094">
        <f>IF($AA1094="","",INDEX('Per Line'!$AG$2:$AG$4001,$AA1094))</f>
        <v/>
      </c>
      <c r="O1094">
        <f>IF($AA1094="","",IF(AND(ISNUMBER(N1094),N1094&gt;0),Y1094&gt;N1094,FALSE))</f>
        <v/>
      </c>
      <c r="P1094" s="7">
        <f>IF($AA1094="","",SUMIFS('Per Line'!$Y$2:$Y$4001,'Per Line'!$E$2:$E$4001,$B1094,'Per Line'!$AQ$2:$AQ$4001,1))</f>
        <v/>
      </c>
      <c r="Q1094">
        <f>IF($AA1094="","",Settings!$C$7)</f>
        <v/>
      </c>
      <c r="R1094" s="7">
        <f>IF($AA1094="","",SUMIFS('Per Line'!$Y$2:$Y$4001,'Per Line'!$E$2:$E$4001,$B1094,'Per Line'!$AP$2:$AP$4001,0,'Per Line'!$AQ$2:$AQ$4001,0))</f>
        <v/>
      </c>
      <c r="S1094" s="7">
        <f>IF($AA1094="","",R1094*Q1094)</f>
        <v/>
      </c>
      <c r="T1094">
        <f>IF($AA1094="","",Settings!$C$6)</f>
        <v/>
      </c>
      <c r="U1094" s="7">
        <f>IF($AA1094="","",SUMIFS('Per Line'!$Y$2:$Y$4001,'Per Line'!$E$2:$E$4001,$B1094,'Per Line'!$AP$2:$AP$4001,1,'Per Line'!$AQ$2:$AQ$4001,0))</f>
        <v/>
      </c>
      <c r="V1094" s="7">
        <f>IF($AA1094="","",U1094*T1094)</f>
        <v/>
      </c>
      <c r="W1094" s="7">
        <f>IF($AA1094="","",V1094+S1094)</f>
        <v/>
      </c>
      <c r="X1094" s="7">
        <f>IF($AA1094="","",Y1094-W1094)</f>
        <v/>
      </c>
      <c r="Y1094" s="7">
        <f>IF($AA1094="","",R1094+U1094+P1094)</f>
        <v/>
      </c>
      <c r="Z1094" s="7">
        <f>IF($AA1094="","",Y1094-W1094-L1094)</f>
        <v/>
      </c>
      <c r="AA1094" s="13">
        <f>IF(ROWS($AA$2:$AA1094)&lt;=MAX('Per Line'!$AO$2:$AO$4001),MATCH(ROWS($AA$2:$AA1094),'Per Line'!$AO$2:$AO$4001,0),"")</f>
        <v/>
      </c>
      <c r="AB1094" s="14">
        <f>IF($AA1094="","",L1094-K1094*Y1094/100)</f>
        <v/>
      </c>
    </row>
    <row r="1095">
      <c r="A1095" s="12" t="n"/>
      <c r="B1095">
        <f>IF($AA1095="","",INDEX('Per Line'!$E$2:$E$4001,$AA1095)&amp;"")</f>
        <v/>
      </c>
      <c r="C1095">
        <f>IF($AA1095="","",INDEX('Per Line'!$A$2:$A$4001,$AA1095)&amp;"")</f>
        <v/>
      </c>
      <c r="D1095">
        <f>IF($AA1095="","",INDEX('Per Line'!$D$2:$D$4001,$AA1095)&amp;"")</f>
        <v/>
      </c>
      <c r="E1095" s="11">
        <f>IF($AA1095="","",INDEX('Per Line'!$G$2:$G$4001,$AA1095))</f>
        <v/>
      </c>
      <c r="F1095">
        <f>IF($AA1095="","",INDEX('Per Line'!$H$2:$H$4001,$AA1095)&amp;"")</f>
        <v/>
      </c>
      <c r="G1095">
        <f>IF($AA1095="","",INDEX('Per Line'!$I$2:$I$4001,$AA1095)&amp;"")</f>
        <v/>
      </c>
      <c r="H1095">
        <f>IF($AA1095="","",INDEX('Per Line'!$J$2:$J$4001,$AA1095)&amp;"")</f>
        <v/>
      </c>
      <c r="I1095">
        <f>IF($AA1095="","",INDEX('Per Line'!$K$2:$K$4001,$AA1095)&amp;"")</f>
        <v/>
      </c>
      <c r="J1095">
        <f>IF($AA1095="","",INDEX('Per Line'!$L$2:$L$4001,$AA1095)&amp;"")</f>
        <v/>
      </c>
      <c r="K1095">
        <f>IF($AA1095="","",INDEX('Per Line'!$P$2:$P$4001,$AA1095))</f>
        <v/>
      </c>
      <c r="L1095" s="7">
        <f>IF($AA1095="","",IF(AND(ISNUMBER(N1095),N1095&gt;0,Y1095&gt;N1095),K1095*N1095/100+(Y1095-N1095),K1095*Y1095/100))</f>
        <v/>
      </c>
      <c r="M1095">
        <f>IF($AA1095="","",INDEX('Per Line'!$Z$2:$Z$4001,$AA1095)&amp;"")</f>
        <v/>
      </c>
      <c r="N1095">
        <f>IF($AA1095="","",INDEX('Per Line'!$AG$2:$AG$4001,$AA1095))</f>
        <v/>
      </c>
      <c r="O1095">
        <f>IF($AA1095="","",IF(AND(ISNUMBER(N1095),N1095&gt;0),Y1095&gt;N1095,FALSE))</f>
        <v/>
      </c>
      <c r="P1095" s="7">
        <f>IF($AA1095="","",SUMIFS('Per Line'!$Y$2:$Y$4001,'Per Line'!$E$2:$E$4001,$B1095,'Per Line'!$AQ$2:$AQ$4001,1))</f>
        <v/>
      </c>
      <c r="Q1095">
        <f>IF($AA1095="","",Settings!$C$7)</f>
        <v/>
      </c>
      <c r="R1095" s="7">
        <f>IF($AA1095="","",SUMIFS('Per Line'!$Y$2:$Y$4001,'Per Line'!$E$2:$E$4001,$B1095,'Per Line'!$AP$2:$AP$4001,0,'Per Line'!$AQ$2:$AQ$4001,0))</f>
        <v/>
      </c>
      <c r="S1095" s="7">
        <f>IF($AA1095="","",R1095*Q1095)</f>
        <v/>
      </c>
      <c r="T1095">
        <f>IF($AA1095="","",Settings!$C$6)</f>
        <v/>
      </c>
      <c r="U1095" s="7">
        <f>IF($AA1095="","",SUMIFS('Per Line'!$Y$2:$Y$4001,'Per Line'!$E$2:$E$4001,$B1095,'Per Line'!$AP$2:$AP$4001,1,'Per Line'!$AQ$2:$AQ$4001,0))</f>
        <v/>
      </c>
      <c r="V1095" s="7">
        <f>IF($AA1095="","",U1095*T1095)</f>
        <v/>
      </c>
      <c r="W1095" s="7">
        <f>IF($AA1095="","",V1095+S1095)</f>
        <v/>
      </c>
      <c r="X1095" s="7">
        <f>IF($AA1095="","",Y1095-W1095)</f>
        <v/>
      </c>
      <c r="Y1095" s="7">
        <f>IF($AA1095="","",R1095+U1095+P1095)</f>
        <v/>
      </c>
      <c r="Z1095" s="7">
        <f>IF($AA1095="","",Y1095-W1095-L1095)</f>
        <v/>
      </c>
      <c r="AA1095" s="13">
        <f>IF(ROWS($AA$2:$AA1095)&lt;=MAX('Per Line'!$AO$2:$AO$4001),MATCH(ROWS($AA$2:$AA1095),'Per Line'!$AO$2:$AO$4001,0),"")</f>
        <v/>
      </c>
      <c r="AB1095" s="14">
        <f>IF($AA1095="","",L1095-K1095*Y1095/100)</f>
        <v/>
      </c>
    </row>
    <row r="1096">
      <c r="A1096" s="12" t="n"/>
      <c r="B1096">
        <f>IF($AA1096="","",INDEX('Per Line'!$E$2:$E$4001,$AA1096)&amp;"")</f>
        <v/>
      </c>
      <c r="C1096">
        <f>IF($AA1096="","",INDEX('Per Line'!$A$2:$A$4001,$AA1096)&amp;"")</f>
        <v/>
      </c>
      <c r="D1096">
        <f>IF($AA1096="","",INDEX('Per Line'!$D$2:$D$4001,$AA1096)&amp;"")</f>
        <v/>
      </c>
      <c r="E1096" s="11">
        <f>IF($AA1096="","",INDEX('Per Line'!$G$2:$G$4001,$AA1096))</f>
        <v/>
      </c>
      <c r="F1096">
        <f>IF($AA1096="","",INDEX('Per Line'!$H$2:$H$4001,$AA1096)&amp;"")</f>
        <v/>
      </c>
      <c r="G1096">
        <f>IF($AA1096="","",INDEX('Per Line'!$I$2:$I$4001,$AA1096)&amp;"")</f>
        <v/>
      </c>
      <c r="H1096">
        <f>IF($AA1096="","",INDEX('Per Line'!$J$2:$J$4001,$AA1096)&amp;"")</f>
        <v/>
      </c>
      <c r="I1096">
        <f>IF($AA1096="","",INDEX('Per Line'!$K$2:$K$4001,$AA1096)&amp;"")</f>
        <v/>
      </c>
      <c r="J1096">
        <f>IF($AA1096="","",INDEX('Per Line'!$L$2:$L$4001,$AA1096)&amp;"")</f>
        <v/>
      </c>
      <c r="K1096">
        <f>IF($AA1096="","",INDEX('Per Line'!$P$2:$P$4001,$AA1096))</f>
        <v/>
      </c>
      <c r="L1096" s="7">
        <f>IF($AA1096="","",IF(AND(ISNUMBER(N1096),N1096&gt;0,Y1096&gt;N1096),K1096*N1096/100+(Y1096-N1096),K1096*Y1096/100))</f>
        <v/>
      </c>
      <c r="M1096">
        <f>IF($AA1096="","",INDEX('Per Line'!$Z$2:$Z$4001,$AA1096)&amp;"")</f>
        <v/>
      </c>
      <c r="N1096">
        <f>IF($AA1096="","",INDEX('Per Line'!$AG$2:$AG$4001,$AA1096))</f>
        <v/>
      </c>
      <c r="O1096">
        <f>IF($AA1096="","",IF(AND(ISNUMBER(N1096),N1096&gt;0),Y1096&gt;N1096,FALSE))</f>
        <v/>
      </c>
      <c r="P1096" s="7">
        <f>IF($AA1096="","",SUMIFS('Per Line'!$Y$2:$Y$4001,'Per Line'!$E$2:$E$4001,$B1096,'Per Line'!$AQ$2:$AQ$4001,1))</f>
        <v/>
      </c>
      <c r="Q1096">
        <f>IF($AA1096="","",Settings!$C$7)</f>
        <v/>
      </c>
      <c r="R1096" s="7">
        <f>IF($AA1096="","",SUMIFS('Per Line'!$Y$2:$Y$4001,'Per Line'!$E$2:$E$4001,$B1096,'Per Line'!$AP$2:$AP$4001,0,'Per Line'!$AQ$2:$AQ$4001,0))</f>
        <v/>
      </c>
      <c r="S1096" s="7">
        <f>IF($AA1096="","",R1096*Q1096)</f>
        <v/>
      </c>
      <c r="T1096">
        <f>IF($AA1096="","",Settings!$C$6)</f>
        <v/>
      </c>
      <c r="U1096" s="7">
        <f>IF($AA1096="","",SUMIFS('Per Line'!$Y$2:$Y$4001,'Per Line'!$E$2:$E$4001,$B1096,'Per Line'!$AP$2:$AP$4001,1,'Per Line'!$AQ$2:$AQ$4001,0))</f>
        <v/>
      </c>
      <c r="V1096" s="7">
        <f>IF($AA1096="","",U1096*T1096)</f>
        <v/>
      </c>
      <c r="W1096" s="7">
        <f>IF($AA1096="","",V1096+S1096)</f>
        <v/>
      </c>
      <c r="X1096" s="7">
        <f>IF($AA1096="","",Y1096-W1096)</f>
        <v/>
      </c>
      <c r="Y1096" s="7">
        <f>IF($AA1096="","",R1096+U1096+P1096)</f>
        <v/>
      </c>
      <c r="Z1096" s="7">
        <f>IF($AA1096="","",Y1096-W1096-L1096)</f>
        <v/>
      </c>
      <c r="AA1096" s="13">
        <f>IF(ROWS($AA$2:$AA1096)&lt;=MAX('Per Line'!$AO$2:$AO$4001),MATCH(ROWS($AA$2:$AA1096),'Per Line'!$AO$2:$AO$4001,0),"")</f>
        <v/>
      </c>
      <c r="AB1096" s="14">
        <f>IF($AA1096="","",L1096-K1096*Y1096/100)</f>
        <v/>
      </c>
    </row>
    <row r="1097">
      <c r="A1097" s="12" t="n"/>
      <c r="B1097">
        <f>IF($AA1097="","",INDEX('Per Line'!$E$2:$E$4001,$AA1097)&amp;"")</f>
        <v/>
      </c>
      <c r="C1097">
        <f>IF($AA1097="","",INDEX('Per Line'!$A$2:$A$4001,$AA1097)&amp;"")</f>
        <v/>
      </c>
      <c r="D1097">
        <f>IF($AA1097="","",INDEX('Per Line'!$D$2:$D$4001,$AA1097)&amp;"")</f>
        <v/>
      </c>
      <c r="E1097" s="11">
        <f>IF($AA1097="","",INDEX('Per Line'!$G$2:$G$4001,$AA1097))</f>
        <v/>
      </c>
      <c r="F1097">
        <f>IF($AA1097="","",INDEX('Per Line'!$H$2:$H$4001,$AA1097)&amp;"")</f>
        <v/>
      </c>
      <c r="G1097">
        <f>IF($AA1097="","",INDEX('Per Line'!$I$2:$I$4001,$AA1097)&amp;"")</f>
        <v/>
      </c>
      <c r="H1097">
        <f>IF($AA1097="","",INDEX('Per Line'!$J$2:$J$4001,$AA1097)&amp;"")</f>
        <v/>
      </c>
      <c r="I1097">
        <f>IF($AA1097="","",INDEX('Per Line'!$K$2:$K$4001,$AA1097)&amp;"")</f>
        <v/>
      </c>
      <c r="J1097">
        <f>IF($AA1097="","",INDEX('Per Line'!$L$2:$L$4001,$AA1097)&amp;"")</f>
        <v/>
      </c>
      <c r="K1097">
        <f>IF($AA1097="","",INDEX('Per Line'!$P$2:$P$4001,$AA1097))</f>
        <v/>
      </c>
      <c r="L1097" s="7">
        <f>IF($AA1097="","",IF(AND(ISNUMBER(N1097),N1097&gt;0,Y1097&gt;N1097),K1097*N1097/100+(Y1097-N1097),K1097*Y1097/100))</f>
        <v/>
      </c>
      <c r="M1097">
        <f>IF($AA1097="","",INDEX('Per Line'!$Z$2:$Z$4001,$AA1097)&amp;"")</f>
        <v/>
      </c>
      <c r="N1097">
        <f>IF($AA1097="","",INDEX('Per Line'!$AG$2:$AG$4001,$AA1097))</f>
        <v/>
      </c>
      <c r="O1097">
        <f>IF($AA1097="","",IF(AND(ISNUMBER(N1097),N1097&gt;0),Y1097&gt;N1097,FALSE))</f>
        <v/>
      </c>
      <c r="P1097" s="7">
        <f>IF($AA1097="","",SUMIFS('Per Line'!$Y$2:$Y$4001,'Per Line'!$E$2:$E$4001,$B1097,'Per Line'!$AQ$2:$AQ$4001,1))</f>
        <v/>
      </c>
      <c r="Q1097">
        <f>IF($AA1097="","",Settings!$C$7)</f>
        <v/>
      </c>
      <c r="R1097" s="7">
        <f>IF($AA1097="","",SUMIFS('Per Line'!$Y$2:$Y$4001,'Per Line'!$E$2:$E$4001,$B1097,'Per Line'!$AP$2:$AP$4001,0,'Per Line'!$AQ$2:$AQ$4001,0))</f>
        <v/>
      </c>
      <c r="S1097" s="7">
        <f>IF($AA1097="","",R1097*Q1097)</f>
        <v/>
      </c>
      <c r="T1097">
        <f>IF($AA1097="","",Settings!$C$6)</f>
        <v/>
      </c>
      <c r="U1097" s="7">
        <f>IF($AA1097="","",SUMIFS('Per Line'!$Y$2:$Y$4001,'Per Line'!$E$2:$E$4001,$B1097,'Per Line'!$AP$2:$AP$4001,1,'Per Line'!$AQ$2:$AQ$4001,0))</f>
        <v/>
      </c>
      <c r="V1097" s="7">
        <f>IF($AA1097="","",U1097*T1097)</f>
        <v/>
      </c>
      <c r="W1097" s="7">
        <f>IF($AA1097="","",V1097+S1097)</f>
        <v/>
      </c>
      <c r="X1097" s="7">
        <f>IF($AA1097="","",Y1097-W1097)</f>
        <v/>
      </c>
      <c r="Y1097" s="7">
        <f>IF($AA1097="","",R1097+U1097+P1097)</f>
        <v/>
      </c>
      <c r="Z1097" s="7">
        <f>IF($AA1097="","",Y1097-W1097-L1097)</f>
        <v/>
      </c>
      <c r="AA1097" s="13">
        <f>IF(ROWS($AA$2:$AA1097)&lt;=MAX('Per Line'!$AO$2:$AO$4001),MATCH(ROWS($AA$2:$AA1097),'Per Line'!$AO$2:$AO$4001,0),"")</f>
        <v/>
      </c>
      <c r="AB1097" s="14">
        <f>IF($AA1097="","",L1097-K1097*Y1097/100)</f>
        <v/>
      </c>
    </row>
    <row r="1098">
      <c r="A1098" s="12" t="n"/>
      <c r="B1098">
        <f>IF($AA1098="","",INDEX('Per Line'!$E$2:$E$4001,$AA1098)&amp;"")</f>
        <v/>
      </c>
      <c r="C1098">
        <f>IF($AA1098="","",INDEX('Per Line'!$A$2:$A$4001,$AA1098)&amp;"")</f>
        <v/>
      </c>
      <c r="D1098">
        <f>IF($AA1098="","",INDEX('Per Line'!$D$2:$D$4001,$AA1098)&amp;"")</f>
        <v/>
      </c>
      <c r="E1098" s="11">
        <f>IF($AA1098="","",INDEX('Per Line'!$G$2:$G$4001,$AA1098))</f>
        <v/>
      </c>
      <c r="F1098">
        <f>IF($AA1098="","",INDEX('Per Line'!$H$2:$H$4001,$AA1098)&amp;"")</f>
        <v/>
      </c>
      <c r="G1098">
        <f>IF($AA1098="","",INDEX('Per Line'!$I$2:$I$4001,$AA1098)&amp;"")</f>
        <v/>
      </c>
      <c r="H1098">
        <f>IF($AA1098="","",INDEX('Per Line'!$J$2:$J$4001,$AA1098)&amp;"")</f>
        <v/>
      </c>
      <c r="I1098">
        <f>IF($AA1098="","",INDEX('Per Line'!$K$2:$K$4001,$AA1098)&amp;"")</f>
        <v/>
      </c>
      <c r="J1098">
        <f>IF($AA1098="","",INDEX('Per Line'!$L$2:$L$4001,$AA1098)&amp;"")</f>
        <v/>
      </c>
      <c r="K1098">
        <f>IF($AA1098="","",INDEX('Per Line'!$P$2:$P$4001,$AA1098))</f>
        <v/>
      </c>
      <c r="L1098" s="7">
        <f>IF($AA1098="","",IF(AND(ISNUMBER(N1098),N1098&gt;0,Y1098&gt;N1098),K1098*N1098/100+(Y1098-N1098),K1098*Y1098/100))</f>
        <v/>
      </c>
      <c r="M1098">
        <f>IF($AA1098="","",INDEX('Per Line'!$Z$2:$Z$4001,$AA1098)&amp;"")</f>
        <v/>
      </c>
      <c r="N1098">
        <f>IF($AA1098="","",INDEX('Per Line'!$AG$2:$AG$4001,$AA1098))</f>
        <v/>
      </c>
      <c r="O1098">
        <f>IF($AA1098="","",IF(AND(ISNUMBER(N1098),N1098&gt;0),Y1098&gt;N1098,FALSE))</f>
        <v/>
      </c>
      <c r="P1098" s="7">
        <f>IF($AA1098="","",SUMIFS('Per Line'!$Y$2:$Y$4001,'Per Line'!$E$2:$E$4001,$B1098,'Per Line'!$AQ$2:$AQ$4001,1))</f>
        <v/>
      </c>
      <c r="Q1098">
        <f>IF($AA1098="","",Settings!$C$7)</f>
        <v/>
      </c>
      <c r="R1098" s="7">
        <f>IF($AA1098="","",SUMIFS('Per Line'!$Y$2:$Y$4001,'Per Line'!$E$2:$E$4001,$B1098,'Per Line'!$AP$2:$AP$4001,0,'Per Line'!$AQ$2:$AQ$4001,0))</f>
        <v/>
      </c>
      <c r="S1098" s="7">
        <f>IF($AA1098="","",R1098*Q1098)</f>
        <v/>
      </c>
      <c r="T1098">
        <f>IF($AA1098="","",Settings!$C$6)</f>
        <v/>
      </c>
      <c r="U1098" s="7">
        <f>IF($AA1098="","",SUMIFS('Per Line'!$Y$2:$Y$4001,'Per Line'!$E$2:$E$4001,$B1098,'Per Line'!$AP$2:$AP$4001,1,'Per Line'!$AQ$2:$AQ$4001,0))</f>
        <v/>
      </c>
      <c r="V1098" s="7">
        <f>IF($AA1098="","",U1098*T1098)</f>
        <v/>
      </c>
      <c r="W1098" s="7">
        <f>IF($AA1098="","",V1098+S1098)</f>
        <v/>
      </c>
      <c r="X1098" s="7">
        <f>IF($AA1098="","",Y1098-W1098)</f>
        <v/>
      </c>
      <c r="Y1098" s="7">
        <f>IF($AA1098="","",R1098+U1098+P1098)</f>
        <v/>
      </c>
      <c r="Z1098" s="7">
        <f>IF($AA1098="","",Y1098-W1098-L1098)</f>
        <v/>
      </c>
      <c r="AA1098" s="13">
        <f>IF(ROWS($AA$2:$AA1098)&lt;=MAX('Per Line'!$AO$2:$AO$4001),MATCH(ROWS($AA$2:$AA1098),'Per Line'!$AO$2:$AO$4001,0),"")</f>
        <v/>
      </c>
      <c r="AB1098" s="14">
        <f>IF($AA1098="","",L1098-K1098*Y1098/100)</f>
        <v/>
      </c>
    </row>
    <row r="1099">
      <c r="A1099" s="12" t="n"/>
      <c r="B1099">
        <f>IF($AA1099="","",INDEX('Per Line'!$E$2:$E$4001,$AA1099)&amp;"")</f>
        <v/>
      </c>
      <c r="C1099">
        <f>IF($AA1099="","",INDEX('Per Line'!$A$2:$A$4001,$AA1099)&amp;"")</f>
        <v/>
      </c>
      <c r="D1099">
        <f>IF($AA1099="","",INDEX('Per Line'!$D$2:$D$4001,$AA1099)&amp;"")</f>
        <v/>
      </c>
      <c r="E1099" s="11">
        <f>IF($AA1099="","",INDEX('Per Line'!$G$2:$G$4001,$AA1099))</f>
        <v/>
      </c>
      <c r="F1099">
        <f>IF($AA1099="","",INDEX('Per Line'!$H$2:$H$4001,$AA1099)&amp;"")</f>
        <v/>
      </c>
      <c r="G1099">
        <f>IF($AA1099="","",INDEX('Per Line'!$I$2:$I$4001,$AA1099)&amp;"")</f>
        <v/>
      </c>
      <c r="H1099">
        <f>IF($AA1099="","",INDEX('Per Line'!$J$2:$J$4001,$AA1099)&amp;"")</f>
        <v/>
      </c>
      <c r="I1099">
        <f>IF($AA1099="","",INDEX('Per Line'!$K$2:$K$4001,$AA1099)&amp;"")</f>
        <v/>
      </c>
      <c r="J1099">
        <f>IF($AA1099="","",INDEX('Per Line'!$L$2:$L$4001,$AA1099)&amp;"")</f>
        <v/>
      </c>
      <c r="K1099">
        <f>IF($AA1099="","",INDEX('Per Line'!$P$2:$P$4001,$AA1099))</f>
        <v/>
      </c>
      <c r="L1099" s="7">
        <f>IF($AA1099="","",IF(AND(ISNUMBER(N1099),N1099&gt;0,Y1099&gt;N1099),K1099*N1099/100+(Y1099-N1099),K1099*Y1099/100))</f>
        <v/>
      </c>
      <c r="M1099">
        <f>IF($AA1099="","",INDEX('Per Line'!$Z$2:$Z$4001,$AA1099)&amp;"")</f>
        <v/>
      </c>
      <c r="N1099">
        <f>IF($AA1099="","",INDEX('Per Line'!$AG$2:$AG$4001,$AA1099))</f>
        <v/>
      </c>
      <c r="O1099">
        <f>IF($AA1099="","",IF(AND(ISNUMBER(N1099),N1099&gt;0),Y1099&gt;N1099,FALSE))</f>
        <v/>
      </c>
      <c r="P1099" s="7">
        <f>IF($AA1099="","",SUMIFS('Per Line'!$Y$2:$Y$4001,'Per Line'!$E$2:$E$4001,$B1099,'Per Line'!$AQ$2:$AQ$4001,1))</f>
        <v/>
      </c>
      <c r="Q1099">
        <f>IF($AA1099="","",Settings!$C$7)</f>
        <v/>
      </c>
      <c r="R1099" s="7">
        <f>IF($AA1099="","",SUMIFS('Per Line'!$Y$2:$Y$4001,'Per Line'!$E$2:$E$4001,$B1099,'Per Line'!$AP$2:$AP$4001,0,'Per Line'!$AQ$2:$AQ$4001,0))</f>
        <v/>
      </c>
      <c r="S1099" s="7">
        <f>IF($AA1099="","",R1099*Q1099)</f>
        <v/>
      </c>
      <c r="T1099">
        <f>IF($AA1099="","",Settings!$C$6)</f>
        <v/>
      </c>
      <c r="U1099" s="7">
        <f>IF($AA1099="","",SUMIFS('Per Line'!$Y$2:$Y$4001,'Per Line'!$E$2:$E$4001,$B1099,'Per Line'!$AP$2:$AP$4001,1,'Per Line'!$AQ$2:$AQ$4001,0))</f>
        <v/>
      </c>
      <c r="V1099" s="7">
        <f>IF($AA1099="","",U1099*T1099)</f>
        <v/>
      </c>
      <c r="W1099" s="7">
        <f>IF($AA1099="","",V1099+S1099)</f>
        <v/>
      </c>
      <c r="X1099" s="7">
        <f>IF($AA1099="","",Y1099-W1099)</f>
        <v/>
      </c>
      <c r="Y1099" s="7">
        <f>IF($AA1099="","",R1099+U1099+P1099)</f>
        <v/>
      </c>
      <c r="Z1099" s="7">
        <f>IF($AA1099="","",Y1099-W1099-L1099)</f>
        <v/>
      </c>
      <c r="AA1099" s="13">
        <f>IF(ROWS($AA$2:$AA1099)&lt;=MAX('Per Line'!$AO$2:$AO$4001),MATCH(ROWS($AA$2:$AA1099),'Per Line'!$AO$2:$AO$4001,0),"")</f>
        <v/>
      </c>
      <c r="AB1099" s="14">
        <f>IF($AA1099="","",L1099-K1099*Y1099/100)</f>
        <v/>
      </c>
    </row>
    <row r="1100">
      <c r="A1100" s="12" t="n"/>
      <c r="B1100">
        <f>IF($AA1100="","",INDEX('Per Line'!$E$2:$E$4001,$AA1100)&amp;"")</f>
        <v/>
      </c>
      <c r="C1100">
        <f>IF($AA1100="","",INDEX('Per Line'!$A$2:$A$4001,$AA1100)&amp;"")</f>
        <v/>
      </c>
      <c r="D1100">
        <f>IF($AA1100="","",INDEX('Per Line'!$D$2:$D$4001,$AA1100)&amp;"")</f>
        <v/>
      </c>
      <c r="E1100" s="11">
        <f>IF($AA1100="","",INDEX('Per Line'!$G$2:$G$4001,$AA1100))</f>
        <v/>
      </c>
      <c r="F1100">
        <f>IF($AA1100="","",INDEX('Per Line'!$H$2:$H$4001,$AA1100)&amp;"")</f>
        <v/>
      </c>
      <c r="G1100">
        <f>IF($AA1100="","",INDEX('Per Line'!$I$2:$I$4001,$AA1100)&amp;"")</f>
        <v/>
      </c>
      <c r="H1100">
        <f>IF($AA1100="","",INDEX('Per Line'!$J$2:$J$4001,$AA1100)&amp;"")</f>
        <v/>
      </c>
      <c r="I1100">
        <f>IF($AA1100="","",INDEX('Per Line'!$K$2:$K$4001,$AA1100)&amp;"")</f>
        <v/>
      </c>
      <c r="J1100">
        <f>IF($AA1100="","",INDEX('Per Line'!$L$2:$L$4001,$AA1100)&amp;"")</f>
        <v/>
      </c>
      <c r="K1100">
        <f>IF($AA1100="","",INDEX('Per Line'!$P$2:$P$4001,$AA1100))</f>
        <v/>
      </c>
      <c r="L1100" s="7">
        <f>IF($AA1100="","",IF(AND(ISNUMBER(N1100),N1100&gt;0,Y1100&gt;N1100),K1100*N1100/100+(Y1100-N1100),K1100*Y1100/100))</f>
        <v/>
      </c>
      <c r="M1100">
        <f>IF($AA1100="","",INDEX('Per Line'!$Z$2:$Z$4001,$AA1100)&amp;"")</f>
        <v/>
      </c>
      <c r="N1100">
        <f>IF($AA1100="","",INDEX('Per Line'!$AG$2:$AG$4001,$AA1100))</f>
        <v/>
      </c>
      <c r="O1100">
        <f>IF($AA1100="","",IF(AND(ISNUMBER(N1100),N1100&gt;0),Y1100&gt;N1100,FALSE))</f>
        <v/>
      </c>
      <c r="P1100" s="7">
        <f>IF($AA1100="","",SUMIFS('Per Line'!$Y$2:$Y$4001,'Per Line'!$E$2:$E$4001,$B1100,'Per Line'!$AQ$2:$AQ$4001,1))</f>
        <v/>
      </c>
      <c r="Q1100">
        <f>IF($AA1100="","",Settings!$C$7)</f>
        <v/>
      </c>
      <c r="R1100" s="7">
        <f>IF($AA1100="","",SUMIFS('Per Line'!$Y$2:$Y$4001,'Per Line'!$E$2:$E$4001,$B1100,'Per Line'!$AP$2:$AP$4001,0,'Per Line'!$AQ$2:$AQ$4001,0))</f>
        <v/>
      </c>
      <c r="S1100" s="7">
        <f>IF($AA1100="","",R1100*Q1100)</f>
        <v/>
      </c>
      <c r="T1100">
        <f>IF($AA1100="","",Settings!$C$6)</f>
        <v/>
      </c>
      <c r="U1100" s="7">
        <f>IF($AA1100="","",SUMIFS('Per Line'!$Y$2:$Y$4001,'Per Line'!$E$2:$E$4001,$B1100,'Per Line'!$AP$2:$AP$4001,1,'Per Line'!$AQ$2:$AQ$4001,0))</f>
        <v/>
      </c>
      <c r="V1100" s="7">
        <f>IF($AA1100="","",U1100*T1100)</f>
        <v/>
      </c>
      <c r="W1100" s="7">
        <f>IF($AA1100="","",V1100+S1100)</f>
        <v/>
      </c>
      <c r="X1100" s="7">
        <f>IF($AA1100="","",Y1100-W1100)</f>
        <v/>
      </c>
      <c r="Y1100" s="7">
        <f>IF($AA1100="","",R1100+U1100+P1100)</f>
        <v/>
      </c>
      <c r="Z1100" s="7">
        <f>IF($AA1100="","",Y1100-W1100-L1100)</f>
        <v/>
      </c>
      <c r="AA1100" s="13">
        <f>IF(ROWS($AA$2:$AA1100)&lt;=MAX('Per Line'!$AO$2:$AO$4001),MATCH(ROWS($AA$2:$AA1100),'Per Line'!$AO$2:$AO$4001,0),"")</f>
        <v/>
      </c>
      <c r="AB1100" s="14">
        <f>IF($AA1100="","",L1100-K1100*Y1100/100)</f>
        <v/>
      </c>
    </row>
    <row r="1101">
      <c r="A1101" s="12" t="n"/>
      <c r="B1101">
        <f>IF($AA1101="","",INDEX('Per Line'!$E$2:$E$4001,$AA1101)&amp;"")</f>
        <v/>
      </c>
      <c r="C1101">
        <f>IF($AA1101="","",INDEX('Per Line'!$A$2:$A$4001,$AA1101)&amp;"")</f>
        <v/>
      </c>
      <c r="D1101">
        <f>IF($AA1101="","",INDEX('Per Line'!$D$2:$D$4001,$AA1101)&amp;"")</f>
        <v/>
      </c>
      <c r="E1101" s="11">
        <f>IF($AA1101="","",INDEX('Per Line'!$G$2:$G$4001,$AA1101))</f>
        <v/>
      </c>
      <c r="F1101">
        <f>IF($AA1101="","",INDEX('Per Line'!$H$2:$H$4001,$AA1101)&amp;"")</f>
        <v/>
      </c>
      <c r="G1101">
        <f>IF($AA1101="","",INDEX('Per Line'!$I$2:$I$4001,$AA1101)&amp;"")</f>
        <v/>
      </c>
      <c r="H1101">
        <f>IF($AA1101="","",INDEX('Per Line'!$J$2:$J$4001,$AA1101)&amp;"")</f>
        <v/>
      </c>
      <c r="I1101">
        <f>IF($AA1101="","",INDEX('Per Line'!$K$2:$K$4001,$AA1101)&amp;"")</f>
        <v/>
      </c>
      <c r="J1101">
        <f>IF($AA1101="","",INDEX('Per Line'!$L$2:$L$4001,$AA1101)&amp;"")</f>
        <v/>
      </c>
      <c r="K1101">
        <f>IF($AA1101="","",INDEX('Per Line'!$P$2:$P$4001,$AA1101))</f>
        <v/>
      </c>
      <c r="L1101" s="7">
        <f>IF($AA1101="","",IF(AND(ISNUMBER(N1101),N1101&gt;0,Y1101&gt;N1101),K1101*N1101/100+(Y1101-N1101),K1101*Y1101/100))</f>
        <v/>
      </c>
      <c r="M1101">
        <f>IF($AA1101="","",INDEX('Per Line'!$Z$2:$Z$4001,$AA1101)&amp;"")</f>
        <v/>
      </c>
      <c r="N1101">
        <f>IF($AA1101="","",INDEX('Per Line'!$AG$2:$AG$4001,$AA1101))</f>
        <v/>
      </c>
      <c r="O1101">
        <f>IF($AA1101="","",IF(AND(ISNUMBER(N1101),N1101&gt;0),Y1101&gt;N1101,FALSE))</f>
        <v/>
      </c>
      <c r="P1101" s="7">
        <f>IF($AA1101="","",SUMIFS('Per Line'!$Y$2:$Y$4001,'Per Line'!$E$2:$E$4001,$B1101,'Per Line'!$AQ$2:$AQ$4001,1))</f>
        <v/>
      </c>
      <c r="Q1101">
        <f>IF($AA1101="","",Settings!$C$7)</f>
        <v/>
      </c>
      <c r="R1101" s="7">
        <f>IF($AA1101="","",SUMIFS('Per Line'!$Y$2:$Y$4001,'Per Line'!$E$2:$E$4001,$B1101,'Per Line'!$AP$2:$AP$4001,0,'Per Line'!$AQ$2:$AQ$4001,0))</f>
        <v/>
      </c>
      <c r="S1101" s="7">
        <f>IF($AA1101="","",R1101*Q1101)</f>
        <v/>
      </c>
      <c r="T1101">
        <f>IF($AA1101="","",Settings!$C$6)</f>
        <v/>
      </c>
      <c r="U1101" s="7">
        <f>IF($AA1101="","",SUMIFS('Per Line'!$Y$2:$Y$4001,'Per Line'!$E$2:$E$4001,$B1101,'Per Line'!$AP$2:$AP$4001,1,'Per Line'!$AQ$2:$AQ$4001,0))</f>
        <v/>
      </c>
      <c r="V1101" s="7">
        <f>IF($AA1101="","",U1101*T1101)</f>
        <v/>
      </c>
      <c r="W1101" s="7">
        <f>IF($AA1101="","",V1101+S1101)</f>
        <v/>
      </c>
      <c r="X1101" s="7">
        <f>IF($AA1101="","",Y1101-W1101)</f>
        <v/>
      </c>
      <c r="Y1101" s="7">
        <f>IF($AA1101="","",R1101+U1101+P1101)</f>
        <v/>
      </c>
      <c r="Z1101" s="7">
        <f>IF($AA1101="","",Y1101-W1101-L1101)</f>
        <v/>
      </c>
      <c r="AA1101" s="13">
        <f>IF(ROWS($AA$2:$AA1101)&lt;=MAX('Per Line'!$AO$2:$AO$4001),MATCH(ROWS($AA$2:$AA1101),'Per Line'!$AO$2:$AO$4001,0),"")</f>
        <v/>
      </c>
      <c r="AB1101" s="14">
        <f>IF($AA1101="","",L1101-K1101*Y1101/100)</f>
        <v/>
      </c>
    </row>
    <row r="1102">
      <c r="A1102" s="12" t="n"/>
      <c r="B1102">
        <f>IF($AA1102="","",INDEX('Per Line'!$E$2:$E$4001,$AA1102)&amp;"")</f>
        <v/>
      </c>
      <c r="C1102">
        <f>IF($AA1102="","",INDEX('Per Line'!$A$2:$A$4001,$AA1102)&amp;"")</f>
        <v/>
      </c>
      <c r="D1102">
        <f>IF($AA1102="","",INDEX('Per Line'!$D$2:$D$4001,$AA1102)&amp;"")</f>
        <v/>
      </c>
      <c r="E1102" s="11">
        <f>IF($AA1102="","",INDEX('Per Line'!$G$2:$G$4001,$AA1102))</f>
        <v/>
      </c>
      <c r="F1102">
        <f>IF($AA1102="","",INDEX('Per Line'!$H$2:$H$4001,$AA1102)&amp;"")</f>
        <v/>
      </c>
      <c r="G1102">
        <f>IF($AA1102="","",INDEX('Per Line'!$I$2:$I$4001,$AA1102)&amp;"")</f>
        <v/>
      </c>
      <c r="H1102">
        <f>IF($AA1102="","",INDEX('Per Line'!$J$2:$J$4001,$AA1102)&amp;"")</f>
        <v/>
      </c>
      <c r="I1102">
        <f>IF($AA1102="","",INDEX('Per Line'!$K$2:$K$4001,$AA1102)&amp;"")</f>
        <v/>
      </c>
      <c r="J1102">
        <f>IF($AA1102="","",INDEX('Per Line'!$L$2:$L$4001,$AA1102)&amp;"")</f>
        <v/>
      </c>
      <c r="K1102">
        <f>IF($AA1102="","",INDEX('Per Line'!$P$2:$P$4001,$AA1102))</f>
        <v/>
      </c>
      <c r="L1102" s="7">
        <f>IF($AA1102="","",IF(AND(ISNUMBER(N1102),N1102&gt;0,Y1102&gt;N1102),K1102*N1102/100+(Y1102-N1102),K1102*Y1102/100))</f>
        <v/>
      </c>
      <c r="M1102">
        <f>IF($AA1102="","",INDEX('Per Line'!$Z$2:$Z$4001,$AA1102)&amp;"")</f>
        <v/>
      </c>
      <c r="N1102">
        <f>IF($AA1102="","",INDEX('Per Line'!$AG$2:$AG$4001,$AA1102))</f>
        <v/>
      </c>
      <c r="O1102">
        <f>IF($AA1102="","",IF(AND(ISNUMBER(N1102),N1102&gt;0),Y1102&gt;N1102,FALSE))</f>
        <v/>
      </c>
      <c r="P1102" s="7">
        <f>IF($AA1102="","",SUMIFS('Per Line'!$Y$2:$Y$4001,'Per Line'!$E$2:$E$4001,$B1102,'Per Line'!$AQ$2:$AQ$4001,1))</f>
        <v/>
      </c>
      <c r="Q1102">
        <f>IF($AA1102="","",Settings!$C$7)</f>
        <v/>
      </c>
      <c r="R1102" s="7">
        <f>IF($AA1102="","",SUMIFS('Per Line'!$Y$2:$Y$4001,'Per Line'!$E$2:$E$4001,$B1102,'Per Line'!$AP$2:$AP$4001,0,'Per Line'!$AQ$2:$AQ$4001,0))</f>
        <v/>
      </c>
      <c r="S1102" s="7">
        <f>IF($AA1102="","",R1102*Q1102)</f>
        <v/>
      </c>
      <c r="T1102">
        <f>IF($AA1102="","",Settings!$C$6)</f>
        <v/>
      </c>
      <c r="U1102" s="7">
        <f>IF($AA1102="","",SUMIFS('Per Line'!$Y$2:$Y$4001,'Per Line'!$E$2:$E$4001,$B1102,'Per Line'!$AP$2:$AP$4001,1,'Per Line'!$AQ$2:$AQ$4001,0))</f>
        <v/>
      </c>
      <c r="V1102" s="7">
        <f>IF($AA1102="","",U1102*T1102)</f>
        <v/>
      </c>
      <c r="W1102" s="7">
        <f>IF($AA1102="","",V1102+S1102)</f>
        <v/>
      </c>
      <c r="X1102" s="7">
        <f>IF($AA1102="","",Y1102-W1102)</f>
        <v/>
      </c>
      <c r="Y1102" s="7">
        <f>IF($AA1102="","",R1102+U1102+P1102)</f>
        <v/>
      </c>
      <c r="Z1102" s="7">
        <f>IF($AA1102="","",Y1102-W1102-L1102)</f>
        <v/>
      </c>
      <c r="AA1102" s="13">
        <f>IF(ROWS($AA$2:$AA1102)&lt;=MAX('Per Line'!$AO$2:$AO$4001),MATCH(ROWS($AA$2:$AA1102),'Per Line'!$AO$2:$AO$4001,0),"")</f>
        <v/>
      </c>
      <c r="AB1102" s="14">
        <f>IF($AA1102="","",L1102-K1102*Y1102/100)</f>
        <v/>
      </c>
    </row>
    <row r="1103">
      <c r="A1103" s="12" t="n"/>
      <c r="B1103">
        <f>IF($AA1103="","",INDEX('Per Line'!$E$2:$E$4001,$AA1103)&amp;"")</f>
        <v/>
      </c>
      <c r="C1103">
        <f>IF($AA1103="","",INDEX('Per Line'!$A$2:$A$4001,$AA1103)&amp;"")</f>
        <v/>
      </c>
      <c r="D1103">
        <f>IF($AA1103="","",INDEX('Per Line'!$D$2:$D$4001,$AA1103)&amp;"")</f>
        <v/>
      </c>
      <c r="E1103" s="11">
        <f>IF($AA1103="","",INDEX('Per Line'!$G$2:$G$4001,$AA1103))</f>
        <v/>
      </c>
      <c r="F1103">
        <f>IF($AA1103="","",INDEX('Per Line'!$H$2:$H$4001,$AA1103)&amp;"")</f>
        <v/>
      </c>
      <c r="G1103">
        <f>IF($AA1103="","",INDEX('Per Line'!$I$2:$I$4001,$AA1103)&amp;"")</f>
        <v/>
      </c>
      <c r="H1103">
        <f>IF($AA1103="","",INDEX('Per Line'!$J$2:$J$4001,$AA1103)&amp;"")</f>
        <v/>
      </c>
      <c r="I1103">
        <f>IF($AA1103="","",INDEX('Per Line'!$K$2:$K$4001,$AA1103)&amp;"")</f>
        <v/>
      </c>
      <c r="J1103">
        <f>IF($AA1103="","",INDEX('Per Line'!$L$2:$L$4001,$AA1103)&amp;"")</f>
        <v/>
      </c>
      <c r="K1103">
        <f>IF($AA1103="","",INDEX('Per Line'!$P$2:$P$4001,$AA1103))</f>
        <v/>
      </c>
      <c r="L1103" s="7">
        <f>IF($AA1103="","",IF(AND(ISNUMBER(N1103),N1103&gt;0,Y1103&gt;N1103),K1103*N1103/100+(Y1103-N1103),K1103*Y1103/100))</f>
        <v/>
      </c>
      <c r="M1103">
        <f>IF($AA1103="","",INDEX('Per Line'!$Z$2:$Z$4001,$AA1103)&amp;"")</f>
        <v/>
      </c>
      <c r="N1103">
        <f>IF($AA1103="","",INDEX('Per Line'!$AG$2:$AG$4001,$AA1103))</f>
        <v/>
      </c>
      <c r="O1103">
        <f>IF($AA1103="","",IF(AND(ISNUMBER(N1103),N1103&gt;0),Y1103&gt;N1103,FALSE))</f>
        <v/>
      </c>
      <c r="P1103" s="7">
        <f>IF($AA1103="","",SUMIFS('Per Line'!$Y$2:$Y$4001,'Per Line'!$E$2:$E$4001,$B1103,'Per Line'!$AQ$2:$AQ$4001,1))</f>
        <v/>
      </c>
      <c r="Q1103">
        <f>IF($AA1103="","",Settings!$C$7)</f>
        <v/>
      </c>
      <c r="R1103" s="7">
        <f>IF($AA1103="","",SUMIFS('Per Line'!$Y$2:$Y$4001,'Per Line'!$E$2:$E$4001,$B1103,'Per Line'!$AP$2:$AP$4001,0,'Per Line'!$AQ$2:$AQ$4001,0))</f>
        <v/>
      </c>
      <c r="S1103" s="7">
        <f>IF($AA1103="","",R1103*Q1103)</f>
        <v/>
      </c>
      <c r="T1103">
        <f>IF($AA1103="","",Settings!$C$6)</f>
        <v/>
      </c>
      <c r="U1103" s="7">
        <f>IF($AA1103="","",SUMIFS('Per Line'!$Y$2:$Y$4001,'Per Line'!$E$2:$E$4001,$B1103,'Per Line'!$AP$2:$AP$4001,1,'Per Line'!$AQ$2:$AQ$4001,0))</f>
        <v/>
      </c>
      <c r="V1103" s="7">
        <f>IF($AA1103="","",U1103*T1103)</f>
        <v/>
      </c>
      <c r="W1103" s="7">
        <f>IF($AA1103="","",V1103+S1103)</f>
        <v/>
      </c>
      <c r="X1103" s="7">
        <f>IF($AA1103="","",Y1103-W1103)</f>
        <v/>
      </c>
      <c r="Y1103" s="7">
        <f>IF($AA1103="","",R1103+U1103+P1103)</f>
        <v/>
      </c>
      <c r="Z1103" s="7">
        <f>IF($AA1103="","",Y1103-W1103-L1103)</f>
        <v/>
      </c>
      <c r="AA1103" s="13">
        <f>IF(ROWS($AA$2:$AA1103)&lt;=MAX('Per Line'!$AO$2:$AO$4001),MATCH(ROWS($AA$2:$AA1103),'Per Line'!$AO$2:$AO$4001,0),"")</f>
        <v/>
      </c>
      <c r="AB1103" s="14">
        <f>IF($AA1103="","",L1103-K1103*Y1103/100)</f>
        <v/>
      </c>
    </row>
    <row r="1104">
      <c r="A1104" s="12" t="n"/>
      <c r="B1104">
        <f>IF($AA1104="","",INDEX('Per Line'!$E$2:$E$4001,$AA1104)&amp;"")</f>
        <v/>
      </c>
      <c r="C1104">
        <f>IF($AA1104="","",INDEX('Per Line'!$A$2:$A$4001,$AA1104)&amp;"")</f>
        <v/>
      </c>
      <c r="D1104">
        <f>IF($AA1104="","",INDEX('Per Line'!$D$2:$D$4001,$AA1104)&amp;"")</f>
        <v/>
      </c>
      <c r="E1104" s="11">
        <f>IF($AA1104="","",INDEX('Per Line'!$G$2:$G$4001,$AA1104))</f>
        <v/>
      </c>
      <c r="F1104">
        <f>IF($AA1104="","",INDEX('Per Line'!$H$2:$H$4001,$AA1104)&amp;"")</f>
        <v/>
      </c>
      <c r="G1104">
        <f>IF($AA1104="","",INDEX('Per Line'!$I$2:$I$4001,$AA1104)&amp;"")</f>
        <v/>
      </c>
      <c r="H1104">
        <f>IF($AA1104="","",INDEX('Per Line'!$J$2:$J$4001,$AA1104)&amp;"")</f>
        <v/>
      </c>
      <c r="I1104">
        <f>IF($AA1104="","",INDEX('Per Line'!$K$2:$K$4001,$AA1104)&amp;"")</f>
        <v/>
      </c>
      <c r="J1104">
        <f>IF($AA1104="","",INDEX('Per Line'!$L$2:$L$4001,$AA1104)&amp;"")</f>
        <v/>
      </c>
      <c r="K1104">
        <f>IF($AA1104="","",INDEX('Per Line'!$P$2:$P$4001,$AA1104))</f>
        <v/>
      </c>
      <c r="L1104" s="7">
        <f>IF($AA1104="","",IF(AND(ISNUMBER(N1104),N1104&gt;0,Y1104&gt;N1104),K1104*N1104/100+(Y1104-N1104),K1104*Y1104/100))</f>
        <v/>
      </c>
      <c r="M1104">
        <f>IF($AA1104="","",INDEX('Per Line'!$Z$2:$Z$4001,$AA1104)&amp;"")</f>
        <v/>
      </c>
      <c r="N1104">
        <f>IF($AA1104="","",INDEX('Per Line'!$AG$2:$AG$4001,$AA1104))</f>
        <v/>
      </c>
      <c r="O1104">
        <f>IF($AA1104="","",IF(AND(ISNUMBER(N1104),N1104&gt;0),Y1104&gt;N1104,FALSE))</f>
        <v/>
      </c>
      <c r="P1104" s="7">
        <f>IF($AA1104="","",SUMIFS('Per Line'!$Y$2:$Y$4001,'Per Line'!$E$2:$E$4001,$B1104,'Per Line'!$AQ$2:$AQ$4001,1))</f>
        <v/>
      </c>
      <c r="Q1104">
        <f>IF($AA1104="","",Settings!$C$7)</f>
        <v/>
      </c>
      <c r="R1104" s="7">
        <f>IF($AA1104="","",SUMIFS('Per Line'!$Y$2:$Y$4001,'Per Line'!$E$2:$E$4001,$B1104,'Per Line'!$AP$2:$AP$4001,0,'Per Line'!$AQ$2:$AQ$4001,0))</f>
        <v/>
      </c>
      <c r="S1104" s="7">
        <f>IF($AA1104="","",R1104*Q1104)</f>
        <v/>
      </c>
      <c r="T1104">
        <f>IF($AA1104="","",Settings!$C$6)</f>
        <v/>
      </c>
      <c r="U1104" s="7">
        <f>IF($AA1104="","",SUMIFS('Per Line'!$Y$2:$Y$4001,'Per Line'!$E$2:$E$4001,$B1104,'Per Line'!$AP$2:$AP$4001,1,'Per Line'!$AQ$2:$AQ$4001,0))</f>
        <v/>
      </c>
      <c r="V1104" s="7">
        <f>IF($AA1104="","",U1104*T1104)</f>
        <v/>
      </c>
      <c r="W1104" s="7">
        <f>IF($AA1104="","",V1104+S1104)</f>
        <v/>
      </c>
      <c r="X1104" s="7">
        <f>IF($AA1104="","",Y1104-W1104)</f>
        <v/>
      </c>
      <c r="Y1104" s="7">
        <f>IF($AA1104="","",R1104+U1104+P1104)</f>
        <v/>
      </c>
      <c r="Z1104" s="7">
        <f>IF($AA1104="","",Y1104-W1104-L1104)</f>
        <v/>
      </c>
      <c r="AA1104" s="13">
        <f>IF(ROWS($AA$2:$AA1104)&lt;=MAX('Per Line'!$AO$2:$AO$4001),MATCH(ROWS($AA$2:$AA1104),'Per Line'!$AO$2:$AO$4001,0),"")</f>
        <v/>
      </c>
      <c r="AB1104" s="14">
        <f>IF($AA1104="","",L1104-K1104*Y1104/100)</f>
        <v/>
      </c>
    </row>
    <row r="1105">
      <c r="A1105" s="12" t="n"/>
      <c r="B1105">
        <f>IF($AA1105="","",INDEX('Per Line'!$E$2:$E$4001,$AA1105)&amp;"")</f>
        <v/>
      </c>
      <c r="C1105">
        <f>IF($AA1105="","",INDEX('Per Line'!$A$2:$A$4001,$AA1105)&amp;"")</f>
        <v/>
      </c>
      <c r="D1105">
        <f>IF($AA1105="","",INDEX('Per Line'!$D$2:$D$4001,$AA1105)&amp;"")</f>
        <v/>
      </c>
      <c r="E1105" s="11">
        <f>IF($AA1105="","",INDEX('Per Line'!$G$2:$G$4001,$AA1105))</f>
        <v/>
      </c>
      <c r="F1105">
        <f>IF($AA1105="","",INDEX('Per Line'!$H$2:$H$4001,$AA1105)&amp;"")</f>
        <v/>
      </c>
      <c r="G1105">
        <f>IF($AA1105="","",INDEX('Per Line'!$I$2:$I$4001,$AA1105)&amp;"")</f>
        <v/>
      </c>
      <c r="H1105">
        <f>IF($AA1105="","",INDEX('Per Line'!$J$2:$J$4001,$AA1105)&amp;"")</f>
        <v/>
      </c>
      <c r="I1105">
        <f>IF($AA1105="","",INDEX('Per Line'!$K$2:$K$4001,$AA1105)&amp;"")</f>
        <v/>
      </c>
      <c r="J1105">
        <f>IF($AA1105="","",INDEX('Per Line'!$L$2:$L$4001,$AA1105)&amp;"")</f>
        <v/>
      </c>
      <c r="K1105">
        <f>IF($AA1105="","",INDEX('Per Line'!$P$2:$P$4001,$AA1105))</f>
        <v/>
      </c>
      <c r="L1105" s="7">
        <f>IF($AA1105="","",IF(AND(ISNUMBER(N1105),N1105&gt;0,Y1105&gt;N1105),K1105*N1105/100+(Y1105-N1105),K1105*Y1105/100))</f>
        <v/>
      </c>
      <c r="M1105">
        <f>IF($AA1105="","",INDEX('Per Line'!$Z$2:$Z$4001,$AA1105)&amp;"")</f>
        <v/>
      </c>
      <c r="N1105">
        <f>IF($AA1105="","",INDEX('Per Line'!$AG$2:$AG$4001,$AA1105))</f>
        <v/>
      </c>
      <c r="O1105">
        <f>IF($AA1105="","",IF(AND(ISNUMBER(N1105),N1105&gt;0),Y1105&gt;N1105,FALSE))</f>
        <v/>
      </c>
      <c r="P1105" s="7">
        <f>IF($AA1105="","",SUMIFS('Per Line'!$Y$2:$Y$4001,'Per Line'!$E$2:$E$4001,$B1105,'Per Line'!$AQ$2:$AQ$4001,1))</f>
        <v/>
      </c>
      <c r="Q1105">
        <f>IF($AA1105="","",Settings!$C$7)</f>
        <v/>
      </c>
      <c r="R1105" s="7">
        <f>IF($AA1105="","",SUMIFS('Per Line'!$Y$2:$Y$4001,'Per Line'!$E$2:$E$4001,$B1105,'Per Line'!$AP$2:$AP$4001,0,'Per Line'!$AQ$2:$AQ$4001,0))</f>
        <v/>
      </c>
      <c r="S1105" s="7">
        <f>IF($AA1105="","",R1105*Q1105)</f>
        <v/>
      </c>
      <c r="T1105">
        <f>IF($AA1105="","",Settings!$C$6)</f>
        <v/>
      </c>
      <c r="U1105" s="7">
        <f>IF($AA1105="","",SUMIFS('Per Line'!$Y$2:$Y$4001,'Per Line'!$E$2:$E$4001,$B1105,'Per Line'!$AP$2:$AP$4001,1,'Per Line'!$AQ$2:$AQ$4001,0))</f>
        <v/>
      </c>
      <c r="V1105" s="7">
        <f>IF($AA1105="","",U1105*T1105)</f>
        <v/>
      </c>
      <c r="W1105" s="7">
        <f>IF($AA1105="","",V1105+S1105)</f>
        <v/>
      </c>
      <c r="X1105" s="7">
        <f>IF($AA1105="","",Y1105-W1105)</f>
        <v/>
      </c>
      <c r="Y1105" s="7">
        <f>IF($AA1105="","",R1105+U1105+P1105)</f>
        <v/>
      </c>
      <c r="Z1105" s="7">
        <f>IF($AA1105="","",Y1105-W1105-L1105)</f>
        <v/>
      </c>
      <c r="AA1105" s="13">
        <f>IF(ROWS($AA$2:$AA1105)&lt;=MAX('Per Line'!$AO$2:$AO$4001),MATCH(ROWS($AA$2:$AA1105),'Per Line'!$AO$2:$AO$4001,0),"")</f>
        <v/>
      </c>
      <c r="AB1105" s="14">
        <f>IF($AA1105="","",L1105-K1105*Y1105/100)</f>
        <v/>
      </c>
    </row>
    <row r="1106">
      <c r="A1106" s="12" t="n"/>
      <c r="B1106">
        <f>IF($AA1106="","",INDEX('Per Line'!$E$2:$E$4001,$AA1106)&amp;"")</f>
        <v/>
      </c>
      <c r="C1106">
        <f>IF($AA1106="","",INDEX('Per Line'!$A$2:$A$4001,$AA1106)&amp;"")</f>
        <v/>
      </c>
      <c r="D1106">
        <f>IF($AA1106="","",INDEX('Per Line'!$D$2:$D$4001,$AA1106)&amp;"")</f>
        <v/>
      </c>
      <c r="E1106" s="11">
        <f>IF($AA1106="","",INDEX('Per Line'!$G$2:$G$4001,$AA1106))</f>
        <v/>
      </c>
      <c r="F1106">
        <f>IF($AA1106="","",INDEX('Per Line'!$H$2:$H$4001,$AA1106)&amp;"")</f>
        <v/>
      </c>
      <c r="G1106">
        <f>IF($AA1106="","",INDEX('Per Line'!$I$2:$I$4001,$AA1106)&amp;"")</f>
        <v/>
      </c>
      <c r="H1106">
        <f>IF($AA1106="","",INDEX('Per Line'!$J$2:$J$4001,$AA1106)&amp;"")</f>
        <v/>
      </c>
      <c r="I1106">
        <f>IF($AA1106="","",INDEX('Per Line'!$K$2:$K$4001,$AA1106)&amp;"")</f>
        <v/>
      </c>
      <c r="J1106">
        <f>IF($AA1106="","",INDEX('Per Line'!$L$2:$L$4001,$AA1106)&amp;"")</f>
        <v/>
      </c>
      <c r="K1106">
        <f>IF($AA1106="","",INDEX('Per Line'!$P$2:$P$4001,$AA1106))</f>
        <v/>
      </c>
      <c r="L1106" s="7">
        <f>IF($AA1106="","",IF(AND(ISNUMBER(N1106),N1106&gt;0,Y1106&gt;N1106),K1106*N1106/100+(Y1106-N1106),K1106*Y1106/100))</f>
        <v/>
      </c>
      <c r="M1106">
        <f>IF($AA1106="","",INDEX('Per Line'!$Z$2:$Z$4001,$AA1106)&amp;"")</f>
        <v/>
      </c>
      <c r="N1106">
        <f>IF($AA1106="","",INDEX('Per Line'!$AG$2:$AG$4001,$AA1106))</f>
        <v/>
      </c>
      <c r="O1106">
        <f>IF($AA1106="","",IF(AND(ISNUMBER(N1106),N1106&gt;0),Y1106&gt;N1106,FALSE))</f>
        <v/>
      </c>
      <c r="P1106" s="7">
        <f>IF($AA1106="","",SUMIFS('Per Line'!$Y$2:$Y$4001,'Per Line'!$E$2:$E$4001,$B1106,'Per Line'!$AQ$2:$AQ$4001,1))</f>
        <v/>
      </c>
      <c r="Q1106">
        <f>IF($AA1106="","",Settings!$C$7)</f>
        <v/>
      </c>
      <c r="R1106" s="7">
        <f>IF($AA1106="","",SUMIFS('Per Line'!$Y$2:$Y$4001,'Per Line'!$E$2:$E$4001,$B1106,'Per Line'!$AP$2:$AP$4001,0,'Per Line'!$AQ$2:$AQ$4001,0))</f>
        <v/>
      </c>
      <c r="S1106" s="7">
        <f>IF($AA1106="","",R1106*Q1106)</f>
        <v/>
      </c>
      <c r="T1106">
        <f>IF($AA1106="","",Settings!$C$6)</f>
        <v/>
      </c>
      <c r="U1106" s="7">
        <f>IF($AA1106="","",SUMIFS('Per Line'!$Y$2:$Y$4001,'Per Line'!$E$2:$E$4001,$B1106,'Per Line'!$AP$2:$AP$4001,1,'Per Line'!$AQ$2:$AQ$4001,0))</f>
        <v/>
      </c>
      <c r="V1106" s="7">
        <f>IF($AA1106="","",U1106*T1106)</f>
        <v/>
      </c>
      <c r="W1106" s="7">
        <f>IF($AA1106="","",V1106+S1106)</f>
        <v/>
      </c>
      <c r="X1106" s="7">
        <f>IF($AA1106="","",Y1106-W1106)</f>
        <v/>
      </c>
      <c r="Y1106" s="7">
        <f>IF($AA1106="","",R1106+U1106+P1106)</f>
        <v/>
      </c>
      <c r="Z1106" s="7">
        <f>IF($AA1106="","",Y1106-W1106-L1106)</f>
        <v/>
      </c>
      <c r="AA1106" s="13">
        <f>IF(ROWS($AA$2:$AA1106)&lt;=MAX('Per Line'!$AO$2:$AO$4001),MATCH(ROWS($AA$2:$AA1106),'Per Line'!$AO$2:$AO$4001,0),"")</f>
        <v/>
      </c>
      <c r="AB1106" s="14">
        <f>IF($AA1106="","",L1106-K1106*Y1106/100)</f>
        <v/>
      </c>
    </row>
    <row r="1107">
      <c r="A1107" s="12" t="n"/>
      <c r="B1107">
        <f>IF($AA1107="","",INDEX('Per Line'!$E$2:$E$4001,$AA1107)&amp;"")</f>
        <v/>
      </c>
      <c r="C1107">
        <f>IF($AA1107="","",INDEX('Per Line'!$A$2:$A$4001,$AA1107)&amp;"")</f>
        <v/>
      </c>
      <c r="D1107">
        <f>IF($AA1107="","",INDEX('Per Line'!$D$2:$D$4001,$AA1107)&amp;"")</f>
        <v/>
      </c>
      <c r="E1107" s="11">
        <f>IF($AA1107="","",INDEX('Per Line'!$G$2:$G$4001,$AA1107))</f>
        <v/>
      </c>
      <c r="F1107">
        <f>IF($AA1107="","",INDEX('Per Line'!$H$2:$H$4001,$AA1107)&amp;"")</f>
        <v/>
      </c>
      <c r="G1107">
        <f>IF($AA1107="","",INDEX('Per Line'!$I$2:$I$4001,$AA1107)&amp;"")</f>
        <v/>
      </c>
      <c r="H1107">
        <f>IF($AA1107="","",INDEX('Per Line'!$J$2:$J$4001,$AA1107)&amp;"")</f>
        <v/>
      </c>
      <c r="I1107">
        <f>IF($AA1107="","",INDEX('Per Line'!$K$2:$K$4001,$AA1107)&amp;"")</f>
        <v/>
      </c>
      <c r="J1107">
        <f>IF($AA1107="","",INDEX('Per Line'!$L$2:$L$4001,$AA1107)&amp;"")</f>
        <v/>
      </c>
      <c r="K1107">
        <f>IF($AA1107="","",INDEX('Per Line'!$P$2:$P$4001,$AA1107))</f>
        <v/>
      </c>
      <c r="L1107" s="7">
        <f>IF($AA1107="","",IF(AND(ISNUMBER(N1107),N1107&gt;0,Y1107&gt;N1107),K1107*N1107/100+(Y1107-N1107),K1107*Y1107/100))</f>
        <v/>
      </c>
      <c r="M1107">
        <f>IF($AA1107="","",INDEX('Per Line'!$Z$2:$Z$4001,$AA1107)&amp;"")</f>
        <v/>
      </c>
      <c r="N1107">
        <f>IF($AA1107="","",INDEX('Per Line'!$AG$2:$AG$4001,$AA1107))</f>
        <v/>
      </c>
      <c r="O1107">
        <f>IF($AA1107="","",IF(AND(ISNUMBER(N1107),N1107&gt;0),Y1107&gt;N1107,FALSE))</f>
        <v/>
      </c>
      <c r="P1107" s="7">
        <f>IF($AA1107="","",SUMIFS('Per Line'!$Y$2:$Y$4001,'Per Line'!$E$2:$E$4001,$B1107,'Per Line'!$AQ$2:$AQ$4001,1))</f>
        <v/>
      </c>
      <c r="Q1107">
        <f>IF($AA1107="","",Settings!$C$7)</f>
        <v/>
      </c>
      <c r="R1107" s="7">
        <f>IF($AA1107="","",SUMIFS('Per Line'!$Y$2:$Y$4001,'Per Line'!$E$2:$E$4001,$B1107,'Per Line'!$AP$2:$AP$4001,0,'Per Line'!$AQ$2:$AQ$4001,0))</f>
        <v/>
      </c>
      <c r="S1107" s="7">
        <f>IF($AA1107="","",R1107*Q1107)</f>
        <v/>
      </c>
      <c r="T1107">
        <f>IF($AA1107="","",Settings!$C$6)</f>
        <v/>
      </c>
      <c r="U1107" s="7">
        <f>IF($AA1107="","",SUMIFS('Per Line'!$Y$2:$Y$4001,'Per Line'!$E$2:$E$4001,$B1107,'Per Line'!$AP$2:$AP$4001,1,'Per Line'!$AQ$2:$AQ$4001,0))</f>
        <v/>
      </c>
      <c r="V1107" s="7">
        <f>IF($AA1107="","",U1107*T1107)</f>
        <v/>
      </c>
      <c r="W1107" s="7">
        <f>IF($AA1107="","",V1107+S1107)</f>
        <v/>
      </c>
      <c r="X1107" s="7">
        <f>IF($AA1107="","",Y1107-W1107)</f>
        <v/>
      </c>
      <c r="Y1107" s="7">
        <f>IF($AA1107="","",R1107+U1107+P1107)</f>
        <v/>
      </c>
      <c r="Z1107" s="7">
        <f>IF($AA1107="","",Y1107-W1107-L1107)</f>
        <v/>
      </c>
      <c r="AA1107" s="13">
        <f>IF(ROWS($AA$2:$AA1107)&lt;=MAX('Per Line'!$AO$2:$AO$4001),MATCH(ROWS($AA$2:$AA1107),'Per Line'!$AO$2:$AO$4001,0),"")</f>
        <v/>
      </c>
      <c r="AB1107" s="14">
        <f>IF($AA1107="","",L1107-K1107*Y1107/100)</f>
        <v/>
      </c>
    </row>
    <row r="1108">
      <c r="A1108" s="12" t="n"/>
      <c r="B1108">
        <f>IF($AA1108="","",INDEX('Per Line'!$E$2:$E$4001,$AA1108)&amp;"")</f>
        <v/>
      </c>
      <c r="C1108">
        <f>IF($AA1108="","",INDEX('Per Line'!$A$2:$A$4001,$AA1108)&amp;"")</f>
        <v/>
      </c>
      <c r="D1108">
        <f>IF($AA1108="","",INDEX('Per Line'!$D$2:$D$4001,$AA1108)&amp;"")</f>
        <v/>
      </c>
      <c r="E1108" s="11">
        <f>IF($AA1108="","",INDEX('Per Line'!$G$2:$G$4001,$AA1108))</f>
        <v/>
      </c>
      <c r="F1108">
        <f>IF($AA1108="","",INDEX('Per Line'!$H$2:$H$4001,$AA1108)&amp;"")</f>
        <v/>
      </c>
      <c r="G1108">
        <f>IF($AA1108="","",INDEX('Per Line'!$I$2:$I$4001,$AA1108)&amp;"")</f>
        <v/>
      </c>
      <c r="H1108">
        <f>IF($AA1108="","",INDEX('Per Line'!$J$2:$J$4001,$AA1108)&amp;"")</f>
        <v/>
      </c>
      <c r="I1108">
        <f>IF($AA1108="","",INDEX('Per Line'!$K$2:$K$4001,$AA1108)&amp;"")</f>
        <v/>
      </c>
      <c r="J1108">
        <f>IF($AA1108="","",INDEX('Per Line'!$L$2:$L$4001,$AA1108)&amp;"")</f>
        <v/>
      </c>
      <c r="K1108">
        <f>IF($AA1108="","",INDEX('Per Line'!$P$2:$P$4001,$AA1108))</f>
        <v/>
      </c>
      <c r="L1108" s="7">
        <f>IF($AA1108="","",IF(AND(ISNUMBER(N1108),N1108&gt;0,Y1108&gt;N1108),K1108*N1108/100+(Y1108-N1108),K1108*Y1108/100))</f>
        <v/>
      </c>
      <c r="M1108">
        <f>IF($AA1108="","",INDEX('Per Line'!$Z$2:$Z$4001,$AA1108)&amp;"")</f>
        <v/>
      </c>
      <c r="N1108">
        <f>IF($AA1108="","",INDEX('Per Line'!$AG$2:$AG$4001,$AA1108))</f>
        <v/>
      </c>
      <c r="O1108">
        <f>IF($AA1108="","",IF(AND(ISNUMBER(N1108),N1108&gt;0),Y1108&gt;N1108,FALSE))</f>
        <v/>
      </c>
      <c r="P1108" s="7">
        <f>IF($AA1108="","",SUMIFS('Per Line'!$Y$2:$Y$4001,'Per Line'!$E$2:$E$4001,$B1108,'Per Line'!$AQ$2:$AQ$4001,1))</f>
        <v/>
      </c>
      <c r="Q1108">
        <f>IF($AA1108="","",Settings!$C$7)</f>
        <v/>
      </c>
      <c r="R1108" s="7">
        <f>IF($AA1108="","",SUMIFS('Per Line'!$Y$2:$Y$4001,'Per Line'!$E$2:$E$4001,$B1108,'Per Line'!$AP$2:$AP$4001,0,'Per Line'!$AQ$2:$AQ$4001,0))</f>
        <v/>
      </c>
      <c r="S1108" s="7">
        <f>IF($AA1108="","",R1108*Q1108)</f>
        <v/>
      </c>
      <c r="T1108">
        <f>IF($AA1108="","",Settings!$C$6)</f>
        <v/>
      </c>
      <c r="U1108" s="7">
        <f>IF($AA1108="","",SUMIFS('Per Line'!$Y$2:$Y$4001,'Per Line'!$E$2:$E$4001,$B1108,'Per Line'!$AP$2:$AP$4001,1,'Per Line'!$AQ$2:$AQ$4001,0))</f>
        <v/>
      </c>
      <c r="V1108" s="7">
        <f>IF($AA1108="","",U1108*T1108)</f>
        <v/>
      </c>
      <c r="W1108" s="7">
        <f>IF($AA1108="","",V1108+S1108)</f>
        <v/>
      </c>
      <c r="X1108" s="7">
        <f>IF($AA1108="","",Y1108-W1108)</f>
        <v/>
      </c>
      <c r="Y1108" s="7">
        <f>IF($AA1108="","",R1108+U1108+P1108)</f>
        <v/>
      </c>
      <c r="Z1108" s="7">
        <f>IF($AA1108="","",Y1108-W1108-L1108)</f>
        <v/>
      </c>
      <c r="AA1108" s="13">
        <f>IF(ROWS($AA$2:$AA1108)&lt;=MAX('Per Line'!$AO$2:$AO$4001),MATCH(ROWS($AA$2:$AA1108),'Per Line'!$AO$2:$AO$4001,0),"")</f>
        <v/>
      </c>
      <c r="AB1108" s="14">
        <f>IF($AA1108="","",L1108-K1108*Y1108/100)</f>
        <v/>
      </c>
    </row>
    <row r="1109">
      <c r="A1109" s="12" t="n"/>
      <c r="B1109">
        <f>IF($AA1109="","",INDEX('Per Line'!$E$2:$E$4001,$AA1109)&amp;"")</f>
        <v/>
      </c>
      <c r="C1109">
        <f>IF($AA1109="","",INDEX('Per Line'!$A$2:$A$4001,$AA1109)&amp;"")</f>
        <v/>
      </c>
      <c r="D1109">
        <f>IF($AA1109="","",INDEX('Per Line'!$D$2:$D$4001,$AA1109)&amp;"")</f>
        <v/>
      </c>
      <c r="E1109" s="11">
        <f>IF($AA1109="","",INDEX('Per Line'!$G$2:$G$4001,$AA1109))</f>
        <v/>
      </c>
      <c r="F1109">
        <f>IF($AA1109="","",INDEX('Per Line'!$H$2:$H$4001,$AA1109)&amp;"")</f>
        <v/>
      </c>
      <c r="G1109">
        <f>IF($AA1109="","",INDEX('Per Line'!$I$2:$I$4001,$AA1109)&amp;"")</f>
        <v/>
      </c>
      <c r="H1109">
        <f>IF($AA1109="","",INDEX('Per Line'!$J$2:$J$4001,$AA1109)&amp;"")</f>
        <v/>
      </c>
      <c r="I1109">
        <f>IF($AA1109="","",INDEX('Per Line'!$K$2:$K$4001,$AA1109)&amp;"")</f>
        <v/>
      </c>
      <c r="J1109">
        <f>IF($AA1109="","",INDEX('Per Line'!$L$2:$L$4001,$AA1109)&amp;"")</f>
        <v/>
      </c>
      <c r="K1109">
        <f>IF($AA1109="","",INDEX('Per Line'!$P$2:$P$4001,$AA1109))</f>
        <v/>
      </c>
      <c r="L1109" s="7">
        <f>IF($AA1109="","",IF(AND(ISNUMBER(N1109),N1109&gt;0,Y1109&gt;N1109),K1109*N1109/100+(Y1109-N1109),K1109*Y1109/100))</f>
        <v/>
      </c>
      <c r="M1109">
        <f>IF($AA1109="","",INDEX('Per Line'!$Z$2:$Z$4001,$AA1109)&amp;"")</f>
        <v/>
      </c>
      <c r="N1109">
        <f>IF($AA1109="","",INDEX('Per Line'!$AG$2:$AG$4001,$AA1109))</f>
        <v/>
      </c>
      <c r="O1109">
        <f>IF($AA1109="","",IF(AND(ISNUMBER(N1109),N1109&gt;0),Y1109&gt;N1109,FALSE))</f>
        <v/>
      </c>
      <c r="P1109" s="7">
        <f>IF($AA1109="","",SUMIFS('Per Line'!$Y$2:$Y$4001,'Per Line'!$E$2:$E$4001,$B1109,'Per Line'!$AQ$2:$AQ$4001,1))</f>
        <v/>
      </c>
      <c r="Q1109">
        <f>IF($AA1109="","",Settings!$C$7)</f>
        <v/>
      </c>
      <c r="R1109" s="7">
        <f>IF($AA1109="","",SUMIFS('Per Line'!$Y$2:$Y$4001,'Per Line'!$E$2:$E$4001,$B1109,'Per Line'!$AP$2:$AP$4001,0,'Per Line'!$AQ$2:$AQ$4001,0))</f>
        <v/>
      </c>
      <c r="S1109" s="7">
        <f>IF($AA1109="","",R1109*Q1109)</f>
        <v/>
      </c>
      <c r="T1109">
        <f>IF($AA1109="","",Settings!$C$6)</f>
        <v/>
      </c>
      <c r="U1109" s="7">
        <f>IF($AA1109="","",SUMIFS('Per Line'!$Y$2:$Y$4001,'Per Line'!$E$2:$E$4001,$B1109,'Per Line'!$AP$2:$AP$4001,1,'Per Line'!$AQ$2:$AQ$4001,0))</f>
        <v/>
      </c>
      <c r="V1109" s="7">
        <f>IF($AA1109="","",U1109*T1109)</f>
        <v/>
      </c>
      <c r="W1109" s="7">
        <f>IF($AA1109="","",V1109+S1109)</f>
        <v/>
      </c>
      <c r="X1109" s="7">
        <f>IF($AA1109="","",Y1109-W1109)</f>
        <v/>
      </c>
      <c r="Y1109" s="7">
        <f>IF($AA1109="","",R1109+U1109+P1109)</f>
        <v/>
      </c>
      <c r="Z1109" s="7">
        <f>IF($AA1109="","",Y1109-W1109-L1109)</f>
        <v/>
      </c>
      <c r="AA1109" s="13">
        <f>IF(ROWS($AA$2:$AA1109)&lt;=MAX('Per Line'!$AO$2:$AO$4001),MATCH(ROWS($AA$2:$AA1109),'Per Line'!$AO$2:$AO$4001,0),"")</f>
        <v/>
      </c>
      <c r="AB1109" s="14">
        <f>IF($AA1109="","",L1109-K1109*Y1109/100)</f>
        <v/>
      </c>
    </row>
    <row r="1110">
      <c r="A1110" s="12" t="n"/>
      <c r="B1110">
        <f>IF($AA1110="","",INDEX('Per Line'!$E$2:$E$4001,$AA1110)&amp;"")</f>
        <v/>
      </c>
      <c r="C1110">
        <f>IF($AA1110="","",INDEX('Per Line'!$A$2:$A$4001,$AA1110)&amp;"")</f>
        <v/>
      </c>
      <c r="D1110">
        <f>IF($AA1110="","",INDEX('Per Line'!$D$2:$D$4001,$AA1110)&amp;"")</f>
        <v/>
      </c>
      <c r="E1110" s="11">
        <f>IF($AA1110="","",INDEX('Per Line'!$G$2:$G$4001,$AA1110))</f>
        <v/>
      </c>
      <c r="F1110">
        <f>IF($AA1110="","",INDEX('Per Line'!$H$2:$H$4001,$AA1110)&amp;"")</f>
        <v/>
      </c>
      <c r="G1110">
        <f>IF($AA1110="","",INDEX('Per Line'!$I$2:$I$4001,$AA1110)&amp;"")</f>
        <v/>
      </c>
      <c r="H1110">
        <f>IF($AA1110="","",INDEX('Per Line'!$J$2:$J$4001,$AA1110)&amp;"")</f>
        <v/>
      </c>
      <c r="I1110">
        <f>IF($AA1110="","",INDEX('Per Line'!$K$2:$K$4001,$AA1110)&amp;"")</f>
        <v/>
      </c>
      <c r="J1110">
        <f>IF($AA1110="","",INDEX('Per Line'!$L$2:$L$4001,$AA1110)&amp;"")</f>
        <v/>
      </c>
      <c r="K1110">
        <f>IF($AA1110="","",INDEX('Per Line'!$P$2:$P$4001,$AA1110))</f>
        <v/>
      </c>
      <c r="L1110" s="7">
        <f>IF($AA1110="","",IF(AND(ISNUMBER(N1110),N1110&gt;0,Y1110&gt;N1110),K1110*N1110/100+(Y1110-N1110),K1110*Y1110/100))</f>
        <v/>
      </c>
      <c r="M1110">
        <f>IF($AA1110="","",INDEX('Per Line'!$Z$2:$Z$4001,$AA1110)&amp;"")</f>
        <v/>
      </c>
      <c r="N1110">
        <f>IF($AA1110="","",INDEX('Per Line'!$AG$2:$AG$4001,$AA1110))</f>
        <v/>
      </c>
      <c r="O1110">
        <f>IF($AA1110="","",IF(AND(ISNUMBER(N1110),N1110&gt;0),Y1110&gt;N1110,FALSE))</f>
        <v/>
      </c>
      <c r="P1110" s="7">
        <f>IF($AA1110="","",SUMIFS('Per Line'!$Y$2:$Y$4001,'Per Line'!$E$2:$E$4001,$B1110,'Per Line'!$AQ$2:$AQ$4001,1))</f>
        <v/>
      </c>
      <c r="Q1110">
        <f>IF($AA1110="","",Settings!$C$7)</f>
        <v/>
      </c>
      <c r="R1110" s="7">
        <f>IF($AA1110="","",SUMIFS('Per Line'!$Y$2:$Y$4001,'Per Line'!$E$2:$E$4001,$B1110,'Per Line'!$AP$2:$AP$4001,0,'Per Line'!$AQ$2:$AQ$4001,0))</f>
        <v/>
      </c>
      <c r="S1110" s="7">
        <f>IF($AA1110="","",R1110*Q1110)</f>
        <v/>
      </c>
      <c r="T1110">
        <f>IF($AA1110="","",Settings!$C$6)</f>
        <v/>
      </c>
      <c r="U1110" s="7">
        <f>IF($AA1110="","",SUMIFS('Per Line'!$Y$2:$Y$4001,'Per Line'!$E$2:$E$4001,$B1110,'Per Line'!$AP$2:$AP$4001,1,'Per Line'!$AQ$2:$AQ$4001,0))</f>
        <v/>
      </c>
      <c r="V1110" s="7">
        <f>IF($AA1110="","",U1110*T1110)</f>
        <v/>
      </c>
      <c r="W1110" s="7">
        <f>IF($AA1110="","",V1110+S1110)</f>
        <v/>
      </c>
      <c r="X1110" s="7">
        <f>IF($AA1110="","",Y1110-W1110)</f>
        <v/>
      </c>
      <c r="Y1110" s="7">
        <f>IF($AA1110="","",R1110+U1110+P1110)</f>
        <v/>
      </c>
      <c r="Z1110" s="7">
        <f>IF($AA1110="","",Y1110-W1110-L1110)</f>
        <v/>
      </c>
      <c r="AA1110" s="13">
        <f>IF(ROWS($AA$2:$AA1110)&lt;=MAX('Per Line'!$AO$2:$AO$4001),MATCH(ROWS($AA$2:$AA1110),'Per Line'!$AO$2:$AO$4001,0),"")</f>
        <v/>
      </c>
      <c r="AB1110" s="14">
        <f>IF($AA1110="","",L1110-K1110*Y1110/100)</f>
        <v/>
      </c>
    </row>
    <row r="1111">
      <c r="A1111" s="12" t="n"/>
      <c r="B1111">
        <f>IF($AA1111="","",INDEX('Per Line'!$E$2:$E$4001,$AA1111)&amp;"")</f>
        <v/>
      </c>
      <c r="C1111">
        <f>IF($AA1111="","",INDEX('Per Line'!$A$2:$A$4001,$AA1111)&amp;"")</f>
        <v/>
      </c>
      <c r="D1111">
        <f>IF($AA1111="","",INDEX('Per Line'!$D$2:$D$4001,$AA1111)&amp;"")</f>
        <v/>
      </c>
      <c r="E1111" s="11">
        <f>IF($AA1111="","",INDEX('Per Line'!$G$2:$G$4001,$AA1111))</f>
        <v/>
      </c>
      <c r="F1111">
        <f>IF($AA1111="","",INDEX('Per Line'!$H$2:$H$4001,$AA1111)&amp;"")</f>
        <v/>
      </c>
      <c r="G1111">
        <f>IF($AA1111="","",INDEX('Per Line'!$I$2:$I$4001,$AA1111)&amp;"")</f>
        <v/>
      </c>
      <c r="H1111">
        <f>IF($AA1111="","",INDEX('Per Line'!$J$2:$J$4001,$AA1111)&amp;"")</f>
        <v/>
      </c>
      <c r="I1111">
        <f>IF($AA1111="","",INDEX('Per Line'!$K$2:$K$4001,$AA1111)&amp;"")</f>
        <v/>
      </c>
      <c r="J1111">
        <f>IF($AA1111="","",INDEX('Per Line'!$L$2:$L$4001,$AA1111)&amp;"")</f>
        <v/>
      </c>
      <c r="K1111">
        <f>IF($AA1111="","",INDEX('Per Line'!$P$2:$P$4001,$AA1111))</f>
        <v/>
      </c>
      <c r="L1111" s="7">
        <f>IF($AA1111="","",IF(AND(ISNUMBER(N1111),N1111&gt;0,Y1111&gt;N1111),K1111*N1111/100+(Y1111-N1111),K1111*Y1111/100))</f>
        <v/>
      </c>
      <c r="M1111">
        <f>IF($AA1111="","",INDEX('Per Line'!$Z$2:$Z$4001,$AA1111)&amp;"")</f>
        <v/>
      </c>
      <c r="N1111">
        <f>IF($AA1111="","",INDEX('Per Line'!$AG$2:$AG$4001,$AA1111))</f>
        <v/>
      </c>
      <c r="O1111">
        <f>IF($AA1111="","",IF(AND(ISNUMBER(N1111),N1111&gt;0),Y1111&gt;N1111,FALSE))</f>
        <v/>
      </c>
      <c r="P1111" s="7">
        <f>IF($AA1111="","",SUMIFS('Per Line'!$Y$2:$Y$4001,'Per Line'!$E$2:$E$4001,$B1111,'Per Line'!$AQ$2:$AQ$4001,1))</f>
        <v/>
      </c>
      <c r="Q1111">
        <f>IF($AA1111="","",Settings!$C$7)</f>
        <v/>
      </c>
      <c r="R1111" s="7">
        <f>IF($AA1111="","",SUMIFS('Per Line'!$Y$2:$Y$4001,'Per Line'!$E$2:$E$4001,$B1111,'Per Line'!$AP$2:$AP$4001,0,'Per Line'!$AQ$2:$AQ$4001,0))</f>
        <v/>
      </c>
      <c r="S1111" s="7">
        <f>IF($AA1111="","",R1111*Q1111)</f>
        <v/>
      </c>
      <c r="T1111">
        <f>IF($AA1111="","",Settings!$C$6)</f>
        <v/>
      </c>
      <c r="U1111" s="7">
        <f>IF($AA1111="","",SUMIFS('Per Line'!$Y$2:$Y$4001,'Per Line'!$E$2:$E$4001,$B1111,'Per Line'!$AP$2:$AP$4001,1,'Per Line'!$AQ$2:$AQ$4001,0))</f>
        <v/>
      </c>
      <c r="V1111" s="7">
        <f>IF($AA1111="","",U1111*T1111)</f>
        <v/>
      </c>
      <c r="W1111" s="7">
        <f>IF($AA1111="","",V1111+S1111)</f>
        <v/>
      </c>
      <c r="X1111" s="7">
        <f>IF($AA1111="","",Y1111-W1111)</f>
        <v/>
      </c>
      <c r="Y1111" s="7">
        <f>IF($AA1111="","",R1111+U1111+P1111)</f>
        <v/>
      </c>
      <c r="Z1111" s="7">
        <f>IF($AA1111="","",Y1111-W1111-L1111)</f>
        <v/>
      </c>
      <c r="AA1111" s="13">
        <f>IF(ROWS($AA$2:$AA1111)&lt;=MAX('Per Line'!$AO$2:$AO$4001),MATCH(ROWS($AA$2:$AA1111),'Per Line'!$AO$2:$AO$4001,0),"")</f>
        <v/>
      </c>
      <c r="AB1111" s="14">
        <f>IF($AA1111="","",L1111-K1111*Y1111/100)</f>
        <v/>
      </c>
    </row>
    <row r="1112">
      <c r="A1112" s="12" t="n"/>
      <c r="B1112">
        <f>IF($AA1112="","",INDEX('Per Line'!$E$2:$E$4001,$AA1112)&amp;"")</f>
        <v/>
      </c>
      <c r="C1112">
        <f>IF($AA1112="","",INDEX('Per Line'!$A$2:$A$4001,$AA1112)&amp;"")</f>
        <v/>
      </c>
      <c r="D1112">
        <f>IF($AA1112="","",INDEX('Per Line'!$D$2:$D$4001,$AA1112)&amp;"")</f>
        <v/>
      </c>
      <c r="E1112" s="11">
        <f>IF($AA1112="","",INDEX('Per Line'!$G$2:$G$4001,$AA1112))</f>
        <v/>
      </c>
      <c r="F1112">
        <f>IF($AA1112="","",INDEX('Per Line'!$H$2:$H$4001,$AA1112)&amp;"")</f>
        <v/>
      </c>
      <c r="G1112">
        <f>IF($AA1112="","",INDEX('Per Line'!$I$2:$I$4001,$AA1112)&amp;"")</f>
        <v/>
      </c>
      <c r="H1112">
        <f>IF($AA1112="","",INDEX('Per Line'!$J$2:$J$4001,$AA1112)&amp;"")</f>
        <v/>
      </c>
      <c r="I1112">
        <f>IF($AA1112="","",INDEX('Per Line'!$K$2:$K$4001,$AA1112)&amp;"")</f>
        <v/>
      </c>
      <c r="J1112">
        <f>IF($AA1112="","",INDEX('Per Line'!$L$2:$L$4001,$AA1112)&amp;"")</f>
        <v/>
      </c>
      <c r="K1112">
        <f>IF($AA1112="","",INDEX('Per Line'!$P$2:$P$4001,$AA1112))</f>
        <v/>
      </c>
      <c r="L1112" s="7">
        <f>IF($AA1112="","",IF(AND(ISNUMBER(N1112),N1112&gt;0,Y1112&gt;N1112),K1112*N1112/100+(Y1112-N1112),K1112*Y1112/100))</f>
        <v/>
      </c>
      <c r="M1112">
        <f>IF($AA1112="","",INDEX('Per Line'!$Z$2:$Z$4001,$AA1112)&amp;"")</f>
        <v/>
      </c>
      <c r="N1112">
        <f>IF($AA1112="","",INDEX('Per Line'!$AG$2:$AG$4001,$AA1112))</f>
        <v/>
      </c>
      <c r="O1112">
        <f>IF($AA1112="","",IF(AND(ISNUMBER(N1112),N1112&gt;0),Y1112&gt;N1112,FALSE))</f>
        <v/>
      </c>
      <c r="P1112" s="7">
        <f>IF($AA1112="","",SUMIFS('Per Line'!$Y$2:$Y$4001,'Per Line'!$E$2:$E$4001,$B1112,'Per Line'!$AQ$2:$AQ$4001,1))</f>
        <v/>
      </c>
      <c r="Q1112">
        <f>IF($AA1112="","",Settings!$C$7)</f>
        <v/>
      </c>
      <c r="R1112" s="7">
        <f>IF($AA1112="","",SUMIFS('Per Line'!$Y$2:$Y$4001,'Per Line'!$E$2:$E$4001,$B1112,'Per Line'!$AP$2:$AP$4001,0,'Per Line'!$AQ$2:$AQ$4001,0))</f>
        <v/>
      </c>
      <c r="S1112" s="7">
        <f>IF($AA1112="","",R1112*Q1112)</f>
        <v/>
      </c>
      <c r="T1112">
        <f>IF($AA1112="","",Settings!$C$6)</f>
        <v/>
      </c>
      <c r="U1112" s="7">
        <f>IF($AA1112="","",SUMIFS('Per Line'!$Y$2:$Y$4001,'Per Line'!$E$2:$E$4001,$B1112,'Per Line'!$AP$2:$AP$4001,1,'Per Line'!$AQ$2:$AQ$4001,0))</f>
        <v/>
      </c>
      <c r="V1112" s="7">
        <f>IF($AA1112="","",U1112*T1112)</f>
        <v/>
      </c>
      <c r="W1112" s="7">
        <f>IF($AA1112="","",V1112+S1112)</f>
        <v/>
      </c>
      <c r="X1112" s="7">
        <f>IF($AA1112="","",Y1112-W1112)</f>
        <v/>
      </c>
      <c r="Y1112" s="7">
        <f>IF($AA1112="","",R1112+U1112+P1112)</f>
        <v/>
      </c>
      <c r="Z1112" s="7">
        <f>IF($AA1112="","",Y1112-W1112-L1112)</f>
        <v/>
      </c>
      <c r="AA1112" s="13">
        <f>IF(ROWS($AA$2:$AA1112)&lt;=MAX('Per Line'!$AO$2:$AO$4001),MATCH(ROWS($AA$2:$AA1112),'Per Line'!$AO$2:$AO$4001,0),"")</f>
        <v/>
      </c>
      <c r="AB1112" s="14">
        <f>IF($AA1112="","",L1112-K1112*Y1112/100)</f>
        <v/>
      </c>
    </row>
    <row r="1113">
      <c r="A1113" s="12" t="n"/>
      <c r="B1113">
        <f>IF($AA1113="","",INDEX('Per Line'!$E$2:$E$4001,$AA1113)&amp;"")</f>
        <v/>
      </c>
      <c r="C1113">
        <f>IF($AA1113="","",INDEX('Per Line'!$A$2:$A$4001,$AA1113)&amp;"")</f>
        <v/>
      </c>
      <c r="D1113">
        <f>IF($AA1113="","",INDEX('Per Line'!$D$2:$D$4001,$AA1113)&amp;"")</f>
        <v/>
      </c>
      <c r="E1113" s="11">
        <f>IF($AA1113="","",INDEX('Per Line'!$G$2:$G$4001,$AA1113))</f>
        <v/>
      </c>
      <c r="F1113">
        <f>IF($AA1113="","",INDEX('Per Line'!$H$2:$H$4001,$AA1113)&amp;"")</f>
        <v/>
      </c>
      <c r="G1113">
        <f>IF($AA1113="","",INDEX('Per Line'!$I$2:$I$4001,$AA1113)&amp;"")</f>
        <v/>
      </c>
      <c r="H1113">
        <f>IF($AA1113="","",INDEX('Per Line'!$J$2:$J$4001,$AA1113)&amp;"")</f>
        <v/>
      </c>
      <c r="I1113">
        <f>IF($AA1113="","",INDEX('Per Line'!$K$2:$K$4001,$AA1113)&amp;"")</f>
        <v/>
      </c>
      <c r="J1113">
        <f>IF($AA1113="","",INDEX('Per Line'!$L$2:$L$4001,$AA1113)&amp;"")</f>
        <v/>
      </c>
      <c r="K1113">
        <f>IF($AA1113="","",INDEX('Per Line'!$P$2:$P$4001,$AA1113))</f>
        <v/>
      </c>
      <c r="L1113" s="7">
        <f>IF($AA1113="","",IF(AND(ISNUMBER(N1113),N1113&gt;0,Y1113&gt;N1113),K1113*N1113/100+(Y1113-N1113),K1113*Y1113/100))</f>
        <v/>
      </c>
      <c r="M1113">
        <f>IF($AA1113="","",INDEX('Per Line'!$Z$2:$Z$4001,$AA1113)&amp;"")</f>
        <v/>
      </c>
      <c r="N1113">
        <f>IF($AA1113="","",INDEX('Per Line'!$AG$2:$AG$4001,$AA1113))</f>
        <v/>
      </c>
      <c r="O1113">
        <f>IF($AA1113="","",IF(AND(ISNUMBER(N1113),N1113&gt;0),Y1113&gt;N1113,FALSE))</f>
        <v/>
      </c>
      <c r="P1113" s="7">
        <f>IF($AA1113="","",SUMIFS('Per Line'!$Y$2:$Y$4001,'Per Line'!$E$2:$E$4001,$B1113,'Per Line'!$AQ$2:$AQ$4001,1))</f>
        <v/>
      </c>
      <c r="Q1113">
        <f>IF($AA1113="","",Settings!$C$7)</f>
        <v/>
      </c>
      <c r="R1113" s="7">
        <f>IF($AA1113="","",SUMIFS('Per Line'!$Y$2:$Y$4001,'Per Line'!$E$2:$E$4001,$B1113,'Per Line'!$AP$2:$AP$4001,0,'Per Line'!$AQ$2:$AQ$4001,0))</f>
        <v/>
      </c>
      <c r="S1113" s="7">
        <f>IF($AA1113="","",R1113*Q1113)</f>
        <v/>
      </c>
      <c r="T1113">
        <f>IF($AA1113="","",Settings!$C$6)</f>
        <v/>
      </c>
      <c r="U1113" s="7">
        <f>IF($AA1113="","",SUMIFS('Per Line'!$Y$2:$Y$4001,'Per Line'!$E$2:$E$4001,$B1113,'Per Line'!$AP$2:$AP$4001,1,'Per Line'!$AQ$2:$AQ$4001,0))</f>
        <v/>
      </c>
      <c r="V1113" s="7">
        <f>IF($AA1113="","",U1113*T1113)</f>
        <v/>
      </c>
      <c r="W1113" s="7">
        <f>IF($AA1113="","",V1113+S1113)</f>
        <v/>
      </c>
      <c r="X1113" s="7">
        <f>IF($AA1113="","",Y1113-W1113)</f>
        <v/>
      </c>
      <c r="Y1113" s="7">
        <f>IF($AA1113="","",R1113+U1113+P1113)</f>
        <v/>
      </c>
      <c r="Z1113" s="7">
        <f>IF($AA1113="","",Y1113-W1113-L1113)</f>
        <v/>
      </c>
      <c r="AA1113" s="13">
        <f>IF(ROWS($AA$2:$AA1113)&lt;=MAX('Per Line'!$AO$2:$AO$4001),MATCH(ROWS($AA$2:$AA1113),'Per Line'!$AO$2:$AO$4001,0),"")</f>
        <v/>
      </c>
      <c r="AB1113" s="14">
        <f>IF($AA1113="","",L1113-K1113*Y1113/100)</f>
        <v/>
      </c>
    </row>
    <row r="1114">
      <c r="A1114" s="12" t="n"/>
      <c r="B1114">
        <f>IF($AA1114="","",INDEX('Per Line'!$E$2:$E$4001,$AA1114)&amp;"")</f>
        <v/>
      </c>
      <c r="C1114">
        <f>IF($AA1114="","",INDEX('Per Line'!$A$2:$A$4001,$AA1114)&amp;"")</f>
        <v/>
      </c>
      <c r="D1114">
        <f>IF($AA1114="","",INDEX('Per Line'!$D$2:$D$4001,$AA1114)&amp;"")</f>
        <v/>
      </c>
      <c r="E1114" s="11">
        <f>IF($AA1114="","",INDEX('Per Line'!$G$2:$G$4001,$AA1114))</f>
        <v/>
      </c>
      <c r="F1114">
        <f>IF($AA1114="","",INDEX('Per Line'!$H$2:$H$4001,$AA1114)&amp;"")</f>
        <v/>
      </c>
      <c r="G1114">
        <f>IF($AA1114="","",INDEX('Per Line'!$I$2:$I$4001,$AA1114)&amp;"")</f>
        <v/>
      </c>
      <c r="H1114">
        <f>IF($AA1114="","",INDEX('Per Line'!$J$2:$J$4001,$AA1114)&amp;"")</f>
        <v/>
      </c>
      <c r="I1114">
        <f>IF($AA1114="","",INDEX('Per Line'!$K$2:$K$4001,$AA1114)&amp;"")</f>
        <v/>
      </c>
      <c r="J1114">
        <f>IF($AA1114="","",INDEX('Per Line'!$L$2:$L$4001,$AA1114)&amp;"")</f>
        <v/>
      </c>
      <c r="K1114">
        <f>IF($AA1114="","",INDEX('Per Line'!$P$2:$P$4001,$AA1114))</f>
        <v/>
      </c>
      <c r="L1114" s="7">
        <f>IF($AA1114="","",IF(AND(ISNUMBER(N1114),N1114&gt;0,Y1114&gt;N1114),K1114*N1114/100+(Y1114-N1114),K1114*Y1114/100))</f>
        <v/>
      </c>
      <c r="M1114">
        <f>IF($AA1114="","",INDEX('Per Line'!$Z$2:$Z$4001,$AA1114)&amp;"")</f>
        <v/>
      </c>
      <c r="N1114">
        <f>IF($AA1114="","",INDEX('Per Line'!$AG$2:$AG$4001,$AA1114))</f>
        <v/>
      </c>
      <c r="O1114">
        <f>IF($AA1114="","",IF(AND(ISNUMBER(N1114),N1114&gt;0),Y1114&gt;N1114,FALSE))</f>
        <v/>
      </c>
      <c r="P1114" s="7">
        <f>IF($AA1114="","",SUMIFS('Per Line'!$Y$2:$Y$4001,'Per Line'!$E$2:$E$4001,$B1114,'Per Line'!$AQ$2:$AQ$4001,1))</f>
        <v/>
      </c>
      <c r="Q1114">
        <f>IF($AA1114="","",Settings!$C$7)</f>
        <v/>
      </c>
      <c r="R1114" s="7">
        <f>IF($AA1114="","",SUMIFS('Per Line'!$Y$2:$Y$4001,'Per Line'!$E$2:$E$4001,$B1114,'Per Line'!$AP$2:$AP$4001,0,'Per Line'!$AQ$2:$AQ$4001,0))</f>
        <v/>
      </c>
      <c r="S1114" s="7">
        <f>IF($AA1114="","",R1114*Q1114)</f>
        <v/>
      </c>
      <c r="T1114">
        <f>IF($AA1114="","",Settings!$C$6)</f>
        <v/>
      </c>
      <c r="U1114" s="7">
        <f>IF($AA1114="","",SUMIFS('Per Line'!$Y$2:$Y$4001,'Per Line'!$E$2:$E$4001,$B1114,'Per Line'!$AP$2:$AP$4001,1,'Per Line'!$AQ$2:$AQ$4001,0))</f>
        <v/>
      </c>
      <c r="V1114" s="7">
        <f>IF($AA1114="","",U1114*T1114)</f>
        <v/>
      </c>
      <c r="W1114" s="7">
        <f>IF($AA1114="","",V1114+S1114)</f>
        <v/>
      </c>
      <c r="X1114" s="7">
        <f>IF($AA1114="","",Y1114-W1114)</f>
        <v/>
      </c>
      <c r="Y1114" s="7">
        <f>IF($AA1114="","",R1114+U1114+P1114)</f>
        <v/>
      </c>
      <c r="Z1114" s="7">
        <f>IF($AA1114="","",Y1114-W1114-L1114)</f>
        <v/>
      </c>
      <c r="AA1114" s="13">
        <f>IF(ROWS($AA$2:$AA1114)&lt;=MAX('Per Line'!$AO$2:$AO$4001),MATCH(ROWS($AA$2:$AA1114),'Per Line'!$AO$2:$AO$4001,0),"")</f>
        <v/>
      </c>
      <c r="AB1114" s="14">
        <f>IF($AA1114="","",L1114-K1114*Y1114/100)</f>
        <v/>
      </c>
    </row>
    <row r="1115">
      <c r="A1115" s="12" t="n"/>
      <c r="B1115">
        <f>IF($AA1115="","",INDEX('Per Line'!$E$2:$E$4001,$AA1115)&amp;"")</f>
        <v/>
      </c>
      <c r="C1115">
        <f>IF($AA1115="","",INDEX('Per Line'!$A$2:$A$4001,$AA1115)&amp;"")</f>
        <v/>
      </c>
      <c r="D1115">
        <f>IF($AA1115="","",INDEX('Per Line'!$D$2:$D$4001,$AA1115)&amp;"")</f>
        <v/>
      </c>
      <c r="E1115" s="11">
        <f>IF($AA1115="","",INDEX('Per Line'!$G$2:$G$4001,$AA1115))</f>
        <v/>
      </c>
      <c r="F1115">
        <f>IF($AA1115="","",INDEX('Per Line'!$H$2:$H$4001,$AA1115)&amp;"")</f>
        <v/>
      </c>
      <c r="G1115">
        <f>IF($AA1115="","",INDEX('Per Line'!$I$2:$I$4001,$AA1115)&amp;"")</f>
        <v/>
      </c>
      <c r="H1115">
        <f>IF($AA1115="","",INDEX('Per Line'!$J$2:$J$4001,$AA1115)&amp;"")</f>
        <v/>
      </c>
      <c r="I1115">
        <f>IF($AA1115="","",INDEX('Per Line'!$K$2:$K$4001,$AA1115)&amp;"")</f>
        <v/>
      </c>
      <c r="J1115">
        <f>IF($AA1115="","",INDEX('Per Line'!$L$2:$L$4001,$AA1115)&amp;"")</f>
        <v/>
      </c>
      <c r="K1115">
        <f>IF($AA1115="","",INDEX('Per Line'!$P$2:$P$4001,$AA1115))</f>
        <v/>
      </c>
      <c r="L1115" s="7">
        <f>IF($AA1115="","",IF(AND(ISNUMBER(N1115),N1115&gt;0,Y1115&gt;N1115),K1115*N1115/100+(Y1115-N1115),K1115*Y1115/100))</f>
        <v/>
      </c>
      <c r="M1115">
        <f>IF($AA1115="","",INDEX('Per Line'!$Z$2:$Z$4001,$AA1115)&amp;"")</f>
        <v/>
      </c>
      <c r="N1115">
        <f>IF($AA1115="","",INDEX('Per Line'!$AG$2:$AG$4001,$AA1115))</f>
        <v/>
      </c>
      <c r="O1115">
        <f>IF($AA1115="","",IF(AND(ISNUMBER(N1115),N1115&gt;0),Y1115&gt;N1115,FALSE))</f>
        <v/>
      </c>
      <c r="P1115" s="7">
        <f>IF($AA1115="","",SUMIFS('Per Line'!$Y$2:$Y$4001,'Per Line'!$E$2:$E$4001,$B1115,'Per Line'!$AQ$2:$AQ$4001,1))</f>
        <v/>
      </c>
      <c r="Q1115">
        <f>IF($AA1115="","",Settings!$C$7)</f>
        <v/>
      </c>
      <c r="R1115" s="7">
        <f>IF($AA1115="","",SUMIFS('Per Line'!$Y$2:$Y$4001,'Per Line'!$E$2:$E$4001,$B1115,'Per Line'!$AP$2:$AP$4001,0,'Per Line'!$AQ$2:$AQ$4001,0))</f>
        <v/>
      </c>
      <c r="S1115" s="7">
        <f>IF($AA1115="","",R1115*Q1115)</f>
        <v/>
      </c>
      <c r="T1115">
        <f>IF($AA1115="","",Settings!$C$6)</f>
        <v/>
      </c>
      <c r="U1115" s="7">
        <f>IF($AA1115="","",SUMIFS('Per Line'!$Y$2:$Y$4001,'Per Line'!$E$2:$E$4001,$B1115,'Per Line'!$AP$2:$AP$4001,1,'Per Line'!$AQ$2:$AQ$4001,0))</f>
        <v/>
      </c>
      <c r="V1115" s="7">
        <f>IF($AA1115="","",U1115*T1115)</f>
        <v/>
      </c>
      <c r="W1115" s="7">
        <f>IF($AA1115="","",V1115+S1115)</f>
        <v/>
      </c>
      <c r="X1115" s="7">
        <f>IF($AA1115="","",Y1115-W1115)</f>
        <v/>
      </c>
      <c r="Y1115" s="7">
        <f>IF($AA1115="","",R1115+U1115+P1115)</f>
        <v/>
      </c>
      <c r="Z1115" s="7">
        <f>IF($AA1115="","",Y1115-W1115-L1115)</f>
        <v/>
      </c>
      <c r="AA1115" s="13">
        <f>IF(ROWS($AA$2:$AA1115)&lt;=MAX('Per Line'!$AO$2:$AO$4001),MATCH(ROWS($AA$2:$AA1115),'Per Line'!$AO$2:$AO$4001,0),"")</f>
        <v/>
      </c>
      <c r="AB1115" s="14">
        <f>IF($AA1115="","",L1115-K1115*Y1115/100)</f>
        <v/>
      </c>
    </row>
    <row r="1116">
      <c r="A1116" s="12" t="n"/>
      <c r="B1116">
        <f>IF($AA1116="","",INDEX('Per Line'!$E$2:$E$4001,$AA1116)&amp;"")</f>
        <v/>
      </c>
      <c r="C1116">
        <f>IF($AA1116="","",INDEX('Per Line'!$A$2:$A$4001,$AA1116)&amp;"")</f>
        <v/>
      </c>
      <c r="D1116">
        <f>IF($AA1116="","",INDEX('Per Line'!$D$2:$D$4001,$AA1116)&amp;"")</f>
        <v/>
      </c>
      <c r="E1116" s="11">
        <f>IF($AA1116="","",INDEX('Per Line'!$G$2:$G$4001,$AA1116))</f>
        <v/>
      </c>
      <c r="F1116">
        <f>IF($AA1116="","",INDEX('Per Line'!$H$2:$H$4001,$AA1116)&amp;"")</f>
        <v/>
      </c>
      <c r="G1116">
        <f>IF($AA1116="","",INDEX('Per Line'!$I$2:$I$4001,$AA1116)&amp;"")</f>
        <v/>
      </c>
      <c r="H1116">
        <f>IF($AA1116="","",INDEX('Per Line'!$J$2:$J$4001,$AA1116)&amp;"")</f>
        <v/>
      </c>
      <c r="I1116">
        <f>IF($AA1116="","",INDEX('Per Line'!$K$2:$K$4001,$AA1116)&amp;"")</f>
        <v/>
      </c>
      <c r="J1116">
        <f>IF($AA1116="","",INDEX('Per Line'!$L$2:$L$4001,$AA1116)&amp;"")</f>
        <v/>
      </c>
      <c r="K1116">
        <f>IF($AA1116="","",INDEX('Per Line'!$P$2:$P$4001,$AA1116))</f>
        <v/>
      </c>
      <c r="L1116" s="7">
        <f>IF($AA1116="","",IF(AND(ISNUMBER(N1116),N1116&gt;0,Y1116&gt;N1116),K1116*N1116/100+(Y1116-N1116),K1116*Y1116/100))</f>
        <v/>
      </c>
      <c r="M1116">
        <f>IF($AA1116="","",INDEX('Per Line'!$Z$2:$Z$4001,$AA1116)&amp;"")</f>
        <v/>
      </c>
      <c r="N1116">
        <f>IF($AA1116="","",INDEX('Per Line'!$AG$2:$AG$4001,$AA1116))</f>
        <v/>
      </c>
      <c r="O1116">
        <f>IF($AA1116="","",IF(AND(ISNUMBER(N1116),N1116&gt;0),Y1116&gt;N1116,FALSE))</f>
        <v/>
      </c>
      <c r="P1116" s="7">
        <f>IF($AA1116="","",SUMIFS('Per Line'!$Y$2:$Y$4001,'Per Line'!$E$2:$E$4001,$B1116,'Per Line'!$AQ$2:$AQ$4001,1))</f>
        <v/>
      </c>
      <c r="Q1116">
        <f>IF($AA1116="","",Settings!$C$7)</f>
        <v/>
      </c>
      <c r="R1116" s="7">
        <f>IF($AA1116="","",SUMIFS('Per Line'!$Y$2:$Y$4001,'Per Line'!$E$2:$E$4001,$B1116,'Per Line'!$AP$2:$AP$4001,0,'Per Line'!$AQ$2:$AQ$4001,0))</f>
        <v/>
      </c>
      <c r="S1116" s="7">
        <f>IF($AA1116="","",R1116*Q1116)</f>
        <v/>
      </c>
      <c r="T1116">
        <f>IF($AA1116="","",Settings!$C$6)</f>
        <v/>
      </c>
      <c r="U1116" s="7">
        <f>IF($AA1116="","",SUMIFS('Per Line'!$Y$2:$Y$4001,'Per Line'!$E$2:$E$4001,$B1116,'Per Line'!$AP$2:$AP$4001,1,'Per Line'!$AQ$2:$AQ$4001,0))</f>
        <v/>
      </c>
      <c r="V1116" s="7">
        <f>IF($AA1116="","",U1116*T1116)</f>
        <v/>
      </c>
      <c r="W1116" s="7">
        <f>IF($AA1116="","",V1116+S1116)</f>
        <v/>
      </c>
      <c r="X1116" s="7">
        <f>IF($AA1116="","",Y1116-W1116)</f>
        <v/>
      </c>
      <c r="Y1116" s="7">
        <f>IF($AA1116="","",R1116+U1116+P1116)</f>
        <v/>
      </c>
      <c r="Z1116" s="7">
        <f>IF($AA1116="","",Y1116-W1116-L1116)</f>
        <v/>
      </c>
      <c r="AA1116" s="13">
        <f>IF(ROWS($AA$2:$AA1116)&lt;=MAX('Per Line'!$AO$2:$AO$4001),MATCH(ROWS($AA$2:$AA1116),'Per Line'!$AO$2:$AO$4001,0),"")</f>
        <v/>
      </c>
      <c r="AB1116" s="14">
        <f>IF($AA1116="","",L1116-K1116*Y1116/100)</f>
        <v/>
      </c>
    </row>
    <row r="1117">
      <c r="A1117" s="12" t="n"/>
      <c r="B1117">
        <f>IF($AA1117="","",INDEX('Per Line'!$E$2:$E$4001,$AA1117)&amp;"")</f>
        <v/>
      </c>
      <c r="C1117">
        <f>IF($AA1117="","",INDEX('Per Line'!$A$2:$A$4001,$AA1117)&amp;"")</f>
        <v/>
      </c>
      <c r="D1117">
        <f>IF($AA1117="","",INDEX('Per Line'!$D$2:$D$4001,$AA1117)&amp;"")</f>
        <v/>
      </c>
      <c r="E1117" s="11">
        <f>IF($AA1117="","",INDEX('Per Line'!$G$2:$G$4001,$AA1117))</f>
        <v/>
      </c>
      <c r="F1117">
        <f>IF($AA1117="","",INDEX('Per Line'!$H$2:$H$4001,$AA1117)&amp;"")</f>
        <v/>
      </c>
      <c r="G1117">
        <f>IF($AA1117="","",INDEX('Per Line'!$I$2:$I$4001,$AA1117)&amp;"")</f>
        <v/>
      </c>
      <c r="H1117">
        <f>IF($AA1117="","",INDEX('Per Line'!$J$2:$J$4001,$AA1117)&amp;"")</f>
        <v/>
      </c>
      <c r="I1117">
        <f>IF($AA1117="","",INDEX('Per Line'!$K$2:$K$4001,$AA1117)&amp;"")</f>
        <v/>
      </c>
      <c r="J1117">
        <f>IF($AA1117="","",INDEX('Per Line'!$L$2:$L$4001,$AA1117)&amp;"")</f>
        <v/>
      </c>
      <c r="K1117">
        <f>IF($AA1117="","",INDEX('Per Line'!$P$2:$P$4001,$AA1117))</f>
        <v/>
      </c>
      <c r="L1117" s="7">
        <f>IF($AA1117="","",IF(AND(ISNUMBER(N1117),N1117&gt;0,Y1117&gt;N1117),K1117*N1117/100+(Y1117-N1117),K1117*Y1117/100))</f>
        <v/>
      </c>
      <c r="M1117">
        <f>IF($AA1117="","",INDEX('Per Line'!$Z$2:$Z$4001,$AA1117)&amp;"")</f>
        <v/>
      </c>
      <c r="N1117">
        <f>IF($AA1117="","",INDEX('Per Line'!$AG$2:$AG$4001,$AA1117))</f>
        <v/>
      </c>
      <c r="O1117">
        <f>IF($AA1117="","",IF(AND(ISNUMBER(N1117),N1117&gt;0),Y1117&gt;N1117,FALSE))</f>
        <v/>
      </c>
      <c r="P1117" s="7">
        <f>IF($AA1117="","",SUMIFS('Per Line'!$Y$2:$Y$4001,'Per Line'!$E$2:$E$4001,$B1117,'Per Line'!$AQ$2:$AQ$4001,1))</f>
        <v/>
      </c>
      <c r="Q1117">
        <f>IF($AA1117="","",Settings!$C$7)</f>
        <v/>
      </c>
      <c r="R1117" s="7">
        <f>IF($AA1117="","",SUMIFS('Per Line'!$Y$2:$Y$4001,'Per Line'!$E$2:$E$4001,$B1117,'Per Line'!$AP$2:$AP$4001,0,'Per Line'!$AQ$2:$AQ$4001,0))</f>
        <v/>
      </c>
      <c r="S1117" s="7">
        <f>IF($AA1117="","",R1117*Q1117)</f>
        <v/>
      </c>
      <c r="T1117">
        <f>IF($AA1117="","",Settings!$C$6)</f>
        <v/>
      </c>
      <c r="U1117" s="7">
        <f>IF($AA1117="","",SUMIFS('Per Line'!$Y$2:$Y$4001,'Per Line'!$E$2:$E$4001,$B1117,'Per Line'!$AP$2:$AP$4001,1,'Per Line'!$AQ$2:$AQ$4001,0))</f>
        <v/>
      </c>
      <c r="V1117" s="7">
        <f>IF($AA1117="","",U1117*T1117)</f>
        <v/>
      </c>
      <c r="W1117" s="7">
        <f>IF($AA1117="","",V1117+S1117)</f>
        <v/>
      </c>
      <c r="X1117" s="7">
        <f>IF($AA1117="","",Y1117-W1117)</f>
        <v/>
      </c>
      <c r="Y1117" s="7">
        <f>IF($AA1117="","",R1117+U1117+P1117)</f>
        <v/>
      </c>
      <c r="Z1117" s="7">
        <f>IF($AA1117="","",Y1117-W1117-L1117)</f>
        <v/>
      </c>
      <c r="AA1117" s="13">
        <f>IF(ROWS($AA$2:$AA1117)&lt;=MAX('Per Line'!$AO$2:$AO$4001),MATCH(ROWS($AA$2:$AA1117),'Per Line'!$AO$2:$AO$4001,0),"")</f>
        <v/>
      </c>
      <c r="AB1117" s="14">
        <f>IF($AA1117="","",L1117-K1117*Y1117/100)</f>
        <v/>
      </c>
    </row>
    <row r="1118">
      <c r="A1118" s="12" t="n"/>
      <c r="B1118">
        <f>IF($AA1118="","",INDEX('Per Line'!$E$2:$E$4001,$AA1118)&amp;"")</f>
        <v/>
      </c>
      <c r="C1118">
        <f>IF($AA1118="","",INDEX('Per Line'!$A$2:$A$4001,$AA1118)&amp;"")</f>
        <v/>
      </c>
      <c r="D1118">
        <f>IF($AA1118="","",INDEX('Per Line'!$D$2:$D$4001,$AA1118)&amp;"")</f>
        <v/>
      </c>
      <c r="E1118" s="11">
        <f>IF($AA1118="","",INDEX('Per Line'!$G$2:$G$4001,$AA1118))</f>
        <v/>
      </c>
      <c r="F1118">
        <f>IF($AA1118="","",INDEX('Per Line'!$H$2:$H$4001,$AA1118)&amp;"")</f>
        <v/>
      </c>
      <c r="G1118">
        <f>IF($AA1118="","",INDEX('Per Line'!$I$2:$I$4001,$AA1118)&amp;"")</f>
        <v/>
      </c>
      <c r="H1118">
        <f>IF($AA1118="","",INDEX('Per Line'!$J$2:$J$4001,$AA1118)&amp;"")</f>
        <v/>
      </c>
      <c r="I1118">
        <f>IF($AA1118="","",INDEX('Per Line'!$K$2:$K$4001,$AA1118)&amp;"")</f>
        <v/>
      </c>
      <c r="J1118">
        <f>IF($AA1118="","",INDEX('Per Line'!$L$2:$L$4001,$AA1118)&amp;"")</f>
        <v/>
      </c>
      <c r="K1118">
        <f>IF($AA1118="","",INDEX('Per Line'!$P$2:$P$4001,$AA1118))</f>
        <v/>
      </c>
      <c r="L1118" s="7">
        <f>IF($AA1118="","",IF(AND(ISNUMBER(N1118),N1118&gt;0,Y1118&gt;N1118),K1118*N1118/100+(Y1118-N1118),K1118*Y1118/100))</f>
        <v/>
      </c>
      <c r="M1118">
        <f>IF($AA1118="","",INDEX('Per Line'!$Z$2:$Z$4001,$AA1118)&amp;"")</f>
        <v/>
      </c>
      <c r="N1118">
        <f>IF($AA1118="","",INDEX('Per Line'!$AG$2:$AG$4001,$AA1118))</f>
        <v/>
      </c>
      <c r="O1118">
        <f>IF($AA1118="","",IF(AND(ISNUMBER(N1118),N1118&gt;0),Y1118&gt;N1118,FALSE))</f>
        <v/>
      </c>
      <c r="P1118" s="7">
        <f>IF($AA1118="","",SUMIFS('Per Line'!$Y$2:$Y$4001,'Per Line'!$E$2:$E$4001,$B1118,'Per Line'!$AQ$2:$AQ$4001,1))</f>
        <v/>
      </c>
      <c r="Q1118">
        <f>IF($AA1118="","",Settings!$C$7)</f>
        <v/>
      </c>
      <c r="R1118" s="7">
        <f>IF($AA1118="","",SUMIFS('Per Line'!$Y$2:$Y$4001,'Per Line'!$E$2:$E$4001,$B1118,'Per Line'!$AP$2:$AP$4001,0,'Per Line'!$AQ$2:$AQ$4001,0))</f>
        <v/>
      </c>
      <c r="S1118" s="7">
        <f>IF($AA1118="","",R1118*Q1118)</f>
        <v/>
      </c>
      <c r="T1118">
        <f>IF($AA1118="","",Settings!$C$6)</f>
        <v/>
      </c>
      <c r="U1118" s="7">
        <f>IF($AA1118="","",SUMIFS('Per Line'!$Y$2:$Y$4001,'Per Line'!$E$2:$E$4001,$B1118,'Per Line'!$AP$2:$AP$4001,1,'Per Line'!$AQ$2:$AQ$4001,0))</f>
        <v/>
      </c>
      <c r="V1118" s="7">
        <f>IF($AA1118="","",U1118*T1118)</f>
        <v/>
      </c>
      <c r="W1118" s="7">
        <f>IF($AA1118="","",V1118+S1118)</f>
        <v/>
      </c>
      <c r="X1118" s="7">
        <f>IF($AA1118="","",Y1118-W1118)</f>
        <v/>
      </c>
      <c r="Y1118" s="7">
        <f>IF($AA1118="","",R1118+U1118+P1118)</f>
        <v/>
      </c>
      <c r="Z1118" s="7">
        <f>IF($AA1118="","",Y1118-W1118-L1118)</f>
        <v/>
      </c>
      <c r="AA1118" s="13">
        <f>IF(ROWS($AA$2:$AA1118)&lt;=MAX('Per Line'!$AO$2:$AO$4001),MATCH(ROWS($AA$2:$AA1118),'Per Line'!$AO$2:$AO$4001,0),"")</f>
        <v/>
      </c>
      <c r="AB1118" s="14">
        <f>IF($AA1118="","",L1118-K1118*Y1118/100)</f>
        <v/>
      </c>
    </row>
    <row r="1119">
      <c r="A1119" s="12" t="n"/>
      <c r="B1119">
        <f>IF($AA1119="","",INDEX('Per Line'!$E$2:$E$4001,$AA1119)&amp;"")</f>
        <v/>
      </c>
      <c r="C1119">
        <f>IF($AA1119="","",INDEX('Per Line'!$A$2:$A$4001,$AA1119)&amp;"")</f>
        <v/>
      </c>
      <c r="D1119">
        <f>IF($AA1119="","",INDEX('Per Line'!$D$2:$D$4001,$AA1119)&amp;"")</f>
        <v/>
      </c>
      <c r="E1119" s="11">
        <f>IF($AA1119="","",INDEX('Per Line'!$G$2:$G$4001,$AA1119))</f>
        <v/>
      </c>
      <c r="F1119">
        <f>IF($AA1119="","",INDEX('Per Line'!$H$2:$H$4001,$AA1119)&amp;"")</f>
        <v/>
      </c>
      <c r="G1119">
        <f>IF($AA1119="","",INDEX('Per Line'!$I$2:$I$4001,$AA1119)&amp;"")</f>
        <v/>
      </c>
      <c r="H1119">
        <f>IF($AA1119="","",INDEX('Per Line'!$J$2:$J$4001,$AA1119)&amp;"")</f>
        <v/>
      </c>
      <c r="I1119">
        <f>IF($AA1119="","",INDEX('Per Line'!$K$2:$K$4001,$AA1119)&amp;"")</f>
        <v/>
      </c>
      <c r="J1119">
        <f>IF($AA1119="","",INDEX('Per Line'!$L$2:$L$4001,$AA1119)&amp;"")</f>
        <v/>
      </c>
      <c r="K1119">
        <f>IF($AA1119="","",INDEX('Per Line'!$P$2:$P$4001,$AA1119))</f>
        <v/>
      </c>
      <c r="L1119" s="7">
        <f>IF($AA1119="","",IF(AND(ISNUMBER(N1119),N1119&gt;0,Y1119&gt;N1119),K1119*N1119/100+(Y1119-N1119),K1119*Y1119/100))</f>
        <v/>
      </c>
      <c r="M1119">
        <f>IF($AA1119="","",INDEX('Per Line'!$Z$2:$Z$4001,$AA1119)&amp;"")</f>
        <v/>
      </c>
      <c r="N1119">
        <f>IF($AA1119="","",INDEX('Per Line'!$AG$2:$AG$4001,$AA1119))</f>
        <v/>
      </c>
      <c r="O1119">
        <f>IF($AA1119="","",IF(AND(ISNUMBER(N1119),N1119&gt;0),Y1119&gt;N1119,FALSE))</f>
        <v/>
      </c>
      <c r="P1119" s="7">
        <f>IF($AA1119="","",SUMIFS('Per Line'!$Y$2:$Y$4001,'Per Line'!$E$2:$E$4001,$B1119,'Per Line'!$AQ$2:$AQ$4001,1))</f>
        <v/>
      </c>
      <c r="Q1119">
        <f>IF($AA1119="","",Settings!$C$7)</f>
        <v/>
      </c>
      <c r="R1119" s="7">
        <f>IF($AA1119="","",SUMIFS('Per Line'!$Y$2:$Y$4001,'Per Line'!$E$2:$E$4001,$B1119,'Per Line'!$AP$2:$AP$4001,0,'Per Line'!$AQ$2:$AQ$4001,0))</f>
        <v/>
      </c>
      <c r="S1119" s="7">
        <f>IF($AA1119="","",R1119*Q1119)</f>
        <v/>
      </c>
      <c r="T1119">
        <f>IF($AA1119="","",Settings!$C$6)</f>
        <v/>
      </c>
      <c r="U1119" s="7">
        <f>IF($AA1119="","",SUMIFS('Per Line'!$Y$2:$Y$4001,'Per Line'!$E$2:$E$4001,$B1119,'Per Line'!$AP$2:$AP$4001,1,'Per Line'!$AQ$2:$AQ$4001,0))</f>
        <v/>
      </c>
      <c r="V1119" s="7">
        <f>IF($AA1119="","",U1119*T1119)</f>
        <v/>
      </c>
      <c r="W1119" s="7">
        <f>IF($AA1119="","",V1119+S1119)</f>
        <v/>
      </c>
      <c r="X1119" s="7">
        <f>IF($AA1119="","",Y1119-W1119)</f>
        <v/>
      </c>
      <c r="Y1119" s="7">
        <f>IF($AA1119="","",R1119+U1119+P1119)</f>
        <v/>
      </c>
      <c r="Z1119" s="7">
        <f>IF($AA1119="","",Y1119-W1119-L1119)</f>
        <v/>
      </c>
      <c r="AA1119" s="13">
        <f>IF(ROWS($AA$2:$AA1119)&lt;=MAX('Per Line'!$AO$2:$AO$4001),MATCH(ROWS($AA$2:$AA1119),'Per Line'!$AO$2:$AO$4001,0),"")</f>
        <v/>
      </c>
      <c r="AB1119" s="14">
        <f>IF($AA1119="","",L1119-K1119*Y1119/100)</f>
        <v/>
      </c>
    </row>
    <row r="1120">
      <c r="A1120" s="12" t="n"/>
      <c r="B1120">
        <f>IF($AA1120="","",INDEX('Per Line'!$E$2:$E$4001,$AA1120)&amp;"")</f>
        <v/>
      </c>
      <c r="C1120">
        <f>IF($AA1120="","",INDEX('Per Line'!$A$2:$A$4001,$AA1120)&amp;"")</f>
        <v/>
      </c>
      <c r="D1120">
        <f>IF($AA1120="","",INDEX('Per Line'!$D$2:$D$4001,$AA1120)&amp;"")</f>
        <v/>
      </c>
      <c r="E1120" s="11">
        <f>IF($AA1120="","",INDEX('Per Line'!$G$2:$G$4001,$AA1120))</f>
        <v/>
      </c>
      <c r="F1120">
        <f>IF($AA1120="","",INDEX('Per Line'!$H$2:$H$4001,$AA1120)&amp;"")</f>
        <v/>
      </c>
      <c r="G1120">
        <f>IF($AA1120="","",INDEX('Per Line'!$I$2:$I$4001,$AA1120)&amp;"")</f>
        <v/>
      </c>
      <c r="H1120">
        <f>IF($AA1120="","",INDEX('Per Line'!$J$2:$J$4001,$AA1120)&amp;"")</f>
        <v/>
      </c>
      <c r="I1120">
        <f>IF($AA1120="","",INDEX('Per Line'!$K$2:$K$4001,$AA1120)&amp;"")</f>
        <v/>
      </c>
      <c r="J1120">
        <f>IF($AA1120="","",INDEX('Per Line'!$L$2:$L$4001,$AA1120)&amp;"")</f>
        <v/>
      </c>
      <c r="K1120">
        <f>IF($AA1120="","",INDEX('Per Line'!$P$2:$P$4001,$AA1120))</f>
        <v/>
      </c>
      <c r="L1120" s="7">
        <f>IF($AA1120="","",IF(AND(ISNUMBER(N1120),N1120&gt;0,Y1120&gt;N1120),K1120*N1120/100+(Y1120-N1120),K1120*Y1120/100))</f>
        <v/>
      </c>
      <c r="M1120">
        <f>IF($AA1120="","",INDEX('Per Line'!$Z$2:$Z$4001,$AA1120)&amp;"")</f>
        <v/>
      </c>
      <c r="N1120">
        <f>IF($AA1120="","",INDEX('Per Line'!$AG$2:$AG$4001,$AA1120))</f>
        <v/>
      </c>
      <c r="O1120">
        <f>IF($AA1120="","",IF(AND(ISNUMBER(N1120),N1120&gt;0),Y1120&gt;N1120,FALSE))</f>
        <v/>
      </c>
      <c r="P1120" s="7">
        <f>IF($AA1120="","",SUMIFS('Per Line'!$Y$2:$Y$4001,'Per Line'!$E$2:$E$4001,$B1120,'Per Line'!$AQ$2:$AQ$4001,1))</f>
        <v/>
      </c>
      <c r="Q1120">
        <f>IF($AA1120="","",Settings!$C$7)</f>
        <v/>
      </c>
      <c r="R1120" s="7">
        <f>IF($AA1120="","",SUMIFS('Per Line'!$Y$2:$Y$4001,'Per Line'!$E$2:$E$4001,$B1120,'Per Line'!$AP$2:$AP$4001,0,'Per Line'!$AQ$2:$AQ$4001,0))</f>
        <v/>
      </c>
      <c r="S1120" s="7">
        <f>IF($AA1120="","",R1120*Q1120)</f>
        <v/>
      </c>
      <c r="T1120">
        <f>IF($AA1120="","",Settings!$C$6)</f>
        <v/>
      </c>
      <c r="U1120" s="7">
        <f>IF($AA1120="","",SUMIFS('Per Line'!$Y$2:$Y$4001,'Per Line'!$E$2:$E$4001,$B1120,'Per Line'!$AP$2:$AP$4001,1,'Per Line'!$AQ$2:$AQ$4001,0))</f>
        <v/>
      </c>
      <c r="V1120" s="7">
        <f>IF($AA1120="","",U1120*T1120)</f>
        <v/>
      </c>
      <c r="W1120" s="7">
        <f>IF($AA1120="","",V1120+S1120)</f>
        <v/>
      </c>
      <c r="X1120" s="7">
        <f>IF($AA1120="","",Y1120-W1120)</f>
        <v/>
      </c>
      <c r="Y1120" s="7">
        <f>IF($AA1120="","",R1120+U1120+P1120)</f>
        <v/>
      </c>
      <c r="Z1120" s="7">
        <f>IF($AA1120="","",Y1120-W1120-L1120)</f>
        <v/>
      </c>
      <c r="AA1120" s="13">
        <f>IF(ROWS($AA$2:$AA1120)&lt;=MAX('Per Line'!$AO$2:$AO$4001),MATCH(ROWS($AA$2:$AA1120),'Per Line'!$AO$2:$AO$4001,0),"")</f>
        <v/>
      </c>
      <c r="AB1120" s="14">
        <f>IF($AA1120="","",L1120-K1120*Y1120/100)</f>
        <v/>
      </c>
    </row>
    <row r="1121">
      <c r="A1121" s="12" t="n"/>
      <c r="B1121">
        <f>IF($AA1121="","",INDEX('Per Line'!$E$2:$E$4001,$AA1121)&amp;"")</f>
        <v/>
      </c>
      <c r="C1121">
        <f>IF($AA1121="","",INDEX('Per Line'!$A$2:$A$4001,$AA1121)&amp;"")</f>
        <v/>
      </c>
      <c r="D1121">
        <f>IF($AA1121="","",INDEX('Per Line'!$D$2:$D$4001,$AA1121)&amp;"")</f>
        <v/>
      </c>
      <c r="E1121" s="11">
        <f>IF($AA1121="","",INDEX('Per Line'!$G$2:$G$4001,$AA1121))</f>
        <v/>
      </c>
      <c r="F1121">
        <f>IF($AA1121="","",INDEX('Per Line'!$H$2:$H$4001,$AA1121)&amp;"")</f>
        <v/>
      </c>
      <c r="G1121">
        <f>IF($AA1121="","",INDEX('Per Line'!$I$2:$I$4001,$AA1121)&amp;"")</f>
        <v/>
      </c>
      <c r="H1121">
        <f>IF($AA1121="","",INDEX('Per Line'!$J$2:$J$4001,$AA1121)&amp;"")</f>
        <v/>
      </c>
      <c r="I1121">
        <f>IF($AA1121="","",INDEX('Per Line'!$K$2:$K$4001,$AA1121)&amp;"")</f>
        <v/>
      </c>
      <c r="J1121">
        <f>IF($AA1121="","",INDEX('Per Line'!$L$2:$L$4001,$AA1121)&amp;"")</f>
        <v/>
      </c>
      <c r="K1121">
        <f>IF($AA1121="","",INDEX('Per Line'!$P$2:$P$4001,$AA1121))</f>
        <v/>
      </c>
      <c r="L1121" s="7">
        <f>IF($AA1121="","",IF(AND(ISNUMBER(N1121),N1121&gt;0,Y1121&gt;N1121),K1121*N1121/100+(Y1121-N1121),K1121*Y1121/100))</f>
        <v/>
      </c>
      <c r="M1121">
        <f>IF($AA1121="","",INDEX('Per Line'!$Z$2:$Z$4001,$AA1121)&amp;"")</f>
        <v/>
      </c>
      <c r="N1121">
        <f>IF($AA1121="","",INDEX('Per Line'!$AG$2:$AG$4001,$AA1121))</f>
        <v/>
      </c>
      <c r="O1121">
        <f>IF($AA1121="","",IF(AND(ISNUMBER(N1121),N1121&gt;0),Y1121&gt;N1121,FALSE))</f>
        <v/>
      </c>
      <c r="P1121" s="7">
        <f>IF($AA1121="","",SUMIFS('Per Line'!$Y$2:$Y$4001,'Per Line'!$E$2:$E$4001,$B1121,'Per Line'!$AQ$2:$AQ$4001,1))</f>
        <v/>
      </c>
      <c r="Q1121">
        <f>IF($AA1121="","",Settings!$C$7)</f>
        <v/>
      </c>
      <c r="R1121" s="7">
        <f>IF($AA1121="","",SUMIFS('Per Line'!$Y$2:$Y$4001,'Per Line'!$E$2:$E$4001,$B1121,'Per Line'!$AP$2:$AP$4001,0,'Per Line'!$AQ$2:$AQ$4001,0))</f>
        <v/>
      </c>
      <c r="S1121" s="7">
        <f>IF($AA1121="","",R1121*Q1121)</f>
        <v/>
      </c>
      <c r="T1121">
        <f>IF($AA1121="","",Settings!$C$6)</f>
        <v/>
      </c>
      <c r="U1121" s="7">
        <f>IF($AA1121="","",SUMIFS('Per Line'!$Y$2:$Y$4001,'Per Line'!$E$2:$E$4001,$B1121,'Per Line'!$AP$2:$AP$4001,1,'Per Line'!$AQ$2:$AQ$4001,0))</f>
        <v/>
      </c>
      <c r="V1121" s="7">
        <f>IF($AA1121="","",U1121*T1121)</f>
        <v/>
      </c>
      <c r="W1121" s="7">
        <f>IF($AA1121="","",V1121+S1121)</f>
        <v/>
      </c>
      <c r="X1121" s="7">
        <f>IF($AA1121="","",Y1121-W1121)</f>
        <v/>
      </c>
      <c r="Y1121" s="7">
        <f>IF($AA1121="","",R1121+U1121+P1121)</f>
        <v/>
      </c>
      <c r="Z1121" s="7">
        <f>IF($AA1121="","",Y1121-W1121-L1121)</f>
        <v/>
      </c>
      <c r="AA1121" s="13">
        <f>IF(ROWS($AA$2:$AA1121)&lt;=MAX('Per Line'!$AO$2:$AO$4001),MATCH(ROWS($AA$2:$AA1121),'Per Line'!$AO$2:$AO$4001,0),"")</f>
        <v/>
      </c>
      <c r="AB1121" s="14">
        <f>IF($AA1121="","",L1121-K1121*Y1121/100)</f>
        <v/>
      </c>
    </row>
    <row r="1122">
      <c r="A1122" s="12" t="n"/>
      <c r="B1122">
        <f>IF($AA1122="","",INDEX('Per Line'!$E$2:$E$4001,$AA1122)&amp;"")</f>
        <v/>
      </c>
      <c r="C1122">
        <f>IF($AA1122="","",INDEX('Per Line'!$A$2:$A$4001,$AA1122)&amp;"")</f>
        <v/>
      </c>
      <c r="D1122">
        <f>IF($AA1122="","",INDEX('Per Line'!$D$2:$D$4001,$AA1122)&amp;"")</f>
        <v/>
      </c>
      <c r="E1122" s="11">
        <f>IF($AA1122="","",INDEX('Per Line'!$G$2:$G$4001,$AA1122))</f>
        <v/>
      </c>
      <c r="F1122">
        <f>IF($AA1122="","",INDEX('Per Line'!$H$2:$H$4001,$AA1122)&amp;"")</f>
        <v/>
      </c>
      <c r="G1122">
        <f>IF($AA1122="","",INDEX('Per Line'!$I$2:$I$4001,$AA1122)&amp;"")</f>
        <v/>
      </c>
      <c r="H1122">
        <f>IF($AA1122="","",INDEX('Per Line'!$J$2:$J$4001,$AA1122)&amp;"")</f>
        <v/>
      </c>
      <c r="I1122">
        <f>IF($AA1122="","",INDEX('Per Line'!$K$2:$K$4001,$AA1122)&amp;"")</f>
        <v/>
      </c>
      <c r="J1122">
        <f>IF($AA1122="","",INDEX('Per Line'!$L$2:$L$4001,$AA1122)&amp;"")</f>
        <v/>
      </c>
      <c r="K1122">
        <f>IF($AA1122="","",INDEX('Per Line'!$P$2:$P$4001,$AA1122))</f>
        <v/>
      </c>
      <c r="L1122" s="7">
        <f>IF($AA1122="","",IF(AND(ISNUMBER(N1122),N1122&gt;0,Y1122&gt;N1122),K1122*N1122/100+(Y1122-N1122),K1122*Y1122/100))</f>
        <v/>
      </c>
      <c r="M1122">
        <f>IF($AA1122="","",INDEX('Per Line'!$Z$2:$Z$4001,$AA1122)&amp;"")</f>
        <v/>
      </c>
      <c r="N1122">
        <f>IF($AA1122="","",INDEX('Per Line'!$AG$2:$AG$4001,$AA1122))</f>
        <v/>
      </c>
      <c r="O1122">
        <f>IF($AA1122="","",IF(AND(ISNUMBER(N1122),N1122&gt;0),Y1122&gt;N1122,FALSE))</f>
        <v/>
      </c>
      <c r="P1122" s="7">
        <f>IF($AA1122="","",SUMIFS('Per Line'!$Y$2:$Y$4001,'Per Line'!$E$2:$E$4001,$B1122,'Per Line'!$AQ$2:$AQ$4001,1))</f>
        <v/>
      </c>
      <c r="Q1122">
        <f>IF($AA1122="","",Settings!$C$7)</f>
        <v/>
      </c>
      <c r="R1122" s="7">
        <f>IF($AA1122="","",SUMIFS('Per Line'!$Y$2:$Y$4001,'Per Line'!$E$2:$E$4001,$B1122,'Per Line'!$AP$2:$AP$4001,0,'Per Line'!$AQ$2:$AQ$4001,0))</f>
        <v/>
      </c>
      <c r="S1122" s="7">
        <f>IF($AA1122="","",R1122*Q1122)</f>
        <v/>
      </c>
      <c r="T1122">
        <f>IF($AA1122="","",Settings!$C$6)</f>
        <v/>
      </c>
      <c r="U1122" s="7">
        <f>IF($AA1122="","",SUMIFS('Per Line'!$Y$2:$Y$4001,'Per Line'!$E$2:$E$4001,$B1122,'Per Line'!$AP$2:$AP$4001,1,'Per Line'!$AQ$2:$AQ$4001,0))</f>
        <v/>
      </c>
      <c r="V1122" s="7">
        <f>IF($AA1122="","",U1122*T1122)</f>
        <v/>
      </c>
      <c r="W1122" s="7">
        <f>IF($AA1122="","",V1122+S1122)</f>
        <v/>
      </c>
      <c r="X1122" s="7">
        <f>IF($AA1122="","",Y1122-W1122)</f>
        <v/>
      </c>
      <c r="Y1122" s="7">
        <f>IF($AA1122="","",R1122+U1122+P1122)</f>
        <v/>
      </c>
      <c r="Z1122" s="7">
        <f>IF($AA1122="","",Y1122-W1122-L1122)</f>
        <v/>
      </c>
      <c r="AA1122" s="13">
        <f>IF(ROWS($AA$2:$AA1122)&lt;=MAX('Per Line'!$AO$2:$AO$4001),MATCH(ROWS($AA$2:$AA1122),'Per Line'!$AO$2:$AO$4001,0),"")</f>
        <v/>
      </c>
      <c r="AB1122" s="14">
        <f>IF($AA1122="","",L1122-K1122*Y1122/100)</f>
        <v/>
      </c>
    </row>
    <row r="1123">
      <c r="A1123" s="12" t="n"/>
      <c r="B1123">
        <f>IF($AA1123="","",INDEX('Per Line'!$E$2:$E$4001,$AA1123)&amp;"")</f>
        <v/>
      </c>
      <c r="C1123">
        <f>IF($AA1123="","",INDEX('Per Line'!$A$2:$A$4001,$AA1123)&amp;"")</f>
        <v/>
      </c>
      <c r="D1123">
        <f>IF($AA1123="","",INDEX('Per Line'!$D$2:$D$4001,$AA1123)&amp;"")</f>
        <v/>
      </c>
      <c r="E1123" s="11">
        <f>IF($AA1123="","",INDEX('Per Line'!$G$2:$G$4001,$AA1123))</f>
        <v/>
      </c>
      <c r="F1123">
        <f>IF($AA1123="","",INDEX('Per Line'!$H$2:$H$4001,$AA1123)&amp;"")</f>
        <v/>
      </c>
      <c r="G1123">
        <f>IF($AA1123="","",INDEX('Per Line'!$I$2:$I$4001,$AA1123)&amp;"")</f>
        <v/>
      </c>
      <c r="H1123">
        <f>IF($AA1123="","",INDEX('Per Line'!$J$2:$J$4001,$AA1123)&amp;"")</f>
        <v/>
      </c>
      <c r="I1123">
        <f>IF($AA1123="","",INDEX('Per Line'!$K$2:$K$4001,$AA1123)&amp;"")</f>
        <v/>
      </c>
      <c r="J1123">
        <f>IF($AA1123="","",INDEX('Per Line'!$L$2:$L$4001,$AA1123)&amp;"")</f>
        <v/>
      </c>
      <c r="K1123">
        <f>IF($AA1123="","",INDEX('Per Line'!$P$2:$P$4001,$AA1123))</f>
        <v/>
      </c>
      <c r="L1123" s="7">
        <f>IF($AA1123="","",IF(AND(ISNUMBER(N1123),N1123&gt;0,Y1123&gt;N1123),K1123*N1123/100+(Y1123-N1123),K1123*Y1123/100))</f>
        <v/>
      </c>
      <c r="M1123">
        <f>IF($AA1123="","",INDEX('Per Line'!$Z$2:$Z$4001,$AA1123)&amp;"")</f>
        <v/>
      </c>
      <c r="N1123">
        <f>IF($AA1123="","",INDEX('Per Line'!$AG$2:$AG$4001,$AA1123))</f>
        <v/>
      </c>
      <c r="O1123">
        <f>IF($AA1123="","",IF(AND(ISNUMBER(N1123),N1123&gt;0),Y1123&gt;N1123,FALSE))</f>
        <v/>
      </c>
      <c r="P1123" s="7">
        <f>IF($AA1123="","",SUMIFS('Per Line'!$Y$2:$Y$4001,'Per Line'!$E$2:$E$4001,$B1123,'Per Line'!$AQ$2:$AQ$4001,1))</f>
        <v/>
      </c>
      <c r="Q1123">
        <f>IF($AA1123="","",Settings!$C$7)</f>
        <v/>
      </c>
      <c r="R1123" s="7">
        <f>IF($AA1123="","",SUMIFS('Per Line'!$Y$2:$Y$4001,'Per Line'!$E$2:$E$4001,$B1123,'Per Line'!$AP$2:$AP$4001,0,'Per Line'!$AQ$2:$AQ$4001,0))</f>
        <v/>
      </c>
      <c r="S1123" s="7">
        <f>IF($AA1123="","",R1123*Q1123)</f>
        <v/>
      </c>
      <c r="T1123">
        <f>IF($AA1123="","",Settings!$C$6)</f>
        <v/>
      </c>
      <c r="U1123" s="7">
        <f>IF($AA1123="","",SUMIFS('Per Line'!$Y$2:$Y$4001,'Per Line'!$E$2:$E$4001,$B1123,'Per Line'!$AP$2:$AP$4001,1,'Per Line'!$AQ$2:$AQ$4001,0))</f>
        <v/>
      </c>
      <c r="V1123" s="7">
        <f>IF($AA1123="","",U1123*T1123)</f>
        <v/>
      </c>
      <c r="W1123" s="7">
        <f>IF($AA1123="","",V1123+S1123)</f>
        <v/>
      </c>
      <c r="X1123" s="7">
        <f>IF($AA1123="","",Y1123-W1123)</f>
        <v/>
      </c>
      <c r="Y1123" s="7">
        <f>IF($AA1123="","",R1123+U1123+P1123)</f>
        <v/>
      </c>
      <c r="Z1123" s="7">
        <f>IF($AA1123="","",Y1123-W1123-L1123)</f>
        <v/>
      </c>
      <c r="AA1123" s="13">
        <f>IF(ROWS($AA$2:$AA1123)&lt;=MAX('Per Line'!$AO$2:$AO$4001),MATCH(ROWS($AA$2:$AA1123),'Per Line'!$AO$2:$AO$4001,0),"")</f>
        <v/>
      </c>
      <c r="AB1123" s="14">
        <f>IF($AA1123="","",L1123-K1123*Y1123/100)</f>
        <v/>
      </c>
    </row>
    <row r="1124">
      <c r="A1124" s="12" t="n"/>
      <c r="B1124">
        <f>IF($AA1124="","",INDEX('Per Line'!$E$2:$E$4001,$AA1124)&amp;"")</f>
        <v/>
      </c>
      <c r="C1124">
        <f>IF($AA1124="","",INDEX('Per Line'!$A$2:$A$4001,$AA1124)&amp;"")</f>
        <v/>
      </c>
      <c r="D1124">
        <f>IF($AA1124="","",INDEX('Per Line'!$D$2:$D$4001,$AA1124)&amp;"")</f>
        <v/>
      </c>
      <c r="E1124" s="11">
        <f>IF($AA1124="","",INDEX('Per Line'!$G$2:$G$4001,$AA1124))</f>
        <v/>
      </c>
      <c r="F1124">
        <f>IF($AA1124="","",INDEX('Per Line'!$H$2:$H$4001,$AA1124)&amp;"")</f>
        <v/>
      </c>
      <c r="G1124">
        <f>IF($AA1124="","",INDEX('Per Line'!$I$2:$I$4001,$AA1124)&amp;"")</f>
        <v/>
      </c>
      <c r="H1124">
        <f>IF($AA1124="","",INDEX('Per Line'!$J$2:$J$4001,$AA1124)&amp;"")</f>
        <v/>
      </c>
      <c r="I1124">
        <f>IF($AA1124="","",INDEX('Per Line'!$K$2:$K$4001,$AA1124)&amp;"")</f>
        <v/>
      </c>
      <c r="J1124">
        <f>IF($AA1124="","",INDEX('Per Line'!$L$2:$L$4001,$AA1124)&amp;"")</f>
        <v/>
      </c>
      <c r="K1124">
        <f>IF($AA1124="","",INDEX('Per Line'!$P$2:$P$4001,$AA1124))</f>
        <v/>
      </c>
      <c r="L1124" s="7">
        <f>IF($AA1124="","",IF(AND(ISNUMBER(N1124),N1124&gt;0,Y1124&gt;N1124),K1124*N1124/100+(Y1124-N1124),K1124*Y1124/100))</f>
        <v/>
      </c>
      <c r="M1124">
        <f>IF($AA1124="","",INDEX('Per Line'!$Z$2:$Z$4001,$AA1124)&amp;"")</f>
        <v/>
      </c>
      <c r="N1124">
        <f>IF($AA1124="","",INDEX('Per Line'!$AG$2:$AG$4001,$AA1124))</f>
        <v/>
      </c>
      <c r="O1124">
        <f>IF($AA1124="","",IF(AND(ISNUMBER(N1124),N1124&gt;0),Y1124&gt;N1124,FALSE))</f>
        <v/>
      </c>
      <c r="P1124" s="7">
        <f>IF($AA1124="","",SUMIFS('Per Line'!$Y$2:$Y$4001,'Per Line'!$E$2:$E$4001,$B1124,'Per Line'!$AQ$2:$AQ$4001,1))</f>
        <v/>
      </c>
      <c r="Q1124">
        <f>IF($AA1124="","",Settings!$C$7)</f>
        <v/>
      </c>
      <c r="R1124" s="7">
        <f>IF($AA1124="","",SUMIFS('Per Line'!$Y$2:$Y$4001,'Per Line'!$E$2:$E$4001,$B1124,'Per Line'!$AP$2:$AP$4001,0,'Per Line'!$AQ$2:$AQ$4001,0))</f>
        <v/>
      </c>
      <c r="S1124" s="7">
        <f>IF($AA1124="","",R1124*Q1124)</f>
        <v/>
      </c>
      <c r="T1124">
        <f>IF($AA1124="","",Settings!$C$6)</f>
        <v/>
      </c>
      <c r="U1124" s="7">
        <f>IF($AA1124="","",SUMIFS('Per Line'!$Y$2:$Y$4001,'Per Line'!$E$2:$E$4001,$B1124,'Per Line'!$AP$2:$AP$4001,1,'Per Line'!$AQ$2:$AQ$4001,0))</f>
        <v/>
      </c>
      <c r="V1124" s="7">
        <f>IF($AA1124="","",U1124*T1124)</f>
        <v/>
      </c>
      <c r="W1124" s="7">
        <f>IF($AA1124="","",V1124+S1124)</f>
        <v/>
      </c>
      <c r="X1124" s="7">
        <f>IF($AA1124="","",Y1124-W1124)</f>
        <v/>
      </c>
      <c r="Y1124" s="7">
        <f>IF($AA1124="","",R1124+U1124+P1124)</f>
        <v/>
      </c>
      <c r="Z1124" s="7">
        <f>IF($AA1124="","",Y1124-W1124-L1124)</f>
        <v/>
      </c>
      <c r="AA1124" s="13">
        <f>IF(ROWS($AA$2:$AA1124)&lt;=MAX('Per Line'!$AO$2:$AO$4001),MATCH(ROWS($AA$2:$AA1124),'Per Line'!$AO$2:$AO$4001,0),"")</f>
        <v/>
      </c>
      <c r="AB1124" s="14">
        <f>IF($AA1124="","",L1124-K1124*Y1124/100)</f>
        <v/>
      </c>
    </row>
    <row r="1125">
      <c r="A1125" s="12" t="n"/>
      <c r="B1125">
        <f>IF($AA1125="","",INDEX('Per Line'!$E$2:$E$4001,$AA1125)&amp;"")</f>
        <v/>
      </c>
      <c r="C1125">
        <f>IF($AA1125="","",INDEX('Per Line'!$A$2:$A$4001,$AA1125)&amp;"")</f>
        <v/>
      </c>
      <c r="D1125">
        <f>IF($AA1125="","",INDEX('Per Line'!$D$2:$D$4001,$AA1125)&amp;"")</f>
        <v/>
      </c>
      <c r="E1125" s="11">
        <f>IF($AA1125="","",INDEX('Per Line'!$G$2:$G$4001,$AA1125))</f>
        <v/>
      </c>
      <c r="F1125">
        <f>IF($AA1125="","",INDEX('Per Line'!$H$2:$H$4001,$AA1125)&amp;"")</f>
        <v/>
      </c>
      <c r="G1125">
        <f>IF($AA1125="","",INDEX('Per Line'!$I$2:$I$4001,$AA1125)&amp;"")</f>
        <v/>
      </c>
      <c r="H1125">
        <f>IF($AA1125="","",INDEX('Per Line'!$J$2:$J$4001,$AA1125)&amp;"")</f>
        <v/>
      </c>
      <c r="I1125">
        <f>IF($AA1125="","",INDEX('Per Line'!$K$2:$K$4001,$AA1125)&amp;"")</f>
        <v/>
      </c>
      <c r="J1125">
        <f>IF($AA1125="","",INDEX('Per Line'!$L$2:$L$4001,$AA1125)&amp;"")</f>
        <v/>
      </c>
      <c r="K1125">
        <f>IF($AA1125="","",INDEX('Per Line'!$P$2:$P$4001,$AA1125))</f>
        <v/>
      </c>
      <c r="L1125" s="7">
        <f>IF($AA1125="","",IF(AND(ISNUMBER(N1125),N1125&gt;0,Y1125&gt;N1125),K1125*N1125/100+(Y1125-N1125),K1125*Y1125/100))</f>
        <v/>
      </c>
      <c r="M1125">
        <f>IF($AA1125="","",INDEX('Per Line'!$Z$2:$Z$4001,$AA1125)&amp;"")</f>
        <v/>
      </c>
      <c r="N1125">
        <f>IF($AA1125="","",INDEX('Per Line'!$AG$2:$AG$4001,$AA1125))</f>
        <v/>
      </c>
      <c r="O1125">
        <f>IF($AA1125="","",IF(AND(ISNUMBER(N1125),N1125&gt;0),Y1125&gt;N1125,FALSE))</f>
        <v/>
      </c>
      <c r="P1125" s="7">
        <f>IF($AA1125="","",SUMIFS('Per Line'!$Y$2:$Y$4001,'Per Line'!$E$2:$E$4001,$B1125,'Per Line'!$AQ$2:$AQ$4001,1))</f>
        <v/>
      </c>
      <c r="Q1125">
        <f>IF($AA1125="","",Settings!$C$7)</f>
        <v/>
      </c>
      <c r="R1125" s="7">
        <f>IF($AA1125="","",SUMIFS('Per Line'!$Y$2:$Y$4001,'Per Line'!$E$2:$E$4001,$B1125,'Per Line'!$AP$2:$AP$4001,0,'Per Line'!$AQ$2:$AQ$4001,0))</f>
        <v/>
      </c>
      <c r="S1125" s="7">
        <f>IF($AA1125="","",R1125*Q1125)</f>
        <v/>
      </c>
      <c r="T1125">
        <f>IF($AA1125="","",Settings!$C$6)</f>
        <v/>
      </c>
      <c r="U1125" s="7">
        <f>IF($AA1125="","",SUMIFS('Per Line'!$Y$2:$Y$4001,'Per Line'!$E$2:$E$4001,$B1125,'Per Line'!$AP$2:$AP$4001,1,'Per Line'!$AQ$2:$AQ$4001,0))</f>
        <v/>
      </c>
      <c r="V1125" s="7">
        <f>IF($AA1125="","",U1125*T1125)</f>
        <v/>
      </c>
      <c r="W1125" s="7">
        <f>IF($AA1125="","",V1125+S1125)</f>
        <v/>
      </c>
      <c r="X1125" s="7">
        <f>IF($AA1125="","",Y1125-W1125)</f>
        <v/>
      </c>
      <c r="Y1125" s="7">
        <f>IF($AA1125="","",R1125+U1125+P1125)</f>
        <v/>
      </c>
      <c r="Z1125" s="7">
        <f>IF($AA1125="","",Y1125-W1125-L1125)</f>
        <v/>
      </c>
      <c r="AA1125" s="13">
        <f>IF(ROWS($AA$2:$AA1125)&lt;=MAX('Per Line'!$AO$2:$AO$4001),MATCH(ROWS($AA$2:$AA1125),'Per Line'!$AO$2:$AO$4001,0),"")</f>
        <v/>
      </c>
      <c r="AB1125" s="14">
        <f>IF($AA1125="","",L1125-K1125*Y1125/100)</f>
        <v/>
      </c>
    </row>
    <row r="1126">
      <c r="A1126" s="12" t="n"/>
      <c r="B1126">
        <f>IF($AA1126="","",INDEX('Per Line'!$E$2:$E$4001,$AA1126)&amp;"")</f>
        <v/>
      </c>
      <c r="C1126">
        <f>IF($AA1126="","",INDEX('Per Line'!$A$2:$A$4001,$AA1126)&amp;"")</f>
        <v/>
      </c>
      <c r="D1126">
        <f>IF($AA1126="","",INDEX('Per Line'!$D$2:$D$4001,$AA1126)&amp;"")</f>
        <v/>
      </c>
      <c r="E1126" s="11">
        <f>IF($AA1126="","",INDEX('Per Line'!$G$2:$G$4001,$AA1126))</f>
        <v/>
      </c>
      <c r="F1126">
        <f>IF($AA1126="","",INDEX('Per Line'!$H$2:$H$4001,$AA1126)&amp;"")</f>
        <v/>
      </c>
      <c r="G1126">
        <f>IF($AA1126="","",INDEX('Per Line'!$I$2:$I$4001,$AA1126)&amp;"")</f>
        <v/>
      </c>
      <c r="H1126">
        <f>IF($AA1126="","",INDEX('Per Line'!$J$2:$J$4001,$AA1126)&amp;"")</f>
        <v/>
      </c>
      <c r="I1126">
        <f>IF($AA1126="","",INDEX('Per Line'!$K$2:$K$4001,$AA1126)&amp;"")</f>
        <v/>
      </c>
      <c r="J1126">
        <f>IF($AA1126="","",INDEX('Per Line'!$L$2:$L$4001,$AA1126)&amp;"")</f>
        <v/>
      </c>
      <c r="K1126">
        <f>IF($AA1126="","",INDEX('Per Line'!$P$2:$P$4001,$AA1126))</f>
        <v/>
      </c>
      <c r="L1126" s="7">
        <f>IF($AA1126="","",IF(AND(ISNUMBER(N1126),N1126&gt;0,Y1126&gt;N1126),K1126*N1126/100+(Y1126-N1126),K1126*Y1126/100))</f>
        <v/>
      </c>
      <c r="M1126">
        <f>IF($AA1126="","",INDEX('Per Line'!$Z$2:$Z$4001,$AA1126)&amp;"")</f>
        <v/>
      </c>
      <c r="N1126">
        <f>IF($AA1126="","",INDEX('Per Line'!$AG$2:$AG$4001,$AA1126))</f>
        <v/>
      </c>
      <c r="O1126">
        <f>IF($AA1126="","",IF(AND(ISNUMBER(N1126),N1126&gt;0),Y1126&gt;N1126,FALSE))</f>
        <v/>
      </c>
      <c r="P1126" s="7">
        <f>IF($AA1126="","",SUMIFS('Per Line'!$Y$2:$Y$4001,'Per Line'!$E$2:$E$4001,$B1126,'Per Line'!$AQ$2:$AQ$4001,1))</f>
        <v/>
      </c>
      <c r="Q1126">
        <f>IF($AA1126="","",Settings!$C$7)</f>
        <v/>
      </c>
      <c r="R1126" s="7">
        <f>IF($AA1126="","",SUMIFS('Per Line'!$Y$2:$Y$4001,'Per Line'!$E$2:$E$4001,$B1126,'Per Line'!$AP$2:$AP$4001,0,'Per Line'!$AQ$2:$AQ$4001,0))</f>
        <v/>
      </c>
      <c r="S1126" s="7">
        <f>IF($AA1126="","",R1126*Q1126)</f>
        <v/>
      </c>
      <c r="T1126">
        <f>IF($AA1126="","",Settings!$C$6)</f>
        <v/>
      </c>
      <c r="U1126" s="7">
        <f>IF($AA1126="","",SUMIFS('Per Line'!$Y$2:$Y$4001,'Per Line'!$E$2:$E$4001,$B1126,'Per Line'!$AP$2:$AP$4001,1,'Per Line'!$AQ$2:$AQ$4001,0))</f>
        <v/>
      </c>
      <c r="V1126" s="7">
        <f>IF($AA1126="","",U1126*T1126)</f>
        <v/>
      </c>
      <c r="W1126" s="7">
        <f>IF($AA1126="","",V1126+S1126)</f>
        <v/>
      </c>
      <c r="X1126" s="7">
        <f>IF($AA1126="","",Y1126-W1126)</f>
        <v/>
      </c>
      <c r="Y1126" s="7">
        <f>IF($AA1126="","",R1126+U1126+P1126)</f>
        <v/>
      </c>
      <c r="Z1126" s="7">
        <f>IF($AA1126="","",Y1126-W1126-L1126)</f>
        <v/>
      </c>
      <c r="AA1126" s="13">
        <f>IF(ROWS($AA$2:$AA1126)&lt;=MAX('Per Line'!$AO$2:$AO$4001),MATCH(ROWS($AA$2:$AA1126),'Per Line'!$AO$2:$AO$4001,0),"")</f>
        <v/>
      </c>
      <c r="AB1126" s="14">
        <f>IF($AA1126="","",L1126-K1126*Y1126/100)</f>
        <v/>
      </c>
    </row>
    <row r="1127">
      <c r="A1127" s="12" t="n"/>
      <c r="B1127">
        <f>IF($AA1127="","",INDEX('Per Line'!$E$2:$E$4001,$AA1127)&amp;"")</f>
        <v/>
      </c>
      <c r="C1127">
        <f>IF($AA1127="","",INDEX('Per Line'!$A$2:$A$4001,$AA1127)&amp;"")</f>
        <v/>
      </c>
      <c r="D1127">
        <f>IF($AA1127="","",INDEX('Per Line'!$D$2:$D$4001,$AA1127)&amp;"")</f>
        <v/>
      </c>
      <c r="E1127" s="11">
        <f>IF($AA1127="","",INDEX('Per Line'!$G$2:$G$4001,$AA1127))</f>
        <v/>
      </c>
      <c r="F1127">
        <f>IF($AA1127="","",INDEX('Per Line'!$H$2:$H$4001,$AA1127)&amp;"")</f>
        <v/>
      </c>
      <c r="G1127">
        <f>IF($AA1127="","",INDEX('Per Line'!$I$2:$I$4001,$AA1127)&amp;"")</f>
        <v/>
      </c>
      <c r="H1127">
        <f>IF($AA1127="","",INDEX('Per Line'!$J$2:$J$4001,$AA1127)&amp;"")</f>
        <v/>
      </c>
      <c r="I1127">
        <f>IF($AA1127="","",INDEX('Per Line'!$K$2:$K$4001,$AA1127)&amp;"")</f>
        <v/>
      </c>
      <c r="J1127">
        <f>IF($AA1127="","",INDEX('Per Line'!$L$2:$L$4001,$AA1127)&amp;"")</f>
        <v/>
      </c>
      <c r="K1127">
        <f>IF($AA1127="","",INDEX('Per Line'!$P$2:$P$4001,$AA1127))</f>
        <v/>
      </c>
      <c r="L1127" s="7">
        <f>IF($AA1127="","",IF(AND(ISNUMBER(N1127),N1127&gt;0,Y1127&gt;N1127),K1127*N1127/100+(Y1127-N1127),K1127*Y1127/100))</f>
        <v/>
      </c>
      <c r="M1127">
        <f>IF($AA1127="","",INDEX('Per Line'!$Z$2:$Z$4001,$AA1127)&amp;"")</f>
        <v/>
      </c>
      <c r="N1127">
        <f>IF($AA1127="","",INDEX('Per Line'!$AG$2:$AG$4001,$AA1127))</f>
        <v/>
      </c>
      <c r="O1127">
        <f>IF($AA1127="","",IF(AND(ISNUMBER(N1127),N1127&gt;0),Y1127&gt;N1127,FALSE))</f>
        <v/>
      </c>
      <c r="P1127" s="7">
        <f>IF($AA1127="","",SUMIFS('Per Line'!$Y$2:$Y$4001,'Per Line'!$E$2:$E$4001,$B1127,'Per Line'!$AQ$2:$AQ$4001,1))</f>
        <v/>
      </c>
      <c r="Q1127">
        <f>IF($AA1127="","",Settings!$C$7)</f>
        <v/>
      </c>
      <c r="R1127" s="7">
        <f>IF($AA1127="","",SUMIFS('Per Line'!$Y$2:$Y$4001,'Per Line'!$E$2:$E$4001,$B1127,'Per Line'!$AP$2:$AP$4001,0,'Per Line'!$AQ$2:$AQ$4001,0))</f>
        <v/>
      </c>
      <c r="S1127" s="7">
        <f>IF($AA1127="","",R1127*Q1127)</f>
        <v/>
      </c>
      <c r="T1127">
        <f>IF($AA1127="","",Settings!$C$6)</f>
        <v/>
      </c>
      <c r="U1127" s="7">
        <f>IF($AA1127="","",SUMIFS('Per Line'!$Y$2:$Y$4001,'Per Line'!$E$2:$E$4001,$B1127,'Per Line'!$AP$2:$AP$4001,1,'Per Line'!$AQ$2:$AQ$4001,0))</f>
        <v/>
      </c>
      <c r="V1127" s="7">
        <f>IF($AA1127="","",U1127*T1127)</f>
        <v/>
      </c>
      <c r="W1127" s="7">
        <f>IF($AA1127="","",V1127+S1127)</f>
        <v/>
      </c>
      <c r="X1127" s="7">
        <f>IF($AA1127="","",Y1127-W1127)</f>
        <v/>
      </c>
      <c r="Y1127" s="7">
        <f>IF($AA1127="","",R1127+U1127+P1127)</f>
        <v/>
      </c>
      <c r="Z1127" s="7">
        <f>IF($AA1127="","",Y1127-W1127-L1127)</f>
        <v/>
      </c>
      <c r="AA1127" s="13">
        <f>IF(ROWS($AA$2:$AA1127)&lt;=MAX('Per Line'!$AO$2:$AO$4001),MATCH(ROWS($AA$2:$AA1127),'Per Line'!$AO$2:$AO$4001,0),"")</f>
        <v/>
      </c>
      <c r="AB1127" s="14">
        <f>IF($AA1127="","",L1127-K1127*Y1127/100)</f>
        <v/>
      </c>
    </row>
    <row r="1128">
      <c r="A1128" s="12" t="n"/>
      <c r="B1128">
        <f>IF($AA1128="","",INDEX('Per Line'!$E$2:$E$4001,$AA1128)&amp;"")</f>
        <v/>
      </c>
      <c r="C1128">
        <f>IF($AA1128="","",INDEX('Per Line'!$A$2:$A$4001,$AA1128)&amp;"")</f>
        <v/>
      </c>
      <c r="D1128">
        <f>IF($AA1128="","",INDEX('Per Line'!$D$2:$D$4001,$AA1128)&amp;"")</f>
        <v/>
      </c>
      <c r="E1128" s="11">
        <f>IF($AA1128="","",INDEX('Per Line'!$G$2:$G$4001,$AA1128))</f>
        <v/>
      </c>
      <c r="F1128">
        <f>IF($AA1128="","",INDEX('Per Line'!$H$2:$H$4001,$AA1128)&amp;"")</f>
        <v/>
      </c>
      <c r="G1128">
        <f>IF($AA1128="","",INDEX('Per Line'!$I$2:$I$4001,$AA1128)&amp;"")</f>
        <v/>
      </c>
      <c r="H1128">
        <f>IF($AA1128="","",INDEX('Per Line'!$J$2:$J$4001,$AA1128)&amp;"")</f>
        <v/>
      </c>
      <c r="I1128">
        <f>IF($AA1128="","",INDEX('Per Line'!$K$2:$K$4001,$AA1128)&amp;"")</f>
        <v/>
      </c>
      <c r="J1128">
        <f>IF($AA1128="","",INDEX('Per Line'!$L$2:$L$4001,$AA1128)&amp;"")</f>
        <v/>
      </c>
      <c r="K1128">
        <f>IF($AA1128="","",INDEX('Per Line'!$P$2:$P$4001,$AA1128))</f>
        <v/>
      </c>
      <c r="L1128" s="7">
        <f>IF($AA1128="","",IF(AND(ISNUMBER(N1128),N1128&gt;0,Y1128&gt;N1128),K1128*N1128/100+(Y1128-N1128),K1128*Y1128/100))</f>
        <v/>
      </c>
      <c r="M1128">
        <f>IF($AA1128="","",INDEX('Per Line'!$Z$2:$Z$4001,$AA1128)&amp;"")</f>
        <v/>
      </c>
      <c r="N1128">
        <f>IF($AA1128="","",INDEX('Per Line'!$AG$2:$AG$4001,$AA1128))</f>
        <v/>
      </c>
      <c r="O1128">
        <f>IF($AA1128="","",IF(AND(ISNUMBER(N1128),N1128&gt;0),Y1128&gt;N1128,FALSE))</f>
        <v/>
      </c>
      <c r="P1128" s="7">
        <f>IF($AA1128="","",SUMIFS('Per Line'!$Y$2:$Y$4001,'Per Line'!$E$2:$E$4001,$B1128,'Per Line'!$AQ$2:$AQ$4001,1))</f>
        <v/>
      </c>
      <c r="Q1128">
        <f>IF($AA1128="","",Settings!$C$7)</f>
        <v/>
      </c>
      <c r="R1128" s="7">
        <f>IF($AA1128="","",SUMIFS('Per Line'!$Y$2:$Y$4001,'Per Line'!$E$2:$E$4001,$B1128,'Per Line'!$AP$2:$AP$4001,0,'Per Line'!$AQ$2:$AQ$4001,0))</f>
        <v/>
      </c>
      <c r="S1128" s="7">
        <f>IF($AA1128="","",R1128*Q1128)</f>
        <v/>
      </c>
      <c r="T1128">
        <f>IF($AA1128="","",Settings!$C$6)</f>
        <v/>
      </c>
      <c r="U1128" s="7">
        <f>IF($AA1128="","",SUMIFS('Per Line'!$Y$2:$Y$4001,'Per Line'!$E$2:$E$4001,$B1128,'Per Line'!$AP$2:$AP$4001,1,'Per Line'!$AQ$2:$AQ$4001,0))</f>
        <v/>
      </c>
      <c r="V1128" s="7">
        <f>IF($AA1128="","",U1128*T1128)</f>
        <v/>
      </c>
      <c r="W1128" s="7">
        <f>IF($AA1128="","",V1128+S1128)</f>
        <v/>
      </c>
      <c r="X1128" s="7">
        <f>IF($AA1128="","",Y1128-W1128)</f>
        <v/>
      </c>
      <c r="Y1128" s="7">
        <f>IF($AA1128="","",R1128+U1128+P1128)</f>
        <v/>
      </c>
      <c r="Z1128" s="7">
        <f>IF($AA1128="","",Y1128-W1128-L1128)</f>
        <v/>
      </c>
      <c r="AA1128" s="13">
        <f>IF(ROWS($AA$2:$AA1128)&lt;=MAX('Per Line'!$AO$2:$AO$4001),MATCH(ROWS($AA$2:$AA1128),'Per Line'!$AO$2:$AO$4001,0),"")</f>
        <v/>
      </c>
      <c r="AB1128" s="14">
        <f>IF($AA1128="","",L1128-K1128*Y1128/100)</f>
        <v/>
      </c>
    </row>
    <row r="1129">
      <c r="A1129" s="12" t="n"/>
      <c r="B1129">
        <f>IF($AA1129="","",INDEX('Per Line'!$E$2:$E$4001,$AA1129)&amp;"")</f>
        <v/>
      </c>
      <c r="C1129">
        <f>IF($AA1129="","",INDEX('Per Line'!$A$2:$A$4001,$AA1129)&amp;"")</f>
        <v/>
      </c>
      <c r="D1129">
        <f>IF($AA1129="","",INDEX('Per Line'!$D$2:$D$4001,$AA1129)&amp;"")</f>
        <v/>
      </c>
      <c r="E1129" s="11">
        <f>IF($AA1129="","",INDEX('Per Line'!$G$2:$G$4001,$AA1129))</f>
        <v/>
      </c>
      <c r="F1129">
        <f>IF($AA1129="","",INDEX('Per Line'!$H$2:$H$4001,$AA1129)&amp;"")</f>
        <v/>
      </c>
      <c r="G1129">
        <f>IF($AA1129="","",INDEX('Per Line'!$I$2:$I$4001,$AA1129)&amp;"")</f>
        <v/>
      </c>
      <c r="H1129">
        <f>IF($AA1129="","",INDEX('Per Line'!$J$2:$J$4001,$AA1129)&amp;"")</f>
        <v/>
      </c>
      <c r="I1129">
        <f>IF($AA1129="","",INDEX('Per Line'!$K$2:$K$4001,$AA1129)&amp;"")</f>
        <v/>
      </c>
      <c r="J1129">
        <f>IF($AA1129="","",INDEX('Per Line'!$L$2:$L$4001,$AA1129)&amp;"")</f>
        <v/>
      </c>
      <c r="K1129">
        <f>IF($AA1129="","",INDEX('Per Line'!$P$2:$P$4001,$AA1129))</f>
        <v/>
      </c>
      <c r="L1129" s="7">
        <f>IF($AA1129="","",IF(AND(ISNUMBER(N1129),N1129&gt;0,Y1129&gt;N1129),K1129*N1129/100+(Y1129-N1129),K1129*Y1129/100))</f>
        <v/>
      </c>
      <c r="M1129">
        <f>IF($AA1129="","",INDEX('Per Line'!$Z$2:$Z$4001,$AA1129)&amp;"")</f>
        <v/>
      </c>
      <c r="N1129">
        <f>IF($AA1129="","",INDEX('Per Line'!$AG$2:$AG$4001,$AA1129))</f>
        <v/>
      </c>
      <c r="O1129">
        <f>IF($AA1129="","",IF(AND(ISNUMBER(N1129),N1129&gt;0),Y1129&gt;N1129,FALSE))</f>
        <v/>
      </c>
      <c r="P1129" s="7">
        <f>IF($AA1129="","",SUMIFS('Per Line'!$Y$2:$Y$4001,'Per Line'!$E$2:$E$4001,$B1129,'Per Line'!$AQ$2:$AQ$4001,1))</f>
        <v/>
      </c>
      <c r="Q1129">
        <f>IF($AA1129="","",Settings!$C$7)</f>
        <v/>
      </c>
      <c r="R1129" s="7">
        <f>IF($AA1129="","",SUMIFS('Per Line'!$Y$2:$Y$4001,'Per Line'!$E$2:$E$4001,$B1129,'Per Line'!$AP$2:$AP$4001,0,'Per Line'!$AQ$2:$AQ$4001,0))</f>
        <v/>
      </c>
      <c r="S1129" s="7">
        <f>IF($AA1129="","",R1129*Q1129)</f>
        <v/>
      </c>
      <c r="T1129">
        <f>IF($AA1129="","",Settings!$C$6)</f>
        <v/>
      </c>
      <c r="U1129" s="7">
        <f>IF($AA1129="","",SUMIFS('Per Line'!$Y$2:$Y$4001,'Per Line'!$E$2:$E$4001,$B1129,'Per Line'!$AP$2:$AP$4001,1,'Per Line'!$AQ$2:$AQ$4001,0))</f>
        <v/>
      </c>
      <c r="V1129" s="7">
        <f>IF($AA1129="","",U1129*T1129)</f>
        <v/>
      </c>
      <c r="W1129" s="7">
        <f>IF($AA1129="","",V1129+S1129)</f>
        <v/>
      </c>
      <c r="X1129" s="7">
        <f>IF($AA1129="","",Y1129-W1129)</f>
        <v/>
      </c>
      <c r="Y1129" s="7">
        <f>IF($AA1129="","",R1129+U1129+P1129)</f>
        <v/>
      </c>
      <c r="Z1129" s="7">
        <f>IF($AA1129="","",Y1129-W1129-L1129)</f>
        <v/>
      </c>
      <c r="AA1129" s="13">
        <f>IF(ROWS($AA$2:$AA1129)&lt;=MAX('Per Line'!$AO$2:$AO$4001),MATCH(ROWS($AA$2:$AA1129),'Per Line'!$AO$2:$AO$4001,0),"")</f>
        <v/>
      </c>
      <c r="AB1129" s="14">
        <f>IF($AA1129="","",L1129-K1129*Y1129/100)</f>
        <v/>
      </c>
    </row>
    <row r="1130">
      <c r="A1130" s="12" t="n"/>
      <c r="B1130">
        <f>IF($AA1130="","",INDEX('Per Line'!$E$2:$E$4001,$AA1130)&amp;"")</f>
        <v/>
      </c>
      <c r="C1130">
        <f>IF($AA1130="","",INDEX('Per Line'!$A$2:$A$4001,$AA1130)&amp;"")</f>
        <v/>
      </c>
      <c r="D1130">
        <f>IF($AA1130="","",INDEX('Per Line'!$D$2:$D$4001,$AA1130)&amp;"")</f>
        <v/>
      </c>
      <c r="E1130" s="11">
        <f>IF($AA1130="","",INDEX('Per Line'!$G$2:$G$4001,$AA1130))</f>
        <v/>
      </c>
      <c r="F1130">
        <f>IF($AA1130="","",INDEX('Per Line'!$H$2:$H$4001,$AA1130)&amp;"")</f>
        <v/>
      </c>
      <c r="G1130">
        <f>IF($AA1130="","",INDEX('Per Line'!$I$2:$I$4001,$AA1130)&amp;"")</f>
        <v/>
      </c>
      <c r="H1130">
        <f>IF($AA1130="","",INDEX('Per Line'!$J$2:$J$4001,$AA1130)&amp;"")</f>
        <v/>
      </c>
      <c r="I1130">
        <f>IF($AA1130="","",INDEX('Per Line'!$K$2:$K$4001,$AA1130)&amp;"")</f>
        <v/>
      </c>
      <c r="J1130">
        <f>IF($AA1130="","",INDEX('Per Line'!$L$2:$L$4001,$AA1130)&amp;"")</f>
        <v/>
      </c>
      <c r="K1130">
        <f>IF($AA1130="","",INDEX('Per Line'!$P$2:$P$4001,$AA1130))</f>
        <v/>
      </c>
      <c r="L1130" s="7">
        <f>IF($AA1130="","",IF(AND(ISNUMBER(N1130),N1130&gt;0,Y1130&gt;N1130),K1130*N1130/100+(Y1130-N1130),K1130*Y1130/100))</f>
        <v/>
      </c>
      <c r="M1130">
        <f>IF($AA1130="","",INDEX('Per Line'!$Z$2:$Z$4001,$AA1130)&amp;"")</f>
        <v/>
      </c>
      <c r="N1130">
        <f>IF($AA1130="","",INDEX('Per Line'!$AG$2:$AG$4001,$AA1130))</f>
        <v/>
      </c>
      <c r="O1130">
        <f>IF($AA1130="","",IF(AND(ISNUMBER(N1130),N1130&gt;0),Y1130&gt;N1130,FALSE))</f>
        <v/>
      </c>
      <c r="P1130" s="7">
        <f>IF($AA1130="","",SUMIFS('Per Line'!$Y$2:$Y$4001,'Per Line'!$E$2:$E$4001,$B1130,'Per Line'!$AQ$2:$AQ$4001,1))</f>
        <v/>
      </c>
      <c r="Q1130">
        <f>IF($AA1130="","",Settings!$C$7)</f>
        <v/>
      </c>
      <c r="R1130" s="7">
        <f>IF($AA1130="","",SUMIFS('Per Line'!$Y$2:$Y$4001,'Per Line'!$E$2:$E$4001,$B1130,'Per Line'!$AP$2:$AP$4001,0,'Per Line'!$AQ$2:$AQ$4001,0))</f>
        <v/>
      </c>
      <c r="S1130" s="7">
        <f>IF($AA1130="","",R1130*Q1130)</f>
        <v/>
      </c>
      <c r="T1130">
        <f>IF($AA1130="","",Settings!$C$6)</f>
        <v/>
      </c>
      <c r="U1130" s="7">
        <f>IF($AA1130="","",SUMIFS('Per Line'!$Y$2:$Y$4001,'Per Line'!$E$2:$E$4001,$B1130,'Per Line'!$AP$2:$AP$4001,1,'Per Line'!$AQ$2:$AQ$4001,0))</f>
        <v/>
      </c>
      <c r="V1130" s="7">
        <f>IF($AA1130="","",U1130*T1130)</f>
        <v/>
      </c>
      <c r="W1130" s="7">
        <f>IF($AA1130="","",V1130+S1130)</f>
        <v/>
      </c>
      <c r="X1130" s="7">
        <f>IF($AA1130="","",Y1130-W1130)</f>
        <v/>
      </c>
      <c r="Y1130" s="7">
        <f>IF($AA1130="","",R1130+U1130+P1130)</f>
        <v/>
      </c>
      <c r="Z1130" s="7">
        <f>IF($AA1130="","",Y1130-W1130-L1130)</f>
        <v/>
      </c>
      <c r="AA1130" s="13">
        <f>IF(ROWS($AA$2:$AA1130)&lt;=MAX('Per Line'!$AO$2:$AO$4001),MATCH(ROWS($AA$2:$AA1130),'Per Line'!$AO$2:$AO$4001,0),"")</f>
        <v/>
      </c>
      <c r="AB1130" s="14">
        <f>IF($AA1130="","",L1130-K1130*Y1130/100)</f>
        <v/>
      </c>
    </row>
    <row r="1131">
      <c r="A1131" s="12" t="n"/>
      <c r="B1131">
        <f>IF($AA1131="","",INDEX('Per Line'!$E$2:$E$4001,$AA1131)&amp;"")</f>
        <v/>
      </c>
      <c r="C1131">
        <f>IF($AA1131="","",INDEX('Per Line'!$A$2:$A$4001,$AA1131)&amp;"")</f>
        <v/>
      </c>
      <c r="D1131">
        <f>IF($AA1131="","",INDEX('Per Line'!$D$2:$D$4001,$AA1131)&amp;"")</f>
        <v/>
      </c>
      <c r="E1131" s="11">
        <f>IF($AA1131="","",INDEX('Per Line'!$G$2:$G$4001,$AA1131))</f>
        <v/>
      </c>
      <c r="F1131">
        <f>IF($AA1131="","",INDEX('Per Line'!$H$2:$H$4001,$AA1131)&amp;"")</f>
        <v/>
      </c>
      <c r="G1131">
        <f>IF($AA1131="","",INDEX('Per Line'!$I$2:$I$4001,$AA1131)&amp;"")</f>
        <v/>
      </c>
      <c r="H1131">
        <f>IF($AA1131="","",INDEX('Per Line'!$J$2:$J$4001,$AA1131)&amp;"")</f>
        <v/>
      </c>
      <c r="I1131">
        <f>IF($AA1131="","",INDEX('Per Line'!$K$2:$K$4001,$AA1131)&amp;"")</f>
        <v/>
      </c>
      <c r="J1131">
        <f>IF($AA1131="","",INDEX('Per Line'!$L$2:$L$4001,$AA1131)&amp;"")</f>
        <v/>
      </c>
      <c r="K1131">
        <f>IF($AA1131="","",INDEX('Per Line'!$P$2:$P$4001,$AA1131))</f>
        <v/>
      </c>
      <c r="L1131" s="7">
        <f>IF($AA1131="","",IF(AND(ISNUMBER(N1131),N1131&gt;0,Y1131&gt;N1131),K1131*N1131/100+(Y1131-N1131),K1131*Y1131/100))</f>
        <v/>
      </c>
      <c r="M1131">
        <f>IF($AA1131="","",INDEX('Per Line'!$Z$2:$Z$4001,$AA1131)&amp;"")</f>
        <v/>
      </c>
      <c r="N1131">
        <f>IF($AA1131="","",INDEX('Per Line'!$AG$2:$AG$4001,$AA1131))</f>
        <v/>
      </c>
      <c r="O1131">
        <f>IF($AA1131="","",IF(AND(ISNUMBER(N1131),N1131&gt;0),Y1131&gt;N1131,FALSE))</f>
        <v/>
      </c>
      <c r="P1131" s="7">
        <f>IF($AA1131="","",SUMIFS('Per Line'!$Y$2:$Y$4001,'Per Line'!$E$2:$E$4001,$B1131,'Per Line'!$AQ$2:$AQ$4001,1))</f>
        <v/>
      </c>
      <c r="Q1131">
        <f>IF($AA1131="","",Settings!$C$7)</f>
        <v/>
      </c>
      <c r="R1131" s="7">
        <f>IF($AA1131="","",SUMIFS('Per Line'!$Y$2:$Y$4001,'Per Line'!$E$2:$E$4001,$B1131,'Per Line'!$AP$2:$AP$4001,0,'Per Line'!$AQ$2:$AQ$4001,0))</f>
        <v/>
      </c>
      <c r="S1131" s="7">
        <f>IF($AA1131="","",R1131*Q1131)</f>
        <v/>
      </c>
      <c r="T1131">
        <f>IF($AA1131="","",Settings!$C$6)</f>
        <v/>
      </c>
      <c r="U1131" s="7">
        <f>IF($AA1131="","",SUMIFS('Per Line'!$Y$2:$Y$4001,'Per Line'!$E$2:$E$4001,$B1131,'Per Line'!$AP$2:$AP$4001,1,'Per Line'!$AQ$2:$AQ$4001,0))</f>
        <v/>
      </c>
      <c r="V1131" s="7">
        <f>IF($AA1131="","",U1131*T1131)</f>
        <v/>
      </c>
      <c r="W1131" s="7">
        <f>IF($AA1131="","",V1131+S1131)</f>
        <v/>
      </c>
      <c r="X1131" s="7">
        <f>IF($AA1131="","",Y1131-W1131)</f>
        <v/>
      </c>
      <c r="Y1131" s="7">
        <f>IF($AA1131="","",R1131+U1131+P1131)</f>
        <v/>
      </c>
      <c r="Z1131" s="7">
        <f>IF($AA1131="","",Y1131-W1131-L1131)</f>
        <v/>
      </c>
      <c r="AA1131" s="13">
        <f>IF(ROWS($AA$2:$AA1131)&lt;=MAX('Per Line'!$AO$2:$AO$4001),MATCH(ROWS($AA$2:$AA1131),'Per Line'!$AO$2:$AO$4001,0),"")</f>
        <v/>
      </c>
      <c r="AB1131" s="14">
        <f>IF($AA1131="","",L1131-K1131*Y1131/100)</f>
        <v/>
      </c>
    </row>
    <row r="1132">
      <c r="A1132" s="12" t="n"/>
      <c r="B1132">
        <f>IF($AA1132="","",INDEX('Per Line'!$E$2:$E$4001,$AA1132)&amp;"")</f>
        <v/>
      </c>
      <c r="C1132">
        <f>IF($AA1132="","",INDEX('Per Line'!$A$2:$A$4001,$AA1132)&amp;"")</f>
        <v/>
      </c>
      <c r="D1132">
        <f>IF($AA1132="","",INDEX('Per Line'!$D$2:$D$4001,$AA1132)&amp;"")</f>
        <v/>
      </c>
      <c r="E1132" s="11">
        <f>IF($AA1132="","",INDEX('Per Line'!$G$2:$G$4001,$AA1132))</f>
        <v/>
      </c>
      <c r="F1132">
        <f>IF($AA1132="","",INDEX('Per Line'!$H$2:$H$4001,$AA1132)&amp;"")</f>
        <v/>
      </c>
      <c r="G1132">
        <f>IF($AA1132="","",INDEX('Per Line'!$I$2:$I$4001,$AA1132)&amp;"")</f>
        <v/>
      </c>
      <c r="H1132">
        <f>IF($AA1132="","",INDEX('Per Line'!$J$2:$J$4001,$AA1132)&amp;"")</f>
        <v/>
      </c>
      <c r="I1132">
        <f>IF($AA1132="","",INDEX('Per Line'!$K$2:$K$4001,$AA1132)&amp;"")</f>
        <v/>
      </c>
      <c r="J1132">
        <f>IF($AA1132="","",INDEX('Per Line'!$L$2:$L$4001,$AA1132)&amp;"")</f>
        <v/>
      </c>
      <c r="K1132">
        <f>IF($AA1132="","",INDEX('Per Line'!$P$2:$P$4001,$AA1132))</f>
        <v/>
      </c>
      <c r="L1132" s="7">
        <f>IF($AA1132="","",IF(AND(ISNUMBER(N1132),N1132&gt;0,Y1132&gt;N1132),K1132*N1132/100+(Y1132-N1132),K1132*Y1132/100))</f>
        <v/>
      </c>
      <c r="M1132">
        <f>IF($AA1132="","",INDEX('Per Line'!$Z$2:$Z$4001,$AA1132)&amp;"")</f>
        <v/>
      </c>
      <c r="N1132">
        <f>IF($AA1132="","",INDEX('Per Line'!$AG$2:$AG$4001,$AA1132))</f>
        <v/>
      </c>
      <c r="O1132">
        <f>IF($AA1132="","",IF(AND(ISNUMBER(N1132),N1132&gt;0),Y1132&gt;N1132,FALSE))</f>
        <v/>
      </c>
      <c r="P1132" s="7">
        <f>IF($AA1132="","",SUMIFS('Per Line'!$Y$2:$Y$4001,'Per Line'!$E$2:$E$4001,$B1132,'Per Line'!$AQ$2:$AQ$4001,1))</f>
        <v/>
      </c>
      <c r="Q1132">
        <f>IF($AA1132="","",Settings!$C$7)</f>
        <v/>
      </c>
      <c r="R1132" s="7">
        <f>IF($AA1132="","",SUMIFS('Per Line'!$Y$2:$Y$4001,'Per Line'!$E$2:$E$4001,$B1132,'Per Line'!$AP$2:$AP$4001,0,'Per Line'!$AQ$2:$AQ$4001,0))</f>
        <v/>
      </c>
      <c r="S1132" s="7">
        <f>IF($AA1132="","",R1132*Q1132)</f>
        <v/>
      </c>
      <c r="T1132">
        <f>IF($AA1132="","",Settings!$C$6)</f>
        <v/>
      </c>
      <c r="U1132" s="7">
        <f>IF($AA1132="","",SUMIFS('Per Line'!$Y$2:$Y$4001,'Per Line'!$E$2:$E$4001,$B1132,'Per Line'!$AP$2:$AP$4001,1,'Per Line'!$AQ$2:$AQ$4001,0))</f>
        <v/>
      </c>
      <c r="V1132" s="7">
        <f>IF($AA1132="","",U1132*T1132)</f>
        <v/>
      </c>
      <c r="W1132" s="7">
        <f>IF($AA1132="","",V1132+S1132)</f>
        <v/>
      </c>
      <c r="X1132" s="7">
        <f>IF($AA1132="","",Y1132-W1132)</f>
        <v/>
      </c>
      <c r="Y1132" s="7">
        <f>IF($AA1132="","",R1132+U1132+P1132)</f>
        <v/>
      </c>
      <c r="Z1132" s="7">
        <f>IF($AA1132="","",Y1132-W1132-L1132)</f>
        <v/>
      </c>
      <c r="AA1132" s="13">
        <f>IF(ROWS($AA$2:$AA1132)&lt;=MAX('Per Line'!$AO$2:$AO$4001),MATCH(ROWS($AA$2:$AA1132),'Per Line'!$AO$2:$AO$4001,0),"")</f>
        <v/>
      </c>
      <c r="AB1132" s="14">
        <f>IF($AA1132="","",L1132-K1132*Y1132/100)</f>
        <v/>
      </c>
    </row>
    <row r="1133">
      <c r="A1133" s="12" t="n"/>
      <c r="B1133">
        <f>IF($AA1133="","",INDEX('Per Line'!$E$2:$E$4001,$AA1133)&amp;"")</f>
        <v/>
      </c>
      <c r="C1133">
        <f>IF($AA1133="","",INDEX('Per Line'!$A$2:$A$4001,$AA1133)&amp;"")</f>
        <v/>
      </c>
      <c r="D1133">
        <f>IF($AA1133="","",INDEX('Per Line'!$D$2:$D$4001,$AA1133)&amp;"")</f>
        <v/>
      </c>
      <c r="E1133" s="11">
        <f>IF($AA1133="","",INDEX('Per Line'!$G$2:$G$4001,$AA1133))</f>
        <v/>
      </c>
      <c r="F1133">
        <f>IF($AA1133="","",INDEX('Per Line'!$H$2:$H$4001,$AA1133)&amp;"")</f>
        <v/>
      </c>
      <c r="G1133">
        <f>IF($AA1133="","",INDEX('Per Line'!$I$2:$I$4001,$AA1133)&amp;"")</f>
        <v/>
      </c>
      <c r="H1133">
        <f>IF($AA1133="","",INDEX('Per Line'!$J$2:$J$4001,$AA1133)&amp;"")</f>
        <v/>
      </c>
      <c r="I1133">
        <f>IF($AA1133="","",INDEX('Per Line'!$K$2:$K$4001,$AA1133)&amp;"")</f>
        <v/>
      </c>
      <c r="J1133">
        <f>IF($AA1133="","",INDEX('Per Line'!$L$2:$L$4001,$AA1133)&amp;"")</f>
        <v/>
      </c>
      <c r="K1133">
        <f>IF($AA1133="","",INDEX('Per Line'!$P$2:$P$4001,$AA1133))</f>
        <v/>
      </c>
      <c r="L1133" s="7">
        <f>IF($AA1133="","",IF(AND(ISNUMBER(N1133),N1133&gt;0,Y1133&gt;N1133),K1133*N1133/100+(Y1133-N1133),K1133*Y1133/100))</f>
        <v/>
      </c>
      <c r="M1133">
        <f>IF($AA1133="","",INDEX('Per Line'!$Z$2:$Z$4001,$AA1133)&amp;"")</f>
        <v/>
      </c>
      <c r="N1133">
        <f>IF($AA1133="","",INDEX('Per Line'!$AG$2:$AG$4001,$AA1133))</f>
        <v/>
      </c>
      <c r="O1133">
        <f>IF($AA1133="","",IF(AND(ISNUMBER(N1133),N1133&gt;0),Y1133&gt;N1133,FALSE))</f>
        <v/>
      </c>
      <c r="P1133" s="7">
        <f>IF($AA1133="","",SUMIFS('Per Line'!$Y$2:$Y$4001,'Per Line'!$E$2:$E$4001,$B1133,'Per Line'!$AQ$2:$AQ$4001,1))</f>
        <v/>
      </c>
      <c r="Q1133">
        <f>IF($AA1133="","",Settings!$C$7)</f>
        <v/>
      </c>
      <c r="R1133" s="7">
        <f>IF($AA1133="","",SUMIFS('Per Line'!$Y$2:$Y$4001,'Per Line'!$E$2:$E$4001,$B1133,'Per Line'!$AP$2:$AP$4001,0,'Per Line'!$AQ$2:$AQ$4001,0))</f>
        <v/>
      </c>
      <c r="S1133" s="7">
        <f>IF($AA1133="","",R1133*Q1133)</f>
        <v/>
      </c>
      <c r="T1133">
        <f>IF($AA1133="","",Settings!$C$6)</f>
        <v/>
      </c>
      <c r="U1133" s="7">
        <f>IF($AA1133="","",SUMIFS('Per Line'!$Y$2:$Y$4001,'Per Line'!$E$2:$E$4001,$B1133,'Per Line'!$AP$2:$AP$4001,1,'Per Line'!$AQ$2:$AQ$4001,0))</f>
        <v/>
      </c>
      <c r="V1133" s="7">
        <f>IF($AA1133="","",U1133*T1133)</f>
        <v/>
      </c>
      <c r="W1133" s="7">
        <f>IF($AA1133="","",V1133+S1133)</f>
        <v/>
      </c>
      <c r="X1133" s="7">
        <f>IF($AA1133="","",Y1133-W1133)</f>
        <v/>
      </c>
      <c r="Y1133" s="7">
        <f>IF($AA1133="","",R1133+U1133+P1133)</f>
        <v/>
      </c>
      <c r="Z1133" s="7">
        <f>IF($AA1133="","",Y1133-W1133-L1133)</f>
        <v/>
      </c>
      <c r="AA1133" s="13">
        <f>IF(ROWS($AA$2:$AA1133)&lt;=MAX('Per Line'!$AO$2:$AO$4001),MATCH(ROWS($AA$2:$AA1133),'Per Line'!$AO$2:$AO$4001,0),"")</f>
        <v/>
      </c>
      <c r="AB1133" s="14">
        <f>IF($AA1133="","",L1133-K1133*Y1133/100)</f>
        <v/>
      </c>
    </row>
    <row r="1134">
      <c r="A1134" s="12" t="n"/>
      <c r="B1134">
        <f>IF($AA1134="","",INDEX('Per Line'!$E$2:$E$4001,$AA1134)&amp;"")</f>
        <v/>
      </c>
      <c r="C1134">
        <f>IF($AA1134="","",INDEX('Per Line'!$A$2:$A$4001,$AA1134)&amp;"")</f>
        <v/>
      </c>
      <c r="D1134">
        <f>IF($AA1134="","",INDEX('Per Line'!$D$2:$D$4001,$AA1134)&amp;"")</f>
        <v/>
      </c>
      <c r="E1134" s="11">
        <f>IF($AA1134="","",INDEX('Per Line'!$G$2:$G$4001,$AA1134))</f>
        <v/>
      </c>
      <c r="F1134">
        <f>IF($AA1134="","",INDEX('Per Line'!$H$2:$H$4001,$AA1134)&amp;"")</f>
        <v/>
      </c>
      <c r="G1134">
        <f>IF($AA1134="","",INDEX('Per Line'!$I$2:$I$4001,$AA1134)&amp;"")</f>
        <v/>
      </c>
      <c r="H1134">
        <f>IF($AA1134="","",INDEX('Per Line'!$J$2:$J$4001,$AA1134)&amp;"")</f>
        <v/>
      </c>
      <c r="I1134">
        <f>IF($AA1134="","",INDEX('Per Line'!$K$2:$K$4001,$AA1134)&amp;"")</f>
        <v/>
      </c>
      <c r="J1134">
        <f>IF($AA1134="","",INDEX('Per Line'!$L$2:$L$4001,$AA1134)&amp;"")</f>
        <v/>
      </c>
      <c r="K1134">
        <f>IF($AA1134="","",INDEX('Per Line'!$P$2:$P$4001,$AA1134))</f>
        <v/>
      </c>
      <c r="L1134" s="7">
        <f>IF($AA1134="","",IF(AND(ISNUMBER(N1134),N1134&gt;0,Y1134&gt;N1134),K1134*N1134/100+(Y1134-N1134),K1134*Y1134/100))</f>
        <v/>
      </c>
      <c r="M1134">
        <f>IF($AA1134="","",INDEX('Per Line'!$Z$2:$Z$4001,$AA1134)&amp;"")</f>
        <v/>
      </c>
      <c r="N1134">
        <f>IF($AA1134="","",INDEX('Per Line'!$AG$2:$AG$4001,$AA1134))</f>
        <v/>
      </c>
      <c r="O1134">
        <f>IF($AA1134="","",IF(AND(ISNUMBER(N1134),N1134&gt;0),Y1134&gt;N1134,FALSE))</f>
        <v/>
      </c>
      <c r="P1134" s="7">
        <f>IF($AA1134="","",SUMIFS('Per Line'!$Y$2:$Y$4001,'Per Line'!$E$2:$E$4001,$B1134,'Per Line'!$AQ$2:$AQ$4001,1))</f>
        <v/>
      </c>
      <c r="Q1134">
        <f>IF($AA1134="","",Settings!$C$7)</f>
        <v/>
      </c>
      <c r="R1134" s="7">
        <f>IF($AA1134="","",SUMIFS('Per Line'!$Y$2:$Y$4001,'Per Line'!$E$2:$E$4001,$B1134,'Per Line'!$AP$2:$AP$4001,0,'Per Line'!$AQ$2:$AQ$4001,0))</f>
        <v/>
      </c>
      <c r="S1134" s="7">
        <f>IF($AA1134="","",R1134*Q1134)</f>
        <v/>
      </c>
      <c r="T1134">
        <f>IF($AA1134="","",Settings!$C$6)</f>
        <v/>
      </c>
      <c r="U1134" s="7">
        <f>IF($AA1134="","",SUMIFS('Per Line'!$Y$2:$Y$4001,'Per Line'!$E$2:$E$4001,$B1134,'Per Line'!$AP$2:$AP$4001,1,'Per Line'!$AQ$2:$AQ$4001,0))</f>
        <v/>
      </c>
      <c r="V1134" s="7">
        <f>IF($AA1134="","",U1134*T1134)</f>
        <v/>
      </c>
      <c r="W1134" s="7">
        <f>IF($AA1134="","",V1134+S1134)</f>
        <v/>
      </c>
      <c r="X1134" s="7">
        <f>IF($AA1134="","",Y1134-W1134)</f>
        <v/>
      </c>
      <c r="Y1134" s="7">
        <f>IF($AA1134="","",R1134+U1134+P1134)</f>
        <v/>
      </c>
      <c r="Z1134" s="7">
        <f>IF($AA1134="","",Y1134-W1134-L1134)</f>
        <v/>
      </c>
      <c r="AA1134" s="13">
        <f>IF(ROWS($AA$2:$AA1134)&lt;=MAX('Per Line'!$AO$2:$AO$4001),MATCH(ROWS($AA$2:$AA1134),'Per Line'!$AO$2:$AO$4001,0),"")</f>
        <v/>
      </c>
      <c r="AB1134" s="14">
        <f>IF($AA1134="","",L1134-K1134*Y1134/100)</f>
        <v/>
      </c>
    </row>
    <row r="1135">
      <c r="A1135" s="12" t="n"/>
      <c r="B1135">
        <f>IF($AA1135="","",INDEX('Per Line'!$E$2:$E$4001,$AA1135)&amp;"")</f>
        <v/>
      </c>
      <c r="C1135">
        <f>IF($AA1135="","",INDEX('Per Line'!$A$2:$A$4001,$AA1135)&amp;"")</f>
        <v/>
      </c>
      <c r="D1135">
        <f>IF($AA1135="","",INDEX('Per Line'!$D$2:$D$4001,$AA1135)&amp;"")</f>
        <v/>
      </c>
      <c r="E1135" s="11">
        <f>IF($AA1135="","",INDEX('Per Line'!$G$2:$G$4001,$AA1135))</f>
        <v/>
      </c>
      <c r="F1135">
        <f>IF($AA1135="","",INDEX('Per Line'!$H$2:$H$4001,$AA1135)&amp;"")</f>
        <v/>
      </c>
      <c r="G1135">
        <f>IF($AA1135="","",INDEX('Per Line'!$I$2:$I$4001,$AA1135)&amp;"")</f>
        <v/>
      </c>
      <c r="H1135">
        <f>IF($AA1135="","",INDEX('Per Line'!$J$2:$J$4001,$AA1135)&amp;"")</f>
        <v/>
      </c>
      <c r="I1135">
        <f>IF($AA1135="","",INDEX('Per Line'!$K$2:$K$4001,$AA1135)&amp;"")</f>
        <v/>
      </c>
      <c r="J1135">
        <f>IF($AA1135="","",INDEX('Per Line'!$L$2:$L$4001,$AA1135)&amp;"")</f>
        <v/>
      </c>
      <c r="K1135">
        <f>IF($AA1135="","",INDEX('Per Line'!$P$2:$P$4001,$AA1135))</f>
        <v/>
      </c>
      <c r="L1135" s="7">
        <f>IF($AA1135="","",IF(AND(ISNUMBER(N1135),N1135&gt;0,Y1135&gt;N1135),K1135*N1135/100+(Y1135-N1135),K1135*Y1135/100))</f>
        <v/>
      </c>
      <c r="M1135">
        <f>IF($AA1135="","",INDEX('Per Line'!$Z$2:$Z$4001,$AA1135)&amp;"")</f>
        <v/>
      </c>
      <c r="N1135">
        <f>IF($AA1135="","",INDEX('Per Line'!$AG$2:$AG$4001,$AA1135))</f>
        <v/>
      </c>
      <c r="O1135">
        <f>IF($AA1135="","",IF(AND(ISNUMBER(N1135),N1135&gt;0),Y1135&gt;N1135,FALSE))</f>
        <v/>
      </c>
      <c r="P1135" s="7">
        <f>IF($AA1135="","",SUMIFS('Per Line'!$Y$2:$Y$4001,'Per Line'!$E$2:$E$4001,$B1135,'Per Line'!$AQ$2:$AQ$4001,1))</f>
        <v/>
      </c>
      <c r="Q1135">
        <f>IF($AA1135="","",Settings!$C$7)</f>
        <v/>
      </c>
      <c r="R1135" s="7">
        <f>IF($AA1135="","",SUMIFS('Per Line'!$Y$2:$Y$4001,'Per Line'!$E$2:$E$4001,$B1135,'Per Line'!$AP$2:$AP$4001,0,'Per Line'!$AQ$2:$AQ$4001,0))</f>
        <v/>
      </c>
      <c r="S1135" s="7">
        <f>IF($AA1135="","",R1135*Q1135)</f>
        <v/>
      </c>
      <c r="T1135">
        <f>IF($AA1135="","",Settings!$C$6)</f>
        <v/>
      </c>
      <c r="U1135" s="7">
        <f>IF($AA1135="","",SUMIFS('Per Line'!$Y$2:$Y$4001,'Per Line'!$E$2:$E$4001,$B1135,'Per Line'!$AP$2:$AP$4001,1,'Per Line'!$AQ$2:$AQ$4001,0))</f>
        <v/>
      </c>
      <c r="V1135" s="7">
        <f>IF($AA1135="","",U1135*T1135)</f>
        <v/>
      </c>
      <c r="W1135" s="7">
        <f>IF($AA1135="","",V1135+S1135)</f>
        <v/>
      </c>
      <c r="X1135" s="7">
        <f>IF($AA1135="","",Y1135-W1135)</f>
        <v/>
      </c>
      <c r="Y1135" s="7">
        <f>IF($AA1135="","",R1135+U1135+P1135)</f>
        <v/>
      </c>
      <c r="Z1135" s="7">
        <f>IF($AA1135="","",Y1135-W1135-L1135)</f>
        <v/>
      </c>
      <c r="AA1135" s="13">
        <f>IF(ROWS($AA$2:$AA1135)&lt;=MAX('Per Line'!$AO$2:$AO$4001),MATCH(ROWS($AA$2:$AA1135),'Per Line'!$AO$2:$AO$4001,0),"")</f>
        <v/>
      </c>
      <c r="AB1135" s="14">
        <f>IF($AA1135="","",L1135-K1135*Y1135/100)</f>
        <v/>
      </c>
    </row>
    <row r="1136">
      <c r="A1136" s="12" t="n"/>
      <c r="B1136">
        <f>IF($AA1136="","",INDEX('Per Line'!$E$2:$E$4001,$AA1136)&amp;"")</f>
        <v/>
      </c>
      <c r="C1136">
        <f>IF($AA1136="","",INDEX('Per Line'!$A$2:$A$4001,$AA1136)&amp;"")</f>
        <v/>
      </c>
      <c r="D1136">
        <f>IF($AA1136="","",INDEX('Per Line'!$D$2:$D$4001,$AA1136)&amp;"")</f>
        <v/>
      </c>
      <c r="E1136" s="11">
        <f>IF($AA1136="","",INDEX('Per Line'!$G$2:$G$4001,$AA1136))</f>
        <v/>
      </c>
      <c r="F1136">
        <f>IF($AA1136="","",INDEX('Per Line'!$H$2:$H$4001,$AA1136)&amp;"")</f>
        <v/>
      </c>
      <c r="G1136">
        <f>IF($AA1136="","",INDEX('Per Line'!$I$2:$I$4001,$AA1136)&amp;"")</f>
        <v/>
      </c>
      <c r="H1136">
        <f>IF($AA1136="","",INDEX('Per Line'!$J$2:$J$4001,$AA1136)&amp;"")</f>
        <v/>
      </c>
      <c r="I1136">
        <f>IF($AA1136="","",INDEX('Per Line'!$K$2:$K$4001,$AA1136)&amp;"")</f>
        <v/>
      </c>
      <c r="J1136">
        <f>IF($AA1136="","",INDEX('Per Line'!$L$2:$L$4001,$AA1136)&amp;"")</f>
        <v/>
      </c>
      <c r="K1136">
        <f>IF($AA1136="","",INDEX('Per Line'!$P$2:$P$4001,$AA1136))</f>
        <v/>
      </c>
      <c r="L1136" s="7">
        <f>IF($AA1136="","",IF(AND(ISNUMBER(N1136),N1136&gt;0,Y1136&gt;N1136),K1136*N1136/100+(Y1136-N1136),K1136*Y1136/100))</f>
        <v/>
      </c>
      <c r="M1136">
        <f>IF($AA1136="","",INDEX('Per Line'!$Z$2:$Z$4001,$AA1136)&amp;"")</f>
        <v/>
      </c>
      <c r="N1136">
        <f>IF($AA1136="","",INDEX('Per Line'!$AG$2:$AG$4001,$AA1136))</f>
        <v/>
      </c>
      <c r="O1136">
        <f>IF($AA1136="","",IF(AND(ISNUMBER(N1136),N1136&gt;0),Y1136&gt;N1136,FALSE))</f>
        <v/>
      </c>
      <c r="P1136" s="7">
        <f>IF($AA1136="","",SUMIFS('Per Line'!$Y$2:$Y$4001,'Per Line'!$E$2:$E$4001,$B1136,'Per Line'!$AQ$2:$AQ$4001,1))</f>
        <v/>
      </c>
      <c r="Q1136">
        <f>IF($AA1136="","",Settings!$C$7)</f>
        <v/>
      </c>
      <c r="R1136" s="7">
        <f>IF($AA1136="","",SUMIFS('Per Line'!$Y$2:$Y$4001,'Per Line'!$E$2:$E$4001,$B1136,'Per Line'!$AP$2:$AP$4001,0,'Per Line'!$AQ$2:$AQ$4001,0))</f>
        <v/>
      </c>
      <c r="S1136" s="7">
        <f>IF($AA1136="","",R1136*Q1136)</f>
        <v/>
      </c>
      <c r="T1136">
        <f>IF($AA1136="","",Settings!$C$6)</f>
        <v/>
      </c>
      <c r="U1136" s="7">
        <f>IF($AA1136="","",SUMIFS('Per Line'!$Y$2:$Y$4001,'Per Line'!$E$2:$E$4001,$B1136,'Per Line'!$AP$2:$AP$4001,1,'Per Line'!$AQ$2:$AQ$4001,0))</f>
        <v/>
      </c>
      <c r="V1136" s="7">
        <f>IF($AA1136="","",U1136*T1136)</f>
        <v/>
      </c>
      <c r="W1136" s="7">
        <f>IF($AA1136="","",V1136+S1136)</f>
        <v/>
      </c>
      <c r="X1136" s="7">
        <f>IF($AA1136="","",Y1136-W1136)</f>
        <v/>
      </c>
      <c r="Y1136" s="7">
        <f>IF($AA1136="","",R1136+U1136+P1136)</f>
        <v/>
      </c>
      <c r="Z1136" s="7">
        <f>IF($AA1136="","",Y1136-W1136-L1136)</f>
        <v/>
      </c>
      <c r="AA1136" s="13">
        <f>IF(ROWS($AA$2:$AA1136)&lt;=MAX('Per Line'!$AO$2:$AO$4001),MATCH(ROWS($AA$2:$AA1136),'Per Line'!$AO$2:$AO$4001,0),"")</f>
        <v/>
      </c>
      <c r="AB1136" s="14">
        <f>IF($AA1136="","",L1136-K1136*Y1136/100)</f>
        <v/>
      </c>
    </row>
    <row r="1137">
      <c r="A1137" s="12" t="n"/>
      <c r="B1137">
        <f>IF($AA1137="","",INDEX('Per Line'!$E$2:$E$4001,$AA1137)&amp;"")</f>
        <v/>
      </c>
      <c r="C1137">
        <f>IF($AA1137="","",INDEX('Per Line'!$A$2:$A$4001,$AA1137)&amp;"")</f>
        <v/>
      </c>
      <c r="D1137">
        <f>IF($AA1137="","",INDEX('Per Line'!$D$2:$D$4001,$AA1137)&amp;"")</f>
        <v/>
      </c>
      <c r="E1137" s="11">
        <f>IF($AA1137="","",INDEX('Per Line'!$G$2:$G$4001,$AA1137))</f>
        <v/>
      </c>
      <c r="F1137">
        <f>IF($AA1137="","",INDEX('Per Line'!$H$2:$H$4001,$AA1137)&amp;"")</f>
        <v/>
      </c>
      <c r="G1137">
        <f>IF($AA1137="","",INDEX('Per Line'!$I$2:$I$4001,$AA1137)&amp;"")</f>
        <v/>
      </c>
      <c r="H1137">
        <f>IF($AA1137="","",INDEX('Per Line'!$J$2:$J$4001,$AA1137)&amp;"")</f>
        <v/>
      </c>
      <c r="I1137">
        <f>IF($AA1137="","",INDEX('Per Line'!$K$2:$K$4001,$AA1137)&amp;"")</f>
        <v/>
      </c>
      <c r="J1137">
        <f>IF($AA1137="","",INDEX('Per Line'!$L$2:$L$4001,$AA1137)&amp;"")</f>
        <v/>
      </c>
      <c r="K1137">
        <f>IF($AA1137="","",INDEX('Per Line'!$P$2:$P$4001,$AA1137))</f>
        <v/>
      </c>
      <c r="L1137" s="7">
        <f>IF($AA1137="","",IF(AND(ISNUMBER(N1137),N1137&gt;0,Y1137&gt;N1137),K1137*N1137/100+(Y1137-N1137),K1137*Y1137/100))</f>
        <v/>
      </c>
      <c r="M1137">
        <f>IF($AA1137="","",INDEX('Per Line'!$Z$2:$Z$4001,$AA1137)&amp;"")</f>
        <v/>
      </c>
      <c r="N1137">
        <f>IF($AA1137="","",INDEX('Per Line'!$AG$2:$AG$4001,$AA1137))</f>
        <v/>
      </c>
      <c r="O1137">
        <f>IF($AA1137="","",IF(AND(ISNUMBER(N1137),N1137&gt;0),Y1137&gt;N1137,FALSE))</f>
        <v/>
      </c>
      <c r="P1137" s="7">
        <f>IF($AA1137="","",SUMIFS('Per Line'!$Y$2:$Y$4001,'Per Line'!$E$2:$E$4001,$B1137,'Per Line'!$AQ$2:$AQ$4001,1))</f>
        <v/>
      </c>
      <c r="Q1137">
        <f>IF($AA1137="","",Settings!$C$7)</f>
        <v/>
      </c>
      <c r="R1137" s="7">
        <f>IF($AA1137="","",SUMIFS('Per Line'!$Y$2:$Y$4001,'Per Line'!$E$2:$E$4001,$B1137,'Per Line'!$AP$2:$AP$4001,0,'Per Line'!$AQ$2:$AQ$4001,0))</f>
        <v/>
      </c>
      <c r="S1137" s="7">
        <f>IF($AA1137="","",R1137*Q1137)</f>
        <v/>
      </c>
      <c r="T1137">
        <f>IF($AA1137="","",Settings!$C$6)</f>
        <v/>
      </c>
      <c r="U1137" s="7">
        <f>IF($AA1137="","",SUMIFS('Per Line'!$Y$2:$Y$4001,'Per Line'!$E$2:$E$4001,$B1137,'Per Line'!$AP$2:$AP$4001,1,'Per Line'!$AQ$2:$AQ$4001,0))</f>
        <v/>
      </c>
      <c r="V1137" s="7">
        <f>IF($AA1137="","",U1137*T1137)</f>
        <v/>
      </c>
      <c r="W1137" s="7">
        <f>IF($AA1137="","",V1137+S1137)</f>
        <v/>
      </c>
      <c r="X1137" s="7">
        <f>IF($AA1137="","",Y1137-W1137)</f>
        <v/>
      </c>
      <c r="Y1137" s="7">
        <f>IF($AA1137="","",R1137+U1137+P1137)</f>
        <v/>
      </c>
      <c r="Z1137" s="7">
        <f>IF($AA1137="","",Y1137-W1137-L1137)</f>
        <v/>
      </c>
      <c r="AA1137" s="13">
        <f>IF(ROWS($AA$2:$AA1137)&lt;=MAX('Per Line'!$AO$2:$AO$4001),MATCH(ROWS($AA$2:$AA1137),'Per Line'!$AO$2:$AO$4001,0),"")</f>
        <v/>
      </c>
      <c r="AB1137" s="14">
        <f>IF($AA1137="","",L1137-K1137*Y1137/100)</f>
        <v/>
      </c>
    </row>
    <row r="1138">
      <c r="A1138" s="12" t="n"/>
      <c r="B1138">
        <f>IF($AA1138="","",INDEX('Per Line'!$E$2:$E$4001,$AA1138)&amp;"")</f>
        <v/>
      </c>
      <c r="C1138">
        <f>IF($AA1138="","",INDEX('Per Line'!$A$2:$A$4001,$AA1138)&amp;"")</f>
        <v/>
      </c>
      <c r="D1138">
        <f>IF($AA1138="","",INDEX('Per Line'!$D$2:$D$4001,$AA1138)&amp;"")</f>
        <v/>
      </c>
      <c r="E1138" s="11">
        <f>IF($AA1138="","",INDEX('Per Line'!$G$2:$G$4001,$AA1138))</f>
        <v/>
      </c>
      <c r="F1138">
        <f>IF($AA1138="","",INDEX('Per Line'!$H$2:$H$4001,$AA1138)&amp;"")</f>
        <v/>
      </c>
      <c r="G1138">
        <f>IF($AA1138="","",INDEX('Per Line'!$I$2:$I$4001,$AA1138)&amp;"")</f>
        <v/>
      </c>
      <c r="H1138">
        <f>IF($AA1138="","",INDEX('Per Line'!$J$2:$J$4001,$AA1138)&amp;"")</f>
        <v/>
      </c>
      <c r="I1138">
        <f>IF($AA1138="","",INDEX('Per Line'!$K$2:$K$4001,$AA1138)&amp;"")</f>
        <v/>
      </c>
      <c r="J1138">
        <f>IF($AA1138="","",INDEX('Per Line'!$L$2:$L$4001,$AA1138)&amp;"")</f>
        <v/>
      </c>
      <c r="K1138">
        <f>IF($AA1138="","",INDEX('Per Line'!$P$2:$P$4001,$AA1138))</f>
        <v/>
      </c>
      <c r="L1138" s="7">
        <f>IF($AA1138="","",IF(AND(ISNUMBER(N1138),N1138&gt;0,Y1138&gt;N1138),K1138*N1138/100+(Y1138-N1138),K1138*Y1138/100))</f>
        <v/>
      </c>
      <c r="M1138">
        <f>IF($AA1138="","",INDEX('Per Line'!$Z$2:$Z$4001,$AA1138)&amp;"")</f>
        <v/>
      </c>
      <c r="N1138">
        <f>IF($AA1138="","",INDEX('Per Line'!$AG$2:$AG$4001,$AA1138))</f>
        <v/>
      </c>
      <c r="O1138">
        <f>IF($AA1138="","",IF(AND(ISNUMBER(N1138),N1138&gt;0),Y1138&gt;N1138,FALSE))</f>
        <v/>
      </c>
      <c r="P1138" s="7">
        <f>IF($AA1138="","",SUMIFS('Per Line'!$Y$2:$Y$4001,'Per Line'!$E$2:$E$4001,$B1138,'Per Line'!$AQ$2:$AQ$4001,1))</f>
        <v/>
      </c>
      <c r="Q1138">
        <f>IF($AA1138="","",Settings!$C$7)</f>
        <v/>
      </c>
      <c r="R1138" s="7">
        <f>IF($AA1138="","",SUMIFS('Per Line'!$Y$2:$Y$4001,'Per Line'!$E$2:$E$4001,$B1138,'Per Line'!$AP$2:$AP$4001,0,'Per Line'!$AQ$2:$AQ$4001,0))</f>
        <v/>
      </c>
      <c r="S1138" s="7">
        <f>IF($AA1138="","",R1138*Q1138)</f>
        <v/>
      </c>
      <c r="T1138">
        <f>IF($AA1138="","",Settings!$C$6)</f>
        <v/>
      </c>
      <c r="U1138" s="7">
        <f>IF($AA1138="","",SUMIFS('Per Line'!$Y$2:$Y$4001,'Per Line'!$E$2:$E$4001,$B1138,'Per Line'!$AP$2:$AP$4001,1,'Per Line'!$AQ$2:$AQ$4001,0))</f>
        <v/>
      </c>
      <c r="V1138" s="7">
        <f>IF($AA1138="","",U1138*T1138)</f>
        <v/>
      </c>
      <c r="W1138" s="7">
        <f>IF($AA1138="","",V1138+S1138)</f>
        <v/>
      </c>
      <c r="X1138" s="7">
        <f>IF($AA1138="","",Y1138-W1138)</f>
        <v/>
      </c>
      <c r="Y1138" s="7">
        <f>IF($AA1138="","",R1138+U1138+P1138)</f>
        <v/>
      </c>
      <c r="Z1138" s="7">
        <f>IF($AA1138="","",Y1138-W1138-L1138)</f>
        <v/>
      </c>
      <c r="AA1138" s="13">
        <f>IF(ROWS($AA$2:$AA1138)&lt;=MAX('Per Line'!$AO$2:$AO$4001),MATCH(ROWS($AA$2:$AA1138),'Per Line'!$AO$2:$AO$4001,0),"")</f>
        <v/>
      </c>
      <c r="AB1138" s="14">
        <f>IF($AA1138="","",L1138-K1138*Y1138/100)</f>
        <v/>
      </c>
    </row>
    <row r="1139">
      <c r="A1139" s="12" t="n"/>
      <c r="B1139">
        <f>IF($AA1139="","",INDEX('Per Line'!$E$2:$E$4001,$AA1139)&amp;"")</f>
        <v/>
      </c>
      <c r="C1139">
        <f>IF($AA1139="","",INDEX('Per Line'!$A$2:$A$4001,$AA1139)&amp;"")</f>
        <v/>
      </c>
      <c r="D1139">
        <f>IF($AA1139="","",INDEX('Per Line'!$D$2:$D$4001,$AA1139)&amp;"")</f>
        <v/>
      </c>
      <c r="E1139" s="11">
        <f>IF($AA1139="","",INDEX('Per Line'!$G$2:$G$4001,$AA1139))</f>
        <v/>
      </c>
      <c r="F1139">
        <f>IF($AA1139="","",INDEX('Per Line'!$H$2:$H$4001,$AA1139)&amp;"")</f>
        <v/>
      </c>
      <c r="G1139">
        <f>IF($AA1139="","",INDEX('Per Line'!$I$2:$I$4001,$AA1139)&amp;"")</f>
        <v/>
      </c>
      <c r="H1139">
        <f>IF($AA1139="","",INDEX('Per Line'!$J$2:$J$4001,$AA1139)&amp;"")</f>
        <v/>
      </c>
      <c r="I1139">
        <f>IF($AA1139="","",INDEX('Per Line'!$K$2:$K$4001,$AA1139)&amp;"")</f>
        <v/>
      </c>
      <c r="J1139">
        <f>IF($AA1139="","",INDEX('Per Line'!$L$2:$L$4001,$AA1139)&amp;"")</f>
        <v/>
      </c>
      <c r="K1139">
        <f>IF($AA1139="","",INDEX('Per Line'!$P$2:$P$4001,$AA1139))</f>
        <v/>
      </c>
      <c r="L1139" s="7">
        <f>IF($AA1139="","",IF(AND(ISNUMBER(N1139),N1139&gt;0,Y1139&gt;N1139),K1139*N1139/100+(Y1139-N1139),K1139*Y1139/100))</f>
        <v/>
      </c>
      <c r="M1139">
        <f>IF($AA1139="","",INDEX('Per Line'!$Z$2:$Z$4001,$AA1139)&amp;"")</f>
        <v/>
      </c>
      <c r="N1139">
        <f>IF($AA1139="","",INDEX('Per Line'!$AG$2:$AG$4001,$AA1139))</f>
        <v/>
      </c>
      <c r="O1139">
        <f>IF($AA1139="","",IF(AND(ISNUMBER(N1139),N1139&gt;0),Y1139&gt;N1139,FALSE))</f>
        <v/>
      </c>
      <c r="P1139" s="7">
        <f>IF($AA1139="","",SUMIFS('Per Line'!$Y$2:$Y$4001,'Per Line'!$E$2:$E$4001,$B1139,'Per Line'!$AQ$2:$AQ$4001,1))</f>
        <v/>
      </c>
      <c r="Q1139">
        <f>IF($AA1139="","",Settings!$C$7)</f>
        <v/>
      </c>
      <c r="R1139" s="7">
        <f>IF($AA1139="","",SUMIFS('Per Line'!$Y$2:$Y$4001,'Per Line'!$E$2:$E$4001,$B1139,'Per Line'!$AP$2:$AP$4001,0,'Per Line'!$AQ$2:$AQ$4001,0))</f>
        <v/>
      </c>
      <c r="S1139" s="7">
        <f>IF($AA1139="","",R1139*Q1139)</f>
        <v/>
      </c>
      <c r="T1139">
        <f>IF($AA1139="","",Settings!$C$6)</f>
        <v/>
      </c>
      <c r="U1139" s="7">
        <f>IF($AA1139="","",SUMIFS('Per Line'!$Y$2:$Y$4001,'Per Line'!$E$2:$E$4001,$B1139,'Per Line'!$AP$2:$AP$4001,1,'Per Line'!$AQ$2:$AQ$4001,0))</f>
        <v/>
      </c>
      <c r="V1139" s="7">
        <f>IF($AA1139="","",U1139*T1139)</f>
        <v/>
      </c>
      <c r="W1139" s="7">
        <f>IF($AA1139="","",V1139+S1139)</f>
        <v/>
      </c>
      <c r="X1139" s="7">
        <f>IF($AA1139="","",Y1139-W1139)</f>
        <v/>
      </c>
      <c r="Y1139" s="7">
        <f>IF($AA1139="","",R1139+U1139+P1139)</f>
        <v/>
      </c>
      <c r="Z1139" s="7">
        <f>IF($AA1139="","",Y1139-W1139-L1139)</f>
        <v/>
      </c>
      <c r="AA1139" s="13">
        <f>IF(ROWS($AA$2:$AA1139)&lt;=MAX('Per Line'!$AO$2:$AO$4001),MATCH(ROWS($AA$2:$AA1139),'Per Line'!$AO$2:$AO$4001,0),"")</f>
        <v/>
      </c>
      <c r="AB1139" s="14">
        <f>IF($AA1139="","",L1139-K1139*Y1139/100)</f>
        <v/>
      </c>
    </row>
    <row r="1140">
      <c r="A1140" s="12" t="n"/>
      <c r="B1140">
        <f>IF($AA1140="","",INDEX('Per Line'!$E$2:$E$4001,$AA1140)&amp;"")</f>
        <v/>
      </c>
      <c r="C1140">
        <f>IF($AA1140="","",INDEX('Per Line'!$A$2:$A$4001,$AA1140)&amp;"")</f>
        <v/>
      </c>
      <c r="D1140">
        <f>IF($AA1140="","",INDEX('Per Line'!$D$2:$D$4001,$AA1140)&amp;"")</f>
        <v/>
      </c>
      <c r="E1140" s="11">
        <f>IF($AA1140="","",INDEX('Per Line'!$G$2:$G$4001,$AA1140))</f>
        <v/>
      </c>
      <c r="F1140">
        <f>IF($AA1140="","",INDEX('Per Line'!$H$2:$H$4001,$AA1140)&amp;"")</f>
        <v/>
      </c>
      <c r="G1140">
        <f>IF($AA1140="","",INDEX('Per Line'!$I$2:$I$4001,$AA1140)&amp;"")</f>
        <v/>
      </c>
      <c r="H1140">
        <f>IF($AA1140="","",INDEX('Per Line'!$J$2:$J$4001,$AA1140)&amp;"")</f>
        <v/>
      </c>
      <c r="I1140">
        <f>IF($AA1140="","",INDEX('Per Line'!$K$2:$K$4001,$AA1140)&amp;"")</f>
        <v/>
      </c>
      <c r="J1140">
        <f>IF($AA1140="","",INDEX('Per Line'!$L$2:$L$4001,$AA1140)&amp;"")</f>
        <v/>
      </c>
      <c r="K1140">
        <f>IF($AA1140="","",INDEX('Per Line'!$P$2:$P$4001,$AA1140))</f>
        <v/>
      </c>
      <c r="L1140" s="7">
        <f>IF($AA1140="","",IF(AND(ISNUMBER(N1140),N1140&gt;0,Y1140&gt;N1140),K1140*N1140/100+(Y1140-N1140),K1140*Y1140/100))</f>
        <v/>
      </c>
      <c r="M1140">
        <f>IF($AA1140="","",INDEX('Per Line'!$Z$2:$Z$4001,$AA1140)&amp;"")</f>
        <v/>
      </c>
      <c r="N1140">
        <f>IF($AA1140="","",INDEX('Per Line'!$AG$2:$AG$4001,$AA1140))</f>
        <v/>
      </c>
      <c r="O1140">
        <f>IF($AA1140="","",IF(AND(ISNUMBER(N1140),N1140&gt;0),Y1140&gt;N1140,FALSE))</f>
        <v/>
      </c>
      <c r="P1140" s="7">
        <f>IF($AA1140="","",SUMIFS('Per Line'!$Y$2:$Y$4001,'Per Line'!$E$2:$E$4001,$B1140,'Per Line'!$AQ$2:$AQ$4001,1))</f>
        <v/>
      </c>
      <c r="Q1140">
        <f>IF($AA1140="","",Settings!$C$7)</f>
        <v/>
      </c>
      <c r="R1140" s="7">
        <f>IF($AA1140="","",SUMIFS('Per Line'!$Y$2:$Y$4001,'Per Line'!$E$2:$E$4001,$B1140,'Per Line'!$AP$2:$AP$4001,0,'Per Line'!$AQ$2:$AQ$4001,0))</f>
        <v/>
      </c>
      <c r="S1140" s="7">
        <f>IF($AA1140="","",R1140*Q1140)</f>
        <v/>
      </c>
      <c r="T1140">
        <f>IF($AA1140="","",Settings!$C$6)</f>
        <v/>
      </c>
      <c r="U1140" s="7">
        <f>IF($AA1140="","",SUMIFS('Per Line'!$Y$2:$Y$4001,'Per Line'!$E$2:$E$4001,$B1140,'Per Line'!$AP$2:$AP$4001,1,'Per Line'!$AQ$2:$AQ$4001,0))</f>
        <v/>
      </c>
      <c r="V1140" s="7">
        <f>IF($AA1140="","",U1140*T1140)</f>
        <v/>
      </c>
      <c r="W1140" s="7">
        <f>IF($AA1140="","",V1140+S1140)</f>
        <v/>
      </c>
      <c r="X1140" s="7">
        <f>IF($AA1140="","",Y1140-W1140)</f>
        <v/>
      </c>
      <c r="Y1140" s="7">
        <f>IF($AA1140="","",R1140+U1140+P1140)</f>
        <v/>
      </c>
      <c r="Z1140" s="7">
        <f>IF($AA1140="","",Y1140-W1140-L1140)</f>
        <v/>
      </c>
      <c r="AA1140" s="13">
        <f>IF(ROWS($AA$2:$AA1140)&lt;=MAX('Per Line'!$AO$2:$AO$4001),MATCH(ROWS($AA$2:$AA1140),'Per Line'!$AO$2:$AO$4001,0),"")</f>
        <v/>
      </c>
      <c r="AB1140" s="14">
        <f>IF($AA1140="","",L1140-K1140*Y1140/100)</f>
        <v/>
      </c>
    </row>
    <row r="1141">
      <c r="A1141" s="12" t="n"/>
      <c r="B1141">
        <f>IF($AA1141="","",INDEX('Per Line'!$E$2:$E$4001,$AA1141)&amp;"")</f>
        <v/>
      </c>
      <c r="C1141">
        <f>IF($AA1141="","",INDEX('Per Line'!$A$2:$A$4001,$AA1141)&amp;"")</f>
        <v/>
      </c>
      <c r="D1141">
        <f>IF($AA1141="","",INDEX('Per Line'!$D$2:$D$4001,$AA1141)&amp;"")</f>
        <v/>
      </c>
      <c r="E1141" s="11">
        <f>IF($AA1141="","",INDEX('Per Line'!$G$2:$G$4001,$AA1141))</f>
        <v/>
      </c>
      <c r="F1141">
        <f>IF($AA1141="","",INDEX('Per Line'!$H$2:$H$4001,$AA1141)&amp;"")</f>
        <v/>
      </c>
      <c r="G1141">
        <f>IF($AA1141="","",INDEX('Per Line'!$I$2:$I$4001,$AA1141)&amp;"")</f>
        <v/>
      </c>
      <c r="H1141">
        <f>IF($AA1141="","",INDEX('Per Line'!$J$2:$J$4001,$AA1141)&amp;"")</f>
        <v/>
      </c>
      <c r="I1141">
        <f>IF($AA1141="","",INDEX('Per Line'!$K$2:$K$4001,$AA1141)&amp;"")</f>
        <v/>
      </c>
      <c r="J1141">
        <f>IF($AA1141="","",INDEX('Per Line'!$L$2:$L$4001,$AA1141)&amp;"")</f>
        <v/>
      </c>
      <c r="K1141">
        <f>IF($AA1141="","",INDEX('Per Line'!$P$2:$P$4001,$AA1141))</f>
        <v/>
      </c>
      <c r="L1141" s="7">
        <f>IF($AA1141="","",IF(AND(ISNUMBER(N1141),N1141&gt;0,Y1141&gt;N1141),K1141*N1141/100+(Y1141-N1141),K1141*Y1141/100))</f>
        <v/>
      </c>
      <c r="M1141">
        <f>IF($AA1141="","",INDEX('Per Line'!$Z$2:$Z$4001,$AA1141)&amp;"")</f>
        <v/>
      </c>
      <c r="N1141">
        <f>IF($AA1141="","",INDEX('Per Line'!$AG$2:$AG$4001,$AA1141))</f>
        <v/>
      </c>
      <c r="O1141">
        <f>IF($AA1141="","",IF(AND(ISNUMBER(N1141),N1141&gt;0),Y1141&gt;N1141,FALSE))</f>
        <v/>
      </c>
      <c r="P1141" s="7">
        <f>IF($AA1141="","",SUMIFS('Per Line'!$Y$2:$Y$4001,'Per Line'!$E$2:$E$4001,$B1141,'Per Line'!$AQ$2:$AQ$4001,1))</f>
        <v/>
      </c>
      <c r="Q1141">
        <f>IF($AA1141="","",Settings!$C$7)</f>
        <v/>
      </c>
      <c r="R1141" s="7">
        <f>IF($AA1141="","",SUMIFS('Per Line'!$Y$2:$Y$4001,'Per Line'!$E$2:$E$4001,$B1141,'Per Line'!$AP$2:$AP$4001,0,'Per Line'!$AQ$2:$AQ$4001,0))</f>
        <v/>
      </c>
      <c r="S1141" s="7">
        <f>IF($AA1141="","",R1141*Q1141)</f>
        <v/>
      </c>
      <c r="T1141">
        <f>IF($AA1141="","",Settings!$C$6)</f>
        <v/>
      </c>
      <c r="U1141" s="7">
        <f>IF($AA1141="","",SUMIFS('Per Line'!$Y$2:$Y$4001,'Per Line'!$E$2:$E$4001,$B1141,'Per Line'!$AP$2:$AP$4001,1,'Per Line'!$AQ$2:$AQ$4001,0))</f>
        <v/>
      </c>
      <c r="V1141" s="7">
        <f>IF($AA1141="","",U1141*T1141)</f>
        <v/>
      </c>
      <c r="W1141" s="7">
        <f>IF($AA1141="","",V1141+S1141)</f>
        <v/>
      </c>
      <c r="X1141" s="7">
        <f>IF($AA1141="","",Y1141-W1141)</f>
        <v/>
      </c>
      <c r="Y1141" s="7">
        <f>IF($AA1141="","",R1141+U1141+P1141)</f>
        <v/>
      </c>
      <c r="Z1141" s="7">
        <f>IF($AA1141="","",Y1141-W1141-L1141)</f>
        <v/>
      </c>
      <c r="AA1141" s="13">
        <f>IF(ROWS($AA$2:$AA1141)&lt;=MAX('Per Line'!$AO$2:$AO$4001),MATCH(ROWS($AA$2:$AA1141),'Per Line'!$AO$2:$AO$4001,0),"")</f>
        <v/>
      </c>
      <c r="AB1141" s="14">
        <f>IF($AA1141="","",L1141-K1141*Y1141/100)</f>
        <v/>
      </c>
    </row>
    <row r="1142">
      <c r="A1142" s="12" t="n"/>
      <c r="B1142">
        <f>IF($AA1142="","",INDEX('Per Line'!$E$2:$E$4001,$AA1142)&amp;"")</f>
        <v/>
      </c>
      <c r="C1142">
        <f>IF($AA1142="","",INDEX('Per Line'!$A$2:$A$4001,$AA1142)&amp;"")</f>
        <v/>
      </c>
      <c r="D1142">
        <f>IF($AA1142="","",INDEX('Per Line'!$D$2:$D$4001,$AA1142)&amp;"")</f>
        <v/>
      </c>
      <c r="E1142" s="11">
        <f>IF($AA1142="","",INDEX('Per Line'!$G$2:$G$4001,$AA1142))</f>
        <v/>
      </c>
      <c r="F1142">
        <f>IF($AA1142="","",INDEX('Per Line'!$H$2:$H$4001,$AA1142)&amp;"")</f>
        <v/>
      </c>
      <c r="G1142">
        <f>IF($AA1142="","",INDEX('Per Line'!$I$2:$I$4001,$AA1142)&amp;"")</f>
        <v/>
      </c>
      <c r="H1142">
        <f>IF($AA1142="","",INDEX('Per Line'!$J$2:$J$4001,$AA1142)&amp;"")</f>
        <v/>
      </c>
      <c r="I1142">
        <f>IF($AA1142="","",INDEX('Per Line'!$K$2:$K$4001,$AA1142)&amp;"")</f>
        <v/>
      </c>
      <c r="J1142">
        <f>IF($AA1142="","",INDEX('Per Line'!$L$2:$L$4001,$AA1142)&amp;"")</f>
        <v/>
      </c>
      <c r="K1142">
        <f>IF($AA1142="","",INDEX('Per Line'!$P$2:$P$4001,$AA1142))</f>
        <v/>
      </c>
      <c r="L1142" s="7">
        <f>IF($AA1142="","",IF(AND(ISNUMBER(N1142),N1142&gt;0,Y1142&gt;N1142),K1142*N1142/100+(Y1142-N1142),K1142*Y1142/100))</f>
        <v/>
      </c>
      <c r="M1142">
        <f>IF($AA1142="","",INDEX('Per Line'!$Z$2:$Z$4001,$AA1142)&amp;"")</f>
        <v/>
      </c>
      <c r="N1142">
        <f>IF($AA1142="","",INDEX('Per Line'!$AG$2:$AG$4001,$AA1142))</f>
        <v/>
      </c>
      <c r="O1142">
        <f>IF($AA1142="","",IF(AND(ISNUMBER(N1142),N1142&gt;0),Y1142&gt;N1142,FALSE))</f>
        <v/>
      </c>
      <c r="P1142" s="7">
        <f>IF($AA1142="","",SUMIFS('Per Line'!$Y$2:$Y$4001,'Per Line'!$E$2:$E$4001,$B1142,'Per Line'!$AQ$2:$AQ$4001,1))</f>
        <v/>
      </c>
      <c r="Q1142">
        <f>IF($AA1142="","",Settings!$C$7)</f>
        <v/>
      </c>
      <c r="R1142" s="7">
        <f>IF($AA1142="","",SUMIFS('Per Line'!$Y$2:$Y$4001,'Per Line'!$E$2:$E$4001,$B1142,'Per Line'!$AP$2:$AP$4001,0,'Per Line'!$AQ$2:$AQ$4001,0))</f>
        <v/>
      </c>
      <c r="S1142" s="7">
        <f>IF($AA1142="","",R1142*Q1142)</f>
        <v/>
      </c>
      <c r="T1142">
        <f>IF($AA1142="","",Settings!$C$6)</f>
        <v/>
      </c>
      <c r="U1142" s="7">
        <f>IF($AA1142="","",SUMIFS('Per Line'!$Y$2:$Y$4001,'Per Line'!$E$2:$E$4001,$B1142,'Per Line'!$AP$2:$AP$4001,1,'Per Line'!$AQ$2:$AQ$4001,0))</f>
        <v/>
      </c>
      <c r="V1142" s="7">
        <f>IF($AA1142="","",U1142*T1142)</f>
        <v/>
      </c>
      <c r="W1142" s="7">
        <f>IF($AA1142="","",V1142+S1142)</f>
        <v/>
      </c>
      <c r="X1142" s="7">
        <f>IF($AA1142="","",Y1142-W1142)</f>
        <v/>
      </c>
      <c r="Y1142" s="7">
        <f>IF($AA1142="","",R1142+U1142+P1142)</f>
        <v/>
      </c>
      <c r="Z1142" s="7">
        <f>IF($AA1142="","",Y1142-W1142-L1142)</f>
        <v/>
      </c>
      <c r="AA1142" s="13">
        <f>IF(ROWS($AA$2:$AA1142)&lt;=MAX('Per Line'!$AO$2:$AO$4001),MATCH(ROWS($AA$2:$AA1142),'Per Line'!$AO$2:$AO$4001,0),"")</f>
        <v/>
      </c>
      <c r="AB1142" s="14">
        <f>IF($AA1142="","",L1142-K1142*Y1142/100)</f>
        <v/>
      </c>
    </row>
    <row r="1143">
      <c r="A1143" s="12" t="n"/>
      <c r="B1143">
        <f>IF($AA1143="","",INDEX('Per Line'!$E$2:$E$4001,$AA1143)&amp;"")</f>
        <v/>
      </c>
      <c r="C1143">
        <f>IF($AA1143="","",INDEX('Per Line'!$A$2:$A$4001,$AA1143)&amp;"")</f>
        <v/>
      </c>
      <c r="D1143">
        <f>IF($AA1143="","",INDEX('Per Line'!$D$2:$D$4001,$AA1143)&amp;"")</f>
        <v/>
      </c>
      <c r="E1143" s="11">
        <f>IF($AA1143="","",INDEX('Per Line'!$G$2:$G$4001,$AA1143))</f>
        <v/>
      </c>
      <c r="F1143">
        <f>IF($AA1143="","",INDEX('Per Line'!$H$2:$H$4001,$AA1143)&amp;"")</f>
        <v/>
      </c>
      <c r="G1143">
        <f>IF($AA1143="","",INDEX('Per Line'!$I$2:$I$4001,$AA1143)&amp;"")</f>
        <v/>
      </c>
      <c r="H1143">
        <f>IF($AA1143="","",INDEX('Per Line'!$J$2:$J$4001,$AA1143)&amp;"")</f>
        <v/>
      </c>
      <c r="I1143">
        <f>IF($AA1143="","",INDEX('Per Line'!$K$2:$K$4001,$AA1143)&amp;"")</f>
        <v/>
      </c>
      <c r="J1143">
        <f>IF($AA1143="","",INDEX('Per Line'!$L$2:$L$4001,$AA1143)&amp;"")</f>
        <v/>
      </c>
      <c r="K1143">
        <f>IF($AA1143="","",INDEX('Per Line'!$P$2:$P$4001,$AA1143))</f>
        <v/>
      </c>
      <c r="L1143" s="7">
        <f>IF($AA1143="","",IF(AND(ISNUMBER(N1143),N1143&gt;0,Y1143&gt;N1143),K1143*N1143/100+(Y1143-N1143),K1143*Y1143/100))</f>
        <v/>
      </c>
      <c r="M1143">
        <f>IF($AA1143="","",INDEX('Per Line'!$Z$2:$Z$4001,$AA1143)&amp;"")</f>
        <v/>
      </c>
      <c r="N1143">
        <f>IF($AA1143="","",INDEX('Per Line'!$AG$2:$AG$4001,$AA1143))</f>
        <v/>
      </c>
      <c r="O1143">
        <f>IF($AA1143="","",IF(AND(ISNUMBER(N1143),N1143&gt;0),Y1143&gt;N1143,FALSE))</f>
        <v/>
      </c>
      <c r="P1143" s="7">
        <f>IF($AA1143="","",SUMIFS('Per Line'!$Y$2:$Y$4001,'Per Line'!$E$2:$E$4001,$B1143,'Per Line'!$AQ$2:$AQ$4001,1))</f>
        <v/>
      </c>
      <c r="Q1143">
        <f>IF($AA1143="","",Settings!$C$7)</f>
        <v/>
      </c>
      <c r="R1143" s="7">
        <f>IF($AA1143="","",SUMIFS('Per Line'!$Y$2:$Y$4001,'Per Line'!$E$2:$E$4001,$B1143,'Per Line'!$AP$2:$AP$4001,0,'Per Line'!$AQ$2:$AQ$4001,0))</f>
        <v/>
      </c>
      <c r="S1143" s="7">
        <f>IF($AA1143="","",R1143*Q1143)</f>
        <v/>
      </c>
      <c r="T1143">
        <f>IF($AA1143="","",Settings!$C$6)</f>
        <v/>
      </c>
      <c r="U1143" s="7">
        <f>IF($AA1143="","",SUMIFS('Per Line'!$Y$2:$Y$4001,'Per Line'!$E$2:$E$4001,$B1143,'Per Line'!$AP$2:$AP$4001,1,'Per Line'!$AQ$2:$AQ$4001,0))</f>
        <v/>
      </c>
      <c r="V1143" s="7">
        <f>IF($AA1143="","",U1143*T1143)</f>
        <v/>
      </c>
      <c r="W1143" s="7">
        <f>IF($AA1143="","",V1143+S1143)</f>
        <v/>
      </c>
      <c r="X1143" s="7">
        <f>IF($AA1143="","",Y1143-W1143)</f>
        <v/>
      </c>
      <c r="Y1143" s="7">
        <f>IF($AA1143="","",R1143+U1143+P1143)</f>
        <v/>
      </c>
      <c r="Z1143" s="7">
        <f>IF($AA1143="","",Y1143-W1143-L1143)</f>
        <v/>
      </c>
      <c r="AA1143" s="13">
        <f>IF(ROWS($AA$2:$AA1143)&lt;=MAX('Per Line'!$AO$2:$AO$4001),MATCH(ROWS($AA$2:$AA1143),'Per Line'!$AO$2:$AO$4001,0),"")</f>
        <v/>
      </c>
      <c r="AB1143" s="14">
        <f>IF($AA1143="","",L1143-K1143*Y1143/100)</f>
        <v/>
      </c>
    </row>
    <row r="1144">
      <c r="A1144" s="12" t="n"/>
      <c r="B1144">
        <f>IF($AA1144="","",INDEX('Per Line'!$E$2:$E$4001,$AA1144)&amp;"")</f>
        <v/>
      </c>
      <c r="C1144">
        <f>IF($AA1144="","",INDEX('Per Line'!$A$2:$A$4001,$AA1144)&amp;"")</f>
        <v/>
      </c>
      <c r="D1144">
        <f>IF($AA1144="","",INDEX('Per Line'!$D$2:$D$4001,$AA1144)&amp;"")</f>
        <v/>
      </c>
      <c r="E1144" s="11">
        <f>IF($AA1144="","",INDEX('Per Line'!$G$2:$G$4001,$AA1144))</f>
        <v/>
      </c>
      <c r="F1144">
        <f>IF($AA1144="","",INDEX('Per Line'!$H$2:$H$4001,$AA1144)&amp;"")</f>
        <v/>
      </c>
      <c r="G1144">
        <f>IF($AA1144="","",INDEX('Per Line'!$I$2:$I$4001,$AA1144)&amp;"")</f>
        <v/>
      </c>
      <c r="H1144">
        <f>IF($AA1144="","",INDEX('Per Line'!$J$2:$J$4001,$AA1144)&amp;"")</f>
        <v/>
      </c>
      <c r="I1144">
        <f>IF($AA1144="","",INDEX('Per Line'!$K$2:$K$4001,$AA1144)&amp;"")</f>
        <v/>
      </c>
      <c r="J1144">
        <f>IF($AA1144="","",INDEX('Per Line'!$L$2:$L$4001,$AA1144)&amp;"")</f>
        <v/>
      </c>
      <c r="K1144">
        <f>IF($AA1144="","",INDEX('Per Line'!$P$2:$P$4001,$AA1144))</f>
        <v/>
      </c>
      <c r="L1144" s="7">
        <f>IF($AA1144="","",IF(AND(ISNUMBER(N1144),N1144&gt;0,Y1144&gt;N1144),K1144*N1144/100+(Y1144-N1144),K1144*Y1144/100))</f>
        <v/>
      </c>
      <c r="M1144">
        <f>IF($AA1144="","",INDEX('Per Line'!$Z$2:$Z$4001,$AA1144)&amp;"")</f>
        <v/>
      </c>
      <c r="N1144">
        <f>IF($AA1144="","",INDEX('Per Line'!$AG$2:$AG$4001,$AA1144))</f>
        <v/>
      </c>
      <c r="O1144">
        <f>IF($AA1144="","",IF(AND(ISNUMBER(N1144),N1144&gt;0),Y1144&gt;N1144,FALSE))</f>
        <v/>
      </c>
      <c r="P1144" s="7">
        <f>IF($AA1144="","",SUMIFS('Per Line'!$Y$2:$Y$4001,'Per Line'!$E$2:$E$4001,$B1144,'Per Line'!$AQ$2:$AQ$4001,1))</f>
        <v/>
      </c>
      <c r="Q1144">
        <f>IF($AA1144="","",Settings!$C$7)</f>
        <v/>
      </c>
      <c r="R1144" s="7">
        <f>IF($AA1144="","",SUMIFS('Per Line'!$Y$2:$Y$4001,'Per Line'!$E$2:$E$4001,$B1144,'Per Line'!$AP$2:$AP$4001,0,'Per Line'!$AQ$2:$AQ$4001,0))</f>
        <v/>
      </c>
      <c r="S1144" s="7">
        <f>IF($AA1144="","",R1144*Q1144)</f>
        <v/>
      </c>
      <c r="T1144">
        <f>IF($AA1144="","",Settings!$C$6)</f>
        <v/>
      </c>
      <c r="U1144" s="7">
        <f>IF($AA1144="","",SUMIFS('Per Line'!$Y$2:$Y$4001,'Per Line'!$E$2:$E$4001,$B1144,'Per Line'!$AP$2:$AP$4001,1,'Per Line'!$AQ$2:$AQ$4001,0))</f>
        <v/>
      </c>
      <c r="V1144" s="7">
        <f>IF($AA1144="","",U1144*T1144)</f>
        <v/>
      </c>
      <c r="W1144" s="7">
        <f>IF($AA1144="","",V1144+S1144)</f>
        <v/>
      </c>
      <c r="X1144" s="7">
        <f>IF($AA1144="","",Y1144-W1144)</f>
        <v/>
      </c>
      <c r="Y1144" s="7">
        <f>IF($AA1144="","",R1144+U1144+P1144)</f>
        <v/>
      </c>
      <c r="Z1144" s="7">
        <f>IF($AA1144="","",Y1144-W1144-L1144)</f>
        <v/>
      </c>
      <c r="AA1144" s="13">
        <f>IF(ROWS($AA$2:$AA1144)&lt;=MAX('Per Line'!$AO$2:$AO$4001),MATCH(ROWS($AA$2:$AA1144),'Per Line'!$AO$2:$AO$4001,0),"")</f>
        <v/>
      </c>
      <c r="AB1144" s="14">
        <f>IF($AA1144="","",L1144-K1144*Y1144/100)</f>
        <v/>
      </c>
    </row>
    <row r="1145">
      <c r="A1145" s="12" t="n"/>
      <c r="B1145">
        <f>IF($AA1145="","",INDEX('Per Line'!$E$2:$E$4001,$AA1145)&amp;"")</f>
        <v/>
      </c>
      <c r="C1145">
        <f>IF($AA1145="","",INDEX('Per Line'!$A$2:$A$4001,$AA1145)&amp;"")</f>
        <v/>
      </c>
      <c r="D1145">
        <f>IF($AA1145="","",INDEX('Per Line'!$D$2:$D$4001,$AA1145)&amp;"")</f>
        <v/>
      </c>
      <c r="E1145" s="11">
        <f>IF($AA1145="","",INDEX('Per Line'!$G$2:$G$4001,$AA1145))</f>
        <v/>
      </c>
      <c r="F1145">
        <f>IF($AA1145="","",INDEX('Per Line'!$H$2:$H$4001,$AA1145)&amp;"")</f>
        <v/>
      </c>
      <c r="G1145">
        <f>IF($AA1145="","",INDEX('Per Line'!$I$2:$I$4001,$AA1145)&amp;"")</f>
        <v/>
      </c>
      <c r="H1145">
        <f>IF($AA1145="","",INDEX('Per Line'!$J$2:$J$4001,$AA1145)&amp;"")</f>
        <v/>
      </c>
      <c r="I1145">
        <f>IF($AA1145="","",INDEX('Per Line'!$K$2:$K$4001,$AA1145)&amp;"")</f>
        <v/>
      </c>
      <c r="J1145">
        <f>IF($AA1145="","",INDEX('Per Line'!$L$2:$L$4001,$AA1145)&amp;"")</f>
        <v/>
      </c>
      <c r="K1145">
        <f>IF($AA1145="","",INDEX('Per Line'!$P$2:$P$4001,$AA1145))</f>
        <v/>
      </c>
      <c r="L1145" s="7">
        <f>IF($AA1145="","",IF(AND(ISNUMBER(N1145),N1145&gt;0,Y1145&gt;N1145),K1145*N1145/100+(Y1145-N1145),K1145*Y1145/100))</f>
        <v/>
      </c>
      <c r="M1145">
        <f>IF($AA1145="","",INDEX('Per Line'!$Z$2:$Z$4001,$AA1145)&amp;"")</f>
        <v/>
      </c>
      <c r="N1145">
        <f>IF($AA1145="","",INDEX('Per Line'!$AG$2:$AG$4001,$AA1145))</f>
        <v/>
      </c>
      <c r="O1145">
        <f>IF($AA1145="","",IF(AND(ISNUMBER(N1145),N1145&gt;0),Y1145&gt;N1145,FALSE))</f>
        <v/>
      </c>
      <c r="P1145" s="7">
        <f>IF($AA1145="","",SUMIFS('Per Line'!$Y$2:$Y$4001,'Per Line'!$E$2:$E$4001,$B1145,'Per Line'!$AQ$2:$AQ$4001,1))</f>
        <v/>
      </c>
      <c r="Q1145">
        <f>IF($AA1145="","",Settings!$C$7)</f>
        <v/>
      </c>
      <c r="R1145" s="7">
        <f>IF($AA1145="","",SUMIFS('Per Line'!$Y$2:$Y$4001,'Per Line'!$E$2:$E$4001,$B1145,'Per Line'!$AP$2:$AP$4001,0,'Per Line'!$AQ$2:$AQ$4001,0))</f>
        <v/>
      </c>
      <c r="S1145" s="7">
        <f>IF($AA1145="","",R1145*Q1145)</f>
        <v/>
      </c>
      <c r="T1145">
        <f>IF($AA1145="","",Settings!$C$6)</f>
        <v/>
      </c>
      <c r="U1145" s="7">
        <f>IF($AA1145="","",SUMIFS('Per Line'!$Y$2:$Y$4001,'Per Line'!$E$2:$E$4001,$B1145,'Per Line'!$AP$2:$AP$4001,1,'Per Line'!$AQ$2:$AQ$4001,0))</f>
        <v/>
      </c>
      <c r="V1145" s="7">
        <f>IF($AA1145="","",U1145*T1145)</f>
        <v/>
      </c>
      <c r="W1145" s="7">
        <f>IF($AA1145="","",V1145+S1145)</f>
        <v/>
      </c>
      <c r="X1145" s="7">
        <f>IF($AA1145="","",Y1145-W1145)</f>
        <v/>
      </c>
      <c r="Y1145" s="7">
        <f>IF($AA1145="","",R1145+U1145+P1145)</f>
        <v/>
      </c>
      <c r="Z1145" s="7">
        <f>IF($AA1145="","",Y1145-W1145-L1145)</f>
        <v/>
      </c>
      <c r="AA1145" s="13">
        <f>IF(ROWS($AA$2:$AA1145)&lt;=MAX('Per Line'!$AO$2:$AO$4001),MATCH(ROWS($AA$2:$AA1145),'Per Line'!$AO$2:$AO$4001,0),"")</f>
        <v/>
      </c>
      <c r="AB1145" s="14">
        <f>IF($AA1145="","",L1145-K1145*Y1145/100)</f>
        <v/>
      </c>
    </row>
    <row r="1146">
      <c r="A1146" s="12" t="n"/>
      <c r="B1146">
        <f>IF($AA1146="","",INDEX('Per Line'!$E$2:$E$4001,$AA1146)&amp;"")</f>
        <v/>
      </c>
      <c r="C1146">
        <f>IF($AA1146="","",INDEX('Per Line'!$A$2:$A$4001,$AA1146)&amp;"")</f>
        <v/>
      </c>
      <c r="D1146">
        <f>IF($AA1146="","",INDEX('Per Line'!$D$2:$D$4001,$AA1146)&amp;"")</f>
        <v/>
      </c>
      <c r="E1146" s="11">
        <f>IF($AA1146="","",INDEX('Per Line'!$G$2:$G$4001,$AA1146))</f>
        <v/>
      </c>
      <c r="F1146">
        <f>IF($AA1146="","",INDEX('Per Line'!$H$2:$H$4001,$AA1146)&amp;"")</f>
        <v/>
      </c>
      <c r="G1146">
        <f>IF($AA1146="","",INDEX('Per Line'!$I$2:$I$4001,$AA1146)&amp;"")</f>
        <v/>
      </c>
      <c r="H1146">
        <f>IF($AA1146="","",INDEX('Per Line'!$J$2:$J$4001,$AA1146)&amp;"")</f>
        <v/>
      </c>
      <c r="I1146">
        <f>IF($AA1146="","",INDEX('Per Line'!$K$2:$K$4001,$AA1146)&amp;"")</f>
        <v/>
      </c>
      <c r="J1146">
        <f>IF($AA1146="","",INDEX('Per Line'!$L$2:$L$4001,$AA1146)&amp;"")</f>
        <v/>
      </c>
      <c r="K1146">
        <f>IF($AA1146="","",INDEX('Per Line'!$P$2:$P$4001,$AA1146))</f>
        <v/>
      </c>
      <c r="L1146" s="7">
        <f>IF($AA1146="","",IF(AND(ISNUMBER(N1146),N1146&gt;0,Y1146&gt;N1146),K1146*N1146/100+(Y1146-N1146),K1146*Y1146/100))</f>
        <v/>
      </c>
      <c r="M1146">
        <f>IF($AA1146="","",INDEX('Per Line'!$Z$2:$Z$4001,$AA1146)&amp;"")</f>
        <v/>
      </c>
      <c r="N1146">
        <f>IF($AA1146="","",INDEX('Per Line'!$AG$2:$AG$4001,$AA1146))</f>
        <v/>
      </c>
      <c r="O1146">
        <f>IF($AA1146="","",IF(AND(ISNUMBER(N1146),N1146&gt;0),Y1146&gt;N1146,FALSE))</f>
        <v/>
      </c>
      <c r="P1146" s="7">
        <f>IF($AA1146="","",SUMIFS('Per Line'!$Y$2:$Y$4001,'Per Line'!$E$2:$E$4001,$B1146,'Per Line'!$AQ$2:$AQ$4001,1))</f>
        <v/>
      </c>
      <c r="Q1146">
        <f>IF($AA1146="","",Settings!$C$7)</f>
        <v/>
      </c>
      <c r="R1146" s="7">
        <f>IF($AA1146="","",SUMIFS('Per Line'!$Y$2:$Y$4001,'Per Line'!$E$2:$E$4001,$B1146,'Per Line'!$AP$2:$AP$4001,0,'Per Line'!$AQ$2:$AQ$4001,0))</f>
        <v/>
      </c>
      <c r="S1146" s="7">
        <f>IF($AA1146="","",R1146*Q1146)</f>
        <v/>
      </c>
      <c r="T1146">
        <f>IF($AA1146="","",Settings!$C$6)</f>
        <v/>
      </c>
      <c r="U1146" s="7">
        <f>IF($AA1146="","",SUMIFS('Per Line'!$Y$2:$Y$4001,'Per Line'!$E$2:$E$4001,$B1146,'Per Line'!$AP$2:$AP$4001,1,'Per Line'!$AQ$2:$AQ$4001,0))</f>
        <v/>
      </c>
      <c r="V1146" s="7">
        <f>IF($AA1146="","",U1146*T1146)</f>
        <v/>
      </c>
      <c r="W1146" s="7">
        <f>IF($AA1146="","",V1146+S1146)</f>
        <v/>
      </c>
      <c r="X1146" s="7">
        <f>IF($AA1146="","",Y1146-W1146)</f>
        <v/>
      </c>
      <c r="Y1146" s="7">
        <f>IF($AA1146="","",R1146+U1146+P1146)</f>
        <v/>
      </c>
      <c r="Z1146" s="7">
        <f>IF($AA1146="","",Y1146-W1146-L1146)</f>
        <v/>
      </c>
      <c r="AA1146" s="13">
        <f>IF(ROWS($AA$2:$AA1146)&lt;=MAX('Per Line'!$AO$2:$AO$4001),MATCH(ROWS($AA$2:$AA1146),'Per Line'!$AO$2:$AO$4001,0),"")</f>
        <v/>
      </c>
      <c r="AB1146" s="14">
        <f>IF($AA1146="","",L1146-K1146*Y1146/100)</f>
        <v/>
      </c>
    </row>
    <row r="1147">
      <c r="A1147" s="12" t="n"/>
      <c r="B1147">
        <f>IF($AA1147="","",INDEX('Per Line'!$E$2:$E$4001,$AA1147)&amp;"")</f>
        <v/>
      </c>
      <c r="C1147">
        <f>IF($AA1147="","",INDEX('Per Line'!$A$2:$A$4001,$AA1147)&amp;"")</f>
        <v/>
      </c>
      <c r="D1147">
        <f>IF($AA1147="","",INDEX('Per Line'!$D$2:$D$4001,$AA1147)&amp;"")</f>
        <v/>
      </c>
      <c r="E1147" s="11">
        <f>IF($AA1147="","",INDEX('Per Line'!$G$2:$G$4001,$AA1147))</f>
        <v/>
      </c>
      <c r="F1147">
        <f>IF($AA1147="","",INDEX('Per Line'!$H$2:$H$4001,$AA1147)&amp;"")</f>
        <v/>
      </c>
      <c r="G1147">
        <f>IF($AA1147="","",INDEX('Per Line'!$I$2:$I$4001,$AA1147)&amp;"")</f>
        <v/>
      </c>
      <c r="H1147">
        <f>IF($AA1147="","",INDEX('Per Line'!$J$2:$J$4001,$AA1147)&amp;"")</f>
        <v/>
      </c>
      <c r="I1147">
        <f>IF($AA1147="","",INDEX('Per Line'!$K$2:$K$4001,$AA1147)&amp;"")</f>
        <v/>
      </c>
      <c r="J1147">
        <f>IF($AA1147="","",INDEX('Per Line'!$L$2:$L$4001,$AA1147)&amp;"")</f>
        <v/>
      </c>
      <c r="K1147">
        <f>IF($AA1147="","",INDEX('Per Line'!$P$2:$P$4001,$AA1147))</f>
        <v/>
      </c>
      <c r="L1147" s="7">
        <f>IF($AA1147="","",IF(AND(ISNUMBER(N1147),N1147&gt;0,Y1147&gt;N1147),K1147*N1147/100+(Y1147-N1147),K1147*Y1147/100))</f>
        <v/>
      </c>
      <c r="M1147">
        <f>IF($AA1147="","",INDEX('Per Line'!$Z$2:$Z$4001,$AA1147)&amp;"")</f>
        <v/>
      </c>
      <c r="N1147">
        <f>IF($AA1147="","",INDEX('Per Line'!$AG$2:$AG$4001,$AA1147))</f>
        <v/>
      </c>
      <c r="O1147">
        <f>IF($AA1147="","",IF(AND(ISNUMBER(N1147),N1147&gt;0),Y1147&gt;N1147,FALSE))</f>
        <v/>
      </c>
      <c r="P1147" s="7">
        <f>IF($AA1147="","",SUMIFS('Per Line'!$Y$2:$Y$4001,'Per Line'!$E$2:$E$4001,$B1147,'Per Line'!$AQ$2:$AQ$4001,1))</f>
        <v/>
      </c>
      <c r="Q1147">
        <f>IF($AA1147="","",Settings!$C$7)</f>
        <v/>
      </c>
      <c r="R1147" s="7">
        <f>IF($AA1147="","",SUMIFS('Per Line'!$Y$2:$Y$4001,'Per Line'!$E$2:$E$4001,$B1147,'Per Line'!$AP$2:$AP$4001,0,'Per Line'!$AQ$2:$AQ$4001,0))</f>
        <v/>
      </c>
      <c r="S1147" s="7">
        <f>IF($AA1147="","",R1147*Q1147)</f>
        <v/>
      </c>
      <c r="T1147">
        <f>IF($AA1147="","",Settings!$C$6)</f>
        <v/>
      </c>
      <c r="U1147" s="7">
        <f>IF($AA1147="","",SUMIFS('Per Line'!$Y$2:$Y$4001,'Per Line'!$E$2:$E$4001,$B1147,'Per Line'!$AP$2:$AP$4001,1,'Per Line'!$AQ$2:$AQ$4001,0))</f>
        <v/>
      </c>
      <c r="V1147" s="7">
        <f>IF($AA1147="","",U1147*T1147)</f>
        <v/>
      </c>
      <c r="W1147" s="7">
        <f>IF($AA1147="","",V1147+S1147)</f>
        <v/>
      </c>
      <c r="X1147" s="7">
        <f>IF($AA1147="","",Y1147-W1147)</f>
        <v/>
      </c>
      <c r="Y1147" s="7">
        <f>IF($AA1147="","",R1147+U1147+P1147)</f>
        <v/>
      </c>
      <c r="Z1147" s="7">
        <f>IF($AA1147="","",Y1147-W1147-L1147)</f>
        <v/>
      </c>
      <c r="AA1147" s="13">
        <f>IF(ROWS($AA$2:$AA1147)&lt;=MAX('Per Line'!$AO$2:$AO$4001),MATCH(ROWS($AA$2:$AA1147),'Per Line'!$AO$2:$AO$4001,0),"")</f>
        <v/>
      </c>
      <c r="AB1147" s="14">
        <f>IF($AA1147="","",L1147-K1147*Y1147/100)</f>
        <v/>
      </c>
    </row>
    <row r="1148">
      <c r="A1148" s="12" t="n"/>
      <c r="B1148">
        <f>IF($AA1148="","",INDEX('Per Line'!$E$2:$E$4001,$AA1148)&amp;"")</f>
        <v/>
      </c>
      <c r="C1148">
        <f>IF($AA1148="","",INDEX('Per Line'!$A$2:$A$4001,$AA1148)&amp;"")</f>
        <v/>
      </c>
      <c r="D1148">
        <f>IF($AA1148="","",INDEX('Per Line'!$D$2:$D$4001,$AA1148)&amp;"")</f>
        <v/>
      </c>
      <c r="E1148" s="11">
        <f>IF($AA1148="","",INDEX('Per Line'!$G$2:$G$4001,$AA1148))</f>
        <v/>
      </c>
      <c r="F1148">
        <f>IF($AA1148="","",INDEX('Per Line'!$H$2:$H$4001,$AA1148)&amp;"")</f>
        <v/>
      </c>
      <c r="G1148">
        <f>IF($AA1148="","",INDEX('Per Line'!$I$2:$I$4001,$AA1148)&amp;"")</f>
        <v/>
      </c>
      <c r="H1148">
        <f>IF($AA1148="","",INDEX('Per Line'!$J$2:$J$4001,$AA1148)&amp;"")</f>
        <v/>
      </c>
      <c r="I1148">
        <f>IF($AA1148="","",INDEX('Per Line'!$K$2:$K$4001,$AA1148)&amp;"")</f>
        <v/>
      </c>
      <c r="J1148">
        <f>IF($AA1148="","",INDEX('Per Line'!$L$2:$L$4001,$AA1148)&amp;"")</f>
        <v/>
      </c>
      <c r="K1148">
        <f>IF($AA1148="","",INDEX('Per Line'!$P$2:$P$4001,$AA1148))</f>
        <v/>
      </c>
      <c r="L1148" s="7">
        <f>IF($AA1148="","",IF(AND(ISNUMBER(N1148),N1148&gt;0,Y1148&gt;N1148),K1148*N1148/100+(Y1148-N1148),K1148*Y1148/100))</f>
        <v/>
      </c>
      <c r="M1148">
        <f>IF($AA1148="","",INDEX('Per Line'!$Z$2:$Z$4001,$AA1148)&amp;"")</f>
        <v/>
      </c>
      <c r="N1148">
        <f>IF($AA1148="","",INDEX('Per Line'!$AG$2:$AG$4001,$AA1148))</f>
        <v/>
      </c>
      <c r="O1148">
        <f>IF($AA1148="","",IF(AND(ISNUMBER(N1148),N1148&gt;0),Y1148&gt;N1148,FALSE))</f>
        <v/>
      </c>
      <c r="P1148" s="7">
        <f>IF($AA1148="","",SUMIFS('Per Line'!$Y$2:$Y$4001,'Per Line'!$E$2:$E$4001,$B1148,'Per Line'!$AQ$2:$AQ$4001,1))</f>
        <v/>
      </c>
      <c r="Q1148">
        <f>IF($AA1148="","",Settings!$C$7)</f>
        <v/>
      </c>
      <c r="R1148" s="7">
        <f>IF($AA1148="","",SUMIFS('Per Line'!$Y$2:$Y$4001,'Per Line'!$E$2:$E$4001,$B1148,'Per Line'!$AP$2:$AP$4001,0,'Per Line'!$AQ$2:$AQ$4001,0))</f>
        <v/>
      </c>
      <c r="S1148" s="7">
        <f>IF($AA1148="","",R1148*Q1148)</f>
        <v/>
      </c>
      <c r="T1148">
        <f>IF($AA1148="","",Settings!$C$6)</f>
        <v/>
      </c>
      <c r="U1148" s="7">
        <f>IF($AA1148="","",SUMIFS('Per Line'!$Y$2:$Y$4001,'Per Line'!$E$2:$E$4001,$B1148,'Per Line'!$AP$2:$AP$4001,1,'Per Line'!$AQ$2:$AQ$4001,0))</f>
        <v/>
      </c>
      <c r="V1148" s="7">
        <f>IF($AA1148="","",U1148*T1148)</f>
        <v/>
      </c>
      <c r="W1148" s="7">
        <f>IF($AA1148="","",V1148+S1148)</f>
        <v/>
      </c>
      <c r="X1148" s="7">
        <f>IF($AA1148="","",Y1148-W1148)</f>
        <v/>
      </c>
      <c r="Y1148" s="7">
        <f>IF($AA1148="","",R1148+U1148+P1148)</f>
        <v/>
      </c>
      <c r="Z1148" s="7">
        <f>IF($AA1148="","",Y1148-W1148-L1148)</f>
        <v/>
      </c>
      <c r="AA1148" s="13">
        <f>IF(ROWS($AA$2:$AA1148)&lt;=MAX('Per Line'!$AO$2:$AO$4001),MATCH(ROWS($AA$2:$AA1148),'Per Line'!$AO$2:$AO$4001,0),"")</f>
        <v/>
      </c>
      <c r="AB1148" s="14">
        <f>IF($AA1148="","",L1148-K1148*Y1148/100)</f>
        <v/>
      </c>
    </row>
    <row r="1149">
      <c r="A1149" s="12" t="n"/>
      <c r="B1149">
        <f>IF($AA1149="","",INDEX('Per Line'!$E$2:$E$4001,$AA1149)&amp;"")</f>
        <v/>
      </c>
      <c r="C1149">
        <f>IF($AA1149="","",INDEX('Per Line'!$A$2:$A$4001,$AA1149)&amp;"")</f>
        <v/>
      </c>
      <c r="D1149">
        <f>IF($AA1149="","",INDEX('Per Line'!$D$2:$D$4001,$AA1149)&amp;"")</f>
        <v/>
      </c>
      <c r="E1149" s="11">
        <f>IF($AA1149="","",INDEX('Per Line'!$G$2:$G$4001,$AA1149))</f>
        <v/>
      </c>
      <c r="F1149">
        <f>IF($AA1149="","",INDEX('Per Line'!$H$2:$H$4001,$AA1149)&amp;"")</f>
        <v/>
      </c>
      <c r="G1149">
        <f>IF($AA1149="","",INDEX('Per Line'!$I$2:$I$4001,$AA1149)&amp;"")</f>
        <v/>
      </c>
      <c r="H1149">
        <f>IF($AA1149="","",INDEX('Per Line'!$J$2:$J$4001,$AA1149)&amp;"")</f>
        <v/>
      </c>
      <c r="I1149">
        <f>IF($AA1149="","",INDEX('Per Line'!$K$2:$K$4001,$AA1149)&amp;"")</f>
        <v/>
      </c>
      <c r="J1149">
        <f>IF($AA1149="","",INDEX('Per Line'!$L$2:$L$4001,$AA1149)&amp;"")</f>
        <v/>
      </c>
      <c r="K1149">
        <f>IF($AA1149="","",INDEX('Per Line'!$P$2:$P$4001,$AA1149))</f>
        <v/>
      </c>
      <c r="L1149" s="7">
        <f>IF($AA1149="","",IF(AND(ISNUMBER(N1149),N1149&gt;0,Y1149&gt;N1149),K1149*N1149/100+(Y1149-N1149),K1149*Y1149/100))</f>
        <v/>
      </c>
      <c r="M1149">
        <f>IF($AA1149="","",INDEX('Per Line'!$Z$2:$Z$4001,$AA1149)&amp;"")</f>
        <v/>
      </c>
      <c r="N1149">
        <f>IF($AA1149="","",INDEX('Per Line'!$AG$2:$AG$4001,$AA1149))</f>
        <v/>
      </c>
      <c r="O1149">
        <f>IF($AA1149="","",IF(AND(ISNUMBER(N1149),N1149&gt;0),Y1149&gt;N1149,FALSE))</f>
        <v/>
      </c>
      <c r="P1149" s="7">
        <f>IF($AA1149="","",SUMIFS('Per Line'!$Y$2:$Y$4001,'Per Line'!$E$2:$E$4001,$B1149,'Per Line'!$AQ$2:$AQ$4001,1))</f>
        <v/>
      </c>
      <c r="Q1149">
        <f>IF($AA1149="","",Settings!$C$7)</f>
        <v/>
      </c>
      <c r="R1149" s="7">
        <f>IF($AA1149="","",SUMIFS('Per Line'!$Y$2:$Y$4001,'Per Line'!$E$2:$E$4001,$B1149,'Per Line'!$AP$2:$AP$4001,0,'Per Line'!$AQ$2:$AQ$4001,0))</f>
        <v/>
      </c>
      <c r="S1149" s="7">
        <f>IF($AA1149="","",R1149*Q1149)</f>
        <v/>
      </c>
      <c r="T1149">
        <f>IF($AA1149="","",Settings!$C$6)</f>
        <v/>
      </c>
      <c r="U1149" s="7">
        <f>IF($AA1149="","",SUMIFS('Per Line'!$Y$2:$Y$4001,'Per Line'!$E$2:$E$4001,$B1149,'Per Line'!$AP$2:$AP$4001,1,'Per Line'!$AQ$2:$AQ$4001,0))</f>
        <v/>
      </c>
      <c r="V1149" s="7">
        <f>IF($AA1149="","",U1149*T1149)</f>
        <v/>
      </c>
      <c r="W1149" s="7">
        <f>IF($AA1149="","",V1149+S1149)</f>
        <v/>
      </c>
      <c r="X1149" s="7">
        <f>IF($AA1149="","",Y1149-W1149)</f>
        <v/>
      </c>
      <c r="Y1149" s="7">
        <f>IF($AA1149="","",R1149+U1149+P1149)</f>
        <v/>
      </c>
      <c r="Z1149" s="7">
        <f>IF($AA1149="","",Y1149-W1149-L1149)</f>
        <v/>
      </c>
      <c r="AA1149" s="13">
        <f>IF(ROWS($AA$2:$AA1149)&lt;=MAX('Per Line'!$AO$2:$AO$4001),MATCH(ROWS($AA$2:$AA1149),'Per Line'!$AO$2:$AO$4001,0),"")</f>
        <v/>
      </c>
      <c r="AB1149" s="14">
        <f>IF($AA1149="","",L1149-K1149*Y1149/100)</f>
        <v/>
      </c>
    </row>
    <row r="1150">
      <c r="A1150" s="12" t="n"/>
      <c r="B1150">
        <f>IF($AA1150="","",INDEX('Per Line'!$E$2:$E$4001,$AA1150)&amp;"")</f>
        <v/>
      </c>
      <c r="C1150">
        <f>IF($AA1150="","",INDEX('Per Line'!$A$2:$A$4001,$AA1150)&amp;"")</f>
        <v/>
      </c>
      <c r="D1150">
        <f>IF($AA1150="","",INDEX('Per Line'!$D$2:$D$4001,$AA1150)&amp;"")</f>
        <v/>
      </c>
      <c r="E1150" s="11">
        <f>IF($AA1150="","",INDEX('Per Line'!$G$2:$G$4001,$AA1150))</f>
        <v/>
      </c>
      <c r="F1150">
        <f>IF($AA1150="","",INDEX('Per Line'!$H$2:$H$4001,$AA1150)&amp;"")</f>
        <v/>
      </c>
      <c r="G1150">
        <f>IF($AA1150="","",INDEX('Per Line'!$I$2:$I$4001,$AA1150)&amp;"")</f>
        <v/>
      </c>
      <c r="H1150">
        <f>IF($AA1150="","",INDEX('Per Line'!$J$2:$J$4001,$AA1150)&amp;"")</f>
        <v/>
      </c>
      <c r="I1150">
        <f>IF($AA1150="","",INDEX('Per Line'!$K$2:$K$4001,$AA1150)&amp;"")</f>
        <v/>
      </c>
      <c r="J1150">
        <f>IF($AA1150="","",INDEX('Per Line'!$L$2:$L$4001,$AA1150)&amp;"")</f>
        <v/>
      </c>
      <c r="K1150">
        <f>IF($AA1150="","",INDEX('Per Line'!$P$2:$P$4001,$AA1150))</f>
        <v/>
      </c>
      <c r="L1150" s="7">
        <f>IF($AA1150="","",IF(AND(ISNUMBER(N1150),N1150&gt;0,Y1150&gt;N1150),K1150*N1150/100+(Y1150-N1150),K1150*Y1150/100))</f>
        <v/>
      </c>
      <c r="M1150">
        <f>IF($AA1150="","",INDEX('Per Line'!$Z$2:$Z$4001,$AA1150)&amp;"")</f>
        <v/>
      </c>
      <c r="N1150">
        <f>IF($AA1150="","",INDEX('Per Line'!$AG$2:$AG$4001,$AA1150))</f>
        <v/>
      </c>
      <c r="O1150">
        <f>IF($AA1150="","",IF(AND(ISNUMBER(N1150),N1150&gt;0),Y1150&gt;N1150,FALSE))</f>
        <v/>
      </c>
      <c r="P1150" s="7">
        <f>IF($AA1150="","",SUMIFS('Per Line'!$Y$2:$Y$4001,'Per Line'!$E$2:$E$4001,$B1150,'Per Line'!$AQ$2:$AQ$4001,1))</f>
        <v/>
      </c>
      <c r="Q1150">
        <f>IF($AA1150="","",Settings!$C$7)</f>
        <v/>
      </c>
      <c r="R1150" s="7">
        <f>IF($AA1150="","",SUMIFS('Per Line'!$Y$2:$Y$4001,'Per Line'!$E$2:$E$4001,$B1150,'Per Line'!$AP$2:$AP$4001,0,'Per Line'!$AQ$2:$AQ$4001,0))</f>
        <v/>
      </c>
      <c r="S1150" s="7">
        <f>IF($AA1150="","",R1150*Q1150)</f>
        <v/>
      </c>
      <c r="T1150">
        <f>IF($AA1150="","",Settings!$C$6)</f>
        <v/>
      </c>
      <c r="U1150" s="7">
        <f>IF($AA1150="","",SUMIFS('Per Line'!$Y$2:$Y$4001,'Per Line'!$E$2:$E$4001,$B1150,'Per Line'!$AP$2:$AP$4001,1,'Per Line'!$AQ$2:$AQ$4001,0))</f>
        <v/>
      </c>
      <c r="V1150" s="7">
        <f>IF($AA1150="","",U1150*T1150)</f>
        <v/>
      </c>
      <c r="W1150" s="7">
        <f>IF($AA1150="","",V1150+S1150)</f>
        <v/>
      </c>
      <c r="X1150" s="7">
        <f>IF($AA1150="","",Y1150-W1150)</f>
        <v/>
      </c>
      <c r="Y1150" s="7">
        <f>IF($AA1150="","",R1150+U1150+P1150)</f>
        <v/>
      </c>
      <c r="Z1150" s="7">
        <f>IF($AA1150="","",Y1150-W1150-L1150)</f>
        <v/>
      </c>
      <c r="AA1150" s="13">
        <f>IF(ROWS($AA$2:$AA1150)&lt;=MAX('Per Line'!$AO$2:$AO$4001),MATCH(ROWS($AA$2:$AA1150),'Per Line'!$AO$2:$AO$4001,0),"")</f>
        <v/>
      </c>
      <c r="AB1150" s="14">
        <f>IF($AA1150="","",L1150-K1150*Y1150/100)</f>
        <v/>
      </c>
    </row>
    <row r="1151">
      <c r="A1151" s="12" t="n"/>
      <c r="B1151">
        <f>IF($AA1151="","",INDEX('Per Line'!$E$2:$E$4001,$AA1151)&amp;"")</f>
        <v/>
      </c>
      <c r="C1151">
        <f>IF($AA1151="","",INDEX('Per Line'!$A$2:$A$4001,$AA1151)&amp;"")</f>
        <v/>
      </c>
      <c r="D1151">
        <f>IF($AA1151="","",INDEX('Per Line'!$D$2:$D$4001,$AA1151)&amp;"")</f>
        <v/>
      </c>
      <c r="E1151" s="11">
        <f>IF($AA1151="","",INDEX('Per Line'!$G$2:$G$4001,$AA1151))</f>
        <v/>
      </c>
      <c r="F1151">
        <f>IF($AA1151="","",INDEX('Per Line'!$H$2:$H$4001,$AA1151)&amp;"")</f>
        <v/>
      </c>
      <c r="G1151">
        <f>IF($AA1151="","",INDEX('Per Line'!$I$2:$I$4001,$AA1151)&amp;"")</f>
        <v/>
      </c>
      <c r="H1151">
        <f>IF($AA1151="","",INDEX('Per Line'!$J$2:$J$4001,$AA1151)&amp;"")</f>
        <v/>
      </c>
      <c r="I1151">
        <f>IF($AA1151="","",INDEX('Per Line'!$K$2:$K$4001,$AA1151)&amp;"")</f>
        <v/>
      </c>
      <c r="J1151">
        <f>IF($AA1151="","",INDEX('Per Line'!$L$2:$L$4001,$AA1151)&amp;"")</f>
        <v/>
      </c>
      <c r="K1151">
        <f>IF($AA1151="","",INDEX('Per Line'!$P$2:$P$4001,$AA1151))</f>
        <v/>
      </c>
      <c r="L1151" s="7">
        <f>IF($AA1151="","",IF(AND(ISNUMBER(N1151),N1151&gt;0,Y1151&gt;N1151),K1151*N1151/100+(Y1151-N1151),K1151*Y1151/100))</f>
        <v/>
      </c>
      <c r="M1151">
        <f>IF($AA1151="","",INDEX('Per Line'!$Z$2:$Z$4001,$AA1151)&amp;"")</f>
        <v/>
      </c>
      <c r="N1151">
        <f>IF($AA1151="","",INDEX('Per Line'!$AG$2:$AG$4001,$AA1151))</f>
        <v/>
      </c>
      <c r="O1151">
        <f>IF($AA1151="","",IF(AND(ISNUMBER(N1151),N1151&gt;0),Y1151&gt;N1151,FALSE))</f>
        <v/>
      </c>
      <c r="P1151" s="7">
        <f>IF($AA1151="","",SUMIFS('Per Line'!$Y$2:$Y$4001,'Per Line'!$E$2:$E$4001,$B1151,'Per Line'!$AQ$2:$AQ$4001,1))</f>
        <v/>
      </c>
      <c r="Q1151">
        <f>IF($AA1151="","",Settings!$C$7)</f>
        <v/>
      </c>
      <c r="R1151" s="7">
        <f>IF($AA1151="","",SUMIFS('Per Line'!$Y$2:$Y$4001,'Per Line'!$E$2:$E$4001,$B1151,'Per Line'!$AP$2:$AP$4001,0,'Per Line'!$AQ$2:$AQ$4001,0))</f>
        <v/>
      </c>
      <c r="S1151" s="7">
        <f>IF($AA1151="","",R1151*Q1151)</f>
        <v/>
      </c>
      <c r="T1151">
        <f>IF($AA1151="","",Settings!$C$6)</f>
        <v/>
      </c>
      <c r="U1151" s="7">
        <f>IF($AA1151="","",SUMIFS('Per Line'!$Y$2:$Y$4001,'Per Line'!$E$2:$E$4001,$B1151,'Per Line'!$AP$2:$AP$4001,1,'Per Line'!$AQ$2:$AQ$4001,0))</f>
        <v/>
      </c>
      <c r="V1151" s="7">
        <f>IF($AA1151="","",U1151*T1151)</f>
        <v/>
      </c>
      <c r="W1151" s="7">
        <f>IF($AA1151="","",V1151+S1151)</f>
        <v/>
      </c>
      <c r="X1151" s="7">
        <f>IF($AA1151="","",Y1151-W1151)</f>
        <v/>
      </c>
      <c r="Y1151" s="7">
        <f>IF($AA1151="","",R1151+U1151+P1151)</f>
        <v/>
      </c>
      <c r="Z1151" s="7">
        <f>IF($AA1151="","",Y1151-W1151-L1151)</f>
        <v/>
      </c>
      <c r="AA1151" s="13">
        <f>IF(ROWS($AA$2:$AA1151)&lt;=MAX('Per Line'!$AO$2:$AO$4001),MATCH(ROWS($AA$2:$AA1151),'Per Line'!$AO$2:$AO$4001,0),"")</f>
        <v/>
      </c>
      <c r="AB1151" s="14">
        <f>IF($AA1151="","",L1151-K1151*Y1151/100)</f>
        <v/>
      </c>
    </row>
    <row r="1152">
      <c r="A1152" s="12" t="n"/>
      <c r="B1152">
        <f>IF($AA1152="","",INDEX('Per Line'!$E$2:$E$4001,$AA1152)&amp;"")</f>
        <v/>
      </c>
      <c r="C1152">
        <f>IF($AA1152="","",INDEX('Per Line'!$A$2:$A$4001,$AA1152)&amp;"")</f>
        <v/>
      </c>
      <c r="D1152">
        <f>IF($AA1152="","",INDEX('Per Line'!$D$2:$D$4001,$AA1152)&amp;"")</f>
        <v/>
      </c>
      <c r="E1152" s="11">
        <f>IF($AA1152="","",INDEX('Per Line'!$G$2:$G$4001,$AA1152))</f>
        <v/>
      </c>
      <c r="F1152">
        <f>IF($AA1152="","",INDEX('Per Line'!$H$2:$H$4001,$AA1152)&amp;"")</f>
        <v/>
      </c>
      <c r="G1152">
        <f>IF($AA1152="","",INDEX('Per Line'!$I$2:$I$4001,$AA1152)&amp;"")</f>
        <v/>
      </c>
      <c r="H1152">
        <f>IF($AA1152="","",INDEX('Per Line'!$J$2:$J$4001,$AA1152)&amp;"")</f>
        <v/>
      </c>
      <c r="I1152">
        <f>IF($AA1152="","",INDEX('Per Line'!$K$2:$K$4001,$AA1152)&amp;"")</f>
        <v/>
      </c>
      <c r="J1152">
        <f>IF($AA1152="","",INDEX('Per Line'!$L$2:$L$4001,$AA1152)&amp;"")</f>
        <v/>
      </c>
      <c r="K1152">
        <f>IF($AA1152="","",INDEX('Per Line'!$P$2:$P$4001,$AA1152))</f>
        <v/>
      </c>
      <c r="L1152" s="7">
        <f>IF($AA1152="","",IF(AND(ISNUMBER(N1152),N1152&gt;0,Y1152&gt;N1152),K1152*N1152/100+(Y1152-N1152),K1152*Y1152/100))</f>
        <v/>
      </c>
      <c r="M1152">
        <f>IF($AA1152="","",INDEX('Per Line'!$Z$2:$Z$4001,$AA1152)&amp;"")</f>
        <v/>
      </c>
      <c r="N1152">
        <f>IF($AA1152="","",INDEX('Per Line'!$AG$2:$AG$4001,$AA1152))</f>
        <v/>
      </c>
      <c r="O1152">
        <f>IF($AA1152="","",IF(AND(ISNUMBER(N1152),N1152&gt;0),Y1152&gt;N1152,FALSE))</f>
        <v/>
      </c>
      <c r="P1152" s="7">
        <f>IF($AA1152="","",SUMIFS('Per Line'!$Y$2:$Y$4001,'Per Line'!$E$2:$E$4001,$B1152,'Per Line'!$AQ$2:$AQ$4001,1))</f>
        <v/>
      </c>
      <c r="Q1152">
        <f>IF($AA1152="","",Settings!$C$7)</f>
        <v/>
      </c>
      <c r="R1152" s="7">
        <f>IF($AA1152="","",SUMIFS('Per Line'!$Y$2:$Y$4001,'Per Line'!$E$2:$E$4001,$B1152,'Per Line'!$AP$2:$AP$4001,0,'Per Line'!$AQ$2:$AQ$4001,0))</f>
        <v/>
      </c>
      <c r="S1152" s="7">
        <f>IF($AA1152="","",R1152*Q1152)</f>
        <v/>
      </c>
      <c r="T1152">
        <f>IF($AA1152="","",Settings!$C$6)</f>
        <v/>
      </c>
      <c r="U1152" s="7">
        <f>IF($AA1152="","",SUMIFS('Per Line'!$Y$2:$Y$4001,'Per Line'!$E$2:$E$4001,$B1152,'Per Line'!$AP$2:$AP$4001,1,'Per Line'!$AQ$2:$AQ$4001,0))</f>
        <v/>
      </c>
      <c r="V1152" s="7">
        <f>IF($AA1152="","",U1152*T1152)</f>
        <v/>
      </c>
      <c r="W1152" s="7">
        <f>IF($AA1152="","",V1152+S1152)</f>
        <v/>
      </c>
      <c r="X1152" s="7">
        <f>IF($AA1152="","",Y1152-W1152)</f>
        <v/>
      </c>
      <c r="Y1152" s="7">
        <f>IF($AA1152="","",R1152+U1152+P1152)</f>
        <v/>
      </c>
      <c r="Z1152" s="7">
        <f>IF($AA1152="","",Y1152-W1152-L1152)</f>
        <v/>
      </c>
      <c r="AA1152" s="13">
        <f>IF(ROWS($AA$2:$AA1152)&lt;=MAX('Per Line'!$AO$2:$AO$4001),MATCH(ROWS($AA$2:$AA1152),'Per Line'!$AO$2:$AO$4001,0),"")</f>
        <v/>
      </c>
      <c r="AB1152" s="14">
        <f>IF($AA1152="","",L1152-K1152*Y1152/100)</f>
        <v/>
      </c>
    </row>
    <row r="1153">
      <c r="A1153" s="12" t="n"/>
      <c r="B1153">
        <f>IF($AA1153="","",INDEX('Per Line'!$E$2:$E$4001,$AA1153)&amp;"")</f>
        <v/>
      </c>
      <c r="C1153">
        <f>IF($AA1153="","",INDEX('Per Line'!$A$2:$A$4001,$AA1153)&amp;"")</f>
        <v/>
      </c>
      <c r="D1153">
        <f>IF($AA1153="","",INDEX('Per Line'!$D$2:$D$4001,$AA1153)&amp;"")</f>
        <v/>
      </c>
      <c r="E1153" s="11">
        <f>IF($AA1153="","",INDEX('Per Line'!$G$2:$G$4001,$AA1153))</f>
        <v/>
      </c>
      <c r="F1153">
        <f>IF($AA1153="","",INDEX('Per Line'!$H$2:$H$4001,$AA1153)&amp;"")</f>
        <v/>
      </c>
      <c r="G1153">
        <f>IF($AA1153="","",INDEX('Per Line'!$I$2:$I$4001,$AA1153)&amp;"")</f>
        <v/>
      </c>
      <c r="H1153">
        <f>IF($AA1153="","",INDEX('Per Line'!$J$2:$J$4001,$AA1153)&amp;"")</f>
        <v/>
      </c>
      <c r="I1153">
        <f>IF($AA1153="","",INDEX('Per Line'!$K$2:$K$4001,$AA1153)&amp;"")</f>
        <v/>
      </c>
      <c r="J1153">
        <f>IF($AA1153="","",INDEX('Per Line'!$L$2:$L$4001,$AA1153)&amp;"")</f>
        <v/>
      </c>
      <c r="K1153">
        <f>IF($AA1153="","",INDEX('Per Line'!$P$2:$P$4001,$AA1153))</f>
        <v/>
      </c>
      <c r="L1153" s="7">
        <f>IF($AA1153="","",IF(AND(ISNUMBER(N1153),N1153&gt;0,Y1153&gt;N1153),K1153*N1153/100+(Y1153-N1153),K1153*Y1153/100))</f>
        <v/>
      </c>
      <c r="M1153">
        <f>IF($AA1153="","",INDEX('Per Line'!$Z$2:$Z$4001,$AA1153)&amp;"")</f>
        <v/>
      </c>
      <c r="N1153">
        <f>IF($AA1153="","",INDEX('Per Line'!$AG$2:$AG$4001,$AA1153))</f>
        <v/>
      </c>
      <c r="O1153">
        <f>IF($AA1153="","",IF(AND(ISNUMBER(N1153),N1153&gt;0),Y1153&gt;N1153,FALSE))</f>
        <v/>
      </c>
      <c r="P1153" s="7">
        <f>IF($AA1153="","",SUMIFS('Per Line'!$Y$2:$Y$4001,'Per Line'!$E$2:$E$4001,$B1153,'Per Line'!$AQ$2:$AQ$4001,1))</f>
        <v/>
      </c>
      <c r="Q1153">
        <f>IF($AA1153="","",Settings!$C$7)</f>
        <v/>
      </c>
      <c r="R1153" s="7">
        <f>IF($AA1153="","",SUMIFS('Per Line'!$Y$2:$Y$4001,'Per Line'!$E$2:$E$4001,$B1153,'Per Line'!$AP$2:$AP$4001,0,'Per Line'!$AQ$2:$AQ$4001,0))</f>
        <v/>
      </c>
      <c r="S1153" s="7">
        <f>IF($AA1153="","",R1153*Q1153)</f>
        <v/>
      </c>
      <c r="T1153">
        <f>IF($AA1153="","",Settings!$C$6)</f>
        <v/>
      </c>
      <c r="U1153" s="7">
        <f>IF($AA1153="","",SUMIFS('Per Line'!$Y$2:$Y$4001,'Per Line'!$E$2:$E$4001,$B1153,'Per Line'!$AP$2:$AP$4001,1,'Per Line'!$AQ$2:$AQ$4001,0))</f>
        <v/>
      </c>
      <c r="V1153" s="7">
        <f>IF($AA1153="","",U1153*T1153)</f>
        <v/>
      </c>
      <c r="W1153" s="7">
        <f>IF($AA1153="","",V1153+S1153)</f>
        <v/>
      </c>
      <c r="X1153" s="7">
        <f>IF($AA1153="","",Y1153-W1153)</f>
        <v/>
      </c>
      <c r="Y1153" s="7">
        <f>IF($AA1153="","",R1153+U1153+P1153)</f>
        <v/>
      </c>
      <c r="Z1153" s="7">
        <f>IF($AA1153="","",Y1153-W1153-L1153)</f>
        <v/>
      </c>
      <c r="AA1153" s="13">
        <f>IF(ROWS($AA$2:$AA1153)&lt;=MAX('Per Line'!$AO$2:$AO$4001),MATCH(ROWS($AA$2:$AA1153),'Per Line'!$AO$2:$AO$4001,0),"")</f>
        <v/>
      </c>
      <c r="AB1153" s="14">
        <f>IF($AA1153="","",L1153-K1153*Y1153/100)</f>
        <v/>
      </c>
    </row>
    <row r="1154">
      <c r="A1154" s="12" t="n"/>
      <c r="B1154">
        <f>IF($AA1154="","",INDEX('Per Line'!$E$2:$E$4001,$AA1154)&amp;"")</f>
        <v/>
      </c>
      <c r="C1154">
        <f>IF($AA1154="","",INDEX('Per Line'!$A$2:$A$4001,$AA1154)&amp;"")</f>
        <v/>
      </c>
      <c r="D1154">
        <f>IF($AA1154="","",INDEX('Per Line'!$D$2:$D$4001,$AA1154)&amp;"")</f>
        <v/>
      </c>
      <c r="E1154" s="11">
        <f>IF($AA1154="","",INDEX('Per Line'!$G$2:$G$4001,$AA1154))</f>
        <v/>
      </c>
      <c r="F1154">
        <f>IF($AA1154="","",INDEX('Per Line'!$H$2:$H$4001,$AA1154)&amp;"")</f>
        <v/>
      </c>
      <c r="G1154">
        <f>IF($AA1154="","",INDEX('Per Line'!$I$2:$I$4001,$AA1154)&amp;"")</f>
        <v/>
      </c>
      <c r="H1154">
        <f>IF($AA1154="","",INDEX('Per Line'!$J$2:$J$4001,$AA1154)&amp;"")</f>
        <v/>
      </c>
      <c r="I1154">
        <f>IF($AA1154="","",INDEX('Per Line'!$K$2:$K$4001,$AA1154)&amp;"")</f>
        <v/>
      </c>
      <c r="J1154">
        <f>IF($AA1154="","",INDEX('Per Line'!$L$2:$L$4001,$AA1154)&amp;"")</f>
        <v/>
      </c>
      <c r="K1154">
        <f>IF($AA1154="","",INDEX('Per Line'!$P$2:$P$4001,$AA1154))</f>
        <v/>
      </c>
      <c r="L1154" s="7">
        <f>IF($AA1154="","",IF(AND(ISNUMBER(N1154),N1154&gt;0,Y1154&gt;N1154),K1154*N1154/100+(Y1154-N1154),K1154*Y1154/100))</f>
        <v/>
      </c>
      <c r="M1154">
        <f>IF($AA1154="","",INDEX('Per Line'!$Z$2:$Z$4001,$AA1154)&amp;"")</f>
        <v/>
      </c>
      <c r="N1154">
        <f>IF($AA1154="","",INDEX('Per Line'!$AG$2:$AG$4001,$AA1154))</f>
        <v/>
      </c>
      <c r="O1154">
        <f>IF($AA1154="","",IF(AND(ISNUMBER(N1154),N1154&gt;0),Y1154&gt;N1154,FALSE))</f>
        <v/>
      </c>
      <c r="P1154" s="7">
        <f>IF($AA1154="","",SUMIFS('Per Line'!$Y$2:$Y$4001,'Per Line'!$E$2:$E$4001,$B1154,'Per Line'!$AQ$2:$AQ$4001,1))</f>
        <v/>
      </c>
      <c r="Q1154">
        <f>IF($AA1154="","",Settings!$C$7)</f>
        <v/>
      </c>
      <c r="R1154" s="7">
        <f>IF($AA1154="","",SUMIFS('Per Line'!$Y$2:$Y$4001,'Per Line'!$E$2:$E$4001,$B1154,'Per Line'!$AP$2:$AP$4001,0,'Per Line'!$AQ$2:$AQ$4001,0))</f>
        <v/>
      </c>
      <c r="S1154" s="7">
        <f>IF($AA1154="","",R1154*Q1154)</f>
        <v/>
      </c>
      <c r="T1154">
        <f>IF($AA1154="","",Settings!$C$6)</f>
        <v/>
      </c>
      <c r="U1154" s="7">
        <f>IF($AA1154="","",SUMIFS('Per Line'!$Y$2:$Y$4001,'Per Line'!$E$2:$E$4001,$B1154,'Per Line'!$AP$2:$AP$4001,1,'Per Line'!$AQ$2:$AQ$4001,0))</f>
        <v/>
      </c>
      <c r="V1154" s="7">
        <f>IF($AA1154="","",U1154*T1154)</f>
        <v/>
      </c>
      <c r="W1154" s="7">
        <f>IF($AA1154="","",V1154+S1154)</f>
        <v/>
      </c>
      <c r="X1154" s="7">
        <f>IF($AA1154="","",Y1154-W1154)</f>
        <v/>
      </c>
      <c r="Y1154" s="7">
        <f>IF($AA1154="","",R1154+U1154+P1154)</f>
        <v/>
      </c>
      <c r="Z1154" s="7">
        <f>IF($AA1154="","",Y1154-W1154-L1154)</f>
        <v/>
      </c>
      <c r="AA1154" s="13">
        <f>IF(ROWS($AA$2:$AA1154)&lt;=MAX('Per Line'!$AO$2:$AO$4001),MATCH(ROWS($AA$2:$AA1154),'Per Line'!$AO$2:$AO$4001,0),"")</f>
        <v/>
      </c>
      <c r="AB1154" s="14">
        <f>IF($AA1154="","",L1154-K1154*Y1154/100)</f>
        <v/>
      </c>
    </row>
    <row r="1155">
      <c r="A1155" s="12" t="n"/>
      <c r="B1155">
        <f>IF($AA1155="","",INDEX('Per Line'!$E$2:$E$4001,$AA1155)&amp;"")</f>
        <v/>
      </c>
      <c r="C1155">
        <f>IF($AA1155="","",INDEX('Per Line'!$A$2:$A$4001,$AA1155)&amp;"")</f>
        <v/>
      </c>
      <c r="D1155">
        <f>IF($AA1155="","",INDEX('Per Line'!$D$2:$D$4001,$AA1155)&amp;"")</f>
        <v/>
      </c>
      <c r="E1155" s="11">
        <f>IF($AA1155="","",INDEX('Per Line'!$G$2:$G$4001,$AA1155))</f>
        <v/>
      </c>
      <c r="F1155">
        <f>IF($AA1155="","",INDEX('Per Line'!$H$2:$H$4001,$AA1155)&amp;"")</f>
        <v/>
      </c>
      <c r="G1155">
        <f>IF($AA1155="","",INDEX('Per Line'!$I$2:$I$4001,$AA1155)&amp;"")</f>
        <v/>
      </c>
      <c r="H1155">
        <f>IF($AA1155="","",INDEX('Per Line'!$J$2:$J$4001,$AA1155)&amp;"")</f>
        <v/>
      </c>
      <c r="I1155">
        <f>IF($AA1155="","",INDEX('Per Line'!$K$2:$K$4001,$AA1155)&amp;"")</f>
        <v/>
      </c>
      <c r="J1155">
        <f>IF($AA1155="","",INDEX('Per Line'!$L$2:$L$4001,$AA1155)&amp;"")</f>
        <v/>
      </c>
      <c r="K1155">
        <f>IF($AA1155="","",INDEX('Per Line'!$P$2:$P$4001,$AA1155))</f>
        <v/>
      </c>
      <c r="L1155" s="7">
        <f>IF($AA1155="","",IF(AND(ISNUMBER(N1155),N1155&gt;0,Y1155&gt;N1155),K1155*N1155/100+(Y1155-N1155),K1155*Y1155/100))</f>
        <v/>
      </c>
      <c r="M1155">
        <f>IF($AA1155="","",INDEX('Per Line'!$Z$2:$Z$4001,$AA1155)&amp;"")</f>
        <v/>
      </c>
      <c r="N1155">
        <f>IF($AA1155="","",INDEX('Per Line'!$AG$2:$AG$4001,$AA1155))</f>
        <v/>
      </c>
      <c r="O1155">
        <f>IF($AA1155="","",IF(AND(ISNUMBER(N1155),N1155&gt;0),Y1155&gt;N1155,FALSE))</f>
        <v/>
      </c>
      <c r="P1155" s="7">
        <f>IF($AA1155="","",SUMIFS('Per Line'!$Y$2:$Y$4001,'Per Line'!$E$2:$E$4001,$B1155,'Per Line'!$AQ$2:$AQ$4001,1))</f>
        <v/>
      </c>
      <c r="Q1155">
        <f>IF($AA1155="","",Settings!$C$7)</f>
        <v/>
      </c>
      <c r="R1155" s="7">
        <f>IF($AA1155="","",SUMIFS('Per Line'!$Y$2:$Y$4001,'Per Line'!$E$2:$E$4001,$B1155,'Per Line'!$AP$2:$AP$4001,0,'Per Line'!$AQ$2:$AQ$4001,0))</f>
        <v/>
      </c>
      <c r="S1155" s="7">
        <f>IF($AA1155="","",R1155*Q1155)</f>
        <v/>
      </c>
      <c r="T1155">
        <f>IF($AA1155="","",Settings!$C$6)</f>
        <v/>
      </c>
      <c r="U1155" s="7">
        <f>IF($AA1155="","",SUMIFS('Per Line'!$Y$2:$Y$4001,'Per Line'!$E$2:$E$4001,$B1155,'Per Line'!$AP$2:$AP$4001,1,'Per Line'!$AQ$2:$AQ$4001,0))</f>
        <v/>
      </c>
      <c r="V1155" s="7">
        <f>IF($AA1155="","",U1155*T1155)</f>
        <v/>
      </c>
      <c r="W1155" s="7">
        <f>IF($AA1155="","",V1155+S1155)</f>
        <v/>
      </c>
      <c r="X1155" s="7">
        <f>IF($AA1155="","",Y1155-W1155)</f>
        <v/>
      </c>
      <c r="Y1155" s="7">
        <f>IF($AA1155="","",R1155+U1155+P1155)</f>
        <v/>
      </c>
      <c r="Z1155" s="7">
        <f>IF($AA1155="","",Y1155-W1155-L1155)</f>
        <v/>
      </c>
      <c r="AA1155" s="13">
        <f>IF(ROWS($AA$2:$AA1155)&lt;=MAX('Per Line'!$AO$2:$AO$4001),MATCH(ROWS($AA$2:$AA1155),'Per Line'!$AO$2:$AO$4001,0),"")</f>
        <v/>
      </c>
      <c r="AB1155" s="14">
        <f>IF($AA1155="","",L1155-K1155*Y1155/100)</f>
        <v/>
      </c>
    </row>
    <row r="1156">
      <c r="A1156" s="12" t="n"/>
      <c r="B1156">
        <f>IF($AA1156="","",INDEX('Per Line'!$E$2:$E$4001,$AA1156)&amp;"")</f>
        <v/>
      </c>
      <c r="C1156">
        <f>IF($AA1156="","",INDEX('Per Line'!$A$2:$A$4001,$AA1156)&amp;"")</f>
        <v/>
      </c>
      <c r="D1156">
        <f>IF($AA1156="","",INDEX('Per Line'!$D$2:$D$4001,$AA1156)&amp;"")</f>
        <v/>
      </c>
      <c r="E1156" s="11">
        <f>IF($AA1156="","",INDEX('Per Line'!$G$2:$G$4001,$AA1156))</f>
        <v/>
      </c>
      <c r="F1156">
        <f>IF($AA1156="","",INDEX('Per Line'!$H$2:$H$4001,$AA1156)&amp;"")</f>
        <v/>
      </c>
      <c r="G1156">
        <f>IF($AA1156="","",INDEX('Per Line'!$I$2:$I$4001,$AA1156)&amp;"")</f>
        <v/>
      </c>
      <c r="H1156">
        <f>IF($AA1156="","",INDEX('Per Line'!$J$2:$J$4001,$AA1156)&amp;"")</f>
        <v/>
      </c>
      <c r="I1156">
        <f>IF($AA1156="","",INDEX('Per Line'!$K$2:$K$4001,$AA1156)&amp;"")</f>
        <v/>
      </c>
      <c r="J1156">
        <f>IF($AA1156="","",INDEX('Per Line'!$L$2:$L$4001,$AA1156)&amp;"")</f>
        <v/>
      </c>
      <c r="K1156">
        <f>IF($AA1156="","",INDEX('Per Line'!$P$2:$P$4001,$AA1156))</f>
        <v/>
      </c>
      <c r="L1156" s="7">
        <f>IF($AA1156="","",IF(AND(ISNUMBER(N1156),N1156&gt;0,Y1156&gt;N1156),K1156*N1156/100+(Y1156-N1156),K1156*Y1156/100))</f>
        <v/>
      </c>
      <c r="M1156">
        <f>IF($AA1156="","",INDEX('Per Line'!$Z$2:$Z$4001,$AA1156)&amp;"")</f>
        <v/>
      </c>
      <c r="N1156">
        <f>IF($AA1156="","",INDEX('Per Line'!$AG$2:$AG$4001,$AA1156))</f>
        <v/>
      </c>
      <c r="O1156">
        <f>IF($AA1156="","",IF(AND(ISNUMBER(N1156),N1156&gt;0),Y1156&gt;N1156,FALSE))</f>
        <v/>
      </c>
      <c r="P1156" s="7">
        <f>IF($AA1156="","",SUMIFS('Per Line'!$Y$2:$Y$4001,'Per Line'!$E$2:$E$4001,$B1156,'Per Line'!$AQ$2:$AQ$4001,1))</f>
        <v/>
      </c>
      <c r="Q1156">
        <f>IF($AA1156="","",Settings!$C$7)</f>
        <v/>
      </c>
      <c r="R1156" s="7">
        <f>IF($AA1156="","",SUMIFS('Per Line'!$Y$2:$Y$4001,'Per Line'!$E$2:$E$4001,$B1156,'Per Line'!$AP$2:$AP$4001,0,'Per Line'!$AQ$2:$AQ$4001,0))</f>
        <v/>
      </c>
      <c r="S1156" s="7">
        <f>IF($AA1156="","",R1156*Q1156)</f>
        <v/>
      </c>
      <c r="T1156">
        <f>IF($AA1156="","",Settings!$C$6)</f>
        <v/>
      </c>
      <c r="U1156" s="7">
        <f>IF($AA1156="","",SUMIFS('Per Line'!$Y$2:$Y$4001,'Per Line'!$E$2:$E$4001,$B1156,'Per Line'!$AP$2:$AP$4001,1,'Per Line'!$AQ$2:$AQ$4001,0))</f>
        <v/>
      </c>
      <c r="V1156" s="7">
        <f>IF($AA1156="","",U1156*T1156)</f>
        <v/>
      </c>
      <c r="W1156" s="7">
        <f>IF($AA1156="","",V1156+S1156)</f>
        <v/>
      </c>
      <c r="X1156" s="7">
        <f>IF($AA1156="","",Y1156-W1156)</f>
        <v/>
      </c>
      <c r="Y1156" s="7">
        <f>IF($AA1156="","",R1156+U1156+P1156)</f>
        <v/>
      </c>
      <c r="Z1156" s="7">
        <f>IF($AA1156="","",Y1156-W1156-L1156)</f>
        <v/>
      </c>
      <c r="AA1156" s="13">
        <f>IF(ROWS($AA$2:$AA1156)&lt;=MAX('Per Line'!$AO$2:$AO$4001),MATCH(ROWS($AA$2:$AA1156),'Per Line'!$AO$2:$AO$4001,0),"")</f>
        <v/>
      </c>
      <c r="AB1156" s="14">
        <f>IF($AA1156="","",L1156-K1156*Y1156/100)</f>
        <v/>
      </c>
    </row>
    <row r="1157">
      <c r="A1157" s="12" t="n"/>
      <c r="B1157">
        <f>IF($AA1157="","",INDEX('Per Line'!$E$2:$E$4001,$AA1157)&amp;"")</f>
        <v/>
      </c>
      <c r="C1157">
        <f>IF($AA1157="","",INDEX('Per Line'!$A$2:$A$4001,$AA1157)&amp;"")</f>
        <v/>
      </c>
      <c r="D1157">
        <f>IF($AA1157="","",INDEX('Per Line'!$D$2:$D$4001,$AA1157)&amp;"")</f>
        <v/>
      </c>
      <c r="E1157" s="11">
        <f>IF($AA1157="","",INDEX('Per Line'!$G$2:$G$4001,$AA1157))</f>
        <v/>
      </c>
      <c r="F1157">
        <f>IF($AA1157="","",INDEX('Per Line'!$H$2:$H$4001,$AA1157)&amp;"")</f>
        <v/>
      </c>
      <c r="G1157">
        <f>IF($AA1157="","",INDEX('Per Line'!$I$2:$I$4001,$AA1157)&amp;"")</f>
        <v/>
      </c>
      <c r="H1157">
        <f>IF($AA1157="","",INDEX('Per Line'!$J$2:$J$4001,$AA1157)&amp;"")</f>
        <v/>
      </c>
      <c r="I1157">
        <f>IF($AA1157="","",INDEX('Per Line'!$K$2:$K$4001,$AA1157)&amp;"")</f>
        <v/>
      </c>
      <c r="J1157">
        <f>IF($AA1157="","",INDEX('Per Line'!$L$2:$L$4001,$AA1157)&amp;"")</f>
        <v/>
      </c>
      <c r="K1157">
        <f>IF($AA1157="","",INDEX('Per Line'!$P$2:$P$4001,$AA1157))</f>
        <v/>
      </c>
      <c r="L1157" s="7">
        <f>IF($AA1157="","",IF(AND(ISNUMBER(N1157),N1157&gt;0,Y1157&gt;N1157),K1157*N1157/100+(Y1157-N1157),K1157*Y1157/100))</f>
        <v/>
      </c>
      <c r="M1157">
        <f>IF($AA1157="","",INDEX('Per Line'!$Z$2:$Z$4001,$AA1157)&amp;"")</f>
        <v/>
      </c>
      <c r="N1157">
        <f>IF($AA1157="","",INDEX('Per Line'!$AG$2:$AG$4001,$AA1157))</f>
        <v/>
      </c>
      <c r="O1157">
        <f>IF($AA1157="","",IF(AND(ISNUMBER(N1157),N1157&gt;0),Y1157&gt;N1157,FALSE))</f>
        <v/>
      </c>
      <c r="P1157" s="7">
        <f>IF($AA1157="","",SUMIFS('Per Line'!$Y$2:$Y$4001,'Per Line'!$E$2:$E$4001,$B1157,'Per Line'!$AQ$2:$AQ$4001,1))</f>
        <v/>
      </c>
      <c r="Q1157">
        <f>IF($AA1157="","",Settings!$C$7)</f>
        <v/>
      </c>
      <c r="R1157" s="7">
        <f>IF($AA1157="","",SUMIFS('Per Line'!$Y$2:$Y$4001,'Per Line'!$E$2:$E$4001,$B1157,'Per Line'!$AP$2:$AP$4001,0,'Per Line'!$AQ$2:$AQ$4001,0))</f>
        <v/>
      </c>
      <c r="S1157" s="7">
        <f>IF($AA1157="","",R1157*Q1157)</f>
        <v/>
      </c>
      <c r="T1157">
        <f>IF($AA1157="","",Settings!$C$6)</f>
        <v/>
      </c>
      <c r="U1157" s="7">
        <f>IF($AA1157="","",SUMIFS('Per Line'!$Y$2:$Y$4001,'Per Line'!$E$2:$E$4001,$B1157,'Per Line'!$AP$2:$AP$4001,1,'Per Line'!$AQ$2:$AQ$4001,0))</f>
        <v/>
      </c>
      <c r="V1157" s="7">
        <f>IF($AA1157="","",U1157*T1157)</f>
        <v/>
      </c>
      <c r="W1157" s="7">
        <f>IF($AA1157="","",V1157+S1157)</f>
        <v/>
      </c>
      <c r="X1157" s="7">
        <f>IF($AA1157="","",Y1157-W1157)</f>
        <v/>
      </c>
      <c r="Y1157" s="7">
        <f>IF($AA1157="","",R1157+U1157+P1157)</f>
        <v/>
      </c>
      <c r="Z1157" s="7">
        <f>IF($AA1157="","",Y1157-W1157-L1157)</f>
        <v/>
      </c>
      <c r="AA1157" s="13">
        <f>IF(ROWS($AA$2:$AA1157)&lt;=MAX('Per Line'!$AO$2:$AO$4001),MATCH(ROWS($AA$2:$AA1157),'Per Line'!$AO$2:$AO$4001,0),"")</f>
        <v/>
      </c>
      <c r="AB1157" s="14">
        <f>IF($AA1157="","",L1157-K1157*Y1157/100)</f>
        <v/>
      </c>
    </row>
    <row r="1158">
      <c r="A1158" s="12" t="n"/>
      <c r="B1158">
        <f>IF($AA1158="","",INDEX('Per Line'!$E$2:$E$4001,$AA1158)&amp;"")</f>
        <v/>
      </c>
      <c r="C1158">
        <f>IF($AA1158="","",INDEX('Per Line'!$A$2:$A$4001,$AA1158)&amp;"")</f>
        <v/>
      </c>
      <c r="D1158">
        <f>IF($AA1158="","",INDEX('Per Line'!$D$2:$D$4001,$AA1158)&amp;"")</f>
        <v/>
      </c>
      <c r="E1158" s="11">
        <f>IF($AA1158="","",INDEX('Per Line'!$G$2:$G$4001,$AA1158))</f>
        <v/>
      </c>
      <c r="F1158">
        <f>IF($AA1158="","",INDEX('Per Line'!$H$2:$H$4001,$AA1158)&amp;"")</f>
        <v/>
      </c>
      <c r="G1158">
        <f>IF($AA1158="","",INDEX('Per Line'!$I$2:$I$4001,$AA1158)&amp;"")</f>
        <v/>
      </c>
      <c r="H1158">
        <f>IF($AA1158="","",INDEX('Per Line'!$J$2:$J$4001,$AA1158)&amp;"")</f>
        <v/>
      </c>
      <c r="I1158">
        <f>IF($AA1158="","",INDEX('Per Line'!$K$2:$K$4001,$AA1158)&amp;"")</f>
        <v/>
      </c>
      <c r="J1158">
        <f>IF($AA1158="","",INDEX('Per Line'!$L$2:$L$4001,$AA1158)&amp;"")</f>
        <v/>
      </c>
      <c r="K1158">
        <f>IF($AA1158="","",INDEX('Per Line'!$P$2:$P$4001,$AA1158))</f>
        <v/>
      </c>
      <c r="L1158" s="7">
        <f>IF($AA1158="","",IF(AND(ISNUMBER(N1158),N1158&gt;0,Y1158&gt;N1158),K1158*N1158/100+(Y1158-N1158),K1158*Y1158/100))</f>
        <v/>
      </c>
      <c r="M1158">
        <f>IF($AA1158="","",INDEX('Per Line'!$Z$2:$Z$4001,$AA1158)&amp;"")</f>
        <v/>
      </c>
      <c r="N1158">
        <f>IF($AA1158="","",INDEX('Per Line'!$AG$2:$AG$4001,$AA1158))</f>
        <v/>
      </c>
      <c r="O1158">
        <f>IF($AA1158="","",IF(AND(ISNUMBER(N1158),N1158&gt;0),Y1158&gt;N1158,FALSE))</f>
        <v/>
      </c>
      <c r="P1158" s="7">
        <f>IF($AA1158="","",SUMIFS('Per Line'!$Y$2:$Y$4001,'Per Line'!$E$2:$E$4001,$B1158,'Per Line'!$AQ$2:$AQ$4001,1))</f>
        <v/>
      </c>
      <c r="Q1158">
        <f>IF($AA1158="","",Settings!$C$7)</f>
        <v/>
      </c>
      <c r="R1158" s="7">
        <f>IF($AA1158="","",SUMIFS('Per Line'!$Y$2:$Y$4001,'Per Line'!$E$2:$E$4001,$B1158,'Per Line'!$AP$2:$AP$4001,0,'Per Line'!$AQ$2:$AQ$4001,0))</f>
        <v/>
      </c>
      <c r="S1158" s="7">
        <f>IF($AA1158="","",R1158*Q1158)</f>
        <v/>
      </c>
      <c r="T1158">
        <f>IF($AA1158="","",Settings!$C$6)</f>
        <v/>
      </c>
      <c r="U1158" s="7">
        <f>IF($AA1158="","",SUMIFS('Per Line'!$Y$2:$Y$4001,'Per Line'!$E$2:$E$4001,$B1158,'Per Line'!$AP$2:$AP$4001,1,'Per Line'!$AQ$2:$AQ$4001,0))</f>
        <v/>
      </c>
      <c r="V1158" s="7">
        <f>IF($AA1158="","",U1158*T1158)</f>
        <v/>
      </c>
      <c r="W1158" s="7">
        <f>IF($AA1158="","",V1158+S1158)</f>
        <v/>
      </c>
      <c r="X1158" s="7">
        <f>IF($AA1158="","",Y1158-W1158)</f>
        <v/>
      </c>
      <c r="Y1158" s="7">
        <f>IF($AA1158="","",R1158+U1158+P1158)</f>
        <v/>
      </c>
      <c r="Z1158" s="7">
        <f>IF($AA1158="","",Y1158-W1158-L1158)</f>
        <v/>
      </c>
      <c r="AA1158" s="13">
        <f>IF(ROWS($AA$2:$AA1158)&lt;=MAX('Per Line'!$AO$2:$AO$4001),MATCH(ROWS($AA$2:$AA1158),'Per Line'!$AO$2:$AO$4001,0),"")</f>
        <v/>
      </c>
      <c r="AB1158" s="14">
        <f>IF($AA1158="","",L1158-K1158*Y1158/100)</f>
        <v/>
      </c>
    </row>
    <row r="1159">
      <c r="A1159" s="12" t="n"/>
      <c r="B1159">
        <f>IF($AA1159="","",INDEX('Per Line'!$E$2:$E$4001,$AA1159)&amp;"")</f>
        <v/>
      </c>
      <c r="C1159">
        <f>IF($AA1159="","",INDEX('Per Line'!$A$2:$A$4001,$AA1159)&amp;"")</f>
        <v/>
      </c>
      <c r="D1159">
        <f>IF($AA1159="","",INDEX('Per Line'!$D$2:$D$4001,$AA1159)&amp;"")</f>
        <v/>
      </c>
      <c r="E1159" s="11">
        <f>IF($AA1159="","",INDEX('Per Line'!$G$2:$G$4001,$AA1159))</f>
        <v/>
      </c>
      <c r="F1159">
        <f>IF($AA1159="","",INDEX('Per Line'!$H$2:$H$4001,$AA1159)&amp;"")</f>
        <v/>
      </c>
      <c r="G1159">
        <f>IF($AA1159="","",INDEX('Per Line'!$I$2:$I$4001,$AA1159)&amp;"")</f>
        <v/>
      </c>
      <c r="H1159">
        <f>IF($AA1159="","",INDEX('Per Line'!$J$2:$J$4001,$AA1159)&amp;"")</f>
        <v/>
      </c>
      <c r="I1159">
        <f>IF($AA1159="","",INDEX('Per Line'!$K$2:$K$4001,$AA1159)&amp;"")</f>
        <v/>
      </c>
      <c r="J1159">
        <f>IF($AA1159="","",INDEX('Per Line'!$L$2:$L$4001,$AA1159)&amp;"")</f>
        <v/>
      </c>
      <c r="K1159">
        <f>IF($AA1159="","",INDEX('Per Line'!$P$2:$P$4001,$AA1159))</f>
        <v/>
      </c>
      <c r="L1159" s="7">
        <f>IF($AA1159="","",IF(AND(ISNUMBER(N1159),N1159&gt;0,Y1159&gt;N1159),K1159*N1159/100+(Y1159-N1159),K1159*Y1159/100))</f>
        <v/>
      </c>
      <c r="M1159">
        <f>IF($AA1159="","",INDEX('Per Line'!$Z$2:$Z$4001,$AA1159)&amp;"")</f>
        <v/>
      </c>
      <c r="N1159">
        <f>IF($AA1159="","",INDEX('Per Line'!$AG$2:$AG$4001,$AA1159))</f>
        <v/>
      </c>
      <c r="O1159">
        <f>IF($AA1159="","",IF(AND(ISNUMBER(N1159),N1159&gt;0),Y1159&gt;N1159,FALSE))</f>
        <v/>
      </c>
      <c r="P1159" s="7">
        <f>IF($AA1159="","",SUMIFS('Per Line'!$Y$2:$Y$4001,'Per Line'!$E$2:$E$4001,$B1159,'Per Line'!$AQ$2:$AQ$4001,1))</f>
        <v/>
      </c>
      <c r="Q1159">
        <f>IF($AA1159="","",Settings!$C$7)</f>
        <v/>
      </c>
      <c r="R1159" s="7">
        <f>IF($AA1159="","",SUMIFS('Per Line'!$Y$2:$Y$4001,'Per Line'!$E$2:$E$4001,$B1159,'Per Line'!$AP$2:$AP$4001,0,'Per Line'!$AQ$2:$AQ$4001,0))</f>
        <v/>
      </c>
      <c r="S1159" s="7">
        <f>IF($AA1159="","",R1159*Q1159)</f>
        <v/>
      </c>
      <c r="T1159">
        <f>IF($AA1159="","",Settings!$C$6)</f>
        <v/>
      </c>
      <c r="U1159" s="7">
        <f>IF($AA1159="","",SUMIFS('Per Line'!$Y$2:$Y$4001,'Per Line'!$E$2:$E$4001,$B1159,'Per Line'!$AP$2:$AP$4001,1,'Per Line'!$AQ$2:$AQ$4001,0))</f>
        <v/>
      </c>
      <c r="V1159" s="7">
        <f>IF($AA1159="","",U1159*T1159)</f>
        <v/>
      </c>
      <c r="W1159" s="7">
        <f>IF($AA1159="","",V1159+S1159)</f>
        <v/>
      </c>
      <c r="X1159" s="7">
        <f>IF($AA1159="","",Y1159-W1159)</f>
        <v/>
      </c>
      <c r="Y1159" s="7">
        <f>IF($AA1159="","",R1159+U1159+P1159)</f>
        <v/>
      </c>
      <c r="Z1159" s="7">
        <f>IF($AA1159="","",Y1159-W1159-L1159)</f>
        <v/>
      </c>
      <c r="AA1159" s="13">
        <f>IF(ROWS($AA$2:$AA1159)&lt;=MAX('Per Line'!$AO$2:$AO$4001),MATCH(ROWS($AA$2:$AA1159),'Per Line'!$AO$2:$AO$4001,0),"")</f>
        <v/>
      </c>
      <c r="AB1159" s="14">
        <f>IF($AA1159="","",L1159-K1159*Y1159/100)</f>
        <v/>
      </c>
    </row>
    <row r="1160">
      <c r="A1160" s="12" t="n"/>
      <c r="B1160">
        <f>IF($AA1160="","",INDEX('Per Line'!$E$2:$E$4001,$AA1160)&amp;"")</f>
        <v/>
      </c>
      <c r="C1160">
        <f>IF($AA1160="","",INDEX('Per Line'!$A$2:$A$4001,$AA1160)&amp;"")</f>
        <v/>
      </c>
      <c r="D1160">
        <f>IF($AA1160="","",INDEX('Per Line'!$D$2:$D$4001,$AA1160)&amp;"")</f>
        <v/>
      </c>
      <c r="E1160" s="11">
        <f>IF($AA1160="","",INDEX('Per Line'!$G$2:$G$4001,$AA1160))</f>
        <v/>
      </c>
      <c r="F1160">
        <f>IF($AA1160="","",INDEX('Per Line'!$H$2:$H$4001,$AA1160)&amp;"")</f>
        <v/>
      </c>
      <c r="G1160">
        <f>IF($AA1160="","",INDEX('Per Line'!$I$2:$I$4001,$AA1160)&amp;"")</f>
        <v/>
      </c>
      <c r="H1160">
        <f>IF($AA1160="","",INDEX('Per Line'!$J$2:$J$4001,$AA1160)&amp;"")</f>
        <v/>
      </c>
      <c r="I1160">
        <f>IF($AA1160="","",INDEX('Per Line'!$K$2:$K$4001,$AA1160)&amp;"")</f>
        <v/>
      </c>
      <c r="J1160">
        <f>IF($AA1160="","",INDEX('Per Line'!$L$2:$L$4001,$AA1160)&amp;"")</f>
        <v/>
      </c>
      <c r="K1160">
        <f>IF($AA1160="","",INDEX('Per Line'!$P$2:$P$4001,$AA1160))</f>
        <v/>
      </c>
      <c r="L1160" s="7">
        <f>IF($AA1160="","",IF(AND(ISNUMBER(N1160),N1160&gt;0,Y1160&gt;N1160),K1160*N1160/100+(Y1160-N1160),K1160*Y1160/100))</f>
        <v/>
      </c>
      <c r="M1160">
        <f>IF($AA1160="","",INDEX('Per Line'!$Z$2:$Z$4001,$AA1160)&amp;"")</f>
        <v/>
      </c>
      <c r="N1160">
        <f>IF($AA1160="","",INDEX('Per Line'!$AG$2:$AG$4001,$AA1160))</f>
        <v/>
      </c>
      <c r="O1160">
        <f>IF($AA1160="","",IF(AND(ISNUMBER(N1160),N1160&gt;0),Y1160&gt;N1160,FALSE))</f>
        <v/>
      </c>
      <c r="P1160" s="7">
        <f>IF($AA1160="","",SUMIFS('Per Line'!$Y$2:$Y$4001,'Per Line'!$E$2:$E$4001,$B1160,'Per Line'!$AQ$2:$AQ$4001,1))</f>
        <v/>
      </c>
      <c r="Q1160">
        <f>IF($AA1160="","",Settings!$C$7)</f>
        <v/>
      </c>
      <c r="R1160" s="7">
        <f>IF($AA1160="","",SUMIFS('Per Line'!$Y$2:$Y$4001,'Per Line'!$E$2:$E$4001,$B1160,'Per Line'!$AP$2:$AP$4001,0,'Per Line'!$AQ$2:$AQ$4001,0))</f>
        <v/>
      </c>
      <c r="S1160" s="7">
        <f>IF($AA1160="","",R1160*Q1160)</f>
        <v/>
      </c>
      <c r="T1160">
        <f>IF($AA1160="","",Settings!$C$6)</f>
        <v/>
      </c>
      <c r="U1160" s="7">
        <f>IF($AA1160="","",SUMIFS('Per Line'!$Y$2:$Y$4001,'Per Line'!$E$2:$E$4001,$B1160,'Per Line'!$AP$2:$AP$4001,1,'Per Line'!$AQ$2:$AQ$4001,0))</f>
        <v/>
      </c>
      <c r="V1160" s="7">
        <f>IF($AA1160="","",U1160*T1160)</f>
        <v/>
      </c>
      <c r="W1160" s="7">
        <f>IF($AA1160="","",V1160+S1160)</f>
        <v/>
      </c>
      <c r="X1160" s="7">
        <f>IF($AA1160="","",Y1160-W1160)</f>
        <v/>
      </c>
      <c r="Y1160" s="7">
        <f>IF($AA1160="","",R1160+U1160+P1160)</f>
        <v/>
      </c>
      <c r="Z1160" s="7">
        <f>IF($AA1160="","",Y1160-W1160-L1160)</f>
        <v/>
      </c>
      <c r="AA1160" s="13">
        <f>IF(ROWS($AA$2:$AA1160)&lt;=MAX('Per Line'!$AO$2:$AO$4001),MATCH(ROWS($AA$2:$AA1160),'Per Line'!$AO$2:$AO$4001,0),"")</f>
        <v/>
      </c>
      <c r="AB1160" s="14">
        <f>IF($AA1160="","",L1160-K1160*Y1160/100)</f>
        <v/>
      </c>
    </row>
    <row r="1161">
      <c r="A1161" s="12" t="n"/>
      <c r="B1161">
        <f>IF($AA1161="","",INDEX('Per Line'!$E$2:$E$4001,$AA1161)&amp;"")</f>
        <v/>
      </c>
      <c r="C1161">
        <f>IF($AA1161="","",INDEX('Per Line'!$A$2:$A$4001,$AA1161)&amp;"")</f>
        <v/>
      </c>
      <c r="D1161">
        <f>IF($AA1161="","",INDEX('Per Line'!$D$2:$D$4001,$AA1161)&amp;"")</f>
        <v/>
      </c>
      <c r="E1161" s="11">
        <f>IF($AA1161="","",INDEX('Per Line'!$G$2:$G$4001,$AA1161))</f>
        <v/>
      </c>
      <c r="F1161">
        <f>IF($AA1161="","",INDEX('Per Line'!$H$2:$H$4001,$AA1161)&amp;"")</f>
        <v/>
      </c>
      <c r="G1161">
        <f>IF($AA1161="","",INDEX('Per Line'!$I$2:$I$4001,$AA1161)&amp;"")</f>
        <v/>
      </c>
      <c r="H1161">
        <f>IF($AA1161="","",INDEX('Per Line'!$J$2:$J$4001,$AA1161)&amp;"")</f>
        <v/>
      </c>
      <c r="I1161">
        <f>IF($AA1161="","",INDEX('Per Line'!$K$2:$K$4001,$AA1161)&amp;"")</f>
        <v/>
      </c>
      <c r="J1161">
        <f>IF($AA1161="","",INDEX('Per Line'!$L$2:$L$4001,$AA1161)&amp;"")</f>
        <v/>
      </c>
      <c r="K1161">
        <f>IF($AA1161="","",INDEX('Per Line'!$P$2:$P$4001,$AA1161))</f>
        <v/>
      </c>
      <c r="L1161" s="7">
        <f>IF($AA1161="","",IF(AND(ISNUMBER(N1161),N1161&gt;0,Y1161&gt;N1161),K1161*N1161/100+(Y1161-N1161),K1161*Y1161/100))</f>
        <v/>
      </c>
      <c r="M1161">
        <f>IF($AA1161="","",INDEX('Per Line'!$Z$2:$Z$4001,$AA1161)&amp;"")</f>
        <v/>
      </c>
      <c r="N1161">
        <f>IF($AA1161="","",INDEX('Per Line'!$AG$2:$AG$4001,$AA1161))</f>
        <v/>
      </c>
      <c r="O1161">
        <f>IF($AA1161="","",IF(AND(ISNUMBER(N1161),N1161&gt;0),Y1161&gt;N1161,FALSE))</f>
        <v/>
      </c>
      <c r="P1161" s="7">
        <f>IF($AA1161="","",SUMIFS('Per Line'!$Y$2:$Y$4001,'Per Line'!$E$2:$E$4001,$B1161,'Per Line'!$AQ$2:$AQ$4001,1))</f>
        <v/>
      </c>
      <c r="Q1161">
        <f>IF($AA1161="","",Settings!$C$7)</f>
        <v/>
      </c>
      <c r="R1161" s="7">
        <f>IF($AA1161="","",SUMIFS('Per Line'!$Y$2:$Y$4001,'Per Line'!$E$2:$E$4001,$B1161,'Per Line'!$AP$2:$AP$4001,0,'Per Line'!$AQ$2:$AQ$4001,0))</f>
        <v/>
      </c>
      <c r="S1161" s="7">
        <f>IF($AA1161="","",R1161*Q1161)</f>
        <v/>
      </c>
      <c r="T1161">
        <f>IF($AA1161="","",Settings!$C$6)</f>
        <v/>
      </c>
      <c r="U1161" s="7">
        <f>IF($AA1161="","",SUMIFS('Per Line'!$Y$2:$Y$4001,'Per Line'!$E$2:$E$4001,$B1161,'Per Line'!$AP$2:$AP$4001,1,'Per Line'!$AQ$2:$AQ$4001,0))</f>
        <v/>
      </c>
      <c r="V1161" s="7">
        <f>IF($AA1161="","",U1161*T1161)</f>
        <v/>
      </c>
      <c r="W1161" s="7">
        <f>IF($AA1161="","",V1161+S1161)</f>
        <v/>
      </c>
      <c r="X1161" s="7">
        <f>IF($AA1161="","",Y1161-W1161)</f>
        <v/>
      </c>
      <c r="Y1161" s="7">
        <f>IF($AA1161="","",R1161+U1161+P1161)</f>
        <v/>
      </c>
      <c r="Z1161" s="7">
        <f>IF($AA1161="","",Y1161-W1161-L1161)</f>
        <v/>
      </c>
      <c r="AA1161" s="13">
        <f>IF(ROWS($AA$2:$AA1161)&lt;=MAX('Per Line'!$AO$2:$AO$4001),MATCH(ROWS($AA$2:$AA1161),'Per Line'!$AO$2:$AO$4001,0),"")</f>
        <v/>
      </c>
      <c r="AB1161" s="14">
        <f>IF($AA1161="","",L1161-K1161*Y1161/100)</f>
        <v/>
      </c>
    </row>
    <row r="1162">
      <c r="A1162" s="12" t="n"/>
      <c r="B1162">
        <f>IF($AA1162="","",INDEX('Per Line'!$E$2:$E$4001,$AA1162)&amp;"")</f>
        <v/>
      </c>
      <c r="C1162">
        <f>IF($AA1162="","",INDEX('Per Line'!$A$2:$A$4001,$AA1162)&amp;"")</f>
        <v/>
      </c>
      <c r="D1162">
        <f>IF($AA1162="","",INDEX('Per Line'!$D$2:$D$4001,$AA1162)&amp;"")</f>
        <v/>
      </c>
      <c r="E1162" s="11">
        <f>IF($AA1162="","",INDEX('Per Line'!$G$2:$G$4001,$AA1162))</f>
        <v/>
      </c>
      <c r="F1162">
        <f>IF($AA1162="","",INDEX('Per Line'!$H$2:$H$4001,$AA1162)&amp;"")</f>
        <v/>
      </c>
      <c r="G1162">
        <f>IF($AA1162="","",INDEX('Per Line'!$I$2:$I$4001,$AA1162)&amp;"")</f>
        <v/>
      </c>
      <c r="H1162">
        <f>IF($AA1162="","",INDEX('Per Line'!$J$2:$J$4001,$AA1162)&amp;"")</f>
        <v/>
      </c>
      <c r="I1162">
        <f>IF($AA1162="","",INDEX('Per Line'!$K$2:$K$4001,$AA1162)&amp;"")</f>
        <v/>
      </c>
      <c r="J1162">
        <f>IF($AA1162="","",INDEX('Per Line'!$L$2:$L$4001,$AA1162)&amp;"")</f>
        <v/>
      </c>
      <c r="K1162">
        <f>IF($AA1162="","",INDEX('Per Line'!$P$2:$P$4001,$AA1162))</f>
        <v/>
      </c>
      <c r="L1162" s="7">
        <f>IF($AA1162="","",IF(AND(ISNUMBER(N1162),N1162&gt;0,Y1162&gt;N1162),K1162*N1162/100+(Y1162-N1162),K1162*Y1162/100))</f>
        <v/>
      </c>
      <c r="M1162">
        <f>IF($AA1162="","",INDEX('Per Line'!$Z$2:$Z$4001,$AA1162)&amp;"")</f>
        <v/>
      </c>
      <c r="N1162">
        <f>IF($AA1162="","",INDEX('Per Line'!$AG$2:$AG$4001,$AA1162))</f>
        <v/>
      </c>
      <c r="O1162">
        <f>IF($AA1162="","",IF(AND(ISNUMBER(N1162),N1162&gt;0),Y1162&gt;N1162,FALSE))</f>
        <v/>
      </c>
      <c r="P1162" s="7">
        <f>IF($AA1162="","",SUMIFS('Per Line'!$Y$2:$Y$4001,'Per Line'!$E$2:$E$4001,$B1162,'Per Line'!$AQ$2:$AQ$4001,1))</f>
        <v/>
      </c>
      <c r="Q1162">
        <f>IF($AA1162="","",Settings!$C$7)</f>
        <v/>
      </c>
      <c r="R1162" s="7">
        <f>IF($AA1162="","",SUMIFS('Per Line'!$Y$2:$Y$4001,'Per Line'!$E$2:$E$4001,$B1162,'Per Line'!$AP$2:$AP$4001,0,'Per Line'!$AQ$2:$AQ$4001,0))</f>
        <v/>
      </c>
      <c r="S1162" s="7">
        <f>IF($AA1162="","",R1162*Q1162)</f>
        <v/>
      </c>
      <c r="T1162">
        <f>IF($AA1162="","",Settings!$C$6)</f>
        <v/>
      </c>
      <c r="U1162" s="7">
        <f>IF($AA1162="","",SUMIFS('Per Line'!$Y$2:$Y$4001,'Per Line'!$E$2:$E$4001,$B1162,'Per Line'!$AP$2:$AP$4001,1,'Per Line'!$AQ$2:$AQ$4001,0))</f>
        <v/>
      </c>
      <c r="V1162" s="7">
        <f>IF($AA1162="","",U1162*T1162)</f>
        <v/>
      </c>
      <c r="W1162" s="7">
        <f>IF($AA1162="","",V1162+S1162)</f>
        <v/>
      </c>
      <c r="X1162" s="7">
        <f>IF($AA1162="","",Y1162-W1162)</f>
        <v/>
      </c>
      <c r="Y1162" s="7">
        <f>IF($AA1162="","",R1162+U1162+P1162)</f>
        <v/>
      </c>
      <c r="Z1162" s="7">
        <f>IF($AA1162="","",Y1162-W1162-L1162)</f>
        <v/>
      </c>
      <c r="AA1162" s="13">
        <f>IF(ROWS($AA$2:$AA1162)&lt;=MAX('Per Line'!$AO$2:$AO$4001),MATCH(ROWS($AA$2:$AA1162),'Per Line'!$AO$2:$AO$4001,0),"")</f>
        <v/>
      </c>
      <c r="AB1162" s="14">
        <f>IF($AA1162="","",L1162-K1162*Y1162/100)</f>
        <v/>
      </c>
    </row>
    <row r="1163">
      <c r="A1163" s="12" t="n"/>
      <c r="B1163">
        <f>IF($AA1163="","",INDEX('Per Line'!$E$2:$E$4001,$AA1163)&amp;"")</f>
        <v/>
      </c>
      <c r="C1163">
        <f>IF($AA1163="","",INDEX('Per Line'!$A$2:$A$4001,$AA1163)&amp;"")</f>
        <v/>
      </c>
      <c r="D1163">
        <f>IF($AA1163="","",INDEX('Per Line'!$D$2:$D$4001,$AA1163)&amp;"")</f>
        <v/>
      </c>
      <c r="E1163" s="11">
        <f>IF($AA1163="","",INDEX('Per Line'!$G$2:$G$4001,$AA1163))</f>
        <v/>
      </c>
      <c r="F1163">
        <f>IF($AA1163="","",INDEX('Per Line'!$H$2:$H$4001,$AA1163)&amp;"")</f>
        <v/>
      </c>
      <c r="G1163">
        <f>IF($AA1163="","",INDEX('Per Line'!$I$2:$I$4001,$AA1163)&amp;"")</f>
        <v/>
      </c>
      <c r="H1163">
        <f>IF($AA1163="","",INDEX('Per Line'!$J$2:$J$4001,$AA1163)&amp;"")</f>
        <v/>
      </c>
      <c r="I1163">
        <f>IF($AA1163="","",INDEX('Per Line'!$K$2:$K$4001,$AA1163)&amp;"")</f>
        <v/>
      </c>
      <c r="J1163">
        <f>IF($AA1163="","",INDEX('Per Line'!$L$2:$L$4001,$AA1163)&amp;"")</f>
        <v/>
      </c>
      <c r="K1163">
        <f>IF($AA1163="","",INDEX('Per Line'!$P$2:$P$4001,$AA1163))</f>
        <v/>
      </c>
      <c r="L1163" s="7">
        <f>IF($AA1163="","",IF(AND(ISNUMBER(N1163),N1163&gt;0,Y1163&gt;N1163),K1163*N1163/100+(Y1163-N1163),K1163*Y1163/100))</f>
        <v/>
      </c>
      <c r="M1163">
        <f>IF($AA1163="","",INDEX('Per Line'!$Z$2:$Z$4001,$AA1163)&amp;"")</f>
        <v/>
      </c>
      <c r="N1163">
        <f>IF($AA1163="","",INDEX('Per Line'!$AG$2:$AG$4001,$AA1163))</f>
        <v/>
      </c>
      <c r="O1163">
        <f>IF($AA1163="","",IF(AND(ISNUMBER(N1163),N1163&gt;0),Y1163&gt;N1163,FALSE))</f>
        <v/>
      </c>
      <c r="P1163" s="7">
        <f>IF($AA1163="","",SUMIFS('Per Line'!$Y$2:$Y$4001,'Per Line'!$E$2:$E$4001,$B1163,'Per Line'!$AQ$2:$AQ$4001,1))</f>
        <v/>
      </c>
      <c r="Q1163">
        <f>IF($AA1163="","",Settings!$C$7)</f>
        <v/>
      </c>
      <c r="R1163" s="7">
        <f>IF($AA1163="","",SUMIFS('Per Line'!$Y$2:$Y$4001,'Per Line'!$E$2:$E$4001,$B1163,'Per Line'!$AP$2:$AP$4001,0,'Per Line'!$AQ$2:$AQ$4001,0))</f>
        <v/>
      </c>
      <c r="S1163" s="7">
        <f>IF($AA1163="","",R1163*Q1163)</f>
        <v/>
      </c>
      <c r="T1163">
        <f>IF($AA1163="","",Settings!$C$6)</f>
        <v/>
      </c>
      <c r="U1163" s="7">
        <f>IF($AA1163="","",SUMIFS('Per Line'!$Y$2:$Y$4001,'Per Line'!$E$2:$E$4001,$B1163,'Per Line'!$AP$2:$AP$4001,1,'Per Line'!$AQ$2:$AQ$4001,0))</f>
        <v/>
      </c>
      <c r="V1163" s="7">
        <f>IF($AA1163="","",U1163*T1163)</f>
        <v/>
      </c>
      <c r="W1163" s="7">
        <f>IF($AA1163="","",V1163+S1163)</f>
        <v/>
      </c>
      <c r="X1163" s="7">
        <f>IF($AA1163="","",Y1163-W1163)</f>
        <v/>
      </c>
      <c r="Y1163" s="7">
        <f>IF($AA1163="","",R1163+U1163+P1163)</f>
        <v/>
      </c>
      <c r="Z1163" s="7">
        <f>IF($AA1163="","",Y1163-W1163-L1163)</f>
        <v/>
      </c>
      <c r="AA1163" s="13">
        <f>IF(ROWS($AA$2:$AA1163)&lt;=MAX('Per Line'!$AO$2:$AO$4001),MATCH(ROWS($AA$2:$AA1163),'Per Line'!$AO$2:$AO$4001,0),"")</f>
        <v/>
      </c>
      <c r="AB1163" s="14">
        <f>IF($AA1163="","",L1163-K1163*Y1163/100)</f>
        <v/>
      </c>
    </row>
    <row r="1164">
      <c r="A1164" s="12" t="n"/>
      <c r="B1164">
        <f>IF($AA1164="","",INDEX('Per Line'!$E$2:$E$4001,$AA1164)&amp;"")</f>
        <v/>
      </c>
      <c r="C1164">
        <f>IF($AA1164="","",INDEX('Per Line'!$A$2:$A$4001,$AA1164)&amp;"")</f>
        <v/>
      </c>
      <c r="D1164">
        <f>IF($AA1164="","",INDEX('Per Line'!$D$2:$D$4001,$AA1164)&amp;"")</f>
        <v/>
      </c>
      <c r="E1164" s="11">
        <f>IF($AA1164="","",INDEX('Per Line'!$G$2:$G$4001,$AA1164))</f>
        <v/>
      </c>
      <c r="F1164">
        <f>IF($AA1164="","",INDEX('Per Line'!$H$2:$H$4001,$AA1164)&amp;"")</f>
        <v/>
      </c>
      <c r="G1164">
        <f>IF($AA1164="","",INDEX('Per Line'!$I$2:$I$4001,$AA1164)&amp;"")</f>
        <v/>
      </c>
      <c r="H1164">
        <f>IF($AA1164="","",INDEX('Per Line'!$J$2:$J$4001,$AA1164)&amp;"")</f>
        <v/>
      </c>
      <c r="I1164">
        <f>IF($AA1164="","",INDEX('Per Line'!$K$2:$K$4001,$AA1164)&amp;"")</f>
        <v/>
      </c>
      <c r="J1164">
        <f>IF($AA1164="","",INDEX('Per Line'!$L$2:$L$4001,$AA1164)&amp;"")</f>
        <v/>
      </c>
      <c r="K1164">
        <f>IF($AA1164="","",INDEX('Per Line'!$P$2:$P$4001,$AA1164))</f>
        <v/>
      </c>
      <c r="L1164" s="7">
        <f>IF($AA1164="","",IF(AND(ISNUMBER(N1164),N1164&gt;0,Y1164&gt;N1164),K1164*N1164/100+(Y1164-N1164),K1164*Y1164/100))</f>
        <v/>
      </c>
      <c r="M1164">
        <f>IF($AA1164="","",INDEX('Per Line'!$Z$2:$Z$4001,$AA1164)&amp;"")</f>
        <v/>
      </c>
      <c r="N1164">
        <f>IF($AA1164="","",INDEX('Per Line'!$AG$2:$AG$4001,$AA1164))</f>
        <v/>
      </c>
      <c r="O1164">
        <f>IF($AA1164="","",IF(AND(ISNUMBER(N1164),N1164&gt;0),Y1164&gt;N1164,FALSE))</f>
        <v/>
      </c>
      <c r="P1164" s="7">
        <f>IF($AA1164="","",SUMIFS('Per Line'!$Y$2:$Y$4001,'Per Line'!$E$2:$E$4001,$B1164,'Per Line'!$AQ$2:$AQ$4001,1))</f>
        <v/>
      </c>
      <c r="Q1164">
        <f>IF($AA1164="","",Settings!$C$7)</f>
        <v/>
      </c>
      <c r="R1164" s="7">
        <f>IF($AA1164="","",SUMIFS('Per Line'!$Y$2:$Y$4001,'Per Line'!$E$2:$E$4001,$B1164,'Per Line'!$AP$2:$AP$4001,0,'Per Line'!$AQ$2:$AQ$4001,0))</f>
        <v/>
      </c>
      <c r="S1164" s="7">
        <f>IF($AA1164="","",R1164*Q1164)</f>
        <v/>
      </c>
      <c r="T1164">
        <f>IF($AA1164="","",Settings!$C$6)</f>
        <v/>
      </c>
      <c r="U1164" s="7">
        <f>IF($AA1164="","",SUMIFS('Per Line'!$Y$2:$Y$4001,'Per Line'!$E$2:$E$4001,$B1164,'Per Line'!$AP$2:$AP$4001,1,'Per Line'!$AQ$2:$AQ$4001,0))</f>
        <v/>
      </c>
      <c r="V1164" s="7">
        <f>IF($AA1164="","",U1164*T1164)</f>
        <v/>
      </c>
      <c r="W1164" s="7">
        <f>IF($AA1164="","",V1164+S1164)</f>
        <v/>
      </c>
      <c r="X1164" s="7">
        <f>IF($AA1164="","",Y1164-W1164)</f>
        <v/>
      </c>
      <c r="Y1164" s="7">
        <f>IF($AA1164="","",R1164+U1164+P1164)</f>
        <v/>
      </c>
      <c r="Z1164" s="7">
        <f>IF($AA1164="","",Y1164-W1164-L1164)</f>
        <v/>
      </c>
      <c r="AA1164" s="13">
        <f>IF(ROWS($AA$2:$AA1164)&lt;=MAX('Per Line'!$AO$2:$AO$4001),MATCH(ROWS($AA$2:$AA1164),'Per Line'!$AO$2:$AO$4001,0),"")</f>
        <v/>
      </c>
      <c r="AB1164" s="14">
        <f>IF($AA1164="","",L1164-K1164*Y1164/100)</f>
        <v/>
      </c>
    </row>
    <row r="1165">
      <c r="A1165" s="12" t="n"/>
      <c r="B1165">
        <f>IF($AA1165="","",INDEX('Per Line'!$E$2:$E$4001,$AA1165)&amp;"")</f>
        <v/>
      </c>
      <c r="C1165">
        <f>IF($AA1165="","",INDEX('Per Line'!$A$2:$A$4001,$AA1165)&amp;"")</f>
        <v/>
      </c>
      <c r="D1165">
        <f>IF($AA1165="","",INDEX('Per Line'!$D$2:$D$4001,$AA1165)&amp;"")</f>
        <v/>
      </c>
      <c r="E1165" s="11">
        <f>IF($AA1165="","",INDEX('Per Line'!$G$2:$G$4001,$AA1165))</f>
        <v/>
      </c>
      <c r="F1165">
        <f>IF($AA1165="","",INDEX('Per Line'!$H$2:$H$4001,$AA1165)&amp;"")</f>
        <v/>
      </c>
      <c r="G1165">
        <f>IF($AA1165="","",INDEX('Per Line'!$I$2:$I$4001,$AA1165)&amp;"")</f>
        <v/>
      </c>
      <c r="H1165">
        <f>IF($AA1165="","",INDEX('Per Line'!$J$2:$J$4001,$AA1165)&amp;"")</f>
        <v/>
      </c>
      <c r="I1165">
        <f>IF($AA1165="","",INDEX('Per Line'!$K$2:$K$4001,$AA1165)&amp;"")</f>
        <v/>
      </c>
      <c r="J1165">
        <f>IF($AA1165="","",INDEX('Per Line'!$L$2:$L$4001,$AA1165)&amp;"")</f>
        <v/>
      </c>
      <c r="K1165">
        <f>IF($AA1165="","",INDEX('Per Line'!$P$2:$P$4001,$AA1165))</f>
        <v/>
      </c>
      <c r="L1165" s="7">
        <f>IF($AA1165="","",IF(AND(ISNUMBER(N1165),N1165&gt;0,Y1165&gt;N1165),K1165*N1165/100+(Y1165-N1165),K1165*Y1165/100))</f>
        <v/>
      </c>
      <c r="M1165">
        <f>IF($AA1165="","",INDEX('Per Line'!$Z$2:$Z$4001,$AA1165)&amp;"")</f>
        <v/>
      </c>
      <c r="N1165">
        <f>IF($AA1165="","",INDEX('Per Line'!$AG$2:$AG$4001,$AA1165))</f>
        <v/>
      </c>
      <c r="O1165">
        <f>IF($AA1165="","",IF(AND(ISNUMBER(N1165),N1165&gt;0),Y1165&gt;N1165,FALSE))</f>
        <v/>
      </c>
      <c r="P1165" s="7">
        <f>IF($AA1165="","",SUMIFS('Per Line'!$Y$2:$Y$4001,'Per Line'!$E$2:$E$4001,$B1165,'Per Line'!$AQ$2:$AQ$4001,1))</f>
        <v/>
      </c>
      <c r="Q1165">
        <f>IF($AA1165="","",Settings!$C$7)</f>
        <v/>
      </c>
      <c r="R1165" s="7">
        <f>IF($AA1165="","",SUMIFS('Per Line'!$Y$2:$Y$4001,'Per Line'!$E$2:$E$4001,$B1165,'Per Line'!$AP$2:$AP$4001,0,'Per Line'!$AQ$2:$AQ$4001,0))</f>
        <v/>
      </c>
      <c r="S1165" s="7">
        <f>IF($AA1165="","",R1165*Q1165)</f>
        <v/>
      </c>
      <c r="T1165">
        <f>IF($AA1165="","",Settings!$C$6)</f>
        <v/>
      </c>
      <c r="U1165" s="7">
        <f>IF($AA1165="","",SUMIFS('Per Line'!$Y$2:$Y$4001,'Per Line'!$E$2:$E$4001,$B1165,'Per Line'!$AP$2:$AP$4001,1,'Per Line'!$AQ$2:$AQ$4001,0))</f>
        <v/>
      </c>
      <c r="V1165" s="7">
        <f>IF($AA1165="","",U1165*T1165)</f>
        <v/>
      </c>
      <c r="W1165" s="7">
        <f>IF($AA1165="","",V1165+S1165)</f>
        <v/>
      </c>
      <c r="X1165" s="7">
        <f>IF($AA1165="","",Y1165-W1165)</f>
        <v/>
      </c>
      <c r="Y1165" s="7">
        <f>IF($AA1165="","",R1165+U1165+P1165)</f>
        <v/>
      </c>
      <c r="Z1165" s="7">
        <f>IF($AA1165="","",Y1165-W1165-L1165)</f>
        <v/>
      </c>
      <c r="AA1165" s="13">
        <f>IF(ROWS($AA$2:$AA1165)&lt;=MAX('Per Line'!$AO$2:$AO$4001),MATCH(ROWS($AA$2:$AA1165),'Per Line'!$AO$2:$AO$4001,0),"")</f>
        <v/>
      </c>
      <c r="AB1165" s="14">
        <f>IF($AA1165="","",L1165-K1165*Y1165/100)</f>
        <v/>
      </c>
    </row>
    <row r="1166">
      <c r="A1166" s="12" t="n"/>
      <c r="B1166">
        <f>IF($AA1166="","",INDEX('Per Line'!$E$2:$E$4001,$AA1166)&amp;"")</f>
        <v/>
      </c>
      <c r="C1166">
        <f>IF($AA1166="","",INDEX('Per Line'!$A$2:$A$4001,$AA1166)&amp;"")</f>
        <v/>
      </c>
      <c r="D1166">
        <f>IF($AA1166="","",INDEX('Per Line'!$D$2:$D$4001,$AA1166)&amp;"")</f>
        <v/>
      </c>
      <c r="E1166" s="11">
        <f>IF($AA1166="","",INDEX('Per Line'!$G$2:$G$4001,$AA1166))</f>
        <v/>
      </c>
      <c r="F1166">
        <f>IF($AA1166="","",INDEX('Per Line'!$H$2:$H$4001,$AA1166)&amp;"")</f>
        <v/>
      </c>
      <c r="G1166">
        <f>IF($AA1166="","",INDEX('Per Line'!$I$2:$I$4001,$AA1166)&amp;"")</f>
        <v/>
      </c>
      <c r="H1166">
        <f>IF($AA1166="","",INDEX('Per Line'!$J$2:$J$4001,$AA1166)&amp;"")</f>
        <v/>
      </c>
      <c r="I1166">
        <f>IF($AA1166="","",INDEX('Per Line'!$K$2:$K$4001,$AA1166)&amp;"")</f>
        <v/>
      </c>
      <c r="J1166">
        <f>IF($AA1166="","",INDEX('Per Line'!$L$2:$L$4001,$AA1166)&amp;"")</f>
        <v/>
      </c>
      <c r="K1166">
        <f>IF($AA1166="","",INDEX('Per Line'!$P$2:$P$4001,$AA1166))</f>
        <v/>
      </c>
      <c r="L1166" s="7">
        <f>IF($AA1166="","",IF(AND(ISNUMBER(N1166),N1166&gt;0,Y1166&gt;N1166),K1166*N1166/100+(Y1166-N1166),K1166*Y1166/100))</f>
        <v/>
      </c>
      <c r="M1166">
        <f>IF($AA1166="","",INDEX('Per Line'!$Z$2:$Z$4001,$AA1166)&amp;"")</f>
        <v/>
      </c>
      <c r="N1166">
        <f>IF($AA1166="","",INDEX('Per Line'!$AG$2:$AG$4001,$AA1166))</f>
        <v/>
      </c>
      <c r="O1166">
        <f>IF($AA1166="","",IF(AND(ISNUMBER(N1166),N1166&gt;0),Y1166&gt;N1166,FALSE))</f>
        <v/>
      </c>
      <c r="P1166" s="7">
        <f>IF($AA1166="","",SUMIFS('Per Line'!$Y$2:$Y$4001,'Per Line'!$E$2:$E$4001,$B1166,'Per Line'!$AQ$2:$AQ$4001,1))</f>
        <v/>
      </c>
      <c r="Q1166">
        <f>IF($AA1166="","",Settings!$C$7)</f>
        <v/>
      </c>
      <c r="R1166" s="7">
        <f>IF($AA1166="","",SUMIFS('Per Line'!$Y$2:$Y$4001,'Per Line'!$E$2:$E$4001,$B1166,'Per Line'!$AP$2:$AP$4001,0,'Per Line'!$AQ$2:$AQ$4001,0))</f>
        <v/>
      </c>
      <c r="S1166" s="7">
        <f>IF($AA1166="","",R1166*Q1166)</f>
        <v/>
      </c>
      <c r="T1166">
        <f>IF($AA1166="","",Settings!$C$6)</f>
        <v/>
      </c>
      <c r="U1166" s="7">
        <f>IF($AA1166="","",SUMIFS('Per Line'!$Y$2:$Y$4001,'Per Line'!$E$2:$E$4001,$B1166,'Per Line'!$AP$2:$AP$4001,1,'Per Line'!$AQ$2:$AQ$4001,0))</f>
        <v/>
      </c>
      <c r="V1166" s="7">
        <f>IF($AA1166="","",U1166*T1166)</f>
        <v/>
      </c>
      <c r="W1166" s="7">
        <f>IF($AA1166="","",V1166+S1166)</f>
        <v/>
      </c>
      <c r="X1166" s="7">
        <f>IF($AA1166="","",Y1166-W1166)</f>
        <v/>
      </c>
      <c r="Y1166" s="7">
        <f>IF($AA1166="","",R1166+U1166+P1166)</f>
        <v/>
      </c>
      <c r="Z1166" s="7">
        <f>IF($AA1166="","",Y1166-W1166-L1166)</f>
        <v/>
      </c>
      <c r="AA1166" s="13">
        <f>IF(ROWS($AA$2:$AA1166)&lt;=MAX('Per Line'!$AO$2:$AO$4001),MATCH(ROWS($AA$2:$AA1166),'Per Line'!$AO$2:$AO$4001,0),"")</f>
        <v/>
      </c>
      <c r="AB1166" s="14">
        <f>IF($AA1166="","",L1166-K1166*Y1166/100)</f>
        <v/>
      </c>
    </row>
    <row r="1167">
      <c r="A1167" s="12" t="n"/>
      <c r="B1167">
        <f>IF($AA1167="","",INDEX('Per Line'!$E$2:$E$4001,$AA1167)&amp;"")</f>
        <v/>
      </c>
      <c r="C1167">
        <f>IF($AA1167="","",INDEX('Per Line'!$A$2:$A$4001,$AA1167)&amp;"")</f>
        <v/>
      </c>
      <c r="D1167">
        <f>IF($AA1167="","",INDEX('Per Line'!$D$2:$D$4001,$AA1167)&amp;"")</f>
        <v/>
      </c>
      <c r="E1167" s="11">
        <f>IF($AA1167="","",INDEX('Per Line'!$G$2:$G$4001,$AA1167))</f>
        <v/>
      </c>
      <c r="F1167">
        <f>IF($AA1167="","",INDEX('Per Line'!$H$2:$H$4001,$AA1167)&amp;"")</f>
        <v/>
      </c>
      <c r="G1167">
        <f>IF($AA1167="","",INDEX('Per Line'!$I$2:$I$4001,$AA1167)&amp;"")</f>
        <v/>
      </c>
      <c r="H1167">
        <f>IF($AA1167="","",INDEX('Per Line'!$J$2:$J$4001,$AA1167)&amp;"")</f>
        <v/>
      </c>
      <c r="I1167">
        <f>IF($AA1167="","",INDEX('Per Line'!$K$2:$K$4001,$AA1167)&amp;"")</f>
        <v/>
      </c>
      <c r="J1167">
        <f>IF($AA1167="","",INDEX('Per Line'!$L$2:$L$4001,$AA1167)&amp;"")</f>
        <v/>
      </c>
      <c r="K1167">
        <f>IF($AA1167="","",INDEX('Per Line'!$P$2:$P$4001,$AA1167))</f>
        <v/>
      </c>
      <c r="L1167" s="7">
        <f>IF($AA1167="","",IF(AND(ISNUMBER(N1167),N1167&gt;0,Y1167&gt;N1167),K1167*N1167/100+(Y1167-N1167),K1167*Y1167/100))</f>
        <v/>
      </c>
      <c r="M1167">
        <f>IF($AA1167="","",INDEX('Per Line'!$Z$2:$Z$4001,$AA1167)&amp;"")</f>
        <v/>
      </c>
      <c r="N1167">
        <f>IF($AA1167="","",INDEX('Per Line'!$AG$2:$AG$4001,$AA1167))</f>
        <v/>
      </c>
      <c r="O1167">
        <f>IF($AA1167="","",IF(AND(ISNUMBER(N1167),N1167&gt;0),Y1167&gt;N1167,FALSE))</f>
        <v/>
      </c>
      <c r="P1167" s="7">
        <f>IF($AA1167="","",SUMIFS('Per Line'!$Y$2:$Y$4001,'Per Line'!$E$2:$E$4001,$B1167,'Per Line'!$AQ$2:$AQ$4001,1))</f>
        <v/>
      </c>
      <c r="Q1167">
        <f>IF($AA1167="","",Settings!$C$7)</f>
        <v/>
      </c>
      <c r="R1167" s="7">
        <f>IF($AA1167="","",SUMIFS('Per Line'!$Y$2:$Y$4001,'Per Line'!$E$2:$E$4001,$B1167,'Per Line'!$AP$2:$AP$4001,0,'Per Line'!$AQ$2:$AQ$4001,0))</f>
        <v/>
      </c>
      <c r="S1167" s="7">
        <f>IF($AA1167="","",R1167*Q1167)</f>
        <v/>
      </c>
      <c r="T1167">
        <f>IF($AA1167="","",Settings!$C$6)</f>
        <v/>
      </c>
      <c r="U1167" s="7">
        <f>IF($AA1167="","",SUMIFS('Per Line'!$Y$2:$Y$4001,'Per Line'!$E$2:$E$4001,$B1167,'Per Line'!$AP$2:$AP$4001,1,'Per Line'!$AQ$2:$AQ$4001,0))</f>
        <v/>
      </c>
      <c r="V1167" s="7">
        <f>IF($AA1167="","",U1167*T1167)</f>
        <v/>
      </c>
      <c r="W1167" s="7">
        <f>IF($AA1167="","",V1167+S1167)</f>
        <v/>
      </c>
      <c r="X1167" s="7">
        <f>IF($AA1167="","",Y1167-W1167)</f>
        <v/>
      </c>
      <c r="Y1167" s="7">
        <f>IF($AA1167="","",R1167+U1167+P1167)</f>
        <v/>
      </c>
      <c r="Z1167" s="7">
        <f>IF($AA1167="","",Y1167-W1167-L1167)</f>
        <v/>
      </c>
      <c r="AA1167" s="13">
        <f>IF(ROWS($AA$2:$AA1167)&lt;=MAX('Per Line'!$AO$2:$AO$4001),MATCH(ROWS($AA$2:$AA1167),'Per Line'!$AO$2:$AO$4001,0),"")</f>
        <v/>
      </c>
      <c r="AB1167" s="14">
        <f>IF($AA1167="","",L1167-K1167*Y1167/100)</f>
        <v/>
      </c>
    </row>
    <row r="1168">
      <c r="A1168" s="12" t="n"/>
      <c r="B1168">
        <f>IF($AA1168="","",INDEX('Per Line'!$E$2:$E$4001,$AA1168)&amp;"")</f>
        <v/>
      </c>
      <c r="C1168">
        <f>IF($AA1168="","",INDEX('Per Line'!$A$2:$A$4001,$AA1168)&amp;"")</f>
        <v/>
      </c>
      <c r="D1168">
        <f>IF($AA1168="","",INDEX('Per Line'!$D$2:$D$4001,$AA1168)&amp;"")</f>
        <v/>
      </c>
      <c r="E1168" s="11">
        <f>IF($AA1168="","",INDEX('Per Line'!$G$2:$G$4001,$AA1168))</f>
        <v/>
      </c>
      <c r="F1168">
        <f>IF($AA1168="","",INDEX('Per Line'!$H$2:$H$4001,$AA1168)&amp;"")</f>
        <v/>
      </c>
      <c r="G1168">
        <f>IF($AA1168="","",INDEX('Per Line'!$I$2:$I$4001,$AA1168)&amp;"")</f>
        <v/>
      </c>
      <c r="H1168">
        <f>IF($AA1168="","",INDEX('Per Line'!$J$2:$J$4001,$AA1168)&amp;"")</f>
        <v/>
      </c>
      <c r="I1168">
        <f>IF($AA1168="","",INDEX('Per Line'!$K$2:$K$4001,$AA1168)&amp;"")</f>
        <v/>
      </c>
      <c r="J1168">
        <f>IF($AA1168="","",INDEX('Per Line'!$L$2:$L$4001,$AA1168)&amp;"")</f>
        <v/>
      </c>
      <c r="K1168">
        <f>IF($AA1168="","",INDEX('Per Line'!$P$2:$P$4001,$AA1168))</f>
        <v/>
      </c>
      <c r="L1168" s="7">
        <f>IF($AA1168="","",IF(AND(ISNUMBER(N1168),N1168&gt;0,Y1168&gt;N1168),K1168*N1168/100+(Y1168-N1168),K1168*Y1168/100))</f>
        <v/>
      </c>
      <c r="M1168">
        <f>IF($AA1168="","",INDEX('Per Line'!$Z$2:$Z$4001,$AA1168)&amp;"")</f>
        <v/>
      </c>
      <c r="N1168">
        <f>IF($AA1168="","",INDEX('Per Line'!$AG$2:$AG$4001,$AA1168))</f>
        <v/>
      </c>
      <c r="O1168">
        <f>IF($AA1168="","",IF(AND(ISNUMBER(N1168),N1168&gt;0),Y1168&gt;N1168,FALSE))</f>
        <v/>
      </c>
      <c r="P1168" s="7">
        <f>IF($AA1168="","",SUMIFS('Per Line'!$Y$2:$Y$4001,'Per Line'!$E$2:$E$4001,$B1168,'Per Line'!$AQ$2:$AQ$4001,1))</f>
        <v/>
      </c>
      <c r="Q1168">
        <f>IF($AA1168="","",Settings!$C$7)</f>
        <v/>
      </c>
      <c r="R1168" s="7">
        <f>IF($AA1168="","",SUMIFS('Per Line'!$Y$2:$Y$4001,'Per Line'!$E$2:$E$4001,$B1168,'Per Line'!$AP$2:$AP$4001,0,'Per Line'!$AQ$2:$AQ$4001,0))</f>
        <v/>
      </c>
      <c r="S1168" s="7">
        <f>IF($AA1168="","",R1168*Q1168)</f>
        <v/>
      </c>
      <c r="T1168">
        <f>IF($AA1168="","",Settings!$C$6)</f>
        <v/>
      </c>
      <c r="U1168" s="7">
        <f>IF($AA1168="","",SUMIFS('Per Line'!$Y$2:$Y$4001,'Per Line'!$E$2:$E$4001,$B1168,'Per Line'!$AP$2:$AP$4001,1,'Per Line'!$AQ$2:$AQ$4001,0))</f>
        <v/>
      </c>
      <c r="V1168" s="7">
        <f>IF($AA1168="","",U1168*T1168)</f>
        <v/>
      </c>
      <c r="W1168" s="7">
        <f>IF($AA1168="","",V1168+S1168)</f>
        <v/>
      </c>
      <c r="X1168" s="7">
        <f>IF($AA1168="","",Y1168-W1168)</f>
        <v/>
      </c>
      <c r="Y1168" s="7">
        <f>IF($AA1168="","",R1168+U1168+P1168)</f>
        <v/>
      </c>
      <c r="Z1168" s="7">
        <f>IF($AA1168="","",Y1168-W1168-L1168)</f>
        <v/>
      </c>
      <c r="AA1168" s="13">
        <f>IF(ROWS($AA$2:$AA1168)&lt;=MAX('Per Line'!$AO$2:$AO$4001),MATCH(ROWS($AA$2:$AA1168),'Per Line'!$AO$2:$AO$4001,0),"")</f>
        <v/>
      </c>
      <c r="AB1168" s="14">
        <f>IF($AA1168="","",L1168-K1168*Y1168/100)</f>
        <v/>
      </c>
    </row>
    <row r="1169">
      <c r="A1169" s="12" t="n"/>
      <c r="B1169">
        <f>IF($AA1169="","",INDEX('Per Line'!$E$2:$E$4001,$AA1169)&amp;"")</f>
        <v/>
      </c>
      <c r="C1169">
        <f>IF($AA1169="","",INDEX('Per Line'!$A$2:$A$4001,$AA1169)&amp;"")</f>
        <v/>
      </c>
      <c r="D1169">
        <f>IF($AA1169="","",INDEX('Per Line'!$D$2:$D$4001,$AA1169)&amp;"")</f>
        <v/>
      </c>
      <c r="E1169" s="11">
        <f>IF($AA1169="","",INDEX('Per Line'!$G$2:$G$4001,$AA1169))</f>
        <v/>
      </c>
      <c r="F1169">
        <f>IF($AA1169="","",INDEX('Per Line'!$H$2:$H$4001,$AA1169)&amp;"")</f>
        <v/>
      </c>
      <c r="G1169">
        <f>IF($AA1169="","",INDEX('Per Line'!$I$2:$I$4001,$AA1169)&amp;"")</f>
        <v/>
      </c>
      <c r="H1169">
        <f>IF($AA1169="","",INDEX('Per Line'!$J$2:$J$4001,$AA1169)&amp;"")</f>
        <v/>
      </c>
      <c r="I1169">
        <f>IF($AA1169="","",INDEX('Per Line'!$K$2:$K$4001,$AA1169)&amp;"")</f>
        <v/>
      </c>
      <c r="J1169">
        <f>IF($AA1169="","",INDEX('Per Line'!$L$2:$L$4001,$AA1169)&amp;"")</f>
        <v/>
      </c>
      <c r="K1169">
        <f>IF($AA1169="","",INDEX('Per Line'!$P$2:$P$4001,$AA1169))</f>
        <v/>
      </c>
      <c r="L1169" s="7">
        <f>IF($AA1169="","",IF(AND(ISNUMBER(N1169),N1169&gt;0,Y1169&gt;N1169),K1169*N1169/100+(Y1169-N1169),K1169*Y1169/100))</f>
        <v/>
      </c>
      <c r="M1169">
        <f>IF($AA1169="","",INDEX('Per Line'!$Z$2:$Z$4001,$AA1169)&amp;"")</f>
        <v/>
      </c>
      <c r="N1169">
        <f>IF($AA1169="","",INDEX('Per Line'!$AG$2:$AG$4001,$AA1169))</f>
        <v/>
      </c>
      <c r="O1169">
        <f>IF($AA1169="","",IF(AND(ISNUMBER(N1169),N1169&gt;0),Y1169&gt;N1169,FALSE))</f>
        <v/>
      </c>
      <c r="P1169" s="7">
        <f>IF($AA1169="","",SUMIFS('Per Line'!$Y$2:$Y$4001,'Per Line'!$E$2:$E$4001,$B1169,'Per Line'!$AQ$2:$AQ$4001,1))</f>
        <v/>
      </c>
      <c r="Q1169">
        <f>IF($AA1169="","",Settings!$C$7)</f>
        <v/>
      </c>
      <c r="R1169" s="7">
        <f>IF($AA1169="","",SUMIFS('Per Line'!$Y$2:$Y$4001,'Per Line'!$E$2:$E$4001,$B1169,'Per Line'!$AP$2:$AP$4001,0,'Per Line'!$AQ$2:$AQ$4001,0))</f>
        <v/>
      </c>
      <c r="S1169" s="7">
        <f>IF($AA1169="","",R1169*Q1169)</f>
        <v/>
      </c>
      <c r="T1169">
        <f>IF($AA1169="","",Settings!$C$6)</f>
        <v/>
      </c>
      <c r="U1169" s="7">
        <f>IF($AA1169="","",SUMIFS('Per Line'!$Y$2:$Y$4001,'Per Line'!$E$2:$E$4001,$B1169,'Per Line'!$AP$2:$AP$4001,1,'Per Line'!$AQ$2:$AQ$4001,0))</f>
        <v/>
      </c>
      <c r="V1169" s="7">
        <f>IF($AA1169="","",U1169*T1169)</f>
        <v/>
      </c>
      <c r="W1169" s="7">
        <f>IF($AA1169="","",V1169+S1169)</f>
        <v/>
      </c>
      <c r="X1169" s="7">
        <f>IF($AA1169="","",Y1169-W1169)</f>
        <v/>
      </c>
      <c r="Y1169" s="7">
        <f>IF($AA1169="","",R1169+U1169+P1169)</f>
        <v/>
      </c>
      <c r="Z1169" s="7">
        <f>IF($AA1169="","",Y1169-W1169-L1169)</f>
        <v/>
      </c>
      <c r="AA1169" s="13">
        <f>IF(ROWS($AA$2:$AA1169)&lt;=MAX('Per Line'!$AO$2:$AO$4001),MATCH(ROWS($AA$2:$AA1169),'Per Line'!$AO$2:$AO$4001,0),"")</f>
        <v/>
      </c>
      <c r="AB1169" s="14">
        <f>IF($AA1169="","",L1169-K1169*Y1169/100)</f>
        <v/>
      </c>
    </row>
    <row r="1170">
      <c r="A1170" s="12" t="n"/>
      <c r="B1170">
        <f>IF($AA1170="","",INDEX('Per Line'!$E$2:$E$4001,$AA1170)&amp;"")</f>
        <v/>
      </c>
      <c r="C1170">
        <f>IF($AA1170="","",INDEX('Per Line'!$A$2:$A$4001,$AA1170)&amp;"")</f>
        <v/>
      </c>
      <c r="D1170">
        <f>IF($AA1170="","",INDEX('Per Line'!$D$2:$D$4001,$AA1170)&amp;"")</f>
        <v/>
      </c>
      <c r="E1170" s="11">
        <f>IF($AA1170="","",INDEX('Per Line'!$G$2:$G$4001,$AA1170))</f>
        <v/>
      </c>
      <c r="F1170">
        <f>IF($AA1170="","",INDEX('Per Line'!$H$2:$H$4001,$AA1170)&amp;"")</f>
        <v/>
      </c>
      <c r="G1170">
        <f>IF($AA1170="","",INDEX('Per Line'!$I$2:$I$4001,$AA1170)&amp;"")</f>
        <v/>
      </c>
      <c r="H1170">
        <f>IF($AA1170="","",INDEX('Per Line'!$J$2:$J$4001,$AA1170)&amp;"")</f>
        <v/>
      </c>
      <c r="I1170">
        <f>IF($AA1170="","",INDEX('Per Line'!$K$2:$K$4001,$AA1170)&amp;"")</f>
        <v/>
      </c>
      <c r="J1170">
        <f>IF($AA1170="","",INDEX('Per Line'!$L$2:$L$4001,$AA1170)&amp;"")</f>
        <v/>
      </c>
      <c r="K1170">
        <f>IF($AA1170="","",INDEX('Per Line'!$P$2:$P$4001,$AA1170))</f>
        <v/>
      </c>
      <c r="L1170" s="7">
        <f>IF($AA1170="","",IF(AND(ISNUMBER(N1170),N1170&gt;0,Y1170&gt;N1170),K1170*N1170/100+(Y1170-N1170),K1170*Y1170/100))</f>
        <v/>
      </c>
      <c r="M1170">
        <f>IF($AA1170="","",INDEX('Per Line'!$Z$2:$Z$4001,$AA1170)&amp;"")</f>
        <v/>
      </c>
      <c r="N1170">
        <f>IF($AA1170="","",INDEX('Per Line'!$AG$2:$AG$4001,$AA1170))</f>
        <v/>
      </c>
      <c r="O1170">
        <f>IF($AA1170="","",IF(AND(ISNUMBER(N1170),N1170&gt;0),Y1170&gt;N1170,FALSE))</f>
        <v/>
      </c>
      <c r="P1170" s="7">
        <f>IF($AA1170="","",SUMIFS('Per Line'!$Y$2:$Y$4001,'Per Line'!$E$2:$E$4001,$B1170,'Per Line'!$AQ$2:$AQ$4001,1))</f>
        <v/>
      </c>
      <c r="Q1170">
        <f>IF($AA1170="","",Settings!$C$7)</f>
        <v/>
      </c>
      <c r="R1170" s="7">
        <f>IF($AA1170="","",SUMIFS('Per Line'!$Y$2:$Y$4001,'Per Line'!$E$2:$E$4001,$B1170,'Per Line'!$AP$2:$AP$4001,0,'Per Line'!$AQ$2:$AQ$4001,0))</f>
        <v/>
      </c>
      <c r="S1170" s="7">
        <f>IF($AA1170="","",R1170*Q1170)</f>
        <v/>
      </c>
      <c r="T1170">
        <f>IF($AA1170="","",Settings!$C$6)</f>
        <v/>
      </c>
      <c r="U1170" s="7">
        <f>IF($AA1170="","",SUMIFS('Per Line'!$Y$2:$Y$4001,'Per Line'!$E$2:$E$4001,$B1170,'Per Line'!$AP$2:$AP$4001,1,'Per Line'!$AQ$2:$AQ$4001,0))</f>
        <v/>
      </c>
      <c r="V1170" s="7">
        <f>IF($AA1170="","",U1170*T1170)</f>
        <v/>
      </c>
      <c r="W1170" s="7">
        <f>IF($AA1170="","",V1170+S1170)</f>
        <v/>
      </c>
      <c r="X1170" s="7">
        <f>IF($AA1170="","",Y1170-W1170)</f>
        <v/>
      </c>
      <c r="Y1170" s="7">
        <f>IF($AA1170="","",R1170+U1170+P1170)</f>
        <v/>
      </c>
      <c r="Z1170" s="7">
        <f>IF($AA1170="","",Y1170-W1170-L1170)</f>
        <v/>
      </c>
      <c r="AA1170" s="13">
        <f>IF(ROWS($AA$2:$AA1170)&lt;=MAX('Per Line'!$AO$2:$AO$4001),MATCH(ROWS($AA$2:$AA1170),'Per Line'!$AO$2:$AO$4001,0),"")</f>
        <v/>
      </c>
      <c r="AB1170" s="14">
        <f>IF($AA1170="","",L1170-K1170*Y1170/100)</f>
        <v/>
      </c>
    </row>
    <row r="1171">
      <c r="A1171" s="12" t="n"/>
      <c r="B1171">
        <f>IF($AA1171="","",INDEX('Per Line'!$E$2:$E$4001,$AA1171)&amp;"")</f>
        <v/>
      </c>
      <c r="C1171">
        <f>IF($AA1171="","",INDEX('Per Line'!$A$2:$A$4001,$AA1171)&amp;"")</f>
        <v/>
      </c>
      <c r="D1171">
        <f>IF($AA1171="","",INDEX('Per Line'!$D$2:$D$4001,$AA1171)&amp;"")</f>
        <v/>
      </c>
      <c r="E1171" s="11">
        <f>IF($AA1171="","",INDEX('Per Line'!$G$2:$G$4001,$AA1171))</f>
        <v/>
      </c>
      <c r="F1171">
        <f>IF($AA1171="","",INDEX('Per Line'!$H$2:$H$4001,$AA1171)&amp;"")</f>
        <v/>
      </c>
      <c r="G1171">
        <f>IF($AA1171="","",INDEX('Per Line'!$I$2:$I$4001,$AA1171)&amp;"")</f>
        <v/>
      </c>
      <c r="H1171">
        <f>IF($AA1171="","",INDEX('Per Line'!$J$2:$J$4001,$AA1171)&amp;"")</f>
        <v/>
      </c>
      <c r="I1171">
        <f>IF($AA1171="","",INDEX('Per Line'!$K$2:$K$4001,$AA1171)&amp;"")</f>
        <v/>
      </c>
      <c r="J1171">
        <f>IF($AA1171="","",INDEX('Per Line'!$L$2:$L$4001,$AA1171)&amp;"")</f>
        <v/>
      </c>
      <c r="K1171">
        <f>IF($AA1171="","",INDEX('Per Line'!$P$2:$P$4001,$AA1171))</f>
        <v/>
      </c>
      <c r="L1171" s="7">
        <f>IF($AA1171="","",IF(AND(ISNUMBER(N1171),N1171&gt;0,Y1171&gt;N1171),K1171*N1171/100+(Y1171-N1171),K1171*Y1171/100))</f>
        <v/>
      </c>
      <c r="M1171">
        <f>IF($AA1171="","",INDEX('Per Line'!$Z$2:$Z$4001,$AA1171)&amp;"")</f>
        <v/>
      </c>
      <c r="N1171">
        <f>IF($AA1171="","",INDEX('Per Line'!$AG$2:$AG$4001,$AA1171))</f>
        <v/>
      </c>
      <c r="O1171">
        <f>IF($AA1171="","",IF(AND(ISNUMBER(N1171),N1171&gt;0),Y1171&gt;N1171,FALSE))</f>
        <v/>
      </c>
      <c r="P1171" s="7">
        <f>IF($AA1171="","",SUMIFS('Per Line'!$Y$2:$Y$4001,'Per Line'!$E$2:$E$4001,$B1171,'Per Line'!$AQ$2:$AQ$4001,1))</f>
        <v/>
      </c>
      <c r="Q1171">
        <f>IF($AA1171="","",Settings!$C$7)</f>
        <v/>
      </c>
      <c r="R1171" s="7">
        <f>IF($AA1171="","",SUMIFS('Per Line'!$Y$2:$Y$4001,'Per Line'!$E$2:$E$4001,$B1171,'Per Line'!$AP$2:$AP$4001,0,'Per Line'!$AQ$2:$AQ$4001,0))</f>
        <v/>
      </c>
      <c r="S1171" s="7">
        <f>IF($AA1171="","",R1171*Q1171)</f>
        <v/>
      </c>
      <c r="T1171">
        <f>IF($AA1171="","",Settings!$C$6)</f>
        <v/>
      </c>
      <c r="U1171" s="7">
        <f>IF($AA1171="","",SUMIFS('Per Line'!$Y$2:$Y$4001,'Per Line'!$E$2:$E$4001,$B1171,'Per Line'!$AP$2:$AP$4001,1,'Per Line'!$AQ$2:$AQ$4001,0))</f>
        <v/>
      </c>
      <c r="V1171" s="7">
        <f>IF($AA1171="","",U1171*T1171)</f>
        <v/>
      </c>
      <c r="W1171" s="7">
        <f>IF($AA1171="","",V1171+S1171)</f>
        <v/>
      </c>
      <c r="X1171" s="7">
        <f>IF($AA1171="","",Y1171-W1171)</f>
        <v/>
      </c>
      <c r="Y1171" s="7">
        <f>IF($AA1171="","",R1171+U1171+P1171)</f>
        <v/>
      </c>
      <c r="Z1171" s="7">
        <f>IF($AA1171="","",Y1171-W1171-L1171)</f>
        <v/>
      </c>
      <c r="AA1171" s="13">
        <f>IF(ROWS($AA$2:$AA1171)&lt;=MAX('Per Line'!$AO$2:$AO$4001),MATCH(ROWS($AA$2:$AA1171),'Per Line'!$AO$2:$AO$4001,0),"")</f>
        <v/>
      </c>
      <c r="AB1171" s="14">
        <f>IF($AA1171="","",L1171-K1171*Y1171/100)</f>
        <v/>
      </c>
    </row>
    <row r="1172">
      <c r="A1172" s="12" t="n"/>
      <c r="B1172">
        <f>IF($AA1172="","",INDEX('Per Line'!$E$2:$E$4001,$AA1172)&amp;"")</f>
        <v/>
      </c>
      <c r="C1172">
        <f>IF($AA1172="","",INDEX('Per Line'!$A$2:$A$4001,$AA1172)&amp;"")</f>
        <v/>
      </c>
      <c r="D1172">
        <f>IF($AA1172="","",INDEX('Per Line'!$D$2:$D$4001,$AA1172)&amp;"")</f>
        <v/>
      </c>
      <c r="E1172" s="11">
        <f>IF($AA1172="","",INDEX('Per Line'!$G$2:$G$4001,$AA1172))</f>
        <v/>
      </c>
      <c r="F1172">
        <f>IF($AA1172="","",INDEX('Per Line'!$H$2:$H$4001,$AA1172)&amp;"")</f>
        <v/>
      </c>
      <c r="G1172">
        <f>IF($AA1172="","",INDEX('Per Line'!$I$2:$I$4001,$AA1172)&amp;"")</f>
        <v/>
      </c>
      <c r="H1172">
        <f>IF($AA1172="","",INDEX('Per Line'!$J$2:$J$4001,$AA1172)&amp;"")</f>
        <v/>
      </c>
      <c r="I1172">
        <f>IF($AA1172="","",INDEX('Per Line'!$K$2:$K$4001,$AA1172)&amp;"")</f>
        <v/>
      </c>
      <c r="J1172">
        <f>IF($AA1172="","",INDEX('Per Line'!$L$2:$L$4001,$AA1172)&amp;"")</f>
        <v/>
      </c>
      <c r="K1172">
        <f>IF($AA1172="","",INDEX('Per Line'!$P$2:$P$4001,$AA1172))</f>
        <v/>
      </c>
      <c r="L1172" s="7">
        <f>IF($AA1172="","",IF(AND(ISNUMBER(N1172),N1172&gt;0,Y1172&gt;N1172),K1172*N1172/100+(Y1172-N1172),K1172*Y1172/100))</f>
        <v/>
      </c>
      <c r="M1172">
        <f>IF($AA1172="","",INDEX('Per Line'!$Z$2:$Z$4001,$AA1172)&amp;"")</f>
        <v/>
      </c>
      <c r="N1172">
        <f>IF($AA1172="","",INDEX('Per Line'!$AG$2:$AG$4001,$AA1172))</f>
        <v/>
      </c>
      <c r="O1172">
        <f>IF($AA1172="","",IF(AND(ISNUMBER(N1172),N1172&gt;0),Y1172&gt;N1172,FALSE))</f>
        <v/>
      </c>
      <c r="P1172" s="7">
        <f>IF($AA1172="","",SUMIFS('Per Line'!$Y$2:$Y$4001,'Per Line'!$E$2:$E$4001,$B1172,'Per Line'!$AQ$2:$AQ$4001,1))</f>
        <v/>
      </c>
      <c r="Q1172">
        <f>IF($AA1172="","",Settings!$C$7)</f>
        <v/>
      </c>
      <c r="R1172" s="7">
        <f>IF($AA1172="","",SUMIFS('Per Line'!$Y$2:$Y$4001,'Per Line'!$E$2:$E$4001,$B1172,'Per Line'!$AP$2:$AP$4001,0,'Per Line'!$AQ$2:$AQ$4001,0))</f>
        <v/>
      </c>
      <c r="S1172" s="7">
        <f>IF($AA1172="","",R1172*Q1172)</f>
        <v/>
      </c>
      <c r="T1172">
        <f>IF($AA1172="","",Settings!$C$6)</f>
        <v/>
      </c>
      <c r="U1172" s="7">
        <f>IF($AA1172="","",SUMIFS('Per Line'!$Y$2:$Y$4001,'Per Line'!$E$2:$E$4001,$B1172,'Per Line'!$AP$2:$AP$4001,1,'Per Line'!$AQ$2:$AQ$4001,0))</f>
        <v/>
      </c>
      <c r="V1172" s="7">
        <f>IF($AA1172="","",U1172*T1172)</f>
        <v/>
      </c>
      <c r="W1172" s="7">
        <f>IF($AA1172="","",V1172+S1172)</f>
        <v/>
      </c>
      <c r="X1172" s="7">
        <f>IF($AA1172="","",Y1172-W1172)</f>
        <v/>
      </c>
      <c r="Y1172" s="7">
        <f>IF($AA1172="","",R1172+U1172+P1172)</f>
        <v/>
      </c>
      <c r="Z1172" s="7">
        <f>IF($AA1172="","",Y1172-W1172-L1172)</f>
        <v/>
      </c>
      <c r="AA1172" s="13">
        <f>IF(ROWS($AA$2:$AA1172)&lt;=MAX('Per Line'!$AO$2:$AO$4001),MATCH(ROWS($AA$2:$AA1172),'Per Line'!$AO$2:$AO$4001,0),"")</f>
        <v/>
      </c>
      <c r="AB1172" s="14">
        <f>IF($AA1172="","",L1172-K1172*Y1172/100)</f>
        <v/>
      </c>
    </row>
    <row r="1173">
      <c r="A1173" s="12" t="n"/>
      <c r="B1173">
        <f>IF($AA1173="","",INDEX('Per Line'!$E$2:$E$4001,$AA1173)&amp;"")</f>
        <v/>
      </c>
      <c r="C1173">
        <f>IF($AA1173="","",INDEX('Per Line'!$A$2:$A$4001,$AA1173)&amp;"")</f>
        <v/>
      </c>
      <c r="D1173">
        <f>IF($AA1173="","",INDEX('Per Line'!$D$2:$D$4001,$AA1173)&amp;"")</f>
        <v/>
      </c>
      <c r="E1173" s="11">
        <f>IF($AA1173="","",INDEX('Per Line'!$G$2:$G$4001,$AA1173))</f>
        <v/>
      </c>
      <c r="F1173">
        <f>IF($AA1173="","",INDEX('Per Line'!$H$2:$H$4001,$AA1173)&amp;"")</f>
        <v/>
      </c>
      <c r="G1173">
        <f>IF($AA1173="","",INDEX('Per Line'!$I$2:$I$4001,$AA1173)&amp;"")</f>
        <v/>
      </c>
      <c r="H1173">
        <f>IF($AA1173="","",INDEX('Per Line'!$J$2:$J$4001,$AA1173)&amp;"")</f>
        <v/>
      </c>
      <c r="I1173">
        <f>IF($AA1173="","",INDEX('Per Line'!$K$2:$K$4001,$AA1173)&amp;"")</f>
        <v/>
      </c>
      <c r="J1173">
        <f>IF($AA1173="","",INDEX('Per Line'!$L$2:$L$4001,$AA1173)&amp;"")</f>
        <v/>
      </c>
      <c r="K1173">
        <f>IF($AA1173="","",INDEX('Per Line'!$P$2:$P$4001,$AA1173))</f>
        <v/>
      </c>
      <c r="L1173" s="7">
        <f>IF($AA1173="","",IF(AND(ISNUMBER(N1173),N1173&gt;0,Y1173&gt;N1173),K1173*N1173/100+(Y1173-N1173),K1173*Y1173/100))</f>
        <v/>
      </c>
      <c r="M1173">
        <f>IF($AA1173="","",INDEX('Per Line'!$Z$2:$Z$4001,$AA1173)&amp;"")</f>
        <v/>
      </c>
      <c r="N1173">
        <f>IF($AA1173="","",INDEX('Per Line'!$AG$2:$AG$4001,$AA1173))</f>
        <v/>
      </c>
      <c r="O1173">
        <f>IF($AA1173="","",IF(AND(ISNUMBER(N1173),N1173&gt;0),Y1173&gt;N1173,FALSE))</f>
        <v/>
      </c>
      <c r="P1173" s="7">
        <f>IF($AA1173="","",SUMIFS('Per Line'!$Y$2:$Y$4001,'Per Line'!$E$2:$E$4001,$B1173,'Per Line'!$AQ$2:$AQ$4001,1))</f>
        <v/>
      </c>
      <c r="Q1173">
        <f>IF($AA1173="","",Settings!$C$7)</f>
        <v/>
      </c>
      <c r="R1173" s="7">
        <f>IF($AA1173="","",SUMIFS('Per Line'!$Y$2:$Y$4001,'Per Line'!$E$2:$E$4001,$B1173,'Per Line'!$AP$2:$AP$4001,0,'Per Line'!$AQ$2:$AQ$4001,0))</f>
        <v/>
      </c>
      <c r="S1173" s="7">
        <f>IF($AA1173="","",R1173*Q1173)</f>
        <v/>
      </c>
      <c r="T1173">
        <f>IF($AA1173="","",Settings!$C$6)</f>
        <v/>
      </c>
      <c r="U1173" s="7">
        <f>IF($AA1173="","",SUMIFS('Per Line'!$Y$2:$Y$4001,'Per Line'!$E$2:$E$4001,$B1173,'Per Line'!$AP$2:$AP$4001,1,'Per Line'!$AQ$2:$AQ$4001,0))</f>
        <v/>
      </c>
      <c r="V1173" s="7">
        <f>IF($AA1173="","",U1173*T1173)</f>
        <v/>
      </c>
      <c r="W1173" s="7">
        <f>IF($AA1173="","",V1173+S1173)</f>
        <v/>
      </c>
      <c r="X1173" s="7">
        <f>IF($AA1173="","",Y1173-W1173)</f>
        <v/>
      </c>
      <c r="Y1173" s="7">
        <f>IF($AA1173="","",R1173+U1173+P1173)</f>
        <v/>
      </c>
      <c r="Z1173" s="7">
        <f>IF($AA1173="","",Y1173-W1173-L1173)</f>
        <v/>
      </c>
      <c r="AA1173" s="13">
        <f>IF(ROWS($AA$2:$AA1173)&lt;=MAX('Per Line'!$AO$2:$AO$4001),MATCH(ROWS($AA$2:$AA1173),'Per Line'!$AO$2:$AO$4001,0),"")</f>
        <v/>
      </c>
      <c r="AB1173" s="14">
        <f>IF($AA1173="","",L1173-K1173*Y1173/100)</f>
        <v/>
      </c>
    </row>
    <row r="1174">
      <c r="A1174" s="12" t="n"/>
      <c r="B1174">
        <f>IF($AA1174="","",INDEX('Per Line'!$E$2:$E$4001,$AA1174)&amp;"")</f>
        <v/>
      </c>
      <c r="C1174">
        <f>IF($AA1174="","",INDEX('Per Line'!$A$2:$A$4001,$AA1174)&amp;"")</f>
        <v/>
      </c>
      <c r="D1174">
        <f>IF($AA1174="","",INDEX('Per Line'!$D$2:$D$4001,$AA1174)&amp;"")</f>
        <v/>
      </c>
      <c r="E1174" s="11">
        <f>IF($AA1174="","",INDEX('Per Line'!$G$2:$G$4001,$AA1174))</f>
        <v/>
      </c>
      <c r="F1174">
        <f>IF($AA1174="","",INDEX('Per Line'!$H$2:$H$4001,$AA1174)&amp;"")</f>
        <v/>
      </c>
      <c r="G1174">
        <f>IF($AA1174="","",INDEX('Per Line'!$I$2:$I$4001,$AA1174)&amp;"")</f>
        <v/>
      </c>
      <c r="H1174">
        <f>IF($AA1174="","",INDEX('Per Line'!$J$2:$J$4001,$AA1174)&amp;"")</f>
        <v/>
      </c>
      <c r="I1174">
        <f>IF($AA1174="","",INDEX('Per Line'!$K$2:$K$4001,$AA1174)&amp;"")</f>
        <v/>
      </c>
      <c r="J1174">
        <f>IF($AA1174="","",INDEX('Per Line'!$L$2:$L$4001,$AA1174)&amp;"")</f>
        <v/>
      </c>
      <c r="K1174">
        <f>IF($AA1174="","",INDEX('Per Line'!$P$2:$P$4001,$AA1174))</f>
        <v/>
      </c>
      <c r="L1174" s="7">
        <f>IF($AA1174="","",IF(AND(ISNUMBER(N1174),N1174&gt;0,Y1174&gt;N1174),K1174*N1174/100+(Y1174-N1174),K1174*Y1174/100))</f>
        <v/>
      </c>
      <c r="M1174">
        <f>IF($AA1174="","",INDEX('Per Line'!$Z$2:$Z$4001,$AA1174)&amp;"")</f>
        <v/>
      </c>
      <c r="N1174">
        <f>IF($AA1174="","",INDEX('Per Line'!$AG$2:$AG$4001,$AA1174))</f>
        <v/>
      </c>
      <c r="O1174">
        <f>IF($AA1174="","",IF(AND(ISNUMBER(N1174),N1174&gt;0),Y1174&gt;N1174,FALSE))</f>
        <v/>
      </c>
      <c r="P1174" s="7">
        <f>IF($AA1174="","",SUMIFS('Per Line'!$Y$2:$Y$4001,'Per Line'!$E$2:$E$4001,$B1174,'Per Line'!$AQ$2:$AQ$4001,1))</f>
        <v/>
      </c>
      <c r="Q1174">
        <f>IF($AA1174="","",Settings!$C$7)</f>
        <v/>
      </c>
      <c r="R1174" s="7">
        <f>IF($AA1174="","",SUMIFS('Per Line'!$Y$2:$Y$4001,'Per Line'!$E$2:$E$4001,$B1174,'Per Line'!$AP$2:$AP$4001,0,'Per Line'!$AQ$2:$AQ$4001,0))</f>
        <v/>
      </c>
      <c r="S1174" s="7">
        <f>IF($AA1174="","",R1174*Q1174)</f>
        <v/>
      </c>
      <c r="T1174">
        <f>IF($AA1174="","",Settings!$C$6)</f>
        <v/>
      </c>
      <c r="U1174" s="7">
        <f>IF($AA1174="","",SUMIFS('Per Line'!$Y$2:$Y$4001,'Per Line'!$E$2:$E$4001,$B1174,'Per Line'!$AP$2:$AP$4001,1,'Per Line'!$AQ$2:$AQ$4001,0))</f>
        <v/>
      </c>
      <c r="V1174" s="7">
        <f>IF($AA1174="","",U1174*T1174)</f>
        <v/>
      </c>
      <c r="W1174" s="7">
        <f>IF($AA1174="","",V1174+S1174)</f>
        <v/>
      </c>
      <c r="X1174" s="7">
        <f>IF($AA1174="","",Y1174-W1174)</f>
        <v/>
      </c>
      <c r="Y1174" s="7">
        <f>IF($AA1174="","",R1174+U1174+P1174)</f>
        <v/>
      </c>
      <c r="Z1174" s="7">
        <f>IF($AA1174="","",Y1174-W1174-L1174)</f>
        <v/>
      </c>
      <c r="AA1174" s="13">
        <f>IF(ROWS($AA$2:$AA1174)&lt;=MAX('Per Line'!$AO$2:$AO$4001),MATCH(ROWS($AA$2:$AA1174),'Per Line'!$AO$2:$AO$4001,0),"")</f>
        <v/>
      </c>
      <c r="AB1174" s="14">
        <f>IF($AA1174="","",L1174-K1174*Y1174/100)</f>
        <v/>
      </c>
    </row>
    <row r="1175">
      <c r="A1175" s="12" t="n"/>
      <c r="B1175">
        <f>IF($AA1175="","",INDEX('Per Line'!$E$2:$E$4001,$AA1175)&amp;"")</f>
        <v/>
      </c>
      <c r="C1175">
        <f>IF($AA1175="","",INDEX('Per Line'!$A$2:$A$4001,$AA1175)&amp;"")</f>
        <v/>
      </c>
      <c r="D1175">
        <f>IF($AA1175="","",INDEX('Per Line'!$D$2:$D$4001,$AA1175)&amp;"")</f>
        <v/>
      </c>
      <c r="E1175" s="11">
        <f>IF($AA1175="","",INDEX('Per Line'!$G$2:$G$4001,$AA1175))</f>
        <v/>
      </c>
      <c r="F1175">
        <f>IF($AA1175="","",INDEX('Per Line'!$H$2:$H$4001,$AA1175)&amp;"")</f>
        <v/>
      </c>
      <c r="G1175">
        <f>IF($AA1175="","",INDEX('Per Line'!$I$2:$I$4001,$AA1175)&amp;"")</f>
        <v/>
      </c>
      <c r="H1175">
        <f>IF($AA1175="","",INDEX('Per Line'!$J$2:$J$4001,$AA1175)&amp;"")</f>
        <v/>
      </c>
      <c r="I1175">
        <f>IF($AA1175="","",INDEX('Per Line'!$K$2:$K$4001,$AA1175)&amp;"")</f>
        <v/>
      </c>
      <c r="J1175">
        <f>IF($AA1175="","",INDEX('Per Line'!$L$2:$L$4001,$AA1175)&amp;"")</f>
        <v/>
      </c>
      <c r="K1175">
        <f>IF($AA1175="","",INDEX('Per Line'!$P$2:$P$4001,$AA1175))</f>
        <v/>
      </c>
      <c r="L1175" s="7">
        <f>IF($AA1175="","",IF(AND(ISNUMBER(N1175),N1175&gt;0,Y1175&gt;N1175),K1175*N1175/100+(Y1175-N1175),K1175*Y1175/100))</f>
        <v/>
      </c>
      <c r="M1175">
        <f>IF($AA1175="","",INDEX('Per Line'!$Z$2:$Z$4001,$AA1175)&amp;"")</f>
        <v/>
      </c>
      <c r="N1175">
        <f>IF($AA1175="","",INDEX('Per Line'!$AG$2:$AG$4001,$AA1175))</f>
        <v/>
      </c>
      <c r="O1175">
        <f>IF($AA1175="","",IF(AND(ISNUMBER(N1175),N1175&gt;0),Y1175&gt;N1175,FALSE))</f>
        <v/>
      </c>
      <c r="P1175" s="7">
        <f>IF($AA1175="","",SUMIFS('Per Line'!$Y$2:$Y$4001,'Per Line'!$E$2:$E$4001,$B1175,'Per Line'!$AQ$2:$AQ$4001,1))</f>
        <v/>
      </c>
      <c r="Q1175">
        <f>IF($AA1175="","",Settings!$C$7)</f>
        <v/>
      </c>
      <c r="R1175" s="7">
        <f>IF($AA1175="","",SUMIFS('Per Line'!$Y$2:$Y$4001,'Per Line'!$E$2:$E$4001,$B1175,'Per Line'!$AP$2:$AP$4001,0,'Per Line'!$AQ$2:$AQ$4001,0))</f>
        <v/>
      </c>
      <c r="S1175" s="7">
        <f>IF($AA1175="","",R1175*Q1175)</f>
        <v/>
      </c>
      <c r="T1175">
        <f>IF($AA1175="","",Settings!$C$6)</f>
        <v/>
      </c>
      <c r="U1175" s="7">
        <f>IF($AA1175="","",SUMIFS('Per Line'!$Y$2:$Y$4001,'Per Line'!$E$2:$E$4001,$B1175,'Per Line'!$AP$2:$AP$4001,1,'Per Line'!$AQ$2:$AQ$4001,0))</f>
        <v/>
      </c>
      <c r="V1175" s="7">
        <f>IF($AA1175="","",U1175*T1175)</f>
        <v/>
      </c>
      <c r="W1175" s="7">
        <f>IF($AA1175="","",V1175+S1175)</f>
        <v/>
      </c>
      <c r="X1175" s="7">
        <f>IF($AA1175="","",Y1175-W1175)</f>
        <v/>
      </c>
      <c r="Y1175" s="7">
        <f>IF($AA1175="","",R1175+U1175+P1175)</f>
        <v/>
      </c>
      <c r="Z1175" s="7">
        <f>IF($AA1175="","",Y1175-W1175-L1175)</f>
        <v/>
      </c>
      <c r="AA1175" s="13">
        <f>IF(ROWS($AA$2:$AA1175)&lt;=MAX('Per Line'!$AO$2:$AO$4001),MATCH(ROWS($AA$2:$AA1175),'Per Line'!$AO$2:$AO$4001,0),"")</f>
        <v/>
      </c>
      <c r="AB1175" s="14">
        <f>IF($AA1175="","",L1175-K1175*Y1175/100)</f>
        <v/>
      </c>
    </row>
    <row r="1176">
      <c r="A1176" s="12" t="n"/>
      <c r="B1176">
        <f>IF($AA1176="","",INDEX('Per Line'!$E$2:$E$4001,$AA1176)&amp;"")</f>
        <v/>
      </c>
      <c r="C1176">
        <f>IF($AA1176="","",INDEX('Per Line'!$A$2:$A$4001,$AA1176)&amp;"")</f>
        <v/>
      </c>
      <c r="D1176">
        <f>IF($AA1176="","",INDEX('Per Line'!$D$2:$D$4001,$AA1176)&amp;"")</f>
        <v/>
      </c>
      <c r="E1176" s="11">
        <f>IF($AA1176="","",INDEX('Per Line'!$G$2:$G$4001,$AA1176))</f>
        <v/>
      </c>
      <c r="F1176">
        <f>IF($AA1176="","",INDEX('Per Line'!$H$2:$H$4001,$AA1176)&amp;"")</f>
        <v/>
      </c>
      <c r="G1176">
        <f>IF($AA1176="","",INDEX('Per Line'!$I$2:$I$4001,$AA1176)&amp;"")</f>
        <v/>
      </c>
      <c r="H1176">
        <f>IF($AA1176="","",INDEX('Per Line'!$J$2:$J$4001,$AA1176)&amp;"")</f>
        <v/>
      </c>
      <c r="I1176">
        <f>IF($AA1176="","",INDEX('Per Line'!$K$2:$K$4001,$AA1176)&amp;"")</f>
        <v/>
      </c>
      <c r="J1176">
        <f>IF($AA1176="","",INDEX('Per Line'!$L$2:$L$4001,$AA1176)&amp;"")</f>
        <v/>
      </c>
      <c r="K1176">
        <f>IF($AA1176="","",INDEX('Per Line'!$P$2:$P$4001,$AA1176))</f>
        <v/>
      </c>
      <c r="L1176" s="7">
        <f>IF($AA1176="","",IF(AND(ISNUMBER(N1176),N1176&gt;0,Y1176&gt;N1176),K1176*N1176/100+(Y1176-N1176),K1176*Y1176/100))</f>
        <v/>
      </c>
      <c r="M1176">
        <f>IF($AA1176="","",INDEX('Per Line'!$Z$2:$Z$4001,$AA1176)&amp;"")</f>
        <v/>
      </c>
      <c r="N1176">
        <f>IF($AA1176="","",INDEX('Per Line'!$AG$2:$AG$4001,$AA1176))</f>
        <v/>
      </c>
      <c r="O1176">
        <f>IF($AA1176="","",IF(AND(ISNUMBER(N1176),N1176&gt;0),Y1176&gt;N1176,FALSE))</f>
        <v/>
      </c>
      <c r="P1176" s="7">
        <f>IF($AA1176="","",SUMIFS('Per Line'!$Y$2:$Y$4001,'Per Line'!$E$2:$E$4001,$B1176,'Per Line'!$AQ$2:$AQ$4001,1))</f>
        <v/>
      </c>
      <c r="Q1176">
        <f>IF($AA1176="","",Settings!$C$7)</f>
        <v/>
      </c>
      <c r="R1176" s="7">
        <f>IF($AA1176="","",SUMIFS('Per Line'!$Y$2:$Y$4001,'Per Line'!$E$2:$E$4001,$B1176,'Per Line'!$AP$2:$AP$4001,0,'Per Line'!$AQ$2:$AQ$4001,0))</f>
        <v/>
      </c>
      <c r="S1176" s="7">
        <f>IF($AA1176="","",R1176*Q1176)</f>
        <v/>
      </c>
      <c r="T1176">
        <f>IF($AA1176="","",Settings!$C$6)</f>
        <v/>
      </c>
      <c r="U1176" s="7">
        <f>IF($AA1176="","",SUMIFS('Per Line'!$Y$2:$Y$4001,'Per Line'!$E$2:$E$4001,$B1176,'Per Line'!$AP$2:$AP$4001,1,'Per Line'!$AQ$2:$AQ$4001,0))</f>
        <v/>
      </c>
      <c r="V1176" s="7">
        <f>IF($AA1176="","",U1176*T1176)</f>
        <v/>
      </c>
      <c r="W1176" s="7">
        <f>IF($AA1176="","",V1176+S1176)</f>
        <v/>
      </c>
      <c r="X1176" s="7">
        <f>IF($AA1176="","",Y1176-W1176)</f>
        <v/>
      </c>
      <c r="Y1176" s="7">
        <f>IF($AA1176="","",R1176+U1176+P1176)</f>
        <v/>
      </c>
      <c r="Z1176" s="7">
        <f>IF($AA1176="","",Y1176-W1176-L1176)</f>
        <v/>
      </c>
      <c r="AA1176" s="13">
        <f>IF(ROWS($AA$2:$AA1176)&lt;=MAX('Per Line'!$AO$2:$AO$4001),MATCH(ROWS($AA$2:$AA1176),'Per Line'!$AO$2:$AO$4001,0),"")</f>
        <v/>
      </c>
      <c r="AB1176" s="14">
        <f>IF($AA1176="","",L1176-K1176*Y1176/100)</f>
        <v/>
      </c>
    </row>
    <row r="1177">
      <c r="A1177" s="12" t="n"/>
      <c r="B1177">
        <f>IF($AA1177="","",INDEX('Per Line'!$E$2:$E$4001,$AA1177)&amp;"")</f>
        <v/>
      </c>
      <c r="C1177">
        <f>IF($AA1177="","",INDEX('Per Line'!$A$2:$A$4001,$AA1177)&amp;"")</f>
        <v/>
      </c>
      <c r="D1177">
        <f>IF($AA1177="","",INDEX('Per Line'!$D$2:$D$4001,$AA1177)&amp;"")</f>
        <v/>
      </c>
      <c r="E1177" s="11">
        <f>IF($AA1177="","",INDEX('Per Line'!$G$2:$G$4001,$AA1177))</f>
        <v/>
      </c>
      <c r="F1177">
        <f>IF($AA1177="","",INDEX('Per Line'!$H$2:$H$4001,$AA1177)&amp;"")</f>
        <v/>
      </c>
      <c r="G1177">
        <f>IF($AA1177="","",INDEX('Per Line'!$I$2:$I$4001,$AA1177)&amp;"")</f>
        <v/>
      </c>
      <c r="H1177">
        <f>IF($AA1177="","",INDEX('Per Line'!$J$2:$J$4001,$AA1177)&amp;"")</f>
        <v/>
      </c>
      <c r="I1177">
        <f>IF($AA1177="","",INDEX('Per Line'!$K$2:$K$4001,$AA1177)&amp;"")</f>
        <v/>
      </c>
      <c r="J1177">
        <f>IF($AA1177="","",INDEX('Per Line'!$L$2:$L$4001,$AA1177)&amp;"")</f>
        <v/>
      </c>
      <c r="K1177">
        <f>IF($AA1177="","",INDEX('Per Line'!$P$2:$P$4001,$AA1177))</f>
        <v/>
      </c>
      <c r="L1177" s="7">
        <f>IF($AA1177="","",IF(AND(ISNUMBER(N1177),N1177&gt;0,Y1177&gt;N1177),K1177*N1177/100+(Y1177-N1177),K1177*Y1177/100))</f>
        <v/>
      </c>
      <c r="M1177">
        <f>IF($AA1177="","",INDEX('Per Line'!$Z$2:$Z$4001,$AA1177)&amp;"")</f>
        <v/>
      </c>
      <c r="N1177">
        <f>IF($AA1177="","",INDEX('Per Line'!$AG$2:$AG$4001,$AA1177))</f>
        <v/>
      </c>
      <c r="O1177">
        <f>IF($AA1177="","",IF(AND(ISNUMBER(N1177),N1177&gt;0),Y1177&gt;N1177,FALSE))</f>
        <v/>
      </c>
      <c r="P1177" s="7">
        <f>IF($AA1177="","",SUMIFS('Per Line'!$Y$2:$Y$4001,'Per Line'!$E$2:$E$4001,$B1177,'Per Line'!$AQ$2:$AQ$4001,1))</f>
        <v/>
      </c>
      <c r="Q1177">
        <f>IF($AA1177="","",Settings!$C$7)</f>
        <v/>
      </c>
      <c r="R1177" s="7">
        <f>IF($AA1177="","",SUMIFS('Per Line'!$Y$2:$Y$4001,'Per Line'!$E$2:$E$4001,$B1177,'Per Line'!$AP$2:$AP$4001,0,'Per Line'!$AQ$2:$AQ$4001,0))</f>
        <v/>
      </c>
      <c r="S1177" s="7">
        <f>IF($AA1177="","",R1177*Q1177)</f>
        <v/>
      </c>
      <c r="T1177">
        <f>IF($AA1177="","",Settings!$C$6)</f>
        <v/>
      </c>
      <c r="U1177" s="7">
        <f>IF($AA1177="","",SUMIFS('Per Line'!$Y$2:$Y$4001,'Per Line'!$E$2:$E$4001,$B1177,'Per Line'!$AP$2:$AP$4001,1,'Per Line'!$AQ$2:$AQ$4001,0))</f>
        <v/>
      </c>
      <c r="V1177" s="7">
        <f>IF($AA1177="","",U1177*T1177)</f>
        <v/>
      </c>
      <c r="W1177" s="7">
        <f>IF($AA1177="","",V1177+S1177)</f>
        <v/>
      </c>
      <c r="X1177" s="7">
        <f>IF($AA1177="","",Y1177-W1177)</f>
        <v/>
      </c>
      <c r="Y1177" s="7">
        <f>IF($AA1177="","",R1177+U1177+P1177)</f>
        <v/>
      </c>
      <c r="Z1177" s="7">
        <f>IF($AA1177="","",Y1177-W1177-L1177)</f>
        <v/>
      </c>
      <c r="AA1177" s="13">
        <f>IF(ROWS($AA$2:$AA1177)&lt;=MAX('Per Line'!$AO$2:$AO$4001),MATCH(ROWS($AA$2:$AA1177),'Per Line'!$AO$2:$AO$4001,0),"")</f>
        <v/>
      </c>
      <c r="AB1177" s="14">
        <f>IF($AA1177="","",L1177-K1177*Y1177/100)</f>
        <v/>
      </c>
    </row>
    <row r="1178">
      <c r="A1178" s="12" t="n"/>
      <c r="B1178">
        <f>IF($AA1178="","",INDEX('Per Line'!$E$2:$E$4001,$AA1178)&amp;"")</f>
        <v/>
      </c>
      <c r="C1178">
        <f>IF($AA1178="","",INDEX('Per Line'!$A$2:$A$4001,$AA1178)&amp;"")</f>
        <v/>
      </c>
      <c r="D1178">
        <f>IF($AA1178="","",INDEX('Per Line'!$D$2:$D$4001,$AA1178)&amp;"")</f>
        <v/>
      </c>
      <c r="E1178" s="11">
        <f>IF($AA1178="","",INDEX('Per Line'!$G$2:$G$4001,$AA1178))</f>
        <v/>
      </c>
      <c r="F1178">
        <f>IF($AA1178="","",INDEX('Per Line'!$H$2:$H$4001,$AA1178)&amp;"")</f>
        <v/>
      </c>
      <c r="G1178">
        <f>IF($AA1178="","",INDEX('Per Line'!$I$2:$I$4001,$AA1178)&amp;"")</f>
        <v/>
      </c>
      <c r="H1178">
        <f>IF($AA1178="","",INDEX('Per Line'!$J$2:$J$4001,$AA1178)&amp;"")</f>
        <v/>
      </c>
      <c r="I1178">
        <f>IF($AA1178="","",INDEX('Per Line'!$K$2:$K$4001,$AA1178)&amp;"")</f>
        <v/>
      </c>
      <c r="J1178">
        <f>IF($AA1178="","",INDEX('Per Line'!$L$2:$L$4001,$AA1178)&amp;"")</f>
        <v/>
      </c>
      <c r="K1178">
        <f>IF($AA1178="","",INDEX('Per Line'!$P$2:$P$4001,$AA1178))</f>
        <v/>
      </c>
      <c r="L1178" s="7">
        <f>IF($AA1178="","",IF(AND(ISNUMBER(N1178),N1178&gt;0,Y1178&gt;N1178),K1178*N1178/100+(Y1178-N1178),K1178*Y1178/100))</f>
        <v/>
      </c>
      <c r="M1178">
        <f>IF($AA1178="","",INDEX('Per Line'!$Z$2:$Z$4001,$AA1178)&amp;"")</f>
        <v/>
      </c>
      <c r="N1178">
        <f>IF($AA1178="","",INDEX('Per Line'!$AG$2:$AG$4001,$AA1178))</f>
        <v/>
      </c>
      <c r="O1178">
        <f>IF($AA1178="","",IF(AND(ISNUMBER(N1178),N1178&gt;0),Y1178&gt;N1178,FALSE))</f>
        <v/>
      </c>
      <c r="P1178" s="7">
        <f>IF($AA1178="","",SUMIFS('Per Line'!$Y$2:$Y$4001,'Per Line'!$E$2:$E$4001,$B1178,'Per Line'!$AQ$2:$AQ$4001,1))</f>
        <v/>
      </c>
      <c r="Q1178">
        <f>IF($AA1178="","",Settings!$C$7)</f>
        <v/>
      </c>
      <c r="R1178" s="7">
        <f>IF($AA1178="","",SUMIFS('Per Line'!$Y$2:$Y$4001,'Per Line'!$E$2:$E$4001,$B1178,'Per Line'!$AP$2:$AP$4001,0,'Per Line'!$AQ$2:$AQ$4001,0))</f>
        <v/>
      </c>
      <c r="S1178" s="7">
        <f>IF($AA1178="","",R1178*Q1178)</f>
        <v/>
      </c>
      <c r="T1178">
        <f>IF($AA1178="","",Settings!$C$6)</f>
        <v/>
      </c>
      <c r="U1178" s="7">
        <f>IF($AA1178="","",SUMIFS('Per Line'!$Y$2:$Y$4001,'Per Line'!$E$2:$E$4001,$B1178,'Per Line'!$AP$2:$AP$4001,1,'Per Line'!$AQ$2:$AQ$4001,0))</f>
        <v/>
      </c>
      <c r="V1178" s="7">
        <f>IF($AA1178="","",U1178*T1178)</f>
        <v/>
      </c>
      <c r="W1178" s="7">
        <f>IF($AA1178="","",V1178+S1178)</f>
        <v/>
      </c>
      <c r="X1178" s="7">
        <f>IF($AA1178="","",Y1178-W1178)</f>
        <v/>
      </c>
      <c r="Y1178" s="7">
        <f>IF($AA1178="","",R1178+U1178+P1178)</f>
        <v/>
      </c>
      <c r="Z1178" s="7">
        <f>IF($AA1178="","",Y1178-W1178-L1178)</f>
        <v/>
      </c>
      <c r="AA1178" s="13">
        <f>IF(ROWS($AA$2:$AA1178)&lt;=MAX('Per Line'!$AO$2:$AO$4001),MATCH(ROWS($AA$2:$AA1178),'Per Line'!$AO$2:$AO$4001,0),"")</f>
        <v/>
      </c>
      <c r="AB1178" s="14">
        <f>IF($AA1178="","",L1178-K1178*Y1178/100)</f>
        <v/>
      </c>
    </row>
    <row r="1179">
      <c r="A1179" s="12" t="n"/>
      <c r="B1179">
        <f>IF($AA1179="","",INDEX('Per Line'!$E$2:$E$4001,$AA1179)&amp;"")</f>
        <v/>
      </c>
      <c r="C1179">
        <f>IF($AA1179="","",INDEX('Per Line'!$A$2:$A$4001,$AA1179)&amp;"")</f>
        <v/>
      </c>
      <c r="D1179">
        <f>IF($AA1179="","",INDEX('Per Line'!$D$2:$D$4001,$AA1179)&amp;"")</f>
        <v/>
      </c>
      <c r="E1179" s="11">
        <f>IF($AA1179="","",INDEX('Per Line'!$G$2:$G$4001,$AA1179))</f>
        <v/>
      </c>
      <c r="F1179">
        <f>IF($AA1179="","",INDEX('Per Line'!$H$2:$H$4001,$AA1179)&amp;"")</f>
        <v/>
      </c>
      <c r="G1179">
        <f>IF($AA1179="","",INDEX('Per Line'!$I$2:$I$4001,$AA1179)&amp;"")</f>
        <v/>
      </c>
      <c r="H1179">
        <f>IF($AA1179="","",INDEX('Per Line'!$J$2:$J$4001,$AA1179)&amp;"")</f>
        <v/>
      </c>
      <c r="I1179">
        <f>IF($AA1179="","",INDEX('Per Line'!$K$2:$K$4001,$AA1179)&amp;"")</f>
        <v/>
      </c>
      <c r="J1179">
        <f>IF($AA1179="","",INDEX('Per Line'!$L$2:$L$4001,$AA1179)&amp;"")</f>
        <v/>
      </c>
      <c r="K1179">
        <f>IF($AA1179="","",INDEX('Per Line'!$P$2:$P$4001,$AA1179))</f>
        <v/>
      </c>
      <c r="L1179" s="7">
        <f>IF($AA1179="","",IF(AND(ISNUMBER(N1179),N1179&gt;0,Y1179&gt;N1179),K1179*N1179/100+(Y1179-N1179),K1179*Y1179/100))</f>
        <v/>
      </c>
      <c r="M1179">
        <f>IF($AA1179="","",INDEX('Per Line'!$Z$2:$Z$4001,$AA1179)&amp;"")</f>
        <v/>
      </c>
      <c r="N1179">
        <f>IF($AA1179="","",INDEX('Per Line'!$AG$2:$AG$4001,$AA1179))</f>
        <v/>
      </c>
      <c r="O1179">
        <f>IF($AA1179="","",IF(AND(ISNUMBER(N1179),N1179&gt;0),Y1179&gt;N1179,FALSE))</f>
        <v/>
      </c>
      <c r="P1179" s="7">
        <f>IF($AA1179="","",SUMIFS('Per Line'!$Y$2:$Y$4001,'Per Line'!$E$2:$E$4001,$B1179,'Per Line'!$AQ$2:$AQ$4001,1))</f>
        <v/>
      </c>
      <c r="Q1179">
        <f>IF($AA1179="","",Settings!$C$7)</f>
        <v/>
      </c>
      <c r="R1179" s="7">
        <f>IF($AA1179="","",SUMIFS('Per Line'!$Y$2:$Y$4001,'Per Line'!$E$2:$E$4001,$B1179,'Per Line'!$AP$2:$AP$4001,0,'Per Line'!$AQ$2:$AQ$4001,0))</f>
        <v/>
      </c>
      <c r="S1179" s="7">
        <f>IF($AA1179="","",R1179*Q1179)</f>
        <v/>
      </c>
      <c r="T1179">
        <f>IF($AA1179="","",Settings!$C$6)</f>
        <v/>
      </c>
      <c r="U1179" s="7">
        <f>IF($AA1179="","",SUMIFS('Per Line'!$Y$2:$Y$4001,'Per Line'!$E$2:$E$4001,$B1179,'Per Line'!$AP$2:$AP$4001,1,'Per Line'!$AQ$2:$AQ$4001,0))</f>
        <v/>
      </c>
      <c r="V1179" s="7">
        <f>IF($AA1179="","",U1179*T1179)</f>
        <v/>
      </c>
      <c r="W1179" s="7">
        <f>IF($AA1179="","",V1179+S1179)</f>
        <v/>
      </c>
      <c r="X1179" s="7">
        <f>IF($AA1179="","",Y1179-W1179)</f>
        <v/>
      </c>
      <c r="Y1179" s="7">
        <f>IF($AA1179="","",R1179+U1179+P1179)</f>
        <v/>
      </c>
      <c r="Z1179" s="7">
        <f>IF($AA1179="","",Y1179-W1179-L1179)</f>
        <v/>
      </c>
      <c r="AA1179" s="13">
        <f>IF(ROWS($AA$2:$AA1179)&lt;=MAX('Per Line'!$AO$2:$AO$4001),MATCH(ROWS($AA$2:$AA1179),'Per Line'!$AO$2:$AO$4001,0),"")</f>
        <v/>
      </c>
      <c r="AB1179" s="14">
        <f>IF($AA1179="","",L1179-K1179*Y1179/100)</f>
        <v/>
      </c>
    </row>
    <row r="1180">
      <c r="A1180" s="12" t="n"/>
      <c r="B1180">
        <f>IF($AA1180="","",INDEX('Per Line'!$E$2:$E$4001,$AA1180)&amp;"")</f>
        <v/>
      </c>
      <c r="C1180">
        <f>IF($AA1180="","",INDEX('Per Line'!$A$2:$A$4001,$AA1180)&amp;"")</f>
        <v/>
      </c>
      <c r="D1180">
        <f>IF($AA1180="","",INDEX('Per Line'!$D$2:$D$4001,$AA1180)&amp;"")</f>
        <v/>
      </c>
      <c r="E1180" s="11">
        <f>IF($AA1180="","",INDEX('Per Line'!$G$2:$G$4001,$AA1180))</f>
        <v/>
      </c>
      <c r="F1180">
        <f>IF($AA1180="","",INDEX('Per Line'!$H$2:$H$4001,$AA1180)&amp;"")</f>
        <v/>
      </c>
      <c r="G1180">
        <f>IF($AA1180="","",INDEX('Per Line'!$I$2:$I$4001,$AA1180)&amp;"")</f>
        <v/>
      </c>
      <c r="H1180">
        <f>IF($AA1180="","",INDEX('Per Line'!$J$2:$J$4001,$AA1180)&amp;"")</f>
        <v/>
      </c>
      <c r="I1180">
        <f>IF($AA1180="","",INDEX('Per Line'!$K$2:$K$4001,$AA1180)&amp;"")</f>
        <v/>
      </c>
      <c r="J1180">
        <f>IF($AA1180="","",INDEX('Per Line'!$L$2:$L$4001,$AA1180)&amp;"")</f>
        <v/>
      </c>
      <c r="K1180">
        <f>IF($AA1180="","",INDEX('Per Line'!$P$2:$P$4001,$AA1180))</f>
        <v/>
      </c>
      <c r="L1180" s="7">
        <f>IF($AA1180="","",IF(AND(ISNUMBER(N1180),N1180&gt;0,Y1180&gt;N1180),K1180*N1180/100+(Y1180-N1180),K1180*Y1180/100))</f>
        <v/>
      </c>
      <c r="M1180">
        <f>IF($AA1180="","",INDEX('Per Line'!$Z$2:$Z$4001,$AA1180)&amp;"")</f>
        <v/>
      </c>
      <c r="N1180">
        <f>IF($AA1180="","",INDEX('Per Line'!$AG$2:$AG$4001,$AA1180))</f>
        <v/>
      </c>
      <c r="O1180">
        <f>IF($AA1180="","",IF(AND(ISNUMBER(N1180),N1180&gt;0),Y1180&gt;N1180,FALSE))</f>
        <v/>
      </c>
      <c r="P1180" s="7">
        <f>IF($AA1180="","",SUMIFS('Per Line'!$Y$2:$Y$4001,'Per Line'!$E$2:$E$4001,$B1180,'Per Line'!$AQ$2:$AQ$4001,1))</f>
        <v/>
      </c>
      <c r="Q1180">
        <f>IF($AA1180="","",Settings!$C$7)</f>
        <v/>
      </c>
      <c r="R1180" s="7">
        <f>IF($AA1180="","",SUMIFS('Per Line'!$Y$2:$Y$4001,'Per Line'!$E$2:$E$4001,$B1180,'Per Line'!$AP$2:$AP$4001,0,'Per Line'!$AQ$2:$AQ$4001,0))</f>
        <v/>
      </c>
      <c r="S1180" s="7">
        <f>IF($AA1180="","",R1180*Q1180)</f>
        <v/>
      </c>
      <c r="T1180">
        <f>IF($AA1180="","",Settings!$C$6)</f>
        <v/>
      </c>
      <c r="U1180" s="7">
        <f>IF($AA1180="","",SUMIFS('Per Line'!$Y$2:$Y$4001,'Per Line'!$E$2:$E$4001,$B1180,'Per Line'!$AP$2:$AP$4001,1,'Per Line'!$AQ$2:$AQ$4001,0))</f>
        <v/>
      </c>
      <c r="V1180" s="7">
        <f>IF($AA1180="","",U1180*T1180)</f>
        <v/>
      </c>
      <c r="W1180" s="7">
        <f>IF($AA1180="","",V1180+S1180)</f>
        <v/>
      </c>
      <c r="X1180" s="7">
        <f>IF($AA1180="","",Y1180-W1180)</f>
        <v/>
      </c>
      <c r="Y1180" s="7">
        <f>IF($AA1180="","",R1180+U1180+P1180)</f>
        <v/>
      </c>
      <c r="Z1180" s="7">
        <f>IF($AA1180="","",Y1180-W1180-L1180)</f>
        <v/>
      </c>
      <c r="AA1180" s="13">
        <f>IF(ROWS($AA$2:$AA1180)&lt;=MAX('Per Line'!$AO$2:$AO$4001),MATCH(ROWS($AA$2:$AA1180),'Per Line'!$AO$2:$AO$4001,0),"")</f>
        <v/>
      </c>
      <c r="AB1180" s="14">
        <f>IF($AA1180="","",L1180-K1180*Y1180/100)</f>
        <v/>
      </c>
    </row>
    <row r="1181">
      <c r="A1181" s="12" t="n"/>
      <c r="B1181">
        <f>IF($AA1181="","",INDEX('Per Line'!$E$2:$E$4001,$AA1181)&amp;"")</f>
        <v/>
      </c>
      <c r="C1181">
        <f>IF($AA1181="","",INDEX('Per Line'!$A$2:$A$4001,$AA1181)&amp;"")</f>
        <v/>
      </c>
      <c r="D1181">
        <f>IF($AA1181="","",INDEX('Per Line'!$D$2:$D$4001,$AA1181)&amp;"")</f>
        <v/>
      </c>
      <c r="E1181" s="11">
        <f>IF($AA1181="","",INDEX('Per Line'!$G$2:$G$4001,$AA1181))</f>
        <v/>
      </c>
      <c r="F1181">
        <f>IF($AA1181="","",INDEX('Per Line'!$H$2:$H$4001,$AA1181)&amp;"")</f>
        <v/>
      </c>
      <c r="G1181">
        <f>IF($AA1181="","",INDEX('Per Line'!$I$2:$I$4001,$AA1181)&amp;"")</f>
        <v/>
      </c>
      <c r="H1181">
        <f>IF($AA1181="","",INDEX('Per Line'!$J$2:$J$4001,$AA1181)&amp;"")</f>
        <v/>
      </c>
      <c r="I1181">
        <f>IF($AA1181="","",INDEX('Per Line'!$K$2:$K$4001,$AA1181)&amp;"")</f>
        <v/>
      </c>
      <c r="J1181">
        <f>IF($AA1181="","",INDEX('Per Line'!$L$2:$L$4001,$AA1181)&amp;"")</f>
        <v/>
      </c>
      <c r="K1181">
        <f>IF($AA1181="","",INDEX('Per Line'!$P$2:$P$4001,$AA1181))</f>
        <v/>
      </c>
      <c r="L1181" s="7">
        <f>IF($AA1181="","",IF(AND(ISNUMBER(N1181),N1181&gt;0,Y1181&gt;N1181),K1181*N1181/100+(Y1181-N1181),K1181*Y1181/100))</f>
        <v/>
      </c>
      <c r="M1181">
        <f>IF($AA1181="","",INDEX('Per Line'!$Z$2:$Z$4001,$AA1181)&amp;"")</f>
        <v/>
      </c>
      <c r="N1181">
        <f>IF($AA1181="","",INDEX('Per Line'!$AG$2:$AG$4001,$AA1181))</f>
        <v/>
      </c>
      <c r="O1181">
        <f>IF($AA1181="","",IF(AND(ISNUMBER(N1181),N1181&gt;0),Y1181&gt;N1181,FALSE))</f>
        <v/>
      </c>
      <c r="P1181" s="7">
        <f>IF($AA1181="","",SUMIFS('Per Line'!$Y$2:$Y$4001,'Per Line'!$E$2:$E$4001,$B1181,'Per Line'!$AQ$2:$AQ$4001,1))</f>
        <v/>
      </c>
      <c r="Q1181">
        <f>IF($AA1181="","",Settings!$C$7)</f>
        <v/>
      </c>
      <c r="R1181" s="7">
        <f>IF($AA1181="","",SUMIFS('Per Line'!$Y$2:$Y$4001,'Per Line'!$E$2:$E$4001,$B1181,'Per Line'!$AP$2:$AP$4001,0,'Per Line'!$AQ$2:$AQ$4001,0))</f>
        <v/>
      </c>
      <c r="S1181" s="7">
        <f>IF($AA1181="","",R1181*Q1181)</f>
        <v/>
      </c>
      <c r="T1181">
        <f>IF($AA1181="","",Settings!$C$6)</f>
        <v/>
      </c>
      <c r="U1181" s="7">
        <f>IF($AA1181="","",SUMIFS('Per Line'!$Y$2:$Y$4001,'Per Line'!$E$2:$E$4001,$B1181,'Per Line'!$AP$2:$AP$4001,1,'Per Line'!$AQ$2:$AQ$4001,0))</f>
        <v/>
      </c>
      <c r="V1181" s="7">
        <f>IF($AA1181="","",U1181*T1181)</f>
        <v/>
      </c>
      <c r="W1181" s="7">
        <f>IF($AA1181="","",V1181+S1181)</f>
        <v/>
      </c>
      <c r="X1181" s="7">
        <f>IF($AA1181="","",Y1181-W1181)</f>
        <v/>
      </c>
      <c r="Y1181" s="7">
        <f>IF($AA1181="","",R1181+U1181+P1181)</f>
        <v/>
      </c>
      <c r="Z1181" s="7">
        <f>IF($AA1181="","",Y1181-W1181-L1181)</f>
        <v/>
      </c>
      <c r="AA1181" s="13">
        <f>IF(ROWS($AA$2:$AA1181)&lt;=MAX('Per Line'!$AO$2:$AO$4001),MATCH(ROWS($AA$2:$AA1181),'Per Line'!$AO$2:$AO$4001,0),"")</f>
        <v/>
      </c>
      <c r="AB1181" s="14">
        <f>IF($AA1181="","",L1181-K1181*Y1181/100)</f>
        <v/>
      </c>
    </row>
    <row r="1182">
      <c r="A1182" s="12" t="n"/>
      <c r="B1182">
        <f>IF($AA1182="","",INDEX('Per Line'!$E$2:$E$4001,$AA1182)&amp;"")</f>
        <v/>
      </c>
      <c r="C1182">
        <f>IF($AA1182="","",INDEX('Per Line'!$A$2:$A$4001,$AA1182)&amp;"")</f>
        <v/>
      </c>
      <c r="D1182">
        <f>IF($AA1182="","",INDEX('Per Line'!$D$2:$D$4001,$AA1182)&amp;"")</f>
        <v/>
      </c>
      <c r="E1182" s="11">
        <f>IF($AA1182="","",INDEX('Per Line'!$G$2:$G$4001,$AA1182))</f>
        <v/>
      </c>
      <c r="F1182">
        <f>IF($AA1182="","",INDEX('Per Line'!$H$2:$H$4001,$AA1182)&amp;"")</f>
        <v/>
      </c>
      <c r="G1182">
        <f>IF($AA1182="","",INDEX('Per Line'!$I$2:$I$4001,$AA1182)&amp;"")</f>
        <v/>
      </c>
      <c r="H1182">
        <f>IF($AA1182="","",INDEX('Per Line'!$J$2:$J$4001,$AA1182)&amp;"")</f>
        <v/>
      </c>
      <c r="I1182">
        <f>IF($AA1182="","",INDEX('Per Line'!$K$2:$K$4001,$AA1182)&amp;"")</f>
        <v/>
      </c>
      <c r="J1182">
        <f>IF($AA1182="","",INDEX('Per Line'!$L$2:$L$4001,$AA1182)&amp;"")</f>
        <v/>
      </c>
      <c r="K1182">
        <f>IF($AA1182="","",INDEX('Per Line'!$P$2:$P$4001,$AA1182))</f>
        <v/>
      </c>
      <c r="L1182" s="7">
        <f>IF($AA1182="","",IF(AND(ISNUMBER(N1182),N1182&gt;0,Y1182&gt;N1182),K1182*N1182/100+(Y1182-N1182),K1182*Y1182/100))</f>
        <v/>
      </c>
      <c r="M1182">
        <f>IF($AA1182="","",INDEX('Per Line'!$Z$2:$Z$4001,$AA1182)&amp;"")</f>
        <v/>
      </c>
      <c r="N1182">
        <f>IF($AA1182="","",INDEX('Per Line'!$AG$2:$AG$4001,$AA1182))</f>
        <v/>
      </c>
      <c r="O1182">
        <f>IF($AA1182="","",IF(AND(ISNUMBER(N1182),N1182&gt;0),Y1182&gt;N1182,FALSE))</f>
        <v/>
      </c>
      <c r="P1182" s="7">
        <f>IF($AA1182="","",SUMIFS('Per Line'!$Y$2:$Y$4001,'Per Line'!$E$2:$E$4001,$B1182,'Per Line'!$AQ$2:$AQ$4001,1))</f>
        <v/>
      </c>
      <c r="Q1182">
        <f>IF($AA1182="","",Settings!$C$7)</f>
        <v/>
      </c>
      <c r="R1182" s="7">
        <f>IF($AA1182="","",SUMIFS('Per Line'!$Y$2:$Y$4001,'Per Line'!$E$2:$E$4001,$B1182,'Per Line'!$AP$2:$AP$4001,0,'Per Line'!$AQ$2:$AQ$4001,0))</f>
        <v/>
      </c>
      <c r="S1182" s="7">
        <f>IF($AA1182="","",R1182*Q1182)</f>
        <v/>
      </c>
      <c r="T1182">
        <f>IF($AA1182="","",Settings!$C$6)</f>
        <v/>
      </c>
      <c r="U1182" s="7">
        <f>IF($AA1182="","",SUMIFS('Per Line'!$Y$2:$Y$4001,'Per Line'!$E$2:$E$4001,$B1182,'Per Line'!$AP$2:$AP$4001,1,'Per Line'!$AQ$2:$AQ$4001,0))</f>
        <v/>
      </c>
      <c r="V1182" s="7">
        <f>IF($AA1182="","",U1182*T1182)</f>
        <v/>
      </c>
      <c r="W1182" s="7">
        <f>IF($AA1182="","",V1182+S1182)</f>
        <v/>
      </c>
      <c r="X1182" s="7">
        <f>IF($AA1182="","",Y1182-W1182)</f>
        <v/>
      </c>
      <c r="Y1182" s="7">
        <f>IF($AA1182="","",R1182+U1182+P1182)</f>
        <v/>
      </c>
      <c r="Z1182" s="7">
        <f>IF($AA1182="","",Y1182-W1182-L1182)</f>
        <v/>
      </c>
      <c r="AA1182" s="13">
        <f>IF(ROWS($AA$2:$AA1182)&lt;=MAX('Per Line'!$AO$2:$AO$4001),MATCH(ROWS($AA$2:$AA1182),'Per Line'!$AO$2:$AO$4001,0),"")</f>
        <v/>
      </c>
      <c r="AB1182" s="14">
        <f>IF($AA1182="","",L1182-K1182*Y1182/100)</f>
        <v/>
      </c>
    </row>
    <row r="1183">
      <c r="A1183" s="12" t="n"/>
      <c r="B1183">
        <f>IF($AA1183="","",INDEX('Per Line'!$E$2:$E$4001,$AA1183)&amp;"")</f>
        <v/>
      </c>
      <c r="C1183">
        <f>IF($AA1183="","",INDEX('Per Line'!$A$2:$A$4001,$AA1183)&amp;"")</f>
        <v/>
      </c>
      <c r="D1183">
        <f>IF($AA1183="","",INDEX('Per Line'!$D$2:$D$4001,$AA1183)&amp;"")</f>
        <v/>
      </c>
      <c r="E1183" s="11">
        <f>IF($AA1183="","",INDEX('Per Line'!$G$2:$G$4001,$AA1183))</f>
        <v/>
      </c>
      <c r="F1183">
        <f>IF($AA1183="","",INDEX('Per Line'!$H$2:$H$4001,$AA1183)&amp;"")</f>
        <v/>
      </c>
      <c r="G1183">
        <f>IF($AA1183="","",INDEX('Per Line'!$I$2:$I$4001,$AA1183)&amp;"")</f>
        <v/>
      </c>
      <c r="H1183">
        <f>IF($AA1183="","",INDEX('Per Line'!$J$2:$J$4001,$AA1183)&amp;"")</f>
        <v/>
      </c>
      <c r="I1183">
        <f>IF($AA1183="","",INDEX('Per Line'!$K$2:$K$4001,$AA1183)&amp;"")</f>
        <v/>
      </c>
      <c r="J1183">
        <f>IF($AA1183="","",INDEX('Per Line'!$L$2:$L$4001,$AA1183)&amp;"")</f>
        <v/>
      </c>
      <c r="K1183">
        <f>IF($AA1183="","",INDEX('Per Line'!$P$2:$P$4001,$AA1183))</f>
        <v/>
      </c>
      <c r="L1183" s="7">
        <f>IF($AA1183="","",IF(AND(ISNUMBER(N1183),N1183&gt;0,Y1183&gt;N1183),K1183*N1183/100+(Y1183-N1183),K1183*Y1183/100))</f>
        <v/>
      </c>
      <c r="M1183">
        <f>IF($AA1183="","",INDEX('Per Line'!$Z$2:$Z$4001,$AA1183)&amp;"")</f>
        <v/>
      </c>
      <c r="N1183">
        <f>IF($AA1183="","",INDEX('Per Line'!$AG$2:$AG$4001,$AA1183))</f>
        <v/>
      </c>
      <c r="O1183">
        <f>IF($AA1183="","",IF(AND(ISNUMBER(N1183),N1183&gt;0),Y1183&gt;N1183,FALSE))</f>
        <v/>
      </c>
      <c r="P1183" s="7">
        <f>IF($AA1183="","",SUMIFS('Per Line'!$Y$2:$Y$4001,'Per Line'!$E$2:$E$4001,$B1183,'Per Line'!$AQ$2:$AQ$4001,1))</f>
        <v/>
      </c>
      <c r="Q1183">
        <f>IF($AA1183="","",Settings!$C$7)</f>
        <v/>
      </c>
      <c r="R1183" s="7">
        <f>IF($AA1183="","",SUMIFS('Per Line'!$Y$2:$Y$4001,'Per Line'!$E$2:$E$4001,$B1183,'Per Line'!$AP$2:$AP$4001,0,'Per Line'!$AQ$2:$AQ$4001,0))</f>
        <v/>
      </c>
      <c r="S1183" s="7">
        <f>IF($AA1183="","",R1183*Q1183)</f>
        <v/>
      </c>
      <c r="T1183">
        <f>IF($AA1183="","",Settings!$C$6)</f>
        <v/>
      </c>
      <c r="U1183" s="7">
        <f>IF($AA1183="","",SUMIFS('Per Line'!$Y$2:$Y$4001,'Per Line'!$E$2:$E$4001,$B1183,'Per Line'!$AP$2:$AP$4001,1,'Per Line'!$AQ$2:$AQ$4001,0))</f>
        <v/>
      </c>
      <c r="V1183" s="7">
        <f>IF($AA1183="","",U1183*T1183)</f>
        <v/>
      </c>
      <c r="W1183" s="7">
        <f>IF($AA1183="","",V1183+S1183)</f>
        <v/>
      </c>
      <c r="X1183" s="7">
        <f>IF($AA1183="","",Y1183-W1183)</f>
        <v/>
      </c>
      <c r="Y1183" s="7">
        <f>IF($AA1183="","",R1183+U1183+P1183)</f>
        <v/>
      </c>
      <c r="Z1183" s="7">
        <f>IF($AA1183="","",Y1183-W1183-L1183)</f>
        <v/>
      </c>
      <c r="AA1183" s="13">
        <f>IF(ROWS($AA$2:$AA1183)&lt;=MAX('Per Line'!$AO$2:$AO$4001),MATCH(ROWS($AA$2:$AA1183),'Per Line'!$AO$2:$AO$4001,0),"")</f>
        <v/>
      </c>
      <c r="AB1183" s="14">
        <f>IF($AA1183="","",L1183-K1183*Y1183/100)</f>
        <v/>
      </c>
    </row>
    <row r="1184">
      <c r="A1184" s="12" t="n"/>
      <c r="B1184">
        <f>IF($AA1184="","",INDEX('Per Line'!$E$2:$E$4001,$AA1184)&amp;"")</f>
        <v/>
      </c>
      <c r="C1184">
        <f>IF($AA1184="","",INDEX('Per Line'!$A$2:$A$4001,$AA1184)&amp;"")</f>
        <v/>
      </c>
      <c r="D1184">
        <f>IF($AA1184="","",INDEX('Per Line'!$D$2:$D$4001,$AA1184)&amp;"")</f>
        <v/>
      </c>
      <c r="E1184" s="11">
        <f>IF($AA1184="","",INDEX('Per Line'!$G$2:$G$4001,$AA1184))</f>
        <v/>
      </c>
      <c r="F1184">
        <f>IF($AA1184="","",INDEX('Per Line'!$H$2:$H$4001,$AA1184)&amp;"")</f>
        <v/>
      </c>
      <c r="G1184">
        <f>IF($AA1184="","",INDEX('Per Line'!$I$2:$I$4001,$AA1184)&amp;"")</f>
        <v/>
      </c>
      <c r="H1184">
        <f>IF($AA1184="","",INDEX('Per Line'!$J$2:$J$4001,$AA1184)&amp;"")</f>
        <v/>
      </c>
      <c r="I1184">
        <f>IF($AA1184="","",INDEX('Per Line'!$K$2:$K$4001,$AA1184)&amp;"")</f>
        <v/>
      </c>
      <c r="J1184">
        <f>IF($AA1184="","",INDEX('Per Line'!$L$2:$L$4001,$AA1184)&amp;"")</f>
        <v/>
      </c>
      <c r="K1184">
        <f>IF($AA1184="","",INDEX('Per Line'!$P$2:$P$4001,$AA1184))</f>
        <v/>
      </c>
      <c r="L1184" s="7">
        <f>IF($AA1184="","",IF(AND(ISNUMBER(N1184),N1184&gt;0,Y1184&gt;N1184),K1184*N1184/100+(Y1184-N1184),K1184*Y1184/100))</f>
        <v/>
      </c>
      <c r="M1184">
        <f>IF($AA1184="","",INDEX('Per Line'!$Z$2:$Z$4001,$AA1184)&amp;"")</f>
        <v/>
      </c>
      <c r="N1184">
        <f>IF($AA1184="","",INDEX('Per Line'!$AG$2:$AG$4001,$AA1184))</f>
        <v/>
      </c>
      <c r="O1184">
        <f>IF($AA1184="","",IF(AND(ISNUMBER(N1184),N1184&gt;0),Y1184&gt;N1184,FALSE))</f>
        <v/>
      </c>
      <c r="P1184" s="7">
        <f>IF($AA1184="","",SUMIFS('Per Line'!$Y$2:$Y$4001,'Per Line'!$E$2:$E$4001,$B1184,'Per Line'!$AQ$2:$AQ$4001,1))</f>
        <v/>
      </c>
      <c r="Q1184">
        <f>IF($AA1184="","",Settings!$C$7)</f>
        <v/>
      </c>
      <c r="R1184" s="7">
        <f>IF($AA1184="","",SUMIFS('Per Line'!$Y$2:$Y$4001,'Per Line'!$E$2:$E$4001,$B1184,'Per Line'!$AP$2:$AP$4001,0,'Per Line'!$AQ$2:$AQ$4001,0))</f>
        <v/>
      </c>
      <c r="S1184" s="7">
        <f>IF($AA1184="","",R1184*Q1184)</f>
        <v/>
      </c>
      <c r="T1184">
        <f>IF($AA1184="","",Settings!$C$6)</f>
        <v/>
      </c>
      <c r="U1184" s="7">
        <f>IF($AA1184="","",SUMIFS('Per Line'!$Y$2:$Y$4001,'Per Line'!$E$2:$E$4001,$B1184,'Per Line'!$AP$2:$AP$4001,1,'Per Line'!$AQ$2:$AQ$4001,0))</f>
        <v/>
      </c>
      <c r="V1184" s="7">
        <f>IF($AA1184="","",U1184*T1184)</f>
        <v/>
      </c>
      <c r="W1184" s="7">
        <f>IF($AA1184="","",V1184+S1184)</f>
        <v/>
      </c>
      <c r="X1184" s="7">
        <f>IF($AA1184="","",Y1184-W1184)</f>
        <v/>
      </c>
      <c r="Y1184" s="7">
        <f>IF($AA1184="","",R1184+U1184+P1184)</f>
        <v/>
      </c>
      <c r="Z1184" s="7">
        <f>IF($AA1184="","",Y1184-W1184-L1184)</f>
        <v/>
      </c>
      <c r="AA1184" s="13">
        <f>IF(ROWS($AA$2:$AA1184)&lt;=MAX('Per Line'!$AO$2:$AO$4001),MATCH(ROWS($AA$2:$AA1184),'Per Line'!$AO$2:$AO$4001,0),"")</f>
        <v/>
      </c>
      <c r="AB1184" s="14">
        <f>IF($AA1184="","",L1184-K1184*Y1184/100)</f>
        <v/>
      </c>
    </row>
    <row r="1185">
      <c r="A1185" s="12" t="n"/>
      <c r="B1185">
        <f>IF($AA1185="","",INDEX('Per Line'!$E$2:$E$4001,$AA1185)&amp;"")</f>
        <v/>
      </c>
      <c r="C1185">
        <f>IF($AA1185="","",INDEX('Per Line'!$A$2:$A$4001,$AA1185)&amp;"")</f>
        <v/>
      </c>
      <c r="D1185">
        <f>IF($AA1185="","",INDEX('Per Line'!$D$2:$D$4001,$AA1185)&amp;"")</f>
        <v/>
      </c>
      <c r="E1185" s="11">
        <f>IF($AA1185="","",INDEX('Per Line'!$G$2:$G$4001,$AA1185))</f>
        <v/>
      </c>
      <c r="F1185">
        <f>IF($AA1185="","",INDEX('Per Line'!$H$2:$H$4001,$AA1185)&amp;"")</f>
        <v/>
      </c>
      <c r="G1185">
        <f>IF($AA1185="","",INDEX('Per Line'!$I$2:$I$4001,$AA1185)&amp;"")</f>
        <v/>
      </c>
      <c r="H1185">
        <f>IF($AA1185="","",INDEX('Per Line'!$J$2:$J$4001,$AA1185)&amp;"")</f>
        <v/>
      </c>
      <c r="I1185">
        <f>IF($AA1185="","",INDEX('Per Line'!$K$2:$K$4001,$AA1185)&amp;"")</f>
        <v/>
      </c>
      <c r="J1185">
        <f>IF($AA1185="","",INDEX('Per Line'!$L$2:$L$4001,$AA1185)&amp;"")</f>
        <v/>
      </c>
      <c r="K1185">
        <f>IF($AA1185="","",INDEX('Per Line'!$P$2:$P$4001,$AA1185))</f>
        <v/>
      </c>
      <c r="L1185" s="7">
        <f>IF($AA1185="","",IF(AND(ISNUMBER(N1185),N1185&gt;0,Y1185&gt;N1185),K1185*N1185/100+(Y1185-N1185),K1185*Y1185/100))</f>
        <v/>
      </c>
      <c r="M1185">
        <f>IF($AA1185="","",INDEX('Per Line'!$Z$2:$Z$4001,$AA1185)&amp;"")</f>
        <v/>
      </c>
      <c r="N1185">
        <f>IF($AA1185="","",INDEX('Per Line'!$AG$2:$AG$4001,$AA1185))</f>
        <v/>
      </c>
      <c r="O1185">
        <f>IF($AA1185="","",IF(AND(ISNUMBER(N1185),N1185&gt;0),Y1185&gt;N1185,FALSE))</f>
        <v/>
      </c>
      <c r="P1185" s="7">
        <f>IF($AA1185="","",SUMIFS('Per Line'!$Y$2:$Y$4001,'Per Line'!$E$2:$E$4001,$B1185,'Per Line'!$AQ$2:$AQ$4001,1))</f>
        <v/>
      </c>
      <c r="Q1185">
        <f>IF($AA1185="","",Settings!$C$7)</f>
        <v/>
      </c>
      <c r="R1185" s="7">
        <f>IF($AA1185="","",SUMIFS('Per Line'!$Y$2:$Y$4001,'Per Line'!$E$2:$E$4001,$B1185,'Per Line'!$AP$2:$AP$4001,0,'Per Line'!$AQ$2:$AQ$4001,0))</f>
        <v/>
      </c>
      <c r="S1185" s="7">
        <f>IF($AA1185="","",R1185*Q1185)</f>
        <v/>
      </c>
      <c r="T1185">
        <f>IF($AA1185="","",Settings!$C$6)</f>
        <v/>
      </c>
      <c r="U1185" s="7">
        <f>IF($AA1185="","",SUMIFS('Per Line'!$Y$2:$Y$4001,'Per Line'!$E$2:$E$4001,$B1185,'Per Line'!$AP$2:$AP$4001,1,'Per Line'!$AQ$2:$AQ$4001,0))</f>
        <v/>
      </c>
      <c r="V1185" s="7">
        <f>IF($AA1185="","",U1185*T1185)</f>
        <v/>
      </c>
      <c r="W1185" s="7">
        <f>IF($AA1185="","",V1185+S1185)</f>
        <v/>
      </c>
      <c r="X1185" s="7">
        <f>IF($AA1185="","",Y1185-W1185)</f>
        <v/>
      </c>
      <c r="Y1185" s="7">
        <f>IF($AA1185="","",R1185+U1185+P1185)</f>
        <v/>
      </c>
      <c r="Z1185" s="7">
        <f>IF($AA1185="","",Y1185-W1185-L1185)</f>
        <v/>
      </c>
      <c r="AA1185" s="13">
        <f>IF(ROWS($AA$2:$AA1185)&lt;=MAX('Per Line'!$AO$2:$AO$4001),MATCH(ROWS($AA$2:$AA1185),'Per Line'!$AO$2:$AO$4001,0),"")</f>
        <v/>
      </c>
      <c r="AB1185" s="14">
        <f>IF($AA1185="","",L1185-K1185*Y1185/100)</f>
        <v/>
      </c>
    </row>
    <row r="1186">
      <c r="A1186" s="12" t="n"/>
      <c r="B1186">
        <f>IF($AA1186="","",INDEX('Per Line'!$E$2:$E$4001,$AA1186)&amp;"")</f>
        <v/>
      </c>
      <c r="C1186">
        <f>IF($AA1186="","",INDEX('Per Line'!$A$2:$A$4001,$AA1186)&amp;"")</f>
        <v/>
      </c>
      <c r="D1186">
        <f>IF($AA1186="","",INDEX('Per Line'!$D$2:$D$4001,$AA1186)&amp;"")</f>
        <v/>
      </c>
      <c r="E1186" s="11">
        <f>IF($AA1186="","",INDEX('Per Line'!$G$2:$G$4001,$AA1186))</f>
        <v/>
      </c>
      <c r="F1186">
        <f>IF($AA1186="","",INDEX('Per Line'!$H$2:$H$4001,$AA1186)&amp;"")</f>
        <v/>
      </c>
      <c r="G1186">
        <f>IF($AA1186="","",INDEX('Per Line'!$I$2:$I$4001,$AA1186)&amp;"")</f>
        <v/>
      </c>
      <c r="H1186">
        <f>IF($AA1186="","",INDEX('Per Line'!$J$2:$J$4001,$AA1186)&amp;"")</f>
        <v/>
      </c>
      <c r="I1186">
        <f>IF($AA1186="","",INDEX('Per Line'!$K$2:$K$4001,$AA1186)&amp;"")</f>
        <v/>
      </c>
      <c r="J1186">
        <f>IF($AA1186="","",INDEX('Per Line'!$L$2:$L$4001,$AA1186)&amp;"")</f>
        <v/>
      </c>
      <c r="K1186">
        <f>IF($AA1186="","",INDEX('Per Line'!$P$2:$P$4001,$AA1186))</f>
        <v/>
      </c>
      <c r="L1186" s="7">
        <f>IF($AA1186="","",IF(AND(ISNUMBER(N1186),N1186&gt;0,Y1186&gt;N1186),K1186*N1186/100+(Y1186-N1186),K1186*Y1186/100))</f>
        <v/>
      </c>
      <c r="M1186">
        <f>IF($AA1186="","",INDEX('Per Line'!$Z$2:$Z$4001,$AA1186)&amp;"")</f>
        <v/>
      </c>
      <c r="N1186">
        <f>IF($AA1186="","",INDEX('Per Line'!$AG$2:$AG$4001,$AA1186))</f>
        <v/>
      </c>
      <c r="O1186">
        <f>IF($AA1186="","",IF(AND(ISNUMBER(N1186),N1186&gt;0),Y1186&gt;N1186,FALSE))</f>
        <v/>
      </c>
      <c r="P1186" s="7">
        <f>IF($AA1186="","",SUMIFS('Per Line'!$Y$2:$Y$4001,'Per Line'!$E$2:$E$4001,$B1186,'Per Line'!$AQ$2:$AQ$4001,1))</f>
        <v/>
      </c>
      <c r="Q1186">
        <f>IF($AA1186="","",Settings!$C$7)</f>
        <v/>
      </c>
      <c r="R1186" s="7">
        <f>IF($AA1186="","",SUMIFS('Per Line'!$Y$2:$Y$4001,'Per Line'!$E$2:$E$4001,$B1186,'Per Line'!$AP$2:$AP$4001,0,'Per Line'!$AQ$2:$AQ$4001,0))</f>
        <v/>
      </c>
      <c r="S1186" s="7">
        <f>IF($AA1186="","",R1186*Q1186)</f>
        <v/>
      </c>
      <c r="T1186">
        <f>IF($AA1186="","",Settings!$C$6)</f>
        <v/>
      </c>
      <c r="U1186" s="7">
        <f>IF($AA1186="","",SUMIFS('Per Line'!$Y$2:$Y$4001,'Per Line'!$E$2:$E$4001,$B1186,'Per Line'!$AP$2:$AP$4001,1,'Per Line'!$AQ$2:$AQ$4001,0))</f>
        <v/>
      </c>
      <c r="V1186" s="7">
        <f>IF($AA1186="","",U1186*T1186)</f>
        <v/>
      </c>
      <c r="W1186" s="7">
        <f>IF($AA1186="","",V1186+S1186)</f>
        <v/>
      </c>
      <c r="X1186" s="7">
        <f>IF($AA1186="","",Y1186-W1186)</f>
        <v/>
      </c>
      <c r="Y1186" s="7">
        <f>IF($AA1186="","",R1186+U1186+P1186)</f>
        <v/>
      </c>
      <c r="Z1186" s="7">
        <f>IF($AA1186="","",Y1186-W1186-L1186)</f>
        <v/>
      </c>
      <c r="AA1186" s="13">
        <f>IF(ROWS($AA$2:$AA1186)&lt;=MAX('Per Line'!$AO$2:$AO$4001),MATCH(ROWS($AA$2:$AA1186),'Per Line'!$AO$2:$AO$4001,0),"")</f>
        <v/>
      </c>
      <c r="AB1186" s="14">
        <f>IF($AA1186="","",L1186-K1186*Y1186/100)</f>
        <v/>
      </c>
    </row>
    <row r="1187">
      <c r="A1187" s="12" t="n"/>
      <c r="B1187">
        <f>IF($AA1187="","",INDEX('Per Line'!$E$2:$E$4001,$AA1187)&amp;"")</f>
        <v/>
      </c>
      <c r="C1187">
        <f>IF($AA1187="","",INDEX('Per Line'!$A$2:$A$4001,$AA1187)&amp;"")</f>
        <v/>
      </c>
      <c r="D1187">
        <f>IF($AA1187="","",INDEX('Per Line'!$D$2:$D$4001,$AA1187)&amp;"")</f>
        <v/>
      </c>
      <c r="E1187" s="11">
        <f>IF($AA1187="","",INDEX('Per Line'!$G$2:$G$4001,$AA1187))</f>
        <v/>
      </c>
      <c r="F1187">
        <f>IF($AA1187="","",INDEX('Per Line'!$H$2:$H$4001,$AA1187)&amp;"")</f>
        <v/>
      </c>
      <c r="G1187">
        <f>IF($AA1187="","",INDEX('Per Line'!$I$2:$I$4001,$AA1187)&amp;"")</f>
        <v/>
      </c>
      <c r="H1187">
        <f>IF($AA1187="","",INDEX('Per Line'!$J$2:$J$4001,$AA1187)&amp;"")</f>
        <v/>
      </c>
      <c r="I1187">
        <f>IF($AA1187="","",INDEX('Per Line'!$K$2:$K$4001,$AA1187)&amp;"")</f>
        <v/>
      </c>
      <c r="J1187">
        <f>IF($AA1187="","",INDEX('Per Line'!$L$2:$L$4001,$AA1187)&amp;"")</f>
        <v/>
      </c>
      <c r="K1187">
        <f>IF($AA1187="","",INDEX('Per Line'!$P$2:$P$4001,$AA1187))</f>
        <v/>
      </c>
      <c r="L1187" s="7">
        <f>IF($AA1187="","",IF(AND(ISNUMBER(N1187),N1187&gt;0,Y1187&gt;N1187),K1187*N1187/100+(Y1187-N1187),K1187*Y1187/100))</f>
        <v/>
      </c>
      <c r="M1187">
        <f>IF($AA1187="","",INDEX('Per Line'!$Z$2:$Z$4001,$AA1187)&amp;"")</f>
        <v/>
      </c>
      <c r="N1187">
        <f>IF($AA1187="","",INDEX('Per Line'!$AG$2:$AG$4001,$AA1187))</f>
        <v/>
      </c>
      <c r="O1187">
        <f>IF($AA1187="","",IF(AND(ISNUMBER(N1187),N1187&gt;0),Y1187&gt;N1187,FALSE))</f>
        <v/>
      </c>
      <c r="P1187" s="7">
        <f>IF($AA1187="","",SUMIFS('Per Line'!$Y$2:$Y$4001,'Per Line'!$E$2:$E$4001,$B1187,'Per Line'!$AQ$2:$AQ$4001,1))</f>
        <v/>
      </c>
      <c r="Q1187">
        <f>IF($AA1187="","",Settings!$C$7)</f>
        <v/>
      </c>
      <c r="R1187" s="7">
        <f>IF($AA1187="","",SUMIFS('Per Line'!$Y$2:$Y$4001,'Per Line'!$E$2:$E$4001,$B1187,'Per Line'!$AP$2:$AP$4001,0,'Per Line'!$AQ$2:$AQ$4001,0))</f>
        <v/>
      </c>
      <c r="S1187" s="7">
        <f>IF($AA1187="","",R1187*Q1187)</f>
        <v/>
      </c>
      <c r="T1187">
        <f>IF($AA1187="","",Settings!$C$6)</f>
        <v/>
      </c>
      <c r="U1187" s="7">
        <f>IF($AA1187="","",SUMIFS('Per Line'!$Y$2:$Y$4001,'Per Line'!$E$2:$E$4001,$B1187,'Per Line'!$AP$2:$AP$4001,1,'Per Line'!$AQ$2:$AQ$4001,0))</f>
        <v/>
      </c>
      <c r="V1187" s="7">
        <f>IF($AA1187="","",U1187*T1187)</f>
        <v/>
      </c>
      <c r="W1187" s="7">
        <f>IF($AA1187="","",V1187+S1187)</f>
        <v/>
      </c>
      <c r="X1187" s="7">
        <f>IF($AA1187="","",Y1187-W1187)</f>
        <v/>
      </c>
      <c r="Y1187" s="7">
        <f>IF($AA1187="","",R1187+U1187+P1187)</f>
        <v/>
      </c>
      <c r="Z1187" s="7">
        <f>IF($AA1187="","",Y1187-W1187-L1187)</f>
        <v/>
      </c>
      <c r="AA1187" s="13">
        <f>IF(ROWS($AA$2:$AA1187)&lt;=MAX('Per Line'!$AO$2:$AO$4001),MATCH(ROWS($AA$2:$AA1187),'Per Line'!$AO$2:$AO$4001,0),"")</f>
        <v/>
      </c>
      <c r="AB1187" s="14">
        <f>IF($AA1187="","",L1187-K1187*Y1187/100)</f>
        <v/>
      </c>
    </row>
    <row r="1188">
      <c r="A1188" s="12" t="n"/>
      <c r="B1188">
        <f>IF($AA1188="","",INDEX('Per Line'!$E$2:$E$4001,$AA1188)&amp;"")</f>
        <v/>
      </c>
      <c r="C1188">
        <f>IF($AA1188="","",INDEX('Per Line'!$A$2:$A$4001,$AA1188)&amp;"")</f>
        <v/>
      </c>
      <c r="D1188">
        <f>IF($AA1188="","",INDEX('Per Line'!$D$2:$D$4001,$AA1188)&amp;"")</f>
        <v/>
      </c>
      <c r="E1188" s="11">
        <f>IF($AA1188="","",INDEX('Per Line'!$G$2:$G$4001,$AA1188))</f>
        <v/>
      </c>
      <c r="F1188">
        <f>IF($AA1188="","",INDEX('Per Line'!$H$2:$H$4001,$AA1188)&amp;"")</f>
        <v/>
      </c>
      <c r="G1188">
        <f>IF($AA1188="","",INDEX('Per Line'!$I$2:$I$4001,$AA1188)&amp;"")</f>
        <v/>
      </c>
      <c r="H1188">
        <f>IF($AA1188="","",INDEX('Per Line'!$J$2:$J$4001,$AA1188)&amp;"")</f>
        <v/>
      </c>
      <c r="I1188">
        <f>IF($AA1188="","",INDEX('Per Line'!$K$2:$K$4001,$AA1188)&amp;"")</f>
        <v/>
      </c>
      <c r="J1188">
        <f>IF($AA1188="","",INDEX('Per Line'!$L$2:$L$4001,$AA1188)&amp;"")</f>
        <v/>
      </c>
      <c r="K1188">
        <f>IF($AA1188="","",INDEX('Per Line'!$P$2:$P$4001,$AA1188))</f>
        <v/>
      </c>
      <c r="L1188" s="7">
        <f>IF($AA1188="","",IF(AND(ISNUMBER(N1188),N1188&gt;0,Y1188&gt;N1188),K1188*N1188/100+(Y1188-N1188),K1188*Y1188/100))</f>
        <v/>
      </c>
      <c r="M1188">
        <f>IF($AA1188="","",INDEX('Per Line'!$Z$2:$Z$4001,$AA1188)&amp;"")</f>
        <v/>
      </c>
      <c r="N1188">
        <f>IF($AA1188="","",INDEX('Per Line'!$AG$2:$AG$4001,$AA1188))</f>
        <v/>
      </c>
      <c r="O1188">
        <f>IF($AA1188="","",IF(AND(ISNUMBER(N1188),N1188&gt;0),Y1188&gt;N1188,FALSE))</f>
        <v/>
      </c>
      <c r="P1188" s="7">
        <f>IF($AA1188="","",SUMIFS('Per Line'!$Y$2:$Y$4001,'Per Line'!$E$2:$E$4001,$B1188,'Per Line'!$AQ$2:$AQ$4001,1))</f>
        <v/>
      </c>
      <c r="Q1188">
        <f>IF($AA1188="","",Settings!$C$7)</f>
        <v/>
      </c>
      <c r="R1188" s="7">
        <f>IF($AA1188="","",SUMIFS('Per Line'!$Y$2:$Y$4001,'Per Line'!$E$2:$E$4001,$B1188,'Per Line'!$AP$2:$AP$4001,0,'Per Line'!$AQ$2:$AQ$4001,0))</f>
        <v/>
      </c>
      <c r="S1188" s="7">
        <f>IF($AA1188="","",R1188*Q1188)</f>
        <v/>
      </c>
      <c r="T1188">
        <f>IF($AA1188="","",Settings!$C$6)</f>
        <v/>
      </c>
      <c r="U1188" s="7">
        <f>IF($AA1188="","",SUMIFS('Per Line'!$Y$2:$Y$4001,'Per Line'!$E$2:$E$4001,$B1188,'Per Line'!$AP$2:$AP$4001,1,'Per Line'!$AQ$2:$AQ$4001,0))</f>
        <v/>
      </c>
      <c r="V1188" s="7">
        <f>IF($AA1188="","",U1188*T1188)</f>
        <v/>
      </c>
      <c r="W1188" s="7">
        <f>IF($AA1188="","",V1188+S1188)</f>
        <v/>
      </c>
      <c r="X1188" s="7">
        <f>IF($AA1188="","",Y1188-W1188)</f>
        <v/>
      </c>
      <c r="Y1188" s="7">
        <f>IF($AA1188="","",R1188+U1188+P1188)</f>
        <v/>
      </c>
      <c r="Z1188" s="7">
        <f>IF($AA1188="","",Y1188-W1188-L1188)</f>
        <v/>
      </c>
      <c r="AA1188" s="13">
        <f>IF(ROWS($AA$2:$AA1188)&lt;=MAX('Per Line'!$AO$2:$AO$4001),MATCH(ROWS($AA$2:$AA1188),'Per Line'!$AO$2:$AO$4001,0),"")</f>
        <v/>
      </c>
      <c r="AB1188" s="14">
        <f>IF($AA1188="","",L1188-K1188*Y1188/100)</f>
        <v/>
      </c>
    </row>
    <row r="1189">
      <c r="A1189" s="12" t="n"/>
      <c r="B1189">
        <f>IF($AA1189="","",INDEX('Per Line'!$E$2:$E$4001,$AA1189)&amp;"")</f>
        <v/>
      </c>
      <c r="C1189">
        <f>IF($AA1189="","",INDEX('Per Line'!$A$2:$A$4001,$AA1189)&amp;"")</f>
        <v/>
      </c>
      <c r="D1189">
        <f>IF($AA1189="","",INDEX('Per Line'!$D$2:$D$4001,$AA1189)&amp;"")</f>
        <v/>
      </c>
      <c r="E1189" s="11">
        <f>IF($AA1189="","",INDEX('Per Line'!$G$2:$G$4001,$AA1189))</f>
        <v/>
      </c>
      <c r="F1189">
        <f>IF($AA1189="","",INDEX('Per Line'!$H$2:$H$4001,$AA1189)&amp;"")</f>
        <v/>
      </c>
      <c r="G1189">
        <f>IF($AA1189="","",INDEX('Per Line'!$I$2:$I$4001,$AA1189)&amp;"")</f>
        <v/>
      </c>
      <c r="H1189">
        <f>IF($AA1189="","",INDEX('Per Line'!$J$2:$J$4001,$AA1189)&amp;"")</f>
        <v/>
      </c>
      <c r="I1189">
        <f>IF($AA1189="","",INDEX('Per Line'!$K$2:$K$4001,$AA1189)&amp;"")</f>
        <v/>
      </c>
      <c r="J1189">
        <f>IF($AA1189="","",INDEX('Per Line'!$L$2:$L$4001,$AA1189)&amp;"")</f>
        <v/>
      </c>
      <c r="K1189">
        <f>IF($AA1189="","",INDEX('Per Line'!$P$2:$P$4001,$AA1189))</f>
        <v/>
      </c>
      <c r="L1189" s="7">
        <f>IF($AA1189="","",IF(AND(ISNUMBER(N1189),N1189&gt;0,Y1189&gt;N1189),K1189*N1189/100+(Y1189-N1189),K1189*Y1189/100))</f>
        <v/>
      </c>
      <c r="M1189">
        <f>IF($AA1189="","",INDEX('Per Line'!$Z$2:$Z$4001,$AA1189)&amp;"")</f>
        <v/>
      </c>
      <c r="N1189">
        <f>IF($AA1189="","",INDEX('Per Line'!$AG$2:$AG$4001,$AA1189))</f>
        <v/>
      </c>
      <c r="O1189">
        <f>IF($AA1189="","",IF(AND(ISNUMBER(N1189),N1189&gt;0),Y1189&gt;N1189,FALSE))</f>
        <v/>
      </c>
      <c r="P1189" s="7">
        <f>IF($AA1189="","",SUMIFS('Per Line'!$Y$2:$Y$4001,'Per Line'!$E$2:$E$4001,$B1189,'Per Line'!$AQ$2:$AQ$4001,1))</f>
        <v/>
      </c>
      <c r="Q1189">
        <f>IF($AA1189="","",Settings!$C$7)</f>
        <v/>
      </c>
      <c r="R1189" s="7">
        <f>IF($AA1189="","",SUMIFS('Per Line'!$Y$2:$Y$4001,'Per Line'!$E$2:$E$4001,$B1189,'Per Line'!$AP$2:$AP$4001,0,'Per Line'!$AQ$2:$AQ$4001,0))</f>
        <v/>
      </c>
      <c r="S1189" s="7">
        <f>IF($AA1189="","",R1189*Q1189)</f>
        <v/>
      </c>
      <c r="T1189">
        <f>IF($AA1189="","",Settings!$C$6)</f>
        <v/>
      </c>
      <c r="U1189" s="7">
        <f>IF($AA1189="","",SUMIFS('Per Line'!$Y$2:$Y$4001,'Per Line'!$E$2:$E$4001,$B1189,'Per Line'!$AP$2:$AP$4001,1,'Per Line'!$AQ$2:$AQ$4001,0))</f>
        <v/>
      </c>
      <c r="V1189" s="7">
        <f>IF($AA1189="","",U1189*T1189)</f>
        <v/>
      </c>
      <c r="W1189" s="7">
        <f>IF($AA1189="","",V1189+S1189)</f>
        <v/>
      </c>
      <c r="X1189" s="7">
        <f>IF($AA1189="","",Y1189-W1189)</f>
        <v/>
      </c>
      <c r="Y1189" s="7">
        <f>IF($AA1189="","",R1189+U1189+P1189)</f>
        <v/>
      </c>
      <c r="Z1189" s="7">
        <f>IF($AA1189="","",Y1189-W1189-L1189)</f>
        <v/>
      </c>
      <c r="AA1189" s="13">
        <f>IF(ROWS($AA$2:$AA1189)&lt;=MAX('Per Line'!$AO$2:$AO$4001),MATCH(ROWS($AA$2:$AA1189),'Per Line'!$AO$2:$AO$4001,0),"")</f>
        <v/>
      </c>
      <c r="AB1189" s="14">
        <f>IF($AA1189="","",L1189-K1189*Y1189/100)</f>
        <v/>
      </c>
    </row>
    <row r="1190">
      <c r="A1190" s="12" t="n"/>
      <c r="B1190">
        <f>IF($AA1190="","",INDEX('Per Line'!$E$2:$E$4001,$AA1190)&amp;"")</f>
        <v/>
      </c>
      <c r="C1190">
        <f>IF($AA1190="","",INDEX('Per Line'!$A$2:$A$4001,$AA1190)&amp;"")</f>
        <v/>
      </c>
      <c r="D1190">
        <f>IF($AA1190="","",INDEX('Per Line'!$D$2:$D$4001,$AA1190)&amp;"")</f>
        <v/>
      </c>
      <c r="E1190" s="11">
        <f>IF($AA1190="","",INDEX('Per Line'!$G$2:$G$4001,$AA1190))</f>
        <v/>
      </c>
      <c r="F1190">
        <f>IF($AA1190="","",INDEX('Per Line'!$H$2:$H$4001,$AA1190)&amp;"")</f>
        <v/>
      </c>
      <c r="G1190">
        <f>IF($AA1190="","",INDEX('Per Line'!$I$2:$I$4001,$AA1190)&amp;"")</f>
        <v/>
      </c>
      <c r="H1190">
        <f>IF($AA1190="","",INDEX('Per Line'!$J$2:$J$4001,$AA1190)&amp;"")</f>
        <v/>
      </c>
      <c r="I1190">
        <f>IF($AA1190="","",INDEX('Per Line'!$K$2:$K$4001,$AA1190)&amp;"")</f>
        <v/>
      </c>
      <c r="J1190">
        <f>IF($AA1190="","",INDEX('Per Line'!$L$2:$L$4001,$AA1190)&amp;"")</f>
        <v/>
      </c>
      <c r="K1190">
        <f>IF($AA1190="","",INDEX('Per Line'!$P$2:$P$4001,$AA1190))</f>
        <v/>
      </c>
      <c r="L1190" s="7">
        <f>IF($AA1190="","",IF(AND(ISNUMBER(N1190),N1190&gt;0,Y1190&gt;N1190),K1190*N1190/100+(Y1190-N1190),K1190*Y1190/100))</f>
        <v/>
      </c>
      <c r="M1190">
        <f>IF($AA1190="","",INDEX('Per Line'!$Z$2:$Z$4001,$AA1190)&amp;"")</f>
        <v/>
      </c>
      <c r="N1190">
        <f>IF($AA1190="","",INDEX('Per Line'!$AG$2:$AG$4001,$AA1190))</f>
        <v/>
      </c>
      <c r="O1190">
        <f>IF($AA1190="","",IF(AND(ISNUMBER(N1190),N1190&gt;0),Y1190&gt;N1190,FALSE))</f>
        <v/>
      </c>
      <c r="P1190" s="7">
        <f>IF($AA1190="","",SUMIFS('Per Line'!$Y$2:$Y$4001,'Per Line'!$E$2:$E$4001,$B1190,'Per Line'!$AQ$2:$AQ$4001,1))</f>
        <v/>
      </c>
      <c r="Q1190">
        <f>IF($AA1190="","",Settings!$C$7)</f>
        <v/>
      </c>
      <c r="R1190" s="7">
        <f>IF($AA1190="","",SUMIFS('Per Line'!$Y$2:$Y$4001,'Per Line'!$E$2:$E$4001,$B1190,'Per Line'!$AP$2:$AP$4001,0,'Per Line'!$AQ$2:$AQ$4001,0))</f>
        <v/>
      </c>
      <c r="S1190" s="7">
        <f>IF($AA1190="","",R1190*Q1190)</f>
        <v/>
      </c>
      <c r="T1190">
        <f>IF($AA1190="","",Settings!$C$6)</f>
        <v/>
      </c>
      <c r="U1190" s="7">
        <f>IF($AA1190="","",SUMIFS('Per Line'!$Y$2:$Y$4001,'Per Line'!$E$2:$E$4001,$B1190,'Per Line'!$AP$2:$AP$4001,1,'Per Line'!$AQ$2:$AQ$4001,0))</f>
        <v/>
      </c>
      <c r="V1190" s="7">
        <f>IF($AA1190="","",U1190*T1190)</f>
        <v/>
      </c>
      <c r="W1190" s="7">
        <f>IF($AA1190="","",V1190+S1190)</f>
        <v/>
      </c>
      <c r="X1190" s="7">
        <f>IF($AA1190="","",Y1190-W1190)</f>
        <v/>
      </c>
      <c r="Y1190" s="7">
        <f>IF($AA1190="","",R1190+U1190+P1190)</f>
        <v/>
      </c>
      <c r="Z1190" s="7">
        <f>IF($AA1190="","",Y1190-W1190-L1190)</f>
        <v/>
      </c>
      <c r="AA1190" s="13">
        <f>IF(ROWS($AA$2:$AA1190)&lt;=MAX('Per Line'!$AO$2:$AO$4001),MATCH(ROWS($AA$2:$AA1190),'Per Line'!$AO$2:$AO$4001,0),"")</f>
        <v/>
      </c>
      <c r="AB1190" s="14">
        <f>IF($AA1190="","",L1190-K1190*Y1190/100)</f>
        <v/>
      </c>
    </row>
    <row r="1191">
      <c r="A1191" s="12" t="n"/>
      <c r="B1191">
        <f>IF($AA1191="","",INDEX('Per Line'!$E$2:$E$4001,$AA1191)&amp;"")</f>
        <v/>
      </c>
      <c r="C1191">
        <f>IF($AA1191="","",INDEX('Per Line'!$A$2:$A$4001,$AA1191)&amp;"")</f>
        <v/>
      </c>
      <c r="D1191">
        <f>IF($AA1191="","",INDEX('Per Line'!$D$2:$D$4001,$AA1191)&amp;"")</f>
        <v/>
      </c>
      <c r="E1191" s="11">
        <f>IF($AA1191="","",INDEX('Per Line'!$G$2:$G$4001,$AA1191))</f>
        <v/>
      </c>
      <c r="F1191">
        <f>IF($AA1191="","",INDEX('Per Line'!$H$2:$H$4001,$AA1191)&amp;"")</f>
        <v/>
      </c>
      <c r="G1191">
        <f>IF($AA1191="","",INDEX('Per Line'!$I$2:$I$4001,$AA1191)&amp;"")</f>
        <v/>
      </c>
      <c r="H1191">
        <f>IF($AA1191="","",INDEX('Per Line'!$J$2:$J$4001,$AA1191)&amp;"")</f>
        <v/>
      </c>
      <c r="I1191">
        <f>IF($AA1191="","",INDEX('Per Line'!$K$2:$K$4001,$AA1191)&amp;"")</f>
        <v/>
      </c>
      <c r="J1191">
        <f>IF($AA1191="","",INDEX('Per Line'!$L$2:$L$4001,$AA1191)&amp;"")</f>
        <v/>
      </c>
      <c r="K1191">
        <f>IF($AA1191="","",INDEX('Per Line'!$P$2:$P$4001,$AA1191))</f>
        <v/>
      </c>
      <c r="L1191" s="7">
        <f>IF($AA1191="","",IF(AND(ISNUMBER(N1191),N1191&gt;0,Y1191&gt;N1191),K1191*N1191/100+(Y1191-N1191),K1191*Y1191/100))</f>
        <v/>
      </c>
      <c r="M1191">
        <f>IF($AA1191="","",INDEX('Per Line'!$Z$2:$Z$4001,$AA1191)&amp;"")</f>
        <v/>
      </c>
      <c r="N1191">
        <f>IF($AA1191="","",INDEX('Per Line'!$AG$2:$AG$4001,$AA1191))</f>
        <v/>
      </c>
      <c r="O1191">
        <f>IF($AA1191="","",IF(AND(ISNUMBER(N1191),N1191&gt;0),Y1191&gt;N1191,FALSE))</f>
        <v/>
      </c>
      <c r="P1191" s="7">
        <f>IF($AA1191="","",SUMIFS('Per Line'!$Y$2:$Y$4001,'Per Line'!$E$2:$E$4001,$B1191,'Per Line'!$AQ$2:$AQ$4001,1))</f>
        <v/>
      </c>
      <c r="Q1191">
        <f>IF($AA1191="","",Settings!$C$7)</f>
        <v/>
      </c>
      <c r="R1191" s="7">
        <f>IF($AA1191="","",SUMIFS('Per Line'!$Y$2:$Y$4001,'Per Line'!$E$2:$E$4001,$B1191,'Per Line'!$AP$2:$AP$4001,0,'Per Line'!$AQ$2:$AQ$4001,0))</f>
        <v/>
      </c>
      <c r="S1191" s="7">
        <f>IF($AA1191="","",R1191*Q1191)</f>
        <v/>
      </c>
      <c r="T1191">
        <f>IF($AA1191="","",Settings!$C$6)</f>
        <v/>
      </c>
      <c r="U1191" s="7">
        <f>IF($AA1191="","",SUMIFS('Per Line'!$Y$2:$Y$4001,'Per Line'!$E$2:$E$4001,$B1191,'Per Line'!$AP$2:$AP$4001,1,'Per Line'!$AQ$2:$AQ$4001,0))</f>
        <v/>
      </c>
      <c r="V1191" s="7">
        <f>IF($AA1191="","",U1191*T1191)</f>
        <v/>
      </c>
      <c r="W1191" s="7">
        <f>IF($AA1191="","",V1191+S1191)</f>
        <v/>
      </c>
      <c r="X1191" s="7">
        <f>IF($AA1191="","",Y1191-W1191)</f>
        <v/>
      </c>
      <c r="Y1191" s="7">
        <f>IF($AA1191="","",R1191+U1191+P1191)</f>
        <v/>
      </c>
      <c r="Z1191" s="7">
        <f>IF($AA1191="","",Y1191-W1191-L1191)</f>
        <v/>
      </c>
      <c r="AA1191" s="13">
        <f>IF(ROWS($AA$2:$AA1191)&lt;=MAX('Per Line'!$AO$2:$AO$4001),MATCH(ROWS($AA$2:$AA1191),'Per Line'!$AO$2:$AO$4001,0),"")</f>
        <v/>
      </c>
      <c r="AB1191" s="14">
        <f>IF($AA1191="","",L1191-K1191*Y1191/100)</f>
        <v/>
      </c>
    </row>
    <row r="1192">
      <c r="A1192" s="12" t="n"/>
      <c r="B1192">
        <f>IF($AA1192="","",INDEX('Per Line'!$E$2:$E$4001,$AA1192)&amp;"")</f>
        <v/>
      </c>
      <c r="C1192">
        <f>IF($AA1192="","",INDEX('Per Line'!$A$2:$A$4001,$AA1192)&amp;"")</f>
        <v/>
      </c>
      <c r="D1192">
        <f>IF($AA1192="","",INDEX('Per Line'!$D$2:$D$4001,$AA1192)&amp;"")</f>
        <v/>
      </c>
      <c r="E1192" s="11">
        <f>IF($AA1192="","",INDEX('Per Line'!$G$2:$G$4001,$AA1192))</f>
        <v/>
      </c>
      <c r="F1192">
        <f>IF($AA1192="","",INDEX('Per Line'!$H$2:$H$4001,$AA1192)&amp;"")</f>
        <v/>
      </c>
      <c r="G1192">
        <f>IF($AA1192="","",INDEX('Per Line'!$I$2:$I$4001,$AA1192)&amp;"")</f>
        <v/>
      </c>
      <c r="H1192">
        <f>IF($AA1192="","",INDEX('Per Line'!$J$2:$J$4001,$AA1192)&amp;"")</f>
        <v/>
      </c>
      <c r="I1192">
        <f>IF($AA1192="","",INDEX('Per Line'!$K$2:$K$4001,$AA1192)&amp;"")</f>
        <v/>
      </c>
      <c r="J1192">
        <f>IF($AA1192="","",INDEX('Per Line'!$L$2:$L$4001,$AA1192)&amp;"")</f>
        <v/>
      </c>
      <c r="K1192">
        <f>IF($AA1192="","",INDEX('Per Line'!$P$2:$P$4001,$AA1192))</f>
        <v/>
      </c>
      <c r="L1192" s="7">
        <f>IF($AA1192="","",IF(AND(ISNUMBER(N1192),N1192&gt;0,Y1192&gt;N1192),K1192*N1192/100+(Y1192-N1192),K1192*Y1192/100))</f>
        <v/>
      </c>
      <c r="M1192">
        <f>IF($AA1192="","",INDEX('Per Line'!$Z$2:$Z$4001,$AA1192)&amp;"")</f>
        <v/>
      </c>
      <c r="N1192">
        <f>IF($AA1192="","",INDEX('Per Line'!$AG$2:$AG$4001,$AA1192))</f>
        <v/>
      </c>
      <c r="O1192">
        <f>IF($AA1192="","",IF(AND(ISNUMBER(N1192),N1192&gt;0),Y1192&gt;N1192,FALSE))</f>
        <v/>
      </c>
      <c r="P1192" s="7">
        <f>IF($AA1192="","",SUMIFS('Per Line'!$Y$2:$Y$4001,'Per Line'!$E$2:$E$4001,$B1192,'Per Line'!$AQ$2:$AQ$4001,1))</f>
        <v/>
      </c>
      <c r="Q1192">
        <f>IF($AA1192="","",Settings!$C$7)</f>
        <v/>
      </c>
      <c r="R1192" s="7">
        <f>IF($AA1192="","",SUMIFS('Per Line'!$Y$2:$Y$4001,'Per Line'!$E$2:$E$4001,$B1192,'Per Line'!$AP$2:$AP$4001,0,'Per Line'!$AQ$2:$AQ$4001,0))</f>
        <v/>
      </c>
      <c r="S1192" s="7">
        <f>IF($AA1192="","",R1192*Q1192)</f>
        <v/>
      </c>
      <c r="T1192">
        <f>IF($AA1192="","",Settings!$C$6)</f>
        <v/>
      </c>
      <c r="U1192" s="7">
        <f>IF($AA1192="","",SUMIFS('Per Line'!$Y$2:$Y$4001,'Per Line'!$E$2:$E$4001,$B1192,'Per Line'!$AP$2:$AP$4001,1,'Per Line'!$AQ$2:$AQ$4001,0))</f>
        <v/>
      </c>
      <c r="V1192" s="7">
        <f>IF($AA1192="","",U1192*T1192)</f>
        <v/>
      </c>
      <c r="W1192" s="7">
        <f>IF($AA1192="","",V1192+S1192)</f>
        <v/>
      </c>
      <c r="X1192" s="7">
        <f>IF($AA1192="","",Y1192-W1192)</f>
        <v/>
      </c>
      <c r="Y1192" s="7">
        <f>IF($AA1192="","",R1192+U1192+P1192)</f>
        <v/>
      </c>
      <c r="Z1192" s="7">
        <f>IF($AA1192="","",Y1192-W1192-L1192)</f>
        <v/>
      </c>
      <c r="AA1192" s="13">
        <f>IF(ROWS($AA$2:$AA1192)&lt;=MAX('Per Line'!$AO$2:$AO$4001),MATCH(ROWS($AA$2:$AA1192),'Per Line'!$AO$2:$AO$4001,0),"")</f>
        <v/>
      </c>
      <c r="AB1192" s="14">
        <f>IF($AA1192="","",L1192-K1192*Y1192/100)</f>
        <v/>
      </c>
    </row>
    <row r="1193">
      <c r="A1193" s="12" t="n"/>
      <c r="B1193">
        <f>IF($AA1193="","",INDEX('Per Line'!$E$2:$E$4001,$AA1193)&amp;"")</f>
        <v/>
      </c>
      <c r="C1193">
        <f>IF($AA1193="","",INDEX('Per Line'!$A$2:$A$4001,$AA1193)&amp;"")</f>
        <v/>
      </c>
      <c r="D1193">
        <f>IF($AA1193="","",INDEX('Per Line'!$D$2:$D$4001,$AA1193)&amp;"")</f>
        <v/>
      </c>
      <c r="E1193" s="11">
        <f>IF($AA1193="","",INDEX('Per Line'!$G$2:$G$4001,$AA1193))</f>
        <v/>
      </c>
      <c r="F1193">
        <f>IF($AA1193="","",INDEX('Per Line'!$H$2:$H$4001,$AA1193)&amp;"")</f>
        <v/>
      </c>
      <c r="G1193">
        <f>IF($AA1193="","",INDEX('Per Line'!$I$2:$I$4001,$AA1193)&amp;"")</f>
        <v/>
      </c>
      <c r="H1193">
        <f>IF($AA1193="","",INDEX('Per Line'!$J$2:$J$4001,$AA1193)&amp;"")</f>
        <v/>
      </c>
      <c r="I1193">
        <f>IF($AA1193="","",INDEX('Per Line'!$K$2:$K$4001,$AA1193)&amp;"")</f>
        <v/>
      </c>
      <c r="J1193">
        <f>IF($AA1193="","",INDEX('Per Line'!$L$2:$L$4001,$AA1193)&amp;"")</f>
        <v/>
      </c>
      <c r="K1193">
        <f>IF($AA1193="","",INDEX('Per Line'!$P$2:$P$4001,$AA1193))</f>
        <v/>
      </c>
      <c r="L1193" s="7">
        <f>IF($AA1193="","",IF(AND(ISNUMBER(N1193),N1193&gt;0,Y1193&gt;N1193),K1193*N1193/100+(Y1193-N1193),K1193*Y1193/100))</f>
        <v/>
      </c>
      <c r="M1193">
        <f>IF($AA1193="","",INDEX('Per Line'!$Z$2:$Z$4001,$AA1193)&amp;"")</f>
        <v/>
      </c>
      <c r="N1193">
        <f>IF($AA1193="","",INDEX('Per Line'!$AG$2:$AG$4001,$AA1193))</f>
        <v/>
      </c>
      <c r="O1193">
        <f>IF($AA1193="","",IF(AND(ISNUMBER(N1193),N1193&gt;0),Y1193&gt;N1193,FALSE))</f>
        <v/>
      </c>
      <c r="P1193" s="7">
        <f>IF($AA1193="","",SUMIFS('Per Line'!$Y$2:$Y$4001,'Per Line'!$E$2:$E$4001,$B1193,'Per Line'!$AQ$2:$AQ$4001,1))</f>
        <v/>
      </c>
      <c r="Q1193">
        <f>IF($AA1193="","",Settings!$C$7)</f>
        <v/>
      </c>
      <c r="R1193" s="7">
        <f>IF($AA1193="","",SUMIFS('Per Line'!$Y$2:$Y$4001,'Per Line'!$E$2:$E$4001,$B1193,'Per Line'!$AP$2:$AP$4001,0,'Per Line'!$AQ$2:$AQ$4001,0))</f>
        <v/>
      </c>
      <c r="S1193" s="7">
        <f>IF($AA1193="","",R1193*Q1193)</f>
        <v/>
      </c>
      <c r="T1193">
        <f>IF($AA1193="","",Settings!$C$6)</f>
        <v/>
      </c>
      <c r="U1193" s="7">
        <f>IF($AA1193="","",SUMIFS('Per Line'!$Y$2:$Y$4001,'Per Line'!$E$2:$E$4001,$B1193,'Per Line'!$AP$2:$AP$4001,1,'Per Line'!$AQ$2:$AQ$4001,0))</f>
        <v/>
      </c>
      <c r="V1193" s="7">
        <f>IF($AA1193="","",U1193*T1193)</f>
        <v/>
      </c>
      <c r="W1193" s="7">
        <f>IF($AA1193="","",V1193+S1193)</f>
        <v/>
      </c>
      <c r="X1193" s="7">
        <f>IF($AA1193="","",Y1193-W1193)</f>
        <v/>
      </c>
      <c r="Y1193" s="7">
        <f>IF($AA1193="","",R1193+U1193+P1193)</f>
        <v/>
      </c>
      <c r="Z1193" s="7">
        <f>IF($AA1193="","",Y1193-W1193-L1193)</f>
        <v/>
      </c>
      <c r="AA1193" s="13">
        <f>IF(ROWS($AA$2:$AA1193)&lt;=MAX('Per Line'!$AO$2:$AO$4001),MATCH(ROWS($AA$2:$AA1193),'Per Line'!$AO$2:$AO$4001,0),"")</f>
        <v/>
      </c>
      <c r="AB1193" s="14">
        <f>IF($AA1193="","",L1193-K1193*Y1193/100)</f>
        <v/>
      </c>
    </row>
    <row r="1194">
      <c r="A1194" s="12" t="n"/>
      <c r="B1194">
        <f>IF($AA1194="","",INDEX('Per Line'!$E$2:$E$4001,$AA1194)&amp;"")</f>
        <v/>
      </c>
      <c r="C1194">
        <f>IF($AA1194="","",INDEX('Per Line'!$A$2:$A$4001,$AA1194)&amp;"")</f>
        <v/>
      </c>
      <c r="D1194">
        <f>IF($AA1194="","",INDEX('Per Line'!$D$2:$D$4001,$AA1194)&amp;"")</f>
        <v/>
      </c>
      <c r="E1194" s="11">
        <f>IF($AA1194="","",INDEX('Per Line'!$G$2:$G$4001,$AA1194))</f>
        <v/>
      </c>
      <c r="F1194">
        <f>IF($AA1194="","",INDEX('Per Line'!$H$2:$H$4001,$AA1194)&amp;"")</f>
        <v/>
      </c>
      <c r="G1194">
        <f>IF($AA1194="","",INDEX('Per Line'!$I$2:$I$4001,$AA1194)&amp;"")</f>
        <v/>
      </c>
      <c r="H1194">
        <f>IF($AA1194="","",INDEX('Per Line'!$J$2:$J$4001,$AA1194)&amp;"")</f>
        <v/>
      </c>
      <c r="I1194">
        <f>IF($AA1194="","",INDEX('Per Line'!$K$2:$K$4001,$AA1194)&amp;"")</f>
        <v/>
      </c>
      <c r="J1194">
        <f>IF($AA1194="","",INDEX('Per Line'!$L$2:$L$4001,$AA1194)&amp;"")</f>
        <v/>
      </c>
      <c r="K1194">
        <f>IF($AA1194="","",INDEX('Per Line'!$P$2:$P$4001,$AA1194))</f>
        <v/>
      </c>
      <c r="L1194" s="7">
        <f>IF($AA1194="","",IF(AND(ISNUMBER(N1194),N1194&gt;0,Y1194&gt;N1194),K1194*N1194/100+(Y1194-N1194),K1194*Y1194/100))</f>
        <v/>
      </c>
      <c r="M1194">
        <f>IF($AA1194="","",INDEX('Per Line'!$Z$2:$Z$4001,$AA1194)&amp;"")</f>
        <v/>
      </c>
      <c r="N1194">
        <f>IF($AA1194="","",INDEX('Per Line'!$AG$2:$AG$4001,$AA1194))</f>
        <v/>
      </c>
      <c r="O1194">
        <f>IF($AA1194="","",IF(AND(ISNUMBER(N1194),N1194&gt;0),Y1194&gt;N1194,FALSE))</f>
        <v/>
      </c>
      <c r="P1194" s="7">
        <f>IF($AA1194="","",SUMIFS('Per Line'!$Y$2:$Y$4001,'Per Line'!$E$2:$E$4001,$B1194,'Per Line'!$AQ$2:$AQ$4001,1))</f>
        <v/>
      </c>
      <c r="Q1194">
        <f>IF($AA1194="","",Settings!$C$7)</f>
        <v/>
      </c>
      <c r="R1194" s="7">
        <f>IF($AA1194="","",SUMIFS('Per Line'!$Y$2:$Y$4001,'Per Line'!$E$2:$E$4001,$B1194,'Per Line'!$AP$2:$AP$4001,0,'Per Line'!$AQ$2:$AQ$4001,0))</f>
        <v/>
      </c>
      <c r="S1194" s="7">
        <f>IF($AA1194="","",R1194*Q1194)</f>
        <v/>
      </c>
      <c r="T1194">
        <f>IF($AA1194="","",Settings!$C$6)</f>
        <v/>
      </c>
      <c r="U1194" s="7">
        <f>IF($AA1194="","",SUMIFS('Per Line'!$Y$2:$Y$4001,'Per Line'!$E$2:$E$4001,$B1194,'Per Line'!$AP$2:$AP$4001,1,'Per Line'!$AQ$2:$AQ$4001,0))</f>
        <v/>
      </c>
      <c r="V1194" s="7">
        <f>IF($AA1194="","",U1194*T1194)</f>
        <v/>
      </c>
      <c r="W1194" s="7">
        <f>IF($AA1194="","",V1194+S1194)</f>
        <v/>
      </c>
      <c r="X1194" s="7">
        <f>IF($AA1194="","",Y1194-W1194)</f>
        <v/>
      </c>
      <c r="Y1194" s="7">
        <f>IF($AA1194="","",R1194+U1194+P1194)</f>
        <v/>
      </c>
      <c r="Z1194" s="7">
        <f>IF($AA1194="","",Y1194-W1194-L1194)</f>
        <v/>
      </c>
      <c r="AA1194" s="13">
        <f>IF(ROWS($AA$2:$AA1194)&lt;=MAX('Per Line'!$AO$2:$AO$4001),MATCH(ROWS($AA$2:$AA1194),'Per Line'!$AO$2:$AO$4001,0),"")</f>
        <v/>
      </c>
      <c r="AB1194" s="14">
        <f>IF($AA1194="","",L1194-K1194*Y1194/100)</f>
        <v/>
      </c>
    </row>
    <row r="1195">
      <c r="A1195" s="12" t="n"/>
      <c r="B1195">
        <f>IF($AA1195="","",INDEX('Per Line'!$E$2:$E$4001,$AA1195)&amp;"")</f>
        <v/>
      </c>
      <c r="C1195">
        <f>IF($AA1195="","",INDEX('Per Line'!$A$2:$A$4001,$AA1195)&amp;"")</f>
        <v/>
      </c>
      <c r="D1195">
        <f>IF($AA1195="","",INDEX('Per Line'!$D$2:$D$4001,$AA1195)&amp;"")</f>
        <v/>
      </c>
      <c r="E1195" s="11">
        <f>IF($AA1195="","",INDEX('Per Line'!$G$2:$G$4001,$AA1195))</f>
        <v/>
      </c>
      <c r="F1195">
        <f>IF($AA1195="","",INDEX('Per Line'!$H$2:$H$4001,$AA1195)&amp;"")</f>
        <v/>
      </c>
      <c r="G1195">
        <f>IF($AA1195="","",INDEX('Per Line'!$I$2:$I$4001,$AA1195)&amp;"")</f>
        <v/>
      </c>
      <c r="H1195">
        <f>IF($AA1195="","",INDEX('Per Line'!$J$2:$J$4001,$AA1195)&amp;"")</f>
        <v/>
      </c>
      <c r="I1195">
        <f>IF($AA1195="","",INDEX('Per Line'!$K$2:$K$4001,$AA1195)&amp;"")</f>
        <v/>
      </c>
      <c r="J1195">
        <f>IF($AA1195="","",INDEX('Per Line'!$L$2:$L$4001,$AA1195)&amp;"")</f>
        <v/>
      </c>
      <c r="K1195">
        <f>IF($AA1195="","",INDEX('Per Line'!$P$2:$P$4001,$AA1195))</f>
        <v/>
      </c>
      <c r="L1195" s="7">
        <f>IF($AA1195="","",IF(AND(ISNUMBER(N1195),N1195&gt;0,Y1195&gt;N1195),K1195*N1195/100+(Y1195-N1195),K1195*Y1195/100))</f>
        <v/>
      </c>
      <c r="M1195">
        <f>IF($AA1195="","",INDEX('Per Line'!$Z$2:$Z$4001,$AA1195)&amp;"")</f>
        <v/>
      </c>
      <c r="N1195">
        <f>IF($AA1195="","",INDEX('Per Line'!$AG$2:$AG$4001,$AA1195))</f>
        <v/>
      </c>
      <c r="O1195">
        <f>IF($AA1195="","",IF(AND(ISNUMBER(N1195),N1195&gt;0),Y1195&gt;N1195,FALSE))</f>
        <v/>
      </c>
      <c r="P1195" s="7">
        <f>IF($AA1195="","",SUMIFS('Per Line'!$Y$2:$Y$4001,'Per Line'!$E$2:$E$4001,$B1195,'Per Line'!$AQ$2:$AQ$4001,1))</f>
        <v/>
      </c>
      <c r="Q1195">
        <f>IF($AA1195="","",Settings!$C$7)</f>
        <v/>
      </c>
      <c r="R1195" s="7">
        <f>IF($AA1195="","",SUMIFS('Per Line'!$Y$2:$Y$4001,'Per Line'!$E$2:$E$4001,$B1195,'Per Line'!$AP$2:$AP$4001,0,'Per Line'!$AQ$2:$AQ$4001,0))</f>
        <v/>
      </c>
      <c r="S1195" s="7">
        <f>IF($AA1195="","",R1195*Q1195)</f>
        <v/>
      </c>
      <c r="T1195">
        <f>IF($AA1195="","",Settings!$C$6)</f>
        <v/>
      </c>
      <c r="U1195" s="7">
        <f>IF($AA1195="","",SUMIFS('Per Line'!$Y$2:$Y$4001,'Per Line'!$E$2:$E$4001,$B1195,'Per Line'!$AP$2:$AP$4001,1,'Per Line'!$AQ$2:$AQ$4001,0))</f>
        <v/>
      </c>
      <c r="V1195" s="7">
        <f>IF($AA1195="","",U1195*T1195)</f>
        <v/>
      </c>
      <c r="W1195" s="7">
        <f>IF($AA1195="","",V1195+S1195)</f>
        <v/>
      </c>
      <c r="X1195" s="7">
        <f>IF($AA1195="","",Y1195-W1195)</f>
        <v/>
      </c>
      <c r="Y1195" s="7">
        <f>IF($AA1195="","",R1195+U1195+P1195)</f>
        <v/>
      </c>
      <c r="Z1195" s="7">
        <f>IF($AA1195="","",Y1195-W1195-L1195)</f>
        <v/>
      </c>
      <c r="AA1195" s="13">
        <f>IF(ROWS($AA$2:$AA1195)&lt;=MAX('Per Line'!$AO$2:$AO$4001),MATCH(ROWS($AA$2:$AA1195),'Per Line'!$AO$2:$AO$4001,0),"")</f>
        <v/>
      </c>
      <c r="AB1195" s="14">
        <f>IF($AA1195="","",L1195-K1195*Y1195/100)</f>
        <v/>
      </c>
    </row>
    <row r="1196">
      <c r="A1196" s="12" t="n"/>
      <c r="B1196">
        <f>IF($AA1196="","",INDEX('Per Line'!$E$2:$E$4001,$AA1196)&amp;"")</f>
        <v/>
      </c>
      <c r="C1196">
        <f>IF($AA1196="","",INDEX('Per Line'!$A$2:$A$4001,$AA1196)&amp;"")</f>
        <v/>
      </c>
      <c r="D1196">
        <f>IF($AA1196="","",INDEX('Per Line'!$D$2:$D$4001,$AA1196)&amp;"")</f>
        <v/>
      </c>
      <c r="E1196" s="11">
        <f>IF($AA1196="","",INDEX('Per Line'!$G$2:$G$4001,$AA1196))</f>
        <v/>
      </c>
      <c r="F1196">
        <f>IF($AA1196="","",INDEX('Per Line'!$H$2:$H$4001,$AA1196)&amp;"")</f>
        <v/>
      </c>
      <c r="G1196">
        <f>IF($AA1196="","",INDEX('Per Line'!$I$2:$I$4001,$AA1196)&amp;"")</f>
        <v/>
      </c>
      <c r="H1196">
        <f>IF($AA1196="","",INDEX('Per Line'!$J$2:$J$4001,$AA1196)&amp;"")</f>
        <v/>
      </c>
      <c r="I1196">
        <f>IF($AA1196="","",INDEX('Per Line'!$K$2:$K$4001,$AA1196)&amp;"")</f>
        <v/>
      </c>
      <c r="J1196">
        <f>IF($AA1196="","",INDEX('Per Line'!$L$2:$L$4001,$AA1196)&amp;"")</f>
        <v/>
      </c>
      <c r="K1196">
        <f>IF($AA1196="","",INDEX('Per Line'!$P$2:$P$4001,$AA1196))</f>
        <v/>
      </c>
      <c r="L1196" s="7">
        <f>IF($AA1196="","",IF(AND(ISNUMBER(N1196),N1196&gt;0,Y1196&gt;N1196),K1196*N1196/100+(Y1196-N1196),K1196*Y1196/100))</f>
        <v/>
      </c>
      <c r="M1196">
        <f>IF($AA1196="","",INDEX('Per Line'!$Z$2:$Z$4001,$AA1196)&amp;"")</f>
        <v/>
      </c>
      <c r="N1196">
        <f>IF($AA1196="","",INDEX('Per Line'!$AG$2:$AG$4001,$AA1196))</f>
        <v/>
      </c>
      <c r="O1196">
        <f>IF($AA1196="","",IF(AND(ISNUMBER(N1196),N1196&gt;0),Y1196&gt;N1196,FALSE))</f>
        <v/>
      </c>
      <c r="P1196" s="7">
        <f>IF($AA1196="","",SUMIFS('Per Line'!$Y$2:$Y$4001,'Per Line'!$E$2:$E$4001,$B1196,'Per Line'!$AQ$2:$AQ$4001,1))</f>
        <v/>
      </c>
      <c r="Q1196">
        <f>IF($AA1196="","",Settings!$C$7)</f>
        <v/>
      </c>
      <c r="R1196" s="7">
        <f>IF($AA1196="","",SUMIFS('Per Line'!$Y$2:$Y$4001,'Per Line'!$E$2:$E$4001,$B1196,'Per Line'!$AP$2:$AP$4001,0,'Per Line'!$AQ$2:$AQ$4001,0))</f>
        <v/>
      </c>
      <c r="S1196" s="7">
        <f>IF($AA1196="","",R1196*Q1196)</f>
        <v/>
      </c>
      <c r="T1196">
        <f>IF($AA1196="","",Settings!$C$6)</f>
        <v/>
      </c>
      <c r="U1196" s="7">
        <f>IF($AA1196="","",SUMIFS('Per Line'!$Y$2:$Y$4001,'Per Line'!$E$2:$E$4001,$B1196,'Per Line'!$AP$2:$AP$4001,1,'Per Line'!$AQ$2:$AQ$4001,0))</f>
        <v/>
      </c>
      <c r="V1196" s="7">
        <f>IF($AA1196="","",U1196*T1196)</f>
        <v/>
      </c>
      <c r="W1196" s="7">
        <f>IF($AA1196="","",V1196+S1196)</f>
        <v/>
      </c>
      <c r="X1196" s="7">
        <f>IF($AA1196="","",Y1196-W1196)</f>
        <v/>
      </c>
      <c r="Y1196" s="7">
        <f>IF($AA1196="","",R1196+U1196+P1196)</f>
        <v/>
      </c>
      <c r="Z1196" s="7">
        <f>IF($AA1196="","",Y1196-W1196-L1196)</f>
        <v/>
      </c>
      <c r="AA1196" s="13">
        <f>IF(ROWS($AA$2:$AA1196)&lt;=MAX('Per Line'!$AO$2:$AO$4001),MATCH(ROWS($AA$2:$AA1196),'Per Line'!$AO$2:$AO$4001,0),"")</f>
        <v/>
      </c>
      <c r="AB1196" s="14">
        <f>IF($AA1196="","",L1196-K1196*Y1196/100)</f>
        <v/>
      </c>
    </row>
    <row r="1197">
      <c r="A1197" s="12" t="n"/>
      <c r="B1197">
        <f>IF($AA1197="","",INDEX('Per Line'!$E$2:$E$4001,$AA1197)&amp;"")</f>
        <v/>
      </c>
      <c r="C1197">
        <f>IF($AA1197="","",INDEX('Per Line'!$A$2:$A$4001,$AA1197)&amp;"")</f>
        <v/>
      </c>
      <c r="D1197">
        <f>IF($AA1197="","",INDEX('Per Line'!$D$2:$D$4001,$AA1197)&amp;"")</f>
        <v/>
      </c>
      <c r="E1197" s="11">
        <f>IF($AA1197="","",INDEX('Per Line'!$G$2:$G$4001,$AA1197))</f>
        <v/>
      </c>
      <c r="F1197">
        <f>IF($AA1197="","",INDEX('Per Line'!$H$2:$H$4001,$AA1197)&amp;"")</f>
        <v/>
      </c>
      <c r="G1197">
        <f>IF($AA1197="","",INDEX('Per Line'!$I$2:$I$4001,$AA1197)&amp;"")</f>
        <v/>
      </c>
      <c r="H1197">
        <f>IF($AA1197="","",INDEX('Per Line'!$J$2:$J$4001,$AA1197)&amp;"")</f>
        <v/>
      </c>
      <c r="I1197">
        <f>IF($AA1197="","",INDEX('Per Line'!$K$2:$K$4001,$AA1197)&amp;"")</f>
        <v/>
      </c>
      <c r="J1197">
        <f>IF($AA1197="","",INDEX('Per Line'!$L$2:$L$4001,$AA1197)&amp;"")</f>
        <v/>
      </c>
      <c r="K1197">
        <f>IF($AA1197="","",INDEX('Per Line'!$P$2:$P$4001,$AA1197))</f>
        <v/>
      </c>
      <c r="L1197" s="7">
        <f>IF($AA1197="","",IF(AND(ISNUMBER(N1197),N1197&gt;0,Y1197&gt;N1197),K1197*N1197/100+(Y1197-N1197),K1197*Y1197/100))</f>
        <v/>
      </c>
      <c r="M1197">
        <f>IF($AA1197="","",INDEX('Per Line'!$Z$2:$Z$4001,$AA1197)&amp;"")</f>
        <v/>
      </c>
      <c r="N1197">
        <f>IF($AA1197="","",INDEX('Per Line'!$AG$2:$AG$4001,$AA1197))</f>
        <v/>
      </c>
      <c r="O1197">
        <f>IF($AA1197="","",IF(AND(ISNUMBER(N1197),N1197&gt;0),Y1197&gt;N1197,FALSE))</f>
        <v/>
      </c>
      <c r="P1197" s="7">
        <f>IF($AA1197="","",SUMIFS('Per Line'!$Y$2:$Y$4001,'Per Line'!$E$2:$E$4001,$B1197,'Per Line'!$AQ$2:$AQ$4001,1))</f>
        <v/>
      </c>
      <c r="Q1197">
        <f>IF($AA1197="","",Settings!$C$7)</f>
        <v/>
      </c>
      <c r="R1197" s="7">
        <f>IF($AA1197="","",SUMIFS('Per Line'!$Y$2:$Y$4001,'Per Line'!$E$2:$E$4001,$B1197,'Per Line'!$AP$2:$AP$4001,0,'Per Line'!$AQ$2:$AQ$4001,0))</f>
        <v/>
      </c>
      <c r="S1197" s="7">
        <f>IF($AA1197="","",R1197*Q1197)</f>
        <v/>
      </c>
      <c r="T1197">
        <f>IF($AA1197="","",Settings!$C$6)</f>
        <v/>
      </c>
      <c r="U1197" s="7">
        <f>IF($AA1197="","",SUMIFS('Per Line'!$Y$2:$Y$4001,'Per Line'!$E$2:$E$4001,$B1197,'Per Line'!$AP$2:$AP$4001,1,'Per Line'!$AQ$2:$AQ$4001,0))</f>
        <v/>
      </c>
      <c r="V1197" s="7">
        <f>IF($AA1197="","",U1197*T1197)</f>
        <v/>
      </c>
      <c r="W1197" s="7">
        <f>IF($AA1197="","",V1197+S1197)</f>
        <v/>
      </c>
      <c r="X1197" s="7">
        <f>IF($AA1197="","",Y1197-W1197)</f>
        <v/>
      </c>
      <c r="Y1197" s="7">
        <f>IF($AA1197="","",R1197+U1197+P1197)</f>
        <v/>
      </c>
      <c r="Z1197" s="7">
        <f>IF($AA1197="","",Y1197-W1197-L1197)</f>
        <v/>
      </c>
      <c r="AA1197" s="13">
        <f>IF(ROWS($AA$2:$AA1197)&lt;=MAX('Per Line'!$AO$2:$AO$4001),MATCH(ROWS($AA$2:$AA1197),'Per Line'!$AO$2:$AO$4001,0),"")</f>
        <v/>
      </c>
      <c r="AB1197" s="14">
        <f>IF($AA1197="","",L1197-K1197*Y1197/100)</f>
        <v/>
      </c>
    </row>
    <row r="1198">
      <c r="A1198" s="12" t="n"/>
      <c r="B1198">
        <f>IF($AA1198="","",INDEX('Per Line'!$E$2:$E$4001,$AA1198)&amp;"")</f>
        <v/>
      </c>
      <c r="C1198">
        <f>IF($AA1198="","",INDEX('Per Line'!$A$2:$A$4001,$AA1198)&amp;"")</f>
        <v/>
      </c>
      <c r="D1198">
        <f>IF($AA1198="","",INDEX('Per Line'!$D$2:$D$4001,$AA1198)&amp;"")</f>
        <v/>
      </c>
      <c r="E1198" s="11">
        <f>IF($AA1198="","",INDEX('Per Line'!$G$2:$G$4001,$AA1198))</f>
        <v/>
      </c>
      <c r="F1198">
        <f>IF($AA1198="","",INDEX('Per Line'!$H$2:$H$4001,$AA1198)&amp;"")</f>
        <v/>
      </c>
      <c r="G1198">
        <f>IF($AA1198="","",INDEX('Per Line'!$I$2:$I$4001,$AA1198)&amp;"")</f>
        <v/>
      </c>
      <c r="H1198">
        <f>IF($AA1198="","",INDEX('Per Line'!$J$2:$J$4001,$AA1198)&amp;"")</f>
        <v/>
      </c>
      <c r="I1198">
        <f>IF($AA1198="","",INDEX('Per Line'!$K$2:$K$4001,$AA1198)&amp;"")</f>
        <v/>
      </c>
      <c r="J1198">
        <f>IF($AA1198="","",INDEX('Per Line'!$L$2:$L$4001,$AA1198)&amp;"")</f>
        <v/>
      </c>
      <c r="K1198">
        <f>IF($AA1198="","",INDEX('Per Line'!$P$2:$P$4001,$AA1198))</f>
        <v/>
      </c>
      <c r="L1198" s="7">
        <f>IF($AA1198="","",IF(AND(ISNUMBER(N1198),N1198&gt;0,Y1198&gt;N1198),K1198*N1198/100+(Y1198-N1198),K1198*Y1198/100))</f>
        <v/>
      </c>
      <c r="M1198">
        <f>IF($AA1198="","",INDEX('Per Line'!$Z$2:$Z$4001,$AA1198)&amp;"")</f>
        <v/>
      </c>
      <c r="N1198">
        <f>IF($AA1198="","",INDEX('Per Line'!$AG$2:$AG$4001,$AA1198))</f>
        <v/>
      </c>
      <c r="O1198">
        <f>IF($AA1198="","",IF(AND(ISNUMBER(N1198),N1198&gt;0),Y1198&gt;N1198,FALSE))</f>
        <v/>
      </c>
      <c r="P1198" s="7">
        <f>IF($AA1198="","",SUMIFS('Per Line'!$Y$2:$Y$4001,'Per Line'!$E$2:$E$4001,$B1198,'Per Line'!$AQ$2:$AQ$4001,1))</f>
        <v/>
      </c>
      <c r="Q1198">
        <f>IF($AA1198="","",Settings!$C$7)</f>
        <v/>
      </c>
      <c r="R1198" s="7">
        <f>IF($AA1198="","",SUMIFS('Per Line'!$Y$2:$Y$4001,'Per Line'!$E$2:$E$4001,$B1198,'Per Line'!$AP$2:$AP$4001,0,'Per Line'!$AQ$2:$AQ$4001,0))</f>
        <v/>
      </c>
      <c r="S1198" s="7">
        <f>IF($AA1198="","",R1198*Q1198)</f>
        <v/>
      </c>
      <c r="T1198">
        <f>IF($AA1198="","",Settings!$C$6)</f>
        <v/>
      </c>
      <c r="U1198" s="7">
        <f>IF($AA1198="","",SUMIFS('Per Line'!$Y$2:$Y$4001,'Per Line'!$E$2:$E$4001,$B1198,'Per Line'!$AP$2:$AP$4001,1,'Per Line'!$AQ$2:$AQ$4001,0))</f>
        <v/>
      </c>
      <c r="V1198" s="7">
        <f>IF($AA1198="","",U1198*T1198)</f>
        <v/>
      </c>
      <c r="W1198" s="7">
        <f>IF($AA1198="","",V1198+S1198)</f>
        <v/>
      </c>
      <c r="X1198" s="7">
        <f>IF($AA1198="","",Y1198-W1198)</f>
        <v/>
      </c>
      <c r="Y1198" s="7">
        <f>IF($AA1198="","",R1198+U1198+P1198)</f>
        <v/>
      </c>
      <c r="Z1198" s="7">
        <f>IF($AA1198="","",Y1198-W1198-L1198)</f>
        <v/>
      </c>
      <c r="AA1198" s="13">
        <f>IF(ROWS($AA$2:$AA1198)&lt;=MAX('Per Line'!$AO$2:$AO$4001),MATCH(ROWS($AA$2:$AA1198),'Per Line'!$AO$2:$AO$4001,0),"")</f>
        <v/>
      </c>
      <c r="AB1198" s="14">
        <f>IF($AA1198="","",L1198-K1198*Y1198/100)</f>
        <v/>
      </c>
    </row>
    <row r="1199">
      <c r="A1199" s="12" t="n"/>
      <c r="B1199">
        <f>IF($AA1199="","",INDEX('Per Line'!$E$2:$E$4001,$AA1199)&amp;"")</f>
        <v/>
      </c>
      <c r="C1199">
        <f>IF($AA1199="","",INDEX('Per Line'!$A$2:$A$4001,$AA1199)&amp;"")</f>
        <v/>
      </c>
      <c r="D1199">
        <f>IF($AA1199="","",INDEX('Per Line'!$D$2:$D$4001,$AA1199)&amp;"")</f>
        <v/>
      </c>
      <c r="E1199" s="11">
        <f>IF($AA1199="","",INDEX('Per Line'!$G$2:$G$4001,$AA1199))</f>
        <v/>
      </c>
      <c r="F1199">
        <f>IF($AA1199="","",INDEX('Per Line'!$H$2:$H$4001,$AA1199)&amp;"")</f>
        <v/>
      </c>
      <c r="G1199">
        <f>IF($AA1199="","",INDEX('Per Line'!$I$2:$I$4001,$AA1199)&amp;"")</f>
        <v/>
      </c>
      <c r="H1199">
        <f>IF($AA1199="","",INDEX('Per Line'!$J$2:$J$4001,$AA1199)&amp;"")</f>
        <v/>
      </c>
      <c r="I1199">
        <f>IF($AA1199="","",INDEX('Per Line'!$K$2:$K$4001,$AA1199)&amp;"")</f>
        <v/>
      </c>
      <c r="J1199">
        <f>IF($AA1199="","",INDEX('Per Line'!$L$2:$L$4001,$AA1199)&amp;"")</f>
        <v/>
      </c>
      <c r="K1199">
        <f>IF($AA1199="","",INDEX('Per Line'!$P$2:$P$4001,$AA1199))</f>
        <v/>
      </c>
      <c r="L1199" s="7">
        <f>IF($AA1199="","",IF(AND(ISNUMBER(N1199),N1199&gt;0,Y1199&gt;N1199),K1199*N1199/100+(Y1199-N1199),K1199*Y1199/100))</f>
        <v/>
      </c>
      <c r="M1199">
        <f>IF($AA1199="","",INDEX('Per Line'!$Z$2:$Z$4001,$AA1199)&amp;"")</f>
        <v/>
      </c>
      <c r="N1199">
        <f>IF($AA1199="","",INDEX('Per Line'!$AG$2:$AG$4001,$AA1199))</f>
        <v/>
      </c>
      <c r="O1199">
        <f>IF($AA1199="","",IF(AND(ISNUMBER(N1199),N1199&gt;0),Y1199&gt;N1199,FALSE))</f>
        <v/>
      </c>
      <c r="P1199" s="7">
        <f>IF($AA1199="","",SUMIFS('Per Line'!$Y$2:$Y$4001,'Per Line'!$E$2:$E$4001,$B1199,'Per Line'!$AQ$2:$AQ$4001,1))</f>
        <v/>
      </c>
      <c r="Q1199">
        <f>IF($AA1199="","",Settings!$C$7)</f>
        <v/>
      </c>
      <c r="R1199" s="7">
        <f>IF($AA1199="","",SUMIFS('Per Line'!$Y$2:$Y$4001,'Per Line'!$E$2:$E$4001,$B1199,'Per Line'!$AP$2:$AP$4001,0,'Per Line'!$AQ$2:$AQ$4001,0))</f>
        <v/>
      </c>
      <c r="S1199" s="7">
        <f>IF($AA1199="","",R1199*Q1199)</f>
        <v/>
      </c>
      <c r="T1199">
        <f>IF($AA1199="","",Settings!$C$6)</f>
        <v/>
      </c>
      <c r="U1199" s="7">
        <f>IF($AA1199="","",SUMIFS('Per Line'!$Y$2:$Y$4001,'Per Line'!$E$2:$E$4001,$B1199,'Per Line'!$AP$2:$AP$4001,1,'Per Line'!$AQ$2:$AQ$4001,0))</f>
        <v/>
      </c>
      <c r="V1199" s="7">
        <f>IF($AA1199="","",U1199*T1199)</f>
        <v/>
      </c>
      <c r="W1199" s="7">
        <f>IF($AA1199="","",V1199+S1199)</f>
        <v/>
      </c>
      <c r="X1199" s="7">
        <f>IF($AA1199="","",Y1199-W1199)</f>
        <v/>
      </c>
      <c r="Y1199" s="7">
        <f>IF($AA1199="","",R1199+U1199+P1199)</f>
        <v/>
      </c>
      <c r="Z1199" s="7">
        <f>IF($AA1199="","",Y1199-W1199-L1199)</f>
        <v/>
      </c>
      <c r="AA1199" s="13">
        <f>IF(ROWS($AA$2:$AA1199)&lt;=MAX('Per Line'!$AO$2:$AO$4001),MATCH(ROWS($AA$2:$AA1199),'Per Line'!$AO$2:$AO$4001,0),"")</f>
        <v/>
      </c>
      <c r="AB1199" s="14">
        <f>IF($AA1199="","",L1199-K1199*Y1199/100)</f>
        <v/>
      </c>
    </row>
    <row r="1200">
      <c r="A1200" s="12" t="n"/>
      <c r="B1200">
        <f>IF($AA1200="","",INDEX('Per Line'!$E$2:$E$4001,$AA1200)&amp;"")</f>
        <v/>
      </c>
      <c r="C1200">
        <f>IF($AA1200="","",INDEX('Per Line'!$A$2:$A$4001,$AA1200)&amp;"")</f>
        <v/>
      </c>
      <c r="D1200">
        <f>IF($AA1200="","",INDEX('Per Line'!$D$2:$D$4001,$AA1200)&amp;"")</f>
        <v/>
      </c>
      <c r="E1200" s="11">
        <f>IF($AA1200="","",INDEX('Per Line'!$G$2:$G$4001,$AA1200))</f>
        <v/>
      </c>
      <c r="F1200">
        <f>IF($AA1200="","",INDEX('Per Line'!$H$2:$H$4001,$AA1200)&amp;"")</f>
        <v/>
      </c>
      <c r="G1200">
        <f>IF($AA1200="","",INDEX('Per Line'!$I$2:$I$4001,$AA1200)&amp;"")</f>
        <v/>
      </c>
      <c r="H1200">
        <f>IF($AA1200="","",INDEX('Per Line'!$J$2:$J$4001,$AA1200)&amp;"")</f>
        <v/>
      </c>
      <c r="I1200">
        <f>IF($AA1200="","",INDEX('Per Line'!$K$2:$K$4001,$AA1200)&amp;"")</f>
        <v/>
      </c>
      <c r="J1200">
        <f>IF($AA1200="","",INDEX('Per Line'!$L$2:$L$4001,$AA1200)&amp;"")</f>
        <v/>
      </c>
      <c r="K1200">
        <f>IF($AA1200="","",INDEX('Per Line'!$P$2:$P$4001,$AA1200))</f>
        <v/>
      </c>
      <c r="L1200" s="7">
        <f>IF($AA1200="","",IF(AND(ISNUMBER(N1200),N1200&gt;0,Y1200&gt;N1200),K1200*N1200/100+(Y1200-N1200),K1200*Y1200/100))</f>
        <v/>
      </c>
      <c r="M1200">
        <f>IF($AA1200="","",INDEX('Per Line'!$Z$2:$Z$4001,$AA1200)&amp;"")</f>
        <v/>
      </c>
      <c r="N1200">
        <f>IF($AA1200="","",INDEX('Per Line'!$AG$2:$AG$4001,$AA1200))</f>
        <v/>
      </c>
      <c r="O1200">
        <f>IF($AA1200="","",IF(AND(ISNUMBER(N1200),N1200&gt;0),Y1200&gt;N1200,FALSE))</f>
        <v/>
      </c>
      <c r="P1200" s="7">
        <f>IF($AA1200="","",SUMIFS('Per Line'!$Y$2:$Y$4001,'Per Line'!$E$2:$E$4001,$B1200,'Per Line'!$AQ$2:$AQ$4001,1))</f>
        <v/>
      </c>
      <c r="Q1200">
        <f>IF($AA1200="","",Settings!$C$7)</f>
        <v/>
      </c>
      <c r="R1200" s="7">
        <f>IF($AA1200="","",SUMIFS('Per Line'!$Y$2:$Y$4001,'Per Line'!$E$2:$E$4001,$B1200,'Per Line'!$AP$2:$AP$4001,0,'Per Line'!$AQ$2:$AQ$4001,0))</f>
        <v/>
      </c>
      <c r="S1200" s="7">
        <f>IF($AA1200="","",R1200*Q1200)</f>
        <v/>
      </c>
      <c r="T1200">
        <f>IF($AA1200="","",Settings!$C$6)</f>
        <v/>
      </c>
      <c r="U1200" s="7">
        <f>IF($AA1200="","",SUMIFS('Per Line'!$Y$2:$Y$4001,'Per Line'!$E$2:$E$4001,$B1200,'Per Line'!$AP$2:$AP$4001,1,'Per Line'!$AQ$2:$AQ$4001,0))</f>
        <v/>
      </c>
      <c r="V1200" s="7">
        <f>IF($AA1200="","",U1200*T1200)</f>
        <v/>
      </c>
      <c r="W1200" s="7">
        <f>IF($AA1200="","",V1200+S1200)</f>
        <v/>
      </c>
      <c r="X1200" s="7">
        <f>IF($AA1200="","",Y1200-W1200)</f>
        <v/>
      </c>
      <c r="Y1200" s="7">
        <f>IF($AA1200="","",R1200+U1200+P1200)</f>
        <v/>
      </c>
      <c r="Z1200" s="7">
        <f>IF($AA1200="","",Y1200-W1200-L1200)</f>
        <v/>
      </c>
      <c r="AA1200" s="13">
        <f>IF(ROWS($AA$2:$AA1200)&lt;=MAX('Per Line'!$AO$2:$AO$4001),MATCH(ROWS($AA$2:$AA1200),'Per Line'!$AO$2:$AO$4001,0),"")</f>
        <v/>
      </c>
      <c r="AB1200" s="14">
        <f>IF($AA1200="","",L1200-K1200*Y1200/100)</f>
        <v/>
      </c>
    </row>
    <row r="1201">
      <c r="A1201" s="12" t="n"/>
      <c r="B1201">
        <f>IF($AA1201="","",INDEX('Per Line'!$E$2:$E$4001,$AA1201)&amp;"")</f>
        <v/>
      </c>
      <c r="C1201">
        <f>IF($AA1201="","",INDEX('Per Line'!$A$2:$A$4001,$AA1201)&amp;"")</f>
        <v/>
      </c>
      <c r="D1201">
        <f>IF($AA1201="","",INDEX('Per Line'!$D$2:$D$4001,$AA1201)&amp;"")</f>
        <v/>
      </c>
      <c r="E1201" s="11">
        <f>IF($AA1201="","",INDEX('Per Line'!$G$2:$G$4001,$AA1201))</f>
        <v/>
      </c>
      <c r="F1201">
        <f>IF($AA1201="","",INDEX('Per Line'!$H$2:$H$4001,$AA1201)&amp;"")</f>
        <v/>
      </c>
      <c r="G1201">
        <f>IF($AA1201="","",INDEX('Per Line'!$I$2:$I$4001,$AA1201)&amp;"")</f>
        <v/>
      </c>
      <c r="H1201">
        <f>IF($AA1201="","",INDEX('Per Line'!$J$2:$J$4001,$AA1201)&amp;"")</f>
        <v/>
      </c>
      <c r="I1201">
        <f>IF($AA1201="","",INDEX('Per Line'!$K$2:$K$4001,$AA1201)&amp;"")</f>
        <v/>
      </c>
      <c r="J1201">
        <f>IF($AA1201="","",INDEX('Per Line'!$L$2:$L$4001,$AA1201)&amp;"")</f>
        <v/>
      </c>
      <c r="K1201">
        <f>IF($AA1201="","",INDEX('Per Line'!$P$2:$P$4001,$AA1201))</f>
        <v/>
      </c>
      <c r="L1201" s="7">
        <f>IF($AA1201="","",IF(AND(ISNUMBER(N1201),N1201&gt;0,Y1201&gt;N1201),K1201*N1201/100+(Y1201-N1201),K1201*Y1201/100))</f>
        <v/>
      </c>
      <c r="M1201">
        <f>IF($AA1201="","",INDEX('Per Line'!$Z$2:$Z$4001,$AA1201)&amp;"")</f>
        <v/>
      </c>
      <c r="N1201">
        <f>IF($AA1201="","",INDEX('Per Line'!$AG$2:$AG$4001,$AA1201))</f>
        <v/>
      </c>
      <c r="O1201">
        <f>IF($AA1201="","",IF(AND(ISNUMBER(N1201),N1201&gt;0),Y1201&gt;N1201,FALSE))</f>
        <v/>
      </c>
      <c r="P1201" s="7">
        <f>IF($AA1201="","",SUMIFS('Per Line'!$Y$2:$Y$4001,'Per Line'!$E$2:$E$4001,$B1201,'Per Line'!$AQ$2:$AQ$4001,1))</f>
        <v/>
      </c>
      <c r="Q1201">
        <f>IF($AA1201="","",Settings!$C$7)</f>
        <v/>
      </c>
      <c r="R1201" s="7">
        <f>IF($AA1201="","",SUMIFS('Per Line'!$Y$2:$Y$4001,'Per Line'!$E$2:$E$4001,$B1201,'Per Line'!$AP$2:$AP$4001,0,'Per Line'!$AQ$2:$AQ$4001,0))</f>
        <v/>
      </c>
      <c r="S1201" s="7">
        <f>IF($AA1201="","",R1201*Q1201)</f>
        <v/>
      </c>
      <c r="T1201">
        <f>IF($AA1201="","",Settings!$C$6)</f>
        <v/>
      </c>
      <c r="U1201" s="7">
        <f>IF($AA1201="","",SUMIFS('Per Line'!$Y$2:$Y$4001,'Per Line'!$E$2:$E$4001,$B1201,'Per Line'!$AP$2:$AP$4001,1,'Per Line'!$AQ$2:$AQ$4001,0))</f>
        <v/>
      </c>
      <c r="V1201" s="7">
        <f>IF($AA1201="","",U1201*T1201)</f>
        <v/>
      </c>
      <c r="W1201" s="7">
        <f>IF($AA1201="","",V1201+S1201)</f>
        <v/>
      </c>
      <c r="X1201" s="7">
        <f>IF($AA1201="","",Y1201-W1201)</f>
        <v/>
      </c>
      <c r="Y1201" s="7">
        <f>IF($AA1201="","",R1201+U1201+P1201)</f>
        <v/>
      </c>
      <c r="Z1201" s="7">
        <f>IF($AA1201="","",Y1201-W1201-L1201)</f>
        <v/>
      </c>
      <c r="AA1201" s="13">
        <f>IF(ROWS($AA$2:$AA1201)&lt;=MAX('Per Line'!$AO$2:$AO$4001),MATCH(ROWS($AA$2:$AA1201),'Per Line'!$AO$2:$AO$4001,0),"")</f>
        <v/>
      </c>
      <c r="AB1201" s="14">
        <f>IF($AA1201="","",L1201-K1201*Y1201/100)</f>
        <v/>
      </c>
    </row>
    <row r="1202">
      <c r="A1202" s="12" t="n"/>
      <c r="B1202">
        <f>IF($AA1202="","",INDEX('Per Line'!$E$2:$E$4001,$AA1202)&amp;"")</f>
        <v/>
      </c>
      <c r="C1202">
        <f>IF($AA1202="","",INDEX('Per Line'!$A$2:$A$4001,$AA1202)&amp;"")</f>
        <v/>
      </c>
      <c r="D1202">
        <f>IF($AA1202="","",INDEX('Per Line'!$D$2:$D$4001,$AA1202)&amp;"")</f>
        <v/>
      </c>
      <c r="E1202" s="11">
        <f>IF($AA1202="","",INDEX('Per Line'!$G$2:$G$4001,$AA1202))</f>
        <v/>
      </c>
      <c r="F1202">
        <f>IF($AA1202="","",INDEX('Per Line'!$H$2:$H$4001,$AA1202)&amp;"")</f>
        <v/>
      </c>
      <c r="G1202">
        <f>IF($AA1202="","",INDEX('Per Line'!$I$2:$I$4001,$AA1202)&amp;"")</f>
        <v/>
      </c>
      <c r="H1202">
        <f>IF($AA1202="","",INDEX('Per Line'!$J$2:$J$4001,$AA1202)&amp;"")</f>
        <v/>
      </c>
      <c r="I1202">
        <f>IF($AA1202="","",INDEX('Per Line'!$K$2:$K$4001,$AA1202)&amp;"")</f>
        <v/>
      </c>
      <c r="J1202">
        <f>IF($AA1202="","",INDEX('Per Line'!$L$2:$L$4001,$AA1202)&amp;"")</f>
        <v/>
      </c>
      <c r="K1202">
        <f>IF($AA1202="","",INDEX('Per Line'!$P$2:$P$4001,$AA1202))</f>
        <v/>
      </c>
      <c r="L1202" s="7">
        <f>IF($AA1202="","",IF(AND(ISNUMBER(N1202),N1202&gt;0,Y1202&gt;N1202),K1202*N1202/100+(Y1202-N1202),K1202*Y1202/100))</f>
        <v/>
      </c>
      <c r="M1202">
        <f>IF($AA1202="","",INDEX('Per Line'!$Z$2:$Z$4001,$AA1202)&amp;"")</f>
        <v/>
      </c>
      <c r="N1202">
        <f>IF($AA1202="","",INDEX('Per Line'!$AG$2:$AG$4001,$AA1202))</f>
        <v/>
      </c>
      <c r="O1202">
        <f>IF($AA1202="","",IF(AND(ISNUMBER(N1202),N1202&gt;0),Y1202&gt;N1202,FALSE))</f>
        <v/>
      </c>
      <c r="P1202" s="7">
        <f>IF($AA1202="","",SUMIFS('Per Line'!$Y$2:$Y$4001,'Per Line'!$E$2:$E$4001,$B1202,'Per Line'!$AQ$2:$AQ$4001,1))</f>
        <v/>
      </c>
      <c r="Q1202">
        <f>IF($AA1202="","",Settings!$C$7)</f>
        <v/>
      </c>
      <c r="R1202" s="7">
        <f>IF($AA1202="","",SUMIFS('Per Line'!$Y$2:$Y$4001,'Per Line'!$E$2:$E$4001,$B1202,'Per Line'!$AP$2:$AP$4001,0,'Per Line'!$AQ$2:$AQ$4001,0))</f>
        <v/>
      </c>
      <c r="S1202" s="7">
        <f>IF($AA1202="","",R1202*Q1202)</f>
        <v/>
      </c>
      <c r="T1202">
        <f>IF($AA1202="","",Settings!$C$6)</f>
        <v/>
      </c>
      <c r="U1202" s="7">
        <f>IF($AA1202="","",SUMIFS('Per Line'!$Y$2:$Y$4001,'Per Line'!$E$2:$E$4001,$B1202,'Per Line'!$AP$2:$AP$4001,1,'Per Line'!$AQ$2:$AQ$4001,0))</f>
        <v/>
      </c>
      <c r="V1202" s="7">
        <f>IF($AA1202="","",U1202*T1202)</f>
        <v/>
      </c>
      <c r="W1202" s="7">
        <f>IF($AA1202="","",V1202+S1202)</f>
        <v/>
      </c>
      <c r="X1202" s="7">
        <f>IF($AA1202="","",Y1202-W1202)</f>
        <v/>
      </c>
      <c r="Y1202" s="7">
        <f>IF($AA1202="","",R1202+U1202+P1202)</f>
        <v/>
      </c>
      <c r="Z1202" s="7">
        <f>IF($AA1202="","",Y1202-W1202-L1202)</f>
        <v/>
      </c>
      <c r="AA1202" s="13">
        <f>IF(ROWS($AA$2:$AA1202)&lt;=MAX('Per Line'!$AO$2:$AO$4001),MATCH(ROWS($AA$2:$AA1202),'Per Line'!$AO$2:$AO$4001,0),"")</f>
        <v/>
      </c>
      <c r="AB1202" s="14">
        <f>IF($AA1202="","",L1202-K1202*Y1202/100)</f>
        <v/>
      </c>
    </row>
    <row r="1203">
      <c r="A1203" s="12" t="n"/>
      <c r="B1203">
        <f>IF($AA1203="","",INDEX('Per Line'!$E$2:$E$4001,$AA1203)&amp;"")</f>
        <v/>
      </c>
      <c r="C1203">
        <f>IF($AA1203="","",INDEX('Per Line'!$A$2:$A$4001,$AA1203)&amp;"")</f>
        <v/>
      </c>
      <c r="D1203">
        <f>IF($AA1203="","",INDEX('Per Line'!$D$2:$D$4001,$AA1203)&amp;"")</f>
        <v/>
      </c>
      <c r="E1203" s="11">
        <f>IF($AA1203="","",INDEX('Per Line'!$G$2:$G$4001,$AA1203))</f>
        <v/>
      </c>
      <c r="F1203">
        <f>IF($AA1203="","",INDEX('Per Line'!$H$2:$H$4001,$AA1203)&amp;"")</f>
        <v/>
      </c>
      <c r="G1203">
        <f>IF($AA1203="","",INDEX('Per Line'!$I$2:$I$4001,$AA1203)&amp;"")</f>
        <v/>
      </c>
      <c r="H1203">
        <f>IF($AA1203="","",INDEX('Per Line'!$J$2:$J$4001,$AA1203)&amp;"")</f>
        <v/>
      </c>
      <c r="I1203">
        <f>IF($AA1203="","",INDEX('Per Line'!$K$2:$K$4001,$AA1203)&amp;"")</f>
        <v/>
      </c>
      <c r="J1203">
        <f>IF($AA1203="","",INDEX('Per Line'!$L$2:$L$4001,$AA1203)&amp;"")</f>
        <v/>
      </c>
      <c r="K1203">
        <f>IF($AA1203="","",INDEX('Per Line'!$P$2:$P$4001,$AA1203))</f>
        <v/>
      </c>
      <c r="L1203" s="7">
        <f>IF($AA1203="","",IF(AND(ISNUMBER(N1203),N1203&gt;0,Y1203&gt;N1203),K1203*N1203/100+(Y1203-N1203),K1203*Y1203/100))</f>
        <v/>
      </c>
      <c r="M1203">
        <f>IF($AA1203="","",INDEX('Per Line'!$Z$2:$Z$4001,$AA1203)&amp;"")</f>
        <v/>
      </c>
      <c r="N1203">
        <f>IF($AA1203="","",INDEX('Per Line'!$AG$2:$AG$4001,$AA1203))</f>
        <v/>
      </c>
      <c r="O1203">
        <f>IF($AA1203="","",IF(AND(ISNUMBER(N1203),N1203&gt;0),Y1203&gt;N1203,FALSE))</f>
        <v/>
      </c>
      <c r="P1203" s="7">
        <f>IF($AA1203="","",SUMIFS('Per Line'!$Y$2:$Y$4001,'Per Line'!$E$2:$E$4001,$B1203,'Per Line'!$AQ$2:$AQ$4001,1))</f>
        <v/>
      </c>
      <c r="Q1203">
        <f>IF($AA1203="","",Settings!$C$7)</f>
        <v/>
      </c>
      <c r="R1203" s="7">
        <f>IF($AA1203="","",SUMIFS('Per Line'!$Y$2:$Y$4001,'Per Line'!$E$2:$E$4001,$B1203,'Per Line'!$AP$2:$AP$4001,0,'Per Line'!$AQ$2:$AQ$4001,0))</f>
        <v/>
      </c>
      <c r="S1203" s="7">
        <f>IF($AA1203="","",R1203*Q1203)</f>
        <v/>
      </c>
      <c r="T1203">
        <f>IF($AA1203="","",Settings!$C$6)</f>
        <v/>
      </c>
      <c r="U1203" s="7">
        <f>IF($AA1203="","",SUMIFS('Per Line'!$Y$2:$Y$4001,'Per Line'!$E$2:$E$4001,$B1203,'Per Line'!$AP$2:$AP$4001,1,'Per Line'!$AQ$2:$AQ$4001,0))</f>
        <v/>
      </c>
      <c r="V1203" s="7">
        <f>IF($AA1203="","",U1203*T1203)</f>
        <v/>
      </c>
      <c r="W1203" s="7">
        <f>IF($AA1203="","",V1203+S1203)</f>
        <v/>
      </c>
      <c r="X1203" s="7">
        <f>IF($AA1203="","",Y1203-W1203)</f>
        <v/>
      </c>
      <c r="Y1203" s="7">
        <f>IF($AA1203="","",R1203+U1203+P1203)</f>
        <v/>
      </c>
      <c r="Z1203" s="7">
        <f>IF($AA1203="","",Y1203-W1203-L1203)</f>
        <v/>
      </c>
      <c r="AA1203" s="13">
        <f>IF(ROWS($AA$2:$AA1203)&lt;=MAX('Per Line'!$AO$2:$AO$4001),MATCH(ROWS($AA$2:$AA1203),'Per Line'!$AO$2:$AO$4001,0),"")</f>
        <v/>
      </c>
      <c r="AB1203" s="14">
        <f>IF($AA1203="","",L1203-K1203*Y1203/100)</f>
        <v/>
      </c>
    </row>
    <row r="1204">
      <c r="A1204" s="12" t="n"/>
      <c r="B1204">
        <f>IF($AA1204="","",INDEX('Per Line'!$E$2:$E$4001,$AA1204)&amp;"")</f>
        <v/>
      </c>
      <c r="C1204">
        <f>IF($AA1204="","",INDEX('Per Line'!$A$2:$A$4001,$AA1204)&amp;"")</f>
        <v/>
      </c>
      <c r="D1204">
        <f>IF($AA1204="","",INDEX('Per Line'!$D$2:$D$4001,$AA1204)&amp;"")</f>
        <v/>
      </c>
      <c r="E1204" s="11">
        <f>IF($AA1204="","",INDEX('Per Line'!$G$2:$G$4001,$AA1204))</f>
        <v/>
      </c>
      <c r="F1204">
        <f>IF($AA1204="","",INDEX('Per Line'!$H$2:$H$4001,$AA1204)&amp;"")</f>
        <v/>
      </c>
      <c r="G1204">
        <f>IF($AA1204="","",INDEX('Per Line'!$I$2:$I$4001,$AA1204)&amp;"")</f>
        <v/>
      </c>
      <c r="H1204">
        <f>IF($AA1204="","",INDEX('Per Line'!$J$2:$J$4001,$AA1204)&amp;"")</f>
        <v/>
      </c>
      <c r="I1204">
        <f>IF($AA1204="","",INDEX('Per Line'!$K$2:$K$4001,$AA1204)&amp;"")</f>
        <v/>
      </c>
      <c r="J1204">
        <f>IF($AA1204="","",INDEX('Per Line'!$L$2:$L$4001,$AA1204)&amp;"")</f>
        <v/>
      </c>
      <c r="K1204">
        <f>IF($AA1204="","",INDEX('Per Line'!$P$2:$P$4001,$AA1204))</f>
        <v/>
      </c>
      <c r="L1204" s="7">
        <f>IF($AA1204="","",IF(AND(ISNUMBER(N1204),N1204&gt;0,Y1204&gt;N1204),K1204*N1204/100+(Y1204-N1204),K1204*Y1204/100))</f>
        <v/>
      </c>
      <c r="M1204">
        <f>IF($AA1204="","",INDEX('Per Line'!$Z$2:$Z$4001,$AA1204)&amp;"")</f>
        <v/>
      </c>
      <c r="N1204">
        <f>IF($AA1204="","",INDEX('Per Line'!$AG$2:$AG$4001,$AA1204))</f>
        <v/>
      </c>
      <c r="O1204">
        <f>IF($AA1204="","",IF(AND(ISNUMBER(N1204),N1204&gt;0),Y1204&gt;N1204,FALSE))</f>
        <v/>
      </c>
      <c r="P1204" s="7">
        <f>IF($AA1204="","",SUMIFS('Per Line'!$Y$2:$Y$4001,'Per Line'!$E$2:$E$4001,$B1204,'Per Line'!$AQ$2:$AQ$4001,1))</f>
        <v/>
      </c>
      <c r="Q1204">
        <f>IF($AA1204="","",Settings!$C$7)</f>
        <v/>
      </c>
      <c r="R1204" s="7">
        <f>IF($AA1204="","",SUMIFS('Per Line'!$Y$2:$Y$4001,'Per Line'!$E$2:$E$4001,$B1204,'Per Line'!$AP$2:$AP$4001,0,'Per Line'!$AQ$2:$AQ$4001,0))</f>
        <v/>
      </c>
      <c r="S1204" s="7">
        <f>IF($AA1204="","",R1204*Q1204)</f>
        <v/>
      </c>
      <c r="T1204">
        <f>IF($AA1204="","",Settings!$C$6)</f>
        <v/>
      </c>
      <c r="U1204" s="7">
        <f>IF($AA1204="","",SUMIFS('Per Line'!$Y$2:$Y$4001,'Per Line'!$E$2:$E$4001,$B1204,'Per Line'!$AP$2:$AP$4001,1,'Per Line'!$AQ$2:$AQ$4001,0))</f>
        <v/>
      </c>
      <c r="V1204" s="7">
        <f>IF($AA1204="","",U1204*T1204)</f>
        <v/>
      </c>
      <c r="W1204" s="7">
        <f>IF($AA1204="","",V1204+S1204)</f>
        <v/>
      </c>
      <c r="X1204" s="7">
        <f>IF($AA1204="","",Y1204-W1204)</f>
        <v/>
      </c>
      <c r="Y1204" s="7">
        <f>IF($AA1204="","",R1204+U1204+P1204)</f>
        <v/>
      </c>
      <c r="Z1204" s="7">
        <f>IF($AA1204="","",Y1204-W1204-L1204)</f>
        <v/>
      </c>
      <c r="AA1204" s="13">
        <f>IF(ROWS($AA$2:$AA1204)&lt;=MAX('Per Line'!$AO$2:$AO$4001),MATCH(ROWS($AA$2:$AA1204),'Per Line'!$AO$2:$AO$4001,0),"")</f>
        <v/>
      </c>
      <c r="AB1204" s="14">
        <f>IF($AA1204="","",L1204-K1204*Y1204/100)</f>
        <v/>
      </c>
    </row>
    <row r="1205">
      <c r="A1205" s="12" t="n"/>
      <c r="B1205">
        <f>IF($AA1205="","",INDEX('Per Line'!$E$2:$E$4001,$AA1205)&amp;"")</f>
        <v/>
      </c>
      <c r="C1205">
        <f>IF($AA1205="","",INDEX('Per Line'!$A$2:$A$4001,$AA1205)&amp;"")</f>
        <v/>
      </c>
      <c r="D1205">
        <f>IF($AA1205="","",INDEX('Per Line'!$D$2:$D$4001,$AA1205)&amp;"")</f>
        <v/>
      </c>
      <c r="E1205" s="11">
        <f>IF($AA1205="","",INDEX('Per Line'!$G$2:$G$4001,$AA1205))</f>
        <v/>
      </c>
      <c r="F1205">
        <f>IF($AA1205="","",INDEX('Per Line'!$H$2:$H$4001,$AA1205)&amp;"")</f>
        <v/>
      </c>
      <c r="G1205">
        <f>IF($AA1205="","",INDEX('Per Line'!$I$2:$I$4001,$AA1205)&amp;"")</f>
        <v/>
      </c>
      <c r="H1205">
        <f>IF($AA1205="","",INDEX('Per Line'!$J$2:$J$4001,$AA1205)&amp;"")</f>
        <v/>
      </c>
      <c r="I1205">
        <f>IF($AA1205="","",INDEX('Per Line'!$K$2:$K$4001,$AA1205)&amp;"")</f>
        <v/>
      </c>
      <c r="J1205">
        <f>IF($AA1205="","",INDEX('Per Line'!$L$2:$L$4001,$AA1205)&amp;"")</f>
        <v/>
      </c>
      <c r="K1205">
        <f>IF($AA1205="","",INDEX('Per Line'!$P$2:$P$4001,$AA1205))</f>
        <v/>
      </c>
      <c r="L1205" s="7">
        <f>IF($AA1205="","",IF(AND(ISNUMBER(N1205),N1205&gt;0,Y1205&gt;N1205),K1205*N1205/100+(Y1205-N1205),K1205*Y1205/100))</f>
        <v/>
      </c>
      <c r="M1205">
        <f>IF($AA1205="","",INDEX('Per Line'!$Z$2:$Z$4001,$AA1205)&amp;"")</f>
        <v/>
      </c>
      <c r="N1205">
        <f>IF($AA1205="","",INDEX('Per Line'!$AG$2:$AG$4001,$AA1205))</f>
        <v/>
      </c>
      <c r="O1205">
        <f>IF($AA1205="","",IF(AND(ISNUMBER(N1205),N1205&gt;0),Y1205&gt;N1205,FALSE))</f>
        <v/>
      </c>
      <c r="P1205" s="7">
        <f>IF($AA1205="","",SUMIFS('Per Line'!$Y$2:$Y$4001,'Per Line'!$E$2:$E$4001,$B1205,'Per Line'!$AQ$2:$AQ$4001,1))</f>
        <v/>
      </c>
      <c r="Q1205">
        <f>IF($AA1205="","",Settings!$C$7)</f>
        <v/>
      </c>
      <c r="R1205" s="7">
        <f>IF($AA1205="","",SUMIFS('Per Line'!$Y$2:$Y$4001,'Per Line'!$E$2:$E$4001,$B1205,'Per Line'!$AP$2:$AP$4001,0,'Per Line'!$AQ$2:$AQ$4001,0))</f>
        <v/>
      </c>
      <c r="S1205" s="7">
        <f>IF($AA1205="","",R1205*Q1205)</f>
        <v/>
      </c>
      <c r="T1205">
        <f>IF($AA1205="","",Settings!$C$6)</f>
        <v/>
      </c>
      <c r="U1205" s="7">
        <f>IF($AA1205="","",SUMIFS('Per Line'!$Y$2:$Y$4001,'Per Line'!$E$2:$E$4001,$B1205,'Per Line'!$AP$2:$AP$4001,1,'Per Line'!$AQ$2:$AQ$4001,0))</f>
        <v/>
      </c>
      <c r="V1205" s="7">
        <f>IF($AA1205="","",U1205*T1205)</f>
        <v/>
      </c>
      <c r="W1205" s="7">
        <f>IF($AA1205="","",V1205+S1205)</f>
        <v/>
      </c>
      <c r="X1205" s="7">
        <f>IF($AA1205="","",Y1205-W1205)</f>
        <v/>
      </c>
      <c r="Y1205" s="7">
        <f>IF($AA1205="","",R1205+U1205+P1205)</f>
        <v/>
      </c>
      <c r="Z1205" s="7">
        <f>IF($AA1205="","",Y1205-W1205-L1205)</f>
        <v/>
      </c>
      <c r="AA1205" s="13">
        <f>IF(ROWS($AA$2:$AA1205)&lt;=MAX('Per Line'!$AO$2:$AO$4001),MATCH(ROWS($AA$2:$AA1205),'Per Line'!$AO$2:$AO$4001,0),"")</f>
        <v/>
      </c>
      <c r="AB1205" s="14">
        <f>IF($AA1205="","",L1205-K1205*Y1205/100)</f>
        <v/>
      </c>
    </row>
    <row r="1206">
      <c r="A1206" s="12" t="n"/>
      <c r="B1206">
        <f>IF($AA1206="","",INDEX('Per Line'!$E$2:$E$4001,$AA1206)&amp;"")</f>
        <v/>
      </c>
      <c r="C1206">
        <f>IF($AA1206="","",INDEX('Per Line'!$A$2:$A$4001,$AA1206)&amp;"")</f>
        <v/>
      </c>
      <c r="D1206">
        <f>IF($AA1206="","",INDEX('Per Line'!$D$2:$D$4001,$AA1206)&amp;"")</f>
        <v/>
      </c>
      <c r="E1206" s="11">
        <f>IF($AA1206="","",INDEX('Per Line'!$G$2:$G$4001,$AA1206))</f>
        <v/>
      </c>
      <c r="F1206">
        <f>IF($AA1206="","",INDEX('Per Line'!$H$2:$H$4001,$AA1206)&amp;"")</f>
        <v/>
      </c>
      <c r="G1206">
        <f>IF($AA1206="","",INDEX('Per Line'!$I$2:$I$4001,$AA1206)&amp;"")</f>
        <v/>
      </c>
      <c r="H1206">
        <f>IF($AA1206="","",INDEX('Per Line'!$J$2:$J$4001,$AA1206)&amp;"")</f>
        <v/>
      </c>
      <c r="I1206">
        <f>IF($AA1206="","",INDEX('Per Line'!$K$2:$K$4001,$AA1206)&amp;"")</f>
        <v/>
      </c>
      <c r="J1206">
        <f>IF($AA1206="","",INDEX('Per Line'!$L$2:$L$4001,$AA1206)&amp;"")</f>
        <v/>
      </c>
      <c r="K1206">
        <f>IF($AA1206="","",INDEX('Per Line'!$P$2:$P$4001,$AA1206))</f>
        <v/>
      </c>
      <c r="L1206" s="7">
        <f>IF($AA1206="","",IF(AND(ISNUMBER(N1206),N1206&gt;0,Y1206&gt;N1206),K1206*N1206/100+(Y1206-N1206),K1206*Y1206/100))</f>
        <v/>
      </c>
      <c r="M1206">
        <f>IF($AA1206="","",INDEX('Per Line'!$Z$2:$Z$4001,$AA1206)&amp;"")</f>
        <v/>
      </c>
      <c r="N1206">
        <f>IF($AA1206="","",INDEX('Per Line'!$AG$2:$AG$4001,$AA1206))</f>
        <v/>
      </c>
      <c r="O1206">
        <f>IF($AA1206="","",IF(AND(ISNUMBER(N1206),N1206&gt;0),Y1206&gt;N1206,FALSE))</f>
        <v/>
      </c>
      <c r="P1206" s="7">
        <f>IF($AA1206="","",SUMIFS('Per Line'!$Y$2:$Y$4001,'Per Line'!$E$2:$E$4001,$B1206,'Per Line'!$AQ$2:$AQ$4001,1))</f>
        <v/>
      </c>
      <c r="Q1206">
        <f>IF($AA1206="","",Settings!$C$7)</f>
        <v/>
      </c>
      <c r="R1206" s="7">
        <f>IF($AA1206="","",SUMIFS('Per Line'!$Y$2:$Y$4001,'Per Line'!$E$2:$E$4001,$B1206,'Per Line'!$AP$2:$AP$4001,0,'Per Line'!$AQ$2:$AQ$4001,0))</f>
        <v/>
      </c>
      <c r="S1206" s="7">
        <f>IF($AA1206="","",R1206*Q1206)</f>
        <v/>
      </c>
      <c r="T1206">
        <f>IF($AA1206="","",Settings!$C$6)</f>
        <v/>
      </c>
      <c r="U1206" s="7">
        <f>IF($AA1206="","",SUMIFS('Per Line'!$Y$2:$Y$4001,'Per Line'!$E$2:$E$4001,$B1206,'Per Line'!$AP$2:$AP$4001,1,'Per Line'!$AQ$2:$AQ$4001,0))</f>
        <v/>
      </c>
      <c r="V1206" s="7">
        <f>IF($AA1206="","",U1206*T1206)</f>
        <v/>
      </c>
      <c r="W1206" s="7">
        <f>IF($AA1206="","",V1206+S1206)</f>
        <v/>
      </c>
      <c r="X1206" s="7">
        <f>IF($AA1206="","",Y1206-W1206)</f>
        <v/>
      </c>
      <c r="Y1206" s="7">
        <f>IF($AA1206="","",R1206+U1206+P1206)</f>
        <v/>
      </c>
      <c r="Z1206" s="7">
        <f>IF($AA1206="","",Y1206-W1206-L1206)</f>
        <v/>
      </c>
      <c r="AA1206" s="13">
        <f>IF(ROWS($AA$2:$AA1206)&lt;=MAX('Per Line'!$AO$2:$AO$4001),MATCH(ROWS($AA$2:$AA1206),'Per Line'!$AO$2:$AO$4001,0),"")</f>
        <v/>
      </c>
      <c r="AB1206" s="14">
        <f>IF($AA1206="","",L1206-K1206*Y1206/100)</f>
        <v/>
      </c>
    </row>
    <row r="1207">
      <c r="A1207" s="12" t="n"/>
      <c r="B1207">
        <f>IF($AA1207="","",INDEX('Per Line'!$E$2:$E$4001,$AA1207)&amp;"")</f>
        <v/>
      </c>
      <c r="C1207">
        <f>IF($AA1207="","",INDEX('Per Line'!$A$2:$A$4001,$AA1207)&amp;"")</f>
        <v/>
      </c>
      <c r="D1207">
        <f>IF($AA1207="","",INDEX('Per Line'!$D$2:$D$4001,$AA1207)&amp;"")</f>
        <v/>
      </c>
      <c r="E1207" s="11">
        <f>IF($AA1207="","",INDEX('Per Line'!$G$2:$G$4001,$AA1207))</f>
        <v/>
      </c>
      <c r="F1207">
        <f>IF($AA1207="","",INDEX('Per Line'!$H$2:$H$4001,$AA1207)&amp;"")</f>
        <v/>
      </c>
      <c r="G1207">
        <f>IF($AA1207="","",INDEX('Per Line'!$I$2:$I$4001,$AA1207)&amp;"")</f>
        <v/>
      </c>
      <c r="H1207">
        <f>IF($AA1207="","",INDEX('Per Line'!$J$2:$J$4001,$AA1207)&amp;"")</f>
        <v/>
      </c>
      <c r="I1207">
        <f>IF($AA1207="","",INDEX('Per Line'!$K$2:$K$4001,$AA1207)&amp;"")</f>
        <v/>
      </c>
      <c r="J1207">
        <f>IF($AA1207="","",INDEX('Per Line'!$L$2:$L$4001,$AA1207)&amp;"")</f>
        <v/>
      </c>
      <c r="K1207">
        <f>IF($AA1207="","",INDEX('Per Line'!$P$2:$P$4001,$AA1207))</f>
        <v/>
      </c>
      <c r="L1207" s="7">
        <f>IF($AA1207="","",IF(AND(ISNUMBER(N1207),N1207&gt;0,Y1207&gt;N1207),K1207*N1207/100+(Y1207-N1207),K1207*Y1207/100))</f>
        <v/>
      </c>
      <c r="M1207">
        <f>IF($AA1207="","",INDEX('Per Line'!$Z$2:$Z$4001,$AA1207)&amp;"")</f>
        <v/>
      </c>
      <c r="N1207">
        <f>IF($AA1207="","",INDEX('Per Line'!$AG$2:$AG$4001,$AA1207))</f>
        <v/>
      </c>
      <c r="O1207">
        <f>IF($AA1207="","",IF(AND(ISNUMBER(N1207),N1207&gt;0),Y1207&gt;N1207,FALSE))</f>
        <v/>
      </c>
      <c r="P1207" s="7">
        <f>IF($AA1207="","",SUMIFS('Per Line'!$Y$2:$Y$4001,'Per Line'!$E$2:$E$4001,$B1207,'Per Line'!$AQ$2:$AQ$4001,1))</f>
        <v/>
      </c>
      <c r="Q1207">
        <f>IF($AA1207="","",Settings!$C$7)</f>
        <v/>
      </c>
      <c r="R1207" s="7">
        <f>IF($AA1207="","",SUMIFS('Per Line'!$Y$2:$Y$4001,'Per Line'!$E$2:$E$4001,$B1207,'Per Line'!$AP$2:$AP$4001,0,'Per Line'!$AQ$2:$AQ$4001,0))</f>
        <v/>
      </c>
      <c r="S1207" s="7">
        <f>IF($AA1207="","",R1207*Q1207)</f>
        <v/>
      </c>
      <c r="T1207">
        <f>IF($AA1207="","",Settings!$C$6)</f>
        <v/>
      </c>
      <c r="U1207" s="7">
        <f>IF($AA1207="","",SUMIFS('Per Line'!$Y$2:$Y$4001,'Per Line'!$E$2:$E$4001,$B1207,'Per Line'!$AP$2:$AP$4001,1,'Per Line'!$AQ$2:$AQ$4001,0))</f>
        <v/>
      </c>
      <c r="V1207" s="7">
        <f>IF($AA1207="","",U1207*T1207)</f>
        <v/>
      </c>
      <c r="W1207" s="7">
        <f>IF($AA1207="","",V1207+S1207)</f>
        <v/>
      </c>
      <c r="X1207" s="7">
        <f>IF($AA1207="","",Y1207-W1207)</f>
        <v/>
      </c>
      <c r="Y1207" s="7">
        <f>IF($AA1207="","",R1207+U1207+P1207)</f>
        <v/>
      </c>
      <c r="Z1207" s="7">
        <f>IF($AA1207="","",Y1207-W1207-L1207)</f>
        <v/>
      </c>
      <c r="AA1207" s="13">
        <f>IF(ROWS($AA$2:$AA1207)&lt;=MAX('Per Line'!$AO$2:$AO$4001),MATCH(ROWS($AA$2:$AA1207),'Per Line'!$AO$2:$AO$4001,0),"")</f>
        <v/>
      </c>
      <c r="AB1207" s="14">
        <f>IF($AA1207="","",L1207-K1207*Y1207/100)</f>
        <v/>
      </c>
    </row>
    <row r="1208">
      <c r="A1208" s="12" t="n"/>
      <c r="B1208">
        <f>IF($AA1208="","",INDEX('Per Line'!$E$2:$E$4001,$AA1208)&amp;"")</f>
        <v/>
      </c>
      <c r="C1208">
        <f>IF($AA1208="","",INDEX('Per Line'!$A$2:$A$4001,$AA1208)&amp;"")</f>
        <v/>
      </c>
      <c r="D1208">
        <f>IF($AA1208="","",INDEX('Per Line'!$D$2:$D$4001,$AA1208)&amp;"")</f>
        <v/>
      </c>
      <c r="E1208" s="11">
        <f>IF($AA1208="","",INDEX('Per Line'!$G$2:$G$4001,$AA1208))</f>
        <v/>
      </c>
      <c r="F1208">
        <f>IF($AA1208="","",INDEX('Per Line'!$H$2:$H$4001,$AA1208)&amp;"")</f>
        <v/>
      </c>
      <c r="G1208">
        <f>IF($AA1208="","",INDEX('Per Line'!$I$2:$I$4001,$AA1208)&amp;"")</f>
        <v/>
      </c>
      <c r="H1208">
        <f>IF($AA1208="","",INDEX('Per Line'!$J$2:$J$4001,$AA1208)&amp;"")</f>
        <v/>
      </c>
      <c r="I1208">
        <f>IF($AA1208="","",INDEX('Per Line'!$K$2:$K$4001,$AA1208)&amp;"")</f>
        <v/>
      </c>
      <c r="J1208">
        <f>IF($AA1208="","",INDEX('Per Line'!$L$2:$L$4001,$AA1208)&amp;"")</f>
        <v/>
      </c>
      <c r="K1208">
        <f>IF($AA1208="","",INDEX('Per Line'!$P$2:$P$4001,$AA1208))</f>
        <v/>
      </c>
      <c r="L1208" s="7">
        <f>IF($AA1208="","",IF(AND(ISNUMBER(N1208),N1208&gt;0,Y1208&gt;N1208),K1208*N1208/100+(Y1208-N1208),K1208*Y1208/100))</f>
        <v/>
      </c>
      <c r="M1208">
        <f>IF($AA1208="","",INDEX('Per Line'!$Z$2:$Z$4001,$AA1208)&amp;"")</f>
        <v/>
      </c>
      <c r="N1208">
        <f>IF($AA1208="","",INDEX('Per Line'!$AG$2:$AG$4001,$AA1208))</f>
        <v/>
      </c>
      <c r="O1208">
        <f>IF($AA1208="","",IF(AND(ISNUMBER(N1208),N1208&gt;0),Y1208&gt;N1208,FALSE))</f>
        <v/>
      </c>
      <c r="P1208" s="7">
        <f>IF($AA1208="","",SUMIFS('Per Line'!$Y$2:$Y$4001,'Per Line'!$E$2:$E$4001,$B1208,'Per Line'!$AQ$2:$AQ$4001,1))</f>
        <v/>
      </c>
      <c r="Q1208">
        <f>IF($AA1208="","",Settings!$C$7)</f>
        <v/>
      </c>
      <c r="R1208" s="7">
        <f>IF($AA1208="","",SUMIFS('Per Line'!$Y$2:$Y$4001,'Per Line'!$E$2:$E$4001,$B1208,'Per Line'!$AP$2:$AP$4001,0,'Per Line'!$AQ$2:$AQ$4001,0))</f>
        <v/>
      </c>
      <c r="S1208" s="7">
        <f>IF($AA1208="","",R1208*Q1208)</f>
        <v/>
      </c>
      <c r="T1208">
        <f>IF($AA1208="","",Settings!$C$6)</f>
        <v/>
      </c>
      <c r="U1208" s="7">
        <f>IF($AA1208="","",SUMIFS('Per Line'!$Y$2:$Y$4001,'Per Line'!$E$2:$E$4001,$B1208,'Per Line'!$AP$2:$AP$4001,1,'Per Line'!$AQ$2:$AQ$4001,0))</f>
        <v/>
      </c>
      <c r="V1208" s="7">
        <f>IF($AA1208="","",U1208*T1208)</f>
        <v/>
      </c>
      <c r="W1208" s="7">
        <f>IF($AA1208="","",V1208+S1208)</f>
        <v/>
      </c>
      <c r="X1208" s="7">
        <f>IF($AA1208="","",Y1208-W1208)</f>
        <v/>
      </c>
      <c r="Y1208" s="7">
        <f>IF($AA1208="","",R1208+U1208+P1208)</f>
        <v/>
      </c>
      <c r="Z1208" s="7">
        <f>IF($AA1208="","",Y1208-W1208-L1208)</f>
        <v/>
      </c>
      <c r="AA1208" s="13">
        <f>IF(ROWS($AA$2:$AA1208)&lt;=MAX('Per Line'!$AO$2:$AO$4001),MATCH(ROWS($AA$2:$AA1208),'Per Line'!$AO$2:$AO$4001,0),"")</f>
        <v/>
      </c>
      <c r="AB1208" s="14">
        <f>IF($AA1208="","",L1208-K1208*Y1208/100)</f>
        <v/>
      </c>
    </row>
    <row r="1209">
      <c r="A1209" s="12" t="n"/>
      <c r="B1209">
        <f>IF($AA1209="","",INDEX('Per Line'!$E$2:$E$4001,$AA1209)&amp;"")</f>
        <v/>
      </c>
      <c r="C1209">
        <f>IF($AA1209="","",INDEX('Per Line'!$A$2:$A$4001,$AA1209)&amp;"")</f>
        <v/>
      </c>
      <c r="D1209">
        <f>IF($AA1209="","",INDEX('Per Line'!$D$2:$D$4001,$AA1209)&amp;"")</f>
        <v/>
      </c>
      <c r="E1209" s="11">
        <f>IF($AA1209="","",INDEX('Per Line'!$G$2:$G$4001,$AA1209))</f>
        <v/>
      </c>
      <c r="F1209">
        <f>IF($AA1209="","",INDEX('Per Line'!$H$2:$H$4001,$AA1209)&amp;"")</f>
        <v/>
      </c>
      <c r="G1209">
        <f>IF($AA1209="","",INDEX('Per Line'!$I$2:$I$4001,$AA1209)&amp;"")</f>
        <v/>
      </c>
      <c r="H1209">
        <f>IF($AA1209="","",INDEX('Per Line'!$J$2:$J$4001,$AA1209)&amp;"")</f>
        <v/>
      </c>
      <c r="I1209">
        <f>IF($AA1209="","",INDEX('Per Line'!$K$2:$K$4001,$AA1209)&amp;"")</f>
        <v/>
      </c>
      <c r="J1209">
        <f>IF($AA1209="","",INDEX('Per Line'!$L$2:$L$4001,$AA1209)&amp;"")</f>
        <v/>
      </c>
      <c r="K1209">
        <f>IF($AA1209="","",INDEX('Per Line'!$P$2:$P$4001,$AA1209))</f>
        <v/>
      </c>
      <c r="L1209" s="7">
        <f>IF($AA1209="","",IF(AND(ISNUMBER(N1209),N1209&gt;0,Y1209&gt;N1209),K1209*N1209/100+(Y1209-N1209),K1209*Y1209/100))</f>
        <v/>
      </c>
      <c r="M1209">
        <f>IF($AA1209="","",INDEX('Per Line'!$Z$2:$Z$4001,$AA1209)&amp;"")</f>
        <v/>
      </c>
      <c r="N1209">
        <f>IF($AA1209="","",INDEX('Per Line'!$AG$2:$AG$4001,$AA1209))</f>
        <v/>
      </c>
      <c r="O1209">
        <f>IF($AA1209="","",IF(AND(ISNUMBER(N1209),N1209&gt;0),Y1209&gt;N1209,FALSE))</f>
        <v/>
      </c>
      <c r="P1209" s="7">
        <f>IF($AA1209="","",SUMIFS('Per Line'!$Y$2:$Y$4001,'Per Line'!$E$2:$E$4001,$B1209,'Per Line'!$AQ$2:$AQ$4001,1))</f>
        <v/>
      </c>
      <c r="Q1209">
        <f>IF($AA1209="","",Settings!$C$7)</f>
        <v/>
      </c>
      <c r="R1209" s="7">
        <f>IF($AA1209="","",SUMIFS('Per Line'!$Y$2:$Y$4001,'Per Line'!$E$2:$E$4001,$B1209,'Per Line'!$AP$2:$AP$4001,0,'Per Line'!$AQ$2:$AQ$4001,0))</f>
        <v/>
      </c>
      <c r="S1209" s="7">
        <f>IF($AA1209="","",R1209*Q1209)</f>
        <v/>
      </c>
      <c r="T1209">
        <f>IF($AA1209="","",Settings!$C$6)</f>
        <v/>
      </c>
      <c r="U1209" s="7">
        <f>IF($AA1209="","",SUMIFS('Per Line'!$Y$2:$Y$4001,'Per Line'!$E$2:$E$4001,$B1209,'Per Line'!$AP$2:$AP$4001,1,'Per Line'!$AQ$2:$AQ$4001,0))</f>
        <v/>
      </c>
      <c r="V1209" s="7">
        <f>IF($AA1209="","",U1209*T1209)</f>
        <v/>
      </c>
      <c r="W1209" s="7">
        <f>IF($AA1209="","",V1209+S1209)</f>
        <v/>
      </c>
      <c r="X1209" s="7">
        <f>IF($AA1209="","",Y1209-W1209)</f>
        <v/>
      </c>
      <c r="Y1209" s="7">
        <f>IF($AA1209="","",R1209+U1209+P1209)</f>
        <v/>
      </c>
      <c r="Z1209" s="7">
        <f>IF($AA1209="","",Y1209-W1209-L1209)</f>
        <v/>
      </c>
      <c r="AA1209" s="13">
        <f>IF(ROWS($AA$2:$AA1209)&lt;=MAX('Per Line'!$AO$2:$AO$4001),MATCH(ROWS($AA$2:$AA1209),'Per Line'!$AO$2:$AO$4001,0),"")</f>
        <v/>
      </c>
      <c r="AB1209" s="14">
        <f>IF($AA1209="","",L1209-K1209*Y1209/100)</f>
        <v/>
      </c>
    </row>
    <row r="1210">
      <c r="A1210" s="12" t="n"/>
      <c r="B1210">
        <f>IF($AA1210="","",INDEX('Per Line'!$E$2:$E$4001,$AA1210)&amp;"")</f>
        <v/>
      </c>
      <c r="C1210">
        <f>IF($AA1210="","",INDEX('Per Line'!$A$2:$A$4001,$AA1210)&amp;"")</f>
        <v/>
      </c>
      <c r="D1210">
        <f>IF($AA1210="","",INDEX('Per Line'!$D$2:$D$4001,$AA1210)&amp;"")</f>
        <v/>
      </c>
      <c r="E1210" s="11">
        <f>IF($AA1210="","",INDEX('Per Line'!$G$2:$G$4001,$AA1210))</f>
        <v/>
      </c>
      <c r="F1210">
        <f>IF($AA1210="","",INDEX('Per Line'!$H$2:$H$4001,$AA1210)&amp;"")</f>
        <v/>
      </c>
      <c r="G1210">
        <f>IF($AA1210="","",INDEX('Per Line'!$I$2:$I$4001,$AA1210)&amp;"")</f>
        <v/>
      </c>
      <c r="H1210">
        <f>IF($AA1210="","",INDEX('Per Line'!$J$2:$J$4001,$AA1210)&amp;"")</f>
        <v/>
      </c>
      <c r="I1210">
        <f>IF($AA1210="","",INDEX('Per Line'!$K$2:$K$4001,$AA1210)&amp;"")</f>
        <v/>
      </c>
      <c r="J1210">
        <f>IF($AA1210="","",INDEX('Per Line'!$L$2:$L$4001,$AA1210)&amp;"")</f>
        <v/>
      </c>
      <c r="K1210">
        <f>IF($AA1210="","",INDEX('Per Line'!$P$2:$P$4001,$AA1210))</f>
        <v/>
      </c>
      <c r="L1210" s="7">
        <f>IF($AA1210="","",IF(AND(ISNUMBER(N1210),N1210&gt;0,Y1210&gt;N1210),K1210*N1210/100+(Y1210-N1210),K1210*Y1210/100))</f>
        <v/>
      </c>
      <c r="M1210">
        <f>IF($AA1210="","",INDEX('Per Line'!$Z$2:$Z$4001,$AA1210)&amp;"")</f>
        <v/>
      </c>
      <c r="N1210">
        <f>IF($AA1210="","",INDEX('Per Line'!$AG$2:$AG$4001,$AA1210))</f>
        <v/>
      </c>
      <c r="O1210">
        <f>IF($AA1210="","",IF(AND(ISNUMBER(N1210),N1210&gt;0),Y1210&gt;N1210,FALSE))</f>
        <v/>
      </c>
      <c r="P1210" s="7">
        <f>IF($AA1210="","",SUMIFS('Per Line'!$Y$2:$Y$4001,'Per Line'!$E$2:$E$4001,$B1210,'Per Line'!$AQ$2:$AQ$4001,1))</f>
        <v/>
      </c>
      <c r="Q1210">
        <f>IF($AA1210="","",Settings!$C$7)</f>
        <v/>
      </c>
      <c r="R1210" s="7">
        <f>IF($AA1210="","",SUMIFS('Per Line'!$Y$2:$Y$4001,'Per Line'!$E$2:$E$4001,$B1210,'Per Line'!$AP$2:$AP$4001,0,'Per Line'!$AQ$2:$AQ$4001,0))</f>
        <v/>
      </c>
      <c r="S1210" s="7">
        <f>IF($AA1210="","",R1210*Q1210)</f>
        <v/>
      </c>
      <c r="T1210">
        <f>IF($AA1210="","",Settings!$C$6)</f>
        <v/>
      </c>
      <c r="U1210" s="7">
        <f>IF($AA1210="","",SUMIFS('Per Line'!$Y$2:$Y$4001,'Per Line'!$E$2:$E$4001,$B1210,'Per Line'!$AP$2:$AP$4001,1,'Per Line'!$AQ$2:$AQ$4001,0))</f>
        <v/>
      </c>
      <c r="V1210" s="7">
        <f>IF($AA1210="","",U1210*T1210)</f>
        <v/>
      </c>
      <c r="W1210" s="7">
        <f>IF($AA1210="","",V1210+S1210)</f>
        <v/>
      </c>
      <c r="X1210" s="7">
        <f>IF($AA1210="","",Y1210-W1210)</f>
        <v/>
      </c>
      <c r="Y1210" s="7">
        <f>IF($AA1210="","",R1210+U1210+P1210)</f>
        <v/>
      </c>
      <c r="Z1210" s="7">
        <f>IF($AA1210="","",Y1210-W1210-L1210)</f>
        <v/>
      </c>
      <c r="AA1210" s="13">
        <f>IF(ROWS($AA$2:$AA1210)&lt;=MAX('Per Line'!$AO$2:$AO$4001),MATCH(ROWS($AA$2:$AA1210),'Per Line'!$AO$2:$AO$4001,0),"")</f>
        <v/>
      </c>
      <c r="AB1210" s="14">
        <f>IF($AA1210="","",L1210-K1210*Y1210/100)</f>
        <v/>
      </c>
    </row>
    <row r="1211">
      <c r="A1211" s="12" t="n"/>
      <c r="B1211">
        <f>IF($AA1211="","",INDEX('Per Line'!$E$2:$E$4001,$AA1211)&amp;"")</f>
        <v/>
      </c>
      <c r="C1211">
        <f>IF($AA1211="","",INDEX('Per Line'!$A$2:$A$4001,$AA1211)&amp;"")</f>
        <v/>
      </c>
      <c r="D1211">
        <f>IF($AA1211="","",INDEX('Per Line'!$D$2:$D$4001,$AA1211)&amp;"")</f>
        <v/>
      </c>
      <c r="E1211" s="11">
        <f>IF($AA1211="","",INDEX('Per Line'!$G$2:$G$4001,$AA1211))</f>
        <v/>
      </c>
      <c r="F1211">
        <f>IF($AA1211="","",INDEX('Per Line'!$H$2:$H$4001,$AA1211)&amp;"")</f>
        <v/>
      </c>
      <c r="G1211">
        <f>IF($AA1211="","",INDEX('Per Line'!$I$2:$I$4001,$AA1211)&amp;"")</f>
        <v/>
      </c>
      <c r="H1211">
        <f>IF($AA1211="","",INDEX('Per Line'!$J$2:$J$4001,$AA1211)&amp;"")</f>
        <v/>
      </c>
      <c r="I1211">
        <f>IF($AA1211="","",INDEX('Per Line'!$K$2:$K$4001,$AA1211)&amp;"")</f>
        <v/>
      </c>
      <c r="J1211">
        <f>IF($AA1211="","",INDEX('Per Line'!$L$2:$L$4001,$AA1211)&amp;"")</f>
        <v/>
      </c>
      <c r="K1211">
        <f>IF($AA1211="","",INDEX('Per Line'!$P$2:$P$4001,$AA1211))</f>
        <v/>
      </c>
      <c r="L1211" s="7">
        <f>IF($AA1211="","",IF(AND(ISNUMBER(N1211),N1211&gt;0,Y1211&gt;N1211),K1211*N1211/100+(Y1211-N1211),K1211*Y1211/100))</f>
        <v/>
      </c>
      <c r="M1211">
        <f>IF($AA1211="","",INDEX('Per Line'!$Z$2:$Z$4001,$AA1211)&amp;"")</f>
        <v/>
      </c>
      <c r="N1211">
        <f>IF($AA1211="","",INDEX('Per Line'!$AG$2:$AG$4001,$AA1211))</f>
        <v/>
      </c>
      <c r="O1211">
        <f>IF($AA1211="","",IF(AND(ISNUMBER(N1211),N1211&gt;0),Y1211&gt;N1211,FALSE))</f>
        <v/>
      </c>
      <c r="P1211" s="7">
        <f>IF($AA1211="","",SUMIFS('Per Line'!$Y$2:$Y$4001,'Per Line'!$E$2:$E$4001,$B1211,'Per Line'!$AQ$2:$AQ$4001,1))</f>
        <v/>
      </c>
      <c r="Q1211">
        <f>IF($AA1211="","",Settings!$C$7)</f>
        <v/>
      </c>
      <c r="R1211" s="7">
        <f>IF($AA1211="","",SUMIFS('Per Line'!$Y$2:$Y$4001,'Per Line'!$E$2:$E$4001,$B1211,'Per Line'!$AP$2:$AP$4001,0,'Per Line'!$AQ$2:$AQ$4001,0))</f>
        <v/>
      </c>
      <c r="S1211" s="7">
        <f>IF($AA1211="","",R1211*Q1211)</f>
        <v/>
      </c>
      <c r="T1211">
        <f>IF($AA1211="","",Settings!$C$6)</f>
        <v/>
      </c>
      <c r="U1211" s="7">
        <f>IF($AA1211="","",SUMIFS('Per Line'!$Y$2:$Y$4001,'Per Line'!$E$2:$E$4001,$B1211,'Per Line'!$AP$2:$AP$4001,1,'Per Line'!$AQ$2:$AQ$4001,0))</f>
        <v/>
      </c>
      <c r="V1211" s="7">
        <f>IF($AA1211="","",U1211*T1211)</f>
        <v/>
      </c>
      <c r="W1211" s="7">
        <f>IF($AA1211="","",V1211+S1211)</f>
        <v/>
      </c>
      <c r="X1211" s="7">
        <f>IF($AA1211="","",Y1211-W1211)</f>
        <v/>
      </c>
      <c r="Y1211" s="7">
        <f>IF($AA1211="","",R1211+U1211+P1211)</f>
        <v/>
      </c>
      <c r="Z1211" s="7">
        <f>IF($AA1211="","",Y1211-W1211-L1211)</f>
        <v/>
      </c>
      <c r="AA1211" s="13">
        <f>IF(ROWS($AA$2:$AA1211)&lt;=MAX('Per Line'!$AO$2:$AO$4001),MATCH(ROWS($AA$2:$AA1211),'Per Line'!$AO$2:$AO$4001,0),"")</f>
        <v/>
      </c>
      <c r="AB1211" s="14">
        <f>IF($AA1211="","",L1211-K1211*Y1211/100)</f>
        <v/>
      </c>
    </row>
    <row r="1212">
      <c r="A1212" s="12" t="n"/>
      <c r="B1212">
        <f>IF($AA1212="","",INDEX('Per Line'!$E$2:$E$4001,$AA1212)&amp;"")</f>
        <v/>
      </c>
      <c r="C1212">
        <f>IF($AA1212="","",INDEX('Per Line'!$A$2:$A$4001,$AA1212)&amp;"")</f>
        <v/>
      </c>
      <c r="D1212">
        <f>IF($AA1212="","",INDEX('Per Line'!$D$2:$D$4001,$AA1212)&amp;"")</f>
        <v/>
      </c>
      <c r="E1212" s="11">
        <f>IF($AA1212="","",INDEX('Per Line'!$G$2:$G$4001,$AA1212))</f>
        <v/>
      </c>
      <c r="F1212">
        <f>IF($AA1212="","",INDEX('Per Line'!$H$2:$H$4001,$AA1212)&amp;"")</f>
        <v/>
      </c>
      <c r="G1212">
        <f>IF($AA1212="","",INDEX('Per Line'!$I$2:$I$4001,$AA1212)&amp;"")</f>
        <v/>
      </c>
      <c r="H1212">
        <f>IF($AA1212="","",INDEX('Per Line'!$J$2:$J$4001,$AA1212)&amp;"")</f>
        <v/>
      </c>
      <c r="I1212">
        <f>IF($AA1212="","",INDEX('Per Line'!$K$2:$K$4001,$AA1212)&amp;"")</f>
        <v/>
      </c>
      <c r="J1212">
        <f>IF($AA1212="","",INDEX('Per Line'!$L$2:$L$4001,$AA1212)&amp;"")</f>
        <v/>
      </c>
      <c r="K1212">
        <f>IF($AA1212="","",INDEX('Per Line'!$P$2:$P$4001,$AA1212))</f>
        <v/>
      </c>
      <c r="L1212" s="7">
        <f>IF($AA1212="","",IF(AND(ISNUMBER(N1212),N1212&gt;0,Y1212&gt;N1212),K1212*N1212/100+(Y1212-N1212),K1212*Y1212/100))</f>
        <v/>
      </c>
      <c r="M1212">
        <f>IF($AA1212="","",INDEX('Per Line'!$Z$2:$Z$4001,$AA1212)&amp;"")</f>
        <v/>
      </c>
      <c r="N1212">
        <f>IF($AA1212="","",INDEX('Per Line'!$AG$2:$AG$4001,$AA1212))</f>
        <v/>
      </c>
      <c r="O1212">
        <f>IF($AA1212="","",IF(AND(ISNUMBER(N1212),N1212&gt;0),Y1212&gt;N1212,FALSE))</f>
        <v/>
      </c>
      <c r="P1212" s="7">
        <f>IF($AA1212="","",SUMIFS('Per Line'!$Y$2:$Y$4001,'Per Line'!$E$2:$E$4001,$B1212,'Per Line'!$AQ$2:$AQ$4001,1))</f>
        <v/>
      </c>
      <c r="Q1212">
        <f>IF($AA1212="","",Settings!$C$7)</f>
        <v/>
      </c>
      <c r="R1212" s="7">
        <f>IF($AA1212="","",SUMIFS('Per Line'!$Y$2:$Y$4001,'Per Line'!$E$2:$E$4001,$B1212,'Per Line'!$AP$2:$AP$4001,0,'Per Line'!$AQ$2:$AQ$4001,0))</f>
        <v/>
      </c>
      <c r="S1212" s="7">
        <f>IF($AA1212="","",R1212*Q1212)</f>
        <v/>
      </c>
      <c r="T1212">
        <f>IF($AA1212="","",Settings!$C$6)</f>
        <v/>
      </c>
      <c r="U1212" s="7">
        <f>IF($AA1212="","",SUMIFS('Per Line'!$Y$2:$Y$4001,'Per Line'!$E$2:$E$4001,$B1212,'Per Line'!$AP$2:$AP$4001,1,'Per Line'!$AQ$2:$AQ$4001,0))</f>
        <v/>
      </c>
      <c r="V1212" s="7">
        <f>IF($AA1212="","",U1212*T1212)</f>
        <v/>
      </c>
      <c r="W1212" s="7">
        <f>IF($AA1212="","",V1212+S1212)</f>
        <v/>
      </c>
      <c r="X1212" s="7">
        <f>IF($AA1212="","",Y1212-W1212)</f>
        <v/>
      </c>
      <c r="Y1212" s="7">
        <f>IF($AA1212="","",R1212+U1212+P1212)</f>
        <v/>
      </c>
      <c r="Z1212" s="7">
        <f>IF($AA1212="","",Y1212-W1212-L1212)</f>
        <v/>
      </c>
      <c r="AA1212" s="13">
        <f>IF(ROWS($AA$2:$AA1212)&lt;=MAX('Per Line'!$AO$2:$AO$4001),MATCH(ROWS($AA$2:$AA1212),'Per Line'!$AO$2:$AO$4001,0),"")</f>
        <v/>
      </c>
      <c r="AB1212" s="14">
        <f>IF($AA1212="","",L1212-K1212*Y1212/100)</f>
        <v/>
      </c>
    </row>
    <row r="1213">
      <c r="A1213" s="12" t="n"/>
      <c r="B1213">
        <f>IF($AA1213="","",INDEX('Per Line'!$E$2:$E$4001,$AA1213)&amp;"")</f>
        <v/>
      </c>
      <c r="C1213">
        <f>IF($AA1213="","",INDEX('Per Line'!$A$2:$A$4001,$AA1213)&amp;"")</f>
        <v/>
      </c>
      <c r="D1213">
        <f>IF($AA1213="","",INDEX('Per Line'!$D$2:$D$4001,$AA1213)&amp;"")</f>
        <v/>
      </c>
      <c r="E1213" s="11">
        <f>IF($AA1213="","",INDEX('Per Line'!$G$2:$G$4001,$AA1213))</f>
        <v/>
      </c>
      <c r="F1213">
        <f>IF($AA1213="","",INDEX('Per Line'!$H$2:$H$4001,$AA1213)&amp;"")</f>
        <v/>
      </c>
      <c r="G1213">
        <f>IF($AA1213="","",INDEX('Per Line'!$I$2:$I$4001,$AA1213)&amp;"")</f>
        <v/>
      </c>
      <c r="H1213">
        <f>IF($AA1213="","",INDEX('Per Line'!$J$2:$J$4001,$AA1213)&amp;"")</f>
        <v/>
      </c>
      <c r="I1213">
        <f>IF($AA1213="","",INDEX('Per Line'!$K$2:$K$4001,$AA1213)&amp;"")</f>
        <v/>
      </c>
      <c r="J1213">
        <f>IF($AA1213="","",INDEX('Per Line'!$L$2:$L$4001,$AA1213)&amp;"")</f>
        <v/>
      </c>
      <c r="K1213">
        <f>IF($AA1213="","",INDEX('Per Line'!$P$2:$P$4001,$AA1213))</f>
        <v/>
      </c>
      <c r="L1213" s="7">
        <f>IF($AA1213="","",IF(AND(ISNUMBER(N1213),N1213&gt;0,Y1213&gt;N1213),K1213*N1213/100+(Y1213-N1213),K1213*Y1213/100))</f>
        <v/>
      </c>
      <c r="M1213">
        <f>IF($AA1213="","",INDEX('Per Line'!$Z$2:$Z$4001,$AA1213)&amp;"")</f>
        <v/>
      </c>
      <c r="N1213">
        <f>IF($AA1213="","",INDEX('Per Line'!$AG$2:$AG$4001,$AA1213))</f>
        <v/>
      </c>
      <c r="O1213">
        <f>IF($AA1213="","",IF(AND(ISNUMBER(N1213),N1213&gt;0),Y1213&gt;N1213,FALSE))</f>
        <v/>
      </c>
      <c r="P1213" s="7">
        <f>IF($AA1213="","",SUMIFS('Per Line'!$Y$2:$Y$4001,'Per Line'!$E$2:$E$4001,$B1213,'Per Line'!$AQ$2:$AQ$4001,1))</f>
        <v/>
      </c>
      <c r="Q1213">
        <f>IF($AA1213="","",Settings!$C$7)</f>
        <v/>
      </c>
      <c r="R1213" s="7">
        <f>IF($AA1213="","",SUMIFS('Per Line'!$Y$2:$Y$4001,'Per Line'!$E$2:$E$4001,$B1213,'Per Line'!$AP$2:$AP$4001,0,'Per Line'!$AQ$2:$AQ$4001,0))</f>
        <v/>
      </c>
      <c r="S1213" s="7">
        <f>IF($AA1213="","",R1213*Q1213)</f>
        <v/>
      </c>
      <c r="T1213">
        <f>IF($AA1213="","",Settings!$C$6)</f>
        <v/>
      </c>
      <c r="U1213" s="7">
        <f>IF($AA1213="","",SUMIFS('Per Line'!$Y$2:$Y$4001,'Per Line'!$E$2:$E$4001,$B1213,'Per Line'!$AP$2:$AP$4001,1,'Per Line'!$AQ$2:$AQ$4001,0))</f>
        <v/>
      </c>
      <c r="V1213" s="7">
        <f>IF($AA1213="","",U1213*T1213)</f>
        <v/>
      </c>
      <c r="W1213" s="7">
        <f>IF($AA1213="","",V1213+S1213)</f>
        <v/>
      </c>
      <c r="X1213" s="7">
        <f>IF($AA1213="","",Y1213-W1213)</f>
        <v/>
      </c>
      <c r="Y1213" s="7">
        <f>IF($AA1213="","",R1213+U1213+P1213)</f>
        <v/>
      </c>
      <c r="Z1213" s="7">
        <f>IF($AA1213="","",Y1213-W1213-L1213)</f>
        <v/>
      </c>
      <c r="AA1213" s="13">
        <f>IF(ROWS($AA$2:$AA1213)&lt;=MAX('Per Line'!$AO$2:$AO$4001),MATCH(ROWS($AA$2:$AA1213),'Per Line'!$AO$2:$AO$4001,0),"")</f>
        <v/>
      </c>
      <c r="AB1213" s="14">
        <f>IF($AA1213="","",L1213-K1213*Y1213/100)</f>
        <v/>
      </c>
    </row>
    <row r="1214">
      <c r="A1214" s="12" t="n"/>
      <c r="B1214">
        <f>IF($AA1214="","",INDEX('Per Line'!$E$2:$E$4001,$AA1214)&amp;"")</f>
        <v/>
      </c>
      <c r="C1214">
        <f>IF($AA1214="","",INDEX('Per Line'!$A$2:$A$4001,$AA1214)&amp;"")</f>
        <v/>
      </c>
      <c r="D1214">
        <f>IF($AA1214="","",INDEX('Per Line'!$D$2:$D$4001,$AA1214)&amp;"")</f>
        <v/>
      </c>
      <c r="E1214" s="11">
        <f>IF($AA1214="","",INDEX('Per Line'!$G$2:$G$4001,$AA1214))</f>
        <v/>
      </c>
      <c r="F1214">
        <f>IF($AA1214="","",INDEX('Per Line'!$H$2:$H$4001,$AA1214)&amp;"")</f>
        <v/>
      </c>
      <c r="G1214">
        <f>IF($AA1214="","",INDEX('Per Line'!$I$2:$I$4001,$AA1214)&amp;"")</f>
        <v/>
      </c>
      <c r="H1214">
        <f>IF($AA1214="","",INDEX('Per Line'!$J$2:$J$4001,$AA1214)&amp;"")</f>
        <v/>
      </c>
      <c r="I1214">
        <f>IF($AA1214="","",INDEX('Per Line'!$K$2:$K$4001,$AA1214)&amp;"")</f>
        <v/>
      </c>
      <c r="J1214">
        <f>IF($AA1214="","",INDEX('Per Line'!$L$2:$L$4001,$AA1214)&amp;"")</f>
        <v/>
      </c>
      <c r="K1214">
        <f>IF($AA1214="","",INDEX('Per Line'!$P$2:$P$4001,$AA1214))</f>
        <v/>
      </c>
      <c r="L1214" s="7">
        <f>IF($AA1214="","",IF(AND(ISNUMBER(N1214),N1214&gt;0,Y1214&gt;N1214),K1214*N1214/100+(Y1214-N1214),K1214*Y1214/100))</f>
        <v/>
      </c>
      <c r="M1214">
        <f>IF($AA1214="","",INDEX('Per Line'!$Z$2:$Z$4001,$AA1214)&amp;"")</f>
        <v/>
      </c>
      <c r="N1214">
        <f>IF($AA1214="","",INDEX('Per Line'!$AG$2:$AG$4001,$AA1214))</f>
        <v/>
      </c>
      <c r="O1214">
        <f>IF($AA1214="","",IF(AND(ISNUMBER(N1214),N1214&gt;0),Y1214&gt;N1214,FALSE))</f>
        <v/>
      </c>
      <c r="P1214" s="7">
        <f>IF($AA1214="","",SUMIFS('Per Line'!$Y$2:$Y$4001,'Per Line'!$E$2:$E$4001,$B1214,'Per Line'!$AQ$2:$AQ$4001,1))</f>
        <v/>
      </c>
      <c r="Q1214">
        <f>IF($AA1214="","",Settings!$C$7)</f>
        <v/>
      </c>
      <c r="R1214" s="7">
        <f>IF($AA1214="","",SUMIFS('Per Line'!$Y$2:$Y$4001,'Per Line'!$E$2:$E$4001,$B1214,'Per Line'!$AP$2:$AP$4001,0,'Per Line'!$AQ$2:$AQ$4001,0))</f>
        <v/>
      </c>
      <c r="S1214" s="7">
        <f>IF($AA1214="","",R1214*Q1214)</f>
        <v/>
      </c>
      <c r="T1214">
        <f>IF($AA1214="","",Settings!$C$6)</f>
        <v/>
      </c>
      <c r="U1214" s="7">
        <f>IF($AA1214="","",SUMIFS('Per Line'!$Y$2:$Y$4001,'Per Line'!$E$2:$E$4001,$B1214,'Per Line'!$AP$2:$AP$4001,1,'Per Line'!$AQ$2:$AQ$4001,0))</f>
        <v/>
      </c>
      <c r="V1214" s="7">
        <f>IF($AA1214="","",U1214*T1214)</f>
        <v/>
      </c>
      <c r="W1214" s="7">
        <f>IF($AA1214="","",V1214+S1214)</f>
        <v/>
      </c>
      <c r="X1214" s="7">
        <f>IF($AA1214="","",Y1214-W1214)</f>
        <v/>
      </c>
      <c r="Y1214" s="7">
        <f>IF($AA1214="","",R1214+U1214+P1214)</f>
        <v/>
      </c>
      <c r="Z1214" s="7">
        <f>IF($AA1214="","",Y1214-W1214-L1214)</f>
        <v/>
      </c>
      <c r="AA1214" s="13">
        <f>IF(ROWS($AA$2:$AA1214)&lt;=MAX('Per Line'!$AO$2:$AO$4001),MATCH(ROWS($AA$2:$AA1214),'Per Line'!$AO$2:$AO$4001,0),"")</f>
        <v/>
      </c>
      <c r="AB1214" s="14">
        <f>IF($AA1214="","",L1214-K1214*Y1214/100)</f>
        <v/>
      </c>
    </row>
    <row r="1215">
      <c r="A1215" s="12" t="n"/>
      <c r="B1215">
        <f>IF($AA1215="","",INDEX('Per Line'!$E$2:$E$4001,$AA1215)&amp;"")</f>
        <v/>
      </c>
      <c r="C1215">
        <f>IF($AA1215="","",INDEX('Per Line'!$A$2:$A$4001,$AA1215)&amp;"")</f>
        <v/>
      </c>
      <c r="D1215">
        <f>IF($AA1215="","",INDEX('Per Line'!$D$2:$D$4001,$AA1215)&amp;"")</f>
        <v/>
      </c>
      <c r="E1215" s="11">
        <f>IF($AA1215="","",INDEX('Per Line'!$G$2:$G$4001,$AA1215))</f>
        <v/>
      </c>
      <c r="F1215">
        <f>IF($AA1215="","",INDEX('Per Line'!$H$2:$H$4001,$AA1215)&amp;"")</f>
        <v/>
      </c>
      <c r="G1215">
        <f>IF($AA1215="","",INDEX('Per Line'!$I$2:$I$4001,$AA1215)&amp;"")</f>
        <v/>
      </c>
      <c r="H1215">
        <f>IF($AA1215="","",INDEX('Per Line'!$J$2:$J$4001,$AA1215)&amp;"")</f>
        <v/>
      </c>
      <c r="I1215">
        <f>IF($AA1215="","",INDEX('Per Line'!$K$2:$K$4001,$AA1215)&amp;"")</f>
        <v/>
      </c>
      <c r="J1215">
        <f>IF($AA1215="","",INDEX('Per Line'!$L$2:$L$4001,$AA1215)&amp;"")</f>
        <v/>
      </c>
      <c r="K1215">
        <f>IF($AA1215="","",INDEX('Per Line'!$P$2:$P$4001,$AA1215))</f>
        <v/>
      </c>
      <c r="L1215" s="7">
        <f>IF($AA1215="","",IF(AND(ISNUMBER(N1215),N1215&gt;0,Y1215&gt;N1215),K1215*N1215/100+(Y1215-N1215),K1215*Y1215/100))</f>
        <v/>
      </c>
      <c r="M1215">
        <f>IF($AA1215="","",INDEX('Per Line'!$Z$2:$Z$4001,$AA1215)&amp;"")</f>
        <v/>
      </c>
      <c r="N1215">
        <f>IF($AA1215="","",INDEX('Per Line'!$AG$2:$AG$4001,$AA1215))</f>
        <v/>
      </c>
      <c r="O1215">
        <f>IF($AA1215="","",IF(AND(ISNUMBER(N1215),N1215&gt;0),Y1215&gt;N1215,FALSE))</f>
        <v/>
      </c>
      <c r="P1215" s="7">
        <f>IF($AA1215="","",SUMIFS('Per Line'!$Y$2:$Y$4001,'Per Line'!$E$2:$E$4001,$B1215,'Per Line'!$AQ$2:$AQ$4001,1))</f>
        <v/>
      </c>
      <c r="Q1215">
        <f>IF($AA1215="","",Settings!$C$7)</f>
        <v/>
      </c>
      <c r="R1215" s="7">
        <f>IF($AA1215="","",SUMIFS('Per Line'!$Y$2:$Y$4001,'Per Line'!$E$2:$E$4001,$B1215,'Per Line'!$AP$2:$AP$4001,0,'Per Line'!$AQ$2:$AQ$4001,0))</f>
        <v/>
      </c>
      <c r="S1215" s="7">
        <f>IF($AA1215="","",R1215*Q1215)</f>
        <v/>
      </c>
      <c r="T1215">
        <f>IF($AA1215="","",Settings!$C$6)</f>
        <v/>
      </c>
      <c r="U1215" s="7">
        <f>IF($AA1215="","",SUMIFS('Per Line'!$Y$2:$Y$4001,'Per Line'!$E$2:$E$4001,$B1215,'Per Line'!$AP$2:$AP$4001,1,'Per Line'!$AQ$2:$AQ$4001,0))</f>
        <v/>
      </c>
      <c r="V1215" s="7">
        <f>IF($AA1215="","",U1215*T1215)</f>
        <v/>
      </c>
      <c r="W1215" s="7">
        <f>IF($AA1215="","",V1215+S1215)</f>
        <v/>
      </c>
      <c r="X1215" s="7">
        <f>IF($AA1215="","",Y1215-W1215)</f>
        <v/>
      </c>
      <c r="Y1215" s="7">
        <f>IF($AA1215="","",R1215+U1215+P1215)</f>
        <v/>
      </c>
      <c r="Z1215" s="7">
        <f>IF($AA1215="","",Y1215-W1215-L1215)</f>
        <v/>
      </c>
      <c r="AA1215" s="13">
        <f>IF(ROWS($AA$2:$AA1215)&lt;=MAX('Per Line'!$AO$2:$AO$4001),MATCH(ROWS($AA$2:$AA1215),'Per Line'!$AO$2:$AO$4001,0),"")</f>
        <v/>
      </c>
      <c r="AB1215" s="14">
        <f>IF($AA1215="","",L1215-K1215*Y1215/100)</f>
        <v/>
      </c>
    </row>
    <row r="1216">
      <c r="A1216" s="12" t="n"/>
      <c r="B1216">
        <f>IF($AA1216="","",INDEX('Per Line'!$E$2:$E$4001,$AA1216)&amp;"")</f>
        <v/>
      </c>
      <c r="C1216">
        <f>IF($AA1216="","",INDEX('Per Line'!$A$2:$A$4001,$AA1216)&amp;"")</f>
        <v/>
      </c>
      <c r="D1216">
        <f>IF($AA1216="","",INDEX('Per Line'!$D$2:$D$4001,$AA1216)&amp;"")</f>
        <v/>
      </c>
      <c r="E1216" s="11">
        <f>IF($AA1216="","",INDEX('Per Line'!$G$2:$G$4001,$AA1216))</f>
        <v/>
      </c>
      <c r="F1216">
        <f>IF($AA1216="","",INDEX('Per Line'!$H$2:$H$4001,$AA1216)&amp;"")</f>
        <v/>
      </c>
      <c r="G1216">
        <f>IF($AA1216="","",INDEX('Per Line'!$I$2:$I$4001,$AA1216)&amp;"")</f>
        <v/>
      </c>
      <c r="H1216">
        <f>IF($AA1216="","",INDEX('Per Line'!$J$2:$J$4001,$AA1216)&amp;"")</f>
        <v/>
      </c>
      <c r="I1216">
        <f>IF($AA1216="","",INDEX('Per Line'!$K$2:$K$4001,$AA1216)&amp;"")</f>
        <v/>
      </c>
      <c r="J1216">
        <f>IF($AA1216="","",INDEX('Per Line'!$L$2:$L$4001,$AA1216)&amp;"")</f>
        <v/>
      </c>
      <c r="K1216">
        <f>IF($AA1216="","",INDEX('Per Line'!$P$2:$P$4001,$AA1216))</f>
        <v/>
      </c>
      <c r="L1216" s="7">
        <f>IF($AA1216="","",IF(AND(ISNUMBER(N1216),N1216&gt;0,Y1216&gt;N1216),K1216*N1216/100+(Y1216-N1216),K1216*Y1216/100))</f>
        <v/>
      </c>
      <c r="M1216">
        <f>IF($AA1216="","",INDEX('Per Line'!$Z$2:$Z$4001,$AA1216)&amp;"")</f>
        <v/>
      </c>
      <c r="N1216">
        <f>IF($AA1216="","",INDEX('Per Line'!$AG$2:$AG$4001,$AA1216))</f>
        <v/>
      </c>
      <c r="O1216">
        <f>IF($AA1216="","",IF(AND(ISNUMBER(N1216),N1216&gt;0),Y1216&gt;N1216,FALSE))</f>
        <v/>
      </c>
      <c r="P1216" s="7">
        <f>IF($AA1216="","",SUMIFS('Per Line'!$Y$2:$Y$4001,'Per Line'!$E$2:$E$4001,$B1216,'Per Line'!$AQ$2:$AQ$4001,1))</f>
        <v/>
      </c>
      <c r="Q1216">
        <f>IF($AA1216="","",Settings!$C$7)</f>
        <v/>
      </c>
      <c r="R1216" s="7">
        <f>IF($AA1216="","",SUMIFS('Per Line'!$Y$2:$Y$4001,'Per Line'!$E$2:$E$4001,$B1216,'Per Line'!$AP$2:$AP$4001,0,'Per Line'!$AQ$2:$AQ$4001,0))</f>
        <v/>
      </c>
      <c r="S1216" s="7">
        <f>IF($AA1216="","",R1216*Q1216)</f>
        <v/>
      </c>
      <c r="T1216">
        <f>IF($AA1216="","",Settings!$C$6)</f>
        <v/>
      </c>
      <c r="U1216" s="7">
        <f>IF($AA1216="","",SUMIFS('Per Line'!$Y$2:$Y$4001,'Per Line'!$E$2:$E$4001,$B1216,'Per Line'!$AP$2:$AP$4001,1,'Per Line'!$AQ$2:$AQ$4001,0))</f>
        <v/>
      </c>
      <c r="V1216" s="7">
        <f>IF($AA1216="","",U1216*T1216)</f>
        <v/>
      </c>
      <c r="W1216" s="7">
        <f>IF($AA1216="","",V1216+S1216)</f>
        <v/>
      </c>
      <c r="X1216" s="7">
        <f>IF($AA1216="","",Y1216-W1216)</f>
        <v/>
      </c>
      <c r="Y1216" s="7">
        <f>IF($AA1216="","",R1216+U1216+P1216)</f>
        <v/>
      </c>
      <c r="Z1216" s="7">
        <f>IF($AA1216="","",Y1216-W1216-L1216)</f>
        <v/>
      </c>
      <c r="AA1216" s="13">
        <f>IF(ROWS($AA$2:$AA1216)&lt;=MAX('Per Line'!$AO$2:$AO$4001),MATCH(ROWS($AA$2:$AA1216),'Per Line'!$AO$2:$AO$4001,0),"")</f>
        <v/>
      </c>
      <c r="AB1216" s="14">
        <f>IF($AA1216="","",L1216-K1216*Y1216/100)</f>
        <v/>
      </c>
    </row>
    <row r="1217">
      <c r="A1217" s="12" t="n"/>
      <c r="B1217">
        <f>IF($AA1217="","",INDEX('Per Line'!$E$2:$E$4001,$AA1217)&amp;"")</f>
        <v/>
      </c>
      <c r="C1217">
        <f>IF($AA1217="","",INDEX('Per Line'!$A$2:$A$4001,$AA1217)&amp;"")</f>
        <v/>
      </c>
      <c r="D1217">
        <f>IF($AA1217="","",INDEX('Per Line'!$D$2:$D$4001,$AA1217)&amp;"")</f>
        <v/>
      </c>
      <c r="E1217" s="11">
        <f>IF($AA1217="","",INDEX('Per Line'!$G$2:$G$4001,$AA1217))</f>
        <v/>
      </c>
      <c r="F1217">
        <f>IF($AA1217="","",INDEX('Per Line'!$H$2:$H$4001,$AA1217)&amp;"")</f>
        <v/>
      </c>
      <c r="G1217">
        <f>IF($AA1217="","",INDEX('Per Line'!$I$2:$I$4001,$AA1217)&amp;"")</f>
        <v/>
      </c>
      <c r="H1217">
        <f>IF($AA1217="","",INDEX('Per Line'!$J$2:$J$4001,$AA1217)&amp;"")</f>
        <v/>
      </c>
      <c r="I1217">
        <f>IF($AA1217="","",INDEX('Per Line'!$K$2:$K$4001,$AA1217)&amp;"")</f>
        <v/>
      </c>
      <c r="J1217">
        <f>IF($AA1217="","",INDEX('Per Line'!$L$2:$L$4001,$AA1217)&amp;"")</f>
        <v/>
      </c>
      <c r="K1217">
        <f>IF($AA1217="","",INDEX('Per Line'!$P$2:$P$4001,$AA1217))</f>
        <v/>
      </c>
      <c r="L1217" s="7">
        <f>IF($AA1217="","",IF(AND(ISNUMBER(N1217),N1217&gt;0,Y1217&gt;N1217),K1217*N1217/100+(Y1217-N1217),K1217*Y1217/100))</f>
        <v/>
      </c>
      <c r="M1217">
        <f>IF($AA1217="","",INDEX('Per Line'!$Z$2:$Z$4001,$AA1217)&amp;"")</f>
        <v/>
      </c>
      <c r="N1217">
        <f>IF($AA1217="","",INDEX('Per Line'!$AG$2:$AG$4001,$AA1217))</f>
        <v/>
      </c>
      <c r="O1217">
        <f>IF($AA1217="","",IF(AND(ISNUMBER(N1217),N1217&gt;0),Y1217&gt;N1217,FALSE))</f>
        <v/>
      </c>
      <c r="P1217" s="7">
        <f>IF($AA1217="","",SUMIFS('Per Line'!$Y$2:$Y$4001,'Per Line'!$E$2:$E$4001,$B1217,'Per Line'!$AQ$2:$AQ$4001,1))</f>
        <v/>
      </c>
      <c r="Q1217">
        <f>IF($AA1217="","",Settings!$C$7)</f>
        <v/>
      </c>
      <c r="R1217" s="7">
        <f>IF($AA1217="","",SUMIFS('Per Line'!$Y$2:$Y$4001,'Per Line'!$E$2:$E$4001,$B1217,'Per Line'!$AP$2:$AP$4001,0,'Per Line'!$AQ$2:$AQ$4001,0))</f>
        <v/>
      </c>
      <c r="S1217" s="7">
        <f>IF($AA1217="","",R1217*Q1217)</f>
        <v/>
      </c>
      <c r="T1217">
        <f>IF($AA1217="","",Settings!$C$6)</f>
        <v/>
      </c>
      <c r="U1217" s="7">
        <f>IF($AA1217="","",SUMIFS('Per Line'!$Y$2:$Y$4001,'Per Line'!$E$2:$E$4001,$B1217,'Per Line'!$AP$2:$AP$4001,1,'Per Line'!$AQ$2:$AQ$4001,0))</f>
        <v/>
      </c>
      <c r="V1217" s="7">
        <f>IF($AA1217="","",U1217*T1217)</f>
        <v/>
      </c>
      <c r="W1217" s="7">
        <f>IF($AA1217="","",V1217+S1217)</f>
        <v/>
      </c>
      <c r="X1217" s="7">
        <f>IF($AA1217="","",Y1217-W1217)</f>
        <v/>
      </c>
      <c r="Y1217" s="7">
        <f>IF($AA1217="","",R1217+U1217+P1217)</f>
        <v/>
      </c>
      <c r="Z1217" s="7">
        <f>IF($AA1217="","",Y1217-W1217-L1217)</f>
        <v/>
      </c>
      <c r="AA1217" s="13">
        <f>IF(ROWS($AA$2:$AA1217)&lt;=MAX('Per Line'!$AO$2:$AO$4001),MATCH(ROWS($AA$2:$AA1217),'Per Line'!$AO$2:$AO$4001,0),"")</f>
        <v/>
      </c>
      <c r="AB1217" s="14">
        <f>IF($AA1217="","",L1217-K1217*Y1217/100)</f>
        <v/>
      </c>
    </row>
    <row r="1218">
      <c r="A1218" s="12" t="n"/>
      <c r="B1218">
        <f>IF($AA1218="","",INDEX('Per Line'!$E$2:$E$4001,$AA1218)&amp;"")</f>
        <v/>
      </c>
      <c r="C1218">
        <f>IF($AA1218="","",INDEX('Per Line'!$A$2:$A$4001,$AA1218)&amp;"")</f>
        <v/>
      </c>
      <c r="D1218">
        <f>IF($AA1218="","",INDEX('Per Line'!$D$2:$D$4001,$AA1218)&amp;"")</f>
        <v/>
      </c>
      <c r="E1218" s="11">
        <f>IF($AA1218="","",INDEX('Per Line'!$G$2:$G$4001,$AA1218))</f>
        <v/>
      </c>
      <c r="F1218">
        <f>IF($AA1218="","",INDEX('Per Line'!$H$2:$H$4001,$AA1218)&amp;"")</f>
        <v/>
      </c>
      <c r="G1218">
        <f>IF($AA1218="","",INDEX('Per Line'!$I$2:$I$4001,$AA1218)&amp;"")</f>
        <v/>
      </c>
      <c r="H1218">
        <f>IF($AA1218="","",INDEX('Per Line'!$J$2:$J$4001,$AA1218)&amp;"")</f>
        <v/>
      </c>
      <c r="I1218">
        <f>IF($AA1218="","",INDEX('Per Line'!$K$2:$K$4001,$AA1218)&amp;"")</f>
        <v/>
      </c>
      <c r="J1218">
        <f>IF($AA1218="","",INDEX('Per Line'!$L$2:$L$4001,$AA1218)&amp;"")</f>
        <v/>
      </c>
      <c r="K1218">
        <f>IF($AA1218="","",INDEX('Per Line'!$P$2:$P$4001,$AA1218))</f>
        <v/>
      </c>
      <c r="L1218" s="7">
        <f>IF($AA1218="","",IF(AND(ISNUMBER(N1218),N1218&gt;0,Y1218&gt;N1218),K1218*N1218/100+(Y1218-N1218),K1218*Y1218/100))</f>
        <v/>
      </c>
      <c r="M1218">
        <f>IF($AA1218="","",INDEX('Per Line'!$Z$2:$Z$4001,$AA1218)&amp;"")</f>
        <v/>
      </c>
      <c r="N1218">
        <f>IF($AA1218="","",INDEX('Per Line'!$AG$2:$AG$4001,$AA1218))</f>
        <v/>
      </c>
      <c r="O1218">
        <f>IF($AA1218="","",IF(AND(ISNUMBER(N1218),N1218&gt;0),Y1218&gt;N1218,FALSE))</f>
        <v/>
      </c>
      <c r="P1218" s="7">
        <f>IF($AA1218="","",SUMIFS('Per Line'!$Y$2:$Y$4001,'Per Line'!$E$2:$E$4001,$B1218,'Per Line'!$AQ$2:$AQ$4001,1))</f>
        <v/>
      </c>
      <c r="Q1218">
        <f>IF($AA1218="","",Settings!$C$7)</f>
        <v/>
      </c>
      <c r="R1218" s="7">
        <f>IF($AA1218="","",SUMIFS('Per Line'!$Y$2:$Y$4001,'Per Line'!$E$2:$E$4001,$B1218,'Per Line'!$AP$2:$AP$4001,0,'Per Line'!$AQ$2:$AQ$4001,0))</f>
        <v/>
      </c>
      <c r="S1218" s="7">
        <f>IF($AA1218="","",R1218*Q1218)</f>
        <v/>
      </c>
      <c r="T1218">
        <f>IF($AA1218="","",Settings!$C$6)</f>
        <v/>
      </c>
      <c r="U1218" s="7">
        <f>IF($AA1218="","",SUMIFS('Per Line'!$Y$2:$Y$4001,'Per Line'!$E$2:$E$4001,$B1218,'Per Line'!$AP$2:$AP$4001,1,'Per Line'!$AQ$2:$AQ$4001,0))</f>
        <v/>
      </c>
      <c r="V1218" s="7">
        <f>IF($AA1218="","",U1218*T1218)</f>
        <v/>
      </c>
      <c r="W1218" s="7">
        <f>IF($AA1218="","",V1218+S1218)</f>
        <v/>
      </c>
      <c r="X1218" s="7">
        <f>IF($AA1218="","",Y1218-W1218)</f>
        <v/>
      </c>
      <c r="Y1218" s="7">
        <f>IF($AA1218="","",R1218+U1218+P1218)</f>
        <v/>
      </c>
      <c r="Z1218" s="7">
        <f>IF($AA1218="","",Y1218-W1218-L1218)</f>
        <v/>
      </c>
      <c r="AA1218" s="13">
        <f>IF(ROWS($AA$2:$AA1218)&lt;=MAX('Per Line'!$AO$2:$AO$4001),MATCH(ROWS($AA$2:$AA1218),'Per Line'!$AO$2:$AO$4001,0),"")</f>
        <v/>
      </c>
      <c r="AB1218" s="14">
        <f>IF($AA1218="","",L1218-K1218*Y1218/100)</f>
        <v/>
      </c>
    </row>
    <row r="1219">
      <c r="A1219" s="12" t="n"/>
      <c r="B1219">
        <f>IF($AA1219="","",INDEX('Per Line'!$E$2:$E$4001,$AA1219)&amp;"")</f>
        <v/>
      </c>
      <c r="C1219">
        <f>IF($AA1219="","",INDEX('Per Line'!$A$2:$A$4001,$AA1219)&amp;"")</f>
        <v/>
      </c>
      <c r="D1219">
        <f>IF($AA1219="","",INDEX('Per Line'!$D$2:$D$4001,$AA1219)&amp;"")</f>
        <v/>
      </c>
      <c r="E1219" s="11">
        <f>IF($AA1219="","",INDEX('Per Line'!$G$2:$G$4001,$AA1219))</f>
        <v/>
      </c>
      <c r="F1219">
        <f>IF($AA1219="","",INDEX('Per Line'!$H$2:$H$4001,$AA1219)&amp;"")</f>
        <v/>
      </c>
      <c r="G1219">
        <f>IF($AA1219="","",INDEX('Per Line'!$I$2:$I$4001,$AA1219)&amp;"")</f>
        <v/>
      </c>
      <c r="H1219">
        <f>IF($AA1219="","",INDEX('Per Line'!$J$2:$J$4001,$AA1219)&amp;"")</f>
        <v/>
      </c>
      <c r="I1219">
        <f>IF($AA1219="","",INDEX('Per Line'!$K$2:$K$4001,$AA1219)&amp;"")</f>
        <v/>
      </c>
      <c r="J1219">
        <f>IF($AA1219="","",INDEX('Per Line'!$L$2:$L$4001,$AA1219)&amp;"")</f>
        <v/>
      </c>
      <c r="K1219">
        <f>IF($AA1219="","",INDEX('Per Line'!$P$2:$P$4001,$AA1219))</f>
        <v/>
      </c>
      <c r="L1219" s="7">
        <f>IF($AA1219="","",IF(AND(ISNUMBER(N1219),N1219&gt;0,Y1219&gt;N1219),K1219*N1219/100+(Y1219-N1219),K1219*Y1219/100))</f>
        <v/>
      </c>
      <c r="M1219">
        <f>IF($AA1219="","",INDEX('Per Line'!$Z$2:$Z$4001,$AA1219)&amp;"")</f>
        <v/>
      </c>
      <c r="N1219">
        <f>IF($AA1219="","",INDEX('Per Line'!$AG$2:$AG$4001,$AA1219))</f>
        <v/>
      </c>
      <c r="O1219">
        <f>IF($AA1219="","",IF(AND(ISNUMBER(N1219),N1219&gt;0),Y1219&gt;N1219,FALSE))</f>
        <v/>
      </c>
      <c r="P1219" s="7">
        <f>IF($AA1219="","",SUMIFS('Per Line'!$Y$2:$Y$4001,'Per Line'!$E$2:$E$4001,$B1219,'Per Line'!$AQ$2:$AQ$4001,1))</f>
        <v/>
      </c>
      <c r="Q1219">
        <f>IF($AA1219="","",Settings!$C$7)</f>
        <v/>
      </c>
      <c r="R1219" s="7">
        <f>IF($AA1219="","",SUMIFS('Per Line'!$Y$2:$Y$4001,'Per Line'!$E$2:$E$4001,$B1219,'Per Line'!$AP$2:$AP$4001,0,'Per Line'!$AQ$2:$AQ$4001,0))</f>
        <v/>
      </c>
      <c r="S1219" s="7">
        <f>IF($AA1219="","",R1219*Q1219)</f>
        <v/>
      </c>
      <c r="T1219">
        <f>IF($AA1219="","",Settings!$C$6)</f>
        <v/>
      </c>
      <c r="U1219" s="7">
        <f>IF($AA1219="","",SUMIFS('Per Line'!$Y$2:$Y$4001,'Per Line'!$E$2:$E$4001,$B1219,'Per Line'!$AP$2:$AP$4001,1,'Per Line'!$AQ$2:$AQ$4001,0))</f>
        <v/>
      </c>
      <c r="V1219" s="7">
        <f>IF($AA1219="","",U1219*T1219)</f>
        <v/>
      </c>
      <c r="W1219" s="7">
        <f>IF($AA1219="","",V1219+S1219)</f>
        <v/>
      </c>
      <c r="X1219" s="7">
        <f>IF($AA1219="","",Y1219-W1219)</f>
        <v/>
      </c>
      <c r="Y1219" s="7">
        <f>IF($AA1219="","",R1219+U1219+P1219)</f>
        <v/>
      </c>
      <c r="Z1219" s="7">
        <f>IF($AA1219="","",Y1219-W1219-L1219)</f>
        <v/>
      </c>
      <c r="AA1219" s="13">
        <f>IF(ROWS($AA$2:$AA1219)&lt;=MAX('Per Line'!$AO$2:$AO$4001),MATCH(ROWS($AA$2:$AA1219),'Per Line'!$AO$2:$AO$4001,0),"")</f>
        <v/>
      </c>
      <c r="AB1219" s="14">
        <f>IF($AA1219="","",L1219-K1219*Y1219/100)</f>
        <v/>
      </c>
    </row>
    <row r="1220">
      <c r="A1220" s="12" t="n"/>
      <c r="B1220">
        <f>IF($AA1220="","",INDEX('Per Line'!$E$2:$E$4001,$AA1220)&amp;"")</f>
        <v/>
      </c>
      <c r="C1220">
        <f>IF($AA1220="","",INDEX('Per Line'!$A$2:$A$4001,$AA1220)&amp;"")</f>
        <v/>
      </c>
      <c r="D1220">
        <f>IF($AA1220="","",INDEX('Per Line'!$D$2:$D$4001,$AA1220)&amp;"")</f>
        <v/>
      </c>
      <c r="E1220" s="11">
        <f>IF($AA1220="","",INDEX('Per Line'!$G$2:$G$4001,$AA1220))</f>
        <v/>
      </c>
      <c r="F1220">
        <f>IF($AA1220="","",INDEX('Per Line'!$H$2:$H$4001,$AA1220)&amp;"")</f>
        <v/>
      </c>
      <c r="G1220">
        <f>IF($AA1220="","",INDEX('Per Line'!$I$2:$I$4001,$AA1220)&amp;"")</f>
        <v/>
      </c>
      <c r="H1220">
        <f>IF($AA1220="","",INDEX('Per Line'!$J$2:$J$4001,$AA1220)&amp;"")</f>
        <v/>
      </c>
      <c r="I1220">
        <f>IF($AA1220="","",INDEX('Per Line'!$K$2:$K$4001,$AA1220)&amp;"")</f>
        <v/>
      </c>
      <c r="J1220">
        <f>IF($AA1220="","",INDEX('Per Line'!$L$2:$L$4001,$AA1220)&amp;"")</f>
        <v/>
      </c>
      <c r="K1220">
        <f>IF($AA1220="","",INDEX('Per Line'!$P$2:$P$4001,$AA1220))</f>
        <v/>
      </c>
      <c r="L1220" s="7">
        <f>IF($AA1220="","",IF(AND(ISNUMBER(N1220),N1220&gt;0,Y1220&gt;N1220),K1220*N1220/100+(Y1220-N1220),K1220*Y1220/100))</f>
        <v/>
      </c>
      <c r="M1220">
        <f>IF($AA1220="","",INDEX('Per Line'!$Z$2:$Z$4001,$AA1220)&amp;"")</f>
        <v/>
      </c>
      <c r="N1220">
        <f>IF($AA1220="","",INDEX('Per Line'!$AG$2:$AG$4001,$AA1220))</f>
        <v/>
      </c>
      <c r="O1220">
        <f>IF($AA1220="","",IF(AND(ISNUMBER(N1220),N1220&gt;0),Y1220&gt;N1220,FALSE))</f>
        <v/>
      </c>
      <c r="P1220" s="7">
        <f>IF($AA1220="","",SUMIFS('Per Line'!$Y$2:$Y$4001,'Per Line'!$E$2:$E$4001,$B1220,'Per Line'!$AQ$2:$AQ$4001,1))</f>
        <v/>
      </c>
      <c r="Q1220">
        <f>IF($AA1220="","",Settings!$C$7)</f>
        <v/>
      </c>
      <c r="R1220" s="7">
        <f>IF($AA1220="","",SUMIFS('Per Line'!$Y$2:$Y$4001,'Per Line'!$E$2:$E$4001,$B1220,'Per Line'!$AP$2:$AP$4001,0,'Per Line'!$AQ$2:$AQ$4001,0))</f>
        <v/>
      </c>
      <c r="S1220" s="7">
        <f>IF($AA1220="","",R1220*Q1220)</f>
        <v/>
      </c>
      <c r="T1220">
        <f>IF($AA1220="","",Settings!$C$6)</f>
        <v/>
      </c>
      <c r="U1220" s="7">
        <f>IF($AA1220="","",SUMIFS('Per Line'!$Y$2:$Y$4001,'Per Line'!$E$2:$E$4001,$B1220,'Per Line'!$AP$2:$AP$4001,1,'Per Line'!$AQ$2:$AQ$4001,0))</f>
        <v/>
      </c>
      <c r="V1220" s="7">
        <f>IF($AA1220="","",U1220*T1220)</f>
        <v/>
      </c>
      <c r="W1220" s="7">
        <f>IF($AA1220="","",V1220+S1220)</f>
        <v/>
      </c>
      <c r="X1220" s="7">
        <f>IF($AA1220="","",Y1220-W1220)</f>
        <v/>
      </c>
      <c r="Y1220" s="7">
        <f>IF($AA1220="","",R1220+U1220+P1220)</f>
        <v/>
      </c>
      <c r="Z1220" s="7">
        <f>IF($AA1220="","",Y1220-W1220-L1220)</f>
        <v/>
      </c>
      <c r="AA1220" s="13">
        <f>IF(ROWS($AA$2:$AA1220)&lt;=MAX('Per Line'!$AO$2:$AO$4001),MATCH(ROWS($AA$2:$AA1220),'Per Line'!$AO$2:$AO$4001,0),"")</f>
        <v/>
      </c>
      <c r="AB1220" s="14">
        <f>IF($AA1220="","",L1220-K1220*Y1220/100)</f>
        <v/>
      </c>
    </row>
    <row r="1221">
      <c r="A1221" s="12" t="n"/>
      <c r="B1221">
        <f>IF($AA1221="","",INDEX('Per Line'!$E$2:$E$4001,$AA1221)&amp;"")</f>
        <v/>
      </c>
      <c r="C1221">
        <f>IF($AA1221="","",INDEX('Per Line'!$A$2:$A$4001,$AA1221)&amp;"")</f>
        <v/>
      </c>
      <c r="D1221">
        <f>IF($AA1221="","",INDEX('Per Line'!$D$2:$D$4001,$AA1221)&amp;"")</f>
        <v/>
      </c>
      <c r="E1221" s="11">
        <f>IF($AA1221="","",INDEX('Per Line'!$G$2:$G$4001,$AA1221))</f>
        <v/>
      </c>
      <c r="F1221">
        <f>IF($AA1221="","",INDEX('Per Line'!$H$2:$H$4001,$AA1221)&amp;"")</f>
        <v/>
      </c>
      <c r="G1221">
        <f>IF($AA1221="","",INDEX('Per Line'!$I$2:$I$4001,$AA1221)&amp;"")</f>
        <v/>
      </c>
      <c r="H1221">
        <f>IF($AA1221="","",INDEX('Per Line'!$J$2:$J$4001,$AA1221)&amp;"")</f>
        <v/>
      </c>
      <c r="I1221">
        <f>IF($AA1221="","",INDEX('Per Line'!$K$2:$K$4001,$AA1221)&amp;"")</f>
        <v/>
      </c>
      <c r="J1221">
        <f>IF($AA1221="","",INDEX('Per Line'!$L$2:$L$4001,$AA1221)&amp;"")</f>
        <v/>
      </c>
      <c r="K1221">
        <f>IF($AA1221="","",INDEX('Per Line'!$P$2:$P$4001,$AA1221))</f>
        <v/>
      </c>
      <c r="L1221" s="7">
        <f>IF($AA1221="","",IF(AND(ISNUMBER(N1221),N1221&gt;0,Y1221&gt;N1221),K1221*N1221/100+(Y1221-N1221),K1221*Y1221/100))</f>
        <v/>
      </c>
      <c r="M1221">
        <f>IF($AA1221="","",INDEX('Per Line'!$Z$2:$Z$4001,$AA1221)&amp;"")</f>
        <v/>
      </c>
      <c r="N1221">
        <f>IF($AA1221="","",INDEX('Per Line'!$AG$2:$AG$4001,$AA1221))</f>
        <v/>
      </c>
      <c r="O1221">
        <f>IF($AA1221="","",IF(AND(ISNUMBER(N1221),N1221&gt;0),Y1221&gt;N1221,FALSE))</f>
        <v/>
      </c>
      <c r="P1221" s="7">
        <f>IF($AA1221="","",SUMIFS('Per Line'!$Y$2:$Y$4001,'Per Line'!$E$2:$E$4001,$B1221,'Per Line'!$AQ$2:$AQ$4001,1))</f>
        <v/>
      </c>
      <c r="Q1221">
        <f>IF($AA1221="","",Settings!$C$7)</f>
        <v/>
      </c>
      <c r="R1221" s="7">
        <f>IF($AA1221="","",SUMIFS('Per Line'!$Y$2:$Y$4001,'Per Line'!$E$2:$E$4001,$B1221,'Per Line'!$AP$2:$AP$4001,0,'Per Line'!$AQ$2:$AQ$4001,0))</f>
        <v/>
      </c>
      <c r="S1221" s="7">
        <f>IF($AA1221="","",R1221*Q1221)</f>
        <v/>
      </c>
      <c r="T1221">
        <f>IF($AA1221="","",Settings!$C$6)</f>
        <v/>
      </c>
      <c r="U1221" s="7">
        <f>IF($AA1221="","",SUMIFS('Per Line'!$Y$2:$Y$4001,'Per Line'!$E$2:$E$4001,$B1221,'Per Line'!$AP$2:$AP$4001,1,'Per Line'!$AQ$2:$AQ$4001,0))</f>
        <v/>
      </c>
      <c r="V1221" s="7">
        <f>IF($AA1221="","",U1221*T1221)</f>
        <v/>
      </c>
      <c r="W1221" s="7">
        <f>IF($AA1221="","",V1221+S1221)</f>
        <v/>
      </c>
      <c r="X1221" s="7">
        <f>IF($AA1221="","",Y1221-W1221)</f>
        <v/>
      </c>
      <c r="Y1221" s="7">
        <f>IF($AA1221="","",R1221+U1221+P1221)</f>
        <v/>
      </c>
      <c r="Z1221" s="7">
        <f>IF($AA1221="","",Y1221-W1221-L1221)</f>
        <v/>
      </c>
      <c r="AA1221" s="13">
        <f>IF(ROWS($AA$2:$AA1221)&lt;=MAX('Per Line'!$AO$2:$AO$4001),MATCH(ROWS($AA$2:$AA1221),'Per Line'!$AO$2:$AO$4001,0),"")</f>
        <v/>
      </c>
      <c r="AB1221" s="14">
        <f>IF($AA1221="","",L1221-K1221*Y1221/100)</f>
        <v/>
      </c>
    </row>
    <row r="1222">
      <c r="A1222" s="12" t="n"/>
      <c r="B1222">
        <f>IF($AA1222="","",INDEX('Per Line'!$E$2:$E$4001,$AA1222)&amp;"")</f>
        <v/>
      </c>
      <c r="C1222">
        <f>IF($AA1222="","",INDEX('Per Line'!$A$2:$A$4001,$AA1222)&amp;"")</f>
        <v/>
      </c>
      <c r="D1222">
        <f>IF($AA1222="","",INDEX('Per Line'!$D$2:$D$4001,$AA1222)&amp;"")</f>
        <v/>
      </c>
      <c r="E1222" s="11">
        <f>IF($AA1222="","",INDEX('Per Line'!$G$2:$G$4001,$AA1222))</f>
        <v/>
      </c>
      <c r="F1222">
        <f>IF($AA1222="","",INDEX('Per Line'!$H$2:$H$4001,$AA1222)&amp;"")</f>
        <v/>
      </c>
      <c r="G1222">
        <f>IF($AA1222="","",INDEX('Per Line'!$I$2:$I$4001,$AA1222)&amp;"")</f>
        <v/>
      </c>
      <c r="H1222">
        <f>IF($AA1222="","",INDEX('Per Line'!$J$2:$J$4001,$AA1222)&amp;"")</f>
        <v/>
      </c>
      <c r="I1222">
        <f>IF($AA1222="","",INDEX('Per Line'!$K$2:$K$4001,$AA1222)&amp;"")</f>
        <v/>
      </c>
      <c r="J1222">
        <f>IF($AA1222="","",INDEX('Per Line'!$L$2:$L$4001,$AA1222)&amp;"")</f>
        <v/>
      </c>
      <c r="K1222">
        <f>IF($AA1222="","",INDEX('Per Line'!$P$2:$P$4001,$AA1222))</f>
        <v/>
      </c>
      <c r="L1222" s="7">
        <f>IF($AA1222="","",IF(AND(ISNUMBER(N1222),N1222&gt;0,Y1222&gt;N1222),K1222*N1222/100+(Y1222-N1222),K1222*Y1222/100))</f>
        <v/>
      </c>
      <c r="M1222">
        <f>IF($AA1222="","",INDEX('Per Line'!$Z$2:$Z$4001,$AA1222)&amp;"")</f>
        <v/>
      </c>
      <c r="N1222">
        <f>IF($AA1222="","",INDEX('Per Line'!$AG$2:$AG$4001,$AA1222))</f>
        <v/>
      </c>
      <c r="O1222">
        <f>IF($AA1222="","",IF(AND(ISNUMBER(N1222),N1222&gt;0),Y1222&gt;N1222,FALSE))</f>
        <v/>
      </c>
      <c r="P1222" s="7">
        <f>IF($AA1222="","",SUMIFS('Per Line'!$Y$2:$Y$4001,'Per Line'!$E$2:$E$4001,$B1222,'Per Line'!$AQ$2:$AQ$4001,1))</f>
        <v/>
      </c>
      <c r="Q1222">
        <f>IF($AA1222="","",Settings!$C$7)</f>
        <v/>
      </c>
      <c r="R1222" s="7">
        <f>IF($AA1222="","",SUMIFS('Per Line'!$Y$2:$Y$4001,'Per Line'!$E$2:$E$4001,$B1222,'Per Line'!$AP$2:$AP$4001,0,'Per Line'!$AQ$2:$AQ$4001,0))</f>
        <v/>
      </c>
      <c r="S1222" s="7">
        <f>IF($AA1222="","",R1222*Q1222)</f>
        <v/>
      </c>
      <c r="T1222">
        <f>IF($AA1222="","",Settings!$C$6)</f>
        <v/>
      </c>
      <c r="U1222" s="7">
        <f>IF($AA1222="","",SUMIFS('Per Line'!$Y$2:$Y$4001,'Per Line'!$E$2:$E$4001,$B1222,'Per Line'!$AP$2:$AP$4001,1,'Per Line'!$AQ$2:$AQ$4001,0))</f>
        <v/>
      </c>
      <c r="V1222" s="7">
        <f>IF($AA1222="","",U1222*T1222)</f>
        <v/>
      </c>
      <c r="W1222" s="7">
        <f>IF($AA1222="","",V1222+S1222)</f>
        <v/>
      </c>
      <c r="X1222" s="7">
        <f>IF($AA1222="","",Y1222-W1222)</f>
        <v/>
      </c>
      <c r="Y1222" s="7">
        <f>IF($AA1222="","",R1222+U1222+P1222)</f>
        <v/>
      </c>
      <c r="Z1222" s="7">
        <f>IF($AA1222="","",Y1222-W1222-L1222)</f>
        <v/>
      </c>
      <c r="AA1222" s="13">
        <f>IF(ROWS($AA$2:$AA1222)&lt;=MAX('Per Line'!$AO$2:$AO$4001),MATCH(ROWS($AA$2:$AA1222),'Per Line'!$AO$2:$AO$4001,0),"")</f>
        <v/>
      </c>
      <c r="AB1222" s="14">
        <f>IF($AA1222="","",L1222-K1222*Y1222/100)</f>
        <v/>
      </c>
    </row>
    <row r="1223">
      <c r="A1223" s="12" t="n"/>
      <c r="B1223">
        <f>IF($AA1223="","",INDEX('Per Line'!$E$2:$E$4001,$AA1223)&amp;"")</f>
        <v/>
      </c>
      <c r="C1223">
        <f>IF($AA1223="","",INDEX('Per Line'!$A$2:$A$4001,$AA1223)&amp;"")</f>
        <v/>
      </c>
      <c r="D1223">
        <f>IF($AA1223="","",INDEX('Per Line'!$D$2:$D$4001,$AA1223)&amp;"")</f>
        <v/>
      </c>
      <c r="E1223" s="11">
        <f>IF($AA1223="","",INDEX('Per Line'!$G$2:$G$4001,$AA1223))</f>
        <v/>
      </c>
      <c r="F1223">
        <f>IF($AA1223="","",INDEX('Per Line'!$H$2:$H$4001,$AA1223)&amp;"")</f>
        <v/>
      </c>
      <c r="G1223">
        <f>IF($AA1223="","",INDEX('Per Line'!$I$2:$I$4001,$AA1223)&amp;"")</f>
        <v/>
      </c>
      <c r="H1223">
        <f>IF($AA1223="","",INDEX('Per Line'!$J$2:$J$4001,$AA1223)&amp;"")</f>
        <v/>
      </c>
      <c r="I1223">
        <f>IF($AA1223="","",INDEX('Per Line'!$K$2:$K$4001,$AA1223)&amp;"")</f>
        <v/>
      </c>
      <c r="J1223">
        <f>IF($AA1223="","",INDEX('Per Line'!$L$2:$L$4001,$AA1223)&amp;"")</f>
        <v/>
      </c>
      <c r="K1223">
        <f>IF($AA1223="","",INDEX('Per Line'!$P$2:$P$4001,$AA1223))</f>
        <v/>
      </c>
      <c r="L1223" s="7">
        <f>IF($AA1223="","",IF(AND(ISNUMBER(N1223),N1223&gt;0,Y1223&gt;N1223),K1223*N1223/100+(Y1223-N1223),K1223*Y1223/100))</f>
        <v/>
      </c>
      <c r="M1223">
        <f>IF($AA1223="","",INDEX('Per Line'!$Z$2:$Z$4001,$AA1223)&amp;"")</f>
        <v/>
      </c>
      <c r="N1223">
        <f>IF($AA1223="","",INDEX('Per Line'!$AG$2:$AG$4001,$AA1223))</f>
        <v/>
      </c>
      <c r="O1223">
        <f>IF($AA1223="","",IF(AND(ISNUMBER(N1223),N1223&gt;0),Y1223&gt;N1223,FALSE))</f>
        <v/>
      </c>
      <c r="P1223" s="7">
        <f>IF($AA1223="","",SUMIFS('Per Line'!$Y$2:$Y$4001,'Per Line'!$E$2:$E$4001,$B1223,'Per Line'!$AQ$2:$AQ$4001,1))</f>
        <v/>
      </c>
      <c r="Q1223">
        <f>IF($AA1223="","",Settings!$C$7)</f>
        <v/>
      </c>
      <c r="R1223" s="7">
        <f>IF($AA1223="","",SUMIFS('Per Line'!$Y$2:$Y$4001,'Per Line'!$E$2:$E$4001,$B1223,'Per Line'!$AP$2:$AP$4001,0,'Per Line'!$AQ$2:$AQ$4001,0))</f>
        <v/>
      </c>
      <c r="S1223" s="7">
        <f>IF($AA1223="","",R1223*Q1223)</f>
        <v/>
      </c>
      <c r="T1223">
        <f>IF($AA1223="","",Settings!$C$6)</f>
        <v/>
      </c>
      <c r="U1223" s="7">
        <f>IF($AA1223="","",SUMIFS('Per Line'!$Y$2:$Y$4001,'Per Line'!$E$2:$E$4001,$B1223,'Per Line'!$AP$2:$AP$4001,1,'Per Line'!$AQ$2:$AQ$4001,0))</f>
        <v/>
      </c>
      <c r="V1223" s="7">
        <f>IF($AA1223="","",U1223*T1223)</f>
        <v/>
      </c>
      <c r="W1223" s="7">
        <f>IF($AA1223="","",V1223+S1223)</f>
        <v/>
      </c>
      <c r="X1223" s="7">
        <f>IF($AA1223="","",Y1223-W1223)</f>
        <v/>
      </c>
      <c r="Y1223" s="7">
        <f>IF($AA1223="","",R1223+U1223+P1223)</f>
        <v/>
      </c>
      <c r="Z1223" s="7">
        <f>IF($AA1223="","",Y1223-W1223-L1223)</f>
        <v/>
      </c>
      <c r="AA1223" s="13">
        <f>IF(ROWS($AA$2:$AA1223)&lt;=MAX('Per Line'!$AO$2:$AO$4001),MATCH(ROWS($AA$2:$AA1223),'Per Line'!$AO$2:$AO$4001,0),"")</f>
        <v/>
      </c>
      <c r="AB1223" s="14">
        <f>IF($AA1223="","",L1223-K1223*Y1223/100)</f>
        <v/>
      </c>
    </row>
    <row r="1224">
      <c r="A1224" s="12" t="n"/>
      <c r="B1224">
        <f>IF($AA1224="","",INDEX('Per Line'!$E$2:$E$4001,$AA1224)&amp;"")</f>
        <v/>
      </c>
      <c r="C1224">
        <f>IF($AA1224="","",INDEX('Per Line'!$A$2:$A$4001,$AA1224)&amp;"")</f>
        <v/>
      </c>
      <c r="D1224">
        <f>IF($AA1224="","",INDEX('Per Line'!$D$2:$D$4001,$AA1224)&amp;"")</f>
        <v/>
      </c>
      <c r="E1224" s="11">
        <f>IF($AA1224="","",INDEX('Per Line'!$G$2:$G$4001,$AA1224))</f>
        <v/>
      </c>
      <c r="F1224">
        <f>IF($AA1224="","",INDEX('Per Line'!$H$2:$H$4001,$AA1224)&amp;"")</f>
        <v/>
      </c>
      <c r="G1224">
        <f>IF($AA1224="","",INDEX('Per Line'!$I$2:$I$4001,$AA1224)&amp;"")</f>
        <v/>
      </c>
      <c r="H1224">
        <f>IF($AA1224="","",INDEX('Per Line'!$J$2:$J$4001,$AA1224)&amp;"")</f>
        <v/>
      </c>
      <c r="I1224">
        <f>IF($AA1224="","",INDEX('Per Line'!$K$2:$K$4001,$AA1224)&amp;"")</f>
        <v/>
      </c>
      <c r="J1224">
        <f>IF($AA1224="","",INDEX('Per Line'!$L$2:$L$4001,$AA1224)&amp;"")</f>
        <v/>
      </c>
      <c r="K1224">
        <f>IF($AA1224="","",INDEX('Per Line'!$P$2:$P$4001,$AA1224))</f>
        <v/>
      </c>
      <c r="L1224" s="7">
        <f>IF($AA1224="","",IF(AND(ISNUMBER(N1224),N1224&gt;0,Y1224&gt;N1224),K1224*N1224/100+(Y1224-N1224),K1224*Y1224/100))</f>
        <v/>
      </c>
      <c r="M1224">
        <f>IF($AA1224="","",INDEX('Per Line'!$Z$2:$Z$4001,$AA1224)&amp;"")</f>
        <v/>
      </c>
      <c r="N1224">
        <f>IF($AA1224="","",INDEX('Per Line'!$AG$2:$AG$4001,$AA1224))</f>
        <v/>
      </c>
      <c r="O1224">
        <f>IF($AA1224="","",IF(AND(ISNUMBER(N1224),N1224&gt;0),Y1224&gt;N1224,FALSE))</f>
        <v/>
      </c>
      <c r="P1224" s="7">
        <f>IF($AA1224="","",SUMIFS('Per Line'!$Y$2:$Y$4001,'Per Line'!$E$2:$E$4001,$B1224,'Per Line'!$AQ$2:$AQ$4001,1))</f>
        <v/>
      </c>
      <c r="Q1224">
        <f>IF($AA1224="","",Settings!$C$7)</f>
        <v/>
      </c>
      <c r="R1224" s="7">
        <f>IF($AA1224="","",SUMIFS('Per Line'!$Y$2:$Y$4001,'Per Line'!$E$2:$E$4001,$B1224,'Per Line'!$AP$2:$AP$4001,0,'Per Line'!$AQ$2:$AQ$4001,0))</f>
        <v/>
      </c>
      <c r="S1224" s="7">
        <f>IF($AA1224="","",R1224*Q1224)</f>
        <v/>
      </c>
      <c r="T1224">
        <f>IF($AA1224="","",Settings!$C$6)</f>
        <v/>
      </c>
      <c r="U1224" s="7">
        <f>IF($AA1224="","",SUMIFS('Per Line'!$Y$2:$Y$4001,'Per Line'!$E$2:$E$4001,$B1224,'Per Line'!$AP$2:$AP$4001,1,'Per Line'!$AQ$2:$AQ$4001,0))</f>
        <v/>
      </c>
      <c r="V1224" s="7">
        <f>IF($AA1224="","",U1224*T1224)</f>
        <v/>
      </c>
      <c r="W1224" s="7">
        <f>IF($AA1224="","",V1224+S1224)</f>
        <v/>
      </c>
      <c r="X1224" s="7">
        <f>IF($AA1224="","",Y1224-W1224)</f>
        <v/>
      </c>
      <c r="Y1224" s="7">
        <f>IF($AA1224="","",R1224+U1224+P1224)</f>
        <v/>
      </c>
      <c r="Z1224" s="7">
        <f>IF($AA1224="","",Y1224-W1224-L1224)</f>
        <v/>
      </c>
      <c r="AA1224" s="13">
        <f>IF(ROWS($AA$2:$AA1224)&lt;=MAX('Per Line'!$AO$2:$AO$4001),MATCH(ROWS($AA$2:$AA1224),'Per Line'!$AO$2:$AO$4001,0),"")</f>
        <v/>
      </c>
      <c r="AB1224" s="14">
        <f>IF($AA1224="","",L1224-K1224*Y1224/100)</f>
        <v/>
      </c>
    </row>
    <row r="1225">
      <c r="A1225" s="12" t="n"/>
      <c r="B1225">
        <f>IF($AA1225="","",INDEX('Per Line'!$E$2:$E$4001,$AA1225)&amp;"")</f>
        <v/>
      </c>
      <c r="C1225">
        <f>IF($AA1225="","",INDEX('Per Line'!$A$2:$A$4001,$AA1225)&amp;"")</f>
        <v/>
      </c>
      <c r="D1225">
        <f>IF($AA1225="","",INDEX('Per Line'!$D$2:$D$4001,$AA1225)&amp;"")</f>
        <v/>
      </c>
      <c r="E1225" s="11">
        <f>IF($AA1225="","",INDEX('Per Line'!$G$2:$G$4001,$AA1225))</f>
        <v/>
      </c>
      <c r="F1225">
        <f>IF($AA1225="","",INDEX('Per Line'!$H$2:$H$4001,$AA1225)&amp;"")</f>
        <v/>
      </c>
      <c r="G1225">
        <f>IF($AA1225="","",INDEX('Per Line'!$I$2:$I$4001,$AA1225)&amp;"")</f>
        <v/>
      </c>
      <c r="H1225">
        <f>IF($AA1225="","",INDEX('Per Line'!$J$2:$J$4001,$AA1225)&amp;"")</f>
        <v/>
      </c>
      <c r="I1225">
        <f>IF($AA1225="","",INDEX('Per Line'!$K$2:$K$4001,$AA1225)&amp;"")</f>
        <v/>
      </c>
      <c r="J1225">
        <f>IF($AA1225="","",INDEX('Per Line'!$L$2:$L$4001,$AA1225)&amp;"")</f>
        <v/>
      </c>
      <c r="K1225">
        <f>IF($AA1225="","",INDEX('Per Line'!$P$2:$P$4001,$AA1225))</f>
        <v/>
      </c>
      <c r="L1225" s="7">
        <f>IF($AA1225="","",IF(AND(ISNUMBER(N1225),N1225&gt;0,Y1225&gt;N1225),K1225*N1225/100+(Y1225-N1225),K1225*Y1225/100))</f>
        <v/>
      </c>
      <c r="M1225">
        <f>IF($AA1225="","",INDEX('Per Line'!$Z$2:$Z$4001,$AA1225)&amp;"")</f>
        <v/>
      </c>
      <c r="N1225">
        <f>IF($AA1225="","",INDEX('Per Line'!$AG$2:$AG$4001,$AA1225))</f>
        <v/>
      </c>
      <c r="O1225">
        <f>IF($AA1225="","",IF(AND(ISNUMBER(N1225),N1225&gt;0),Y1225&gt;N1225,FALSE))</f>
        <v/>
      </c>
      <c r="P1225" s="7">
        <f>IF($AA1225="","",SUMIFS('Per Line'!$Y$2:$Y$4001,'Per Line'!$E$2:$E$4001,$B1225,'Per Line'!$AQ$2:$AQ$4001,1))</f>
        <v/>
      </c>
      <c r="Q1225">
        <f>IF($AA1225="","",Settings!$C$7)</f>
        <v/>
      </c>
      <c r="R1225" s="7">
        <f>IF($AA1225="","",SUMIFS('Per Line'!$Y$2:$Y$4001,'Per Line'!$E$2:$E$4001,$B1225,'Per Line'!$AP$2:$AP$4001,0,'Per Line'!$AQ$2:$AQ$4001,0))</f>
        <v/>
      </c>
      <c r="S1225" s="7">
        <f>IF($AA1225="","",R1225*Q1225)</f>
        <v/>
      </c>
      <c r="T1225">
        <f>IF($AA1225="","",Settings!$C$6)</f>
        <v/>
      </c>
      <c r="U1225" s="7">
        <f>IF($AA1225="","",SUMIFS('Per Line'!$Y$2:$Y$4001,'Per Line'!$E$2:$E$4001,$B1225,'Per Line'!$AP$2:$AP$4001,1,'Per Line'!$AQ$2:$AQ$4001,0))</f>
        <v/>
      </c>
      <c r="V1225" s="7">
        <f>IF($AA1225="","",U1225*T1225)</f>
        <v/>
      </c>
      <c r="W1225" s="7">
        <f>IF($AA1225="","",V1225+S1225)</f>
        <v/>
      </c>
      <c r="X1225" s="7">
        <f>IF($AA1225="","",Y1225-W1225)</f>
        <v/>
      </c>
      <c r="Y1225" s="7">
        <f>IF($AA1225="","",R1225+U1225+P1225)</f>
        <v/>
      </c>
      <c r="Z1225" s="7">
        <f>IF($AA1225="","",Y1225-W1225-L1225)</f>
        <v/>
      </c>
      <c r="AA1225" s="13">
        <f>IF(ROWS($AA$2:$AA1225)&lt;=MAX('Per Line'!$AO$2:$AO$4001),MATCH(ROWS($AA$2:$AA1225),'Per Line'!$AO$2:$AO$4001,0),"")</f>
        <v/>
      </c>
      <c r="AB1225" s="14">
        <f>IF($AA1225="","",L1225-K1225*Y1225/100)</f>
        <v/>
      </c>
    </row>
    <row r="1226">
      <c r="A1226" s="12" t="n"/>
      <c r="B1226">
        <f>IF($AA1226="","",INDEX('Per Line'!$E$2:$E$4001,$AA1226)&amp;"")</f>
        <v/>
      </c>
      <c r="C1226">
        <f>IF($AA1226="","",INDEX('Per Line'!$A$2:$A$4001,$AA1226)&amp;"")</f>
        <v/>
      </c>
      <c r="D1226">
        <f>IF($AA1226="","",INDEX('Per Line'!$D$2:$D$4001,$AA1226)&amp;"")</f>
        <v/>
      </c>
      <c r="E1226" s="11">
        <f>IF($AA1226="","",INDEX('Per Line'!$G$2:$G$4001,$AA1226))</f>
        <v/>
      </c>
      <c r="F1226">
        <f>IF($AA1226="","",INDEX('Per Line'!$H$2:$H$4001,$AA1226)&amp;"")</f>
        <v/>
      </c>
      <c r="G1226">
        <f>IF($AA1226="","",INDEX('Per Line'!$I$2:$I$4001,$AA1226)&amp;"")</f>
        <v/>
      </c>
      <c r="H1226">
        <f>IF($AA1226="","",INDEX('Per Line'!$J$2:$J$4001,$AA1226)&amp;"")</f>
        <v/>
      </c>
      <c r="I1226">
        <f>IF($AA1226="","",INDEX('Per Line'!$K$2:$K$4001,$AA1226)&amp;"")</f>
        <v/>
      </c>
      <c r="J1226">
        <f>IF($AA1226="","",INDEX('Per Line'!$L$2:$L$4001,$AA1226)&amp;"")</f>
        <v/>
      </c>
      <c r="K1226">
        <f>IF($AA1226="","",INDEX('Per Line'!$P$2:$P$4001,$AA1226))</f>
        <v/>
      </c>
      <c r="L1226" s="7">
        <f>IF($AA1226="","",IF(AND(ISNUMBER(N1226),N1226&gt;0,Y1226&gt;N1226),K1226*N1226/100+(Y1226-N1226),K1226*Y1226/100))</f>
        <v/>
      </c>
      <c r="M1226">
        <f>IF($AA1226="","",INDEX('Per Line'!$Z$2:$Z$4001,$AA1226)&amp;"")</f>
        <v/>
      </c>
      <c r="N1226">
        <f>IF($AA1226="","",INDEX('Per Line'!$AG$2:$AG$4001,$AA1226))</f>
        <v/>
      </c>
      <c r="O1226">
        <f>IF($AA1226="","",IF(AND(ISNUMBER(N1226),N1226&gt;0),Y1226&gt;N1226,FALSE))</f>
        <v/>
      </c>
      <c r="P1226" s="7">
        <f>IF($AA1226="","",SUMIFS('Per Line'!$Y$2:$Y$4001,'Per Line'!$E$2:$E$4001,$B1226,'Per Line'!$AQ$2:$AQ$4001,1))</f>
        <v/>
      </c>
      <c r="Q1226">
        <f>IF($AA1226="","",Settings!$C$7)</f>
        <v/>
      </c>
      <c r="R1226" s="7">
        <f>IF($AA1226="","",SUMIFS('Per Line'!$Y$2:$Y$4001,'Per Line'!$E$2:$E$4001,$B1226,'Per Line'!$AP$2:$AP$4001,0,'Per Line'!$AQ$2:$AQ$4001,0))</f>
        <v/>
      </c>
      <c r="S1226" s="7">
        <f>IF($AA1226="","",R1226*Q1226)</f>
        <v/>
      </c>
      <c r="T1226">
        <f>IF($AA1226="","",Settings!$C$6)</f>
        <v/>
      </c>
      <c r="U1226" s="7">
        <f>IF($AA1226="","",SUMIFS('Per Line'!$Y$2:$Y$4001,'Per Line'!$E$2:$E$4001,$B1226,'Per Line'!$AP$2:$AP$4001,1,'Per Line'!$AQ$2:$AQ$4001,0))</f>
        <v/>
      </c>
      <c r="V1226" s="7">
        <f>IF($AA1226="","",U1226*T1226)</f>
        <v/>
      </c>
      <c r="W1226" s="7">
        <f>IF($AA1226="","",V1226+S1226)</f>
        <v/>
      </c>
      <c r="X1226" s="7">
        <f>IF($AA1226="","",Y1226-W1226)</f>
        <v/>
      </c>
      <c r="Y1226" s="7">
        <f>IF($AA1226="","",R1226+U1226+P1226)</f>
        <v/>
      </c>
      <c r="Z1226" s="7">
        <f>IF($AA1226="","",Y1226-W1226-L1226)</f>
        <v/>
      </c>
      <c r="AA1226" s="13">
        <f>IF(ROWS($AA$2:$AA1226)&lt;=MAX('Per Line'!$AO$2:$AO$4001),MATCH(ROWS($AA$2:$AA1226),'Per Line'!$AO$2:$AO$4001,0),"")</f>
        <v/>
      </c>
      <c r="AB1226" s="14">
        <f>IF($AA1226="","",L1226-K1226*Y1226/100)</f>
        <v/>
      </c>
    </row>
    <row r="1227">
      <c r="A1227" s="12" t="n"/>
      <c r="B1227">
        <f>IF($AA1227="","",INDEX('Per Line'!$E$2:$E$4001,$AA1227)&amp;"")</f>
        <v/>
      </c>
      <c r="C1227">
        <f>IF($AA1227="","",INDEX('Per Line'!$A$2:$A$4001,$AA1227)&amp;"")</f>
        <v/>
      </c>
      <c r="D1227">
        <f>IF($AA1227="","",INDEX('Per Line'!$D$2:$D$4001,$AA1227)&amp;"")</f>
        <v/>
      </c>
      <c r="E1227" s="11">
        <f>IF($AA1227="","",INDEX('Per Line'!$G$2:$G$4001,$AA1227))</f>
        <v/>
      </c>
      <c r="F1227">
        <f>IF($AA1227="","",INDEX('Per Line'!$H$2:$H$4001,$AA1227)&amp;"")</f>
        <v/>
      </c>
      <c r="G1227">
        <f>IF($AA1227="","",INDEX('Per Line'!$I$2:$I$4001,$AA1227)&amp;"")</f>
        <v/>
      </c>
      <c r="H1227">
        <f>IF($AA1227="","",INDEX('Per Line'!$J$2:$J$4001,$AA1227)&amp;"")</f>
        <v/>
      </c>
      <c r="I1227">
        <f>IF($AA1227="","",INDEX('Per Line'!$K$2:$K$4001,$AA1227)&amp;"")</f>
        <v/>
      </c>
      <c r="J1227">
        <f>IF($AA1227="","",INDEX('Per Line'!$L$2:$L$4001,$AA1227)&amp;"")</f>
        <v/>
      </c>
      <c r="K1227">
        <f>IF($AA1227="","",INDEX('Per Line'!$P$2:$P$4001,$AA1227))</f>
        <v/>
      </c>
      <c r="L1227" s="7">
        <f>IF($AA1227="","",IF(AND(ISNUMBER(N1227),N1227&gt;0,Y1227&gt;N1227),K1227*N1227/100+(Y1227-N1227),K1227*Y1227/100))</f>
        <v/>
      </c>
      <c r="M1227">
        <f>IF($AA1227="","",INDEX('Per Line'!$Z$2:$Z$4001,$AA1227)&amp;"")</f>
        <v/>
      </c>
      <c r="N1227">
        <f>IF($AA1227="","",INDEX('Per Line'!$AG$2:$AG$4001,$AA1227))</f>
        <v/>
      </c>
      <c r="O1227">
        <f>IF($AA1227="","",IF(AND(ISNUMBER(N1227),N1227&gt;0),Y1227&gt;N1227,FALSE))</f>
        <v/>
      </c>
      <c r="P1227" s="7">
        <f>IF($AA1227="","",SUMIFS('Per Line'!$Y$2:$Y$4001,'Per Line'!$E$2:$E$4001,$B1227,'Per Line'!$AQ$2:$AQ$4001,1))</f>
        <v/>
      </c>
      <c r="Q1227">
        <f>IF($AA1227="","",Settings!$C$7)</f>
        <v/>
      </c>
      <c r="R1227" s="7">
        <f>IF($AA1227="","",SUMIFS('Per Line'!$Y$2:$Y$4001,'Per Line'!$E$2:$E$4001,$B1227,'Per Line'!$AP$2:$AP$4001,0,'Per Line'!$AQ$2:$AQ$4001,0))</f>
        <v/>
      </c>
      <c r="S1227" s="7">
        <f>IF($AA1227="","",R1227*Q1227)</f>
        <v/>
      </c>
      <c r="T1227">
        <f>IF($AA1227="","",Settings!$C$6)</f>
        <v/>
      </c>
      <c r="U1227" s="7">
        <f>IF($AA1227="","",SUMIFS('Per Line'!$Y$2:$Y$4001,'Per Line'!$E$2:$E$4001,$B1227,'Per Line'!$AP$2:$AP$4001,1,'Per Line'!$AQ$2:$AQ$4001,0))</f>
        <v/>
      </c>
      <c r="V1227" s="7">
        <f>IF($AA1227="","",U1227*T1227)</f>
        <v/>
      </c>
      <c r="W1227" s="7">
        <f>IF($AA1227="","",V1227+S1227)</f>
        <v/>
      </c>
      <c r="X1227" s="7">
        <f>IF($AA1227="","",Y1227-W1227)</f>
        <v/>
      </c>
      <c r="Y1227" s="7">
        <f>IF($AA1227="","",R1227+U1227+P1227)</f>
        <v/>
      </c>
      <c r="Z1227" s="7">
        <f>IF($AA1227="","",Y1227-W1227-L1227)</f>
        <v/>
      </c>
      <c r="AA1227" s="13">
        <f>IF(ROWS($AA$2:$AA1227)&lt;=MAX('Per Line'!$AO$2:$AO$4001),MATCH(ROWS($AA$2:$AA1227),'Per Line'!$AO$2:$AO$4001,0),"")</f>
        <v/>
      </c>
      <c r="AB1227" s="14">
        <f>IF($AA1227="","",L1227-K1227*Y1227/100)</f>
        <v/>
      </c>
    </row>
    <row r="1228">
      <c r="A1228" s="12" t="n"/>
      <c r="B1228">
        <f>IF($AA1228="","",INDEX('Per Line'!$E$2:$E$4001,$AA1228)&amp;"")</f>
        <v/>
      </c>
      <c r="C1228">
        <f>IF($AA1228="","",INDEX('Per Line'!$A$2:$A$4001,$AA1228)&amp;"")</f>
        <v/>
      </c>
      <c r="D1228">
        <f>IF($AA1228="","",INDEX('Per Line'!$D$2:$D$4001,$AA1228)&amp;"")</f>
        <v/>
      </c>
      <c r="E1228" s="11">
        <f>IF($AA1228="","",INDEX('Per Line'!$G$2:$G$4001,$AA1228))</f>
        <v/>
      </c>
      <c r="F1228">
        <f>IF($AA1228="","",INDEX('Per Line'!$H$2:$H$4001,$AA1228)&amp;"")</f>
        <v/>
      </c>
      <c r="G1228">
        <f>IF($AA1228="","",INDEX('Per Line'!$I$2:$I$4001,$AA1228)&amp;"")</f>
        <v/>
      </c>
      <c r="H1228">
        <f>IF($AA1228="","",INDEX('Per Line'!$J$2:$J$4001,$AA1228)&amp;"")</f>
        <v/>
      </c>
      <c r="I1228">
        <f>IF($AA1228="","",INDEX('Per Line'!$K$2:$K$4001,$AA1228)&amp;"")</f>
        <v/>
      </c>
      <c r="J1228">
        <f>IF($AA1228="","",INDEX('Per Line'!$L$2:$L$4001,$AA1228)&amp;"")</f>
        <v/>
      </c>
      <c r="K1228">
        <f>IF($AA1228="","",INDEX('Per Line'!$P$2:$P$4001,$AA1228))</f>
        <v/>
      </c>
      <c r="L1228" s="7">
        <f>IF($AA1228="","",IF(AND(ISNUMBER(N1228),N1228&gt;0,Y1228&gt;N1228),K1228*N1228/100+(Y1228-N1228),K1228*Y1228/100))</f>
        <v/>
      </c>
      <c r="M1228">
        <f>IF($AA1228="","",INDEX('Per Line'!$Z$2:$Z$4001,$AA1228)&amp;"")</f>
        <v/>
      </c>
      <c r="N1228">
        <f>IF($AA1228="","",INDEX('Per Line'!$AG$2:$AG$4001,$AA1228))</f>
        <v/>
      </c>
      <c r="O1228">
        <f>IF($AA1228="","",IF(AND(ISNUMBER(N1228),N1228&gt;0),Y1228&gt;N1228,FALSE))</f>
        <v/>
      </c>
      <c r="P1228" s="7">
        <f>IF($AA1228="","",SUMIFS('Per Line'!$Y$2:$Y$4001,'Per Line'!$E$2:$E$4001,$B1228,'Per Line'!$AQ$2:$AQ$4001,1))</f>
        <v/>
      </c>
      <c r="Q1228">
        <f>IF($AA1228="","",Settings!$C$7)</f>
        <v/>
      </c>
      <c r="R1228" s="7">
        <f>IF($AA1228="","",SUMIFS('Per Line'!$Y$2:$Y$4001,'Per Line'!$E$2:$E$4001,$B1228,'Per Line'!$AP$2:$AP$4001,0,'Per Line'!$AQ$2:$AQ$4001,0))</f>
        <v/>
      </c>
      <c r="S1228" s="7">
        <f>IF($AA1228="","",R1228*Q1228)</f>
        <v/>
      </c>
      <c r="T1228">
        <f>IF($AA1228="","",Settings!$C$6)</f>
        <v/>
      </c>
      <c r="U1228" s="7">
        <f>IF($AA1228="","",SUMIFS('Per Line'!$Y$2:$Y$4001,'Per Line'!$E$2:$E$4001,$B1228,'Per Line'!$AP$2:$AP$4001,1,'Per Line'!$AQ$2:$AQ$4001,0))</f>
        <v/>
      </c>
      <c r="V1228" s="7">
        <f>IF($AA1228="","",U1228*T1228)</f>
        <v/>
      </c>
      <c r="W1228" s="7">
        <f>IF($AA1228="","",V1228+S1228)</f>
        <v/>
      </c>
      <c r="X1228" s="7">
        <f>IF($AA1228="","",Y1228-W1228)</f>
        <v/>
      </c>
      <c r="Y1228" s="7">
        <f>IF($AA1228="","",R1228+U1228+P1228)</f>
        <v/>
      </c>
      <c r="Z1228" s="7">
        <f>IF($AA1228="","",Y1228-W1228-L1228)</f>
        <v/>
      </c>
      <c r="AA1228" s="13">
        <f>IF(ROWS($AA$2:$AA1228)&lt;=MAX('Per Line'!$AO$2:$AO$4001),MATCH(ROWS($AA$2:$AA1228),'Per Line'!$AO$2:$AO$4001,0),"")</f>
        <v/>
      </c>
      <c r="AB1228" s="14">
        <f>IF($AA1228="","",L1228-K1228*Y1228/100)</f>
        <v/>
      </c>
    </row>
    <row r="1229">
      <c r="A1229" s="12" t="n"/>
      <c r="B1229">
        <f>IF($AA1229="","",INDEX('Per Line'!$E$2:$E$4001,$AA1229)&amp;"")</f>
        <v/>
      </c>
      <c r="C1229">
        <f>IF($AA1229="","",INDEX('Per Line'!$A$2:$A$4001,$AA1229)&amp;"")</f>
        <v/>
      </c>
      <c r="D1229">
        <f>IF($AA1229="","",INDEX('Per Line'!$D$2:$D$4001,$AA1229)&amp;"")</f>
        <v/>
      </c>
      <c r="E1229" s="11">
        <f>IF($AA1229="","",INDEX('Per Line'!$G$2:$G$4001,$AA1229))</f>
        <v/>
      </c>
      <c r="F1229">
        <f>IF($AA1229="","",INDEX('Per Line'!$H$2:$H$4001,$AA1229)&amp;"")</f>
        <v/>
      </c>
      <c r="G1229">
        <f>IF($AA1229="","",INDEX('Per Line'!$I$2:$I$4001,$AA1229)&amp;"")</f>
        <v/>
      </c>
      <c r="H1229">
        <f>IF($AA1229="","",INDEX('Per Line'!$J$2:$J$4001,$AA1229)&amp;"")</f>
        <v/>
      </c>
      <c r="I1229">
        <f>IF($AA1229="","",INDEX('Per Line'!$K$2:$K$4001,$AA1229)&amp;"")</f>
        <v/>
      </c>
      <c r="J1229">
        <f>IF($AA1229="","",INDEX('Per Line'!$L$2:$L$4001,$AA1229)&amp;"")</f>
        <v/>
      </c>
      <c r="K1229">
        <f>IF($AA1229="","",INDEX('Per Line'!$P$2:$P$4001,$AA1229))</f>
        <v/>
      </c>
      <c r="L1229" s="7">
        <f>IF($AA1229="","",IF(AND(ISNUMBER(N1229),N1229&gt;0,Y1229&gt;N1229),K1229*N1229/100+(Y1229-N1229),K1229*Y1229/100))</f>
        <v/>
      </c>
      <c r="M1229">
        <f>IF($AA1229="","",INDEX('Per Line'!$Z$2:$Z$4001,$AA1229)&amp;"")</f>
        <v/>
      </c>
      <c r="N1229">
        <f>IF($AA1229="","",INDEX('Per Line'!$AG$2:$AG$4001,$AA1229))</f>
        <v/>
      </c>
      <c r="O1229">
        <f>IF($AA1229="","",IF(AND(ISNUMBER(N1229),N1229&gt;0),Y1229&gt;N1229,FALSE))</f>
        <v/>
      </c>
      <c r="P1229" s="7">
        <f>IF($AA1229="","",SUMIFS('Per Line'!$Y$2:$Y$4001,'Per Line'!$E$2:$E$4001,$B1229,'Per Line'!$AQ$2:$AQ$4001,1))</f>
        <v/>
      </c>
      <c r="Q1229">
        <f>IF($AA1229="","",Settings!$C$7)</f>
        <v/>
      </c>
      <c r="R1229" s="7">
        <f>IF($AA1229="","",SUMIFS('Per Line'!$Y$2:$Y$4001,'Per Line'!$E$2:$E$4001,$B1229,'Per Line'!$AP$2:$AP$4001,0,'Per Line'!$AQ$2:$AQ$4001,0))</f>
        <v/>
      </c>
      <c r="S1229" s="7">
        <f>IF($AA1229="","",R1229*Q1229)</f>
        <v/>
      </c>
      <c r="T1229">
        <f>IF($AA1229="","",Settings!$C$6)</f>
        <v/>
      </c>
      <c r="U1229" s="7">
        <f>IF($AA1229="","",SUMIFS('Per Line'!$Y$2:$Y$4001,'Per Line'!$E$2:$E$4001,$B1229,'Per Line'!$AP$2:$AP$4001,1,'Per Line'!$AQ$2:$AQ$4001,0))</f>
        <v/>
      </c>
      <c r="V1229" s="7">
        <f>IF($AA1229="","",U1229*T1229)</f>
        <v/>
      </c>
      <c r="W1229" s="7">
        <f>IF($AA1229="","",V1229+S1229)</f>
        <v/>
      </c>
      <c r="X1229" s="7">
        <f>IF($AA1229="","",Y1229-W1229)</f>
        <v/>
      </c>
      <c r="Y1229" s="7">
        <f>IF($AA1229="","",R1229+U1229+P1229)</f>
        <v/>
      </c>
      <c r="Z1229" s="7">
        <f>IF($AA1229="","",Y1229-W1229-L1229)</f>
        <v/>
      </c>
      <c r="AA1229" s="13">
        <f>IF(ROWS($AA$2:$AA1229)&lt;=MAX('Per Line'!$AO$2:$AO$4001),MATCH(ROWS($AA$2:$AA1229),'Per Line'!$AO$2:$AO$4001,0),"")</f>
        <v/>
      </c>
      <c r="AB1229" s="14">
        <f>IF($AA1229="","",L1229-K1229*Y1229/100)</f>
        <v/>
      </c>
    </row>
    <row r="1230">
      <c r="A1230" s="12" t="n"/>
      <c r="B1230">
        <f>IF($AA1230="","",INDEX('Per Line'!$E$2:$E$4001,$AA1230)&amp;"")</f>
        <v/>
      </c>
      <c r="C1230">
        <f>IF($AA1230="","",INDEX('Per Line'!$A$2:$A$4001,$AA1230)&amp;"")</f>
        <v/>
      </c>
      <c r="D1230">
        <f>IF($AA1230="","",INDEX('Per Line'!$D$2:$D$4001,$AA1230)&amp;"")</f>
        <v/>
      </c>
      <c r="E1230" s="11">
        <f>IF($AA1230="","",INDEX('Per Line'!$G$2:$G$4001,$AA1230))</f>
        <v/>
      </c>
      <c r="F1230">
        <f>IF($AA1230="","",INDEX('Per Line'!$H$2:$H$4001,$AA1230)&amp;"")</f>
        <v/>
      </c>
      <c r="G1230">
        <f>IF($AA1230="","",INDEX('Per Line'!$I$2:$I$4001,$AA1230)&amp;"")</f>
        <v/>
      </c>
      <c r="H1230">
        <f>IF($AA1230="","",INDEX('Per Line'!$J$2:$J$4001,$AA1230)&amp;"")</f>
        <v/>
      </c>
      <c r="I1230">
        <f>IF($AA1230="","",INDEX('Per Line'!$K$2:$K$4001,$AA1230)&amp;"")</f>
        <v/>
      </c>
      <c r="J1230">
        <f>IF($AA1230="","",INDEX('Per Line'!$L$2:$L$4001,$AA1230)&amp;"")</f>
        <v/>
      </c>
      <c r="K1230">
        <f>IF($AA1230="","",INDEX('Per Line'!$P$2:$P$4001,$AA1230))</f>
        <v/>
      </c>
      <c r="L1230" s="7">
        <f>IF($AA1230="","",IF(AND(ISNUMBER(N1230),N1230&gt;0,Y1230&gt;N1230),K1230*N1230/100+(Y1230-N1230),K1230*Y1230/100))</f>
        <v/>
      </c>
      <c r="M1230">
        <f>IF($AA1230="","",INDEX('Per Line'!$Z$2:$Z$4001,$AA1230)&amp;"")</f>
        <v/>
      </c>
      <c r="N1230">
        <f>IF($AA1230="","",INDEX('Per Line'!$AG$2:$AG$4001,$AA1230))</f>
        <v/>
      </c>
      <c r="O1230">
        <f>IF($AA1230="","",IF(AND(ISNUMBER(N1230),N1230&gt;0),Y1230&gt;N1230,FALSE))</f>
        <v/>
      </c>
      <c r="P1230" s="7">
        <f>IF($AA1230="","",SUMIFS('Per Line'!$Y$2:$Y$4001,'Per Line'!$E$2:$E$4001,$B1230,'Per Line'!$AQ$2:$AQ$4001,1))</f>
        <v/>
      </c>
      <c r="Q1230">
        <f>IF($AA1230="","",Settings!$C$7)</f>
        <v/>
      </c>
      <c r="R1230" s="7">
        <f>IF($AA1230="","",SUMIFS('Per Line'!$Y$2:$Y$4001,'Per Line'!$E$2:$E$4001,$B1230,'Per Line'!$AP$2:$AP$4001,0,'Per Line'!$AQ$2:$AQ$4001,0))</f>
        <v/>
      </c>
      <c r="S1230" s="7">
        <f>IF($AA1230="","",R1230*Q1230)</f>
        <v/>
      </c>
      <c r="T1230">
        <f>IF($AA1230="","",Settings!$C$6)</f>
        <v/>
      </c>
      <c r="U1230" s="7">
        <f>IF($AA1230="","",SUMIFS('Per Line'!$Y$2:$Y$4001,'Per Line'!$E$2:$E$4001,$B1230,'Per Line'!$AP$2:$AP$4001,1,'Per Line'!$AQ$2:$AQ$4001,0))</f>
        <v/>
      </c>
      <c r="V1230" s="7">
        <f>IF($AA1230="","",U1230*T1230)</f>
        <v/>
      </c>
      <c r="W1230" s="7">
        <f>IF($AA1230="","",V1230+S1230)</f>
        <v/>
      </c>
      <c r="X1230" s="7">
        <f>IF($AA1230="","",Y1230-W1230)</f>
        <v/>
      </c>
      <c r="Y1230" s="7">
        <f>IF($AA1230="","",R1230+U1230+P1230)</f>
        <v/>
      </c>
      <c r="Z1230" s="7">
        <f>IF($AA1230="","",Y1230-W1230-L1230)</f>
        <v/>
      </c>
      <c r="AA1230" s="13">
        <f>IF(ROWS($AA$2:$AA1230)&lt;=MAX('Per Line'!$AO$2:$AO$4001),MATCH(ROWS($AA$2:$AA1230),'Per Line'!$AO$2:$AO$4001,0),"")</f>
        <v/>
      </c>
      <c r="AB1230" s="14">
        <f>IF($AA1230="","",L1230-K1230*Y1230/100)</f>
        <v/>
      </c>
    </row>
    <row r="1231">
      <c r="A1231" s="12" t="n"/>
      <c r="B1231">
        <f>IF($AA1231="","",INDEX('Per Line'!$E$2:$E$4001,$AA1231)&amp;"")</f>
        <v/>
      </c>
      <c r="C1231">
        <f>IF($AA1231="","",INDEX('Per Line'!$A$2:$A$4001,$AA1231)&amp;"")</f>
        <v/>
      </c>
      <c r="D1231">
        <f>IF($AA1231="","",INDEX('Per Line'!$D$2:$D$4001,$AA1231)&amp;"")</f>
        <v/>
      </c>
      <c r="E1231" s="11">
        <f>IF($AA1231="","",INDEX('Per Line'!$G$2:$G$4001,$AA1231))</f>
        <v/>
      </c>
      <c r="F1231">
        <f>IF($AA1231="","",INDEX('Per Line'!$H$2:$H$4001,$AA1231)&amp;"")</f>
        <v/>
      </c>
      <c r="G1231">
        <f>IF($AA1231="","",INDEX('Per Line'!$I$2:$I$4001,$AA1231)&amp;"")</f>
        <v/>
      </c>
      <c r="H1231">
        <f>IF($AA1231="","",INDEX('Per Line'!$J$2:$J$4001,$AA1231)&amp;"")</f>
        <v/>
      </c>
      <c r="I1231">
        <f>IF($AA1231="","",INDEX('Per Line'!$K$2:$K$4001,$AA1231)&amp;"")</f>
        <v/>
      </c>
      <c r="J1231">
        <f>IF($AA1231="","",INDEX('Per Line'!$L$2:$L$4001,$AA1231)&amp;"")</f>
        <v/>
      </c>
      <c r="K1231">
        <f>IF($AA1231="","",INDEX('Per Line'!$P$2:$P$4001,$AA1231))</f>
        <v/>
      </c>
      <c r="L1231" s="7">
        <f>IF($AA1231="","",IF(AND(ISNUMBER(N1231),N1231&gt;0,Y1231&gt;N1231),K1231*N1231/100+(Y1231-N1231),K1231*Y1231/100))</f>
        <v/>
      </c>
      <c r="M1231">
        <f>IF($AA1231="","",INDEX('Per Line'!$Z$2:$Z$4001,$AA1231)&amp;"")</f>
        <v/>
      </c>
      <c r="N1231">
        <f>IF($AA1231="","",INDEX('Per Line'!$AG$2:$AG$4001,$AA1231))</f>
        <v/>
      </c>
      <c r="O1231">
        <f>IF($AA1231="","",IF(AND(ISNUMBER(N1231),N1231&gt;0),Y1231&gt;N1231,FALSE))</f>
        <v/>
      </c>
      <c r="P1231" s="7">
        <f>IF($AA1231="","",SUMIFS('Per Line'!$Y$2:$Y$4001,'Per Line'!$E$2:$E$4001,$B1231,'Per Line'!$AQ$2:$AQ$4001,1))</f>
        <v/>
      </c>
      <c r="Q1231">
        <f>IF($AA1231="","",Settings!$C$7)</f>
        <v/>
      </c>
      <c r="R1231" s="7">
        <f>IF($AA1231="","",SUMIFS('Per Line'!$Y$2:$Y$4001,'Per Line'!$E$2:$E$4001,$B1231,'Per Line'!$AP$2:$AP$4001,0,'Per Line'!$AQ$2:$AQ$4001,0))</f>
        <v/>
      </c>
      <c r="S1231" s="7">
        <f>IF($AA1231="","",R1231*Q1231)</f>
        <v/>
      </c>
      <c r="T1231">
        <f>IF($AA1231="","",Settings!$C$6)</f>
        <v/>
      </c>
      <c r="U1231" s="7">
        <f>IF($AA1231="","",SUMIFS('Per Line'!$Y$2:$Y$4001,'Per Line'!$E$2:$E$4001,$B1231,'Per Line'!$AP$2:$AP$4001,1,'Per Line'!$AQ$2:$AQ$4001,0))</f>
        <v/>
      </c>
      <c r="V1231" s="7">
        <f>IF($AA1231="","",U1231*T1231)</f>
        <v/>
      </c>
      <c r="W1231" s="7">
        <f>IF($AA1231="","",V1231+S1231)</f>
        <v/>
      </c>
      <c r="X1231" s="7">
        <f>IF($AA1231="","",Y1231-W1231)</f>
        <v/>
      </c>
      <c r="Y1231" s="7">
        <f>IF($AA1231="","",R1231+U1231+P1231)</f>
        <v/>
      </c>
      <c r="Z1231" s="7">
        <f>IF($AA1231="","",Y1231-W1231-L1231)</f>
        <v/>
      </c>
      <c r="AA1231" s="13">
        <f>IF(ROWS($AA$2:$AA1231)&lt;=MAX('Per Line'!$AO$2:$AO$4001),MATCH(ROWS($AA$2:$AA1231),'Per Line'!$AO$2:$AO$4001,0),"")</f>
        <v/>
      </c>
      <c r="AB1231" s="14">
        <f>IF($AA1231="","",L1231-K1231*Y1231/100)</f>
        <v/>
      </c>
    </row>
    <row r="1232">
      <c r="A1232" s="12" t="n"/>
      <c r="B1232">
        <f>IF($AA1232="","",INDEX('Per Line'!$E$2:$E$4001,$AA1232)&amp;"")</f>
        <v/>
      </c>
      <c r="C1232">
        <f>IF($AA1232="","",INDEX('Per Line'!$A$2:$A$4001,$AA1232)&amp;"")</f>
        <v/>
      </c>
      <c r="D1232">
        <f>IF($AA1232="","",INDEX('Per Line'!$D$2:$D$4001,$AA1232)&amp;"")</f>
        <v/>
      </c>
      <c r="E1232" s="11">
        <f>IF($AA1232="","",INDEX('Per Line'!$G$2:$G$4001,$AA1232))</f>
        <v/>
      </c>
      <c r="F1232">
        <f>IF($AA1232="","",INDEX('Per Line'!$H$2:$H$4001,$AA1232)&amp;"")</f>
        <v/>
      </c>
      <c r="G1232">
        <f>IF($AA1232="","",INDEX('Per Line'!$I$2:$I$4001,$AA1232)&amp;"")</f>
        <v/>
      </c>
      <c r="H1232">
        <f>IF($AA1232="","",INDEX('Per Line'!$J$2:$J$4001,$AA1232)&amp;"")</f>
        <v/>
      </c>
      <c r="I1232">
        <f>IF($AA1232="","",INDEX('Per Line'!$K$2:$K$4001,$AA1232)&amp;"")</f>
        <v/>
      </c>
      <c r="J1232">
        <f>IF($AA1232="","",INDEX('Per Line'!$L$2:$L$4001,$AA1232)&amp;"")</f>
        <v/>
      </c>
      <c r="K1232">
        <f>IF($AA1232="","",INDEX('Per Line'!$P$2:$P$4001,$AA1232))</f>
        <v/>
      </c>
      <c r="L1232" s="7">
        <f>IF($AA1232="","",IF(AND(ISNUMBER(N1232),N1232&gt;0,Y1232&gt;N1232),K1232*N1232/100+(Y1232-N1232),K1232*Y1232/100))</f>
        <v/>
      </c>
      <c r="M1232">
        <f>IF($AA1232="","",INDEX('Per Line'!$Z$2:$Z$4001,$AA1232)&amp;"")</f>
        <v/>
      </c>
      <c r="N1232">
        <f>IF($AA1232="","",INDEX('Per Line'!$AG$2:$AG$4001,$AA1232))</f>
        <v/>
      </c>
      <c r="O1232">
        <f>IF($AA1232="","",IF(AND(ISNUMBER(N1232),N1232&gt;0),Y1232&gt;N1232,FALSE))</f>
        <v/>
      </c>
      <c r="P1232" s="7">
        <f>IF($AA1232="","",SUMIFS('Per Line'!$Y$2:$Y$4001,'Per Line'!$E$2:$E$4001,$B1232,'Per Line'!$AQ$2:$AQ$4001,1))</f>
        <v/>
      </c>
      <c r="Q1232">
        <f>IF($AA1232="","",Settings!$C$7)</f>
        <v/>
      </c>
      <c r="R1232" s="7">
        <f>IF($AA1232="","",SUMIFS('Per Line'!$Y$2:$Y$4001,'Per Line'!$E$2:$E$4001,$B1232,'Per Line'!$AP$2:$AP$4001,0,'Per Line'!$AQ$2:$AQ$4001,0))</f>
        <v/>
      </c>
      <c r="S1232" s="7">
        <f>IF($AA1232="","",R1232*Q1232)</f>
        <v/>
      </c>
      <c r="T1232">
        <f>IF($AA1232="","",Settings!$C$6)</f>
        <v/>
      </c>
      <c r="U1232" s="7">
        <f>IF($AA1232="","",SUMIFS('Per Line'!$Y$2:$Y$4001,'Per Line'!$E$2:$E$4001,$B1232,'Per Line'!$AP$2:$AP$4001,1,'Per Line'!$AQ$2:$AQ$4001,0))</f>
        <v/>
      </c>
      <c r="V1232" s="7">
        <f>IF($AA1232="","",U1232*T1232)</f>
        <v/>
      </c>
      <c r="W1232" s="7">
        <f>IF($AA1232="","",V1232+S1232)</f>
        <v/>
      </c>
      <c r="X1232" s="7">
        <f>IF($AA1232="","",Y1232-W1232)</f>
        <v/>
      </c>
      <c r="Y1232" s="7">
        <f>IF($AA1232="","",R1232+U1232+P1232)</f>
        <v/>
      </c>
      <c r="Z1232" s="7">
        <f>IF($AA1232="","",Y1232-W1232-L1232)</f>
        <v/>
      </c>
      <c r="AA1232" s="13">
        <f>IF(ROWS($AA$2:$AA1232)&lt;=MAX('Per Line'!$AO$2:$AO$4001),MATCH(ROWS($AA$2:$AA1232),'Per Line'!$AO$2:$AO$4001,0),"")</f>
        <v/>
      </c>
      <c r="AB1232" s="14">
        <f>IF($AA1232="","",L1232-K1232*Y1232/100)</f>
        <v/>
      </c>
    </row>
    <row r="1233">
      <c r="A1233" s="12" t="n"/>
      <c r="B1233">
        <f>IF($AA1233="","",INDEX('Per Line'!$E$2:$E$4001,$AA1233)&amp;"")</f>
        <v/>
      </c>
      <c r="C1233">
        <f>IF($AA1233="","",INDEX('Per Line'!$A$2:$A$4001,$AA1233)&amp;"")</f>
        <v/>
      </c>
      <c r="D1233">
        <f>IF($AA1233="","",INDEX('Per Line'!$D$2:$D$4001,$AA1233)&amp;"")</f>
        <v/>
      </c>
      <c r="E1233" s="11">
        <f>IF($AA1233="","",INDEX('Per Line'!$G$2:$G$4001,$AA1233))</f>
        <v/>
      </c>
      <c r="F1233">
        <f>IF($AA1233="","",INDEX('Per Line'!$H$2:$H$4001,$AA1233)&amp;"")</f>
        <v/>
      </c>
      <c r="G1233">
        <f>IF($AA1233="","",INDEX('Per Line'!$I$2:$I$4001,$AA1233)&amp;"")</f>
        <v/>
      </c>
      <c r="H1233">
        <f>IF($AA1233="","",INDEX('Per Line'!$J$2:$J$4001,$AA1233)&amp;"")</f>
        <v/>
      </c>
      <c r="I1233">
        <f>IF($AA1233="","",INDEX('Per Line'!$K$2:$K$4001,$AA1233)&amp;"")</f>
        <v/>
      </c>
      <c r="J1233">
        <f>IF($AA1233="","",INDEX('Per Line'!$L$2:$L$4001,$AA1233)&amp;"")</f>
        <v/>
      </c>
      <c r="K1233">
        <f>IF($AA1233="","",INDEX('Per Line'!$P$2:$P$4001,$AA1233))</f>
        <v/>
      </c>
      <c r="L1233" s="7">
        <f>IF($AA1233="","",IF(AND(ISNUMBER(N1233),N1233&gt;0,Y1233&gt;N1233),K1233*N1233/100+(Y1233-N1233),K1233*Y1233/100))</f>
        <v/>
      </c>
      <c r="M1233">
        <f>IF($AA1233="","",INDEX('Per Line'!$Z$2:$Z$4001,$AA1233)&amp;"")</f>
        <v/>
      </c>
      <c r="N1233">
        <f>IF($AA1233="","",INDEX('Per Line'!$AG$2:$AG$4001,$AA1233))</f>
        <v/>
      </c>
      <c r="O1233">
        <f>IF($AA1233="","",IF(AND(ISNUMBER(N1233),N1233&gt;0),Y1233&gt;N1233,FALSE))</f>
        <v/>
      </c>
      <c r="P1233" s="7">
        <f>IF($AA1233="","",SUMIFS('Per Line'!$Y$2:$Y$4001,'Per Line'!$E$2:$E$4001,$B1233,'Per Line'!$AQ$2:$AQ$4001,1))</f>
        <v/>
      </c>
      <c r="Q1233">
        <f>IF($AA1233="","",Settings!$C$7)</f>
        <v/>
      </c>
      <c r="R1233" s="7">
        <f>IF($AA1233="","",SUMIFS('Per Line'!$Y$2:$Y$4001,'Per Line'!$E$2:$E$4001,$B1233,'Per Line'!$AP$2:$AP$4001,0,'Per Line'!$AQ$2:$AQ$4001,0))</f>
        <v/>
      </c>
      <c r="S1233" s="7">
        <f>IF($AA1233="","",R1233*Q1233)</f>
        <v/>
      </c>
      <c r="T1233">
        <f>IF($AA1233="","",Settings!$C$6)</f>
        <v/>
      </c>
      <c r="U1233" s="7">
        <f>IF($AA1233="","",SUMIFS('Per Line'!$Y$2:$Y$4001,'Per Line'!$E$2:$E$4001,$B1233,'Per Line'!$AP$2:$AP$4001,1,'Per Line'!$AQ$2:$AQ$4001,0))</f>
        <v/>
      </c>
      <c r="V1233" s="7">
        <f>IF($AA1233="","",U1233*T1233)</f>
        <v/>
      </c>
      <c r="W1233" s="7">
        <f>IF($AA1233="","",V1233+S1233)</f>
        <v/>
      </c>
      <c r="X1233" s="7">
        <f>IF($AA1233="","",Y1233-W1233)</f>
        <v/>
      </c>
      <c r="Y1233" s="7">
        <f>IF($AA1233="","",R1233+U1233+P1233)</f>
        <v/>
      </c>
      <c r="Z1233" s="7">
        <f>IF($AA1233="","",Y1233-W1233-L1233)</f>
        <v/>
      </c>
      <c r="AA1233" s="13">
        <f>IF(ROWS($AA$2:$AA1233)&lt;=MAX('Per Line'!$AO$2:$AO$4001),MATCH(ROWS($AA$2:$AA1233),'Per Line'!$AO$2:$AO$4001,0),"")</f>
        <v/>
      </c>
      <c r="AB1233" s="14">
        <f>IF($AA1233="","",L1233-K1233*Y1233/100)</f>
        <v/>
      </c>
    </row>
    <row r="1234">
      <c r="A1234" s="12" t="n"/>
      <c r="B1234">
        <f>IF($AA1234="","",INDEX('Per Line'!$E$2:$E$4001,$AA1234)&amp;"")</f>
        <v/>
      </c>
      <c r="C1234">
        <f>IF($AA1234="","",INDEX('Per Line'!$A$2:$A$4001,$AA1234)&amp;"")</f>
        <v/>
      </c>
      <c r="D1234">
        <f>IF($AA1234="","",INDEX('Per Line'!$D$2:$D$4001,$AA1234)&amp;"")</f>
        <v/>
      </c>
      <c r="E1234" s="11">
        <f>IF($AA1234="","",INDEX('Per Line'!$G$2:$G$4001,$AA1234))</f>
        <v/>
      </c>
      <c r="F1234">
        <f>IF($AA1234="","",INDEX('Per Line'!$H$2:$H$4001,$AA1234)&amp;"")</f>
        <v/>
      </c>
      <c r="G1234">
        <f>IF($AA1234="","",INDEX('Per Line'!$I$2:$I$4001,$AA1234)&amp;"")</f>
        <v/>
      </c>
      <c r="H1234">
        <f>IF($AA1234="","",INDEX('Per Line'!$J$2:$J$4001,$AA1234)&amp;"")</f>
        <v/>
      </c>
      <c r="I1234">
        <f>IF($AA1234="","",INDEX('Per Line'!$K$2:$K$4001,$AA1234)&amp;"")</f>
        <v/>
      </c>
      <c r="J1234">
        <f>IF($AA1234="","",INDEX('Per Line'!$L$2:$L$4001,$AA1234)&amp;"")</f>
        <v/>
      </c>
      <c r="K1234">
        <f>IF($AA1234="","",INDEX('Per Line'!$P$2:$P$4001,$AA1234))</f>
        <v/>
      </c>
      <c r="L1234" s="7">
        <f>IF($AA1234="","",IF(AND(ISNUMBER(N1234),N1234&gt;0,Y1234&gt;N1234),K1234*N1234/100+(Y1234-N1234),K1234*Y1234/100))</f>
        <v/>
      </c>
      <c r="M1234">
        <f>IF($AA1234="","",INDEX('Per Line'!$Z$2:$Z$4001,$AA1234)&amp;"")</f>
        <v/>
      </c>
      <c r="N1234">
        <f>IF($AA1234="","",INDEX('Per Line'!$AG$2:$AG$4001,$AA1234))</f>
        <v/>
      </c>
      <c r="O1234">
        <f>IF($AA1234="","",IF(AND(ISNUMBER(N1234),N1234&gt;0),Y1234&gt;N1234,FALSE))</f>
        <v/>
      </c>
      <c r="P1234" s="7">
        <f>IF($AA1234="","",SUMIFS('Per Line'!$Y$2:$Y$4001,'Per Line'!$E$2:$E$4001,$B1234,'Per Line'!$AQ$2:$AQ$4001,1))</f>
        <v/>
      </c>
      <c r="Q1234">
        <f>IF($AA1234="","",Settings!$C$7)</f>
        <v/>
      </c>
      <c r="R1234" s="7">
        <f>IF($AA1234="","",SUMIFS('Per Line'!$Y$2:$Y$4001,'Per Line'!$E$2:$E$4001,$B1234,'Per Line'!$AP$2:$AP$4001,0,'Per Line'!$AQ$2:$AQ$4001,0))</f>
        <v/>
      </c>
      <c r="S1234" s="7">
        <f>IF($AA1234="","",R1234*Q1234)</f>
        <v/>
      </c>
      <c r="T1234">
        <f>IF($AA1234="","",Settings!$C$6)</f>
        <v/>
      </c>
      <c r="U1234" s="7">
        <f>IF($AA1234="","",SUMIFS('Per Line'!$Y$2:$Y$4001,'Per Line'!$E$2:$E$4001,$B1234,'Per Line'!$AP$2:$AP$4001,1,'Per Line'!$AQ$2:$AQ$4001,0))</f>
        <v/>
      </c>
      <c r="V1234" s="7">
        <f>IF($AA1234="","",U1234*T1234)</f>
        <v/>
      </c>
      <c r="W1234" s="7">
        <f>IF($AA1234="","",V1234+S1234)</f>
        <v/>
      </c>
      <c r="X1234" s="7">
        <f>IF($AA1234="","",Y1234-W1234)</f>
        <v/>
      </c>
      <c r="Y1234" s="7">
        <f>IF($AA1234="","",R1234+U1234+P1234)</f>
        <v/>
      </c>
      <c r="Z1234" s="7">
        <f>IF($AA1234="","",Y1234-W1234-L1234)</f>
        <v/>
      </c>
      <c r="AA1234" s="13">
        <f>IF(ROWS($AA$2:$AA1234)&lt;=MAX('Per Line'!$AO$2:$AO$4001),MATCH(ROWS($AA$2:$AA1234),'Per Line'!$AO$2:$AO$4001,0),"")</f>
        <v/>
      </c>
      <c r="AB1234" s="14">
        <f>IF($AA1234="","",L1234-K1234*Y1234/100)</f>
        <v/>
      </c>
    </row>
    <row r="1235">
      <c r="A1235" s="12" t="n"/>
      <c r="B1235">
        <f>IF($AA1235="","",INDEX('Per Line'!$E$2:$E$4001,$AA1235)&amp;"")</f>
        <v/>
      </c>
      <c r="C1235">
        <f>IF($AA1235="","",INDEX('Per Line'!$A$2:$A$4001,$AA1235)&amp;"")</f>
        <v/>
      </c>
      <c r="D1235">
        <f>IF($AA1235="","",INDEX('Per Line'!$D$2:$D$4001,$AA1235)&amp;"")</f>
        <v/>
      </c>
      <c r="E1235" s="11">
        <f>IF($AA1235="","",INDEX('Per Line'!$G$2:$G$4001,$AA1235))</f>
        <v/>
      </c>
      <c r="F1235">
        <f>IF($AA1235="","",INDEX('Per Line'!$H$2:$H$4001,$AA1235)&amp;"")</f>
        <v/>
      </c>
      <c r="G1235">
        <f>IF($AA1235="","",INDEX('Per Line'!$I$2:$I$4001,$AA1235)&amp;"")</f>
        <v/>
      </c>
      <c r="H1235">
        <f>IF($AA1235="","",INDEX('Per Line'!$J$2:$J$4001,$AA1235)&amp;"")</f>
        <v/>
      </c>
      <c r="I1235">
        <f>IF($AA1235="","",INDEX('Per Line'!$K$2:$K$4001,$AA1235)&amp;"")</f>
        <v/>
      </c>
      <c r="J1235">
        <f>IF($AA1235="","",INDEX('Per Line'!$L$2:$L$4001,$AA1235)&amp;"")</f>
        <v/>
      </c>
      <c r="K1235">
        <f>IF($AA1235="","",INDEX('Per Line'!$P$2:$P$4001,$AA1235))</f>
        <v/>
      </c>
      <c r="L1235" s="7">
        <f>IF($AA1235="","",IF(AND(ISNUMBER(N1235),N1235&gt;0,Y1235&gt;N1235),K1235*N1235/100+(Y1235-N1235),K1235*Y1235/100))</f>
        <v/>
      </c>
      <c r="M1235">
        <f>IF($AA1235="","",INDEX('Per Line'!$Z$2:$Z$4001,$AA1235)&amp;"")</f>
        <v/>
      </c>
      <c r="N1235">
        <f>IF($AA1235="","",INDEX('Per Line'!$AG$2:$AG$4001,$AA1235))</f>
        <v/>
      </c>
      <c r="O1235">
        <f>IF($AA1235="","",IF(AND(ISNUMBER(N1235),N1235&gt;0),Y1235&gt;N1235,FALSE))</f>
        <v/>
      </c>
      <c r="P1235" s="7">
        <f>IF($AA1235="","",SUMIFS('Per Line'!$Y$2:$Y$4001,'Per Line'!$E$2:$E$4001,$B1235,'Per Line'!$AQ$2:$AQ$4001,1))</f>
        <v/>
      </c>
      <c r="Q1235">
        <f>IF($AA1235="","",Settings!$C$7)</f>
        <v/>
      </c>
      <c r="R1235" s="7">
        <f>IF($AA1235="","",SUMIFS('Per Line'!$Y$2:$Y$4001,'Per Line'!$E$2:$E$4001,$B1235,'Per Line'!$AP$2:$AP$4001,0,'Per Line'!$AQ$2:$AQ$4001,0))</f>
        <v/>
      </c>
      <c r="S1235" s="7">
        <f>IF($AA1235="","",R1235*Q1235)</f>
        <v/>
      </c>
      <c r="T1235">
        <f>IF($AA1235="","",Settings!$C$6)</f>
        <v/>
      </c>
      <c r="U1235" s="7">
        <f>IF($AA1235="","",SUMIFS('Per Line'!$Y$2:$Y$4001,'Per Line'!$E$2:$E$4001,$B1235,'Per Line'!$AP$2:$AP$4001,1,'Per Line'!$AQ$2:$AQ$4001,0))</f>
        <v/>
      </c>
      <c r="V1235" s="7">
        <f>IF($AA1235="","",U1235*T1235)</f>
        <v/>
      </c>
      <c r="W1235" s="7">
        <f>IF($AA1235="","",V1235+S1235)</f>
        <v/>
      </c>
      <c r="X1235" s="7">
        <f>IF($AA1235="","",Y1235-W1235)</f>
        <v/>
      </c>
      <c r="Y1235" s="7">
        <f>IF($AA1235="","",R1235+U1235+P1235)</f>
        <v/>
      </c>
      <c r="Z1235" s="7">
        <f>IF($AA1235="","",Y1235-W1235-L1235)</f>
        <v/>
      </c>
      <c r="AA1235" s="13">
        <f>IF(ROWS($AA$2:$AA1235)&lt;=MAX('Per Line'!$AO$2:$AO$4001),MATCH(ROWS($AA$2:$AA1235),'Per Line'!$AO$2:$AO$4001,0),"")</f>
        <v/>
      </c>
      <c r="AB1235" s="14">
        <f>IF($AA1235="","",L1235-K1235*Y1235/100)</f>
        <v/>
      </c>
    </row>
    <row r="1236">
      <c r="A1236" s="12" t="n"/>
      <c r="B1236">
        <f>IF($AA1236="","",INDEX('Per Line'!$E$2:$E$4001,$AA1236)&amp;"")</f>
        <v/>
      </c>
      <c r="C1236">
        <f>IF($AA1236="","",INDEX('Per Line'!$A$2:$A$4001,$AA1236)&amp;"")</f>
        <v/>
      </c>
      <c r="D1236">
        <f>IF($AA1236="","",INDEX('Per Line'!$D$2:$D$4001,$AA1236)&amp;"")</f>
        <v/>
      </c>
      <c r="E1236" s="11">
        <f>IF($AA1236="","",INDEX('Per Line'!$G$2:$G$4001,$AA1236))</f>
        <v/>
      </c>
      <c r="F1236">
        <f>IF($AA1236="","",INDEX('Per Line'!$H$2:$H$4001,$AA1236)&amp;"")</f>
        <v/>
      </c>
      <c r="G1236">
        <f>IF($AA1236="","",INDEX('Per Line'!$I$2:$I$4001,$AA1236)&amp;"")</f>
        <v/>
      </c>
      <c r="H1236">
        <f>IF($AA1236="","",INDEX('Per Line'!$J$2:$J$4001,$AA1236)&amp;"")</f>
        <v/>
      </c>
      <c r="I1236">
        <f>IF($AA1236="","",INDEX('Per Line'!$K$2:$K$4001,$AA1236)&amp;"")</f>
        <v/>
      </c>
      <c r="J1236">
        <f>IF($AA1236="","",INDEX('Per Line'!$L$2:$L$4001,$AA1236)&amp;"")</f>
        <v/>
      </c>
      <c r="K1236">
        <f>IF($AA1236="","",INDEX('Per Line'!$P$2:$P$4001,$AA1236))</f>
        <v/>
      </c>
      <c r="L1236" s="7">
        <f>IF($AA1236="","",IF(AND(ISNUMBER(N1236),N1236&gt;0,Y1236&gt;N1236),K1236*N1236/100+(Y1236-N1236),K1236*Y1236/100))</f>
        <v/>
      </c>
      <c r="M1236">
        <f>IF($AA1236="","",INDEX('Per Line'!$Z$2:$Z$4001,$AA1236)&amp;"")</f>
        <v/>
      </c>
      <c r="N1236">
        <f>IF($AA1236="","",INDEX('Per Line'!$AG$2:$AG$4001,$AA1236))</f>
        <v/>
      </c>
      <c r="O1236">
        <f>IF($AA1236="","",IF(AND(ISNUMBER(N1236),N1236&gt;0),Y1236&gt;N1236,FALSE))</f>
        <v/>
      </c>
      <c r="P1236" s="7">
        <f>IF($AA1236="","",SUMIFS('Per Line'!$Y$2:$Y$4001,'Per Line'!$E$2:$E$4001,$B1236,'Per Line'!$AQ$2:$AQ$4001,1))</f>
        <v/>
      </c>
      <c r="Q1236">
        <f>IF($AA1236="","",Settings!$C$7)</f>
        <v/>
      </c>
      <c r="R1236" s="7">
        <f>IF($AA1236="","",SUMIFS('Per Line'!$Y$2:$Y$4001,'Per Line'!$E$2:$E$4001,$B1236,'Per Line'!$AP$2:$AP$4001,0,'Per Line'!$AQ$2:$AQ$4001,0))</f>
        <v/>
      </c>
      <c r="S1236" s="7">
        <f>IF($AA1236="","",R1236*Q1236)</f>
        <v/>
      </c>
      <c r="T1236">
        <f>IF($AA1236="","",Settings!$C$6)</f>
        <v/>
      </c>
      <c r="U1236" s="7">
        <f>IF($AA1236="","",SUMIFS('Per Line'!$Y$2:$Y$4001,'Per Line'!$E$2:$E$4001,$B1236,'Per Line'!$AP$2:$AP$4001,1,'Per Line'!$AQ$2:$AQ$4001,0))</f>
        <v/>
      </c>
      <c r="V1236" s="7">
        <f>IF($AA1236="","",U1236*T1236)</f>
        <v/>
      </c>
      <c r="W1236" s="7">
        <f>IF($AA1236="","",V1236+S1236)</f>
        <v/>
      </c>
      <c r="X1236" s="7">
        <f>IF($AA1236="","",Y1236-W1236)</f>
        <v/>
      </c>
      <c r="Y1236" s="7">
        <f>IF($AA1236="","",R1236+U1236+P1236)</f>
        <v/>
      </c>
      <c r="Z1236" s="7">
        <f>IF($AA1236="","",Y1236-W1236-L1236)</f>
        <v/>
      </c>
      <c r="AA1236" s="13">
        <f>IF(ROWS($AA$2:$AA1236)&lt;=MAX('Per Line'!$AO$2:$AO$4001),MATCH(ROWS($AA$2:$AA1236),'Per Line'!$AO$2:$AO$4001,0),"")</f>
        <v/>
      </c>
      <c r="AB1236" s="14">
        <f>IF($AA1236="","",L1236-K1236*Y1236/100)</f>
        <v/>
      </c>
    </row>
    <row r="1237">
      <c r="A1237" s="12" t="n"/>
      <c r="B1237">
        <f>IF($AA1237="","",INDEX('Per Line'!$E$2:$E$4001,$AA1237)&amp;"")</f>
        <v/>
      </c>
      <c r="C1237">
        <f>IF($AA1237="","",INDEX('Per Line'!$A$2:$A$4001,$AA1237)&amp;"")</f>
        <v/>
      </c>
      <c r="D1237">
        <f>IF($AA1237="","",INDEX('Per Line'!$D$2:$D$4001,$AA1237)&amp;"")</f>
        <v/>
      </c>
      <c r="E1237" s="11">
        <f>IF($AA1237="","",INDEX('Per Line'!$G$2:$G$4001,$AA1237))</f>
        <v/>
      </c>
      <c r="F1237">
        <f>IF($AA1237="","",INDEX('Per Line'!$H$2:$H$4001,$AA1237)&amp;"")</f>
        <v/>
      </c>
      <c r="G1237">
        <f>IF($AA1237="","",INDEX('Per Line'!$I$2:$I$4001,$AA1237)&amp;"")</f>
        <v/>
      </c>
      <c r="H1237">
        <f>IF($AA1237="","",INDEX('Per Line'!$J$2:$J$4001,$AA1237)&amp;"")</f>
        <v/>
      </c>
      <c r="I1237">
        <f>IF($AA1237="","",INDEX('Per Line'!$K$2:$K$4001,$AA1237)&amp;"")</f>
        <v/>
      </c>
      <c r="J1237">
        <f>IF($AA1237="","",INDEX('Per Line'!$L$2:$L$4001,$AA1237)&amp;"")</f>
        <v/>
      </c>
      <c r="K1237">
        <f>IF($AA1237="","",INDEX('Per Line'!$P$2:$P$4001,$AA1237))</f>
        <v/>
      </c>
      <c r="L1237" s="7">
        <f>IF($AA1237="","",IF(AND(ISNUMBER(N1237),N1237&gt;0,Y1237&gt;N1237),K1237*N1237/100+(Y1237-N1237),K1237*Y1237/100))</f>
        <v/>
      </c>
      <c r="M1237">
        <f>IF($AA1237="","",INDEX('Per Line'!$Z$2:$Z$4001,$AA1237)&amp;"")</f>
        <v/>
      </c>
      <c r="N1237">
        <f>IF($AA1237="","",INDEX('Per Line'!$AG$2:$AG$4001,$AA1237))</f>
        <v/>
      </c>
      <c r="O1237">
        <f>IF($AA1237="","",IF(AND(ISNUMBER(N1237),N1237&gt;0),Y1237&gt;N1237,FALSE))</f>
        <v/>
      </c>
      <c r="P1237" s="7">
        <f>IF($AA1237="","",SUMIFS('Per Line'!$Y$2:$Y$4001,'Per Line'!$E$2:$E$4001,$B1237,'Per Line'!$AQ$2:$AQ$4001,1))</f>
        <v/>
      </c>
      <c r="Q1237">
        <f>IF($AA1237="","",Settings!$C$7)</f>
        <v/>
      </c>
      <c r="R1237" s="7">
        <f>IF($AA1237="","",SUMIFS('Per Line'!$Y$2:$Y$4001,'Per Line'!$E$2:$E$4001,$B1237,'Per Line'!$AP$2:$AP$4001,0,'Per Line'!$AQ$2:$AQ$4001,0))</f>
        <v/>
      </c>
      <c r="S1237" s="7">
        <f>IF($AA1237="","",R1237*Q1237)</f>
        <v/>
      </c>
      <c r="T1237">
        <f>IF($AA1237="","",Settings!$C$6)</f>
        <v/>
      </c>
      <c r="U1237" s="7">
        <f>IF($AA1237="","",SUMIFS('Per Line'!$Y$2:$Y$4001,'Per Line'!$E$2:$E$4001,$B1237,'Per Line'!$AP$2:$AP$4001,1,'Per Line'!$AQ$2:$AQ$4001,0))</f>
        <v/>
      </c>
      <c r="V1237" s="7">
        <f>IF($AA1237="","",U1237*T1237)</f>
        <v/>
      </c>
      <c r="W1237" s="7">
        <f>IF($AA1237="","",V1237+S1237)</f>
        <v/>
      </c>
      <c r="X1237" s="7">
        <f>IF($AA1237="","",Y1237-W1237)</f>
        <v/>
      </c>
      <c r="Y1237" s="7">
        <f>IF($AA1237="","",R1237+U1237+P1237)</f>
        <v/>
      </c>
      <c r="Z1237" s="7">
        <f>IF($AA1237="","",Y1237-W1237-L1237)</f>
        <v/>
      </c>
      <c r="AA1237" s="13">
        <f>IF(ROWS($AA$2:$AA1237)&lt;=MAX('Per Line'!$AO$2:$AO$4001),MATCH(ROWS($AA$2:$AA1237),'Per Line'!$AO$2:$AO$4001,0),"")</f>
        <v/>
      </c>
      <c r="AB1237" s="14">
        <f>IF($AA1237="","",L1237-K1237*Y1237/100)</f>
        <v/>
      </c>
    </row>
    <row r="1238">
      <c r="A1238" s="12" t="n"/>
      <c r="B1238">
        <f>IF($AA1238="","",INDEX('Per Line'!$E$2:$E$4001,$AA1238)&amp;"")</f>
        <v/>
      </c>
      <c r="C1238">
        <f>IF($AA1238="","",INDEX('Per Line'!$A$2:$A$4001,$AA1238)&amp;"")</f>
        <v/>
      </c>
      <c r="D1238">
        <f>IF($AA1238="","",INDEX('Per Line'!$D$2:$D$4001,$AA1238)&amp;"")</f>
        <v/>
      </c>
      <c r="E1238" s="11">
        <f>IF($AA1238="","",INDEX('Per Line'!$G$2:$G$4001,$AA1238))</f>
        <v/>
      </c>
      <c r="F1238">
        <f>IF($AA1238="","",INDEX('Per Line'!$H$2:$H$4001,$AA1238)&amp;"")</f>
        <v/>
      </c>
      <c r="G1238">
        <f>IF($AA1238="","",INDEX('Per Line'!$I$2:$I$4001,$AA1238)&amp;"")</f>
        <v/>
      </c>
      <c r="H1238">
        <f>IF($AA1238="","",INDEX('Per Line'!$J$2:$J$4001,$AA1238)&amp;"")</f>
        <v/>
      </c>
      <c r="I1238">
        <f>IF($AA1238="","",INDEX('Per Line'!$K$2:$K$4001,$AA1238)&amp;"")</f>
        <v/>
      </c>
      <c r="J1238">
        <f>IF($AA1238="","",INDEX('Per Line'!$L$2:$L$4001,$AA1238)&amp;"")</f>
        <v/>
      </c>
      <c r="K1238">
        <f>IF($AA1238="","",INDEX('Per Line'!$P$2:$P$4001,$AA1238))</f>
        <v/>
      </c>
      <c r="L1238" s="7">
        <f>IF($AA1238="","",IF(AND(ISNUMBER(N1238),N1238&gt;0,Y1238&gt;N1238),K1238*N1238/100+(Y1238-N1238),K1238*Y1238/100))</f>
        <v/>
      </c>
      <c r="M1238">
        <f>IF($AA1238="","",INDEX('Per Line'!$Z$2:$Z$4001,$AA1238)&amp;"")</f>
        <v/>
      </c>
      <c r="N1238">
        <f>IF($AA1238="","",INDEX('Per Line'!$AG$2:$AG$4001,$AA1238))</f>
        <v/>
      </c>
      <c r="O1238">
        <f>IF($AA1238="","",IF(AND(ISNUMBER(N1238),N1238&gt;0),Y1238&gt;N1238,FALSE))</f>
        <v/>
      </c>
      <c r="P1238" s="7">
        <f>IF($AA1238="","",SUMIFS('Per Line'!$Y$2:$Y$4001,'Per Line'!$E$2:$E$4001,$B1238,'Per Line'!$AQ$2:$AQ$4001,1))</f>
        <v/>
      </c>
      <c r="Q1238">
        <f>IF($AA1238="","",Settings!$C$7)</f>
        <v/>
      </c>
      <c r="R1238" s="7">
        <f>IF($AA1238="","",SUMIFS('Per Line'!$Y$2:$Y$4001,'Per Line'!$E$2:$E$4001,$B1238,'Per Line'!$AP$2:$AP$4001,0,'Per Line'!$AQ$2:$AQ$4001,0))</f>
        <v/>
      </c>
      <c r="S1238" s="7">
        <f>IF($AA1238="","",R1238*Q1238)</f>
        <v/>
      </c>
      <c r="T1238">
        <f>IF($AA1238="","",Settings!$C$6)</f>
        <v/>
      </c>
      <c r="U1238" s="7">
        <f>IF($AA1238="","",SUMIFS('Per Line'!$Y$2:$Y$4001,'Per Line'!$E$2:$E$4001,$B1238,'Per Line'!$AP$2:$AP$4001,1,'Per Line'!$AQ$2:$AQ$4001,0))</f>
        <v/>
      </c>
      <c r="V1238" s="7">
        <f>IF($AA1238="","",U1238*T1238)</f>
        <v/>
      </c>
      <c r="W1238" s="7">
        <f>IF($AA1238="","",V1238+S1238)</f>
        <v/>
      </c>
      <c r="X1238" s="7">
        <f>IF($AA1238="","",Y1238-W1238)</f>
        <v/>
      </c>
      <c r="Y1238" s="7">
        <f>IF($AA1238="","",R1238+U1238+P1238)</f>
        <v/>
      </c>
      <c r="Z1238" s="7">
        <f>IF($AA1238="","",Y1238-W1238-L1238)</f>
        <v/>
      </c>
      <c r="AA1238" s="13">
        <f>IF(ROWS($AA$2:$AA1238)&lt;=MAX('Per Line'!$AO$2:$AO$4001),MATCH(ROWS($AA$2:$AA1238),'Per Line'!$AO$2:$AO$4001,0),"")</f>
        <v/>
      </c>
      <c r="AB1238" s="14">
        <f>IF($AA1238="","",L1238-K1238*Y1238/100)</f>
        <v/>
      </c>
    </row>
    <row r="1239">
      <c r="A1239" s="12" t="n"/>
      <c r="B1239">
        <f>IF($AA1239="","",INDEX('Per Line'!$E$2:$E$4001,$AA1239)&amp;"")</f>
        <v/>
      </c>
      <c r="C1239">
        <f>IF($AA1239="","",INDEX('Per Line'!$A$2:$A$4001,$AA1239)&amp;"")</f>
        <v/>
      </c>
      <c r="D1239">
        <f>IF($AA1239="","",INDEX('Per Line'!$D$2:$D$4001,$AA1239)&amp;"")</f>
        <v/>
      </c>
      <c r="E1239" s="11">
        <f>IF($AA1239="","",INDEX('Per Line'!$G$2:$G$4001,$AA1239))</f>
        <v/>
      </c>
      <c r="F1239">
        <f>IF($AA1239="","",INDEX('Per Line'!$H$2:$H$4001,$AA1239)&amp;"")</f>
        <v/>
      </c>
      <c r="G1239">
        <f>IF($AA1239="","",INDEX('Per Line'!$I$2:$I$4001,$AA1239)&amp;"")</f>
        <v/>
      </c>
      <c r="H1239">
        <f>IF($AA1239="","",INDEX('Per Line'!$J$2:$J$4001,$AA1239)&amp;"")</f>
        <v/>
      </c>
      <c r="I1239">
        <f>IF($AA1239="","",INDEX('Per Line'!$K$2:$K$4001,$AA1239)&amp;"")</f>
        <v/>
      </c>
      <c r="J1239">
        <f>IF($AA1239="","",INDEX('Per Line'!$L$2:$L$4001,$AA1239)&amp;"")</f>
        <v/>
      </c>
      <c r="K1239">
        <f>IF($AA1239="","",INDEX('Per Line'!$P$2:$P$4001,$AA1239))</f>
        <v/>
      </c>
      <c r="L1239" s="7">
        <f>IF($AA1239="","",IF(AND(ISNUMBER(N1239),N1239&gt;0,Y1239&gt;N1239),K1239*N1239/100+(Y1239-N1239),K1239*Y1239/100))</f>
        <v/>
      </c>
      <c r="M1239">
        <f>IF($AA1239="","",INDEX('Per Line'!$Z$2:$Z$4001,$AA1239)&amp;"")</f>
        <v/>
      </c>
      <c r="N1239">
        <f>IF($AA1239="","",INDEX('Per Line'!$AG$2:$AG$4001,$AA1239))</f>
        <v/>
      </c>
      <c r="O1239">
        <f>IF($AA1239="","",IF(AND(ISNUMBER(N1239),N1239&gt;0),Y1239&gt;N1239,FALSE))</f>
        <v/>
      </c>
      <c r="P1239" s="7">
        <f>IF($AA1239="","",SUMIFS('Per Line'!$Y$2:$Y$4001,'Per Line'!$E$2:$E$4001,$B1239,'Per Line'!$AQ$2:$AQ$4001,1))</f>
        <v/>
      </c>
      <c r="Q1239">
        <f>IF($AA1239="","",Settings!$C$7)</f>
        <v/>
      </c>
      <c r="R1239" s="7">
        <f>IF($AA1239="","",SUMIFS('Per Line'!$Y$2:$Y$4001,'Per Line'!$E$2:$E$4001,$B1239,'Per Line'!$AP$2:$AP$4001,0,'Per Line'!$AQ$2:$AQ$4001,0))</f>
        <v/>
      </c>
      <c r="S1239" s="7">
        <f>IF($AA1239="","",R1239*Q1239)</f>
        <v/>
      </c>
      <c r="T1239">
        <f>IF($AA1239="","",Settings!$C$6)</f>
        <v/>
      </c>
      <c r="U1239" s="7">
        <f>IF($AA1239="","",SUMIFS('Per Line'!$Y$2:$Y$4001,'Per Line'!$E$2:$E$4001,$B1239,'Per Line'!$AP$2:$AP$4001,1,'Per Line'!$AQ$2:$AQ$4001,0))</f>
        <v/>
      </c>
      <c r="V1239" s="7">
        <f>IF($AA1239="","",U1239*T1239)</f>
        <v/>
      </c>
      <c r="W1239" s="7">
        <f>IF($AA1239="","",V1239+S1239)</f>
        <v/>
      </c>
      <c r="X1239" s="7">
        <f>IF($AA1239="","",Y1239-W1239)</f>
        <v/>
      </c>
      <c r="Y1239" s="7">
        <f>IF($AA1239="","",R1239+U1239+P1239)</f>
        <v/>
      </c>
      <c r="Z1239" s="7">
        <f>IF($AA1239="","",Y1239-W1239-L1239)</f>
        <v/>
      </c>
      <c r="AA1239" s="13">
        <f>IF(ROWS($AA$2:$AA1239)&lt;=MAX('Per Line'!$AO$2:$AO$4001),MATCH(ROWS($AA$2:$AA1239),'Per Line'!$AO$2:$AO$4001,0),"")</f>
        <v/>
      </c>
      <c r="AB1239" s="14">
        <f>IF($AA1239="","",L1239-K1239*Y1239/100)</f>
        <v/>
      </c>
    </row>
    <row r="1240">
      <c r="A1240" s="12" t="n"/>
      <c r="B1240">
        <f>IF($AA1240="","",INDEX('Per Line'!$E$2:$E$4001,$AA1240)&amp;"")</f>
        <v/>
      </c>
      <c r="C1240">
        <f>IF($AA1240="","",INDEX('Per Line'!$A$2:$A$4001,$AA1240)&amp;"")</f>
        <v/>
      </c>
      <c r="D1240">
        <f>IF($AA1240="","",INDEX('Per Line'!$D$2:$D$4001,$AA1240)&amp;"")</f>
        <v/>
      </c>
      <c r="E1240" s="11">
        <f>IF($AA1240="","",INDEX('Per Line'!$G$2:$G$4001,$AA1240))</f>
        <v/>
      </c>
      <c r="F1240">
        <f>IF($AA1240="","",INDEX('Per Line'!$H$2:$H$4001,$AA1240)&amp;"")</f>
        <v/>
      </c>
      <c r="G1240">
        <f>IF($AA1240="","",INDEX('Per Line'!$I$2:$I$4001,$AA1240)&amp;"")</f>
        <v/>
      </c>
      <c r="H1240">
        <f>IF($AA1240="","",INDEX('Per Line'!$J$2:$J$4001,$AA1240)&amp;"")</f>
        <v/>
      </c>
      <c r="I1240">
        <f>IF($AA1240="","",INDEX('Per Line'!$K$2:$K$4001,$AA1240)&amp;"")</f>
        <v/>
      </c>
      <c r="J1240">
        <f>IF($AA1240="","",INDEX('Per Line'!$L$2:$L$4001,$AA1240)&amp;"")</f>
        <v/>
      </c>
      <c r="K1240">
        <f>IF($AA1240="","",INDEX('Per Line'!$P$2:$P$4001,$AA1240))</f>
        <v/>
      </c>
      <c r="L1240" s="7">
        <f>IF($AA1240="","",IF(AND(ISNUMBER(N1240),N1240&gt;0,Y1240&gt;N1240),K1240*N1240/100+(Y1240-N1240),K1240*Y1240/100))</f>
        <v/>
      </c>
      <c r="M1240">
        <f>IF($AA1240="","",INDEX('Per Line'!$Z$2:$Z$4001,$AA1240)&amp;"")</f>
        <v/>
      </c>
      <c r="N1240">
        <f>IF($AA1240="","",INDEX('Per Line'!$AG$2:$AG$4001,$AA1240))</f>
        <v/>
      </c>
      <c r="O1240">
        <f>IF($AA1240="","",IF(AND(ISNUMBER(N1240),N1240&gt;0),Y1240&gt;N1240,FALSE))</f>
        <v/>
      </c>
      <c r="P1240" s="7">
        <f>IF($AA1240="","",SUMIFS('Per Line'!$Y$2:$Y$4001,'Per Line'!$E$2:$E$4001,$B1240,'Per Line'!$AQ$2:$AQ$4001,1))</f>
        <v/>
      </c>
      <c r="Q1240">
        <f>IF($AA1240="","",Settings!$C$7)</f>
        <v/>
      </c>
      <c r="R1240" s="7">
        <f>IF($AA1240="","",SUMIFS('Per Line'!$Y$2:$Y$4001,'Per Line'!$E$2:$E$4001,$B1240,'Per Line'!$AP$2:$AP$4001,0,'Per Line'!$AQ$2:$AQ$4001,0))</f>
        <v/>
      </c>
      <c r="S1240" s="7">
        <f>IF($AA1240="","",R1240*Q1240)</f>
        <v/>
      </c>
      <c r="T1240">
        <f>IF($AA1240="","",Settings!$C$6)</f>
        <v/>
      </c>
      <c r="U1240" s="7">
        <f>IF($AA1240="","",SUMIFS('Per Line'!$Y$2:$Y$4001,'Per Line'!$E$2:$E$4001,$B1240,'Per Line'!$AP$2:$AP$4001,1,'Per Line'!$AQ$2:$AQ$4001,0))</f>
        <v/>
      </c>
      <c r="V1240" s="7">
        <f>IF($AA1240="","",U1240*T1240)</f>
        <v/>
      </c>
      <c r="W1240" s="7">
        <f>IF($AA1240="","",V1240+S1240)</f>
        <v/>
      </c>
      <c r="X1240" s="7">
        <f>IF($AA1240="","",Y1240-W1240)</f>
        <v/>
      </c>
      <c r="Y1240" s="7">
        <f>IF($AA1240="","",R1240+U1240+P1240)</f>
        <v/>
      </c>
      <c r="Z1240" s="7">
        <f>IF($AA1240="","",Y1240-W1240-L1240)</f>
        <v/>
      </c>
      <c r="AA1240" s="13">
        <f>IF(ROWS($AA$2:$AA1240)&lt;=MAX('Per Line'!$AO$2:$AO$4001),MATCH(ROWS($AA$2:$AA1240),'Per Line'!$AO$2:$AO$4001,0),"")</f>
        <v/>
      </c>
      <c r="AB1240" s="14">
        <f>IF($AA1240="","",L1240-K1240*Y1240/100)</f>
        <v/>
      </c>
    </row>
    <row r="1241">
      <c r="A1241" s="12" t="n"/>
      <c r="B1241">
        <f>IF($AA1241="","",INDEX('Per Line'!$E$2:$E$4001,$AA1241)&amp;"")</f>
        <v/>
      </c>
      <c r="C1241">
        <f>IF($AA1241="","",INDEX('Per Line'!$A$2:$A$4001,$AA1241)&amp;"")</f>
        <v/>
      </c>
      <c r="D1241">
        <f>IF($AA1241="","",INDEX('Per Line'!$D$2:$D$4001,$AA1241)&amp;"")</f>
        <v/>
      </c>
      <c r="E1241" s="11">
        <f>IF($AA1241="","",INDEX('Per Line'!$G$2:$G$4001,$AA1241))</f>
        <v/>
      </c>
      <c r="F1241">
        <f>IF($AA1241="","",INDEX('Per Line'!$H$2:$H$4001,$AA1241)&amp;"")</f>
        <v/>
      </c>
      <c r="G1241">
        <f>IF($AA1241="","",INDEX('Per Line'!$I$2:$I$4001,$AA1241)&amp;"")</f>
        <v/>
      </c>
      <c r="H1241">
        <f>IF($AA1241="","",INDEX('Per Line'!$J$2:$J$4001,$AA1241)&amp;"")</f>
        <v/>
      </c>
      <c r="I1241">
        <f>IF($AA1241="","",INDEX('Per Line'!$K$2:$K$4001,$AA1241)&amp;"")</f>
        <v/>
      </c>
      <c r="J1241">
        <f>IF($AA1241="","",INDEX('Per Line'!$L$2:$L$4001,$AA1241)&amp;"")</f>
        <v/>
      </c>
      <c r="K1241">
        <f>IF($AA1241="","",INDEX('Per Line'!$P$2:$P$4001,$AA1241))</f>
        <v/>
      </c>
      <c r="L1241" s="7">
        <f>IF($AA1241="","",IF(AND(ISNUMBER(N1241),N1241&gt;0,Y1241&gt;N1241),K1241*N1241/100+(Y1241-N1241),K1241*Y1241/100))</f>
        <v/>
      </c>
      <c r="M1241">
        <f>IF($AA1241="","",INDEX('Per Line'!$Z$2:$Z$4001,$AA1241)&amp;"")</f>
        <v/>
      </c>
      <c r="N1241">
        <f>IF($AA1241="","",INDEX('Per Line'!$AG$2:$AG$4001,$AA1241))</f>
        <v/>
      </c>
      <c r="O1241">
        <f>IF($AA1241="","",IF(AND(ISNUMBER(N1241),N1241&gt;0),Y1241&gt;N1241,FALSE))</f>
        <v/>
      </c>
      <c r="P1241" s="7">
        <f>IF($AA1241="","",SUMIFS('Per Line'!$Y$2:$Y$4001,'Per Line'!$E$2:$E$4001,$B1241,'Per Line'!$AQ$2:$AQ$4001,1))</f>
        <v/>
      </c>
      <c r="Q1241">
        <f>IF($AA1241="","",Settings!$C$7)</f>
        <v/>
      </c>
      <c r="R1241" s="7">
        <f>IF($AA1241="","",SUMIFS('Per Line'!$Y$2:$Y$4001,'Per Line'!$E$2:$E$4001,$B1241,'Per Line'!$AP$2:$AP$4001,0,'Per Line'!$AQ$2:$AQ$4001,0))</f>
        <v/>
      </c>
      <c r="S1241" s="7">
        <f>IF($AA1241="","",R1241*Q1241)</f>
        <v/>
      </c>
      <c r="T1241">
        <f>IF($AA1241="","",Settings!$C$6)</f>
        <v/>
      </c>
      <c r="U1241" s="7">
        <f>IF($AA1241="","",SUMIFS('Per Line'!$Y$2:$Y$4001,'Per Line'!$E$2:$E$4001,$B1241,'Per Line'!$AP$2:$AP$4001,1,'Per Line'!$AQ$2:$AQ$4001,0))</f>
        <v/>
      </c>
      <c r="V1241" s="7">
        <f>IF($AA1241="","",U1241*T1241)</f>
        <v/>
      </c>
      <c r="W1241" s="7">
        <f>IF($AA1241="","",V1241+S1241)</f>
        <v/>
      </c>
      <c r="X1241" s="7">
        <f>IF($AA1241="","",Y1241-W1241)</f>
        <v/>
      </c>
      <c r="Y1241" s="7">
        <f>IF($AA1241="","",R1241+U1241+P1241)</f>
        <v/>
      </c>
      <c r="Z1241" s="7">
        <f>IF($AA1241="","",Y1241-W1241-L1241)</f>
        <v/>
      </c>
      <c r="AA1241" s="13">
        <f>IF(ROWS($AA$2:$AA1241)&lt;=MAX('Per Line'!$AO$2:$AO$4001),MATCH(ROWS($AA$2:$AA1241),'Per Line'!$AO$2:$AO$4001,0),"")</f>
        <v/>
      </c>
      <c r="AB1241" s="14">
        <f>IF($AA1241="","",L1241-K1241*Y1241/100)</f>
        <v/>
      </c>
    </row>
    <row r="1242">
      <c r="A1242" s="12" t="n"/>
      <c r="B1242">
        <f>IF($AA1242="","",INDEX('Per Line'!$E$2:$E$4001,$AA1242)&amp;"")</f>
        <v/>
      </c>
      <c r="C1242">
        <f>IF($AA1242="","",INDEX('Per Line'!$A$2:$A$4001,$AA1242)&amp;"")</f>
        <v/>
      </c>
      <c r="D1242">
        <f>IF($AA1242="","",INDEX('Per Line'!$D$2:$D$4001,$AA1242)&amp;"")</f>
        <v/>
      </c>
      <c r="E1242" s="11">
        <f>IF($AA1242="","",INDEX('Per Line'!$G$2:$G$4001,$AA1242))</f>
        <v/>
      </c>
      <c r="F1242">
        <f>IF($AA1242="","",INDEX('Per Line'!$H$2:$H$4001,$AA1242)&amp;"")</f>
        <v/>
      </c>
      <c r="G1242">
        <f>IF($AA1242="","",INDEX('Per Line'!$I$2:$I$4001,$AA1242)&amp;"")</f>
        <v/>
      </c>
      <c r="H1242">
        <f>IF($AA1242="","",INDEX('Per Line'!$J$2:$J$4001,$AA1242)&amp;"")</f>
        <v/>
      </c>
      <c r="I1242">
        <f>IF($AA1242="","",INDEX('Per Line'!$K$2:$K$4001,$AA1242)&amp;"")</f>
        <v/>
      </c>
      <c r="J1242">
        <f>IF($AA1242="","",INDEX('Per Line'!$L$2:$L$4001,$AA1242)&amp;"")</f>
        <v/>
      </c>
      <c r="K1242">
        <f>IF($AA1242="","",INDEX('Per Line'!$P$2:$P$4001,$AA1242))</f>
        <v/>
      </c>
      <c r="L1242" s="7">
        <f>IF($AA1242="","",IF(AND(ISNUMBER(N1242),N1242&gt;0,Y1242&gt;N1242),K1242*N1242/100+(Y1242-N1242),K1242*Y1242/100))</f>
        <v/>
      </c>
      <c r="M1242">
        <f>IF($AA1242="","",INDEX('Per Line'!$Z$2:$Z$4001,$AA1242)&amp;"")</f>
        <v/>
      </c>
      <c r="N1242">
        <f>IF($AA1242="","",INDEX('Per Line'!$AG$2:$AG$4001,$AA1242))</f>
        <v/>
      </c>
      <c r="O1242">
        <f>IF($AA1242="","",IF(AND(ISNUMBER(N1242),N1242&gt;0),Y1242&gt;N1242,FALSE))</f>
        <v/>
      </c>
      <c r="P1242" s="7">
        <f>IF($AA1242="","",SUMIFS('Per Line'!$Y$2:$Y$4001,'Per Line'!$E$2:$E$4001,$B1242,'Per Line'!$AQ$2:$AQ$4001,1))</f>
        <v/>
      </c>
      <c r="Q1242">
        <f>IF($AA1242="","",Settings!$C$7)</f>
        <v/>
      </c>
      <c r="R1242" s="7">
        <f>IF($AA1242="","",SUMIFS('Per Line'!$Y$2:$Y$4001,'Per Line'!$E$2:$E$4001,$B1242,'Per Line'!$AP$2:$AP$4001,0,'Per Line'!$AQ$2:$AQ$4001,0))</f>
        <v/>
      </c>
      <c r="S1242" s="7">
        <f>IF($AA1242="","",R1242*Q1242)</f>
        <v/>
      </c>
      <c r="T1242">
        <f>IF($AA1242="","",Settings!$C$6)</f>
        <v/>
      </c>
      <c r="U1242" s="7">
        <f>IF($AA1242="","",SUMIFS('Per Line'!$Y$2:$Y$4001,'Per Line'!$E$2:$E$4001,$B1242,'Per Line'!$AP$2:$AP$4001,1,'Per Line'!$AQ$2:$AQ$4001,0))</f>
        <v/>
      </c>
      <c r="V1242" s="7">
        <f>IF($AA1242="","",U1242*T1242)</f>
        <v/>
      </c>
      <c r="W1242" s="7">
        <f>IF($AA1242="","",V1242+S1242)</f>
        <v/>
      </c>
      <c r="X1242" s="7">
        <f>IF($AA1242="","",Y1242-W1242)</f>
        <v/>
      </c>
      <c r="Y1242" s="7">
        <f>IF($AA1242="","",R1242+U1242+P1242)</f>
        <v/>
      </c>
      <c r="Z1242" s="7">
        <f>IF($AA1242="","",Y1242-W1242-L1242)</f>
        <v/>
      </c>
      <c r="AA1242" s="13">
        <f>IF(ROWS($AA$2:$AA1242)&lt;=MAX('Per Line'!$AO$2:$AO$4001),MATCH(ROWS($AA$2:$AA1242),'Per Line'!$AO$2:$AO$4001,0),"")</f>
        <v/>
      </c>
      <c r="AB1242" s="14">
        <f>IF($AA1242="","",L1242-K1242*Y1242/100)</f>
        <v/>
      </c>
    </row>
    <row r="1243">
      <c r="A1243" s="12" t="n"/>
      <c r="B1243">
        <f>IF($AA1243="","",INDEX('Per Line'!$E$2:$E$4001,$AA1243)&amp;"")</f>
        <v/>
      </c>
      <c r="C1243">
        <f>IF($AA1243="","",INDEX('Per Line'!$A$2:$A$4001,$AA1243)&amp;"")</f>
        <v/>
      </c>
      <c r="D1243">
        <f>IF($AA1243="","",INDEX('Per Line'!$D$2:$D$4001,$AA1243)&amp;"")</f>
        <v/>
      </c>
      <c r="E1243" s="11">
        <f>IF($AA1243="","",INDEX('Per Line'!$G$2:$G$4001,$AA1243))</f>
        <v/>
      </c>
      <c r="F1243">
        <f>IF($AA1243="","",INDEX('Per Line'!$H$2:$H$4001,$AA1243)&amp;"")</f>
        <v/>
      </c>
      <c r="G1243">
        <f>IF($AA1243="","",INDEX('Per Line'!$I$2:$I$4001,$AA1243)&amp;"")</f>
        <v/>
      </c>
      <c r="H1243">
        <f>IF($AA1243="","",INDEX('Per Line'!$J$2:$J$4001,$AA1243)&amp;"")</f>
        <v/>
      </c>
      <c r="I1243">
        <f>IF($AA1243="","",INDEX('Per Line'!$K$2:$K$4001,$AA1243)&amp;"")</f>
        <v/>
      </c>
      <c r="J1243">
        <f>IF($AA1243="","",INDEX('Per Line'!$L$2:$L$4001,$AA1243)&amp;"")</f>
        <v/>
      </c>
      <c r="K1243">
        <f>IF($AA1243="","",INDEX('Per Line'!$P$2:$P$4001,$AA1243))</f>
        <v/>
      </c>
      <c r="L1243" s="7">
        <f>IF($AA1243="","",IF(AND(ISNUMBER(N1243),N1243&gt;0,Y1243&gt;N1243),K1243*N1243/100+(Y1243-N1243),K1243*Y1243/100))</f>
        <v/>
      </c>
      <c r="M1243">
        <f>IF($AA1243="","",INDEX('Per Line'!$Z$2:$Z$4001,$AA1243)&amp;"")</f>
        <v/>
      </c>
      <c r="N1243">
        <f>IF($AA1243="","",INDEX('Per Line'!$AG$2:$AG$4001,$AA1243))</f>
        <v/>
      </c>
      <c r="O1243">
        <f>IF($AA1243="","",IF(AND(ISNUMBER(N1243),N1243&gt;0),Y1243&gt;N1243,FALSE))</f>
        <v/>
      </c>
      <c r="P1243" s="7">
        <f>IF($AA1243="","",SUMIFS('Per Line'!$Y$2:$Y$4001,'Per Line'!$E$2:$E$4001,$B1243,'Per Line'!$AQ$2:$AQ$4001,1))</f>
        <v/>
      </c>
      <c r="Q1243">
        <f>IF($AA1243="","",Settings!$C$7)</f>
        <v/>
      </c>
      <c r="R1243" s="7">
        <f>IF($AA1243="","",SUMIFS('Per Line'!$Y$2:$Y$4001,'Per Line'!$E$2:$E$4001,$B1243,'Per Line'!$AP$2:$AP$4001,0,'Per Line'!$AQ$2:$AQ$4001,0))</f>
        <v/>
      </c>
      <c r="S1243" s="7">
        <f>IF($AA1243="","",R1243*Q1243)</f>
        <v/>
      </c>
      <c r="T1243">
        <f>IF($AA1243="","",Settings!$C$6)</f>
        <v/>
      </c>
      <c r="U1243" s="7">
        <f>IF($AA1243="","",SUMIFS('Per Line'!$Y$2:$Y$4001,'Per Line'!$E$2:$E$4001,$B1243,'Per Line'!$AP$2:$AP$4001,1,'Per Line'!$AQ$2:$AQ$4001,0))</f>
        <v/>
      </c>
      <c r="V1243" s="7">
        <f>IF($AA1243="","",U1243*T1243)</f>
        <v/>
      </c>
      <c r="W1243" s="7">
        <f>IF($AA1243="","",V1243+S1243)</f>
        <v/>
      </c>
      <c r="X1243" s="7">
        <f>IF($AA1243="","",Y1243-W1243)</f>
        <v/>
      </c>
      <c r="Y1243" s="7">
        <f>IF($AA1243="","",R1243+U1243+P1243)</f>
        <v/>
      </c>
      <c r="Z1243" s="7">
        <f>IF($AA1243="","",Y1243-W1243-L1243)</f>
        <v/>
      </c>
      <c r="AA1243" s="13">
        <f>IF(ROWS($AA$2:$AA1243)&lt;=MAX('Per Line'!$AO$2:$AO$4001),MATCH(ROWS($AA$2:$AA1243),'Per Line'!$AO$2:$AO$4001,0),"")</f>
        <v/>
      </c>
      <c r="AB1243" s="14">
        <f>IF($AA1243="","",L1243-K1243*Y1243/100)</f>
        <v/>
      </c>
    </row>
    <row r="1244">
      <c r="A1244" s="12" t="n"/>
      <c r="B1244">
        <f>IF($AA1244="","",INDEX('Per Line'!$E$2:$E$4001,$AA1244)&amp;"")</f>
        <v/>
      </c>
      <c r="C1244">
        <f>IF($AA1244="","",INDEX('Per Line'!$A$2:$A$4001,$AA1244)&amp;"")</f>
        <v/>
      </c>
      <c r="D1244">
        <f>IF($AA1244="","",INDEX('Per Line'!$D$2:$D$4001,$AA1244)&amp;"")</f>
        <v/>
      </c>
      <c r="E1244" s="11">
        <f>IF($AA1244="","",INDEX('Per Line'!$G$2:$G$4001,$AA1244))</f>
        <v/>
      </c>
      <c r="F1244">
        <f>IF($AA1244="","",INDEX('Per Line'!$H$2:$H$4001,$AA1244)&amp;"")</f>
        <v/>
      </c>
      <c r="G1244">
        <f>IF($AA1244="","",INDEX('Per Line'!$I$2:$I$4001,$AA1244)&amp;"")</f>
        <v/>
      </c>
      <c r="H1244">
        <f>IF($AA1244="","",INDEX('Per Line'!$J$2:$J$4001,$AA1244)&amp;"")</f>
        <v/>
      </c>
      <c r="I1244">
        <f>IF($AA1244="","",INDEX('Per Line'!$K$2:$K$4001,$AA1244)&amp;"")</f>
        <v/>
      </c>
      <c r="J1244">
        <f>IF($AA1244="","",INDEX('Per Line'!$L$2:$L$4001,$AA1244)&amp;"")</f>
        <v/>
      </c>
      <c r="K1244">
        <f>IF($AA1244="","",INDEX('Per Line'!$P$2:$P$4001,$AA1244))</f>
        <v/>
      </c>
      <c r="L1244" s="7">
        <f>IF($AA1244="","",IF(AND(ISNUMBER(N1244),N1244&gt;0,Y1244&gt;N1244),K1244*N1244/100+(Y1244-N1244),K1244*Y1244/100))</f>
        <v/>
      </c>
      <c r="M1244">
        <f>IF($AA1244="","",INDEX('Per Line'!$Z$2:$Z$4001,$AA1244)&amp;"")</f>
        <v/>
      </c>
      <c r="N1244">
        <f>IF($AA1244="","",INDEX('Per Line'!$AG$2:$AG$4001,$AA1244))</f>
        <v/>
      </c>
      <c r="O1244">
        <f>IF($AA1244="","",IF(AND(ISNUMBER(N1244),N1244&gt;0),Y1244&gt;N1244,FALSE))</f>
        <v/>
      </c>
      <c r="P1244" s="7">
        <f>IF($AA1244="","",SUMIFS('Per Line'!$Y$2:$Y$4001,'Per Line'!$E$2:$E$4001,$B1244,'Per Line'!$AQ$2:$AQ$4001,1))</f>
        <v/>
      </c>
      <c r="Q1244">
        <f>IF($AA1244="","",Settings!$C$7)</f>
        <v/>
      </c>
      <c r="R1244" s="7">
        <f>IF($AA1244="","",SUMIFS('Per Line'!$Y$2:$Y$4001,'Per Line'!$E$2:$E$4001,$B1244,'Per Line'!$AP$2:$AP$4001,0,'Per Line'!$AQ$2:$AQ$4001,0))</f>
        <v/>
      </c>
      <c r="S1244" s="7">
        <f>IF($AA1244="","",R1244*Q1244)</f>
        <v/>
      </c>
      <c r="T1244">
        <f>IF($AA1244="","",Settings!$C$6)</f>
        <v/>
      </c>
      <c r="U1244" s="7">
        <f>IF($AA1244="","",SUMIFS('Per Line'!$Y$2:$Y$4001,'Per Line'!$E$2:$E$4001,$B1244,'Per Line'!$AP$2:$AP$4001,1,'Per Line'!$AQ$2:$AQ$4001,0))</f>
        <v/>
      </c>
      <c r="V1244" s="7">
        <f>IF($AA1244="","",U1244*T1244)</f>
        <v/>
      </c>
      <c r="W1244" s="7">
        <f>IF($AA1244="","",V1244+S1244)</f>
        <v/>
      </c>
      <c r="X1244" s="7">
        <f>IF($AA1244="","",Y1244-W1244)</f>
        <v/>
      </c>
      <c r="Y1244" s="7">
        <f>IF($AA1244="","",R1244+U1244+P1244)</f>
        <v/>
      </c>
      <c r="Z1244" s="7">
        <f>IF($AA1244="","",Y1244-W1244-L1244)</f>
        <v/>
      </c>
      <c r="AA1244" s="13">
        <f>IF(ROWS($AA$2:$AA1244)&lt;=MAX('Per Line'!$AO$2:$AO$4001),MATCH(ROWS($AA$2:$AA1244),'Per Line'!$AO$2:$AO$4001,0),"")</f>
        <v/>
      </c>
      <c r="AB1244" s="14">
        <f>IF($AA1244="","",L1244-K1244*Y1244/100)</f>
        <v/>
      </c>
    </row>
    <row r="1245">
      <c r="A1245" s="12" t="n"/>
      <c r="B1245">
        <f>IF($AA1245="","",INDEX('Per Line'!$E$2:$E$4001,$AA1245)&amp;"")</f>
        <v/>
      </c>
      <c r="C1245">
        <f>IF($AA1245="","",INDEX('Per Line'!$A$2:$A$4001,$AA1245)&amp;"")</f>
        <v/>
      </c>
      <c r="D1245">
        <f>IF($AA1245="","",INDEX('Per Line'!$D$2:$D$4001,$AA1245)&amp;"")</f>
        <v/>
      </c>
      <c r="E1245" s="11">
        <f>IF($AA1245="","",INDEX('Per Line'!$G$2:$G$4001,$AA1245))</f>
        <v/>
      </c>
      <c r="F1245">
        <f>IF($AA1245="","",INDEX('Per Line'!$H$2:$H$4001,$AA1245)&amp;"")</f>
        <v/>
      </c>
      <c r="G1245">
        <f>IF($AA1245="","",INDEX('Per Line'!$I$2:$I$4001,$AA1245)&amp;"")</f>
        <v/>
      </c>
      <c r="H1245">
        <f>IF($AA1245="","",INDEX('Per Line'!$J$2:$J$4001,$AA1245)&amp;"")</f>
        <v/>
      </c>
      <c r="I1245">
        <f>IF($AA1245="","",INDEX('Per Line'!$K$2:$K$4001,$AA1245)&amp;"")</f>
        <v/>
      </c>
      <c r="J1245">
        <f>IF($AA1245="","",INDEX('Per Line'!$L$2:$L$4001,$AA1245)&amp;"")</f>
        <v/>
      </c>
      <c r="K1245">
        <f>IF($AA1245="","",INDEX('Per Line'!$P$2:$P$4001,$AA1245))</f>
        <v/>
      </c>
      <c r="L1245" s="7">
        <f>IF($AA1245="","",IF(AND(ISNUMBER(N1245),N1245&gt;0,Y1245&gt;N1245),K1245*N1245/100+(Y1245-N1245),K1245*Y1245/100))</f>
        <v/>
      </c>
      <c r="M1245">
        <f>IF($AA1245="","",INDEX('Per Line'!$Z$2:$Z$4001,$AA1245)&amp;"")</f>
        <v/>
      </c>
      <c r="N1245">
        <f>IF($AA1245="","",INDEX('Per Line'!$AG$2:$AG$4001,$AA1245))</f>
        <v/>
      </c>
      <c r="O1245">
        <f>IF($AA1245="","",IF(AND(ISNUMBER(N1245),N1245&gt;0),Y1245&gt;N1245,FALSE))</f>
        <v/>
      </c>
      <c r="P1245" s="7">
        <f>IF($AA1245="","",SUMIFS('Per Line'!$Y$2:$Y$4001,'Per Line'!$E$2:$E$4001,$B1245,'Per Line'!$AQ$2:$AQ$4001,1))</f>
        <v/>
      </c>
      <c r="Q1245">
        <f>IF($AA1245="","",Settings!$C$7)</f>
        <v/>
      </c>
      <c r="R1245" s="7">
        <f>IF($AA1245="","",SUMIFS('Per Line'!$Y$2:$Y$4001,'Per Line'!$E$2:$E$4001,$B1245,'Per Line'!$AP$2:$AP$4001,0,'Per Line'!$AQ$2:$AQ$4001,0))</f>
        <v/>
      </c>
      <c r="S1245" s="7">
        <f>IF($AA1245="","",R1245*Q1245)</f>
        <v/>
      </c>
      <c r="T1245">
        <f>IF($AA1245="","",Settings!$C$6)</f>
        <v/>
      </c>
      <c r="U1245" s="7">
        <f>IF($AA1245="","",SUMIFS('Per Line'!$Y$2:$Y$4001,'Per Line'!$E$2:$E$4001,$B1245,'Per Line'!$AP$2:$AP$4001,1,'Per Line'!$AQ$2:$AQ$4001,0))</f>
        <v/>
      </c>
      <c r="V1245" s="7">
        <f>IF($AA1245="","",U1245*T1245)</f>
        <v/>
      </c>
      <c r="W1245" s="7">
        <f>IF($AA1245="","",V1245+S1245)</f>
        <v/>
      </c>
      <c r="X1245" s="7">
        <f>IF($AA1245="","",Y1245-W1245)</f>
        <v/>
      </c>
      <c r="Y1245" s="7">
        <f>IF($AA1245="","",R1245+U1245+P1245)</f>
        <v/>
      </c>
      <c r="Z1245" s="7">
        <f>IF($AA1245="","",Y1245-W1245-L1245)</f>
        <v/>
      </c>
      <c r="AA1245" s="13">
        <f>IF(ROWS($AA$2:$AA1245)&lt;=MAX('Per Line'!$AO$2:$AO$4001),MATCH(ROWS($AA$2:$AA1245),'Per Line'!$AO$2:$AO$4001,0),"")</f>
        <v/>
      </c>
      <c r="AB1245" s="14">
        <f>IF($AA1245="","",L1245-K1245*Y1245/100)</f>
        <v/>
      </c>
    </row>
    <row r="1246">
      <c r="A1246" s="12" t="n"/>
      <c r="B1246">
        <f>IF($AA1246="","",INDEX('Per Line'!$E$2:$E$4001,$AA1246)&amp;"")</f>
        <v/>
      </c>
      <c r="C1246">
        <f>IF($AA1246="","",INDEX('Per Line'!$A$2:$A$4001,$AA1246)&amp;"")</f>
        <v/>
      </c>
      <c r="D1246">
        <f>IF($AA1246="","",INDEX('Per Line'!$D$2:$D$4001,$AA1246)&amp;"")</f>
        <v/>
      </c>
      <c r="E1246" s="11">
        <f>IF($AA1246="","",INDEX('Per Line'!$G$2:$G$4001,$AA1246))</f>
        <v/>
      </c>
      <c r="F1246">
        <f>IF($AA1246="","",INDEX('Per Line'!$H$2:$H$4001,$AA1246)&amp;"")</f>
        <v/>
      </c>
      <c r="G1246">
        <f>IF($AA1246="","",INDEX('Per Line'!$I$2:$I$4001,$AA1246)&amp;"")</f>
        <v/>
      </c>
      <c r="H1246">
        <f>IF($AA1246="","",INDEX('Per Line'!$J$2:$J$4001,$AA1246)&amp;"")</f>
        <v/>
      </c>
      <c r="I1246">
        <f>IF($AA1246="","",INDEX('Per Line'!$K$2:$K$4001,$AA1246)&amp;"")</f>
        <v/>
      </c>
      <c r="J1246">
        <f>IF($AA1246="","",INDEX('Per Line'!$L$2:$L$4001,$AA1246)&amp;"")</f>
        <v/>
      </c>
      <c r="K1246">
        <f>IF($AA1246="","",INDEX('Per Line'!$P$2:$P$4001,$AA1246))</f>
        <v/>
      </c>
      <c r="L1246" s="7">
        <f>IF($AA1246="","",IF(AND(ISNUMBER(N1246),N1246&gt;0,Y1246&gt;N1246),K1246*N1246/100+(Y1246-N1246),K1246*Y1246/100))</f>
        <v/>
      </c>
      <c r="M1246">
        <f>IF($AA1246="","",INDEX('Per Line'!$Z$2:$Z$4001,$AA1246)&amp;"")</f>
        <v/>
      </c>
      <c r="N1246">
        <f>IF($AA1246="","",INDEX('Per Line'!$AG$2:$AG$4001,$AA1246))</f>
        <v/>
      </c>
      <c r="O1246">
        <f>IF($AA1246="","",IF(AND(ISNUMBER(N1246),N1246&gt;0),Y1246&gt;N1246,FALSE))</f>
        <v/>
      </c>
      <c r="P1246" s="7">
        <f>IF($AA1246="","",SUMIFS('Per Line'!$Y$2:$Y$4001,'Per Line'!$E$2:$E$4001,$B1246,'Per Line'!$AQ$2:$AQ$4001,1))</f>
        <v/>
      </c>
      <c r="Q1246">
        <f>IF($AA1246="","",Settings!$C$7)</f>
        <v/>
      </c>
      <c r="R1246" s="7">
        <f>IF($AA1246="","",SUMIFS('Per Line'!$Y$2:$Y$4001,'Per Line'!$E$2:$E$4001,$B1246,'Per Line'!$AP$2:$AP$4001,0,'Per Line'!$AQ$2:$AQ$4001,0))</f>
        <v/>
      </c>
      <c r="S1246" s="7">
        <f>IF($AA1246="","",R1246*Q1246)</f>
        <v/>
      </c>
      <c r="T1246">
        <f>IF($AA1246="","",Settings!$C$6)</f>
        <v/>
      </c>
      <c r="U1246" s="7">
        <f>IF($AA1246="","",SUMIFS('Per Line'!$Y$2:$Y$4001,'Per Line'!$E$2:$E$4001,$B1246,'Per Line'!$AP$2:$AP$4001,1,'Per Line'!$AQ$2:$AQ$4001,0))</f>
        <v/>
      </c>
      <c r="V1246" s="7">
        <f>IF($AA1246="","",U1246*T1246)</f>
        <v/>
      </c>
      <c r="W1246" s="7">
        <f>IF($AA1246="","",V1246+S1246)</f>
        <v/>
      </c>
      <c r="X1246" s="7">
        <f>IF($AA1246="","",Y1246-W1246)</f>
        <v/>
      </c>
      <c r="Y1246" s="7">
        <f>IF($AA1246="","",R1246+U1246+P1246)</f>
        <v/>
      </c>
      <c r="Z1246" s="7">
        <f>IF($AA1246="","",Y1246-W1246-L1246)</f>
        <v/>
      </c>
      <c r="AA1246" s="13">
        <f>IF(ROWS($AA$2:$AA1246)&lt;=MAX('Per Line'!$AO$2:$AO$4001),MATCH(ROWS($AA$2:$AA1246),'Per Line'!$AO$2:$AO$4001,0),"")</f>
        <v/>
      </c>
      <c r="AB1246" s="14">
        <f>IF($AA1246="","",L1246-K1246*Y1246/100)</f>
        <v/>
      </c>
    </row>
    <row r="1247">
      <c r="A1247" s="12" t="n"/>
      <c r="B1247">
        <f>IF($AA1247="","",INDEX('Per Line'!$E$2:$E$4001,$AA1247)&amp;"")</f>
        <v/>
      </c>
      <c r="C1247">
        <f>IF($AA1247="","",INDEX('Per Line'!$A$2:$A$4001,$AA1247)&amp;"")</f>
        <v/>
      </c>
      <c r="D1247">
        <f>IF($AA1247="","",INDEX('Per Line'!$D$2:$D$4001,$AA1247)&amp;"")</f>
        <v/>
      </c>
      <c r="E1247" s="11">
        <f>IF($AA1247="","",INDEX('Per Line'!$G$2:$G$4001,$AA1247))</f>
        <v/>
      </c>
      <c r="F1247">
        <f>IF($AA1247="","",INDEX('Per Line'!$H$2:$H$4001,$AA1247)&amp;"")</f>
        <v/>
      </c>
      <c r="G1247">
        <f>IF($AA1247="","",INDEX('Per Line'!$I$2:$I$4001,$AA1247)&amp;"")</f>
        <v/>
      </c>
      <c r="H1247">
        <f>IF($AA1247="","",INDEX('Per Line'!$J$2:$J$4001,$AA1247)&amp;"")</f>
        <v/>
      </c>
      <c r="I1247">
        <f>IF($AA1247="","",INDEX('Per Line'!$K$2:$K$4001,$AA1247)&amp;"")</f>
        <v/>
      </c>
      <c r="J1247">
        <f>IF($AA1247="","",INDEX('Per Line'!$L$2:$L$4001,$AA1247)&amp;"")</f>
        <v/>
      </c>
      <c r="K1247">
        <f>IF($AA1247="","",INDEX('Per Line'!$P$2:$P$4001,$AA1247))</f>
        <v/>
      </c>
      <c r="L1247" s="7">
        <f>IF($AA1247="","",IF(AND(ISNUMBER(N1247),N1247&gt;0,Y1247&gt;N1247),K1247*N1247/100+(Y1247-N1247),K1247*Y1247/100))</f>
        <v/>
      </c>
      <c r="M1247">
        <f>IF($AA1247="","",INDEX('Per Line'!$Z$2:$Z$4001,$AA1247)&amp;"")</f>
        <v/>
      </c>
      <c r="N1247">
        <f>IF($AA1247="","",INDEX('Per Line'!$AG$2:$AG$4001,$AA1247))</f>
        <v/>
      </c>
      <c r="O1247">
        <f>IF($AA1247="","",IF(AND(ISNUMBER(N1247),N1247&gt;0),Y1247&gt;N1247,FALSE))</f>
        <v/>
      </c>
      <c r="P1247" s="7">
        <f>IF($AA1247="","",SUMIFS('Per Line'!$Y$2:$Y$4001,'Per Line'!$E$2:$E$4001,$B1247,'Per Line'!$AQ$2:$AQ$4001,1))</f>
        <v/>
      </c>
      <c r="Q1247">
        <f>IF($AA1247="","",Settings!$C$7)</f>
        <v/>
      </c>
      <c r="R1247" s="7">
        <f>IF($AA1247="","",SUMIFS('Per Line'!$Y$2:$Y$4001,'Per Line'!$E$2:$E$4001,$B1247,'Per Line'!$AP$2:$AP$4001,0,'Per Line'!$AQ$2:$AQ$4001,0))</f>
        <v/>
      </c>
      <c r="S1247" s="7">
        <f>IF($AA1247="","",R1247*Q1247)</f>
        <v/>
      </c>
      <c r="T1247">
        <f>IF($AA1247="","",Settings!$C$6)</f>
        <v/>
      </c>
      <c r="U1247" s="7">
        <f>IF($AA1247="","",SUMIFS('Per Line'!$Y$2:$Y$4001,'Per Line'!$E$2:$E$4001,$B1247,'Per Line'!$AP$2:$AP$4001,1,'Per Line'!$AQ$2:$AQ$4001,0))</f>
        <v/>
      </c>
      <c r="V1247" s="7">
        <f>IF($AA1247="","",U1247*T1247)</f>
        <v/>
      </c>
      <c r="W1247" s="7">
        <f>IF($AA1247="","",V1247+S1247)</f>
        <v/>
      </c>
      <c r="X1247" s="7">
        <f>IF($AA1247="","",Y1247-W1247)</f>
        <v/>
      </c>
      <c r="Y1247" s="7">
        <f>IF($AA1247="","",R1247+U1247+P1247)</f>
        <v/>
      </c>
      <c r="Z1247" s="7">
        <f>IF($AA1247="","",Y1247-W1247-L1247)</f>
        <v/>
      </c>
      <c r="AA1247" s="13">
        <f>IF(ROWS($AA$2:$AA1247)&lt;=MAX('Per Line'!$AO$2:$AO$4001),MATCH(ROWS($AA$2:$AA1247),'Per Line'!$AO$2:$AO$4001,0),"")</f>
        <v/>
      </c>
      <c r="AB1247" s="14">
        <f>IF($AA1247="","",L1247-K1247*Y1247/100)</f>
        <v/>
      </c>
    </row>
    <row r="1248">
      <c r="A1248" s="12" t="n"/>
      <c r="B1248">
        <f>IF($AA1248="","",INDEX('Per Line'!$E$2:$E$4001,$AA1248)&amp;"")</f>
        <v/>
      </c>
      <c r="C1248">
        <f>IF($AA1248="","",INDEX('Per Line'!$A$2:$A$4001,$AA1248)&amp;"")</f>
        <v/>
      </c>
      <c r="D1248">
        <f>IF($AA1248="","",INDEX('Per Line'!$D$2:$D$4001,$AA1248)&amp;"")</f>
        <v/>
      </c>
      <c r="E1248" s="11">
        <f>IF($AA1248="","",INDEX('Per Line'!$G$2:$G$4001,$AA1248))</f>
        <v/>
      </c>
      <c r="F1248">
        <f>IF($AA1248="","",INDEX('Per Line'!$H$2:$H$4001,$AA1248)&amp;"")</f>
        <v/>
      </c>
      <c r="G1248">
        <f>IF($AA1248="","",INDEX('Per Line'!$I$2:$I$4001,$AA1248)&amp;"")</f>
        <v/>
      </c>
      <c r="H1248">
        <f>IF($AA1248="","",INDEX('Per Line'!$J$2:$J$4001,$AA1248)&amp;"")</f>
        <v/>
      </c>
      <c r="I1248">
        <f>IF($AA1248="","",INDEX('Per Line'!$K$2:$K$4001,$AA1248)&amp;"")</f>
        <v/>
      </c>
      <c r="J1248">
        <f>IF($AA1248="","",INDEX('Per Line'!$L$2:$L$4001,$AA1248)&amp;"")</f>
        <v/>
      </c>
      <c r="K1248">
        <f>IF($AA1248="","",INDEX('Per Line'!$P$2:$P$4001,$AA1248))</f>
        <v/>
      </c>
      <c r="L1248" s="7">
        <f>IF($AA1248="","",IF(AND(ISNUMBER(N1248),N1248&gt;0,Y1248&gt;N1248),K1248*N1248/100+(Y1248-N1248),K1248*Y1248/100))</f>
        <v/>
      </c>
      <c r="M1248">
        <f>IF($AA1248="","",INDEX('Per Line'!$Z$2:$Z$4001,$AA1248)&amp;"")</f>
        <v/>
      </c>
      <c r="N1248">
        <f>IF($AA1248="","",INDEX('Per Line'!$AG$2:$AG$4001,$AA1248))</f>
        <v/>
      </c>
      <c r="O1248">
        <f>IF($AA1248="","",IF(AND(ISNUMBER(N1248),N1248&gt;0),Y1248&gt;N1248,FALSE))</f>
        <v/>
      </c>
      <c r="P1248" s="7">
        <f>IF($AA1248="","",SUMIFS('Per Line'!$Y$2:$Y$4001,'Per Line'!$E$2:$E$4001,$B1248,'Per Line'!$AQ$2:$AQ$4001,1))</f>
        <v/>
      </c>
      <c r="Q1248">
        <f>IF($AA1248="","",Settings!$C$7)</f>
        <v/>
      </c>
      <c r="R1248" s="7">
        <f>IF($AA1248="","",SUMIFS('Per Line'!$Y$2:$Y$4001,'Per Line'!$E$2:$E$4001,$B1248,'Per Line'!$AP$2:$AP$4001,0,'Per Line'!$AQ$2:$AQ$4001,0))</f>
        <v/>
      </c>
      <c r="S1248" s="7">
        <f>IF($AA1248="","",R1248*Q1248)</f>
        <v/>
      </c>
      <c r="T1248">
        <f>IF($AA1248="","",Settings!$C$6)</f>
        <v/>
      </c>
      <c r="U1248" s="7">
        <f>IF($AA1248="","",SUMIFS('Per Line'!$Y$2:$Y$4001,'Per Line'!$E$2:$E$4001,$B1248,'Per Line'!$AP$2:$AP$4001,1,'Per Line'!$AQ$2:$AQ$4001,0))</f>
        <v/>
      </c>
      <c r="V1248" s="7">
        <f>IF($AA1248="","",U1248*T1248)</f>
        <v/>
      </c>
      <c r="W1248" s="7">
        <f>IF($AA1248="","",V1248+S1248)</f>
        <v/>
      </c>
      <c r="X1248" s="7">
        <f>IF($AA1248="","",Y1248-W1248)</f>
        <v/>
      </c>
      <c r="Y1248" s="7">
        <f>IF($AA1248="","",R1248+U1248+P1248)</f>
        <v/>
      </c>
      <c r="Z1248" s="7">
        <f>IF($AA1248="","",Y1248-W1248-L1248)</f>
        <v/>
      </c>
      <c r="AA1248" s="13">
        <f>IF(ROWS($AA$2:$AA1248)&lt;=MAX('Per Line'!$AO$2:$AO$4001),MATCH(ROWS($AA$2:$AA1248),'Per Line'!$AO$2:$AO$4001,0),"")</f>
        <v/>
      </c>
      <c r="AB1248" s="14">
        <f>IF($AA1248="","",L1248-K1248*Y1248/100)</f>
        <v/>
      </c>
    </row>
    <row r="1249">
      <c r="A1249" s="12" t="n"/>
      <c r="B1249">
        <f>IF($AA1249="","",INDEX('Per Line'!$E$2:$E$4001,$AA1249)&amp;"")</f>
        <v/>
      </c>
      <c r="C1249">
        <f>IF($AA1249="","",INDEX('Per Line'!$A$2:$A$4001,$AA1249)&amp;"")</f>
        <v/>
      </c>
      <c r="D1249">
        <f>IF($AA1249="","",INDEX('Per Line'!$D$2:$D$4001,$AA1249)&amp;"")</f>
        <v/>
      </c>
      <c r="E1249" s="11">
        <f>IF($AA1249="","",INDEX('Per Line'!$G$2:$G$4001,$AA1249))</f>
        <v/>
      </c>
      <c r="F1249">
        <f>IF($AA1249="","",INDEX('Per Line'!$H$2:$H$4001,$AA1249)&amp;"")</f>
        <v/>
      </c>
      <c r="G1249">
        <f>IF($AA1249="","",INDEX('Per Line'!$I$2:$I$4001,$AA1249)&amp;"")</f>
        <v/>
      </c>
      <c r="H1249">
        <f>IF($AA1249="","",INDEX('Per Line'!$J$2:$J$4001,$AA1249)&amp;"")</f>
        <v/>
      </c>
      <c r="I1249">
        <f>IF($AA1249="","",INDEX('Per Line'!$K$2:$K$4001,$AA1249)&amp;"")</f>
        <v/>
      </c>
      <c r="J1249">
        <f>IF($AA1249="","",INDEX('Per Line'!$L$2:$L$4001,$AA1249)&amp;"")</f>
        <v/>
      </c>
      <c r="K1249">
        <f>IF($AA1249="","",INDEX('Per Line'!$P$2:$P$4001,$AA1249))</f>
        <v/>
      </c>
      <c r="L1249" s="7">
        <f>IF($AA1249="","",IF(AND(ISNUMBER(N1249),N1249&gt;0,Y1249&gt;N1249),K1249*N1249/100+(Y1249-N1249),K1249*Y1249/100))</f>
        <v/>
      </c>
      <c r="M1249">
        <f>IF($AA1249="","",INDEX('Per Line'!$Z$2:$Z$4001,$AA1249)&amp;"")</f>
        <v/>
      </c>
      <c r="N1249">
        <f>IF($AA1249="","",INDEX('Per Line'!$AG$2:$AG$4001,$AA1249))</f>
        <v/>
      </c>
      <c r="O1249">
        <f>IF($AA1249="","",IF(AND(ISNUMBER(N1249),N1249&gt;0),Y1249&gt;N1249,FALSE))</f>
        <v/>
      </c>
      <c r="P1249" s="7">
        <f>IF($AA1249="","",SUMIFS('Per Line'!$Y$2:$Y$4001,'Per Line'!$E$2:$E$4001,$B1249,'Per Line'!$AQ$2:$AQ$4001,1))</f>
        <v/>
      </c>
      <c r="Q1249">
        <f>IF($AA1249="","",Settings!$C$7)</f>
        <v/>
      </c>
      <c r="R1249" s="7">
        <f>IF($AA1249="","",SUMIFS('Per Line'!$Y$2:$Y$4001,'Per Line'!$E$2:$E$4001,$B1249,'Per Line'!$AP$2:$AP$4001,0,'Per Line'!$AQ$2:$AQ$4001,0))</f>
        <v/>
      </c>
      <c r="S1249" s="7">
        <f>IF($AA1249="","",R1249*Q1249)</f>
        <v/>
      </c>
      <c r="T1249">
        <f>IF($AA1249="","",Settings!$C$6)</f>
        <v/>
      </c>
      <c r="U1249" s="7">
        <f>IF($AA1249="","",SUMIFS('Per Line'!$Y$2:$Y$4001,'Per Line'!$E$2:$E$4001,$B1249,'Per Line'!$AP$2:$AP$4001,1,'Per Line'!$AQ$2:$AQ$4001,0))</f>
        <v/>
      </c>
      <c r="V1249" s="7">
        <f>IF($AA1249="","",U1249*T1249)</f>
        <v/>
      </c>
      <c r="W1249" s="7">
        <f>IF($AA1249="","",V1249+S1249)</f>
        <v/>
      </c>
      <c r="X1249" s="7">
        <f>IF($AA1249="","",Y1249-W1249)</f>
        <v/>
      </c>
      <c r="Y1249" s="7">
        <f>IF($AA1249="","",R1249+U1249+P1249)</f>
        <v/>
      </c>
      <c r="Z1249" s="7">
        <f>IF($AA1249="","",Y1249-W1249-L1249)</f>
        <v/>
      </c>
      <c r="AA1249" s="13">
        <f>IF(ROWS($AA$2:$AA1249)&lt;=MAX('Per Line'!$AO$2:$AO$4001),MATCH(ROWS($AA$2:$AA1249),'Per Line'!$AO$2:$AO$4001,0),"")</f>
        <v/>
      </c>
      <c r="AB1249" s="14">
        <f>IF($AA1249="","",L1249-K1249*Y1249/100)</f>
        <v/>
      </c>
    </row>
    <row r="1250">
      <c r="A1250" s="12" t="n"/>
      <c r="B1250">
        <f>IF($AA1250="","",INDEX('Per Line'!$E$2:$E$4001,$AA1250)&amp;"")</f>
        <v/>
      </c>
      <c r="C1250">
        <f>IF($AA1250="","",INDEX('Per Line'!$A$2:$A$4001,$AA1250)&amp;"")</f>
        <v/>
      </c>
      <c r="D1250">
        <f>IF($AA1250="","",INDEX('Per Line'!$D$2:$D$4001,$AA1250)&amp;"")</f>
        <v/>
      </c>
      <c r="E1250" s="11">
        <f>IF($AA1250="","",INDEX('Per Line'!$G$2:$G$4001,$AA1250))</f>
        <v/>
      </c>
      <c r="F1250">
        <f>IF($AA1250="","",INDEX('Per Line'!$H$2:$H$4001,$AA1250)&amp;"")</f>
        <v/>
      </c>
      <c r="G1250">
        <f>IF($AA1250="","",INDEX('Per Line'!$I$2:$I$4001,$AA1250)&amp;"")</f>
        <v/>
      </c>
      <c r="H1250">
        <f>IF($AA1250="","",INDEX('Per Line'!$J$2:$J$4001,$AA1250)&amp;"")</f>
        <v/>
      </c>
      <c r="I1250">
        <f>IF($AA1250="","",INDEX('Per Line'!$K$2:$K$4001,$AA1250)&amp;"")</f>
        <v/>
      </c>
      <c r="J1250">
        <f>IF($AA1250="","",INDEX('Per Line'!$L$2:$L$4001,$AA1250)&amp;"")</f>
        <v/>
      </c>
      <c r="K1250">
        <f>IF($AA1250="","",INDEX('Per Line'!$P$2:$P$4001,$AA1250))</f>
        <v/>
      </c>
      <c r="L1250" s="7">
        <f>IF($AA1250="","",IF(AND(ISNUMBER(N1250),N1250&gt;0,Y1250&gt;N1250),K1250*N1250/100+(Y1250-N1250),K1250*Y1250/100))</f>
        <v/>
      </c>
      <c r="M1250">
        <f>IF($AA1250="","",INDEX('Per Line'!$Z$2:$Z$4001,$AA1250)&amp;"")</f>
        <v/>
      </c>
      <c r="N1250">
        <f>IF($AA1250="","",INDEX('Per Line'!$AG$2:$AG$4001,$AA1250))</f>
        <v/>
      </c>
      <c r="O1250">
        <f>IF($AA1250="","",IF(AND(ISNUMBER(N1250),N1250&gt;0),Y1250&gt;N1250,FALSE))</f>
        <v/>
      </c>
      <c r="P1250" s="7">
        <f>IF($AA1250="","",SUMIFS('Per Line'!$Y$2:$Y$4001,'Per Line'!$E$2:$E$4001,$B1250,'Per Line'!$AQ$2:$AQ$4001,1))</f>
        <v/>
      </c>
      <c r="Q1250">
        <f>IF($AA1250="","",Settings!$C$7)</f>
        <v/>
      </c>
      <c r="R1250" s="7">
        <f>IF($AA1250="","",SUMIFS('Per Line'!$Y$2:$Y$4001,'Per Line'!$E$2:$E$4001,$B1250,'Per Line'!$AP$2:$AP$4001,0,'Per Line'!$AQ$2:$AQ$4001,0))</f>
        <v/>
      </c>
      <c r="S1250" s="7">
        <f>IF($AA1250="","",R1250*Q1250)</f>
        <v/>
      </c>
      <c r="T1250">
        <f>IF($AA1250="","",Settings!$C$6)</f>
        <v/>
      </c>
      <c r="U1250" s="7">
        <f>IF($AA1250="","",SUMIFS('Per Line'!$Y$2:$Y$4001,'Per Line'!$E$2:$E$4001,$B1250,'Per Line'!$AP$2:$AP$4001,1,'Per Line'!$AQ$2:$AQ$4001,0))</f>
        <v/>
      </c>
      <c r="V1250" s="7">
        <f>IF($AA1250="","",U1250*T1250)</f>
        <v/>
      </c>
      <c r="W1250" s="7">
        <f>IF($AA1250="","",V1250+S1250)</f>
        <v/>
      </c>
      <c r="X1250" s="7">
        <f>IF($AA1250="","",Y1250-W1250)</f>
        <v/>
      </c>
      <c r="Y1250" s="7">
        <f>IF($AA1250="","",R1250+U1250+P1250)</f>
        <v/>
      </c>
      <c r="Z1250" s="7">
        <f>IF($AA1250="","",Y1250-W1250-L1250)</f>
        <v/>
      </c>
      <c r="AA1250" s="13">
        <f>IF(ROWS($AA$2:$AA1250)&lt;=MAX('Per Line'!$AO$2:$AO$4001),MATCH(ROWS($AA$2:$AA1250),'Per Line'!$AO$2:$AO$4001,0),"")</f>
        <v/>
      </c>
      <c r="AB1250" s="14">
        <f>IF($AA1250="","",L1250-K1250*Y1250/100)</f>
        <v/>
      </c>
    </row>
    <row r="1251">
      <c r="A1251" s="12" t="n"/>
      <c r="B1251">
        <f>IF($AA1251="","",INDEX('Per Line'!$E$2:$E$4001,$AA1251)&amp;"")</f>
        <v/>
      </c>
      <c r="C1251">
        <f>IF($AA1251="","",INDEX('Per Line'!$A$2:$A$4001,$AA1251)&amp;"")</f>
        <v/>
      </c>
      <c r="D1251">
        <f>IF($AA1251="","",INDEX('Per Line'!$D$2:$D$4001,$AA1251)&amp;"")</f>
        <v/>
      </c>
      <c r="E1251" s="11">
        <f>IF($AA1251="","",INDEX('Per Line'!$G$2:$G$4001,$AA1251))</f>
        <v/>
      </c>
      <c r="F1251">
        <f>IF($AA1251="","",INDEX('Per Line'!$H$2:$H$4001,$AA1251)&amp;"")</f>
        <v/>
      </c>
      <c r="G1251">
        <f>IF($AA1251="","",INDEX('Per Line'!$I$2:$I$4001,$AA1251)&amp;"")</f>
        <v/>
      </c>
      <c r="H1251">
        <f>IF($AA1251="","",INDEX('Per Line'!$J$2:$J$4001,$AA1251)&amp;"")</f>
        <v/>
      </c>
      <c r="I1251">
        <f>IF($AA1251="","",INDEX('Per Line'!$K$2:$K$4001,$AA1251)&amp;"")</f>
        <v/>
      </c>
      <c r="J1251">
        <f>IF($AA1251="","",INDEX('Per Line'!$L$2:$L$4001,$AA1251)&amp;"")</f>
        <v/>
      </c>
      <c r="K1251">
        <f>IF($AA1251="","",INDEX('Per Line'!$P$2:$P$4001,$AA1251))</f>
        <v/>
      </c>
      <c r="L1251" s="7">
        <f>IF($AA1251="","",IF(AND(ISNUMBER(N1251),N1251&gt;0,Y1251&gt;N1251),K1251*N1251/100+(Y1251-N1251),K1251*Y1251/100))</f>
        <v/>
      </c>
      <c r="M1251">
        <f>IF($AA1251="","",INDEX('Per Line'!$Z$2:$Z$4001,$AA1251)&amp;"")</f>
        <v/>
      </c>
      <c r="N1251">
        <f>IF($AA1251="","",INDEX('Per Line'!$AG$2:$AG$4001,$AA1251))</f>
        <v/>
      </c>
      <c r="O1251">
        <f>IF($AA1251="","",IF(AND(ISNUMBER(N1251),N1251&gt;0),Y1251&gt;N1251,FALSE))</f>
        <v/>
      </c>
      <c r="P1251" s="7">
        <f>IF($AA1251="","",SUMIFS('Per Line'!$Y$2:$Y$4001,'Per Line'!$E$2:$E$4001,$B1251,'Per Line'!$AQ$2:$AQ$4001,1))</f>
        <v/>
      </c>
      <c r="Q1251">
        <f>IF($AA1251="","",Settings!$C$7)</f>
        <v/>
      </c>
      <c r="R1251" s="7">
        <f>IF($AA1251="","",SUMIFS('Per Line'!$Y$2:$Y$4001,'Per Line'!$E$2:$E$4001,$B1251,'Per Line'!$AP$2:$AP$4001,0,'Per Line'!$AQ$2:$AQ$4001,0))</f>
        <v/>
      </c>
      <c r="S1251" s="7">
        <f>IF($AA1251="","",R1251*Q1251)</f>
        <v/>
      </c>
      <c r="T1251">
        <f>IF($AA1251="","",Settings!$C$6)</f>
        <v/>
      </c>
      <c r="U1251" s="7">
        <f>IF($AA1251="","",SUMIFS('Per Line'!$Y$2:$Y$4001,'Per Line'!$E$2:$E$4001,$B1251,'Per Line'!$AP$2:$AP$4001,1,'Per Line'!$AQ$2:$AQ$4001,0))</f>
        <v/>
      </c>
      <c r="V1251" s="7">
        <f>IF($AA1251="","",U1251*T1251)</f>
        <v/>
      </c>
      <c r="W1251" s="7">
        <f>IF($AA1251="","",V1251+S1251)</f>
        <v/>
      </c>
      <c r="X1251" s="7">
        <f>IF($AA1251="","",Y1251-W1251)</f>
        <v/>
      </c>
      <c r="Y1251" s="7">
        <f>IF($AA1251="","",R1251+U1251+P1251)</f>
        <v/>
      </c>
      <c r="Z1251" s="7">
        <f>IF($AA1251="","",Y1251-W1251-L1251)</f>
        <v/>
      </c>
      <c r="AA1251" s="13">
        <f>IF(ROWS($AA$2:$AA1251)&lt;=MAX('Per Line'!$AO$2:$AO$4001),MATCH(ROWS($AA$2:$AA1251),'Per Line'!$AO$2:$AO$4001,0),"")</f>
        <v/>
      </c>
      <c r="AB1251" s="14">
        <f>IF($AA1251="","",L1251-K1251*Y1251/100)</f>
        <v/>
      </c>
    </row>
    <row r="1252">
      <c r="A1252" s="12" t="n"/>
      <c r="B1252">
        <f>IF($AA1252="","",INDEX('Per Line'!$E$2:$E$4001,$AA1252)&amp;"")</f>
        <v/>
      </c>
      <c r="C1252">
        <f>IF($AA1252="","",INDEX('Per Line'!$A$2:$A$4001,$AA1252)&amp;"")</f>
        <v/>
      </c>
      <c r="D1252">
        <f>IF($AA1252="","",INDEX('Per Line'!$D$2:$D$4001,$AA1252)&amp;"")</f>
        <v/>
      </c>
      <c r="E1252" s="11">
        <f>IF($AA1252="","",INDEX('Per Line'!$G$2:$G$4001,$AA1252))</f>
        <v/>
      </c>
      <c r="F1252">
        <f>IF($AA1252="","",INDEX('Per Line'!$H$2:$H$4001,$AA1252)&amp;"")</f>
        <v/>
      </c>
      <c r="G1252">
        <f>IF($AA1252="","",INDEX('Per Line'!$I$2:$I$4001,$AA1252)&amp;"")</f>
        <v/>
      </c>
      <c r="H1252">
        <f>IF($AA1252="","",INDEX('Per Line'!$J$2:$J$4001,$AA1252)&amp;"")</f>
        <v/>
      </c>
      <c r="I1252">
        <f>IF($AA1252="","",INDEX('Per Line'!$K$2:$K$4001,$AA1252)&amp;"")</f>
        <v/>
      </c>
      <c r="J1252">
        <f>IF($AA1252="","",INDEX('Per Line'!$L$2:$L$4001,$AA1252)&amp;"")</f>
        <v/>
      </c>
      <c r="K1252">
        <f>IF($AA1252="","",INDEX('Per Line'!$P$2:$P$4001,$AA1252))</f>
        <v/>
      </c>
      <c r="L1252" s="7">
        <f>IF($AA1252="","",IF(AND(ISNUMBER(N1252),N1252&gt;0,Y1252&gt;N1252),K1252*N1252/100+(Y1252-N1252),K1252*Y1252/100))</f>
        <v/>
      </c>
      <c r="M1252">
        <f>IF($AA1252="","",INDEX('Per Line'!$Z$2:$Z$4001,$AA1252)&amp;"")</f>
        <v/>
      </c>
      <c r="N1252">
        <f>IF($AA1252="","",INDEX('Per Line'!$AG$2:$AG$4001,$AA1252))</f>
        <v/>
      </c>
      <c r="O1252">
        <f>IF($AA1252="","",IF(AND(ISNUMBER(N1252),N1252&gt;0),Y1252&gt;N1252,FALSE))</f>
        <v/>
      </c>
      <c r="P1252" s="7">
        <f>IF($AA1252="","",SUMIFS('Per Line'!$Y$2:$Y$4001,'Per Line'!$E$2:$E$4001,$B1252,'Per Line'!$AQ$2:$AQ$4001,1))</f>
        <v/>
      </c>
      <c r="Q1252">
        <f>IF($AA1252="","",Settings!$C$7)</f>
        <v/>
      </c>
      <c r="R1252" s="7">
        <f>IF($AA1252="","",SUMIFS('Per Line'!$Y$2:$Y$4001,'Per Line'!$E$2:$E$4001,$B1252,'Per Line'!$AP$2:$AP$4001,0,'Per Line'!$AQ$2:$AQ$4001,0))</f>
        <v/>
      </c>
      <c r="S1252" s="7">
        <f>IF($AA1252="","",R1252*Q1252)</f>
        <v/>
      </c>
      <c r="T1252">
        <f>IF($AA1252="","",Settings!$C$6)</f>
        <v/>
      </c>
      <c r="U1252" s="7">
        <f>IF($AA1252="","",SUMIFS('Per Line'!$Y$2:$Y$4001,'Per Line'!$E$2:$E$4001,$B1252,'Per Line'!$AP$2:$AP$4001,1,'Per Line'!$AQ$2:$AQ$4001,0))</f>
        <v/>
      </c>
      <c r="V1252" s="7">
        <f>IF($AA1252="","",U1252*T1252)</f>
        <v/>
      </c>
      <c r="W1252" s="7">
        <f>IF($AA1252="","",V1252+S1252)</f>
        <v/>
      </c>
      <c r="X1252" s="7">
        <f>IF($AA1252="","",Y1252-W1252)</f>
        <v/>
      </c>
      <c r="Y1252" s="7">
        <f>IF($AA1252="","",R1252+U1252+P1252)</f>
        <v/>
      </c>
      <c r="Z1252" s="7">
        <f>IF($AA1252="","",Y1252-W1252-L1252)</f>
        <v/>
      </c>
      <c r="AA1252" s="13">
        <f>IF(ROWS($AA$2:$AA1252)&lt;=MAX('Per Line'!$AO$2:$AO$4001),MATCH(ROWS($AA$2:$AA1252),'Per Line'!$AO$2:$AO$4001,0),"")</f>
        <v/>
      </c>
      <c r="AB1252" s="14">
        <f>IF($AA1252="","",L1252-K1252*Y1252/100)</f>
        <v/>
      </c>
    </row>
    <row r="1253">
      <c r="A1253" s="12" t="n"/>
      <c r="B1253">
        <f>IF($AA1253="","",INDEX('Per Line'!$E$2:$E$4001,$AA1253)&amp;"")</f>
        <v/>
      </c>
      <c r="C1253">
        <f>IF($AA1253="","",INDEX('Per Line'!$A$2:$A$4001,$AA1253)&amp;"")</f>
        <v/>
      </c>
      <c r="D1253">
        <f>IF($AA1253="","",INDEX('Per Line'!$D$2:$D$4001,$AA1253)&amp;"")</f>
        <v/>
      </c>
      <c r="E1253" s="11">
        <f>IF($AA1253="","",INDEX('Per Line'!$G$2:$G$4001,$AA1253))</f>
        <v/>
      </c>
      <c r="F1253">
        <f>IF($AA1253="","",INDEX('Per Line'!$H$2:$H$4001,$AA1253)&amp;"")</f>
        <v/>
      </c>
      <c r="G1253">
        <f>IF($AA1253="","",INDEX('Per Line'!$I$2:$I$4001,$AA1253)&amp;"")</f>
        <v/>
      </c>
      <c r="H1253">
        <f>IF($AA1253="","",INDEX('Per Line'!$J$2:$J$4001,$AA1253)&amp;"")</f>
        <v/>
      </c>
      <c r="I1253">
        <f>IF($AA1253="","",INDEX('Per Line'!$K$2:$K$4001,$AA1253)&amp;"")</f>
        <v/>
      </c>
      <c r="J1253">
        <f>IF($AA1253="","",INDEX('Per Line'!$L$2:$L$4001,$AA1253)&amp;"")</f>
        <v/>
      </c>
      <c r="K1253">
        <f>IF($AA1253="","",INDEX('Per Line'!$P$2:$P$4001,$AA1253))</f>
        <v/>
      </c>
      <c r="L1253" s="7">
        <f>IF($AA1253="","",IF(AND(ISNUMBER(N1253),N1253&gt;0,Y1253&gt;N1253),K1253*N1253/100+(Y1253-N1253),K1253*Y1253/100))</f>
        <v/>
      </c>
      <c r="M1253">
        <f>IF($AA1253="","",INDEX('Per Line'!$Z$2:$Z$4001,$AA1253)&amp;"")</f>
        <v/>
      </c>
      <c r="N1253">
        <f>IF($AA1253="","",INDEX('Per Line'!$AG$2:$AG$4001,$AA1253))</f>
        <v/>
      </c>
      <c r="O1253">
        <f>IF($AA1253="","",IF(AND(ISNUMBER(N1253),N1253&gt;0),Y1253&gt;N1253,FALSE))</f>
        <v/>
      </c>
      <c r="P1253" s="7">
        <f>IF($AA1253="","",SUMIFS('Per Line'!$Y$2:$Y$4001,'Per Line'!$E$2:$E$4001,$B1253,'Per Line'!$AQ$2:$AQ$4001,1))</f>
        <v/>
      </c>
      <c r="Q1253">
        <f>IF($AA1253="","",Settings!$C$7)</f>
        <v/>
      </c>
      <c r="R1253" s="7">
        <f>IF($AA1253="","",SUMIFS('Per Line'!$Y$2:$Y$4001,'Per Line'!$E$2:$E$4001,$B1253,'Per Line'!$AP$2:$AP$4001,0,'Per Line'!$AQ$2:$AQ$4001,0))</f>
        <v/>
      </c>
      <c r="S1253" s="7">
        <f>IF($AA1253="","",R1253*Q1253)</f>
        <v/>
      </c>
      <c r="T1253">
        <f>IF($AA1253="","",Settings!$C$6)</f>
        <v/>
      </c>
      <c r="U1253" s="7">
        <f>IF($AA1253="","",SUMIFS('Per Line'!$Y$2:$Y$4001,'Per Line'!$E$2:$E$4001,$B1253,'Per Line'!$AP$2:$AP$4001,1,'Per Line'!$AQ$2:$AQ$4001,0))</f>
        <v/>
      </c>
      <c r="V1253" s="7">
        <f>IF($AA1253="","",U1253*T1253)</f>
        <v/>
      </c>
      <c r="W1253" s="7">
        <f>IF($AA1253="","",V1253+S1253)</f>
        <v/>
      </c>
      <c r="X1253" s="7">
        <f>IF($AA1253="","",Y1253-W1253)</f>
        <v/>
      </c>
      <c r="Y1253" s="7">
        <f>IF($AA1253="","",R1253+U1253+P1253)</f>
        <v/>
      </c>
      <c r="Z1253" s="7">
        <f>IF($AA1253="","",Y1253-W1253-L1253)</f>
        <v/>
      </c>
      <c r="AA1253" s="13">
        <f>IF(ROWS($AA$2:$AA1253)&lt;=MAX('Per Line'!$AO$2:$AO$4001),MATCH(ROWS($AA$2:$AA1253),'Per Line'!$AO$2:$AO$4001,0),"")</f>
        <v/>
      </c>
      <c r="AB1253" s="14">
        <f>IF($AA1253="","",L1253-K1253*Y1253/100)</f>
        <v/>
      </c>
    </row>
    <row r="1254">
      <c r="A1254" s="12" t="n"/>
      <c r="B1254">
        <f>IF($AA1254="","",INDEX('Per Line'!$E$2:$E$4001,$AA1254)&amp;"")</f>
        <v/>
      </c>
      <c r="C1254">
        <f>IF($AA1254="","",INDEX('Per Line'!$A$2:$A$4001,$AA1254)&amp;"")</f>
        <v/>
      </c>
      <c r="D1254">
        <f>IF($AA1254="","",INDEX('Per Line'!$D$2:$D$4001,$AA1254)&amp;"")</f>
        <v/>
      </c>
      <c r="E1254" s="11">
        <f>IF($AA1254="","",INDEX('Per Line'!$G$2:$G$4001,$AA1254))</f>
        <v/>
      </c>
      <c r="F1254">
        <f>IF($AA1254="","",INDEX('Per Line'!$H$2:$H$4001,$AA1254)&amp;"")</f>
        <v/>
      </c>
      <c r="G1254">
        <f>IF($AA1254="","",INDEX('Per Line'!$I$2:$I$4001,$AA1254)&amp;"")</f>
        <v/>
      </c>
      <c r="H1254">
        <f>IF($AA1254="","",INDEX('Per Line'!$J$2:$J$4001,$AA1254)&amp;"")</f>
        <v/>
      </c>
      <c r="I1254">
        <f>IF($AA1254="","",INDEX('Per Line'!$K$2:$K$4001,$AA1254)&amp;"")</f>
        <v/>
      </c>
      <c r="J1254">
        <f>IF($AA1254="","",INDEX('Per Line'!$L$2:$L$4001,$AA1254)&amp;"")</f>
        <v/>
      </c>
      <c r="K1254">
        <f>IF($AA1254="","",INDEX('Per Line'!$P$2:$P$4001,$AA1254))</f>
        <v/>
      </c>
      <c r="L1254" s="7">
        <f>IF($AA1254="","",IF(AND(ISNUMBER(N1254),N1254&gt;0,Y1254&gt;N1254),K1254*N1254/100+(Y1254-N1254),K1254*Y1254/100))</f>
        <v/>
      </c>
      <c r="M1254">
        <f>IF($AA1254="","",INDEX('Per Line'!$Z$2:$Z$4001,$AA1254)&amp;"")</f>
        <v/>
      </c>
      <c r="N1254">
        <f>IF($AA1254="","",INDEX('Per Line'!$AG$2:$AG$4001,$AA1254))</f>
        <v/>
      </c>
      <c r="O1254">
        <f>IF($AA1254="","",IF(AND(ISNUMBER(N1254),N1254&gt;0),Y1254&gt;N1254,FALSE))</f>
        <v/>
      </c>
      <c r="P1254" s="7">
        <f>IF($AA1254="","",SUMIFS('Per Line'!$Y$2:$Y$4001,'Per Line'!$E$2:$E$4001,$B1254,'Per Line'!$AQ$2:$AQ$4001,1))</f>
        <v/>
      </c>
      <c r="Q1254">
        <f>IF($AA1254="","",Settings!$C$7)</f>
        <v/>
      </c>
      <c r="R1254" s="7">
        <f>IF($AA1254="","",SUMIFS('Per Line'!$Y$2:$Y$4001,'Per Line'!$E$2:$E$4001,$B1254,'Per Line'!$AP$2:$AP$4001,0,'Per Line'!$AQ$2:$AQ$4001,0))</f>
        <v/>
      </c>
      <c r="S1254" s="7">
        <f>IF($AA1254="","",R1254*Q1254)</f>
        <v/>
      </c>
      <c r="T1254">
        <f>IF($AA1254="","",Settings!$C$6)</f>
        <v/>
      </c>
      <c r="U1254" s="7">
        <f>IF($AA1254="","",SUMIFS('Per Line'!$Y$2:$Y$4001,'Per Line'!$E$2:$E$4001,$B1254,'Per Line'!$AP$2:$AP$4001,1,'Per Line'!$AQ$2:$AQ$4001,0))</f>
        <v/>
      </c>
      <c r="V1254" s="7">
        <f>IF($AA1254="","",U1254*T1254)</f>
        <v/>
      </c>
      <c r="W1254" s="7">
        <f>IF($AA1254="","",V1254+S1254)</f>
        <v/>
      </c>
      <c r="X1254" s="7">
        <f>IF($AA1254="","",Y1254-W1254)</f>
        <v/>
      </c>
      <c r="Y1254" s="7">
        <f>IF($AA1254="","",R1254+U1254+P1254)</f>
        <v/>
      </c>
      <c r="Z1254" s="7">
        <f>IF($AA1254="","",Y1254-W1254-L1254)</f>
        <v/>
      </c>
      <c r="AA1254" s="13">
        <f>IF(ROWS($AA$2:$AA1254)&lt;=MAX('Per Line'!$AO$2:$AO$4001),MATCH(ROWS($AA$2:$AA1254),'Per Line'!$AO$2:$AO$4001,0),"")</f>
        <v/>
      </c>
      <c r="AB1254" s="14">
        <f>IF($AA1254="","",L1254-K1254*Y1254/100)</f>
        <v/>
      </c>
    </row>
    <row r="1255">
      <c r="A1255" s="12" t="n"/>
      <c r="B1255">
        <f>IF($AA1255="","",INDEX('Per Line'!$E$2:$E$4001,$AA1255)&amp;"")</f>
        <v/>
      </c>
      <c r="C1255">
        <f>IF($AA1255="","",INDEX('Per Line'!$A$2:$A$4001,$AA1255)&amp;"")</f>
        <v/>
      </c>
      <c r="D1255">
        <f>IF($AA1255="","",INDEX('Per Line'!$D$2:$D$4001,$AA1255)&amp;"")</f>
        <v/>
      </c>
      <c r="E1255" s="11">
        <f>IF($AA1255="","",INDEX('Per Line'!$G$2:$G$4001,$AA1255))</f>
        <v/>
      </c>
      <c r="F1255">
        <f>IF($AA1255="","",INDEX('Per Line'!$H$2:$H$4001,$AA1255)&amp;"")</f>
        <v/>
      </c>
      <c r="G1255">
        <f>IF($AA1255="","",INDEX('Per Line'!$I$2:$I$4001,$AA1255)&amp;"")</f>
        <v/>
      </c>
      <c r="H1255">
        <f>IF($AA1255="","",INDEX('Per Line'!$J$2:$J$4001,$AA1255)&amp;"")</f>
        <v/>
      </c>
      <c r="I1255">
        <f>IF($AA1255="","",INDEX('Per Line'!$K$2:$K$4001,$AA1255)&amp;"")</f>
        <v/>
      </c>
      <c r="J1255">
        <f>IF($AA1255="","",INDEX('Per Line'!$L$2:$L$4001,$AA1255)&amp;"")</f>
        <v/>
      </c>
      <c r="K1255">
        <f>IF($AA1255="","",INDEX('Per Line'!$P$2:$P$4001,$AA1255))</f>
        <v/>
      </c>
      <c r="L1255" s="7">
        <f>IF($AA1255="","",IF(AND(ISNUMBER(N1255),N1255&gt;0,Y1255&gt;N1255),K1255*N1255/100+(Y1255-N1255),K1255*Y1255/100))</f>
        <v/>
      </c>
      <c r="M1255">
        <f>IF($AA1255="","",INDEX('Per Line'!$Z$2:$Z$4001,$AA1255)&amp;"")</f>
        <v/>
      </c>
      <c r="N1255">
        <f>IF($AA1255="","",INDEX('Per Line'!$AG$2:$AG$4001,$AA1255))</f>
        <v/>
      </c>
      <c r="O1255">
        <f>IF($AA1255="","",IF(AND(ISNUMBER(N1255),N1255&gt;0),Y1255&gt;N1255,FALSE))</f>
        <v/>
      </c>
      <c r="P1255" s="7">
        <f>IF($AA1255="","",SUMIFS('Per Line'!$Y$2:$Y$4001,'Per Line'!$E$2:$E$4001,$B1255,'Per Line'!$AQ$2:$AQ$4001,1))</f>
        <v/>
      </c>
      <c r="Q1255">
        <f>IF($AA1255="","",Settings!$C$7)</f>
        <v/>
      </c>
      <c r="R1255" s="7">
        <f>IF($AA1255="","",SUMIFS('Per Line'!$Y$2:$Y$4001,'Per Line'!$E$2:$E$4001,$B1255,'Per Line'!$AP$2:$AP$4001,0,'Per Line'!$AQ$2:$AQ$4001,0))</f>
        <v/>
      </c>
      <c r="S1255" s="7">
        <f>IF($AA1255="","",R1255*Q1255)</f>
        <v/>
      </c>
      <c r="T1255">
        <f>IF($AA1255="","",Settings!$C$6)</f>
        <v/>
      </c>
      <c r="U1255" s="7">
        <f>IF($AA1255="","",SUMIFS('Per Line'!$Y$2:$Y$4001,'Per Line'!$E$2:$E$4001,$B1255,'Per Line'!$AP$2:$AP$4001,1,'Per Line'!$AQ$2:$AQ$4001,0))</f>
        <v/>
      </c>
      <c r="V1255" s="7">
        <f>IF($AA1255="","",U1255*T1255)</f>
        <v/>
      </c>
      <c r="W1255" s="7">
        <f>IF($AA1255="","",V1255+S1255)</f>
        <v/>
      </c>
      <c r="X1255" s="7">
        <f>IF($AA1255="","",Y1255-W1255)</f>
        <v/>
      </c>
      <c r="Y1255" s="7">
        <f>IF($AA1255="","",R1255+U1255+P1255)</f>
        <v/>
      </c>
      <c r="Z1255" s="7">
        <f>IF($AA1255="","",Y1255-W1255-L1255)</f>
        <v/>
      </c>
      <c r="AA1255" s="13">
        <f>IF(ROWS($AA$2:$AA1255)&lt;=MAX('Per Line'!$AO$2:$AO$4001),MATCH(ROWS($AA$2:$AA1255),'Per Line'!$AO$2:$AO$4001,0),"")</f>
        <v/>
      </c>
      <c r="AB1255" s="14">
        <f>IF($AA1255="","",L1255-K1255*Y1255/100)</f>
        <v/>
      </c>
    </row>
    <row r="1256">
      <c r="A1256" s="12" t="n"/>
      <c r="B1256">
        <f>IF($AA1256="","",INDEX('Per Line'!$E$2:$E$4001,$AA1256)&amp;"")</f>
        <v/>
      </c>
      <c r="C1256">
        <f>IF($AA1256="","",INDEX('Per Line'!$A$2:$A$4001,$AA1256)&amp;"")</f>
        <v/>
      </c>
      <c r="D1256">
        <f>IF($AA1256="","",INDEX('Per Line'!$D$2:$D$4001,$AA1256)&amp;"")</f>
        <v/>
      </c>
      <c r="E1256" s="11">
        <f>IF($AA1256="","",INDEX('Per Line'!$G$2:$G$4001,$AA1256))</f>
        <v/>
      </c>
      <c r="F1256">
        <f>IF($AA1256="","",INDEX('Per Line'!$H$2:$H$4001,$AA1256)&amp;"")</f>
        <v/>
      </c>
      <c r="G1256">
        <f>IF($AA1256="","",INDEX('Per Line'!$I$2:$I$4001,$AA1256)&amp;"")</f>
        <v/>
      </c>
      <c r="H1256">
        <f>IF($AA1256="","",INDEX('Per Line'!$J$2:$J$4001,$AA1256)&amp;"")</f>
        <v/>
      </c>
      <c r="I1256">
        <f>IF($AA1256="","",INDEX('Per Line'!$K$2:$K$4001,$AA1256)&amp;"")</f>
        <v/>
      </c>
      <c r="J1256">
        <f>IF($AA1256="","",INDEX('Per Line'!$L$2:$L$4001,$AA1256)&amp;"")</f>
        <v/>
      </c>
      <c r="K1256">
        <f>IF($AA1256="","",INDEX('Per Line'!$P$2:$P$4001,$AA1256))</f>
        <v/>
      </c>
      <c r="L1256" s="7">
        <f>IF($AA1256="","",IF(AND(ISNUMBER(N1256),N1256&gt;0,Y1256&gt;N1256),K1256*N1256/100+(Y1256-N1256),K1256*Y1256/100))</f>
        <v/>
      </c>
      <c r="M1256">
        <f>IF($AA1256="","",INDEX('Per Line'!$Z$2:$Z$4001,$AA1256)&amp;"")</f>
        <v/>
      </c>
      <c r="N1256">
        <f>IF($AA1256="","",INDEX('Per Line'!$AG$2:$AG$4001,$AA1256))</f>
        <v/>
      </c>
      <c r="O1256">
        <f>IF($AA1256="","",IF(AND(ISNUMBER(N1256),N1256&gt;0),Y1256&gt;N1256,FALSE))</f>
        <v/>
      </c>
      <c r="P1256" s="7">
        <f>IF($AA1256="","",SUMIFS('Per Line'!$Y$2:$Y$4001,'Per Line'!$E$2:$E$4001,$B1256,'Per Line'!$AQ$2:$AQ$4001,1))</f>
        <v/>
      </c>
      <c r="Q1256">
        <f>IF($AA1256="","",Settings!$C$7)</f>
        <v/>
      </c>
      <c r="R1256" s="7">
        <f>IF($AA1256="","",SUMIFS('Per Line'!$Y$2:$Y$4001,'Per Line'!$E$2:$E$4001,$B1256,'Per Line'!$AP$2:$AP$4001,0,'Per Line'!$AQ$2:$AQ$4001,0))</f>
        <v/>
      </c>
      <c r="S1256" s="7">
        <f>IF($AA1256="","",R1256*Q1256)</f>
        <v/>
      </c>
      <c r="T1256">
        <f>IF($AA1256="","",Settings!$C$6)</f>
        <v/>
      </c>
      <c r="U1256" s="7">
        <f>IF($AA1256="","",SUMIFS('Per Line'!$Y$2:$Y$4001,'Per Line'!$E$2:$E$4001,$B1256,'Per Line'!$AP$2:$AP$4001,1,'Per Line'!$AQ$2:$AQ$4001,0))</f>
        <v/>
      </c>
      <c r="V1256" s="7">
        <f>IF($AA1256="","",U1256*T1256)</f>
        <v/>
      </c>
      <c r="W1256" s="7">
        <f>IF($AA1256="","",V1256+S1256)</f>
        <v/>
      </c>
      <c r="X1256" s="7">
        <f>IF($AA1256="","",Y1256-W1256)</f>
        <v/>
      </c>
      <c r="Y1256" s="7">
        <f>IF($AA1256="","",R1256+U1256+P1256)</f>
        <v/>
      </c>
      <c r="Z1256" s="7">
        <f>IF($AA1256="","",Y1256-W1256-L1256)</f>
        <v/>
      </c>
      <c r="AA1256" s="13">
        <f>IF(ROWS($AA$2:$AA1256)&lt;=MAX('Per Line'!$AO$2:$AO$4001),MATCH(ROWS($AA$2:$AA1256),'Per Line'!$AO$2:$AO$4001,0),"")</f>
        <v/>
      </c>
      <c r="AB1256" s="14">
        <f>IF($AA1256="","",L1256-K1256*Y1256/100)</f>
        <v/>
      </c>
    </row>
    <row r="1257">
      <c r="A1257" s="12" t="n"/>
      <c r="B1257">
        <f>IF($AA1257="","",INDEX('Per Line'!$E$2:$E$4001,$AA1257)&amp;"")</f>
        <v/>
      </c>
      <c r="C1257">
        <f>IF($AA1257="","",INDEX('Per Line'!$A$2:$A$4001,$AA1257)&amp;"")</f>
        <v/>
      </c>
      <c r="D1257">
        <f>IF($AA1257="","",INDEX('Per Line'!$D$2:$D$4001,$AA1257)&amp;"")</f>
        <v/>
      </c>
      <c r="E1257" s="11">
        <f>IF($AA1257="","",INDEX('Per Line'!$G$2:$G$4001,$AA1257))</f>
        <v/>
      </c>
      <c r="F1257">
        <f>IF($AA1257="","",INDEX('Per Line'!$H$2:$H$4001,$AA1257)&amp;"")</f>
        <v/>
      </c>
      <c r="G1257">
        <f>IF($AA1257="","",INDEX('Per Line'!$I$2:$I$4001,$AA1257)&amp;"")</f>
        <v/>
      </c>
      <c r="H1257">
        <f>IF($AA1257="","",INDEX('Per Line'!$J$2:$J$4001,$AA1257)&amp;"")</f>
        <v/>
      </c>
      <c r="I1257">
        <f>IF($AA1257="","",INDEX('Per Line'!$K$2:$K$4001,$AA1257)&amp;"")</f>
        <v/>
      </c>
      <c r="J1257">
        <f>IF($AA1257="","",INDEX('Per Line'!$L$2:$L$4001,$AA1257)&amp;"")</f>
        <v/>
      </c>
      <c r="K1257">
        <f>IF($AA1257="","",INDEX('Per Line'!$P$2:$P$4001,$AA1257))</f>
        <v/>
      </c>
      <c r="L1257" s="7">
        <f>IF($AA1257="","",IF(AND(ISNUMBER(N1257),N1257&gt;0,Y1257&gt;N1257),K1257*N1257/100+(Y1257-N1257),K1257*Y1257/100))</f>
        <v/>
      </c>
      <c r="M1257">
        <f>IF($AA1257="","",INDEX('Per Line'!$Z$2:$Z$4001,$AA1257)&amp;"")</f>
        <v/>
      </c>
      <c r="N1257">
        <f>IF($AA1257="","",INDEX('Per Line'!$AG$2:$AG$4001,$AA1257))</f>
        <v/>
      </c>
      <c r="O1257">
        <f>IF($AA1257="","",IF(AND(ISNUMBER(N1257),N1257&gt;0),Y1257&gt;N1257,FALSE))</f>
        <v/>
      </c>
      <c r="P1257" s="7">
        <f>IF($AA1257="","",SUMIFS('Per Line'!$Y$2:$Y$4001,'Per Line'!$E$2:$E$4001,$B1257,'Per Line'!$AQ$2:$AQ$4001,1))</f>
        <v/>
      </c>
      <c r="Q1257">
        <f>IF($AA1257="","",Settings!$C$7)</f>
        <v/>
      </c>
      <c r="R1257" s="7">
        <f>IF($AA1257="","",SUMIFS('Per Line'!$Y$2:$Y$4001,'Per Line'!$E$2:$E$4001,$B1257,'Per Line'!$AP$2:$AP$4001,0,'Per Line'!$AQ$2:$AQ$4001,0))</f>
        <v/>
      </c>
      <c r="S1257" s="7">
        <f>IF($AA1257="","",R1257*Q1257)</f>
        <v/>
      </c>
      <c r="T1257">
        <f>IF($AA1257="","",Settings!$C$6)</f>
        <v/>
      </c>
      <c r="U1257" s="7">
        <f>IF($AA1257="","",SUMIFS('Per Line'!$Y$2:$Y$4001,'Per Line'!$E$2:$E$4001,$B1257,'Per Line'!$AP$2:$AP$4001,1,'Per Line'!$AQ$2:$AQ$4001,0))</f>
        <v/>
      </c>
      <c r="V1257" s="7">
        <f>IF($AA1257="","",U1257*T1257)</f>
        <v/>
      </c>
      <c r="W1257" s="7">
        <f>IF($AA1257="","",V1257+S1257)</f>
        <v/>
      </c>
      <c r="X1257" s="7">
        <f>IF($AA1257="","",Y1257-W1257)</f>
        <v/>
      </c>
      <c r="Y1257" s="7">
        <f>IF($AA1257="","",R1257+U1257+P1257)</f>
        <v/>
      </c>
      <c r="Z1257" s="7">
        <f>IF($AA1257="","",Y1257-W1257-L1257)</f>
        <v/>
      </c>
      <c r="AA1257" s="13">
        <f>IF(ROWS($AA$2:$AA1257)&lt;=MAX('Per Line'!$AO$2:$AO$4001),MATCH(ROWS($AA$2:$AA1257),'Per Line'!$AO$2:$AO$4001,0),"")</f>
        <v/>
      </c>
      <c r="AB1257" s="14">
        <f>IF($AA1257="","",L1257-K1257*Y1257/100)</f>
        <v/>
      </c>
    </row>
    <row r="1258">
      <c r="A1258" s="12" t="n"/>
      <c r="B1258">
        <f>IF($AA1258="","",INDEX('Per Line'!$E$2:$E$4001,$AA1258)&amp;"")</f>
        <v/>
      </c>
      <c r="C1258">
        <f>IF($AA1258="","",INDEX('Per Line'!$A$2:$A$4001,$AA1258)&amp;"")</f>
        <v/>
      </c>
      <c r="D1258">
        <f>IF($AA1258="","",INDEX('Per Line'!$D$2:$D$4001,$AA1258)&amp;"")</f>
        <v/>
      </c>
      <c r="E1258" s="11">
        <f>IF($AA1258="","",INDEX('Per Line'!$G$2:$G$4001,$AA1258))</f>
        <v/>
      </c>
      <c r="F1258">
        <f>IF($AA1258="","",INDEX('Per Line'!$H$2:$H$4001,$AA1258)&amp;"")</f>
        <v/>
      </c>
      <c r="G1258">
        <f>IF($AA1258="","",INDEX('Per Line'!$I$2:$I$4001,$AA1258)&amp;"")</f>
        <v/>
      </c>
      <c r="H1258">
        <f>IF($AA1258="","",INDEX('Per Line'!$J$2:$J$4001,$AA1258)&amp;"")</f>
        <v/>
      </c>
      <c r="I1258">
        <f>IF($AA1258="","",INDEX('Per Line'!$K$2:$K$4001,$AA1258)&amp;"")</f>
        <v/>
      </c>
      <c r="J1258">
        <f>IF($AA1258="","",INDEX('Per Line'!$L$2:$L$4001,$AA1258)&amp;"")</f>
        <v/>
      </c>
      <c r="K1258">
        <f>IF($AA1258="","",INDEX('Per Line'!$P$2:$P$4001,$AA1258))</f>
        <v/>
      </c>
      <c r="L1258" s="7">
        <f>IF($AA1258="","",IF(AND(ISNUMBER(N1258),N1258&gt;0,Y1258&gt;N1258),K1258*N1258/100+(Y1258-N1258),K1258*Y1258/100))</f>
        <v/>
      </c>
      <c r="M1258">
        <f>IF($AA1258="","",INDEX('Per Line'!$Z$2:$Z$4001,$AA1258)&amp;"")</f>
        <v/>
      </c>
      <c r="N1258">
        <f>IF($AA1258="","",INDEX('Per Line'!$AG$2:$AG$4001,$AA1258))</f>
        <v/>
      </c>
      <c r="O1258">
        <f>IF($AA1258="","",IF(AND(ISNUMBER(N1258),N1258&gt;0),Y1258&gt;N1258,FALSE))</f>
        <v/>
      </c>
      <c r="P1258" s="7">
        <f>IF($AA1258="","",SUMIFS('Per Line'!$Y$2:$Y$4001,'Per Line'!$E$2:$E$4001,$B1258,'Per Line'!$AQ$2:$AQ$4001,1))</f>
        <v/>
      </c>
      <c r="Q1258">
        <f>IF($AA1258="","",Settings!$C$7)</f>
        <v/>
      </c>
      <c r="R1258" s="7">
        <f>IF($AA1258="","",SUMIFS('Per Line'!$Y$2:$Y$4001,'Per Line'!$E$2:$E$4001,$B1258,'Per Line'!$AP$2:$AP$4001,0,'Per Line'!$AQ$2:$AQ$4001,0))</f>
        <v/>
      </c>
      <c r="S1258" s="7">
        <f>IF($AA1258="","",R1258*Q1258)</f>
        <v/>
      </c>
      <c r="T1258">
        <f>IF($AA1258="","",Settings!$C$6)</f>
        <v/>
      </c>
      <c r="U1258" s="7">
        <f>IF($AA1258="","",SUMIFS('Per Line'!$Y$2:$Y$4001,'Per Line'!$E$2:$E$4001,$B1258,'Per Line'!$AP$2:$AP$4001,1,'Per Line'!$AQ$2:$AQ$4001,0))</f>
        <v/>
      </c>
      <c r="V1258" s="7">
        <f>IF($AA1258="","",U1258*T1258)</f>
        <v/>
      </c>
      <c r="W1258" s="7">
        <f>IF($AA1258="","",V1258+S1258)</f>
        <v/>
      </c>
      <c r="X1258" s="7">
        <f>IF($AA1258="","",Y1258-W1258)</f>
        <v/>
      </c>
      <c r="Y1258" s="7">
        <f>IF($AA1258="","",R1258+U1258+P1258)</f>
        <v/>
      </c>
      <c r="Z1258" s="7">
        <f>IF($AA1258="","",Y1258-W1258-L1258)</f>
        <v/>
      </c>
      <c r="AA1258" s="13">
        <f>IF(ROWS($AA$2:$AA1258)&lt;=MAX('Per Line'!$AO$2:$AO$4001),MATCH(ROWS($AA$2:$AA1258),'Per Line'!$AO$2:$AO$4001,0),"")</f>
        <v/>
      </c>
      <c r="AB1258" s="14">
        <f>IF($AA1258="","",L1258-K1258*Y1258/100)</f>
        <v/>
      </c>
    </row>
    <row r="1259">
      <c r="A1259" s="12" t="n"/>
      <c r="B1259">
        <f>IF($AA1259="","",INDEX('Per Line'!$E$2:$E$4001,$AA1259)&amp;"")</f>
        <v/>
      </c>
      <c r="C1259">
        <f>IF($AA1259="","",INDEX('Per Line'!$A$2:$A$4001,$AA1259)&amp;"")</f>
        <v/>
      </c>
      <c r="D1259">
        <f>IF($AA1259="","",INDEX('Per Line'!$D$2:$D$4001,$AA1259)&amp;"")</f>
        <v/>
      </c>
      <c r="E1259" s="11">
        <f>IF($AA1259="","",INDEX('Per Line'!$G$2:$G$4001,$AA1259))</f>
        <v/>
      </c>
      <c r="F1259">
        <f>IF($AA1259="","",INDEX('Per Line'!$H$2:$H$4001,$AA1259)&amp;"")</f>
        <v/>
      </c>
      <c r="G1259">
        <f>IF($AA1259="","",INDEX('Per Line'!$I$2:$I$4001,$AA1259)&amp;"")</f>
        <v/>
      </c>
      <c r="H1259">
        <f>IF($AA1259="","",INDEX('Per Line'!$J$2:$J$4001,$AA1259)&amp;"")</f>
        <v/>
      </c>
      <c r="I1259">
        <f>IF($AA1259="","",INDEX('Per Line'!$K$2:$K$4001,$AA1259)&amp;"")</f>
        <v/>
      </c>
      <c r="J1259">
        <f>IF($AA1259="","",INDEX('Per Line'!$L$2:$L$4001,$AA1259)&amp;"")</f>
        <v/>
      </c>
      <c r="K1259">
        <f>IF($AA1259="","",INDEX('Per Line'!$P$2:$P$4001,$AA1259))</f>
        <v/>
      </c>
      <c r="L1259" s="7">
        <f>IF($AA1259="","",IF(AND(ISNUMBER(N1259),N1259&gt;0,Y1259&gt;N1259),K1259*N1259/100+(Y1259-N1259),K1259*Y1259/100))</f>
        <v/>
      </c>
      <c r="M1259">
        <f>IF($AA1259="","",INDEX('Per Line'!$Z$2:$Z$4001,$AA1259)&amp;"")</f>
        <v/>
      </c>
      <c r="N1259">
        <f>IF($AA1259="","",INDEX('Per Line'!$AG$2:$AG$4001,$AA1259))</f>
        <v/>
      </c>
      <c r="O1259">
        <f>IF($AA1259="","",IF(AND(ISNUMBER(N1259),N1259&gt;0),Y1259&gt;N1259,FALSE))</f>
        <v/>
      </c>
      <c r="P1259" s="7">
        <f>IF($AA1259="","",SUMIFS('Per Line'!$Y$2:$Y$4001,'Per Line'!$E$2:$E$4001,$B1259,'Per Line'!$AQ$2:$AQ$4001,1))</f>
        <v/>
      </c>
      <c r="Q1259">
        <f>IF($AA1259="","",Settings!$C$7)</f>
        <v/>
      </c>
      <c r="R1259" s="7">
        <f>IF($AA1259="","",SUMIFS('Per Line'!$Y$2:$Y$4001,'Per Line'!$E$2:$E$4001,$B1259,'Per Line'!$AP$2:$AP$4001,0,'Per Line'!$AQ$2:$AQ$4001,0))</f>
        <v/>
      </c>
      <c r="S1259" s="7">
        <f>IF($AA1259="","",R1259*Q1259)</f>
        <v/>
      </c>
      <c r="T1259">
        <f>IF($AA1259="","",Settings!$C$6)</f>
        <v/>
      </c>
      <c r="U1259" s="7">
        <f>IF($AA1259="","",SUMIFS('Per Line'!$Y$2:$Y$4001,'Per Line'!$E$2:$E$4001,$B1259,'Per Line'!$AP$2:$AP$4001,1,'Per Line'!$AQ$2:$AQ$4001,0))</f>
        <v/>
      </c>
      <c r="V1259" s="7">
        <f>IF($AA1259="","",U1259*T1259)</f>
        <v/>
      </c>
      <c r="W1259" s="7">
        <f>IF($AA1259="","",V1259+S1259)</f>
        <v/>
      </c>
      <c r="X1259" s="7">
        <f>IF($AA1259="","",Y1259-W1259)</f>
        <v/>
      </c>
      <c r="Y1259" s="7">
        <f>IF($AA1259="","",R1259+U1259+P1259)</f>
        <v/>
      </c>
      <c r="Z1259" s="7">
        <f>IF($AA1259="","",Y1259-W1259-L1259)</f>
        <v/>
      </c>
      <c r="AA1259" s="13">
        <f>IF(ROWS($AA$2:$AA1259)&lt;=MAX('Per Line'!$AO$2:$AO$4001),MATCH(ROWS($AA$2:$AA1259),'Per Line'!$AO$2:$AO$4001,0),"")</f>
        <v/>
      </c>
      <c r="AB1259" s="14">
        <f>IF($AA1259="","",L1259-K1259*Y1259/100)</f>
        <v/>
      </c>
    </row>
    <row r="1260">
      <c r="A1260" s="12" t="n"/>
      <c r="B1260">
        <f>IF($AA1260="","",INDEX('Per Line'!$E$2:$E$4001,$AA1260)&amp;"")</f>
        <v/>
      </c>
      <c r="C1260">
        <f>IF($AA1260="","",INDEX('Per Line'!$A$2:$A$4001,$AA1260)&amp;"")</f>
        <v/>
      </c>
      <c r="D1260">
        <f>IF($AA1260="","",INDEX('Per Line'!$D$2:$D$4001,$AA1260)&amp;"")</f>
        <v/>
      </c>
      <c r="E1260" s="11">
        <f>IF($AA1260="","",INDEX('Per Line'!$G$2:$G$4001,$AA1260))</f>
        <v/>
      </c>
      <c r="F1260">
        <f>IF($AA1260="","",INDEX('Per Line'!$H$2:$H$4001,$AA1260)&amp;"")</f>
        <v/>
      </c>
      <c r="G1260">
        <f>IF($AA1260="","",INDEX('Per Line'!$I$2:$I$4001,$AA1260)&amp;"")</f>
        <v/>
      </c>
      <c r="H1260">
        <f>IF($AA1260="","",INDEX('Per Line'!$J$2:$J$4001,$AA1260)&amp;"")</f>
        <v/>
      </c>
      <c r="I1260">
        <f>IF($AA1260="","",INDEX('Per Line'!$K$2:$K$4001,$AA1260)&amp;"")</f>
        <v/>
      </c>
      <c r="J1260">
        <f>IF($AA1260="","",INDEX('Per Line'!$L$2:$L$4001,$AA1260)&amp;"")</f>
        <v/>
      </c>
      <c r="K1260">
        <f>IF($AA1260="","",INDEX('Per Line'!$P$2:$P$4001,$AA1260))</f>
        <v/>
      </c>
      <c r="L1260" s="7">
        <f>IF($AA1260="","",IF(AND(ISNUMBER(N1260),N1260&gt;0,Y1260&gt;N1260),K1260*N1260/100+(Y1260-N1260),K1260*Y1260/100))</f>
        <v/>
      </c>
      <c r="M1260">
        <f>IF($AA1260="","",INDEX('Per Line'!$Z$2:$Z$4001,$AA1260)&amp;"")</f>
        <v/>
      </c>
      <c r="N1260">
        <f>IF($AA1260="","",INDEX('Per Line'!$AG$2:$AG$4001,$AA1260))</f>
        <v/>
      </c>
      <c r="O1260">
        <f>IF($AA1260="","",IF(AND(ISNUMBER(N1260),N1260&gt;0),Y1260&gt;N1260,FALSE))</f>
        <v/>
      </c>
      <c r="P1260" s="7">
        <f>IF($AA1260="","",SUMIFS('Per Line'!$Y$2:$Y$4001,'Per Line'!$E$2:$E$4001,$B1260,'Per Line'!$AQ$2:$AQ$4001,1))</f>
        <v/>
      </c>
      <c r="Q1260">
        <f>IF($AA1260="","",Settings!$C$7)</f>
        <v/>
      </c>
      <c r="R1260" s="7">
        <f>IF($AA1260="","",SUMIFS('Per Line'!$Y$2:$Y$4001,'Per Line'!$E$2:$E$4001,$B1260,'Per Line'!$AP$2:$AP$4001,0,'Per Line'!$AQ$2:$AQ$4001,0))</f>
        <v/>
      </c>
      <c r="S1260" s="7">
        <f>IF($AA1260="","",R1260*Q1260)</f>
        <v/>
      </c>
      <c r="T1260">
        <f>IF($AA1260="","",Settings!$C$6)</f>
        <v/>
      </c>
      <c r="U1260" s="7">
        <f>IF($AA1260="","",SUMIFS('Per Line'!$Y$2:$Y$4001,'Per Line'!$E$2:$E$4001,$B1260,'Per Line'!$AP$2:$AP$4001,1,'Per Line'!$AQ$2:$AQ$4001,0))</f>
        <v/>
      </c>
      <c r="V1260" s="7">
        <f>IF($AA1260="","",U1260*T1260)</f>
        <v/>
      </c>
      <c r="W1260" s="7">
        <f>IF($AA1260="","",V1260+S1260)</f>
        <v/>
      </c>
      <c r="X1260" s="7">
        <f>IF($AA1260="","",Y1260-W1260)</f>
        <v/>
      </c>
      <c r="Y1260" s="7">
        <f>IF($AA1260="","",R1260+U1260+P1260)</f>
        <v/>
      </c>
      <c r="Z1260" s="7">
        <f>IF($AA1260="","",Y1260-W1260-L1260)</f>
        <v/>
      </c>
      <c r="AA1260" s="13">
        <f>IF(ROWS($AA$2:$AA1260)&lt;=MAX('Per Line'!$AO$2:$AO$4001),MATCH(ROWS($AA$2:$AA1260),'Per Line'!$AO$2:$AO$4001,0),"")</f>
        <v/>
      </c>
      <c r="AB1260" s="14">
        <f>IF($AA1260="","",L1260-K1260*Y1260/100)</f>
        <v/>
      </c>
    </row>
    <row r="1261">
      <c r="A1261" s="12" t="n"/>
      <c r="B1261">
        <f>IF($AA1261="","",INDEX('Per Line'!$E$2:$E$4001,$AA1261)&amp;"")</f>
        <v/>
      </c>
      <c r="C1261">
        <f>IF($AA1261="","",INDEX('Per Line'!$A$2:$A$4001,$AA1261)&amp;"")</f>
        <v/>
      </c>
      <c r="D1261">
        <f>IF($AA1261="","",INDEX('Per Line'!$D$2:$D$4001,$AA1261)&amp;"")</f>
        <v/>
      </c>
      <c r="E1261" s="11">
        <f>IF($AA1261="","",INDEX('Per Line'!$G$2:$G$4001,$AA1261))</f>
        <v/>
      </c>
      <c r="F1261">
        <f>IF($AA1261="","",INDEX('Per Line'!$H$2:$H$4001,$AA1261)&amp;"")</f>
        <v/>
      </c>
      <c r="G1261">
        <f>IF($AA1261="","",INDEX('Per Line'!$I$2:$I$4001,$AA1261)&amp;"")</f>
        <v/>
      </c>
      <c r="H1261">
        <f>IF($AA1261="","",INDEX('Per Line'!$J$2:$J$4001,$AA1261)&amp;"")</f>
        <v/>
      </c>
      <c r="I1261">
        <f>IF($AA1261="","",INDEX('Per Line'!$K$2:$K$4001,$AA1261)&amp;"")</f>
        <v/>
      </c>
      <c r="J1261">
        <f>IF($AA1261="","",INDEX('Per Line'!$L$2:$L$4001,$AA1261)&amp;"")</f>
        <v/>
      </c>
      <c r="K1261">
        <f>IF($AA1261="","",INDEX('Per Line'!$P$2:$P$4001,$AA1261))</f>
        <v/>
      </c>
      <c r="L1261" s="7">
        <f>IF($AA1261="","",IF(AND(ISNUMBER(N1261),N1261&gt;0,Y1261&gt;N1261),K1261*N1261/100+(Y1261-N1261),K1261*Y1261/100))</f>
        <v/>
      </c>
      <c r="M1261">
        <f>IF($AA1261="","",INDEX('Per Line'!$Z$2:$Z$4001,$AA1261)&amp;"")</f>
        <v/>
      </c>
      <c r="N1261">
        <f>IF($AA1261="","",INDEX('Per Line'!$AG$2:$AG$4001,$AA1261))</f>
        <v/>
      </c>
      <c r="O1261">
        <f>IF($AA1261="","",IF(AND(ISNUMBER(N1261),N1261&gt;0),Y1261&gt;N1261,FALSE))</f>
        <v/>
      </c>
      <c r="P1261" s="7">
        <f>IF($AA1261="","",SUMIFS('Per Line'!$Y$2:$Y$4001,'Per Line'!$E$2:$E$4001,$B1261,'Per Line'!$AQ$2:$AQ$4001,1))</f>
        <v/>
      </c>
      <c r="Q1261">
        <f>IF($AA1261="","",Settings!$C$7)</f>
        <v/>
      </c>
      <c r="R1261" s="7">
        <f>IF($AA1261="","",SUMIFS('Per Line'!$Y$2:$Y$4001,'Per Line'!$E$2:$E$4001,$B1261,'Per Line'!$AP$2:$AP$4001,0,'Per Line'!$AQ$2:$AQ$4001,0))</f>
        <v/>
      </c>
      <c r="S1261" s="7">
        <f>IF($AA1261="","",R1261*Q1261)</f>
        <v/>
      </c>
      <c r="T1261">
        <f>IF($AA1261="","",Settings!$C$6)</f>
        <v/>
      </c>
      <c r="U1261" s="7">
        <f>IF($AA1261="","",SUMIFS('Per Line'!$Y$2:$Y$4001,'Per Line'!$E$2:$E$4001,$B1261,'Per Line'!$AP$2:$AP$4001,1,'Per Line'!$AQ$2:$AQ$4001,0))</f>
        <v/>
      </c>
      <c r="V1261" s="7">
        <f>IF($AA1261="","",U1261*T1261)</f>
        <v/>
      </c>
      <c r="W1261" s="7">
        <f>IF($AA1261="","",V1261+S1261)</f>
        <v/>
      </c>
      <c r="X1261" s="7">
        <f>IF($AA1261="","",Y1261-W1261)</f>
        <v/>
      </c>
      <c r="Y1261" s="7">
        <f>IF($AA1261="","",R1261+U1261+P1261)</f>
        <v/>
      </c>
      <c r="Z1261" s="7">
        <f>IF($AA1261="","",Y1261-W1261-L1261)</f>
        <v/>
      </c>
      <c r="AA1261" s="13">
        <f>IF(ROWS($AA$2:$AA1261)&lt;=MAX('Per Line'!$AO$2:$AO$4001),MATCH(ROWS($AA$2:$AA1261),'Per Line'!$AO$2:$AO$4001,0),"")</f>
        <v/>
      </c>
      <c r="AB1261" s="14">
        <f>IF($AA1261="","",L1261-K1261*Y1261/100)</f>
        <v/>
      </c>
    </row>
    <row r="1262">
      <c r="A1262" s="12" t="n"/>
      <c r="B1262">
        <f>IF($AA1262="","",INDEX('Per Line'!$E$2:$E$4001,$AA1262)&amp;"")</f>
        <v/>
      </c>
      <c r="C1262">
        <f>IF($AA1262="","",INDEX('Per Line'!$A$2:$A$4001,$AA1262)&amp;"")</f>
        <v/>
      </c>
      <c r="D1262">
        <f>IF($AA1262="","",INDEX('Per Line'!$D$2:$D$4001,$AA1262)&amp;"")</f>
        <v/>
      </c>
      <c r="E1262" s="11">
        <f>IF($AA1262="","",INDEX('Per Line'!$G$2:$G$4001,$AA1262))</f>
        <v/>
      </c>
      <c r="F1262">
        <f>IF($AA1262="","",INDEX('Per Line'!$H$2:$H$4001,$AA1262)&amp;"")</f>
        <v/>
      </c>
      <c r="G1262">
        <f>IF($AA1262="","",INDEX('Per Line'!$I$2:$I$4001,$AA1262)&amp;"")</f>
        <v/>
      </c>
      <c r="H1262">
        <f>IF($AA1262="","",INDEX('Per Line'!$J$2:$J$4001,$AA1262)&amp;"")</f>
        <v/>
      </c>
      <c r="I1262">
        <f>IF($AA1262="","",INDEX('Per Line'!$K$2:$K$4001,$AA1262)&amp;"")</f>
        <v/>
      </c>
      <c r="J1262">
        <f>IF($AA1262="","",INDEX('Per Line'!$L$2:$L$4001,$AA1262)&amp;"")</f>
        <v/>
      </c>
      <c r="K1262">
        <f>IF($AA1262="","",INDEX('Per Line'!$P$2:$P$4001,$AA1262))</f>
        <v/>
      </c>
      <c r="L1262" s="7">
        <f>IF($AA1262="","",IF(AND(ISNUMBER(N1262),N1262&gt;0,Y1262&gt;N1262),K1262*N1262/100+(Y1262-N1262),K1262*Y1262/100))</f>
        <v/>
      </c>
      <c r="M1262">
        <f>IF($AA1262="","",INDEX('Per Line'!$Z$2:$Z$4001,$AA1262)&amp;"")</f>
        <v/>
      </c>
      <c r="N1262">
        <f>IF($AA1262="","",INDEX('Per Line'!$AG$2:$AG$4001,$AA1262))</f>
        <v/>
      </c>
      <c r="O1262">
        <f>IF($AA1262="","",IF(AND(ISNUMBER(N1262),N1262&gt;0),Y1262&gt;N1262,FALSE))</f>
        <v/>
      </c>
      <c r="P1262" s="7">
        <f>IF($AA1262="","",SUMIFS('Per Line'!$Y$2:$Y$4001,'Per Line'!$E$2:$E$4001,$B1262,'Per Line'!$AQ$2:$AQ$4001,1))</f>
        <v/>
      </c>
      <c r="Q1262">
        <f>IF($AA1262="","",Settings!$C$7)</f>
        <v/>
      </c>
      <c r="R1262" s="7">
        <f>IF($AA1262="","",SUMIFS('Per Line'!$Y$2:$Y$4001,'Per Line'!$E$2:$E$4001,$B1262,'Per Line'!$AP$2:$AP$4001,0,'Per Line'!$AQ$2:$AQ$4001,0))</f>
        <v/>
      </c>
      <c r="S1262" s="7">
        <f>IF($AA1262="","",R1262*Q1262)</f>
        <v/>
      </c>
      <c r="T1262">
        <f>IF($AA1262="","",Settings!$C$6)</f>
        <v/>
      </c>
      <c r="U1262" s="7">
        <f>IF($AA1262="","",SUMIFS('Per Line'!$Y$2:$Y$4001,'Per Line'!$E$2:$E$4001,$B1262,'Per Line'!$AP$2:$AP$4001,1,'Per Line'!$AQ$2:$AQ$4001,0))</f>
        <v/>
      </c>
      <c r="V1262" s="7">
        <f>IF($AA1262="","",U1262*T1262)</f>
        <v/>
      </c>
      <c r="W1262" s="7">
        <f>IF($AA1262="","",V1262+S1262)</f>
        <v/>
      </c>
      <c r="X1262" s="7">
        <f>IF($AA1262="","",Y1262-W1262)</f>
        <v/>
      </c>
      <c r="Y1262" s="7">
        <f>IF($AA1262="","",R1262+U1262+P1262)</f>
        <v/>
      </c>
      <c r="Z1262" s="7">
        <f>IF($AA1262="","",Y1262-W1262-L1262)</f>
        <v/>
      </c>
      <c r="AA1262" s="13">
        <f>IF(ROWS($AA$2:$AA1262)&lt;=MAX('Per Line'!$AO$2:$AO$4001),MATCH(ROWS($AA$2:$AA1262),'Per Line'!$AO$2:$AO$4001,0),"")</f>
        <v/>
      </c>
      <c r="AB1262" s="14">
        <f>IF($AA1262="","",L1262-K1262*Y1262/100)</f>
        <v/>
      </c>
    </row>
    <row r="1263">
      <c r="A1263" s="12" t="n"/>
      <c r="B1263">
        <f>IF($AA1263="","",INDEX('Per Line'!$E$2:$E$4001,$AA1263)&amp;"")</f>
        <v/>
      </c>
      <c r="C1263">
        <f>IF($AA1263="","",INDEX('Per Line'!$A$2:$A$4001,$AA1263)&amp;"")</f>
        <v/>
      </c>
      <c r="D1263">
        <f>IF($AA1263="","",INDEX('Per Line'!$D$2:$D$4001,$AA1263)&amp;"")</f>
        <v/>
      </c>
      <c r="E1263" s="11">
        <f>IF($AA1263="","",INDEX('Per Line'!$G$2:$G$4001,$AA1263))</f>
        <v/>
      </c>
      <c r="F1263">
        <f>IF($AA1263="","",INDEX('Per Line'!$H$2:$H$4001,$AA1263)&amp;"")</f>
        <v/>
      </c>
      <c r="G1263">
        <f>IF($AA1263="","",INDEX('Per Line'!$I$2:$I$4001,$AA1263)&amp;"")</f>
        <v/>
      </c>
      <c r="H1263">
        <f>IF($AA1263="","",INDEX('Per Line'!$J$2:$J$4001,$AA1263)&amp;"")</f>
        <v/>
      </c>
      <c r="I1263">
        <f>IF($AA1263="","",INDEX('Per Line'!$K$2:$K$4001,$AA1263)&amp;"")</f>
        <v/>
      </c>
      <c r="J1263">
        <f>IF($AA1263="","",INDEX('Per Line'!$L$2:$L$4001,$AA1263)&amp;"")</f>
        <v/>
      </c>
      <c r="K1263">
        <f>IF($AA1263="","",INDEX('Per Line'!$P$2:$P$4001,$AA1263))</f>
        <v/>
      </c>
      <c r="L1263" s="7">
        <f>IF($AA1263="","",IF(AND(ISNUMBER(N1263),N1263&gt;0,Y1263&gt;N1263),K1263*N1263/100+(Y1263-N1263),K1263*Y1263/100))</f>
        <v/>
      </c>
      <c r="M1263">
        <f>IF($AA1263="","",INDEX('Per Line'!$Z$2:$Z$4001,$AA1263)&amp;"")</f>
        <v/>
      </c>
      <c r="N1263">
        <f>IF($AA1263="","",INDEX('Per Line'!$AG$2:$AG$4001,$AA1263))</f>
        <v/>
      </c>
      <c r="O1263">
        <f>IF($AA1263="","",IF(AND(ISNUMBER(N1263),N1263&gt;0),Y1263&gt;N1263,FALSE))</f>
        <v/>
      </c>
      <c r="P1263" s="7">
        <f>IF($AA1263="","",SUMIFS('Per Line'!$Y$2:$Y$4001,'Per Line'!$E$2:$E$4001,$B1263,'Per Line'!$AQ$2:$AQ$4001,1))</f>
        <v/>
      </c>
      <c r="Q1263">
        <f>IF($AA1263="","",Settings!$C$7)</f>
        <v/>
      </c>
      <c r="R1263" s="7">
        <f>IF($AA1263="","",SUMIFS('Per Line'!$Y$2:$Y$4001,'Per Line'!$E$2:$E$4001,$B1263,'Per Line'!$AP$2:$AP$4001,0,'Per Line'!$AQ$2:$AQ$4001,0))</f>
        <v/>
      </c>
      <c r="S1263" s="7">
        <f>IF($AA1263="","",R1263*Q1263)</f>
        <v/>
      </c>
      <c r="T1263">
        <f>IF($AA1263="","",Settings!$C$6)</f>
        <v/>
      </c>
      <c r="U1263" s="7">
        <f>IF($AA1263="","",SUMIFS('Per Line'!$Y$2:$Y$4001,'Per Line'!$E$2:$E$4001,$B1263,'Per Line'!$AP$2:$AP$4001,1,'Per Line'!$AQ$2:$AQ$4001,0))</f>
        <v/>
      </c>
      <c r="V1263" s="7">
        <f>IF($AA1263="","",U1263*T1263)</f>
        <v/>
      </c>
      <c r="W1263" s="7">
        <f>IF($AA1263="","",V1263+S1263)</f>
        <v/>
      </c>
      <c r="X1263" s="7">
        <f>IF($AA1263="","",Y1263-W1263)</f>
        <v/>
      </c>
      <c r="Y1263" s="7">
        <f>IF($AA1263="","",R1263+U1263+P1263)</f>
        <v/>
      </c>
      <c r="Z1263" s="7">
        <f>IF($AA1263="","",Y1263-W1263-L1263)</f>
        <v/>
      </c>
      <c r="AA1263" s="13">
        <f>IF(ROWS($AA$2:$AA1263)&lt;=MAX('Per Line'!$AO$2:$AO$4001),MATCH(ROWS($AA$2:$AA1263),'Per Line'!$AO$2:$AO$4001,0),"")</f>
        <v/>
      </c>
      <c r="AB1263" s="14">
        <f>IF($AA1263="","",L1263-K1263*Y1263/100)</f>
        <v/>
      </c>
    </row>
    <row r="1264">
      <c r="A1264" s="12" t="n"/>
      <c r="B1264">
        <f>IF($AA1264="","",INDEX('Per Line'!$E$2:$E$4001,$AA1264)&amp;"")</f>
        <v/>
      </c>
      <c r="C1264">
        <f>IF($AA1264="","",INDEX('Per Line'!$A$2:$A$4001,$AA1264)&amp;"")</f>
        <v/>
      </c>
      <c r="D1264">
        <f>IF($AA1264="","",INDEX('Per Line'!$D$2:$D$4001,$AA1264)&amp;"")</f>
        <v/>
      </c>
      <c r="E1264" s="11">
        <f>IF($AA1264="","",INDEX('Per Line'!$G$2:$G$4001,$AA1264))</f>
        <v/>
      </c>
      <c r="F1264">
        <f>IF($AA1264="","",INDEX('Per Line'!$H$2:$H$4001,$AA1264)&amp;"")</f>
        <v/>
      </c>
      <c r="G1264">
        <f>IF($AA1264="","",INDEX('Per Line'!$I$2:$I$4001,$AA1264)&amp;"")</f>
        <v/>
      </c>
      <c r="H1264">
        <f>IF($AA1264="","",INDEX('Per Line'!$J$2:$J$4001,$AA1264)&amp;"")</f>
        <v/>
      </c>
      <c r="I1264">
        <f>IF($AA1264="","",INDEX('Per Line'!$K$2:$K$4001,$AA1264)&amp;"")</f>
        <v/>
      </c>
      <c r="J1264">
        <f>IF($AA1264="","",INDEX('Per Line'!$L$2:$L$4001,$AA1264)&amp;"")</f>
        <v/>
      </c>
      <c r="K1264">
        <f>IF($AA1264="","",INDEX('Per Line'!$P$2:$P$4001,$AA1264))</f>
        <v/>
      </c>
      <c r="L1264" s="7">
        <f>IF($AA1264="","",IF(AND(ISNUMBER(N1264),N1264&gt;0,Y1264&gt;N1264),K1264*N1264/100+(Y1264-N1264),K1264*Y1264/100))</f>
        <v/>
      </c>
      <c r="M1264">
        <f>IF($AA1264="","",INDEX('Per Line'!$Z$2:$Z$4001,$AA1264)&amp;"")</f>
        <v/>
      </c>
      <c r="N1264">
        <f>IF($AA1264="","",INDEX('Per Line'!$AG$2:$AG$4001,$AA1264))</f>
        <v/>
      </c>
      <c r="O1264">
        <f>IF($AA1264="","",IF(AND(ISNUMBER(N1264),N1264&gt;0),Y1264&gt;N1264,FALSE))</f>
        <v/>
      </c>
      <c r="P1264" s="7">
        <f>IF($AA1264="","",SUMIFS('Per Line'!$Y$2:$Y$4001,'Per Line'!$E$2:$E$4001,$B1264,'Per Line'!$AQ$2:$AQ$4001,1))</f>
        <v/>
      </c>
      <c r="Q1264">
        <f>IF($AA1264="","",Settings!$C$7)</f>
        <v/>
      </c>
      <c r="R1264" s="7">
        <f>IF($AA1264="","",SUMIFS('Per Line'!$Y$2:$Y$4001,'Per Line'!$E$2:$E$4001,$B1264,'Per Line'!$AP$2:$AP$4001,0,'Per Line'!$AQ$2:$AQ$4001,0))</f>
        <v/>
      </c>
      <c r="S1264" s="7">
        <f>IF($AA1264="","",R1264*Q1264)</f>
        <v/>
      </c>
      <c r="T1264">
        <f>IF($AA1264="","",Settings!$C$6)</f>
        <v/>
      </c>
      <c r="U1264" s="7">
        <f>IF($AA1264="","",SUMIFS('Per Line'!$Y$2:$Y$4001,'Per Line'!$E$2:$E$4001,$B1264,'Per Line'!$AP$2:$AP$4001,1,'Per Line'!$AQ$2:$AQ$4001,0))</f>
        <v/>
      </c>
      <c r="V1264" s="7">
        <f>IF($AA1264="","",U1264*T1264)</f>
        <v/>
      </c>
      <c r="W1264" s="7">
        <f>IF($AA1264="","",V1264+S1264)</f>
        <v/>
      </c>
      <c r="X1264" s="7">
        <f>IF($AA1264="","",Y1264-W1264)</f>
        <v/>
      </c>
      <c r="Y1264" s="7">
        <f>IF($AA1264="","",R1264+U1264+P1264)</f>
        <v/>
      </c>
      <c r="Z1264" s="7">
        <f>IF($AA1264="","",Y1264-W1264-L1264)</f>
        <v/>
      </c>
      <c r="AA1264" s="13">
        <f>IF(ROWS($AA$2:$AA1264)&lt;=MAX('Per Line'!$AO$2:$AO$4001),MATCH(ROWS($AA$2:$AA1264),'Per Line'!$AO$2:$AO$4001,0),"")</f>
        <v/>
      </c>
      <c r="AB1264" s="14">
        <f>IF($AA1264="","",L1264-K1264*Y1264/100)</f>
        <v/>
      </c>
    </row>
    <row r="1265">
      <c r="A1265" s="12" t="n"/>
      <c r="B1265">
        <f>IF($AA1265="","",INDEX('Per Line'!$E$2:$E$4001,$AA1265)&amp;"")</f>
        <v/>
      </c>
      <c r="C1265">
        <f>IF($AA1265="","",INDEX('Per Line'!$A$2:$A$4001,$AA1265)&amp;"")</f>
        <v/>
      </c>
      <c r="D1265">
        <f>IF($AA1265="","",INDEX('Per Line'!$D$2:$D$4001,$AA1265)&amp;"")</f>
        <v/>
      </c>
      <c r="E1265" s="11">
        <f>IF($AA1265="","",INDEX('Per Line'!$G$2:$G$4001,$AA1265))</f>
        <v/>
      </c>
      <c r="F1265">
        <f>IF($AA1265="","",INDEX('Per Line'!$H$2:$H$4001,$AA1265)&amp;"")</f>
        <v/>
      </c>
      <c r="G1265">
        <f>IF($AA1265="","",INDEX('Per Line'!$I$2:$I$4001,$AA1265)&amp;"")</f>
        <v/>
      </c>
      <c r="H1265">
        <f>IF($AA1265="","",INDEX('Per Line'!$J$2:$J$4001,$AA1265)&amp;"")</f>
        <v/>
      </c>
      <c r="I1265">
        <f>IF($AA1265="","",INDEX('Per Line'!$K$2:$K$4001,$AA1265)&amp;"")</f>
        <v/>
      </c>
      <c r="J1265">
        <f>IF($AA1265="","",INDEX('Per Line'!$L$2:$L$4001,$AA1265)&amp;"")</f>
        <v/>
      </c>
      <c r="K1265">
        <f>IF($AA1265="","",INDEX('Per Line'!$P$2:$P$4001,$AA1265))</f>
        <v/>
      </c>
      <c r="L1265" s="7">
        <f>IF($AA1265="","",IF(AND(ISNUMBER(N1265),N1265&gt;0,Y1265&gt;N1265),K1265*N1265/100+(Y1265-N1265),K1265*Y1265/100))</f>
        <v/>
      </c>
      <c r="M1265">
        <f>IF($AA1265="","",INDEX('Per Line'!$Z$2:$Z$4001,$AA1265)&amp;"")</f>
        <v/>
      </c>
      <c r="N1265">
        <f>IF($AA1265="","",INDEX('Per Line'!$AG$2:$AG$4001,$AA1265))</f>
        <v/>
      </c>
      <c r="O1265">
        <f>IF($AA1265="","",IF(AND(ISNUMBER(N1265),N1265&gt;0),Y1265&gt;N1265,FALSE))</f>
        <v/>
      </c>
      <c r="P1265" s="7">
        <f>IF($AA1265="","",SUMIFS('Per Line'!$Y$2:$Y$4001,'Per Line'!$E$2:$E$4001,$B1265,'Per Line'!$AQ$2:$AQ$4001,1))</f>
        <v/>
      </c>
      <c r="Q1265">
        <f>IF($AA1265="","",Settings!$C$7)</f>
        <v/>
      </c>
      <c r="R1265" s="7">
        <f>IF($AA1265="","",SUMIFS('Per Line'!$Y$2:$Y$4001,'Per Line'!$E$2:$E$4001,$B1265,'Per Line'!$AP$2:$AP$4001,0,'Per Line'!$AQ$2:$AQ$4001,0))</f>
        <v/>
      </c>
      <c r="S1265" s="7">
        <f>IF($AA1265="","",R1265*Q1265)</f>
        <v/>
      </c>
      <c r="T1265">
        <f>IF($AA1265="","",Settings!$C$6)</f>
        <v/>
      </c>
      <c r="U1265" s="7">
        <f>IF($AA1265="","",SUMIFS('Per Line'!$Y$2:$Y$4001,'Per Line'!$E$2:$E$4001,$B1265,'Per Line'!$AP$2:$AP$4001,1,'Per Line'!$AQ$2:$AQ$4001,0))</f>
        <v/>
      </c>
      <c r="V1265" s="7">
        <f>IF($AA1265="","",U1265*T1265)</f>
        <v/>
      </c>
      <c r="W1265" s="7">
        <f>IF($AA1265="","",V1265+S1265)</f>
        <v/>
      </c>
      <c r="X1265" s="7">
        <f>IF($AA1265="","",Y1265-W1265)</f>
        <v/>
      </c>
      <c r="Y1265" s="7">
        <f>IF($AA1265="","",R1265+U1265+P1265)</f>
        <v/>
      </c>
      <c r="Z1265" s="7">
        <f>IF($AA1265="","",Y1265-W1265-L1265)</f>
        <v/>
      </c>
      <c r="AA1265" s="13">
        <f>IF(ROWS($AA$2:$AA1265)&lt;=MAX('Per Line'!$AO$2:$AO$4001),MATCH(ROWS($AA$2:$AA1265),'Per Line'!$AO$2:$AO$4001,0),"")</f>
        <v/>
      </c>
      <c r="AB1265" s="14">
        <f>IF($AA1265="","",L1265-K1265*Y1265/100)</f>
        <v/>
      </c>
    </row>
    <row r="1266">
      <c r="A1266" s="12" t="n"/>
      <c r="B1266">
        <f>IF($AA1266="","",INDEX('Per Line'!$E$2:$E$4001,$AA1266)&amp;"")</f>
        <v/>
      </c>
      <c r="C1266">
        <f>IF($AA1266="","",INDEX('Per Line'!$A$2:$A$4001,$AA1266)&amp;"")</f>
        <v/>
      </c>
      <c r="D1266">
        <f>IF($AA1266="","",INDEX('Per Line'!$D$2:$D$4001,$AA1266)&amp;"")</f>
        <v/>
      </c>
      <c r="E1266" s="11">
        <f>IF($AA1266="","",INDEX('Per Line'!$G$2:$G$4001,$AA1266))</f>
        <v/>
      </c>
      <c r="F1266">
        <f>IF($AA1266="","",INDEX('Per Line'!$H$2:$H$4001,$AA1266)&amp;"")</f>
        <v/>
      </c>
      <c r="G1266">
        <f>IF($AA1266="","",INDEX('Per Line'!$I$2:$I$4001,$AA1266)&amp;"")</f>
        <v/>
      </c>
      <c r="H1266">
        <f>IF($AA1266="","",INDEX('Per Line'!$J$2:$J$4001,$AA1266)&amp;"")</f>
        <v/>
      </c>
      <c r="I1266">
        <f>IF($AA1266="","",INDEX('Per Line'!$K$2:$K$4001,$AA1266)&amp;"")</f>
        <v/>
      </c>
      <c r="J1266">
        <f>IF($AA1266="","",INDEX('Per Line'!$L$2:$L$4001,$AA1266)&amp;"")</f>
        <v/>
      </c>
      <c r="K1266">
        <f>IF($AA1266="","",INDEX('Per Line'!$P$2:$P$4001,$AA1266))</f>
        <v/>
      </c>
      <c r="L1266" s="7">
        <f>IF($AA1266="","",IF(AND(ISNUMBER(N1266),N1266&gt;0,Y1266&gt;N1266),K1266*N1266/100+(Y1266-N1266),K1266*Y1266/100))</f>
        <v/>
      </c>
      <c r="M1266">
        <f>IF($AA1266="","",INDEX('Per Line'!$Z$2:$Z$4001,$AA1266)&amp;"")</f>
        <v/>
      </c>
      <c r="N1266">
        <f>IF($AA1266="","",INDEX('Per Line'!$AG$2:$AG$4001,$AA1266))</f>
        <v/>
      </c>
      <c r="O1266">
        <f>IF($AA1266="","",IF(AND(ISNUMBER(N1266),N1266&gt;0),Y1266&gt;N1266,FALSE))</f>
        <v/>
      </c>
      <c r="P1266" s="7">
        <f>IF($AA1266="","",SUMIFS('Per Line'!$Y$2:$Y$4001,'Per Line'!$E$2:$E$4001,$B1266,'Per Line'!$AQ$2:$AQ$4001,1))</f>
        <v/>
      </c>
      <c r="Q1266">
        <f>IF($AA1266="","",Settings!$C$7)</f>
        <v/>
      </c>
      <c r="R1266" s="7">
        <f>IF($AA1266="","",SUMIFS('Per Line'!$Y$2:$Y$4001,'Per Line'!$E$2:$E$4001,$B1266,'Per Line'!$AP$2:$AP$4001,0,'Per Line'!$AQ$2:$AQ$4001,0))</f>
        <v/>
      </c>
      <c r="S1266" s="7">
        <f>IF($AA1266="","",R1266*Q1266)</f>
        <v/>
      </c>
      <c r="T1266">
        <f>IF($AA1266="","",Settings!$C$6)</f>
        <v/>
      </c>
      <c r="U1266" s="7">
        <f>IF($AA1266="","",SUMIFS('Per Line'!$Y$2:$Y$4001,'Per Line'!$E$2:$E$4001,$B1266,'Per Line'!$AP$2:$AP$4001,1,'Per Line'!$AQ$2:$AQ$4001,0))</f>
        <v/>
      </c>
      <c r="V1266" s="7">
        <f>IF($AA1266="","",U1266*T1266)</f>
        <v/>
      </c>
      <c r="W1266" s="7">
        <f>IF($AA1266="","",V1266+S1266)</f>
        <v/>
      </c>
      <c r="X1266" s="7">
        <f>IF($AA1266="","",Y1266-W1266)</f>
        <v/>
      </c>
      <c r="Y1266" s="7">
        <f>IF($AA1266="","",R1266+U1266+P1266)</f>
        <v/>
      </c>
      <c r="Z1266" s="7">
        <f>IF($AA1266="","",Y1266-W1266-L1266)</f>
        <v/>
      </c>
      <c r="AA1266" s="13">
        <f>IF(ROWS($AA$2:$AA1266)&lt;=MAX('Per Line'!$AO$2:$AO$4001),MATCH(ROWS($AA$2:$AA1266),'Per Line'!$AO$2:$AO$4001,0),"")</f>
        <v/>
      </c>
      <c r="AB1266" s="14">
        <f>IF($AA1266="","",L1266-K1266*Y1266/100)</f>
        <v/>
      </c>
    </row>
    <row r="1267">
      <c r="A1267" s="12" t="n"/>
      <c r="B1267">
        <f>IF($AA1267="","",INDEX('Per Line'!$E$2:$E$4001,$AA1267)&amp;"")</f>
        <v/>
      </c>
      <c r="C1267">
        <f>IF($AA1267="","",INDEX('Per Line'!$A$2:$A$4001,$AA1267)&amp;"")</f>
        <v/>
      </c>
      <c r="D1267">
        <f>IF($AA1267="","",INDEX('Per Line'!$D$2:$D$4001,$AA1267)&amp;"")</f>
        <v/>
      </c>
      <c r="E1267" s="11">
        <f>IF($AA1267="","",INDEX('Per Line'!$G$2:$G$4001,$AA1267))</f>
        <v/>
      </c>
      <c r="F1267">
        <f>IF($AA1267="","",INDEX('Per Line'!$H$2:$H$4001,$AA1267)&amp;"")</f>
        <v/>
      </c>
      <c r="G1267">
        <f>IF($AA1267="","",INDEX('Per Line'!$I$2:$I$4001,$AA1267)&amp;"")</f>
        <v/>
      </c>
      <c r="H1267">
        <f>IF($AA1267="","",INDEX('Per Line'!$J$2:$J$4001,$AA1267)&amp;"")</f>
        <v/>
      </c>
      <c r="I1267">
        <f>IF($AA1267="","",INDEX('Per Line'!$K$2:$K$4001,$AA1267)&amp;"")</f>
        <v/>
      </c>
      <c r="J1267">
        <f>IF($AA1267="","",INDEX('Per Line'!$L$2:$L$4001,$AA1267)&amp;"")</f>
        <v/>
      </c>
      <c r="K1267">
        <f>IF($AA1267="","",INDEX('Per Line'!$P$2:$P$4001,$AA1267))</f>
        <v/>
      </c>
      <c r="L1267" s="7">
        <f>IF($AA1267="","",IF(AND(ISNUMBER(N1267),N1267&gt;0,Y1267&gt;N1267),K1267*N1267/100+(Y1267-N1267),K1267*Y1267/100))</f>
        <v/>
      </c>
      <c r="M1267">
        <f>IF($AA1267="","",INDEX('Per Line'!$Z$2:$Z$4001,$AA1267)&amp;"")</f>
        <v/>
      </c>
      <c r="N1267">
        <f>IF($AA1267="","",INDEX('Per Line'!$AG$2:$AG$4001,$AA1267))</f>
        <v/>
      </c>
      <c r="O1267">
        <f>IF($AA1267="","",IF(AND(ISNUMBER(N1267),N1267&gt;0),Y1267&gt;N1267,FALSE))</f>
        <v/>
      </c>
      <c r="P1267" s="7">
        <f>IF($AA1267="","",SUMIFS('Per Line'!$Y$2:$Y$4001,'Per Line'!$E$2:$E$4001,$B1267,'Per Line'!$AQ$2:$AQ$4001,1))</f>
        <v/>
      </c>
      <c r="Q1267">
        <f>IF($AA1267="","",Settings!$C$7)</f>
        <v/>
      </c>
      <c r="R1267" s="7">
        <f>IF($AA1267="","",SUMIFS('Per Line'!$Y$2:$Y$4001,'Per Line'!$E$2:$E$4001,$B1267,'Per Line'!$AP$2:$AP$4001,0,'Per Line'!$AQ$2:$AQ$4001,0))</f>
        <v/>
      </c>
      <c r="S1267" s="7">
        <f>IF($AA1267="","",R1267*Q1267)</f>
        <v/>
      </c>
      <c r="T1267">
        <f>IF($AA1267="","",Settings!$C$6)</f>
        <v/>
      </c>
      <c r="U1267" s="7">
        <f>IF($AA1267="","",SUMIFS('Per Line'!$Y$2:$Y$4001,'Per Line'!$E$2:$E$4001,$B1267,'Per Line'!$AP$2:$AP$4001,1,'Per Line'!$AQ$2:$AQ$4001,0))</f>
        <v/>
      </c>
      <c r="V1267" s="7">
        <f>IF($AA1267="","",U1267*T1267)</f>
        <v/>
      </c>
      <c r="W1267" s="7">
        <f>IF($AA1267="","",V1267+S1267)</f>
        <v/>
      </c>
      <c r="X1267" s="7">
        <f>IF($AA1267="","",Y1267-W1267)</f>
        <v/>
      </c>
      <c r="Y1267" s="7">
        <f>IF($AA1267="","",R1267+U1267+P1267)</f>
        <v/>
      </c>
      <c r="Z1267" s="7">
        <f>IF($AA1267="","",Y1267-W1267-L1267)</f>
        <v/>
      </c>
      <c r="AA1267" s="13">
        <f>IF(ROWS($AA$2:$AA1267)&lt;=MAX('Per Line'!$AO$2:$AO$4001),MATCH(ROWS($AA$2:$AA1267),'Per Line'!$AO$2:$AO$4001,0),"")</f>
        <v/>
      </c>
      <c r="AB1267" s="14">
        <f>IF($AA1267="","",L1267-K1267*Y1267/100)</f>
        <v/>
      </c>
    </row>
    <row r="1268">
      <c r="A1268" s="12" t="n"/>
      <c r="B1268">
        <f>IF($AA1268="","",INDEX('Per Line'!$E$2:$E$4001,$AA1268)&amp;"")</f>
        <v/>
      </c>
      <c r="C1268">
        <f>IF($AA1268="","",INDEX('Per Line'!$A$2:$A$4001,$AA1268)&amp;"")</f>
        <v/>
      </c>
      <c r="D1268">
        <f>IF($AA1268="","",INDEX('Per Line'!$D$2:$D$4001,$AA1268)&amp;"")</f>
        <v/>
      </c>
      <c r="E1268" s="11">
        <f>IF($AA1268="","",INDEX('Per Line'!$G$2:$G$4001,$AA1268))</f>
        <v/>
      </c>
      <c r="F1268">
        <f>IF($AA1268="","",INDEX('Per Line'!$H$2:$H$4001,$AA1268)&amp;"")</f>
        <v/>
      </c>
      <c r="G1268">
        <f>IF($AA1268="","",INDEX('Per Line'!$I$2:$I$4001,$AA1268)&amp;"")</f>
        <v/>
      </c>
      <c r="H1268">
        <f>IF($AA1268="","",INDEX('Per Line'!$J$2:$J$4001,$AA1268)&amp;"")</f>
        <v/>
      </c>
      <c r="I1268">
        <f>IF($AA1268="","",INDEX('Per Line'!$K$2:$K$4001,$AA1268)&amp;"")</f>
        <v/>
      </c>
      <c r="J1268">
        <f>IF($AA1268="","",INDEX('Per Line'!$L$2:$L$4001,$AA1268)&amp;"")</f>
        <v/>
      </c>
      <c r="K1268">
        <f>IF($AA1268="","",INDEX('Per Line'!$P$2:$P$4001,$AA1268))</f>
        <v/>
      </c>
      <c r="L1268" s="7">
        <f>IF($AA1268="","",IF(AND(ISNUMBER(N1268),N1268&gt;0,Y1268&gt;N1268),K1268*N1268/100+(Y1268-N1268),K1268*Y1268/100))</f>
        <v/>
      </c>
      <c r="M1268">
        <f>IF($AA1268="","",INDEX('Per Line'!$Z$2:$Z$4001,$AA1268)&amp;"")</f>
        <v/>
      </c>
      <c r="N1268">
        <f>IF($AA1268="","",INDEX('Per Line'!$AG$2:$AG$4001,$AA1268))</f>
        <v/>
      </c>
      <c r="O1268">
        <f>IF($AA1268="","",IF(AND(ISNUMBER(N1268),N1268&gt;0),Y1268&gt;N1268,FALSE))</f>
        <v/>
      </c>
      <c r="P1268" s="7">
        <f>IF($AA1268="","",SUMIFS('Per Line'!$Y$2:$Y$4001,'Per Line'!$E$2:$E$4001,$B1268,'Per Line'!$AQ$2:$AQ$4001,1))</f>
        <v/>
      </c>
      <c r="Q1268">
        <f>IF($AA1268="","",Settings!$C$7)</f>
        <v/>
      </c>
      <c r="R1268" s="7">
        <f>IF($AA1268="","",SUMIFS('Per Line'!$Y$2:$Y$4001,'Per Line'!$E$2:$E$4001,$B1268,'Per Line'!$AP$2:$AP$4001,0,'Per Line'!$AQ$2:$AQ$4001,0))</f>
        <v/>
      </c>
      <c r="S1268" s="7">
        <f>IF($AA1268="","",R1268*Q1268)</f>
        <v/>
      </c>
      <c r="T1268">
        <f>IF($AA1268="","",Settings!$C$6)</f>
        <v/>
      </c>
      <c r="U1268" s="7">
        <f>IF($AA1268="","",SUMIFS('Per Line'!$Y$2:$Y$4001,'Per Line'!$E$2:$E$4001,$B1268,'Per Line'!$AP$2:$AP$4001,1,'Per Line'!$AQ$2:$AQ$4001,0))</f>
        <v/>
      </c>
      <c r="V1268" s="7">
        <f>IF($AA1268="","",U1268*T1268)</f>
        <v/>
      </c>
      <c r="W1268" s="7">
        <f>IF($AA1268="","",V1268+S1268)</f>
        <v/>
      </c>
      <c r="X1268" s="7">
        <f>IF($AA1268="","",Y1268-W1268)</f>
        <v/>
      </c>
      <c r="Y1268" s="7">
        <f>IF($AA1268="","",R1268+U1268+P1268)</f>
        <v/>
      </c>
      <c r="Z1268" s="7">
        <f>IF($AA1268="","",Y1268-W1268-L1268)</f>
        <v/>
      </c>
      <c r="AA1268" s="13">
        <f>IF(ROWS($AA$2:$AA1268)&lt;=MAX('Per Line'!$AO$2:$AO$4001),MATCH(ROWS($AA$2:$AA1268),'Per Line'!$AO$2:$AO$4001,0),"")</f>
        <v/>
      </c>
      <c r="AB1268" s="14">
        <f>IF($AA1268="","",L1268-K1268*Y1268/100)</f>
        <v/>
      </c>
    </row>
    <row r="1269">
      <c r="A1269" s="12" t="n"/>
      <c r="B1269">
        <f>IF($AA1269="","",INDEX('Per Line'!$E$2:$E$4001,$AA1269)&amp;"")</f>
        <v/>
      </c>
      <c r="C1269">
        <f>IF($AA1269="","",INDEX('Per Line'!$A$2:$A$4001,$AA1269)&amp;"")</f>
        <v/>
      </c>
      <c r="D1269">
        <f>IF($AA1269="","",INDEX('Per Line'!$D$2:$D$4001,$AA1269)&amp;"")</f>
        <v/>
      </c>
      <c r="E1269" s="11">
        <f>IF($AA1269="","",INDEX('Per Line'!$G$2:$G$4001,$AA1269))</f>
        <v/>
      </c>
      <c r="F1269">
        <f>IF($AA1269="","",INDEX('Per Line'!$H$2:$H$4001,$AA1269)&amp;"")</f>
        <v/>
      </c>
      <c r="G1269">
        <f>IF($AA1269="","",INDEX('Per Line'!$I$2:$I$4001,$AA1269)&amp;"")</f>
        <v/>
      </c>
      <c r="H1269">
        <f>IF($AA1269="","",INDEX('Per Line'!$J$2:$J$4001,$AA1269)&amp;"")</f>
        <v/>
      </c>
      <c r="I1269">
        <f>IF($AA1269="","",INDEX('Per Line'!$K$2:$K$4001,$AA1269)&amp;"")</f>
        <v/>
      </c>
      <c r="J1269">
        <f>IF($AA1269="","",INDEX('Per Line'!$L$2:$L$4001,$AA1269)&amp;"")</f>
        <v/>
      </c>
      <c r="K1269">
        <f>IF($AA1269="","",INDEX('Per Line'!$P$2:$P$4001,$AA1269))</f>
        <v/>
      </c>
      <c r="L1269" s="7">
        <f>IF($AA1269="","",IF(AND(ISNUMBER(N1269),N1269&gt;0,Y1269&gt;N1269),K1269*N1269/100+(Y1269-N1269),K1269*Y1269/100))</f>
        <v/>
      </c>
      <c r="M1269">
        <f>IF($AA1269="","",INDEX('Per Line'!$Z$2:$Z$4001,$AA1269)&amp;"")</f>
        <v/>
      </c>
      <c r="N1269">
        <f>IF($AA1269="","",INDEX('Per Line'!$AG$2:$AG$4001,$AA1269))</f>
        <v/>
      </c>
      <c r="O1269">
        <f>IF($AA1269="","",IF(AND(ISNUMBER(N1269),N1269&gt;0),Y1269&gt;N1269,FALSE))</f>
        <v/>
      </c>
      <c r="P1269" s="7">
        <f>IF($AA1269="","",SUMIFS('Per Line'!$Y$2:$Y$4001,'Per Line'!$E$2:$E$4001,$B1269,'Per Line'!$AQ$2:$AQ$4001,1))</f>
        <v/>
      </c>
      <c r="Q1269">
        <f>IF($AA1269="","",Settings!$C$7)</f>
        <v/>
      </c>
      <c r="R1269" s="7">
        <f>IF($AA1269="","",SUMIFS('Per Line'!$Y$2:$Y$4001,'Per Line'!$E$2:$E$4001,$B1269,'Per Line'!$AP$2:$AP$4001,0,'Per Line'!$AQ$2:$AQ$4001,0))</f>
        <v/>
      </c>
      <c r="S1269" s="7">
        <f>IF($AA1269="","",R1269*Q1269)</f>
        <v/>
      </c>
      <c r="T1269">
        <f>IF($AA1269="","",Settings!$C$6)</f>
        <v/>
      </c>
      <c r="U1269" s="7">
        <f>IF($AA1269="","",SUMIFS('Per Line'!$Y$2:$Y$4001,'Per Line'!$E$2:$E$4001,$B1269,'Per Line'!$AP$2:$AP$4001,1,'Per Line'!$AQ$2:$AQ$4001,0))</f>
        <v/>
      </c>
      <c r="V1269" s="7">
        <f>IF($AA1269="","",U1269*T1269)</f>
        <v/>
      </c>
      <c r="W1269" s="7">
        <f>IF($AA1269="","",V1269+S1269)</f>
        <v/>
      </c>
      <c r="X1269" s="7">
        <f>IF($AA1269="","",Y1269-W1269)</f>
        <v/>
      </c>
      <c r="Y1269" s="7">
        <f>IF($AA1269="","",R1269+U1269+P1269)</f>
        <v/>
      </c>
      <c r="Z1269" s="7">
        <f>IF($AA1269="","",Y1269-W1269-L1269)</f>
        <v/>
      </c>
      <c r="AA1269" s="13">
        <f>IF(ROWS($AA$2:$AA1269)&lt;=MAX('Per Line'!$AO$2:$AO$4001),MATCH(ROWS($AA$2:$AA1269),'Per Line'!$AO$2:$AO$4001,0),"")</f>
        <v/>
      </c>
      <c r="AB1269" s="14">
        <f>IF($AA1269="","",L1269-K1269*Y1269/100)</f>
        <v/>
      </c>
    </row>
    <row r="1270">
      <c r="A1270" s="12" t="n"/>
      <c r="B1270">
        <f>IF($AA1270="","",INDEX('Per Line'!$E$2:$E$4001,$AA1270)&amp;"")</f>
        <v/>
      </c>
      <c r="C1270">
        <f>IF($AA1270="","",INDEX('Per Line'!$A$2:$A$4001,$AA1270)&amp;"")</f>
        <v/>
      </c>
      <c r="D1270">
        <f>IF($AA1270="","",INDEX('Per Line'!$D$2:$D$4001,$AA1270)&amp;"")</f>
        <v/>
      </c>
      <c r="E1270" s="11">
        <f>IF($AA1270="","",INDEX('Per Line'!$G$2:$G$4001,$AA1270))</f>
        <v/>
      </c>
      <c r="F1270">
        <f>IF($AA1270="","",INDEX('Per Line'!$H$2:$H$4001,$AA1270)&amp;"")</f>
        <v/>
      </c>
      <c r="G1270">
        <f>IF($AA1270="","",INDEX('Per Line'!$I$2:$I$4001,$AA1270)&amp;"")</f>
        <v/>
      </c>
      <c r="H1270">
        <f>IF($AA1270="","",INDEX('Per Line'!$J$2:$J$4001,$AA1270)&amp;"")</f>
        <v/>
      </c>
      <c r="I1270">
        <f>IF($AA1270="","",INDEX('Per Line'!$K$2:$K$4001,$AA1270)&amp;"")</f>
        <v/>
      </c>
      <c r="J1270">
        <f>IF($AA1270="","",INDEX('Per Line'!$L$2:$L$4001,$AA1270)&amp;"")</f>
        <v/>
      </c>
      <c r="K1270">
        <f>IF($AA1270="","",INDEX('Per Line'!$P$2:$P$4001,$AA1270))</f>
        <v/>
      </c>
      <c r="L1270" s="7">
        <f>IF($AA1270="","",IF(AND(ISNUMBER(N1270),N1270&gt;0,Y1270&gt;N1270),K1270*N1270/100+(Y1270-N1270),K1270*Y1270/100))</f>
        <v/>
      </c>
      <c r="M1270">
        <f>IF($AA1270="","",INDEX('Per Line'!$Z$2:$Z$4001,$AA1270)&amp;"")</f>
        <v/>
      </c>
      <c r="N1270">
        <f>IF($AA1270="","",INDEX('Per Line'!$AG$2:$AG$4001,$AA1270))</f>
        <v/>
      </c>
      <c r="O1270">
        <f>IF($AA1270="","",IF(AND(ISNUMBER(N1270),N1270&gt;0),Y1270&gt;N1270,FALSE))</f>
        <v/>
      </c>
      <c r="P1270" s="7">
        <f>IF($AA1270="","",SUMIFS('Per Line'!$Y$2:$Y$4001,'Per Line'!$E$2:$E$4001,$B1270,'Per Line'!$AQ$2:$AQ$4001,1))</f>
        <v/>
      </c>
      <c r="Q1270">
        <f>IF($AA1270="","",Settings!$C$7)</f>
        <v/>
      </c>
      <c r="R1270" s="7">
        <f>IF($AA1270="","",SUMIFS('Per Line'!$Y$2:$Y$4001,'Per Line'!$E$2:$E$4001,$B1270,'Per Line'!$AP$2:$AP$4001,0,'Per Line'!$AQ$2:$AQ$4001,0))</f>
        <v/>
      </c>
      <c r="S1270" s="7">
        <f>IF($AA1270="","",R1270*Q1270)</f>
        <v/>
      </c>
      <c r="T1270">
        <f>IF($AA1270="","",Settings!$C$6)</f>
        <v/>
      </c>
      <c r="U1270" s="7">
        <f>IF($AA1270="","",SUMIFS('Per Line'!$Y$2:$Y$4001,'Per Line'!$E$2:$E$4001,$B1270,'Per Line'!$AP$2:$AP$4001,1,'Per Line'!$AQ$2:$AQ$4001,0))</f>
        <v/>
      </c>
      <c r="V1270" s="7">
        <f>IF($AA1270="","",U1270*T1270)</f>
        <v/>
      </c>
      <c r="W1270" s="7">
        <f>IF($AA1270="","",V1270+S1270)</f>
        <v/>
      </c>
      <c r="X1270" s="7">
        <f>IF($AA1270="","",Y1270-W1270)</f>
        <v/>
      </c>
      <c r="Y1270" s="7">
        <f>IF($AA1270="","",R1270+U1270+P1270)</f>
        <v/>
      </c>
      <c r="Z1270" s="7">
        <f>IF($AA1270="","",Y1270-W1270-L1270)</f>
        <v/>
      </c>
      <c r="AA1270" s="13">
        <f>IF(ROWS($AA$2:$AA1270)&lt;=MAX('Per Line'!$AO$2:$AO$4001),MATCH(ROWS($AA$2:$AA1270),'Per Line'!$AO$2:$AO$4001,0),"")</f>
        <v/>
      </c>
      <c r="AB1270" s="14">
        <f>IF($AA1270="","",L1270-K1270*Y1270/100)</f>
        <v/>
      </c>
    </row>
    <row r="1271">
      <c r="A1271" s="12" t="n"/>
      <c r="B1271">
        <f>IF($AA1271="","",INDEX('Per Line'!$E$2:$E$4001,$AA1271)&amp;"")</f>
        <v/>
      </c>
      <c r="C1271">
        <f>IF($AA1271="","",INDEX('Per Line'!$A$2:$A$4001,$AA1271)&amp;"")</f>
        <v/>
      </c>
      <c r="D1271">
        <f>IF($AA1271="","",INDEX('Per Line'!$D$2:$D$4001,$AA1271)&amp;"")</f>
        <v/>
      </c>
      <c r="E1271" s="11">
        <f>IF($AA1271="","",INDEX('Per Line'!$G$2:$G$4001,$AA1271))</f>
        <v/>
      </c>
      <c r="F1271">
        <f>IF($AA1271="","",INDEX('Per Line'!$H$2:$H$4001,$AA1271)&amp;"")</f>
        <v/>
      </c>
      <c r="G1271">
        <f>IF($AA1271="","",INDEX('Per Line'!$I$2:$I$4001,$AA1271)&amp;"")</f>
        <v/>
      </c>
      <c r="H1271">
        <f>IF($AA1271="","",INDEX('Per Line'!$J$2:$J$4001,$AA1271)&amp;"")</f>
        <v/>
      </c>
      <c r="I1271">
        <f>IF($AA1271="","",INDEX('Per Line'!$K$2:$K$4001,$AA1271)&amp;"")</f>
        <v/>
      </c>
      <c r="J1271">
        <f>IF($AA1271="","",INDEX('Per Line'!$L$2:$L$4001,$AA1271)&amp;"")</f>
        <v/>
      </c>
      <c r="K1271">
        <f>IF($AA1271="","",INDEX('Per Line'!$P$2:$P$4001,$AA1271))</f>
        <v/>
      </c>
      <c r="L1271" s="7">
        <f>IF($AA1271="","",IF(AND(ISNUMBER(N1271),N1271&gt;0,Y1271&gt;N1271),K1271*N1271/100+(Y1271-N1271),K1271*Y1271/100))</f>
        <v/>
      </c>
      <c r="M1271">
        <f>IF($AA1271="","",INDEX('Per Line'!$Z$2:$Z$4001,$AA1271)&amp;"")</f>
        <v/>
      </c>
      <c r="N1271">
        <f>IF($AA1271="","",INDEX('Per Line'!$AG$2:$AG$4001,$AA1271))</f>
        <v/>
      </c>
      <c r="O1271">
        <f>IF($AA1271="","",IF(AND(ISNUMBER(N1271),N1271&gt;0),Y1271&gt;N1271,FALSE))</f>
        <v/>
      </c>
      <c r="P1271" s="7">
        <f>IF($AA1271="","",SUMIFS('Per Line'!$Y$2:$Y$4001,'Per Line'!$E$2:$E$4001,$B1271,'Per Line'!$AQ$2:$AQ$4001,1))</f>
        <v/>
      </c>
      <c r="Q1271">
        <f>IF($AA1271="","",Settings!$C$7)</f>
        <v/>
      </c>
      <c r="R1271" s="7">
        <f>IF($AA1271="","",SUMIFS('Per Line'!$Y$2:$Y$4001,'Per Line'!$E$2:$E$4001,$B1271,'Per Line'!$AP$2:$AP$4001,0,'Per Line'!$AQ$2:$AQ$4001,0))</f>
        <v/>
      </c>
      <c r="S1271" s="7">
        <f>IF($AA1271="","",R1271*Q1271)</f>
        <v/>
      </c>
      <c r="T1271">
        <f>IF($AA1271="","",Settings!$C$6)</f>
        <v/>
      </c>
      <c r="U1271" s="7">
        <f>IF($AA1271="","",SUMIFS('Per Line'!$Y$2:$Y$4001,'Per Line'!$E$2:$E$4001,$B1271,'Per Line'!$AP$2:$AP$4001,1,'Per Line'!$AQ$2:$AQ$4001,0))</f>
        <v/>
      </c>
      <c r="V1271" s="7">
        <f>IF($AA1271="","",U1271*T1271)</f>
        <v/>
      </c>
      <c r="W1271" s="7">
        <f>IF($AA1271="","",V1271+S1271)</f>
        <v/>
      </c>
      <c r="X1271" s="7">
        <f>IF($AA1271="","",Y1271-W1271)</f>
        <v/>
      </c>
      <c r="Y1271" s="7">
        <f>IF($AA1271="","",R1271+U1271+P1271)</f>
        <v/>
      </c>
      <c r="Z1271" s="7">
        <f>IF($AA1271="","",Y1271-W1271-L1271)</f>
        <v/>
      </c>
      <c r="AA1271" s="13">
        <f>IF(ROWS($AA$2:$AA1271)&lt;=MAX('Per Line'!$AO$2:$AO$4001),MATCH(ROWS($AA$2:$AA1271),'Per Line'!$AO$2:$AO$4001,0),"")</f>
        <v/>
      </c>
      <c r="AB1271" s="14">
        <f>IF($AA1271="","",L1271-K1271*Y1271/100)</f>
        <v/>
      </c>
    </row>
    <row r="1272">
      <c r="A1272" s="12" t="n"/>
      <c r="B1272">
        <f>IF($AA1272="","",INDEX('Per Line'!$E$2:$E$4001,$AA1272)&amp;"")</f>
        <v/>
      </c>
      <c r="C1272">
        <f>IF($AA1272="","",INDEX('Per Line'!$A$2:$A$4001,$AA1272)&amp;"")</f>
        <v/>
      </c>
      <c r="D1272">
        <f>IF($AA1272="","",INDEX('Per Line'!$D$2:$D$4001,$AA1272)&amp;"")</f>
        <v/>
      </c>
      <c r="E1272" s="11">
        <f>IF($AA1272="","",INDEX('Per Line'!$G$2:$G$4001,$AA1272))</f>
        <v/>
      </c>
      <c r="F1272">
        <f>IF($AA1272="","",INDEX('Per Line'!$H$2:$H$4001,$AA1272)&amp;"")</f>
        <v/>
      </c>
      <c r="G1272">
        <f>IF($AA1272="","",INDEX('Per Line'!$I$2:$I$4001,$AA1272)&amp;"")</f>
        <v/>
      </c>
      <c r="H1272">
        <f>IF($AA1272="","",INDEX('Per Line'!$J$2:$J$4001,$AA1272)&amp;"")</f>
        <v/>
      </c>
      <c r="I1272">
        <f>IF($AA1272="","",INDEX('Per Line'!$K$2:$K$4001,$AA1272)&amp;"")</f>
        <v/>
      </c>
      <c r="J1272">
        <f>IF($AA1272="","",INDEX('Per Line'!$L$2:$L$4001,$AA1272)&amp;"")</f>
        <v/>
      </c>
      <c r="K1272">
        <f>IF($AA1272="","",INDEX('Per Line'!$P$2:$P$4001,$AA1272))</f>
        <v/>
      </c>
      <c r="L1272" s="7">
        <f>IF($AA1272="","",IF(AND(ISNUMBER(N1272),N1272&gt;0,Y1272&gt;N1272),K1272*N1272/100+(Y1272-N1272),K1272*Y1272/100))</f>
        <v/>
      </c>
      <c r="M1272">
        <f>IF($AA1272="","",INDEX('Per Line'!$Z$2:$Z$4001,$AA1272)&amp;"")</f>
        <v/>
      </c>
      <c r="N1272">
        <f>IF($AA1272="","",INDEX('Per Line'!$AG$2:$AG$4001,$AA1272))</f>
        <v/>
      </c>
      <c r="O1272">
        <f>IF($AA1272="","",IF(AND(ISNUMBER(N1272),N1272&gt;0),Y1272&gt;N1272,FALSE))</f>
        <v/>
      </c>
      <c r="P1272" s="7">
        <f>IF($AA1272="","",SUMIFS('Per Line'!$Y$2:$Y$4001,'Per Line'!$E$2:$E$4001,$B1272,'Per Line'!$AQ$2:$AQ$4001,1))</f>
        <v/>
      </c>
      <c r="Q1272">
        <f>IF($AA1272="","",Settings!$C$7)</f>
        <v/>
      </c>
      <c r="R1272" s="7">
        <f>IF($AA1272="","",SUMIFS('Per Line'!$Y$2:$Y$4001,'Per Line'!$E$2:$E$4001,$B1272,'Per Line'!$AP$2:$AP$4001,0,'Per Line'!$AQ$2:$AQ$4001,0))</f>
        <v/>
      </c>
      <c r="S1272" s="7">
        <f>IF($AA1272="","",R1272*Q1272)</f>
        <v/>
      </c>
      <c r="T1272">
        <f>IF($AA1272="","",Settings!$C$6)</f>
        <v/>
      </c>
      <c r="U1272" s="7">
        <f>IF($AA1272="","",SUMIFS('Per Line'!$Y$2:$Y$4001,'Per Line'!$E$2:$E$4001,$B1272,'Per Line'!$AP$2:$AP$4001,1,'Per Line'!$AQ$2:$AQ$4001,0))</f>
        <v/>
      </c>
      <c r="V1272" s="7">
        <f>IF($AA1272="","",U1272*T1272)</f>
        <v/>
      </c>
      <c r="W1272" s="7">
        <f>IF($AA1272="","",V1272+S1272)</f>
        <v/>
      </c>
      <c r="X1272" s="7">
        <f>IF($AA1272="","",Y1272-W1272)</f>
        <v/>
      </c>
      <c r="Y1272" s="7">
        <f>IF($AA1272="","",R1272+U1272+P1272)</f>
        <v/>
      </c>
      <c r="Z1272" s="7">
        <f>IF($AA1272="","",Y1272-W1272-L1272)</f>
        <v/>
      </c>
      <c r="AA1272" s="13">
        <f>IF(ROWS($AA$2:$AA1272)&lt;=MAX('Per Line'!$AO$2:$AO$4001),MATCH(ROWS($AA$2:$AA1272),'Per Line'!$AO$2:$AO$4001,0),"")</f>
        <v/>
      </c>
      <c r="AB1272" s="14">
        <f>IF($AA1272="","",L1272-K1272*Y1272/100)</f>
        <v/>
      </c>
    </row>
    <row r="1273">
      <c r="A1273" s="12" t="n"/>
      <c r="B1273">
        <f>IF($AA1273="","",INDEX('Per Line'!$E$2:$E$4001,$AA1273)&amp;"")</f>
        <v/>
      </c>
      <c r="C1273">
        <f>IF($AA1273="","",INDEX('Per Line'!$A$2:$A$4001,$AA1273)&amp;"")</f>
        <v/>
      </c>
      <c r="D1273">
        <f>IF($AA1273="","",INDEX('Per Line'!$D$2:$D$4001,$AA1273)&amp;"")</f>
        <v/>
      </c>
      <c r="E1273" s="11">
        <f>IF($AA1273="","",INDEX('Per Line'!$G$2:$G$4001,$AA1273))</f>
        <v/>
      </c>
      <c r="F1273">
        <f>IF($AA1273="","",INDEX('Per Line'!$H$2:$H$4001,$AA1273)&amp;"")</f>
        <v/>
      </c>
      <c r="G1273">
        <f>IF($AA1273="","",INDEX('Per Line'!$I$2:$I$4001,$AA1273)&amp;"")</f>
        <v/>
      </c>
      <c r="H1273">
        <f>IF($AA1273="","",INDEX('Per Line'!$J$2:$J$4001,$AA1273)&amp;"")</f>
        <v/>
      </c>
      <c r="I1273">
        <f>IF($AA1273="","",INDEX('Per Line'!$K$2:$K$4001,$AA1273)&amp;"")</f>
        <v/>
      </c>
      <c r="J1273">
        <f>IF($AA1273="","",INDEX('Per Line'!$L$2:$L$4001,$AA1273)&amp;"")</f>
        <v/>
      </c>
      <c r="K1273">
        <f>IF($AA1273="","",INDEX('Per Line'!$P$2:$P$4001,$AA1273))</f>
        <v/>
      </c>
      <c r="L1273" s="7">
        <f>IF($AA1273="","",IF(AND(ISNUMBER(N1273),N1273&gt;0,Y1273&gt;N1273),K1273*N1273/100+(Y1273-N1273),K1273*Y1273/100))</f>
        <v/>
      </c>
      <c r="M1273">
        <f>IF($AA1273="","",INDEX('Per Line'!$Z$2:$Z$4001,$AA1273)&amp;"")</f>
        <v/>
      </c>
      <c r="N1273">
        <f>IF($AA1273="","",INDEX('Per Line'!$AG$2:$AG$4001,$AA1273))</f>
        <v/>
      </c>
      <c r="O1273">
        <f>IF($AA1273="","",IF(AND(ISNUMBER(N1273),N1273&gt;0),Y1273&gt;N1273,FALSE))</f>
        <v/>
      </c>
      <c r="P1273" s="7">
        <f>IF($AA1273="","",SUMIFS('Per Line'!$Y$2:$Y$4001,'Per Line'!$E$2:$E$4001,$B1273,'Per Line'!$AQ$2:$AQ$4001,1))</f>
        <v/>
      </c>
      <c r="Q1273">
        <f>IF($AA1273="","",Settings!$C$7)</f>
        <v/>
      </c>
      <c r="R1273" s="7">
        <f>IF($AA1273="","",SUMIFS('Per Line'!$Y$2:$Y$4001,'Per Line'!$E$2:$E$4001,$B1273,'Per Line'!$AP$2:$AP$4001,0,'Per Line'!$AQ$2:$AQ$4001,0))</f>
        <v/>
      </c>
      <c r="S1273" s="7">
        <f>IF($AA1273="","",R1273*Q1273)</f>
        <v/>
      </c>
      <c r="T1273">
        <f>IF($AA1273="","",Settings!$C$6)</f>
        <v/>
      </c>
      <c r="U1273" s="7">
        <f>IF($AA1273="","",SUMIFS('Per Line'!$Y$2:$Y$4001,'Per Line'!$E$2:$E$4001,$B1273,'Per Line'!$AP$2:$AP$4001,1,'Per Line'!$AQ$2:$AQ$4001,0))</f>
        <v/>
      </c>
      <c r="V1273" s="7">
        <f>IF($AA1273="","",U1273*T1273)</f>
        <v/>
      </c>
      <c r="W1273" s="7">
        <f>IF($AA1273="","",V1273+S1273)</f>
        <v/>
      </c>
      <c r="X1273" s="7">
        <f>IF($AA1273="","",Y1273-W1273)</f>
        <v/>
      </c>
      <c r="Y1273" s="7">
        <f>IF($AA1273="","",R1273+U1273+P1273)</f>
        <v/>
      </c>
      <c r="Z1273" s="7">
        <f>IF($AA1273="","",Y1273-W1273-L1273)</f>
        <v/>
      </c>
      <c r="AA1273" s="13">
        <f>IF(ROWS($AA$2:$AA1273)&lt;=MAX('Per Line'!$AO$2:$AO$4001),MATCH(ROWS($AA$2:$AA1273),'Per Line'!$AO$2:$AO$4001,0),"")</f>
        <v/>
      </c>
      <c r="AB1273" s="14">
        <f>IF($AA1273="","",L1273-K1273*Y1273/100)</f>
        <v/>
      </c>
    </row>
    <row r="1274">
      <c r="A1274" s="12" t="n"/>
      <c r="B1274">
        <f>IF($AA1274="","",INDEX('Per Line'!$E$2:$E$4001,$AA1274)&amp;"")</f>
        <v/>
      </c>
      <c r="C1274">
        <f>IF($AA1274="","",INDEX('Per Line'!$A$2:$A$4001,$AA1274)&amp;"")</f>
        <v/>
      </c>
      <c r="D1274">
        <f>IF($AA1274="","",INDEX('Per Line'!$D$2:$D$4001,$AA1274)&amp;"")</f>
        <v/>
      </c>
      <c r="E1274" s="11">
        <f>IF($AA1274="","",INDEX('Per Line'!$G$2:$G$4001,$AA1274))</f>
        <v/>
      </c>
      <c r="F1274">
        <f>IF($AA1274="","",INDEX('Per Line'!$H$2:$H$4001,$AA1274)&amp;"")</f>
        <v/>
      </c>
      <c r="G1274">
        <f>IF($AA1274="","",INDEX('Per Line'!$I$2:$I$4001,$AA1274)&amp;"")</f>
        <v/>
      </c>
      <c r="H1274">
        <f>IF($AA1274="","",INDEX('Per Line'!$J$2:$J$4001,$AA1274)&amp;"")</f>
        <v/>
      </c>
      <c r="I1274">
        <f>IF($AA1274="","",INDEX('Per Line'!$K$2:$K$4001,$AA1274)&amp;"")</f>
        <v/>
      </c>
      <c r="J1274">
        <f>IF($AA1274="","",INDEX('Per Line'!$L$2:$L$4001,$AA1274)&amp;"")</f>
        <v/>
      </c>
      <c r="K1274">
        <f>IF($AA1274="","",INDEX('Per Line'!$P$2:$P$4001,$AA1274))</f>
        <v/>
      </c>
      <c r="L1274" s="7">
        <f>IF($AA1274="","",IF(AND(ISNUMBER(N1274),N1274&gt;0,Y1274&gt;N1274),K1274*N1274/100+(Y1274-N1274),K1274*Y1274/100))</f>
        <v/>
      </c>
      <c r="M1274">
        <f>IF($AA1274="","",INDEX('Per Line'!$Z$2:$Z$4001,$AA1274)&amp;"")</f>
        <v/>
      </c>
      <c r="N1274">
        <f>IF($AA1274="","",INDEX('Per Line'!$AG$2:$AG$4001,$AA1274))</f>
        <v/>
      </c>
      <c r="O1274">
        <f>IF($AA1274="","",IF(AND(ISNUMBER(N1274),N1274&gt;0),Y1274&gt;N1274,FALSE))</f>
        <v/>
      </c>
      <c r="P1274" s="7">
        <f>IF($AA1274="","",SUMIFS('Per Line'!$Y$2:$Y$4001,'Per Line'!$E$2:$E$4001,$B1274,'Per Line'!$AQ$2:$AQ$4001,1))</f>
        <v/>
      </c>
      <c r="Q1274">
        <f>IF($AA1274="","",Settings!$C$7)</f>
        <v/>
      </c>
      <c r="R1274" s="7">
        <f>IF($AA1274="","",SUMIFS('Per Line'!$Y$2:$Y$4001,'Per Line'!$E$2:$E$4001,$B1274,'Per Line'!$AP$2:$AP$4001,0,'Per Line'!$AQ$2:$AQ$4001,0))</f>
        <v/>
      </c>
      <c r="S1274" s="7">
        <f>IF($AA1274="","",R1274*Q1274)</f>
        <v/>
      </c>
      <c r="T1274">
        <f>IF($AA1274="","",Settings!$C$6)</f>
        <v/>
      </c>
      <c r="U1274" s="7">
        <f>IF($AA1274="","",SUMIFS('Per Line'!$Y$2:$Y$4001,'Per Line'!$E$2:$E$4001,$B1274,'Per Line'!$AP$2:$AP$4001,1,'Per Line'!$AQ$2:$AQ$4001,0))</f>
        <v/>
      </c>
      <c r="V1274" s="7">
        <f>IF($AA1274="","",U1274*T1274)</f>
        <v/>
      </c>
      <c r="W1274" s="7">
        <f>IF($AA1274="","",V1274+S1274)</f>
        <v/>
      </c>
      <c r="X1274" s="7">
        <f>IF($AA1274="","",Y1274-W1274)</f>
        <v/>
      </c>
      <c r="Y1274" s="7">
        <f>IF($AA1274="","",R1274+U1274+P1274)</f>
        <v/>
      </c>
      <c r="Z1274" s="7">
        <f>IF($AA1274="","",Y1274-W1274-L1274)</f>
        <v/>
      </c>
      <c r="AA1274" s="13">
        <f>IF(ROWS($AA$2:$AA1274)&lt;=MAX('Per Line'!$AO$2:$AO$4001),MATCH(ROWS($AA$2:$AA1274),'Per Line'!$AO$2:$AO$4001,0),"")</f>
        <v/>
      </c>
      <c r="AB1274" s="14">
        <f>IF($AA1274="","",L1274-K1274*Y1274/100)</f>
        <v/>
      </c>
    </row>
    <row r="1275">
      <c r="A1275" s="12" t="n"/>
      <c r="B1275">
        <f>IF($AA1275="","",INDEX('Per Line'!$E$2:$E$4001,$AA1275)&amp;"")</f>
        <v/>
      </c>
      <c r="C1275">
        <f>IF($AA1275="","",INDEX('Per Line'!$A$2:$A$4001,$AA1275)&amp;"")</f>
        <v/>
      </c>
      <c r="D1275">
        <f>IF($AA1275="","",INDEX('Per Line'!$D$2:$D$4001,$AA1275)&amp;"")</f>
        <v/>
      </c>
      <c r="E1275" s="11">
        <f>IF($AA1275="","",INDEX('Per Line'!$G$2:$G$4001,$AA1275))</f>
        <v/>
      </c>
      <c r="F1275">
        <f>IF($AA1275="","",INDEX('Per Line'!$H$2:$H$4001,$AA1275)&amp;"")</f>
        <v/>
      </c>
      <c r="G1275">
        <f>IF($AA1275="","",INDEX('Per Line'!$I$2:$I$4001,$AA1275)&amp;"")</f>
        <v/>
      </c>
      <c r="H1275">
        <f>IF($AA1275="","",INDEX('Per Line'!$J$2:$J$4001,$AA1275)&amp;"")</f>
        <v/>
      </c>
      <c r="I1275">
        <f>IF($AA1275="","",INDEX('Per Line'!$K$2:$K$4001,$AA1275)&amp;"")</f>
        <v/>
      </c>
      <c r="J1275">
        <f>IF($AA1275="","",INDEX('Per Line'!$L$2:$L$4001,$AA1275)&amp;"")</f>
        <v/>
      </c>
      <c r="K1275">
        <f>IF($AA1275="","",INDEX('Per Line'!$P$2:$P$4001,$AA1275))</f>
        <v/>
      </c>
      <c r="L1275" s="7">
        <f>IF($AA1275="","",IF(AND(ISNUMBER(N1275),N1275&gt;0,Y1275&gt;N1275),K1275*N1275/100+(Y1275-N1275),K1275*Y1275/100))</f>
        <v/>
      </c>
      <c r="M1275">
        <f>IF($AA1275="","",INDEX('Per Line'!$Z$2:$Z$4001,$AA1275)&amp;"")</f>
        <v/>
      </c>
      <c r="N1275">
        <f>IF($AA1275="","",INDEX('Per Line'!$AG$2:$AG$4001,$AA1275))</f>
        <v/>
      </c>
      <c r="O1275">
        <f>IF($AA1275="","",IF(AND(ISNUMBER(N1275),N1275&gt;0),Y1275&gt;N1275,FALSE))</f>
        <v/>
      </c>
      <c r="P1275" s="7">
        <f>IF($AA1275="","",SUMIFS('Per Line'!$Y$2:$Y$4001,'Per Line'!$E$2:$E$4001,$B1275,'Per Line'!$AQ$2:$AQ$4001,1))</f>
        <v/>
      </c>
      <c r="Q1275">
        <f>IF($AA1275="","",Settings!$C$7)</f>
        <v/>
      </c>
      <c r="R1275" s="7">
        <f>IF($AA1275="","",SUMIFS('Per Line'!$Y$2:$Y$4001,'Per Line'!$E$2:$E$4001,$B1275,'Per Line'!$AP$2:$AP$4001,0,'Per Line'!$AQ$2:$AQ$4001,0))</f>
        <v/>
      </c>
      <c r="S1275" s="7">
        <f>IF($AA1275="","",R1275*Q1275)</f>
        <v/>
      </c>
      <c r="T1275">
        <f>IF($AA1275="","",Settings!$C$6)</f>
        <v/>
      </c>
      <c r="U1275" s="7">
        <f>IF($AA1275="","",SUMIFS('Per Line'!$Y$2:$Y$4001,'Per Line'!$E$2:$E$4001,$B1275,'Per Line'!$AP$2:$AP$4001,1,'Per Line'!$AQ$2:$AQ$4001,0))</f>
        <v/>
      </c>
      <c r="V1275" s="7">
        <f>IF($AA1275="","",U1275*T1275)</f>
        <v/>
      </c>
      <c r="W1275" s="7">
        <f>IF($AA1275="","",V1275+S1275)</f>
        <v/>
      </c>
      <c r="X1275" s="7">
        <f>IF($AA1275="","",Y1275-W1275)</f>
        <v/>
      </c>
      <c r="Y1275" s="7">
        <f>IF($AA1275="","",R1275+U1275+P1275)</f>
        <v/>
      </c>
      <c r="Z1275" s="7">
        <f>IF($AA1275="","",Y1275-W1275-L1275)</f>
        <v/>
      </c>
      <c r="AA1275" s="13">
        <f>IF(ROWS($AA$2:$AA1275)&lt;=MAX('Per Line'!$AO$2:$AO$4001),MATCH(ROWS($AA$2:$AA1275),'Per Line'!$AO$2:$AO$4001,0),"")</f>
        <v/>
      </c>
      <c r="AB1275" s="14">
        <f>IF($AA1275="","",L1275-K1275*Y1275/100)</f>
        <v/>
      </c>
    </row>
    <row r="1276">
      <c r="A1276" s="12" t="n"/>
      <c r="B1276">
        <f>IF($AA1276="","",INDEX('Per Line'!$E$2:$E$4001,$AA1276)&amp;"")</f>
        <v/>
      </c>
      <c r="C1276">
        <f>IF($AA1276="","",INDEX('Per Line'!$A$2:$A$4001,$AA1276)&amp;"")</f>
        <v/>
      </c>
      <c r="D1276">
        <f>IF($AA1276="","",INDEX('Per Line'!$D$2:$D$4001,$AA1276)&amp;"")</f>
        <v/>
      </c>
      <c r="E1276" s="11">
        <f>IF($AA1276="","",INDEX('Per Line'!$G$2:$G$4001,$AA1276))</f>
        <v/>
      </c>
      <c r="F1276">
        <f>IF($AA1276="","",INDEX('Per Line'!$H$2:$H$4001,$AA1276)&amp;"")</f>
        <v/>
      </c>
      <c r="G1276">
        <f>IF($AA1276="","",INDEX('Per Line'!$I$2:$I$4001,$AA1276)&amp;"")</f>
        <v/>
      </c>
      <c r="H1276">
        <f>IF($AA1276="","",INDEX('Per Line'!$J$2:$J$4001,$AA1276)&amp;"")</f>
        <v/>
      </c>
      <c r="I1276">
        <f>IF($AA1276="","",INDEX('Per Line'!$K$2:$K$4001,$AA1276)&amp;"")</f>
        <v/>
      </c>
      <c r="J1276">
        <f>IF($AA1276="","",INDEX('Per Line'!$L$2:$L$4001,$AA1276)&amp;"")</f>
        <v/>
      </c>
      <c r="K1276">
        <f>IF($AA1276="","",INDEX('Per Line'!$P$2:$P$4001,$AA1276))</f>
        <v/>
      </c>
      <c r="L1276" s="7">
        <f>IF($AA1276="","",IF(AND(ISNUMBER(N1276),N1276&gt;0,Y1276&gt;N1276),K1276*N1276/100+(Y1276-N1276),K1276*Y1276/100))</f>
        <v/>
      </c>
      <c r="M1276">
        <f>IF($AA1276="","",INDEX('Per Line'!$Z$2:$Z$4001,$AA1276)&amp;"")</f>
        <v/>
      </c>
      <c r="N1276">
        <f>IF($AA1276="","",INDEX('Per Line'!$AG$2:$AG$4001,$AA1276))</f>
        <v/>
      </c>
      <c r="O1276">
        <f>IF($AA1276="","",IF(AND(ISNUMBER(N1276),N1276&gt;0),Y1276&gt;N1276,FALSE))</f>
        <v/>
      </c>
      <c r="P1276" s="7">
        <f>IF($AA1276="","",SUMIFS('Per Line'!$Y$2:$Y$4001,'Per Line'!$E$2:$E$4001,$B1276,'Per Line'!$AQ$2:$AQ$4001,1))</f>
        <v/>
      </c>
      <c r="Q1276">
        <f>IF($AA1276="","",Settings!$C$7)</f>
        <v/>
      </c>
      <c r="R1276" s="7">
        <f>IF($AA1276="","",SUMIFS('Per Line'!$Y$2:$Y$4001,'Per Line'!$E$2:$E$4001,$B1276,'Per Line'!$AP$2:$AP$4001,0,'Per Line'!$AQ$2:$AQ$4001,0))</f>
        <v/>
      </c>
      <c r="S1276" s="7">
        <f>IF($AA1276="","",R1276*Q1276)</f>
        <v/>
      </c>
      <c r="T1276">
        <f>IF($AA1276="","",Settings!$C$6)</f>
        <v/>
      </c>
      <c r="U1276" s="7">
        <f>IF($AA1276="","",SUMIFS('Per Line'!$Y$2:$Y$4001,'Per Line'!$E$2:$E$4001,$B1276,'Per Line'!$AP$2:$AP$4001,1,'Per Line'!$AQ$2:$AQ$4001,0))</f>
        <v/>
      </c>
      <c r="V1276" s="7">
        <f>IF($AA1276="","",U1276*T1276)</f>
        <v/>
      </c>
      <c r="W1276" s="7">
        <f>IF($AA1276="","",V1276+S1276)</f>
        <v/>
      </c>
      <c r="X1276" s="7">
        <f>IF($AA1276="","",Y1276-W1276)</f>
        <v/>
      </c>
      <c r="Y1276" s="7">
        <f>IF($AA1276="","",R1276+U1276+P1276)</f>
        <v/>
      </c>
      <c r="Z1276" s="7">
        <f>IF($AA1276="","",Y1276-W1276-L1276)</f>
        <v/>
      </c>
      <c r="AA1276" s="13">
        <f>IF(ROWS($AA$2:$AA1276)&lt;=MAX('Per Line'!$AO$2:$AO$4001),MATCH(ROWS($AA$2:$AA1276),'Per Line'!$AO$2:$AO$4001,0),"")</f>
        <v/>
      </c>
      <c r="AB1276" s="14">
        <f>IF($AA1276="","",L1276-K1276*Y1276/100)</f>
        <v/>
      </c>
    </row>
    <row r="1277">
      <c r="A1277" s="12" t="n"/>
      <c r="B1277">
        <f>IF($AA1277="","",INDEX('Per Line'!$E$2:$E$4001,$AA1277)&amp;"")</f>
        <v/>
      </c>
      <c r="C1277">
        <f>IF($AA1277="","",INDEX('Per Line'!$A$2:$A$4001,$AA1277)&amp;"")</f>
        <v/>
      </c>
      <c r="D1277">
        <f>IF($AA1277="","",INDEX('Per Line'!$D$2:$D$4001,$AA1277)&amp;"")</f>
        <v/>
      </c>
      <c r="E1277" s="11">
        <f>IF($AA1277="","",INDEX('Per Line'!$G$2:$G$4001,$AA1277))</f>
        <v/>
      </c>
      <c r="F1277">
        <f>IF($AA1277="","",INDEX('Per Line'!$H$2:$H$4001,$AA1277)&amp;"")</f>
        <v/>
      </c>
      <c r="G1277">
        <f>IF($AA1277="","",INDEX('Per Line'!$I$2:$I$4001,$AA1277)&amp;"")</f>
        <v/>
      </c>
      <c r="H1277">
        <f>IF($AA1277="","",INDEX('Per Line'!$J$2:$J$4001,$AA1277)&amp;"")</f>
        <v/>
      </c>
      <c r="I1277">
        <f>IF($AA1277="","",INDEX('Per Line'!$K$2:$K$4001,$AA1277)&amp;"")</f>
        <v/>
      </c>
      <c r="J1277">
        <f>IF($AA1277="","",INDEX('Per Line'!$L$2:$L$4001,$AA1277)&amp;"")</f>
        <v/>
      </c>
      <c r="K1277">
        <f>IF($AA1277="","",INDEX('Per Line'!$P$2:$P$4001,$AA1277))</f>
        <v/>
      </c>
      <c r="L1277" s="7">
        <f>IF($AA1277="","",IF(AND(ISNUMBER(N1277),N1277&gt;0,Y1277&gt;N1277),K1277*N1277/100+(Y1277-N1277),K1277*Y1277/100))</f>
        <v/>
      </c>
      <c r="M1277">
        <f>IF($AA1277="","",INDEX('Per Line'!$Z$2:$Z$4001,$AA1277)&amp;"")</f>
        <v/>
      </c>
      <c r="N1277">
        <f>IF($AA1277="","",INDEX('Per Line'!$AG$2:$AG$4001,$AA1277))</f>
        <v/>
      </c>
      <c r="O1277">
        <f>IF($AA1277="","",IF(AND(ISNUMBER(N1277),N1277&gt;0),Y1277&gt;N1277,FALSE))</f>
        <v/>
      </c>
      <c r="P1277" s="7">
        <f>IF($AA1277="","",SUMIFS('Per Line'!$Y$2:$Y$4001,'Per Line'!$E$2:$E$4001,$B1277,'Per Line'!$AQ$2:$AQ$4001,1))</f>
        <v/>
      </c>
      <c r="Q1277">
        <f>IF($AA1277="","",Settings!$C$7)</f>
        <v/>
      </c>
      <c r="R1277" s="7">
        <f>IF($AA1277="","",SUMIFS('Per Line'!$Y$2:$Y$4001,'Per Line'!$E$2:$E$4001,$B1277,'Per Line'!$AP$2:$AP$4001,0,'Per Line'!$AQ$2:$AQ$4001,0))</f>
        <v/>
      </c>
      <c r="S1277" s="7">
        <f>IF($AA1277="","",R1277*Q1277)</f>
        <v/>
      </c>
      <c r="T1277">
        <f>IF($AA1277="","",Settings!$C$6)</f>
        <v/>
      </c>
      <c r="U1277" s="7">
        <f>IF($AA1277="","",SUMIFS('Per Line'!$Y$2:$Y$4001,'Per Line'!$E$2:$E$4001,$B1277,'Per Line'!$AP$2:$AP$4001,1,'Per Line'!$AQ$2:$AQ$4001,0))</f>
        <v/>
      </c>
      <c r="V1277" s="7">
        <f>IF($AA1277="","",U1277*T1277)</f>
        <v/>
      </c>
      <c r="W1277" s="7">
        <f>IF($AA1277="","",V1277+S1277)</f>
        <v/>
      </c>
      <c r="X1277" s="7">
        <f>IF($AA1277="","",Y1277-W1277)</f>
        <v/>
      </c>
      <c r="Y1277" s="7">
        <f>IF($AA1277="","",R1277+U1277+P1277)</f>
        <v/>
      </c>
      <c r="Z1277" s="7">
        <f>IF($AA1277="","",Y1277-W1277-L1277)</f>
        <v/>
      </c>
      <c r="AA1277" s="13">
        <f>IF(ROWS($AA$2:$AA1277)&lt;=MAX('Per Line'!$AO$2:$AO$4001),MATCH(ROWS($AA$2:$AA1277),'Per Line'!$AO$2:$AO$4001,0),"")</f>
        <v/>
      </c>
      <c r="AB1277" s="14">
        <f>IF($AA1277="","",L1277-K1277*Y1277/100)</f>
        <v/>
      </c>
    </row>
    <row r="1278">
      <c r="A1278" s="12" t="n"/>
      <c r="B1278">
        <f>IF($AA1278="","",INDEX('Per Line'!$E$2:$E$4001,$AA1278)&amp;"")</f>
        <v/>
      </c>
      <c r="C1278">
        <f>IF($AA1278="","",INDEX('Per Line'!$A$2:$A$4001,$AA1278)&amp;"")</f>
        <v/>
      </c>
      <c r="D1278">
        <f>IF($AA1278="","",INDEX('Per Line'!$D$2:$D$4001,$AA1278)&amp;"")</f>
        <v/>
      </c>
      <c r="E1278" s="11">
        <f>IF($AA1278="","",INDEX('Per Line'!$G$2:$G$4001,$AA1278))</f>
        <v/>
      </c>
      <c r="F1278">
        <f>IF($AA1278="","",INDEX('Per Line'!$H$2:$H$4001,$AA1278)&amp;"")</f>
        <v/>
      </c>
      <c r="G1278">
        <f>IF($AA1278="","",INDEX('Per Line'!$I$2:$I$4001,$AA1278)&amp;"")</f>
        <v/>
      </c>
      <c r="H1278">
        <f>IF($AA1278="","",INDEX('Per Line'!$J$2:$J$4001,$AA1278)&amp;"")</f>
        <v/>
      </c>
      <c r="I1278">
        <f>IF($AA1278="","",INDEX('Per Line'!$K$2:$K$4001,$AA1278)&amp;"")</f>
        <v/>
      </c>
      <c r="J1278">
        <f>IF($AA1278="","",INDEX('Per Line'!$L$2:$L$4001,$AA1278)&amp;"")</f>
        <v/>
      </c>
      <c r="K1278">
        <f>IF($AA1278="","",INDEX('Per Line'!$P$2:$P$4001,$AA1278))</f>
        <v/>
      </c>
      <c r="L1278" s="7">
        <f>IF($AA1278="","",IF(AND(ISNUMBER(N1278),N1278&gt;0,Y1278&gt;N1278),K1278*N1278/100+(Y1278-N1278),K1278*Y1278/100))</f>
        <v/>
      </c>
      <c r="M1278">
        <f>IF($AA1278="","",INDEX('Per Line'!$Z$2:$Z$4001,$AA1278)&amp;"")</f>
        <v/>
      </c>
      <c r="N1278">
        <f>IF($AA1278="","",INDEX('Per Line'!$AG$2:$AG$4001,$AA1278))</f>
        <v/>
      </c>
      <c r="O1278">
        <f>IF($AA1278="","",IF(AND(ISNUMBER(N1278),N1278&gt;0),Y1278&gt;N1278,FALSE))</f>
        <v/>
      </c>
      <c r="P1278" s="7">
        <f>IF($AA1278="","",SUMIFS('Per Line'!$Y$2:$Y$4001,'Per Line'!$E$2:$E$4001,$B1278,'Per Line'!$AQ$2:$AQ$4001,1))</f>
        <v/>
      </c>
      <c r="Q1278">
        <f>IF($AA1278="","",Settings!$C$7)</f>
        <v/>
      </c>
      <c r="R1278" s="7">
        <f>IF($AA1278="","",SUMIFS('Per Line'!$Y$2:$Y$4001,'Per Line'!$E$2:$E$4001,$B1278,'Per Line'!$AP$2:$AP$4001,0,'Per Line'!$AQ$2:$AQ$4001,0))</f>
        <v/>
      </c>
      <c r="S1278" s="7">
        <f>IF($AA1278="","",R1278*Q1278)</f>
        <v/>
      </c>
      <c r="T1278">
        <f>IF($AA1278="","",Settings!$C$6)</f>
        <v/>
      </c>
      <c r="U1278" s="7">
        <f>IF($AA1278="","",SUMIFS('Per Line'!$Y$2:$Y$4001,'Per Line'!$E$2:$E$4001,$B1278,'Per Line'!$AP$2:$AP$4001,1,'Per Line'!$AQ$2:$AQ$4001,0))</f>
        <v/>
      </c>
      <c r="V1278" s="7">
        <f>IF($AA1278="","",U1278*T1278)</f>
        <v/>
      </c>
      <c r="W1278" s="7">
        <f>IF($AA1278="","",V1278+S1278)</f>
        <v/>
      </c>
      <c r="X1278" s="7">
        <f>IF($AA1278="","",Y1278-W1278)</f>
        <v/>
      </c>
      <c r="Y1278" s="7">
        <f>IF($AA1278="","",R1278+U1278+P1278)</f>
        <v/>
      </c>
      <c r="Z1278" s="7">
        <f>IF($AA1278="","",Y1278-W1278-L1278)</f>
        <v/>
      </c>
      <c r="AA1278" s="13">
        <f>IF(ROWS($AA$2:$AA1278)&lt;=MAX('Per Line'!$AO$2:$AO$4001),MATCH(ROWS($AA$2:$AA1278),'Per Line'!$AO$2:$AO$4001,0),"")</f>
        <v/>
      </c>
      <c r="AB1278" s="14">
        <f>IF($AA1278="","",L1278-K1278*Y1278/100)</f>
        <v/>
      </c>
    </row>
    <row r="1279">
      <c r="A1279" s="12" t="n"/>
      <c r="B1279">
        <f>IF($AA1279="","",INDEX('Per Line'!$E$2:$E$4001,$AA1279)&amp;"")</f>
        <v/>
      </c>
      <c r="C1279">
        <f>IF($AA1279="","",INDEX('Per Line'!$A$2:$A$4001,$AA1279)&amp;"")</f>
        <v/>
      </c>
      <c r="D1279">
        <f>IF($AA1279="","",INDEX('Per Line'!$D$2:$D$4001,$AA1279)&amp;"")</f>
        <v/>
      </c>
      <c r="E1279" s="11">
        <f>IF($AA1279="","",INDEX('Per Line'!$G$2:$G$4001,$AA1279))</f>
        <v/>
      </c>
      <c r="F1279">
        <f>IF($AA1279="","",INDEX('Per Line'!$H$2:$H$4001,$AA1279)&amp;"")</f>
        <v/>
      </c>
      <c r="G1279">
        <f>IF($AA1279="","",INDEX('Per Line'!$I$2:$I$4001,$AA1279)&amp;"")</f>
        <v/>
      </c>
      <c r="H1279">
        <f>IF($AA1279="","",INDEX('Per Line'!$J$2:$J$4001,$AA1279)&amp;"")</f>
        <v/>
      </c>
      <c r="I1279">
        <f>IF($AA1279="","",INDEX('Per Line'!$K$2:$K$4001,$AA1279)&amp;"")</f>
        <v/>
      </c>
      <c r="J1279">
        <f>IF($AA1279="","",INDEX('Per Line'!$L$2:$L$4001,$AA1279)&amp;"")</f>
        <v/>
      </c>
      <c r="K1279">
        <f>IF($AA1279="","",INDEX('Per Line'!$P$2:$P$4001,$AA1279))</f>
        <v/>
      </c>
      <c r="L1279" s="7">
        <f>IF($AA1279="","",IF(AND(ISNUMBER(N1279),N1279&gt;0,Y1279&gt;N1279),K1279*N1279/100+(Y1279-N1279),K1279*Y1279/100))</f>
        <v/>
      </c>
      <c r="M1279">
        <f>IF($AA1279="","",INDEX('Per Line'!$Z$2:$Z$4001,$AA1279)&amp;"")</f>
        <v/>
      </c>
      <c r="N1279">
        <f>IF($AA1279="","",INDEX('Per Line'!$AG$2:$AG$4001,$AA1279))</f>
        <v/>
      </c>
      <c r="O1279">
        <f>IF($AA1279="","",IF(AND(ISNUMBER(N1279),N1279&gt;0),Y1279&gt;N1279,FALSE))</f>
        <v/>
      </c>
      <c r="P1279" s="7">
        <f>IF($AA1279="","",SUMIFS('Per Line'!$Y$2:$Y$4001,'Per Line'!$E$2:$E$4001,$B1279,'Per Line'!$AQ$2:$AQ$4001,1))</f>
        <v/>
      </c>
      <c r="Q1279">
        <f>IF($AA1279="","",Settings!$C$7)</f>
        <v/>
      </c>
      <c r="R1279" s="7">
        <f>IF($AA1279="","",SUMIFS('Per Line'!$Y$2:$Y$4001,'Per Line'!$E$2:$E$4001,$B1279,'Per Line'!$AP$2:$AP$4001,0,'Per Line'!$AQ$2:$AQ$4001,0))</f>
        <v/>
      </c>
      <c r="S1279" s="7">
        <f>IF($AA1279="","",R1279*Q1279)</f>
        <v/>
      </c>
      <c r="T1279">
        <f>IF($AA1279="","",Settings!$C$6)</f>
        <v/>
      </c>
      <c r="U1279" s="7">
        <f>IF($AA1279="","",SUMIFS('Per Line'!$Y$2:$Y$4001,'Per Line'!$E$2:$E$4001,$B1279,'Per Line'!$AP$2:$AP$4001,1,'Per Line'!$AQ$2:$AQ$4001,0))</f>
        <v/>
      </c>
      <c r="V1279" s="7">
        <f>IF($AA1279="","",U1279*T1279)</f>
        <v/>
      </c>
      <c r="W1279" s="7">
        <f>IF($AA1279="","",V1279+S1279)</f>
        <v/>
      </c>
      <c r="X1279" s="7">
        <f>IF($AA1279="","",Y1279-W1279)</f>
        <v/>
      </c>
      <c r="Y1279" s="7">
        <f>IF($AA1279="","",R1279+U1279+P1279)</f>
        <v/>
      </c>
      <c r="Z1279" s="7">
        <f>IF($AA1279="","",Y1279-W1279-L1279)</f>
        <v/>
      </c>
      <c r="AA1279" s="13">
        <f>IF(ROWS($AA$2:$AA1279)&lt;=MAX('Per Line'!$AO$2:$AO$4001),MATCH(ROWS($AA$2:$AA1279),'Per Line'!$AO$2:$AO$4001,0),"")</f>
        <v/>
      </c>
      <c r="AB1279" s="14">
        <f>IF($AA1279="","",L1279-K1279*Y1279/100)</f>
        <v/>
      </c>
    </row>
    <row r="1280">
      <c r="A1280" s="12" t="n"/>
      <c r="B1280">
        <f>IF($AA1280="","",INDEX('Per Line'!$E$2:$E$4001,$AA1280)&amp;"")</f>
        <v/>
      </c>
      <c r="C1280">
        <f>IF($AA1280="","",INDEX('Per Line'!$A$2:$A$4001,$AA1280)&amp;"")</f>
        <v/>
      </c>
      <c r="D1280">
        <f>IF($AA1280="","",INDEX('Per Line'!$D$2:$D$4001,$AA1280)&amp;"")</f>
        <v/>
      </c>
      <c r="E1280" s="11">
        <f>IF($AA1280="","",INDEX('Per Line'!$G$2:$G$4001,$AA1280))</f>
        <v/>
      </c>
      <c r="F1280">
        <f>IF($AA1280="","",INDEX('Per Line'!$H$2:$H$4001,$AA1280)&amp;"")</f>
        <v/>
      </c>
      <c r="G1280">
        <f>IF($AA1280="","",INDEX('Per Line'!$I$2:$I$4001,$AA1280)&amp;"")</f>
        <v/>
      </c>
      <c r="H1280">
        <f>IF($AA1280="","",INDEX('Per Line'!$J$2:$J$4001,$AA1280)&amp;"")</f>
        <v/>
      </c>
      <c r="I1280">
        <f>IF($AA1280="","",INDEX('Per Line'!$K$2:$K$4001,$AA1280)&amp;"")</f>
        <v/>
      </c>
      <c r="J1280">
        <f>IF($AA1280="","",INDEX('Per Line'!$L$2:$L$4001,$AA1280)&amp;"")</f>
        <v/>
      </c>
      <c r="K1280">
        <f>IF($AA1280="","",INDEX('Per Line'!$P$2:$P$4001,$AA1280))</f>
        <v/>
      </c>
      <c r="L1280" s="7">
        <f>IF($AA1280="","",IF(AND(ISNUMBER(N1280),N1280&gt;0,Y1280&gt;N1280),K1280*N1280/100+(Y1280-N1280),K1280*Y1280/100))</f>
        <v/>
      </c>
      <c r="M1280">
        <f>IF($AA1280="","",INDEX('Per Line'!$Z$2:$Z$4001,$AA1280)&amp;"")</f>
        <v/>
      </c>
      <c r="N1280">
        <f>IF($AA1280="","",INDEX('Per Line'!$AG$2:$AG$4001,$AA1280))</f>
        <v/>
      </c>
      <c r="O1280">
        <f>IF($AA1280="","",IF(AND(ISNUMBER(N1280),N1280&gt;0),Y1280&gt;N1280,FALSE))</f>
        <v/>
      </c>
      <c r="P1280" s="7">
        <f>IF($AA1280="","",SUMIFS('Per Line'!$Y$2:$Y$4001,'Per Line'!$E$2:$E$4001,$B1280,'Per Line'!$AQ$2:$AQ$4001,1))</f>
        <v/>
      </c>
      <c r="Q1280">
        <f>IF($AA1280="","",Settings!$C$7)</f>
        <v/>
      </c>
      <c r="R1280" s="7">
        <f>IF($AA1280="","",SUMIFS('Per Line'!$Y$2:$Y$4001,'Per Line'!$E$2:$E$4001,$B1280,'Per Line'!$AP$2:$AP$4001,0,'Per Line'!$AQ$2:$AQ$4001,0))</f>
        <v/>
      </c>
      <c r="S1280" s="7">
        <f>IF($AA1280="","",R1280*Q1280)</f>
        <v/>
      </c>
      <c r="T1280">
        <f>IF($AA1280="","",Settings!$C$6)</f>
        <v/>
      </c>
      <c r="U1280" s="7">
        <f>IF($AA1280="","",SUMIFS('Per Line'!$Y$2:$Y$4001,'Per Line'!$E$2:$E$4001,$B1280,'Per Line'!$AP$2:$AP$4001,1,'Per Line'!$AQ$2:$AQ$4001,0))</f>
        <v/>
      </c>
      <c r="V1280" s="7">
        <f>IF($AA1280="","",U1280*T1280)</f>
        <v/>
      </c>
      <c r="W1280" s="7">
        <f>IF($AA1280="","",V1280+S1280)</f>
        <v/>
      </c>
      <c r="X1280" s="7">
        <f>IF($AA1280="","",Y1280-W1280)</f>
        <v/>
      </c>
      <c r="Y1280" s="7">
        <f>IF($AA1280="","",R1280+U1280+P1280)</f>
        <v/>
      </c>
      <c r="Z1280" s="7">
        <f>IF($AA1280="","",Y1280-W1280-L1280)</f>
        <v/>
      </c>
      <c r="AA1280" s="13">
        <f>IF(ROWS($AA$2:$AA1280)&lt;=MAX('Per Line'!$AO$2:$AO$4001),MATCH(ROWS($AA$2:$AA1280),'Per Line'!$AO$2:$AO$4001,0),"")</f>
        <v/>
      </c>
      <c r="AB1280" s="14">
        <f>IF($AA1280="","",L1280-K1280*Y1280/100)</f>
        <v/>
      </c>
    </row>
    <row r="1281">
      <c r="A1281" s="12" t="n"/>
      <c r="B1281">
        <f>IF($AA1281="","",INDEX('Per Line'!$E$2:$E$4001,$AA1281)&amp;"")</f>
        <v/>
      </c>
      <c r="C1281">
        <f>IF($AA1281="","",INDEX('Per Line'!$A$2:$A$4001,$AA1281)&amp;"")</f>
        <v/>
      </c>
      <c r="D1281">
        <f>IF($AA1281="","",INDEX('Per Line'!$D$2:$D$4001,$AA1281)&amp;"")</f>
        <v/>
      </c>
      <c r="E1281" s="11">
        <f>IF($AA1281="","",INDEX('Per Line'!$G$2:$G$4001,$AA1281))</f>
        <v/>
      </c>
      <c r="F1281">
        <f>IF($AA1281="","",INDEX('Per Line'!$H$2:$H$4001,$AA1281)&amp;"")</f>
        <v/>
      </c>
      <c r="G1281">
        <f>IF($AA1281="","",INDEX('Per Line'!$I$2:$I$4001,$AA1281)&amp;"")</f>
        <v/>
      </c>
      <c r="H1281">
        <f>IF($AA1281="","",INDEX('Per Line'!$J$2:$J$4001,$AA1281)&amp;"")</f>
        <v/>
      </c>
      <c r="I1281">
        <f>IF($AA1281="","",INDEX('Per Line'!$K$2:$K$4001,$AA1281)&amp;"")</f>
        <v/>
      </c>
      <c r="J1281">
        <f>IF($AA1281="","",INDEX('Per Line'!$L$2:$L$4001,$AA1281)&amp;"")</f>
        <v/>
      </c>
      <c r="K1281">
        <f>IF($AA1281="","",INDEX('Per Line'!$P$2:$P$4001,$AA1281))</f>
        <v/>
      </c>
      <c r="L1281" s="7">
        <f>IF($AA1281="","",IF(AND(ISNUMBER(N1281),N1281&gt;0,Y1281&gt;N1281),K1281*N1281/100+(Y1281-N1281),K1281*Y1281/100))</f>
        <v/>
      </c>
      <c r="M1281">
        <f>IF($AA1281="","",INDEX('Per Line'!$Z$2:$Z$4001,$AA1281)&amp;"")</f>
        <v/>
      </c>
      <c r="N1281">
        <f>IF($AA1281="","",INDEX('Per Line'!$AG$2:$AG$4001,$AA1281))</f>
        <v/>
      </c>
      <c r="O1281">
        <f>IF($AA1281="","",IF(AND(ISNUMBER(N1281),N1281&gt;0),Y1281&gt;N1281,FALSE))</f>
        <v/>
      </c>
      <c r="P1281" s="7">
        <f>IF($AA1281="","",SUMIFS('Per Line'!$Y$2:$Y$4001,'Per Line'!$E$2:$E$4001,$B1281,'Per Line'!$AQ$2:$AQ$4001,1))</f>
        <v/>
      </c>
      <c r="Q1281">
        <f>IF($AA1281="","",Settings!$C$7)</f>
        <v/>
      </c>
      <c r="R1281" s="7">
        <f>IF($AA1281="","",SUMIFS('Per Line'!$Y$2:$Y$4001,'Per Line'!$E$2:$E$4001,$B1281,'Per Line'!$AP$2:$AP$4001,0,'Per Line'!$AQ$2:$AQ$4001,0))</f>
        <v/>
      </c>
      <c r="S1281" s="7">
        <f>IF($AA1281="","",R1281*Q1281)</f>
        <v/>
      </c>
      <c r="T1281">
        <f>IF($AA1281="","",Settings!$C$6)</f>
        <v/>
      </c>
      <c r="U1281" s="7">
        <f>IF($AA1281="","",SUMIFS('Per Line'!$Y$2:$Y$4001,'Per Line'!$E$2:$E$4001,$B1281,'Per Line'!$AP$2:$AP$4001,1,'Per Line'!$AQ$2:$AQ$4001,0))</f>
        <v/>
      </c>
      <c r="V1281" s="7">
        <f>IF($AA1281="","",U1281*T1281)</f>
        <v/>
      </c>
      <c r="W1281" s="7">
        <f>IF($AA1281="","",V1281+S1281)</f>
        <v/>
      </c>
      <c r="X1281" s="7">
        <f>IF($AA1281="","",Y1281-W1281)</f>
        <v/>
      </c>
      <c r="Y1281" s="7">
        <f>IF($AA1281="","",R1281+U1281+P1281)</f>
        <v/>
      </c>
      <c r="Z1281" s="7">
        <f>IF($AA1281="","",Y1281-W1281-L1281)</f>
        <v/>
      </c>
      <c r="AA1281" s="13">
        <f>IF(ROWS($AA$2:$AA1281)&lt;=MAX('Per Line'!$AO$2:$AO$4001),MATCH(ROWS($AA$2:$AA1281),'Per Line'!$AO$2:$AO$4001,0),"")</f>
        <v/>
      </c>
      <c r="AB1281" s="14">
        <f>IF($AA1281="","",L1281-K1281*Y1281/100)</f>
        <v/>
      </c>
    </row>
    <row r="1282">
      <c r="A1282" s="12" t="n"/>
      <c r="B1282">
        <f>IF($AA1282="","",INDEX('Per Line'!$E$2:$E$4001,$AA1282)&amp;"")</f>
        <v/>
      </c>
      <c r="C1282">
        <f>IF($AA1282="","",INDEX('Per Line'!$A$2:$A$4001,$AA1282)&amp;"")</f>
        <v/>
      </c>
      <c r="D1282">
        <f>IF($AA1282="","",INDEX('Per Line'!$D$2:$D$4001,$AA1282)&amp;"")</f>
        <v/>
      </c>
      <c r="E1282" s="11">
        <f>IF($AA1282="","",INDEX('Per Line'!$G$2:$G$4001,$AA1282))</f>
        <v/>
      </c>
      <c r="F1282">
        <f>IF($AA1282="","",INDEX('Per Line'!$H$2:$H$4001,$AA1282)&amp;"")</f>
        <v/>
      </c>
      <c r="G1282">
        <f>IF($AA1282="","",INDEX('Per Line'!$I$2:$I$4001,$AA1282)&amp;"")</f>
        <v/>
      </c>
      <c r="H1282">
        <f>IF($AA1282="","",INDEX('Per Line'!$J$2:$J$4001,$AA1282)&amp;"")</f>
        <v/>
      </c>
      <c r="I1282">
        <f>IF($AA1282="","",INDEX('Per Line'!$K$2:$K$4001,$AA1282)&amp;"")</f>
        <v/>
      </c>
      <c r="J1282">
        <f>IF($AA1282="","",INDEX('Per Line'!$L$2:$L$4001,$AA1282)&amp;"")</f>
        <v/>
      </c>
      <c r="K1282">
        <f>IF($AA1282="","",INDEX('Per Line'!$P$2:$P$4001,$AA1282))</f>
        <v/>
      </c>
      <c r="L1282" s="7">
        <f>IF($AA1282="","",IF(AND(ISNUMBER(N1282),N1282&gt;0,Y1282&gt;N1282),K1282*N1282/100+(Y1282-N1282),K1282*Y1282/100))</f>
        <v/>
      </c>
      <c r="M1282">
        <f>IF($AA1282="","",INDEX('Per Line'!$Z$2:$Z$4001,$AA1282)&amp;"")</f>
        <v/>
      </c>
      <c r="N1282">
        <f>IF($AA1282="","",INDEX('Per Line'!$AG$2:$AG$4001,$AA1282))</f>
        <v/>
      </c>
      <c r="O1282">
        <f>IF($AA1282="","",IF(AND(ISNUMBER(N1282),N1282&gt;0),Y1282&gt;N1282,FALSE))</f>
        <v/>
      </c>
      <c r="P1282" s="7">
        <f>IF($AA1282="","",SUMIFS('Per Line'!$Y$2:$Y$4001,'Per Line'!$E$2:$E$4001,$B1282,'Per Line'!$AQ$2:$AQ$4001,1))</f>
        <v/>
      </c>
      <c r="Q1282">
        <f>IF($AA1282="","",Settings!$C$7)</f>
        <v/>
      </c>
      <c r="R1282" s="7">
        <f>IF($AA1282="","",SUMIFS('Per Line'!$Y$2:$Y$4001,'Per Line'!$E$2:$E$4001,$B1282,'Per Line'!$AP$2:$AP$4001,0,'Per Line'!$AQ$2:$AQ$4001,0))</f>
        <v/>
      </c>
      <c r="S1282" s="7">
        <f>IF($AA1282="","",R1282*Q1282)</f>
        <v/>
      </c>
      <c r="T1282">
        <f>IF($AA1282="","",Settings!$C$6)</f>
        <v/>
      </c>
      <c r="U1282" s="7">
        <f>IF($AA1282="","",SUMIFS('Per Line'!$Y$2:$Y$4001,'Per Line'!$E$2:$E$4001,$B1282,'Per Line'!$AP$2:$AP$4001,1,'Per Line'!$AQ$2:$AQ$4001,0))</f>
        <v/>
      </c>
      <c r="V1282" s="7">
        <f>IF($AA1282="","",U1282*T1282)</f>
        <v/>
      </c>
      <c r="W1282" s="7">
        <f>IF($AA1282="","",V1282+S1282)</f>
        <v/>
      </c>
      <c r="X1282" s="7">
        <f>IF($AA1282="","",Y1282-W1282)</f>
        <v/>
      </c>
      <c r="Y1282" s="7">
        <f>IF($AA1282="","",R1282+U1282+P1282)</f>
        <v/>
      </c>
      <c r="Z1282" s="7">
        <f>IF($AA1282="","",Y1282-W1282-L1282)</f>
        <v/>
      </c>
      <c r="AA1282" s="13">
        <f>IF(ROWS($AA$2:$AA1282)&lt;=MAX('Per Line'!$AO$2:$AO$4001),MATCH(ROWS($AA$2:$AA1282),'Per Line'!$AO$2:$AO$4001,0),"")</f>
        <v/>
      </c>
      <c r="AB1282" s="14">
        <f>IF($AA1282="","",L1282-K1282*Y1282/100)</f>
        <v/>
      </c>
    </row>
    <row r="1283">
      <c r="A1283" s="12" t="n"/>
      <c r="B1283">
        <f>IF($AA1283="","",INDEX('Per Line'!$E$2:$E$4001,$AA1283)&amp;"")</f>
        <v/>
      </c>
      <c r="C1283">
        <f>IF($AA1283="","",INDEX('Per Line'!$A$2:$A$4001,$AA1283)&amp;"")</f>
        <v/>
      </c>
      <c r="D1283">
        <f>IF($AA1283="","",INDEX('Per Line'!$D$2:$D$4001,$AA1283)&amp;"")</f>
        <v/>
      </c>
      <c r="E1283" s="11">
        <f>IF($AA1283="","",INDEX('Per Line'!$G$2:$G$4001,$AA1283))</f>
        <v/>
      </c>
      <c r="F1283">
        <f>IF($AA1283="","",INDEX('Per Line'!$H$2:$H$4001,$AA1283)&amp;"")</f>
        <v/>
      </c>
      <c r="G1283">
        <f>IF($AA1283="","",INDEX('Per Line'!$I$2:$I$4001,$AA1283)&amp;"")</f>
        <v/>
      </c>
      <c r="H1283">
        <f>IF($AA1283="","",INDEX('Per Line'!$J$2:$J$4001,$AA1283)&amp;"")</f>
        <v/>
      </c>
      <c r="I1283">
        <f>IF($AA1283="","",INDEX('Per Line'!$K$2:$K$4001,$AA1283)&amp;"")</f>
        <v/>
      </c>
      <c r="J1283">
        <f>IF($AA1283="","",INDEX('Per Line'!$L$2:$L$4001,$AA1283)&amp;"")</f>
        <v/>
      </c>
      <c r="K1283">
        <f>IF($AA1283="","",INDEX('Per Line'!$P$2:$P$4001,$AA1283))</f>
        <v/>
      </c>
      <c r="L1283" s="7">
        <f>IF($AA1283="","",IF(AND(ISNUMBER(N1283),N1283&gt;0,Y1283&gt;N1283),K1283*N1283/100+(Y1283-N1283),K1283*Y1283/100))</f>
        <v/>
      </c>
      <c r="M1283">
        <f>IF($AA1283="","",INDEX('Per Line'!$Z$2:$Z$4001,$AA1283)&amp;"")</f>
        <v/>
      </c>
      <c r="N1283">
        <f>IF($AA1283="","",INDEX('Per Line'!$AG$2:$AG$4001,$AA1283))</f>
        <v/>
      </c>
      <c r="O1283">
        <f>IF($AA1283="","",IF(AND(ISNUMBER(N1283),N1283&gt;0),Y1283&gt;N1283,FALSE))</f>
        <v/>
      </c>
      <c r="P1283" s="7">
        <f>IF($AA1283="","",SUMIFS('Per Line'!$Y$2:$Y$4001,'Per Line'!$E$2:$E$4001,$B1283,'Per Line'!$AQ$2:$AQ$4001,1))</f>
        <v/>
      </c>
      <c r="Q1283">
        <f>IF($AA1283="","",Settings!$C$7)</f>
        <v/>
      </c>
      <c r="R1283" s="7">
        <f>IF($AA1283="","",SUMIFS('Per Line'!$Y$2:$Y$4001,'Per Line'!$E$2:$E$4001,$B1283,'Per Line'!$AP$2:$AP$4001,0,'Per Line'!$AQ$2:$AQ$4001,0))</f>
        <v/>
      </c>
      <c r="S1283" s="7">
        <f>IF($AA1283="","",R1283*Q1283)</f>
        <v/>
      </c>
      <c r="T1283">
        <f>IF($AA1283="","",Settings!$C$6)</f>
        <v/>
      </c>
      <c r="U1283" s="7">
        <f>IF($AA1283="","",SUMIFS('Per Line'!$Y$2:$Y$4001,'Per Line'!$E$2:$E$4001,$B1283,'Per Line'!$AP$2:$AP$4001,1,'Per Line'!$AQ$2:$AQ$4001,0))</f>
        <v/>
      </c>
      <c r="V1283" s="7">
        <f>IF($AA1283="","",U1283*T1283)</f>
        <v/>
      </c>
      <c r="W1283" s="7">
        <f>IF($AA1283="","",V1283+S1283)</f>
        <v/>
      </c>
      <c r="X1283" s="7">
        <f>IF($AA1283="","",Y1283-W1283)</f>
        <v/>
      </c>
      <c r="Y1283" s="7">
        <f>IF($AA1283="","",R1283+U1283+P1283)</f>
        <v/>
      </c>
      <c r="Z1283" s="7">
        <f>IF($AA1283="","",Y1283-W1283-L1283)</f>
        <v/>
      </c>
      <c r="AA1283" s="13">
        <f>IF(ROWS($AA$2:$AA1283)&lt;=MAX('Per Line'!$AO$2:$AO$4001),MATCH(ROWS($AA$2:$AA1283),'Per Line'!$AO$2:$AO$4001,0),"")</f>
        <v/>
      </c>
      <c r="AB1283" s="14">
        <f>IF($AA1283="","",L1283-K1283*Y1283/100)</f>
        <v/>
      </c>
    </row>
    <row r="1284">
      <c r="A1284" s="12" t="n"/>
      <c r="B1284">
        <f>IF($AA1284="","",INDEX('Per Line'!$E$2:$E$4001,$AA1284)&amp;"")</f>
        <v/>
      </c>
      <c r="C1284">
        <f>IF($AA1284="","",INDEX('Per Line'!$A$2:$A$4001,$AA1284)&amp;"")</f>
        <v/>
      </c>
      <c r="D1284">
        <f>IF($AA1284="","",INDEX('Per Line'!$D$2:$D$4001,$AA1284)&amp;"")</f>
        <v/>
      </c>
      <c r="E1284" s="11">
        <f>IF($AA1284="","",INDEX('Per Line'!$G$2:$G$4001,$AA1284))</f>
        <v/>
      </c>
      <c r="F1284">
        <f>IF($AA1284="","",INDEX('Per Line'!$H$2:$H$4001,$AA1284)&amp;"")</f>
        <v/>
      </c>
      <c r="G1284">
        <f>IF($AA1284="","",INDEX('Per Line'!$I$2:$I$4001,$AA1284)&amp;"")</f>
        <v/>
      </c>
      <c r="H1284">
        <f>IF($AA1284="","",INDEX('Per Line'!$J$2:$J$4001,$AA1284)&amp;"")</f>
        <v/>
      </c>
      <c r="I1284">
        <f>IF($AA1284="","",INDEX('Per Line'!$K$2:$K$4001,$AA1284)&amp;"")</f>
        <v/>
      </c>
      <c r="J1284">
        <f>IF($AA1284="","",INDEX('Per Line'!$L$2:$L$4001,$AA1284)&amp;"")</f>
        <v/>
      </c>
      <c r="K1284">
        <f>IF($AA1284="","",INDEX('Per Line'!$P$2:$P$4001,$AA1284))</f>
        <v/>
      </c>
      <c r="L1284" s="7">
        <f>IF($AA1284="","",IF(AND(ISNUMBER(N1284),N1284&gt;0,Y1284&gt;N1284),K1284*N1284/100+(Y1284-N1284),K1284*Y1284/100))</f>
        <v/>
      </c>
      <c r="M1284">
        <f>IF($AA1284="","",INDEX('Per Line'!$Z$2:$Z$4001,$AA1284)&amp;"")</f>
        <v/>
      </c>
      <c r="N1284">
        <f>IF($AA1284="","",INDEX('Per Line'!$AG$2:$AG$4001,$AA1284))</f>
        <v/>
      </c>
      <c r="O1284">
        <f>IF($AA1284="","",IF(AND(ISNUMBER(N1284),N1284&gt;0),Y1284&gt;N1284,FALSE))</f>
        <v/>
      </c>
      <c r="P1284" s="7">
        <f>IF($AA1284="","",SUMIFS('Per Line'!$Y$2:$Y$4001,'Per Line'!$E$2:$E$4001,$B1284,'Per Line'!$AQ$2:$AQ$4001,1))</f>
        <v/>
      </c>
      <c r="Q1284">
        <f>IF($AA1284="","",Settings!$C$7)</f>
        <v/>
      </c>
      <c r="R1284" s="7">
        <f>IF($AA1284="","",SUMIFS('Per Line'!$Y$2:$Y$4001,'Per Line'!$E$2:$E$4001,$B1284,'Per Line'!$AP$2:$AP$4001,0,'Per Line'!$AQ$2:$AQ$4001,0))</f>
        <v/>
      </c>
      <c r="S1284" s="7">
        <f>IF($AA1284="","",R1284*Q1284)</f>
        <v/>
      </c>
      <c r="T1284">
        <f>IF($AA1284="","",Settings!$C$6)</f>
        <v/>
      </c>
      <c r="U1284" s="7">
        <f>IF($AA1284="","",SUMIFS('Per Line'!$Y$2:$Y$4001,'Per Line'!$E$2:$E$4001,$B1284,'Per Line'!$AP$2:$AP$4001,1,'Per Line'!$AQ$2:$AQ$4001,0))</f>
        <v/>
      </c>
      <c r="V1284" s="7">
        <f>IF($AA1284="","",U1284*T1284)</f>
        <v/>
      </c>
      <c r="W1284" s="7">
        <f>IF($AA1284="","",V1284+S1284)</f>
        <v/>
      </c>
      <c r="X1284" s="7">
        <f>IF($AA1284="","",Y1284-W1284)</f>
        <v/>
      </c>
      <c r="Y1284" s="7">
        <f>IF($AA1284="","",R1284+U1284+P1284)</f>
        <v/>
      </c>
      <c r="Z1284" s="7">
        <f>IF($AA1284="","",Y1284-W1284-L1284)</f>
        <v/>
      </c>
      <c r="AA1284" s="13">
        <f>IF(ROWS($AA$2:$AA1284)&lt;=MAX('Per Line'!$AO$2:$AO$4001),MATCH(ROWS($AA$2:$AA1284),'Per Line'!$AO$2:$AO$4001,0),"")</f>
        <v/>
      </c>
      <c r="AB1284" s="14">
        <f>IF($AA1284="","",L1284-K1284*Y1284/100)</f>
        <v/>
      </c>
    </row>
    <row r="1285">
      <c r="A1285" s="12" t="n"/>
      <c r="B1285">
        <f>IF($AA1285="","",INDEX('Per Line'!$E$2:$E$4001,$AA1285)&amp;"")</f>
        <v/>
      </c>
      <c r="C1285">
        <f>IF($AA1285="","",INDEX('Per Line'!$A$2:$A$4001,$AA1285)&amp;"")</f>
        <v/>
      </c>
      <c r="D1285">
        <f>IF($AA1285="","",INDEX('Per Line'!$D$2:$D$4001,$AA1285)&amp;"")</f>
        <v/>
      </c>
      <c r="E1285" s="11">
        <f>IF($AA1285="","",INDEX('Per Line'!$G$2:$G$4001,$AA1285))</f>
        <v/>
      </c>
      <c r="F1285">
        <f>IF($AA1285="","",INDEX('Per Line'!$H$2:$H$4001,$AA1285)&amp;"")</f>
        <v/>
      </c>
      <c r="G1285">
        <f>IF($AA1285="","",INDEX('Per Line'!$I$2:$I$4001,$AA1285)&amp;"")</f>
        <v/>
      </c>
      <c r="H1285">
        <f>IF($AA1285="","",INDEX('Per Line'!$J$2:$J$4001,$AA1285)&amp;"")</f>
        <v/>
      </c>
      <c r="I1285">
        <f>IF($AA1285="","",INDEX('Per Line'!$K$2:$K$4001,$AA1285)&amp;"")</f>
        <v/>
      </c>
      <c r="J1285">
        <f>IF($AA1285="","",INDEX('Per Line'!$L$2:$L$4001,$AA1285)&amp;"")</f>
        <v/>
      </c>
      <c r="K1285">
        <f>IF($AA1285="","",INDEX('Per Line'!$P$2:$P$4001,$AA1285))</f>
        <v/>
      </c>
      <c r="L1285" s="7">
        <f>IF($AA1285="","",IF(AND(ISNUMBER(N1285),N1285&gt;0,Y1285&gt;N1285),K1285*N1285/100+(Y1285-N1285),K1285*Y1285/100))</f>
        <v/>
      </c>
      <c r="M1285">
        <f>IF($AA1285="","",INDEX('Per Line'!$Z$2:$Z$4001,$AA1285)&amp;"")</f>
        <v/>
      </c>
      <c r="N1285">
        <f>IF($AA1285="","",INDEX('Per Line'!$AG$2:$AG$4001,$AA1285))</f>
        <v/>
      </c>
      <c r="O1285">
        <f>IF($AA1285="","",IF(AND(ISNUMBER(N1285),N1285&gt;0),Y1285&gt;N1285,FALSE))</f>
        <v/>
      </c>
      <c r="P1285" s="7">
        <f>IF($AA1285="","",SUMIFS('Per Line'!$Y$2:$Y$4001,'Per Line'!$E$2:$E$4001,$B1285,'Per Line'!$AQ$2:$AQ$4001,1))</f>
        <v/>
      </c>
      <c r="Q1285">
        <f>IF($AA1285="","",Settings!$C$7)</f>
        <v/>
      </c>
      <c r="R1285" s="7">
        <f>IF($AA1285="","",SUMIFS('Per Line'!$Y$2:$Y$4001,'Per Line'!$E$2:$E$4001,$B1285,'Per Line'!$AP$2:$AP$4001,0,'Per Line'!$AQ$2:$AQ$4001,0))</f>
        <v/>
      </c>
      <c r="S1285" s="7">
        <f>IF($AA1285="","",R1285*Q1285)</f>
        <v/>
      </c>
      <c r="T1285">
        <f>IF($AA1285="","",Settings!$C$6)</f>
        <v/>
      </c>
      <c r="U1285" s="7">
        <f>IF($AA1285="","",SUMIFS('Per Line'!$Y$2:$Y$4001,'Per Line'!$E$2:$E$4001,$B1285,'Per Line'!$AP$2:$AP$4001,1,'Per Line'!$AQ$2:$AQ$4001,0))</f>
        <v/>
      </c>
      <c r="V1285" s="7">
        <f>IF($AA1285="","",U1285*T1285)</f>
        <v/>
      </c>
      <c r="W1285" s="7">
        <f>IF($AA1285="","",V1285+S1285)</f>
        <v/>
      </c>
      <c r="X1285" s="7">
        <f>IF($AA1285="","",Y1285-W1285)</f>
        <v/>
      </c>
      <c r="Y1285" s="7">
        <f>IF($AA1285="","",R1285+U1285+P1285)</f>
        <v/>
      </c>
      <c r="Z1285" s="7">
        <f>IF($AA1285="","",Y1285-W1285-L1285)</f>
        <v/>
      </c>
      <c r="AA1285" s="13">
        <f>IF(ROWS($AA$2:$AA1285)&lt;=MAX('Per Line'!$AO$2:$AO$4001),MATCH(ROWS($AA$2:$AA1285),'Per Line'!$AO$2:$AO$4001,0),"")</f>
        <v/>
      </c>
      <c r="AB1285" s="14">
        <f>IF($AA1285="","",L1285-K1285*Y1285/100)</f>
        <v/>
      </c>
    </row>
    <row r="1286">
      <c r="A1286" s="12" t="n"/>
      <c r="B1286">
        <f>IF($AA1286="","",INDEX('Per Line'!$E$2:$E$4001,$AA1286)&amp;"")</f>
        <v/>
      </c>
      <c r="C1286">
        <f>IF($AA1286="","",INDEX('Per Line'!$A$2:$A$4001,$AA1286)&amp;"")</f>
        <v/>
      </c>
      <c r="D1286">
        <f>IF($AA1286="","",INDEX('Per Line'!$D$2:$D$4001,$AA1286)&amp;"")</f>
        <v/>
      </c>
      <c r="E1286" s="11">
        <f>IF($AA1286="","",INDEX('Per Line'!$G$2:$G$4001,$AA1286))</f>
        <v/>
      </c>
      <c r="F1286">
        <f>IF($AA1286="","",INDEX('Per Line'!$H$2:$H$4001,$AA1286)&amp;"")</f>
        <v/>
      </c>
      <c r="G1286">
        <f>IF($AA1286="","",INDEX('Per Line'!$I$2:$I$4001,$AA1286)&amp;"")</f>
        <v/>
      </c>
      <c r="H1286">
        <f>IF($AA1286="","",INDEX('Per Line'!$J$2:$J$4001,$AA1286)&amp;"")</f>
        <v/>
      </c>
      <c r="I1286">
        <f>IF($AA1286="","",INDEX('Per Line'!$K$2:$K$4001,$AA1286)&amp;"")</f>
        <v/>
      </c>
      <c r="J1286">
        <f>IF($AA1286="","",INDEX('Per Line'!$L$2:$L$4001,$AA1286)&amp;"")</f>
        <v/>
      </c>
      <c r="K1286">
        <f>IF($AA1286="","",INDEX('Per Line'!$P$2:$P$4001,$AA1286))</f>
        <v/>
      </c>
      <c r="L1286" s="7">
        <f>IF($AA1286="","",IF(AND(ISNUMBER(N1286),N1286&gt;0,Y1286&gt;N1286),K1286*N1286/100+(Y1286-N1286),K1286*Y1286/100))</f>
        <v/>
      </c>
      <c r="M1286">
        <f>IF($AA1286="","",INDEX('Per Line'!$Z$2:$Z$4001,$AA1286)&amp;"")</f>
        <v/>
      </c>
      <c r="N1286">
        <f>IF($AA1286="","",INDEX('Per Line'!$AG$2:$AG$4001,$AA1286))</f>
        <v/>
      </c>
      <c r="O1286">
        <f>IF($AA1286="","",IF(AND(ISNUMBER(N1286),N1286&gt;0),Y1286&gt;N1286,FALSE))</f>
        <v/>
      </c>
      <c r="P1286" s="7">
        <f>IF($AA1286="","",SUMIFS('Per Line'!$Y$2:$Y$4001,'Per Line'!$E$2:$E$4001,$B1286,'Per Line'!$AQ$2:$AQ$4001,1))</f>
        <v/>
      </c>
      <c r="Q1286">
        <f>IF($AA1286="","",Settings!$C$7)</f>
        <v/>
      </c>
      <c r="R1286" s="7">
        <f>IF($AA1286="","",SUMIFS('Per Line'!$Y$2:$Y$4001,'Per Line'!$E$2:$E$4001,$B1286,'Per Line'!$AP$2:$AP$4001,0,'Per Line'!$AQ$2:$AQ$4001,0))</f>
        <v/>
      </c>
      <c r="S1286" s="7">
        <f>IF($AA1286="","",R1286*Q1286)</f>
        <v/>
      </c>
      <c r="T1286">
        <f>IF($AA1286="","",Settings!$C$6)</f>
        <v/>
      </c>
      <c r="U1286" s="7">
        <f>IF($AA1286="","",SUMIFS('Per Line'!$Y$2:$Y$4001,'Per Line'!$E$2:$E$4001,$B1286,'Per Line'!$AP$2:$AP$4001,1,'Per Line'!$AQ$2:$AQ$4001,0))</f>
        <v/>
      </c>
      <c r="V1286" s="7">
        <f>IF($AA1286="","",U1286*T1286)</f>
        <v/>
      </c>
      <c r="W1286" s="7">
        <f>IF($AA1286="","",V1286+S1286)</f>
        <v/>
      </c>
      <c r="X1286" s="7">
        <f>IF($AA1286="","",Y1286-W1286)</f>
        <v/>
      </c>
      <c r="Y1286" s="7">
        <f>IF($AA1286="","",R1286+U1286+P1286)</f>
        <v/>
      </c>
      <c r="Z1286" s="7">
        <f>IF($AA1286="","",Y1286-W1286-L1286)</f>
        <v/>
      </c>
      <c r="AA1286" s="13">
        <f>IF(ROWS($AA$2:$AA1286)&lt;=MAX('Per Line'!$AO$2:$AO$4001),MATCH(ROWS($AA$2:$AA1286),'Per Line'!$AO$2:$AO$4001,0),"")</f>
        <v/>
      </c>
      <c r="AB1286" s="14">
        <f>IF($AA1286="","",L1286-K1286*Y1286/100)</f>
        <v/>
      </c>
    </row>
    <row r="1287">
      <c r="A1287" s="12" t="n"/>
      <c r="B1287">
        <f>IF($AA1287="","",INDEX('Per Line'!$E$2:$E$4001,$AA1287)&amp;"")</f>
        <v/>
      </c>
      <c r="C1287">
        <f>IF($AA1287="","",INDEX('Per Line'!$A$2:$A$4001,$AA1287)&amp;"")</f>
        <v/>
      </c>
      <c r="D1287">
        <f>IF($AA1287="","",INDEX('Per Line'!$D$2:$D$4001,$AA1287)&amp;"")</f>
        <v/>
      </c>
      <c r="E1287" s="11">
        <f>IF($AA1287="","",INDEX('Per Line'!$G$2:$G$4001,$AA1287))</f>
        <v/>
      </c>
      <c r="F1287">
        <f>IF($AA1287="","",INDEX('Per Line'!$H$2:$H$4001,$AA1287)&amp;"")</f>
        <v/>
      </c>
      <c r="G1287">
        <f>IF($AA1287="","",INDEX('Per Line'!$I$2:$I$4001,$AA1287)&amp;"")</f>
        <v/>
      </c>
      <c r="H1287">
        <f>IF($AA1287="","",INDEX('Per Line'!$J$2:$J$4001,$AA1287)&amp;"")</f>
        <v/>
      </c>
      <c r="I1287">
        <f>IF($AA1287="","",INDEX('Per Line'!$K$2:$K$4001,$AA1287)&amp;"")</f>
        <v/>
      </c>
      <c r="J1287">
        <f>IF($AA1287="","",INDEX('Per Line'!$L$2:$L$4001,$AA1287)&amp;"")</f>
        <v/>
      </c>
      <c r="K1287">
        <f>IF($AA1287="","",INDEX('Per Line'!$P$2:$P$4001,$AA1287))</f>
        <v/>
      </c>
      <c r="L1287" s="7">
        <f>IF($AA1287="","",IF(AND(ISNUMBER(N1287),N1287&gt;0,Y1287&gt;N1287),K1287*N1287/100+(Y1287-N1287),K1287*Y1287/100))</f>
        <v/>
      </c>
      <c r="M1287">
        <f>IF($AA1287="","",INDEX('Per Line'!$Z$2:$Z$4001,$AA1287)&amp;"")</f>
        <v/>
      </c>
      <c r="N1287">
        <f>IF($AA1287="","",INDEX('Per Line'!$AG$2:$AG$4001,$AA1287))</f>
        <v/>
      </c>
      <c r="O1287">
        <f>IF($AA1287="","",IF(AND(ISNUMBER(N1287),N1287&gt;0),Y1287&gt;N1287,FALSE))</f>
        <v/>
      </c>
      <c r="P1287" s="7">
        <f>IF($AA1287="","",SUMIFS('Per Line'!$Y$2:$Y$4001,'Per Line'!$E$2:$E$4001,$B1287,'Per Line'!$AQ$2:$AQ$4001,1))</f>
        <v/>
      </c>
      <c r="Q1287">
        <f>IF($AA1287="","",Settings!$C$7)</f>
        <v/>
      </c>
      <c r="R1287" s="7">
        <f>IF($AA1287="","",SUMIFS('Per Line'!$Y$2:$Y$4001,'Per Line'!$E$2:$E$4001,$B1287,'Per Line'!$AP$2:$AP$4001,0,'Per Line'!$AQ$2:$AQ$4001,0))</f>
        <v/>
      </c>
      <c r="S1287" s="7">
        <f>IF($AA1287="","",R1287*Q1287)</f>
        <v/>
      </c>
      <c r="T1287">
        <f>IF($AA1287="","",Settings!$C$6)</f>
        <v/>
      </c>
      <c r="U1287" s="7">
        <f>IF($AA1287="","",SUMIFS('Per Line'!$Y$2:$Y$4001,'Per Line'!$E$2:$E$4001,$B1287,'Per Line'!$AP$2:$AP$4001,1,'Per Line'!$AQ$2:$AQ$4001,0))</f>
        <v/>
      </c>
      <c r="V1287" s="7">
        <f>IF($AA1287="","",U1287*T1287)</f>
        <v/>
      </c>
      <c r="W1287" s="7">
        <f>IF($AA1287="","",V1287+S1287)</f>
        <v/>
      </c>
      <c r="X1287" s="7">
        <f>IF($AA1287="","",Y1287-W1287)</f>
        <v/>
      </c>
      <c r="Y1287" s="7">
        <f>IF($AA1287="","",R1287+U1287+P1287)</f>
        <v/>
      </c>
      <c r="Z1287" s="7">
        <f>IF($AA1287="","",Y1287-W1287-L1287)</f>
        <v/>
      </c>
      <c r="AA1287" s="13">
        <f>IF(ROWS($AA$2:$AA1287)&lt;=MAX('Per Line'!$AO$2:$AO$4001),MATCH(ROWS($AA$2:$AA1287),'Per Line'!$AO$2:$AO$4001,0),"")</f>
        <v/>
      </c>
      <c r="AB1287" s="14">
        <f>IF($AA1287="","",L1287-K1287*Y1287/100)</f>
        <v/>
      </c>
    </row>
    <row r="1288">
      <c r="A1288" s="12" t="n"/>
      <c r="B1288">
        <f>IF($AA1288="","",INDEX('Per Line'!$E$2:$E$4001,$AA1288)&amp;"")</f>
        <v/>
      </c>
      <c r="C1288">
        <f>IF($AA1288="","",INDEX('Per Line'!$A$2:$A$4001,$AA1288)&amp;"")</f>
        <v/>
      </c>
      <c r="D1288">
        <f>IF($AA1288="","",INDEX('Per Line'!$D$2:$D$4001,$AA1288)&amp;"")</f>
        <v/>
      </c>
      <c r="E1288" s="11">
        <f>IF($AA1288="","",INDEX('Per Line'!$G$2:$G$4001,$AA1288))</f>
        <v/>
      </c>
      <c r="F1288">
        <f>IF($AA1288="","",INDEX('Per Line'!$H$2:$H$4001,$AA1288)&amp;"")</f>
        <v/>
      </c>
      <c r="G1288">
        <f>IF($AA1288="","",INDEX('Per Line'!$I$2:$I$4001,$AA1288)&amp;"")</f>
        <v/>
      </c>
      <c r="H1288">
        <f>IF($AA1288="","",INDEX('Per Line'!$J$2:$J$4001,$AA1288)&amp;"")</f>
        <v/>
      </c>
      <c r="I1288">
        <f>IF($AA1288="","",INDEX('Per Line'!$K$2:$K$4001,$AA1288)&amp;"")</f>
        <v/>
      </c>
      <c r="J1288">
        <f>IF($AA1288="","",INDEX('Per Line'!$L$2:$L$4001,$AA1288)&amp;"")</f>
        <v/>
      </c>
      <c r="K1288">
        <f>IF($AA1288="","",INDEX('Per Line'!$P$2:$P$4001,$AA1288))</f>
        <v/>
      </c>
      <c r="L1288" s="7">
        <f>IF($AA1288="","",IF(AND(ISNUMBER(N1288),N1288&gt;0,Y1288&gt;N1288),K1288*N1288/100+(Y1288-N1288),K1288*Y1288/100))</f>
        <v/>
      </c>
      <c r="M1288">
        <f>IF($AA1288="","",INDEX('Per Line'!$Z$2:$Z$4001,$AA1288)&amp;"")</f>
        <v/>
      </c>
      <c r="N1288">
        <f>IF($AA1288="","",INDEX('Per Line'!$AG$2:$AG$4001,$AA1288))</f>
        <v/>
      </c>
      <c r="O1288">
        <f>IF($AA1288="","",IF(AND(ISNUMBER(N1288),N1288&gt;0),Y1288&gt;N1288,FALSE))</f>
        <v/>
      </c>
      <c r="P1288" s="7">
        <f>IF($AA1288="","",SUMIFS('Per Line'!$Y$2:$Y$4001,'Per Line'!$E$2:$E$4001,$B1288,'Per Line'!$AQ$2:$AQ$4001,1))</f>
        <v/>
      </c>
      <c r="Q1288">
        <f>IF($AA1288="","",Settings!$C$7)</f>
        <v/>
      </c>
      <c r="R1288" s="7">
        <f>IF($AA1288="","",SUMIFS('Per Line'!$Y$2:$Y$4001,'Per Line'!$E$2:$E$4001,$B1288,'Per Line'!$AP$2:$AP$4001,0,'Per Line'!$AQ$2:$AQ$4001,0))</f>
        <v/>
      </c>
      <c r="S1288" s="7">
        <f>IF($AA1288="","",R1288*Q1288)</f>
        <v/>
      </c>
      <c r="T1288">
        <f>IF($AA1288="","",Settings!$C$6)</f>
        <v/>
      </c>
      <c r="U1288" s="7">
        <f>IF($AA1288="","",SUMIFS('Per Line'!$Y$2:$Y$4001,'Per Line'!$E$2:$E$4001,$B1288,'Per Line'!$AP$2:$AP$4001,1,'Per Line'!$AQ$2:$AQ$4001,0))</f>
        <v/>
      </c>
      <c r="V1288" s="7">
        <f>IF($AA1288="","",U1288*T1288)</f>
        <v/>
      </c>
      <c r="W1288" s="7">
        <f>IF($AA1288="","",V1288+S1288)</f>
        <v/>
      </c>
      <c r="X1288" s="7">
        <f>IF($AA1288="","",Y1288-W1288)</f>
        <v/>
      </c>
      <c r="Y1288" s="7">
        <f>IF($AA1288="","",R1288+U1288+P1288)</f>
        <v/>
      </c>
      <c r="Z1288" s="7">
        <f>IF($AA1288="","",Y1288-W1288-L1288)</f>
        <v/>
      </c>
      <c r="AA1288" s="13">
        <f>IF(ROWS($AA$2:$AA1288)&lt;=MAX('Per Line'!$AO$2:$AO$4001),MATCH(ROWS($AA$2:$AA1288),'Per Line'!$AO$2:$AO$4001,0),"")</f>
        <v/>
      </c>
      <c r="AB1288" s="14">
        <f>IF($AA1288="","",L1288-K1288*Y1288/100)</f>
        <v/>
      </c>
    </row>
    <row r="1289">
      <c r="A1289" s="12" t="n"/>
      <c r="B1289">
        <f>IF($AA1289="","",INDEX('Per Line'!$E$2:$E$4001,$AA1289)&amp;"")</f>
        <v/>
      </c>
      <c r="C1289">
        <f>IF($AA1289="","",INDEX('Per Line'!$A$2:$A$4001,$AA1289)&amp;"")</f>
        <v/>
      </c>
      <c r="D1289">
        <f>IF($AA1289="","",INDEX('Per Line'!$D$2:$D$4001,$AA1289)&amp;"")</f>
        <v/>
      </c>
      <c r="E1289" s="11">
        <f>IF($AA1289="","",INDEX('Per Line'!$G$2:$G$4001,$AA1289))</f>
        <v/>
      </c>
      <c r="F1289">
        <f>IF($AA1289="","",INDEX('Per Line'!$H$2:$H$4001,$AA1289)&amp;"")</f>
        <v/>
      </c>
      <c r="G1289">
        <f>IF($AA1289="","",INDEX('Per Line'!$I$2:$I$4001,$AA1289)&amp;"")</f>
        <v/>
      </c>
      <c r="H1289">
        <f>IF($AA1289="","",INDEX('Per Line'!$J$2:$J$4001,$AA1289)&amp;"")</f>
        <v/>
      </c>
      <c r="I1289">
        <f>IF($AA1289="","",INDEX('Per Line'!$K$2:$K$4001,$AA1289)&amp;"")</f>
        <v/>
      </c>
      <c r="J1289">
        <f>IF($AA1289="","",INDEX('Per Line'!$L$2:$L$4001,$AA1289)&amp;"")</f>
        <v/>
      </c>
      <c r="K1289">
        <f>IF($AA1289="","",INDEX('Per Line'!$P$2:$P$4001,$AA1289))</f>
        <v/>
      </c>
      <c r="L1289" s="7">
        <f>IF($AA1289="","",IF(AND(ISNUMBER(N1289),N1289&gt;0,Y1289&gt;N1289),K1289*N1289/100+(Y1289-N1289),K1289*Y1289/100))</f>
        <v/>
      </c>
      <c r="M1289">
        <f>IF($AA1289="","",INDEX('Per Line'!$Z$2:$Z$4001,$AA1289)&amp;"")</f>
        <v/>
      </c>
      <c r="N1289">
        <f>IF($AA1289="","",INDEX('Per Line'!$AG$2:$AG$4001,$AA1289))</f>
        <v/>
      </c>
      <c r="O1289">
        <f>IF($AA1289="","",IF(AND(ISNUMBER(N1289),N1289&gt;0),Y1289&gt;N1289,FALSE))</f>
        <v/>
      </c>
      <c r="P1289" s="7">
        <f>IF($AA1289="","",SUMIFS('Per Line'!$Y$2:$Y$4001,'Per Line'!$E$2:$E$4001,$B1289,'Per Line'!$AQ$2:$AQ$4001,1))</f>
        <v/>
      </c>
      <c r="Q1289">
        <f>IF($AA1289="","",Settings!$C$7)</f>
        <v/>
      </c>
      <c r="R1289" s="7">
        <f>IF($AA1289="","",SUMIFS('Per Line'!$Y$2:$Y$4001,'Per Line'!$E$2:$E$4001,$B1289,'Per Line'!$AP$2:$AP$4001,0,'Per Line'!$AQ$2:$AQ$4001,0))</f>
        <v/>
      </c>
      <c r="S1289" s="7">
        <f>IF($AA1289="","",R1289*Q1289)</f>
        <v/>
      </c>
      <c r="T1289">
        <f>IF($AA1289="","",Settings!$C$6)</f>
        <v/>
      </c>
      <c r="U1289" s="7">
        <f>IF($AA1289="","",SUMIFS('Per Line'!$Y$2:$Y$4001,'Per Line'!$E$2:$E$4001,$B1289,'Per Line'!$AP$2:$AP$4001,1,'Per Line'!$AQ$2:$AQ$4001,0))</f>
        <v/>
      </c>
      <c r="V1289" s="7">
        <f>IF($AA1289="","",U1289*T1289)</f>
        <v/>
      </c>
      <c r="W1289" s="7">
        <f>IF($AA1289="","",V1289+S1289)</f>
        <v/>
      </c>
      <c r="X1289" s="7">
        <f>IF($AA1289="","",Y1289-W1289)</f>
        <v/>
      </c>
      <c r="Y1289" s="7">
        <f>IF($AA1289="","",R1289+U1289+P1289)</f>
        <v/>
      </c>
      <c r="Z1289" s="7">
        <f>IF($AA1289="","",Y1289-W1289-L1289)</f>
        <v/>
      </c>
      <c r="AA1289" s="13">
        <f>IF(ROWS($AA$2:$AA1289)&lt;=MAX('Per Line'!$AO$2:$AO$4001),MATCH(ROWS($AA$2:$AA1289),'Per Line'!$AO$2:$AO$4001,0),"")</f>
        <v/>
      </c>
      <c r="AB1289" s="14">
        <f>IF($AA1289="","",L1289-K1289*Y1289/100)</f>
        <v/>
      </c>
    </row>
    <row r="1290">
      <c r="A1290" s="12" t="n"/>
      <c r="B1290">
        <f>IF($AA1290="","",INDEX('Per Line'!$E$2:$E$4001,$AA1290)&amp;"")</f>
        <v/>
      </c>
      <c r="C1290">
        <f>IF($AA1290="","",INDEX('Per Line'!$A$2:$A$4001,$AA1290)&amp;"")</f>
        <v/>
      </c>
      <c r="D1290">
        <f>IF($AA1290="","",INDEX('Per Line'!$D$2:$D$4001,$AA1290)&amp;"")</f>
        <v/>
      </c>
      <c r="E1290" s="11">
        <f>IF($AA1290="","",INDEX('Per Line'!$G$2:$G$4001,$AA1290))</f>
        <v/>
      </c>
      <c r="F1290">
        <f>IF($AA1290="","",INDEX('Per Line'!$H$2:$H$4001,$AA1290)&amp;"")</f>
        <v/>
      </c>
      <c r="G1290">
        <f>IF($AA1290="","",INDEX('Per Line'!$I$2:$I$4001,$AA1290)&amp;"")</f>
        <v/>
      </c>
      <c r="H1290">
        <f>IF($AA1290="","",INDEX('Per Line'!$J$2:$J$4001,$AA1290)&amp;"")</f>
        <v/>
      </c>
      <c r="I1290">
        <f>IF($AA1290="","",INDEX('Per Line'!$K$2:$K$4001,$AA1290)&amp;"")</f>
        <v/>
      </c>
      <c r="J1290">
        <f>IF($AA1290="","",INDEX('Per Line'!$L$2:$L$4001,$AA1290)&amp;"")</f>
        <v/>
      </c>
      <c r="K1290">
        <f>IF($AA1290="","",INDEX('Per Line'!$P$2:$P$4001,$AA1290))</f>
        <v/>
      </c>
      <c r="L1290" s="7">
        <f>IF($AA1290="","",IF(AND(ISNUMBER(N1290),N1290&gt;0,Y1290&gt;N1290),K1290*N1290/100+(Y1290-N1290),K1290*Y1290/100))</f>
        <v/>
      </c>
      <c r="M1290">
        <f>IF($AA1290="","",INDEX('Per Line'!$Z$2:$Z$4001,$AA1290)&amp;"")</f>
        <v/>
      </c>
      <c r="N1290">
        <f>IF($AA1290="","",INDEX('Per Line'!$AG$2:$AG$4001,$AA1290))</f>
        <v/>
      </c>
      <c r="O1290">
        <f>IF($AA1290="","",IF(AND(ISNUMBER(N1290),N1290&gt;0),Y1290&gt;N1290,FALSE))</f>
        <v/>
      </c>
      <c r="P1290" s="7">
        <f>IF($AA1290="","",SUMIFS('Per Line'!$Y$2:$Y$4001,'Per Line'!$E$2:$E$4001,$B1290,'Per Line'!$AQ$2:$AQ$4001,1))</f>
        <v/>
      </c>
      <c r="Q1290">
        <f>IF($AA1290="","",Settings!$C$7)</f>
        <v/>
      </c>
      <c r="R1290" s="7">
        <f>IF($AA1290="","",SUMIFS('Per Line'!$Y$2:$Y$4001,'Per Line'!$E$2:$E$4001,$B1290,'Per Line'!$AP$2:$AP$4001,0,'Per Line'!$AQ$2:$AQ$4001,0))</f>
        <v/>
      </c>
      <c r="S1290" s="7">
        <f>IF($AA1290="","",R1290*Q1290)</f>
        <v/>
      </c>
      <c r="T1290">
        <f>IF($AA1290="","",Settings!$C$6)</f>
        <v/>
      </c>
      <c r="U1290" s="7">
        <f>IF($AA1290="","",SUMIFS('Per Line'!$Y$2:$Y$4001,'Per Line'!$E$2:$E$4001,$B1290,'Per Line'!$AP$2:$AP$4001,1,'Per Line'!$AQ$2:$AQ$4001,0))</f>
        <v/>
      </c>
      <c r="V1290" s="7">
        <f>IF($AA1290="","",U1290*T1290)</f>
        <v/>
      </c>
      <c r="W1290" s="7">
        <f>IF($AA1290="","",V1290+S1290)</f>
        <v/>
      </c>
      <c r="X1290" s="7">
        <f>IF($AA1290="","",Y1290-W1290)</f>
        <v/>
      </c>
      <c r="Y1290" s="7">
        <f>IF($AA1290="","",R1290+U1290+P1290)</f>
        <v/>
      </c>
      <c r="Z1290" s="7">
        <f>IF($AA1290="","",Y1290-W1290-L1290)</f>
        <v/>
      </c>
      <c r="AA1290" s="13">
        <f>IF(ROWS($AA$2:$AA1290)&lt;=MAX('Per Line'!$AO$2:$AO$4001),MATCH(ROWS($AA$2:$AA1290),'Per Line'!$AO$2:$AO$4001,0),"")</f>
        <v/>
      </c>
      <c r="AB1290" s="14">
        <f>IF($AA1290="","",L1290-K1290*Y1290/100)</f>
        <v/>
      </c>
    </row>
    <row r="1291">
      <c r="A1291" s="12" t="n"/>
      <c r="B1291">
        <f>IF($AA1291="","",INDEX('Per Line'!$E$2:$E$4001,$AA1291)&amp;"")</f>
        <v/>
      </c>
      <c r="C1291">
        <f>IF($AA1291="","",INDEX('Per Line'!$A$2:$A$4001,$AA1291)&amp;"")</f>
        <v/>
      </c>
      <c r="D1291">
        <f>IF($AA1291="","",INDEX('Per Line'!$D$2:$D$4001,$AA1291)&amp;"")</f>
        <v/>
      </c>
      <c r="E1291" s="11">
        <f>IF($AA1291="","",INDEX('Per Line'!$G$2:$G$4001,$AA1291))</f>
        <v/>
      </c>
      <c r="F1291">
        <f>IF($AA1291="","",INDEX('Per Line'!$H$2:$H$4001,$AA1291)&amp;"")</f>
        <v/>
      </c>
      <c r="G1291">
        <f>IF($AA1291="","",INDEX('Per Line'!$I$2:$I$4001,$AA1291)&amp;"")</f>
        <v/>
      </c>
      <c r="H1291">
        <f>IF($AA1291="","",INDEX('Per Line'!$J$2:$J$4001,$AA1291)&amp;"")</f>
        <v/>
      </c>
      <c r="I1291">
        <f>IF($AA1291="","",INDEX('Per Line'!$K$2:$K$4001,$AA1291)&amp;"")</f>
        <v/>
      </c>
      <c r="J1291">
        <f>IF($AA1291="","",INDEX('Per Line'!$L$2:$L$4001,$AA1291)&amp;"")</f>
        <v/>
      </c>
      <c r="K1291">
        <f>IF($AA1291="","",INDEX('Per Line'!$P$2:$P$4001,$AA1291))</f>
        <v/>
      </c>
      <c r="L1291" s="7">
        <f>IF($AA1291="","",IF(AND(ISNUMBER(N1291),N1291&gt;0,Y1291&gt;N1291),K1291*N1291/100+(Y1291-N1291),K1291*Y1291/100))</f>
        <v/>
      </c>
      <c r="M1291">
        <f>IF($AA1291="","",INDEX('Per Line'!$Z$2:$Z$4001,$AA1291)&amp;"")</f>
        <v/>
      </c>
      <c r="N1291">
        <f>IF($AA1291="","",INDEX('Per Line'!$AG$2:$AG$4001,$AA1291))</f>
        <v/>
      </c>
      <c r="O1291">
        <f>IF($AA1291="","",IF(AND(ISNUMBER(N1291),N1291&gt;0),Y1291&gt;N1291,FALSE))</f>
        <v/>
      </c>
      <c r="P1291" s="7">
        <f>IF($AA1291="","",SUMIFS('Per Line'!$Y$2:$Y$4001,'Per Line'!$E$2:$E$4001,$B1291,'Per Line'!$AQ$2:$AQ$4001,1))</f>
        <v/>
      </c>
      <c r="Q1291">
        <f>IF($AA1291="","",Settings!$C$7)</f>
        <v/>
      </c>
      <c r="R1291" s="7">
        <f>IF($AA1291="","",SUMIFS('Per Line'!$Y$2:$Y$4001,'Per Line'!$E$2:$E$4001,$B1291,'Per Line'!$AP$2:$AP$4001,0,'Per Line'!$AQ$2:$AQ$4001,0))</f>
        <v/>
      </c>
      <c r="S1291" s="7">
        <f>IF($AA1291="","",R1291*Q1291)</f>
        <v/>
      </c>
      <c r="T1291">
        <f>IF($AA1291="","",Settings!$C$6)</f>
        <v/>
      </c>
      <c r="U1291" s="7">
        <f>IF($AA1291="","",SUMIFS('Per Line'!$Y$2:$Y$4001,'Per Line'!$E$2:$E$4001,$B1291,'Per Line'!$AP$2:$AP$4001,1,'Per Line'!$AQ$2:$AQ$4001,0))</f>
        <v/>
      </c>
      <c r="V1291" s="7">
        <f>IF($AA1291="","",U1291*T1291)</f>
        <v/>
      </c>
      <c r="W1291" s="7">
        <f>IF($AA1291="","",V1291+S1291)</f>
        <v/>
      </c>
      <c r="X1291" s="7">
        <f>IF($AA1291="","",Y1291-W1291)</f>
        <v/>
      </c>
      <c r="Y1291" s="7">
        <f>IF($AA1291="","",R1291+U1291+P1291)</f>
        <v/>
      </c>
      <c r="Z1291" s="7">
        <f>IF($AA1291="","",Y1291-W1291-L1291)</f>
        <v/>
      </c>
      <c r="AA1291" s="13">
        <f>IF(ROWS($AA$2:$AA1291)&lt;=MAX('Per Line'!$AO$2:$AO$4001),MATCH(ROWS($AA$2:$AA1291),'Per Line'!$AO$2:$AO$4001,0),"")</f>
        <v/>
      </c>
      <c r="AB1291" s="14">
        <f>IF($AA1291="","",L1291-K1291*Y1291/100)</f>
        <v/>
      </c>
    </row>
    <row r="1292">
      <c r="A1292" s="12" t="n"/>
      <c r="B1292">
        <f>IF($AA1292="","",INDEX('Per Line'!$E$2:$E$4001,$AA1292)&amp;"")</f>
        <v/>
      </c>
      <c r="C1292">
        <f>IF($AA1292="","",INDEX('Per Line'!$A$2:$A$4001,$AA1292)&amp;"")</f>
        <v/>
      </c>
      <c r="D1292">
        <f>IF($AA1292="","",INDEX('Per Line'!$D$2:$D$4001,$AA1292)&amp;"")</f>
        <v/>
      </c>
      <c r="E1292" s="11">
        <f>IF($AA1292="","",INDEX('Per Line'!$G$2:$G$4001,$AA1292))</f>
        <v/>
      </c>
      <c r="F1292">
        <f>IF($AA1292="","",INDEX('Per Line'!$H$2:$H$4001,$AA1292)&amp;"")</f>
        <v/>
      </c>
      <c r="G1292">
        <f>IF($AA1292="","",INDEX('Per Line'!$I$2:$I$4001,$AA1292)&amp;"")</f>
        <v/>
      </c>
      <c r="H1292">
        <f>IF($AA1292="","",INDEX('Per Line'!$J$2:$J$4001,$AA1292)&amp;"")</f>
        <v/>
      </c>
      <c r="I1292">
        <f>IF($AA1292="","",INDEX('Per Line'!$K$2:$K$4001,$AA1292)&amp;"")</f>
        <v/>
      </c>
      <c r="J1292">
        <f>IF($AA1292="","",INDEX('Per Line'!$L$2:$L$4001,$AA1292)&amp;"")</f>
        <v/>
      </c>
      <c r="K1292">
        <f>IF($AA1292="","",INDEX('Per Line'!$P$2:$P$4001,$AA1292))</f>
        <v/>
      </c>
      <c r="L1292" s="7">
        <f>IF($AA1292="","",IF(AND(ISNUMBER(N1292),N1292&gt;0,Y1292&gt;N1292),K1292*N1292/100+(Y1292-N1292),K1292*Y1292/100))</f>
        <v/>
      </c>
      <c r="M1292">
        <f>IF($AA1292="","",INDEX('Per Line'!$Z$2:$Z$4001,$AA1292)&amp;"")</f>
        <v/>
      </c>
      <c r="N1292">
        <f>IF($AA1292="","",INDEX('Per Line'!$AG$2:$AG$4001,$AA1292))</f>
        <v/>
      </c>
      <c r="O1292">
        <f>IF($AA1292="","",IF(AND(ISNUMBER(N1292),N1292&gt;0),Y1292&gt;N1292,FALSE))</f>
        <v/>
      </c>
      <c r="P1292" s="7">
        <f>IF($AA1292="","",SUMIFS('Per Line'!$Y$2:$Y$4001,'Per Line'!$E$2:$E$4001,$B1292,'Per Line'!$AQ$2:$AQ$4001,1))</f>
        <v/>
      </c>
      <c r="Q1292">
        <f>IF($AA1292="","",Settings!$C$7)</f>
        <v/>
      </c>
      <c r="R1292" s="7">
        <f>IF($AA1292="","",SUMIFS('Per Line'!$Y$2:$Y$4001,'Per Line'!$E$2:$E$4001,$B1292,'Per Line'!$AP$2:$AP$4001,0,'Per Line'!$AQ$2:$AQ$4001,0))</f>
        <v/>
      </c>
      <c r="S1292" s="7">
        <f>IF($AA1292="","",R1292*Q1292)</f>
        <v/>
      </c>
      <c r="T1292">
        <f>IF($AA1292="","",Settings!$C$6)</f>
        <v/>
      </c>
      <c r="U1292" s="7">
        <f>IF($AA1292="","",SUMIFS('Per Line'!$Y$2:$Y$4001,'Per Line'!$E$2:$E$4001,$B1292,'Per Line'!$AP$2:$AP$4001,1,'Per Line'!$AQ$2:$AQ$4001,0))</f>
        <v/>
      </c>
      <c r="V1292" s="7">
        <f>IF($AA1292="","",U1292*T1292)</f>
        <v/>
      </c>
      <c r="W1292" s="7">
        <f>IF($AA1292="","",V1292+S1292)</f>
        <v/>
      </c>
      <c r="X1292" s="7">
        <f>IF($AA1292="","",Y1292-W1292)</f>
        <v/>
      </c>
      <c r="Y1292" s="7">
        <f>IF($AA1292="","",R1292+U1292+P1292)</f>
        <v/>
      </c>
      <c r="Z1292" s="7">
        <f>IF($AA1292="","",Y1292-W1292-L1292)</f>
        <v/>
      </c>
      <c r="AA1292" s="13">
        <f>IF(ROWS($AA$2:$AA1292)&lt;=MAX('Per Line'!$AO$2:$AO$4001),MATCH(ROWS($AA$2:$AA1292),'Per Line'!$AO$2:$AO$4001,0),"")</f>
        <v/>
      </c>
      <c r="AB1292" s="14">
        <f>IF($AA1292="","",L1292-K1292*Y1292/100)</f>
        <v/>
      </c>
    </row>
    <row r="1293">
      <c r="A1293" s="12" t="n"/>
      <c r="B1293">
        <f>IF($AA1293="","",INDEX('Per Line'!$E$2:$E$4001,$AA1293)&amp;"")</f>
        <v/>
      </c>
      <c r="C1293">
        <f>IF($AA1293="","",INDEX('Per Line'!$A$2:$A$4001,$AA1293)&amp;"")</f>
        <v/>
      </c>
      <c r="D1293">
        <f>IF($AA1293="","",INDEX('Per Line'!$D$2:$D$4001,$AA1293)&amp;"")</f>
        <v/>
      </c>
      <c r="E1293" s="11">
        <f>IF($AA1293="","",INDEX('Per Line'!$G$2:$G$4001,$AA1293))</f>
        <v/>
      </c>
      <c r="F1293">
        <f>IF($AA1293="","",INDEX('Per Line'!$H$2:$H$4001,$AA1293)&amp;"")</f>
        <v/>
      </c>
      <c r="G1293">
        <f>IF($AA1293="","",INDEX('Per Line'!$I$2:$I$4001,$AA1293)&amp;"")</f>
        <v/>
      </c>
      <c r="H1293">
        <f>IF($AA1293="","",INDEX('Per Line'!$J$2:$J$4001,$AA1293)&amp;"")</f>
        <v/>
      </c>
      <c r="I1293">
        <f>IF($AA1293="","",INDEX('Per Line'!$K$2:$K$4001,$AA1293)&amp;"")</f>
        <v/>
      </c>
      <c r="J1293">
        <f>IF($AA1293="","",INDEX('Per Line'!$L$2:$L$4001,$AA1293)&amp;"")</f>
        <v/>
      </c>
      <c r="K1293">
        <f>IF($AA1293="","",INDEX('Per Line'!$P$2:$P$4001,$AA1293))</f>
        <v/>
      </c>
      <c r="L1293" s="7">
        <f>IF($AA1293="","",IF(AND(ISNUMBER(N1293),N1293&gt;0,Y1293&gt;N1293),K1293*N1293/100+(Y1293-N1293),K1293*Y1293/100))</f>
        <v/>
      </c>
      <c r="M1293">
        <f>IF($AA1293="","",INDEX('Per Line'!$Z$2:$Z$4001,$AA1293)&amp;"")</f>
        <v/>
      </c>
      <c r="N1293">
        <f>IF($AA1293="","",INDEX('Per Line'!$AG$2:$AG$4001,$AA1293))</f>
        <v/>
      </c>
      <c r="O1293">
        <f>IF($AA1293="","",IF(AND(ISNUMBER(N1293),N1293&gt;0),Y1293&gt;N1293,FALSE))</f>
        <v/>
      </c>
      <c r="P1293" s="7">
        <f>IF($AA1293="","",SUMIFS('Per Line'!$Y$2:$Y$4001,'Per Line'!$E$2:$E$4001,$B1293,'Per Line'!$AQ$2:$AQ$4001,1))</f>
        <v/>
      </c>
      <c r="Q1293">
        <f>IF($AA1293="","",Settings!$C$7)</f>
        <v/>
      </c>
      <c r="R1293" s="7">
        <f>IF($AA1293="","",SUMIFS('Per Line'!$Y$2:$Y$4001,'Per Line'!$E$2:$E$4001,$B1293,'Per Line'!$AP$2:$AP$4001,0,'Per Line'!$AQ$2:$AQ$4001,0))</f>
        <v/>
      </c>
      <c r="S1293" s="7">
        <f>IF($AA1293="","",R1293*Q1293)</f>
        <v/>
      </c>
      <c r="T1293">
        <f>IF($AA1293="","",Settings!$C$6)</f>
        <v/>
      </c>
      <c r="U1293" s="7">
        <f>IF($AA1293="","",SUMIFS('Per Line'!$Y$2:$Y$4001,'Per Line'!$E$2:$E$4001,$B1293,'Per Line'!$AP$2:$AP$4001,1,'Per Line'!$AQ$2:$AQ$4001,0))</f>
        <v/>
      </c>
      <c r="V1293" s="7">
        <f>IF($AA1293="","",U1293*T1293)</f>
        <v/>
      </c>
      <c r="W1293" s="7">
        <f>IF($AA1293="","",V1293+S1293)</f>
        <v/>
      </c>
      <c r="X1293" s="7">
        <f>IF($AA1293="","",Y1293-W1293)</f>
        <v/>
      </c>
      <c r="Y1293" s="7">
        <f>IF($AA1293="","",R1293+U1293+P1293)</f>
        <v/>
      </c>
      <c r="Z1293" s="7">
        <f>IF($AA1293="","",Y1293-W1293-L1293)</f>
        <v/>
      </c>
      <c r="AA1293" s="13">
        <f>IF(ROWS($AA$2:$AA1293)&lt;=MAX('Per Line'!$AO$2:$AO$4001),MATCH(ROWS($AA$2:$AA1293),'Per Line'!$AO$2:$AO$4001,0),"")</f>
        <v/>
      </c>
      <c r="AB1293" s="14">
        <f>IF($AA1293="","",L1293-K1293*Y1293/100)</f>
        <v/>
      </c>
    </row>
    <row r="1294">
      <c r="A1294" s="12" t="n"/>
      <c r="B1294">
        <f>IF($AA1294="","",INDEX('Per Line'!$E$2:$E$4001,$AA1294)&amp;"")</f>
        <v/>
      </c>
      <c r="C1294">
        <f>IF($AA1294="","",INDEX('Per Line'!$A$2:$A$4001,$AA1294)&amp;"")</f>
        <v/>
      </c>
      <c r="D1294">
        <f>IF($AA1294="","",INDEX('Per Line'!$D$2:$D$4001,$AA1294)&amp;"")</f>
        <v/>
      </c>
      <c r="E1294" s="11">
        <f>IF($AA1294="","",INDEX('Per Line'!$G$2:$G$4001,$AA1294))</f>
        <v/>
      </c>
      <c r="F1294">
        <f>IF($AA1294="","",INDEX('Per Line'!$H$2:$H$4001,$AA1294)&amp;"")</f>
        <v/>
      </c>
      <c r="G1294">
        <f>IF($AA1294="","",INDEX('Per Line'!$I$2:$I$4001,$AA1294)&amp;"")</f>
        <v/>
      </c>
      <c r="H1294">
        <f>IF($AA1294="","",INDEX('Per Line'!$J$2:$J$4001,$AA1294)&amp;"")</f>
        <v/>
      </c>
      <c r="I1294">
        <f>IF($AA1294="","",INDEX('Per Line'!$K$2:$K$4001,$AA1294)&amp;"")</f>
        <v/>
      </c>
      <c r="J1294">
        <f>IF($AA1294="","",INDEX('Per Line'!$L$2:$L$4001,$AA1294)&amp;"")</f>
        <v/>
      </c>
      <c r="K1294">
        <f>IF($AA1294="","",INDEX('Per Line'!$P$2:$P$4001,$AA1294))</f>
        <v/>
      </c>
      <c r="L1294" s="7">
        <f>IF($AA1294="","",IF(AND(ISNUMBER(N1294),N1294&gt;0,Y1294&gt;N1294),K1294*N1294/100+(Y1294-N1294),K1294*Y1294/100))</f>
        <v/>
      </c>
      <c r="M1294">
        <f>IF($AA1294="","",INDEX('Per Line'!$Z$2:$Z$4001,$AA1294)&amp;"")</f>
        <v/>
      </c>
      <c r="N1294">
        <f>IF($AA1294="","",INDEX('Per Line'!$AG$2:$AG$4001,$AA1294))</f>
        <v/>
      </c>
      <c r="O1294">
        <f>IF($AA1294="","",IF(AND(ISNUMBER(N1294),N1294&gt;0),Y1294&gt;N1294,FALSE))</f>
        <v/>
      </c>
      <c r="P1294" s="7">
        <f>IF($AA1294="","",SUMIFS('Per Line'!$Y$2:$Y$4001,'Per Line'!$E$2:$E$4001,$B1294,'Per Line'!$AQ$2:$AQ$4001,1))</f>
        <v/>
      </c>
      <c r="Q1294">
        <f>IF($AA1294="","",Settings!$C$7)</f>
        <v/>
      </c>
      <c r="R1294" s="7">
        <f>IF($AA1294="","",SUMIFS('Per Line'!$Y$2:$Y$4001,'Per Line'!$E$2:$E$4001,$B1294,'Per Line'!$AP$2:$AP$4001,0,'Per Line'!$AQ$2:$AQ$4001,0))</f>
        <v/>
      </c>
      <c r="S1294" s="7">
        <f>IF($AA1294="","",R1294*Q1294)</f>
        <v/>
      </c>
      <c r="T1294">
        <f>IF($AA1294="","",Settings!$C$6)</f>
        <v/>
      </c>
      <c r="U1294" s="7">
        <f>IF($AA1294="","",SUMIFS('Per Line'!$Y$2:$Y$4001,'Per Line'!$E$2:$E$4001,$B1294,'Per Line'!$AP$2:$AP$4001,1,'Per Line'!$AQ$2:$AQ$4001,0))</f>
        <v/>
      </c>
      <c r="V1294" s="7">
        <f>IF($AA1294="","",U1294*T1294)</f>
        <v/>
      </c>
      <c r="W1294" s="7">
        <f>IF($AA1294="","",V1294+S1294)</f>
        <v/>
      </c>
      <c r="X1294" s="7">
        <f>IF($AA1294="","",Y1294-W1294)</f>
        <v/>
      </c>
      <c r="Y1294" s="7">
        <f>IF($AA1294="","",R1294+U1294+P1294)</f>
        <v/>
      </c>
      <c r="Z1294" s="7">
        <f>IF($AA1294="","",Y1294-W1294-L1294)</f>
        <v/>
      </c>
      <c r="AA1294" s="13">
        <f>IF(ROWS($AA$2:$AA1294)&lt;=MAX('Per Line'!$AO$2:$AO$4001),MATCH(ROWS($AA$2:$AA1294),'Per Line'!$AO$2:$AO$4001,0),"")</f>
        <v/>
      </c>
      <c r="AB1294" s="14">
        <f>IF($AA1294="","",L1294-K1294*Y1294/100)</f>
        <v/>
      </c>
    </row>
    <row r="1295">
      <c r="A1295" s="12" t="n"/>
      <c r="B1295">
        <f>IF($AA1295="","",INDEX('Per Line'!$E$2:$E$4001,$AA1295)&amp;"")</f>
        <v/>
      </c>
      <c r="C1295">
        <f>IF($AA1295="","",INDEX('Per Line'!$A$2:$A$4001,$AA1295)&amp;"")</f>
        <v/>
      </c>
      <c r="D1295">
        <f>IF($AA1295="","",INDEX('Per Line'!$D$2:$D$4001,$AA1295)&amp;"")</f>
        <v/>
      </c>
      <c r="E1295" s="11">
        <f>IF($AA1295="","",INDEX('Per Line'!$G$2:$G$4001,$AA1295))</f>
        <v/>
      </c>
      <c r="F1295">
        <f>IF($AA1295="","",INDEX('Per Line'!$H$2:$H$4001,$AA1295)&amp;"")</f>
        <v/>
      </c>
      <c r="G1295">
        <f>IF($AA1295="","",INDEX('Per Line'!$I$2:$I$4001,$AA1295)&amp;"")</f>
        <v/>
      </c>
      <c r="H1295">
        <f>IF($AA1295="","",INDEX('Per Line'!$J$2:$J$4001,$AA1295)&amp;"")</f>
        <v/>
      </c>
      <c r="I1295">
        <f>IF($AA1295="","",INDEX('Per Line'!$K$2:$K$4001,$AA1295)&amp;"")</f>
        <v/>
      </c>
      <c r="J1295">
        <f>IF($AA1295="","",INDEX('Per Line'!$L$2:$L$4001,$AA1295)&amp;"")</f>
        <v/>
      </c>
      <c r="K1295">
        <f>IF($AA1295="","",INDEX('Per Line'!$P$2:$P$4001,$AA1295))</f>
        <v/>
      </c>
      <c r="L1295" s="7">
        <f>IF($AA1295="","",IF(AND(ISNUMBER(N1295),N1295&gt;0,Y1295&gt;N1295),K1295*N1295/100+(Y1295-N1295),K1295*Y1295/100))</f>
        <v/>
      </c>
      <c r="M1295">
        <f>IF($AA1295="","",INDEX('Per Line'!$Z$2:$Z$4001,$AA1295)&amp;"")</f>
        <v/>
      </c>
      <c r="N1295">
        <f>IF($AA1295="","",INDEX('Per Line'!$AG$2:$AG$4001,$AA1295))</f>
        <v/>
      </c>
      <c r="O1295">
        <f>IF($AA1295="","",IF(AND(ISNUMBER(N1295),N1295&gt;0),Y1295&gt;N1295,FALSE))</f>
        <v/>
      </c>
      <c r="P1295" s="7">
        <f>IF($AA1295="","",SUMIFS('Per Line'!$Y$2:$Y$4001,'Per Line'!$E$2:$E$4001,$B1295,'Per Line'!$AQ$2:$AQ$4001,1))</f>
        <v/>
      </c>
      <c r="Q1295">
        <f>IF($AA1295="","",Settings!$C$7)</f>
        <v/>
      </c>
      <c r="R1295" s="7">
        <f>IF($AA1295="","",SUMIFS('Per Line'!$Y$2:$Y$4001,'Per Line'!$E$2:$E$4001,$B1295,'Per Line'!$AP$2:$AP$4001,0,'Per Line'!$AQ$2:$AQ$4001,0))</f>
        <v/>
      </c>
      <c r="S1295" s="7">
        <f>IF($AA1295="","",R1295*Q1295)</f>
        <v/>
      </c>
      <c r="T1295">
        <f>IF($AA1295="","",Settings!$C$6)</f>
        <v/>
      </c>
      <c r="U1295" s="7">
        <f>IF($AA1295="","",SUMIFS('Per Line'!$Y$2:$Y$4001,'Per Line'!$E$2:$E$4001,$B1295,'Per Line'!$AP$2:$AP$4001,1,'Per Line'!$AQ$2:$AQ$4001,0))</f>
        <v/>
      </c>
      <c r="V1295" s="7">
        <f>IF($AA1295="","",U1295*T1295)</f>
        <v/>
      </c>
      <c r="W1295" s="7">
        <f>IF($AA1295="","",V1295+S1295)</f>
        <v/>
      </c>
      <c r="X1295" s="7">
        <f>IF($AA1295="","",Y1295-W1295)</f>
        <v/>
      </c>
      <c r="Y1295" s="7">
        <f>IF($AA1295="","",R1295+U1295+P1295)</f>
        <v/>
      </c>
      <c r="Z1295" s="7">
        <f>IF($AA1295="","",Y1295-W1295-L1295)</f>
        <v/>
      </c>
      <c r="AA1295" s="13">
        <f>IF(ROWS($AA$2:$AA1295)&lt;=MAX('Per Line'!$AO$2:$AO$4001),MATCH(ROWS($AA$2:$AA1295),'Per Line'!$AO$2:$AO$4001,0),"")</f>
        <v/>
      </c>
      <c r="AB1295" s="14">
        <f>IF($AA1295="","",L1295-K1295*Y1295/100)</f>
        <v/>
      </c>
    </row>
    <row r="1296">
      <c r="A1296" s="12" t="n"/>
      <c r="B1296">
        <f>IF($AA1296="","",INDEX('Per Line'!$E$2:$E$4001,$AA1296)&amp;"")</f>
        <v/>
      </c>
      <c r="C1296">
        <f>IF($AA1296="","",INDEX('Per Line'!$A$2:$A$4001,$AA1296)&amp;"")</f>
        <v/>
      </c>
      <c r="D1296">
        <f>IF($AA1296="","",INDEX('Per Line'!$D$2:$D$4001,$AA1296)&amp;"")</f>
        <v/>
      </c>
      <c r="E1296" s="11">
        <f>IF($AA1296="","",INDEX('Per Line'!$G$2:$G$4001,$AA1296))</f>
        <v/>
      </c>
      <c r="F1296">
        <f>IF($AA1296="","",INDEX('Per Line'!$H$2:$H$4001,$AA1296)&amp;"")</f>
        <v/>
      </c>
      <c r="G1296">
        <f>IF($AA1296="","",INDEX('Per Line'!$I$2:$I$4001,$AA1296)&amp;"")</f>
        <v/>
      </c>
      <c r="H1296">
        <f>IF($AA1296="","",INDEX('Per Line'!$J$2:$J$4001,$AA1296)&amp;"")</f>
        <v/>
      </c>
      <c r="I1296">
        <f>IF($AA1296="","",INDEX('Per Line'!$K$2:$K$4001,$AA1296)&amp;"")</f>
        <v/>
      </c>
      <c r="J1296">
        <f>IF($AA1296="","",INDEX('Per Line'!$L$2:$L$4001,$AA1296)&amp;"")</f>
        <v/>
      </c>
      <c r="K1296">
        <f>IF($AA1296="","",INDEX('Per Line'!$P$2:$P$4001,$AA1296))</f>
        <v/>
      </c>
      <c r="L1296" s="7">
        <f>IF($AA1296="","",IF(AND(ISNUMBER(N1296),N1296&gt;0,Y1296&gt;N1296),K1296*N1296/100+(Y1296-N1296),K1296*Y1296/100))</f>
        <v/>
      </c>
      <c r="M1296">
        <f>IF($AA1296="","",INDEX('Per Line'!$Z$2:$Z$4001,$AA1296)&amp;"")</f>
        <v/>
      </c>
      <c r="N1296">
        <f>IF($AA1296="","",INDEX('Per Line'!$AG$2:$AG$4001,$AA1296))</f>
        <v/>
      </c>
      <c r="O1296">
        <f>IF($AA1296="","",IF(AND(ISNUMBER(N1296),N1296&gt;0),Y1296&gt;N1296,FALSE))</f>
        <v/>
      </c>
      <c r="P1296" s="7">
        <f>IF($AA1296="","",SUMIFS('Per Line'!$Y$2:$Y$4001,'Per Line'!$E$2:$E$4001,$B1296,'Per Line'!$AQ$2:$AQ$4001,1))</f>
        <v/>
      </c>
      <c r="Q1296">
        <f>IF($AA1296="","",Settings!$C$7)</f>
        <v/>
      </c>
      <c r="R1296" s="7">
        <f>IF($AA1296="","",SUMIFS('Per Line'!$Y$2:$Y$4001,'Per Line'!$E$2:$E$4001,$B1296,'Per Line'!$AP$2:$AP$4001,0,'Per Line'!$AQ$2:$AQ$4001,0))</f>
        <v/>
      </c>
      <c r="S1296" s="7">
        <f>IF($AA1296="","",R1296*Q1296)</f>
        <v/>
      </c>
      <c r="T1296">
        <f>IF($AA1296="","",Settings!$C$6)</f>
        <v/>
      </c>
      <c r="U1296" s="7">
        <f>IF($AA1296="","",SUMIFS('Per Line'!$Y$2:$Y$4001,'Per Line'!$E$2:$E$4001,$B1296,'Per Line'!$AP$2:$AP$4001,1,'Per Line'!$AQ$2:$AQ$4001,0))</f>
        <v/>
      </c>
      <c r="V1296" s="7">
        <f>IF($AA1296="","",U1296*T1296)</f>
        <v/>
      </c>
      <c r="W1296" s="7">
        <f>IF($AA1296="","",V1296+S1296)</f>
        <v/>
      </c>
      <c r="X1296" s="7">
        <f>IF($AA1296="","",Y1296-W1296)</f>
        <v/>
      </c>
      <c r="Y1296" s="7">
        <f>IF($AA1296="","",R1296+U1296+P1296)</f>
        <v/>
      </c>
      <c r="Z1296" s="7">
        <f>IF($AA1296="","",Y1296-W1296-L1296)</f>
        <v/>
      </c>
      <c r="AA1296" s="13">
        <f>IF(ROWS($AA$2:$AA1296)&lt;=MAX('Per Line'!$AO$2:$AO$4001),MATCH(ROWS($AA$2:$AA1296),'Per Line'!$AO$2:$AO$4001,0),"")</f>
        <v/>
      </c>
      <c r="AB1296" s="14">
        <f>IF($AA1296="","",L1296-K1296*Y1296/100)</f>
        <v/>
      </c>
    </row>
    <row r="1297">
      <c r="A1297" s="12" t="n"/>
      <c r="B1297">
        <f>IF($AA1297="","",INDEX('Per Line'!$E$2:$E$4001,$AA1297)&amp;"")</f>
        <v/>
      </c>
      <c r="C1297">
        <f>IF($AA1297="","",INDEX('Per Line'!$A$2:$A$4001,$AA1297)&amp;"")</f>
        <v/>
      </c>
      <c r="D1297">
        <f>IF($AA1297="","",INDEX('Per Line'!$D$2:$D$4001,$AA1297)&amp;"")</f>
        <v/>
      </c>
      <c r="E1297" s="11">
        <f>IF($AA1297="","",INDEX('Per Line'!$G$2:$G$4001,$AA1297))</f>
        <v/>
      </c>
      <c r="F1297">
        <f>IF($AA1297="","",INDEX('Per Line'!$H$2:$H$4001,$AA1297)&amp;"")</f>
        <v/>
      </c>
      <c r="G1297">
        <f>IF($AA1297="","",INDEX('Per Line'!$I$2:$I$4001,$AA1297)&amp;"")</f>
        <v/>
      </c>
      <c r="H1297">
        <f>IF($AA1297="","",INDEX('Per Line'!$J$2:$J$4001,$AA1297)&amp;"")</f>
        <v/>
      </c>
      <c r="I1297">
        <f>IF($AA1297="","",INDEX('Per Line'!$K$2:$K$4001,$AA1297)&amp;"")</f>
        <v/>
      </c>
      <c r="J1297">
        <f>IF($AA1297="","",INDEX('Per Line'!$L$2:$L$4001,$AA1297)&amp;"")</f>
        <v/>
      </c>
      <c r="K1297">
        <f>IF($AA1297="","",INDEX('Per Line'!$P$2:$P$4001,$AA1297))</f>
        <v/>
      </c>
      <c r="L1297" s="7">
        <f>IF($AA1297="","",IF(AND(ISNUMBER(N1297),N1297&gt;0,Y1297&gt;N1297),K1297*N1297/100+(Y1297-N1297),K1297*Y1297/100))</f>
        <v/>
      </c>
      <c r="M1297">
        <f>IF($AA1297="","",INDEX('Per Line'!$Z$2:$Z$4001,$AA1297)&amp;"")</f>
        <v/>
      </c>
      <c r="N1297">
        <f>IF($AA1297="","",INDEX('Per Line'!$AG$2:$AG$4001,$AA1297))</f>
        <v/>
      </c>
      <c r="O1297">
        <f>IF($AA1297="","",IF(AND(ISNUMBER(N1297),N1297&gt;0),Y1297&gt;N1297,FALSE))</f>
        <v/>
      </c>
      <c r="P1297" s="7">
        <f>IF($AA1297="","",SUMIFS('Per Line'!$Y$2:$Y$4001,'Per Line'!$E$2:$E$4001,$B1297,'Per Line'!$AQ$2:$AQ$4001,1))</f>
        <v/>
      </c>
      <c r="Q1297">
        <f>IF($AA1297="","",Settings!$C$7)</f>
        <v/>
      </c>
      <c r="R1297" s="7">
        <f>IF($AA1297="","",SUMIFS('Per Line'!$Y$2:$Y$4001,'Per Line'!$E$2:$E$4001,$B1297,'Per Line'!$AP$2:$AP$4001,0,'Per Line'!$AQ$2:$AQ$4001,0))</f>
        <v/>
      </c>
      <c r="S1297" s="7">
        <f>IF($AA1297="","",R1297*Q1297)</f>
        <v/>
      </c>
      <c r="T1297">
        <f>IF($AA1297="","",Settings!$C$6)</f>
        <v/>
      </c>
      <c r="U1297" s="7">
        <f>IF($AA1297="","",SUMIFS('Per Line'!$Y$2:$Y$4001,'Per Line'!$E$2:$E$4001,$B1297,'Per Line'!$AP$2:$AP$4001,1,'Per Line'!$AQ$2:$AQ$4001,0))</f>
        <v/>
      </c>
      <c r="V1297" s="7">
        <f>IF($AA1297="","",U1297*T1297)</f>
        <v/>
      </c>
      <c r="W1297" s="7">
        <f>IF($AA1297="","",V1297+S1297)</f>
        <v/>
      </c>
      <c r="X1297" s="7">
        <f>IF($AA1297="","",Y1297-W1297)</f>
        <v/>
      </c>
      <c r="Y1297" s="7">
        <f>IF($AA1297="","",R1297+U1297+P1297)</f>
        <v/>
      </c>
      <c r="Z1297" s="7">
        <f>IF($AA1297="","",Y1297-W1297-L1297)</f>
        <v/>
      </c>
      <c r="AA1297" s="13">
        <f>IF(ROWS($AA$2:$AA1297)&lt;=MAX('Per Line'!$AO$2:$AO$4001),MATCH(ROWS($AA$2:$AA1297),'Per Line'!$AO$2:$AO$4001,0),"")</f>
        <v/>
      </c>
      <c r="AB1297" s="14">
        <f>IF($AA1297="","",L1297-K1297*Y1297/100)</f>
        <v/>
      </c>
    </row>
    <row r="1298">
      <c r="A1298" s="12" t="n"/>
      <c r="B1298">
        <f>IF($AA1298="","",INDEX('Per Line'!$E$2:$E$4001,$AA1298)&amp;"")</f>
        <v/>
      </c>
      <c r="C1298">
        <f>IF($AA1298="","",INDEX('Per Line'!$A$2:$A$4001,$AA1298)&amp;"")</f>
        <v/>
      </c>
      <c r="D1298">
        <f>IF($AA1298="","",INDEX('Per Line'!$D$2:$D$4001,$AA1298)&amp;"")</f>
        <v/>
      </c>
      <c r="E1298" s="11">
        <f>IF($AA1298="","",INDEX('Per Line'!$G$2:$G$4001,$AA1298))</f>
        <v/>
      </c>
      <c r="F1298">
        <f>IF($AA1298="","",INDEX('Per Line'!$H$2:$H$4001,$AA1298)&amp;"")</f>
        <v/>
      </c>
      <c r="G1298">
        <f>IF($AA1298="","",INDEX('Per Line'!$I$2:$I$4001,$AA1298)&amp;"")</f>
        <v/>
      </c>
      <c r="H1298">
        <f>IF($AA1298="","",INDEX('Per Line'!$J$2:$J$4001,$AA1298)&amp;"")</f>
        <v/>
      </c>
      <c r="I1298">
        <f>IF($AA1298="","",INDEX('Per Line'!$K$2:$K$4001,$AA1298)&amp;"")</f>
        <v/>
      </c>
      <c r="J1298">
        <f>IF($AA1298="","",INDEX('Per Line'!$L$2:$L$4001,$AA1298)&amp;"")</f>
        <v/>
      </c>
      <c r="K1298">
        <f>IF($AA1298="","",INDEX('Per Line'!$P$2:$P$4001,$AA1298))</f>
        <v/>
      </c>
      <c r="L1298" s="7">
        <f>IF($AA1298="","",IF(AND(ISNUMBER(N1298),N1298&gt;0,Y1298&gt;N1298),K1298*N1298/100+(Y1298-N1298),K1298*Y1298/100))</f>
        <v/>
      </c>
      <c r="M1298">
        <f>IF($AA1298="","",INDEX('Per Line'!$Z$2:$Z$4001,$AA1298)&amp;"")</f>
        <v/>
      </c>
      <c r="N1298">
        <f>IF($AA1298="","",INDEX('Per Line'!$AG$2:$AG$4001,$AA1298))</f>
        <v/>
      </c>
      <c r="O1298">
        <f>IF($AA1298="","",IF(AND(ISNUMBER(N1298),N1298&gt;0),Y1298&gt;N1298,FALSE))</f>
        <v/>
      </c>
      <c r="P1298" s="7">
        <f>IF($AA1298="","",SUMIFS('Per Line'!$Y$2:$Y$4001,'Per Line'!$E$2:$E$4001,$B1298,'Per Line'!$AQ$2:$AQ$4001,1))</f>
        <v/>
      </c>
      <c r="Q1298">
        <f>IF($AA1298="","",Settings!$C$7)</f>
        <v/>
      </c>
      <c r="R1298" s="7">
        <f>IF($AA1298="","",SUMIFS('Per Line'!$Y$2:$Y$4001,'Per Line'!$E$2:$E$4001,$B1298,'Per Line'!$AP$2:$AP$4001,0,'Per Line'!$AQ$2:$AQ$4001,0))</f>
        <v/>
      </c>
      <c r="S1298" s="7">
        <f>IF($AA1298="","",R1298*Q1298)</f>
        <v/>
      </c>
      <c r="T1298">
        <f>IF($AA1298="","",Settings!$C$6)</f>
        <v/>
      </c>
      <c r="U1298" s="7">
        <f>IF($AA1298="","",SUMIFS('Per Line'!$Y$2:$Y$4001,'Per Line'!$E$2:$E$4001,$B1298,'Per Line'!$AP$2:$AP$4001,1,'Per Line'!$AQ$2:$AQ$4001,0))</f>
        <v/>
      </c>
      <c r="V1298" s="7">
        <f>IF($AA1298="","",U1298*T1298)</f>
        <v/>
      </c>
      <c r="W1298" s="7">
        <f>IF($AA1298="","",V1298+S1298)</f>
        <v/>
      </c>
      <c r="X1298" s="7">
        <f>IF($AA1298="","",Y1298-W1298)</f>
        <v/>
      </c>
      <c r="Y1298" s="7">
        <f>IF($AA1298="","",R1298+U1298+P1298)</f>
        <v/>
      </c>
      <c r="Z1298" s="7">
        <f>IF($AA1298="","",Y1298-W1298-L1298)</f>
        <v/>
      </c>
      <c r="AA1298" s="13">
        <f>IF(ROWS($AA$2:$AA1298)&lt;=MAX('Per Line'!$AO$2:$AO$4001),MATCH(ROWS($AA$2:$AA1298),'Per Line'!$AO$2:$AO$4001,0),"")</f>
        <v/>
      </c>
      <c r="AB1298" s="14">
        <f>IF($AA1298="","",L1298-K1298*Y1298/100)</f>
        <v/>
      </c>
    </row>
    <row r="1299">
      <c r="A1299" s="12" t="n"/>
      <c r="B1299">
        <f>IF($AA1299="","",INDEX('Per Line'!$E$2:$E$4001,$AA1299)&amp;"")</f>
        <v/>
      </c>
      <c r="C1299">
        <f>IF($AA1299="","",INDEX('Per Line'!$A$2:$A$4001,$AA1299)&amp;"")</f>
        <v/>
      </c>
      <c r="D1299">
        <f>IF($AA1299="","",INDEX('Per Line'!$D$2:$D$4001,$AA1299)&amp;"")</f>
        <v/>
      </c>
      <c r="E1299" s="11">
        <f>IF($AA1299="","",INDEX('Per Line'!$G$2:$G$4001,$AA1299))</f>
        <v/>
      </c>
      <c r="F1299">
        <f>IF($AA1299="","",INDEX('Per Line'!$H$2:$H$4001,$AA1299)&amp;"")</f>
        <v/>
      </c>
      <c r="G1299">
        <f>IF($AA1299="","",INDEX('Per Line'!$I$2:$I$4001,$AA1299)&amp;"")</f>
        <v/>
      </c>
      <c r="H1299">
        <f>IF($AA1299="","",INDEX('Per Line'!$J$2:$J$4001,$AA1299)&amp;"")</f>
        <v/>
      </c>
      <c r="I1299">
        <f>IF($AA1299="","",INDEX('Per Line'!$K$2:$K$4001,$AA1299)&amp;"")</f>
        <v/>
      </c>
      <c r="J1299">
        <f>IF($AA1299="","",INDEX('Per Line'!$L$2:$L$4001,$AA1299)&amp;"")</f>
        <v/>
      </c>
      <c r="K1299">
        <f>IF($AA1299="","",INDEX('Per Line'!$P$2:$P$4001,$AA1299))</f>
        <v/>
      </c>
      <c r="L1299" s="7">
        <f>IF($AA1299="","",IF(AND(ISNUMBER(N1299),N1299&gt;0,Y1299&gt;N1299),K1299*N1299/100+(Y1299-N1299),K1299*Y1299/100))</f>
        <v/>
      </c>
      <c r="M1299">
        <f>IF($AA1299="","",INDEX('Per Line'!$Z$2:$Z$4001,$AA1299)&amp;"")</f>
        <v/>
      </c>
      <c r="N1299">
        <f>IF($AA1299="","",INDEX('Per Line'!$AG$2:$AG$4001,$AA1299))</f>
        <v/>
      </c>
      <c r="O1299">
        <f>IF($AA1299="","",IF(AND(ISNUMBER(N1299),N1299&gt;0),Y1299&gt;N1299,FALSE))</f>
        <v/>
      </c>
      <c r="P1299" s="7">
        <f>IF($AA1299="","",SUMIFS('Per Line'!$Y$2:$Y$4001,'Per Line'!$E$2:$E$4001,$B1299,'Per Line'!$AQ$2:$AQ$4001,1))</f>
        <v/>
      </c>
      <c r="Q1299">
        <f>IF($AA1299="","",Settings!$C$7)</f>
        <v/>
      </c>
      <c r="R1299" s="7">
        <f>IF($AA1299="","",SUMIFS('Per Line'!$Y$2:$Y$4001,'Per Line'!$E$2:$E$4001,$B1299,'Per Line'!$AP$2:$AP$4001,0,'Per Line'!$AQ$2:$AQ$4001,0))</f>
        <v/>
      </c>
      <c r="S1299" s="7">
        <f>IF($AA1299="","",R1299*Q1299)</f>
        <v/>
      </c>
      <c r="T1299">
        <f>IF($AA1299="","",Settings!$C$6)</f>
        <v/>
      </c>
      <c r="U1299" s="7">
        <f>IF($AA1299="","",SUMIFS('Per Line'!$Y$2:$Y$4001,'Per Line'!$E$2:$E$4001,$B1299,'Per Line'!$AP$2:$AP$4001,1,'Per Line'!$AQ$2:$AQ$4001,0))</f>
        <v/>
      </c>
      <c r="V1299" s="7">
        <f>IF($AA1299="","",U1299*T1299)</f>
        <v/>
      </c>
      <c r="W1299" s="7">
        <f>IF($AA1299="","",V1299+S1299)</f>
        <v/>
      </c>
      <c r="X1299" s="7">
        <f>IF($AA1299="","",Y1299-W1299)</f>
        <v/>
      </c>
      <c r="Y1299" s="7">
        <f>IF($AA1299="","",R1299+U1299+P1299)</f>
        <v/>
      </c>
      <c r="Z1299" s="7">
        <f>IF($AA1299="","",Y1299-W1299-L1299)</f>
        <v/>
      </c>
      <c r="AA1299" s="13">
        <f>IF(ROWS($AA$2:$AA1299)&lt;=MAX('Per Line'!$AO$2:$AO$4001),MATCH(ROWS($AA$2:$AA1299),'Per Line'!$AO$2:$AO$4001,0),"")</f>
        <v/>
      </c>
      <c r="AB1299" s="14">
        <f>IF($AA1299="","",L1299-K1299*Y1299/100)</f>
        <v/>
      </c>
    </row>
    <row r="1300">
      <c r="A1300" s="12" t="n"/>
      <c r="B1300">
        <f>IF($AA1300="","",INDEX('Per Line'!$E$2:$E$4001,$AA1300)&amp;"")</f>
        <v/>
      </c>
      <c r="C1300">
        <f>IF($AA1300="","",INDEX('Per Line'!$A$2:$A$4001,$AA1300)&amp;"")</f>
        <v/>
      </c>
      <c r="D1300">
        <f>IF($AA1300="","",INDEX('Per Line'!$D$2:$D$4001,$AA1300)&amp;"")</f>
        <v/>
      </c>
      <c r="E1300" s="11">
        <f>IF($AA1300="","",INDEX('Per Line'!$G$2:$G$4001,$AA1300))</f>
        <v/>
      </c>
      <c r="F1300">
        <f>IF($AA1300="","",INDEX('Per Line'!$H$2:$H$4001,$AA1300)&amp;"")</f>
        <v/>
      </c>
      <c r="G1300">
        <f>IF($AA1300="","",INDEX('Per Line'!$I$2:$I$4001,$AA1300)&amp;"")</f>
        <v/>
      </c>
      <c r="H1300">
        <f>IF($AA1300="","",INDEX('Per Line'!$J$2:$J$4001,$AA1300)&amp;"")</f>
        <v/>
      </c>
      <c r="I1300">
        <f>IF($AA1300="","",INDEX('Per Line'!$K$2:$K$4001,$AA1300)&amp;"")</f>
        <v/>
      </c>
      <c r="J1300">
        <f>IF($AA1300="","",INDEX('Per Line'!$L$2:$L$4001,$AA1300)&amp;"")</f>
        <v/>
      </c>
      <c r="K1300">
        <f>IF($AA1300="","",INDEX('Per Line'!$P$2:$P$4001,$AA1300))</f>
        <v/>
      </c>
      <c r="L1300" s="7">
        <f>IF($AA1300="","",IF(AND(ISNUMBER(N1300),N1300&gt;0,Y1300&gt;N1300),K1300*N1300/100+(Y1300-N1300),K1300*Y1300/100))</f>
        <v/>
      </c>
      <c r="M1300">
        <f>IF($AA1300="","",INDEX('Per Line'!$Z$2:$Z$4001,$AA1300)&amp;"")</f>
        <v/>
      </c>
      <c r="N1300">
        <f>IF($AA1300="","",INDEX('Per Line'!$AG$2:$AG$4001,$AA1300))</f>
        <v/>
      </c>
      <c r="O1300">
        <f>IF($AA1300="","",IF(AND(ISNUMBER(N1300),N1300&gt;0),Y1300&gt;N1300,FALSE))</f>
        <v/>
      </c>
      <c r="P1300" s="7">
        <f>IF($AA1300="","",SUMIFS('Per Line'!$Y$2:$Y$4001,'Per Line'!$E$2:$E$4001,$B1300,'Per Line'!$AQ$2:$AQ$4001,1))</f>
        <v/>
      </c>
      <c r="Q1300">
        <f>IF($AA1300="","",Settings!$C$7)</f>
        <v/>
      </c>
      <c r="R1300" s="7">
        <f>IF($AA1300="","",SUMIFS('Per Line'!$Y$2:$Y$4001,'Per Line'!$E$2:$E$4001,$B1300,'Per Line'!$AP$2:$AP$4001,0,'Per Line'!$AQ$2:$AQ$4001,0))</f>
        <v/>
      </c>
      <c r="S1300" s="7">
        <f>IF($AA1300="","",R1300*Q1300)</f>
        <v/>
      </c>
      <c r="T1300">
        <f>IF($AA1300="","",Settings!$C$6)</f>
        <v/>
      </c>
      <c r="U1300" s="7">
        <f>IF($AA1300="","",SUMIFS('Per Line'!$Y$2:$Y$4001,'Per Line'!$E$2:$E$4001,$B1300,'Per Line'!$AP$2:$AP$4001,1,'Per Line'!$AQ$2:$AQ$4001,0))</f>
        <v/>
      </c>
      <c r="V1300" s="7">
        <f>IF($AA1300="","",U1300*T1300)</f>
        <v/>
      </c>
      <c r="W1300" s="7">
        <f>IF($AA1300="","",V1300+S1300)</f>
        <v/>
      </c>
      <c r="X1300" s="7">
        <f>IF($AA1300="","",Y1300-W1300)</f>
        <v/>
      </c>
      <c r="Y1300" s="7">
        <f>IF($AA1300="","",R1300+U1300+P1300)</f>
        <v/>
      </c>
      <c r="Z1300" s="7">
        <f>IF($AA1300="","",Y1300-W1300-L1300)</f>
        <v/>
      </c>
      <c r="AA1300" s="13">
        <f>IF(ROWS($AA$2:$AA1300)&lt;=MAX('Per Line'!$AO$2:$AO$4001),MATCH(ROWS($AA$2:$AA1300),'Per Line'!$AO$2:$AO$4001,0),"")</f>
        <v/>
      </c>
      <c r="AB1300" s="14">
        <f>IF($AA1300="","",L1300-K1300*Y1300/100)</f>
        <v/>
      </c>
    </row>
    <row r="1301">
      <c r="A1301" s="12" t="n"/>
      <c r="B1301">
        <f>IF($AA1301="","",INDEX('Per Line'!$E$2:$E$4001,$AA1301)&amp;"")</f>
        <v/>
      </c>
      <c r="C1301">
        <f>IF($AA1301="","",INDEX('Per Line'!$A$2:$A$4001,$AA1301)&amp;"")</f>
        <v/>
      </c>
      <c r="D1301">
        <f>IF($AA1301="","",INDEX('Per Line'!$D$2:$D$4001,$AA1301)&amp;"")</f>
        <v/>
      </c>
      <c r="E1301" s="11">
        <f>IF($AA1301="","",INDEX('Per Line'!$G$2:$G$4001,$AA1301))</f>
        <v/>
      </c>
      <c r="F1301">
        <f>IF($AA1301="","",INDEX('Per Line'!$H$2:$H$4001,$AA1301)&amp;"")</f>
        <v/>
      </c>
      <c r="G1301">
        <f>IF($AA1301="","",INDEX('Per Line'!$I$2:$I$4001,$AA1301)&amp;"")</f>
        <v/>
      </c>
      <c r="H1301">
        <f>IF($AA1301="","",INDEX('Per Line'!$J$2:$J$4001,$AA1301)&amp;"")</f>
        <v/>
      </c>
      <c r="I1301">
        <f>IF($AA1301="","",INDEX('Per Line'!$K$2:$K$4001,$AA1301)&amp;"")</f>
        <v/>
      </c>
      <c r="J1301">
        <f>IF($AA1301="","",INDEX('Per Line'!$L$2:$L$4001,$AA1301)&amp;"")</f>
        <v/>
      </c>
      <c r="K1301">
        <f>IF($AA1301="","",INDEX('Per Line'!$P$2:$P$4001,$AA1301))</f>
        <v/>
      </c>
      <c r="L1301" s="7">
        <f>IF($AA1301="","",IF(AND(ISNUMBER(N1301),N1301&gt;0,Y1301&gt;N1301),K1301*N1301/100+(Y1301-N1301),K1301*Y1301/100))</f>
        <v/>
      </c>
      <c r="M1301">
        <f>IF($AA1301="","",INDEX('Per Line'!$Z$2:$Z$4001,$AA1301)&amp;"")</f>
        <v/>
      </c>
      <c r="N1301">
        <f>IF($AA1301="","",INDEX('Per Line'!$AG$2:$AG$4001,$AA1301))</f>
        <v/>
      </c>
      <c r="O1301">
        <f>IF($AA1301="","",IF(AND(ISNUMBER(N1301),N1301&gt;0),Y1301&gt;N1301,FALSE))</f>
        <v/>
      </c>
      <c r="P1301" s="7">
        <f>IF($AA1301="","",SUMIFS('Per Line'!$Y$2:$Y$4001,'Per Line'!$E$2:$E$4001,$B1301,'Per Line'!$AQ$2:$AQ$4001,1))</f>
        <v/>
      </c>
      <c r="Q1301">
        <f>IF($AA1301="","",Settings!$C$7)</f>
        <v/>
      </c>
      <c r="R1301" s="7">
        <f>IF($AA1301="","",SUMIFS('Per Line'!$Y$2:$Y$4001,'Per Line'!$E$2:$E$4001,$B1301,'Per Line'!$AP$2:$AP$4001,0,'Per Line'!$AQ$2:$AQ$4001,0))</f>
        <v/>
      </c>
      <c r="S1301" s="7">
        <f>IF($AA1301="","",R1301*Q1301)</f>
        <v/>
      </c>
      <c r="T1301">
        <f>IF($AA1301="","",Settings!$C$6)</f>
        <v/>
      </c>
      <c r="U1301" s="7">
        <f>IF($AA1301="","",SUMIFS('Per Line'!$Y$2:$Y$4001,'Per Line'!$E$2:$E$4001,$B1301,'Per Line'!$AP$2:$AP$4001,1,'Per Line'!$AQ$2:$AQ$4001,0))</f>
        <v/>
      </c>
      <c r="V1301" s="7">
        <f>IF($AA1301="","",U1301*T1301)</f>
        <v/>
      </c>
      <c r="W1301" s="7">
        <f>IF($AA1301="","",V1301+S1301)</f>
        <v/>
      </c>
      <c r="X1301" s="7">
        <f>IF($AA1301="","",Y1301-W1301)</f>
        <v/>
      </c>
      <c r="Y1301" s="7">
        <f>IF($AA1301="","",R1301+U1301+P1301)</f>
        <v/>
      </c>
      <c r="Z1301" s="7">
        <f>IF($AA1301="","",Y1301-W1301-L1301)</f>
        <v/>
      </c>
      <c r="AA1301" s="13">
        <f>IF(ROWS($AA$2:$AA1301)&lt;=MAX('Per Line'!$AO$2:$AO$4001),MATCH(ROWS($AA$2:$AA1301),'Per Line'!$AO$2:$AO$4001,0),"")</f>
        <v/>
      </c>
      <c r="AB1301" s="14">
        <f>IF($AA1301="","",L1301-K1301*Y1301/100)</f>
        <v/>
      </c>
    </row>
    <row r="1302">
      <c r="A1302" s="12" t="n"/>
      <c r="B1302">
        <f>IF($AA1302="","",INDEX('Per Line'!$E$2:$E$4001,$AA1302)&amp;"")</f>
        <v/>
      </c>
      <c r="C1302">
        <f>IF($AA1302="","",INDEX('Per Line'!$A$2:$A$4001,$AA1302)&amp;"")</f>
        <v/>
      </c>
      <c r="D1302">
        <f>IF($AA1302="","",INDEX('Per Line'!$D$2:$D$4001,$AA1302)&amp;"")</f>
        <v/>
      </c>
      <c r="E1302" s="11">
        <f>IF($AA1302="","",INDEX('Per Line'!$G$2:$G$4001,$AA1302))</f>
        <v/>
      </c>
      <c r="F1302">
        <f>IF($AA1302="","",INDEX('Per Line'!$H$2:$H$4001,$AA1302)&amp;"")</f>
        <v/>
      </c>
      <c r="G1302">
        <f>IF($AA1302="","",INDEX('Per Line'!$I$2:$I$4001,$AA1302)&amp;"")</f>
        <v/>
      </c>
      <c r="H1302">
        <f>IF($AA1302="","",INDEX('Per Line'!$J$2:$J$4001,$AA1302)&amp;"")</f>
        <v/>
      </c>
      <c r="I1302">
        <f>IF($AA1302="","",INDEX('Per Line'!$K$2:$K$4001,$AA1302)&amp;"")</f>
        <v/>
      </c>
      <c r="J1302">
        <f>IF($AA1302="","",INDEX('Per Line'!$L$2:$L$4001,$AA1302)&amp;"")</f>
        <v/>
      </c>
      <c r="K1302">
        <f>IF($AA1302="","",INDEX('Per Line'!$P$2:$P$4001,$AA1302))</f>
        <v/>
      </c>
      <c r="L1302" s="7">
        <f>IF($AA1302="","",IF(AND(ISNUMBER(N1302),N1302&gt;0,Y1302&gt;N1302),K1302*N1302/100+(Y1302-N1302),K1302*Y1302/100))</f>
        <v/>
      </c>
      <c r="M1302">
        <f>IF($AA1302="","",INDEX('Per Line'!$Z$2:$Z$4001,$AA1302)&amp;"")</f>
        <v/>
      </c>
      <c r="N1302">
        <f>IF($AA1302="","",INDEX('Per Line'!$AG$2:$AG$4001,$AA1302))</f>
        <v/>
      </c>
      <c r="O1302">
        <f>IF($AA1302="","",IF(AND(ISNUMBER(N1302),N1302&gt;0),Y1302&gt;N1302,FALSE))</f>
        <v/>
      </c>
      <c r="P1302" s="7">
        <f>IF($AA1302="","",SUMIFS('Per Line'!$Y$2:$Y$4001,'Per Line'!$E$2:$E$4001,$B1302,'Per Line'!$AQ$2:$AQ$4001,1))</f>
        <v/>
      </c>
      <c r="Q1302">
        <f>IF($AA1302="","",Settings!$C$7)</f>
        <v/>
      </c>
      <c r="R1302" s="7">
        <f>IF($AA1302="","",SUMIFS('Per Line'!$Y$2:$Y$4001,'Per Line'!$E$2:$E$4001,$B1302,'Per Line'!$AP$2:$AP$4001,0,'Per Line'!$AQ$2:$AQ$4001,0))</f>
        <v/>
      </c>
      <c r="S1302" s="7">
        <f>IF($AA1302="","",R1302*Q1302)</f>
        <v/>
      </c>
      <c r="T1302">
        <f>IF($AA1302="","",Settings!$C$6)</f>
        <v/>
      </c>
      <c r="U1302" s="7">
        <f>IF($AA1302="","",SUMIFS('Per Line'!$Y$2:$Y$4001,'Per Line'!$E$2:$E$4001,$B1302,'Per Line'!$AP$2:$AP$4001,1,'Per Line'!$AQ$2:$AQ$4001,0))</f>
        <v/>
      </c>
      <c r="V1302" s="7">
        <f>IF($AA1302="","",U1302*T1302)</f>
        <v/>
      </c>
      <c r="W1302" s="7">
        <f>IF($AA1302="","",V1302+S1302)</f>
        <v/>
      </c>
      <c r="X1302" s="7">
        <f>IF($AA1302="","",Y1302-W1302)</f>
        <v/>
      </c>
      <c r="Y1302" s="7">
        <f>IF($AA1302="","",R1302+U1302+P1302)</f>
        <v/>
      </c>
      <c r="Z1302" s="7">
        <f>IF($AA1302="","",Y1302-W1302-L1302)</f>
        <v/>
      </c>
      <c r="AA1302" s="13">
        <f>IF(ROWS($AA$2:$AA1302)&lt;=MAX('Per Line'!$AO$2:$AO$4001),MATCH(ROWS($AA$2:$AA1302),'Per Line'!$AO$2:$AO$4001,0),"")</f>
        <v/>
      </c>
      <c r="AB1302" s="14">
        <f>IF($AA1302="","",L1302-K1302*Y1302/100)</f>
        <v/>
      </c>
    </row>
    <row r="1303">
      <c r="A1303" s="12" t="n"/>
      <c r="B1303">
        <f>IF($AA1303="","",INDEX('Per Line'!$E$2:$E$4001,$AA1303)&amp;"")</f>
        <v/>
      </c>
      <c r="C1303">
        <f>IF($AA1303="","",INDEX('Per Line'!$A$2:$A$4001,$AA1303)&amp;"")</f>
        <v/>
      </c>
      <c r="D1303">
        <f>IF($AA1303="","",INDEX('Per Line'!$D$2:$D$4001,$AA1303)&amp;"")</f>
        <v/>
      </c>
      <c r="E1303" s="11">
        <f>IF($AA1303="","",INDEX('Per Line'!$G$2:$G$4001,$AA1303))</f>
        <v/>
      </c>
      <c r="F1303">
        <f>IF($AA1303="","",INDEX('Per Line'!$H$2:$H$4001,$AA1303)&amp;"")</f>
        <v/>
      </c>
      <c r="G1303">
        <f>IF($AA1303="","",INDEX('Per Line'!$I$2:$I$4001,$AA1303)&amp;"")</f>
        <v/>
      </c>
      <c r="H1303">
        <f>IF($AA1303="","",INDEX('Per Line'!$J$2:$J$4001,$AA1303)&amp;"")</f>
        <v/>
      </c>
      <c r="I1303">
        <f>IF($AA1303="","",INDEX('Per Line'!$K$2:$K$4001,$AA1303)&amp;"")</f>
        <v/>
      </c>
      <c r="J1303">
        <f>IF($AA1303="","",INDEX('Per Line'!$L$2:$L$4001,$AA1303)&amp;"")</f>
        <v/>
      </c>
      <c r="K1303">
        <f>IF($AA1303="","",INDEX('Per Line'!$P$2:$P$4001,$AA1303))</f>
        <v/>
      </c>
      <c r="L1303" s="7">
        <f>IF($AA1303="","",IF(AND(ISNUMBER(N1303),N1303&gt;0,Y1303&gt;N1303),K1303*N1303/100+(Y1303-N1303),K1303*Y1303/100))</f>
        <v/>
      </c>
      <c r="M1303">
        <f>IF($AA1303="","",INDEX('Per Line'!$Z$2:$Z$4001,$AA1303)&amp;"")</f>
        <v/>
      </c>
      <c r="N1303">
        <f>IF($AA1303="","",INDEX('Per Line'!$AG$2:$AG$4001,$AA1303))</f>
        <v/>
      </c>
      <c r="O1303">
        <f>IF($AA1303="","",IF(AND(ISNUMBER(N1303),N1303&gt;0),Y1303&gt;N1303,FALSE))</f>
        <v/>
      </c>
      <c r="P1303" s="7">
        <f>IF($AA1303="","",SUMIFS('Per Line'!$Y$2:$Y$4001,'Per Line'!$E$2:$E$4001,$B1303,'Per Line'!$AQ$2:$AQ$4001,1))</f>
        <v/>
      </c>
      <c r="Q1303">
        <f>IF($AA1303="","",Settings!$C$7)</f>
        <v/>
      </c>
      <c r="R1303" s="7">
        <f>IF($AA1303="","",SUMIFS('Per Line'!$Y$2:$Y$4001,'Per Line'!$E$2:$E$4001,$B1303,'Per Line'!$AP$2:$AP$4001,0,'Per Line'!$AQ$2:$AQ$4001,0))</f>
        <v/>
      </c>
      <c r="S1303" s="7">
        <f>IF($AA1303="","",R1303*Q1303)</f>
        <v/>
      </c>
      <c r="T1303">
        <f>IF($AA1303="","",Settings!$C$6)</f>
        <v/>
      </c>
      <c r="U1303" s="7">
        <f>IF($AA1303="","",SUMIFS('Per Line'!$Y$2:$Y$4001,'Per Line'!$E$2:$E$4001,$B1303,'Per Line'!$AP$2:$AP$4001,1,'Per Line'!$AQ$2:$AQ$4001,0))</f>
        <v/>
      </c>
      <c r="V1303" s="7">
        <f>IF($AA1303="","",U1303*T1303)</f>
        <v/>
      </c>
      <c r="W1303" s="7">
        <f>IF($AA1303="","",V1303+S1303)</f>
        <v/>
      </c>
      <c r="X1303" s="7">
        <f>IF($AA1303="","",Y1303-W1303)</f>
        <v/>
      </c>
      <c r="Y1303" s="7">
        <f>IF($AA1303="","",R1303+U1303+P1303)</f>
        <v/>
      </c>
      <c r="Z1303" s="7">
        <f>IF($AA1303="","",Y1303-W1303-L1303)</f>
        <v/>
      </c>
      <c r="AA1303" s="13">
        <f>IF(ROWS($AA$2:$AA1303)&lt;=MAX('Per Line'!$AO$2:$AO$4001),MATCH(ROWS($AA$2:$AA1303),'Per Line'!$AO$2:$AO$4001,0),"")</f>
        <v/>
      </c>
      <c r="AB1303" s="14">
        <f>IF($AA1303="","",L1303-K1303*Y1303/100)</f>
        <v/>
      </c>
    </row>
    <row r="1304">
      <c r="A1304" s="12" t="n"/>
      <c r="B1304">
        <f>IF($AA1304="","",INDEX('Per Line'!$E$2:$E$4001,$AA1304)&amp;"")</f>
        <v/>
      </c>
      <c r="C1304">
        <f>IF($AA1304="","",INDEX('Per Line'!$A$2:$A$4001,$AA1304)&amp;"")</f>
        <v/>
      </c>
      <c r="D1304">
        <f>IF($AA1304="","",INDEX('Per Line'!$D$2:$D$4001,$AA1304)&amp;"")</f>
        <v/>
      </c>
      <c r="E1304" s="11">
        <f>IF($AA1304="","",INDEX('Per Line'!$G$2:$G$4001,$AA1304))</f>
        <v/>
      </c>
      <c r="F1304">
        <f>IF($AA1304="","",INDEX('Per Line'!$H$2:$H$4001,$AA1304)&amp;"")</f>
        <v/>
      </c>
      <c r="G1304">
        <f>IF($AA1304="","",INDEX('Per Line'!$I$2:$I$4001,$AA1304)&amp;"")</f>
        <v/>
      </c>
      <c r="H1304">
        <f>IF($AA1304="","",INDEX('Per Line'!$J$2:$J$4001,$AA1304)&amp;"")</f>
        <v/>
      </c>
      <c r="I1304">
        <f>IF($AA1304="","",INDEX('Per Line'!$K$2:$K$4001,$AA1304)&amp;"")</f>
        <v/>
      </c>
      <c r="J1304">
        <f>IF($AA1304="","",INDEX('Per Line'!$L$2:$L$4001,$AA1304)&amp;"")</f>
        <v/>
      </c>
      <c r="K1304">
        <f>IF($AA1304="","",INDEX('Per Line'!$P$2:$P$4001,$AA1304))</f>
        <v/>
      </c>
      <c r="L1304" s="7">
        <f>IF($AA1304="","",IF(AND(ISNUMBER(N1304),N1304&gt;0,Y1304&gt;N1304),K1304*N1304/100+(Y1304-N1304),K1304*Y1304/100))</f>
        <v/>
      </c>
      <c r="M1304">
        <f>IF($AA1304="","",INDEX('Per Line'!$Z$2:$Z$4001,$AA1304)&amp;"")</f>
        <v/>
      </c>
      <c r="N1304">
        <f>IF($AA1304="","",INDEX('Per Line'!$AG$2:$AG$4001,$AA1304))</f>
        <v/>
      </c>
      <c r="O1304">
        <f>IF($AA1304="","",IF(AND(ISNUMBER(N1304),N1304&gt;0),Y1304&gt;N1304,FALSE))</f>
        <v/>
      </c>
      <c r="P1304" s="7">
        <f>IF($AA1304="","",SUMIFS('Per Line'!$Y$2:$Y$4001,'Per Line'!$E$2:$E$4001,$B1304,'Per Line'!$AQ$2:$AQ$4001,1))</f>
        <v/>
      </c>
      <c r="Q1304">
        <f>IF($AA1304="","",Settings!$C$7)</f>
        <v/>
      </c>
      <c r="R1304" s="7">
        <f>IF($AA1304="","",SUMIFS('Per Line'!$Y$2:$Y$4001,'Per Line'!$E$2:$E$4001,$B1304,'Per Line'!$AP$2:$AP$4001,0,'Per Line'!$AQ$2:$AQ$4001,0))</f>
        <v/>
      </c>
      <c r="S1304" s="7">
        <f>IF($AA1304="","",R1304*Q1304)</f>
        <v/>
      </c>
      <c r="T1304">
        <f>IF($AA1304="","",Settings!$C$6)</f>
        <v/>
      </c>
      <c r="U1304" s="7">
        <f>IF($AA1304="","",SUMIFS('Per Line'!$Y$2:$Y$4001,'Per Line'!$E$2:$E$4001,$B1304,'Per Line'!$AP$2:$AP$4001,1,'Per Line'!$AQ$2:$AQ$4001,0))</f>
        <v/>
      </c>
      <c r="V1304" s="7">
        <f>IF($AA1304="","",U1304*T1304)</f>
        <v/>
      </c>
      <c r="W1304" s="7">
        <f>IF($AA1304="","",V1304+S1304)</f>
        <v/>
      </c>
      <c r="X1304" s="7">
        <f>IF($AA1304="","",Y1304-W1304)</f>
        <v/>
      </c>
      <c r="Y1304" s="7">
        <f>IF($AA1304="","",R1304+U1304+P1304)</f>
        <v/>
      </c>
      <c r="Z1304" s="7">
        <f>IF($AA1304="","",Y1304-W1304-L1304)</f>
        <v/>
      </c>
      <c r="AA1304" s="13">
        <f>IF(ROWS($AA$2:$AA1304)&lt;=MAX('Per Line'!$AO$2:$AO$4001),MATCH(ROWS($AA$2:$AA1304),'Per Line'!$AO$2:$AO$4001,0),"")</f>
        <v/>
      </c>
      <c r="AB1304" s="14">
        <f>IF($AA1304="","",L1304-K1304*Y1304/100)</f>
        <v/>
      </c>
    </row>
    <row r="1305">
      <c r="A1305" s="12" t="n"/>
      <c r="B1305">
        <f>IF($AA1305="","",INDEX('Per Line'!$E$2:$E$4001,$AA1305)&amp;"")</f>
        <v/>
      </c>
      <c r="C1305">
        <f>IF($AA1305="","",INDEX('Per Line'!$A$2:$A$4001,$AA1305)&amp;"")</f>
        <v/>
      </c>
      <c r="D1305">
        <f>IF($AA1305="","",INDEX('Per Line'!$D$2:$D$4001,$AA1305)&amp;"")</f>
        <v/>
      </c>
      <c r="E1305" s="11">
        <f>IF($AA1305="","",INDEX('Per Line'!$G$2:$G$4001,$AA1305))</f>
        <v/>
      </c>
      <c r="F1305">
        <f>IF($AA1305="","",INDEX('Per Line'!$H$2:$H$4001,$AA1305)&amp;"")</f>
        <v/>
      </c>
      <c r="G1305">
        <f>IF($AA1305="","",INDEX('Per Line'!$I$2:$I$4001,$AA1305)&amp;"")</f>
        <v/>
      </c>
      <c r="H1305">
        <f>IF($AA1305="","",INDEX('Per Line'!$J$2:$J$4001,$AA1305)&amp;"")</f>
        <v/>
      </c>
      <c r="I1305">
        <f>IF($AA1305="","",INDEX('Per Line'!$K$2:$K$4001,$AA1305)&amp;"")</f>
        <v/>
      </c>
      <c r="J1305">
        <f>IF($AA1305="","",INDEX('Per Line'!$L$2:$L$4001,$AA1305)&amp;"")</f>
        <v/>
      </c>
      <c r="K1305">
        <f>IF($AA1305="","",INDEX('Per Line'!$P$2:$P$4001,$AA1305))</f>
        <v/>
      </c>
      <c r="L1305" s="7">
        <f>IF($AA1305="","",IF(AND(ISNUMBER(N1305),N1305&gt;0,Y1305&gt;N1305),K1305*N1305/100+(Y1305-N1305),K1305*Y1305/100))</f>
        <v/>
      </c>
      <c r="M1305">
        <f>IF($AA1305="","",INDEX('Per Line'!$Z$2:$Z$4001,$AA1305)&amp;"")</f>
        <v/>
      </c>
      <c r="N1305">
        <f>IF($AA1305="","",INDEX('Per Line'!$AG$2:$AG$4001,$AA1305))</f>
        <v/>
      </c>
      <c r="O1305">
        <f>IF($AA1305="","",IF(AND(ISNUMBER(N1305),N1305&gt;0),Y1305&gt;N1305,FALSE))</f>
        <v/>
      </c>
      <c r="P1305" s="7">
        <f>IF($AA1305="","",SUMIFS('Per Line'!$Y$2:$Y$4001,'Per Line'!$E$2:$E$4001,$B1305,'Per Line'!$AQ$2:$AQ$4001,1))</f>
        <v/>
      </c>
      <c r="Q1305">
        <f>IF($AA1305="","",Settings!$C$7)</f>
        <v/>
      </c>
      <c r="R1305" s="7">
        <f>IF($AA1305="","",SUMIFS('Per Line'!$Y$2:$Y$4001,'Per Line'!$E$2:$E$4001,$B1305,'Per Line'!$AP$2:$AP$4001,0,'Per Line'!$AQ$2:$AQ$4001,0))</f>
        <v/>
      </c>
      <c r="S1305" s="7">
        <f>IF($AA1305="","",R1305*Q1305)</f>
        <v/>
      </c>
      <c r="T1305">
        <f>IF($AA1305="","",Settings!$C$6)</f>
        <v/>
      </c>
      <c r="U1305" s="7">
        <f>IF($AA1305="","",SUMIFS('Per Line'!$Y$2:$Y$4001,'Per Line'!$E$2:$E$4001,$B1305,'Per Line'!$AP$2:$AP$4001,1,'Per Line'!$AQ$2:$AQ$4001,0))</f>
        <v/>
      </c>
      <c r="V1305" s="7">
        <f>IF($AA1305="","",U1305*T1305)</f>
        <v/>
      </c>
      <c r="W1305" s="7">
        <f>IF($AA1305="","",V1305+S1305)</f>
        <v/>
      </c>
      <c r="X1305" s="7">
        <f>IF($AA1305="","",Y1305-W1305)</f>
        <v/>
      </c>
      <c r="Y1305" s="7">
        <f>IF($AA1305="","",R1305+U1305+P1305)</f>
        <v/>
      </c>
      <c r="Z1305" s="7">
        <f>IF($AA1305="","",Y1305-W1305-L1305)</f>
        <v/>
      </c>
      <c r="AA1305" s="13">
        <f>IF(ROWS($AA$2:$AA1305)&lt;=MAX('Per Line'!$AO$2:$AO$4001),MATCH(ROWS($AA$2:$AA1305),'Per Line'!$AO$2:$AO$4001,0),"")</f>
        <v/>
      </c>
      <c r="AB1305" s="14">
        <f>IF($AA1305="","",L1305-K1305*Y1305/100)</f>
        <v/>
      </c>
    </row>
    <row r="1306">
      <c r="A1306" s="12" t="n"/>
      <c r="B1306">
        <f>IF($AA1306="","",INDEX('Per Line'!$E$2:$E$4001,$AA1306)&amp;"")</f>
        <v/>
      </c>
      <c r="C1306">
        <f>IF($AA1306="","",INDEX('Per Line'!$A$2:$A$4001,$AA1306)&amp;"")</f>
        <v/>
      </c>
      <c r="D1306">
        <f>IF($AA1306="","",INDEX('Per Line'!$D$2:$D$4001,$AA1306)&amp;"")</f>
        <v/>
      </c>
      <c r="E1306" s="11">
        <f>IF($AA1306="","",INDEX('Per Line'!$G$2:$G$4001,$AA1306))</f>
        <v/>
      </c>
      <c r="F1306">
        <f>IF($AA1306="","",INDEX('Per Line'!$H$2:$H$4001,$AA1306)&amp;"")</f>
        <v/>
      </c>
      <c r="G1306">
        <f>IF($AA1306="","",INDEX('Per Line'!$I$2:$I$4001,$AA1306)&amp;"")</f>
        <v/>
      </c>
      <c r="H1306">
        <f>IF($AA1306="","",INDEX('Per Line'!$J$2:$J$4001,$AA1306)&amp;"")</f>
        <v/>
      </c>
      <c r="I1306">
        <f>IF($AA1306="","",INDEX('Per Line'!$K$2:$K$4001,$AA1306)&amp;"")</f>
        <v/>
      </c>
      <c r="J1306">
        <f>IF($AA1306="","",INDEX('Per Line'!$L$2:$L$4001,$AA1306)&amp;"")</f>
        <v/>
      </c>
      <c r="K1306">
        <f>IF($AA1306="","",INDEX('Per Line'!$P$2:$P$4001,$AA1306))</f>
        <v/>
      </c>
      <c r="L1306" s="7">
        <f>IF($AA1306="","",IF(AND(ISNUMBER(N1306),N1306&gt;0,Y1306&gt;N1306),K1306*N1306/100+(Y1306-N1306),K1306*Y1306/100))</f>
        <v/>
      </c>
      <c r="M1306">
        <f>IF($AA1306="","",INDEX('Per Line'!$Z$2:$Z$4001,$AA1306)&amp;"")</f>
        <v/>
      </c>
      <c r="N1306">
        <f>IF($AA1306="","",INDEX('Per Line'!$AG$2:$AG$4001,$AA1306))</f>
        <v/>
      </c>
      <c r="O1306">
        <f>IF($AA1306="","",IF(AND(ISNUMBER(N1306),N1306&gt;0),Y1306&gt;N1306,FALSE))</f>
        <v/>
      </c>
      <c r="P1306" s="7">
        <f>IF($AA1306="","",SUMIFS('Per Line'!$Y$2:$Y$4001,'Per Line'!$E$2:$E$4001,$B1306,'Per Line'!$AQ$2:$AQ$4001,1))</f>
        <v/>
      </c>
      <c r="Q1306">
        <f>IF($AA1306="","",Settings!$C$7)</f>
        <v/>
      </c>
      <c r="R1306" s="7">
        <f>IF($AA1306="","",SUMIFS('Per Line'!$Y$2:$Y$4001,'Per Line'!$E$2:$E$4001,$B1306,'Per Line'!$AP$2:$AP$4001,0,'Per Line'!$AQ$2:$AQ$4001,0))</f>
        <v/>
      </c>
      <c r="S1306" s="7">
        <f>IF($AA1306="","",R1306*Q1306)</f>
        <v/>
      </c>
      <c r="T1306">
        <f>IF($AA1306="","",Settings!$C$6)</f>
        <v/>
      </c>
      <c r="U1306" s="7">
        <f>IF($AA1306="","",SUMIFS('Per Line'!$Y$2:$Y$4001,'Per Line'!$E$2:$E$4001,$B1306,'Per Line'!$AP$2:$AP$4001,1,'Per Line'!$AQ$2:$AQ$4001,0))</f>
        <v/>
      </c>
      <c r="V1306" s="7">
        <f>IF($AA1306="","",U1306*T1306)</f>
        <v/>
      </c>
      <c r="W1306" s="7">
        <f>IF($AA1306="","",V1306+S1306)</f>
        <v/>
      </c>
      <c r="X1306" s="7">
        <f>IF($AA1306="","",Y1306-W1306)</f>
        <v/>
      </c>
      <c r="Y1306" s="7">
        <f>IF($AA1306="","",R1306+U1306+P1306)</f>
        <v/>
      </c>
      <c r="Z1306" s="7">
        <f>IF($AA1306="","",Y1306-W1306-L1306)</f>
        <v/>
      </c>
      <c r="AA1306" s="13">
        <f>IF(ROWS($AA$2:$AA1306)&lt;=MAX('Per Line'!$AO$2:$AO$4001),MATCH(ROWS($AA$2:$AA1306),'Per Line'!$AO$2:$AO$4001,0),"")</f>
        <v/>
      </c>
      <c r="AB1306" s="14">
        <f>IF($AA1306="","",L1306-K1306*Y1306/100)</f>
        <v/>
      </c>
    </row>
    <row r="1307">
      <c r="A1307" s="12" t="n"/>
      <c r="B1307">
        <f>IF($AA1307="","",INDEX('Per Line'!$E$2:$E$4001,$AA1307)&amp;"")</f>
        <v/>
      </c>
      <c r="C1307">
        <f>IF($AA1307="","",INDEX('Per Line'!$A$2:$A$4001,$AA1307)&amp;"")</f>
        <v/>
      </c>
      <c r="D1307">
        <f>IF($AA1307="","",INDEX('Per Line'!$D$2:$D$4001,$AA1307)&amp;"")</f>
        <v/>
      </c>
      <c r="E1307" s="11">
        <f>IF($AA1307="","",INDEX('Per Line'!$G$2:$G$4001,$AA1307))</f>
        <v/>
      </c>
      <c r="F1307">
        <f>IF($AA1307="","",INDEX('Per Line'!$H$2:$H$4001,$AA1307)&amp;"")</f>
        <v/>
      </c>
      <c r="G1307">
        <f>IF($AA1307="","",INDEX('Per Line'!$I$2:$I$4001,$AA1307)&amp;"")</f>
        <v/>
      </c>
      <c r="H1307">
        <f>IF($AA1307="","",INDEX('Per Line'!$J$2:$J$4001,$AA1307)&amp;"")</f>
        <v/>
      </c>
      <c r="I1307">
        <f>IF($AA1307="","",INDEX('Per Line'!$K$2:$K$4001,$AA1307)&amp;"")</f>
        <v/>
      </c>
      <c r="J1307">
        <f>IF($AA1307="","",INDEX('Per Line'!$L$2:$L$4001,$AA1307)&amp;"")</f>
        <v/>
      </c>
      <c r="K1307">
        <f>IF($AA1307="","",INDEX('Per Line'!$P$2:$P$4001,$AA1307))</f>
        <v/>
      </c>
      <c r="L1307" s="7">
        <f>IF($AA1307="","",IF(AND(ISNUMBER(N1307),N1307&gt;0,Y1307&gt;N1307),K1307*N1307/100+(Y1307-N1307),K1307*Y1307/100))</f>
        <v/>
      </c>
      <c r="M1307">
        <f>IF($AA1307="","",INDEX('Per Line'!$Z$2:$Z$4001,$AA1307)&amp;"")</f>
        <v/>
      </c>
      <c r="N1307">
        <f>IF($AA1307="","",INDEX('Per Line'!$AG$2:$AG$4001,$AA1307))</f>
        <v/>
      </c>
      <c r="O1307">
        <f>IF($AA1307="","",IF(AND(ISNUMBER(N1307),N1307&gt;0),Y1307&gt;N1307,FALSE))</f>
        <v/>
      </c>
      <c r="P1307" s="7">
        <f>IF($AA1307="","",SUMIFS('Per Line'!$Y$2:$Y$4001,'Per Line'!$E$2:$E$4001,$B1307,'Per Line'!$AQ$2:$AQ$4001,1))</f>
        <v/>
      </c>
      <c r="Q1307">
        <f>IF($AA1307="","",Settings!$C$7)</f>
        <v/>
      </c>
      <c r="R1307" s="7">
        <f>IF($AA1307="","",SUMIFS('Per Line'!$Y$2:$Y$4001,'Per Line'!$E$2:$E$4001,$B1307,'Per Line'!$AP$2:$AP$4001,0,'Per Line'!$AQ$2:$AQ$4001,0))</f>
        <v/>
      </c>
      <c r="S1307" s="7">
        <f>IF($AA1307="","",R1307*Q1307)</f>
        <v/>
      </c>
      <c r="T1307">
        <f>IF($AA1307="","",Settings!$C$6)</f>
        <v/>
      </c>
      <c r="U1307" s="7">
        <f>IF($AA1307="","",SUMIFS('Per Line'!$Y$2:$Y$4001,'Per Line'!$E$2:$E$4001,$B1307,'Per Line'!$AP$2:$AP$4001,1,'Per Line'!$AQ$2:$AQ$4001,0))</f>
        <v/>
      </c>
      <c r="V1307" s="7">
        <f>IF($AA1307="","",U1307*T1307)</f>
        <v/>
      </c>
      <c r="W1307" s="7">
        <f>IF($AA1307="","",V1307+S1307)</f>
        <v/>
      </c>
      <c r="X1307" s="7">
        <f>IF($AA1307="","",Y1307-W1307)</f>
        <v/>
      </c>
      <c r="Y1307" s="7">
        <f>IF($AA1307="","",R1307+U1307+P1307)</f>
        <v/>
      </c>
      <c r="Z1307" s="7">
        <f>IF($AA1307="","",Y1307-W1307-L1307)</f>
        <v/>
      </c>
      <c r="AA1307" s="13">
        <f>IF(ROWS($AA$2:$AA1307)&lt;=MAX('Per Line'!$AO$2:$AO$4001),MATCH(ROWS($AA$2:$AA1307),'Per Line'!$AO$2:$AO$4001,0),"")</f>
        <v/>
      </c>
      <c r="AB1307" s="14">
        <f>IF($AA1307="","",L1307-K1307*Y1307/100)</f>
        <v/>
      </c>
    </row>
    <row r="1308">
      <c r="A1308" s="12" t="n"/>
      <c r="B1308">
        <f>IF($AA1308="","",INDEX('Per Line'!$E$2:$E$4001,$AA1308)&amp;"")</f>
        <v/>
      </c>
      <c r="C1308">
        <f>IF($AA1308="","",INDEX('Per Line'!$A$2:$A$4001,$AA1308)&amp;"")</f>
        <v/>
      </c>
      <c r="D1308">
        <f>IF($AA1308="","",INDEX('Per Line'!$D$2:$D$4001,$AA1308)&amp;"")</f>
        <v/>
      </c>
      <c r="E1308" s="11">
        <f>IF($AA1308="","",INDEX('Per Line'!$G$2:$G$4001,$AA1308))</f>
        <v/>
      </c>
      <c r="F1308">
        <f>IF($AA1308="","",INDEX('Per Line'!$H$2:$H$4001,$AA1308)&amp;"")</f>
        <v/>
      </c>
      <c r="G1308">
        <f>IF($AA1308="","",INDEX('Per Line'!$I$2:$I$4001,$AA1308)&amp;"")</f>
        <v/>
      </c>
      <c r="H1308">
        <f>IF($AA1308="","",INDEX('Per Line'!$J$2:$J$4001,$AA1308)&amp;"")</f>
        <v/>
      </c>
      <c r="I1308">
        <f>IF($AA1308="","",INDEX('Per Line'!$K$2:$K$4001,$AA1308)&amp;"")</f>
        <v/>
      </c>
      <c r="J1308">
        <f>IF($AA1308="","",INDEX('Per Line'!$L$2:$L$4001,$AA1308)&amp;"")</f>
        <v/>
      </c>
      <c r="K1308">
        <f>IF($AA1308="","",INDEX('Per Line'!$P$2:$P$4001,$AA1308))</f>
        <v/>
      </c>
      <c r="L1308" s="7">
        <f>IF($AA1308="","",IF(AND(ISNUMBER(N1308),N1308&gt;0,Y1308&gt;N1308),K1308*N1308/100+(Y1308-N1308),K1308*Y1308/100))</f>
        <v/>
      </c>
      <c r="M1308">
        <f>IF($AA1308="","",INDEX('Per Line'!$Z$2:$Z$4001,$AA1308)&amp;"")</f>
        <v/>
      </c>
      <c r="N1308">
        <f>IF($AA1308="","",INDEX('Per Line'!$AG$2:$AG$4001,$AA1308))</f>
        <v/>
      </c>
      <c r="O1308">
        <f>IF($AA1308="","",IF(AND(ISNUMBER(N1308),N1308&gt;0),Y1308&gt;N1308,FALSE))</f>
        <v/>
      </c>
      <c r="P1308" s="7">
        <f>IF($AA1308="","",SUMIFS('Per Line'!$Y$2:$Y$4001,'Per Line'!$E$2:$E$4001,$B1308,'Per Line'!$AQ$2:$AQ$4001,1))</f>
        <v/>
      </c>
      <c r="Q1308">
        <f>IF($AA1308="","",Settings!$C$7)</f>
        <v/>
      </c>
      <c r="R1308" s="7">
        <f>IF($AA1308="","",SUMIFS('Per Line'!$Y$2:$Y$4001,'Per Line'!$E$2:$E$4001,$B1308,'Per Line'!$AP$2:$AP$4001,0,'Per Line'!$AQ$2:$AQ$4001,0))</f>
        <v/>
      </c>
      <c r="S1308" s="7">
        <f>IF($AA1308="","",R1308*Q1308)</f>
        <v/>
      </c>
      <c r="T1308">
        <f>IF($AA1308="","",Settings!$C$6)</f>
        <v/>
      </c>
      <c r="U1308" s="7">
        <f>IF($AA1308="","",SUMIFS('Per Line'!$Y$2:$Y$4001,'Per Line'!$E$2:$E$4001,$B1308,'Per Line'!$AP$2:$AP$4001,1,'Per Line'!$AQ$2:$AQ$4001,0))</f>
        <v/>
      </c>
      <c r="V1308" s="7">
        <f>IF($AA1308="","",U1308*T1308)</f>
        <v/>
      </c>
      <c r="W1308" s="7">
        <f>IF($AA1308="","",V1308+S1308)</f>
        <v/>
      </c>
      <c r="X1308" s="7">
        <f>IF($AA1308="","",Y1308-W1308)</f>
        <v/>
      </c>
      <c r="Y1308" s="7">
        <f>IF($AA1308="","",R1308+U1308+P1308)</f>
        <v/>
      </c>
      <c r="Z1308" s="7">
        <f>IF($AA1308="","",Y1308-W1308-L1308)</f>
        <v/>
      </c>
      <c r="AA1308" s="13">
        <f>IF(ROWS($AA$2:$AA1308)&lt;=MAX('Per Line'!$AO$2:$AO$4001),MATCH(ROWS($AA$2:$AA1308),'Per Line'!$AO$2:$AO$4001,0),"")</f>
        <v/>
      </c>
      <c r="AB1308" s="14">
        <f>IF($AA1308="","",L1308-K1308*Y1308/100)</f>
        <v/>
      </c>
    </row>
    <row r="1309">
      <c r="A1309" s="12" t="n"/>
      <c r="B1309">
        <f>IF($AA1309="","",INDEX('Per Line'!$E$2:$E$4001,$AA1309)&amp;"")</f>
        <v/>
      </c>
      <c r="C1309">
        <f>IF($AA1309="","",INDEX('Per Line'!$A$2:$A$4001,$AA1309)&amp;"")</f>
        <v/>
      </c>
      <c r="D1309">
        <f>IF($AA1309="","",INDEX('Per Line'!$D$2:$D$4001,$AA1309)&amp;"")</f>
        <v/>
      </c>
      <c r="E1309" s="11">
        <f>IF($AA1309="","",INDEX('Per Line'!$G$2:$G$4001,$AA1309))</f>
        <v/>
      </c>
      <c r="F1309">
        <f>IF($AA1309="","",INDEX('Per Line'!$H$2:$H$4001,$AA1309)&amp;"")</f>
        <v/>
      </c>
      <c r="G1309">
        <f>IF($AA1309="","",INDEX('Per Line'!$I$2:$I$4001,$AA1309)&amp;"")</f>
        <v/>
      </c>
      <c r="H1309">
        <f>IF($AA1309="","",INDEX('Per Line'!$J$2:$J$4001,$AA1309)&amp;"")</f>
        <v/>
      </c>
      <c r="I1309">
        <f>IF($AA1309="","",INDEX('Per Line'!$K$2:$K$4001,$AA1309)&amp;"")</f>
        <v/>
      </c>
      <c r="J1309">
        <f>IF($AA1309="","",INDEX('Per Line'!$L$2:$L$4001,$AA1309)&amp;"")</f>
        <v/>
      </c>
      <c r="K1309">
        <f>IF($AA1309="","",INDEX('Per Line'!$P$2:$P$4001,$AA1309))</f>
        <v/>
      </c>
      <c r="L1309" s="7">
        <f>IF($AA1309="","",IF(AND(ISNUMBER(N1309),N1309&gt;0,Y1309&gt;N1309),K1309*N1309/100+(Y1309-N1309),K1309*Y1309/100))</f>
        <v/>
      </c>
      <c r="M1309">
        <f>IF($AA1309="","",INDEX('Per Line'!$Z$2:$Z$4001,$AA1309)&amp;"")</f>
        <v/>
      </c>
      <c r="N1309">
        <f>IF($AA1309="","",INDEX('Per Line'!$AG$2:$AG$4001,$AA1309))</f>
        <v/>
      </c>
      <c r="O1309">
        <f>IF($AA1309="","",IF(AND(ISNUMBER(N1309),N1309&gt;0),Y1309&gt;N1309,FALSE))</f>
        <v/>
      </c>
      <c r="P1309" s="7">
        <f>IF($AA1309="","",SUMIFS('Per Line'!$Y$2:$Y$4001,'Per Line'!$E$2:$E$4001,$B1309,'Per Line'!$AQ$2:$AQ$4001,1))</f>
        <v/>
      </c>
      <c r="Q1309">
        <f>IF($AA1309="","",Settings!$C$7)</f>
        <v/>
      </c>
      <c r="R1309" s="7">
        <f>IF($AA1309="","",SUMIFS('Per Line'!$Y$2:$Y$4001,'Per Line'!$E$2:$E$4001,$B1309,'Per Line'!$AP$2:$AP$4001,0,'Per Line'!$AQ$2:$AQ$4001,0))</f>
        <v/>
      </c>
      <c r="S1309" s="7">
        <f>IF($AA1309="","",R1309*Q1309)</f>
        <v/>
      </c>
      <c r="T1309">
        <f>IF($AA1309="","",Settings!$C$6)</f>
        <v/>
      </c>
      <c r="U1309" s="7">
        <f>IF($AA1309="","",SUMIFS('Per Line'!$Y$2:$Y$4001,'Per Line'!$E$2:$E$4001,$B1309,'Per Line'!$AP$2:$AP$4001,1,'Per Line'!$AQ$2:$AQ$4001,0))</f>
        <v/>
      </c>
      <c r="V1309" s="7">
        <f>IF($AA1309="","",U1309*T1309)</f>
        <v/>
      </c>
      <c r="W1309" s="7">
        <f>IF($AA1309="","",V1309+S1309)</f>
        <v/>
      </c>
      <c r="X1309" s="7">
        <f>IF($AA1309="","",Y1309-W1309)</f>
        <v/>
      </c>
      <c r="Y1309" s="7">
        <f>IF($AA1309="","",R1309+U1309+P1309)</f>
        <v/>
      </c>
      <c r="Z1309" s="7">
        <f>IF($AA1309="","",Y1309-W1309-L1309)</f>
        <v/>
      </c>
      <c r="AA1309" s="13">
        <f>IF(ROWS($AA$2:$AA1309)&lt;=MAX('Per Line'!$AO$2:$AO$4001),MATCH(ROWS($AA$2:$AA1309),'Per Line'!$AO$2:$AO$4001,0),"")</f>
        <v/>
      </c>
      <c r="AB1309" s="14">
        <f>IF($AA1309="","",L1309-K1309*Y1309/100)</f>
        <v/>
      </c>
    </row>
    <row r="1310">
      <c r="A1310" s="12" t="n"/>
      <c r="B1310">
        <f>IF($AA1310="","",INDEX('Per Line'!$E$2:$E$4001,$AA1310)&amp;"")</f>
        <v/>
      </c>
      <c r="C1310">
        <f>IF($AA1310="","",INDEX('Per Line'!$A$2:$A$4001,$AA1310)&amp;"")</f>
        <v/>
      </c>
      <c r="D1310">
        <f>IF($AA1310="","",INDEX('Per Line'!$D$2:$D$4001,$AA1310)&amp;"")</f>
        <v/>
      </c>
      <c r="E1310" s="11">
        <f>IF($AA1310="","",INDEX('Per Line'!$G$2:$G$4001,$AA1310))</f>
        <v/>
      </c>
      <c r="F1310">
        <f>IF($AA1310="","",INDEX('Per Line'!$H$2:$H$4001,$AA1310)&amp;"")</f>
        <v/>
      </c>
      <c r="G1310">
        <f>IF($AA1310="","",INDEX('Per Line'!$I$2:$I$4001,$AA1310)&amp;"")</f>
        <v/>
      </c>
      <c r="H1310">
        <f>IF($AA1310="","",INDEX('Per Line'!$J$2:$J$4001,$AA1310)&amp;"")</f>
        <v/>
      </c>
      <c r="I1310">
        <f>IF($AA1310="","",INDEX('Per Line'!$K$2:$K$4001,$AA1310)&amp;"")</f>
        <v/>
      </c>
      <c r="J1310">
        <f>IF($AA1310="","",INDEX('Per Line'!$L$2:$L$4001,$AA1310)&amp;"")</f>
        <v/>
      </c>
      <c r="K1310">
        <f>IF($AA1310="","",INDEX('Per Line'!$P$2:$P$4001,$AA1310))</f>
        <v/>
      </c>
      <c r="L1310" s="7">
        <f>IF($AA1310="","",IF(AND(ISNUMBER(N1310),N1310&gt;0,Y1310&gt;N1310),K1310*N1310/100+(Y1310-N1310),K1310*Y1310/100))</f>
        <v/>
      </c>
      <c r="M1310">
        <f>IF($AA1310="","",INDEX('Per Line'!$Z$2:$Z$4001,$AA1310)&amp;"")</f>
        <v/>
      </c>
      <c r="N1310">
        <f>IF($AA1310="","",INDEX('Per Line'!$AG$2:$AG$4001,$AA1310))</f>
        <v/>
      </c>
      <c r="O1310">
        <f>IF($AA1310="","",IF(AND(ISNUMBER(N1310),N1310&gt;0),Y1310&gt;N1310,FALSE))</f>
        <v/>
      </c>
      <c r="P1310" s="7">
        <f>IF($AA1310="","",SUMIFS('Per Line'!$Y$2:$Y$4001,'Per Line'!$E$2:$E$4001,$B1310,'Per Line'!$AQ$2:$AQ$4001,1))</f>
        <v/>
      </c>
      <c r="Q1310">
        <f>IF($AA1310="","",Settings!$C$7)</f>
        <v/>
      </c>
      <c r="R1310" s="7">
        <f>IF($AA1310="","",SUMIFS('Per Line'!$Y$2:$Y$4001,'Per Line'!$E$2:$E$4001,$B1310,'Per Line'!$AP$2:$AP$4001,0,'Per Line'!$AQ$2:$AQ$4001,0))</f>
        <v/>
      </c>
      <c r="S1310" s="7">
        <f>IF($AA1310="","",R1310*Q1310)</f>
        <v/>
      </c>
      <c r="T1310">
        <f>IF($AA1310="","",Settings!$C$6)</f>
        <v/>
      </c>
      <c r="U1310" s="7">
        <f>IF($AA1310="","",SUMIFS('Per Line'!$Y$2:$Y$4001,'Per Line'!$E$2:$E$4001,$B1310,'Per Line'!$AP$2:$AP$4001,1,'Per Line'!$AQ$2:$AQ$4001,0))</f>
        <v/>
      </c>
      <c r="V1310" s="7">
        <f>IF($AA1310="","",U1310*T1310)</f>
        <v/>
      </c>
      <c r="W1310" s="7">
        <f>IF($AA1310="","",V1310+S1310)</f>
        <v/>
      </c>
      <c r="X1310" s="7">
        <f>IF($AA1310="","",Y1310-W1310)</f>
        <v/>
      </c>
      <c r="Y1310" s="7">
        <f>IF($AA1310="","",R1310+U1310+P1310)</f>
        <v/>
      </c>
      <c r="Z1310" s="7">
        <f>IF($AA1310="","",Y1310-W1310-L1310)</f>
        <v/>
      </c>
      <c r="AA1310" s="13">
        <f>IF(ROWS($AA$2:$AA1310)&lt;=MAX('Per Line'!$AO$2:$AO$4001),MATCH(ROWS($AA$2:$AA1310),'Per Line'!$AO$2:$AO$4001,0),"")</f>
        <v/>
      </c>
      <c r="AB1310" s="14">
        <f>IF($AA1310="","",L1310-K1310*Y1310/100)</f>
        <v/>
      </c>
    </row>
    <row r="1311">
      <c r="A1311" s="12" t="n"/>
      <c r="B1311">
        <f>IF($AA1311="","",INDEX('Per Line'!$E$2:$E$4001,$AA1311)&amp;"")</f>
        <v/>
      </c>
      <c r="C1311">
        <f>IF($AA1311="","",INDEX('Per Line'!$A$2:$A$4001,$AA1311)&amp;"")</f>
        <v/>
      </c>
      <c r="D1311">
        <f>IF($AA1311="","",INDEX('Per Line'!$D$2:$D$4001,$AA1311)&amp;"")</f>
        <v/>
      </c>
      <c r="E1311" s="11">
        <f>IF($AA1311="","",INDEX('Per Line'!$G$2:$G$4001,$AA1311))</f>
        <v/>
      </c>
      <c r="F1311">
        <f>IF($AA1311="","",INDEX('Per Line'!$H$2:$H$4001,$AA1311)&amp;"")</f>
        <v/>
      </c>
      <c r="G1311">
        <f>IF($AA1311="","",INDEX('Per Line'!$I$2:$I$4001,$AA1311)&amp;"")</f>
        <v/>
      </c>
      <c r="H1311">
        <f>IF($AA1311="","",INDEX('Per Line'!$J$2:$J$4001,$AA1311)&amp;"")</f>
        <v/>
      </c>
      <c r="I1311">
        <f>IF($AA1311="","",INDEX('Per Line'!$K$2:$K$4001,$AA1311)&amp;"")</f>
        <v/>
      </c>
      <c r="J1311">
        <f>IF($AA1311="","",INDEX('Per Line'!$L$2:$L$4001,$AA1311)&amp;"")</f>
        <v/>
      </c>
      <c r="K1311">
        <f>IF($AA1311="","",INDEX('Per Line'!$P$2:$P$4001,$AA1311))</f>
        <v/>
      </c>
      <c r="L1311" s="7">
        <f>IF($AA1311="","",IF(AND(ISNUMBER(N1311),N1311&gt;0,Y1311&gt;N1311),K1311*N1311/100+(Y1311-N1311),K1311*Y1311/100))</f>
        <v/>
      </c>
      <c r="M1311">
        <f>IF($AA1311="","",INDEX('Per Line'!$Z$2:$Z$4001,$AA1311)&amp;"")</f>
        <v/>
      </c>
      <c r="N1311">
        <f>IF($AA1311="","",INDEX('Per Line'!$AG$2:$AG$4001,$AA1311))</f>
        <v/>
      </c>
      <c r="O1311">
        <f>IF($AA1311="","",IF(AND(ISNUMBER(N1311),N1311&gt;0),Y1311&gt;N1311,FALSE))</f>
        <v/>
      </c>
      <c r="P1311" s="7">
        <f>IF($AA1311="","",SUMIFS('Per Line'!$Y$2:$Y$4001,'Per Line'!$E$2:$E$4001,$B1311,'Per Line'!$AQ$2:$AQ$4001,1))</f>
        <v/>
      </c>
      <c r="Q1311">
        <f>IF($AA1311="","",Settings!$C$7)</f>
        <v/>
      </c>
      <c r="R1311" s="7">
        <f>IF($AA1311="","",SUMIFS('Per Line'!$Y$2:$Y$4001,'Per Line'!$E$2:$E$4001,$B1311,'Per Line'!$AP$2:$AP$4001,0,'Per Line'!$AQ$2:$AQ$4001,0))</f>
        <v/>
      </c>
      <c r="S1311" s="7">
        <f>IF($AA1311="","",R1311*Q1311)</f>
        <v/>
      </c>
      <c r="T1311">
        <f>IF($AA1311="","",Settings!$C$6)</f>
        <v/>
      </c>
      <c r="U1311" s="7">
        <f>IF($AA1311="","",SUMIFS('Per Line'!$Y$2:$Y$4001,'Per Line'!$E$2:$E$4001,$B1311,'Per Line'!$AP$2:$AP$4001,1,'Per Line'!$AQ$2:$AQ$4001,0))</f>
        <v/>
      </c>
      <c r="V1311" s="7">
        <f>IF($AA1311="","",U1311*T1311)</f>
        <v/>
      </c>
      <c r="W1311" s="7">
        <f>IF($AA1311="","",V1311+S1311)</f>
        <v/>
      </c>
      <c r="X1311" s="7">
        <f>IF($AA1311="","",Y1311-W1311)</f>
        <v/>
      </c>
      <c r="Y1311" s="7">
        <f>IF($AA1311="","",R1311+U1311+P1311)</f>
        <v/>
      </c>
      <c r="Z1311" s="7">
        <f>IF($AA1311="","",Y1311-W1311-L1311)</f>
        <v/>
      </c>
      <c r="AA1311" s="13">
        <f>IF(ROWS($AA$2:$AA1311)&lt;=MAX('Per Line'!$AO$2:$AO$4001),MATCH(ROWS($AA$2:$AA1311),'Per Line'!$AO$2:$AO$4001,0),"")</f>
        <v/>
      </c>
      <c r="AB1311" s="14">
        <f>IF($AA1311="","",L1311-K1311*Y1311/100)</f>
        <v/>
      </c>
    </row>
    <row r="1312">
      <c r="A1312" s="12" t="n"/>
      <c r="B1312">
        <f>IF($AA1312="","",INDEX('Per Line'!$E$2:$E$4001,$AA1312)&amp;"")</f>
        <v/>
      </c>
      <c r="C1312">
        <f>IF($AA1312="","",INDEX('Per Line'!$A$2:$A$4001,$AA1312)&amp;"")</f>
        <v/>
      </c>
      <c r="D1312">
        <f>IF($AA1312="","",INDEX('Per Line'!$D$2:$D$4001,$AA1312)&amp;"")</f>
        <v/>
      </c>
      <c r="E1312" s="11">
        <f>IF($AA1312="","",INDEX('Per Line'!$G$2:$G$4001,$AA1312))</f>
        <v/>
      </c>
      <c r="F1312">
        <f>IF($AA1312="","",INDEX('Per Line'!$H$2:$H$4001,$AA1312)&amp;"")</f>
        <v/>
      </c>
      <c r="G1312">
        <f>IF($AA1312="","",INDEX('Per Line'!$I$2:$I$4001,$AA1312)&amp;"")</f>
        <v/>
      </c>
      <c r="H1312">
        <f>IF($AA1312="","",INDEX('Per Line'!$J$2:$J$4001,$AA1312)&amp;"")</f>
        <v/>
      </c>
      <c r="I1312">
        <f>IF($AA1312="","",INDEX('Per Line'!$K$2:$K$4001,$AA1312)&amp;"")</f>
        <v/>
      </c>
      <c r="J1312">
        <f>IF($AA1312="","",INDEX('Per Line'!$L$2:$L$4001,$AA1312)&amp;"")</f>
        <v/>
      </c>
      <c r="K1312">
        <f>IF($AA1312="","",INDEX('Per Line'!$P$2:$P$4001,$AA1312))</f>
        <v/>
      </c>
      <c r="L1312" s="7">
        <f>IF($AA1312="","",IF(AND(ISNUMBER(N1312),N1312&gt;0,Y1312&gt;N1312),K1312*N1312/100+(Y1312-N1312),K1312*Y1312/100))</f>
        <v/>
      </c>
      <c r="M1312">
        <f>IF($AA1312="","",INDEX('Per Line'!$Z$2:$Z$4001,$AA1312)&amp;"")</f>
        <v/>
      </c>
      <c r="N1312">
        <f>IF($AA1312="","",INDEX('Per Line'!$AG$2:$AG$4001,$AA1312))</f>
        <v/>
      </c>
      <c r="O1312">
        <f>IF($AA1312="","",IF(AND(ISNUMBER(N1312),N1312&gt;0),Y1312&gt;N1312,FALSE))</f>
        <v/>
      </c>
      <c r="P1312" s="7">
        <f>IF($AA1312="","",SUMIFS('Per Line'!$Y$2:$Y$4001,'Per Line'!$E$2:$E$4001,$B1312,'Per Line'!$AQ$2:$AQ$4001,1))</f>
        <v/>
      </c>
      <c r="Q1312">
        <f>IF($AA1312="","",Settings!$C$7)</f>
        <v/>
      </c>
      <c r="R1312" s="7">
        <f>IF($AA1312="","",SUMIFS('Per Line'!$Y$2:$Y$4001,'Per Line'!$E$2:$E$4001,$B1312,'Per Line'!$AP$2:$AP$4001,0,'Per Line'!$AQ$2:$AQ$4001,0))</f>
        <v/>
      </c>
      <c r="S1312" s="7">
        <f>IF($AA1312="","",R1312*Q1312)</f>
        <v/>
      </c>
      <c r="T1312">
        <f>IF($AA1312="","",Settings!$C$6)</f>
        <v/>
      </c>
      <c r="U1312" s="7">
        <f>IF($AA1312="","",SUMIFS('Per Line'!$Y$2:$Y$4001,'Per Line'!$E$2:$E$4001,$B1312,'Per Line'!$AP$2:$AP$4001,1,'Per Line'!$AQ$2:$AQ$4001,0))</f>
        <v/>
      </c>
      <c r="V1312" s="7">
        <f>IF($AA1312="","",U1312*T1312)</f>
        <v/>
      </c>
      <c r="W1312" s="7">
        <f>IF($AA1312="","",V1312+S1312)</f>
        <v/>
      </c>
      <c r="X1312" s="7">
        <f>IF($AA1312="","",Y1312-W1312)</f>
        <v/>
      </c>
      <c r="Y1312" s="7">
        <f>IF($AA1312="","",R1312+U1312+P1312)</f>
        <v/>
      </c>
      <c r="Z1312" s="7">
        <f>IF($AA1312="","",Y1312-W1312-L1312)</f>
        <v/>
      </c>
      <c r="AA1312" s="13">
        <f>IF(ROWS($AA$2:$AA1312)&lt;=MAX('Per Line'!$AO$2:$AO$4001),MATCH(ROWS($AA$2:$AA1312),'Per Line'!$AO$2:$AO$4001,0),"")</f>
        <v/>
      </c>
      <c r="AB1312" s="14">
        <f>IF($AA1312="","",L1312-K1312*Y1312/100)</f>
        <v/>
      </c>
    </row>
    <row r="1313">
      <c r="A1313" s="12" t="n"/>
      <c r="B1313">
        <f>IF($AA1313="","",INDEX('Per Line'!$E$2:$E$4001,$AA1313)&amp;"")</f>
        <v/>
      </c>
      <c r="C1313">
        <f>IF($AA1313="","",INDEX('Per Line'!$A$2:$A$4001,$AA1313)&amp;"")</f>
        <v/>
      </c>
      <c r="D1313">
        <f>IF($AA1313="","",INDEX('Per Line'!$D$2:$D$4001,$AA1313)&amp;"")</f>
        <v/>
      </c>
      <c r="E1313" s="11">
        <f>IF($AA1313="","",INDEX('Per Line'!$G$2:$G$4001,$AA1313))</f>
        <v/>
      </c>
      <c r="F1313">
        <f>IF($AA1313="","",INDEX('Per Line'!$H$2:$H$4001,$AA1313)&amp;"")</f>
        <v/>
      </c>
      <c r="G1313">
        <f>IF($AA1313="","",INDEX('Per Line'!$I$2:$I$4001,$AA1313)&amp;"")</f>
        <v/>
      </c>
      <c r="H1313">
        <f>IF($AA1313="","",INDEX('Per Line'!$J$2:$J$4001,$AA1313)&amp;"")</f>
        <v/>
      </c>
      <c r="I1313">
        <f>IF($AA1313="","",INDEX('Per Line'!$K$2:$K$4001,$AA1313)&amp;"")</f>
        <v/>
      </c>
      <c r="J1313">
        <f>IF($AA1313="","",INDEX('Per Line'!$L$2:$L$4001,$AA1313)&amp;"")</f>
        <v/>
      </c>
      <c r="K1313">
        <f>IF($AA1313="","",INDEX('Per Line'!$P$2:$P$4001,$AA1313))</f>
        <v/>
      </c>
      <c r="L1313" s="7">
        <f>IF($AA1313="","",IF(AND(ISNUMBER(N1313),N1313&gt;0,Y1313&gt;N1313),K1313*N1313/100+(Y1313-N1313),K1313*Y1313/100))</f>
        <v/>
      </c>
      <c r="M1313">
        <f>IF($AA1313="","",INDEX('Per Line'!$Z$2:$Z$4001,$AA1313)&amp;"")</f>
        <v/>
      </c>
      <c r="N1313">
        <f>IF($AA1313="","",INDEX('Per Line'!$AG$2:$AG$4001,$AA1313))</f>
        <v/>
      </c>
      <c r="O1313">
        <f>IF($AA1313="","",IF(AND(ISNUMBER(N1313),N1313&gt;0),Y1313&gt;N1313,FALSE))</f>
        <v/>
      </c>
      <c r="P1313" s="7">
        <f>IF($AA1313="","",SUMIFS('Per Line'!$Y$2:$Y$4001,'Per Line'!$E$2:$E$4001,$B1313,'Per Line'!$AQ$2:$AQ$4001,1))</f>
        <v/>
      </c>
      <c r="Q1313">
        <f>IF($AA1313="","",Settings!$C$7)</f>
        <v/>
      </c>
      <c r="R1313" s="7">
        <f>IF($AA1313="","",SUMIFS('Per Line'!$Y$2:$Y$4001,'Per Line'!$E$2:$E$4001,$B1313,'Per Line'!$AP$2:$AP$4001,0,'Per Line'!$AQ$2:$AQ$4001,0))</f>
        <v/>
      </c>
      <c r="S1313" s="7">
        <f>IF($AA1313="","",R1313*Q1313)</f>
        <v/>
      </c>
      <c r="T1313">
        <f>IF($AA1313="","",Settings!$C$6)</f>
        <v/>
      </c>
      <c r="U1313" s="7">
        <f>IF($AA1313="","",SUMIFS('Per Line'!$Y$2:$Y$4001,'Per Line'!$E$2:$E$4001,$B1313,'Per Line'!$AP$2:$AP$4001,1,'Per Line'!$AQ$2:$AQ$4001,0))</f>
        <v/>
      </c>
      <c r="V1313" s="7">
        <f>IF($AA1313="","",U1313*T1313)</f>
        <v/>
      </c>
      <c r="W1313" s="7">
        <f>IF($AA1313="","",V1313+S1313)</f>
        <v/>
      </c>
      <c r="X1313" s="7">
        <f>IF($AA1313="","",Y1313-W1313)</f>
        <v/>
      </c>
      <c r="Y1313" s="7">
        <f>IF($AA1313="","",R1313+U1313+P1313)</f>
        <v/>
      </c>
      <c r="Z1313" s="7">
        <f>IF($AA1313="","",Y1313-W1313-L1313)</f>
        <v/>
      </c>
      <c r="AA1313" s="13">
        <f>IF(ROWS($AA$2:$AA1313)&lt;=MAX('Per Line'!$AO$2:$AO$4001),MATCH(ROWS($AA$2:$AA1313),'Per Line'!$AO$2:$AO$4001,0),"")</f>
        <v/>
      </c>
      <c r="AB1313" s="14">
        <f>IF($AA1313="","",L1313-K1313*Y1313/100)</f>
        <v/>
      </c>
    </row>
    <row r="1314">
      <c r="A1314" s="12" t="n"/>
      <c r="B1314">
        <f>IF($AA1314="","",INDEX('Per Line'!$E$2:$E$4001,$AA1314)&amp;"")</f>
        <v/>
      </c>
      <c r="C1314">
        <f>IF($AA1314="","",INDEX('Per Line'!$A$2:$A$4001,$AA1314)&amp;"")</f>
        <v/>
      </c>
      <c r="D1314">
        <f>IF($AA1314="","",INDEX('Per Line'!$D$2:$D$4001,$AA1314)&amp;"")</f>
        <v/>
      </c>
      <c r="E1314" s="11">
        <f>IF($AA1314="","",INDEX('Per Line'!$G$2:$G$4001,$AA1314))</f>
        <v/>
      </c>
      <c r="F1314">
        <f>IF($AA1314="","",INDEX('Per Line'!$H$2:$H$4001,$AA1314)&amp;"")</f>
        <v/>
      </c>
      <c r="G1314">
        <f>IF($AA1314="","",INDEX('Per Line'!$I$2:$I$4001,$AA1314)&amp;"")</f>
        <v/>
      </c>
      <c r="H1314">
        <f>IF($AA1314="","",INDEX('Per Line'!$J$2:$J$4001,$AA1314)&amp;"")</f>
        <v/>
      </c>
      <c r="I1314">
        <f>IF($AA1314="","",INDEX('Per Line'!$K$2:$K$4001,$AA1314)&amp;"")</f>
        <v/>
      </c>
      <c r="J1314">
        <f>IF($AA1314="","",INDEX('Per Line'!$L$2:$L$4001,$AA1314)&amp;"")</f>
        <v/>
      </c>
      <c r="K1314">
        <f>IF($AA1314="","",INDEX('Per Line'!$P$2:$P$4001,$AA1314))</f>
        <v/>
      </c>
      <c r="L1314" s="7">
        <f>IF($AA1314="","",IF(AND(ISNUMBER(N1314),N1314&gt;0,Y1314&gt;N1314),K1314*N1314/100+(Y1314-N1314),K1314*Y1314/100))</f>
        <v/>
      </c>
      <c r="M1314">
        <f>IF($AA1314="","",INDEX('Per Line'!$Z$2:$Z$4001,$AA1314)&amp;"")</f>
        <v/>
      </c>
      <c r="N1314">
        <f>IF($AA1314="","",INDEX('Per Line'!$AG$2:$AG$4001,$AA1314))</f>
        <v/>
      </c>
      <c r="O1314">
        <f>IF($AA1314="","",IF(AND(ISNUMBER(N1314),N1314&gt;0),Y1314&gt;N1314,FALSE))</f>
        <v/>
      </c>
      <c r="P1314" s="7">
        <f>IF($AA1314="","",SUMIFS('Per Line'!$Y$2:$Y$4001,'Per Line'!$E$2:$E$4001,$B1314,'Per Line'!$AQ$2:$AQ$4001,1))</f>
        <v/>
      </c>
      <c r="Q1314">
        <f>IF($AA1314="","",Settings!$C$7)</f>
        <v/>
      </c>
      <c r="R1314" s="7">
        <f>IF($AA1314="","",SUMIFS('Per Line'!$Y$2:$Y$4001,'Per Line'!$E$2:$E$4001,$B1314,'Per Line'!$AP$2:$AP$4001,0,'Per Line'!$AQ$2:$AQ$4001,0))</f>
        <v/>
      </c>
      <c r="S1314" s="7">
        <f>IF($AA1314="","",R1314*Q1314)</f>
        <v/>
      </c>
      <c r="T1314">
        <f>IF($AA1314="","",Settings!$C$6)</f>
        <v/>
      </c>
      <c r="U1314" s="7">
        <f>IF($AA1314="","",SUMIFS('Per Line'!$Y$2:$Y$4001,'Per Line'!$E$2:$E$4001,$B1314,'Per Line'!$AP$2:$AP$4001,1,'Per Line'!$AQ$2:$AQ$4001,0))</f>
        <v/>
      </c>
      <c r="V1314" s="7">
        <f>IF($AA1314="","",U1314*T1314)</f>
        <v/>
      </c>
      <c r="W1314" s="7">
        <f>IF($AA1314="","",V1314+S1314)</f>
        <v/>
      </c>
      <c r="X1314" s="7">
        <f>IF($AA1314="","",Y1314-W1314)</f>
        <v/>
      </c>
      <c r="Y1314" s="7">
        <f>IF($AA1314="","",R1314+U1314+P1314)</f>
        <v/>
      </c>
      <c r="Z1314" s="7">
        <f>IF($AA1314="","",Y1314-W1314-L1314)</f>
        <v/>
      </c>
      <c r="AA1314" s="13">
        <f>IF(ROWS($AA$2:$AA1314)&lt;=MAX('Per Line'!$AO$2:$AO$4001),MATCH(ROWS($AA$2:$AA1314),'Per Line'!$AO$2:$AO$4001,0),"")</f>
        <v/>
      </c>
      <c r="AB1314" s="14">
        <f>IF($AA1314="","",L1314-K1314*Y1314/100)</f>
        <v/>
      </c>
    </row>
    <row r="1315">
      <c r="A1315" s="12" t="n"/>
      <c r="B1315">
        <f>IF($AA1315="","",INDEX('Per Line'!$E$2:$E$4001,$AA1315)&amp;"")</f>
        <v/>
      </c>
      <c r="C1315">
        <f>IF($AA1315="","",INDEX('Per Line'!$A$2:$A$4001,$AA1315)&amp;"")</f>
        <v/>
      </c>
      <c r="D1315">
        <f>IF($AA1315="","",INDEX('Per Line'!$D$2:$D$4001,$AA1315)&amp;"")</f>
        <v/>
      </c>
      <c r="E1315" s="11">
        <f>IF($AA1315="","",INDEX('Per Line'!$G$2:$G$4001,$AA1315))</f>
        <v/>
      </c>
      <c r="F1315">
        <f>IF($AA1315="","",INDEX('Per Line'!$H$2:$H$4001,$AA1315)&amp;"")</f>
        <v/>
      </c>
      <c r="G1315">
        <f>IF($AA1315="","",INDEX('Per Line'!$I$2:$I$4001,$AA1315)&amp;"")</f>
        <v/>
      </c>
      <c r="H1315">
        <f>IF($AA1315="","",INDEX('Per Line'!$J$2:$J$4001,$AA1315)&amp;"")</f>
        <v/>
      </c>
      <c r="I1315">
        <f>IF($AA1315="","",INDEX('Per Line'!$K$2:$K$4001,$AA1315)&amp;"")</f>
        <v/>
      </c>
      <c r="J1315">
        <f>IF($AA1315="","",INDEX('Per Line'!$L$2:$L$4001,$AA1315)&amp;"")</f>
        <v/>
      </c>
      <c r="K1315">
        <f>IF($AA1315="","",INDEX('Per Line'!$P$2:$P$4001,$AA1315))</f>
        <v/>
      </c>
      <c r="L1315" s="7">
        <f>IF($AA1315="","",IF(AND(ISNUMBER(N1315),N1315&gt;0,Y1315&gt;N1315),K1315*N1315/100+(Y1315-N1315),K1315*Y1315/100))</f>
        <v/>
      </c>
      <c r="M1315">
        <f>IF($AA1315="","",INDEX('Per Line'!$Z$2:$Z$4001,$AA1315)&amp;"")</f>
        <v/>
      </c>
      <c r="N1315">
        <f>IF($AA1315="","",INDEX('Per Line'!$AG$2:$AG$4001,$AA1315))</f>
        <v/>
      </c>
      <c r="O1315">
        <f>IF($AA1315="","",IF(AND(ISNUMBER(N1315),N1315&gt;0),Y1315&gt;N1315,FALSE))</f>
        <v/>
      </c>
      <c r="P1315" s="7">
        <f>IF($AA1315="","",SUMIFS('Per Line'!$Y$2:$Y$4001,'Per Line'!$E$2:$E$4001,$B1315,'Per Line'!$AQ$2:$AQ$4001,1))</f>
        <v/>
      </c>
      <c r="Q1315">
        <f>IF($AA1315="","",Settings!$C$7)</f>
        <v/>
      </c>
      <c r="R1315" s="7">
        <f>IF($AA1315="","",SUMIFS('Per Line'!$Y$2:$Y$4001,'Per Line'!$E$2:$E$4001,$B1315,'Per Line'!$AP$2:$AP$4001,0,'Per Line'!$AQ$2:$AQ$4001,0))</f>
        <v/>
      </c>
      <c r="S1315" s="7">
        <f>IF($AA1315="","",R1315*Q1315)</f>
        <v/>
      </c>
      <c r="T1315">
        <f>IF($AA1315="","",Settings!$C$6)</f>
        <v/>
      </c>
      <c r="U1315" s="7">
        <f>IF($AA1315="","",SUMIFS('Per Line'!$Y$2:$Y$4001,'Per Line'!$E$2:$E$4001,$B1315,'Per Line'!$AP$2:$AP$4001,1,'Per Line'!$AQ$2:$AQ$4001,0))</f>
        <v/>
      </c>
      <c r="V1315" s="7">
        <f>IF($AA1315="","",U1315*T1315)</f>
        <v/>
      </c>
      <c r="W1315" s="7">
        <f>IF($AA1315="","",V1315+S1315)</f>
        <v/>
      </c>
      <c r="X1315" s="7">
        <f>IF($AA1315="","",Y1315-W1315)</f>
        <v/>
      </c>
      <c r="Y1315" s="7">
        <f>IF($AA1315="","",R1315+U1315+P1315)</f>
        <v/>
      </c>
      <c r="Z1315" s="7">
        <f>IF($AA1315="","",Y1315-W1315-L1315)</f>
        <v/>
      </c>
      <c r="AA1315" s="13">
        <f>IF(ROWS($AA$2:$AA1315)&lt;=MAX('Per Line'!$AO$2:$AO$4001),MATCH(ROWS($AA$2:$AA1315),'Per Line'!$AO$2:$AO$4001,0),"")</f>
        <v/>
      </c>
      <c r="AB1315" s="14">
        <f>IF($AA1315="","",L1315-K1315*Y1315/100)</f>
        <v/>
      </c>
    </row>
    <row r="1316">
      <c r="A1316" s="12" t="n"/>
      <c r="B1316">
        <f>IF($AA1316="","",INDEX('Per Line'!$E$2:$E$4001,$AA1316)&amp;"")</f>
        <v/>
      </c>
      <c r="C1316">
        <f>IF($AA1316="","",INDEX('Per Line'!$A$2:$A$4001,$AA1316)&amp;"")</f>
        <v/>
      </c>
      <c r="D1316">
        <f>IF($AA1316="","",INDEX('Per Line'!$D$2:$D$4001,$AA1316)&amp;"")</f>
        <v/>
      </c>
      <c r="E1316" s="11">
        <f>IF($AA1316="","",INDEX('Per Line'!$G$2:$G$4001,$AA1316))</f>
        <v/>
      </c>
      <c r="F1316">
        <f>IF($AA1316="","",INDEX('Per Line'!$H$2:$H$4001,$AA1316)&amp;"")</f>
        <v/>
      </c>
      <c r="G1316">
        <f>IF($AA1316="","",INDEX('Per Line'!$I$2:$I$4001,$AA1316)&amp;"")</f>
        <v/>
      </c>
      <c r="H1316">
        <f>IF($AA1316="","",INDEX('Per Line'!$J$2:$J$4001,$AA1316)&amp;"")</f>
        <v/>
      </c>
      <c r="I1316">
        <f>IF($AA1316="","",INDEX('Per Line'!$K$2:$K$4001,$AA1316)&amp;"")</f>
        <v/>
      </c>
      <c r="J1316">
        <f>IF($AA1316="","",INDEX('Per Line'!$L$2:$L$4001,$AA1316)&amp;"")</f>
        <v/>
      </c>
      <c r="K1316">
        <f>IF($AA1316="","",INDEX('Per Line'!$P$2:$P$4001,$AA1316))</f>
        <v/>
      </c>
      <c r="L1316" s="7">
        <f>IF($AA1316="","",IF(AND(ISNUMBER(N1316),N1316&gt;0,Y1316&gt;N1316),K1316*N1316/100+(Y1316-N1316),K1316*Y1316/100))</f>
        <v/>
      </c>
      <c r="M1316">
        <f>IF($AA1316="","",INDEX('Per Line'!$Z$2:$Z$4001,$AA1316)&amp;"")</f>
        <v/>
      </c>
      <c r="N1316">
        <f>IF($AA1316="","",INDEX('Per Line'!$AG$2:$AG$4001,$AA1316))</f>
        <v/>
      </c>
      <c r="O1316">
        <f>IF($AA1316="","",IF(AND(ISNUMBER(N1316),N1316&gt;0),Y1316&gt;N1316,FALSE))</f>
        <v/>
      </c>
      <c r="P1316" s="7">
        <f>IF($AA1316="","",SUMIFS('Per Line'!$Y$2:$Y$4001,'Per Line'!$E$2:$E$4001,$B1316,'Per Line'!$AQ$2:$AQ$4001,1))</f>
        <v/>
      </c>
      <c r="Q1316">
        <f>IF($AA1316="","",Settings!$C$7)</f>
        <v/>
      </c>
      <c r="R1316" s="7">
        <f>IF($AA1316="","",SUMIFS('Per Line'!$Y$2:$Y$4001,'Per Line'!$E$2:$E$4001,$B1316,'Per Line'!$AP$2:$AP$4001,0,'Per Line'!$AQ$2:$AQ$4001,0))</f>
        <v/>
      </c>
      <c r="S1316" s="7">
        <f>IF($AA1316="","",R1316*Q1316)</f>
        <v/>
      </c>
      <c r="T1316">
        <f>IF($AA1316="","",Settings!$C$6)</f>
        <v/>
      </c>
      <c r="U1316" s="7">
        <f>IF($AA1316="","",SUMIFS('Per Line'!$Y$2:$Y$4001,'Per Line'!$E$2:$E$4001,$B1316,'Per Line'!$AP$2:$AP$4001,1,'Per Line'!$AQ$2:$AQ$4001,0))</f>
        <v/>
      </c>
      <c r="V1316" s="7">
        <f>IF($AA1316="","",U1316*T1316)</f>
        <v/>
      </c>
      <c r="W1316" s="7">
        <f>IF($AA1316="","",V1316+S1316)</f>
        <v/>
      </c>
      <c r="X1316" s="7">
        <f>IF($AA1316="","",Y1316-W1316)</f>
        <v/>
      </c>
      <c r="Y1316" s="7">
        <f>IF($AA1316="","",R1316+U1316+P1316)</f>
        <v/>
      </c>
      <c r="Z1316" s="7">
        <f>IF($AA1316="","",Y1316-W1316-L1316)</f>
        <v/>
      </c>
      <c r="AA1316" s="13">
        <f>IF(ROWS($AA$2:$AA1316)&lt;=MAX('Per Line'!$AO$2:$AO$4001),MATCH(ROWS($AA$2:$AA1316),'Per Line'!$AO$2:$AO$4001,0),"")</f>
        <v/>
      </c>
      <c r="AB1316" s="14">
        <f>IF($AA1316="","",L1316-K1316*Y1316/100)</f>
        <v/>
      </c>
    </row>
    <row r="1317">
      <c r="A1317" s="12" t="n"/>
      <c r="B1317">
        <f>IF($AA1317="","",INDEX('Per Line'!$E$2:$E$4001,$AA1317)&amp;"")</f>
        <v/>
      </c>
      <c r="C1317">
        <f>IF($AA1317="","",INDEX('Per Line'!$A$2:$A$4001,$AA1317)&amp;"")</f>
        <v/>
      </c>
      <c r="D1317">
        <f>IF($AA1317="","",INDEX('Per Line'!$D$2:$D$4001,$AA1317)&amp;"")</f>
        <v/>
      </c>
      <c r="E1317" s="11">
        <f>IF($AA1317="","",INDEX('Per Line'!$G$2:$G$4001,$AA1317))</f>
        <v/>
      </c>
      <c r="F1317">
        <f>IF($AA1317="","",INDEX('Per Line'!$H$2:$H$4001,$AA1317)&amp;"")</f>
        <v/>
      </c>
      <c r="G1317">
        <f>IF($AA1317="","",INDEX('Per Line'!$I$2:$I$4001,$AA1317)&amp;"")</f>
        <v/>
      </c>
      <c r="H1317">
        <f>IF($AA1317="","",INDEX('Per Line'!$J$2:$J$4001,$AA1317)&amp;"")</f>
        <v/>
      </c>
      <c r="I1317">
        <f>IF($AA1317="","",INDEX('Per Line'!$K$2:$K$4001,$AA1317)&amp;"")</f>
        <v/>
      </c>
      <c r="J1317">
        <f>IF($AA1317="","",INDEX('Per Line'!$L$2:$L$4001,$AA1317)&amp;"")</f>
        <v/>
      </c>
      <c r="K1317">
        <f>IF($AA1317="","",INDEX('Per Line'!$P$2:$P$4001,$AA1317))</f>
        <v/>
      </c>
      <c r="L1317" s="7">
        <f>IF($AA1317="","",IF(AND(ISNUMBER(N1317),N1317&gt;0,Y1317&gt;N1317),K1317*N1317/100+(Y1317-N1317),K1317*Y1317/100))</f>
        <v/>
      </c>
      <c r="M1317">
        <f>IF($AA1317="","",INDEX('Per Line'!$Z$2:$Z$4001,$AA1317)&amp;"")</f>
        <v/>
      </c>
      <c r="N1317">
        <f>IF($AA1317="","",INDEX('Per Line'!$AG$2:$AG$4001,$AA1317))</f>
        <v/>
      </c>
      <c r="O1317">
        <f>IF($AA1317="","",IF(AND(ISNUMBER(N1317),N1317&gt;0),Y1317&gt;N1317,FALSE))</f>
        <v/>
      </c>
      <c r="P1317" s="7">
        <f>IF($AA1317="","",SUMIFS('Per Line'!$Y$2:$Y$4001,'Per Line'!$E$2:$E$4001,$B1317,'Per Line'!$AQ$2:$AQ$4001,1))</f>
        <v/>
      </c>
      <c r="Q1317">
        <f>IF($AA1317="","",Settings!$C$7)</f>
        <v/>
      </c>
      <c r="R1317" s="7">
        <f>IF($AA1317="","",SUMIFS('Per Line'!$Y$2:$Y$4001,'Per Line'!$E$2:$E$4001,$B1317,'Per Line'!$AP$2:$AP$4001,0,'Per Line'!$AQ$2:$AQ$4001,0))</f>
        <v/>
      </c>
      <c r="S1317" s="7">
        <f>IF($AA1317="","",R1317*Q1317)</f>
        <v/>
      </c>
      <c r="T1317">
        <f>IF($AA1317="","",Settings!$C$6)</f>
        <v/>
      </c>
      <c r="U1317" s="7">
        <f>IF($AA1317="","",SUMIFS('Per Line'!$Y$2:$Y$4001,'Per Line'!$E$2:$E$4001,$B1317,'Per Line'!$AP$2:$AP$4001,1,'Per Line'!$AQ$2:$AQ$4001,0))</f>
        <v/>
      </c>
      <c r="V1317" s="7">
        <f>IF($AA1317="","",U1317*T1317)</f>
        <v/>
      </c>
      <c r="W1317" s="7">
        <f>IF($AA1317="","",V1317+S1317)</f>
        <v/>
      </c>
      <c r="X1317" s="7">
        <f>IF($AA1317="","",Y1317-W1317)</f>
        <v/>
      </c>
      <c r="Y1317" s="7">
        <f>IF($AA1317="","",R1317+U1317+P1317)</f>
        <v/>
      </c>
      <c r="Z1317" s="7">
        <f>IF($AA1317="","",Y1317-W1317-L1317)</f>
        <v/>
      </c>
      <c r="AA1317" s="13">
        <f>IF(ROWS($AA$2:$AA1317)&lt;=MAX('Per Line'!$AO$2:$AO$4001),MATCH(ROWS($AA$2:$AA1317),'Per Line'!$AO$2:$AO$4001,0),"")</f>
        <v/>
      </c>
      <c r="AB1317" s="14">
        <f>IF($AA1317="","",L1317-K1317*Y1317/100)</f>
        <v/>
      </c>
    </row>
    <row r="1318">
      <c r="A1318" s="12" t="n"/>
      <c r="B1318">
        <f>IF($AA1318="","",INDEX('Per Line'!$E$2:$E$4001,$AA1318)&amp;"")</f>
        <v/>
      </c>
      <c r="C1318">
        <f>IF($AA1318="","",INDEX('Per Line'!$A$2:$A$4001,$AA1318)&amp;"")</f>
        <v/>
      </c>
      <c r="D1318">
        <f>IF($AA1318="","",INDEX('Per Line'!$D$2:$D$4001,$AA1318)&amp;"")</f>
        <v/>
      </c>
      <c r="E1318" s="11">
        <f>IF($AA1318="","",INDEX('Per Line'!$G$2:$G$4001,$AA1318))</f>
        <v/>
      </c>
      <c r="F1318">
        <f>IF($AA1318="","",INDEX('Per Line'!$H$2:$H$4001,$AA1318)&amp;"")</f>
        <v/>
      </c>
      <c r="G1318">
        <f>IF($AA1318="","",INDEX('Per Line'!$I$2:$I$4001,$AA1318)&amp;"")</f>
        <v/>
      </c>
      <c r="H1318">
        <f>IF($AA1318="","",INDEX('Per Line'!$J$2:$J$4001,$AA1318)&amp;"")</f>
        <v/>
      </c>
      <c r="I1318">
        <f>IF($AA1318="","",INDEX('Per Line'!$K$2:$K$4001,$AA1318)&amp;"")</f>
        <v/>
      </c>
      <c r="J1318">
        <f>IF($AA1318="","",INDEX('Per Line'!$L$2:$L$4001,$AA1318)&amp;"")</f>
        <v/>
      </c>
      <c r="K1318">
        <f>IF($AA1318="","",INDEX('Per Line'!$P$2:$P$4001,$AA1318))</f>
        <v/>
      </c>
      <c r="L1318" s="7">
        <f>IF($AA1318="","",IF(AND(ISNUMBER(N1318),N1318&gt;0,Y1318&gt;N1318),K1318*N1318/100+(Y1318-N1318),K1318*Y1318/100))</f>
        <v/>
      </c>
      <c r="M1318">
        <f>IF($AA1318="","",INDEX('Per Line'!$Z$2:$Z$4001,$AA1318)&amp;"")</f>
        <v/>
      </c>
      <c r="N1318">
        <f>IF($AA1318="","",INDEX('Per Line'!$AG$2:$AG$4001,$AA1318))</f>
        <v/>
      </c>
      <c r="O1318">
        <f>IF($AA1318="","",IF(AND(ISNUMBER(N1318),N1318&gt;0),Y1318&gt;N1318,FALSE))</f>
        <v/>
      </c>
      <c r="P1318" s="7">
        <f>IF($AA1318="","",SUMIFS('Per Line'!$Y$2:$Y$4001,'Per Line'!$E$2:$E$4001,$B1318,'Per Line'!$AQ$2:$AQ$4001,1))</f>
        <v/>
      </c>
      <c r="Q1318">
        <f>IF($AA1318="","",Settings!$C$7)</f>
        <v/>
      </c>
      <c r="R1318" s="7">
        <f>IF($AA1318="","",SUMIFS('Per Line'!$Y$2:$Y$4001,'Per Line'!$E$2:$E$4001,$B1318,'Per Line'!$AP$2:$AP$4001,0,'Per Line'!$AQ$2:$AQ$4001,0))</f>
        <v/>
      </c>
      <c r="S1318" s="7">
        <f>IF($AA1318="","",R1318*Q1318)</f>
        <v/>
      </c>
      <c r="T1318">
        <f>IF($AA1318="","",Settings!$C$6)</f>
        <v/>
      </c>
      <c r="U1318" s="7">
        <f>IF($AA1318="","",SUMIFS('Per Line'!$Y$2:$Y$4001,'Per Line'!$E$2:$E$4001,$B1318,'Per Line'!$AP$2:$AP$4001,1,'Per Line'!$AQ$2:$AQ$4001,0))</f>
        <v/>
      </c>
      <c r="V1318" s="7">
        <f>IF($AA1318="","",U1318*T1318)</f>
        <v/>
      </c>
      <c r="W1318" s="7">
        <f>IF($AA1318="","",V1318+S1318)</f>
        <v/>
      </c>
      <c r="X1318" s="7">
        <f>IF($AA1318="","",Y1318-W1318)</f>
        <v/>
      </c>
      <c r="Y1318" s="7">
        <f>IF($AA1318="","",R1318+U1318+P1318)</f>
        <v/>
      </c>
      <c r="Z1318" s="7">
        <f>IF($AA1318="","",Y1318-W1318-L1318)</f>
        <v/>
      </c>
      <c r="AA1318" s="13">
        <f>IF(ROWS($AA$2:$AA1318)&lt;=MAX('Per Line'!$AO$2:$AO$4001),MATCH(ROWS($AA$2:$AA1318),'Per Line'!$AO$2:$AO$4001,0),"")</f>
        <v/>
      </c>
      <c r="AB1318" s="14">
        <f>IF($AA1318="","",L1318-K1318*Y1318/100)</f>
        <v/>
      </c>
    </row>
    <row r="1319">
      <c r="A1319" s="12" t="n"/>
      <c r="B1319">
        <f>IF($AA1319="","",INDEX('Per Line'!$E$2:$E$4001,$AA1319)&amp;"")</f>
        <v/>
      </c>
      <c r="C1319">
        <f>IF($AA1319="","",INDEX('Per Line'!$A$2:$A$4001,$AA1319)&amp;"")</f>
        <v/>
      </c>
      <c r="D1319">
        <f>IF($AA1319="","",INDEX('Per Line'!$D$2:$D$4001,$AA1319)&amp;"")</f>
        <v/>
      </c>
      <c r="E1319" s="11">
        <f>IF($AA1319="","",INDEX('Per Line'!$G$2:$G$4001,$AA1319))</f>
        <v/>
      </c>
      <c r="F1319">
        <f>IF($AA1319="","",INDEX('Per Line'!$H$2:$H$4001,$AA1319)&amp;"")</f>
        <v/>
      </c>
      <c r="G1319">
        <f>IF($AA1319="","",INDEX('Per Line'!$I$2:$I$4001,$AA1319)&amp;"")</f>
        <v/>
      </c>
      <c r="H1319">
        <f>IF($AA1319="","",INDEX('Per Line'!$J$2:$J$4001,$AA1319)&amp;"")</f>
        <v/>
      </c>
      <c r="I1319">
        <f>IF($AA1319="","",INDEX('Per Line'!$K$2:$K$4001,$AA1319)&amp;"")</f>
        <v/>
      </c>
      <c r="J1319">
        <f>IF($AA1319="","",INDEX('Per Line'!$L$2:$L$4001,$AA1319)&amp;"")</f>
        <v/>
      </c>
      <c r="K1319">
        <f>IF($AA1319="","",INDEX('Per Line'!$P$2:$P$4001,$AA1319))</f>
        <v/>
      </c>
      <c r="L1319" s="7">
        <f>IF($AA1319="","",IF(AND(ISNUMBER(N1319),N1319&gt;0,Y1319&gt;N1319),K1319*N1319/100+(Y1319-N1319),K1319*Y1319/100))</f>
        <v/>
      </c>
      <c r="M1319">
        <f>IF($AA1319="","",INDEX('Per Line'!$Z$2:$Z$4001,$AA1319)&amp;"")</f>
        <v/>
      </c>
      <c r="N1319">
        <f>IF($AA1319="","",INDEX('Per Line'!$AG$2:$AG$4001,$AA1319))</f>
        <v/>
      </c>
      <c r="O1319">
        <f>IF($AA1319="","",IF(AND(ISNUMBER(N1319),N1319&gt;0),Y1319&gt;N1319,FALSE))</f>
        <v/>
      </c>
      <c r="P1319" s="7">
        <f>IF($AA1319="","",SUMIFS('Per Line'!$Y$2:$Y$4001,'Per Line'!$E$2:$E$4001,$B1319,'Per Line'!$AQ$2:$AQ$4001,1))</f>
        <v/>
      </c>
      <c r="Q1319">
        <f>IF($AA1319="","",Settings!$C$7)</f>
        <v/>
      </c>
      <c r="R1319" s="7">
        <f>IF($AA1319="","",SUMIFS('Per Line'!$Y$2:$Y$4001,'Per Line'!$E$2:$E$4001,$B1319,'Per Line'!$AP$2:$AP$4001,0,'Per Line'!$AQ$2:$AQ$4001,0))</f>
        <v/>
      </c>
      <c r="S1319" s="7">
        <f>IF($AA1319="","",R1319*Q1319)</f>
        <v/>
      </c>
      <c r="T1319">
        <f>IF($AA1319="","",Settings!$C$6)</f>
        <v/>
      </c>
      <c r="U1319" s="7">
        <f>IF($AA1319="","",SUMIFS('Per Line'!$Y$2:$Y$4001,'Per Line'!$E$2:$E$4001,$B1319,'Per Line'!$AP$2:$AP$4001,1,'Per Line'!$AQ$2:$AQ$4001,0))</f>
        <v/>
      </c>
      <c r="V1319" s="7">
        <f>IF($AA1319="","",U1319*T1319)</f>
        <v/>
      </c>
      <c r="W1319" s="7">
        <f>IF($AA1319="","",V1319+S1319)</f>
        <v/>
      </c>
      <c r="X1319" s="7">
        <f>IF($AA1319="","",Y1319-W1319)</f>
        <v/>
      </c>
      <c r="Y1319" s="7">
        <f>IF($AA1319="","",R1319+U1319+P1319)</f>
        <v/>
      </c>
      <c r="Z1319" s="7">
        <f>IF($AA1319="","",Y1319-W1319-L1319)</f>
        <v/>
      </c>
      <c r="AA1319" s="13">
        <f>IF(ROWS($AA$2:$AA1319)&lt;=MAX('Per Line'!$AO$2:$AO$4001),MATCH(ROWS($AA$2:$AA1319),'Per Line'!$AO$2:$AO$4001,0),"")</f>
        <v/>
      </c>
      <c r="AB1319" s="14">
        <f>IF($AA1319="","",L1319-K1319*Y1319/100)</f>
        <v/>
      </c>
    </row>
    <row r="1320">
      <c r="A1320" s="12" t="n"/>
      <c r="B1320">
        <f>IF($AA1320="","",INDEX('Per Line'!$E$2:$E$4001,$AA1320)&amp;"")</f>
        <v/>
      </c>
      <c r="C1320">
        <f>IF($AA1320="","",INDEX('Per Line'!$A$2:$A$4001,$AA1320)&amp;"")</f>
        <v/>
      </c>
      <c r="D1320">
        <f>IF($AA1320="","",INDEX('Per Line'!$D$2:$D$4001,$AA1320)&amp;"")</f>
        <v/>
      </c>
      <c r="E1320" s="11">
        <f>IF($AA1320="","",INDEX('Per Line'!$G$2:$G$4001,$AA1320))</f>
        <v/>
      </c>
      <c r="F1320">
        <f>IF($AA1320="","",INDEX('Per Line'!$H$2:$H$4001,$AA1320)&amp;"")</f>
        <v/>
      </c>
      <c r="G1320">
        <f>IF($AA1320="","",INDEX('Per Line'!$I$2:$I$4001,$AA1320)&amp;"")</f>
        <v/>
      </c>
      <c r="H1320">
        <f>IF($AA1320="","",INDEX('Per Line'!$J$2:$J$4001,$AA1320)&amp;"")</f>
        <v/>
      </c>
      <c r="I1320">
        <f>IF($AA1320="","",INDEX('Per Line'!$K$2:$K$4001,$AA1320)&amp;"")</f>
        <v/>
      </c>
      <c r="J1320">
        <f>IF($AA1320="","",INDEX('Per Line'!$L$2:$L$4001,$AA1320)&amp;"")</f>
        <v/>
      </c>
      <c r="K1320">
        <f>IF($AA1320="","",INDEX('Per Line'!$P$2:$P$4001,$AA1320))</f>
        <v/>
      </c>
      <c r="L1320" s="7">
        <f>IF($AA1320="","",IF(AND(ISNUMBER(N1320),N1320&gt;0,Y1320&gt;N1320),K1320*N1320/100+(Y1320-N1320),K1320*Y1320/100))</f>
        <v/>
      </c>
      <c r="M1320">
        <f>IF($AA1320="","",INDEX('Per Line'!$Z$2:$Z$4001,$AA1320)&amp;"")</f>
        <v/>
      </c>
      <c r="N1320">
        <f>IF($AA1320="","",INDEX('Per Line'!$AG$2:$AG$4001,$AA1320))</f>
        <v/>
      </c>
      <c r="O1320">
        <f>IF($AA1320="","",IF(AND(ISNUMBER(N1320),N1320&gt;0),Y1320&gt;N1320,FALSE))</f>
        <v/>
      </c>
      <c r="P1320" s="7">
        <f>IF($AA1320="","",SUMIFS('Per Line'!$Y$2:$Y$4001,'Per Line'!$E$2:$E$4001,$B1320,'Per Line'!$AQ$2:$AQ$4001,1))</f>
        <v/>
      </c>
      <c r="Q1320">
        <f>IF($AA1320="","",Settings!$C$7)</f>
        <v/>
      </c>
      <c r="R1320" s="7">
        <f>IF($AA1320="","",SUMIFS('Per Line'!$Y$2:$Y$4001,'Per Line'!$E$2:$E$4001,$B1320,'Per Line'!$AP$2:$AP$4001,0,'Per Line'!$AQ$2:$AQ$4001,0))</f>
        <v/>
      </c>
      <c r="S1320" s="7">
        <f>IF($AA1320="","",R1320*Q1320)</f>
        <v/>
      </c>
      <c r="T1320">
        <f>IF($AA1320="","",Settings!$C$6)</f>
        <v/>
      </c>
      <c r="U1320" s="7">
        <f>IF($AA1320="","",SUMIFS('Per Line'!$Y$2:$Y$4001,'Per Line'!$E$2:$E$4001,$B1320,'Per Line'!$AP$2:$AP$4001,1,'Per Line'!$AQ$2:$AQ$4001,0))</f>
        <v/>
      </c>
      <c r="V1320" s="7">
        <f>IF($AA1320="","",U1320*T1320)</f>
        <v/>
      </c>
      <c r="W1320" s="7">
        <f>IF($AA1320="","",V1320+S1320)</f>
        <v/>
      </c>
      <c r="X1320" s="7">
        <f>IF($AA1320="","",Y1320-W1320)</f>
        <v/>
      </c>
      <c r="Y1320" s="7">
        <f>IF($AA1320="","",R1320+U1320+P1320)</f>
        <v/>
      </c>
      <c r="Z1320" s="7">
        <f>IF($AA1320="","",Y1320-W1320-L1320)</f>
        <v/>
      </c>
      <c r="AA1320" s="13">
        <f>IF(ROWS($AA$2:$AA1320)&lt;=MAX('Per Line'!$AO$2:$AO$4001),MATCH(ROWS($AA$2:$AA1320),'Per Line'!$AO$2:$AO$4001,0),"")</f>
        <v/>
      </c>
      <c r="AB1320" s="14">
        <f>IF($AA1320="","",L1320-K1320*Y1320/100)</f>
        <v/>
      </c>
    </row>
    <row r="1321">
      <c r="A1321" s="12" t="n"/>
      <c r="B1321">
        <f>IF($AA1321="","",INDEX('Per Line'!$E$2:$E$4001,$AA1321)&amp;"")</f>
        <v/>
      </c>
      <c r="C1321">
        <f>IF($AA1321="","",INDEX('Per Line'!$A$2:$A$4001,$AA1321)&amp;"")</f>
        <v/>
      </c>
      <c r="D1321">
        <f>IF($AA1321="","",INDEX('Per Line'!$D$2:$D$4001,$AA1321)&amp;"")</f>
        <v/>
      </c>
      <c r="E1321" s="11">
        <f>IF($AA1321="","",INDEX('Per Line'!$G$2:$G$4001,$AA1321))</f>
        <v/>
      </c>
      <c r="F1321">
        <f>IF($AA1321="","",INDEX('Per Line'!$H$2:$H$4001,$AA1321)&amp;"")</f>
        <v/>
      </c>
      <c r="G1321">
        <f>IF($AA1321="","",INDEX('Per Line'!$I$2:$I$4001,$AA1321)&amp;"")</f>
        <v/>
      </c>
      <c r="H1321">
        <f>IF($AA1321="","",INDEX('Per Line'!$J$2:$J$4001,$AA1321)&amp;"")</f>
        <v/>
      </c>
      <c r="I1321">
        <f>IF($AA1321="","",INDEX('Per Line'!$K$2:$K$4001,$AA1321)&amp;"")</f>
        <v/>
      </c>
      <c r="J1321">
        <f>IF($AA1321="","",INDEX('Per Line'!$L$2:$L$4001,$AA1321)&amp;"")</f>
        <v/>
      </c>
      <c r="K1321">
        <f>IF($AA1321="","",INDEX('Per Line'!$P$2:$P$4001,$AA1321))</f>
        <v/>
      </c>
      <c r="L1321" s="7">
        <f>IF($AA1321="","",IF(AND(ISNUMBER(N1321),N1321&gt;0,Y1321&gt;N1321),K1321*N1321/100+(Y1321-N1321),K1321*Y1321/100))</f>
        <v/>
      </c>
      <c r="M1321">
        <f>IF($AA1321="","",INDEX('Per Line'!$Z$2:$Z$4001,$AA1321)&amp;"")</f>
        <v/>
      </c>
      <c r="N1321">
        <f>IF($AA1321="","",INDEX('Per Line'!$AG$2:$AG$4001,$AA1321))</f>
        <v/>
      </c>
      <c r="O1321">
        <f>IF($AA1321="","",IF(AND(ISNUMBER(N1321),N1321&gt;0),Y1321&gt;N1321,FALSE))</f>
        <v/>
      </c>
      <c r="P1321" s="7">
        <f>IF($AA1321="","",SUMIFS('Per Line'!$Y$2:$Y$4001,'Per Line'!$E$2:$E$4001,$B1321,'Per Line'!$AQ$2:$AQ$4001,1))</f>
        <v/>
      </c>
      <c r="Q1321">
        <f>IF($AA1321="","",Settings!$C$7)</f>
        <v/>
      </c>
      <c r="R1321" s="7">
        <f>IF($AA1321="","",SUMIFS('Per Line'!$Y$2:$Y$4001,'Per Line'!$E$2:$E$4001,$B1321,'Per Line'!$AP$2:$AP$4001,0,'Per Line'!$AQ$2:$AQ$4001,0))</f>
        <v/>
      </c>
      <c r="S1321" s="7">
        <f>IF($AA1321="","",R1321*Q1321)</f>
        <v/>
      </c>
      <c r="T1321">
        <f>IF($AA1321="","",Settings!$C$6)</f>
        <v/>
      </c>
      <c r="U1321" s="7">
        <f>IF($AA1321="","",SUMIFS('Per Line'!$Y$2:$Y$4001,'Per Line'!$E$2:$E$4001,$B1321,'Per Line'!$AP$2:$AP$4001,1,'Per Line'!$AQ$2:$AQ$4001,0))</f>
        <v/>
      </c>
      <c r="V1321" s="7">
        <f>IF($AA1321="","",U1321*T1321)</f>
        <v/>
      </c>
      <c r="W1321" s="7">
        <f>IF($AA1321="","",V1321+S1321)</f>
        <v/>
      </c>
      <c r="X1321" s="7">
        <f>IF($AA1321="","",Y1321-W1321)</f>
        <v/>
      </c>
      <c r="Y1321" s="7">
        <f>IF($AA1321="","",R1321+U1321+P1321)</f>
        <v/>
      </c>
      <c r="Z1321" s="7">
        <f>IF($AA1321="","",Y1321-W1321-L1321)</f>
        <v/>
      </c>
      <c r="AA1321" s="13">
        <f>IF(ROWS($AA$2:$AA1321)&lt;=MAX('Per Line'!$AO$2:$AO$4001),MATCH(ROWS($AA$2:$AA1321),'Per Line'!$AO$2:$AO$4001,0),"")</f>
        <v/>
      </c>
      <c r="AB1321" s="14">
        <f>IF($AA1321="","",L1321-K1321*Y1321/100)</f>
        <v/>
      </c>
    </row>
    <row r="1322">
      <c r="A1322" s="12" t="n"/>
      <c r="B1322">
        <f>IF($AA1322="","",INDEX('Per Line'!$E$2:$E$4001,$AA1322)&amp;"")</f>
        <v/>
      </c>
      <c r="C1322">
        <f>IF($AA1322="","",INDEX('Per Line'!$A$2:$A$4001,$AA1322)&amp;"")</f>
        <v/>
      </c>
      <c r="D1322">
        <f>IF($AA1322="","",INDEX('Per Line'!$D$2:$D$4001,$AA1322)&amp;"")</f>
        <v/>
      </c>
      <c r="E1322" s="11">
        <f>IF($AA1322="","",INDEX('Per Line'!$G$2:$G$4001,$AA1322))</f>
        <v/>
      </c>
      <c r="F1322">
        <f>IF($AA1322="","",INDEX('Per Line'!$H$2:$H$4001,$AA1322)&amp;"")</f>
        <v/>
      </c>
      <c r="G1322">
        <f>IF($AA1322="","",INDEX('Per Line'!$I$2:$I$4001,$AA1322)&amp;"")</f>
        <v/>
      </c>
      <c r="H1322">
        <f>IF($AA1322="","",INDEX('Per Line'!$J$2:$J$4001,$AA1322)&amp;"")</f>
        <v/>
      </c>
      <c r="I1322">
        <f>IF($AA1322="","",INDEX('Per Line'!$K$2:$K$4001,$AA1322)&amp;"")</f>
        <v/>
      </c>
      <c r="J1322">
        <f>IF($AA1322="","",INDEX('Per Line'!$L$2:$L$4001,$AA1322)&amp;"")</f>
        <v/>
      </c>
      <c r="K1322">
        <f>IF($AA1322="","",INDEX('Per Line'!$P$2:$P$4001,$AA1322))</f>
        <v/>
      </c>
      <c r="L1322" s="7">
        <f>IF($AA1322="","",IF(AND(ISNUMBER(N1322),N1322&gt;0,Y1322&gt;N1322),K1322*N1322/100+(Y1322-N1322),K1322*Y1322/100))</f>
        <v/>
      </c>
      <c r="M1322">
        <f>IF($AA1322="","",INDEX('Per Line'!$Z$2:$Z$4001,$AA1322)&amp;"")</f>
        <v/>
      </c>
      <c r="N1322">
        <f>IF($AA1322="","",INDEX('Per Line'!$AG$2:$AG$4001,$AA1322))</f>
        <v/>
      </c>
      <c r="O1322">
        <f>IF($AA1322="","",IF(AND(ISNUMBER(N1322),N1322&gt;0),Y1322&gt;N1322,FALSE))</f>
        <v/>
      </c>
      <c r="P1322" s="7">
        <f>IF($AA1322="","",SUMIFS('Per Line'!$Y$2:$Y$4001,'Per Line'!$E$2:$E$4001,$B1322,'Per Line'!$AQ$2:$AQ$4001,1))</f>
        <v/>
      </c>
      <c r="Q1322">
        <f>IF($AA1322="","",Settings!$C$7)</f>
        <v/>
      </c>
      <c r="R1322" s="7">
        <f>IF($AA1322="","",SUMIFS('Per Line'!$Y$2:$Y$4001,'Per Line'!$E$2:$E$4001,$B1322,'Per Line'!$AP$2:$AP$4001,0,'Per Line'!$AQ$2:$AQ$4001,0))</f>
        <v/>
      </c>
      <c r="S1322" s="7">
        <f>IF($AA1322="","",R1322*Q1322)</f>
        <v/>
      </c>
      <c r="T1322">
        <f>IF($AA1322="","",Settings!$C$6)</f>
        <v/>
      </c>
      <c r="U1322" s="7">
        <f>IF($AA1322="","",SUMIFS('Per Line'!$Y$2:$Y$4001,'Per Line'!$E$2:$E$4001,$B1322,'Per Line'!$AP$2:$AP$4001,1,'Per Line'!$AQ$2:$AQ$4001,0))</f>
        <v/>
      </c>
      <c r="V1322" s="7">
        <f>IF($AA1322="","",U1322*T1322)</f>
        <v/>
      </c>
      <c r="W1322" s="7">
        <f>IF($AA1322="","",V1322+S1322)</f>
        <v/>
      </c>
      <c r="X1322" s="7">
        <f>IF($AA1322="","",Y1322-W1322)</f>
        <v/>
      </c>
      <c r="Y1322" s="7">
        <f>IF($AA1322="","",R1322+U1322+P1322)</f>
        <v/>
      </c>
      <c r="Z1322" s="7">
        <f>IF($AA1322="","",Y1322-W1322-L1322)</f>
        <v/>
      </c>
      <c r="AA1322" s="13">
        <f>IF(ROWS($AA$2:$AA1322)&lt;=MAX('Per Line'!$AO$2:$AO$4001),MATCH(ROWS($AA$2:$AA1322),'Per Line'!$AO$2:$AO$4001,0),"")</f>
        <v/>
      </c>
      <c r="AB1322" s="14">
        <f>IF($AA1322="","",L1322-K1322*Y1322/100)</f>
        <v/>
      </c>
    </row>
    <row r="1323">
      <c r="A1323" s="12" t="n"/>
      <c r="B1323">
        <f>IF($AA1323="","",INDEX('Per Line'!$E$2:$E$4001,$AA1323)&amp;"")</f>
        <v/>
      </c>
      <c r="C1323">
        <f>IF($AA1323="","",INDEX('Per Line'!$A$2:$A$4001,$AA1323)&amp;"")</f>
        <v/>
      </c>
      <c r="D1323">
        <f>IF($AA1323="","",INDEX('Per Line'!$D$2:$D$4001,$AA1323)&amp;"")</f>
        <v/>
      </c>
      <c r="E1323" s="11">
        <f>IF($AA1323="","",INDEX('Per Line'!$G$2:$G$4001,$AA1323))</f>
        <v/>
      </c>
      <c r="F1323">
        <f>IF($AA1323="","",INDEX('Per Line'!$H$2:$H$4001,$AA1323)&amp;"")</f>
        <v/>
      </c>
      <c r="G1323">
        <f>IF($AA1323="","",INDEX('Per Line'!$I$2:$I$4001,$AA1323)&amp;"")</f>
        <v/>
      </c>
      <c r="H1323">
        <f>IF($AA1323="","",INDEX('Per Line'!$J$2:$J$4001,$AA1323)&amp;"")</f>
        <v/>
      </c>
      <c r="I1323">
        <f>IF($AA1323="","",INDEX('Per Line'!$K$2:$K$4001,$AA1323)&amp;"")</f>
        <v/>
      </c>
      <c r="J1323">
        <f>IF($AA1323="","",INDEX('Per Line'!$L$2:$L$4001,$AA1323)&amp;"")</f>
        <v/>
      </c>
      <c r="K1323">
        <f>IF($AA1323="","",INDEX('Per Line'!$P$2:$P$4001,$AA1323))</f>
        <v/>
      </c>
      <c r="L1323" s="7">
        <f>IF($AA1323="","",IF(AND(ISNUMBER(N1323),N1323&gt;0,Y1323&gt;N1323),K1323*N1323/100+(Y1323-N1323),K1323*Y1323/100))</f>
        <v/>
      </c>
      <c r="M1323">
        <f>IF($AA1323="","",INDEX('Per Line'!$Z$2:$Z$4001,$AA1323)&amp;"")</f>
        <v/>
      </c>
      <c r="N1323">
        <f>IF($AA1323="","",INDEX('Per Line'!$AG$2:$AG$4001,$AA1323))</f>
        <v/>
      </c>
      <c r="O1323">
        <f>IF($AA1323="","",IF(AND(ISNUMBER(N1323),N1323&gt;0),Y1323&gt;N1323,FALSE))</f>
        <v/>
      </c>
      <c r="P1323" s="7">
        <f>IF($AA1323="","",SUMIFS('Per Line'!$Y$2:$Y$4001,'Per Line'!$E$2:$E$4001,$B1323,'Per Line'!$AQ$2:$AQ$4001,1))</f>
        <v/>
      </c>
      <c r="Q1323">
        <f>IF($AA1323="","",Settings!$C$7)</f>
        <v/>
      </c>
      <c r="R1323" s="7">
        <f>IF($AA1323="","",SUMIFS('Per Line'!$Y$2:$Y$4001,'Per Line'!$E$2:$E$4001,$B1323,'Per Line'!$AP$2:$AP$4001,0,'Per Line'!$AQ$2:$AQ$4001,0))</f>
        <v/>
      </c>
      <c r="S1323" s="7">
        <f>IF($AA1323="","",R1323*Q1323)</f>
        <v/>
      </c>
      <c r="T1323">
        <f>IF($AA1323="","",Settings!$C$6)</f>
        <v/>
      </c>
      <c r="U1323" s="7">
        <f>IF($AA1323="","",SUMIFS('Per Line'!$Y$2:$Y$4001,'Per Line'!$E$2:$E$4001,$B1323,'Per Line'!$AP$2:$AP$4001,1,'Per Line'!$AQ$2:$AQ$4001,0))</f>
        <v/>
      </c>
      <c r="V1323" s="7">
        <f>IF($AA1323="","",U1323*T1323)</f>
        <v/>
      </c>
      <c r="W1323" s="7">
        <f>IF($AA1323="","",V1323+S1323)</f>
        <v/>
      </c>
      <c r="X1323" s="7">
        <f>IF($AA1323="","",Y1323-W1323)</f>
        <v/>
      </c>
      <c r="Y1323" s="7">
        <f>IF($AA1323="","",R1323+U1323+P1323)</f>
        <v/>
      </c>
      <c r="Z1323" s="7">
        <f>IF($AA1323="","",Y1323-W1323-L1323)</f>
        <v/>
      </c>
      <c r="AA1323" s="13">
        <f>IF(ROWS($AA$2:$AA1323)&lt;=MAX('Per Line'!$AO$2:$AO$4001),MATCH(ROWS($AA$2:$AA1323),'Per Line'!$AO$2:$AO$4001,0),"")</f>
        <v/>
      </c>
      <c r="AB1323" s="14">
        <f>IF($AA1323="","",L1323-K1323*Y1323/100)</f>
        <v/>
      </c>
    </row>
    <row r="1324">
      <c r="A1324" s="12" t="n"/>
      <c r="B1324">
        <f>IF($AA1324="","",INDEX('Per Line'!$E$2:$E$4001,$AA1324)&amp;"")</f>
        <v/>
      </c>
      <c r="C1324">
        <f>IF($AA1324="","",INDEX('Per Line'!$A$2:$A$4001,$AA1324)&amp;"")</f>
        <v/>
      </c>
      <c r="D1324">
        <f>IF($AA1324="","",INDEX('Per Line'!$D$2:$D$4001,$AA1324)&amp;"")</f>
        <v/>
      </c>
      <c r="E1324" s="11">
        <f>IF($AA1324="","",INDEX('Per Line'!$G$2:$G$4001,$AA1324))</f>
        <v/>
      </c>
      <c r="F1324">
        <f>IF($AA1324="","",INDEX('Per Line'!$H$2:$H$4001,$AA1324)&amp;"")</f>
        <v/>
      </c>
      <c r="G1324">
        <f>IF($AA1324="","",INDEX('Per Line'!$I$2:$I$4001,$AA1324)&amp;"")</f>
        <v/>
      </c>
      <c r="H1324">
        <f>IF($AA1324="","",INDEX('Per Line'!$J$2:$J$4001,$AA1324)&amp;"")</f>
        <v/>
      </c>
      <c r="I1324">
        <f>IF($AA1324="","",INDEX('Per Line'!$K$2:$K$4001,$AA1324)&amp;"")</f>
        <v/>
      </c>
      <c r="J1324">
        <f>IF($AA1324="","",INDEX('Per Line'!$L$2:$L$4001,$AA1324)&amp;"")</f>
        <v/>
      </c>
      <c r="K1324">
        <f>IF($AA1324="","",INDEX('Per Line'!$P$2:$P$4001,$AA1324))</f>
        <v/>
      </c>
      <c r="L1324" s="7">
        <f>IF($AA1324="","",IF(AND(ISNUMBER(N1324),N1324&gt;0,Y1324&gt;N1324),K1324*N1324/100+(Y1324-N1324),K1324*Y1324/100))</f>
        <v/>
      </c>
      <c r="M1324">
        <f>IF($AA1324="","",INDEX('Per Line'!$Z$2:$Z$4001,$AA1324)&amp;"")</f>
        <v/>
      </c>
      <c r="N1324">
        <f>IF($AA1324="","",INDEX('Per Line'!$AG$2:$AG$4001,$AA1324))</f>
        <v/>
      </c>
      <c r="O1324">
        <f>IF($AA1324="","",IF(AND(ISNUMBER(N1324),N1324&gt;0),Y1324&gt;N1324,FALSE))</f>
        <v/>
      </c>
      <c r="P1324" s="7">
        <f>IF($AA1324="","",SUMIFS('Per Line'!$Y$2:$Y$4001,'Per Line'!$E$2:$E$4001,$B1324,'Per Line'!$AQ$2:$AQ$4001,1))</f>
        <v/>
      </c>
      <c r="Q1324">
        <f>IF($AA1324="","",Settings!$C$7)</f>
        <v/>
      </c>
      <c r="R1324" s="7">
        <f>IF($AA1324="","",SUMIFS('Per Line'!$Y$2:$Y$4001,'Per Line'!$E$2:$E$4001,$B1324,'Per Line'!$AP$2:$AP$4001,0,'Per Line'!$AQ$2:$AQ$4001,0))</f>
        <v/>
      </c>
      <c r="S1324" s="7">
        <f>IF($AA1324="","",R1324*Q1324)</f>
        <v/>
      </c>
      <c r="T1324">
        <f>IF($AA1324="","",Settings!$C$6)</f>
        <v/>
      </c>
      <c r="U1324" s="7">
        <f>IF($AA1324="","",SUMIFS('Per Line'!$Y$2:$Y$4001,'Per Line'!$E$2:$E$4001,$B1324,'Per Line'!$AP$2:$AP$4001,1,'Per Line'!$AQ$2:$AQ$4001,0))</f>
        <v/>
      </c>
      <c r="V1324" s="7">
        <f>IF($AA1324="","",U1324*T1324)</f>
        <v/>
      </c>
      <c r="W1324" s="7">
        <f>IF($AA1324="","",V1324+S1324)</f>
        <v/>
      </c>
      <c r="X1324" s="7">
        <f>IF($AA1324="","",Y1324-W1324)</f>
        <v/>
      </c>
      <c r="Y1324" s="7">
        <f>IF($AA1324="","",R1324+U1324+P1324)</f>
        <v/>
      </c>
      <c r="Z1324" s="7">
        <f>IF($AA1324="","",Y1324-W1324-L1324)</f>
        <v/>
      </c>
      <c r="AA1324" s="13">
        <f>IF(ROWS($AA$2:$AA1324)&lt;=MAX('Per Line'!$AO$2:$AO$4001),MATCH(ROWS($AA$2:$AA1324),'Per Line'!$AO$2:$AO$4001,0),"")</f>
        <v/>
      </c>
      <c r="AB1324" s="14">
        <f>IF($AA1324="","",L1324-K1324*Y1324/100)</f>
        <v/>
      </c>
    </row>
    <row r="1325">
      <c r="A1325" s="12" t="n"/>
      <c r="B1325">
        <f>IF($AA1325="","",INDEX('Per Line'!$E$2:$E$4001,$AA1325)&amp;"")</f>
        <v/>
      </c>
      <c r="C1325">
        <f>IF($AA1325="","",INDEX('Per Line'!$A$2:$A$4001,$AA1325)&amp;"")</f>
        <v/>
      </c>
      <c r="D1325">
        <f>IF($AA1325="","",INDEX('Per Line'!$D$2:$D$4001,$AA1325)&amp;"")</f>
        <v/>
      </c>
      <c r="E1325" s="11">
        <f>IF($AA1325="","",INDEX('Per Line'!$G$2:$G$4001,$AA1325))</f>
        <v/>
      </c>
      <c r="F1325">
        <f>IF($AA1325="","",INDEX('Per Line'!$H$2:$H$4001,$AA1325)&amp;"")</f>
        <v/>
      </c>
      <c r="G1325">
        <f>IF($AA1325="","",INDEX('Per Line'!$I$2:$I$4001,$AA1325)&amp;"")</f>
        <v/>
      </c>
      <c r="H1325">
        <f>IF($AA1325="","",INDEX('Per Line'!$J$2:$J$4001,$AA1325)&amp;"")</f>
        <v/>
      </c>
      <c r="I1325">
        <f>IF($AA1325="","",INDEX('Per Line'!$K$2:$K$4001,$AA1325)&amp;"")</f>
        <v/>
      </c>
      <c r="J1325">
        <f>IF($AA1325="","",INDEX('Per Line'!$L$2:$L$4001,$AA1325)&amp;"")</f>
        <v/>
      </c>
      <c r="K1325">
        <f>IF($AA1325="","",INDEX('Per Line'!$P$2:$P$4001,$AA1325))</f>
        <v/>
      </c>
      <c r="L1325" s="7">
        <f>IF($AA1325="","",IF(AND(ISNUMBER(N1325),N1325&gt;0,Y1325&gt;N1325),K1325*N1325/100+(Y1325-N1325),K1325*Y1325/100))</f>
        <v/>
      </c>
      <c r="M1325">
        <f>IF($AA1325="","",INDEX('Per Line'!$Z$2:$Z$4001,$AA1325)&amp;"")</f>
        <v/>
      </c>
      <c r="N1325">
        <f>IF($AA1325="","",INDEX('Per Line'!$AG$2:$AG$4001,$AA1325))</f>
        <v/>
      </c>
      <c r="O1325">
        <f>IF($AA1325="","",IF(AND(ISNUMBER(N1325),N1325&gt;0),Y1325&gt;N1325,FALSE))</f>
        <v/>
      </c>
      <c r="P1325" s="7">
        <f>IF($AA1325="","",SUMIFS('Per Line'!$Y$2:$Y$4001,'Per Line'!$E$2:$E$4001,$B1325,'Per Line'!$AQ$2:$AQ$4001,1))</f>
        <v/>
      </c>
      <c r="Q1325">
        <f>IF($AA1325="","",Settings!$C$7)</f>
        <v/>
      </c>
      <c r="R1325" s="7">
        <f>IF($AA1325="","",SUMIFS('Per Line'!$Y$2:$Y$4001,'Per Line'!$E$2:$E$4001,$B1325,'Per Line'!$AP$2:$AP$4001,0,'Per Line'!$AQ$2:$AQ$4001,0))</f>
        <v/>
      </c>
      <c r="S1325" s="7">
        <f>IF($AA1325="","",R1325*Q1325)</f>
        <v/>
      </c>
      <c r="T1325">
        <f>IF($AA1325="","",Settings!$C$6)</f>
        <v/>
      </c>
      <c r="U1325" s="7">
        <f>IF($AA1325="","",SUMIFS('Per Line'!$Y$2:$Y$4001,'Per Line'!$E$2:$E$4001,$B1325,'Per Line'!$AP$2:$AP$4001,1,'Per Line'!$AQ$2:$AQ$4001,0))</f>
        <v/>
      </c>
      <c r="V1325" s="7">
        <f>IF($AA1325="","",U1325*T1325)</f>
        <v/>
      </c>
      <c r="W1325" s="7">
        <f>IF($AA1325="","",V1325+S1325)</f>
        <v/>
      </c>
      <c r="X1325" s="7">
        <f>IF($AA1325="","",Y1325-W1325)</f>
        <v/>
      </c>
      <c r="Y1325" s="7">
        <f>IF($AA1325="","",R1325+U1325+P1325)</f>
        <v/>
      </c>
      <c r="Z1325" s="7">
        <f>IF($AA1325="","",Y1325-W1325-L1325)</f>
        <v/>
      </c>
      <c r="AA1325" s="13">
        <f>IF(ROWS($AA$2:$AA1325)&lt;=MAX('Per Line'!$AO$2:$AO$4001),MATCH(ROWS($AA$2:$AA1325),'Per Line'!$AO$2:$AO$4001,0),"")</f>
        <v/>
      </c>
      <c r="AB1325" s="14">
        <f>IF($AA1325="","",L1325-K1325*Y1325/100)</f>
        <v/>
      </c>
    </row>
    <row r="1326">
      <c r="A1326" s="12" t="n"/>
      <c r="B1326">
        <f>IF($AA1326="","",INDEX('Per Line'!$E$2:$E$4001,$AA1326)&amp;"")</f>
        <v/>
      </c>
      <c r="C1326">
        <f>IF($AA1326="","",INDEX('Per Line'!$A$2:$A$4001,$AA1326)&amp;"")</f>
        <v/>
      </c>
      <c r="D1326">
        <f>IF($AA1326="","",INDEX('Per Line'!$D$2:$D$4001,$AA1326)&amp;"")</f>
        <v/>
      </c>
      <c r="E1326" s="11">
        <f>IF($AA1326="","",INDEX('Per Line'!$G$2:$G$4001,$AA1326))</f>
        <v/>
      </c>
      <c r="F1326">
        <f>IF($AA1326="","",INDEX('Per Line'!$H$2:$H$4001,$AA1326)&amp;"")</f>
        <v/>
      </c>
      <c r="G1326">
        <f>IF($AA1326="","",INDEX('Per Line'!$I$2:$I$4001,$AA1326)&amp;"")</f>
        <v/>
      </c>
      <c r="H1326">
        <f>IF($AA1326="","",INDEX('Per Line'!$J$2:$J$4001,$AA1326)&amp;"")</f>
        <v/>
      </c>
      <c r="I1326">
        <f>IF($AA1326="","",INDEX('Per Line'!$K$2:$K$4001,$AA1326)&amp;"")</f>
        <v/>
      </c>
      <c r="J1326">
        <f>IF($AA1326="","",INDEX('Per Line'!$L$2:$L$4001,$AA1326)&amp;"")</f>
        <v/>
      </c>
      <c r="K1326">
        <f>IF($AA1326="","",INDEX('Per Line'!$P$2:$P$4001,$AA1326))</f>
        <v/>
      </c>
      <c r="L1326" s="7">
        <f>IF($AA1326="","",IF(AND(ISNUMBER(N1326),N1326&gt;0,Y1326&gt;N1326),K1326*N1326/100+(Y1326-N1326),K1326*Y1326/100))</f>
        <v/>
      </c>
      <c r="M1326">
        <f>IF($AA1326="","",INDEX('Per Line'!$Z$2:$Z$4001,$AA1326)&amp;"")</f>
        <v/>
      </c>
      <c r="N1326">
        <f>IF($AA1326="","",INDEX('Per Line'!$AG$2:$AG$4001,$AA1326))</f>
        <v/>
      </c>
      <c r="O1326">
        <f>IF($AA1326="","",IF(AND(ISNUMBER(N1326),N1326&gt;0),Y1326&gt;N1326,FALSE))</f>
        <v/>
      </c>
      <c r="P1326" s="7">
        <f>IF($AA1326="","",SUMIFS('Per Line'!$Y$2:$Y$4001,'Per Line'!$E$2:$E$4001,$B1326,'Per Line'!$AQ$2:$AQ$4001,1))</f>
        <v/>
      </c>
      <c r="Q1326">
        <f>IF($AA1326="","",Settings!$C$7)</f>
        <v/>
      </c>
      <c r="R1326" s="7">
        <f>IF($AA1326="","",SUMIFS('Per Line'!$Y$2:$Y$4001,'Per Line'!$E$2:$E$4001,$B1326,'Per Line'!$AP$2:$AP$4001,0,'Per Line'!$AQ$2:$AQ$4001,0))</f>
        <v/>
      </c>
      <c r="S1326" s="7">
        <f>IF($AA1326="","",R1326*Q1326)</f>
        <v/>
      </c>
      <c r="T1326">
        <f>IF($AA1326="","",Settings!$C$6)</f>
        <v/>
      </c>
      <c r="U1326" s="7">
        <f>IF($AA1326="","",SUMIFS('Per Line'!$Y$2:$Y$4001,'Per Line'!$E$2:$E$4001,$B1326,'Per Line'!$AP$2:$AP$4001,1,'Per Line'!$AQ$2:$AQ$4001,0))</f>
        <v/>
      </c>
      <c r="V1326" s="7">
        <f>IF($AA1326="","",U1326*T1326)</f>
        <v/>
      </c>
      <c r="W1326" s="7">
        <f>IF($AA1326="","",V1326+S1326)</f>
        <v/>
      </c>
      <c r="X1326" s="7">
        <f>IF($AA1326="","",Y1326-W1326)</f>
        <v/>
      </c>
      <c r="Y1326" s="7">
        <f>IF($AA1326="","",R1326+U1326+P1326)</f>
        <v/>
      </c>
      <c r="Z1326" s="7">
        <f>IF($AA1326="","",Y1326-W1326-L1326)</f>
        <v/>
      </c>
      <c r="AA1326" s="13">
        <f>IF(ROWS($AA$2:$AA1326)&lt;=MAX('Per Line'!$AO$2:$AO$4001),MATCH(ROWS($AA$2:$AA1326),'Per Line'!$AO$2:$AO$4001,0),"")</f>
        <v/>
      </c>
      <c r="AB1326" s="14">
        <f>IF($AA1326="","",L1326-K1326*Y1326/100)</f>
        <v/>
      </c>
    </row>
    <row r="1327">
      <c r="A1327" s="12" t="n"/>
      <c r="B1327">
        <f>IF($AA1327="","",INDEX('Per Line'!$E$2:$E$4001,$AA1327)&amp;"")</f>
        <v/>
      </c>
      <c r="C1327">
        <f>IF($AA1327="","",INDEX('Per Line'!$A$2:$A$4001,$AA1327)&amp;"")</f>
        <v/>
      </c>
      <c r="D1327">
        <f>IF($AA1327="","",INDEX('Per Line'!$D$2:$D$4001,$AA1327)&amp;"")</f>
        <v/>
      </c>
      <c r="E1327" s="11">
        <f>IF($AA1327="","",INDEX('Per Line'!$G$2:$G$4001,$AA1327))</f>
        <v/>
      </c>
      <c r="F1327">
        <f>IF($AA1327="","",INDEX('Per Line'!$H$2:$H$4001,$AA1327)&amp;"")</f>
        <v/>
      </c>
      <c r="G1327">
        <f>IF($AA1327="","",INDEX('Per Line'!$I$2:$I$4001,$AA1327)&amp;"")</f>
        <v/>
      </c>
      <c r="H1327">
        <f>IF($AA1327="","",INDEX('Per Line'!$J$2:$J$4001,$AA1327)&amp;"")</f>
        <v/>
      </c>
      <c r="I1327">
        <f>IF($AA1327="","",INDEX('Per Line'!$K$2:$K$4001,$AA1327)&amp;"")</f>
        <v/>
      </c>
      <c r="J1327">
        <f>IF($AA1327="","",INDEX('Per Line'!$L$2:$L$4001,$AA1327)&amp;"")</f>
        <v/>
      </c>
      <c r="K1327">
        <f>IF($AA1327="","",INDEX('Per Line'!$P$2:$P$4001,$AA1327))</f>
        <v/>
      </c>
      <c r="L1327" s="7">
        <f>IF($AA1327="","",IF(AND(ISNUMBER(N1327),N1327&gt;0,Y1327&gt;N1327),K1327*N1327/100+(Y1327-N1327),K1327*Y1327/100))</f>
        <v/>
      </c>
      <c r="M1327">
        <f>IF($AA1327="","",INDEX('Per Line'!$Z$2:$Z$4001,$AA1327)&amp;"")</f>
        <v/>
      </c>
      <c r="N1327">
        <f>IF($AA1327="","",INDEX('Per Line'!$AG$2:$AG$4001,$AA1327))</f>
        <v/>
      </c>
      <c r="O1327">
        <f>IF($AA1327="","",IF(AND(ISNUMBER(N1327),N1327&gt;0),Y1327&gt;N1327,FALSE))</f>
        <v/>
      </c>
      <c r="P1327" s="7">
        <f>IF($AA1327="","",SUMIFS('Per Line'!$Y$2:$Y$4001,'Per Line'!$E$2:$E$4001,$B1327,'Per Line'!$AQ$2:$AQ$4001,1))</f>
        <v/>
      </c>
      <c r="Q1327">
        <f>IF($AA1327="","",Settings!$C$7)</f>
        <v/>
      </c>
      <c r="R1327" s="7">
        <f>IF($AA1327="","",SUMIFS('Per Line'!$Y$2:$Y$4001,'Per Line'!$E$2:$E$4001,$B1327,'Per Line'!$AP$2:$AP$4001,0,'Per Line'!$AQ$2:$AQ$4001,0))</f>
        <v/>
      </c>
      <c r="S1327" s="7">
        <f>IF($AA1327="","",R1327*Q1327)</f>
        <v/>
      </c>
      <c r="T1327">
        <f>IF($AA1327="","",Settings!$C$6)</f>
        <v/>
      </c>
      <c r="U1327" s="7">
        <f>IF($AA1327="","",SUMIFS('Per Line'!$Y$2:$Y$4001,'Per Line'!$E$2:$E$4001,$B1327,'Per Line'!$AP$2:$AP$4001,1,'Per Line'!$AQ$2:$AQ$4001,0))</f>
        <v/>
      </c>
      <c r="V1327" s="7">
        <f>IF($AA1327="","",U1327*T1327)</f>
        <v/>
      </c>
      <c r="W1327" s="7">
        <f>IF($AA1327="","",V1327+S1327)</f>
        <v/>
      </c>
      <c r="X1327" s="7">
        <f>IF($AA1327="","",Y1327-W1327)</f>
        <v/>
      </c>
      <c r="Y1327" s="7">
        <f>IF($AA1327="","",R1327+U1327+P1327)</f>
        <v/>
      </c>
      <c r="Z1327" s="7">
        <f>IF($AA1327="","",Y1327-W1327-L1327)</f>
        <v/>
      </c>
      <c r="AA1327" s="13">
        <f>IF(ROWS($AA$2:$AA1327)&lt;=MAX('Per Line'!$AO$2:$AO$4001),MATCH(ROWS($AA$2:$AA1327),'Per Line'!$AO$2:$AO$4001,0),"")</f>
        <v/>
      </c>
      <c r="AB1327" s="14">
        <f>IF($AA1327="","",L1327-K1327*Y1327/100)</f>
        <v/>
      </c>
    </row>
    <row r="1328">
      <c r="A1328" s="12" t="n"/>
      <c r="B1328">
        <f>IF($AA1328="","",INDEX('Per Line'!$E$2:$E$4001,$AA1328)&amp;"")</f>
        <v/>
      </c>
      <c r="C1328">
        <f>IF($AA1328="","",INDEX('Per Line'!$A$2:$A$4001,$AA1328)&amp;"")</f>
        <v/>
      </c>
      <c r="D1328">
        <f>IF($AA1328="","",INDEX('Per Line'!$D$2:$D$4001,$AA1328)&amp;"")</f>
        <v/>
      </c>
      <c r="E1328" s="11">
        <f>IF($AA1328="","",INDEX('Per Line'!$G$2:$G$4001,$AA1328))</f>
        <v/>
      </c>
      <c r="F1328">
        <f>IF($AA1328="","",INDEX('Per Line'!$H$2:$H$4001,$AA1328)&amp;"")</f>
        <v/>
      </c>
      <c r="G1328">
        <f>IF($AA1328="","",INDEX('Per Line'!$I$2:$I$4001,$AA1328)&amp;"")</f>
        <v/>
      </c>
      <c r="H1328">
        <f>IF($AA1328="","",INDEX('Per Line'!$J$2:$J$4001,$AA1328)&amp;"")</f>
        <v/>
      </c>
      <c r="I1328">
        <f>IF($AA1328="","",INDEX('Per Line'!$K$2:$K$4001,$AA1328)&amp;"")</f>
        <v/>
      </c>
      <c r="J1328">
        <f>IF($AA1328="","",INDEX('Per Line'!$L$2:$L$4001,$AA1328)&amp;"")</f>
        <v/>
      </c>
      <c r="K1328">
        <f>IF($AA1328="","",INDEX('Per Line'!$P$2:$P$4001,$AA1328))</f>
        <v/>
      </c>
      <c r="L1328" s="7">
        <f>IF($AA1328="","",IF(AND(ISNUMBER(N1328),N1328&gt;0,Y1328&gt;N1328),K1328*N1328/100+(Y1328-N1328),K1328*Y1328/100))</f>
        <v/>
      </c>
      <c r="M1328">
        <f>IF($AA1328="","",INDEX('Per Line'!$Z$2:$Z$4001,$AA1328)&amp;"")</f>
        <v/>
      </c>
      <c r="N1328">
        <f>IF($AA1328="","",INDEX('Per Line'!$AG$2:$AG$4001,$AA1328))</f>
        <v/>
      </c>
      <c r="O1328">
        <f>IF($AA1328="","",IF(AND(ISNUMBER(N1328),N1328&gt;0),Y1328&gt;N1328,FALSE))</f>
        <v/>
      </c>
      <c r="P1328" s="7">
        <f>IF($AA1328="","",SUMIFS('Per Line'!$Y$2:$Y$4001,'Per Line'!$E$2:$E$4001,$B1328,'Per Line'!$AQ$2:$AQ$4001,1))</f>
        <v/>
      </c>
      <c r="Q1328">
        <f>IF($AA1328="","",Settings!$C$7)</f>
        <v/>
      </c>
      <c r="R1328" s="7">
        <f>IF($AA1328="","",SUMIFS('Per Line'!$Y$2:$Y$4001,'Per Line'!$E$2:$E$4001,$B1328,'Per Line'!$AP$2:$AP$4001,0,'Per Line'!$AQ$2:$AQ$4001,0))</f>
        <v/>
      </c>
      <c r="S1328" s="7">
        <f>IF($AA1328="","",R1328*Q1328)</f>
        <v/>
      </c>
      <c r="T1328">
        <f>IF($AA1328="","",Settings!$C$6)</f>
        <v/>
      </c>
      <c r="U1328" s="7">
        <f>IF($AA1328="","",SUMIFS('Per Line'!$Y$2:$Y$4001,'Per Line'!$E$2:$E$4001,$B1328,'Per Line'!$AP$2:$AP$4001,1,'Per Line'!$AQ$2:$AQ$4001,0))</f>
        <v/>
      </c>
      <c r="V1328" s="7">
        <f>IF($AA1328="","",U1328*T1328)</f>
        <v/>
      </c>
      <c r="W1328" s="7">
        <f>IF($AA1328="","",V1328+S1328)</f>
        <v/>
      </c>
      <c r="X1328" s="7">
        <f>IF($AA1328="","",Y1328-W1328)</f>
        <v/>
      </c>
      <c r="Y1328" s="7">
        <f>IF($AA1328="","",R1328+U1328+P1328)</f>
        <v/>
      </c>
      <c r="Z1328" s="7">
        <f>IF($AA1328="","",Y1328-W1328-L1328)</f>
        <v/>
      </c>
      <c r="AA1328" s="13">
        <f>IF(ROWS($AA$2:$AA1328)&lt;=MAX('Per Line'!$AO$2:$AO$4001),MATCH(ROWS($AA$2:$AA1328),'Per Line'!$AO$2:$AO$4001,0),"")</f>
        <v/>
      </c>
      <c r="AB1328" s="14">
        <f>IF($AA1328="","",L1328-K1328*Y1328/100)</f>
        <v/>
      </c>
    </row>
    <row r="1329">
      <c r="A1329" s="12" t="n"/>
      <c r="B1329">
        <f>IF($AA1329="","",INDEX('Per Line'!$E$2:$E$4001,$AA1329)&amp;"")</f>
        <v/>
      </c>
      <c r="C1329">
        <f>IF($AA1329="","",INDEX('Per Line'!$A$2:$A$4001,$AA1329)&amp;"")</f>
        <v/>
      </c>
      <c r="D1329">
        <f>IF($AA1329="","",INDEX('Per Line'!$D$2:$D$4001,$AA1329)&amp;"")</f>
        <v/>
      </c>
      <c r="E1329" s="11">
        <f>IF($AA1329="","",INDEX('Per Line'!$G$2:$G$4001,$AA1329))</f>
        <v/>
      </c>
      <c r="F1329">
        <f>IF($AA1329="","",INDEX('Per Line'!$H$2:$H$4001,$AA1329)&amp;"")</f>
        <v/>
      </c>
      <c r="G1329">
        <f>IF($AA1329="","",INDEX('Per Line'!$I$2:$I$4001,$AA1329)&amp;"")</f>
        <v/>
      </c>
      <c r="H1329">
        <f>IF($AA1329="","",INDEX('Per Line'!$J$2:$J$4001,$AA1329)&amp;"")</f>
        <v/>
      </c>
      <c r="I1329">
        <f>IF($AA1329="","",INDEX('Per Line'!$K$2:$K$4001,$AA1329)&amp;"")</f>
        <v/>
      </c>
      <c r="J1329">
        <f>IF($AA1329="","",INDEX('Per Line'!$L$2:$L$4001,$AA1329)&amp;"")</f>
        <v/>
      </c>
      <c r="K1329">
        <f>IF($AA1329="","",INDEX('Per Line'!$P$2:$P$4001,$AA1329))</f>
        <v/>
      </c>
      <c r="L1329" s="7">
        <f>IF($AA1329="","",IF(AND(ISNUMBER(N1329),N1329&gt;0,Y1329&gt;N1329),K1329*N1329/100+(Y1329-N1329),K1329*Y1329/100))</f>
        <v/>
      </c>
      <c r="M1329">
        <f>IF($AA1329="","",INDEX('Per Line'!$Z$2:$Z$4001,$AA1329)&amp;"")</f>
        <v/>
      </c>
      <c r="N1329">
        <f>IF($AA1329="","",INDEX('Per Line'!$AG$2:$AG$4001,$AA1329))</f>
        <v/>
      </c>
      <c r="O1329">
        <f>IF($AA1329="","",IF(AND(ISNUMBER(N1329),N1329&gt;0),Y1329&gt;N1329,FALSE))</f>
        <v/>
      </c>
      <c r="P1329" s="7">
        <f>IF($AA1329="","",SUMIFS('Per Line'!$Y$2:$Y$4001,'Per Line'!$E$2:$E$4001,$B1329,'Per Line'!$AQ$2:$AQ$4001,1))</f>
        <v/>
      </c>
      <c r="Q1329">
        <f>IF($AA1329="","",Settings!$C$7)</f>
        <v/>
      </c>
      <c r="R1329" s="7">
        <f>IF($AA1329="","",SUMIFS('Per Line'!$Y$2:$Y$4001,'Per Line'!$E$2:$E$4001,$B1329,'Per Line'!$AP$2:$AP$4001,0,'Per Line'!$AQ$2:$AQ$4001,0))</f>
        <v/>
      </c>
      <c r="S1329" s="7">
        <f>IF($AA1329="","",R1329*Q1329)</f>
        <v/>
      </c>
      <c r="T1329">
        <f>IF($AA1329="","",Settings!$C$6)</f>
        <v/>
      </c>
      <c r="U1329" s="7">
        <f>IF($AA1329="","",SUMIFS('Per Line'!$Y$2:$Y$4001,'Per Line'!$E$2:$E$4001,$B1329,'Per Line'!$AP$2:$AP$4001,1,'Per Line'!$AQ$2:$AQ$4001,0))</f>
        <v/>
      </c>
      <c r="V1329" s="7">
        <f>IF($AA1329="","",U1329*T1329)</f>
        <v/>
      </c>
      <c r="W1329" s="7">
        <f>IF($AA1329="","",V1329+S1329)</f>
        <v/>
      </c>
      <c r="X1329" s="7">
        <f>IF($AA1329="","",Y1329-W1329)</f>
        <v/>
      </c>
      <c r="Y1329" s="7">
        <f>IF($AA1329="","",R1329+U1329+P1329)</f>
        <v/>
      </c>
      <c r="Z1329" s="7">
        <f>IF($AA1329="","",Y1329-W1329-L1329)</f>
        <v/>
      </c>
      <c r="AA1329" s="13">
        <f>IF(ROWS($AA$2:$AA1329)&lt;=MAX('Per Line'!$AO$2:$AO$4001),MATCH(ROWS($AA$2:$AA1329),'Per Line'!$AO$2:$AO$4001,0),"")</f>
        <v/>
      </c>
      <c r="AB1329" s="14">
        <f>IF($AA1329="","",L1329-K1329*Y1329/100)</f>
        <v/>
      </c>
    </row>
    <row r="1330">
      <c r="A1330" s="12" t="n"/>
      <c r="B1330">
        <f>IF($AA1330="","",INDEX('Per Line'!$E$2:$E$4001,$AA1330)&amp;"")</f>
        <v/>
      </c>
      <c r="C1330">
        <f>IF($AA1330="","",INDEX('Per Line'!$A$2:$A$4001,$AA1330)&amp;"")</f>
        <v/>
      </c>
      <c r="D1330">
        <f>IF($AA1330="","",INDEX('Per Line'!$D$2:$D$4001,$AA1330)&amp;"")</f>
        <v/>
      </c>
      <c r="E1330" s="11">
        <f>IF($AA1330="","",INDEX('Per Line'!$G$2:$G$4001,$AA1330))</f>
        <v/>
      </c>
      <c r="F1330">
        <f>IF($AA1330="","",INDEX('Per Line'!$H$2:$H$4001,$AA1330)&amp;"")</f>
        <v/>
      </c>
      <c r="G1330">
        <f>IF($AA1330="","",INDEX('Per Line'!$I$2:$I$4001,$AA1330)&amp;"")</f>
        <v/>
      </c>
      <c r="H1330">
        <f>IF($AA1330="","",INDEX('Per Line'!$J$2:$J$4001,$AA1330)&amp;"")</f>
        <v/>
      </c>
      <c r="I1330">
        <f>IF($AA1330="","",INDEX('Per Line'!$K$2:$K$4001,$AA1330)&amp;"")</f>
        <v/>
      </c>
      <c r="J1330">
        <f>IF($AA1330="","",INDEX('Per Line'!$L$2:$L$4001,$AA1330)&amp;"")</f>
        <v/>
      </c>
      <c r="K1330">
        <f>IF($AA1330="","",INDEX('Per Line'!$P$2:$P$4001,$AA1330))</f>
        <v/>
      </c>
      <c r="L1330" s="7">
        <f>IF($AA1330="","",IF(AND(ISNUMBER(N1330),N1330&gt;0,Y1330&gt;N1330),K1330*N1330/100+(Y1330-N1330),K1330*Y1330/100))</f>
        <v/>
      </c>
      <c r="M1330">
        <f>IF($AA1330="","",INDEX('Per Line'!$Z$2:$Z$4001,$AA1330)&amp;"")</f>
        <v/>
      </c>
      <c r="N1330">
        <f>IF($AA1330="","",INDEX('Per Line'!$AG$2:$AG$4001,$AA1330))</f>
        <v/>
      </c>
      <c r="O1330">
        <f>IF($AA1330="","",IF(AND(ISNUMBER(N1330),N1330&gt;0),Y1330&gt;N1330,FALSE))</f>
        <v/>
      </c>
      <c r="P1330" s="7">
        <f>IF($AA1330="","",SUMIFS('Per Line'!$Y$2:$Y$4001,'Per Line'!$E$2:$E$4001,$B1330,'Per Line'!$AQ$2:$AQ$4001,1))</f>
        <v/>
      </c>
      <c r="Q1330">
        <f>IF($AA1330="","",Settings!$C$7)</f>
        <v/>
      </c>
      <c r="R1330" s="7">
        <f>IF($AA1330="","",SUMIFS('Per Line'!$Y$2:$Y$4001,'Per Line'!$E$2:$E$4001,$B1330,'Per Line'!$AP$2:$AP$4001,0,'Per Line'!$AQ$2:$AQ$4001,0))</f>
        <v/>
      </c>
      <c r="S1330" s="7">
        <f>IF($AA1330="","",R1330*Q1330)</f>
        <v/>
      </c>
      <c r="T1330">
        <f>IF($AA1330="","",Settings!$C$6)</f>
        <v/>
      </c>
      <c r="U1330" s="7">
        <f>IF($AA1330="","",SUMIFS('Per Line'!$Y$2:$Y$4001,'Per Line'!$E$2:$E$4001,$B1330,'Per Line'!$AP$2:$AP$4001,1,'Per Line'!$AQ$2:$AQ$4001,0))</f>
        <v/>
      </c>
      <c r="V1330" s="7">
        <f>IF($AA1330="","",U1330*T1330)</f>
        <v/>
      </c>
      <c r="W1330" s="7">
        <f>IF($AA1330="","",V1330+S1330)</f>
        <v/>
      </c>
      <c r="X1330" s="7">
        <f>IF($AA1330="","",Y1330-W1330)</f>
        <v/>
      </c>
      <c r="Y1330" s="7">
        <f>IF($AA1330="","",R1330+U1330+P1330)</f>
        <v/>
      </c>
      <c r="Z1330" s="7">
        <f>IF($AA1330="","",Y1330-W1330-L1330)</f>
        <v/>
      </c>
      <c r="AA1330" s="13">
        <f>IF(ROWS($AA$2:$AA1330)&lt;=MAX('Per Line'!$AO$2:$AO$4001),MATCH(ROWS($AA$2:$AA1330),'Per Line'!$AO$2:$AO$4001,0),"")</f>
        <v/>
      </c>
      <c r="AB1330" s="14">
        <f>IF($AA1330="","",L1330-K1330*Y1330/100)</f>
        <v/>
      </c>
    </row>
    <row r="1331">
      <c r="A1331" s="12" t="n"/>
      <c r="B1331">
        <f>IF($AA1331="","",INDEX('Per Line'!$E$2:$E$4001,$AA1331)&amp;"")</f>
        <v/>
      </c>
      <c r="C1331">
        <f>IF($AA1331="","",INDEX('Per Line'!$A$2:$A$4001,$AA1331)&amp;"")</f>
        <v/>
      </c>
      <c r="D1331">
        <f>IF($AA1331="","",INDEX('Per Line'!$D$2:$D$4001,$AA1331)&amp;"")</f>
        <v/>
      </c>
      <c r="E1331" s="11">
        <f>IF($AA1331="","",INDEX('Per Line'!$G$2:$G$4001,$AA1331))</f>
        <v/>
      </c>
      <c r="F1331">
        <f>IF($AA1331="","",INDEX('Per Line'!$H$2:$H$4001,$AA1331)&amp;"")</f>
        <v/>
      </c>
      <c r="G1331">
        <f>IF($AA1331="","",INDEX('Per Line'!$I$2:$I$4001,$AA1331)&amp;"")</f>
        <v/>
      </c>
      <c r="H1331">
        <f>IF($AA1331="","",INDEX('Per Line'!$J$2:$J$4001,$AA1331)&amp;"")</f>
        <v/>
      </c>
      <c r="I1331">
        <f>IF($AA1331="","",INDEX('Per Line'!$K$2:$K$4001,$AA1331)&amp;"")</f>
        <v/>
      </c>
      <c r="J1331">
        <f>IF($AA1331="","",INDEX('Per Line'!$L$2:$L$4001,$AA1331)&amp;"")</f>
        <v/>
      </c>
      <c r="K1331">
        <f>IF($AA1331="","",INDEX('Per Line'!$P$2:$P$4001,$AA1331))</f>
        <v/>
      </c>
      <c r="L1331" s="7">
        <f>IF($AA1331="","",IF(AND(ISNUMBER(N1331),N1331&gt;0,Y1331&gt;N1331),K1331*N1331/100+(Y1331-N1331),K1331*Y1331/100))</f>
        <v/>
      </c>
      <c r="M1331">
        <f>IF($AA1331="","",INDEX('Per Line'!$Z$2:$Z$4001,$AA1331)&amp;"")</f>
        <v/>
      </c>
      <c r="N1331">
        <f>IF($AA1331="","",INDEX('Per Line'!$AG$2:$AG$4001,$AA1331))</f>
        <v/>
      </c>
      <c r="O1331">
        <f>IF($AA1331="","",IF(AND(ISNUMBER(N1331),N1331&gt;0),Y1331&gt;N1331,FALSE))</f>
        <v/>
      </c>
      <c r="P1331" s="7">
        <f>IF($AA1331="","",SUMIFS('Per Line'!$Y$2:$Y$4001,'Per Line'!$E$2:$E$4001,$B1331,'Per Line'!$AQ$2:$AQ$4001,1))</f>
        <v/>
      </c>
      <c r="Q1331">
        <f>IF($AA1331="","",Settings!$C$7)</f>
        <v/>
      </c>
      <c r="R1331" s="7">
        <f>IF($AA1331="","",SUMIFS('Per Line'!$Y$2:$Y$4001,'Per Line'!$E$2:$E$4001,$B1331,'Per Line'!$AP$2:$AP$4001,0,'Per Line'!$AQ$2:$AQ$4001,0))</f>
        <v/>
      </c>
      <c r="S1331" s="7">
        <f>IF($AA1331="","",R1331*Q1331)</f>
        <v/>
      </c>
      <c r="T1331">
        <f>IF($AA1331="","",Settings!$C$6)</f>
        <v/>
      </c>
      <c r="U1331" s="7">
        <f>IF($AA1331="","",SUMIFS('Per Line'!$Y$2:$Y$4001,'Per Line'!$E$2:$E$4001,$B1331,'Per Line'!$AP$2:$AP$4001,1,'Per Line'!$AQ$2:$AQ$4001,0))</f>
        <v/>
      </c>
      <c r="V1331" s="7">
        <f>IF($AA1331="","",U1331*T1331)</f>
        <v/>
      </c>
      <c r="W1331" s="7">
        <f>IF($AA1331="","",V1331+S1331)</f>
        <v/>
      </c>
      <c r="X1331" s="7">
        <f>IF($AA1331="","",Y1331-W1331)</f>
        <v/>
      </c>
      <c r="Y1331" s="7">
        <f>IF($AA1331="","",R1331+U1331+P1331)</f>
        <v/>
      </c>
      <c r="Z1331" s="7">
        <f>IF($AA1331="","",Y1331-W1331-L1331)</f>
        <v/>
      </c>
      <c r="AA1331" s="13">
        <f>IF(ROWS($AA$2:$AA1331)&lt;=MAX('Per Line'!$AO$2:$AO$4001),MATCH(ROWS($AA$2:$AA1331),'Per Line'!$AO$2:$AO$4001,0),"")</f>
        <v/>
      </c>
      <c r="AB1331" s="14">
        <f>IF($AA1331="","",L1331-K1331*Y1331/100)</f>
        <v/>
      </c>
    </row>
    <row r="1332">
      <c r="A1332" s="12" t="n"/>
      <c r="B1332">
        <f>IF($AA1332="","",INDEX('Per Line'!$E$2:$E$4001,$AA1332)&amp;"")</f>
        <v/>
      </c>
      <c r="C1332">
        <f>IF($AA1332="","",INDEX('Per Line'!$A$2:$A$4001,$AA1332)&amp;"")</f>
        <v/>
      </c>
      <c r="D1332">
        <f>IF($AA1332="","",INDEX('Per Line'!$D$2:$D$4001,$AA1332)&amp;"")</f>
        <v/>
      </c>
      <c r="E1332" s="11">
        <f>IF($AA1332="","",INDEX('Per Line'!$G$2:$G$4001,$AA1332))</f>
        <v/>
      </c>
      <c r="F1332">
        <f>IF($AA1332="","",INDEX('Per Line'!$H$2:$H$4001,$AA1332)&amp;"")</f>
        <v/>
      </c>
      <c r="G1332">
        <f>IF($AA1332="","",INDEX('Per Line'!$I$2:$I$4001,$AA1332)&amp;"")</f>
        <v/>
      </c>
      <c r="H1332">
        <f>IF($AA1332="","",INDEX('Per Line'!$J$2:$J$4001,$AA1332)&amp;"")</f>
        <v/>
      </c>
      <c r="I1332">
        <f>IF($AA1332="","",INDEX('Per Line'!$K$2:$K$4001,$AA1332)&amp;"")</f>
        <v/>
      </c>
      <c r="J1332">
        <f>IF($AA1332="","",INDEX('Per Line'!$L$2:$L$4001,$AA1332)&amp;"")</f>
        <v/>
      </c>
      <c r="K1332">
        <f>IF($AA1332="","",INDEX('Per Line'!$P$2:$P$4001,$AA1332))</f>
        <v/>
      </c>
      <c r="L1332" s="7">
        <f>IF($AA1332="","",IF(AND(ISNUMBER(N1332),N1332&gt;0,Y1332&gt;N1332),K1332*N1332/100+(Y1332-N1332),K1332*Y1332/100))</f>
        <v/>
      </c>
      <c r="M1332">
        <f>IF($AA1332="","",INDEX('Per Line'!$Z$2:$Z$4001,$AA1332)&amp;"")</f>
        <v/>
      </c>
      <c r="N1332">
        <f>IF($AA1332="","",INDEX('Per Line'!$AG$2:$AG$4001,$AA1332))</f>
        <v/>
      </c>
      <c r="O1332">
        <f>IF($AA1332="","",IF(AND(ISNUMBER(N1332),N1332&gt;0),Y1332&gt;N1332,FALSE))</f>
        <v/>
      </c>
      <c r="P1332" s="7">
        <f>IF($AA1332="","",SUMIFS('Per Line'!$Y$2:$Y$4001,'Per Line'!$E$2:$E$4001,$B1332,'Per Line'!$AQ$2:$AQ$4001,1))</f>
        <v/>
      </c>
      <c r="Q1332">
        <f>IF($AA1332="","",Settings!$C$7)</f>
        <v/>
      </c>
      <c r="R1332" s="7">
        <f>IF($AA1332="","",SUMIFS('Per Line'!$Y$2:$Y$4001,'Per Line'!$E$2:$E$4001,$B1332,'Per Line'!$AP$2:$AP$4001,0,'Per Line'!$AQ$2:$AQ$4001,0))</f>
        <v/>
      </c>
      <c r="S1332" s="7">
        <f>IF($AA1332="","",R1332*Q1332)</f>
        <v/>
      </c>
      <c r="T1332">
        <f>IF($AA1332="","",Settings!$C$6)</f>
        <v/>
      </c>
      <c r="U1332" s="7">
        <f>IF($AA1332="","",SUMIFS('Per Line'!$Y$2:$Y$4001,'Per Line'!$E$2:$E$4001,$B1332,'Per Line'!$AP$2:$AP$4001,1,'Per Line'!$AQ$2:$AQ$4001,0))</f>
        <v/>
      </c>
      <c r="V1332" s="7">
        <f>IF($AA1332="","",U1332*T1332)</f>
        <v/>
      </c>
      <c r="W1332" s="7">
        <f>IF($AA1332="","",V1332+S1332)</f>
        <v/>
      </c>
      <c r="X1332" s="7">
        <f>IF($AA1332="","",Y1332-W1332)</f>
        <v/>
      </c>
      <c r="Y1332" s="7">
        <f>IF($AA1332="","",R1332+U1332+P1332)</f>
        <v/>
      </c>
      <c r="Z1332" s="7">
        <f>IF($AA1332="","",Y1332-W1332-L1332)</f>
        <v/>
      </c>
      <c r="AA1332" s="13">
        <f>IF(ROWS($AA$2:$AA1332)&lt;=MAX('Per Line'!$AO$2:$AO$4001),MATCH(ROWS($AA$2:$AA1332),'Per Line'!$AO$2:$AO$4001,0),"")</f>
        <v/>
      </c>
      <c r="AB1332" s="14">
        <f>IF($AA1332="","",L1332-K1332*Y1332/100)</f>
        <v/>
      </c>
    </row>
    <row r="1333">
      <c r="A1333" s="12" t="n"/>
      <c r="B1333">
        <f>IF($AA1333="","",INDEX('Per Line'!$E$2:$E$4001,$AA1333)&amp;"")</f>
        <v/>
      </c>
      <c r="C1333">
        <f>IF($AA1333="","",INDEX('Per Line'!$A$2:$A$4001,$AA1333)&amp;"")</f>
        <v/>
      </c>
      <c r="D1333">
        <f>IF($AA1333="","",INDEX('Per Line'!$D$2:$D$4001,$AA1333)&amp;"")</f>
        <v/>
      </c>
      <c r="E1333" s="11">
        <f>IF($AA1333="","",INDEX('Per Line'!$G$2:$G$4001,$AA1333))</f>
        <v/>
      </c>
      <c r="F1333">
        <f>IF($AA1333="","",INDEX('Per Line'!$H$2:$H$4001,$AA1333)&amp;"")</f>
        <v/>
      </c>
      <c r="G1333">
        <f>IF($AA1333="","",INDEX('Per Line'!$I$2:$I$4001,$AA1333)&amp;"")</f>
        <v/>
      </c>
      <c r="H1333">
        <f>IF($AA1333="","",INDEX('Per Line'!$J$2:$J$4001,$AA1333)&amp;"")</f>
        <v/>
      </c>
      <c r="I1333">
        <f>IF($AA1333="","",INDEX('Per Line'!$K$2:$K$4001,$AA1333)&amp;"")</f>
        <v/>
      </c>
      <c r="J1333">
        <f>IF($AA1333="","",INDEX('Per Line'!$L$2:$L$4001,$AA1333)&amp;"")</f>
        <v/>
      </c>
      <c r="K1333">
        <f>IF($AA1333="","",INDEX('Per Line'!$P$2:$P$4001,$AA1333))</f>
        <v/>
      </c>
      <c r="L1333" s="7">
        <f>IF($AA1333="","",IF(AND(ISNUMBER(N1333),N1333&gt;0,Y1333&gt;N1333),K1333*N1333/100+(Y1333-N1333),K1333*Y1333/100))</f>
        <v/>
      </c>
      <c r="M1333">
        <f>IF($AA1333="","",INDEX('Per Line'!$Z$2:$Z$4001,$AA1333)&amp;"")</f>
        <v/>
      </c>
      <c r="N1333">
        <f>IF($AA1333="","",INDEX('Per Line'!$AG$2:$AG$4001,$AA1333))</f>
        <v/>
      </c>
      <c r="O1333">
        <f>IF($AA1333="","",IF(AND(ISNUMBER(N1333),N1333&gt;0),Y1333&gt;N1333,FALSE))</f>
        <v/>
      </c>
      <c r="P1333" s="7">
        <f>IF($AA1333="","",SUMIFS('Per Line'!$Y$2:$Y$4001,'Per Line'!$E$2:$E$4001,$B1333,'Per Line'!$AQ$2:$AQ$4001,1))</f>
        <v/>
      </c>
      <c r="Q1333">
        <f>IF($AA1333="","",Settings!$C$7)</f>
        <v/>
      </c>
      <c r="R1333" s="7">
        <f>IF($AA1333="","",SUMIFS('Per Line'!$Y$2:$Y$4001,'Per Line'!$E$2:$E$4001,$B1333,'Per Line'!$AP$2:$AP$4001,0,'Per Line'!$AQ$2:$AQ$4001,0))</f>
        <v/>
      </c>
      <c r="S1333" s="7">
        <f>IF($AA1333="","",R1333*Q1333)</f>
        <v/>
      </c>
      <c r="T1333">
        <f>IF($AA1333="","",Settings!$C$6)</f>
        <v/>
      </c>
      <c r="U1333" s="7">
        <f>IF($AA1333="","",SUMIFS('Per Line'!$Y$2:$Y$4001,'Per Line'!$E$2:$E$4001,$B1333,'Per Line'!$AP$2:$AP$4001,1,'Per Line'!$AQ$2:$AQ$4001,0))</f>
        <v/>
      </c>
      <c r="V1333" s="7">
        <f>IF($AA1333="","",U1333*T1333)</f>
        <v/>
      </c>
      <c r="W1333" s="7">
        <f>IF($AA1333="","",V1333+S1333)</f>
        <v/>
      </c>
      <c r="X1333" s="7">
        <f>IF($AA1333="","",Y1333-W1333)</f>
        <v/>
      </c>
      <c r="Y1333" s="7">
        <f>IF($AA1333="","",R1333+U1333+P1333)</f>
        <v/>
      </c>
      <c r="Z1333" s="7">
        <f>IF($AA1333="","",Y1333-W1333-L1333)</f>
        <v/>
      </c>
      <c r="AA1333" s="13">
        <f>IF(ROWS($AA$2:$AA1333)&lt;=MAX('Per Line'!$AO$2:$AO$4001),MATCH(ROWS($AA$2:$AA1333),'Per Line'!$AO$2:$AO$4001,0),"")</f>
        <v/>
      </c>
      <c r="AB1333" s="14">
        <f>IF($AA1333="","",L1333-K1333*Y1333/100)</f>
        <v/>
      </c>
    </row>
    <row r="1334">
      <c r="A1334" s="12" t="n"/>
      <c r="B1334">
        <f>IF($AA1334="","",INDEX('Per Line'!$E$2:$E$4001,$AA1334)&amp;"")</f>
        <v/>
      </c>
      <c r="C1334">
        <f>IF($AA1334="","",INDEX('Per Line'!$A$2:$A$4001,$AA1334)&amp;"")</f>
        <v/>
      </c>
      <c r="D1334">
        <f>IF($AA1334="","",INDEX('Per Line'!$D$2:$D$4001,$AA1334)&amp;"")</f>
        <v/>
      </c>
      <c r="E1334" s="11">
        <f>IF($AA1334="","",INDEX('Per Line'!$G$2:$G$4001,$AA1334))</f>
        <v/>
      </c>
      <c r="F1334">
        <f>IF($AA1334="","",INDEX('Per Line'!$H$2:$H$4001,$AA1334)&amp;"")</f>
        <v/>
      </c>
      <c r="G1334">
        <f>IF($AA1334="","",INDEX('Per Line'!$I$2:$I$4001,$AA1334)&amp;"")</f>
        <v/>
      </c>
      <c r="H1334">
        <f>IF($AA1334="","",INDEX('Per Line'!$J$2:$J$4001,$AA1334)&amp;"")</f>
        <v/>
      </c>
      <c r="I1334">
        <f>IF($AA1334="","",INDEX('Per Line'!$K$2:$K$4001,$AA1334)&amp;"")</f>
        <v/>
      </c>
      <c r="J1334">
        <f>IF($AA1334="","",INDEX('Per Line'!$L$2:$L$4001,$AA1334)&amp;"")</f>
        <v/>
      </c>
      <c r="K1334">
        <f>IF($AA1334="","",INDEX('Per Line'!$P$2:$P$4001,$AA1334))</f>
        <v/>
      </c>
      <c r="L1334" s="7">
        <f>IF($AA1334="","",IF(AND(ISNUMBER(N1334),N1334&gt;0,Y1334&gt;N1334),K1334*N1334/100+(Y1334-N1334),K1334*Y1334/100))</f>
        <v/>
      </c>
      <c r="M1334">
        <f>IF($AA1334="","",INDEX('Per Line'!$Z$2:$Z$4001,$AA1334)&amp;"")</f>
        <v/>
      </c>
      <c r="N1334">
        <f>IF($AA1334="","",INDEX('Per Line'!$AG$2:$AG$4001,$AA1334))</f>
        <v/>
      </c>
      <c r="O1334">
        <f>IF($AA1334="","",IF(AND(ISNUMBER(N1334),N1334&gt;0),Y1334&gt;N1334,FALSE))</f>
        <v/>
      </c>
      <c r="P1334" s="7">
        <f>IF($AA1334="","",SUMIFS('Per Line'!$Y$2:$Y$4001,'Per Line'!$E$2:$E$4001,$B1334,'Per Line'!$AQ$2:$AQ$4001,1))</f>
        <v/>
      </c>
      <c r="Q1334">
        <f>IF($AA1334="","",Settings!$C$7)</f>
        <v/>
      </c>
      <c r="R1334" s="7">
        <f>IF($AA1334="","",SUMIFS('Per Line'!$Y$2:$Y$4001,'Per Line'!$E$2:$E$4001,$B1334,'Per Line'!$AP$2:$AP$4001,0,'Per Line'!$AQ$2:$AQ$4001,0))</f>
        <v/>
      </c>
      <c r="S1334" s="7">
        <f>IF($AA1334="","",R1334*Q1334)</f>
        <v/>
      </c>
      <c r="T1334">
        <f>IF($AA1334="","",Settings!$C$6)</f>
        <v/>
      </c>
      <c r="U1334" s="7">
        <f>IF($AA1334="","",SUMIFS('Per Line'!$Y$2:$Y$4001,'Per Line'!$E$2:$E$4001,$B1334,'Per Line'!$AP$2:$AP$4001,1,'Per Line'!$AQ$2:$AQ$4001,0))</f>
        <v/>
      </c>
      <c r="V1334" s="7">
        <f>IF($AA1334="","",U1334*T1334)</f>
        <v/>
      </c>
      <c r="W1334" s="7">
        <f>IF($AA1334="","",V1334+S1334)</f>
        <v/>
      </c>
      <c r="X1334" s="7">
        <f>IF($AA1334="","",Y1334-W1334)</f>
        <v/>
      </c>
      <c r="Y1334" s="7">
        <f>IF($AA1334="","",R1334+U1334+P1334)</f>
        <v/>
      </c>
      <c r="Z1334" s="7">
        <f>IF($AA1334="","",Y1334-W1334-L1334)</f>
        <v/>
      </c>
      <c r="AA1334" s="13">
        <f>IF(ROWS($AA$2:$AA1334)&lt;=MAX('Per Line'!$AO$2:$AO$4001),MATCH(ROWS($AA$2:$AA1334),'Per Line'!$AO$2:$AO$4001,0),"")</f>
        <v/>
      </c>
      <c r="AB1334" s="14">
        <f>IF($AA1334="","",L1334-K1334*Y1334/100)</f>
        <v/>
      </c>
    </row>
    <row r="1335">
      <c r="A1335" s="12" t="n"/>
      <c r="B1335">
        <f>IF($AA1335="","",INDEX('Per Line'!$E$2:$E$4001,$AA1335)&amp;"")</f>
        <v/>
      </c>
      <c r="C1335">
        <f>IF($AA1335="","",INDEX('Per Line'!$A$2:$A$4001,$AA1335)&amp;"")</f>
        <v/>
      </c>
      <c r="D1335">
        <f>IF($AA1335="","",INDEX('Per Line'!$D$2:$D$4001,$AA1335)&amp;"")</f>
        <v/>
      </c>
      <c r="E1335" s="11">
        <f>IF($AA1335="","",INDEX('Per Line'!$G$2:$G$4001,$AA1335))</f>
        <v/>
      </c>
      <c r="F1335">
        <f>IF($AA1335="","",INDEX('Per Line'!$H$2:$H$4001,$AA1335)&amp;"")</f>
        <v/>
      </c>
      <c r="G1335">
        <f>IF($AA1335="","",INDEX('Per Line'!$I$2:$I$4001,$AA1335)&amp;"")</f>
        <v/>
      </c>
      <c r="H1335">
        <f>IF($AA1335="","",INDEX('Per Line'!$J$2:$J$4001,$AA1335)&amp;"")</f>
        <v/>
      </c>
      <c r="I1335">
        <f>IF($AA1335="","",INDEX('Per Line'!$K$2:$K$4001,$AA1335)&amp;"")</f>
        <v/>
      </c>
      <c r="J1335">
        <f>IF($AA1335="","",INDEX('Per Line'!$L$2:$L$4001,$AA1335)&amp;"")</f>
        <v/>
      </c>
      <c r="K1335">
        <f>IF($AA1335="","",INDEX('Per Line'!$P$2:$P$4001,$AA1335))</f>
        <v/>
      </c>
      <c r="L1335" s="7">
        <f>IF($AA1335="","",IF(AND(ISNUMBER(N1335),N1335&gt;0,Y1335&gt;N1335),K1335*N1335/100+(Y1335-N1335),K1335*Y1335/100))</f>
        <v/>
      </c>
      <c r="M1335">
        <f>IF($AA1335="","",INDEX('Per Line'!$Z$2:$Z$4001,$AA1335)&amp;"")</f>
        <v/>
      </c>
      <c r="N1335">
        <f>IF($AA1335="","",INDEX('Per Line'!$AG$2:$AG$4001,$AA1335))</f>
        <v/>
      </c>
      <c r="O1335">
        <f>IF($AA1335="","",IF(AND(ISNUMBER(N1335),N1335&gt;0),Y1335&gt;N1335,FALSE))</f>
        <v/>
      </c>
      <c r="P1335" s="7">
        <f>IF($AA1335="","",SUMIFS('Per Line'!$Y$2:$Y$4001,'Per Line'!$E$2:$E$4001,$B1335,'Per Line'!$AQ$2:$AQ$4001,1))</f>
        <v/>
      </c>
      <c r="Q1335">
        <f>IF($AA1335="","",Settings!$C$7)</f>
        <v/>
      </c>
      <c r="R1335" s="7">
        <f>IF($AA1335="","",SUMIFS('Per Line'!$Y$2:$Y$4001,'Per Line'!$E$2:$E$4001,$B1335,'Per Line'!$AP$2:$AP$4001,0,'Per Line'!$AQ$2:$AQ$4001,0))</f>
        <v/>
      </c>
      <c r="S1335" s="7">
        <f>IF($AA1335="","",R1335*Q1335)</f>
        <v/>
      </c>
      <c r="T1335">
        <f>IF($AA1335="","",Settings!$C$6)</f>
        <v/>
      </c>
      <c r="U1335" s="7">
        <f>IF($AA1335="","",SUMIFS('Per Line'!$Y$2:$Y$4001,'Per Line'!$E$2:$E$4001,$B1335,'Per Line'!$AP$2:$AP$4001,1,'Per Line'!$AQ$2:$AQ$4001,0))</f>
        <v/>
      </c>
      <c r="V1335" s="7">
        <f>IF($AA1335="","",U1335*T1335)</f>
        <v/>
      </c>
      <c r="W1335" s="7">
        <f>IF($AA1335="","",V1335+S1335)</f>
        <v/>
      </c>
      <c r="X1335" s="7">
        <f>IF($AA1335="","",Y1335-W1335)</f>
        <v/>
      </c>
      <c r="Y1335" s="7">
        <f>IF($AA1335="","",R1335+U1335+P1335)</f>
        <v/>
      </c>
      <c r="Z1335" s="7">
        <f>IF($AA1335="","",Y1335-W1335-L1335)</f>
        <v/>
      </c>
      <c r="AA1335" s="13">
        <f>IF(ROWS($AA$2:$AA1335)&lt;=MAX('Per Line'!$AO$2:$AO$4001),MATCH(ROWS($AA$2:$AA1335),'Per Line'!$AO$2:$AO$4001,0),"")</f>
        <v/>
      </c>
      <c r="AB1335" s="14">
        <f>IF($AA1335="","",L1335-K1335*Y1335/100)</f>
        <v/>
      </c>
    </row>
    <row r="1336">
      <c r="A1336" s="12" t="n"/>
      <c r="B1336">
        <f>IF($AA1336="","",INDEX('Per Line'!$E$2:$E$4001,$AA1336)&amp;"")</f>
        <v/>
      </c>
      <c r="C1336">
        <f>IF($AA1336="","",INDEX('Per Line'!$A$2:$A$4001,$AA1336)&amp;"")</f>
        <v/>
      </c>
      <c r="D1336">
        <f>IF($AA1336="","",INDEX('Per Line'!$D$2:$D$4001,$AA1336)&amp;"")</f>
        <v/>
      </c>
      <c r="E1336" s="11">
        <f>IF($AA1336="","",INDEX('Per Line'!$G$2:$G$4001,$AA1336))</f>
        <v/>
      </c>
      <c r="F1336">
        <f>IF($AA1336="","",INDEX('Per Line'!$H$2:$H$4001,$AA1336)&amp;"")</f>
        <v/>
      </c>
      <c r="G1336">
        <f>IF($AA1336="","",INDEX('Per Line'!$I$2:$I$4001,$AA1336)&amp;"")</f>
        <v/>
      </c>
      <c r="H1336">
        <f>IF($AA1336="","",INDEX('Per Line'!$J$2:$J$4001,$AA1336)&amp;"")</f>
        <v/>
      </c>
      <c r="I1336">
        <f>IF($AA1336="","",INDEX('Per Line'!$K$2:$K$4001,$AA1336)&amp;"")</f>
        <v/>
      </c>
      <c r="J1336">
        <f>IF($AA1336="","",INDEX('Per Line'!$L$2:$L$4001,$AA1336)&amp;"")</f>
        <v/>
      </c>
      <c r="K1336">
        <f>IF($AA1336="","",INDEX('Per Line'!$P$2:$P$4001,$AA1336))</f>
        <v/>
      </c>
      <c r="L1336" s="7">
        <f>IF($AA1336="","",IF(AND(ISNUMBER(N1336),N1336&gt;0,Y1336&gt;N1336),K1336*N1336/100+(Y1336-N1336),K1336*Y1336/100))</f>
        <v/>
      </c>
      <c r="M1336">
        <f>IF($AA1336="","",INDEX('Per Line'!$Z$2:$Z$4001,$AA1336)&amp;"")</f>
        <v/>
      </c>
      <c r="N1336">
        <f>IF($AA1336="","",INDEX('Per Line'!$AG$2:$AG$4001,$AA1336))</f>
        <v/>
      </c>
      <c r="O1336">
        <f>IF($AA1336="","",IF(AND(ISNUMBER(N1336),N1336&gt;0),Y1336&gt;N1336,FALSE))</f>
        <v/>
      </c>
      <c r="P1336" s="7">
        <f>IF($AA1336="","",SUMIFS('Per Line'!$Y$2:$Y$4001,'Per Line'!$E$2:$E$4001,$B1336,'Per Line'!$AQ$2:$AQ$4001,1))</f>
        <v/>
      </c>
      <c r="Q1336">
        <f>IF($AA1336="","",Settings!$C$7)</f>
        <v/>
      </c>
      <c r="R1336" s="7">
        <f>IF($AA1336="","",SUMIFS('Per Line'!$Y$2:$Y$4001,'Per Line'!$E$2:$E$4001,$B1336,'Per Line'!$AP$2:$AP$4001,0,'Per Line'!$AQ$2:$AQ$4001,0))</f>
        <v/>
      </c>
      <c r="S1336" s="7">
        <f>IF($AA1336="","",R1336*Q1336)</f>
        <v/>
      </c>
      <c r="T1336">
        <f>IF($AA1336="","",Settings!$C$6)</f>
        <v/>
      </c>
      <c r="U1336" s="7">
        <f>IF($AA1336="","",SUMIFS('Per Line'!$Y$2:$Y$4001,'Per Line'!$E$2:$E$4001,$B1336,'Per Line'!$AP$2:$AP$4001,1,'Per Line'!$AQ$2:$AQ$4001,0))</f>
        <v/>
      </c>
      <c r="V1336" s="7">
        <f>IF($AA1336="","",U1336*T1336)</f>
        <v/>
      </c>
      <c r="W1336" s="7">
        <f>IF($AA1336="","",V1336+S1336)</f>
        <v/>
      </c>
      <c r="X1336" s="7">
        <f>IF($AA1336="","",Y1336-W1336)</f>
        <v/>
      </c>
      <c r="Y1336" s="7">
        <f>IF($AA1336="","",R1336+U1336+P1336)</f>
        <v/>
      </c>
      <c r="Z1336" s="7">
        <f>IF($AA1336="","",Y1336-W1336-L1336)</f>
        <v/>
      </c>
      <c r="AA1336" s="13">
        <f>IF(ROWS($AA$2:$AA1336)&lt;=MAX('Per Line'!$AO$2:$AO$4001),MATCH(ROWS($AA$2:$AA1336),'Per Line'!$AO$2:$AO$4001,0),"")</f>
        <v/>
      </c>
      <c r="AB1336" s="14">
        <f>IF($AA1336="","",L1336-K1336*Y1336/100)</f>
        <v/>
      </c>
    </row>
    <row r="1337">
      <c r="A1337" s="12" t="n"/>
      <c r="B1337">
        <f>IF($AA1337="","",INDEX('Per Line'!$E$2:$E$4001,$AA1337)&amp;"")</f>
        <v/>
      </c>
      <c r="C1337">
        <f>IF($AA1337="","",INDEX('Per Line'!$A$2:$A$4001,$AA1337)&amp;"")</f>
        <v/>
      </c>
      <c r="D1337">
        <f>IF($AA1337="","",INDEX('Per Line'!$D$2:$D$4001,$AA1337)&amp;"")</f>
        <v/>
      </c>
      <c r="E1337" s="11">
        <f>IF($AA1337="","",INDEX('Per Line'!$G$2:$G$4001,$AA1337))</f>
        <v/>
      </c>
      <c r="F1337">
        <f>IF($AA1337="","",INDEX('Per Line'!$H$2:$H$4001,$AA1337)&amp;"")</f>
        <v/>
      </c>
      <c r="G1337">
        <f>IF($AA1337="","",INDEX('Per Line'!$I$2:$I$4001,$AA1337)&amp;"")</f>
        <v/>
      </c>
      <c r="H1337">
        <f>IF($AA1337="","",INDEX('Per Line'!$J$2:$J$4001,$AA1337)&amp;"")</f>
        <v/>
      </c>
      <c r="I1337">
        <f>IF($AA1337="","",INDEX('Per Line'!$K$2:$K$4001,$AA1337)&amp;"")</f>
        <v/>
      </c>
      <c r="J1337">
        <f>IF($AA1337="","",INDEX('Per Line'!$L$2:$L$4001,$AA1337)&amp;"")</f>
        <v/>
      </c>
      <c r="K1337">
        <f>IF($AA1337="","",INDEX('Per Line'!$P$2:$P$4001,$AA1337))</f>
        <v/>
      </c>
      <c r="L1337" s="7">
        <f>IF($AA1337="","",IF(AND(ISNUMBER(N1337),N1337&gt;0,Y1337&gt;N1337),K1337*N1337/100+(Y1337-N1337),K1337*Y1337/100))</f>
        <v/>
      </c>
      <c r="M1337">
        <f>IF($AA1337="","",INDEX('Per Line'!$Z$2:$Z$4001,$AA1337)&amp;"")</f>
        <v/>
      </c>
      <c r="N1337">
        <f>IF($AA1337="","",INDEX('Per Line'!$AG$2:$AG$4001,$AA1337))</f>
        <v/>
      </c>
      <c r="O1337">
        <f>IF($AA1337="","",IF(AND(ISNUMBER(N1337),N1337&gt;0),Y1337&gt;N1337,FALSE))</f>
        <v/>
      </c>
      <c r="P1337" s="7">
        <f>IF($AA1337="","",SUMIFS('Per Line'!$Y$2:$Y$4001,'Per Line'!$E$2:$E$4001,$B1337,'Per Line'!$AQ$2:$AQ$4001,1))</f>
        <v/>
      </c>
      <c r="Q1337">
        <f>IF($AA1337="","",Settings!$C$7)</f>
        <v/>
      </c>
      <c r="R1337" s="7">
        <f>IF($AA1337="","",SUMIFS('Per Line'!$Y$2:$Y$4001,'Per Line'!$E$2:$E$4001,$B1337,'Per Line'!$AP$2:$AP$4001,0,'Per Line'!$AQ$2:$AQ$4001,0))</f>
        <v/>
      </c>
      <c r="S1337" s="7">
        <f>IF($AA1337="","",R1337*Q1337)</f>
        <v/>
      </c>
      <c r="T1337">
        <f>IF($AA1337="","",Settings!$C$6)</f>
        <v/>
      </c>
      <c r="U1337" s="7">
        <f>IF($AA1337="","",SUMIFS('Per Line'!$Y$2:$Y$4001,'Per Line'!$E$2:$E$4001,$B1337,'Per Line'!$AP$2:$AP$4001,1,'Per Line'!$AQ$2:$AQ$4001,0))</f>
        <v/>
      </c>
      <c r="V1337" s="7">
        <f>IF($AA1337="","",U1337*T1337)</f>
        <v/>
      </c>
      <c r="W1337" s="7">
        <f>IF($AA1337="","",V1337+S1337)</f>
        <v/>
      </c>
      <c r="X1337" s="7">
        <f>IF($AA1337="","",Y1337-W1337)</f>
        <v/>
      </c>
      <c r="Y1337" s="7">
        <f>IF($AA1337="","",R1337+U1337+P1337)</f>
        <v/>
      </c>
      <c r="Z1337" s="7">
        <f>IF($AA1337="","",Y1337-W1337-L1337)</f>
        <v/>
      </c>
      <c r="AA1337" s="13">
        <f>IF(ROWS($AA$2:$AA1337)&lt;=MAX('Per Line'!$AO$2:$AO$4001),MATCH(ROWS($AA$2:$AA1337),'Per Line'!$AO$2:$AO$4001,0),"")</f>
        <v/>
      </c>
      <c r="AB1337" s="14">
        <f>IF($AA1337="","",L1337-K1337*Y1337/100)</f>
        <v/>
      </c>
    </row>
    <row r="1338">
      <c r="A1338" s="12" t="n"/>
      <c r="B1338">
        <f>IF($AA1338="","",INDEX('Per Line'!$E$2:$E$4001,$AA1338)&amp;"")</f>
        <v/>
      </c>
      <c r="C1338">
        <f>IF($AA1338="","",INDEX('Per Line'!$A$2:$A$4001,$AA1338)&amp;"")</f>
        <v/>
      </c>
      <c r="D1338">
        <f>IF($AA1338="","",INDEX('Per Line'!$D$2:$D$4001,$AA1338)&amp;"")</f>
        <v/>
      </c>
      <c r="E1338" s="11">
        <f>IF($AA1338="","",INDEX('Per Line'!$G$2:$G$4001,$AA1338))</f>
        <v/>
      </c>
      <c r="F1338">
        <f>IF($AA1338="","",INDEX('Per Line'!$H$2:$H$4001,$AA1338)&amp;"")</f>
        <v/>
      </c>
      <c r="G1338">
        <f>IF($AA1338="","",INDEX('Per Line'!$I$2:$I$4001,$AA1338)&amp;"")</f>
        <v/>
      </c>
      <c r="H1338">
        <f>IF($AA1338="","",INDEX('Per Line'!$J$2:$J$4001,$AA1338)&amp;"")</f>
        <v/>
      </c>
      <c r="I1338">
        <f>IF($AA1338="","",INDEX('Per Line'!$K$2:$K$4001,$AA1338)&amp;"")</f>
        <v/>
      </c>
      <c r="J1338">
        <f>IF($AA1338="","",INDEX('Per Line'!$L$2:$L$4001,$AA1338)&amp;"")</f>
        <v/>
      </c>
      <c r="K1338">
        <f>IF($AA1338="","",INDEX('Per Line'!$P$2:$P$4001,$AA1338))</f>
        <v/>
      </c>
      <c r="L1338" s="7">
        <f>IF($AA1338="","",IF(AND(ISNUMBER(N1338),N1338&gt;0,Y1338&gt;N1338),K1338*N1338/100+(Y1338-N1338),K1338*Y1338/100))</f>
        <v/>
      </c>
      <c r="M1338">
        <f>IF($AA1338="","",INDEX('Per Line'!$Z$2:$Z$4001,$AA1338)&amp;"")</f>
        <v/>
      </c>
      <c r="N1338">
        <f>IF($AA1338="","",INDEX('Per Line'!$AG$2:$AG$4001,$AA1338))</f>
        <v/>
      </c>
      <c r="O1338">
        <f>IF($AA1338="","",IF(AND(ISNUMBER(N1338),N1338&gt;0),Y1338&gt;N1338,FALSE))</f>
        <v/>
      </c>
      <c r="P1338" s="7">
        <f>IF($AA1338="","",SUMIFS('Per Line'!$Y$2:$Y$4001,'Per Line'!$E$2:$E$4001,$B1338,'Per Line'!$AQ$2:$AQ$4001,1))</f>
        <v/>
      </c>
      <c r="Q1338">
        <f>IF($AA1338="","",Settings!$C$7)</f>
        <v/>
      </c>
      <c r="R1338" s="7">
        <f>IF($AA1338="","",SUMIFS('Per Line'!$Y$2:$Y$4001,'Per Line'!$E$2:$E$4001,$B1338,'Per Line'!$AP$2:$AP$4001,0,'Per Line'!$AQ$2:$AQ$4001,0))</f>
        <v/>
      </c>
      <c r="S1338" s="7">
        <f>IF($AA1338="","",R1338*Q1338)</f>
        <v/>
      </c>
      <c r="T1338">
        <f>IF($AA1338="","",Settings!$C$6)</f>
        <v/>
      </c>
      <c r="U1338" s="7">
        <f>IF($AA1338="","",SUMIFS('Per Line'!$Y$2:$Y$4001,'Per Line'!$E$2:$E$4001,$B1338,'Per Line'!$AP$2:$AP$4001,1,'Per Line'!$AQ$2:$AQ$4001,0))</f>
        <v/>
      </c>
      <c r="V1338" s="7">
        <f>IF($AA1338="","",U1338*T1338)</f>
        <v/>
      </c>
      <c r="W1338" s="7">
        <f>IF($AA1338="","",V1338+S1338)</f>
        <v/>
      </c>
      <c r="X1338" s="7">
        <f>IF($AA1338="","",Y1338-W1338)</f>
        <v/>
      </c>
      <c r="Y1338" s="7">
        <f>IF($AA1338="","",R1338+U1338+P1338)</f>
        <v/>
      </c>
      <c r="Z1338" s="7">
        <f>IF($AA1338="","",Y1338-W1338-L1338)</f>
        <v/>
      </c>
      <c r="AA1338" s="13">
        <f>IF(ROWS($AA$2:$AA1338)&lt;=MAX('Per Line'!$AO$2:$AO$4001),MATCH(ROWS($AA$2:$AA1338),'Per Line'!$AO$2:$AO$4001,0),"")</f>
        <v/>
      </c>
      <c r="AB1338" s="14">
        <f>IF($AA1338="","",L1338-K1338*Y1338/100)</f>
        <v/>
      </c>
    </row>
    <row r="1339">
      <c r="A1339" s="12" t="n"/>
      <c r="B1339">
        <f>IF($AA1339="","",INDEX('Per Line'!$E$2:$E$4001,$AA1339)&amp;"")</f>
        <v/>
      </c>
      <c r="C1339">
        <f>IF($AA1339="","",INDEX('Per Line'!$A$2:$A$4001,$AA1339)&amp;"")</f>
        <v/>
      </c>
      <c r="D1339">
        <f>IF($AA1339="","",INDEX('Per Line'!$D$2:$D$4001,$AA1339)&amp;"")</f>
        <v/>
      </c>
      <c r="E1339" s="11">
        <f>IF($AA1339="","",INDEX('Per Line'!$G$2:$G$4001,$AA1339))</f>
        <v/>
      </c>
      <c r="F1339">
        <f>IF($AA1339="","",INDEX('Per Line'!$H$2:$H$4001,$AA1339)&amp;"")</f>
        <v/>
      </c>
      <c r="G1339">
        <f>IF($AA1339="","",INDEX('Per Line'!$I$2:$I$4001,$AA1339)&amp;"")</f>
        <v/>
      </c>
      <c r="H1339">
        <f>IF($AA1339="","",INDEX('Per Line'!$J$2:$J$4001,$AA1339)&amp;"")</f>
        <v/>
      </c>
      <c r="I1339">
        <f>IF($AA1339="","",INDEX('Per Line'!$K$2:$K$4001,$AA1339)&amp;"")</f>
        <v/>
      </c>
      <c r="J1339">
        <f>IF($AA1339="","",INDEX('Per Line'!$L$2:$L$4001,$AA1339)&amp;"")</f>
        <v/>
      </c>
      <c r="K1339">
        <f>IF($AA1339="","",INDEX('Per Line'!$P$2:$P$4001,$AA1339))</f>
        <v/>
      </c>
      <c r="L1339" s="7">
        <f>IF($AA1339="","",IF(AND(ISNUMBER(N1339),N1339&gt;0,Y1339&gt;N1339),K1339*N1339/100+(Y1339-N1339),K1339*Y1339/100))</f>
        <v/>
      </c>
      <c r="M1339">
        <f>IF($AA1339="","",INDEX('Per Line'!$Z$2:$Z$4001,$AA1339)&amp;"")</f>
        <v/>
      </c>
      <c r="N1339">
        <f>IF($AA1339="","",INDEX('Per Line'!$AG$2:$AG$4001,$AA1339))</f>
        <v/>
      </c>
      <c r="O1339">
        <f>IF($AA1339="","",IF(AND(ISNUMBER(N1339),N1339&gt;0),Y1339&gt;N1339,FALSE))</f>
        <v/>
      </c>
      <c r="P1339" s="7">
        <f>IF($AA1339="","",SUMIFS('Per Line'!$Y$2:$Y$4001,'Per Line'!$E$2:$E$4001,$B1339,'Per Line'!$AQ$2:$AQ$4001,1))</f>
        <v/>
      </c>
      <c r="Q1339">
        <f>IF($AA1339="","",Settings!$C$7)</f>
        <v/>
      </c>
      <c r="R1339" s="7">
        <f>IF($AA1339="","",SUMIFS('Per Line'!$Y$2:$Y$4001,'Per Line'!$E$2:$E$4001,$B1339,'Per Line'!$AP$2:$AP$4001,0,'Per Line'!$AQ$2:$AQ$4001,0))</f>
        <v/>
      </c>
      <c r="S1339" s="7">
        <f>IF($AA1339="","",R1339*Q1339)</f>
        <v/>
      </c>
      <c r="T1339">
        <f>IF($AA1339="","",Settings!$C$6)</f>
        <v/>
      </c>
      <c r="U1339" s="7">
        <f>IF($AA1339="","",SUMIFS('Per Line'!$Y$2:$Y$4001,'Per Line'!$E$2:$E$4001,$B1339,'Per Line'!$AP$2:$AP$4001,1,'Per Line'!$AQ$2:$AQ$4001,0))</f>
        <v/>
      </c>
      <c r="V1339" s="7">
        <f>IF($AA1339="","",U1339*T1339)</f>
        <v/>
      </c>
      <c r="W1339" s="7">
        <f>IF($AA1339="","",V1339+S1339)</f>
        <v/>
      </c>
      <c r="X1339" s="7">
        <f>IF($AA1339="","",Y1339-W1339)</f>
        <v/>
      </c>
      <c r="Y1339" s="7">
        <f>IF($AA1339="","",R1339+U1339+P1339)</f>
        <v/>
      </c>
      <c r="Z1339" s="7">
        <f>IF($AA1339="","",Y1339-W1339-L1339)</f>
        <v/>
      </c>
      <c r="AA1339" s="13">
        <f>IF(ROWS($AA$2:$AA1339)&lt;=MAX('Per Line'!$AO$2:$AO$4001),MATCH(ROWS($AA$2:$AA1339),'Per Line'!$AO$2:$AO$4001,0),"")</f>
        <v/>
      </c>
      <c r="AB1339" s="14">
        <f>IF($AA1339="","",L1339-K1339*Y1339/100)</f>
        <v/>
      </c>
    </row>
    <row r="1340">
      <c r="A1340" s="12" t="n"/>
      <c r="B1340">
        <f>IF($AA1340="","",INDEX('Per Line'!$E$2:$E$4001,$AA1340)&amp;"")</f>
        <v/>
      </c>
      <c r="C1340">
        <f>IF($AA1340="","",INDEX('Per Line'!$A$2:$A$4001,$AA1340)&amp;"")</f>
        <v/>
      </c>
      <c r="D1340">
        <f>IF($AA1340="","",INDEX('Per Line'!$D$2:$D$4001,$AA1340)&amp;"")</f>
        <v/>
      </c>
      <c r="E1340" s="11">
        <f>IF($AA1340="","",INDEX('Per Line'!$G$2:$G$4001,$AA1340))</f>
        <v/>
      </c>
      <c r="F1340">
        <f>IF($AA1340="","",INDEX('Per Line'!$H$2:$H$4001,$AA1340)&amp;"")</f>
        <v/>
      </c>
      <c r="G1340">
        <f>IF($AA1340="","",INDEX('Per Line'!$I$2:$I$4001,$AA1340)&amp;"")</f>
        <v/>
      </c>
      <c r="H1340">
        <f>IF($AA1340="","",INDEX('Per Line'!$J$2:$J$4001,$AA1340)&amp;"")</f>
        <v/>
      </c>
      <c r="I1340">
        <f>IF($AA1340="","",INDEX('Per Line'!$K$2:$K$4001,$AA1340)&amp;"")</f>
        <v/>
      </c>
      <c r="J1340">
        <f>IF($AA1340="","",INDEX('Per Line'!$L$2:$L$4001,$AA1340)&amp;"")</f>
        <v/>
      </c>
      <c r="K1340">
        <f>IF($AA1340="","",INDEX('Per Line'!$P$2:$P$4001,$AA1340))</f>
        <v/>
      </c>
      <c r="L1340" s="7">
        <f>IF($AA1340="","",IF(AND(ISNUMBER(N1340),N1340&gt;0,Y1340&gt;N1340),K1340*N1340/100+(Y1340-N1340),K1340*Y1340/100))</f>
        <v/>
      </c>
      <c r="M1340">
        <f>IF($AA1340="","",INDEX('Per Line'!$Z$2:$Z$4001,$AA1340)&amp;"")</f>
        <v/>
      </c>
      <c r="N1340">
        <f>IF($AA1340="","",INDEX('Per Line'!$AG$2:$AG$4001,$AA1340))</f>
        <v/>
      </c>
      <c r="O1340">
        <f>IF($AA1340="","",IF(AND(ISNUMBER(N1340),N1340&gt;0),Y1340&gt;N1340,FALSE))</f>
        <v/>
      </c>
      <c r="P1340" s="7">
        <f>IF($AA1340="","",SUMIFS('Per Line'!$Y$2:$Y$4001,'Per Line'!$E$2:$E$4001,$B1340,'Per Line'!$AQ$2:$AQ$4001,1))</f>
        <v/>
      </c>
      <c r="Q1340">
        <f>IF($AA1340="","",Settings!$C$7)</f>
        <v/>
      </c>
      <c r="R1340" s="7">
        <f>IF($AA1340="","",SUMIFS('Per Line'!$Y$2:$Y$4001,'Per Line'!$E$2:$E$4001,$B1340,'Per Line'!$AP$2:$AP$4001,0,'Per Line'!$AQ$2:$AQ$4001,0))</f>
        <v/>
      </c>
      <c r="S1340" s="7">
        <f>IF($AA1340="","",R1340*Q1340)</f>
        <v/>
      </c>
      <c r="T1340">
        <f>IF($AA1340="","",Settings!$C$6)</f>
        <v/>
      </c>
      <c r="U1340" s="7">
        <f>IF($AA1340="","",SUMIFS('Per Line'!$Y$2:$Y$4001,'Per Line'!$E$2:$E$4001,$B1340,'Per Line'!$AP$2:$AP$4001,1,'Per Line'!$AQ$2:$AQ$4001,0))</f>
        <v/>
      </c>
      <c r="V1340" s="7">
        <f>IF($AA1340="","",U1340*T1340)</f>
        <v/>
      </c>
      <c r="W1340" s="7">
        <f>IF($AA1340="","",V1340+S1340)</f>
        <v/>
      </c>
      <c r="X1340" s="7">
        <f>IF($AA1340="","",Y1340-W1340)</f>
        <v/>
      </c>
      <c r="Y1340" s="7">
        <f>IF($AA1340="","",R1340+U1340+P1340)</f>
        <v/>
      </c>
      <c r="Z1340" s="7">
        <f>IF($AA1340="","",Y1340-W1340-L1340)</f>
        <v/>
      </c>
      <c r="AA1340" s="13">
        <f>IF(ROWS($AA$2:$AA1340)&lt;=MAX('Per Line'!$AO$2:$AO$4001),MATCH(ROWS($AA$2:$AA1340),'Per Line'!$AO$2:$AO$4001,0),"")</f>
        <v/>
      </c>
      <c r="AB1340" s="14">
        <f>IF($AA1340="","",L1340-K1340*Y1340/100)</f>
        <v/>
      </c>
    </row>
    <row r="1341">
      <c r="A1341" s="12" t="n"/>
      <c r="B1341">
        <f>IF($AA1341="","",INDEX('Per Line'!$E$2:$E$4001,$AA1341)&amp;"")</f>
        <v/>
      </c>
      <c r="C1341">
        <f>IF($AA1341="","",INDEX('Per Line'!$A$2:$A$4001,$AA1341)&amp;"")</f>
        <v/>
      </c>
      <c r="D1341">
        <f>IF($AA1341="","",INDEX('Per Line'!$D$2:$D$4001,$AA1341)&amp;"")</f>
        <v/>
      </c>
      <c r="E1341" s="11">
        <f>IF($AA1341="","",INDEX('Per Line'!$G$2:$G$4001,$AA1341))</f>
        <v/>
      </c>
      <c r="F1341">
        <f>IF($AA1341="","",INDEX('Per Line'!$H$2:$H$4001,$AA1341)&amp;"")</f>
        <v/>
      </c>
      <c r="G1341">
        <f>IF($AA1341="","",INDEX('Per Line'!$I$2:$I$4001,$AA1341)&amp;"")</f>
        <v/>
      </c>
      <c r="H1341">
        <f>IF($AA1341="","",INDEX('Per Line'!$J$2:$J$4001,$AA1341)&amp;"")</f>
        <v/>
      </c>
      <c r="I1341">
        <f>IF($AA1341="","",INDEX('Per Line'!$K$2:$K$4001,$AA1341)&amp;"")</f>
        <v/>
      </c>
      <c r="J1341">
        <f>IF($AA1341="","",INDEX('Per Line'!$L$2:$L$4001,$AA1341)&amp;"")</f>
        <v/>
      </c>
      <c r="K1341">
        <f>IF($AA1341="","",INDEX('Per Line'!$P$2:$P$4001,$AA1341))</f>
        <v/>
      </c>
      <c r="L1341" s="7">
        <f>IF($AA1341="","",IF(AND(ISNUMBER(N1341),N1341&gt;0,Y1341&gt;N1341),K1341*N1341/100+(Y1341-N1341),K1341*Y1341/100))</f>
        <v/>
      </c>
      <c r="M1341">
        <f>IF($AA1341="","",INDEX('Per Line'!$Z$2:$Z$4001,$AA1341)&amp;"")</f>
        <v/>
      </c>
      <c r="N1341">
        <f>IF($AA1341="","",INDEX('Per Line'!$AG$2:$AG$4001,$AA1341))</f>
        <v/>
      </c>
      <c r="O1341">
        <f>IF($AA1341="","",IF(AND(ISNUMBER(N1341),N1341&gt;0),Y1341&gt;N1341,FALSE))</f>
        <v/>
      </c>
      <c r="P1341" s="7">
        <f>IF($AA1341="","",SUMIFS('Per Line'!$Y$2:$Y$4001,'Per Line'!$E$2:$E$4001,$B1341,'Per Line'!$AQ$2:$AQ$4001,1))</f>
        <v/>
      </c>
      <c r="Q1341">
        <f>IF($AA1341="","",Settings!$C$7)</f>
        <v/>
      </c>
      <c r="R1341" s="7">
        <f>IF($AA1341="","",SUMIFS('Per Line'!$Y$2:$Y$4001,'Per Line'!$E$2:$E$4001,$B1341,'Per Line'!$AP$2:$AP$4001,0,'Per Line'!$AQ$2:$AQ$4001,0))</f>
        <v/>
      </c>
      <c r="S1341" s="7">
        <f>IF($AA1341="","",R1341*Q1341)</f>
        <v/>
      </c>
      <c r="T1341">
        <f>IF($AA1341="","",Settings!$C$6)</f>
        <v/>
      </c>
      <c r="U1341" s="7">
        <f>IF($AA1341="","",SUMIFS('Per Line'!$Y$2:$Y$4001,'Per Line'!$E$2:$E$4001,$B1341,'Per Line'!$AP$2:$AP$4001,1,'Per Line'!$AQ$2:$AQ$4001,0))</f>
        <v/>
      </c>
      <c r="V1341" s="7">
        <f>IF($AA1341="","",U1341*T1341)</f>
        <v/>
      </c>
      <c r="W1341" s="7">
        <f>IF($AA1341="","",V1341+S1341)</f>
        <v/>
      </c>
      <c r="X1341" s="7">
        <f>IF($AA1341="","",Y1341-W1341)</f>
        <v/>
      </c>
      <c r="Y1341" s="7">
        <f>IF($AA1341="","",R1341+U1341+P1341)</f>
        <v/>
      </c>
      <c r="Z1341" s="7">
        <f>IF($AA1341="","",Y1341-W1341-L1341)</f>
        <v/>
      </c>
      <c r="AA1341" s="13">
        <f>IF(ROWS($AA$2:$AA1341)&lt;=MAX('Per Line'!$AO$2:$AO$4001),MATCH(ROWS($AA$2:$AA1341),'Per Line'!$AO$2:$AO$4001,0),"")</f>
        <v/>
      </c>
      <c r="AB1341" s="14">
        <f>IF($AA1341="","",L1341-K1341*Y1341/100)</f>
        <v/>
      </c>
    </row>
    <row r="1342">
      <c r="A1342" s="12" t="n"/>
      <c r="B1342">
        <f>IF($AA1342="","",INDEX('Per Line'!$E$2:$E$4001,$AA1342)&amp;"")</f>
        <v/>
      </c>
      <c r="C1342">
        <f>IF($AA1342="","",INDEX('Per Line'!$A$2:$A$4001,$AA1342)&amp;"")</f>
        <v/>
      </c>
      <c r="D1342">
        <f>IF($AA1342="","",INDEX('Per Line'!$D$2:$D$4001,$AA1342)&amp;"")</f>
        <v/>
      </c>
      <c r="E1342" s="11">
        <f>IF($AA1342="","",INDEX('Per Line'!$G$2:$G$4001,$AA1342))</f>
        <v/>
      </c>
      <c r="F1342">
        <f>IF($AA1342="","",INDEX('Per Line'!$H$2:$H$4001,$AA1342)&amp;"")</f>
        <v/>
      </c>
      <c r="G1342">
        <f>IF($AA1342="","",INDEX('Per Line'!$I$2:$I$4001,$AA1342)&amp;"")</f>
        <v/>
      </c>
      <c r="H1342">
        <f>IF($AA1342="","",INDEX('Per Line'!$J$2:$J$4001,$AA1342)&amp;"")</f>
        <v/>
      </c>
      <c r="I1342">
        <f>IF($AA1342="","",INDEX('Per Line'!$K$2:$K$4001,$AA1342)&amp;"")</f>
        <v/>
      </c>
      <c r="J1342">
        <f>IF($AA1342="","",INDEX('Per Line'!$L$2:$L$4001,$AA1342)&amp;"")</f>
        <v/>
      </c>
      <c r="K1342">
        <f>IF($AA1342="","",INDEX('Per Line'!$P$2:$P$4001,$AA1342))</f>
        <v/>
      </c>
      <c r="L1342" s="7">
        <f>IF($AA1342="","",IF(AND(ISNUMBER(N1342),N1342&gt;0,Y1342&gt;N1342),K1342*N1342/100+(Y1342-N1342),K1342*Y1342/100))</f>
        <v/>
      </c>
      <c r="M1342">
        <f>IF($AA1342="","",INDEX('Per Line'!$Z$2:$Z$4001,$AA1342)&amp;"")</f>
        <v/>
      </c>
      <c r="N1342">
        <f>IF($AA1342="","",INDEX('Per Line'!$AG$2:$AG$4001,$AA1342))</f>
        <v/>
      </c>
      <c r="O1342">
        <f>IF($AA1342="","",IF(AND(ISNUMBER(N1342),N1342&gt;0),Y1342&gt;N1342,FALSE))</f>
        <v/>
      </c>
      <c r="P1342" s="7">
        <f>IF($AA1342="","",SUMIFS('Per Line'!$Y$2:$Y$4001,'Per Line'!$E$2:$E$4001,$B1342,'Per Line'!$AQ$2:$AQ$4001,1))</f>
        <v/>
      </c>
      <c r="Q1342">
        <f>IF($AA1342="","",Settings!$C$7)</f>
        <v/>
      </c>
      <c r="R1342" s="7">
        <f>IF($AA1342="","",SUMIFS('Per Line'!$Y$2:$Y$4001,'Per Line'!$E$2:$E$4001,$B1342,'Per Line'!$AP$2:$AP$4001,0,'Per Line'!$AQ$2:$AQ$4001,0))</f>
        <v/>
      </c>
      <c r="S1342" s="7">
        <f>IF($AA1342="","",R1342*Q1342)</f>
        <v/>
      </c>
      <c r="T1342">
        <f>IF($AA1342="","",Settings!$C$6)</f>
        <v/>
      </c>
      <c r="U1342" s="7">
        <f>IF($AA1342="","",SUMIFS('Per Line'!$Y$2:$Y$4001,'Per Line'!$E$2:$E$4001,$B1342,'Per Line'!$AP$2:$AP$4001,1,'Per Line'!$AQ$2:$AQ$4001,0))</f>
        <v/>
      </c>
      <c r="V1342" s="7">
        <f>IF($AA1342="","",U1342*T1342)</f>
        <v/>
      </c>
      <c r="W1342" s="7">
        <f>IF($AA1342="","",V1342+S1342)</f>
        <v/>
      </c>
      <c r="X1342" s="7">
        <f>IF($AA1342="","",Y1342-W1342)</f>
        <v/>
      </c>
      <c r="Y1342" s="7">
        <f>IF($AA1342="","",R1342+U1342+P1342)</f>
        <v/>
      </c>
      <c r="Z1342" s="7">
        <f>IF($AA1342="","",Y1342-W1342-L1342)</f>
        <v/>
      </c>
      <c r="AA1342" s="13">
        <f>IF(ROWS($AA$2:$AA1342)&lt;=MAX('Per Line'!$AO$2:$AO$4001),MATCH(ROWS($AA$2:$AA1342),'Per Line'!$AO$2:$AO$4001,0),"")</f>
        <v/>
      </c>
      <c r="AB1342" s="14">
        <f>IF($AA1342="","",L1342-K1342*Y1342/100)</f>
        <v/>
      </c>
    </row>
    <row r="1343">
      <c r="A1343" s="12" t="n"/>
      <c r="B1343">
        <f>IF($AA1343="","",INDEX('Per Line'!$E$2:$E$4001,$AA1343)&amp;"")</f>
        <v/>
      </c>
      <c r="C1343">
        <f>IF($AA1343="","",INDEX('Per Line'!$A$2:$A$4001,$AA1343)&amp;"")</f>
        <v/>
      </c>
      <c r="D1343">
        <f>IF($AA1343="","",INDEX('Per Line'!$D$2:$D$4001,$AA1343)&amp;"")</f>
        <v/>
      </c>
      <c r="E1343" s="11">
        <f>IF($AA1343="","",INDEX('Per Line'!$G$2:$G$4001,$AA1343))</f>
        <v/>
      </c>
      <c r="F1343">
        <f>IF($AA1343="","",INDEX('Per Line'!$H$2:$H$4001,$AA1343)&amp;"")</f>
        <v/>
      </c>
      <c r="G1343">
        <f>IF($AA1343="","",INDEX('Per Line'!$I$2:$I$4001,$AA1343)&amp;"")</f>
        <v/>
      </c>
      <c r="H1343">
        <f>IF($AA1343="","",INDEX('Per Line'!$J$2:$J$4001,$AA1343)&amp;"")</f>
        <v/>
      </c>
      <c r="I1343">
        <f>IF($AA1343="","",INDEX('Per Line'!$K$2:$K$4001,$AA1343)&amp;"")</f>
        <v/>
      </c>
      <c r="J1343">
        <f>IF($AA1343="","",INDEX('Per Line'!$L$2:$L$4001,$AA1343)&amp;"")</f>
        <v/>
      </c>
      <c r="K1343">
        <f>IF($AA1343="","",INDEX('Per Line'!$P$2:$P$4001,$AA1343))</f>
        <v/>
      </c>
      <c r="L1343" s="7">
        <f>IF($AA1343="","",IF(AND(ISNUMBER(N1343),N1343&gt;0,Y1343&gt;N1343),K1343*N1343/100+(Y1343-N1343),K1343*Y1343/100))</f>
        <v/>
      </c>
      <c r="M1343">
        <f>IF($AA1343="","",INDEX('Per Line'!$Z$2:$Z$4001,$AA1343)&amp;"")</f>
        <v/>
      </c>
      <c r="N1343">
        <f>IF($AA1343="","",INDEX('Per Line'!$AG$2:$AG$4001,$AA1343))</f>
        <v/>
      </c>
      <c r="O1343">
        <f>IF($AA1343="","",IF(AND(ISNUMBER(N1343),N1343&gt;0),Y1343&gt;N1343,FALSE))</f>
        <v/>
      </c>
      <c r="P1343" s="7">
        <f>IF($AA1343="","",SUMIFS('Per Line'!$Y$2:$Y$4001,'Per Line'!$E$2:$E$4001,$B1343,'Per Line'!$AQ$2:$AQ$4001,1))</f>
        <v/>
      </c>
      <c r="Q1343">
        <f>IF($AA1343="","",Settings!$C$7)</f>
        <v/>
      </c>
      <c r="R1343" s="7">
        <f>IF($AA1343="","",SUMIFS('Per Line'!$Y$2:$Y$4001,'Per Line'!$E$2:$E$4001,$B1343,'Per Line'!$AP$2:$AP$4001,0,'Per Line'!$AQ$2:$AQ$4001,0))</f>
        <v/>
      </c>
      <c r="S1343" s="7">
        <f>IF($AA1343="","",R1343*Q1343)</f>
        <v/>
      </c>
      <c r="T1343">
        <f>IF($AA1343="","",Settings!$C$6)</f>
        <v/>
      </c>
      <c r="U1343" s="7">
        <f>IF($AA1343="","",SUMIFS('Per Line'!$Y$2:$Y$4001,'Per Line'!$E$2:$E$4001,$B1343,'Per Line'!$AP$2:$AP$4001,1,'Per Line'!$AQ$2:$AQ$4001,0))</f>
        <v/>
      </c>
      <c r="V1343" s="7">
        <f>IF($AA1343="","",U1343*T1343)</f>
        <v/>
      </c>
      <c r="W1343" s="7">
        <f>IF($AA1343="","",V1343+S1343)</f>
        <v/>
      </c>
      <c r="X1343" s="7">
        <f>IF($AA1343="","",Y1343-W1343)</f>
        <v/>
      </c>
      <c r="Y1343" s="7">
        <f>IF($AA1343="","",R1343+U1343+P1343)</f>
        <v/>
      </c>
      <c r="Z1343" s="7">
        <f>IF($AA1343="","",Y1343-W1343-L1343)</f>
        <v/>
      </c>
      <c r="AA1343" s="13">
        <f>IF(ROWS($AA$2:$AA1343)&lt;=MAX('Per Line'!$AO$2:$AO$4001),MATCH(ROWS($AA$2:$AA1343),'Per Line'!$AO$2:$AO$4001,0),"")</f>
        <v/>
      </c>
      <c r="AB1343" s="14">
        <f>IF($AA1343="","",L1343-K1343*Y1343/100)</f>
        <v/>
      </c>
    </row>
    <row r="1344">
      <c r="A1344" s="12" t="n"/>
      <c r="B1344">
        <f>IF($AA1344="","",INDEX('Per Line'!$E$2:$E$4001,$AA1344)&amp;"")</f>
        <v/>
      </c>
      <c r="C1344">
        <f>IF($AA1344="","",INDEX('Per Line'!$A$2:$A$4001,$AA1344)&amp;"")</f>
        <v/>
      </c>
      <c r="D1344">
        <f>IF($AA1344="","",INDEX('Per Line'!$D$2:$D$4001,$AA1344)&amp;"")</f>
        <v/>
      </c>
      <c r="E1344" s="11">
        <f>IF($AA1344="","",INDEX('Per Line'!$G$2:$G$4001,$AA1344))</f>
        <v/>
      </c>
      <c r="F1344">
        <f>IF($AA1344="","",INDEX('Per Line'!$H$2:$H$4001,$AA1344)&amp;"")</f>
        <v/>
      </c>
      <c r="G1344">
        <f>IF($AA1344="","",INDEX('Per Line'!$I$2:$I$4001,$AA1344)&amp;"")</f>
        <v/>
      </c>
      <c r="H1344">
        <f>IF($AA1344="","",INDEX('Per Line'!$J$2:$J$4001,$AA1344)&amp;"")</f>
        <v/>
      </c>
      <c r="I1344">
        <f>IF($AA1344="","",INDEX('Per Line'!$K$2:$K$4001,$AA1344)&amp;"")</f>
        <v/>
      </c>
      <c r="J1344">
        <f>IF($AA1344="","",INDEX('Per Line'!$L$2:$L$4001,$AA1344)&amp;"")</f>
        <v/>
      </c>
      <c r="K1344">
        <f>IF($AA1344="","",INDEX('Per Line'!$P$2:$P$4001,$AA1344))</f>
        <v/>
      </c>
      <c r="L1344" s="7">
        <f>IF($AA1344="","",IF(AND(ISNUMBER(N1344),N1344&gt;0,Y1344&gt;N1344),K1344*N1344/100+(Y1344-N1344),K1344*Y1344/100))</f>
        <v/>
      </c>
      <c r="M1344">
        <f>IF($AA1344="","",INDEX('Per Line'!$Z$2:$Z$4001,$AA1344)&amp;"")</f>
        <v/>
      </c>
      <c r="N1344">
        <f>IF($AA1344="","",INDEX('Per Line'!$AG$2:$AG$4001,$AA1344))</f>
        <v/>
      </c>
      <c r="O1344">
        <f>IF($AA1344="","",IF(AND(ISNUMBER(N1344),N1344&gt;0),Y1344&gt;N1344,FALSE))</f>
        <v/>
      </c>
      <c r="P1344" s="7">
        <f>IF($AA1344="","",SUMIFS('Per Line'!$Y$2:$Y$4001,'Per Line'!$E$2:$E$4001,$B1344,'Per Line'!$AQ$2:$AQ$4001,1))</f>
        <v/>
      </c>
      <c r="Q1344">
        <f>IF($AA1344="","",Settings!$C$7)</f>
        <v/>
      </c>
      <c r="R1344" s="7">
        <f>IF($AA1344="","",SUMIFS('Per Line'!$Y$2:$Y$4001,'Per Line'!$E$2:$E$4001,$B1344,'Per Line'!$AP$2:$AP$4001,0,'Per Line'!$AQ$2:$AQ$4001,0))</f>
        <v/>
      </c>
      <c r="S1344" s="7">
        <f>IF($AA1344="","",R1344*Q1344)</f>
        <v/>
      </c>
      <c r="T1344">
        <f>IF($AA1344="","",Settings!$C$6)</f>
        <v/>
      </c>
      <c r="U1344" s="7">
        <f>IF($AA1344="","",SUMIFS('Per Line'!$Y$2:$Y$4001,'Per Line'!$E$2:$E$4001,$B1344,'Per Line'!$AP$2:$AP$4001,1,'Per Line'!$AQ$2:$AQ$4001,0))</f>
        <v/>
      </c>
      <c r="V1344" s="7">
        <f>IF($AA1344="","",U1344*T1344)</f>
        <v/>
      </c>
      <c r="W1344" s="7">
        <f>IF($AA1344="","",V1344+S1344)</f>
        <v/>
      </c>
      <c r="X1344" s="7">
        <f>IF($AA1344="","",Y1344-W1344)</f>
        <v/>
      </c>
      <c r="Y1344" s="7">
        <f>IF($AA1344="","",R1344+U1344+P1344)</f>
        <v/>
      </c>
      <c r="Z1344" s="7">
        <f>IF($AA1344="","",Y1344-W1344-L1344)</f>
        <v/>
      </c>
      <c r="AA1344" s="13">
        <f>IF(ROWS($AA$2:$AA1344)&lt;=MAX('Per Line'!$AO$2:$AO$4001),MATCH(ROWS($AA$2:$AA1344),'Per Line'!$AO$2:$AO$4001,0),"")</f>
        <v/>
      </c>
      <c r="AB1344" s="14">
        <f>IF($AA1344="","",L1344-K1344*Y1344/100)</f>
        <v/>
      </c>
    </row>
    <row r="1345">
      <c r="A1345" s="12" t="n"/>
      <c r="B1345">
        <f>IF($AA1345="","",INDEX('Per Line'!$E$2:$E$4001,$AA1345)&amp;"")</f>
        <v/>
      </c>
      <c r="C1345">
        <f>IF($AA1345="","",INDEX('Per Line'!$A$2:$A$4001,$AA1345)&amp;"")</f>
        <v/>
      </c>
      <c r="D1345">
        <f>IF($AA1345="","",INDEX('Per Line'!$D$2:$D$4001,$AA1345)&amp;"")</f>
        <v/>
      </c>
      <c r="E1345" s="11">
        <f>IF($AA1345="","",INDEX('Per Line'!$G$2:$G$4001,$AA1345))</f>
        <v/>
      </c>
      <c r="F1345">
        <f>IF($AA1345="","",INDEX('Per Line'!$H$2:$H$4001,$AA1345)&amp;"")</f>
        <v/>
      </c>
      <c r="G1345">
        <f>IF($AA1345="","",INDEX('Per Line'!$I$2:$I$4001,$AA1345)&amp;"")</f>
        <v/>
      </c>
      <c r="H1345">
        <f>IF($AA1345="","",INDEX('Per Line'!$J$2:$J$4001,$AA1345)&amp;"")</f>
        <v/>
      </c>
      <c r="I1345">
        <f>IF($AA1345="","",INDEX('Per Line'!$K$2:$K$4001,$AA1345)&amp;"")</f>
        <v/>
      </c>
      <c r="J1345">
        <f>IF($AA1345="","",INDEX('Per Line'!$L$2:$L$4001,$AA1345)&amp;"")</f>
        <v/>
      </c>
      <c r="K1345">
        <f>IF($AA1345="","",INDEX('Per Line'!$P$2:$P$4001,$AA1345))</f>
        <v/>
      </c>
      <c r="L1345" s="7">
        <f>IF($AA1345="","",IF(AND(ISNUMBER(N1345),N1345&gt;0,Y1345&gt;N1345),K1345*N1345/100+(Y1345-N1345),K1345*Y1345/100))</f>
        <v/>
      </c>
      <c r="M1345">
        <f>IF($AA1345="","",INDEX('Per Line'!$Z$2:$Z$4001,$AA1345)&amp;"")</f>
        <v/>
      </c>
      <c r="N1345">
        <f>IF($AA1345="","",INDEX('Per Line'!$AG$2:$AG$4001,$AA1345))</f>
        <v/>
      </c>
      <c r="O1345">
        <f>IF($AA1345="","",IF(AND(ISNUMBER(N1345),N1345&gt;0),Y1345&gt;N1345,FALSE))</f>
        <v/>
      </c>
      <c r="P1345" s="7">
        <f>IF($AA1345="","",SUMIFS('Per Line'!$Y$2:$Y$4001,'Per Line'!$E$2:$E$4001,$B1345,'Per Line'!$AQ$2:$AQ$4001,1))</f>
        <v/>
      </c>
      <c r="Q1345">
        <f>IF($AA1345="","",Settings!$C$7)</f>
        <v/>
      </c>
      <c r="R1345" s="7">
        <f>IF($AA1345="","",SUMIFS('Per Line'!$Y$2:$Y$4001,'Per Line'!$E$2:$E$4001,$B1345,'Per Line'!$AP$2:$AP$4001,0,'Per Line'!$AQ$2:$AQ$4001,0))</f>
        <v/>
      </c>
      <c r="S1345" s="7">
        <f>IF($AA1345="","",R1345*Q1345)</f>
        <v/>
      </c>
      <c r="T1345">
        <f>IF($AA1345="","",Settings!$C$6)</f>
        <v/>
      </c>
      <c r="U1345" s="7">
        <f>IF($AA1345="","",SUMIFS('Per Line'!$Y$2:$Y$4001,'Per Line'!$E$2:$E$4001,$B1345,'Per Line'!$AP$2:$AP$4001,1,'Per Line'!$AQ$2:$AQ$4001,0))</f>
        <v/>
      </c>
      <c r="V1345" s="7">
        <f>IF($AA1345="","",U1345*T1345)</f>
        <v/>
      </c>
      <c r="W1345" s="7">
        <f>IF($AA1345="","",V1345+S1345)</f>
        <v/>
      </c>
      <c r="X1345" s="7">
        <f>IF($AA1345="","",Y1345-W1345)</f>
        <v/>
      </c>
      <c r="Y1345" s="7">
        <f>IF($AA1345="","",R1345+U1345+P1345)</f>
        <v/>
      </c>
      <c r="Z1345" s="7">
        <f>IF($AA1345="","",Y1345-W1345-L1345)</f>
        <v/>
      </c>
      <c r="AA1345" s="13">
        <f>IF(ROWS($AA$2:$AA1345)&lt;=MAX('Per Line'!$AO$2:$AO$4001),MATCH(ROWS($AA$2:$AA1345),'Per Line'!$AO$2:$AO$4001,0),"")</f>
        <v/>
      </c>
      <c r="AB1345" s="14">
        <f>IF($AA1345="","",L1345-K1345*Y1345/100)</f>
        <v/>
      </c>
    </row>
    <row r="1346">
      <c r="A1346" s="12" t="n"/>
      <c r="B1346">
        <f>IF($AA1346="","",INDEX('Per Line'!$E$2:$E$4001,$AA1346)&amp;"")</f>
        <v/>
      </c>
      <c r="C1346">
        <f>IF($AA1346="","",INDEX('Per Line'!$A$2:$A$4001,$AA1346)&amp;"")</f>
        <v/>
      </c>
      <c r="D1346">
        <f>IF($AA1346="","",INDEX('Per Line'!$D$2:$D$4001,$AA1346)&amp;"")</f>
        <v/>
      </c>
      <c r="E1346" s="11">
        <f>IF($AA1346="","",INDEX('Per Line'!$G$2:$G$4001,$AA1346))</f>
        <v/>
      </c>
      <c r="F1346">
        <f>IF($AA1346="","",INDEX('Per Line'!$H$2:$H$4001,$AA1346)&amp;"")</f>
        <v/>
      </c>
      <c r="G1346">
        <f>IF($AA1346="","",INDEX('Per Line'!$I$2:$I$4001,$AA1346)&amp;"")</f>
        <v/>
      </c>
      <c r="H1346">
        <f>IF($AA1346="","",INDEX('Per Line'!$J$2:$J$4001,$AA1346)&amp;"")</f>
        <v/>
      </c>
      <c r="I1346">
        <f>IF($AA1346="","",INDEX('Per Line'!$K$2:$K$4001,$AA1346)&amp;"")</f>
        <v/>
      </c>
      <c r="J1346">
        <f>IF($AA1346="","",INDEX('Per Line'!$L$2:$L$4001,$AA1346)&amp;"")</f>
        <v/>
      </c>
      <c r="K1346">
        <f>IF($AA1346="","",INDEX('Per Line'!$P$2:$P$4001,$AA1346))</f>
        <v/>
      </c>
      <c r="L1346" s="7">
        <f>IF($AA1346="","",IF(AND(ISNUMBER(N1346),N1346&gt;0,Y1346&gt;N1346),K1346*N1346/100+(Y1346-N1346),K1346*Y1346/100))</f>
        <v/>
      </c>
      <c r="M1346">
        <f>IF($AA1346="","",INDEX('Per Line'!$Z$2:$Z$4001,$AA1346)&amp;"")</f>
        <v/>
      </c>
      <c r="N1346">
        <f>IF($AA1346="","",INDEX('Per Line'!$AG$2:$AG$4001,$AA1346))</f>
        <v/>
      </c>
      <c r="O1346">
        <f>IF($AA1346="","",IF(AND(ISNUMBER(N1346),N1346&gt;0),Y1346&gt;N1346,FALSE))</f>
        <v/>
      </c>
      <c r="P1346" s="7">
        <f>IF($AA1346="","",SUMIFS('Per Line'!$Y$2:$Y$4001,'Per Line'!$E$2:$E$4001,$B1346,'Per Line'!$AQ$2:$AQ$4001,1))</f>
        <v/>
      </c>
      <c r="Q1346">
        <f>IF($AA1346="","",Settings!$C$7)</f>
        <v/>
      </c>
      <c r="R1346" s="7">
        <f>IF($AA1346="","",SUMIFS('Per Line'!$Y$2:$Y$4001,'Per Line'!$E$2:$E$4001,$B1346,'Per Line'!$AP$2:$AP$4001,0,'Per Line'!$AQ$2:$AQ$4001,0))</f>
        <v/>
      </c>
      <c r="S1346" s="7">
        <f>IF($AA1346="","",R1346*Q1346)</f>
        <v/>
      </c>
      <c r="T1346">
        <f>IF($AA1346="","",Settings!$C$6)</f>
        <v/>
      </c>
      <c r="U1346" s="7">
        <f>IF($AA1346="","",SUMIFS('Per Line'!$Y$2:$Y$4001,'Per Line'!$E$2:$E$4001,$B1346,'Per Line'!$AP$2:$AP$4001,1,'Per Line'!$AQ$2:$AQ$4001,0))</f>
        <v/>
      </c>
      <c r="V1346" s="7">
        <f>IF($AA1346="","",U1346*T1346)</f>
        <v/>
      </c>
      <c r="W1346" s="7">
        <f>IF($AA1346="","",V1346+S1346)</f>
        <v/>
      </c>
      <c r="X1346" s="7">
        <f>IF($AA1346="","",Y1346-W1346)</f>
        <v/>
      </c>
      <c r="Y1346" s="7">
        <f>IF($AA1346="","",R1346+U1346+P1346)</f>
        <v/>
      </c>
      <c r="Z1346" s="7">
        <f>IF($AA1346="","",Y1346-W1346-L1346)</f>
        <v/>
      </c>
      <c r="AA1346" s="13">
        <f>IF(ROWS($AA$2:$AA1346)&lt;=MAX('Per Line'!$AO$2:$AO$4001),MATCH(ROWS($AA$2:$AA1346),'Per Line'!$AO$2:$AO$4001,0),"")</f>
        <v/>
      </c>
      <c r="AB1346" s="14">
        <f>IF($AA1346="","",L1346-K1346*Y1346/100)</f>
        <v/>
      </c>
    </row>
    <row r="1347">
      <c r="A1347" s="12" t="n"/>
      <c r="B1347">
        <f>IF($AA1347="","",INDEX('Per Line'!$E$2:$E$4001,$AA1347)&amp;"")</f>
        <v/>
      </c>
      <c r="C1347">
        <f>IF($AA1347="","",INDEX('Per Line'!$A$2:$A$4001,$AA1347)&amp;"")</f>
        <v/>
      </c>
      <c r="D1347">
        <f>IF($AA1347="","",INDEX('Per Line'!$D$2:$D$4001,$AA1347)&amp;"")</f>
        <v/>
      </c>
      <c r="E1347" s="11">
        <f>IF($AA1347="","",INDEX('Per Line'!$G$2:$G$4001,$AA1347))</f>
        <v/>
      </c>
      <c r="F1347">
        <f>IF($AA1347="","",INDEX('Per Line'!$H$2:$H$4001,$AA1347)&amp;"")</f>
        <v/>
      </c>
      <c r="G1347">
        <f>IF($AA1347="","",INDEX('Per Line'!$I$2:$I$4001,$AA1347)&amp;"")</f>
        <v/>
      </c>
      <c r="H1347">
        <f>IF($AA1347="","",INDEX('Per Line'!$J$2:$J$4001,$AA1347)&amp;"")</f>
        <v/>
      </c>
      <c r="I1347">
        <f>IF($AA1347="","",INDEX('Per Line'!$K$2:$K$4001,$AA1347)&amp;"")</f>
        <v/>
      </c>
      <c r="J1347">
        <f>IF($AA1347="","",INDEX('Per Line'!$L$2:$L$4001,$AA1347)&amp;"")</f>
        <v/>
      </c>
      <c r="K1347">
        <f>IF($AA1347="","",INDEX('Per Line'!$P$2:$P$4001,$AA1347))</f>
        <v/>
      </c>
      <c r="L1347" s="7">
        <f>IF($AA1347="","",IF(AND(ISNUMBER(N1347),N1347&gt;0,Y1347&gt;N1347),K1347*N1347/100+(Y1347-N1347),K1347*Y1347/100))</f>
        <v/>
      </c>
      <c r="M1347">
        <f>IF($AA1347="","",INDEX('Per Line'!$Z$2:$Z$4001,$AA1347)&amp;"")</f>
        <v/>
      </c>
      <c r="N1347">
        <f>IF($AA1347="","",INDEX('Per Line'!$AG$2:$AG$4001,$AA1347))</f>
        <v/>
      </c>
      <c r="O1347">
        <f>IF($AA1347="","",IF(AND(ISNUMBER(N1347),N1347&gt;0),Y1347&gt;N1347,FALSE))</f>
        <v/>
      </c>
      <c r="P1347" s="7">
        <f>IF($AA1347="","",SUMIFS('Per Line'!$Y$2:$Y$4001,'Per Line'!$E$2:$E$4001,$B1347,'Per Line'!$AQ$2:$AQ$4001,1))</f>
        <v/>
      </c>
      <c r="Q1347">
        <f>IF($AA1347="","",Settings!$C$7)</f>
        <v/>
      </c>
      <c r="R1347" s="7">
        <f>IF($AA1347="","",SUMIFS('Per Line'!$Y$2:$Y$4001,'Per Line'!$E$2:$E$4001,$B1347,'Per Line'!$AP$2:$AP$4001,0,'Per Line'!$AQ$2:$AQ$4001,0))</f>
        <v/>
      </c>
      <c r="S1347" s="7">
        <f>IF($AA1347="","",R1347*Q1347)</f>
        <v/>
      </c>
      <c r="T1347">
        <f>IF($AA1347="","",Settings!$C$6)</f>
        <v/>
      </c>
      <c r="U1347" s="7">
        <f>IF($AA1347="","",SUMIFS('Per Line'!$Y$2:$Y$4001,'Per Line'!$E$2:$E$4001,$B1347,'Per Line'!$AP$2:$AP$4001,1,'Per Line'!$AQ$2:$AQ$4001,0))</f>
        <v/>
      </c>
      <c r="V1347" s="7">
        <f>IF($AA1347="","",U1347*T1347)</f>
        <v/>
      </c>
      <c r="W1347" s="7">
        <f>IF($AA1347="","",V1347+S1347)</f>
        <v/>
      </c>
      <c r="X1347" s="7">
        <f>IF($AA1347="","",Y1347-W1347)</f>
        <v/>
      </c>
      <c r="Y1347" s="7">
        <f>IF($AA1347="","",R1347+U1347+P1347)</f>
        <v/>
      </c>
      <c r="Z1347" s="7">
        <f>IF($AA1347="","",Y1347-W1347-L1347)</f>
        <v/>
      </c>
      <c r="AA1347" s="13">
        <f>IF(ROWS($AA$2:$AA1347)&lt;=MAX('Per Line'!$AO$2:$AO$4001),MATCH(ROWS($AA$2:$AA1347),'Per Line'!$AO$2:$AO$4001,0),"")</f>
        <v/>
      </c>
      <c r="AB1347" s="14">
        <f>IF($AA1347="","",L1347-K1347*Y1347/100)</f>
        <v/>
      </c>
    </row>
    <row r="1348">
      <c r="A1348" s="12" t="n"/>
      <c r="B1348">
        <f>IF($AA1348="","",INDEX('Per Line'!$E$2:$E$4001,$AA1348)&amp;"")</f>
        <v/>
      </c>
      <c r="C1348">
        <f>IF($AA1348="","",INDEX('Per Line'!$A$2:$A$4001,$AA1348)&amp;"")</f>
        <v/>
      </c>
      <c r="D1348">
        <f>IF($AA1348="","",INDEX('Per Line'!$D$2:$D$4001,$AA1348)&amp;"")</f>
        <v/>
      </c>
      <c r="E1348" s="11">
        <f>IF($AA1348="","",INDEX('Per Line'!$G$2:$G$4001,$AA1348))</f>
        <v/>
      </c>
      <c r="F1348">
        <f>IF($AA1348="","",INDEX('Per Line'!$H$2:$H$4001,$AA1348)&amp;"")</f>
        <v/>
      </c>
      <c r="G1348">
        <f>IF($AA1348="","",INDEX('Per Line'!$I$2:$I$4001,$AA1348)&amp;"")</f>
        <v/>
      </c>
      <c r="H1348">
        <f>IF($AA1348="","",INDEX('Per Line'!$J$2:$J$4001,$AA1348)&amp;"")</f>
        <v/>
      </c>
      <c r="I1348">
        <f>IF($AA1348="","",INDEX('Per Line'!$K$2:$K$4001,$AA1348)&amp;"")</f>
        <v/>
      </c>
      <c r="J1348">
        <f>IF($AA1348="","",INDEX('Per Line'!$L$2:$L$4001,$AA1348)&amp;"")</f>
        <v/>
      </c>
      <c r="K1348">
        <f>IF($AA1348="","",INDEX('Per Line'!$P$2:$P$4001,$AA1348))</f>
        <v/>
      </c>
      <c r="L1348" s="7">
        <f>IF($AA1348="","",IF(AND(ISNUMBER(N1348),N1348&gt;0,Y1348&gt;N1348),K1348*N1348/100+(Y1348-N1348),K1348*Y1348/100))</f>
        <v/>
      </c>
      <c r="M1348">
        <f>IF($AA1348="","",INDEX('Per Line'!$Z$2:$Z$4001,$AA1348)&amp;"")</f>
        <v/>
      </c>
      <c r="N1348">
        <f>IF($AA1348="","",INDEX('Per Line'!$AG$2:$AG$4001,$AA1348))</f>
        <v/>
      </c>
      <c r="O1348">
        <f>IF($AA1348="","",IF(AND(ISNUMBER(N1348),N1348&gt;0),Y1348&gt;N1348,FALSE))</f>
        <v/>
      </c>
      <c r="P1348" s="7">
        <f>IF($AA1348="","",SUMIFS('Per Line'!$Y$2:$Y$4001,'Per Line'!$E$2:$E$4001,$B1348,'Per Line'!$AQ$2:$AQ$4001,1))</f>
        <v/>
      </c>
      <c r="Q1348">
        <f>IF($AA1348="","",Settings!$C$7)</f>
        <v/>
      </c>
      <c r="R1348" s="7">
        <f>IF($AA1348="","",SUMIFS('Per Line'!$Y$2:$Y$4001,'Per Line'!$E$2:$E$4001,$B1348,'Per Line'!$AP$2:$AP$4001,0,'Per Line'!$AQ$2:$AQ$4001,0))</f>
        <v/>
      </c>
      <c r="S1348" s="7">
        <f>IF($AA1348="","",R1348*Q1348)</f>
        <v/>
      </c>
      <c r="T1348">
        <f>IF($AA1348="","",Settings!$C$6)</f>
        <v/>
      </c>
      <c r="U1348" s="7">
        <f>IF($AA1348="","",SUMIFS('Per Line'!$Y$2:$Y$4001,'Per Line'!$E$2:$E$4001,$B1348,'Per Line'!$AP$2:$AP$4001,1,'Per Line'!$AQ$2:$AQ$4001,0))</f>
        <v/>
      </c>
      <c r="V1348" s="7">
        <f>IF($AA1348="","",U1348*T1348)</f>
        <v/>
      </c>
      <c r="W1348" s="7">
        <f>IF($AA1348="","",V1348+S1348)</f>
        <v/>
      </c>
      <c r="X1348" s="7">
        <f>IF($AA1348="","",Y1348-W1348)</f>
        <v/>
      </c>
      <c r="Y1348" s="7">
        <f>IF($AA1348="","",R1348+U1348+P1348)</f>
        <v/>
      </c>
      <c r="Z1348" s="7">
        <f>IF($AA1348="","",Y1348-W1348-L1348)</f>
        <v/>
      </c>
      <c r="AA1348" s="13">
        <f>IF(ROWS($AA$2:$AA1348)&lt;=MAX('Per Line'!$AO$2:$AO$4001),MATCH(ROWS($AA$2:$AA1348),'Per Line'!$AO$2:$AO$4001,0),"")</f>
        <v/>
      </c>
      <c r="AB1348" s="14">
        <f>IF($AA1348="","",L1348-K1348*Y1348/100)</f>
        <v/>
      </c>
    </row>
    <row r="1349">
      <c r="A1349" s="12" t="n"/>
      <c r="B1349">
        <f>IF($AA1349="","",INDEX('Per Line'!$E$2:$E$4001,$AA1349)&amp;"")</f>
        <v/>
      </c>
      <c r="C1349">
        <f>IF($AA1349="","",INDEX('Per Line'!$A$2:$A$4001,$AA1349)&amp;"")</f>
        <v/>
      </c>
      <c r="D1349">
        <f>IF($AA1349="","",INDEX('Per Line'!$D$2:$D$4001,$AA1349)&amp;"")</f>
        <v/>
      </c>
      <c r="E1349" s="11">
        <f>IF($AA1349="","",INDEX('Per Line'!$G$2:$G$4001,$AA1349))</f>
        <v/>
      </c>
      <c r="F1349">
        <f>IF($AA1349="","",INDEX('Per Line'!$H$2:$H$4001,$AA1349)&amp;"")</f>
        <v/>
      </c>
      <c r="G1349">
        <f>IF($AA1349="","",INDEX('Per Line'!$I$2:$I$4001,$AA1349)&amp;"")</f>
        <v/>
      </c>
      <c r="H1349">
        <f>IF($AA1349="","",INDEX('Per Line'!$J$2:$J$4001,$AA1349)&amp;"")</f>
        <v/>
      </c>
      <c r="I1349">
        <f>IF($AA1349="","",INDEX('Per Line'!$K$2:$K$4001,$AA1349)&amp;"")</f>
        <v/>
      </c>
      <c r="J1349">
        <f>IF($AA1349="","",INDEX('Per Line'!$L$2:$L$4001,$AA1349)&amp;"")</f>
        <v/>
      </c>
      <c r="K1349">
        <f>IF($AA1349="","",INDEX('Per Line'!$P$2:$P$4001,$AA1349))</f>
        <v/>
      </c>
      <c r="L1349" s="7">
        <f>IF($AA1349="","",IF(AND(ISNUMBER(N1349),N1349&gt;0,Y1349&gt;N1349),K1349*N1349/100+(Y1349-N1349),K1349*Y1349/100))</f>
        <v/>
      </c>
      <c r="M1349">
        <f>IF($AA1349="","",INDEX('Per Line'!$Z$2:$Z$4001,$AA1349)&amp;"")</f>
        <v/>
      </c>
      <c r="N1349">
        <f>IF($AA1349="","",INDEX('Per Line'!$AG$2:$AG$4001,$AA1349))</f>
        <v/>
      </c>
      <c r="O1349">
        <f>IF($AA1349="","",IF(AND(ISNUMBER(N1349),N1349&gt;0),Y1349&gt;N1349,FALSE))</f>
        <v/>
      </c>
      <c r="P1349" s="7">
        <f>IF($AA1349="","",SUMIFS('Per Line'!$Y$2:$Y$4001,'Per Line'!$E$2:$E$4001,$B1349,'Per Line'!$AQ$2:$AQ$4001,1))</f>
        <v/>
      </c>
      <c r="Q1349">
        <f>IF($AA1349="","",Settings!$C$7)</f>
        <v/>
      </c>
      <c r="R1349" s="7">
        <f>IF($AA1349="","",SUMIFS('Per Line'!$Y$2:$Y$4001,'Per Line'!$E$2:$E$4001,$B1349,'Per Line'!$AP$2:$AP$4001,0,'Per Line'!$AQ$2:$AQ$4001,0))</f>
        <v/>
      </c>
      <c r="S1349" s="7">
        <f>IF($AA1349="","",R1349*Q1349)</f>
        <v/>
      </c>
      <c r="T1349">
        <f>IF($AA1349="","",Settings!$C$6)</f>
        <v/>
      </c>
      <c r="U1349" s="7">
        <f>IF($AA1349="","",SUMIFS('Per Line'!$Y$2:$Y$4001,'Per Line'!$E$2:$E$4001,$B1349,'Per Line'!$AP$2:$AP$4001,1,'Per Line'!$AQ$2:$AQ$4001,0))</f>
        <v/>
      </c>
      <c r="V1349" s="7">
        <f>IF($AA1349="","",U1349*T1349)</f>
        <v/>
      </c>
      <c r="W1349" s="7">
        <f>IF($AA1349="","",V1349+S1349)</f>
        <v/>
      </c>
      <c r="X1349" s="7">
        <f>IF($AA1349="","",Y1349-W1349)</f>
        <v/>
      </c>
      <c r="Y1349" s="7">
        <f>IF($AA1349="","",R1349+U1349+P1349)</f>
        <v/>
      </c>
      <c r="Z1349" s="7">
        <f>IF($AA1349="","",Y1349-W1349-L1349)</f>
        <v/>
      </c>
      <c r="AA1349" s="13">
        <f>IF(ROWS($AA$2:$AA1349)&lt;=MAX('Per Line'!$AO$2:$AO$4001),MATCH(ROWS($AA$2:$AA1349),'Per Line'!$AO$2:$AO$4001,0),"")</f>
        <v/>
      </c>
      <c r="AB1349" s="14">
        <f>IF($AA1349="","",L1349-K1349*Y1349/100)</f>
        <v/>
      </c>
    </row>
    <row r="1350">
      <c r="A1350" s="12" t="n"/>
      <c r="B1350">
        <f>IF($AA1350="","",INDEX('Per Line'!$E$2:$E$4001,$AA1350)&amp;"")</f>
        <v/>
      </c>
      <c r="C1350">
        <f>IF($AA1350="","",INDEX('Per Line'!$A$2:$A$4001,$AA1350)&amp;"")</f>
        <v/>
      </c>
      <c r="D1350">
        <f>IF($AA1350="","",INDEX('Per Line'!$D$2:$D$4001,$AA1350)&amp;"")</f>
        <v/>
      </c>
      <c r="E1350" s="11">
        <f>IF($AA1350="","",INDEX('Per Line'!$G$2:$G$4001,$AA1350))</f>
        <v/>
      </c>
      <c r="F1350">
        <f>IF($AA1350="","",INDEX('Per Line'!$H$2:$H$4001,$AA1350)&amp;"")</f>
        <v/>
      </c>
      <c r="G1350">
        <f>IF($AA1350="","",INDEX('Per Line'!$I$2:$I$4001,$AA1350)&amp;"")</f>
        <v/>
      </c>
      <c r="H1350">
        <f>IF($AA1350="","",INDEX('Per Line'!$J$2:$J$4001,$AA1350)&amp;"")</f>
        <v/>
      </c>
      <c r="I1350">
        <f>IF($AA1350="","",INDEX('Per Line'!$K$2:$K$4001,$AA1350)&amp;"")</f>
        <v/>
      </c>
      <c r="J1350">
        <f>IF($AA1350="","",INDEX('Per Line'!$L$2:$L$4001,$AA1350)&amp;"")</f>
        <v/>
      </c>
      <c r="K1350">
        <f>IF($AA1350="","",INDEX('Per Line'!$P$2:$P$4001,$AA1350))</f>
        <v/>
      </c>
      <c r="L1350" s="7">
        <f>IF($AA1350="","",IF(AND(ISNUMBER(N1350),N1350&gt;0,Y1350&gt;N1350),K1350*N1350/100+(Y1350-N1350),K1350*Y1350/100))</f>
        <v/>
      </c>
      <c r="M1350">
        <f>IF($AA1350="","",INDEX('Per Line'!$Z$2:$Z$4001,$AA1350)&amp;"")</f>
        <v/>
      </c>
      <c r="N1350">
        <f>IF($AA1350="","",INDEX('Per Line'!$AG$2:$AG$4001,$AA1350))</f>
        <v/>
      </c>
      <c r="O1350">
        <f>IF($AA1350="","",IF(AND(ISNUMBER(N1350),N1350&gt;0),Y1350&gt;N1350,FALSE))</f>
        <v/>
      </c>
      <c r="P1350" s="7">
        <f>IF($AA1350="","",SUMIFS('Per Line'!$Y$2:$Y$4001,'Per Line'!$E$2:$E$4001,$B1350,'Per Line'!$AQ$2:$AQ$4001,1))</f>
        <v/>
      </c>
      <c r="Q1350">
        <f>IF($AA1350="","",Settings!$C$7)</f>
        <v/>
      </c>
      <c r="R1350" s="7">
        <f>IF($AA1350="","",SUMIFS('Per Line'!$Y$2:$Y$4001,'Per Line'!$E$2:$E$4001,$B1350,'Per Line'!$AP$2:$AP$4001,0,'Per Line'!$AQ$2:$AQ$4001,0))</f>
        <v/>
      </c>
      <c r="S1350" s="7">
        <f>IF($AA1350="","",R1350*Q1350)</f>
        <v/>
      </c>
      <c r="T1350">
        <f>IF($AA1350="","",Settings!$C$6)</f>
        <v/>
      </c>
      <c r="U1350" s="7">
        <f>IF($AA1350="","",SUMIFS('Per Line'!$Y$2:$Y$4001,'Per Line'!$E$2:$E$4001,$B1350,'Per Line'!$AP$2:$AP$4001,1,'Per Line'!$AQ$2:$AQ$4001,0))</f>
        <v/>
      </c>
      <c r="V1350" s="7">
        <f>IF($AA1350="","",U1350*T1350)</f>
        <v/>
      </c>
      <c r="W1350" s="7">
        <f>IF($AA1350="","",V1350+S1350)</f>
        <v/>
      </c>
      <c r="X1350" s="7">
        <f>IF($AA1350="","",Y1350-W1350)</f>
        <v/>
      </c>
      <c r="Y1350" s="7">
        <f>IF($AA1350="","",R1350+U1350+P1350)</f>
        <v/>
      </c>
      <c r="Z1350" s="7">
        <f>IF($AA1350="","",Y1350-W1350-L1350)</f>
        <v/>
      </c>
      <c r="AA1350" s="13">
        <f>IF(ROWS($AA$2:$AA1350)&lt;=MAX('Per Line'!$AO$2:$AO$4001),MATCH(ROWS($AA$2:$AA1350),'Per Line'!$AO$2:$AO$4001,0),"")</f>
        <v/>
      </c>
      <c r="AB1350" s="14">
        <f>IF($AA1350="","",L1350-K1350*Y1350/100)</f>
        <v/>
      </c>
    </row>
    <row r="1351">
      <c r="A1351" s="12" t="n"/>
      <c r="B1351">
        <f>IF($AA1351="","",INDEX('Per Line'!$E$2:$E$4001,$AA1351)&amp;"")</f>
        <v/>
      </c>
      <c r="C1351">
        <f>IF($AA1351="","",INDEX('Per Line'!$A$2:$A$4001,$AA1351)&amp;"")</f>
        <v/>
      </c>
      <c r="D1351">
        <f>IF($AA1351="","",INDEX('Per Line'!$D$2:$D$4001,$AA1351)&amp;"")</f>
        <v/>
      </c>
      <c r="E1351" s="11">
        <f>IF($AA1351="","",INDEX('Per Line'!$G$2:$G$4001,$AA1351))</f>
        <v/>
      </c>
      <c r="F1351">
        <f>IF($AA1351="","",INDEX('Per Line'!$H$2:$H$4001,$AA1351)&amp;"")</f>
        <v/>
      </c>
      <c r="G1351">
        <f>IF($AA1351="","",INDEX('Per Line'!$I$2:$I$4001,$AA1351)&amp;"")</f>
        <v/>
      </c>
      <c r="H1351">
        <f>IF($AA1351="","",INDEX('Per Line'!$J$2:$J$4001,$AA1351)&amp;"")</f>
        <v/>
      </c>
      <c r="I1351">
        <f>IF($AA1351="","",INDEX('Per Line'!$K$2:$K$4001,$AA1351)&amp;"")</f>
        <v/>
      </c>
      <c r="J1351">
        <f>IF($AA1351="","",INDEX('Per Line'!$L$2:$L$4001,$AA1351)&amp;"")</f>
        <v/>
      </c>
      <c r="K1351">
        <f>IF($AA1351="","",INDEX('Per Line'!$P$2:$P$4001,$AA1351))</f>
        <v/>
      </c>
      <c r="L1351" s="7">
        <f>IF($AA1351="","",IF(AND(ISNUMBER(N1351),N1351&gt;0,Y1351&gt;N1351),K1351*N1351/100+(Y1351-N1351),K1351*Y1351/100))</f>
        <v/>
      </c>
      <c r="M1351">
        <f>IF($AA1351="","",INDEX('Per Line'!$Z$2:$Z$4001,$AA1351)&amp;"")</f>
        <v/>
      </c>
      <c r="N1351">
        <f>IF($AA1351="","",INDEX('Per Line'!$AG$2:$AG$4001,$AA1351))</f>
        <v/>
      </c>
      <c r="O1351">
        <f>IF($AA1351="","",IF(AND(ISNUMBER(N1351),N1351&gt;0),Y1351&gt;N1351,FALSE))</f>
        <v/>
      </c>
      <c r="P1351" s="7">
        <f>IF($AA1351="","",SUMIFS('Per Line'!$Y$2:$Y$4001,'Per Line'!$E$2:$E$4001,$B1351,'Per Line'!$AQ$2:$AQ$4001,1))</f>
        <v/>
      </c>
      <c r="Q1351">
        <f>IF($AA1351="","",Settings!$C$7)</f>
        <v/>
      </c>
      <c r="R1351" s="7">
        <f>IF($AA1351="","",SUMIFS('Per Line'!$Y$2:$Y$4001,'Per Line'!$E$2:$E$4001,$B1351,'Per Line'!$AP$2:$AP$4001,0,'Per Line'!$AQ$2:$AQ$4001,0))</f>
        <v/>
      </c>
      <c r="S1351" s="7">
        <f>IF($AA1351="","",R1351*Q1351)</f>
        <v/>
      </c>
      <c r="T1351">
        <f>IF($AA1351="","",Settings!$C$6)</f>
        <v/>
      </c>
      <c r="U1351" s="7">
        <f>IF($AA1351="","",SUMIFS('Per Line'!$Y$2:$Y$4001,'Per Line'!$E$2:$E$4001,$B1351,'Per Line'!$AP$2:$AP$4001,1,'Per Line'!$AQ$2:$AQ$4001,0))</f>
        <v/>
      </c>
      <c r="V1351" s="7">
        <f>IF($AA1351="","",U1351*T1351)</f>
        <v/>
      </c>
      <c r="W1351" s="7">
        <f>IF($AA1351="","",V1351+S1351)</f>
        <v/>
      </c>
      <c r="X1351" s="7">
        <f>IF($AA1351="","",Y1351-W1351)</f>
        <v/>
      </c>
      <c r="Y1351" s="7">
        <f>IF($AA1351="","",R1351+U1351+P1351)</f>
        <v/>
      </c>
      <c r="Z1351" s="7">
        <f>IF($AA1351="","",Y1351-W1351-L1351)</f>
        <v/>
      </c>
      <c r="AA1351" s="13">
        <f>IF(ROWS($AA$2:$AA1351)&lt;=MAX('Per Line'!$AO$2:$AO$4001),MATCH(ROWS($AA$2:$AA1351),'Per Line'!$AO$2:$AO$4001,0),"")</f>
        <v/>
      </c>
      <c r="AB1351" s="14">
        <f>IF($AA1351="","",L1351-K1351*Y1351/100)</f>
        <v/>
      </c>
    </row>
    <row r="1352">
      <c r="A1352" s="12" t="n"/>
      <c r="B1352">
        <f>IF($AA1352="","",INDEX('Per Line'!$E$2:$E$4001,$AA1352)&amp;"")</f>
        <v/>
      </c>
      <c r="C1352">
        <f>IF($AA1352="","",INDEX('Per Line'!$A$2:$A$4001,$AA1352)&amp;"")</f>
        <v/>
      </c>
      <c r="D1352">
        <f>IF($AA1352="","",INDEX('Per Line'!$D$2:$D$4001,$AA1352)&amp;"")</f>
        <v/>
      </c>
      <c r="E1352" s="11">
        <f>IF($AA1352="","",INDEX('Per Line'!$G$2:$G$4001,$AA1352))</f>
        <v/>
      </c>
      <c r="F1352">
        <f>IF($AA1352="","",INDEX('Per Line'!$H$2:$H$4001,$AA1352)&amp;"")</f>
        <v/>
      </c>
      <c r="G1352">
        <f>IF($AA1352="","",INDEX('Per Line'!$I$2:$I$4001,$AA1352)&amp;"")</f>
        <v/>
      </c>
      <c r="H1352">
        <f>IF($AA1352="","",INDEX('Per Line'!$J$2:$J$4001,$AA1352)&amp;"")</f>
        <v/>
      </c>
      <c r="I1352">
        <f>IF($AA1352="","",INDEX('Per Line'!$K$2:$K$4001,$AA1352)&amp;"")</f>
        <v/>
      </c>
      <c r="J1352">
        <f>IF($AA1352="","",INDEX('Per Line'!$L$2:$L$4001,$AA1352)&amp;"")</f>
        <v/>
      </c>
      <c r="K1352">
        <f>IF($AA1352="","",INDEX('Per Line'!$P$2:$P$4001,$AA1352))</f>
        <v/>
      </c>
      <c r="L1352" s="7">
        <f>IF($AA1352="","",IF(AND(ISNUMBER(N1352),N1352&gt;0,Y1352&gt;N1352),K1352*N1352/100+(Y1352-N1352),K1352*Y1352/100))</f>
        <v/>
      </c>
      <c r="M1352">
        <f>IF($AA1352="","",INDEX('Per Line'!$Z$2:$Z$4001,$AA1352)&amp;"")</f>
        <v/>
      </c>
      <c r="N1352">
        <f>IF($AA1352="","",INDEX('Per Line'!$AG$2:$AG$4001,$AA1352))</f>
        <v/>
      </c>
      <c r="O1352">
        <f>IF($AA1352="","",IF(AND(ISNUMBER(N1352),N1352&gt;0),Y1352&gt;N1352,FALSE))</f>
        <v/>
      </c>
      <c r="P1352" s="7">
        <f>IF($AA1352="","",SUMIFS('Per Line'!$Y$2:$Y$4001,'Per Line'!$E$2:$E$4001,$B1352,'Per Line'!$AQ$2:$AQ$4001,1))</f>
        <v/>
      </c>
      <c r="Q1352">
        <f>IF($AA1352="","",Settings!$C$7)</f>
        <v/>
      </c>
      <c r="R1352" s="7">
        <f>IF($AA1352="","",SUMIFS('Per Line'!$Y$2:$Y$4001,'Per Line'!$E$2:$E$4001,$B1352,'Per Line'!$AP$2:$AP$4001,0,'Per Line'!$AQ$2:$AQ$4001,0))</f>
        <v/>
      </c>
      <c r="S1352" s="7">
        <f>IF($AA1352="","",R1352*Q1352)</f>
        <v/>
      </c>
      <c r="T1352">
        <f>IF($AA1352="","",Settings!$C$6)</f>
        <v/>
      </c>
      <c r="U1352" s="7">
        <f>IF($AA1352="","",SUMIFS('Per Line'!$Y$2:$Y$4001,'Per Line'!$E$2:$E$4001,$B1352,'Per Line'!$AP$2:$AP$4001,1,'Per Line'!$AQ$2:$AQ$4001,0))</f>
        <v/>
      </c>
      <c r="V1352" s="7">
        <f>IF($AA1352="","",U1352*T1352)</f>
        <v/>
      </c>
      <c r="W1352" s="7">
        <f>IF($AA1352="","",V1352+S1352)</f>
        <v/>
      </c>
      <c r="X1352" s="7">
        <f>IF($AA1352="","",Y1352-W1352)</f>
        <v/>
      </c>
      <c r="Y1352" s="7">
        <f>IF($AA1352="","",R1352+U1352+P1352)</f>
        <v/>
      </c>
      <c r="Z1352" s="7">
        <f>IF($AA1352="","",Y1352-W1352-L1352)</f>
        <v/>
      </c>
      <c r="AA1352" s="13">
        <f>IF(ROWS($AA$2:$AA1352)&lt;=MAX('Per Line'!$AO$2:$AO$4001),MATCH(ROWS($AA$2:$AA1352),'Per Line'!$AO$2:$AO$4001,0),"")</f>
        <v/>
      </c>
      <c r="AB1352" s="14">
        <f>IF($AA1352="","",L1352-K1352*Y1352/100)</f>
        <v/>
      </c>
    </row>
    <row r="1353">
      <c r="A1353" s="12" t="n"/>
      <c r="B1353">
        <f>IF($AA1353="","",INDEX('Per Line'!$E$2:$E$4001,$AA1353)&amp;"")</f>
        <v/>
      </c>
      <c r="C1353">
        <f>IF($AA1353="","",INDEX('Per Line'!$A$2:$A$4001,$AA1353)&amp;"")</f>
        <v/>
      </c>
      <c r="D1353">
        <f>IF($AA1353="","",INDEX('Per Line'!$D$2:$D$4001,$AA1353)&amp;"")</f>
        <v/>
      </c>
      <c r="E1353" s="11">
        <f>IF($AA1353="","",INDEX('Per Line'!$G$2:$G$4001,$AA1353))</f>
        <v/>
      </c>
      <c r="F1353">
        <f>IF($AA1353="","",INDEX('Per Line'!$H$2:$H$4001,$AA1353)&amp;"")</f>
        <v/>
      </c>
      <c r="G1353">
        <f>IF($AA1353="","",INDEX('Per Line'!$I$2:$I$4001,$AA1353)&amp;"")</f>
        <v/>
      </c>
      <c r="H1353">
        <f>IF($AA1353="","",INDEX('Per Line'!$J$2:$J$4001,$AA1353)&amp;"")</f>
        <v/>
      </c>
      <c r="I1353">
        <f>IF($AA1353="","",INDEX('Per Line'!$K$2:$K$4001,$AA1353)&amp;"")</f>
        <v/>
      </c>
      <c r="J1353">
        <f>IF($AA1353="","",INDEX('Per Line'!$L$2:$L$4001,$AA1353)&amp;"")</f>
        <v/>
      </c>
      <c r="K1353">
        <f>IF($AA1353="","",INDEX('Per Line'!$P$2:$P$4001,$AA1353))</f>
        <v/>
      </c>
      <c r="L1353" s="7">
        <f>IF($AA1353="","",IF(AND(ISNUMBER(N1353),N1353&gt;0,Y1353&gt;N1353),K1353*N1353/100+(Y1353-N1353),K1353*Y1353/100))</f>
        <v/>
      </c>
      <c r="M1353">
        <f>IF($AA1353="","",INDEX('Per Line'!$Z$2:$Z$4001,$AA1353)&amp;"")</f>
        <v/>
      </c>
      <c r="N1353">
        <f>IF($AA1353="","",INDEX('Per Line'!$AG$2:$AG$4001,$AA1353))</f>
        <v/>
      </c>
      <c r="O1353">
        <f>IF($AA1353="","",IF(AND(ISNUMBER(N1353),N1353&gt;0),Y1353&gt;N1353,FALSE))</f>
        <v/>
      </c>
      <c r="P1353" s="7">
        <f>IF($AA1353="","",SUMIFS('Per Line'!$Y$2:$Y$4001,'Per Line'!$E$2:$E$4001,$B1353,'Per Line'!$AQ$2:$AQ$4001,1))</f>
        <v/>
      </c>
      <c r="Q1353">
        <f>IF($AA1353="","",Settings!$C$7)</f>
        <v/>
      </c>
      <c r="R1353" s="7">
        <f>IF($AA1353="","",SUMIFS('Per Line'!$Y$2:$Y$4001,'Per Line'!$E$2:$E$4001,$B1353,'Per Line'!$AP$2:$AP$4001,0,'Per Line'!$AQ$2:$AQ$4001,0))</f>
        <v/>
      </c>
      <c r="S1353" s="7">
        <f>IF($AA1353="","",R1353*Q1353)</f>
        <v/>
      </c>
      <c r="T1353">
        <f>IF($AA1353="","",Settings!$C$6)</f>
        <v/>
      </c>
      <c r="U1353" s="7">
        <f>IF($AA1353="","",SUMIFS('Per Line'!$Y$2:$Y$4001,'Per Line'!$E$2:$E$4001,$B1353,'Per Line'!$AP$2:$AP$4001,1,'Per Line'!$AQ$2:$AQ$4001,0))</f>
        <v/>
      </c>
      <c r="V1353" s="7">
        <f>IF($AA1353="","",U1353*T1353)</f>
        <v/>
      </c>
      <c r="W1353" s="7">
        <f>IF($AA1353="","",V1353+S1353)</f>
        <v/>
      </c>
      <c r="X1353" s="7">
        <f>IF($AA1353="","",Y1353-W1353)</f>
        <v/>
      </c>
      <c r="Y1353" s="7">
        <f>IF($AA1353="","",R1353+U1353+P1353)</f>
        <v/>
      </c>
      <c r="Z1353" s="7">
        <f>IF($AA1353="","",Y1353-W1353-L1353)</f>
        <v/>
      </c>
      <c r="AA1353" s="13">
        <f>IF(ROWS($AA$2:$AA1353)&lt;=MAX('Per Line'!$AO$2:$AO$4001),MATCH(ROWS($AA$2:$AA1353),'Per Line'!$AO$2:$AO$4001,0),"")</f>
        <v/>
      </c>
      <c r="AB1353" s="14">
        <f>IF($AA1353="","",L1353-K1353*Y1353/100)</f>
        <v/>
      </c>
    </row>
    <row r="1354">
      <c r="A1354" s="12" t="n"/>
      <c r="B1354">
        <f>IF($AA1354="","",INDEX('Per Line'!$E$2:$E$4001,$AA1354)&amp;"")</f>
        <v/>
      </c>
      <c r="C1354">
        <f>IF($AA1354="","",INDEX('Per Line'!$A$2:$A$4001,$AA1354)&amp;"")</f>
        <v/>
      </c>
      <c r="D1354">
        <f>IF($AA1354="","",INDEX('Per Line'!$D$2:$D$4001,$AA1354)&amp;"")</f>
        <v/>
      </c>
      <c r="E1354" s="11">
        <f>IF($AA1354="","",INDEX('Per Line'!$G$2:$G$4001,$AA1354))</f>
        <v/>
      </c>
      <c r="F1354">
        <f>IF($AA1354="","",INDEX('Per Line'!$H$2:$H$4001,$AA1354)&amp;"")</f>
        <v/>
      </c>
      <c r="G1354">
        <f>IF($AA1354="","",INDEX('Per Line'!$I$2:$I$4001,$AA1354)&amp;"")</f>
        <v/>
      </c>
      <c r="H1354">
        <f>IF($AA1354="","",INDEX('Per Line'!$J$2:$J$4001,$AA1354)&amp;"")</f>
        <v/>
      </c>
      <c r="I1354">
        <f>IF($AA1354="","",INDEX('Per Line'!$K$2:$K$4001,$AA1354)&amp;"")</f>
        <v/>
      </c>
      <c r="J1354">
        <f>IF($AA1354="","",INDEX('Per Line'!$L$2:$L$4001,$AA1354)&amp;"")</f>
        <v/>
      </c>
      <c r="K1354">
        <f>IF($AA1354="","",INDEX('Per Line'!$P$2:$P$4001,$AA1354))</f>
        <v/>
      </c>
      <c r="L1354" s="7">
        <f>IF($AA1354="","",IF(AND(ISNUMBER(N1354),N1354&gt;0,Y1354&gt;N1354),K1354*N1354/100+(Y1354-N1354),K1354*Y1354/100))</f>
        <v/>
      </c>
      <c r="M1354">
        <f>IF($AA1354="","",INDEX('Per Line'!$Z$2:$Z$4001,$AA1354)&amp;"")</f>
        <v/>
      </c>
      <c r="N1354">
        <f>IF($AA1354="","",INDEX('Per Line'!$AG$2:$AG$4001,$AA1354))</f>
        <v/>
      </c>
      <c r="O1354">
        <f>IF($AA1354="","",IF(AND(ISNUMBER(N1354),N1354&gt;0),Y1354&gt;N1354,FALSE))</f>
        <v/>
      </c>
      <c r="P1354" s="7">
        <f>IF($AA1354="","",SUMIFS('Per Line'!$Y$2:$Y$4001,'Per Line'!$E$2:$E$4001,$B1354,'Per Line'!$AQ$2:$AQ$4001,1))</f>
        <v/>
      </c>
      <c r="Q1354">
        <f>IF($AA1354="","",Settings!$C$7)</f>
        <v/>
      </c>
      <c r="R1354" s="7">
        <f>IF($AA1354="","",SUMIFS('Per Line'!$Y$2:$Y$4001,'Per Line'!$E$2:$E$4001,$B1354,'Per Line'!$AP$2:$AP$4001,0,'Per Line'!$AQ$2:$AQ$4001,0))</f>
        <v/>
      </c>
      <c r="S1354" s="7">
        <f>IF($AA1354="","",R1354*Q1354)</f>
        <v/>
      </c>
      <c r="T1354">
        <f>IF($AA1354="","",Settings!$C$6)</f>
        <v/>
      </c>
      <c r="U1354" s="7">
        <f>IF($AA1354="","",SUMIFS('Per Line'!$Y$2:$Y$4001,'Per Line'!$E$2:$E$4001,$B1354,'Per Line'!$AP$2:$AP$4001,1,'Per Line'!$AQ$2:$AQ$4001,0))</f>
        <v/>
      </c>
      <c r="V1354" s="7">
        <f>IF($AA1354="","",U1354*T1354)</f>
        <v/>
      </c>
      <c r="W1354" s="7">
        <f>IF($AA1354="","",V1354+S1354)</f>
        <v/>
      </c>
      <c r="X1354" s="7">
        <f>IF($AA1354="","",Y1354-W1354)</f>
        <v/>
      </c>
      <c r="Y1354" s="7">
        <f>IF($AA1354="","",R1354+U1354+P1354)</f>
        <v/>
      </c>
      <c r="Z1354" s="7">
        <f>IF($AA1354="","",Y1354-W1354-L1354)</f>
        <v/>
      </c>
      <c r="AA1354" s="13">
        <f>IF(ROWS($AA$2:$AA1354)&lt;=MAX('Per Line'!$AO$2:$AO$4001),MATCH(ROWS($AA$2:$AA1354),'Per Line'!$AO$2:$AO$4001,0),"")</f>
        <v/>
      </c>
      <c r="AB1354" s="14">
        <f>IF($AA1354="","",L1354-K1354*Y1354/100)</f>
        <v/>
      </c>
    </row>
    <row r="1355">
      <c r="A1355" s="12" t="n"/>
      <c r="B1355">
        <f>IF($AA1355="","",INDEX('Per Line'!$E$2:$E$4001,$AA1355)&amp;"")</f>
        <v/>
      </c>
      <c r="C1355">
        <f>IF($AA1355="","",INDEX('Per Line'!$A$2:$A$4001,$AA1355)&amp;"")</f>
        <v/>
      </c>
      <c r="D1355">
        <f>IF($AA1355="","",INDEX('Per Line'!$D$2:$D$4001,$AA1355)&amp;"")</f>
        <v/>
      </c>
      <c r="E1355" s="11">
        <f>IF($AA1355="","",INDEX('Per Line'!$G$2:$G$4001,$AA1355))</f>
        <v/>
      </c>
      <c r="F1355">
        <f>IF($AA1355="","",INDEX('Per Line'!$H$2:$H$4001,$AA1355)&amp;"")</f>
        <v/>
      </c>
      <c r="G1355">
        <f>IF($AA1355="","",INDEX('Per Line'!$I$2:$I$4001,$AA1355)&amp;"")</f>
        <v/>
      </c>
      <c r="H1355">
        <f>IF($AA1355="","",INDEX('Per Line'!$J$2:$J$4001,$AA1355)&amp;"")</f>
        <v/>
      </c>
      <c r="I1355">
        <f>IF($AA1355="","",INDEX('Per Line'!$K$2:$K$4001,$AA1355)&amp;"")</f>
        <v/>
      </c>
      <c r="J1355">
        <f>IF($AA1355="","",INDEX('Per Line'!$L$2:$L$4001,$AA1355)&amp;"")</f>
        <v/>
      </c>
      <c r="K1355">
        <f>IF($AA1355="","",INDEX('Per Line'!$P$2:$P$4001,$AA1355))</f>
        <v/>
      </c>
      <c r="L1355" s="7">
        <f>IF($AA1355="","",IF(AND(ISNUMBER(N1355),N1355&gt;0,Y1355&gt;N1355),K1355*N1355/100+(Y1355-N1355),K1355*Y1355/100))</f>
        <v/>
      </c>
      <c r="M1355">
        <f>IF($AA1355="","",INDEX('Per Line'!$Z$2:$Z$4001,$AA1355)&amp;"")</f>
        <v/>
      </c>
      <c r="N1355">
        <f>IF($AA1355="","",INDEX('Per Line'!$AG$2:$AG$4001,$AA1355))</f>
        <v/>
      </c>
      <c r="O1355">
        <f>IF($AA1355="","",IF(AND(ISNUMBER(N1355),N1355&gt;0),Y1355&gt;N1355,FALSE))</f>
        <v/>
      </c>
      <c r="P1355" s="7">
        <f>IF($AA1355="","",SUMIFS('Per Line'!$Y$2:$Y$4001,'Per Line'!$E$2:$E$4001,$B1355,'Per Line'!$AQ$2:$AQ$4001,1))</f>
        <v/>
      </c>
      <c r="Q1355">
        <f>IF($AA1355="","",Settings!$C$7)</f>
        <v/>
      </c>
      <c r="R1355" s="7">
        <f>IF($AA1355="","",SUMIFS('Per Line'!$Y$2:$Y$4001,'Per Line'!$E$2:$E$4001,$B1355,'Per Line'!$AP$2:$AP$4001,0,'Per Line'!$AQ$2:$AQ$4001,0))</f>
        <v/>
      </c>
      <c r="S1355" s="7">
        <f>IF($AA1355="","",R1355*Q1355)</f>
        <v/>
      </c>
      <c r="T1355">
        <f>IF($AA1355="","",Settings!$C$6)</f>
        <v/>
      </c>
      <c r="U1355" s="7">
        <f>IF($AA1355="","",SUMIFS('Per Line'!$Y$2:$Y$4001,'Per Line'!$E$2:$E$4001,$B1355,'Per Line'!$AP$2:$AP$4001,1,'Per Line'!$AQ$2:$AQ$4001,0))</f>
        <v/>
      </c>
      <c r="V1355" s="7">
        <f>IF($AA1355="","",U1355*T1355)</f>
        <v/>
      </c>
      <c r="W1355" s="7">
        <f>IF($AA1355="","",V1355+S1355)</f>
        <v/>
      </c>
      <c r="X1355" s="7">
        <f>IF($AA1355="","",Y1355-W1355)</f>
        <v/>
      </c>
      <c r="Y1355" s="7">
        <f>IF($AA1355="","",R1355+U1355+P1355)</f>
        <v/>
      </c>
      <c r="Z1355" s="7">
        <f>IF($AA1355="","",Y1355-W1355-L1355)</f>
        <v/>
      </c>
      <c r="AA1355" s="13">
        <f>IF(ROWS($AA$2:$AA1355)&lt;=MAX('Per Line'!$AO$2:$AO$4001),MATCH(ROWS($AA$2:$AA1355),'Per Line'!$AO$2:$AO$4001,0),"")</f>
        <v/>
      </c>
      <c r="AB1355" s="14">
        <f>IF($AA1355="","",L1355-K1355*Y1355/100)</f>
        <v/>
      </c>
    </row>
    <row r="1356">
      <c r="A1356" s="12" t="n"/>
      <c r="B1356">
        <f>IF($AA1356="","",INDEX('Per Line'!$E$2:$E$4001,$AA1356)&amp;"")</f>
        <v/>
      </c>
      <c r="C1356">
        <f>IF($AA1356="","",INDEX('Per Line'!$A$2:$A$4001,$AA1356)&amp;"")</f>
        <v/>
      </c>
      <c r="D1356">
        <f>IF($AA1356="","",INDEX('Per Line'!$D$2:$D$4001,$AA1356)&amp;"")</f>
        <v/>
      </c>
      <c r="E1356" s="11">
        <f>IF($AA1356="","",INDEX('Per Line'!$G$2:$G$4001,$AA1356))</f>
        <v/>
      </c>
      <c r="F1356">
        <f>IF($AA1356="","",INDEX('Per Line'!$H$2:$H$4001,$AA1356)&amp;"")</f>
        <v/>
      </c>
      <c r="G1356">
        <f>IF($AA1356="","",INDEX('Per Line'!$I$2:$I$4001,$AA1356)&amp;"")</f>
        <v/>
      </c>
      <c r="H1356">
        <f>IF($AA1356="","",INDEX('Per Line'!$J$2:$J$4001,$AA1356)&amp;"")</f>
        <v/>
      </c>
      <c r="I1356">
        <f>IF($AA1356="","",INDEX('Per Line'!$K$2:$K$4001,$AA1356)&amp;"")</f>
        <v/>
      </c>
      <c r="J1356">
        <f>IF($AA1356="","",INDEX('Per Line'!$L$2:$L$4001,$AA1356)&amp;"")</f>
        <v/>
      </c>
      <c r="K1356">
        <f>IF($AA1356="","",INDEX('Per Line'!$P$2:$P$4001,$AA1356))</f>
        <v/>
      </c>
      <c r="L1356" s="7">
        <f>IF($AA1356="","",IF(AND(ISNUMBER(N1356),N1356&gt;0,Y1356&gt;N1356),K1356*N1356/100+(Y1356-N1356),K1356*Y1356/100))</f>
        <v/>
      </c>
      <c r="M1356">
        <f>IF($AA1356="","",INDEX('Per Line'!$Z$2:$Z$4001,$AA1356)&amp;"")</f>
        <v/>
      </c>
      <c r="N1356">
        <f>IF($AA1356="","",INDEX('Per Line'!$AG$2:$AG$4001,$AA1356))</f>
        <v/>
      </c>
      <c r="O1356">
        <f>IF($AA1356="","",IF(AND(ISNUMBER(N1356),N1356&gt;0),Y1356&gt;N1356,FALSE))</f>
        <v/>
      </c>
      <c r="P1356" s="7">
        <f>IF($AA1356="","",SUMIFS('Per Line'!$Y$2:$Y$4001,'Per Line'!$E$2:$E$4001,$B1356,'Per Line'!$AQ$2:$AQ$4001,1))</f>
        <v/>
      </c>
      <c r="Q1356">
        <f>IF($AA1356="","",Settings!$C$7)</f>
        <v/>
      </c>
      <c r="R1356" s="7">
        <f>IF($AA1356="","",SUMIFS('Per Line'!$Y$2:$Y$4001,'Per Line'!$E$2:$E$4001,$B1356,'Per Line'!$AP$2:$AP$4001,0,'Per Line'!$AQ$2:$AQ$4001,0))</f>
        <v/>
      </c>
      <c r="S1356" s="7">
        <f>IF($AA1356="","",R1356*Q1356)</f>
        <v/>
      </c>
      <c r="T1356">
        <f>IF($AA1356="","",Settings!$C$6)</f>
        <v/>
      </c>
      <c r="U1356" s="7">
        <f>IF($AA1356="","",SUMIFS('Per Line'!$Y$2:$Y$4001,'Per Line'!$E$2:$E$4001,$B1356,'Per Line'!$AP$2:$AP$4001,1,'Per Line'!$AQ$2:$AQ$4001,0))</f>
        <v/>
      </c>
      <c r="V1356" s="7">
        <f>IF($AA1356="","",U1356*T1356)</f>
        <v/>
      </c>
      <c r="W1356" s="7">
        <f>IF($AA1356="","",V1356+S1356)</f>
        <v/>
      </c>
      <c r="X1356" s="7">
        <f>IF($AA1356="","",Y1356-W1356)</f>
        <v/>
      </c>
      <c r="Y1356" s="7">
        <f>IF($AA1356="","",R1356+U1356+P1356)</f>
        <v/>
      </c>
      <c r="Z1356" s="7">
        <f>IF($AA1356="","",Y1356-W1356-L1356)</f>
        <v/>
      </c>
      <c r="AA1356" s="13">
        <f>IF(ROWS($AA$2:$AA1356)&lt;=MAX('Per Line'!$AO$2:$AO$4001),MATCH(ROWS($AA$2:$AA1356),'Per Line'!$AO$2:$AO$4001,0),"")</f>
        <v/>
      </c>
      <c r="AB1356" s="14">
        <f>IF($AA1356="","",L1356-K1356*Y1356/100)</f>
        <v/>
      </c>
    </row>
    <row r="1357">
      <c r="A1357" s="12" t="n"/>
      <c r="B1357">
        <f>IF($AA1357="","",INDEX('Per Line'!$E$2:$E$4001,$AA1357)&amp;"")</f>
        <v/>
      </c>
      <c r="C1357">
        <f>IF($AA1357="","",INDEX('Per Line'!$A$2:$A$4001,$AA1357)&amp;"")</f>
        <v/>
      </c>
      <c r="D1357">
        <f>IF($AA1357="","",INDEX('Per Line'!$D$2:$D$4001,$AA1357)&amp;"")</f>
        <v/>
      </c>
      <c r="E1357" s="11">
        <f>IF($AA1357="","",INDEX('Per Line'!$G$2:$G$4001,$AA1357))</f>
        <v/>
      </c>
      <c r="F1357">
        <f>IF($AA1357="","",INDEX('Per Line'!$H$2:$H$4001,$AA1357)&amp;"")</f>
        <v/>
      </c>
      <c r="G1357">
        <f>IF($AA1357="","",INDEX('Per Line'!$I$2:$I$4001,$AA1357)&amp;"")</f>
        <v/>
      </c>
      <c r="H1357">
        <f>IF($AA1357="","",INDEX('Per Line'!$J$2:$J$4001,$AA1357)&amp;"")</f>
        <v/>
      </c>
      <c r="I1357">
        <f>IF($AA1357="","",INDEX('Per Line'!$K$2:$K$4001,$AA1357)&amp;"")</f>
        <v/>
      </c>
      <c r="J1357">
        <f>IF($AA1357="","",INDEX('Per Line'!$L$2:$L$4001,$AA1357)&amp;"")</f>
        <v/>
      </c>
      <c r="K1357">
        <f>IF($AA1357="","",INDEX('Per Line'!$P$2:$P$4001,$AA1357))</f>
        <v/>
      </c>
      <c r="L1357" s="7">
        <f>IF($AA1357="","",IF(AND(ISNUMBER(N1357),N1357&gt;0,Y1357&gt;N1357),K1357*N1357/100+(Y1357-N1357),K1357*Y1357/100))</f>
        <v/>
      </c>
      <c r="M1357">
        <f>IF($AA1357="","",INDEX('Per Line'!$Z$2:$Z$4001,$AA1357)&amp;"")</f>
        <v/>
      </c>
      <c r="N1357">
        <f>IF($AA1357="","",INDEX('Per Line'!$AG$2:$AG$4001,$AA1357))</f>
        <v/>
      </c>
      <c r="O1357">
        <f>IF($AA1357="","",IF(AND(ISNUMBER(N1357),N1357&gt;0),Y1357&gt;N1357,FALSE))</f>
        <v/>
      </c>
      <c r="P1357" s="7">
        <f>IF($AA1357="","",SUMIFS('Per Line'!$Y$2:$Y$4001,'Per Line'!$E$2:$E$4001,$B1357,'Per Line'!$AQ$2:$AQ$4001,1))</f>
        <v/>
      </c>
      <c r="Q1357">
        <f>IF($AA1357="","",Settings!$C$7)</f>
        <v/>
      </c>
      <c r="R1357" s="7">
        <f>IF($AA1357="","",SUMIFS('Per Line'!$Y$2:$Y$4001,'Per Line'!$E$2:$E$4001,$B1357,'Per Line'!$AP$2:$AP$4001,0,'Per Line'!$AQ$2:$AQ$4001,0))</f>
        <v/>
      </c>
      <c r="S1357" s="7">
        <f>IF($AA1357="","",R1357*Q1357)</f>
        <v/>
      </c>
      <c r="T1357">
        <f>IF($AA1357="","",Settings!$C$6)</f>
        <v/>
      </c>
      <c r="U1357" s="7">
        <f>IF($AA1357="","",SUMIFS('Per Line'!$Y$2:$Y$4001,'Per Line'!$E$2:$E$4001,$B1357,'Per Line'!$AP$2:$AP$4001,1,'Per Line'!$AQ$2:$AQ$4001,0))</f>
        <v/>
      </c>
      <c r="V1357" s="7">
        <f>IF($AA1357="","",U1357*T1357)</f>
        <v/>
      </c>
      <c r="W1357" s="7">
        <f>IF($AA1357="","",V1357+S1357)</f>
        <v/>
      </c>
      <c r="X1357" s="7">
        <f>IF($AA1357="","",Y1357-W1357)</f>
        <v/>
      </c>
      <c r="Y1357" s="7">
        <f>IF($AA1357="","",R1357+U1357+P1357)</f>
        <v/>
      </c>
      <c r="Z1357" s="7">
        <f>IF($AA1357="","",Y1357-W1357-L1357)</f>
        <v/>
      </c>
      <c r="AA1357" s="13">
        <f>IF(ROWS($AA$2:$AA1357)&lt;=MAX('Per Line'!$AO$2:$AO$4001),MATCH(ROWS($AA$2:$AA1357),'Per Line'!$AO$2:$AO$4001,0),"")</f>
        <v/>
      </c>
      <c r="AB1357" s="14">
        <f>IF($AA1357="","",L1357-K1357*Y1357/100)</f>
        <v/>
      </c>
    </row>
    <row r="1358">
      <c r="A1358" s="12" t="n"/>
      <c r="B1358">
        <f>IF($AA1358="","",INDEX('Per Line'!$E$2:$E$4001,$AA1358)&amp;"")</f>
        <v/>
      </c>
      <c r="C1358">
        <f>IF($AA1358="","",INDEX('Per Line'!$A$2:$A$4001,$AA1358)&amp;"")</f>
        <v/>
      </c>
      <c r="D1358">
        <f>IF($AA1358="","",INDEX('Per Line'!$D$2:$D$4001,$AA1358)&amp;"")</f>
        <v/>
      </c>
      <c r="E1358" s="11">
        <f>IF($AA1358="","",INDEX('Per Line'!$G$2:$G$4001,$AA1358))</f>
        <v/>
      </c>
      <c r="F1358">
        <f>IF($AA1358="","",INDEX('Per Line'!$H$2:$H$4001,$AA1358)&amp;"")</f>
        <v/>
      </c>
      <c r="G1358">
        <f>IF($AA1358="","",INDEX('Per Line'!$I$2:$I$4001,$AA1358)&amp;"")</f>
        <v/>
      </c>
      <c r="H1358">
        <f>IF($AA1358="","",INDEX('Per Line'!$J$2:$J$4001,$AA1358)&amp;"")</f>
        <v/>
      </c>
      <c r="I1358">
        <f>IF($AA1358="","",INDEX('Per Line'!$K$2:$K$4001,$AA1358)&amp;"")</f>
        <v/>
      </c>
      <c r="J1358">
        <f>IF($AA1358="","",INDEX('Per Line'!$L$2:$L$4001,$AA1358)&amp;"")</f>
        <v/>
      </c>
      <c r="K1358">
        <f>IF($AA1358="","",INDEX('Per Line'!$P$2:$P$4001,$AA1358))</f>
        <v/>
      </c>
      <c r="L1358" s="7">
        <f>IF($AA1358="","",IF(AND(ISNUMBER(N1358),N1358&gt;0,Y1358&gt;N1358),K1358*N1358/100+(Y1358-N1358),K1358*Y1358/100))</f>
        <v/>
      </c>
      <c r="M1358">
        <f>IF($AA1358="","",INDEX('Per Line'!$Z$2:$Z$4001,$AA1358)&amp;"")</f>
        <v/>
      </c>
      <c r="N1358">
        <f>IF($AA1358="","",INDEX('Per Line'!$AG$2:$AG$4001,$AA1358))</f>
        <v/>
      </c>
      <c r="O1358">
        <f>IF($AA1358="","",IF(AND(ISNUMBER(N1358),N1358&gt;0),Y1358&gt;N1358,FALSE))</f>
        <v/>
      </c>
      <c r="P1358" s="7">
        <f>IF($AA1358="","",SUMIFS('Per Line'!$Y$2:$Y$4001,'Per Line'!$E$2:$E$4001,$B1358,'Per Line'!$AQ$2:$AQ$4001,1))</f>
        <v/>
      </c>
      <c r="Q1358">
        <f>IF($AA1358="","",Settings!$C$7)</f>
        <v/>
      </c>
      <c r="R1358" s="7">
        <f>IF($AA1358="","",SUMIFS('Per Line'!$Y$2:$Y$4001,'Per Line'!$E$2:$E$4001,$B1358,'Per Line'!$AP$2:$AP$4001,0,'Per Line'!$AQ$2:$AQ$4001,0))</f>
        <v/>
      </c>
      <c r="S1358" s="7">
        <f>IF($AA1358="","",R1358*Q1358)</f>
        <v/>
      </c>
      <c r="T1358">
        <f>IF($AA1358="","",Settings!$C$6)</f>
        <v/>
      </c>
      <c r="U1358" s="7">
        <f>IF($AA1358="","",SUMIFS('Per Line'!$Y$2:$Y$4001,'Per Line'!$E$2:$E$4001,$B1358,'Per Line'!$AP$2:$AP$4001,1,'Per Line'!$AQ$2:$AQ$4001,0))</f>
        <v/>
      </c>
      <c r="V1358" s="7">
        <f>IF($AA1358="","",U1358*T1358)</f>
        <v/>
      </c>
      <c r="W1358" s="7">
        <f>IF($AA1358="","",V1358+S1358)</f>
        <v/>
      </c>
      <c r="X1358" s="7">
        <f>IF($AA1358="","",Y1358-W1358)</f>
        <v/>
      </c>
      <c r="Y1358" s="7">
        <f>IF($AA1358="","",R1358+U1358+P1358)</f>
        <v/>
      </c>
      <c r="Z1358" s="7">
        <f>IF($AA1358="","",Y1358-W1358-L1358)</f>
        <v/>
      </c>
      <c r="AA1358" s="13">
        <f>IF(ROWS($AA$2:$AA1358)&lt;=MAX('Per Line'!$AO$2:$AO$4001),MATCH(ROWS($AA$2:$AA1358),'Per Line'!$AO$2:$AO$4001,0),"")</f>
        <v/>
      </c>
      <c r="AB1358" s="14">
        <f>IF($AA1358="","",L1358-K1358*Y1358/100)</f>
        <v/>
      </c>
    </row>
    <row r="1359">
      <c r="A1359" s="12" t="n"/>
      <c r="B1359">
        <f>IF($AA1359="","",INDEX('Per Line'!$E$2:$E$4001,$AA1359)&amp;"")</f>
        <v/>
      </c>
      <c r="C1359">
        <f>IF($AA1359="","",INDEX('Per Line'!$A$2:$A$4001,$AA1359)&amp;"")</f>
        <v/>
      </c>
      <c r="D1359">
        <f>IF($AA1359="","",INDEX('Per Line'!$D$2:$D$4001,$AA1359)&amp;"")</f>
        <v/>
      </c>
      <c r="E1359" s="11">
        <f>IF($AA1359="","",INDEX('Per Line'!$G$2:$G$4001,$AA1359))</f>
        <v/>
      </c>
      <c r="F1359">
        <f>IF($AA1359="","",INDEX('Per Line'!$H$2:$H$4001,$AA1359)&amp;"")</f>
        <v/>
      </c>
      <c r="G1359">
        <f>IF($AA1359="","",INDEX('Per Line'!$I$2:$I$4001,$AA1359)&amp;"")</f>
        <v/>
      </c>
      <c r="H1359">
        <f>IF($AA1359="","",INDEX('Per Line'!$J$2:$J$4001,$AA1359)&amp;"")</f>
        <v/>
      </c>
      <c r="I1359">
        <f>IF($AA1359="","",INDEX('Per Line'!$K$2:$K$4001,$AA1359)&amp;"")</f>
        <v/>
      </c>
      <c r="J1359">
        <f>IF($AA1359="","",INDEX('Per Line'!$L$2:$L$4001,$AA1359)&amp;"")</f>
        <v/>
      </c>
      <c r="K1359">
        <f>IF($AA1359="","",INDEX('Per Line'!$P$2:$P$4001,$AA1359))</f>
        <v/>
      </c>
      <c r="L1359" s="7">
        <f>IF($AA1359="","",IF(AND(ISNUMBER(N1359),N1359&gt;0,Y1359&gt;N1359),K1359*N1359/100+(Y1359-N1359),K1359*Y1359/100))</f>
        <v/>
      </c>
      <c r="M1359">
        <f>IF($AA1359="","",INDEX('Per Line'!$Z$2:$Z$4001,$AA1359)&amp;"")</f>
        <v/>
      </c>
      <c r="N1359">
        <f>IF($AA1359="","",INDEX('Per Line'!$AG$2:$AG$4001,$AA1359))</f>
        <v/>
      </c>
      <c r="O1359">
        <f>IF($AA1359="","",IF(AND(ISNUMBER(N1359),N1359&gt;0),Y1359&gt;N1359,FALSE))</f>
        <v/>
      </c>
      <c r="P1359" s="7">
        <f>IF($AA1359="","",SUMIFS('Per Line'!$Y$2:$Y$4001,'Per Line'!$E$2:$E$4001,$B1359,'Per Line'!$AQ$2:$AQ$4001,1))</f>
        <v/>
      </c>
      <c r="Q1359">
        <f>IF($AA1359="","",Settings!$C$7)</f>
        <v/>
      </c>
      <c r="R1359" s="7">
        <f>IF($AA1359="","",SUMIFS('Per Line'!$Y$2:$Y$4001,'Per Line'!$E$2:$E$4001,$B1359,'Per Line'!$AP$2:$AP$4001,0,'Per Line'!$AQ$2:$AQ$4001,0))</f>
        <v/>
      </c>
      <c r="S1359" s="7">
        <f>IF($AA1359="","",R1359*Q1359)</f>
        <v/>
      </c>
      <c r="T1359">
        <f>IF($AA1359="","",Settings!$C$6)</f>
        <v/>
      </c>
      <c r="U1359" s="7">
        <f>IF($AA1359="","",SUMIFS('Per Line'!$Y$2:$Y$4001,'Per Line'!$E$2:$E$4001,$B1359,'Per Line'!$AP$2:$AP$4001,1,'Per Line'!$AQ$2:$AQ$4001,0))</f>
        <v/>
      </c>
      <c r="V1359" s="7">
        <f>IF($AA1359="","",U1359*T1359)</f>
        <v/>
      </c>
      <c r="W1359" s="7">
        <f>IF($AA1359="","",V1359+S1359)</f>
        <v/>
      </c>
      <c r="X1359" s="7">
        <f>IF($AA1359="","",Y1359-W1359)</f>
        <v/>
      </c>
      <c r="Y1359" s="7">
        <f>IF($AA1359="","",R1359+U1359+P1359)</f>
        <v/>
      </c>
      <c r="Z1359" s="7">
        <f>IF($AA1359="","",Y1359-W1359-L1359)</f>
        <v/>
      </c>
      <c r="AA1359" s="13">
        <f>IF(ROWS($AA$2:$AA1359)&lt;=MAX('Per Line'!$AO$2:$AO$4001),MATCH(ROWS($AA$2:$AA1359),'Per Line'!$AO$2:$AO$4001,0),"")</f>
        <v/>
      </c>
      <c r="AB1359" s="14">
        <f>IF($AA1359="","",L1359-K1359*Y1359/100)</f>
        <v/>
      </c>
    </row>
    <row r="1360">
      <c r="A1360" s="12" t="n"/>
      <c r="B1360">
        <f>IF($AA1360="","",INDEX('Per Line'!$E$2:$E$4001,$AA1360)&amp;"")</f>
        <v/>
      </c>
      <c r="C1360">
        <f>IF($AA1360="","",INDEX('Per Line'!$A$2:$A$4001,$AA1360)&amp;"")</f>
        <v/>
      </c>
      <c r="D1360">
        <f>IF($AA1360="","",INDEX('Per Line'!$D$2:$D$4001,$AA1360)&amp;"")</f>
        <v/>
      </c>
      <c r="E1360" s="11">
        <f>IF($AA1360="","",INDEX('Per Line'!$G$2:$G$4001,$AA1360))</f>
        <v/>
      </c>
      <c r="F1360">
        <f>IF($AA1360="","",INDEX('Per Line'!$H$2:$H$4001,$AA1360)&amp;"")</f>
        <v/>
      </c>
      <c r="G1360">
        <f>IF($AA1360="","",INDEX('Per Line'!$I$2:$I$4001,$AA1360)&amp;"")</f>
        <v/>
      </c>
      <c r="H1360">
        <f>IF($AA1360="","",INDEX('Per Line'!$J$2:$J$4001,$AA1360)&amp;"")</f>
        <v/>
      </c>
      <c r="I1360">
        <f>IF($AA1360="","",INDEX('Per Line'!$K$2:$K$4001,$AA1360)&amp;"")</f>
        <v/>
      </c>
      <c r="J1360">
        <f>IF($AA1360="","",INDEX('Per Line'!$L$2:$L$4001,$AA1360)&amp;"")</f>
        <v/>
      </c>
      <c r="K1360">
        <f>IF($AA1360="","",INDEX('Per Line'!$P$2:$P$4001,$AA1360))</f>
        <v/>
      </c>
      <c r="L1360" s="7">
        <f>IF($AA1360="","",IF(AND(ISNUMBER(N1360),N1360&gt;0,Y1360&gt;N1360),K1360*N1360/100+(Y1360-N1360),K1360*Y1360/100))</f>
        <v/>
      </c>
      <c r="M1360">
        <f>IF($AA1360="","",INDEX('Per Line'!$Z$2:$Z$4001,$AA1360)&amp;"")</f>
        <v/>
      </c>
      <c r="N1360">
        <f>IF($AA1360="","",INDEX('Per Line'!$AG$2:$AG$4001,$AA1360))</f>
        <v/>
      </c>
      <c r="O1360">
        <f>IF($AA1360="","",IF(AND(ISNUMBER(N1360),N1360&gt;0),Y1360&gt;N1360,FALSE))</f>
        <v/>
      </c>
      <c r="P1360" s="7">
        <f>IF($AA1360="","",SUMIFS('Per Line'!$Y$2:$Y$4001,'Per Line'!$E$2:$E$4001,$B1360,'Per Line'!$AQ$2:$AQ$4001,1))</f>
        <v/>
      </c>
      <c r="Q1360">
        <f>IF($AA1360="","",Settings!$C$7)</f>
        <v/>
      </c>
      <c r="R1360" s="7">
        <f>IF($AA1360="","",SUMIFS('Per Line'!$Y$2:$Y$4001,'Per Line'!$E$2:$E$4001,$B1360,'Per Line'!$AP$2:$AP$4001,0,'Per Line'!$AQ$2:$AQ$4001,0))</f>
        <v/>
      </c>
      <c r="S1360" s="7">
        <f>IF($AA1360="","",R1360*Q1360)</f>
        <v/>
      </c>
      <c r="T1360">
        <f>IF($AA1360="","",Settings!$C$6)</f>
        <v/>
      </c>
      <c r="U1360" s="7">
        <f>IF($AA1360="","",SUMIFS('Per Line'!$Y$2:$Y$4001,'Per Line'!$E$2:$E$4001,$B1360,'Per Line'!$AP$2:$AP$4001,1,'Per Line'!$AQ$2:$AQ$4001,0))</f>
        <v/>
      </c>
      <c r="V1360" s="7">
        <f>IF($AA1360="","",U1360*T1360)</f>
        <v/>
      </c>
      <c r="W1360" s="7">
        <f>IF($AA1360="","",V1360+S1360)</f>
        <v/>
      </c>
      <c r="X1360" s="7">
        <f>IF($AA1360="","",Y1360-W1360)</f>
        <v/>
      </c>
      <c r="Y1360" s="7">
        <f>IF($AA1360="","",R1360+U1360+P1360)</f>
        <v/>
      </c>
      <c r="Z1360" s="7">
        <f>IF($AA1360="","",Y1360-W1360-L1360)</f>
        <v/>
      </c>
      <c r="AA1360" s="13">
        <f>IF(ROWS($AA$2:$AA1360)&lt;=MAX('Per Line'!$AO$2:$AO$4001),MATCH(ROWS($AA$2:$AA1360),'Per Line'!$AO$2:$AO$4001,0),"")</f>
        <v/>
      </c>
      <c r="AB1360" s="14">
        <f>IF($AA1360="","",L1360-K1360*Y1360/100)</f>
        <v/>
      </c>
    </row>
    <row r="1361">
      <c r="A1361" s="12" t="n"/>
      <c r="B1361">
        <f>IF($AA1361="","",INDEX('Per Line'!$E$2:$E$4001,$AA1361)&amp;"")</f>
        <v/>
      </c>
      <c r="C1361">
        <f>IF($AA1361="","",INDEX('Per Line'!$A$2:$A$4001,$AA1361)&amp;"")</f>
        <v/>
      </c>
      <c r="D1361">
        <f>IF($AA1361="","",INDEX('Per Line'!$D$2:$D$4001,$AA1361)&amp;"")</f>
        <v/>
      </c>
      <c r="E1361" s="11">
        <f>IF($AA1361="","",INDEX('Per Line'!$G$2:$G$4001,$AA1361))</f>
        <v/>
      </c>
      <c r="F1361">
        <f>IF($AA1361="","",INDEX('Per Line'!$H$2:$H$4001,$AA1361)&amp;"")</f>
        <v/>
      </c>
      <c r="G1361">
        <f>IF($AA1361="","",INDEX('Per Line'!$I$2:$I$4001,$AA1361)&amp;"")</f>
        <v/>
      </c>
      <c r="H1361">
        <f>IF($AA1361="","",INDEX('Per Line'!$J$2:$J$4001,$AA1361)&amp;"")</f>
        <v/>
      </c>
      <c r="I1361">
        <f>IF($AA1361="","",INDEX('Per Line'!$K$2:$K$4001,$AA1361)&amp;"")</f>
        <v/>
      </c>
      <c r="J1361">
        <f>IF($AA1361="","",INDEX('Per Line'!$L$2:$L$4001,$AA1361)&amp;"")</f>
        <v/>
      </c>
      <c r="K1361">
        <f>IF($AA1361="","",INDEX('Per Line'!$P$2:$P$4001,$AA1361))</f>
        <v/>
      </c>
      <c r="L1361" s="7">
        <f>IF($AA1361="","",IF(AND(ISNUMBER(N1361),N1361&gt;0,Y1361&gt;N1361),K1361*N1361/100+(Y1361-N1361),K1361*Y1361/100))</f>
        <v/>
      </c>
      <c r="M1361">
        <f>IF($AA1361="","",INDEX('Per Line'!$Z$2:$Z$4001,$AA1361)&amp;"")</f>
        <v/>
      </c>
      <c r="N1361">
        <f>IF($AA1361="","",INDEX('Per Line'!$AG$2:$AG$4001,$AA1361))</f>
        <v/>
      </c>
      <c r="O1361">
        <f>IF($AA1361="","",IF(AND(ISNUMBER(N1361),N1361&gt;0),Y1361&gt;N1361,FALSE))</f>
        <v/>
      </c>
      <c r="P1361" s="7">
        <f>IF($AA1361="","",SUMIFS('Per Line'!$Y$2:$Y$4001,'Per Line'!$E$2:$E$4001,$B1361,'Per Line'!$AQ$2:$AQ$4001,1))</f>
        <v/>
      </c>
      <c r="Q1361">
        <f>IF($AA1361="","",Settings!$C$7)</f>
        <v/>
      </c>
      <c r="R1361" s="7">
        <f>IF($AA1361="","",SUMIFS('Per Line'!$Y$2:$Y$4001,'Per Line'!$E$2:$E$4001,$B1361,'Per Line'!$AP$2:$AP$4001,0,'Per Line'!$AQ$2:$AQ$4001,0))</f>
        <v/>
      </c>
      <c r="S1361" s="7">
        <f>IF($AA1361="","",R1361*Q1361)</f>
        <v/>
      </c>
      <c r="T1361">
        <f>IF($AA1361="","",Settings!$C$6)</f>
        <v/>
      </c>
      <c r="U1361" s="7">
        <f>IF($AA1361="","",SUMIFS('Per Line'!$Y$2:$Y$4001,'Per Line'!$E$2:$E$4001,$B1361,'Per Line'!$AP$2:$AP$4001,1,'Per Line'!$AQ$2:$AQ$4001,0))</f>
        <v/>
      </c>
      <c r="V1361" s="7">
        <f>IF($AA1361="","",U1361*T1361)</f>
        <v/>
      </c>
      <c r="W1361" s="7">
        <f>IF($AA1361="","",V1361+S1361)</f>
        <v/>
      </c>
      <c r="X1361" s="7">
        <f>IF($AA1361="","",Y1361-W1361)</f>
        <v/>
      </c>
      <c r="Y1361" s="7">
        <f>IF($AA1361="","",R1361+U1361+P1361)</f>
        <v/>
      </c>
      <c r="Z1361" s="7">
        <f>IF($AA1361="","",Y1361-W1361-L1361)</f>
        <v/>
      </c>
      <c r="AA1361" s="13">
        <f>IF(ROWS($AA$2:$AA1361)&lt;=MAX('Per Line'!$AO$2:$AO$4001),MATCH(ROWS($AA$2:$AA1361),'Per Line'!$AO$2:$AO$4001,0),"")</f>
        <v/>
      </c>
      <c r="AB1361" s="14">
        <f>IF($AA1361="","",L1361-K1361*Y1361/100)</f>
        <v/>
      </c>
    </row>
    <row r="1362">
      <c r="A1362" s="12" t="n"/>
      <c r="B1362">
        <f>IF($AA1362="","",INDEX('Per Line'!$E$2:$E$4001,$AA1362)&amp;"")</f>
        <v/>
      </c>
      <c r="C1362">
        <f>IF($AA1362="","",INDEX('Per Line'!$A$2:$A$4001,$AA1362)&amp;"")</f>
        <v/>
      </c>
      <c r="D1362">
        <f>IF($AA1362="","",INDEX('Per Line'!$D$2:$D$4001,$AA1362)&amp;"")</f>
        <v/>
      </c>
      <c r="E1362" s="11">
        <f>IF($AA1362="","",INDEX('Per Line'!$G$2:$G$4001,$AA1362))</f>
        <v/>
      </c>
      <c r="F1362">
        <f>IF($AA1362="","",INDEX('Per Line'!$H$2:$H$4001,$AA1362)&amp;"")</f>
        <v/>
      </c>
      <c r="G1362">
        <f>IF($AA1362="","",INDEX('Per Line'!$I$2:$I$4001,$AA1362)&amp;"")</f>
        <v/>
      </c>
      <c r="H1362">
        <f>IF($AA1362="","",INDEX('Per Line'!$J$2:$J$4001,$AA1362)&amp;"")</f>
        <v/>
      </c>
      <c r="I1362">
        <f>IF($AA1362="","",INDEX('Per Line'!$K$2:$K$4001,$AA1362)&amp;"")</f>
        <v/>
      </c>
      <c r="J1362">
        <f>IF($AA1362="","",INDEX('Per Line'!$L$2:$L$4001,$AA1362)&amp;"")</f>
        <v/>
      </c>
      <c r="K1362">
        <f>IF($AA1362="","",INDEX('Per Line'!$P$2:$P$4001,$AA1362))</f>
        <v/>
      </c>
      <c r="L1362" s="7">
        <f>IF($AA1362="","",IF(AND(ISNUMBER(N1362),N1362&gt;0,Y1362&gt;N1362),K1362*N1362/100+(Y1362-N1362),K1362*Y1362/100))</f>
        <v/>
      </c>
      <c r="M1362">
        <f>IF($AA1362="","",INDEX('Per Line'!$Z$2:$Z$4001,$AA1362)&amp;"")</f>
        <v/>
      </c>
      <c r="N1362">
        <f>IF($AA1362="","",INDEX('Per Line'!$AG$2:$AG$4001,$AA1362))</f>
        <v/>
      </c>
      <c r="O1362">
        <f>IF($AA1362="","",IF(AND(ISNUMBER(N1362),N1362&gt;0),Y1362&gt;N1362,FALSE))</f>
        <v/>
      </c>
      <c r="P1362" s="7">
        <f>IF($AA1362="","",SUMIFS('Per Line'!$Y$2:$Y$4001,'Per Line'!$E$2:$E$4001,$B1362,'Per Line'!$AQ$2:$AQ$4001,1))</f>
        <v/>
      </c>
      <c r="Q1362">
        <f>IF($AA1362="","",Settings!$C$7)</f>
        <v/>
      </c>
      <c r="R1362" s="7">
        <f>IF($AA1362="","",SUMIFS('Per Line'!$Y$2:$Y$4001,'Per Line'!$E$2:$E$4001,$B1362,'Per Line'!$AP$2:$AP$4001,0,'Per Line'!$AQ$2:$AQ$4001,0))</f>
        <v/>
      </c>
      <c r="S1362" s="7">
        <f>IF($AA1362="","",R1362*Q1362)</f>
        <v/>
      </c>
      <c r="T1362">
        <f>IF($AA1362="","",Settings!$C$6)</f>
        <v/>
      </c>
      <c r="U1362" s="7">
        <f>IF($AA1362="","",SUMIFS('Per Line'!$Y$2:$Y$4001,'Per Line'!$E$2:$E$4001,$B1362,'Per Line'!$AP$2:$AP$4001,1,'Per Line'!$AQ$2:$AQ$4001,0))</f>
        <v/>
      </c>
      <c r="V1362" s="7">
        <f>IF($AA1362="","",U1362*T1362)</f>
        <v/>
      </c>
      <c r="W1362" s="7">
        <f>IF($AA1362="","",V1362+S1362)</f>
        <v/>
      </c>
      <c r="X1362" s="7">
        <f>IF($AA1362="","",Y1362-W1362)</f>
        <v/>
      </c>
      <c r="Y1362" s="7">
        <f>IF($AA1362="","",R1362+U1362+P1362)</f>
        <v/>
      </c>
      <c r="Z1362" s="7">
        <f>IF($AA1362="","",Y1362-W1362-L1362)</f>
        <v/>
      </c>
      <c r="AA1362" s="13">
        <f>IF(ROWS($AA$2:$AA1362)&lt;=MAX('Per Line'!$AO$2:$AO$4001),MATCH(ROWS($AA$2:$AA1362),'Per Line'!$AO$2:$AO$4001,0),"")</f>
        <v/>
      </c>
      <c r="AB1362" s="14">
        <f>IF($AA1362="","",L1362-K1362*Y1362/100)</f>
        <v/>
      </c>
    </row>
    <row r="1363">
      <c r="A1363" s="12" t="n"/>
      <c r="B1363">
        <f>IF($AA1363="","",INDEX('Per Line'!$E$2:$E$4001,$AA1363)&amp;"")</f>
        <v/>
      </c>
      <c r="C1363">
        <f>IF($AA1363="","",INDEX('Per Line'!$A$2:$A$4001,$AA1363)&amp;"")</f>
        <v/>
      </c>
      <c r="D1363">
        <f>IF($AA1363="","",INDEX('Per Line'!$D$2:$D$4001,$AA1363)&amp;"")</f>
        <v/>
      </c>
      <c r="E1363" s="11">
        <f>IF($AA1363="","",INDEX('Per Line'!$G$2:$G$4001,$AA1363))</f>
        <v/>
      </c>
      <c r="F1363">
        <f>IF($AA1363="","",INDEX('Per Line'!$H$2:$H$4001,$AA1363)&amp;"")</f>
        <v/>
      </c>
      <c r="G1363">
        <f>IF($AA1363="","",INDEX('Per Line'!$I$2:$I$4001,$AA1363)&amp;"")</f>
        <v/>
      </c>
      <c r="H1363">
        <f>IF($AA1363="","",INDEX('Per Line'!$J$2:$J$4001,$AA1363)&amp;"")</f>
        <v/>
      </c>
      <c r="I1363">
        <f>IF($AA1363="","",INDEX('Per Line'!$K$2:$K$4001,$AA1363)&amp;"")</f>
        <v/>
      </c>
      <c r="J1363">
        <f>IF($AA1363="","",INDEX('Per Line'!$L$2:$L$4001,$AA1363)&amp;"")</f>
        <v/>
      </c>
      <c r="K1363">
        <f>IF($AA1363="","",INDEX('Per Line'!$P$2:$P$4001,$AA1363))</f>
        <v/>
      </c>
      <c r="L1363" s="7">
        <f>IF($AA1363="","",IF(AND(ISNUMBER(N1363),N1363&gt;0,Y1363&gt;N1363),K1363*N1363/100+(Y1363-N1363),K1363*Y1363/100))</f>
        <v/>
      </c>
      <c r="M1363">
        <f>IF($AA1363="","",INDEX('Per Line'!$Z$2:$Z$4001,$AA1363)&amp;"")</f>
        <v/>
      </c>
      <c r="N1363">
        <f>IF($AA1363="","",INDEX('Per Line'!$AG$2:$AG$4001,$AA1363))</f>
        <v/>
      </c>
      <c r="O1363">
        <f>IF($AA1363="","",IF(AND(ISNUMBER(N1363),N1363&gt;0),Y1363&gt;N1363,FALSE))</f>
        <v/>
      </c>
      <c r="P1363" s="7">
        <f>IF($AA1363="","",SUMIFS('Per Line'!$Y$2:$Y$4001,'Per Line'!$E$2:$E$4001,$B1363,'Per Line'!$AQ$2:$AQ$4001,1))</f>
        <v/>
      </c>
      <c r="Q1363">
        <f>IF($AA1363="","",Settings!$C$7)</f>
        <v/>
      </c>
      <c r="R1363" s="7">
        <f>IF($AA1363="","",SUMIFS('Per Line'!$Y$2:$Y$4001,'Per Line'!$E$2:$E$4001,$B1363,'Per Line'!$AP$2:$AP$4001,0,'Per Line'!$AQ$2:$AQ$4001,0))</f>
        <v/>
      </c>
      <c r="S1363" s="7">
        <f>IF($AA1363="","",R1363*Q1363)</f>
        <v/>
      </c>
      <c r="T1363">
        <f>IF($AA1363="","",Settings!$C$6)</f>
        <v/>
      </c>
      <c r="U1363" s="7">
        <f>IF($AA1363="","",SUMIFS('Per Line'!$Y$2:$Y$4001,'Per Line'!$E$2:$E$4001,$B1363,'Per Line'!$AP$2:$AP$4001,1,'Per Line'!$AQ$2:$AQ$4001,0))</f>
        <v/>
      </c>
      <c r="V1363" s="7">
        <f>IF($AA1363="","",U1363*T1363)</f>
        <v/>
      </c>
      <c r="W1363" s="7">
        <f>IF($AA1363="","",V1363+S1363)</f>
        <v/>
      </c>
      <c r="X1363" s="7">
        <f>IF($AA1363="","",Y1363-W1363)</f>
        <v/>
      </c>
      <c r="Y1363" s="7">
        <f>IF($AA1363="","",R1363+U1363+P1363)</f>
        <v/>
      </c>
      <c r="Z1363" s="7">
        <f>IF($AA1363="","",Y1363-W1363-L1363)</f>
        <v/>
      </c>
      <c r="AA1363" s="13">
        <f>IF(ROWS($AA$2:$AA1363)&lt;=MAX('Per Line'!$AO$2:$AO$4001),MATCH(ROWS($AA$2:$AA1363),'Per Line'!$AO$2:$AO$4001,0),"")</f>
        <v/>
      </c>
      <c r="AB1363" s="14">
        <f>IF($AA1363="","",L1363-K1363*Y1363/100)</f>
        <v/>
      </c>
    </row>
    <row r="1364">
      <c r="A1364" s="12" t="n"/>
      <c r="B1364">
        <f>IF($AA1364="","",INDEX('Per Line'!$E$2:$E$4001,$AA1364)&amp;"")</f>
        <v/>
      </c>
      <c r="C1364">
        <f>IF($AA1364="","",INDEX('Per Line'!$A$2:$A$4001,$AA1364)&amp;"")</f>
        <v/>
      </c>
      <c r="D1364">
        <f>IF($AA1364="","",INDEX('Per Line'!$D$2:$D$4001,$AA1364)&amp;"")</f>
        <v/>
      </c>
      <c r="E1364" s="11">
        <f>IF($AA1364="","",INDEX('Per Line'!$G$2:$G$4001,$AA1364))</f>
        <v/>
      </c>
      <c r="F1364">
        <f>IF($AA1364="","",INDEX('Per Line'!$H$2:$H$4001,$AA1364)&amp;"")</f>
        <v/>
      </c>
      <c r="G1364">
        <f>IF($AA1364="","",INDEX('Per Line'!$I$2:$I$4001,$AA1364)&amp;"")</f>
        <v/>
      </c>
      <c r="H1364">
        <f>IF($AA1364="","",INDEX('Per Line'!$J$2:$J$4001,$AA1364)&amp;"")</f>
        <v/>
      </c>
      <c r="I1364">
        <f>IF($AA1364="","",INDEX('Per Line'!$K$2:$K$4001,$AA1364)&amp;"")</f>
        <v/>
      </c>
      <c r="J1364">
        <f>IF($AA1364="","",INDEX('Per Line'!$L$2:$L$4001,$AA1364)&amp;"")</f>
        <v/>
      </c>
      <c r="K1364">
        <f>IF($AA1364="","",INDEX('Per Line'!$P$2:$P$4001,$AA1364))</f>
        <v/>
      </c>
      <c r="L1364" s="7">
        <f>IF($AA1364="","",IF(AND(ISNUMBER(N1364),N1364&gt;0,Y1364&gt;N1364),K1364*N1364/100+(Y1364-N1364),K1364*Y1364/100))</f>
        <v/>
      </c>
      <c r="M1364">
        <f>IF($AA1364="","",INDEX('Per Line'!$Z$2:$Z$4001,$AA1364)&amp;"")</f>
        <v/>
      </c>
      <c r="N1364">
        <f>IF($AA1364="","",INDEX('Per Line'!$AG$2:$AG$4001,$AA1364))</f>
        <v/>
      </c>
      <c r="O1364">
        <f>IF($AA1364="","",IF(AND(ISNUMBER(N1364),N1364&gt;0),Y1364&gt;N1364,FALSE))</f>
        <v/>
      </c>
      <c r="P1364" s="7">
        <f>IF($AA1364="","",SUMIFS('Per Line'!$Y$2:$Y$4001,'Per Line'!$E$2:$E$4001,$B1364,'Per Line'!$AQ$2:$AQ$4001,1))</f>
        <v/>
      </c>
      <c r="Q1364">
        <f>IF($AA1364="","",Settings!$C$7)</f>
        <v/>
      </c>
      <c r="R1364" s="7">
        <f>IF($AA1364="","",SUMIFS('Per Line'!$Y$2:$Y$4001,'Per Line'!$E$2:$E$4001,$B1364,'Per Line'!$AP$2:$AP$4001,0,'Per Line'!$AQ$2:$AQ$4001,0))</f>
        <v/>
      </c>
      <c r="S1364" s="7">
        <f>IF($AA1364="","",R1364*Q1364)</f>
        <v/>
      </c>
      <c r="T1364">
        <f>IF($AA1364="","",Settings!$C$6)</f>
        <v/>
      </c>
      <c r="U1364" s="7">
        <f>IF($AA1364="","",SUMIFS('Per Line'!$Y$2:$Y$4001,'Per Line'!$E$2:$E$4001,$B1364,'Per Line'!$AP$2:$AP$4001,1,'Per Line'!$AQ$2:$AQ$4001,0))</f>
        <v/>
      </c>
      <c r="V1364" s="7">
        <f>IF($AA1364="","",U1364*T1364)</f>
        <v/>
      </c>
      <c r="W1364" s="7">
        <f>IF($AA1364="","",V1364+S1364)</f>
        <v/>
      </c>
      <c r="X1364" s="7">
        <f>IF($AA1364="","",Y1364-W1364)</f>
        <v/>
      </c>
      <c r="Y1364" s="7">
        <f>IF($AA1364="","",R1364+U1364+P1364)</f>
        <v/>
      </c>
      <c r="Z1364" s="7">
        <f>IF($AA1364="","",Y1364-W1364-L1364)</f>
        <v/>
      </c>
      <c r="AA1364" s="13">
        <f>IF(ROWS($AA$2:$AA1364)&lt;=MAX('Per Line'!$AO$2:$AO$4001),MATCH(ROWS($AA$2:$AA1364),'Per Line'!$AO$2:$AO$4001,0),"")</f>
        <v/>
      </c>
      <c r="AB1364" s="14">
        <f>IF($AA1364="","",L1364-K1364*Y1364/100)</f>
        <v/>
      </c>
    </row>
    <row r="1365">
      <c r="A1365" s="12" t="n"/>
      <c r="B1365">
        <f>IF($AA1365="","",INDEX('Per Line'!$E$2:$E$4001,$AA1365)&amp;"")</f>
        <v/>
      </c>
      <c r="C1365">
        <f>IF($AA1365="","",INDEX('Per Line'!$A$2:$A$4001,$AA1365)&amp;"")</f>
        <v/>
      </c>
      <c r="D1365">
        <f>IF($AA1365="","",INDEX('Per Line'!$D$2:$D$4001,$AA1365)&amp;"")</f>
        <v/>
      </c>
      <c r="E1365" s="11">
        <f>IF($AA1365="","",INDEX('Per Line'!$G$2:$G$4001,$AA1365))</f>
        <v/>
      </c>
      <c r="F1365">
        <f>IF($AA1365="","",INDEX('Per Line'!$H$2:$H$4001,$AA1365)&amp;"")</f>
        <v/>
      </c>
      <c r="G1365">
        <f>IF($AA1365="","",INDEX('Per Line'!$I$2:$I$4001,$AA1365)&amp;"")</f>
        <v/>
      </c>
      <c r="H1365">
        <f>IF($AA1365="","",INDEX('Per Line'!$J$2:$J$4001,$AA1365)&amp;"")</f>
        <v/>
      </c>
      <c r="I1365">
        <f>IF($AA1365="","",INDEX('Per Line'!$K$2:$K$4001,$AA1365)&amp;"")</f>
        <v/>
      </c>
      <c r="J1365">
        <f>IF($AA1365="","",INDEX('Per Line'!$L$2:$L$4001,$AA1365)&amp;"")</f>
        <v/>
      </c>
      <c r="K1365">
        <f>IF($AA1365="","",INDEX('Per Line'!$P$2:$P$4001,$AA1365))</f>
        <v/>
      </c>
      <c r="L1365" s="7">
        <f>IF($AA1365="","",IF(AND(ISNUMBER(N1365),N1365&gt;0,Y1365&gt;N1365),K1365*N1365/100+(Y1365-N1365),K1365*Y1365/100))</f>
        <v/>
      </c>
      <c r="M1365">
        <f>IF($AA1365="","",INDEX('Per Line'!$Z$2:$Z$4001,$AA1365)&amp;"")</f>
        <v/>
      </c>
      <c r="N1365">
        <f>IF($AA1365="","",INDEX('Per Line'!$AG$2:$AG$4001,$AA1365))</f>
        <v/>
      </c>
      <c r="O1365">
        <f>IF($AA1365="","",IF(AND(ISNUMBER(N1365),N1365&gt;0),Y1365&gt;N1365,FALSE))</f>
        <v/>
      </c>
      <c r="P1365" s="7">
        <f>IF($AA1365="","",SUMIFS('Per Line'!$Y$2:$Y$4001,'Per Line'!$E$2:$E$4001,$B1365,'Per Line'!$AQ$2:$AQ$4001,1))</f>
        <v/>
      </c>
      <c r="Q1365">
        <f>IF($AA1365="","",Settings!$C$7)</f>
        <v/>
      </c>
      <c r="R1365" s="7">
        <f>IF($AA1365="","",SUMIFS('Per Line'!$Y$2:$Y$4001,'Per Line'!$E$2:$E$4001,$B1365,'Per Line'!$AP$2:$AP$4001,0,'Per Line'!$AQ$2:$AQ$4001,0))</f>
        <v/>
      </c>
      <c r="S1365" s="7">
        <f>IF($AA1365="","",R1365*Q1365)</f>
        <v/>
      </c>
      <c r="T1365">
        <f>IF($AA1365="","",Settings!$C$6)</f>
        <v/>
      </c>
      <c r="U1365" s="7">
        <f>IF($AA1365="","",SUMIFS('Per Line'!$Y$2:$Y$4001,'Per Line'!$E$2:$E$4001,$B1365,'Per Line'!$AP$2:$AP$4001,1,'Per Line'!$AQ$2:$AQ$4001,0))</f>
        <v/>
      </c>
      <c r="V1365" s="7">
        <f>IF($AA1365="","",U1365*T1365)</f>
        <v/>
      </c>
      <c r="W1365" s="7">
        <f>IF($AA1365="","",V1365+S1365)</f>
        <v/>
      </c>
      <c r="X1365" s="7">
        <f>IF($AA1365="","",Y1365-W1365)</f>
        <v/>
      </c>
      <c r="Y1365" s="7">
        <f>IF($AA1365="","",R1365+U1365+P1365)</f>
        <v/>
      </c>
      <c r="Z1365" s="7">
        <f>IF($AA1365="","",Y1365-W1365-L1365)</f>
        <v/>
      </c>
      <c r="AA1365" s="13">
        <f>IF(ROWS($AA$2:$AA1365)&lt;=MAX('Per Line'!$AO$2:$AO$4001),MATCH(ROWS($AA$2:$AA1365),'Per Line'!$AO$2:$AO$4001,0),"")</f>
        <v/>
      </c>
      <c r="AB1365" s="14">
        <f>IF($AA1365="","",L1365-K1365*Y1365/100)</f>
        <v/>
      </c>
    </row>
    <row r="1366">
      <c r="A1366" s="12" t="n"/>
      <c r="B1366">
        <f>IF($AA1366="","",INDEX('Per Line'!$E$2:$E$4001,$AA1366)&amp;"")</f>
        <v/>
      </c>
      <c r="C1366">
        <f>IF($AA1366="","",INDEX('Per Line'!$A$2:$A$4001,$AA1366)&amp;"")</f>
        <v/>
      </c>
      <c r="D1366">
        <f>IF($AA1366="","",INDEX('Per Line'!$D$2:$D$4001,$AA1366)&amp;"")</f>
        <v/>
      </c>
      <c r="E1366" s="11">
        <f>IF($AA1366="","",INDEX('Per Line'!$G$2:$G$4001,$AA1366))</f>
        <v/>
      </c>
      <c r="F1366">
        <f>IF($AA1366="","",INDEX('Per Line'!$H$2:$H$4001,$AA1366)&amp;"")</f>
        <v/>
      </c>
      <c r="G1366">
        <f>IF($AA1366="","",INDEX('Per Line'!$I$2:$I$4001,$AA1366)&amp;"")</f>
        <v/>
      </c>
      <c r="H1366">
        <f>IF($AA1366="","",INDEX('Per Line'!$J$2:$J$4001,$AA1366)&amp;"")</f>
        <v/>
      </c>
      <c r="I1366">
        <f>IF($AA1366="","",INDEX('Per Line'!$K$2:$K$4001,$AA1366)&amp;"")</f>
        <v/>
      </c>
      <c r="J1366">
        <f>IF($AA1366="","",INDEX('Per Line'!$L$2:$L$4001,$AA1366)&amp;"")</f>
        <v/>
      </c>
      <c r="K1366">
        <f>IF($AA1366="","",INDEX('Per Line'!$P$2:$P$4001,$AA1366))</f>
        <v/>
      </c>
      <c r="L1366" s="7">
        <f>IF($AA1366="","",IF(AND(ISNUMBER(N1366),N1366&gt;0,Y1366&gt;N1366),K1366*N1366/100+(Y1366-N1366),K1366*Y1366/100))</f>
        <v/>
      </c>
      <c r="M1366">
        <f>IF($AA1366="","",INDEX('Per Line'!$Z$2:$Z$4001,$AA1366)&amp;"")</f>
        <v/>
      </c>
      <c r="N1366">
        <f>IF($AA1366="","",INDEX('Per Line'!$AG$2:$AG$4001,$AA1366))</f>
        <v/>
      </c>
      <c r="O1366">
        <f>IF($AA1366="","",IF(AND(ISNUMBER(N1366),N1366&gt;0),Y1366&gt;N1366,FALSE))</f>
        <v/>
      </c>
      <c r="P1366" s="7">
        <f>IF($AA1366="","",SUMIFS('Per Line'!$Y$2:$Y$4001,'Per Line'!$E$2:$E$4001,$B1366,'Per Line'!$AQ$2:$AQ$4001,1))</f>
        <v/>
      </c>
      <c r="Q1366">
        <f>IF($AA1366="","",Settings!$C$7)</f>
        <v/>
      </c>
      <c r="R1366" s="7">
        <f>IF($AA1366="","",SUMIFS('Per Line'!$Y$2:$Y$4001,'Per Line'!$E$2:$E$4001,$B1366,'Per Line'!$AP$2:$AP$4001,0,'Per Line'!$AQ$2:$AQ$4001,0))</f>
        <v/>
      </c>
      <c r="S1366" s="7">
        <f>IF($AA1366="","",R1366*Q1366)</f>
        <v/>
      </c>
      <c r="T1366">
        <f>IF($AA1366="","",Settings!$C$6)</f>
        <v/>
      </c>
      <c r="U1366" s="7">
        <f>IF($AA1366="","",SUMIFS('Per Line'!$Y$2:$Y$4001,'Per Line'!$E$2:$E$4001,$B1366,'Per Line'!$AP$2:$AP$4001,1,'Per Line'!$AQ$2:$AQ$4001,0))</f>
        <v/>
      </c>
      <c r="V1366" s="7">
        <f>IF($AA1366="","",U1366*T1366)</f>
        <v/>
      </c>
      <c r="W1366" s="7">
        <f>IF($AA1366="","",V1366+S1366)</f>
        <v/>
      </c>
      <c r="X1366" s="7">
        <f>IF($AA1366="","",Y1366-W1366)</f>
        <v/>
      </c>
      <c r="Y1366" s="7">
        <f>IF($AA1366="","",R1366+U1366+P1366)</f>
        <v/>
      </c>
      <c r="Z1366" s="7">
        <f>IF($AA1366="","",Y1366-W1366-L1366)</f>
        <v/>
      </c>
      <c r="AA1366" s="13">
        <f>IF(ROWS($AA$2:$AA1366)&lt;=MAX('Per Line'!$AO$2:$AO$4001),MATCH(ROWS($AA$2:$AA1366),'Per Line'!$AO$2:$AO$4001,0),"")</f>
        <v/>
      </c>
      <c r="AB1366" s="14">
        <f>IF($AA1366="","",L1366-K1366*Y1366/100)</f>
        <v/>
      </c>
    </row>
    <row r="1367">
      <c r="A1367" s="12" t="n"/>
      <c r="B1367">
        <f>IF($AA1367="","",INDEX('Per Line'!$E$2:$E$4001,$AA1367)&amp;"")</f>
        <v/>
      </c>
      <c r="C1367">
        <f>IF($AA1367="","",INDEX('Per Line'!$A$2:$A$4001,$AA1367)&amp;"")</f>
        <v/>
      </c>
      <c r="D1367">
        <f>IF($AA1367="","",INDEX('Per Line'!$D$2:$D$4001,$AA1367)&amp;"")</f>
        <v/>
      </c>
      <c r="E1367" s="11">
        <f>IF($AA1367="","",INDEX('Per Line'!$G$2:$G$4001,$AA1367))</f>
        <v/>
      </c>
      <c r="F1367">
        <f>IF($AA1367="","",INDEX('Per Line'!$H$2:$H$4001,$AA1367)&amp;"")</f>
        <v/>
      </c>
      <c r="G1367">
        <f>IF($AA1367="","",INDEX('Per Line'!$I$2:$I$4001,$AA1367)&amp;"")</f>
        <v/>
      </c>
      <c r="H1367">
        <f>IF($AA1367="","",INDEX('Per Line'!$J$2:$J$4001,$AA1367)&amp;"")</f>
        <v/>
      </c>
      <c r="I1367">
        <f>IF($AA1367="","",INDEX('Per Line'!$K$2:$K$4001,$AA1367)&amp;"")</f>
        <v/>
      </c>
      <c r="J1367">
        <f>IF($AA1367="","",INDEX('Per Line'!$L$2:$L$4001,$AA1367)&amp;"")</f>
        <v/>
      </c>
      <c r="K1367">
        <f>IF($AA1367="","",INDEX('Per Line'!$P$2:$P$4001,$AA1367))</f>
        <v/>
      </c>
      <c r="L1367" s="7">
        <f>IF($AA1367="","",IF(AND(ISNUMBER(N1367),N1367&gt;0,Y1367&gt;N1367),K1367*N1367/100+(Y1367-N1367),K1367*Y1367/100))</f>
        <v/>
      </c>
      <c r="M1367">
        <f>IF($AA1367="","",INDEX('Per Line'!$Z$2:$Z$4001,$AA1367)&amp;"")</f>
        <v/>
      </c>
      <c r="N1367">
        <f>IF($AA1367="","",INDEX('Per Line'!$AG$2:$AG$4001,$AA1367))</f>
        <v/>
      </c>
      <c r="O1367">
        <f>IF($AA1367="","",IF(AND(ISNUMBER(N1367),N1367&gt;0),Y1367&gt;N1367,FALSE))</f>
        <v/>
      </c>
      <c r="P1367" s="7">
        <f>IF($AA1367="","",SUMIFS('Per Line'!$Y$2:$Y$4001,'Per Line'!$E$2:$E$4001,$B1367,'Per Line'!$AQ$2:$AQ$4001,1))</f>
        <v/>
      </c>
      <c r="Q1367">
        <f>IF($AA1367="","",Settings!$C$7)</f>
        <v/>
      </c>
      <c r="R1367" s="7">
        <f>IF($AA1367="","",SUMIFS('Per Line'!$Y$2:$Y$4001,'Per Line'!$E$2:$E$4001,$B1367,'Per Line'!$AP$2:$AP$4001,0,'Per Line'!$AQ$2:$AQ$4001,0))</f>
        <v/>
      </c>
      <c r="S1367" s="7">
        <f>IF($AA1367="","",R1367*Q1367)</f>
        <v/>
      </c>
      <c r="T1367">
        <f>IF($AA1367="","",Settings!$C$6)</f>
        <v/>
      </c>
      <c r="U1367" s="7">
        <f>IF($AA1367="","",SUMIFS('Per Line'!$Y$2:$Y$4001,'Per Line'!$E$2:$E$4001,$B1367,'Per Line'!$AP$2:$AP$4001,1,'Per Line'!$AQ$2:$AQ$4001,0))</f>
        <v/>
      </c>
      <c r="V1367" s="7">
        <f>IF($AA1367="","",U1367*T1367)</f>
        <v/>
      </c>
      <c r="W1367" s="7">
        <f>IF($AA1367="","",V1367+S1367)</f>
        <v/>
      </c>
      <c r="X1367" s="7">
        <f>IF($AA1367="","",Y1367-W1367)</f>
        <v/>
      </c>
      <c r="Y1367" s="7">
        <f>IF($AA1367="","",R1367+U1367+P1367)</f>
        <v/>
      </c>
      <c r="Z1367" s="7">
        <f>IF($AA1367="","",Y1367-W1367-L1367)</f>
        <v/>
      </c>
      <c r="AA1367" s="13">
        <f>IF(ROWS($AA$2:$AA1367)&lt;=MAX('Per Line'!$AO$2:$AO$4001),MATCH(ROWS($AA$2:$AA1367),'Per Line'!$AO$2:$AO$4001,0),"")</f>
        <v/>
      </c>
      <c r="AB1367" s="14">
        <f>IF($AA1367="","",L1367-K1367*Y1367/100)</f>
        <v/>
      </c>
    </row>
    <row r="1368">
      <c r="A1368" s="12" t="n"/>
      <c r="B1368">
        <f>IF($AA1368="","",INDEX('Per Line'!$E$2:$E$4001,$AA1368)&amp;"")</f>
        <v/>
      </c>
      <c r="C1368">
        <f>IF($AA1368="","",INDEX('Per Line'!$A$2:$A$4001,$AA1368)&amp;"")</f>
        <v/>
      </c>
      <c r="D1368">
        <f>IF($AA1368="","",INDEX('Per Line'!$D$2:$D$4001,$AA1368)&amp;"")</f>
        <v/>
      </c>
      <c r="E1368" s="11">
        <f>IF($AA1368="","",INDEX('Per Line'!$G$2:$G$4001,$AA1368))</f>
        <v/>
      </c>
      <c r="F1368">
        <f>IF($AA1368="","",INDEX('Per Line'!$H$2:$H$4001,$AA1368)&amp;"")</f>
        <v/>
      </c>
      <c r="G1368">
        <f>IF($AA1368="","",INDEX('Per Line'!$I$2:$I$4001,$AA1368)&amp;"")</f>
        <v/>
      </c>
      <c r="H1368">
        <f>IF($AA1368="","",INDEX('Per Line'!$J$2:$J$4001,$AA1368)&amp;"")</f>
        <v/>
      </c>
      <c r="I1368">
        <f>IF($AA1368="","",INDEX('Per Line'!$K$2:$K$4001,$AA1368)&amp;"")</f>
        <v/>
      </c>
      <c r="J1368">
        <f>IF($AA1368="","",INDEX('Per Line'!$L$2:$L$4001,$AA1368)&amp;"")</f>
        <v/>
      </c>
      <c r="K1368">
        <f>IF($AA1368="","",INDEX('Per Line'!$P$2:$P$4001,$AA1368))</f>
        <v/>
      </c>
      <c r="L1368" s="7">
        <f>IF($AA1368="","",IF(AND(ISNUMBER(N1368),N1368&gt;0,Y1368&gt;N1368),K1368*N1368/100+(Y1368-N1368),K1368*Y1368/100))</f>
        <v/>
      </c>
      <c r="M1368">
        <f>IF($AA1368="","",INDEX('Per Line'!$Z$2:$Z$4001,$AA1368)&amp;"")</f>
        <v/>
      </c>
      <c r="N1368">
        <f>IF($AA1368="","",INDEX('Per Line'!$AG$2:$AG$4001,$AA1368))</f>
        <v/>
      </c>
      <c r="O1368">
        <f>IF($AA1368="","",IF(AND(ISNUMBER(N1368),N1368&gt;0),Y1368&gt;N1368,FALSE))</f>
        <v/>
      </c>
      <c r="P1368" s="7">
        <f>IF($AA1368="","",SUMIFS('Per Line'!$Y$2:$Y$4001,'Per Line'!$E$2:$E$4001,$B1368,'Per Line'!$AQ$2:$AQ$4001,1))</f>
        <v/>
      </c>
      <c r="Q1368">
        <f>IF($AA1368="","",Settings!$C$7)</f>
        <v/>
      </c>
      <c r="R1368" s="7">
        <f>IF($AA1368="","",SUMIFS('Per Line'!$Y$2:$Y$4001,'Per Line'!$E$2:$E$4001,$B1368,'Per Line'!$AP$2:$AP$4001,0,'Per Line'!$AQ$2:$AQ$4001,0))</f>
        <v/>
      </c>
      <c r="S1368" s="7">
        <f>IF($AA1368="","",R1368*Q1368)</f>
        <v/>
      </c>
      <c r="T1368">
        <f>IF($AA1368="","",Settings!$C$6)</f>
        <v/>
      </c>
      <c r="U1368" s="7">
        <f>IF($AA1368="","",SUMIFS('Per Line'!$Y$2:$Y$4001,'Per Line'!$E$2:$E$4001,$B1368,'Per Line'!$AP$2:$AP$4001,1,'Per Line'!$AQ$2:$AQ$4001,0))</f>
        <v/>
      </c>
      <c r="V1368" s="7">
        <f>IF($AA1368="","",U1368*T1368)</f>
        <v/>
      </c>
      <c r="W1368" s="7">
        <f>IF($AA1368="","",V1368+S1368)</f>
        <v/>
      </c>
      <c r="X1368" s="7">
        <f>IF($AA1368="","",Y1368-W1368)</f>
        <v/>
      </c>
      <c r="Y1368" s="7">
        <f>IF($AA1368="","",R1368+U1368+P1368)</f>
        <v/>
      </c>
      <c r="Z1368" s="7">
        <f>IF($AA1368="","",Y1368-W1368-L1368)</f>
        <v/>
      </c>
      <c r="AA1368" s="13">
        <f>IF(ROWS($AA$2:$AA1368)&lt;=MAX('Per Line'!$AO$2:$AO$4001),MATCH(ROWS($AA$2:$AA1368),'Per Line'!$AO$2:$AO$4001,0),"")</f>
        <v/>
      </c>
      <c r="AB1368" s="14">
        <f>IF($AA1368="","",L1368-K1368*Y1368/100)</f>
        <v/>
      </c>
    </row>
    <row r="1369">
      <c r="A1369" s="12" t="n"/>
      <c r="B1369">
        <f>IF($AA1369="","",INDEX('Per Line'!$E$2:$E$4001,$AA1369)&amp;"")</f>
        <v/>
      </c>
      <c r="C1369">
        <f>IF($AA1369="","",INDEX('Per Line'!$A$2:$A$4001,$AA1369)&amp;"")</f>
        <v/>
      </c>
      <c r="D1369">
        <f>IF($AA1369="","",INDEX('Per Line'!$D$2:$D$4001,$AA1369)&amp;"")</f>
        <v/>
      </c>
      <c r="E1369" s="11">
        <f>IF($AA1369="","",INDEX('Per Line'!$G$2:$G$4001,$AA1369))</f>
        <v/>
      </c>
      <c r="F1369">
        <f>IF($AA1369="","",INDEX('Per Line'!$H$2:$H$4001,$AA1369)&amp;"")</f>
        <v/>
      </c>
      <c r="G1369">
        <f>IF($AA1369="","",INDEX('Per Line'!$I$2:$I$4001,$AA1369)&amp;"")</f>
        <v/>
      </c>
      <c r="H1369">
        <f>IF($AA1369="","",INDEX('Per Line'!$J$2:$J$4001,$AA1369)&amp;"")</f>
        <v/>
      </c>
      <c r="I1369">
        <f>IF($AA1369="","",INDEX('Per Line'!$K$2:$K$4001,$AA1369)&amp;"")</f>
        <v/>
      </c>
      <c r="J1369">
        <f>IF($AA1369="","",INDEX('Per Line'!$L$2:$L$4001,$AA1369)&amp;"")</f>
        <v/>
      </c>
      <c r="K1369">
        <f>IF($AA1369="","",INDEX('Per Line'!$P$2:$P$4001,$AA1369))</f>
        <v/>
      </c>
      <c r="L1369" s="7">
        <f>IF($AA1369="","",IF(AND(ISNUMBER(N1369),N1369&gt;0,Y1369&gt;N1369),K1369*N1369/100+(Y1369-N1369),K1369*Y1369/100))</f>
        <v/>
      </c>
      <c r="M1369">
        <f>IF($AA1369="","",INDEX('Per Line'!$Z$2:$Z$4001,$AA1369)&amp;"")</f>
        <v/>
      </c>
      <c r="N1369">
        <f>IF($AA1369="","",INDEX('Per Line'!$AG$2:$AG$4001,$AA1369))</f>
        <v/>
      </c>
      <c r="O1369">
        <f>IF($AA1369="","",IF(AND(ISNUMBER(N1369),N1369&gt;0),Y1369&gt;N1369,FALSE))</f>
        <v/>
      </c>
      <c r="P1369" s="7">
        <f>IF($AA1369="","",SUMIFS('Per Line'!$Y$2:$Y$4001,'Per Line'!$E$2:$E$4001,$B1369,'Per Line'!$AQ$2:$AQ$4001,1))</f>
        <v/>
      </c>
      <c r="Q1369">
        <f>IF($AA1369="","",Settings!$C$7)</f>
        <v/>
      </c>
      <c r="R1369" s="7">
        <f>IF($AA1369="","",SUMIFS('Per Line'!$Y$2:$Y$4001,'Per Line'!$E$2:$E$4001,$B1369,'Per Line'!$AP$2:$AP$4001,0,'Per Line'!$AQ$2:$AQ$4001,0))</f>
        <v/>
      </c>
      <c r="S1369" s="7">
        <f>IF($AA1369="","",R1369*Q1369)</f>
        <v/>
      </c>
      <c r="T1369">
        <f>IF($AA1369="","",Settings!$C$6)</f>
        <v/>
      </c>
      <c r="U1369" s="7">
        <f>IF($AA1369="","",SUMIFS('Per Line'!$Y$2:$Y$4001,'Per Line'!$E$2:$E$4001,$B1369,'Per Line'!$AP$2:$AP$4001,1,'Per Line'!$AQ$2:$AQ$4001,0))</f>
        <v/>
      </c>
      <c r="V1369" s="7">
        <f>IF($AA1369="","",U1369*T1369)</f>
        <v/>
      </c>
      <c r="W1369" s="7">
        <f>IF($AA1369="","",V1369+S1369)</f>
        <v/>
      </c>
      <c r="X1369" s="7">
        <f>IF($AA1369="","",Y1369-W1369)</f>
        <v/>
      </c>
      <c r="Y1369" s="7">
        <f>IF($AA1369="","",R1369+U1369+P1369)</f>
        <v/>
      </c>
      <c r="Z1369" s="7">
        <f>IF($AA1369="","",Y1369-W1369-L1369)</f>
        <v/>
      </c>
      <c r="AA1369" s="13">
        <f>IF(ROWS($AA$2:$AA1369)&lt;=MAX('Per Line'!$AO$2:$AO$4001),MATCH(ROWS($AA$2:$AA1369),'Per Line'!$AO$2:$AO$4001,0),"")</f>
        <v/>
      </c>
      <c r="AB1369" s="14">
        <f>IF($AA1369="","",L1369-K1369*Y1369/100)</f>
        <v/>
      </c>
    </row>
    <row r="1370">
      <c r="A1370" s="12" t="n"/>
      <c r="B1370">
        <f>IF($AA1370="","",INDEX('Per Line'!$E$2:$E$4001,$AA1370)&amp;"")</f>
        <v/>
      </c>
      <c r="C1370">
        <f>IF($AA1370="","",INDEX('Per Line'!$A$2:$A$4001,$AA1370)&amp;"")</f>
        <v/>
      </c>
      <c r="D1370">
        <f>IF($AA1370="","",INDEX('Per Line'!$D$2:$D$4001,$AA1370)&amp;"")</f>
        <v/>
      </c>
      <c r="E1370" s="11">
        <f>IF($AA1370="","",INDEX('Per Line'!$G$2:$G$4001,$AA1370))</f>
        <v/>
      </c>
      <c r="F1370">
        <f>IF($AA1370="","",INDEX('Per Line'!$H$2:$H$4001,$AA1370)&amp;"")</f>
        <v/>
      </c>
      <c r="G1370">
        <f>IF($AA1370="","",INDEX('Per Line'!$I$2:$I$4001,$AA1370)&amp;"")</f>
        <v/>
      </c>
      <c r="H1370">
        <f>IF($AA1370="","",INDEX('Per Line'!$J$2:$J$4001,$AA1370)&amp;"")</f>
        <v/>
      </c>
      <c r="I1370">
        <f>IF($AA1370="","",INDEX('Per Line'!$K$2:$K$4001,$AA1370)&amp;"")</f>
        <v/>
      </c>
      <c r="J1370">
        <f>IF($AA1370="","",INDEX('Per Line'!$L$2:$L$4001,$AA1370)&amp;"")</f>
        <v/>
      </c>
      <c r="K1370">
        <f>IF($AA1370="","",INDEX('Per Line'!$P$2:$P$4001,$AA1370))</f>
        <v/>
      </c>
      <c r="L1370" s="7">
        <f>IF($AA1370="","",IF(AND(ISNUMBER(N1370),N1370&gt;0,Y1370&gt;N1370),K1370*N1370/100+(Y1370-N1370),K1370*Y1370/100))</f>
        <v/>
      </c>
      <c r="M1370">
        <f>IF($AA1370="","",INDEX('Per Line'!$Z$2:$Z$4001,$AA1370)&amp;"")</f>
        <v/>
      </c>
      <c r="N1370">
        <f>IF($AA1370="","",INDEX('Per Line'!$AG$2:$AG$4001,$AA1370))</f>
        <v/>
      </c>
      <c r="O1370">
        <f>IF($AA1370="","",IF(AND(ISNUMBER(N1370),N1370&gt;0),Y1370&gt;N1370,FALSE))</f>
        <v/>
      </c>
      <c r="P1370" s="7">
        <f>IF($AA1370="","",SUMIFS('Per Line'!$Y$2:$Y$4001,'Per Line'!$E$2:$E$4001,$B1370,'Per Line'!$AQ$2:$AQ$4001,1))</f>
        <v/>
      </c>
      <c r="Q1370">
        <f>IF($AA1370="","",Settings!$C$7)</f>
        <v/>
      </c>
      <c r="R1370" s="7">
        <f>IF($AA1370="","",SUMIFS('Per Line'!$Y$2:$Y$4001,'Per Line'!$E$2:$E$4001,$B1370,'Per Line'!$AP$2:$AP$4001,0,'Per Line'!$AQ$2:$AQ$4001,0))</f>
        <v/>
      </c>
      <c r="S1370" s="7">
        <f>IF($AA1370="","",R1370*Q1370)</f>
        <v/>
      </c>
      <c r="T1370">
        <f>IF($AA1370="","",Settings!$C$6)</f>
        <v/>
      </c>
      <c r="U1370" s="7">
        <f>IF($AA1370="","",SUMIFS('Per Line'!$Y$2:$Y$4001,'Per Line'!$E$2:$E$4001,$B1370,'Per Line'!$AP$2:$AP$4001,1,'Per Line'!$AQ$2:$AQ$4001,0))</f>
        <v/>
      </c>
      <c r="V1370" s="7">
        <f>IF($AA1370="","",U1370*T1370)</f>
        <v/>
      </c>
      <c r="W1370" s="7">
        <f>IF($AA1370="","",V1370+S1370)</f>
        <v/>
      </c>
      <c r="X1370" s="7">
        <f>IF($AA1370="","",Y1370-W1370)</f>
        <v/>
      </c>
      <c r="Y1370" s="7">
        <f>IF($AA1370="","",R1370+U1370+P1370)</f>
        <v/>
      </c>
      <c r="Z1370" s="7">
        <f>IF($AA1370="","",Y1370-W1370-L1370)</f>
        <v/>
      </c>
      <c r="AA1370" s="13">
        <f>IF(ROWS($AA$2:$AA1370)&lt;=MAX('Per Line'!$AO$2:$AO$4001),MATCH(ROWS($AA$2:$AA1370),'Per Line'!$AO$2:$AO$4001,0),"")</f>
        <v/>
      </c>
      <c r="AB1370" s="14">
        <f>IF($AA1370="","",L1370-K1370*Y1370/100)</f>
        <v/>
      </c>
    </row>
    <row r="1371">
      <c r="A1371" s="12" t="n"/>
      <c r="B1371">
        <f>IF($AA1371="","",INDEX('Per Line'!$E$2:$E$4001,$AA1371)&amp;"")</f>
        <v/>
      </c>
      <c r="C1371">
        <f>IF($AA1371="","",INDEX('Per Line'!$A$2:$A$4001,$AA1371)&amp;"")</f>
        <v/>
      </c>
      <c r="D1371">
        <f>IF($AA1371="","",INDEX('Per Line'!$D$2:$D$4001,$AA1371)&amp;"")</f>
        <v/>
      </c>
      <c r="E1371" s="11">
        <f>IF($AA1371="","",INDEX('Per Line'!$G$2:$G$4001,$AA1371))</f>
        <v/>
      </c>
      <c r="F1371">
        <f>IF($AA1371="","",INDEX('Per Line'!$H$2:$H$4001,$AA1371)&amp;"")</f>
        <v/>
      </c>
      <c r="G1371">
        <f>IF($AA1371="","",INDEX('Per Line'!$I$2:$I$4001,$AA1371)&amp;"")</f>
        <v/>
      </c>
      <c r="H1371">
        <f>IF($AA1371="","",INDEX('Per Line'!$J$2:$J$4001,$AA1371)&amp;"")</f>
        <v/>
      </c>
      <c r="I1371">
        <f>IF($AA1371="","",INDEX('Per Line'!$K$2:$K$4001,$AA1371)&amp;"")</f>
        <v/>
      </c>
      <c r="J1371">
        <f>IF($AA1371="","",INDEX('Per Line'!$L$2:$L$4001,$AA1371)&amp;"")</f>
        <v/>
      </c>
      <c r="K1371">
        <f>IF($AA1371="","",INDEX('Per Line'!$P$2:$P$4001,$AA1371))</f>
        <v/>
      </c>
      <c r="L1371" s="7">
        <f>IF($AA1371="","",IF(AND(ISNUMBER(N1371),N1371&gt;0,Y1371&gt;N1371),K1371*N1371/100+(Y1371-N1371),K1371*Y1371/100))</f>
        <v/>
      </c>
      <c r="M1371">
        <f>IF($AA1371="","",INDEX('Per Line'!$Z$2:$Z$4001,$AA1371)&amp;"")</f>
        <v/>
      </c>
      <c r="N1371">
        <f>IF($AA1371="","",INDEX('Per Line'!$AG$2:$AG$4001,$AA1371))</f>
        <v/>
      </c>
      <c r="O1371">
        <f>IF($AA1371="","",IF(AND(ISNUMBER(N1371),N1371&gt;0),Y1371&gt;N1371,FALSE))</f>
        <v/>
      </c>
      <c r="P1371" s="7">
        <f>IF($AA1371="","",SUMIFS('Per Line'!$Y$2:$Y$4001,'Per Line'!$E$2:$E$4001,$B1371,'Per Line'!$AQ$2:$AQ$4001,1))</f>
        <v/>
      </c>
      <c r="Q1371">
        <f>IF($AA1371="","",Settings!$C$7)</f>
        <v/>
      </c>
      <c r="R1371" s="7">
        <f>IF($AA1371="","",SUMIFS('Per Line'!$Y$2:$Y$4001,'Per Line'!$E$2:$E$4001,$B1371,'Per Line'!$AP$2:$AP$4001,0,'Per Line'!$AQ$2:$AQ$4001,0))</f>
        <v/>
      </c>
      <c r="S1371" s="7">
        <f>IF($AA1371="","",R1371*Q1371)</f>
        <v/>
      </c>
      <c r="T1371">
        <f>IF($AA1371="","",Settings!$C$6)</f>
        <v/>
      </c>
      <c r="U1371" s="7">
        <f>IF($AA1371="","",SUMIFS('Per Line'!$Y$2:$Y$4001,'Per Line'!$E$2:$E$4001,$B1371,'Per Line'!$AP$2:$AP$4001,1,'Per Line'!$AQ$2:$AQ$4001,0))</f>
        <v/>
      </c>
      <c r="V1371" s="7">
        <f>IF($AA1371="","",U1371*T1371)</f>
        <v/>
      </c>
      <c r="W1371" s="7">
        <f>IF($AA1371="","",V1371+S1371)</f>
        <v/>
      </c>
      <c r="X1371" s="7">
        <f>IF($AA1371="","",Y1371-W1371)</f>
        <v/>
      </c>
      <c r="Y1371" s="7">
        <f>IF($AA1371="","",R1371+U1371+P1371)</f>
        <v/>
      </c>
      <c r="Z1371" s="7">
        <f>IF($AA1371="","",Y1371-W1371-L1371)</f>
        <v/>
      </c>
      <c r="AA1371" s="13">
        <f>IF(ROWS($AA$2:$AA1371)&lt;=MAX('Per Line'!$AO$2:$AO$4001),MATCH(ROWS($AA$2:$AA1371),'Per Line'!$AO$2:$AO$4001,0),"")</f>
        <v/>
      </c>
      <c r="AB1371" s="14">
        <f>IF($AA1371="","",L1371-K1371*Y1371/100)</f>
        <v/>
      </c>
    </row>
    <row r="1372">
      <c r="A1372" s="12" t="n"/>
      <c r="B1372">
        <f>IF($AA1372="","",INDEX('Per Line'!$E$2:$E$4001,$AA1372)&amp;"")</f>
        <v/>
      </c>
      <c r="C1372">
        <f>IF($AA1372="","",INDEX('Per Line'!$A$2:$A$4001,$AA1372)&amp;"")</f>
        <v/>
      </c>
      <c r="D1372">
        <f>IF($AA1372="","",INDEX('Per Line'!$D$2:$D$4001,$AA1372)&amp;"")</f>
        <v/>
      </c>
      <c r="E1372" s="11">
        <f>IF($AA1372="","",INDEX('Per Line'!$G$2:$G$4001,$AA1372))</f>
        <v/>
      </c>
      <c r="F1372">
        <f>IF($AA1372="","",INDEX('Per Line'!$H$2:$H$4001,$AA1372)&amp;"")</f>
        <v/>
      </c>
      <c r="G1372">
        <f>IF($AA1372="","",INDEX('Per Line'!$I$2:$I$4001,$AA1372)&amp;"")</f>
        <v/>
      </c>
      <c r="H1372">
        <f>IF($AA1372="","",INDEX('Per Line'!$J$2:$J$4001,$AA1372)&amp;"")</f>
        <v/>
      </c>
      <c r="I1372">
        <f>IF($AA1372="","",INDEX('Per Line'!$K$2:$K$4001,$AA1372)&amp;"")</f>
        <v/>
      </c>
      <c r="J1372">
        <f>IF($AA1372="","",INDEX('Per Line'!$L$2:$L$4001,$AA1372)&amp;"")</f>
        <v/>
      </c>
      <c r="K1372">
        <f>IF($AA1372="","",INDEX('Per Line'!$P$2:$P$4001,$AA1372))</f>
        <v/>
      </c>
      <c r="L1372" s="7">
        <f>IF($AA1372="","",IF(AND(ISNUMBER(N1372),N1372&gt;0,Y1372&gt;N1372),K1372*N1372/100+(Y1372-N1372),K1372*Y1372/100))</f>
        <v/>
      </c>
      <c r="M1372">
        <f>IF($AA1372="","",INDEX('Per Line'!$Z$2:$Z$4001,$AA1372)&amp;"")</f>
        <v/>
      </c>
      <c r="N1372">
        <f>IF($AA1372="","",INDEX('Per Line'!$AG$2:$AG$4001,$AA1372))</f>
        <v/>
      </c>
      <c r="O1372">
        <f>IF($AA1372="","",IF(AND(ISNUMBER(N1372),N1372&gt;0),Y1372&gt;N1372,FALSE))</f>
        <v/>
      </c>
      <c r="P1372" s="7">
        <f>IF($AA1372="","",SUMIFS('Per Line'!$Y$2:$Y$4001,'Per Line'!$E$2:$E$4001,$B1372,'Per Line'!$AQ$2:$AQ$4001,1))</f>
        <v/>
      </c>
      <c r="Q1372">
        <f>IF($AA1372="","",Settings!$C$7)</f>
        <v/>
      </c>
      <c r="R1372" s="7">
        <f>IF($AA1372="","",SUMIFS('Per Line'!$Y$2:$Y$4001,'Per Line'!$E$2:$E$4001,$B1372,'Per Line'!$AP$2:$AP$4001,0,'Per Line'!$AQ$2:$AQ$4001,0))</f>
        <v/>
      </c>
      <c r="S1372" s="7">
        <f>IF($AA1372="","",R1372*Q1372)</f>
        <v/>
      </c>
      <c r="T1372">
        <f>IF($AA1372="","",Settings!$C$6)</f>
        <v/>
      </c>
      <c r="U1372" s="7">
        <f>IF($AA1372="","",SUMIFS('Per Line'!$Y$2:$Y$4001,'Per Line'!$E$2:$E$4001,$B1372,'Per Line'!$AP$2:$AP$4001,1,'Per Line'!$AQ$2:$AQ$4001,0))</f>
        <v/>
      </c>
      <c r="V1372" s="7">
        <f>IF($AA1372="","",U1372*T1372)</f>
        <v/>
      </c>
      <c r="W1372" s="7">
        <f>IF($AA1372="","",V1372+S1372)</f>
        <v/>
      </c>
      <c r="X1372" s="7">
        <f>IF($AA1372="","",Y1372-W1372)</f>
        <v/>
      </c>
      <c r="Y1372" s="7">
        <f>IF($AA1372="","",R1372+U1372+P1372)</f>
        <v/>
      </c>
      <c r="Z1372" s="7">
        <f>IF($AA1372="","",Y1372-W1372-L1372)</f>
        <v/>
      </c>
      <c r="AA1372" s="13">
        <f>IF(ROWS($AA$2:$AA1372)&lt;=MAX('Per Line'!$AO$2:$AO$4001),MATCH(ROWS($AA$2:$AA1372),'Per Line'!$AO$2:$AO$4001,0),"")</f>
        <v/>
      </c>
      <c r="AB1372" s="14">
        <f>IF($AA1372="","",L1372-K1372*Y1372/100)</f>
        <v/>
      </c>
    </row>
    <row r="1373">
      <c r="A1373" s="12" t="n"/>
      <c r="B1373">
        <f>IF($AA1373="","",INDEX('Per Line'!$E$2:$E$4001,$AA1373)&amp;"")</f>
        <v/>
      </c>
      <c r="C1373">
        <f>IF($AA1373="","",INDEX('Per Line'!$A$2:$A$4001,$AA1373)&amp;"")</f>
        <v/>
      </c>
      <c r="D1373">
        <f>IF($AA1373="","",INDEX('Per Line'!$D$2:$D$4001,$AA1373)&amp;"")</f>
        <v/>
      </c>
      <c r="E1373" s="11">
        <f>IF($AA1373="","",INDEX('Per Line'!$G$2:$G$4001,$AA1373))</f>
        <v/>
      </c>
      <c r="F1373">
        <f>IF($AA1373="","",INDEX('Per Line'!$H$2:$H$4001,$AA1373)&amp;"")</f>
        <v/>
      </c>
      <c r="G1373">
        <f>IF($AA1373="","",INDEX('Per Line'!$I$2:$I$4001,$AA1373)&amp;"")</f>
        <v/>
      </c>
      <c r="H1373">
        <f>IF($AA1373="","",INDEX('Per Line'!$J$2:$J$4001,$AA1373)&amp;"")</f>
        <v/>
      </c>
      <c r="I1373">
        <f>IF($AA1373="","",INDEX('Per Line'!$K$2:$K$4001,$AA1373)&amp;"")</f>
        <v/>
      </c>
      <c r="J1373">
        <f>IF($AA1373="","",INDEX('Per Line'!$L$2:$L$4001,$AA1373)&amp;"")</f>
        <v/>
      </c>
      <c r="K1373">
        <f>IF($AA1373="","",INDEX('Per Line'!$P$2:$P$4001,$AA1373))</f>
        <v/>
      </c>
      <c r="L1373" s="7">
        <f>IF($AA1373="","",IF(AND(ISNUMBER(N1373),N1373&gt;0,Y1373&gt;N1373),K1373*N1373/100+(Y1373-N1373),K1373*Y1373/100))</f>
        <v/>
      </c>
      <c r="M1373">
        <f>IF($AA1373="","",INDEX('Per Line'!$Z$2:$Z$4001,$AA1373)&amp;"")</f>
        <v/>
      </c>
      <c r="N1373">
        <f>IF($AA1373="","",INDEX('Per Line'!$AG$2:$AG$4001,$AA1373))</f>
        <v/>
      </c>
      <c r="O1373">
        <f>IF($AA1373="","",IF(AND(ISNUMBER(N1373),N1373&gt;0),Y1373&gt;N1373,FALSE))</f>
        <v/>
      </c>
      <c r="P1373" s="7">
        <f>IF($AA1373="","",SUMIFS('Per Line'!$Y$2:$Y$4001,'Per Line'!$E$2:$E$4001,$B1373,'Per Line'!$AQ$2:$AQ$4001,1))</f>
        <v/>
      </c>
      <c r="Q1373">
        <f>IF($AA1373="","",Settings!$C$7)</f>
        <v/>
      </c>
      <c r="R1373" s="7">
        <f>IF($AA1373="","",SUMIFS('Per Line'!$Y$2:$Y$4001,'Per Line'!$E$2:$E$4001,$B1373,'Per Line'!$AP$2:$AP$4001,0,'Per Line'!$AQ$2:$AQ$4001,0))</f>
        <v/>
      </c>
      <c r="S1373" s="7">
        <f>IF($AA1373="","",R1373*Q1373)</f>
        <v/>
      </c>
      <c r="T1373">
        <f>IF($AA1373="","",Settings!$C$6)</f>
        <v/>
      </c>
      <c r="U1373" s="7">
        <f>IF($AA1373="","",SUMIFS('Per Line'!$Y$2:$Y$4001,'Per Line'!$E$2:$E$4001,$B1373,'Per Line'!$AP$2:$AP$4001,1,'Per Line'!$AQ$2:$AQ$4001,0))</f>
        <v/>
      </c>
      <c r="V1373" s="7">
        <f>IF($AA1373="","",U1373*T1373)</f>
        <v/>
      </c>
      <c r="W1373" s="7">
        <f>IF($AA1373="","",V1373+S1373)</f>
        <v/>
      </c>
      <c r="X1373" s="7">
        <f>IF($AA1373="","",Y1373-W1373)</f>
        <v/>
      </c>
      <c r="Y1373" s="7">
        <f>IF($AA1373="","",R1373+U1373+P1373)</f>
        <v/>
      </c>
      <c r="Z1373" s="7">
        <f>IF($AA1373="","",Y1373-W1373-L1373)</f>
        <v/>
      </c>
      <c r="AA1373" s="13">
        <f>IF(ROWS($AA$2:$AA1373)&lt;=MAX('Per Line'!$AO$2:$AO$4001),MATCH(ROWS($AA$2:$AA1373),'Per Line'!$AO$2:$AO$4001,0),"")</f>
        <v/>
      </c>
      <c r="AB1373" s="14">
        <f>IF($AA1373="","",L1373-K1373*Y1373/100)</f>
        <v/>
      </c>
    </row>
    <row r="1374">
      <c r="A1374" s="12" t="n"/>
      <c r="B1374">
        <f>IF($AA1374="","",INDEX('Per Line'!$E$2:$E$4001,$AA1374)&amp;"")</f>
        <v/>
      </c>
      <c r="C1374">
        <f>IF($AA1374="","",INDEX('Per Line'!$A$2:$A$4001,$AA1374)&amp;"")</f>
        <v/>
      </c>
      <c r="D1374">
        <f>IF($AA1374="","",INDEX('Per Line'!$D$2:$D$4001,$AA1374)&amp;"")</f>
        <v/>
      </c>
      <c r="E1374" s="11">
        <f>IF($AA1374="","",INDEX('Per Line'!$G$2:$G$4001,$AA1374))</f>
        <v/>
      </c>
      <c r="F1374">
        <f>IF($AA1374="","",INDEX('Per Line'!$H$2:$H$4001,$AA1374)&amp;"")</f>
        <v/>
      </c>
      <c r="G1374">
        <f>IF($AA1374="","",INDEX('Per Line'!$I$2:$I$4001,$AA1374)&amp;"")</f>
        <v/>
      </c>
      <c r="H1374">
        <f>IF($AA1374="","",INDEX('Per Line'!$J$2:$J$4001,$AA1374)&amp;"")</f>
        <v/>
      </c>
      <c r="I1374">
        <f>IF($AA1374="","",INDEX('Per Line'!$K$2:$K$4001,$AA1374)&amp;"")</f>
        <v/>
      </c>
      <c r="J1374">
        <f>IF($AA1374="","",INDEX('Per Line'!$L$2:$L$4001,$AA1374)&amp;"")</f>
        <v/>
      </c>
      <c r="K1374">
        <f>IF($AA1374="","",INDEX('Per Line'!$P$2:$P$4001,$AA1374))</f>
        <v/>
      </c>
      <c r="L1374" s="7">
        <f>IF($AA1374="","",IF(AND(ISNUMBER(N1374),N1374&gt;0,Y1374&gt;N1374),K1374*N1374/100+(Y1374-N1374),K1374*Y1374/100))</f>
        <v/>
      </c>
      <c r="M1374">
        <f>IF($AA1374="","",INDEX('Per Line'!$Z$2:$Z$4001,$AA1374)&amp;"")</f>
        <v/>
      </c>
      <c r="N1374">
        <f>IF($AA1374="","",INDEX('Per Line'!$AG$2:$AG$4001,$AA1374))</f>
        <v/>
      </c>
      <c r="O1374">
        <f>IF($AA1374="","",IF(AND(ISNUMBER(N1374),N1374&gt;0),Y1374&gt;N1374,FALSE))</f>
        <v/>
      </c>
      <c r="P1374" s="7">
        <f>IF($AA1374="","",SUMIFS('Per Line'!$Y$2:$Y$4001,'Per Line'!$E$2:$E$4001,$B1374,'Per Line'!$AQ$2:$AQ$4001,1))</f>
        <v/>
      </c>
      <c r="Q1374">
        <f>IF($AA1374="","",Settings!$C$7)</f>
        <v/>
      </c>
      <c r="R1374" s="7">
        <f>IF($AA1374="","",SUMIFS('Per Line'!$Y$2:$Y$4001,'Per Line'!$E$2:$E$4001,$B1374,'Per Line'!$AP$2:$AP$4001,0,'Per Line'!$AQ$2:$AQ$4001,0))</f>
        <v/>
      </c>
      <c r="S1374" s="7">
        <f>IF($AA1374="","",R1374*Q1374)</f>
        <v/>
      </c>
      <c r="T1374">
        <f>IF($AA1374="","",Settings!$C$6)</f>
        <v/>
      </c>
      <c r="U1374" s="7">
        <f>IF($AA1374="","",SUMIFS('Per Line'!$Y$2:$Y$4001,'Per Line'!$E$2:$E$4001,$B1374,'Per Line'!$AP$2:$AP$4001,1,'Per Line'!$AQ$2:$AQ$4001,0))</f>
        <v/>
      </c>
      <c r="V1374" s="7">
        <f>IF($AA1374="","",U1374*T1374)</f>
        <v/>
      </c>
      <c r="W1374" s="7">
        <f>IF($AA1374="","",V1374+S1374)</f>
        <v/>
      </c>
      <c r="X1374" s="7">
        <f>IF($AA1374="","",Y1374-W1374)</f>
        <v/>
      </c>
      <c r="Y1374" s="7">
        <f>IF($AA1374="","",R1374+U1374+P1374)</f>
        <v/>
      </c>
      <c r="Z1374" s="7">
        <f>IF($AA1374="","",Y1374-W1374-L1374)</f>
        <v/>
      </c>
      <c r="AA1374" s="13">
        <f>IF(ROWS($AA$2:$AA1374)&lt;=MAX('Per Line'!$AO$2:$AO$4001),MATCH(ROWS($AA$2:$AA1374),'Per Line'!$AO$2:$AO$4001,0),"")</f>
        <v/>
      </c>
      <c r="AB1374" s="14">
        <f>IF($AA1374="","",L1374-K1374*Y1374/100)</f>
        <v/>
      </c>
    </row>
    <row r="1375">
      <c r="A1375" s="12" t="n"/>
      <c r="B1375">
        <f>IF($AA1375="","",INDEX('Per Line'!$E$2:$E$4001,$AA1375)&amp;"")</f>
        <v/>
      </c>
      <c r="C1375">
        <f>IF($AA1375="","",INDEX('Per Line'!$A$2:$A$4001,$AA1375)&amp;"")</f>
        <v/>
      </c>
      <c r="D1375">
        <f>IF($AA1375="","",INDEX('Per Line'!$D$2:$D$4001,$AA1375)&amp;"")</f>
        <v/>
      </c>
      <c r="E1375" s="11">
        <f>IF($AA1375="","",INDEX('Per Line'!$G$2:$G$4001,$AA1375))</f>
        <v/>
      </c>
      <c r="F1375">
        <f>IF($AA1375="","",INDEX('Per Line'!$H$2:$H$4001,$AA1375)&amp;"")</f>
        <v/>
      </c>
      <c r="G1375">
        <f>IF($AA1375="","",INDEX('Per Line'!$I$2:$I$4001,$AA1375)&amp;"")</f>
        <v/>
      </c>
      <c r="H1375">
        <f>IF($AA1375="","",INDEX('Per Line'!$J$2:$J$4001,$AA1375)&amp;"")</f>
        <v/>
      </c>
      <c r="I1375">
        <f>IF($AA1375="","",INDEX('Per Line'!$K$2:$K$4001,$AA1375)&amp;"")</f>
        <v/>
      </c>
      <c r="J1375">
        <f>IF($AA1375="","",INDEX('Per Line'!$L$2:$L$4001,$AA1375)&amp;"")</f>
        <v/>
      </c>
      <c r="K1375">
        <f>IF($AA1375="","",INDEX('Per Line'!$P$2:$P$4001,$AA1375))</f>
        <v/>
      </c>
      <c r="L1375" s="7">
        <f>IF($AA1375="","",IF(AND(ISNUMBER(N1375),N1375&gt;0,Y1375&gt;N1375),K1375*N1375/100+(Y1375-N1375),K1375*Y1375/100))</f>
        <v/>
      </c>
      <c r="M1375">
        <f>IF($AA1375="","",INDEX('Per Line'!$Z$2:$Z$4001,$AA1375)&amp;"")</f>
        <v/>
      </c>
      <c r="N1375">
        <f>IF($AA1375="","",INDEX('Per Line'!$AG$2:$AG$4001,$AA1375))</f>
        <v/>
      </c>
      <c r="O1375">
        <f>IF($AA1375="","",IF(AND(ISNUMBER(N1375),N1375&gt;0),Y1375&gt;N1375,FALSE))</f>
        <v/>
      </c>
      <c r="P1375" s="7">
        <f>IF($AA1375="","",SUMIFS('Per Line'!$Y$2:$Y$4001,'Per Line'!$E$2:$E$4001,$B1375,'Per Line'!$AQ$2:$AQ$4001,1))</f>
        <v/>
      </c>
      <c r="Q1375">
        <f>IF($AA1375="","",Settings!$C$7)</f>
        <v/>
      </c>
      <c r="R1375" s="7">
        <f>IF($AA1375="","",SUMIFS('Per Line'!$Y$2:$Y$4001,'Per Line'!$E$2:$E$4001,$B1375,'Per Line'!$AP$2:$AP$4001,0,'Per Line'!$AQ$2:$AQ$4001,0))</f>
        <v/>
      </c>
      <c r="S1375" s="7">
        <f>IF($AA1375="","",R1375*Q1375)</f>
        <v/>
      </c>
      <c r="T1375">
        <f>IF($AA1375="","",Settings!$C$6)</f>
        <v/>
      </c>
      <c r="U1375" s="7">
        <f>IF($AA1375="","",SUMIFS('Per Line'!$Y$2:$Y$4001,'Per Line'!$E$2:$E$4001,$B1375,'Per Line'!$AP$2:$AP$4001,1,'Per Line'!$AQ$2:$AQ$4001,0))</f>
        <v/>
      </c>
      <c r="V1375" s="7">
        <f>IF($AA1375="","",U1375*T1375)</f>
        <v/>
      </c>
      <c r="W1375" s="7">
        <f>IF($AA1375="","",V1375+S1375)</f>
        <v/>
      </c>
      <c r="X1375" s="7">
        <f>IF($AA1375="","",Y1375-W1375)</f>
        <v/>
      </c>
      <c r="Y1375" s="7">
        <f>IF($AA1375="","",R1375+U1375+P1375)</f>
        <v/>
      </c>
      <c r="Z1375" s="7">
        <f>IF($AA1375="","",Y1375-W1375-L1375)</f>
        <v/>
      </c>
      <c r="AA1375" s="13">
        <f>IF(ROWS($AA$2:$AA1375)&lt;=MAX('Per Line'!$AO$2:$AO$4001),MATCH(ROWS($AA$2:$AA1375),'Per Line'!$AO$2:$AO$4001,0),"")</f>
        <v/>
      </c>
      <c r="AB1375" s="14">
        <f>IF($AA1375="","",L1375-K1375*Y1375/100)</f>
        <v/>
      </c>
    </row>
    <row r="1376">
      <c r="A1376" s="12" t="n"/>
      <c r="B1376">
        <f>IF($AA1376="","",INDEX('Per Line'!$E$2:$E$4001,$AA1376)&amp;"")</f>
        <v/>
      </c>
      <c r="C1376">
        <f>IF($AA1376="","",INDEX('Per Line'!$A$2:$A$4001,$AA1376)&amp;"")</f>
        <v/>
      </c>
      <c r="D1376">
        <f>IF($AA1376="","",INDEX('Per Line'!$D$2:$D$4001,$AA1376)&amp;"")</f>
        <v/>
      </c>
      <c r="E1376" s="11">
        <f>IF($AA1376="","",INDEX('Per Line'!$G$2:$G$4001,$AA1376))</f>
        <v/>
      </c>
      <c r="F1376">
        <f>IF($AA1376="","",INDEX('Per Line'!$H$2:$H$4001,$AA1376)&amp;"")</f>
        <v/>
      </c>
      <c r="G1376">
        <f>IF($AA1376="","",INDEX('Per Line'!$I$2:$I$4001,$AA1376)&amp;"")</f>
        <v/>
      </c>
      <c r="H1376">
        <f>IF($AA1376="","",INDEX('Per Line'!$J$2:$J$4001,$AA1376)&amp;"")</f>
        <v/>
      </c>
      <c r="I1376">
        <f>IF($AA1376="","",INDEX('Per Line'!$K$2:$K$4001,$AA1376)&amp;"")</f>
        <v/>
      </c>
      <c r="J1376">
        <f>IF($AA1376="","",INDEX('Per Line'!$L$2:$L$4001,$AA1376)&amp;"")</f>
        <v/>
      </c>
      <c r="K1376">
        <f>IF($AA1376="","",INDEX('Per Line'!$P$2:$P$4001,$AA1376))</f>
        <v/>
      </c>
      <c r="L1376" s="7">
        <f>IF($AA1376="","",IF(AND(ISNUMBER(N1376),N1376&gt;0,Y1376&gt;N1376),K1376*N1376/100+(Y1376-N1376),K1376*Y1376/100))</f>
        <v/>
      </c>
      <c r="M1376">
        <f>IF($AA1376="","",INDEX('Per Line'!$Z$2:$Z$4001,$AA1376)&amp;"")</f>
        <v/>
      </c>
      <c r="N1376">
        <f>IF($AA1376="","",INDEX('Per Line'!$AG$2:$AG$4001,$AA1376))</f>
        <v/>
      </c>
      <c r="O1376">
        <f>IF($AA1376="","",IF(AND(ISNUMBER(N1376),N1376&gt;0),Y1376&gt;N1376,FALSE))</f>
        <v/>
      </c>
      <c r="P1376" s="7">
        <f>IF($AA1376="","",SUMIFS('Per Line'!$Y$2:$Y$4001,'Per Line'!$E$2:$E$4001,$B1376,'Per Line'!$AQ$2:$AQ$4001,1))</f>
        <v/>
      </c>
      <c r="Q1376">
        <f>IF($AA1376="","",Settings!$C$7)</f>
        <v/>
      </c>
      <c r="R1376" s="7">
        <f>IF($AA1376="","",SUMIFS('Per Line'!$Y$2:$Y$4001,'Per Line'!$E$2:$E$4001,$B1376,'Per Line'!$AP$2:$AP$4001,0,'Per Line'!$AQ$2:$AQ$4001,0))</f>
        <v/>
      </c>
      <c r="S1376" s="7">
        <f>IF($AA1376="","",R1376*Q1376)</f>
        <v/>
      </c>
      <c r="T1376">
        <f>IF($AA1376="","",Settings!$C$6)</f>
        <v/>
      </c>
      <c r="U1376" s="7">
        <f>IF($AA1376="","",SUMIFS('Per Line'!$Y$2:$Y$4001,'Per Line'!$E$2:$E$4001,$B1376,'Per Line'!$AP$2:$AP$4001,1,'Per Line'!$AQ$2:$AQ$4001,0))</f>
        <v/>
      </c>
      <c r="V1376" s="7">
        <f>IF($AA1376="","",U1376*T1376)</f>
        <v/>
      </c>
      <c r="W1376" s="7">
        <f>IF($AA1376="","",V1376+S1376)</f>
        <v/>
      </c>
      <c r="X1376" s="7">
        <f>IF($AA1376="","",Y1376-W1376)</f>
        <v/>
      </c>
      <c r="Y1376" s="7">
        <f>IF($AA1376="","",R1376+U1376+P1376)</f>
        <v/>
      </c>
      <c r="Z1376" s="7">
        <f>IF($AA1376="","",Y1376-W1376-L1376)</f>
        <v/>
      </c>
      <c r="AA1376" s="13">
        <f>IF(ROWS($AA$2:$AA1376)&lt;=MAX('Per Line'!$AO$2:$AO$4001),MATCH(ROWS($AA$2:$AA1376),'Per Line'!$AO$2:$AO$4001,0),"")</f>
        <v/>
      </c>
      <c r="AB1376" s="14">
        <f>IF($AA1376="","",L1376-K1376*Y1376/100)</f>
        <v/>
      </c>
    </row>
    <row r="1377">
      <c r="A1377" s="12" t="n"/>
      <c r="B1377">
        <f>IF($AA1377="","",INDEX('Per Line'!$E$2:$E$4001,$AA1377)&amp;"")</f>
        <v/>
      </c>
      <c r="C1377">
        <f>IF($AA1377="","",INDEX('Per Line'!$A$2:$A$4001,$AA1377)&amp;"")</f>
        <v/>
      </c>
      <c r="D1377">
        <f>IF($AA1377="","",INDEX('Per Line'!$D$2:$D$4001,$AA1377)&amp;"")</f>
        <v/>
      </c>
      <c r="E1377" s="11">
        <f>IF($AA1377="","",INDEX('Per Line'!$G$2:$G$4001,$AA1377))</f>
        <v/>
      </c>
      <c r="F1377">
        <f>IF($AA1377="","",INDEX('Per Line'!$H$2:$H$4001,$AA1377)&amp;"")</f>
        <v/>
      </c>
      <c r="G1377">
        <f>IF($AA1377="","",INDEX('Per Line'!$I$2:$I$4001,$AA1377)&amp;"")</f>
        <v/>
      </c>
      <c r="H1377">
        <f>IF($AA1377="","",INDEX('Per Line'!$J$2:$J$4001,$AA1377)&amp;"")</f>
        <v/>
      </c>
      <c r="I1377">
        <f>IF($AA1377="","",INDEX('Per Line'!$K$2:$K$4001,$AA1377)&amp;"")</f>
        <v/>
      </c>
      <c r="J1377">
        <f>IF($AA1377="","",INDEX('Per Line'!$L$2:$L$4001,$AA1377)&amp;"")</f>
        <v/>
      </c>
      <c r="K1377">
        <f>IF($AA1377="","",INDEX('Per Line'!$P$2:$P$4001,$AA1377))</f>
        <v/>
      </c>
      <c r="L1377" s="7">
        <f>IF($AA1377="","",IF(AND(ISNUMBER(N1377),N1377&gt;0,Y1377&gt;N1377),K1377*N1377/100+(Y1377-N1377),K1377*Y1377/100))</f>
        <v/>
      </c>
      <c r="M1377">
        <f>IF($AA1377="","",INDEX('Per Line'!$Z$2:$Z$4001,$AA1377)&amp;"")</f>
        <v/>
      </c>
      <c r="N1377">
        <f>IF($AA1377="","",INDEX('Per Line'!$AG$2:$AG$4001,$AA1377))</f>
        <v/>
      </c>
      <c r="O1377">
        <f>IF($AA1377="","",IF(AND(ISNUMBER(N1377),N1377&gt;0),Y1377&gt;N1377,FALSE))</f>
        <v/>
      </c>
      <c r="P1377" s="7">
        <f>IF($AA1377="","",SUMIFS('Per Line'!$Y$2:$Y$4001,'Per Line'!$E$2:$E$4001,$B1377,'Per Line'!$AQ$2:$AQ$4001,1))</f>
        <v/>
      </c>
      <c r="Q1377">
        <f>IF($AA1377="","",Settings!$C$7)</f>
        <v/>
      </c>
      <c r="R1377" s="7">
        <f>IF($AA1377="","",SUMIFS('Per Line'!$Y$2:$Y$4001,'Per Line'!$E$2:$E$4001,$B1377,'Per Line'!$AP$2:$AP$4001,0,'Per Line'!$AQ$2:$AQ$4001,0))</f>
        <v/>
      </c>
      <c r="S1377" s="7">
        <f>IF($AA1377="","",R1377*Q1377)</f>
        <v/>
      </c>
      <c r="T1377">
        <f>IF($AA1377="","",Settings!$C$6)</f>
        <v/>
      </c>
      <c r="U1377" s="7">
        <f>IF($AA1377="","",SUMIFS('Per Line'!$Y$2:$Y$4001,'Per Line'!$E$2:$E$4001,$B1377,'Per Line'!$AP$2:$AP$4001,1,'Per Line'!$AQ$2:$AQ$4001,0))</f>
        <v/>
      </c>
      <c r="V1377" s="7">
        <f>IF($AA1377="","",U1377*T1377)</f>
        <v/>
      </c>
      <c r="W1377" s="7">
        <f>IF($AA1377="","",V1377+S1377)</f>
        <v/>
      </c>
      <c r="X1377" s="7">
        <f>IF($AA1377="","",Y1377-W1377)</f>
        <v/>
      </c>
      <c r="Y1377" s="7">
        <f>IF($AA1377="","",R1377+U1377+P1377)</f>
        <v/>
      </c>
      <c r="Z1377" s="7">
        <f>IF($AA1377="","",Y1377-W1377-L1377)</f>
        <v/>
      </c>
      <c r="AA1377" s="13">
        <f>IF(ROWS($AA$2:$AA1377)&lt;=MAX('Per Line'!$AO$2:$AO$4001),MATCH(ROWS($AA$2:$AA1377),'Per Line'!$AO$2:$AO$4001,0),"")</f>
        <v/>
      </c>
      <c r="AB1377" s="14">
        <f>IF($AA1377="","",L1377-K1377*Y1377/100)</f>
        <v/>
      </c>
    </row>
    <row r="1378">
      <c r="A1378" s="12" t="n"/>
      <c r="B1378">
        <f>IF($AA1378="","",INDEX('Per Line'!$E$2:$E$4001,$AA1378)&amp;"")</f>
        <v/>
      </c>
      <c r="C1378">
        <f>IF($AA1378="","",INDEX('Per Line'!$A$2:$A$4001,$AA1378)&amp;"")</f>
        <v/>
      </c>
      <c r="D1378">
        <f>IF($AA1378="","",INDEX('Per Line'!$D$2:$D$4001,$AA1378)&amp;"")</f>
        <v/>
      </c>
      <c r="E1378" s="11">
        <f>IF($AA1378="","",INDEX('Per Line'!$G$2:$G$4001,$AA1378))</f>
        <v/>
      </c>
      <c r="F1378">
        <f>IF($AA1378="","",INDEX('Per Line'!$H$2:$H$4001,$AA1378)&amp;"")</f>
        <v/>
      </c>
      <c r="G1378">
        <f>IF($AA1378="","",INDEX('Per Line'!$I$2:$I$4001,$AA1378)&amp;"")</f>
        <v/>
      </c>
      <c r="H1378">
        <f>IF($AA1378="","",INDEX('Per Line'!$J$2:$J$4001,$AA1378)&amp;"")</f>
        <v/>
      </c>
      <c r="I1378">
        <f>IF($AA1378="","",INDEX('Per Line'!$K$2:$K$4001,$AA1378)&amp;"")</f>
        <v/>
      </c>
      <c r="J1378">
        <f>IF($AA1378="","",INDEX('Per Line'!$L$2:$L$4001,$AA1378)&amp;"")</f>
        <v/>
      </c>
      <c r="K1378">
        <f>IF($AA1378="","",INDEX('Per Line'!$P$2:$P$4001,$AA1378))</f>
        <v/>
      </c>
      <c r="L1378" s="7">
        <f>IF($AA1378="","",IF(AND(ISNUMBER(N1378),N1378&gt;0,Y1378&gt;N1378),K1378*N1378/100+(Y1378-N1378),K1378*Y1378/100))</f>
        <v/>
      </c>
      <c r="M1378">
        <f>IF($AA1378="","",INDEX('Per Line'!$Z$2:$Z$4001,$AA1378)&amp;"")</f>
        <v/>
      </c>
      <c r="N1378">
        <f>IF($AA1378="","",INDEX('Per Line'!$AG$2:$AG$4001,$AA1378))</f>
        <v/>
      </c>
      <c r="O1378">
        <f>IF($AA1378="","",IF(AND(ISNUMBER(N1378),N1378&gt;0),Y1378&gt;N1378,FALSE))</f>
        <v/>
      </c>
      <c r="P1378" s="7">
        <f>IF($AA1378="","",SUMIFS('Per Line'!$Y$2:$Y$4001,'Per Line'!$E$2:$E$4001,$B1378,'Per Line'!$AQ$2:$AQ$4001,1))</f>
        <v/>
      </c>
      <c r="Q1378">
        <f>IF($AA1378="","",Settings!$C$7)</f>
        <v/>
      </c>
      <c r="R1378" s="7">
        <f>IF($AA1378="","",SUMIFS('Per Line'!$Y$2:$Y$4001,'Per Line'!$E$2:$E$4001,$B1378,'Per Line'!$AP$2:$AP$4001,0,'Per Line'!$AQ$2:$AQ$4001,0))</f>
        <v/>
      </c>
      <c r="S1378" s="7">
        <f>IF($AA1378="","",R1378*Q1378)</f>
        <v/>
      </c>
      <c r="T1378">
        <f>IF($AA1378="","",Settings!$C$6)</f>
        <v/>
      </c>
      <c r="U1378" s="7">
        <f>IF($AA1378="","",SUMIFS('Per Line'!$Y$2:$Y$4001,'Per Line'!$E$2:$E$4001,$B1378,'Per Line'!$AP$2:$AP$4001,1,'Per Line'!$AQ$2:$AQ$4001,0))</f>
        <v/>
      </c>
      <c r="V1378" s="7">
        <f>IF($AA1378="","",U1378*T1378)</f>
        <v/>
      </c>
      <c r="W1378" s="7">
        <f>IF($AA1378="","",V1378+S1378)</f>
        <v/>
      </c>
      <c r="X1378" s="7">
        <f>IF($AA1378="","",Y1378-W1378)</f>
        <v/>
      </c>
      <c r="Y1378" s="7">
        <f>IF($AA1378="","",R1378+U1378+P1378)</f>
        <v/>
      </c>
      <c r="Z1378" s="7">
        <f>IF($AA1378="","",Y1378-W1378-L1378)</f>
        <v/>
      </c>
      <c r="AA1378" s="13">
        <f>IF(ROWS($AA$2:$AA1378)&lt;=MAX('Per Line'!$AO$2:$AO$4001),MATCH(ROWS($AA$2:$AA1378),'Per Line'!$AO$2:$AO$4001,0),"")</f>
        <v/>
      </c>
      <c r="AB1378" s="14">
        <f>IF($AA1378="","",L1378-K1378*Y1378/100)</f>
        <v/>
      </c>
    </row>
    <row r="1379">
      <c r="A1379" s="12" t="n"/>
      <c r="B1379">
        <f>IF($AA1379="","",INDEX('Per Line'!$E$2:$E$4001,$AA1379)&amp;"")</f>
        <v/>
      </c>
      <c r="C1379">
        <f>IF($AA1379="","",INDEX('Per Line'!$A$2:$A$4001,$AA1379)&amp;"")</f>
        <v/>
      </c>
      <c r="D1379">
        <f>IF($AA1379="","",INDEX('Per Line'!$D$2:$D$4001,$AA1379)&amp;"")</f>
        <v/>
      </c>
      <c r="E1379" s="11">
        <f>IF($AA1379="","",INDEX('Per Line'!$G$2:$G$4001,$AA1379))</f>
        <v/>
      </c>
      <c r="F1379">
        <f>IF($AA1379="","",INDEX('Per Line'!$H$2:$H$4001,$AA1379)&amp;"")</f>
        <v/>
      </c>
      <c r="G1379">
        <f>IF($AA1379="","",INDEX('Per Line'!$I$2:$I$4001,$AA1379)&amp;"")</f>
        <v/>
      </c>
      <c r="H1379">
        <f>IF($AA1379="","",INDEX('Per Line'!$J$2:$J$4001,$AA1379)&amp;"")</f>
        <v/>
      </c>
      <c r="I1379">
        <f>IF($AA1379="","",INDEX('Per Line'!$K$2:$K$4001,$AA1379)&amp;"")</f>
        <v/>
      </c>
      <c r="J1379">
        <f>IF($AA1379="","",INDEX('Per Line'!$L$2:$L$4001,$AA1379)&amp;"")</f>
        <v/>
      </c>
      <c r="K1379">
        <f>IF($AA1379="","",INDEX('Per Line'!$P$2:$P$4001,$AA1379))</f>
        <v/>
      </c>
      <c r="L1379" s="7">
        <f>IF($AA1379="","",IF(AND(ISNUMBER(N1379),N1379&gt;0,Y1379&gt;N1379),K1379*N1379/100+(Y1379-N1379),K1379*Y1379/100))</f>
        <v/>
      </c>
      <c r="M1379">
        <f>IF($AA1379="","",INDEX('Per Line'!$Z$2:$Z$4001,$AA1379)&amp;"")</f>
        <v/>
      </c>
      <c r="N1379">
        <f>IF($AA1379="","",INDEX('Per Line'!$AG$2:$AG$4001,$AA1379))</f>
        <v/>
      </c>
      <c r="O1379">
        <f>IF($AA1379="","",IF(AND(ISNUMBER(N1379),N1379&gt;0),Y1379&gt;N1379,FALSE))</f>
        <v/>
      </c>
      <c r="P1379" s="7">
        <f>IF($AA1379="","",SUMIFS('Per Line'!$Y$2:$Y$4001,'Per Line'!$E$2:$E$4001,$B1379,'Per Line'!$AQ$2:$AQ$4001,1))</f>
        <v/>
      </c>
      <c r="Q1379">
        <f>IF($AA1379="","",Settings!$C$7)</f>
        <v/>
      </c>
      <c r="R1379" s="7">
        <f>IF($AA1379="","",SUMIFS('Per Line'!$Y$2:$Y$4001,'Per Line'!$E$2:$E$4001,$B1379,'Per Line'!$AP$2:$AP$4001,0,'Per Line'!$AQ$2:$AQ$4001,0))</f>
        <v/>
      </c>
      <c r="S1379" s="7">
        <f>IF($AA1379="","",R1379*Q1379)</f>
        <v/>
      </c>
      <c r="T1379">
        <f>IF($AA1379="","",Settings!$C$6)</f>
        <v/>
      </c>
      <c r="U1379" s="7">
        <f>IF($AA1379="","",SUMIFS('Per Line'!$Y$2:$Y$4001,'Per Line'!$E$2:$E$4001,$B1379,'Per Line'!$AP$2:$AP$4001,1,'Per Line'!$AQ$2:$AQ$4001,0))</f>
        <v/>
      </c>
      <c r="V1379" s="7">
        <f>IF($AA1379="","",U1379*T1379)</f>
        <v/>
      </c>
      <c r="W1379" s="7">
        <f>IF($AA1379="","",V1379+S1379)</f>
        <v/>
      </c>
      <c r="X1379" s="7">
        <f>IF($AA1379="","",Y1379-W1379)</f>
        <v/>
      </c>
      <c r="Y1379" s="7">
        <f>IF($AA1379="","",R1379+U1379+P1379)</f>
        <v/>
      </c>
      <c r="Z1379" s="7">
        <f>IF($AA1379="","",Y1379-W1379-L1379)</f>
        <v/>
      </c>
      <c r="AA1379" s="13">
        <f>IF(ROWS($AA$2:$AA1379)&lt;=MAX('Per Line'!$AO$2:$AO$4001),MATCH(ROWS($AA$2:$AA1379),'Per Line'!$AO$2:$AO$4001,0),"")</f>
        <v/>
      </c>
      <c r="AB1379" s="14">
        <f>IF($AA1379="","",L1379-K1379*Y1379/100)</f>
        <v/>
      </c>
    </row>
    <row r="1380">
      <c r="A1380" s="12" t="n"/>
      <c r="B1380">
        <f>IF($AA1380="","",INDEX('Per Line'!$E$2:$E$4001,$AA1380)&amp;"")</f>
        <v/>
      </c>
      <c r="C1380">
        <f>IF($AA1380="","",INDEX('Per Line'!$A$2:$A$4001,$AA1380)&amp;"")</f>
        <v/>
      </c>
      <c r="D1380">
        <f>IF($AA1380="","",INDEX('Per Line'!$D$2:$D$4001,$AA1380)&amp;"")</f>
        <v/>
      </c>
      <c r="E1380" s="11">
        <f>IF($AA1380="","",INDEX('Per Line'!$G$2:$G$4001,$AA1380))</f>
        <v/>
      </c>
      <c r="F1380">
        <f>IF($AA1380="","",INDEX('Per Line'!$H$2:$H$4001,$AA1380)&amp;"")</f>
        <v/>
      </c>
      <c r="G1380">
        <f>IF($AA1380="","",INDEX('Per Line'!$I$2:$I$4001,$AA1380)&amp;"")</f>
        <v/>
      </c>
      <c r="H1380">
        <f>IF($AA1380="","",INDEX('Per Line'!$J$2:$J$4001,$AA1380)&amp;"")</f>
        <v/>
      </c>
      <c r="I1380">
        <f>IF($AA1380="","",INDEX('Per Line'!$K$2:$K$4001,$AA1380)&amp;"")</f>
        <v/>
      </c>
      <c r="J1380">
        <f>IF($AA1380="","",INDEX('Per Line'!$L$2:$L$4001,$AA1380)&amp;"")</f>
        <v/>
      </c>
      <c r="K1380">
        <f>IF($AA1380="","",INDEX('Per Line'!$P$2:$P$4001,$AA1380))</f>
        <v/>
      </c>
      <c r="L1380" s="7">
        <f>IF($AA1380="","",IF(AND(ISNUMBER(N1380),N1380&gt;0,Y1380&gt;N1380),K1380*N1380/100+(Y1380-N1380),K1380*Y1380/100))</f>
        <v/>
      </c>
      <c r="M1380">
        <f>IF($AA1380="","",INDEX('Per Line'!$Z$2:$Z$4001,$AA1380)&amp;"")</f>
        <v/>
      </c>
      <c r="N1380">
        <f>IF($AA1380="","",INDEX('Per Line'!$AG$2:$AG$4001,$AA1380))</f>
        <v/>
      </c>
      <c r="O1380">
        <f>IF($AA1380="","",IF(AND(ISNUMBER(N1380),N1380&gt;0),Y1380&gt;N1380,FALSE))</f>
        <v/>
      </c>
      <c r="P1380" s="7">
        <f>IF($AA1380="","",SUMIFS('Per Line'!$Y$2:$Y$4001,'Per Line'!$E$2:$E$4001,$B1380,'Per Line'!$AQ$2:$AQ$4001,1))</f>
        <v/>
      </c>
      <c r="Q1380">
        <f>IF($AA1380="","",Settings!$C$7)</f>
        <v/>
      </c>
      <c r="R1380" s="7">
        <f>IF($AA1380="","",SUMIFS('Per Line'!$Y$2:$Y$4001,'Per Line'!$E$2:$E$4001,$B1380,'Per Line'!$AP$2:$AP$4001,0,'Per Line'!$AQ$2:$AQ$4001,0))</f>
        <v/>
      </c>
      <c r="S1380" s="7">
        <f>IF($AA1380="","",R1380*Q1380)</f>
        <v/>
      </c>
      <c r="T1380">
        <f>IF($AA1380="","",Settings!$C$6)</f>
        <v/>
      </c>
      <c r="U1380" s="7">
        <f>IF($AA1380="","",SUMIFS('Per Line'!$Y$2:$Y$4001,'Per Line'!$E$2:$E$4001,$B1380,'Per Line'!$AP$2:$AP$4001,1,'Per Line'!$AQ$2:$AQ$4001,0))</f>
        <v/>
      </c>
      <c r="V1380" s="7">
        <f>IF($AA1380="","",U1380*T1380)</f>
        <v/>
      </c>
      <c r="W1380" s="7">
        <f>IF($AA1380="","",V1380+S1380)</f>
        <v/>
      </c>
      <c r="X1380" s="7">
        <f>IF($AA1380="","",Y1380-W1380)</f>
        <v/>
      </c>
      <c r="Y1380" s="7">
        <f>IF($AA1380="","",R1380+U1380+P1380)</f>
        <v/>
      </c>
      <c r="Z1380" s="7">
        <f>IF($AA1380="","",Y1380-W1380-L1380)</f>
        <v/>
      </c>
      <c r="AA1380" s="13">
        <f>IF(ROWS($AA$2:$AA1380)&lt;=MAX('Per Line'!$AO$2:$AO$4001),MATCH(ROWS($AA$2:$AA1380),'Per Line'!$AO$2:$AO$4001,0),"")</f>
        <v/>
      </c>
      <c r="AB1380" s="14">
        <f>IF($AA1380="","",L1380-K1380*Y1380/100)</f>
        <v/>
      </c>
    </row>
    <row r="1381">
      <c r="A1381" s="12" t="n"/>
      <c r="B1381">
        <f>IF($AA1381="","",INDEX('Per Line'!$E$2:$E$4001,$AA1381)&amp;"")</f>
        <v/>
      </c>
      <c r="C1381">
        <f>IF($AA1381="","",INDEX('Per Line'!$A$2:$A$4001,$AA1381)&amp;"")</f>
        <v/>
      </c>
      <c r="D1381">
        <f>IF($AA1381="","",INDEX('Per Line'!$D$2:$D$4001,$AA1381)&amp;"")</f>
        <v/>
      </c>
      <c r="E1381" s="11">
        <f>IF($AA1381="","",INDEX('Per Line'!$G$2:$G$4001,$AA1381))</f>
        <v/>
      </c>
      <c r="F1381">
        <f>IF($AA1381="","",INDEX('Per Line'!$H$2:$H$4001,$AA1381)&amp;"")</f>
        <v/>
      </c>
      <c r="G1381">
        <f>IF($AA1381="","",INDEX('Per Line'!$I$2:$I$4001,$AA1381)&amp;"")</f>
        <v/>
      </c>
      <c r="H1381">
        <f>IF($AA1381="","",INDEX('Per Line'!$J$2:$J$4001,$AA1381)&amp;"")</f>
        <v/>
      </c>
      <c r="I1381">
        <f>IF($AA1381="","",INDEX('Per Line'!$K$2:$K$4001,$AA1381)&amp;"")</f>
        <v/>
      </c>
      <c r="J1381">
        <f>IF($AA1381="","",INDEX('Per Line'!$L$2:$L$4001,$AA1381)&amp;"")</f>
        <v/>
      </c>
      <c r="K1381">
        <f>IF($AA1381="","",INDEX('Per Line'!$P$2:$P$4001,$AA1381))</f>
        <v/>
      </c>
      <c r="L1381" s="7">
        <f>IF($AA1381="","",IF(AND(ISNUMBER(N1381),N1381&gt;0,Y1381&gt;N1381),K1381*N1381/100+(Y1381-N1381),K1381*Y1381/100))</f>
        <v/>
      </c>
      <c r="M1381">
        <f>IF($AA1381="","",INDEX('Per Line'!$Z$2:$Z$4001,$AA1381)&amp;"")</f>
        <v/>
      </c>
      <c r="N1381">
        <f>IF($AA1381="","",INDEX('Per Line'!$AG$2:$AG$4001,$AA1381))</f>
        <v/>
      </c>
      <c r="O1381">
        <f>IF($AA1381="","",IF(AND(ISNUMBER(N1381),N1381&gt;0),Y1381&gt;N1381,FALSE))</f>
        <v/>
      </c>
      <c r="P1381" s="7">
        <f>IF($AA1381="","",SUMIFS('Per Line'!$Y$2:$Y$4001,'Per Line'!$E$2:$E$4001,$B1381,'Per Line'!$AQ$2:$AQ$4001,1))</f>
        <v/>
      </c>
      <c r="Q1381">
        <f>IF($AA1381="","",Settings!$C$7)</f>
        <v/>
      </c>
      <c r="R1381" s="7">
        <f>IF($AA1381="","",SUMIFS('Per Line'!$Y$2:$Y$4001,'Per Line'!$E$2:$E$4001,$B1381,'Per Line'!$AP$2:$AP$4001,0,'Per Line'!$AQ$2:$AQ$4001,0))</f>
        <v/>
      </c>
      <c r="S1381" s="7">
        <f>IF($AA1381="","",R1381*Q1381)</f>
        <v/>
      </c>
      <c r="T1381">
        <f>IF($AA1381="","",Settings!$C$6)</f>
        <v/>
      </c>
      <c r="U1381" s="7">
        <f>IF($AA1381="","",SUMIFS('Per Line'!$Y$2:$Y$4001,'Per Line'!$E$2:$E$4001,$B1381,'Per Line'!$AP$2:$AP$4001,1,'Per Line'!$AQ$2:$AQ$4001,0))</f>
        <v/>
      </c>
      <c r="V1381" s="7">
        <f>IF($AA1381="","",U1381*T1381)</f>
        <v/>
      </c>
      <c r="W1381" s="7">
        <f>IF($AA1381="","",V1381+S1381)</f>
        <v/>
      </c>
      <c r="X1381" s="7">
        <f>IF($AA1381="","",Y1381-W1381)</f>
        <v/>
      </c>
      <c r="Y1381" s="7">
        <f>IF($AA1381="","",R1381+U1381+P1381)</f>
        <v/>
      </c>
      <c r="Z1381" s="7">
        <f>IF($AA1381="","",Y1381-W1381-L1381)</f>
        <v/>
      </c>
      <c r="AA1381" s="13">
        <f>IF(ROWS($AA$2:$AA1381)&lt;=MAX('Per Line'!$AO$2:$AO$4001),MATCH(ROWS($AA$2:$AA1381),'Per Line'!$AO$2:$AO$4001,0),"")</f>
        <v/>
      </c>
      <c r="AB1381" s="14">
        <f>IF($AA1381="","",L1381-K1381*Y1381/100)</f>
        <v/>
      </c>
    </row>
    <row r="1382">
      <c r="A1382" s="12" t="n"/>
      <c r="B1382">
        <f>IF($AA1382="","",INDEX('Per Line'!$E$2:$E$4001,$AA1382)&amp;"")</f>
        <v/>
      </c>
      <c r="C1382">
        <f>IF($AA1382="","",INDEX('Per Line'!$A$2:$A$4001,$AA1382)&amp;"")</f>
        <v/>
      </c>
      <c r="D1382">
        <f>IF($AA1382="","",INDEX('Per Line'!$D$2:$D$4001,$AA1382)&amp;"")</f>
        <v/>
      </c>
      <c r="E1382" s="11">
        <f>IF($AA1382="","",INDEX('Per Line'!$G$2:$G$4001,$AA1382))</f>
        <v/>
      </c>
      <c r="F1382">
        <f>IF($AA1382="","",INDEX('Per Line'!$H$2:$H$4001,$AA1382)&amp;"")</f>
        <v/>
      </c>
      <c r="G1382">
        <f>IF($AA1382="","",INDEX('Per Line'!$I$2:$I$4001,$AA1382)&amp;"")</f>
        <v/>
      </c>
      <c r="H1382">
        <f>IF($AA1382="","",INDEX('Per Line'!$J$2:$J$4001,$AA1382)&amp;"")</f>
        <v/>
      </c>
      <c r="I1382">
        <f>IF($AA1382="","",INDEX('Per Line'!$K$2:$K$4001,$AA1382)&amp;"")</f>
        <v/>
      </c>
      <c r="J1382">
        <f>IF($AA1382="","",INDEX('Per Line'!$L$2:$L$4001,$AA1382)&amp;"")</f>
        <v/>
      </c>
      <c r="K1382">
        <f>IF($AA1382="","",INDEX('Per Line'!$P$2:$P$4001,$AA1382))</f>
        <v/>
      </c>
      <c r="L1382" s="7">
        <f>IF($AA1382="","",IF(AND(ISNUMBER(N1382),N1382&gt;0,Y1382&gt;N1382),K1382*N1382/100+(Y1382-N1382),K1382*Y1382/100))</f>
        <v/>
      </c>
      <c r="M1382">
        <f>IF($AA1382="","",INDEX('Per Line'!$Z$2:$Z$4001,$AA1382)&amp;"")</f>
        <v/>
      </c>
      <c r="N1382">
        <f>IF($AA1382="","",INDEX('Per Line'!$AG$2:$AG$4001,$AA1382))</f>
        <v/>
      </c>
      <c r="O1382">
        <f>IF($AA1382="","",IF(AND(ISNUMBER(N1382),N1382&gt;0),Y1382&gt;N1382,FALSE))</f>
        <v/>
      </c>
      <c r="P1382" s="7">
        <f>IF($AA1382="","",SUMIFS('Per Line'!$Y$2:$Y$4001,'Per Line'!$E$2:$E$4001,$B1382,'Per Line'!$AQ$2:$AQ$4001,1))</f>
        <v/>
      </c>
      <c r="Q1382">
        <f>IF($AA1382="","",Settings!$C$7)</f>
        <v/>
      </c>
      <c r="R1382" s="7">
        <f>IF($AA1382="","",SUMIFS('Per Line'!$Y$2:$Y$4001,'Per Line'!$E$2:$E$4001,$B1382,'Per Line'!$AP$2:$AP$4001,0,'Per Line'!$AQ$2:$AQ$4001,0))</f>
        <v/>
      </c>
      <c r="S1382" s="7">
        <f>IF($AA1382="","",R1382*Q1382)</f>
        <v/>
      </c>
      <c r="T1382">
        <f>IF($AA1382="","",Settings!$C$6)</f>
        <v/>
      </c>
      <c r="U1382" s="7">
        <f>IF($AA1382="","",SUMIFS('Per Line'!$Y$2:$Y$4001,'Per Line'!$E$2:$E$4001,$B1382,'Per Line'!$AP$2:$AP$4001,1,'Per Line'!$AQ$2:$AQ$4001,0))</f>
        <v/>
      </c>
      <c r="V1382" s="7">
        <f>IF($AA1382="","",U1382*T1382)</f>
        <v/>
      </c>
      <c r="W1382" s="7">
        <f>IF($AA1382="","",V1382+S1382)</f>
        <v/>
      </c>
      <c r="X1382" s="7">
        <f>IF($AA1382="","",Y1382-W1382)</f>
        <v/>
      </c>
      <c r="Y1382" s="7">
        <f>IF($AA1382="","",R1382+U1382+P1382)</f>
        <v/>
      </c>
      <c r="Z1382" s="7">
        <f>IF($AA1382="","",Y1382-W1382-L1382)</f>
        <v/>
      </c>
      <c r="AA1382" s="13">
        <f>IF(ROWS($AA$2:$AA1382)&lt;=MAX('Per Line'!$AO$2:$AO$4001),MATCH(ROWS($AA$2:$AA1382),'Per Line'!$AO$2:$AO$4001,0),"")</f>
        <v/>
      </c>
      <c r="AB1382" s="14">
        <f>IF($AA1382="","",L1382-K1382*Y1382/100)</f>
        <v/>
      </c>
    </row>
    <row r="1383">
      <c r="A1383" s="12" t="n"/>
      <c r="B1383">
        <f>IF($AA1383="","",INDEX('Per Line'!$E$2:$E$4001,$AA1383)&amp;"")</f>
        <v/>
      </c>
      <c r="C1383">
        <f>IF($AA1383="","",INDEX('Per Line'!$A$2:$A$4001,$AA1383)&amp;"")</f>
        <v/>
      </c>
      <c r="D1383">
        <f>IF($AA1383="","",INDEX('Per Line'!$D$2:$D$4001,$AA1383)&amp;"")</f>
        <v/>
      </c>
      <c r="E1383" s="11">
        <f>IF($AA1383="","",INDEX('Per Line'!$G$2:$G$4001,$AA1383))</f>
        <v/>
      </c>
      <c r="F1383">
        <f>IF($AA1383="","",INDEX('Per Line'!$H$2:$H$4001,$AA1383)&amp;"")</f>
        <v/>
      </c>
      <c r="G1383">
        <f>IF($AA1383="","",INDEX('Per Line'!$I$2:$I$4001,$AA1383)&amp;"")</f>
        <v/>
      </c>
      <c r="H1383">
        <f>IF($AA1383="","",INDEX('Per Line'!$J$2:$J$4001,$AA1383)&amp;"")</f>
        <v/>
      </c>
      <c r="I1383">
        <f>IF($AA1383="","",INDEX('Per Line'!$K$2:$K$4001,$AA1383)&amp;"")</f>
        <v/>
      </c>
      <c r="J1383">
        <f>IF($AA1383="","",INDEX('Per Line'!$L$2:$L$4001,$AA1383)&amp;"")</f>
        <v/>
      </c>
      <c r="K1383">
        <f>IF($AA1383="","",INDEX('Per Line'!$P$2:$P$4001,$AA1383))</f>
        <v/>
      </c>
      <c r="L1383" s="7">
        <f>IF($AA1383="","",IF(AND(ISNUMBER(N1383),N1383&gt;0,Y1383&gt;N1383),K1383*N1383/100+(Y1383-N1383),K1383*Y1383/100))</f>
        <v/>
      </c>
      <c r="M1383">
        <f>IF($AA1383="","",INDEX('Per Line'!$Z$2:$Z$4001,$AA1383)&amp;"")</f>
        <v/>
      </c>
      <c r="N1383">
        <f>IF($AA1383="","",INDEX('Per Line'!$AG$2:$AG$4001,$AA1383))</f>
        <v/>
      </c>
      <c r="O1383">
        <f>IF($AA1383="","",IF(AND(ISNUMBER(N1383),N1383&gt;0),Y1383&gt;N1383,FALSE))</f>
        <v/>
      </c>
      <c r="P1383" s="7">
        <f>IF($AA1383="","",SUMIFS('Per Line'!$Y$2:$Y$4001,'Per Line'!$E$2:$E$4001,$B1383,'Per Line'!$AQ$2:$AQ$4001,1))</f>
        <v/>
      </c>
      <c r="Q1383">
        <f>IF($AA1383="","",Settings!$C$7)</f>
        <v/>
      </c>
      <c r="R1383" s="7">
        <f>IF($AA1383="","",SUMIFS('Per Line'!$Y$2:$Y$4001,'Per Line'!$E$2:$E$4001,$B1383,'Per Line'!$AP$2:$AP$4001,0,'Per Line'!$AQ$2:$AQ$4001,0))</f>
        <v/>
      </c>
      <c r="S1383" s="7">
        <f>IF($AA1383="","",R1383*Q1383)</f>
        <v/>
      </c>
      <c r="T1383">
        <f>IF($AA1383="","",Settings!$C$6)</f>
        <v/>
      </c>
      <c r="U1383" s="7">
        <f>IF($AA1383="","",SUMIFS('Per Line'!$Y$2:$Y$4001,'Per Line'!$E$2:$E$4001,$B1383,'Per Line'!$AP$2:$AP$4001,1,'Per Line'!$AQ$2:$AQ$4001,0))</f>
        <v/>
      </c>
      <c r="V1383" s="7">
        <f>IF($AA1383="","",U1383*T1383)</f>
        <v/>
      </c>
      <c r="W1383" s="7">
        <f>IF($AA1383="","",V1383+S1383)</f>
        <v/>
      </c>
      <c r="X1383" s="7">
        <f>IF($AA1383="","",Y1383-W1383)</f>
        <v/>
      </c>
      <c r="Y1383" s="7">
        <f>IF($AA1383="","",R1383+U1383+P1383)</f>
        <v/>
      </c>
      <c r="Z1383" s="7">
        <f>IF($AA1383="","",Y1383-W1383-L1383)</f>
        <v/>
      </c>
      <c r="AA1383" s="13">
        <f>IF(ROWS($AA$2:$AA1383)&lt;=MAX('Per Line'!$AO$2:$AO$4001),MATCH(ROWS($AA$2:$AA1383),'Per Line'!$AO$2:$AO$4001,0),"")</f>
        <v/>
      </c>
      <c r="AB1383" s="14">
        <f>IF($AA1383="","",L1383-K1383*Y1383/100)</f>
        <v/>
      </c>
    </row>
    <row r="1384">
      <c r="A1384" s="12" t="n"/>
      <c r="B1384">
        <f>IF($AA1384="","",INDEX('Per Line'!$E$2:$E$4001,$AA1384)&amp;"")</f>
        <v/>
      </c>
      <c r="C1384">
        <f>IF($AA1384="","",INDEX('Per Line'!$A$2:$A$4001,$AA1384)&amp;"")</f>
        <v/>
      </c>
      <c r="D1384">
        <f>IF($AA1384="","",INDEX('Per Line'!$D$2:$D$4001,$AA1384)&amp;"")</f>
        <v/>
      </c>
      <c r="E1384" s="11">
        <f>IF($AA1384="","",INDEX('Per Line'!$G$2:$G$4001,$AA1384))</f>
        <v/>
      </c>
      <c r="F1384">
        <f>IF($AA1384="","",INDEX('Per Line'!$H$2:$H$4001,$AA1384)&amp;"")</f>
        <v/>
      </c>
      <c r="G1384">
        <f>IF($AA1384="","",INDEX('Per Line'!$I$2:$I$4001,$AA1384)&amp;"")</f>
        <v/>
      </c>
      <c r="H1384">
        <f>IF($AA1384="","",INDEX('Per Line'!$J$2:$J$4001,$AA1384)&amp;"")</f>
        <v/>
      </c>
      <c r="I1384">
        <f>IF($AA1384="","",INDEX('Per Line'!$K$2:$K$4001,$AA1384)&amp;"")</f>
        <v/>
      </c>
      <c r="J1384">
        <f>IF($AA1384="","",INDEX('Per Line'!$L$2:$L$4001,$AA1384)&amp;"")</f>
        <v/>
      </c>
      <c r="K1384">
        <f>IF($AA1384="","",INDEX('Per Line'!$P$2:$P$4001,$AA1384))</f>
        <v/>
      </c>
      <c r="L1384" s="7">
        <f>IF($AA1384="","",IF(AND(ISNUMBER(N1384),N1384&gt;0,Y1384&gt;N1384),K1384*N1384/100+(Y1384-N1384),K1384*Y1384/100))</f>
        <v/>
      </c>
      <c r="M1384">
        <f>IF($AA1384="","",INDEX('Per Line'!$Z$2:$Z$4001,$AA1384)&amp;"")</f>
        <v/>
      </c>
      <c r="N1384">
        <f>IF($AA1384="","",INDEX('Per Line'!$AG$2:$AG$4001,$AA1384))</f>
        <v/>
      </c>
      <c r="O1384">
        <f>IF($AA1384="","",IF(AND(ISNUMBER(N1384),N1384&gt;0),Y1384&gt;N1384,FALSE))</f>
        <v/>
      </c>
      <c r="P1384" s="7">
        <f>IF($AA1384="","",SUMIFS('Per Line'!$Y$2:$Y$4001,'Per Line'!$E$2:$E$4001,$B1384,'Per Line'!$AQ$2:$AQ$4001,1))</f>
        <v/>
      </c>
      <c r="Q1384">
        <f>IF($AA1384="","",Settings!$C$7)</f>
        <v/>
      </c>
      <c r="R1384" s="7">
        <f>IF($AA1384="","",SUMIFS('Per Line'!$Y$2:$Y$4001,'Per Line'!$E$2:$E$4001,$B1384,'Per Line'!$AP$2:$AP$4001,0,'Per Line'!$AQ$2:$AQ$4001,0))</f>
        <v/>
      </c>
      <c r="S1384" s="7">
        <f>IF($AA1384="","",R1384*Q1384)</f>
        <v/>
      </c>
      <c r="T1384">
        <f>IF($AA1384="","",Settings!$C$6)</f>
        <v/>
      </c>
      <c r="U1384" s="7">
        <f>IF($AA1384="","",SUMIFS('Per Line'!$Y$2:$Y$4001,'Per Line'!$E$2:$E$4001,$B1384,'Per Line'!$AP$2:$AP$4001,1,'Per Line'!$AQ$2:$AQ$4001,0))</f>
        <v/>
      </c>
      <c r="V1384" s="7">
        <f>IF($AA1384="","",U1384*T1384)</f>
        <v/>
      </c>
      <c r="W1384" s="7">
        <f>IF($AA1384="","",V1384+S1384)</f>
        <v/>
      </c>
      <c r="X1384" s="7">
        <f>IF($AA1384="","",Y1384-W1384)</f>
        <v/>
      </c>
      <c r="Y1384" s="7">
        <f>IF($AA1384="","",R1384+U1384+P1384)</f>
        <v/>
      </c>
      <c r="Z1384" s="7">
        <f>IF($AA1384="","",Y1384-W1384-L1384)</f>
        <v/>
      </c>
      <c r="AA1384" s="13">
        <f>IF(ROWS($AA$2:$AA1384)&lt;=MAX('Per Line'!$AO$2:$AO$4001),MATCH(ROWS($AA$2:$AA1384),'Per Line'!$AO$2:$AO$4001,0),"")</f>
        <v/>
      </c>
      <c r="AB1384" s="14">
        <f>IF($AA1384="","",L1384-K1384*Y1384/100)</f>
        <v/>
      </c>
    </row>
    <row r="1385">
      <c r="A1385" s="12" t="n"/>
      <c r="B1385">
        <f>IF($AA1385="","",INDEX('Per Line'!$E$2:$E$4001,$AA1385)&amp;"")</f>
        <v/>
      </c>
      <c r="C1385">
        <f>IF($AA1385="","",INDEX('Per Line'!$A$2:$A$4001,$AA1385)&amp;"")</f>
        <v/>
      </c>
      <c r="D1385">
        <f>IF($AA1385="","",INDEX('Per Line'!$D$2:$D$4001,$AA1385)&amp;"")</f>
        <v/>
      </c>
      <c r="E1385" s="11">
        <f>IF($AA1385="","",INDEX('Per Line'!$G$2:$G$4001,$AA1385))</f>
        <v/>
      </c>
      <c r="F1385">
        <f>IF($AA1385="","",INDEX('Per Line'!$H$2:$H$4001,$AA1385)&amp;"")</f>
        <v/>
      </c>
      <c r="G1385">
        <f>IF($AA1385="","",INDEX('Per Line'!$I$2:$I$4001,$AA1385)&amp;"")</f>
        <v/>
      </c>
      <c r="H1385">
        <f>IF($AA1385="","",INDEX('Per Line'!$J$2:$J$4001,$AA1385)&amp;"")</f>
        <v/>
      </c>
      <c r="I1385">
        <f>IF($AA1385="","",INDEX('Per Line'!$K$2:$K$4001,$AA1385)&amp;"")</f>
        <v/>
      </c>
      <c r="J1385">
        <f>IF($AA1385="","",INDEX('Per Line'!$L$2:$L$4001,$AA1385)&amp;"")</f>
        <v/>
      </c>
      <c r="K1385">
        <f>IF($AA1385="","",INDEX('Per Line'!$P$2:$P$4001,$AA1385))</f>
        <v/>
      </c>
      <c r="L1385" s="7">
        <f>IF($AA1385="","",IF(AND(ISNUMBER(N1385),N1385&gt;0,Y1385&gt;N1385),K1385*N1385/100+(Y1385-N1385),K1385*Y1385/100))</f>
        <v/>
      </c>
      <c r="M1385">
        <f>IF($AA1385="","",INDEX('Per Line'!$Z$2:$Z$4001,$AA1385)&amp;"")</f>
        <v/>
      </c>
      <c r="N1385">
        <f>IF($AA1385="","",INDEX('Per Line'!$AG$2:$AG$4001,$AA1385))</f>
        <v/>
      </c>
      <c r="O1385">
        <f>IF($AA1385="","",IF(AND(ISNUMBER(N1385),N1385&gt;0),Y1385&gt;N1385,FALSE))</f>
        <v/>
      </c>
      <c r="P1385" s="7">
        <f>IF($AA1385="","",SUMIFS('Per Line'!$Y$2:$Y$4001,'Per Line'!$E$2:$E$4001,$B1385,'Per Line'!$AQ$2:$AQ$4001,1))</f>
        <v/>
      </c>
      <c r="Q1385">
        <f>IF($AA1385="","",Settings!$C$7)</f>
        <v/>
      </c>
      <c r="R1385" s="7">
        <f>IF($AA1385="","",SUMIFS('Per Line'!$Y$2:$Y$4001,'Per Line'!$E$2:$E$4001,$B1385,'Per Line'!$AP$2:$AP$4001,0,'Per Line'!$AQ$2:$AQ$4001,0))</f>
        <v/>
      </c>
      <c r="S1385" s="7">
        <f>IF($AA1385="","",R1385*Q1385)</f>
        <v/>
      </c>
      <c r="T1385">
        <f>IF($AA1385="","",Settings!$C$6)</f>
        <v/>
      </c>
      <c r="U1385" s="7">
        <f>IF($AA1385="","",SUMIFS('Per Line'!$Y$2:$Y$4001,'Per Line'!$E$2:$E$4001,$B1385,'Per Line'!$AP$2:$AP$4001,1,'Per Line'!$AQ$2:$AQ$4001,0))</f>
        <v/>
      </c>
      <c r="V1385" s="7">
        <f>IF($AA1385="","",U1385*T1385)</f>
        <v/>
      </c>
      <c r="W1385" s="7">
        <f>IF($AA1385="","",V1385+S1385)</f>
        <v/>
      </c>
      <c r="X1385" s="7">
        <f>IF($AA1385="","",Y1385-W1385)</f>
        <v/>
      </c>
      <c r="Y1385" s="7">
        <f>IF($AA1385="","",R1385+U1385+P1385)</f>
        <v/>
      </c>
      <c r="Z1385" s="7">
        <f>IF($AA1385="","",Y1385-W1385-L1385)</f>
        <v/>
      </c>
      <c r="AA1385" s="13">
        <f>IF(ROWS($AA$2:$AA1385)&lt;=MAX('Per Line'!$AO$2:$AO$4001),MATCH(ROWS($AA$2:$AA1385),'Per Line'!$AO$2:$AO$4001,0),"")</f>
        <v/>
      </c>
      <c r="AB1385" s="14">
        <f>IF($AA1385="","",L1385-K1385*Y1385/100)</f>
        <v/>
      </c>
    </row>
    <row r="1386">
      <c r="A1386" s="12" t="n"/>
      <c r="B1386">
        <f>IF($AA1386="","",INDEX('Per Line'!$E$2:$E$4001,$AA1386)&amp;"")</f>
        <v/>
      </c>
      <c r="C1386">
        <f>IF($AA1386="","",INDEX('Per Line'!$A$2:$A$4001,$AA1386)&amp;"")</f>
        <v/>
      </c>
      <c r="D1386">
        <f>IF($AA1386="","",INDEX('Per Line'!$D$2:$D$4001,$AA1386)&amp;"")</f>
        <v/>
      </c>
      <c r="E1386" s="11">
        <f>IF($AA1386="","",INDEX('Per Line'!$G$2:$G$4001,$AA1386))</f>
        <v/>
      </c>
      <c r="F1386">
        <f>IF($AA1386="","",INDEX('Per Line'!$H$2:$H$4001,$AA1386)&amp;"")</f>
        <v/>
      </c>
      <c r="G1386">
        <f>IF($AA1386="","",INDEX('Per Line'!$I$2:$I$4001,$AA1386)&amp;"")</f>
        <v/>
      </c>
      <c r="H1386">
        <f>IF($AA1386="","",INDEX('Per Line'!$J$2:$J$4001,$AA1386)&amp;"")</f>
        <v/>
      </c>
      <c r="I1386">
        <f>IF($AA1386="","",INDEX('Per Line'!$K$2:$K$4001,$AA1386)&amp;"")</f>
        <v/>
      </c>
      <c r="J1386">
        <f>IF($AA1386="","",INDEX('Per Line'!$L$2:$L$4001,$AA1386)&amp;"")</f>
        <v/>
      </c>
      <c r="K1386">
        <f>IF($AA1386="","",INDEX('Per Line'!$P$2:$P$4001,$AA1386))</f>
        <v/>
      </c>
      <c r="L1386" s="7">
        <f>IF($AA1386="","",IF(AND(ISNUMBER(N1386),N1386&gt;0,Y1386&gt;N1386),K1386*N1386/100+(Y1386-N1386),K1386*Y1386/100))</f>
        <v/>
      </c>
      <c r="M1386">
        <f>IF($AA1386="","",INDEX('Per Line'!$Z$2:$Z$4001,$AA1386)&amp;"")</f>
        <v/>
      </c>
      <c r="N1386">
        <f>IF($AA1386="","",INDEX('Per Line'!$AG$2:$AG$4001,$AA1386))</f>
        <v/>
      </c>
      <c r="O1386">
        <f>IF($AA1386="","",IF(AND(ISNUMBER(N1386),N1386&gt;0),Y1386&gt;N1386,FALSE))</f>
        <v/>
      </c>
      <c r="P1386" s="7">
        <f>IF($AA1386="","",SUMIFS('Per Line'!$Y$2:$Y$4001,'Per Line'!$E$2:$E$4001,$B1386,'Per Line'!$AQ$2:$AQ$4001,1))</f>
        <v/>
      </c>
      <c r="Q1386">
        <f>IF($AA1386="","",Settings!$C$7)</f>
        <v/>
      </c>
      <c r="R1386" s="7">
        <f>IF($AA1386="","",SUMIFS('Per Line'!$Y$2:$Y$4001,'Per Line'!$E$2:$E$4001,$B1386,'Per Line'!$AP$2:$AP$4001,0,'Per Line'!$AQ$2:$AQ$4001,0))</f>
        <v/>
      </c>
      <c r="S1386" s="7">
        <f>IF($AA1386="","",R1386*Q1386)</f>
        <v/>
      </c>
      <c r="T1386">
        <f>IF($AA1386="","",Settings!$C$6)</f>
        <v/>
      </c>
      <c r="U1386" s="7">
        <f>IF($AA1386="","",SUMIFS('Per Line'!$Y$2:$Y$4001,'Per Line'!$E$2:$E$4001,$B1386,'Per Line'!$AP$2:$AP$4001,1,'Per Line'!$AQ$2:$AQ$4001,0))</f>
        <v/>
      </c>
      <c r="V1386" s="7">
        <f>IF($AA1386="","",U1386*T1386)</f>
        <v/>
      </c>
      <c r="W1386" s="7">
        <f>IF($AA1386="","",V1386+S1386)</f>
        <v/>
      </c>
      <c r="X1386" s="7">
        <f>IF($AA1386="","",Y1386-W1386)</f>
        <v/>
      </c>
      <c r="Y1386" s="7">
        <f>IF($AA1386="","",R1386+U1386+P1386)</f>
        <v/>
      </c>
      <c r="Z1386" s="7">
        <f>IF($AA1386="","",Y1386-W1386-L1386)</f>
        <v/>
      </c>
      <c r="AA1386" s="13">
        <f>IF(ROWS($AA$2:$AA1386)&lt;=MAX('Per Line'!$AO$2:$AO$4001),MATCH(ROWS($AA$2:$AA1386),'Per Line'!$AO$2:$AO$4001,0),"")</f>
        <v/>
      </c>
      <c r="AB1386" s="14">
        <f>IF($AA1386="","",L1386-K1386*Y1386/100)</f>
        <v/>
      </c>
    </row>
    <row r="1387">
      <c r="A1387" s="12" t="n"/>
      <c r="B1387">
        <f>IF($AA1387="","",INDEX('Per Line'!$E$2:$E$4001,$AA1387)&amp;"")</f>
        <v/>
      </c>
      <c r="C1387">
        <f>IF($AA1387="","",INDEX('Per Line'!$A$2:$A$4001,$AA1387)&amp;"")</f>
        <v/>
      </c>
      <c r="D1387">
        <f>IF($AA1387="","",INDEX('Per Line'!$D$2:$D$4001,$AA1387)&amp;"")</f>
        <v/>
      </c>
      <c r="E1387" s="11">
        <f>IF($AA1387="","",INDEX('Per Line'!$G$2:$G$4001,$AA1387))</f>
        <v/>
      </c>
      <c r="F1387">
        <f>IF($AA1387="","",INDEX('Per Line'!$H$2:$H$4001,$AA1387)&amp;"")</f>
        <v/>
      </c>
      <c r="G1387">
        <f>IF($AA1387="","",INDEX('Per Line'!$I$2:$I$4001,$AA1387)&amp;"")</f>
        <v/>
      </c>
      <c r="H1387">
        <f>IF($AA1387="","",INDEX('Per Line'!$J$2:$J$4001,$AA1387)&amp;"")</f>
        <v/>
      </c>
      <c r="I1387">
        <f>IF($AA1387="","",INDEX('Per Line'!$K$2:$K$4001,$AA1387)&amp;"")</f>
        <v/>
      </c>
      <c r="J1387">
        <f>IF($AA1387="","",INDEX('Per Line'!$L$2:$L$4001,$AA1387)&amp;"")</f>
        <v/>
      </c>
      <c r="K1387">
        <f>IF($AA1387="","",INDEX('Per Line'!$P$2:$P$4001,$AA1387))</f>
        <v/>
      </c>
      <c r="L1387" s="7">
        <f>IF($AA1387="","",IF(AND(ISNUMBER(N1387),N1387&gt;0,Y1387&gt;N1387),K1387*N1387/100+(Y1387-N1387),K1387*Y1387/100))</f>
        <v/>
      </c>
      <c r="M1387">
        <f>IF($AA1387="","",INDEX('Per Line'!$Z$2:$Z$4001,$AA1387)&amp;"")</f>
        <v/>
      </c>
      <c r="N1387">
        <f>IF($AA1387="","",INDEX('Per Line'!$AG$2:$AG$4001,$AA1387))</f>
        <v/>
      </c>
      <c r="O1387">
        <f>IF($AA1387="","",IF(AND(ISNUMBER(N1387),N1387&gt;0),Y1387&gt;N1387,FALSE))</f>
        <v/>
      </c>
      <c r="P1387" s="7">
        <f>IF($AA1387="","",SUMIFS('Per Line'!$Y$2:$Y$4001,'Per Line'!$E$2:$E$4001,$B1387,'Per Line'!$AQ$2:$AQ$4001,1))</f>
        <v/>
      </c>
      <c r="Q1387">
        <f>IF($AA1387="","",Settings!$C$7)</f>
        <v/>
      </c>
      <c r="R1387" s="7">
        <f>IF($AA1387="","",SUMIFS('Per Line'!$Y$2:$Y$4001,'Per Line'!$E$2:$E$4001,$B1387,'Per Line'!$AP$2:$AP$4001,0,'Per Line'!$AQ$2:$AQ$4001,0))</f>
        <v/>
      </c>
      <c r="S1387" s="7">
        <f>IF($AA1387="","",R1387*Q1387)</f>
        <v/>
      </c>
      <c r="T1387">
        <f>IF($AA1387="","",Settings!$C$6)</f>
        <v/>
      </c>
      <c r="U1387" s="7">
        <f>IF($AA1387="","",SUMIFS('Per Line'!$Y$2:$Y$4001,'Per Line'!$E$2:$E$4001,$B1387,'Per Line'!$AP$2:$AP$4001,1,'Per Line'!$AQ$2:$AQ$4001,0))</f>
        <v/>
      </c>
      <c r="V1387" s="7">
        <f>IF($AA1387="","",U1387*T1387)</f>
        <v/>
      </c>
      <c r="W1387" s="7">
        <f>IF($AA1387="","",V1387+S1387)</f>
        <v/>
      </c>
      <c r="X1387" s="7">
        <f>IF($AA1387="","",Y1387-W1387)</f>
        <v/>
      </c>
      <c r="Y1387" s="7">
        <f>IF($AA1387="","",R1387+U1387+P1387)</f>
        <v/>
      </c>
      <c r="Z1387" s="7">
        <f>IF($AA1387="","",Y1387-W1387-L1387)</f>
        <v/>
      </c>
      <c r="AA1387" s="13">
        <f>IF(ROWS($AA$2:$AA1387)&lt;=MAX('Per Line'!$AO$2:$AO$4001),MATCH(ROWS($AA$2:$AA1387),'Per Line'!$AO$2:$AO$4001,0),"")</f>
        <v/>
      </c>
      <c r="AB1387" s="14">
        <f>IF($AA1387="","",L1387-K1387*Y1387/100)</f>
        <v/>
      </c>
    </row>
    <row r="1388">
      <c r="A1388" s="12" t="n"/>
      <c r="B1388">
        <f>IF($AA1388="","",INDEX('Per Line'!$E$2:$E$4001,$AA1388)&amp;"")</f>
        <v/>
      </c>
      <c r="C1388">
        <f>IF($AA1388="","",INDEX('Per Line'!$A$2:$A$4001,$AA1388)&amp;"")</f>
        <v/>
      </c>
      <c r="D1388">
        <f>IF($AA1388="","",INDEX('Per Line'!$D$2:$D$4001,$AA1388)&amp;"")</f>
        <v/>
      </c>
      <c r="E1388" s="11">
        <f>IF($AA1388="","",INDEX('Per Line'!$G$2:$G$4001,$AA1388))</f>
        <v/>
      </c>
      <c r="F1388">
        <f>IF($AA1388="","",INDEX('Per Line'!$H$2:$H$4001,$AA1388)&amp;"")</f>
        <v/>
      </c>
      <c r="G1388">
        <f>IF($AA1388="","",INDEX('Per Line'!$I$2:$I$4001,$AA1388)&amp;"")</f>
        <v/>
      </c>
      <c r="H1388">
        <f>IF($AA1388="","",INDEX('Per Line'!$J$2:$J$4001,$AA1388)&amp;"")</f>
        <v/>
      </c>
      <c r="I1388">
        <f>IF($AA1388="","",INDEX('Per Line'!$K$2:$K$4001,$AA1388)&amp;"")</f>
        <v/>
      </c>
      <c r="J1388">
        <f>IF($AA1388="","",INDEX('Per Line'!$L$2:$L$4001,$AA1388)&amp;"")</f>
        <v/>
      </c>
      <c r="K1388">
        <f>IF($AA1388="","",INDEX('Per Line'!$P$2:$P$4001,$AA1388))</f>
        <v/>
      </c>
      <c r="L1388" s="7">
        <f>IF($AA1388="","",IF(AND(ISNUMBER(N1388),N1388&gt;0,Y1388&gt;N1388),K1388*N1388/100+(Y1388-N1388),K1388*Y1388/100))</f>
        <v/>
      </c>
      <c r="M1388">
        <f>IF($AA1388="","",INDEX('Per Line'!$Z$2:$Z$4001,$AA1388)&amp;"")</f>
        <v/>
      </c>
      <c r="N1388">
        <f>IF($AA1388="","",INDEX('Per Line'!$AG$2:$AG$4001,$AA1388))</f>
        <v/>
      </c>
      <c r="O1388">
        <f>IF($AA1388="","",IF(AND(ISNUMBER(N1388),N1388&gt;0),Y1388&gt;N1388,FALSE))</f>
        <v/>
      </c>
      <c r="P1388" s="7">
        <f>IF($AA1388="","",SUMIFS('Per Line'!$Y$2:$Y$4001,'Per Line'!$E$2:$E$4001,$B1388,'Per Line'!$AQ$2:$AQ$4001,1))</f>
        <v/>
      </c>
      <c r="Q1388">
        <f>IF($AA1388="","",Settings!$C$7)</f>
        <v/>
      </c>
      <c r="R1388" s="7">
        <f>IF($AA1388="","",SUMIFS('Per Line'!$Y$2:$Y$4001,'Per Line'!$E$2:$E$4001,$B1388,'Per Line'!$AP$2:$AP$4001,0,'Per Line'!$AQ$2:$AQ$4001,0))</f>
        <v/>
      </c>
      <c r="S1388" s="7">
        <f>IF($AA1388="","",R1388*Q1388)</f>
        <v/>
      </c>
      <c r="T1388">
        <f>IF($AA1388="","",Settings!$C$6)</f>
        <v/>
      </c>
      <c r="U1388" s="7">
        <f>IF($AA1388="","",SUMIFS('Per Line'!$Y$2:$Y$4001,'Per Line'!$E$2:$E$4001,$B1388,'Per Line'!$AP$2:$AP$4001,1,'Per Line'!$AQ$2:$AQ$4001,0))</f>
        <v/>
      </c>
      <c r="V1388" s="7">
        <f>IF($AA1388="","",U1388*T1388)</f>
        <v/>
      </c>
      <c r="W1388" s="7">
        <f>IF($AA1388="","",V1388+S1388)</f>
        <v/>
      </c>
      <c r="X1388" s="7">
        <f>IF($AA1388="","",Y1388-W1388)</f>
        <v/>
      </c>
      <c r="Y1388" s="7">
        <f>IF($AA1388="","",R1388+U1388+P1388)</f>
        <v/>
      </c>
      <c r="Z1388" s="7">
        <f>IF($AA1388="","",Y1388-W1388-L1388)</f>
        <v/>
      </c>
      <c r="AA1388" s="13">
        <f>IF(ROWS($AA$2:$AA1388)&lt;=MAX('Per Line'!$AO$2:$AO$4001),MATCH(ROWS($AA$2:$AA1388),'Per Line'!$AO$2:$AO$4001,0),"")</f>
        <v/>
      </c>
      <c r="AB1388" s="14">
        <f>IF($AA1388="","",L1388-K1388*Y1388/100)</f>
        <v/>
      </c>
    </row>
    <row r="1389">
      <c r="A1389" s="12" t="n"/>
      <c r="B1389">
        <f>IF($AA1389="","",INDEX('Per Line'!$E$2:$E$4001,$AA1389)&amp;"")</f>
        <v/>
      </c>
      <c r="C1389">
        <f>IF($AA1389="","",INDEX('Per Line'!$A$2:$A$4001,$AA1389)&amp;"")</f>
        <v/>
      </c>
      <c r="D1389">
        <f>IF($AA1389="","",INDEX('Per Line'!$D$2:$D$4001,$AA1389)&amp;"")</f>
        <v/>
      </c>
      <c r="E1389" s="11">
        <f>IF($AA1389="","",INDEX('Per Line'!$G$2:$G$4001,$AA1389))</f>
        <v/>
      </c>
      <c r="F1389">
        <f>IF($AA1389="","",INDEX('Per Line'!$H$2:$H$4001,$AA1389)&amp;"")</f>
        <v/>
      </c>
      <c r="G1389">
        <f>IF($AA1389="","",INDEX('Per Line'!$I$2:$I$4001,$AA1389)&amp;"")</f>
        <v/>
      </c>
      <c r="H1389">
        <f>IF($AA1389="","",INDEX('Per Line'!$J$2:$J$4001,$AA1389)&amp;"")</f>
        <v/>
      </c>
      <c r="I1389">
        <f>IF($AA1389="","",INDEX('Per Line'!$K$2:$K$4001,$AA1389)&amp;"")</f>
        <v/>
      </c>
      <c r="J1389">
        <f>IF($AA1389="","",INDEX('Per Line'!$L$2:$L$4001,$AA1389)&amp;"")</f>
        <v/>
      </c>
      <c r="K1389">
        <f>IF($AA1389="","",INDEX('Per Line'!$P$2:$P$4001,$AA1389))</f>
        <v/>
      </c>
      <c r="L1389" s="7">
        <f>IF($AA1389="","",IF(AND(ISNUMBER(N1389),N1389&gt;0,Y1389&gt;N1389),K1389*N1389/100+(Y1389-N1389),K1389*Y1389/100))</f>
        <v/>
      </c>
      <c r="M1389">
        <f>IF($AA1389="","",INDEX('Per Line'!$Z$2:$Z$4001,$AA1389)&amp;"")</f>
        <v/>
      </c>
      <c r="N1389">
        <f>IF($AA1389="","",INDEX('Per Line'!$AG$2:$AG$4001,$AA1389))</f>
        <v/>
      </c>
      <c r="O1389">
        <f>IF($AA1389="","",IF(AND(ISNUMBER(N1389),N1389&gt;0),Y1389&gt;N1389,FALSE))</f>
        <v/>
      </c>
      <c r="P1389" s="7">
        <f>IF($AA1389="","",SUMIFS('Per Line'!$Y$2:$Y$4001,'Per Line'!$E$2:$E$4001,$B1389,'Per Line'!$AQ$2:$AQ$4001,1))</f>
        <v/>
      </c>
      <c r="Q1389">
        <f>IF($AA1389="","",Settings!$C$7)</f>
        <v/>
      </c>
      <c r="R1389" s="7">
        <f>IF($AA1389="","",SUMIFS('Per Line'!$Y$2:$Y$4001,'Per Line'!$E$2:$E$4001,$B1389,'Per Line'!$AP$2:$AP$4001,0,'Per Line'!$AQ$2:$AQ$4001,0))</f>
        <v/>
      </c>
      <c r="S1389" s="7">
        <f>IF($AA1389="","",R1389*Q1389)</f>
        <v/>
      </c>
      <c r="T1389">
        <f>IF($AA1389="","",Settings!$C$6)</f>
        <v/>
      </c>
      <c r="U1389" s="7">
        <f>IF($AA1389="","",SUMIFS('Per Line'!$Y$2:$Y$4001,'Per Line'!$E$2:$E$4001,$B1389,'Per Line'!$AP$2:$AP$4001,1,'Per Line'!$AQ$2:$AQ$4001,0))</f>
        <v/>
      </c>
      <c r="V1389" s="7">
        <f>IF($AA1389="","",U1389*T1389)</f>
        <v/>
      </c>
      <c r="W1389" s="7">
        <f>IF($AA1389="","",V1389+S1389)</f>
        <v/>
      </c>
      <c r="X1389" s="7">
        <f>IF($AA1389="","",Y1389-W1389)</f>
        <v/>
      </c>
      <c r="Y1389" s="7">
        <f>IF($AA1389="","",R1389+U1389+P1389)</f>
        <v/>
      </c>
      <c r="Z1389" s="7">
        <f>IF($AA1389="","",Y1389-W1389-L1389)</f>
        <v/>
      </c>
      <c r="AA1389" s="13">
        <f>IF(ROWS($AA$2:$AA1389)&lt;=MAX('Per Line'!$AO$2:$AO$4001),MATCH(ROWS($AA$2:$AA1389),'Per Line'!$AO$2:$AO$4001,0),"")</f>
        <v/>
      </c>
      <c r="AB1389" s="14">
        <f>IF($AA1389="","",L1389-K1389*Y1389/100)</f>
        <v/>
      </c>
    </row>
    <row r="1390">
      <c r="A1390" s="12" t="n"/>
      <c r="B1390">
        <f>IF($AA1390="","",INDEX('Per Line'!$E$2:$E$4001,$AA1390)&amp;"")</f>
        <v/>
      </c>
      <c r="C1390">
        <f>IF($AA1390="","",INDEX('Per Line'!$A$2:$A$4001,$AA1390)&amp;"")</f>
        <v/>
      </c>
      <c r="D1390">
        <f>IF($AA1390="","",INDEX('Per Line'!$D$2:$D$4001,$AA1390)&amp;"")</f>
        <v/>
      </c>
      <c r="E1390" s="11">
        <f>IF($AA1390="","",INDEX('Per Line'!$G$2:$G$4001,$AA1390))</f>
        <v/>
      </c>
      <c r="F1390">
        <f>IF($AA1390="","",INDEX('Per Line'!$H$2:$H$4001,$AA1390)&amp;"")</f>
        <v/>
      </c>
      <c r="G1390">
        <f>IF($AA1390="","",INDEX('Per Line'!$I$2:$I$4001,$AA1390)&amp;"")</f>
        <v/>
      </c>
      <c r="H1390">
        <f>IF($AA1390="","",INDEX('Per Line'!$J$2:$J$4001,$AA1390)&amp;"")</f>
        <v/>
      </c>
      <c r="I1390">
        <f>IF($AA1390="","",INDEX('Per Line'!$K$2:$K$4001,$AA1390)&amp;"")</f>
        <v/>
      </c>
      <c r="J1390">
        <f>IF($AA1390="","",INDEX('Per Line'!$L$2:$L$4001,$AA1390)&amp;"")</f>
        <v/>
      </c>
      <c r="K1390">
        <f>IF($AA1390="","",INDEX('Per Line'!$P$2:$P$4001,$AA1390))</f>
        <v/>
      </c>
      <c r="L1390" s="7">
        <f>IF($AA1390="","",IF(AND(ISNUMBER(N1390),N1390&gt;0,Y1390&gt;N1390),K1390*N1390/100+(Y1390-N1390),K1390*Y1390/100))</f>
        <v/>
      </c>
      <c r="M1390">
        <f>IF($AA1390="","",INDEX('Per Line'!$Z$2:$Z$4001,$AA1390)&amp;"")</f>
        <v/>
      </c>
      <c r="N1390">
        <f>IF($AA1390="","",INDEX('Per Line'!$AG$2:$AG$4001,$AA1390))</f>
        <v/>
      </c>
      <c r="O1390">
        <f>IF($AA1390="","",IF(AND(ISNUMBER(N1390),N1390&gt;0),Y1390&gt;N1390,FALSE))</f>
        <v/>
      </c>
      <c r="P1390" s="7">
        <f>IF($AA1390="","",SUMIFS('Per Line'!$Y$2:$Y$4001,'Per Line'!$E$2:$E$4001,$B1390,'Per Line'!$AQ$2:$AQ$4001,1))</f>
        <v/>
      </c>
      <c r="Q1390">
        <f>IF($AA1390="","",Settings!$C$7)</f>
        <v/>
      </c>
      <c r="R1390" s="7">
        <f>IF($AA1390="","",SUMIFS('Per Line'!$Y$2:$Y$4001,'Per Line'!$E$2:$E$4001,$B1390,'Per Line'!$AP$2:$AP$4001,0,'Per Line'!$AQ$2:$AQ$4001,0))</f>
        <v/>
      </c>
      <c r="S1390" s="7">
        <f>IF($AA1390="","",R1390*Q1390)</f>
        <v/>
      </c>
      <c r="T1390">
        <f>IF($AA1390="","",Settings!$C$6)</f>
        <v/>
      </c>
      <c r="U1390" s="7">
        <f>IF($AA1390="","",SUMIFS('Per Line'!$Y$2:$Y$4001,'Per Line'!$E$2:$E$4001,$B1390,'Per Line'!$AP$2:$AP$4001,1,'Per Line'!$AQ$2:$AQ$4001,0))</f>
        <v/>
      </c>
      <c r="V1390" s="7">
        <f>IF($AA1390="","",U1390*T1390)</f>
        <v/>
      </c>
      <c r="W1390" s="7">
        <f>IF($AA1390="","",V1390+S1390)</f>
        <v/>
      </c>
      <c r="X1390" s="7">
        <f>IF($AA1390="","",Y1390-W1390)</f>
        <v/>
      </c>
      <c r="Y1390" s="7">
        <f>IF($AA1390="","",R1390+U1390+P1390)</f>
        <v/>
      </c>
      <c r="Z1390" s="7">
        <f>IF($AA1390="","",Y1390-W1390-L1390)</f>
        <v/>
      </c>
      <c r="AA1390" s="13">
        <f>IF(ROWS($AA$2:$AA1390)&lt;=MAX('Per Line'!$AO$2:$AO$4001),MATCH(ROWS($AA$2:$AA1390),'Per Line'!$AO$2:$AO$4001,0),"")</f>
        <v/>
      </c>
      <c r="AB1390" s="14">
        <f>IF($AA1390="","",L1390-K1390*Y1390/100)</f>
        <v/>
      </c>
    </row>
    <row r="1391">
      <c r="A1391" s="12" t="n"/>
      <c r="B1391">
        <f>IF($AA1391="","",INDEX('Per Line'!$E$2:$E$4001,$AA1391)&amp;"")</f>
        <v/>
      </c>
      <c r="C1391">
        <f>IF($AA1391="","",INDEX('Per Line'!$A$2:$A$4001,$AA1391)&amp;"")</f>
        <v/>
      </c>
      <c r="D1391">
        <f>IF($AA1391="","",INDEX('Per Line'!$D$2:$D$4001,$AA1391)&amp;"")</f>
        <v/>
      </c>
      <c r="E1391" s="11">
        <f>IF($AA1391="","",INDEX('Per Line'!$G$2:$G$4001,$AA1391))</f>
        <v/>
      </c>
      <c r="F1391">
        <f>IF($AA1391="","",INDEX('Per Line'!$H$2:$H$4001,$AA1391)&amp;"")</f>
        <v/>
      </c>
      <c r="G1391">
        <f>IF($AA1391="","",INDEX('Per Line'!$I$2:$I$4001,$AA1391)&amp;"")</f>
        <v/>
      </c>
      <c r="H1391">
        <f>IF($AA1391="","",INDEX('Per Line'!$J$2:$J$4001,$AA1391)&amp;"")</f>
        <v/>
      </c>
      <c r="I1391">
        <f>IF($AA1391="","",INDEX('Per Line'!$K$2:$K$4001,$AA1391)&amp;"")</f>
        <v/>
      </c>
      <c r="J1391">
        <f>IF($AA1391="","",INDEX('Per Line'!$L$2:$L$4001,$AA1391)&amp;"")</f>
        <v/>
      </c>
      <c r="K1391">
        <f>IF($AA1391="","",INDEX('Per Line'!$P$2:$P$4001,$AA1391))</f>
        <v/>
      </c>
      <c r="L1391" s="7">
        <f>IF($AA1391="","",IF(AND(ISNUMBER(N1391),N1391&gt;0,Y1391&gt;N1391),K1391*N1391/100+(Y1391-N1391),K1391*Y1391/100))</f>
        <v/>
      </c>
      <c r="M1391">
        <f>IF($AA1391="","",INDEX('Per Line'!$Z$2:$Z$4001,$AA1391)&amp;"")</f>
        <v/>
      </c>
      <c r="N1391">
        <f>IF($AA1391="","",INDEX('Per Line'!$AG$2:$AG$4001,$AA1391))</f>
        <v/>
      </c>
      <c r="O1391">
        <f>IF($AA1391="","",IF(AND(ISNUMBER(N1391),N1391&gt;0),Y1391&gt;N1391,FALSE))</f>
        <v/>
      </c>
      <c r="P1391" s="7">
        <f>IF($AA1391="","",SUMIFS('Per Line'!$Y$2:$Y$4001,'Per Line'!$E$2:$E$4001,$B1391,'Per Line'!$AQ$2:$AQ$4001,1))</f>
        <v/>
      </c>
      <c r="Q1391">
        <f>IF($AA1391="","",Settings!$C$7)</f>
        <v/>
      </c>
      <c r="R1391" s="7">
        <f>IF($AA1391="","",SUMIFS('Per Line'!$Y$2:$Y$4001,'Per Line'!$E$2:$E$4001,$B1391,'Per Line'!$AP$2:$AP$4001,0,'Per Line'!$AQ$2:$AQ$4001,0))</f>
        <v/>
      </c>
      <c r="S1391" s="7">
        <f>IF($AA1391="","",R1391*Q1391)</f>
        <v/>
      </c>
      <c r="T1391">
        <f>IF($AA1391="","",Settings!$C$6)</f>
        <v/>
      </c>
      <c r="U1391" s="7">
        <f>IF($AA1391="","",SUMIFS('Per Line'!$Y$2:$Y$4001,'Per Line'!$E$2:$E$4001,$B1391,'Per Line'!$AP$2:$AP$4001,1,'Per Line'!$AQ$2:$AQ$4001,0))</f>
        <v/>
      </c>
      <c r="V1391" s="7">
        <f>IF($AA1391="","",U1391*T1391)</f>
        <v/>
      </c>
      <c r="W1391" s="7">
        <f>IF($AA1391="","",V1391+S1391)</f>
        <v/>
      </c>
      <c r="X1391" s="7">
        <f>IF($AA1391="","",Y1391-W1391)</f>
        <v/>
      </c>
      <c r="Y1391" s="7">
        <f>IF($AA1391="","",R1391+U1391+P1391)</f>
        <v/>
      </c>
      <c r="Z1391" s="7">
        <f>IF($AA1391="","",Y1391-W1391-L1391)</f>
        <v/>
      </c>
      <c r="AA1391" s="13">
        <f>IF(ROWS($AA$2:$AA1391)&lt;=MAX('Per Line'!$AO$2:$AO$4001),MATCH(ROWS($AA$2:$AA1391),'Per Line'!$AO$2:$AO$4001,0),"")</f>
        <v/>
      </c>
      <c r="AB1391" s="14">
        <f>IF($AA1391="","",L1391-K1391*Y1391/100)</f>
        <v/>
      </c>
    </row>
    <row r="1392">
      <c r="A1392" s="12" t="n"/>
      <c r="B1392">
        <f>IF($AA1392="","",INDEX('Per Line'!$E$2:$E$4001,$AA1392)&amp;"")</f>
        <v/>
      </c>
      <c r="C1392">
        <f>IF($AA1392="","",INDEX('Per Line'!$A$2:$A$4001,$AA1392)&amp;"")</f>
        <v/>
      </c>
      <c r="D1392">
        <f>IF($AA1392="","",INDEX('Per Line'!$D$2:$D$4001,$AA1392)&amp;"")</f>
        <v/>
      </c>
      <c r="E1392" s="11">
        <f>IF($AA1392="","",INDEX('Per Line'!$G$2:$G$4001,$AA1392))</f>
        <v/>
      </c>
      <c r="F1392">
        <f>IF($AA1392="","",INDEX('Per Line'!$H$2:$H$4001,$AA1392)&amp;"")</f>
        <v/>
      </c>
      <c r="G1392">
        <f>IF($AA1392="","",INDEX('Per Line'!$I$2:$I$4001,$AA1392)&amp;"")</f>
        <v/>
      </c>
      <c r="H1392">
        <f>IF($AA1392="","",INDEX('Per Line'!$J$2:$J$4001,$AA1392)&amp;"")</f>
        <v/>
      </c>
      <c r="I1392">
        <f>IF($AA1392="","",INDEX('Per Line'!$K$2:$K$4001,$AA1392)&amp;"")</f>
        <v/>
      </c>
      <c r="J1392">
        <f>IF($AA1392="","",INDEX('Per Line'!$L$2:$L$4001,$AA1392)&amp;"")</f>
        <v/>
      </c>
      <c r="K1392">
        <f>IF($AA1392="","",INDEX('Per Line'!$P$2:$P$4001,$AA1392))</f>
        <v/>
      </c>
      <c r="L1392" s="7">
        <f>IF($AA1392="","",IF(AND(ISNUMBER(N1392),N1392&gt;0,Y1392&gt;N1392),K1392*N1392/100+(Y1392-N1392),K1392*Y1392/100))</f>
        <v/>
      </c>
      <c r="M1392">
        <f>IF($AA1392="","",INDEX('Per Line'!$Z$2:$Z$4001,$AA1392)&amp;"")</f>
        <v/>
      </c>
      <c r="N1392">
        <f>IF($AA1392="","",INDEX('Per Line'!$AG$2:$AG$4001,$AA1392))</f>
        <v/>
      </c>
      <c r="O1392">
        <f>IF($AA1392="","",IF(AND(ISNUMBER(N1392),N1392&gt;0),Y1392&gt;N1392,FALSE))</f>
        <v/>
      </c>
      <c r="P1392" s="7">
        <f>IF($AA1392="","",SUMIFS('Per Line'!$Y$2:$Y$4001,'Per Line'!$E$2:$E$4001,$B1392,'Per Line'!$AQ$2:$AQ$4001,1))</f>
        <v/>
      </c>
      <c r="Q1392">
        <f>IF($AA1392="","",Settings!$C$7)</f>
        <v/>
      </c>
      <c r="R1392" s="7">
        <f>IF($AA1392="","",SUMIFS('Per Line'!$Y$2:$Y$4001,'Per Line'!$E$2:$E$4001,$B1392,'Per Line'!$AP$2:$AP$4001,0,'Per Line'!$AQ$2:$AQ$4001,0))</f>
        <v/>
      </c>
      <c r="S1392" s="7">
        <f>IF($AA1392="","",R1392*Q1392)</f>
        <v/>
      </c>
      <c r="T1392">
        <f>IF($AA1392="","",Settings!$C$6)</f>
        <v/>
      </c>
      <c r="U1392" s="7">
        <f>IF($AA1392="","",SUMIFS('Per Line'!$Y$2:$Y$4001,'Per Line'!$E$2:$E$4001,$B1392,'Per Line'!$AP$2:$AP$4001,1,'Per Line'!$AQ$2:$AQ$4001,0))</f>
        <v/>
      </c>
      <c r="V1392" s="7">
        <f>IF($AA1392="","",U1392*T1392)</f>
        <v/>
      </c>
      <c r="W1392" s="7">
        <f>IF($AA1392="","",V1392+S1392)</f>
        <v/>
      </c>
      <c r="X1392" s="7">
        <f>IF($AA1392="","",Y1392-W1392)</f>
        <v/>
      </c>
      <c r="Y1392" s="7">
        <f>IF($AA1392="","",R1392+U1392+P1392)</f>
        <v/>
      </c>
      <c r="Z1392" s="7">
        <f>IF($AA1392="","",Y1392-W1392-L1392)</f>
        <v/>
      </c>
      <c r="AA1392" s="13">
        <f>IF(ROWS($AA$2:$AA1392)&lt;=MAX('Per Line'!$AO$2:$AO$4001),MATCH(ROWS($AA$2:$AA1392),'Per Line'!$AO$2:$AO$4001,0),"")</f>
        <v/>
      </c>
      <c r="AB1392" s="14">
        <f>IF($AA1392="","",L1392-K1392*Y1392/100)</f>
        <v/>
      </c>
    </row>
    <row r="1393">
      <c r="A1393" s="12" t="n"/>
      <c r="B1393">
        <f>IF($AA1393="","",INDEX('Per Line'!$E$2:$E$4001,$AA1393)&amp;"")</f>
        <v/>
      </c>
      <c r="C1393">
        <f>IF($AA1393="","",INDEX('Per Line'!$A$2:$A$4001,$AA1393)&amp;"")</f>
        <v/>
      </c>
      <c r="D1393">
        <f>IF($AA1393="","",INDEX('Per Line'!$D$2:$D$4001,$AA1393)&amp;"")</f>
        <v/>
      </c>
      <c r="E1393" s="11">
        <f>IF($AA1393="","",INDEX('Per Line'!$G$2:$G$4001,$AA1393))</f>
        <v/>
      </c>
      <c r="F1393">
        <f>IF($AA1393="","",INDEX('Per Line'!$H$2:$H$4001,$AA1393)&amp;"")</f>
        <v/>
      </c>
      <c r="G1393">
        <f>IF($AA1393="","",INDEX('Per Line'!$I$2:$I$4001,$AA1393)&amp;"")</f>
        <v/>
      </c>
      <c r="H1393">
        <f>IF($AA1393="","",INDEX('Per Line'!$J$2:$J$4001,$AA1393)&amp;"")</f>
        <v/>
      </c>
      <c r="I1393">
        <f>IF($AA1393="","",INDEX('Per Line'!$K$2:$K$4001,$AA1393)&amp;"")</f>
        <v/>
      </c>
      <c r="J1393">
        <f>IF($AA1393="","",INDEX('Per Line'!$L$2:$L$4001,$AA1393)&amp;"")</f>
        <v/>
      </c>
      <c r="K1393">
        <f>IF($AA1393="","",INDEX('Per Line'!$P$2:$P$4001,$AA1393))</f>
        <v/>
      </c>
      <c r="L1393" s="7">
        <f>IF($AA1393="","",IF(AND(ISNUMBER(N1393),N1393&gt;0,Y1393&gt;N1393),K1393*N1393/100+(Y1393-N1393),K1393*Y1393/100))</f>
        <v/>
      </c>
      <c r="M1393">
        <f>IF($AA1393="","",INDEX('Per Line'!$Z$2:$Z$4001,$AA1393)&amp;"")</f>
        <v/>
      </c>
      <c r="N1393">
        <f>IF($AA1393="","",INDEX('Per Line'!$AG$2:$AG$4001,$AA1393))</f>
        <v/>
      </c>
      <c r="O1393">
        <f>IF($AA1393="","",IF(AND(ISNUMBER(N1393),N1393&gt;0),Y1393&gt;N1393,FALSE))</f>
        <v/>
      </c>
      <c r="P1393" s="7">
        <f>IF($AA1393="","",SUMIFS('Per Line'!$Y$2:$Y$4001,'Per Line'!$E$2:$E$4001,$B1393,'Per Line'!$AQ$2:$AQ$4001,1))</f>
        <v/>
      </c>
      <c r="Q1393">
        <f>IF($AA1393="","",Settings!$C$7)</f>
        <v/>
      </c>
      <c r="R1393" s="7">
        <f>IF($AA1393="","",SUMIFS('Per Line'!$Y$2:$Y$4001,'Per Line'!$E$2:$E$4001,$B1393,'Per Line'!$AP$2:$AP$4001,0,'Per Line'!$AQ$2:$AQ$4001,0))</f>
        <v/>
      </c>
      <c r="S1393" s="7">
        <f>IF($AA1393="","",R1393*Q1393)</f>
        <v/>
      </c>
      <c r="T1393">
        <f>IF($AA1393="","",Settings!$C$6)</f>
        <v/>
      </c>
      <c r="U1393" s="7">
        <f>IF($AA1393="","",SUMIFS('Per Line'!$Y$2:$Y$4001,'Per Line'!$E$2:$E$4001,$B1393,'Per Line'!$AP$2:$AP$4001,1,'Per Line'!$AQ$2:$AQ$4001,0))</f>
        <v/>
      </c>
      <c r="V1393" s="7">
        <f>IF($AA1393="","",U1393*T1393)</f>
        <v/>
      </c>
      <c r="W1393" s="7">
        <f>IF($AA1393="","",V1393+S1393)</f>
        <v/>
      </c>
      <c r="X1393" s="7">
        <f>IF($AA1393="","",Y1393-W1393)</f>
        <v/>
      </c>
      <c r="Y1393" s="7">
        <f>IF($AA1393="","",R1393+U1393+P1393)</f>
        <v/>
      </c>
      <c r="Z1393" s="7">
        <f>IF($AA1393="","",Y1393-W1393-L1393)</f>
        <v/>
      </c>
      <c r="AA1393" s="13">
        <f>IF(ROWS($AA$2:$AA1393)&lt;=MAX('Per Line'!$AO$2:$AO$4001),MATCH(ROWS($AA$2:$AA1393),'Per Line'!$AO$2:$AO$4001,0),"")</f>
        <v/>
      </c>
      <c r="AB1393" s="14">
        <f>IF($AA1393="","",L1393-K1393*Y1393/100)</f>
        <v/>
      </c>
    </row>
    <row r="1394">
      <c r="A1394" s="12" t="n"/>
      <c r="B1394">
        <f>IF($AA1394="","",INDEX('Per Line'!$E$2:$E$4001,$AA1394)&amp;"")</f>
        <v/>
      </c>
      <c r="C1394">
        <f>IF($AA1394="","",INDEX('Per Line'!$A$2:$A$4001,$AA1394)&amp;"")</f>
        <v/>
      </c>
      <c r="D1394">
        <f>IF($AA1394="","",INDEX('Per Line'!$D$2:$D$4001,$AA1394)&amp;"")</f>
        <v/>
      </c>
      <c r="E1394" s="11">
        <f>IF($AA1394="","",INDEX('Per Line'!$G$2:$G$4001,$AA1394))</f>
        <v/>
      </c>
      <c r="F1394">
        <f>IF($AA1394="","",INDEX('Per Line'!$H$2:$H$4001,$AA1394)&amp;"")</f>
        <v/>
      </c>
      <c r="G1394">
        <f>IF($AA1394="","",INDEX('Per Line'!$I$2:$I$4001,$AA1394)&amp;"")</f>
        <v/>
      </c>
      <c r="H1394">
        <f>IF($AA1394="","",INDEX('Per Line'!$J$2:$J$4001,$AA1394)&amp;"")</f>
        <v/>
      </c>
      <c r="I1394">
        <f>IF($AA1394="","",INDEX('Per Line'!$K$2:$K$4001,$AA1394)&amp;"")</f>
        <v/>
      </c>
      <c r="J1394">
        <f>IF($AA1394="","",INDEX('Per Line'!$L$2:$L$4001,$AA1394)&amp;"")</f>
        <v/>
      </c>
      <c r="K1394">
        <f>IF($AA1394="","",INDEX('Per Line'!$P$2:$P$4001,$AA1394))</f>
        <v/>
      </c>
      <c r="L1394" s="7">
        <f>IF($AA1394="","",IF(AND(ISNUMBER(N1394),N1394&gt;0,Y1394&gt;N1394),K1394*N1394/100+(Y1394-N1394),K1394*Y1394/100))</f>
        <v/>
      </c>
      <c r="M1394">
        <f>IF($AA1394="","",INDEX('Per Line'!$Z$2:$Z$4001,$AA1394)&amp;"")</f>
        <v/>
      </c>
      <c r="N1394">
        <f>IF($AA1394="","",INDEX('Per Line'!$AG$2:$AG$4001,$AA1394))</f>
        <v/>
      </c>
      <c r="O1394">
        <f>IF($AA1394="","",IF(AND(ISNUMBER(N1394),N1394&gt;0),Y1394&gt;N1394,FALSE))</f>
        <v/>
      </c>
      <c r="P1394" s="7">
        <f>IF($AA1394="","",SUMIFS('Per Line'!$Y$2:$Y$4001,'Per Line'!$E$2:$E$4001,$B1394,'Per Line'!$AQ$2:$AQ$4001,1))</f>
        <v/>
      </c>
      <c r="Q1394">
        <f>IF($AA1394="","",Settings!$C$7)</f>
        <v/>
      </c>
      <c r="R1394" s="7">
        <f>IF($AA1394="","",SUMIFS('Per Line'!$Y$2:$Y$4001,'Per Line'!$E$2:$E$4001,$B1394,'Per Line'!$AP$2:$AP$4001,0,'Per Line'!$AQ$2:$AQ$4001,0))</f>
        <v/>
      </c>
      <c r="S1394" s="7">
        <f>IF($AA1394="","",R1394*Q1394)</f>
        <v/>
      </c>
      <c r="T1394">
        <f>IF($AA1394="","",Settings!$C$6)</f>
        <v/>
      </c>
      <c r="U1394" s="7">
        <f>IF($AA1394="","",SUMIFS('Per Line'!$Y$2:$Y$4001,'Per Line'!$E$2:$E$4001,$B1394,'Per Line'!$AP$2:$AP$4001,1,'Per Line'!$AQ$2:$AQ$4001,0))</f>
        <v/>
      </c>
      <c r="V1394" s="7">
        <f>IF($AA1394="","",U1394*T1394)</f>
        <v/>
      </c>
      <c r="W1394" s="7">
        <f>IF($AA1394="","",V1394+S1394)</f>
        <v/>
      </c>
      <c r="X1394" s="7">
        <f>IF($AA1394="","",Y1394-W1394)</f>
        <v/>
      </c>
      <c r="Y1394" s="7">
        <f>IF($AA1394="","",R1394+U1394+P1394)</f>
        <v/>
      </c>
      <c r="Z1394" s="7">
        <f>IF($AA1394="","",Y1394-W1394-L1394)</f>
        <v/>
      </c>
      <c r="AA1394" s="13">
        <f>IF(ROWS($AA$2:$AA1394)&lt;=MAX('Per Line'!$AO$2:$AO$4001),MATCH(ROWS($AA$2:$AA1394),'Per Line'!$AO$2:$AO$4001,0),"")</f>
        <v/>
      </c>
      <c r="AB1394" s="14">
        <f>IF($AA1394="","",L1394-K1394*Y1394/100)</f>
        <v/>
      </c>
    </row>
    <row r="1395">
      <c r="A1395" s="12" t="n"/>
      <c r="B1395">
        <f>IF($AA1395="","",INDEX('Per Line'!$E$2:$E$4001,$AA1395)&amp;"")</f>
        <v/>
      </c>
      <c r="C1395">
        <f>IF($AA1395="","",INDEX('Per Line'!$A$2:$A$4001,$AA1395)&amp;"")</f>
        <v/>
      </c>
      <c r="D1395">
        <f>IF($AA1395="","",INDEX('Per Line'!$D$2:$D$4001,$AA1395)&amp;"")</f>
        <v/>
      </c>
      <c r="E1395" s="11">
        <f>IF($AA1395="","",INDEX('Per Line'!$G$2:$G$4001,$AA1395))</f>
        <v/>
      </c>
      <c r="F1395">
        <f>IF($AA1395="","",INDEX('Per Line'!$H$2:$H$4001,$AA1395)&amp;"")</f>
        <v/>
      </c>
      <c r="G1395">
        <f>IF($AA1395="","",INDEX('Per Line'!$I$2:$I$4001,$AA1395)&amp;"")</f>
        <v/>
      </c>
      <c r="H1395">
        <f>IF($AA1395="","",INDEX('Per Line'!$J$2:$J$4001,$AA1395)&amp;"")</f>
        <v/>
      </c>
      <c r="I1395">
        <f>IF($AA1395="","",INDEX('Per Line'!$K$2:$K$4001,$AA1395)&amp;"")</f>
        <v/>
      </c>
      <c r="J1395">
        <f>IF($AA1395="","",INDEX('Per Line'!$L$2:$L$4001,$AA1395)&amp;"")</f>
        <v/>
      </c>
      <c r="K1395">
        <f>IF($AA1395="","",INDEX('Per Line'!$P$2:$P$4001,$AA1395))</f>
        <v/>
      </c>
      <c r="L1395" s="7">
        <f>IF($AA1395="","",IF(AND(ISNUMBER(N1395),N1395&gt;0,Y1395&gt;N1395),K1395*N1395/100+(Y1395-N1395),K1395*Y1395/100))</f>
        <v/>
      </c>
      <c r="M1395">
        <f>IF($AA1395="","",INDEX('Per Line'!$Z$2:$Z$4001,$AA1395)&amp;"")</f>
        <v/>
      </c>
      <c r="N1395">
        <f>IF($AA1395="","",INDEX('Per Line'!$AG$2:$AG$4001,$AA1395))</f>
        <v/>
      </c>
      <c r="O1395">
        <f>IF($AA1395="","",IF(AND(ISNUMBER(N1395),N1395&gt;0),Y1395&gt;N1395,FALSE))</f>
        <v/>
      </c>
      <c r="P1395" s="7">
        <f>IF($AA1395="","",SUMIFS('Per Line'!$Y$2:$Y$4001,'Per Line'!$E$2:$E$4001,$B1395,'Per Line'!$AQ$2:$AQ$4001,1))</f>
        <v/>
      </c>
      <c r="Q1395">
        <f>IF($AA1395="","",Settings!$C$7)</f>
        <v/>
      </c>
      <c r="R1395" s="7">
        <f>IF($AA1395="","",SUMIFS('Per Line'!$Y$2:$Y$4001,'Per Line'!$E$2:$E$4001,$B1395,'Per Line'!$AP$2:$AP$4001,0,'Per Line'!$AQ$2:$AQ$4001,0))</f>
        <v/>
      </c>
      <c r="S1395" s="7">
        <f>IF($AA1395="","",R1395*Q1395)</f>
        <v/>
      </c>
      <c r="T1395">
        <f>IF($AA1395="","",Settings!$C$6)</f>
        <v/>
      </c>
      <c r="U1395" s="7">
        <f>IF($AA1395="","",SUMIFS('Per Line'!$Y$2:$Y$4001,'Per Line'!$E$2:$E$4001,$B1395,'Per Line'!$AP$2:$AP$4001,1,'Per Line'!$AQ$2:$AQ$4001,0))</f>
        <v/>
      </c>
      <c r="V1395" s="7">
        <f>IF($AA1395="","",U1395*T1395)</f>
        <v/>
      </c>
      <c r="W1395" s="7">
        <f>IF($AA1395="","",V1395+S1395)</f>
        <v/>
      </c>
      <c r="X1395" s="7">
        <f>IF($AA1395="","",Y1395-W1395)</f>
        <v/>
      </c>
      <c r="Y1395" s="7">
        <f>IF($AA1395="","",R1395+U1395+P1395)</f>
        <v/>
      </c>
      <c r="Z1395" s="7">
        <f>IF($AA1395="","",Y1395-W1395-L1395)</f>
        <v/>
      </c>
      <c r="AA1395" s="13">
        <f>IF(ROWS($AA$2:$AA1395)&lt;=MAX('Per Line'!$AO$2:$AO$4001),MATCH(ROWS($AA$2:$AA1395),'Per Line'!$AO$2:$AO$4001,0),"")</f>
        <v/>
      </c>
      <c r="AB1395" s="14">
        <f>IF($AA1395="","",L1395-K1395*Y1395/100)</f>
        <v/>
      </c>
    </row>
    <row r="1396">
      <c r="A1396" s="12" t="n"/>
      <c r="B1396">
        <f>IF($AA1396="","",INDEX('Per Line'!$E$2:$E$4001,$AA1396)&amp;"")</f>
        <v/>
      </c>
      <c r="C1396">
        <f>IF($AA1396="","",INDEX('Per Line'!$A$2:$A$4001,$AA1396)&amp;"")</f>
        <v/>
      </c>
      <c r="D1396">
        <f>IF($AA1396="","",INDEX('Per Line'!$D$2:$D$4001,$AA1396)&amp;"")</f>
        <v/>
      </c>
      <c r="E1396" s="11">
        <f>IF($AA1396="","",INDEX('Per Line'!$G$2:$G$4001,$AA1396))</f>
        <v/>
      </c>
      <c r="F1396">
        <f>IF($AA1396="","",INDEX('Per Line'!$H$2:$H$4001,$AA1396)&amp;"")</f>
        <v/>
      </c>
      <c r="G1396">
        <f>IF($AA1396="","",INDEX('Per Line'!$I$2:$I$4001,$AA1396)&amp;"")</f>
        <v/>
      </c>
      <c r="H1396">
        <f>IF($AA1396="","",INDEX('Per Line'!$J$2:$J$4001,$AA1396)&amp;"")</f>
        <v/>
      </c>
      <c r="I1396">
        <f>IF($AA1396="","",INDEX('Per Line'!$K$2:$K$4001,$AA1396)&amp;"")</f>
        <v/>
      </c>
      <c r="J1396">
        <f>IF($AA1396="","",INDEX('Per Line'!$L$2:$L$4001,$AA1396)&amp;"")</f>
        <v/>
      </c>
      <c r="K1396">
        <f>IF($AA1396="","",INDEX('Per Line'!$P$2:$P$4001,$AA1396))</f>
        <v/>
      </c>
      <c r="L1396" s="7">
        <f>IF($AA1396="","",IF(AND(ISNUMBER(N1396),N1396&gt;0,Y1396&gt;N1396),K1396*N1396/100+(Y1396-N1396),K1396*Y1396/100))</f>
        <v/>
      </c>
      <c r="M1396">
        <f>IF($AA1396="","",INDEX('Per Line'!$Z$2:$Z$4001,$AA1396)&amp;"")</f>
        <v/>
      </c>
      <c r="N1396">
        <f>IF($AA1396="","",INDEX('Per Line'!$AG$2:$AG$4001,$AA1396))</f>
        <v/>
      </c>
      <c r="O1396">
        <f>IF($AA1396="","",IF(AND(ISNUMBER(N1396),N1396&gt;0),Y1396&gt;N1396,FALSE))</f>
        <v/>
      </c>
      <c r="P1396" s="7">
        <f>IF($AA1396="","",SUMIFS('Per Line'!$Y$2:$Y$4001,'Per Line'!$E$2:$E$4001,$B1396,'Per Line'!$AQ$2:$AQ$4001,1))</f>
        <v/>
      </c>
      <c r="Q1396">
        <f>IF($AA1396="","",Settings!$C$7)</f>
        <v/>
      </c>
      <c r="R1396" s="7">
        <f>IF($AA1396="","",SUMIFS('Per Line'!$Y$2:$Y$4001,'Per Line'!$E$2:$E$4001,$B1396,'Per Line'!$AP$2:$AP$4001,0,'Per Line'!$AQ$2:$AQ$4001,0))</f>
        <v/>
      </c>
      <c r="S1396" s="7">
        <f>IF($AA1396="","",R1396*Q1396)</f>
        <v/>
      </c>
      <c r="T1396">
        <f>IF($AA1396="","",Settings!$C$6)</f>
        <v/>
      </c>
      <c r="U1396" s="7">
        <f>IF($AA1396="","",SUMIFS('Per Line'!$Y$2:$Y$4001,'Per Line'!$E$2:$E$4001,$B1396,'Per Line'!$AP$2:$AP$4001,1,'Per Line'!$AQ$2:$AQ$4001,0))</f>
        <v/>
      </c>
      <c r="V1396" s="7">
        <f>IF($AA1396="","",U1396*T1396)</f>
        <v/>
      </c>
      <c r="W1396" s="7">
        <f>IF($AA1396="","",V1396+S1396)</f>
        <v/>
      </c>
      <c r="X1396" s="7">
        <f>IF($AA1396="","",Y1396-W1396)</f>
        <v/>
      </c>
      <c r="Y1396" s="7">
        <f>IF($AA1396="","",R1396+U1396+P1396)</f>
        <v/>
      </c>
      <c r="Z1396" s="7">
        <f>IF($AA1396="","",Y1396-W1396-L1396)</f>
        <v/>
      </c>
      <c r="AA1396" s="13">
        <f>IF(ROWS($AA$2:$AA1396)&lt;=MAX('Per Line'!$AO$2:$AO$4001),MATCH(ROWS($AA$2:$AA1396),'Per Line'!$AO$2:$AO$4001,0),"")</f>
        <v/>
      </c>
      <c r="AB1396" s="14">
        <f>IF($AA1396="","",L1396-K1396*Y1396/100)</f>
        <v/>
      </c>
    </row>
    <row r="1397">
      <c r="A1397" s="12" t="n"/>
      <c r="B1397">
        <f>IF($AA1397="","",INDEX('Per Line'!$E$2:$E$4001,$AA1397)&amp;"")</f>
        <v/>
      </c>
      <c r="C1397">
        <f>IF($AA1397="","",INDEX('Per Line'!$A$2:$A$4001,$AA1397)&amp;"")</f>
        <v/>
      </c>
      <c r="D1397">
        <f>IF($AA1397="","",INDEX('Per Line'!$D$2:$D$4001,$AA1397)&amp;"")</f>
        <v/>
      </c>
      <c r="E1397" s="11">
        <f>IF($AA1397="","",INDEX('Per Line'!$G$2:$G$4001,$AA1397))</f>
        <v/>
      </c>
      <c r="F1397">
        <f>IF($AA1397="","",INDEX('Per Line'!$H$2:$H$4001,$AA1397)&amp;"")</f>
        <v/>
      </c>
      <c r="G1397">
        <f>IF($AA1397="","",INDEX('Per Line'!$I$2:$I$4001,$AA1397)&amp;"")</f>
        <v/>
      </c>
      <c r="H1397">
        <f>IF($AA1397="","",INDEX('Per Line'!$J$2:$J$4001,$AA1397)&amp;"")</f>
        <v/>
      </c>
      <c r="I1397">
        <f>IF($AA1397="","",INDEX('Per Line'!$K$2:$K$4001,$AA1397)&amp;"")</f>
        <v/>
      </c>
      <c r="J1397">
        <f>IF($AA1397="","",INDEX('Per Line'!$L$2:$L$4001,$AA1397)&amp;"")</f>
        <v/>
      </c>
      <c r="K1397">
        <f>IF($AA1397="","",INDEX('Per Line'!$P$2:$P$4001,$AA1397))</f>
        <v/>
      </c>
      <c r="L1397" s="7">
        <f>IF($AA1397="","",IF(AND(ISNUMBER(N1397),N1397&gt;0,Y1397&gt;N1397),K1397*N1397/100+(Y1397-N1397),K1397*Y1397/100))</f>
        <v/>
      </c>
      <c r="M1397">
        <f>IF($AA1397="","",INDEX('Per Line'!$Z$2:$Z$4001,$AA1397)&amp;"")</f>
        <v/>
      </c>
      <c r="N1397">
        <f>IF($AA1397="","",INDEX('Per Line'!$AG$2:$AG$4001,$AA1397))</f>
        <v/>
      </c>
      <c r="O1397">
        <f>IF($AA1397="","",IF(AND(ISNUMBER(N1397),N1397&gt;0),Y1397&gt;N1397,FALSE))</f>
        <v/>
      </c>
      <c r="P1397" s="7">
        <f>IF($AA1397="","",SUMIFS('Per Line'!$Y$2:$Y$4001,'Per Line'!$E$2:$E$4001,$B1397,'Per Line'!$AQ$2:$AQ$4001,1))</f>
        <v/>
      </c>
      <c r="Q1397">
        <f>IF($AA1397="","",Settings!$C$7)</f>
        <v/>
      </c>
      <c r="R1397" s="7">
        <f>IF($AA1397="","",SUMIFS('Per Line'!$Y$2:$Y$4001,'Per Line'!$E$2:$E$4001,$B1397,'Per Line'!$AP$2:$AP$4001,0,'Per Line'!$AQ$2:$AQ$4001,0))</f>
        <v/>
      </c>
      <c r="S1397" s="7">
        <f>IF($AA1397="","",R1397*Q1397)</f>
        <v/>
      </c>
      <c r="T1397">
        <f>IF($AA1397="","",Settings!$C$6)</f>
        <v/>
      </c>
      <c r="U1397" s="7">
        <f>IF($AA1397="","",SUMIFS('Per Line'!$Y$2:$Y$4001,'Per Line'!$E$2:$E$4001,$B1397,'Per Line'!$AP$2:$AP$4001,1,'Per Line'!$AQ$2:$AQ$4001,0))</f>
        <v/>
      </c>
      <c r="V1397" s="7">
        <f>IF($AA1397="","",U1397*T1397)</f>
        <v/>
      </c>
      <c r="W1397" s="7">
        <f>IF($AA1397="","",V1397+S1397)</f>
        <v/>
      </c>
      <c r="X1397" s="7">
        <f>IF($AA1397="","",Y1397-W1397)</f>
        <v/>
      </c>
      <c r="Y1397" s="7">
        <f>IF($AA1397="","",R1397+U1397+P1397)</f>
        <v/>
      </c>
      <c r="Z1397" s="7">
        <f>IF($AA1397="","",Y1397-W1397-L1397)</f>
        <v/>
      </c>
      <c r="AA1397" s="13">
        <f>IF(ROWS($AA$2:$AA1397)&lt;=MAX('Per Line'!$AO$2:$AO$4001),MATCH(ROWS($AA$2:$AA1397),'Per Line'!$AO$2:$AO$4001,0),"")</f>
        <v/>
      </c>
      <c r="AB1397" s="14">
        <f>IF($AA1397="","",L1397-K1397*Y1397/100)</f>
        <v/>
      </c>
    </row>
    <row r="1398">
      <c r="A1398" s="12" t="n"/>
      <c r="B1398">
        <f>IF($AA1398="","",INDEX('Per Line'!$E$2:$E$4001,$AA1398)&amp;"")</f>
        <v/>
      </c>
      <c r="C1398">
        <f>IF($AA1398="","",INDEX('Per Line'!$A$2:$A$4001,$AA1398)&amp;"")</f>
        <v/>
      </c>
      <c r="D1398">
        <f>IF($AA1398="","",INDEX('Per Line'!$D$2:$D$4001,$AA1398)&amp;"")</f>
        <v/>
      </c>
      <c r="E1398" s="11">
        <f>IF($AA1398="","",INDEX('Per Line'!$G$2:$G$4001,$AA1398))</f>
        <v/>
      </c>
      <c r="F1398">
        <f>IF($AA1398="","",INDEX('Per Line'!$H$2:$H$4001,$AA1398)&amp;"")</f>
        <v/>
      </c>
      <c r="G1398">
        <f>IF($AA1398="","",INDEX('Per Line'!$I$2:$I$4001,$AA1398)&amp;"")</f>
        <v/>
      </c>
      <c r="H1398">
        <f>IF($AA1398="","",INDEX('Per Line'!$J$2:$J$4001,$AA1398)&amp;"")</f>
        <v/>
      </c>
      <c r="I1398">
        <f>IF($AA1398="","",INDEX('Per Line'!$K$2:$K$4001,$AA1398)&amp;"")</f>
        <v/>
      </c>
      <c r="J1398">
        <f>IF($AA1398="","",INDEX('Per Line'!$L$2:$L$4001,$AA1398)&amp;"")</f>
        <v/>
      </c>
      <c r="K1398">
        <f>IF($AA1398="","",INDEX('Per Line'!$P$2:$P$4001,$AA1398))</f>
        <v/>
      </c>
      <c r="L1398" s="7">
        <f>IF($AA1398="","",IF(AND(ISNUMBER(N1398),N1398&gt;0,Y1398&gt;N1398),K1398*N1398/100+(Y1398-N1398),K1398*Y1398/100))</f>
        <v/>
      </c>
      <c r="M1398">
        <f>IF($AA1398="","",INDEX('Per Line'!$Z$2:$Z$4001,$AA1398)&amp;"")</f>
        <v/>
      </c>
      <c r="N1398">
        <f>IF($AA1398="","",INDEX('Per Line'!$AG$2:$AG$4001,$AA1398))</f>
        <v/>
      </c>
      <c r="O1398">
        <f>IF($AA1398="","",IF(AND(ISNUMBER(N1398),N1398&gt;0),Y1398&gt;N1398,FALSE))</f>
        <v/>
      </c>
      <c r="P1398" s="7">
        <f>IF($AA1398="","",SUMIFS('Per Line'!$Y$2:$Y$4001,'Per Line'!$E$2:$E$4001,$B1398,'Per Line'!$AQ$2:$AQ$4001,1))</f>
        <v/>
      </c>
      <c r="Q1398">
        <f>IF($AA1398="","",Settings!$C$7)</f>
        <v/>
      </c>
      <c r="R1398" s="7">
        <f>IF($AA1398="","",SUMIFS('Per Line'!$Y$2:$Y$4001,'Per Line'!$E$2:$E$4001,$B1398,'Per Line'!$AP$2:$AP$4001,0,'Per Line'!$AQ$2:$AQ$4001,0))</f>
        <v/>
      </c>
      <c r="S1398" s="7">
        <f>IF($AA1398="","",R1398*Q1398)</f>
        <v/>
      </c>
      <c r="T1398">
        <f>IF($AA1398="","",Settings!$C$6)</f>
        <v/>
      </c>
      <c r="U1398" s="7">
        <f>IF($AA1398="","",SUMIFS('Per Line'!$Y$2:$Y$4001,'Per Line'!$E$2:$E$4001,$B1398,'Per Line'!$AP$2:$AP$4001,1,'Per Line'!$AQ$2:$AQ$4001,0))</f>
        <v/>
      </c>
      <c r="V1398" s="7">
        <f>IF($AA1398="","",U1398*T1398)</f>
        <v/>
      </c>
      <c r="W1398" s="7">
        <f>IF($AA1398="","",V1398+S1398)</f>
        <v/>
      </c>
      <c r="X1398" s="7">
        <f>IF($AA1398="","",Y1398-W1398)</f>
        <v/>
      </c>
      <c r="Y1398" s="7">
        <f>IF($AA1398="","",R1398+U1398+P1398)</f>
        <v/>
      </c>
      <c r="Z1398" s="7">
        <f>IF($AA1398="","",Y1398-W1398-L1398)</f>
        <v/>
      </c>
      <c r="AA1398" s="13">
        <f>IF(ROWS($AA$2:$AA1398)&lt;=MAX('Per Line'!$AO$2:$AO$4001),MATCH(ROWS($AA$2:$AA1398),'Per Line'!$AO$2:$AO$4001,0),"")</f>
        <v/>
      </c>
      <c r="AB1398" s="14">
        <f>IF($AA1398="","",L1398-K1398*Y1398/100)</f>
        <v/>
      </c>
    </row>
    <row r="1399">
      <c r="A1399" s="12" t="n"/>
      <c r="B1399">
        <f>IF($AA1399="","",INDEX('Per Line'!$E$2:$E$4001,$AA1399)&amp;"")</f>
        <v/>
      </c>
      <c r="C1399">
        <f>IF($AA1399="","",INDEX('Per Line'!$A$2:$A$4001,$AA1399)&amp;"")</f>
        <v/>
      </c>
      <c r="D1399">
        <f>IF($AA1399="","",INDEX('Per Line'!$D$2:$D$4001,$AA1399)&amp;"")</f>
        <v/>
      </c>
      <c r="E1399" s="11">
        <f>IF($AA1399="","",INDEX('Per Line'!$G$2:$G$4001,$AA1399))</f>
        <v/>
      </c>
      <c r="F1399">
        <f>IF($AA1399="","",INDEX('Per Line'!$H$2:$H$4001,$AA1399)&amp;"")</f>
        <v/>
      </c>
      <c r="G1399">
        <f>IF($AA1399="","",INDEX('Per Line'!$I$2:$I$4001,$AA1399)&amp;"")</f>
        <v/>
      </c>
      <c r="H1399">
        <f>IF($AA1399="","",INDEX('Per Line'!$J$2:$J$4001,$AA1399)&amp;"")</f>
        <v/>
      </c>
      <c r="I1399">
        <f>IF($AA1399="","",INDEX('Per Line'!$K$2:$K$4001,$AA1399)&amp;"")</f>
        <v/>
      </c>
      <c r="J1399">
        <f>IF($AA1399="","",INDEX('Per Line'!$L$2:$L$4001,$AA1399)&amp;"")</f>
        <v/>
      </c>
      <c r="K1399">
        <f>IF($AA1399="","",INDEX('Per Line'!$P$2:$P$4001,$AA1399))</f>
        <v/>
      </c>
      <c r="L1399" s="7">
        <f>IF($AA1399="","",IF(AND(ISNUMBER(N1399),N1399&gt;0,Y1399&gt;N1399),K1399*N1399/100+(Y1399-N1399),K1399*Y1399/100))</f>
        <v/>
      </c>
      <c r="M1399">
        <f>IF($AA1399="","",INDEX('Per Line'!$Z$2:$Z$4001,$AA1399)&amp;"")</f>
        <v/>
      </c>
      <c r="N1399">
        <f>IF($AA1399="","",INDEX('Per Line'!$AG$2:$AG$4001,$AA1399))</f>
        <v/>
      </c>
      <c r="O1399">
        <f>IF($AA1399="","",IF(AND(ISNUMBER(N1399),N1399&gt;0),Y1399&gt;N1399,FALSE))</f>
        <v/>
      </c>
      <c r="P1399" s="7">
        <f>IF($AA1399="","",SUMIFS('Per Line'!$Y$2:$Y$4001,'Per Line'!$E$2:$E$4001,$B1399,'Per Line'!$AQ$2:$AQ$4001,1))</f>
        <v/>
      </c>
      <c r="Q1399">
        <f>IF($AA1399="","",Settings!$C$7)</f>
        <v/>
      </c>
      <c r="R1399" s="7">
        <f>IF($AA1399="","",SUMIFS('Per Line'!$Y$2:$Y$4001,'Per Line'!$E$2:$E$4001,$B1399,'Per Line'!$AP$2:$AP$4001,0,'Per Line'!$AQ$2:$AQ$4001,0))</f>
        <v/>
      </c>
      <c r="S1399" s="7">
        <f>IF($AA1399="","",R1399*Q1399)</f>
        <v/>
      </c>
      <c r="T1399">
        <f>IF($AA1399="","",Settings!$C$6)</f>
        <v/>
      </c>
      <c r="U1399" s="7">
        <f>IF($AA1399="","",SUMIFS('Per Line'!$Y$2:$Y$4001,'Per Line'!$E$2:$E$4001,$B1399,'Per Line'!$AP$2:$AP$4001,1,'Per Line'!$AQ$2:$AQ$4001,0))</f>
        <v/>
      </c>
      <c r="V1399" s="7">
        <f>IF($AA1399="","",U1399*T1399)</f>
        <v/>
      </c>
      <c r="W1399" s="7">
        <f>IF($AA1399="","",V1399+S1399)</f>
        <v/>
      </c>
      <c r="X1399" s="7">
        <f>IF($AA1399="","",Y1399-W1399)</f>
        <v/>
      </c>
      <c r="Y1399" s="7">
        <f>IF($AA1399="","",R1399+U1399+P1399)</f>
        <v/>
      </c>
      <c r="Z1399" s="7">
        <f>IF($AA1399="","",Y1399-W1399-L1399)</f>
        <v/>
      </c>
      <c r="AA1399" s="13">
        <f>IF(ROWS($AA$2:$AA1399)&lt;=MAX('Per Line'!$AO$2:$AO$4001),MATCH(ROWS($AA$2:$AA1399),'Per Line'!$AO$2:$AO$4001,0),"")</f>
        <v/>
      </c>
      <c r="AB1399" s="14">
        <f>IF($AA1399="","",L1399-K1399*Y1399/100)</f>
        <v/>
      </c>
    </row>
    <row r="1400">
      <c r="A1400" s="12" t="n"/>
      <c r="B1400">
        <f>IF($AA1400="","",INDEX('Per Line'!$E$2:$E$4001,$AA1400)&amp;"")</f>
        <v/>
      </c>
      <c r="C1400">
        <f>IF($AA1400="","",INDEX('Per Line'!$A$2:$A$4001,$AA1400)&amp;"")</f>
        <v/>
      </c>
      <c r="D1400">
        <f>IF($AA1400="","",INDEX('Per Line'!$D$2:$D$4001,$AA1400)&amp;"")</f>
        <v/>
      </c>
      <c r="E1400" s="11">
        <f>IF($AA1400="","",INDEX('Per Line'!$G$2:$G$4001,$AA1400))</f>
        <v/>
      </c>
      <c r="F1400">
        <f>IF($AA1400="","",INDEX('Per Line'!$H$2:$H$4001,$AA1400)&amp;"")</f>
        <v/>
      </c>
      <c r="G1400">
        <f>IF($AA1400="","",INDEX('Per Line'!$I$2:$I$4001,$AA1400)&amp;"")</f>
        <v/>
      </c>
      <c r="H1400">
        <f>IF($AA1400="","",INDEX('Per Line'!$J$2:$J$4001,$AA1400)&amp;"")</f>
        <v/>
      </c>
      <c r="I1400">
        <f>IF($AA1400="","",INDEX('Per Line'!$K$2:$K$4001,$AA1400)&amp;"")</f>
        <v/>
      </c>
      <c r="J1400">
        <f>IF($AA1400="","",INDEX('Per Line'!$L$2:$L$4001,$AA1400)&amp;"")</f>
        <v/>
      </c>
      <c r="K1400">
        <f>IF($AA1400="","",INDEX('Per Line'!$P$2:$P$4001,$AA1400))</f>
        <v/>
      </c>
      <c r="L1400" s="7">
        <f>IF($AA1400="","",IF(AND(ISNUMBER(N1400),N1400&gt;0,Y1400&gt;N1400),K1400*N1400/100+(Y1400-N1400),K1400*Y1400/100))</f>
        <v/>
      </c>
      <c r="M1400">
        <f>IF($AA1400="","",INDEX('Per Line'!$Z$2:$Z$4001,$AA1400)&amp;"")</f>
        <v/>
      </c>
      <c r="N1400">
        <f>IF($AA1400="","",INDEX('Per Line'!$AG$2:$AG$4001,$AA1400))</f>
        <v/>
      </c>
      <c r="O1400">
        <f>IF($AA1400="","",IF(AND(ISNUMBER(N1400),N1400&gt;0),Y1400&gt;N1400,FALSE))</f>
        <v/>
      </c>
      <c r="P1400" s="7">
        <f>IF($AA1400="","",SUMIFS('Per Line'!$Y$2:$Y$4001,'Per Line'!$E$2:$E$4001,$B1400,'Per Line'!$AQ$2:$AQ$4001,1))</f>
        <v/>
      </c>
      <c r="Q1400">
        <f>IF($AA1400="","",Settings!$C$7)</f>
        <v/>
      </c>
      <c r="R1400" s="7">
        <f>IF($AA1400="","",SUMIFS('Per Line'!$Y$2:$Y$4001,'Per Line'!$E$2:$E$4001,$B1400,'Per Line'!$AP$2:$AP$4001,0,'Per Line'!$AQ$2:$AQ$4001,0))</f>
        <v/>
      </c>
      <c r="S1400" s="7">
        <f>IF($AA1400="","",R1400*Q1400)</f>
        <v/>
      </c>
      <c r="T1400">
        <f>IF($AA1400="","",Settings!$C$6)</f>
        <v/>
      </c>
      <c r="U1400" s="7">
        <f>IF($AA1400="","",SUMIFS('Per Line'!$Y$2:$Y$4001,'Per Line'!$E$2:$E$4001,$B1400,'Per Line'!$AP$2:$AP$4001,1,'Per Line'!$AQ$2:$AQ$4001,0))</f>
        <v/>
      </c>
      <c r="V1400" s="7">
        <f>IF($AA1400="","",U1400*T1400)</f>
        <v/>
      </c>
      <c r="W1400" s="7">
        <f>IF($AA1400="","",V1400+S1400)</f>
        <v/>
      </c>
      <c r="X1400" s="7">
        <f>IF($AA1400="","",Y1400-W1400)</f>
        <v/>
      </c>
      <c r="Y1400" s="7">
        <f>IF($AA1400="","",R1400+U1400+P1400)</f>
        <v/>
      </c>
      <c r="Z1400" s="7">
        <f>IF($AA1400="","",Y1400-W1400-L1400)</f>
        <v/>
      </c>
      <c r="AA1400" s="13">
        <f>IF(ROWS($AA$2:$AA1400)&lt;=MAX('Per Line'!$AO$2:$AO$4001),MATCH(ROWS($AA$2:$AA1400),'Per Line'!$AO$2:$AO$4001,0),"")</f>
        <v/>
      </c>
      <c r="AB1400" s="14">
        <f>IF($AA1400="","",L1400-K1400*Y1400/100)</f>
        <v/>
      </c>
    </row>
    <row r="1401">
      <c r="A1401" s="12" t="n"/>
      <c r="B1401">
        <f>IF($AA1401="","",INDEX('Per Line'!$E$2:$E$4001,$AA1401)&amp;"")</f>
        <v/>
      </c>
      <c r="C1401">
        <f>IF($AA1401="","",INDEX('Per Line'!$A$2:$A$4001,$AA1401)&amp;"")</f>
        <v/>
      </c>
      <c r="D1401">
        <f>IF($AA1401="","",INDEX('Per Line'!$D$2:$D$4001,$AA1401)&amp;"")</f>
        <v/>
      </c>
      <c r="E1401" s="11">
        <f>IF($AA1401="","",INDEX('Per Line'!$G$2:$G$4001,$AA1401))</f>
        <v/>
      </c>
      <c r="F1401">
        <f>IF($AA1401="","",INDEX('Per Line'!$H$2:$H$4001,$AA1401)&amp;"")</f>
        <v/>
      </c>
      <c r="G1401">
        <f>IF($AA1401="","",INDEX('Per Line'!$I$2:$I$4001,$AA1401)&amp;"")</f>
        <v/>
      </c>
      <c r="H1401">
        <f>IF($AA1401="","",INDEX('Per Line'!$J$2:$J$4001,$AA1401)&amp;"")</f>
        <v/>
      </c>
      <c r="I1401">
        <f>IF($AA1401="","",INDEX('Per Line'!$K$2:$K$4001,$AA1401)&amp;"")</f>
        <v/>
      </c>
      <c r="J1401">
        <f>IF($AA1401="","",INDEX('Per Line'!$L$2:$L$4001,$AA1401)&amp;"")</f>
        <v/>
      </c>
      <c r="K1401">
        <f>IF($AA1401="","",INDEX('Per Line'!$P$2:$P$4001,$AA1401))</f>
        <v/>
      </c>
      <c r="L1401" s="7">
        <f>IF($AA1401="","",IF(AND(ISNUMBER(N1401),N1401&gt;0,Y1401&gt;N1401),K1401*N1401/100+(Y1401-N1401),K1401*Y1401/100))</f>
        <v/>
      </c>
      <c r="M1401">
        <f>IF($AA1401="","",INDEX('Per Line'!$Z$2:$Z$4001,$AA1401)&amp;"")</f>
        <v/>
      </c>
      <c r="N1401">
        <f>IF($AA1401="","",INDEX('Per Line'!$AG$2:$AG$4001,$AA1401))</f>
        <v/>
      </c>
      <c r="O1401">
        <f>IF($AA1401="","",IF(AND(ISNUMBER(N1401),N1401&gt;0),Y1401&gt;N1401,FALSE))</f>
        <v/>
      </c>
      <c r="P1401" s="7">
        <f>IF($AA1401="","",SUMIFS('Per Line'!$Y$2:$Y$4001,'Per Line'!$E$2:$E$4001,$B1401,'Per Line'!$AQ$2:$AQ$4001,1))</f>
        <v/>
      </c>
      <c r="Q1401">
        <f>IF($AA1401="","",Settings!$C$7)</f>
        <v/>
      </c>
      <c r="R1401" s="7">
        <f>IF($AA1401="","",SUMIFS('Per Line'!$Y$2:$Y$4001,'Per Line'!$E$2:$E$4001,$B1401,'Per Line'!$AP$2:$AP$4001,0,'Per Line'!$AQ$2:$AQ$4001,0))</f>
        <v/>
      </c>
      <c r="S1401" s="7">
        <f>IF($AA1401="","",R1401*Q1401)</f>
        <v/>
      </c>
      <c r="T1401">
        <f>IF($AA1401="","",Settings!$C$6)</f>
        <v/>
      </c>
      <c r="U1401" s="7">
        <f>IF($AA1401="","",SUMIFS('Per Line'!$Y$2:$Y$4001,'Per Line'!$E$2:$E$4001,$B1401,'Per Line'!$AP$2:$AP$4001,1,'Per Line'!$AQ$2:$AQ$4001,0))</f>
        <v/>
      </c>
      <c r="V1401" s="7">
        <f>IF($AA1401="","",U1401*T1401)</f>
        <v/>
      </c>
      <c r="W1401" s="7">
        <f>IF($AA1401="","",V1401+S1401)</f>
        <v/>
      </c>
      <c r="X1401" s="7">
        <f>IF($AA1401="","",Y1401-W1401)</f>
        <v/>
      </c>
      <c r="Y1401" s="7">
        <f>IF($AA1401="","",R1401+U1401+P1401)</f>
        <v/>
      </c>
      <c r="Z1401" s="7">
        <f>IF($AA1401="","",Y1401-W1401-L1401)</f>
        <v/>
      </c>
      <c r="AA1401" s="13">
        <f>IF(ROWS($AA$2:$AA1401)&lt;=MAX('Per Line'!$AO$2:$AO$4001),MATCH(ROWS($AA$2:$AA1401),'Per Line'!$AO$2:$AO$4001,0),"")</f>
        <v/>
      </c>
      <c r="AB1401" s="14">
        <f>IF($AA1401="","",L1401-K1401*Y1401/100)</f>
        <v/>
      </c>
    </row>
    <row r="1402">
      <c r="A1402" s="12" t="n"/>
      <c r="B1402">
        <f>IF($AA1402="","",INDEX('Per Line'!$E$2:$E$4001,$AA1402)&amp;"")</f>
        <v/>
      </c>
      <c r="C1402">
        <f>IF($AA1402="","",INDEX('Per Line'!$A$2:$A$4001,$AA1402)&amp;"")</f>
        <v/>
      </c>
      <c r="D1402">
        <f>IF($AA1402="","",INDEX('Per Line'!$D$2:$D$4001,$AA1402)&amp;"")</f>
        <v/>
      </c>
      <c r="E1402" s="11">
        <f>IF($AA1402="","",INDEX('Per Line'!$G$2:$G$4001,$AA1402))</f>
        <v/>
      </c>
      <c r="F1402">
        <f>IF($AA1402="","",INDEX('Per Line'!$H$2:$H$4001,$AA1402)&amp;"")</f>
        <v/>
      </c>
      <c r="G1402">
        <f>IF($AA1402="","",INDEX('Per Line'!$I$2:$I$4001,$AA1402)&amp;"")</f>
        <v/>
      </c>
      <c r="H1402">
        <f>IF($AA1402="","",INDEX('Per Line'!$J$2:$J$4001,$AA1402)&amp;"")</f>
        <v/>
      </c>
      <c r="I1402">
        <f>IF($AA1402="","",INDEX('Per Line'!$K$2:$K$4001,$AA1402)&amp;"")</f>
        <v/>
      </c>
      <c r="J1402">
        <f>IF($AA1402="","",INDEX('Per Line'!$L$2:$L$4001,$AA1402)&amp;"")</f>
        <v/>
      </c>
      <c r="K1402">
        <f>IF($AA1402="","",INDEX('Per Line'!$P$2:$P$4001,$AA1402))</f>
        <v/>
      </c>
      <c r="L1402" s="7">
        <f>IF($AA1402="","",IF(AND(ISNUMBER(N1402),N1402&gt;0,Y1402&gt;N1402),K1402*N1402/100+(Y1402-N1402),K1402*Y1402/100))</f>
        <v/>
      </c>
      <c r="M1402">
        <f>IF($AA1402="","",INDEX('Per Line'!$Z$2:$Z$4001,$AA1402)&amp;"")</f>
        <v/>
      </c>
      <c r="N1402">
        <f>IF($AA1402="","",INDEX('Per Line'!$AG$2:$AG$4001,$AA1402))</f>
        <v/>
      </c>
      <c r="O1402">
        <f>IF($AA1402="","",IF(AND(ISNUMBER(N1402),N1402&gt;0),Y1402&gt;N1402,FALSE))</f>
        <v/>
      </c>
      <c r="P1402" s="7">
        <f>IF($AA1402="","",SUMIFS('Per Line'!$Y$2:$Y$4001,'Per Line'!$E$2:$E$4001,$B1402,'Per Line'!$AQ$2:$AQ$4001,1))</f>
        <v/>
      </c>
      <c r="Q1402">
        <f>IF($AA1402="","",Settings!$C$7)</f>
        <v/>
      </c>
      <c r="R1402" s="7">
        <f>IF($AA1402="","",SUMIFS('Per Line'!$Y$2:$Y$4001,'Per Line'!$E$2:$E$4001,$B1402,'Per Line'!$AP$2:$AP$4001,0,'Per Line'!$AQ$2:$AQ$4001,0))</f>
        <v/>
      </c>
      <c r="S1402" s="7">
        <f>IF($AA1402="","",R1402*Q1402)</f>
        <v/>
      </c>
      <c r="T1402">
        <f>IF($AA1402="","",Settings!$C$6)</f>
        <v/>
      </c>
      <c r="U1402" s="7">
        <f>IF($AA1402="","",SUMIFS('Per Line'!$Y$2:$Y$4001,'Per Line'!$E$2:$E$4001,$B1402,'Per Line'!$AP$2:$AP$4001,1,'Per Line'!$AQ$2:$AQ$4001,0))</f>
        <v/>
      </c>
      <c r="V1402" s="7">
        <f>IF($AA1402="","",U1402*T1402)</f>
        <v/>
      </c>
      <c r="W1402" s="7">
        <f>IF($AA1402="","",V1402+S1402)</f>
        <v/>
      </c>
      <c r="X1402" s="7">
        <f>IF($AA1402="","",Y1402-W1402)</f>
        <v/>
      </c>
      <c r="Y1402" s="7">
        <f>IF($AA1402="","",R1402+U1402+P1402)</f>
        <v/>
      </c>
      <c r="Z1402" s="7">
        <f>IF($AA1402="","",Y1402-W1402-L1402)</f>
        <v/>
      </c>
      <c r="AA1402" s="13">
        <f>IF(ROWS($AA$2:$AA1402)&lt;=MAX('Per Line'!$AO$2:$AO$4001),MATCH(ROWS($AA$2:$AA1402),'Per Line'!$AO$2:$AO$4001,0),"")</f>
        <v/>
      </c>
      <c r="AB1402" s="14">
        <f>IF($AA1402="","",L1402-K1402*Y1402/100)</f>
        <v/>
      </c>
    </row>
    <row r="1403">
      <c r="A1403" s="12" t="n"/>
      <c r="B1403">
        <f>IF($AA1403="","",INDEX('Per Line'!$E$2:$E$4001,$AA1403)&amp;"")</f>
        <v/>
      </c>
      <c r="C1403">
        <f>IF($AA1403="","",INDEX('Per Line'!$A$2:$A$4001,$AA1403)&amp;"")</f>
        <v/>
      </c>
      <c r="D1403">
        <f>IF($AA1403="","",INDEX('Per Line'!$D$2:$D$4001,$AA1403)&amp;"")</f>
        <v/>
      </c>
      <c r="E1403" s="11">
        <f>IF($AA1403="","",INDEX('Per Line'!$G$2:$G$4001,$AA1403))</f>
        <v/>
      </c>
      <c r="F1403">
        <f>IF($AA1403="","",INDEX('Per Line'!$H$2:$H$4001,$AA1403)&amp;"")</f>
        <v/>
      </c>
      <c r="G1403">
        <f>IF($AA1403="","",INDEX('Per Line'!$I$2:$I$4001,$AA1403)&amp;"")</f>
        <v/>
      </c>
      <c r="H1403">
        <f>IF($AA1403="","",INDEX('Per Line'!$J$2:$J$4001,$AA1403)&amp;"")</f>
        <v/>
      </c>
      <c r="I1403">
        <f>IF($AA1403="","",INDEX('Per Line'!$K$2:$K$4001,$AA1403)&amp;"")</f>
        <v/>
      </c>
      <c r="J1403">
        <f>IF($AA1403="","",INDEX('Per Line'!$L$2:$L$4001,$AA1403)&amp;"")</f>
        <v/>
      </c>
      <c r="K1403">
        <f>IF($AA1403="","",INDEX('Per Line'!$P$2:$P$4001,$AA1403))</f>
        <v/>
      </c>
      <c r="L1403" s="7">
        <f>IF($AA1403="","",IF(AND(ISNUMBER(N1403),N1403&gt;0,Y1403&gt;N1403),K1403*N1403/100+(Y1403-N1403),K1403*Y1403/100))</f>
        <v/>
      </c>
      <c r="M1403">
        <f>IF($AA1403="","",INDEX('Per Line'!$Z$2:$Z$4001,$AA1403)&amp;"")</f>
        <v/>
      </c>
      <c r="N1403">
        <f>IF($AA1403="","",INDEX('Per Line'!$AG$2:$AG$4001,$AA1403))</f>
        <v/>
      </c>
      <c r="O1403">
        <f>IF($AA1403="","",IF(AND(ISNUMBER(N1403),N1403&gt;0),Y1403&gt;N1403,FALSE))</f>
        <v/>
      </c>
      <c r="P1403" s="7">
        <f>IF($AA1403="","",SUMIFS('Per Line'!$Y$2:$Y$4001,'Per Line'!$E$2:$E$4001,$B1403,'Per Line'!$AQ$2:$AQ$4001,1))</f>
        <v/>
      </c>
      <c r="Q1403">
        <f>IF($AA1403="","",Settings!$C$7)</f>
        <v/>
      </c>
      <c r="R1403" s="7">
        <f>IF($AA1403="","",SUMIFS('Per Line'!$Y$2:$Y$4001,'Per Line'!$E$2:$E$4001,$B1403,'Per Line'!$AP$2:$AP$4001,0,'Per Line'!$AQ$2:$AQ$4001,0))</f>
        <v/>
      </c>
      <c r="S1403" s="7">
        <f>IF($AA1403="","",R1403*Q1403)</f>
        <v/>
      </c>
      <c r="T1403">
        <f>IF($AA1403="","",Settings!$C$6)</f>
        <v/>
      </c>
      <c r="U1403" s="7">
        <f>IF($AA1403="","",SUMIFS('Per Line'!$Y$2:$Y$4001,'Per Line'!$E$2:$E$4001,$B1403,'Per Line'!$AP$2:$AP$4001,1,'Per Line'!$AQ$2:$AQ$4001,0))</f>
        <v/>
      </c>
      <c r="V1403" s="7">
        <f>IF($AA1403="","",U1403*T1403)</f>
        <v/>
      </c>
      <c r="W1403" s="7">
        <f>IF($AA1403="","",V1403+S1403)</f>
        <v/>
      </c>
      <c r="X1403" s="7">
        <f>IF($AA1403="","",Y1403-W1403)</f>
        <v/>
      </c>
      <c r="Y1403" s="7">
        <f>IF($AA1403="","",R1403+U1403+P1403)</f>
        <v/>
      </c>
      <c r="Z1403" s="7">
        <f>IF($AA1403="","",Y1403-W1403-L1403)</f>
        <v/>
      </c>
      <c r="AA1403" s="13">
        <f>IF(ROWS($AA$2:$AA1403)&lt;=MAX('Per Line'!$AO$2:$AO$4001),MATCH(ROWS($AA$2:$AA1403),'Per Line'!$AO$2:$AO$4001,0),"")</f>
        <v/>
      </c>
      <c r="AB1403" s="14">
        <f>IF($AA1403="","",L1403-K1403*Y1403/100)</f>
        <v/>
      </c>
    </row>
    <row r="1404">
      <c r="A1404" s="12" t="n"/>
      <c r="B1404">
        <f>IF($AA1404="","",INDEX('Per Line'!$E$2:$E$4001,$AA1404)&amp;"")</f>
        <v/>
      </c>
      <c r="C1404">
        <f>IF($AA1404="","",INDEX('Per Line'!$A$2:$A$4001,$AA1404)&amp;"")</f>
        <v/>
      </c>
      <c r="D1404">
        <f>IF($AA1404="","",INDEX('Per Line'!$D$2:$D$4001,$AA1404)&amp;"")</f>
        <v/>
      </c>
      <c r="E1404" s="11">
        <f>IF($AA1404="","",INDEX('Per Line'!$G$2:$G$4001,$AA1404))</f>
        <v/>
      </c>
      <c r="F1404">
        <f>IF($AA1404="","",INDEX('Per Line'!$H$2:$H$4001,$AA1404)&amp;"")</f>
        <v/>
      </c>
      <c r="G1404">
        <f>IF($AA1404="","",INDEX('Per Line'!$I$2:$I$4001,$AA1404)&amp;"")</f>
        <v/>
      </c>
      <c r="H1404">
        <f>IF($AA1404="","",INDEX('Per Line'!$J$2:$J$4001,$AA1404)&amp;"")</f>
        <v/>
      </c>
      <c r="I1404">
        <f>IF($AA1404="","",INDEX('Per Line'!$K$2:$K$4001,$AA1404)&amp;"")</f>
        <v/>
      </c>
      <c r="J1404">
        <f>IF($AA1404="","",INDEX('Per Line'!$L$2:$L$4001,$AA1404)&amp;"")</f>
        <v/>
      </c>
      <c r="K1404">
        <f>IF($AA1404="","",INDEX('Per Line'!$P$2:$P$4001,$AA1404))</f>
        <v/>
      </c>
      <c r="L1404" s="7">
        <f>IF($AA1404="","",IF(AND(ISNUMBER(N1404),N1404&gt;0,Y1404&gt;N1404),K1404*N1404/100+(Y1404-N1404),K1404*Y1404/100))</f>
        <v/>
      </c>
      <c r="M1404">
        <f>IF($AA1404="","",INDEX('Per Line'!$Z$2:$Z$4001,$AA1404)&amp;"")</f>
        <v/>
      </c>
      <c r="N1404">
        <f>IF($AA1404="","",INDEX('Per Line'!$AG$2:$AG$4001,$AA1404))</f>
        <v/>
      </c>
      <c r="O1404">
        <f>IF($AA1404="","",IF(AND(ISNUMBER(N1404),N1404&gt;0),Y1404&gt;N1404,FALSE))</f>
        <v/>
      </c>
      <c r="P1404" s="7">
        <f>IF($AA1404="","",SUMIFS('Per Line'!$Y$2:$Y$4001,'Per Line'!$E$2:$E$4001,$B1404,'Per Line'!$AQ$2:$AQ$4001,1))</f>
        <v/>
      </c>
      <c r="Q1404">
        <f>IF($AA1404="","",Settings!$C$7)</f>
        <v/>
      </c>
      <c r="R1404" s="7">
        <f>IF($AA1404="","",SUMIFS('Per Line'!$Y$2:$Y$4001,'Per Line'!$E$2:$E$4001,$B1404,'Per Line'!$AP$2:$AP$4001,0,'Per Line'!$AQ$2:$AQ$4001,0))</f>
        <v/>
      </c>
      <c r="S1404" s="7">
        <f>IF($AA1404="","",R1404*Q1404)</f>
        <v/>
      </c>
      <c r="T1404">
        <f>IF($AA1404="","",Settings!$C$6)</f>
        <v/>
      </c>
      <c r="U1404" s="7">
        <f>IF($AA1404="","",SUMIFS('Per Line'!$Y$2:$Y$4001,'Per Line'!$E$2:$E$4001,$B1404,'Per Line'!$AP$2:$AP$4001,1,'Per Line'!$AQ$2:$AQ$4001,0))</f>
        <v/>
      </c>
      <c r="V1404" s="7">
        <f>IF($AA1404="","",U1404*T1404)</f>
        <v/>
      </c>
      <c r="W1404" s="7">
        <f>IF($AA1404="","",V1404+S1404)</f>
        <v/>
      </c>
      <c r="X1404" s="7">
        <f>IF($AA1404="","",Y1404-W1404)</f>
        <v/>
      </c>
      <c r="Y1404" s="7">
        <f>IF($AA1404="","",R1404+U1404+P1404)</f>
        <v/>
      </c>
      <c r="Z1404" s="7">
        <f>IF($AA1404="","",Y1404-W1404-L1404)</f>
        <v/>
      </c>
      <c r="AA1404" s="13">
        <f>IF(ROWS($AA$2:$AA1404)&lt;=MAX('Per Line'!$AO$2:$AO$4001),MATCH(ROWS($AA$2:$AA1404),'Per Line'!$AO$2:$AO$4001,0),"")</f>
        <v/>
      </c>
      <c r="AB1404" s="14">
        <f>IF($AA1404="","",L1404-K1404*Y1404/100)</f>
        <v/>
      </c>
    </row>
    <row r="1405">
      <c r="A1405" s="12" t="n"/>
      <c r="B1405">
        <f>IF($AA1405="","",INDEX('Per Line'!$E$2:$E$4001,$AA1405)&amp;"")</f>
        <v/>
      </c>
      <c r="C1405">
        <f>IF($AA1405="","",INDEX('Per Line'!$A$2:$A$4001,$AA1405)&amp;"")</f>
        <v/>
      </c>
      <c r="D1405">
        <f>IF($AA1405="","",INDEX('Per Line'!$D$2:$D$4001,$AA1405)&amp;"")</f>
        <v/>
      </c>
      <c r="E1405" s="11">
        <f>IF($AA1405="","",INDEX('Per Line'!$G$2:$G$4001,$AA1405))</f>
        <v/>
      </c>
      <c r="F1405">
        <f>IF($AA1405="","",INDEX('Per Line'!$H$2:$H$4001,$AA1405)&amp;"")</f>
        <v/>
      </c>
      <c r="G1405">
        <f>IF($AA1405="","",INDEX('Per Line'!$I$2:$I$4001,$AA1405)&amp;"")</f>
        <v/>
      </c>
      <c r="H1405">
        <f>IF($AA1405="","",INDEX('Per Line'!$J$2:$J$4001,$AA1405)&amp;"")</f>
        <v/>
      </c>
      <c r="I1405">
        <f>IF($AA1405="","",INDEX('Per Line'!$K$2:$K$4001,$AA1405)&amp;"")</f>
        <v/>
      </c>
      <c r="J1405">
        <f>IF($AA1405="","",INDEX('Per Line'!$L$2:$L$4001,$AA1405)&amp;"")</f>
        <v/>
      </c>
      <c r="K1405">
        <f>IF($AA1405="","",INDEX('Per Line'!$P$2:$P$4001,$AA1405))</f>
        <v/>
      </c>
      <c r="L1405" s="7">
        <f>IF($AA1405="","",IF(AND(ISNUMBER(N1405),N1405&gt;0,Y1405&gt;N1405),K1405*N1405/100+(Y1405-N1405),K1405*Y1405/100))</f>
        <v/>
      </c>
      <c r="M1405">
        <f>IF($AA1405="","",INDEX('Per Line'!$Z$2:$Z$4001,$AA1405)&amp;"")</f>
        <v/>
      </c>
      <c r="N1405">
        <f>IF($AA1405="","",INDEX('Per Line'!$AG$2:$AG$4001,$AA1405))</f>
        <v/>
      </c>
      <c r="O1405">
        <f>IF($AA1405="","",IF(AND(ISNUMBER(N1405),N1405&gt;0),Y1405&gt;N1405,FALSE))</f>
        <v/>
      </c>
      <c r="P1405" s="7">
        <f>IF($AA1405="","",SUMIFS('Per Line'!$Y$2:$Y$4001,'Per Line'!$E$2:$E$4001,$B1405,'Per Line'!$AQ$2:$AQ$4001,1))</f>
        <v/>
      </c>
      <c r="Q1405">
        <f>IF($AA1405="","",Settings!$C$7)</f>
        <v/>
      </c>
      <c r="R1405" s="7">
        <f>IF($AA1405="","",SUMIFS('Per Line'!$Y$2:$Y$4001,'Per Line'!$E$2:$E$4001,$B1405,'Per Line'!$AP$2:$AP$4001,0,'Per Line'!$AQ$2:$AQ$4001,0))</f>
        <v/>
      </c>
      <c r="S1405" s="7">
        <f>IF($AA1405="","",R1405*Q1405)</f>
        <v/>
      </c>
      <c r="T1405">
        <f>IF($AA1405="","",Settings!$C$6)</f>
        <v/>
      </c>
      <c r="U1405" s="7">
        <f>IF($AA1405="","",SUMIFS('Per Line'!$Y$2:$Y$4001,'Per Line'!$E$2:$E$4001,$B1405,'Per Line'!$AP$2:$AP$4001,1,'Per Line'!$AQ$2:$AQ$4001,0))</f>
        <v/>
      </c>
      <c r="V1405" s="7">
        <f>IF($AA1405="","",U1405*T1405)</f>
        <v/>
      </c>
      <c r="W1405" s="7">
        <f>IF($AA1405="","",V1405+S1405)</f>
        <v/>
      </c>
      <c r="X1405" s="7">
        <f>IF($AA1405="","",Y1405-W1405)</f>
        <v/>
      </c>
      <c r="Y1405" s="7">
        <f>IF($AA1405="","",R1405+U1405+P1405)</f>
        <v/>
      </c>
      <c r="Z1405" s="7">
        <f>IF($AA1405="","",Y1405-W1405-L1405)</f>
        <v/>
      </c>
      <c r="AA1405" s="13">
        <f>IF(ROWS($AA$2:$AA1405)&lt;=MAX('Per Line'!$AO$2:$AO$4001),MATCH(ROWS($AA$2:$AA1405),'Per Line'!$AO$2:$AO$4001,0),"")</f>
        <v/>
      </c>
      <c r="AB1405" s="14">
        <f>IF($AA1405="","",L1405-K1405*Y1405/100)</f>
        <v/>
      </c>
    </row>
    <row r="1406">
      <c r="A1406" s="12" t="n"/>
      <c r="B1406">
        <f>IF($AA1406="","",INDEX('Per Line'!$E$2:$E$4001,$AA1406)&amp;"")</f>
        <v/>
      </c>
      <c r="C1406">
        <f>IF($AA1406="","",INDEX('Per Line'!$A$2:$A$4001,$AA1406)&amp;"")</f>
        <v/>
      </c>
      <c r="D1406">
        <f>IF($AA1406="","",INDEX('Per Line'!$D$2:$D$4001,$AA1406)&amp;"")</f>
        <v/>
      </c>
      <c r="E1406" s="11">
        <f>IF($AA1406="","",INDEX('Per Line'!$G$2:$G$4001,$AA1406))</f>
        <v/>
      </c>
      <c r="F1406">
        <f>IF($AA1406="","",INDEX('Per Line'!$H$2:$H$4001,$AA1406)&amp;"")</f>
        <v/>
      </c>
      <c r="G1406">
        <f>IF($AA1406="","",INDEX('Per Line'!$I$2:$I$4001,$AA1406)&amp;"")</f>
        <v/>
      </c>
      <c r="H1406">
        <f>IF($AA1406="","",INDEX('Per Line'!$J$2:$J$4001,$AA1406)&amp;"")</f>
        <v/>
      </c>
      <c r="I1406">
        <f>IF($AA1406="","",INDEX('Per Line'!$K$2:$K$4001,$AA1406)&amp;"")</f>
        <v/>
      </c>
      <c r="J1406">
        <f>IF($AA1406="","",INDEX('Per Line'!$L$2:$L$4001,$AA1406)&amp;"")</f>
        <v/>
      </c>
      <c r="K1406">
        <f>IF($AA1406="","",INDEX('Per Line'!$P$2:$P$4001,$AA1406))</f>
        <v/>
      </c>
      <c r="L1406" s="7">
        <f>IF($AA1406="","",IF(AND(ISNUMBER(N1406),N1406&gt;0,Y1406&gt;N1406),K1406*N1406/100+(Y1406-N1406),K1406*Y1406/100))</f>
        <v/>
      </c>
      <c r="M1406">
        <f>IF($AA1406="","",INDEX('Per Line'!$Z$2:$Z$4001,$AA1406)&amp;"")</f>
        <v/>
      </c>
      <c r="N1406">
        <f>IF($AA1406="","",INDEX('Per Line'!$AG$2:$AG$4001,$AA1406))</f>
        <v/>
      </c>
      <c r="O1406">
        <f>IF($AA1406="","",IF(AND(ISNUMBER(N1406),N1406&gt;0),Y1406&gt;N1406,FALSE))</f>
        <v/>
      </c>
      <c r="P1406" s="7">
        <f>IF($AA1406="","",SUMIFS('Per Line'!$Y$2:$Y$4001,'Per Line'!$E$2:$E$4001,$B1406,'Per Line'!$AQ$2:$AQ$4001,1))</f>
        <v/>
      </c>
      <c r="Q1406">
        <f>IF($AA1406="","",Settings!$C$7)</f>
        <v/>
      </c>
      <c r="R1406" s="7">
        <f>IF($AA1406="","",SUMIFS('Per Line'!$Y$2:$Y$4001,'Per Line'!$E$2:$E$4001,$B1406,'Per Line'!$AP$2:$AP$4001,0,'Per Line'!$AQ$2:$AQ$4001,0))</f>
        <v/>
      </c>
      <c r="S1406" s="7">
        <f>IF($AA1406="","",R1406*Q1406)</f>
        <v/>
      </c>
      <c r="T1406">
        <f>IF($AA1406="","",Settings!$C$6)</f>
        <v/>
      </c>
      <c r="U1406" s="7">
        <f>IF($AA1406="","",SUMIFS('Per Line'!$Y$2:$Y$4001,'Per Line'!$E$2:$E$4001,$B1406,'Per Line'!$AP$2:$AP$4001,1,'Per Line'!$AQ$2:$AQ$4001,0))</f>
        <v/>
      </c>
      <c r="V1406" s="7">
        <f>IF($AA1406="","",U1406*T1406)</f>
        <v/>
      </c>
      <c r="W1406" s="7">
        <f>IF($AA1406="","",V1406+S1406)</f>
        <v/>
      </c>
      <c r="X1406" s="7">
        <f>IF($AA1406="","",Y1406-W1406)</f>
        <v/>
      </c>
      <c r="Y1406" s="7">
        <f>IF($AA1406="","",R1406+U1406+P1406)</f>
        <v/>
      </c>
      <c r="Z1406" s="7">
        <f>IF($AA1406="","",Y1406-W1406-L1406)</f>
        <v/>
      </c>
      <c r="AA1406" s="13">
        <f>IF(ROWS($AA$2:$AA1406)&lt;=MAX('Per Line'!$AO$2:$AO$4001),MATCH(ROWS($AA$2:$AA1406),'Per Line'!$AO$2:$AO$4001,0),"")</f>
        <v/>
      </c>
      <c r="AB1406" s="14">
        <f>IF($AA1406="","",L1406-K1406*Y1406/100)</f>
        <v/>
      </c>
    </row>
    <row r="1407">
      <c r="A1407" s="12" t="n"/>
      <c r="B1407">
        <f>IF($AA1407="","",INDEX('Per Line'!$E$2:$E$4001,$AA1407)&amp;"")</f>
        <v/>
      </c>
      <c r="C1407">
        <f>IF($AA1407="","",INDEX('Per Line'!$A$2:$A$4001,$AA1407)&amp;"")</f>
        <v/>
      </c>
      <c r="D1407">
        <f>IF($AA1407="","",INDEX('Per Line'!$D$2:$D$4001,$AA1407)&amp;"")</f>
        <v/>
      </c>
      <c r="E1407" s="11">
        <f>IF($AA1407="","",INDEX('Per Line'!$G$2:$G$4001,$AA1407))</f>
        <v/>
      </c>
      <c r="F1407">
        <f>IF($AA1407="","",INDEX('Per Line'!$H$2:$H$4001,$AA1407)&amp;"")</f>
        <v/>
      </c>
      <c r="G1407">
        <f>IF($AA1407="","",INDEX('Per Line'!$I$2:$I$4001,$AA1407)&amp;"")</f>
        <v/>
      </c>
      <c r="H1407">
        <f>IF($AA1407="","",INDEX('Per Line'!$J$2:$J$4001,$AA1407)&amp;"")</f>
        <v/>
      </c>
      <c r="I1407">
        <f>IF($AA1407="","",INDEX('Per Line'!$K$2:$K$4001,$AA1407)&amp;"")</f>
        <v/>
      </c>
      <c r="J1407">
        <f>IF($AA1407="","",INDEX('Per Line'!$L$2:$L$4001,$AA1407)&amp;"")</f>
        <v/>
      </c>
      <c r="K1407">
        <f>IF($AA1407="","",INDEX('Per Line'!$P$2:$P$4001,$AA1407))</f>
        <v/>
      </c>
      <c r="L1407" s="7">
        <f>IF($AA1407="","",IF(AND(ISNUMBER(N1407),N1407&gt;0,Y1407&gt;N1407),K1407*N1407/100+(Y1407-N1407),K1407*Y1407/100))</f>
        <v/>
      </c>
      <c r="M1407">
        <f>IF($AA1407="","",INDEX('Per Line'!$Z$2:$Z$4001,$AA1407)&amp;"")</f>
        <v/>
      </c>
      <c r="N1407">
        <f>IF($AA1407="","",INDEX('Per Line'!$AG$2:$AG$4001,$AA1407))</f>
        <v/>
      </c>
      <c r="O1407">
        <f>IF($AA1407="","",IF(AND(ISNUMBER(N1407),N1407&gt;0),Y1407&gt;N1407,FALSE))</f>
        <v/>
      </c>
      <c r="P1407" s="7">
        <f>IF($AA1407="","",SUMIFS('Per Line'!$Y$2:$Y$4001,'Per Line'!$E$2:$E$4001,$B1407,'Per Line'!$AQ$2:$AQ$4001,1))</f>
        <v/>
      </c>
      <c r="Q1407">
        <f>IF($AA1407="","",Settings!$C$7)</f>
        <v/>
      </c>
      <c r="R1407" s="7">
        <f>IF($AA1407="","",SUMIFS('Per Line'!$Y$2:$Y$4001,'Per Line'!$E$2:$E$4001,$B1407,'Per Line'!$AP$2:$AP$4001,0,'Per Line'!$AQ$2:$AQ$4001,0))</f>
        <v/>
      </c>
      <c r="S1407" s="7">
        <f>IF($AA1407="","",R1407*Q1407)</f>
        <v/>
      </c>
      <c r="T1407">
        <f>IF($AA1407="","",Settings!$C$6)</f>
        <v/>
      </c>
      <c r="U1407" s="7">
        <f>IF($AA1407="","",SUMIFS('Per Line'!$Y$2:$Y$4001,'Per Line'!$E$2:$E$4001,$B1407,'Per Line'!$AP$2:$AP$4001,1,'Per Line'!$AQ$2:$AQ$4001,0))</f>
        <v/>
      </c>
      <c r="V1407" s="7">
        <f>IF($AA1407="","",U1407*T1407)</f>
        <v/>
      </c>
      <c r="W1407" s="7">
        <f>IF($AA1407="","",V1407+S1407)</f>
        <v/>
      </c>
      <c r="X1407" s="7">
        <f>IF($AA1407="","",Y1407-W1407)</f>
        <v/>
      </c>
      <c r="Y1407" s="7">
        <f>IF($AA1407="","",R1407+U1407+P1407)</f>
        <v/>
      </c>
      <c r="Z1407" s="7">
        <f>IF($AA1407="","",Y1407-W1407-L1407)</f>
        <v/>
      </c>
      <c r="AA1407" s="13">
        <f>IF(ROWS($AA$2:$AA1407)&lt;=MAX('Per Line'!$AO$2:$AO$4001),MATCH(ROWS($AA$2:$AA1407),'Per Line'!$AO$2:$AO$4001,0),"")</f>
        <v/>
      </c>
      <c r="AB1407" s="14">
        <f>IF($AA1407="","",L1407-K1407*Y1407/100)</f>
        <v/>
      </c>
    </row>
    <row r="1408">
      <c r="A1408" s="12" t="n"/>
      <c r="B1408">
        <f>IF($AA1408="","",INDEX('Per Line'!$E$2:$E$4001,$AA1408)&amp;"")</f>
        <v/>
      </c>
      <c r="C1408">
        <f>IF($AA1408="","",INDEX('Per Line'!$A$2:$A$4001,$AA1408)&amp;"")</f>
        <v/>
      </c>
      <c r="D1408">
        <f>IF($AA1408="","",INDEX('Per Line'!$D$2:$D$4001,$AA1408)&amp;"")</f>
        <v/>
      </c>
      <c r="E1408" s="11">
        <f>IF($AA1408="","",INDEX('Per Line'!$G$2:$G$4001,$AA1408))</f>
        <v/>
      </c>
      <c r="F1408">
        <f>IF($AA1408="","",INDEX('Per Line'!$H$2:$H$4001,$AA1408)&amp;"")</f>
        <v/>
      </c>
      <c r="G1408">
        <f>IF($AA1408="","",INDEX('Per Line'!$I$2:$I$4001,$AA1408)&amp;"")</f>
        <v/>
      </c>
      <c r="H1408">
        <f>IF($AA1408="","",INDEX('Per Line'!$J$2:$J$4001,$AA1408)&amp;"")</f>
        <v/>
      </c>
      <c r="I1408">
        <f>IF($AA1408="","",INDEX('Per Line'!$K$2:$K$4001,$AA1408)&amp;"")</f>
        <v/>
      </c>
      <c r="J1408">
        <f>IF($AA1408="","",INDEX('Per Line'!$L$2:$L$4001,$AA1408)&amp;"")</f>
        <v/>
      </c>
      <c r="K1408">
        <f>IF($AA1408="","",INDEX('Per Line'!$P$2:$P$4001,$AA1408))</f>
        <v/>
      </c>
      <c r="L1408" s="7">
        <f>IF($AA1408="","",IF(AND(ISNUMBER(N1408),N1408&gt;0,Y1408&gt;N1408),K1408*N1408/100+(Y1408-N1408),K1408*Y1408/100))</f>
        <v/>
      </c>
      <c r="M1408">
        <f>IF($AA1408="","",INDEX('Per Line'!$Z$2:$Z$4001,$AA1408)&amp;"")</f>
        <v/>
      </c>
      <c r="N1408">
        <f>IF($AA1408="","",INDEX('Per Line'!$AG$2:$AG$4001,$AA1408))</f>
        <v/>
      </c>
      <c r="O1408">
        <f>IF($AA1408="","",IF(AND(ISNUMBER(N1408),N1408&gt;0),Y1408&gt;N1408,FALSE))</f>
        <v/>
      </c>
      <c r="P1408" s="7">
        <f>IF($AA1408="","",SUMIFS('Per Line'!$Y$2:$Y$4001,'Per Line'!$E$2:$E$4001,$B1408,'Per Line'!$AQ$2:$AQ$4001,1))</f>
        <v/>
      </c>
      <c r="Q1408">
        <f>IF($AA1408="","",Settings!$C$7)</f>
        <v/>
      </c>
      <c r="R1408" s="7">
        <f>IF($AA1408="","",SUMIFS('Per Line'!$Y$2:$Y$4001,'Per Line'!$E$2:$E$4001,$B1408,'Per Line'!$AP$2:$AP$4001,0,'Per Line'!$AQ$2:$AQ$4001,0))</f>
        <v/>
      </c>
      <c r="S1408" s="7">
        <f>IF($AA1408="","",R1408*Q1408)</f>
        <v/>
      </c>
      <c r="T1408">
        <f>IF($AA1408="","",Settings!$C$6)</f>
        <v/>
      </c>
      <c r="U1408" s="7">
        <f>IF($AA1408="","",SUMIFS('Per Line'!$Y$2:$Y$4001,'Per Line'!$E$2:$E$4001,$B1408,'Per Line'!$AP$2:$AP$4001,1,'Per Line'!$AQ$2:$AQ$4001,0))</f>
        <v/>
      </c>
      <c r="V1408" s="7">
        <f>IF($AA1408="","",U1408*T1408)</f>
        <v/>
      </c>
      <c r="W1408" s="7">
        <f>IF($AA1408="","",V1408+S1408)</f>
        <v/>
      </c>
      <c r="X1408" s="7">
        <f>IF($AA1408="","",Y1408-W1408)</f>
        <v/>
      </c>
      <c r="Y1408" s="7">
        <f>IF($AA1408="","",R1408+U1408+P1408)</f>
        <v/>
      </c>
      <c r="Z1408" s="7">
        <f>IF($AA1408="","",Y1408-W1408-L1408)</f>
        <v/>
      </c>
      <c r="AA1408" s="13">
        <f>IF(ROWS($AA$2:$AA1408)&lt;=MAX('Per Line'!$AO$2:$AO$4001),MATCH(ROWS($AA$2:$AA1408),'Per Line'!$AO$2:$AO$4001,0),"")</f>
        <v/>
      </c>
      <c r="AB1408" s="14">
        <f>IF($AA1408="","",L1408-K1408*Y1408/100)</f>
        <v/>
      </c>
    </row>
    <row r="1409">
      <c r="A1409" s="12" t="n"/>
      <c r="B1409">
        <f>IF($AA1409="","",INDEX('Per Line'!$E$2:$E$4001,$AA1409)&amp;"")</f>
        <v/>
      </c>
      <c r="C1409">
        <f>IF($AA1409="","",INDEX('Per Line'!$A$2:$A$4001,$AA1409)&amp;"")</f>
        <v/>
      </c>
      <c r="D1409">
        <f>IF($AA1409="","",INDEX('Per Line'!$D$2:$D$4001,$AA1409)&amp;"")</f>
        <v/>
      </c>
      <c r="E1409" s="11">
        <f>IF($AA1409="","",INDEX('Per Line'!$G$2:$G$4001,$AA1409))</f>
        <v/>
      </c>
      <c r="F1409">
        <f>IF($AA1409="","",INDEX('Per Line'!$H$2:$H$4001,$AA1409)&amp;"")</f>
        <v/>
      </c>
      <c r="G1409">
        <f>IF($AA1409="","",INDEX('Per Line'!$I$2:$I$4001,$AA1409)&amp;"")</f>
        <v/>
      </c>
      <c r="H1409">
        <f>IF($AA1409="","",INDEX('Per Line'!$J$2:$J$4001,$AA1409)&amp;"")</f>
        <v/>
      </c>
      <c r="I1409">
        <f>IF($AA1409="","",INDEX('Per Line'!$K$2:$K$4001,$AA1409)&amp;"")</f>
        <v/>
      </c>
      <c r="J1409">
        <f>IF($AA1409="","",INDEX('Per Line'!$L$2:$L$4001,$AA1409)&amp;"")</f>
        <v/>
      </c>
      <c r="K1409">
        <f>IF($AA1409="","",INDEX('Per Line'!$P$2:$P$4001,$AA1409))</f>
        <v/>
      </c>
      <c r="L1409" s="7">
        <f>IF($AA1409="","",IF(AND(ISNUMBER(N1409),N1409&gt;0,Y1409&gt;N1409),K1409*N1409/100+(Y1409-N1409),K1409*Y1409/100))</f>
        <v/>
      </c>
      <c r="M1409">
        <f>IF($AA1409="","",INDEX('Per Line'!$Z$2:$Z$4001,$AA1409)&amp;"")</f>
        <v/>
      </c>
      <c r="N1409">
        <f>IF($AA1409="","",INDEX('Per Line'!$AG$2:$AG$4001,$AA1409))</f>
        <v/>
      </c>
      <c r="O1409">
        <f>IF($AA1409="","",IF(AND(ISNUMBER(N1409),N1409&gt;0),Y1409&gt;N1409,FALSE))</f>
        <v/>
      </c>
      <c r="P1409" s="7">
        <f>IF($AA1409="","",SUMIFS('Per Line'!$Y$2:$Y$4001,'Per Line'!$E$2:$E$4001,$B1409,'Per Line'!$AQ$2:$AQ$4001,1))</f>
        <v/>
      </c>
      <c r="Q1409">
        <f>IF($AA1409="","",Settings!$C$7)</f>
        <v/>
      </c>
      <c r="R1409" s="7">
        <f>IF($AA1409="","",SUMIFS('Per Line'!$Y$2:$Y$4001,'Per Line'!$E$2:$E$4001,$B1409,'Per Line'!$AP$2:$AP$4001,0,'Per Line'!$AQ$2:$AQ$4001,0))</f>
        <v/>
      </c>
      <c r="S1409" s="7">
        <f>IF($AA1409="","",R1409*Q1409)</f>
        <v/>
      </c>
      <c r="T1409">
        <f>IF($AA1409="","",Settings!$C$6)</f>
        <v/>
      </c>
      <c r="U1409" s="7">
        <f>IF($AA1409="","",SUMIFS('Per Line'!$Y$2:$Y$4001,'Per Line'!$E$2:$E$4001,$B1409,'Per Line'!$AP$2:$AP$4001,1,'Per Line'!$AQ$2:$AQ$4001,0))</f>
        <v/>
      </c>
      <c r="V1409" s="7">
        <f>IF($AA1409="","",U1409*T1409)</f>
        <v/>
      </c>
      <c r="W1409" s="7">
        <f>IF($AA1409="","",V1409+S1409)</f>
        <v/>
      </c>
      <c r="X1409" s="7">
        <f>IF($AA1409="","",Y1409-W1409)</f>
        <v/>
      </c>
      <c r="Y1409" s="7">
        <f>IF($AA1409="","",R1409+U1409+P1409)</f>
        <v/>
      </c>
      <c r="Z1409" s="7">
        <f>IF($AA1409="","",Y1409-W1409-L1409)</f>
        <v/>
      </c>
      <c r="AA1409" s="13">
        <f>IF(ROWS($AA$2:$AA1409)&lt;=MAX('Per Line'!$AO$2:$AO$4001),MATCH(ROWS($AA$2:$AA1409),'Per Line'!$AO$2:$AO$4001,0),"")</f>
        <v/>
      </c>
      <c r="AB1409" s="14">
        <f>IF($AA1409="","",L1409-K1409*Y1409/100)</f>
        <v/>
      </c>
    </row>
    <row r="1410">
      <c r="A1410" s="12" t="n"/>
      <c r="B1410">
        <f>IF($AA1410="","",INDEX('Per Line'!$E$2:$E$4001,$AA1410)&amp;"")</f>
        <v/>
      </c>
      <c r="C1410">
        <f>IF($AA1410="","",INDEX('Per Line'!$A$2:$A$4001,$AA1410)&amp;"")</f>
        <v/>
      </c>
      <c r="D1410">
        <f>IF($AA1410="","",INDEX('Per Line'!$D$2:$D$4001,$AA1410)&amp;"")</f>
        <v/>
      </c>
      <c r="E1410" s="11">
        <f>IF($AA1410="","",INDEX('Per Line'!$G$2:$G$4001,$AA1410))</f>
        <v/>
      </c>
      <c r="F1410">
        <f>IF($AA1410="","",INDEX('Per Line'!$H$2:$H$4001,$AA1410)&amp;"")</f>
        <v/>
      </c>
      <c r="G1410">
        <f>IF($AA1410="","",INDEX('Per Line'!$I$2:$I$4001,$AA1410)&amp;"")</f>
        <v/>
      </c>
      <c r="H1410">
        <f>IF($AA1410="","",INDEX('Per Line'!$J$2:$J$4001,$AA1410)&amp;"")</f>
        <v/>
      </c>
      <c r="I1410">
        <f>IF($AA1410="","",INDEX('Per Line'!$K$2:$K$4001,$AA1410)&amp;"")</f>
        <v/>
      </c>
      <c r="J1410">
        <f>IF($AA1410="","",INDEX('Per Line'!$L$2:$L$4001,$AA1410)&amp;"")</f>
        <v/>
      </c>
      <c r="K1410">
        <f>IF($AA1410="","",INDEX('Per Line'!$P$2:$P$4001,$AA1410))</f>
        <v/>
      </c>
      <c r="L1410" s="7">
        <f>IF($AA1410="","",IF(AND(ISNUMBER(N1410),N1410&gt;0,Y1410&gt;N1410),K1410*N1410/100+(Y1410-N1410),K1410*Y1410/100))</f>
        <v/>
      </c>
      <c r="M1410">
        <f>IF($AA1410="","",INDEX('Per Line'!$Z$2:$Z$4001,$AA1410)&amp;"")</f>
        <v/>
      </c>
      <c r="N1410">
        <f>IF($AA1410="","",INDEX('Per Line'!$AG$2:$AG$4001,$AA1410))</f>
        <v/>
      </c>
      <c r="O1410">
        <f>IF($AA1410="","",IF(AND(ISNUMBER(N1410),N1410&gt;0),Y1410&gt;N1410,FALSE))</f>
        <v/>
      </c>
      <c r="P1410" s="7">
        <f>IF($AA1410="","",SUMIFS('Per Line'!$Y$2:$Y$4001,'Per Line'!$E$2:$E$4001,$B1410,'Per Line'!$AQ$2:$AQ$4001,1))</f>
        <v/>
      </c>
      <c r="Q1410">
        <f>IF($AA1410="","",Settings!$C$7)</f>
        <v/>
      </c>
      <c r="R1410" s="7">
        <f>IF($AA1410="","",SUMIFS('Per Line'!$Y$2:$Y$4001,'Per Line'!$E$2:$E$4001,$B1410,'Per Line'!$AP$2:$AP$4001,0,'Per Line'!$AQ$2:$AQ$4001,0))</f>
        <v/>
      </c>
      <c r="S1410" s="7">
        <f>IF($AA1410="","",R1410*Q1410)</f>
        <v/>
      </c>
      <c r="T1410">
        <f>IF($AA1410="","",Settings!$C$6)</f>
        <v/>
      </c>
      <c r="U1410" s="7">
        <f>IF($AA1410="","",SUMIFS('Per Line'!$Y$2:$Y$4001,'Per Line'!$E$2:$E$4001,$B1410,'Per Line'!$AP$2:$AP$4001,1,'Per Line'!$AQ$2:$AQ$4001,0))</f>
        <v/>
      </c>
      <c r="V1410" s="7">
        <f>IF($AA1410="","",U1410*T1410)</f>
        <v/>
      </c>
      <c r="W1410" s="7">
        <f>IF($AA1410="","",V1410+S1410)</f>
        <v/>
      </c>
      <c r="X1410" s="7">
        <f>IF($AA1410="","",Y1410-W1410)</f>
        <v/>
      </c>
      <c r="Y1410" s="7">
        <f>IF($AA1410="","",R1410+U1410+P1410)</f>
        <v/>
      </c>
      <c r="Z1410" s="7">
        <f>IF($AA1410="","",Y1410-W1410-L1410)</f>
        <v/>
      </c>
      <c r="AA1410" s="13">
        <f>IF(ROWS($AA$2:$AA1410)&lt;=MAX('Per Line'!$AO$2:$AO$4001),MATCH(ROWS($AA$2:$AA1410),'Per Line'!$AO$2:$AO$4001,0),"")</f>
        <v/>
      </c>
      <c r="AB1410" s="14">
        <f>IF($AA1410="","",L1410-K1410*Y1410/100)</f>
        <v/>
      </c>
    </row>
    <row r="1411">
      <c r="A1411" s="12" t="n"/>
      <c r="B1411">
        <f>IF($AA1411="","",INDEX('Per Line'!$E$2:$E$4001,$AA1411)&amp;"")</f>
        <v/>
      </c>
      <c r="C1411">
        <f>IF($AA1411="","",INDEX('Per Line'!$A$2:$A$4001,$AA1411)&amp;"")</f>
        <v/>
      </c>
      <c r="D1411">
        <f>IF($AA1411="","",INDEX('Per Line'!$D$2:$D$4001,$AA1411)&amp;"")</f>
        <v/>
      </c>
      <c r="E1411" s="11">
        <f>IF($AA1411="","",INDEX('Per Line'!$G$2:$G$4001,$AA1411))</f>
        <v/>
      </c>
      <c r="F1411">
        <f>IF($AA1411="","",INDEX('Per Line'!$H$2:$H$4001,$AA1411)&amp;"")</f>
        <v/>
      </c>
      <c r="G1411">
        <f>IF($AA1411="","",INDEX('Per Line'!$I$2:$I$4001,$AA1411)&amp;"")</f>
        <v/>
      </c>
      <c r="H1411">
        <f>IF($AA1411="","",INDEX('Per Line'!$J$2:$J$4001,$AA1411)&amp;"")</f>
        <v/>
      </c>
      <c r="I1411">
        <f>IF($AA1411="","",INDEX('Per Line'!$K$2:$K$4001,$AA1411)&amp;"")</f>
        <v/>
      </c>
      <c r="J1411">
        <f>IF($AA1411="","",INDEX('Per Line'!$L$2:$L$4001,$AA1411)&amp;"")</f>
        <v/>
      </c>
      <c r="K1411">
        <f>IF($AA1411="","",INDEX('Per Line'!$P$2:$P$4001,$AA1411))</f>
        <v/>
      </c>
      <c r="L1411" s="7">
        <f>IF($AA1411="","",IF(AND(ISNUMBER(N1411),N1411&gt;0,Y1411&gt;N1411),K1411*N1411/100+(Y1411-N1411),K1411*Y1411/100))</f>
        <v/>
      </c>
      <c r="M1411">
        <f>IF($AA1411="","",INDEX('Per Line'!$Z$2:$Z$4001,$AA1411)&amp;"")</f>
        <v/>
      </c>
      <c r="N1411">
        <f>IF($AA1411="","",INDEX('Per Line'!$AG$2:$AG$4001,$AA1411))</f>
        <v/>
      </c>
      <c r="O1411">
        <f>IF($AA1411="","",IF(AND(ISNUMBER(N1411),N1411&gt;0),Y1411&gt;N1411,FALSE))</f>
        <v/>
      </c>
      <c r="P1411" s="7">
        <f>IF($AA1411="","",SUMIFS('Per Line'!$Y$2:$Y$4001,'Per Line'!$E$2:$E$4001,$B1411,'Per Line'!$AQ$2:$AQ$4001,1))</f>
        <v/>
      </c>
      <c r="Q1411">
        <f>IF($AA1411="","",Settings!$C$7)</f>
        <v/>
      </c>
      <c r="R1411" s="7">
        <f>IF($AA1411="","",SUMIFS('Per Line'!$Y$2:$Y$4001,'Per Line'!$E$2:$E$4001,$B1411,'Per Line'!$AP$2:$AP$4001,0,'Per Line'!$AQ$2:$AQ$4001,0))</f>
        <v/>
      </c>
      <c r="S1411" s="7">
        <f>IF($AA1411="","",R1411*Q1411)</f>
        <v/>
      </c>
      <c r="T1411">
        <f>IF($AA1411="","",Settings!$C$6)</f>
        <v/>
      </c>
      <c r="U1411" s="7">
        <f>IF($AA1411="","",SUMIFS('Per Line'!$Y$2:$Y$4001,'Per Line'!$E$2:$E$4001,$B1411,'Per Line'!$AP$2:$AP$4001,1,'Per Line'!$AQ$2:$AQ$4001,0))</f>
        <v/>
      </c>
      <c r="V1411" s="7">
        <f>IF($AA1411="","",U1411*T1411)</f>
        <v/>
      </c>
      <c r="W1411" s="7">
        <f>IF($AA1411="","",V1411+S1411)</f>
        <v/>
      </c>
      <c r="X1411" s="7">
        <f>IF($AA1411="","",Y1411-W1411)</f>
        <v/>
      </c>
      <c r="Y1411" s="7">
        <f>IF($AA1411="","",R1411+U1411+P1411)</f>
        <v/>
      </c>
      <c r="Z1411" s="7">
        <f>IF($AA1411="","",Y1411-W1411-L1411)</f>
        <v/>
      </c>
      <c r="AA1411" s="13">
        <f>IF(ROWS($AA$2:$AA1411)&lt;=MAX('Per Line'!$AO$2:$AO$4001),MATCH(ROWS($AA$2:$AA1411),'Per Line'!$AO$2:$AO$4001,0),"")</f>
        <v/>
      </c>
      <c r="AB1411" s="14">
        <f>IF($AA1411="","",L1411-K1411*Y1411/100)</f>
        <v/>
      </c>
    </row>
    <row r="1412">
      <c r="A1412" s="12" t="n"/>
      <c r="B1412">
        <f>IF($AA1412="","",INDEX('Per Line'!$E$2:$E$4001,$AA1412)&amp;"")</f>
        <v/>
      </c>
      <c r="C1412">
        <f>IF($AA1412="","",INDEX('Per Line'!$A$2:$A$4001,$AA1412)&amp;"")</f>
        <v/>
      </c>
      <c r="D1412">
        <f>IF($AA1412="","",INDEX('Per Line'!$D$2:$D$4001,$AA1412)&amp;"")</f>
        <v/>
      </c>
      <c r="E1412" s="11">
        <f>IF($AA1412="","",INDEX('Per Line'!$G$2:$G$4001,$AA1412))</f>
        <v/>
      </c>
      <c r="F1412">
        <f>IF($AA1412="","",INDEX('Per Line'!$H$2:$H$4001,$AA1412)&amp;"")</f>
        <v/>
      </c>
      <c r="G1412">
        <f>IF($AA1412="","",INDEX('Per Line'!$I$2:$I$4001,$AA1412)&amp;"")</f>
        <v/>
      </c>
      <c r="H1412">
        <f>IF($AA1412="","",INDEX('Per Line'!$J$2:$J$4001,$AA1412)&amp;"")</f>
        <v/>
      </c>
      <c r="I1412">
        <f>IF($AA1412="","",INDEX('Per Line'!$K$2:$K$4001,$AA1412)&amp;"")</f>
        <v/>
      </c>
      <c r="J1412">
        <f>IF($AA1412="","",INDEX('Per Line'!$L$2:$L$4001,$AA1412)&amp;"")</f>
        <v/>
      </c>
      <c r="K1412">
        <f>IF($AA1412="","",INDEX('Per Line'!$P$2:$P$4001,$AA1412))</f>
        <v/>
      </c>
      <c r="L1412" s="7">
        <f>IF($AA1412="","",IF(AND(ISNUMBER(N1412),N1412&gt;0,Y1412&gt;N1412),K1412*N1412/100+(Y1412-N1412),K1412*Y1412/100))</f>
        <v/>
      </c>
      <c r="M1412">
        <f>IF($AA1412="","",INDEX('Per Line'!$Z$2:$Z$4001,$AA1412)&amp;"")</f>
        <v/>
      </c>
      <c r="N1412">
        <f>IF($AA1412="","",INDEX('Per Line'!$AG$2:$AG$4001,$AA1412))</f>
        <v/>
      </c>
      <c r="O1412">
        <f>IF($AA1412="","",IF(AND(ISNUMBER(N1412),N1412&gt;0),Y1412&gt;N1412,FALSE))</f>
        <v/>
      </c>
      <c r="P1412" s="7">
        <f>IF($AA1412="","",SUMIFS('Per Line'!$Y$2:$Y$4001,'Per Line'!$E$2:$E$4001,$B1412,'Per Line'!$AQ$2:$AQ$4001,1))</f>
        <v/>
      </c>
      <c r="Q1412">
        <f>IF($AA1412="","",Settings!$C$7)</f>
        <v/>
      </c>
      <c r="R1412" s="7">
        <f>IF($AA1412="","",SUMIFS('Per Line'!$Y$2:$Y$4001,'Per Line'!$E$2:$E$4001,$B1412,'Per Line'!$AP$2:$AP$4001,0,'Per Line'!$AQ$2:$AQ$4001,0))</f>
        <v/>
      </c>
      <c r="S1412" s="7">
        <f>IF($AA1412="","",R1412*Q1412)</f>
        <v/>
      </c>
      <c r="T1412">
        <f>IF($AA1412="","",Settings!$C$6)</f>
        <v/>
      </c>
      <c r="U1412" s="7">
        <f>IF($AA1412="","",SUMIFS('Per Line'!$Y$2:$Y$4001,'Per Line'!$E$2:$E$4001,$B1412,'Per Line'!$AP$2:$AP$4001,1,'Per Line'!$AQ$2:$AQ$4001,0))</f>
        <v/>
      </c>
      <c r="V1412" s="7">
        <f>IF($AA1412="","",U1412*T1412)</f>
        <v/>
      </c>
      <c r="W1412" s="7">
        <f>IF($AA1412="","",V1412+S1412)</f>
        <v/>
      </c>
      <c r="X1412" s="7">
        <f>IF($AA1412="","",Y1412-W1412)</f>
        <v/>
      </c>
      <c r="Y1412" s="7">
        <f>IF($AA1412="","",R1412+U1412+P1412)</f>
        <v/>
      </c>
      <c r="Z1412" s="7">
        <f>IF($AA1412="","",Y1412-W1412-L1412)</f>
        <v/>
      </c>
      <c r="AA1412" s="13">
        <f>IF(ROWS($AA$2:$AA1412)&lt;=MAX('Per Line'!$AO$2:$AO$4001),MATCH(ROWS($AA$2:$AA1412),'Per Line'!$AO$2:$AO$4001,0),"")</f>
        <v/>
      </c>
      <c r="AB1412" s="14">
        <f>IF($AA1412="","",L1412-K1412*Y1412/100)</f>
        <v/>
      </c>
    </row>
    <row r="1413">
      <c r="A1413" s="12" t="n"/>
      <c r="B1413">
        <f>IF($AA1413="","",INDEX('Per Line'!$E$2:$E$4001,$AA1413)&amp;"")</f>
        <v/>
      </c>
      <c r="C1413">
        <f>IF($AA1413="","",INDEX('Per Line'!$A$2:$A$4001,$AA1413)&amp;"")</f>
        <v/>
      </c>
      <c r="D1413">
        <f>IF($AA1413="","",INDEX('Per Line'!$D$2:$D$4001,$AA1413)&amp;"")</f>
        <v/>
      </c>
      <c r="E1413" s="11">
        <f>IF($AA1413="","",INDEX('Per Line'!$G$2:$G$4001,$AA1413))</f>
        <v/>
      </c>
      <c r="F1413">
        <f>IF($AA1413="","",INDEX('Per Line'!$H$2:$H$4001,$AA1413)&amp;"")</f>
        <v/>
      </c>
      <c r="G1413">
        <f>IF($AA1413="","",INDEX('Per Line'!$I$2:$I$4001,$AA1413)&amp;"")</f>
        <v/>
      </c>
      <c r="H1413">
        <f>IF($AA1413="","",INDEX('Per Line'!$J$2:$J$4001,$AA1413)&amp;"")</f>
        <v/>
      </c>
      <c r="I1413">
        <f>IF($AA1413="","",INDEX('Per Line'!$K$2:$K$4001,$AA1413)&amp;"")</f>
        <v/>
      </c>
      <c r="J1413">
        <f>IF($AA1413="","",INDEX('Per Line'!$L$2:$L$4001,$AA1413)&amp;"")</f>
        <v/>
      </c>
      <c r="K1413">
        <f>IF($AA1413="","",INDEX('Per Line'!$P$2:$P$4001,$AA1413))</f>
        <v/>
      </c>
      <c r="L1413" s="7">
        <f>IF($AA1413="","",IF(AND(ISNUMBER(N1413),N1413&gt;0,Y1413&gt;N1413),K1413*N1413/100+(Y1413-N1413),K1413*Y1413/100))</f>
        <v/>
      </c>
      <c r="M1413">
        <f>IF($AA1413="","",INDEX('Per Line'!$Z$2:$Z$4001,$AA1413)&amp;"")</f>
        <v/>
      </c>
      <c r="N1413">
        <f>IF($AA1413="","",INDEX('Per Line'!$AG$2:$AG$4001,$AA1413))</f>
        <v/>
      </c>
      <c r="O1413">
        <f>IF($AA1413="","",IF(AND(ISNUMBER(N1413),N1413&gt;0),Y1413&gt;N1413,FALSE))</f>
        <v/>
      </c>
      <c r="P1413" s="7">
        <f>IF($AA1413="","",SUMIFS('Per Line'!$Y$2:$Y$4001,'Per Line'!$E$2:$E$4001,$B1413,'Per Line'!$AQ$2:$AQ$4001,1))</f>
        <v/>
      </c>
      <c r="Q1413">
        <f>IF($AA1413="","",Settings!$C$7)</f>
        <v/>
      </c>
      <c r="R1413" s="7">
        <f>IF($AA1413="","",SUMIFS('Per Line'!$Y$2:$Y$4001,'Per Line'!$E$2:$E$4001,$B1413,'Per Line'!$AP$2:$AP$4001,0,'Per Line'!$AQ$2:$AQ$4001,0))</f>
        <v/>
      </c>
      <c r="S1413" s="7">
        <f>IF($AA1413="","",R1413*Q1413)</f>
        <v/>
      </c>
      <c r="T1413">
        <f>IF($AA1413="","",Settings!$C$6)</f>
        <v/>
      </c>
      <c r="U1413" s="7">
        <f>IF($AA1413="","",SUMIFS('Per Line'!$Y$2:$Y$4001,'Per Line'!$E$2:$E$4001,$B1413,'Per Line'!$AP$2:$AP$4001,1,'Per Line'!$AQ$2:$AQ$4001,0))</f>
        <v/>
      </c>
      <c r="V1413" s="7">
        <f>IF($AA1413="","",U1413*T1413)</f>
        <v/>
      </c>
      <c r="W1413" s="7">
        <f>IF($AA1413="","",V1413+S1413)</f>
        <v/>
      </c>
      <c r="X1413" s="7">
        <f>IF($AA1413="","",Y1413-W1413)</f>
        <v/>
      </c>
      <c r="Y1413" s="7">
        <f>IF($AA1413="","",R1413+U1413+P1413)</f>
        <v/>
      </c>
      <c r="Z1413" s="7">
        <f>IF($AA1413="","",Y1413-W1413-L1413)</f>
        <v/>
      </c>
      <c r="AA1413" s="13">
        <f>IF(ROWS($AA$2:$AA1413)&lt;=MAX('Per Line'!$AO$2:$AO$4001),MATCH(ROWS($AA$2:$AA1413),'Per Line'!$AO$2:$AO$4001,0),"")</f>
        <v/>
      </c>
      <c r="AB1413" s="14">
        <f>IF($AA1413="","",L1413-K1413*Y1413/100)</f>
        <v/>
      </c>
    </row>
    <row r="1414">
      <c r="A1414" s="12" t="n"/>
      <c r="B1414">
        <f>IF($AA1414="","",INDEX('Per Line'!$E$2:$E$4001,$AA1414)&amp;"")</f>
        <v/>
      </c>
      <c r="C1414">
        <f>IF($AA1414="","",INDEX('Per Line'!$A$2:$A$4001,$AA1414)&amp;"")</f>
        <v/>
      </c>
      <c r="D1414">
        <f>IF($AA1414="","",INDEX('Per Line'!$D$2:$D$4001,$AA1414)&amp;"")</f>
        <v/>
      </c>
      <c r="E1414" s="11">
        <f>IF($AA1414="","",INDEX('Per Line'!$G$2:$G$4001,$AA1414))</f>
        <v/>
      </c>
      <c r="F1414">
        <f>IF($AA1414="","",INDEX('Per Line'!$H$2:$H$4001,$AA1414)&amp;"")</f>
        <v/>
      </c>
      <c r="G1414">
        <f>IF($AA1414="","",INDEX('Per Line'!$I$2:$I$4001,$AA1414)&amp;"")</f>
        <v/>
      </c>
      <c r="H1414">
        <f>IF($AA1414="","",INDEX('Per Line'!$J$2:$J$4001,$AA1414)&amp;"")</f>
        <v/>
      </c>
      <c r="I1414">
        <f>IF($AA1414="","",INDEX('Per Line'!$K$2:$K$4001,$AA1414)&amp;"")</f>
        <v/>
      </c>
      <c r="J1414">
        <f>IF($AA1414="","",INDEX('Per Line'!$L$2:$L$4001,$AA1414)&amp;"")</f>
        <v/>
      </c>
      <c r="K1414">
        <f>IF($AA1414="","",INDEX('Per Line'!$P$2:$P$4001,$AA1414))</f>
        <v/>
      </c>
      <c r="L1414" s="7">
        <f>IF($AA1414="","",IF(AND(ISNUMBER(N1414),N1414&gt;0,Y1414&gt;N1414),K1414*N1414/100+(Y1414-N1414),K1414*Y1414/100))</f>
        <v/>
      </c>
      <c r="M1414">
        <f>IF($AA1414="","",INDEX('Per Line'!$Z$2:$Z$4001,$AA1414)&amp;"")</f>
        <v/>
      </c>
      <c r="N1414">
        <f>IF($AA1414="","",INDEX('Per Line'!$AG$2:$AG$4001,$AA1414))</f>
        <v/>
      </c>
      <c r="O1414">
        <f>IF($AA1414="","",IF(AND(ISNUMBER(N1414),N1414&gt;0),Y1414&gt;N1414,FALSE))</f>
        <v/>
      </c>
      <c r="P1414" s="7">
        <f>IF($AA1414="","",SUMIFS('Per Line'!$Y$2:$Y$4001,'Per Line'!$E$2:$E$4001,$B1414,'Per Line'!$AQ$2:$AQ$4001,1))</f>
        <v/>
      </c>
      <c r="Q1414">
        <f>IF($AA1414="","",Settings!$C$7)</f>
        <v/>
      </c>
      <c r="R1414" s="7">
        <f>IF($AA1414="","",SUMIFS('Per Line'!$Y$2:$Y$4001,'Per Line'!$E$2:$E$4001,$B1414,'Per Line'!$AP$2:$AP$4001,0,'Per Line'!$AQ$2:$AQ$4001,0))</f>
        <v/>
      </c>
      <c r="S1414" s="7">
        <f>IF($AA1414="","",R1414*Q1414)</f>
        <v/>
      </c>
      <c r="T1414">
        <f>IF($AA1414="","",Settings!$C$6)</f>
        <v/>
      </c>
      <c r="U1414" s="7">
        <f>IF($AA1414="","",SUMIFS('Per Line'!$Y$2:$Y$4001,'Per Line'!$E$2:$E$4001,$B1414,'Per Line'!$AP$2:$AP$4001,1,'Per Line'!$AQ$2:$AQ$4001,0))</f>
        <v/>
      </c>
      <c r="V1414" s="7">
        <f>IF($AA1414="","",U1414*T1414)</f>
        <v/>
      </c>
      <c r="W1414" s="7">
        <f>IF($AA1414="","",V1414+S1414)</f>
        <v/>
      </c>
      <c r="X1414" s="7">
        <f>IF($AA1414="","",Y1414-W1414)</f>
        <v/>
      </c>
      <c r="Y1414" s="7">
        <f>IF($AA1414="","",R1414+U1414+P1414)</f>
        <v/>
      </c>
      <c r="Z1414" s="7">
        <f>IF($AA1414="","",Y1414-W1414-L1414)</f>
        <v/>
      </c>
      <c r="AA1414" s="13">
        <f>IF(ROWS($AA$2:$AA1414)&lt;=MAX('Per Line'!$AO$2:$AO$4001),MATCH(ROWS($AA$2:$AA1414),'Per Line'!$AO$2:$AO$4001,0),"")</f>
        <v/>
      </c>
      <c r="AB1414" s="14">
        <f>IF($AA1414="","",L1414-K1414*Y1414/100)</f>
        <v/>
      </c>
    </row>
    <row r="1415">
      <c r="A1415" s="12" t="n"/>
      <c r="B1415">
        <f>IF($AA1415="","",INDEX('Per Line'!$E$2:$E$4001,$AA1415)&amp;"")</f>
        <v/>
      </c>
      <c r="C1415">
        <f>IF($AA1415="","",INDEX('Per Line'!$A$2:$A$4001,$AA1415)&amp;"")</f>
        <v/>
      </c>
      <c r="D1415">
        <f>IF($AA1415="","",INDEX('Per Line'!$D$2:$D$4001,$AA1415)&amp;"")</f>
        <v/>
      </c>
      <c r="E1415" s="11">
        <f>IF($AA1415="","",INDEX('Per Line'!$G$2:$G$4001,$AA1415))</f>
        <v/>
      </c>
      <c r="F1415">
        <f>IF($AA1415="","",INDEX('Per Line'!$H$2:$H$4001,$AA1415)&amp;"")</f>
        <v/>
      </c>
      <c r="G1415">
        <f>IF($AA1415="","",INDEX('Per Line'!$I$2:$I$4001,$AA1415)&amp;"")</f>
        <v/>
      </c>
      <c r="H1415">
        <f>IF($AA1415="","",INDEX('Per Line'!$J$2:$J$4001,$AA1415)&amp;"")</f>
        <v/>
      </c>
      <c r="I1415">
        <f>IF($AA1415="","",INDEX('Per Line'!$K$2:$K$4001,$AA1415)&amp;"")</f>
        <v/>
      </c>
      <c r="J1415">
        <f>IF($AA1415="","",INDEX('Per Line'!$L$2:$L$4001,$AA1415)&amp;"")</f>
        <v/>
      </c>
      <c r="K1415">
        <f>IF($AA1415="","",INDEX('Per Line'!$P$2:$P$4001,$AA1415))</f>
        <v/>
      </c>
      <c r="L1415" s="7">
        <f>IF($AA1415="","",IF(AND(ISNUMBER(N1415),N1415&gt;0,Y1415&gt;N1415),K1415*N1415/100+(Y1415-N1415),K1415*Y1415/100))</f>
        <v/>
      </c>
      <c r="M1415">
        <f>IF($AA1415="","",INDEX('Per Line'!$Z$2:$Z$4001,$AA1415)&amp;"")</f>
        <v/>
      </c>
      <c r="N1415">
        <f>IF($AA1415="","",INDEX('Per Line'!$AG$2:$AG$4001,$AA1415))</f>
        <v/>
      </c>
      <c r="O1415">
        <f>IF($AA1415="","",IF(AND(ISNUMBER(N1415),N1415&gt;0),Y1415&gt;N1415,FALSE))</f>
        <v/>
      </c>
      <c r="P1415" s="7">
        <f>IF($AA1415="","",SUMIFS('Per Line'!$Y$2:$Y$4001,'Per Line'!$E$2:$E$4001,$B1415,'Per Line'!$AQ$2:$AQ$4001,1))</f>
        <v/>
      </c>
      <c r="Q1415">
        <f>IF($AA1415="","",Settings!$C$7)</f>
        <v/>
      </c>
      <c r="R1415" s="7">
        <f>IF($AA1415="","",SUMIFS('Per Line'!$Y$2:$Y$4001,'Per Line'!$E$2:$E$4001,$B1415,'Per Line'!$AP$2:$AP$4001,0,'Per Line'!$AQ$2:$AQ$4001,0))</f>
        <v/>
      </c>
      <c r="S1415" s="7">
        <f>IF($AA1415="","",R1415*Q1415)</f>
        <v/>
      </c>
      <c r="T1415">
        <f>IF($AA1415="","",Settings!$C$6)</f>
        <v/>
      </c>
      <c r="U1415" s="7">
        <f>IF($AA1415="","",SUMIFS('Per Line'!$Y$2:$Y$4001,'Per Line'!$E$2:$E$4001,$B1415,'Per Line'!$AP$2:$AP$4001,1,'Per Line'!$AQ$2:$AQ$4001,0))</f>
        <v/>
      </c>
      <c r="V1415" s="7">
        <f>IF($AA1415="","",U1415*T1415)</f>
        <v/>
      </c>
      <c r="W1415" s="7">
        <f>IF($AA1415="","",V1415+S1415)</f>
        <v/>
      </c>
      <c r="X1415" s="7">
        <f>IF($AA1415="","",Y1415-W1415)</f>
        <v/>
      </c>
      <c r="Y1415" s="7">
        <f>IF($AA1415="","",R1415+U1415+P1415)</f>
        <v/>
      </c>
      <c r="Z1415" s="7">
        <f>IF($AA1415="","",Y1415-W1415-L1415)</f>
        <v/>
      </c>
      <c r="AA1415" s="13">
        <f>IF(ROWS($AA$2:$AA1415)&lt;=MAX('Per Line'!$AO$2:$AO$4001),MATCH(ROWS($AA$2:$AA1415),'Per Line'!$AO$2:$AO$4001,0),"")</f>
        <v/>
      </c>
      <c r="AB1415" s="14">
        <f>IF($AA1415="","",L1415-K1415*Y1415/100)</f>
        <v/>
      </c>
    </row>
    <row r="1416">
      <c r="A1416" s="12" t="n"/>
      <c r="B1416">
        <f>IF($AA1416="","",INDEX('Per Line'!$E$2:$E$4001,$AA1416)&amp;"")</f>
        <v/>
      </c>
      <c r="C1416">
        <f>IF($AA1416="","",INDEX('Per Line'!$A$2:$A$4001,$AA1416)&amp;"")</f>
        <v/>
      </c>
      <c r="D1416">
        <f>IF($AA1416="","",INDEX('Per Line'!$D$2:$D$4001,$AA1416)&amp;"")</f>
        <v/>
      </c>
      <c r="E1416" s="11">
        <f>IF($AA1416="","",INDEX('Per Line'!$G$2:$G$4001,$AA1416))</f>
        <v/>
      </c>
      <c r="F1416">
        <f>IF($AA1416="","",INDEX('Per Line'!$H$2:$H$4001,$AA1416)&amp;"")</f>
        <v/>
      </c>
      <c r="G1416">
        <f>IF($AA1416="","",INDEX('Per Line'!$I$2:$I$4001,$AA1416)&amp;"")</f>
        <v/>
      </c>
      <c r="H1416">
        <f>IF($AA1416="","",INDEX('Per Line'!$J$2:$J$4001,$AA1416)&amp;"")</f>
        <v/>
      </c>
      <c r="I1416">
        <f>IF($AA1416="","",INDEX('Per Line'!$K$2:$K$4001,$AA1416)&amp;"")</f>
        <v/>
      </c>
      <c r="J1416">
        <f>IF($AA1416="","",INDEX('Per Line'!$L$2:$L$4001,$AA1416)&amp;"")</f>
        <v/>
      </c>
      <c r="K1416">
        <f>IF($AA1416="","",INDEX('Per Line'!$P$2:$P$4001,$AA1416))</f>
        <v/>
      </c>
      <c r="L1416" s="7">
        <f>IF($AA1416="","",IF(AND(ISNUMBER(N1416),N1416&gt;0,Y1416&gt;N1416),K1416*N1416/100+(Y1416-N1416),K1416*Y1416/100))</f>
        <v/>
      </c>
      <c r="M1416">
        <f>IF($AA1416="","",INDEX('Per Line'!$Z$2:$Z$4001,$AA1416)&amp;"")</f>
        <v/>
      </c>
      <c r="N1416">
        <f>IF($AA1416="","",INDEX('Per Line'!$AG$2:$AG$4001,$AA1416))</f>
        <v/>
      </c>
      <c r="O1416">
        <f>IF($AA1416="","",IF(AND(ISNUMBER(N1416),N1416&gt;0),Y1416&gt;N1416,FALSE))</f>
        <v/>
      </c>
      <c r="P1416" s="7">
        <f>IF($AA1416="","",SUMIFS('Per Line'!$Y$2:$Y$4001,'Per Line'!$E$2:$E$4001,$B1416,'Per Line'!$AQ$2:$AQ$4001,1))</f>
        <v/>
      </c>
      <c r="Q1416">
        <f>IF($AA1416="","",Settings!$C$7)</f>
        <v/>
      </c>
      <c r="R1416" s="7">
        <f>IF($AA1416="","",SUMIFS('Per Line'!$Y$2:$Y$4001,'Per Line'!$E$2:$E$4001,$B1416,'Per Line'!$AP$2:$AP$4001,0,'Per Line'!$AQ$2:$AQ$4001,0))</f>
        <v/>
      </c>
      <c r="S1416" s="7">
        <f>IF($AA1416="","",R1416*Q1416)</f>
        <v/>
      </c>
      <c r="T1416">
        <f>IF($AA1416="","",Settings!$C$6)</f>
        <v/>
      </c>
      <c r="U1416" s="7">
        <f>IF($AA1416="","",SUMIFS('Per Line'!$Y$2:$Y$4001,'Per Line'!$E$2:$E$4001,$B1416,'Per Line'!$AP$2:$AP$4001,1,'Per Line'!$AQ$2:$AQ$4001,0))</f>
        <v/>
      </c>
      <c r="V1416" s="7">
        <f>IF($AA1416="","",U1416*T1416)</f>
        <v/>
      </c>
      <c r="W1416" s="7">
        <f>IF($AA1416="","",V1416+S1416)</f>
        <v/>
      </c>
      <c r="X1416" s="7">
        <f>IF($AA1416="","",Y1416-W1416)</f>
        <v/>
      </c>
      <c r="Y1416" s="7">
        <f>IF($AA1416="","",R1416+U1416+P1416)</f>
        <v/>
      </c>
      <c r="Z1416" s="7">
        <f>IF($AA1416="","",Y1416-W1416-L1416)</f>
        <v/>
      </c>
      <c r="AA1416" s="13">
        <f>IF(ROWS($AA$2:$AA1416)&lt;=MAX('Per Line'!$AO$2:$AO$4001),MATCH(ROWS($AA$2:$AA1416),'Per Line'!$AO$2:$AO$4001,0),"")</f>
        <v/>
      </c>
      <c r="AB1416" s="14">
        <f>IF($AA1416="","",L1416-K1416*Y1416/100)</f>
        <v/>
      </c>
    </row>
    <row r="1417">
      <c r="A1417" s="12" t="n"/>
      <c r="B1417">
        <f>IF($AA1417="","",INDEX('Per Line'!$E$2:$E$4001,$AA1417)&amp;"")</f>
        <v/>
      </c>
      <c r="C1417">
        <f>IF($AA1417="","",INDEX('Per Line'!$A$2:$A$4001,$AA1417)&amp;"")</f>
        <v/>
      </c>
      <c r="D1417">
        <f>IF($AA1417="","",INDEX('Per Line'!$D$2:$D$4001,$AA1417)&amp;"")</f>
        <v/>
      </c>
      <c r="E1417" s="11">
        <f>IF($AA1417="","",INDEX('Per Line'!$G$2:$G$4001,$AA1417))</f>
        <v/>
      </c>
      <c r="F1417">
        <f>IF($AA1417="","",INDEX('Per Line'!$H$2:$H$4001,$AA1417)&amp;"")</f>
        <v/>
      </c>
      <c r="G1417">
        <f>IF($AA1417="","",INDEX('Per Line'!$I$2:$I$4001,$AA1417)&amp;"")</f>
        <v/>
      </c>
      <c r="H1417">
        <f>IF($AA1417="","",INDEX('Per Line'!$J$2:$J$4001,$AA1417)&amp;"")</f>
        <v/>
      </c>
      <c r="I1417">
        <f>IF($AA1417="","",INDEX('Per Line'!$K$2:$K$4001,$AA1417)&amp;"")</f>
        <v/>
      </c>
      <c r="J1417">
        <f>IF($AA1417="","",INDEX('Per Line'!$L$2:$L$4001,$AA1417)&amp;"")</f>
        <v/>
      </c>
      <c r="K1417">
        <f>IF($AA1417="","",INDEX('Per Line'!$P$2:$P$4001,$AA1417))</f>
        <v/>
      </c>
      <c r="L1417" s="7">
        <f>IF($AA1417="","",IF(AND(ISNUMBER(N1417),N1417&gt;0,Y1417&gt;N1417),K1417*N1417/100+(Y1417-N1417),K1417*Y1417/100))</f>
        <v/>
      </c>
      <c r="M1417">
        <f>IF($AA1417="","",INDEX('Per Line'!$Z$2:$Z$4001,$AA1417)&amp;"")</f>
        <v/>
      </c>
      <c r="N1417">
        <f>IF($AA1417="","",INDEX('Per Line'!$AG$2:$AG$4001,$AA1417))</f>
        <v/>
      </c>
      <c r="O1417">
        <f>IF($AA1417="","",IF(AND(ISNUMBER(N1417),N1417&gt;0),Y1417&gt;N1417,FALSE))</f>
        <v/>
      </c>
      <c r="P1417" s="7">
        <f>IF($AA1417="","",SUMIFS('Per Line'!$Y$2:$Y$4001,'Per Line'!$E$2:$E$4001,$B1417,'Per Line'!$AQ$2:$AQ$4001,1))</f>
        <v/>
      </c>
      <c r="Q1417">
        <f>IF($AA1417="","",Settings!$C$7)</f>
        <v/>
      </c>
      <c r="R1417" s="7">
        <f>IF($AA1417="","",SUMIFS('Per Line'!$Y$2:$Y$4001,'Per Line'!$E$2:$E$4001,$B1417,'Per Line'!$AP$2:$AP$4001,0,'Per Line'!$AQ$2:$AQ$4001,0))</f>
        <v/>
      </c>
      <c r="S1417" s="7">
        <f>IF($AA1417="","",R1417*Q1417)</f>
        <v/>
      </c>
      <c r="T1417">
        <f>IF($AA1417="","",Settings!$C$6)</f>
        <v/>
      </c>
      <c r="U1417" s="7">
        <f>IF($AA1417="","",SUMIFS('Per Line'!$Y$2:$Y$4001,'Per Line'!$E$2:$E$4001,$B1417,'Per Line'!$AP$2:$AP$4001,1,'Per Line'!$AQ$2:$AQ$4001,0))</f>
        <v/>
      </c>
      <c r="V1417" s="7">
        <f>IF($AA1417="","",U1417*T1417)</f>
        <v/>
      </c>
      <c r="W1417" s="7">
        <f>IF($AA1417="","",V1417+S1417)</f>
        <v/>
      </c>
      <c r="X1417" s="7">
        <f>IF($AA1417="","",Y1417-W1417)</f>
        <v/>
      </c>
      <c r="Y1417" s="7">
        <f>IF($AA1417="","",R1417+U1417+P1417)</f>
        <v/>
      </c>
      <c r="Z1417" s="7">
        <f>IF($AA1417="","",Y1417-W1417-L1417)</f>
        <v/>
      </c>
      <c r="AA1417" s="13">
        <f>IF(ROWS($AA$2:$AA1417)&lt;=MAX('Per Line'!$AO$2:$AO$4001),MATCH(ROWS($AA$2:$AA1417),'Per Line'!$AO$2:$AO$4001,0),"")</f>
        <v/>
      </c>
      <c r="AB1417" s="14">
        <f>IF($AA1417="","",L1417-K1417*Y1417/100)</f>
        <v/>
      </c>
    </row>
    <row r="1418">
      <c r="A1418" s="12" t="n"/>
      <c r="B1418">
        <f>IF($AA1418="","",INDEX('Per Line'!$E$2:$E$4001,$AA1418)&amp;"")</f>
        <v/>
      </c>
      <c r="C1418">
        <f>IF($AA1418="","",INDEX('Per Line'!$A$2:$A$4001,$AA1418)&amp;"")</f>
        <v/>
      </c>
      <c r="D1418">
        <f>IF($AA1418="","",INDEX('Per Line'!$D$2:$D$4001,$AA1418)&amp;"")</f>
        <v/>
      </c>
      <c r="E1418" s="11">
        <f>IF($AA1418="","",INDEX('Per Line'!$G$2:$G$4001,$AA1418))</f>
        <v/>
      </c>
      <c r="F1418">
        <f>IF($AA1418="","",INDEX('Per Line'!$H$2:$H$4001,$AA1418)&amp;"")</f>
        <v/>
      </c>
      <c r="G1418">
        <f>IF($AA1418="","",INDEX('Per Line'!$I$2:$I$4001,$AA1418)&amp;"")</f>
        <v/>
      </c>
      <c r="H1418">
        <f>IF($AA1418="","",INDEX('Per Line'!$J$2:$J$4001,$AA1418)&amp;"")</f>
        <v/>
      </c>
      <c r="I1418">
        <f>IF($AA1418="","",INDEX('Per Line'!$K$2:$K$4001,$AA1418)&amp;"")</f>
        <v/>
      </c>
      <c r="J1418">
        <f>IF($AA1418="","",INDEX('Per Line'!$L$2:$L$4001,$AA1418)&amp;"")</f>
        <v/>
      </c>
      <c r="K1418">
        <f>IF($AA1418="","",INDEX('Per Line'!$P$2:$P$4001,$AA1418))</f>
        <v/>
      </c>
      <c r="L1418" s="7">
        <f>IF($AA1418="","",IF(AND(ISNUMBER(N1418),N1418&gt;0,Y1418&gt;N1418),K1418*N1418/100+(Y1418-N1418),K1418*Y1418/100))</f>
        <v/>
      </c>
      <c r="M1418">
        <f>IF($AA1418="","",INDEX('Per Line'!$Z$2:$Z$4001,$AA1418)&amp;"")</f>
        <v/>
      </c>
      <c r="N1418">
        <f>IF($AA1418="","",INDEX('Per Line'!$AG$2:$AG$4001,$AA1418))</f>
        <v/>
      </c>
      <c r="O1418">
        <f>IF($AA1418="","",IF(AND(ISNUMBER(N1418),N1418&gt;0),Y1418&gt;N1418,FALSE))</f>
        <v/>
      </c>
      <c r="P1418" s="7">
        <f>IF($AA1418="","",SUMIFS('Per Line'!$Y$2:$Y$4001,'Per Line'!$E$2:$E$4001,$B1418,'Per Line'!$AQ$2:$AQ$4001,1))</f>
        <v/>
      </c>
      <c r="Q1418">
        <f>IF($AA1418="","",Settings!$C$7)</f>
        <v/>
      </c>
      <c r="R1418" s="7">
        <f>IF($AA1418="","",SUMIFS('Per Line'!$Y$2:$Y$4001,'Per Line'!$E$2:$E$4001,$B1418,'Per Line'!$AP$2:$AP$4001,0,'Per Line'!$AQ$2:$AQ$4001,0))</f>
        <v/>
      </c>
      <c r="S1418" s="7">
        <f>IF($AA1418="","",R1418*Q1418)</f>
        <v/>
      </c>
      <c r="T1418">
        <f>IF($AA1418="","",Settings!$C$6)</f>
        <v/>
      </c>
      <c r="U1418" s="7">
        <f>IF($AA1418="","",SUMIFS('Per Line'!$Y$2:$Y$4001,'Per Line'!$E$2:$E$4001,$B1418,'Per Line'!$AP$2:$AP$4001,1,'Per Line'!$AQ$2:$AQ$4001,0))</f>
        <v/>
      </c>
      <c r="V1418" s="7">
        <f>IF($AA1418="","",U1418*T1418)</f>
        <v/>
      </c>
      <c r="W1418" s="7">
        <f>IF($AA1418="","",V1418+S1418)</f>
        <v/>
      </c>
      <c r="X1418" s="7">
        <f>IF($AA1418="","",Y1418-W1418)</f>
        <v/>
      </c>
      <c r="Y1418" s="7">
        <f>IF($AA1418="","",R1418+U1418+P1418)</f>
        <v/>
      </c>
      <c r="Z1418" s="7">
        <f>IF($AA1418="","",Y1418-W1418-L1418)</f>
        <v/>
      </c>
      <c r="AA1418" s="13">
        <f>IF(ROWS($AA$2:$AA1418)&lt;=MAX('Per Line'!$AO$2:$AO$4001),MATCH(ROWS($AA$2:$AA1418),'Per Line'!$AO$2:$AO$4001,0),"")</f>
        <v/>
      </c>
      <c r="AB1418" s="14">
        <f>IF($AA1418="","",L1418-K1418*Y1418/100)</f>
        <v/>
      </c>
    </row>
    <row r="1419">
      <c r="A1419" s="12" t="n"/>
      <c r="B1419">
        <f>IF($AA1419="","",INDEX('Per Line'!$E$2:$E$4001,$AA1419)&amp;"")</f>
        <v/>
      </c>
      <c r="C1419">
        <f>IF($AA1419="","",INDEX('Per Line'!$A$2:$A$4001,$AA1419)&amp;"")</f>
        <v/>
      </c>
      <c r="D1419">
        <f>IF($AA1419="","",INDEX('Per Line'!$D$2:$D$4001,$AA1419)&amp;"")</f>
        <v/>
      </c>
      <c r="E1419" s="11">
        <f>IF($AA1419="","",INDEX('Per Line'!$G$2:$G$4001,$AA1419))</f>
        <v/>
      </c>
      <c r="F1419">
        <f>IF($AA1419="","",INDEX('Per Line'!$H$2:$H$4001,$AA1419)&amp;"")</f>
        <v/>
      </c>
      <c r="G1419">
        <f>IF($AA1419="","",INDEX('Per Line'!$I$2:$I$4001,$AA1419)&amp;"")</f>
        <v/>
      </c>
      <c r="H1419">
        <f>IF($AA1419="","",INDEX('Per Line'!$J$2:$J$4001,$AA1419)&amp;"")</f>
        <v/>
      </c>
      <c r="I1419">
        <f>IF($AA1419="","",INDEX('Per Line'!$K$2:$K$4001,$AA1419)&amp;"")</f>
        <v/>
      </c>
      <c r="J1419">
        <f>IF($AA1419="","",INDEX('Per Line'!$L$2:$L$4001,$AA1419)&amp;"")</f>
        <v/>
      </c>
      <c r="K1419">
        <f>IF($AA1419="","",INDEX('Per Line'!$P$2:$P$4001,$AA1419))</f>
        <v/>
      </c>
      <c r="L1419" s="7">
        <f>IF($AA1419="","",IF(AND(ISNUMBER(N1419),N1419&gt;0,Y1419&gt;N1419),K1419*N1419/100+(Y1419-N1419),K1419*Y1419/100))</f>
        <v/>
      </c>
      <c r="M1419">
        <f>IF($AA1419="","",INDEX('Per Line'!$Z$2:$Z$4001,$AA1419)&amp;"")</f>
        <v/>
      </c>
      <c r="N1419">
        <f>IF($AA1419="","",INDEX('Per Line'!$AG$2:$AG$4001,$AA1419))</f>
        <v/>
      </c>
      <c r="O1419">
        <f>IF($AA1419="","",IF(AND(ISNUMBER(N1419),N1419&gt;0),Y1419&gt;N1419,FALSE))</f>
        <v/>
      </c>
      <c r="P1419" s="7">
        <f>IF($AA1419="","",SUMIFS('Per Line'!$Y$2:$Y$4001,'Per Line'!$E$2:$E$4001,$B1419,'Per Line'!$AQ$2:$AQ$4001,1))</f>
        <v/>
      </c>
      <c r="Q1419">
        <f>IF($AA1419="","",Settings!$C$7)</f>
        <v/>
      </c>
      <c r="R1419" s="7">
        <f>IF($AA1419="","",SUMIFS('Per Line'!$Y$2:$Y$4001,'Per Line'!$E$2:$E$4001,$B1419,'Per Line'!$AP$2:$AP$4001,0,'Per Line'!$AQ$2:$AQ$4001,0))</f>
        <v/>
      </c>
      <c r="S1419" s="7">
        <f>IF($AA1419="","",R1419*Q1419)</f>
        <v/>
      </c>
      <c r="T1419">
        <f>IF($AA1419="","",Settings!$C$6)</f>
        <v/>
      </c>
      <c r="U1419" s="7">
        <f>IF($AA1419="","",SUMIFS('Per Line'!$Y$2:$Y$4001,'Per Line'!$E$2:$E$4001,$B1419,'Per Line'!$AP$2:$AP$4001,1,'Per Line'!$AQ$2:$AQ$4001,0))</f>
        <v/>
      </c>
      <c r="V1419" s="7">
        <f>IF($AA1419="","",U1419*T1419)</f>
        <v/>
      </c>
      <c r="W1419" s="7">
        <f>IF($AA1419="","",V1419+S1419)</f>
        <v/>
      </c>
      <c r="X1419" s="7">
        <f>IF($AA1419="","",Y1419-W1419)</f>
        <v/>
      </c>
      <c r="Y1419" s="7">
        <f>IF($AA1419="","",R1419+U1419+P1419)</f>
        <v/>
      </c>
      <c r="Z1419" s="7">
        <f>IF($AA1419="","",Y1419-W1419-L1419)</f>
        <v/>
      </c>
      <c r="AA1419" s="13">
        <f>IF(ROWS($AA$2:$AA1419)&lt;=MAX('Per Line'!$AO$2:$AO$4001),MATCH(ROWS($AA$2:$AA1419),'Per Line'!$AO$2:$AO$4001,0),"")</f>
        <v/>
      </c>
      <c r="AB1419" s="14">
        <f>IF($AA1419="","",L1419-K1419*Y1419/100)</f>
        <v/>
      </c>
    </row>
    <row r="1420">
      <c r="A1420" s="12" t="n"/>
      <c r="B1420">
        <f>IF($AA1420="","",INDEX('Per Line'!$E$2:$E$4001,$AA1420)&amp;"")</f>
        <v/>
      </c>
      <c r="C1420">
        <f>IF($AA1420="","",INDEX('Per Line'!$A$2:$A$4001,$AA1420)&amp;"")</f>
        <v/>
      </c>
      <c r="D1420">
        <f>IF($AA1420="","",INDEX('Per Line'!$D$2:$D$4001,$AA1420)&amp;"")</f>
        <v/>
      </c>
      <c r="E1420" s="11">
        <f>IF($AA1420="","",INDEX('Per Line'!$G$2:$G$4001,$AA1420))</f>
        <v/>
      </c>
      <c r="F1420">
        <f>IF($AA1420="","",INDEX('Per Line'!$H$2:$H$4001,$AA1420)&amp;"")</f>
        <v/>
      </c>
      <c r="G1420">
        <f>IF($AA1420="","",INDEX('Per Line'!$I$2:$I$4001,$AA1420)&amp;"")</f>
        <v/>
      </c>
      <c r="H1420">
        <f>IF($AA1420="","",INDEX('Per Line'!$J$2:$J$4001,$AA1420)&amp;"")</f>
        <v/>
      </c>
      <c r="I1420">
        <f>IF($AA1420="","",INDEX('Per Line'!$K$2:$K$4001,$AA1420)&amp;"")</f>
        <v/>
      </c>
      <c r="J1420">
        <f>IF($AA1420="","",INDEX('Per Line'!$L$2:$L$4001,$AA1420)&amp;"")</f>
        <v/>
      </c>
      <c r="K1420">
        <f>IF($AA1420="","",INDEX('Per Line'!$P$2:$P$4001,$AA1420))</f>
        <v/>
      </c>
      <c r="L1420" s="7">
        <f>IF($AA1420="","",IF(AND(ISNUMBER(N1420),N1420&gt;0,Y1420&gt;N1420),K1420*N1420/100+(Y1420-N1420),K1420*Y1420/100))</f>
        <v/>
      </c>
      <c r="M1420">
        <f>IF($AA1420="","",INDEX('Per Line'!$Z$2:$Z$4001,$AA1420)&amp;"")</f>
        <v/>
      </c>
      <c r="N1420">
        <f>IF($AA1420="","",INDEX('Per Line'!$AG$2:$AG$4001,$AA1420))</f>
        <v/>
      </c>
      <c r="O1420">
        <f>IF($AA1420="","",IF(AND(ISNUMBER(N1420),N1420&gt;0),Y1420&gt;N1420,FALSE))</f>
        <v/>
      </c>
      <c r="P1420" s="7">
        <f>IF($AA1420="","",SUMIFS('Per Line'!$Y$2:$Y$4001,'Per Line'!$E$2:$E$4001,$B1420,'Per Line'!$AQ$2:$AQ$4001,1))</f>
        <v/>
      </c>
      <c r="Q1420">
        <f>IF($AA1420="","",Settings!$C$7)</f>
        <v/>
      </c>
      <c r="R1420" s="7">
        <f>IF($AA1420="","",SUMIFS('Per Line'!$Y$2:$Y$4001,'Per Line'!$E$2:$E$4001,$B1420,'Per Line'!$AP$2:$AP$4001,0,'Per Line'!$AQ$2:$AQ$4001,0))</f>
        <v/>
      </c>
      <c r="S1420" s="7">
        <f>IF($AA1420="","",R1420*Q1420)</f>
        <v/>
      </c>
      <c r="T1420">
        <f>IF($AA1420="","",Settings!$C$6)</f>
        <v/>
      </c>
      <c r="U1420" s="7">
        <f>IF($AA1420="","",SUMIFS('Per Line'!$Y$2:$Y$4001,'Per Line'!$E$2:$E$4001,$B1420,'Per Line'!$AP$2:$AP$4001,1,'Per Line'!$AQ$2:$AQ$4001,0))</f>
        <v/>
      </c>
      <c r="V1420" s="7">
        <f>IF($AA1420="","",U1420*T1420)</f>
        <v/>
      </c>
      <c r="W1420" s="7">
        <f>IF($AA1420="","",V1420+S1420)</f>
        <v/>
      </c>
      <c r="X1420" s="7">
        <f>IF($AA1420="","",Y1420-W1420)</f>
        <v/>
      </c>
      <c r="Y1420" s="7">
        <f>IF($AA1420="","",R1420+U1420+P1420)</f>
        <v/>
      </c>
      <c r="Z1420" s="7">
        <f>IF($AA1420="","",Y1420-W1420-L1420)</f>
        <v/>
      </c>
      <c r="AA1420" s="13">
        <f>IF(ROWS($AA$2:$AA1420)&lt;=MAX('Per Line'!$AO$2:$AO$4001),MATCH(ROWS($AA$2:$AA1420),'Per Line'!$AO$2:$AO$4001,0),"")</f>
        <v/>
      </c>
      <c r="AB1420" s="14">
        <f>IF($AA1420="","",L1420-K1420*Y1420/100)</f>
        <v/>
      </c>
    </row>
    <row r="1421">
      <c r="A1421" s="12" t="n"/>
      <c r="B1421">
        <f>IF($AA1421="","",INDEX('Per Line'!$E$2:$E$4001,$AA1421)&amp;"")</f>
        <v/>
      </c>
      <c r="C1421">
        <f>IF($AA1421="","",INDEX('Per Line'!$A$2:$A$4001,$AA1421)&amp;"")</f>
        <v/>
      </c>
      <c r="D1421">
        <f>IF($AA1421="","",INDEX('Per Line'!$D$2:$D$4001,$AA1421)&amp;"")</f>
        <v/>
      </c>
      <c r="E1421" s="11">
        <f>IF($AA1421="","",INDEX('Per Line'!$G$2:$G$4001,$AA1421))</f>
        <v/>
      </c>
      <c r="F1421">
        <f>IF($AA1421="","",INDEX('Per Line'!$H$2:$H$4001,$AA1421)&amp;"")</f>
        <v/>
      </c>
      <c r="G1421">
        <f>IF($AA1421="","",INDEX('Per Line'!$I$2:$I$4001,$AA1421)&amp;"")</f>
        <v/>
      </c>
      <c r="H1421">
        <f>IF($AA1421="","",INDEX('Per Line'!$J$2:$J$4001,$AA1421)&amp;"")</f>
        <v/>
      </c>
      <c r="I1421">
        <f>IF($AA1421="","",INDEX('Per Line'!$K$2:$K$4001,$AA1421)&amp;"")</f>
        <v/>
      </c>
      <c r="J1421">
        <f>IF($AA1421="","",INDEX('Per Line'!$L$2:$L$4001,$AA1421)&amp;"")</f>
        <v/>
      </c>
      <c r="K1421">
        <f>IF($AA1421="","",INDEX('Per Line'!$P$2:$P$4001,$AA1421))</f>
        <v/>
      </c>
      <c r="L1421" s="7">
        <f>IF($AA1421="","",IF(AND(ISNUMBER(N1421),N1421&gt;0,Y1421&gt;N1421),K1421*N1421/100+(Y1421-N1421),K1421*Y1421/100))</f>
        <v/>
      </c>
      <c r="M1421">
        <f>IF($AA1421="","",INDEX('Per Line'!$Z$2:$Z$4001,$AA1421)&amp;"")</f>
        <v/>
      </c>
      <c r="N1421">
        <f>IF($AA1421="","",INDEX('Per Line'!$AG$2:$AG$4001,$AA1421))</f>
        <v/>
      </c>
      <c r="O1421">
        <f>IF($AA1421="","",IF(AND(ISNUMBER(N1421),N1421&gt;0),Y1421&gt;N1421,FALSE))</f>
        <v/>
      </c>
      <c r="P1421" s="7">
        <f>IF($AA1421="","",SUMIFS('Per Line'!$Y$2:$Y$4001,'Per Line'!$E$2:$E$4001,$B1421,'Per Line'!$AQ$2:$AQ$4001,1))</f>
        <v/>
      </c>
      <c r="Q1421">
        <f>IF($AA1421="","",Settings!$C$7)</f>
        <v/>
      </c>
      <c r="R1421" s="7">
        <f>IF($AA1421="","",SUMIFS('Per Line'!$Y$2:$Y$4001,'Per Line'!$E$2:$E$4001,$B1421,'Per Line'!$AP$2:$AP$4001,0,'Per Line'!$AQ$2:$AQ$4001,0))</f>
        <v/>
      </c>
      <c r="S1421" s="7">
        <f>IF($AA1421="","",R1421*Q1421)</f>
        <v/>
      </c>
      <c r="T1421">
        <f>IF($AA1421="","",Settings!$C$6)</f>
        <v/>
      </c>
      <c r="U1421" s="7">
        <f>IF($AA1421="","",SUMIFS('Per Line'!$Y$2:$Y$4001,'Per Line'!$E$2:$E$4001,$B1421,'Per Line'!$AP$2:$AP$4001,1,'Per Line'!$AQ$2:$AQ$4001,0))</f>
        <v/>
      </c>
      <c r="V1421" s="7">
        <f>IF($AA1421="","",U1421*T1421)</f>
        <v/>
      </c>
      <c r="W1421" s="7">
        <f>IF($AA1421="","",V1421+S1421)</f>
        <v/>
      </c>
      <c r="X1421" s="7">
        <f>IF($AA1421="","",Y1421-W1421)</f>
        <v/>
      </c>
      <c r="Y1421" s="7">
        <f>IF($AA1421="","",R1421+U1421+P1421)</f>
        <v/>
      </c>
      <c r="Z1421" s="7">
        <f>IF($AA1421="","",Y1421-W1421-L1421)</f>
        <v/>
      </c>
      <c r="AA1421" s="13">
        <f>IF(ROWS($AA$2:$AA1421)&lt;=MAX('Per Line'!$AO$2:$AO$4001),MATCH(ROWS($AA$2:$AA1421),'Per Line'!$AO$2:$AO$4001,0),"")</f>
        <v/>
      </c>
      <c r="AB1421" s="14">
        <f>IF($AA1421="","",L1421-K1421*Y1421/100)</f>
        <v/>
      </c>
    </row>
    <row r="1422">
      <c r="A1422" s="12" t="n"/>
      <c r="B1422">
        <f>IF($AA1422="","",INDEX('Per Line'!$E$2:$E$4001,$AA1422)&amp;"")</f>
        <v/>
      </c>
      <c r="C1422">
        <f>IF($AA1422="","",INDEX('Per Line'!$A$2:$A$4001,$AA1422)&amp;"")</f>
        <v/>
      </c>
      <c r="D1422">
        <f>IF($AA1422="","",INDEX('Per Line'!$D$2:$D$4001,$AA1422)&amp;"")</f>
        <v/>
      </c>
      <c r="E1422" s="11">
        <f>IF($AA1422="","",INDEX('Per Line'!$G$2:$G$4001,$AA1422))</f>
        <v/>
      </c>
      <c r="F1422">
        <f>IF($AA1422="","",INDEX('Per Line'!$H$2:$H$4001,$AA1422)&amp;"")</f>
        <v/>
      </c>
      <c r="G1422">
        <f>IF($AA1422="","",INDEX('Per Line'!$I$2:$I$4001,$AA1422)&amp;"")</f>
        <v/>
      </c>
      <c r="H1422">
        <f>IF($AA1422="","",INDEX('Per Line'!$J$2:$J$4001,$AA1422)&amp;"")</f>
        <v/>
      </c>
      <c r="I1422">
        <f>IF($AA1422="","",INDEX('Per Line'!$K$2:$K$4001,$AA1422)&amp;"")</f>
        <v/>
      </c>
      <c r="J1422">
        <f>IF($AA1422="","",INDEX('Per Line'!$L$2:$L$4001,$AA1422)&amp;"")</f>
        <v/>
      </c>
      <c r="K1422">
        <f>IF($AA1422="","",INDEX('Per Line'!$P$2:$P$4001,$AA1422))</f>
        <v/>
      </c>
      <c r="L1422" s="7">
        <f>IF($AA1422="","",IF(AND(ISNUMBER(N1422),N1422&gt;0,Y1422&gt;N1422),K1422*N1422/100+(Y1422-N1422),K1422*Y1422/100))</f>
        <v/>
      </c>
      <c r="M1422">
        <f>IF($AA1422="","",INDEX('Per Line'!$Z$2:$Z$4001,$AA1422)&amp;"")</f>
        <v/>
      </c>
      <c r="N1422">
        <f>IF($AA1422="","",INDEX('Per Line'!$AG$2:$AG$4001,$AA1422))</f>
        <v/>
      </c>
      <c r="O1422">
        <f>IF($AA1422="","",IF(AND(ISNUMBER(N1422),N1422&gt;0),Y1422&gt;N1422,FALSE))</f>
        <v/>
      </c>
      <c r="P1422" s="7">
        <f>IF($AA1422="","",SUMIFS('Per Line'!$Y$2:$Y$4001,'Per Line'!$E$2:$E$4001,$B1422,'Per Line'!$AQ$2:$AQ$4001,1))</f>
        <v/>
      </c>
      <c r="Q1422">
        <f>IF($AA1422="","",Settings!$C$7)</f>
        <v/>
      </c>
      <c r="R1422" s="7">
        <f>IF($AA1422="","",SUMIFS('Per Line'!$Y$2:$Y$4001,'Per Line'!$E$2:$E$4001,$B1422,'Per Line'!$AP$2:$AP$4001,0,'Per Line'!$AQ$2:$AQ$4001,0))</f>
        <v/>
      </c>
      <c r="S1422" s="7">
        <f>IF($AA1422="","",R1422*Q1422)</f>
        <v/>
      </c>
      <c r="T1422">
        <f>IF($AA1422="","",Settings!$C$6)</f>
        <v/>
      </c>
      <c r="U1422" s="7">
        <f>IF($AA1422="","",SUMIFS('Per Line'!$Y$2:$Y$4001,'Per Line'!$E$2:$E$4001,$B1422,'Per Line'!$AP$2:$AP$4001,1,'Per Line'!$AQ$2:$AQ$4001,0))</f>
        <v/>
      </c>
      <c r="V1422" s="7">
        <f>IF($AA1422="","",U1422*T1422)</f>
        <v/>
      </c>
      <c r="W1422" s="7">
        <f>IF($AA1422="","",V1422+S1422)</f>
        <v/>
      </c>
      <c r="X1422" s="7">
        <f>IF($AA1422="","",Y1422-W1422)</f>
        <v/>
      </c>
      <c r="Y1422" s="7">
        <f>IF($AA1422="","",R1422+U1422+P1422)</f>
        <v/>
      </c>
      <c r="Z1422" s="7">
        <f>IF($AA1422="","",Y1422-W1422-L1422)</f>
        <v/>
      </c>
      <c r="AA1422" s="13">
        <f>IF(ROWS($AA$2:$AA1422)&lt;=MAX('Per Line'!$AO$2:$AO$4001),MATCH(ROWS($AA$2:$AA1422),'Per Line'!$AO$2:$AO$4001,0),"")</f>
        <v/>
      </c>
      <c r="AB1422" s="14">
        <f>IF($AA1422="","",L1422-K1422*Y1422/100)</f>
        <v/>
      </c>
    </row>
    <row r="1423">
      <c r="A1423" s="12" t="n"/>
      <c r="B1423">
        <f>IF($AA1423="","",INDEX('Per Line'!$E$2:$E$4001,$AA1423)&amp;"")</f>
        <v/>
      </c>
      <c r="C1423">
        <f>IF($AA1423="","",INDEX('Per Line'!$A$2:$A$4001,$AA1423)&amp;"")</f>
        <v/>
      </c>
      <c r="D1423">
        <f>IF($AA1423="","",INDEX('Per Line'!$D$2:$D$4001,$AA1423)&amp;"")</f>
        <v/>
      </c>
      <c r="E1423" s="11">
        <f>IF($AA1423="","",INDEX('Per Line'!$G$2:$G$4001,$AA1423))</f>
        <v/>
      </c>
      <c r="F1423">
        <f>IF($AA1423="","",INDEX('Per Line'!$H$2:$H$4001,$AA1423)&amp;"")</f>
        <v/>
      </c>
      <c r="G1423">
        <f>IF($AA1423="","",INDEX('Per Line'!$I$2:$I$4001,$AA1423)&amp;"")</f>
        <v/>
      </c>
      <c r="H1423">
        <f>IF($AA1423="","",INDEX('Per Line'!$J$2:$J$4001,$AA1423)&amp;"")</f>
        <v/>
      </c>
      <c r="I1423">
        <f>IF($AA1423="","",INDEX('Per Line'!$K$2:$K$4001,$AA1423)&amp;"")</f>
        <v/>
      </c>
      <c r="J1423">
        <f>IF($AA1423="","",INDEX('Per Line'!$L$2:$L$4001,$AA1423)&amp;"")</f>
        <v/>
      </c>
      <c r="K1423">
        <f>IF($AA1423="","",INDEX('Per Line'!$P$2:$P$4001,$AA1423))</f>
        <v/>
      </c>
      <c r="L1423" s="7">
        <f>IF($AA1423="","",IF(AND(ISNUMBER(N1423),N1423&gt;0,Y1423&gt;N1423),K1423*N1423/100+(Y1423-N1423),K1423*Y1423/100))</f>
        <v/>
      </c>
      <c r="M1423">
        <f>IF($AA1423="","",INDEX('Per Line'!$Z$2:$Z$4001,$AA1423)&amp;"")</f>
        <v/>
      </c>
      <c r="N1423">
        <f>IF($AA1423="","",INDEX('Per Line'!$AG$2:$AG$4001,$AA1423))</f>
        <v/>
      </c>
      <c r="O1423">
        <f>IF($AA1423="","",IF(AND(ISNUMBER(N1423),N1423&gt;0),Y1423&gt;N1423,FALSE))</f>
        <v/>
      </c>
      <c r="P1423" s="7">
        <f>IF($AA1423="","",SUMIFS('Per Line'!$Y$2:$Y$4001,'Per Line'!$E$2:$E$4001,$B1423,'Per Line'!$AQ$2:$AQ$4001,1))</f>
        <v/>
      </c>
      <c r="Q1423">
        <f>IF($AA1423="","",Settings!$C$7)</f>
        <v/>
      </c>
      <c r="R1423" s="7">
        <f>IF($AA1423="","",SUMIFS('Per Line'!$Y$2:$Y$4001,'Per Line'!$E$2:$E$4001,$B1423,'Per Line'!$AP$2:$AP$4001,0,'Per Line'!$AQ$2:$AQ$4001,0))</f>
        <v/>
      </c>
      <c r="S1423" s="7">
        <f>IF($AA1423="","",R1423*Q1423)</f>
        <v/>
      </c>
      <c r="T1423">
        <f>IF($AA1423="","",Settings!$C$6)</f>
        <v/>
      </c>
      <c r="U1423" s="7">
        <f>IF($AA1423="","",SUMIFS('Per Line'!$Y$2:$Y$4001,'Per Line'!$E$2:$E$4001,$B1423,'Per Line'!$AP$2:$AP$4001,1,'Per Line'!$AQ$2:$AQ$4001,0))</f>
        <v/>
      </c>
      <c r="V1423" s="7">
        <f>IF($AA1423="","",U1423*T1423)</f>
        <v/>
      </c>
      <c r="W1423" s="7">
        <f>IF($AA1423="","",V1423+S1423)</f>
        <v/>
      </c>
      <c r="X1423" s="7">
        <f>IF($AA1423="","",Y1423-W1423)</f>
        <v/>
      </c>
      <c r="Y1423" s="7">
        <f>IF($AA1423="","",R1423+U1423+P1423)</f>
        <v/>
      </c>
      <c r="Z1423" s="7">
        <f>IF($AA1423="","",Y1423-W1423-L1423)</f>
        <v/>
      </c>
      <c r="AA1423" s="13">
        <f>IF(ROWS($AA$2:$AA1423)&lt;=MAX('Per Line'!$AO$2:$AO$4001),MATCH(ROWS($AA$2:$AA1423),'Per Line'!$AO$2:$AO$4001,0),"")</f>
        <v/>
      </c>
      <c r="AB1423" s="14">
        <f>IF($AA1423="","",L1423-K1423*Y1423/100)</f>
        <v/>
      </c>
    </row>
    <row r="1424">
      <c r="A1424" s="12" t="n"/>
      <c r="B1424">
        <f>IF($AA1424="","",INDEX('Per Line'!$E$2:$E$4001,$AA1424)&amp;"")</f>
        <v/>
      </c>
      <c r="C1424">
        <f>IF($AA1424="","",INDEX('Per Line'!$A$2:$A$4001,$AA1424)&amp;"")</f>
        <v/>
      </c>
      <c r="D1424">
        <f>IF($AA1424="","",INDEX('Per Line'!$D$2:$D$4001,$AA1424)&amp;"")</f>
        <v/>
      </c>
      <c r="E1424" s="11">
        <f>IF($AA1424="","",INDEX('Per Line'!$G$2:$G$4001,$AA1424))</f>
        <v/>
      </c>
      <c r="F1424">
        <f>IF($AA1424="","",INDEX('Per Line'!$H$2:$H$4001,$AA1424)&amp;"")</f>
        <v/>
      </c>
      <c r="G1424">
        <f>IF($AA1424="","",INDEX('Per Line'!$I$2:$I$4001,$AA1424)&amp;"")</f>
        <v/>
      </c>
      <c r="H1424">
        <f>IF($AA1424="","",INDEX('Per Line'!$J$2:$J$4001,$AA1424)&amp;"")</f>
        <v/>
      </c>
      <c r="I1424">
        <f>IF($AA1424="","",INDEX('Per Line'!$K$2:$K$4001,$AA1424)&amp;"")</f>
        <v/>
      </c>
      <c r="J1424">
        <f>IF($AA1424="","",INDEX('Per Line'!$L$2:$L$4001,$AA1424)&amp;"")</f>
        <v/>
      </c>
      <c r="K1424">
        <f>IF($AA1424="","",INDEX('Per Line'!$P$2:$P$4001,$AA1424))</f>
        <v/>
      </c>
      <c r="L1424" s="7">
        <f>IF($AA1424="","",IF(AND(ISNUMBER(N1424),N1424&gt;0,Y1424&gt;N1424),K1424*N1424/100+(Y1424-N1424),K1424*Y1424/100))</f>
        <v/>
      </c>
      <c r="M1424">
        <f>IF($AA1424="","",INDEX('Per Line'!$Z$2:$Z$4001,$AA1424)&amp;"")</f>
        <v/>
      </c>
      <c r="N1424">
        <f>IF($AA1424="","",INDEX('Per Line'!$AG$2:$AG$4001,$AA1424))</f>
        <v/>
      </c>
      <c r="O1424">
        <f>IF($AA1424="","",IF(AND(ISNUMBER(N1424),N1424&gt;0),Y1424&gt;N1424,FALSE))</f>
        <v/>
      </c>
      <c r="P1424" s="7">
        <f>IF($AA1424="","",SUMIFS('Per Line'!$Y$2:$Y$4001,'Per Line'!$E$2:$E$4001,$B1424,'Per Line'!$AQ$2:$AQ$4001,1))</f>
        <v/>
      </c>
      <c r="Q1424">
        <f>IF($AA1424="","",Settings!$C$7)</f>
        <v/>
      </c>
      <c r="R1424" s="7">
        <f>IF($AA1424="","",SUMIFS('Per Line'!$Y$2:$Y$4001,'Per Line'!$E$2:$E$4001,$B1424,'Per Line'!$AP$2:$AP$4001,0,'Per Line'!$AQ$2:$AQ$4001,0))</f>
        <v/>
      </c>
      <c r="S1424" s="7">
        <f>IF($AA1424="","",R1424*Q1424)</f>
        <v/>
      </c>
      <c r="T1424">
        <f>IF($AA1424="","",Settings!$C$6)</f>
        <v/>
      </c>
      <c r="U1424" s="7">
        <f>IF($AA1424="","",SUMIFS('Per Line'!$Y$2:$Y$4001,'Per Line'!$E$2:$E$4001,$B1424,'Per Line'!$AP$2:$AP$4001,1,'Per Line'!$AQ$2:$AQ$4001,0))</f>
        <v/>
      </c>
      <c r="V1424" s="7">
        <f>IF($AA1424="","",U1424*T1424)</f>
        <v/>
      </c>
      <c r="W1424" s="7">
        <f>IF($AA1424="","",V1424+S1424)</f>
        <v/>
      </c>
      <c r="X1424" s="7">
        <f>IF($AA1424="","",Y1424-W1424)</f>
        <v/>
      </c>
      <c r="Y1424" s="7">
        <f>IF($AA1424="","",R1424+U1424+P1424)</f>
        <v/>
      </c>
      <c r="Z1424" s="7">
        <f>IF($AA1424="","",Y1424-W1424-L1424)</f>
        <v/>
      </c>
      <c r="AA1424" s="13">
        <f>IF(ROWS($AA$2:$AA1424)&lt;=MAX('Per Line'!$AO$2:$AO$4001),MATCH(ROWS($AA$2:$AA1424),'Per Line'!$AO$2:$AO$4001,0),"")</f>
        <v/>
      </c>
      <c r="AB1424" s="14">
        <f>IF($AA1424="","",L1424-K1424*Y1424/100)</f>
        <v/>
      </c>
    </row>
    <row r="1425">
      <c r="A1425" s="12" t="n"/>
      <c r="B1425">
        <f>IF($AA1425="","",INDEX('Per Line'!$E$2:$E$4001,$AA1425)&amp;"")</f>
        <v/>
      </c>
      <c r="C1425">
        <f>IF($AA1425="","",INDEX('Per Line'!$A$2:$A$4001,$AA1425)&amp;"")</f>
        <v/>
      </c>
      <c r="D1425">
        <f>IF($AA1425="","",INDEX('Per Line'!$D$2:$D$4001,$AA1425)&amp;"")</f>
        <v/>
      </c>
      <c r="E1425" s="11">
        <f>IF($AA1425="","",INDEX('Per Line'!$G$2:$G$4001,$AA1425))</f>
        <v/>
      </c>
      <c r="F1425">
        <f>IF($AA1425="","",INDEX('Per Line'!$H$2:$H$4001,$AA1425)&amp;"")</f>
        <v/>
      </c>
      <c r="G1425">
        <f>IF($AA1425="","",INDEX('Per Line'!$I$2:$I$4001,$AA1425)&amp;"")</f>
        <v/>
      </c>
      <c r="H1425">
        <f>IF($AA1425="","",INDEX('Per Line'!$J$2:$J$4001,$AA1425)&amp;"")</f>
        <v/>
      </c>
      <c r="I1425">
        <f>IF($AA1425="","",INDEX('Per Line'!$K$2:$K$4001,$AA1425)&amp;"")</f>
        <v/>
      </c>
      <c r="J1425">
        <f>IF($AA1425="","",INDEX('Per Line'!$L$2:$L$4001,$AA1425)&amp;"")</f>
        <v/>
      </c>
      <c r="K1425">
        <f>IF($AA1425="","",INDEX('Per Line'!$P$2:$P$4001,$AA1425))</f>
        <v/>
      </c>
      <c r="L1425" s="7">
        <f>IF($AA1425="","",IF(AND(ISNUMBER(N1425),N1425&gt;0,Y1425&gt;N1425),K1425*N1425/100+(Y1425-N1425),K1425*Y1425/100))</f>
        <v/>
      </c>
      <c r="M1425">
        <f>IF($AA1425="","",INDEX('Per Line'!$Z$2:$Z$4001,$AA1425)&amp;"")</f>
        <v/>
      </c>
      <c r="N1425">
        <f>IF($AA1425="","",INDEX('Per Line'!$AG$2:$AG$4001,$AA1425))</f>
        <v/>
      </c>
      <c r="O1425">
        <f>IF($AA1425="","",IF(AND(ISNUMBER(N1425),N1425&gt;0),Y1425&gt;N1425,FALSE))</f>
        <v/>
      </c>
      <c r="P1425" s="7">
        <f>IF($AA1425="","",SUMIFS('Per Line'!$Y$2:$Y$4001,'Per Line'!$E$2:$E$4001,$B1425,'Per Line'!$AQ$2:$AQ$4001,1))</f>
        <v/>
      </c>
      <c r="Q1425">
        <f>IF($AA1425="","",Settings!$C$7)</f>
        <v/>
      </c>
      <c r="R1425" s="7">
        <f>IF($AA1425="","",SUMIFS('Per Line'!$Y$2:$Y$4001,'Per Line'!$E$2:$E$4001,$B1425,'Per Line'!$AP$2:$AP$4001,0,'Per Line'!$AQ$2:$AQ$4001,0))</f>
        <v/>
      </c>
      <c r="S1425" s="7">
        <f>IF($AA1425="","",R1425*Q1425)</f>
        <v/>
      </c>
      <c r="T1425">
        <f>IF($AA1425="","",Settings!$C$6)</f>
        <v/>
      </c>
      <c r="U1425" s="7">
        <f>IF($AA1425="","",SUMIFS('Per Line'!$Y$2:$Y$4001,'Per Line'!$E$2:$E$4001,$B1425,'Per Line'!$AP$2:$AP$4001,1,'Per Line'!$AQ$2:$AQ$4001,0))</f>
        <v/>
      </c>
      <c r="V1425" s="7">
        <f>IF($AA1425="","",U1425*T1425)</f>
        <v/>
      </c>
      <c r="W1425" s="7">
        <f>IF($AA1425="","",V1425+S1425)</f>
        <v/>
      </c>
      <c r="X1425" s="7">
        <f>IF($AA1425="","",Y1425-W1425)</f>
        <v/>
      </c>
      <c r="Y1425" s="7">
        <f>IF($AA1425="","",R1425+U1425+P1425)</f>
        <v/>
      </c>
      <c r="Z1425" s="7">
        <f>IF($AA1425="","",Y1425-W1425-L1425)</f>
        <v/>
      </c>
      <c r="AA1425" s="13">
        <f>IF(ROWS($AA$2:$AA1425)&lt;=MAX('Per Line'!$AO$2:$AO$4001),MATCH(ROWS($AA$2:$AA1425),'Per Line'!$AO$2:$AO$4001,0),"")</f>
        <v/>
      </c>
      <c r="AB1425" s="14">
        <f>IF($AA1425="","",L1425-K1425*Y1425/100)</f>
        <v/>
      </c>
    </row>
    <row r="1426">
      <c r="A1426" s="12" t="n"/>
      <c r="B1426">
        <f>IF($AA1426="","",INDEX('Per Line'!$E$2:$E$4001,$AA1426)&amp;"")</f>
        <v/>
      </c>
      <c r="C1426">
        <f>IF($AA1426="","",INDEX('Per Line'!$A$2:$A$4001,$AA1426)&amp;"")</f>
        <v/>
      </c>
      <c r="D1426">
        <f>IF($AA1426="","",INDEX('Per Line'!$D$2:$D$4001,$AA1426)&amp;"")</f>
        <v/>
      </c>
      <c r="E1426" s="11">
        <f>IF($AA1426="","",INDEX('Per Line'!$G$2:$G$4001,$AA1426))</f>
        <v/>
      </c>
      <c r="F1426">
        <f>IF($AA1426="","",INDEX('Per Line'!$H$2:$H$4001,$AA1426)&amp;"")</f>
        <v/>
      </c>
      <c r="G1426">
        <f>IF($AA1426="","",INDEX('Per Line'!$I$2:$I$4001,$AA1426)&amp;"")</f>
        <v/>
      </c>
      <c r="H1426">
        <f>IF($AA1426="","",INDEX('Per Line'!$J$2:$J$4001,$AA1426)&amp;"")</f>
        <v/>
      </c>
      <c r="I1426">
        <f>IF($AA1426="","",INDEX('Per Line'!$K$2:$K$4001,$AA1426)&amp;"")</f>
        <v/>
      </c>
      <c r="J1426">
        <f>IF($AA1426="","",INDEX('Per Line'!$L$2:$L$4001,$AA1426)&amp;"")</f>
        <v/>
      </c>
      <c r="K1426">
        <f>IF($AA1426="","",INDEX('Per Line'!$P$2:$P$4001,$AA1426))</f>
        <v/>
      </c>
      <c r="L1426" s="7">
        <f>IF($AA1426="","",IF(AND(ISNUMBER(N1426),N1426&gt;0,Y1426&gt;N1426),K1426*N1426/100+(Y1426-N1426),K1426*Y1426/100))</f>
        <v/>
      </c>
      <c r="M1426">
        <f>IF($AA1426="","",INDEX('Per Line'!$Z$2:$Z$4001,$AA1426)&amp;"")</f>
        <v/>
      </c>
      <c r="N1426">
        <f>IF($AA1426="","",INDEX('Per Line'!$AG$2:$AG$4001,$AA1426))</f>
        <v/>
      </c>
      <c r="O1426">
        <f>IF($AA1426="","",IF(AND(ISNUMBER(N1426),N1426&gt;0),Y1426&gt;N1426,FALSE))</f>
        <v/>
      </c>
      <c r="P1426" s="7">
        <f>IF($AA1426="","",SUMIFS('Per Line'!$Y$2:$Y$4001,'Per Line'!$E$2:$E$4001,$B1426,'Per Line'!$AQ$2:$AQ$4001,1))</f>
        <v/>
      </c>
      <c r="Q1426">
        <f>IF($AA1426="","",Settings!$C$7)</f>
        <v/>
      </c>
      <c r="R1426" s="7">
        <f>IF($AA1426="","",SUMIFS('Per Line'!$Y$2:$Y$4001,'Per Line'!$E$2:$E$4001,$B1426,'Per Line'!$AP$2:$AP$4001,0,'Per Line'!$AQ$2:$AQ$4001,0))</f>
        <v/>
      </c>
      <c r="S1426" s="7">
        <f>IF($AA1426="","",R1426*Q1426)</f>
        <v/>
      </c>
      <c r="T1426">
        <f>IF($AA1426="","",Settings!$C$6)</f>
        <v/>
      </c>
      <c r="U1426" s="7">
        <f>IF($AA1426="","",SUMIFS('Per Line'!$Y$2:$Y$4001,'Per Line'!$E$2:$E$4001,$B1426,'Per Line'!$AP$2:$AP$4001,1,'Per Line'!$AQ$2:$AQ$4001,0))</f>
        <v/>
      </c>
      <c r="V1426" s="7">
        <f>IF($AA1426="","",U1426*T1426)</f>
        <v/>
      </c>
      <c r="W1426" s="7">
        <f>IF($AA1426="","",V1426+S1426)</f>
        <v/>
      </c>
      <c r="X1426" s="7">
        <f>IF($AA1426="","",Y1426-W1426)</f>
        <v/>
      </c>
      <c r="Y1426" s="7">
        <f>IF($AA1426="","",R1426+U1426+P1426)</f>
        <v/>
      </c>
      <c r="Z1426" s="7">
        <f>IF($AA1426="","",Y1426-W1426-L1426)</f>
        <v/>
      </c>
      <c r="AA1426" s="13">
        <f>IF(ROWS($AA$2:$AA1426)&lt;=MAX('Per Line'!$AO$2:$AO$4001),MATCH(ROWS($AA$2:$AA1426),'Per Line'!$AO$2:$AO$4001,0),"")</f>
        <v/>
      </c>
      <c r="AB1426" s="14">
        <f>IF($AA1426="","",L1426-K1426*Y1426/100)</f>
        <v/>
      </c>
    </row>
    <row r="1427">
      <c r="A1427" s="12" t="n"/>
      <c r="B1427">
        <f>IF($AA1427="","",INDEX('Per Line'!$E$2:$E$4001,$AA1427)&amp;"")</f>
        <v/>
      </c>
      <c r="C1427">
        <f>IF($AA1427="","",INDEX('Per Line'!$A$2:$A$4001,$AA1427)&amp;"")</f>
        <v/>
      </c>
      <c r="D1427">
        <f>IF($AA1427="","",INDEX('Per Line'!$D$2:$D$4001,$AA1427)&amp;"")</f>
        <v/>
      </c>
      <c r="E1427" s="11">
        <f>IF($AA1427="","",INDEX('Per Line'!$G$2:$G$4001,$AA1427))</f>
        <v/>
      </c>
      <c r="F1427">
        <f>IF($AA1427="","",INDEX('Per Line'!$H$2:$H$4001,$AA1427)&amp;"")</f>
        <v/>
      </c>
      <c r="G1427">
        <f>IF($AA1427="","",INDEX('Per Line'!$I$2:$I$4001,$AA1427)&amp;"")</f>
        <v/>
      </c>
      <c r="H1427">
        <f>IF($AA1427="","",INDEX('Per Line'!$J$2:$J$4001,$AA1427)&amp;"")</f>
        <v/>
      </c>
      <c r="I1427">
        <f>IF($AA1427="","",INDEX('Per Line'!$K$2:$K$4001,$AA1427)&amp;"")</f>
        <v/>
      </c>
      <c r="J1427">
        <f>IF($AA1427="","",INDEX('Per Line'!$L$2:$L$4001,$AA1427)&amp;"")</f>
        <v/>
      </c>
      <c r="K1427">
        <f>IF($AA1427="","",INDEX('Per Line'!$P$2:$P$4001,$AA1427))</f>
        <v/>
      </c>
      <c r="L1427" s="7">
        <f>IF($AA1427="","",IF(AND(ISNUMBER(N1427),N1427&gt;0,Y1427&gt;N1427),K1427*N1427/100+(Y1427-N1427),K1427*Y1427/100))</f>
        <v/>
      </c>
      <c r="M1427">
        <f>IF($AA1427="","",INDEX('Per Line'!$Z$2:$Z$4001,$AA1427)&amp;"")</f>
        <v/>
      </c>
      <c r="N1427">
        <f>IF($AA1427="","",INDEX('Per Line'!$AG$2:$AG$4001,$AA1427))</f>
        <v/>
      </c>
      <c r="O1427">
        <f>IF($AA1427="","",IF(AND(ISNUMBER(N1427),N1427&gt;0),Y1427&gt;N1427,FALSE))</f>
        <v/>
      </c>
      <c r="P1427" s="7">
        <f>IF($AA1427="","",SUMIFS('Per Line'!$Y$2:$Y$4001,'Per Line'!$E$2:$E$4001,$B1427,'Per Line'!$AQ$2:$AQ$4001,1))</f>
        <v/>
      </c>
      <c r="Q1427">
        <f>IF($AA1427="","",Settings!$C$7)</f>
        <v/>
      </c>
      <c r="R1427" s="7">
        <f>IF($AA1427="","",SUMIFS('Per Line'!$Y$2:$Y$4001,'Per Line'!$E$2:$E$4001,$B1427,'Per Line'!$AP$2:$AP$4001,0,'Per Line'!$AQ$2:$AQ$4001,0))</f>
        <v/>
      </c>
      <c r="S1427" s="7">
        <f>IF($AA1427="","",R1427*Q1427)</f>
        <v/>
      </c>
      <c r="T1427">
        <f>IF($AA1427="","",Settings!$C$6)</f>
        <v/>
      </c>
      <c r="U1427" s="7">
        <f>IF($AA1427="","",SUMIFS('Per Line'!$Y$2:$Y$4001,'Per Line'!$E$2:$E$4001,$B1427,'Per Line'!$AP$2:$AP$4001,1,'Per Line'!$AQ$2:$AQ$4001,0))</f>
        <v/>
      </c>
      <c r="V1427" s="7">
        <f>IF($AA1427="","",U1427*T1427)</f>
        <v/>
      </c>
      <c r="W1427" s="7">
        <f>IF($AA1427="","",V1427+S1427)</f>
        <v/>
      </c>
      <c r="X1427" s="7">
        <f>IF($AA1427="","",Y1427-W1427)</f>
        <v/>
      </c>
      <c r="Y1427" s="7">
        <f>IF($AA1427="","",R1427+U1427+P1427)</f>
        <v/>
      </c>
      <c r="Z1427" s="7">
        <f>IF($AA1427="","",Y1427-W1427-L1427)</f>
        <v/>
      </c>
      <c r="AA1427" s="13">
        <f>IF(ROWS($AA$2:$AA1427)&lt;=MAX('Per Line'!$AO$2:$AO$4001),MATCH(ROWS($AA$2:$AA1427),'Per Line'!$AO$2:$AO$4001,0),"")</f>
        <v/>
      </c>
      <c r="AB1427" s="14">
        <f>IF($AA1427="","",L1427-K1427*Y1427/100)</f>
        <v/>
      </c>
    </row>
    <row r="1428">
      <c r="A1428" s="12" t="n"/>
      <c r="B1428">
        <f>IF($AA1428="","",INDEX('Per Line'!$E$2:$E$4001,$AA1428)&amp;"")</f>
        <v/>
      </c>
      <c r="C1428">
        <f>IF($AA1428="","",INDEX('Per Line'!$A$2:$A$4001,$AA1428)&amp;"")</f>
        <v/>
      </c>
      <c r="D1428">
        <f>IF($AA1428="","",INDEX('Per Line'!$D$2:$D$4001,$AA1428)&amp;"")</f>
        <v/>
      </c>
      <c r="E1428" s="11">
        <f>IF($AA1428="","",INDEX('Per Line'!$G$2:$G$4001,$AA1428))</f>
        <v/>
      </c>
      <c r="F1428">
        <f>IF($AA1428="","",INDEX('Per Line'!$H$2:$H$4001,$AA1428)&amp;"")</f>
        <v/>
      </c>
      <c r="G1428">
        <f>IF($AA1428="","",INDEX('Per Line'!$I$2:$I$4001,$AA1428)&amp;"")</f>
        <v/>
      </c>
      <c r="H1428">
        <f>IF($AA1428="","",INDEX('Per Line'!$J$2:$J$4001,$AA1428)&amp;"")</f>
        <v/>
      </c>
      <c r="I1428">
        <f>IF($AA1428="","",INDEX('Per Line'!$K$2:$K$4001,$AA1428)&amp;"")</f>
        <v/>
      </c>
      <c r="J1428">
        <f>IF($AA1428="","",INDEX('Per Line'!$L$2:$L$4001,$AA1428)&amp;"")</f>
        <v/>
      </c>
      <c r="K1428">
        <f>IF($AA1428="","",INDEX('Per Line'!$P$2:$P$4001,$AA1428))</f>
        <v/>
      </c>
      <c r="L1428" s="7">
        <f>IF($AA1428="","",IF(AND(ISNUMBER(N1428),N1428&gt;0,Y1428&gt;N1428),K1428*N1428/100+(Y1428-N1428),K1428*Y1428/100))</f>
        <v/>
      </c>
      <c r="M1428">
        <f>IF($AA1428="","",INDEX('Per Line'!$Z$2:$Z$4001,$AA1428)&amp;"")</f>
        <v/>
      </c>
      <c r="N1428">
        <f>IF($AA1428="","",INDEX('Per Line'!$AG$2:$AG$4001,$AA1428))</f>
        <v/>
      </c>
      <c r="O1428">
        <f>IF($AA1428="","",IF(AND(ISNUMBER(N1428),N1428&gt;0),Y1428&gt;N1428,FALSE))</f>
        <v/>
      </c>
      <c r="P1428" s="7">
        <f>IF($AA1428="","",SUMIFS('Per Line'!$Y$2:$Y$4001,'Per Line'!$E$2:$E$4001,$B1428,'Per Line'!$AQ$2:$AQ$4001,1))</f>
        <v/>
      </c>
      <c r="Q1428">
        <f>IF($AA1428="","",Settings!$C$7)</f>
        <v/>
      </c>
      <c r="R1428" s="7">
        <f>IF($AA1428="","",SUMIFS('Per Line'!$Y$2:$Y$4001,'Per Line'!$E$2:$E$4001,$B1428,'Per Line'!$AP$2:$AP$4001,0,'Per Line'!$AQ$2:$AQ$4001,0))</f>
        <v/>
      </c>
      <c r="S1428" s="7">
        <f>IF($AA1428="","",R1428*Q1428)</f>
        <v/>
      </c>
      <c r="T1428">
        <f>IF($AA1428="","",Settings!$C$6)</f>
        <v/>
      </c>
      <c r="U1428" s="7">
        <f>IF($AA1428="","",SUMIFS('Per Line'!$Y$2:$Y$4001,'Per Line'!$E$2:$E$4001,$B1428,'Per Line'!$AP$2:$AP$4001,1,'Per Line'!$AQ$2:$AQ$4001,0))</f>
        <v/>
      </c>
      <c r="V1428" s="7">
        <f>IF($AA1428="","",U1428*T1428)</f>
        <v/>
      </c>
      <c r="W1428" s="7">
        <f>IF($AA1428="","",V1428+S1428)</f>
        <v/>
      </c>
      <c r="X1428" s="7">
        <f>IF($AA1428="","",Y1428-W1428)</f>
        <v/>
      </c>
      <c r="Y1428" s="7">
        <f>IF($AA1428="","",R1428+U1428+P1428)</f>
        <v/>
      </c>
      <c r="Z1428" s="7">
        <f>IF($AA1428="","",Y1428-W1428-L1428)</f>
        <v/>
      </c>
      <c r="AA1428" s="13">
        <f>IF(ROWS($AA$2:$AA1428)&lt;=MAX('Per Line'!$AO$2:$AO$4001),MATCH(ROWS($AA$2:$AA1428),'Per Line'!$AO$2:$AO$4001,0),"")</f>
        <v/>
      </c>
      <c r="AB1428" s="14">
        <f>IF($AA1428="","",L1428-K1428*Y1428/100)</f>
        <v/>
      </c>
    </row>
    <row r="1429">
      <c r="A1429" s="12" t="n"/>
      <c r="B1429">
        <f>IF($AA1429="","",INDEX('Per Line'!$E$2:$E$4001,$AA1429)&amp;"")</f>
        <v/>
      </c>
      <c r="C1429">
        <f>IF($AA1429="","",INDEX('Per Line'!$A$2:$A$4001,$AA1429)&amp;"")</f>
        <v/>
      </c>
      <c r="D1429">
        <f>IF($AA1429="","",INDEX('Per Line'!$D$2:$D$4001,$AA1429)&amp;"")</f>
        <v/>
      </c>
      <c r="E1429" s="11">
        <f>IF($AA1429="","",INDEX('Per Line'!$G$2:$G$4001,$AA1429))</f>
        <v/>
      </c>
      <c r="F1429">
        <f>IF($AA1429="","",INDEX('Per Line'!$H$2:$H$4001,$AA1429)&amp;"")</f>
        <v/>
      </c>
      <c r="G1429">
        <f>IF($AA1429="","",INDEX('Per Line'!$I$2:$I$4001,$AA1429)&amp;"")</f>
        <v/>
      </c>
      <c r="H1429">
        <f>IF($AA1429="","",INDEX('Per Line'!$J$2:$J$4001,$AA1429)&amp;"")</f>
        <v/>
      </c>
      <c r="I1429">
        <f>IF($AA1429="","",INDEX('Per Line'!$K$2:$K$4001,$AA1429)&amp;"")</f>
        <v/>
      </c>
      <c r="J1429">
        <f>IF($AA1429="","",INDEX('Per Line'!$L$2:$L$4001,$AA1429)&amp;"")</f>
        <v/>
      </c>
      <c r="K1429">
        <f>IF($AA1429="","",INDEX('Per Line'!$P$2:$P$4001,$AA1429))</f>
        <v/>
      </c>
      <c r="L1429" s="7">
        <f>IF($AA1429="","",IF(AND(ISNUMBER(N1429),N1429&gt;0,Y1429&gt;N1429),K1429*N1429/100+(Y1429-N1429),K1429*Y1429/100))</f>
        <v/>
      </c>
      <c r="M1429">
        <f>IF($AA1429="","",INDEX('Per Line'!$Z$2:$Z$4001,$AA1429)&amp;"")</f>
        <v/>
      </c>
      <c r="N1429">
        <f>IF($AA1429="","",INDEX('Per Line'!$AG$2:$AG$4001,$AA1429))</f>
        <v/>
      </c>
      <c r="O1429">
        <f>IF($AA1429="","",IF(AND(ISNUMBER(N1429),N1429&gt;0),Y1429&gt;N1429,FALSE))</f>
        <v/>
      </c>
      <c r="P1429" s="7">
        <f>IF($AA1429="","",SUMIFS('Per Line'!$Y$2:$Y$4001,'Per Line'!$E$2:$E$4001,$B1429,'Per Line'!$AQ$2:$AQ$4001,1))</f>
        <v/>
      </c>
      <c r="Q1429">
        <f>IF($AA1429="","",Settings!$C$7)</f>
        <v/>
      </c>
      <c r="R1429" s="7">
        <f>IF($AA1429="","",SUMIFS('Per Line'!$Y$2:$Y$4001,'Per Line'!$E$2:$E$4001,$B1429,'Per Line'!$AP$2:$AP$4001,0,'Per Line'!$AQ$2:$AQ$4001,0))</f>
        <v/>
      </c>
      <c r="S1429" s="7">
        <f>IF($AA1429="","",R1429*Q1429)</f>
        <v/>
      </c>
      <c r="T1429">
        <f>IF($AA1429="","",Settings!$C$6)</f>
        <v/>
      </c>
      <c r="U1429" s="7">
        <f>IF($AA1429="","",SUMIFS('Per Line'!$Y$2:$Y$4001,'Per Line'!$E$2:$E$4001,$B1429,'Per Line'!$AP$2:$AP$4001,1,'Per Line'!$AQ$2:$AQ$4001,0))</f>
        <v/>
      </c>
      <c r="V1429" s="7">
        <f>IF($AA1429="","",U1429*T1429)</f>
        <v/>
      </c>
      <c r="W1429" s="7">
        <f>IF($AA1429="","",V1429+S1429)</f>
        <v/>
      </c>
      <c r="X1429" s="7">
        <f>IF($AA1429="","",Y1429-W1429)</f>
        <v/>
      </c>
      <c r="Y1429" s="7">
        <f>IF($AA1429="","",R1429+U1429+P1429)</f>
        <v/>
      </c>
      <c r="Z1429" s="7">
        <f>IF($AA1429="","",Y1429-W1429-L1429)</f>
        <v/>
      </c>
      <c r="AA1429" s="13">
        <f>IF(ROWS($AA$2:$AA1429)&lt;=MAX('Per Line'!$AO$2:$AO$4001),MATCH(ROWS($AA$2:$AA1429),'Per Line'!$AO$2:$AO$4001,0),"")</f>
        <v/>
      </c>
      <c r="AB1429" s="14">
        <f>IF($AA1429="","",L1429-K1429*Y1429/100)</f>
        <v/>
      </c>
    </row>
    <row r="1430">
      <c r="A1430" s="12" t="n"/>
      <c r="B1430">
        <f>IF($AA1430="","",INDEX('Per Line'!$E$2:$E$4001,$AA1430)&amp;"")</f>
        <v/>
      </c>
      <c r="C1430">
        <f>IF($AA1430="","",INDEX('Per Line'!$A$2:$A$4001,$AA1430)&amp;"")</f>
        <v/>
      </c>
      <c r="D1430">
        <f>IF($AA1430="","",INDEX('Per Line'!$D$2:$D$4001,$AA1430)&amp;"")</f>
        <v/>
      </c>
      <c r="E1430" s="11">
        <f>IF($AA1430="","",INDEX('Per Line'!$G$2:$G$4001,$AA1430))</f>
        <v/>
      </c>
      <c r="F1430">
        <f>IF($AA1430="","",INDEX('Per Line'!$H$2:$H$4001,$AA1430)&amp;"")</f>
        <v/>
      </c>
      <c r="G1430">
        <f>IF($AA1430="","",INDEX('Per Line'!$I$2:$I$4001,$AA1430)&amp;"")</f>
        <v/>
      </c>
      <c r="H1430">
        <f>IF($AA1430="","",INDEX('Per Line'!$J$2:$J$4001,$AA1430)&amp;"")</f>
        <v/>
      </c>
      <c r="I1430">
        <f>IF($AA1430="","",INDEX('Per Line'!$K$2:$K$4001,$AA1430)&amp;"")</f>
        <v/>
      </c>
      <c r="J1430">
        <f>IF($AA1430="","",INDEX('Per Line'!$L$2:$L$4001,$AA1430)&amp;"")</f>
        <v/>
      </c>
      <c r="K1430">
        <f>IF($AA1430="","",INDEX('Per Line'!$P$2:$P$4001,$AA1430))</f>
        <v/>
      </c>
      <c r="L1430" s="7">
        <f>IF($AA1430="","",IF(AND(ISNUMBER(N1430),N1430&gt;0,Y1430&gt;N1430),K1430*N1430/100+(Y1430-N1430),K1430*Y1430/100))</f>
        <v/>
      </c>
      <c r="M1430">
        <f>IF($AA1430="","",INDEX('Per Line'!$Z$2:$Z$4001,$AA1430)&amp;"")</f>
        <v/>
      </c>
      <c r="N1430">
        <f>IF($AA1430="","",INDEX('Per Line'!$AG$2:$AG$4001,$AA1430))</f>
        <v/>
      </c>
      <c r="O1430">
        <f>IF($AA1430="","",IF(AND(ISNUMBER(N1430),N1430&gt;0),Y1430&gt;N1430,FALSE))</f>
        <v/>
      </c>
      <c r="P1430" s="7">
        <f>IF($AA1430="","",SUMIFS('Per Line'!$Y$2:$Y$4001,'Per Line'!$E$2:$E$4001,$B1430,'Per Line'!$AQ$2:$AQ$4001,1))</f>
        <v/>
      </c>
      <c r="Q1430">
        <f>IF($AA1430="","",Settings!$C$7)</f>
        <v/>
      </c>
      <c r="R1430" s="7">
        <f>IF($AA1430="","",SUMIFS('Per Line'!$Y$2:$Y$4001,'Per Line'!$E$2:$E$4001,$B1430,'Per Line'!$AP$2:$AP$4001,0,'Per Line'!$AQ$2:$AQ$4001,0))</f>
        <v/>
      </c>
      <c r="S1430" s="7">
        <f>IF($AA1430="","",R1430*Q1430)</f>
        <v/>
      </c>
      <c r="T1430">
        <f>IF($AA1430="","",Settings!$C$6)</f>
        <v/>
      </c>
      <c r="U1430" s="7">
        <f>IF($AA1430="","",SUMIFS('Per Line'!$Y$2:$Y$4001,'Per Line'!$E$2:$E$4001,$B1430,'Per Line'!$AP$2:$AP$4001,1,'Per Line'!$AQ$2:$AQ$4001,0))</f>
        <v/>
      </c>
      <c r="V1430" s="7">
        <f>IF($AA1430="","",U1430*T1430)</f>
        <v/>
      </c>
      <c r="W1430" s="7">
        <f>IF($AA1430="","",V1430+S1430)</f>
        <v/>
      </c>
      <c r="X1430" s="7">
        <f>IF($AA1430="","",Y1430-W1430)</f>
        <v/>
      </c>
      <c r="Y1430" s="7">
        <f>IF($AA1430="","",R1430+U1430+P1430)</f>
        <v/>
      </c>
      <c r="Z1430" s="7">
        <f>IF($AA1430="","",Y1430-W1430-L1430)</f>
        <v/>
      </c>
      <c r="AA1430" s="13">
        <f>IF(ROWS($AA$2:$AA1430)&lt;=MAX('Per Line'!$AO$2:$AO$4001),MATCH(ROWS($AA$2:$AA1430),'Per Line'!$AO$2:$AO$4001,0),"")</f>
        <v/>
      </c>
      <c r="AB1430" s="14">
        <f>IF($AA1430="","",L1430-K1430*Y1430/100)</f>
        <v/>
      </c>
    </row>
    <row r="1431">
      <c r="A1431" s="12" t="n"/>
      <c r="B1431">
        <f>IF($AA1431="","",INDEX('Per Line'!$E$2:$E$4001,$AA1431)&amp;"")</f>
        <v/>
      </c>
      <c r="C1431">
        <f>IF($AA1431="","",INDEX('Per Line'!$A$2:$A$4001,$AA1431)&amp;"")</f>
        <v/>
      </c>
      <c r="D1431">
        <f>IF($AA1431="","",INDEX('Per Line'!$D$2:$D$4001,$AA1431)&amp;"")</f>
        <v/>
      </c>
      <c r="E1431" s="11">
        <f>IF($AA1431="","",INDEX('Per Line'!$G$2:$G$4001,$AA1431))</f>
        <v/>
      </c>
      <c r="F1431">
        <f>IF($AA1431="","",INDEX('Per Line'!$H$2:$H$4001,$AA1431)&amp;"")</f>
        <v/>
      </c>
      <c r="G1431">
        <f>IF($AA1431="","",INDEX('Per Line'!$I$2:$I$4001,$AA1431)&amp;"")</f>
        <v/>
      </c>
      <c r="H1431">
        <f>IF($AA1431="","",INDEX('Per Line'!$J$2:$J$4001,$AA1431)&amp;"")</f>
        <v/>
      </c>
      <c r="I1431">
        <f>IF($AA1431="","",INDEX('Per Line'!$K$2:$K$4001,$AA1431)&amp;"")</f>
        <v/>
      </c>
      <c r="J1431">
        <f>IF($AA1431="","",INDEX('Per Line'!$L$2:$L$4001,$AA1431)&amp;"")</f>
        <v/>
      </c>
      <c r="K1431">
        <f>IF($AA1431="","",INDEX('Per Line'!$P$2:$P$4001,$AA1431))</f>
        <v/>
      </c>
      <c r="L1431" s="7">
        <f>IF($AA1431="","",IF(AND(ISNUMBER(N1431),N1431&gt;0,Y1431&gt;N1431),K1431*N1431/100+(Y1431-N1431),K1431*Y1431/100))</f>
        <v/>
      </c>
      <c r="M1431">
        <f>IF($AA1431="","",INDEX('Per Line'!$Z$2:$Z$4001,$AA1431)&amp;"")</f>
        <v/>
      </c>
      <c r="N1431">
        <f>IF($AA1431="","",INDEX('Per Line'!$AG$2:$AG$4001,$AA1431))</f>
        <v/>
      </c>
      <c r="O1431">
        <f>IF($AA1431="","",IF(AND(ISNUMBER(N1431),N1431&gt;0),Y1431&gt;N1431,FALSE))</f>
        <v/>
      </c>
      <c r="P1431" s="7">
        <f>IF($AA1431="","",SUMIFS('Per Line'!$Y$2:$Y$4001,'Per Line'!$E$2:$E$4001,$B1431,'Per Line'!$AQ$2:$AQ$4001,1))</f>
        <v/>
      </c>
      <c r="Q1431">
        <f>IF($AA1431="","",Settings!$C$7)</f>
        <v/>
      </c>
      <c r="R1431" s="7">
        <f>IF($AA1431="","",SUMIFS('Per Line'!$Y$2:$Y$4001,'Per Line'!$E$2:$E$4001,$B1431,'Per Line'!$AP$2:$AP$4001,0,'Per Line'!$AQ$2:$AQ$4001,0))</f>
        <v/>
      </c>
      <c r="S1431" s="7">
        <f>IF($AA1431="","",R1431*Q1431)</f>
        <v/>
      </c>
      <c r="T1431">
        <f>IF($AA1431="","",Settings!$C$6)</f>
        <v/>
      </c>
      <c r="U1431" s="7">
        <f>IF($AA1431="","",SUMIFS('Per Line'!$Y$2:$Y$4001,'Per Line'!$E$2:$E$4001,$B1431,'Per Line'!$AP$2:$AP$4001,1,'Per Line'!$AQ$2:$AQ$4001,0))</f>
        <v/>
      </c>
      <c r="V1431" s="7">
        <f>IF($AA1431="","",U1431*T1431)</f>
        <v/>
      </c>
      <c r="W1431" s="7">
        <f>IF($AA1431="","",V1431+S1431)</f>
        <v/>
      </c>
      <c r="X1431" s="7">
        <f>IF($AA1431="","",Y1431-W1431)</f>
        <v/>
      </c>
      <c r="Y1431" s="7">
        <f>IF($AA1431="","",R1431+U1431+P1431)</f>
        <v/>
      </c>
      <c r="Z1431" s="7">
        <f>IF($AA1431="","",Y1431-W1431-L1431)</f>
        <v/>
      </c>
      <c r="AA1431" s="13">
        <f>IF(ROWS($AA$2:$AA1431)&lt;=MAX('Per Line'!$AO$2:$AO$4001),MATCH(ROWS($AA$2:$AA1431),'Per Line'!$AO$2:$AO$4001,0),"")</f>
        <v/>
      </c>
      <c r="AB1431" s="14">
        <f>IF($AA1431="","",L1431-K1431*Y1431/100)</f>
        <v/>
      </c>
    </row>
    <row r="1432">
      <c r="A1432" s="12" t="n"/>
      <c r="B1432">
        <f>IF($AA1432="","",INDEX('Per Line'!$E$2:$E$4001,$AA1432)&amp;"")</f>
        <v/>
      </c>
      <c r="C1432">
        <f>IF($AA1432="","",INDEX('Per Line'!$A$2:$A$4001,$AA1432)&amp;"")</f>
        <v/>
      </c>
      <c r="D1432">
        <f>IF($AA1432="","",INDEX('Per Line'!$D$2:$D$4001,$AA1432)&amp;"")</f>
        <v/>
      </c>
      <c r="E1432" s="11">
        <f>IF($AA1432="","",INDEX('Per Line'!$G$2:$G$4001,$AA1432))</f>
        <v/>
      </c>
      <c r="F1432">
        <f>IF($AA1432="","",INDEX('Per Line'!$H$2:$H$4001,$AA1432)&amp;"")</f>
        <v/>
      </c>
      <c r="G1432">
        <f>IF($AA1432="","",INDEX('Per Line'!$I$2:$I$4001,$AA1432)&amp;"")</f>
        <v/>
      </c>
      <c r="H1432">
        <f>IF($AA1432="","",INDEX('Per Line'!$J$2:$J$4001,$AA1432)&amp;"")</f>
        <v/>
      </c>
      <c r="I1432">
        <f>IF($AA1432="","",INDEX('Per Line'!$K$2:$K$4001,$AA1432)&amp;"")</f>
        <v/>
      </c>
      <c r="J1432">
        <f>IF($AA1432="","",INDEX('Per Line'!$L$2:$L$4001,$AA1432)&amp;"")</f>
        <v/>
      </c>
      <c r="K1432">
        <f>IF($AA1432="","",INDEX('Per Line'!$P$2:$P$4001,$AA1432))</f>
        <v/>
      </c>
      <c r="L1432" s="7">
        <f>IF($AA1432="","",IF(AND(ISNUMBER(N1432),N1432&gt;0,Y1432&gt;N1432),K1432*N1432/100+(Y1432-N1432),K1432*Y1432/100))</f>
        <v/>
      </c>
      <c r="M1432">
        <f>IF($AA1432="","",INDEX('Per Line'!$Z$2:$Z$4001,$AA1432)&amp;"")</f>
        <v/>
      </c>
      <c r="N1432">
        <f>IF($AA1432="","",INDEX('Per Line'!$AG$2:$AG$4001,$AA1432))</f>
        <v/>
      </c>
      <c r="O1432">
        <f>IF($AA1432="","",IF(AND(ISNUMBER(N1432),N1432&gt;0),Y1432&gt;N1432,FALSE))</f>
        <v/>
      </c>
      <c r="P1432" s="7">
        <f>IF($AA1432="","",SUMIFS('Per Line'!$Y$2:$Y$4001,'Per Line'!$E$2:$E$4001,$B1432,'Per Line'!$AQ$2:$AQ$4001,1))</f>
        <v/>
      </c>
      <c r="Q1432">
        <f>IF($AA1432="","",Settings!$C$7)</f>
        <v/>
      </c>
      <c r="R1432" s="7">
        <f>IF($AA1432="","",SUMIFS('Per Line'!$Y$2:$Y$4001,'Per Line'!$E$2:$E$4001,$B1432,'Per Line'!$AP$2:$AP$4001,0,'Per Line'!$AQ$2:$AQ$4001,0))</f>
        <v/>
      </c>
      <c r="S1432" s="7">
        <f>IF($AA1432="","",R1432*Q1432)</f>
        <v/>
      </c>
      <c r="T1432">
        <f>IF($AA1432="","",Settings!$C$6)</f>
        <v/>
      </c>
      <c r="U1432" s="7">
        <f>IF($AA1432="","",SUMIFS('Per Line'!$Y$2:$Y$4001,'Per Line'!$E$2:$E$4001,$B1432,'Per Line'!$AP$2:$AP$4001,1,'Per Line'!$AQ$2:$AQ$4001,0))</f>
        <v/>
      </c>
      <c r="V1432" s="7">
        <f>IF($AA1432="","",U1432*T1432)</f>
        <v/>
      </c>
      <c r="W1432" s="7">
        <f>IF($AA1432="","",V1432+S1432)</f>
        <v/>
      </c>
      <c r="X1432" s="7">
        <f>IF($AA1432="","",Y1432-W1432)</f>
        <v/>
      </c>
      <c r="Y1432" s="7">
        <f>IF($AA1432="","",R1432+U1432+P1432)</f>
        <v/>
      </c>
      <c r="Z1432" s="7">
        <f>IF($AA1432="","",Y1432-W1432-L1432)</f>
        <v/>
      </c>
      <c r="AA1432" s="13">
        <f>IF(ROWS($AA$2:$AA1432)&lt;=MAX('Per Line'!$AO$2:$AO$4001),MATCH(ROWS($AA$2:$AA1432),'Per Line'!$AO$2:$AO$4001,0),"")</f>
        <v/>
      </c>
      <c r="AB1432" s="14">
        <f>IF($AA1432="","",L1432-K1432*Y1432/100)</f>
        <v/>
      </c>
    </row>
    <row r="1433">
      <c r="A1433" s="12" t="n"/>
      <c r="B1433">
        <f>IF($AA1433="","",INDEX('Per Line'!$E$2:$E$4001,$AA1433)&amp;"")</f>
        <v/>
      </c>
      <c r="C1433">
        <f>IF($AA1433="","",INDEX('Per Line'!$A$2:$A$4001,$AA1433)&amp;"")</f>
        <v/>
      </c>
      <c r="D1433">
        <f>IF($AA1433="","",INDEX('Per Line'!$D$2:$D$4001,$AA1433)&amp;"")</f>
        <v/>
      </c>
      <c r="E1433" s="11">
        <f>IF($AA1433="","",INDEX('Per Line'!$G$2:$G$4001,$AA1433))</f>
        <v/>
      </c>
      <c r="F1433">
        <f>IF($AA1433="","",INDEX('Per Line'!$H$2:$H$4001,$AA1433)&amp;"")</f>
        <v/>
      </c>
      <c r="G1433">
        <f>IF($AA1433="","",INDEX('Per Line'!$I$2:$I$4001,$AA1433)&amp;"")</f>
        <v/>
      </c>
      <c r="H1433">
        <f>IF($AA1433="","",INDEX('Per Line'!$J$2:$J$4001,$AA1433)&amp;"")</f>
        <v/>
      </c>
      <c r="I1433">
        <f>IF($AA1433="","",INDEX('Per Line'!$K$2:$K$4001,$AA1433)&amp;"")</f>
        <v/>
      </c>
      <c r="J1433">
        <f>IF($AA1433="","",INDEX('Per Line'!$L$2:$L$4001,$AA1433)&amp;"")</f>
        <v/>
      </c>
      <c r="K1433">
        <f>IF($AA1433="","",INDEX('Per Line'!$P$2:$P$4001,$AA1433))</f>
        <v/>
      </c>
      <c r="L1433" s="7">
        <f>IF($AA1433="","",IF(AND(ISNUMBER(N1433),N1433&gt;0,Y1433&gt;N1433),K1433*N1433/100+(Y1433-N1433),K1433*Y1433/100))</f>
        <v/>
      </c>
      <c r="M1433">
        <f>IF($AA1433="","",INDEX('Per Line'!$Z$2:$Z$4001,$AA1433)&amp;"")</f>
        <v/>
      </c>
      <c r="N1433">
        <f>IF($AA1433="","",INDEX('Per Line'!$AG$2:$AG$4001,$AA1433))</f>
        <v/>
      </c>
      <c r="O1433">
        <f>IF($AA1433="","",IF(AND(ISNUMBER(N1433),N1433&gt;0),Y1433&gt;N1433,FALSE))</f>
        <v/>
      </c>
      <c r="P1433" s="7">
        <f>IF($AA1433="","",SUMIFS('Per Line'!$Y$2:$Y$4001,'Per Line'!$E$2:$E$4001,$B1433,'Per Line'!$AQ$2:$AQ$4001,1))</f>
        <v/>
      </c>
      <c r="Q1433">
        <f>IF($AA1433="","",Settings!$C$7)</f>
        <v/>
      </c>
      <c r="R1433" s="7">
        <f>IF($AA1433="","",SUMIFS('Per Line'!$Y$2:$Y$4001,'Per Line'!$E$2:$E$4001,$B1433,'Per Line'!$AP$2:$AP$4001,0,'Per Line'!$AQ$2:$AQ$4001,0))</f>
        <v/>
      </c>
      <c r="S1433" s="7">
        <f>IF($AA1433="","",R1433*Q1433)</f>
        <v/>
      </c>
      <c r="T1433">
        <f>IF($AA1433="","",Settings!$C$6)</f>
        <v/>
      </c>
      <c r="U1433" s="7">
        <f>IF($AA1433="","",SUMIFS('Per Line'!$Y$2:$Y$4001,'Per Line'!$E$2:$E$4001,$B1433,'Per Line'!$AP$2:$AP$4001,1,'Per Line'!$AQ$2:$AQ$4001,0))</f>
        <v/>
      </c>
      <c r="V1433" s="7">
        <f>IF($AA1433="","",U1433*T1433)</f>
        <v/>
      </c>
      <c r="W1433" s="7">
        <f>IF($AA1433="","",V1433+S1433)</f>
        <v/>
      </c>
      <c r="X1433" s="7">
        <f>IF($AA1433="","",Y1433-W1433)</f>
        <v/>
      </c>
      <c r="Y1433" s="7">
        <f>IF($AA1433="","",R1433+U1433+P1433)</f>
        <v/>
      </c>
      <c r="Z1433" s="7">
        <f>IF($AA1433="","",Y1433-W1433-L1433)</f>
        <v/>
      </c>
      <c r="AA1433" s="13">
        <f>IF(ROWS($AA$2:$AA1433)&lt;=MAX('Per Line'!$AO$2:$AO$4001),MATCH(ROWS($AA$2:$AA1433),'Per Line'!$AO$2:$AO$4001,0),"")</f>
        <v/>
      </c>
      <c r="AB1433" s="14">
        <f>IF($AA1433="","",L1433-K1433*Y1433/100)</f>
        <v/>
      </c>
    </row>
    <row r="1434">
      <c r="A1434" s="12" t="n"/>
      <c r="B1434">
        <f>IF($AA1434="","",INDEX('Per Line'!$E$2:$E$4001,$AA1434)&amp;"")</f>
        <v/>
      </c>
      <c r="C1434">
        <f>IF($AA1434="","",INDEX('Per Line'!$A$2:$A$4001,$AA1434)&amp;"")</f>
        <v/>
      </c>
      <c r="D1434">
        <f>IF($AA1434="","",INDEX('Per Line'!$D$2:$D$4001,$AA1434)&amp;"")</f>
        <v/>
      </c>
      <c r="E1434" s="11">
        <f>IF($AA1434="","",INDEX('Per Line'!$G$2:$G$4001,$AA1434))</f>
        <v/>
      </c>
      <c r="F1434">
        <f>IF($AA1434="","",INDEX('Per Line'!$H$2:$H$4001,$AA1434)&amp;"")</f>
        <v/>
      </c>
      <c r="G1434">
        <f>IF($AA1434="","",INDEX('Per Line'!$I$2:$I$4001,$AA1434)&amp;"")</f>
        <v/>
      </c>
      <c r="H1434">
        <f>IF($AA1434="","",INDEX('Per Line'!$J$2:$J$4001,$AA1434)&amp;"")</f>
        <v/>
      </c>
      <c r="I1434">
        <f>IF($AA1434="","",INDEX('Per Line'!$K$2:$K$4001,$AA1434)&amp;"")</f>
        <v/>
      </c>
      <c r="J1434">
        <f>IF($AA1434="","",INDEX('Per Line'!$L$2:$L$4001,$AA1434)&amp;"")</f>
        <v/>
      </c>
      <c r="K1434">
        <f>IF($AA1434="","",INDEX('Per Line'!$P$2:$P$4001,$AA1434))</f>
        <v/>
      </c>
      <c r="L1434" s="7">
        <f>IF($AA1434="","",IF(AND(ISNUMBER(N1434),N1434&gt;0,Y1434&gt;N1434),K1434*N1434/100+(Y1434-N1434),K1434*Y1434/100))</f>
        <v/>
      </c>
      <c r="M1434">
        <f>IF($AA1434="","",INDEX('Per Line'!$Z$2:$Z$4001,$AA1434)&amp;"")</f>
        <v/>
      </c>
      <c r="N1434">
        <f>IF($AA1434="","",INDEX('Per Line'!$AG$2:$AG$4001,$AA1434))</f>
        <v/>
      </c>
      <c r="O1434">
        <f>IF($AA1434="","",IF(AND(ISNUMBER(N1434),N1434&gt;0),Y1434&gt;N1434,FALSE))</f>
        <v/>
      </c>
      <c r="P1434" s="7">
        <f>IF($AA1434="","",SUMIFS('Per Line'!$Y$2:$Y$4001,'Per Line'!$E$2:$E$4001,$B1434,'Per Line'!$AQ$2:$AQ$4001,1))</f>
        <v/>
      </c>
      <c r="Q1434">
        <f>IF($AA1434="","",Settings!$C$7)</f>
        <v/>
      </c>
      <c r="R1434" s="7">
        <f>IF($AA1434="","",SUMIFS('Per Line'!$Y$2:$Y$4001,'Per Line'!$E$2:$E$4001,$B1434,'Per Line'!$AP$2:$AP$4001,0,'Per Line'!$AQ$2:$AQ$4001,0))</f>
        <v/>
      </c>
      <c r="S1434" s="7">
        <f>IF($AA1434="","",R1434*Q1434)</f>
        <v/>
      </c>
      <c r="T1434">
        <f>IF($AA1434="","",Settings!$C$6)</f>
        <v/>
      </c>
      <c r="U1434" s="7">
        <f>IF($AA1434="","",SUMIFS('Per Line'!$Y$2:$Y$4001,'Per Line'!$E$2:$E$4001,$B1434,'Per Line'!$AP$2:$AP$4001,1,'Per Line'!$AQ$2:$AQ$4001,0))</f>
        <v/>
      </c>
      <c r="V1434" s="7">
        <f>IF($AA1434="","",U1434*T1434)</f>
        <v/>
      </c>
      <c r="W1434" s="7">
        <f>IF($AA1434="","",V1434+S1434)</f>
        <v/>
      </c>
      <c r="X1434" s="7">
        <f>IF($AA1434="","",Y1434-W1434)</f>
        <v/>
      </c>
      <c r="Y1434" s="7">
        <f>IF($AA1434="","",R1434+U1434+P1434)</f>
        <v/>
      </c>
      <c r="Z1434" s="7">
        <f>IF($AA1434="","",Y1434-W1434-L1434)</f>
        <v/>
      </c>
      <c r="AA1434" s="13">
        <f>IF(ROWS($AA$2:$AA1434)&lt;=MAX('Per Line'!$AO$2:$AO$4001),MATCH(ROWS($AA$2:$AA1434),'Per Line'!$AO$2:$AO$4001,0),"")</f>
        <v/>
      </c>
      <c r="AB1434" s="14">
        <f>IF($AA1434="","",L1434-K1434*Y1434/100)</f>
        <v/>
      </c>
    </row>
    <row r="1435">
      <c r="A1435" s="12" t="n"/>
      <c r="B1435">
        <f>IF($AA1435="","",INDEX('Per Line'!$E$2:$E$4001,$AA1435)&amp;"")</f>
        <v/>
      </c>
      <c r="C1435">
        <f>IF($AA1435="","",INDEX('Per Line'!$A$2:$A$4001,$AA1435)&amp;"")</f>
        <v/>
      </c>
      <c r="D1435">
        <f>IF($AA1435="","",INDEX('Per Line'!$D$2:$D$4001,$AA1435)&amp;"")</f>
        <v/>
      </c>
      <c r="E1435" s="11">
        <f>IF($AA1435="","",INDEX('Per Line'!$G$2:$G$4001,$AA1435))</f>
        <v/>
      </c>
      <c r="F1435">
        <f>IF($AA1435="","",INDEX('Per Line'!$H$2:$H$4001,$AA1435)&amp;"")</f>
        <v/>
      </c>
      <c r="G1435">
        <f>IF($AA1435="","",INDEX('Per Line'!$I$2:$I$4001,$AA1435)&amp;"")</f>
        <v/>
      </c>
      <c r="H1435">
        <f>IF($AA1435="","",INDEX('Per Line'!$J$2:$J$4001,$AA1435)&amp;"")</f>
        <v/>
      </c>
      <c r="I1435">
        <f>IF($AA1435="","",INDEX('Per Line'!$K$2:$K$4001,$AA1435)&amp;"")</f>
        <v/>
      </c>
      <c r="J1435">
        <f>IF($AA1435="","",INDEX('Per Line'!$L$2:$L$4001,$AA1435)&amp;"")</f>
        <v/>
      </c>
      <c r="K1435">
        <f>IF($AA1435="","",INDEX('Per Line'!$P$2:$P$4001,$AA1435))</f>
        <v/>
      </c>
      <c r="L1435" s="7">
        <f>IF($AA1435="","",IF(AND(ISNUMBER(N1435),N1435&gt;0,Y1435&gt;N1435),K1435*N1435/100+(Y1435-N1435),K1435*Y1435/100))</f>
        <v/>
      </c>
      <c r="M1435">
        <f>IF($AA1435="","",INDEX('Per Line'!$Z$2:$Z$4001,$AA1435)&amp;"")</f>
        <v/>
      </c>
      <c r="N1435">
        <f>IF($AA1435="","",INDEX('Per Line'!$AG$2:$AG$4001,$AA1435))</f>
        <v/>
      </c>
      <c r="O1435">
        <f>IF($AA1435="","",IF(AND(ISNUMBER(N1435),N1435&gt;0),Y1435&gt;N1435,FALSE))</f>
        <v/>
      </c>
      <c r="P1435" s="7">
        <f>IF($AA1435="","",SUMIFS('Per Line'!$Y$2:$Y$4001,'Per Line'!$E$2:$E$4001,$B1435,'Per Line'!$AQ$2:$AQ$4001,1))</f>
        <v/>
      </c>
      <c r="Q1435">
        <f>IF($AA1435="","",Settings!$C$7)</f>
        <v/>
      </c>
      <c r="R1435" s="7">
        <f>IF($AA1435="","",SUMIFS('Per Line'!$Y$2:$Y$4001,'Per Line'!$E$2:$E$4001,$B1435,'Per Line'!$AP$2:$AP$4001,0,'Per Line'!$AQ$2:$AQ$4001,0))</f>
        <v/>
      </c>
      <c r="S1435" s="7">
        <f>IF($AA1435="","",R1435*Q1435)</f>
        <v/>
      </c>
      <c r="T1435">
        <f>IF($AA1435="","",Settings!$C$6)</f>
        <v/>
      </c>
      <c r="U1435" s="7">
        <f>IF($AA1435="","",SUMIFS('Per Line'!$Y$2:$Y$4001,'Per Line'!$E$2:$E$4001,$B1435,'Per Line'!$AP$2:$AP$4001,1,'Per Line'!$AQ$2:$AQ$4001,0))</f>
        <v/>
      </c>
      <c r="V1435" s="7">
        <f>IF($AA1435="","",U1435*T1435)</f>
        <v/>
      </c>
      <c r="W1435" s="7">
        <f>IF($AA1435="","",V1435+S1435)</f>
        <v/>
      </c>
      <c r="X1435" s="7">
        <f>IF($AA1435="","",Y1435-W1435)</f>
        <v/>
      </c>
      <c r="Y1435" s="7">
        <f>IF($AA1435="","",R1435+U1435+P1435)</f>
        <v/>
      </c>
      <c r="Z1435" s="7">
        <f>IF($AA1435="","",Y1435-W1435-L1435)</f>
        <v/>
      </c>
      <c r="AA1435" s="13">
        <f>IF(ROWS($AA$2:$AA1435)&lt;=MAX('Per Line'!$AO$2:$AO$4001),MATCH(ROWS($AA$2:$AA1435),'Per Line'!$AO$2:$AO$4001,0),"")</f>
        <v/>
      </c>
      <c r="AB1435" s="14">
        <f>IF($AA1435="","",L1435-K1435*Y1435/100)</f>
        <v/>
      </c>
    </row>
    <row r="1436">
      <c r="A1436" s="12" t="n"/>
      <c r="B1436">
        <f>IF($AA1436="","",INDEX('Per Line'!$E$2:$E$4001,$AA1436)&amp;"")</f>
        <v/>
      </c>
      <c r="C1436">
        <f>IF($AA1436="","",INDEX('Per Line'!$A$2:$A$4001,$AA1436)&amp;"")</f>
        <v/>
      </c>
      <c r="D1436">
        <f>IF($AA1436="","",INDEX('Per Line'!$D$2:$D$4001,$AA1436)&amp;"")</f>
        <v/>
      </c>
      <c r="E1436" s="11">
        <f>IF($AA1436="","",INDEX('Per Line'!$G$2:$G$4001,$AA1436))</f>
        <v/>
      </c>
      <c r="F1436">
        <f>IF($AA1436="","",INDEX('Per Line'!$H$2:$H$4001,$AA1436)&amp;"")</f>
        <v/>
      </c>
      <c r="G1436">
        <f>IF($AA1436="","",INDEX('Per Line'!$I$2:$I$4001,$AA1436)&amp;"")</f>
        <v/>
      </c>
      <c r="H1436">
        <f>IF($AA1436="","",INDEX('Per Line'!$J$2:$J$4001,$AA1436)&amp;"")</f>
        <v/>
      </c>
      <c r="I1436">
        <f>IF($AA1436="","",INDEX('Per Line'!$K$2:$K$4001,$AA1436)&amp;"")</f>
        <v/>
      </c>
      <c r="J1436">
        <f>IF($AA1436="","",INDEX('Per Line'!$L$2:$L$4001,$AA1436)&amp;"")</f>
        <v/>
      </c>
      <c r="K1436">
        <f>IF($AA1436="","",INDEX('Per Line'!$P$2:$P$4001,$AA1436))</f>
        <v/>
      </c>
      <c r="L1436" s="7">
        <f>IF($AA1436="","",IF(AND(ISNUMBER(N1436),N1436&gt;0,Y1436&gt;N1436),K1436*N1436/100+(Y1436-N1436),K1436*Y1436/100))</f>
        <v/>
      </c>
      <c r="M1436">
        <f>IF($AA1436="","",INDEX('Per Line'!$Z$2:$Z$4001,$AA1436)&amp;"")</f>
        <v/>
      </c>
      <c r="N1436">
        <f>IF($AA1436="","",INDEX('Per Line'!$AG$2:$AG$4001,$AA1436))</f>
        <v/>
      </c>
      <c r="O1436">
        <f>IF($AA1436="","",IF(AND(ISNUMBER(N1436),N1436&gt;0),Y1436&gt;N1436,FALSE))</f>
        <v/>
      </c>
      <c r="P1436" s="7">
        <f>IF($AA1436="","",SUMIFS('Per Line'!$Y$2:$Y$4001,'Per Line'!$E$2:$E$4001,$B1436,'Per Line'!$AQ$2:$AQ$4001,1))</f>
        <v/>
      </c>
      <c r="Q1436">
        <f>IF($AA1436="","",Settings!$C$7)</f>
        <v/>
      </c>
      <c r="R1436" s="7">
        <f>IF($AA1436="","",SUMIFS('Per Line'!$Y$2:$Y$4001,'Per Line'!$E$2:$E$4001,$B1436,'Per Line'!$AP$2:$AP$4001,0,'Per Line'!$AQ$2:$AQ$4001,0))</f>
        <v/>
      </c>
      <c r="S1436" s="7">
        <f>IF($AA1436="","",R1436*Q1436)</f>
        <v/>
      </c>
      <c r="T1436">
        <f>IF($AA1436="","",Settings!$C$6)</f>
        <v/>
      </c>
      <c r="U1436" s="7">
        <f>IF($AA1436="","",SUMIFS('Per Line'!$Y$2:$Y$4001,'Per Line'!$E$2:$E$4001,$B1436,'Per Line'!$AP$2:$AP$4001,1,'Per Line'!$AQ$2:$AQ$4001,0))</f>
        <v/>
      </c>
      <c r="V1436" s="7">
        <f>IF($AA1436="","",U1436*T1436)</f>
        <v/>
      </c>
      <c r="W1436" s="7">
        <f>IF($AA1436="","",V1436+S1436)</f>
        <v/>
      </c>
      <c r="X1436" s="7">
        <f>IF($AA1436="","",Y1436-W1436)</f>
        <v/>
      </c>
      <c r="Y1436" s="7">
        <f>IF($AA1436="","",R1436+U1436+P1436)</f>
        <v/>
      </c>
      <c r="Z1436" s="7">
        <f>IF($AA1436="","",Y1436-W1436-L1436)</f>
        <v/>
      </c>
      <c r="AA1436" s="13">
        <f>IF(ROWS($AA$2:$AA1436)&lt;=MAX('Per Line'!$AO$2:$AO$4001),MATCH(ROWS($AA$2:$AA1436),'Per Line'!$AO$2:$AO$4001,0),"")</f>
        <v/>
      </c>
      <c r="AB1436" s="14">
        <f>IF($AA1436="","",L1436-K1436*Y1436/100)</f>
        <v/>
      </c>
    </row>
    <row r="1437">
      <c r="A1437" s="12" t="n"/>
      <c r="B1437">
        <f>IF($AA1437="","",INDEX('Per Line'!$E$2:$E$4001,$AA1437)&amp;"")</f>
        <v/>
      </c>
      <c r="C1437">
        <f>IF($AA1437="","",INDEX('Per Line'!$A$2:$A$4001,$AA1437)&amp;"")</f>
        <v/>
      </c>
      <c r="D1437">
        <f>IF($AA1437="","",INDEX('Per Line'!$D$2:$D$4001,$AA1437)&amp;"")</f>
        <v/>
      </c>
      <c r="E1437" s="11">
        <f>IF($AA1437="","",INDEX('Per Line'!$G$2:$G$4001,$AA1437))</f>
        <v/>
      </c>
      <c r="F1437">
        <f>IF($AA1437="","",INDEX('Per Line'!$H$2:$H$4001,$AA1437)&amp;"")</f>
        <v/>
      </c>
      <c r="G1437">
        <f>IF($AA1437="","",INDEX('Per Line'!$I$2:$I$4001,$AA1437)&amp;"")</f>
        <v/>
      </c>
      <c r="H1437">
        <f>IF($AA1437="","",INDEX('Per Line'!$J$2:$J$4001,$AA1437)&amp;"")</f>
        <v/>
      </c>
      <c r="I1437">
        <f>IF($AA1437="","",INDEX('Per Line'!$K$2:$K$4001,$AA1437)&amp;"")</f>
        <v/>
      </c>
      <c r="J1437">
        <f>IF($AA1437="","",INDEX('Per Line'!$L$2:$L$4001,$AA1437)&amp;"")</f>
        <v/>
      </c>
      <c r="K1437">
        <f>IF($AA1437="","",INDEX('Per Line'!$P$2:$P$4001,$AA1437))</f>
        <v/>
      </c>
      <c r="L1437" s="7">
        <f>IF($AA1437="","",IF(AND(ISNUMBER(N1437),N1437&gt;0,Y1437&gt;N1437),K1437*N1437/100+(Y1437-N1437),K1437*Y1437/100))</f>
        <v/>
      </c>
      <c r="M1437">
        <f>IF($AA1437="","",INDEX('Per Line'!$Z$2:$Z$4001,$AA1437)&amp;"")</f>
        <v/>
      </c>
      <c r="N1437">
        <f>IF($AA1437="","",INDEX('Per Line'!$AG$2:$AG$4001,$AA1437))</f>
        <v/>
      </c>
      <c r="O1437">
        <f>IF($AA1437="","",IF(AND(ISNUMBER(N1437),N1437&gt;0),Y1437&gt;N1437,FALSE))</f>
        <v/>
      </c>
      <c r="P1437" s="7">
        <f>IF($AA1437="","",SUMIFS('Per Line'!$Y$2:$Y$4001,'Per Line'!$E$2:$E$4001,$B1437,'Per Line'!$AQ$2:$AQ$4001,1))</f>
        <v/>
      </c>
      <c r="Q1437">
        <f>IF($AA1437="","",Settings!$C$7)</f>
        <v/>
      </c>
      <c r="R1437" s="7">
        <f>IF($AA1437="","",SUMIFS('Per Line'!$Y$2:$Y$4001,'Per Line'!$E$2:$E$4001,$B1437,'Per Line'!$AP$2:$AP$4001,0,'Per Line'!$AQ$2:$AQ$4001,0))</f>
        <v/>
      </c>
      <c r="S1437" s="7">
        <f>IF($AA1437="","",R1437*Q1437)</f>
        <v/>
      </c>
      <c r="T1437">
        <f>IF($AA1437="","",Settings!$C$6)</f>
        <v/>
      </c>
      <c r="U1437" s="7">
        <f>IF($AA1437="","",SUMIFS('Per Line'!$Y$2:$Y$4001,'Per Line'!$E$2:$E$4001,$B1437,'Per Line'!$AP$2:$AP$4001,1,'Per Line'!$AQ$2:$AQ$4001,0))</f>
        <v/>
      </c>
      <c r="V1437" s="7">
        <f>IF($AA1437="","",U1437*T1437)</f>
        <v/>
      </c>
      <c r="W1437" s="7">
        <f>IF($AA1437="","",V1437+S1437)</f>
        <v/>
      </c>
      <c r="X1437" s="7">
        <f>IF($AA1437="","",Y1437-W1437)</f>
        <v/>
      </c>
      <c r="Y1437" s="7">
        <f>IF($AA1437="","",R1437+U1437+P1437)</f>
        <v/>
      </c>
      <c r="Z1437" s="7">
        <f>IF($AA1437="","",Y1437-W1437-L1437)</f>
        <v/>
      </c>
      <c r="AA1437" s="13">
        <f>IF(ROWS($AA$2:$AA1437)&lt;=MAX('Per Line'!$AO$2:$AO$4001),MATCH(ROWS($AA$2:$AA1437),'Per Line'!$AO$2:$AO$4001,0),"")</f>
        <v/>
      </c>
      <c r="AB1437" s="14">
        <f>IF($AA1437="","",L1437-K1437*Y1437/100)</f>
        <v/>
      </c>
    </row>
    <row r="1438">
      <c r="A1438" s="12" t="n"/>
      <c r="B1438">
        <f>IF($AA1438="","",INDEX('Per Line'!$E$2:$E$4001,$AA1438)&amp;"")</f>
        <v/>
      </c>
      <c r="C1438">
        <f>IF($AA1438="","",INDEX('Per Line'!$A$2:$A$4001,$AA1438)&amp;"")</f>
        <v/>
      </c>
      <c r="D1438">
        <f>IF($AA1438="","",INDEX('Per Line'!$D$2:$D$4001,$AA1438)&amp;"")</f>
        <v/>
      </c>
      <c r="E1438" s="11">
        <f>IF($AA1438="","",INDEX('Per Line'!$G$2:$G$4001,$AA1438))</f>
        <v/>
      </c>
      <c r="F1438">
        <f>IF($AA1438="","",INDEX('Per Line'!$H$2:$H$4001,$AA1438)&amp;"")</f>
        <v/>
      </c>
      <c r="G1438">
        <f>IF($AA1438="","",INDEX('Per Line'!$I$2:$I$4001,$AA1438)&amp;"")</f>
        <v/>
      </c>
      <c r="H1438">
        <f>IF($AA1438="","",INDEX('Per Line'!$J$2:$J$4001,$AA1438)&amp;"")</f>
        <v/>
      </c>
      <c r="I1438">
        <f>IF($AA1438="","",INDEX('Per Line'!$K$2:$K$4001,$AA1438)&amp;"")</f>
        <v/>
      </c>
      <c r="J1438">
        <f>IF($AA1438="","",INDEX('Per Line'!$L$2:$L$4001,$AA1438)&amp;"")</f>
        <v/>
      </c>
      <c r="K1438">
        <f>IF($AA1438="","",INDEX('Per Line'!$P$2:$P$4001,$AA1438))</f>
        <v/>
      </c>
      <c r="L1438" s="7">
        <f>IF($AA1438="","",IF(AND(ISNUMBER(N1438),N1438&gt;0,Y1438&gt;N1438),K1438*N1438/100+(Y1438-N1438),K1438*Y1438/100))</f>
        <v/>
      </c>
      <c r="M1438">
        <f>IF($AA1438="","",INDEX('Per Line'!$Z$2:$Z$4001,$AA1438)&amp;"")</f>
        <v/>
      </c>
      <c r="N1438">
        <f>IF($AA1438="","",INDEX('Per Line'!$AG$2:$AG$4001,$AA1438))</f>
        <v/>
      </c>
      <c r="O1438">
        <f>IF($AA1438="","",IF(AND(ISNUMBER(N1438),N1438&gt;0),Y1438&gt;N1438,FALSE))</f>
        <v/>
      </c>
      <c r="P1438" s="7">
        <f>IF($AA1438="","",SUMIFS('Per Line'!$Y$2:$Y$4001,'Per Line'!$E$2:$E$4001,$B1438,'Per Line'!$AQ$2:$AQ$4001,1))</f>
        <v/>
      </c>
      <c r="Q1438">
        <f>IF($AA1438="","",Settings!$C$7)</f>
        <v/>
      </c>
      <c r="R1438" s="7">
        <f>IF($AA1438="","",SUMIFS('Per Line'!$Y$2:$Y$4001,'Per Line'!$E$2:$E$4001,$B1438,'Per Line'!$AP$2:$AP$4001,0,'Per Line'!$AQ$2:$AQ$4001,0))</f>
        <v/>
      </c>
      <c r="S1438" s="7">
        <f>IF($AA1438="","",R1438*Q1438)</f>
        <v/>
      </c>
      <c r="T1438">
        <f>IF($AA1438="","",Settings!$C$6)</f>
        <v/>
      </c>
      <c r="U1438" s="7">
        <f>IF($AA1438="","",SUMIFS('Per Line'!$Y$2:$Y$4001,'Per Line'!$E$2:$E$4001,$B1438,'Per Line'!$AP$2:$AP$4001,1,'Per Line'!$AQ$2:$AQ$4001,0))</f>
        <v/>
      </c>
      <c r="V1438" s="7">
        <f>IF($AA1438="","",U1438*T1438)</f>
        <v/>
      </c>
      <c r="W1438" s="7">
        <f>IF($AA1438="","",V1438+S1438)</f>
        <v/>
      </c>
      <c r="X1438" s="7">
        <f>IF($AA1438="","",Y1438-W1438)</f>
        <v/>
      </c>
      <c r="Y1438" s="7">
        <f>IF($AA1438="","",R1438+U1438+P1438)</f>
        <v/>
      </c>
      <c r="Z1438" s="7">
        <f>IF($AA1438="","",Y1438-W1438-L1438)</f>
        <v/>
      </c>
      <c r="AA1438" s="13">
        <f>IF(ROWS($AA$2:$AA1438)&lt;=MAX('Per Line'!$AO$2:$AO$4001),MATCH(ROWS($AA$2:$AA1438),'Per Line'!$AO$2:$AO$4001,0),"")</f>
        <v/>
      </c>
      <c r="AB1438" s="14">
        <f>IF($AA1438="","",L1438-K1438*Y1438/100)</f>
        <v/>
      </c>
    </row>
    <row r="1439">
      <c r="A1439" s="12" t="n"/>
      <c r="B1439">
        <f>IF($AA1439="","",INDEX('Per Line'!$E$2:$E$4001,$AA1439)&amp;"")</f>
        <v/>
      </c>
      <c r="C1439">
        <f>IF($AA1439="","",INDEX('Per Line'!$A$2:$A$4001,$AA1439)&amp;"")</f>
        <v/>
      </c>
      <c r="D1439">
        <f>IF($AA1439="","",INDEX('Per Line'!$D$2:$D$4001,$AA1439)&amp;"")</f>
        <v/>
      </c>
      <c r="E1439" s="11">
        <f>IF($AA1439="","",INDEX('Per Line'!$G$2:$G$4001,$AA1439))</f>
        <v/>
      </c>
      <c r="F1439">
        <f>IF($AA1439="","",INDEX('Per Line'!$H$2:$H$4001,$AA1439)&amp;"")</f>
        <v/>
      </c>
      <c r="G1439">
        <f>IF($AA1439="","",INDEX('Per Line'!$I$2:$I$4001,$AA1439)&amp;"")</f>
        <v/>
      </c>
      <c r="H1439">
        <f>IF($AA1439="","",INDEX('Per Line'!$J$2:$J$4001,$AA1439)&amp;"")</f>
        <v/>
      </c>
      <c r="I1439">
        <f>IF($AA1439="","",INDEX('Per Line'!$K$2:$K$4001,$AA1439)&amp;"")</f>
        <v/>
      </c>
      <c r="J1439">
        <f>IF($AA1439="","",INDEX('Per Line'!$L$2:$L$4001,$AA1439)&amp;"")</f>
        <v/>
      </c>
      <c r="K1439">
        <f>IF($AA1439="","",INDEX('Per Line'!$P$2:$P$4001,$AA1439))</f>
        <v/>
      </c>
      <c r="L1439" s="7">
        <f>IF($AA1439="","",IF(AND(ISNUMBER(N1439),N1439&gt;0,Y1439&gt;N1439),K1439*N1439/100+(Y1439-N1439),K1439*Y1439/100))</f>
        <v/>
      </c>
      <c r="M1439">
        <f>IF($AA1439="","",INDEX('Per Line'!$Z$2:$Z$4001,$AA1439)&amp;"")</f>
        <v/>
      </c>
      <c r="N1439">
        <f>IF($AA1439="","",INDEX('Per Line'!$AG$2:$AG$4001,$AA1439))</f>
        <v/>
      </c>
      <c r="O1439">
        <f>IF($AA1439="","",IF(AND(ISNUMBER(N1439),N1439&gt;0),Y1439&gt;N1439,FALSE))</f>
        <v/>
      </c>
      <c r="P1439" s="7">
        <f>IF($AA1439="","",SUMIFS('Per Line'!$Y$2:$Y$4001,'Per Line'!$E$2:$E$4001,$B1439,'Per Line'!$AQ$2:$AQ$4001,1))</f>
        <v/>
      </c>
      <c r="Q1439">
        <f>IF($AA1439="","",Settings!$C$7)</f>
        <v/>
      </c>
      <c r="R1439" s="7">
        <f>IF($AA1439="","",SUMIFS('Per Line'!$Y$2:$Y$4001,'Per Line'!$E$2:$E$4001,$B1439,'Per Line'!$AP$2:$AP$4001,0,'Per Line'!$AQ$2:$AQ$4001,0))</f>
        <v/>
      </c>
      <c r="S1439" s="7">
        <f>IF($AA1439="","",R1439*Q1439)</f>
        <v/>
      </c>
      <c r="T1439">
        <f>IF($AA1439="","",Settings!$C$6)</f>
        <v/>
      </c>
      <c r="U1439" s="7">
        <f>IF($AA1439="","",SUMIFS('Per Line'!$Y$2:$Y$4001,'Per Line'!$E$2:$E$4001,$B1439,'Per Line'!$AP$2:$AP$4001,1,'Per Line'!$AQ$2:$AQ$4001,0))</f>
        <v/>
      </c>
      <c r="V1439" s="7">
        <f>IF($AA1439="","",U1439*T1439)</f>
        <v/>
      </c>
      <c r="W1439" s="7">
        <f>IF($AA1439="","",V1439+S1439)</f>
        <v/>
      </c>
      <c r="X1439" s="7">
        <f>IF($AA1439="","",Y1439-W1439)</f>
        <v/>
      </c>
      <c r="Y1439" s="7">
        <f>IF($AA1439="","",R1439+U1439+P1439)</f>
        <v/>
      </c>
      <c r="Z1439" s="7">
        <f>IF($AA1439="","",Y1439-W1439-L1439)</f>
        <v/>
      </c>
      <c r="AA1439" s="13">
        <f>IF(ROWS($AA$2:$AA1439)&lt;=MAX('Per Line'!$AO$2:$AO$4001),MATCH(ROWS($AA$2:$AA1439),'Per Line'!$AO$2:$AO$4001,0),"")</f>
        <v/>
      </c>
      <c r="AB1439" s="14">
        <f>IF($AA1439="","",L1439-K1439*Y1439/100)</f>
        <v/>
      </c>
    </row>
    <row r="1440">
      <c r="A1440" s="12" t="n"/>
      <c r="B1440">
        <f>IF($AA1440="","",INDEX('Per Line'!$E$2:$E$4001,$AA1440)&amp;"")</f>
        <v/>
      </c>
      <c r="C1440">
        <f>IF($AA1440="","",INDEX('Per Line'!$A$2:$A$4001,$AA1440)&amp;"")</f>
        <v/>
      </c>
      <c r="D1440">
        <f>IF($AA1440="","",INDEX('Per Line'!$D$2:$D$4001,$AA1440)&amp;"")</f>
        <v/>
      </c>
      <c r="E1440" s="11">
        <f>IF($AA1440="","",INDEX('Per Line'!$G$2:$G$4001,$AA1440))</f>
        <v/>
      </c>
      <c r="F1440">
        <f>IF($AA1440="","",INDEX('Per Line'!$H$2:$H$4001,$AA1440)&amp;"")</f>
        <v/>
      </c>
      <c r="G1440">
        <f>IF($AA1440="","",INDEX('Per Line'!$I$2:$I$4001,$AA1440)&amp;"")</f>
        <v/>
      </c>
      <c r="H1440">
        <f>IF($AA1440="","",INDEX('Per Line'!$J$2:$J$4001,$AA1440)&amp;"")</f>
        <v/>
      </c>
      <c r="I1440">
        <f>IF($AA1440="","",INDEX('Per Line'!$K$2:$K$4001,$AA1440)&amp;"")</f>
        <v/>
      </c>
      <c r="J1440">
        <f>IF($AA1440="","",INDEX('Per Line'!$L$2:$L$4001,$AA1440)&amp;"")</f>
        <v/>
      </c>
      <c r="K1440">
        <f>IF($AA1440="","",INDEX('Per Line'!$P$2:$P$4001,$AA1440))</f>
        <v/>
      </c>
      <c r="L1440" s="7">
        <f>IF($AA1440="","",IF(AND(ISNUMBER(N1440),N1440&gt;0,Y1440&gt;N1440),K1440*N1440/100+(Y1440-N1440),K1440*Y1440/100))</f>
        <v/>
      </c>
      <c r="M1440">
        <f>IF($AA1440="","",INDEX('Per Line'!$Z$2:$Z$4001,$AA1440)&amp;"")</f>
        <v/>
      </c>
      <c r="N1440">
        <f>IF($AA1440="","",INDEX('Per Line'!$AG$2:$AG$4001,$AA1440))</f>
        <v/>
      </c>
      <c r="O1440">
        <f>IF($AA1440="","",IF(AND(ISNUMBER(N1440),N1440&gt;0),Y1440&gt;N1440,FALSE))</f>
        <v/>
      </c>
      <c r="P1440" s="7">
        <f>IF($AA1440="","",SUMIFS('Per Line'!$Y$2:$Y$4001,'Per Line'!$E$2:$E$4001,$B1440,'Per Line'!$AQ$2:$AQ$4001,1))</f>
        <v/>
      </c>
      <c r="Q1440">
        <f>IF($AA1440="","",Settings!$C$7)</f>
        <v/>
      </c>
      <c r="R1440" s="7">
        <f>IF($AA1440="","",SUMIFS('Per Line'!$Y$2:$Y$4001,'Per Line'!$E$2:$E$4001,$B1440,'Per Line'!$AP$2:$AP$4001,0,'Per Line'!$AQ$2:$AQ$4001,0))</f>
        <v/>
      </c>
      <c r="S1440" s="7">
        <f>IF($AA1440="","",R1440*Q1440)</f>
        <v/>
      </c>
      <c r="T1440">
        <f>IF($AA1440="","",Settings!$C$6)</f>
        <v/>
      </c>
      <c r="U1440" s="7">
        <f>IF($AA1440="","",SUMIFS('Per Line'!$Y$2:$Y$4001,'Per Line'!$E$2:$E$4001,$B1440,'Per Line'!$AP$2:$AP$4001,1,'Per Line'!$AQ$2:$AQ$4001,0))</f>
        <v/>
      </c>
      <c r="V1440" s="7">
        <f>IF($AA1440="","",U1440*T1440)</f>
        <v/>
      </c>
      <c r="W1440" s="7">
        <f>IF($AA1440="","",V1440+S1440)</f>
        <v/>
      </c>
      <c r="X1440" s="7">
        <f>IF($AA1440="","",Y1440-W1440)</f>
        <v/>
      </c>
      <c r="Y1440" s="7">
        <f>IF($AA1440="","",R1440+U1440+P1440)</f>
        <v/>
      </c>
      <c r="Z1440" s="7">
        <f>IF($AA1440="","",Y1440-W1440-L1440)</f>
        <v/>
      </c>
      <c r="AA1440" s="13">
        <f>IF(ROWS($AA$2:$AA1440)&lt;=MAX('Per Line'!$AO$2:$AO$4001),MATCH(ROWS($AA$2:$AA1440),'Per Line'!$AO$2:$AO$4001,0),"")</f>
        <v/>
      </c>
      <c r="AB1440" s="14">
        <f>IF($AA1440="","",L1440-K1440*Y1440/100)</f>
        <v/>
      </c>
    </row>
    <row r="1441">
      <c r="A1441" s="12" t="n"/>
      <c r="B1441">
        <f>IF($AA1441="","",INDEX('Per Line'!$E$2:$E$4001,$AA1441)&amp;"")</f>
        <v/>
      </c>
      <c r="C1441">
        <f>IF($AA1441="","",INDEX('Per Line'!$A$2:$A$4001,$AA1441)&amp;"")</f>
        <v/>
      </c>
      <c r="D1441">
        <f>IF($AA1441="","",INDEX('Per Line'!$D$2:$D$4001,$AA1441)&amp;"")</f>
        <v/>
      </c>
      <c r="E1441" s="11">
        <f>IF($AA1441="","",INDEX('Per Line'!$G$2:$G$4001,$AA1441))</f>
        <v/>
      </c>
      <c r="F1441">
        <f>IF($AA1441="","",INDEX('Per Line'!$H$2:$H$4001,$AA1441)&amp;"")</f>
        <v/>
      </c>
      <c r="G1441">
        <f>IF($AA1441="","",INDEX('Per Line'!$I$2:$I$4001,$AA1441)&amp;"")</f>
        <v/>
      </c>
      <c r="H1441">
        <f>IF($AA1441="","",INDEX('Per Line'!$J$2:$J$4001,$AA1441)&amp;"")</f>
        <v/>
      </c>
      <c r="I1441">
        <f>IF($AA1441="","",INDEX('Per Line'!$K$2:$K$4001,$AA1441)&amp;"")</f>
        <v/>
      </c>
      <c r="J1441">
        <f>IF($AA1441="","",INDEX('Per Line'!$L$2:$L$4001,$AA1441)&amp;"")</f>
        <v/>
      </c>
      <c r="K1441">
        <f>IF($AA1441="","",INDEX('Per Line'!$P$2:$P$4001,$AA1441))</f>
        <v/>
      </c>
      <c r="L1441" s="7">
        <f>IF($AA1441="","",IF(AND(ISNUMBER(N1441),N1441&gt;0,Y1441&gt;N1441),K1441*N1441/100+(Y1441-N1441),K1441*Y1441/100))</f>
        <v/>
      </c>
      <c r="M1441">
        <f>IF($AA1441="","",INDEX('Per Line'!$Z$2:$Z$4001,$AA1441)&amp;"")</f>
        <v/>
      </c>
      <c r="N1441">
        <f>IF($AA1441="","",INDEX('Per Line'!$AG$2:$AG$4001,$AA1441))</f>
        <v/>
      </c>
      <c r="O1441">
        <f>IF($AA1441="","",IF(AND(ISNUMBER(N1441),N1441&gt;0),Y1441&gt;N1441,FALSE))</f>
        <v/>
      </c>
      <c r="P1441" s="7">
        <f>IF($AA1441="","",SUMIFS('Per Line'!$Y$2:$Y$4001,'Per Line'!$E$2:$E$4001,$B1441,'Per Line'!$AQ$2:$AQ$4001,1))</f>
        <v/>
      </c>
      <c r="Q1441">
        <f>IF($AA1441="","",Settings!$C$7)</f>
        <v/>
      </c>
      <c r="R1441" s="7">
        <f>IF($AA1441="","",SUMIFS('Per Line'!$Y$2:$Y$4001,'Per Line'!$E$2:$E$4001,$B1441,'Per Line'!$AP$2:$AP$4001,0,'Per Line'!$AQ$2:$AQ$4001,0))</f>
        <v/>
      </c>
      <c r="S1441" s="7">
        <f>IF($AA1441="","",R1441*Q1441)</f>
        <v/>
      </c>
      <c r="T1441">
        <f>IF($AA1441="","",Settings!$C$6)</f>
        <v/>
      </c>
      <c r="U1441" s="7">
        <f>IF($AA1441="","",SUMIFS('Per Line'!$Y$2:$Y$4001,'Per Line'!$E$2:$E$4001,$B1441,'Per Line'!$AP$2:$AP$4001,1,'Per Line'!$AQ$2:$AQ$4001,0))</f>
        <v/>
      </c>
      <c r="V1441" s="7">
        <f>IF($AA1441="","",U1441*T1441)</f>
        <v/>
      </c>
      <c r="W1441" s="7">
        <f>IF($AA1441="","",V1441+S1441)</f>
        <v/>
      </c>
      <c r="X1441" s="7">
        <f>IF($AA1441="","",Y1441-W1441)</f>
        <v/>
      </c>
      <c r="Y1441" s="7">
        <f>IF($AA1441="","",R1441+U1441+P1441)</f>
        <v/>
      </c>
      <c r="Z1441" s="7">
        <f>IF($AA1441="","",Y1441-W1441-L1441)</f>
        <v/>
      </c>
      <c r="AA1441" s="13">
        <f>IF(ROWS($AA$2:$AA1441)&lt;=MAX('Per Line'!$AO$2:$AO$4001),MATCH(ROWS($AA$2:$AA1441),'Per Line'!$AO$2:$AO$4001,0),"")</f>
        <v/>
      </c>
      <c r="AB1441" s="14">
        <f>IF($AA1441="","",L1441-K1441*Y1441/100)</f>
        <v/>
      </c>
    </row>
    <row r="1442">
      <c r="A1442" s="12" t="n"/>
      <c r="B1442">
        <f>IF($AA1442="","",INDEX('Per Line'!$E$2:$E$4001,$AA1442)&amp;"")</f>
        <v/>
      </c>
      <c r="C1442">
        <f>IF($AA1442="","",INDEX('Per Line'!$A$2:$A$4001,$AA1442)&amp;"")</f>
        <v/>
      </c>
      <c r="D1442">
        <f>IF($AA1442="","",INDEX('Per Line'!$D$2:$D$4001,$AA1442)&amp;"")</f>
        <v/>
      </c>
      <c r="E1442" s="11">
        <f>IF($AA1442="","",INDEX('Per Line'!$G$2:$G$4001,$AA1442))</f>
        <v/>
      </c>
      <c r="F1442">
        <f>IF($AA1442="","",INDEX('Per Line'!$H$2:$H$4001,$AA1442)&amp;"")</f>
        <v/>
      </c>
      <c r="G1442">
        <f>IF($AA1442="","",INDEX('Per Line'!$I$2:$I$4001,$AA1442)&amp;"")</f>
        <v/>
      </c>
      <c r="H1442">
        <f>IF($AA1442="","",INDEX('Per Line'!$J$2:$J$4001,$AA1442)&amp;"")</f>
        <v/>
      </c>
      <c r="I1442">
        <f>IF($AA1442="","",INDEX('Per Line'!$K$2:$K$4001,$AA1442)&amp;"")</f>
        <v/>
      </c>
      <c r="J1442">
        <f>IF($AA1442="","",INDEX('Per Line'!$L$2:$L$4001,$AA1442)&amp;"")</f>
        <v/>
      </c>
      <c r="K1442">
        <f>IF($AA1442="","",INDEX('Per Line'!$P$2:$P$4001,$AA1442))</f>
        <v/>
      </c>
      <c r="L1442" s="7">
        <f>IF($AA1442="","",IF(AND(ISNUMBER(N1442),N1442&gt;0,Y1442&gt;N1442),K1442*N1442/100+(Y1442-N1442),K1442*Y1442/100))</f>
        <v/>
      </c>
      <c r="M1442">
        <f>IF($AA1442="","",INDEX('Per Line'!$Z$2:$Z$4001,$AA1442)&amp;"")</f>
        <v/>
      </c>
      <c r="N1442">
        <f>IF($AA1442="","",INDEX('Per Line'!$AG$2:$AG$4001,$AA1442))</f>
        <v/>
      </c>
      <c r="O1442">
        <f>IF($AA1442="","",IF(AND(ISNUMBER(N1442),N1442&gt;0),Y1442&gt;N1442,FALSE))</f>
        <v/>
      </c>
      <c r="P1442" s="7">
        <f>IF($AA1442="","",SUMIFS('Per Line'!$Y$2:$Y$4001,'Per Line'!$E$2:$E$4001,$B1442,'Per Line'!$AQ$2:$AQ$4001,1))</f>
        <v/>
      </c>
      <c r="Q1442">
        <f>IF($AA1442="","",Settings!$C$7)</f>
        <v/>
      </c>
      <c r="R1442" s="7">
        <f>IF($AA1442="","",SUMIFS('Per Line'!$Y$2:$Y$4001,'Per Line'!$E$2:$E$4001,$B1442,'Per Line'!$AP$2:$AP$4001,0,'Per Line'!$AQ$2:$AQ$4001,0))</f>
        <v/>
      </c>
      <c r="S1442" s="7">
        <f>IF($AA1442="","",R1442*Q1442)</f>
        <v/>
      </c>
      <c r="T1442">
        <f>IF($AA1442="","",Settings!$C$6)</f>
        <v/>
      </c>
      <c r="U1442" s="7">
        <f>IF($AA1442="","",SUMIFS('Per Line'!$Y$2:$Y$4001,'Per Line'!$E$2:$E$4001,$B1442,'Per Line'!$AP$2:$AP$4001,1,'Per Line'!$AQ$2:$AQ$4001,0))</f>
        <v/>
      </c>
      <c r="V1442" s="7">
        <f>IF($AA1442="","",U1442*T1442)</f>
        <v/>
      </c>
      <c r="W1442" s="7">
        <f>IF($AA1442="","",V1442+S1442)</f>
        <v/>
      </c>
      <c r="X1442" s="7">
        <f>IF($AA1442="","",Y1442-W1442)</f>
        <v/>
      </c>
      <c r="Y1442" s="7">
        <f>IF($AA1442="","",R1442+U1442+P1442)</f>
        <v/>
      </c>
      <c r="Z1442" s="7">
        <f>IF($AA1442="","",Y1442-W1442-L1442)</f>
        <v/>
      </c>
      <c r="AA1442" s="13">
        <f>IF(ROWS($AA$2:$AA1442)&lt;=MAX('Per Line'!$AO$2:$AO$4001),MATCH(ROWS($AA$2:$AA1442),'Per Line'!$AO$2:$AO$4001,0),"")</f>
        <v/>
      </c>
      <c r="AB1442" s="14">
        <f>IF($AA1442="","",L1442-K1442*Y1442/100)</f>
        <v/>
      </c>
    </row>
    <row r="1443">
      <c r="A1443" s="12" t="n"/>
      <c r="B1443">
        <f>IF($AA1443="","",INDEX('Per Line'!$E$2:$E$4001,$AA1443)&amp;"")</f>
        <v/>
      </c>
      <c r="C1443">
        <f>IF($AA1443="","",INDEX('Per Line'!$A$2:$A$4001,$AA1443)&amp;"")</f>
        <v/>
      </c>
      <c r="D1443">
        <f>IF($AA1443="","",INDEX('Per Line'!$D$2:$D$4001,$AA1443)&amp;"")</f>
        <v/>
      </c>
      <c r="E1443" s="11">
        <f>IF($AA1443="","",INDEX('Per Line'!$G$2:$G$4001,$AA1443))</f>
        <v/>
      </c>
      <c r="F1443">
        <f>IF($AA1443="","",INDEX('Per Line'!$H$2:$H$4001,$AA1443)&amp;"")</f>
        <v/>
      </c>
      <c r="G1443">
        <f>IF($AA1443="","",INDEX('Per Line'!$I$2:$I$4001,$AA1443)&amp;"")</f>
        <v/>
      </c>
      <c r="H1443">
        <f>IF($AA1443="","",INDEX('Per Line'!$J$2:$J$4001,$AA1443)&amp;"")</f>
        <v/>
      </c>
      <c r="I1443">
        <f>IF($AA1443="","",INDEX('Per Line'!$K$2:$K$4001,$AA1443)&amp;"")</f>
        <v/>
      </c>
      <c r="J1443">
        <f>IF($AA1443="","",INDEX('Per Line'!$L$2:$L$4001,$AA1443)&amp;"")</f>
        <v/>
      </c>
      <c r="K1443">
        <f>IF($AA1443="","",INDEX('Per Line'!$P$2:$P$4001,$AA1443))</f>
        <v/>
      </c>
      <c r="L1443" s="7">
        <f>IF($AA1443="","",IF(AND(ISNUMBER(N1443),N1443&gt;0,Y1443&gt;N1443),K1443*N1443/100+(Y1443-N1443),K1443*Y1443/100))</f>
        <v/>
      </c>
      <c r="M1443">
        <f>IF($AA1443="","",INDEX('Per Line'!$Z$2:$Z$4001,$AA1443)&amp;"")</f>
        <v/>
      </c>
      <c r="N1443">
        <f>IF($AA1443="","",INDEX('Per Line'!$AG$2:$AG$4001,$AA1443))</f>
        <v/>
      </c>
      <c r="O1443">
        <f>IF($AA1443="","",IF(AND(ISNUMBER(N1443),N1443&gt;0),Y1443&gt;N1443,FALSE))</f>
        <v/>
      </c>
      <c r="P1443" s="7">
        <f>IF($AA1443="","",SUMIFS('Per Line'!$Y$2:$Y$4001,'Per Line'!$E$2:$E$4001,$B1443,'Per Line'!$AQ$2:$AQ$4001,1))</f>
        <v/>
      </c>
      <c r="Q1443">
        <f>IF($AA1443="","",Settings!$C$7)</f>
        <v/>
      </c>
      <c r="R1443" s="7">
        <f>IF($AA1443="","",SUMIFS('Per Line'!$Y$2:$Y$4001,'Per Line'!$E$2:$E$4001,$B1443,'Per Line'!$AP$2:$AP$4001,0,'Per Line'!$AQ$2:$AQ$4001,0))</f>
        <v/>
      </c>
      <c r="S1443" s="7">
        <f>IF($AA1443="","",R1443*Q1443)</f>
        <v/>
      </c>
      <c r="T1443">
        <f>IF($AA1443="","",Settings!$C$6)</f>
        <v/>
      </c>
      <c r="U1443" s="7">
        <f>IF($AA1443="","",SUMIFS('Per Line'!$Y$2:$Y$4001,'Per Line'!$E$2:$E$4001,$B1443,'Per Line'!$AP$2:$AP$4001,1,'Per Line'!$AQ$2:$AQ$4001,0))</f>
        <v/>
      </c>
      <c r="V1443" s="7">
        <f>IF($AA1443="","",U1443*T1443)</f>
        <v/>
      </c>
      <c r="W1443" s="7">
        <f>IF($AA1443="","",V1443+S1443)</f>
        <v/>
      </c>
      <c r="X1443" s="7">
        <f>IF($AA1443="","",Y1443-W1443)</f>
        <v/>
      </c>
      <c r="Y1443" s="7">
        <f>IF($AA1443="","",R1443+U1443+P1443)</f>
        <v/>
      </c>
      <c r="Z1443" s="7">
        <f>IF($AA1443="","",Y1443-W1443-L1443)</f>
        <v/>
      </c>
      <c r="AA1443" s="13">
        <f>IF(ROWS($AA$2:$AA1443)&lt;=MAX('Per Line'!$AO$2:$AO$4001),MATCH(ROWS($AA$2:$AA1443),'Per Line'!$AO$2:$AO$4001,0),"")</f>
        <v/>
      </c>
      <c r="AB1443" s="14">
        <f>IF($AA1443="","",L1443-K1443*Y1443/100)</f>
        <v/>
      </c>
    </row>
    <row r="1444">
      <c r="A1444" s="12" t="n"/>
      <c r="B1444">
        <f>IF($AA1444="","",INDEX('Per Line'!$E$2:$E$4001,$AA1444)&amp;"")</f>
        <v/>
      </c>
      <c r="C1444">
        <f>IF($AA1444="","",INDEX('Per Line'!$A$2:$A$4001,$AA1444)&amp;"")</f>
        <v/>
      </c>
      <c r="D1444">
        <f>IF($AA1444="","",INDEX('Per Line'!$D$2:$D$4001,$AA1444)&amp;"")</f>
        <v/>
      </c>
      <c r="E1444" s="11">
        <f>IF($AA1444="","",INDEX('Per Line'!$G$2:$G$4001,$AA1444))</f>
        <v/>
      </c>
      <c r="F1444">
        <f>IF($AA1444="","",INDEX('Per Line'!$H$2:$H$4001,$AA1444)&amp;"")</f>
        <v/>
      </c>
      <c r="G1444">
        <f>IF($AA1444="","",INDEX('Per Line'!$I$2:$I$4001,$AA1444)&amp;"")</f>
        <v/>
      </c>
      <c r="H1444">
        <f>IF($AA1444="","",INDEX('Per Line'!$J$2:$J$4001,$AA1444)&amp;"")</f>
        <v/>
      </c>
      <c r="I1444">
        <f>IF($AA1444="","",INDEX('Per Line'!$K$2:$K$4001,$AA1444)&amp;"")</f>
        <v/>
      </c>
      <c r="J1444">
        <f>IF($AA1444="","",INDEX('Per Line'!$L$2:$L$4001,$AA1444)&amp;"")</f>
        <v/>
      </c>
      <c r="K1444">
        <f>IF($AA1444="","",INDEX('Per Line'!$P$2:$P$4001,$AA1444))</f>
        <v/>
      </c>
      <c r="L1444" s="7">
        <f>IF($AA1444="","",IF(AND(ISNUMBER(N1444),N1444&gt;0,Y1444&gt;N1444),K1444*N1444/100+(Y1444-N1444),K1444*Y1444/100))</f>
        <v/>
      </c>
      <c r="M1444">
        <f>IF($AA1444="","",INDEX('Per Line'!$Z$2:$Z$4001,$AA1444)&amp;"")</f>
        <v/>
      </c>
      <c r="N1444">
        <f>IF($AA1444="","",INDEX('Per Line'!$AG$2:$AG$4001,$AA1444))</f>
        <v/>
      </c>
      <c r="O1444">
        <f>IF($AA1444="","",IF(AND(ISNUMBER(N1444),N1444&gt;0),Y1444&gt;N1444,FALSE))</f>
        <v/>
      </c>
      <c r="P1444" s="7">
        <f>IF($AA1444="","",SUMIFS('Per Line'!$Y$2:$Y$4001,'Per Line'!$E$2:$E$4001,$B1444,'Per Line'!$AQ$2:$AQ$4001,1))</f>
        <v/>
      </c>
      <c r="Q1444">
        <f>IF($AA1444="","",Settings!$C$7)</f>
        <v/>
      </c>
      <c r="R1444" s="7">
        <f>IF($AA1444="","",SUMIFS('Per Line'!$Y$2:$Y$4001,'Per Line'!$E$2:$E$4001,$B1444,'Per Line'!$AP$2:$AP$4001,0,'Per Line'!$AQ$2:$AQ$4001,0))</f>
        <v/>
      </c>
      <c r="S1444" s="7">
        <f>IF($AA1444="","",R1444*Q1444)</f>
        <v/>
      </c>
      <c r="T1444">
        <f>IF($AA1444="","",Settings!$C$6)</f>
        <v/>
      </c>
      <c r="U1444" s="7">
        <f>IF($AA1444="","",SUMIFS('Per Line'!$Y$2:$Y$4001,'Per Line'!$E$2:$E$4001,$B1444,'Per Line'!$AP$2:$AP$4001,1,'Per Line'!$AQ$2:$AQ$4001,0))</f>
        <v/>
      </c>
      <c r="V1444" s="7">
        <f>IF($AA1444="","",U1444*T1444)</f>
        <v/>
      </c>
      <c r="W1444" s="7">
        <f>IF($AA1444="","",V1444+S1444)</f>
        <v/>
      </c>
      <c r="X1444" s="7">
        <f>IF($AA1444="","",Y1444-W1444)</f>
        <v/>
      </c>
      <c r="Y1444" s="7">
        <f>IF($AA1444="","",R1444+U1444+P1444)</f>
        <v/>
      </c>
      <c r="Z1444" s="7">
        <f>IF($AA1444="","",Y1444-W1444-L1444)</f>
        <v/>
      </c>
      <c r="AA1444" s="13">
        <f>IF(ROWS($AA$2:$AA1444)&lt;=MAX('Per Line'!$AO$2:$AO$4001),MATCH(ROWS($AA$2:$AA1444),'Per Line'!$AO$2:$AO$4001,0),"")</f>
        <v/>
      </c>
      <c r="AB1444" s="14">
        <f>IF($AA1444="","",L1444-K1444*Y1444/100)</f>
        <v/>
      </c>
    </row>
    <row r="1445">
      <c r="A1445" s="12" t="n"/>
      <c r="B1445">
        <f>IF($AA1445="","",INDEX('Per Line'!$E$2:$E$4001,$AA1445)&amp;"")</f>
        <v/>
      </c>
      <c r="C1445">
        <f>IF($AA1445="","",INDEX('Per Line'!$A$2:$A$4001,$AA1445)&amp;"")</f>
        <v/>
      </c>
      <c r="D1445">
        <f>IF($AA1445="","",INDEX('Per Line'!$D$2:$D$4001,$AA1445)&amp;"")</f>
        <v/>
      </c>
      <c r="E1445" s="11">
        <f>IF($AA1445="","",INDEX('Per Line'!$G$2:$G$4001,$AA1445))</f>
        <v/>
      </c>
      <c r="F1445">
        <f>IF($AA1445="","",INDEX('Per Line'!$H$2:$H$4001,$AA1445)&amp;"")</f>
        <v/>
      </c>
      <c r="G1445">
        <f>IF($AA1445="","",INDEX('Per Line'!$I$2:$I$4001,$AA1445)&amp;"")</f>
        <v/>
      </c>
      <c r="H1445">
        <f>IF($AA1445="","",INDEX('Per Line'!$J$2:$J$4001,$AA1445)&amp;"")</f>
        <v/>
      </c>
      <c r="I1445">
        <f>IF($AA1445="","",INDEX('Per Line'!$K$2:$K$4001,$AA1445)&amp;"")</f>
        <v/>
      </c>
      <c r="J1445">
        <f>IF($AA1445="","",INDEX('Per Line'!$L$2:$L$4001,$AA1445)&amp;"")</f>
        <v/>
      </c>
      <c r="K1445">
        <f>IF($AA1445="","",INDEX('Per Line'!$P$2:$P$4001,$AA1445))</f>
        <v/>
      </c>
      <c r="L1445" s="7">
        <f>IF($AA1445="","",IF(AND(ISNUMBER(N1445),N1445&gt;0,Y1445&gt;N1445),K1445*N1445/100+(Y1445-N1445),K1445*Y1445/100))</f>
        <v/>
      </c>
      <c r="M1445">
        <f>IF($AA1445="","",INDEX('Per Line'!$Z$2:$Z$4001,$AA1445)&amp;"")</f>
        <v/>
      </c>
      <c r="N1445">
        <f>IF($AA1445="","",INDEX('Per Line'!$AG$2:$AG$4001,$AA1445))</f>
        <v/>
      </c>
      <c r="O1445">
        <f>IF($AA1445="","",IF(AND(ISNUMBER(N1445),N1445&gt;0),Y1445&gt;N1445,FALSE))</f>
        <v/>
      </c>
      <c r="P1445" s="7">
        <f>IF($AA1445="","",SUMIFS('Per Line'!$Y$2:$Y$4001,'Per Line'!$E$2:$E$4001,$B1445,'Per Line'!$AQ$2:$AQ$4001,1))</f>
        <v/>
      </c>
      <c r="Q1445">
        <f>IF($AA1445="","",Settings!$C$7)</f>
        <v/>
      </c>
      <c r="R1445" s="7">
        <f>IF($AA1445="","",SUMIFS('Per Line'!$Y$2:$Y$4001,'Per Line'!$E$2:$E$4001,$B1445,'Per Line'!$AP$2:$AP$4001,0,'Per Line'!$AQ$2:$AQ$4001,0))</f>
        <v/>
      </c>
      <c r="S1445" s="7">
        <f>IF($AA1445="","",R1445*Q1445)</f>
        <v/>
      </c>
      <c r="T1445">
        <f>IF($AA1445="","",Settings!$C$6)</f>
        <v/>
      </c>
      <c r="U1445" s="7">
        <f>IF($AA1445="","",SUMIFS('Per Line'!$Y$2:$Y$4001,'Per Line'!$E$2:$E$4001,$B1445,'Per Line'!$AP$2:$AP$4001,1,'Per Line'!$AQ$2:$AQ$4001,0))</f>
        <v/>
      </c>
      <c r="V1445" s="7">
        <f>IF($AA1445="","",U1445*T1445)</f>
        <v/>
      </c>
      <c r="W1445" s="7">
        <f>IF($AA1445="","",V1445+S1445)</f>
        <v/>
      </c>
      <c r="X1445" s="7">
        <f>IF($AA1445="","",Y1445-W1445)</f>
        <v/>
      </c>
      <c r="Y1445" s="7">
        <f>IF($AA1445="","",R1445+U1445+P1445)</f>
        <v/>
      </c>
      <c r="Z1445" s="7">
        <f>IF($AA1445="","",Y1445-W1445-L1445)</f>
        <v/>
      </c>
      <c r="AA1445" s="13">
        <f>IF(ROWS($AA$2:$AA1445)&lt;=MAX('Per Line'!$AO$2:$AO$4001),MATCH(ROWS($AA$2:$AA1445),'Per Line'!$AO$2:$AO$4001,0),"")</f>
        <v/>
      </c>
      <c r="AB1445" s="14">
        <f>IF($AA1445="","",L1445-K1445*Y1445/100)</f>
        <v/>
      </c>
    </row>
    <row r="1446">
      <c r="A1446" s="12" t="n"/>
      <c r="B1446">
        <f>IF($AA1446="","",INDEX('Per Line'!$E$2:$E$4001,$AA1446)&amp;"")</f>
        <v/>
      </c>
      <c r="C1446">
        <f>IF($AA1446="","",INDEX('Per Line'!$A$2:$A$4001,$AA1446)&amp;"")</f>
        <v/>
      </c>
      <c r="D1446">
        <f>IF($AA1446="","",INDEX('Per Line'!$D$2:$D$4001,$AA1446)&amp;"")</f>
        <v/>
      </c>
      <c r="E1446" s="11">
        <f>IF($AA1446="","",INDEX('Per Line'!$G$2:$G$4001,$AA1446))</f>
        <v/>
      </c>
      <c r="F1446">
        <f>IF($AA1446="","",INDEX('Per Line'!$H$2:$H$4001,$AA1446)&amp;"")</f>
        <v/>
      </c>
      <c r="G1446">
        <f>IF($AA1446="","",INDEX('Per Line'!$I$2:$I$4001,$AA1446)&amp;"")</f>
        <v/>
      </c>
      <c r="H1446">
        <f>IF($AA1446="","",INDEX('Per Line'!$J$2:$J$4001,$AA1446)&amp;"")</f>
        <v/>
      </c>
      <c r="I1446">
        <f>IF($AA1446="","",INDEX('Per Line'!$K$2:$K$4001,$AA1446)&amp;"")</f>
        <v/>
      </c>
      <c r="J1446">
        <f>IF($AA1446="","",INDEX('Per Line'!$L$2:$L$4001,$AA1446)&amp;"")</f>
        <v/>
      </c>
      <c r="K1446">
        <f>IF($AA1446="","",INDEX('Per Line'!$P$2:$P$4001,$AA1446))</f>
        <v/>
      </c>
      <c r="L1446" s="7">
        <f>IF($AA1446="","",IF(AND(ISNUMBER(N1446),N1446&gt;0,Y1446&gt;N1446),K1446*N1446/100+(Y1446-N1446),K1446*Y1446/100))</f>
        <v/>
      </c>
      <c r="M1446">
        <f>IF($AA1446="","",INDEX('Per Line'!$Z$2:$Z$4001,$AA1446)&amp;"")</f>
        <v/>
      </c>
      <c r="N1446">
        <f>IF($AA1446="","",INDEX('Per Line'!$AG$2:$AG$4001,$AA1446))</f>
        <v/>
      </c>
      <c r="O1446">
        <f>IF($AA1446="","",IF(AND(ISNUMBER(N1446),N1446&gt;0),Y1446&gt;N1446,FALSE))</f>
        <v/>
      </c>
      <c r="P1446" s="7">
        <f>IF($AA1446="","",SUMIFS('Per Line'!$Y$2:$Y$4001,'Per Line'!$E$2:$E$4001,$B1446,'Per Line'!$AQ$2:$AQ$4001,1))</f>
        <v/>
      </c>
      <c r="Q1446">
        <f>IF($AA1446="","",Settings!$C$7)</f>
        <v/>
      </c>
      <c r="R1446" s="7">
        <f>IF($AA1446="","",SUMIFS('Per Line'!$Y$2:$Y$4001,'Per Line'!$E$2:$E$4001,$B1446,'Per Line'!$AP$2:$AP$4001,0,'Per Line'!$AQ$2:$AQ$4001,0))</f>
        <v/>
      </c>
      <c r="S1446" s="7">
        <f>IF($AA1446="","",R1446*Q1446)</f>
        <v/>
      </c>
      <c r="T1446">
        <f>IF($AA1446="","",Settings!$C$6)</f>
        <v/>
      </c>
      <c r="U1446" s="7">
        <f>IF($AA1446="","",SUMIFS('Per Line'!$Y$2:$Y$4001,'Per Line'!$E$2:$E$4001,$B1446,'Per Line'!$AP$2:$AP$4001,1,'Per Line'!$AQ$2:$AQ$4001,0))</f>
        <v/>
      </c>
      <c r="V1446" s="7">
        <f>IF($AA1446="","",U1446*T1446)</f>
        <v/>
      </c>
      <c r="W1446" s="7">
        <f>IF($AA1446="","",V1446+S1446)</f>
        <v/>
      </c>
      <c r="X1446" s="7">
        <f>IF($AA1446="","",Y1446-W1446)</f>
        <v/>
      </c>
      <c r="Y1446" s="7">
        <f>IF($AA1446="","",R1446+U1446+P1446)</f>
        <v/>
      </c>
      <c r="Z1446" s="7">
        <f>IF($AA1446="","",Y1446-W1446-L1446)</f>
        <v/>
      </c>
      <c r="AA1446" s="13">
        <f>IF(ROWS($AA$2:$AA1446)&lt;=MAX('Per Line'!$AO$2:$AO$4001),MATCH(ROWS($AA$2:$AA1446),'Per Line'!$AO$2:$AO$4001,0),"")</f>
        <v/>
      </c>
      <c r="AB1446" s="14">
        <f>IF($AA1446="","",L1446-K1446*Y1446/100)</f>
        <v/>
      </c>
    </row>
    <row r="1447">
      <c r="A1447" s="12" t="n"/>
      <c r="B1447">
        <f>IF($AA1447="","",INDEX('Per Line'!$E$2:$E$4001,$AA1447)&amp;"")</f>
        <v/>
      </c>
      <c r="C1447">
        <f>IF($AA1447="","",INDEX('Per Line'!$A$2:$A$4001,$AA1447)&amp;"")</f>
        <v/>
      </c>
      <c r="D1447">
        <f>IF($AA1447="","",INDEX('Per Line'!$D$2:$D$4001,$AA1447)&amp;"")</f>
        <v/>
      </c>
      <c r="E1447" s="11">
        <f>IF($AA1447="","",INDEX('Per Line'!$G$2:$G$4001,$AA1447))</f>
        <v/>
      </c>
      <c r="F1447">
        <f>IF($AA1447="","",INDEX('Per Line'!$H$2:$H$4001,$AA1447)&amp;"")</f>
        <v/>
      </c>
      <c r="G1447">
        <f>IF($AA1447="","",INDEX('Per Line'!$I$2:$I$4001,$AA1447)&amp;"")</f>
        <v/>
      </c>
      <c r="H1447">
        <f>IF($AA1447="","",INDEX('Per Line'!$J$2:$J$4001,$AA1447)&amp;"")</f>
        <v/>
      </c>
      <c r="I1447">
        <f>IF($AA1447="","",INDEX('Per Line'!$K$2:$K$4001,$AA1447)&amp;"")</f>
        <v/>
      </c>
      <c r="J1447">
        <f>IF($AA1447="","",INDEX('Per Line'!$L$2:$L$4001,$AA1447)&amp;"")</f>
        <v/>
      </c>
      <c r="K1447">
        <f>IF($AA1447="","",INDEX('Per Line'!$P$2:$P$4001,$AA1447))</f>
        <v/>
      </c>
      <c r="L1447" s="7">
        <f>IF($AA1447="","",IF(AND(ISNUMBER(N1447),N1447&gt;0,Y1447&gt;N1447),K1447*N1447/100+(Y1447-N1447),K1447*Y1447/100))</f>
        <v/>
      </c>
      <c r="M1447">
        <f>IF($AA1447="","",INDEX('Per Line'!$Z$2:$Z$4001,$AA1447)&amp;"")</f>
        <v/>
      </c>
      <c r="N1447">
        <f>IF($AA1447="","",INDEX('Per Line'!$AG$2:$AG$4001,$AA1447))</f>
        <v/>
      </c>
      <c r="O1447">
        <f>IF($AA1447="","",IF(AND(ISNUMBER(N1447),N1447&gt;0),Y1447&gt;N1447,FALSE))</f>
        <v/>
      </c>
      <c r="P1447" s="7">
        <f>IF($AA1447="","",SUMIFS('Per Line'!$Y$2:$Y$4001,'Per Line'!$E$2:$E$4001,$B1447,'Per Line'!$AQ$2:$AQ$4001,1))</f>
        <v/>
      </c>
      <c r="Q1447">
        <f>IF($AA1447="","",Settings!$C$7)</f>
        <v/>
      </c>
      <c r="R1447" s="7">
        <f>IF($AA1447="","",SUMIFS('Per Line'!$Y$2:$Y$4001,'Per Line'!$E$2:$E$4001,$B1447,'Per Line'!$AP$2:$AP$4001,0,'Per Line'!$AQ$2:$AQ$4001,0))</f>
        <v/>
      </c>
      <c r="S1447" s="7">
        <f>IF($AA1447="","",R1447*Q1447)</f>
        <v/>
      </c>
      <c r="T1447">
        <f>IF($AA1447="","",Settings!$C$6)</f>
        <v/>
      </c>
      <c r="U1447" s="7">
        <f>IF($AA1447="","",SUMIFS('Per Line'!$Y$2:$Y$4001,'Per Line'!$E$2:$E$4001,$B1447,'Per Line'!$AP$2:$AP$4001,1,'Per Line'!$AQ$2:$AQ$4001,0))</f>
        <v/>
      </c>
      <c r="V1447" s="7">
        <f>IF($AA1447="","",U1447*T1447)</f>
        <v/>
      </c>
      <c r="W1447" s="7">
        <f>IF($AA1447="","",V1447+S1447)</f>
        <v/>
      </c>
      <c r="X1447" s="7">
        <f>IF($AA1447="","",Y1447-W1447)</f>
        <v/>
      </c>
      <c r="Y1447" s="7">
        <f>IF($AA1447="","",R1447+U1447+P1447)</f>
        <v/>
      </c>
      <c r="Z1447" s="7">
        <f>IF($AA1447="","",Y1447-W1447-L1447)</f>
        <v/>
      </c>
      <c r="AA1447" s="13">
        <f>IF(ROWS($AA$2:$AA1447)&lt;=MAX('Per Line'!$AO$2:$AO$4001),MATCH(ROWS($AA$2:$AA1447),'Per Line'!$AO$2:$AO$4001,0),"")</f>
        <v/>
      </c>
      <c r="AB1447" s="14">
        <f>IF($AA1447="","",L1447-K1447*Y1447/100)</f>
        <v/>
      </c>
    </row>
    <row r="1448">
      <c r="A1448" s="12" t="n"/>
      <c r="B1448">
        <f>IF($AA1448="","",INDEX('Per Line'!$E$2:$E$4001,$AA1448)&amp;"")</f>
        <v/>
      </c>
      <c r="C1448">
        <f>IF($AA1448="","",INDEX('Per Line'!$A$2:$A$4001,$AA1448)&amp;"")</f>
        <v/>
      </c>
      <c r="D1448">
        <f>IF($AA1448="","",INDEX('Per Line'!$D$2:$D$4001,$AA1448)&amp;"")</f>
        <v/>
      </c>
      <c r="E1448" s="11">
        <f>IF($AA1448="","",INDEX('Per Line'!$G$2:$G$4001,$AA1448))</f>
        <v/>
      </c>
      <c r="F1448">
        <f>IF($AA1448="","",INDEX('Per Line'!$H$2:$H$4001,$AA1448)&amp;"")</f>
        <v/>
      </c>
      <c r="G1448">
        <f>IF($AA1448="","",INDEX('Per Line'!$I$2:$I$4001,$AA1448)&amp;"")</f>
        <v/>
      </c>
      <c r="H1448">
        <f>IF($AA1448="","",INDEX('Per Line'!$J$2:$J$4001,$AA1448)&amp;"")</f>
        <v/>
      </c>
      <c r="I1448">
        <f>IF($AA1448="","",INDEX('Per Line'!$K$2:$K$4001,$AA1448)&amp;"")</f>
        <v/>
      </c>
      <c r="J1448">
        <f>IF($AA1448="","",INDEX('Per Line'!$L$2:$L$4001,$AA1448)&amp;"")</f>
        <v/>
      </c>
      <c r="K1448">
        <f>IF($AA1448="","",INDEX('Per Line'!$P$2:$P$4001,$AA1448))</f>
        <v/>
      </c>
      <c r="L1448" s="7">
        <f>IF($AA1448="","",IF(AND(ISNUMBER(N1448),N1448&gt;0,Y1448&gt;N1448),K1448*N1448/100+(Y1448-N1448),K1448*Y1448/100))</f>
        <v/>
      </c>
      <c r="M1448">
        <f>IF($AA1448="","",INDEX('Per Line'!$Z$2:$Z$4001,$AA1448)&amp;"")</f>
        <v/>
      </c>
      <c r="N1448">
        <f>IF($AA1448="","",INDEX('Per Line'!$AG$2:$AG$4001,$AA1448))</f>
        <v/>
      </c>
      <c r="O1448">
        <f>IF($AA1448="","",IF(AND(ISNUMBER(N1448),N1448&gt;0),Y1448&gt;N1448,FALSE))</f>
        <v/>
      </c>
      <c r="P1448" s="7">
        <f>IF($AA1448="","",SUMIFS('Per Line'!$Y$2:$Y$4001,'Per Line'!$E$2:$E$4001,$B1448,'Per Line'!$AQ$2:$AQ$4001,1))</f>
        <v/>
      </c>
      <c r="Q1448">
        <f>IF($AA1448="","",Settings!$C$7)</f>
        <v/>
      </c>
      <c r="R1448" s="7">
        <f>IF($AA1448="","",SUMIFS('Per Line'!$Y$2:$Y$4001,'Per Line'!$E$2:$E$4001,$B1448,'Per Line'!$AP$2:$AP$4001,0,'Per Line'!$AQ$2:$AQ$4001,0))</f>
        <v/>
      </c>
      <c r="S1448" s="7">
        <f>IF($AA1448="","",R1448*Q1448)</f>
        <v/>
      </c>
      <c r="T1448">
        <f>IF($AA1448="","",Settings!$C$6)</f>
        <v/>
      </c>
      <c r="U1448" s="7">
        <f>IF($AA1448="","",SUMIFS('Per Line'!$Y$2:$Y$4001,'Per Line'!$E$2:$E$4001,$B1448,'Per Line'!$AP$2:$AP$4001,1,'Per Line'!$AQ$2:$AQ$4001,0))</f>
        <v/>
      </c>
      <c r="V1448" s="7">
        <f>IF($AA1448="","",U1448*T1448)</f>
        <v/>
      </c>
      <c r="W1448" s="7">
        <f>IF($AA1448="","",V1448+S1448)</f>
        <v/>
      </c>
      <c r="X1448" s="7">
        <f>IF($AA1448="","",Y1448-W1448)</f>
        <v/>
      </c>
      <c r="Y1448" s="7">
        <f>IF($AA1448="","",R1448+U1448+P1448)</f>
        <v/>
      </c>
      <c r="Z1448" s="7">
        <f>IF($AA1448="","",Y1448-W1448-L1448)</f>
        <v/>
      </c>
      <c r="AA1448" s="13">
        <f>IF(ROWS($AA$2:$AA1448)&lt;=MAX('Per Line'!$AO$2:$AO$4001),MATCH(ROWS($AA$2:$AA1448),'Per Line'!$AO$2:$AO$4001,0),"")</f>
        <v/>
      </c>
      <c r="AB1448" s="14">
        <f>IF($AA1448="","",L1448-K1448*Y1448/100)</f>
        <v/>
      </c>
    </row>
    <row r="1449">
      <c r="A1449" s="12" t="n"/>
      <c r="B1449">
        <f>IF($AA1449="","",INDEX('Per Line'!$E$2:$E$4001,$AA1449)&amp;"")</f>
        <v/>
      </c>
      <c r="C1449">
        <f>IF($AA1449="","",INDEX('Per Line'!$A$2:$A$4001,$AA1449)&amp;"")</f>
        <v/>
      </c>
      <c r="D1449">
        <f>IF($AA1449="","",INDEX('Per Line'!$D$2:$D$4001,$AA1449)&amp;"")</f>
        <v/>
      </c>
      <c r="E1449" s="11">
        <f>IF($AA1449="","",INDEX('Per Line'!$G$2:$G$4001,$AA1449))</f>
        <v/>
      </c>
      <c r="F1449">
        <f>IF($AA1449="","",INDEX('Per Line'!$H$2:$H$4001,$AA1449)&amp;"")</f>
        <v/>
      </c>
      <c r="G1449">
        <f>IF($AA1449="","",INDEX('Per Line'!$I$2:$I$4001,$AA1449)&amp;"")</f>
        <v/>
      </c>
      <c r="H1449">
        <f>IF($AA1449="","",INDEX('Per Line'!$J$2:$J$4001,$AA1449)&amp;"")</f>
        <v/>
      </c>
      <c r="I1449">
        <f>IF($AA1449="","",INDEX('Per Line'!$K$2:$K$4001,$AA1449)&amp;"")</f>
        <v/>
      </c>
      <c r="J1449">
        <f>IF($AA1449="","",INDEX('Per Line'!$L$2:$L$4001,$AA1449)&amp;"")</f>
        <v/>
      </c>
      <c r="K1449">
        <f>IF($AA1449="","",INDEX('Per Line'!$P$2:$P$4001,$AA1449))</f>
        <v/>
      </c>
      <c r="L1449" s="7">
        <f>IF($AA1449="","",IF(AND(ISNUMBER(N1449),N1449&gt;0,Y1449&gt;N1449),K1449*N1449/100+(Y1449-N1449),K1449*Y1449/100))</f>
        <v/>
      </c>
      <c r="M1449">
        <f>IF($AA1449="","",INDEX('Per Line'!$Z$2:$Z$4001,$AA1449)&amp;"")</f>
        <v/>
      </c>
      <c r="N1449">
        <f>IF($AA1449="","",INDEX('Per Line'!$AG$2:$AG$4001,$AA1449))</f>
        <v/>
      </c>
      <c r="O1449">
        <f>IF($AA1449="","",IF(AND(ISNUMBER(N1449),N1449&gt;0),Y1449&gt;N1449,FALSE))</f>
        <v/>
      </c>
      <c r="P1449" s="7">
        <f>IF($AA1449="","",SUMIFS('Per Line'!$Y$2:$Y$4001,'Per Line'!$E$2:$E$4001,$B1449,'Per Line'!$AQ$2:$AQ$4001,1))</f>
        <v/>
      </c>
      <c r="Q1449">
        <f>IF($AA1449="","",Settings!$C$7)</f>
        <v/>
      </c>
      <c r="R1449" s="7">
        <f>IF($AA1449="","",SUMIFS('Per Line'!$Y$2:$Y$4001,'Per Line'!$E$2:$E$4001,$B1449,'Per Line'!$AP$2:$AP$4001,0,'Per Line'!$AQ$2:$AQ$4001,0))</f>
        <v/>
      </c>
      <c r="S1449" s="7">
        <f>IF($AA1449="","",R1449*Q1449)</f>
        <v/>
      </c>
      <c r="T1449">
        <f>IF($AA1449="","",Settings!$C$6)</f>
        <v/>
      </c>
      <c r="U1449" s="7">
        <f>IF($AA1449="","",SUMIFS('Per Line'!$Y$2:$Y$4001,'Per Line'!$E$2:$E$4001,$B1449,'Per Line'!$AP$2:$AP$4001,1,'Per Line'!$AQ$2:$AQ$4001,0))</f>
        <v/>
      </c>
      <c r="V1449" s="7">
        <f>IF($AA1449="","",U1449*T1449)</f>
        <v/>
      </c>
      <c r="W1449" s="7">
        <f>IF($AA1449="","",V1449+S1449)</f>
        <v/>
      </c>
      <c r="X1449" s="7">
        <f>IF($AA1449="","",Y1449-W1449)</f>
        <v/>
      </c>
      <c r="Y1449" s="7">
        <f>IF($AA1449="","",R1449+U1449+P1449)</f>
        <v/>
      </c>
      <c r="Z1449" s="7">
        <f>IF($AA1449="","",Y1449-W1449-L1449)</f>
        <v/>
      </c>
      <c r="AA1449" s="13">
        <f>IF(ROWS($AA$2:$AA1449)&lt;=MAX('Per Line'!$AO$2:$AO$4001),MATCH(ROWS($AA$2:$AA1449),'Per Line'!$AO$2:$AO$4001,0),"")</f>
        <v/>
      </c>
      <c r="AB1449" s="14">
        <f>IF($AA1449="","",L1449-K1449*Y1449/100)</f>
        <v/>
      </c>
    </row>
    <row r="1450">
      <c r="A1450" s="12" t="n"/>
      <c r="B1450">
        <f>IF($AA1450="","",INDEX('Per Line'!$E$2:$E$4001,$AA1450)&amp;"")</f>
        <v/>
      </c>
      <c r="C1450">
        <f>IF($AA1450="","",INDEX('Per Line'!$A$2:$A$4001,$AA1450)&amp;"")</f>
        <v/>
      </c>
      <c r="D1450">
        <f>IF($AA1450="","",INDEX('Per Line'!$D$2:$D$4001,$AA1450)&amp;"")</f>
        <v/>
      </c>
      <c r="E1450" s="11">
        <f>IF($AA1450="","",INDEX('Per Line'!$G$2:$G$4001,$AA1450))</f>
        <v/>
      </c>
      <c r="F1450">
        <f>IF($AA1450="","",INDEX('Per Line'!$H$2:$H$4001,$AA1450)&amp;"")</f>
        <v/>
      </c>
      <c r="G1450">
        <f>IF($AA1450="","",INDEX('Per Line'!$I$2:$I$4001,$AA1450)&amp;"")</f>
        <v/>
      </c>
      <c r="H1450">
        <f>IF($AA1450="","",INDEX('Per Line'!$J$2:$J$4001,$AA1450)&amp;"")</f>
        <v/>
      </c>
      <c r="I1450">
        <f>IF($AA1450="","",INDEX('Per Line'!$K$2:$K$4001,$AA1450)&amp;"")</f>
        <v/>
      </c>
      <c r="J1450">
        <f>IF($AA1450="","",INDEX('Per Line'!$L$2:$L$4001,$AA1450)&amp;"")</f>
        <v/>
      </c>
      <c r="K1450">
        <f>IF($AA1450="","",INDEX('Per Line'!$P$2:$P$4001,$AA1450))</f>
        <v/>
      </c>
      <c r="L1450" s="7">
        <f>IF($AA1450="","",IF(AND(ISNUMBER(N1450),N1450&gt;0,Y1450&gt;N1450),K1450*N1450/100+(Y1450-N1450),K1450*Y1450/100))</f>
        <v/>
      </c>
      <c r="M1450">
        <f>IF($AA1450="","",INDEX('Per Line'!$Z$2:$Z$4001,$AA1450)&amp;"")</f>
        <v/>
      </c>
      <c r="N1450">
        <f>IF($AA1450="","",INDEX('Per Line'!$AG$2:$AG$4001,$AA1450))</f>
        <v/>
      </c>
      <c r="O1450">
        <f>IF($AA1450="","",IF(AND(ISNUMBER(N1450),N1450&gt;0),Y1450&gt;N1450,FALSE))</f>
        <v/>
      </c>
      <c r="P1450" s="7">
        <f>IF($AA1450="","",SUMIFS('Per Line'!$Y$2:$Y$4001,'Per Line'!$E$2:$E$4001,$B1450,'Per Line'!$AQ$2:$AQ$4001,1))</f>
        <v/>
      </c>
      <c r="Q1450">
        <f>IF($AA1450="","",Settings!$C$7)</f>
        <v/>
      </c>
      <c r="R1450" s="7">
        <f>IF($AA1450="","",SUMIFS('Per Line'!$Y$2:$Y$4001,'Per Line'!$E$2:$E$4001,$B1450,'Per Line'!$AP$2:$AP$4001,0,'Per Line'!$AQ$2:$AQ$4001,0))</f>
        <v/>
      </c>
      <c r="S1450" s="7">
        <f>IF($AA1450="","",R1450*Q1450)</f>
        <v/>
      </c>
      <c r="T1450">
        <f>IF($AA1450="","",Settings!$C$6)</f>
        <v/>
      </c>
      <c r="U1450" s="7">
        <f>IF($AA1450="","",SUMIFS('Per Line'!$Y$2:$Y$4001,'Per Line'!$E$2:$E$4001,$B1450,'Per Line'!$AP$2:$AP$4001,1,'Per Line'!$AQ$2:$AQ$4001,0))</f>
        <v/>
      </c>
      <c r="V1450" s="7">
        <f>IF($AA1450="","",U1450*T1450)</f>
        <v/>
      </c>
      <c r="W1450" s="7">
        <f>IF($AA1450="","",V1450+S1450)</f>
        <v/>
      </c>
      <c r="X1450" s="7">
        <f>IF($AA1450="","",Y1450-W1450)</f>
        <v/>
      </c>
      <c r="Y1450" s="7">
        <f>IF($AA1450="","",R1450+U1450+P1450)</f>
        <v/>
      </c>
      <c r="Z1450" s="7">
        <f>IF($AA1450="","",Y1450-W1450-L1450)</f>
        <v/>
      </c>
      <c r="AA1450" s="13">
        <f>IF(ROWS($AA$2:$AA1450)&lt;=MAX('Per Line'!$AO$2:$AO$4001),MATCH(ROWS($AA$2:$AA1450),'Per Line'!$AO$2:$AO$4001,0),"")</f>
        <v/>
      </c>
      <c r="AB1450" s="14">
        <f>IF($AA1450="","",L1450-K1450*Y1450/100)</f>
        <v/>
      </c>
    </row>
    <row r="1451">
      <c r="A1451" s="12" t="n"/>
      <c r="B1451">
        <f>IF($AA1451="","",INDEX('Per Line'!$E$2:$E$4001,$AA1451)&amp;"")</f>
        <v/>
      </c>
      <c r="C1451">
        <f>IF($AA1451="","",INDEX('Per Line'!$A$2:$A$4001,$AA1451)&amp;"")</f>
        <v/>
      </c>
      <c r="D1451">
        <f>IF($AA1451="","",INDEX('Per Line'!$D$2:$D$4001,$AA1451)&amp;"")</f>
        <v/>
      </c>
      <c r="E1451" s="11">
        <f>IF($AA1451="","",INDEX('Per Line'!$G$2:$G$4001,$AA1451))</f>
        <v/>
      </c>
      <c r="F1451">
        <f>IF($AA1451="","",INDEX('Per Line'!$H$2:$H$4001,$AA1451)&amp;"")</f>
        <v/>
      </c>
      <c r="G1451">
        <f>IF($AA1451="","",INDEX('Per Line'!$I$2:$I$4001,$AA1451)&amp;"")</f>
        <v/>
      </c>
      <c r="H1451">
        <f>IF($AA1451="","",INDEX('Per Line'!$J$2:$J$4001,$AA1451)&amp;"")</f>
        <v/>
      </c>
      <c r="I1451">
        <f>IF($AA1451="","",INDEX('Per Line'!$K$2:$K$4001,$AA1451)&amp;"")</f>
        <v/>
      </c>
      <c r="J1451">
        <f>IF($AA1451="","",INDEX('Per Line'!$L$2:$L$4001,$AA1451)&amp;"")</f>
        <v/>
      </c>
      <c r="K1451">
        <f>IF($AA1451="","",INDEX('Per Line'!$P$2:$P$4001,$AA1451))</f>
        <v/>
      </c>
      <c r="L1451" s="7">
        <f>IF($AA1451="","",IF(AND(ISNUMBER(N1451),N1451&gt;0,Y1451&gt;N1451),K1451*N1451/100+(Y1451-N1451),K1451*Y1451/100))</f>
        <v/>
      </c>
      <c r="M1451">
        <f>IF($AA1451="","",INDEX('Per Line'!$Z$2:$Z$4001,$AA1451)&amp;"")</f>
        <v/>
      </c>
      <c r="N1451">
        <f>IF($AA1451="","",INDEX('Per Line'!$AG$2:$AG$4001,$AA1451))</f>
        <v/>
      </c>
      <c r="O1451">
        <f>IF($AA1451="","",IF(AND(ISNUMBER(N1451),N1451&gt;0),Y1451&gt;N1451,FALSE))</f>
        <v/>
      </c>
      <c r="P1451" s="7">
        <f>IF($AA1451="","",SUMIFS('Per Line'!$Y$2:$Y$4001,'Per Line'!$E$2:$E$4001,$B1451,'Per Line'!$AQ$2:$AQ$4001,1))</f>
        <v/>
      </c>
      <c r="Q1451">
        <f>IF($AA1451="","",Settings!$C$7)</f>
        <v/>
      </c>
      <c r="R1451" s="7">
        <f>IF($AA1451="","",SUMIFS('Per Line'!$Y$2:$Y$4001,'Per Line'!$E$2:$E$4001,$B1451,'Per Line'!$AP$2:$AP$4001,0,'Per Line'!$AQ$2:$AQ$4001,0))</f>
        <v/>
      </c>
      <c r="S1451" s="7">
        <f>IF($AA1451="","",R1451*Q1451)</f>
        <v/>
      </c>
      <c r="T1451">
        <f>IF($AA1451="","",Settings!$C$6)</f>
        <v/>
      </c>
      <c r="U1451" s="7">
        <f>IF($AA1451="","",SUMIFS('Per Line'!$Y$2:$Y$4001,'Per Line'!$E$2:$E$4001,$B1451,'Per Line'!$AP$2:$AP$4001,1,'Per Line'!$AQ$2:$AQ$4001,0))</f>
        <v/>
      </c>
      <c r="V1451" s="7">
        <f>IF($AA1451="","",U1451*T1451)</f>
        <v/>
      </c>
      <c r="W1451" s="7">
        <f>IF($AA1451="","",V1451+S1451)</f>
        <v/>
      </c>
      <c r="X1451" s="7">
        <f>IF($AA1451="","",Y1451-W1451)</f>
        <v/>
      </c>
      <c r="Y1451" s="7">
        <f>IF($AA1451="","",R1451+U1451+P1451)</f>
        <v/>
      </c>
      <c r="Z1451" s="7">
        <f>IF($AA1451="","",Y1451-W1451-L1451)</f>
        <v/>
      </c>
      <c r="AA1451" s="13">
        <f>IF(ROWS($AA$2:$AA1451)&lt;=MAX('Per Line'!$AO$2:$AO$4001),MATCH(ROWS($AA$2:$AA1451),'Per Line'!$AO$2:$AO$4001,0),"")</f>
        <v/>
      </c>
      <c r="AB1451" s="14">
        <f>IF($AA1451="","",L1451-K1451*Y1451/100)</f>
        <v/>
      </c>
    </row>
    <row r="1452">
      <c r="A1452" s="12" t="n"/>
      <c r="B1452">
        <f>IF($AA1452="","",INDEX('Per Line'!$E$2:$E$4001,$AA1452)&amp;"")</f>
        <v/>
      </c>
      <c r="C1452">
        <f>IF($AA1452="","",INDEX('Per Line'!$A$2:$A$4001,$AA1452)&amp;"")</f>
        <v/>
      </c>
      <c r="D1452">
        <f>IF($AA1452="","",INDEX('Per Line'!$D$2:$D$4001,$AA1452)&amp;"")</f>
        <v/>
      </c>
      <c r="E1452" s="11">
        <f>IF($AA1452="","",INDEX('Per Line'!$G$2:$G$4001,$AA1452))</f>
        <v/>
      </c>
      <c r="F1452">
        <f>IF($AA1452="","",INDEX('Per Line'!$H$2:$H$4001,$AA1452)&amp;"")</f>
        <v/>
      </c>
      <c r="G1452">
        <f>IF($AA1452="","",INDEX('Per Line'!$I$2:$I$4001,$AA1452)&amp;"")</f>
        <v/>
      </c>
      <c r="H1452">
        <f>IF($AA1452="","",INDEX('Per Line'!$J$2:$J$4001,$AA1452)&amp;"")</f>
        <v/>
      </c>
      <c r="I1452">
        <f>IF($AA1452="","",INDEX('Per Line'!$K$2:$K$4001,$AA1452)&amp;"")</f>
        <v/>
      </c>
      <c r="J1452">
        <f>IF($AA1452="","",INDEX('Per Line'!$L$2:$L$4001,$AA1452)&amp;"")</f>
        <v/>
      </c>
      <c r="K1452">
        <f>IF($AA1452="","",INDEX('Per Line'!$P$2:$P$4001,$AA1452))</f>
        <v/>
      </c>
      <c r="L1452" s="7">
        <f>IF($AA1452="","",IF(AND(ISNUMBER(N1452),N1452&gt;0,Y1452&gt;N1452),K1452*N1452/100+(Y1452-N1452),K1452*Y1452/100))</f>
        <v/>
      </c>
      <c r="M1452">
        <f>IF($AA1452="","",INDEX('Per Line'!$Z$2:$Z$4001,$AA1452)&amp;"")</f>
        <v/>
      </c>
      <c r="N1452">
        <f>IF($AA1452="","",INDEX('Per Line'!$AG$2:$AG$4001,$AA1452))</f>
        <v/>
      </c>
      <c r="O1452">
        <f>IF($AA1452="","",IF(AND(ISNUMBER(N1452),N1452&gt;0),Y1452&gt;N1452,FALSE))</f>
        <v/>
      </c>
      <c r="P1452" s="7">
        <f>IF($AA1452="","",SUMIFS('Per Line'!$Y$2:$Y$4001,'Per Line'!$E$2:$E$4001,$B1452,'Per Line'!$AQ$2:$AQ$4001,1))</f>
        <v/>
      </c>
      <c r="Q1452">
        <f>IF($AA1452="","",Settings!$C$7)</f>
        <v/>
      </c>
      <c r="R1452" s="7">
        <f>IF($AA1452="","",SUMIFS('Per Line'!$Y$2:$Y$4001,'Per Line'!$E$2:$E$4001,$B1452,'Per Line'!$AP$2:$AP$4001,0,'Per Line'!$AQ$2:$AQ$4001,0))</f>
        <v/>
      </c>
      <c r="S1452" s="7">
        <f>IF($AA1452="","",R1452*Q1452)</f>
        <v/>
      </c>
      <c r="T1452">
        <f>IF($AA1452="","",Settings!$C$6)</f>
        <v/>
      </c>
      <c r="U1452" s="7">
        <f>IF($AA1452="","",SUMIFS('Per Line'!$Y$2:$Y$4001,'Per Line'!$E$2:$E$4001,$B1452,'Per Line'!$AP$2:$AP$4001,1,'Per Line'!$AQ$2:$AQ$4001,0))</f>
        <v/>
      </c>
      <c r="V1452" s="7">
        <f>IF($AA1452="","",U1452*T1452)</f>
        <v/>
      </c>
      <c r="W1452" s="7">
        <f>IF($AA1452="","",V1452+S1452)</f>
        <v/>
      </c>
      <c r="X1452" s="7">
        <f>IF($AA1452="","",Y1452-W1452)</f>
        <v/>
      </c>
      <c r="Y1452" s="7">
        <f>IF($AA1452="","",R1452+U1452+P1452)</f>
        <v/>
      </c>
      <c r="Z1452" s="7">
        <f>IF($AA1452="","",Y1452-W1452-L1452)</f>
        <v/>
      </c>
      <c r="AA1452" s="13">
        <f>IF(ROWS($AA$2:$AA1452)&lt;=MAX('Per Line'!$AO$2:$AO$4001),MATCH(ROWS($AA$2:$AA1452),'Per Line'!$AO$2:$AO$4001,0),"")</f>
        <v/>
      </c>
      <c r="AB1452" s="14">
        <f>IF($AA1452="","",L1452-K1452*Y1452/100)</f>
        <v/>
      </c>
    </row>
    <row r="1453">
      <c r="A1453" s="12" t="n"/>
      <c r="B1453">
        <f>IF($AA1453="","",INDEX('Per Line'!$E$2:$E$4001,$AA1453)&amp;"")</f>
        <v/>
      </c>
      <c r="C1453">
        <f>IF($AA1453="","",INDEX('Per Line'!$A$2:$A$4001,$AA1453)&amp;"")</f>
        <v/>
      </c>
      <c r="D1453">
        <f>IF($AA1453="","",INDEX('Per Line'!$D$2:$D$4001,$AA1453)&amp;"")</f>
        <v/>
      </c>
      <c r="E1453" s="11">
        <f>IF($AA1453="","",INDEX('Per Line'!$G$2:$G$4001,$AA1453))</f>
        <v/>
      </c>
      <c r="F1453">
        <f>IF($AA1453="","",INDEX('Per Line'!$H$2:$H$4001,$AA1453)&amp;"")</f>
        <v/>
      </c>
      <c r="G1453">
        <f>IF($AA1453="","",INDEX('Per Line'!$I$2:$I$4001,$AA1453)&amp;"")</f>
        <v/>
      </c>
      <c r="H1453">
        <f>IF($AA1453="","",INDEX('Per Line'!$J$2:$J$4001,$AA1453)&amp;"")</f>
        <v/>
      </c>
      <c r="I1453">
        <f>IF($AA1453="","",INDEX('Per Line'!$K$2:$K$4001,$AA1453)&amp;"")</f>
        <v/>
      </c>
      <c r="J1453">
        <f>IF($AA1453="","",INDEX('Per Line'!$L$2:$L$4001,$AA1453)&amp;"")</f>
        <v/>
      </c>
      <c r="K1453">
        <f>IF($AA1453="","",INDEX('Per Line'!$P$2:$P$4001,$AA1453))</f>
        <v/>
      </c>
      <c r="L1453" s="7">
        <f>IF($AA1453="","",IF(AND(ISNUMBER(N1453),N1453&gt;0,Y1453&gt;N1453),K1453*N1453/100+(Y1453-N1453),K1453*Y1453/100))</f>
        <v/>
      </c>
      <c r="M1453">
        <f>IF($AA1453="","",INDEX('Per Line'!$Z$2:$Z$4001,$AA1453)&amp;"")</f>
        <v/>
      </c>
      <c r="N1453">
        <f>IF($AA1453="","",INDEX('Per Line'!$AG$2:$AG$4001,$AA1453))</f>
        <v/>
      </c>
      <c r="O1453">
        <f>IF($AA1453="","",IF(AND(ISNUMBER(N1453),N1453&gt;0),Y1453&gt;N1453,FALSE))</f>
        <v/>
      </c>
      <c r="P1453" s="7">
        <f>IF($AA1453="","",SUMIFS('Per Line'!$Y$2:$Y$4001,'Per Line'!$E$2:$E$4001,$B1453,'Per Line'!$AQ$2:$AQ$4001,1))</f>
        <v/>
      </c>
      <c r="Q1453">
        <f>IF($AA1453="","",Settings!$C$7)</f>
        <v/>
      </c>
      <c r="R1453" s="7">
        <f>IF($AA1453="","",SUMIFS('Per Line'!$Y$2:$Y$4001,'Per Line'!$E$2:$E$4001,$B1453,'Per Line'!$AP$2:$AP$4001,0,'Per Line'!$AQ$2:$AQ$4001,0))</f>
        <v/>
      </c>
      <c r="S1453" s="7">
        <f>IF($AA1453="","",R1453*Q1453)</f>
        <v/>
      </c>
      <c r="T1453">
        <f>IF($AA1453="","",Settings!$C$6)</f>
        <v/>
      </c>
      <c r="U1453" s="7">
        <f>IF($AA1453="","",SUMIFS('Per Line'!$Y$2:$Y$4001,'Per Line'!$E$2:$E$4001,$B1453,'Per Line'!$AP$2:$AP$4001,1,'Per Line'!$AQ$2:$AQ$4001,0))</f>
        <v/>
      </c>
      <c r="V1453" s="7">
        <f>IF($AA1453="","",U1453*T1453)</f>
        <v/>
      </c>
      <c r="W1453" s="7">
        <f>IF($AA1453="","",V1453+S1453)</f>
        <v/>
      </c>
      <c r="X1453" s="7">
        <f>IF($AA1453="","",Y1453-W1453)</f>
        <v/>
      </c>
      <c r="Y1453" s="7">
        <f>IF($AA1453="","",R1453+U1453+P1453)</f>
        <v/>
      </c>
      <c r="Z1453" s="7">
        <f>IF($AA1453="","",Y1453-W1453-L1453)</f>
        <v/>
      </c>
      <c r="AA1453" s="13">
        <f>IF(ROWS($AA$2:$AA1453)&lt;=MAX('Per Line'!$AO$2:$AO$4001),MATCH(ROWS($AA$2:$AA1453),'Per Line'!$AO$2:$AO$4001,0),"")</f>
        <v/>
      </c>
      <c r="AB1453" s="14">
        <f>IF($AA1453="","",L1453-K1453*Y1453/100)</f>
        <v/>
      </c>
    </row>
    <row r="1454">
      <c r="A1454" s="12" t="n"/>
      <c r="B1454">
        <f>IF($AA1454="","",INDEX('Per Line'!$E$2:$E$4001,$AA1454)&amp;"")</f>
        <v/>
      </c>
      <c r="C1454">
        <f>IF($AA1454="","",INDEX('Per Line'!$A$2:$A$4001,$AA1454)&amp;"")</f>
        <v/>
      </c>
      <c r="D1454">
        <f>IF($AA1454="","",INDEX('Per Line'!$D$2:$D$4001,$AA1454)&amp;"")</f>
        <v/>
      </c>
      <c r="E1454" s="11">
        <f>IF($AA1454="","",INDEX('Per Line'!$G$2:$G$4001,$AA1454))</f>
        <v/>
      </c>
      <c r="F1454">
        <f>IF($AA1454="","",INDEX('Per Line'!$H$2:$H$4001,$AA1454)&amp;"")</f>
        <v/>
      </c>
      <c r="G1454">
        <f>IF($AA1454="","",INDEX('Per Line'!$I$2:$I$4001,$AA1454)&amp;"")</f>
        <v/>
      </c>
      <c r="H1454">
        <f>IF($AA1454="","",INDEX('Per Line'!$J$2:$J$4001,$AA1454)&amp;"")</f>
        <v/>
      </c>
      <c r="I1454">
        <f>IF($AA1454="","",INDEX('Per Line'!$K$2:$K$4001,$AA1454)&amp;"")</f>
        <v/>
      </c>
      <c r="J1454">
        <f>IF($AA1454="","",INDEX('Per Line'!$L$2:$L$4001,$AA1454)&amp;"")</f>
        <v/>
      </c>
      <c r="K1454">
        <f>IF($AA1454="","",INDEX('Per Line'!$P$2:$P$4001,$AA1454))</f>
        <v/>
      </c>
      <c r="L1454" s="7">
        <f>IF($AA1454="","",IF(AND(ISNUMBER(N1454),N1454&gt;0,Y1454&gt;N1454),K1454*N1454/100+(Y1454-N1454),K1454*Y1454/100))</f>
        <v/>
      </c>
      <c r="M1454">
        <f>IF($AA1454="","",INDEX('Per Line'!$Z$2:$Z$4001,$AA1454)&amp;"")</f>
        <v/>
      </c>
      <c r="N1454">
        <f>IF($AA1454="","",INDEX('Per Line'!$AG$2:$AG$4001,$AA1454))</f>
        <v/>
      </c>
      <c r="O1454">
        <f>IF($AA1454="","",IF(AND(ISNUMBER(N1454),N1454&gt;0),Y1454&gt;N1454,FALSE))</f>
        <v/>
      </c>
      <c r="P1454" s="7">
        <f>IF($AA1454="","",SUMIFS('Per Line'!$Y$2:$Y$4001,'Per Line'!$E$2:$E$4001,$B1454,'Per Line'!$AQ$2:$AQ$4001,1))</f>
        <v/>
      </c>
      <c r="Q1454">
        <f>IF($AA1454="","",Settings!$C$7)</f>
        <v/>
      </c>
      <c r="R1454" s="7">
        <f>IF($AA1454="","",SUMIFS('Per Line'!$Y$2:$Y$4001,'Per Line'!$E$2:$E$4001,$B1454,'Per Line'!$AP$2:$AP$4001,0,'Per Line'!$AQ$2:$AQ$4001,0))</f>
        <v/>
      </c>
      <c r="S1454" s="7">
        <f>IF($AA1454="","",R1454*Q1454)</f>
        <v/>
      </c>
      <c r="T1454">
        <f>IF($AA1454="","",Settings!$C$6)</f>
        <v/>
      </c>
      <c r="U1454" s="7">
        <f>IF($AA1454="","",SUMIFS('Per Line'!$Y$2:$Y$4001,'Per Line'!$E$2:$E$4001,$B1454,'Per Line'!$AP$2:$AP$4001,1,'Per Line'!$AQ$2:$AQ$4001,0))</f>
        <v/>
      </c>
      <c r="V1454" s="7">
        <f>IF($AA1454="","",U1454*T1454)</f>
        <v/>
      </c>
      <c r="W1454" s="7">
        <f>IF($AA1454="","",V1454+S1454)</f>
        <v/>
      </c>
      <c r="X1454" s="7">
        <f>IF($AA1454="","",Y1454-W1454)</f>
        <v/>
      </c>
      <c r="Y1454" s="7">
        <f>IF($AA1454="","",R1454+U1454+P1454)</f>
        <v/>
      </c>
      <c r="Z1454" s="7">
        <f>IF($AA1454="","",Y1454-W1454-L1454)</f>
        <v/>
      </c>
      <c r="AA1454" s="13">
        <f>IF(ROWS($AA$2:$AA1454)&lt;=MAX('Per Line'!$AO$2:$AO$4001),MATCH(ROWS($AA$2:$AA1454),'Per Line'!$AO$2:$AO$4001,0),"")</f>
        <v/>
      </c>
      <c r="AB1454" s="14">
        <f>IF($AA1454="","",L1454-K1454*Y1454/100)</f>
        <v/>
      </c>
    </row>
    <row r="1455">
      <c r="A1455" s="12" t="n"/>
      <c r="B1455">
        <f>IF($AA1455="","",INDEX('Per Line'!$E$2:$E$4001,$AA1455)&amp;"")</f>
        <v/>
      </c>
      <c r="C1455">
        <f>IF($AA1455="","",INDEX('Per Line'!$A$2:$A$4001,$AA1455)&amp;"")</f>
        <v/>
      </c>
      <c r="D1455">
        <f>IF($AA1455="","",INDEX('Per Line'!$D$2:$D$4001,$AA1455)&amp;"")</f>
        <v/>
      </c>
      <c r="E1455" s="11">
        <f>IF($AA1455="","",INDEX('Per Line'!$G$2:$G$4001,$AA1455))</f>
        <v/>
      </c>
      <c r="F1455">
        <f>IF($AA1455="","",INDEX('Per Line'!$H$2:$H$4001,$AA1455)&amp;"")</f>
        <v/>
      </c>
      <c r="G1455">
        <f>IF($AA1455="","",INDEX('Per Line'!$I$2:$I$4001,$AA1455)&amp;"")</f>
        <v/>
      </c>
      <c r="H1455">
        <f>IF($AA1455="","",INDEX('Per Line'!$J$2:$J$4001,$AA1455)&amp;"")</f>
        <v/>
      </c>
      <c r="I1455">
        <f>IF($AA1455="","",INDEX('Per Line'!$K$2:$K$4001,$AA1455)&amp;"")</f>
        <v/>
      </c>
      <c r="J1455">
        <f>IF($AA1455="","",INDEX('Per Line'!$L$2:$L$4001,$AA1455)&amp;"")</f>
        <v/>
      </c>
      <c r="K1455">
        <f>IF($AA1455="","",INDEX('Per Line'!$P$2:$P$4001,$AA1455))</f>
        <v/>
      </c>
      <c r="L1455" s="7">
        <f>IF($AA1455="","",IF(AND(ISNUMBER(N1455),N1455&gt;0,Y1455&gt;N1455),K1455*N1455/100+(Y1455-N1455),K1455*Y1455/100))</f>
        <v/>
      </c>
      <c r="M1455">
        <f>IF($AA1455="","",INDEX('Per Line'!$Z$2:$Z$4001,$AA1455)&amp;"")</f>
        <v/>
      </c>
      <c r="N1455">
        <f>IF($AA1455="","",INDEX('Per Line'!$AG$2:$AG$4001,$AA1455))</f>
        <v/>
      </c>
      <c r="O1455">
        <f>IF($AA1455="","",IF(AND(ISNUMBER(N1455),N1455&gt;0),Y1455&gt;N1455,FALSE))</f>
        <v/>
      </c>
      <c r="P1455" s="7">
        <f>IF($AA1455="","",SUMIFS('Per Line'!$Y$2:$Y$4001,'Per Line'!$E$2:$E$4001,$B1455,'Per Line'!$AQ$2:$AQ$4001,1))</f>
        <v/>
      </c>
      <c r="Q1455">
        <f>IF($AA1455="","",Settings!$C$7)</f>
        <v/>
      </c>
      <c r="R1455" s="7">
        <f>IF($AA1455="","",SUMIFS('Per Line'!$Y$2:$Y$4001,'Per Line'!$E$2:$E$4001,$B1455,'Per Line'!$AP$2:$AP$4001,0,'Per Line'!$AQ$2:$AQ$4001,0))</f>
        <v/>
      </c>
      <c r="S1455" s="7">
        <f>IF($AA1455="","",R1455*Q1455)</f>
        <v/>
      </c>
      <c r="T1455">
        <f>IF($AA1455="","",Settings!$C$6)</f>
        <v/>
      </c>
      <c r="U1455" s="7">
        <f>IF($AA1455="","",SUMIFS('Per Line'!$Y$2:$Y$4001,'Per Line'!$E$2:$E$4001,$B1455,'Per Line'!$AP$2:$AP$4001,1,'Per Line'!$AQ$2:$AQ$4001,0))</f>
        <v/>
      </c>
      <c r="V1455" s="7">
        <f>IF($AA1455="","",U1455*T1455)</f>
        <v/>
      </c>
      <c r="W1455" s="7">
        <f>IF($AA1455="","",V1455+S1455)</f>
        <v/>
      </c>
      <c r="X1455" s="7">
        <f>IF($AA1455="","",Y1455-W1455)</f>
        <v/>
      </c>
      <c r="Y1455" s="7">
        <f>IF($AA1455="","",R1455+U1455+P1455)</f>
        <v/>
      </c>
      <c r="Z1455" s="7">
        <f>IF($AA1455="","",Y1455-W1455-L1455)</f>
        <v/>
      </c>
      <c r="AA1455" s="13">
        <f>IF(ROWS($AA$2:$AA1455)&lt;=MAX('Per Line'!$AO$2:$AO$4001),MATCH(ROWS($AA$2:$AA1455),'Per Line'!$AO$2:$AO$4001,0),"")</f>
        <v/>
      </c>
      <c r="AB1455" s="14">
        <f>IF($AA1455="","",L1455-K1455*Y1455/100)</f>
        <v/>
      </c>
    </row>
    <row r="1456">
      <c r="A1456" s="12" t="n"/>
      <c r="B1456">
        <f>IF($AA1456="","",INDEX('Per Line'!$E$2:$E$4001,$AA1456)&amp;"")</f>
        <v/>
      </c>
      <c r="C1456">
        <f>IF($AA1456="","",INDEX('Per Line'!$A$2:$A$4001,$AA1456)&amp;"")</f>
        <v/>
      </c>
      <c r="D1456">
        <f>IF($AA1456="","",INDEX('Per Line'!$D$2:$D$4001,$AA1456)&amp;"")</f>
        <v/>
      </c>
      <c r="E1456" s="11">
        <f>IF($AA1456="","",INDEX('Per Line'!$G$2:$G$4001,$AA1456))</f>
        <v/>
      </c>
      <c r="F1456">
        <f>IF($AA1456="","",INDEX('Per Line'!$H$2:$H$4001,$AA1456)&amp;"")</f>
        <v/>
      </c>
      <c r="G1456">
        <f>IF($AA1456="","",INDEX('Per Line'!$I$2:$I$4001,$AA1456)&amp;"")</f>
        <v/>
      </c>
      <c r="H1456">
        <f>IF($AA1456="","",INDEX('Per Line'!$J$2:$J$4001,$AA1456)&amp;"")</f>
        <v/>
      </c>
      <c r="I1456">
        <f>IF($AA1456="","",INDEX('Per Line'!$K$2:$K$4001,$AA1456)&amp;"")</f>
        <v/>
      </c>
      <c r="J1456">
        <f>IF($AA1456="","",INDEX('Per Line'!$L$2:$L$4001,$AA1456)&amp;"")</f>
        <v/>
      </c>
      <c r="K1456">
        <f>IF($AA1456="","",INDEX('Per Line'!$P$2:$P$4001,$AA1456))</f>
        <v/>
      </c>
      <c r="L1456" s="7">
        <f>IF($AA1456="","",IF(AND(ISNUMBER(N1456),N1456&gt;0,Y1456&gt;N1456),K1456*N1456/100+(Y1456-N1456),K1456*Y1456/100))</f>
        <v/>
      </c>
      <c r="M1456">
        <f>IF($AA1456="","",INDEX('Per Line'!$Z$2:$Z$4001,$AA1456)&amp;"")</f>
        <v/>
      </c>
      <c r="N1456">
        <f>IF($AA1456="","",INDEX('Per Line'!$AG$2:$AG$4001,$AA1456))</f>
        <v/>
      </c>
      <c r="O1456">
        <f>IF($AA1456="","",IF(AND(ISNUMBER(N1456),N1456&gt;0),Y1456&gt;N1456,FALSE))</f>
        <v/>
      </c>
      <c r="P1456" s="7">
        <f>IF($AA1456="","",SUMIFS('Per Line'!$Y$2:$Y$4001,'Per Line'!$E$2:$E$4001,$B1456,'Per Line'!$AQ$2:$AQ$4001,1))</f>
        <v/>
      </c>
      <c r="Q1456">
        <f>IF($AA1456="","",Settings!$C$7)</f>
        <v/>
      </c>
      <c r="R1456" s="7">
        <f>IF($AA1456="","",SUMIFS('Per Line'!$Y$2:$Y$4001,'Per Line'!$E$2:$E$4001,$B1456,'Per Line'!$AP$2:$AP$4001,0,'Per Line'!$AQ$2:$AQ$4001,0))</f>
        <v/>
      </c>
      <c r="S1456" s="7">
        <f>IF($AA1456="","",R1456*Q1456)</f>
        <v/>
      </c>
      <c r="T1456">
        <f>IF($AA1456="","",Settings!$C$6)</f>
        <v/>
      </c>
      <c r="U1456" s="7">
        <f>IF($AA1456="","",SUMIFS('Per Line'!$Y$2:$Y$4001,'Per Line'!$E$2:$E$4001,$B1456,'Per Line'!$AP$2:$AP$4001,1,'Per Line'!$AQ$2:$AQ$4001,0))</f>
        <v/>
      </c>
      <c r="V1456" s="7">
        <f>IF($AA1456="","",U1456*T1456)</f>
        <v/>
      </c>
      <c r="W1456" s="7">
        <f>IF($AA1456="","",V1456+S1456)</f>
        <v/>
      </c>
      <c r="X1456" s="7">
        <f>IF($AA1456="","",Y1456-W1456)</f>
        <v/>
      </c>
      <c r="Y1456" s="7">
        <f>IF($AA1456="","",R1456+U1456+P1456)</f>
        <v/>
      </c>
      <c r="Z1456" s="7">
        <f>IF($AA1456="","",Y1456-W1456-L1456)</f>
        <v/>
      </c>
      <c r="AA1456" s="13">
        <f>IF(ROWS($AA$2:$AA1456)&lt;=MAX('Per Line'!$AO$2:$AO$4001),MATCH(ROWS($AA$2:$AA1456),'Per Line'!$AO$2:$AO$4001,0),"")</f>
        <v/>
      </c>
      <c r="AB1456" s="14">
        <f>IF($AA1456="","",L1456-K1456*Y1456/100)</f>
        <v/>
      </c>
    </row>
    <row r="1457">
      <c r="A1457" s="12" t="n"/>
      <c r="B1457">
        <f>IF($AA1457="","",INDEX('Per Line'!$E$2:$E$4001,$AA1457)&amp;"")</f>
        <v/>
      </c>
      <c r="C1457">
        <f>IF($AA1457="","",INDEX('Per Line'!$A$2:$A$4001,$AA1457)&amp;"")</f>
        <v/>
      </c>
      <c r="D1457">
        <f>IF($AA1457="","",INDEX('Per Line'!$D$2:$D$4001,$AA1457)&amp;"")</f>
        <v/>
      </c>
      <c r="E1457" s="11">
        <f>IF($AA1457="","",INDEX('Per Line'!$G$2:$G$4001,$AA1457))</f>
        <v/>
      </c>
      <c r="F1457">
        <f>IF($AA1457="","",INDEX('Per Line'!$H$2:$H$4001,$AA1457)&amp;"")</f>
        <v/>
      </c>
      <c r="G1457">
        <f>IF($AA1457="","",INDEX('Per Line'!$I$2:$I$4001,$AA1457)&amp;"")</f>
        <v/>
      </c>
      <c r="H1457">
        <f>IF($AA1457="","",INDEX('Per Line'!$J$2:$J$4001,$AA1457)&amp;"")</f>
        <v/>
      </c>
      <c r="I1457">
        <f>IF($AA1457="","",INDEX('Per Line'!$K$2:$K$4001,$AA1457)&amp;"")</f>
        <v/>
      </c>
      <c r="J1457">
        <f>IF($AA1457="","",INDEX('Per Line'!$L$2:$L$4001,$AA1457)&amp;"")</f>
        <v/>
      </c>
      <c r="K1457">
        <f>IF($AA1457="","",INDEX('Per Line'!$P$2:$P$4001,$AA1457))</f>
        <v/>
      </c>
      <c r="L1457" s="7">
        <f>IF($AA1457="","",IF(AND(ISNUMBER(N1457),N1457&gt;0,Y1457&gt;N1457),K1457*N1457/100+(Y1457-N1457),K1457*Y1457/100))</f>
        <v/>
      </c>
      <c r="M1457">
        <f>IF($AA1457="","",INDEX('Per Line'!$Z$2:$Z$4001,$AA1457)&amp;"")</f>
        <v/>
      </c>
      <c r="N1457">
        <f>IF($AA1457="","",INDEX('Per Line'!$AG$2:$AG$4001,$AA1457))</f>
        <v/>
      </c>
      <c r="O1457">
        <f>IF($AA1457="","",IF(AND(ISNUMBER(N1457),N1457&gt;0),Y1457&gt;N1457,FALSE))</f>
        <v/>
      </c>
      <c r="P1457" s="7">
        <f>IF($AA1457="","",SUMIFS('Per Line'!$Y$2:$Y$4001,'Per Line'!$E$2:$E$4001,$B1457,'Per Line'!$AQ$2:$AQ$4001,1))</f>
        <v/>
      </c>
      <c r="Q1457">
        <f>IF($AA1457="","",Settings!$C$7)</f>
        <v/>
      </c>
      <c r="R1457" s="7">
        <f>IF($AA1457="","",SUMIFS('Per Line'!$Y$2:$Y$4001,'Per Line'!$E$2:$E$4001,$B1457,'Per Line'!$AP$2:$AP$4001,0,'Per Line'!$AQ$2:$AQ$4001,0))</f>
        <v/>
      </c>
      <c r="S1457" s="7">
        <f>IF($AA1457="","",R1457*Q1457)</f>
        <v/>
      </c>
      <c r="T1457">
        <f>IF($AA1457="","",Settings!$C$6)</f>
        <v/>
      </c>
      <c r="U1457" s="7">
        <f>IF($AA1457="","",SUMIFS('Per Line'!$Y$2:$Y$4001,'Per Line'!$E$2:$E$4001,$B1457,'Per Line'!$AP$2:$AP$4001,1,'Per Line'!$AQ$2:$AQ$4001,0))</f>
        <v/>
      </c>
      <c r="V1457" s="7">
        <f>IF($AA1457="","",U1457*T1457)</f>
        <v/>
      </c>
      <c r="W1457" s="7">
        <f>IF($AA1457="","",V1457+S1457)</f>
        <v/>
      </c>
      <c r="X1457" s="7">
        <f>IF($AA1457="","",Y1457-W1457)</f>
        <v/>
      </c>
      <c r="Y1457" s="7">
        <f>IF($AA1457="","",R1457+U1457+P1457)</f>
        <v/>
      </c>
      <c r="Z1457" s="7">
        <f>IF($AA1457="","",Y1457-W1457-L1457)</f>
        <v/>
      </c>
      <c r="AA1457" s="13">
        <f>IF(ROWS($AA$2:$AA1457)&lt;=MAX('Per Line'!$AO$2:$AO$4001),MATCH(ROWS($AA$2:$AA1457),'Per Line'!$AO$2:$AO$4001,0),"")</f>
        <v/>
      </c>
      <c r="AB1457" s="14">
        <f>IF($AA1457="","",L1457-K1457*Y1457/100)</f>
        <v/>
      </c>
    </row>
    <row r="1458">
      <c r="A1458" s="12" t="n"/>
      <c r="B1458">
        <f>IF($AA1458="","",INDEX('Per Line'!$E$2:$E$4001,$AA1458)&amp;"")</f>
        <v/>
      </c>
      <c r="C1458">
        <f>IF($AA1458="","",INDEX('Per Line'!$A$2:$A$4001,$AA1458)&amp;"")</f>
        <v/>
      </c>
      <c r="D1458">
        <f>IF($AA1458="","",INDEX('Per Line'!$D$2:$D$4001,$AA1458)&amp;"")</f>
        <v/>
      </c>
      <c r="E1458" s="11">
        <f>IF($AA1458="","",INDEX('Per Line'!$G$2:$G$4001,$AA1458))</f>
        <v/>
      </c>
      <c r="F1458">
        <f>IF($AA1458="","",INDEX('Per Line'!$H$2:$H$4001,$AA1458)&amp;"")</f>
        <v/>
      </c>
      <c r="G1458">
        <f>IF($AA1458="","",INDEX('Per Line'!$I$2:$I$4001,$AA1458)&amp;"")</f>
        <v/>
      </c>
      <c r="H1458">
        <f>IF($AA1458="","",INDEX('Per Line'!$J$2:$J$4001,$AA1458)&amp;"")</f>
        <v/>
      </c>
      <c r="I1458">
        <f>IF($AA1458="","",INDEX('Per Line'!$K$2:$K$4001,$AA1458)&amp;"")</f>
        <v/>
      </c>
      <c r="J1458">
        <f>IF($AA1458="","",INDEX('Per Line'!$L$2:$L$4001,$AA1458)&amp;"")</f>
        <v/>
      </c>
      <c r="K1458">
        <f>IF($AA1458="","",INDEX('Per Line'!$P$2:$P$4001,$AA1458))</f>
        <v/>
      </c>
      <c r="L1458" s="7">
        <f>IF($AA1458="","",IF(AND(ISNUMBER(N1458),N1458&gt;0,Y1458&gt;N1458),K1458*N1458/100+(Y1458-N1458),K1458*Y1458/100))</f>
        <v/>
      </c>
      <c r="M1458">
        <f>IF($AA1458="","",INDEX('Per Line'!$Z$2:$Z$4001,$AA1458)&amp;"")</f>
        <v/>
      </c>
      <c r="N1458">
        <f>IF($AA1458="","",INDEX('Per Line'!$AG$2:$AG$4001,$AA1458))</f>
        <v/>
      </c>
      <c r="O1458">
        <f>IF($AA1458="","",IF(AND(ISNUMBER(N1458),N1458&gt;0),Y1458&gt;N1458,FALSE))</f>
        <v/>
      </c>
      <c r="P1458" s="7">
        <f>IF($AA1458="","",SUMIFS('Per Line'!$Y$2:$Y$4001,'Per Line'!$E$2:$E$4001,$B1458,'Per Line'!$AQ$2:$AQ$4001,1))</f>
        <v/>
      </c>
      <c r="Q1458">
        <f>IF($AA1458="","",Settings!$C$7)</f>
        <v/>
      </c>
      <c r="R1458" s="7">
        <f>IF($AA1458="","",SUMIFS('Per Line'!$Y$2:$Y$4001,'Per Line'!$E$2:$E$4001,$B1458,'Per Line'!$AP$2:$AP$4001,0,'Per Line'!$AQ$2:$AQ$4001,0))</f>
        <v/>
      </c>
      <c r="S1458" s="7">
        <f>IF($AA1458="","",R1458*Q1458)</f>
        <v/>
      </c>
      <c r="T1458">
        <f>IF($AA1458="","",Settings!$C$6)</f>
        <v/>
      </c>
      <c r="U1458" s="7">
        <f>IF($AA1458="","",SUMIFS('Per Line'!$Y$2:$Y$4001,'Per Line'!$E$2:$E$4001,$B1458,'Per Line'!$AP$2:$AP$4001,1,'Per Line'!$AQ$2:$AQ$4001,0))</f>
        <v/>
      </c>
      <c r="V1458" s="7">
        <f>IF($AA1458="","",U1458*T1458)</f>
        <v/>
      </c>
      <c r="W1458" s="7">
        <f>IF($AA1458="","",V1458+S1458)</f>
        <v/>
      </c>
      <c r="X1458" s="7">
        <f>IF($AA1458="","",Y1458-W1458)</f>
        <v/>
      </c>
      <c r="Y1458" s="7">
        <f>IF($AA1458="","",R1458+U1458+P1458)</f>
        <v/>
      </c>
      <c r="Z1458" s="7">
        <f>IF($AA1458="","",Y1458-W1458-L1458)</f>
        <v/>
      </c>
      <c r="AA1458" s="13">
        <f>IF(ROWS($AA$2:$AA1458)&lt;=MAX('Per Line'!$AO$2:$AO$4001),MATCH(ROWS($AA$2:$AA1458),'Per Line'!$AO$2:$AO$4001,0),"")</f>
        <v/>
      </c>
      <c r="AB1458" s="14">
        <f>IF($AA1458="","",L1458-K1458*Y1458/100)</f>
        <v/>
      </c>
    </row>
    <row r="1459">
      <c r="A1459" s="12" t="n"/>
      <c r="B1459">
        <f>IF($AA1459="","",INDEX('Per Line'!$E$2:$E$4001,$AA1459)&amp;"")</f>
        <v/>
      </c>
      <c r="C1459">
        <f>IF($AA1459="","",INDEX('Per Line'!$A$2:$A$4001,$AA1459)&amp;"")</f>
        <v/>
      </c>
      <c r="D1459">
        <f>IF($AA1459="","",INDEX('Per Line'!$D$2:$D$4001,$AA1459)&amp;"")</f>
        <v/>
      </c>
      <c r="E1459" s="11">
        <f>IF($AA1459="","",INDEX('Per Line'!$G$2:$G$4001,$AA1459))</f>
        <v/>
      </c>
      <c r="F1459">
        <f>IF($AA1459="","",INDEX('Per Line'!$H$2:$H$4001,$AA1459)&amp;"")</f>
        <v/>
      </c>
      <c r="G1459">
        <f>IF($AA1459="","",INDEX('Per Line'!$I$2:$I$4001,$AA1459)&amp;"")</f>
        <v/>
      </c>
      <c r="H1459">
        <f>IF($AA1459="","",INDEX('Per Line'!$J$2:$J$4001,$AA1459)&amp;"")</f>
        <v/>
      </c>
      <c r="I1459">
        <f>IF($AA1459="","",INDEX('Per Line'!$K$2:$K$4001,$AA1459)&amp;"")</f>
        <v/>
      </c>
      <c r="J1459">
        <f>IF($AA1459="","",INDEX('Per Line'!$L$2:$L$4001,$AA1459)&amp;"")</f>
        <v/>
      </c>
      <c r="K1459">
        <f>IF($AA1459="","",INDEX('Per Line'!$P$2:$P$4001,$AA1459))</f>
        <v/>
      </c>
      <c r="L1459" s="7">
        <f>IF($AA1459="","",IF(AND(ISNUMBER(N1459),N1459&gt;0,Y1459&gt;N1459),K1459*N1459/100+(Y1459-N1459),K1459*Y1459/100))</f>
        <v/>
      </c>
      <c r="M1459">
        <f>IF($AA1459="","",INDEX('Per Line'!$Z$2:$Z$4001,$AA1459)&amp;"")</f>
        <v/>
      </c>
      <c r="N1459">
        <f>IF($AA1459="","",INDEX('Per Line'!$AG$2:$AG$4001,$AA1459))</f>
        <v/>
      </c>
      <c r="O1459">
        <f>IF($AA1459="","",IF(AND(ISNUMBER(N1459),N1459&gt;0),Y1459&gt;N1459,FALSE))</f>
        <v/>
      </c>
      <c r="P1459" s="7">
        <f>IF($AA1459="","",SUMIFS('Per Line'!$Y$2:$Y$4001,'Per Line'!$E$2:$E$4001,$B1459,'Per Line'!$AQ$2:$AQ$4001,1))</f>
        <v/>
      </c>
      <c r="Q1459">
        <f>IF($AA1459="","",Settings!$C$7)</f>
        <v/>
      </c>
      <c r="R1459" s="7">
        <f>IF($AA1459="","",SUMIFS('Per Line'!$Y$2:$Y$4001,'Per Line'!$E$2:$E$4001,$B1459,'Per Line'!$AP$2:$AP$4001,0,'Per Line'!$AQ$2:$AQ$4001,0))</f>
        <v/>
      </c>
      <c r="S1459" s="7">
        <f>IF($AA1459="","",R1459*Q1459)</f>
        <v/>
      </c>
      <c r="T1459">
        <f>IF($AA1459="","",Settings!$C$6)</f>
        <v/>
      </c>
      <c r="U1459" s="7">
        <f>IF($AA1459="","",SUMIFS('Per Line'!$Y$2:$Y$4001,'Per Line'!$E$2:$E$4001,$B1459,'Per Line'!$AP$2:$AP$4001,1,'Per Line'!$AQ$2:$AQ$4001,0))</f>
        <v/>
      </c>
      <c r="V1459" s="7">
        <f>IF($AA1459="","",U1459*T1459)</f>
        <v/>
      </c>
      <c r="W1459" s="7">
        <f>IF($AA1459="","",V1459+S1459)</f>
        <v/>
      </c>
      <c r="X1459" s="7">
        <f>IF($AA1459="","",Y1459-W1459)</f>
        <v/>
      </c>
      <c r="Y1459" s="7">
        <f>IF($AA1459="","",R1459+U1459+P1459)</f>
        <v/>
      </c>
      <c r="Z1459" s="7">
        <f>IF($AA1459="","",Y1459-W1459-L1459)</f>
        <v/>
      </c>
      <c r="AA1459" s="13">
        <f>IF(ROWS($AA$2:$AA1459)&lt;=MAX('Per Line'!$AO$2:$AO$4001),MATCH(ROWS($AA$2:$AA1459),'Per Line'!$AO$2:$AO$4001,0),"")</f>
        <v/>
      </c>
      <c r="AB1459" s="14">
        <f>IF($AA1459="","",L1459-K1459*Y1459/100)</f>
        <v/>
      </c>
    </row>
    <row r="1460">
      <c r="A1460" s="12" t="n"/>
      <c r="B1460">
        <f>IF($AA1460="","",INDEX('Per Line'!$E$2:$E$4001,$AA1460)&amp;"")</f>
        <v/>
      </c>
      <c r="C1460">
        <f>IF($AA1460="","",INDEX('Per Line'!$A$2:$A$4001,$AA1460)&amp;"")</f>
        <v/>
      </c>
      <c r="D1460">
        <f>IF($AA1460="","",INDEX('Per Line'!$D$2:$D$4001,$AA1460)&amp;"")</f>
        <v/>
      </c>
      <c r="E1460" s="11">
        <f>IF($AA1460="","",INDEX('Per Line'!$G$2:$G$4001,$AA1460))</f>
        <v/>
      </c>
      <c r="F1460">
        <f>IF($AA1460="","",INDEX('Per Line'!$H$2:$H$4001,$AA1460)&amp;"")</f>
        <v/>
      </c>
      <c r="G1460">
        <f>IF($AA1460="","",INDEX('Per Line'!$I$2:$I$4001,$AA1460)&amp;"")</f>
        <v/>
      </c>
      <c r="H1460">
        <f>IF($AA1460="","",INDEX('Per Line'!$J$2:$J$4001,$AA1460)&amp;"")</f>
        <v/>
      </c>
      <c r="I1460">
        <f>IF($AA1460="","",INDEX('Per Line'!$K$2:$K$4001,$AA1460)&amp;"")</f>
        <v/>
      </c>
      <c r="J1460">
        <f>IF($AA1460="","",INDEX('Per Line'!$L$2:$L$4001,$AA1460)&amp;"")</f>
        <v/>
      </c>
      <c r="K1460">
        <f>IF($AA1460="","",INDEX('Per Line'!$P$2:$P$4001,$AA1460))</f>
        <v/>
      </c>
      <c r="L1460" s="7">
        <f>IF($AA1460="","",IF(AND(ISNUMBER(N1460),N1460&gt;0,Y1460&gt;N1460),K1460*N1460/100+(Y1460-N1460),K1460*Y1460/100))</f>
        <v/>
      </c>
      <c r="M1460">
        <f>IF($AA1460="","",INDEX('Per Line'!$Z$2:$Z$4001,$AA1460)&amp;"")</f>
        <v/>
      </c>
      <c r="N1460">
        <f>IF($AA1460="","",INDEX('Per Line'!$AG$2:$AG$4001,$AA1460))</f>
        <v/>
      </c>
      <c r="O1460">
        <f>IF($AA1460="","",IF(AND(ISNUMBER(N1460),N1460&gt;0),Y1460&gt;N1460,FALSE))</f>
        <v/>
      </c>
      <c r="P1460" s="7">
        <f>IF($AA1460="","",SUMIFS('Per Line'!$Y$2:$Y$4001,'Per Line'!$E$2:$E$4001,$B1460,'Per Line'!$AQ$2:$AQ$4001,1))</f>
        <v/>
      </c>
      <c r="Q1460">
        <f>IF($AA1460="","",Settings!$C$7)</f>
        <v/>
      </c>
      <c r="R1460" s="7">
        <f>IF($AA1460="","",SUMIFS('Per Line'!$Y$2:$Y$4001,'Per Line'!$E$2:$E$4001,$B1460,'Per Line'!$AP$2:$AP$4001,0,'Per Line'!$AQ$2:$AQ$4001,0))</f>
        <v/>
      </c>
      <c r="S1460" s="7">
        <f>IF($AA1460="","",R1460*Q1460)</f>
        <v/>
      </c>
      <c r="T1460">
        <f>IF($AA1460="","",Settings!$C$6)</f>
        <v/>
      </c>
      <c r="U1460" s="7">
        <f>IF($AA1460="","",SUMIFS('Per Line'!$Y$2:$Y$4001,'Per Line'!$E$2:$E$4001,$B1460,'Per Line'!$AP$2:$AP$4001,1,'Per Line'!$AQ$2:$AQ$4001,0))</f>
        <v/>
      </c>
      <c r="V1460" s="7">
        <f>IF($AA1460="","",U1460*T1460)</f>
        <v/>
      </c>
      <c r="W1460" s="7">
        <f>IF($AA1460="","",V1460+S1460)</f>
        <v/>
      </c>
      <c r="X1460" s="7">
        <f>IF($AA1460="","",Y1460-W1460)</f>
        <v/>
      </c>
      <c r="Y1460" s="7">
        <f>IF($AA1460="","",R1460+U1460+P1460)</f>
        <v/>
      </c>
      <c r="Z1460" s="7">
        <f>IF($AA1460="","",Y1460-W1460-L1460)</f>
        <v/>
      </c>
      <c r="AA1460" s="13">
        <f>IF(ROWS($AA$2:$AA1460)&lt;=MAX('Per Line'!$AO$2:$AO$4001),MATCH(ROWS($AA$2:$AA1460),'Per Line'!$AO$2:$AO$4001,0),"")</f>
        <v/>
      </c>
      <c r="AB1460" s="14">
        <f>IF($AA1460="","",L1460-K1460*Y1460/100)</f>
        <v/>
      </c>
    </row>
    <row r="1461">
      <c r="A1461" s="12" t="n"/>
      <c r="B1461">
        <f>IF($AA1461="","",INDEX('Per Line'!$E$2:$E$4001,$AA1461)&amp;"")</f>
        <v/>
      </c>
      <c r="C1461">
        <f>IF($AA1461="","",INDEX('Per Line'!$A$2:$A$4001,$AA1461)&amp;"")</f>
        <v/>
      </c>
      <c r="D1461">
        <f>IF($AA1461="","",INDEX('Per Line'!$D$2:$D$4001,$AA1461)&amp;"")</f>
        <v/>
      </c>
      <c r="E1461" s="11">
        <f>IF($AA1461="","",INDEX('Per Line'!$G$2:$G$4001,$AA1461))</f>
        <v/>
      </c>
      <c r="F1461">
        <f>IF($AA1461="","",INDEX('Per Line'!$H$2:$H$4001,$AA1461)&amp;"")</f>
        <v/>
      </c>
      <c r="G1461">
        <f>IF($AA1461="","",INDEX('Per Line'!$I$2:$I$4001,$AA1461)&amp;"")</f>
        <v/>
      </c>
      <c r="H1461">
        <f>IF($AA1461="","",INDEX('Per Line'!$J$2:$J$4001,$AA1461)&amp;"")</f>
        <v/>
      </c>
      <c r="I1461">
        <f>IF($AA1461="","",INDEX('Per Line'!$K$2:$K$4001,$AA1461)&amp;"")</f>
        <v/>
      </c>
      <c r="J1461">
        <f>IF($AA1461="","",INDEX('Per Line'!$L$2:$L$4001,$AA1461)&amp;"")</f>
        <v/>
      </c>
      <c r="K1461">
        <f>IF($AA1461="","",INDEX('Per Line'!$P$2:$P$4001,$AA1461))</f>
        <v/>
      </c>
      <c r="L1461" s="7">
        <f>IF($AA1461="","",IF(AND(ISNUMBER(N1461),N1461&gt;0,Y1461&gt;N1461),K1461*N1461/100+(Y1461-N1461),K1461*Y1461/100))</f>
        <v/>
      </c>
      <c r="M1461">
        <f>IF($AA1461="","",INDEX('Per Line'!$Z$2:$Z$4001,$AA1461)&amp;"")</f>
        <v/>
      </c>
      <c r="N1461">
        <f>IF($AA1461="","",INDEX('Per Line'!$AG$2:$AG$4001,$AA1461))</f>
        <v/>
      </c>
      <c r="O1461">
        <f>IF($AA1461="","",IF(AND(ISNUMBER(N1461),N1461&gt;0),Y1461&gt;N1461,FALSE))</f>
        <v/>
      </c>
      <c r="P1461" s="7">
        <f>IF($AA1461="","",SUMIFS('Per Line'!$Y$2:$Y$4001,'Per Line'!$E$2:$E$4001,$B1461,'Per Line'!$AQ$2:$AQ$4001,1))</f>
        <v/>
      </c>
      <c r="Q1461">
        <f>IF($AA1461="","",Settings!$C$7)</f>
        <v/>
      </c>
      <c r="R1461" s="7">
        <f>IF($AA1461="","",SUMIFS('Per Line'!$Y$2:$Y$4001,'Per Line'!$E$2:$E$4001,$B1461,'Per Line'!$AP$2:$AP$4001,0,'Per Line'!$AQ$2:$AQ$4001,0))</f>
        <v/>
      </c>
      <c r="S1461" s="7">
        <f>IF($AA1461="","",R1461*Q1461)</f>
        <v/>
      </c>
      <c r="T1461">
        <f>IF($AA1461="","",Settings!$C$6)</f>
        <v/>
      </c>
      <c r="U1461" s="7">
        <f>IF($AA1461="","",SUMIFS('Per Line'!$Y$2:$Y$4001,'Per Line'!$E$2:$E$4001,$B1461,'Per Line'!$AP$2:$AP$4001,1,'Per Line'!$AQ$2:$AQ$4001,0))</f>
        <v/>
      </c>
      <c r="V1461" s="7">
        <f>IF($AA1461="","",U1461*T1461)</f>
        <v/>
      </c>
      <c r="W1461" s="7">
        <f>IF($AA1461="","",V1461+S1461)</f>
        <v/>
      </c>
      <c r="X1461" s="7">
        <f>IF($AA1461="","",Y1461-W1461)</f>
        <v/>
      </c>
      <c r="Y1461" s="7">
        <f>IF($AA1461="","",R1461+U1461+P1461)</f>
        <v/>
      </c>
      <c r="Z1461" s="7">
        <f>IF($AA1461="","",Y1461-W1461-L1461)</f>
        <v/>
      </c>
      <c r="AA1461" s="13">
        <f>IF(ROWS($AA$2:$AA1461)&lt;=MAX('Per Line'!$AO$2:$AO$4001),MATCH(ROWS($AA$2:$AA1461),'Per Line'!$AO$2:$AO$4001,0),"")</f>
        <v/>
      </c>
      <c r="AB1461" s="14">
        <f>IF($AA1461="","",L1461-K1461*Y1461/100)</f>
        <v/>
      </c>
    </row>
    <row r="1462">
      <c r="A1462" s="12" t="n"/>
      <c r="B1462">
        <f>IF($AA1462="","",INDEX('Per Line'!$E$2:$E$4001,$AA1462)&amp;"")</f>
        <v/>
      </c>
      <c r="C1462">
        <f>IF($AA1462="","",INDEX('Per Line'!$A$2:$A$4001,$AA1462)&amp;"")</f>
        <v/>
      </c>
      <c r="D1462">
        <f>IF($AA1462="","",INDEX('Per Line'!$D$2:$D$4001,$AA1462)&amp;"")</f>
        <v/>
      </c>
      <c r="E1462" s="11">
        <f>IF($AA1462="","",INDEX('Per Line'!$G$2:$G$4001,$AA1462))</f>
        <v/>
      </c>
      <c r="F1462">
        <f>IF($AA1462="","",INDEX('Per Line'!$H$2:$H$4001,$AA1462)&amp;"")</f>
        <v/>
      </c>
      <c r="G1462">
        <f>IF($AA1462="","",INDEX('Per Line'!$I$2:$I$4001,$AA1462)&amp;"")</f>
        <v/>
      </c>
      <c r="H1462">
        <f>IF($AA1462="","",INDEX('Per Line'!$J$2:$J$4001,$AA1462)&amp;"")</f>
        <v/>
      </c>
      <c r="I1462">
        <f>IF($AA1462="","",INDEX('Per Line'!$K$2:$K$4001,$AA1462)&amp;"")</f>
        <v/>
      </c>
      <c r="J1462">
        <f>IF($AA1462="","",INDEX('Per Line'!$L$2:$L$4001,$AA1462)&amp;"")</f>
        <v/>
      </c>
      <c r="K1462">
        <f>IF($AA1462="","",INDEX('Per Line'!$P$2:$P$4001,$AA1462))</f>
        <v/>
      </c>
      <c r="L1462" s="7">
        <f>IF($AA1462="","",IF(AND(ISNUMBER(N1462),N1462&gt;0,Y1462&gt;N1462),K1462*N1462/100+(Y1462-N1462),K1462*Y1462/100))</f>
        <v/>
      </c>
      <c r="M1462">
        <f>IF($AA1462="","",INDEX('Per Line'!$Z$2:$Z$4001,$AA1462)&amp;"")</f>
        <v/>
      </c>
      <c r="N1462">
        <f>IF($AA1462="","",INDEX('Per Line'!$AG$2:$AG$4001,$AA1462))</f>
        <v/>
      </c>
      <c r="O1462">
        <f>IF($AA1462="","",IF(AND(ISNUMBER(N1462),N1462&gt;0),Y1462&gt;N1462,FALSE))</f>
        <v/>
      </c>
      <c r="P1462" s="7">
        <f>IF($AA1462="","",SUMIFS('Per Line'!$Y$2:$Y$4001,'Per Line'!$E$2:$E$4001,$B1462,'Per Line'!$AQ$2:$AQ$4001,1))</f>
        <v/>
      </c>
      <c r="Q1462">
        <f>IF($AA1462="","",Settings!$C$7)</f>
        <v/>
      </c>
      <c r="R1462" s="7">
        <f>IF($AA1462="","",SUMIFS('Per Line'!$Y$2:$Y$4001,'Per Line'!$E$2:$E$4001,$B1462,'Per Line'!$AP$2:$AP$4001,0,'Per Line'!$AQ$2:$AQ$4001,0))</f>
        <v/>
      </c>
      <c r="S1462" s="7">
        <f>IF($AA1462="","",R1462*Q1462)</f>
        <v/>
      </c>
      <c r="T1462">
        <f>IF($AA1462="","",Settings!$C$6)</f>
        <v/>
      </c>
      <c r="U1462" s="7">
        <f>IF($AA1462="","",SUMIFS('Per Line'!$Y$2:$Y$4001,'Per Line'!$E$2:$E$4001,$B1462,'Per Line'!$AP$2:$AP$4001,1,'Per Line'!$AQ$2:$AQ$4001,0))</f>
        <v/>
      </c>
      <c r="V1462" s="7">
        <f>IF($AA1462="","",U1462*T1462)</f>
        <v/>
      </c>
      <c r="W1462" s="7">
        <f>IF($AA1462="","",V1462+S1462)</f>
        <v/>
      </c>
      <c r="X1462" s="7">
        <f>IF($AA1462="","",Y1462-W1462)</f>
        <v/>
      </c>
      <c r="Y1462" s="7">
        <f>IF($AA1462="","",R1462+U1462+P1462)</f>
        <v/>
      </c>
      <c r="Z1462" s="7">
        <f>IF($AA1462="","",Y1462-W1462-L1462)</f>
        <v/>
      </c>
      <c r="AA1462" s="13">
        <f>IF(ROWS($AA$2:$AA1462)&lt;=MAX('Per Line'!$AO$2:$AO$4001),MATCH(ROWS($AA$2:$AA1462),'Per Line'!$AO$2:$AO$4001,0),"")</f>
        <v/>
      </c>
      <c r="AB1462" s="14">
        <f>IF($AA1462="","",L1462-K1462*Y1462/100)</f>
        <v/>
      </c>
    </row>
    <row r="1463">
      <c r="A1463" s="12" t="n"/>
      <c r="B1463">
        <f>IF($AA1463="","",INDEX('Per Line'!$E$2:$E$4001,$AA1463)&amp;"")</f>
        <v/>
      </c>
      <c r="C1463">
        <f>IF($AA1463="","",INDEX('Per Line'!$A$2:$A$4001,$AA1463)&amp;"")</f>
        <v/>
      </c>
      <c r="D1463">
        <f>IF($AA1463="","",INDEX('Per Line'!$D$2:$D$4001,$AA1463)&amp;"")</f>
        <v/>
      </c>
      <c r="E1463" s="11">
        <f>IF($AA1463="","",INDEX('Per Line'!$G$2:$G$4001,$AA1463))</f>
        <v/>
      </c>
      <c r="F1463">
        <f>IF($AA1463="","",INDEX('Per Line'!$H$2:$H$4001,$AA1463)&amp;"")</f>
        <v/>
      </c>
      <c r="G1463">
        <f>IF($AA1463="","",INDEX('Per Line'!$I$2:$I$4001,$AA1463)&amp;"")</f>
        <v/>
      </c>
      <c r="H1463">
        <f>IF($AA1463="","",INDEX('Per Line'!$J$2:$J$4001,$AA1463)&amp;"")</f>
        <v/>
      </c>
      <c r="I1463">
        <f>IF($AA1463="","",INDEX('Per Line'!$K$2:$K$4001,$AA1463)&amp;"")</f>
        <v/>
      </c>
      <c r="J1463">
        <f>IF($AA1463="","",INDEX('Per Line'!$L$2:$L$4001,$AA1463)&amp;"")</f>
        <v/>
      </c>
      <c r="K1463">
        <f>IF($AA1463="","",INDEX('Per Line'!$P$2:$P$4001,$AA1463))</f>
        <v/>
      </c>
      <c r="L1463" s="7">
        <f>IF($AA1463="","",IF(AND(ISNUMBER(N1463),N1463&gt;0,Y1463&gt;N1463),K1463*N1463/100+(Y1463-N1463),K1463*Y1463/100))</f>
        <v/>
      </c>
      <c r="M1463">
        <f>IF($AA1463="","",INDEX('Per Line'!$Z$2:$Z$4001,$AA1463)&amp;"")</f>
        <v/>
      </c>
      <c r="N1463">
        <f>IF($AA1463="","",INDEX('Per Line'!$AG$2:$AG$4001,$AA1463))</f>
        <v/>
      </c>
      <c r="O1463">
        <f>IF($AA1463="","",IF(AND(ISNUMBER(N1463),N1463&gt;0),Y1463&gt;N1463,FALSE))</f>
        <v/>
      </c>
      <c r="P1463" s="7">
        <f>IF($AA1463="","",SUMIFS('Per Line'!$Y$2:$Y$4001,'Per Line'!$E$2:$E$4001,$B1463,'Per Line'!$AQ$2:$AQ$4001,1))</f>
        <v/>
      </c>
      <c r="Q1463">
        <f>IF($AA1463="","",Settings!$C$7)</f>
        <v/>
      </c>
      <c r="R1463" s="7">
        <f>IF($AA1463="","",SUMIFS('Per Line'!$Y$2:$Y$4001,'Per Line'!$E$2:$E$4001,$B1463,'Per Line'!$AP$2:$AP$4001,0,'Per Line'!$AQ$2:$AQ$4001,0))</f>
        <v/>
      </c>
      <c r="S1463" s="7">
        <f>IF($AA1463="","",R1463*Q1463)</f>
        <v/>
      </c>
      <c r="T1463">
        <f>IF($AA1463="","",Settings!$C$6)</f>
        <v/>
      </c>
      <c r="U1463" s="7">
        <f>IF($AA1463="","",SUMIFS('Per Line'!$Y$2:$Y$4001,'Per Line'!$E$2:$E$4001,$B1463,'Per Line'!$AP$2:$AP$4001,1,'Per Line'!$AQ$2:$AQ$4001,0))</f>
        <v/>
      </c>
      <c r="V1463" s="7">
        <f>IF($AA1463="","",U1463*T1463)</f>
        <v/>
      </c>
      <c r="W1463" s="7">
        <f>IF($AA1463="","",V1463+S1463)</f>
        <v/>
      </c>
      <c r="X1463" s="7">
        <f>IF($AA1463="","",Y1463-W1463)</f>
        <v/>
      </c>
      <c r="Y1463" s="7">
        <f>IF($AA1463="","",R1463+U1463+P1463)</f>
        <v/>
      </c>
      <c r="Z1463" s="7">
        <f>IF($AA1463="","",Y1463-W1463-L1463)</f>
        <v/>
      </c>
      <c r="AA1463" s="13">
        <f>IF(ROWS($AA$2:$AA1463)&lt;=MAX('Per Line'!$AO$2:$AO$4001),MATCH(ROWS($AA$2:$AA1463),'Per Line'!$AO$2:$AO$4001,0),"")</f>
        <v/>
      </c>
      <c r="AB1463" s="14">
        <f>IF($AA1463="","",L1463-K1463*Y1463/100)</f>
        <v/>
      </c>
    </row>
    <row r="1464">
      <c r="A1464" s="12" t="n"/>
      <c r="B1464">
        <f>IF($AA1464="","",INDEX('Per Line'!$E$2:$E$4001,$AA1464)&amp;"")</f>
        <v/>
      </c>
      <c r="C1464">
        <f>IF($AA1464="","",INDEX('Per Line'!$A$2:$A$4001,$AA1464)&amp;"")</f>
        <v/>
      </c>
      <c r="D1464">
        <f>IF($AA1464="","",INDEX('Per Line'!$D$2:$D$4001,$AA1464)&amp;"")</f>
        <v/>
      </c>
      <c r="E1464" s="11">
        <f>IF($AA1464="","",INDEX('Per Line'!$G$2:$G$4001,$AA1464))</f>
        <v/>
      </c>
      <c r="F1464">
        <f>IF($AA1464="","",INDEX('Per Line'!$H$2:$H$4001,$AA1464)&amp;"")</f>
        <v/>
      </c>
      <c r="G1464">
        <f>IF($AA1464="","",INDEX('Per Line'!$I$2:$I$4001,$AA1464)&amp;"")</f>
        <v/>
      </c>
      <c r="H1464">
        <f>IF($AA1464="","",INDEX('Per Line'!$J$2:$J$4001,$AA1464)&amp;"")</f>
        <v/>
      </c>
      <c r="I1464">
        <f>IF($AA1464="","",INDEX('Per Line'!$K$2:$K$4001,$AA1464)&amp;"")</f>
        <v/>
      </c>
      <c r="J1464">
        <f>IF($AA1464="","",INDEX('Per Line'!$L$2:$L$4001,$AA1464)&amp;"")</f>
        <v/>
      </c>
      <c r="K1464">
        <f>IF($AA1464="","",INDEX('Per Line'!$P$2:$P$4001,$AA1464))</f>
        <v/>
      </c>
      <c r="L1464" s="7">
        <f>IF($AA1464="","",IF(AND(ISNUMBER(N1464),N1464&gt;0,Y1464&gt;N1464),K1464*N1464/100+(Y1464-N1464),K1464*Y1464/100))</f>
        <v/>
      </c>
      <c r="M1464">
        <f>IF($AA1464="","",INDEX('Per Line'!$Z$2:$Z$4001,$AA1464)&amp;"")</f>
        <v/>
      </c>
      <c r="N1464">
        <f>IF($AA1464="","",INDEX('Per Line'!$AG$2:$AG$4001,$AA1464))</f>
        <v/>
      </c>
      <c r="O1464">
        <f>IF($AA1464="","",IF(AND(ISNUMBER(N1464),N1464&gt;0),Y1464&gt;N1464,FALSE))</f>
        <v/>
      </c>
      <c r="P1464" s="7">
        <f>IF($AA1464="","",SUMIFS('Per Line'!$Y$2:$Y$4001,'Per Line'!$E$2:$E$4001,$B1464,'Per Line'!$AQ$2:$AQ$4001,1))</f>
        <v/>
      </c>
      <c r="Q1464">
        <f>IF($AA1464="","",Settings!$C$7)</f>
        <v/>
      </c>
      <c r="R1464" s="7">
        <f>IF($AA1464="","",SUMIFS('Per Line'!$Y$2:$Y$4001,'Per Line'!$E$2:$E$4001,$B1464,'Per Line'!$AP$2:$AP$4001,0,'Per Line'!$AQ$2:$AQ$4001,0))</f>
        <v/>
      </c>
      <c r="S1464" s="7">
        <f>IF($AA1464="","",R1464*Q1464)</f>
        <v/>
      </c>
      <c r="T1464">
        <f>IF($AA1464="","",Settings!$C$6)</f>
        <v/>
      </c>
      <c r="U1464" s="7">
        <f>IF($AA1464="","",SUMIFS('Per Line'!$Y$2:$Y$4001,'Per Line'!$E$2:$E$4001,$B1464,'Per Line'!$AP$2:$AP$4001,1,'Per Line'!$AQ$2:$AQ$4001,0))</f>
        <v/>
      </c>
      <c r="V1464" s="7">
        <f>IF($AA1464="","",U1464*T1464)</f>
        <v/>
      </c>
      <c r="W1464" s="7">
        <f>IF($AA1464="","",V1464+S1464)</f>
        <v/>
      </c>
      <c r="X1464" s="7">
        <f>IF($AA1464="","",Y1464-W1464)</f>
        <v/>
      </c>
      <c r="Y1464" s="7">
        <f>IF($AA1464="","",R1464+U1464+P1464)</f>
        <v/>
      </c>
      <c r="Z1464" s="7">
        <f>IF($AA1464="","",Y1464-W1464-L1464)</f>
        <v/>
      </c>
      <c r="AA1464" s="13">
        <f>IF(ROWS($AA$2:$AA1464)&lt;=MAX('Per Line'!$AO$2:$AO$4001),MATCH(ROWS($AA$2:$AA1464),'Per Line'!$AO$2:$AO$4001,0),"")</f>
        <v/>
      </c>
      <c r="AB1464" s="14">
        <f>IF($AA1464="","",L1464-K1464*Y1464/100)</f>
        <v/>
      </c>
    </row>
    <row r="1465">
      <c r="A1465" s="12" t="n"/>
      <c r="B1465">
        <f>IF($AA1465="","",INDEX('Per Line'!$E$2:$E$4001,$AA1465)&amp;"")</f>
        <v/>
      </c>
      <c r="C1465">
        <f>IF($AA1465="","",INDEX('Per Line'!$A$2:$A$4001,$AA1465)&amp;"")</f>
        <v/>
      </c>
      <c r="D1465">
        <f>IF($AA1465="","",INDEX('Per Line'!$D$2:$D$4001,$AA1465)&amp;"")</f>
        <v/>
      </c>
      <c r="E1465" s="11">
        <f>IF($AA1465="","",INDEX('Per Line'!$G$2:$G$4001,$AA1465))</f>
        <v/>
      </c>
      <c r="F1465">
        <f>IF($AA1465="","",INDEX('Per Line'!$H$2:$H$4001,$AA1465)&amp;"")</f>
        <v/>
      </c>
      <c r="G1465">
        <f>IF($AA1465="","",INDEX('Per Line'!$I$2:$I$4001,$AA1465)&amp;"")</f>
        <v/>
      </c>
      <c r="H1465">
        <f>IF($AA1465="","",INDEX('Per Line'!$J$2:$J$4001,$AA1465)&amp;"")</f>
        <v/>
      </c>
      <c r="I1465">
        <f>IF($AA1465="","",INDEX('Per Line'!$K$2:$K$4001,$AA1465)&amp;"")</f>
        <v/>
      </c>
      <c r="J1465">
        <f>IF($AA1465="","",INDEX('Per Line'!$L$2:$L$4001,$AA1465)&amp;"")</f>
        <v/>
      </c>
      <c r="K1465">
        <f>IF($AA1465="","",INDEX('Per Line'!$P$2:$P$4001,$AA1465))</f>
        <v/>
      </c>
      <c r="L1465" s="7">
        <f>IF($AA1465="","",IF(AND(ISNUMBER(N1465),N1465&gt;0,Y1465&gt;N1465),K1465*N1465/100+(Y1465-N1465),K1465*Y1465/100))</f>
        <v/>
      </c>
      <c r="M1465">
        <f>IF($AA1465="","",INDEX('Per Line'!$Z$2:$Z$4001,$AA1465)&amp;"")</f>
        <v/>
      </c>
      <c r="N1465">
        <f>IF($AA1465="","",INDEX('Per Line'!$AG$2:$AG$4001,$AA1465))</f>
        <v/>
      </c>
      <c r="O1465">
        <f>IF($AA1465="","",IF(AND(ISNUMBER(N1465),N1465&gt;0),Y1465&gt;N1465,FALSE))</f>
        <v/>
      </c>
      <c r="P1465" s="7">
        <f>IF($AA1465="","",SUMIFS('Per Line'!$Y$2:$Y$4001,'Per Line'!$E$2:$E$4001,$B1465,'Per Line'!$AQ$2:$AQ$4001,1))</f>
        <v/>
      </c>
      <c r="Q1465">
        <f>IF($AA1465="","",Settings!$C$7)</f>
        <v/>
      </c>
      <c r="R1465" s="7">
        <f>IF($AA1465="","",SUMIFS('Per Line'!$Y$2:$Y$4001,'Per Line'!$E$2:$E$4001,$B1465,'Per Line'!$AP$2:$AP$4001,0,'Per Line'!$AQ$2:$AQ$4001,0))</f>
        <v/>
      </c>
      <c r="S1465" s="7">
        <f>IF($AA1465="","",R1465*Q1465)</f>
        <v/>
      </c>
      <c r="T1465">
        <f>IF($AA1465="","",Settings!$C$6)</f>
        <v/>
      </c>
      <c r="U1465" s="7">
        <f>IF($AA1465="","",SUMIFS('Per Line'!$Y$2:$Y$4001,'Per Line'!$E$2:$E$4001,$B1465,'Per Line'!$AP$2:$AP$4001,1,'Per Line'!$AQ$2:$AQ$4001,0))</f>
        <v/>
      </c>
      <c r="V1465" s="7">
        <f>IF($AA1465="","",U1465*T1465)</f>
        <v/>
      </c>
      <c r="W1465" s="7">
        <f>IF($AA1465="","",V1465+S1465)</f>
        <v/>
      </c>
      <c r="X1465" s="7">
        <f>IF($AA1465="","",Y1465-W1465)</f>
        <v/>
      </c>
      <c r="Y1465" s="7">
        <f>IF($AA1465="","",R1465+U1465+P1465)</f>
        <v/>
      </c>
      <c r="Z1465" s="7">
        <f>IF($AA1465="","",Y1465-W1465-L1465)</f>
        <v/>
      </c>
      <c r="AA1465" s="13">
        <f>IF(ROWS($AA$2:$AA1465)&lt;=MAX('Per Line'!$AO$2:$AO$4001),MATCH(ROWS($AA$2:$AA1465),'Per Line'!$AO$2:$AO$4001,0),"")</f>
        <v/>
      </c>
      <c r="AB1465" s="14">
        <f>IF($AA1465="","",L1465-K1465*Y1465/100)</f>
        <v/>
      </c>
    </row>
    <row r="1466">
      <c r="A1466" s="12" t="n"/>
      <c r="B1466">
        <f>IF($AA1466="","",INDEX('Per Line'!$E$2:$E$4001,$AA1466)&amp;"")</f>
        <v/>
      </c>
      <c r="C1466">
        <f>IF($AA1466="","",INDEX('Per Line'!$A$2:$A$4001,$AA1466)&amp;"")</f>
        <v/>
      </c>
      <c r="D1466">
        <f>IF($AA1466="","",INDEX('Per Line'!$D$2:$D$4001,$AA1466)&amp;"")</f>
        <v/>
      </c>
      <c r="E1466" s="11">
        <f>IF($AA1466="","",INDEX('Per Line'!$G$2:$G$4001,$AA1466))</f>
        <v/>
      </c>
      <c r="F1466">
        <f>IF($AA1466="","",INDEX('Per Line'!$H$2:$H$4001,$AA1466)&amp;"")</f>
        <v/>
      </c>
      <c r="G1466">
        <f>IF($AA1466="","",INDEX('Per Line'!$I$2:$I$4001,$AA1466)&amp;"")</f>
        <v/>
      </c>
      <c r="H1466">
        <f>IF($AA1466="","",INDEX('Per Line'!$J$2:$J$4001,$AA1466)&amp;"")</f>
        <v/>
      </c>
      <c r="I1466">
        <f>IF($AA1466="","",INDEX('Per Line'!$K$2:$K$4001,$AA1466)&amp;"")</f>
        <v/>
      </c>
      <c r="J1466">
        <f>IF($AA1466="","",INDEX('Per Line'!$L$2:$L$4001,$AA1466)&amp;"")</f>
        <v/>
      </c>
      <c r="K1466">
        <f>IF($AA1466="","",INDEX('Per Line'!$P$2:$P$4001,$AA1466))</f>
        <v/>
      </c>
      <c r="L1466" s="7">
        <f>IF($AA1466="","",IF(AND(ISNUMBER(N1466),N1466&gt;0,Y1466&gt;N1466),K1466*N1466/100+(Y1466-N1466),K1466*Y1466/100))</f>
        <v/>
      </c>
      <c r="M1466">
        <f>IF($AA1466="","",INDEX('Per Line'!$Z$2:$Z$4001,$AA1466)&amp;"")</f>
        <v/>
      </c>
      <c r="N1466">
        <f>IF($AA1466="","",INDEX('Per Line'!$AG$2:$AG$4001,$AA1466))</f>
        <v/>
      </c>
      <c r="O1466">
        <f>IF($AA1466="","",IF(AND(ISNUMBER(N1466),N1466&gt;0),Y1466&gt;N1466,FALSE))</f>
        <v/>
      </c>
      <c r="P1466" s="7">
        <f>IF($AA1466="","",SUMIFS('Per Line'!$Y$2:$Y$4001,'Per Line'!$E$2:$E$4001,$B1466,'Per Line'!$AQ$2:$AQ$4001,1))</f>
        <v/>
      </c>
      <c r="Q1466">
        <f>IF($AA1466="","",Settings!$C$7)</f>
        <v/>
      </c>
      <c r="R1466" s="7">
        <f>IF($AA1466="","",SUMIFS('Per Line'!$Y$2:$Y$4001,'Per Line'!$E$2:$E$4001,$B1466,'Per Line'!$AP$2:$AP$4001,0,'Per Line'!$AQ$2:$AQ$4001,0))</f>
        <v/>
      </c>
      <c r="S1466" s="7">
        <f>IF($AA1466="","",R1466*Q1466)</f>
        <v/>
      </c>
      <c r="T1466">
        <f>IF($AA1466="","",Settings!$C$6)</f>
        <v/>
      </c>
      <c r="U1466" s="7">
        <f>IF($AA1466="","",SUMIFS('Per Line'!$Y$2:$Y$4001,'Per Line'!$E$2:$E$4001,$B1466,'Per Line'!$AP$2:$AP$4001,1,'Per Line'!$AQ$2:$AQ$4001,0))</f>
        <v/>
      </c>
      <c r="V1466" s="7">
        <f>IF($AA1466="","",U1466*T1466)</f>
        <v/>
      </c>
      <c r="W1466" s="7">
        <f>IF($AA1466="","",V1466+S1466)</f>
        <v/>
      </c>
      <c r="X1466" s="7">
        <f>IF($AA1466="","",Y1466-W1466)</f>
        <v/>
      </c>
      <c r="Y1466" s="7">
        <f>IF($AA1466="","",R1466+U1466+P1466)</f>
        <v/>
      </c>
      <c r="Z1466" s="7">
        <f>IF($AA1466="","",Y1466-W1466-L1466)</f>
        <v/>
      </c>
      <c r="AA1466" s="13">
        <f>IF(ROWS($AA$2:$AA1466)&lt;=MAX('Per Line'!$AO$2:$AO$4001),MATCH(ROWS($AA$2:$AA1466),'Per Line'!$AO$2:$AO$4001,0),"")</f>
        <v/>
      </c>
      <c r="AB1466" s="14">
        <f>IF($AA1466="","",L1466-K1466*Y1466/100)</f>
        <v/>
      </c>
    </row>
    <row r="1467">
      <c r="A1467" s="12" t="n"/>
      <c r="B1467">
        <f>IF($AA1467="","",INDEX('Per Line'!$E$2:$E$4001,$AA1467)&amp;"")</f>
        <v/>
      </c>
      <c r="C1467">
        <f>IF($AA1467="","",INDEX('Per Line'!$A$2:$A$4001,$AA1467)&amp;"")</f>
        <v/>
      </c>
      <c r="D1467">
        <f>IF($AA1467="","",INDEX('Per Line'!$D$2:$D$4001,$AA1467)&amp;"")</f>
        <v/>
      </c>
      <c r="E1467" s="11">
        <f>IF($AA1467="","",INDEX('Per Line'!$G$2:$G$4001,$AA1467))</f>
        <v/>
      </c>
      <c r="F1467">
        <f>IF($AA1467="","",INDEX('Per Line'!$H$2:$H$4001,$AA1467)&amp;"")</f>
        <v/>
      </c>
      <c r="G1467">
        <f>IF($AA1467="","",INDEX('Per Line'!$I$2:$I$4001,$AA1467)&amp;"")</f>
        <v/>
      </c>
      <c r="H1467">
        <f>IF($AA1467="","",INDEX('Per Line'!$J$2:$J$4001,$AA1467)&amp;"")</f>
        <v/>
      </c>
      <c r="I1467">
        <f>IF($AA1467="","",INDEX('Per Line'!$K$2:$K$4001,$AA1467)&amp;"")</f>
        <v/>
      </c>
      <c r="J1467">
        <f>IF($AA1467="","",INDEX('Per Line'!$L$2:$L$4001,$AA1467)&amp;"")</f>
        <v/>
      </c>
      <c r="K1467">
        <f>IF($AA1467="","",INDEX('Per Line'!$P$2:$P$4001,$AA1467))</f>
        <v/>
      </c>
      <c r="L1467" s="7">
        <f>IF($AA1467="","",IF(AND(ISNUMBER(N1467),N1467&gt;0,Y1467&gt;N1467),K1467*N1467/100+(Y1467-N1467),K1467*Y1467/100))</f>
        <v/>
      </c>
      <c r="M1467">
        <f>IF($AA1467="","",INDEX('Per Line'!$Z$2:$Z$4001,$AA1467)&amp;"")</f>
        <v/>
      </c>
      <c r="N1467">
        <f>IF($AA1467="","",INDEX('Per Line'!$AG$2:$AG$4001,$AA1467))</f>
        <v/>
      </c>
      <c r="O1467">
        <f>IF($AA1467="","",IF(AND(ISNUMBER(N1467),N1467&gt;0),Y1467&gt;N1467,FALSE))</f>
        <v/>
      </c>
      <c r="P1467" s="7">
        <f>IF($AA1467="","",SUMIFS('Per Line'!$Y$2:$Y$4001,'Per Line'!$E$2:$E$4001,$B1467,'Per Line'!$AQ$2:$AQ$4001,1))</f>
        <v/>
      </c>
      <c r="Q1467">
        <f>IF($AA1467="","",Settings!$C$7)</f>
        <v/>
      </c>
      <c r="R1467" s="7">
        <f>IF($AA1467="","",SUMIFS('Per Line'!$Y$2:$Y$4001,'Per Line'!$E$2:$E$4001,$B1467,'Per Line'!$AP$2:$AP$4001,0,'Per Line'!$AQ$2:$AQ$4001,0))</f>
        <v/>
      </c>
      <c r="S1467" s="7">
        <f>IF($AA1467="","",R1467*Q1467)</f>
        <v/>
      </c>
      <c r="T1467">
        <f>IF($AA1467="","",Settings!$C$6)</f>
        <v/>
      </c>
      <c r="U1467" s="7">
        <f>IF($AA1467="","",SUMIFS('Per Line'!$Y$2:$Y$4001,'Per Line'!$E$2:$E$4001,$B1467,'Per Line'!$AP$2:$AP$4001,1,'Per Line'!$AQ$2:$AQ$4001,0))</f>
        <v/>
      </c>
      <c r="V1467" s="7">
        <f>IF($AA1467="","",U1467*T1467)</f>
        <v/>
      </c>
      <c r="W1467" s="7">
        <f>IF($AA1467="","",V1467+S1467)</f>
        <v/>
      </c>
      <c r="X1467" s="7">
        <f>IF($AA1467="","",Y1467-W1467)</f>
        <v/>
      </c>
      <c r="Y1467" s="7">
        <f>IF($AA1467="","",R1467+U1467+P1467)</f>
        <v/>
      </c>
      <c r="Z1467" s="7">
        <f>IF($AA1467="","",Y1467-W1467-L1467)</f>
        <v/>
      </c>
      <c r="AA1467" s="13">
        <f>IF(ROWS($AA$2:$AA1467)&lt;=MAX('Per Line'!$AO$2:$AO$4001),MATCH(ROWS($AA$2:$AA1467),'Per Line'!$AO$2:$AO$4001,0),"")</f>
        <v/>
      </c>
      <c r="AB1467" s="14">
        <f>IF($AA1467="","",L1467-K1467*Y1467/100)</f>
        <v/>
      </c>
    </row>
    <row r="1468">
      <c r="A1468" s="12" t="n"/>
      <c r="B1468">
        <f>IF($AA1468="","",INDEX('Per Line'!$E$2:$E$4001,$AA1468)&amp;"")</f>
        <v/>
      </c>
      <c r="C1468">
        <f>IF($AA1468="","",INDEX('Per Line'!$A$2:$A$4001,$AA1468)&amp;"")</f>
        <v/>
      </c>
      <c r="D1468">
        <f>IF($AA1468="","",INDEX('Per Line'!$D$2:$D$4001,$AA1468)&amp;"")</f>
        <v/>
      </c>
      <c r="E1468" s="11">
        <f>IF($AA1468="","",INDEX('Per Line'!$G$2:$G$4001,$AA1468))</f>
        <v/>
      </c>
      <c r="F1468">
        <f>IF($AA1468="","",INDEX('Per Line'!$H$2:$H$4001,$AA1468)&amp;"")</f>
        <v/>
      </c>
      <c r="G1468">
        <f>IF($AA1468="","",INDEX('Per Line'!$I$2:$I$4001,$AA1468)&amp;"")</f>
        <v/>
      </c>
      <c r="H1468">
        <f>IF($AA1468="","",INDEX('Per Line'!$J$2:$J$4001,$AA1468)&amp;"")</f>
        <v/>
      </c>
      <c r="I1468">
        <f>IF($AA1468="","",INDEX('Per Line'!$K$2:$K$4001,$AA1468)&amp;"")</f>
        <v/>
      </c>
      <c r="J1468">
        <f>IF($AA1468="","",INDEX('Per Line'!$L$2:$L$4001,$AA1468)&amp;"")</f>
        <v/>
      </c>
      <c r="K1468">
        <f>IF($AA1468="","",INDEX('Per Line'!$P$2:$P$4001,$AA1468))</f>
        <v/>
      </c>
      <c r="L1468" s="7">
        <f>IF($AA1468="","",IF(AND(ISNUMBER(N1468),N1468&gt;0,Y1468&gt;N1468),K1468*N1468/100+(Y1468-N1468),K1468*Y1468/100))</f>
        <v/>
      </c>
      <c r="M1468">
        <f>IF($AA1468="","",INDEX('Per Line'!$Z$2:$Z$4001,$AA1468)&amp;"")</f>
        <v/>
      </c>
      <c r="N1468">
        <f>IF($AA1468="","",INDEX('Per Line'!$AG$2:$AG$4001,$AA1468))</f>
        <v/>
      </c>
      <c r="O1468">
        <f>IF($AA1468="","",IF(AND(ISNUMBER(N1468),N1468&gt;0),Y1468&gt;N1468,FALSE))</f>
        <v/>
      </c>
      <c r="P1468" s="7">
        <f>IF($AA1468="","",SUMIFS('Per Line'!$Y$2:$Y$4001,'Per Line'!$E$2:$E$4001,$B1468,'Per Line'!$AQ$2:$AQ$4001,1))</f>
        <v/>
      </c>
      <c r="Q1468">
        <f>IF($AA1468="","",Settings!$C$7)</f>
        <v/>
      </c>
      <c r="R1468" s="7">
        <f>IF($AA1468="","",SUMIFS('Per Line'!$Y$2:$Y$4001,'Per Line'!$E$2:$E$4001,$B1468,'Per Line'!$AP$2:$AP$4001,0,'Per Line'!$AQ$2:$AQ$4001,0))</f>
        <v/>
      </c>
      <c r="S1468" s="7">
        <f>IF($AA1468="","",R1468*Q1468)</f>
        <v/>
      </c>
      <c r="T1468">
        <f>IF($AA1468="","",Settings!$C$6)</f>
        <v/>
      </c>
      <c r="U1468" s="7">
        <f>IF($AA1468="","",SUMIFS('Per Line'!$Y$2:$Y$4001,'Per Line'!$E$2:$E$4001,$B1468,'Per Line'!$AP$2:$AP$4001,1,'Per Line'!$AQ$2:$AQ$4001,0))</f>
        <v/>
      </c>
      <c r="V1468" s="7">
        <f>IF($AA1468="","",U1468*T1468)</f>
        <v/>
      </c>
      <c r="W1468" s="7">
        <f>IF($AA1468="","",V1468+S1468)</f>
        <v/>
      </c>
      <c r="X1468" s="7">
        <f>IF($AA1468="","",Y1468-W1468)</f>
        <v/>
      </c>
      <c r="Y1468" s="7">
        <f>IF($AA1468="","",R1468+U1468+P1468)</f>
        <v/>
      </c>
      <c r="Z1468" s="7">
        <f>IF($AA1468="","",Y1468-W1468-L1468)</f>
        <v/>
      </c>
      <c r="AA1468" s="13">
        <f>IF(ROWS($AA$2:$AA1468)&lt;=MAX('Per Line'!$AO$2:$AO$4001),MATCH(ROWS($AA$2:$AA1468),'Per Line'!$AO$2:$AO$4001,0),"")</f>
        <v/>
      </c>
      <c r="AB1468" s="14">
        <f>IF($AA1468="","",L1468-K1468*Y1468/100)</f>
        <v/>
      </c>
    </row>
    <row r="1469">
      <c r="A1469" s="12" t="n"/>
      <c r="B1469">
        <f>IF($AA1469="","",INDEX('Per Line'!$E$2:$E$4001,$AA1469)&amp;"")</f>
        <v/>
      </c>
      <c r="C1469">
        <f>IF($AA1469="","",INDEX('Per Line'!$A$2:$A$4001,$AA1469)&amp;"")</f>
        <v/>
      </c>
      <c r="D1469">
        <f>IF($AA1469="","",INDEX('Per Line'!$D$2:$D$4001,$AA1469)&amp;"")</f>
        <v/>
      </c>
      <c r="E1469" s="11">
        <f>IF($AA1469="","",INDEX('Per Line'!$G$2:$G$4001,$AA1469))</f>
        <v/>
      </c>
      <c r="F1469">
        <f>IF($AA1469="","",INDEX('Per Line'!$H$2:$H$4001,$AA1469)&amp;"")</f>
        <v/>
      </c>
      <c r="G1469">
        <f>IF($AA1469="","",INDEX('Per Line'!$I$2:$I$4001,$AA1469)&amp;"")</f>
        <v/>
      </c>
      <c r="H1469">
        <f>IF($AA1469="","",INDEX('Per Line'!$J$2:$J$4001,$AA1469)&amp;"")</f>
        <v/>
      </c>
      <c r="I1469">
        <f>IF($AA1469="","",INDEX('Per Line'!$K$2:$K$4001,$AA1469)&amp;"")</f>
        <v/>
      </c>
      <c r="J1469">
        <f>IF($AA1469="","",INDEX('Per Line'!$L$2:$L$4001,$AA1469)&amp;"")</f>
        <v/>
      </c>
      <c r="K1469">
        <f>IF($AA1469="","",INDEX('Per Line'!$P$2:$P$4001,$AA1469))</f>
        <v/>
      </c>
      <c r="L1469" s="7">
        <f>IF($AA1469="","",IF(AND(ISNUMBER(N1469),N1469&gt;0,Y1469&gt;N1469),K1469*N1469/100+(Y1469-N1469),K1469*Y1469/100))</f>
        <v/>
      </c>
      <c r="M1469">
        <f>IF($AA1469="","",INDEX('Per Line'!$Z$2:$Z$4001,$AA1469)&amp;"")</f>
        <v/>
      </c>
      <c r="N1469">
        <f>IF($AA1469="","",INDEX('Per Line'!$AG$2:$AG$4001,$AA1469))</f>
        <v/>
      </c>
      <c r="O1469">
        <f>IF($AA1469="","",IF(AND(ISNUMBER(N1469),N1469&gt;0),Y1469&gt;N1469,FALSE))</f>
        <v/>
      </c>
      <c r="P1469" s="7">
        <f>IF($AA1469="","",SUMIFS('Per Line'!$Y$2:$Y$4001,'Per Line'!$E$2:$E$4001,$B1469,'Per Line'!$AQ$2:$AQ$4001,1))</f>
        <v/>
      </c>
      <c r="Q1469">
        <f>IF($AA1469="","",Settings!$C$7)</f>
        <v/>
      </c>
      <c r="R1469" s="7">
        <f>IF($AA1469="","",SUMIFS('Per Line'!$Y$2:$Y$4001,'Per Line'!$E$2:$E$4001,$B1469,'Per Line'!$AP$2:$AP$4001,0,'Per Line'!$AQ$2:$AQ$4001,0))</f>
        <v/>
      </c>
      <c r="S1469" s="7">
        <f>IF($AA1469="","",R1469*Q1469)</f>
        <v/>
      </c>
      <c r="T1469">
        <f>IF($AA1469="","",Settings!$C$6)</f>
        <v/>
      </c>
      <c r="U1469" s="7">
        <f>IF($AA1469="","",SUMIFS('Per Line'!$Y$2:$Y$4001,'Per Line'!$E$2:$E$4001,$B1469,'Per Line'!$AP$2:$AP$4001,1,'Per Line'!$AQ$2:$AQ$4001,0))</f>
        <v/>
      </c>
      <c r="V1469" s="7">
        <f>IF($AA1469="","",U1469*T1469)</f>
        <v/>
      </c>
      <c r="W1469" s="7">
        <f>IF($AA1469="","",V1469+S1469)</f>
        <v/>
      </c>
      <c r="X1469" s="7">
        <f>IF($AA1469="","",Y1469-W1469)</f>
        <v/>
      </c>
      <c r="Y1469" s="7">
        <f>IF($AA1469="","",R1469+U1469+P1469)</f>
        <v/>
      </c>
      <c r="Z1469" s="7">
        <f>IF($AA1469="","",Y1469-W1469-L1469)</f>
        <v/>
      </c>
      <c r="AA1469" s="13">
        <f>IF(ROWS($AA$2:$AA1469)&lt;=MAX('Per Line'!$AO$2:$AO$4001),MATCH(ROWS($AA$2:$AA1469),'Per Line'!$AO$2:$AO$4001,0),"")</f>
        <v/>
      </c>
      <c r="AB1469" s="14">
        <f>IF($AA1469="","",L1469-K1469*Y1469/100)</f>
        <v/>
      </c>
    </row>
    <row r="1470">
      <c r="A1470" s="12" t="n"/>
      <c r="B1470">
        <f>IF($AA1470="","",INDEX('Per Line'!$E$2:$E$4001,$AA1470)&amp;"")</f>
        <v/>
      </c>
      <c r="C1470">
        <f>IF($AA1470="","",INDEX('Per Line'!$A$2:$A$4001,$AA1470)&amp;"")</f>
        <v/>
      </c>
      <c r="D1470">
        <f>IF($AA1470="","",INDEX('Per Line'!$D$2:$D$4001,$AA1470)&amp;"")</f>
        <v/>
      </c>
      <c r="E1470" s="11">
        <f>IF($AA1470="","",INDEX('Per Line'!$G$2:$G$4001,$AA1470))</f>
        <v/>
      </c>
      <c r="F1470">
        <f>IF($AA1470="","",INDEX('Per Line'!$H$2:$H$4001,$AA1470)&amp;"")</f>
        <v/>
      </c>
      <c r="G1470">
        <f>IF($AA1470="","",INDEX('Per Line'!$I$2:$I$4001,$AA1470)&amp;"")</f>
        <v/>
      </c>
      <c r="H1470">
        <f>IF($AA1470="","",INDEX('Per Line'!$J$2:$J$4001,$AA1470)&amp;"")</f>
        <v/>
      </c>
      <c r="I1470">
        <f>IF($AA1470="","",INDEX('Per Line'!$K$2:$K$4001,$AA1470)&amp;"")</f>
        <v/>
      </c>
      <c r="J1470">
        <f>IF($AA1470="","",INDEX('Per Line'!$L$2:$L$4001,$AA1470)&amp;"")</f>
        <v/>
      </c>
      <c r="K1470">
        <f>IF($AA1470="","",INDEX('Per Line'!$P$2:$P$4001,$AA1470))</f>
        <v/>
      </c>
      <c r="L1470" s="7">
        <f>IF($AA1470="","",IF(AND(ISNUMBER(N1470),N1470&gt;0,Y1470&gt;N1470),K1470*N1470/100+(Y1470-N1470),K1470*Y1470/100))</f>
        <v/>
      </c>
      <c r="M1470">
        <f>IF($AA1470="","",INDEX('Per Line'!$Z$2:$Z$4001,$AA1470)&amp;"")</f>
        <v/>
      </c>
      <c r="N1470">
        <f>IF($AA1470="","",INDEX('Per Line'!$AG$2:$AG$4001,$AA1470))</f>
        <v/>
      </c>
      <c r="O1470">
        <f>IF($AA1470="","",IF(AND(ISNUMBER(N1470),N1470&gt;0),Y1470&gt;N1470,FALSE))</f>
        <v/>
      </c>
      <c r="P1470" s="7">
        <f>IF($AA1470="","",SUMIFS('Per Line'!$Y$2:$Y$4001,'Per Line'!$E$2:$E$4001,$B1470,'Per Line'!$AQ$2:$AQ$4001,1))</f>
        <v/>
      </c>
      <c r="Q1470">
        <f>IF($AA1470="","",Settings!$C$7)</f>
        <v/>
      </c>
      <c r="R1470" s="7">
        <f>IF($AA1470="","",SUMIFS('Per Line'!$Y$2:$Y$4001,'Per Line'!$E$2:$E$4001,$B1470,'Per Line'!$AP$2:$AP$4001,0,'Per Line'!$AQ$2:$AQ$4001,0))</f>
        <v/>
      </c>
      <c r="S1470" s="7">
        <f>IF($AA1470="","",R1470*Q1470)</f>
        <v/>
      </c>
      <c r="T1470">
        <f>IF($AA1470="","",Settings!$C$6)</f>
        <v/>
      </c>
      <c r="U1470" s="7">
        <f>IF($AA1470="","",SUMIFS('Per Line'!$Y$2:$Y$4001,'Per Line'!$E$2:$E$4001,$B1470,'Per Line'!$AP$2:$AP$4001,1,'Per Line'!$AQ$2:$AQ$4001,0))</f>
        <v/>
      </c>
      <c r="V1470" s="7">
        <f>IF($AA1470="","",U1470*T1470)</f>
        <v/>
      </c>
      <c r="W1470" s="7">
        <f>IF($AA1470="","",V1470+S1470)</f>
        <v/>
      </c>
      <c r="X1470" s="7">
        <f>IF($AA1470="","",Y1470-W1470)</f>
        <v/>
      </c>
      <c r="Y1470" s="7">
        <f>IF($AA1470="","",R1470+U1470+P1470)</f>
        <v/>
      </c>
      <c r="Z1470" s="7">
        <f>IF($AA1470="","",Y1470-W1470-L1470)</f>
        <v/>
      </c>
      <c r="AA1470" s="13">
        <f>IF(ROWS($AA$2:$AA1470)&lt;=MAX('Per Line'!$AO$2:$AO$4001),MATCH(ROWS($AA$2:$AA1470),'Per Line'!$AO$2:$AO$4001,0),"")</f>
        <v/>
      </c>
      <c r="AB1470" s="14">
        <f>IF($AA1470="","",L1470-K1470*Y1470/100)</f>
        <v/>
      </c>
    </row>
    <row r="1471">
      <c r="A1471" s="12" t="n"/>
      <c r="B1471">
        <f>IF($AA1471="","",INDEX('Per Line'!$E$2:$E$4001,$AA1471)&amp;"")</f>
        <v/>
      </c>
      <c r="C1471">
        <f>IF($AA1471="","",INDEX('Per Line'!$A$2:$A$4001,$AA1471)&amp;"")</f>
        <v/>
      </c>
      <c r="D1471">
        <f>IF($AA1471="","",INDEX('Per Line'!$D$2:$D$4001,$AA1471)&amp;"")</f>
        <v/>
      </c>
      <c r="E1471" s="11">
        <f>IF($AA1471="","",INDEX('Per Line'!$G$2:$G$4001,$AA1471))</f>
        <v/>
      </c>
      <c r="F1471">
        <f>IF($AA1471="","",INDEX('Per Line'!$H$2:$H$4001,$AA1471)&amp;"")</f>
        <v/>
      </c>
      <c r="G1471">
        <f>IF($AA1471="","",INDEX('Per Line'!$I$2:$I$4001,$AA1471)&amp;"")</f>
        <v/>
      </c>
      <c r="H1471">
        <f>IF($AA1471="","",INDEX('Per Line'!$J$2:$J$4001,$AA1471)&amp;"")</f>
        <v/>
      </c>
      <c r="I1471">
        <f>IF($AA1471="","",INDEX('Per Line'!$K$2:$K$4001,$AA1471)&amp;"")</f>
        <v/>
      </c>
      <c r="J1471">
        <f>IF($AA1471="","",INDEX('Per Line'!$L$2:$L$4001,$AA1471)&amp;"")</f>
        <v/>
      </c>
      <c r="K1471">
        <f>IF($AA1471="","",INDEX('Per Line'!$P$2:$P$4001,$AA1471))</f>
        <v/>
      </c>
      <c r="L1471" s="7">
        <f>IF($AA1471="","",IF(AND(ISNUMBER(N1471),N1471&gt;0,Y1471&gt;N1471),K1471*N1471/100+(Y1471-N1471),K1471*Y1471/100))</f>
        <v/>
      </c>
      <c r="M1471">
        <f>IF($AA1471="","",INDEX('Per Line'!$Z$2:$Z$4001,$AA1471)&amp;"")</f>
        <v/>
      </c>
      <c r="N1471">
        <f>IF($AA1471="","",INDEX('Per Line'!$AG$2:$AG$4001,$AA1471))</f>
        <v/>
      </c>
      <c r="O1471">
        <f>IF($AA1471="","",IF(AND(ISNUMBER(N1471),N1471&gt;0),Y1471&gt;N1471,FALSE))</f>
        <v/>
      </c>
      <c r="P1471" s="7">
        <f>IF($AA1471="","",SUMIFS('Per Line'!$Y$2:$Y$4001,'Per Line'!$E$2:$E$4001,$B1471,'Per Line'!$AQ$2:$AQ$4001,1))</f>
        <v/>
      </c>
      <c r="Q1471">
        <f>IF($AA1471="","",Settings!$C$7)</f>
        <v/>
      </c>
      <c r="R1471" s="7">
        <f>IF($AA1471="","",SUMIFS('Per Line'!$Y$2:$Y$4001,'Per Line'!$E$2:$E$4001,$B1471,'Per Line'!$AP$2:$AP$4001,0,'Per Line'!$AQ$2:$AQ$4001,0))</f>
        <v/>
      </c>
      <c r="S1471" s="7">
        <f>IF($AA1471="","",R1471*Q1471)</f>
        <v/>
      </c>
      <c r="T1471">
        <f>IF($AA1471="","",Settings!$C$6)</f>
        <v/>
      </c>
      <c r="U1471" s="7">
        <f>IF($AA1471="","",SUMIFS('Per Line'!$Y$2:$Y$4001,'Per Line'!$E$2:$E$4001,$B1471,'Per Line'!$AP$2:$AP$4001,1,'Per Line'!$AQ$2:$AQ$4001,0))</f>
        <v/>
      </c>
      <c r="V1471" s="7">
        <f>IF($AA1471="","",U1471*T1471)</f>
        <v/>
      </c>
      <c r="W1471" s="7">
        <f>IF($AA1471="","",V1471+S1471)</f>
        <v/>
      </c>
      <c r="X1471" s="7">
        <f>IF($AA1471="","",Y1471-W1471)</f>
        <v/>
      </c>
      <c r="Y1471" s="7">
        <f>IF($AA1471="","",R1471+U1471+P1471)</f>
        <v/>
      </c>
      <c r="Z1471" s="7">
        <f>IF($AA1471="","",Y1471-W1471-L1471)</f>
        <v/>
      </c>
      <c r="AA1471" s="13">
        <f>IF(ROWS($AA$2:$AA1471)&lt;=MAX('Per Line'!$AO$2:$AO$4001),MATCH(ROWS($AA$2:$AA1471),'Per Line'!$AO$2:$AO$4001,0),"")</f>
        <v/>
      </c>
      <c r="AB1471" s="14">
        <f>IF($AA1471="","",L1471-K1471*Y1471/100)</f>
        <v/>
      </c>
    </row>
    <row r="1472">
      <c r="A1472" s="12" t="n"/>
      <c r="B1472">
        <f>IF($AA1472="","",INDEX('Per Line'!$E$2:$E$4001,$AA1472)&amp;"")</f>
        <v/>
      </c>
      <c r="C1472">
        <f>IF($AA1472="","",INDEX('Per Line'!$A$2:$A$4001,$AA1472)&amp;"")</f>
        <v/>
      </c>
      <c r="D1472">
        <f>IF($AA1472="","",INDEX('Per Line'!$D$2:$D$4001,$AA1472)&amp;"")</f>
        <v/>
      </c>
      <c r="E1472" s="11">
        <f>IF($AA1472="","",INDEX('Per Line'!$G$2:$G$4001,$AA1472))</f>
        <v/>
      </c>
      <c r="F1472">
        <f>IF($AA1472="","",INDEX('Per Line'!$H$2:$H$4001,$AA1472)&amp;"")</f>
        <v/>
      </c>
      <c r="G1472">
        <f>IF($AA1472="","",INDEX('Per Line'!$I$2:$I$4001,$AA1472)&amp;"")</f>
        <v/>
      </c>
      <c r="H1472">
        <f>IF($AA1472="","",INDEX('Per Line'!$J$2:$J$4001,$AA1472)&amp;"")</f>
        <v/>
      </c>
      <c r="I1472">
        <f>IF($AA1472="","",INDEX('Per Line'!$K$2:$K$4001,$AA1472)&amp;"")</f>
        <v/>
      </c>
      <c r="J1472">
        <f>IF($AA1472="","",INDEX('Per Line'!$L$2:$L$4001,$AA1472)&amp;"")</f>
        <v/>
      </c>
      <c r="K1472">
        <f>IF($AA1472="","",INDEX('Per Line'!$P$2:$P$4001,$AA1472))</f>
        <v/>
      </c>
      <c r="L1472" s="7">
        <f>IF($AA1472="","",IF(AND(ISNUMBER(N1472),N1472&gt;0,Y1472&gt;N1472),K1472*N1472/100+(Y1472-N1472),K1472*Y1472/100))</f>
        <v/>
      </c>
      <c r="M1472">
        <f>IF($AA1472="","",INDEX('Per Line'!$Z$2:$Z$4001,$AA1472)&amp;"")</f>
        <v/>
      </c>
      <c r="N1472">
        <f>IF($AA1472="","",INDEX('Per Line'!$AG$2:$AG$4001,$AA1472))</f>
        <v/>
      </c>
      <c r="O1472">
        <f>IF($AA1472="","",IF(AND(ISNUMBER(N1472),N1472&gt;0),Y1472&gt;N1472,FALSE))</f>
        <v/>
      </c>
      <c r="P1472" s="7">
        <f>IF($AA1472="","",SUMIFS('Per Line'!$Y$2:$Y$4001,'Per Line'!$E$2:$E$4001,$B1472,'Per Line'!$AQ$2:$AQ$4001,1))</f>
        <v/>
      </c>
      <c r="Q1472">
        <f>IF($AA1472="","",Settings!$C$7)</f>
        <v/>
      </c>
      <c r="R1472" s="7">
        <f>IF($AA1472="","",SUMIFS('Per Line'!$Y$2:$Y$4001,'Per Line'!$E$2:$E$4001,$B1472,'Per Line'!$AP$2:$AP$4001,0,'Per Line'!$AQ$2:$AQ$4001,0))</f>
        <v/>
      </c>
      <c r="S1472" s="7">
        <f>IF($AA1472="","",R1472*Q1472)</f>
        <v/>
      </c>
      <c r="T1472">
        <f>IF($AA1472="","",Settings!$C$6)</f>
        <v/>
      </c>
      <c r="U1472" s="7">
        <f>IF($AA1472="","",SUMIFS('Per Line'!$Y$2:$Y$4001,'Per Line'!$E$2:$E$4001,$B1472,'Per Line'!$AP$2:$AP$4001,1,'Per Line'!$AQ$2:$AQ$4001,0))</f>
        <v/>
      </c>
      <c r="V1472" s="7">
        <f>IF($AA1472="","",U1472*T1472)</f>
        <v/>
      </c>
      <c r="W1472" s="7">
        <f>IF($AA1472="","",V1472+S1472)</f>
        <v/>
      </c>
      <c r="X1472" s="7">
        <f>IF($AA1472="","",Y1472-W1472)</f>
        <v/>
      </c>
      <c r="Y1472" s="7">
        <f>IF($AA1472="","",R1472+U1472+P1472)</f>
        <v/>
      </c>
      <c r="Z1472" s="7">
        <f>IF($AA1472="","",Y1472-W1472-L1472)</f>
        <v/>
      </c>
      <c r="AA1472" s="13">
        <f>IF(ROWS($AA$2:$AA1472)&lt;=MAX('Per Line'!$AO$2:$AO$4001),MATCH(ROWS($AA$2:$AA1472),'Per Line'!$AO$2:$AO$4001,0),"")</f>
        <v/>
      </c>
      <c r="AB1472" s="14">
        <f>IF($AA1472="","",L1472-K1472*Y1472/100)</f>
        <v/>
      </c>
    </row>
    <row r="1473">
      <c r="A1473" s="12" t="n"/>
      <c r="B1473">
        <f>IF($AA1473="","",INDEX('Per Line'!$E$2:$E$4001,$AA1473)&amp;"")</f>
        <v/>
      </c>
      <c r="C1473">
        <f>IF($AA1473="","",INDEX('Per Line'!$A$2:$A$4001,$AA1473)&amp;"")</f>
        <v/>
      </c>
      <c r="D1473">
        <f>IF($AA1473="","",INDEX('Per Line'!$D$2:$D$4001,$AA1473)&amp;"")</f>
        <v/>
      </c>
      <c r="E1473" s="11">
        <f>IF($AA1473="","",INDEX('Per Line'!$G$2:$G$4001,$AA1473))</f>
        <v/>
      </c>
      <c r="F1473">
        <f>IF($AA1473="","",INDEX('Per Line'!$H$2:$H$4001,$AA1473)&amp;"")</f>
        <v/>
      </c>
      <c r="G1473">
        <f>IF($AA1473="","",INDEX('Per Line'!$I$2:$I$4001,$AA1473)&amp;"")</f>
        <v/>
      </c>
      <c r="H1473">
        <f>IF($AA1473="","",INDEX('Per Line'!$J$2:$J$4001,$AA1473)&amp;"")</f>
        <v/>
      </c>
      <c r="I1473">
        <f>IF($AA1473="","",INDEX('Per Line'!$K$2:$K$4001,$AA1473)&amp;"")</f>
        <v/>
      </c>
      <c r="J1473">
        <f>IF($AA1473="","",INDEX('Per Line'!$L$2:$L$4001,$AA1473)&amp;"")</f>
        <v/>
      </c>
      <c r="K1473">
        <f>IF($AA1473="","",INDEX('Per Line'!$P$2:$P$4001,$AA1473))</f>
        <v/>
      </c>
      <c r="L1473" s="7">
        <f>IF($AA1473="","",IF(AND(ISNUMBER(N1473),N1473&gt;0,Y1473&gt;N1473),K1473*N1473/100+(Y1473-N1473),K1473*Y1473/100))</f>
        <v/>
      </c>
      <c r="M1473">
        <f>IF($AA1473="","",INDEX('Per Line'!$Z$2:$Z$4001,$AA1473)&amp;"")</f>
        <v/>
      </c>
      <c r="N1473">
        <f>IF($AA1473="","",INDEX('Per Line'!$AG$2:$AG$4001,$AA1473))</f>
        <v/>
      </c>
      <c r="O1473">
        <f>IF($AA1473="","",IF(AND(ISNUMBER(N1473),N1473&gt;0),Y1473&gt;N1473,FALSE))</f>
        <v/>
      </c>
      <c r="P1473" s="7">
        <f>IF($AA1473="","",SUMIFS('Per Line'!$Y$2:$Y$4001,'Per Line'!$E$2:$E$4001,$B1473,'Per Line'!$AQ$2:$AQ$4001,1))</f>
        <v/>
      </c>
      <c r="Q1473">
        <f>IF($AA1473="","",Settings!$C$7)</f>
        <v/>
      </c>
      <c r="R1473" s="7">
        <f>IF($AA1473="","",SUMIFS('Per Line'!$Y$2:$Y$4001,'Per Line'!$E$2:$E$4001,$B1473,'Per Line'!$AP$2:$AP$4001,0,'Per Line'!$AQ$2:$AQ$4001,0))</f>
        <v/>
      </c>
      <c r="S1473" s="7">
        <f>IF($AA1473="","",R1473*Q1473)</f>
        <v/>
      </c>
      <c r="T1473">
        <f>IF($AA1473="","",Settings!$C$6)</f>
        <v/>
      </c>
      <c r="U1473" s="7">
        <f>IF($AA1473="","",SUMIFS('Per Line'!$Y$2:$Y$4001,'Per Line'!$E$2:$E$4001,$B1473,'Per Line'!$AP$2:$AP$4001,1,'Per Line'!$AQ$2:$AQ$4001,0))</f>
        <v/>
      </c>
      <c r="V1473" s="7">
        <f>IF($AA1473="","",U1473*T1473)</f>
        <v/>
      </c>
      <c r="W1473" s="7">
        <f>IF($AA1473="","",V1473+S1473)</f>
        <v/>
      </c>
      <c r="X1473" s="7">
        <f>IF($AA1473="","",Y1473-W1473)</f>
        <v/>
      </c>
      <c r="Y1473" s="7">
        <f>IF($AA1473="","",R1473+U1473+P1473)</f>
        <v/>
      </c>
      <c r="Z1473" s="7">
        <f>IF($AA1473="","",Y1473-W1473-L1473)</f>
        <v/>
      </c>
      <c r="AA1473" s="13">
        <f>IF(ROWS($AA$2:$AA1473)&lt;=MAX('Per Line'!$AO$2:$AO$4001),MATCH(ROWS($AA$2:$AA1473),'Per Line'!$AO$2:$AO$4001,0),"")</f>
        <v/>
      </c>
      <c r="AB1473" s="14">
        <f>IF($AA1473="","",L1473-K1473*Y1473/100)</f>
        <v/>
      </c>
    </row>
    <row r="1474">
      <c r="A1474" s="12" t="n"/>
      <c r="B1474">
        <f>IF($AA1474="","",INDEX('Per Line'!$E$2:$E$4001,$AA1474)&amp;"")</f>
        <v/>
      </c>
      <c r="C1474">
        <f>IF($AA1474="","",INDEX('Per Line'!$A$2:$A$4001,$AA1474)&amp;"")</f>
        <v/>
      </c>
      <c r="D1474">
        <f>IF($AA1474="","",INDEX('Per Line'!$D$2:$D$4001,$AA1474)&amp;"")</f>
        <v/>
      </c>
      <c r="E1474" s="11">
        <f>IF($AA1474="","",INDEX('Per Line'!$G$2:$G$4001,$AA1474))</f>
        <v/>
      </c>
      <c r="F1474">
        <f>IF($AA1474="","",INDEX('Per Line'!$H$2:$H$4001,$AA1474)&amp;"")</f>
        <v/>
      </c>
      <c r="G1474">
        <f>IF($AA1474="","",INDEX('Per Line'!$I$2:$I$4001,$AA1474)&amp;"")</f>
        <v/>
      </c>
      <c r="H1474">
        <f>IF($AA1474="","",INDEX('Per Line'!$J$2:$J$4001,$AA1474)&amp;"")</f>
        <v/>
      </c>
      <c r="I1474">
        <f>IF($AA1474="","",INDEX('Per Line'!$K$2:$K$4001,$AA1474)&amp;"")</f>
        <v/>
      </c>
      <c r="J1474">
        <f>IF($AA1474="","",INDEX('Per Line'!$L$2:$L$4001,$AA1474)&amp;"")</f>
        <v/>
      </c>
      <c r="K1474">
        <f>IF($AA1474="","",INDEX('Per Line'!$P$2:$P$4001,$AA1474))</f>
        <v/>
      </c>
      <c r="L1474" s="7">
        <f>IF($AA1474="","",IF(AND(ISNUMBER(N1474),N1474&gt;0,Y1474&gt;N1474),K1474*N1474/100+(Y1474-N1474),K1474*Y1474/100))</f>
        <v/>
      </c>
      <c r="M1474">
        <f>IF($AA1474="","",INDEX('Per Line'!$Z$2:$Z$4001,$AA1474)&amp;"")</f>
        <v/>
      </c>
      <c r="N1474">
        <f>IF($AA1474="","",INDEX('Per Line'!$AG$2:$AG$4001,$AA1474))</f>
        <v/>
      </c>
      <c r="O1474">
        <f>IF($AA1474="","",IF(AND(ISNUMBER(N1474),N1474&gt;0),Y1474&gt;N1474,FALSE))</f>
        <v/>
      </c>
      <c r="P1474" s="7">
        <f>IF($AA1474="","",SUMIFS('Per Line'!$Y$2:$Y$4001,'Per Line'!$E$2:$E$4001,$B1474,'Per Line'!$AQ$2:$AQ$4001,1))</f>
        <v/>
      </c>
      <c r="Q1474">
        <f>IF($AA1474="","",Settings!$C$7)</f>
        <v/>
      </c>
      <c r="R1474" s="7">
        <f>IF($AA1474="","",SUMIFS('Per Line'!$Y$2:$Y$4001,'Per Line'!$E$2:$E$4001,$B1474,'Per Line'!$AP$2:$AP$4001,0,'Per Line'!$AQ$2:$AQ$4001,0))</f>
        <v/>
      </c>
      <c r="S1474" s="7">
        <f>IF($AA1474="","",R1474*Q1474)</f>
        <v/>
      </c>
      <c r="T1474">
        <f>IF($AA1474="","",Settings!$C$6)</f>
        <v/>
      </c>
      <c r="U1474" s="7">
        <f>IF($AA1474="","",SUMIFS('Per Line'!$Y$2:$Y$4001,'Per Line'!$E$2:$E$4001,$B1474,'Per Line'!$AP$2:$AP$4001,1,'Per Line'!$AQ$2:$AQ$4001,0))</f>
        <v/>
      </c>
      <c r="V1474" s="7">
        <f>IF($AA1474="","",U1474*T1474)</f>
        <v/>
      </c>
      <c r="W1474" s="7">
        <f>IF($AA1474="","",V1474+S1474)</f>
        <v/>
      </c>
      <c r="X1474" s="7">
        <f>IF($AA1474="","",Y1474-W1474)</f>
        <v/>
      </c>
      <c r="Y1474" s="7">
        <f>IF($AA1474="","",R1474+U1474+P1474)</f>
        <v/>
      </c>
      <c r="Z1474" s="7">
        <f>IF($AA1474="","",Y1474-W1474-L1474)</f>
        <v/>
      </c>
      <c r="AA1474" s="13">
        <f>IF(ROWS($AA$2:$AA1474)&lt;=MAX('Per Line'!$AO$2:$AO$4001),MATCH(ROWS($AA$2:$AA1474),'Per Line'!$AO$2:$AO$4001,0),"")</f>
        <v/>
      </c>
      <c r="AB1474" s="14">
        <f>IF($AA1474="","",L1474-K1474*Y1474/100)</f>
        <v/>
      </c>
    </row>
    <row r="1475">
      <c r="A1475" s="12" t="n"/>
      <c r="B1475">
        <f>IF($AA1475="","",INDEX('Per Line'!$E$2:$E$4001,$AA1475)&amp;"")</f>
        <v/>
      </c>
      <c r="C1475">
        <f>IF($AA1475="","",INDEX('Per Line'!$A$2:$A$4001,$AA1475)&amp;"")</f>
        <v/>
      </c>
      <c r="D1475">
        <f>IF($AA1475="","",INDEX('Per Line'!$D$2:$D$4001,$AA1475)&amp;"")</f>
        <v/>
      </c>
      <c r="E1475" s="11">
        <f>IF($AA1475="","",INDEX('Per Line'!$G$2:$G$4001,$AA1475))</f>
        <v/>
      </c>
      <c r="F1475">
        <f>IF($AA1475="","",INDEX('Per Line'!$H$2:$H$4001,$AA1475)&amp;"")</f>
        <v/>
      </c>
      <c r="G1475">
        <f>IF($AA1475="","",INDEX('Per Line'!$I$2:$I$4001,$AA1475)&amp;"")</f>
        <v/>
      </c>
      <c r="H1475">
        <f>IF($AA1475="","",INDEX('Per Line'!$J$2:$J$4001,$AA1475)&amp;"")</f>
        <v/>
      </c>
      <c r="I1475">
        <f>IF($AA1475="","",INDEX('Per Line'!$K$2:$K$4001,$AA1475)&amp;"")</f>
        <v/>
      </c>
      <c r="J1475">
        <f>IF($AA1475="","",INDEX('Per Line'!$L$2:$L$4001,$AA1475)&amp;"")</f>
        <v/>
      </c>
      <c r="K1475">
        <f>IF($AA1475="","",INDEX('Per Line'!$P$2:$P$4001,$AA1475))</f>
        <v/>
      </c>
      <c r="L1475" s="7">
        <f>IF($AA1475="","",IF(AND(ISNUMBER(N1475),N1475&gt;0,Y1475&gt;N1475),K1475*N1475/100+(Y1475-N1475),K1475*Y1475/100))</f>
        <v/>
      </c>
      <c r="M1475">
        <f>IF($AA1475="","",INDEX('Per Line'!$Z$2:$Z$4001,$AA1475)&amp;"")</f>
        <v/>
      </c>
      <c r="N1475">
        <f>IF($AA1475="","",INDEX('Per Line'!$AG$2:$AG$4001,$AA1475))</f>
        <v/>
      </c>
      <c r="O1475">
        <f>IF($AA1475="","",IF(AND(ISNUMBER(N1475),N1475&gt;0),Y1475&gt;N1475,FALSE))</f>
        <v/>
      </c>
      <c r="P1475" s="7">
        <f>IF($AA1475="","",SUMIFS('Per Line'!$Y$2:$Y$4001,'Per Line'!$E$2:$E$4001,$B1475,'Per Line'!$AQ$2:$AQ$4001,1))</f>
        <v/>
      </c>
      <c r="Q1475">
        <f>IF($AA1475="","",Settings!$C$7)</f>
        <v/>
      </c>
      <c r="R1475" s="7">
        <f>IF($AA1475="","",SUMIFS('Per Line'!$Y$2:$Y$4001,'Per Line'!$E$2:$E$4001,$B1475,'Per Line'!$AP$2:$AP$4001,0,'Per Line'!$AQ$2:$AQ$4001,0))</f>
        <v/>
      </c>
      <c r="S1475" s="7">
        <f>IF($AA1475="","",R1475*Q1475)</f>
        <v/>
      </c>
      <c r="T1475">
        <f>IF($AA1475="","",Settings!$C$6)</f>
        <v/>
      </c>
      <c r="U1475" s="7">
        <f>IF($AA1475="","",SUMIFS('Per Line'!$Y$2:$Y$4001,'Per Line'!$E$2:$E$4001,$B1475,'Per Line'!$AP$2:$AP$4001,1,'Per Line'!$AQ$2:$AQ$4001,0))</f>
        <v/>
      </c>
      <c r="V1475" s="7">
        <f>IF($AA1475="","",U1475*T1475)</f>
        <v/>
      </c>
      <c r="W1475" s="7">
        <f>IF($AA1475="","",V1475+S1475)</f>
        <v/>
      </c>
      <c r="X1475" s="7">
        <f>IF($AA1475="","",Y1475-W1475)</f>
        <v/>
      </c>
      <c r="Y1475" s="7">
        <f>IF($AA1475="","",R1475+U1475+P1475)</f>
        <v/>
      </c>
      <c r="Z1475" s="7">
        <f>IF($AA1475="","",Y1475-W1475-L1475)</f>
        <v/>
      </c>
      <c r="AA1475" s="13">
        <f>IF(ROWS($AA$2:$AA1475)&lt;=MAX('Per Line'!$AO$2:$AO$4001),MATCH(ROWS($AA$2:$AA1475),'Per Line'!$AO$2:$AO$4001,0),"")</f>
        <v/>
      </c>
      <c r="AB1475" s="14">
        <f>IF($AA1475="","",L1475-K1475*Y1475/100)</f>
        <v/>
      </c>
    </row>
    <row r="1476">
      <c r="A1476" s="12" t="n"/>
      <c r="B1476">
        <f>IF($AA1476="","",INDEX('Per Line'!$E$2:$E$4001,$AA1476)&amp;"")</f>
        <v/>
      </c>
      <c r="C1476">
        <f>IF($AA1476="","",INDEX('Per Line'!$A$2:$A$4001,$AA1476)&amp;"")</f>
        <v/>
      </c>
      <c r="D1476">
        <f>IF($AA1476="","",INDEX('Per Line'!$D$2:$D$4001,$AA1476)&amp;"")</f>
        <v/>
      </c>
      <c r="E1476" s="11">
        <f>IF($AA1476="","",INDEX('Per Line'!$G$2:$G$4001,$AA1476))</f>
        <v/>
      </c>
      <c r="F1476">
        <f>IF($AA1476="","",INDEX('Per Line'!$H$2:$H$4001,$AA1476)&amp;"")</f>
        <v/>
      </c>
      <c r="G1476">
        <f>IF($AA1476="","",INDEX('Per Line'!$I$2:$I$4001,$AA1476)&amp;"")</f>
        <v/>
      </c>
      <c r="H1476">
        <f>IF($AA1476="","",INDEX('Per Line'!$J$2:$J$4001,$AA1476)&amp;"")</f>
        <v/>
      </c>
      <c r="I1476">
        <f>IF($AA1476="","",INDEX('Per Line'!$K$2:$K$4001,$AA1476)&amp;"")</f>
        <v/>
      </c>
      <c r="J1476">
        <f>IF($AA1476="","",INDEX('Per Line'!$L$2:$L$4001,$AA1476)&amp;"")</f>
        <v/>
      </c>
      <c r="K1476">
        <f>IF($AA1476="","",INDEX('Per Line'!$P$2:$P$4001,$AA1476))</f>
        <v/>
      </c>
      <c r="L1476" s="7">
        <f>IF($AA1476="","",IF(AND(ISNUMBER(N1476),N1476&gt;0,Y1476&gt;N1476),K1476*N1476/100+(Y1476-N1476),K1476*Y1476/100))</f>
        <v/>
      </c>
      <c r="M1476">
        <f>IF($AA1476="","",INDEX('Per Line'!$Z$2:$Z$4001,$AA1476)&amp;"")</f>
        <v/>
      </c>
      <c r="N1476">
        <f>IF($AA1476="","",INDEX('Per Line'!$AG$2:$AG$4001,$AA1476))</f>
        <v/>
      </c>
      <c r="O1476">
        <f>IF($AA1476="","",IF(AND(ISNUMBER(N1476),N1476&gt;0),Y1476&gt;N1476,FALSE))</f>
        <v/>
      </c>
      <c r="P1476" s="7">
        <f>IF($AA1476="","",SUMIFS('Per Line'!$Y$2:$Y$4001,'Per Line'!$E$2:$E$4001,$B1476,'Per Line'!$AQ$2:$AQ$4001,1))</f>
        <v/>
      </c>
      <c r="Q1476">
        <f>IF($AA1476="","",Settings!$C$7)</f>
        <v/>
      </c>
      <c r="R1476" s="7">
        <f>IF($AA1476="","",SUMIFS('Per Line'!$Y$2:$Y$4001,'Per Line'!$E$2:$E$4001,$B1476,'Per Line'!$AP$2:$AP$4001,0,'Per Line'!$AQ$2:$AQ$4001,0))</f>
        <v/>
      </c>
      <c r="S1476" s="7">
        <f>IF($AA1476="","",R1476*Q1476)</f>
        <v/>
      </c>
      <c r="T1476">
        <f>IF($AA1476="","",Settings!$C$6)</f>
        <v/>
      </c>
      <c r="U1476" s="7">
        <f>IF($AA1476="","",SUMIFS('Per Line'!$Y$2:$Y$4001,'Per Line'!$E$2:$E$4001,$B1476,'Per Line'!$AP$2:$AP$4001,1,'Per Line'!$AQ$2:$AQ$4001,0))</f>
        <v/>
      </c>
      <c r="V1476" s="7">
        <f>IF($AA1476="","",U1476*T1476)</f>
        <v/>
      </c>
      <c r="W1476" s="7">
        <f>IF($AA1476="","",V1476+S1476)</f>
        <v/>
      </c>
      <c r="X1476" s="7">
        <f>IF($AA1476="","",Y1476-W1476)</f>
        <v/>
      </c>
      <c r="Y1476" s="7">
        <f>IF($AA1476="","",R1476+U1476+P1476)</f>
        <v/>
      </c>
      <c r="Z1476" s="7">
        <f>IF($AA1476="","",Y1476-W1476-L1476)</f>
        <v/>
      </c>
      <c r="AA1476" s="13">
        <f>IF(ROWS($AA$2:$AA1476)&lt;=MAX('Per Line'!$AO$2:$AO$4001),MATCH(ROWS($AA$2:$AA1476),'Per Line'!$AO$2:$AO$4001,0),"")</f>
        <v/>
      </c>
      <c r="AB1476" s="14">
        <f>IF($AA1476="","",L1476-K1476*Y1476/100)</f>
        <v/>
      </c>
    </row>
    <row r="1477">
      <c r="A1477" s="12" t="n"/>
      <c r="B1477">
        <f>IF($AA1477="","",INDEX('Per Line'!$E$2:$E$4001,$AA1477)&amp;"")</f>
        <v/>
      </c>
      <c r="C1477">
        <f>IF($AA1477="","",INDEX('Per Line'!$A$2:$A$4001,$AA1477)&amp;"")</f>
        <v/>
      </c>
      <c r="D1477">
        <f>IF($AA1477="","",INDEX('Per Line'!$D$2:$D$4001,$AA1477)&amp;"")</f>
        <v/>
      </c>
      <c r="E1477" s="11">
        <f>IF($AA1477="","",INDEX('Per Line'!$G$2:$G$4001,$AA1477))</f>
        <v/>
      </c>
      <c r="F1477">
        <f>IF($AA1477="","",INDEX('Per Line'!$H$2:$H$4001,$AA1477)&amp;"")</f>
        <v/>
      </c>
      <c r="G1477">
        <f>IF($AA1477="","",INDEX('Per Line'!$I$2:$I$4001,$AA1477)&amp;"")</f>
        <v/>
      </c>
      <c r="H1477">
        <f>IF($AA1477="","",INDEX('Per Line'!$J$2:$J$4001,$AA1477)&amp;"")</f>
        <v/>
      </c>
      <c r="I1477">
        <f>IF($AA1477="","",INDEX('Per Line'!$K$2:$K$4001,$AA1477)&amp;"")</f>
        <v/>
      </c>
      <c r="J1477">
        <f>IF($AA1477="","",INDEX('Per Line'!$L$2:$L$4001,$AA1477)&amp;"")</f>
        <v/>
      </c>
      <c r="K1477">
        <f>IF($AA1477="","",INDEX('Per Line'!$P$2:$P$4001,$AA1477))</f>
        <v/>
      </c>
      <c r="L1477" s="7">
        <f>IF($AA1477="","",IF(AND(ISNUMBER(N1477),N1477&gt;0,Y1477&gt;N1477),K1477*N1477/100+(Y1477-N1477),K1477*Y1477/100))</f>
        <v/>
      </c>
      <c r="M1477">
        <f>IF($AA1477="","",INDEX('Per Line'!$Z$2:$Z$4001,$AA1477)&amp;"")</f>
        <v/>
      </c>
      <c r="N1477">
        <f>IF($AA1477="","",INDEX('Per Line'!$AG$2:$AG$4001,$AA1477))</f>
        <v/>
      </c>
      <c r="O1477">
        <f>IF($AA1477="","",IF(AND(ISNUMBER(N1477),N1477&gt;0),Y1477&gt;N1477,FALSE))</f>
        <v/>
      </c>
      <c r="P1477" s="7">
        <f>IF($AA1477="","",SUMIFS('Per Line'!$Y$2:$Y$4001,'Per Line'!$E$2:$E$4001,$B1477,'Per Line'!$AQ$2:$AQ$4001,1))</f>
        <v/>
      </c>
      <c r="Q1477">
        <f>IF($AA1477="","",Settings!$C$7)</f>
        <v/>
      </c>
      <c r="R1477" s="7">
        <f>IF($AA1477="","",SUMIFS('Per Line'!$Y$2:$Y$4001,'Per Line'!$E$2:$E$4001,$B1477,'Per Line'!$AP$2:$AP$4001,0,'Per Line'!$AQ$2:$AQ$4001,0))</f>
        <v/>
      </c>
      <c r="S1477" s="7">
        <f>IF($AA1477="","",R1477*Q1477)</f>
        <v/>
      </c>
      <c r="T1477">
        <f>IF($AA1477="","",Settings!$C$6)</f>
        <v/>
      </c>
      <c r="U1477" s="7">
        <f>IF($AA1477="","",SUMIFS('Per Line'!$Y$2:$Y$4001,'Per Line'!$E$2:$E$4001,$B1477,'Per Line'!$AP$2:$AP$4001,1,'Per Line'!$AQ$2:$AQ$4001,0))</f>
        <v/>
      </c>
      <c r="V1477" s="7">
        <f>IF($AA1477="","",U1477*T1477)</f>
        <v/>
      </c>
      <c r="W1477" s="7">
        <f>IF($AA1477="","",V1477+S1477)</f>
        <v/>
      </c>
      <c r="X1477" s="7">
        <f>IF($AA1477="","",Y1477-W1477)</f>
        <v/>
      </c>
      <c r="Y1477" s="7">
        <f>IF($AA1477="","",R1477+U1477+P1477)</f>
        <v/>
      </c>
      <c r="Z1477" s="7">
        <f>IF($AA1477="","",Y1477-W1477-L1477)</f>
        <v/>
      </c>
      <c r="AA1477" s="13">
        <f>IF(ROWS($AA$2:$AA1477)&lt;=MAX('Per Line'!$AO$2:$AO$4001),MATCH(ROWS($AA$2:$AA1477),'Per Line'!$AO$2:$AO$4001,0),"")</f>
        <v/>
      </c>
      <c r="AB1477" s="14">
        <f>IF($AA1477="","",L1477-K1477*Y1477/100)</f>
        <v/>
      </c>
    </row>
    <row r="1478">
      <c r="A1478" s="12" t="n"/>
      <c r="B1478">
        <f>IF($AA1478="","",INDEX('Per Line'!$E$2:$E$4001,$AA1478)&amp;"")</f>
        <v/>
      </c>
      <c r="C1478">
        <f>IF($AA1478="","",INDEX('Per Line'!$A$2:$A$4001,$AA1478)&amp;"")</f>
        <v/>
      </c>
      <c r="D1478">
        <f>IF($AA1478="","",INDEX('Per Line'!$D$2:$D$4001,$AA1478)&amp;"")</f>
        <v/>
      </c>
      <c r="E1478" s="11">
        <f>IF($AA1478="","",INDEX('Per Line'!$G$2:$G$4001,$AA1478))</f>
        <v/>
      </c>
      <c r="F1478">
        <f>IF($AA1478="","",INDEX('Per Line'!$H$2:$H$4001,$AA1478)&amp;"")</f>
        <v/>
      </c>
      <c r="G1478">
        <f>IF($AA1478="","",INDEX('Per Line'!$I$2:$I$4001,$AA1478)&amp;"")</f>
        <v/>
      </c>
      <c r="H1478">
        <f>IF($AA1478="","",INDEX('Per Line'!$J$2:$J$4001,$AA1478)&amp;"")</f>
        <v/>
      </c>
      <c r="I1478">
        <f>IF($AA1478="","",INDEX('Per Line'!$K$2:$K$4001,$AA1478)&amp;"")</f>
        <v/>
      </c>
      <c r="J1478">
        <f>IF($AA1478="","",INDEX('Per Line'!$L$2:$L$4001,$AA1478)&amp;"")</f>
        <v/>
      </c>
      <c r="K1478">
        <f>IF($AA1478="","",INDEX('Per Line'!$P$2:$P$4001,$AA1478))</f>
        <v/>
      </c>
      <c r="L1478" s="7">
        <f>IF($AA1478="","",IF(AND(ISNUMBER(N1478),N1478&gt;0,Y1478&gt;N1478),K1478*N1478/100+(Y1478-N1478),K1478*Y1478/100))</f>
        <v/>
      </c>
      <c r="M1478">
        <f>IF($AA1478="","",INDEX('Per Line'!$Z$2:$Z$4001,$AA1478)&amp;"")</f>
        <v/>
      </c>
      <c r="N1478">
        <f>IF($AA1478="","",INDEX('Per Line'!$AG$2:$AG$4001,$AA1478))</f>
        <v/>
      </c>
      <c r="O1478">
        <f>IF($AA1478="","",IF(AND(ISNUMBER(N1478),N1478&gt;0),Y1478&gt;N1478,FALSE))</f>
        <v/>
      </c>
      <c r="P1478" s="7">
        <f>IF($AA1478="","",SUMIFS('Per Line'!$Y$2:$Y$4001,'Per Line'!$E$2:$E$4001,$B1478,'Per Line'!$AQ$2:$AQ$4001,1))</f>
        <v/>
      </c>
      <c r="Q1478">
        <f>IF($AA1478="","",Settings!$C$7)</f>
        <v/>
      </c>
      <c r="R1478" s="7">
        <f>IF($AA1478="","",SUMIFS('Per Line'!$Y$2:$Y$4001,'Per Line'!$E$2:$E$4001,$B1478,'Per Line'!$AP$2:$AP$4001,0,'Per Line'!$AQ$2:$AQ$4001,0))</f>
        <v/>
      </c>
      <c r="S1478" s="7">
        <f>IF($AA1478="","",R1478*Q1478)</f>
        <v/>
      </c>
      <c r="T1478">
        <f>IF($AA1478="","",Settings!$C$6)</f>
        <v/>
      </c>
      <c r="U1478" s="7">
        <f>IF($AA1478="","",SUMIFS('Per Line'!$Y$2:$Y$4001,'Per Line'!$E$2:$E$4001,$B1478,'Per Line'!$AP$2:$AP$4001,1,'Per Line'!$AQ$2:$AQ$4001,0))</f>
        <v/>
      </c>
      <c r="V1478" s="7">
        <f>IF($AA1478="","",U1478*T1478)</f>
        <v/>
      </c>
      <c r="W1478" s="7">
        <f>IF($AA1478="","",V1478+S1478)</f>
        <v/>
      </c>
      <c r="X1478" s="7">
        <f>IF($AA1478="","",Y1478-W1478)</f>
        <v/>
      </c>
      <c r="Y1478" s="7">
        <f>IF($AA1478="","",R1478+U1478+P1478)</f>
        <v/>
      </c>
      <c r="Z1478" s="7">
        <f>IF($AA1478="","",Y1478-W1478-L1478)</f>
        <v/>
      </c>
      <c r="AA1478" s="13">
        <f>IF(ROWS($AA$2:$AA1478)&lt;=MAX('Per Line'!$AO$2:$AO$4001),MATCH(ROWS($AA$2:$AA1478),'Per Line'!$AO$2:$AO$4001,0),"")</f>
        <v/>
      </c>
      <c r="AB1478" s="14">
        <f>IF($AA1478="","",L1478-K1478*Y1478/100)</f>
        <v/>
      </c>
    </row>
    <row r="1479">
      <c r="A1479" s="12" t="n"/>
      <c r="B1479">
        <f>IF($AA1479="","",INDEX('Per Line'!$E$2:$E$4001,$AA1479)&amp;"")</f>
        <v/>
      </c>
      <c r="C1479">
        <f>IF($AA1479="","",INDEX('Per Line'!$A$2:$A$4001,$AA1479)&amp;"")</f>
        <v/>
      </c>
      <c r="D1479">
        <f>IF($AA1479="","",INDEX('Per Line'!$D$2:$D$4001,$AA1479)&amp;"")</f>
        <v/>
      </c>
      <c r="E1479" s="11">
        <f>IF($AA1479="","",INDEX('Per Line'!$G$2:$G$4001,$AA1479))</f>
        <v/>
      </c>
      <c r="F1479">
        <f>IF($AA1479="","",INDEX('Per Line'!$H$2:$H$4001,$AA1479)&amp;"")</f>
        <v/>
      </c>
      <c r="G1479">
        <f>IF($AA1479="","",INDEX('Per Line'!$I$2:$I$4001,$AA1479)&amp;"")</f>
        <v/>
      </c>
      <c r="H1479">
        <f>IF($AA1479="","",INDEX('Per Line'!$J$2:$J$4001,$AA1479)&amp;"")</f>
        <v/>
      </c>
      <c r="I1479">
        <f>IF($AA1479="","",INDEX('Per Line'!$K$2:$K$4001,$AA1479)&amp;"")</f>
        <v/>
      </c>
      <c r="J1479">
        <f>IF($AA1479="","",INDEX('Per Line'!$L$2:$L$4001,$AA1479)&amp;"")</f>
        <v/>
      </c>
      <c r="K1479">
        <f>IF($AA1479="","",INDEX('Per Line'!$P$2:$P$4001,$AA1479))</f>
        <v/>
      </c>
      <c r="L1479" s="7">
        <f>IF($AA1479="","",IF(AND(ISNUMBER(N1479),N1479&gt;0,Y1479&gt;N1479),K1479*N1479/100+(Y1479-N1479),K1479*Y1479/100))</f>
        <v/>
      </c>
      <c r="M1479">
        <f>IF($AA1479="","",INDEX('Per Line'!$Z$2:$Z$4001,$AA1479)&amp;"")</f>
        <v/>
      </c>
      <c r="N1479">
        <f>IF($AA1479="","",INDEX('Per Line'!$AG$2:$AG$4001,$AA1479))</f>
        <v/>
      </c>
      <c r="O1479">
        <f>IF($AA1479="","",IF(AND(ISNUMBER(N1479),N1479&gt;0),Y1479&gt;N1479,FALSE))</f>
        <v/>
      </c>
      <c r="P1479" s="7">
        <f>IF($AA1479="","",SUMIFS('Per Line'!$Y$2:$Y$4001,'Per Line'!$E$2:$E$4001,$B1479,'Per Line'!$AQ$2:$AQ$4001,1))</f>
        <v/>
      </c>
      <c r="Q1479">
        <f>IF($AA1479="","",Settings!$C$7)</f>
        <v/>
      </c>
      <c r="R1479" s="7">
        <f>IF($AA1479="","",SUMIFS('Per Line'!$Y$2:$Y$4001,'Per Line'!$E$2:$E$4001,$B1479,'Per Line'!$AP$2:$AP$4001,0,'Per Line'!$AQ$2:$AQ$4001,0))</f>
        <v/>
      </c>
      <c r="S1479" s="7">
        <f>IF($AA1479="","",R1479*Q1479)</f>
        <v/>
      </c>
      <c r="T1479">
        <f>IF($AA1479="","",Settings!$C$6)</f>
        <v/>
      </c>
      <c r="U1479" s="7">
        <f>IF($AA1479="","",SUMIFS('Per Line'!$Y$2:$Y$4001,'Per Line'!$E$2:$E$4001,$B1479,'Per Line'!$AP$2:$AP$4001,1,'Per Line'!$AQ$2:$AQ$4001,0))</f>
        <v/>
      </c>
      <c r="V1479" s="7">
        <f>IF($AA1479="","",U1479*T1479)</f>
        <v/>
      </c>
      <c r="W1479" s="7">
        <f>IF($AA1479="","",V1479+S1479)</f>
        <v/>
      </c>
      <c r="X1479" s="7">
        <f>IF($AA1479="","",Y1479-W1479)</f>
        <v/>
      </c>
      <c r="Y1479" s="7">
        <f>IF($AA1479="","",R1479+U1479+P1479)</f>
        <v/>
      </c>
      <c r="Z1479" s="7">
        <f>IF($AA1479="","",Y1479-W1479-L1479)</f>
        <v/>
      </c>
      <c r="AA1479" s="13">
        <f>IF(ROWS($AA$2:$AA1479)&lt;=MAX('Per Line'!$AO$2:$AO$4001),MATCH(ROWS($AA$2:$AA1479),'Per Line'!$AO$2:$AO$4001,0),"")</f>
        <v/>
      </c>
      <c r="AB1479" s="14">
        <f>IF($AA1479="","",L1479-K1479*Y1479/100)</f>
        <v/>
      </c>
    </row>
    <row r="1480">
      <c r="A1480" s="12" t="n"/>
      <c r="B1480">
        <f>IF($AA1480="","",INDEX('Per Line'!$E$2:$E$4001,$AA1480)&amp;"")</f>
        <v/>
      </c>
      <c r="C1480">
        <f>IF($AA1480="","",INDEX('Per Line'!$A$2:$A$4001,$AA1480)&amp;"")</f>
        <v/>
      </c>
      <c r="D1480">
        <f>IF($AA1480="","",INDEX('Per Line'!$D$2:$D$4001,$AA1480)&amp;"")</f>
        <v/>
      </c>
      <c r="E1480" s="11">
        <f>IF($AA1480="","",INDEX('Per Line'!$G$2:$G$4001,$AA1480))</f>
        <v/>
      </c>
      <c r="F1480">
        <f>IF($AA1480="","",INDEX('Per Line'!$H$2:$H$4001,$AA1480)&amp;"")</f>
        <v/>
      </c>
      <c r="G1480">
        <f>IF($AA1480="","",INDEX('Per Line'!$I$2:$I$4001,$AA1480)&amp;"")</f>
        <v/>
      </c>
      <c r="H1480">
        <f>IF($AA1480="","",INDEX('Per Line'!$J$2:$J$4001,$AA1480)&amp;"")</f>
        <v/>
      </c>
      <c r="I1480">
        <f>IF($AA1480="","",INDEX('Per Line'!$K$2:$K$4001,$AA1480)&amp;"")</f>
        <v/>
      </c>
      <c r="J1480">
        <f>IF($AA1480="","",INDEX('Per Line'!$L$2:$L$4001,$AA1480)&amp;"")</f>
        <v/>
      </c>
      <c r="K1480">
        <f>IF($AA1480="","",INDEX('Per Line'!$P$2:$P$4001,$AA1480))</f>
        <v/>
      </c>
      <c r="L1480" s="7">
        <f>IF($AA1480="","",IF(AND(ISNUMBER(N1480),N1480&gt;0,Y1480&gt;N1480),K1480*N1480/100+(Y1480-N1480),K1480*Y1480/100))</f>
        <v/>
      </c>
      <c r="M1480">
        <f>IF($AA1480="","",INDEX('Per Line'!$Z$2:$Z$4001,$AA1480)&amp;"")</f>
        <v/>
      </c>
      <c r="N1480">
        <f>IF($AA1480="","",INDEX('Per Line'!$AG$2:$AG$4001,$AA1480))</f>
        <v/>
      </c>
      <c r="O1480">
        <f>IF($AA1480="","",IF(AND(ISNUMBER(N1480),N1480&gt;0),Y1480&gt;N1480,FALSE))</f>
        <v/>
      </c>
      <c r="P1480" s="7">
        <f>IF($AA1480="","",SUMIFS('Per Line'!$Y$2:$Y$4001,'Per Line'!$E$2:$E$4001,$B1480,'Per Line'!$AQ$2:$AQ$4001,1))</f>
        <v/>
      </c>
      <c r="Q1480">
        <f>IF($AA1480="","",Settings!$C$7)</f>
        <v/>
      </c>
      <c r="R1480" s="7">
        <f>IF($AA1480="","",SUMIFS('Per Line'!$Y$2:$Y$4001,'Per Line'!$E$2:$E$4001,$B1480,'Per Line'!$AP$2:$AP$4001,0,'Per Line'!$AQ$2:$AQ$4001,0))</f>
        <v/>
      </c>
      <c r="S1480" s="7">
        <f>IF($AA1480="","",R1480*Q1480)</f>
        <v/>
      </c>
      <c r="T1480">
        <f>IF($AA1480="","",Settings!$C$6)</f>
        <v/>
      </c>
      <c r="U1480" s="7">
        <f>IF($AA1480="","",SUMIFS('Per Line'!$Y$2:$Y$4001,'Per Line'!$E$2:$E$4001,$B1480,'Per Line'!$AP$2:$AP$4001,1,'Per Line'!$AQ$2:$AQ$4001,0))</f>
        <v/>
      </c>
      <c r="V1480" s="7">
        <f>IF($AA1480="","",U1480*T1480)</f>
        <v/>
      </c>
      <c r="W1480" s="7">
        <f>IF($AA1480="","",V1480+S1480)</f>
        <v/>
      </c>
      <c r="X1480" s="7">
        <f>IF($AA1480="","",Y1480-W1480)</f>
        <v/>
      </c>
      <c r="Y1480" s="7">
        <f>IF($AA1480="","",R1480+U1480+P1480)</f>
        <v/>
      </c>
      <c r="Z1480" s="7">
        <f>IF($AA1480="","",Y1480-W1480-L1480)</f>
        <v/>
      </c>
      <c r="AA1480" s="13">
        <f>IF(ROWS($AA$2:$AA1480)&lt;=MAX('Per Line'!$AO$2:$AO$4001),MATCH(ROWS($AA$2:$AA1480),'Per Line'!$AO$2:$AO$4001,0),"")</f>
        <v/>
      </c>
      <c r="AB1480" s="14">
        <f>IF($AA1480="","",L1480-K1480*Y1480/100)</f>
        <v/>
      </c>
    </row>
    <row r="1481">
      <c r="A1481" s="12" t="n"/>
      <c r="B1481">
        <f>IF($AA1481="","",INDEX('Per Line'!$E$2:$E$4001,$AA1481)&amp;"")</f>
        <v/>
      </c>
      <c r="C1481">
        <f>IF($AA1481="","",INDEX('Per Line'!$A$2:$A$4001,$AA1481)&amp;"")</f>
        <v/>
      </c>
      <c r="D1481">
        <f>IF($AA1481="","",INDEX('Per Line'!$D$2:$D$4001,$AA1481)&amp;"")</f>
        <v/>
      </c>
      <c r="E1481" s="11">
        <f>IF($AA1481="","",INDEX('Per Line'!$G$2:$G$4001,$AA1481))</f>
        <v/>
      </c>
      <c r="F1481">
        <f>IF($AA1481="","",INDEX('Per Line'!$H$2:$H$4001,$AA1481)&amp;"")</f>
        <v/>
      </c>
      <c r="G1481">
        <f>IF($AA1481="","",INDEX('Per Line'!$I$2:$I$4001,$AA1481)&amp;"")</f>
        <v/>
      </c>
      <c r="H1481">
        <f>IF($AA1481="","",INDEX('Per Line'!$J$2:$J$4001,$AA1481)&amp;"")</f>
        <v/>
      </c>
      <c r="I1481">
        <f>IF($AA1481="","",INDEX('Per Line'!$K$2:$K$4001,$AA1481)&amp;"")</f>
        <v/>
      </c>
      <c r="J1481">
        <f>IF($AA1481="","",INDEX('Per Line'!$L$2:$L$4001,$AA1481)&amp;"")</f>
        <v/>
      </c>
      <c r="K1481">
        <f>IF($AA1481="","",INDEX('Per Line'!$P$2:$P$4001,$AA1481))</f>
        <v/>
      </c>
      <c r="L1481" s="7">
        <f>IF($AA1481="","",IF(AND(ISNUMBER(N1481),N1481&gt;0,Y1481&gt;N1481),K1481*N1481/100+(Y1481-N1481),K1481*Y1481/100))</f>
        <v/>
      </c>
      <c r="M1481">
        <f>IF($AA1481="","",INDEX('Per Line'!$Z$2:$Z$4001,$AA1481)&amp;"")</f>
        <v/>
      </c>
      <c r="N1481">
        <f>IF($AA1481="","",INDEX('Per Line'!$AG$2:$AG$4001,$AA1481))</f>
        <v/>
      </c>
      <c r="O1481">
        <f>IF($AA1481="","",IF(AND(ISNUMBER(N1481),N1481&gt;0),Y1481&gt;N1481,FALSE))</f>
        <v/>
      </c>
      <c r="P1481" s="7">
        <f>IF($AA1481="","",SUMIFS('Per Line'!$Y$2:$Y$4001,'Per Line'!$E$2:$E$4001,$B1481,'Per Line'!$AQ$2:$AQ$4001,1))</f>
        <v/>
      </c>
      <c r="Q1481">
        <f>IF($AA1481="","",Settings!$C$7)</f>
        <v/>
      </c>
      <c r="R1481" s="7">
        <f>IF($AA1481="","",SUMIFS('Per Line'!$Y$2:$Y$4001,'Per Line'!$E$2:$E$4001,$B1481,'Per Line'!$AP$2:$AP$4001,0,'Per Line'!$AQ$2:$AQ$4001,0))</f>
        <v/>
      </c>
      <c r="S1481" s="7">
        <f>IF($AA1481="","",R1481*Q1481)</f>
        <v/>
      </c>
      <c r="T1481">
        <f>IF($AA1481="","",Settings!$C$6)</f>
        <v/>
      </c>
      <c r="U1481" s="7">
        <f>IF($AA1481="","",SUMIFS('Per Line'!$Y$2:$Y$4001,'Per Line'!$E$2:$E$4001,$B1481,'Per Line'!$AP$2:$AP$4001,1,'Per Line'!$AQ$2:$AQ$4001,0))</f>
        <v/>
      </c>
      <c r="V1481" s="7">
        <f>IF($AA1481="","",U1481*T1481)</f>
        <v/>
      </c>
      <c r="W1481" s="7">
        <f>IF($AA1481="","",V1481+S1481)</f>
        <v/>
      </c>
      <c r="X1481" s="7">
        <f>IF($AA1481="","",Y1481-W1481)</f>
        <v/>
      </c>
      <c r="Y1481" s="7">
        <f>IF($AA1481="","",R1481+U1481+P1481)</f>
        <v/>
      </c>
      <c r="Z1481" s="7">
        <f>IF($AA1481="","",Y1481-W1481-L1481)</f>
        <v/>
      </c>
      <c r="AA1481" s="13">
        <f>IF(ROWS($AA$2:$AA1481)&lt;=MAX('Per Line'!$AO$2:$AO$4001),MATCH(ROWS($AA$2:$AA1481),'Per Line'!$AO$2:$AO$4001,0),"")</f>
        <v/>
      </c>
      <c r="AB1481" s="14">
        <f>IF($AA1481="","",L1481-K1481*Y1481/100)</f>
        <v/>
      </c>
    </row>
    <row r="1482">
      <c r="A1482" s="12" t="n"/>
      <c r="B1482">
        <f>IF($AA1482="","",INDEX('Per Line'!$E$2:$E$4001,$AA1482)&amp;"")</f>
        <v/>
      </c>
      <c r="C1482">
        <f>IF($AA1482="","",INDEX('Per Line'!$A$2:$A$4001,$AA1482)&amp;"")</f>
        <v/>
      </c>
      <c r="D1482">
        <f>IF($AA1482="","",INDEX('Per Line'!$D$2:$D$4001,$AA1482)&amp;"")</f>
        <v/>
      </c>
      <c r="E1482" s="11">
        <f>IF($AA1482="","",INDEX('Per Line'!$G$2:$G$4001,$AA1482))</f>
        <v/>
      </c>
      <c r="F1482">
        <f>IF($AA1482="","",INDEX('Per Line'!$H$2:$H$4001,$AA1482)&amp;"")</f>
        <v/>
      </c>
      <c r="G1482">
        <f>IF($AA1482="","",INDEX('Per Line'!$I$2:$I$4001,$AA1482)&amp;"")</f>
        <v/>
      </c>
      <c r="H1482">
        <f>IF($AA1482="","",INDEX('Per Line'!$J$2:$J$4001,$AA1482)&amp;"")</f>
        <v/>
      </c>
      <c r="I1482">
        <f>IF($AA1482="","",INDEX('Per Line'!$K$2:$K$4001,$AA1482)&amp;"")</f>
        <v/>
      </c>
      <c r="J1482">
        <f>IF($AA1482="","",INDEX('Per Line'!$L$2:$L$4001,$AA1482)&amp;"")</f>
        <v/>
      </c>
      <c r="K1482">
        <f>IF($AA1482="","",INDEX('Per Line'!$P$2:$P$4001,$AA1482))</f>
        <v/>
      </c>
      <c r="L1482" s="7">
        <f>IF($AA1482="","",IF(AND(ISNUMBER(N1482),N1482&gt;0,Y1482&gt;N1482),K1482*N1482/100+(Y1482-N1482),K1482*Y1482/100))</f>
        <v/>
      </c>
      <c r="M1482">
        <f>IF($AA1482="","",INDEX('Per Line'!$Z$2:$Z$4001,$AA1482)&amp;"")</f>
        <v/>
      </c>
      <c r="N1482">
        <f>IF($AA1482="","",INDEX('Per Line'!$AG$2:$AG$4001,$AA1482))</f>
        <v/>
      </c>
      <c r="O1482">
        <f>IF($AA1482="","",IF(AND(ISNUMBER(N1482),N1482&gt;0),Y1482&gt;N1482,FALSE))</f>
        <v/>
      </c>
      <c r="P1482" s="7">
        <f>IF($AA1482="","",SUMIFS('Per Line'!$Y$2:$Y$4001,'Per Line'!$E$2:$E$4001,$B1482,'Per Line'!$AQ$2:$AQ$4001,1))</f>
        <v/>
      </c>
      <c r="Q1482">
        <f>IF($AA1482="","",Settings!$C$7)</f>
        <v/>
      </c>
      <c r="R1482" s="7">
        <f>IF($AA1482="","",SUMIFS('Per Line'!$Y$2:$Y$4001,'Per Line'!$E$2:$E$4001,$B1482,'Per Line'!$AP$2:$AP$4001,0,'Per Line'!$AQ$2:$AQ$4001,0))</f>
        <v/>
      </c>
      <c r="S1482" s="7">
        <f>IF($AA1482="","",R1482*Q1482)</f>
        <v/>
      </c>
      <c r="T1482">
        <f>IF($AA1482="","",Settings!$C$6)</f>
        <v/>
      </c>
      <c r="U1482" s="7">
        <f>IF($AA1482="","",SUMIFS('Per Line'!$Y$2:$Y$4001,'Per Line'!$E$2:$E$4001,$B1482,'Per Line'!$AP$2:$AP$4001,1,'Per Line'!$AQ$2:$AQ$4001,0))</f>
        <v/>
      </c>
      <c r="V1482" s="7">
        <f>IF($AA1482="","",U1482*T1482)</f>
        <v/>
      </c>
      <c r="W1482" s="7">
        <f>IF($AA1482="","",V1482+S1482)</f>
        <v/>
      </c>
      <c r="X1482" s="7">
        <f>IF($AA1482="","",Y1482-W1482)</f>
        <v/>
      </c>
      <c r="Y1482" s="7">
        <f>IF($AA1482="","",R1482+U1482+P1482)</f>
        <v/>
      </c>
      <c r="Z1482" s="7">
        <f>IF($AA1482="","",Y1482-W1482-L1482)</f>
        <v/>
      </c>
      <c r="AA1482" s="13">
        <f>IF(ROWS($AA$2:$AA1482)&lt;=MAX('Per Line'!$AO$2:$AO$4001),MATCH(ROWS($AA$2:$AA1482),'Per Line'!$AO$2:$AO$4001,0),"")</f>
        <v/>
      </c>
      <c r="AB1482" s="14">
        <f>IF($AA1482="","",L1482-K1482*Y1482/100)</f>
        <v/>
      </c>
    </row>
    <row r="1483">
      <c r="A1483" s="12" t="n"/>
      <c r="B1483">
        <f>IF($AA1483="","",INDEX('Per Line'!$E$2:$E$4001,$AA1483)&amp;"")</f>
        <v/>
      </c>
      <c r="C1483">
        <f>IF($AA1483="","",INDEX('Per Line'!$A$2:$A$4001,$AA1483)&amp;"")</f>
        <v/>
      </c>
      <c r="D1483">
        <f>IF($AA1483="","",INDEX('Per Line'!$D$2:$D$4001,$AA1483)&amp;"")</f>
        <v/>
      </c>
      <c r="E1483" s="11">
        <f>IF($AA1483="","",INDEX('Per Line'!$G$2:$G$4001,$AA1483))</f>
        <v/>
      </c>
      <c r="F1483">
        <f>IF($AA1483="","",INDEX('Per Line'!$H$2:$H$4001,$AA1483)&amp;"")</f>
        <v/>
      </c>
      <c r="G1483">
        <f>IF($AA1483="","",INDEX('Per Line'!$I$2:$I$4001,$AA1483)&amp;"")</f>
        <v/>
      </c>
      <c r="H1483">
        <f>IF($AA1483="","",INDEX('Per Line'!$J$2:$J$4001,$AA1483)&amp;"")</f>
        <v/>
      </c>
      <c r="I1483">
        <f>IF($AA1483="","",INDEX('Per Line'!$K$2:$K$4001,$AA1483)&amp;"")</f>
        <v/>
      </c>
      <c r="J1483">
        <f>IF($AA1483="","",INDEX('Per Line'!$L$2:$L$4001,$AA1483)&amp;"")</f>
        <v/>
      </c>
      <c r="K1483">
        <f>IF($AA1483="","",INDEX('Per Line'!$P$2:$P$4001,$AA1483))</f>
        <v/>
      </c>
      <c r="L1483" s="7">
        <f>IF($AA1483="","",IF(AND(ISNUMBER(N1483),N1483&gt;0,Y1483&gt;N1483),K1483*N1483/100+(Y1483-N1483),K1483*Y1483/100))</f>
        <v/>
      </c>
      <c r="M1483">
        <f>IF($AA1483="","",INDEX('Per Line'!$Z$2:$Z$4001,$AA1483)&amp;"")</f>
        <v/>
      </c>
      <c r="N1483">
        <f>IF($AA1483="","",INDEX('Per Line'!$AG$2:$AG$4001,$AA1483))</f>
        <v/>
      </c>
      <c r="O1483">
        <f>IF($AA1483="","",IF(AND(ISNUMBER(N1483),N1483&gt;0),Y1483&gt;N1483,FALSE))</f>
        <v/>
      </c>
      <c r="P1483" s="7">
        <f>IF($AA1483="","",SUMIFS('Per Line'!$Y$2:$Y$4001,'Per Line'!$E$2:$E$4001,$B1483,'Per Line'!$AQ$2:$AQ$4001,1))</f>
        <v/>
      </c>
      <c r="Q1483">
        <f>IF($AA1483="","",Settings!$C$7)</f>
        <v/>
      </c>
      <c r="R1483" s="7">
        <f>IF($AA1483="","",SUMIFS('Per Line'!$Y$2:$Y$4001,'Per Line'!$E$2:$E$4001,$B1483,'Per Line'!$AP$2:$AP$4001,0,'Per Line'!$AQ$2:$AQ$4001,0))</f>
        <v/>
      </c>
      <c r="S1483" s="7">
        <f>IF($AA1483="","",R1483*Q1483)</f>
        <v/>
      </c>
      <c r="T1483">
        <f>IF($AA1483="","",Settings!$C$6)</f>
        <v/>
      </c>
      <c r="U1483" s="7">
        <f>IF($AA1483="","",SUMIFS('Per Line'!$Y$2:$Y$4001,'Per Line'!$E$2:$E$4001,$B1483,'Per Line'!$AP$2:$AP$4001,1,'Per Line'!$AQ$2:$AQ$4001,0))</f>
        <v/>
      </c>
      <c r="V1483" s="7">
        <f>IF($AA1483="","",U1483*T1483)</f>
        <v/>
      </c>
      <c r="W1483" s="7">
        <f>IF($AA1483="","",V1483+S1483)</f>
        <v/>
      </c>
      <c r="X1483" s="7">
        <f>IF($AA1483="","",Y1483-W1483)</f>
        <v/>
      </c>
      <c r="Y1483" s="7">
        <f>IF($AA1483="","",R1483+U1483+P1483)</f>
        <v/>
      </c>
      <c r="Z1483" s="7">
        <f>IF($AA1483="","",Y1483-W1483-L1483)</f>
        <v/>
      </c>
      <c r="AA1483" s="13">
        <f>IF(ROWS($AA$2:$AA1483)&lt;=MAX('Per Line'!$AO$2:$AO$4001),MATCH(ROWS($AA$2:$AA1483),'Per Line'!$AO$2:$AO$4001,0),"")</f>
        <v/>
      </c>
      <c r="AB1483" s="14">
        <f>IF($AA1483="","",L1483-K1483*Y1483/100)</f>
        <v/>
      </c>
    </row>
    <row r="1484">
      <c r="A1484" s="12" t="n"/>
      <c r="B1484">
        <f>IF($AA1484="","",INDEX('Per Line'!$E$2:$E$4001,$AA1484)&amp;"")</f>
        <v/>
      </c>
      <c r="C1484">
        <f>IF($AA1484="","",INDEX('Per Line'!$A$2:$A$4001,$AA1484)&amp;"")</f>
        <v/>
      </c>
      <c r="D1484">
        <f>IF($AA1484="","",INDEX('Per Line'!$D$2:$D$4001,$AA1484)&amp;"")</f>
        <v/>
      </c>
      <c r="E1484" s="11">
        <f>IF($AA1484="","",INDEX('Per Line'!$G$2:$G$4001,$AA1484))</f>
        <v/>
      </c>
      <c r="F1484">
        <f>IF($AA1484="","",INDEX('Per Line'!$H$2:$H$4001,$AA1484)&amp;"")</f>
        <v/>
      </c>
      <c r="G1484">
        <f>IF($AA1484="","",INDEX('Per Line'!$I$2:$I$4001,$AA1484)&amp;"")</f>
        <v/>
      </c>
      <c r="H1484">
        <f>IF($AA1484="","",INDEX('Per Line'!$J$2:$J$4001,$AA1484)&amp;"")</f>
        <v/>
      </c>
      <c r="I1484">
        <f>IF($AA1484="","",INDEX('Per Line'!$K$2:$K$4001,$AA1484)&amp;"")</f>
        <v/>
      </c>
      <c r="J1484">
        <f>IF($AA1484="","",INDEX('Per Line'!$L$2:$L$4001,$AA1484)&amp;"")</f>
        <v/>
      </c>
      <c r="K1484">
        <f>IF($AA1484="","",INDEX('Per Line'!$P$2:$P$4001,$AA1484))</f>
        <v/>
      </c>
      <c r="L1484" s="7">
        <f>IF($AA1484="","",IF(AND(ISNUMBER(N1484),N1484&gt;0,Y1484&gt;N1484),K1484*N1484/100+(Y1484-N1484),K1484*Y1484/100))</f>
        <v/>
      </c>
      <c r="M1484">
        <f>IF($AA1484="","",INDEX('Per Line'!$Z$2:$Z$4001,$AA1484)&amp;"")</f>
        <v/>
      </c>
      <c r="N1484">
        <f>IF($AA1484="","",INDEX('Per Line'!$AG$2:$AG$4001,$AA1484))</f>
        <v/>
      </c>
      <c r="O1484">
        <f>IF($AA1484="","",IF(AND(ISNUMBER(N1484),N1484&gt;0),Y1484&gt;N1484,FALSE))</f>
        <v/>
      </c>
      <c r="P1484" s="7">
        <f>IF($AA1484="","",SUMIFS('Per Line'!$Y$2:$Y$4001,'Per Line'!$E$2:$E$4001,$B1484,'Per Line'!$AQ$2:$AQ$4001,1))</f>
        <v/>
      </c>
      <c r="Q1484">
        <f>IF($AA1484="","",Settings!$C$7)</f>
        <v/>
      </c>
      <c r="R1484" s="7">
        <f>IF($AA1484="","",SUMIFS('Per Line'!$Y$2:$Y$4001,'Per Line'!$E$2:$E$4001,$B1484,'Per Line'!$AP$2:$AP$4001,0,'Per Line'!$AQ$2:$AQ$4001,0))</f>
        <v/>
      </c>
      <c r="S1484" s="7">
        <f>IF($AA1484="","",R1484*Q1484)</f>
        <v/>
      </c>
      <c r="T1484">
        <f>IF($AA1484="","",Settings!$C$6)</f>
        <v/>
      </c>
      <c r="U1484" s="7">
        <f>IF($AA1484="","",SUMIFS('Per Line'!$Y$2:$Y$4001,'Per Line'!$E$2:$E$4001,$B1484,'Per Line'!$AP$2:$AP$4001,1,'Per Line'!$AQ$2:$AQ$4001,0))</f>
        <v/>
      </c>
      <c r="V1484" s="7">
        <f>IF($AA1484="","",U1484*T1484)</f>
        <v/>
      </c>
      <c r="W1484" s="7">
        <f>IF($AA1484="","",V1484+S1484)</f>
        <v/>
      </c>
      <c r="X1484" s="7">
        <f>IF($AA1484="","",Y1484-W1484)</f>
        <v/>
      </c>
      <c r="Y1484" s="7">
        <f>IF($AA1484="","",R1484+U1484+P1484)</f>
        <v/>
      </c>
      <c r="Z1484" s="7">
        <f>IF($AA1484="","",Y1484-W1484-L1484)</f>
        <v/>
      </c>
      <c r="AA1484" s="13">
        <f>IF(ROWS($AA$2:$AA1484)&lt;=MAX('Per Line'!$AO$2:$AO$4001),MATCH(ROWS($AA$2:$AA1484),'Per Line'!$AO$2:$AO$4001,0),"")</f>
        <v/>
      </c>
      <c r="AB1484" s="14">
        <f>IF($AA1484="","",L1484-K1484*Y1484/100)</f>
        <v/>
      </c>
    </row>
    <row r="1485">
      <c r="A1485" s="12" t="n"/>
      <c r="B1485">
        <f>IF($AA1485="","",INDEX('Per Line'!$E$2:$E$4001,$AA1485)&amp;"")</f>
        <v/>
      </c>
      <c r="C1485">
        <f>IF($AA1485="","",INDEX('Per Line'!$A$2:$A$4001,$AA1485)&amp;"")</f>
        <v/>
      </c>
      <c r="D1485">
        <f>IF($AA1485="","",INDEX('Per Line'!$D$2:$D$4001,$AA1485)&amp;"")</f>
        <v/>
      </c>
      <c r="E1485" s="11">
        <f>IF($AA1485="","",INDEX('Per Line'!$G$2:$G$4001,$AA1485))</f>
        <v/>
      </c>
      <c r="F1485">
        <f>IF($AA1485="","",INDEX('Per Line'!$H$2:$H$4001,$AA1485)&amp;"")</f>
        <v/>
      </c>
      <c r="G1485">
        <f>IF($AA1485="","",INDEX('Per Line'!$I$2:$I$4001,$AA1485)&amp;"")</f>
        <v/>
      </c>
      <c r="H1485">
        <f>IF($AA1485="","",INDEX('Per Line'!$J$2:$J$4001,$AA1485)&amp;"")</f>
        <v/>
      </c>
      <c r="I1485">
        <f>IF($AA1485="","",INDEX('Per Line'!$K$2:$K$4001,$AA1485)&amp;"")</f>
        <v/>
      </c>
      <c r="J1485">
        <f>IF($AA1485="","",INDEX('Per Line'!$L$2:$L$4001,$AA1485)&amp;"")</f>
        <v/>
      </c>
      <c r="K1485">
        <f>IF($AA1485="","",INDEX('Per Line'!$P$2:$P$4001,$AA1485))</f>
        <v/>
      </c>
      <c r="L1485" s="7">
        <f>IF($AA1485="","",IF(AND(ISNUMBER(N1485),N1485&gt;0,Y1485&gt;N1485),K1485*N1485/100+(Y1485-N1485),K1485*Y1485/100))</f>
        <v/>
      </c>
      <c r="M1485">
        <f>IF($AA1485="","",INDEX('Per Line'!$Z$2:$Z$4001,$AA1485)&amp;"")</f>
        <v/>
      </c>
      <c r="N1485">
        <f>IF($AA1485="","",INDEX('Per Line'!$AG$2:$AG$4001,$AA1485))</f>
        <v/>
      </c>
      <c r="O1485">
        <f>IF($AA1485="","",IF(AND(ISNUMBER(N1485),N1485&gt;0),Y1485&gt;N1485,FALSE))</f>
        <v/>
      </c>
      <c r="P1485" s="7">
        <f>IF($AA1485="","",SUMIFS('Per Line'!$Y$2:$Y$4001,'Per Line'!$E$2:$E$4001,$B1485,'Per Line'!$AQ$2:$AQ$4001,1))</f>
        <v/>
      </c>
      <c r="Q1485">
        <f>IF($AA1485="","",Settings!$C$7)</f>
        <v/>
      </c>
      <c r="R1485" s="7">
        <f>IF($AA1485="","",SUMIFS('Per Line'!$Y$2:$Y$4001,'Per Line'!$E$2:$E$4001,$B1485,'Per Line'!$AP$2:$AP$4001,0,'Per Line'!$AQ$2:$AQ$4001,0))</f>
        <v/>
      </c>
      <c r="S1485" s="7">
        <f>IF($AA1485="","",R1485*Q1485)</f>
        <v/>
      </c>
      <c r="T1485">
        <f>IF($AA1485="","",Settings!$C$6)</f>
        <v/>
      </c>
      <c r="U1485" s="7">
        <f>IF($AA1485="","",SUMIFS('Per Line'!$Y$2:$Y$4001,'Per Line'!$E$2:$E$4001,$B1485,'Per Line'!$AP$2:$AP$4001,1,'Per Line'!$AQ$2:$AQ$4001,0))</f>
        <v/>
      </c>
      <c r="V1485" s="7">
        <f>IF($AA1485="","",U1485*T1485)</f>
        <v/>
      </c>
      <c r="W1485" s="7">
        <f>IF($AA1485="","",V1485+S1485)</f>
        <v/>
      </c>
      <c r="X1485" s="7">
        <f>IF($AA1485="","",Y1485-W1485)</f>
        <v/>
      </c>
      <c r="Y1485" s="7">
        <f>IF($AA1485="","",R1485+U1485+P1485)</f>
        <v/>
      </c>
      <c r="Z1485" s="7">
        <f>IF($AA1485="","",Y1485-W1485-L1485)</f>
        <v/>
      </c>
      <c r="AA1485" s="13">
        <f>IF(ROWS($AA$2:$AA1485)&lt;=MAX('Per Line'!$AO$2:$AO$4001),MATCH(ROWS($AA$2:$AA1485),'Per Line'!$AO$2:$AO$4001,0),"")</f>
        <v/>
      </c>
      <c r="AB1485" s="14">
        <f>IF($AA1485="","",L1485-K1485*Y1485/100)</f>
        <v/>
      </c>
    </row>
    <row r="1486">
      <c r="A1486" s="12" t="n"/>
      <c r="B1486">
        <f>IF($AA1486="","",INDEX('Per Line'!$E$2:$E$4001,$AA1486)&amp;"")</f>
        <v/>
      </c>
      <c r="C1486">
        <f>IF($AA1486="","",INDEX('Per Line'!$A$2:$A$4001,$AA1486)&amp;"")</f>
        <v/>
      </c>
      <c r="D1486">
        <f>IF($AA1486="","",INDEX('Per Line'!$D$2:$D$4001,$AA1486)&amp;"")</f>
        <v/>
      </c>
      <c r="E1486" s="11">
        <f>IF($AA1486="","",INDEX('Per Line'!$G$2:$G$4001,$AA1486))</f>
        <v/>
      </c>
      <c r="F1486">
        <f>IF($AA1486="","",INDEX('Per Line'!$H$2:$H$4001,$AA1486)&amp;"")</f>
        <v/>
      </c>
      <c r="G1486">
        <f>IF($AA1486="","",INDEX('Per Line'!$I$2:$I$4001,$AA1486)&amp;"")</f>
        <v/>
      </c>
      <c r="H1486">
        <f>IF($AA1486="","",INDEX('Per Line'!$J$2:$J$4001,$AA1486)&amp;"")</f>
        <v/>
      </c>
      <c r="I1486">
        <f>IF($AA1486="","",INDEX('Per Line'!$K$2:$K$4001,$AA1486)&amp;"")</f>
        <v/>
      </c>
      <c r="J1486">
        <f>IF($AA1486="","",INDEX('Per Line'!$L$2:$L$4001,$AA1486)&amp;"")</f>
        <v/>
      </c>
      <c r="K1486">
        <f>IF($AA1486="","",INDEX('Per Line'!$P$2:$P$4001,$AA1486))</f>
        <v/>
      </c>
      <c r="L1486" s="7">
        <f>IF($AA1486="","",IF(AND(ISNUMBER(N1486),N1486&gt;0,Y1486&gt;N1486),K1486*N1486/100+(Y1486-N1486),K1486*Y1486/100))</f>
        <v/>
      </c>
      <c r="M1486">
        <f>IF($AA1486="","",INDEX('Per Line'!$Z$2:$Z$4001,$AA1486)&amp;"")</f>
        <v/>
      </c>
      <c r="N1486">
        <f>IF($AA1486="","",INDEX('Per Line'!$AG$2:$AG$4001,$AA1486))</f>
        <v/>
      </c>
      <c r="O1486">
        <f>IF($AA1486="","",IF(AND(ISNUMBER(N1486),N1486&gt;0),Y1486&gt;N1486,FALSE))</f>
        <v/>
      </c>
      <c r="P1486" s="7">
        <f>IF($AA1486="","",SUMIFS('Per Line'!$Y$2:$Y$4001,'Per Line'!$E$2:$E$4001,$B1486,'Per Line'!$AQ$2:$AQ$4001,1))</f>
        <v/>
      </c>
      <c r="Q1486">
        <f>IF($AA1486="","",Settings!$C$7)</f>
        <v/>
      </c>
      <c r="R1486" s="7">
        <f>IF($AA1486="","",SUMIFS('Per Line'!$Y$2:$Y$4001,'Per Line'!$E$2:$E$4001,$B1486,'Per Line'!$AP$2:$AP$4001,0,'Per Line'!$AQ$2:$AQ$4001,0))</f>
        <v/>
      </c>
      <c r="S1486" s="7">
        <f>IF($AA1486="","",R1486*Q1486)</f>
        <v/>
      </c>
      <c r="T1486">
        <f>IF($AA1486="","",Settings!$C$6)</f>
        <v/>
      </c>
      <c r="U1486" s="7">
        <f>IF($AA1486="","",SUMIFS('Per Line'!$Y$2:$Y$4001,'Per Line'!$E$2:$E$4001,$B1486,'Per Line'!$AP$2:$AP$4001,1,'Per Line'!$AQ$2:$AQ$4001,0))</f>
        <v/>
      </c>
      <c r="V1486" s="7">
        <f>IF($AA1486="","",U1486*T1486)</f>
        <v/>
      </c>
      <c r="W1486" s="7">
        <f>IF($AA1486="","",V1486+S1486)</f>
        <v/>
      </c>
      <c r="X1486" s="7">
        <f>IF($AA1486="","",Y1486-W1486)</f>
        <v/>
      </c>
      <c r="Y1486" s="7">
        <f>IF($AA1486="","",R1486+U1486+P1486)</f>
        <v/>
      </c>
      <c r="Z1486" s="7">
        <f>IF($AA1486="","",Y1486-W1486-L1486)</f>
        <v/>
      </c>
      <c r="AA1486" s="13">
        <f>IF(ROWS($AA$2:$AA1486)&lt;=MAX('Per Line'!$AO$2:$AO$4001),MATCH(ROWS($AA$2:$AA1486),'Per Line'!$AO$2:$AO$4001,0),"")</f>
        <v/>
      </c>
      <c r="AB1486" s="14">
        <f>IF($AA1486="","",L1486-K1486*Y1486/100)</f>
        <v/>
      </c>
    </row>
    <row r="1487">
      <c r="A1487" s="12" t="n"/>
      <c r="B1487">
        <f>IF($AA1487="","",INDEX('Per Line'!$E$2:$E$4001,$AA1487)&amp;"")</f>
        <v/>
      </c>
      <c r="C1487">
        <f>IF($AA1487="","",INDEX('Per Line'!$A$2:$A$4001,$AA1487)&amp;"")</f>
        <v/>
      </c>
      <c r="D1487">
        <f>IF($AA1487="","",INDEX('Per Line'!$D$2:$D$4001,$AA1487)&amp;"")</f>
        <v/>
      </c>
      <c r="E1487" s="11">
        <f>IF($AA1487="","",INDEX('Per Line'!$G$2:$G$4001,$AA1487))</f>
        <v/>
      </c>
      <c r="F1487">
        <f>IF($AA1487="","",INDEX('Per Line'!$H$2:$H$4001,$AA1487)&amp;"")</f>
        <v/>
      </c>
      <c r="G1487">
        <f>IF($AA1487="","",INDEX('Per Line'!$I$2:$I$4001,$AA1487)&amp;"")</f>
        <v/>
      </c>
      <c r="H1487">
        <f>IF($AA1487="","",INDEX('Per Line'!$J$2:$J$4001,$AA1487)&amp;"")</f>
        <v/>
      </c>
      <c r="I1487">
        <f>IF($AA1487="","",INDEX('Per Line'!$K$2:$K$4001,$AA1487)&amp;"")</f>
        <v/>
      </c>
      <c r="J1487">
        <f>IF($AA1487="","",INDEX('Per Line'!$L$2:$L$4001,$AA1487)&amp;"")</f>
        <v/>
      </c>
      <c r="K1487">
        <f>IF($AA1487="","",INDEX('Per Line'!$P$2:$P$4001,$AA1487))</f>
        <v/>
      </c>
      <c r="L1487" s="7">
        <f>IF($AA1487="","",IF(AND(ISNUMBER(N1487),N1487&gt;0,Y1487&gt;N1487),K1487*N1487/100+(Y1487-N1487),K1487*Y1487/100))</f>
        <v/>
      </c>
      <c r="M1487">
        <f>IF($AA1487="","",INDEX('Per Line'!$Z$2:$Z$4001,$AA1487)&amp;"")</f>
        <v/>
      </c>
      <c r="N1487">
        <f>IF($AA1487="","",INDEX('Per Line'!$AG$2:$AG$4001,$AA1487))</f>
        <v/>
      </c>
      <c r="O1487">
        <f>IF($AA1487="","",IF(AND(ISNUMBER(N1487),N1487&gt;0),Y1487&gt;N1487,FALSE))</f>
        <v/>
      </c>
      <c r="P1487" s="7">
        <f>IF($AA1487="","",SUMIFS('Per Line'!$Y$2:$Y$4001,'Per Line'!$E$2:$E$4001,$B1487,'Per Line'!$AQ$2:$AQ$4001,1))</f>
        <v/>
      </c>
      <c r="Q1487">
        <f>IF($AA1487="","",Settings!$C$7)</f>
        <v/>
      </c>
      <c r="R1487" s="7">
        <f>IF($AA1487="","",SUMIFS('Per Line'!$Y$2:$Y$4001,'Per Line'!$E$2:$E$4001,$B1487,'Per Line'!$AP$2:$AP$4001,0,'Per Line'!$AQ$2:$AQ$4001,0))</f>
        <v/>
      </c>
      <c r="S1487" s="7">
        <f>IF($AA1487="","",R1487*Q1487)</f>
        <v/>
      </c>
      <c r="T1487">
        <f>IF($AA1487="","",Settings!$C$6)</f>
        <v/>
      </c>
      <c r="U1487" s="7">
        <f>IF($AA1487="","",SUMIFS('Per Line'!$Y$2:$Y$4001,'Per Line'!$E$2:$E$4001,$B1487,'Per Line'!$AP$2:$AP$4001,1,'Per Line'!$AQ$2:$AQ$4001,0))</f>
        <v/>
      </c>
      <c r="V1487" s="7">
        <f>IF($AA1487="","",U1487*T1487)</f>
        <v/>
      </c>
      <c r="W1487" s="7">
        <f>IF($AA1487="","",V1487+S1487)</f>
        <v/>
      </c>
      <c r="X1487" s="7">
        <f>IF($AA1487="","",Y1487-W1487)</f>
        <v/>
      </c>
      <c r="Y1487" s="7">
        <f>IF($AA1487="","",R1487+U1487+P1487)</f>
        <v/>
      </c>
      <c r="Z1487" s="7">
        <f>IF($AA1487="","",Y1487-W1487-L1487)</f>
        <v/>
      </c>
      <c r="AA1487" s="13">
        <f>IF(ROWS($AA$2:$AA1487)&lt;=MAX('Per Line'!$AO$2:$AO$4001),MATCH(ROWS($AA$2:$AA1487),'Per Line'!$AO$2:$AO$4001,0),"")</f>
        <v/>
      </c>
      <c r="AB1487" s="14">
        <f>IF($AA1487="","",L1487-K1487*Y1487/100)</f>
        <v/>
      </c>
    </row>
    <row r="1488">
      <c r="A1488" s="12" t="n"/>
      <c r="B1488">
        <f>IF($AA1488="","",INDEX('Per Line'!$E$2:$E$4001,$AA1488)&amp;"")</f>
        <v/>
      </c>
      <c r="C1488">
        <f>IF($AA1488="","",INDEX('Per Line'!$A$2:$A$4001,$AA1488)&amp;"")</f>
        <v/>
      </c>
      <c r="D1488">
        <f>IF($AA1488="","",INDEX('Per Line'!$D$2:$D$4001,$AA1488)&amp;"")</f>
        <v/>
      </c>
      <c r="E1488" s="11">
        <f>IF($AA1488="","",INDEX('Per Line'!$G$2:$G$4001,$AA1488))</f>
        <v/>
      </c>
      <c r="F1488">
        <f>IF($AA1488="","",INDEX('Per Line'!$H$2:$H$4001,$AA1488)&amp;"")</f>
        <v/>
      </c>
      <c r="G1488">
        <f>IF($AA1488="","",INDEX('Per Line'!$I$2:$I$4001,$AA1488)&amp;"")</f>
        <v/>
      </c>
      <c r="H1488">
        <f>IF($AA1488="","",INDEX('Per Line'!$J$2:$J$4001,$AA1488)&amp;"")</f>
        <v/>
      </c>
      <c r="I1488">
        <f>IF($AA1488="","",INDEX('Per Line'!$K$2:$K$4001,$AA1488)&amp;"")</f>
        <v/>
      </c>
      <c r="J1488">
        <f>IF($AA1488="","",INDEX('Per Line'!$L$2:$L$4001,$AA1488)&amp;"")</f>
        <v/>
      </c>
      <c r="K1488">
        <f>IF($AA1488="","",INDEX('Per Line'!$P$2:$P$4001,$AA1488))</f>
        <v/>
      </c>
      <c r="L1488" s="7">
        <f>IF($AA1488="","",IF(AND(ISNUMBER(N1488),N1488&gt;0,Y1488&gt;N1488),K1488*N1488/100+(Y1488-N1488),K1488*Y1488/100))</f>
        <v/>
      </c>
      <c r="M1488">
        <f>IF($AA1488="","",INDEX('Per Line'!$Z$2:$Z$4001,$AA1488)&amp;"")</f>
        <v/>
      </c>
      <c r="N1488">
        <f>IF($AA1488="","",INDEX('Per Line'!$AG$2:$AG$4001,$AA1488))</f>
        <v/>
      </c>
      <c r="O1488">
        <f>IF($AA1488="","",IF(AND(ISNUMBER(N1488),N1488&gt;0),Y1488&gt;N1488,FALSE))</f>
        <v/>
      </c>
      <c r="P1488" s="7">
        <f>IF($AA1488="","",SUMIFS('Per Line'!$Y$2:$Y$4001,'Per Line'!$E$2:$E$4001,$B1488,'Per Line'!$AQ$2:$AQ$4001,1))</f>
        <v/>
      </c>
      <c r="Q1488">
        <f>IF($AA1488="","",Settings!$C$7)</f>
        <v/>
      </c>
      <c r="R1488" s="7">
        <f>IF($AA1488="","",SUMIFS('Per Line'!$Y$2:$Y$4001,'Per Line'!$E$2:$E$4001,$B1488,'Per Line'!$AP$2:$AP$4001,0,'Per Line'!$AQ$2:$AQ$4001,0))</f>
        <v/>
      </c>
      <c r="S1488" s="7">
        <f>IF($AA1488="","",R1488*Q1488)</f>
        <v/>
      </c>
      <c r="T1488">
        <f>IF($AA1488="","",Settings!$C$6)</f>
        <v/>
      </c>
      <c r="U1488" s="7">
        <f>IF($AA1488="","",SUMIFS('Per Line'!$Y$2:$Y$4001,'Per Line'!$E$2:$E$4001,$B1488,'Per Line'!$AP$2:$AP$4001,1,'Per Line'!$AQ$2:$AQ$4001,0))</f>
        <v/>
      </c>
      <c r="V1488" s="7">
        <f>IF($AA1488="","",U1488*T1488)</f>
        <v/>
      </c>
      <c r="W1488" s="7">
        <f>IF($AA1488="","",V1488+S1488)</f>
        <v/>
      </c>
      <c r="X1488" s="7">
        <f>IF($AA1488="","",Y1488-W1488)</f>
        <v/>
      </c>
      <c r="Y1488" s="7">
        <f>IF($AA1488="","",R1488+U1488+P1488)</f>
        <v/>
      </c>
      <c r="Z1488" s="7">
        <f>IF($AA1488="","",Y1488-W1488-L1488)</f>
        <v/>
      </c>
      <c r="AA1488" s="13">
        <f>IF(ROWS($AA$2:$AA1488)&lt;=MAX('Per Line'!$AO$2:$AO$4001),MATCH(ROWS($AA$2:$AA1488),'Per Line'!$AO$2:$AO$4001,0),"")</f>
        <v/>
      </c>
      <c r="AB1488" s="14">
        <f>IF($AA1488="","",L1488-K1488*Y1488/100)</f>
        <v/>
      </c>
    </row>
    <row r="1489">
      <c r="A1489" s="12" t="n"/>
      <c r="B1489">
        <f>IF($AA1489="","",INDEX('Per Line'!$E$2:$E$4001,$AA1489)&amp;"")</f>
        <v/>
      </c>
      <c r="C1489">
        <f>IF($AA1489="","",INDEX('Per Line'!$A$2:$A$4001,$AA1489)&amp;"")</f>
        <v/>
      </c>
      <c r="D1489">
        <f>IF($AA1489="","",INDEX('Per Line'!$D$2:$D$4001,$AA1489)&amp;"")</f>
        <v/>
      </c>
      <c r="E1489" s="11">
        <f>IF($AA1489="","",INDEX('Per Line'!$G$2:$G$4001,$AA1489))</f>
        <v/>
      </c>
      <c r="F1489">
        <f>IF($AA1489="","",INDEX('Per Line'!$H$2:$H$4001,$AA1489)&amp;"")</f>
        <v/>
      </c>
      <c r="G1489">
        <f>IF($AA1489="","",INDEX('Per Line'!$I$2:$I$4001,$AA1489)&amp;"")</f>
        <v/>
      </c>
      <c r="H1489">
        <f>IF($AA1489="","",INDEX('Per Line'!$J$2:$J$4001,$AA1489)&amp;"")</f>
        <v/>
      </c>
      <c r="I1489">
        <f>IF($AA1489="","",INDEX('Per Line'!$K$2:$K$4001,$AA1489)&amp;"")</f>
        <v/>
      </c>
      <c r="J1489">
        <f>IF($AA1489="","",INDEX('Per Line'!$L$2:$L$4001,$AA1489)&amp;"")</f>
        <v/>
      </c>
      <c r="K1489">
        <f>IF($AA1489="","",INDEX('Per Line'!$P$2:$P$4001,$AA1489))</f>
        <v/>
      </c>
      <c r="L1489" s="7">
        <f>IF($AA1489="","",IF(AND(ISNUMBER(N1489),N1489&gt;0,Y1489&gt;N1489),K1489*N1489/100+(Y1489-N1489),K1489*Y1489/100))</f>
        <v/>
      </c>
      <c r="M1489">
        <f>IF($AA1489="","",INDEX('Per Line'!$Z$2:$Z$4001,$AA1489)&amp;"")</f>
        <v/>
      </c>
      <c r="N1489">
        <f>IF($AA1489="","",INDEX('Per Line'!$AG$2:$AG$4001,$AA1489))</f>
        <v/>
      </c>
      <c r="O1489">
        <f>IF($AA1489="","",IF(AND(ISNUMBER(N1489),N1489&gt;0),Y1489&gt;N1489,FALSE))</f>
        <v/>
      </c>
      <c r="P1489" s="7">
        <f>IF($AA1489="","",SUMIFS('Per Line'!$Y$2:$Y$4001,'Per Line'!$E$2:$E$4001,$B1489,'Per Line'!$AQ$2:$AQ$4001,1))</f>
        <v/>
      </c>
      <c r="Q1489">
        <f>IF($AA1489="","",Settings!$C$7)</f>
        <v/>
      </c>
      <c r="R1489" s="7">
        <f>IF($AA1489="","",SUMIFS('Per Line'!$Y$2:$Y$4001,'Per Line'!$E$2:$E$4001,$B1489,'Per Line'!$AP$2:$AP$4001,0,'Per Line'!$AQ$2:$AQ$4001,0))</f>
        <v/>
      </c>
      <c r="S1489" s="7">
        <f>IF($AA1489="","",R1489*Q1489)</f>
        <v/>
      </c>
      <c r="T1489">
        <f>IF($AA1489="","",Settings!$C$6)</f>
        <v/>
      </c>
      <c r="U1489" s="7">
        <f>IF($AA1489="","",SUMIFS('Per Line'!$Y$2:$Y$4001,'Per Line'!$E$2:$E$4001,$B1489,'Per Line'!$AP$2:$AP$4001,1,'Per Line'!$AQ$2:$AQ$4001,0))</f>
        <v/>
      </c>
      <c r="V1489" s="7">
        <f>IF($AA1489="","",U1489*T1489)</f>
        <v/>
      </c>
      <c r="W1489" s="7">
        <f>IF($AA1489="","",V1489+S1489)</f>
        <v/>
      </c>
      <c r="X1489" s="7">
        <f>IF($AA1489="","",Y1489-W1489)</f>
        <v/>
      </c>
      <c r="Y1489" s="7">
        <f>IF($AA1489="","",R1489+U1489+P1489)</f>
        <v/>
      </c>
      <c r="Z1489" s="7">
        <f>IF($AA1489="","",Y1489-W1489-L1489)</f>
        <v/>
      </c>
      <c r="AA1489" s="13">
        <f>IF(ROWS($AA$2:$AA1489)&lt;=MAX('Per Line'!$AO$2:$AO$4001),MATCH(ROWS($AA$2:$AA1489),'Per Line'!$AO$2:$AO$4001,0),"")</f>
        <v/>
      </c>
      <c r="AB1489" s="14">
        <f>IF($AA1489="","",L1489-K1489*Y1489/100)</f>
        <v/>
      </c>
    </row>
    <row r="1490">
      <c r="A1490" s="12" t="n"/>
      <c r="B1490">
        <f>IF($AA1490="","",INDEX('Per Line'!$E$2:$E$4001,$AA1490)&amp;"")</f>
        <v/>
      </c>
      <c r="C1490">
        <f>IF($AA1490="","",INDEX('Per Line'!$A$2:$A$4001,$AA1490)&amp;"")</f>
        <v/>
      </c>
      <c r="D1490">
        <f>IF($AA1490="","",INDEX('Per Line'!$D$2:$D$4001,$AA1490)&amp;"")</f>
        <v/>
      </c>
      <c r="E1490" s="11">
        <f>IF($AA1490="","",INDEX('Per Line'!$G$2:$G$4001,$AA1490))</f>
        <v/>
      </c>
      <c r="F1490">
        <f>IF($AA1490="","",INDEX('Per Line'!$H$2:$H$4001,$AA1490)&amp;"")</f>
        <v/>
      </c>
      <c r="G1490">
        <f>IF($AA1490="","",INDEX('Per Line'!$I$2:$I$4001,$AA1490)&amp;"")</f>
        <v/>
      </c>
      <c r="H1490">
        <f>IF($AA1490="","",INDEX('Per Line'!$J$2:$J$4001,$AA1490)&amp;"")</f>
        <v/>
      </c>
      <c r="I1490">
        <f>IF($AA1490="","",INDEX('Per Line'!$K$2:$K$4001,$AA1490)&amp;"")</f>
        <v/>
      </c>
      <c r="J1490">
        <f>IF($AA1490="","",INDEX('Per Line'!$L$2:$L$4001,$AA1490)&amp;"")</f>
        <v/>
      </c>
      <c r="K1490">
        <f>IF($AA1490="","",INDEX('Per Line'!$P$2:$P$4001,$AA1490))</f>
        <v/>
      </c>
      <c r="L1490" s="7">
        <f>IF($AA1490="","",IF(AND(ISNUMBER(N1490),N1490&gt;0,Y1490&gt;N1490),K1490*N1490/100+(Y1490-N1490),K1490*Y1490/100))</f>
        <v/>
      </c>
      <c r="M1490">
        <f>IF($AA1490="","",INDEX('Per Line'!$Z$2:$Z$4001,$AA1490)&amp;"")</f>
        <v/>
      </c>
      <c r="N1490">
        <f>IF($AA1490="","",INDEX('Per Line'!$AG$2:$AG$4001,$AA1490))</f>
        <v/>
      </c>
      <c r="O1490">
        <f>IF($AA1490="","",IF(AND(ISNUMBER(N1490),N1490&gt;0),Y1490&gt;N1490,FALSE))</f>
        <v/>
      </c>
      <c r="P1490" s="7">
        <f>IF($AA1490="","",SUMIFS('Per Line'!$Y$2:$Y$4001,'Per Line'!$E$2:$E$4001,$B1490,'Per Line'!$AQ$2:$AQ$4001,1))</f>
        <v/>
      </c>
      <c r="Q1490">
        <f>IF($AA1490="","",Settings!$C$7)</f>
        <v/>
      </c>
      <c r="R1490" s="7">
        <f>IF($AA1490="","",SUMIFS('Per Line'!$Y$2:$Y$4001,'Per Line'!$E$2:$E$4001,$B1490,'Per Line'!$AP$2:$AP$4001,0,'Per Line'!$AQ$2:$AQ$4001,0))</f>
        <v/>
      </c>
      <c r="S1490" s="7">
        <f>IF($AA1490="","",R1490*Q1490)</f>
        <v/>
      </c>
      <c r="T1490">
        <f>IF($AA1490="","",Settings!$C$6)</f>
        <v/>
      </c>
      <c r="U1490" s="7">
        <f>IF($AA1490="","",SUMIFS('Per Line'!$Y$2:$Y$4001,'Per Line'!$E$2:$E$4001,$B1490,'Per Line'!$AP$2:$AP$4001,1,'Per Line'!$AQ$2:$AQ$4001,0))</f>
        <v/>
      </c>
      <c r="V1490" s="7">
        <f>IF($AA1490="","",U1490*T1490)</f>
        <v/>
      </c>
      <c r="W1490" s="7">
        <f>IF($AA1490="","",V1490+S1490)</f>
        <v/>
      </c>
      <c r="X1490" s="7">
        <f>IF($AA1490="","",Y1490-W1490)</f>
        <v/>
      </c>
      <c r="Y1490" s="7">
        <f>IF($AA1490="","",R1490+U1490+P1490)</f>
        <v/>
      </c>
      <c r="Z1490" s="7">
        <f>IF($AA1490="","",Y1490-W1490-L1490)</f>
        <v/>
      </c>
      <c r="AA1490" s="13">
        <f>IF(ROWS($AA$2:$AA1490)&lt;=MAX('Per Line'!$AO$2:$AO$4001),MATCH(ROWS($AA$2:$AA1490),'Per Line'!$AO$2:$AO$4001,0),"")</f>
        <v/>
      </c>
      <c r="AB1490" s="14">
        <f>IF($AA1490="","",L1490-K1490*Y1490/100)</f>
        <v/>
      </c>
    </row>
    <row r="1491">
      <c r="A1491" s="12" t="n"/>
      <c r="B1491">
        <f>IF($AA1491="","",INDEX('Per Line'!$E$2:$E$4001,$AA1491)&amp;"")</f>
        <v/>
      </c>
      <c r="C1491">
        <f>IF($AA1491="","",INDEX('Per Line'!$A$2:$A$4001,$AA1491)&amp;"")</f>
        <v/>
      </c>
      <c r="D1491">
        <f>IF($AA1491="","",INDEX('Per Line'!$D$2:$D$4001,$AA1491)&amp;"")</f>
        <v/>
      </c>
      <c r="E1491" s="11">
        <f>IF($AA1491="","",INDEX('Per Line'!$G$2:$G$4001,$AA1491))</f>
        <v/>
      </c>
      <c r="F1491">
        <f>IF($AA1491="","",INDEX('Per Line'!$H$2:$H$4001,$AA1491)&amp;"")</f>
        <v/>
      </c>
      <c r="G1491">
        <f>IF($AA1491="","",INDEX('Per Line'!$I$2:$I$4001,$AA1491)&amp;"")</f>
        <v/>
      </c>
      <c r="H1491">
        <f>IF($AA1491="","",INDEX('Per Line'!$J$2:$J$4001,$AA1491)&amp;"")</f>
        <v/>
      </c>
      <c r="I1491">
        <f>IF($AA1491="","",INDEX('Per Line'!$K$2:$K$4001,$AA1491)&amp;"")</f>
        <v/>
      </c>
      <c r="J1491">
        <f>IF($AA1491="","",INDEX('Per Line'!$L$2:$L$4001,$AA1491)&amp;"")</f>
        <v/>
      </c>
      <c r="K1491">
        <f>IF($AA1491="","",INDEX('Per Line'!$P$2:$P$4001,$AA1491))</f>
        <v/>
      </c>
      <c r="L1491" s="7">
        <f>IF($AA1491="","",IF(AND(ISNUMBER(N1491),N1491&gt;0,Y1491&gt;N1491),K1491*N1491/100+(Y1491-N1491),K1491*Y1491/100))</f>
        <v/>
      </c>
      <c r="M1491">
        <f>IF($AA1491="","",INDEX('Per Line'!$Z$2:$Z$4001,$AA1491)&amp;"")</f>
        <v/>
      </c>
      <c r="N1491">
        <f>IF($AA1491="","",INDEX('Per Line'!$AG$2:$AG$4001,$AA1491))</f>
        <v/>
      </c>
      <c r="O1491">
        <f>IF($AA1491="","",IF(AND(ISNUMBER(N1491),N1491&gt;0),Y1491&gt;N1491,FALSE))</f>
        <v/>
      </c>
      <c r="P1491" s="7">
        <f>IF($AA1491="","",SUMIFS('Per Line'!$Y$2:$Y$4001,'Per Line'!$E$2:$E$4001,$B1491,'Per Line'!$AQ$2:$AQ$4001,1))</f>
        <v/>
      </c>
      <c r="Q1491">
        <f>IF($AA1491="","",Settings!$C$7)</f>
        <v/>
      </c>
      <c r="R1491" s="7">
        <f>IF($AA1491="","",SUMIFS('Per Line'!$Y$2:$Y$4001,'Per Line'!$E$2:$E$4001,$B1491,'Per Line'!$AP$2:$AP$4001,0,'Per Line'!$AQ$2:$AQ$4001,0))</f>
        <v/>
      </c>
      <c r="S1491" s="7">
        <f>IF($AA1491="","",R1491*Q1491)</f>
        <v/>
      </c>
      <c r="T1491">
        <f>IF($AA1491="","",Settings!$C$6)</f>
        <v/>
      </c>
      <c r="U1491" s="7">
        <f>IF($AA1491="","",SUMIFS('Per Line'!$Y$2:$Y$4001,'Per Line'!$E$2:$E$4001,$B1491,'Per Line'!$AP$2:$AP$4001,1,'Per Line'!$AQ$2:$AQ$4001,0))</f>
        <v/>
      </c>
      <c r="V1491" s="7">
        <f>IF($AA1491="","",U1491*T1491)</f>
        <v/>
      </c>
      <c r="W1491" s="7">
        <f>IF($AA1491="","",V1491+S1491)</f>
        <v/>
      </c>
      <c r="X1491" s="7">
        <f>IF($AA1491="","",Y1491-W1491)</f>
        <v/>
      </c>
      <c r="Y1491" s="7">
        <f>IF($AA1491="","",R1491+U1491+P1491)</f>
        <v/>
      </c>
      <c r="Z1491" s="7">
        <f>IF($AA1491="","",Y1491-W1491-L1491)</f>
        <v/>
      </c>
      <c r="AA1491" s="13">
        <f>IF(ROWS($AA$2:$AA1491)&lt;=MAX('Per Line'!$AO$2:$AO$4001),MATCH(ROWS($AA$2:$AA1491),'Per Line'!$AO$2:$AO$4001,0),"")</f>
        <v/>
      </c>
      <c r="AB1491" s="14">
        <f>IF($AA1491="","",L1491-K1491*Y1491/100)</f>
        <v/>
      </c>
    </row>
    <row r="1492">
      <c r="A1492" s="12" t="n"/>
      <c r="B1492">
        <f>IF($AA1492="","",INDEX('Per Line'!$E$2:$E$4001,$AA1492)&amp;"")</f>
        <v/>
      </c>
      <c r="C1492">
        <f>IF($AA1492="","",INDEX('Per Line'!$A$2:$A$4001,$AA1492)&amp;"")</f>
        <v/>
      </c>
      <c r="D1492">
        <f>IF($AA1492="","",INDEX('Per Line'!$D$2:$D$4001,$AA1492)&amp;"")</f>
        <v/>
      </c>
      <c r="E1492" s="11">
        <f>IF($AA1492="","",INDEX('Per Line'!$G$2:$G$4001,$AA1492))</f>
        <v/>
      </c>
      <c r="F1492">
        <f>IF($AA1492="","",INDEX('Per Line'!$H$2:$H$4001,$AA1492)&amp;"")</f>
        <v/>
      </c>
      <c r="G1492">
        <f>IF($AA1492="","",INDEX('Per Line'!$I$2:$I$4001,$AA1492)&amp;"")</f>
        <v/>
      </c>
      <c r="H1492">
        <f>IF($AA1492="","",INDEX('Per Line'!$J$2:$J$4001,$AA1492)&amp;"")</f>
        <v/>
      </c>
      <c r="I1492">
        <f>IF($AA1492="","",INDEX('Per Line'!$K$2:$K$4001,$AA1492)&amp;"")</f>
        <v/>
      </c>
      <c r="J1492">
        <f>IF($AA1492="","",INDEX('Per Line'!$L$2:$L$4001,$AA1492)&amp;"")</f>
        <v/>
      </c>
      <c r="K1492">
        <f>IF($AA1492="","",INDEX('Per Line'!$P$2:$P$4001,$AA1492))</f>
        <v/>
      </c>
      <c r="L1492" s="7">
        <f>IF($AA1492="","",IF(AND(ISNUMBER(N1492),N1492&gt;0,Y1492&gt;N1492),K1492*N1492/100+(Y1492-N1492),K1492*Y1492/100))</f>
        <v/>
      </c>
      <c r="M1492">
        <f>IF($AA1492="","",INDEX('Per Line'!$Z$2:$Z$4001,$AA1492)&amp;"")</f>
        <v/>
      </c>
      <c r="N1492">
        <f>IF($AA1492="","",INDEX('Per Line'!$AG$2:$AG$4001,$AA1492))</f>
        <v/>
      </c>
      <c r="O1492">
        <f>IF($AA1492="","",IF(AND(ISNUMBER(N1492),N1492&gt;0),Y1492&gt;N1492,FALSE))</f>
        <v/>
      </c>
      <c r="P1492" s="7">
        <f>IF($AA1492="","",SUMIFS('Per Line'!$Y$2:$Y$4001,'Per Line'!$E$2:$E$4001,$B1492,'Per Line'!$AQ$2:$AQ$4001,1))</f>
        <v/>
      </c>
      <c r="Q1492">
        <f>IF($AA1492="","",Settings!$C$7)</f>
        <v/>
      </c>
      <c r="R1492" s="7">
        <f>IF($AA1492="","",SUMIFS('Per Line'!$Y$2:$Y$4001,'Per Line'!$E$2:$E$4001,$B1492,'Per Line'!$AP$2:$AP$4001,0,'Per Line'!$AQ$2:$AQ$4001,0))</f>
        <v/>
      </c>
      <c r="S1492" s="7">
        <f>IF($AA1492="","",R1492*Q1492)</f>
        <v/>
      </c>
      <c r="T1492">
        <f>IF($AA1492="","",Settings!$C$6)</f>
        <v/>
      </c>
      <c r="U1492" s="7">
        <f>IF($AA1492="","",SUMIFS('Per Line'!$Y$2:$Y$4001,'Per Line'!$E$2:$E$4001,$B1492,'Per Line'!$AP$2:$AP$4001,1,'Per Line'!$AQ$2:$AQ$4001,0))</f>
        <v/>
      </c>
      <c r="V1492" s="7">
        <f>IF($AA1492="","",U1492*T1492)</f>
        <v/>
      </c>
      <c r="W1492" s="7">
        <f>IF($AA1492="","",V1492+S1492)</f>
        <v/>
      </c>
      <c r="X1492" s="7">
        <f>IF($AA1492="","",Y1492-W1492)</f>
        <v/>
      </c>
      <c r="Y1492" s="7">
        <f>IF($AA1492="","",R1492+U1492+P1492)</f>
        <v/>
      </c>
      <c r="Z1492" s="7">
        <f>IF($AA1492="","",Y1492-W1492-L1492)</f>
        <v/>
      </c>
      <c r="AA1492" s="13">
        <f>IF(ROWS($AA$2:$AA1492)&lt;=MAX('Per Line'!$AO$2:$AO$4001),MATCH(ROWS($AA$2:$AA1492),'Per Line'!$AO$2:$AO$4001,0),"")</f>
        <v/>
      </c>
      <c r="AB1492" s="14">
        <f>IF($AA1492="","",L1492-K1492*Y1492/100)</f>
        <v/>
      </c>
    </row>
    <row r="1493">
      <c r="A1493" s="12" t="n"/>
      <c r="B1493">
        <f>IF($AA1493="","",INDEX('Per Line'!$E$2:$E$4001,$AA1493)&amp;"")</f>
        <v/>
      </c>
      <c r="C1493">
        <f>IF($AA1493="","",INDEX('Per Line'!$A$2:$A$4001,$AA1493)&amp;"")</f>
        <v/>
      </c>
      <c r="D1493">
        <f>IF($AA1493="","",INDEX('Per Line'!$D$2:$D$4001,$AA1493)&amp;"")</f>
        <v/>
      </c>
      <c r="E1493" s="11">
        <f>IF($AA1493="","",INDEX('Per Line'!$G$2:$G$4001,$AA1493))</f>
        <v/>
      </c>
      <c r="F1493">
        <f>IF($AA1493="","",INDEX('Per Line'!$H$2:$H$4001,$AA1493)&amp;"")</f>
        <v/>
      </c>
      <c r="G1493">
        <f>IF($AA1493="","",INDEX('Per Line'!$I$2:$I$4001,$AA1493)&amp;"")</f>
        <v/>
      </c>
      <c r="H1493">
        <f>IF($AA1493="","",INDEX('Per Line'!$J$2:$J$4001,$AA1493)&amp;"")</f>
        <v/>
      </c>
      <c r="I1493">
        <f>IF($AA1493="","",INDEX('Per Line'!$K$2:$K$4001,$AA1493)&amp;"")</f>
        <v/>
      </c>
      <c r="J1493">
        <f>IF($AA1493="","",INDEX('Per Line'!$L$2:$L$4001,$AA1493)&amp;"")</f>
        <v/>
      </c>
      <c r="K1493">
        <f>IF($AA1493="","",INDEX('Per Line'!$P$2:$P$4001,$AA1493))</f>
        <v/>
      </c>
      <c r="L1493" s="7">
        <f>IF($AA1493="","",IF(AND(ISNUMBER(N1493),N1493&gt;0,Y1493&gt;N1493),K1493*N1493/100+(Y1493-N1493),K1493*Y1493/100))</f>
        <v/>
      </c>
      <c r="M1493">
        <f>IF($AA1493="","",INDEX('Per Line'!$Z$2:$Z$4001,$AA1493)&amp;"")</f>
        <v/>
      </c>
      <c r="N1493">
        <f>IF($AA1493="","",INDEX('Per Line'!$AG$2:$AG$4001,$AA1493))</f>
        <v/>
      </c>
      <c r="O1493">
        <f>IF($AA1493="","",IF(AND(ISNUMBER(N1493),N1493&gt;0),Y1493&gt;N1493,FALSE))</f>
        <v/>
      </c>
      <c r="P1493" s="7">
        <f>IF($AA1493="","",SUMIFS('Per Line'!$Y$2:$Y$4001,'Per Line'!$E$2:$E$4001,$B1493,'Per Line'!$AQ$2:$AQ$4001,1))</f>
        <v/>
      </c>
      <c r="Q1493">
        <f>IF($AA1493="","",Settings!$C$7)</f>
        <v/>
      </c>
      <c r="R1493" s="7">
        <f>IF($AA1493="","",SUMIFS('Per Line'!$Y$2:$Y$4001,'Per Line'!$E$2:$E$4001,$B1493,'Per Line'!$AP$2:$AP$4001,0,'Per Line'!$AQ$2:$AQ$4001,0))</f>
        <v/>
      </c>
      <c r="S1493" s="7">
        <f>IF($AA1493="","",R1493*Q1493)</f>
        <v/>
      </c>
      <c r="T1493">
        <f>IF($AA1493="","",Settings!$C$6)</f>
        <v/>
      </c>
      <c r="U1493" s="7">
        <f>IF($AA1493="","",SUMIFS('Per Line'!$Y$2:$Y$4001,'Per Line'!$E$2:$E$4001,$B1493,'Per Line'!$AP$2:$AP$4001,1,'Per Line'!$AQ$2:$AQ$4001,0))</f>
        <v/>
      </c>
      <c r="V1493" s="7">
        <f>IF($AA1493="","",U1493*T1493)</f>
        <v/>
      </c>
      <c r="W1493" s="7">
        <f>IF($AA1493="","",V1493+S1493)</f>
        <v/>
      </c>
      <c r="X1493" s="7">
        <f>IF($AA1493="","",Y1493-W1493)</f>
        <v/>
      </c>
      <c r="Y1493" s="7">
        <f>IF($AA1493="","",R1493+U1493+P1493)</f>
        <v/>
      </c>
      <c r="Z1493" s="7">
        <f>IF($AA1493="","",Y1493-W1493-L1493)</f>
        <v/>
      </c>
      <c r="AA1493" s="13">
        <f>IF(ROWS($AA$2:$AA1493)&lt;=MAX('Per Line'!$AO$2:$AO$4001),MATCH(ROWS($AA$2:$AA1493),'Per Line'!$AO$2:$AO$4001,0),"")</f>
        <v/>
      </c>
      <c r="AB1493" s="14">
        <f>IF($AA1493="","",L1493-K1493*Y1493/100)</f>
        <v/>
      </c>
    </row>
    <row r="1494">
      <c r="A1494" s="12" t="n"/>
      <c r="B1494">
        <f>IF($AA1494="","",INDEX('Per Line'!$E$2:$E$4001,$AA1494)&amp;"")</f>
        <v/>
      </c>
      <c r="C1494">
        <f>IF($AA1494="","",INDEX('Per Line'!$A$2:$A$4001,$AA1494)&amp;"")</f>
        <v/>
      </c>
      <c r="D1494">
        <f>IF($AA1494="","",INDEX('Per Line'!$D$2:$D$4001,$AA1494)&amp;"")</f>
        <v/>
      </c>
      <c r="E1494" s="11">
        <f>IF($AA1494="","",INDEX('Per Line'!$G$2:$G$4001,$AA1494))</f>
        <v/>
      </c>
      <c r="F1494">
        <f>IF($AA1494="","",INDEX('Per Line'!$H$2:$H$4001,$AA1494)&amp;"")</f>
        <v/>
      </c>
      <c r="G1494">
        <f>IF($AA1494="","",INDEX('Per Line'!$I$2:$I$4001,$AA1494)&amp;"")</f>
        <v/>
      </c>
      <c r="H1494">
        <f>IF($AA1494="","",INDEX('Per Line'!$J$2:$J$4001,$AA1494)&amp;"")</f>
        <v/>
      </c>
      <c r="I1494">
        <f>IF($AA1494="","",INDEX('Per Line'!$K$2:$K$4001,$AA1494)&amp;"")</f>
        <v/>
      </c>
      <c r="J1494">
        <f>IF($AA1494="","",INDEX('Per Line'!$L$2:$L$4001,$AA1494)&amp;"")</f>
        <v/>
      </c>
      <c r="K1494">
        <f>IF($AA1494="","",INDEX('Per Line'!$P$2:$P$4001,$AA1494))</f>
        <v/>
      </c>
      <c r="L1494" s="7">
        <f>IF($AA1494="","",IF(AND(ISNUMBER(N1494),N1494&gt;0,Y1494&gt;N1494),K1494*N1494/100+(Y1494-N1494),K1494*Y1494/100))</f>
        <v/>
      </c>
      <c r="M1494">
        <f>IF($AA1494="","",INDEX('Per Line'!$Z$2:$Z$4001,$AA1494)&amp;"")</f>
        <v/>
      </c>
      <c r="N1494">
        <f>IF($AA1494="","",INDEX('Per Line'!$AG$2:$AG$4001,$AA1494))</f>
        <v/>
      </c>
      <c r="O1494">
        <f>IF($AA1494="","",IF(AND(ISNUMBER(N1494),N1494&gt;0),Y1494&gt;N1494,FALSE))</f>
        <v/>
      </c>
      <c r="P1494" s="7">
        <f>IF($AA1494="","",SUMIFS('Per Line'!$Y$2:$Y$4001,'Per Line'!$E$2:$E$4001,$B1494,'Per Line'!$AQ$2:$AQ$4001,1))</f>
        <v/>
      </c>
      <c r="Q1494">
        <f>IF($AA1494="","",Settings!$C$7)</f>
        <v/>
      </c>
      <c r="R1494" s="7">
        <f>IF($AA1494="","",SUMIFS('Per Line'!$Y$2:$Y$4001,'Per Line'!$E$2:$E$4001,$B1494,'Per Line'!$AP$2:$AP$4001,0,'Per Line'!$AQ$2:$AQ$4001,0))</f>
        <v/>
      </c>
      <c r="S1494" s="7">
        <f>IF($AA1494="","",R1494*Q1494)</f>
        <v/>
      </c>
      <c r="T1494">
        <f>IF($AA1494="","",Settings!$C$6)</f>
        <v/>
      </c>
      <c r="U1494" s="7">
        <f>IF($AA1494="","",SUMIFS('Per Line'!$Y$2:$Y$4001,'Per Line'!$E$2:$E$4001,$B1494,'Per Line'!$AP$2:$AP$4001,1,'Per Line'!$AQ$2:$AQ$4001,0))</f>
        <v/>
      </c>
      <c r="V1494" s="7">
        <f>IF($AA1494="","",U1494*T1494)</f>
        <v/>
      </c>
      <c r="W1494" s="7">
        <f>IF($AA1494="","",V1494+S1494)</f>
        <v/>
      </c>
      <c r="X1494" s="7">
        <f>IF($AA1494="","",Y1494-W1494)</f>
        <v/>
      </c>
      <c r="Y1494" s="7">
        <f>IF($AA1494="","",R1494+U1494+P1494)</f>
        <v/>
      </c>
      <c r="Z1494" s="7">
        <f>IF($AA1494="","",Y1494-W1494-L1494)</f>
        <v/>
      </c>
      <c r="AA1494" s="13">
        <f>IF(ROWS($AA$2:$AA1494)&lt;=MAX('Per Line'!$AO$2:$AO$4001),MATCH(ROWS($AA$2:$AA1494),'Per Line'!$AO$2:$AO$4001,0),"")</f>
        <v/>
      </c>
      <c r="AB1494" s="14">
        <f>IF($AA1494="","",L1494-K1494*Y1494/100)</f>
        <v/>
      </c>
    </row>
    <row r="1495">
      <c r="A1495" s="12" t="n"/>
      <c r="B1495">
        <f>IF($AA1495="","",INDEX('Per Line'!$E$2:$E$4001,$AA1495)&amp;"")</f>
        <v/>
      </c>
      <c r="C1495">
        <f>IF($AA1495="","",INDEX('Per Line'!$A$2:$A$4001,$AA1495)&amp;"")</f>
        <v/>
      </c>
      <c r="D1495">
        <f>IF($AA1495="","",INDEX('Per Line'!$D$2:$D$4001,$AA1495)&amp;"")</f>
        <v/>
      </c>
      <c r="E1495" s="11">
        <f>IF($AA1495="","",INDEX('Per Line'!$G$2:$G$4001,$AA1495))</f>
        <v/>
      </c>
      <c r="F1495">
        <f>IF($AA1495="","",INDEX('Per Line'!$H$2:$H$4001,$AA1495)&amp;"")</f>
        <v/>
      </c>
      <c r="G1495">
        <f>IF($AA1495="","",INDEX('Per Line'!$I$2:$I$4001,$AA1495)&amp;"")</f>
        <v/>
      </c>
      <c r="H1495">
        <f>IF($AA1495="","",INDEX('Per Line'!$J$2:$J$4001,$AA1495)&amp;"")</f>
        <v/>
      </c>
      <c r="I1495">
        <f>IF($AA1495="","",INDEX('Per Line'!$K$2:$K$4001,$AA1495)&amp;"")</f>
        <v/>
      </c>
      <c r="J1495">
        <f>IF($AA1495="","",INDEX('Per Line'!$L$2:$L$4001,$AA1495)&amp;"")</f>
        <v/>
      </c>
      <c r="K1495">
        <f>IF($AA1495="","",INDEX('Per Line'!$P$2:$P$4001,$AA1495))</f>
        <v/>
      </c>
      <c r="L1495" s="7">
        <f>IF($AA1495="","",IF(AND(ISNUMBER(N1495),N1495&gt;0,Y1495&gt;N1495),K1495*N1495/100+(Y1495-N1495),K1495*Y1495/100))</f>
        <v/>
      </c>
      <c r="M1495">
        <f>IF($AA1495="","",INDEX('Per Line'!$Z$2:$Z$4001,$AA1495)&amp;"")</f>
        <v/>
      </c>
      <c r="N1495">
        <f>IF($AA1495="","",INDEX('Per Line'!$AG$2:$AG$4001,$AA1495))</f>
        <v/>
      </c>
      <c r="O1495">
        <f>IF($AA1495="","",IF(AND(ISNUMBER(N1495),N1495&gt;0),Y1495&gt;N1495,FALSE))</f>
        <v/>
      </c>
      <c r="P1495" s="7">
        <f>IF($AA1495="","",SUMIFS('Per Line'!$Y$2:$Y$4001,'Per Line'!$E$2:$E$4001,$B1495,'Per Line'!$AQ$2:$AQ$4001,1))</f>
        <v/>
      </c>
      <c r="Q1495">
        <f>IF($AA1495="","",Settings!$C$7)</f>
        <v/>
      </c>
      <c r="R1495" s="7">
        <f>IF($AA1495="","",SUMIFS('Per Line'!$Y$2:$Y$4001,'Per Line'!$E$2:$E$4001,$B1495,'Per Line'!$AP$2:$AP$4001,0,'Per Line'!$AQ$2:$AQ$4001,0))</f>
        <v/>
      </c>
      <c r="S1495" s="7">
        <f>IF($AA1495="","",R1495*Q1495)</f>
        <v/>
      </c>
      <c r="T1495">
        <f>IF($AA1495="","",Settings!$C$6)</f>
        <v/>
      </c>
      <c r="U1495" s="7">
        <f>IF($AA1495="","",SUMIFS('Per Line'!$Y$2:$Y$4001,'Per Line'!$E$2:$E$4001,$B1495,'Per Line'!$AP$2:$AP$4001,1,'Per Line'!$AQ$2:$AQ$4001,0))</f>
        <v/>
      </c>
      <c r="V1495" s="7">
        <f>IF($AA1495="","",U1495*T1495)</f>
        <v/>
      </c>
      <c r="W1495" s="7">
        <f>IF($AA1495="","",V1495+S1495)</f>
        <v/>
      </c>
      <c r="X1495" s="7">
        <f>IF($AA1495="","",Y1495-W1495)</f>
        <v/>
      </c>
      <c r="Y1495" s="7">
        <f>IF($AA1495="","",R1495+U1495+P1495)</f>
        <v/>
      </c>
      <c r="Z1495" s="7">
        <f>IF($AA1495="","",Y1495-W1495-L1495)</f>
        <v/>
      </c>
      <c r="AA1495" s="13">
        <f>IF(ROWS($AA$2:$AA1495)&lt;=MAX('Per Line'!$AO$2:$AO$4001),MATCH(ROWS($AA$2:$AA1495),'Per Line'!$AO$2:$AO$4001,0),"")</f>
        <v/>
      </c>
      <c r="AB1495" s="14">
        <f>IF($AA1495="","",L1495-K1495*Y1495/100)</f>
        <v/>
      </c>
    </row>
    <row r="1496">
      <c r="A1496" s="12" t="n"/>
      <c r="B1496">
        <f>IF($AA1496="","",INDEX('Per Line'!$E$2:$E$4001,$AA1496)&amp;"")</f>
        <v/>
      </c>
      <c r="C1496">
        <f>IF($AA1496="","",INDEX('Per Line'!$A$2:$A$4001,$AA1496)&amp;"")</f>
        <v/>
      </c>
      <c r="D1496">
        <f>IF($AA1496="","",INDEX('Per Line'!$D$2:$D$4001,$AA1496)&amp;"")</f>
        <v/>
      </c>
      <c r="E1496" s="11">
        <f>IF($AA1496="","",INDEX('Per Line'!$G$2:$G$4001,$AA1496))</f>
        <v/>
      </c>
      <c r="F1496">
        <f>IF($AA1496="","",INDEX('Per Line'!$H$2:$H$4001,$AA1496)&amp;"")</f>
        <v/>
      </c>
      <c r="G1496">
        <f>IF($AA1496="","",INDEX('Per Line'!$I$2:$I$4001,$AA1496)&amp;"")</f>
        <v/>
      </c>
      <c r="H1496">
        <f>IF($AA1496="","",INDEX('Per Line'!$J$2:$J$4001,$AA1496)&amp;"")</f>
        <v/>
      </c>
      <c r="I1496">
        <f>IF($AA1496="","",INDEX('Per Line'!$K$2:$K$4001,$AA1496)&amp;"")</f>
        <v/>
      </c>
      <c r="J1496">
        <f>IF($AA1496="","",INDEX('Per Line'!$L$2:$L$4001,$AA1496)&amp;"")</f>
        <v/>
      </c>
      <c r="K1496">
        <f>IF($AA1496="","",INDEX('Per Line'!$P$2:$P$4001,$AA1496))</f>
        <v/>
      </c>
      <c r="L1496" s="7">
        <f>IF($AA1496="","",IF(AND(ISNUMBER(N1496),N1496&gt;0,Y1496&gt;N1496),K1496*N1496/100+(Y1496-N1496),K1496*Y1496/100))</f>
        <v/>
      </c>
      <c r="M1496">
        <f>IF($AA1496="","",INDEX('Per Line'!$Z$2:$Z$4001,$AA1496)&amp;"")</f>
        <v/>
      </c>
      <c r="N1496">
        <f>IF($AA1496="","",INDEX('Per Line'!$AG$2:$AG$4001,$AA1496))</f>
        <v/>
      </c>
      <c r="O1496">
        <f>IF($AA1496="","",IF(AND(ISNUMBER(N1496),N1496&gt;0),Y1496&gt;N1496,FALSE))</f>
        <v/>
      </c>
      <c r="P1496" s="7">
        <f>IF($AA1496="","",SUMIFS('Per Line'!$Y$2:$Y$4001,'Per Line'!$E$2:$E$4001,$B1496,'Per Line'!$AQ$2:$AQ$4001,1))</f>
        <v/>
      </c>
      <c r="Q1496">
        <f>IF($AA1496="","",Settings!$C$7)</f>
        <v/>
      </c>
      <c r="R1496" s="7">
        <f>IF($AA1496="","",SUMIFS('Per Line'!$Y$2:$Y$4001,'Per Line'!$E$2:$E$4001,$B1496,'Per Line'!$AP$2:$AP$4001,0,'Per Line'!$AQ$2:$AQ$4001,0))</f>
        <v/>
      </c>
      <c r="S1496" s="7">
        <f>IF($AA1496="","",R1496*Q1496)</f>
        <v/>
      </c>
      <c r="T1496">
        <f>IF($AA1496="","",Settings!$C$6)</f>
        <v/>
      </c>
      <c r="U1496" s="7">
        <f>IF($AA1496="","",SUMIFS('Per Line'!$Y$2:$Y$4001,'Per Line'!$E$2:$E$4001,$B1496,'Per Line'!$AP$2:$AP$4001,1,'Per Line'!$AQ$2:$AQ$4001,0))</f>
        <v/>
      </c>
      <c r="V1496" s="7">
        <f>IF($AA1496="","",U1496*T1496)</f>
        <v/>
      </c>
      <c r="W1496" s="7">
        <f>IF($AA1496="","",V1496+S1496)</f>
        <v/>
      </c>
      <c r="X1496" s="7">
        <f>IF($AA1496="","",Y1496-W1496)</f>
        <v/>
      </c>
      <c r="Y1496" s="7">
        <f>IF($AA1496="","",R1496+U1496+P1496)</f>
        <v/>
      </c>
      <c r="Z1496" s="7">
        <f>IF($AA1496="","",Y1496-W1496-L1496)</f>
        <v/>
      </c>
      <c r="AA1496" s="13">
        <f>IF(ROWS($AA$2:$AA1496)&lt;=MAX('Per Line'!$AO$2:$AO$4001),MATCH(ROWS($AA$2:$AA1496),'Per Line'!$AO$2:$AO$4001,0),"")</f>
        <v/>
      </c>
      <c r="AB1496" s="14">
        <f>IF($AA1496="","",L1496-K1496*Y1496/100)</f>
        <v/>
      </c>
    </row>
    <row r="1497">
      <c r="A1497" s="12" t="n"/>
      <c r="B1497">
        <f>IF($AA1497="","",INDEX('Per Line'!$E$2:$E$4001,$AA1497)&amp;"")</f>
        <v/>
      </c>
      <c r="C1497">
        <f>IF($AA1497="","",INDEX('Per Line'!$A$2:$A$4001,$AA1497)&amp;"")</f>
        <v/>
      </c>
      <c r="D1497">
        <f>IF($AA1497="","",INDEX('Per Line'!$D$2:$D$4001,$AA1497)&amp;"")</f>
        <v/>
      </c>
      <c r="E1497" s="11">
        <f>IF($AA1497="","",INDEX('Per Line'!$G$2:$G$4001,$AA1497))</f>
        <v/>
      </c>
      <c r="F1497">
        <f>IF($AA1497="","",INDEX('Per Line'!$H$2:$H$4001,$AA1497)&amp;"")</f>
        <v/>
      </c>
      <c r="G1497">
        <f>IF($AA1497="","",INDEX('Per Line'!$I$2:$I$4001,$AA1497)&amp;"")</f>
        <v/>
      </c>
      <c r="H1497">
        <f>IF($AA1497="","",INDEX('Per Line'!$J$2:$J$4001,$AA1497)&amp;"")</f>
        <v/>
      </c>
      <c r="I1497">
        <f>IF($AA1497="","",INDEX('Per Line'!$K$2:$K$4001,$AA1497)&amp;"")</f>
        <v/>
      </c>
      <c r="J1497">
        <f>IF($AA1497="","",INDEX('Per Line'!$L$2:$L$4001,$AA1497)&amp;"")</f>
        <v/>
      </c>
      <c r="K1497">
        <f>IF($AA1497="","",INDEX('Per Line'!$P$2:$P$4001,$AA1497))</f>
        <v/>
      </c>
      <c r="L1497" s="7">
        <f>IF($AA1497="","",IF(AND(ISNUMBER(N1497),N1497&gt;0,Y1497&gt;N1497),K1497*N1497/100+(Y1497-N1497),K1497*Y1497/100))</f>
        <v/>
      </c>
      <c r="M1497">
        <f>IF($AA1497="","",INDEX('Per Line'!$Z$2:$Z$4001,$AA1497)&amp;"")</f>
        <v/>
      </c>
      <c r="N1497">
        <f>IF($AA1497="","",INDEX('Per Line'!$AG$2:$AG$4001,$AA1497))</f>
        <v/>
      </c>
      <c r="O1497">
        <f>IF($AA1497="","",IF(AND(ISNUMBER(N1497),N1497&gt;0),Y1497&gt;N1497,FALSE))</f>
        <v/>
      </c>
      <c r="P1497" s="7">
        <f>IF($AA1497="","",SUMIFS('Per Line'!$Y$2:$Y$4001,'Per Line'!$E$2:$E$4001,$B1497,'Per Line'!$AQ$2:$AQ$4001,1))</f>
        <v/>
      </c>
      <c r="Q1497">
        <f>IF($AA1497="","",Settings!$C$7)</f>
        <v/>
      </c>
      <c r="R1497" s="7">
        <f>IF($AA1497="","",SUMIFS('Per Line'!$Y$2:$Y$4001,'Per Line'!$E$2:$E$4001,$B1497,'Per Line'!$AP$2:$AP$4001,0,'Per Line'!$AQ$2:$AQ$4001,0))</f>
        <v/>
      </c>
      <c r="S1497" s="7">
        <f>IF($AA1497="","",R1497*Q1497)</f>
        <v/>
      </c>
      <c r="T1497">
        <f>IF($AA1497="","",Settings!$C$6)</f>
        <v/>
      </c>
      <c r="U1497" s="7">
        <f>IF($AA1497="","",SUMIFS('Per Line'!$Y$2:$Y$4001,'Per Line'!$E$2:$E$4001,$B1497,'Per Line'!$AP$2:$AP$4001,1,'Per Line'!$AQ$2:$AQ$4001,0))</f>
        <v/>
      </c>
      <c r="V1497" s="7">
        <f>IF($AA1497="","",U1497*T1497)</f>
        <v/>
      </c>
      <c r="W1497" s="7">
        <f>IF($AA1497="","",V1497+S1497)</f>
        <v/>
      </c>
      <c r="X1497" s="7">
        <f>IF($AA1497="","",Y1497-W1497)</f>
        <v/>
      </c>
      <c r="Y1497" s="7">
        <f>IF($AA1497="","",R1497+U1497+P1497)</f>
        <v/>
      </c>
      <c r="Z1497" s="7">
        <f>IF($AA1497="","",Y1497-W1497-L1497)</f>
        <v/>
      </c>
      <c r="AA1497" s="13">
        <f>IF(ROWS($AA$2:$AA1497)&lt;=MAX('Per Line'!$AO$2:$AO$4001),MATCH(ROWS($AA$2:$AA1497),'Per Line'!$AO$2:$AO$4001,0),"")</f>
        <v/>
      </c>
      <c r="AB1497" s="14">
        <f>IF($AA1497="","",L1497-K1497*Y1497/100)</f>
        <v/>
      </c>
    </row>
    <row r="1498">
      <c r="A1498" s="12" t="n"/>
      <c r="B1498">
        <f>IF($AA1498="","",INDEX('Per Line'!$E$2:$E$4001,$AA1498)&amp;"")</f>
        <v/>
      </c>
      <c r="C1498">
        <f>IF($AA1498="","",INDEX('Per Line'!$A$2:$A$4001,$AA1498)&amp;"")</f>
        <v/>
      </c>
      <c r="D1498">
        <f>IF($AA1498="","",INDEX('Per Line'!$D$2:$D$4001,$AA1498)&amp;"")</f>
        <v/>
      </c>
      <c r="E1498" s="11">
        <f>IF($AA1498="","",INDEX('Per Line'!$G$2:$G$4001,$AA1498))</f>
        <v/>
      </c>
      <c r="F1498">
        <f>IF($AA1498="","",INDEX('Per Line'!$H$2:$H$4001,$AA1498)&amp;"")</f>
        <v/>
      </c>
      <c r="G1498">
        <f>IF($AA1498="","",INDEX('Per Line'!$I$2:$I$4001,$AA1498)&amp;"")</f>
        <v/>
      </c>
      <c r="H1498">
        <f>IF($AA1498="","",INDEX('Per Line'!$J$2:$J$4001,$AA1498)&amp;"")</f>
        <v/>
      </c>
      <c r="I1498">
        <f>IF($AA1498="","",INDEX('Per Line'!$K$2:$K$4001,$AA1498)&amp;"")</f>
        <v/>
      </c>
      <c r="J1498">
        <f>IF($AA1498="","",INDEX('Per Line'!$L$2:$L$4001,$AA1498)&amp;"")</f>
        <v/>
      </c>
      <c r="K1498">
        <f>IF($AA1498="","",INDEX('Per Line'!$P$2:$P$4001,$AA1498))</f>
        <v/>
      </c>
      <c r="L1498" s="7">
        <f>IF($AA1498="","",IF(AND(ISNUMBER(N1498),N1498&gt;0,Y1498&gt;N1498),K1498*N1498/100+(Y1498-N1498),K1498*Y1498/100))</f>
        <v/>
      </c>
      <c r="M1498">
        <f>IF($AA1498="","",INDEX('Per Line'!$Z$2:$Z$4001,$AA1498)&amp;"")</f>
        <v/>
      </c>
      <c r="N1498">
        <f>IF($AA1498="","",INDEX('Per Line'!$AG$2:$AG$4001,$AA1498))</f>
        <v/>
      </c>
      <c r="O1498">
        <f>IF($AA1498="","",IF(AND(ISNUMBER(N1498),N1498&gt;0),Y1498&gt;N1498,FALSE))</f>
        <v/>
      </c>
      <c r="P1498" s="7">
        <f>IF($AA1498="","",SUMIFS('Per Line'!$Y$2:$Y$4001,'Per Line'!$E$2:$E$4001,$B1498,'Per Line'!$AQ$2:$AQ$4001,1))</f>
        <v/>
      </c>
      <c r="Q1498">
        <f>IF($AA1498="","",Settings!$C$7)</f>
        <v/>
      </c>
      <c r="R1498" s="7">
        <f>IF($AA1498="","",SUMIFS('Per Line'!$Y$2:$Y$4001,'Per Line'!$E$2:$E$4001,$B1498,'Per Line'!$AP$2:$AP$4001,0,'Per Line'!$AQ$2:$AQ$4001,0))</f>
        <v/>
      </c>
      <c r="S1498" s="7">
        <f>IF($AA1498="","",R1498*Q1498)</f>
        <v/>
      </c>
      <c r="T1498">
        <f>IF($AA1498="","",Settings!$C$6)</f>
        <v/>
      </c>
      <c r="U1498" s="7">
        <f>IF($AA1498="","",SUMIFS('Per Line'!$Y$2:$Y$4001,'Per Line'!$E$2:$E$4001,$B1498,'Per Line'!$AP$2:$AP$4001,1,'Per Line'!$AQ$2:$AQ$4001,0))</f>
        <v/>
      </c>
      <c r="V1498" s="7">
        <f>IF($AA1498="","",U1498*T1498)</f>
        <v/>
      </c>
      <c r="W1498" s="7">
        <f>IF($AA1498="","",V1498+S1498)</f>
        <v/>
      </c>
      <c r="X1498" s="7">
        <f>IF($AA1498="","",Y1498-W1498)</f>
        <v/>
      </c>
      <c r="Y1498" s="7">
        <f>IF($AA1498="","",R1498+U1498+P1498)</f>
        <v/>
      </c>
      <c r="Z1498" s="7">
        <f>IF($AA1498="","",Y1498-W1498-L1498)</f>
        <v/>
      </c>
      <c r="AA1498" s="13">
        <f>IF(ROWS($AA$2:$AA1498)&lt;=MAX('Per Line'!$AO$2:$AO$4001),MATCH(ROWS($AA$2:$AA1498),'Per Line'!$AO$2:$AO$4001,0),"")</f>
        <v/>
      </c>
      <c r="AB1498" s="14">
        <f>IF($AA1498="","",L1498-K1498*Y1498/100)</f>
        <v/>
      </c>
    </row>
    <row r="1499">
      <c r="A1499" s="12" t="n"/>
      <c r="B1499">
        <f>IF($AA1499="","",INDEX('Per Line'!$E$2:$E$4001,$AA1499)&amp;"")</f>
        <v/>
      </c>
      <c r="C1499">
        <f>IF($AA1499="","",INDEX('Per Line'!$A$2:$A$4001,$AA1499)&amp;"")</f>
        <v/>
      </c>
      <c r="D1499">
        <f>IF($AA1499="","",INDEX('Per Line'!$D$2:$D$4001,$AA1499)&amp;"")</f>
        <v/>
      </c>
      <c r="E1499" s="11">
        <f>IF($AA1499="","",INDEX('Per Line'!$G$2:$G$4001,$AA1499))</f>
        <v/>
      </c>
      <c r="F1499">
        <f>IF($AA1499="","",INDEX('Per Line'!$H$2:$H$4001,$AA1499)&amp;"")</f>
        <v/>
      </c>
      <c r="G1499">
        <f>IF($AA1499="","",INDEX('Per Line'!$I$2:$I$4001,$AA1499)&amp;"")</f>
        <v/>
      </c>
      <c r="H1499">
        <f>IF($AA1499="","",INDEX('Per Line'!$J$2:$J$4001,$AA1499)&amp;"")</f>
        <v/>
      </c>
      <c r="I1499">
        <f>IF($AA1499="","",INDEX('Per Line'!$K$2:$K$4001,$AA1499)&amp;"")</f>
        <v/>
      </c>
      <c r="J1499">
        <f>IF($AA1499="","",INDEX('Per Line'!$L$2:$L$4001,$AA1499)&amp;"")</f>
        <v/>
      </c>
      <c r="K1499">
        <f>IF($AA1499="","",INDEX('Per Line'!$P$2:$P$4001,$AA1499))</f>
        <v/>
      </c>
      <c r="L1499" s="7">
        <f>IF($AA1499="","",IF(AND(ISNUMBER(N1499),N1499&gt;0,Y1499&gt;N1499),K1499*N1499/100+(Y1499-N1499),K1499*Y1499/100))</f>
        <v/>
      </c>
      <c r="M1499">
        <f>IF($AA1499="","",INDEX('Per Line'!$Z$2:$Z$4001,$AA1499)&amp;"")</f>
        <v/>
      </c>
      <c r="N1499">
        <f>IF($AA1499="","",INDEX('Per Line'!$AG$2:$AG$4001,$AA1499))</f>
        <v/>
      </c>
      <c r="O1499">
        <f>IF($AA1499="","",IF(AND(ISNUMBER(N1499),N1499&gt;0),Y1499&gt;N1499,FALSE))</f>
        <v/>
      </c>
      <c r="P1499" s="7">
        <f>IF($AA1499="","",SUMIFS('Per Line'!$Y$2:$Y$4001,'Per Line'!$E$2:$E$4001,$B1499,'Per Line'!$AQ$2:$AQ$4001,1))</f>
        <v/>
      </c>
      <c r="Q1499">
        <f>IF($AA1499="","",Settings!$C$7)</f>
        <v/>
      </c>
      <c r="R1499" s="7">
        <f>IF($AA1499="","",SUMIFS('Per Line'!$Y$2:$Y$4001,'Per Line'!$E$2:$E$4001,$B1499,'Per Line'!$AP$2:$AP$4001,0,'Per Line'!$AQ$2:$AQ$4001,0))</f>
        <v/>
      </c>
      <c r="S1499" s="7">
        <f>IF($AA1499="","",R1499*Q1499)</f>
        <v/>
      </c>
      <c r="T1499">
        <f>IF($AA1499="","",Settings!$C$6)</f>
        <v/>
      </c>
      <c r="U1499" s="7">
        <f>IF($AA1499="","",SUMIFS('Per Line'!$Y$2:$Y$4001,'Per Line'!$E$2:$E$4001,$B1499,'Per Line'!$AP$2:$AP$4001,1,'Per Line'!$AQ$2:$AQ$4001,0))</f>
        <v/>
      </c>
      <c r="V1499" s="7">
        <f>IF($AA1499="","",U1499*T1499)</f>
        <v/>
      </c>
      <c r="W1499" s="7">
        <f>IF($AA1499="","",V1499+S1499)</f>
        <v/>
      </c>
      <c r="X1499" s="7">
        <f>IF($AA1499="","",Y1499-W1499)</f>
        <v/>
      </c>
      <c r="Y1499" s="7">
        <f>IF($AA1499="","",R1499+U1499+P1499)</f>
        <v/>
      </c>
      <c r="Z1499" s="7">
        <f>IF($AA1499="","",Y1499-W1499-L1499)</f>
        <v/>
      </c>
      <c r="AA1499" s="13">
        <f>IF(ROWS($AA$2:$AA1499)&lt;=MAX('Per Line'!$AO$2:$AO$4001),MATCH(ROWS($AA$2:$AA1499),'Per Line'!$AO$2:$AO$4001,0),"")</f>
        <v/>
      </c>
      <c r="AB1499" s="14">
        <f>IF($AA1499="","",L1499-K1499*Y1499/100)</f>
        <v/>
      </c>
    </row>
    <row r="1500">
      <c r="A1500" s="12" t="n"/>
      <c r="B1500">
        <f>IF($AA1500="","",INDEX('Per Line'!$E$2:$E$4001,$AA1500)&amp;"")</f>
        <v/>
      </c>
      <c r="C1500">
        <f>IF($AA1500="","",INDEX('Per Line'!$A$2:$A$4001,$AA1500)&amp;"")</f>
        <v/>
      </c>
      <c r="D1500">
        <f>IF($AA1500="","",INDEX('Per Line'!$D$2:$D$4001,$AA1500)&amp;"")</f>
        <v/>
      </c>
      <c r="E1500" s="11">
        <f>IF($AA1500="","",INDEX('Per Line'!$G$2:$G$4001,$AA1500))</f>
        <v/>
      </c>
      <c r="F1500">
        <f>IF($AA1500="","",INDEX('Per Line'!$H$2:$H$4001,$AA1500)&amp;"")</f>
        <v/>
      </c>
      <c r="G1500">
        <f>IF($AA1500="","",INDEX('Per Line'!$I$2:$I$4001,$AA1500)&amp;"")</f>
        <v/>
      </c>
      <c r="H1500">
        <f>IF($AA1500="","",INDEX('Per Line'!$J$2:$J$4001,$AA1500)&amp;"")</f>
        <v/>
      </c>
      <c r="I1500">
        <f>IF($AA1500="","",INDEX('Per Line'!$K$2:$K$4001,$AA1500)&amp;"")</f>
        <v/>
      </c>
      <c r="J1500">
        <f>IF($AA1500="","",INDEX('Per Line'!$L$2:$L$4001,$AA1500)&amp;"")</f>
        <v/>
      </c>
      <c r="K1500">
        <f>IF($AA1500="","",INDEX('Per Line'!$P$2:$P$4001,$AA1500))</f>
        <v/>
      </c>
      <c r="L1500" s="7">
        <f>IF($AA1500="","",IF(AND(ISNUMBER(N1500),N1500&gt;0,Y1500&gt;N1500),K1500*N1500/100+(Y1500-N1500),K1500*Y1500/100))</f>
        <v/>
      </c>
      <c r="M1500">
        <f>IF($AA1500="","",INDEX('Per Line'!$Z$2:$Z$4001,$AA1500)&amp;"")</f>
        <v/>
      </c>
      <c r="N1500">
        <f>IF($AA1500="","",INDEX('Per Line'!$AG$2:$AG$4001,$AA1500))</f>
        <v/>
      </c>
      <c r="O1500">
        <f>IF($AA1500="","",IF(AND(ISNUMBER(N1500),N1500&gt;0),Y1500&gt;N1500,FALSE))</f>
        <v/>
      </c>
      <c r="P1500" s="7">
        <f>IF($AA1500="","",SUMIFS('Per Line'!$Y$2:$Y$4001,'Per Line'!$E$2:$E$4001,$B1500,'Per Line'!$AQ$2:$AQ$4001,1))</f>
        <v/>
      </c>
      <c r="Q1500">
        <f>IF($AA1500="","",Settings!$C$7)</f>
        <v/>
      </c>
      <c r="R1500" s="7">
        <f>IF($AA1500="","",SUMIFS('Per Line'!$Y$2:$Y$4001,'Per Line'!$E$2:$E$4001,$B1500,'Per Line'!$AP$2:$AP$4001,0,'Per Line'!$AQ$2:$AQ$4001,0))</f>
        <v/>
      </c>
      <c r="S1500" s="7">
        <f>IF($AA1500="","",R1500*Q1500)</f>
        <v/>
      </c>
      <c r="T1500">
        <f>IF($AA1500="","",Settings!$C$6)</f>
        <v/>
      </c>
      <c r="U1500" s="7">
        <f>IF($AA1500="","",SUMIFS('Per Line'!$Y$2:$Y$4001,'Per Line'!$E$2:$E$4001,$B1500,'Per Line'!$AP$2:$AP$4001,1,'Per Line'!$AQ$2:$AQ$4001,0))</f>
        <v/>
      </c>
      <c r="V1500" s="7">
        <f>IF($AA1500="","",U1500*T1500)</f>
        <v/>
      </c>
      <c r="W1500" s="7">
        <f>IF($AA1500="","",V1500+S1500)</f>
        <v/>
      </c>
      <c r="X1500" s="7">
        <f>IF($AA1500="","",Y1500-W1500)</f>
        <v/>
      </c>
      <c r="Y1500" s="7">
        <f>IF($AA1500="","",R1500+U1500+P1500)</f>
        <v/>
      </c>
      <c r="Z1500" s="7">
        <f>IF($AA1500="","",Y1500-W1500-L1500)</f>
        <v/>
      </c>
      <c r="AA1500" s="13">
        <f>IF(ROWS($AA$2:$AA1500)&lt;=MAX('Per Line'!$AO$2:$AO$4001),MATCH(ROWS($AA$2:$AA1500),'Per Line'!$AO$2:$AO$4001,0),"")</f>
        <v/>
      </c>
      <c r="AB1500" s="14">
        <f>IF($AA1500="","",L1500-K1500*Y1500/100)</f>
        <v/>
      </c>
    </row>
    <row r="1501">
      <c r="A1501" s="12" t="n"/>
      <c r="B1501">
        <f>IF($AA1501="","",INDEX('Per Line'!$E$2:$E$4001,$AA1501)&amp;"")</f>
        <v/>
      </c>
      <c r="C1501">
        <f>IF($AA1501="","",INDEX('Per Line'!$A$2:$A$4001,$AA1501)&amp;"")</f>
        <v/>
      </c>
      <c r="D1501">
        <f>IF($AA1501="","",INDEX('Per Line'!$D$2:$D$4001,$AA1501)&amp;"")</f>
        <v/>
      </c>
      <c r="E1501" s="11">
        <f>IF($AA1501="","",INDEX('Per Line'!$G$2:$G$4001,$AA1501))</f>
        <v/>
      </c>
      <c r="F1501">
        <f>IF($AA1501="","",INDEX('Per Line'!$H$2:$H$4001,$AA1501)&amp;"")</f>
        <v/>
      </c>
      <c r="G1501">
        <f>IF($AA1501="","",INDEX('Per Line'!$I$2:$I$4001,$AA1501)&amp;"")</f>
        <v/>
      </c>
      <c r="H1501">
        <f>IF($AA1501="","",INDEX('Per Line'!$J$2:$J$4001,$AA1501)&amp;"")</f>
        <v/>
      </c>
      <c r="I1501">
        <f>IF($AA1501="","",INDEX('Per Line'!$K$2:$K$4001,$AA1501)&amp;"")</f>
        <v/>
      </c>
      <c r="J1501">
        <f>IF($AA1501="","",INDEX('Per Line'!$L$2:$L$4001,$AA1501)&amp;"")</f>
        <v/>
      </c>
      <c r="K1501">
        <f>IF($AA1501="","",INDEX('Per Line'!$P$2:$P$4001,$AA1501))</f>
        <v/>
      </c>
      <c r="L1501" s="7">
        <f>IF($AA1501="","",IF(AND(ISNUMBER(N1501),N1501&gt;0,Y1501&gt;N1501),K1501*N1501/100+(Y1501-N1501),K1501*Y1501/100))</f>
        <v/>
      </c>
      <c r="M1501">
        <f>IF($AA1501="","",INDEX('Per Line'!$Z$2:$Z$4001,$AA1501)&amp;"")</f>
        <v/>
      </c>
      <c r="N1501">
        <f>IF($AA1501="","",INDEX('Per Line'!$AG$2:$AG$4001,$AA1501))</f>
        <v/>
      </c>
      <c r="O1501">
        <f>IF($AA1501="","",IF(AND(ISNUMBER(N1501),N1501&gt;0),Y1501&gt;N1501,FALSE))</f>
        <v/>
      </c>
      <c r="P1501" s="7">
        <f>IF($AA1501="","",SUMIFS('Per Line'!$Y$2:$Y$4001,'Per Line'!$E$2:$E$4001,$B1501,'Per Line'!$AQ$2:$AQ$4001,1))</f>
        <v/>
      </c>
      <c r="Q1501">
        <f>IF($AA1501="","",Settings!$C$7)</f>
        <v/>
      </c>
      <c r="R1501" s="7">
        <f>IF($AA1501="","",SUMIFS('Per Line'!$Y$2:$Y$4001,'Per Line'!$E$2:$E$4001,$B1501,'Per Line'!$AP$2:$AP$4001,0,'Per Line'!$AQ$2:$AQ$4001,0))</f>
        <v/>
      </c>
      <c r="S1501" s="7">
        <f>IF($AA1501="","",R1501*Q1501)</f>
        <v/>
      </c>
      <c r="T1501">
        <f>IF($AA1501="","",Settings!$C$6)</f>
        <v/>
      </c>
      <c r="U1501" s="7">
        <f>IF($AA1501="","",SUMIFS('Per Line'!$Y$2:$Y$4001,'Per Line'!$E$2:$E$4001,$B1501,'Per Line'!$AP$2:$AP$4001,1,'Per Line'!$AQ$2:$AQ$4001,0))</f>
        <v/>
      </c>
      <c r="V1501" s="7">
        <f>IF($AA1501="","",U1501*T1501)</f>
        <v/>
      </c>
      <c r="W1501" s="7">
        <f>IF($AA1501="","",V1501+S1501)</f>
        <v/>
      </c>
      <c r="X1501" s="7">
        <f>IF($AA1501="","",Y1501-W1501)</f>
        <v/>
      </c>
      <c r="Y1501" s="7">
        <f>IF($AA1501="","",R1501+U1501+P1501)</f>
        <v/>
      </c>
      <c r="Z1501" s="7">
        <f>IF($AA1501="","",Y1501-W1501-L1501)</f>
        <v/>
      </c>
      <c r="AA1501" s="13">
        <f>IF(ROWS($AA$2:$AA1501)&lt;=MAX('Per Line'!$AO$2:$AO$4001),MATCH(ROWS($AA$2:$AA1501),'Per Line'!$AO$2:$AO$4001,0),"")</f>
        <v/>
      </c>
      <c r="AB1501" s="14">
        <f>IF($AA1501="","",L1501-K1501*Y1501/100)</f>
        <v/>
      </c>
    </row>
  </sheetData>
  <autoFilter ref="A1:AB1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2026-10-12T10:14:47Z</dcterms:created>
  <dcterms:modified xmlns:dcterms="http://purl.org/dc/terms/" xmlns:xsi="http://www.w3.org/2001/XMLSchema-instance" xsi:type="dcterms:W3CDTF">2026-10-12T10:14:48Z</dcterms:modified>
</cp:coreProperties>
</file>